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s:workbook xmlns:r="http://schemas.openxmlformats.org/officeDocument/2006/relationships" xmlns:s="http://schemas.openxmlformats.org/spreadsheetml/2006/main">
  <s:workbookPr filterPrivacy="1"/>
  <s:sheets>
    <s:sheet name="Tổng quan" sheetId="1" state="visible" r:id="rId1"/>
    <s:sheet name="Kiểm thử" sheetId="2" state="visible" r:id="rId2"/>
  </s:sheets>
  <s:definedNames>
    <s:definedName name="_xlnm._FilterDatabase" localSheetId="0" hidden="1">'Tổng quan'!$A$29:$C$245</s:definedName>
    <s:definedName name="_xlnm.Print_Area" localSheetId="0">'Tổng quan'!$A$1:$C$245</s:definedName>
    <s:definedName name="_xlnm.Print_Area" localSheetId="1">'Kiểm thử'!$A$1:$E$31771</s:definedName>
  </s:definedNames>
</s:workbook>
</file>

<file path=xl/styles.xml><?xml version="1.0" encoding="utf-8"?>
<styleSheet xmlns="http://schemas.openxmlformats.org/spreadsheetml/2006/main">
  <numFmts count="4">
    <numFmt numFmtId="164" formatCode="0.0%"/>
    <numFmt numFmtId="165" formatCode="&quot;&#10;&quot;General;&quot;&#10;&quot;-General;&quot;&#10;&quot;General;&quot;&#10;&quot;@"/>
    <numFmt numFmtId="166" formatCode="&quot;&#10;&quot;#,##0;&quot;&#10;&quot;-#,##0;&quot;&#10;&quot;#,##0;&quot;&#10;&quot;@"/>
    <numFmt numFmtId="167" formatCode="&quot;&#10;&quot;0.0%;&quot;&#10;&quot;-0.0%;&quot;&#10;&quot;0.0%;&quot;&#10;&quot;@"/>
  </numFmts>
  <fonts count="15">
    <font>
      <name val="Carlito"/>
      <sz val="11"/>
    </font>
    <font>
      <name val="Arial"/>
      <color rgb="FF172033"/>
      <sz val="11"/>
    </font>
    <font>
      <name val="Arial"/>
      <b val="1"/>
      <color rgb="FF172033"/>
      <sz val="15"/>
    </font>
    <font>
      <name val="Arial"/>
      <b val="1"/>
      <color rgb="FF172033"/>
      <sz val="11"/>
    </font>
    <font>
      <name val="Arial"/>
      <b val="1"/>
      <color rgb="FFFFFFFF"/>
      <sz val="11"/>
    </font>
    <font>
      <name val="Arial"/>
      <color rgb="FF475569"/>
      <sz val="11"/>
    </font>
    <font>
      <name val="Arial"/>
      <b val="1"/>
      <color rgb="00172033"/>
      <sz val="16"/>
    </font>
    <font>
      <name val="Arial"/>
      <b val="1"/>
      <sz val="11"/>
    </font>
    <font>
      <name val="Arial"/>
      <color rgb="00475569"/>
      <sz val="10"/>
    </font>
    <font>
      <name val="Arial"/>
      <b val="1"/>
      <color rgb="00FFFFFF"/>
      <sz val="14"/>
    </font>
    <font>
      <name val="Arial"/>
      <b val="1"/>
      <color rgb="00172033"/>
      <sz val="11"/>
    </font>
    <font>
      <name val="Arial"/>
      <color rgb="00172033"/>
      <sz val="11"/>
    </font>
    <font>
      <name val="Arial"/>
      <color rgb="001D4ED8"/>
      <sz val="11"/>
      <u val="single"/>
    </font>
    <font>
      <name val="Arial"/>
      <b val="1"/>
      <color rgb="00172033"/>
      <sz val="14"/>
    </font>
    <font>
      <name val="Arial"/>
      <b val="1"/>
      <color rgb="00FFFFFF"/>
      <sz val="13"/>
    </font>
  </fonts>
  <fills count="10">
    <fill>
      <patternFill/>
    </fill>
    <fill>
      <patternFill patternType="gray125"/>
    </fill>
    <fill>
      <patternFill patternType="solid">
        <fgColor rgb="FFFFF3CD"/>
      </patternFill>
    </fill>
    <fill>
      <patternFill patternType="solid">
        <fgColor rgb="FF334155"/>
      </patternFill>
    </fill>
    <fill>
      <patternFill patternType="solid">
        <fgColor rgb="FFF1F5F9"/>
      </patternFill>
    </fill>
    <fill>
      <patternFill patternType="solid">
        <fgColor rgb="00334155"/>
      </patternFill>
    </fill>
    <fill>
      <patternFill patternType="solid">
        <fgColor rgb="00FFF3CD"/>
      </patternFill>
    </fill>
    <fill>
      <patternFill patternType="solid">
        <fgColor rgb="00E8EEF5"/>
      </patternFill>
    </fill>
    <fill>
      <patternFill patternType="solid">
        <fgColor rgb="00F8FAFC"/>
      </patternFill>
    </fill>
    <fill>
      <patternFill patternType="solid">
        <fgColor rgb="0017324D"/>
      </patternFill>
    </fill>
  </fills>
  <borders count="12">
    <border>
      <left/>
      <right/>
      <top/>
      <bottom/>
      <diagonal/>
    </border>
    <border>
      <bottom style="thin">
        <color rgb="00D9E2EC"/>
      </bottom>
    </border>
    <border>
      <left/>
      <right/>
      <top/>
      <bottom style="thin">
        <color rgb="00D9E2EC"/>
      </bottom>
      <diagonal/>
    </border>
    <border>
      <right/>
      <bottom style="thin">
        <color rgb="00D9E2EC"/>
      </bottom>
    </border>
    <border>
      <left style="thin">
        <color rgb="00D9E2EC"/>
      </left>
      <right/>
      <top style="thin">
        <color rgb="00D9E2EC"/>
      </top>
      <bottom style="thin">
        <color rgb="00D9E2EC"/>
      </bottom>
    </border>
    <border>
      <left/>
      <right/>
      <top style="thin">
        <color rgb="00D9E2EC"/>
      </top>
      <bottom style="thin">
        <color rgb="00D9E2EC"/>
      </bottom>
    </border>
    <border>
      <left/>
      <right style="thin">
        <color rgb="00D9E2EC"/>
      </right>
      <top style="thin">
        <color rgb="00D9E2EC"/>
      </top>
      <bottom style="thin">
        <color rgb="00D9E2EC"/>
      </bottom>
    </border>
    <border>
      <left style="thin">
        <color rgb="00D9E2EC"/>
      </left>
      <right style="thin">
        <color rgb="00D9E2EC"/>
      </right>
      <top style="thin">
        <color rgb="00D9E2EC"/>
      </top>
      <bottom style="thin">
        <color rgb="00D9E2EC"/>
      </bottom>
    </border>
    <border>
      <left/>
      <right/>
      <top style="thin">
        <color rgb="00D9E2EC"/>
      </top>
      <bottom/>
      <diagonal/>
    </border>
    <border>
      <left/>
      <right style="thin">
        <color rgb="00D9E2EC"/>
      </right>
      <top style="thin">
        <color rgb="00D9E2EC"/>
      </top>
      <bottom/>
      <diagonal/>
    </border>
    <border>
      <left/>
      <right/>
      <top style="thin">
        <color rgb="00D9E2EC"/>
      </top>
      <bottom style="thin">
        <color rgb="00D9E2EC"/>
      </bottom>
      <diagonal/>
    </border>
    <border>
      <left/>
      <right style="thin">
        <color rgb="00D9E2EC"/>
      </right>
      <top style="thin">
        <color rgb="00D9E2EC"/>
      </top>
      <bottom style="thin">
        <color rgb="00D9E2EC"/>
      </bottom>
      <diagonal/>
    </border>
  </borders>
  <cellStyleXfs count="1">
    <xf numFmtId="0" fontId="0" fillId="0" borderId="0"/>
  </cellStyleXfs>
  <cellXfs count="123">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1" fillId="4" borderId="0" applyAlignment="1" pivotButton="0" quotePrefix="0" xfId="0">
      <alignment vertical="top" wrapText="1"/>
    </xf>
    <xf numFmtId="0" fontId="1" fillId="4" borderId="0" applyAlignment="1" pivotButton="0" quotePrefix="0" xfId="0">
      <alignment horizontal="left" vertical="top"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5" fillId="0" borderId="0" applyAlignment="1" pivotButton="0" quotePrefix="0" xfId="0">
      <alignment vertical="top" wrapText="1"/>
    </xf>
    <xf numFmtId="0" fontId="4" fillId="3" borderId="0" applyAlignment="1" pivotButton="0" quotePrefix="0" xfId="0">
      <alignment horizontal="center" vertical="top" wrapText="1"/>
    </xf>
    <xf numFmtId="0" fontId="4" fillId="3" borderId="0" applyAlignment="1" pivotButton="0" quotePrefix="0" xfId="0">
      <alignment horizontal="center" vertical="center"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6" fillId="0" borderId="0" pivotButton="0" quotePrefix="0" xfId="0"/>
    <xf numFmtId="0" fontId="0" fillId="0"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5" borderId="0" applyAlignment="1" pivotButton="0" quotePrefix="0" xfId="0">
      <alignment vertical="center" wrapText="1"/>
    </xf>
    <xf numFmtId="0" fontId="0" fillId="5" borderId="0" pivotButton="0" quotePrefix="0" xfId="0"/>
    <xf numFmtId="0" fontId="10" fillId="0" borderId="1" applyAlignment="1" pivotButton="0" quotePrefix="0" xfId="0">
      <alignment vertical="center" wrapText="1"/>
    </xf>
    <xf numFmtId="0" fontId="0" fillId="6" borderId="1" applyAlignment="1" pivotButton="0" quotePrefix="0" xfId="0">
      <alignment vertical="center" wrapText="1"/>
    </xf>
    <xf numFmtId="0" fontId="0" fillId="0" borderId="1" applyAlignment="1" pivotButton="0" quotePrefix="0" xfId="0">
      <alignment vertical="center" wrapText="1"/>
    </xf>
    <xf numFmtId="0" fontId="10" fillId="0" borderId="1" applyAlignment="1" pivotButton="0" quotePrefix="0" xfId="0">
      <alignment vertical="top" wrapText="1"/>
    </xf>
    <xf numFmtId="0" fontId="0" fillId="0" borderId="1" applyAlignment="1" pivotButton="0" quotePrefix="0" xfId="0">
      <alignment vertical="top" wrapText="1"/>
    </xf>
    <xf numFmtId="0" fontId="10" fillId="7"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top" wrapText="1"/>
    </xf>
    <xf numFmtId="0" fontId="2" fillId="0" borderId="0" applyAlignment="1" pivotButton="0" quotePrefix="0" xfId="0">
      <alignment vertical="center" wrapText="1"/>
    </xf>
    <xf numFmtId="0" fontId="5" fillId="0" borderId="0" applyAlignment="1" pivotButton="0" quotePrefix="0" xfId="0">
      <alignment vertical="center" wrapText="1"/>
    </xf>
    <xf numFmtId="0" fontId="3" fillId="0" borderId="0" applyAlignment="1" pivotButton="0" quotePrefix="0" xfId="0">
      <alignment vertical="center" wrapText="1"/>
    </xf>
    <xf numFmtId="0" fontId="1" fillId="8" borderId="0" applyAlignment="1" pivotButton="0" quotePrefix="0" xfId="0">
      <alignment vertical="top" wrapText="1"/>
    </xf>
    <xf numFmtId="0" fontId="0" fillId="8" borderId="0" pivotButton="0" quotePrefix="0" xfId="0"/>
    <xf numFmtId="0" fontId="4" fillId="3" borderId="0" applyAlignment="1" pivotButton="0" quotePrefix="0" xfId="0">
      <alignment vertical="center" wrapText="1"/>
    </xf>
    <xf numFmtId="0" fontId="1" fillId="0" borderId="0" applyAlignment="1" pivotButton="0" quotePrefix="0" xfId="0">
      <alignment vertical="center" wrapText="1"/>
    </xf>
    <xf numFmtId="3" fontId="1" fillId="4" borderId="0" applyAlignment="1" pivotButton="0" quotePrefix="0" xfId="0">
      <alignment horizontal="left" vertical="center" wrapText="1"/>
    </xf>
    <xf numFmtId="164" fontId="1" fillId="4" borderId="0" applyAlignment="1" pivotButton="0" quotePrefix="0" xfId="0">
      <alignment horizontal="left" vertical="center" wrapText="1"/>
    </xf>
    <xf numFmtId="0" fontId="6" fillId="0" borderId="0" applyAlignment="1" pivotButton="0" quotePrefix="0" xfId="0">
      <alignment vertical="center" wrapText="1"/>
    </xf>
    <xf numFmtId="0" fontId="8" fillId="0" borderId="0" applyAlignment="1" pivotButton="0" quotePrefix="0" xfId="0">
      <alignment vertical="center" wrapText="1"/>
    </xf>
    <xf numFmtId="0" fontId="0" fillId="8" borderId="1" applyAlignment="1" pivotButton="0" quotePrefix="0" xfId="0">
      <alignment vertical="center" wrapText="1"/>
    </xf>
    <xf numFmtId="0" fontId="6"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5" borderId="0" applyAlignment="1" pivotButton="0" quotePrefix="0" xfId="0">
      <alignment horizontal="left" vertical="center" wrapText="1"/>
    </xf>
    <xf numFmtId="0" fontId="10" fillId="0" borderId="1" applyAlignment="1" pivotButton="0" quotePrefix="0" xfId="0">
      <alignment horizontal="left" vertical="center" wrapText="1"/>
    </xf>
    <xf numFmtId="0" fontId="0" fillId="8" borderId="1" applyAlignment="1" pivotButton="0" quotePrefix="0" xfId="0">
      <alignment horizontal="left" vertical="center" wrapText="1"/>
    </xf>
    <xf numFmtId="0" fontId="0" fillId="0"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0" borderId="2" pivotButton="0" quotePrefix="0" xfId="0"/>
    <xf numFmtId="0" fontId="0" fillId="0" borderId="3" applyAlignment="1" pivotButton="0" quotePrefix="0" xfId="0">
      <alignment horizontal="left" vertical="center" wrapText="1"/>
    </xf>
    <xf numFmtId="0" fontId="10" fillId="7" borderId="3" applyAlignment="1" pivotButton="0" quotePrefix="0" xfId="0">
      <alignment horizontal="left" vertical="center" wrapText="1"/>
    </xf>
    <xf numFmtId="0" fontId="0" fillId="8" borderId="3" applyAlignment="1" pivotButton="0" quotePrefix="0" xfId="0">
      <alignment vertical="center" wrapText="1"/>
    </xf>
    <xf numFmtId="0" fontId="10" fillId="0" borderId="3" applyAlignment="1" pivotButton="0" quotePrefix="0" xfId="0">
      <alignment horizontal="left" vertical="center" wrapText="1"/>
    </xf>
    <xf numFmtId="0" fontId="11" fillId="0" borderId="0" applyAlignment="1" pivotButton="0" quotePrefix="0" xfId="0">
      <alignment vertical="center" wrapText="1"/>
    </xf>
    <xf numFmtId="0" fontId="11" fillId="8" borderId="0" applyAlignment="1" applyProtection="1" pivotButton="0" quotePrefix="0" xfId="0">
      <alignment vertical="center" wrapText="1"/>
      <protection locked="0" hidden="0"/>
    </xf>
    <xf numFmtId="3" fontId="11" fillId="4" borderId="0" applyAlignment="1" pivotButton="0" quotePrefix="0" xfId="0">
      <alignment vertical="center" wrapText="1"/>
    </xf>
    <xf numFmtId="164" fontId="11" fillId="4" borderId="0" applyAlignment="1" pivotButton="0" quotePrefix="0" xfId="0">
      <alignment vertical="center" wrapText="1"/>
    </xf>
    <xf numFmtId="0" fontId="12" fillId="0" borderId="0" applyAlignment="1" pivotButton="0" quotePrefix="0" xfId="0">
      <alignment vertical="center" wrapText="1"/>
    </xf>
    <xf numFmtId="0" fontId="11" fillId="0" borderId="0" applyAlignment="1" pivotButton="0" quotePrefix="0" xfId="0">
      <alignment vertical="top" wrapText="1"/>
    </xf>
    <xf numFmtId="0" fontId="11" fillId="0" borderId="1" applyAlignment="1" pivotButton="0" quotePrefix="0" xfId="0">
      <alignment horizontal="left" vertical="center" wrapText="1"/>
    </xf>
    <xf numFmtId="0" fontId="0" fillId="0" borderId="1" pivotButton="0" quotePrefix="0" xfId="0"/>
    <xf numFmtId="0" fontId="10" fillId="0" borderId="0" applyAlignment="1" pivotButton="0" quotePrefix="0" xfId="0">
      <alignment horizontal="left" vertical="center" wrapText="1"/>
    </xf>
    <xf numFmtId="0" fontId="11" fillId="0" borderId="0" applyAlignment="1" pivotButton="0" quotePrefix="0" xfId="0">
      <alignment horizontal="left" vertical="center" wrapText="1"/>
    </xf>
    <xf numFmtId="49" fontId="11" fillId="8" borderId="0" applyAlignment="1" applyProtection="1" pivotButton="0" quotePrefix="0" xfId="0">
      <alignment horizontal="left" vertical="center" wrapText="1"/>
      <protection locked="0" hidden="0"/>
    </xf>
    <xf numFmtId="0" fontId="11" fillId="8" borderId="0" applyAlignment="1" applyProtection="1" pivotButton="0" quotePrefix="0" xfId="0">
      <alignment horizontal="left" vertical="center" wrapText="1"/>
      <protection locked="0" hidden="0"/>
    </xf>
    <xf numFmtId="49" fontId="11" fillId="8" borderId="4" applyAlignment="1" applyProtection="1" pivotButton="0" quotePrefix="0" xfId="0">
      <alignment horizontal="left" vertical="center" wrapText="1"/>
      <protection locked="0" hidden="0"/>
    </xf>
    <xf numFmtId="0" fontId="0" fillId="0" borderId="5" pivotButton="0" quotePrefix="0" xfId="0"/>
    <xf numFmtId="0" fontId="0" fillId="0" borderId="6" pivotButton="0" quotePrefix="0" xfId="0"/>
    <xf numFmtId="0" fontId="0" fillId="0" borderId="0" applyProtection="1" pivotButton="0" quotePrefix="0" xfId="0">
      <protection locked="0" hidden="0"/>
    </xf>
    <xf numFmtId="49" fontId="11" fillId="8" borderId="7" applyAlignment="1" applyProtection="1" pivotButton="0" quotePrefix="0" xfId="0">
      <alignment horizontal="left" vertical="center" wrapText="1"/>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13"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6" fillId="0" borderId="0" applyAlignment="1" pivotButton="0" quotePrefix="0" xfId="0">
      <alignment horizontal="left" vertical="top" wrapText="1" indent="1"/>
    </xf>
    <xf numFmtId="0" fontId="0" fillId="0" borderId="0" applyAlignment="1" pivotButton="0" quotePrefix="0" xfId="0">
      <alignment horizontal="left" vertical="top" wrapText="1" indent="1"/>
    </xf>
    <xf numFmtId="0" fontId="8" fillId="0" borderId="0" applyAlignment="1" pivotButton="0" quotePrefix="0" xfId="0">
      <alignment horizontal="left" vertical="top" wrapText="1" indent="1"/>
    </xf>
    <xf numFmtId="0" fontId="7" fillId="0" borderId="0" applyAlignment="1" pivotButton="0" quotePrefix="0" xfId="0">
      <alignment horizontal="left" vertical="top" wrapText="1" indent="1"/>
    </xf>
    <xf numFmtId="0" fontId="14" fillId="9" borderId="0" applyAlignment="1" pivotButton="0" quotePrefix="0" xfId="0">
      <alignment horizontal="left" vertical="top" wrapText="1" indent="1"/>
    </xf>
    <xf numFmtId="0" fontId="0" fillId="9" borderId="0" pivotButton="0" quotePrefix="0" xfId="0"/>
    <xf numFmtId="0" fontId="11" fillId="0" borderId="0" applyAlignment="1" pivotButton="0" quotePrefix="0" xfId="0">
      <alignment horizontal="left" vertical="top" wrapText="1" indent="1"/>
    </xf>
    <xf numFmtId="165" fontId="2" fillId="0" borderId="0" applyAlignment="1" pivotButton="0" quotePrefix="0" xfId="0">
      <alignment horizontal="left" vertical="top" wrapText="1" indent="1"/>
    </xf>
    <xf numFmtId="165" fontId="1" fillId="0" borderId="0" applyAlignment="1" pivotButton="0" quotePrefix="0" xfId="0">
      <alignment horizontal="left" vertical="top" wrapText="1" indent="1"/>
    </xf>
    <xf numFmtId="165" fontId="0" fillId="0" borderId="0" applyAlignment="1" pivotButton="0" quotePrefix="0" xfId="0">
      <alignment horizontal="left" vertical="top" wrapText="1" indent="1"/>
    </xf>
    <xf numFmtId="165" fontId="5" fillId="0" borderId="0" applyAlignment="1" pivotButton="0" quotePrefix="0" xfId="0">
      <alignment horizontal="left" vertical="top" wrapText="1" indent="1"/>
    </xf>
    <xf numFmtId="165" fontId="3" fillId="0" borderId="0" applyAlignment="1" pivotButton="0" quotePrefix="0" xfId="0">
      <alignment horizontal="left" vertical="top" wrapText="1" indent="1"/>
    </xf>
    <xf numFmtId="165" fontId="11" fillId="0" borderId="0" applyAlignment="1" pivotButton="0" quotePrefix="0" xfId="0">
      <alignment horizontal="left" vertical="top" wrapText="1" indent="1"/>
    </xf>
    <xf numFmtId="165" fontId="11" fillId="8" borderId="0" applyAlignment="1" applyProtection="1" pivotButton="0" quotePrefix="0" xfId="0">
      <alignment horizontal="left" vertical="top" wrapText="1" indent="1"/>
      <protection locked="0" hidden="0"/>
    </xf>
    <xf numFmtId="165" fontId="4" fillId="3" borderId="0" applyAlignment="1" pivotButton="0" quotePrefix="0" xfId="0">
      <alignment horizontal="left" vertical="top" wrapText="1" indent="1"/>
    </xf>
    <xf numFmtId="166" fontId="11" fillId="4" borderId="0" applyAlignment="1" pivotButton="0" quotePrefix="0" xfId="0">
      <alignment horizontal="right" vertical="top" wrapText="1" indent="1"/>
    </xf>
    <xf numFmtId="167" fontId="11" fillId="4" borderId="0" applyAlignment="1" pivotButton="0" quotePrefix="0" xfId="0">
      <alignment horizontal="right" vertical="top" wrapText="1" indent="1"/>
    </xf>
    <xf numFmtId="165" fontId="6" fillId="0" borderId="0" applyAlignment="1" pivotButton="0" quotePrefix="0" xfId="0">
      <alignment horizontal="left" vertical="top" wrapText="1" indent="1"/>
    </xf>
    <xf numFmtId="165" fontId="14" fillId="9" borderId="0" applyAlignment="1" pivotButton="0" quotePrefix="0" xfId="0">
      <alignment horizontal="left" vertical="top" wrapText="1" indent="1"/>
    </xf>
    <xf numFmtId="165" fontId="7" fillId="0" borderId="0" applyAlignment="1" pivotButton="0" quotePrefix="0" xfId="0">
      <alignment horizontal="left" vertical="top" wrapText="1" indent="1"/>
    </xf>
    <xf numFmtId="0" fontId="2" fillId="0" borderId="0" applyAlignment="1" pivotButton="0" quotePrefix="0" xfId="0">
      <alignment horizontal="left" vertical="center" wrapText="1" indent="1"/>
    </xf>
    <xf numFmtId="0" fontId="1" fillId="0" borderId="0" applyAlignment="1" pivotButton="0" quotePrefix="0" xfId="0">
      <alignment horizontal="left" vertical="center" wrapText="1" indent="1"/>
    </xf>
    <xf numFmtId="0" fontId="0" fillId="0" borderId="0" applyAlignment="1" pivotButton="0" quotePrefix="0" xfId="0">
      <alignment horizontal="left" vertical="center" wrapText="1" indent="1"/>
    </xf>
    <xf numFmtId="0" fontId="5" fillId="0" borderId="0" applyAlignment="1" pivotButton="0" quotePrefix="0" xfId="0">
      <alignment horizontal="left" vertical="center" wrapText="1" indent="1"/>
    </xf>
    <xf numFmtId="0" fontId="3" fillId="0" borderId="0" applyAlignment="1" pivotButton="0" quotePrefix="0" xfId="0">
      <alignment horizontal="left" vertical="center" wrapText="1" indent="1"/>
    </xf>
    <xf numFmtId="0" fontId="11" fillId="0" borderId="0" applyAlignment="1" pivotButton="0" quotePrefix="0" xfId="0">
      <alignment horizontal="left" vertical="center" wrapText="1" indent="1"/>
    </xf>
    <xf numFmtId="0" fontId="11" fillId="8" borderId="0" applyAlignment="1" applyProtection="1" pivotButton="0" quotePrefix="0" xfId="0">
      <alignment horizontal="left" vertical="center" wrapText="1" indent="1"/>
      <protection locked="0" hidden="0"/>
    </xf>
    <xf numFmtId="0" fontId="4" fillId="3" borderId="0" applyAlignment="1" pivotButton="0" quotePrefix="0" xfId="0">
      <alignment horizontal="left" vertical="center" wrapText="1" indent="1"/>
    </xf>
    <xf numFmtId="3" fontId="11" fillId="4" borderId="0" applyAlignment="1" pivotButton="0" quotePrefix="0" xfId="0">
      <alignment horizontal="right" vertical="center" wrapText="1" indent="1"/>
    </xf>
    <xf numFmtId="164" fontId="11" fillId="4" borderId="0" applyAlignment="1" pivotButton="0" quotePrefix="0" xfId="0">
      <alignment horizontal="right" vertical="center" wrapText="1" indent="1"/>
    </xf>
    <xf numFmtId="0" fontId="6" fillId="0" borderId="0" applyAlignment="1" pivotButton="0" quotePrefix="0" xfId="0">
      <alignment horizontal="left" vertical="center" wrapText="1" indent="1"/>
    </xf>
    <xf numFmtId="0" fontId="14" fillId="9" borderId="0" applyAlignment="1" pivotButton="0" quotePrefix="0" xfId="0">
      <alignment horizontal="left" vertical="center" wrapText="1" indent="1"/>
    </xf>
    <xf numFmtId="0" fontId="11" fillId="0" borderId="0" applyAlignment="1" applyProtection="1" pivotButton="0" quotePrefix="0" xfId="0">
      <alignment horizontal="left" vertical="top" wrapText="1" indent="1"/>
      <protection locked="0" hidden="0"/>
    </xf>
    <xf numFmtId="0" fontId="12" fillId="0" borderId="0" applyAlignment="1" pivotButton="0" quotePrefix="0" xfId="0">
      <alignment horizontal="left" vertical="center" wrapText="1" indent="1"/>
    </xf>
    <xf numFmtId="0" fontId="0" fillId="9" borderId="0" applyAlignment="1" pivotButton="0" quotePrefix="0" xfId="0">
      <alignment vertical="top" wrapText="1"/>
    </xf>
    <xf numFmtId="0" fontId="10" fillId="0" borderId="1" applyAlignment="1" pivotButton="0" quotePrefix="0" xfId="0">
      <alignment horizontal="left" vertical="center" wrapText="1" indent="1"/>
    </xf>
    <xf numFmtId="0" fontId="11" fillId="0" borderId="1" applyAlignment="1" pivotButton="0" quotePrefix="0" xfId="0">
      <alignment horizontal="left" vertical="center" wrapText="1" indent="1"/>
    </xf>
    <xf numFmtId="0" fontId="0" fillId="0" borderId="1" applyAlignment="1" pivotButton="0" quotePrefix="0" xfId="0">
      <alignment horizontal="left" vertical="center" wrapText="1" indent="1"/>
    </xf>
    <xf numFmtId="0" fontId="10" fillId="0" borderId="0" applyAlignment="1" pivotButton="0" quotePrefix="0" xfId="0">
      <alignment horizontal="left" vertical="top" wrapText="1" indent="1"/>
    </xf>
    <xf numFmtId="0" fontId="0" fillId="8" borderId="0" applyAlignment="1" pivotButton="0" quotePrefix="0" xfId="0">
      <alignment horizontal="left" vertical="center" wrapText="1" indent="1"/>
    </xf>
    <xf numFmtId="49" fontId="11" fillId="8" borderId="0" applyAlignment="1" applyProtection="1" pivotButton="0" quotePrefix="0" xfId="0">
      <alignment horizontal="left" vertical="top" wrapText="1" indent="1"/>
      <protection locked="0" hidden="0"/>
    </xf>
    <xf numFmtId="0" fontId="11" fillId="8" borderId="0" applyAlignment="1" applyProtection="1" pivotButton="0" quotePrefix="0" xfId="0">
      <alignment horizontal="left" vertical="top" wrapText="1" indent="1"/>
      <protection locked="0" hidden="0"/>
    </xf>
    <xf numFmtId="0" fontId="10" fillId="0" borderId="0" applyAlignment="1" pivotButton="0" quotePrefix="0" xfId="0">
      <alignment horizontal="left" vertical="center" wrapText="1" indent="1"/>
    </xf>
    <xf numFmtId="49" fontId="11" fillId="8" borderId="4" applyAlignment="1" applyProtection="1" pivotButton="0" quotePrefix="0" xfId="0">
      <alignment horizontal="left" vertical="top" wrapText="1" indent="1"/>
      <protection locked="0" hidden="0"/>
    </xf>
    <xf numFmtId="0" fontId="0" fillId="0" borderId="5" applyAlignment="1" pivotButton="0" quotePrefix="0" xfId="0">
      <alignment vertical="top" wrapText="1"/>
    </xf>
    <xf numFmtId="0" fontId="0" fillId="0" borderId="6"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00334155"/>
    <outlinePr summaryBelow="1" summaryRight="1"/>
    <pageSetUpPr fitToPage="1"/>
  </sheetPr>
  <dimension ref="A1:C245"/>
  <sheetViews>
    <sheetView showGridLines="0" workbookViewId="0">
      <pane ySplit="1" topLeftCell="A2" activePane="bottomLeft" state="frozen"/>
      <selection pane="bottomLeft" activeCell="A2" sqref="A2"/>
    </sheetView>
  </sheetViews>
  <sheetFormatPr baseColWidth="8" defaultRowHeight="15"/>
  <cols>
    <col width="26" customWidth="1" min="1" max="1"/>
    <col width="83" customWidth="1" min="2" max="2"/>
    <col width="22" customWidth="1" min="3" max="3"/>
  </cols>
  <sheetData>
    <row r="1" ht="32" customHeight="1">
      <c r="A1" s="97" t="inlineStr">
        <is>
          <t>Báo cáo kiểm thử</t>
        </is>
      </c>
      <c r="B1" s="98" t="n"/>
      <c r="C1" s="99" t="n"/>
    </row>
    <row r="2" hidden="1" ht="12" customHeight="1">
      <c r="A2" s="61" t="inlineStr"/>
      <c r="B2" s="3" t="n"/>
    </row>
    <row r="3" ht="32" customHeight="1">
      <c r="A3" s="100" t="inlineStr">
        <is>
          <t>Nhập lần kiểm thử, phiên bản ứng dụng, môi trường, người và thời điểm thực hiện.</t>
        </is>
      </c>
      <c r="C3" s="99" t="n"/>
    </row>
    <row r="4" ht="30" customHeight="1">
      <c r="A4" s="101" t="inlineStr">
        <is>
          <t>Chức năng</t>
        </is>
      </c>
      <c r="B4" s="102" t="inlineStr">
        <is>
          <t>RC-001 — Điểm đỏ（赤点）</t>
        </is>
      </c>
    </row>
    <row r="5" ht="30" customHeight="1">
      <c r="A5" s="101" t="inlineStr">
        <is>
          <t>Phiên bản kiểm thử</t>
        </is>
      </c>
      <c r="B5" s="102" t="inlineStr">
        <is>
          <t>RC-001-v2-report-2026-10-04</t>
        </is>
      </c>
    </row>
    <row r="6" ht="30" customHeight="1">
      <c r="A6" s="101" t="inlineStr">
        <is>
          <t>Lần kiểm thử</t>
        </is>
      </c>
      <c r="B6" s="103" t="inlineStr"/>
      <c r="C6" s="71" t="n"/>
    </row>
    <row r="7" ht="30" customHeight="1">
      <c r="A7" s="101" t="inlineStr">
        <is>
          <t>Phiên bản ứng dụng</t>
        </is>
      </c>
      <c r="B7" s="103" t="inlineStr"/>
      <c r="C7" s="71" t="n"/>
    </row>
    <row r="8" ht="30" customHeight="1">
      <c r="A8" s="101" t="inlineStr">
        <is>
          <t>Môi trường</t>
        </is>
      </c>
      <c r="B8" s="103" t="inlineStr"/>
      <c r="C8" s="71" t="n"/>
    </row>
    <row r="9" ht="30" customHeight="1">
      <c r="A9" s="101" t="inlineStr">
        <is>
          <t>Người thực hiện</t>
        </is>
      </c>
      <c r="B9" s="103" t="inlineStr"/>
      <c r="C9" s="71" t="n"/>
    </row>
    <row r="10" ht="44" customHeight="1">
      <c r="A10" s="101" t="inlineStr">
        <is>
          <t>Thời điểm thực hiện (kèm múi giờ)</t>
        </is>
      </c>
      <c r="B10" s="103" t="inlineStr"/>
      <c r="C10" s="71" t="n"/>
    </row>
    <row r="11" ht="44" customHeight="1">
      <c r="A11" s="101" t="inlineStr">
        <is>
          <t>Phạm vi</t>
        </is>
      </c>
      <c r="B11" s="102" t="inlineStr">
        <is>
          <t>216 case và 569 biến thể: cấu hình quy tắc; nguồn/ngưỡng; xét và vòng đời kết quả; trích xuất, công khai, phiếu điểm; quyền và bảo toàn legacy.</t>
        </is>
      </c>
    </row>
    <row r="12" ht="44" customHeight="1">
      <c r="A12" s="101" t="inlineStr">
        <is>
          <t>Ngoài phạm vi</t>
        </is>
      </c>
      <c r="B12" s="102" t="inlineStr">
        <is>
          <t>Xét trực tiếp mục A/B/C hoặc đạt/không đạt; công thức tự do; chuyển legacy thành rule mới; triển khai hoặc phát hành ứng dụng.</t>
        </is>
      </c>
    </row>
    <row r="13" ht="44" customHeight="1">
      <c r="A13" s="101" t="inlineStr">
        <is>
          <t>Giới hạn</t>
        </is>
      </c>
      <c r="B13" s="102" t="inlineStr">
        <is>
          <t>563 trường hợp chưa đủ điều kiện kết luận nghiệm thu. Chỉ kết luận nghiệm thu khi đã làm rõ điều kiện và có đủ bằng chứng theo testcase.</t>
        </is>
      </c>
    </row>
    <row r="14" hidden="1" ht="30" customHeight="1">
      <c r="A14" s="34" t="inlineStr"/>
      <c r="B14" s="61" t="inlineStr"/>
    </row>
    <row r="15" ht="32" customHeight="1">
      <c r="A15" s="104" t="inlineStr">
        <is>
          <t>Tiến độ và kết quả</t>
        </is>
      </c>
      <c r="B15" s="104" t="n"/>
      <c r="C15" s="99" t="n"/>
    </row>
    <row r="16" ht="32" customHeight="1">
      <c r="A16" s="98" t="inlineStr">
        <is>
          <t>Số TC</t>
        </is>
      </c>
      <c r="B16" s="105">
        <f>216</f>
        <v/>
      </c>
      <c r="C16" s="99" t="n"/>
    </row>
    <row r="17" ht="32" customHeight="1">
      <c r="A17" s="98" t="inlineStr">
        <is>
          <t>Số biến thể</t>
        </is>
      </c>
      <c r="B17" s="105">
        <f>569</f>
        <v/>
      </c>
      <c r="C17" s="99" t="n"/>
    </row>
    <row r="18" ht="32" customHeight="1">
      <c r="A18" s="98" t="inlineStr">
        <is>
          <t>TC PASS</t>
        </is>
      </c>
      <c r="B18" s="105">
        <f>COUNTIF(C30:C245,"Đạt")</f>
        <v/>
      </c>
      <c r="C18" s="99" t="n"/>
    </row>
    <row r="19" ht="32" customHeight="1">
      <c r="A19" s="98" t="inlineStr">
        <is>
          <t>TC FAIL</t>
        </is>
      </c>
      <c r="B19" s="105">
        <f>COUNTIF(C30:C245,"Không đạt")</f>
        <v/>
      </c>
      <c r="C19" s="99" t="n"/>
    </row>
    <row r="20" ht="32" customHeight="1">
      <c r="A20" s="98" t="inlineStr">
        <is>
          <t>Biến thể bị chặn</t>
        </is>
      </c>
      <c r="B20" s="105">
        <f>SUMIF('Kiểm thử'!A5:A31771,"BLOCKED",'Kiểm thử'!B5:B31771)</f>
        <v/>
      </c>
      <c r="C20" s="99" t="n"/>
    </row>
    <row r="21" ht="32" customHeight="1">
      <c r="A21" s="98" t="inlineStr">
        <is>
          <t>Biến thể không thực hiện</t>
        </is>
      </c>
      <c r="B21" s="105">
        <f>SUMIF('Kiểm thử'!A5:A31771,"SKIPPED",'Kiểm thử'!B5:B31771)</f>
        <v/>
      </c>
      <c r="C21" s="99" t="n"/>
    </row>
    <row r="22" ht="32" customHeight="1">
      <c r="A22" s="98" t="inlineStr">
        <is>
          <t>Biến thể chưa thực hiện</t>
        </is>
      </c>
      <c r="B22" s="105">
        <f>SUMIF('Kiểm thử'!A5:A31771,"NOT RUN",'Kiểm thử'!B5:B31771)</f>
        <v/>
      </c>
      <c r="C22" s="99" t="n"/>
    </row>
    <row r="23" ht="52" customHeight="1">
      <c r="A23" s="98" t="inlineStr">
        <is>
          <t>TC đã đánh giá</t>
        </is>
      </c>
      <c r="B23" s="105">
        <f>B18+B19</f>
        <v/>
      </c>
      <c r="C23" s="99" t="n"/>
    </row>
    <row r="24" ht="52" customHeight="1">
      <c r="A24" s="98" t="inlineStr">
        <is>
          <t>Tỷ lệ PASS theo TC</t>
        </is>
      </c>
      <c r="B24" s="106">
        <f>IF(B23=0,"Chưa có dữ liệu",B18/B23)</f>
        <v/>
      </c>
      <c r="C24" s="99" t="n"/>
    </row>
    <row r="25" ht="52" customHeight="1">
      <c r="A25" s="98" t="inlineStr">
        <is>
          <t>Tiến độ theo TC</t>
        </is>
      </c>
      <c r="B25" s="106">
        <f>IF(B16=0,"Chưa có dữ liệu",B23/B16)</f>
        <v/>
      </c>
      <c r="C25" s="99" t="n"/>
    </row>
    <row r="26" ht="32" customHeight="1">
      <c r="A26" s="98" t="inlineStr">
        <is>
          <t>TC chưa PASS</t>
        </is>
      </c>
      <c r="B26" s="105">
        <f>B16-B18</f>
        <v/>
      </c>
      <c r="C26" s="99" t="n"/>
    </row>
    <row r="27" ht="32" customHeight="1">
      <c r="A27" s="98" t="inlineStr">
        <is>
          <t>Trạng thái biến thể không hợp lệ</t>
        </is>
      </c>
      <c r="B27" s="105">
        <f>B17-SUM('Kiểm thử'!B5:B31771)</f>
        <v/>
      </c>
      <c r="C27" s="99" t="n"/>
    </row>
    <row r="28" hidden="1" ht="32" customHeight="1">
      <c r="A28" s="3" t="n"/>
      <c r="B28" s="3" t="n"/>
    </row>
    <row r="29" ht="32" customHeight="1">
      <c r="A29" s="104" t="inlineStr">
        <is>
          <t>Mã TC</t>
        </is>
      </c>
      <c r="B29" s="104" t="inlineStr">
        <is>
          <t>Testcase</t>
        </is>
      </c>
      <c r="C29" s="104" t="inlineStr">
        <is>
          <t>Trạng thái tổng hợp</t>
        </is>
      </c>
    </row>
    <row r="30" ht="44" customHeight="1">
      <c r="A30" s="102" t="inlineStr">
        <is>
          <t>TC-RS-FUNC-001</t>
        </is>
      </c>
      <c r="B30" s="110" t="inlineStr">
        <is>
          <t>Hàng Thiết lập điểm đỏ（赤点設定） xuất hiện trong Thiết lập ô nhập（入力欄設定） cho mục điểm số</t>
        </is>
      </c>
      <c r="C30" s="102">
        <f>'Kiểm thử'!B6</f>
        <v/>
      </c>
    </row>
    <row r="31" ht="44" customHeight="1">
      <c r="A31" s="102" t="inlineStr">
        <is>
          <t>TC-RS-FUNC-002</t>
        </is>
      </c>
      <c r="B31" s="110" t="inlineStr">
        <is>
          <t>Mục kiểu lựa chọn và Đạt/không đạt（合否） không có thao tác tạo quy tắc đỏ có hiệu lực</t>
        </is>
      </c>
      <c r="C31" s="102">
        <f>'Kiểm thử'!B172</f>
        <v/>
      </c>
    </row>
    <row r="32" ht="44" customHeight="1">
      <c r="A32" s="102" t="inlineStr">
        <is>
          <t>TC-RS-FUNC-004</t>
        </is>
      </c>
      <c r="B32" s="110" t="inlineStr">
        <is>
          <t>Thêm quy tắc qua Điều kiện áp dụng（適用条件） và Ngưỡng（基準設定） rồi quay lại danh sách</t>
        </is>
      </c>
      <c r="C32" s="102">
        <f>'Kiểm thử'!B288</f>
        <v/>
      </c>
    </row>
    <row r="33" ht="30" customHeight="1">
      <c r="A33" s="102" t="inlineStr">
        <is>
          <t>TC-RS-FUNC-005</t>
        </is>
      </c>
      <c r="B33" s="110" t="inlineStr">
        <is>
          <t>Nhiều quy tắc hiển thị theo ưu tiên; đổi thứ tự bằng ▲▼ được lưu</t>
        </is>
      </c>
      <c r="C33" s="102">
        <f>'Kiểm thử'!B355</f>
        <v/>
      </c>
    </row>
    <row r="34" ht="30" customHeight="1">
      <c r="A34" s="102" t="inlineStr">
        <is>
          <t>TC-RS-FUNC-006</t>
        </is>
      </c>
      <c r="B34" s="110" t="inlineStr">
        <is>
          <t>Xóa một quy tắc có xác nhận; Hủy（キャンセル） giữ nguyên</t>
        </is>
      </c>
      <c r="C34" s="102">
        <f>'Kiểm thử'!B422</f>
        <v/>
      </c>
    </row>
    <row r="35" ht="30" customHeight="1">
      <c r="A35" s="102" t="inlineStr">
        <is>
          <t>TC-RS-FUNC-007</t>
        </is>
      </c>
      <c r="B35" s="110" t="inlineStr">
        <is>
          <t>Quay lại（戻る）/hủy chỉnh sửa không lưu dữ liệu đang nhập</t>
        </is>
      </c>
      <c r="C35" s="102">
        <f>'Kiểm thử'!B538</f>
        <v/>
      </c>
    </row>
    <row r="36" ht="30" customHeight="1">
      <c r="A36" s="102" t="inlineStr">
        <is>
          <t>TC-RS-FUNC-014</t>
        </is>
      </c>
      <c r="B36" s="110" t="inlineStr">
        <is>
          <t>Quy tắc mới chỉ có điều kiện, chưa có ngưỡng, không tham gia xét</t>
        </is>
      </c>
      <c r="C36" s="102">
        <f>'Kiểm thử'!B654</f>
        <v/>
      </c>
    </row>
    <row r="37" ht="30" customHeight="1">
      <c r="A37" s="102" t="inlineStr">
        <is>
          <t>TC-RS-FUNC-033</t>
        </is>
      </c>
      <c r="B37" s="110" t="inlineStr">
        <is>
          <t>Đổi tên quy tắc: giữ liên kết, thứ tự và kết quả</t>
        </is>
      </c>
      <c r="C37" s="102">
        <f>'Kiểm thử'!B822</f>
        <v/>
      </c>
    </row>
    <row r="38" ht="30" customHeight="1">
      <c r="A38" s="102" t="inlineStr">
        <is>
          <t>TC-RS-VAL-014</t>
        </is>
      </c>
      <c r="B38" s="110" t="inlineStr">
        <is>
          <t>Tên thiết lập: bắt buộc, độ dài, trùng tên</t>
        </is>
      </c>
      <c r="C38" s="102">
        <f>'Kiểm thử'!B888</f>
        <v/>
      </c>
    </row>
    <row r="39" ht="30" customHeight="1">
      <c r="A39" s="102" t="inlineStr">
        <is>
          <t>TC-RS-VAL-016</t>
        </is>
      </c>
      <c r="B39" s="110" t="inlineStr">
        <is>
          <t>Lỗi khi lưu không làm mất cấu hình/kết quả đã lưu</t>
        </is>
      </c>
      <c r="C39" s="102">
        <f>'Kiểm thử'!B1203</f>
        <v/>
      </c>
    </row>
    <row r="40" ht="30" customHeight="1">
      <c r="A40" s="102" t="inlineStr">
        <is>
          <t>TC-RS-DATA-001</t>
        </is>
      </c>
      <c r="B40" s="110" t="inlineStr">
        <is>
          <t>Cấu hình lưu và mở lại đầy đủ, không cắt/làm tròn âm thầm</t>
        </is>
      </c>
      <c r="C40" s="102">
        <f>'Kiểm thử'!B1268</f>
        <v/>
      </c>
    </row>
    <row r="41" ht="30" customHeight="1">
      <c r="A41" s="102" t="inlineStr">
        <is>
          <t>TC-RS-DATA-004</t>
        </is>
      </c>
      <c r="B41" s="110" t="inlineStr">
        <is>
          <t>Xóa quy tắc không xóa dây chuyền kết quả hay điểm</t>
        </is>
      </c>
      <c r="C41" s="102">
        <f>'Kiểm thử'!B1484</f>
        <v/>
      </c>
    </row>
    <row r="42" ht="44" customHeight="1">
      <c r="A42" s="102" t="inlineStr">
        <is>
          <t>TC-RS-UI-001</t>
        </is>
      </c>
      <c r="B42" s="110" t="inlineStr">
        <is>
          <t>Nhãn trạng thái ở hàng Thiết lập điểm đỏ（赤点設定） trong Thiết lập ô nhập（入力欄設定）</t>
        </is>
      </c>
      <c r="C42" s="102">
        <f>'Kiểm thử'!B1549</f>
        <v/>
      </c>
    </row>
    <row r="43" ht="30" customHeight="1">
      <c r="A43" s="102" t="inlineStr">
        <is>
          <t>TC-RS-UI-002</t>
        </is>
      </c>
      <c r="B43" s="110" t="inlineStr">
        <is>
          <t>Cấu trúc màn danh sách Thiết lập điểm đỏ（赤点設定）</t>
        </is>
      </c>
      <c r="C43" s="102">
        <f>'Kiểm thử'!B1614</f>
        <v/>
      </c>
    </row>
    <row r="44" ht="30" customHeight="1">
      <c r="A44" s="102" t="inlineStr">
        <is>
          <t>TC-RS-UI-003</t>
        </is>
      </c>
      <c r="B44" s="110" t="inlineStr">
        <is>
          <t>Định dạng tiêu đề màn danh sách</t>
        </is>
      </c>
      <c r="C44" s="102">
        <f>'Kiểm thử'!B1681</f>
        <v/>
      </c>
    </row>
    <row r="45" ht="30" customHeight="1">
      <c r="A45" s="102" t="inlineStr">
        <is>
          <t>TC-RS-UI-004</t>
        </is>
      </c>
      <c r="B45" s="110" t="inlineStr">
        <is>
          <t>Tóm tắt điều kiện và ngưỡng trên từng dòng danh sách</t>
        </is>
      </c>
      <c r="C45" s="102">
        <f>'Kiểm thử'!B1745</f>
        <v/>
      </c>
    </row>
    <row r="46" ht="30" customHeight="1">
      <c r="A46" s="102" t="inlineStr">
        <is>
          <t>TC-RS-UI-005</t>
        </is>
      </c>
      <c r="B46" s="110" t="inlineStr">
        <is>
          <t>Trạng thái danh sách trống</t>
        </is>
      </c>
      <c r="C46" s="102">
        <f>'Kiểm thử'!B1809</f>
        <v/>
      </c>
    </row>
    <row r="47" ht="30" customHeight="1">
      <c r="A47" s="102" t="inlineStr">
        <is>
          <t>TC-RS-UI-006</t>
        </is>
      </c>
      <c r="B47" s="110" t="inlineStr">
        <is>
          <t>Hộp xác nhận khi xóa quy tắc cuối</t>
        </is>
      </c>
      <c r="C47" s="102">
        <f>'Kiểm thử'!B1873</f>
        <v/>
      </c>
    </row>
    <row r="48" ht="30" customHeight="1">
      <c r="A48" s="102" t="inlineStr">
        <is>
          <t>TC-RS-UI-007</t>
        </is>
      </c>
      <c r="B48" s="110" t="inlineStr">
        <is>
          <t>Dòng quy tắc mới chỉ có điều kiện, chưa có ngưỡng</t>
        </is>
      </c>
      <c r="C48" s="102">
        <f>'Kiểm thử'!B1937</f>
        <v/>
      </c>
    </row>
    <row r="49" ht="30" customHeight="1">
      <c r="A49" s="102" t="inlineStr">
        <is>
          <t>TC-RS-FUNC-003</t>
        </is>
      </c>
      <c r="B49" s="110" t="inlineStr">
        <is>
          <t>Danh sách trống không tự dựng rule từ cấu hình legacy</t>
        </is>
      </c>
      <c r="C49" s="102">
        <f>'Kiểm thử'!B2053</f>
        <v/>
      </c>
    </row>
    <row r="50" ht="44" customHeight="1">
      <c r="A50" s="102" t="inlineStr">
        <is>
          <t>TC-RS-FUNC-008</t>
        </is>
      </c>
      <c r="B50" s="110" t="inlineStr">
        <is>
          <t>Điều kiện áp dụng: Toàn bộ đối tượng hoặc giới hạn bằng bộ lọc kế thừa từ tính tự động</t>
        </is>
      </c>
      <c r="C50" s="102">
        <f>'Kiểm thử'!B2118</f>
        <v/>
      </c>
    </row>
    <row r="51" ht="30" customHeight="1">
      <c r="A51" s="102" t="inlineStr">
        <is>
          <t>TC-RS-FUNC-009</t>
        </is>
      </c>
      <c r="B51" s="110" t="inlineStr">
        <is>
          <t>Điều kiện phân nhánh theo Trung bình（平均点） được lưu cùng bộ nguồn</t>
        </is>
      </c>
      <c r="C51" s="102">
        <f>'Kiểm thử'!B2235</f>
        <v/>
      </c>
    </row>
    <row r="52" ht="30" customHeight="1">
      <c r="A52" s="102" t="inlineStr">
        <is>
          <t>TC-RS-FUNC-010</t>
        </is>
      </c>
      <c r="B52" s="110" t="inlineStr">
        <is>
          <t>Điều kiện Tỷ lệ điểm của nhóm（集団の得点率） được lưu cùng bộ nguồn</t>
        </is>
      </c>
      <c r="C52" s="102">
        <f>'Kiểm thử'!B2353</f>
        <v/>
      </c>
    </row>
    <row r="53" ht="30" customHeight="1">
      <c r="A53" s="102" t="inlineStr">
        <is>
          <t>TC-RS-BR-004</t>
        </is>
      </c>
      <c r="B53" s="110" t="inlineStr">
        <is>
          <t>Kết hợp bộ lọc: HOẶC trong cùng loại, VÀ giữa các loại</t>
        </is>
      </c>
      <c r="C53" s="102">
        <f>'Kiểm thử'!B2418</f>
        <v/>
      </c>
    </row>
    <row r="54" ht="30" customHeight="1">
      <c r="A54" s="102" t="inlineStr">
        <is>
          <t>TC-RS-BR-041</t>
        </is>
      </c>
      <c r="B54" s="110" t="inlineStr">
        <is>
          <t>Điều kiện trung bình cùng nguồn kết hợp AND</t>
        </is>
      </c>
      <c r="C54" s="102">
        <f>'Kiểm thử'!B2483</f>
        <v/>
      </c>
    </row>
    <row r="55" ht="30" customHeight="1">
      <c r="A55" s="102" t="inlineStr">
        <is>
          <t>TC-RS-BR-005</t>
        </is>
      </c>
      <c r="B55" s="110" t="inlineStr">
        <is>
          <t>Toàn bộ đối tượng（全員が対象） không vượt phạm vi mục, trường, năm</t>
        </is>
      </c>
      <c r="C55" s="102">
        <f>'Kiểm thử'!B3600</f>
        <v/>
      </c>
    </row>
    <row r="56" ht="30" customHeight="1">
      <c r="A56" s="102" t="inlineStr">
        <is>
          <t>TC-RS-BR-029</t>
        </is>
      </c>
      <c r="B56" s="110" t="inlineStr">
        <is>
          <t>Mục lựa chọn không được xét, nhưng bộ lọc theo lựa chọn vẫn dùng để chọn đối tượng</t>
        </is>
      </c>
      <c r="C56" s="102">
        <f>'Kiểm thử'!B3665</f>
        <v/>
      </c>
    </row>
    <row r="57" ht="30" customHeight="1">
      <c r="A57" s="102" t="inlineStr">
        <is>
          <t>TC-RS-BR-035</t>
        </is>
      </c>
      <c r="B57" s="110" t="inlineStr">
        <is>
          <t>Bộ lọc nhóm tổng hợp khác loại phải kết hợp VÀ</t>
        </is>
      </c>
      <c r="C57" s="102">
        <f>'Kiểm thử'!B3730</f>
        <v/>
      </c>
    </row>
    <row r="58" ht="30" customHeight="1">
      <c r="A58" s="102" t="inlineStr">
        <is>
          <t>TC-RS-VAL-015</t>
        </is>
      </c>
      <c r="B58" s="110" t="inlineStr">
        <is>
          <t>Chọn giới hạn bằng bộ lọc nhưng không có bộ lọc nào</t>
        </is>
      </c>
      <c r="C58" s="102">
        <f>'Kiểm thử'!B3796</f>
        <v/>
      </c>
    </row>
    <row r="59" ht="30" customHeight="1">
      <c r="A59" s="102" t="inlineStr">
        <is>
          <t>TC-RS-VAL-022</t>
        </is>
      </c>
      <c r="B59" s="110" t="inlineStr">
        <is>
          <t>Giá trị điều kiện phân nhánh (trung bình/tỷ lệ nhóm)</t>
        </is>
      </c>
      <c r="C59" s="102">
        <f>'Kiểm thử'!B3860</f>
        <v/>
      </c>
    </row>
    <row r="60" ht="30" customHeight="1">
      <c r="A60" s="102" t="inlineStr">
        <is>
          <t>TC-RS-UI-008</t>
        </is>
      </c>
      <c r="B60" s="110" t="inlineStr">
        <is>
          <t>Màn Điều kiện áp dụng（適用条件設定）: bố cục và chuyển Toàn bộ/Bộ lọc</t>
        </is>
      </c>
      <c r="C60" s="102">
        <f>'Kiểm thử'!B4324</f>
        <v/>
      </c>
    </row>
    <row r="61" ht="44" customHeight="1">
      <c r="A61" s="102" t="inlineStr">
        <is>
          <t>TC-RS-UI-009</t>
        </is>
      </c>
      <c r="B61" s="110" t="inlineStr">
        <is>
          <t>Khối điều kiện Trung bình（平均点） và nguồn tham chiếu, không có ô chọn "kết quả tổng hợp dùng để tham chiếu"</t>
        </is>
      </c>
      <c r="C61" s="102">
        <f>'Kiểm thử'!B4390</f>
        <v/>
      </c>
    </row>
    <row r="62" ht="30" customHeight="1">
      <c r="A62" s="102" t="inlineStr">
        <is>
          <t>TC-RS-UI-010</t>
        </is>
      </c>
      <c r="B62" s="110" t="inlineStr">
        <is>
          <t>Khối điều kiện Tỷ lệ điểm của nhóm（集団の得点率）</t>
        </is>
      </c>
      <c r="C62" s="102">
        <f>'Kiểm thử'!B4454</f>
        <v/>
      </c>
    </row>
    <row r="63" ht="30" customHeight="1">
      <c r="A63" s="102" t="inlineStr">
        <is>
          <t>TC-RS-FUNC-011</t>
        </is>
      </c>
      <c r="B63" s="110" t="inlineStr">
        <is>
          <t>Chọn loại ngưỡng làm thay đổi vùng nhập</t>
        </is>
      </c>
      <c r="C63" s="102">
        <f>'Kiểm thử'!B4518</f>
        <v/>
      </c>
    </row>
    <row r="64" ht="30" customHeight="1">
      <c r="A64" s="102" t="inlineStr">
        <is>
          <t>TC-RS-FUNC-013</t>
        </is>
      </c>
      <c r="B64" s="110" t="inlineStr">
        <is>
          <t>Dấu so sánh Nhỏ hơn（未満）/Nhỏ hơn hoặc bằng（以下） được lưu và hiển thị</t>
        </is>
      </c>
      <c r="C64" s="102">
        <f>'Kiểm thử'!B4683</f>
        <v/>
      </c>
    </row>
    <row r="65" ht="30" customHeight="1">
      <c r="A65" s="102" t="inlineStr">
        <is>
          <t>TC-RS-VAL-001</t>
        </is>
      </c>
      <c r="B65" s="110" t="inlineStr">
        <is>
          <t>Điểm cố định: biên −1 / 0 / 100 / 101 với M=100</t>
        </is>
      </c>
      <c r="C65" s="102">
        <f>'Kiểm thử'!B4798</f>
        <v/>
      </c>
    </row>
    <row r="66" ht="30" customHeight="1">
      <c r="A66" s="102" t="inlineStr">
        <is>
          <t>TC-RS-VAL-002</t>
        </is>
      </c>
      <c r="B66" s="110" t="inlineStr">
        <is>
          <t>Điểm cố định phải ≤ M của mọi đối tượng (M=20 và M=100)</t>
        </is>
      </c>
      <c r="C66" s="102">
        <f>'Kiểm thử'!B5012</f>
        <v/>
      </c>
    </row>
    <row r="67" ht="30" customHeight="1">
      <c r="A67" s="102" t="inlineStr">
        <is>
          <t>TC-RS-VAL-003</t>
        </is>
      </c>
      <c r="B67" s="110" t="inlineStr">
        <is>
          <t>Mở rộng phạm vi sau khi lưu: kiểm lại ngưỡng cố định với M của đối tượng mới</t>
        </is>
      </c>
      <c r="C67" s="102">
        <f>'Kiểm thử'!B5178</f>
        <v/>
      </c>
    </row>
    <row r="68" ht="30" customHeight="1">
      <c r="A68" s="102" t="inlineStr">
        <is>
          <t>TC-RS-VAL-004</t>
        </is>
      </c>
      <c r="B68" s="110" t="inlineStr">
        <is>
          <t>Ngưỡng cố định/tỷ lệ trống hoặc không phải số</t>
        </is>
      </c>
      <c r="C68" s="102">
        <f>'Kiểm thử'!B5242</f>
        <v/>
      </c>
    </row>
    <row r="69" ht="30" customHeight="1">
      <c r="A69" s="102" t="inlineStr">
        <is>
          <t>TC-RS-VAL-005</t>
        </is>
      </c>
      <c r="B69" s="110" t="inlineStr">
        <is>
          <t>Điểm cố định thập phân</t>
        </is>
      </c>
      <c r="C69" s="102">
        <f>'Kiểm thử'!B5656</f>
        <v/>
      </c>
    </row>
    <row r="70" ht="30" customHeight="1">
      <c r="A70" s="102" t="inlineStr">
        <is>
          <t>TC-RS-CALC-001</t>
        </is>
      </c>
      <c r="B70" s="110" t="inlineStr">
        <is>
          <t>Ngưỡng cố định 30: S = 29 / 30 / 31 với [&lt;] và [≤]</t>
        </is>
      </c>
      <c r="C70" s="102">
        <f>'Kiểm thử'!B5870</f>
        <v/>
      </c>
    </row>
    <row r="71" ht="30" customHeight="1">
      <c r="A71" s="102" t="inlineStr">
        <is>
          <t>TC-RS-CALC-002</t>
        </is>
      </c>
      <c r="B71" s="110" t="inlineStr">
        <is>
          <t>Điểm 0 với ngưỡng 0 và 30</t>
        </is>
      </c>
      <c r="C71" s="102">
        <f>'Kiểm thử'!B5985</f>
        <v/>
      </c>
    </row>
    <row r="72" ht="30" customHeight="1">
      <c r="A72" s="102" t="inlineStr">
        <is>
          <t>TC-RS-CALC-003</t>
        </is>
      </c>
      <c r="B72" s="110" t="inlineStr">
        <is>
          <t>Điểm thập phân sát ngưỡng</t>
        </is>
      </c>
      <c r="C72" s="102">
        <f>'Kiểm thử'!B6149</f>
        <v/>
      </c>
    </row>
    <row r="73" ht="30" customHeight="1">
      <c r="A73" s="102" t="inlineStr">
        <is>
          <t>TC-RS-CALC-004</t>
        </is>
      </c>
      <c r="B73" s="110" t="inlineStr">
        <is>
          <t>Ngưỡng cố định giữ [T=N] khi M đổi về sau</t>
        </is>
      </c>
      <c r="C73" s="102">
        <f>'Kiểm thử'!B6263</f>
        <v/>
      </c>
    </row>
    <row r="74" ht="30" customHeight="1">
      <c r="A74" s="102" t="inlineStr">
        <is>
          <t>TC-RS-UI-011</t>
        </is>
      </c>
      <c r="B74" s="110" t="inlineStr">
        <is>
          <t>Màn Ngưỡng（基準設定）: ba loại, dấu so sánh và câu giải thích đổi theo dấu</t>
        </is>
      </c>
      <c r="C74" s="102">
        <f>'Kiểm thử'!B6328</f>
        <v/>
      </c>
    </row>
    <row r="75" ht="30" customHeight="1">
      <c r="A75" s="102" t="inlineStr">
        <is>
          <t>TC-RS-UI-012</t>
        </is>
      </c>
      <c r="B75" s="110" t="inlineStr">
        <is>
          <t>Mặc định khi tạo quy tắc mới</t>
        </is>
      </c>
      <c r="C75" s="102">
        <f>'Kiểm thử'!B6443</f>
        <v/>
      </c>
    </row>
    <row r="76" ht="30" customHeight="1">
      <c r="A76" s="102" t="inlineStr">
        <is>
          <t>TC-RS-UI-013</t>
        </is>
      </c>
      <c r="B76" s="110" t="inlineStr">
        <is>
          <t>Ngưỡng cố định không hiển thị nguồn trung bình</t>
        </is>
      </c>
      <c r="C76" s="102">
        <f>'Kiểm thử'!B6507</f>
        <v/>
      </c>
    </row>
    <row r="77" ht="30" customHeight="1">
      <c r="A77" s="102" t="inlineStr">
        <is>
          <t>TC-RS-FUNC-012</t>
        </is>
      </c>
      <c r="B77" s="110" t="inlineStr">
        <is>
          <t>Công thức: thêm/xóa dòng, kết quả dòng cuối là ngưỡng</t>
        </is>
      </c>
      <c r="C77" s="102">
        <f>'Kiểm thử'!B6571</f>
        <v/>
      </c>
    </row>
    <row r="78" ht="30" customHeight="1">
      <c r="A78" s="102" t="inlineStr">
        <is>
          <t>TC-RS-VAL-008</t>
        </is>
      </c>
      <c r="B78" s="110" t="inlineStr">
        <is>
          <t>Công thức phải có ít nhất một dòng</t>
        </is>
      </c>
      <c r="C78" s="102">
        <f>'Kiểm thử'!B6637</f>
        <v/>
      </c>
    </row>
    <row r="79" ht="30" customHeight="1">
      <c r="A79" s="102" t="inlineStr">
        <is>
          <t>TC-RS-VAL-009</t>
        </is>
      </c>
      <c r="B79" s="110" t="inlineStr">
        <is>
          <t>Chia cho số cố định 0 không lưu được</t>
        </is>
      </c>
      <c r="C79" s="102">
        <f>'Kiểm thử'!B6701</f>
        <v/>
      </c>
    </row>
    <row r="80" ht="30" customHeight="1">
      <c r="A80" s="102" t="inlineStr">
        <is>
          <t>TC-RS-VAL-010</t>
        </is>
      </c>
      <c r="B80" s="110" t="inlineStr">
        <is>
          <t>Toán hạng trống hoặc không phải số</t>
        </is>
      </c>
      <c r="C80" s="102">
        <f>'Kiểm thử'!B6815</f>
        <v/>
      </c>
    </row>
    <row r="81" ht="30" customHeight="1">
      <c r="A81" s="102" t="inlineStr">
        <is>
          <t>TC-RS-VAL-011</t>
        </is>
      </c>
      <c r="B81" s="110" t="inlineStr">
        <is>
          <t>Kết quả phép tính（式の結果） chỉ tham chiếu dòng phía trước</t>
        </is>
      </c>
      <c r="C81" s="102">
        <f>'Kiểm thử'!B6979</f>
        <v/>
      </c>
    </row>
    <row r="82" ht="30" customHeight="1">
      <c r="A82" s="102" t="inlineStr">
        <is>
          <t>TC-RS-VAL-012</t>
        </is>
      </c>
      <c r="B82" s="110" t="inlineStr">
        <is>
          <t>Xóa/đổi thứ tự dòng không tự nối lại tham chiếu</t>
        </is>
      </c>
      <c r="C82" s="102">
        <f>'Kiểm thử'!B7193</f>
        <v/>
      </c>
    </row>
    <row r="83" ht="30" customHeight="1">
      <c r="A83" s="102" t="inlineStr">
        <is>
          <t>TC-RS-VAL-013</t>
        </is>
      </c>
      <c r="B83" s="110" t="inlineStr">
        <is>
          <t>Số cố định trong công thức không bị giới hạn 0–100</t>
        </is>
      </c>
      <c r="C83" s="102">
        <f>'Kiểm thử'!B7309</f>
        <v/>
      </c>
    </row>
    <row r="84" ht="30" customHeight="1">
      <c r="A84" s="102" t="inlineStr">
        <is>
          <t>TC-RS-VAL-019</t>
        </is>
      </c>
      <c r="B84" s="110" t="inlineStr">
        <is>
          <t>Cảnh báo ngưỡng biên không chặn lưu</t>
        </is>
      </c>
      <c r="C84" s="102">
        <f>'Kiểm thử'!B7473</f>
        <v/>
      </c>
    </row>
    <row r="85" ht="30" customHeight="1">
      <c r="A85" s="102" t="inlineStr">
        <is>
          <t>TC-RS-VAL-020</t>
        </is>
      </c>
      <c r="B85" s="110" t="inlineStr">
        <is>
          <t>Kết quả công thức âm hoặc vượt M không phải lỗi lưu</t>
        </is>
      </c>
      <c r="C85" s="102">
        <f>'Kiểm thử'!B7837</f>
        <v/>
      </c>
    </row>
    <row r="86" ht="30" customHeight="1">
      <c r="A86" s="102" t="inlineStr">
        <is>
          <t>TC-RS-VAL-021</t>
        </is>
      </c>
      <c r="B86" s="110" t="inlineStr">
        <is>
          <t>Đổi loại ngưỡng trong cùng phiên sửa</t>
        </is>
      </c>
      <c r="C86" s="102">
        <f>'Kiểm thử'!B7951</f>
        <v/>
      </c>
    </row>
    <row r="87" ht="30" customHeight="1">
      <c r="A87" s="102" t="inlineStr">
        <is>
          <t>TC-RS-VAL-023</t>
        </is>
      </c>
      <c r="B87" s="110" t="inlineStr">
        <is>
          <t>Giới hạn công thức: 20/21 dòng và số chữ số của số cố định</t>
        </is>
      </c>
      <c r="C87" s="102">
        <f>'Kiểm thử'!B8019</f>
        <v/>
      </c>
    </row>
    <row r="88" ht="30" customHeight="1">
      <c r="A88" s="102" t="inlineStr">
        <is>
          <t>TC-RS-CALC-013</t>
        </is>
      </c>
      <c r="B88" s="110" t="inlineStr">
        <is>
          <t>Công thức một dòng với A=50</t>
        </is>
      </c>
      <c r="C88" s="102">
        <f>'Kiểm thử'!B8283</f>
        <v/>
      </c>
    </row>
    <row r="89" ht="30" customHeight="1">
      <c r="A89" s="102" t="inlineStr">
        <is>
          <t>TC-RS-CALC-014</t>
        </is>
      </c>
      <c r="B89" s="110" t="inlineStr">
        <is>
          <t>Làm tròn theo từng dòng: A=49.7</t>
        </is>
      </c>
      <c r="C89" s="102">
        <f>'Kiểm thử'!B8447</f>
        <v/>
      </c>
    </row>
    <row r="90" ht="30" customHeight="1">
      <c r="A90" s="102" t="inlineStr">
        <is>
          <t>TC-RS-CALC-015</t>
        </is>
      </c>
      <c r="B90" s="110" t="inlineStr">
        <is>
          <t>Công thức hai dòng theo Figma: (A÷2)×0.8, dòng 1 làm tròn xuống</t>
        </is>
      </c>
      <c r="C90" s="102">
        <f>'Kiểm thử'!B8512</f>
        <v/>
      </c>
    </row>
    <row r="91" ht="30" customHeight="1">
      <c r="A91" s="102" t="inlineStr">
        <is>
          <t>TC-RS-CALC-016</t>
        </is>
      </c>
      <c r="B91" s="110" t="inlineStr">
        <is>
          <t>Ngưỡng âm: A=15, A−20 → T=−5</t>
        </is>
      </c>
      <c r="C91" s="102">
        <f>'Kiểm thử'!B8678</f>
        <v/>
      </c>
    </row>
    <row r="92" ht="30" customHeight="1">
      <c r="A92" s="102" t="inlineStr">
        <is>
          <t>TC-RS-CALC-017</t>
        </is>
      </c>
      <c r="B92" s="110" t="inlineStr">
        <is>
          <t>Ngưỡng công thức vượt M vẫn hợp lệ</t>
        </is>
      </c>
      <c r="C92" s="102">
        <f>'Kiểm thử'!B8893</f>
        <v/>
      </c>
    </row>
    <row r="93" ht="30" customHeight="1">
      <c r="A93" s="102" t="inlineStr">
        <is>
          <t>TC-RS-CALC-018</t>
        </is>
      </c>
      <c r="B93" s="110" t="inlineStr">
        <is>
          <t>Công thức A−0 cho ngưỡng bằng A</t>
        </is>
      </c>
      <c r="C93" s="102">
        <f>'Kiểm thử'!B8957</f>
        <v/>
      </c>
    </row>
    <row r="94" ht="30" customHeight="1">
      <c r="A94" s="102" t="inlineStr">
        <is>
          <t>TC-RS-CALC-019</t>
        </is>
      </c>
      <c r="B94" s="110" t="inlineStr">
        <is>
          <t>Định nghĩa phương thức làm tròn, số âm và p=9</t>
        </is>
      </c>
      <c r="C94" s="102">
        <f>'Kiểm thử'!B9022</f>
        <v/>
      </c>
    </row>
    <row r="95" ht="30" customHeight="1">
      <c r="A95" s="102" t="inlineStr">
        <is>
          <t>TC-RS-CALC-020</t>
        </is>
      </c>
      <c r="B95" s="110" t="inlineStr">
        <is>
          <t>Làm tròn ngưỡng, không làm tròn điểm học sinh</t>
        </is>
      </c>
      <c r="C95" s="102">
        <f>'Kiểm thử'!B9789</f>
        <v/>
      </c>
    </row>
    <row r="96" ht="30" customHeight="1">
      <c r="A96" s="102" t="inlineStr">
        <is>
          <t>TC-RS-CALC-021</t>
        </is>
      </c>
      <c r="B96" s="110" t="inlineStr">
        <is>
          <t>Chia 0 phát sinh khi chạy → Chưa xét được</t>
        </is>
      </c>
      <c r="C96" s="102">
        <f>'Kiểm thử'!B9904</f>
        <v/>
      </c>
    </row>
    <row r="97" ht="30" customHeight="1">
      <c r="A97" s="102" t="inlineStr">
        <is>
          <t>TC-RS-CALC-028</t>
        </is>
      </c>
      <c r="B97" s="110" t="inlineStr">
        <is>
          <t>Không sai kết quả do sai số dấu phẩy động</t>
        </is>
      </c>
      <c r="C97" s="102">
        <f>'Kiểm thử'!B10068</f>
        <v/>
      </c>
    </row>
    <row r="98" ht="30" customHeight="1">
      <c r="A98" s="102" t="inlineStr">
        <is>
          <t>TC-RS-CALC-029</t>
        </is>
      </c>
      <c r="B98" s="110" t="inlineStr">
        <is>
          <t>Tràn số không tạo kết luận đỏ/không đỏ</t>
        </is>
      </c>
      <c r="C98" s="102">
        <f>'Kiểm thử'!B10282</f>
        <v/>
      </c>
    </row>
    <row r="99" ht="30" customHeight="1">
      <c r="A99" s="102" t="inlineStr">
        <is>
          <t>TC-RS-CALC-030</t>
        </is>
      </c>
      <c r="B99" s="110" t="inlineStr">
        <is>
          <t>Công thức cho T=0; ô trống vẫn là Không có điểm</t>
        </is>
      </c>
      <c r="C99" s="102">
        <f>'Kiểm thử'!B10447</f>
        <v/>
      </c>
    </row>
    <row r="100" ht="30" customHeight="1">
      <c r="A100" s="102" t="inlineStr">
        <is>
          <t>TC-RS-UI-015</t>
        </is>
      </c>
      <c r="B100" s="110" t="inlineStr">
        <is>
          <t>Màn Công thức: thứ tự khối nguồn trung bình và dòng công thức</t>
        </is>
      </c>
      <c r="C100" s="102">
        <f>'Kiểm thử'!B10561</f>
        <v/>
      </c>
    </row>
    <row r="101" ht="30" customHeight="1">
      <c r="A101" s="102" t="inlineStr">
        <is>
          <t>TC-RS-UI-016</t>
        </is>
      </c>
      <c r="B101" s="110" t="inlineStr">
        <is>
          <t>Bảng dòng công thức</t>
        </is>
      </c>
      <c r="C101" s="102">
        <f>'Kiểm thử'!B10625</f>
        <v/>
      </c>
    </row>
    <row r="102" ht="30" customHeight="1">
      <c r="A102" s="102" t="inlineStr">
        <is>
          <t>TC-RS-UI-017</t>
        </is>
      </c>
      <c r="B102" s="110" t="inlineStr">
        <is>
          <t>Thông báo lỗi vượt điểm tối đa và chia 0</t>
        </is>
      </c>
      <c r="C102" s="102">
        <f>'Kiểm thử'!B10690</f>
        <v/>
      </c>
    </row>
    <row r="103" ht="30" customHeight="1">
      <c r="A103" s="102" t="inlineStr">
        <is>
          <t>TC-RS-FUNC-015</t>
        </is>
      </c>
      <c r="B103" s="110" t="inlineStr">
        <is>
          <t>Quy trình vận hành dùng trung bình: tắt tự tổng hợp → nút xanh → nút cam</t>
        </is>
      </c>
      <c r="C103" s="102">
        <f>'Kiểm thử'!B10805</f>
        <v/>
      </c>
    </row>
    <row r="104" ht="30" customHeight="1">
      <c r="A104" s="102" t="inlineStr">
        <is>
          <t>TC-RS-FUNC-034</t>
        </is>
      </c>
      <c r="B104" s="110" t="inlineStr">
        <is>
          <t>Nguồn của điều kiện áp dụng và nguồn của công thức lưu độc lập</t>
        </is>
      </c>
      <c r="C104" s="102">
        <f>'Kiểm thử'!B10873</f>
        <v/>
      </c>
    </row>
    <row r="105" ht="30" customHeight="1">
      <c r="A105" s="102" t="inlineStr">
        <is>
          <t>TC-RS-FUNC-036</t>
        </is>
      </c>
      <c r="B105" s="110" t="inlineStr">
        <is>
          <t>Danh sách nhóm tham chiếu theo thiết lập tổng hợp hiện hữu</t>
        </is>
      </c>
      <c r="C105" s="102">
        <f>'Kiểm thử'!B10940</f>
        <v/>
      </c>
    </row>
    <row r="106" ht="30" customHeight="1">
      <c r="A106" s="102" t="inlineStr">
        <is>
          <t>TC-RS-BR-006</t>
        </is>
      </c>
      <c r="B106" s="110" t="inlineStr">
        <is>
          <t>Nhóm tham chiếu tách khỏi đối tượng áp dụng và danh sách đang lọc ở đầu ra</t>
        </is>
      </c>
      <c r="C106" s="102">
        <f>'Kiểm thử'!B11106</f>
        <v/>
      </c>
    </row>
    <row r="107" ht="30" customHeight="1">
      <c r="A107" s="102" t="inlineStr">
        <is>
          <t>TC-RS-BR-007</t>
        </is>
      </c>
      <c r="B107" s="110" t="inlineStr">
        <is>
          <t>Nguồn: bản đã chốt được ưu tiên hơn tổng hợp mới hơn</t>
        </is>
      </c>
      <c r="C107" s="102">
        <f>'Kiểm thử'!B11172</f>
        <v/>
      </c>
    </row>
    <row r="108" ht="30" customHeight="1">
      <c r="A108" s="102" t="inlineStr">
        <is>
          <t>TC-RS-BR-008</t>
        </is>
      </c>
      <c r="B108" s="110" t="inlineStr">
        <is>
          <t>Nguồn: chưa có bản chốt → dùng tổng hợp hoàn tất mới nhất cùng phạm vi</t>
        </is>
      </c>
      <c r="C108" s="102">
        <f>'Kiểm thử'!B11237</f>
        <v/>
      </c>
    </row>
    <row r="109" ht="30" customHeight="1">
      <c r="A109" s="102" t="inlineStr">
        <is>
          <t>TC-RS-BR-009</t>
        </is>
      </c>
      <c r="B109" s="110" t="inlineStr">
        <is>
          <t>Nguồn: bản đã chốt thiếu dữ liệu → Chưa xét được, không chuyển sang bản thường</t>
        </is>
      </c>
      <c r="C109" s="102">
        <f>'Kiểm thử'!B11403</f>
        <v/>
      </c>
    </row>
    <row r="110" ht="30" customHeight="1">
      <c r="A110" s="102" t="inlineStr">
        <is>
          <t>TC-RS-BR-010</t>
        </is>
      </c>
      <c r="B110" s="110" t="inlineStr">
        <is>
          <t>Chưa có kết quả tổng hợp → Chưa xét được, không thay bằng 0 hay nhóm khác</t>
        </is>
      </c>
      <c r="C110" s="102">
        <f>'Kiểm thử'!B11468</f>
        <v/>
      </c>
    </row>
    <row r="111" ht="30" customHeight="1">
      <c r="A111" s="102" t="inlineStr">
        <is>
          <t>TC-RS-BR-011</t>
        </is>
      </c>
      <c r="B111" s="110" t="inlineStr">
        <is>
          <t>Nguồn chỉ cần khi quy tắc đọc trung bình/tỷ lệ nhóm</t>
        </is>
      </c>
      <c r="C111" s="102">
        <f>'Kiểm thử'!B11533</f>
        <v/>
      </c>
    </row>
    <row r="112" ht="30" customHeight="1">
      <c r="A112" s="102" t="inlineStr">
        <is>
          <t>TC-RS-BR-028</t>
        </is>
      </c>
      <c r="B112" s="110" t="inlineStr">
        <is>
          <t>Nhóm tham chiếu có lớp khác M không gây lỗi dừng xử lý</t>
        </is>
      </c>
      <c r="C112" s="102">
        <f>'Kiểm thử'!B11698</f>
        <v/>
      </c>
    </row>
    <row r="113" ht="44" customHeight="1">
      <c r="A113" s="102" t="inlineStr">
        <is>
          <t>TC-RS-BR-034</t>
        </is>
      </c>
      <c r="B113" s="110" t="inlineStr">
        <is>
          <t>Bật tự tổng hợp khi đăng ký: hệ thống không chặn; quy tắc độc lập với trung bình vẫn xét</t>
        </is>
      </c>
      <c r="C113" s="102">
        <f>'Kiểm thử'!B11764</f>
        <v/>
      </c>
    </row>
    <row r="114" ht="30" customHeight="1">
      <c r="A114" s="102" t="inlineStr">
        <is>
          <t>TC-RS-BR-038</t>
        </is>
      </c>
      <c r="B114" s="110" t="inlineStr">
        <is>
          <t>Nhóm lớp học（授業）: dùng kết quả tổng hợp của đúng lớp chứa ô đang xét</t>
        </is>
      </c>
      <c r="C114" s="102">
        <f>'Kiểm thử'!B11829</f>
        <v/>
      </c>
    </row>
    <row r="115" ht="44" customHeight="1">
      <c r="A115" s="102" t="inlineStr">
        <is>
          <t>TC-RS-BR-039</t>
        </is>
      </c>
      <c r="B115" s="110" t="inlineStr">
        <is>
          <t>Nhóm môn học（科目グループ）: dùng cấu hình riêng của môn hoặc default đã lưu; thiếu/sai thì Chưa xét được</t>
        </is>
      </c>
      <c r="C115" s="102">
        <f>'Kiểm thử'!B11894</f>
        <v/>
      </c>
    </row>
    <row r="116" ht="44" customHeight="1">
      <c r="A116" s="102" t="inlineStr">
        <is>
          <t>TC-RS-BR-040</t>
        </is>
      </c>
      <c r="B116" s="110" t="inlineStr">
        <is>
          <t>Loại nhóm được bật nhưng chưa có kết quả, hoặc tham chiếu đã lưu không còn hợp lệ → Chưa xét được, không tự đổi nhóm</t>
        </is>
      </c>
      <c r="C116" s="102">
        <f>'Kiểm thử'!B12110</f>
        <v/>
      </c>
    </row>
    <row r="117" ht="30" customHeight="1">
      <c r="A117" s="102" t="inlineStr">
        <is>
          <t>TC-RS-VAL-024</t>
        </is>
      </c>
      <c r="B117" s="110" t="inlineStr">
        <is>
          <t>Quy tắc dùng trung bình/tỷ lệ nhóm không lưu được khi thiếu nguồn</t>
        </is>
      </c>
      <c r="C117" s="102">
        <f>'Kiểm thử'!B12277</f>
        <v/>
      </c>
    </row>
    <row r="118" ht="30" customHeight="1">
      <c r="A118" s="102" t="inlineStr">
        <is>
          <t>TC-RS-VAL-025</t>
        </is>
      </c>
      <c r="B118" s="110" t="inlineStr">
        <is>
          <t>Server từ chối lưu nhóm tham chiếu không khả dụng hoặc ngoài trường/năm</t>
        </is>
      </c>
      <c r="C118" s="102">
        <f>'Kiểm thử'!B12593</f>
        <v/>
      </c>
    </row>
    <row r="119" ht="30" customHeight="1">
      <c r="A119" s="102" t="inlineStr">
        <is>
          <t>TC-RS-CALC-026</t>
        </is>
      </c>
      <c r="B119" s="110" t="inlineStr">
        <is>
          <t>Mẫu số trung bình khi có học sinh bị loại khỏi xếp hạng</t>
        </is>
      </c>
      <c r="C119" s="102">
        <f>'Kiểm thử'!B13009</f>
        <v/>
      </c>
    </row>
    <row r="120" ht="30" customHeight="1">
      <c r="A120" s="102" t="inlineStr">
        <is>
          <t>TC-RS-CALC-027</t>
        </is>
      </c>
      <c r="B120" s="110" t="inlineStr">
        <is>
          <t>Trung bình riêng cho từng đơn vị</t>
        </is>
      </c>
      <c r="C120" s="102">
        <f>'Kiểm thử'!B13073</f>
        <v/>
      </c>
    </row>
    <row r="121" ht="44" customHeight="1">
      <c r="A121" s="102" t="inlineStr">
        <is>
          <t>TC-RS-CALC-031</t>
        </is>
      </c>
      <c r="B121" s="110" t="inlineStr">
        <is>
          <t>Nguồn không có mẫu số hợp lệ (tổng điểm tối đa 0, số người có điểm 0) → Chưa xét được</t>
        </is>
      </c>
      <c r="C121" s="102">
        <f>'Kiểm thử'!B13137</f>
        <v/>
      </c>
    </row>
    <row r="122" ht="30" customHeight="1">
      <c r="A122" s="102" t="inlineStr">
        <is>
          <t>TC-RS-CALC-032</t>
        </is>
      </c>
      <c r="B122" s="110" t="inlineStr">
        <is>
          <t>Tỷ lệ nhóm: tử số và mẫu số lấy cùng tập đóng góp</t>
        </is>
      </c>
      <c r="C122" s="102">
        <f>'Kiểm thử'!B13251</f>
        <v/>
      </c>
    </row>
    <row r="123" ht="44" customHeight="1">
      <c r="A123" s="102" t="inlineStr">
        <is>
          <t>TC-RS-ERR-016</t>
        </is>
      </c>
      <c r="B123" s="110" t="inlineStr">
        <is>
          <t>Chưa xét được: sửa nguồn nhưng chỉ lưu cấu hình vẫn chưa có kết luận; xét lại mới có</t>
        </is>
      </c>
      <c r="C123" s="102">
        <f>'Kiểm thử'!B13316</f>
        <v/>
      </c>
    </row>
    <row r="124" ht="30" customHeight="1">
      <c r="A124" s="102" t="inlineStr">
        <is>
          <t>TC-RS-BR-026</t>
        </is>
      </c>
      <c r="B124" s="110" t="inlineStr">
        <is>
          <t>Không fallback sang legacy khi rule mới thiếu hoặc không khớp dữ liệu</t>
        </is>
      </c>
      <c r="C124" s="102">
        <f>'Kiểm thử'!B13381</f>
        <v/>
      </c>
    </row>
    <row r="125" ht="30" customHeight="1">
      <c r="A125" s="102" t="inlineStr">
        <is>
          <t>TC-RS-FUNC-016</t>
        </is>
      </c>
      <c r="B125" s="110" t="inlineStr">
        <is>
          <t>Đăng ký/sửa điểm trực tiếp ở màn lớp kích hoạt xét</t>
        </is>
      </c>
      <c r="C125" s="102">
        <f>'Kiểm thử'!B13496</f>
        <v/>
      </c>
    </row>
    <row r="126" ht="30" customHeight="1">
      <c r="A126" s="102" t="inlineStr">
        <is>
          <t>TC-RS-FUNC-017</t>
        </is>
      </c>
      <c r="B126" s="110" t="inlineStr">
        <is>
          <t>Nhập CSV điểm lớp học phần (NB) kích hoạt xét</t>
        </is>
      </c>
      <c r="C126" s="102">
        <f>'Kiểm thử'!B13561</f>
        <v/>
      </c>
    </row>
    <row r="127" ht="30" customHeight="1">
      <c r="A127" s="102" t="inlineStr">
        <is>
          <t>TC-RS-FUNC-018</t>
        </is>
      </c>
      <c r="B127" s="110" t="inlineStr">
        <is>
          <t>Liên kết kết quả chấm bài thi kích hoạt xét</t>
        </is>
      </c>
      <c r="C127" s="102">
        <f>'Kiểm thử'!B13677</f>
        <v/>
      </c>
    </row>
    <row r="128" ht="30" customHeight="1">
      <c r="A128" s="102" t="inlineStr">
        <is>
          <t>TC-RS-FUNC-019</t>
        </is>
      </c>
      <c r="B128" s="110" t="inlineStr">
        <is>
          <t>Lưu lựa chọn điểm tối đa của lớp khi đăng ký điểm kích hoạt xét</t>
        </is>
      </c>
      <c r="C128" s="102">
        <f>'Kiểm thử'!B13793</f>
        <v/>
      </c>
    </row>
    <row r="129" ht="44" customHeight="1">
      <c r="A129" s="102" t="inlineStr">
        <is>
          <t>TC-RS-FUNC-020</t>
        </is>
      </c>
      <c r="B129" s="110" t="inlineStr">
        <is>
          <t>Lưu Thiết lập điểm tối đa hàng loạt（満点一括設定） xếp hàng tính toán rồi mới có kết quả mới</t>
        </is>
      </c>
      <c r="C129" s="102">
        <f>'Kiểm thử'!B13858</f>
        <v/>
      </c>
    </row>
    <row r="130" ht="30" customHeight="1">
      <c r="A130" s="102" t="inlineStr">
        <is>
          <t>TC-RS-FUNC-021</t>
        </is>
      </c>
      <c r="B130" s="110" t="inlineStr">
        <is>
          <t>Trường chỉ có quy tắc đỏ (không có tính tự động) vẫn có đường chạy hàng loạt</t>
        </is>
      </c>
      <c r="C130" s="102">
        <f>'Kiểm thử'!B13924</f>
        <v/>
      </c>
    </row>
    <row r="131" ht="30" customHeight="1">
      <c r="A131" s="102" t="inlineStr">
        <is>
          <t>TC-RS-FUNC-035</t>
        </is>
      </c>
      <c r="B131" s="110" t="inlineStr">
        <is>
          <t>Nhập CSV đăng ký điểm lớp chủ nhiệm hàng loạt（HR成績CSV一括登録） kích hoạt xét</t>
        </is>
      </c>
      <c r="C131" s="102">
        <f>'Kiểm thử'!B13990</f>
        <v/>
      </c>
    </row>
    <row r="132" ht="30" customHeight="1">
      <c r="A132" s="102" t="inlineStr">
        <is>
          <t>TC-RS-BR-015</t>
        </is>
      </c>
      <c r="B132" s="110" t="inlineStr">
        <is>
          <t>Lưu cấu hình không xét; kết quả trước giữ tới lần chạy lại</t>
        </is>
      </c>
      <c r="C132" s="102">
        <f>'Kiểm thử'!B14106</f>
        <v/>
      </c>
    </row>
    <row r="133" ht="30" customHeight="1">
      <c r="A133" s="102" t="inlineStr">
        <is>
          <t>TC-RS-BR-016</t>
        </is>
      </c>
      <c r="B133" s="110" t="inlineStr">
        <is>
          <t>Sửa điểm 29 → 40 được lưu và xét trong cùng lượt</t>
        </is>
      </c>
      <c r="C133" s="102">
        <f>'Kiểm thử'!B14174</f>
        <v/>
      </c>
    </row>
    <row r="134" ht="30" customHeight="1">
      <c r="A134" s="102" t="inlineStr">
        <is>
          <t>TC-RS-BR-017</t>
        </is>
      </c>
      <c r="B134" s="110" t="inlineStr">
        <is>
          <t>Chạy lại không tạo được ngưỡng hợp lệ → Chưa xét được, ngừng kết quả cũ, giữ điểm</t>
        </is>
      </c>
      <c r="C134" s="102">
        <f>'Kiểm thử'!B14239</f>
        <v/>
      </c>
    </row>
    <row r="135" ht="44" customHeight="1">
      <c r="A135" s="102" t="inlineStr">
        <is>
          <t>TC-RS-BR-018</t>
        </is>
      </c>
      <c r="B135" s="110" t="inlineStr">
        <is>
          <t>Đổi phạm vi làm ô không còn quy tắc áp dụng: giữ khi chưa chạy; chạy lại → Không áp dụng</t>
        </is>
      </c>
      <c r="C135" s="102">
        <f>'Kiểm thử'!B14406</f>
        <v/>
      </c>
    </row>
    <row r="136" ht="30" customHeight="1">
      <c r="A136" s="102" t="inlineStr">
        <is>
          <t>TC-RS-BR-019</t>
        </is>
      </c>
      <c r="B136" s="110" t="inlineStr">
        <is>
          <t>Xóa quy tắc cuối: giữ kết quả tới lần chạy lại; chạy lại → Không áp dụng</t>
        </is>
      </c>
      <c r="C136" s="102">
        <f>'Kiểm thử'!B14471</f>
        <v/>
      </c>
    </row>
    <row r="137" ht="30" customHeight="1">
      <c r="A137" s="102" t="inlineStr">
        <is>
          <t>TC-RS-BR-020</t>
        </is>
      </c>
      <c r="B137" s="110" t="inlineStr">
        <is>
          <t>Xóa điểm thành trống → Không có điểm, bỏ dấu đỏ cũ</t>
        </is>
      </c>
      <c r="C137" s="102">
        <f>'Kiểm thử'!B14588</f>
        <v/>
      </c>
    </row>
    <row r="138" ht="30" customHeight="1">
      <c r="A138" s="102" t="inlineStr">
        <is>
          <t>TC-RS-BR-021</t>
        </is>
      </c>
      <c r="B138" s="110" t="inlineStr">
        <is>
          <t>Tổng hợp lại hoặc đổi nhóm tham chiếu không tự xét lại</t>
        </is>
      </c>
      <c r="C138" s="102">
        <f>'Kiểm thử'!B14653</f>
        <v/>
      </c>
    </row>
    <row r="139" ht="44" customHeight="1">
      <c r="A139" s="102" t="inlineStr">
        <is>
          <t>TC-RS-BR-022</t>
        </is>
      </c>
      <c r="B139" s="110" t="inlineStr">
        <is>
          <t>Đổi M ở Thiết lập điểm tối đa（満点設定） hoặc Giá trị tối đa（最大値） không tự xét lại</t>
        </is>
      </c>
      <c r="C139" s="102">
        <f>'Kiểm thử'!B14719</f>
        <v/>
      </c>
    </row>
    <row r="140" ht="30" customHeight="1">
      <c r="A140" s="102" t="inlineStr">
        <is>
          <t>TC-RS-BR-023</t>
        </is>
      </c>
      <c r="B140" s="110" t="inlineStr">
        <is>
          <t>Nút xanh Thực hiện tổng hợp（集計実行） không xét điểm đỏ</t>
        </is>
      </c>
      <c r="C140" s="102">
        <f>'Kiểm thử'!B14785</f>
        <v/>
      </c>
    </row>
    <row r="141" ht="30" customHeight="1">
      <c r="A141" s="102" t="inlineStr">
        <is>
          <t>TC-RS-BR-024</t>
        </is>
      </c>
      <c r="B141" s="110" t="inlineStr">
        <is>
          <t>Xem, xuất, công khai, in lại không kích hoạt xét</t>
        </is>
      </c>
      <c r="C141" s="102">
        <f>'Kiểm thử'!B14850</f>
        <v/>
      </c>
    </row>
    <row r="142" ht="30" customHeight="1">
      <c r="A142" s="102" t="inlineStr">
        <is>
          <t>TC-RS-BR-027</t>
        </is>
      </c>
      <c r="B142" s="110" t="inlineStr">
        <is>
          <t>Chạy lại nhiều lần cho cùng kết quả, không nhân đôi dấu</t>
        </is>
      </c>
      <c r="C142" s="102">
        <f>'Kiểm thử'!B15116</f>
        <v/>
      </c>
    </row>
    <row r="143" ht="30" customHeight="1">
      <c r="A143" s="102" t="inlineStr">
        <is>
          <t>TC-RS-BR-037</t>
        </is>
      </c>
      <c r="B143" s="110" t="inlineStr">
        <is>
          <t>Xóa hoặc thôi dùng điểm đơn vị thì ngừng kết quả đỏ cũ của ô đó</t>
        </is>
      </c>
      <c r="C143" s="102">
        <f>'Kiểm thử'!B15181</f>
        <v/>
      </c>
    </row>
    <row r="144" ht="30" customHeight="1">
      <c r="A144" s="102" t="inlineStr">
        <is>
          <t>TC-RS-ERR-012</t>
        </is>
      </c>
      <c r="B144" s="110" t="inlineStr">
        <is>
          <t>Nhập CSV lựa chọn điểm tối đa của lớp</t>
        </is>
      </c>
      <c r="C144" s="102">
        <f>'Kiểm thử'!B15298</f>
        <v/>
      </c>
    </row>
    <row r="145" ht="30" customHeight="1">
      <c r="A145" s="102" t="inlineStr">
        <is>
          <t>TC-RS-ERR-015</t>
        </is>
      </c>
      <c r="B145" s="110" t="inlineStr">
        <is>
          <t>Bản ghi điểm bị xóa rồi tạo lại không kế thừa kết quả cũ</t>
        </is>
      </c>
      <c r="C145" s="102">
        <f>'Kiểm thử'!B15364</f>
        <v/>
      </c>
    </row>
    <row r="146" ht="30" customHeight="1">
      <c r="A146" s="102" t="inlineStr">
        <is>
          <t>TC-RS-FUNC-022</t>
        </is>
      </c>
      <c r="B146" s="110" t="inlineStr">
        <is>
          <t>Trích xuất thành tích（成績抽出）: các tùy chọn đỏ được lưu và mở lại đúng</t>
        </is>
      </c>
      <c r="C146" s="102">
        <f>'Kiểm thử'!B15530</f>
        <v/>
      </c>
    </row>
    <row r="147" ht="30" customHeight="1">
      <c r="A147" s="102" t="inlineStr">
        <is>
          <t>TC-RS-FUNC-023</t>
        </is>
      </c>
      <c r="B147" s="110" t="inlineStr">
        <is>
          <t>Trích xuất: lọc giữ học sinh có ít nhất một ô đỏ trong phạm vi đang xét</t>
        </is>
      </c>
      <c r="C147" s="102">
        <f>'Kiểm thử'!B15698</f>
        <v/>
      </c>
    </row>
    <row r="148" ht="30" customHeight="1">
      <c r="A148" s="102" t="inlineStr">
        <is>
          <t>TC-RS-FUNC-024</t>
        </is>
      </c>
      <c r="B148" s="110" t="inlineStr">
        <is>
          <t>Trích xuất: chỉ ô đỏ được thêm ký hiệu/tô màu</t>
        </is>
      </c>
      <c r="C148" s="102">
        <f>'Kiểm thử'!B16064</f>
        <v/>
      </c>
    </row>
    <row r="149" ht="30" customHeight="1">
      <c r="A149" s="102" t="inlineStr">
        <is>
          <t>TC-RS-FUNC-025</t>
        </is>
      </c>
      <c r="B149" s="110" t="inlineStr">
        <is>
          <t>Trích xuất: file Excel khớp màn hình</t>
        </is>
      </c>
      <c r="C149" s="102">
        <f>'Kiểm thử'!B16180</f>
        <v/>
      </c>
    </row>
    <row r="150" ht="30" customHeight="1">
      <c r="A150" s="102" t="inlineStr">
        <is>
          <t>TC-RS-VAL-017</t>
        </is>
      </c>
      <c r="B150" s="110" t="inlineStr">
        <is>
          <t>Trích xuất: bật ký hiệu thì bắt buộc nhập ký hiệu</t>
        </is>
      </c>
      <c r="C150" s="102">
        <f>'Kiểm thử'!B16446</f>
        <v/>
      </c>
    </row>
    <row r="151" ht="30" customHeight="1">
      <c r="A151" s="102" t="inlineStr">
        <is>
          <t>TC-RS-UI-020</t>
        </is>
      </c>
      <c r="B151" s="110" t="inlineStr">
        <is>
          <t>Trích xuất: vị trí và nhãn tùy chọn đỏ</t>
        </is>
      </c>
      <c r="C151" s="102">
        <f>'Kiểm thử'!B16560</f>
        <v/>
      </c>
    </row>
    <row r="152" ht="30" customHeight="1">
      <c r="A152" s="102" t="inlineStr">
        <is>
          <t>TC-RS-UI-021</t>
        </is>
      </c>
      <c r="B152" s="110" t="inlineStr">
        <is>
          <t>Trích xuất: kết quả 0 học sinh và hiển thị ô đỏ số thập phân</t>
        </is>
      </c>
      <c r="C152" s="102">
        <f>'Kiểm thử'!B16625</f>
        <v/>
      </c>
    </row>
    <row r="153" ht="30" customHeight="1">
      <c r="A153" s="102" t="inlineStr">
        <is>
          <t>TC-RS-ERR-013</t>
        </is>
      </c>
      <c r="B153" s="110" t="inlineStr">
        <is>
          <t>Trích xuất: ô vừa thỏa điều kiện màu khác vừa là ô đỏ</t>
        </is>
      </c>
      <c r="C153" s="102">
        <f>'Kiểm thử'!B16739</f>
        <v/>
      </c>
    </row>
    <row r="154" ht="30" customHeight="1">
      <c r="A154" s="102" t="inlineStr">
        <is>
          <t>TC-RS-REG-006</t>
        </is>
      </c>
      <c r="B154" s="110" t="inlineStr">
        <is>
          <t>Trích xuất: mẫu hiện có không cấu hình đỏ cho kết quả như trước</t>
        </is>
      </c>
      <c r="C154" s="102">
        <f>'Kiểm thử'!B16804</f>
        <v/>
      </c>
    </row>
    <row r="155" ht="30" customHeight="1">
      <c r="A155" s="102" t="inlineStr">
        <is>
          <t>TC-RS-FUNC-026</t>
        </is>
      </c>
      <c r="B155" s="110" t="inlineStr">
        <is>
          <t>Công khai thành tích（成績公開）: ba hiệu ứng đỏ hiển thị đúng ở màn học sinh</t>
        </is>
      </c>
      <c r="C155" s="102">
        <f>'Kiểm thử'!B17019</f>
        <v/>
      </c>
    </row>
    <row r="156" ht="30" customHeight="1">
      <c r="A156" s="102" t="inlineStr">
        <is>
          <t>TC-RS-FUNC-027</t>
        </is>
      </c>
      <c r="B156" s="110" t="inlineStr">
        <is>
          <t>Công khai: kết hợp hiệu ứng Điểm dự kiến（見込点） và điểm đỏ, khử trùng</t>
        </is>
      </c>
      <c r="C156" s="102">
        <f>'Kiểm thử'!B17235</f>
        <v/>
      </c>
    </row>
    <row r="157" ht="30" customHeight="1">
      <c r="A157" s="102" t="inlineStr">
        <is>
          <t>TC-RS-FUNC-028</t>
        </is>
      </c>
      <c r="B157" s="110" t="inlineStr">
        <is>
          <t>Công khai: web, API và PDF học sinh dùng cùng kết quả và cùng hiệu ứng</t>
        </is>
      </c>
      <c r="C157" s="102">
        <f>'Kiểm thử'!B17551</f>
        <v/>
      </c>
    </row>
    <row r="158" ht="30" customHeight="1">
      <c r="A158" s="102" t="inlineStr">
        <is>
          <t>TC-RS-FUNC-037</t>
        </is>
      </c>
      <c r="B158" s="110" t="inlineStr">
        <is>
          <t>Công khai: cùng mục dùng hiệu ứng đỏ khác nhau ở hai cấu hình công khai</t>
        </is>
      </c>
      <c r="C158" s="102">
        <f>'Kiểm thử'!B17716</f>
        <v/>
      </c>
    </row>
    <row r="159" ht="30" customHeight="1">
      <c r="A159" s="102" t="inlineStr">
        <is>
          <t>TC-RS-BR-025</t>
        </is>
      </c>
      <c r="B159" s="110" t="inlineStr">
        <is>
          <t>Đầu ra không bị chặn vì chưa có hoặc chưa xét được kết quả đỏ</t>
        </is>
      </c>
      <c r="C159" s="102">
        <f>'Kiểm thử'!B18032</f>
        <v/>
      </c>
    </row>
    <row r="160" ht="44" customHeight="1">
      <c r="A160" s="102" t="inlineStr">
        <is>
          <t>TC-RS-UI-022</t>
        </is>
      </c>
      <c r="B160" s="110" t="inlineStr">
        <is>
          <t>Công khai: dòng cách hiển thị đỏ theo mục có thiết lập, kể cả khi 0 học sinh đỏ hoặc vừa xóa thiết lập cuối</t>
        </is>
      </c>
      <c r="C160" s="102">
        <f>'Kiểm thử'!B18247</f>
        <v/>
      </c>
    </row>
    <row r="161" ht="30" customHeight="1">
      <c r="A161" s="102" t="inlineStr">
        <is>
          <t>TC-RS-UI-023</t>
        </is>
      </c>
      <c r="B161" s="110" t="inlineStr">
        <is>
          <t>Công khai: danh sách tùy chọn hiển thị đỏ</t>
        </is>
      </c>
      <c r="C161" s="102">
        <f>'Kiểm thử'!B18313</f>
        <v/>
      </c>
    </row>
    <row r="162" ht="30" customHeight="1">
      <c r="A162" s="102" t="inlineStr">
        <is>
          <t>TC-RS-UI-026</t>
        </is>
      </c>
      <c r="B162" s="110" t="inlineStr">
        <is>
          <t>Bộ chọn hiệu ứng đỏ của điểm thường và điểm đơn vị hiển thị độc lập</t>
        </is>
      </c>
      <c r="C162" s="102">
        <f>'Kiểm thử'!B18377</f>
        <v/>
      </c>
    </row>
    <row r="163" ht="30" customHeight="1">
      <c r="A163" s="102" t="inlineStr">
        <is>
          <t>TC-RS-REG-007</t>
        </is>
      </c>
      <c r="B163" s="110" t="inlineStr">
        <is>
          <t>Công khai: hiệu ứng Điểm dự kiến（見込点） và thiết lập khác được giữ</t>
        </is>
      </c>
      <c r="C163" s="102">
        <f>'Kiểm thử'!B18443</f>
        <v/>
      </c>
    </row>
    <row r="164" ht="30" customHeight="1">
      <c r="A164" s="102" t="inlineStr">
        <is>
          <t>TC-RS-REG-008</t>
        </is>
      </c>
      <c r="B164" s="110" t="inlineStr">
        <is>
          <t>Công khai: điểm ẩn, lịch và đối tượng công khai được giữ</t>
        </is>
      </c>
      <c r="C164" s="102">
        <f>'Kiểm thử'!B18509</f>
        <v/>
      </c>
    </row>
    <row r="165" ht="30" customHeight="1">
      <c r="A165" s="102" t="inlineStr">
        <is>
          <t>TC-RS-FUNC-029</t>
        </is>
      </c>
      <c r="B165" s="110" t="inlineStr">
        <is>
          <t>Công cụ phiếu điểm（通知表ツール）: bốn cách hiển thị đỏ trên PDF</t>
        </is>
      </c>
      <c r="C165" s="102">
        <f>'Kiểm thử'!B18826</f>
        <v/>
      </c>
    </row>
    <row r="166" ht="30" customHeight="1">
      <c r="A166" s="102" t="inlineStr">
        <is>
          <t>TC-RS-FUNC-030</t>
        </is>
      </c>
      <c r="B166" s="110" t="inlineStr">
        <is>
          <t>Phiếu điểm: thứ tự điều kiện và dừng ở điều kiện khớp đầu tiên</t>
        </is>
      </c>
      <c r="C166" s="102">
        <f>'Kiểm thử'!B19041</f>
        <v/>
      </c>
    </row>
    <row r="167" ht="44" customHeight="1">
      <c r="A167" s="102" t="inlineStr">
        <is>
          <t>TC-RS-FUNC-031</t>
        </is>
      </c>
      <c r="B167" s="110" t="inlineStr">
        <is>
          <t>Phiếu điểm: lưu qua Cập nhật（更新する）, mở lại giữ lựa chọn; chỉ dùng điều kiện đỏ vẫn được ghi nhận</t>
        </is>
      </c>
      <c r="C167" s="102">
        <f>'Kiểm thử'!B19462</f>
        <v/>
      </c>
    </row>
    <row r="168" ht="30" customHeight="1">
      <c r="A168" s="102" t="inlineStr">
        <is>
          <t>TC-RS-VAL-018</t>
        </is>
      </c>
      <c r="B168" s="110" t="inlineStr">
        <is>
          <t>Phiếu điểm: chỉ bắt buộc ký tự khi chọn phía trước/phía sau</t>
        </is>
      </c>
      <c r="C168" s="102">
        <f>'Kiểm thử'!B19578</f>
        <v/>
      </c>
    </row>
    <row r="169" ht="30" customHeight="1">
      <c r="A169" s="102" t="inlineStr">
        <is>
          <t>TC-RS-DATA-010</t>
        </is>
      </c>
      <c r="B169" s="110" t="inlineStr">
        <is>
          <t>Sao chép mẫu phiếu điểm giữ lựa chọn hiển thị đỏ</t>
        </is>
      </c>
      <c r="C169" s="102">
        <f>'Kiểm thử'!B19792</f>
        <v/>
      </c>
    </row>
    <row r="170" ht="44" customHeight="1">
      <c r="A170" s="102" t="inlineStr">
        <is>
          <t>TC-RS-UI-024</t>
        </is>
      </c>
      <c r="B170" s="110" t="inlineStr">
        <is>
          <t>Phiếu điểm: hộp Thiết lập hiển thị tùy chọn mục đăng ký điểm（成績登録項目オプション表示設定）</t>
        </is>
      </c>
      <c r="C170" s="102">
        <f>'Kiểm thử'!B19908</f>
        <v/>
      </c>
    </row>
    <row r="171" ht="30" customHeight="1">
      <c r="A171" s="102" t="inlineStr">
        <is>
          <t>TC-RS-REG-009</t>
        </is>
      </c>
      <c r="B171" s="110" t="inlineStr">
        <is>
          <t>Phiếu điểm: các điều kiện hiển thị hiện có giữ hành vi</t>
        </is>
      </c>
      <c r="C171" s="102">
        <f>'Kiểm thử'!B19973</f>
        <v/>
      </c>
    </row>
    <row r="172" ht="30" customHeight="1">
      <c r="A172" s="102" t="inlineStr">
        <is>
          <t>TC-RS-REG-010</t>
        </is>
      </c>
      <c r="B172" s="110" t="inlineStr">
        <is>
          <t>PDF phiếu: bố cục template không đổi khi có dấu đỏ</t>
        </is>
      </c>
      <c r="C172" s="102">
        <f>'Kiểm thử'!B20087</f>
        <v/>
      </c>
    </row>
    <row r="173" ht="30" customHeight="1">
      <c r="A173" s="102" t="inlineStr">
        <is>
          <t>TC-RS-FUNC-032</t>
        </is>
      </c>
      <c r="B173" s="110" t="inlineStr">
        <is>
          <t>Ba đầu ra dùng cùng kết quả cho cùng ô</t>
        </is>
      </c>
      <c r="C173" s="102">
        <f>'Kiểm thử'!B20151</f>
        <v/>
      </c>
    </row>
    <row r="174" ht="30" customHeight="1">
      <c r="A174" s="102" t="inlineStr">
        <is>
          <t>TC-RS-ERR-014</t>
        </is>
      </c>
      <c r="B174" s="110" t="inlineStr">
        <is>
          <t>Mục bị ẩn theo thiết lập ẩn mục nhập</t>
        </is>
      </c>
      <c r="C174" s="102">
        <f>'Kiểm thử'!B20367</f>
        <v/>
      </c>
    </row>
    <row r="175" ht="30" customHeight="1">
      <c r="A175" s="102" t="inlineStr">
        <is>
          <t>TC-RS-BR-001</t>
        </is>
      </c>
      <c r="B175" s="110" t="inlineStr">
        <is>
          <t>Chọn quy tắc khớp đầu tiên theo ưu tiên, không lấy ngưỡng nghiêm hơn</t>
        </is>
      </c>
      <c r="C175" s="102">
        <f>'Kiểm thử'!B20532</f>
        <v/>
      </c>
    </row>
    <row r="176" ht="30" customHeight="1">
      <c r="A176" s="102" t="inlineStr">
        <is>
          <t>TC-RS-BR-002</t>
        </is>
      </c>
      <c r="B176" s="110" t="inlineStr">
        <is>
          <t>Không quy tắc nào khớp khi đủ dữ liệu → Không áp dụng</t>
        </is>
      </c>
      <c r="C176" s="102">
        <f>'Kiểm thử'!B20648</f>
        <v/>
      </c>
    </row>
    <row r="177" ht="30" customHeight="1">
      <c r="A177" s="102" t="inlineStr">
        <is>
          <t>TC-RS-BR-003</t>
        </is>
      </c>
      <c r="B177" s="110" t="inlineStr">
        <is>
          <t>Ưu tiên 1 khớp nhưng thiếu dữ liệu → Chưa xét được, không chuyển xuống ưu tiên 2</t>
        </is>
      </c>
      <c r="C177" s="102">
        <f>'Kiểm thử'!B20713</f>
        <v/>
      </c>
    </row>
    <row r="178" ht="30" customHeight="1">
      <c r="A178" s="102" t="inlineStr">
        <is>
          <t>TC-RS-BR-036</t>
        </is>
      </c>
      <c r="B178" s="110" t="inlineStr">
        <is>
          <t>Cùng lượt đăng ký: ô thiếu nguồn chưa xét được, ô ngưỡng cố định vẫn được xét</t>
        </is>
      </c>
      <c r="C178" s="102">
        <f>'Kiểm thử'!B20878</f>
        <v/>
      </c>
    </row>
    <row r="179" ht="30" customHeight="1">
      <c r="A179" s="102" t="inlineStr">
        <is>
          <t>TC-RS-CALC-022</t>
        </is>
      </c>
      <c r="B179" s="110" t="inlineStr">
        <is>
          <t>Phân nhánh theo trung bình: A = 40 / 50 / 49.99 (dùng A trước làm tròn)</t>
        </is>
      </c>
      <c r="C179" s="102">
        <f>'Kiểm thử'!B20943</f>
        <v/>
      </c>
    </row>
    <row r="180" ht="30" customHeight="1">
      <c r="A180" s="102" t="inlineStr">
        <is>
          <t>TC-RS-CALC-023</t>
        </is>
      </c>
      <c r="B180" s="110" t="inlineStr">
        <is>
          <t>Biên nhánh A=60.00 và A=59.96</t>
        </is>
      </c>
      <c r="C180" s="102">
        <f>'Kiểm thử'!B21158</f>
        <v/>
      </c>
    </row>
    <row r="181" ht="30" customHeight="1">
      <c r="A181" s="102" t="inlineStr">
        <is>
          <t>TC-RS-CALC-024</t>
        </is>
      </c>
      <c r="B181" s="110" t="inlineStr">
        <is>
          <t>Tỷ lệ nhóm R = 70% khớp điều kiện ≥ 65%</t>
        </is>
      </c>
      <c r="C181" s="102">
        <f>'Kiểm thử'!B21272</f>
        <v/>
      </c>
    </row>
    <row r="182" ht="30" customHeight="1">
      <c r="A182" s="102" t="inlineStr">
        <is>
          <t>TC-RS-CALC-025</t>
        </is>
      </c>
      <c r="B182" s="110" t="inlineStr">
        <is>
          <t>Tỷ lệ nhóm 64.99% (hiển thị 65.0) không khớp ≥ 65%</t>
        </is>
      </c>
      <c r="C182" s="102">
        <f>'Kiểm thử'!B21386</f>
        <v/>
      </c>
    </row>
    <row r="183" ht="30" customHeight="1">
      <c r="A183" s="102" t="inlineStr">
        <is>
          <t>TC-RS-BR-012</t>
        </is>
      </c>
      <c r="B183" s="110" t="inlineStr">
        <is>
          <t>Điểm được xét là điểm cuối đã lưu (dự kiến, sửa tay, sau giới hạn miền điểm)</t>
        </is>
      </c>
      <c r="C183" s="102">
        <f>'Kiểm thử'!B21500</f>
        <v/>
      </c>
    </row>
    <row r="184" ht="30" customHeight="1">
      <c r="A184" s="102" t="inlineStr">
        <is>
          <t>TC-RS-BR-013</t>
        </is>
      </c>
      <c r="B184" s="110" t="inlineStr">
        <is>
          <t>Cờ Chưa dự thi（未受験） không loại điểm số khỏi xét</t>
        </is>
      </c>
      <c r="C184" s="102">
        <f>'Kiểm thử'!B21716</f>
        <v/>
      </c>
    </row>
    <row r="185" ht="30" customHeight="1">
      <c r="A185" s="102" t="inlineStr">
        <is>
          <t>TC-RS-BR-014</t>
        </is>
      </c>
      <c r="B185" s="110" t="inlineStr">
        <is>
          <t>Ô trống không bị coi là 0 (trạng thái Không có điểm)</t>
        </is>
      </c>
      <c r="C185" s="102">
        <f>'Kiểm thử'!B21882</f>
        <v/>
      </c>
    </row>
    <row r="186" ht="30" customHeight="1">
      <c r="A186" s="102" t="inlineStr">
        <is>
          <t>TC-RS-BR-030</t>
        </is>
      </c>
      <c r="B186" s="110" t="inlineStr">
        <is>
          <t>Ô điểm đơn vị được xét riêng theo từng đơn vị</t>
        </is>
      </c>
      <c r="C186" s="102">
        <f>'Kiểm thử'!B21997</f>
        <v/>
      </c>
    </row>
    <row r="187" ht="30" customHeight="1">
      <c r="A187" s="102" t="inlineStr">
        <is>
          <t>TC-RS-REG-003</t>
        </is>
      </c>
      <c r="B187" s="110" t="inlineStr">
        <is>
          <t>Ô nhập tay được AutoRating bỏ qua vẫn giữ giá trị tay và vẫn được xét đỏ</t>
        </is>
      </c>
      <c r="C187" s="102">
        <f>'Kiểm thử'!B22062</f>
        <v/>
      </c>
    </row>
    <row r="188" ht="30" customHeight="1">
      <c r="A188" s="102" t="inlineStr">
        <is>
          <t>TC-RS-BR-031</t>
        </is>
      </c>
      <c r="B188" s="110" t="inlineStr">
        <is>
          <t>Giáo viên có quyền sửa mục cấu hình được quy tắc đỏ</t>
        </is>
      </c>
      <c r="C188" s="102">
        <f>'Kiểm thử'!B22127</f>
        <v/>
      </c>
    </row>
    <row r="189" ht="30" customHeight="1">
      <c r="A189" s="102" t="inlineStr">
        <is>
          <t>TC-RS-BR-032</t>
        </is>
      </c>
      <c r="B189" s="110" t="inlineStr">
        <is>
          <t>Vào được màn nhưng không có quyền sửa mục → không sửa được quy tắc của mục đó</t>
        </is>
      </c>
      <c r="C189" s="102">
        <f>'Kiểm thử'!B22392</f>
        <v/>
      </c>
    </row>
    <row r="190" ht="30" customHeight="1">
      <c r="A190" s="102" t="inlineStr">
        <is>
          <t>TC-RS-BR-033</t>
        </is>
      </c>
      <c r="B190" s="110" t="inlineStr">
        <is>
          <t>Quyền sửa mục không tự cấp quyền chạy hàng loạt</t>
        </is>
      </c>
      <c r="C190" s="102">
        <f>'Kiểm thử'!B22457</f>
        <v/>
      </c>
    </row>
    <row r="191" ht="30" customHeight="1">
      <c r="A191" s="102" t="inlineStr">
        <is>
          <t>TC-RS-ERR-006</t>
        </is>
      </c>
      <c r="B191" s="110" t="inlineStr">
        <is>
          <t>Gửi request lưu quy tắc trực tiếp khi không có quyền sửa mục</t>
        </is>
      </c>
      <c r="C191" s="102">
        <f>'Kiểm thử'!B22522</f>
        <v/>
      </c>
    </row>
    <row r="192" ht="30" customHeight="1">
      <c r="A192" s="102" t="inlineStr">
        <is>
          <t>TC-RS-ERR-007</t>
        </is>
      </c>
      <c r="B192" s="110" t="inlineStr">
        <is>
          <t>Giả mạo ID khác trường/năm hoặc nguồn không được phép</t>
        </is>
      </c>
      <c r="C192" s="102">
        <f>'Kiểm thử'!B22688</f>
        <v/>
      </c>
    </row>
    <row r="193" ht="30" customHeight="1">
      <c r="A193" s="102" t="inlineStr">
        <is>
          <t>TC-RS-ERR-008</t>
        </is>
      </c>
      <c r="B193" s="110" t="inlineStr">
        <is>
          <t>Gọi trực tiếp request chạy tính toán hàng loạt khi không có quyền chạy</t>
        </is>
      </c>
      <c r="C193" s="102">
        <f>'Kiểm thử'!B23254</f>
        <v/>
      </c>
    </row>
    <row r="194" ht="30" customHeight="1">
      <c r="A194" s="102" t="inlineStr">
        <is>
          <t>TC-RS-ERR-009</t>
        </is>
      </c>
      <c r="B194" s="110" t="inlineStr">
        <is>
          <t>Server kiểm miền giá trị khi bỏ qua kiểm tra phía trình duyệt</t>
        </is>
      </c>
      <c r="C194" s="102">
        <f>'Kiểm thử'!B23318</f>
        <v/>
      </c>
    </row>
    <row r="195" ht="30" customHeight="1">
      <c r="A195" s="102" t="inlineStr">
        <is>
          <t>TC-RS-ERR-010</t>
        </is>
      </c>
      <c r="B195" s="110" t="inlineStr">
        <is>
          <t>Server không tin cờ đỏ hoặc ngưỡng do trình duyệt gửi lên</t>
        </is>
      </c>
      <c r="C195" s="102">
        <f>'Kiểm thử'!B24132</f>
        <v/>
      </c>
    </row>
    <row r="196" ht="30" customHeight="1">
      <c r="A196" s="102" t="inlineStr">
        <is>
          <t>TC-RS-ERR-017</t>
        </is>
      </c>
      <c r="B196" s="110" t="inlineStr">
        <is>
          <t>Tên quy tắc và ký hiệu hiển thị như chữ, không bị thực thi</t>
        </is>
      </c>
      <c r="C196" s="102">
        <f>'Kiểm thử'!B24548</f>
        <v/>
      </c>
    </row>
    <row r="197" ht="30" customHeight="1">
      <c r="A197" s="102" t="inlineStr">
        <is>
          <t>TC-RS-REG-015</t>
        </is>
      </c>
      <c r="B197" s="110" t="inlineStr">
        <is>
          <t>Quyền học sinh/phụ huynh giữ nguyên</t>
        </is>
      </c>
      <c r="C197" s="102">
        <f>'Kiểm thử'!B24713</f>
        <v/>
      </c>
    </row>
    <row r="198" ht="30" customHeight="1">
      <c r="A198" s="102" t="inlineStr">
        <is>
          <t>TC-RS-VAL-006</t>
        </is>
      </c>
      <c r="B198" s="110" t="inlineStr">
        <is>
          <t>Tỷ lệ N: biên −1 / 0 / 100 / 101</t>
        </is>
      </c>
      <c r="C198" s="102">
        <f>'Kiểm thử'!B24829</f>
        <v/>
      </c>
    </row>
    <row r="199" ht="30" customHeight="1">
      <c r="A199" s="102" t="inlineStr">
        <is>
          <t>TC-RS-VAL-007</t>
        </is>
      </c>
      <c r="B199" s="110" t="inlineStr">
        <is>
          <t>Xử lý phần lẻ: bắt buộc chọn cách làm tròn; p = 0 / 1 / 9 / 10; lần đầu p=1</t>
        </is>
      </c>
      <c r="C199" s="102">
        <f>'Kiểm thử'!B25143</f>
        <v/>
      </c>
    </row>
    <row r="200" ht="30" customHeight="1">
      <c r="A200" s="102" t="inlineStr">
        <is>
          <t>TC-RS-CALC-005</t>
        </is>
      </c>
      <c r="B200" s="110" t="inlineStr">
        <is>
          <t>Tỷ lệ 30% với M=100</t>
        </is>
      </c>
      <c r="C200" s="102">
        <f>'Kiểm thử'!B25459</f>
        <v/>
      </c>
    </row>
    <row r="201" ht="30" customHeight="1">
      <c r="A201" s="102" t="inlineStr">
        <is>
          <t>TC-RS-CALC-006</t>
        </is>
      </c>
      <c r="B201" s="110" t="inlineStr">
        <is>
          <t>Tỷ lệ cho ngưỡng lẻ: M=45, N=30 → T=13.5</t>
        </is>
      </c>
      <c r="C201" s="102">
        <f>'Kiểm thử'!B25573</f>
        <v/>
      </c>
    </row>
    <row r="202" ht="30" customHeight="1">
      <c r="A202" s="102" t="inlineStr">
        <is>
          <t>TC-RS-CALC-007</t>
        </is>
      </c>
      <c r="B202" s="110" t="inlineStr">
        <is>
          <t>Tỷ lệ có xử lý phần lẻ: xuống / gần nhất / lên tại p1</t>
        </is>
      </c>
      <c r="C202" s="102">
        <f>'Kiểm thử'!B25687</f>
        <v/>
      </c>
    </row>
    <row r="203" ht="30" customHeight="1">
      <c r="A203" s="102" t="inlineStr">
        <is>
          <t>TC-RS-CALC-008</t>
        </is>
      </c>
      <c r="B203" s="110" t="inlineStr">
        <is>
          <t>Ví dụ đặc tả v2: M=75, N=30, S=22.2</t>
        </is>
      </c>
      <c r="C203" s="102">
        <f>'Kiểm thử'!B26101</f>
        <v/>
      </c>
    </row>
    <row r="204" ht="30" customHeight="1">
      <c r="A204" s="102" t="inlineStr">
        <is>
          <t>TC-RS-CALC-009</t>
        </is>
      </c>
      <c r="B204" s="110" t="inlineStr">
        <is>
          <t>Tỷ lệ biên N=0 và N=100</t>
        </is>
      </c>
      <c r="C204" s="102">
        <f>'Kiểm thử'!B26215</f>
        <v/>
      </c>
    </row>
    <row r="205" ht="30" customHeight="1">
      <c r="A205" s="102" t="inlineStr">
        <is>
          <t>TC-RS-CALC-010</t>
        </is>
      </c>
      <c r="B205" s="110" t="inlineStr">
        <is>
          <t>Tỷ lệ với M = 0, M &lt; 0 hoặc không xác định → Chưa xét được; cố định vẫn xét</t>
        </is>
      </c>
      <c r="C205" s="102">
        <f>'Kiểm thử'!B26429</f>
        <v/>
      </c>
    </row>
    <row r="206" ht="30" customHeight="1">
      <c r="A206" s="102" t="inlineStr">
        <is>
          <t>TC-RS-CALC-011</t>
        </is>
      </c>
      <c r="B206" s="110" t="inlineStr">
        <is>
          <t>Phân giải M: mặc định → đơn vị → lựa chọn lớp</t>
        </is>
      </c>
      <c r="C206" s="102">
        <f>'Kiểm thử'!B26644</f>
        <v/>
      </c>
    </row>
    <row r="207" ht="30" customHeight="1">
      <c r="A207" s="102" t="inlineStr">
        <is>
          <t>TC-RS-CALC-012</t>
        </is>
      </c>
      <c r="B207" s="110" t="inlineStr">
        <is>
          <t>Tỷ lệ dùng M hiện hành, không dùng M của bản tổng hợp đã chốt</t>
        </is>
      </c>
      <c r="C207" s="102">
        <f>'Kiểm thử'!B26810</f>
        <v/>
      </c>
    </row>
    <row r="208" ht="30" customHeight="1">
      <c r="A208" s="102" t="inlineStr">
        <is>
          <t>TC-RS-UI-014</t>
        </is>
      </c>
      <c r="B208" s="110" t="inlineStr">
        <is>
          <t>Màn Tỷ lệ điểm tối đa（得点率）: mô tả M và xử lý phần lẻ</t>
        </is>
      </c>
      <c r="C208" s="102">
        <f>'Kiểm thử'!B26874</f>
        <v/>
      </c>
    </row>
    <row r="209" ht="30" customHeight="1">
      <c r="A209" s="102" t="inlineStr">
        <is>
          <t>TC-RS-DATA-002</t>
        </is>
      </c>
      <c r="B209" s="110" t="inlineStr">
        <is>
          <t>Kết quả lưu theo định danh ô; mỗi ô chỉ một kết quả hiện hành</t>
        </is>
      </c>
      <c r="C209" s="102">
        <f>'Kiểm thử'!B26939</f>
        <v/>
      </c>
    </row>
    <row r="210" ht="30" customHeight="1">
      <c r="A210" s="102" t="inlineStr">
        <is>
          <t>TC-RS-DATA-003</t>
        </is>
      </c>
      <c r="B210" s="110" t="inlineStr">
        <is>
          <t>Sáu trạng thái phân biệt được khi lưu</t>
        </is>
      </c>
      <c r="C210" s="102">
        <f>'Kiểm thử'!B27007</f>
        <v/>
      </c>
    </row>
    <row r="211" ht="30" customHeight="1">
      <c r="A211" s="102" t="inlineStr">
        <is>
          <t>TC-RS-DATA-005</t>
        </is>
      </c>
      <c r="B211" s="110" t="inlineStr">
        <is>
          <t>Xét điểm đỏ không ghi đè điểm học sinh</t>
        </is>
      </c>
      <c r="C211" s="102">
        <f>'Kiểm thử'!B27072</f>
        <v/>
      </c>
    </row>
    <row r="212" ht="30" customHeight="1">
      <c r="A212" s="102" t="inlineStr">
        <is>
          <t>TC-RS-DATA-007</t>
        </is>
      </c>
      <c r="B212" s="110" t="inlineStr">
        <is>
          <t>Cấu hình trình bày ở từng đầu ra lưu riêng, không làm đổi quy tắc/kết quả</t>
        </is>
      </c>
      <c r="C212" s="102">
        <f>'Kiểm thử'!B27138</f>
        <v/>
      </c>
    </row>
    <row r="213" ht="30" customHeight="1">
      <c r="A213" s="102" t="inlineStr">
        <is>
          <t>TC-RS-DATA-008</t>
        </is>
      </c>
      <c r="B213" s="110" t="inlineStr">
        <is>
          <t>Lưu thông tin giải thích kết quả</t>
        </is>
      </c>
      <c r="C213" s="102">
        <f>'Kiểm thử'!B27304</f>
        <v/>
      </c>
    </row>
    <row r="214" ht="30" customHeight="1">
      <c r="A214" s="102" t="inlineStr">
        <is>
          <t>TC-RS-DATA-011</t>
        </is>
      </c>
      <c r="B214" s="110" t="inlineStr">
        <is>
          <t>Bảng/cột mới theo quy tắc schema của BLEND</t>
        </is>
      </c>
      <c r="C214" s="102">
        <f>'Kiểm thử'!B27369</f>
        <v/>
      </c>
    </row>
    <row r="215" ht="30" customHeight="1">
      <c r="A215" s="102" t="inlineStr">
        <is>
          <t>TC-RS-DATA-012</t>
        </is>
      </c>
      <c r="B215" s="110" t="inlineStr">
        <is>
          <t>Lưu, đọc lại và sao chép hiệu ứng đỏ theo dòng mục của cấu hình công khai</t>
        </is>
      </c>
      <c r="C215" s="102">
        <f>'Kiểm thử'!B27435</f>
        <v/>
      </c>
    </row>
    <row r="216" ht="30" customHeight="1">
      <c r="A216" s="102" t="inlineStr">
        <is>
          <t>TC-RS-DATA-013</t>
        </is>
      </c>
      <c r="B216" s="110" t="inlineStr">
        <is>
          <t>Phiên bản quy tắc, dòng điều khiển và thế hệ ô được cập nhật đúng sự kiện</t>
        </is>
      </c>
      <c r="C216" s="102">
        <f>'Kiểm thử'!B27601</f>
        <v/>
      </c>
    </row>
    <row r="217" ht="30" customHeight="1">
      <c r="A217" s="102" t="inlineStr">
        <is>
          <t>TC-RS-DATA-014</t>
        </is>
      </c>
      <c r="B217" s="110" t="inlineStr">
        <is>
          <t>Legacy: báo cáo riêng trường vẫn giữ cách dùng điểm đỏ cũ</t>
        </is>
      </c>
      <c r="C217" s="102">
        <f>'Kiểm thử'!B27817</f>
        <v/>
      </c>
    </row>
    <row r="218" ht="30" customHeight="1">
      <c r="A218" s="102" t="inlineStr">
        <is>
          <t>TC-RS-DATA-015</t>
        </is>
      </c>
      <c r="B218" s="110" t="inlineStr">
        <is>
          <t>Sao chép cấu hình giữ riêng legacy và không sao chép kết quả cá nhân</t>
        </is>
      </c>
      <c r="C218" s="102">
        <f>'Kiểm thử'!B27882</f>
        <v/>
      </c>
    </row>
    <row r="219" ht="30" customHeight="1">
      <c r="A219" s="102" t="inlineStr">
        <is>
          <t>TC-RS-DATA-016</t>
        </is>
      </c>
      <c r="B219" s="110" t="inlineStr">
        <is>
          <t>Kế thừa năm mới không dùng bản chốt hoặc kết quả cá nhân của năm cũ</t>
        </is>
      </c>
      <c r="C219" s="102">
        <f>'Kiểm thử'!B27948</f>
        <v/>
      </c>
    </row>
    <row r="220" ht="30" customHeight="1">
      <c r="A220" s="102" t="inlineStr">
        <is>
          <t>TC-RS-DATA-017</t>
        </is>
      </c>
      <c r="B220" s="110" t="inlineStr">
        <is>
          <t>Xuất/nhập cấu hình giữ legacy riêng và không nhập kết quả cá nhân</t>
        </is>
      </c>
      <c r="C220" s="102">
        <f>'Kiểm thử'!B28014</f>
        <v/>
      </c>
    </row>
    <row r="221" ht="30" customHeight="1">
      <c r="A221" s="102" t="inlineStr">
        <is>
          <t>TC-RS-DATA-018</t>
        </is>
      </c>
      <c r="B221" s="110" t="inlineStr">
        <is>
          <t>Khôi phục/thay khung không gắn kết quả vào ô mới</t>
        </is>
      </c>
      <c r="C221" s="102">
        <f>'Kiểm thử'!B28080</f>
        <v/>
      </c>
    </row>
    <row r="222" ht="30" customHeight="1">
      <c r="A222" s="102" t="inlineStr">
        <is>
          <t>TC-RS-DATA-019</t>
        </is>
      </c>
      <c r="B222" s="110" t="inlineStr">
        <is>
          <t>Đồng bộ cấu hình không đồng nghĩa đã xét</t>
        </is>
      </c>
      <c r="C222" s="102">
        <f>'Kiểm thử'!B28146</f>
        <v/>
      </c>
    </row>
    <row r="223" ht="30" customHeight="1">
      <c r="A223" s="102" t="inlineStr">
        <is>
          <t>TC-RS-DATA-006</t>
        </is>
      </c>
      <c r="B223" s="110" t="inlineStr">
        <is>
          <t>Giá trị legacy giữ nguyên khi thay đổi rule mới</t>
        </is>
      </c>
      <c r="C223" s="102">
        <f>'Kiểm thử'!B28212</f>
        <v/>
      </c>
    </row>
    <row r="224" ht="30" customHeight="1">
      <c r="A224" s="102" t="inlineStr">
        <is>
          <t>TC-RS-DATA-009</t>
        </is>
      </c>
      <c r="B224" s="110" t="inlineStr">
        <is>
          <t>Copy, kế thừa năm, import/export và sync không mang kết quả cũ</t>
        </is>
      </c>
      <c r="C224" s="102">
        <f>'Kiểm thử'!B28277</f>
        <v/>
      </c>
    </row>
    <row r="225" ht="30" customHeight="1">
      <c r="A225" s="102" t="inlineStr">
        <is>
          <t>TC-RS-UI-018</t>
        </is>
      </c>
      <c r="B225" s="110" t="inlineStr">
        <is>
          <t>Màn Tổng hợp thành tích（成績集計）: nút xanh/cam và lần chạy trước</t>
        </is>
      </c>
      <c r="C225" s="102">
        <f>'Kiểm thử'!B28493</f>
        <v/>
      </c>
    </row>
    <row r="226" ht="30" customHeight="1">
      <c r="A226" s="102" t="inlineStr">
        <is>
          <t>TC-RS-UI-019</t>
        </is>
      </c>
      <c r="B226" s="110" t="inlineStr">
        <is>
          <t>Thông báo kết quả sau khi chạy: hoàn tất, chưa xét được, thất bại một phần</t>
        </is>
      </c>
      <c r="C226" s="102">
        <f>'Kiểm thử'!B28557</f>
        <v/>
      </c>
    </row>
    <row r="227" ht="30" customHeight="1">
      <c r="A227" s="102" t="inlineStr">
        <is>
          <t>TC-RS-ERR-001</t>
        </is>
      </c>
      <c r="B227" s="110" t="inlineStr">
        <is>
          <t>Hiển thị theo từng trạng thái kết quả ở ba đầu ra</t>
        </is>
      </c>
      <c r="C227" s="102">
        <f>'Kiểm thử'!B28672</f>
        <v/>
      </c>
    </row>
    <row r="228" ht="30" customHeight="1">
      <c r="A228" s="102" t="inlineStr">
        <is>
          <t>TC-RS-ERR-002</t>
        </is>
      </c>
      <c r="B228" s="110" t="inlineStr">
        <is>
          <t>Lỗi kỹ thuật khi lưu kết quả khác với Chưa xét được; không báo thành công giả</t>
        </is>
      </c>
      <c r="C228" s="102">
        <f>'Kiểm thử'!B28838</f>
        <v/>
      </c>
    </row>
    <row r="229" ht="30" customHeight="1">
      <c r="A229" s="102" t="inlineStr">
        <is>
          <t>TC-RS-ERR-003</t>
        </is>
      </c>
      <c r="B229" s="110" t="inlineStr">
        <is>
          <t>Batch hoàn tất một phần: báo đúng phạm vi đã/không cập nhật</t>
        </is>
      </c>
      <c r="C229" s="102">
        <f>'Kiểm thử'!B29605</f>
        <v/>
      </c>
    </row>
    <row r="230" ht="30" customHeight="1">
      <c r="A230" s="102" t="inlineStr">
        <is>
          <t>TC-RS-ERR-004</t>
        </is>
      </c>
      <c r="B230" s="110" t="inlineStr">
        <is>
          <t>Đã xếp hàng không phải đã hoàn tất; bấm chạy trùng</t>
        </is>
      </c>
      <c r="C230" s="102">
        <f>'Kiểm thử'!B29773</f>
        <v/>
      </c>
    </row>
    <row r="231" ht="30" customHeight="1">
      <c r="A231" s="102" t="inlineStr">
        <is>
          <t>TC-RS-ERR-005</t>
        </is>
      </c>
      <c r="B231" s="110" t="inlineStr">
        <is>
          <t>Thông báo lỗi không lộ SQL, stack trace hoặc dữ liệu ngoài quyền</t>
        </is>
      </c>
      <c r="C231" s="102">
        <f>'Kiểm thử'!B29839</f>
        <v/>
      </c>
    </row>
    <row r="232" ht="30" customHeight="1">
      <c r="A232" s="102" t="inlineStr">
        <is>
          <t>TC-RS-ERR-011</t>
        </is>
      </c>
      <c r="B232" s="110" t="inlineStr">
        <is>
          <t>Lượt cũ hoàn tất muộn không ghi đè kết quả của điểm/cấu hình mới hơn</t>
        </is>
      </c>
      <c r="C232" s="102">
        <f>'Kiểm thử'!B30053</f>
        <v/>
      </c>
    </row>
    <row r="233" ht="30" customHeight="1">
      <c r="A233" s="102" t="inlineStr">
        <is>
          <t>TC-RS-ERR-018</t>
        </is>
      </c>
      <c r="B233" s="110" t="inlineStr">
        <is>
          <t>Hai lượt xét lần đầu đồng thời hoặc gửi lại thao tác hoàn tất chỉ tạo một kết quả</t>
        </is>
      </c>
      <c r="C233" s="102">
        <f>'Kiểm thử'!B30373</f>
        <v/>
      </c>
    </row>
    <row r="234" ht="30" customHeight="1">
      <c r="A234" s="102" t="inlineStr">
        <is>
          <t>TC-RS-ERR-019</t>
        </is>
      </c>
      <c r="B234" s="110" t="inlineStr">
        <is>
          <t>Đăng ký lần đầu đồng thời hai mục khác nhau của cùng học sinh giữ đủ cả hai</t>
        </is>
      </c>
      <c r="C234" s="102">
        <f>'Kiểm thử'!B30539</f>
        <v/>
      </c>
    </row>
    <row r="235" ht="30" customHeight="1">
      <c r="A235" s="102" t="inlineStr">
        <is>
          <t>TC-RS-UI-025</t>
        </is>
      </c>
      <c r="B235" s="110" t="inlineStr">
        <is>
          <t>Loại ngưỡng/điều kiện chưa thuộc phạm vi phát hành không hiện như đang hoạt động</t>
        </is>
      </c>
      <c r="C235" s="102">
        <f>'Kiểm thử'!B30604</f>
        <v/>
      </c>
    </row>
    <row r="236" ht="30" customHeight="1">
      <c r="A236" s="102" t="inlineStr">
        <is>
          <t>TC-RS-REG-001</t>
        </is>
      </c>
      <c r="B236" s="110" t="inlineStr">
        <is>
          <t>Điểm do tính tự động（自動計算） tạo ra không đổi khi có quy tắc đỏ</t>
        </is>
      </c>
      <c r="C236" s="102">
        <f>'Kiểm thử'!B30670</f>
        <v/>
      </c>
    </row>
    <row r="237" ht="30" customHeight="1">
      <c r="A237" s="102" t="inlineStr">
        <is>
          <t>TC-RS-REG-002</t>
        </is>
      </c>
      <c r="B237" s="110" t="inlineStr">
        <is>
          <t>Quy tắc đỏ không kế thừa hành vi "không khớp thì ghi NULL" của AutoRating</t>
        </is>
      </c>
      <c r="C237" s="102">
        <f>'Kiểm thử'!B30735</f>
        <v/>
      </c>
    </row>
    <row r="238" ht="30" customHeight="1">
      <c r="A238" s="102" t="inlineStr">
        <is>
          <t>TC-RS-REG-004</t>
        </is>
      </c>
      <c r="B238" s="110" t="inlineStr">
        <is>
          <t>Nút cam/nút xanh của trường đang dùng AutoRating hoạt động như trước</t>
        </is>
      </c>
      <c r="C238" s="102">
        <f>'Kiểm thử'!B30800</f>
        <v/>
      </c>
    </row>
    <row r="239" ht="30" customHeight="1">
      <c r="A239" s="102" t="inlineStr">
        <is>
          <t>TC-RS-REG-005</t>
        </is>
      </c>
      <c r="B239" s="110" t="inlineStr">
        <is>
          <t>Kết quả tổng hợp thứ hạng（順位集計） không đổi khi có quy tắc đỏ đọc nguồn</t>
        </is>
      </c>
      <c r="C239" s="102">
        <f>'Kiểm thử'!B30915</f>
        <v/>
      </c>
    </row>
    <row r="240" ht="30" customHeight="1">
      <c r="A240" s="102" t="inlineStr">
        <is>
          <t>TC-RS-REG-013</t>
        </is>
      </c>
      <c r="B240" s="110" t="inlineStr">
        <is>
          <t>Các màn điểm tối đa lưu và xếp hàng như trước</t>
        </is>
      </c>
      <c r="C240" s="102">
        <f>'Kiểm thử'!B30980</f>
        <v/>
      </c>
    </row>
    <row r="241" ht="30" customHeight="1">
      <c r="A241" s="102" t="inlineStr">
        <is>
          <t>TC-RS-REG-014</t>
        </is>
      </c>
      <c r="B241" s="110" t="inlineStr">
        <is>
          <t>Batch không phát sinh truy vấn theo từng ô（N+1）</t>
        </is>
      </c>
      <c r="C241" s="102">
        <f>'Kiểm thử'!B31146</f>
        <v/>
      </c>
    </row>
    <row r="242" ht="30" customHeight="1">
      <c r="A242" s="102" t="inlineStr">
        <is>
          <t>TC-RS-REG-016</t>
        </is>
      </c>
      <c r="B242" s="110" t="inlineStr">
        <is>
          <t>Đăng ký điểm: xử lý điểm liên quan và giao dịch giữ như trước</t>
        </is>
      </c>
      <c r="C242" s="102">
        <f>'Kiểm thử'!B31260</f>
        <v/>
      </c>
    </row>
    <row r="243" ht="30" customHeight="1">
      <c r="A243" s="102" t="inlineStr">
        <is>
          <t>TC-RS-REG-017</t>
        </is>
      </c>
      <c r="B243" s="110" t="inlineStr">
        <is>
          <t>Thiết lập ô nhập（入力欄設定）: các hàng hiện có không bị ảnh hưởng</t>
        </is>
      </c>
      <c r="C243" s="102">
        <f>'Kiểm thử'!B31426</f>
        <v/>
      </c>
    </row>
    <row r="244" ht="30" customHeight="1">
      <c r="A244" s="102" t="inlineStr">
        <is>
          <t>TC-RS-REG-011</t>
        </is>
      </c>
      <c r="B244" s="110" t="inlineStr">
        <is>
          <t>Consumer legacy giữ hành vi sau khi thêm rule đỏ</t>
        </is>
      </c>
      <c r="C244" s="102">
        <f>'Kiểm thử'!B31492</f>
        <v/>
      </c>
    </row>
    <row r="245" ht="30" customHeight="1">
      <c r="A245" s="102" t="inlineStr">
        <is>
          <t>TC-RS-REG-012</t>
        </is>
      </c>
      <c r="B245" s="110" t="inlineStr">
        <is>
          <t>Các luồng chuyển cấu hình không làm mất legacy</t>
        </is>
      </c>
      <c r="C245" s="102">
        <f>'Kiểm thử'!B31557</f>
        <v/>
      </c>
    </row>
  </sheetData>
  <autoFilter ref="A29:C245"/>
  <mergeCells count="12">
    <mergeCell ref="B13:C13"/>
    <mergeCell ref="B6:C6"/>
    <mergeCell ref="B7:C7"/>
    <mergeCell ref="B11:C11"/>
    <mergeCell ref="B5:C5"/>
    <mergeCell ref="B10:C10"/>
    <mergeCell ref="B14:C14"/>
    <mergeCell ref="B9:C9"/>
    <mergeCell ref="B8:C8"/>
    <mergeCell ref="A3:B3"/>
    <mergeCell ref="B4:C4"/>
    <mergeCell ref="B12:C12"/>
  </mergeCells>
  <hyperlinks>
    <hyperlink ref="B30" location="'Kiểm thử'!A5" display="Hàng Thiết lập điểm đỏ（赤点設定） xuất hiện trong Thiết lập ô nhập（入力欄設定） cho mục điểm số"/>
    <hyperlink ref="B31" location="'Kiểm thử'!A171" display="Mục kiểu lựa chọn và Đạt/không đạt（合否） không có thao tác tạo quy tắc đỏ có hiệu lực"/>
    <hyperlink ref="B32" location="'Kiểm thử'!A287" display="Thêm quy tắc qua Điều kiện áp dụng（適用条件） và Ngưỡng（基準設定） rồi quay lại danh sách"/>
    <hyperlink ref="B33" location="'Kiểm thử'!A354" display="Nhiều quy tắc hiển thị theo ưu tiên; đổi thứ tự bằng ▲▼ được lưu"/>
    <hyperlink ref="B34" location="'Kiểm thử'!A421" display="Xóa một quy tắc có xác nhận; Hủy（キャンセル） giữ nguyên"/>
    <hyperlink ref="B35" location="'Kiểm thử'!A537" display="Quay lại（戻る）/hủy chỉnh sửa không lưu dữ liệu đang nhập"/>
    <hyperlink ref="B36" location="'Kiểm thử'!A653" display="Quy tắc mới chỉ có điều kiện, chưa có ngưỡng, không tham gia xét"/>
    <hyperlink ref="B37" location="'Kiểm thử'!A821" display="Đổi tên quy tắc: giữ liên kết, thứ tự và kết quả"/>
    <hyperlink ref="B38" location="'Kiểm thử'!A887" display="Tên thiết lập: bắt buộc, độ dài, trùng tên"/>
    <hyperlink ref="B39" location="'Kiểm thử'!A1202" display="Lỗi khi lưu không làm mất cấu hình/kết quả đã lưu"/>
    <hyperlink ref="B40" location="'Kiểm thử'!A1267" display="Cấu hình lưu và mở lại đầy đủ, không cắt/làm tròn âm thầm"/>
    <hyperlink ref="B41" location="'Kiểm thử'!A1483" display="Xóa quy tắc không xóa dây chuyền kết quả hay điểm"/>
    <hyperlink ref="B42" location="'Kiểm thử'!A1548" display="Nhãn trạng thái ở hàng Thiết lập điểm đỏ（赤点設定） trong Thiết lập ô nhập（入力欄設定）"/>
    <hyperlink ref="B43" location="'Kiểm thử'!A1613" display="Cấu trúc màn danh sách Thiết lập điểm đỏ（赤点設定）"/>
    <hyperlink ref="B44" location="'Kiểm thử'!A1680" display="Định dạng tiêu đề màn danh sách"/>
    <hyperlink ref="B45" location="'Kiểm thử'!A1744" display="Tóm tắt điều kiện và ngưỡng trên từng dòng danh sách"/>
    <hyperlink ref="B46" location="'Kiểm thử'!A1808" display="Trạng thái danh sách trống"/>
    <hyperlink ref="B47" location="'Kiểm thử'!A1872" display="Hộp xác nhận khi xóa quy tắc cuối"/>
    <hyperlink ref="B48" location="'Kiểm thử'!A1936" display="Dòng quy tắc mới chỉ có điều kiện, chưa có ngưỡng"/>
    <hyperlink ref="B49" location="'Kiểm thử'!A2052" display="Danh sách trống không tự dựng rule từ cấu hình legacy"/>
    <hyperlink ref="B50" location="'Kiểm thử'!A2117" display="Điều kiện áp dụng: Toàn bộ đối tượng hoặc giới hạn bằng bộ lọc kế thừa từ tính tự động"/>
    <hyperlink ref="B51" location="'Kiểm thử'!A2234" display="Điều kiện phân nhánh theo Trung bình（平均点） được lưu cùng bộ nguồn"/>
    <hyperlink ref="B52" location="'Kiểm thử'!A2352" display="Điều kiện Tỷ lệ điểm của nhóm（集団の得点率） được lưu cùng bộ nguồn"/>
    <hyperlink ref="B53" location="'Kiểm thử'!A2417" display="Kết hợp bộ lọc: HOẶC trong cùng loại, VÀ giữa các loại"/>
    <hyperlink ref="B54" location="'Kiểm thử'!A2482" display="Điều kiện trung bình cùng nguồn kết hợp AND"/>
    <hyperlink ref="B55" location="'Kiểm thử'!A3599" display="Toàn bộ đối tượng（全員が対象） không vượt phạm vi mục, trường, năm"/>
    <hyperlink ref="B56" location="'Kiểm thử'!A3664" display="Mục lựa chọn không được xét, nhưng bộ lọc theo lựa chọn vẫn dùng để chọn đối tượng"/>
    <hyperlink ref="B57" location="'Kiểm thử'!A3729" display="Bộ lọc nhóm tổng hợp khác loại phải kết hợp VÀ"/>
    <hyperlink ref="B58" location="'Kiểm thử'!A3795" display="Chọn giới hạn bằng bộ lọc nhưng không có bộ lọc nào"/>
    <hyperlink ref="B59" location="'Kiểm thử'!A3859" display="Giá trị điều kiện phân nhánh (trung bình/tỷ lệ nhóm)"/>
    <hyperlink ref="B60" location="'Kiểm thử'!A4323" display="Màn Điều kiện áp dụng（適用条件設定）: bố cục và chuyển Toàn bộ/Bộ lọc"/>
    <hyperlink ref="B61" location="'Kiểm thử'!A4389" display="Khối điều kiện Trung bình（平均点） và nguồn tham chiếu, không có ô chọn &quot;kết quả tổng hợp dùng để tham chiếu&quot;"/>
    <hyperlink ref="B62" location="'Kiểm thử'!A4453" display="Khối điều kiện Tỷ lệ điểm của nhóm（集団の得点率）"/>
    <hyperlink ref="B63" location="'Kiểm thử'!A4517" display="Chọn loại ngưỡng làm thay đổi vùng nhập"/>
    <hyperlink ref="B64" location="'Kiểm thử'!A4682" display="Dấu so sánh Nhỏ hơn（未満）/Nhỏ hơn hoặc bằng（以下） được lưu và hiển thị"/>
    <hyperlink ref="B65" location="'Kiểm thử'!A4797" display="Điểm cố định: biên −1 / 0 / 100 / 101 với M=100"/>
    <hyperlink ref="B66" location="'Kiểm thử'!A5011" display="Điểm cố định phải ≤ M của mọi đối tượng (M=20 và M=100)"/>
    <hyperlink ref="B67" location="'Kiểm thử'!A5177" display="Mở rộng phạm vi sau khi lưu: kiểm lại ngưỡng cố định với M của đối tượng mới"/>
    <hyperlink ref="B68" location="'Kiểm thử'!A5241" display="Ngưỡng cố định/tỷ lệ trống hoặc không phải số"/>
    <hyperlink ref="B69" location="'Kiểm thử'!A5655" display="Điểm cố định thập phân"/>
    <hyperlink ref="B70" location="'Kiểm thử'!A5869" display="Ngưỡng cố định 30: S = 29 / 30 / 31 với [&lt;] và [≤]"/>
    <hyperlink ref="B71" location="'Kiểm thử'!A5984" display="Điểm 0 với ngưỡng 0 và 30"/>
    <hyperlink ref="B72" location="'Kiểm thử'!A6148" display="Điểm thập phân sát ngưỡng"/>
    <hyperlink ref="B73" location="'Kiểm thử'!A6262" display="Ngưỡng cố định giữ [T=N] khi M đổi về sau"/>
    <hyperlink ref="B74" location="'Kiểm thử'!A6327" display="Màn Ngưỡng（基準設定）: ba loại, dấu so sánh và câu giải thích đổi theo dấu"/>
    <hyperlink ref="B75" location="'Kiểm thử'!A6442" display="Mặc định khi tạo quy tắc mới"/>
    <hyperlink ref="B76" location="'Kiểm thử'!A6506" display="Ngưỡng cố định không hiển thị nguồn trung bình"/>
    <hyperlink ref="B77" location="'Kiểm thử'!A6570" display="Công thức: thêm/xóa dòng, kết quả dòng cuối là ngưỡng"/>
    <hyperlink ref="B78" location="'Kiểm thử'!A6636" display="Công thức phải có ít nhất một dòng"/>
    <hyperlink ref="B79" location="'Kiểm thử'!A6700" display="Chia cho số cố định 0 không lưu được"/>
    <hyperlink ref="B80" location="'Kiểm thử'!A6814" display="Toán hạng trống hoặc không phải số"/>
    <hyperlink ref="B81" location="'Kiểm thử'!A6978" display="Kết quả phép tính（式の結果） chỉ tham chiếu dòng phía trước"/>
    <hyperlink ref="B82" location="'Kiểm thử'!A7192" display="Xóa/đổi thứ tự dòng không tự nối lại tham chiếu"/>
    <hyperlink ref="B83" location="'Kiểm thử'!A7308" display="Số cố định trong công thức không bị giới hạn 0–100"/>
    <hyperlink ref="B84" location="'Kiểm thử'!A7472" display="Cảnh báo ngưỡng biên không chặn lưu"/>
    <hyperlink ref="B85" location="'Kiểm thử'!A7836" display="Kết quả công thức âm hoặc vượt M không phải lỗi lưu"/>
    <hyperlink ref="B86" location="'Kiểm thử'!A7950" display="Đổi loại ngưỡng trong cùng phiên sửa"/>
    <hyperlink ref="B87" location="'Kiểm thử'!A8018" display="Giới hạn công thức: 20/21 dòng và số chữ số của số cố định"/>
    <hyperlink ref="B88" location="'Kiểm thử'!A8282" display="Công thức một dòng với A=50"/>
    <hyperlink ref="B89" location="'Kiểm thử'!A8446" display="Làm tròn theo từng dòng: A=49.7"/>
    <hyperlink ref="B90" location="'Kiểm thử'!A8511" display="Công thức hai dòng theo Figma: (A÷2)×0.8, dòng 1 làm tròn xuống"/>
    <hyperlink ref="B91" location="'Kiểm thử'!A8677" display="Ngưỡng âm: A=15, A−20 → T=−5"/>
    <hyperlink ref="B92" location="'Kiểm thử'!A8892" display="Ngưỡng công thức vượt M vẫn hợp lệ"/>
    <hyperlink ref="B93" location="'Kiểm thử'!A8956" display="Công thức A−0 cho ngưỡng bằng A"/>
    <hyperlink ref="B94" location="'Kiểm thử'!A9021" display="Định nghĩa phương thức làm tròn, số âm và p=9"/>
    <hyperlink ref="B95" location="'Kiểm thử'!A9788" display="Làm tròn ngưỡng, không làm tròn điểm học sinh"/>
    <hyperlink ref="B96" location="'Kiểm thử'!A9903" display="Chia 0 phát sinh khi chạy → Chưa xét được"/>
    <hyperlink ref="B97" location="'Kiểm thử'!A10067" display="Không sai kết quả do sai số dấu phẩy động"/>
    <hyperlink ref="B98" location="'Kiểm thử'!A10281" display="Tràn số không tạo kết luận đỏ/không đỏ"/>
    <hyperlink ref="B99" location="'Kiểm thử'!A10446" display="Công thức cho T=0; ô trống vẫn là Không có điểm"/>
    <hyperlink ref="B100" location="'Kiểm thử'!A10560" display="Màn Công thức: thứ tự khối nguồn trung bình và dòng công thức"/>
    <hyperlink ref="B101" location="'Kiểm thử'!A10624" display="Bảng dòng công thức"/>
    <hyperlink ref="B102" location="'Kiểm thử'!A10689" display="Thông báo lỗi vượt điểm tối đa và chia 0"/>
    <hyperlink ref="B103" location="'Kiểm thử'!A10804" display="Quy trình vận hành dùng trung bình: tắt tự tổng hợp → nút xanh → nút cam"/>
    <hyperlink ref="B104" location="'Kiểm thử'!A10872" display="Nguồn của điều kiện áp dụng và nguồn của công thức lưu độc lập"/>
    <hyperlink ref="B105" location="'Kiểm thử'!A10939" display="Danh sách nhóm tham chiếu theo thiết lập tổng hợp hiện hữu"/>
    <hyperlink ref="B106" location="'Kiểm thử'!A11105" display="Nhóm tham chiếu tách khỏi đối tượng áp dụng và danh sách đang lọc ở đầu ra"/>
    <hyperlink ref="B107" location="'Kiểm thử'!A11171" display="Nguồn: bản đã chốt được ưu tiên hơn tổng hợp mới hơn"/>
    <hyperlink ref="B108" location="'Kiểm thử'!A11236" display="Nguồn: chưa có bản chốt → dùng tổng hợp hoàn tất mới nhất cùng phạm vi"/>
    <hyperlink ref="B109" location="'Kiểm thử'!A11402" display="Nguồn: bản đã chốt thiếu dữ liệu → Chưa xét được, không chuyển sang bản thường"/>
    <hyperlink ref="B110" location="'Kiểm thử'!A11467" display="Chưa có kết quả tổng hợp → Chưa xét được, không thay bằng 0 hay nhóm khác"/>
    <hyperlink ref="B111" location="'Kiểm thử'!A11532" display="Nguồn chỉ cần khi quy tắc đọc trung bình/tỷ lệ nhóm"/>
    <hyperlink ref="B112" location="'Kiểm thử'!A11697" display="Nhóm tham chiếu có lớp khác M không gây lỗi dừng xử lý"/>
    <hyperlink ref="B113" location="'Kiểm thử'!A11763" display="Bật tự tổng hợp khi đăng ký: hệ thống không chặn; quy tắc độc lập với trung bình vẫn xét"/>
    <hyperlink ref="B114" location="'Kiểm thử'!A11828" display="Nhóm lớp học（授業）: dùng kết quả tổng hợp của đúng lớp chứa ô đang xét"/>
    <hyperlink ref="B115" location="'Kiểm thử'!A11893" display="Nhóm môn học（科目グループ）: dùng cấu hình riêng của môn hoặc default đã lưu; thiếu/sai thì Chưa xét được"/>
    <hyperlink ref="B116" location="'Kiểm thử'!A12109" display="Loại nhóm được bật nhưng chưa có kết quả, hoặc tham chiếu đã lưu không còn hợp lệ → Chưa xét được, không tự đổi nhóm"/>
    <hyperlink ref="B117" location="'Kiểm thử'!A12276" display="Quy tắc dùng trung bình/tỷ lệ nhóm không lưu được khi thiếu nguồn"/>
    <hyperlink ref="B118" location="'Kiểm thử'!A12592" display="Server từ chối lưu nhóm tham chiếu không khả dụng hoặc ngoài trường/năm"/>
    <hyperlink ref="B119" location="'Kiểm thử'!A13008" display="Mẫu số trung bình khi có học sinh bị loại khỏi xếp hạng"/>
    <hyperlink ref="B120" location="'Kiểm thử'!A13072" display="Trung bình riêng cho từng đơn vị"/>
    <hyperlink ref="B121" location="'Kiểm thử'!A13136" display="Nguồn không có mẫu số hợp lệ (tổng điểm tối đa 0, số người có điểm 0) → Chưa xét được"/>
    <hyperlink ref="B122" location="'Kiểm thử'!A13250" display="Tỷ lệ nhóm: tử số và mẫu số lấy cùng tập đóng góp"/>
    <hyperlink ref="B123" location="'Kiểm thử'!A13315" display="Chưa xét được: sửa nguồn nhưng chỉ lưu cấu hình vẫn chưa có kết luận; xét lại mới có"/>
    <hyperlink ref="B124" location="'Kiểm thử'!A13380" display="Không fallback sang legacy khi rule mới thiếu hoặc không khớp dữ liệu"/>
    <hyperlink ref="B125" location="'Kiểm thử'!A13495" display="Đăng ký/sửa điểm trực tiếp ở màn lớp kích hoạt xét"/>
    <hyperlink ref="B126" location="'Kiểm thử'!A13560" display="Nhập CSV điểm lớp học phần (NB) kích hoạt xét"/>
    <hyperlink ref="B127" location="'Kiểm thử'!A13676" display="Liên kết kết quả chấm bài thi kích hoạt xét"/>
    <hyperlink ref="B128" location="'Kiểm thử'!A13792" display="Lưu lựa chọn điểm tối đa của lớp khi đăng ký điểm kích hoạt xét"/>
    <hyperlink ref="B129" location="'Kiểm thử'!A13857" display="Lưu Thiết lập điểm tối đa hàng loạt（満点一括設定） xếp hàng tính toán rồi mới có kết quả mới"/>
    <hyperlink ref="B130" location="'Kiểm thử'!A13923" display="Trường chỉ có quy tắc đỏ (không có tính tự động) vẫn có đường chạy hàng loạt"/>
    <hyperlink ref="B131" location="'Kiểm thử'!A13989" display="Nhập CSV đăng ký điểm lớp chủ nhiệm hàng loạt（HR成績CSV一括登録） kích hoạt xét"/>
    <hyperlink ref="B132" location="'Kiểm thử'!A14105" display="Lưu cấu hình không xét; kết quả trước giữ tới lần chạy lại"/>
    <hyperlink ref="B133" location="'Kiểm thử'!A14173" display="Sửa điểm 29 → 40 được lưu và xét trong cùng lượt"/>
    <hyperlink ref="B134" location="'Kiểm thử'!A14238" display="Chạy lại không tạo được ngưỡng hợp lệ → Chưa xét được, ngừng kết quả cũ, giữ điểm"/>
    <hyperlink ref="B135" location="'Kiểm thử'!A14405" display="Đổi phạm vi làm ô không còn quy tắc áp dụng: giữ khi chưa chạy; chạy lại → Không áp dụng"/>
    <hyperlink ref="B136" location="'Kiểm thử'!A14470" display="Xóa quy tắc cuối: giữ kết quả tới lần chạy lại; chạy lại → Không áp dụng"/>
    <hyperlink ref="B137" location="'Kiểm thử'!A14587" display="Xóa điểm thành trống → Không có điểm, bỏ dấu đỏ cũ"/>
    <hyperlink ref="B138" location="'Kiểm thử'!A14652" display="Tổng hợp lại hoặc đổi nhóm tham chiếu không tự xét lại"/>
    <hyperlink ref="B139" location="'Kiểm thử'!A14718" display="Đổi M ở Thiết lập điểm tối đa（満点設定） hoặc Giá trị tối đa（最大値） không tự xét lại"/>
    <hyperlink ref="B140" location="'Kiểm thử'!A14784" display="Nút xanh Thực hiện tổng hợp（集計実行） không xét điểm đỏ"/>
    <hyperlink ref="B141" location="'Kiểm thử'!A14849" display="Xem, xuất, công khai, in lại không kích hoạt xét"/>
    <hyperlink ref="B142" location="'Kiểm thử'!A15115" display="Chạy lại nhiều lần cho cùng kết quả, không nhân đôi dấu"/>
    <hyperlink ref="B143" location="'Kiểm thử'!A15180" display="Xóa hoặc thôi dùng điểm đơn vị thì ngừng kết quả đỏ cũ của ô đó"/>
    <hyperlink ref="B144" location="'Kiểm thử'!A15297" display="Nhập CSV lựa chọn điểm tối đa của lớp"/>
    <hyperlink ref="B145" location="'Kiểm thử'!A15363" display="Bản ghi điểm bị xóa rồi tạo lại không kế thừa kết quả cũ"/>
    <hyperlink ref="B146" location="'Kiểm thử'!A15529" display="Trích xuất thành tích（成績抽出）: các tùy chọn đỏ được lưu và mở lại đúng"/>
    <hyperlink ref="B147" location="'Kiểm thử'!A15697" display="Trích xuất: lọc giữ học sinh có ít nhất một ô đỏ trong phạm vi đang xét"/>
    <hyperlink ref="B148" location="'Kiểm thử'!A16063" display="Trích xuất: chỉ ô đỏ được thêm ký hiệu/tô màu"/>
    <hyperlink ref="B149" location="'Kiểm thử'!A16179" display="Trích xuất: file Excel khớp màn hình"/>
    <hyperlink ref="B150" location="'Kiểm thử'!A16445" display="Trích xuất: bật ký hiệu thì bắt buộc nhập ký hiệu"/>
    <hyperlink ref="B151" location="'Kiểm thử'!A16559" display="Trích xuất: vị trí và nhãn tùy chọn đỏ"/>
    <hyperlink ref="B152" location="'Kiểm thử'!A16624" display="Trích xuất: kết quả 0 học sinh và hiển thị ô đỏ số thập phân"/>
    <hyperlink ref="B153" location="'Kiểm thử'!A16738" display="Trích xuất: ô vừa thỏa điều kiện màu khác vừa là ô đỏ"/>
    <hyperlink ref="B154" location="'Kiểm thử'!A16803" display="Trích xuất: mẫu hiện có không cấu hình đỏ cho kết quả như trước"/>
    <hyperlink ref="B155" location="'Kiểm thử'!A17018" display="Công khai thành tích（成績公開）: ba hiệu ứng đỏ hiển thị đúng ở màn học sinh"/>
    <hyperlink ref="B156" location="'Kiểm thử'!A17234" display="Công khai: kết hợp hiệu ứng Điểm dự kiến（見込点） và điểm đỏ, khử trùng"/>
    <hyperlink ref="B157" location="'Kiểm thử'!A17550" display="Công khai: web, API và PDF học sinh dùng cùng kết quả và cùng hiệu ứng"/>
    <hyperlink ref="B158" location="'Kiểm thử'!A17715" display="Công khai: cùng mục dùng hiệu ứng đỏ khác nhau ở hai cấu hình công khai"/>
    <hyperlink ref="B159" location="'Kiểm thử'!A18031" display="Đầu ra không bị chặn vì chưa có hoặc chưa xét được kết quả đỏ"/>
    <hyperlink ref="B160" location="'Kiểm thử'!A18246" display="Công khai: dòng cách hiển thị đỏ theo mục có thiết lập, kể cả khi 0 học sinh đỏ hoặc vừa xóa thiết lập cuối"/>
    <hyperlink ref="B161" location="'Kiểm thử'!A18312" display="Công khai: danh sách tùy chọn hiển thị đỏ"/>
    <hyperlink ref="B162" location="'Kiểm thử'!A18376" display="Bộ chọn hiệu ứng đỏ của điểm thường và điểm đơn vị hiển thị độc lập"/>
    <hyperlink ref="B163" location="'Kiểm thử'!A18442" display="Công khai: hiệu ứng Điểm dự kiến（見込点） và thiết lập khác được giữ"/>
    <hyperlink ref="B164" location="'Kiểm thử'!A18508" display="Công khai: điểm ẩn, lịch và đối tượng công khai được giữ"/>
    <hyperlink ref="B165" location="'Kiểm thử'!A18825" display="Công cụ phiếu điểm（通知表ツール）: bốn cách hiển thị đỏ trên PDF"/>
    <hyperlink ref="B166" location="'Kiểm thử'!A19040" display="Phiếu điểm: thứ tự điều kiện và dừng ở điều kiện khớp đầu tiên"/>
    <hyperlink ref="B167" location="'Kiểm thử'!A19461" display="Phiếu điểm: lưu qua Cập nhật（更新する）, mở lại giữ lựa chọn; chỉ dùng điều kiện đỏ vẫn được ghi nhận"/>
    <hyperlink ref="B168" location="'Kiểm thử'!A19577" display="Phiếu điểm: chỉ bắt buộc ký tự khi chọn phía trước/phía sau"/>
    <hyperlink ref="B169" location="'Kiểm thử'!A19791" display="Sao chép mẫu phiếu điểm giữ lựa chọn hiển thị đỏ"/>
    <hyperlink ref="B170" location="'Kiểm thử'!A19907" display="Phiếu điểm: hộp Thiết lập hiển thị tùy chọn mục đăng ký điểm（成績登録項目オプション表示設定）"/>
    <hyperlink ref="B171" location="'Kiểm thử'!A19972" display="Phiếu điểm: các điều kiện hiển thị hiện có giữ hành vi"/>
    <hyperlink ref="B172" location="'Kiểm thử'!A20086" display="PDF phiếu: bố cục template không đổi khi có dấu đỏ"/>
    <hyperlink ref="B173" location="'Kiểm thử'!A20150" display="Ba đầu ra dùng cùng kết quả cho cùng ô"/>
    <hyperlink ref="B174" location="'Kiểm thử'!A20366" display="Mục bị ẩn theo thiết lập ẩn mục nhập"/>
    <hyperlink ref="B175" location="'Kiểm thử'!A20531" display="Chọn quy tắc khớp đầu tiên theo ưu tiên, không lấy ngưỡng nghiêm hơn"/>
    <hyperlink ref="B176" location="'Kiểm thử'!A20647" display="Không quy tắc nào khớp khi đủ dữ liệu → Không áp dụng"/>
    <hyperlink ref="B177" location="'Kiểm thử'!A20712" display="Ưu tiên 1 khớp nhưng thiếu dữ liệu → Chưa xét được, không chuyển xuống ưu tiên 2"/>
    <hyperlink ref="B178" location="'Kiểm thử'!A20877" display="Cùng lượt đăng ký: ô thiếu nguồn chưa xét được, ô ngưỡng cố định vẫn được xét"/>
    <hyperlink ref="B179" location="'Kiểm thử'!A20942" display="Phân nhánh theo trung bình: A = 40 / 50 / 49.99 (dùng A trước làm tròn)"/>
    <hyperlink ref="B180" location="'Kiểm thử'!A21157" display="Biên nhánh A=60.00 và A=59.96"/>
    <hyperlink ref="B181" location="'Kiểm thử'!A21271" display="Tỷ lệ nhóm R = 70% khớp điều kiện ≥ 65%"/>
    <hyperlink ref="B182" location="'Kiểm thử'!A21385" display="Tỷ lệ nhóm 64.99% (hiển thị 65.0) không khớp ≥ 65%"/>
    <hyperlink ref="B183" location="'Kiểm thử'!A21499" display="Điểm được xét là điểm cuối đã lưu (dự kiến, sửa tay, sau giới hạn miền điểm)"/>
    <hyperlink ref="B184" location="'Kiểm thử'!A21715" display="Cờ Chưa dự thi（未受験） không loại điểm số khỏi xét"/>
    <hyperlink ref="B185" location="'Kiểm thử'!A21881" display="Ô trống không bị coi là 0 (trạng thái Không có điểm)"/>
    <hyperlink ref="B186" location="'Kiểm thử'!A21996" display="Ô điểm đơn vị được xét riêng theo từng đơn vị"/>
    <hyperlink ref="B187" location="'Kiểm thử'!A22061" display="Ô nhập tay được AutoRating bỏ qua vẫn giữ giá trị tay và vẫn được xét đỏ"/>
    <hyperlink ref="B188" location="'Kiểm thử'!A22126" display="Giáo viên có quyền sửa mục cấu hình được quy tắc đỏ"/>
    <hyperlink ref="B189" location="'Kiểm thử'!A22391" display="Vào được màn nhưng không có quyền sửa mục → không sửa được quy tắc của mục đó"/>
    <hyperlink ref="B190" location="'Kiểm thử'!A22456" display="Quyền sửa mục không tự cấp quyền chạy hàng loạt"/>
    <hyperlink ref="B191" location="'Kiểm thử'!A22521" display="Gửi request lưu quy tắc trực tiếp khi không có quyền sửa mục"/>
    <hyperlink ref="B192" location="'Kiểm thử'!A22687" display="Giả mạo ID khác trường/năm hoặc nguồn không được phép"/>
    <hyperlink ref="B193" location="'Kiểm thử'!A23253" display="Gọi trực tiếp request chạy tính toán hàng loạt khi không có quyền chạy"/>
    <hyperlink ref="B194" location="'Kiểm thử'!A23317" display="Server kiểm miền giá trị khi bỏ qua kiểm tra phía trình duyệt"/>
    <hyperlink ref="B195" location="'Kiểm thử'!A24131" display="Server không tin cờ đỏ hoặc ngưỡng do trình duyệt gửi lên"/>
    <hyperlink ref="B196" location="'Kiểm thử'!A24547" display="Tên quy tắc và ký hiệu hiển thị như chữ, không bị thực thi"/>
    <hyperlink ref="B197" location="'Kiểm thử'!A24712" display="Quyền học sinh/phụ huynh giữ nguyên"/>
    <hyperlink ref="B198" location="'Kiểm thử'!A24828" display="Tỷ lệ N: biên −1 / 0 / 100 / 101"/>
    <hyperlink ref="B199" location="'Kiểm thử'!A25142" display="Xử lý phần lẻ: bắt buộc chọn cách làm tròn; p = 0 / 1 / 9 / 10; lần đầu p=1"/>
    <hyperlink ref="B200" location="'Kiểm thử'!A25458" display="Tỷ lệ 30% với M=100"/>
    <hyperlink ref="B201" location="'Kiểm thử'!A25572" display="Tỷ lệ cho ngưỡng lẻ: M=45, N=30 → T=13.5"/>
    <hyperlink ref="B202" location="'Kiểm thử'!A25686" display="Tỷ lệ có xử lý phần lẻ: xuống / gần nhất / lên tại p1"/>
    <hyperlink ref="B203" location="'Kiểm thử'!A26100" display="Ví dụ đặc tả v2: M=75, N=30, S=22.2"/>
    <hyperlink ref="B204" location="'Kiểm thử'!A26214" display="Tỷ lệ biên N=0 và N=100"/>
    <hyperlink ref="B205" location="'Kiểm thử'!A26428" display="Tỷ lệ với M = 0, M &lt; 0 hoặc không xác định → Chưa xét được; cố định vẫn xét"/>
    <hyperlink ref="B206" location="'Kiểm thử'!A26643" display="Phân giải M: mặc định → đơn vị → lựa chọn lớp"/>
    <hyperlink ref="B207" location="'Kiểm thử'!A26809" display="Tỷ lệ dùng M hiện hành, không dùng M của bản tổng hợp đã chốt"/>
    <hyperlink ref="B208" location="'Kiểm thử'!A26873" display="Màn Tỷ lệ điểm tối đa（得点率）: mô tả M và xử lý phần lẻ"/>
    <hyperlink ref="B209" location="'Kiểm thử'!A26938" display="Kết quả lưu theo định danh ô; mỗi ô chỉ một kết quả hiện hành"/>
    <hyperlink ref="B210" location="'Kiểm thử'!A27006" display="Sáu trạng thái phân biệt được khi lưu"/>
    <hyperlink ref="B211" location="'Kiểm thử'!A27071" display="Xét điểm đỏ không ghi đè điểm học sinh"/>
    <hyperlink ref="B212" location="'Kiểm thử'!A27137" display="Cấu hình trình bày ở từng đầu ra lưu riêng, không làm đổi quy tắc/kết quả"/>
    <hyperlink ref="B213" location="'Kiểm thử'!A27303" display="Lưu thông tin giải thích kết quả"/>
    <hyperlink ref="B214" location="'Kiểm thử'!A27368" display="Bảng/cột mới theo quy tắc schema của BLEND"/>
    <hyperlink ref="B215" location="'Kiểm thử'!A27434" display="Lưu, đọc lại và sao chép hiệu ứng đỏ theo dòng mục của cấu hình công khai"/>
    <hyperlink ref="B216" location="'Kiểm thử'!A27600" display="Phiên bản quy tắc, dòng điều khiển và thế hệ ô được cập nhật đúng sự kiện"/>
    <hyperlink ref="B217" location="'Kiểm thử'!A27816" display="Legacy: báo cáo riêng trường vẫn giữ cách dùng điểm đỏ cũ"/>
    <hyperlink ref="B218" location="'Kiểm thử'!A27881" display="Sao chép cấu hình giữ riêng legacy và không sao chép kết quả cá nhân"/>
    <hyperlink ref="B219" location="'Kiểm thử'!A27947" display="Kế thừa năm mới không dùng bản chốt hoặc kết quả cá nhân của năm cũ"/>
    <hyperlink ref="B220" location="'Kiểm thử'!A28013" display="Xuất/nhập cấu hình giữ legacy riêng và không nhập kết quả cá nhân"/>
    <hyperlink ref="B221" location="'Kiểm thử'!A28079" display="Khôi phục/thay khung không gắn kết quả vào ô mới"/>
    <hyperlink ref="B222" location="'Kiểm thử'!A28145" display="Đồng bộ cấu hình không đồng nghĩa đã xét"/>
    <hyperlink ref="B223" location="'Kiểm thử'!A28211" display="Giá trị legacy giữ nguyên khi thay đổi rule mới"/>
    <hyperlink ref="B224" location="'Kiểm thử'!A28276" display="Copy, kế thừa năm, import/export và sync không mang kết quả cũ"/>
    <hyperlink ref="B225" location="'Kiểm thử'!A28492" display="Màn Tổng hợp thành tích（成績集計）: nút xanh/cam và lần chạy trước"/>
    <hyperlink ref="B226" location="'Kiểm thử'!A28556" display="Thông báo kết quả sau khi chạy: hoàn tất, chưa xét được, thất bại một phần"/>
    <hyperlink ref="B227" location="'Kiểm thử'!A28671" display="Hiển thị theo từng trạng thái kết quả ở ba đầu ra"/>
    <hyperlink ref="B228" location="'Kiểm thử'!A28837" display="Lỗi kỹ thuật khi lưu kết quả khác với Chưa xét được; không báo thành công giả"/>
    <hyperlink ref="B229" location="'Kiểm thử'!A29604" display="Batch hoàn tất một phần: báo đúng phạm vi đã/không cập nhật"/>
    <hyperlink ref="B230" location="'Kiểm thử'!A29772" display="Đã xếp hàng không phải đã hoàn tất; bấm chạy trùng"/>
    <hyperlink ref="B231" location="'Kiểm thử'!A29838" display="Thông báo lỗi không lộ SQL, stack trace hoặc dữ liệu ngoài quyền"/>
    <hyperlink ref="B232" location="'Kiểm thử'!A30052" display="Lượt cũ hoàn tất muộn không ghi đè kết quả của điểm/cấu hình mới hơn"/>
    <hyperlink ref="B233" location="'Kiểm thử'!A30372" display="Hai lượt xét lần đầu đồng thời hoặc gửi lại thao tác hoàn tất chỉ tạo một kết quả"/>
    <hyperlink ref="B234" location="'Kiểm thử'!A30538" display="Đăng ký lần đầu đồng thời hai mục khác nhau của cùng học sinh giữ đủ cả hai"/>
    <hyperlink ref="B235" location="'Kiểm thử'!A30603" display="Loại ngưỡng/điều kiện chưa thuộc phạm vi phát hành không hiện như đang hoạt động"/>
    <hyperlink ref="B236" location="'Kiểm thử'!A30669" display="Điểm do tính tự động（自動計算） tạo ra không đổi khi có quy tắc đỏ"/>
    <hyperlink ref="B237" location="'Kiểm thử'!A30734" display="Quy tắc đỏ không kế thừa hành vi &quot;không khớp thì ghi NULL&quot; của AutoRating"/>
    <hyperlink ref="B238" location="'Kiểm thử'!A30799" display="Nút cam/nút xanh của trường đang dùng AutoRating hoạt động như trước"/>
    <hyperlink ref="B239" location="'Kiểm thử'!A30914" display="Kết quả tổng hợp thứ hạng（順位集計） không đổi khi có quy tắc đỏ đọc nguồn"/>
    <hyperlink ref="B240" location="'Kiểm thử'!A30979" display="Các màn điểm tối đa lưu và xếp hàng như trước"/>
    <hyperlink ref="B241" location="'Kiểm thử'!A31145" display="Batch không phát sinh truy vấn theo từng ô（N+1）"/>
    <hyperlink ref="B242" location="'Kiểm thử'!A31259" display="Đăng ký điểm: xử lý điểm liên quan và giao dịch giữ như trước"/>
    <hyperlink ref="B243" location="'Kiểm thử'!A31425" display="Thiết lập ô nhập（入力欄設定）: các hàng hiện có không bị ảnh hưởng"/>
    <hyperlink ref="B244" location="'Kiểm thử'!A31491" display="Consumer legacy giữ hành vi sau khi thêm rule đỏ"/>
    <hyperlink ref="B245" location="'Kiểm thử'!A31556" display="Các luồng chuyển cấu hình không làm mất legacy"/>
  </hyperlinks>
  <printOptions horizontalCentered="0"/>
  <pageMargins left="0.7" right="0.7" top="0.75" bottom="0.75" header="0.3" footer="0.3"/>
  <pageSetup orientation="landscape" paperSize="8" fitToHeight="0" fitToWidth="1"/>
</worksheet>
</file>

<file path=xl/worksheets/sheet2.xml><?xml version="1.0" encoding="utf-8"?>
<s:worksheet xmlns:s="http://schemas.openxmlformats.org/spreadsheetml/2006/main">
  <s:sheetPr>
    <s:tabColor rgb="0064748B"/>
    <s:outlinePr summaryBelow="0" summaryRight="1"/>
    <s:pageSetUpPr fitToPage="1"/>
  </s:sheetPr>
  <s:dimension ref="A1:E31771"/>
  <s:sheetViews>
    <s:sheetView showGridLines="0" workbookViewId="0">
      <s:pane ySplit="1" topLeftCell="A2" activePane="bottomLeft" state="frozen"/>
      <s:selection pane="bottomLeft" activeCell="A2" sqref="A2"/>
    </s:sheetView>
  </s:sheetViews>
  <s:sheetFormatPr baseColWidth="8" defaultRowHeight="15"/>
  <s:cols>
    <s:col width="24" customWidth="1" min="1" max="1"/>
    <s:col width="35" customWidth="1" min="2" max="2"/>
    <s:col width="45" customWidth="1" min="3" max="3"/>
    <s:col width="35" customWidth="1" min="4" max="4"/>
    <s:col width="19" customWidth="1" min="5" max="5"/>
    <s:col width="18" customWidth="1" min="6" max="6"/>
    <s:col width="28" customWidth="1" min="7" max="7"/>
  </s:cols>
  <s:sheetData>
    <s:row r="1" ht="32" customHeight="1">
      <s:c r="A1" s="107" t="inlineStr">
        <s:is>
          <s:t>Kiểm thử chi tiết</s:t>
        </s:is>
      </s:c>
      <s:c r="B1" s="99" t="n"/>
      <s:c r="C1" s="99" t="n"/>
      <s:c r="D1" s="99" t="n"/>
      <s:c r="E1" s="99" t="n"/>
    </s:row>
    <s:row r="2" hidden="1" ht="42" customHeight="1">
      <s:c r="A2" s="79" t="inlineStr"/>
    </s:row>
    <s:row r="3" hidden="1" ht="12" customHeight="1">
      <s:c r="A3" s="78" t="n"/>
      <s:c r="B3" s="78" t="n"/>
      <s:c r="C3" s="78" t="n"/>
      <s:c r="D3" s="78" t="n"/>
      <s:c r="E3" s="78" t="n"/>
    </s:row>
    <s:row r="4" hidden="1" ht="8" customHeight="1">
      <s:c r="A4" s="80" t="n"/>
      <s:c r="B4" s="78" t="n"/>
      <s:c r="C4" s="78" t="n"/>
      <s:c r="D4" s="78" t="n"/>
      <s:c r="E4" s="78" t="n"/>
    </s:row>
    <s:row r="5" ht="34" customHeight="1">
      <s:c r="A5" s="108" t="inlineStr">
        <s:is>
          <s:t>TC-RS-FUNC-001 — Hàng Thiết lập điểm đỏ（赤点設定） xuất hiện trong Thiết lập ô nhập（入力欄設定） cho mục điểm số</s:t>
        </s:is>
      </s:c>
      <s:c r="B5" s="111" t="n"/>
      <s:c r="C5" s="111" t="n"/>
      <s:c r="D5" s="111" t="n"/>
      <s:c r="E5" s="111" t="n"/>
    </s:row>
    <s:row r="6" ht="20" customHeight="1">
      <s:c r="A6" s="112" t="inlineStr">
        <s:is>
          <s:t>Kết quả tình huống</s:t>
        </s:is>
      </s:c>
      <s:c r="B6" s="113">
        <s:f>IF(SUM(IF(EXACT('Kiểm thử'!E15,"Không đạt"),1,0),IF(EXACT('Kiểm thử'!E17,"Không đạt"),1,0),IF(EXACT('Kiểm thử'!E19,"Không đạt"),1,0))&gt;0,"Không đạt",IF(SUM(IF(EXACT('Kiểm thử'!E15,"Đạt"),1,0),IF(EXACT('Kiểm thử'!E17,"Đạt"),1,0),IF(EXACT('Kiểm thử'!E19,"Đạt"),1,0))=3,"Đạt",IF(SUM(IF(EXACT('Kiểm thử'!E15,"Không thực hiện"),1,0),IF(EXACT('Kiểm thử'!E17,"Không thực hiện"),1,0),IF(EXACT('Kiểm thử'!E19,"Không thực hiện"),1,0))=3,"Không thực hiện",IF(SUM(IF(EXACT('Kiểm thử'!E15,"Bị chặn"),1,0),IF(EXACT('Kiểm thử'!E17,"Bị chặn"),1,0),IF(EXACT('Kiểm thử'!E19,"Bị chặn"),1,0))&gt;0,"Bị chặn",IF(SUM(IF(EXACT('Kiểm thử'!E15,"Chưa thực hiện"),1,0),IF(EXACT('Kiểm thử'!E17,"Chưa thực hiện"),1,0),IF(EXACT('Kiểm thử'!E19,"Chưa thực hiện"),1,0))=3,"Chưa thực hiện","Đang thực hiện")))))</s:f>
        <s:v/>
      </s:c>
      <s:c r="C6" s="114" t="n"/>
      <s:c r="D6" s="114" t="n"/>
      <s:c r="E6" s="114" t="n"/>
    </s:row>
    <s:row r="7" ht="20" customHeight="1">
      <s:c r="A7" s="112" t="inlineStr">
        <s:is>
          <s:t>Màn hình / chức năng</s:t>
        </s:is>
      </s:c>
      <s:c r="B7" s="113" t="inlineStr">
        <s:is>
          <s:r>
            <s:rPr>
              <s:b val="1"/>
            </s:rPr>
            <s:t>Thiết lập điểm đỏ（赤点設定）</s:t>
          </s:r>
        </s:is>
      </s:c>
      <s:c r="C7" s="28" t="n"/>
      <s:c r="D7" s="28" t="n"/>
      <s:c r="E7" s="28" t="n"/>
    </s:row>
    <s:row r="8" ht="34" customHeight="1">
      <s:c r="A8" s="112" t="inlineStr">
        <s:is>
          <s:t>Cấu hình</s:t>
        </s:is>
      </s:c>
      <s:c r="B8" s="113" t="inlineStr">
        <s:is>
          <s:r>
            <s:t>• Đăng nhập tài khoản giáo viên có quyền sửa mục. Chưa có quy tắc đỏ cho mục số nguyên (</s:t>
          </s:r>
          <s:r>
            <s:rPr>
              <s:b val="1"/>
            </s:rPr>
            <s:t>M=100</s:t>
          </s:r>
          <s:r>
            <s:t>);
• Mục số thập phân (</s:t>
          </s:r>
          <s:r>
            <s:rPr>
              <s:b val="1"/>
            </s:rPr>
            <s:t>M=100</s:t>
          </s:r>
          <s:r>
            <s:t>) có ít nhất một quy tắc.</s:t>
          </s:r>
        </s:is>
      </s:c>
      <s:c r="C8" s="28" t="n"/>
      <s:c r="D8" s="28" t="n"/>
      <s:c r="E8" s="28" t="n"/>
    </s:row>
    <s:row r="9" ht="34" customHeight="1">
      <s:c r="A9" s="112" t="inlineStr">
        <s:is>
          <s:t>Dữ liệu test</s:t>
        </s:is>
      </s:c>
      <s:c r="B9" s="113" t="inlineStr">
        <s:is>
          <s:r>
            <s:t>• Môi trường test (trường A, năm học 2026), tài khoản giáo viên có quyền sửa mục, mục số nguyên (</s:t>
          </s:r>
          <s:r>
            <s:rPr>
              <s:b val="1"/>
            </s:rPr>
            <s:t>M=100</s:t>
          </s:r>
          <s:r>
            <s:t>), mục số thập phân (</s:t>
          </s:r>
          <s:r>
            <s:rPr>
              <s:b val="1"/>
            </s:rPr>
            <s:t>M=100</s:t>
          </s:r>
          <s:r>
            <s:t>), mục điểm đơn vị (đơn vị U1 có M riêng 40)</s:t>
          </s:r>
        </s:is>
      </s:c>
      <s:c r="C9" s="28" t="n"/>
      <s:c r="D9" s="28" t="n"/>
      <s:c r="E9" s="28" t="n"/>
    </s:row>
    <s:row r="10" ht="34" customHeight="1">
      <s:c r="A10" s="112" t="inlineStr">
        <s:is>
          <s:t>Bước 1</s:t>
        </s:is>
      </s:c>
      <s:c r="B10" s="113" t="inlineStr">
        <s:is>
          <s:r>
            <s:t xml:space="preserve">Mở </s:t>
          </s:r>
          <s:r>
            <s:rPr>
              <s:b val="1"/>
            </s:rPr>
            <s:t>Thiết lập nhập điểm（成績入力設定）</s:t>
          </s:r>
          <s:r>
            <s:t xml:space="preserve">→ </s:t>
          </s:r>
          <s:r>
            <s:rPr>
              <s:b val="1"/>
            </s:rPr>
            <s:t>Thiết lập ô nhập（入力欄設定）</s:t>
          </s:r>
          <s:r>
            <s:t xml:space="preserve"> của kỳ 1学期期末 (cuối kỳ học kỳ 1).</s:t>
          </s:r>
        </s:is>
      </s:c>
      <s:c r="C10" s="28" t="n"/>
      <s:c r="D10" s="28" t="n"/>
      <s:c r="E10" s="28" t="n"/>
    </s:row>
    <s:row r="11" ht="20" customHeight="1">
      <s:c r="A11" s="112" t="inlineStr">
        <s:is>
          <s:t>Bước 2</s:t>
        </s:is>
      </s:c>
      <s:c r="B11" s="113" t="inlineStr">
        <s:is>
          <s:r>
            <s:t xml:space="preserve">Tìm hàng </s:t>
          </s:r>
          <s:r>
            <s:rPr>
              <s:b val="1"/>
            </s:rPr>
            <s:t>Thiết lập điểm đỏ（赤点設定）</s:t>
          </s:r>
          <s:r>
            <s:t xml:space="preserve"> ở bảng mục nhập.</s:t>
          </s:r>
        </s:is>
      </s:c>
      <s:c r="C11" s="28" t="n"/>
      <s:c r="D11" s="28" t="n"/>
      <s:c r="E11" s="28" t="n"/>
    </s:row>
    <s:row r="12" ht="34" customHeight="1">
      <s:c r="A12" s="112" t="inlineStr">
        <s:is>
          <s:t>Bước 3</s:t>
        </s:is>
      </s:c>
      <s:c r="B12" s="113" t="inlineStr">
        <s:is>
          <s:r>
            <s:t>Bấm link của hàng này ở cột mục số nguyên (</s:t>
          </s:r>
          <s:r>
            <s:rPr>
              <s:b val="1"/>
            </s:rPr>
            <s:t>M=100</s:t>
          </s:r>
          <s:r>
            <s:t>), mục số thập phân (</s:t>
          </s:r>
          <s:r>
            <s:rPr>
              <s:b val="1"/>
            </s:rPr>
            <s:t>M=100</s:t>
          </s:r>
          <s:r>
            <s:t>), mục điểm đơn vị (đơn vị U1 có M riêng 40).</s:t>
          </s:r>
        </s:is>
      </s:c>
      <s:c r="C12" s="28" t="n"/>
      <s:c r="D12" s="28" t="n"/>
      <s:c r="E12" s="28" t="n"/>
    </s:row>
    <s:row r="13" ht="28" customHeight="1">
      <s:c r="A13" s="115" t="inlineStr">
        <s:is>
          <s:t>Trường hợp</s:t>
        </s:is>
      </s:c>
      <s:c r="B13" s="115" t="inlineStr">
        <s:is>
          <s:t>Dữ liệu / thao tác riêng</s:t>
        </s:is>
      </s:c>
      <s:c r="C13" s="115" t="inlineStr">
        <s:is>
          <s:t>Kết quả mong đợi</s:t>
        </s:is>
      </s:c>
      <s:c r="D13" s="115" t="inlineStr">
        <s:is>
          <s:t>Kết quả thực tế</s:t>
        </s:is>
      </s:c>
      <s:c r="E13" s="115" t="inlineStr">
        <s:is>
          <s:t>Đánh giá</s:t>
        </s:is>
      </s:c>
    </s:row>
    <s:row r="14" ht="3" customHeight="1">
      <s:c r="A14" s="102" t="inlineStr"/>
      <s:c r="B14" s="99" t="n"/>
      <s:c r="C14" s="99" t="n"/>
      <s:c r="D14" s="116" t="n"/>
      <s:c r="E14" s="116" t="n"/>
    </s:row>
    <s:row r="15" ht="146" customHeight="1">
      <s:c r="A15" s="83" t="inlineStr">
        <s:is>
          <s:t>Mục số nguyên (integer)</s:t>
        </s:is>
      </s:c>
      <s:c r="B15" s="83" t="inlineStr">
        <s:is>
          <s:r>
            <s:rPr>
              <s:b val="1"/>
            </s:rPr>
            <s:t>M=100</s:t>
          </s:r>
          <s:r>
            <s:t xml:space="preserve">; bấm liên kết </s:t>
          </s:r>
          <s:r>
            <s:rPr>
              <s:b val="1"/>
            </s:rPr>
            <s:t>Thiết lập điểm đỏ（赤点設定）</s:t>
          </s:r>
          <s:r>
            <s:t xml:space="preserve"> tại cột mục số nguyên.</s:t>
          </s:r>
        </s:is>
      </s:c>
      <s:c r="C15" s="83" t="inlineStr">
        <s:is>
          <s:r>
            <s:t xml:space="preserve">1. Theo Figma MW, hàng </s:t>
          </s:r>
          <s:r>
            <s:rPr>
              <s:b val="1"/>
            </s:rPr>
            <s:t>Thiết lập điểm đỏ（赤点設定）</s:t>
          </s:r>
          <s:r>
            <s:t xml:space="preserve"> được đặt giữa </s:t>
          </s:r>
          <s:r>
            <s:rPr>
              <s:b val="1"/>
            </s:rPr>
            <s:t>hàng Tính tự động（自動計算）</s:t>
          </s:r>
          <s:r>
            <s:t xml:space="preserve"> và hàng Thiết </s:t>
          </s:r>
          <s:r>
            <s:rPr>
              <s:b val="1"/>
            </s:rPr>
            <s:t>lập ẩn mục nhập（入力項目の非表示設定）</s:t>
          </s:r>
          <s:r>
            <s:t xml:space="preserve">. Đây là oracle UI PROPOSED; nếu bố cục khác, ghi Notes để đối chiếu, không mở bug từ riêng vị trí.
2. Có thao tác mở thiết lập cho mục số nguyên.
3. Bấm link chuyển sang màn danh sách </s:t>
          </s:r>
          <s:r>
            <s:rPr>
              <s:b val="1"/>
            </s:rPr>
            <s:t>Thiết lập điểm đỏ（赤点設定）</s:t>
          </s:r>
          <s:r>
            <s:t xml:space="preserve"> của đúng mục.</s:t>
          </s:r>
        </s:is>
      </s:c>
      <s:c r="D15" s="117" t="inlineStr"/>
      <s:c r="E15" s="118" t="inlineStr">
        <s:is>
          <s:t>Chưa thực hiện</s:t>
        </s:is>
      </s:c>
    </s:row>
    <s:row r="16" ht="3" customHeight="1">
      <s:c r="A16" s="102" t="inlineStr"/>
      <s:c r="B16" s="99" t="n"/>
      <s:c r="C16" s="99" t="n"/>
      <s:c r="D16" s="116" t="n"/>
      <s:c r="E16" s="116" t="n"/>
    </s:row>
    <s:row r="17" ht="146" customHeight="1">
      <s:c r="A17" s="83" t="inlineStr">
        <s:is>
          <s:t>Mục thập phân (decimal)</s:t>
        </s:is>
      </s:c>
      <s:c r="B17" s="83" t="inlineStr">
        <s:is>
          <s:r>
            <s:rPr>
              <s:b val="1"/>
            </s:rPr>
            <s:t>M=100</s:t>
          </s:r>
          <s:r>
            <s:t xml:space="preserve">; bấm liên kết </s:t>
          </s:r>
          <s:r>
            <s:rPr>
              <s:b val="1"/>
            </s:rPr>
            <s:t>Thiết lập điểm đỏ（赤点設定）</s:t>
          </s:r>
          <s:r>
            <s:t xml:space="preserve"> tại cột mục thập phân có ít nhất một quy tắc.</s:t>
          </s:r>
        </s:is>
      </s:c>
      <s:c r="C17" s="83" t="inlineStr">
        <s:is>
          <s:r>
            <s:t xml:space="preserve">1. Theo Figma MW, hàng </s:t>
          </s:r>
          <s:r>
            <s:rPr>
              <s:b val="1"/>
            </s:rPr>
            <s:t>Thiết lập điểm đỏ（赤点設定）</s:t>
          </s:r>
          <s:r>
            <s:t xml:space="preserve"> được đặt giữa </s:t>
          </s:r>
          <s:r>
            <s:rPr>
              <s:b val="1"/>
            </s:rPr>
            <s:t>hàng Tính tự động（自動計算）</s:t>
          </s:r>
          <s:r>
            <s:t xml:space="preserve"> và hàng Thiết </s:t>
          </s:r>
          <s:r>
            <s:rPr>
              <s:b val="1"/>
            </s:rPr>
            <s:t>lập ẩn mục nhập（入力項目の非表示設定）</s:t>
          </s:r>
          <s:r>
            <s:t xml:space="preserve">. Đây là oracle UI PROPOSED; nếu bố cục khác, ghi Notes để đối chiếu, không mở bug từ riêng vị trí.
2. Có thao tác mở thiết lập cho mục số thập phân.
3. Bấm link chuyển sang màn danh sách </s:t>
          </s:r>
          <s:r>
            <s:rPr>
              <s:b val="1"/>
            </s:rPr>
            <s:t>Thiết lập điểm đỏ（赤点設定）</s:t>
          </s:r>
          <s:r>
            <s:t xml:space="preserve"> của đúng mục.</s:t>
          </s:r>
        </s:is>
      </s:c>
      <s:c r="D17" s="117" t="inlineStr"/>
      <s:c r="E17" s="118" t="inlineStr">
        <s:is>
          <s:t>Chưa thực hiện</s:t>
        </s:is>
      </s:c>
    </s:row>
    <s:row r="18" ht="3" customHeight="1">
      <s:c r="A18" s="102" t="inlineStr"/>
      <s:c r="B18" s="99" t="n"/>
      <s:c r="C18" s="99" t="n"/>
      <s:c r="D18" s="116" t="n"/>
      <s:c r="E18" s="116" t="n"/>
    </s:row>
    <s:row r="19" ht="146" customHeight="1">
      <s:c r="A19" s="83" t="inlineStr">
        <s:is>
          <s:t>Mục điểm đơn vị (unit)</s:t>
        </s:is>
      </s:c>
      <s:c r="B19" s="83" t="inlineStr">
        <s:is>
          <s:r>
            <s:t xml:space="preserve">U1 có M riêng 40; bấm liên kết </s:t>
          </s:r>
          <s:r>
            <s:rPr>
              <s:b val="1"/>
            </s:rPr>
            <s:t>Thiết lập điểm đỏ（赤点設定）</s:t>
          </s:r>
          <s:r>
            <s:t xml:space="preserve"> tại cột mục điểm đơn vị.</s:t>
          </s:r>
        </s:is>
      </s:c>
      <s:c r="C19" s="83" t="inlineStr">
        <s:is>
          <s:r>
            <s:t xml:space="preserve">1. Theo Figma MW, hàng </s:t>
          </s:r>
          <s:r>
            <s:rPr>
              <s:b val="1"/>
            </s:rPr>
            <s:t>Thiết lập điểm đỏ（赤点設定）</s:t>
          </s:r>
          <s:r>
            <s:t xml:space="preserve"> được đặt giữa </s:t>
          </s:r>
          <s:r>
            <s:rPr>
              <s:b val="1"/>
            </s:rPr>
            <s:t>hàng Tính tự động（自動計算）</s:t>
          </s:r>
          <s:r>
            <s:t xml:space="preserve"> và hàng Thiết </s:t>
          </s:r>
          <s:r>
            <s:rPr>
              <s:b val="1"/>
            </s:rPr>
            <s:t>lập ẩn mục nhập（入力項目の非表示設定）</s:t>
          </s:r>
          <s:r>
            <s:t xml:space="preserve">. Đây là oracle UI PROPOSED; nếu bố cục khác, ghi Notes để đối chiếu, không mở bug từ riêng vị trí.
2. Có thao tác mở thiết lập cho mục điểm đơn vị.
3. Bấm link chuyển sang màn danh sách </s:t>
          </s:r>
          <s:r>
            <s:rPr>
              <s:b val="1"/>
            </s:rPr>
            <s:t>Thiết lập điểm đỏ（赤点設定）</s:t>
          </s:r>
          <s:r>
            <s:t xml:space="preserve"> của đúng mục.</s:t>
          </s:r>
        </s:is>
      </s:c>
      <s:c r="D19" s="117" t="inlineStr"/>
      <s:c r="E19" s="118" t="inlineStr">
        <s:is>
          <s:t>Chưa thực hiện</s:t>
        </s:is>
      </s:c>
    </s:row>
    <s:row r="20" ht="20" customHeight="1">
      <s:c r="A20" s="119" t="inlineStr">
        <s:is>
          <s:t>Ảnh minh chứng — Chưa có ảnh</s:t>
        </s:is>
      </s:c>
      <s:c r="B20" s="19" t="n"/>
      <s:c r="C20" s="19" t="n"/>
      <s:c r="D20" s="19" t="n"/>
      <s:c r="E20" s="19" t="n"/>
    </s:row>
    <s:row r="21" hidden="1" ht="1" customHeight="1">
      <s:c r="A21" s="120" t="inlineStr"/>
      <s:c r="B21" s="121" t="n"/>
      <s:c r="C21" s="121" t="n"/>
      <s:c r="D21" s="121" t="n"/>
      <s:c r="E21" s="122" t="n"/>
    </s:row>
    <s:row r="22" hidden="1" ht="1" customHeight="1">
      <s:c r="A22" s="120" t="inlineStr"/>
      <s:c r="B22" s="121" t="n"/>
      <s:c r="C22" s="121" t="n"/>
      <s:c r="D22" s="121" t="n"/>
      <s:c r="E22" s="122" t="n"/>
    </s:row>
    <s:row r="23" hidden="1" ht="1" customHeight="1">
      <s:c r="A23" s="120" t="inlineStr"/>
      <s:c r="B23" s="121" t="n"/>
      <s:c r="C23" s="121" t="n"/>
      <s:c r="D23" s="121" t="n"/>
      <s:c r="E23" s="122" t="n"/>
    </s:row>
    <s:row r="24" hidden="1" ht="1" customHeight="1">
      <s:c r="A24" s="120" t="inlineStr"/>
      <s:c r="B24" s="121" t="n"/>
      <s:c r="C24" s="121" t="n"/>
      <s:c r="D24" s="121" t="n"/>
      <s:c r="E24" s="122" t="n"/>
    </s:row>
    <s:row r="25" hidden="1" ht="1" customHeight="1">
      <s:c r="A25" s="120" t="inlineStr"/>
      <s:c r="B25" s="121" t="n"/>
      <s:c r="C25" s="121" t="n"/>
      <s:c r="D25" s="121" t="n"/>
      <s:c r="E25" s="122" t="n"/>
    </s:row>
    <s:row r="26" hidden="1" ht="1" customHeight="1">
      <s:c r="A26" s="120" t="inlineStr"/>
      <s:c r="B26" s="121" t="n"/>
      <s:c r="C26" s="121" t="n"/>
      <s:c r="D26" s="121" t="n"/>
      <s:c r="E26" s="122" t="n"/>
    </s:row>
    <s:row r="27" hidden="1" ht="1" customHeight="1">
      <s:c r="A27" s="120" t="inlineStr"/>
      <s:c r="B27" s="121" t="n"/>
      <s:c r="C27" s="121" t="n"/>
      <s:c r="D27" s="121" t="n"/>
      <s:c r="E27" s="122" t="n"/>
    </s:row>
    <s:row r="28" hidden="1" ht="1" customHeight="1">
      <s:c r="A28" s="120" t="inlineStr"/>
      <s:c r="B28" s="121" t="n"/>
      <s:c r="C28" s="121" t="n"/>
      <s:c r="D28" s="121" t="n"/>
      <s:c r="E28" s="122" t="n"/>
    </s:row>
    <s:row r="29" hidden="1" ht="1" customHeight="1">
      <s:c r="A29" s="120" t="inlineStr"/>
      <s:c r="B29" s="121" t="n"/>
      <s:c r="C29" s="121" t="n"/>
      <s:c r="D29" s="121" t="n"/>
      <s:c r="E29" s="122" t="n"/>
    </s:row>
    <s:row r="30" hidden="1" ht="1" customHeight="1">
      <s:c r="A30" s="120" t="inlineStr"/>
      <s:c r="B30" s="121" t="n"/>
      <s:c r="C30" s="121" t="n"/>
      <s:c r="D30" s="121" t="n"/>
      <s:c r="E30" s="122" t="n"/>
    </s:row>
    <s:row r="31" hidden="1" ht="1" customHeight="1">
      <s:c r="A31" s="120" t="inlineStr"/>
      <s:c r="B31" s="121" t="n"/>
      <s:c r="C31" s="121" t="n"/>
      <s:c r="D31" s="121" t="n"/>
      <s:c r="E31" s="122" t="n"/>
    </s:row>
    <s:row r="32" hidden="1" ht="1" customHeight="1">
      <s:c r="A32" s="120" t="inlineStr"/>
      <s:c r="B32" s="121" t="n"/>
      <s:c r="C32" s="121" t="n"/>
      <s:c r="D32" s="121" t="n"/>
      <s:c r="E32" s="122" t="n"/>
    </s:row>
    <s:row r="33" hidden="1" ht="1" customHeight="1">
      <s:c r="A33" s="120" t="inlineStr"/>
      <s:c r="B33" s="121" t="n"/>
      <s:c r="C33" s="121" t="n"/>
      <s:c r="D33" s="121" t="n"/>
      <s:c r="E33" s="122" t="n"/>
    </s:row>
    <s:row r="34" hidden="1" ht="1" customHeight="1">
      <s:c r="A34" s="120" t="inlineStr"/>
      <s:c r="B34" s="121" t="n"/>
      <s:c r="C34" s="121" t="n"/>
      <s:c r="D34" s="121" t="n"/>
      <s:c r="E34" s="122" t="n"/>
    </s:row>
    <s:row r="35" hidden="1" ht="1" customHeight="1">
      <s:c r="A35" s="120" t="inlineStr"/>
      <s:c r="B35" s="121" t="n"/>
      <s:c r="C35" s="121" t="n"/>
      <s:c r="D35" s="121" t="n"/>
      <s:c r="E35" s="122" t="n"/>
    </s:row>
    <s:row r="36" hidden="1" ht="1" customHeight="1">
      <s:c r="A36" s="120" t="inlineStr"/>
      <s:c r="B36" s="121" t="n"/>
      <s:c r="C36" s="121" t="n"/>
      <s:c r="D36" s="121" t="n"/>
      <s:c r="E36" s="122" t="n"/>
    </s:row>
    <s:row r="37" hidden="1" ht="1" customHeight="1">
      <s:c r="A37" s="120" t="inlineStr"/>
      <s:c r="B37" s="121" t="n"/>
      <s:c r="C37" s="121" t="n"/>
      <s:c r="D37" s="121" t="n"/>
      <s:c r="E37" s="122" t="n"/>
    </s:row>
    <s:row r="38" hidden="1" ht="1" customHeight="1">
      <s:c r="A38" s="120" t="inlineStr"/>
      <s:c r="B38" s="121" t="n"/>
      <s:c r="C38" s="121" t="n"/>
      <s:c r="D38" s="121" t="n"/>
      <s:c r="E38" s="122" t="n"/>
    </s:row>
    <s:row r="39" hidden="1" ht="1" customHeight="1">
      <s:c r="A39" s="120" t="inlineStr"/>
      <s:c r="B39" s="121" t="n"/>
      <s:c r="C39" s="121" t="n"/>
      <s:c r="D39" s="121" t="n"/>
      <s:c r="E39" s="122" t="n"/>
    </s:row>
    <s:row r="40" hidden="1" ht="1" customHeight="1">
      <s:c r="A40" s="120" t="inlineStr"/>
      <s:c r="B40" s="121" t="n"/>
      <s:c r="C40" s="121" t="n"/>
      <s:c r="D40" s="121" t="n"/>
      <s:c r="E40" s="122" t="n"/>
    </s:row>
    <s:row r="41" hidden="1" ht="1" customHeight="1">
      <s:c r="A41" s="120" t="inlineStr"/>
      <s:c r="B41" s="121" t="n"/>
      <s:c r="C41" s="121" t="n"/>
      <s:c r="D41" s="121" t="n"/>
      <s:c r="E41" s="122" t="n"/>
    </s:row>
    <s:row r="42" hidden="1" ht="1" customHeight="1">
      <s:c r="A42" s="120" t="inlineStr"/>
      <s:c r="B42" s="121" t="n"/>
      <s:c r="C42" s="121" t="n"/>
      <s:c r="D42" s="121" t="n"/>
      <s:c r="E42" s="122" t="n"/>
    </s:row>
    <s:row r="43" hidden="1" ht="1" customHeight="1">
      <s:c r="A43" s="120" t="inlineStr"/>
      <s:c r="B43" s="121" t="n"/>
      <s:c r="C43" s="121" t="n"/>
      <s:c r="D43" s="121" t="n"/>
      <s:c r="E43" s="122" t="n"/>
    </s:row>
    <s:row r="44" hidden="1" ht="1" customHeight="1">
      <s:c r="A44" s="120" t="inlineStr"/>
      <s:c r="B44" s="121" t="n"/>
      <s:c r="C44" s="121" t="n"/>
      <s:c r="D44" s="121" t="n"/>
      <s:c r="E44" s="122" t="n"/>
    </s:row>
    <s:row r="45" hidden="1" ht="1" customHeight="1">
      <s:c r="A45" s="120" t="inlineStr"/>
      <s:c r="B45" s="121" t="n"/>
      <s:c r="C45" s="121" t="n"/>
      <s:c r="D45" s="121" t="n"/>
      <s:c r="E45" s="122" t="n"/>
    </s:row>
    <s:row r="46" hidden="1" ht="1" customHeight="1">
      <s:c r="A46" s="120" t="inlineStr"/>
      <s:c r="B46" s="121" t="n"/>
      <s:c r="C46" s="121" t="n"/>
      <s:c r="D46" s="121" t="n"/>
      <s:c r="E46" s="122" t="n"/>
    </s:row>
    <s:row r="47" hidden="1" ht="1" customHeight="1">
      <s:c r="A47" s="120" t="inlineStr"/>
      <s:c r="B47" s="121" t="n"/>
      <s:c r="C47" s="121" t="n"/>
      <s:c r="D47" s="121" t="n"/>
      <s:c r="E47" s="122" t="n"/>
    </s:row>
    <s:row r="48" hidden="1" ht="1" customHeight="1">
      <s:c r="A48" s="120" t="inlineStr"/>
      <s:c r="B48" s="121" t="n"/>
      <s:c r="C48" s="121" t="n"/>
      <s:c r="D48" s="121" t="n"/>
      <s:c r="E48" s="122" t="n"/>
    </s:row>
    <s:row r="49" hidden="1" ht="1" customHeight="1">
      <s:c r="A49" s="120" t="inlineStr"/>
      <s:c r="B49" s="121" t="n"/>
      <s:c r="C49" s="121" t="n"/>
      <s:c r="D49" s="121" t="n"/>
      <s:c r="E49" s="122" t="n"/>
    </s:row>
    <s:row r="50" hidden="1" ht="1" customHeight="1">
      <s:c r="A50" s="120" t="inlineStr"/>
      <s:c r="B50" s="121" t="n"/>
      <s:c r="C50" s="121" t="n"/>
      <s:c r="D50" s="121" t="n"/>
      <s:c r="E50" s="122" t="n"/>
    </s:row>
    <s:row r="51" hidden="1" ht="1" customHeight="1">
      <s:c r="A51" s="120" t="inlineStr"/>
      <s:c r="B51" s="121" t="n"/>
      <s:c r="C51" s="121" t="n"/>
      <s:c r="D51" s="121" t="n"/>
      <s:c r="E51" s="122" t="n"/>
    </s:row>
    <s:row r="52" hidden="1" ht="1" customHeight="1">
      <s:c r="A52" s="120" t="inlineStr"/>
      <s:c r="B52" s="121" t="n"/>
      <s:c r="C52" s="121" t="n"/>
      <s:c r="D52" s="121" t="n"/>
      <s:c r="E52" s="122" t="n"/>
    </s:row>
    <s:row r="53" hidden="1" ht="1" customHeight="1">
      <s:c r="A53" s="120" t="inlineStr"/>
      <s:c r="B53" s="121" t="n"/>
      <s:c r="C53" s="121" t="n"/>
      <s:c r="D53" s="121" t="n"/>
      <s:c r="E53" s="122" t="n"/>
    </s:row>
    <s:row r="54" hidden="1" ht="1" customHeight="1">
      <s:c r="A54" s="120" t="inlineStr"/>
      <s:c r="B54" s="121" t="n"/>
      <s:c r="C54" s="121" t="n"/>
      <s:c r="D54" s="121" t="n"/>
      <s:c r="E54" s="122" t="n"/>
    </s:row>
    <s:row r="55" hidden="1" ht="1" customHeight="1">
      <s:c r="A55" s="120" t="inlineStr"/>
      <s:c r="B55" s="121" t="n"/>
      <s:c r="C55" s="121" t="n"/>
      <s:c r="D55" s="121" t="n"/>
      <s:c r="E55" s="122" t="n"/>
    </s:row>
    <s:row r="56" hidden="1" ht="1" customHeight="1">
      <s:c r="A56" s="120" t="inlineStr"/>
      <s:c r="B56" s="121" t="n"/>
      <s:c r="C56" s="121" t="n"/>
      <s:c r="D56" s="121" t="n"/>
      <s:c r="E56" s="122" t="n"/>
    </s:row>
    <s:row r="57" hidden="1" ht="1" customHeight="1">
      <s:c r="A57" s="120" t="inlineStr"/>
      <s:c r="B57" s="121" t="n"/>
      <s:c r="C57" s="121" t="n"/>
      <s:c r="D57" s="121" t="n"/>
      <s:c r="E57" s="122" t="n"/>
    </s:row>
    <s:row r="58" hidden="1" ht="1" customHeight="1">
      <s:c r="A58" s="120" t="inlineStr"/>
      <s:c r="B58" s="121" t="n"/>
      <s:c r="C58" s="121" t="n"/>
      <s:c r="D58" s="121" t="n"/>
      <s:c r="E58" s="122" t="n"/>
    </s:row>
    <s:row r="59" hidden="1" ht="1" customHeight="1">
      <s:c r="A59" s="120" t="inlineStr"/>
      <s:c r="B59" s="121" t="n"/>
      <s:c r="C59" s="121" t="n"/>
      <s:c r="D59" s="121" t="n"/>
      <s:c r="E59" s="122" t="n"/>
    </s:row>
    <s:row r="60" hidden="1" ht="1" customHeight="1">
      <s:c r="A60" s="120" t="inlineStr"/>
      <s:c r="B60" s="121" t="n"/>
      <s:c r="C60" s="121" t="n"/>
      <s:c r="D60" s="121" t="n"/>
      <s:c r="E60" s="122" t="n"/>
    </s:row>
    <s:row r="61" hidden="1" ht="1" customHeight="1">
      <s:c r="A61" s="120" t="inlineStr"/>
      <s:c r="B61" s="121" t="n"/>
      <s:c r="C61" s="121" t="n"/>
      <s:c r="D61" s="121" t="n"/>
      <s:c r="E61" s="122" t="n"/>
    </s:row>
    <s:row r="62" hidden="1" ht="1" customHeight="1">
      <s:c r="A62" s="120" t="inlineStr"/>
      <s:c r="B62" s="121" t="n"/>
      <s:c r="C62" s="121" t="n"/>
      <s:c r="D62" s="121" t="n"/>
      <s:c r="E62" s="122" t="n"/>
    </s:row>
    <s:row r="63" hidden="1" ht="1" customHeight="1">
      <s:c r="A63" s="120" t="inlineStr"/>
      <s:c r="B63" s="121" t="n"/>
      <s:c r="C63" s="121" t="n"/>
      <s:c r="D63" s="121" t="n"/>
      <s:c r="E63" s="122" t="n"/>
    </s:row>
    <s:row r="64" hidden="1" ht="1" customHeight="1">
      <s:c r="A64" s="120" t="inlineStr"/>
      <s:c r="B64" s="121" t="n"/>
      <s:c r="C64" s="121" t="n"/>
      <s:c r="D64" s="121" t="n"/>
      <s:c r="E64" s="122" t="n"/>
    </s:row>
    <s:row r="65" hidden="1" ht="1" customHeight="1">
      <s:c r="A65" s="120" t="inlineStr"/>
      <s:c r="B65" s="121" t="n"/>
      <s:c r="C65" s="121" t="n"/>
      <s:c r="D65" s="121" t="n"/>
      <s:c r="E65" s="122" t="n"/>
    </s:row>
    <s:row r="66" hidden="1" ht="1" customHeight="1">
      <s:c r="A66" s="120" t="inlineStr"/>
      <s:c r="B66" s="121" t="n"/>
      <s:c r="C66" s="121" t="n"/>
      <s:c r="D66" s="121" t="n"/>
      <s:c r="E66" s="122" t="n"/>
    </s:row>
    <s:row r="67" hidden="1" ht="1" customHeight="1">
      <s:c r="A67" s="120" t="inlineStr"/>
      <s:c r="B67" s="121" t="n"/>
      <s:c r="C67" s="121" t="n"/>
      <s:c r="D67" s="121" t="n"/>
      <s:c r="E67" s="122" t="n"/>
    </s:row>
    <s:row r="68" hidden="1" ht="1" customHeight="1">
      <s:c r="A68" s="120" t="inlineStr"/>
      <s:c r="B68" s="121" t="n"/>
      <s:c r="C68" s="121" t="n"/>
      <s:c r="D68" s="121" t="n"/>
      <s:c r="E68" s="122" t="n"/>
    </s:row>
    <s:row r="69" hidden="1" ht="1" customHeight="1">
      <s:c r="A69" s="120" t="inlineStr"/>
      <s:c r="B69" s="121" t="n"/>
      <s:c r="C69" s="121" t="n"/>
      <s:c r="D69" s="121" t="n"/>
      <s:c r="E69" s="122" t="n"/>
    </s:row>
    <s:row r="70" hidden="1" ht="1" customHeight="1">
      <s:c r="A70" s="120" t="inlineStr"/>
      <s:c r="B70" s="121" t="n"/>
      <s:c r="C70" s="121" t="n"/>
      <s:c r="D70" s="121" t="n"/>
      <s:c r="E70" s="122" t="n"/>
    </s:row>
    <s:row r="71" hidden="1" ht="1" customHeight="1">
      <s:c r="A71" s="120" t="inlineStr"/>
      <s:c r="B71" s="121" t="n"/>
      <s:c r="C71" s="121" t="n"/>
      <s:c r="D71" s="121" t="n"/>
      <s:c r="E71" s="122" t="n"/>
    </s:row>
    <s:row r="72" hidden="1" ht="1" customHeight="1">
      <s:c r="A72" s="120" t="inlineStr"/>
      <s:c r="B72" s="121" t="n"/>
      <s:c r="C72" s="121" t="n"/>
      <s:c r="D72" s="121" t="n"/>
      <s:c r="E72" s="122" t="n"/>
    </s:row>
    <s:row r="73" hidden="1" ht="1" customHeight="1">
      <s:c r="A73" s="120" t="inlineStr"/>
      <s:c r="B73" s="121" t="n"/>
      <s:c r="C73" s="121" t="n"/>
      <s:c r="D73" s="121" t="n"/>
      <s:c r="E73" s="122" t="n"/>
    </s:row>
    <s:row r="74" hidden="1" ht="1" customHeight="1">
      <s:c r="A74" s="120" t="inlineStr"/>
      <s:c r="B74" s="121" t="n"/>
      <s:c r="C74" s="121" t="n"/>
      <s:c r="D74" s="121" t="n"/>
      <s:c r="E74" s="122" t="n"/>
    </s:row>
    <s:row r="75" hidden="1" ht="1" customHeight="1">
      <s:c r="A75" s="120" t="inlineStr"/>
      <s:c r="B75" s="121" t="n"/>
      <s:c r="C75" s="121" t="n"/>
      <s:c r="D75" s="121" t="n"/>
      <s:c r="E75" s="122" t="n"/>
    </s:row>
    <s:row r="76" hidden="1" ht="1" customHeight="1">
      <s:c r="A76" s="120" t="inlineStr"/>
      <s:c r="B76" s="121" t="n"/>
      <s:c r="C76" s="121" t="n"/>
      <s:c r="D76" s="121" t="n"/>
      <s:c r="E76" s="122" t="n"/>
    </s:row>
    <s:row r="77" hidden="1" ht="1" customHeight="1">
      <s:c r="A77" s="120" t="inlineStr"/>
      <s:c r="B77" s="121" t="n"/>
      <s:c r="C77" s="121" t="n"/>
      <s:c r="D77" s="121" t="n"/>
      <s:c r="E77" s="122" t="n"/>
    </s:row>
    <s:row r="78" hidden="1" ht="1" customHeight="1">
      <s:c r="A78" s="120" t="inlineStr"/>
      <s:c r="B78" s="121" t="n"/>
      <s:c r="C78" s="121" t="n"/>
      <s:c r="D78" s="121" t="n"/>
      <s:c r="E78" s="122" t="n"/>
    </s:row>
    <s:row r="79" hidden="1" ht="1" customHeight="1">
      <s:c r="A79" s="120" t="inlineStr"/>
      <s:c r="B79" s="121" t="n"/>
      <s:c r="C79" s="121" t="n"/>
      <s:c r="D79" s="121" t="n"/>
      <s:c r="E79" s="122" t="n"/>
    </s:row>
    <s:row r="80" hidden="1" ht="1" customHeight="1">
      <s:c r="A80" s="120" t="inlineStr"/>
      <s:c r="B80" s="121" t="n"/>
      <s:c r="C80" s="121" t="n"/>
      <s:c r="D80" s="121" t="n"/>
      <s:c r="E80" s="122" t="n"/>
    </s:row>
    <s:row r="81" hidden="1" ht="1" customHeight="1">
      <s:c r="A81" s="120" t="inlineStr"/>
      <s:c r="B81" s="121" t="n"/>
      <s:c r="C81" s="121" t="n"/>
      <s:c r="D81" s="121" t="n"/>
      <s:c r="E81" s="122" t="n"/>
    </s:row>
    <s:row r="82" hidden="1" ht="1" customHeight="1">
      <s:c r="A82" s="120" t="inlineStr"/>
      <s:c r="B82" s="121" t="n"/>
      <s:c r="C82" s="121" t="n"/>
      <s:c r="D82" s="121" t="n"/>
      <s:c r="E82" s="122" t="n"/>
    </s:row>
    <s:row r="83" hidden="1" ht="1" customHeight="1">
      <s:c r="A83" s="120" t="inlineStr"/>
      <s:c r="B83" s="121" t="n"/>
      <s:c r="C83" s="121" t="n"/>
      <s:c r="D83" s="121" t="n"/>
      <s:c r="E83" s="122" t="n"/>
    </s:row>
    <s:row r="84" hidden="1" ht="1" customHeight="1">
      <s:c r="A84" s="120" t="inlineStr"/>
      <s:c r="B84" s="121" t="n"/>
      <s:c r="C84" s="121" t="n"/>
      <s:c r="D84" s="121" t="n"/>
      <s:c r="E84" s="122" t="n"/>
    </s:row>
    <s:row r="85" hidden="1" ht="1" customHeight="1">
      <s:c r="A85" s="120" t="inlineStr"/>
      <s:c r="B85" s="121" t="n"/>
      <s:c r="C85" s="121" t="n"/>
      <s:c r="D85" s="121" t="n"/>
      <s:c r="E85" s="122" t="n"/>
    </s:row>
    <s:row r="86" hidden="1" ht="1" customHeight="1">
      <s:c r="A86" s="120" t="inlineStr"/>
      <s:c r="B86" s="121" t="n"/>
      <s:c r="C86" s="121" t="n"/>
      <s:c r="D86" s="121" t="n"/>
      <s:c r="E86" s="122" t="n"/>
    </s:row>
    <s:row r="87" hidden="1" ht="1" customHeight="1">
      <s:c r="A87" s="120" t="inlineStr"/>
      <s:c r="B87" s="121" t="n"/>
      <s:c r="C87" s="121" t="n"/>
      <s:c r="D87" s="121" t="n"/>
      <s:c r="E87" s="122" t="n"/>
    </s:row>
    <s:row r="88" hidden="1" ht="1" customHeight="1">
      <s:c r="A88" s="120" t="inlineStr"/>
      <s:c r="B88" s="121" t="n"/>
      <s:c r="C88" s="121" t="n"/>
      <s:c r="D88" s="121" t="n"/>
      <s:c r="E88" s="122" t="n"/>
    </s:row>
    <s:row r="89" hidden="1" ht="1" customHeight="1">
      <s:c r="A89" s="120" t="inlineStr"/>
      <s:c r="B89" s="121" t="n"/>
      <s:c r="C89" s="121" t="n"/>
      <s:c r="D89" s="121" t="n"/>
      <s:c r="E89" s="122" t="n"/>
    </s:row>
    <s:row r="90" hidden="1" ht="1" customHeight="1">
      <s:c r="A90" s="120" t="inlineStr"/>
      <s:c r="B90" s="121" t="n"/>
      <s:c r="C90" s="121" t="n"/>
      <s:c r="D90" s="121" t="n"/>
      <s:c r="E90" s="122" t="n"/>
    </s:row>
    <s:row r="91" hidden="1" ht="1" customHeight="1">
      <s:c r="A91" s="120" t="inlineStr"/>
      <s:c r="B91" s="121" t="n"/>
      <s:c r="C91" s="121" t="n"/>
      <s:c r="D91" s="121" t="n"/>
      <s:c r="E91" s="122" t="n"/>
    </s:row>
    <s:row r="92" hidden="1" ht="1" customHeight="1">
      <s:c r="A92" s="120" t="inlineStr"/>
      <s:c r="B92" s="121" t="n"/>
      <s:c r="C92" s="121" t="n"/>
      <s:c r="D92" s="121" t="n"/>
      <s:c r="E92" s="122" t="n"/>
    </s:row>
    <s:row r="93" hidden="1" ht="1" customHeight="1">
      <s:c r="A93" s="120" t="inlineStr"/>
      <s:c r="B93" s="121" t="n"/>
      <s:c r="C93" s="121" t="n"/>
      <s:c r="D93" s="121" t="n"/>
      <s:c r="E93" s="122" t="n"/>
    </s:row>
    <s:row r="94" hidden="1" ht="1" customHeight="1">
      <s:c r="A94" s="120" t="inlineStr"/>
      <s:c r="B94" s="121" t="n"/>
      <s:c r="C94" s="121" t="n"/>
      <s:c r="D94" s="121" t="n"/>
      <s:c r="E94" s="122" t="n"/>
    </s:row>
    <s:row r="95" hidden="1" ht="1" customHeight="1">
      <s:c r="A95" s="120" t="inlineStr"/>
      <s:c r="B95" s="121" t="n"/>
      <s:c r="C95" s="121" t="n"/>
      <s:c r="D95" s="121" t="n"/>
      <s:c r="E95" s="122" t="n"/>
    </s:row>
    <s:row r="96" hidden="1" ht="1" customHeight="1">
      <s:c r="A96" s="120" t="inlineStr"/>
      <s:c r="B96" s="121" t="n"/>
      <s:c r="C96" s="121" t="n"/>
      <s:c r="D96" s="121" t="n"/>
      <s:c r="E96" s="122" t="n"/>
    </s:row>
    <s:row r="97" hidden="1" ht="1" customHeight="1">
      <s:c r="A97" s="120" t="inlineStr"/>
      <s:c r="B97" s="121" t="n"/>
      <s:c r="C97" s="121" t="n"/>
      <s:c r="D97" s="121" t="n"/>
      <s:c r="E97" s="122" t="n"/>
    </s:row>
    <s:row r="98" hidden="1" ht="1" customHeight="1">
      <s:c r="A98" s="120" t="inlineStr"/>
      <s:c r="B98" s="121" t="n"/>
      <s:c r="C98" s="121" t="n"/>
      <s:c r="D98" s="121" t="n"/>
      <s:c r="E98" s="122" t="n"/>
    </s:row>
    <s:row r="99" hidden="1" ht="1" customHeight="1">
      <s:c r="A99" s="120" t="inlineStr"/>
      <s:c r="B99" s="121" t="n"/>
      <s:c r="C99" s="121" t="n"/>
      <s:c r="D99" s="121" t="n"/>
      <s:c r="E99" s="122" t="n"/>
    </s:row>
    <s:row r="100" hidden="1" ht="1" customHeight="1">
      <s:c r="A100" s="120" t="inlineStr"/>
      <s:c r="B100" s="121" t="n"/>
      <s:c r="C100" s="121" t="n"/>
      <s:c r="D100" s="121" t="n"/>
      <s:c r="E100" s="122" t="n"/>
    </s:row>
    <s:row r="101" hidden="1" ht="1" customHeight="1">
      <s:c r="A101" s="120" t="inlineStr"/>
      <s:c r="B101" s="121" t="n"/>
      <s:c r="C101" s="121" t="n"/>
      <s:c r="D101" s="121" t="n"/>
      <s:c r="E101" s="122" t="n"/>
    </s:row>
    <s:row r="102" hidden="1" ht="1" customHeight="1">
      <s:c r="A102" s="120" t="inlineStr"/>
      <s:c r="B102" s="121" t="n"/>
      <s:c r="C102" s="121" t="n"/>
      <s:c r="D102" s="121" t="n"/>
      <s:c r="E102" s="122" t="n"/>
    </s:row>
    <s:row r="103" hidden="1" ht="1" customHeight="1">
      <s:c r="A103" s="120" t="inlineStr"/>
      <s:c r="B103" s="121" t="n"/>
      <s:c r="C103" s="121" t="n"/>
      <s:c r="D103" s="121" t="n"/>
      <s:c r="E103" s="122" t="n"/>
    </s:row>
    <s:row r="104" hidden="1" ht="1" customHeight="1">
      <s:c r="A104" s="120" t="inlineStr"/>
      <s:c r="B104" s="121" t="n"/>
      <s:c r="C104" s="121" t="n"/>
      <s:c r="D104" s="121" t="n"/>
      <s:c r="E104" s="122" t="n"/>
    </s:row>
    <s:row r="105" hidden="1" ht="1" customHeight="1">
      <s:c r="A105" s="120" t="inlineStr"/>
      <s:c r="B105" s="121" t="n"/>
      <s:c r="C105" s="121" t="n"/>
      <s:c r="D105" s="121" t="n"/>
      <s:c r="E105" s="122" t="n"/>
    </s:row>
    <s:row r="106" hidden="1" ht="1" customHeight="1">
      <s:c r="A106" s="120" t="inlineStr"/>
      <s:c r="B106" s="121" t="n"/>
      <s:c r="C106" s="121" t="n"/>
      <s:c r="D106" s="121" t="n"/>
      <s:c r="E106" s="122" t="n"/>
    </s:row>
    <s:row r="107" hidden="1" ht="1" customHeight="1">
      <s:c r="A107" s="120" t="inlineStr"/>
      <s:c r="B107" s="121" t="n"/>
      <s:c r="C107" s="121" t="n"/>
      <s:c r="D107" s="121" t="n"/>
      <s:c r="E107" s="122" t="n"/>
    </s:row>
    <s:row r="108" hidden="1" ht="1" customHeight="1">
      <s:c r="A108" s="120" t="inlineStr"/>
      <s:c r="B108" s="121" t="n"/>
      <s:c r="C108" s="121" t="n"/>
      <s:c r="D108" s="121" t="n"/>
      <s:c r="E108" s="122" t="n"/>
    </s:row>
    <s:row r="109" hidden="1" ht="1" customHeight="1">
      <s:c r="A109" s="120" t="inlineStr"/>
      <s:c r="B109" s="121" t="n"/>
      <s:c r="C109" s="121" t="n"/>
      <s:c r="D109" s="121" t="n"/>
      <s:c r="E109" s="122" t="n"/>
    </s:row>
    <s:row r="110" hidden="1" ht="1" customHeight="1">
      <s:c r="A110" s="120" t="inlineStr"/>
      <s:c r="B110" s="121" t="n"/>
      <s:c r="C110" s="121" t="n"/>
      <s:c r="D110" s="121" t="n"/>
      <s:c r="E110" s="122" t="n"/>
    </s:row>
    <s:row r="111" hidden="1" ht="1" customHeight="1">
      <s:c r="A111" s="120" t="inlineStr"/>
      <s:c r="B111" s="121" t="n"/>
      <s:c r="C111" s="121" t="n"/>
      <s:c r="D111" s="121" t="n"/>
      <s:c r="E111" s="122" t="n"/>
    </s:row>
    <s:row r="112" hidden="1" ht="1" customHeight="1">
      <s:c r="A112" s="120" t="inlineStr"/>
      <s:c r="B112" s="121" t="n"/>
      <s:c r="C112" s="121" t="n"/>
      <s:c r="D112" s="121" t="n"/>
      <s:c r="E112" s="122" t="n"/>
    </s:row>
    <s:row r="113" hidden="1" ht="1" customHeight="1">
      <s:c r="A113" s="120" t="inlineStr"/>
      <s:c r="B113" s="121" t="n"/>
      <s:c r="C113" s="121" t="n"/>
      <s:c r="D113" s="121" t="n"/>
      <s:c r="E113" s="122" t="n"/>
    </s:row>
    <s:row r="114" hidden="1" ht="1" customHeight="1">
      <s:c r="A114" s="120" t="inlineStr"/>
      <s:c r="B114" s="121" t="n"/>
      <s:c r="C114" s="121" t="n"/>
      <s:c r="D114" s="121" t="n"/>
      <s:c r="E114" s="122" t="n"/>
    </s:row>
    <s:row r="115" hidden="1" ht="1" customHeight="1">
      <s:c r="A115" s="120" t="inlineStr"/>
      <s:c r="B115" s="121" t="n"/>
      <s:c r="C115" s="121" t="n"/>
      <s:c r="D115" s="121" t="n"/>
      <s:c r="E115" s="122" t="n"/>
    </s:row>
    <s:row r="116" hidden="1" ht="1" customHeight="1">
      <s:c r="A116" s="120" t="inlineStr"/>
      <s:c r="B116" s="121" t="n"/>
      <s:c r="C116" s="121" t="n"/>
      <s:c r="D116" s="121" t="n"/>
      <s:c r="E116" s="122" t="n"/>
    </s:row>
    <s:row r="117" hidden="1" ht="1" customHeight="1">
      <s:c r="A117" s="120" t="inlineStr"/>
      <s:c r="B117" s="121" t="n"/>
      <s:c r="C117" s="121" t="n"/>
      <s:c r="D117" s="121" t="n"/>
      <s:c r="E117" s="122" t="n"/>
    </s:row>
    <s:row r="118" hidden="1" ht="1" customHeight="1">
      <s:c r="A118" s="120" t="inlineStr"/>
      <s:c r="B118" s="121" t="n"/>
      <s:c r="C118" s="121" t="n"/>
      <s:c r="D118" s="121" t="n"/>
      <s:c r="E118" s="122" t="n"/>
    </s:row>
    <s:row r="119" hidden="1" ht="1" customHeight="1">
      <s:c r="A119" s="120" t="inlineStr"/>
      <s:c r="B119" s="121" t="n"/>
      <s:c r="C119" s="121" t="n"/>
      <s:c r="D119" s="121" t="n"/>
      <s:c r="E119" s="122" t="n"/>
    </s:row>
    <s:row r="120" hidden="1" ht="1" customHeight="1">
      <s:c r="A120" s="120" t="inlineStr"/>
      <s:c r="B120" s="121" t="n"/>
      <s:c r="C120" s="121" t="n"/>
      <s:c r="D120" s="121" t="n"/>
      <s:c r="E120" s="122" t="n"/>
    </s:row>
    <s:row r="121" hidden="1" ht="1" customHeight="1">
      <s:c r="A121" s="120" t="inlineStr"/>
      <s:c r="B121" s="121" t="n"/>
      <s:c r="C121" s="121" t="n"/>
      <s:c r="D121" s="121" t="n"/>
      <s:c r="E121" s="122" t="n"/>
    </s:row>
    <s:row r="122" hidden="1" ht="1" customHeight="1">
      <s:c r="A122" s="120" t="inlineStr"/>
      <s:c r="B122" s="121" t="n"/>
      <s:c r="C122" s="121" t="n"/>
      <s:c r="D122" s="121" t="n"/>
      <s:c r="E122" s="122" t="n"/>
    </s:row>
    <s:row r="123" hidden="1" ht="1" customHeight="1">
      <s:c r="A123" s="120" t="inlineStr"/>
      <s:c r="B123" s="121" t="n"/>
      <s:c r="C123" s="121" t="n"/>
      <s:c r="D123" s="121" t="n"/>
      <s:c r="E123" s="122" t="n"/>
    </s:row>
    <s:row r="124" hidden="1" ht="1" customHeight="1">
      <s:c r="A124" s="120" t="inlineStr"/>
      <s:c r="B124" s="121" t="n"/>
      <s:c r="C124" s="121" t="n"/>
      <s:c r="D124" s="121" t="n"/>
      <s:c r="E124" s="122" t="n"/>
    </s:row>
    <s:row r="125" hidden="1" ht="1" customHeight="1">
      <s:c r="A125" s="120" t="inlineStr"/>
      <s:c r="B125" s="121" t="n"/>
      <s:c r="C125" s="121" t="n"/>
      <s:c r="D125" s="121" t="n"/>
      <s:c r="E125" s="122" t="n"/>
    </s:row>
    <s:row r="126" hidden="1" ht="1" customHeight="1">
      <s:c r="A126" s="120" t="inlineStr"/>
      <s:c r="B126" s="121" t="n"/>
      <s:c r="C126" s="121" t="n"/>
      <s:c r="D126" s="121" t="n"/>
      <s:c r="E126" s="122" t="n"/>
    </s:row>
    <s:row r="127" hidden="1" ht="1" customHeight="1">
      <s:c r="A127" s="120" t="inlineStr"/>
      <s:c r="B127" s="121" t="n"/>
      <s:c r="C127" s="121" t="n"/>
      <s:c r="D127" s="121" t="n"/>
      <s:c r="E127" s="122" t="n"/>
    </s:row>
    <s:row r="128" hidden="1" ht="1" customHeight="1">
      <s:c r="A128" s="120" t="inlineStr"/>
      <s:c r="B128" s="121" t="n"/>
      <s:c r="C128" s="121" t="n"/>
      <s:c r="D128" s="121" t="n"/>
      <s:c r="E128" s="122" t="n"/>
    </s:row>
    <s:row r="129" hidden="1" ht="1" customHeight="1">
      <s:c r="A129" s="120" t="inlineStr"/>
      <s:c r="B129" s="121" t="n"/>
      <s:c r="C129" s="121" t="n"/>
      <s:c r="D129" s="121" t="n"/>
      <s:c r="E129" s="122" t="n"/>
    </s:row>
    <s:row r="130" hidden="1" ht="1" customHeight="1">
      <s:c r="A130" s="120" t="inlineStr"/>
      <s:c r="B130" s="121" t="n"/>
      <s:c r="C130" s="121" t="n"/>
      <s:c r="D130" s="121" t="n"/>
      <s:c r="E130" s="122" t="n"/>
    </s:row>
    <s:row r="131" hidden="1" ht="1" customHeight="1">
      <s:c r="A131" s="120" t="inlineStr"/>
      <s:c r="B131" s="121" t="n"/>
      <s:c r="C131" s="121" t="n"/>
      <s:c r="D131" s="121" t="n"/>
      <s:c r="E131" s="122" t="n"/>
    </s:row>
    <s:row r="132" hidden="1" ht="1" customHeight="1">
      <s:c r="A132" s="120" t="inlineStr"/>
      <s:c r="B132" s="121" t="n"/>
      <s:c r="C132" s="121" t="n"/>
      <s:c r="D132" s="121" t="n"/>
      <s:c r="E132" s="122" t="n"/>
    </s:row>
    <s:row r="133" hidden="1" ht="1" customHeight="1">
      <s:c r="A133" s="120" t="inlineStr"/>
      <s:c r="B133" s="121" t="n"/>
      <s:c r="C133" s="121" t="n"/>
      <s:c r="D133" s="121" t="n"/>
      <s:c r="E133" s="122" t="n"/>
    </s:row>
    <s:row r="134" hidden="1" ht="1" customHeight="1">
      <s:c r="A134" s="120" t="inlineStr"/>
      <s:c r="B134" s="121" t="n"/>
      <s:c r="C134" s="121" t="n"/>
      <s:c r="D134" s="121" t="n"/>
      <s:c r="E134" s="122" t="n"/>
    </s:row>
    <s:row r="135" hidden="1" ht="1" customHeight="1">
      <s:c r="A135" s="120" t="inlineStr"/>
      <s:c r="B135" s="121" t="n"/>
      <s:c r="C135" s="121" t="n"/>
      <s:c r="D135" s="121" t="n"/>
      <s:c r="E135" s="122" t="n"/>
    </s:row>
    <s:row r="136" hidden="1" ht="1" customHeight="1">
      <s:c r="A136" s="120" t="inlineStr"/>
      <s:c r="B136" s="121" t="n"/>
      <s:c r="C136" s="121" t="n"/>
      <s:c r="D136" s="121" t="n"/>
      <s:c r="E136" s="122" t="n"/>
    </s:row>
    <s:row r="137" hidden="1" ht="1" customHeight="1">
      <s:c r="A137" s="120" t="inlineStr"/>
      <s:c r="B137" s="121" t="n"/>
      <s:c r="C137" s="121" t="n"/>
      <s:c r="D137" s="121" t="n"/>
      <s:c r="E137" s="122" t="n"/>
    </s:row>
    <s:row r="138" hidden="1" ht="1" customHeight="1">
      <s:c r="A138" s="120" t="inlineStr"/>
      <s:c r="B138" s="121" t="n"/>
      <s:c r="C138" s="121" t="n"/>
      <s:c r="D138" s="121" t="n"/>
      <s:c r="E138" s="122" t="n"/>
    </s:row>
    <s:row r="139" hidden="1" ht="1" customHeight="1">
      <s:c r="A139" s="120" t="inlineStr"/>
      <s:c r="B139" s="121" t="n"/>
      <s:c r="C139" s="121" t="n"/>
      <s:c r="D139" s="121" t="n"/>
      <s:c r="E139" s="122" t="n"/>
    </s:row>
    <s:row r="140" hidden="1" ht="1" customHeight="1">
      <s:c r="A140" s="120" t="inlineStr"/>
      <s:c r="B140" s="121" t="n"/>
      <s:c r="C140" s="121" t="n"/>
      <s:c r="D140" s="121" t="n"/>
      <s:c r="E140" s="122" t="n"/>
    </s:row>
    <s:row r="141" hidden="1" ht="1" customHeight="1">
      <s:c r="A141" s="120" t="inlineStr"/>
      <s:c r="B141" s="121" t="n"/>
      <s:c r="C141" s="121" t="n"/>
      <s:c r="D141" s="121" t="n"/>
      <s:c r="E141" s="122" t="n"/>
    </s:row>
    <s:row r="142" hidden="1" ht="1" customHeight="1">
      <s:c r="A142" s="120" t="inlineStr"/>
      <s:c r="B142" s="121" t="n"/>
      <s:c r="C142" s="121" t="n"/>
      <s:c r="D142" s="121" t="n"/>
      <s:c r="E142" s="122" t="n"/>
    </s:row>
    <s:row r="143" hidden="1" ht="1" customHeight="1">
      <s:c r="A143" s="120" t="inlineStr"/>
      <s:c r="B143" s="121" t="n"/>
      <s:c r="C143" s="121" t="n"/>
      <s:c r="D143" s="121" t="n"/>
      <s:c r="E143" s="122" t="n"/>
    </s:row>
    <s:row r="144" hidden="1" ht="1" customHeight="1">
      <s:c r="A144" s="120" t="inlineStr"/>
      <s:c r="B144" s="121" t="n"/>
      <s:c r="C144" s="121" t="n"/>
      <s:c r="D144" s="121" t="n"/>
      <s:c r="E144" s="122" t="n"/>
    </s:row>
    <s:row r="145" hidden="1" ht="1" customHeight="1">
      <s:c r="A145" s="120" t="inlineStr"/>
      <s:c r="B145" s="121" t="n"/>
      <s:c r="C145" s="121" t="n"/>
      <s:c r="D145" s="121" t="n"/>
      <s:c r="E145" s="122" t="n"/>
    </s:row>
    <s:row r="146" hidden="1" ht="1" customHeight="1">
      <s:c r="A146" s="120" t="inlineStr"/>
      <s:c r="B146" s="121" t="n"/>
      <s:c r="C146" s="121" t="n"/>
      <s:c r="D146" s="121" t="n"/>
      <s:c r="E146" s="122" t="n"/>
    </s:row>
    <s:row r="147" hidden="1" ht="1" customHeight="1">
      <s:c r="A147" s="120" t="inlineStr"/>
      <s:c r="B147" s="121" t="n"/>
      <s:c r="C147" s="121" t="n"/>
      <s:c r="D147" s="121" t="n"/>
      <s:c r="E147" s="122" t="n"/>
    </s:row>
    <s:row r="148" hidden="1" ht="1" customHeight="1">
      <s:c r="A148" s="120" t="inlineStr"/>
      <s:c r="B148" s="121" t="n"/>
      <s:c r="C148" s="121" t="n"/>
      <s:c r="D148" s="121" t="n"/>
      <s:c r="E148" s="122" t="n"/>
    </s:row>
    <s:row r="149" hidden="1" ht="1" customHeight="1">
      <s:c r="A149" s="120" t="inlineStr"/>
      <s:c r="B149" s="121" t="n"/>
      <s:c r="C149" s="121" t="n"/>
      <s:c r="D149" s="121" t="n"/>
      <s:c r="E149" s="122" t="n"/>
    </s:row>
    <s:row r="150" hidden="1" ht="1" customHeight="1">
      <s:c r="A150" s="120" t="inlineStr"/>
      <s:c r="B150" s="121" t="n"/>
      <s:c r="C150" s="121" t="n"/>
      <s:c r="D150" s="121" t="n"/>
      <s:c r="E150" s="122" t="n"/>
    </s:row>
    <s:row r="151" hidden="1" ht="1" customHeight="1">
      <s:c r="A151" s="120" t="inlineStr"/>
      <s:c r="B151" s="121" t="n"/>
      <s:c r="C151" s="121" t="n"/>
      <s:c r="D151" s="121" t="n"/>
      <s:c r="E151" s="122" t="n"/>
    </s:row>
    <s:row r="152" hidden="1" ht="1" customHeight="1">
      <s:c r="A152" s="120" t="inlineStr"/>
      <s:c r="B152" s="121" t="n"/>
      <s:c r="C152" s="121" t="n"/>
      <s:c r="D152" s="121" t="n"/>
      <s:c r="E152" s="122" t="n"/>
    </s:row>
    <s:row r="153" hidden="1" ht="1" customHeight="1">
      <s:c r="A153" s="120" t="inlineStr"/>
      <s:c r="B153" s="121" t="n"/>
      <s:c r="C153" s="121" t="n"/>
      <s:c r="D153" s="121" t="n"/>
      <s:c r="E153" s="122" t="n"/>
    </s:row>
    <s:row r="154" hidden="1" ht="1" customHeight="1">
      <s:c r="A154" s="120" t="inlineStr"/>
      <s:c r="B154" s="121" t="n"/>
      <s:c r="C154" s="121" t="n"/>
      <s:c r="D154" s="121" t="n"/>
      <s:c r="E154" s="122" t="n"/>
    </s:row>
    <s:row r="155" hidden="1" ht="1" customHeight="1">
      <s:c r="A155" s="120" t="inlineStr"/>
      <s:c r="B155" s="121" t="n"/>
      <s:c r="C155" s="121" t="n"/>
      <s:c r="D155" s="121" t="n"/>
      <s:c r="E155" s="122" t="n"/>
    </s:row>
    <s:row r="156" hidden="1" ht="1" customHeight="1">
      <s:c r="A156" s="120" t="inlineStr"/>
      <s:c r="B156" s="121" t="n"/>
      <s:c r="C156" s="121" t="n"/>
      <s:c r="D156" s="121" t="n"/>
      <s:c r="E156" s="122" t="n"/>
    </s:row>
    <s:row r="157" hidden="1" ht="1" customHeight="1">
      <s:c r="A157" s="120" t="inlineStr"/>
      <s:c r="B157" s="121" t="n"/>
      <s:c r="C157" s="121" t="n"/>
      <s:c r="D157" s="121" t="n"/>
      <s:c r="E157" s="122" t="n"/>
    </s:row>
    <s:row r="158" hidden="1" ht="1" customHeight="1">
      <s:c r="A158" s="120" t="inlineStr"/>
      <s:c r="B158" s="121" t="n"/>
      <s:c r="C158" s="121" t="n"/>
      <s:c r="D158" s="121" t="n"/>
      <s:c r="E158" s="122" t="n"/>
    </s:row>
    <s:row r="159" hidden="1" ht="1" customHeight="1">
      <s:c r="A159" s="120" t="inlineStr"/>
      <s:c r="B159" s="121" t="n"/>
      <s:c r="C159" s="121" t="n"/>
      <s:c r="D159" s="121" t="n"/>
      <s:c r="E159" s="122" t="n"/>
    </s:row>
    <s:row r="160" hidden="1" ht="1" customHeight="1">
      <s:c r="A160" s="120" t="inlineStr"/>
      <s:c r="B160" s="121" t="n"/>
      <s:c r="C160" s="121" t="n"/>
      <s:c r="D160" s="121" t="n"/>
      <s:c r="E160" s="122" t="n"/>
    </s:row>
    <s:row r="161" hidden="1" ht="1" customHeight="1">
      <s:c r="A161" s="120" t="inlineStr"/>
      <s:c r="B161" s="121" t="n"/>
      <s:c r="C161" s="121" t="n"/>
      <s:c r="D161" s="121" t="n"/>
      <s:c r="E161" s="122" t="n"/>
    </s:row>
    <s:row r="162" hidden="1" ht="1" customHeight="1">
      <s:c r="A162" s="120" t="inlineStr"/>
      <s:c r="B162" s="121" t="n"/>
      <s:c r="C162" s="121" t="n"/>
      <s:c r="D162" s="121" t="n"/>
      <s:c r="E162" s="122" t="n"/>
    </s:row>
    <s:row r="163" hidden="1" ht="1" customHeight="1">
      <s:c r="A163" s="120" t="inlineStr"/>
      <s:c r="B163" s="121" t="n"/>
      <s:c r="C163" s="121" t="n"/>
      <s:c r="D163" s="121" t="n"/>
      <s:c r="E163" s="122" t="n"/>
    </s:row>
    <s:row r="164" hidden="1" ht="1" customHeight="1">
      <s:c r="A164" s="120" t="inlineStr"/>
      <s:c r="B164" s="121" t="n"/>
      <s:c r="C164" s="121" t="n"/>
      <s:c r="D164" s="121" t="n"/>
      <s:c r="E164" s="122" t="n"/>
    </s:row>
    <s:row r="165" hidden="1" ht="1" customHeight="1">
      <s:c r="A165" s="83" t="inlineStr">
        <s:is>
          <s:t>PASS</s:t>
        </s:is>
      </s:c>
      <s:c r="B165" s="83">
        <s:f>SUM(IF(EXACT('Kiểm thử'!E15,"Đạt"),1,0),IF(EXACT('Kiểm thử'!E17,"Đạt"),1,0),IF(EXACT('Kiểm thử'!E19,"Đạt"),1,0))</s:f>
        <s:v/>
      </s:c>
      <s:c r="C165" s="19" t="n"/>
      <s:c r="D165" s="19" t="n"/>
      <s:c r="E165" s="19" t="n"/>
    </s:row>
    <s:row r="166" hidden="1" ht="1" customHeight="1">
      <s:c r="A166" s="83" t="inlineStr">
        <s:is>
          <s:t>FAIL</s:t>
        </s:is>
      </s:c>
      <s:c r="B166" s="83">
        <s:f>SUM(IF(EXACT('Kiểm thử'!E15,"Không đạt"),1,0),IF(EXACT('Kiểm thử'!E17,"Không đạt"),1,0),IF(EXACT('Kiểm thử'!E19,"Không đạt"),1,0))</s:f>
        <s:v/>
      </s:c>
      <s:c r="C166" s="19" t="n"/>
      <s:c r="D166" s="19" t="n"/>
      <s:c r="E166" s="19" t="n"/>
    </s:row>
    <s:row r="167" hidden="1" ht="1" customHeight="1">
      <s:c r="A167" s="83" t="inlineStr">
        <s:is>
          <s:t>BLOCKED</s:t>
        </s:is>
      </s:c>
      <s:c r="B167" s="83">
        <s:f>SUM(IF(EXACT('Kiểm thử'!E15,"Bị chặn"),1,0),IF(EXACT('Kiểm thử'!E17,"Bị chặn"),1,0),IF(EXACT('Kiểm thử'!E19,"Bị chặn"),1,0))</s:f>
        <s:v/>
      </s:c>
      <s:c r="C167" s="19" t="n"/>
      <s:c r="D167" s="19" t="n"/>
      <s:c r="E167" s="19" t="n"/>
    </s:row>
    <s:row r="168" hidden="1" ht="1" customHeight="1">
      <s:c r="A168" s="83" t="inlineStr">
        <s:is>
          <s:t>SKIPPED</s:t>
        </s:is>
      </s:c>
      <s:c r="B168" s="83">
        <s:f>SUM(IF(EXACT('Kiểm thử'!E15,"Không thực hiện"),1,0),IF(EXACT('Kiểm thử'!E17,"Không thực hiện"),1,0),IF(EXACT('Kiểm thử'!E19,"Không thực hiện"),1,0))</s:f>
        <s:v/>
      </s:c>
      <s:c r="C168" s="19" t="n"/>
      <s:c r="D168" s="19" t="n"/>
      <s:c r="E168" s="19" t="n"/>
    </s:row>
    <s:row r="169" hidden="1" ht="1" customHeight="1">
      <s:c r="A169" s="83" t="inlineStr">
        <s:is>
          <s:t>NOT RUN</s:t>
        </s:is>
      </s:c>
      <s:c r="B169" s="83">
        <s:f>SUM(IF(EXACT('Kiểm thử'!E15,"Chưa thực hiện"),1,0),IF(EXACT('Kiểm thử'!E17,"Chưa thực hiện"),1,0),IF(EXACT('Kiểm thử'!E19,"Chưa thực hiện"),1,0))</s:f>
        <s:v/>
      </s:c>
      <s:c r="C169" s="19" t="n"/>
      <s:c r="D169" s="19" t="n"/>
      <s:c r="E169" s="19" t="n"/>
    </s:row>
    <s:row r="170" hidden="1" ht="6" customHeight="1">
      <s:c r="A170" s="83" t="inlineStr"/>
      <s:c r="B170" s="19" t="n"/>
      <s:c r="C170" s="19" t="n"/>
      <s:c r="D170" s="19" t="n"/>
      <s:c r="E170" s="19" t="n"/>
    </s:row>
    <s:row r="171" ht="28" customHeight="1">
      <s:c r="A171" s="108" t="inlineStr">
        <s:is>
          <s:t>TC-RS-FUNC-002 — Mục kiểu lựa chọn và Đạt/không đạt（合否） không có thao tác tạo quy tắc đỏ có hiệu lực</s:t>
        </s:is>
      </s:c>
      <s:c r="B171" s="111" t="n"/>
      <s:c r="C171" s="111" t="n"/>
      <s:c r="D171" s="111" t="n"/>
      <s:c r="E171" s="111" t="n"/>
    </s:row>
    <s:row r="172" ht="20" customHeight="1">
      <s:c r="A172" s="112" t="inlineStr">
        <s:is>
          <s:t>Kết quả tình huống</s:t>
        </s:is>
      </s:c>
      <s:c r="B172" s="113">
        <s:f>IF(SUM(IF(EXACT('Kiểm thử'!E181,"Không đạt"),1,0),IF(EXACT('Kiểm thử'!E183,"Không đạt"),1,0))&gt;0,"Không đạt",IF(SUM(IF(EXACT('Kiểm thử'!E181,"Đạt"),1,0),IF(EXACT('Kiểm thử'!E183,"Đạt"),1,0))=2,"Đạt",IF(SUM(IF(EXACT('Kiểm thử'!E181,"Không thực hiện"),1,0),IF(EXACT('Kiểm thử'!E183,"Không thực hiện"),1,0))=2,"Không thực hiện",IF(SUM(IF(EXACT('Kiểm thử'!E181,"Bị chặn"),1,0),IF(EXACT('Kiểm thử'!E183,"Bị chặn"),1,0))&gt;0,"Bị chặn",IF(SUM(IF(EXACT('Kiểm thử'!E181,"Chưa thực hiện"),1,0),IF(EXACT('Kiểm thử'!E183,"Chưa thực hiện"),1,0))=2,"Chưa thực hiện","Đang thực hiện")))))</s:f>
        <s:v/>
      </s:c>
      <s:c r="C172" s="114" t="n"/>
      <s:c r="D172" s="114" t="n"/>
      <s:c r="E172" s="114" t="n"/>
    </s:row>
    <s:row r="173" ht="20" customHeight="1">
      <s:c r="A173" s="112" t="inlineStr">
        <s:is>
          <s:t>Màn hình / chức năng</s:t>
        </s:is>
      </s:c>
      <s:c r="B173" s="113" t="inlineStr">
        <s:is>
          <s:r>
            <s:rPr>
              <s:b val="1"/>
            </s:rPr>
            <s:t>Thiết lập điểm đỏ（赤点設定）</s:t>
          </s:r>
        </s:is>
      </s:c>
      <s:c r="C173" s="28" t="n"/>
      <s:c r="D173" s="28" t="n"/>
      <s:c r="E173" s="28" t="n"/>
    </s:row>
    <s:row r="174" ht="20" customHeight="1">
      <s:c r="A174" s="112" t="inlineStr">
        <s:is>
          <s:t>Cấu hình</s:t>
        </s:is>
      </s:c>
      <s:c r="B174" s="113" t="inlineStr">
        <s:is>
          <s:t>• Đăng nhập tài khoản giáo viên có quyền sửa mục.</s:t>
        </s:is>
      </s:c>
      <s:c r="C174" s="28" t="n"/>
      <s:c r="D174" s="28" t="n"/>
      <s:c r="E174" s="28" t="n"/>
    </s:row>
    <s:row r="175" ht="20" customHeight="1">
      <s:c r="A175" s="112" t="inlineStr">
        <s:is>
          <s:t>Dữ liệu test</s:t>
        </s:is>
      </s:c>
      <s:c r="B175" s="113" t="inlineStr">
        <s:is>
          <s:r>
            <s:t xml:space="preserve">• Mục kiểu lựa chọn A/B/C, </s:t>
          </s:r>
          <s:r>
            <s:rPr>
              <s:b val="1"/>
            </s:rPr>
            <s:t>mục Đạt/không đạt（合否）</s:t>
          </s:r>
        </s:is>
      </s:c>
      <s:c r="C175" s="28" t="n"/>
      <s:c r="D175" s="28" t="n"/>
      <s:c r="E175" s="28" t="n"/>
    </s:row>
    <s:row r="176" ht="20" customHeight="1">
      <s:c r="A176" s="112" t="inlineStr">
        <s:is>
          <s:t>Bước 1</s:t>
        </s:is>
      </s:c>
      <s:c r="B176" s="113" t="inlineStr">
        <s:is>
          <s:r>
            <s:t xml:space="preserve">Mở </s:t>
          </s:r>
          <s:r>
            <s:rPr>
              <s:b val="1"/>
            </s:rPr>
            <s:t>Thiết lập ô nhập（入力欄設定）</s:t>
          </s:r>
          <s:r>
            <s:t>.</s:t>
          </s:r>
        </s:is>
      </s:c>
      <s:c r="C176" s="28" t="n"/>
      <s:c r="D176" s="28" t="n"/>
      <s:c r="E176" s="28" t="n"/>
    </s:row>
    <s:row r="177" ht="20" customHeight="1">
      <s:c r="A177" s="112" t="inlineStr">
        <s:is>
          <s:t>Bước 2</s:t>
        </s:is>
      </s:c>
      <s:c r="B177" s="113" t="inlineStr">
        <s:is>
          <s:r>
            <s:t xml:space="preserve">Xem hàng </s:t>
          </s:r>
          <s:r>
            <s:rPr>
              <s:b val="1"/>
            </s:rPr>
            <s:t>Thiết lập điểm đỏ（赤点設定）</s:t>
          </s:r>
          <s:r>
            <s:t xml:space="preserve"> ở cột mục kiểu lựa chọn A/B/C, </s:t>
          </s:r>
          <s:r>
            <s:rPr>
              <s:b val="1"/>
            </s:rPr>
            <s:t>mục Đạt/không đạt（合否）</s:t>
          </s:r>
          <s:r>
            <s:t>.</s:t>
          </s:r>
        </s:is>
      </s:c>
      <s:c r="C177" s="28" t="n"/>
      <s:c r="D177" s="28" t="n"/>
      <s:c r="E177" s="28" t="n"/>
    </s:row>
    <s:row r="178" ht="20" customHeight="1">
      <s:c r="A178" s="112" t="inlineStr">
        <s:is>
          <s:t>Bước 3</s:t>
        </s:is>
      </s:c>
      <s:c r="B178" s="113" t="inlineStr">
        <s:is>
          <s:t>Thử mở URL màn danh sách điểm đỏ của mục kiểu lựa chọn A/B/C bằng ID mục (nếu biết URL).</s:t>
        </s:is>
      </s:c>
      <s:c r="C178" s="28" t="n"/>
      <s:c r="D178" s="28" t="n"/>
      <s:c r="E178" s="28" t="n"/>
    </s:row>
    <s:row r="179" ht="28" customHeight="1">
      <s:c r="A179" s="115" t="inlineStr">
        <s:is>
          <s:t>Trường hợp</s:t>
        </s:is>
      </s:c>
      <s:c r="B179" s="115" t="inlineStr">
        <s:is>
          <s:t>Dữ liệu / thao tác riêng</s:t>
        </s:is>
      </s:c>
      <s:c r="C179" s="115" t="inlineStr">
        <s:is>
          <s:t>Kết quả mong đợi</s:t>
        </s:is>
      </s:c>
      <s:c r="D179" s="115" t="inlineStr">
        <s:is>
          <s:t>Kết quả thực tế</s:t>
        </s:is>
      </s:c>
      <s:c r="E179" s="115" t="inlineStr">
        <s:is>
          <s:t>Đánh giá</s:t>
        </s:is>
      </s:c>
    </s:row>
    <s:row r="180" ht="3" customHeight="1">
      <s:c r="A180" s="102" t="inlineStr"/>
      <s:c r="B180" s="99" t="n"/>
      <s:c r="C180" s="99" t="n"/>
      <s:c r="D180" s="116" t="n"/>
      <s:c r="E180" s="116" t="n"/>
    </s:row>
    <s:row r="181" ht="90" customHeight="1">
      <s:c r="A181" s="83" t="inlineStr">
        <s:is>
          <s:t>Mục lựa chọn (choice)</s:t>
        </s:is>
      </s:c>
      <s:c r="B181" s="83" t="inlineStr">
        <s:is>
          <s:t>Mục A/B/C; Kiểm tra bước 1–2, rồi thử URL trực tiếp bằng ID mục nếu biết URL; không tự dựng route.</s:t>
        </s:is>
      </s:c>
      <s:c r="C181" s="83" t="inlineStr">
        <s:is>
          <s:t>Không có thao tác tạo quy tắc đỏ có hiệu lực cho mục A/B/C. Nếu có endpoint truy cập trực tiếp, server từ chối tạo/lưu quy tắc cho mục không thuộc loại số; không dùng việc URL không hiển thị làm bằng chứng duy nhất.</s:t>
        </s:is>
      </s:c>
      <s:c r="D181" s="117" t="inlineStr"/>
      <s:c r="E181" s="118" t="inlineStr">
        <s:is>
          <s:t>Chưa thực hiện</s:t>
        </s:is>
      </s:c>
    </s:row>
    <s:row r="182" ht="3" customHeight="1">
      <s:c r="A182" s="102" t="inlineStr"/>
      <s:c r="B182" s="99" t="n"/>
      <s:c r="C182" s="99" t="n"/>
      <s:c r="D182" s="116" t="n"/>
      <s:c r="E182" s="116" t="n"/>
    </s:row>
    <s:row r="183" ht="90" customHeight="1">
      <s:c r="A183" s="83" t="inlineStr">
        <s:is>
          <s:t>Mục Đạt/không đạt (passfail)</s:t>
        </s:is>
      </s:c>
      <s:c r="B183" s="83" t="inlineStr">
        <s:is>
          <s:r>
            <s:rPr>
              <s:b val="1"/>
            </s:rPr>
            <s:t>Mục Đạt/không đạt（合否）</s:t>
          </s:r>
          <s:r>
            <s:t>; Kiểm tra bước 1–2. Nhánh endpoint chỉ đánh giá nếu có đường truy cập được xác minh; không coi việc thiếu URL là PASS.</s:t>
          </s:r>
        </s:is>
      </s:c>
      <s:c r="C183" s="83" t="inlineStr">
        <s:is>
          <s:r>
            <s:t xml:space="preserve">Không có thao tác tạo quy tắc đỏ có hiệu lực </s:t>
          </s:r>
          <s:r>
            <s:rPr>
              <s:b val="1"/>
            </s:rPr>
            <s:t>cho mục Đạt/không đạt（合否）</s:t>
          </s:r>
          <s:r>
            <s:t>. Nếu có endpoint truy cập trực tiếp, server từ chối tạo/lưu quy tắc cho mục không thuộc loại số; không dùng việc URL không hiển thị làm bằng chứng duy nhất.</s:t>
          </s:r>
        </s:is>
      </s:c>
      <s:c r="D183" s="117" t="inlineStr"/>
      <s:c r="E183" s="118" t="inlineStr">
        <s:is>
          <s:t>Chưa thực hiện</s:t>
        </s:is>
      </s:c>
    </s:row>
    <s:row r="184" ht="20" customHeight="1">
      <s:c r="A184" s="119" t="inlineStr">
        <s:is>
          <s:t>Ảnh minh chứng — Chưa có ảnh</s:t>
        </s:is>
      </s:c>
      <s:c r="B184" s="19" t="n"/>
      <s:c r="C184" s="19" t="n"/>
      <s:c r="D184" s="19" t="n"/>
      <s:c r="E184" s="19" t="n"/>
    </s:row>
    <s:row r="185" hidden="1" ht="1" customHeight="1">
      <s:c r="A185" s="120" t="inlineStr"/>
      <s:c r="B185" s="121" t="n"/>
      <s:c r="C185" s="121" t="n"/>
      <s:c r="D185" s="121" t="n"/>
      <s:c r="E185" s="122" t="n"/>
    </s:row>
    <s:row r="186" hidden="1" ht="1" customHeight="1">
      <s:c r="A186" s="120" t="inlineStr"/>
      <s:c r="B186" s="121" t="n"/>
      <s:c r="C186" s="121" t="n"/>
      <s:c r="D186" s="121" t="n"/>
      <s:c r="E186" s="122" t="n"/>
    </s:row>
    <s:row r="187" hidden="1" ht="1" customHeight="1">
      <s:c r="A187" s="120" t="inlineStr"/>
      <s:c r="B187" s="121" t="n"/>
      <s:c r="C187" s="121" t="n"/>
      <s:c r="D187" s="121" t="n"/>
      <s:c r="E187" s="122" t="n"/>
    </s:row>
    <s:row r="188" hidden="1" ht="1" customHeight="1">
      <s:c r="A188" s="120" t="inlineStr"/>
      <s:c r="B188" s="121" t="n"/>
      <s:c r="C188" s="121" t="n"/>
      <s:c r="D188" s="121" t="n"/>
      <s:c r="E188" s="122" t="n"/>
    </s:row>
    <s:row r="189" hidden="1" ht="1" customHeight="1">
      <s:c r="A189" s="120" t="inlineStr"/>
      <s:c r="B189" s="121" t="n"/>
      <s:c r="C189" s="121" t="n"/>
      <s:c r="D189" s="121" t="n"/>
      <s:c r="E189" s="122" t="n"/>
    </s:row>
    <s:row r="190" hidden="1" ht="1" customHeight="1">
      <s:c r="A190" s="120" t="inlineStr"/>
      <s:c r="B190" s="121" t="n"/>
      <s:c r="C190" s="121" t="n"/>
      <s:c r="D190" s="121" t="n"/>
      <s:c r="E190" s="122" t="n"/>
    </s:row>
    <s:row r="191" hidden="1" ht="1" customHeight="1">
      <s:c r="A191" s="120" t="inlineStr"/>
      <s:c r="B191" s="121" t="n"/>
      <s:c r="C191" s="121" t="n"/>
      <s:c r="D191" s="121" t="n"/>
      <s:c r="E191" s="122" t="n"/>
    </s:row>
    <s:row r="192" hidden="1" ht="1" customHeight="1">
      <s:c r="A192" s="120" t="inlineStr"/>
      <s:c r="B192" s="121" t="n"/>
      <s:c r="C192" s="121" t="n"/>
      <s:c r="D192" s="121" t="n"/>
      <s:c r="E192" s="122" t="n"/>
    </s:row>
    <s:row r="193" hidden="1" ht="1" customHeight="1">
      <s:c r="A193" s="120" t="inlineStr"/>
      <s:c r="B193" s="121" t="n"/>
      <s:c r="C193" s="121" t="n"/>
      <s:c r="D193" s="121" t="n"/>
      <s:c r="E193" s="122" t="n"/>
    </s:row>
    <s:row r="194" hidden="1" ht="1" customHeight="1">
      <s:c r="A194" s="120" t="inlineStr"/>
      <s:c r="B194" s="121" t="n"/>
      <s:c r="C194" s="121" t="n"/>
      <s:c r="D194" s="121" t="n"/>
      <s:c r="E194" s="122" t="n"/>
    </s:row>
    <s:row r="195" hidden="1" ht="1" customHeight="1">
      <s:c r="A195" s="120" t="inlineStr"/>
      <s:c r="B195" s="121" t="n"/>
      <s:c r="C195" s="121" t="n"/>
      <s:c r="D195" s="121" t="n"/>
      <s:c r="E195" s="122" t="n"/>
    </s:row>
    <s:row r="196" hidden="1" ht="1" customHeight="1">
      <s:c r="A196" s="120" t="inlineStr"/>
      <s:c r="B196" s="121" t="n"/>
      <s:c r="C196" s="121" t="n"/>
      <s:c r="D196" s="121" t="n"/>
      <s:c r="E196" s="122" t="n"/>
    </s:row>
    <s:row r="197" hidden="1" ht="1" customHeight="1">
      <s:c r="A197" s="120" t="inlineStr"/>
      <s:c r="B197" s="121" t="n"/>
      <s:c r="C197" s="121" t="n"/>
      <s:c r="D197" s="121" t="n"/>
      <s:c r="E197" s="122" t="n"/>
    </s:row>
    <s:row r="198" hidden="1" ht="1" customHeight="1">
      <s:c r="A198" s="120" t="inlineStr"/>
      <s:c r="B198" s="121" t="n"/>
      <s:c r="C198" s="121" t="n"/>
      <s:c r="D198" s="121" t="n"/>
      <s:c r="E198" s="122" t="n"/>
    </s:row>
    <s:row r="199" hidden="1" ht="1" customHeight="1">
      <s:c r="A199" s="120" t="inlineStr"/>
      <s:c r="B199" s="121" t="n"/>
      <s:c r="C199" s="121" t="n"/>
      <s:c r="D199" s="121" t="n"/>
      <s:c r="E199" s="122" t="n"/>
    </s:row>
    <s:row r="200" hidden="1" ht="1" customHeight="1">
      <s:c r="A200" s="120" t="inlineStr"/>
      <s:c r="B200" s="121" t="n"/>
      <s:c r="C200" s="121" t="n"/>
      <s:c r="D200" s="121" t="n"/>
      <s:c r="E200" s="122" t="n"/>
    </s:row>
    <s:row r="201" hidden="1" ht="1" customHeight="1">
      <s:c r="A201" s="120" t="inlineStr"/>
      <s:c r="B201" s="121" t="n"/>
      <s:c r="C201" s="121" t="n"/>
      <s:c r="D201" s="121" t="n"/>
      <s:c r="E201" s="122" t="n"/>
    </s:row>
    <s:row r="202" hidden="1" ht="1" customHeight="1">
      <s:c r="A202" s="120" t="inlineStr"/>
      <s:c r="B202" s="121" t="n"/>
      <s:c r="C202" s="121" t="n"/>
      <s:c r="D202" s="121" t="n"/>
      <s:c r="E202" s="122" t="n"/>
    </s:row>
    <s:row r="203" hidden="1" ht="1" customHeight="1">
      <s:c r="A203" s="120" t="inlineStr"/>
      <s:c r="B203" s="121" t="n"/>
      <s:c r="C203" s="121" t="n"/>
      <s:c r="D203" s="121" t="n"/>
      <s:c r="E203" s="122" t="n"/>
    </s:row>
    <s:row r="204" hidden="1" ht="1" customHeight="1">
      <s:c r="A204" s="120" t="inlineStr"/>
      <s:c r="B204" s="121" t="n"/>
      <s:c r="C204" s="121" t="n"/>
      <s:c r="D204" s="121" t="n"/>
      <s:c r="E204" s="122" t="n"/>
    </s:row>
    <s:row r="205" hidden="1" ht="1" customHeight="1">
      <s:c r="A205" s="120" t="inlineStr"/>
      <s:c r="B205" s="121" t="n"/>
      <s:c r="C205" s="121" t="n"/>
      <s:c r="D205" s="121" t="n"/>
      <s:c r="E205" s="122" t="n"/>
    </s:row>
    <s:row r="206" hidden="1" ht="1" customHeight="1">
      <s:c r="A206" s="120" t="inlineStr"/>
      <s:c r="B206" s="121" t="n"/>
      <s:c r="C206" s="121" t="n"/>
      <s:c r="D206" s="121" t="n"/>
      <s:c r="E206" s="122" t="n"/>
    </s:row>
    <s:row r="207" hidden="1" ht="1" customHeight="1">
      <s:c r="A207" s="120" t="inlineStr"/>
      <s:c r="B207" s="121" t="n"/>
      <s:c r="C207" s="121" t="n"/>
      <s:c r="D207" s="121" t="n"/>
      <s:c r="E207" s="122" t="n"/>
    </s:row>
    <s:row r="208" hidden="1" ht="1" customHeight="1">
      <s:c r="A208" s="120" t="inlineStr"/>
      <s:c r="B208" s="121" t="n"/>
      <s:c r="C208" s="121" t="n"/>
      <s:c r="D208" s="121" t="n"/>
      <s:c r="E208" s="122" t="n"/>
    </s:row>
    <s:row r="209" hidden="1" ht="1" customHeight="1">
      <s:c r="A209" s="120" t="inlineStr"/>
      <s:c r="B209" s="121" t="n"/>
      <s:c r="C209" s="121" t="n"/>
      <s:c r="D209" s="121" t="n"/>
      <s:c r="E209" s="122" t="n"/>
    </s:row>
    <s:row r="210" hidden="1" ht="1" customHeight="1">
      <s:c r="A210" s="120" t="inlineStr"/>
      <s:c r="B210" s="121" t="n"/>
      <s:c r="C210" s="121" t="n"/>
      <s:c r="D210" s="121" t="n"/>
      <s:c r="E210" s="122" t="n"/>
    </s:row>
    <s:row r="211" hidden="1" ht="1" customHeight="1">
      <s:c r="A211" s="120" t="inlineStr"/>
      <s:c r="B211" s="121" t="n"/>
      <s:c r="C211" s="121" t="n"/>
      <s:c r="D211" s="121" t="n"/>
      <s:c r="E211" s="122" t="n"/>
    </s:row>
    <s:row r="212" hidden="1" ht="1" customHeight="1">
      <s:c r="A212" s="120" t="inlineStr"/>
      <s:c r="B212" s="121" t="n"/>
      <s:c r="C212" s="121" t="n"/>
      <s:c r="D212" s="121" t="n"/>
      <s:c r="E212" s="122" t="n"/>
    </s:row>
    <s:row r="213" hidden="1" ht="1" customHeight="1">
      <s:c r="A213" s="120" t="inlineStr"/>
      <s:c r="B213" s="121" t="n"/>
      <s:c r="C213" s="121" t="n"/>
      <s:c r="D213" s="121" t="n"/>
      <s:c r="E213" s="122" t="n"/>
    </s:row>
    <s:row r="214" hidden="1" ht="1" customHeight="1">
      <s:c r="A214" s="120" t="inlineStr"/>
      <s:c r="B214" s="121" t="n"/>
      <s:c r="C214" s="121" t="n"/>
      <s:c r="D214" s="121" t="n"/>
      <s:c r="E214" s="122" t="n"/>
    </s:row>
    <s:row r="215" hidden="1" ht="1" customHeight="1">
      <s:c r="A215" s="120" t="inlineStr"/>
      <s:c r="B215" s="121" t="n"/>
      <s:c r="C215" s="121" t="n"/>
      <s:c r="D215" s="121" t="n"/>
      <s:c r="E215" s="122" t="n"/>
    </s:row>
    <s:row r="216" hidden="1" ht="1" customHeight="1">
      <s:c r="A216" s="120" t="inlineStr"/>
      <s:c r="B216" s="121" t="n"/>
      <s:c r="C216" s="121" t="n"/>
      <s:c r="D216" s="121" t="n"/>
      <s:c r="E216" s="122" t="n"/>
    </s:row>
    <s:row r="217" hidden="1" ht="1" customHeight="1">
      <s:c r="A217" s="120" t="inlineStr"/>
      <s:c r="B217" s="121" t="n"/>
      <s:c r="C217" s="121" t="n"/>
      <s:c r="D217" s="121" t="n"/>
      <s:c r="E217" s="122" t="n"/>
    </s:row>
    <s:row r="218" hidden="1" ht="1" customHeight="1">
      <s:c r="A218" s="120" t="inlineStr"/>
      <s:c r="B218" s="121" t="n"/>
      <s:c r="C218" s="121" t="n"/>
      <s:c r="D218" s="121" t="n"/>
      <s:c r="E218" s="122" t="n"/>
    </s:row>
    <s:row r="219" hidden="1" ht="1" customHeight="1">
      <s:c r="A219" s="120" t="inlineStr"/>
      <s:c r="B219" s="121" t="n"/>
      <s:c r="C219" s="121" t="n"/>
      <s:c r="D219" s="121" t="n"/>
      <s:c r="E219" s="122" t="n"/>
    </s:row>
    <s:row r="220" hidden="1" ht="1" customHeight="1">
      <s:c r="A220" s="120" t="inlineStr"/>
      <s:c r="B220" s="121" t="n"/>
      <s:c r="C220" s="121" t="n"/>
      <s:c r="D220" s="121" t="n"/>
      <s:c r="E220" s="122" t="n"/>
    </s:row>
    <s:row r="221" hidden="1" ht="1" customHeight="1">
      <s:c r="A221" s="120" t="inlineStr"/>
      <s:c r="B221" s="121" t="n"/>
      <s:c r="C221" s="121" t="n"/>
      <s:c r="D221" s="121" t="n"/>
      <s:c r="E221" s="122" t="n"/>
    </s:row>
    <s:row r="222" hidden="1" ht="1" customHeight="1">
      <s:c r="A222" s="120" t="inlineStr"/>
      <s:c r="B222" s="121" t="n"/>
      <s:c r="C222" s="121" t="n"/>
      <s:c r="D222" s="121" t="n"/>
      <s:c r="E222" s="122" t="n"/>
    </s:row>
    <s:row r="223" hidden="1" ht="1" customHeight="1">
      <s:c r="A223" s="120" t="inlineStr"/>
      <s:c r="B223" s="121" t="n"/>
      <s:c r="C223" s="121" t="n"/>
      <s:c r="D223" s="121" t="n"/>
      <s:c r="E223" s="122" t="n"/>
    </s:row>
    <s:row r="224" hidden="1" ht="1" customHeight="1">
      <s:c r="A224" s="120" t="inlineStr"/>
      <s:c r="B224" s="121" t="n"/>
      <s:c r="C224" s="121" t="n"/>
      <s:c r="D224" s="121" t="n"/>
      <s:c r="E224" s="122" t="n"/>
    </s:row>
    <s:row r="225" hidden="1" ht="1" customHeight="1">
      <s:c r="A225" s="120" t="inlineStr"/>
      <s:c r="B225" s="121" t="n"/>
      <s:c r="C225" s="121" t="n"/>
      <s:c r="D225" s="121" t="n"/>
      <s:c r="E225" s="122" t="n"/>
    </s:row>
    <s:row r="226" hidden="1" ht="1" customHeight="1">
      <s:c r="A226" s="120" t="inlineStr"/>
      <s:c r="B226" s="121" t="n"/>
      <s:c r="C226" s="121" t="n"/>
      <s:c r="D226" s="121" t="n"/>
      <s:c r="E226" s="122" t="n"/>
    </s:row>
    <s:row r="227" hidden="1" ht="1" customHeight="1">
      <s:c r="A227" s="120" t="inlineStr"/>
      <s:c r="B227" s="121" t="n"/>
      <s:c r="C227" s="121" t="n"/>
      <s:c r="D227" s="121" t="n"/>
      <s:c r="E227" s="122" t="n"/>
    </s:row>
    <s:row r="228" hidden="1" ht="1" customHeight="1">
      <s:c r="A228" s="120" t="inlineStr"/>
      <s:c r="B228" s="121" t="n"/>
      <s:c r="C228" s="121" t="n"/>
      <s:c r="D228" s="121" t="n"/>
      <s:c r="E228" s="122" t="n"/>
    </s:row>
    <s:row r="229" hidden="1" ht="1" customHeight="1">
      <s:c r="A229" s="120" t="inlineStr"/>
      <s:c r="B229" s="121" t="n"/>
      <s:c r="C229" s="121" t="n"/>
      <s:c r="D229" s="121" t="n"/>
      <s:c r="E229" s="122" t="n"/>
    </s:row>
    <s:row r="230" hidden="1" ht="1" customHeight="1">
      <s:c r="A230" s="120" t="inlineStr"/>
      <s:c r="B230" s="121" t="n"/>
      <s:c r="C230" s="121" t="n"/>
      <s:c r="D230" s="121" t="n"/>
      <s:c r="E230" s="122" t="n"/>
    </s:row>
    <s:row r="231" hidden="1" ht="1" customHeight="1">
      <s:c r="A231" s="120" t="inlineStr"/>
      <s:c r="B231" s="121" t="n"/>
      <s:c r="C231" s="121" t="n"/>
      <s:c r="D231" s="121" t="n"/>
      <s:c r="E231" s="122" t="n"/>
    </s:row>
    <s:row r="232" hidden="1" ht="1" customHeight="1">
      <s:c r="A232" s="120" t="inlineStr"/>
      <s:c r="B232" s="121" t="n"/>
      <s:c r="C232" s="121" t="n"/>
      <s:c r="D232" s="121" t="n"/>
      <s:c r="E232" s="122" t="n"/>
    </s:row>
    <s:row r="233" hidden="1" ht="1" customHeight="1">
      <s:c r="A233" s="120" t="inlineStr"/>
      <s:c r="B233" s="121" t="n"/>
      <s:c r="C233" s="121" t="n"/>
      <s:c r="D233" s="121" t="n"/>
      <s:c r="E233" s="122" t="n"/>
    </s:row>
    <s:row r="234" hidden="1" ht="1" customHeight="1">
      <s:c r="A234" s="120" t="inlineStr"/>
      <s:c r="B234" s="121" t="n"/>
      <s:c r="C234" s="121" t="n"/>
      <s:c r="D234" s="121" t="n"/>
      <s:c r="E234" s="122" t="n"/>
    </s:row>
    <s:row r="235" hidden="1" ht="1" customHeight="1">
      <s:c r="A235" s="120" t="inlineStr"/>
      <s:c r="B235" s="121" t="n"/>
      <s:c r="C235" s="121" t="n"/>
      <s:c r="D235" s="121" t="n"/>
      <s:c r="E235" s="122" t="n"/>
    </s:row>
    <s:row r="236" hidden="1" ht="1" customHeight="1">
      <s:c r="A236" s="120" t="inlineStr"/>
      <s:c r="B236" s="121" t="n"/>
      <s:c r="C236" s="121" t="n"/>
      <s:c r="D236" s="121" t="n"/>
      <s:c r="E236" s="122" t="n"/>
    </s:row>
    <s:row r="237" hidden="1" ht="1" customHeight="1">
      <s:c r="A237" s="120" t="inlineStr"/>
      <s:c r="B237" s="121" t="n"/>
      <s:c r="C237" s="121" t="n"/>
      <s:c r="D237" s="121" t="n"/>
      <s:c r="E237" s="122" t="n"/>
    </s:row>
    <s:row r="238" hidden="1" ht="1" customHeight="1">
      <s:c r="A238" s="120" t="inlineStr"/>
      <s:c r="B238" s="121" t="n"/>
      <s:c r="C238" s="121" t="n"/>
      <s:c r="D238" s="121" t="n"/>
      <s:c r="E238" s="122" t="n"/>
    </s:row>
    <s:row r="239" hidden="1" ht="1" customHeight="1">
      <s:c r="A239" s="120" t="inlineStr"/>
      <s:c r="B239" s="121" t="n"/>
      <s:c r="C239" s="121" t="n"/>
      <s:c r="D239" s="121" t="n"/>
      <s:c r="E239" s="122" t="n"/>
    </s:row>
    <s:row r="240" hidden="1" ht="1" customHeight="1">
      <s:c r="A240" s="120" t="inlineStr"/>
      <s:c r="B240" s="121" t="n"/>
      <s:c r="C240" s="121" t="n"/>
      <s:c r="D240" s="121" t="n"/>
      <s:c r="E240" s="122" t="n"/>
    </s:row>
    <s:row r="241" hidden="1" ht="1" customHeight="1">
      <s:c r="A241" s="120" t="inlineStr"/>
      <s:c r="B241" s="121" t="n"/>
      <s:c r="C241" s="121" t="n"/>
      <s:c r="D241" s="121" t="n"/>
      <s:c r="E241" s="122" t="n"/>
    </s:row>
    <s:row r="242" hidden="1" ht="1" customHeight="1">
      <s:c r="A242" s="120" t="inlineStr"/>
      <s:c r="B242" s="121" t="n"/>
      <s:c r="C242" s="121" t="n"/>
      <s:c r="D242" s="121" t="n"/>
      <s:c r="E242" s="122" t="n"/>
    </s:row>
    <s:row r="243" hidden="1" ht="1" customHeight="1">
      <s:c r="A243" s="120" t="inlineStr"/>
      <s:c r="B243" s="121" t="n"/>
      <s:c r="C243" s="121" t="n"/>
      <s:c r="D243" s="121" t="n"/>
      <s:c r="E243" s="122" t="n"/>
    </s:row>
    <s:row r="244" hidden="1" ht="1" customHeight="1">
      <s:c r="A244" s="120" t="inlineStr"/>
      <s:c r="B244" s="121" t="n"/>
      <s:c r="C244" s="121" t="n"/>
      <s:c r="D244" s="121" t="n"/>
      <s:c r="E244" s="122" t="n"/>
    </s:row>
    <s:row r="245" hidden="1" ht="1" customHeight="1">
      <s:c r="A245" s="120" t="inlineStr"/>
      <s:c r="B245" s="121" t="n"/>
      <s:c r="C245" s="121" t="n"/>
      <s:c r="D245" s="121" t="n"/>
      <s:c r="E245" s="122" t="n"/>
    </s:row>
    <s:row r="246" hidden="1" ht="1" customHeight="1">
      <s:c r="A246" s="120" t="inlineStr"/>
      <s:c r="B246" s="121" t="n"/>
      <s:c r="C246" s="121" t="n"/>
      <s:c r="D246" s="121" t="n"/>
      <s:c r="E246" s="122" t="n"/>
    </s:row>
    <s:row r="247" hidden="1" ht="1" customHeight="1">
      <s:c r="A247" s="120" t="inlineStr"/>
      <s:c r="B247" s="121" t="n"/>
      <s:c r="C247" s="121" t="n"/>
      <s:c r="D247" s="121" t="n"/>
      <s:c r="E247" s="122" t="n"/>
    </s:row>
    <s:row r="248" hidden="1" ht="1" customHeight="1">
      <s:c r="A248" s="120" t="inlineStr"/>
      <s:c r="B248" s="121" t="n"/>
      <s:c r="C248" s="121" t="n"/>
      <s:c r="D248" s="121" t="n"/>
      <s:c r="E248" s="122" t="n"/>
    </s:row>
    <s:row r="249" hidden="1" ht="1" customHeight="1">
      <s:c r="A249" s="120" t="inlineStr"/>
      <s:c r="B249" s="121" t="n"/>
      <s:c r="C249" s="121" t="n"/>
      <s:c r="D249" s="121" t="n"/>
      <s:c r="E249" s="122" t="n"/>
    </s:row>
    <s:row r="250" hidden="1" ht="1" customHeight="1">
      <s:c r="A250" s="120" t="inlineStr"/>
      <s:c r="B250" s="121" t="n"/>
      <s:c r="C250" s="121" t="n"/>
      <s:c r="D250" s="121" t="n"/>
      <s:c r="E250" s="122" t="n"/>
    </s:row>
    <s:row r="251" hidden="1" ht="1" customHeight="1">
      <s:c r="A251" s="120" t="inlineStr"/>
      <s:c r="B251" s="121" t="n"/>
      <s:c r="C251" s="121" t="n"/>
      <s:c r="D251" s="121" t="n"/>
      <s:c r="E251" s="122" t="n"/>
    </s:row>
    <s:row r="252" hidden="1" ht="1" customHeight="1">
      <s:c r="A252" s="120" t="inlineStr"/>
      <s:c r="B252" s="121" t="n"/>
      <s:c r="C252" s="121" t="n"/>
      <s:c r="D252" s="121" t="n"/>
      <s:c r="E252" s="122" t="n"/>
    </s:row>
    <s:row r="253" hidden="1" ht="1" customHeight="1">
      <s:c r="A253" s="120" t="inlineStr"/>
      <s:c r="B253" s="121" t="n"/>
      <s:c r="C253" s="121" t="n"/>
      <s:c r="D253" s="121" t="n"/>
      <s:c r="E253" s="122" t="n"/>
    </s:row>
    <s:row r="254" hidden="1" ht="1" customHeight="1">
      <s:c r="A254" s="120" t="inlineStr"/>
      <s:c r="B254" s="121" t="n"/>
      <s:c r="C254" s="121" t="n"/>
      <s:c r="D254" s="121" t="n"/>
      <s:c r="E254" s="122" t="n"/>
    </s:row>
    <s:row r="255" hidden="1" ht="1" customHeight="1">
      <s:c r="A255" s="120" t="inlineStr"/>
      <s:c r="B255" s="121" t="n"/>
      <s:c r="C255" s="121" t="n"/>
      <s:c r="D255" s="121" t="n"/>
      <s:c r="E255" s="122" t="n"/>
    </s:row>
    <s:row r="256" hidden="1" ht="1" customHeight="1">
      <s:c r="A256" s="120" t="inlineStr"/>
      <s:c r="B256" s="121" t="n"/>
      <s:c r="C256" s="121" t="n"/>
      <s:c r="D256" s="121" t="n"/>
      <s:c r="E256" s="122" t="n"/>
    </s:row>
    <s:row r="257" hidden="1" ht="1" customHeight="1">
      <s:c r="A257" s="120" t="inlineStr"/>
      <s:c r="B257" s="121" t="n"/>
      <s:c r="C257" s="121" t="n"/>
      <s:c r="D257" s="121" t="n"/>
      <s:c r="E257" s="122" t="n"/>
    </s:row>
    <s:row r="258" hidden="1" ht="1" customHeight="1">
      <s:c r="A258" s="120" t="inlineStr"/>
      <s:c r="B258" s="121" t="n"/>
      <s:c r="C258" s="121" t="n"/>
      <s:c r="D258" s="121" t="n"/>
      <s:c r="E258" s="122" t="n"/>
    </s:row>
    <s:row r="259" hidden="1" ht="1" customHeight="1">
      <s:c r="A259" s="120" t="inlineStr"/>
      <s:c r="B259" s="121" t="n"/>
      <s:c r="C259" s="121" t="n"/>
      <s:c r="D259" s="121" t="n"/>
      <s:c r="E259" s="122" t="n"/>
    </s:row>
    <s:row r="260" hidden="1" ht="1" customHeight="1">
      <s:c r="A260" s="120" t="inlineStr"/>
      <s:c r="B260" s="121" t="n"/>
      <s:c r="C260" s="121" t="n"/>
      <s:c r="D260" s="121" t="n"/>
      <s:c r="E260" s="122" t="n"/>
    </s:row>
    <s:row r="261" hidden="1" ht="1" customHeight="1">
      <s:c r="A261" s="120" t="inlineStr"/>
      <s:c r="B261" s="121" t="n"/>
      <s:c r="C261" s="121" t="n"/>
      <s:c r="D261" s="121" t="n"/>
      <s:c r="E261" s="122" t="n"/>
    </s:row>
    <s:row r="262" hidden="1" ht="1" customHeight="1">
      <s:c r="A262" s="120" t="inlineStr"/>
      <s:c r="B262" s="121" t="n"/>
      <s:c r="C262" s="121" t="n"/>
      <s:c r="D262" s="121" t="n"/>
      <s:c r="E262" s="122" t="n"/>
    </s:row>
    <s:row r="263" hidden="1" ht="1" customHeight="1">
      <s:c r="A263" s="120" t="inlineStr"/>
      <s:c r="B263" s="121" t="n"/>
      <s:c r="C263" s="121" t="n"/>
      <s:c r="D263" s="121" t="n"/>
      <s:c r="E263" s="122" t="n"/>
    </s:row>
    <s:row r="264" hidden="1" ht="1" customHeight="1">
      <s:c r="A264" s="120" t="inlineStr"/>
      <s:c r="B264" s="121" t="n"/>
      <s:c r="C264" s="121" t="n"/>
      <s:c r="D264" s="121" t="n"/>
      <s:c r="E264" s="122" t="n"/>
    </s:row>
    <s:row r="265" hidden="1" ht="1" customHeight="1">
      <s:c r="A265" s="120" t="inlineStr"/>
      <s:c r="B265" s="121" t="n"/>
      <s:c r="C265" s="121" t="n"/>
      <s:c r="D265" s="121" t="n"/>
      <s:c r="E265" s="122" t="n"/>
    </s:row>
    <s:row r="266" hidden="1" ht="1" customHeight="1">
      <s:c r="A266" s="120" t="inlineStr"/>
      <s:c r="B266" s="121" t="n"/>
      <s:c r="C266" s="121" t="n"/>
      <s:c r="D266" s="121" t="n"/>
      <s:c r="E266" s="122" t="n"/>
    </s:row>
    <s:row r="267" hidden="1" ht="1" customHeight="1">
      <s:c r="A267" s="120" t="inlineStr"/>
      <s:c r="B267" s="121" t="n"/>
      <s:c r="C267" s="121" t="n"/>
      <s:c r="D267" s="121" t="n"/>
      <s:c r="E267" s="122" t="n"/>
    </s:row>
    <s:row r="268" hidden="1" ht="1" customHeight="1">
      <s:c r="A268" s="120" t="inlineStr"/>
      <s:c r="B268" s="121" t="n"/>
      <s:c r="C268" s="121" t="n"/>
      <s:c r="D268" s="121" t="n"/>
      <s:c r="E268" s="122" t="n"/>
    </s:row>
    <s:row r="269" hidden="1" ht="1" customHeight="1">
      <s:c r="A269" s="120" t="inlineStr"/>
      <s:c r="B269" s="121" t="n"/>
      <s:c r="C269" s="121" t="n"/>
      <s:c r="D269" s="121" t="n"/>
      <s:c r="E269" s="122" t="n"/>
    </s:row>
    <s:row r="270" hidden="1" ht="1" customHeight="1">
      <s:c r="A270" s="120" t="inlineStr"/>
      <s:c r="B270" s="121" t="n"/>
      <s:c r="C270" s="121" t="n"/>
      <s:c r="D270" s="121" t="n"/>
      <s:c r="E270" s="122" t="n"/>
    </s:row>
    <s:row r="271" hidden="1" ht="1" customHeight="1">
      <s:c r="A271" s="120" t="inlineStr"/>
      <s:c r="B271" s="121" t="n"/>
      <s:c r="C271" s="121" t="n"/>
      <s:c r="D271" s="121" t="n"/>
      <s:c r="E271" s="122" t="n"/>
    </s:row>
    <s:row r="272" hidden="1" ht="1" customHeight="1">
      <s:c r="A272" s="120" t="inlineStr"/>
      <s:c r="B272" s="121" t="n"/>
      <s:c r="C272" s="121" t="n"/>
      <s:c r="D272" s="121" t="n"/>
      <s:c r="E272" s="122" t="n"/>
    </s:row>
    <s:row r="273" hidden="1" ht="1" customHeight="1">
      <s:c r="A273" s="120" t="inlineStr"/>
      <s:c r="B273" s="121" t="n"/>
      <s:c r="C273" s="121" t="n"/>
      <s:c r="D273" s="121" t="n"/>
      <s:c r="E273" s="122" t="n"/>
    </s:row>
    <s:row r="274" hidden="1" ht="1" customHeight="1">
      <s:c r="A274" s="120" t="inlineStr"/>
      <s:c r="B274" s="121" t="n"/>
      <s:c r="C274" s="121" t="n"/>
      <s:c r="D274" s="121" t="n"/>
      <s:c r="E274" s="122" t="n"/>
    </s:row>
    <s:row r="275" hidden="1" ht="1" customHeight="1">
      <s:c r="A275" s="120" t="inlineStr"/>
      <s:c r="B275" s="121" t="n"/>
      <s:c r="C275" s="121" t="n"/>
      <s:c r="D275" s="121" t="n"/>
      <s:c r="E275" s="122" t="n"/>
    </s:row>
    <s:row r="276" hidden="1" ht="1" customHeight="1">
      <s:c r="A276" s="120" t="inlineStr"/>
      <s:c r="B276" s="121" t="n"/>
      <s:c r="C276" s="121" t="n"/>
      <s:c r="D276" s="121" t="n"/>
      <s:c r="E276" s="122" t="n"/>
    </s:row>
    <s:row r="277" hidden="1" ht="1" customHeight="1">
      <s:c r="A277" s="120" t="inlineStr"/>
      <s:c r="B277" s="121" t="n"/>
      <s:c r="C277" s="121" t="n"/>
      <s:c r="D277" s="121" t="n"/>
      <s:c r="E277" s="122" t="n"/>
    </s:row>
    <s:row r="278" hidden="1" ht="1" customHeight="1">
      <s:c r="A278" s="120" t="inlineStr"/>
      <s:c r="B278" s="121" t="n"/>
      <s:c r="C278" s="121" t="n"/>
      <s:c r="D278" s="121" t="n"/>
      <s:c r="E278" s="122" t="n"/>
    </s:row>
    <s:row r="279" hidden="1" ht="1" customHeight="1">
      <s:c r="A279" s="120" t="inlineStr"/>
      <s:c r="B279" s="121" t="n"/>
      <s:c r="C279" s="121" t="n"/>
      <s:c r="D279" s="121" t="n"/>
      <s:c r="E279" s="122" t="n"/>
    </s:row>
    <s:row r="280" hidden="1" ht="1" customHeight="1">
      <s:c r="A280" s="120" t="inlineStr"/>
      <s:c r="B280" s="121" t="n"/>
      <s:c r="C280" s="121" t="n"/>
      <s:c r="D280" s="121" t="n"/>
      <s:c r="E280" s="122" t="n"/>
    </s:row>
    <s:row r="281" hidden="1" ht="1" customHeight="1">
      <s:c r="A281" s="83" t="inlineStr">
        <s:is>
          <s:t>PASS</s:t>
        </s:is>
      </s:c>
      <s:c r="B281" s="83">
        <s:f>SUM(IF(EXACT('Kiểm thử'!E181,"Đạt"),1,0),IF(EXACT('Kiểm thử'!E183,"Đạt"),1,0))</s:f>
        <s:v/>
      </s:c>
      <s:c r="C281" s="19" t="n"/>
      <s:c r="D281" s="19" t="n"/>
      <s:c r="E281" s="19" t="n"/>
    </s:row>
    <s:row r="282" hidden="1" ht="1" customHeight="1">
      <s:c r="A282" s="83" t="inlineStr">
        <s:is>
          <s:t>FAIL</s:t>
        </s:is>
      </s:c>
      <s:c r="B282" s="83">
        <s:f>SUM(IF(EXACT('Kiểm thử'!E181,"Không đạt"),1,0),IF(EXACT('Kiểm thử'!E183,"Không đạt"),1,0))</s:f>
        <s:v/>
      </s:c>
      <s:c r="C282" s="19" t="n"/>
      <s:c r="D282" s="19" t="n"/>
      <s:c r="E282" s="19" t="n"/>
    </s:row>
    <s:row r="283" hidden="1" ht="1" customHeight="1">
      <s:c r="A283" s="83" t="inlineStr">
        <s:is>
          <s:t>BLOCKED</s:t>
        </s:is>
      </s:c>
      <s:c r="B283" s="83">
        <s:f>SUM(IF(EXACT('Kiểm thử'!E181,"Bị chặn"),1,0),IF(EXACT('Kiểm thử'!E183,"Bị chặn"),1,0))</s:f>
        <s:v/>
      </s:c>
      <s:c r="C283" s="19" t="n"/>
      <s:c r="D283" s="19" t="n"/>
      <s:c r="E283" s="19" t="n"/>
    </s:row>
    <s:row r="284" hidden="1" ht="1" customHeight="1">
      <s:c r="A284" s="83" t="inlineStr">
        <s:is>
          <s:t>SKIPPED</s:t>
        </s:is>
      </s:c>
      <s:c r="B284" s="83">
        <s:f>SUM(IF(EXACT('Kiểm thử'!E181,"Không thực hiện"),1,0),IF(EXACT('Kiểm thử'!E183,"Không thực hiện"),1,0))</s:f>
        <s:v/>
      </s:c>
      <s:c r="C284" s="19" t="n"/>
      <s:c r="D284" s="19" t="n"/>
      <s:c r="E284" s="19" t="n"/>
    </s:row>
    <s:row r="285" hidden="1" ht="1" customHeight="1">
      <s:c r="A285" s="83" t="inlineStr">
        <s:is>
          <s:t>NOT RUN</s:t>
        </s:is>
      </s:c>
      <s:c r="B285" s="83">
        <s:f>SUM(IF(EXACT('Kiểm thử'!E181,"Chưa thực hiện"),1,0),IF(EXACT('Kiểm thử'!E183,"Chưa thực hiện"),1,0))</s:f>
        <s:v/>
      </s:c>
      <s:c r="C285" s="19" t="n"/>
      <s:c r="D285" s="19" t="n"/>
      <s:c r="E285" s="19" t="n"/>
    </s:row>
    <s:row r="286" hidden="1" ht="6" customHeight="1">
      <s:c r="A286" s="83" t="inlineStr"/>
      <s:c r="B286" s="19" t="n"/>
      <s:c r="C286" s="19" t="n"/>
      <s:c r="D286" s="19" t="n"/>
      <s:c r="E286" s="19" t="n"/>
    </s:row>
    <s:row r="287" ht="28" customHeight="1">
      <s:c r="A287" s="108" t="inlineStr">
        <s:is>
          <s:t>TC-RS-FUNC-004 — Thêm quy tắc qua Điều kiện áp dụng（適用条件） và Ngưỡng（基準設定） rồi quay lại danh sách</s:t>
        </s:is>
      </s:c>
      <s:c r="B287" s="111" t="n"/>
      <s:c r="C287" s="111" t="n"/>
      <s:c r="D287" s="111" t="n"/>
      <s:c r="E287" s="111" t="n"/>
    </s:row>
    <s:row r="288" ht="20" customHeight="1">
      <s:c r="A288" s="112" t="inlineStr">
        <s:is>
          <s:t>Kết quả tình huống</s:t>
        </s:is>
      </s:c>
      <s:c r="B288" s="113">
        <s:f>IF(SUM(IF(EXACT('Kiểm thử'!E298,"Không đạt"),1,0))&gt;0,"Không đạt",IF(SUM(IF(EXACT('Kiểm thử'!E298,"Đạt"),1,0))=1,"Đạt",IF(SUM(IF(EXACT('Kiểm thử'!E298,"Không thực hiện"),1,0))=1,"Không thực hiện",IF(SUM(IF(EXACT('Kiểm thử'!E298,"Bị chặn"),1,0))&gt;0,"Bị chặn",IF(SUM(IF(EXACT('Kiểm thử'!E298,"Chưa thực hiện"),1,0))=1,"Chưa thực hiện","Đang thực hiện")))))</s:f>
        <s:v/>
      </s:c>
      <s:c r="C288" s="114" t="n"/>
      <s:c r="D288" s="114" t="n"/>
      <s:c r="E288" s="114" t="n"/>
    </s:row>
    <s:row r="289" ht="20" customHeight="1">
      <s:c r="A289" s="112" t="inlineStr">
        <s:is>
          <s:t>Màn hình / chức năng</s:t>
        </s:is>
      </s:c>
      <s:c r="B289" s="113" t="inlineStr">
        <s:is>
          <s:r>
            <s:rPr>
              <s:b val="1"/>
            </s:rPr>
            <s:t>Thiết lập điểm đỏ（赤点設定）</s:t>
          </s:r>
        </s:is>
      </s:c>
      <s:c r="C289" s="28" t="n"/>
      <s:c r="D289" s="28" t="n"/>
      <s:c r="E289" s="28" t="n"/>
    </s:row>
    <s:row r="290" ht="34" customHeight="1">
      <s:c r="A290" s="112" t="inlineStr">
        <s:is>
          <s:t>Cấu hình</s:t>
        </s:is>
      </s:c>
      <s:c r="B290" s="113" t="inlineStr">
        <s:is>
          <s:r>
            <s:t>• Mục số nguyên (</s:t>
          </s:r>
          <s:r>
            <s:rPr>
              <s:b val="1"/>
            </s:rPr>
            <s:t>M=100</s:t>
          </s:r>
          <s:r>
            <s:t>) đã có cặp quy tắc cùng áp dụng (dưới 20 và dưới 30) (2 quy tắc). Đăng nhập tài khoản giáo viên có quyền sửa mục.</s:t>
          </s:r>
        </s:is>
      </s:c>
      <s:c r="C290" s="28" t="n"/>
      <s:c r="D290" s="28" t="n"/>
      <s:c r="E290" s="28" t="n"/>
    </s:row>
    <s:row r="291" ht="34" customHeight="1">
      <s:c r="A291" s="112" t="inlineStr">
        <s:is>
          <s:t>Dữ liệu test</s:t>
        </s:is>
      </s:c>
      <s:c r="B291" s="113" t="inlineStr">
        <s:is>
          <s:r>
            <s:t>• Mục số nguyên (</s:t>
          </s:r>
          <s:r>
            <s:rPr>
              <s:b val="1"/>
            </s:rPr>
            <s:t>M=100</s:t>
          </s:r>
          <s:r>
            <s:t>), cặp quy tắc cùng áp dụng (dưới 20 và dưới 30);
• Quy tắc “Cố định 30” (dưới 30)</s:t>
          </s:r>
        </s:is>
      </s:c>
      <s:c r="C291" s="28" t="n"/>
      <s:c r="D291" s="28" t="n"/>
      <s:c r="E291" s="28" t="n"/>
    </s:row>
    <s:row r="292" ht="20" customHeight="1">
      <s:c r="A292" s="112" t="inlineStr">
        <s:is>
          <s:t>Bước 1</s:t>
        </s:is>
      </s:c>
      <s:c r="B292" s="113" t="inlineStr">
        <s:is>
          <s:r>
            <s:t xml:space="preserve">Ở danh sách, bấm Thêm </s:t>
          </s:r>
          <s:r>
            <s:rPr>
              <s:b val="1"/>
            </s:rPr>
            <s:t>thiết lập chi tiết（詳細設定の追加）</s:t>
          </s:r>
          <s:r>
            <s:t>.</s:t>
          </s:r>
        </s:is>
      </s:c>
      <s:c r="C292" s="28" t="n"/>
      <s:c r="D292" s="28" t="n"/>
      <s:c r="E292" s="28" t="n"/>
    </s:row>
    <s:row r="293" ht="34" customHeight="1">
      <s:c r="A293" s="112" t="inlineStr">
        <s:is>
          <s:t>Bước 2</s:t>
        </s:is>
      </s:c>
      <s:c r="B293" s="113" t="inlineStr">
        <s:is>
          <s:r>
            <s:rPr>
              <s:b val="1"/>
            </s:rPr>
            <s:t>Nhập Tên thiết lập（設定名称）</s:t>
          </s:r>
          <s:r>
            <s:t xml:space="preserve"> "Cố định 30", chọn </s:t>
          </s:r>
          <s:r>
            <s:rPr>
              <s:b val="1"/>
            </s:rPr>
            <s:t>Toàn bộ đối tượng（全員が対象）</s:t>
          </s:r>
          <s:r>
            <s:t xml:space="preserve">, </s:t>
          </s:r>
          <s:r>
            <s:rPr>
              <s:b val="1"/>
            </s:rPr>
            <s:t>bấm Cập nhật（更新する）</s:t>
          </s:r>
          <s:r>
            <s:t>.</s:t>
          </s:r>
        </s:is>
      </s:c>
      <s:c r="C293" s="28" t="n"/>
      <s:c r="D293" s="28" t="n"/>
      <s:c r="E293" s="28" t="n"/>
    </s:row>
    <s:row r="294" ht="20" customHeight="1">
      <s:c r="A294" s="112" t="inlineStr">
        <s:is>
          <s:t>Bước 3</s:t>
        </s:is>
      </s:c>
      <s:c r="B294" s="113" t="inlineStr">
        <s:is>
          <s:r>
            <s:t xml:space="preserve">Mở Ngưỡng, </s:t>
          </s:r>
          <s:r>
            <s:rPr>
              <s:b val="1"/>
            </s:rPr>
            <s:t>chọn Điểm cố định（固定点数）</s:t>
          </s:r>
          <s:r>
            <s:t xml:space="preserve">, nhập 30, </s:t>
          </s:r>
          <s:r>
            <s:rPr>
              <s:b val="1"/>
            </s:rPr>
            <s:t>chọn Nhỏ hơn（未満）</s:t>
          </s:r>
          <s:r>
            <s:t xml:space="preserve">, </s:t>
          </s:r>
          <s:r>
            <s:rPr>
              <s:b val="1"/>
            </s:rPr>
            <s:t>bấm Cập nhật（更新する）</s:t>
          </s:r>
          <s:r>
            <s:t>.</s:t>
          </s:r>
        </s:is>
      </s:c>
      <s:c r="C294" s="28" t="n"/>
      <s:c r="D294" s="28" t="n"/>
      <s:c r="E294" s="28" t="n"/>
    </s:row>
    <s:row r="295" ht="20" customHeight="1">
      <s:c r="A295" s="112" t="inlineStr">
        <s:is>
          <s:t>Bước 4</s:t>
        </s:is>
      </s:c>
      <s:c r="B295" s="113" t="inlineStr">
        <s:is>
          <s:t>Xem danh sách.</s:t>
        </s:is>
      </s:c>
      <s:c r="C295" s="28" t="n"/>
      <s:c r="D295" s="28" t="n"/>
      <s:c r="E295" s="28" t="n"/>
    </s:row>
    <s:row r="296" ht="28" customHeight="1">
      <s:c r="A296" s="115" t="inlineStr">
        <s:is>
          <s:t>Trường hợp</s:t>
        </s:is>
      </s:c>
      <s:c r="B296" s="115" t="inlineStr">
        <s:is>
          <s:t>Dữ liệu / thao tác riêng</s:t>
        </s:is>
      </s:c>
      <s:c r="C296" s="115" t="inlineStr">
        <s:is>
          <s:t>Kết quả mong đợi</s:t>
        </s:is>
      </s:c>
      <s:c r="D296" s="115" t="inlineStr">
        <s:is>
          <s:t>Kết quả thực tế</s:t>
        </s:is>
      </s:c>
      <s:c r="E296" s="115" t="inlineStr">
        <s:is>
          <s:t>Đánh giá</s:t>
        </s:is>
      </s:c>
    </s:row>
    <s:row r="297" ht="3" customHeight="1">
      <s:c r="A297" s="102" t="inlineStr"/>
      <s:c r="B297" s="99" t="n"/>
      <s:c r="C297" s="99" t="n"/>
      <s:c r="D297" s="116" t="n"/>
      <s:c r="E297" s="116" t="n"/>
    </s:row>
    <s:row r="298" ht="118" customHeight="1">
      <s:c r="A298" s="83" t="inlineStr">
        <s:is>
          <s:t>Trường hợp cơ bản (Base)</s:t>
        </s:is>
      </s:c>
      <s:c r="B298" s="83" t="inlineStr">
        <s:is>
          <s:t>Toàn bộ tình huống: Thực hiện đủ các bước chung theo thứ tự; kiểm cả đối tượng đích và đối chứng cùng fixture, không bỏ bước.</s:t>
        </s:is>
      </s:c>
      <s:c r="C298" s="83" t="inlineStr">
        <s:is>
          <s:t>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s:t>
        </s:is>
      </s:c>
      <s:c r="D298" s="117" t="inlineStr"/>
      <s:c r="E298" s="118" t="inlineStr">
        <s:is>
          <s:t>Chưa thực hiện</s:t>
        </s:is>
      </s:c>
    </s:row>
    <s:row r="299" ht="20" customHeight="1">
      <s:c r="A299" s="119" t="inlineStr">
        <s:is>
          <s:t>Ảnh minh chứng — Chưa có ảnh</s:t>
        </s:is>
      </s:c>
      <s:c r="B299" s="19" t="n"/>
      <s:c r="C299" s="19" t="n"/>
      <s:c r="D299" s="19" t="n"/>
      <s:c r="E299" s="19" t="n"/>
    </s:row>
    <s:row r="300" hidden="1" ht="1" customHeight="1">
      <s:c r="A300" s="120" t="inlineStr"/>
      <s:c r="B300" s="121" t="n"/>
      <s:c r="C300" s="121" t="n"/>
      <s:c r="D300" s="121" t="n"/>
      <s:c r="E300" s="122" t="n"/>
    </s:row>
    <s:row r="301" hidden="1" ht="1" customHeight="1">
      <s:c r="A301" s="120" t="inlineStr"/>
      <s:c r="B301" s="121" t="n"/>
      <s:c r="C301" s="121" t="n"/>
      <s:c r="D301" s="121" t="n"/>
      <s:c r="E301" s="122" t="n"/>
    </s:row>
    <s:row r="302" hidden="1" ht="1" customHeight="1">
      <s:c r="A302" s="120" t="inlineStr"/>
      <s:c r="B302" s="121" t="n"/>
      <s:c r="C302" s="121" t="n"/>
      <s:c r="D302" s="121" t="n"/>
      <s:c r="E302" s="122" t="n"/>
    </s:row>
    <s:row r="303" hidden="1" ht="1" customHeight="1">
      <s:c r="A303" s="120" t="inlineStr"/>
      <s:c r="B303" s="121" t="n"/>
      <s:c r="C303" s="121" t="n"/>
      <s:c r="D303" s="121" t="n"/>
      <s:c r="E303" s="122" t="n"/>
    </s:row>
    <s:row r="304" hidden="1" ht="1" customHeight="1">
      <s:c r="A304" s="120" t="inlineStr"/>
      <s:c r="B304" s="121" t="n"/>
      <s:c r="C304" s="121" t="n"/>
      <s:c r="D304" s="121" t="n"/>
      <s:c r="E304" s="122" t="n"/>
    </s:row>
    <s:row r="305" hidden="1" ht="1" customHeight="1">
      <s:c r="A305" s="120" t="inlineStr"/>
      <s:c r="B305" s="121" t="n"/>
      <s:c r="C305" s="121" t="n"/>
      <s:c r="D305" s="121" t="n"/>
      <s:c r="E305" s="122" t="n"/>
    </s:row>
    <s:row r="306" hidden="1" ht="1" customHeight="1">
      <s:c r="A306" s="120" t="inlineStr"/>
      <s:c r="B306" s="121" t="n"/>
      <s:c r="C306" s="121" t="n"/>
      <s:c r="D306" s="121" t="n"/>
      <s:c r="E306" s="122" t="n"/>
    </s:row>
    <s:row r="307" hidden="1" ht="1" customHeight="1">
      <s:c r="A307" s="120" t="inlineStr"/>
      <s:c r="B307" s="121" t="n"/>
      <s:c r="C307" s="121" t="n"/>
      <s:c r="D307" s="121" t="n"/>
      <s:c r="E307" s="122" t="n"/>
    </s:row>
    <s:row r="308" hidden="1" ht="1" customHeight="1">
      <s:c r="A308" s="120" t="inlineStr"/>
      <s:c r="B308" s="121" t="n"/>
      <s:c r="C308" s="121" t="n"/>
      <s:c r="D308" s="121" t="n"/>
      <s:c r="E308" s="122" t="n"/>
    </s:row>
    <s:row r="309" hidden="1" ht="1" customHeight="1">
      <s:c r="A309" s="120" t="inlineStr"/>
      <s:c r="B309" s="121" t="n"/>
      <s:c r="C309" s="121" t="n"/>
      <s:c r="D309" s="121" t="n"/>
      <s:c r="E309" s="122" t="n"/>
    </s:row>
    <s:row r="310" hidden="1" ht="1" customHeight="1">
      <s:c r="A310" s="120" t="inlineStr"/>
      <s:c r="B310" s="121" t="n"/>
      <s:c r="C310" s="121" t="n"/>
      <s:c r="D310" s="121" t="n"/>
      <s:c r="E310" s="122" t="n"/>
    </s:row>
    <s:row r="311" hidden="1" ht="1" customHeight="1">
      <s:c r="A311" s="120" t="inlineStr"/>
      <s:c r="B311" s="121" t="n"/>
      <s:c r="C311" s="121" t="n"/>
      <s:c r="D311" s="121" t="n"/>
      <s:c r="E311" s="122" t="n"/>
    </s:row>
    <s:row r="312" hidden="1" ht="1" customHeight="1">
      <s:c r="A312" s="120" t="inlineStr"/>
      <s:c r="B312" s="121" t="n"/>
      <s:c r="C312" s="121" t="n"/>
      <s:c r="D312" s="121" t="n"/>
      <s:c r="E312" s="122" t="n"/>
    </s:row>
    <s:row r="313" hidden="1" ht="1" customHeight="1">
      <s:c r="A313" s="120" t="inlineStr"/>
      <s:c r="B313" s="121" t="n"/>
      <s:c r="C313" s="121" t="n"/>
      <s:c r="D313" s="121" t="n"/>
      <s:c r="E313" s="122" t="n"/>
    </s:row>
    <s:row r="314" hidden="1" ht="1" customHeight="1">
      <s:c r="A314" s="120" t="inlineStr"/>
      <s:c r="B314" s="121" t="n"/>
      <s:c r="C314" s="121" t="n"/>
      <s:c r="D314" s="121" t="n"/>
      <s:c r="E314" s="122" t="n"/>
    </s:row>
    <s:row r="315" hidden="1" ht="1" customHeight="1">
      <s:c r="A315" s="120" t="inlineStr"/>
      <s:c r="B315" s="121" t="n"/>
      <s:c r="C315" s="121" t="n"/>
      <s:c r="D315" s="121" t="n"/>
      <s:c r="E315" s="122" t="n"/>
    </s:row>
    <s:row r="316" hidden="1" ht="1" customHeight="1">
      <s:c r="A316" s="120" t="inlineStr"/>
      <s:c r="B316" s="121" t="n"/>
      <s:c r="C316" s="121" t="n"/>
      <s:c r="D316" s="121" t="n"/>
      <s:c r="E316" s="122" t="n"/>
    </s:row>
    <s:row r="317" hidden="1" ht="1" customHeight="1">
      <s:c r="A317" s="120" t="inlineStr"/>
      <s:c r="B317" s="121" t="n"/>
      <s:c r="C317" s="121" t="n"/>
      <s:c r="D317" s="121" t="n"/>
      <s:c r="E317" s="122" t="n"/>
    </s:row>
    <s:row r="318" hidden="1" ht="1" customHeight="1">
      <s:c r="A318" s="120" t="inlineStr"/>
      <s:c r="B318" s="121" t="n"/>
      <s:c r="C318" s="121" t="n"/>
      <s:c r="D318" s="121" t="n"/>
      <s:c r="E318" s="122" t="n"/>
    </s:row>
    <s:row r="319" hidden="1" ht="1" customHeight="1">
      <s:c r="A319" s="120" t="inlineStr"/>
      <s:c r="B319" s="121" t="n"/>
      <s:c r="C319" s="121" t="n"/>
      <s:c r="D319" s="121" t="n"/>
      <s:c r="E319" s="122" t="n"/>
    </s:row>
    <s:row r="320" hidden="1" ht="1" customHeight="1">
      <s:c r="A320" s="120" t="inlineStr"/>
      <s:c r="B320" s="121" t="n"/>
      <s:c r="C320" s="121" t="n"/>
      <s:c r="D320" s="121" t="n"/>
      <s:c r="E320" s="122" t="n"/>
    </s:row>
    <s:row r="321" hidden="1" ht="1" customHeight="1">
      <s:c r="A321" s="120" t="inlineStr"/>
      <s:c r="B321" s="121" t="n"/>
      <s:c r="C321" s="121" t="n"/>
      <s:c r="D321" s="121" t="n"/>
      <s:c r="E321" s="122" t="n"/>
    </s:row>
    <s:row r="322" hidden="1" ht="1" customHeight="1">
      <s:c r="A322" s="120" t="inlineStr"/>
      <s:c r="B322" s="121" t="n"/>
      <s:c r="C322" s="121" t="n"/>
      <s:c r="D322" s="121" t="n"/>
      <s:c r="E322" s="122" t="n"/>
    </s:row>
    <s:row r="323" hidden="1" ht="1" customHeight="1">
      <s:c r="A323" s="120" t="inlineStr"/>
      <s:c r="B323" s="121" t="n"/>
      <s:c r="C323" s="121" t="n"/>
      <s:c r="D323" s="121" t="n"/>
      <s:c r="E323" s="122" t="n"/>
    </s:row>
    <s:row r="324" hidden="1" ht="1" customHeight="1">
      <s:c r="A324" s="120" t="inlineStr"/>
      <s:c r="B324" s="121" t="n"/>
      <s:c r="C324" s="121" t="n"/>
      <s:c r="D324" s="121" t="n"/>
      <s:c r="E324" s="122" t="n"/>
    </s:row>
    <s:row r="325" hidden="1" ht="1" customHeight="1">
      <s:c r="A325" s="120" t="inlineStr"/>
      <s:c r="B325" s="121" t="n"/>
      <s:c r="C325" s="121" t="n"/>
      <s:c r="D325" s="121" t="n"/>
      <s:c r="E325" s="122" t="n"/>
    </s:row>
    <s:row r="326" hidden="1" ht="1" customHeight="1">
      <s:c r="A326" s="120" t="inlineStr"/>
      <s:c r="B326" s="121" t="n"/>
      <s:c r="C326" s="121" t="n"/>
      <s:c r="D326" s="121" t="n"/>
      <s:c r="E326" s="122" t="n"/>
    </s:row>
    <s:row r="327" hidden="1" ht="1" customHeight="1">
      <s:c r="A327" s="120" t="inlineStr"/>
      <s:c r="B327" s="121" t="n"/>
      <s:c r="C327" s="121" t="n"/>
      <s:c r="D327" s="121" t="n"/>
      <s:c r="E327" s="122" t="n"/>
    </s:row>
    <s:row r="328" hidden="1" ht="1" customHeight="1">
      <s:c r="A328" s="120" t="inlineStr"/>
      <s:c r="B328" s="121" t="n"/>
      <s:c r="C328" s="121" t="n"/>
      <s:c r="D328" s="121" t="n"/>
      <s:c r="E328" s="122" t="n"/>
    </s:row>
    <s:row r="329" hidden="1" ht="1" customHeight="1">
      <s:c r="A329" s="120" t="inlineStr"/>
      <s:c r="B329" s="121" t="n"/>
      <s:c r="C329" s="121" t="n"/>
      <s:c r="D329" s="121" t="n"/>
      <s:c r="E329" s="122" t="n"/>
    </s:row>
    <s:row r="330" hidden="1" ht="1" customHeight="1">
      <s:c r="A330" s="120" t="inlineStr"/>
      <s:c r="B330" s="121" t="n"/>
      <s:c r="C330" s="121" t="n"/>
      <s:c r="D330" s="121" t="n"/>
      <s:c r="E330" s="122" t="n"/>
    </s:row>
    <s:row r="331" hidden="1" ht="1" customHeight="1">
      <s:c r="A331" s="120" t="inlineStr"/>
      <s:c r="B331" s="121" t="n"/>
      <s:c r="C331" s="121" t="n"/>
      <s:c r="D331" s="121" t="n"/>
      <s:c r="E331" s="122" t="n"/>
    </s:row>
    <s:row r="332" hidden="1" ht="1" customHeight="1">
      <s:c r="A332" s="120" t="inlineStr"/>
      <s:c r="B332" s="121" t="n"/>
      <s:c r="C332" s="121" t="n"/>
      <s:c r="D332" s="121" t="n"/>
      <s:c r="E332" s="122" t="n"/>
    </s:row>
    <s:row r="333" hidden="1" ht="1" customHeight="1">
      <s:c r="A333" s="120" t="inlineStr"/>
      <s:c r="B333" s="121" t="n"/>
      <s:c r="C333" s="121" t="n"/>
      <s:c r="D333" s="121" t="n"/>
      <s:c r="E333" s="122" t="n"/>
    </s:row>
    <s:row r="334" hidden="1" ht="1" customHeight="1">
      <s:c r="A334" s="120" t="inlineStr"/>
      <s:c r="B334" s="121" t="n"/>
      <s:c r="C334" s="121" t="n"/>
      <s:c r="D334" s="121" t="n"/>
      <s:c r="E334" s="122" t="n"/>
    </s:row>
    <s:row r="335" hidden="1" ht="1" customHeight="1">
      <s:c r="A335" s="120" t="inlineStr"/>
      <s:c r="B335" s="121" t="n"/>
      <s:c r="C335" s="121" t="n"/>
      <s:c r="D335" s="121" t="n"/>
      <s:c r="E335" s="122" t="n"/>
    </s:row>
    <s:row r="336" hidden="1" ht="1" customHeight="1">
      <s:c r="A336" s="120" t="inlineStr"/>
      <s:c r="B336" s="121" t="n"/>
      <s:c r="C336" s="121" t="n"/>
      <s:c r="D336" s="121" t="n"/>
      <s:c r="E336" s="122" t="n"/>
    </s:row>
    <s:row r="337" hidden="1" ht="1" customHeight="1">
      <s:c r="A337" s="120" t="inlineStr"/>
      <s:c r="B337" s="121" t="n"/>
      <s:c r="C337" s="121" t="n"/>
      <s:c r="D337" s="121" t="n"/>
      <s:c r="E337" s="122" t="n"/>
    </s:row>
    <s:row r="338" hidden="1" ht="1" customHeight="1">
      <s:c r="A338" s="120" t="inlineStr"/>
      <s:c r="B338" s="121" t="n"/>
      <s:c r="C338" s="121" t="n"/>
      <s:c r="D338" s="121" t="n"/>
      <s:c r="E338" s="122" t="n"/>
    </s:row>
    <s:row r="339" hidden="1" ht="1" customHeight="1">
      <s:c r="A339" s="120" t="inlineStr"/>
      <s:c r="B339" s="121" t="n"/>
      <s:c r="C339" s="121" t="n"/>
      <s:c r="D339" s="121" t="n"/>
      <s:c r="E339" s="122" t="n"/>
    </s:row>
    <s:row r="340" hidden="1" ht="1" customHeight="1">
      <s:c r="A340" s="120" t="inlineStr"/>
      <s:c r="B340" s="121" t="n"/>
      <s:c r="C340" s="121" t="n"/>
      <s:c r="D340" s="121" t="n"/>
      <s:c r="E340" s="122" t="n"/>
    </s:row>
    <s:row r="341" hidden="1" ht="1" customHeight="1">
      <s:c r="A341" s="120" t="inlineStr"/>
      <s:c r="B341" s="121" t="n"/>
      <s:c r="C341" s="121" t="n"/>
      <s:c r="D341" s="121" t="n"/>
      <s:c r="E341" s="122" t="n"/>
    </s:row>
    <s:row r="342" hidden="1" ht="1" customHeight="1">
      <s:c r="A342" s="120" t="inlineStr"/>
      <s:c r="B342" s="121" t="n"/>
      <s:c r="C342" s="121" t="n"/>
      <s:c r="D342" s="121" t="n"/>
      <s:c r="E342" s="122" t="n"/>
    </s:row>
    <s:row r="343" hidden="1" ht="1" customHeight="1">
      <s:c r="A343" s="120" t="inlineStr"/>
      <s:c r="B343" s="121" t="n"/>
      <s:c r="C343" s="121" t="n"/>
      <s:c r="D343" s="121" t="n"/>
      <s:c r="E343" s="122" t="n"/>
    </s:row>
    <s:row r="344" hidden="1" ht="1" customHeight="1">
      <s:c r="A344" s="120" t="inlineStr"/>
      <s:c r="B344" s="121" t="n"/>
      <s:c r="C344" s="121" t="n"/>
      <s:c r="D344" s="121" t="n"/>
      <s:c r="E344" s="122" t="n"/>
    </s:row>
    <s:row r="345" hidden="1" ht="1" customHeight="1">
      <s:c r="A345" s="120" t="inlineStr"/>
      <s:c r="B345" s="121" t="n"/>
      <s:c r="C345" s="121" t="n"/>
      <s:c r="D345" s="121" t="n"/>
      <s:c r="E345" s="122" t="n"/>
    </s:row>
    <s:row r="346" hidden="1" ht="1" customHeight="1">
      <s:c r="A346" s="120" t="inlineStr"/>
      <s:c r="B346" s="121" t="n"/>
      <s:c r="C346" s="121" t="n"/>
      <s:c r="D346" s="121" t="n"/>
      <s:c r="E346" s="122" t="n"/>
    </s:row>
    <s:row r="347" hidden="1" ht="1" customHeight="1">
      <s:c r="A347" s="120" t="inlineStr"/>
      <s:c r="B347" s="121" t="n"/>
      <s:c r="C347" s="121" t="n"/>
      <s:c r="D347" s="121" t="n"/>
      <s:c r="E347" s="122" t="n"/>
    </s:row>
    <s:row r="348" hidden="1" ht="1" customHeight="1">
      <s:c r="A348" s="83" t="inlineStr">
        <s:is>
          <s:t>PASS</s:t>
        </s:is>
      </s:c>
      <s:c r="B348" s="83">
        <s:f>SUM(IF(EXACT('Kiểm thử'!E298,"Đạt"),1,0))</s:f>
        <s:v/>
      </s:c>
      <s:c r="C348" s="19" t="n"/>
      <s:c r="D348" s="19" t="n"/>
      <s:c r="E348" s="19" t="n"/>
    </s:row>
    <s:row r="349" hidden="1" ht="1" customHeight="1">
      <s:c r="A349" s="83" t="inlineStr">
        <s:is>
          <s:t>FAIL</s:t>
        </s:is>
      </s:c>
      <s:c r="B349" s="83">
        <s:f>SUM(IF(EXACT('Kiểm thử'!E298,"Không đạt"),1,0))</s:f>
        <s:v/>
      </s:c>
      <s:c r="C349" s="19" t="n"/>
      <s:c r="D349" s="19" t="n"/>
      <s:c r="E349" s="19" t="n"/>
    </s:row>
    <s:row r="350" hidden="1" ht="1" customHeight="1">
      <s:c r="A350" s="83" t="inlineStr">
        <s:is>
          <s:t>BLOCKED</s:t>
        </s:is>
      </s:c>
      <s:c r="B350" s="83">
        <s:f>SUM(IF(EXACT('Kiểm thử'!E298,"Bị chặn"),1,0))</s:f>
        <s:v/>
      </s:c>
      <s:c r="C350" s="19" t="n"/>
      <s:c r="D350" s="19" t="n"/>
      <s:c r="E350" s="19" t="n"/>
    </s:row>
    <s:row r="351" hidden="1" ht="1" customHeight="1">
      <s:c r="A351" s="83" t="inlineStr">
        <s:is>
          <s:t>SKIPPED</s:t>
        </s:is>
      </s:c>
      <s:c r="B351" s="83">
        <s:f>SUM(IF(EXACT('Kiểm thử'!E298,"Không thực hiện"),1,0))</s:f>
        <s:v/>
      </s:c>
      <s:c r="C351" s="19" t="n"/>
      <s:c r="D351" s="19" t="n"/>
      <s:c r="E351" s="19" t="n"/>
    </s:row>
    <s:row r="352" hidden="1" ht="1" customHeight="1">
      <s:c r="A352" s="83" t="inlineStr">
        <s:is>
          <s:t>NOT RUN</s:t>
        </s:is>
      </s:c>
      <s:c r="B352" s="83">
        <s:f>SUM(IF(EXACT('Kiểm thử'!E298,"Chưa thực hiện"),1,0))</s:f>
        <s:v/>
      </s:c>
      <s:c r="C352" s="19" t="n"/>
      <s:c r="D352" s="19" t="n"/>
      <s:c r="E352" s="19" t="n"/>
    </s:row>
    <s:row r="353" hidden="1" ht="6" customHeight="1">
      <s:c r="A353" s="83" t="inlineStr"/>
      <s:c r="B353" s="19" t="n"/>
      <s:c r="C353" s="19" t="n"/>
      <s:c r="D353" s="19" t="n"/>
      <s:c r="E353" s="19" t="n"/>
    </s:row>
    <s:row r="354" ht="28" customHeight="1">
      <s:c r="A354" s="108" t="inlineStr">
        <s:is>
          <s:t>TC-RS-FUNC-005 — Nhiều quy tắc hiển thị theo ưu tiên; đổi thứ tự bằng ▲▼ được lưu</s:t>
        </s:is>
      </s:c>
      <s:c r="B354" s="111" t="n"/>
      <s:c r="C354" s="111" t="n"/>
      <s:c r="D354" s="111" t="n"/>
      <s:c r="E354" s="111" t="n"/>
    </s:row>
    <s:row r="355" ht="20" customHeight="1">
      <s:c r="A355" s="112" t="inlineStr">
        <s:is>
          <s:t>Kết quả tình huống</s:t>
        </s:is>
      </s:c>
      <s:c r="B355" s="113">
        <s:f>IF(SUM(IF(EXACT('Kiểm thử'!E365,"Không đạt"),1,0))&gt;0,"Không đạt",IF(SUM(IF(EXACT('Kiểm thử'!E365,"Đạt"),1,0))=1,"Đạt",IF(SUM(IF(EXACT('Kiểm thử'!E365,"Không thực hiện"),1,0))=1,"Không thực hiện",IF(SUM(IF(EXACT('Kiểm thử'!E365,"Bị chặn"),1,0))&gt;0,"Bị chặn",IF(SUM(IF(EXACT('Kiểm thử'!E365,"Chưa thực hiện"),1,0))=1,"Chưa thực hiện","Đang thực hiện")))))</s:f>
        <s:v/>
      </s:c>
      <s:c r="C355" s="114" t="n"/>
      <s:c r="D355" s="114" t="n"/>
      <s:c r="E355" s="114" t="n"/>
    </s:row>
    <s:row r="356" ht="20" customHeight="1">
      <s:c r="A356" s="112" t="inlineStr">
        <s:is>
          <s:t>Màn hình / chức năng</s:t>
        </s:is>
      </s:c>
      <s:c r="B356" s="113" t="inlineStr">
        <s:is>
          <s:r>
            <s:rPr>
              <s:b val="1"/>
            </s:rPr>
            <s:t>Thiết lập điểm đỏ（赤点設定）</s:t>
          </s:r>
        </s:is>
      </s:c>
      <s:c r="C356" s="28" t="n"/>
      <s:c r="D356" s="28" t="n"/>
      <s:c r="E356" s="28" t="n"/>
    </s:row>
    <s:row r="357" ht="34" customHeight="1">
      <s:c r="A357" s="112" t="inlineStr">
        <s:is>
          <s:t>Cấu hình</s:t>
        </s:is>
      </s:c>
      <s:c r="B357" s="113" t="inlineStr">
        <s:is>
          <s:r>
            <s:t>• Mục số nguyên (</s:t>
          </s:r>
          <s:r>
            <s:rPr>
              <s:b val="1"/>
            </s:rPr>
            <s:t>M=100</s:t>
          </s:r>
          <s:r>
            <s:t>) có 3 quy tắc tên quy tắc 1, quy tắc 2, quy tắc 3 (tên tạm trong case) theo thứ tự.</s:t>
          </s:r>
        </s:is>
      </s:c>
      <s:c r="C357" s="28" t="n"/>
      <s:c r="D357" s="28" t="n"/>
      <s:c r="E357" s="28" t="n"/>
    </s:row>
    <s:row r="358" ht="34" customHeight="1">
      <s:c r="A358" s="112" t="inlineStr">
        <s:is>
          <s:t>Dữ liệu test</s:t>
        </s:is>
      </s:c>
      <s:c r="B358" s="113" t="inlineStr">
        <s:is>
          <s:r>
            <s:t>• Mục số nguyên (</s:t>
          </s:r>
          <s:r>
            <s:rPr>
              <s:b val="1"/>
            </s:rPr>
            <s:t>M=100</s:t>
          </s:r>
          <s:r>
            <s:t>);
• Quy tắc “Cố định 30” (dưới 30), cặp quy tắc cùng áp dụng (dưới 20 và dưới 30)</s:t>
          </s:r>
        </s:is>
      </s:c>
      <s:c r="C358" s="28" t="n"/>
      <s:c r="D358" s="28" t="n"/>
      <s:c r="E358" s="28" t="n"/>
    </s:row>
    <s:row r="359" ht="20" customHeight="1">
      <s:c r="A359" s="112" t="inlineStr">
        <s:is>
          <s:t>Bước 1</s:t>
        </s:is>
      </s:c>
      <s:c r="B359" s="113" t="inlineStr">
        <s:is>
          <s:t>Bấm ▼ ở quy tắc 1.</s:t>
        </s:is>
      </s:c>
      <s:c r="C359" s="28" t="n"/>
      <s:c r="D359" s="28" t="n"/>
      <s:c r="E359" s="28" t="n"/>
    </s:row>
    <s:row r="360" ht="20" customHeight="1">
      <s:c r="A360" s="112" t="inlineStr">
        <s:is>
          <s:t>Bước 2</s:t>
        </s:is>
      </s:c>
      <s:c r="B360" s="113" t="inlineStr">
        <s:is>
          <s:t>Tải lại trang.</s:t>
        </s:is>
      </s:c>
      <s:c r="C360" s="28" t="n"/>
      <s:c r="D360" s="28" t="n"/>
      <s:c r="E360" s="28" t="n"/>
    </s:row>
    <s:row r="361" ht="20" customHeight="1">
      <s:c r="A361" s="112" t="inlineStr">
        <s:is>
          <s:t>Bước 3</s:t>
        </s:is>
      </s:c>
      <s:c r="B361" s="113" t="inlineStr">
        <s:is>
          <s:t>Bấm ▲ ở quy tắc 3.</s:t>
        </s:is>
      </s:c>
      <s:c r="C361" s="28" t="n"/>
      <s:c r="D361" s="28" t="n"/>
      <s:c r="E361" s="28" t="n"/>
    </s:row>
    <s:row r="362" ht="20" customHeight="1">
      <s:c r="A362" s="112" t="inlineStr">
        <s:is>
          <s:t>Bước 4</s:t>
        </s:is>
      </s:c>
      <s:c r="B362" s="113" t="inlineStr">
        <s:is>
          <s:t>Đăng xuất, đăng nhập lại, mở danh sách.</s:t>
        </s:is>
      </s:c>
      <s:c r="C362" s="28" t="n"/>
      <s:c r="D362" s="28" t="n"/>
      <s:c r="E362" s="28" t="n"/>
    </s:row>
    <s:row r="363" ht="28" customHeight="1">
      <s:c r="A363" s="115" t="inlineStr">
        <s:is>
          <s:t>Trường hợp</s:t>
        </s:is>
      </s:c>
      <s:c r="B363" s="115" t="inlineStr">
        <s:is>
          <s:t>Dữ liệu / thao tác riêng</s:t>
        </s:is>
      </s:c>
      <s:c r="C363" s="115" t="inlineStr">
        <s:is>
          <s:t>Kết quả mong đợi</s:t>
        </s:is>
      </s:c>
      <s:c r="D363" s="115" t="inlineStr">
        <s:is>
          <s:t>Kết quả thực tế</s:t>
        </s:is>
      </s:c>
      <s:c r="E363" s="115" t="inlineStr">
        <s:is>
          <s:t>Đánh giá</s:t>
        </s:is>
      </s:c>
    </s:row>
    <s:row r="364" ht="3" customHeight="1">
      <s:c r="A364" s="102" t="inlineStr"/>
      <s:c r="B364" s="99" t="n"/>
      <s:c r="C364" s="99" t="n"/>
      <s:c r="D364" s="116" t="n"/>
      <s:c r="E364" s="116" t="n"/>
    </s:row>
    <s:row r="365" ht="118" customHeight="1">
      <s:c r="A365" s="83" t="inlineStr">
        <s:is>
          <s:t>Trường hợp cơ bản (Base)</s:t>
        </s:is>
      </s:c>
      <s:c r="B365" s="83" t="inlineStr">
        <s:is>
          <s:t>Toàn bộ tình huống: Thực hiện đủ các bước chung theo thứ tự; kiểm cả đối tượng đích và đối chứng cùng fixture, không bỏ bước.</s:t>
        </s:is>
      </s:c>
      <s:c r="C365" s="83" t="inlineStr">
        <s:is>
          <s:t>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s:t>
        </s:is>
      </s:c>
      <s:c r="D365" s="117" t="inlineStr"/>
      <s:c r="E365" s="118" t="inlineStr">
        <s:is>
          <s:t>Chưa thực hiện</s:t>
        </s:is>
      </s:c>
    </s:row>
    <s:row r="366" ht="20" customHeight="1">
      <s:c r="A366" s="119" t="inlineStr">
        <s:is>
          <s:t>Ảnh minh chứng — Chưa có ảnh</s:t>
        </s:is>
      </s:c>
      <s:c r="B366" s="19" t="n"/>
      <s:c r="C366" s="19" t="n"/>
      <s:c r="D366" s="19" t="n"/>
      <s:c r="E366" s="19" t="n"/>
    </s:row>
    <s:row r="367" hidden="1" ht="1" customHeight="1">
      <s:c r="A367" s="120" t="inlineStr"/>
      <s:c r="B367" s="121" t="n"/>
      <s:c r="C367" s="121" t="n"/>
      <s:c r="D367" s="121" t="n"/>
      <s:c r="E367" s="122" t="n"/>
    </s:row>
    <s:row r="368" hidden="1" ht="1" customHeight="1">
      <s:c r="A368" s="120" t="inlineStr"/>
      <s:c r="B368" s="121" t="n"/>
      <s:c r="C368" s="121" t="n"/>
      <s:c r="D368" s="121" t="n"/>
      <s:c r="E368" s="122" t="n"/>
    </s:row>
    <s:row r="369" hidden="1" ht="1" customHeight="1">
      <s:c r="A369" s="120" t="inlineStr"/>
      <s:c r="B369" s="121" t="n"/>
      <s:c r="C369" s="121" t="n"/>
      <s:c r="D369" s="121" t="n"/>
      <s:c r="E369" s="122" t="n"/>
    </s:row>
    <s:row r="370" hidden="1" ht="1" customHeight="1">
      <s:c r="A370" s="120" t="inlineStr"/>
      <s:c r="B370" s="121" t="n"/>
      <s:c r="C370" s="121" t="n"/>
      <s:c r="D370" s="121" t="n"/>
      <s:c r="E370" s="122" t="n"/>
    </s:row>
    <s:row r="371" hidden="1" ht="1" customHeight="1">
      <s:c r="A371" s="120" t="inlineStr"/>
      <s:c r="B371" s="121" t="n"/>
      <s:c r="C371" s="121" t="n"/>
      <s:c r="D371" s="121" t="n"/>
      <s:c r="E371" s="122" t="n"/>
    </s:row>
    <s:row r="372" hidden="1" ht="1" customHeight="1">
      <s:c r="A372" s="120" t="inlineStr"/>
      <s:c r="B372" s="121" t="n"/>
      <s:c r="C372" s="121" t="n"/>
      <s:c r="D372" s="121" t="n"/>
      <s:c r="E372" s="122" t="n"/>
    </s:row>
    <s:row r="373" hidden="1" ht="1" customHeight="1">
      <s:c r="A373" s="120" t="inlineStr"/>
      <s:c r="B373" s="121" t="n"/>
      <s:c r="C373" s="121" t="n"/>
      <s:c r="D373" s="121" t="n"/>
      <s:c r="E373" s="122" t="n"/>
    </s:row>
    <s:row r="374" hidden="1" ht="1" customHeight="1">
      <s:c r="A374" s="120" t="inlineStr"/>
      <s:c r="B374" s="121" t="n"/>
      <s:c r="C374" s="121" t="n"/>
      <s:c r="D374" s="121" t="n"/>
      <s:c r="E374" s="122" t="n"/>
    </s:row>
    <s:row r="375" hidden="1" ht="1" customHeight="1">
      <s:c r="A375" s="120" t="inlineStr"/>
      <s:c r="B375" s="121" t="n"/>
      <s:c r="C375" s="121" t="n"/>
      <s:c r="D375" s="121" t="n"/>
      <s:c r="E375" s="122" t="n"/>
    </s:row>
    <s:row r="376" hidden="1" ht="1" customHeight="1">
      <s:c r="A376" s="120" t="inlineStr"/>
      <s:c r="B376" s="121" t="n"/>
      <s:c r="C376" s="121" t="n"/>
      <s:c r="D376" s="121" t="n"/>
      <s:c r="E376" s="122" t="n"/>
    </s:row>
    <s:row r="377" hidden="1" ht="1" customHeight="1">
      <s:c r="A377" s="120" t="inlineStr"/>
      <s:c r="B377" s="121" t="n"/>
      <s:c r="C377" s="121" t="n"/>
      <s:c r="D377" s="121" t="n"/>
      <s:c r="E377" s="122" t="n"/>
    </s:row>
    <s:row r="378" hidden="1" ht="1" customHeight="1">
      <s:c r="A378" s="120" t="inlineStr"/>
      <s:c r="B378" s="121" t="n"/>
      <s:c r="C378" s="121" t="n"/>
      <s:c r="D378" s="121" t="n"/>
      <s:c r="E378" s="122" t="n"/>
    </s:row>
    <s:row r="379" hidden="1" ht="1" customHeight="1">
      <s:c r="A379" s="120" t="inlineStr"/>
      <s:c r="B379" s="121" t="n"/>
      <s:c r="C379" s="121" t="n"/>
      <s:c r="D379" s="121" t="n"/>
      <s:c r="E379" s="122" t="n"/>
    </s:row>
    <s:row r="380" hidden="1" ht="1" customHeight="1">
      <s:c r="A380" s="120" t="inlineStr"/>
      <s:c r="B380" s="121" t="n"/>
      <s:c r="C380" s="121" t="n"/>
      <s:c r="D380" s="121" t="n"/>
      <s:c r="E380" s="122" t="n"/>
    </s:row>
    <s:row r="381" hidden="1" ht="1" customHeight="1">
      <s:c r="A381" s="120" t="inlineStr"/>
      <s:c r="B381" s="121" t="n"/>
      <s:c r="C381" s="121" t="n"/>
      <s:c r="D381" s="121" t="n"/>
      <s:c r="E381" s="122" t="n"/>
    </s:row>
    <s:row r="382" hidden="1" ht="1" customHeight="1">
      <s:c r="A382" s="120" t="inlineStr"/>
      <s:c r="B382" s="121" t="n"/>
      <s:c r="C382" s="121" t="n"/>
      <s:c r="D382" s="121" t="n"/>
      <s:c r="E382" s="122" t="n"/>
    </s:row>
    <s:row r="383" hidden="1" ht="1" customHeight="1">
      <s:c r="A383" s="120" t="inlineStr"/>
      <s:c r="B383" s="121" t="n"/>
      <s:c r="C383" s="121" t="n"/>
      <s:c r="D383" s="121" t="n"/>
      <s:c r="E383" s="122" t="n"/>
    </s:row>
    <s:row r="384" hidden="1" ht="1" customHeight="1">
      <s:c r="A384" s="120" t="inlineStr"/>
      <s:c r="B384" s="121" t="n"/>
      <s:c r="C384" s="121" t="n"/>
      <s:c r="D384" s="121" t="n"/>
      <s:c r="E384" s="122" t="n"/>
    </s:row>
    <s:row r="385" hidden="1" ht="1" customHeight="1">
      <s:c r="A385" s="120" t="inlineStr"/>
      <s:c r="B385" s="121" t="n"/>
      <s:c r="C385" s="121" t="n"/>
      <s:c r="D385" s="121" t="n"/>
      <s:c r="E385" s="122" t="n"/>
    </s:row>
    <s:row r="386" hidden="1" ht="1" customHeight="1">
      <s:c r="A386" s="120" t="inlineStr"/>
      <s:c r="B386" s="121" t="n"/>
      <s:c r="C386" s="121" t="n"/>
      <s:c r="D386" s="121" t="n"/>
      <s:c r="E386" s="122" t="n"/>
    </s:row>
    <s:row r="387" hidden="1" ht="1" customHeight="1">
      <s:c r="A387" s="120" t="inlineStr"/>
      <s:c r="B387" s="121" t="n"/>
      <s:c r="C387" s="121" t="n"/>
      <s:c r="D387" s="121" t="n"/>
      <s:c r="E387" s="122" t="n"/>
    </s:row>
    <s:row r="388" hidden="1" ht="1" customHeight="1">
      <s:c r="A388" s="120" t="inlineStr"/>
      <s:c r="B388" s="121" t="n"/>
      <s:c r="C388" s="121" t="n"/>
      <s:c r="D388" s="121" t="n"/>
      <s:c r="E388" s="122" t="n"/>
    </s:row>
    <s:row r="389" hidden="1" ht="1" customHeight="1">
      <s:c r="A389" s="120" t="inlineStr"/>
      <s:c r="B389" s="121" t="n"/>
      <s:c r="C389" s="121" t="n"/>
      <s:c r="D389" s="121" t="n"/>
      <s:c r="E389" s="122" t="n"/>
    </s:row>
    <s:row r="390" hidden="1" ht="1" customHeight="1">
      <s:c r="A390" s="120" t="inlineStr"/>
      <s:c r="B390" s="121" t="n"/>
      <s:c r="C390" s="121" t="n"/>
      <s:c r="D390" s="121" t="n"/>
      <s:c r="E390" s="122" t="n"/>
    </s:row>
    <s:row r="391" hidden="1" ht="1" customHeight="1">
      <s:c r="A391" s="120" t="inlineStr"/>
      <s:c r="B391" s="121" t="n"/>
      <s:c r="C391" s="121" t="n"/>
      <s:c r="D391" s="121" t="n"/>
      <s:c r="E391" s="122" t="n"/>
    </s:row>
    <s:row r="392" hidden="1" ht="1" customHeight="1">
      <s:c r="A392" s="120" t="inlineStr"/>
      <s:c r="B392" s="121" t="n"/>
      <s:c r="C392" s="121" t="n"/>
      <s:c r="D392" s="121" t="n"/>
      <s:c r="E392" s="122" t="n"/>
    </s:row>
    <s:row r="393" hidden="1" ht="1" customHeight="1">
      <s:c r="A393" s="120" t="inlineStr"/>
      <s:c r="B393" s="121" t="n"/>
      <s:c r="C393" s="121" t="n"/>
      <s:c r="D393" s="121" t="n"/>
      <s:c r="E393" s="122" t="n"/>
    </s:row>
    <s:row r="394" hidden="1" ht="1" customHeight="1">
      <s:c r="A394" s="120" t="inlineStr"/>
      <s:c r="B394" s="121" t="n"/>
      <s:c r="C394" s="121" t="n"/>
      <s:c r="D394" s="121" t="n"/>
      <s:c r="E394" s="122" t="n"/>
    </s:row>
    <s:row r="395" hidden="1" ht="1" customHeight="1">
      <s:c r="A395" s="120" t="inlineStr"/>
      <s:c r="B395" s="121" t="n"/>
      <s:c r="C395" s="121" t="n"/>
      <s:c r="D395" s="121" t="n"/>
      <s:c r="E395" s="122" t="n"/>
    </s:row>
    <s:row r="396" hidden="1" ht="1" customHeight="1">
      <s:c r="A396" s="120" t="inlineStr"/>
      <s:c r="B396" s="121" t="n"/>
      <s:c r="C396" s="121" t="n"/>
      <s:c r="D396" s="121" t="n"/>
      <s:c r="E396" s="122" t="n"/>
    </s:row>
    <s:row r="397" hidden="1" ht="1" customHeight="1">
      <s:c r="A397" s="120" t="inlineStr"/>
      <s:c r="B397" s="121" t="n"/>
      <s:c r="C397" s="121" t="n"/>
      <s:c r="D397" s="121" t="n"/>
      <s:c r="E397" s="122" t="n"/>
    </s:row>
    <s:row r="398" hidden="1" ht="1" customHeight="1">
      <s:c r="A398" s="120" t="inlineStr"/>
      <s:c r="B398" s="121" t="n"/>
      <s:c r="C398" s="121" t="n"/>
      <s:c r="D398" s="121" t="n"/>
      <s:c r="E398" s="122" t="n"/>
    </s:row>
    <s:row r="399" hidden="1" ht="1" customHeight="1">
      <s:c r="A399" s="120" t="inlineStr"/>
      <s:c r="B399" s="121" t="n"/>
      <s:c r="C399" s="121" t="n"/>
      <s:c r="D399" s="121" t="n"/>
      <s:c r="E399" s="122" t="n"/>
    </s:row>
    <s:row r="400" hidden="1" ht="1" customHeight="1">
      <s:c r="A400" s="120" t="inlineStr"/>
      <s:c r="B400" s="121" t="n"/>
      <s:c r="C400" s="121" t="n"/>
      <s:c r="D400" s="121" t="n"/>
      <s:c r="E400" s="122" t="n"/>
    </s:row>
    <s:row r="401" hidden="1" ht="1" customHeight="1">
      <s:c r="A401" s="120" t="inlineStr"/>
      <s:c r="B401" s="121" t="n"/>
      <s:c r="C401" s="121" t="n"/>
      <s:c r="D401" s="121" t="n"/>
      <s:c r="E401" s="122" t="n"/>
    </s:row>
    <s:row r="402" hidden="1" ht="1" customHeight="1">
      <s:c r="A402" s="120" t="inlineStr"/>
      <s:c r="B402" s="121" t="n"/>
      <s:c r="C402" s="121" t="n"/>
      <s:c r="D402" s="121" t="n"/>
      <s:c r="E402" s="122" t="n"/>
    </s:row>
    <s:row r="403" hidden="1" ht="1" customHeight="1">
      <s:c r="A403" s="120" t="inlineStr"/>
      <s:c r="B403" s="121" t="n"/>
      <s:c r="C403" s="121" t="n"/>
      <s:c r="D403" s="121" t="n"/>
      <s:c r="E403" s="122" t="n"/>
    </s:row>
    <s:row r="404" hidden="1" ht="1" customHeight="1">
      <s:c r="A404" s="120" t="inlineStr"/>
      <s:c r="B404" s="121" t="n"/>
      <s:c r="C404" s="121" t="n"/>
      <s:c r="D404" s="121" t="n"/>
      <s:c r="E404" s="122" t="n"/>
    </s:row>
    <s:row r="405" hidden="1" ht="1" customHeight="1">
      <s:c r="A405" s="120" t="inlineStr"/>
      <s:c r="B405" s="121" t="n"/>
      <s:c r="C405" s="121" t="n"/>
      <s:c r="D405" s="121" t="n"/>
      <s:c r="E405" s="122" t="n"/>
    </s:row>
    <s:row r="406" hidden="1" ht="1" customHeight="1">
      <s:c r="A406" s="120" t="inlineStr"/>
      <s:c r="B406" s="121" t="n"/>
      <s:c r="C406" s="121" t="n"/>
      <s:c r="D406" s="121" t="n"/>
      <s:c r="E406" s="122" t="n"/>
    </s:row>
    <s:row r="407" hidden="1" ht="1" customHeight="1">
      <s:c r="A407" s="120" t="inlineStr"/>
      <s:c r="B407" s="121" t="n"/>
      <s:c r="C407" s="121" t="n"/>
      <s:c r="D407" s="121" t="n"/>
      <s:c r="E407" s="122" t="n"/>
    </s:row>
    <s:row r="408" hidden="1" ht="1" customHeight="1">
      <s:c r="A408" s="120" t="inlineStr"/>
      <s:c r="B408" s="121" t="n"/>
      <s:c r="C408" s="121" t="n"/>
      <s:c r="D408" s="121" t="n"/>
      <s:c r="E408" s="122" t="n"/>
    </s:row>
    <s:row r="409" hidden="1" ht="1" customHeight="1">
      <s:c r="A409" s="120" t="inlineStr"/>
      <s:c r="B409" s="121" t="n"/>
      <s:c r="C409" s="121" t="n"/>
      <s:c r="D409" s="121" t="n"/>
      <s:c r="E409" s="122" t="n"/>
    </s:row>
    <s:row r="410" hidden="1" ht="1" customHeight="1">
      <s:c r="A410" s="120" t="inlineStr"/>
      <s:c r="B410" s="121" t="n"/>
      <s:c r="C410" s="121" t="n"/>
      <s:c r="D410" s="121" t="n"/>
      <s:c r="E410" s="122" t="n"/>
    </s:row>
    <s:row r="411" hidden="1" ht="1" customHeight="1">
      <s:c r="A411" s="120" t="inlineStr"/>
      <s:c r="B411" s="121" t="n"/>
      <s:c r="C411" s="121" t="n"/>
      <s:c r="D411" s="121" t="n"/>
      <s:c r="E411" s="122" t="n"/>
    </s:row>
    <s:row r="412" hidden="1" ht="1" customHeight="1">
      <s:c r="A412" s="120" t="inlineStr"/>
      <s:c r="B412" s="121" t="n"/>
      <s:c r="C412" s="121" t="n"/>
      <s:c r="D412" s="121" t="n"/>
      <s:c r="E412" s="122" t="n"/>
    </s:row>
    <s:row r="413" hidden="1" ht="1" customHeight="1">
      <s:c r="A413" s="120" t="inlineStr"/>
      <s:c r="B413" s="121" t="n"/>
      <s:c r="C413" s="121" t="n"/>
      <s:c r="D413" s="121" t="n"/>
      <s:c r="E413" s="122" t="n"/>
    </s:row>
    <s:row r="414" hidden="1" ht="1" customHeight="1">
      <s:c r="A414" s="120" t="inlineStr"/>
      <s:c r="B414" s="121" t="n"/>
      <s:c r="C414" s="121" t="n"/>
      <s:c r="D414" s="121" t="n"/>
      <s:c r="E414" s="122" t="n"/>
    </s:row>
    <s:row r="415" hidden="1" ht="1" customHeight="1">
      <s:c r="A415" s="83" t="inlineStr">
        <s:is>
          <s:t>PASS</s:t>
        </s:is>
      </s:c>
      <s:c r="B415" s="83">
        <s:f>SUM(IF(EXACT('Kiểm thử'!E365,"Đạt"),1,0))</s:f>
        <s:v/>
      </s:c>
      <s:c r="C415" s="19" t="n"/>
      <s:c r="D415" s="19" t="n"/>
      <s:c r="E415" s="19" t="n"/>
    </s:row>
    <s:row r="416" hidden="1" ht="1" customHeight="1">
      <s:c r="A416" s="83" t="inlineStr">
        <s:is>
          <s:t>FAIL</s:t>
        </s:is>
      </s:c>
      <s:c r="B416" s="83">
        <s:f>SUM(IF(EXACT('Kiểm thử'!E365,"Không đạt"),1,0))</s:f>
        <s:v/>
      </s:c>
      <s:c r="C416" s="19" t="n"/>
      <s:c r="D416" s="19" t="n"/>
      <s:c r="E416" s="19" t="n"/>
    </s:row>
    <s:row r="417" hidden="1" ht="1" customHeight="1">
      <s:c r="A417" s="83" t="inlineStr">
        <s:is>
          <s:t>BLOCKED</s:t>
        </s:is>
      </s:c>
      <s:c r="B417" s="83">
        <s:f>SUM(IF(EXACT('Kiểm thử'!E365,"Bị chặn"),1,0))</s:f>
        <s:v/>
      </s:c>
      <s:c r="C417" s="19" t="n"/>
      <s:c r="D417" s="19" t="n"/>
      <s:c r="E417" s="19" t="n"/>
    </s:row>
    <s:row r="418" hidden="1" ht="1" customHeight="1">
      <s:c r="A418" s="83" t="inlineStr">
        <s:is>
          <s:t>SKIPPED</s:t>
        </s:is>
      </s:c>
      <s:c r="B418" s="83">
        <s:f>SUM(IF(EXACT('Kiểm thử'!E365,"Không thực hiện"),1,0))</s:f>
        <s:v/>
      </s:c>
      <s:c r="C418" s="19" t="n"/>
      <s:c r="D418" s="19" t="n"/>
      <s:c r="E418" s="19" t="n"/>
    </s:row>
    <s:row r="419" hidden="1" ht="1" customHeight="1">
      <s:c r="A419" s="83" t="inlineStr">
        <s:is>
          <s:t>NOT RUN</s:t>
        </s:is>
      </s:c>
      <s:c r="B419" s="83">
        <s:f>SUM(IF(EXACT('Kiểm thử'!E365,"Chưa thực hiện"),1,0))</s:f>
        <s:v/>
      </s:c>
      <s:c r="C419" s="19" t="n"/>
      <s:c r="D419" s="19" t="n"/>
      <s:c r="E419" s="19" t="n"/>
    </s:row>
    <s:row r="420" hidden="1" ht="6" customHeight="1">
      <s:c r="A420" s="83" t="inlineStr"/>
      <s:c r="B420" s="19" t="n"/>
      <s:c r="C420" s="19" t="n"/>
      <s:c r="D420" s="19" t="n"/>
      <s:c r="E420" s="19" t="n"/>
    </s:row>
    <s:row r="421" ht="28" customHeight="1">
      <s:c r="A421" s="108" t="inlineStr">
        <s:is>
          <s:t>TC-RS-FUNC-006 — Xóa một quy tắc có xác nhận; Hủy（キャンセル） giữ nguyên</s:t>
        </s:is>
      </s:c>
      <s:c r="B421" s="111" t="n"/>
      <s:c r="C421" s="111" t="n"/>
      <s:c r="D421" s="111" t="n"/>
      <s:c r="E421" s="111" t="n"/>
    </s:row>
    <s:row r="422" ht="20" customHeight="1">
      <s:c r="A422" s="112" t="inlineStr">
        <s:is>
          <s:t>Kết quả tình huống</s:t>
        </s:is>
      </s:c>
      <s:c r="B422" s="113">
        <s:f>IF(SUM(IF(EXACT('Kiểm thử'!E431,"Không đạt"),1,0),IF(EXACT('Kiểm thử'!E433,"Không đạt"),1,0))&gt;0,"Không đạt",IF(SUM(IF(EXACT('Kiểm thử'!E431,"Đạt"),1,0),IF(EXACT('Kiểm thử'!E433,"Đạt"),1,0))=2,"Đạt",IF(SUM(IF(EXACT('Kiểm thử'!E431,"Không thực hiện"),1,0),IF(EXACT('Kiểm thử'!E433,"Không thực hiện"),1,0))=2,"Không thực hiện",IF(SUM(IF(EXACT('Kiểm thử'!E431,"Bị chặn"),1,0),IF(EXACT('Kiểm thử'!E433,"Bị chặn"),1,0))&gt;0,"Bị chặn",IF(SUM(IF(EXACT('Kiểm thử'!E431,"Chưa thực hiện"),1,0),IF(EXACT('Kiểm thử'!E433,"Chưa thực hiện"),1,0))=2,"Chưa thực hiện","Đang thực hiện")))))</s:f>
        <s:v/>
      </s:c>
      <s:c r="C422" s="114" t="n"/>
      <s:c r="D422" s="114" t="n"/>
      <s:c r="E422" s="114" t="n"/>
    </s:row>
    <s:row r="423" ht="20" customHeight="1">
      <s:c r="A423" s="112" t="inlineStr">
        <s:is>
          <s:t>Màn hình / chức năng</s:t>
        </s:is>
      </s:c>
      <s:c r="B423" s="113" t="inlineStr">
        <s:is>
          <s:r>
            <s:rPr>
              <s:b val="1"/>
            </s:rPr>
            <s:t>Thiết lập điểm đỏ（赤点設定）</s:t>
          </s:r>
        </s:is>
      </s:c>
      <s:c r="C423" s="28" t="n"/>
      <s:c r="D423" s="28" t="n"/>
      <s:c r="E423" s="28" t="n"/>
    </s:row>
    <s:row r="424" ht="34" customHeight="1">
      <s:c r="A424" s="112" t="inlineStr">
        <s:is>
          <s:t>Cấu hình</s:t>
        </s:is>
      </s:c>
      <s:c r="B424" s="113" t="inlineStr">
        <s:is>
          <s:r>
            <s:t>• Mục số nguyên (</s:t>
          </s:r>
          <s:r>
            <s:rPr>
              <s:b val="1"/>
            </s:rPr>
            <s:t>M=100</s:t>
          </s:r>
          <s:r>
            <s:t>) có 2 quy tắc. Mỗi trường hợp bắt đầu độc lập từ danh sách 2 quy tắc;
• Không dùng kết quả Hủy làm baseline cho Xóa.</s:t>
          </s:r>
        </s:is>
      </s:c>
      <s:c r="C424" s="28" t="n"/>
      <s:c r="D424" s="28" t="n"/>
      <s:c r="E424" s="28" t="n"/>
    </s:row>
    <s:row r="425" ht="34" customHeight="1">
      <s:c r="A425" s="112" t="inlineStr">
        <s:is>
          <s:t>Dữ liệu test</s:t>
        </s:is>
      </s:c>
      <s:c r="B425" s="113" t="inlineStr">
        <s:is>
          <s:r>
            <s:t>• Mục số nguyên (</s:t>
          </s:r>
          <s:r>
            <s:rPr>
              <s:b val="1"/>
            </s:rPr>
            <s:t>M=100</s:t>
          </s:r>
          <s:r>
            <s:t>);
• Cặp quy tắc cùng áp dụng (dưới 20 và dưới 30)</s:t>
          </s:r>
        </s:is>
      </s:c>
      <s:c r="C425" s="28" t="n"/>
      <s:c r="D425" s="28" t="n"/>
      <s:c r="E425" s="28" t="n"/>
    </s:row>
    <s:row r="426" ht="20" customHeight="1">
      <s:c r="A426" s="112" t="inlineStr">
        <s:is>
          <s:t>Bước 1</s:t>
        </s:is>
      </s:c>
      <s:c r="B426" s="113" t="inlineStr">
        <s:is>
          <s:t>Khôi phục danh sách 2 quy tắc trước mỗi trường hợp.</s:t>
        </s:is>
      </s:c>
      <s:c r="C426" s="28" t="n"/>
      <s:c r="D426" s="28" t="n"/>
      <s:c r="E426" s="28" t="n"/>
    </s:row>
    <s:row r="427" ht="20" customHeight="1">
      <s:c r="A427" s="112" t="inlineStr">
        <s:is>
          <s:t>Bước 2</s:t>
        </s:is>
      </s:c>
      <s:c r="B427" s="113" t="inlineStr">
        <s:is>
          <s:r>
            <s:rPr>
              <s:b val="1"/>
            </s:rPr>
            <s:t>Bấm Xóa（削除）</s:t>
          </s:r>
          <s:r>
            <s:t xml:space="preserve"> ở quy tắc thứ 2 để mở hộp xác nhận.</s:t>
          </s:r>
        </s:is>
      </s:c>
      <s:c r="C427" s="28" t="n"/>
      <s:c r="D427" s="28" t="n"/>
      <s:c r="E427" s="28" t="n"/>
    </s:row>
    <s:row r="428" ht="20" customHeight="1">
      <s:c r="A428" s="112" t="inlineStr">
        <s:is>
          <s:t>Bước 3</s:t>
        </s:is>
      </s:c>
      <s:c r="B428" s="113" t="inlineStr">
        <s:is>
          <s:t>Thực hiện lựa chọn riêng trong bảng trường hợp và đọc lại danh sách/kết quả học sinh.</s:t>
        </s:is>
      </s:c>
      <s:c r="C428" s="28" t="n"/>
      <s:c r="D428" s="28" t="n"/>
      <s:c r="E428" s="28" t="n"/>
    </s:row>
    <s:row r="429" ht="28" customHeight="1">
      <s:c r="A429" s="115" t="inlineStr">
        <s:is>
          <s:t>Trường hợp</s:t>
        </s:is>
      </s:c>
      <s:c r="B429" s="115" t="inlineStr">
        <s:is>
          <s:t>Dữ liệu / thao tác riêng</s:t>
        </s:is>
      </s:c>
      <s:c r="C429" s="115" t="inlineStr">
        <s:is>
          <s:t>Kết quả mong đợi</s:t>
        </s:is>
      </s:c>
      <s:c r="D429" s="115" t="inlineStr">
        <s:is>
          <s:t>Kết quả thực tế</s:t>
        </s:is>
      </s:c>
      <s:c r="E429" s="115" t="inlineStr">
        <s:is>
          <s:t>Đánh giá</s:t>
        </s:is>
      </s:c>
    </s:row>
    <s:row r="430" ht="3" customHeight="1">
      <s:c r="A430" s="102" t="inlineStr"/>
      <s:c r="B430" s="99" t="n"/>
      <s:c r="C430" s="99" t="n"/>
      <s:c r="D430" s="116" t="n"/>
      <s:c r="E430" s="116" t="n"/>
    </s:row>
    <s:row r="431" ht="62" customHeight="1">
      <s:c r="A431" s="83" t="inlineStr">
        <s:is>
          <s:t>Hủy xóa (cancel)</s:t>
        </s:is>
      </s:c>
      <s:c r="B431" s="83" t="inlineStr">
        <s:is>
          <s:r>
            <s:rPr>
              <s:b val="1"/>
            </s:rPr>
            <s:t>Chọn Hủy（キャンセル）</s:t>
          </s:r>
          <s:r>
            <s:t xml:space="preserve"> trong hộp xác nhận.</s:t>
          </s:r>
        </s:is>
      </s:c>
      <s:c r="C431" s="83" t="inlineStr">
        <s:is>
          <s:t>1. Hộp xác nhận nêu thiết lập sẽ bị xóa và kết quả học sinh chỉ cập nhật ở lần xét tiếp theo.
2. Hủy: danh sách giữ 2 quy tắc.</s:t>
        </s:is>
      </s:c>
      <s:c r="D431" s="117" t="inlineStr"/>
      <s:c r="E431" s="118" t="inlineStr">
        <s:is>
          <s:t>Chưa thực hiện</s:t>
        </s:is>
      </s:c>
    </s:row>
    <s:row r="432" ht="3" customHeight="1">
      <s:c r="A432" s="102" t="inlineStr"/>
      <s:c r="B432" s="99" t="n"/>
      <s:c r="C432" s="99" t="n"/>
      <s:c r="D432" s="116" t="n"/>
      <s:c r="E432" s="116" t="n"/>
    </s:row>
    <s:row r="433" ht="118" customHeight="1">
      <s:c r="A433" s="83" t="inlineStr">
        <s:is>
          <s:t>Đồng ý xóa (delete)</s:t>
        </s:is>
      </s:c>
      <s:c r="B433" s="83" t="inlineStr">
        <s:is>
          <s:r>
            <s:rPr>
              <s:b val="1"/>
            </s:rPr>
            <s:t>Chọn Xóa（削除する）</s:t>
          </s:r>
          <s:r>
            <s:t xml:space="preserve"> trong hộp xác nhận.</s:t>
          </s:r>
        </s:is>
      </s:c>
      <s:c r="C433" s="83" t="inlineStr">
        <s:is>
          <s:r>
            <s:t xml:space="preserve">1. Hộp xác nhận nêu thiết lập sẽ bị xóa và kết quả học sinh chỉ cập nhật ở lần xét tiếp theo.
3. Xóa: danh sách còn 1 quy tắc; kết quả đỏ hiện có không đổi cho tới lần xét tiếp theo (case “Xóa quy tắc cuối: giữ kết quả tới lần chạy lại; chạy lại → </s:t>
          </s:r>
          <s:r>
            <s:rPr>
              <s:b val="1"/>
            </s:rPr>
            <s:t>Không áp dụng</s:t>
          </s:r>
          <s:r>
            <s:t>”).</s:t>
          </s:r>
        </s:is>
      </s:c>
      <s:c r="D433" s="117" t="inlineStr"/>
      <s:c r="E433" s="118" t="inlineStr">
        <s:is>
          <s:t>Chưa thực hiện</s:t>
        </s:is>
      </s:c>
    </s:row>
    <s:row r="434" ht="20" customHeight="1">
      <s:c r="A434" s="119" t="inlineStr">
        <s:is>
          <s:t>Ảnh minh chứng — Chưa có ảnh</s:t>
        </s:is>
      </s:c>
      <s:c r="B434" s="19" t="n"/>
      <s:c r="C434" s="19" t="n"/>
      <s:c r="D434" s="19" t="n"/>
      <s:c r="E434" s="19" t="n"/>
    </s:row>
    <s:row r="435" hidden="1" ht="1" customHeight="1">
      <s:c r="A435" s="120" t="inlineStr"/>
      <s:c r="B435" s="121" t="n"/>
      <s:c r="C435" s="121" t="n"/>
      <s:c r="D435" s="121" t="n"/>
      <s:c r="E435" s="122" t="n"/>
    </s:row>
    <s:row r="436" hidden="1" ht="1" customHeight="1">
      <s:c r="A436" s="120" t="inlineStr"/>
      <s:c r="B436" s="121" t="n"/>
      <s:c r="C436" s="121" t="n"/>
      <s:c r="D436" s="121" t="n"/>
      <s:c r="E436" s="122" t="n"/>
    </s:row>
    <s:row r="437" hidden="1" ht="1" customHeight="1">
      <s:c r="A437" s="120" t="inlineStr"/>
      <s:c r="B437" s="121" t="n"/>
      <s:c r="C437" s="121" t="n"/>
      <s:c r="D437" s="121" t="n"/>
      <s:c r="E437" s="122" t="n"/>
    </s:row>
    <s:row r="438" hidden="1" ht="1" customHeight="1">
      <s:c r="A438" s="120" t="inlineStr"/>
      <s:c r="B438" s="121" t="n"/>
      <s:c r="C438" s="121" t="n"/>
      <s:c r="D438" s="121" t="n"/>
      <s:c r="E438" s="122" t="n"/>
    </s:row>
    <s:row r="439" hidden="1" ht="1" customHeight="1">
      <s:c r="A439" s="120" t="inlineStr"/>
      <s:c r="B439" s="121" t="n"/>
      <s:c r="C439" s="121" t="n"/>
      <s:c r="D439" s="121" t="n"/>
      <s:c r="E439" s="122" t="n"/>
    </s:row>
    <s:row r="440" hidden="1" ht="1" customHeight="1">
      <s:c r="A440" s="120" t="inlineStr"/>
      <s:c r="B440" s="121" t="n"/>
      <s:c r="C440" s="121" t="n"/>
      <s:c r="D440" s="121" t="n"/>
      <s:c r="E440" s="122" t="n"/>
    </s:row>
    <s:row r="441" hidden="1" ht="1" customHeight="1">
      <s:c r="A441" s="120" t="inlineStr"/>
      <s:c r="B441" s="121" t="n"/>
      <s:c r="C441" s="121" t="n"/>
      <s:c r="D441" s="121" t="n"/>
      <s:c r="E441" s="122" t="n"/>
    </s:row>
    <s:row r="442" hidden="1" ht="1" customHeight="1">
      <s:c r="A442" s="120" t="inlineStr"/>
      <s:c r="B442" s="121" t="n"/>
      <s:c r="C442" s="121" t="n"/>
      <s:c r="D442" s="121" t="n"/>
      <s:c r="E442" s="122" t="n"/>
    </s:row>
    <s:row r="443" hidden="1" ht="1" customHeight="1">
      <s:c r="A443" s="120" t="inlineStr"/>
      <s:c r="B443" s="121" t="n"/>
      <s:c r="C443" s="121" t="n"/>
      <s:c r="D443" s="121" t="n"/>
      <s:c r="E443" s="122" t="n"/>
    </s:row>
    <s:row r="444" hidden="1" ht="1" customHeight="1">
      <s:c r="A444" s="120" t="inlineStr"/>
      <s:c r="B444" s="121" t="n"/>
      <s:c r="C444" s="121" t="n"/>
      <s:c r="D444" s="121" t="n"/>
      <s:c r="E444" s="122" t="n"/>
    </s:row>
    <s:row r="445" hidden="1" ht="1" customHeight="1">
      <s:c r="A445" s="120" t="inlineStr"/>
      <s:c r="B445" s="121" t="n"/>
      <s:c r="C445" s="121" t="n"/>
      <s:c r="D445" s="121" t="n"/>
      <s:c r="E445" s="122" t="n"/>
    </s:row>
    <s:row r="446" hidden="1" ht="1" customHeight="1">
      <s:c r="A446" s="120" t="inlineStr"/>
      <s:c r="B446" s="121" t="n"/>
      <s:c r="C446" s="121" t="n"/>
      <s:c r="D446" s="121" t="n"/>
      <s:c r="E446" s="122" t="n"/>
    </s:row>
    <s:row r="447" hidden="1" ht="1" customHeight="1">
      <s:c r="A447" s="120" t="inlineStr"/>
      <s:c r="B447" s="121" t="n"/>
      <s:c r="C447" s="121" t="n"/>
      <s:c r="D447" s="121" t="n"/>
      <s:c r="E447" s="122" t="n"/>
    </s:row>
    <s:row r="448" hidden="1" ht="1" customHeight="1">
      <s:c r="A448" s="120" t="inlineStr"/>
      <s:c r="B448" s="121" t="n"/>
      <s:c r="C448" s="121" t="n"/>
      <s:c r="D448" s="121" t="n"/>
      <s:c r="E448" s="122" t="n"/>
    </s:row>
    <s:row r="449" hidden="1" ht="1" customHeight="1">
      <s:c r="A449" s="120" t="inlineStr"/>
      <s:c r="B449" s="121" t="n"/>
      <s:c r="C449" s="121" t="n"/>
      <s:c r="D449" s="121" t="n"/>
      <s:c r="E449" s="122" t="n"/>
    </s:row>
    <s:row r="450" hidden="1" ht="1" customHeight="1">
      <s:c r="A450" s="120" t="inlineStr"/>
      <s:c r="B450" s="121" t="n"/>
      <s:c r="C450" s="121" t="n"/>
      <s:c r="D450" s="121" t="n"/>
      <s:c r="E450" s="122" t="n"/>
    </s:row>
    <s:row r="451" hidden="1" ht="1" customHeight="1">
      <s:c r="A451" s="120" t="inlineStr"/>
      <s:c r="B451" s="121" t="n"/>
      <s:c r="C451" s="121" t="n"/>
      <s:c r="D451" s="121" t="n"/>
      <s:c r="E451" s="122" t="n"/>
    </s:row>
    <s:row r="452" hidden="1" ht="1" customHeight="1">
      <s:c r="A452" s="120" t="inlineStr"/>
      <s:c r="B452" s="121" t="n"/>
      <s:c r="C452" s="121" t="n"/>
      <s:c r="D452" s="121" t="n"/>
      <s:c r="E452" s="122" t="n"/>
    </s:row>
    <s:row r="453" hidden="1" ht="1" customHeight="1">
      <s:c r="A453" s="120" t="inlineStr"/>
      <s:c r="B453" s="121" t="n"/>
      <s:c r="C453" s="121" t="n"/>
      <s:c r="D453" s="121" t="n"/>
      <s:c r="E453" s="122" t="n"/>
    </s:row>
    <s:row r="454" hidden="1" ht="1" customHeight="1">
      <s:c r="A454" s="120" t="inlineStr"/>
      <s:c r="B454" s="121" t="n"/>
      <s:c r="C454" s="121" t="n"/>
      <s:c r="D454" s="121" t="n"/>
      <s:c r="E454" s="122" t="n"/>
    </s:row>
    <s:row r="455" hidden="1" ht="1" customHeight="1">
      <s:c r="A455" s="120" t="inlineStr"/>
      <s:c r="B455" s="121" t="n"/>
      <s:c r="C455" s="121" t="n"/>
      <s:c r="D455" s="121" t="n"/>
      <s:c r="E455" s="122" t="n"/>
    </s:row>
    <s:row r="456" hidden="1" ht="1" customHeight="1">
      <s:c r="A456" s="120" t="inlineStr"/>
      <s:c r="B456" s="121" t="n"/>
      <s:c r="C456" s="121" t="n"/>
      <s:c r="D456" s="121" t="n"/>
      <s:c r="E456" s="122" t="n"/>
    </s:row>
    <s:row r="457" hidden="1" ht="1" customHeight="1">
      <s:c r="A457" s="120" t="inlineStr"/>
      <s:c r="B457" s="121" t="n"/>
      <s:c r="C457" s="121" t="n"/>
      <s:c r="D457" s="121" t="n"/>
      <s:c r="E457" s="122" t="n"/>
    </s:row>
    <s:row r="458" hidden="1" ht="1" customHeight="1">
      <s:c r="A458" s="120" t="inlineStr"/>
      <s:c r="B458" s="121" t="n"/>
      <s:c r="C458" s="121" t="n"/>
      <s:c r="D458" s="121" t="n"/>
      <s:c r="E458" s="122" t="n"/>
    </s:row>
    <s:row r="459" hidden="1" ht="1" customHeight="1">
      <s:c r="A459" s="120" t="inlineStr"/>
      <s:c r="B459" s="121" t="n"/>
      <s:c r="C459" s="121" t="n"/>
      <s:c r="D459" s="121" t="n"/>
      <s:c r="E459" s="122" t="n"/>
    </s:row>
    <s:row r="460" hidden="1" ht="1" customHeight="1">
      <s:c r="A460" s="120" t="inlineStr"/>
      <s:c r="B460" s="121" t="n"/>
      <s:c r="C460" s="121" t="n"/>
      <s:c r="D460" s="121" t="n"/>
      <s:c r="E460" s="122" t="n"/>
    </s:row>
    <s:row r="461" hidden="1" ht="1" customHeight="1">
      <s:c r="A461" s="120" t="inlineStr"/>
      <s:c r="B461" s="121" t="n"/>
      <s:c r="C461" s="121" t="n"/>
      <s:c r="D461" s="121" t="n"/>
      <s:c r="E461" s="122" t="n"/>
    </s:row>
    <s:row r="462" hidden="1" ht="1" customHeight="1">
      <s:c r="A462" s="120" t="inlineStr"/>
      <s:c r="B462" s="121" t="n"/>
      <s:c r="C462" s="121" t="n"/>
      <s:c r="D462" s="121" t="n"/>
      <s:c r="E462" s="122" t="n"/>
    </s:row>
    <s:row r="463" hidden="1" ht="1" customHeight="1">
      <s:c r="A463" s="120" t="inlineStr"/>
      <s:c r="B463" s="121" t="n"/>
      <s:c r="C463" s="121" t="n"/>
      <s:c r="D463" s="121" t="n"/>
      <s:c r="E463" s="122" t="n"/>
    </s:row>
    <s:row r="464" hidden="1" ht="1" customHeight="1">
      <s:c r="A464" s="120" t="inlineStr"/>
      <s:c r="B464" s="121" t="n"/>
      <s:c r="C464" s="121" t="n"/>
      <s:c r="D464" s="121" t="n"/>
      <s:c r="E464" s="122" t="n"/>
    </s:row>
    <s:row r="465" hidden="1" ht="1" customHeight="1">
      <s:c r="A465" s="120" t="inlineStr"/>
      <s:c r="B465" s="121" t="n"/>
      <s:c r="C465" s="121" t="n"/>
      <s:c r="D465" s="121" t="n"/>
      <s:c r="E465" s="122" t="n"/>
    </s:row>
    <s:row r="466" hidden="1" ht="1" customHeight="1">
      <s:c r="A466" s="120" t="inlineStr"/>
      <s:c r="B466" s="121" t="n"/>
      <s:c r="C466" s="121" t="n"/>
      <s:c r="D466" s="121" t="n"/>
      <s:c r="E466" s="122" t="n"/>
    </s:row>
    <s:row r="467" hidden="1" ht="1" customHeight="1">
      <s:c r="A467" s="120" t="inlineStr"/>
      <s:c r="B467" s="121" t="n"/>
      <s:c r="C467" s="121" t="n"/>
      <s:c r="D467" s="121" t="n"/>
      <s:c r="E467" s="122" t="n"/>
    </s:row>
    <s:row r="468" hidden="1" ht="1" customHeight="1">
      <s:c r="A468" s="120" t="inlineStr"/>
      <s:c r="B468" s="121" t="n"/>
      <s:c r="C468" s="121" t="n"/>
      <s:c r="D468" s="121" t="n"/>
      <s:c r="E468" s="122" t="n"/>
    </s:row>
    <s:row r="469" hidden="1" ht="1" customHeight="1">
      <s:c r="A469" s="120" t="inlineStr"/>
      <s:c r="B469" s="121" t="n"/>
      <s:c r="C469" s="121" t="n"/>
      <s:c r="D469" s="121" t="n"/>
      <s:c r="E469" s="122" t="n"/>
    </s:row>
    <s:row r="470" hidden="1" ht="1" customHeight="1">
      <s:c r="A470" s="120" t="inlineStr"/>
      <s:c r="B470" s="121" t="n"/>
      <s:c r="C470" s="121" t="n"/>
      <s:c r="D470" s="121" t="n"/>
      <s:c r="E470" s="122" t="n"/>
    </s:row>
    <s:row r="471" hidden="1" ht="1" customHeight="1">
      <s:c r="A471" s="120" t="inlineStr"/>
      <s:c r="B471" s="121" t="n"/>
      <s:c r="C471" s="121" t="n"/>
      <s:c r="D471" s="121" t="n"/>
      <s:c r="E471" s="122" t="n"/>
    </s:row>
    <s:row r="472" hidden="1" ht="1" customHeight="1">
      <s:c r="A472" s="120" t="inlineStr"/>
      <s:c r="B472" s="121" t="n"/>
      <s:c r="C472" s="121" t="n"/>
      <s:c r="D472" s="121" t="n"/>
      <s:c r="E472" s="122" t="n"/>
    </s:row>
    <s:row r="473" hidden="1" ht="1" customHeight="1">
      <s:c r="A473" s="120" t="inlineStr"/>
      <s:c r="B473" s="121" t="n"/>
      <s:c r="C473" s="121" t="n"/>
      <s:c r="D473" s="121" t="n"/>
      <s:c r="E473" s="122" t="n"/>
    </s:row>
    <s:row r="474" hidden="1" ht="1" customHeight="1">
      <s:c r="A474" s="120" t="inlineStr"/>
      <s:c r="B474" s="121" t="n"/>
      <s:c r="C474" s="121" t="n"/>
      <s:c r="D474" s="121" t="n"/>
      <s:c r="E474" s="122" t="n"/>
    </s:row>
    <s:row r="475" hidden="1" ht="1" customHeight="1">
      <s:c r="A475" s="120" t="inlineStr"/>
      <s:c r="B475" s="121" t="n"/>
      <s:c r="C475" s="121" t="n"/>
      <s:c r="D475" s="121" t="n"/>
      <s:c r="E475" s="122" t="n"/>
    </s:row>
    <s:row r="476" hidden="1" ht="1" customHeight="1">
      <s:c r="A476" s="120" t="inlineStr"/>
      <s:c r="B476" s="121" t="n"/>
      <s:c r="C476" s="121" t="n"/>
      <s:c r="D476" s="121" t="n"/>
      <s:c r="E476" s="122" t="n"/>
    </s:row>
    <s:row r="477" hidden="1" ht="1" customHeight="1">
      <s:c r="A477" s="120" t="inlineStr"/>
      <s:c r="B477" s="121" t="n"/>
      <s:c r="C477" s="121" t="n"/>
      <s:c r="D477" s="121" t="n"/>
      <s:c r="E477" s="122" t="n"/>
    </s:row>
    <s:row r="478" hidden="1" ht="1" customHeight="1">
      <s:c r="A478" s="120" t="inlineStr"/>
      <s:c r="B478" s="121" t="n"/>
      <s:c r="C478" s="121" t="n"/>
      <s:c r="D478" s="121" t="n"/>
      <s:c r="E478" s="122" t="n"/>
    </s:row>
    <s:row r="479" hidden="1" ht="1" customHeight="1">
      <s:c r="A479" s="120" t="inlineStr"/>
      <s:c r="B479" s="121" t="n"/>
      <s:c r="C479" s="121" t="n"/>
      <s:c r="D479" s="121" t="n"/>
      <s:c r="E479" s="122" t="n"/>
    </s:row>
    <s:row r="480" hidden="1" ht="1" customHeight="1">
      <s:c r="A480" s="120" t="inlineStr"/>
      <s:c r="B480" s="121" t="n"/>
      <s:c r="C480" s="121" t="n"/>
      <s:c r="D480" s="121" t="n"/>
      <s:c r="E480" s="122" t="n"/>
    </s:row>
    <s:row r="481" hidden="1" ht="1" customHeight="1">
      <s:c r="A481" s="120" t="inlineStr"/>
      <s:c r="B481" s="121" t="n"/>
      <s:c r="C481" s="121" t="n"/>
      <s:c r="D481" s="121" t="n"/>
      <s:c r="E481" s="122" t="n"/>
    </s:row>
    <s:row r="482" hidden="1" ht="1" customHeight="1">
      <s:c r="A482" s="120" t="inlineStr"/>
      <s:c r="B482" s="121" t="n"/>
      <s:c r="C482" s="121" t="n"/>
      <s:c r="D482" s="121" t="n"/>
      <s:c r="E482" s="122" t="n"/>
    </s:row>
    <s:row r="483" hidden="1" ht="1" customHeight="1">
      <s:c r="A483" s="120" t="inlineStr"/>
      <s:c r="B483" s="121" t="n"/>
      <s:c r="C483" s="121" t="n"/>
      <s:c r="D483" s="121" t="n"/>
      <s:c r="E483" s="122" t="n"/>
    </s:row>
    <s:row r="484" hidden="1" ht="1" customHeight="1">
      <s:c r="A484" s="120" t="inlineStr"/>
      <s:c r="B484" s="121" t="n"/>
      <s:c r="C484" s="121" t="n"/>
      <s:c r="D484" s="121" t="n"/>
      <s:c r="E484" s="122" t="n"/>
    </s:row>
    <s:row r="485" hidden="1" ht="1" customHeight="1">
      <s:c r="A485" s="120" t="inlineStr"/>
      <s:c r="B485" s="121" t="n"/>
      <s:c r="C485" s="121" t="n"/>
      <s:c r="D485" s="121" t="n"/>
      <s:c r="E485" s="122" t="n"/>
    </s:row>
    <s:row r="486" hidden="1" ht="1" customHeight="1">
      <s:c r="A486" s="120" t="inlineStr"/>
      <s:c r="B486" s="121" t="n"/>
      <s:c r="C486" s="121" t="n"/>
      <s:c r="D486" s="121" t="n"/>
      <s:c r="E486" s="122" t="n"/>
    </s:row>
    <s:row r="487" hidden="1" ht="1" customHeight="1">
      <s:c r="A487" s="120" t="inlineStr"/>
      <s:c r="B487" s="121" t="n"/>
      <s:c r="C487" s="121" t="n"/>
      <s:c r="D487" s="121" t="n"/>
      <s:c r="E487" s="122" t="n"/>
    </s:row>
    <s:row r="488" hidden="1" ht="1" customHeight="1">
      <s:c r="A488" s="120" t="inlineStr"/>
      <s:c r="B488" s="121" t="n"/>
      <s:c r="C488" s="121" t="n"/>
      <s:c r="D488" s="121" t="n"/>
      <s:c r="E488" s="122" t="n"/>
    </s:row>
    <s:row r="489" hidden="1" ht="1" customHeight="1">
      <s:c r="A489" s="120" t="inlineStr"/>
      <s:c r="B489" s="121" t="n"/>
      <s:c r="C489" s="121" t="n"/>
      <s:c r="D489" s="121" t="n"/>
      <s:c r="E489" s="122" t="n"/>
    </s:row>
    <s:row r="490" hidden="1" ht="1" customHeight="1">
      <s:c r="A490" s="120" t="inlineStr"/>
      <s:c r="B490" s="121" t="n"/>
      <s:c r="C490" s="121" t="n"/>
      <s:c r="D490" s="121" t="n"/>
      <s:c r="E490" s="122" t="n"/>
    </s:row>
    <s:row r="491" hidden="1" ht="1" customHeight="1">
      <s:c r="A491" s="120" t="inlineStr"/>
      <s:c r="B491" s="121" t="n"/>
      <s:c r="C491" s="121" t="n"/>
      <s:c r="D491" s="121" t="n"/>
      <s:c r="E491" s="122" t="n"/>
    </s:row>
    <s:row r="492" hidden="1" ht="1" customHeight="1">
      <s:c r="A492" s="120" t="inlineStr"/>
      <s:c r="B492" s="121" t="n"/>
      <s:c r="C492" s="121" t="n"/>
      <s:c r="D492" s="121" t="n"/>
      <s:c r="E492" s="122" t="n"/>
    </s:row>
    <s:row r="493" hidden="1" ht="1" customHeight="1">
      <s:c r="A493" s="120" t="inlineStr"/>
      <s:c r="B493" s="121" t="n"/>
      <s:c r="C493" s="121" t="n"/>
      <s:c r="D493" s="121" t="n"/>
      <s:c r="E493" s="122" t="n"/>
    </s:row>
    <s:row r="494" hidden="1" ht="1" customHeight="1">
      <s:c r="A494" s="120" t="inlineStr"/>
      <s:c r="B494" s="121" t="n"/>
      <s:c r="C494" s="121" t="n"/>
      <s:c r="D494" s="121" t="n"/>
      <s:c r="E494" s="122" t="n"/>
    </s:row>
    <s:row r="495" hidden="1" ht="1" customHeight="1">
      <s:c r="A495" s="120" t="inlineStr"/>
      <s:c r="B495" s="121" t="n"/>
      <s:c r="C495" s="121" t="n"/>
      <s:c r="D495" s="121" t="n"/>
      <s:c r="E495" s="122" t="n"/>
    </s:row>
    <s:row r="496" hidden="1" ht="1" customHeight="1">
      <s:c r="A496" s="120" t="inlineStr"/>
      <s:c r="B496" s="121" t="n"/>
      <s:c r="C496" s="121" t="n"/>
      <s:c r="D496" s="121" t="n"/>
      <s:c r="E496" s="122" t="n"/>
    </s:row>
    <s:row r="497" hidden="1" ht="1" customHeight="1">
      <s:c r="A497" s="120" t="inlineStr"/>
      <s:c r="B497" s="121" t="n"/>
      <s:c r="C497" s="121" t="n"/>
      <s:c r="D497" s="121" t="n"/>
      <s:c r="E497" s="122" t="n"/>
    </s:row>
    <s:row r="498" hidden="1" ht="1" customHeight="1">
      <s:c r="A498" s="120" t="inlineStr"/>
      <s:c r="B498" s="121" t="n"/>
      <s:c r="C498" s="121" t="n"/>
      <s:c r="D498" s="121" t="n"/>
      <s:c r="E498" s="122" t="n"/>
    </s:row>
    <s:row r="499" hidden="1" ht="1" customHeight="1">
      <s:c r="A499" s="120" t="inlineStr"/>
      <s:c r="B499" s="121" t="n"/>
      <s:c r="C499" s="121" t="n"/>
      <s:c r="D499" s="121" t="n"/>
      <s:c r="E499" s="122" t="n"/>
    </s:row>
    <s:row r="500" hidden="1" ht="1" customHeight="1">
      <s:c r="A500" s="120" t="inlineStr"/>
      <s:c r="B500" s="121" t="n"/>
      <s:c r="C500" s="121" t="n"/>
      <s:c r="D500" s="121" t="n"/>
      <s:c r="E500" s="122" t="n"/>
    </s:row>
    <s:row r="501" hidden="1" ht="1" customHeight="1">
      <s:c r="A501" s="120" t="inlineStr"/>
      <s:c r="B501" s="121" t="n"/>
      <s:c r="C501" s="121" t="n"/>
      <s:c r="D501" s="121" t="n"/>
      <s:c r="E501" s="122" t="n"/>
    </s:row>
    <s:row r="502" hidden="1" ht="1" customHeight="1">
      <s:c r="A502" s="120" t="inlineStr"/>
      <s:c r="B502" s="121" t="n"/>
      <s:c r="C502" s="121" t="n"/>
      <s:c r="D502" s="121" t="n"/>
      <s:c r="E502" s="122" t="n"/>
    </s:row>
    <s:row r="503" hidden="1" ht="1" customHeight="1">
      <s:c r="A503" s="120" t="inlineStr"/>
      <s:c r="B503" s="121" t="n"/>
      <s:c r="C503" s="121" t="n"/>
      <s:c r="D503" s="121" t="n"/>
      <s:c r="E503" s="122" t="n"/>
    </s:row>
    <s:row r="504" hidden="1" ht="1" customHeight="1">
      <s:c r="A504" s="120" t="inlineStr"/>
      <s:c r="B504" s="121" t="n"/>
      <s:c r="C504" s="121" t="n"/>
      <s:c r="D504" s="121" t="n"/>
      <s:c r="E504" s="122" t="n"/>
    </s:row>
    <s:row r="505" hidden="1" ht="1" customHeight="1">
      <s:c r="A505" s="120" t="inlineStr"/>
      <s:c r="B505" s="121" t="n"/>
      <s:c r="C505" s="121" t="n"/>
      <s:c r="D505" s="121" t="n"/>
      <s:c r="E505" s="122" t="n"/>
    </s:row>
    <s:row r="506" hidden="1" ht="1" customHeight="1">
      <s:c r="A506" s="120" t="inlineStr"/>
      <s:c r="B506" s="121" t="n"/>
      <s:c r="C506" s="121" t="n"/>
      <s:c r="D506" s="121" t="n"/>
      <s:c r="E506" s="122" t="n"/>
    </s:row>
    <s:row r="507" hidden="1" ht="1" customHeight="1">
      <s:c r="A507" s="120" t="inlineStr"/>
      <s:c r="B507" s="121" t="n"/>
      <s:c r="C507" s="121" t="n"/>
      <s:c r="D507" s="121" t="n"/>
      <s:c r="E507" s="122" t="n"/>
    </s:row>
    <s:row r="508" hidden="1" ht="1" customHeight="1">
      <s:c r="A508" s="120" t="inlineStr"/>
      <s:c r="B508" s="121" t="n"/>
      <s:c r="C508" s="121" t="n"/>
      <s:c r="D508" s="121" t="n"/>
      <s:c r="E508" s="122" t="n"/>
    </s:row>
    <s:row r="509" hidden="1" ht="1" customHeight="1">
      <s:c r="A509" s="120" t="inlineStr"/>
      <s:c r="B509" s="121" t="n"/>
      <s:c r="C509" s="121" t="n"/>
      <s:c r="D509" s="121" t="n"/>
      <s:c r="E509" s="122" t="n"/>
    </s:row>
    <s:row r="510" hidden="1" ht="1" customHeight="1">
      <s:c r="A510" s="120" t="inlineStr"/>
      <s:c r="B510" s="121" t="n"/>
      <s:c r="C510" s="121" t="n"/>
      <s:c r="D510" s="121" t="n"/>
      <s:c r="E510" s="122" t="n"/>
    </s:row>
    <s:row r="511" hidden="1" ht="1" customHeight="1">
      <s:c r="A511" s="120" t="inlineStr"/>
      <s:c r="B511" s="121" t="n"/>
      <s:c r="C511" s="121" t="n"/>
      <s:c r="D511" s="121" t="n"/>
      <s:c r="E511" s="122" t="n"/>
    </s:row>
    <s:row r="512" hidden="1" ht="1" customHeight="1">
      <s:c r="A512" s="120" t="inlineStr"/>
      <s:c r="B512" s="121" t="n"/>
      <s:c r="C512" s="121" t="n"/>
      <s:c r="D512" s="121" t="n"/>
      <s:c r="E512" s="122" t="n"/>
    </s:row>
    <s:row r="513" hidden="1" ht="1" customHeight="1">
      <s:c r="A513" s="120" t="inlineStr"/>
      <s:c r="B513" s="121" t="n"/>
      <s:c r="C513" s="121" t="n"/>
      <s:c r="D513" s="121" t="n"/>
      <s:c r="E513" s="122" t="n"/>
    </s:row>
    <s:row r="514" hidden="1" ht="1" customHeight="1">
      <s:c r="A514" s="120" t="inlineStr"/>
      <s:c r="B514" s="121" t="n"/>
      <s:c r="C514" s="121" t="n"/>
      <s:c r="D514" s="121" t="n"/>
      <s:c r="E514" s="122" t="n"/>
    </s:row>
    <s:row r="515" hidden="1" ht="1" customHeight="1">
      <s:c r="A515" s="120" t="inlineStr"/>
      <s:c r="B515" s="121" t="n"/>
      <s:c r="C515" s="121" t="n"/>
      <s:c r="D515" s="121" t="n"/>
      <s:c r="E515" s="122" t="n"/>
    </s:row>
    <s:row r="516" hidden="1" ht="1" customHeight="1">
      <s:c r="A516" s="120" t="inlineStr"/>
      <s:c r="B516" s="121" t="n"/>
      <s:c r="C516" s="121" t="n"/>
      <s:c r="D516" s="121" t="n"/>
      <s:c r="E516" s="122" t="n"/>
    </s:row>
    <s:row r="517" hidden="1" ht="1" customHeight="1">
      <s:c r="A517" s="120" t="inlineStr"/>
      <s:c r="B517" s="121" t="n"/>
      <s:c r="C517" s="121" t="n"/>
      <s:c r="D517" s="121" t="n"/>
      <s:c r="E517" s="122" t="n"/>
    </s:row>
    <s:row r="518" hidden="1" ht="1" customHeight="1">
      <s:c r="A518" s="120" t="inlineStr"/>
      <s:c r="B518" s="121" t="n"/>
      <s:c r="C518" s="121" t="n"/>
      <s:c r="D518" s="121" t="n"/>
      <s:c r="E518" s="122" t="n"/>
    </s:row>
    <s:row r="519" hidden="1" ht="1" customHeight="1">
      <s:c r="A519" s="120" t="inlineStr"/>
      <s:c r="B519" s="121" t="n"/>
      <s:c r="C519" s="121" t="n"/>
      <s:c r="D519" s="121" t="n"/>
      <s:c r="E519" s="122" t="n"/>
    </s:row>
    <s:row r="520" hidden="1" ht="1" customHeight="1">
      <s:c r="A520" s="120" t="inlineStr"/>
      <s:c r="B520" s="121" t="n"/>
      <s:c r="C520" s="121" t="n"/>
      <s:c r="D520" s="121" t="n"/>
      <s:c r="E520" s="122" t="n"/>
    </s:row>
    <s:row r="521" hidden="1" ht="1" customHeight="1">
      <s:c r="A521" s="120" t="inlineStr"/>
      <s:c r="B521" s="121" t="n"/>
      <s:c r="C521" s="121" t="n"/>
      <s:c r="D521" s="121" t="n"/>
      <s:c r="E521" s="122" t="n"/>
    </s:row>
    <s:row r="522" hidden="1" ht="1" customHeight="1">
      <s:c r="A522" s="120" t="inlineStr"/>
      <s:c r="B522" s="121" t="n"/>
      <s:c r="C522" s="121" t="n"/>
      <s:c r="D522" s="121" t="n"/>
      <s:c r="E522" s="122" t="n"/>
    </s:row>
    <s:row r="523" hidden="1" ht="1" customHeight="1">
      <s:c r="A523" s="120" t="inlineStr"/>
      <s:c r="B523" s="121" t="n"/>
      <s:c r="C523" s="121" t="n"/>
      <s:c r="D523" s="121" t="n"/>
      <s:c r="E523" s="122" t="n"/>
    </s:row>
    <s:row r="524" hidden="1" ht="1" customHeight="1">
      <s:c r="A524" s="120" t="inlineStr"/>
      <s:c r="B524" s="121" t="n"/>
      <s:c r="C524" s="121" t="n"/>
      <s:c r="D524" s="121" t="n"/>
      <s:c r="E524" s="122" t="n"/>
    </s:row>
    <s:row r="525" hidden="1" ht="1" customHeight="1">
      <s:c r="A525" s="120" t="inlineStr"/>
      <s:c r="B525" s="121" t="n"/>
      <s:c r="C525" s="121" t="n"/>
      <s:c r="D525" s="121" t="n"/>
      <s:c r="E525" s="122" t="n"/>
    </s:row>
    <s:row r="526" hidden="1" ht="1" customHeight="1">
      <s:c r="A526" s="120" t="inlineStr"/>
      <s:c r="B526" s="121" t="n"/>
      <s:c r="C526" s="121" t="n"/>
      <s:c r="D526" s="121" t="n"/>
      <s:c r="E526" s="122" t="n"/>
    </s:row>
    <s:row r="527" hidden="1" ht="1" customHeight="1">
      <s:c r="A527" s="120" t="inlineStr"/>
      <s:c r="B527" s="121" t="n"/>
      <s:c r="C527" s="121" t="n"/>
      <s:c r="D527" s="121" t="n"/>
      <s:c r="E527" s="122" t="n"/>
    </s:row>
    <s:row r="528" hidden="1" ht="1" customHeight="1">
      <s:c r="A528" s="120" t="inlineStr"/>
      <s:c r="B528" s="121" t="n"/>
      <s:c r="C528" s="121" t="n"/>
      <s:c r="D528" s="121" t="n"/>
      <s:c r="E528" s="122" t="n"/>
    </s:row>
    <s:row r="529" hidden="1" ht="1" customHeight="1">
      <s:c r="A529" s="120" t="inlineStr"/>
      <s:c r="B529" s="121" t="n"/>
      <s:c r="C529" s="121" t="n"/>
      <s:c r="D529" s="121" t="n"/>
      <s:c r="E529" s="122" t="n"/>
    </s:row>
    <s:row r="530" hidden="1" ht="1" customHeight="1">
      <s:c r="A530" s="120" t="inlineStr"/>
      <s:c r="B530" s="121" t="n"/>
      <s:c r="C530" s="121" t="n"/>
      <s:c r="D530" s="121" t="n"/>
      <s:c r="E530" s="122" t="n"/>
    </s:row>
    <s:row r="531" hidden="1" ht="1" customHeight="1">
      <s:c r="A531" s="83" t="inlineStr">
        <s:is>
          <s:t>PASS</s:t>
        </s:is>
      </s:c>
      <s:c r="B531" s="83">
        <s:f>SUM(IF(EXACT('Kiểm thử'!E431,"Đạt"),1,0),IF(EXACT('Kiểm thử'!E433,"Đạt"),1,0))</s:f>
        <s:v/>
      </s:c>
      <s:c r="C531" s="19" t="n"/>
      <s:c r="D531" s="19" t="n"/>
      <s:c r="E531" s="19" t="n"/>
    </s:row>
    <s:row r="532" hidden="1" ht="1" customHeight="1">
      <s:c r="A532" s="83" t="inlineStr">
        <s:is>
          <s:t>FAIL</s:t>
        </s:is>
      </s:c>
      <s:c r="B532" s="83">
        <s:f>SUM(IF(EXACT('Kiểm thử'!E431,"Không đạt"),1,0),IF(EXACT('Kiểm thử'!E433,"Không đạt"),1,0))</s:f>
        <s:v/>
      </s:c>
      <s:c r="C532" s="19" t="n"/>
      <s:c r="D532" s="19" t="n"/>
      <s:c r="E532" s="19" t="n"/>
    </s:row>
    <s:row r="533" hidden="1" ht="1" customHeight="1">
      <s:c r="A533" s="83" t="inlineStr">
        <s:is>
          <s:t>BLOCKED</s:t>
        </s:is>
      </s:c>
      <s:c r="B533" s="83">
        <s:f>SUM(IF(EXACT('Kiểm thử'!E431,"Bị chặn"),1,0),IF(EXACT('Kiểm thử'!E433,"Bị chặn"),1,0))</s:f>
        <s:v/>
      </s:c>
      <s:c r="C533" s="19" t="n"/>
      <s:c r="D533" s="19" t="n"/>
      <s:c r="E533" s="19" t="n"/>
    </s:row>
    <s:row r="534" hidden="1" ht="1" customHeight="1">
      <s:c r="A534" s="83" t="inlineStr">
        <s:is>
          <s:t>SKIPPED</s:t>
        </s:is>
      </s:c>
      <s:c r="B534" s="83">
        <s:f>SUM(IF(EXACT('Kiểm thử'!E431,"Không thực hiện"),1,0),IF(EXACT('Kiểm thử'!E433,"Không thực hiện"),1,0))</s:f>
        <s:v/>
      </s:c>
      <s:c r="C534" s="19" t="n"/>
      <s:c r="D534" s="19" t="n"/>
      <s:c r="E534" s="19" t="n"/>
    </s:row>
    <s:row r="535" hidden="1" ht="1" customHeight="1">
      <s:c r="A535" s="83" t="inlineStr">
        <s:is>
          <s:t>NOT RUN</s:t>
        </s:is>
      </s:c>
      <s:c r="B535" s="83">
        <s:f>SUM(IF(EXACT('Kiểm thử'!E431,"Chưa thực hiện"),1,0),IF(EXACT('Kiểm thử'!E433,"Chưa thực hiện"),1,0))</s:f>
        <s:v/>
      </s:c>
      <s:c r="C535" s="19" t="n"/>
      <s:c r="D535" s="19" t="n"/>
      <s:c r="E535" s="19" t="n"/>
    </s:row>
    <s:row r="536" hidden="1" ht="6" customHeight="1">
      <s:c r="A536" s="83" t="inlineStr"/>
      <s:c r="B536" s="19" t="n"/>
      <s:c r="C536" s="19" t="n"/>
      <s:c r="D536" s="19" t="n"/>
      <s:c r="E536" s="19" t="n"/>
    </s:row>
    <s:row r="537" ht="28" customHeight="1">
      <s:c r="A537" s="108" t="inlineStr">
        <s:is>
          <s:t>TC-RS-FUNC-007 — Quay lại（戻る）/hủy chỉnh sửa không lưu dữ liệu đang nhập</s:t>
        </s:is>
      </s:c>
      <s:c r="B537" s="111" t="n"/>
      <s:c r="C537" s="111" t="n"/>
      <s:c r="D537" s="111" t="n"/>
      <s:c r="E537" s="111" t="n"/>
    </s:row>
    <s:row r="538" ht="20" customHeight="1">
      <s:c r="A538" s="112" t="inlineStr">
        <s:is>
          <s:t>Kết quả tình huống</s:t>
        </s:is>
      </s:c>
      <s:c r="B538" s="113">
        <s:f>IF(SUM(IF(EXACT('Kiểm thử'!E547,"Không đạt"),1,0),IF(EXACT('Kiểm thử'!E549,"Không đạt"),1,0))&gt;0,"Không đạt",IF(SUM(IF(EXACT('Kiểm thử'!E547,"Đạt"),1,0),IF(EXACT('Kiểm thử'!E549,"Đạt"),1,0))=2,"Đạt",IF(SUM(IF(EXACT('Kiểm thử'!E547,"Không thực hiện"),1,0),IF(EXACT('Kiểm thử'!E549,"Không thực hiện"),1,0))=2,"Không thực hiện",IF(SUM(IF(EXACT('Kiểm thử'!E547,"Bị chặn"),1,0),IF(EXACT('Kiểm thử'!E549,"Bị chặn"),1,0))&gt;0,"Bị chặn",IF(SUM(IF(EXACT('Kiểm thử'!E547,"Chưa thực hiện"),1,0),IF(EXACT('Kiểm thử'!E549,"Chưa thực hiện"),1,0))=2,"Chưa thực hiện","Đang thực hiện")))))</s:f>
        <s:v/>
      </s:c>
      <s:c r="C538" s="114" t="n"/>
      <s:c r="D538" s="114" t="n"/>
      <s:c r="E538" s="114" t="n"/>
    </s:row>
    <s:row r="539" ht="20" customHeight="1">
      <s:c r="A539" s="112" t="inlineStr">
        <s:is>
          <s:t>Màn hình / chức năng</s:t>
        </s:is>
      </s:c>
      <s:c r="B539" s="113" t="inlineStr">
        <s:is>
          <s:r>
            <s:rPr>
              <s:b val="1"/>
            </s:rPr>
            <s:t>Thiết lập điểm đỏ（赤点設定）</s:t>
          </s:r>
        </s:is>
      </s:c>
      <s:c r="C539" s="28" t="n"/>
      <s:c r="D539" s="28" t="n"/>
      <s:c r="E539" s="28" t="n"/>
    </s:row>
    <s:row r="540" ht="20" customHeight="1">
      <s:c r="A540" s="112" t="inlineStr">
        <s:is>
          <s:t>Cấu hình</s:t>
        </s:is>
      </s:c>
      <s:c r="B540" s="113" t="inlineStr">
        <s:is>
          <s:r>
            <s:t>• Mục số nguyên (</s:t>
          </s:r>
          <s:r>
            <s:rPr>
              <s:b val="1"/>
            </s:rPr>
            <s:t>M=100</s:t>
          </s:r>
          <s:r>
            <s:t>) có quy tắc “Cố định 30” (dưới 30).</s:t>
          </s:r>
        </s:is>
      </s:c>
      <s:c r="C540" s="28" t="n"/>
      <s:c r="D540" s="28" t="n"/>
      <s:c r="E540" s="28" t="n"/>
    </s:row>
    <s:row r="541" ht="34" customHeight="1">
      <s:c r="A541" s="112" t="inlineStr">
        <s:is>
          <s:t>Dữ liệu test</s:t>
        </s:is>
      </s:c>
      <s:c r="B541" s="113" t="inlineStr">
        <s:is>
          <s:r>
            <s:t>• Mục số nguyên (</s:t>
          </s:r>
          <s:r>
            <s:rPr>
              <s:b val="1"/>
            </s:rPr>
            <s:t>M=100</s:t>
          </s:r>
          <s:r>
            <s:t>);
• Quy tắc “Cố định 30” (dưới 30)</s:t>
          </s:r>
        </s:is>
      </s:c>
      <s:c r="C541" s="28" t="n"/>
      <s:c r="D541" s="28" t="n"/>
      <s:c r="E541" s="28" t="n"/>
    </s:row>
    <s:row r="542" ht="20" customHeight="1">
      <s:c r="A542" s="112" t="inlineStr">
        <s:is>
          <s:t>Bước 1</s:t>
        </s:is>
      </s:c>
      <s:c r="B542" s="113" t="inlineStr">
        <s:is>
          <s:r>
            <s:t xml:space="preserve">Khôi phục quy tắc “Cố định 30” với ngưỡng 30, </s:t>
          </s:r>
          <s:r>
            <s:rPr>
              <s:b val="1"/>
            </s:rPr>
            <s:t>Nhỏ hơn（未満）</s:t>
          </s:r>
          <s:r>
            <s:t xml:space="preserve"> và tên đã lưu trước mỗi trường hợp.</s:t>
          </s:r>
        </s:is>
      </s:c>
      <s:c r="C542" s="28" t="n"/>
      <s:c r="D542" s="28" t="n"/>
      <s:c r="E542" s="28" t="n"/>
    </s:row>
    <s:row r="543" ht="20" customHeight="1">
      <s:c r="A543" s="112" t="inlineStr">
        <s:is>
          <s:t>Bước 2</s:t>
        </s:is>
      </s:c>
      <s:c r="B543" s="113" t="inlineStr">
        <s:is>
          <s:r>
            <s:t xml:space="preserve">Mở màn và thay giá trị theo trường hợp đang chạy, </s:t>
          </s:r>
          <s:r>
            <s:rPr>
              <s:b val="1"/>
            </s:rPr>
            <s:t>chưa bấm Cập nhật（更新する）</s:t>
          </s:r>
          <s:r>
            <s:t>.</s:t>
          </s:r>
        </s:is>
      </s:c>
      <s:c r="C543" s="28" t="n"/>
      <s:c r="D543" s="28" t="n"/>
      <s:c r="E543" s="28" t="n"/>
    </s:row>
    <s:row r="544" ht="20" customHeight="1">
      <s:c r="A544" s="112" t="inlineStr">
        <s:is>
          <s:t>Bước 3</s:t>
        </s:is>
      </s:c>
      <s:c r="B544" s="113" t="inlineStr">
        <s:is>
          <s:r>
            <s:rPr>
              <s:b val="1"/>
            </s:rPr>
            <s:t>Bấm Quay lại（戻る）</s:t>
          </s:r>
          <s:r>
            <s:t>, rồi mở lại hai màn và đối chiếu danh sách.</s:t>
          </s:r>
        </s:is>
      </s:c>
      <s:c r="C544" s="28" t="n"/>
      <s:c r="D544" s="28" t="n"/>
      <s:c r="E544" s="28" t="n"/>
    </s:row>
    <s:row r="545" ht="28" customHeight="1">
      <s:c r="A545" s="115" t="inlineStr">
        <s:is>
          <s:t>Trường hợp</s:t>
        </s:is>
      </s:c>
      <s:c r="B545" s="115" t="inlineStr">
        <s:is>
          <s:t>Dữ liệu / thao tác riêng</s:t>
        </s:is>
      </s:c>
      <s:c r="C545" s="115" t="inlineStr">
        <s:is>
          <s:t>Kết quả mong đợi</s:t>
        </s:is>
      </s:c>
      <s:c r="D545" s="115" t="inlineStr">
        <s:is>
          <s:t>Kết quả thực tế</s:t>
        </s:is>
      </s:c>
      <s:c r="E545" s="115" t="inlineStr">
        <s:is>
          <s:t>Đánh giá</s:t>
        </s:is>
      </s:c>
    </s:row>
    <s:row r="546" ht="3" customHeight="1">
      <s:c r="A546" s="102" t="inlineStr"/>
      <s:c r="B546" s="99" t="n"/>
      <s:c r="C546" s="99" t="n"/>
      <s:c r="D546" s="116" t="n"/>
      <s:c r="E546" s="116" t="n"/>
    </s:row>
    <s:row r="547" ht="62" customHeight="1">
      <s:c r="A547" s="83" t="inlineStr">
        <s:is>
          <s:t>Quay lại từ màn ngưỡng (back-threshold)</s:t>
        </s:is>
      </s:c>
      <s:c r="B547" s="83" t="inlineStr">
        <s:is>
          <s:r>
            <s:rPr>
              <s:b val="1"/>
            </s:rPr>
            <s:t>Mở Ngưỡng（基準設定）</s:t>
          </s:r>
          <s:r>
            <s:t xml:space="preserve">, đổi 30 thành 35 và chọn </s:t>
          </s:r>
          <s:r>
            <s:rPr>
              <s:b val="1"/>
            </s:rPr>
            <s:t>Nhỏ hơn hoặc bằng（以下）</s:t>
          </s:r>
          <s:r>
            <s:t>; bấm Quay lại, không lưu.</s:t>
          </s:r>
        </s:is>
      </s:c>
      <s:c r="C547" s="83" t="inlineStr">
        <s:is>
          <s:t>Danh sách và hai màn vẫn hiện giá trị đã lưu trước đó (30, Nhỏ hơn, tên cũ).</s:t>
        </s:is>
      </s:c>
      <s:c r="D547" s="117" t="inlineStr"/>
      <s:c r="E547" s="118" t="inlineStr">
        <s:is>
          <s:t>Chưa thực hiện</s:t>
        </s:is>
      </s:c>
    </s:row>
    <s:row r="548" ht="3" customHeight="1">
      <s:c r="A548" s="102" t="inlineStr"/>
      <s:c r="B548" s="99" t="n"/>
      <s:c r="C548" s="99" t="n"/>
      <s:c r="D548" s="116" t="n"/>
      <s:c r="E548" s="116" t="n"/>
    </s:row>
    <s:row r="549" ht="48" customHeight="1">
      <s:c r="A549" s="83" t="inlineStr">
        <s:is>
          <s:t>Quay lại từ màn điều kiện (back-condition)</s:t>
        </s:is>
      </s:c>
      <s:c r="B549" s="83" t="inlineStr">
        <s:is>
          <s:r>
            <s:t xml:space="preserve">Mở </s:t>
          </s:r>
          <s:r>
            <s:rPr>
              <s:b val="1"/>
            </s:rPr>
            <s:t>Điều kiện áp dụng（適用条件）</s:t>
          </s:r>
          <s:r>
            <s:t>, đổi tên rồi bấm Quay lại, không lưu.</s:t>
          </s:r>
        </s:is>
      </s:c>
      <s:c r="C549" s="83" t="inlineStr">
        <s:is>
          <s:t>Danh sách và hai màn vẫn hiện giá trị đã lưu trước đó (30, Nhỏ hơn, tên cũ).</s:t>
        </s:is>
      </s:c>
      <s:c r="D549" s="117" t="inlineStr"/>
      <s:c r="E549" s="118" t="inlineStr">
        <s:is>
          <s:t>Chưa thực hiện</s:t>
        </s:is>
      </s:c>
    </s:row>
    <s:row r="550" ht="20" customHeight="1">
      <s:c r="A550" s="119" t="inlineStr">
        <s:is>
          <s:t>Ảnh minh chứng — Chưa có ảnh</s:t>
        </s:is>
      </s:c>
      <s:c r="B550" s="19" t="n"/>
      <s:c r="C550" s="19" t="n"/>
      <s:c r="D550" s="19" t="n"/>
      <s:c r="E550" s="19" t="n"/>
    </s:row>
    <s:row r="551" hidden="1" ht="1" customHeight="1">
      <s:c r="A551" s="120" t="inlineStr"/>
      <s:c r="B551" s="121" t="n"/>
      <s:c r="C551" s="121" t="n"/>
      <s:c r="D551" s="121" t="n"/>
      <s:c r="E551" s="122" t="n"/>
    </s:row>
    <s:row r="552" hidden="1" ht="1" customHeight="1">
      <s:c r="A552" s="120" t="inlineStr"/>
      <s:c r="B552" s="121" t="n"/>
      <s:c r="C552" s="121" t="n"/>
      <s:c r="D552" s="121" t="n"/>
      <s:c r="E552" s="122" t="n"/>
    </s:row>
    <s:row r="553" hidden="1" ht="1" customHeight="1">
      <s:c r="A553" s="120" t="inlineStr"/>
      <s:c r="B553" s="121" t="n"/>
      <s:c r="C553" s="121" t="n"/>
      <s:c r="D553" s="121" t="n"/>
      <s:c r="E553" s="122" t="n"/>
    </s:row>
    <s:row r="554" hidden="1" ht="1" customHeight="1">
      <s:c r="A554" s="120" t="inlineStr"/>
      <s:c r="B554" s="121" t="n"/>
      <s:c r="C554" s="121" t="n"/>
      <s:c r="D554" s="121" t="n"/>
      <s:c r="E554" s="122" t="n"/>
    </s:row>
    <s:row r="555" hidden="1" ht="1" customHeight="1">
      <s:c r="A555" s="120" t="inlineStr"/>
      <s:c r="B555" s="121" t="n"/>
      <s:c r="C555" s="121" t="n"/>
      <s:c r="D555" s="121" t="n"/>
      <s:c r="E555" s="122" t="n"/>
    </s:row>
    <s:row r="556" hidden="1" ht="1" customHeight="1">
      <s:c r="A556" s="120" t="inlineStr"/>
      <s:c r="B556" s="121" t="n"/>
      <s:c r="C556" s="121" t="n"/>
      <s:c r="D556" s="121" t="n"/>
      <s:c r="E556" s="122" t="n"/>
    </s:row>
    <s:row r="557" hidden="1" ht="1" customHeight="1">
      <s:c r="A557" s="120" t="inlineStr"/>
      <s:c r="B557" s="121" t="n"/>
      <s:c r="C557" s="121" t="n"/>
      <s:c r="D557" s="121" t="n"/>
      <s:c r="E557" s="122" t="n"/>
    </s:row>
    <s:row r="558" hidden="1" ht="1" customHeight="1">
      <s:c r="A558" s="120" t="inlineStr"/>
      <s:c r="B558" s="121" t="n"/>
      <s:c r="C558" s="121" t="n"/>
      <s:c r="D558" s="121" t="n"/>
      <s:c r="E558" s="122" t="n"/>
    </s:row>
    <s:row r="559" hidden="1" ht="1" customHeight="1">
      <s:c r="A559" s="120" t="inlineStr"/>
      <s:c r="B559" s="121" t="n"/>
      <s:c r="C559" s="121" t="n"/>
      <s:c r="D559" s="121" t="n"/>
      <s:c r="E559" s="122" t="n"/>
    </s:row>
    <s:row r="560" hidden="1" ht="1" customHeight="1">
      <s:c r="A560" s="120" t="inlineStr"/>
      <s:c r="B560" s="121" t="n"/>
      <s:c r="C560" s="121" t="n"/>
      <s:c r="D560" s="121" t="n"/>
      <s:c r="E560" s="122" t="n"/>
    </s:row>
    <s:row r="561" hidden="1" ht="1" customHeight="1">
      <s:c r="A561" s="120" t="inlineStr"/>
      <s:c r="B561" s="121" t="n"/>
      <s:c r="C561" s="121" t="n"/>
      <s:c r="D561" s="121" t="n"/>
      <s:c r="E561" s="122" t="n"/>
    </s:row>
    <s:row r="562" hidden="1" ht="1" customHeight="1">
      <s:c r="A562" s="120" t="inlineStr"/>
      <s:c r="B562" s="121" t="n"/>
      <s:c r="C562" s="121" t="n"/>
      <s:c r="D562" s="121" t="n"/>
      <s:c r="E562" s="122" t="n"/>
    </s:row>
    <s:row r="563" hidden="1" ht="1" customHeight="1">
      <s:c r="A563" s="120" t="inlineStr"/>
      <s:c r="B563" s="121" t="n"/>
      <s:c r="C563" s="121" t="n"/>
      <s:c r="D563" s="121" t="n"/>
      <s:c r="E563" s="122" t="n"/>
    </s:row>
    <s:row r="564" hidden="1" ht="1" customHeight="1">
      <s:c r="A564" s="120" t="inlineStr"/>
      <s:c r="B564" s="121" t="n"/>
      <s:c r="C564" s="121" t="n"/>
      <s:c r="D564" s="121" t="n"/>
      <s:c r="E564" s="122" t="n"/>
    </s:row>
    <s:row r="565" hidden="1" ht="1" customHeight="1">
      <s:c r="A565" s="120" t="inlineStr"/>
      <s:c r="B565" s="121" t="n"/>
      <s:c r="C565" s="121" t="n"/>
      <s:c r="D565" s="121" t="n"/>
      <s:c r="E565" s="122" t="n"/>
    </s:row>
    <s:row r="566" hidden="1" ht="1" customHeight="1">
      <s:c r="A566" s="120" t="inlineStr"/>
      <s:c r="B566" s="121" t="n"/>
      <s:c r="C566" s="121" t="n"/>
      <s:c r="D566" s="121" t="n"/>
      <s:c r="E566" s="122" t="n"/>
    </s:row>
    <s:row r="567" hidden="1" ht="1" customHeight="1">
      <s:c r="A567" s="120" t="inlineStr"/>
      <s:c r="B567" s="121" t="n"/>
      <s:c r="C567" s="121" t="n"/>
      <s:c r="D567" s="121" t="n"/>
      <s:c r="E567" s="122" t="n"/>
    </s:row>
    <s:row r="568" hidden="1" ht="1" customHeight="1">
      <s:c r="A568" s="120" t="inlineStr"/>
      <s:c r="B568" s="121" t="n"/>
      <s:c r="C568" s="121" t="n"/>
      <s:c r="D568" s="121" t="n"/>
      <s:c r="E568" s="122" t="n"/>
    </s:row>
    <s:row r="569" hidden="1" ht="1" customHeight="1">
      <s:c r="A569" s="120" t="inlineStr"/>
      <s:c r="B569" s="121" t="n"/>
      <s:c r="C569" s="121" t="n"/>
      <s:c r="D569" s="121" t="n"/>
      <s:c r="E569" s="122" t="n"/>
    </s:row>
    <s:row r="570" hidden="1" ht="1" customHeight="1">
      <s:c r="A570" s="120" t="inlineStr"/>
      <s:c r="B570" s="121" t="n"/>
      <s:c r="C570" s="121" t="n"/>
      <s:c r="D570" s="121" t="n"/>
      <s:c r="E570" s="122" t="n"/>
    </s:row>
    <s:row r="571" hidden="1" ht="1" customHeight="1">
      <s:c r="A571" s="120" t="inlineStr"/>
      <s:c r="B571" s="121" t="n"/>
      <s:c r="C571" s="121" t="n"/>
      <s:c r="D571" s="121" t="n"/>
      <s:c r="E571" s="122" t="n"/>
    </s:row>
    <s:row r="572" hidden="1" ht="1" customHeight="1">
      <s:c r="A572" s="120" t="inlineStr"/>
      <s:c r="B572" s="121" t="n"/>
      <s:c r="C572" s="121" t="n"/>
      <s:c r="D572" s="121" t="n"/>
      <s:c r="E572" s="122" t="n"/>
    </s:row>
    <s:row r="573" hidden="1" ht="1" customHeight="1">
      <s:c r="A573" s="120" t="inlineStr"/>
      <s:c r="B573" s="121" t="n"/>
      <s:c r="C573" s="121" t="n"/>
      <s:c r="D573" s="121" t="n"/>
      <s:c r="E573" s="122" t="n"/>
    </s:row>
    <s:row r="574" hidden="1" ht="1" customHeight="1">
      <s:c r="A574" s="120" t="inlineStr"/>
      <s:c r="B574" s="121" t="n"/>
      <s:c r="C574" s="121" t="n"/>
      <s:c r="D574" s="121" t="n"/>
      <s:c r="E574" s="122" t="n"/>
    </s:row>
    <s:row r="575" hidden="1" ht="1" customHeight="1">
      <s:c r="A575" s="120" t="inlineStr"/>
      <s:c r="B575" s="121" t="n"/>
      <s:c r="C575" s="121" t="n"/>
      <s:c r="D575" s="121" t="n"/>
      <s:c r="E575" s="122" t="n"/>
    </s:row>
    <s:row r="576" hidden="1" ht="1" customHeight="1">
      <s:c r="A576" s="120" t="inlineStr"/>
      <s:c r="B576" s="121" t="n"/>
      <s:c r="C576" s="121" t="n"/>
      <s:c r="D576" s="121" t="n"/>
      <s:c r="E576" s="122" t="n"/>
    </s:row>
    <s:row r="577" hidden="1" ht="1" customHeight="1">
      <s:c r="A577" s="120" t="inlineStr"/>
      <s:c r="B577" s="121" t="n"/>
      <s:c r="C577" s="121" t="n"/>
      <s:c r="D577" s="121" t="n"/>
      <s:c r="E577" s="122" t="n"/>
    </s:row>
    <s:row r="578" hidden="1" ht="1" customHeight="1">
      <s:c r="A578" s="120" t="inlineStr"/>
      <s:c r="B578" s="121" t="n"/>
      <s:c r="C578" s="121" t="n"/>
      <s:c r="D578" s="121" t="n"/>
      <s:c r="E578" s="122" t="n"/>
    </s:row>
    <s:row r="579" hidden="1" ht="1" customHeight="1">
      <s:c r="A579" s="120" t="inlineStr"/>
      <s:c r="B579" s="121" t="n"/>
      <s:c r="C579" s="121" t="n"/>
      <s:c r="D579" s="121" t="n"/>
      <s:c r="E579" s="122" t="n"/>
    </s:row>
    <s:row r="580" hidden="1" ht="1" customHeight="1">
      <s:c r="A580" s="120" t="inlineStr"/>
      <s:c r="B580" s="121" t="n"/>
      <s:c r="C580" s="121" t="n"/>
      <s:c r="D580" s="121" t="n"/>
      <s:c r="E580" s="122" t="n"/>
    </s:row>
    <s:row r="581" hidden="1" ht="1" customHeight="1">
      <s:c r="A581" s="120" t="inlineStr"/>
      <s:c r="B581" s="121" t="n"/>
      <s:c r="C581" s="121" t="n"/>
      <s:c r="D581" s="121" t="n"/>
      <s:c r="E581" s="122" t="n"/>
    </s:row>
    <s:row r="582" hidden="1" ht="1" customHeight="1">
      <s:c r="A582" s="120" t="inlineStr"/>
      <s:c r="B582" s="121" t="n"/>
      <s:c r="C582" s="121" t="n"/>
      <s:c r="D582" s="121" t="n"/>
      <s:c r="E582" s="122" t="n"/>
    </s:row>
    <s:row r="583" hidden="1" ht="1" customHeight="1">
      <s:c r="A583" s="120" t="inlineStr"/>
      <s:c r="B583" s="121" t="n"/>
      <s:c r="C583" s="121" t="n"/>
      <s:c r="D583" s="121" t="n"/>
      <s:c r="E583" s="122" t="n"/>
    </s:row>
    <s:row r="584" hidden="1" ht="1" customHeight="1">
      <s:c r="A584" s="120" t="inlineStr"/>
      <s:c r="B584" s="121" t="n"/>
      <s:c r="C584" s="121" t="n"/>
      <s:c r="D584" s="121" t="n"/>
      <s:c r="E584" s="122" t="n"/>
    </s:row>
    <s:row r="585" hidden="1" ht="1" customHeight="1">
      <s:c r="A585" s="120" t="inlineStr"/>
      <s:c r="B585" s="121" t="n"/>
      <s:c r="C585" s="121" t="n"/>
      <s:c r="D585" s="121" t="n"/>
      <s:c r="E585" s="122" t="n"/>
    </s:row>
    <s:row r="586" hidden="1" ht="1" customHeight="1">
      <s:c r="A586" s="120" t="inlineStr"/>
      <s:c r="B586" s="121" t="n"/>
      <s:c r="C586" s="121" t="n"/>
      <s:c r="D586" s="121" t="n"/>
      <s:c r="E586" s="122" t="n"/>
    </s:row>
    <s:row r="587" hidden="1" ht="1" customHeight="1">
      <s:c r="A587" s="120" t="inlineStr"/>
      <s:c r="B587" s="121" t="n"/>
      <s:c r="C587" s="121" t="n"/>
      <s:c r="D587" s="121" t="n"/>
      <s:c r="E587" s="122" t="n"/>
    </s:row>
    <s:row r="588" hidden="1" ht="1" customHeight="1">
      <s:c r="A588" s="120" t="inlineStr"/>
      <s:c r="B588" s="121" t="n"/>
      <s:c r="C588" s="121" t="n"/>
      <s:c r="D588" s="121" t="n"/>
      <s:c r="E588" s="122" t="n"/>
    </s:row>
    <s:row r="589" hidden="1" ht="1" customHeight="1">
      <s:c r="A589" s="120" t="inlineStr"/>
      <s:c r="B589" s="121" t="n"/>
      <s:c r="C589" s="121" t="n"/>
      <s:c r="D589" s="121" t="n"/>
      <s:c r="E589" s="122" t="n"/>
    </s:row>
    <s:row r="590" hidden="1" ht="1" customHeight="1">
      <s:c r="A590" s="120" t="inlineStr"/>
      <s:c r="B590" s="121" t="n"/>
      <s:c r="C590" s="121" t="n"/>
      <s:c r="D590" s="121" t="n"/>
      <s:c r="E590" s="122" t="n"/>
    </s:row>
    <s:row r="591" hidden="1" ht="1" customHeight="1">
      <s:c r="A591" s="120" t="inlineStr"/>
      <s:c r="B591" s="121" t="n"/>
      <s:c r="C591" s="121" t="n"/>
      <s:c r="D591" s="121" t="n"/>
      <s:c r="E591" s="122" t="n"/>
    </s:row>
    <s:row r="592" hidden="1" ht="1" customHeight="1">
      <s:c r="A592" s="120" t="inlineStr"/>
      <s:c r="B592" s="121" t="n"/>
      <s:c r="C592" s="121" t="n"/>
      <s:c r="D592" s="121" t="n"/>
      <s:c r="E592" s="122" t="n"/>
    </s:row>
    <s:row r="593" hidden="1" ht="1" customHeight="1">
      <s:c r="A593" s="120" t="inlineStr"/>
      <s:c r="B593" s="121" t="n"/>
      <s:c r="C593" s="121" t="n"/>
      <s:c r="D593" s="121" t="n"/>
      <s:c r="E593" s="122" t="n"/>
    </s:row>
    <s:row r="594" hidden="1" ht="1" customHeight="1">
      <s:c r="A594" s="120" t="inlineStr"/>
      <s:c r="B594" s="121" t="n"/>
      <s:c r="C594" s="121" t="n"/>
      <s:c r="D594" s="121" t="n"/>
      <s:c r="E594" s="122" t="n"/>
    </s:row>
    <s:row r="595" hidden="1" ht="1" customHeight="1">
      <s:c r="A595" s="120" t="inlineStr"/>
      <s:c r="B595" s="121" t="n"/>
      <s:c r="C595" s="121" t="n"/>
      <s:c r="D595" s="121" t="n"/>
      <s:c r="E595" s="122" t="n"/>
    </s:row>
    <s:row r="596" hidden="1" ht="1" customHeight="1">
      <s:c r="A596" s="120" t="inlineStr"/>
      <s:c r="B596" s="121" t="n"/>
      <s:c r="C596" s="121" t="n"/>
      <s:c r="D596" s="121" t="n"/>
      <s:c r="E596" s="122" t="n"/>
    </s:row>
    <s:row r="597" hidden="1" ht="1" customHeight="1">
      <s:c r="A597" s="120" t="inlineStr"/>
      <s:c r="B597" s="121" t="n"/>
      <s:c r="C597" s="121" t="n"/>
      <s:c r="D597" s="121" t="n"/>
      <s:c r="E597" s="122" t="n"/>
    </s:row>
    <s:row r="598" hidden="1" ht="1" customHeight="1">
      <s:c r="A598" s="120" t="inlineStr"/>
      <s:c r="B598" s="121" t="n"/>
      <s:c r="C598" s="121" t="n"/>
      <s:c r="D598" s="121" t="n"/>
      <s:c r="E598" s="122" t="n"/>
    </s:row>
    <s:row r="599" hidden="1" ht="1" customHeight="1">
      <s:c r="A599" s="120" t="inlineStr"/>
      <s:c r="B599" s="121" t="n"/>
      <s:c r="C599" s="121" t="n"/>
      <s:c r="D599" s="121" t="n"/>
      <s:c r="E599" s="122" t="n"/>
    </s:row>
    <s:row r="600" hidden="1" ht="1" customHeight="1">
      <s:c r="A600" s="120" t="inlineStr"/>
      <s:c r="B600" s="121" t="n"/>
      <s:c r="C600" s="121" t="n"/>
      <s:c r="D600" s="121" t="n"/>
      <s:c r="E600" s="122" t="n"/>
    </s:row>
    <s:row r="601" hidden="1" ht="1" customHeight="1">
      <s:c r="A601" s="120" t="inlineStr"/>
      <s:c r="B601" s="121" t="n"/>
      <s:c r="C601" s="121" t="n"/>
      <s:c r="D601" s="121" t="n"/>
      <s:c r="E601" s="122" t="n"/>
    </s:row>
    <s:row r="602" hidden="1" ht="1" customHeight="1">
      <s:c r="A602" s="120" t="inlineStr"/>
      <s:c r="B602" s="121" t="n"/>
      <s:c r="C602" s="121" t="n"/>
      <s:c r="D602" s="121" t="n"/>
      <s:c r="E602" s="122" t="n"/>
    </s:row>
    <s:row r="603" hidden="1" ht="1" customHeight="1">
      <s:c r="A603" s="120" t="inlineStr"/>
      <s:c r="B603" s="121" t="n"/>
      <s:c r="C603" s="121" t="n"/>
      <s:c r="D603" s="121" t="n"/>
      <s:c r="E603" s="122" t="n"/>
    </s:row>
    <s:row r="604" hidden="1" ht="1" customHeight="1">
      <s:c r="A604" s="120" t="inlineStr"/>
      <s:c r="B604" s="121" t="n"/>
      <s:c r="C604" s="121" t="n"/>
      <s:c r="D604" s="121" t="n"/>
      <s:c r="E604" s="122" t="n"/>
    </s:row>
    <s:row r="605" hidden="1" ht="1" customHeight="1">
      <s:c r="A605" s="120" t="inlineStr"/>
      <s:c r="B605" s="121" t="n"/>
      <s:c r="C605" s="121" t="n"/>
      <s:c r="D605" s="121" t="n"/>
      <s:c r="E605" s="122" t="n"/>
    </s:row>
    <s:row r="606" hidden="1" ht="1" customHeight="1">
      <s:c r="A606" s="120" t="inlineStr"/>
      <s:c r="B606" s="121" t="n"/>
      <s:c r="C606" s="121" t="n"/>
      <s:c r="D606" s="121" t="n"/>
      <s:c r="E606" s="122" t="n"/>
    </s:row>
    <s:row r="607" hidden="1" ht="1" customHeight="1">
      <s:c r="A607" s="120" t="inlineStr"/>
      <s:c r="B607" s="121" t="n"/>
      <s:c r="C607" s="121" t="n"/>
      <s:c r="D607" s="121" t="n"/>
      <s:c r="E607" s="122" t="n"/>
    </s:row>
    <s:row r="608" hidden="1" ht="1" customHeight="1">
      <s:c r="A608" s="120" t="inlineStr"/>
      <s:c r="B608" s="121" t="n"/>
      <s:c r="C608" s="121" t="n"/>
      <s:c r="D608" s="121" t="n"/>
      <s:c r="E608" s="122" t="n"/>
    </s:row>
    <s:row r="609" hidden="1" ht="1" customHeight="1">
      <s:c r="A609" s="120" t="inlineStr"/>
      <s:c r="B609" s="121" t="n"/>
      <s:c r="C609" s="121" t="n"/>
      <s:c r="D609" s="121" t="n"/>
      <s:c r="E609" s="122" t="n"/>
    </s:row>
    <s:row r="610" hidden="1" ht="1" customHeight="1">
      <s:c r="A610" s="120" t="inlineStr"/>
      <s:c r="B610" s="121" t="n"/>
      <s:c r="C610" s="121" t="n"/>
      <s:c r="D610" s="121" t="n"/>
      <s:c r="E610" s="122" t="n"/>
    </s:row>
    <s:row r="611" hidden="1" ht="1" customHeight="1">
      <s:c r="A611" s="120" t="inlineStr"/>
      <s:c r="B611" s="121" t="n"/>
      <s:c r="C611" s="121" t="n"/>
      <s:c r="D611" s="121" t="n"/>
      <s:c r="E611" s="122" t="n"/>
    </s:row>
    <s:row r="612" hidden="1" ht="1" customHeight="1">
      <s:c r="A612" s="120" t="inlineStr"/>
      <s:c r="B612" s="121" t="n"/>
      <s:c r="C612" s="121" t="n"/>
      <s:c r="D612" s="121" t="n"/>
      <s:c r="E612" s="122" t="n"/>
    </s:row>
    <s:row r="613" hidden="1" ht="1" customHeight="1">
      <s:c r="A613" s="120" t="inlineStr"/>
      <s:c r="B613" s="121" t="n"/>
      <s:c r="C613" s="121" t="n"/>
      <s:c r="D613" s="121" t="n"/>
      <s:c r="E613" s="122" t="n"/>
    </s:row>
    <s:row r="614" hidden="1" ht="1" customHeight="1">
      <s:c r="A614" s="120" t="inlineStr"/>
      <s:c r="B614" s="121" t="n"/>
      <s:c r="C614" s="121" t="n"/>
      <s:c r="D614" s="121" t="n"/>
      <s:c r="E614" s="122" t="n"/>
    </s:row>
    <s:row r="615" hidden="1" ht="1" customHeight="1">
      <s:c r="A615" s="120" t="inlineStr"/>
      <s:c r="B615" s="121" t="n"/>
      <s:c r="C615" s="121" t="n"/>
      <s:c r="D615" s="121" t="n"/>
      <s:c r="E615" s="122" t="n"/>
    </s:row>
    <s:row r="616" hidden="1" ht="1" customHeight="1">
      <s:c r="A616" s="120" t="inlineStr"/>
      <s:c r="B616" s="121" t="n"/>
      <s:c r="C616" s="121" t="n"/>
      <s:c r="D616" s="121" t="n"/>
      <s:c r="E616" s="122" t="n"/>
    </s:row>
    <s:row r="617" hidden="1" ht="1" customHeight="1">
      <s:c r="A617" s="120" t="inlineStr"/>
      <s:c r="B617" s="121" t="n"/>
      <s:c r="C617" s="121" t="n"/>
      <s:c r="D617" s="121" t="n"/>
      <s:c r="E617" s="122" t="n"/>
    </s:row>
    <s:row r="618" hidden="1" ht="1" customHeight="1">
      <s:c r="A618" s="120" t="inlineStr"/>
      <s:c r="B618" s="121" t="n"/>
      <s:c r="C618" s="121" t="n"/>
      <s:c r="D618" s="121" t="n"/>
      <s:c r="E618" s="122" t="n"/>
    </s:row>
    <s:row r="619" hidden="1" ht="1" customHeight="1">
      <s:c r="A619" s="120" t="inlineStr"/>
      <s:c r="B619" s="121" t="n"/>
      <s:c r="C619" s="121" t="n"/>
      <s:c r="D619" s="121" t="n"/>
      <s:c r="E619" s="122" t="n"/>
    </s:row>
    <s:row r="620" hidden="1" ht="1" customHeight="1">
      <s:c r="A620" s="120" t="inlineStr"/>
      <s:c r="B620" s="121" t="n"/>
      <s:c r="C620" s="121" t="n"/>
      <s:c r="D620" s="121" t="n"/>
      <s:c r="E620" s="122" t="n"/>
    </s:row>
    <s:row r="621" hidden="1" ht="1" customHeight="1">
      <s:c r="A621" s="120" t="inlineStr"/>
      <s:c r="B621" s="121" t="n"/>
      <s:c r="C621" s="121" t="n"/>
      <s:c r="D621" s="121" t="n"/>
      <s:c r="E621" s="122" t="n"/>
    </s:row>
    <s:row r="622" hidden="1" ht="1" customHeight="1">
      <s:c r="A622" s="120" t="inlineStr"/>
      <s:c r="B622" s="121" t="n"/>
      <s:c r="C622" s="121" t="n"/>
      <s:c r="D622" s="121" t="n"/>
      <s:c r="E622" s="122" t="n"/>
    </s:row>
    <s:row r="623" hidden="1" ht="1" customHeight="1">
      <s:c r="A623" s="120" t="inlineStr"/>
      <s:c r="B623" s="121" t="n"/>
      <s:c r="C623" s="121" t="n"/>
      <s:c r="D623" s="121" t="n"/>
      <s:c r="E623" s="122" t="n"/>
    </s:row>
    <s:row r="624" hidden="1" ht="1" customHeight="1">
      <s:c r="A624" s="120" t="inlineStr"/>
      <s:c r="B624" s="121" t="n"/>
      <s:c r="C624" s="121" t="n"/>
      <s:c r="D624" s="121" t="n"/>
      <s:c r="E624" s="122" t="n"/>
    </s:row>
    <s:row r="625" hidden="1" ht="1" customHeight="1">
      <s:c r="A625" s="120" t="inlineStr"/>
      <s:c r="B625" s="121" t="n"/>
      <s:c r="C625" s="121" t="n"/>
      <s:c r="D625" s="121" t="n"/>
      <s:c r="E625" s="122" t="n"/>
    </s:row>
    <s:row r="626" hidden="1" ht="1" customHeight="1">
      <s:c r="A626" s="120" t="inlineStr"/>
      <s:c r="B626" s="121" t="n"/>
      <s:c r="C626" s="121" t="n"/>
      <s:c r="D626" s="121" t="n"/>
      <s:c r="E626" s="122" t="n"/>
    </s:row>
    <s:row r="627" hidden="1" ht="1" customHeight="1">
      <s:c r="A627" s="120" t="inlineStr"/>
      <s:c r="B627" s="121" t="n"/>
      <s:c r="C627" s="121" t="n"/>
      <s:c r="D627" s="121" t="n"/>
      <s:c r="E627" s="122" t="n"/>
    </s:row>
    <s:row r="628" hidden="1" ht="1" customHeight="1">
      <s:c r="A628" s="120" t="inlineStr"/>
      <s:c r="B628" s="121" t="n"/>
      <s:c r="C628" s="121" t="n"/>
      <s:c r="D628" s="121" t="n"/>
      <s:c r="E628" s="122" t="n"/>
    </s:row>
    <s:row r="629" hidden="1" ht="1" customHeight="1">
      <s:c r="A629" s="120" t="inlineStr"/>
      <s:c r="B629" s="121" t="n"/>
      <s:c r="C629" s="121" t="n"/>
      <s:c r="D629" s="121" t="n"/>
      <s:c r="E629" s="122" t="n"/>
    </s:row>
    <s:row r="630" hidden="1" ht="1" customHeight="1">
      <s:c r="A630" s="120" t="inlineStr"/>
      <s:c r="B630" s="121" t="n"/>
      <s:c r="C630" s="121" t="n"/>
      <s:c r="D630" s="121" t="n"/>
      <s:c r="E630" s="122" t="n"/>
    </s:row>
    <s:row r="631" hidden="1" ht="1" customHeight="1">
      <s:c r="A631" s="120" t="inlineStr"/>
      <s:c r="B631" s="121" t="n"/>
      <s:c r="C631" s="121" t="n"/>
      <s:c r="D631" s="121" t="n"/>
      <s:c r="E631" s="122" t="n"/>
    </s:row>
    <s:row r="632" hidden="1" ht="1" customHeight="1">
      <s:c r="A632" s="120" t="inlineStr"/>
      <s:c r="B632" s="121" t="n"/>
      <s:c r="C632" s="121" t="n"/>
      <s:c r="D632" s="121" t="n"/>
      <s:c r="E632" s="122" t="n"/>
    </s:row>
    <s:row r="633" hidden="1" ht="1" customHeight="1">
      <s:c r="A633" s="120" t="inlineStr"/>
      <s:c r="B633" s="121" t="n"/>
      <s:c r="C633" s="121" t="n"/>
      <s:c r="D633" s="121" t="n"/>
      <s:c r="E633" s="122" t="n"/>
    </s:row>
    <s:row r="634" hidden="1" ht="1" customHeight="1">
      <s:c r="A634" s="120" t="inlineStr"/>
      <s:c r="B634" s="121" t="n"/>
      <s:c r="C634" s="121" t="n"/>
      <s:c r="D634" s="121" t="n"/>
      <s:c r="E634" s="122" t="n"/>
    </s:row>
    <s:row r="635" hidden="1" ht="1" customHeight="1">
      <s:c r="A635" s="120" t="inlineStr"/>
      <s:c r="B635" s="121" t="n"/>
      <s:c r="C635" s="121" t="n"/>
      <s:c r="D635" s="121" t="n"/>
      <s:c r="E635" s="122" t="n"/>
    </s:row>
    <s:row r="636" hidden="1" ht="1" customHeight="1">
      <s:c r="A636" s="120" t="inlineStr"/>
      <s:c r="B636" s="121" t="n"/>
      <s:c r="C636" s="121" t="n"/>
      <s:c r="D636" s="121" t="n"/>
      <s:c r="E636" s="122" t="n"/>
    </s:row>
    <s:row r="637" hidden="1" ht="1" customHeight="1">
      <s:c r="A637" s="120" t="inlineStr"/>
      <s:c r="B637" s="121" t="n"/>
      <s:c r="C637" s="121" t="n"/>
      <s:c r="D637" s="121" t="n"/>
      <s:c r="E637" s="122" t="n"/>
    </s:row>
    <s:row r="638" hidden="1" ht="1" customHeight="1">
      <s:c r="A638" s="120" t="inlineStr"/>
      <s:c r="B638" s="121" t="n"/>
      <s:c r="C638" s="121" t="n"/>
      <s:c r="D638" s="121" t="n"/>
      <s:c r="E638" s="122" t="n"/>
    </s:row>
    <s:row r="639" hidden="1" ht="1" customHeight="1">
      <s:c r="A639" s="120" t="inlineStr"/>
      <s:c r="B639" s="121" t="n"/>
      <s:c r="C639" s="121" t="n"/>
      <s:c r="D639" s="121" t="n"/>
      <s:c r="E639" s="122" t="n"/>
    </s:row>
    <s:row r="640" hidden="1" ht="1" customHeight="1">
      <s:c r="A640" s="120" t="inlineStr"/>
      <s:c r="B640" s="121" t="n"/>
      <s:c r="C640" s="121" t="n"/>
      <s:c r="D640" s="121" t="n"/>
      <s:c r="E640" s="122" t="n"/>
    </s:row>
    <s:row r="641" hidden="1" ht="1" customHeight="1">
      <s:c r="A641" s="120" t="inlineStr"/>
      <s:c r="B641" s="121" t="n"/>
      <s:c r="C641" s="121" t="n"/>
      <s:c r="D641" s="121" t="n"/>
      <s:c r="E641" s="122" t="n"/>
    </s:row>
    <s:row r="642" hidden="1" ht="1" customHeight="1">
      <s:c r="A642" s="120" t="inlineStr"/>
      <s:c r="B642" s="121" t="n"/>
      <s:c r="C642" s="121" t="n"/>
      <s:c r="D642" s="121" t="n"/>
      <s:c r="E642" s="122" t="n"/>
    </s:row>
    <s:row r="643" hidden="1" ht="1" customHeight="1">
      <s:c r="A643" s="120" t="inlineStr"/>
      <s:c r="B643" s="121" t="n"/>
      <s:c r="C643" s="121" t="n"/>
      <s:c r="D643" s="121" t="n"/>
      <s:c r="E643" s="122" t="n"/>
    </s:row>
    <s:row r="644" hidden="1" ht="1" customHeight="1">
      <s:c r="A644" s="120" t="inlineStr"/>
      <s:c r="B644" s="121" t="n"/>
      <s:c r="C644" s="121" t="n"/>
      <s:c r="D644" s="121" t="n"/>
      <s:c r="E644" s="122" t="n"/>
    </s:row>
    <s:row r="645" hidden="1" ht="1" customHeight="1">
      <s:c r="A645" s="120" t="inlineStr"/>
      <s:c r="B645" s="121" t="n"/>
      <s:c r="C645" s="121" t="n"/>
      <s:c r="D645" s="121" t="n"/>
      <s:c r="E645" s="122" t="n"/>
    </s:row>
    <s:row r="646" hidden="1" ht="1" customHeight="1">
      <s:c r="A646" s="120" t="inlineStr"/>
      <s:c r="B646" s="121" t="n"/>
      <s:c r="C646" s="121" t="n"/>
      <s:c r="D646" s="121" t="n"/>
      <s:c r="E646" s="122" t="n"/>
    </s:row>
    <s:row r="647" hidden="1" ht="1" customHeight="1">
      <s:c r="A647" s="83" t="inlineStr">
        <s:is>
          <s:t>PASS</s:t>
        </s:is>
      </s:c>
      <s:c r="B647" s="83">
        <s:f>SUM(IF(EXACT('Kiểm thử'!E547,"Đạt"),1,0),IF(EXACT('Kiểm thử'!E549,"Đạt"),1,0))</s:f>
        <s:v/>
      </s:c>
      <s:c r="C647" s="19" t="n"/>
      <s:c r="D647" s="19" t="n"/>
      <s:c r="E647" s="19" t="n"/>
    </s:row>
    <s:row r="648" hidden="1" ht="1" customHeight="1">
      <s:c r="A648" s="83" t="inlineStr">
        <s:is>
          <s:t>FAIL</s:t>
        </s:is>
      </s:c>
      <s:c r="B648" s="83">
        <s:f>SUM(IF(EXACT('Kiểm thử'!E547,"Không đạt"),1,0),IF(EXACT('Kiểm thử'!E549,"Không đạt"),1,0))</s:f>
        <s:v/>
      </s:c>
      <s:c r="C648" s="19" t="n"/>
      <s:c r="D648" s="19" t="n"/>
      <s:c r="E648" s="19" t="n"/>
    </s:row>
    <s:row r="649" hidden="1" ht="1" customHeight="1">
      <s:c r="A649" s="83" t="inlineStr">
        <s:is>
          <s:t>BLOCKED</s:t>
        </s:is>
      </s:c>
      <s:c r="B649" s="83">
        <s:f>SUM(IF(EXACT('Kiểm thử'!E547,"Bị chặn"),1,0),IF(EXACT('Kiểm thử'!E549,"Bị chặn"),1,0))</s:f>
        <s:v/>
      </s:c>
      <s:c r="C649" s="19" t="n"/>
      <s:c r="D649" s="19" t="n"/>
      <s:c r="E649" s="19" t="n"/>
    </s:row>
    <s:row r="650" hidden="1" ht="1" customHeight="1">
      <s:c r="A650" s="83" t="inlineStr">
        <s:is>
          <s:t>SKIPPED</s:t>
        </s:is>
      </s:c>
      <s:c r="B650" s="83">
        <s:f>SUM(IF(EXACT('Kiểm thử'!E547,"Không thực hiện"),1,0),IF(EXACT('Kiểm thử'!E549,"Không thực hiện"),1,0))</s:f>
        <s:v/>
      </s:c>
      <s:c r="C650" s="19" t="n"/>
      <s:c r="D650" s="19" t="n"/>
      <s:c r="E650" s="19" t="n"/>
    </s:row>
    <s:row r="651" hidden="1" ht="1" customHeight="1">
      <s:c r="A651" s="83" t="inlineStr">
        <s:is>
          <s:t>NOT RUN</s:t>
        </s:is>
      </s:c>
      <s:c r="B651" s="83">
        <s:f>SUM(IF(EXACT('Kiểm thử'!E547,"Chưa thực hiện"),1,0),IF(EXACT('Kiểm thử'!E549,"Chưa thực hiện"),1,0))</s:f>
        <s:v/>
      </s:c>
      <s:c r="C651" s="19" t="n"/>
      <s:c r="D651" s="19" t="n"/>
      <s:c r="E651" s="19" t="n"/>
    </s:row>
    <s:row r="652" hidden="1" ht="6" customHeight="1">
      <s:c r="A652" s="83" t="inlineStr"/>
      <s:c r="B652" s="19" t="n"/>
      <s:c r="C652" s="19" t="n"/>
      <s:c r="D652" s="19" t="n"/>
      <s:c r="E652" s="19" t="n"/>
    </s:row>
    <s:row r="653" ht="28" customHeight="1">
      <s:c r="A653" s="108" t="inlineStr">
        <s:is>
          <s:t>TC-RS-FUNC-014 — Quy tắc mới chỉ có điều kiện, chưa có ngưỡng, không tham gia xét</s:t>
        </s:is>
      </s:c>
      <s:c r="B653" s="111" t="n"/>
      <s:c r="C653" s="111" t="n"/>
      <s:c r="D653" s="111" t="n"/>
      <s:c r="E653" s="111" t="n"/>
    </s:row>
    <s:row r="654" ht="20" customHeight="1">
      <s:c r="A654" s="112" t="inlineStr">
        <s:is>
          <s:t>Kết quả tình huống</s:t>
        </s:is>
      </s:c>
      <s:c r="B654" s="113">
        <s:f>IF(SUM(IF(EXACT('Kiểm thử'!E665,"Không đạt"),1,0),IF(EXACT('Kiểm thử'!E667,"Không đạt"),1,0),IF(EXACT('Kiểm thử'!E669,"Không đạt"),1,0))&gt;0,"Không đạt",IF(SUM(IF(EXACT('Kiểm thử'!E665,"Đạt"),1,0),IF(EXACT('Kiểm thử'!E667,"Đạt"),1,0),IF(EXACT('Kiểm thử'!E669,"Đạt"),1,0))=3,"Đạt",IF(SUM(IF(EXACT('Kiểm thử'!E665,"Không thực hiện"),1,0),IF(EXACT('Kiểm thử'!E667,"Không thực hiện"),1,0),IF(EXACT('Kiểm thử'!E669,"Không thực hiện"),1,0))=3,"Không thực hiện",IF(SUM(IF(EXACT('Kiểm thử'!E665,"Bị chặn"),1,0),IF(EXACT('Kiểm thử'!E667,"Bị chặn"),1,0),IF(EXACT('Kiểm thử'!E669,"Bị chặn"),1,0))&gt;0,"Bị chặn",IF(SUM(IF(EXACT('Kiểm thử'!E665,"Chưa thực hiện"),1,0),IF(EXACT('Kiểm thử'!E667,"Chưa thực hiện"),1,0),IF(EXACT('Kiểm thử'!E669,"Chưa thực hiện"),1,0))=3,"Chưa thực hiện","Đang thực hiện")))))</s:f>
        <s:v/>
      </s:c>
      <s:c r="C654" s="114" t="n"/>
      <s:c r="D654" s="114" t="n"/>
      <s:c r="E654" s="114" t="n"/>
    </s:row>
    <s:row r="655" ht="20" customHeight="1">
      <s:c r="A655" s="112" t="inlineStr">
        <s:is>
          <s:t>Màn hình / chức năng</s:t>
        </s:is>
      </s:c>
      <s:c r="B655" s="113" t="inlineStr">
        <s:is>
          <s:r>
            <s:rPr>
              <s:b val="1"/>
            </s:rPr>
            <s:t>Thiết lập điểm đỏ（赤点設定）</s:t>
          </s:r>
        </s:is>
      </s:c>
      <s:c r="C655" s="28" t="n"/>
      <s:c r="D655" s="28" t="n"/>
      <s:c r="E655" s="28" t="n"/>
    </s:row>
    <s:row r="656" ht="174" customHeight="1">
      <s:c r="A656" s="112" t="inlineStr">
        <s:is>
          <s:t>Cấu hình</s:t>
        </s:is>
      </s:c>
      <s:c r="B656" s="113" t="inlineStr">
        <s:is>
          <s:r>
            <s:t>• Điều kiện chung: trường A/năm 2026, mục số nguyên TD-ITEM-01 (</s:t>
          </s:r>
          <s:r>
            <s:rPr>
              <s:b val="1"/>
            </s:rPr>
            <s:t>M=100</s:t>
          </s:r>
          <s:r>
            <s:t xml:space="preserve">), S01 có điểm 29;
• Giáo viên có quyền sửa rule và chạy xét lại. Hai tab cùng phạm vi mục/kỳ. Mỗi biến thể có bản reset riêng, đúng hai rule Toàn bộ với dấu [&lt;];
• Ghi identity rule ưu tiên 1 và rule đối chứng ưu tiên 2. Phạm vi trích xuất chỉ gồm ô này để ô đỏ khác không ảnh hưởng bộ lọc.
• [incomplete-excluded]: rule ưu tiên 1 chỉ lưu điều kiện, chưa có ngưỡng;
• Rule đối chứng ưu tiên 2 có </s:t>
          </s:r>
          <s:r>
            <s:rPr>
              <s:b val="1"/>
            </s:rPr>
            <s:t>T=30</s:t>
          </s:r>
          <s:r>
            <s:t xml:space="preserve">. Đây là fixture TD-RULE-13/TD-RULE-01.
• [complete-deleted-stale]: rule ưu tiên 1 hoàn chỉnh </s:t>
          </s:r>
          <s:r>
            <s:rPr>
              <s:b val="1"/>
            </s:rPr>
            <s:t>T=30</s:t>
          </s:r>
          <s:r>
            <s:t xml:space="preserve">, rule đối chứng ưu tiên 2 </s:t>
          </s:r>
          <s:r>
            <s:rPr>
              <s:b val="1"/>
            </s:rPr>
            <s:t>T=20</s:t>
          </s:r>
          <s:r>
            <s:t xml:space="preserve">;
• Chạy baseline S01=29 → Đỏ theo rule ưu tiên 1.
• [incomplete-deleted-stale]: rule ưu tiên 1 chỉ có điều kiện, rule đối chứng ưu tiên 2 </s:t>
          </s:r>
          <s:r>
            <s:rPr>
              <s:b val="1"/>
            </s:rPr>
            <s:t>T=20</s:t>
          </s:r>
          <s:r>
            <s:t xml:space="preserve">;
• Chạy baseline S01=29 → Không đỏ theo rule đối chứng. </s:t>
          </s:r>
          <s:r>
            <s:rPr>
              <s:b val="1"/>
            </s:rPr>
            <s:t>T=20</s:t>
          </s:r>
          <s:r>
            <s:t xml:space="preserve"> là cấu hình riêng của hai biến thể stale-form, không thay TD-RULE-01 dùng chung.</s:t>
          </s:r>
        </s:is>
      </s:c>
      <s:c r="C656" s="28" t="n"/>
      <s:c r="D656" s="28" t="n"/>
      <s:c r="E656" s="28" t="n"/>
    </s:row>
    <s:row r="657" ht="174" customHeight="1">
      <s:c r="A657" s="112" t="inlineStr">
        <s:is>
          <s:t>Dữ liệu test</s:t>
        </s:is>
      </s:c>
      <s:c r="B657" s="113" t="inlineStr">
        <s:is>
          <s:r>
            <s:t>• Điều kiện chung: trường A/năm 2026, mục số nguyên TD-ITEM-01 (</s:t>
          </s:r>
          <s:r>
            <s:rPr>
              <s:b val="1"/>
            </s:rPr>
            <s:t>M=100</s:t>
          </s:r>
          <s:r>
            <s:t xml:space="preserve">), S01 có điểm 29;
• Giáo viên có quyền sửa rule và chạy xét lại. Hai tab cùng phạm vi mục/kỳ. Mỗi biến thể có bản reset riêng, đúng hai rule Toàn bộ với dấu [&lt;];
• Ghi identity rule ưu tiên 1 và rule đối chứng ưu tiên 2. Phạm vi trích xuất chỉ gồm ô này để ô đỏ khác không ảnh hưởng bộ lọc.
• [incomplete-excluded]: rule ưu tiên 1 chỉ lưu điều kiện, chưa có ngưỡng;
• Rule đối chứng ưu tiên 2 có </s:t>
          </s:r>
          <s:r>
            <s:rPr>
              <s:b val="1"/>
            </s:rPr>
            <s:t>T=30</s:t>
          </s:r>
          <s:r>
            <s:t xml:space="preserve">. Đây là fixture TD-RULE-13/TD-RULE-01.
• [complete-deleted-stale]: rule ưu tiên 1 hoàn chỉnh </s:t>
          </s:r>
          <s:r>
            <s:rPr>
              <s:b val="1"/>
            </s:rPr>
            <s:t>T=30</s:t>
          </s:r>
          <s:r>
            <s:t xml:space="preserve">, rule đối chứng ưu tiên 2 </s:t>
          </s:r>
          <s:r>
            <s:rPr>
              <s:b val="1"/>
            </s:rPr>
            <s:t>T=20</s:t>
          </s:r>
          <s:r>
            <s:t xml:space="preserve">;
• Chạy baseline S01=29 → Đỏ theo rule ưu tiên 1.
• [incomplete-deleted-stale]: rule ưu tiên 1 chỉ có điều kiện, rule đối chứng ưu tiên 2 </s:t>
          </s:r>
          <s:r>
            <s:rPr>
              <s:b val="1"/>
            </s:rPr>
            <s:t>T=20</s:t>
          </s:r>
          <s:r>
            <s:t xml:space="preserve">;
• Chạy baseline S01=29 → Không đỏ theo rule đối chứng. </s:t>
          </s:r>
          <s:r>
            <s:rPr>
              <s:b val="1"/>
            </s:rPr>
            <s:t>T=20</s:t>
          </s:r>
          <s:r>
            <s:t xml:space="preserve"> là cấu hình riêng của hai biến thể stale-form, không thay TD-RULE-01 dùng chung.</s:t>
          </s:r>
        </s:is>
      </s:c>
      <s:c r="C657" s="28" t="n"/>
      <s:c r="D657" s="28" t="n"/>
      <s:c r="E657" s="28" t="n"/>
    </s:row>
    <s:row r="658" ht="34" customHeight="1">
      <s:c r="A658" s="112" t="inlineStr">
        <s:is>
          <s:t>Bước 1</s:t>
        </s:is>
      </s:c>
      <s:c r="B658" s="113" t="inlineStr">
        <s:is>
          <s:t>Với [incomplete-excluded], dựng fixture riêng, xem dòng chưa hoàn chỉnh; đăng ký S01=29 và đọc kết quả, identity rule/ngưỡng đã dùng cùng đầu ra trích xuất.</s:t>
        </s:is>
      </s:c>
      <s:c r="C658" s="28" t="n"/>
      <s:c r="D658" s="28" t="n"/>
      <s:c r="E658" s="28" t="n"/>
    </s:row>
    <s:row r="659" ht="48" customHeight="1">
      <s:c r="A659" s="112" t="inlineStr">
        <s:is>
          <s:t>Bước 2</s:t>
        </s:is>
      </s:c>
      <s:c r="B659" s="113" t="inlineStr">
        <s:is>
          <s:r>
            <s:t>Với [complete-deleted-stale], reset và xác nhận baseline Đỏ/</s:t>
          </s:r>
          <s:r>
            <s:rPr>
              <s:b val="1"/>
            </s:rPr>
            <s:t>T=30</s:t>
          </s:r>
          <s:r>
            <s:t xml:space="preserve">. Mở form ngưỡng của rule ưu tiên 1 ở tab A. Xóa đúng rule đó ở tab B, rồi gửi lưu </s:t>
          </s:r>
          <s:r>
            <s:rPr>
              <s:b val="1"/>
            </s:rPr>
            <s:t>T=30</s:t>
          </s:r>
          <s:r>
            <s:t xml:space="preserve"> từ form cũ ở tab A. Reload danh sách và đọc trạng thái rule; trước khi chạy xét lại, đọc điểm/kết quả đã hoàn tất của S01.</s:t>
          </s:r>
        </s:is>
      </s:c>
      <s:c r="C659" s="28" t="n"/>
      <s:c r="D659" s="28" t="n"/>
      <s:c r="E659" s="28" t="n"/>
    </s:row>
    <s:row r="660" ht="34" customHeight="1">
      <s:c r="A660" s="112" t="inlineStr">
        <s:is>
          <s:t>Bước 3</s:t>
        </s:is>
      </s:c>
      <s:c r="B660" s="113" t="inlineStr">
        <s:is>
          <s:t>Chạy xét lại thành công cho đúng ô của [complete-deleted-stale]; đọc identity rule/ngưỡng được chọn. Chạy trích xuất một lượt tắt lọc để thấy điểm và dấu, một lượt bật lọc đỏ để kiểm membership của S01.</s:t>
        </s:is>
      </s:c>
      <s:c r="C660" s="28" t="n"/>
      <s:c r="D660" s="28" t="n"/>
      <s:c r="E660" s="28" t="n"/>
    </s:row>
    <s:row r="661" ht="48" customHeight="1">
      <s:c r="A661" s="112" t="inlineStr">
        <s:is>
          <s:t>Bước 4</s:t>
        </s:is>
      </s:c>
      <s:c r="B661" s="113" t="inlineStr">
        <s:is>
          <s:r>
            <s:t>Với [incomplete-deleted-stale], reset và xác nhận baseline Không đỏ/</s:t>
          </s:r>
          <s:r>
            <s:rPr>
              <s:b val="1"/>
            </s:rPr>
            <s:t>T=20</s:t>
          </s:r>
          <s:r>
            <s:t xml:space="preserve">. Mở form ngưỡng của rule nhập dở ở tab A, nhập </s:t>
          </s:r>
          <s:r>
            <s:rPr>
              <s:b val="1"/>
            </s:rPr>
            <s:t>T=40</s:t>
          </s:r>
          <s:r>
            <s:t xml:space="preserve"> nhưng chưa lưu. Xóa đúng rule nhập dở ở tab B, rồi gửi </s:t>
          </s:r>
          <s:r>
            <s:rPr>
              <s:b val="1"/>
            </s:rPr>
            <s:t>T=40</s:t>
          </s:r>
          <s:r>
            <s:t xml:space="preserve"> từ form cũ ở tab A. Reload danh sách và đọc trạng thái rule.</s:t>
          </s:r>
        </s:is>
      </s:c>
      <s:c r="C661" s="28" t="n"/>
      <s:c r="D661" s="28" t="n"/>
      <s:c r="E661" s="28" t="n"/>
    </s:row>
    <s:row r="662" ht="48" customHeight="1">
      <s:c r="A662" s="112" t="inlineStr">
        <s:is>
          <s:t>Bước 5</s:t>
        </s:is>
      </s:c>
      <s:c r="B662" s="113" t="inlineStr">
        <s:is>
          <s:t>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s:t>
        </s:is>
      </s:c>
      <s:c r="C662" s="28" t="n"/>
      <s:c r="D662" s="28" t="n"/>
      <s:c r="E662" s="28" t="n"/>
    </s:row>
    <s:row r="663" ht="28" customHeight="1">
      <s:c r="A663" s="115" t="inlineStr">
        <s:is>
          <s:t>Trường hợp</s:t>
        </s:is>
      </s:c>
      <s:c r="B663" s="115" t="inlineStr">
        <s:is>
          <s:t>Dữ liệu / thao tác riêng</s:t>
        </s:is>
      </s:c>
      <s:c r="C663" s="115" t="inlineStr">
        <s:is>
          <s:t>Kết quả mong đợi</s:t>
        </s:is>
      </s:c>
      <s:c r="D663" s="115" t="inlineStr">
        <s:is>
          <s:t>Kết quả thực tế</s:t>
        </s:is>
      </s:c>
      <s:c r="E663" s="115" t="inlineStr">
        <s:is>
          <s:t>Đánh giá</s:t>
        </s:is>
      </s:c>
    </s:row>
    <s:row r="664" ht="3" customHeight="1">
      <s:c r="A664" s="102" t="inlineStr"/>
      <s:c r="B664" s="99" t="n"/>
      <s:c r="C664" s="99" t="n"/>
      <s:c r="D664" s="116" t="n"/>
      <s:c r="E664" s="116" t="n"/>
    </s:row>
    <s:row r="665" ht="76" customHeight="1">
      <s:c r="A665" s="83" t="inlineStr">
        <s:is>
          <s:t>Quy tắc chưa có ngưỡng (incomplete-excluded)</s:t>
        </s:is>
      </s:c>
      <s:c r="B665" s="83" t="inlineStr">
        <s:is>
          <s:r>
            <s:t>TD-RULE-13 chỉ có điều kiện ở ưu tiên 1; TD-RULE-01/</s:t>
          </s:r>
          <s:r>
            <s:rPr>
              <s:b val="1"/>
            </s:rPr>
            <s:t>T=30</s:t>
          </s:r>
          <s:r>
            <s:t xml:space="preserve"> ở ưu tiên 2. Đăng ký S01=29; đọc dòng nhập dở, identity rule/ngưỡng và đầu ra.</s:t>
          </s:r>
        </s:is>
      </s:c>
      <s:c r="C665" s="83" t="inlineStr">
        <s:is>
          <s:r>
            <s:t xml:space="preserve">1. [Incomplete-excluded]: dòng nhập dở hiện chưa thiết lập và cho mở ngưỡng; không tạo ngưỡng 0 ngầm. Bộ xét chọn đúng rule đối chứng </s:t>
          </s:r>
          <s:r>
            <s:rPr>
              <s:b val="1"/>
            </s:rPr>
            <s:t>T=30</s:t>
          </s:r>
          <s:r>
            <s:t xml:space="preserve">, S01=29 </s:t>
          </s:r>
          <s:r>
            <s:rPr>
              <s:b val="1"/>
            </s:rPr>
            <s:t>Đỏ</s:t>
          </s:r>
          <s:r>
            <s:t>; rule nhập dở không tham gia xét.</s:t>
          </s:r>
        </s:is>
      </s:c>
      <s:c r="D665" s="117" t="inlineStr"/>
      <s:c r="E665" s="118" t="inlineStr">
        <s:is>
          <s:t>Chưa thực hiện</s:t>
        </s:is>
      </s:c>
    </s:row>
    <s:row r="666" ht="3" customHeight="1">
      <s:c r="A666" s="102" t="inlineStr"/>
      <s:c r="B666" s="99" t="n"/>
      <s:c r="C666" s="99" t="n"/>
      <s:c r="D666" s="116" t="n"/>
      <s:c r="E666" s="116" t="n"/>
    </s:row>
    <s:row r="667" ht="216" customHeight="1">
      <s:c r="A667" s="83" t="inlineStr">
        <s:is>
          <s:t>Form cũ của quy tắc hoàn chỉnh đã xóa (complete-deleted-stale)</s:t>
        </s:is>
      </s:c>
      <s:c r="B667" s="83" t="inlineStr">
        <s:is>
          <s:r>
            <s:t>Reset S01=29/Đỏ theo rule ưu tiên 1/</s:t>
          </s:r>
          <s:r>
            <s:rPr>
              <s:b val="1"/>
            </s:rPr>
            <s:t>T=30</s:t>
          </s:r>
          <s:r>
            <s:t>, rule đối chứng ưu tiên 2/</s:t>
          </s:r>
          <s:r>
            <s:rPr>
              <s:b val="1"/>
            </s:rPr>
            <s:t>T=20</s:t>
          </s:r>
          <s:r>
            <s:t xml:space="preserve">. Mở form tab A, xóa rule ở tab B rồi gửi </s:t>
          </s:r>
          <s:r>
            <s:rPr>
              <s:b val="1"/>
            </s:rPr>
            <s:t>T=30</s:t>
          </s:r>
          <s:r>
            <s:t xml:space="preserve"> từ form cũ. Đọc trước/sau lần xét lại; trích xuất tắt/bật lọc riêng.</s:t>
          </s:r>
        </s:is>
      </s:c>
      <s:c r="C667" s="83" t="inlineStr">
        <s:is>
          <s:r>
            <s:t xml:space="preserve">2. [Complete-deleted-stale]: lưu form cũ không phục hồi rule đã xóa trong danh sách hoặc bộ xét. Trước lần xét lại, S01 vẫn giữ điểm 29 và kết quả </s:t>
          </s:r>
          <s:r>
            <s:rPr>
              <s:b val="1"/>
            </s:rPr>
            <s:t>Đỏ</s:t>
          </s:r>
          <s:r>
            <s:t>/</s:t>
          </s:r>
          <s:r>
            <s:rPr>
              <s:b val="1"/>
            </s:rPr>
            <s:t>T=30</s:t>
          </s:r>
          <s:r>
            <s:t xml:space="preserve"> đã hoàn tất. Sau lần xét lại, bộ xét chọn đúng identity rule đối chứng </s:t>
          </s:r>
          <s:r>
            <s:rPr>
              <s:b val="1"/>
            </s:rPr>
            <s:t>T=20</s:t>
          </s:r>
          <s:r>
            <s:t xml:space="preserve"> → </s:t>
          </s:r>
          <s:r>
            <s:rPr>
              <s:b val="1"/>
            </s:rPr>
            <s:t>Không đỏ</s:t>
          </s:r>
          <s:r>
            <s:t>; lượt tắt lọc hiện 29 không dấu đỏ, lượt bật lọc không có S01.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s:t>
          </s:r>
        </s:is>
      </s:c>
      <s:c r="D667" s="117" t="inlineStr"/>
      <s:c r="E667" s="118" t="inlineStr">
        <s:is>
          <s:t>Chưa thực hiện</s:t>
        </s:is>
      </s:c>
    </s:row>
    <s:row r="668" ht="3" customHeight="1">
      <s:c r="A668" s="102" t="inlineStr"/>
      <s:c r="B668" s="99" t="n"/>
      <s:c r="C668" s="99" t="n"/>
      <s:c r="D668" s="116" t="n"/>
      <s:c r="E668" s="116" t="n"/>
    </s:row>
    <s:row r="669" ht="230" customHeight="1">
      <s:c r="A669" s="83" t="inlineStr">
        <s:is>
          <s:t>Form cũ của quy tắc nhập dở đã xóa (incomplete-deleted-stale)</s:t>
        </s:is>
      </s:c>
      <s:c r="B669" s="83" t="inlineStr">
        <s:is>
          <s:r>
            <s:t>Reset S01=29/Không đỏ theo rule đối chứng ưu tiên 2/</s:t>
          </s:r>
          <s:r>
            <s:rPr>
              <s:b val="1"/>
            </s:rPr>
            <s:t>T=20</s:t>
          </s:r>
          <s:r>
            <s:t xml:space="preserve">. Tab A nhập </s:t>
          </s:r>
          <s:r>
            <s:rPr>
              <s:b val="1"/>
            </s:rPr>
            <s:t>T=40</s:t>
          </s:r>
          <s:r>
            <s:t xml:space="preserve"> cho rule nhập dở nhưng chưa lưu; tab B xóa rule đó, rồi gửi form cũ tab A. Chạy xét lại; đọc identity/ngưỡng và trích xuất tắt/bật lọc riêng.</s:t>
          </s:r>
        </s:is>
      </s:c>
      <s:c r="C669" s="83" t="inlineStr">
        <s:is>
          <s:r>
            <s:t xml:space="preserve">3. [Incomplete-deleted-stale]: </s:t>
          </s:r>
          <s:r>
            <s:rPr>
              <s:b val="1"/>
            </s:rPr>
            <s:t>T=40</s:t>
          </s:r>
          <s:r>
            <s:t xml:space="preserve"> gửi từ form cũ không làm rule nhập dở đã xóa sống lại hoặc trở thành rule hoàn chỉnh. Sau lần xét lại, bộ xét vẫn chọn đúng rule đối chứng </s:t>
          </s:r>
          <s:r>
            <s:rPr>
              <s:b val="1"/>
            </s:rPr>
            <s:t>T=20</s:t>
          </s:r>
          <s:r>
            <s:t xml:space="preserve"> → </s:t>
          </s:r>
          <s:r>
            <s:rPr>
              <s:b val="1"/>
            </s:rPr>
            <s:t>Không đỏ</s:t>
          </s:r>
          <s:r>
            <s:t xml:space="preserve">, điểm 29 giữ nguyên; lượt tắt lọc không có dấu đỏ, lượt bật lọc không có S01. Nếu rule 40 bị phục hồi thì 29&lt;40 sẽ </s:t>
          </s:r>
          <s:r>
            <s:rPr>
              <s:b val="1"/>
            </s:rPr>
            <s:t>Đỏ</s:t>
          </s:r>
          <s:r>
            <s:t>, nên không được PASS trường hợp đó dù danh sách đã ẩn rule.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s:t>
          </s:r>
        </s:is>
      </s:c>
      <s:c r="D669" s="117" t="inlineStr"/>
      <s:c r="E669" s="118" t="inlineStr">
        <s:is>
          <s:t>Chưa thực hiện</s:t>
        </s:is>
      </s:c>
    </s:row>
    <s:row r="670" ht="20" customHeight="1">
      <s:c r="A670" s="119" t="inlineStr">
        <s:is>
          <s:t>Ảnh minh chứng — Chưa có ảnh</s:t>
        </s:is>
      </s:c>
      <s:c r="B670" s="19" t="n"/>
      <s:c r="C670" s="19" t="n"/>
      <s:c r="D670" s="19" t="n"/>
      <s:c r="E670" s="19" t="n"/>
    </s:row>
    <s:row r="671" hidden="1" ht="1" customHeight="1">
      <s:c r="A671" s="120" t="inlineStr"/>
      <s:c r="B671" s="121" t="n"/>
      <s:c r="C671" s="121" t="n"/>
      <s:c r="D671" s="121" t="n"/>
      <s:c r="E671" s="122" t="n"/>
    </s:row>
    <s:row r="672" hidden="1" ht="1" customHeight="1">
      <s:c r="A672" s="120" t="inlineStr"/>
      <s:c r="B672" s="121" t="n"/>
      <s:c r="C672" s="121" t="n"/>
      <s:c r="D672" s="121" t="n"/>
      <s:c r="E672" s="122" t="n"/>
    </s:row>
    <s:row r="673" hidden="1" ht="1" customHeight="1">
      <s:c r="A673" s="120" t="inlineStr"/>
      <s:c r="B673" s="121" t="n"/>
      <s:c r="C673" s="121" t="n"/>
      <s:c r="D673" s="121" t="n"/>
      <s:c r="E673" s="122" t="n"/>
    </s:row>
    <s:row r="674" hidden="1" ht="1" customHeight="1">
      <s:c r="A674" s="120" t="inlineStr"/>
      <s:c r="B674" s="121" t="n"/>
      <s:c r="C674" s="121" t="n"/>
      <s:c r="D674" s="121" t="n"/>
      <s:c r="E674" s="122" t="n"/>
    </s:row>
    <s:row r="675" hidden="1" ht="1" customHeight="1">
      <s:c r="A675" s="120" t="inlineStr"/>
      <s:c r="B675" s="121" t="n"/>
      <s:c r="C675" s="121" t="n"/>
      <s:c r="D675" s="121" t="n"/>
      <s:c r="E675" s="122" t="n"/>
    </s:row>
    <s:row r="676" hidden="1" ht="1" customHeight="1">
      <s:c r="A676" s="120" t="inlineStr"/>
      <s:c r="B676" s="121" t="n"/>
      <s:c r="C676" s="121" t="n"/>
      <s:c r="D676" s="121" t="n"/>
      <s:c r="E676" s="122" t="n"/>
    </s:row>
    <s:row r="677" hidden="1" ht="1" customHeight="1">
      <s:c r="A677" s="120" t="inlineStr"/>
      <s:c r="B677" s="121" t="n"/>
      <s:c r="C677" s="121" t="n"/>
      <s:c r="D677" s="121" t="n"/>
      <s:c r="E677" s="122" t="n"/>
    </s:row>
    <s:row r="678" hidden="1" ht="1" customHeight="1">
      <s:c r="A678" s="120" t="inlineStr"/>
      <s:c r="B678" s="121" t="n"/>
      <s:c r="C678" s="121" t="n"/>
      <s:c r="D678" s="121" t="n"/>
      <s:c r="E678" s="122" t="n"/>
    </s:row>
    <s:row r="679" hidden="1" ht="1" customHeight="1">
      <s:c r="A679" s="120" t="inlineStr"/>
      <s:c r="B679" s="121" t="n"/>
      <s:c r="C679" s="121" t="n"/>
      <s:c r="D679" s="121" t="n"/>
      <s:c r="E679" s="122" t="n"/>
    </s:row>
    <s:row r="680" hidden="1" ht="1" customHeight="1">
      <s:c r="A680" s="120" t="inlineStr"/>
      <s:c r="B680" s="121" t="n"/>
      <s:c r="C680" s="121" t="n"/>
      <s:c r="D680" s="121" t="n"/>
      <s:c r="E680" s="122" t="n"/>
    </s:row>
    <s:row r="681" hidden="1" ht="1" customHeight="1">
      <s:c r="A681" s="120" t="inlineStr"/>
      <s:c r="B681" s="121" t="n"/>
      <s:c r="C681" s="121" t="n"/>
      <s:c r="D681" s="121" t="n"/>
      <s:c r="E681" s="122" t="n"/>
    </s:row>
    <s:row r="682" hidden="1" ht="1" customHeight="1">
      <s:c r="A682" s="120" t="inlineStr"/>
      <s:c r="B682" s="121" t="n"/>
      <s:c r="C682" s="121" t="n"/>
      <s:c r="D682" s="121" t="n"/>
      <s:c r="E682" s="122" t="n"/>
    </s:row>
    <s:row r="683" hidden="1" ht="1" customHeight="1">
      <s:c r="A683" s="120" t="inlineStr"/>
      <s:c r="B683" s="121" t="n"/>
      <s:c r="C683" s="121" t="n"/>
      <s:c r="D683" s="121" t="n"/>
      <s:c r="E683" s="122" t="n"/>
    </s:row>
    <s:row r="684" hidden="1" ht="1" customHeight="1">
      <s:c r="A684" s="120" t="inlineStr"/>
      <s:c r="B684" s="121" t="n"/>
      <s:c r="C684" s="121" t="n"/>
      <s:c r="D684" s="121" t="n"/>
      <s:c r="E684" s="122" t="n"/>
    </s:row>
    <s:row r="685" hidden="1" ht="1" customHeight="1">
      <s:c r="A685" s="120" t="inlineStr"/>
      <s:c r="B685" s="121" t="n"/>
      <s:c r="C685" s="121" t="n"/>
      <s:c r="D685" s="121" t="n"/>
      <s:c r="E685" s="122" t="n"/>
    </s:row>
    <s:row r="686" hidden="1" ht="1" customHeight="1">
      <s:c r="A686" s="120" t="inlineStr"/>
      <s:c r="B686" s="121" t="n"/>
      <s:c r="C686" s="121" t="n"/>
      <s:c r="D686" s="121" t="n"/>
      <s:c r="E686" s="122" t="n"/>
    </s:row>
    <s:row r="687" hidden="1" ht="1" customHeight="1">
      <s:c r="A687" s="120" t="inlineStr"/>
      <s:c r="B687" s="121" t="n"/>
      <s:c r="C687" s="121" t="n"/>
      <s:c r="D687" s="121" t="n"/>
      <s:c r="E687" s="122" t="n"/>
    </s:row>
    <s:row r="688" hidden="1" ht="1" customHeight="1">
      <s:c r="A688" s="120" t="inlineStr"/>
      <s:c r="B688" s="121" t="n"/>
      <s:c r="C688" s="121" t="n"/>
      <s:c r="D688" s="121" t="n"/>
      <s:c r="E688" s="122" t="n"/>
    </s:row>
    <s:row r="689" hidden="1" ht="1" customHeight="1">
      <s:c r="A689" s="120" t="inlineStr"/>
      <s:c r="B689" s="121" t="n"/>
      <s:c r="C689" s="121" t="n"/>
      <s:c r="D689" s="121" t="n"/>
      <s:c r="E689" s="122" t="n"/>
    </s:row>
    <s:row r="690" hidden="1" ht="1" customHeight="1">
      <s:c r="A690" s="120" t="inlineStr"/>
      <s:c r="B690" s="121" t="n"/>
      <s:c r="C690" s="121" t="n"/>
      <s:c r="D690" s="121" t="n"/>
      <s:c r="E690" s="122" t="n"/>
    </s:row>
    <s:row r="691" hidden="1" ht="1" customHeight="1">
      <s:c r="A691" s="120" t="inlineStr"/>
      <s:c r="B691" s="121" t="n"/>
      <s:c r="C691" s="121" t="n"/>
      <s:c r="D691" s="121" t="n"/>
      <s:c r="E691" s="122" t="n"/>
    </s:row>
    <s:row r="692" hidden="1" ht="1" customHeight="1">
      <s:c r="A692" s="120" t="inlineStr"/>
      <s:c r="B692" s="121" t="n"/>
      <s:c r="C692" s="121" t="n"/>
      <s:c r="D692" s="121" t="n"/>
      <s:c r="E692" s="122" t="n"/>
    </s:row>
    <s:row r="693" hidden="1" ht="1" customHeight="1">
      <s:c r="A693" s="120" t="inlineStr"/>
      <s:c r="B693" s="121" t="n"/>
      <s:c r="C693" s="121" t="n"/>
      <s:c r="D693" s="121" t="n"/>
      <s:c r="E693" s="122" t="n"/>
    </s:row>
    <s:row r="694" hidden="1" ht="1" customHeight="1">
      <s:c r="A694" s="120" t="inlineStr"/>
      <s:c r="B694" s="121" t="n"/>
      <s:c r="C694" s="121" t="n"/>
      <s:c r="D694" s="121" t="n"/>
      <s:c r="E694" s="122" t="n"/>
    </s:row>
    <s:row r="695" hidden="1" ht="1" customHeight="1">
      <s:c r="A695" s="120" t="inlineStr"/>
      <s:c r="B695" s="121" t="n"/>
      <s:c r="C695" s="121" t="n"/>
      <s:c r="D695" s="121" t="n"/>
      <s:c r="E695" s="122" t="n"/>
    </s:row>
    <s:row r="696" hidden="1" ht="1" customHeight="1">
      <s:c r="A696" s="120" t="inlineStr"/>
      <s:c r="B696" s="121" t="n"/>
      <s:c r="C696" s="121" t="n"/>
      <s:c r="D696" s="121" t="n"/>
      <s:c r="E696" s="122" t="n"/>
    </s:row>
    <s:row r="697" hidden="1" ht="1" customHeight="1">
      <s:c r="A697" s="120" t="inlineStr"/>
      <s:c r="B697" s="121" t="n"/>
      <s:c r="C697" s="121" t="n"/>
      <s:c r="D697" s="121" t="n"/>
      <s:c r="E697" s="122" t="n"/>
    </s:row>
    <s:row r="698" hidden="1" ht="1" customHeight="1">
      <s:c r="A698" s="120" t="inlineStr"/>
      <s:c r="B698" s="121" t="n"/>
      <s:c r="C698" s="121" t="n"/>
      <s:c r="D698" s="121" t="n"/>
      <s:c r="E698" s="122" t="n"/>
    </s:row>
    <s:row r="699" hidden="1" ht="1" customHeight="1">
      <s:c r="A699" s="120" t="inlineStr"/>
      <s:c r="B699" s="121" t="n"/>
      <s:c r="C699" s="121" t="n"/>
      <s:c r="D699" s="121" t="n"/>
      <s:c r="E699" s="122" t="n"/>
    </s:row>
    <s:row r="700" hidden="1" ht="1" customHeight="1">
      <s:c r="A700" s="120" t="inlineStr"/>
      <s:c r="B700" s="121" t="n"/>
      <s:c r="C700" s="121" t="n"/>
      <s:c r="D700" s="121" t="n"/>
      <s:c r="E700" s="122" t="n"/>
    </s:row>
    <s:row r="701" hidden="1" ht="1" customHeight="1">
      <s:c r="A701" s="120" t="inlineStr"/>
      <s:c r="B701" s="121" t="n"/>
      <s:c r="C701" s="121" t="n"/>
      <s:c r="D701" s="121" t="n"/>
      <s:c r="E701" s="122" t="n"/>
    </s:row>
    <s:row r="702" hidden="1" ht="1" customHeight="1">
      <s:c r="A702" s="120" t="inlineStr"/>
      <s:c r="B702" s="121" t="n"/>
      <s:c r="C702" s="121" t="n"/>
      <s:c r="D702" s="121" t="n"/>
      <s:c r="E702" s="122" t="n"/>
    </s:row>
    <s:row r="703" hidden="1" ht="1" customHeight="1">
      <s:c r="A703" s="120" t="inlineStr"/>
      <s:c r="B703" s="121" t="n"/>
      <s:c r="C703" s="121" t="n"/>
      <s:c r="D703" s="121" t="n"/>
      <s:c r="E703" s="122" t="n"/>
    </s:row>
    <s:row r="704" hidden="1" ht="1" customHeight="1">
      <s:c r="A704" s="120" t="inlineStr"/>
      <s:c r="B704" s="121" t="n"/>
      <s:c r="C704" s="121" t="n"/>
      <s:c r="D704" s="121" t="n"/>
      <s:c r="E704" s="122" t="n"/>
    </s:row>
    <s:row r="705" hidden="1" ht="1" customHeight="1">
      <s:c r="A705" s="120" t="inlineStr"/>
      <s:c r="B705" s="121" t="n"/>
      <s:c r="C705" s="121" t="n"/>
      <s:c r="D705" s="121" t="n"/>
      <s:c r="E705" s="122" t="n"/>
    </s:row>
    <s:row r="706" hidden="1" ht="1" customHeight="1">
      <s:c r="A706" s="120" t="inlineStr"/>
      <s:c r="B706" s="121" t="n"/>
      <s:c r="C706" s="121" t="n"/>
      <s:c r="D706" s="121" t="n"/>
      <s:c r="E706" s="122" t="n"/>
    </s:row>
    <s:row r="707" hidden="1" ht="1" customHeight="1">
      <s:c r="A707" s="120" t="inlineStr"/>
      <s:c r="B707" s="121" t="n"/>
      <s:c r="C707" s="121" t="n"/>
      <s:c r="D707" s="121" t="n"/>
      <s:c r="E707" s="122" t="n"/>
    </s:row>
    <s:row r="708" hidden="1" ht="1" customHeight="1">
      <s:c r="A708" s="120" t="inlineStr"/>
      <s:c r="B708" s="121" t="n"/>
      <s:c r="C708" s="121" t="n"/>
      <s:c r="D708" s="121" t="n"/>
      <s:c r="E708" s="122" t="n"/>
    </s:row>
    <s:row r="709" hidden="1" ht="1" customHeight="1">
      <s:c r="A709" s="120" t="inlineStr"/>
      <s:c r="B709" s="121" t="n"/>
      <s:c r="C709" s="121" t="n"/>
      <s:c r="D709" s="121" t="n"/>
      <s:c r="E709" s="122" t="n"/>
    </s:row>
    <s:row r="710" hidden="1" ht="1" customHeight="1">
      <s:c r="A710" s="120" t="inlineStr"/>
      <s:c r="B710" s="121" t="n"/>
      <s:c r="C710" s="121" t="n"/>
      <s:c r="D710" s="121" t="n"/>
      <s:c r="E710" s="122" t="n"/>
    </s:row>
    <s:row r="711" hidden="1" ht="1" customHeight="1">
      <s:c r="A711" s="120" t="inlineStr"/>
      <s:c r="B711" s="121" t="n"/>
      <s:c r="C711" s="121" t="n"/>
      <s:c r="D711" s="121" t="n"/>
      <s:c r="E711" s="122" t="n"/>
    </s:row>
    <s:row r="712" hidden="1" ht="1" customHeight="1">
      <s:c r="A712" s="120" t="inlineStr"/>
      <s:c r="B712" s="121" t="n"/>
      <s:c r="C712" s="121" t="n"/>
      <s:c r="D712" s="121" t="n"/>
      <s:c r="E712" s="122" t="n"/>
    </s:row>
    <s:row r="713" hidden="1" ht="1" customHeight="1">
      <s:c r="A713" s="120" t="inlineStr"/>
      <s:c r="B713" s="121" t="n"/>
      <s:c r="C713" s="121" t="n"/>
      <s:c r="D713" s="121" t="n"/>
      <s:c r="E713" s="122" t="n"/>
    </s:row>
    <s:row r="714" hidden="1" ht="1" customHeight="1">
      <s:c r="A714" s="120" t="inlineStr"/>
      <s:c r="B714" s="121" t="n"/>
      <s:c r="C714" s="121" t="n"/>
      <s:c r="D714" s="121" t="n"/>
      <s:c r="E714" s="122" t="n"/>
    </s:row>
    <s:row r="715" hidden="1" ht="1" customHeight="1">
      <s:c r="A715" s="120" t="inlineStr"/>
      <s:c r="B715" s="121" t="n"/>
      <s:c r="C715" s="121" t="n"/>
      <s:c r="D715" s="121" t="n"/>
      <s:c r="E715" s="122" t="n"/>
    </s:row>
    <s:row r="716" hidden="1" ht="1" customHeight="1">
      <s:c r="A716" s="120" t="inlineStr"/>
      <s:c r="B716" s="121" t="n"/>
      <s:c r="C716" s="121" t="n"/>
      <s:c r="D716" s="121" t="n"/>
      <s:c r="E716" s="122" t="n"/>
    </s:row>
    <s:row r="717" hidden="1" ht="1" customHeight="1">
      <s:c r="A717" s="120" t="inlineStr"/>
      <s:c r="B717" s="121" t="n"/>
      <s:c r="C717" s="121" t="n"/>
      <s:c r="D717" s="121" t="n"/>
      <s:c r="E717" s="122" t="n"/>
    </s:row>
    <s:row r="718" hidden="1" ht="1" customHeight="1">
      <s:c r="A718" s="120" t="inlineStr"/>
      <s:c r="B718" s="121" t="n"/>
      <s:c r="C718" s="121" t="n"/>
      <s:c r="D718" s="121" t="n"/>
      <s:c r="E718" s="122" t="n"/>
    </s:row>
    <s:row r="719" hidden="1" ht="1" customHeight="1">
      <s:c r="A719" s="120" t="inlineStr"/>
      <s:c r="B719" s="121" t="n"/>
      <s:c r="C719" s="121" t="n"/>
      <s:c r="D719" s="121" t="n"/>
      <s:c r="E719" s="122" t="n"/>
    </s:row>
    <s:row r="720" hidden="1" ht="1" customHeight="1">
      <s:c r="A720" s="120" t="inlineStr"/>
      <s:c r="B720" s="121" t="n"/>
      <s:c r="C720" s="121" t="n"/>
      <s:c r="D720" s="121" t="n"/>
      <s:c r="E720" s="122" t="n"/>
    </s:row>
    <s:row r="721" hidden="1" ht="1" customHeight="1">
      <s:c r="A721" s="120" t="inlineStr"/>
      <s:c r="B721" s="121" t="n"/>
      <s:c r="C721" s="121" t="n"/>
      <s:c r="D721" s="121" t="n"/>
      <s:c r="E721" s="122" t="n"/>
    </s:row>
    <s:row r="722" hidden="1" ht="1" customHeight="1">
      <s:c r="A722" s="120" t="inlineStr"/>
      <s:c r="B722" s="121" t="n"/>
      <s:c r="C722" s="121" t="n"/>
      <s:c r="D722" s="121" t="n"/>
      <s:c r="E722" s="122" t="n"/>
    </s:row>
    <s:row r="723" hidden="1" ht="1" customHeight="1">
      <s:c r="A723" s="120" t="inlineStr"/>
      <s:c r="B723" s="121" t="n"/>
      <s:c r="C723" s="121" t="n"/>
      <s:c r="D723" s="121" t="n"/>
      <s:c r="E723" s="122" t="n"/>
    </s:row>
    <s:row r="724" hidden="1" ht="1" customHeight="1">
      <s:c r="A724" s="120" t="inlineStr"/>
      <s:c r="B724" s="121" t="n"/>
      <s:c r="C724" s="121" t="n"/>
      <s:c r="D724" s="121" t="n"/>
      <s:c r="E724" s="122" t="n"/>
    </s:row>
    <s:row r="725" hidden="1" ht="1" customHeight="1">
      <s:c r="A725" s="120" t="inlineStr"/>
      <s:c r="B725" s="121" t="n"/>
      <s:c r="C725" s="121" t="n"/>
      <s:c r="D725" s="121" t="n"/>
      <s:c r="E725" s="122" t="n"/>
    </s:row>
    <s:row r="726" hidden="1" ht="1" customHeight="1">
      <s:c r="A726" s="120" t="inlineStr"/>
      <s:c r="B726" s="121" t="n"/>
      <s:c r="C726" s="121" t="n"/>
      <s:c r="D726" s="121" t="n"/>
      <s:c r="E726" s="122" t="n"/>
    </s:row>
    <s:row r="727" hidden="1" ht="1" customHeight="1">
      <s:c r="A727" s="120" t="inlineStr"/>
      <s:c r="B727" s="121" t="n"/>
      <s:c r="C727" s="121" t="n"/>
      <s:c r="D727" s="121" t="n"/>
      <s:c r="E727" s="122" t="n"/>
    </s:row>
    <s:row r="728" hidden="1" ht="1" customHeight="1">
      <s:c r="A728" s="120" t="inlineStr"/>
      <s:c r="B728" s="121" t="n"/>
      <s:c r="C728" s="121" t="n"/>
      <s:c r="D728" s="121" t="n"/>
      <s:c r="E728" s="122" t="n"/>
    </s:row>
    <s:row r="729" hidden="1" ht="1" customHeight="1">
      <s:c r="A729" s="120" t="inlineStr"/>
      <s:c r="B729" s="121" t="n"/>
      <s:c r="C729" s="121" t="n"/>
      <s:c r="D729" s="121" t="n"/>
      <s:c r="E729" s="122" t="n"/>
    </s:row>
    <s:row r="730" hidden="1" ht="1" customHeight="1">
      <s:c r="A730" s="120" t="inlineStr"/>
      <s:c r="B730" s="121" t="n"/>
      <s:c r="C730" s="121" t="n"/>
      <s:c r="D730" s="121" t="n"/>
      <s:c r="E730" s="122" t="n"/>
    </s:row>
    <s:row r="731" hidden="1" ht="1" customHeight="1">
      <s:c r="A731" s="120" t="inlineStr"/>
      <s:c r="B731" s="121" t="n"/>
      <s:c r="C731" s="121" t="n"/>
      <s:c r="D731" s="121" t="n"/>
      <s:c r="E731" s="122" t="n"/>
    </s:row>
    <s:row r="732" hidden="1" ht="1" customHeight="1">
      <s:c r="A732" s="120" t="inlineStr"/>
      <s:c r="B732" s="121" t="n"/>
      <s:c r="C732" s="121" t="n"/>
      <s:c r="D732" s="121" t="n"/>
      <s:c r="E732" s="122" t="n"/>
    </s:row>
    <s:row r="733" hidden="1" ht="1" customHeight="1">
      <s:c r="A733" s="120" t="inlineStr"/>
      <s:c r="B733" s="121" t="n"/>
      <s:c r="C733" s="121" t="n"/>
      <s:c r="D733" s="121" t="n"/>
      <s:c r="E733" s="122" t="n"/>
    </s:row>
    <s:row r="734" hidden="1" ht="1" customHeight="1">
      <s:c r="A734" s="120" t="inlineStr"/>
      <s:c r="B734" s="121" t="n"/>
      <s:c r="C734" s="121" t="n"/>
      <s:c r="D734" s="121" t="n"/>
      <s:c r="E734" s="122" t="n"/>
    </s:row>
    <s:row r="735" hidden="1" ht="1" customHeight="1">
      <s:c r="A735" s="120" t="inlineStr"/>
      <s:c r="B735" s="121" t="n"/>
      <s:c r="C735" s="121" t="n"/>
      <s:c r="D735" s="121" t="n"/>
      <s:c r="E735" s="122" t="n"/>
    </s:row>
    <s:row r="736" hidden="1" ht="1" customHeight="1">
      <s:c r="A736" s="120" t="inlineStr"/>
      <s:c r="B736" s="121" t="n"/>
      <s:c r="C736" s="121" t="n"/>
      <s:c r="D736" s="121" t="n"/>
      <s:c r="E736" s="122" t="n"/>
    </s:row>
    <s:row r="737" hidden="1" ht="1" customHeight="1">
      <s:c r="A737" s="120" t="inlineStr"/>
      <s:c r="B737" s="121" t="n"/>
      <s:c r="C737" s="121" t="n"/>
      <s:c r="D737" s="121" t="n"/>
      <s:c r="E737" s="122" t="n"/>
    </s:row>
    <s:row r="738" hidden="1" ht="1" customHeight="1">
      <s:c r="A738" s="120" t="inlineStr"/>
      <s:c r="B738" s="121" t="n"/>
      <s:c r="C738" s="121" t="n"/>
      <s:c r="D738" s="121" t="n"/>
      <s:c r="E738" s="122" t="n"/>
    </s:row>
    <s:row r="739" hidden="1" ht="1" customHeight="1">
      <s:c r="A739" s="120" t="inlineStr"/>
      <s:c r="B739" s="121" t="n"/>
      <s:c r="C739" s="121" t="n"/>
      <s:c r="D739" s="121" t="n"/>
      <s:c r="E739" s="122" t="n"/>
    </s:row>
    <s:row r="740" hidden="1" ht="1" customHeight="1">
      <s:c r="A740" s="120" t="inlineStr"/>
      <s:c r="B740" s="121" t="n"/>
      <s:c r="C740" s="121" t="n"/>
      <s:c r="D740" s="121" t="n"/>
      <s:c r="E740" s="122" t="n"/>
    </s:row>
    <s:row r="741" hidden="1" ht="1" customHeight="1">
      <s:c r="A741" s="120" t="inlineStr"/>
      <s:c r="B741" s="121" t="n"/>
      <s:c r="C741" s="121" t="n"/>
      <s:c r="D741" s="121" t="n"/>
      <s:c r="E741" s="122" t="n"/>
    </s:row>
    <s:row r="742" hidden="1" ht="1" customHeight="1">
      <s:c r="A742" s="120" t="inlineStr"/>
      <s:c r="B742" s="121" t="n"/>
      <s:c r="C742" s="121" t="n"/>
      <s:c r="D742" s="121" t="n"/>
      <s:c r="E742" s="122" t="n"/>
    </s:row>
    <s:row r="743" hidden="1" ht="1" customHeight="1">
      <s:c r="A743" s="120" t="inlineStr"/>
      <s:c r="B743" s="121" t="n"/>
      <s:c r="C743" s="121" t="n"/>
      <s:c r="D743" s="121" t="n"/>
      <s:c r="E743" s="122" t="n"/>
    </s:row>
    <s:row r="744" hidden="1" ht="1" customHeight="1">
      <s:c r="A744" s="120" t="inlineStr"/>
      <s:c r="B744" s="121" t="n"/>
      <s:c r="C744" s="121" t="n"/>
      <s:c r="D744" s="121" t="n"/>
      <s:c r="E744" s="122" t="n"/>
    </s:row>
    <s:row r="745" hidden="1" ht="1" customHeight="1">
      <s:c r="A745" s="120" t="inlineStr"/>
      <s:c r="B745" s="121" t="n"/>
      <s:c r="C745" s="121" t="n"/>
      <s:c r="D745" s="121" t="n"/>
      <s:c r="E745" s="122" t="n"/>
    </s:row>
    <s:row r="746" hidden="1" ht="1" customHeight="1">
      <s:c r="A746" s="120" t="inlineStr"/>
      <s:c r="B746" s="121" t="n"/>
      <s:c r="C746" s="121" t="n"/>
      <s:c r="D746" s="121" t="n"/>
      <s:c r="E746" s="122" t="n"/>
    </s:row>
    <s:row r="747" hidden="1" ht="1" customHeight="1">
      <s:c r="A747" s="120" t="inlineStr"/>
      <s:c r="B747" s="121" t="n"/>
      <s:c r="C747" s="121" t="n"/>
      <s:c r="D747" s="121" t="n"/>
      <s:c r="E747" s="122" t="n"/>
    </s:row>
    <s:row r="748" hidden="1" ht="1" customHeight="1">
      <s:c r="A748" s="120" t="inlineStr"/>
      <s:c r="B748" s="121" t="n"/>
      <s:c r="C748" s="121" t="n"/>
      <s:c r="D748" s="121" t="n"/>
      <s:c r="E748" s="122" t="n"/>
    </s:row>
    <s:row r="749" hidden="1" ht="1" customHeight="1">
      <s:c r="A749" s="120" t="inlineStr"/>
      <s:c r="B749" s="121" t="n"/>
      <s:c r="C749" s="121" t="n"/>
      <s:c r="D749" s="121" t="n"/>
      <s:c r="E749" s="122" t="n"/>
    </s:row>
    <s:row r="750" hidden="1" ht="1" customHeight="1">
      <s:c r="A750" s="120" t="inlineStr"/>
      <s:c r="B750" s="121" t="n"/>
      <s:c r="C750" s="121" t="n"/>
      <s:c r="D750" s="121" t="n"/>
      <s:c r="E750" s="122" t="n"/>
    </s:row>
    <s:row r="751" hidden="1" ht="1" customHeight="1">
      <s:c r="A751" s="120" t="inlineStr"/>
      <s:c r="B751" s="121" t="n"/>
      <s:c r="C751" s="121" t="n"/>
      <s:c r="D751" s="121" t="n"/>
      <s:c r="E751" s="122" t="n"/>
    </s:row>
    <s:row r="752" hidden="1" ht="1" customHeight="1">
      <s:c r="A752" s="120" t="inlineStr"/>
      <s:c r="B752" s="121" t="n"/>
      <s:c r="C752" s="121" t="n"/>
      <s:c r="D752" s="121" t="n"/>
      <s:c r="E752" s="122" t="n"/>
    </s:row>
    <s:row r="753" hidden="1" ht="1" customHeight="1">
      <s:c r="A753" s="120" t="inlineStr"/>
      <s:c r="B753" s="121" t="n"/>
      <s:c r="C753" s="121" t="n"/>
      <s:c r="D753" s="121" t="n"/>
      <s:c r="E753" s="122" t="n"/>
    </s:row>
    <s:row r="754" hidden="1" ht="1" customHeight="1">
      <s:c r="A754" s="120" t="inlineStr"/>
      <s:c r="B754" s="121" t="n"/>
      <s:c r="C754" s="121" t="n"/>
      <s:c r="D754" s="121" t="n"/>
      <s:c r="E754" s="122" t="n"/>
    </s:row>
    <s:row r="755" hidden="1" ht="1" customHeight="1">
      <s:c r="A755" s="120" t="inlineStr"/>
      <s:c r="B755" s="121" t="n"/>
      <s:c r="C755" s="121" t="n"/>
      <s:c r="D755" s="121" t="n"/>
      <s:c r="E755" s="122" t="n"/>
    </s:row>
    <s:row r="756" hidden="1" ht="1" customHeight="1">
      <s:c r="A756" s="120" t="inlineStr"/>
      <s:c r="B756" s="121" t="n"/>
      <s:c r="C756" s="121" t="n"/>
      <s:c r="D756" s="121" t="n"/>
      <s:c r="E756" s="122" t="n"/>
    </s:row>
    <s:row r="757" hidden="1" ht="1" customHeight="1">
      <s:c r="A757" s="120" t="inlineStr"/>
      <s:c r="B757" s="121" t="n"/>
      <s:c r="C757" s="121" t="n"/>
      <s:c r="D757" s="121" t="n"/>
      <s:c r="E757" s="122" t="n"/>
    </s:row>
    <s:row r="758" hidden="1" ht="1" customHeight="1">
      <s:c r="A758" s="120" t="inlineStr"/>
      <s:c r="B758" s="121" t="n"/>
      <s:c r="C758" s="121" t="n"/>
      <s:c r="D758" s="121" t="n"/>
      <s:c r="E758" s="122" t="n"/>
    </s:row>
    <s:row r="759" hidden="1" ht="1" customHeight="1">
      <s:c r="A759" s="120" t="inlineStr"/>
      <s:c r="B759" s="121" t="n"/>
      <s:c r="C759" s="121" t="n"/>
      <s:c r="D759" s="121" t="n"/>
      <s:c r="E759" s="122" t="n"/>
    </s:row>
    <s:row r="760" hidden="1" ht="1" customHeight="1">
      <s:c r="A760" s="120" t="inlineStr"/>
      <s:c r="B760" s="121" t="n"/>
      <s:c r="C760" s="121" t="n"/>
      <s:c r="D760" s="121" t="n"/>
      <s:c r="E760" s="122" t="n"/>
    </s:row>
    <s:row r="761" hidden="1" ht="1" customHeight="1">
      <s:c r="A761" s="120" t="inlineStr"/>
      <s:c r="B761" s="121" t="n"/>
      <s:c r="C761" s="121" t="n"/>
      <s:c r="D761" s="121" t="n"/>
      <s:c r="E761" s="122" t="n"/>
    </s:row>
    <s:row r="762" hidden="1" ht="1" customHeight="1">
      <s:c r="A762" s="120" t="inlineStr"/>
      <s:c r="B762" s="121" t="n"/>
      <s:c r="C762" s="121" t="n"/>
      <s:c r="D762" s="121" t="n"/>
      <s:c r="E762" s="122" t="n"/>
    </s:row>
    <s:row r="763" hidden="1" ht="1" customHeight="1">
      <s:c r="A763" s="120" t="inlineStr"/>
      <s:c r="B763" s="121" t="n"/>
      <s:c r="C763" s="121" t="n"/>
      <s:c r="D763" s="121" t="n"/>
      <s:c r="E763" s="122" t="n"/>
    </s:row>
    <s:row r="764" hidden="1" ht="1" customHeight="1">
      <s:c r="A764" s="120" t="inlineStr"/>
      <s:c r="B764" s="121" t="n"/>
      <s:c r="C764" s="121" t="n"/>
      <s:c r="D764" s="121" t="n"/>
      <s:c r="E764" s="122" t="n"/>
    </s:row>
    <s:row r="765" hidden="1" ht="1" customHeight="1">
      <s:c r="A765" s="120" t="inlineStr"/>
      <s:c r="B765" s="121" t="n"/>
      <s:c r="C765" s="121" t="n"/>
      <s:c r="D765" s="121" t="n"/>
      <s:c r="E765" s="122" t="n"/>
    </s:row>
    <s:row r="766" hidden="1" ht="1" customHeight="1">
      <s:c r="A766" s="120" t="inlineStr"/>
      <s:c r="B766" s="121" t="n"/>
      <s:c r="C766" s="121" t="n"/>
      <s:c r="D766" s="121" t="n"/>
      <s:c r="E766" s="122" t="n"/>
    </s:row>
    <s:row r="767" hidden="1" ht="1" customHeight="1">
      <s:c r="A767" s="120" t="inlineStr"/>
      <s:c r="B767" s="121" t="n"/>
      <s:c r="C767" s="121" t="n"/>
      <s:c r="D767" s="121" t="n"/>
      <s:c r="E767" s="122" t="n"/>
    </s:row>
    <s:row r="768" hidden="1" ht="1" customHeight="1">
      <s:c r="A768" s="120" t="inlineStr"/>
      <s:c r="B768" s="121" t="n"/>
      <s:c r="C768" s="121" t="n"/>
      <s:c r="D768" s="121" t="n"/>
      <s:c r="E768" s="122" t="n"/>
    </s:row>
    <s:row r="769" hidden="1" ht="1" customHeight="1">
      <s:c r="A769" s="120" t="inlineStr"/>
      <s:c r="B769" s="121" t="n"/>
      <s:c r="C769" s="121" t="n"/>
      <s:c r="D769" s="121" t="n"/>
      <s:c r="E769" s="122" t="n"/>
    </s:row>
    <s:row r="770" hidden="1" ht="1" customHeight="1">
      <s:c r="A770" s="120" t="inlineStr"/>
      <s:c r="B770" s="121" t="n"/>
      <s:c r="C770" s="121" t="n"/>
      <s:c r="D770" s="121" t="n"/>
      <s:c r="E770" s="122" t="n"/>
    </s:row>
    <s:row r="771" hidden="1" ht="1" customHeight="1">
      <s:c r="A771" s="120" t="inlineStr"/>
      <s:c r="B771" s="121" t="n"/>
      <s:c r="C771" s="121" t="n"/>
      <s:c r="D771" s="121" t="n"/>
      <s:c r="E771" s="122" t="n"/>
    </s:row>
    <s:row r="772" hidden="1" ht="1" customHeight="1">
      <s:c r="A772" s="120" t="inlineStr"/>
      <s:c r="B772" s="121" t="n"/>
      <s:c r="C772" s="121" t="n"/>
      <s:c r="D772" s="121" t="n"/>
      <s:c r="E772" s="122" t="n"/>
    </s:row>
    <s:row r="773" hidden="1" ht="1" customHeight="1">
      <s:c r="A773" s="120" t="inlineStr"/>
      <s:c r="B773" s="121" t="n"/>
      <s:c r="C773" s="121" t="n"/>
      <s:c r="D773" s="121" t="n"/>
      <s:c r="E773" s="122" t="n"/>
    </s:row>
    <s:row r="774" hidden="1" ht="1" customHeight="1">
      <s:c r="A774" s="120" t="inlineStr"/>
      <s:c r="B774" s="121" t="n"/>
      <s:c r="C774" s="121" t="n"/>
      <s:c r="D774" s="121" t="n"/>
      <s:c r="E774" s="122" t="n"/>
    </s:row>
    <s:row r="775" hidden="1" ht="1" customHeight="1">
      <s:c r="A775" s="120" t="inlineStr"/>
      <s:c r="B775" s="121" t="n"/>
      <s:c r="C775" s="121" t="n"/>
      <s:c r="D775" s="121" t="n"/>
      <s:c r="E775" s="122" t="n"/>
    </s:row>
    <s:row r="776" hidden="1" ht="1" customHeight="1">
      <s:c r="A776" s="120" t="inlineStr"/>
      <s:c r="B776" s="121" t="n"/>
      <s:c r="C776" s="121" t="n"/>
      <s:c r="D776" s="121" t="n"/>
      <s:c r="E776" s="122" t="n"/>
    </s:row>
    <s:row r="777" hidden="1" ht="1" customHeight="1">
      <s:c r="A777" s="120" t="inlineStr"/>
      <s:c r="B777" s="121" t="n"/>
      <s:c r="C777" s="121" t="n"/>
      <s:c r="D777" s="121" t="n"/>
      <s:c r="E777" s="122" t="n"/>
    </s:row>
    <s:row r="778" hidden="1" ht="1" customHeight="1">
      <s:c r="A778" s="120" t="inlineStr"/>
      <s:c r="B778" s="121" t="n"/>
      <s:c r="C778" s="121" t="n"/>
      <s:c r="D778" s="121" t="n"/>
      <s:c r="E778" s="122" t="n"/>
    </s:row>
    <s:row r="779" hidden="1" ht="1" customHeight="1">
      <s:c r="A779" s="120" t="inlineStr"/>
      <s:c r="B779" s="121" t="n"/>
      <s:c r="C779" s="121" t="n"/>
      <s:c r="D779" s="121" t="n"/>
      <s:c r="E779" s="122" t="n"/>
    </s:row>
    <s:row r="780" hidden="1" ht="1" customHeight="1">
      <s:c r="A780" s="120" t="inlineStr"/>
      <s:c r="B780" s="121" t="n"/>
      <s:c r="C780" s="121" t="n"/>
      <s:c r="D780" s="121" t="n"/>
      <s:c r="E780" s="122" t="n"/>
    </s:row>
    <s:row r="781" hidden="1" ht="1" customHeight="1">
      <s:c r="A781" s="120" t="inlineStr"/>
      <s:c r="B781" s="121" t="n"/>
      <s:c r="C781" s="121" t="n"/>
      <s:c r="D781" s="121" t="n"/>
      <s:c r="E781" s="122" t="n"/>
    </s:row>
    <s:row r="782" hidden="1" ht="1" customHeight="1">
      <s:c r="A782" s="120" t="inlineStr"/>
      <s:c r="B782" s="121" t="n"/>
      <s:c r="C782" s="121" t="n"/>
      <s:c r="D782" s="121" t="n"/>
      <s:c r="E782" s="122" t="n"/>
    </s:row>
    <s:row r="783" hidden="1" ht="1" customHeight="1">
      <s:c r="A783" s="120" t="inlineStr"/>
      <s:c r="B783" s="121" t="n"/>
      <s:c r="C783" s="121" t="n"/>
      <s:c r="D783" s="121" t="n"/>
      <s:c r="E783" s="122" t="n"/>
    </s:row>
    <s:row r="784" hidden="1" ht="1" customHeight="1">
      <s:c r="A784" s="120" t="inlineStr"/>
      <s:c r="B784" s="121" t="n"/>
      <s:c r="C784" s="121" t="n"/>
      <s:c r="D784" s="121" t="n"/>
      <s:c r="E784" s="122" t="n"/>
    </s:row>
    <s:row r="785" hidden="1" ht="1" customHeight="1">
      <s:c r="A785" s="120" t="inlineStr"/>
      <s:c r="B785" s="121" t="n"/>
      <s:c r="C785" s="121" t="n"/>
      <s:c r="D785" s="121" t="n"/>
      <s:c r="E785" s="122" t="n"/>
    </s:row>
    <s:row r="786" hidden="1" ht="1" customHeight="1">
      <s:c r="A786" s="120" t="inlineStr"/>
      <s:c r="B786" s="121" t="n"/>
      <s:c r="C786" s="121" t="n"/>
      <s:c r="D786" s="121" t="n"/>
      <s:c r="E786" s="122" t="n"/>
    </s:row>
    <s:row r="787" hidden="1" ht="1" customHeight="1">
      <s:c r="A787" s="120" t="inlineStr"/>
      <s:c r="B787" s="121" t="n"/>
      <s:c r="C787" s="121" t="n"/>
      <s:c r="D787" s="121" t="n"/>
      <s:c r="E787" s="122" t="n"/>
    </s:row>
    <s:row r="788" hidden="1" ht="1" customHeight="1">
      <s:c r="A788" s="120" t="inlineStr"/>
      <s:c r="B788" s="121" t="n"/>
      <s:c r="C788" s="121" t="n"/>
      <s:c r="D788" s="121" t="n"/>
      <s:c r="E788" s="122" t="n"/>
    </s:row>
    <s:row r="789" hidden="1" ht="1" customHeight="1">
      <s:c r="A789" s="120" t="inlineStr"/>
      <s:c r="B789" s="121" t="n"/>
      <s:c r="C789" s="121" t="n"/>
      <s:c r="D789" s="121" t="n"/>
      <s:c r="E789" s="122" t="n"/>
    </s:row>
    <s:row r="790" hidden="1" ht="1" customHeight="1">
      <s:c r="A790" s="120" t="inlineStr"/>
      <s:c r="B790" s="121" t="n"/>
      <s:c r="C790" s="121" t="n"/>
      <s:c r="D790" s="121" t="n"/>
      <s:c r="E790" s="122" t="n"/>
    </s:row>
    <s:row r="791" hidden="1" ht="1" customHeight="1">
      <s:c r="A791" s="120" t="inlineStr"/>
      <s:c r="B791" s="121" t="n"/>
      <s:c r="C791" s="121" t="n"/>
      <s:c r="D791" s="121" t="n"/>
      <s:c r="E791" s="122" t="n"/>
    </s:row>
    <s:row r="792" hidden="1" ht="1" customHeight="1">
      <s:c r="A792" s="120" t="inlineStr"/>
      <s:c r="B792" s="121" t="n"/>
      <s:c r="C792" s="121" t="n"/>
      <s:c r="D792" s="121" t="n"/>
      <s:c r="E792" s="122" t="n"/>
    </s:row>
    <s:row r="793" hidden="1" ht="1" customHeight="1">
      <s:c r="A793" s="120" t="inlineStr"/>
      <s:c r="B793" s="121" t="n"/>
      <s:c r="C793" s="121" t="n"/>
      <s:c r="D793" s="121" t="n"/>
      <s:c r="E793" s="122" t="n"/>
    </s:row>
    <s:row r="794" hidden="1" ht="1" customHeight="1">
      <s:c r="A794" s="120" t="inlineStr"/>
      <s:c r="B794" s="121" t="n"/>
      <s:c r="C794" s="121" t="n"/>
      <s:c r="D794" s="121" t="n"/>
      <s:c r="E794" s="122" t="n"/>
    </s:row>
    <s:row r="795" hidden="1" ht="1" customHeight="1">
      <s:c r="A795" s="120" t="inlineStr"/>
      <s:c r="B795" s="121" t="n"/>
      <s:c r="C795" s="121" t="n"/>
      <s:c r="D795" s="121" t="n"/>
      <s:c r="E795" s="122" t="n"/>
    </s:row>
    <s:row r="796" hidden="1" ht="1" customHeight="1">
      <s:c r="A796" s="120" t="inlineStr"/>
      <s:c r="B796" s="121" t="n"/>
      <s:c r="C796" s="121" t="n"/>
      <s:c r="D796" s="121" t="n"/>
      <s:c r="E796" s="122" t="n"/>
    </s:row>
    <s:row r="797" hidden="1" ht="1" customHeight="1">
      <s:c r="A797" s="120" t="inlineStr"/>
      <s:c r="B797" s="121" t="n"/>
      <s:c r="C797" s="121" t="n"/>
      <s:c r="D797" s="121" t="n"/>
      <s:c r="E797" s="122" t="n"/>
    </s:row>
    <s:row r="798" hidden="1" ht="1" customHeight="1">
      <s:c r="A798" s="120" t="inlineStr"/>
      <s:c r="B798" s="121" t="n"/>
      <s:c r="C798" s="121" t="n"/>
      <s:c r="D798" s="121" t="n"/>
      <s:c r="E798" s="122" t="n"/>
    </s:row>
    <s:row r="799" hidden="1" ht="1" customHeight="1">
      <s:c r="A799" s="120" t="inlineStr"/>
      <s:c r="B799" s="121" t="n"/>
      <s:c r="C799" s="121" t="n"/>
      <s:c r="D799" s="121" t="n"/>
      <s:c r="E799" s="122" t="n"/>
    </s:row>
    <s:row r="800" hidden="1" ht="1" customHeight="1">
      <s:c r="A800" s="120" t="inlineStr"/>
      <s:c r="B800" s="121" t="n"/>
      <s:c r="C800" s="121" t="n"/>
      <s:c r="D800" s="121" t="n"/>
      <s:c r="E800" s="122" t="n"/>
    </s:row>
    <s:row r="801" hidden="1" ht="1" customHeight="1">
      <s:c r="A801" s="120" t="inlineStr"/>
      <s:c r="B801" s="121" t="n"/>
      <s:c r="C801" s="121" t="n"/>
      <s:c r="D801" s="121" t="n"/>
      <s:c r="E801" s="122" t="n"/>
    </s:row>
    <s:row r="802" hidden="1" ht="1" customHeight="1">
      <s:c r="A802" s="120" t="inlineStr"/>
      <s:c r="B802" s="121" t="n"/>
      <s:c r="C802" s="121" t="n"/>
      <s:c r="D802" s="121" t="n"/>
      <s:c r="E802" s="122" t="n"/>
    </s:row>
    <s:row r="803" hidden="1" ht="1" customHeight="1">
      <s:c r="A803" s="120" t="inlineStr"/>
      <s:c r="B803" s="121" t="n"/>
      <s:c r="C803" s="121" t="n"/>
      <s:c r="D803" s="121" t="n"/>
      <s:c r="E803" s="122" t="n"/>
    </s:row>
    <s:row r="804" hidden="1" ht="1" customHeight="1">
      <s:c r="A804" s="120" t="inlineStr"/>
      <s:c r="B804" s="121" t="n"/>
      <s:c r="C804" s="121" t="n"/>
      <s:c r="D804" s="121" t="n"/>
      <s:c r="E804" s="122" t="n"/>
    </s:row>
    <s:row r="805" hidden="1" ht="1" customHeight="1">
      <s:c r="A805" s="120" t="inlineStr"/>
      <s:c r="B805" s="121" t="n"/>
      <s:c r="C805" s="121" t="n"/>
      <s:c r="D805" s="121" t="n"/>
      <s:c r="E805" s="122" t="n"/>
    </s:row>
    <s:row r="806" hidden="1" ht="1" customHeight="1">
      <s:c r="A806" s="120" t="inlineStr"/>
      <s:c r="B806" s="121" t="n"/>
      <s:c r="C806" s="121" t="n"/>
      <s:c r="D806" s="121" t="n"/>
      <s:c r="E806" s="122" t="n"/>
    </s:row>
    <s:row r="807" hidden="1" ht="1" customHeight="1">
      <s:c r="A807" s="120" t="inlineStr"/>
      <s:c r="B807" s="121" t="n"/>
      <s:c r="C807" s="121" t="n"/>
      <s:c r="D807" s="121" t="n"/>
      <s:c r="E807" s="122" t="n"/>
    </s:row>
    <s:row r="808" hidden="1" ht="1" customHeight="1">
      <s:c r="A808" s="120" t="inlineStr"/>
      <s:c r="B808" s="121" t="n"/>
      <s:c r="C808" s="121" t="n"/>
      <s:c r="D808" s="121" t="n"/>
      <s:c r="E808" s="122" t="n"/>
    </s:row>
    <s:row r="809" hidden="1" ht="1" customHeight="1">
      <s:c r="A809" s="120" t="inlineStr"/>
      <s:c r="B809" s="121" t="n"/>
      <s:c r="C809" s="121" t="n"/>
      <s:c r="D809" s="121" t="n"/>
      <s:c r="E809" s="122" t="n"/>
    </s:row>
    <s:row r="810" hidden="1" ht="1" customHeight="1">
      <s:c r="A810" s="120" t="inlineStr"/>
      <s:c r="B810" s="121" t="n"/>
      <s:c r="C810" s="121" t="n"/>
      <s:c r="D810" s="121" t="n"/>
      <s:c r="E810" s="122" t="n"/>
    </s:row>
    <s:row r="811" hidden="1" ht="1" customHeight="1">
      <s:c r="A811" s="120" t="inlineStr"/>
      <s:c r="B811" s="121" t="n"/>
      <s:c r="C811" s="121" t="n"/>
      <s:c r="D811" s="121" t="n"/>
      <s:c r="E811" s="122" t="n"/>
    </s:row>
    <s:row r="812" hidden="1" ht="1" customHeight="1">
      <s:c r="A812" s="120" t="inlineStr"/>
      <s:c r="B812" s="121" t="n"/>
      <s:c r="C812" s="121" t="n"/>
      <s:c r="D812" s="121" t="n"/>
      <s:c r="E812" s="122" t="n"/>
    </s:row>
    <s:row r="813" hidden="1" ht="1" customHeight="1">
      <s:c r="A813" s="120" t="inlineStr"/>
      <s:c r="B813" s="121" t="n"/>
      <s:c r="C813" s="121" t="n"/>
      <s:c r="D813" s="121" t="n"/>
      <s:c r="E813" s="122" t="n"/>
    </s:row>
    <s:row r="814" hidden="1" ht="1" customHeight="1">
      <s:c r="A814" s="120" t="inlineStr"/>
      <s:c r="B814" s="121" t="n"/>
      <s:c r="C814" s="121" t="n"/>
      <s:c r="D814" s="121" t="n"/>
      <s:c r="E814" s="122" t="n"/>
    </s:row>
    <s:row r="815" hidden="1" ht="1" customHeight="1">
      <s:c r="A815" s="83" t="inlineStr">
        <s:is>
          <s:t>PASS</s:t>
        </s:is>
      </s:c>
      <s:c r="B815" s="83">
        <s:f>SUM(IF(EXACT('Kiểm thử'!E665,"Đạt"),1,0),IF(EXACT('Kiểm thử'!E667,"Đạt"),1,0),IF(EXACT('Kiểm thử'!E669,"Đạt"),1,0))</s:f>
        <s:v/>
      </s:c>
      <s:c r="C815" s="19" t="n"/>
      <s:c r="D815" s="19" t="n"/>
      <s:c r="E815" s="19" t="n"/>
    </s:row>
    <s:row r="816" hidden="1" ht="1" customHeight="1">
      <s:c r="A816" s="83" t="inlineStr">
        <s:is>
          <s:t>FAIL</s:t>
        </s:is>
      </s:c>
      <s:c r="B816" s="83">
        <s:f>SUM(IF(EXACT('Kiểm thử'!E665,"Không đạt"),1,0),IF(EXACT('Kiểm thử'!E667,"Không đạt"),1,0),IF(EXACT('Kiểm thử'!E669,"Không đạt"),1,0))</s:f>
        <s:v/>
      </s:c>
      <s:c r="C816" s="19" t="n"/>
      <s:c r="D816" s="19" t="n"/>
      <s:c r="E816" s="19" t="n"/>
    </s:row>
    <s:row r="817" hidden="1" ht="1" customHeight="1">
      <s:c r="A817" s="83" t="inlineStr">
        <s:is>
          <s:t>BLOCKED</s:t>
        </s:is>
      </s:c>
      <s:c r="B817" s="83">
        <s:f>SUM(IF(EXACT('Kiểm thử'!E665,"Bị chặn"),1,0),IF(EXACT('Kiểm thử'!E667,"Bị chặn"),1,0),IF(EXACT('Kiểm thử'!E669,"Bị chặn"),1,0))</s:f>
        <s:v/>
      </s:c>
      <s:c r="C817" s="19" t="n"/>
      <s:c r="D817" s="19" t="n"/>
      <s:c r="E817" s="19" t="n"/>
    </s:row>
    <s:row r="818" hidden="1" ht="1" customHeight="1">
      <s:c r="A818" s="83" t="inlineStr">
        <s:is>
          <s:t>SKIPPED</s:t>
        </s:is>
      </s:c>
      <s:c r="B818" s="83">
        <s:f>SUM(IF(EXACT('Kiểm thử'!E665,"Không thực hiện"),1,0),IF(EXACT('Kiểm thử'!E667,"Không thực hiện"),1,0),IF(EXACT('Kiểm thử'!E669,"Không thực hiện"),1,0))</s:f>
        <s:v/>
      </s:c>
      <s:c r="C818" s="19" t="n"/>
      <s:c r="D818" s="19" t="n"/>
      <s:c r="E818" s="19" t="n"/>
    </s:row>
    <s:row r="819" hidden="1" ht="1" customHeight="1">
      <s:c r="A819" s="83" t="inlineStr">
        <s:is>
          <s:t>NOT RUN</s:t>
        </s:is>
      </s:c>
      <s:c r="B819" s="83">
        <s:f>SUM(IF(EXACT('Kiểm thử'!E665,"Chưa thực hiện"),1,0),IF(EXACT('Kiểm thử'!E667,"Chưa thực hiện"),1,0),IF(EXACT('Kiểm thử'!E669,"Chưa thực hiện"),1,0))</s:f>
        <s:v/>
      </s:c>
      <s:c r="C819" s="19" t="n"/>
      <s:c r="D819" s="19" t="n"/>
      <s:c r="E819" s="19" t="n"/>
    </s:row>
    <s:row r="820" hidden="1" ht="6" customHeight="1">
      <s:c r="A820" s="83" t="inlineStr"/>
      <s:c r="B820" s="19" t="n"/>
      <s:c r="C820" s="19" t="n"/>
      <s:c r="D820" s="19" t="n"/>
      <s:c r="E820" s="19" t="n"/>
    </s:row>
    <s:row r="821" ht="28" customHeight="1">
      <s:c r="A821" s="108" t="inlineStr">
        <s:is>
          <s:t>TC-RS-FUNC-033 — Đổi tên quy tắc: giữ liên kết, thứ tự và kết quả</s:t>
        </s:is>
      </s:c>
      <s:c r="B821" s="111" t="n"/>
      <s:c r="C821" s="111" t="n"/>
      <s:c r="D821" s="111" t="n"/>
      <s:c r="E821" s="111" t="n"/>
    </s:row>
    <s:row r="822" ht="20" customHeight="1">
      <s:c r="A822" s="112" t="inlineStr">
        <s:is>
          <s:t>Kết quả tình huống</s:t>
        </s:is>
      </s:c>
      <s:c r="B822" s="113">
        <s:f>IF(SUM(IF(EXACT('Kiểm thử'!E831,"Không đạt"),1,0))&gt;0,"Không đạt",IF(SUM(IF(EXACT('Kiểm thử'!E831,"Đạt"),1,0))=1,"Đạt",IF(SUM(IF(EXACT('Kiểm thử'!E831,"Không thực hiện"),1,0))=1,"Không thực hiện",IF(SUM(IF(EXACT('Kiểm thử'!E831,"Bị chặn"),1,0))&gt;0,"Bị chặn",IF(SUM(IF(EXACT('Kiểm thử'!E831,"Chưa thực hiện"),1,0))=1,"Chưa thực hiện","Đang thực hiện")))))</s:f>
        <s:v/>
      </s:c>
      <s:c r="C822" s="114" t="n"/>
      <s:c r="D822" s="114" t="n"/>
      <s:c r="E822" s="114" t="n"/>
    </s:row>
    <s:row r="823" ht="20" customHeight="1">
      <s:c r="A823" s="112" t="inlineStr">
        <s:is>
          <s:t>Màn hình / chức năng</s:t>
        </s:is>
      </s:c>
      <s:c r="B823" s="113" t="inlineStr">
        <s:is>
          <s:r>
            <s:rPr>
              <s:b val="1"/>
            </s:rPr>
            <s:t>Thiết lập điểm đỏ（赤点設定）</s:t>
          </s:r>
        </s:is>
      </s:c>
      <s:c r="C823" s="28" t="n"/>
      <s:c r="D823" s="28" t="n"/>
      <s:c r="E823" s="28" t="n"/>
    </s:row>
    <s:row r="824" ht="20" customHeight="1">
      <s:c r="A824" s="112" t="inlineStr">
        <s:is>
          <s:t>Cấu hình</s:t>
        </s:is>
      </s:c>
      <s:c r="B824" s="113" t="inlineStr">
        <s:is>
          <s:t>• Quy tắc “Cố định 30” (dưới 30) đã xét: S01 Đỏ.</s:t>
        </s:is>
      </s:c>
      <s:c r="C824" s="28" t="n"/>
      <s:c r="D824" s="28" t="n"/>
      <s:c r="E824" s="28" t="n"/>
    </s:row>
    <s:row r="825" ht="20" customHeight="1">
      <s:c r="A825" s="112" t="inlineStr">
        <s:is>
          <s:t>Dữ liệu test</s:t>
        </s:is>
      </s:c>
      <s:c r="B825" s="113" t="inlineStr">
        <s:is>
          <s:t>• Quy tắc “Cố định 30” (dưới 30), học sinh S01 (điểm 29)</s:t>
        </s:is>
      </s:c>
      <s:c r="C825" s="28" t="n"/>
      <s:c r="D825" s="28" t="n"/>
      <s:c r="E825" s="28" t="n"/>
    </s:row>
    <s:row r="826" ht="20" customHeight="1">
      <s:c r="A826" s="112" t="inlineStr">
        <s:is>
          <s:t>Bước 1</s:t>
        </s:is>
      </s:c>
      <s:c r="B826" s="113" t="inlineStr">
        <s:is>
          <s:t>Đổi tên quy tắc “Cố định 30” (dưới 30) từ "Cố định 30" thành "Ngưỡng học kỳ 1", Lưu.</s:t>
        </s:is>
      </s:c>
      <s:c r="C826" s="28" t="n"/>
      <s:c r="D826" s="28" t="n"/>
      <s:c r="E826" s="28" t="n"/>
    </s:row>
    <s:row r="827" ht="20" customHeight="1">
      <s:c r="A827" s="112" t="inlineStr">
        <s:is>
          <s:t>Bước 2</s:t>
        </s:is>
      </s:c>
      <s:c r="B827" s="113" t="inlineStr">
        <s:is>
          <s:t>Xem danh sách và ba đầu ra.</s:t>
        </s:is>
      </s:c>
      <s:c r="C827" s="28" t="n"/>
      <s:c r="D827" s="28" t="n"/>
      <s:c r="E827" s="28" t="n"/>
    </s:row>
    <s:row r="828" ht="20" customHeight="1">
      <s:c r="A828" s="112" t="inlineStr">
        <s:is>
          <s:t>Bước 3</s:t>
        </s:is>
      </s:c>
      <s:c r="B828" s="113" t="inlineStr">
        <s:is>
          <s:t>Chạy lại bằng đăng ký điểm S01=29.</s:t>
        </s:is>
      </s:c>
      <s:c r="C828" s="28" t="n"/>
      <s:c r="D828" s="28" t="n"/>
      <s:c r="E828" s="28" t="n"/>
    </s:row>
    <s:row r="829" ht="28" customHeight="1">
      <s:c r="A829" s="115" t="inlineStr">
        <s:is>
          <s:t>Trường hợp</s:t>
        </s:is>
      </s:c>
      <s:c r="B829" s="115" t="inlineStr">
        <s:is>
          <s:t>Dữ liệu / thao tác riêng</s:t>
        </s:is>
      </s:c>
      <s:c r="C829" s="115" t="inlineStr">
        <s:is>
          <s:t>Kết quả mong đợi</s:t>
        </s:is>
      </s:c>
      <s:c r="D829" s="115" t="inlineStr">
        <s:is>
          <s:t>Kết quả thực tế</s:t>
        </s:is>
      </s:c>
      <s:c r="E829" s="115" t="inlineStr">
        <s:is>
          <s:t>Đánh giá</s:t>
        </s:is>
      </s:c>
    </s:row>
    <s:row r="830" ht="3" customHeight="1">
      <s:c r="A830" s="102" t="inlineStr"/>
      <s:c r="B830" s="99" t="n"/>
      <s:c r="C830" s="99" t="n"/>
      <s:c r="D830" s="116" t="n"/>
      <s:c r="E830" s="116" t="n"/>
    </s:row>
    <s:row r="831" ht="104" customHeight="1">
      <s:c r="A831" s="83" t="inlineStr">
        <s:is>
          <s:t>Trường hợp cơ bản (Base)</s:t>
        </s:is>
      </s:c>
      <s:c r="B831" s="83" t="inlineStr">
        <s:is>
          <s:t>Toàn bộ tình huống: Thực hiện đủ các bước chung theo thứ tự; kiểm cả đối tượng đích và đối chứng cùng fixture, không bỏ bước.</s:t>
        </s:is>
      </s:c>
      <s:c r="C831" s="83" t="inlineStr">
        <s:is>
          <s:r>
            <s:t xml:space="preserve">1–2. Danh sách hiện tên mới ở cùng vị trí ưu tiên, tóm tắt không đổi; S01 vẫn </s:t>
          </s:r>
          <s:r>
            <s:rPr>
              <s:b val="1"/>
            </s:rPr>
            <s:t>Đỏ</s:t>
          </s:r>
          <s:r>
            <s:t xml:space="preserve"> ở ba đầu ra.
3. S01 </s:t>
          </s:r>
          <s:r>
            <s:rPr>
              <s:b val="1"/>
            </s:rPr>
            <s:t>Đỏ</s:t>
          </s:r>
          <s:r>
            <s:t>; quy tắc được chọn vẫn là quy tắc đã đổi tên (không tạo quy tắc mới, không mất liên kết).</s:t>
          </s:r>
        </s:is>
      </s:c>
      <s:c r="D831" s="117" t="inlineStr"/>
      <s:c r="E831" s="118" t="inlineStr">
        <s:is>
          <s:t>Chưa thực hiện</s:t>
        </s:is>
      </s:c>
    </s:row>
    <s:row r="832" ht="20" customHeight="1">
      <s:c r="A832" s="119" t="inlineStr">
        <s:is>
          <s:t>Ảnh minh chứng — Chưa có ảnh</s:t>
        </s:is>
      </s:c>
      <s:c r="B832" s="19" t="n"/>
      <s:c r="C832" s="19" t="n"/>
      <s:c r="D832" s="19" t="n"/>
      <s:c r="E832" s="19" t="n"/>
    </s:row>
    <s:row r="833" hidden="1" ht="1" customHeight="1">
      <s:c r="A833" s="120" t="inlineStr"/>
      <s:c r="B833" s="121" t="n"/>
      <s:c r="C833" s="121" t="n"/>
      <s:c r="D833" s="121" t="n"/>
      <s:c r="E833" s="122" t="n"/>
    </s:row>
    <s:row r="834" hidden="1" ht="1" customHeight="1">
      <s:c r="A834" s="120" t="inlineStr"/>
      <s:c r="B834" s="121" t="n"/>
      <s:c r="C834" s="121" t="n"/>
      <s:c r="D834" s="121" t="n"/>
      <s:c r="E834" s="122" t="n"/>
    </s:row>
    <s:row r="835" hidden="1" ht="1" customHeight="1">
      <s:c r="A835" s="120" t="inlineStr"/>
      <s:c r="B835" s="121" t="n"/>
      <s:c r="C835" s="121" t="n"/>
      <s:c r="D835" s="121" t="n"/>
      <s:c r="E835" s="122" t="n"/>
    </s:row>
    <s:row r="836" hidden="1" ht="1" customHeight="1">
      <s:c r="A836" s="120" t="inlineStr"/>
      <s:c r="B836" s="121" t="n"/>
      <s:c r="C836" s="121" t="n"/>
      <s:c r="D836" s="121" t="n"/>
      <s:c r="E836" s="122" t="n"/>
    </s:row>
    <s:row r="837" hidden="1" ht="1" customHeight="1">
      <s:c r="A837" s="120" t="inlineStr"/>
      <s:c r="B837" s="121" t="n"/>
      <s:c r="C837" s="121" t="n"/>
      <s:c r="D837" s="121" t="n"/>
      <s:c r="E837" s="122" t="n"/>
    </s:row>
    <s:row r="838" hidden="1" ht="1" customHeight="1">
      <s:c r="A838" s="120" t="inlineStr"/>
      <s:c r="B838" s="121" t="n"/>
      <s:c r="C838" s="121" t="n"/>
      <s:c r="D838" s="121" t="n"/>
      <s:c r="E838" s="122" t="n"/>
    </s:row>
    <s:row r="839" hidden="1" ht="1" customHeight="1">
      <s:c r="A839" s="120" t="inlineStr"/>
      <s:c r="B839" s="121" t="n"/>
      <s:c r="C839" s="121" t="n"/>
      <s:c r="D839" s="121" t="n"/>
      <s:c r="E839" s="122" t="n"/>
    </s:row>
    <s:row r="840" hidden="1" ht="1" customHeight="1">
      <s:c r="A840" s="120" t="inlineStr"/>
      <s:c r="B840" s="121" t="n"/>
      <s:c r="C840" s="121" t="n"/>
      <s:c r="D840" s="121" t="n"/>
      <s:c r="E840" s="122" t="n"/>
    </s:row>
    <s:row r="841" hidden="1" ht="1" customHeight="1">
      <s:c r="A841" s="120" t="inlineStr"/>
      <s:c r="B841" s="121" t="n"/>
      <s:c r="C841" s="121" t="n"/>
      <s:c r="D841" s="121" t="n"/>
      <s:c r="E841" s="122" t="n"/>
    </s:row>
    <s:row r="842" hidden="1" ht="1" customHeight="1">
      <s:c r="A842" s="120" t="inlineStr"/>
      <s:c r="B842" s="121" t="n"/>
      <s:c r="C842" s="121" t="n"/>
      <s:c r="D842" s="121" t="n"/>
      <s:c r="E842" s="122" t="n"/>
    </s:row>
    <s:row r="843" hidden="1" ht="1" customHeight="1">
      <s:c r="A843" s="120" t="inlineStr"/>
      <s:c r="B843" s="121" t="n"/>
      <s:c r="C843" s="121" t="n"/>
      <s:c r="D843" s="121" t="n"/>
      <s:c r="E843" s="122" t="n"/>
    </s:row>
    <s:row r="844" hidden="1" ht="1" customHeight="1">
      <s:c r="A844" s="120" t="inlineStr"/>
      <s:c r="B844" s="121" t="n"/>
      <s:c r="C844" s="121" t="n"/>
      <s:c r="D844" s="121" t="n"/>
      <s:c r="E844" s="122" t="n"/>
    </s:row>
    <s:row r="845" hidden="1" ht="1" customHeight="1">
      <s:c r="A845" s="120" t="inlineStr"/>
      <s:c r="B845" s="121" t="n"/>
      <s:c r="C845" s="121" t="n"/>
      <s:c r="D845" s="121" t="n"/>
      <s:c r="E845" s="122" t="n"/>
    </s:row>
    <s:row r="846" hidden="1" ht="1" customHeight="1">
      <s:c r="A846" s="120" t="inlineStr"/>
      <s:c r="B846" s="121" t="n"/>
      <s:c r="C846" s="121" t="n"/>
      <s:c r="D846" s="121" t="n"/>
      <s:c r="E846" s="122" t="n"/>
    </s:row>
    <s:row r="847" hidden="1" ht="1" customHeight="1">
      <s:c r="A847" s="120" t="inlineStr"/>
      <s:c r="B847" s="121" t="n"/>
      <s:c r="C847" s="121" t="n"/>
      <s:c r="D847" s="121" t="n"/>
      <s:c r="E847" s="122" t="n"/>
    </s:row>
    <s:row r="848" hidden="1" ht="1" customHeight="1">
      <s:c r="A848" s="120" t="inlineStr"/>
      <s:c r="B848" s="121" t="n"/>
      <s:c r="C848" s="121" t="n"/>
      <s:c r="D848" s="121" t="n"/>
      <s:c r="E848" s="122" t="n"/>
    </s:row>
    <s:row r="849" hidden="1" ht="1" customHeight="1">
      <s:c r="A849" s="120" t="inlineStr"/>
      <s:c r="B849" s="121" t="n"/>
      <s:c r="C849" s="121" t="n"/>
      <s:c r="D849" s="121" t="n"/>
      <s:c r="E849" s="122" t="n"/>
    </s:row>
    <s:row r="850" hidden="1" ht="1" customHeight="1">
      <s:c r="A850" s="120" t="inlineStr"/>
      <s:c r="B850" s="121" t="n"/>
      <s:c r="C850" s="121" t="n"/>
      <s:c r="D850" s="121" t="n"/>
      <s:c r="E850" s="122" t="n"/>
    </s:row>
    <s:row r="851" hidden="1" ht="1" customHeight="1">
      <s:c r="A851" s="120" t="inlineStr"/>
      <s:c r="B851" s="121" t="n"/>
      <s:c r="C851" s="121" t="n"/>
      <s:c r="D851" s="121" t="n"/>
      <s:c r="E851" s="122" t="n"/>
    </s:row>
    <s:row r="852" hidden="1" ht="1" customHeight="1">
      <s:c r="A852" s="120" t="inlineStr"/>
      <s:c r="B852" s="121" t="n"/>
      <s:c r="C852" s="121" t="n"/>
      <s:c r="D852" s="121" t="n"/>
      <s:c r="E852" s="122" t="n"/>
    </s:row>
    <s:row r="853" hidden="1" ht="1" customHeight="1">
      <s:c r="A853" s="120" t="inlineStr"/>
      <s:c r="B853" s="121" t="n"/>
      <s:c r="C853" s="121" t="n"/>
      <s:c r="D853" s="121" t="n"/>
      <s:c r="E853" s="122" t="n"/>
    </s:row>
    <s:row r="854" hidden="1" ht="1" customHeight="1">
      <s:c r="A854" s="120" t="inlineStr"/>
      <s:c r="B854" s="121" t="n"/>
      <s:c r="C854" s="121" t="n"/>
      <s:c r="D854" s="121" t="n"/>
      <s:c r="E854" s="122" t="n"/>
    </s:row>
    <s:row r="855" hidden="1" ht="1" customHeight="1">
      <s:c r="A855" s="120" t="inlineStr"/>
      <s:c r="B855" s="121" t="n"/>
      <s:c r="C855" s="121" t="n"/>
      <s:c r="D855" s="121" t="n"/>
      <s:c r="E855" s="122" t="n"/>
    </s:row>
    <s:row r="856" hidden="1" ht="1" customHeight="1">
      <s:c r="A856" s="120" t="inlineStr"/>
      <s:c r="B856" s="121" t="n"/>
      <s:c r="C856" s="121" t="n"/>
      <s:c r="D856" s="121" t="n"/>
      <s:c r="E856" s="122" t="n"/>
    </s:row>
    <s:row r="857" hidden="1" ht="1" customHeight="1">
      <s:c r="A857" s="120" t="inlineStr"/>
      <s:c r="B857" s="121" t="n"/>
      <s:c r="C857" s="121" t="n"/>
      <s:c r="D857" s="121" t="n"/>
      <s:c r="E857" s="122" t="n"/>
    </s:row>
    <s:row r="858" hidden="1" ht="1" customHeight="1">
      <s:c r="A858" s="120" t="inlineStr"/>
      <s:c r="B858" s="121" t="n"/>
      <s:c r="C858" s="121" t="n"/>
      <s:c r="D858" s="121" t="n"/>
      <s:c r="E858" s="122" t="n"/>
    </s:row>
    <s:row r="859" hidden="1" ht="1" customHeight="1">
      <s:c r="A859" s="120" t="inlineStr"/>
      <s:c r="B859" s="121" t="n"/>
      <s:c r="C859" s="121" t="n"/>
      <s:c r="D859" s="121" t="n"/>
      <s:c r="E859" s="122" t="n"/>
    </s:row>
    <s:row r="860" hidden="1" ht="1" customHeight="1">
      <s:c r="A860" s="120" t="inlineStr"/>
      <s:c r="B860" s="121" t="n"/>
      <s:c r="C860" s="121" t="n"/>
      <s:c r="D860" s="121" t="n"/>
      <s:c r="E860" s="122" t="n"/>
    </s:row>
    <s:row r="861" hidden="1" ht="1" customHeight="1">
      <s:c r="A861" s="120" t="inlineStr"/>
      <s:c r="B861" s="121" t="n"/>
      <s:c r="C861" s="121" t="n"/>
      <s:c r="D861" s="121" t="n"/>
      <s:c r="E861" s="122" t="n"/>
    </s:row>
    <s:row r="862" hidden="1" ht="1" customHeight="1">
      <s:c r="A862" s="120" t="inlineStr"/>
      <s:c r="B862" s="121" t="n"/>
      <s:c r="C862" s="121" t="n"/>
      <s:c r="D862" s="121" t="n"/>
      <s:c r="E862" s="122" t="n"/>
    </s:row>
    <s:row r="863" hidden="1" ht="1" customHeight="1">
      <s:c r="A863" s="120" t="inlineStr"/>
      <s:c r="B863" s="121" t="n"/>
      <s:c r="C863" s="121" t="n"/>
      <s:c r="D863" s="121" t="n"/>
      <s:c r="E863" s="122" t="n"/>
    </s:row>
    <s:row r="864" hidden="1" ht="1" customHeight="1">
      <s:c r="A864" s="120" t="inlineStr"/>
      <s:c r="B864" s="121" t="n"/>
      <s:c r="C864" s="121" t="n"/>
      <s:c r="D864" s="121" t="n"/>
      <s:c r="E864" s="122" t="n"/>
    </s:row>
    <s:row r="865" hidden="1" ht="1" customHeight="1">
      <s:c r="A865" s="120" t="inlineStr"/>
      <s:c r="B865" s="121" t="n"/>
      <s:c r="C865" s="121" t="n"/>
      <s:c r="D865" s="121" t="n"/>
      <s:c r="E865" s="122" t="n"/>
    </s:row>
    <s:row r="866" hidden="1" ht="1" customHeight="1">
      <s:c r="A866" s="120" t="inlineStr"/>
      <s:c r="B866" s="121" t="n"/>
      <s:c r="C866" s="121" t="n"/>
      <s:c r="D866" s="121" t="n"/>
      <s:c r="E866" s="122" t="n"/>
    </s:row>
    <s:row r="867" hidden="1" ht="1" customHeight="1">
      <s:c r="A867" s="120" t="inlineStr"/>
      <s:c r="B867" s="121" t="n"/>
      <s:c r="C867" s="121" t="n"/>
      <s:c r="D867" s="121" t="n"/>
      <s:c r="E867" s="122" t="n"/>
    </s:row>
    <s:row r="868" hidden="1" ht="1" customHeight="1">
      <s:c r="A868" s="120" t="inlineStr"/>
      <s:c r="B868" s="121" t="n"/>
      <s:c r="C868" s="121" t="n"/>
      <s:c r="D868" s="121" t="n"/>
      <s:c r="E868" s="122" t="n"/>
    </s:row>
    <s:row r="869" hidden="1" ht="1" customHeight="1">
      <s:c r="A869" s="120" t="inlineStr"/>
      <s:c r="B869" s="121" t="n"/>
      <s:c r="C869" s="121" t="n"/>
      <s:c r="D869" s="121" t="n"/>
      <s:c r="E869" s="122" t="n"/>
    </s:row>
    <s:row r="870" hidden="1" ht="1" customHeight="1">
      <s:c r="A870" s="120" t="inlineStr"/>
      <s:c r="B870" s="121" t="n"/>
      <s:c r="C870" s="121" t="n"/>
      <s:c r="D870" s="121" t="n"/>
      <s:c r="E870" s="122" t="n"/>
    </s:row>
    <s:row r="871" hidden="1" ht="1" customHeight="1">
      <s:c r="A871" s="120" t="inlineStr"/>
      <s:c r="B871" s="121" t="n"/>
      <s:c r="C871" s="121" t="n"/>
      <s:c r="D871" s="121" t="n"/>
      <s:c r="E871" s="122" t="n"/>
    </s:row>
    <s:row r="872" hidden="1" ht="1" customHeight="1">
      <s:c r="A872" s="120" t="inlineStr"/>
      <s:c r="B872" s="121" t="n"/>
      <s:c r="C872" s="121" t="n"/>
      <s:c r="D872" s="121" t="n"/>
      <s:c r="E872" s="122" t="n"/>
    </s:row>
    <s:row r="873" hidden="1" ht="1" customHeight="1">
      <s:c r="A873" s="120" t="inlineStr"/>
      <s:c r="B873" s="121" t="n"/>
      <s:c r="C873" s="121" t="n"/>
      <s:c r="D873" s="121" t="n"/>
      <s:c r="E873" s="122" t="n"/>
    </s:row>
    <s:row r="874" hidden="1" ht="1" customHeight="1">
      <s:c r="A874" s="120" t="inlineStr"/>
      <s:c r="B874" s="121" t="n"/>
      <s:c r="C874" s="121" t="n"/>
      <s:c r="D874" s="121" t="n"/>
      <s:c r="E874" s="122" t="n"/>
    </s:row>
    <s:row r="875" hidden="1" ht="1" customHeight="1">
      <s:c r="A875" s="120" t="inlineStr"/>
      <s:c r="B875" s="121" t="n"/>
      <s:c r="C875" s="121" t="n"/>
      <s:c r="D875" s="121" t="n"/>
      <s:c r="E875" s="122" t="n"/>
    </s:row>
    <s:row r="876" hidden="1" ht="1" customHeight="1">
      <s:c r="A876" s="120" t="inlineStr"/>
      <s:c r="B876" s="121" t="n"/>
      <s:c r="C876" s="121" t="n"/>
      <s:c r="D876" s="121" t="n"/>
      <s:c r="E876" s="122" t="n"/>
    </s:row>
    <s:row r="877" hidden="1" ht="1" customHeight="1">
      <s:c r="A877" s="120" t="inlineStr"/>
      <s:c r="B877" s="121" t="n"/>
      <s:c r="C877" s="121" t="n"/>
      <s:c r="D877" s="121" t="n"/>
      <s:c r="E877" s="122" t="n"/>
    </s:row>
    <s:row r="878" hidden="1" ht="1" customHeight="1">
      <s:c r="A878" s="120" t="inlineStr"/>
      <s:c r="B878" s="121" t="n"/>
      <s:c r="C878" s="121" t="n"/>
      <s:c r="D878" s="121" t="n"/>
      <s:c r="E878" s="122" t="n"/>
    </s:row>
    <s:row r="879" hidden="1" ht="1" customHeight="1">
      <s:c r="A879" s="120" t="inlineStr"/>
      <s:c r="B879" s="121" t="n"/>
      <s:c r="C879" s="121" t="n"/>
      <s:c r="D879" s="121" t="n"/>
      <s:c r="E879" s="122" t="n"/>
    </s:row>
    <s:row r="880" hidden="1" ht="1" customHeight="1">
      <s:c r="A880" s="120" t="inlineStr"/>
      <s:c r="B880" s="121" t="n"/>
      <s:c r="C880" s="121" t="n"/>
      <s:c r="D880" s="121" t="n"/>
      <s:c r="E880" s="122" t="n"/>
    </s:row>
    <s:row r="881" hidden="1" ht="1" customHeight="1">
      <s:c r="A881" s="83" t="inlineStr">
        <s:is>
          <s:t>PASS</s:t>
        </s:is>
      </s:c>
      <s:c r="B881" s="83">
        <s:f>SUM(IF(EXACT('Kiểm thử'!E831,"Đạt"),1,0))</s:f>
        <s:v/>
      </s:c>
      <s:c r="C881" s="19" t="n"/>
      <s:c r="D881" s="19" t="n"/>
      <s:c r="E881" s="19" t="n"/>
    </s:row>
    <s:row r="882" hidden="1" ht="1" customHeight="1">
      <s:c r="A882" s="83" t="inlineStr">
        <s:is>
          <s:t>FAIL</s:t>
        </s:is>
      </s:c>
      <s:c r="B882" s="83">
        <s:f>SUM(IF(EXACT('Kiểm thử'!E831,"Không đạt"),1,0))</s:f>
        <s:v/>
      </s:c>
      <s:c r="C882" s="19" t="n"/>
      <s:c r="D882" s="19" t="n"/>
      <s:c r="E882" s="19" t="n"/>
    </s:row>
    <s:row r="883" hidden="1" ht="1" customHeight="1">
      <s:c r="A883" s="83" t="inlineStr">
        <s:is>
          <s:t>BLOCKED</s:t>
        </s:is>
      </s:c>
      <s:c r="B883" s="83">
        <s:f>SUM(IF(EXACT('Kiểm thử'!E831,"Bị chặn"),1,0))</s:f>
        <s:v/>
      </s:c>
      <s:c r="C883" s="19" t="n"/>
      <s:c r="D883" s="19" t="n"/>
      <s:c r="E883" s="19" t="n"/>
    </s:row>
    <s:row r="884" hidden="1" ht="1" customHeight="1">
      <s:c r="A884" s="83" t="inlineStr">
        <s:is>
          <s:t>SKIPPED</s:t>
        </s:is>
      </s:c>
      <s:c r="B884" s="83">
        <s:f>SUM(IF(EXACT('Kiểm thử'!E831,"Không thực hiện"),1,0))</s:f>
        <s:v/>
      </s:c>
      <s:c r="C884" s="19" t="n"/>
      <s:c r="D884" s="19" t="n"/>
      <s:c r="E884" s="19" t="n"/>
    </s:row>
    <s:row r="885" hidden="1" ht="1" customHeight="1">
      <s:c r="A885" s="83" t="inlineStr">
        <s:is>
          <s:t>NOT RUN</s:t>
        </s:is>
      </s:c>
      <s:c r="B885" s="83">
        <s:f>SUM(IF(EXACT('Kiểm thử'!E831,"Chưa thực hiện"),1,0))</s:f>
        <s:v/>
      </s:c>
      <s:c r="C885" s="19" t="n"/>
      <s:c r="D885" s="19" t="n"/>
      <s:c r="E885" s="19" t="n"/>
    </s:row>
    <s:row r="886" hidden="1" ht="6" customHeight="1">
      <s:c r="A886" s="83" t="inlineStr"/>
      <s:c r="B886" s="19" t="n"/>
      <s:c r="C886" s="19" t="n"/>
      <s:c r="D886" s="19" t="n"/>
      <s:c r="E886" s="19" t="n"/>
    </s:row>
    <s:row r="887" ht="28" customHeight="1">
      <s:c r="A887" s="108" t="inlineStr">
        <s:is>
          <s:t>TC-RS-VAL-014 — Tên thiết lập: bắt buộc, độ dài, trùng tên</s:t>
        </s:is>
      </s:c>
      <s:c r="B887" s="111" t="n"/>
      <s:c r="C887" s="111" t="n"/>
      <s:c r="D887" s="111" t="n"/>
      <s:c r="E887" s="111" t="n"/>
    </s:row>
    <s:row r="888" ht="20" customHeight="1">
      <s:c r="A888" s="112" t="inlineStr">
        <s:is>
          <s:t>Kết quả tình huống</s:t>
        </s:is>
      </s:c>
      <s:c r="B888" s="113">
        <s:f>IF(SUM(IF(EXACT('Kiểm thử'!E896,"Không đạt"),1,0),IF(EXACT('Kiểm thử'!E898,"Không đạt"),1,0),IF(EXACT('Kiểm thử'!E900,"Không đạt"),1,0),IF(EXACT('Kiểm thử'!E902,"Không đạt"),1,0),IF(EXACT('Kiểm thử'!E904,"Không đạt"),1,0),IF(EXACT('Kiểm thử'!E906,"Không đạt"),1,0))&gt;0,"Không đạt",IF(SUM(IF(EXACT('Kiểm thử'!E896,"Đạt"),1,0),IF(EXACT('Kiểm thử'!E898,"Đạt"),1,0),IF(EXACT('Kiểm thử'!E900,"Đạt"),1,0),IF(EXACT('Kiểm thử'!E902,"Đạt"),1,0),IF(EXACT('Kiểm thử'!E904,"Đạt"),1,0),IF(EXACT('Kiểm thử'!E906,"Đạt"),1,0))=6,"Đạt",IF(SUM(IF(EXACT('Kiểm thử'!E896,"Không thực hiện"),1,0),IF(EXACT('Kiểm thử'!E898,"Không thực hiện"),1,0),IF(EXACT('Kiểm thử'!E900,"Không thực hiện"),1,0),IF(EXACT('Kiểm thử'!E902,"Không thực hiện"),1,0),IF(EXACT('Kiểm thử'!E904,"Không thực hiện"),1,0),IF(EXACT('Kiểm thử'!E906,"Không thực hiện"),1,0))=6,"Không thực hiện",IF(SUM(IF(EXACT('Kiểm thử'!E896,"Bị chặn"),1,0),IF(EXACT('Kiểm thử'!E898,"Bị chặn"),1,0),IF(EXACT('Kiểm thử'!E900,"Bị chặn"),1,0),IF(EXACT('Kiểm thử'!E902,"Bị chặn"),1,0),IF(EXACT('Kiểm thử'!E904,"Bị chặn"),1,0),IF(EXACT('Kiểm thử'!E906,"Bị chặn"),1,0))&gt;0,"Bị chặn",IF(SUM(IF(EXACT('Kiểm thử'!E896,"Chưa thực hiện"),1,0),IF(EXACT('Kiểm thử'!E898,"Chưa thực hiện"),1,0),IF(EXACT('Kiểm thử'!E900,"Chưa thực hiện"),1,0),IF(EXACT('Kiểm thử'!E902,"Chưa thực hiện"),1,0),IF(EXACT('Kiểm thử'!E904,"Chưa thực hiện"),1,0),IF(EXACT('Kiểm thử'!E906,"Chưa thực hiện"),1,0))=6,"Chưa thực hiện","Đang thực hiện")))))</s:f>
        <s:v/>
      </s:c>
      <s:c r="C888" s="114" t="n"/>
      <s:c r="D888" s="114" t="n"/>
      <s:c r="E888" s="114" t="n"/>
    </s:row>
    <s:row r="889" ht="20" customHeight="1">
      <s:c r="A889" s="112" t="inlineStr">
        <s:is>
          <s:t>Màn hình / chức năng</s:t>
        </s:is>
      </s:c>
      <s:c r="B889" s="113" t="inlineStr">
        <s:is>
          <s:r>
            <s:rPr>
              <s:b val="1"/>
            </s:rPr>
            <s:t>Thiết lập điểm đỏ（赤点設定）</s:t>
          </s:r>
        </s:is>
      </s:c>
      <s:c r="C889" s="28" t="n"/>
      <s:c r="D889" s="28" t="n"/>
      <s:c r="E889" s="28" t="n"/>
    </s:row>
    <s:row r="890" ht="20" customHeight="1">
      <s:c r="A890" s="112" t="inlineStr">
        <s:is>
          <s:t>Cấu hình</s:t>
        </s:is>
      </s:c>
      <s:c r="B890" s="113" t="inlineStr">
        <s:is>
          <s:t>• Màn thêm quy tắc.</s:t>
        </s:is>
      </s:c>
      <s:c r="C890" s="28" t="n"/>
      <s:c r="D890" s="28" t="n"/>
      <s:c r="E890" s="28" t="n"/>
    </s:row>
    <s:row r="891" ht="90" customHeight="1">
      <s:c r="A891" s="112" t="inlineStr">
        <s:is>
          <s:t>Dữ liệu test</s:t>
        </s:is>
      </s:c>
      <s:c r="B891" s="113" t="inlineStr">
        <s:is>
          <s:t>• Tên trống;
• Tên chỉ khoảng trắng;
• 255 Ký tự;
• 256 Ký tự;
• 255 Ký tự có thêm khoảng trắng ở đầu và cuối;
• Hai quy tắc cùng tên</s:t>
        </s:is>
      </s:c>
      <s:c r="C891" s="28" t="n"/>
      <s:c r="D891" s="28" t="n"/>
      <s:c r="E891" s="28" t="n"/>
    </s:row>
    <s:row r="892" ht="20" customHeight="1">
      <s:c r="A892" s="112" t="inlineStr">
        <s:is>
          <s:t>Bước 1</s:t>
        </s:is>
      </s:c>
      <s:c r="B892" s="113" t="inlineStr">
        <s:is>
          <s:t>Nhập từng giá trị, Lưu, mở lại.</s:t>
        </s:is>
      </s:c>
      <s:c r="C892" s="28" t="n"/>
      <s:c r="D892" s="28" t="n"/>
      <s:c r="E892" s="28" t="n"/>
    </s:row>
    <s:row r="893" ht="20" customHeight="1">
      <s:c r="A893" s="112" t="inlineStr">
        <s:is>
          <s:t>Bước 2</s:t>
        </s:is>
      </s:c>
      <s:c r="B893" s="113" t="inlineStr">
        <s:is>
          <s:t>Tạo quy tắc thứ hai trùng tên quy tắc thứ nhất, Lưu.</s:t>
        </s:is>
      </s:c>
      <s:c r="C893" s="28" t="n"/>
      <s:c r="D893" s="28" t="n"/>
      <s:c r="E893" s="28" t="n"/>
    </s:row>
    <s:row r="894" ht="28" customHeight="1">
      <s:c r="A894" s="115" t="inlineStr">
        <s:is>
          <s:t>Trường hợp</s:t>
        </s:is>
      </s:c>
      <s:c r="B894" s="115" t="inlineStr">
        <s:is>
          <s:t>Dữ liệu / thao tác riêng</s:t>
        </s:is>
      </s:c>
      <s:c r="C894" s="115" t="inlineStr">
        <s:is>
          <s:t>Kết quả mong đợi</s:t>
        </s:is>
      </s:c>
      <s:c r="D894" s="115" t="inlineStr">
        <s:is>
          <s:t>Kết quả thực tế</s:t>
        </s:is>
      </s:c>
      <s:c r="E894" s="115" t="inlineStr">
        <s:is>
          <s:t>Đánh giá</s:t>
        </s:is>
      </s:c>
    </s:row>
    <s:row r="895" ht="3" customHeight="1">
      <s:c r="A895" s="102" t="inlineStr"/>
      <s:c r="B895" s="99" t="n"/>
      <s:c r="C895" s="99" t="n"/>
      <s:c r="D895" s="116" t="n"/>
      <s:c r="E895" s="116" t="n"/>
    </s:row>
    <s:row r="896" ht="20" customHeight="1">
      <s:c r="A896" s="83" t="inlineStr">
        <s:is>
          <s:t>Tên trống (empty)</s:t>
        </s:is>
      </s:c>
      <s:c r="B896" s="83" t="inlineStr">
        <s:is>
          <s:t>Tên=""; bấm Lưu.</s:t>
        </s:is>
      </s:c>
      <s:c r="C896" s="83" t="inlineStr">
        <s:is>
          <s:t>Tên trống: không lưu được.</s:t>
        </s:is>
      </s:c>
      <s:c r="D896" s="117" t="inlineStr"/>
      <s:c r="E896" s="118" t="inlineStr">
        <s:is>
          <s:t>Chưa thực hiện</s:t>
        </s:is>
      </s:c>
    </s:row>
    <s:row r="897" ht="3" customHeight="1">
      <s:c r="A897" s="102" t="inlineStr"/>
      <s:c r="B897" s="99" t="n"/>
      <s:c r="C897" s="99" t="n"/>
      <s:c r="D897" s="116" t="n"/>
      <s:c r="E897" s="116" t="n"/>
    </s:row>
    <s:row r="898" ht="34" customHeight="1">
      <s:c r="A898" s="83" t="inlineStr">
        <s:is>
          <s:t>Chỉ khoảng trắng (space)</s:t>
        </s:is>
      </s:c>
      <s:c r="B898" s="83" t="inlineStr">
        <s:is>
          <s:t>Tên chỉ chứa khoảng trắng; bấm Lưu.</s:t>
        </s:is>
      </s:c>
      <s:c r="C898" s="83" t="inlineStr">
        <s:is>
          <s:t>Tên chỉ khoảng trắng: không lưu được.</s:t>
        </s:is>
      </s:c>
      <s:c r="D898" s="117" t="inlineStr"/>
      <s:c r="E898" s="118" t="inlineStr">
        <s:is>
          <s:t>Chưa thực hiện</s:t>
        </s:is>
      </s:c>
    </s:row>
    <s:row r="899" ht="3" customHeight="1">
      <s:c r="A899" s="102" t="inlineStr"/>
      <s:c r="B899" s="99" t="n"/>
      <s:c r="C899" s="99" t="n"/>
      <s:c r="D899" s="116" t="n"/>
      <s:c r="E899" s="116" t="n"/>
    </s:row>
    <s:row r="900" ht="34" customHeight="1">
      <s:c r="A900" s="83" t="inlineStr">
        <s:is>
          <s:t>255 Ký tự (len255)</s:t>
        </s:is>
      </s:c>
      <s:c r="B900" s="83" t="inlineStr">
        <s:is>
          <s:t>Nhập tên đủ 255 ký tự; lưu và mở lại.</s:t>
        </s:is>
      </s:c>
      <s:c r="C900" s="83" t="inlineStr">
        <s:is>
          <s:t>Tên 255 ký tự lưu được, mở lại đủ; không bị cắt.</s:t>
        </s:is>
      </s:c>
      <s:c r="D900" s="117" t="inlineStr"/>
      <s:c r="E900" s="118" t="inlineStr">
        <s:is>
          <s:t>Chưa thực hiện</s:t>
        </s:is>
      </s:c>
    </s:row>
    <s:row r="901" ht="3" customHeight="1">
      <s:c r="A901" s="102" t="inlineStr"/>
      <s:c r="B901" s="99" t="n"/>
      <s:c r="C901" s="99" t="n"/>
      <s:c r="D901" s="116" t="n"/>
      <s:c r="E901" s="116" t="n"/>
    </s:row>
    <s:row r="902" ht="20" customHeight="1">
      <s:c r="A902" s="83" t="inlineStr">
        <s:is>
          <s:t>256 Ký tự (len256)</s:t>
        </s:is>
      </s:c>
      <s:c r="B902" s="83" t="inlineStr">
        <s:is>
          <s:t>Nhập tên 256 ký tự; bấm Lưu.</s:t>
        </s:is>
      </s:c>
      <s:c r="C902" s="83" t="inlineStr">
        <s:is>
          <s:t>Tên 256 ký tự bị từ chối; không tự cắt.</s:t>
        </s:is>
      </s:c>
      <s:c r="D902" s="117" t="inlineStr"/>
      <s:c r="E902" s="118" t="inlineStr">
        <s:is>
          <s:t>Chưa thực hiện</s:t>
        </s:is>
      </s:c>
    </s:row>
    <s:row r="903" ht="3" customHeight="1">
      <s:c r="A903" s="102" t="inlineStr"/>
      <s:c r="B903" s="99" t="n"/>
      <s:c r="C903" s="99" t="n"/>
      <s:c r="D903" s="116" t="n"/>
      <s:c r="E903" s="116" t="n"/>
    </s:row>
    <s:row r="904" ht="34" customHeight="1">
      <s:c r="A904" s="83" t="inlineStr">
        <s:is>
          <s:t>255 Ký tự kèm khoảng trắng (padded255)</s:t>
        </s:is>
      </s:c>
      <s:c r="B904" s="83" t="inlineStr">
        <s:is>
          <s:t>Nhập 255 ký tự và thêm khoảng trắng đầu/cuối; lưu, mở lại.</s:t>
        </s:is>
      </s:c>
      <s:c r="C904" s="83" t="inlineStr">
        <s:is>
          <s:t>Lưu được; bỏ khoảng trắng đầu/cuối, tên lưu vẫn đủ 255 ký tự.</s:t>
        </s:is>
      </s:c>
      <s:c r="D904" s="117" t="inlineStr"/>
      <s:c r="E904" s="118" t="inlineStr">
        <s:is>
          <s:t>Chưa thực hiện</s:t>
        </s:is>
      </s:c>
    </s:row>
    <s:row r="905" ht="3" customHeight="1">
      <s:c r="A905" s="102" t="inlineStr"/>
      <s:c r="B905" s="99" t="n"/>
      <s:c r="C905" s="99" t="n"/>
      <s:c r="D905" s="116" t="n"/>
      <s:c r="E905" s="116" t="n"/>
    </s:row>
    <s:row r="906" ht="34" customHeight="1">
      <s:c r="A906" s="83" t="inlineStr">
        <s:is>
          <s:t>Trùng tên (duplicate)</s:t>
        </s:is>
      </s:c>
      <s:c r="B906" s="83" t="inlineStr">
        <s:is>
          <s:t>Tạo quy tắc thứ hai cùng tên quy tắc thứ nhất; bấm Lưu.</s:t>
        </s:is>
      </s:c>
      <s:c r="C906" s="83" t="inlineStr">
        <s:is>
          <s:t>Lưu được quy tắc thứ hai trùng tên; hai dòng riêng theo ưu tiên.</s:t>
        </s:is>
      </s:c>
      <s:c r="D906" s="117" t="inlineStr"/>
      <s:c r="E906" s="118" t="inlineStr">
        <s:is>
          <s:t>Chưa thực hiện</s:t>
        </s:is>
      </s:c>
    </s:row>
    <s:row r="907" ht="20" customHeight="1">
      <s:c r="A907" s="119" t="inlineStr">
        <s:is>
          <s:t>Ảnh minh chứng — Chưa có ảnh</s:t>
        </s:is>
      </s:c>
      <s:c r="B907" s="19" t="n"/>
      <s:c r="C907" s="19" t="n"/>
      <s:c r="D907" s="19" t="n"/>
      <s:c r="E907" s="19" t="n"/>
    </s:row>
    <s:row r="908" hidden="1" ht="1" customHeight="1">
      <s:c r="A908" s="120" t="inlineStr"/>
      <s:c r="B908" s="121" t="n"/>
      <s:c r="C908" s="121" t="n"/>
      <s:c r="D908" s="121" t="n"/>
      <s:c r="E908" s="122" t="n"/>
    </s:row>
    <s:row r="909" hidden="1" ht="1" customHeight="1">
      <s:c r="A909" s="120" t="inlineStr"/>
      <s:c r="B909" s="121" t="n"/>
      <s:c r="C909" s="121" t="n"/>
      <s:c r="D909" s="121" t="n"/>
      <s:c r="E909" s="122" t="n"/>
    </s:row>
    <s:row r="910" hidden="1" ht="1" customHeight="1">
      <s:c r="A910" s="120" t="inlineStr"/>
      <s:c r="B910" s="121" t="n"/>
      <s:c r="C910" s="121" t="n"/>
      <s:c r="D910" s="121" t="n"/>
      <s:c r="E910" s="122" t="n"/>
    </s:row>
    <s:row r="911" hidden="1" ht="1" customHeight="1">
      <s:c r="A911" s="120" t="inlineStr"/>
      <s:c r="B911" s="121" t="n"/>
      <s:c r="C911" s="121" t="n"/>
      <s:c r="D911" s="121" t="n"/>
      <s:c r="E911" s="122" t="n"/>
    </s:row>
    <s:row r="912" hidden="1" ht="1" customHeight="1">
      <s:c r="A912" s="120" t="inlineStr"/>
      <s:c r="B912" s="121" t="n"/>
      <s:c r="C912" s="121" t="n"/>
      <s:c r="D912" s="121" t="n"/>
      <s:c r="E912" s="122" t="n"/>
    </s:row>
    <s:row r="913" hidden="1" ht="1" customHeight="1">
      <s:c r="A913" s="120" t="inlineStr"/>
      <s:c r="B913" s="121" t="n"/>
      <s:c r="C913" s="121" t="n"/>
      <s:c r="D913" s="121" t="n"/>
      <s:c r="E913" s="122" t="n"/>
    </s:row>
    <s:row r="914" hidden="1" ht="1" customHeight="1">
      <s:c r="A914" s="120" t="inlineStr"/>
      <s:c r="B914" s="121" t="n"/>
      <s:c r="C914" s="121" t="n"/>
      <s:c r="D914" s="121" t="n"/>
      <s:c r="E914" s="122" t="n"/>
    </s:row>
    <s:row r="915" hidden="1" ht="1" customHeight="1">
      <s:c r="A915" s="120" t="inlineStr"/>
      <s:c r="B915" s="121" t="n"/>
      <s:c r="C915" s="121" t="n"/>
      <s:c r="D915" s="121" t="n"/>
      <s:c r="E915" s="122" t="n"/>
    </s:row>
    <s:row r="916" hidden="1" ht="1" customHeight="1">
      <s:c r="A916" s="120" t="inlineStr"/>
      <s:c r="B916" s="121" t="n"/>
      <s:c r="C916" s="121" t="n"/>
      <s:c r="D916" s="121" t="n"/>
      <s:c r="E916" s="122" t="n"/>
    </s:row>
    <s:row r="917" hidden="1" ht="1" customHeight="1">
      <s:c r="A917" s="120" t="inlineStr"/>
      <s:c r="B917" s="121" t="n"/>
      <s:c r="C917" s="121" t="n"/>
      <s:c r="D917" s="121" t="n"/>
      <s:c r="E917" s="122" t="n"/>
    </s:row>
    <s:row r="918" hidden="1" ht="1" customHeight="1">
      <s:c r="A918" s="120" t="inlineStr"/>
      <s:c r="B918" s="121" t="n"/>
      <s:c r="C918" s="121" t="n"/>
      <s:c r="D918" s="121" t="n"/>
      <s:c r="E918" s="122" t="n"/>
    </s:row>
    <s:row r="919" hidden="1" ht="1" customHeight="1">
      <s:c r="A919" s="120" t="inlineStr"/>
      <s:c r="B919" s="121" t="n"/>
      <s:c r="C919" s="121" t="n"/>
      <s:c r="D919" s="121" t="n"/>
      <s:c r="E919" s="122" t="n"/>
    </s:row>
    <s:row r="920" hidden="1" ht="1" customHeight="1">
      <s:c r="A920" s="120" t="inlineStr"/>
      <s:c r="B920" s="121" t="n"/>
      <s:c r="C920" s="121" t="n"/>
      <s:c r="D920" s="121" t="n"/>
      <s:c r="E920" s="122" t="n"/>
    </s:row>
    <s:row r="921" hidden="1" ht="1" customHeight="1">
      <s:c r="A921" s="120" t="inlineStr"/>
      <s:c r="B921" s="121" t="n"/>
      <s:c r="C921" s="121" t="n"/>
      <s:c r="D921" s="121" t="n"/>
      <s:c r="E921" s="122" t="n"/>
    </s:row>
    <s:row r="922" hidden="1" ht="1" customHeight="1">
      <s:c r="A922" s="120" t="inlineStr"/>
      <s:c r="B922" s="121" t="n"/>
      <s:c r="C922" s="121" t="n"/>
      <s:c r="D922" s="121" t="n"/>
      <s:c r="E922" s="122" t="n"/>
    </s:row>
    <s:row r="923" hidden="1" ht="1" customHeight="1">
      <s:c r="A923" s="120" t="inlineStr"/>
      <s:c r="B923" s="121" t="n"/>
      <s:c r="C923" s="121" t="n"/>
      <s:c r="D923" s="121" t="n"/>
      <s:c r="E923" s="122" t="n"/>
    </s:row>
    <s:row r="924" hidden="1" ht="1" customHeight="1">
      <s:c r="A924" s="120" t="inlineStr"/>
      <s:c r="B924" s="121" t="n"/>
      <s:c r="C924" s="121" t="n"/>
      <s:c r="D924" s="121" t="n"/>
      <s:c r="E924" s="122" t="n"/>
    </s:row>
    <s:row r="925" hidden="1" ht="1" customHeight="1">
      <s:c r="A925" s="120" t="inlineStr"/>
      <s:c r="B925" s="121" t="n"/>
      <s:c r="C925" s="121" t="n"/>
      <s:c r="D925" s="121" t="n"/>
      <s:c r="E925" s="122" t="n"/>
    </s:row>
    <s:row r="926" hidden="1" ht="1" customHeight="1">
      <s:c r="A926" s="120" t="inlineStr"/>
      <s:c r="B926" s="121" t="n"/>
      <s:c r="C926" s="121" t="n"/>
      <s:c r="D926" s="121" t="n"/>
      <s:c r="E926" s="122" t="n"/>
    </s:row>
    <s:row r="927" hidden="1" ht="1" customHeight="1">
      <s:c r="A927" s="120" t="inlineStr"/>
      <s:c r="B927" s="121" t="n"/>
      <s:c r="C927" s="121" t="n"/>
      <s:c r="D927" s="121" t="n"/>
      <s:c r="E927" s="122" t="n"/>
    </s:row>
    <s:row r="928" hidden="1" ht="1" customHeight="1">
      <s:c r="A928" s="120" t="inlineStr"/>
      <s:c r="B928" s="121" t="n"/>
      <s:c r="C928" s="121" t="n"/>
      <s:c r="D928" s="121" t="n"/>
      <s:c r="E928" s="122" t="n"/>
    </s:row>
    <s:row r="929" hidden="1" ht="1" customHeight="1">
      <s:c r="A929" s="120" t="inlineStr"/>
      <s:c r="B929" s="121" t="n"/>
      <s:c r="C929" s="121" t="n"/>
      <s:c r="D929" s="121" t="n"/>
      <s:c r="E929" s="122" t="n"/>
    </s:row>
    <s:row r="930" hidden="1" ht="1" customHeight="1">
      <s:c r="A930" s="120" t="inlineStr"/>
      <s:c r="B930" s="121" t="n"/>
      <s:c r="C930" s="121" t="n"/>
      <s:c r="D930" s="121" t="n"/>
      <s:c r="E930" s="122" t="n"/>
    </s:row>
    <s:row r="931" hidden="1" ht="1" customHeight="1">
      <s:c r="A931" s="120" t="inlineStr"/>
      <s:c r="B931" s="121" t="n"/>
      <s:c r="C931" s="121" t="n"/>
      <s:c r="D931" s="121" t="n"/>
      <s:c r="E931" s="122" t="n"/>
    </s:row>
    <s:row r="932" hidden="1" ht="1" customHeight="1">
      <s:c r="A932" s="120" t="inlineStr"/>
      <s:c r="B932" s="121" t="n"/>
      <s:c r="C932" s="121" t="n"/>
      <s:c r="D932" s="121" t="n"/>
      <s:c r="E932" s="122" t="n"/>
    </s:row>
    <s:row r="933" hidden="1" ht="1" customHeight="1">
      <s:c r="A933" s="120" t="inlineStr"/>
      <s:c r="B933" s="121" t="n"/>
      <s:c r="C933" s="121" t="n"/>
      <s:c r="D933" s="121" t="n"/>
      <s:c r="E933" s="122" t="n"/>
    </s:row>
    <s:row r="934" hidden="1" ht="1" customHeight="1">
      <s:c r="A934" s="120" t="inlineStr"/>
      <s:c r="B934" s="121" t="n"/>
      <s:c r="C934" s="121" t="n"/>
      <s:c r="D934" s="121" t="n"/>
      <s:c r="E934" s="122" t="n"/>
    </s:row>
    <s:row r="935" hidden="1" ht="1" customHeight="1">
      <s:c r="A935" s="120" t="inlineStr"/>
      <s:c r="B935" s="121" t="n"/>
      <s:c r="C935" s="121" t="n"/>
      <s:c r="D935" s="121" t="n"/>
      <s:c r="E935" s="122" t="n"/>
    </s:row>
    <s:row r="936" hidden="1" ht="1" customHeight="1">
      <s:c r="A936" s="120" t="inlineStr"/>
      <s:c r="B936" s="121" t="n"/>
      <s:c r="C936" s="121" t="n"/>
      <s:c r="D936" s="121" t="n"/>
      <s:c r="E936" s="122" t="n"/>
    </s:row>
    <s:row r="937" hidden="1" ht="1" customHeight="1">
      <s:c r="A937" s="120" t="inlineStr"/>
      <s:c r="B937" s="121" t="n"/>
      <s:c r="C937" s="121" t="n"/>
      <s:c r="D937" s="121" t="n"/>
      <s:c r="E937" s="122" t="n"/>
    </s:row>
    <s:row r="938" hidden="1" ht="1" customHeight="1">
      <s:c r="A938" s="120" t="inlineStr"/>
      <s:c r="B938" s="121" t="n"/>
      <s:c r="C938" s="121" t="n"/>
      <s:c r="D938" s="121" t="n"/>
      <s:c r="E938" s="122" t="n"/>
    </s:row>
    <s:row r="939" hidden="1" ht="1" customHeight="1">
      <s:c r="A939" s="120" t="inlineStr"/>
      <s:c r="B939" s="121" t="n"/>
      <s:c r="C939" s="121" t="n"/>
      <s:c r="D939" s="121" t="n"/>
      <s:c r="E939" s="122" t="n"/>
    </s:row>
    <s:row r="940" hidden="1" ht="1" customHeight="1">
      <s:c r="A940" s="120" t="inlineStr"/>
      <s:c r="B940" s="121" t="n"/>
      <s:c r="C940" s="121" t="n"/>
      <s:c r="D940" s="121" t="n"/>
      <s:c r="E940" s="122" t="n"/>
    </s:row>
    <s:row r="941" hidden="1" ht="1" customHeight="1">
      <s:c r="A941" s="120" t="inlineStr"/>
      <s:c r="B941" s="121" t="n"/>
      <s:c r="C941" s="121" t="n"/>
      <s:c r="D941" s="121" t="n"/>
      <s:c r="E941" s="122" t="n"/>
    </s:row>
    <s:row r="942" hidden="1" ht="1" customHeight="1">
      <s:c r="A942" s="120" t="inlineStr"/>
      <s:c r="B942" s="121" t="n"/>
      <s:c r="C942" s="121" t="n"/>
      <s:c r="D942" s="121" t="n"/>
      <s:c r="E942" s="122" t="n"/>
    </s:row>
    <s:row r="943" hidden="1" ht="1" customHeight="1">
      <s:c r="A943" s="120" t="inlineStr"/>
      <s:c r="B943" s="121" t="n"/>
      <s:c r="C943" s="121" t="n"/>
      <s:c r="D943" s="121" t="n"/>
      <s:c r="E943" s="122" t="n"/>
    </s:row>
    <s:row r="944" hidden="1" ht="1" customHeight="1">
      <s:c r="A944" s="120" t="inlineStr"/>
      <s:c r="B944" s="121" t="n"/>
      <s:c r="C944" s="121" t="n"/>
      <s:c r="D944" s="121" t="n"/>
      <s:c r="E944" s="122" t="n"/>
    </s:row>
    <s:row r="945" hidden="1" ht="1" customHeight="1">
      <s:c r="A945" s="120" t="inlineStr"/>
      <s:c r="B945" s="121" t="n"/>
      <s:c r="C945" s="121" t="n"/>
      <s:c r="D945" s="121" t="n"/>
      <s:c r="E945" s="122" t="n"/>
    </s:row>
    <s:row r="946" hidden="1" ht="1" customHeight="1">
      <s:c r="A946" s="120" t="inlineStr"/>
      <s:c r="B946" s="121" t="n"/>
      <s:c r="C946" s="121" t="n"/>
      <s:c r="D946" s="121" t="n"/>
      <s:c r="E946" s="122" t="n"/>
    </s:row>
    <s:row r="947" hidden="1" ht="1" customHeight="1">
      <s:c r="A947" s="120" t="inlineStr"/>
      <s:c r="B947" s="121" t="n"/>
      <s:c r="C947" s="121" t="n"/>
      <s:c r="D947" s="121" t="n"/>
      <s:c r="E947" s="122" t="n"/>
    </s:row>
    <s:row r="948" hidden="1" ht="1" customHeight="1">
      <s:c r="A948" s="120" t="inlineStr"/>
      <s:c r="B948" s="121" t="n"/>
      <s:c r="C948" s="121" t="n"/>
      <s:c r="D948" s="121" t="n"/>
      <s:c r="E948" s="122" t="n"/>
    </s:row>
    <s:row r="949" hidden="1" ht="1" customHeight="1">
      <s:c r="A949" s="120" t="inlineStr"/>
      <s:c r="B949" s="121" t="n"/>
      <s:c r="C949" s="121" t="n"/>
      <s:c r="D949" s="121" t="n"/>
      <s:c r="E949" s="122" t="n"/>
    </s:row>
    <s:row r="950" hidden="1" ht="1" customHeight="1">
      <s:c r="A950" s="120" t="inlineStr"/>
      <s:c r="B950" s="121" t="n"/>
      <s:c r="C950" s="121" t="n"/>
      <s:c r="D950" s="121" t="n"/>
      <s:c r="E950" s="122" t="n"/>
    </s:row>
    <s:row r="951" hidden="1" ht="1" customHeight="1">
      <s:c r="A951" s="120" t="inlineStr"/>
      <s:c r="B951" s="121" t="n"/>
      <s:c r="C951" s="121" t="n"/>
      <s:c r="D951" s="121" t="n"/>
      <s:c r="E951" s="122" t="n"/>
    </s:row>
    <s:row r="952" hidden="1" ht="1" customHeight="1">
      <s:c r="A952" s="120" t="inlineStr"/>
      <s:c r="B952" s="121" t="n"/>
      <s:c r="C952" s="121" t="n"/>
      <s:c r="D952" s="121" t="n"/>
      <s:c r="E952" s="122" t="n"/>
    </s:row>
    <s:row r="953" hidden="1" ht="1" customHeight="1">
      <s:c r="A953" s="120" t="inlineStr"/>
      <s:c r="B953" s="121" t="n"/>
      <s:c r="C953" s="121" t="n"/>
      <s:c r="D953" s="121" t="n"/>
      <s:c r="E953" s="122" t="n"/>
    </s:row>
    <s:row r="954" hidden="1" ht="1" customHeight="1">
      <s:c r="A954" s="120" t="inlineStr"/>
      <s:c r="B954" s="121" t="n"/>
      <s:c r="C954" s="121" t="n"/>
      <s:c r="D954" s="121" t="n"/>
      <s:c r="E954" s="122" t="n"/>
    </s:row>
    <s:row r="955" hidden="1" ht="1" customHeight="1">
      <s:c r="A955" s="120" t="inlineStr"/>
      <s:c r="B955" s="121" t="n"/>
      <s:c r="C955" s="121" t="n"/>
      <s:c r="D955" s="121" t="n"/>
      <s:c r="E955" s="122" t="n"/>
    </s:row>
    <s:row r="956" hidden="1" ht="1" customHeight="1">
      <s:c r="A956" s="120" t="inlineStr"/>
      <s:c r="B956" s="121" t="n"/>
      <s:c r="C956" s="121" t="n"/>
      <s:c r="D956" s="121" t="n"/>
      <s:c r="E956" s="122" t="n"/>
    </s:row>
    <s:row r="957" hidden="1" ht="1" customHeight="1">
      <s:c r="A957" s="120" t="inlineStr"/>
      <s:c r="B957" s="121" t="n"/>
      <s:c r="C957" s="121" t="n"/>
      <s:c r="D957" s="121" t="n"/>
      <s:c r="E957" s="122" t="n"/>
    </s:row>
    <s:row r="958" hidden="1" ht="1" customHeight="1">
      <s:c r="A958" s="120" t="inlineStr"/>
      <s:c r="B958" s="121" t="n"/>
      <s:c r="C958" s="121" t="n"/>
      <s:c r="D958" s="121" t="n"/>
      <s:c r="E958" s="122" t="n"/>
    </s:row>
    <s:row r="959" hidden="1" ht="1" customHeight="1">
      <s:c r="A959" s="120" t="inlineStr"/>
      <s:c r="B959" s="121" t="n"/>
      <s:c r="C959" s="121" t="n"/>
      <s:c r="D959" s="121" t="n"/>
      <s:c r="E959" s="122" t="n"/>
    </s:row>
    <s:row r="960" hidden="1" ht="1" customHeight="1">
      <s:c r="A960" s="120" t="inlineStr"/>
      <s:c r="B960" s="121" t="n"/>
      <s:c r="C960" s="121" t="n"/>
      <s:c r="D960" s="121" t="n"/>
      <s:c r="E960" s="122" t="n"/>
    </s:row>
    <s:row r="961" hidden="1" ht="1" customHeight="1">
      <s:c r="A961" s="120" t="inlineStr"/>
      <s:c r="B961" s="121" t="n"/>
      <s:c r="C961" s="121" t="n"/>
      <s:c r="D961" s="121" t="n"/>
      <s:c r="E961" s="122" t="n"/>
    </s:row>
    <s:row r="962" hidden="1" ht="1" customHeight="1">
      <s:c r="A962" s="120" t="inlineStr"/>
      <s:c r="B962" s="121" t="n"/>
      <s:c r="C962" s="121" t="n"/>
      <s:c r="D962" s="121" t="n"/>
      <s:c r="E962" s="122" t="n"/>
    </s:row>
    <s:row r="963" hidden="1" ht="1" customHeight="1">
      <s:c r="A963" s="120" t="inlineStr"/>
      <s:c r="B963" s="121" t="n"/>
      <s:c r="C963" s="121" t="n"/>
      <s:c r="D963" s="121" t="n"/>
      <s:c r="E963" s="122" t="n"/>
    </s:row>
    <s:row r="964" hidden="1" ht="1" customHeight="1">
      <s:c r="A964" s="120" t="inlineStr"/>
      <s:c r="B964" s="121" t="n"/>
      <s:c r="C964" s="121" t="n"/>
      <s:c r="D964" s="121" t="n"/>
      <s:c r="E964" s="122" t="n"/>
    </s:row>
    <s:row r="965" hidden="1" ht="1" customHeight="1">
      <s:c r="A965" s="120" t="inlineStr"/>
      <s:c r="B965" s="121" t="n"/>
      <s:c r="C965" s="121" t="n"/>
      <s:c r="D965" s="121" t="n"/>
      <s:c r="E965" s="122" t="n"/>
    </s:row>
    <s:row r="966" hidden="1" ht="1" customHeight="1">
      <s:c r="A966" s="120" t="inlineStr"/>
      <s:c r="B966" s="121" t="n"/>
      <s:c r="C966" s="121" t="n"/>
      <s:c r="D966" s="121" t="n"/>
      <s:c r="E966" s="122" t="n"/>
    </s:row>
    <s:row r="967" hidden="1" ht="1" customHeight="1">
      <s:c r="A967" s="120" t="inlineStr"/>
      <s:c r="B967" s="121" t="n"/>
      <s:c r="C967" s="121" t="n"/>
      <s:c r="D967" s="121" t="n"/>
      <s:c r="E967" s="122" t="n"/>
    </s:row>
    <s:row r="968" hidden="1" ht="1" customHeight="1">
      <s:c r="A968" s="120" t="inlineStr"/>
      <s:c r="B968" s="121" t="n"/>
      <s:c r="C968" s="121" t="n"/>
      <s:c r="D968" s="121" t="n"/>
      <s:c r="E968" s="122" t="n"/>
    </s:row>
    <s:row r="969" hidden="1" ht="1" customHeight="1">
      <s:c r="A969" s="120" t="inlineStr"/>
      <s:c r="B969" s="121" t="n"/>
      <s:c r="C969" s="121" t="n"/>
      <s:c r="D969" s="121" t="n"/>
      <s:c r="E969" s="122" t="n"/>
    </s:row>
    <s:row r="970" hidden="1" ht="1" customHeight="1">
      <s:c r="A970" s="120" t="inlineStr"/>
      <s:c r="B970" s="121" t="n"/>
      <s:c r="C970" s="121" t="n"/>
      <s:c r="D970" s="121" t="n"/>
      <s:c r="E970" s="122" t="n"/>
    </s:row>
    <s:row r="971" hidden="1" ht="1" customHeight="1">
      <s:c r="A971" s="120" t="inlineStr"/>
      <s:c r="B971" s="121" t="n"/>
      <s:c r="C971" s="121" t="n"/>
      <s:c r="D971" s="121" t="n"/>
      <s:c r="E971" s="122" t="n"/>
    </s:row>
    <s:row r="972" hidden="1" ht="1" customHeight="1">
      <s:c r="A972" s="120" t="inlineStr"/>
      <s:c r="B972" s="121" t="n"/>
      <s:c r="C972" s="121" t="n"/>
      <s:c r="D972" s="121" t="n"/>
      <s:c r="E972" s="122" t="n"/>
    </s:row>
    <s:row r="973" hidden="1" ht="1" customHeight="1">
      <s:c r="A973" s="120" t="inlineStr"/>
      <s:c r="B973" s="121" t="n"/>
      <s:c r="C973" s="121" t="n"/>
      <s:c r="D973" s="121" t="n"/>
      <s:c r="E973" s="122" t="n"/>
    </s:row>
    <s:row r="974" hidden="1" ht="1" customHeight="1">
      <s:c r="A974" s="120" t="inlineStr"/>
      <s:c r="B974" s="121" t="n"/>
      <s:c r="C974" s="121" t="n"/>
      <s:c r="D974" s="121" t="n"/>
      <s:c r="E974" s="122" t="n"/>
    </s:row>
    <s:row r="975" hidden="1" ht="1" customHeight="1">
      <s:c r="A975" s="120" t="inlineStr"/>
      <s:c r="B975" s="121" t="n"/>
      <s:c r="C975" s="121" t="n"/>
      <s:c r="D975" s="121" t="n"/>
      <s:c r="E975" s="122" t="n"/>
    </s:row>
    <s:row r="976" hidden="1" ht="1" customHeight="1">
      <s:c r="A976" s="120" t="inlineStr"/>
      <s:c r="B976" s="121" t="n"/>
      <s:c r="C976" s="121" t="n"/>
      <s:c r="D976" s="121" t="n"/>
      <s:c r="E976" s="122" t="n"/>
    </s:row>
    <s:row r="977" hidden="1" ht="1" customHeight="1">
      <s:c r="A977" s="120" t="inlineStr"/>
      <s:c r="B977" s="121" t="n"/>
      <s:c r="C977" s="121" t="n"/>
      <s:c r="D977" s="121" t="n"/>
      <s:c r="E977" s="122" t="n"/>
    </s:row>
    <s:row r="978" hidden="1" ht="1" customHeight="1">
      <s:c r="A978" s="120" t="inlineStr"/>
      <s:c r="B978" s="121" t="n"/>
      <s:c r="C978" s="121" t="n"/>
      <s:c r="D978" s="121" t="n"/>
      <s:c r="E978" s="122" t="n"/>
    </s:row>
    <s:row r="979" hidden="1" ht="1" customHeight="1">
      <s:c r="A979" s="120" t="inlineStr"/>
      <s:c r="B979" s="121" t="n"/>
      <s:c r="C979" s="121" t="n"/>
      <s:c r="D979" s="121" t="n"/>
      <s:c r="E979" s="122" t="n"/>
    </s:row>
    <s:row r="980" hidden="1" ht="1" customHeight="1">
      <s:c r="A980" s="120" t="inlineStr"/>
      <s:c r="B980" s="121" t="n"/>
      <s:c r="C980" s="121" t="n"/>
      <s:c r="D980" s="121" t="n"/>
      <s:c r="E980" s="122" t="n"/>
    </s:row>
    <s:row r="981" hidden="1" ht="1" customHeight="1">
      <s:c r="A981" s="120" t="inlineStr"/>
      <s:c r="B981" s="121" t="n"/>
      <s:c r="C981" s="121" t="n"/>
      <s:c r="D981" s="121" t="n"/>
      <s:c r="E981" s="122" t="n"/>
    </s:row>
    <s:row r="982" hidden="1" ht="1" customHeight="1">
      <s:c r="A982" s="120" t="inlineStr"/>
      <s:c r="B982" s="121" t="n"/>
      <s:c r="C982" s="121" t="n"/>
      <s:c r="D982" s="121" t="n"/>
      <s:c r="E982" s="122" t="n"/>
    </s:row>
    <s:row r="983" hidden="1" ht="1" customHeight="1">
      <s:c r="A983" s="120" t="inlineStr"/>
      <s:c r="B983" s="121" t="n"/>
      <s:c r="C983" s="121" t="n"/>
      <s:c r="D983" s="121" t="n"/>
      <s:c r="E983" s="122" t="n"/>
    </s:row>
    <s:row r="984" hidden="1" ht="1" customHeight="1">
      <s:c r="A984" s="120" t="inlineStr"/>
      <s:c r="B984" s="121" t="n"/>
      <s:c r="C984" s="121" t="n"/>
      <s:c r="D984" s="121" t="n"/>
      <s:c r="E984" s="122" t="n"/>
    </s:row>
    <s:row r="985" hidden="1" ht="1" customHeight="1">
      <s:c r="A985" s="120" t="inlineStr"/>
      <s:c r="B985" s="121" t="n"/>
      <s:c r="C985" s="121" t="n"/>
      <s:c r="D985" s="121" t="n"/>
      <s:c r="E985" s="122" t="n"/>
    </s:row>
    <s:row r="986" hidden="1" ht="1" customHeight="1">
      <s:c r="A986" s="120" t="inlineStr"/>
      <s:c r="B986" s="121" t="n"/>
      <s:c r="C986" s="121" t="n"/>
      <s:c r="D986" s="121" t="n"/>
      <s:c r="E986" s="122" t="n"/>
    </s:row>
    <s:row r="987" hidden="1" ht="1" customHeight="1">
      <s:c r="A987" s="120" t="inlineStr"/>
      <s:c r="B987" s="121" t="n"/>
      <s:c r="C987" s="121" t="n"/>
      <s:c r="D987" s="121" t="n"/>
      <s:c r="E987" s="122" t="n"/>
    </s:row>
    <s:row r="988" hidden="1" ht="1" customHeight="1">
      <s:c r="A988" s="120" t="inlineStr"/>
      <s:c r="B988" s="121" t="n"/>
      <s:c r="C988" s="121" t="n"/>
      <s:c r="D988" s="121" t="n"/>
      <s:c r="E988" s="122" t="n"/>
    </s:row>
    <s:row r="989" hidden="1" ht="1" customHeight="1">
      <s:c r="A989" s="120" t="inlineStr"/>
      <s:c r="B989" s="121" t="n"/>
      <s:c r="C989" s="121" t="n"/>
      <s:c r="D989" s="121" t="n"/>
      <s:c r="E989" s="122" t="n"/>
    </s:row>
    <s:row r="990" hidden="1" ht="1" customHeight="1">
      <s:c r="A990" s="120" t="inlineStr"/>
      <s:c r="B990" s="121" t="n"/>
      <s:c r="C990" s="121" t="n"/>
      <s:c r="D990" s="121" t="n"/>
      <s:c r="E990" s="122" t="n"/>
    </s:row>
    <s:row r="991" hidden="1" ht="1" customHeight="1">
      <s:c r="A991" s="120" t="inlineStr"/>
      <s:c r="B991" s="121" t="n"/>
      <s:c r="C991" s="121" t="n"/>
      <s:c r="D991" s="121" t="n"/>
      <s:c r="E991" s="122" t="n"/>
    </s:row>
    <s:row r="992" hidden="1" ht="1" customHeight="1">
      <s:c r="A992" s="120" t="inlineStr"/>
      <s:c r="B992" s="121" t="n"/>
      <s:c r="C992" s="121" t="n"/>
      <s:c r="D992" s="121" t="n"/>
      <s:c r="E992" s="122" t="n"/>
    </s:row>
    <s:row r="993" hidden="1" ht="1" customHeight="1">
      <s:c r="A993" s="120" t="inlineStr"/>
      <s:c r="B993" s="121" t="n"/>
      <s:c r="C993" s="121" t="n"/>
      <s:c r="D993" s="121" t="n"/>
      <s:c r="E993" s="122" t="n"/>
    </s:row>
    <s:row r="994" hidden="1" ht="1" customHeight="1">
      <s:c r="A994" s="120" t="inlineStr"/>
      <s:c r="B994" s="121" t="n"/>
      <s:c r="C994" s="121" t="n"/>
      <s:c r="D994" s="121" t="n"/>
      <s:c r="E994" s="122" t="n"/>
    </s:row>
    <s:row r="995" hidden="1" ht="1" customHeight="1">
      <s:c r="A995" s="120" t="inlineStr"/>
      <s:c r="B995" s="121" t="n"/>
      <s:c r="C995" s="121" t="n"/>
      <s:c r="D995" s="121" t="n"/>
      <s:c r="E995" s="122" t="n"/>
    </s:row>
    <s:row r="996" hidden="1" ht="1" customHeight="1">
      <s:c r="A996" s="120" t="inlineStr"/>
      <s:c r="B996" s="121" t="n"/>
      <s:c r="C996" s="121" t="n"/>
      <s:c r="D996" s="121" t="n"/>
      <s:c r="E996" s="122" t="n"/>
    </s:row>
    <s:row r="997" hidden="1" ht="1" customHeight="1">
      <s:c r="A997" s="120" t="inlineStr"/>
      <s:c r="B997" s="121" t="n"/>
      <s:c r="C997" s="121" t="n"/>
      <s:c r="D997" s="121" t="n"/>
      <s:c r="E997" s="122" t="n"/>
    </s:row>
    <s:row r="998" hidden="1" ht="1" customHeight="1">
      <s:c r="A998" s="120" t="inlineStr"/>
      <s:c r="B998" s="121" t="n"/>
      <s:c r="C998" s="121" t="n"/>
      <s:c r="D998" s="121" t="n"/>
      <s:c r="E998" s="122" t="n"/>
    </s:row>
    <s:row r="999" hidden="1" ht="1" customHeight="1">
      <s:c r="A999" s="120" t="inlineStr"/>
      <s:c r="B999" s="121" t="n"/>
      <s:c r="C999" s="121" t="n"/>
      <s:c r="D999" s="121" t="n"/>
      <s:c r="E999" s="122" t="n"/>
    </s:row>
    <s:row r="1000" hidden="1" ht="1" customHeight="1">
      <s:c r="A1000" s="120" t="inlineStr"/>
      <s:c r="B1000" s="121" t="n"/>
      <s:c r="C1000" s="121" t="n"/>
      <s:c r="D1000" s="121" t="n"/>
      <s:c r="E1000" s="122" t="n"/>
    </s:row>
    <s:row r="1001" hidden="1" ht="1" customHeight="1">
      <s:c r="A1001" s="120" t="inlineStr"/>
      <s:c r="B1001" s="121" t="n"/>
      <s:c r="C1001" s="121" t="n"/>
      <s:c r="D1001" s="121" t="n"/>
      <s:c r="E1001" s="122" t="n"/>
    </s:row>
    <s:row r="1002" hidden="1" ht="1" customHeight="1">
      <s:c r="A1002" s="120" t="inlineStr"/>
      <s:c r="B1002" s="121" t="n"/>
      <s:c r="C1002" s="121" t="n"/>
      <s:c r="D1002" s="121" t="n"/>
      <s:c r="E1002" s="122" t="n"/>
    </s:row>
    <s:row r="1003" hidden="1" ht="1" customHeight="1">
      <s:c r="A1003" s="120" t="inlineStr"/>
      <s:c r="B1003" s="121" t="n"/>
      <s:c r="C1003" s="121" t="n"/>
      <s:c r="D1003" s="121" t="n"/>
      <s:c r="E1003" s="122" t="n"/>
    </s:row>
    <s:row r="1004" hidden="1" ht="1" customHeight="1">
      <s:c r="A1004" s="120" t="inlineStr"/>
      <s:c r="B1004" s="121" t="n"/>
      <s:c r="C1004" s="121" t="n"/>
      <s:c r="D1004" s="121" t="n"/>
      <s:c r="E1004" s="122" t="n"/>
    </s:row>
    <s:row r="1005" hidden="1" ht="1" customHeight="1">
      <s:c r="A1005" s="120" t="inlineStr"/>
      <s:c r="B1005" s="121" t="n"/>
      <s:c r="C1005" s="121" t="n"/>
      <s:c r="D1005" s="121" t="n"/>
      <s:c r="E1005" s="122" t="n"/>
    </s:row>
    <s:row r="1006" hidden="1" ht="1" customHeight="1">
      <s:c r="A1006" s="120" t="inlineStr"/>
      <s:c r="B1006" s="121" t="n"/>
      <s:c r="C1006" s="121" t="n"/>
      <s:c r="D1006" s="121" t="n"/>
      <s:c r="E1006" s="122" t="n"/>
    </s:row>
    <s:row r="1007" hidden="1" ht="1" customHeight="1">
      <s:c r="A1007" s="120" t="inlineStr"/>
      <s:c r="B1007" s="121" t="n"/>
      <s:c r="C1007" s="121" t="n"/>
      <s:c r="D1007" s="121" t="n"/>
      <s:c r="E1007" s="122" t="n"/>
    </s:row>
    <s:row r="1008" hidden="1" ht="1" customHeight="1">
      <s:c r="A1008" s="120" t="inlineStr"/>
      <s:c r="B1008" s="121" t="n"/>
      <s:c r="C1008" s="121" t="n"/>
      <s:c r="D1008" s="121" t="n"/>
      <s:c r="E1008" s="122" t="n"/>
    </s:row>
    <s:row r="1009" hidden="1" ht="1" customHeight="1">
      <s:c r="A1009" s="120" t="inlineStr"/>
      <s:c r="B1009" s="121" t="n"/>
      <s:c r="C1009" s="121" t="n"/>
      <s:c r="D1009" s="121" t="n"/>
      <s:c r="E1009" s="122" t="n"/>
    </s:row>
    <s:row r="1010" hidden="1" ht="1" customHeight="1">
      <s:c r="A1010" s="120" t="inlineStr"/>
      <s:c r="B1010" s="121" t="n"/>
      <s:c r="C1010" s="121" t="n"/>
      <s:c r="D1010" s="121" t="n"/>
      <s:c r="E1010" s="122" t="n"/>
    </s:row>
    <s:row r="1011" hidden="1" ht="1" customHeight="1">
      <s:c r="A1011" s="120" t="inlineStr"/>
      <s:c r="B1011" s="121" t="n"/>
      <s:c r="C1011" s="121" t="n"/>
      <s:c r="D1011" s="121" t="n"/>
      <s:c r="E1011" s="122" t="n"/>
    </s:row>
    <s:row r="1012" hidden="1" ht="1" customHeight="1">
      <s:c r="A1012" s="120" t="inlineStr"/>
      <s:c r="B1012" s="121" t="n"/>
      <s:c r="C1012" s="121" t="n"/>
      <s:c r="D1012" s="121" t="n"/>
      <s:c r="E1012" s="122" t="n"/>
    </s:row>
    <s:row r="1013" hidden="1" ht="1" customHeight="1">
      <s:c r="A1013" s="120" t="inlineStr"/>
      <s:c r="B1013" s="121" t="n"/>
      <s:c r="C1013" s="121" t="n"/>
      <s:c r="D1013" s="121" t="n"/>
      <s:c r="E1013" s="122" t="n"/>
    </s:row>
    <s:row r="1014" hidden="1" ht="1" customHeight="1">
      <s:c r="A1014" s="120" t="inlineStr"/>
      <s:c r="B1014" s="121" t="n"/>
      <s:c r="C1014" s="121" t="n"/>
      <s:c r="D1014" s="121" t="n"/>
      <s:c r="E1014" s="122" t="n"/>
    </s:row>
    <s:row r="1015" hidden="1" ht="1" customHeight="1">
      <s:c r="A1015" s="120" t="inlineStr"/>
      <s:c r="B1015" s="121" t="n"/>
      <s:c r="C1015" s="121" t="n"/>
      <s:c r="D1015" s="121" t="n"/>
      <s:c r="E1015" s="122" t="n"/>
    </s:row>
    <s:row r="1016" hidden="1" ht="1" customHeight="1">
      <s:c r="A1016" s="120" t="inlineStr"/>
      <s:c r="B1016" s="121" t="n"/>
      <s:c r="C1016" s="121" t="n"/>
      <s:c r="D1016" s="121" t="n"/>
      <s:c r="E1016" s="122" t="n"/>
    </s:row>
    <s:row r="1017" hidden="1" ht="1" customHeight="1">
      <s:c r="A1017" s="120" t="inlineStr"/>
      <s:c r="B1017" s="121" t="n"/>
      <s:c r="C1017" s="121" t="n"/>
      <s:c r="D1017" s="121" t="n"/>
      <s:c r="E1017" s="122" t="n"/>
    </s:row>
    <s:row r="1018" hidden="1" ht="1" customHeight="1">
      <s:c r="A1018" s="120" t="inlineStr"/>
      <s:c r="B1018" s="121" t="n"/>
      <s:c r="C1018" s="121" t="n"/>
      <s:c r="D1018" s="121" t="n"/>
      <s:c r="E1018" s="122" t="n"/>
    </s:row>
    <s:row r="1019" hidden="1" ht="1" customHeight="1">
      <s:c r="A1019" s="120" t="inlineStr"/>
      <s:c r="B1019" s="121" t="n"/>
      <s:c r="C1019" s="121" t="n"/>
      <s:c r="D1019" s="121" t="n"/>
      <s:c r="E1019" s="122" t="n"/>
    </s:row>
    <s:row r="1020" hidden="1" ht="1" customHeight="1">
      <s:c r="A1020" s="120" t="inlineStr"/>
      <s:c r="B1020" s="121" t="n"/>
      <s:c r="C1020" s="121" t="n"/>
      <s:c r="D1020" s="121" t="n"/>
      <s:c r="E1020" s="122" t="n"/>
    </s:row>
    <s:row r="1021" hidden="1" ht="1" customHeight="1">
      <s:c r="A1021" s="120" t="inlineStr"/>
      <s:c r="B1021" s="121" t="n"/>
      <s:c r="C1021" s="121" t="n"/>
      <s:c r="D1021" s="121" t="n"/>
      <s:c r="E1021" s="122" t="n"/>
    </s:row>
    <s:row r="1022" hidden="1" ht="1" customHeight="1">
      <s:c r="A1022" s="120" t="inlineStr"/>
      <s:c r="B1022" s="121" t="n"/>
      <s:c r="C1022" s="121" t="n"/>
      <s:c r="D1022" s="121" t="n"/>
      <s:c r="E1022" s="122" t="n"/>
    </s:row>
    <s:row r="1023" hidden="1" ht="1" customHeight="1">
      <s:c r="A1023" s="120" t="inlineStr"/>
      <s:c r="B1023" s="121" t="n"/>
      <s:c r="C1023" s="121" t="n"/>
      <s:c r="D1023" s="121" t="n"/>
      <s:c r="E1023" s="122" t="n"/>
    </s:row>
    <s:row r="1024" hidden="1" ht="1" customHeight="1">
      <s:c r="A1024" s="120" t="inlineStr"/>
      <s:c r="B1024" s="121" t="n"/>
      <s:c r="C1024" s="121" t="n"/>
      <s:c r="D1024" s="121" t="n"/>
      <s:c r="E1024" s="122" t="n"/>
    </s:row>
    <s:row r="1025" hidden="1" ht="1" customHeight="1">
      <s:c r="A1025" s="120" t="inlineStr"/>
      <s:c r="B1025" s="121" t="n"/>
      <s:c r="C1025" s="121" t="n"/>
      <s:c r="D1025" s="121" t="n"/>
      <s:c r="E1025" s="122" t="n"/>
    </s:row>
    <s:row r="1026" hidden="1" ht="1" customHeight="1">
      <s:c r="A1026" s="120" t="inlineStr"/>
      <s:c r="B1026" s="121" t="n"/>
      <s:c r="C1026" s="121" t="n"/>
      <s:c r="D1026" s="121" t="n"/>
      <s:c r="E1026" s="122" t="n"/>
    </s:row>
    <s:row r="1027" hidden="1" ht="1" customHeight="1">
      <s:c r="A1027" s="120" t="inlineStr"/>
      <s:c r="B1027" s="121" t="n"/>
      <s:c r="C1027" s="121" t="n"/>
      <s:c r="D1027" s="121" t="n"/>
      <s:c r="E1027" s="122" t="n"/>
    </s:row>
    <s:row r="1028" hidden="1" ht="1" customHeight="1">
      <s:c r="A1028" s="120" t="inlineStr"/>
      <s:c r="B1028" s="121" t="n"/>
      <s:c r="C1028" s="121" t="n"/>
      <s:c r="D1028" s="121" t="n"/>
      <s:c r="E1028" s="122" t="n"/>
    </s:row>
    <s:row r="1029" hidden="1" ht="1" customHeight="1">
      <s:c r="A1029" s="120" t="inlineStr"/>
      <s:c r="B1029" s="121" t="n"/>
      <s:c r="C1029" s="121" t="n"/>
      <s:c r="D1029" s="121" t="n"/>
      <s:c r="E1029" s="122" t="n"/>
    </s:row>
    <s:row r="1030" hidden="1" ht="1" customHeight="1">
      <s:c r="A1030" s="120" t="inlineStr"/>
      <s:c r="B1030" s="121" t="n"/>
      <s:c r="C1030" s="121" t="n"/>
      <s:c r="D1030" s="121" t="n"/>
      <s:c r="E1030" s="122" t="n"/>
    </s:row>
    <s:row r="1031" hidden="1" ht="1" customHeight="1">
      <s:c r="A1031" s="120" t="inlineStr"/>
      <s:c r="B1031" s="121" t="n"/>
      <s:c r="C1031" s="121" t="n"/>
      <s:c r="D1031" s="121" t="n"/>
      <s:c r="E1031" s="122" t="n"/>
    </s:row>
    <s:row r="1032" hidden="1" ht="1" customHeight="1">
      <s:c r="A1032" s="120" t="inlineStr"/>
      <s:c r="B1032" s="121" t="n"/>
      <s:c r="C1032" s="121" t="n"/>
      <s:c r="D1032" s="121" t="n"/>
      <s:c r="E1032" s="122" t="n"/>
    </s:row>
    <s:row r="1033" hidden="1" ht="1" customHeight="1">
      <s:c r="A1033" s="120" t="inlineStr"/>
      <s:c r="B1033" s="121" t="n"/>
      <s:c r="C1033" s="121" t="n"/>
      <s:c r="D1033" s="121" t="n"/>
      <s:c r="E1033" s="122" t="n"/>
    </s:row>
    <s:row r="1034" hidden="1" ht="1" customHeight="1">
      <s:c r="A1034" s="120" t="inlineStr"/>
      <s:c r="B1034" s="121" t="n"/>
      <s:c r="C1034" s="121" t="n"/>
      <s:c r="D1034" s="121" t="n"/>
      <s:c r="E1034" s="122" t="n"/>
    </s:row>
    <s:row r="1035" hidden="1" ht="1" customHeight="1">
      <s:c r="A1035" s="120" t="inlineStr"/>
      <s:c r="B1035" s="121" t="n"/>
      <s:c r="C1035" s="121" t="n"/>
      <s:c r="D1035" s="121" t="n"/>
      <s:c r="E1035" s="122" t="n"/>
    </s:row>
    <s:row r="1036" hidden="1" ht="1" customHeight="1">
      <s:c r="A1036" s="120" t="inlineStr"/>
      <s:c r="B1036" s="121" t="n"/>
      <s:c r="C1036" s="121" t="n"/>
      <s:c r="D1036" s="121" t="n"/>
      <s:c r="E1036" s="122" t="n"/>
    </s:row>
    <s:row r="1037" hidden="1" ht="1" customHeight="1">
      <s:c r="A1037" s="120" t="inlineStr"/>
      <s:c r="B1037" s="121" t="n"/>
      <s:c r="C1037" s="121" t="n"/>
      <s:c r="D1037" s="121" t="n"/>
      <s:c r="E1037" s="122" t="n"/>
    </s:row>
    <s:row r="1038" hidden="1" ht="1" customHeight="1">
      <s:c r="A1038" s="120" t="inlineStr"/>
      <s:c r="B1038" s="121" t="n"/>
      <s:c r="C1038" s="121" t="n"/>
      <s:c r="D1038" s="121" t="n"/>
      <s:c r="E1038" s="122" t="n"/>
    </s:row>
    <s:row r="1039" hidden="1" ht="1" customHeight="1">
      <s:c r="A1039" s="120" t="inlineStr"/>
      <s:c r="B1039" s="121" t="n"/>
      <s:c r="C1039" s="121" t="n"/>
      <s:c r="D1039" s="121" t="n"/>
      <s:c r="E1039" s="122" t="n"/>
    </s:row>
    <s:row r="1040" hidden="1" ht="1" customHeight="1">
      <s:c r="A1040" s="120" t="inlineStr"/>
      <s:c r="B1040" s="121" t="n"/>
      <s:c r="C1040" s="121" t="n"/>
      <s:c r="D1040" s="121" t="n"/>
      <s:c r="E1040" s="122" t="n"/>
    </s:row>
    <s:row r="1041" hidden="1" ht="1" customHeight="1">
      <s:c r="A1041" s="120" t="inlineStr"/>
      <s:c r="B1041" s="121" t="n"/>
      <s:c r="C1041" s="121" t="n"/>
      <s:c r="D1041" s="121" t="n"/>
      <s:c r="E1041" s="122" t="n"/>
    </s:row>
    <s:row r="1042" hidden="1" ht="1" customHeight="1">
      <s:c r="A1042" s="120" t="inlineStr"/>
      <s:c r="B1042" s="121" t="n"/>
      <s:c r="C1042" s="121" t="n"/>
      <s:c r="D1042" s="121" t="n"/>
      <s:c r="E1042" s="122" t="n"/>
    </s:row>
    <s:row r="1043" hidden="1" ht="1" customHeight="1">
      <s:c r="A1043" s="120" t="inlineStr"/>
      <s:c r="B1043" s="121" t="n"/>
      <s:c r="C1043" s="121" t="n"/>
      <s:c r="D1043" s="121" t="n"/>
      <s:c r="E1043" s="122" t="n"/>
    </s:row>
    <s:row r="1044" hidden="1" ht="1" customHeight="1">
      <s:c r="A1044" s="120" t="inlineStr"/>
      <s:c r="B1044" s="121" t="n"/>
      <s:c r="C1044" s="121" t="n"/>
      <s:c r="D1044" s="121" t="n"/>
      <s:c r="E1044" s="122" t="n"/>
    </s:row>
    <s:row r="1045" hidden="1" ht="1" customHeight="1">
      <s:c r="A1045" s="120" t="inlineStr"/>
      <s:c r="B1045" s="121" t="n"/>
      <s:c r="C1045" s="121" t="n"/>
      <s:c r="D1045" s="121" t="n"/>
      <s:c r="E1045" s="122" t="n"/>
    </s:row>
    <s:row r="1046" hidden="1" ht="1" customHeight="1">
      <s:c r="A1046" s="120" t="inlineStr"/>
      <s:c r="B1046" s="121" t="n"/>
      <s:c r="C1046" s="121" t="n"/>
      <s:c r="D1046" s="121" t="n"/>
      <s:c r="E1046" s="122" t="n"/>
    </s:row>
    <s:row r="1047" hidden="1" ht="1" customHeight="1">
      <s:c r="A1047" s="120" t="inlineStr"/>
      <s:c r="B1047" s="121" t="n"/>
      <s:c r="C1047" s="121" t="n"/>
      <s:c r="D1047" s="121" t="n"/>
      <s:c r="E1047" s="122" t="n"/>
    </s:row>
    <s:row r="1048" hidden="1" ht="1" customHeight="1">
      <s:c r="A1048" s="120" t="inlineStr"/>
      <s:c r="B1048" s="121" t="n"/>
      <s:c r="C1048" s="121" t="n"/>
      <s:c r="D1048" s="121" t="n"/>
      <s:c r="E1048" s="122" t="n"/>
    </s:row>
    <s:row r="1049" hidden="1" ht="1" customHeight="1">
      <s:c r="A1049" s="120" t="inlineStr"/>
      <s:c r="B1049" s="121" t="n"/>
      <s:c r="C1049" s="121" t="n"/>
      <s:c r="D1049" s="121" t="n"/>
      <s:c r="E1049" s="122" t="n"/>
    </s:row>
    <s:row r="1050" hidden="1" ht="1" customHeight="1">
      <s:c r="A1050" s="120" t="inlineStr"/>
      <s:c r="B1050" s="121" t="n"/>
      <s:c r="C1050" s="121" t="n"/>
      <s:c r="D1050" s="121" t="n"/>
      <s:c r="E1050" s="122" t="n"/>
    </s:row>
    <s:row r="1051" hidden="1" ht="1" customHeight="1">
      <s:c r="A1051" s="120" t="inlineStr"/>
      <s:c r="B1051" s="121" t="n"/>
      <s:c r="C1051" s="121" t="n"/>
      <s:c r="D1051" s="121" t="n"/>
      <s:c r="E1051" s="122" t="n"/>
    </s:row>
    <s:row r="1052" hidden="1" ht="1" customHeight="1">
      <s:c r="A1052" s="120" t="inlineStr"/>
      <s:c r="B1052" s="121" t="n"/>
      <s:c r="C1052" s="121" t="n"/>
      <s:c r="D1052" s="121" t="n"/>
      <s:c r="E1052" s="122" t="n"/>
    </s:row>
    <s:row r="1053" hidden="1" ht="1" customHeight="1">
      <s:c r="A1053" s="120" t="inlineStr"/>
      <s:c r="B1053" s="121" t="n"/>
      <s:c r="C1053" s="121" t="n"/>
      <s:c r="D1053" s="121" t="n"/>
      <s:c r="E1053" s="122" t="n"/>
    </s:row>
    <s:row r="1054" hidden="1" ht="1" customHeight="1">
      <s:c r="A1054" s="120" t="inlineStr"/>
      <s:c r="B1054" s="121" t="n"/>
      <s:c r="C1054" s="121" t="n"/>
      <s:c r="D1054" s="121" t="n"/>
      <s:c r="E1054" s="122" t="n"/>
    </s:row>
    <s:row r="1055" hidden="1" ht="1" customHeight="1">
      <s:c r="A1055" s="120" t="inlineStr"/>
      <s:c r="B1055" s="121" t="n"/>
      <s:c r="C1055" s="121" t="n"/>
      <s:c r="D1055" s="121" t="n"/>
      <s:c r="E1055" s="122" t="n"/>
    </s:row>
    <s:row r="1056" hidden="1" ht="1" customHeight="1">
      <s:c r="A1056" s="120" t="inlineStr"/>
      <s:c r="B1056" s="121" t="n"/>
      <s:c r="C1056" s="121" t="n"/>
      <s:c r="D1056" s="121" t="n"/>
      <s:c r="E1056" s="122" t="n"/>
    </s:row>
    <s:row r="1057" hidden="1" ht="1" customHeight="1">
      <s:c r="A1057" s="120" t="inlineStr"/>
      <s:c r="B1057" s="121" t="n"/>
      <s:c r="C1057" s="121" t="n"/>
      <s:c r="D1057" s="121" t="n"/>
      <s:c r="E1057" s="122" t="n"/>
    </s:row>
    <s:row r="1058" hidden="1" ht="1" customHeight="1">
      <s:c r="A1058" s="120" t="inlineStr"/>
      <s:c r="B1058" s="121" t="n"/>
      <s:c r="C1058" s="121" t="n"/>
      <s:c r="D1058" s="121" t="n"/>
      <s:c r="E1058" s="122" t="n"/>
    </s:row>
    <s:row r="1059" hidden="1" ht="1" customHeight="1">
      <s:c r="A1059" s="120" t="inlineStr"/>
      <s:c r="B1059" s="121" t="n"/>
      <s:c r="C1059" s="121" t="n"/>
      <s:c r="D1059" s="121" t="n"/>
      <s:c r="E1059" s="122" t="n"/>
    </s:row>
    <s:row r="1060" hidden="1" ht="1" customHeight="1">
      <s:c r="A1060" s="120" t="inlineStr"/>
      <s:c r="B1060" s="121" t="n"/>
      <s:c r="C1060" s="121" t="n"/>
      <s:c r="D1060" s="121" t="n"/>
      <s:c r="E1060" s="122" t="n"/>
    </s:row>
    <s:row r="1061" hidden="1" ht="1" customHeight="1">
      <s:c r="A1061" s="120" t="inlineStr"/>
      <s:c r="B1061" s="121" t="n"/>
      <s:c r="C1061" s="121" t="n"/>
      <s:c r="D1061" s="121" t="n"/>
      <s:c r="E1061" s="122" t="n"/>
    </s:row>
    <s:row r="1062" hidden="1" ht="1" customHeight="1">
      <s:c r="A1062" s="120" t="inlineStr"/>
      <s:c r="B1062" s="121" t="n"/>
      <s:c r="C1062" s="121" t="n"/>
      <s:c r="D1062" s="121" t="n"/>
      <s:c r="E1062" s="122" t="n"/>
    </s:row>
    <s:row r="1063" hidden="1" ht="1" customHeight="1">
      <s:c r="A1063" s="120" t="inlineStr"/>
      <s:c r="B1063" s="121" t="n"/>
      <s:c r="C1063" s="121" t="n"/>
      <s:c r="D1063" s="121" t="n"/>
      <s:c r="E1063" s="122" t="n"/>
    </s:row>
    <s:row r="1064" hidden="1" ht="1" customHeight="1">
      <s:c r="A1064" s="120" t="inlineStr"/>
      <s:c r="B1064" s="121" t="n"/>
      <s:c r="C1064" s="121" t="n"/>
      <s:c r="D1064" s="121" t="n"/>
      <s:c r="E1064" s="122" t="n"/>
    </s:row>
    <s:row r="1065" hidden="1" ht="1" customHeight="1">
      <s:c r="A1065" s="120" t="inlineStr"/>
      <s:c r="B1065" s="121" t="n"/>
      <s:c r="C1065" s="121" t="n"/>
      <s:c r="D1065" s="121" t="n"/>
      <s:c r="E1065" s="122" t="n"/>
    </s:row>
    <s:row r="1066" hidden="1" ht="1" customHeight="1">
      <s:c r="A1066" s="120" t="inlineStr"/>
      <s:c r="B1066" s="121" t="n"/>
      <s:c r="C1066" s="121" t="n"/>
      <s:c r="D1066" s="121" t="n"/>
      <s:c r="E1066" s="122" t="n"/>
    </s:row>
    <s:row r="1067" hidden="1" ht="1" customHeight="1">
      <s:c r="A1067" s="120" t="inlineStr"/>
      <s:c r="B1067" s="121" t="n"/>
      <s:c r="C1067" s="121" t="n"/>
      <s:c r="D1067" s="121" t="n"/>
      <s:c r="E1067" s="122" t="n"/>
    </s:row>
    <s:row r="1068" hidden="1" ht="1" customHeight="1">
      <s:c r="A1068" s="120" t="inlineStr"/>
      <s:c r="B1068" s="121" t="n"/>
      <s:c r="C1068" s="121" t="n"/>
      <s:c r="D1068" s="121" t="n"/>
      <s:c r="E1068" s="122" t="n"/>
    </s:row>
    <s:row r="1069" hidden="1" ht="1" customHeight="1">
      <s:c r="A1069" s="120" t="inlineStr"/>
      <s:c r="B1069" s="121" t="n"/>
      <s:c r="C1069" s="121" t="n"/>
      <s:c r="D1069" s="121" t="n"/>
      <s:c r="E1069" s="122" t="n"/>
    </s:row>
    <s:row r="1070" hidden="1" ht="1" customHeight="1">
      <s:c r="A1070" s="120" t="inlineStr"/>
      <s:c r="B1070" s="121" t="n"/>
      <s:c r="C1070" s="121" t="n"/>
      <s:c r="D1070" s="121" t="n"/>
      <s:c r="E1070" s="122" t="n"/>
    </s:row>
    <s:row r="1071" hidden="1" ht="1" customHeight="1">
      <s:c r="A1071" s="120" t="inlineStr"/>
      <s:c r="B1071" s="121" t="n"/>
      <s:c r="C1071" s="121" t="n"/>
      <s:c r="D1071" s="121" t="n"/>
      <s:c r="E1071" s="122" t="n"/>
    </s:row>
    <s:row r="1072" hidden="1" ht="1" customHeight="1">
      <s:c r="A1072" s="120" t="inlineStr"/>
      <s:c r="B1072" s="121" t="n"/>
      <s:c r="C1072" s="121" t="n"/>
      <s:c r="D1072" s="121" t="n"/>
      <s:c r="E1072" s="122" t="n"/>
    </s:row>
    <s:row r="1073" hidden="1" ht="1" customHeight="1">
      <s:c r="A1073" s="120" t="inlineStr"/>
      <s:c r="B1073" s="121" t="n"/>
      <s:c r="C1073" s="121" t="n"/>
      <s:c r="D1073" s="121" t="n"/>
      <s:c r="E1073" s="122" t="n"/>
    </s:row>
    <s:row r="1074" hidden="1" ht="1" customHeight="1">
      <s:c r="A1074" s="120" t="inlineStr"/>
      <s:c r="B1074" s="121" t="n"/>
      <s:c r="C1074" s="121" t="n"/>
      <s:c r="D1074" s="121" t="n"/>
      <s:c r="E1074" s="122" t="n"/>
    </s:row>
    <s:row r="1075" hidden="1" ht="1" customHeight="1">
      <s:c r="A1075" s="120" t="inlineStr"/>
      <s:c r="B1075" s="121" t="n"/>
      <s:c r="C1075" s="121" t="n"/>
      <s:c r="D1075" s="121" t="n"/>
      <s:c r="E1075" s="122" t="n"/>
    </s:row>
    <s:row r="1076" hidden="1" ht="1" customHeight="1">
      <s:c r="A1076" s="120" t="inlineStr"/>
      <s:c r="B1076" s="121" t="n"/>
      <s:c r="C1076" s="121" t="n"/>
      <s:c r="D1076" s="121" t="n"/>
      <s:c r="E1076" s="122" t="n"/>
    </s:row>
    <s:row r="1077" hidden="1" ht="1" customHeight="1">
      <s:c r="A1077" s="120" t="inlineStr"/>
      <s:c r="B1077" s="121" t="n"/>
      <s:c r="C1077" s="121" t="n"/>
      <s:c r="D1077" s="121" t="n"/>
      <s:c r="E1077" s="122" t="n"/>
    </s:row>
    <s:row r="1078" hidden="1" ht="1" customHeight="1">
      <s:c r="A1078" s="120" t="inlineStr"/>
      <s:c r="B1078" s="121" t="n"/>
      <s:c r="C1078" s="121" t="n"/>
      <s:c r="D1078" s="121" t="n"/>
      <s:c r="E1078" s="122" t="n"/>
    </s:row>
    <s:row r="1079" hidden="1" ht="1" customHeight="1">
      <s:c r="A1079" s="120" t="inlineStr"/>
      <s:c r="B1079" s="121" t="n"/>
      <s:c r="C1079" s="121" t="n"/>
      <s:c r="D1079" s="121" t="n"/>
      <s:c r="E1079" s="122" t="n"/>
    </s:row>
    <s:row r="1080" hidden="1" ht="1" customHeight="1">
      <s:c r="A1080" s="120" t="inlineStr"/>
      <s:c r="B1080" s="121" t="n"/>
      <s:c r="C1080" s="121" t="n"/>
      <s:c r="D1080" s="121" t="n"/>
      <s:c r="E1080" s="122" t="n"/>
    </s:row>
    <s:row r="1081" hidden="1" ht="1" customHeight="1">
      <s:c r="A1081" s="120" t="inlineStr"/>
      <s:c r="B1081" s="121" t="n"/>
      <s:c r="C1081" s="121" t="n"/>
      <s:c r="D1081" s="121" t="n"/>
      <s:c r="E1081" s="122" t="n"/>
    </s:row>
    <s:row r="1082" hidden="1" ht="1" customHeight="1">
      <s:c r="A1082" s="120" t="inlineStr"/>
      <s:c r="B1082" s="121" t="n"/>
      <s:c r="C1082" s="121" t="n"/>
      <s:c r="D1082" s="121" t="n"/>
      <s:c r="E1082" s="122" t="n"/>
    </s:row>
    <s:row r="1083" hidden="1" ht="1" customHeight="1">
      <s:c r="A1083" s="120" t="inlineStr"/>
      <s:c r="B1083" s="121" t="n"/>
      <s:c r="C1083" s="121" t="n"/>
      <s:c r="D1083" s="121" t="n"/>
      <s:c r="E1083" s="122" t="n"/>
    </s:row>
    <s:row r="1084" hidden="1" ht="1" customHeight="1">
      <s:c r="A1084" s="120" t="inlineStr"/>
      <s:c r="B1084" s="121" t="n"/>
      <s:c r="C1084" s="121" t="n"/>
      <s:c r="D1084" s="121" t="n"/>
      <s:c r="E1084" s="122" t="n"/>
    </s:row>
    <s:row r="1085" hidden="1" ht="1" customHeight="1">
      <s:c r="A1085" s="120" t="inlineStr"/>
      <s:c r="B1085" s="121" t="n"/>
      <s:c r="C1085" s="121" t="n"/>
      <s:c r="D1085" s="121" t="n"/>
      <s:c r="E1085" s="122" t="n"/>
    </s:row>
    <s:row r="1086" hidden="1" ht="1" customHeight="1">
      <s:c r="A1086" s="120" t="inlineStr"/>
      <s:c r="B1086" s="121" t="n"/>
      <s:c r="C1086" s="121" t="n"/>
      <s:c r="D1086" s="121" t="n"/>
      <s:c r="E1086" s="122" t="n"/>
    </s:row>
    <s:row r="1087" hidden="1" ht="1" customHeight="1">
      <s:c r="A1087" s="120" t="inlineStr"/>
      <s:c r="B1087" s="121" t="n"/>
      <s:c r="C1087" s="121" t="n"/>
      <s:c r="D1087" s="121" t="n"/>
      <s:c r="E1087" s="122" t="n"/>
    </s:row>
    <s:row r="1088" hidden="1" ht="1" customHeight="1">
      <s:c r="A1088" s="120" t="inlineStr"/>
      <s:c r="B1088" s="121" t="n"/>
      <s:c r="C1088" s="121" t="n"/>
      <s:c r="D1088" s="121" t="n"/>
      <s:c r="E1088" s="122" t="n"/>
    </s:row>
    <s:row r="1089" hidden="1" ht="1" customHeight="1">
      <s:c r="A1089" s="120" t="inlineStr"/>
      <s:c r="B1089" s="121" t="n"/>
      <s:c r="C1089" s="121" t="n"/>
      <s:c r="D1089" s="121" t="n"/>
      <s:c r="E1089" s="122" t="n"/>
    </s:row>
    <s:row r="1090" hidden="1" ht="1" customHeight="1">
      <s:c r="A1090" s="120" t="inlineStr"/>
      <s:c r="B1090" s="121" t="n"/>
      <s:c r="C1090" s="121" t="n"/>
      <s:c r="D1090" s="121" t="n"/>
      <s:c r="E1090" s="122" t="n"/>
    </s:row>
    <s:row r="1091" hidden="1" ht="1" customHeight="1">
      <s:c r="A1091" s="120" t="inlineStr"/>
      <s:c r="B1091" s="121" t="n"/>
      <s:c r="C1091" s="121" t="n"/>
      <s:c r="D1091" s="121" t="n"/>
      <s:c r="E1091" s="122" t="n"/>
    </s:row>
    <s:row r="1092" hidden="1" ht="1" customHeight="1">
      <s:c r="A1092" s="120" t="inlineStr"/>
      <s:c r="B1092" s="121" t="n"/>
      <s:c r="C1092" s="121" t="n"/>
      <s:c r="D1092" s="121" t="n"/>
      <s:c r="E1092" s="122" t="n"/>
    </s:row>
    <s:row r="1093" hidden="1" ht="1" customHeight="1">
      <s:c r="A1093" s="120" t="inlineStr"/>
      <s:c r="B1093" s="121" t="n"/>
      <s:c r="C1093" s="121" t="n"/>
      <s:c r="D1093" s="121" t="n"/>
      <s:c r="E1093" s="122" t="n"/>
    </s:row>
    <s:row r="1094" hidden="1" ht="1" customHeight="1">
      <s:c r="A1094" s="120" t="inlineStr"/>
      <s:c r="B1094" s="121" t="n"/>
      <s:c r="C1094" s="121" t="n"/>
      <s:c r="D1094" s="121" t="n"/>
      <s:c r="E1094" s="122" t="n"/>
    </s:row>
    <s:row r="1095" hidden="1" ht="1" customHeight="1">
      <s:c r="A1095" s="120" t="inlineStr"/>
      <s:c r="B1095" s="121" t="n"/>
      <s:c r="C1095" s="121" t="n"/>
      <s:c r="D1095" s="121" t="n"/>
      <s:c r="E1095" s="122" t="n"/>
    </s:row>
    <s:row r="1096" hidden="1" ht="1" customHeight="1">
      <s:c r="A1096" s="120" t="inlineStr"/>
      <s:c r="B1096" s="121" t="n"/>
      <s:c r="C1096" s="121" t="n"/>
      <s:c r="D1096" s="121" t="n"/>
      <s:c r="E1096" s="122" t="n"/>
    </s:row>
    <s:row r="1097" hidden="1" ht="1" customHeight="1">
      <s:c r="A1097" s="120" t="inlineStr"/>
      <s:c r="B1097" s="121" t="n"/>
      <s:c r="C1097" s="121" t="n"/>
      <s:c r="D1097" s="121" t="n"/>
      <s:c r="E1097" s="122" t="n"/>
    </s:row>
    <s:row r="1098" hidden="1" ht="1" customHeight="1">
      <s:c r="A1098" s="120" t="inlineStr"/>
      <s:c r="B1098" s="121" t="n"/>
      <s:c r="C1098" s="121" t="n"/>
      <s:c r="D1098" s="121" t="n"/>
      <s:c r="E1098" s="122" t="n"/>
    </s:row>
    <s:row r="1099" hidden="1" ht="1" customHeight="1">
      <s:c r="A1099" s="120" t="inlineStr"/>
      <s:c r="B1099" s="121" t="n"/>
      <s:c r="C1099" s="121" t="n"/>
      <s:c r="D1099" s="121" t="n"/>
      <s:c r="E1099" s="122" t="n"/>
    </s:row>
    <s:row r="1100" hidden="1" ht="1" customHeight="1">
      <s:c r="A1100" s="120" t="inlineStr"/>
      <s:c r="B1100" s="121" t="n"/>
      <s:c r="C1100" s="121" t="n"/>
      <s:c r="D1100" s="121" t="n"/>
      <s:c r="E1100" s="122" t="n"/>
    </s:row>
    <s:row r="1101" hidden="1" ht="1" customHeight="1">
      <s:c r="A1101" s="120" t="inlineStr"/>
      <s:c r="B1101" s="121" t="n"/>
      <s:c r="C1101" s="121" t="n"/>
      <s:c r="D1101" s="121" t="n"/>
      <s:c r="E1101" s="122" t="n"/>
    </s:row>
    <s:row r="1102" hidden="1" ht="1" customHeight="1">
      <s:c r="A1102" s="120" t="inlineStr"/>
      <s:c r="B1102" s="121" t="n"/>
      <s:c r="C1102" s="121" t="n"/>
      <s:c r="D1102" s="121" t="n"/>
      <s:c r="E1102" s="122" t="n"/>
    </s:row>
    <s:row r="1103" hidden="1" ht="1" customHeight="1">
      <s:c r="A1103" s="120" t="inlineStr"/>
      <s:c r="B1103" s="121" t="n"/>
      <s:c r="C1103" s="121" t="n"/>
      <s:c r="D1103" s="121" t="n"/>
      <s:c r="E1103" s="122" t="n"/>
    </s:row>
    <s:row r="1104" hidden="1" ht="1" customHeight="1">
      <s:c r="A1104" s="120" t="inlineStr"/>
      <s:c r="B1104" s="121" t="n"/>
      <s:c r="C1104" s="121" t="n"/>
      <s:c r="D1104" s="121" t="n"/>
      <s:c r="E1104" s="122" t="n"/>
    </s:row>
    <s:row r="1105" hidden="1" ht="1" customHeight="1">
      <s:c r="A1105" s="120" t="inlineStr"/>
      <s:c r="B1105" s="121" t="n"/>
      <s:c r="C1105" s="121" t="n"/>
      <s:c r="D1105" s="121" t="n"/>
      <s:c r="E1105" s="122" t="n"/>
    </s:row>
    <s:row r="1106" hidden="1" ht="1" customHeight="1">
      <s:c r="A1106" s="120" t="inlineStr"/>
      <s:c r="B1106" s="121" t="n"/>
      <s:c r="C1106" s="121" t="n"/>
      <s:c r="D1106" s="121" t="n"/>
      <s:c r="E1106" s="122" t="n"/>
    </s:row>
    <s:row r="1107" hidden="1" ht="1" customHeight="1">
      <s:c r="A1107" s="120" t="inlineStr"/>
      <s:c r="B1107" s="121" t="n"/>
      <s:c r="C1107" s="121" t="n"/>
      <s:c r="D1107" s="121" t="n"/>
      <s:c r="E1107" s="122" t="n"/>
    </s:row>
    <s:row r="1108" hidden="1" ht="1" customHeight="1">
      <s:c r="A1108" s="120" t="inlineStr"/>
      <s:c r="B1108" s="121" t="n"/>
      <s:c r="C1108" s="121" t="n"/>
      <s:c r="D1108" s="121" t="n"/>
      <s:c r="E1108" s="122" t="n"/>
    </s:row>
    <s:row r="1109" hidden="1" ht="1" customHeight="1">
      <s:c r="A1109" s="120" t="inlineStr"/>
      <s:c r="B1109" s="121" t="n"/>
      <s:c r="C1109" s="121" t="n"/>
      <s:c r="D1109" s="121" t="n"/>
      <s:c r="E1109" s="122" t="n"/>
    </s:row>
    <s:row r="1110" hidden="1" ht="1" customHeight="1">
      <s:c r="A1110" s="120" t="inlineStr"/>
      <s:c r="B1110" s="121" t="n"/>
      <s:c r="C1110" s="121" t="n"/>
      <s:c r="D1110" s="121" t="n"/>
      <s:c r="E1110" s="122" t="n"/>
    </s:row>
    <s:row r="1111" hidden="1" ht="1" customHeight="1">
      <s:c r="A1111" s="120" t="inlineStr"/>
      <s:c r="B1111" s="121" t="n"/>
      <s:c r="C1111" s="121" t="n"/>
      <s:c r="D1111" s="121" t="n"/>
      <s:c r="E1111" s="122" t="n"/>
    </s:row>
    <s:row r="1112" hidden="1" ht="1" customHeight="1">
      <s:c r="A1112" s="120" t="inlineStr"/>
      <s:c r="B1112" s="121" t="n"/>
      <s:c r="C1112" s="121" t="n"/>
      <s:c r="D1112" s="121" t="n"/>
      <s:c r="E1112" s="122" t="n"/>
    </s:row>
    <s:row r="1113" hidden="1" ht="1" customHeight="1">
      <s:c r="A1113" s="120" t="inlineStr"/>
      <s:c r="B1113" s="121" t="n"/>
      <s:c r="C1113" s="121" t="n"/>
      <s:c r="D1113" s="121" t="n"/>
      <s:c r="E1113" s="122" t="n"/>
    </s:row>
    <s:row r="1114" hidden="1" ht="1" customHeight="1">
      <s:c r="A1114" s="120" t="inlineStr"/>
      <s:c r="B1114" s="121" t="n"/>
      <s:c r="C1114" s="121" t="n"/>
      <s:c r="D1114" s="121" t="n"/>
      <s:c r="E1114" s="122" t="n"/>
    </s:row>
    <s:row r="1115" hidden="1" ht="1" customHeight="1">
      <s:c r="A1115" s="120" t="inlineStr"/>
      <s:c r="B1115" s="121" t="n"/>
      <s:c r="C1115" s="121" t="n"/>
      <s:c r="D1115" s="121" t="n"/>
      <s:c r="E1115" s="122" t="n"/>
    </s:row>
    <s:row r="1116" hidden="1" ht="1" customHeight="1">
      <s:c r="A1116" s="120" t="inlineStr"/>
      <s:c r="B1116" s="121" t="n"/>
      <s:c r="C1116" s="121" t="n"/>
      <s:c r="D1116" s="121" t="n"/>
      <s:c r="E1116" s="122" t="n"/>
    </s:row>
    <s:row r="1117" hidden="1" ht="1" customHeight="1">
      <s:c r="A1117" s="120" t="inlineStr"/>
      <s:c r="B1117" s="121" t="n"/>
      <s:c r="C1117" s="121" t="n"/>
      <s:c r="D1117" s="121" t="n"/>
      <s:c r="E1117" s="122" t="n"/>
    </s:row>
    <s:row r="1118" hidden="1" ht="1" customHeight="1">
      <s:c r="A1118" s="120" t="inlineStr"/>
      <s:c r="B1118" s="121" t="n"/>
      <s:c r="C1118" s="121" t="n"/>
      <s:c r="D1118" s="121" t="n"/>
      <s:c r="E1118" s="122" t="n"/>
    </s:row>
    <s:row r="1119" hidden="1" ht="1" customHeight="1">
      <s:c r="A1119" s="120" t="inlineStr"/>
      <s:c r="B1119" s="121" t="n"/>
      <s:c r="C1119" s="121" t="n"/>
      <s:c r="D1119" s="121" t="n"/>
      <s:c r="E1119" s="122" t="n"/>
    </s:row>
    <s:row r="1120" hidden="1" ht="1" customHeight="1">
      <s:c r="A1120" s="120" t="inlineStr"/>
      <s:c r="B1120" s="121" t="n"/>
      <s:c r="C1120" s="121" t="n"/>
      <s:c r="D1120" s="121" t="n"/>
      <s:c r="E1120" s="122" t="n"/>
    </s:row>
    <s:row r="1121" hidden="1" ht="1" customHeight="1">
      <s:c r="A1121" s="120" t="inlineStr"/>
      <s:c r="B1121" s="121" t="n"/>
      <s:c r="C1121" s="121" t="n"/>
      <s:c r="D1121" s="121" t="n"/>
      <s:c r="E1121" s="122" t="n"/>
    </s:row>
    <s:row r="1122" hidden="1" ht="1" customHeight="1">
      <s:c r="A1122" s="120" t="inlineStr"/>
      <s:c r="B1122" s="121" t="n"/>
      <s:c r="C1122" s="121" t="n"/>
      <s:c r="D1122" s="121" t="n"/>
      <s:c r="E1122" s="122" t="n"/>
    </s:row>
    <s:row r="1123" hidden="1" ht="1" customHeight="1">
      <s:c r="A1123" s="120" t="inlineStr"/>
      <s:c r="B1123" s="121" t="n"/>
      <s:c r="C1123" s="121" t="n"/>
      <s:c r="D1123" s="121" t="n"/>
      <s:c r="E1123" s="122" t="n"/>
    </s:row>
    <s:row r="1124" hidden="1" ht="1" customHeight="1">
      <s:c r="A1124" s="120" t="inlineStr"/>
      <s:c r="B1124" s="121" t="n"/>
      <s:c r="C1124" s="121" t="n"/>
      <s:c r="D1124" s="121" t="n"/>
      <s:c r="E1124" s="122" t="n"/>
    </s:row>
    <s:row r="1125" hidden="1" ht="1" customHeight="1">
      <s:c r="A1125" s="120" t="inlineStr"/>
      <s:c r="B1125" s="121" t="n"/>
      <s:c r="C1125" s="121" t="n"/>
      <s:c r="D1125" s="121" t="n"/>
      <s:c r="E1125" s="122" t="n"/>
    </s:row>
    <s:row r="1126" hidden="1" ht="1" customHeight="1">
      <s:c r="A1126" s="120" t="inlineStr"/>
      <s:c r="B1126" s="121" t="n"/>
      <s:c r="C1126" s="121" t="n"/>
      <s:c r="D1126" s="121" t="n"/>
      <s:c r="E1126" s="122" t="n"/>
    </s:row>
    <s:row r="1127" hidden="1" ht="1" customHeight="1">
      <s:c r="A1127" s="120" t="inlineStr"/>
      <s:c r="B1127" s="121" t="n"/>
      <s:c r="C1127" s="121" t="n"/>
      <s:c r="D1127" s="121" t="n"/>
      <s:c r="E1127" s="122" t="n"/>
    </s:row>
    <s:row r="1128" hidden="1" ht="1" customHeight="1">
      <s:c r="A1128" s="120" t="inlineStr"/>
      <s:c r="B1128" s="121" t="n"/>
      <s:c r="C1128" s="121" t="n"/>
      <s:c r="D1128" s="121" t="n"/>
      <s:c r="E1128" s="122" t="n"/>
    </s:row>
    <s:row r="1129" hidden="1" ht="1" customHeight="1">
      <s:c r="A1129" s="120" t="inlineStr"/>
      <s:c r="B1129" s="121" t="n"/>
      <s:c r="C1129" s="121" t="n"/>
      <s:c r="D1129" s="121" t="n"/>
      <s:c r="E1129" s="122" t="n"/>
    </s:row>
    <s:row r="1130" hidden="1" ht="1" customHeight="1">
      <s:c r="A1130" s="120" t="inlineStr"/>
      <s:c r="B1130" s="121" t="n"/>
      <s:c r="C1130" s="121" t="n"/>
      <s:c r="D1130" s="121" t="n"/>
      <s:c r="E1130" s="122" t="n"/>
    </s:row>
    <s:row r="1131" hidden="1" ht="1" customHeight="1">
      <s:c r="A1131" s="120" t="inlineStr"/>
      <s:c r="B1131" s="121" t="n"/>
      <s:c r="C1131" s="121" t="n"/>
      <s:c r="D1131" s="121" t="n"/>
      <s:c r="E1131" s="122" t="n"/>
    </s:row>
    <s:row r="1132" hidden="1" ht="1" customHeight="1">
      <s:c r="A1132" s="120" t="inlineStr"/>
      <s:c r="B1132" s="121" t="n"/>
      <s:c r="C1132" s="121" t="n"/>
      <s:c r="D1132" s="121" t="n"/>
      <s:c r="E1132" s="122" t="n"/>
    </s:row>
    <s:row r="1133" hidden="1" ht="1" customHeight="1">
      <s:c r="A1133" s="120" t="inlineStr"/>
      <s:c r="B1133" s="121" t="n"/>
      <s:c r="C1133" s="121" t="n"/>
      <s:c r="D1133" s="121" t="n"/>
      <s:c r="E1133" s="122" t="n"/>
    </s:row>
    <s:row r="1134" hidden="1" ht="1" customHeight="1">
      <s:c r="A1134" s="120" t="inlineStr"/>
      <s:c r="B1134" s="121" t="n"/>
      <s:c r="C1134" s="121" t="n"/>
      <s:c r="D1134" s="121" t="n"/>
      <s:c r="E1134" s="122" t="n"/>
    </s:row>
    <s:row r="1135" hidden="1" ht="1" customHeight="1">
      <s:c r="A1135" s="120" t="inlineStr"/>
      <s:c r="B1135" s="121" t="n"/>
      <s:c r="C1135" s="121" t="n"/>
      <s:c r="D1135" s="121" t="n"/>
      <s:c r="E1135" s="122" t="n"/>
    </s:row>
    <s:row r="1136" hidden="1" ht="1" customHeight="1">
      <s:c r="A1136" s="120" t="inlineStr"/>
      <s:c r="B1136" s="121" t="n"/>
      <s:c r="C1136" s="121" t="n"/>
      <s:c r="D1136" s="121" t="n"/>
      <s:c r="E1136" s="122" t="n"/>
    </s:row>
    <s:row r="1137" hidden="1" ht="1" customHeight="1">
      <s:c r="A1137" s="120" t="inlineStr"/>
      <s:c r="B1137" s="121" t="n"/>
      <s:c r="C1137" s="121" t="n"/>
      <s:c r="D1137" s="121" t="n"/>
      <s:c r="E1137" s="122" t="n"/>
    </s:row>
    <s:row r="1138" hidden="1" ht="1" customHeight="1">
      <s:c r="A1138" s="120" t="inlineStr"/>
      <s:c r="B1138" s="121" t="n"/>
      <s:c r="C1138" s="121" t="n"/>
      <s:c r="D1138" s="121" t="n"/>
      <s:c r="E1138" s="122" t="n"/>
    </s:row>
    <s:row r="1139" hidden="1" ht="1" customHeight="1">
      <s:c r="A1139" s="120" t="inlineStr"/>
      <s:c r="B1139" s="121" t="n"/>
      <s:c r="C1139" s="121" t="n"/>
      <s:c r="D1139" s="121" t="n"/>
      <s:c r="E1139" s="122" t="n"/>
    </s:row>
    <s:row r="1140" hidden="1" ht="1" customHeight="1">
      <s:c r="A1140" s="120" t="inlineStr"/>
      <s:c r="B1140" s="121" t="n"/>
      <s:c r="C1140" s="121" t="n"/>
      <s:c r="D1140" s="121" t="n"/>
      <s:c r="E1140" s="122" t="n"/>
    </s:row>
    <s:row r="1141" hidden="1" ht="1" customHeight="1">
      <s:c r="A1141" s="120" t="inlineStr"/>
      <s:c r="B1141" s="121" t="n"/>
      <s:c r="C1141" s="121" t="n"/>
      <s:c r="D1141" s="121" t="n"/>
      <s:c r="E1141" s="122" t="n"/>
    </s:row>
    <s:row r="1142" hidden="1" ht="1" customHeight="1">
      <s:c r="A1142" s="120" t="inlineStr"/>
      <s:c r="B1142" s="121" t="n"/>
      <s:c r="C1142" s="121" t="n"/>
      <s:c r="D1142" s="121" t="n"/>
      <s:c r="E1142" s="122" t="n"/>
    </s:row>
    <s:row r="1143" hidden="1" ht="1" customHeight="1">
      <s:c r="A1143" s="120" t="inlineStr"/>
      <s:c r="B1143" s="121" t="n"/>
      <s:c r="C1143" s="121" t="n"/>
      <s:c r="D1143" s="121" t="n"/>
      <s:c r="E1143" s="122" t="n"/>
    </s:row>
    <s:row r="1144" hidden="1" ht="1" customHeight="1">
      <s:c r="A1144" s="120" t="inlineStr"/>
      <s:c r="B1144" s="121" t="n"/>
      <s:c r="C1144" s="121" t="n"/>
      <s:c r="D1144" s="121" t="n"/>
      <s:c r="E1144" s="122" t="n"/>
    </s:row>
    <s:row r="1145" hidden="1" ht="1" customHeight="1">
      <s:c r="A1145" s="120" t="inlineStr"/>
      <s:c r="B1145" s="121" t="n"/>
      <s:c r="C1145" s="121" t="n"/>
      <s:c r="D1145" s="121" t="n"/>
      <s:c r="E1145" s="122" t="n"/>
    </s:row>
    <s:row r="1146" hidden="1" ht="1" customHeight="1">
      <s:c r="A1146" s="120" t="inlineStr"/>
      <s:c r="B1146" s="121" t="n"/>
      <s:c r="C1146" s="121" t="n"/>
      <s:c r="D1146" s="121" t="n"/>
      <s:c r="E1146" s="122" t="n"/>
    </s:row>
    <s:row r="1147" hidden="1" ht="1" customHeight="1">
      <s:c r="A1147" s="120" t="inlineStr"/>
      <s:c r="B1147" s="121" t="n"/>
      <s:c r="C1147" s="121" t="n"/>
      <s:c r="D1147" s="121" t="n"/>
      <s:c r="E1147" s="122" t="n"/>
    </s:row>
    <s:row r="1148" hidden="1" ht="1" customHeight="1">
      <s:c r="A1148" s="120" t="inlineStr"/>
      <s:c r="B1148" s="121" t="n"/>
      <s:c r="C1148" s="121" t="n"/>
      <s:c r="D1148" s="121" t="n"/>
      <s:c r="E1148" s="122" t="n"/>
    </s:row>
    <s:row r="1149" hidden="1" ht="1" customHeight="1">
      <s:c r="A1149" s="120" t="inlineStr"/>
      <s:c r="B1149" s="121" t="n"/>
      <s:c r="C1149" s="121" t="n"/>
      <s:c r="D1149" s="121" t="n"/>
      <s:c r="E1149" s="122" t="n"/>
    </s:row>
    <s:row r="1150" hidden="1" ht="1" customHeight="1">
      <s:c r="A1150" s="120" t="inlineStr"/>
      <s:c r="B1150" s="121" t="n"/>
      <s:c r="C1150" s="121" t="n"/>
      <s:c r="D1150" s="121" t="n"/>
      <s:c r="E1150" s="122" t="n"/>
    </s:row>
    <s:row r="1151" hidden="1" ht="1" customHeight="1">
      <s:c r="A1151" s="120" t="inlineStr"/>
      <s:c r="B1151" s="121" t="n"/>
      <s:c r="C1151" s="121" t="n"/>
      <s:c r="D1151" s="121" t="n"/>
      <s:c r="E1151" s="122" t="n"/>
    </s:row>
    <s:row r="1152" hidden="1" ht="1" customHeight="1">
      <s:c r="A1152" s="120" t="inlineStr"/>
      <s:c r="B1152" s="121" t="n"/>
      <s:c r="C1152" s="121" t="n"/>
      <s:c r="D1152" s="121" t="n"/>
      <s:c r="E1152" s="122" t="n"/>
    </s:row>
    <s:row r="1153" hidden="1" ht="1" customHeight="1">
      <s:c r="A1153" s="120" t="inlineStr"/>
      <s:c r="B1153" s="121" t="n"/>
      <s:c r="C1153" s="121" t="n"/>
      <s:c r="D1153" s="121" t="n"/>
      <s:c r="E1153" s="122" t="n"/>
    </s:row>
    <s:row r="1154" hidden="1" ht="1" customHeight="1">
      <s:c r="A1154" s="120" t="inlineStr"/>
      <s:c r="B1154" s="121" t="n"/>
      <s:c r="C1154" s="121" t="n"/>
      <s:c r="D1154" s="121" t="n"/>
      <s:c r="E1154" s="122" t="n"/>
    </s:row>
    <s:row r="1155" hidden="1" ht="1" customHeight="1">
      <s:c r="A1155" s="120" t="inlineStr"/>
      <s:c r="B1155" s="121" t="n"/>
      <s:c r="C1155" s="121" t="n"/>
      <s:c r="D1155" s="121" t="n"/>
      <s:c r="E1155" s="122" t="n"/>
    </s:row>
    <s:row r="1156" hidden="1" ht="1" customHeight="1">
      <s:c r="A1156" s="120" t="inlineStr"/>
      <s:c r="B1156" s="121" t="n"/>
      <s:c r="C1156" s="121" t="n"/>
      <s:c r="D1156" s="121" t="n"/>
      <s:c r="E1156" s="122" t="n"/>
    </s:row>
    <s:row r="1157" hidden="1" ht="1" customHeight="1">
      <s:c r="A1157" s="120" t="inlineStr"/>
      <s:c r="B1157" s="121" t="n"/>
      <s:c r="C1157" s="121" t="n"/>
      <s:c r="D1157" s="121" t="n"/>
      <s:c r="E1157" s="122" t="n"/>
    </s:row>
    <s:row r="1158" hidden="1" ht="1" customHeight="1">
      <s:c r="A1158" s="120" t="inlineStr"/>
      <s:c r="B1158" s="121" t="n"/>
      <s:c r="C1158" s="121" t="n"/>
      <s:c r="D1158" s="121" t="n"/>
      <s:c r="E1158" s="122" t="n"/>
    </s:row>
    <s:row r="1159" hidden="1" ht="1" customHeight="1">
      <s:c r="A1159" s="120" t="inlineStr"/>
      <s:c r="B1159" s="121" t="n"/>
      <s:c r="C1159" s="121" t="n"/>
      <s:c r="D1159" s="121" t="n"/>
      <s:c r="E1159" s="122" t="n"/>
    </s:row>
    <s:row r="1160" hidden="1" ht="1" customHeight="1">
      <s:c r="A1160" s="120" t="inlineStr"/>
      <s:c r="B1160" s="121" t="n"/>
      <s:c r="C1160" s="121" t="n"/>
      <s:c r="D1160" s="121" t="n"/>
      <s:c r="E1160" s="122" t="n"/>
    </s:row>
    <s:row r="1161" hidden="1" ht="1" customHeight="1">
      <s:c r="A1161" s="120" t="inlineStr"/>
      <s:c r="B1161" s="121" t="n"/>
      <s:c r="C1161" s="121" t="n"/>
      <s:c r="D1161" s="121" t="n"/>
      <s:c r="E1161" s="122" t="n"/>
    </s:row>
    <s:row r="1162" hidden="1" ht="1" customHeight="1">
      <s:c r="A1162" s="120" t="inlineStr"/>
      <s:c r="B1162" s="121" t="n"/>
      <s:c r="C1162" s="121" t="n"/>
      <s:c r="D1162" s="121" t="n"/>
      <s:c r="E1162" s="122" t="n"/>
    </s:row>
    <s:row r="1163" hidden="1" ht="1" customHeight="1">
      <s:c r="A1163" s="120" t="inlineStr"/>
      <s:c r="B1163" s="121" t="n"/>
      <s:c r="C1163" s="121" t="n"/>
      <s:c r="D1163" s="121" t="n"/>
      <s:c r="E1163" s="122" t="n"/>
    </s:row>
    <s:row r="1164" hidden="1" ht="1" customHeight="1">
      <s:c r="A1164" s="120" t="inlineStr"/>
      <s:c r="B1164" s="121" t="n"/>
      <s:c r="C1164" s="121" t="n"/>
      <s:c r="D1164" s="121" t="n"/>
      <s:c r="E1164" s="122" t="n"/>
    </s:row>
    <s:row r="1165" hidden="1" ht="1" customHeight="1">
      <s:c r="A1165" s="120" t="inlineStr"/>
      <s:c r="B1165" s="121" t="n"/>
      <s:c r="C1165" s="121" t="n"/>
      <s:c r="D1165" s="121" t="n"/>
      <s:c r="E1165" s="122" t="n"/>
    </s:row>
    <s:row r="1166" hidden="1" ht="1" customHeight="1">
      <s:c r="A1166" s="120" t="inlineStr"/>
      <s:c r="B1166" s="121" t="n"/>
      <s:c r="C1166" s="121" t="n"/>
      <s:c r="D1166" s="121" t="n"/>
      <s:c r="E1166" s="122" t="n"/>
    </s:row>
    <s:row r="1167" hidden="1" ht="1" customHeight="1">
      <s:c r="A1167" s="120" t="inlineStr"/>
      <s:c r="B1167" s="121" t="n"/>
      <s:c r="C1167" s="121" t="n"/>
      <s:c r="D1167" s="121" t="n"/>
      <s:c r="E1167" s="122" t="n"/>
    </s:row>
    <s:row r="1168" hidden="1" ht="1" customHeight="1">
      <s:c r="A1168" s="120" t="inlineStr"/>
      <s:c r="B1168" s="121" t="n"/>
      <s:c r="C1168" s="121" t="n"/>
      <s:c r="D1168" s="121" t="n"/>
      <s:c r="E1168" s="122" t="n"/>
    </s:row>
    <s:row r="1169" hidden="1" ht="1" customHeight="1">
      <s:c r="A1169" s="120" t="inlineStr"/>
      <s:c r="B1169" s="121" t="n"/>
      <s:c r="C1169" s="121" t="n"/>
      <s:c r="D1169" s="121" t="n"/>
      <s:c r="E1169" s="122" t="n"/>
    </s:row>
    <s:row r="1170" hidden="1" ht="1" customHeight="1">
      <s:c r="A1170" s="120" t="inlineStr"/>
      <s:c r="B1170" s="121" t="n"/>
      <s:c r="C1170" s="121" t="n"/>
      <s:c r="D1170" s="121" t="n"/>
      <s:c r="E1170" s="122" t="n"/>
    </s:row>
    <s:row r="1171" hidden="1" ht="1" customHeight="1">
      <s:c r="A1171" s="120" t="inlineStr"/>
      <s:c r="B1171" s="121" t="n"/>
      <s:c r="C1171" s="121" t="n"/>
      <s:c r="D1171" s="121" t="n"/>
      <s:c r="E1171" s="122" t="n"/>
    </s:row>
    <s:row r="1172" hidden="1" ht="1" customHeight="1">
      <s:c r="A1172" s="120" t="inlineStr"/>
      <s:c r="B1172" s="121" t="n"/>
      <s:c r="C1172" s="121" t="n"/>
      <s:c r="D1172" s="121" t="n"/>
      <s:c r="E1172" s="122" t="n"/>
    </s:row>
    <s:row r="1173" hidden="1" ht="1" customHeight="1">
      <s:c r="A1173" s="120" t="inlineStr"/>
      <s:c r="B1173" s="121" t="n"/>
      <s:c r="C1173" s="121" t="n"/>
      <s:c r="D1173" s="121" t="n"/>
      <s:c r="E1173" s="122" t="n"/>
    </s:row>
    <s:row r="1174" hidden="1" ht="1" customHeight="1">
      <s:c r="A1174" s="120" t="inlineStr"/>
      <s:c r="B1174" s="121" t="n"/>
      <s:c r="C1174" s="121" t="n"/>
      <s:c r="D1174" s="121" t="n"/>
      <s:c r="E1174" s="122" t="n"/>
    </s:row>
    <s:row r="1175" hidden="1" ht="1" customHeight="1">
      <s:c r="A1175" s="120" t="inlineStr"/>
      <s:c r="B1175" s="121" t="n"/>
      <s:c r="C1175" s="121" t="n"/>
      <s:c r="D1175" s="121" t="n"/>
      <s:c r="E1175" s="122" t="n"/>
    </s:row>
    <s:row r="1176" hidden="1" ht="1" customHeight="1">
      <s:c r="A1176" s="120" t="inlineStr"/>
      <s:c r="B1176" s="121" t="n"/>
      <s:c r="C1176" s="121" t="n"/>
      <s:c r="D1176" s="121" t="n"/>
      <s:c r="E1176" s="122" t="n"/>
    </s:row>
    <s:row r="1177" hidden="1" ht="1" customHeight="1">
      <s:c r="A1177" s="120" t="inlineStr"/>
      <s:c r="B1177" s="121" t="n"/>
      <s:c r="C1177" s="121" t="n"/>
      <s:c r="D1177" s="121" t="n"/>
      <s:c r="E1177" s="122" t="n"/>
    </s:row>
    <s:row r="1178" hidden="1" ht="1" customHeight="1">
      <s:c r="A1178" s="120" t="inlineStr"/>
      <s:c r="B1178" s="121" t="n"/>
      <s:c r="C1178" s="121" t="n"/>
      <s:c r="D1178" s="121" t="n"/>
      <s:c r="E1178" s="122" t="n"/>
    </s:row>
    <s:row r="1179" hidden="1" ht="1" customHeight="1">
      <s:c r="A1179" s="120" t="inlineStr"/>
      <s:c r="B1179" s="121" t="n"/>
      <s:c r="C1179" s="121" t="n"/>
      <s:c r="D1179" s="121" t="n"/>
      <s:c r="E1179" s="122" t="n"/>
    </s:row>
    <s:row r="1180" hidden="1" ht="1" customHeight="1">
      <s:c r="A1180" s="120" t="inlineStr"/>
      <s:c r="B1180" s="121" t="n"/>
      <s:c r="C1180" s="121" t="n"/>
      <s:c r="D1180" s="121" t="n"/>
      <s:c r="E1180" s="122" t="n"/>
    </s:row>
    <s:row r="1181" hidden="1" ht="1" customHeight="1">
      <s:c r="A1181" s="120" t="inlineStr"/>
      <s:c r="B1181" s="121" t="n"/>
      <s:c r="C1181" s="121" t="n"/>
      <s:c r="D1181" s="121" t="n"/>
      <s:c r="E1181" s="122" t="n"/>
    </s:row>
    <s:row r="1182" hidden="1" ht="1" customHeight="1">
      <s:c r="A1182" s="120" t="inlineStr"/>
      <s:c r="B1182" s="121" t="n"/>
      <s:c r="C1182" s="121" t="n"/>
      <s:c r="D1182" s="121" t="n"/>
      <s:c r="E1182" s="122" t="n"/>
    </s:row>
    <s:row r="1183" hidden="1" ht="1" customHeight="1">
      <s:c r="A1183" s="120" t="inlineStr"/>
      <s:c r="B1183" s="121" t="n"/>
      <s:c r="C1183" s="121" t="n"/>
      <s:c r="D1183" s="121" t="n"/>
      <s:c r="E1183" s="122" t="n"/>
    </s:row>
    <s:row r="1184" hidden="1" ht="1" customHeight="1">
      <s:c r="A1184" s="120" t="inlineStr"/>
      <s:c r="B1184" s="121" t="n"/>
      <s:c r="C1184" s="121" t="n"/>
      <s:c r="D1184" s="121" t="n"/>
      <s:c r="E1184" s="122" t="n"/>
    </s:row>
    <s:row r="1185" hidden="1" ht="1" customHeight="1">
      <s:c r="A1185" s="120" t="inlineStr"/>
      <s:c r="B1185" s="121" t="n"/>
      <s:c r="C1185" s="121" t="n"/>
      <s:c r="D1185" s="121" t="n"/>
      <s:c r="E1185" s="122" t="n"/>
    </s:row>
    <s:row r="1186" hidden="1" ht="1" customHeight="1">
      <s:c r="A1186" s="120" t="inlineStr"/>
      <s:c r="B1186" s="121" t="n"/>
      <s:c r="C1186" s="121" t="n"/>
      <s:c r="D1186" s="121" t="n"/>
      <s:c r="E1186" s="122" t="n"/>
    </s:row>
    <s:row r="1187" hidden="1" ht="1" customHeight="1">
      <s:c r="A1187" s="120" t="inlineStr"/>
      <s:c r="B1187" s="121" t="n"/>
      <s:c r="C1187" s="121" t="n"/>
      <s:c r="D1187" s="121" t="n"/>
      <s:c r="E1187" s="122" t="n"/>
    </s:row>
    <s:row r="1188" hidden="1" ht="1" customHeight="1">
      <s:c r="A1188" s="120" t="inlineStr"/>
      <s:c r="B1188" s="121" t="n"/>
      <s:c r="C1188" s="121" t="n"/>
      <s:c r="D1188" s="121" t="n"/>
      <s:c r="E1188" s="122" t="n"/>
    </s:row>
    <s:row r="1189" hidden="1" ht="1" customHeight="1">
      <s:c r="A1189" s="120" t="inlineStr"/>
      <s:c r="B1189" s="121" t="n"/>
      <s:c r="C1189" s="121" t="n"/>
      <s:c r="D1189" s="121" t="n"/>
      <s:c r="E1189" s="122" t="n"/>
    </s:row>
    <s:row r="1190" hidden="1" ht="1" customHeight="1">
      <s:c r="A1190" s="120" t="inlineStr"/>
      <s:c r="B1190" s="121" t="n"/>
      <s:c r="C1190" s="121" t="n"/>
      <s:c r="D1190" s="121" t="n"/>
      <s:c r="E1190" s="122" t="n"/>
    </s:row>
    <s:row r="1191" hidden="1" ht="1" customHeight="1">
      <s:c r="A1191" s="120" t="inlineStr"/>
      <s:c r="B1191" s="121" t="n"/>
      <s:c r="C1191" s="121" t="n"/>
      <s:c r="D1191" s="121" t="n"/>
      <s:c r="E1191" s="122" t="n"/>
    </s:row>
    <s:row r="1192" hidden="1" ht="1" customHeight="1">
      <s:c r="A1192" s="120" t="inlineStr"/>
      <s:c r="B1192" s="121" t="n"/>
      <s:c r="C1192" s="121" t="n"/>
      <s:c r="D1192" s="121" t="n"/>
      <s:c r="E1192" s="122" t="n"/>
    </s:row>
    <s:row r="1193" hidden="1" ht="1" customHeight="1">
      <s:c r="A1193" s="120" t="inlineStr"/>
      <s:c r="B1193" s="121" t="n"/>
      <s:c r="C1193" s="121" t="n"/>
      <s:c r="D1193" s="121" t="n"/>
      <s:c r="E1193" s="122" t="n"/>
    </s:row>
    <s:row r="1194" hidden="1" ht="1" customHeight="1">
      <s:c r="A1194" s="120" t="inlineStr"/>
      <s:c r="B1194" s="121" t="n"/>
      <s:c r="C1194" s="121" t="n"/>
      <s:c r="D1194" s="121" t="n"/>
      <s:c r="E1194" s="122" t="n"/>
    </s:row>
    <s:row r="1195" hidden="1" ht="1" customHeight="1">
      <s:c r="A1195" s="120" t="inlineStr"/>
      <s:c r="B1195" s="121" t="n"/>
      <s:c r="C1195" s="121" t="n"/>
      <s:c r="D1195" s="121" t="n"/>
      <s:c r="E1195" s="122" t="n"/>
    </s:row>
    <s:row r="1196" hidden="1" ht="1" customHeight="1">
      <s:c r="A1196" s="83" t="inlineStr">
        <s:is>
          <s:t>PASS</s:t>
        </s:is>
      </s:c>
      <s:c r="B1196" s="83">
        <s:f>SUM(IF(EXACT('Kiểm thử'!E896,"Đạt"),1,0),IF(EXACT('Kiểm thử'!E898,"Đạt"),1,0),IF(EXACT('Kiểm thử'!E900,"Đạt"),1,0),IF(EXACT('Kiểm thử'!E902,"Đạt"),1,0),IF(EXACT('Kiểm thử'!E904,"Đạt"),1,0),IF(EXACT('Kiểm thử'!E906,"Đạt"),1,0))</s:f>
        <s:v/>
      </s:c>
      <s:c r="C1196" s="19" t="n"/>
      <s:c r="D1196" s="19" t="n"/>
      <s:c r="E1196" s="19" t="n"/>
    </s:row>
    <s:row r="1197" hidden="1" ht="1" customHeight="1">
      <s:c r="A1197" s="83" t="inlineStr">
        <s:is>
          <s:t>FAIL</s:t>
        </s:is>
      </s:c>
      <s:c r="B1197" s="83">
        <s:f>SUM(IF(EXACT('Kiểm thử'!E896,"Không đạt"),1,0),IF(EXACT('Kiểm thử'!E898,"Không đạt"),1,0),IF(EXACT('Kiểm thử'!E900,"Không đạt"),1,0),IF(EXACT('Kiểm thử'!E902,"Không đạt"),1,0),IF(EXACT('Kiểm thử'!E904,"Không đạt"),1,0),IF(EXACT('Kiểm thử'!E906,"Không đạt"),1,0))</s:f>
        <s:v/>
      </s:c>
      <s:c r="C1197" s="19" t="n"/>
      <s:c r="D1197" s="19" t="n"/>
      <s:c r="E1197" s="19" t="n"/>
    </s:row>
    <s:row r="1198" hidden="1" ht="1" customHeight="1">
      <s:c r="A1198" s="83" t="inlineStr">
        <s:is>
          <s:t>BLOCKED</s:t>
        </s:is>
      </s:c>
      <s:c r="B1198" s="83">
        <s:f>SUM(IF(EXACT('Kiểm thử'!E896,"Bị chặn"),1,0),IF(EXACT('Kiểm thử'!E898,"Bị chặn"),1,0),IF(EXACT('Kiểm thử'!E900,"Bị chặn"),1,0),IF(EXACT('Kiểm thử'!E902,"Bị chặn"),1,0),IF(EXACT('Kiểm thử'!E904,"Bị chặn"),1,0),IF(EXACT('Kiểm thử'!E906,"Bị chặn"),1,0))</s:f>
        <s:v/>
      </s:c>
      <s:c r="C1198" s="19" t="n"/>
      <s:c r="D1198" s="19" t="n"/>
      <s:c r="E1198" s="19" t="n"/>
    </s:row>
    <s:row r="1199" hidden="1" ht="1" customHeight="1">
      <s:c r="A1199" s="83" t="inlineStr">
        <s:is>
          <s:t>SKIPPED</s:t>
        </s:is>
      </s:c>
      <s:c r="B1199" s="83">
        <s:f>SUM(IF(EXACT('Kiểm thử'!E896,"Không thực hiện"),1,0),IF(EXACT('Kiểm thử'!E898,"Không thực hiện"),1,0),IF(EXACT('Kiểm thử'!E900,"Không thực hiện"),1,0),IF(EXACT('Kiểm thử'!E902,"Không thực hiện"),1,0),IF(EXACT('Kiểm thử'!E904,"Không thực hiện"),1,0),IF(EXACT('Kiểm thử'!E906,"Không thực hiện"),1,0))</s:f>
        <s:v/>
      </s:c>
      <s:c r="C1199" s="19" t="n"/>
      <s:c r="D1199" s="19" t="n"/>
      <s:c r="E1199" s="19" t="n"/>
    </s:row>
    <s:row r="1200" hidden="1" ht="1" customHeight="1">
      <s:c r="A1200" s="83" t="inlineStr">
        <s:is>
          <s:t>NOT RUN</s:t>
        </s:is>
      </s:c>
      <s:c r="B1200" s="83">
        <s:f>SUM(IF(EXACT('Kiểm thử'!E896,"Chưa thực hiện"),1,0),IF(EXACT('Kiểm thử'!E898,"Chưa thực hiện"),1,0),IF(EXACT('Kiểm thử'!E900,"Chưa thực hiện"),1,0),IF(EXACT('Kiểm thử'!E902,"Chưa thực hiện"),1,0),IF(EXACT('Kiểm thử'!E904,"Chưa thực hiện"),1,0),IF(EXACT('Kiểm thử'!E906,"Chưa thực hiện"),1,0))</s:f>
        <s:v/>
      </s:c>
      <s:c r="C1200" s="19" t="n"/>
      <s:c r="D1200" s="19" t="n"/>
      <s:c r="E1200" s="19" t="n"/>
    </s:row>
    <s:row r="1201" hidden="1" ht="6" customHeight="1">
      <s:c r="A1201" s="83" t="inlineStr"/>
      <s:c r="B1201" s="19" t="n"/>
      <s:c r="C1201" s="19" t="n"/>
      <s:c r="D1201" s="19" t="n"/>
      <s:c r="E1201" s="19" t="n"/>
    </s:row>
    <s:row r="1202" ht="28" customHeight="1">
      <s:c r="A1202" s="108" t="inlineStr">
        <s:is>
          <s:t>TC-RS-VAL-016 — Lỗi khi lưu không làm mất cấu hình/kết quả đã lưu</s:t>
        </s:is>
      </s:c>
      <s:c r="B1202" s="111" t="n"/>
      <s:c r="C1202" s="111" t="n"/>
      <s:c r="D1202" s="111" t="n"/>
      <s:c r="E1202" s="111" t="n"/>
    </s:row>
    <s:row r="1203" ht="20" customHeight="1">
      <s:c r="A1203" s="112" t="inlineStr">
        <s:is>
          <s:t>Kết quả tình huống</s:t>
        </s:is>
      </s:c>
      <s:c r="B1203" s="113">
        <s:f>IF(SUM(IF(EXACT('Kiểm thử'!E1211,"Không đạt"),1,0))&gt;0,"Không đạt",IF(SUM(IF(EXACT('Kiểm thử'!E1211,"Đạt"),1,0))=1,"Đạt",IF(SUM(IF(EXACT('Kiểm thử'!E1211,"Không thực hiện"),1,0))=1,"Không thực hiện",IF(SUM(IF(EXACT('Kiểm thử'!E1211,"Bị chặn"),1,0))&gt;0,"Bị chặn",IF(SUM(IF(EXACT('Kiểm thử'!E1211,"Chưa thực hiện"),1,0))=1,"Chưa thực hiện","Đang thực hiện")))))</s:f>
        <s:v/>
      </s:c>
      <s:c r="C1203" s="114" t="n"/>
      <s:c r="D1203" s="114" t="n"/>
      <s:c r="E1203" s="114" t="n"/>
    </s:row>
    <s:row r="1204" ht="20" customHeight="1">
      <s:c r="A1204" s="112" t="inlineStr">
        <s:is>
          <s:t>Màn hình / chức năng</s:t>
        </s:is>
      </s:c>
      <s:c r="B1204" s="113" t="inlineStr">
        <s:is>
          <s:r>
            <s:rPr>
              <s:b val="1"/>
            </s:rPr>
            <s:t>Thiết lập điểm đỏ（赤点設定）</s:t>
          </s:r>
        </s:is>
      </s:c>
      <s:c r="C1204" s="28" t="n"/>
      <s:c r="D1204" s="28" t="n"/>
      <s:c r="E1204" s="28" t="n"/>
    </s:row>
    <s:row r="1205" ht="34" customHeight="1">
      <s:c r="A1205" s="112" t="inlineStr">
        <s:is>
          <s:t>Cấu hình</s:t>
        </s:is>
      </s:c>
      <s:c r="B1205" s="113" t="inlineStr">
        <s:is>
          <s:t>• Quy tắc “Cố định 30” (dưới 30) đã lưu;
• S01 Đỏ.</s:t>
        </s:is>
      </s:c>
      <s:c r="C1205" s="28" t="n"/>
      <s:c r="D1205" s="28" t="n"/>
      <s:c r="E1205" s="28" t="n"/>
    </s:row>
    <s:row r="1206" ht="34" customHeight="1">
      <s:c r="A1206" s="112" t="inlineStr">
        <s:is>
          <s:t>Dữ liệu test</s:t>
        </s:is>
      </s:c>
      <s:c r="B1206" s="113" t="inlineStr">
        <s:is>
          <s:t>• Quy tắc “Cố định 30” (dưới 30);
• N = 101</s:t>
        </s:is>
      </s:c>
      <s:c r="C1206" s="28" t="n"/>
      <s:c r="D1206" s="28" t="n"/>
      <s:c r="E1206" s="28" t="n"/>
    </s:row>
    <s:row r="1207" ht="20" customHeight="1">
      <s:c r="A1207" s="112" t="inlineStr">
        <s:is>
          <s:t>Bước 1</s:t>
        </s:is>
      </s:c>
      <s:c r="B1207" s="113" t="inlineStr">
        <s:is>
          <s:r>
            <s:t xml:space="preserve">Mở quy tắc “Cố định 30” (dưới 30), đổi </s:t>
          </s:r>
          <s:r>
            <s:rPr>
              <s:b val="1"/>
            </s:rPr>
            <s:t>N=101</s:t>
          </s:r>
          <s:r>
            <s:t>, Lưu (lỗi).</s:t>
          </s:r>
        </s:is>
      </s:c>
      <s:c r="C1207" s="28" t="n"/>
      <s:c r="D1207" s="28" t="n"/>
      <s:c r="E1207" s="28" t="n"/>
    </s:row>
    <s:row r="1208" ht="20" customHeight="1">
      <s:c r="A1208" s="112" t="inlineStr">
        <s:is>
          <s:t>Bước 2</s:t>
        </s:is>
      </s:c>
      <s:c r="B1208" s="113" t="inlineStr">
        <s:is>
          <s:t>Quay lại danh sách, xem ba đầu ra.</s:t>
        </s:is>
      </s:c>
      <s:c r="C1208" s="28" t="n"/>
      <s:c r="D1208" s="28" t="n"/>
      <s:c r="E1208" s="28" t="n"/>
    </s:row>
    <s:row r="1209" ht="28" customHeight="1">
      <s:c r="A1209" s="115" t="inlineStr">
        <s:is>
          <s:t>Trường hợp</s:t>
        </s:is>
      </s:c>
      <s:c r="B1209" s="115" t="inlineStr">
        <s:is>
          <s:t>Dữ liệu / thao tác riêng</s:t>
        </s:is>
      </s:c>
      <s:c r="C1209" s="115" t="inlineStr">
        <s:is>
          <s:t>Kết quả mong đợi</s:t>
        </s:is>
      </s:c>
      <s:c r="D1209" s="115" t="inlineStr">
        <s:is>
          <s:t>Kết quả thực tế</s:t>
        </s:is>
      </s:c>
      <s:c r="E1209" s="115" t="inlineStr">
        <s:is>
          <s:t>Đánh giá</s:t>
        </s:is>
      </s:c>
    </s:row>
    <s:row r="1210" ht="3" customHeight="1">
      <s:c r="A1210" s="102" t="inlineStr"/>
      <s:c r="B1210" s="99" t="n"/>
      <s:c r="C1210" s="99" t="n"/>
      <s:c r="D1210" s="116" t="n"/>
      <s:c r="E1210" s="116" t="n"/>
    </s:row>
    <s:row r="1211" ht="62" customHeight="1">
      <s:c r="A1211" s="83" t="inlineStr">
        <s:is>
          <s:t>Trường hợp cơ bản (Base)</s:t>
        </s:is>
      </s:c>
      <s:c r="B1211" s="83" t="inlineStr">
        <s:is>
          <s:t>Toàn bộ tình huống: Thực hiện đủ các bước chung theo thứ tự; kiểm cả đối tượng đích và đối chứng cùng fixture, không bỏ bước.</s:t>
        </s:is>
      </s:c>
      <s:c r="C1211" s="83" t="inlineStr">
        <s:is>
          <s:r>
            <s:t xml:space="preserve">Cấu hình vẫn 30; S01 vẫn </s:t>
          </s:r>
          <s:r>
            <s:rPr>
              <s:b val="1"/>
            </s:rPr>
            <s:t>Đỏ</s:t>
          </s:r>
          <s:r>
            <s:t>. Giá trị vừa nhập có được giữ trên form hay không: PROPOSED (không must-pass).</s:t>
          </s:r>
        </s:is>
      </s:c>
      <s:c r="D1211" s="117" t="inlineStr"/>
      <s:c r="E1211" s="118" t="inlineStr">
        <s:is>
          <s:t>Chưa thực hiện</s:t>
        </s:is>
      </s:c>
    </s:row>
    <s:row r="1212" ht="20" customHeight="1">
      <s:c r="A1212" s="119" t="inlineStr">
        <s:is>
          <s:t>Ảnh minh chứng — Chưa có ảnh</s:t>
        </s:is>
      </s:c>
      <s:c r="B1212" s="19" t="n"/>
      <s:c r="C1212" s="19" t="n"/>
      <s:c r="D1212" s="19" t="n"/>
      <s:c r="E1212" s="19" t="n"/>
    </s:row>
    <s:row r="1213" hidden="1" ht="1" customHeight="1">
      <s:c r="A1213" s="120" t="inlineStr"/>
      <s:c r="B1213" s="121" t="n"/>
      <s:c r="C1213" s="121" t="n"/>
      <s:c r="D1213" s="121" t="n"/>
      <s:c r="E1213" s="122" t="n"/>
    </s:row>
    <s:row r="1214" hidden="1" ht="1" customHeight="1">
      <s:c r="A1214" s="120" t="inlineStr"/>
      <s:c r="B1214" s="121" t="n"/>
      <s:c r="C1214" s="121" t="n"/>
      <s:c r="D1214" s="121" t="n"/>
      <s:c r="E1214" s="122" t="n"/>
    </s:row>
    <s:row r="1215" hidden="1" ht="1" customHeight="1">
      <s:c r="A1215" s="120" t="inlineStr"/>
      <s:c r="B1215" s="121" t="n"/>
      <s:c r="C1215" s="121" t="n"/>
      <s:c r="D1215" s="121" t="n"/>
      <s:c r="E1215" s="122" t="n"/>
    </s:row>
    <s:row r="1216" hidden="1" ht="1" customHeight="1">
      <s:c r="A1216" s="120" t="inlineStr"/>
      <s:c r="B1216" s="121" t="n"/>
      <s:c r="C1216" s="121" t="n"/>
      <s:c r="D1216" s="121" t="n"/>
      <s:c r="E1216" s="122" t="n"/>
    </s:row>
    <s:row r="1217" hidden="1" ht="1" customHeight="1">
      <s:c r="A1217" s="120" t="inlineStr"/>
      <s:c r="B1217" s="121" t="n"/>
      <s:c r="C1217" s="121" t="n"/>
      <s:c r="D1217" s="121" t="n"/>
      <s:c r="E1217" s="122" t="n"/>
    </s:row>
    <s:row r="1218" hidden="1" ht="1" customHeight="1">
      <s:c r="A1218" s="120" t="inlineStr"/>
      <s:c r="B1218" s="121" t="n"/>
      <s:c r="C1218" s="121" t="n"/>
      <s:c r="D1218" s="121" t="n"/>
      <s:c r="E1218" s="122" t="n"/>
    </s:row>
    <s:row r="1219" hidden="1" ht="1" customHeight="1">
      <s:c r="A1219" s="120" t="inlineStr"/>
      <s:c r="B1219" s="121" t="n"/>
      <s:c r="C1219" s="121" t="n"/>
      <s:c r="D1219" s="121" t="n"/>
      <s:c r="E1219" s="122" t="n"/>
    </s:row>
    <s:row r="1220" hidden="1" ht="1" customHeight="1">
      <s:c r="A1220" s="120" t="inlineStr"/>
      <s:c r="B1220" s="121" t="n"/>
      <s:c r="C1220" s="121" t="n"/>
      <s:c r="D1220" s="121" t="n"/>
      <s:c r="E1220" s="122" t="n"/>
    </s:row>
    <s:row r="1221" hidden="1" ht="1" customHeight="1">
      <s:c r="A1221" s="120" t="inlineStr"/>
      <s:c r="B1221" s="121" t="n"/>
      <s:c r="C1221" s="121" t="n"/>
      <s:c r="D1221" s="121" t="n"/>
      <s:c r="E1221" s="122" t="n"/>
    </s:row>
    <s:row r="1222" hidden="1" ht="1" customHeight="1">
      <s:c r="A1222" s="120" t="inlineStr"/>
      <s:c r="B1222" s="121" t="n"/>
      <s:c r="C1222" s="121" t="n"/>
      <s:c r="D1222" s="121" t="n"/>
      <s:c r="E1222" s="122" t="n"/>
    </s:row>
    <s:row r="1223" hidden="1" ht="1" customHeight="1">
      <s:c r="A1223" s="120" t="inlineStr"/>
      <s:c r="B1223" s="121" t="n"/>
      <s:c r="C1223" s="121" t="n"/>
      <s:c r="D1223" s="121" t="n"/>
      <s:c r="E1223" s="122" t="n"/>
    </s:row>
    <s:row r="1224" hidden="1" ht="1" customHeight="1">
      <s:c r="A1224" s="120" t="inlineStr"/>
      <s:c r="B1224" s="121" t="n"/>
      <s:c r="C1224" s="121" t="n"/>
      <s:c r="D1224" s="121" t="n"/>
      <s:c r="E1224" s="122" t="n"/>
    </s:row>
    <s:row r="1225" hidden="1" ht="1" customHeight="1">
      <s:c r="A1225" s="120" t="inlineStr"/>
      <s:c r="B1225" s="121" t="n"/>
      <s:c r="C1225" s="121" t="n"/>
      <s:c r="D1225" s="121" t="n"/>
      <s:c r="E1225" s="122" t="n"/>
    </s:row>
    <s:row r="1226" hidden="1" ht="1" customHeight="1">
      <s:c r="A1226" s="120" t="inlineStr"/>
      <s:c r="B1226" s="121" t="n"/>
      <s:c r="C1226" s="121" t="n"/>
      <s:c r="D1226" s="121" t="n"/>
      <s:c r="E1226" s="122" t="n"/>
    </s:row>
    <s:row r="1227" hidden="1" ht="1" customHeight="1">
      <s:c r="A1227" s="120" t="inlineStr"/>
      <s:c r="B1227" s="121" t="n"/>
      <s:c r="C1227" s="121" t="n"/>
      <s:c r="D1227" s="121" t="n"/>
      <s:c r="E1227" s="122" t="n"/>
    </s:row>
    <s:row r="1228" hidden="1" ht="1" customHeight="1">
      <s:c r="A1228" s="120" t="inlineStr"/>
      <s:c r="B1228" s="121" t="n"/>
      <s:c r="C1228" s="121" t="n"/>
      <s:c r="D1228" s="121" t="n"/>
      <s:c r="E1228" s="122" t="n"/>
    </s:row>
    <s:row r="1229" hidden="1" ht="1" customHeight="1">
      <s:c r="A1229" s="120" t="inlineStr"/>
      <s:c r="B1229" s="121" t="n"/>
      <s:c r="C1229" s="121" t="n"/>
      <s:c r="D1229" s="121" t="n"/>
      <s:c r="E1229" s="122" t="n"/>
    </s:row>
    <s:row r="1230" hidden="1" ht="1" customHeight="1">
      <s:c r="A1230" s="120" t="inlineStr"/>
      <s:c r="B1230" s="121" t="n"/>
      <s:c r="C1230" s="121" t="n"/>
      <s:c r="D1230" s="121" t="n"/>
      <s:c r="E1230" s="122" t="n"/>
    </s:row>
    <s:row r="1231" hidden="1" ht="1" customHeight="1">
      <s:c r="A1231" s="120" t="inlineStr"/>
      <s:c r="B1231" s="121" t="n"/>
      <s:c r="C1231" s="121" t="n"/>
      <s:c r="D1231" s="121" t="n"/>
      <s:c r="E1231" s="122" t="n"/>
    </s:row>
    <s:row r="1232" hidden="1" ht="1" customHeight="1">
      <s:c r="A1232" s="120" t="inlineStr"/>
      <s:c r="B1232" s="121" t="n"/>
      <s:c r="C1232" s="121" t="n"/>
      <s:c r="D1232" s="121" t="n"/>
      <s:c r="E1232" s="122" t="n"/>
    </s:row>
    <s:row r="1233" hidden="1" ht="1" customHeight="1">
      <s:c r="A1233" s="120" t="inlineStr"/>
      <s:c r="B1233" s="121" t="n"/>
      <s:c r="C1233" s="121" t="n"/>
      <s:c r="D1233" s="121" t="n"/>
      <s:c r="E1233" s="122" t="n"/>
    </s:row>
    <s:row r="1234" hidden="1" ht="1" customHeight="1">
      <s:c r="A1234" s="120" t="inlineStr"/>
      <s:c r="B1234" s="121" t="n"/>
      <s:c r="C1234" s="121" t="n"/>
      <s:c r="D1234" s="121" t="n"/>
      <s:c r="E1234" s="122" t="n"/>
    </s:row>
    <s:row r="1235" hidden="1" ht="1" customHeight="1">
      <s:c r="A1235" s="120" t="inlineStr"/>
      <s:c r="B1235" s="121" t="n"/>
      <s:c r="C1235" s="121" t="n"/>
      <s:c r="D1235" s="121" t="n"/>
      <s:c r="E1235" s="122" t="n"/>
    </s:row>
    <s:row r="1236" hidden="1" ht="1" customHeight="1">
      <s:c r="A1236" s="120" t="inlineStr"/>
      <s:c r="B1236" s="121" t="n"/>
      <s:c r="C1236" s="121" t="n"/>
      <s:c r="D1236" s="121" t="n"/>
      <s:c r="E1236" s="122" t="n"/>
    </s:row>
    <s:row r="1237" hidden="1" ht="1" customHeight="1">
      <s:c r="A1237" s="120" t="inlineStr"/>
      <s:c r="B1237" s="121" t="n"/>
      <s:c r="C1237" s="121" t="n"/>
      <s:c r="D1237" s="121" t="n"/>
      <s:c r="E1237" s="122" t="n"/>
    </s:row>
    <s:row r="1238" hidden="1" ht="1" customHeight="1">
      <s:c r="A1238" s="120" t="inlineStr"/>
      <s:c r="B1238" s="121" t="n"/>
      <s:c r="C1238" s="121" t="n"/>
      <s:c r="D1238" s="121" t="n"/>
      <s:c r="E1238" s="122" t="n"/>
    </s:row>
    <s:row r="1239" hidden="1" ht="1" customHeight="1">
      <s:c r="A1239" s="120" t="inlineStr"/>
      <s:c r="B1239" s="121" t="n"/>
      <s:c r="C1239" s="121" t="n"/>
      <s:c r="D1239" s="121" t="n"/>
      <s:c r="E1239" s="122" t="n"/>
    </s:row>
    <s:row r="1240" hidden="1" ht="1" customHeight="1">
      <s:c r="A1240" s="120" t="inlineStr"/>
      <s:c r="B1240" s="121" t="n"/>
      <s:c r="C1240" s="121" t="n"/>
      <s:c r="D1240" s="121" t="n"/>
      <s:c r="E1240" s="122" t="n"/>
    </s:row>
    <s:row r="1241" hidden="1" ht="1" customHeight="1">
      <s:c r="A1241" s="120" t="inlineStr"/>
      <s:c r="B1241" s="121" t="n"/>
      <s:c r="C1241" s="121" t="n"/>
      <s:c r="D1241" s="121" t="n"/>
      <s:c r="E1241" s="122" t="n"/>
    </s:row>
    <s:row r="1242" hidden="1" ht="1" customHeight="1">
      <s:c r="A1242" s="120" t="inlineStr"/>
      <s:c r="B1242" s="121" t="n"/>
      <s:c r="C1242" s="121" t="n"/>
      <s:c r="D1242" s="121" t="n"/>
      <s:c r="E1242" s="122" t="n"/>
    </s:row>
    <s:row r="1243" hidden="1" ht="1" customHeight="1">
      <s:c r="A1243" s="120" t="inlineStr"/>
      <s:c r="B1243" s="121" t="n"/>
      <s:c r="C1243" s="121" t="n"/>
      <s:c r="D1243" s="121" t="n"/>
      <s:c r="E1243" s="122" t="n"/>
    </s:row>
    <s:row r="1244" hidden="1" ht="1" customHeight="1">
      <s:c r="A1244" s="120" t="inlineStr"/>
      <s:c r="B1244" s="121" t="n"/>
      <s:c r="C1244" s="121" t="n"/>
      <s:c r="D1244" s="121" t="n"/>
      <s:c r="E1244" s="122" t="n"/>
    </s:row>
    <s:row r="1245" hidden="1" ht="1" customHeight="1">
      <s:c r="A1245" s="120" t="inlineStr"/>
      <s:c r="B1245" s="121" t="n"/>
      <s:c r="C1245" s="121" t="n"/>
      <s:c r="D1245" s="121" t="n"/>
      <s:c r="E1245" s="122" t="n"/>
    </s:row>
    <s:row r="1246" hidden="1" ht="1" customHeight="1">
      <s:c r="A1246" s="120" t="inlineStr"/>
      <s:c r="B1246" s="121" t="n"/>
      <s:c r="C1246" s="121" t="n"/>
      <s:c r="D1246" s="121" t="n"/>
      <s:c r="E1246" s="122" t="n"/>
    </s:row>
    <s:row r="1247" hidden="1" ht="1" customHeight="1">
      <s:c r="A1247" s="120" t="inlineStr"/>
      <s:c r="B1247" s="121" t="n"/>
      <s:c r="C1247" s="121" t="n"/>
      <s:c r="D1247" s="121" t="n"/>
      <s:c r="E1247" s="122" t="n"/>
    </s:row>
    <s:row r="1248" hidden="1" ht="1" customHeight="1">
      <s:c r="A1248" s="120" t="inlineStr"/>
      <s:c r="B1248" s="121" t="n"/>
      <s:c r="C1248" s="121" t="n"/>
      <s:c r="D1248" s="121" t="n"/>
      <s:c r="E1248" s="122" t="n"/>
    </s:row>
    <s:row r="1249" hidden="1" ht="1" customHeight="1">
      <s:c r="A1249" s="120" t="inlineStr"/>
      <s:c r="B1249" s="121" t="n"/>
      <s:c r="C1249" s="121" t="n"/>
      <s:c r="D1249" s="121" t="n"/>
      <s:c r="E1249" s="122" t="n"/>
    </s:row>
    <s:row r="1250" hidden="1" ht="1" customHeight="1">
      <s:c r="A1250" s="120" t="inlineStr"/>
      <s:c r="B1250" s="121" t="n"/>
      <s:c r="C1250" s="121" t="n"/>
      <s:c r="D1250" s="121" t="n"/>
      <s:c r="E1250" s="122" t="n"/>
    </s:row>
    <s:row r="1251" hidden="1" ht="1" customHeight="1">
      <s:c r="A1251" s="120" t="inlineStr"/>
      <s:c r="B1251" s="121" t="n"/>
      <s:c r="C1251" s="121" t="n"/>
      <s:c r="D1251" s="121" t="n"/>
      <s:c r="E1251" s="122" t="n"/>
    </s:row>
    <s:row r="1252" hidden="1" ht="1" customHeight="1">
      <s:c r="A1252" s="120" t="inlineStr"/>
      <s:c r="B1252" s="121" t="n"/>
      <s:c r="C1252" s="121" t="n"/>
      <s:c r="D1252" s="121" t="n"/>
      <s:c r="E1252" s="122" t="n"/>
    </s:row>
    <s:row r="1253" hidden="1" ht="1" customHeight="1">
      <s:c r="A1253" s="120" t="inlineStr"/>
      <s:c r="B1253" s="121" t="n"/>
      <s:c r="C1253" s="121" t="n"/>
      <s:c r="D1253" s="121" t="n"/>
      <s:c r="E1253" s="122" t="n"/>
    </s:row>
    <s:row r="1254" hidden="1" ht="1" customHeight="1">
      <s:c r="A1254" s="120" t="inlineStr"/>
      <s:c r="B1254" s="121" t="n"/>
      <s:c r="C1254" s="121" t="n"/>
      <s:c r="D1254" s="121" t="n"/>
      <s:c r="E1254" s="122" t="n"/>
    </s:row>
    <s:row r="1255" hidden="1" ht="1" customHeight="1">
      <s:c r="A1255" s="120" t="inlineStr"/>
      <s:c r="B1255" s="121" t="n"/>
      <s:c r="C1255" s="121" t="n"/>
      <s:c r="D1255" s="121" t="n"/>
      <s:c r="E1255" s="122" t="n"/>
    </s:row>
    <s:row r="1256" hidden="1" ht="1" customHeight="1">
      <s:c r="A1256" s="120" t="inlineStr"/>
      <s:c r="B1256" s="121" t="n"/>
      <s:c r="C1256" s="121" t="n"/>
      <s:c r="D1256" s="121" t="n"/>
      <s:c r="E1256" s="122" t="n"/>
    </s:row>
    <s:row r="1257" hidden="1" ht="1" customHeight="1">
      <s:c r="A1257" s="120" t="inlineStr"/>
      <s:c r="B1257" s="121" t="n"/>
      <s:c r="C1257" s="121" t="n"/>
      <s:c r="D1257" s="121" t="n"/>
      <s:c r="E1257" s="122" t="n"/>
    </s:row>
    <s:row r="1258" hidden="1" ht="1" customHeight="1">
      <s:c r="A1258" s="120" t="inlineStr"/>
      <s:c r="B1258" s="121" t="n"/>
      <s:c r="C1258" s="121" t="n"/>
      <s:c r="D1258" s="121" t="n"/>
      <s:c r="E1258" s="122" t="n"/>
    </s:row>
    <s:row r="1259" hidden="1" ht="1" customHeight="1">
      <s:c r="A1259" s="120" t="inlineStr"/>
      <s:c r="B1259" s="121" t="n"/>
      <s:c r="C1259" s="121" t="n"/>
      <s:c r="D1259" s="121" t="n"/>
      <s:c r="E1259" s="122" t="n"/>
    </s:row>
    <s:row r="1260" hidden="1" ht="1" customHeight="1">
      <s:c r="A1260" s="120" t="inlineStr"/>
      <s:c r="B1260" s="121" t="n"/>
      <s:c r="C1260" s="121" t="n"/>
      <s:c r="D1260" s="121" t="n"/>
      <s:c r="E1260" s="122" t="n"/>
    </s:row>
    <s:row r="1261" hidden="1" ht="1" customHeight="1">
      <s:c r="A1261" s="83" t="inlineStr">
        <s:is>
          <s:t>PASS</s:t>
        </s:is>
      </s:c>
      <s:c r="B1261" s="83">
        <s:f>SUM(IF(EXACT('Kiểm thử'!E1211,"Đạt"),1,0))</s:f>
        <s:v/>
      </s:c>
      <s:c r="C1261" s="19" t="n"/>
      <s:c r="D1261" s="19" t="n"/>
      <s:c r="E1261" s="19" t="n"/>
    </s:row>
    <s:row r="1262" hidden="1" ht="1" customHeight="1">
      <s:c r="A1262" s="83" t="inlineStr">
        <s:is>
          <s:t>FAIL</s:t>
        </s:is>
      </s:c>
      <s:c r="B1262" s="83">
        <s:f>SUM(IF(EXACT('Kiểm thử'!E1211,"Không đạt"),1,0))</s:f>
        <s:v/>
      </s:c>
      <s:c r="C1262" s="19" t="n"/>
      <s:c r="D1262" s="19" t="n"/>
      <s:c r="E1262" s="19" t="n"/>
    </s:row>
    <s:row r="1263" hidden="1" ht="1" customHeight="1">
      <s:c r="A1263" s="83" t="inlineStr">
        <s:is>
          <s:t>BLOCKED</s:t>
        </s:is>
      </s:c>
      <s:c r="B1263" s="83">
        <s:f>SUM(IF(EXACT('Kiểm thử'!E1211,"Bị chặn"),1,0))</s:f>
        <s:v/>
      </s:c>
      <s:c r="C1263" s="19" t="n"/>
      <s:c r="D1263" s="19" t="n"/>
      <s:c r="E1263" s="19" t="n"/>
    </s:row>
    <s:row r="1264" hidden="1" ht="1" customHeight="1">
      <s:c r="A1264" s="83" t="inlineStr">
        <s:is>
          <s:t>SKIPPED</s:t>
        </s:is>
      </s:c>
      <s:c r="B1264" s="83">
        <s:f>SUM(IF(EXACT('Kiểm thử'!E1211,"Không thực hiện"),1,0))</s:f>
        <s:v/>
      </s:c>
      <s:c r="C1264" s="19" t="n"/>
      <s:c r="D1264" s="19" t="n"/>
      <s:c r="E1264" s="19" t="n"/>
    </s:row>
    <s:row r="1265" hidden="1" ht="1" customHeight="1">
      <s:c r="A1265" s="83" t="inlineStr">
        <s:is>
          <s:t>NOT RUN</s:t>
        </s:is>
      </s:c>
      <s:c r="B1265" s="83">
        <s:f>SUM(IF(EXACT('Kiểm thử'!E1211,"Chưa thực hiện"),1,0))</s:f>
        <s:v/>
      </s:c>
      <s:c r="C1265" s="19" t="n"/>
      <s:c r="D1265" s="19" t="n"/>
      <s:c r="E1265" s="19" t="n"/>
    </s:row>
    <s:row r="1266" hidden="1" ht="6" customHeight="1">
      <s:c r="A1266" s="83" t="inlineStr"/>
      <s:c r="B1266" s="19" t="n"/>
      <s:c r="C1266" s="19" t="n"/>
      <s:c r="D1266" s="19" t="n"/>
      <s:c r="E1266" s="19" t="n"/>
    </s:row>
    <s:row r="1267" ht="28" customHeight="1">
      <s:c r="A1267" s="108" t="inlineStr">
        <s:is>
          <s:t>TC-RS-DATA-001 — Cấu hình lưu và mở lại đầy đủ, không cắt/làm tròn âm thầm</s:t>
        </s:is>
      </s:c>
      <s:c r="B1267" s="111" t="n"/>
      <s:c r="C1267" s="111" t="n"/>
      <s:c r="D1267" s="111" t="n"/>
      <s:c r="E1267" s="111" t="n"/>
    </s:row>
    <s:row r="1268" ht="20" customHeight="1">
      <s:c r="A1268" s="112" t="inlineStr">
        <s:is>
          <s:t>Kết quả tình huống</s:t>
        </s:is>
      </s:c>
      <s:c r="B1268" s="113">
        <s:f>IF(SUM(IF(EXACT('Kiểm thử'!E1277,"Không đạt"),1,0),IF(EXACT('Kiểm thử'!E1279,"Không đạt"),1,0),IF(EXACT('Kiểm thử'!E1281,"Không đạt"),1,0),IF(EXACT('Kiểm thử'!E1283,"Không đạt"),1,0))&gt;0,"Không đạt",IF(SUM(IF(EXACT('Kiểm thử'!E1277,"Đạt"),1,0),IF(EXACT('Kiểm thử'!E1279,"Đạt"),1,0),IF(EXACT('Kiểm thử'!E1281,"Đạt"),1,0),IF(EXACT('Kiểm thử'!E1283,"Đạt"),1,0))=4,"Đạt",IF(SUM(IF(EXACT('Kiểm thử'!E1277,"Không thực hiện"),1,0),IF(EXACT('Kiểm thử'!E1279,"Không thực hiện"),1,0),IF(EXACT('Kiểm thử'!E1281,"Không thực hiện"),1,0),IF(EXACT('Kiểm thử'!E1283,"Không thực hiện"),1,0))=4,"Không thực hiện",IF(SUM(IF(EXACT('Kiểm thử'!E1277,"Bị chặn"),1,0),IF(EXACT('Kiểm thử'!E1279,"Bị chặn"),1,0),IF(EXACT('Kiểm thử'!E1281,"Bị chặn"),1,0),IF(EXACT('Kiểm thử'!E1283,"Bị chặn"),1,0))&gt;0,"Bị chặn",IF(SUM(IF(EXACT('Kiểm thử'!E1277,"Chưa thực hiện"),1,0),IF(EXACT('Kiểm thử'!E1279,"Chưa thực hiện"),1,0),IF(EXACT('Kiểm thử'!E1281,"Chưa thực hiện"),1,0),IF(EXACT('Kiểm thử'!E1283,"Chưa thực hiện"),1,0))=4,"Chưa thực hiện","Đang thực hiện")))))</s:f>
        <s:v/>
      </s:c>
      <s:c r="C1268" s="114" t="n"/>
      <s:c r="D1268" s="114" t="n"/>
      <s:c r="E1268" s="114" t="n"/>
    </s:row>
    <s:row r="1269" ht="20" customHeight="1">
      <s:c r="A1269" s="112" t="inlineStr">
        <s:is>
          <s:t>Màn hình / chức năng</s:t>
        </s:is>
      </s:c>
      <s:c r="B1269" s="113" t="inlineStr">
        <s:is>
          <s:r>
            <s:rPr>
              <s:b val="1"/>
            </s:rPr>
            <s:t>Thiết lập điểm đỏ（赤点設定）</s:t>
          </s:r>
        </s:is>
      </s:c>
      <s:c r="C1269" s="28" t="n"/>
      <s:c r="D1269" s="28" t="n"/>
      <s:c r="E1269" s="28" t="n"/>
    </s:row>
    <s:row r="1270" ht="20" customHeight="1">
      <s:c r="A1270" s="112" t="inlineStr">
        <s:is>
          <s:t>Cấu hình</s:t>
        </s:is>
      </s:c>
      <s:c r="B1270" s="113" t="inlineStr">
        <s:is>
          <s:r>
            <s:t>• Mục số thập phân (</s:t>
          </s:r>
          <s:r>
            <s:rPr>
              <s:b val="1"/>
            </s:rPr>
            <s:t>M=100</s:t>
          </s:r>
          <s:r>
            <s:t>).</s:t>
          </s:r>
        </s:is>
      </s:c>
      <s:c r="C1270" s="28" t="n"/>
      <s:c r="D1270" s="28" t="n"/>
      <s:c r="E1270" s="28" t="n"/>
    </s:row>
    <s:row r="1271" ht="76" customHeight="1">
      <s:c r="A1271" s="112" t="inlineStr">
        <s:is>
          <s:t>Dữ liệu test</s:t>
        </s:is>
      </s:c>
      <s:c r="B1271" s="113" t="inlineStr">
        <s:is>
          <s:r>
            <s:t>• Mục số thập phân (</s:t>
          </s:r>
          <s:r>
            <s:rPr>
              <s:b val="1"/>
            </s:rPr>
            <s:t>M=100</s:t>
          </s:r>
          <s:r>
            <s:t xml:space="preserve">);
• Quy tắc “Cố định 30” (dưới 30) với </s:t>
          </s:r>
          <s:r>
            <s:rPr>
              <s:b val="1"/>
            </s:rPr>
            <s:t>N=29.5</s:t>
          </s:r>
          <s:r>
            <s:t>;
• Quy tắc tỷ lệ 30% làm tròn xuống;
• Quy tắc công thức hai dòng (trung bình ÷ 2 × 0.8);
• Quy tắc có bộ lọc kết hợp (khối 1 hoặc 2, nhóm Nâng cao)</s:t>
          </s:r>
        </s:is>
      </s:c>
      <s:c r="C1271" s="28" t="n"/>
      <s:c r="D1271" s="28" t="n"/>
      <s:c r="E1271" s="28" t="n"/>
    </s:row>
    <s:row r="1272" ht="20" customHeight="1">
      <s:c r="A1272" s="112" t="inlineStr">
        <s:is>
          <s:t>Bước 1</s:t>
        </s:is>
      </s:c>
      <s:c r="B1272" s="113" t="inlineStr">
        <s:is>
          <s:t>Lưu từng quy tắc.</s:t>
        </s:is>
      </s:c>
      <s:c r="C1272" s="28" t="n"/>
      <s:c r="D1272" s="28" t="n"/>
      <s:c r="E1272" s="28" t="n"/>
    </s:row>
    <s:row r="1273" ht="20" customHeight="1">
      <s:c r="A1273" s="112" t="inlineStr">
        <s:is>
          <s:t>Bước 2</s:t>
        </s:is>
      </s:c>
      <s:c r="B1273" s="113" t="inlineStr">
        <s:is>
          <s:t>Tải lại trang, mở từng quy tắc.</s:t>
        </s:is>
      </s:c>
      <s:c r="C1273" s="28" t="n"/>
      <s:c r="D1273" s="28" t="n"/>
      <s:c r="E1273" s="28" t="n"/>
    </s:row>
    <s:row r="1274" ht="20" customHeight="1">
      <s:c r="A1274" s="112" t="inlineStr">
        <s:is>
          <s:t>Bước 3</s:t>
        </s:is>
      </s:c>
      <s:c r="B1274" s="113" t="inlineStr">
        <s:is>
          <s:t>SELECT cấu hình (khi có schema).</s:t>
        </s:is>
      </s:c>
      <s:c r="C1274" s="28" t="n"/>
      <s:c r="D1274" s="28" t="n"/>
      <s:c r="E1274" s="28" t="n"/>
    </s:row>
    <s:row r="1275" ht="28" customHeight="1">
      <s:c r="A1275" s="115" t="inlineStr">
        <s:is>
          <s:t>Trường hợp</s:t>
        </s:is>
      </s:c>
      <s:c r="B1275" s="115" t="inlineStr">
        <s:is>
          <s:t>Dữ liệu / thao tác riêng</s:t>
        </s:is>
      </s:c>
      <s:c r="C1275" s="115" t="inlineStr">
        <s:is>
          <s:t>Kết quả mong đợi</s:t>
        </s:is>
      </s:c>
      <s:c r="D1275" s="115" t="inlineStr">
        <s:is>
          <s:t>Kết quả thực tế</s:t>
        </s:is>
      </s:c>
      <s:c r="E1275" s="115" t="inlineStr">
        <s:is>
          <s:t>Đánh giá</s:t>
        </s:is>
      </s:c>
    </s:row>
    <s:row r="1276" ht="3" customHeight="1">
      <s:c r="A1276" s="102" t="inlineStr"/>
      <s:c r="B1276" s="99" t="n"/>
      <s:c r="C1276" s="99" t="n"/>
      <s:c r="D1276" s="116" t="n"/>
      <s:c r="E1276" s="116" t="n"/>
    </s:row>
    <s:row r="1277" ht="48" customHeight="1">
      <s:c r="A1277" s="83" t="inlineStr">
        <s:is>
          <s:t>Cố định 29.5 (fixed)</s:t>
        </s:is>
      </s:c>
      <s:c r="B1277" s="83" t="inlineStr">
        <s:is>
          <s:r>
            <s:t xml:space="preserve">Lưu </s:t>
          </s:r>
          <s:r>
            <s:rPr>
              <s:b val="1"/>
            </s:rPr>
            <s:t>N=29.5</s:t>
          </s:r>
          <s:r>
            <s:t>, tải lại/mở cấu hình; SELECT khi có schema.</s:t>
          </s:r>
        </s:is>
      </s:c>
      <s:c r="C1277" s="83" t="inlineStr">
        <s:is>
          <s:t>Mọi trường (tên, phạm vi, bộ lọc, điều kiện, loại, N, p, cách làm tròn, toán hạng, so sánh, thứ tự) trùng giá trị đã nhập.</s:t>
        </s:is>
      </s:c>
      <s:c r="D1277" s="117" t="inlineStr"/>
      <s:c r="E1277" s="118" t="inlineStr">
        <s:is>
          <s:t>Chưa thực hiện</s:t>
        </s:is>
      </s:c>
    </s:row>
    <s:row r="1278" ht="3" customHeight="1">
      <s:c r="A1278" s="102" t="inlineStr"/>
      <s:c r="B1278" s="99" t="n"/>
      <s:c r="C1278" s="99" t="n"/>
      <s:c r="D1278" s="116" t="n"/>
      <s:c r="E1278" s="116" t="n"/>
    </s:row>
    <s:row r="1279" ht="48" customHeight="1">
      <s:c r="A1279" s="83" t="inlineStr">
        <s:is>
          <s:t>Tỷ lệ 30 phần trăm cắt xuống (ratio)</s:t>
        </s:is>
      </s:c>
      <s:c r="B1279" s="83" t="inlineStr">
        <s:is>
          <s:t>Lưu tỷ lệ30%, làm tròn xuống; tải lại/mở cấu hình; SELECT khi có schema.</s:t>
        </s:is>
      </s:c>
      <s:c r="C1279" s="83" t="inlineStr">
        <s:is>
          <s:t>Mọi trường (tên, phạm vi, bộ lọc, điều kiện, loại, N, p, cách làm tròn, toán hạng, so sánh, thứ tự) trùng giá trị đã nhập.</s:t>
        </s:is>
      </s:c>
      <s:c r="D1279" s="117" t="inlineStr"/>
      <s:c r="E1279" s="118" t="inlineStr">
        <s:is>
          <s:t>Chưa thực hiện</s:t>
        </s:is>
      </s:c>
    </s:row>
    <s:row r="1280" ht="3" customHeight="1">
      <s:c r="A1280" s="102" t="inlineStr"/>
      <s:c r="B1280" s="99" t="n"/>
      <s:c r="C1280" s="99" t="n"/>
      <s:c r="D1280" s="116" t="n"/>
      <s:c r="E1280" s="116" t="n"/>
    </s:row>
    <s:row r="1281" ht="48" customHeight="1">
      <s:c r="A1281" s="83" t="inlineStr">
        <s:is>
          <s:t>Công thức hai dòng (formula)</s:t>
        </s:is>
      </s:c>
      <s:c r="B1281" s="83" t="inlineStr">
        <s:is>
          <s:t>Lưu hai dòng trung bình÷2×0.8; tải lại/mở cấu hình; SELECT khi có schema.</s:t>
        </s:is>
      </s:c>
      <s:c r="C1281" s="83" t="inlineStr">
        <s:is>
          <s:t>Mọi trường (tên, phạm vi, bộ lọc, điều kiện, loại, N, p, cách làm tròn, toán hạng, so sánh, thứ tự) trùng giá trị đã nhập.</s:t>
        </s:is>
      </s:c>
      <s:c r="D1281" s="117" t="inlineStr"/>
      <s:c r="E1281" s="118" t="inlineStr">
        <s:is>
          <s:t>Chưa thực hiện</s:t>
        </s:is>
      </s:c>
    </s:row>
    <s:row r="1282" ht="3" customHeight="1">
      <s:c r="A1282" s="102" t="inlineStr"/>
      <s:c r="B1282" s="99" t="n"/>
      <s:c r="C1282" s="99" t="n"/>
      <s:c r="D1282" s="116" t="n"/>
      <s:c r="E1282" s="116" t="n"/>
    </s:row>
    <s:row r="1283" ht="48" customHeight="1">
      <s:c r="A1283" s="83" t="inlineStr">
        <s:is>
          <s:t>Bộ lọc kết hợp (filter)</s:t>
        </s:is>
      </s:c>
      <s:c r="B1283" s="83" t="inlineStr">
        <s:is>
          <s:t>Lưu Khối1 hoặc2 và nhóm Nâng cao; tải lại/mở cấu hình; SELECT khi có schema.</s:t>
        </s:is>
      </s:c>
      <s:c r="C1283" s="83" t="inlineStr">
        <s:is>
          <s:t>Mọi trường (tên, phạm vi, bộ lọc, điều kiện, loại, N, p, cách làm tròn, toán hạng, so sánh, thứ tự) trùng giá trị đã nhập.</s:t>
        </s:is>
      </s:c>
      <s:c r="D1283" s="117" t="inlineStr"/>
      <s:c r="E1283" s="118" t="inlineStr">
        <s:is>
          <s:t>Chưa thực hiện</s:t>
        </s:is>
      </s:c>
    </s:row>
    <s:row r="1284" ht="20" customHeight="1">
      <s:c r="A1284" s="119" t="inlineStr">
        <s:is>
          <s:t>Ảnh minh chứng — Chưa có ảnh</s:t>
        </s:is>
      </s:c>
      <s:c r="B1284" s="19" t="n"/>
      <s:c r="C1284" s="19" t="n"/>
      <s:c r="D1284" s="19" t="n"/>
      <s:c r="E1284" s="19" t="n"/>
    </s:row>
    <s:row r="1285" hidden="1" ht="1" customHeight="1">
      <s:c r="A1285" s="120" t="inlineStr"/>
      <s:c r="B1285" s="121" t="n"/>
      <s:c r="C1285" s="121" t="n"/>
      <s:c r="D1285" s="121" t="n"/>
      <s:c r="E1285" s="122" t="n"/>
    </s:row>
    <s:row r="1286" hidden="1" ht="1" customHeight="1">
      <s:c r="A1286" s="120" t="inlineStr"/>
      <s:c r="B1286" s="121" t="n"/>
      <s:c r="C1286" s="121" t="n"/>
      <s:c r="D1286" s="121" t="n"/>
      <s:c r="E1286" s="122" t="n"/>
    </s:row>
    <s:row r="1287" hidden="1" ht="1" customHeight="1">
      <s:c r="A1287" s="120" t="inlineStr"/>
      <s:c r="B1287" s="121" t="n"/>
      <s:c r="C1287" s="121" t="n"/>
      <s:c r="D1287" s="121" t="n"/>
      <s:c r="E1287" s="122" t="n"/>
    </s:row>
    <s:row r="1288" hidden="1" ht="1" customHeight="1">
      <s:c r="A1288" s="120" t="inlineStr"/>
      <s:c r="B1288" s="121" t="n"/>
      <s:c r="C1288" s="121" t="n"/>
      <s:c r="D1288" s="121" t="n"/>
      <s:c r="E1288" s="122" t="n"/>
    </s:row>
    <s:row r="1289" hidden="1" ht="1" customHeight="1">
      <s:c r="A1289" s="120" t="inlineStr"/>
      <s:c r="B1289" s="121" t="n"/>
      <s:c r="C1289" s="121" t="n"/>
      <s:c r="D1289" s="121" t="n"/>
      <s:c r="E1289" s="122" t="n"/>
    </s:row>
    <s:row r="1290" hidden="1" ht="1" customHeight="1">
      <s:c r="A1290" s="120" t="inlineStr"/>
      <s:c r="B1290" s="121" t="n"/>
      <s:c r="C1290" s="121" t="n"/>
      <s:c r="D1290" s="121" t="n"/>
      <s:c r="E1290" s="122" t="n"/>
    </s:row>
    <s:row r="1291" hidden="1" ht="1" customHeight="1">
      <s:c r="A1291" s="120" t="inlineStr"/>
      <s:c r="B1291" s="121" t="n"/>
      <s:c r="C1291" s="121" t="n"/>
      <s:c r="D1291" s="121" t="n"/>
      <s:c r="E1291" s="122" t="n"/>
    </s:row>
    <s:row r="1292" hidden="1" ht="1" customHeight="1">
      <s:c r="A1292" s="120" t="inlineStr"/>
      <s:c r="B1292" s="121" t="n"/>
      <s:c r="C1292" s="121" t="n"/>
      <s:c r="D1292" s="121" t="n"/>
      <s:c r="E1292" s="122" t="n"/>
    </s:row>
    <s:row r="1293" hidden="1" ht="1" customHeight="1">
      <s:c r="A1293" s="120" t="inlineStr"/>
      <s:c r="B1293" s="121" t="n"/>
      <s:c r="C1293" s="121" t="n"/>
      <s:c r="D1293" s="121" t="n"/>
      <s:c r="E1293" s="122" t="n"/>
    </s:row>
    <s:row r="1294" hidden="1" ht="1" customHeight="1">
      <s:c r="A1294" s="120" t="inlineStr"/>
      <s:c r="B1294" s="121" t="n"/>
      <s:c r="C1294" s="121" t="n"/>
      <s:c r="D1294" s="121" t="n"/>
      <s:c r="E1294" s="122" t="n"/>
    </s:row>
    <s:row r="1295" hidden="1" ht="1" customHeight="1">
      <s:c r="A1295" s="120" t="inlineStr"/>
      <s:c r="B1295" s="121" t="n"/>
      <s:c r="C1295" s="121" t="n"/>
      <s:c r="D1295" s="121" t="n"/>
      <s:c r="E1295" s="122" t="n"/>
    </s:row>
    <s:row r="1296" hidden="1" ht="1" customHeight="1">
      <s:c r="A1296" s="120" t="inlineStr"/>
      <s:c r="B1296" s="121" t="n"/>
      <s:c r="C1296" s="121" t="n"/>
      <s:c r="D1296" s="121" t="n"/>
      <s:c r="E1296" s="122" t="n"/>
    </s:row>
    <s:row r="1297" hidden="1" ht="1" customHeight="1">
      <s:c r="A1297" s="120" t="inlineStr"/>
      <s:c r="B1297" s="121" t="n"/>
      <s:c r="C1297" s="121" t="n"/>
      <s:c r="D1297" s="121" t="n"/>
      <s:c r="E1297" s="122" t="n"/>
    </s:row>
    <s:row r="1298" hidden="1" ht="1" customHeight="1">
      <s:c r="A1298" s="120" t="inlineStr"/>
      <s:c r="B1298" s="121" t="n"/>
      <s:c r="C1298" s="121" t="n"/>
      <s:c r="D1298" s="121" t="n"/>
      <s:c r="E1298" s="122" t="n"/>
    </s:row>
    <s:row r="1299" hidden="1" ht="1" customHeight="1">
      <s:c r="A1299" s="120" t="inlineStr"/>
      <s:c r="B1299" s="121" t="n"/>
      <s:c r="C1299" s="121" t="n"/>
      <s:c r="D1299" s="121" t="n"/>
      <s:c r="E1299" s="122" t="n"/>
    </s:row>
    <s:row r="1300" hidden="1" ht="1" customHeight="1">
      <s:c r="A1300" s="120" t="inlineStr"/>
      <s:c r="B1300" s="121" t="n"/>
      <s:c r="C1300" s="121" t="n"/>
      <s:c r="D1300" s="121" t="n"/>
      <s:c r="E1300" s="122" t="n"/>
    </s:row>
    <s:row r="1301" hidden="1" ht="1" customHeight="1">
      <s:c r="A1301" s="120" t="inlineStr"/>
      <s:c r="B1301" s="121" t="n"/>
      <s:c r="C1301" s="121" t="n"/>
      <s:c r="D1301" s="121" t="n"/>
      <s:c r="E1301" s="122" t="n"/>
    </s:row>
    <s:row r="1302" hidden="1" ht="1" customHeight="1">
      <s:c r="A1302" s="120" t="inlineStr"/>
      <s:c r="B1302" s="121" t="n"/>
      <s:c r="C1302" s="121" t="n"/>
      <s:c r="D1302" s="121" t="n"/>
      <s:c r="E1302" s="122" t="n"/>
    </s:row>
    <s:row r="1303" hidden="1" ht="1" customHeight="1">
      <s:c r="A1303" s="120" t="inlineStr"/>
      <s:c r="B1303" s="121" t="n"/>
      <s:c r="C1303" s="121" t="n"/>
      <s:c r="D1303" s="121" t="n"/>
      <s:c r="E1303" s="122" t="n"/>
    </s:row>
    <s:row r="1304" hidden="1" ht="1" customHeight="1">
      <s:c r="A1304" s="120" t="inlineStr"/>
      <s:c r="B1304" s="121" t="n"/>
      <s:c r="C1304" s="121" t="n"/>
      <s:c r="D1304" s="121" t="n"/>
      <s:c r="E1304" s="122" t="n"/>
    </s:row>
    <s:row r="1305" hidden="1" ht="1" customHeight="1">
      <s:c r="A1305" s="120" t="inlineStr"/>
      <s:c r="B1305" s="121" t="n"/>
      <s:c r="C1305" s="121" t="n"/>
      <s:c r="D1305" s="121" t="n"/>
      <s:c r="E1305" s="122" t="n"/>
    </s:row>
    <s:row r="1306" hidden="1" ht="1" customHeight="1">
      <s:c r="A1306" s="120" t="inlineStr"/>
      <s:c r="B1306" s="121" t="n"/>
      <s:c r="C1306" s="121" t="n"/>
      <s:c r="D1306" s="121" t="n"/>
      <s:c r="E1306" s="122" t="n"/>
    </s:row>
    <s:row r="1307" hidden="1" ht="1" customHeight="1">
      <s:c r="A1307" s="120" t="inlineStr"/>
      <s:c r="B1307" s="121" t="n"/>
      <s:c r="C1307" s="121" t="n"/>
      <s:c r="D1307" s="121" t="n"/>
      <s:c r="E1307" s="122" t="n"/>
    </s:row>
    <s:row r="1308" hidden="1" ht="1" customHeight="1">
      <s:c r="A1308" s="120" t="inlineStr"/>
      <s:c r="B1308" s="121" t="n"/>
      <s:c r="C1308" s="121" t="n"/>
      <s:c r="D1308" s="121" t="n"/>
      <s:c r="E1308" s="122" t="n"/>
    </s:row>
    <s:row r="1309" hidden="1" ht="1" customHeight="1">
      <s:c r="A1309" s="120" t="inlineStr"/>
      <s:c r="B1309" s="121" t="n"/>
      <s:c r="C1309" s="121" t="n"/>
      <s:c r="D1309" s="121" t="n"/>
      <s:c r="E1309" s="122" t="n"/>
    </s:row>
    <s:row r="1310" hidden="1" ht="1" customHeight="1">
      <s:c r="A1310" s="120" t="inlineStr"/>
      <s:c r="B1310" s="121" t="n"/>
      <s:c r="C1310" s="121" t="n"/>
      <s:c r="D1310" s="121" t="n"/>
      <s:c r="E1310" s="122" t="n"/>
    </s:row>
    <s:row r="1311" hidden="1" ht="1" customHeight="1">
      <s:c r="A1311" s="120" t="inlineStr"/>
      <s:c r="B1311" s="121" t="n"/>
      <s:c r="C1311" s="121" t="n"/>
      <s:c r="D1311" s="121" t="n"/>
      <s:c r="E1311" s="122" t="n"/>
    </s:row>
    <s:row r="1312" hidden="1" ht="1" customHeight="1">
      <s:c r="A1312" s="120" t="inlineStr"/>
      <s:c r="B1312" s="121" t="n"/>
      <s:c r="C1312" s="121" t="n"/>
      <s:c r="D1312" s="121" t="n"/>
      <s:c r="E1312" s="122" t="n"/>
    </s:row>
    <s:row r="1313" hidden="1" ht="1" customHeight="1">
      <s:c r="A1313" s="120" t="inlineStr"/>
      <s:c r="B1313" s="121" t="n"/>
      <s:c r="C1313" s="121" t="n"/>
      <s:c r="D1313" s="121" t="n"/>
      <s:c r="E1313" s="122" t="n"/>
    </s:row>
    <s:row r="1314" hidden="1" ht="1" customHeight="1">
      <s:c r="A1314" s="120" t="inlineStr"/>
      <s:c r="B1314" s="121" t="n"/>
      <s:c r="C1314" s="121" t="n"/>
      <s:c r="D1314" s="121" t="n"/>
      <s:c r="E1314" s="122" t="n"/>
    </s:row>
    <s:row r="1315" hidden="1" ht="1" customHeight="1">
      <s:c r="A1315" s="120" t="inlineStr"/>
      <s:c r="B1315" s="121" t="n"/>
      <s:c r="C1315" s="121" t="n"/>
      <s:c r="D1315" s="121" t="n"/>
      <s:c r="E1315" s="122" t="n"/>
    </s:row>
    <s:row r="1316" hidden="1" ht="1" customHeight="1">
      <s:c r="A1316" s="120" t="inlineStr"/>
      <s:c r="B1316" s="121" t="n"/>
      <s:c r="C1316" s="121" t="n"/>
      <s:c r="D1316" s="121" t="n"/>
      <s:c r="E1316" s="122" t="n"/>
    </s:row>
    <s:row r="1317" hidden="1" ht="1" customHeight="1">
      <s:c r="A1317" s="120" t="inlineStr"/>
      <s:c r="B1317" s="121" t="n"/>
      <s:c r="C1317" s="121" t="n"/>
      <s:c r="D1317" s="121" t="n"/>
      <s:c r="E1317" s="122" t="n"/>
    </s:row>
    <s:row r="1318" hidden="1" ht="1" customHeight="1">
      <s:c r="A1318" s="120" t="inlineStr"/>
      <s:c r="B1318" s="121" t="n"/>
      <s:c r="C1318" s="121" t="n"/>
      <s:c r="D1318" s="121" t="n"/>
      <s:c r="E1318" s="122" t="n"/>
    </s:row>
    <s:row r="1319" hidden="1" ht="1" customHeight="1">
      <s:c r="A1319" s="120" t="inlineStr"/>
      <s:c r="B1319" s="121" t="n"/>
      <s:c r="C1319" s="121" t="n"/>
      <s:c r="D1319" s="121" t="n"/>
      <s:c r="E1319" s="122" t="n"/>
    </s:row>
    <s:row r="1320" hidden="1" ht="1" customHeight="1">
      <s:c r="A1320" s="120" t="inlineStr"/>
      <s:c r="B1320" s="121" t="n"/>
      <s:c r="C1320" s="121" t="n"/>
      <s:c r="D1320" s="121" t="n"/>
      <s:c r="E1320" s="122" t="n"/>
    </s:row>
    <s:row r="1321" hidden="1" ht="1" customHeight="1">
      <s:c r="A1321" s="120" t="inlineStr"/>
      <s:c r="B1321" s="121" t="n"/>
      <s:c r="C1321" s="121" t="n"/>
      <s:c r="D1321" s="121" t="n"/>
      <s:c r="E1321" s="122" t="n"/>
    </s:row>
    <s:row r="1322" hidden="1" ht="1" customHeight="1">
      <s:c r="A1322" s="120" t="inlineStr"/>
      <s:c r="B1322" s="121" t="n"/>
      <s:c r="C1322" s="121" t="n"/>
      <s:c r="D1322" s="121" t="n"/>
      <s:c r="E1322" s="122" t="n"/>
    </s:row>
    <s:row r="1323" hidden="1" ht="1" customHeight="1">
      <s:c r="A1323" s="120" t="inlineStr"/>
      <s:c r="B1323" s="121" t="n"/>
      <s:c r="C1323" s="121" t="n"/>
      <s:c r="D1323" s="121" t="n"/>
      <s:c r="E1323" s="122" t="n"/>
    </s:row>
    <s:row r="1324" hidden="1" ht="1" customHeight="1">
      <s:c r="A1324" s="120" t="inlineStr"/>
      <s:c r="B1324" s="121" t="n"/>
      <s:c r="C1324" s="121" t="n"/>
      <s:c r="D1324" s="121" t="n"/>
      <s:c r="E1324" s="122" t="n"/>
    </s:row>
    <s:row r="1325" hidden="1" ht="1" customHeight="1">
      <s:c r="A1325" s="120" t="inlineStr"/>
      <s:c r="B1325" s="121" t="n"/>
      <s:c r="C1325" s="121" t="n"/>
      <s:c r="D1325" s="121" t="n"/>
      <s:c r="E1325" s="122" t="n"/>
    </s:row>
    <s:row r="1326" hidden="1" ht="1" customHeight="1">
      <s:c r="A1326" s="120" t="inlineStr"/>
      <s:c r="B1326" s="121" t="n"/>
      <s:c r="C1326" s="121" t="n"/>
      <s:c r="D1326" s="121" t="n"/>
      <s:c r="E1326" s="122" t="n"/>
    </s:row>
    <s:row r="1327" hidden="1" ht="1" customHeight="1">
      <s:c r="A1327" s="120" t="inlineStr"/>
      <s:c r="B1327" s="121" t="n"/>
      <s:c r="C1327" s="121" t="n"/>
      <s:c r="D1327" s="121" t="n"/>
      <s:c r="E1327" s="122" t="n"/>
    </s:row>
    <s:row r="1328" hidden="1" ht="1" customHeight="1">
      <s:c r="A1328" s="120" t="inlineStr"/>
      <s:c r="B1328" s="121" t="n"/>
      <s:c r="C1328" s="121" t="n"/>
      <s:c r="D1328" s="121" t="n"/>
      <s:c r="E1328" s="122" t="n"/>
    </s:row>
    <s:row r="1329" hidden="1" ht="1" customHeight="1">
      <s:c r="A1329" s="120" t="inlineStr"/>
      <s:c r="B1329" s="121" t="n"/>
      <s:c r="C1329" s="121" t="n"/>
      <s:c r="D1329" s="121" t="n"/>
      <s:c r="E1329" s="122" t="n"/>
    </s:row>
    <s:row r="1330" hidden="1" ht="1" customHeight="1">
      <s:c r="A1330" s="120" t="inlineStr"/>
      <s:c r="B1330" s="121" t="n"/>
      <s:c r="C1330" s="121" t="n"/>
      <s:c r="D1330" s="121" t="n"/>
      <s:c r="E1330" s="122" t="n"/>
    </s:row>
    <s:row r="1331" hidden="1" ht="1" customHeight="1">
      <s:c r="A1331" s="120" t="inlineStr"/>
      <s:c r="B1331" s="121" t="n"/>
      <s:c r="C1331" s="121" t="n"/>
      <s:c r="D1331" s="121" t="n"/>
      <s:c r="E1331" s="122" t="n"/>
    </s:row>
    <s:row r="1332" hidden="1" ht="1" customHeight="1">
      <s:c r="A1332" s="120" t="inlineStr"/>
      <s:c r="B1332" s="121" t="n"/>
      <s:c r="C1332" s="121" t="n"/>
      <s:c r="D1332" s="121" t="n"/>
      <s:c r="E1332" s="122" t="n"/>
    </s:row>
    <s:row r="1333" hidden="1" ht="1" customHeight="1">
      <s:c r="A1333" s="120" t="inlineStr"/>
      <s:c r="B1333" s="121" t="n"/>
      <s:c r="C1333" s="121" t="n"/>
      <s:c r="D1333" s="121" t="n"/>
      <s:c r="E1333" s="122" t="n"/>
    </s:row>
    <s:row r="1334" hidden="1" ht="1" customHeight="1">
      <s:c r="A1334" s="120" t="inlineStr"/>
      <s:c r="B1334" s="121" t="n"/>
      <s:c r="C1334" s="121" t="n"/>
      <s:c r="D1334" s="121" t="n"/>
      <s:c r="E1334" s="122" t="n"/>
    </s:row>
    <s:row r="1335" hidden="1" ht="1" customHeight="1">
      <s:c r="A1335" s="120" t="inlineStr"/>
      <s:c r="B1335" s="121" t="n"/>
      <s:c r="C1335" s="121" t="n"/>
      <s:c r="D1335" s="121" t="n"/>
      <s:c r="E1335" s="122" t="n"/>
    </s:row>
    <s:row r="1336" hidden="1" ht="1" customHeight="1">
      <s:c r="A1336" s="120" t="inlineStr"/>
      <s:c r="B1336" s="121" t="n"/>
      <s:c r="C1336" s="121" t="n"/>
      <s:c r="D1336" s="121" t="n"/>
      <s:c r="E1336" s="122" t="n"/>
    </s:row>
    <s:row r="1337" hidden="1" ht="1" customHeight="1">
      <s:c r="A1337" s="120" t="inlineStr"/>
      <s:c r="B1337" s="121" t="n"/>
      <s:c r="C1337" s="121" t="n"/>
      <s:c r="D1337" s="121" t="n"/>
      <s:c r="E1337" s="122" t="n"/>
    </s:row>
    <s:row r="1338" hidden="1" ht="1" customHeight="1">
      <s:c r="A1338" s="120" t="inlineStr"/>
      <s:c r="B1338" s="121" t="n"/>
      <s:c r="C1338" s="121" t="n"/>
      <s:c r="D1338" s="121" t="n"/>
      <s:c r="E1338" s="122" t="n"/>
    </s:row>
    <s:row r="1339" hidden="1" ht="1" customHeight="1">
      <s:c r="A1339" s="120" t="inlineStr"/>
      <s:c r="B1339" s="121" t="n"/>
      <s:c r="C1339" s="121" t="n"/>
      <s:c r="D1339" s="121" t="n"/>
      <s:c r="E1339" s="122" t="n"/>
    </s:row>
    <s:row r="1340" hidden="1" ht="1" customHeight="1">
      <s:c r="A1340" s="120" t="inlineStr"/>
      <s:c r="B1340" s="121" t="n"/>
      <s:c r="C1340" s="121" t="n"/>
      <s:c r="D1340" s="121" t="n"/>
      <s:c r="E1340" s="122" t="n"/>
    </s:row>
    <s:row r="1341" hidden="1" ht="1" customHeight="1">
      <s:c r="A1341" s="120" t="inlineStr"/>
      <s:c r="B1341" s="121" t="n"/>
      <s:c r="C1341" s="121" t="n"/>
      <s:c r="D1341" s="121" t="n"/>
      <s:c r="E1341" s="122" t="n"/>
    </s:row>
    <s:row r="1342" hidden="1" ht="1" customHeight="1">
      <s:c r="A1342" s="120" t="inlineStr"/>
      <s:c r="B1342" s="121" t="n"/>
      <s:c r="C1342" s="121" t="n"/>
      <s:c r="D1342" s="121" t="n"/>
      <s:c r="E1342" s="122" t="n"/>
    </s:row>
    <s:row r="1343" hidden="1" ht="1" customHeight="1">
      <s:c r="A1343" s="120" t="inlineStr"/>
      <s:c r="B1343" s="121" t="n"/>
      <s:c r="C1343" s="121" t="n"/>
      <s:c r="D1343" s="121" t="n"/>
      <s:c r="E1343" s="122" t="n"/>
    </s:row>
    <s:row r="1344" hidden="1" ht="1" customHeight="1">
      <s:c r="A1344" s="120" t="inlineStr"/>
      <s:c r="B1344" s="121" t="n"/>
      <s:c r="C1344" s="121" t="n"/>
      <s:c r="D1344" s="121" t="n"/>
      <s:c r="E1344" s="122" t="n"/>
    </s:row>
    <s:row r="1345" hidden="1" ht="1" customHeight="1">
      <s:c r="A1345" s="120" t="inlineStr"/>
      <s:c r="B1345" s="121" t="n"/>
      <s:c r="C1345" s="121" t="n"/>
      <s:c r="D1345" s="121" t="n"/>
      <s:c r="E1345" s="122" t="n"/>
    </s:row>
    <s:row r="1346" hidden="1" ht="1" customHeight="1">
      <s:c r="A1346" s="120" t="inlineStr"/>
      <s:c r="B1346" s="121" t="n"/>
      <s:c r="C1346" s="121" t="n"/>
      <s:c r="D1346" s="121" t="n"/>
      <s:c r="E1346" s="122" t="n"/>
    </s:row>
    <s:row r="1347" hidden="1" ht="1" customHeight="1">
      <s:c r="A1347" s="120" t="inlineStr"/>
      <s:c r="B1347" s="121" t="n"/>
      <s:c r="C1347" s="121" t="n"/>
      <s:c r="D1347" s="121" t="n"/>
      <s:c r="E1347" s="122" t="n"/>
    </s:row>
    <s:row r="1348" hidden="1" ht="1" customHeight="1">
      <s:c r="A1348" s="120" t="inlineStr"/>
      <s:c r="B1348" s="121" t="n"/>
      <s:c r="C1348" s="121" t="n"/>
      <s:c r="D1348" s="121" t="n"/>
      <s:c r="E1348" s="122" t="n"/>
    </s:row>
    <s:row r="1349" hidden="1" ht="1" customHeight="1">
      <s:c r="A1349" s="120" t="inlineStr"/>
      <s:c r="B1349" s="121" t="n"/>
      <s:c r="C1349" s="121" t="n"/>
      <s:c r="D1349" s="121" t="n"/>
      <s:c r="E1349" s="122" t="n"/>
    </s:row>
    <s:row r="1350" hidden="1" ht="1" customHeight="1">
      <s:c r="A1350" s="120" t="inlineStr"/>
      <s:c r="B1350" s="121" t="n"/>
      <s:c r="C1350" s="121" t="n"/>
      <s:c r="D1350" s="121" t="n"/>
      <s:c r="E1350" s="122" t="n"/>
    </s:row>
    <s:row r="1351" hidden="1" ht="1" customHeight="1">
      <s:c r="A1351" s="120" t="inlineStr"/>
      <s:c r="B1351" s="121" t="n"/>
      <s:c r="C1351" s="121" t="n"/>
      <s:c r="D1351" s="121" t="n"/>
      <s:c r="E1351" s="122" t="n"/>
    </s:row>
    <s:row r="1352" hidden="1" ht="1" customHeight="1">
      <s:c r="A1352" s="120" t="inlineStr"/>
      <s:c r="B1352" s="121" t="n"/>
      <s:c r="C1352" s="121" t="n"/>
      <s:c r="D1352" s="121" t="n"/>
      <s:c r="E1352" s="122" t="n"/>
    </s:row>
    <s:row r="1353" hidden="1" ht="1" customHeight="1">
      <s:c r="A1353" s="120" t="inlineStr"/>
      <s:c r="B1353" s="121" t="n"/>
      <s:c r="C1353" s="121" t="n"/>
      <s:c r="D1353" s="121" t="n"/>
      <s:c r="E1353" s="122" t="n"/>
    </s:row>
    <s:row r="1354" hidden="1" ht="1" customHeight="1">
      <s:c r="A1354" s="120" t="inlineStr"/>
      <s:c r="B1354" s="121" t="n"/>
      <s:c r="C1354" s="121" t="n"/>
      <s:c r="D1354" s="121" t="n"/>
      <s:c r="E1354" s="122" t="n"/>
    </s:row>
    <s:row r="1355" hidden="1" ht="1" customHeight="1">
      <s:c r="A1355" s="120" t="inlineStr"/>
      <s:c r="B1355" s="121" t="n"/>
      <s:c r="C1355" s="121" t="n"/>
      <s:c r="D1355" s="121" t="n"/>
      <s:c r="E1355" s="122" t="n"/>
    </s:row>
    <s:row r="1356" hidden="1" ht="1" customHeight="1">
      <s:c r="A1356" s="120" t="inlineStr"/>
      <s:c r="B1356" s="121" t="n"/>
      <s:c r="C1356" s="121" t="n"/>
      <s:c r="D1356" s="121" t="n"/>
      <s:c r="E1356" s="122" t="n"/>
    </s:row>
    <s:row r="1357" hidden="1" ht="1" customHeight="1">
      <s:c r="A1357" s="120" t="inlineStr"/>
      <s:c r="B1357" s="121" t="n"/>
      <s:c r="C1357" s="121" t="n"/>
      <s:c r="D1357" s="121" t="n"/>
      <s:c r="E1357" s="122" t="n"/>
    </s:row>
    <s:row r="1358" hidden="1" ht="1" customHeight="1">
      <s:c r="A1358" s="120" t="inlineStr"/>
      <s:c r="B1358" s="121" t="n"/>
      <s:c r="C1358" s="121" t="n"/>
      <s:c r="D1358" s="121" t="n"/>
      <s:c r="E1358" s="122" t="n"/>
    </s:row>
    <s:row r="1359" hidden="1" ht="1" customHeight="1">
      <s:c r="A1359" s="120" t="inlineStr"/>
      <s:c r="B1359" s="121" t="n"/>
      <s:c r="C1359" s="121" t="n"/>
      <s:c r="D1359" s="121" t="n"/>
      <s:c r="E1359" s="122" t="n"/>
    </s:row>
    <s:row r="1360" hidden="1" ht="1" customHeight="1">
      <s:c r="A1360" s="120" t="inlineStr"/>
      <s:c r="B1360" s="121" t="n"/>
      <s:c r="C1360" s="121" t="n"/>
      <s:c r="D1360" s="121" t="n"/>
      <s:c r="E1360" s="122" t="n"/>
    </s:row>
    <s:row r="1361" hidden="1" ht="1" customHeight="1">
      <s:c r="A1361" s="120" t="inlineStr"/>
      <s:c r="B1361" s="121" t="n"/>
      <s:c r="C1361" s="121" t="n"/>
      <s:c r="D1361" s="121" t="n"/>
      <s:c r="E1361" s="122" t="n"/>
    </s:row>
    <s:row r="1362" hidden="1" ht="1" customHeight="1">
      <s:c r="A1362" s="120" t="inlineStr"/>
      <s:c r="B1362" s="121" t="n"/>
      <s:c r="C1362" s="121" t="n"/>
      <s:c r="D1362" s="121" t="n"/>
      <s:c r="E1362" s="122" t="n"/>
    </s:row>
    <s:row r="1363" hidden="1" ht="1" customHeight="1">
      <s:c r="A1363" s="120" t="inlineStr"/>
      <s:c r="B1363" s="121" t="n"/>
      <s:c r="C1363" s="121" t="n"/>
      <s:c r="D1363" s="121" t="n"/>
      <s:c r="E1363" s="122" t="n"/>
    </s:row>
    <s:row r="1364" hidden="1" ht="1" customHeight="1">
      <s:c r="A1364" s="120" t="inlineStr"/>
      <s:c r="B1364" s="121" t="n"/>
      <s:c r="C1364" s="121" t="n"/>
      <s:c r="D1364" s="121" t="n"/>
      <s:c r="E1364" s="122" t="n"/>
    </s:row>
    <s:row r="1365" hidden="1" ht="1" customHeight="1">
      <s:c r="A1365" s="120" t="inlineStr"/>
      <s:c r="B1365" s="121" t="n"/>
      <s:c r="C1365" s="121" t="n"/>
      <s:c r="D1365" s="121" t="n"/>
      <s:c r="E1365" s="122" t="n"/>
    </s:row>
    <s:row r="1366" hidden="1" ht="1" customHeight="1">
      <s:c r="A1366" s="120" t="inlineStr"/>
      <s:c r="B1366" s="121" t="n"/>
      <s:c r="C1366" s="121" t="n"/>
      <s:c r="D1366" s="121" t="n"/>
      <s:c r="E1366" s="122" t="n"/>
    </s:row>
    <s:row r="1367" hidden="1" ht="1" customHeight="1">
      <s:c r="A1367" s="120" t="inlineStr"/>
      <s:c r="B1367" s="121" t="n"/>
      <s:c r="C1367" s="121" t="n"/>
      <s:c r="D1367" s="121" t="n"/>
      <s:c r="E1367" s="122" t="n"/>
    </s:row>
    <s:row r="1368" hidden="1" ht="1" customHeight="1">
      <s:c r="A1368" s="120" t="inlineStr"/>
      <s:c r="B1368" s="121" t="n"/>
      <s:c r="C1368" s="121" t="n"/>
      <s:c r="D1368" s="121" t="n"/>
      <s:c r="E1368" s="122" t="n"/>
    </s:row>
    <s:row r="1369" hidden="1" ht="1" customHeight="1">
      <s:c r="A1369" s="120" t="inlineStr"/>
      <s:c r="B1369" s="121" t="n"/>
      <s:c r="C1369" s="121" t="n"/>
      <s:c r="D1369" s="121" t="n"/>
      <s:c r="E1369" s="122" t="n"/>
    </s:row>
    <s:row r="1370" hidden="1" ht="1" customHeight="1">
      <s:c r="A1370" s="120" t="inlineStr"/>
      <s:c r="B1370" s="121" t="n"/>
      <s:c r="C1370" s="121" t="n"/>
      <s:c r="D1370" s="121" t="n"/>
      <s:c r="E1370" s="122" t="n"/>
    </s:row>
    <s:row r="1371" hidden="1" ht="1" customHeight="1">
      <s:c r="A1371" s="120" t="inlineStr"/>
      <s:c r="B1371" s="121" t="n"/>
      <s:c r="C1371" s="121" t="n"/>
      <s:c r="D1371" s="121" t="n"/>
      <s:c r="E1371" s="122" t="n"/>
    </s:row>
    <s:row r="1372" hidden="1" ht="1" customHeight="1">
      <s:c r="A1372" s="120" t="inlineStr"/>
      <s:c r="B1372" s="121" t="n"/>
      <s:c r="C1372" s="121" t="n"/>
      <s:c r="D1372" s="121" t="n"/>
      <s:c r="E1372" s="122" t="n"/>
    </s:row>
    <s:row r="1373" hidden="1" ht="1" customHeight="1">
      <s:c r="A1373" s="120" t="inlineStr"/>
      <s:c r="B1373" s="121" t="n"/>
      <s:c r="C1373" s="121" t="n"/>
      <s:c r="D1373" s="121" t="n"/>
      <s:c r="E1373" s="122" t="n"/>
    </s:row>
    <s:row r="1374" hidden="1" ht="1" customHeight="1">
      <s:c r="A1374" s="120" t="inlineStr"/>
      <s:c r="B1374" s="121" t="n"/>
      <s:c r="C1374" s="121" t="n"/>
      <s:c r="D1374" s="121" t="n"/>
      <s:c r="E1374" s="122" t="n"/>
    </s:row>
    <s:row r="1375" hidden="1" ht="1" customHeight="1">
      <s:c r="A1375" s="120" t="inlineStr"/>
      <s:c r="B1375" s="121" t="n"/>
      <s:c r="C1375" s="121" t="n"/>
      <s:c r="D1375" s="121" t="n"/>
      <s:c r="E1375" s="122" t="n"/>
    </s:row>
    <s:row r="1376" hidden="1" ht="1" customHeight="1">
      <s:c r="A1376" s="120" t="inlineStr"/>
      <s:c r="B1376" s="121" t="n"/>
      <s:c r="C1376" s="121" t="n"/>
      <s:c r="D1376" s="121" t="n"/>
      <s:c r="E1376" s="122" t="n"/>
    </s:row>
    <s:row r="1377" hidden="1" ht="1" customHeight="1">
      <s:c r="A1377" s="120" t="inlineStr"/>
      <s:c r="B1377" s="121" t="n"/>
      <s:c r="C1377" s="121" t="n"/>
      <s:c r="D1377" s="121" t="n"/>
      <s:c r="E1377" s="122" t="n"/>
    </s:row>
    <s:row r="1378" hidden="1" ht="1" customHeight="1">
      <s:c r="A1378" s="120" t="inlineStr"/>
      <s:c r="B1378" s="121" t="n"/>
      <s:c r="C1378" s="121" t="n"/>
      <s:c r="D1378" s="121" t="n"/>
      <s:c r="E1378" s="122" t="n"/>
    </s:row>
    <s:row r="1379" hidden="1" ht="1" customHeight="1">
      <s:c r="A1379" s="120" t="inlineStr"/>
      <s:c r="B1379" s="121" t="n"/>
      <s:c r="C1379" s="121" t="n"/>
      <s:c r="D1379" s="121" t="n"/>
      <s:c r="E1379" s="122" t="n"/>
    </s:row>
    <s:row r="1380" hidden="1" ht="1" customHeight="1">
      <s:c r="A1380" s="120" t="inlineStr"/>
      <s:c r="B1380" s="121" t="n"/>
      <s:c r="C1380" s="121" t="n"/>
      <s:c r="D1380" s="121" t="n"/>
      <s:c r="E1380" s="122" t="n"/>
    </s:row>
    <s:row r="1381" hidden="1" ht="1" customHeight="1">
      <s:c r="A1381" s="120" t="inlineStr"/>
      <s:c r="B1381" s="121" t="n"/>
      <s:c r="C1381" s="121" t="n"/>
      <s:c r="D1381" s="121" t="n"/>
      <s:c r="E1381" s="122" t="n"/>
    </s:row>
    <s:row r="1382" hidden="1" ht="1" customHeight="1">
      <s:c r="A1382" s="120" t="inlineStr"/>
      <s:c r="B1382" s="121" t="n"/>
      <s:c r="C1382" s="121" t="n"/>
      <s:c r="D1382" s="121" t="n"/>
      <s:c r="E1382" s="122" t="n"/>
    </s:row>
    <s:row r="1383" hidden="1" ht="1" customHeight="1">
      <s:c r="A1383" s="120" t="inlineStr"/>
      <s:c r="B1383" s="121" t="n"/>
      <s:c r="C1383" s="121" t="n"/>
      <s:c r="D1383" s="121" t="n"/>
      <s:c r="E1383" s="122" t="n"/>
    </s:row>
    <s:row r="1384" hidden="1" ht="1" customHeight="1">
      <s:c r="A1384" s="120" t="inlineStr"/>
      <s:c r="B1384" s="121" t="n"/>
      <s:c r="C1384" s="121" t="n"/>
      <s:c r="D1384" s="121" t="n"/>
      <s:c r="E1384" s="122" t="n"/>
    </s:row>
    <s:row r="1385" hidden="1" ht="1" customHeight="1">
      <s:c r="A1385" s="120" t="inlineStr"/>
      <s:c r="B1385" s="121" t="n"/>
      <s:c r="C1385" s="121" t="n"/>
      <s:c r="D1385" s="121" t="n"/>
      <s:c r="E1385" s="122" t="n"/>
    </s:row>
    <s:row r="1386" hidden="1" ht="1" customHeight="1">
      <s:c r="A1386" s="120" t="inlineStr"/>
      <s:c r="B1386" s="121" t="n"/>
      <s:c r="C1386" s="121" t="n"/>
      <s:c r="D1386" s="121" t="n"/>
      <s:c r="E1386" s="122" t="n"/>
    </s:row>
    <s:row r="1387" hidden="1" ht="1" customHeight="1">
      <s:c r="A1387" s="120" t="inlineStr"/>
      <s:c r="B1387" s="121" t="n"/>
      <s:c r="C1387" s="121" t="n"/>
      <s:c r="D1387" s="121" t="n"/>
      <s:c r="E1387" s="122" t="n"/>
    </s:row>
    <s:row r="1388" hidden="1" ht="1" customHeight="1">
      <s:c r="A1388" s="120" t="inlineStr"/>
      <s:c r="B1388" s="121" t="n"/>
      <s:c r="C1388" s="121" t="n"/>
      <s:c r="D1388" s="121" t="n"/>
      <s:c r="E1388" s="122" t="n"/>
    </s:row>
    <s:row r="1389" hidden="1" ht="1" customHeight="1">
      <s:c r="A1389" s="120" t="inlineStr"/>
      <s:c r="B1389" s="121" t="n"/>
      <s:c r="C1389" s="121" t="n"/>
      <s:c r="D1389" s="121" t="n"/>
      <s:c r="E1389" s="122" t="n"/>
    </s:row>
    <s:row r="1390" hidden="1" ht="1" customHeight="1">
      <s:c r="A1390" s="120" t="inlineStr"/>
      <s:c r="B1390" s="121" t="n"/>
      <s:c r="C1390" s="121" t="n"/>
      <s:c r="D1390" s="121" t="n"/>
      <s:c r="E1390" s="122" t="n"/>
    </s:row>
    <s:row r="1391" hidden="1" ht="1" customHeight="1">
      <s:c r="A1391" s="120" t="inlineStr"/>
      <s:c r="B1391" s="121" t="n"/>
      <s:c r="C1391" s="121" t="n"/>
      <s:c r="D1391" s="121" t="n"/>
      <s:c r="E1391" s="122" t="n"/>
    </s:row>
    <s:row r="1392" hidden="1" ht="1" customHeight="1">
      <s:c r="A1392" s="120" t="inlineStr"/>
      <s:c r="B1392" s="121" t="n"/>
      <s:c r="C1392" s="121" t="n"/>
      <s:c r="D1392" s="121" t="n"/>
      <s:c r="E1392" s="122" t="n"/>
    </s:row>
    <s:row r="1393" hidden="1" ht="1" customHeight="1">
      <s:c r="A1393" s="120" t="inlineStr"/>
      <s:c r="B1393" s="121" t="n"/>
      <s:c r="C1393" s="121" t="n"/>
      <s:c r="D1393" s="121" t="n"/>
      <s:c r="E1393" s="122" t="n"/>
    </s:row>
    <s:row r="1394" hidden="1" ht="1" customHeight="1">
      <s:c r="A1394" s="120" t="inlineStr"/>
      <s:c r="B1394" s="121" t="n"/>
      <s:c r="C1394" s="121" t="n"/>
      <s:c r="D1394" s="121" t="n"/>
      <s:c r="E1394" s="122" t="n"/>
    </s:row>
    <s:row r="1395" hidden="1" ht="1" customHeight="1">
      <s:c r="A1395" s="120" t="inlineStr"/>
      <s:c r="B1395" s="121" t="n"/>
      <s:c r="C1395" s="121" t="n"/>
      <s:c r="D1395" s="121" t="n"/>
      <s:c r="E1395" s="122" t="n"/>
    </s:row>
    <s:row r="1396" hidden="1" ht="1" customHeight="1">
      <s:c r="A1396" s="120" t="inlineStr"/>
      <s:c r="B1396" s="121" t="n"/>
      <s:c r="C1396" s="121" t="n"/>
      <s:c r="D1396" s="121" t="n"/>
      <s:c r="E1396" s="122" t="n"/>
    </s:row>
    <s:row r="1397" hidden="1" ht="1" customHeight="1">
      <s:c r="A1397" s="120" t="inlineStr"/>
      <s:c r="B1397" s="121" t="n"/>
      <s:c r="C1397" s="121" t="n"/>
      <s:c r="D1397" s="121" t="n"/>
      <s:c r="E1397" s="122" t="n"/>
    </s:row>
    <s:row r="1398" hidden="1" ht="1" customHeight="1">
      <s:c r="A1398" s="120" t="inlineStr"/>
      <s:c r="B1398" s="121" t="n"/>
      <s:c r="C1398" s="121" t="n"/>
      <s:c r="D1398" s="121" t="n"/>
      <s:c r="E1398" s="122" t="n"/>
    </s:row>
    <s:row r="1399" hidden="1" ht="1" customHeight="1">
      <s:c r="A1399" s="120" t="inlineStr"/>
      <s:c r="B1399" s="121" t="n"/>
      <s:c r="C1399" s="121" t="n"/>
      <s:c r="D1399" s="121" t="n"/>
      <s:c r="E1399" s="122" t="n"/>
    </s:row>
    <s:row r="1400" hidden="1" ht="1" customHeight="1">
      <s:c r="A1400" s="120" t="inlineStr"/>
      <s:c r="B1400" s="121" t="n"/>
      <s:c r="C1400" s="121" t="n"/>
      <s:c r="D1400" s="121" t="n"/>
      <s:c r="E1400" s="122" t="n"/>
    </s:row>
    <s:row r="1401" hidden="1" ht="1" customHeight="1">
      <s:c r="A1401" s="120" t="inlineStr"/>
      <s:c r="B1401" s="121" t="n"/>
      <s:c r="C1401" s="121" t="n"/>
      <s:c r="D1401" s="121" t="n"/>
      <s:c r="E1401" s="122" t="n"/>
    </s:row>
    <s:row r="1402" hidden="1" ht="1" customHeight="1">
      <s:c r="A1402" s="120" t="inlineStr"/>
      <s:c r="B1402" s="121" t="n"/>
      <s:c r="C1402" s="121" t="n"/>
      <s:c r="D1402" s="121" t="n"/>
      <s:c r="E1402" s="122" t="n"/>
    </s:row>
    <s:row r="1403" hidden="1" ht="1" customHeight="1">
      <s:c r="A1403" s="120" t="inlineStr"/>
      <s:c r="B1403" s="121" t="n"/>
      <s:c r="C1403" s="121" t="n"/>
      <s:c r="D1403" s="121" t="n"/>
      <s:c r="E1403" s="122" t="n"/>
    </s:row>
    <s:row r="1404" hidden="1" ht="1" customHeight="1">
      <s:c r="A1404" s="120" t="inlineStr"/>
      <s:c r="B1404" s="121" t="n"/>
      <s:c r="C1404" s="121" t="n"/>
      <s:c r="D1404" s="121" t="n"/>
      <s:c r="E1404" s="122" t="n"/>
    </s:row>
    <s:row r="1405" hidden="1" ht="1" customHeight="1">
      <s:c r="A1405" s="120" t="inlineStr"/>
      <s:c r="B1405" s="121" t="n"/>
      <s:c r="C1405" s="121" t="n"/>
      <s:c r="D1405" s="121" t="n"/>
      <s:c r="E1405" s="122" t="n"/>
    </s:row>
    <s:row r="1406" hidden="1" ht="1" customHeight="1">
      <s:c r="A1406" s="120" t="inlineStr"/>
      <s:c r="B1406" s="121" t="n"/>
      <s:c r="C1406" s="121" t="n"/>
      <s:c r="D1406" s="121" t="n"/>
      <s:c r="E1406" s="122" t="n"/>
    </s:row>
    <s:row r="1407" hidden="1" ht="1" customHeight="1">
      <s:c r="A1407" s="120" t="inlineStr"/>
      <s:c r="B1407" s="121" t="n"/>
      <s:c r="C1407" s="121" t="n"/>
      <s:c r="D1407" s="121" t="n"/>
      <s:c r="E1407" s="122" t="n"/>
    </s:row>
    <s:row r="1408" hidden="1" ht="1" customHeight="1">
      <s:c r="A1408" s="120" t="inlineStr"/>
      <s:c r="B1408" s="121" t="n"/>
      <s:c r="C1408" s="121" t="n"/>
      <s:c r="D1408" s="121" t="n"/>
      <s:c r="E1408" s="122" t="n"/>
    </s:row>
    <s:row r="1409" hidden="1" ht="1" customHeight="1">
      <s:c r="A1409" s="120" t="inlineStr"/>
      <s:c r="B1409" s="121" t="n"/>
      <s:c r="C1409" s="121" t="n"/>
      <s:c r="D1409" s="121" t="n"/>
      <s:c r="E1409" s="122" t="n"/>
    </s:row>
    <s:row r="1410" hidden="1" ht="1" customHeight="1">
      <s:c r="A1410" s="120" t="inlineStr"/>
      <s:c r="B1410" s="121" t="n"/>
      <s:c r="C1410" s="121" t="n"/>
      <s:c r="D1410" s="121" t="n"/>
      <s:c r="E1410" s="122" t="n"/>
    </s:row>
    <s:row r="1411" hidden="1" ht="1" customHeight="1">
      <s:c r="A1411" s="120" t="inlineStr"/>
      <s:c r="B1411" s="121" t="n"/>
      <s:c r="C1411" s="121" t="n"/>
      <s:c r="D1411" s="121" t="n"/>
      <s:c r="E1411" s="122" t="n"/>
    </s:row>
    <s:row r="1412" hidden="1" ht="1" customHeight="1">
      <s:c r="A1412" s="120" t="inlineStr"/>
      <s:c r="B1412" s="121" t="n"/>
      <s:c r="C1412" s="121" t="n"/>
      <s:c r="D1412" s="121" t="n"/>
      <s:c r="E1412" s="122" t="n"/>
    </s:row>
    <s:row r="1413" hidden="1" ht="1" customHeight="1">
      <s:c r="A1413" s="120" t="inlineStr"/>
      <s:c r="B1413" s="121" t="n"/>
      <s:c r="C1413" s="121" t="n"/>
      <s:c r="D1413" s="121" t="n"/>
      <s:c r="E1413" s="122" t="n"/>
    </s:row>
    <s:row r="1414" hidden="1" ht="1" customHeight="1">
      <s:c r="A1414" s="120" t="inlineStr"/>
      <s:c r="B1414" s="121" t="n"/>
      <s:c r="C1414" s="121" t="n"/>
      <s:c r="D1414" s="121" t="n"/>
      <s:c r="E1414" s="122" t="n"/>
    </s:row>
    <s:row r="1415" hidden="1" ht="1" customHeight="1">
      <s:c r="A1415" s="120" t="inlineStr"/>
      <s:c r="B1415" s="121" t="n"/>
      <s:c r="C1415" s="121" t="n"/>
      <s:c r="D1415" s="121" t="n"/>
      <s:c r="E1415" s="122" t="n"/>
    </s:row>
    <s:row r="1416" hidden="1" ht="1" customHeight="1">
      <s:c r="A1416" s="120" t="inlineStr"/>
      <s:c r="B1416" s="121" t="n"/>
      <s:c r="C1416" s="121" t="n"/>
      <s:c r="D1416" s="121" t="n"/>
      <s:c r="E1416" s="122" t="n"/>
    </s:row>
    <s:row r="1417" hidden="1" ht="1" customHeight="1">
      <s:c r="A1417" s="120" t="inlineStr"/>
      <s:c r="B1417" s="121" t="n"/>
      <s:c r="C1417" s="121" t="n"/>
      <s:c r="D1417" s="121" t="n"/>
      <s:c r="E1417" s="122" t="n"/>
    </s:row>
    <s:row r="1418" hidden="1" ht="1" customHeight="1">
      <s:c r="A1418" s="120" t="inlineStr"/>
      <s:c r="B1418" s="121" t="n"/>
      <s:c r="C1418" s="121" t="n"/>
      <s:c r="D1418" s="121" t="n"/>
      <s:c r="E1418" s="122" t="n"/>
    </s:row>
    <s:row r="1419" hidden="1" ht="1" customHeight="1">
      <s:c r="A1419" s="120" t="inlineStr"/>
      <s:c r="B1419" s="121" t="n"/>
      <s:c r="C1419" s="121" t="n"/>
      <s:c r="D1419" s="121" t="n"/>
      <s:c r="E1419" s="122" t="n"/>
    </s:row>
    <s:row r="1420" hidden="1" ht="1" customHeight="1">
      <s:c r="A1420" s="120" t="inlineStr"/>
      <s:c r="B1420" s="121" t="n"/>
      <s:c r="C1420" s="121" t="n"/>
      <s:c r="D1420" s="121" t="n"/>
      <s:c r="E1420" s="122" t="n"/>
    </s:row>
    <s:row r="1421" hidden="1" ht="1" customHeight="1">
      <s:c r="A1421" s="120" t="inlineStr"/>
      <s:c r="B1421" s="121" t="n"/>
      <s:c r="C1421" s="121" t="n"/>
      <s:c r="D1421" s="121" t="n"/>
      <s:c r="E1421" s="122" t="n"/>
    </s:row>
    <s:row r="1422" hidden="1" ht="1" customHeight="1">
      <s:c r="A1422" s="120" t="inlineStr"/>
      <s:c r="B1422" s="121" t="n"/>
      <s:c r="C1422" s="121" t="n"/>
      <s:c r="D1422" s="121" t="n"/>
      <s:c r="E1422" s="122" t="n"/>
    </s:row>
    <s:row r="1423" hidden="1" ht="1" customHeight="1">
      <s:c r="A1423" s="120" t="inlineStr"/>
      <s:c r="B1423" s="121" t="n"/>
      <s:c r="C1423" s="121" t="n"/>
      <s:c r="D1423" s="121" t="n"/>
      <s:c r="E1423" s="122" t="n"/>
    </s:row>
    <s:row r="1424" hidden="1" ht="1" customHeight="1">
      <s:c r="A1424" s="120" t="inlineStr"/>
      <s:c r="B1424" s="121" t="n"/>
      <s:c r="C1424" s="121" t="n"/>
      <s:c r="D1424" s="121" t="n"/>
      <s:c r="E1424" s="122" t="n"/>
    </s:row>
    <s:row r="1425" hidden="1" ht="1" customHeight="1">
      <s:c r="A1425" s="120" t="inlineStr"/>
      <s:c r="B1425" s="121" t="n"/>
      <s:c r="C1425" s="121" t="n"/>
      <s:c r="D1425" s="121" t="n"/>
      <s:c r="E1425" s="122" t="n"/>
    </s:row>
    <s:row r="1426" hidden="1" ht="1" customHeight="1">
      <s:c r="A1426" s="120" t="inlineStr"/>
      <s:c r="B1426" s="121" t="n"/>
      <s:c r="C1426" s="121" t="n"/>
      <s:c r="D1426" s="121" t="n"/>
      <s:c r="E1426" s="122" t="n"/>
    </s:row>
    <s:row r="1427" hidden="1" ht="1" customHeight="1">
      <s:c r="A1427" s="120" t="inlineStr"/>
      <s:c r="B1427" s="121" t="n"/>
      <s:c r="C1427" s="121" t="n"/>
      <s:c r="D1427" s="121" t="n"/>
      <s:c r="E1427" s="122" t="n"/>
    </s:row>
    <s:row r="1428" hidden="1" ht="1" customHeight="1">
      <s:c r="A1428" s="120" t="inlineStr"/>
      <s:c r="B1428" s="121" t="n"/>
      <s:c r="C1428" s="121" t="n"/>
      <s:c r="D1428" s="121" t="n"/>
      <s:c r="E1428" s="122" t="n"/>
    </s:row>
    <s:row r="1429" hidden="1" ht="1" customHeight="1">
      <s:c r="A1429" s="120" t="inlineStr"/>
      <s:c r="B1429" s="121" t="n"/>
      <s:c r="C1429" s="121" t="n"/>
      <s:c r="D1429" s="121" t="n"/>
      <s:c r="E1429" s="122" t="n"/>
    </s:row>
    <s:row r="1430" hidden="1" ht="1" customHeight="1">
      <s:c r="A1430" s="120" t="inlineStr"/>
      <s:c r="B1430" s="121" t="n"/>
      <s:c r="C1430" s="121" t="n"/>
      <s:c r="D1430" s="121" t="n"/>
      <s:c r="E1430" s="122" t="n"/>
    </s:row>
    <s:row r="1431" hidden="1" ht="1" customHeight="1">
      <s:c r="A1431" s="120" t="inlineStr"/>
      <s:c r="B1431" s="121" t="n"/>
      <s:c r="C1431" s="121" t="n"/>
      <s:c r="D1431" s="121" t="n"/>
      <s:c r="E1431" s="122" t="n"/>
    </s:row>
    <s:row r="1432" hidden="1" ht="1" customHeight="1">
      <s:c r="A1432" s="120" t="inlineStr"/>
      <s:c r="B1432" s="121" t="n"/>
      <s:c r="C1432" s="121" t="n"/>
      <s:c r="D1432" s="121" t="n"/>
      <s:c r="E1432" s="122" t="n"/>
    </s:row>
    <s:row r="1433" hidden="1" ht="1" customHeight="1">
      <s:c r="A1433" s="120" t="inlineStr"/>
      <s:c r="B1433" s="121" t="n"/>
      <s:c r="C1433" s="121" t="n"/>
      <s:c r="D1433" s="121" t="n"/>
      <s:c r="E1433" s="122" t="n"/>
    </s:row>
    <s:row r="1434" hidden="1" ht="1" customHeight="1">
      <s:c r="A1434" s="120" t="inlineStr"/>
      <s:c r="B1434" s="121" t="n"/>
      <s:c r="C1434" s="121" t="n"/>
      <s:c r="D1434" s="121" t="n"/>
      <s:c r="E1434" s="122" t="n"/>
    </s:row>
    <s:row r="1435" hidden="1" ht="1" customHeight="1">
      <s:c r="A1435" s="120" t="inlineStr"/>
      <s:c r="B1435" s="121" t="n"/>
      <s:c r="C1435" s="121" t="n"/>
      <s:c r="D1435" s="121" t="n"/>
      <s:c r="E1435" s="122" t="n"/>
    </s:row>
    <s:row r="1436" hidden="1" ht="1" customHeight="1">
      <s:c r="A1436" s="120" t="inlineStr"/>
      <s:c r="B1436" s="121" t="n"/>
      <s:c r="C1436" s="121" t="n"/>
      <s:c r="D1436" s="121" t="n"/>
      <s:c r="E1436" s="122" t="n"/>
    </s:row>
    <s:row r="1437" hidden="1" ht="1" customHeight="1">
      <s:c r="A1437" s="120" t="inlineStr"/>
      <s:c r="B1437" s="121" t="n"/>
      <s:c r="C1437" s="121" t="n"/>
      <s:c r="D1437" s="121" t="n"/>
      <s:c r="E1437" s="122" t="n"/>
    </s:row>
    <s:row r="1438" hidden="1" ht="1" customHeight="1">
      <s:c r="A1438" s="120" t="inlineStr"/>
      <s:c r="B1438" s="121" t="n"/>
      <s:c r="C1438" s="121" t="n"/>
      <s:c r="D1438" s="121" t="n"/>
      <s:c r="E1438" s="122" t="n"/>
    </s:row>
    <s:row r="1439" hidden="1" ht="1" customHeight="1">
      <s:c r="A1439" s="120" t="inlineStr"/>
      <s:c r="B1439" s="121" t="n"/>
      <s:c r="C1439" s="121" t="n"/>
      <s:c r="D1439" s="121" t="n"/>
      <s:c r="E1439" s="122" t="n"/>
    </s:row>
    <s:row r="1440" hidden="1" ht="1" customHeight="1">
      <s:c r="A1440" s="120" t="inlineStr"/>
      <s:c r="B1440" s="121" t="n"/>
      <s:c r="C1440" s="121" t="n"/>
      <s:c r="D1440" s="121" t="n"/>
      <s:c r="E1440" s="122" t="n"/>
    </s:row>
    <s:row r="1441" hidden="1" ht="1" customHeight="1">
      <s:c r="A1441" s="120" t="inlineStr"/>
      <s:c r="B1441" s="121" t="n"/>
      <s:c r="C1441" s="121" t="n"/>
      <s:c r="D1441" s="121" t="n"/>
      <s:c r="E1441" s="122" t="n"/>
    </s:row>
    <s:row r="1442" hidden="1" ht="1" customHeight="1">
      <s:c r="A1442" s="120" t="inlineStr"/>
      <s:c r="B1442" s="121" t="n"/>
      <s:c r="C1442" s="121" t="n"/>
      <s:c r="D1442" s="121" t="n"/>
      <s:c r="E1442" s="122" t="n"/>
    </s:row>
    <s:row r="1443" hidden="1" ht="1" customHeight="1">
      <s:c r="A1443" s="120" t="inlineStr"/>
      <s:c r="B1443" s="121" t="n"/>
      <s:c r="C1443" s="121" t="n"/>
      <s:c r="D1443" s="121" t="n"/>
      <s:c r="E1443" s="122" t="n"/>
    </s:row>
    <s:row r="1444" hidden="1" ht="1" customHeight="1">
      <s:c r="A1444" s="120" t="inlineStr"/>
      <s:c r="B1444" s="121" t="n"/>
      <s:c r="C1444" s="121" t="n"/>
      <s:c r="D1444" s="121" t="n"/>
      <s:c r="E1444" s="122" t="n"/>
    </s:row>
    <s:row r="1445" hidden="1" ht="1" customHeight="1">
      <s:c r="A1445" s="120" t="inlineStr"/>
      <s:c r="B1445" s="121" t="n"/>
      <s:c r="C1445" s="121" t="n"/>
      <s:c r="D1445" s="121" t="n"/>
      <s:c r="E1445" s="122" t="n"/>
    </s:row>
    <s:row r="1446" hidden="1" ht="1" customHeight="1">
      <s:c r="A1446" s="120" t="inlineStr"/>
      <s:c r="B1446" s="121" t="n"/>
      <s:c r="C1446" s="121" t="n"/>
      <s:c r="D1446" s="121" t="n"/>
      <s:c r="E1446" s="122" t="n"/>
    </s:row>
    <s:row r="1447" hidden="1" ht="1" customHeight="1">
      <s:c r="A1447" s="120" t="inlineStr"/>
      <s:c r="B1447" s="121" t="n"/>
      <s:c r="C1447" s="121" t="n"/>
      <s:c r="D1447" s="121" t="n"/>
      <s:c r="E1447" s="122" t="n"/>
    </s:row>
    <s:row r="1448" hidden="1" ht="1" customHeight="1">
      <s:c r="A1448" s="120" t="inlineStr"/>
      <s:c r="B1448" s="121" t="n"/>
      <s:c r="C1448" s="121" t="n"/>
      <s:c r="D1448" s="121" t="n"/>
      <s:c r="E1448" s="122" t="n"/>
    </s:row>
    <s:row r="1449" hidden="1" ht="1" customHeight="1">
      <s:c r="A1449" s="120" t="inlineStr"/>
      <s:c r="B1449" s="121" t="n"/>
      <s:c r="C1449" s="121" t="n"/>
      <s:c r="D1449" s="121" t="n"/>
      <s:c r="E1449" s="122" t="n"/>
    </s:row>
    <s:row r="1450" hidden="1" ht="1" customHeight="1">
      <s:c r="A1450" s="120" t="inlineStr"/>
      <s:c r="B1450" s="121" t="n"/>
      <s:c r="C1450" s="121" t="n"/>
      <s:c r="D1450" s="121" t="n"/>
      <s:c r="E1450" s="122" t="n"/>
    </s:row>
    <s:row r="1451" hidden="1" ht="1" customHeight="1">
      <s:c r="A1451" s="120" t="inlineStr"/>
      <s:c r="B1451" s="121" t="n"/>
      <s:c r="C1451" s="121" t="n"/>
      <s:c r="D1451" s="121" t="n"/>
      <s:c r="E1451" s="122" t="n"/>
    </s:row>
    <s:row r="1452" hidden="1" ht="1" customHeight="1">
      <s:c r="A1452" s="120" t="inlineStr"/>
      <s:c r="B1452" s="121" t="n"/>
      <s:c r="C1452" s="121" t="n"/>
      <s:c r="D1452" s="121" t="n"/>
      <s:c r="E1452" s="122" t="n"/>
    </s:row>
    <s:row r="1453" hidden="1" ht="1" customHeight="1">
      <s:c r="A1453" s="120" t="inlineStr"/>
      <s:c r="B1453" s="121" t="n"/>
      <s:c r="C1453" s="121" t="n"/>
      <s:c r="D1453" s="121" t="n"/>
      <s:c r="E1453" s="122" t="n"/>
    </s:row>
    <s:row r="1454" hidden="1" ht="1" customHeight="1">
      <s:c r="A1454" s="120" t="inlineStr"/>
      <s:c r="B1454" s="121" t="n"/>
      <s:c r="C1454" s="121" t="n"/>
      <s:c r="D1454" s="121" t="n"/>
      <s:c r="E1454" s="122" t="n"/>
    </s:row>
    <s:row r="1455" hidden="1" ht="1" customHeight="1">
      <s:c r="A1455" s="120" t="inlineStr"/>
      <s:c r="B1455" s="121" t="n"/>
      <s:c r="C1455" s="121" t="n"/>
      <s:c r="D1455" s="121" t="n"/>
      <s:c r="E1455" s="122" t="n"/>
    </s:row>
    <s:row r="1456" hidden="1" ht="1" customHeight="1">
      <s:c r="A1456" s="120" t="inlineStr"/>
      <s:c r="B1456" s="121" t="n"/>
      <s:c r="C1456" s="121" t="n"/>
      <s:c r="D1456" s="121" t="n"/>
      <s:c r="E1456" s="122" t="n"/>
    </s:row>
    <s:row r="1457" hidden="1" ht="1" customHeight="1">
      <s:c r="A1457" s="120" t="inlineStr"/>
      <s:c r="B1457" s="121" t="n"/>
      <s:c r="C1457" s="121" t="n"/>
      <s:c r="D1457" s="121" t="n"/>
      <s:c r="E1457" s="122" t="n"/>
    </s:row>
    <s:row r="1458" hidden="1" ht="1" customHeight="1">
      <s:c r="A1458" s="120" t="inlineStr"/>
      <s:c r="B1458" s="121" t="n"/>
      <s:c r="C1458" s="121" t="n"/>
      <s:c r="D1458" s="121" t="n"/>
      <s:c r="E1458" s="122" t="n"/>
    </s:row>
    <s:row r="1459" hidden="1" ht="1" customHeight="1">
      <s:c r="A1459" s="120" t="inlineStr"/>
      <s:c r="B1459" s="121" t="n"/>
      <s:c r="C1459" s="121" t="n"/>
      <s:c r="D1459" s="121" t="n"/>
      <s:c r="E1459" s="122" t="n"/>
    </s:row>
    <s:row r="1460" hidden="1" ht="1" customHeight="1">
      <s:c r="A1460" s="120" t="inlineStr"/>
      <s:c r="B1460" s="121" t="n"/>
      <s:c r="C1460" s="121" t="n"/>
      <s:c r="D1460" s="121" t="n"/>
      <s:c r="E1460" s="122" t="n"/>
    </s:row>
    <s:row r="1461" hidden="1" ht="1" customHeight="1">
      <s:c r="A1461" s="120" t="inlineStr"/>
      <s:c r="B1461" s="121" t="n"/>
      <s:c r="C1461" s="121" t="n"/>
      <s:c r="D1461" s="121" t="n"/>
      <s:c r="E1461" s="122" t="n"/>
    </s:row>
    <s:row r="1462" hidden="1" ht="1" customHeight="1">
      <s:c r="A1462" s="120" t="inlineStr"/>
      <s:c r="B1462" s="121" t="n"/>
      <s:c r="C1462" s="121" t="n"/>
      <s:c r="D1462" s="121" t="n"/>
      <s:c r="E1462" s="122" t="n"/>
    </s:row>
    <s:row r="1463" hidden="1" ht="1" customHeight="1">
      <s:c r="A1463" s="120" t="inlineStr"/>
      <s:c r="B1463" s="121" t="n"/>
      <s:c r="C1463" s="121" t="n"/>
      <s:c r="D1463" s="121" t="n"/>
      <s:c r="E1463" s="122" t="n"/>
    </s:row>
    <s:row r="1464" hidden="1" ht="1" customHeight="1">
      <s:c r="A1464" s="120" t="inlineStr"/>
      <s:c r="B1464" s="121" t="n"/>
      <s:c r="C1464" s="121" t="n"/>
      <s:c r="D1464" s="121" t="n"/>
      <s:c r="E1464" s="122" t="n"/>
    </s:row>
    <s:row r="1465" hidden="1" ht="1" customHeight="1">
      <s:c r="A1465" s="120" t="inlineStr"/>
      <s:c r="B1465" s="121" t="n"/>
      <s:c r="C1465" s="121" t="n"/>
      <s:c r="D1465" s="121" t="n"/>
      <s:c r="E1465" s="122" t="n"/>
    </s:row>
    <s:row r="1466" hidden="1" ht="1" customHeight="1">
      <s:c r="A1466" s="120" t="inlineStr"/>
      <s:c r="B1466" s="121" t="n"/>
      <s:c r="C1466" s="121" t="n"/>
      <s:c r="D1466" s="121" t="n"/>
      <s:c r="E1466" s="122" t="n"/>
    </s:row>
    <s:row r="1467" hidden="1" ht="1" customHeight="1">
      <s:c r="A1467" s="120" t="inlineStr"/>
      <s:c r="B1467" s="121" t="n"/>
      <s:c r="C1467" s="121" t="n"/>
      <s:c r="D1467" s="121" t="n"/>
      <s:c r="E1467" s="122" t="n"/>
    </s:row>
    <s:row r="1468" hidden="1" ht="1" customHeight="1">
      <s:c r="A1468" s="120" t="inlineStr"/>
      <s:c r="B1468" s="121" t="n"/>
      <s:c r="C1468" s="121" t="n"/>
      <s:c r="D1468" s="121" t="n"/>
      <s:c r="E1468" s="122" t="n"/>
    </s:row>
    <s:row r="1469" hidden="1" ht="1" customHeight="1">
      <s:c r="A1469" s="120" t="inlineStr"/>
      <s:c r="B1469" s="121" t="n"/>
      <s:c r="C1469" s="121" t="n"/>
      <s:c r="D1469" s="121" t="n"/>
      <s:c r="E1469" s="122" t="n"/>
    </s:row>
    <s:row r="1470" hidden="1" ht="1" customHeight="1">
      <s:c r="A1470" s="120" t="inlineStr"/>
      <s:c r="B1470" s="121" t="n"/>
      <s:c r="C1470" s="121" t="n"/>
      <s:c r="D1470" s="121" t="n"/>
      <s:c r="E1470" s="122" t="n"/>
    </s:row>
    <s:row r="1471" hidden="1" ht="1" customHeight="1">
      <s:c r="A1471" s="120" t="inlineStr"/>
      <s:c r="B1471" s="121" t="n"/>
      <s:c r="C1471" s="121" t="n"/>
      <s:c r="D1471" s="121" t="n"/>
      <s:c r="E1471" s="122" t="n"/>
    </s:row>
    <s:row r="1472" hidden="1" ht="1" customHeight="1">
      <s:c r="A1472" s="120" t="inlineStr"/>
      <s:c r="B1472" s="121" t="n"/>
      <s:c r="C1472" s="121" t="n"/>
      <s:c r="D1472" s="121" t="n"/>
      <s:c r="E1472" s="122" t="n"/>
    </s:row>
    <s:row r="1473" hidden="1" ht="1" customHeight="1">
      <s:c r="A1473" s="120" t="inlineStr"/>
      <s:c r="B1473" s="121" t="n"/>
      <s:c r="C1473" s="121" t="n"/>
      <s:c r="D1473" s="121" t="n"/>
      <s:c r="E1473" s="122" t="n"/>
    </s:row>
    <s:row r="1474" hidden="1" ht="1" customHeight="1">
      <s:c r="A1474" s="120" t="inlineStr"/>
      <s:c r="B1474" s="121" t="n"/>
      <s:c r="C1474" s="121" t="n"/>
      <s:c r="D1474" s="121" t="n"/>
      <s:c r="E1474" s="122" t="n"/>
    </s:row>
    <s:row r="1475" hidden="1" ht="1" customHeight="1">
      <s:c r="A1475" s="120" t="inlineStr"/>
      <s:c r="B1475" s="121" t="n"/>
      <s:c r="C1475" s="121" t="n"/>
      <s:c r="D1475" s="121" t="n"/>
      <s:c r="E1475" s="122" t="n"/>
    </s:row>
    <s:row r="1476" hidden="1" ht="1" customHeight="1">
      <s:c r="A1476" s="120" t="inlineStr"/>
      <s:c r="B1476" s="121" t="n"/>
      <s:c r="C1476" s="121" t="n"/>
      <s:c r="D1476" s="121" t="n"/>
      <s:c r="E1476" s="122" t="n"/>
    </s:row>
    <s:row r="1477" hidden="1" ht="1" customHeight="1">
      <s:c r="A1477" s="83" t="inlineStr">
        <s:is>
          <s:t>PASS</s:t>
        </s:is>
      </s:c>
      <s:c r="B1477" s="83">
        <s:f>SUM(IF(EXACT('Kiểm thử'!E1277,"Đạt"),1,0),IF(EXACT('Kiểm thử'!E1279,"Đạt"),1,0),IF(EXACT('Kiểm thử'!E1281,"Đạt"),1,0),IF(EXACT('Kiểm thử'!E1283,"Đạt"),1,0))</s:f>
        <s:v/>
      </s:c>
      <s:c r="C1477" s="19" t="n"/>
      <s:c r="D1477" s="19" t="n"/>
      <s:c r="E1477" s="19" t="n"/>
    </s:row>
    <s:row r="1478" hidden="1" ht="1" customHeight="1">
      <s:c r="A1478" s="83" t="inlineStr">
        <s:is>
          <s:t>FAIL</s:t>
        </s:is>
      </s:c>
      <s:c r="B1478" s="83">
        <s:f>SUM(IF(EXACT('Kiểm thử'!E1277,"Không đạt"),1,0),IF(EXACT('Kiểm thử'!E1279,"Không đạt"),1,0),IF(EXACT('Kiểm thử'!E1281,"Không đạt"),1,0),IF(EXACT('Kiểm thử'!E1283,"Không đạt"),1,0))</s:f>
        <s:v/>
      </s:c>
      <s:c r="C1478" s="19" t="n"/>
      <s:c r="D1478" s="19" t="n"/>
      <s:c r="E1478" s="19" t="n"/>
    </s:row>
    <s:row r="1479" hidden="1" ht="1" customHeight="1">
      <s:c r="A1479" s="83" t="inlineStr">
        <s:is>
          <s:t>BLOCKED</s:t>
        </s:is>
      </s:c>
      <s:c r="B1479" s="83">
        <s:f>SUM(IF(EXACT('Kiểm thử'!E1277,"Bị chặn"),1,0),IF(EXACT('Kiểm thử'!E1279,"Bị chặn"),1,0),IF(EXACT('Kiểm thử'!E1281,"Bị chặn"),1,0),IF(EXACT('Kiểm thử'!E1283,"Bị chặn"),1,0))</s:f>
        <s:v/>
      </s:c>
      <s:c r="C1479" s="19" t="n"/>
      <s:c r="D1479" s="19" t="n"/>
      <s:c r="E1479" s="19" t="n"/>
    </s:row>
    <s:row r="1480" hidden="1" ht="1" customHeight="1">
      <s:c r="A1480" s="83" t="inlineStr">
        <s:is>
          <s:t>SKIPPED</s:t>
        </s:is>
      </s:c>
      <s:c r="B1480" s="83">
        <s:f>SUM(IF(EXACT('Kiểm thử'!E1277,"Không thực hiện"),1,0),IF(EXACT('Kiểm thử'!E1279,"Không thực hiện"),1,0),IF(EXACT('Kiểm thử'!E1281,"Không thực hiện"),1,0),IF(EXACT('Kiểm thử'!E1283,"Không thực hiện"),1,0))</s:f>
        <s:v/>
      </s:c>
      <s:c r="C1480" s="19" t="n"/>
      <s:c r="D1480" s="19" t="n"/>
      <s:c r="E1480" s="19" t="n"/>
    </s:row>
    <s:row r="1481" hidden="1" ht="1" customHeight="1">
      <s:c r="A1481" s="83" t="inlineStr">
        <s:is>
          <s:t>NOT RUN</s:t>
        </s:is>
      </s:c>
      <s:c r="B1481" s="83">
        <s:f>SUM(IF(EXACT('Kiểm thử'!E1277,"Chưa thực hiện"),1,0),IF(EXACT('Kiểm thử'!E1279,"Chưa thực hiện"),1,0),IF(EXACT('Kiểm thử'!E1281,"Chưa thực hiện"),1,0),IF(EXACT('Kiểm thử'!E1283,"Chưa thực hiện"),1,0))</s:f>
        <s:v/>
      </s:c>
      <s:c r="C1481" s="19" t="n"/>
      <s:c r="D1481" s="19" t="n"/>
      <s:c r="E1481" s="19" t="n"/>
    </s:row>
    <s:row r="1482" hidden="1" ht="6" customHeight="1">
      <s:c r="A1482" s="83" t="inlineStr"/>
      <s:c r="B1482" s="19" t="n"/>
      <s:c r="C1482" s="19" t="n"/>
      <s:c r="D1482" s="19" t="n"/>
      <s:c r="E1482" s="19" t="n"/>
    </s:row>
    <s:row r="1483" ht="28" customHeight="1">
      <s:c r="A1483" s="108" t="inlineStr">
        <s:is>
          <s:t>TC-RS-DATA-004 — Xóa quy tắc không xóa dây chuyền kết quả hay điểm</s:t>
        </s:is>
      </s:c>
      <s:c r="B1483" s="111" t="n"/>
      <s:c r="C1483" s="111" t="n"/>
      <s:c r="D1483" s="111" t="n"/>
      <s:c r="E1483" s="111" t="n"/>
    </s:row>
    <s:row r="1484" ht="20" customHeight="1">
      <s:c r="A1484" s="112" t="inlineStr">
        <s:is>
          <s:t>Kết quả tình huống</s:t>
        </s:is>
      </s:c>
      <s:c r="B1484" s="113">
        <s:f>IF(SUM(IF(EXACT('Kiểm thử'!E1492,"Không đạt"),1,0))&gt;0,"Không đạt",IF(SUM(IF(EXACT('Kiểm thử'!E1492,"Đạt"),1,0))=1,"Đạt",IF(SUM(IF(EXACT('Kiểm thử'!E1492,"Không thực hiện"),1,0))=1,"Không thực hiện",IF(SUM(IF(EXACT('Kiểm thử'!E1492,"Bị chặn"),1,0))&gt;0,"Bị chặn",IF(SUM(IF(EXACT('Kiểm thử'!E1492,"Chưa thực hiện"),1,0))=1,"Chưa thực hiện","Đang thực hiện")))))</s:f>
        <s:v/>
      </s:c>
      <s:c r="C1484" s="114" t="n"/>
      <s:c r="D1484" s="114" t="n"/>
      <s:c r="E1484" s="114" t="n"/>
    </s:row>
    <s:row r="1485" ht="20" customHeight="1">
      <s:c r="A1485" s="112" t="inlineStr">
        <s:is>
          <s:t>Màn hình / chức năng</s:t>
        </s:is>
      </s:c>
      <s:c r="B1485" s="113" t="inlineStr">
        <s:is>
          <s:r>
            <s:rPr>
              <s:b val="1"/>
            </s:rPr>
            <s:t>Thiết lập điểm đỏ（赤点設定）</s:t>
          </s:r>
        </s:is>
      </s:c>
      <s:c r="C1485" s="28" t="n"/>
      <s:c r="D1485" s="28" t="n"/>
      <s:c r="E1485" s="28" t="n"/>
    </s:row>
    <s:row r="1486" ht="34" customHeight="1">
      <s:c r="A1486" s="112" t="inlineStr">
        <s:is>
          <s:t>Cấu hình</s:t>
        </s:is>
      </s:c>
      <s:c r="B1486" s="113" t="inlineStr">
        <s:is>
          <s:t>• Quy tắc “Cố định 30” (dưới 30);
• S01 Đỏ.</s:t>
        </s:is>
      </s:c>
      <s:c r="C1486" s="28" t="n"/>
      <s:c r="D1486" s="28" t="n"/>
      <s:c r="E1486" s="28" t="n"/>
    </s:row>
    <s:row r="1487" ht="34" customHeight="1">
      <s:c r="A1487" s="112" t="inlineStr">
        <s:is>
          <s:t>Dữ liệu test</s:t>
        </s:is>
      </s:c>
      <s:c r="B1487" s="113" t="inlineStr">
        <s:is>
          <s:t>• Quy tắc “Cố định 30” (dưới 30);
• Học sinh S01 (điểm 29)</s:t>
        </s:is>
      </s:c>
      <s:c r="C1487" s="28" t="n"/>
      <s:c r="D1487" s="28" t="n"/>
      <s:c r="E1487" s="28" t="n"/>
    </s:row>
    <s:row r="1488" ht="20" customHeight="1">
      <s:c r="A1488" s="112" t="inlineStr">
        <s:is>
          <s:t>Bước 1</s:t>
        </s:is>
      </s:c>
      <s:c r="B1488" s="113" t="inlineStr">
        <s:is>
          <s:t>Xóa quy tắc “Cố định 30” (dưới 30).</s:t>
        </s:is>
      </s:c>
      <s:c r="C1488" s="28" t="n"/>
      <s:c r="D1488" s="28" t="n"/>
      <s:c r="E1488" s="28" t="n"/>
    </s:row>
    <s:row r="1489" ht="20" customHeight="1">
      <s:c r="A1489" s="112" t="inlineStr">
        <s:is>
          <s:t>Bước 2</s:t>
        </s:is>
      </s:c>
      <s:c r="B1489" s="113" t="inlineStr">
        <s:is>
          <s:t>SELECT kết quả và điểm của S01.</s:t>
        </s:is>
      </s:c>
      <s:c r="C1489" s="28" t="n"/>
      <s:c r="D1489" s="28" t="n"/>
      <s:c r="E1489" s="28" t="n"/>
    </s:row>
    <s:row r="1490" ht="28" customHeight="1">
      <s:c r="A1490" s="115" t="inlineStr">
        <s:is>
          <s:t>Trường hợp</s:t>
        </s:is>
      </s:c>
      <s:c r="B1490" s="115" t="inlineStr">
        <s:is>
          <s:t>Dữ liệu / thao tác riêng</s:t>
        </s:is>
      </s:c>
      <s:c r="C1490" s="115" t="inlineStr">
        <s:is>
          <s:t>Kết quả mong đợi</s:t>
        </s:is>
      </s:c>
      <s:c r="D1490" s="115" t="inlineStr">
        <s:is>
          <s:t>Kết quả thực tế</s:t>
        </s:is>
      </s:c>
      <s:c r="E1490" s="115" t="inlineStr">
        <s:is>
          <s:t>Đánh giá</s:t>
        </s:is>
      </s:c>
    </s:row>
    <s:row r="1491" ht="3" customHeight="1">
      <s:c r="A1491" s="102" t="inlineStr"/>
      <s:c r="B1491" s="99" t="n"/>
      <s:c r="C1491" s="99" t="n"/>
      <s:c r="D1491" s="116" t="n"/>
      <s:c r="E1491" s="116" t="n"/>
    </s:row>
    <s:row r="1492" ht="62" customHeight="1">
      <s:c r="A1492" s="83" t="inlineStr">
        <s:is>
          <s:t>Trường hợp cơ bản (Base)</s:t>
        </s:is>
      </s:c>
      <s:c r="B1492" s="83" t="inlineStr">
        <s:is>
          <s:t>Toàn bộ tình huống: Thực hiện đủ các bước chung theo thứ tự; kiểm cả đối tượng đích và đối chứng cùng fixture, không bỏ bước.</s:t>
        </s:is>
      </s:c>
      <s:c r="C1492" s="83" t="inlineStr">
        <s:is>
          <s:t>Kết quả S01 vẫn còn; điểm 29 giữ nguyên.</s:t>
        </s:is>
      </s:c>
      <s:c r="D1492" s="117" t="inlineStr"/>
      <s:c r="E1492" s="118" t="inlineStr">
        <s:is>
          <s:t>Chưa thực hiện</s:t>
        </s:is>
      </s:c>
    </s:row>
    <s:row r="1493" ht="20" customHeight="1">
      <s:c r="A1493" s="119" t="inlineStr">
        <s:is>
          <s:t>Ảnh minh chứng — Chưa có ảnh</s:t>
        </s:is>
      </s:c>
      <s:c r="B1493" s="19" t="n"/>
      <s:c r="C1493" s="19" t="n"/>
      <s:c r="D1493" s="19" t="n"/>
      <s:c r="E1493" s="19" t="n"/>
    </s:row>
    <s:row r="1494" hidden="1" ht="1" customHeight="1">
      <s:c r="A1494" s="120" t="inlineStr"/>
      <s:c r="B1494" s="121" t="n"/>
      <s:c r="C1494" s="121" t="n"/>
      <s:c r="D1494" s="121" t="n"/>
      <s:c r="E1494" s="122" t="n"/>
    </s:row>
    <s:row r="1495" hidden="1" ht="1" customHeight="1">
      <s:c r="A1495" s="120" t="inlineStr"/>
      <s:c r="B1495" s="121" t="n"/>
      <s:c r="C1495" s="121" t="n"/>
      <s:c r="D1495" s="121" t="n"/>
      <s:c r="E1495" s="122" t="n"/>
    </s:row>
    <s:row r="1496" hidden="1" ht="1" customHeight="1">
      <s:c r="A1496" s="120" t="inlineStr"/>
      <s:c r="B1496" s="121" t="n"/>
      <s:c r="C1496" s="121" t="n"/>
      <s:c r="D1496" s="121" t="n"/>
      <s:c r="E1496" s="122" t="n"/>
    </s:row>
    <s:row r="1497" hidden="1" ht="1" customHeight="1">
      <s:c r="A1497" s="120" t="inlineStr"/>
      <s:c r="B1497" s="121" t="n"/>
      <s:c r="C1497" s="121" t="n"/>
      <s:c r="D1497" s="121" t="n"/>
      <s:c r="E1497" s="122" t="n"/>
    </s:row>
    <s:row r="1498" hidden="1" ht="1" customHeight="1">
      <s:c r="A1498" s="120" t="inlineStr"/>
      <s:c r="B1498" s="121" t="n"/>
      <s:c r="C1498" s="121" t="n"/>
      <s:c r="D1498" s="121" t="n"/>
      <s:c r="E1498" s="122" t="n"/>
    </s:row>
    <s:row r="1499" hidden="1" ht="1" customHeight="1">
      <s:c r="A1499" s="120" t="inlineStr"/>
      <s:c r="B1499" s="121" t="n"/>
      <s:c r="C1499" s="121" t="n"/>
      <s:c r="D1499" s="121" t="n"/>
      <s:c r="E1499" s="122" t="n"/>
    </s:row>
    <s:row r="1500" hidden="1" ht="1" customHeight="1">
      <s:c r="A1500" s="120" t="inlineStr"/>
      <s:c r="B1500" s="121" t="n"/>
      <s:c r="C1500" s="121" t="n"/>
      <s:c r="D1500" s="121" t="n"/>
      <s:c r="E1500" s="122" t="n"/>
    </s:row>
    <s:row r="1501" hidden="1" ht="1" customHeight="1">
      <s:c r="A1501" s="120" t="inlineStr"/>
      <s:c r="B1501" s="121" t="n"/>
      <s:c r="C1501" s="121" t="n"/>
      <s:c r="D1501" s="121" t="n"/>
      <s:c r="E1501" s="122" t="n"/>
    </s:row>
    <s:row r="1502" hidden="1" ht="1" customHeight="1">
      <s:c r="A1502" s="120" t="inlineStr"/>
      <s:c r="B1502" s="121" t="n"/>
      <s:c r="C1502" s="121" t="n"/>
      <s:c r="D1502" s="121" t="n"/>
      <s:c r="E1502" s="122" t="n"/>
    </s:row>
    <s:row r="1503" hidden="1" ht="1" customHeight="1">
      <s:c r="A1503" s="120" t="inlineStr"/>
      <s:c r="B1503" s="121" t="n"/>
      <s:c r="C1503" s="121" t="n"/>
      <s:c r="D1503" s="121" t="n"/>
      <s:c r="E1503" s="122" t="n"/>
    </s:row>
    <s:row r="1504" hidden="1" ht="1" customHeight="1">
      <s:c r="A1504" s="120" t="inlineStr"/>
      <s:c r="B1504" s="121" t="n"/>
      <s:c r="C1504" s="121" t="n"/>
      <s:c r="D1504" s="121" t="n"/>
      <s:c r="E1504" s="122" t="n"/>
    </s:row>
    <s:row r="1505" hidden="1" ht="1" customHeight="1">
      <s:c r="A1505" s="120" t="inlineStr"/>
      <s:c r="B1505" s="121" t="n"/>
      <s:c r="C1505" s="121" t="n"/>
      <s:c r="D1505" s="121" t="n"/>
      <s:c r="E1505" s="122" t="n"/>
    </s:row>
    <s:row r="1506" hidden="1" ht="1" customHeight="1">
      <s:c r="A1506" s="120" t="inlineStr"/>
      <s:c r="B1506" s="121" t="n"/>
      <s:c r="C1506" s="121" t="n"/>
      <s:c r="D1506" s="121" t="n"/>
      <s:c r="E1506" s="122" t="n"/>
    </s:row>
    <s:row r="1507" hidden="1" ht="1" customHeight="1">
      <s:c r="A1507" s="120" t="inlineStr"/>
      <s:c r="B1507" s="121" t="n"/>
      <s:c r="C1507" s="121" t="n"/>
      <s:c r="D1507" s="121" t="n"/>
      <s:c r="E1507" s="122" t="n"/>
    </s:row>
    <s:row r="1508" hidden="1" ht="1" customHeight="1">
      <s:c r="A1508" s="120" t="inlineStr"/>
      <s:c r="B1508" s="121" t="n"/>
      <s:c r="C1508" s="121" t="n"/>
      <s:c r="D1508" s="121" t="n"/>
      <s:c r="E1508" s="122" t="n"/>
    </s:row>
    <s:row r="1509" hidden="1" ht="1" customHeight="1">
      <s:c r="A1509" s="120" t="inlineStr"/>
      <s:c r="B1509" s="121" t="n"/>
      <s:c r="C1509" s="121" t="n"/>
      <s:c r="D1509" s="121" t="n"/>
      <s:c r="E1509" s="122" t="n"/>
    </s:row>
    <s:row r="1510" hidden="1" ht="1" customHeight="1">
      <s:c r="A1510" s="120" t="inlineStr"/>
      <s:c r="B1510" s="121" t="n"/>
      <s:c r="C1510" s="121" t="n"/>
      <s:c r="D1510" s="121" t="n"/>
      <s:c r="E1510" s="122" t="n"/>
    </s:row>
    <s:row r="1511" hidden="1" ht="1" customHeight="1">
      <s:c r="A1511" s="120" t="inlineStr"/>
      <s:c r="B1511" s="121" t="n"/>
      <s:c r="C1511" s="121" t="n"/>
      <s:c r="D1511" s="121" t="n"/>
      <s:c r="E1511" s="122" t="n"/>
    </s:row>
    <s:row r="1512" hidden="1" ht="1" customHeight="1">
      <s:c r="A1512" s="120" t="inlineStr"/>
      <s:c r="B1512" s="121" t="n"/>
      <s:c r="C1512" s="121" t="n"/>
      <s:c r="D1512" s="121" t="n"/>
      <s:c r="E1512" s="122" t="n"/>
    </s:row>
    <s:row r="1513" hidden="1" ht="1" customHeight="1">
      <s:c r="A1513" s="120" t="inlineStr"/>
      <s:c r="B1513" s="121" t="n"/>
      <s:c r="C1513" s="121" t="n"/>
      <s:c r="D1513" s="121" t="n"/>
      <s:c r="E1513" s="122" t="n"/>
    </s:row>
    <s:row r="1514" hidden="1" ht="1" customHeight="1">
      <s:c r="A1514" s="120" t="inlineStr"/>
      <s:c r="B1514" s="121" t="n"/>
      <s:c r="C1514" s="121" t="n"/>
      <s:c r="D1514" s="121" t="n"/>
      <s:c r="E1514" s="122" t="n"/>
    </s:row>
    <s:row r="1515" hidden="1" ht="1" customHeight="1">
      <s:c r="A1515" s="120" t="inlineStr"/>
      <s:c r="B1515" s="121" t="n"/>
      <s:c r="C1515" s="121" t="n"/>
      <s:c r="D1515" s="121" t="n"/>
      <s:c r="E1515" s="122" t="n"/>
    </s:row>
    <s:row r="1516" hidden="1" ht="1" customHeight="1">
      <s:c r="A1516" s="120" t="inlineStr"/>
      <s:c r="B1516" s="121" t="n"/>
      <s:c r="C1516" s="121" t="n"/>
      <s:c r="D1516" s="121" t="n"/>
      <s:c r="E1516" s="122" t="n"/>
    </s:row>
    <s:row r="1517" hidden="1" ht="1" customHeight="1">
      <s:c r="A1517" s="120" t="inlineStr"/>
      <s:c r="B1517" s="121" t="n"/>
      <s:c r="C1517" s="121" t="n"/>
      <s:c r="D1517" s="121" t="n"/>
      <s:c r="E1517" s="122" t="n"/>
    </s:row>
    <s:row r="1518" hidden="1" ht="1" customHeight="1">
      <s:c r="A1518" s="120" t="inlineStr"/>
      <s:c r="B1518" s="121" t="n"/>
      <s:c r="C1518" s="121" t="n"/>
      <s:c r="D1518" s="121" t="n"/>
      <s:c r="E1518" s="122" t="n"/>
    </s:row>
    <s:row r="1519" hidden="1" ht="1" customHeight="1">
      <s:c r="A1519" s="120" t="inlineStr"/>
      <s:c r="B1519" s="121" t="n"/>
      <s:c r="C1519" s="121" t="n"/>
      <s:c r="D1519" s="121" t="n"/>
      <s:c r="E1519" s="122" t="n"/>
    </s:row>
    <s:row r="1520" hidden="1" ht="1" customHeight="1">
      <s:c r="A1520" s="120" t="inlineStr"/>
      <s:c r="B1520" s="121" t="n"/>
      <s:c r="C1520" s="121" t="n"/>
      <s:c r="D1520" s="121" t="n"/>
      <s:c r="E1520" s="122" t="n"/>
    </s:row>
    <s:row r="1521" hidden="1" ht="1" customHeight="1">
      <s:c r="A1521" s="120" t="inlineStr"/>
      <s:c r="B1521" s="121" t="n"/>
      <s:c r="C1521" s="121" t="n"/>
      <s:c r="D1521" s="121" t="n"/>
      <s:c r="E1521" s="122" t="n"/>
    </s:row>
    <s:row r="1522" hidden="1" ht="1" customHeight="1">
      <s:c r="A1522" s="120" t="inlineStr"/>
      <s:c r="B1522" s="121" t="n"/>
      <s:c r="C1522" s="121" t="n"/>
      <s:c r="D1522" s="121" t="n"/>
      <s:c r="E1522" s="122" t="n"/>
    </s:row>
    <s:row r="1523" hidden="1" ht="1" customHeight="1">
      <s:c r="A1523" s="120" t="inlineStr"/>
      <s:c r="B1523" s="121" t="n"/>
      <s:c r="C1523" s="121" t="n"/>
      <s:c r="D1523" s="121" t="n"/>
      <s:c r="E1523" s="122" t="n"/>
    </s:row>
    <s:row r="1524" hidden="1" ht="1" customHeight="1">
      <s:c r="A1524" s="120" t="inlineStr"/>
      <s:c r="B1524" s="121" t="n"/>
      <s:c r="C1524" s="121" t="n"/>
      <s:c r="D1524" s="121" t="n"/>
      <s:c r="E1524" s="122" t="n"/>
    </s:row>
    <s:row r="1525" hidden="1" ht="1" customHeight="1">
      <s:c r="A1525" s="120" t="inlineStr"/>
      <s:c r="B1525" s="121" t="n"/>
      <s:c r="C1525" s="121" t="n"/>
      <s:c r="D1525" s="121" t="n"/>
      <s:c r="E1525" s="122" t="n"/>
    </s:row>
    <s:row r="1526" hidden="1" ht="1" customHeight="1">
      <s:c r="A1526" s="120" t="inlineStr"/>
      <s:c r="B1526" s="121" t="n"/>
      <s:c r="C1526" s="121" t="n"/>
      <s:c r="D1526" s="121" t="n"/>
      <s:c r="E1526" s="122" t="n"/>
    </s:row>
    <s:row r="1527" hidden="1" ht="1" customHeight="1">
      <s:c r="A1527" s="120" t="inlineStr"/>
      <s:c r="B1527" s="121" t="n"/>
      <s:c r="C1527" s="121" t="n"/>
      <s:c r="D1527" s="121" t="n"/>
      <s:c r="E1527" s="122" t="n"/>
    </s:row>
    <s:row r="1528" hidden="1" ht="1" customHeight="1">
      <s:c r="A1528" s="120" t="inlineStr"/>
      <s:c r="B1528" s="121" t="n"/>
      <s:c r="C1528" s="121" t="n"/>
      <s:c r="D1528" s="121" t="n"/>
      <s:c r="E1528" s="122" t="n"/>
    </s:row>
    <s:row r="1529" hidden="1" ht="1" customHeight="1">
      <s:c r="A1529" s="120" t="inlineStr"/>
      <s:c r="B1529" s="121" t="n"/>
      <s:c r="C1529" s="121" t="n"/>
      <s:c r="D1529" s="121" t="n"/>
      <s:c r="E1529" s="122" t="n"/>
    </s:row>
    <s:row r="1530" hidden="1" ht="1" customHeight="1">
      <s:c r="A1530" s="120" t="inlineStr"/>
      <s:c r="B1530" s="121" t="n"/>
      <s:c r="C1530" s="121" t="n"/>
      <s:c r="D1530" s="121" t="n"/>
      <s:c r="E1530" s="122" t="n"/>
    </s:row>
    <s:row r="1531" hidden="1" ht="1" customHeight="1">
      <s:c r="A1531" s="120" t="inlineStr"/>
      <s:c r="B1531" s="121" t="n"/>
      <s:c r="C1531" s="121" t="n"/>
      <s:c r="D1531" s="121" t="n"/>
      <s:c r="E1531" s="122" t="n"/>
    </s:row>
    <s:row r="1532" hidden="1" ht="1" customHeight="1">
      <s:c r="A1532" s="120" t="inlineStr"/>
      <s:c r="B1532" s="121" t="n"/>
      <s:c r="C1532" s="121" t="n"/>
      <s:c r="D1532" s="121" t="n"/>
      <s:c r="E1532" s="122" t="n"/>
    </s:row>
    <s:row r="1533" hidden="1" ht="1" customHeight="1">
      <s:c r="A1533" s="120" t="inlineStr"/>
      <s:c r="B1533" s="121" t="n"/>
      <s:c r="C1533" s="121" t="n"/>
      <s:c r="D1533" s="121" t="n"/>
      <s:c r="E1533" s="122" t="n"/>
    </s:row>
    <s:row r="1534" hidden="1" ht="1" customHeight="1">
      <s:c r="A1534" s="120" t="inlineStr"/>
      <s:c r="B1534" s="121" t="n"/>
      <s:c r="C1534" s="121" t="n"/>
      <s:c r="D1534" s="121" t="n"/>
      <s:c r="E1534" s="122" t="n"/>
    </s:row>
    <s:row r="1535" hidden="1" ht="1" customHeight="1">
      <s:c r="A1535" s="120" t="inlineStr"/>
      <s:c r="B1535" s="121" t="n"/>
      <s:c r="C1535" s="121" t="n"/>
      <s:c r="D1535" s="121" t="n"/>
      <s:c r="E1535" s="122" t="n"/>
    </s:row>
    <s:row r="1536" hidden="1" ht="1" customHeight="1">
      <s:c r="A1536" s="120" t="inlineStr"/>
      <s:c r="B1536" s="121" t="n"/>
      <s:c r="C1536" s="121" t="n"/>
      <s:c r="D1536" s="121" t="n"/>
      <s:c r="E1536" s="122" t="n"/>
    </s:row>
    <s:row r="1537" hidden="1" ht="1" customHeight="1">
      <s:c r="A1537" s="120" t="inlineStr"/>
      <s:c r="B1537" s="121" t="n"/>
      <s:c r="C1537" s="121" t="n"/>
      <s:c r="D1537" s="121" t="n"/>
      <s:c r="E1537" s="122" t="n"/>
    </s:row>
    <s:row r="1538" hidden="1" ht="1" customHeight="1">
      <s:c r="A1538" s="120" t="inlineStr"/>
      <s:c r="B1538" s="121" t="n"/>
      <s:c r="C1538" s="121" t="n"/>
      <s:c r="D1538" s="121" t="n"/>
      <s:c r="E1538" s="122" t="n"/>
    </s:row>
    <s:row r="1539" hidden="1" ht="1" customHeight="1">
      <s:c r="A1539" s="120" t="inlineStr"/>
      <s:c r="B1539" s="121" t="n"/>
      <s:c r="C1539" s="121" t="n"/>
      <s:c r="D1539" s="121" t="n"/>
      <s:c r="E1539" s="122" t="n"/>
    </s:row>
    <s:row r="1540" hidden="1" ht="1" customHeight="1">
      <s:c r="A1540" s="120" t="inlineStr"/>
      <s:c r="B1540" s="121" t="n"/>
      <s:c r="C1540" s="121" t="n"/>
      <s:c r="D1540" s="121" t="n"/>
      <s:c r="E1540" s="122" t="n"/>
    </s:row>
    <s:row r="1541" hidden="1" ht="1" customHeight="1">
      <s:c r="A1541" s="120" t="inlineStr"/>
      <s:c r="B1541" s="121" t="n"/>
      <s:c r="C1541" s="121" t="n"/>
      <s:c r="D1541" s="121" t="n"/>
      <s:c r="E1541" s="122" t="n"/>
    </s:row>
    <s:row r="1542" hidden="1" ht="1" customHeight="1">
      <s:c r="A1542" s="83" t="inlineStr">
        <s:is>
          <s:t>PASS</s:t>
        </s:is>
      </s:c>
      <s:c r="B1542" s="83">
        <s:f>SUM(IF(EXACT('Kiểm thử'!E1492,"Đạt"),1,0))</s:f>
        <s:v/>
      </s:c>
      <s:c r="C1542" s="19" t="n"/>
      <s:c r="D1542" s="19" t="n"/>
      <s:c r="E1542" s="19" t="n"/>
    </s:row>
    <s:row r="1543" hidden="1" ht="1" customHeight="1">
      <s:c r="A1543" s="83" t="inlineStr">
        <s:is>
          <s:t>FAIL</s:t>
        </s:is>
      </s:c>
      <s:c r="B1543" s="83">
        <s:f>SUM(IF(EXACT('Kiểm thử'!E1492,"Không đạt"),1,0))</s:f>
        <s:v/>
      </s:c>
      <s:c r="C1543" s="19" t="n"/>
      <s:c r="D1543" s="19" t="n"/>
      <s:c r="E1543" s="19" t="n"/>
    </s:row>
    <s:row r="1544" hidden="1" ht="1" customHeight="1">
      <s:c r="A1544" s="83" t="inlineStr">
        <s:is>
          <s:t>BLOCKED</s:t>
        </s:is>
      </s:c>
      <s:c r="B1544" s="83">
        <s:f>SUM(IF(EXACT('Kiểm thử'!E1492,"Bị chặn"),1,0))</s:f>
        <s:v/>
      </s:c>
      <s:c r="C1544" s="19" t="n"/>
      <s:c r="D1544" s="19" t="n"/>
      <s:c r="E1544" s="19" t="n"/>
    </s:row>
    <s:row r="1545" hidden="1" ht="1" customHeight="1">
      <s:c r="A1545" s="83" t="inlineStr">
        <s:is>
          <s:t>SKIPPED</s:t>
        </s:is>
      </s:c>
      <s:c r="B1545" s="83">
        <s:f>SUM(IF(EXACT('Kiểm thử'!E1492,"Không thực hiện"),1,0))</s:f>
        <s:v/>
      </s:c>
      <s:c r="C1545" s="19" t="n"/>
      <s:c r="D1545" s="19" t="n"/>
      <s:c r="E1545" s="19" t="n"/>
    </s:row>
    <s:row r="1546" hidden="1" ht="1" customHeight="1">
      <s:c r="A1546" s="83" t="inlineStr">
        <s:is>
          <s:t>NOT RUN</s:t>
        </s:is>
      </s:c>
      <s:c r="B1546" s="83">
        <s:f>SUM(IF(EXACT('Kiểm thử'!E1492,"Chưa thực hiện"),1,0))</s:f>
        <s:v/>
      </s:c>
      <s:c r="C1546" s="19" t="n"/>
      <s:c r="D1546" s="19" t="n"/>
      <s:c r="E1546" s="19" t="n"/>
    </s:row>
    <s:row r="1547" hidden="1" ht="6" customHeight="1">
      <s:c r="A1547" s="83" t="inlineStr"/>
      <s:c r="B1547" s="19" t="n"/>
      <s:c r="C1547" s="19" t="n"/>
      <s:c r="D1547" s="19" t="n"/>
      <s:c r="E1547" s="19" t="n"/>
    </s:row>
    <s:row r="1548" ht="28" customHeight="1">
      <s:c r="A1548" s="108" t="inlineStr">
        <s:is>
          <s:t>TC-RS-UI-001 — Nhãn trạng thái ở hàng Thiết lập điểm đỏ（赤点設定） trong Thiết lập ô nhập（入力欄設定）</s:t>
        </s:is>
      </s:c>
      <s:c r="B1548" s="111" t="n"/>
      <s:c r="C1548" s="111" t="n"/>
      <s:c r="D1548" s="111" t="n"/>
      <s:c r="E1548" s="111" t="n"/>
    </s:row>
    <s:row r="1549" ht="20" customHeight="1">
      <s:c r="A1549" s="112" t="inlineStr">
        <s:is>
          <s:t>Kết quả tình huống</s:t>
        </s:is>
      </s:c>
      <s:c r="B1549" s="113">
        <s:f>IF(SUM(IF(EXACT('Kiểm thử'!E1557,"Không đạt"),1,0))&gt;0,"Không đạt",IF(SUM(IF(EXACT('Kiểm thử'!E1557,"Đạt"),1,0))=1,"Đạt",IF(SUM(IF(EXACT('Kiểm thử'!E1557,"Không thực hiện"),1,0))=1,"Không thực hiện",IF(SUM(IF(EXACT('Kiểm thử'!E1557,"Bị chặn"),1,0))&gt;0,"Bị chặn",IF(SUM(IF(EXACT('Kiểm thử'!E1557,"Chưa thực hiện"),1,0))=1,"Chưa thực hiện","Đang thực hiện")))))</s:f>
        <s:v/>
      </s:c>
      <s:c r="C1549" s="114" t="n"/>
      <s:c r="D1549" s="114" t="n"/>
      <s:c r="E1549" s="114" t="n"/>
    </s:row>
    <s:row r="1550" ht="20" customHeight="1">
      <s:c r="A1550" s="112" t="inlineStr">
        <s:is>
          <s:t>Màn hình / chức năng</s:t>
        </s:is>
      </s:c>
      <s:c r="B1550" s="113" t="inlineStr">
        <s:is>
          <s:r>
            <s:rPr>
              <s:b val="1"/>
            </s:rPr>
            <s:t>Thiết lập điểm đỏ（赤点設定）</s:t>
          </s:r>
        </s:is>
      </s:c>
      <s:c r="C1550" s="28" t="n"/>
      <s:c r="D1550" s="28" t="n"/>
      <s:c r="E1550" s="28" t="n"/>
    </s:row>
    <s:row r="1551" ht="48" customHeight="1">
      <s:c r="A1551" s="112" t="inlineStr">
        <s:is>
          <s:t>Cấu hình</s:t>
        </s:is>
      </s:c>
      <s:c r="B1551" s="113" t="inlineStr">
        <s:is>
          <s:r>
            <s:t>• Mục số nguyên (</s:t>
          </s:r>
          <s:r>
            <s:rPr>
              <s:b val="1"/>
            </s:rPr>
            <s:t>M=100</s:t>
          </s:r>
          <s:r>
            <s:t>) chưa có quy tắc;
• Mục số thập phân (</s:t>
          </s:r>
          <s:r>
            <s:rPr>
              <s:b val="1"/>
            </s:rPr>
            <s:t>M=100</s:t>
          </s:r>
          <s:r>
            <s:t>) có quy tắc;
• Mục kiểu lựa chọn A/B/C là mục lựa chọn. tài khoản giáo viên có quyền sửa mục.</s:t>
          </s:r>
        </s:is>
      </s:c>
      <s:c r="C1551" s="28" t="n"/>
      <s:c r="D1551" s="28" t="n"/>
      <s:c r="E1551" s="28" t="n"/>
    </s:row>
    <s:row r="1552" ht="20" customHeight="1">
      <s:c r="A1552" s="112" t="inlineStr">
        <s:is>
          <s:t>Dữ liệu test</s:t>
        </s:is>
      </s:c>
      <s:c r="B1552" s="113" t="inlineStr">
        <s:is>
          <s:r>
            <s:t>• Mục số nguyên (</s:t>
          </s:r>
          <s:r>
            <s:rPr>
              <s:b val="1"/>
            </s:rPr>
            <s:t>M=100</s:t>
          </s:r>
          <s:r>
            <s:t>), mục số thập phân (</s:t>
          </s:r>
          <s:r>
            <s:rPr>
              <s:b val="1"/>
            </s:rPr>
            <s:t>M=100</s:t>
          </s:r>
          <s:r>
            <s:t>), mục kiểu lựa chọn A/B/C</s:t>
          </s:r>
        </s:is>
      </s:c>
      <s:c r="C1552" s="28" t="n"/>
      <s:c r="D1552" s="28" t="n"/>
      <s:c r="E1552" s="28" t="n"/>
    </s:row>
    <s:row r="1553" ht="20" customHeight="1">
      <s:c r="A1553" s="112" t="inlineStr">
        <s:is>
          <s:t>Bước 1</s:t>
        </s:is>
      </s:c>
      <s:c r="B1553" s="113" t="inlineStr">
        <s:is>
          <s:r>
            <s:t xml:space="preserve">Mở </s:t>
          </s:r>
          <s:r>
            <s:rPr>
              <s:b val="1"/>
            </s:rPr>
            <s:t>Thiết lập ô nhập（入力欄設定）</s:t>
          </s:r>
          <s:r>
            <s:t>.</s:t>
          </s:r>
        </s:is>
      </s:c>
      <s:c r="C1553" s="28" t="n"/>
      <s:c r="D1553" s="28" t="n"/>
      <s:c r="E1553" s="28" t="n"/>
    </s:row>
    <s:row r="1554" ht="20" customHeight="1">
      <s:c r="A1554" s="112" t="inlineStr">
        <s:is>
          <s:t>Bước 2</s:t>
        </s:is>
      </s:c>
      <s:c r="B1554" s="113" t="inlineStr">
        <s:is>
          <s:r>
            <s:t xml:space="preserve">Ghi lại nhãn/ký hiệu ở hàng </s:t>
          </s:r>
          <s:r>
            <s:rPr>
              <s:b val="1"/>
            </s:rPr>
            <s:t>Thiết lập điểm đỏ（赤点設定）</s:t>
          </s:r>
          <s:r>
            <s:t xml:space="preserve"> cho từng cột mục.</s:t>
          </s:r>
        </s:is>
      </s:c>
      <s:c r="C1554" s="28" t="n"/>
      <s:c r="D1554" s="28" t="n"/>
      <s:c r="E1554" s="28" t="n"/>
    </s:row>
    <s:row r="1555" ht="28" customHeight="1">
      <s:c r="A1555" s="115" t="inlineStr">
        <s:is>
          <s:t>Trường hợp</s:t>
        </s:is>
      </s:c>
      <s:c r="B1555" s="115" t="inlineStr">
        <s:is>
          <s:t>Dữ liệu / thao tác riêng</s:t>
        </s:is>
      </s:c>
      <s:c r="C1555" s="115" t="inlineStr">
        <s:is>
          <s:t>Kết quả mong đợi</s:t>
        </s:is>
      </s:c>
      <s:c r="D1555" s="115" t="inlineStr">
        <s:is>
          <s:t>Kết quả thực tế</s:t>
        </s:is>
      </s:c>
      <s:c r="E1555" s="115" t="inlineStr">
        <s:is>
          <s:t>Đánh giá</s:t>
        </s:is>
      </s:c>
    </s:row>
    <s:row r="1556" ht="3" customHeight="1">
      <s:c r="A1556" s="102" t="inlineStr"/>
      <s:c r="B1556" s="99" t="n"/>
      <s:c r="C1556" s="99" t="n"/>
      <s:c r="D1556" s="116" t="n"/>
      <s:c r="E1556" s="116" t="n"/>
    </s:row>
    <s:row r="1557" ht="118" customHeight="1">
      <s:c r="A1557" s="83" t="inlineStr">
        <s:is>
          <s:t>Trường hợp cơ bản (Base)</s:t>
        </s:is>
      </s:c>
      <s:c r="B1557" s="83" t="inlineStr">
        <s:is>
          <s:t>Toàn bộ tình huống: Thực hiện đủ các bước chung theo thứ tự; kiểm cả đối tượng đích và đối chứng cùng fixture, không bỏ bước.</s:t>
        </s:is>
      </s:c>
      <s:c r="C1557" s="83" t="inlineStr">
        <s:is>
          <s:t>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s:t>
        </s:is>
      </s:c>
      <s:c r="D1557" s="117" t="inlineStr"/>
      <s:c r="E1557" s="118" t="inlineStr">
        <s:is>
          <s:t>Chưa thực hiện</s:t>
        </s:is>
      </s:c>
    </s:row>
    <s:row r="1558" ht="20" customHeight="1">
      <s:c r="A1558" s="119" t="inlineStr">
        <s:is>
          <s:t>Ảnh minh chứng — Chưa có ảnh</s:t>
        </s:is>
      </s:c>
      <s:c r="B1558" s="19" t="n"/>
      <s:c r="C1558" s="19" t="n"/>
      <s:c r="D1558" s="19" t="n"/>
      <s:c r="E1558" s="19" t="n"/>
    </s:row>
    <s:row r="1559" hidden="1" ht="1" customHeight="1">
      <s:c r="A1559" s="120" t="inlineStr"/>
      <s:c r="B1559" s="121" t="n"/>
      <s:c r="C1559" s="121" t="n"/>
      <s:c r="D1559" s="121" t="n"/>
      <s:c r="E1559" s="122" t="n"/>
    </s:row>
    <s:row r="1560" hidden="1" ht="1" customHeight="1">
      <s:c r="A1560" s="120" t="inlineStr"/>
      <s:c r="B1560" s="121" t="n"/>
      <s:c r="C1560" s="121" t="n"/>
      <s:c r="D1560" s="121" t="n"/>
      <s:c r="E1560" s="122" t="n"/>
    </s:row>
    <s:row r="1561" hidden="1" ht="1" customHeight="1">
      <s:c r="A1561" s="120" t="inlineStr"/>
      <s:c r="B1561" s="121" t="n"/>
      <s:c r="C1561" s="121" t="n"/>
      <s:c r="D1561" s="121" t="n"/>
      <s:c r="E1561" s="122" t="n"/>
    </s:row>
    <s:row r="1562" hidden="1" ht="1" customHeight="1">
      <s:c r="A1562" s="120" t="inlineStr"/>
      <s:c r="B1562" s="121" t="n"/>
      <s:c r="C1562" s="121" t="n"/>
      <s:c r="D1562" s="121" t="n"/>
      <s:c r="E1562" s="122" t="n"/>
    </s:row>
    <s:row r="1563" hidden="1" ht="1" customHeight="1">
      <s:c r="A1563" s="120" t="inlineStr"/>
      <s:c r="B1563" s="121" t="n"/>
      <s:c r="C1563" s="121" t="n"/>
      <s:c r="D1563" s="121" t="n"/>
      <s:c r="E1563" s="122" t="n"/>
    </s:row>
    <s:row r="1564" hidden="1" ht="1" customHeight="1">
      <s:c r="A1564" s="120" t="inlineStr"/>
      <s:c r="B1564" s="121" t="n"/>
      <s:c r="C1564" s="121" t="n"/>
      <s:c r="D1564" s="121" t="n"/>
      <s:c r="E1564" s="122" t="n"/>
    </s:row>
    <s:row r="1565" hidden="1" ht="1" customHeight="1">
      <s:c r="A1565" s="120" t="inlineStr"/>
      <s:c r="B1565" s="121" t="n"/>
      <s:c r="C1565" s="121" t="n"/>
      <s:c r="D1565" s="121" t="n"/>
      <s:c r="E1565" s="122" t="n"/>
    </s:row>
    <s:row r="1566" hidden="1" ht="1" customHeight="1">
      <s:c r="A1566" s="120" t="inlineStr"/>
      <s:c r="B1566" s="121" t="n"/>
      <s:c r="C1566" s="121" t="n"/>
      <s:c r="D1566" s="121" t="n"/>
      <s:c r="E1566" s="122" t="n"/>
    </s:row>
    <s:row r="1567" hidden="1" ht="1" customHeight="1">
      <s:c r="A1567" s="120" t="inlineStr"/>
      <s:c r="B1567" s="121" t="n"/>
      <s:c r="C1567" s="121" t="n"/>
      <s:c r="D1567" s="121" t="n"/>
      <s:c r="E1567" s="122" t="n"/>
    </s:row>
    <s:row r="1568" hidden="1" ht="1" customHeight="1">
      <s:c r="A1568" s="120" t="inlineStr"/>
      <s:c r="B1568" s="121" t="n"/>
      <s:c r="C1568" s="121" t="n"/>
      <s:c r="D1568" s="121" t="n"/>
      <s:c r="E1568" s="122" t="n"/>
    </s:row>
    <s:row r="1569" hidden="1" ht="1" customHeight="1">
      <s:c r="A1569" s="120" t="inlineStr"/>
      <s:c r="B1569" s="121" t="n"/>
      <s:c r="C1569" s="121" t="n"/>
      <s:c r="D1569" s="121" t="n"/>
      <s:c r="E1569" s="122" t="n"/>
    </s:row>
    <s:row r="1570" hidden="1" ht="1" customHeight="1">
      <s:c r="A1570" s="120" t="inlineStr"/>
      <s:c r="B1570" s="121" t="n"/>
      <s:c r="C1570" s="121" t="n"/>
      <s:c r="D1570" s="121" t="n"/>
      <s:c r="E1570" s="122" t="n"/>
    </s:row>
    <s:row r="1571" hidden="1" ht="1" customHeight="1">
      <s:c r="A1571" s="120" t="inlineStr"/>
      <s:c r="B1571" s="121" t="n"/>
      <s:c r="C1571" s="121" t="n"/>
      <s:c r="D1571" s="121" t="n"/>
      <s:c r="E1571" s="122" t="n"/>
    </s:row>
    <s:row r="1572" hidden="1" ht="1" customHeight="1">
      <s:c r="A1572" s="120" t="inlineStr"/>
      <s:c r="B1572" s="121" t="n"/>
      <s:c r="C1572" s="121" t="n"/>
      <s:c r="D1572" s="121" t="n"/>
      <s:c r="E1572" s="122" t="n"/>
    </s:row>
    <s:row r="1573" hidden="1" ht="1" customHeight="1">
      <s:c r="A1573" s="120" t="inlineStr"/>
      <s:c r="B1573" s="121" t="n"/>
      <s:c r="C1573" s="121" t="n"/>
      <s:c r="D1573" s="121" t="n"/>
      <s:c r="E1573" s="122" t="n"/>
    </s:row>
    <s:row r="1574" hidden="1" ht="1" customHeight="1">
      <s:c r="A1574" s="120" t="inlineStr"/>
      <s:c r="B1574" s="121" t="n"/>
      <s:c r="C1574" s="121" t="n"/>
      <s:c r="D1574" s="121" t="n"/>
      <s:c r="E1574" s="122" t="n"/>
    </s:row>
    <s:row r="1575" hidden="1" ht="1" customHeight="1">
      <s:c r="A1575" s="120" t="inlineStr"/>
      <s:c r="B1575" s="121" t="n"/>
      <s:c r="C1575" s="121" t="n"/>
      <s:c r="D1575" s="121" t="n"/>
      <s:c r="E1575" s="122" t="n"/>
    </s:row>
    <s:row r="1576" hidden="1" ht="1" customHeight="1">
      <s:c r="A1576" s="120" t="inlineStr"/>
      <s:c r="B1576" s="121" t="n"/>
      <s:c r="C1576" s="121" t="n"/>
      <s:c r="D1576" s="121" t="n"/>
      <s:c r="E1576" s="122" t="n"/>
    </s:row>
    <s:row r="1577" hidden="1" ht="1" customHeight="1">
      <s:c r="A1577" s="120" t="inlineStr"/>
      <s:c r="B1577" s="121" t="n"/>
      <s:c r="C1577" s="121" t="n"/>
      <s:c r="D1577" s="121" t="n"/>
      <s:c r="E1577" s="122" t="n"/>
    </s:row>
    <s:row r="1578" hidden="1" ht="1" customHeight="1">
      <s:c r="A1578" s="120" t="inlineStr"/>
      <s:c r="B1578" s="121" t="n"/>
      <s:c r="C1578" s="121" t="n"/>
      <s:c r="D1578" s="121" t="n"/>
      <s:c r="E1578" s="122" t="n"/>
    </s:row>
    <s:row r="1579" hidden="1" ht="1" customHeight="1">
      <s:c r="A1579" s="120" t="inlineStr"/>
      <s:c r="B1579" s="121" t="n"/>
      <s:c r="C1579" s="121" t="n"/>
      <s:c r="D1579" s="121" t="n"/>
      <s:c r="E1579" s="122" t="n"/>
    </s:row>
    <s:row r="1580" hidden="1" ht="1" customHeight="1">
      <s:c r="A1580" s="120" t="inlineStr"/>
      <s:c r="B1580" s="121" t="n"/>
      <s:c r="C1580" s="121" t="n"/>
      <s:c r="D1580" s="121" t="n"/>
      <s:c r="E1580" s="122" t="n"/>
    </s:row>
    <s:row r="1581" hidden="1" ht="1" customHeight="1">
      <s:c r="A1581" s="120" t="inlineStr"/>
      <s:c r="B1581" s="121" t="n"/>
      <s:c r="C1581" s="121" t="n"/>
      <s:c r="D1581" s="121" t="n"/>
      <s:c r="E1581" s="122" t="n"/>
    </s:row>
    <s:row r="1582" hidden="1" ht="1" customHeight="1">
      <s:c r="A1582" s="120" t="inlineStr"/>
      <s:c r="B1582" s="121" t="n"/>
      <s:c r="C1582" s="121" t="n"/>
      <s:c r="D1582" s="121" t="n"/>
      <s:c r="E1582" s="122" t="n"/>
    </s:row>
    <s:row r="1583" hidden="1" ht="1" customHeight="1">
      <s:c r="A1583" s="120" t="inlineStr"/>
      <s:c r="B1583" s="121" t="n"/>
      <s:c r="C1583" s="121" t="n"/>
      <s:c r="D1583" s="121" t="n"/>
      <s:c r="E1583" s="122" t="n"/>
    </s:row>
    <s:row r="1584" hidden="1" ht="1" customHeight="1">
      <s:c r="A1584" s="120" t="inlineStr"/>
      <s:c r="B1584" s="121" t="n"/>
      <s:c r="C1584" s="121" t="n"/>
      <s:c r="D1584" s="121" t="n"/>
      <s:c r="E1584" s="122" t="n"/>
    </s:row>
    <s:row r="1585" hidden="1" ht="1" customHeight="1">
      <s:c r="A1585" s="120" t="inlineStr"/>
      <s:c r="B1585" s="121" t="n"/>
      <s:c r="C1585" s="121" t="n"/>
      <s:c r="D1585" s="121" t="n"/>
      <s:c r="E1585" s="122" t="n"/>
    </s:row>
    <s:row r="1586" hidden="1" ht="1" customHeight="1">
      <s:c r="A1586" s="120" t="inlineStr"/>
      <s:c r="B1586" s="121" t="n"/>
      <s:c r="C1586" s="121" t="n"/>
      <s:c r="D1586" s="121" t="n"/>
      <s:c r="E1586" s="122" t="n"/>
    </s:row>
    <s:row r="1587" hidden="1" ht="1" customHeight="1">
      <s:c r="A1587" s="120" t="inlineStr"/>
      <s:c r="B1587" s="121" t="n"/>
      <s:c r="C1587" s="121" t="n"/>
      <s:c r="D1587" s="121" t="n"/>
      <s:c r="E1587" s="122" t="n"/>
    </s:row>
    <s:row r="1588" hidden="1" ht="1" customHeight="1">
      <s:c r="A1588" s="120" t="inlineStr"/>
      <s:c r="B1588" s="121" t="n"/>
      <s:c r="C1588" s="121" t="n"/>
      <s:c r="D1588" s="121" t="n"/>
      <s:c r="E1588" s="122" t="n"/>
    </s:row>
    <s:row r="1589" hidden="1" ht="1" customHeight="1">
      <s:c r="A1589" s="120" t="inlineStr"/>
      <s:c r="B1589" s="121" t="n"/>
      <s:c r="C1589" s="121" t="n"/>
      <s:c r="D1589" s="121" t="n"/>
      <s:c r="E1589" s="122" t="n"/>
    </s:row>
    <s:row r="1590" hidden="1" ht="1" customHeight="1">
      <s:c r="A1590" s="120" t="inlineStr"/>
      <s:c r="B1590" s="121" t="n"/>
      <s:c r="C1590" s="121" t="n"/>
      <s:c r="D1590" s="121" t="n"/>
      <s:c r="E1590" s="122" t="n"/>
    </s:row>
    <s:row r="1591" hidden="1" ht="1" customHeight="1">
      <s:c r="A1591" s="120" t="inlineStr"/>
      <s:c r="B1591" s="121" t="n"/>
      <s:c r="C1591" s="121" t="n"/>
      <s:c r="D1591" s="121" t="n"/>
      <s:c r="E1591" s="122" t="n"/>
    </s:row>
    <s:row r="1592" hidden="1" ht="1" customHeight="1">
      <s:c r="A1592" s="120" t="inlineStr"/>
      <s:c r="B1592" s="121" t="n"/>
      <s:c r="C1592" s="121" t="n"/>
      <s:c r="D1592" s="121" t="n"/>
      <s:c r="E1592" s="122" t="n"/>
    </s:row>
    <s:row r="1593" hidden="1" ht="1" customHeight="1">
      <s:c r="A1593" s="120" t="inlineStr"/>
      <s:c r="B1593" s="121" t="n"/>
      <s:c r="C1593" s="121" t="n"/>
      <s:c r="D1593" s="121" t="n"/>
      <s:c r="E1593" s="122" t="n"/>
    </s:row>
    <s:row r="1594" hidden="1" ht="1" customHeight="1">
      <s:c r="A1594" s="120" t="inlineStr"/>
      <s:c r="B1594" s="121" t="n"/>
      <s:c r="C1594" s="121" t="n"/>
      <s:c r="D1594" s="121" t="n"/>
      <s:c r="E1594" s="122" t="n"/>
    </s:row>
    <s:row r="1595" hidden="1" ht="1" customHeight="1">
      <s:c r="A1595" s="120" t="inlineStr"/>
      <s:c r="B1595" s="121" t="n"/>
      <s:c r="C1595" s="121" t="n"/>
      <s:c r="D1595" s="121" t="n"/>
      <s:c r="E1595" s="122" t="n"/>
    </s:row>
    <s:row r="1596" hidden="1" ht="1" customHeight="1">
      <s:c r="A1596" s="120" t="inlineStr"/>
      <s:c r="B1596" s="121" t="n"/>
      <s:c r="C1596" s="121" t="n"/>
      <s:c r="D1596" s="121" t="n"/>
      <s:c r="E1596" s="122" t="n"/>
    </s:row>
    <s:row r="1597" hidden="1" ht="1" customHeight="1">
      <s:c r="A1597" s="120" t="inlineStr"/>
      <s:c r="B1597" s="121" t="n"/>
      <s:c r="C1597" s="121" t="n"/>
      <s:c r="D1597" s="121" t="n"/>
      <s:c r="E1597" s="122" t="n"/>
    </s:row>
    <s:row r="1598" hidden="1" ht="1" customHeight="1">
      <s:c r="A1598" s="120" t="inlineStr"/>
      <s:c r="B1598" s="121" t="n"/>
      <s:c r="C1598" s="121" t="n"/>
      <s:c r="D1598" s="121" t="n"/>
      <s:c r="E1598" s="122" t="n"/>
    </s:row>
    <s:row r="1599" hidden="1" ht="1" customHeight="1">
      <s:c r="A1599" s="120" t="inlineStr"/>
      <s:c r="B1599" s="121" t="n"/>
      <s:c r="C1599" s="121" t="n"/>
      <s:c r="D1599" s="121" t="n"/>
      <s:c r="E1599" s="122" t="n"/>
    </s:row>
    <s:row r="1600" hidden="1" ht="1" customHeight="1">
      <s:c r="A1600" s="120" t="inlineStr"/>
      <s:c r="B1600" s="121" t="n"/>
      <s:c r="C1600" s="121" t="n"/>
      <s:c r="D1600" s="121" t="n"/>
      <s:c r="E1600" s="122" t="n"/>
    </s:row>
    <s:row r="1601" hidden="1" ht="1" customHeight="1">
      <s:c r="A1601" s="120" t="inlineStr"/>
      <s:c r="B1601" s="121" t="n"/>
      <s:c r="C1601" s="121" t="n"/>
      <s:c r="D1601" s="121" t="n"/>
      <s:c r="E1601" s="122" t="n"/>
    </s:row>
    <s:row r="1602" hidden="1" ht="1" customHeight="1">
      <s:c r="A1602" s="120" t="inlineStr"/>
      <s:c r="B1602" s="121" t="n"/>
      <s:c r="C1602" s="121" t="n"/>
      <s:c r="D1602" s="121" t="n"/>
      <s:c r="E1602" s="122" t="n"/>
    </s:row>
    <s:row r="1603" hidden="1" ht="1" customHeight="1">
      <s:c r="A1603" s="120" t="inlineStr"/>
      <s:c r="B1603" s="121" t="n"/>
      <s:c r="C1603" s="121" t="n"/>
      <s:c r="D1603" s="121" t="n"/>
      <s:c r="E1603" s="122" t="n"/>
    </s:row>
    <s:row r="1604" hidden="1" ht="1" customHeight="1">
      <s:c r="A1604" s="120" t="inlineStr"/>
      <s:c r="B1604" s="121" t="n"/>
      <s:c r="C1604" s="121" t="n"/>
      <s:c r="D1604" s="121" t="n"/>
      <s:c r="E1604" s="122" t="n"/>
    </s:row>
    <s:row r="1605" hidden="1" ht="1" customHeight="1">
      <s:c r="A1605" s="120" t="inlineStr"/>
      <s:c r="B1605" s="121" t="n"/>
      <s:c r="C1605" s="121" t="n"/>
      <s:c r="D1605" s="121" t="n"/>
      <s:c r="E1605" s="122" t="n"/>
    </s:row>
    <s:row r="1606" hidden="1" ht="1" customHeight="1">
      <s:c r="A1606" s="120" t="inlineStr"/>
      <s:c r="B1606" s="121" t="n"/>
      <s:c r="C1606" s="121" t="n"/>
      <s:c r="D1606" s="121" t="n"/>
      <s:c r="E1606" s="122" t="n"/>
    </s:row>
    <s:row r="1607" hidden="1" ht="1" customHeight="1">
      <s:c r="A1607" s="83" t="inlineStr">
        <s:is>
          <s:t>PASS</s:t>
        </s:is>
      </s:c>
      <s:c r="B1607" s="83">
        <s:f>SUM(IF(EXACT('Kiểm thử'!E1557,"Đạt"),1,0))</s:f>
        <s:v/>
      </s:c>
      <s:c r="C1607" s="19" t="n"/>
      <s:c r="D1607" s="19" t="n"/>
      <s:c r="E1607" s="19" t="n"/>
    </s:row>
    <s:row r="1608" hidden="1" ht="1" customHeight="1">
      <s:c r="A1608" s="83" t="inlineStr">
        <s:is>
          <s:t>FAIL</s:t>
        </s:is>
      </s:c>
      <s:c r="B1608" s="83">
        <s:f>SUM(IF(EXACT('Kiểm thử'!E1557,"Không đạt"),1,0))</s:f>
        <s:v/>
      </s:c>
      <s:c r="C1608" s="19" t="n"/>
      <s:c r="D1608" s="19" t="n"/>
      <s:c r="E1608" s="19" t="n"/>
    </s:row>
    <s:row r="1609" hidden="1" ht="1" customHeight="1">
      <s:c r="A1609" s="83" t="inlineStr">
        <s:is>
          <s:t>BLOCKED</s:t>
        </s:is>
      </s:c>
      <s:c r="B1609" s="83">
        <s:f>SUM(IF(EXACT('Kiểm thử'!E1557,"Bị chặn"),1,0))</s:f>
        <s:v/>
      </s:c>
      <s:c r="C1609" s="19" t="n"/>
      <s:c r="D1609" s="19" t="n"/>
      <s:c r="E1609" s="19" t="n"/>
    </s:row>
    <s:row r="1610" hidden="1" ht="1" customHeight="1">
      <s:c r="A1610" s="83" t="inlineStr">
        <s:is>
          <s:t>SKIPPED</s:t>
        </s:is>
      </s:c>
      <s:c r="B1610" s="83">
        <s:f>SUM(IF(EXACT('Kiểm thử'!E1557,"Không thực hiện"),1,0))</s:f>
        <s:v/>
      </s:c>
      <s:c r="C1610" s="19" t="n"/>
      <s:c r="D1610" s="19" t="n"/>
      <s:c r="E1610" s="19" t="n"/>
    </s:row>
    <s:row r="1611" hidden="1" ht="1" customHeight="1">
      <s:c r="A1611" s="83" t="inlineStr">
        <s:is>
          <s:t>NOT RUN</s:t>
        </s:is>
      </s:c>
      <s:c r="B1611" s="83">
        <s:f>SUM(IF(EXACT('Kiểm thử'!E1557,"Chưa thực hiện"),1,0))</s:f>
        <s:v/>
      </s:c>
      <s:c r="C1611" s="19" t="n"/>
      <s:c r="D1611" s="19" t="n"/>
      <s:c r="E1611" s="19" t="n"/>
    </s:row>
    <s:row r="1612" hidden="1" ht="6" customHeight="1">
      <s:c r="A1612" s="83" t="inlineStr"/>
      <s:c r="B1612" s="19" t="n"/>
      <s:c r="C1612" s="19" t="n"/>
      <s:c r="D1612" s="19" t="n"/>
      <s:c r="E1612" s="19" t="n"/>
    </s:row>
    <s:row r="1613" ht="28" customHeight="1">
      <s:c r="A1613" s="108" t="inlineStr">
        <s:is>
          <s:t>TC-RS-UI-002 — Cấu trúc màn danh sách Thiết lập điểm đỏ（赤点設定）</s:t>
        </s:is>
      </s:c>
      <s:c r="B1613" s="111" t="n"/>
      <s:c r="C1613" s="111" t="n"/>
      <s:c r="D1613" s="111" t="n"/>
      <s:c r="E1613" s="111" t="n"/>
    </s:row>
    <s:row r="1614" ht="20" customHeight="1">
      <s:c r="A1614" s="112" t="inlineStr">
        <s:is>
          <s:t>Kết quả tình huống</s:t>
        </s:is>
      </s:c>
      <s:c r="B1614" s="113">
        <s:f>IF(SUM(IF(EXACT('Kiểm thử'!E1623,"Không đạt"),1,0))&gt;0,"Không đạt",IF(SUM(IF(EXACT('Kiểm thử'!E1623,"Đạt"),1,0))=1,"Đạt",IF(SUM(IF(EXACT('Kiểm thử'!E1623,"Không thực hiện"),1,0))=1,"Không thực hiện",IF(SUM(IF(EXACT('Kiểm thử'!E1623,"Bị chặn"),1,0))&gt;0,"Bị chặn",IF(SUM(IF(EXACT('Kiểm thử'!E1623,"Chưa thực hiện"),1,0))=1,"Chưa thực hiện","Đang thực hiện")))))</s:f>
        <s:v/>
      </s:c>
      <s:c r="C1614" s="114" t="n"/>
      <s:c r="D1614" s="114" t="n"/>
      <s:c r="E1614" s="114" t="n"/>
    </s:row>
    <s:row r="1615" ht="20" customHeight="1">
      <s:c r="A1615" s="112" t="inlineStr">
        <s:is>
          <s:t>Màn hình / chức năng</s:t>
        </s:is>
      </s:c>
      <s:c r="B1615" s="113" t="inlineStr">
        <s:is>
          <s:r>
            <s:rPr>
              <s:b val="1"/>
            </s:rPr>
            <s:t>Thiết lập điểm đỏ（赤点設定）</s:t>
          </s:r>
        </s:is>
      </s:c>
      <s:c r="C1615" s="28" t="n"/>
      <s:c r="D1615" s="28" t="n"/>
      <s:c r="E1615" s="28" t="n"/>
    </s:row>
    <s:row r="1616" ht="20" customHeight="1">
      <s:c r="A1616" s="112" t="inlineStr">
        <s:is>
          <s:t>Cấu hình</s:t>
        </s:is>
      </s:c>
      <s:c r="B1616" s="113" t="inlineStr">
        <s:is>
          <s:r>
            <s:t>• Mục số nguyên (</s:t>
          </s:r>
          <s:r>
            <s:rPr>
              <s:b val="1"/>
            </s:rPr>
            <s:t>M=100</s:t>
          </s:r>
          <s:r>
            <s:t>) có cặp quy tắc phân nhánh theo trung bình 60 (2 quy tắc).</s:t>
          </s:r>
        </s:is>
      </s:c>
      <s:c r="C1616" s="28" t="n"/>
      <s:c r="D1616" s="28" t="n"/>
      <s:c r="E1616" s="28" t="n"/>
    </s:row>
    <s:row r="1617" ht="34" customHeight="1">
      <s:c r="A1617" s="112" t="inlineStr">
        <s:is>
          <s:t>Dữ liệu test</s:t>
        </s:is>
      </s:c>
      <s:c r="B1617" s="113" t="inlineStr">
        <s:is>
          <s:r>
            <s:t>• Mục số nguyên (</s:t>
          </s:r>
          <s:r>
            <s:rPr>
              <s:b val="1"/>
            </s:rPr>
            <s:t>M=100</s:t>
          </s:r>
          <s:r>
            <s:t>);
• Cặp quy tắc phân nhánh theo trung bình 60</s:t>
          </s:r>
        </s:is>
      </s:c>
      <s:c r="C1617" s="28" t="n"/>
      <s:c r="D1617" s="28" t="n"/>
      <s:c r="E1617" s="28" t="n"/>
    </s:row>
    <s:row r="1618" ht="34" customHeight="1">
      <s:c r="A1618" s="112" t="inlineStr">
        <s:is>
          <s:t>Bước 1</s:t>
        </s:is>
      </s:c>
      <s:c r="B1618" s="113" t="inlineStr">
        <s:is>
          <s:r>
            <s:t xml:space="preserve">Mở </s:t>
          </s:r>
          <s:r>
            <s:rPr>
              <s:b val="1"/>
            </s:rPr>
            <s:t>Thiết lập nhập điểm（成績入力設定）</s:t>
          </s:r>
          <s:r>
            <s:t xml:space="preserve"> (URL ở đường dẫn các màn liên quan) → </s:t>
          </s:r>
          <s:r>
            <s:rPr>
              <s:b val="1"/>
            </s:rPr>
            <s:t>Thiết lập ô nhập（入力欄設定）</s:t>
          </s:r>
          <s:r>
            <s:t xml:space="preserve"> của kỳ Cuối </s:t>
          </s:r>
          <s:r>
            <s:rPr>
              <s:b val="1"/>
            </s:rPr>
            <s:t>kỳ học kỳ 1（1学期期末）</s:t>
          </s:r>
          <s:r>
            <s:t>.</s:t>
          </s:r>
        </s:is>
      </s:c>
      <s:c r="C1618" s="28" t="n"/>
      <s:c r="D1618" s="28" t="n"/>
      <s:c r="E1618" s="28" t="n"/>
    </s:row>
    <s:row r="1619" ht="34" customHeight="1">
      <s:c r="A1619" s="112" t="inlineStr">
        <s:is>
          <s:t>Bước 2</s:t>
        </s:is>
      </s:c>
      <s:c r="B1619" s="113" t="inlineStr">
        <s:is>
          <s:r>
            <s:t xml:space="preserve">Ở hàng </s:t>
          </s:r>
          <s:r>
            <s:rPr>
              <s:b val="1"/>
            </s:rPr>
            <s:t>Thiết lập điểm đỏ（赤点設定）</s:t>
          </s:r>
          <s:r>
            <s:t xml:space="preserve"> của cột mục số nguyên (</s:t>
          </s:r>
          <s:r>
            <s:rPr>
              <s:b val="1"/>
            </s:rPr>
            <s:t>M=100</s:t>
          </s:r>
          <s:r>
            <s:t>), bấm nút mở thiết lập (Figma: 編集 (sửa)).</s:t>
          </s:r>
        </s:is>
      </s:c>
      <s:c r="C1619" s="28" t="n"/>
      <s:c r="D1619" s="28" t="n"/>
      <s:c r="E1619" s="28" t="n"/>
    </s:row>
    <s:row r="1620" ht="20" customHeight="1">
      <s:c r="A1620" s="112" t="inlineStr">
        <s:is>
          <s:t>Bước 3</s:t>
        </s:is>
      </s:c>
      <s:c r="B1620" s="113" t="inlineStr">
        <s:is>
          <s:t>Trên màn danh sách, đối chiếu lần lượt các mục a–g ở Expected Result.</s:t>
        </s:is>
      </s:c>
      <s:c r="C1620" s="28" t="n"/>
      <s:c r="D1620" s="28" t="n"/>
      <s:c r="E1620" s="28" t="n"/>
    </s:row>
    <s:row r="1621" ht="28" customHeight="1">
      <s:c r="A1621" s="115" t="inlineStr">
        <s:is>
          <s:t>Trường hợp</s:t>
        </s:is>
      </s:c>
      <s:c r="B1621" s="115" t="inlineStr">
        <s:is>
          <s:t>Dữ liệu / thao tác riêng</s:t>
        </s:is>
      </s:c>
      <s:c r="C1621" s="115" t="inlineStr">
        <s:is>
          <s:t>Kết quả mong đợi</s:t>
        </s:is>
      </s:c>
      <s:c r="D1621" s="115" t="inlineStr">
        <s:is>
          <s:t>Kết quả thực tế</s:t>
        </s:is>
      </s:c>
      <s:c r="E1621" s="115" t="inlineStr">
        <s:is>
          <s:t>Đánh giá</s:t>
        </s:is>
      </s:c>
    </s:row>
    <s:row r="1622" ht="3" customHeight="1">
      <s:c r="A1622" s="102" t="inlineStr"/>
      <s:c r="B1622" s="99" t="n"/>
      <s:c r="C1622" s="99" t="n"/>
      <s:c r="D1622" s="116" t="n"/>
      <s:c r="E1622" s="116" t="n"/>
    </s:row>
    <s:row r="1623" ht="342" customHeight="1">
      <s:c r="A1623" s="83" t="inlineStr">
        <s:is>
          <s:t>Trường hợp cơ bản (Base)</s:t>
        </s:is>
      </s:c>
      <s:c r="B1623" s="83" t="inlineStr">
        <s:is>
          <s:t>Toàn bộ tình huống: Thực hiện đủ các bước chung theo thứ tự; kiểm cả đối tượng đích và đối chứng cùng fixture, không bỏ bước.</s:t>
        </s:is>
      </s:c>
      <s:c r="C1623" s="83" t="inlineStr">
        <s:is>
          <s:r>
            <s:t xml:space="preserve">A. Breadcrumb: Thiết </s:t>
          </s:r>
          <s:r>
            <s:rPr>
              <s:b val="1"/>
            </s:rPr>
            <s:t>lập bảng thành tích（成績帳票設定）</s:t>
          </s:r>
          <s:r>
            <s:t xml:space="preserve"> - </s:t>
          </s:r>
          <s:r>
            <s:rPr>
              <s:b val="1"/>
            </s:rPr>
            <s:t>Thiết lập thành tích（成績設定）</s:t>
          </s:r>
          <s:r>
            <s:t xml:space="preserve"> - </s:t>
          </s:r>
          <s:r>
            <s:rPr>
              <s:b val="1"/>
            </s:rPr>
            <s:t>Thiết lập nhập điểm（成績入力設定）</s:t>
          </s:r>
          <s:r>
            <s:t xml:space="preserve"> - </s:t>
          </s:r>
          <s:r>
            <s:rPr>
              <s:b val="1"/>
            </s:rPr>
            <s:t>Thiết lập điểm đỏ（赤点設定）</s:t>
          </s:r>
          <s:r>
            <s:t xml:space="preserve">.
b. Link Quay lại </s:t>
          </s:r>
          <s:r>
            <s:rPr>
              <s:b val="1"/>
            </s:rPr>
            <s:t>Thiết lập nhập điểm（[成績入力設定へ戻る]）</s:t>
          </s:r>
          <s:r>
            <s:t xml:space="preserve">.
c. Khối </s:t>
          </s:r>
          <s:r>
            <s:rPr>
              <s:b val="1"/>
            </s:rPr>
            <s:t>Giải thích bổ sung（※補足説明※）</s:t>
          </s:r>
          <s:r>
            <s:t xml:space="preserve"> thu gọn/mở được.
d. Nút Thêm </s:t>
          </s:r>
          <s:r>
            <s:rPr>
              <s:b val="1"/>
            </s:rPr>
            <s:t>thiết lập chi tiết（詳細設定の追加）</s:t>
          </s:r>
          <s:r>
            <s:t xml:space="preserve">.
e. Bảng có các </s:t>
          </s:r>
          <s:r>
            <s:rPr>
              <s:b val="1"/>
            </s:rPr>
            <s:t>cột Tên thiết lập（設定名称）</s:t>
          </s:r>
          <s:r>
            <s:t xml:space="preserve">; </s:t>
          </s:r>
          <s:r>
            <s:rPr>
              <s:b val="1"/>
            </s:rPr>
            <s:t>Điều kiện áp dụng（適用条件）</s:t>
          </s:r>
          <s:r>
            <s:t xml:space="preserve"> </s:t>
          </s:r>
          <s:r>
            <s:rPr>
              <s:b val="1"/>
            </s:rPr>
            <s:t>kèm Sửa（[編集]）</s:t>
          </s:r>
          <s:r>
            <s:t xml:space="preserve">; </s:t>
          </s:r>
          <s:r>
            <s:rPr>
              <s:b val="1"/>
            </s:rPr>
            <s:t>Ngưỡng đỏ（赤点の基準）</s:t>
          </s:r>
          <s:r>
            <s:t xml:space="preserve"> </s:t>
          </s:r>
          <s:r>
            <s:rPr>
              <s:b val="1"/>
            </s:rPr>
            <s:t>kèm Sửa（[編集]）</s:t>
          </s:r>
          <s:r>
            <s:t xml:space="preserve">; </s:t>
          </s:r>
          <s:r>
            <s:rPr>
              <s:b val="1"/>
            </s:rPr>
            <s:t>Xóa（削除）</s:t>
          </s:r>
          <s:r>
            <s:t xml:space="preserve">; </s:t>
          </s:r>
          <s:r>
            <s:rPr>
              <s:b val="1"/>
            </s:rPr>
            <s:t>Ưu tiên（優先順位）</s:t>
          </s:r>
          <s:r>
            <s:t xml:space="preserve"> ▲▼; có 2 dòng theo cặp quy tắc phân nhánh theo trung bình 60.
f. Câu 「上から順に適用条件を確認し、最初に一致した設定を使用します。」 (kiểm điều kiện </s:t>
          </s:r>
        </s:is>
      </s:c>
      <s:c r="D1623" s="117" t="inlineStr"/>
      <s:c r="E1623" s="118" t="inlineStr">
        <s:is>
          <s:t>Chưa thực hiện</s:t>
        </s:is>
      </s:c>
    </s:row>
    <s:row r="1624" ht="104" customHeight="1">
      <s:c r="A1624" s="83" t="inlineStr"/>
      <s:c r="B1624" s="83" t="inlineStr"/>
      <s:c r="C1624" s="83" t="inlineStr">
        <s:is>
          <s:t>từ trên xuống, dùng thiết lập khớp đầu tiên).
g. Câu cuối trang 「設定を変更した場合は、成績登録または成績集計の自動算出を再実行してください。」 (đổi thiết lập thì chạy lại đăng ký điểm hoặc tính tự động).</s:t>
        </s:is>
      </s:c>
      <s:c r="D1624" s="78" t="n"/>
      <s:c r="E1624" s="78" t="n"/>
    </s:row>
    <s:row r="1625" ht="20" customHeight="1">
      <s:c r="A1625" s="119" t="inlineStr">
        <s:is>
          <s:t>Ảnh minh chứng — Chưa có ảnh</s:t>
        </s:is>
      </s:c>
      <s:c r="B1625" s="19" t="n"/>
      <s:c r="C1625" s="19" t="n"/>
      <s:c r="D1625" s="19" t="n"/>
      <s:c r="E1625" s="19" t="n"/>
    </s:row>
    <s:row r="1626" hidden="1" ht="1" customHeight="1">
      <s:c r="A1626" s="120" t="inlineStr"/>
      <s:c r="B1626" s="121" t="n"/>
      <s:c r="C1626" s="121" t="n"/>
      <s:c r="D1626" s="121" t="n"/>
      <s:c r="E1626" s="122" t="n"/>
    </s:row>
    <s:row r="1627" hidden="1" ht="1" customHeight="1">
      <s:c r="A1627" s="120" t="inlineStr"/>
      <s:c r="B1627" s="121" t="n"/>
      <s:c r="C1627" s="121" t="n"/>
      <s:c r="D1627" s="121" t="n"/>
      <s:c r="E1627" s="122" t="n"/>
    </s:row>
    <s:row r="1628" hidden="1" ht="1" customHeight="1">
      <s:c r="A1628" s="120" t="inlineStr"/>
      <s:c r="B1628" s="121" t="n"/>
      <s:c r="C1628" s="121" t="n"/>
      <s:c r="D1628" s="121" t="n"/>
      <s:c r="E1628" s="122" t="n"/>
    </s:row>
    <s:row r="1629" hidden="1" ht="1" customHeight="1">
      <s:c r="A1629" s="120" t="inlineStr"/>
      <s:c r="B1629" s="121" t="n"/>
      <s:c r="C1629" s="121" t="n"/>
      <s:c r="D1629" s="121" t="n"/>
      <s:c r="E1629" s="122" t="n"/>
    </s:row>
    <s:row r="1630" hidden="1" ht="1" customHeight="1">
      <s:c r="A1630" s="120" t="inlineStr"/>
      <s:c r="B1630" s="121" t="n"/>
      <s:c r="C1630" s="121" t="n"/>
      <s:c r="D1630" s="121" t="n"/>
      <s:c r="E1630" s="122" t="n"/>
    </s:row>
    <s:row r="1631" hidden="1" ht="1" customHeight="1">
      <s:c r="A1631" s="120" t="inlineStr"/>
      <s:c r="B1631" s="121" t="n"/>
      <s:c r="C1631" s="121" t="n"/>
      <s:c r="D1631" s="121" t="n"/>
      <s:c r="E1631" s="122" t="n"/>
    </s:row>
    <s:row r="1632" hidden="1" ht="1" customHeight="1">
      <s:c r="A1632" s="120" t="inlineStr"/>
      <s:c r="B1632" s="121" t="n"/>
      <s:c r="C1632" s="121" t="n"/>
      <s:c r="D1632" s="121" t="n"/>
      <s:c r="E1632" s="122" t="n"/>
    </s:row>
    <s:row r="1633" hidden="1" ht="1" customHeight="1">
      <s:c r="A1633" s="120" t="inlineStr"/>
      <s:c r="B1633" s="121" t="n"/>
      <s:c r="C1633" s="121" t="n"/>
      <s:c r="D1633" s="121" t="n"/>
      <s:c r="E1633" s="122" t="n"/>
    </s:row>
    <s:row r="1634" hidden="1" ht="1" customHeight="1">
      <s:c r="A1634" s="120" t="inlineStr"/>
      <s:c r="B1634" s="121" t="n"/>
      <s:c r="C1634" s="121" t="n"/>
      <s:c r="D1634" s="121" t="n"/>
      <s:c r="E1634" s="122" t="n"/>
    </s:row>
    <s:row r="1635" hidden="1" ht="1" customHeight="1">
      <s:c r="A1635" s="120" t="inlineStr"/>
      <s:c r="B1635" s="121" t="n"/>
      <s:c r="C1635" s="121" t="n"/>
      <s:c r="D1635" s="121" t="n"/>
      <s:c r="E1635" s="122" t="n"/>
    </s:row>
    <s:row r="1636" hidden="1" ht="1" customHeight="1">
      <s:c r="A1636" s="120" t="inlineStr"/>
      <s:c r="B1636" s="121" t="n"/>
      <s:c r="C1636" s="121" t="n"/>
      <s:c r="D1636" s="121" t="n"/>
      <s:c r="E1636" s="122" t="n"/>
    </s:row>
    <s:row r="1637" hidden="1" ht="1" customHeight="1">
      <s:c r="A1637" s="120" t="inlineStr"/>
      <s:c r="B1637" s="121" t="n"/>
      <s:c r="C1637" s="121" t="n"/>
      <s:c r="D1637" s="121" t="n"/>
      <s:c r="E1637" s="122" t="n"/>
    </s:row>
    <s:row r="1638" hidden="1" ht="1" customHeight="1">
      <s:c r="A1638" s="120" t="inlineStr"/>
      <s:c r="B1638" s="121" t="n"/>
      <s:c r="C1638" s="121" t="n"/>
      <s:c r="D1638" s="121" t="n"/>
      <s:c r="E1638" s="122" t="n"/>
    </s:row>
    <s:row r="1639" hidden="1" ht="1" customHeight="1">
      <s:c r="A1639" s="120" t="inlineStr"/>
      <s:c r="B1639" s="121" t="n"/>
      <s:c r="C1639" s="121" t="n"/>
      <s:c r="D1639" s="121" t="n"/>
      <s:c r="E1639" s="122" t="n"/>
    </s:row>
    <s:row r="1640" hidden="1" ht="1" customHeight="1">
      <s:c r="A1640" s="120" t="inlineStr"/>
      <s:c r="B1640" s="121" t="n"/>
      <s:c r="C1640" s="121" t="n"/>
      <s:c r="D1640" s="121" t="n"/>
      <s:c r="E1640" s="122" t="n"/>
    </s:row>
    <s:row r="1641" hidden="1" ht="1" customHeight="1">
      <s:c r="A1641" s="120" t="inlineStr"/>
      <s:c r="B1641" s="121" t="n"/>
      <s:c r="C1641" s="121" t="n"/>
      <s:c r="D1641" s="121" t="n"/>
      <s:c r="E1641" s="122" t="n"/>
    </s:row>
    <s:row r="1642" hidden="1" ht="1" customHeight="1">
      <s:c r="A1642" s="120" t="inlineStr"/>
      <s:c r="B1642" s="121" t="n"/>
      <s:c r="C1642" s="121" t="n"/>
      <s:c r="D1642" s="121" t="n"/>
      <s:c r="E1642" s="122" t="n"/>
    </s:row>
    <s:row r="1643" hidden="1" ht="1" customHeight="1">
      <s:c r="A1643" s="120" t="inlineStr"/>
      <s:c r="B1643" s="121" t="n"/>
      <s:c r="C1643" s="121" t="n"/>
      <s:c r="D1643" s="121" t="n"/>
      <s:c r="E1643" s="122" t="n"/>
    </s:row>
    <s:row r="1644" hidden="1" ht="1" customHeight="1">
      <s:c r="A1644" s="120" t="inlineStr"/>
      <s:c r="B1644" s="121" t="n"/>
      <s:c r="C1644" s="121" t="n"/>
      <s:c r="D1644" s="121" t="n"/>
      <s:c r="E1644" s="122" t="n"/>
    </s:row>
    <s:row r="1645" hidden="1" ht="1" customHeight="1">
      <s:c r="A1645" s="120" t="inlineStr"/>
      <s:c r="B1645" s="121" t="n"/>
      <s:c r="C1645" s="121" t="n"/>
      <s:c r="D1645" s="121" t="n"/>
      <s:c r="E1645" s="122" t="n"/>
    </s:row>
    <s:row r="1646" hidden="1" ht="1" customHeight="1">
      <s:c r="A1646" s="120" t="inlineStr"/>
      <s:c r="B1646" s="121" t="n"/>
      <s:c r="C1646" s="121" t="n"/>
      <s:c r="D1646" s="121" t="n"/>
      <s:c r="E1646" s="122" t="n"/>
    </s:row>
    <s:row r="1647" hidden="1" ht="1" customHeight="1">
      <s:c r="A1647" s="120" t="inlineStr"/>
      <s:c r="B1647" s="121" t="n"/>
      <s:c r="C1647" s="121" t="n"/>
      <s:c r="D1647" s="121" t="n"/>
      <s:c r="E1647" s="122" t="n"/>
    </s:row>
    <s:row r="1648" hidden="1" ht="1" customHeight="1">
      <s:c r="A1648" s="120" t="inlineStr"/>
      <s:c r="B1648" s="121" t="n"/>
      <s:c r="C1648" s="121" t="n"/>
      <s:c r="D1648" s="121" t="n"/>
      <s:c r="E1648" s="122" t="n"/>
    </s:row>
    <s:row r="1649" hidden="1" ht="1" customHeight="1">
      <s:c r="A1649" s="120" t="inlineStr"/>
      <s:c r="B1649" s="121" t="n"/>
      <s:c r="C1649" s="121" t="n"/>
      <s:c r="D1649" s="121" t="n"/>
      <s:c r="E1649" s="122" t="n"/>
    </s:row>
    <s:row r="1650" hidden="1" ht="1" customHeight="1">
      <s:c r="A1650" s="120" t="inlineStr"/>
      <s:c r="B1650" s="121" t="n"/>
      <s:c r="C1650" s="121" t="n"/>
      <s:c r="D1650" s="121" t="n"/>
      <s:c r="E1650" s="122" t="n"/>
    </s:row>
    <s:row r="1651" hidden="1" ht="1" customHeight="1">
      <s:c r="A1651" s="120" t="inlineStr"/>
      <s:c r="B1651" s="121" t="n"/>
      <s:c r="C1651" s="121" t="n"/>
      <s:c r="D1651" s="121" t="n"/>
      <s:c r="E1651" s="122" t="n"/>
    </s:row>
    <s:row r="1652" hidden="1" ht="1" customHeight="1">
      <s:c r="A1652" s="120" t="inlineStr"/>
      <s:c r="B1652" s="121" t="n"/>
      <s:c r="C1652" s="121" t="n"/>
      <s:c r="D1652" s="121" t="n"/>
      <s:c r="E1652" s="122" t="n"/>
    </s:row>
    <s:row r="1653" hidden="1" ht="1" customHeight="1">
      <s:c r="A1653" s="120" t="inlineStr"/>
      <s:c r="B1653" s="121" t="n"/>
      <s:c r="C1653" s="121" t="n"/>
      <s:c r="D1653" s="121" t="n"/>
      <s:c r="E1653" s="122" t="n"/>
    </s:row>
    <s:row r="1654" hidden="1" ht="1" customHeight="1">
      <s:c r="A1654" s="120" t="inlineStr"/>
      <s:c r="B1654" s="121" t="n"/>
      <s:c r="C1654" s="121" t="n"/>
      <s:c r="D1654" s="121" t="n"/>
      <s:c r="E1654" s="122" t="n"/>
    </s:row>
    <s:row r="1655" hidden="1" ht="1" customHeight="1">
      <s:c r="A1655" s="120" t="inlineStr"/>
      <s:c r="B1655" s="121" t="n"/>
      <s:c r="C1655" s="121" t="n"/>
      <s:c r="D1655" s="121" t="n"/>
      <s:c r="E1655" s="122" t="n"/>
    </s:row>
    <s:row r="1656" hidden="1" ht="1" customHeight="1">
      <s:c r="A1656" s="120" t="inlineStr"/>
      <s:c r="B1656" s="121" t="n"/>
      <s:c r="C1656" s="121" t="n"/>
      <s:c r="D1656" s="121" t="n"/>
      <s:c r="E1656" s="122" t="n"/>
    </s:row>
    <s:row r="1657" hidden="1" ht="1" customHeight="1">
      <s:c r="A1657" s="120" t="inlineStr"/>
      <s:c r="B1657" s="121" t="n"/>
      <s:c r="C1657" s="121" t="n"/>
      <s:c r="D1657" s="121" t="n"/>
      <s:c r="E1657" s="122" t="n"/>
    </s:row>
    <s:row r="1658" hidden="1" ht="1" customHeight="1">
      <s:c r="A1658" s="120" t="inlineStr"/>
      <s:c r="B1658" s="121" t="n"/>
      <s:c r="C1658" s="121" t="n"/>
      <s:c r="D1658" s="121" t="n"/>
      <s:c r="E1658" s="122" t="n"/>
    </s:row>
    <s:row r="1659" hidden="1" ht="1" customHeight="1">
      <s:c r="A1659" s="120" t="inlineStr"/>
      <s:c r="B1659" s="121" t="n"/>
      <s:c r="C1659" s="121" t="n"/>
      <s:c r="D1659" s="121" t="n"/>
      <s:c r="E1659" s="122" t="n"/>
    </s:row>
    <s:row r="1660" hidden="1" ht="1" customHeight="1">
      <s:c r="A1660" s="120" t="inlineStr"/>
      <s:c r="B1660" s="121" t="n"/>
      <s:c r="C1660" s="121" t="n"/>
      <s:c r="D1660" s="121" t="n"/>
      <s:c r="E1660" s="122" t="n"/>
    </s:row>
    <s:row r="1661" hidden="1" ht="1" customHeight="1">
      <s:c r="A1661" s="120" t="inlineStr"/>
      <s:c r="B1661" s="121" t="n"/>
      <s:c r="C1661" s="121" t="n"/>
      <s:c r="D1661" s="121" t="n"/>
      <s:c r="E1661" s="122" t="n"/>
    </s:row>
    <s:row r="1662" hidden="1" ht="1" customHeight="1">
      <s:c r="A1662" s="120" t="inlineStr"/>
      <s:c r="B1662" s="121" t="n"/>
      <s:c r="C1662" s="121" t="n"/>
      <s:c r="D1662" s="121" t="n"/>
      <s:c r="E1662" s="122" t="n"/>
    </s:row>
    <s:row r="1663" hidden="1" ht="1" customHeight="1">
      <s:c r="A1663" s="120" t="inlineStr"/>
      <s:c r="B1663" s="121" t="n"/>
      <s:c r="C1663" s="121" t="n"/>
      <s:c r="D1663" s="121" t="n"/>
      <s:c r="E1663" s="122" t="n"/>
    </s:row>
    <s:row r="1664" hidden="1" ht="1" customHeight="1">
      <s:c r="A1664" s="120" t="inlineStr"/>
      <s:c r="B1664" s="121" t="n"/>
      <s:c r="C1664" s="121" t="n"/>
      <s:c r="D1664" s="121" t="n"/>
      <s:c r="E1664" s="122" t="n"/>
    </s:row>
    <s:row r="1665" hidden="1" ht="1" customHeight="1">
      <s:c r="A1665" s="120" t="inlineStr"/>
      <s:c r="B1665" s="121" t="n"/>
      <s:c r="C1665" s="121" t="n"/>
      <s:c r="D1665" s="121" t="n"/>
      <s:c r="E1665" s="122" t="n"/>
    </s:row>
    <s:row r="1666" hidden="1" ht="1" customHeight="1">
      <s:c r="A1666" s="120" t="inlineStr"/>
      <s:c r="B1666" s="121" t="n"/>
      <s:c r="C1666" s="121" t="n"/>
      <s:c r="D1666" s="121" t="n"/>
      <s:c r="E1666" s="122" t="n"/>
    </s:row>
    <s:row r="1667" hidden="1" ht="1" customHeight="1">
      <s:c r="A1667" s="120" t="inlineStr"/>
      <s:c r="B1667" s="121" t="n"/>
      <s:c r="C1667" s="121" t="n"/>
      <s:c r="D1667" s="121" t="n"/>
      <s:c r="E1667" s="122" t="n"/>
    </s:row>
    <s:row r="1668" hidden="1" ht="1" customHeight="1">
      <s:c r="A1668" s="120" t="inlineStr"/>
      <s:c r="B1668" s="121" t="n"/>
      <s:c r="C1668" s="121" t="n"/>
      <s:c r="D1668" s="121" t="n"/>
      <s:c r="E1668" s="122" t="n"/>
    </s:row>
    <s:row r="1669" hidden="1" ht="1" customHeight="1">
      <s:c r="A1669" s="120" t="inlineStr"/>
      <s:c r="B1669" s="121" t="n"/>
      <s:c r="C1669" s="121" t="n"/>
      <s:c r="D1669" s="121" t="n"/>
      <s:c r="E1669" s="122" t="n"/>
    </s:row>
    <s:row r="1670" hidden="1" ht="1" customHeight="1">
      <s:c r="A1670" s="120" t="inlineStr"/>
      <s:c r="B1670" s="121" t="n"/>
      <s:c r="C1670" s="121" t="n"/>
      <s:c r="D1670" s="121" t="n"/>
      <s:c r="E1670" s="122" t="n"/>
    </s:row>
    <s:row r="1671" hidden="1" ht="1" customHeight="1">
      <s:c r="A1671" s="120" t="inlineStr"/>
      <s:c r="B1671" s="121" t="n"/>
      <s:c r="C1671" s="121" t="n"/>
      <s:c r="D1671" s="121" t="n"/>
      <s:c r="E1671" s="122" t="n"/>
    </s:row>
    <s:row r="1672" hidden="1" ht="1" customHeight="1">
      <s:c r="A1672" s="120" t="inlineStr"/>
      <s:c r="B1672" s="121" t="n"/>
      <s:c r="C1672" s="121" t="n"/>
      <s:c r="D1672" s="121" t="n"/>
      <s:c r="E1672" s="122" t="n"/>
    </s:row>
    <s:row r="1673" hidden="1" ht="1" customHeight="1">
      <s:c r="A1673" s="120" t="inlineStr"/>
      <s:c r="B1673" s="121" t="n"/>
      <s:c r="C1673" s="121" t="n"/>
      <s:c r="D1673" s="121" t="n"/>
      <s:c r="E1673" s="122" t="n"/>
    </s:row>
    <s:row r="1674" hidden="1" ht="1" customHeight="1">
      <s:c r="A1674" s="83" t="inlineStr">
        <s:is>
          <s:t>PASS</s:t>
        </s:is>
      </s:c>
      <s:c r="B1674" s="83">
        <s:f>SUM(IF(EXACT('Kiểm thử'!E1623,"Đạt"),1,0))</s:f>
        <s:v/>
      </s:c>
      <s:c r="C1674" s="19" t="n"/>
      <s:c r="D1674" s="19" t="n"/>
      <s:c r="E1674" s="19" t="n"/>
    </s:row>
    <s:row r="1675" hidden="1" ht="1" customHeight="1">
      <s:c r="A1675" s="83" t="inlineStr">
        <s:is>
          <s:t>FAIL</s:t>
        </s:is>
      </s:c>
      <s:c r="B1675" s="83">
        <s:f>SUM(IF(EXACT('Kiểm thử'!E1623,"Không đạt"),1,0))</s:f>
        <s:v/>
      </s:c>
      <s:c r="C1675" s="19" t="n"/>
      <s:c r="D1675" s="19" t="n"/>
      <s:c r="E1675" s="19" t="n"/>
    </s:row>
    <s:row r="1676" hidden="1" ht="1" customHeight="1">
      <s:c r="A1676" s="83" t="inlineStr">
        <s:is>
          <s:t>BLOCKED</s:t>
        </s:is>
      </s:c>
      <s:c r="B1676" s="83">
        <s:f>SUM(IF(EXACT('Kiểm thử'!E1623,"Bị chặn"),1,0))</s:f>
        <s:v/>
      </s:c>
      <s:c r="C1676" s="19" t="n"/>
      <s:c r="D1676" s="19" t="n"/>
      <s:c r="E1676" s="19" t="n"/>
    </s:row>
    <s:row r="1677" hidden="1" ht="1" customHeight="1">
      <s:c r="A1677" s="83" t="inlineStr">
        <s:is>
          <s:t>SKIPPED</s:t>
        </s:is>
      </s:c>
      <s:c r="B1677" s="83">
        <s:f>SUM(IF(EXACT('Kiểm thử'!E1623,"Không thực hiện"),1,0))</s:f>
        <s:v/>
      </s:c>
      <s:c r="C1677" s="19" t="n"/>
      <s:c r="D1677" s="19" t="n"/>
      <s:c r="E1677" s="19" t="n"/>
    </s:row>
    <s:row r="1678" hidden="1" ht="1" customHeight="1">
      <s:c r="A1678" s="83" t="inlineStr">
        <s:is>
          <s:t>NOT RUN</s:t>
        </s:is>
      </s:c>
      <s:c r="B1678" s="83">
        <s:f>SUM(IF(EXACT('Kiểm thử'!E1623,"Chưa thực hiện"),1,0))</s:f>
        <s:v/>
      </s:c>
      <s:c r="C1678" s="19" t="n"/>
      <s:c r="D1678" s="19" t="n"/>
      <s:c r="E1678" s="19" t="n"/>
    </s:row>
    <s:row r="1679" hidden="1" ht="6" customHeight="1">
      <s:c r="A1679" s="83" t="inlineStr"/>
      <s:c r="B1679" s="19" t="n"/>
      <s:c r="C1679" s="19" t="n"/>
      <s:c r="D1679" s="19" t="n"/>
      <s:c r="E1679" s="19" t="n"/>
    </s:row>
    <s:row r="1680" ht="28" customHeight="1">
      <s:c r="A1680" s="108" t="inlineStr">
        <s:is>
          <s:t>TC-RS-UI-003 — Định dạng tiêu đề màn danh sách</s:t>
        </s:is>
      </s:c>
      <s:c r="B1680" s="111" t="n"/>
      <s:c r="C1680" s="111" t="n"/>
      <s:c r="D1680" s="111" t="n"/>
      <s:c r="E1680" s="111" t="n"/>
    </s:row>
    <s:row r="1681" ht="20" customHeight="1">
      <s:c r="A1681" s="112" t="inlineStr">
        <s:is>
          <s:t>Kết quả tình huống</s:t>
        </s:is>
      </s:c>
      <s:c r="B1681" s="113">
        <s:f>IF(SUM(IF(EXACT('Kiểm thử'!E1688,"Không đạt"),1,0))&gt;0,"Không đạt",IF(SUM(IF(EXACT('Kiểm thử'!E1688,"Đạt"),1,0))=1,"Đạt",IF(SUM(IF(EXACT('Kiểm thử'!E1688,"Không thực hiện"),1,0))=1,"Không thực hiện",IF(SUM(IF(EXACT('Kiểm thử'!E1688,"Bị chặn"),1,0))&gt;0,"Bị chặn",IF(SUM(IF(EXACT('Kiểm thử'!E1688,"Chưa thực hiện"),1,0))=1,"Chưa thực hiện","Đang thực hiện")))))</s:f>
        <s:v/>
      </s:c>
      <s:c r="C1681" s="114" t="n"/>
      <s:c r="D1681" s="114" t="n"/>
      <s:c r="E1681" s="114" t="n"/>
    </s:row>
    <s:row r="1682" ht="20" customHeight="1">
      <s:c r="A1682" s="112" t="inlineStr">
        <s:is>
          <s:t>Màn hình / chức năng</s:t>
        </s:is>
      </s:c>
      <s:c r="B1682" s="113" t="inlineStr">
        <s:is>
          <s:r>
            <s:rPr>
              <s:b val="1"/>
            </s:rPr>
            <s:t>Thiết lập điểm đỏ（赤点設定）</s:t>
          </s:r>
        </s:is>
      </s:c>
      <s:c r="C1682" s="28" t="n"/>
      <s:c r="D1682" s="28" t="n"/>
      <s:c r="E1682" s="28" t="n"/>
    </s:row>
    <s:row r="1683" ht="20" customHeight="1">
      <s:c r="A1683" s="112" t="inlineStr">
        <s:is>
          <s:t>Cấu hình</s:t>
        </s:is>
      </s:c>
      <s:c r="B1683" s="113" t="inlineStr">
        <s:is>
          <s:r>
            <s:t>• Mục số thập phân (</s:t>
          </s:r>
          <s:r>
            <s:rPr>
              <s:b val="1"/>
            </s:rPr>
            <s:t>M=100</s:t>
          </s:r>
          <s:r>
            <s:t>).</s:t>
          </s:r>
        </s:is>
      </s:c>
      <s:c r="C1683" s="28" t="n"/>
      <s:c r="D1683" s="28" t="n"/>
      <s:c r="E1683" s="28" t="n"/>
    </s:row>
    <s:row r="1684" ht="20" customHeight="1">
      <s:c r="A1684" s="112" t="inlineStr">
        <s:is>
          <s:t>Dữ liệu test</s:t>
        </s:is>
      </s:c>
      <s:c r="B1684" s="113" t="inlineStr">
        <s:is>
          <s:r>
            <s:t>• Mục số thập phân (</s:t>
          </s:r>
          <s:r>
            <s:rPr>
              <s:b val="1"/>
            </s:rPr>
            <s:t>M=100</s:t>
          </s:r>
          <s:r>
            <s:t>)</s:t>
          </s:r>
        </s:is>
      </s:c>
      <s:c r="C1684" s="28" t="n"/>
      <s:c r="D1684" s="28" t="n"/>
      <s:c r="E1684" s="28" t="n"/>
    </s:row>
    <s:row r="1685" ht="20" customHeight="1">
      <s:c r="A1685" s="112" t="inlineStr">
        <s:is>
          <s:t>•</s:t>
        </s:is>
      </s:c>
      <s:c r="B1685" s="113" t="inlineStr">
        <s:is>
          <s:r>
            <s:t>Mở màn danh sách của mục số thập phân (</s:t>
          </s:r>
          <s:r>
            <s:rPr>
              <s:b val="1"/>
            </s:rPr>
            <s:t>M=100</s:t>
          </s:r>
          <s:r>
            <s:t>), đọc tiêu đề.</s:t>
          </s:r>
        </s:is>
      </s:c>
      <s:c r="C1685" s="28" t="n"/>
      <s:c r="D1685" s="28" t="n"/>
      <s:c r="E1685" s="28" t="n"/>
    </s:row>
    <s:row r="1686" ht="28" customHeight="1">
      <s:c r="A1686" s="115" t="inlineStr">
        <s:is>
          <s:t>Trường hợp</s:t>
        </s:is>
      </s:c>
      <s:c r="B1686" s="115" t="inlineStr">
        <s:is>
          <s:t>Dữ liệu / thao tác riêng</s:t>
        </s:is>
      </s:c>
      <s:c r="C1686" s="115" t="inlineStr">
        <s:is>
          <s:t>Kết quả mong đợi</s:t>
        </s:is>
      </s:c>
      <s:c r="D1686" s="115" t="inlineStr">
        <s:is>
          <s:t>Kết quả thực tế</s:t>
        </s:is>
      </s:c>
      <s:c r="E1686" s="115" t="inlineStr">
        <s:is>
          <s:t>Đánh giá</s:t>
        </s:is>
      </s:c>
    </s:row>
    <s:row r="1687" ht="3" customHeight="1">
      <s:c r="A1687" s="102" t="inlineStr"/>
      <s:c r="B1687" s="99" t="n"/>
      <s:c r="C1687" s="99" t="n"/>
      <s:c r="D1687" s="116" t="n"/>
      <s:c r="E1687" s="116" t="n"/>
    </s:row>
    <s:row r="1688" ht="132" customHeight="1">
      <s:c r="A1688" s="83" t="inlineStr">
        <s:is>
          <s:t>Trường hợp cơ bản (Base)</s:t>
        </s:is>
      </s:c>
      <s:c r="B1688" s="83" t="inlineStr">
        <s:is>
          <s:t>Toàn bộ tình huống: Thực hiện đủ các bước chung theo thứ tự; kiểm cả đối tượng đích và đối chứng cùng fixture, không bỏ bước.</s:t>
        </s:is>
      </s:c>
      <s:c r="C1688" s="83" t="inlineStr">
        <s:is>
          <s:r>
            <s:t xml:space="preserve">Theo tiêu chí nghiệm thu “Lưu và mở lại nhiều thiết lập”: màn danh sách thể hiện kỳ Cuối </s:t>
          </s:r>
          <s:r>
            <s:rPr>
              <s:b val="1"/>
            </s:rPr>
            <s:t>kỳ học kỳ 1（1学期期末）</s:t>
          </s:r>
          <s:r>
            <s:t xml:space="preserve">, tên mục, kiểu nhập Nhập </s:t>
          </s:r>
          <s:r>
            <s:rPr>
              <s:b val="1"/>
            </s:rPr>
            <s:t>số – thập phân（数値入力・小数）</s:t>
          </s:r>
          <s:r>
            <s:t xml:space="preserve"> và </s:t>
          </s:r>
          <s:r>
            <s:rPr>
              <s:b val="1"/>
            </s:rPr>
            <s:t>Thiết lập điểm đỏ（赤点設定）</s:t>
          </s:r>
          <s:r>
            <s:t xml:space="preserve">.
Định dạng tiêu đề theo Figma (PROPOSED): </s:t>
          </s:r>
          <s:r>
            <s:rPr>
              <s:b val="1"/>
            </s:rPr>
            <s:t>「1学期期末 ／ 評点（数値入力・小数）</s:t>
          </s:r>
          <s:r>
            <s:t xml:space="preserve"> の赤点設定」; lệch thì ghi Notes, không FAIL.</s:t>
          </s:r>
        </s:is>
      </s:c>
      <s:c r="D1688" s="117" t="inlineStr"/>
      <s:c r="E1688" s="118" t="inlineStr">
        <s:is>
          <s:t>Chưa thực hiện</s:t>
        </s:is>
      </s:c>
    </s:row>
    <s:row r="1689" ht="20" customHeight="1">
      <s:c r="A1689" s="119" t="inlineStr">
        <s:is>
          <s:t>Ảnh minh chứng — Chưa có ảnh</s:t>
        </s:is>
      </s:c>
      <s:c r="B1689" s="19" t="n"/>
      <s:c r="C1689" s="19" t="n"/>
      <s:c r="D1689" s="19" t="n"/>
      <s:c r="E1689" s="19" t="n"/>
    </s:row>
    <s:row r="1690" hidden="1" ht="1" customHeight="1">
      <s:c r="A1690" s="120" t="inlineStr"/>
      <s:c r="B1690" s="121" t="n"/>
      <s:c r="C1690" s="121" t="n"/>
      <s:c r="D1690" s="121" t="n"/>
      <s:c r="E1690" s="122" t="n"/>
    </s:row>
    <s:row r="1691" hidden="1" ht="1" customHeight="1">
      <s:c r="A1691" s="120" t="inlineStr"/>
      <s:c r="B1691" s="121" t="n"/>
      <s:c r="C1691" s="121" t="n"/>
      <s:c r="D1691" s="121" t="n"/>
      <s:c r="E1691" s="122" t="n"/>
    </s:row>
    <s:row r="1692" hidden="1" ht="1" customHeight="1">
      <s:c r="A1692" s="120" t="inlineStr"/>
      <s:c r="B1692" s="121" t="n"/>
      <s:c r="C1692" s="121" t="n"/>
      <s:c r="D1692" s="121" t="n"/>
      <s:c r="E1692" s="122" t="n"/>
    </s:row>
    <s:row r="1693" hidden="1" ht="1" customHeight="1">
      <s:c r="A1693" s="120" t="inlineStr"/>
      <s:c r="B1693" s="121" t="n"/>
      <s:c r="C1693" s="121" t="n"/>
      <s:c r="D1693" s="121" t="n"/>
      <s:c r="E1693" s="122" t="n"/>
    </s:row>
    <s:row r="1694" hidden="1" ht="1" customHeight="1">
      <s:c r="A1694" s="120" t="inlineStr"/>
      <s:c r="B1694" s="121" t="n"/>
      <s:c r="C1694" s="121" t="n"/>
      <s:c r="D1694" s="121" t="n"/>
      <s:c r="E1694" s="122" t="n"/>
    </s:row>
    <s:row r="1695" hidden="1" ht="1" customHeight="1">
      <s:c r="A1695" s="120" t="inlineStr"/>
      <s:c r="B1695" s="121" t="n"/>
      <s:c r="C1695" s="121" t="n"/>
      <s:c r="D1695" s="121" t="n"/>
      <s:c r="E1695" s="122" t="n"/>
    </s:row>
    <s:row r="1696" hidden="1" ht="1" customHeight="1">
      <s:c r="A1696" s="120" t="inlineStr"/>
      <s:c r="B1696" s="121" t="n"/>
      <s:c r="C1696" s="121" t="n"/>
      <s:c r="D1696" s="121" t="n"/>
      <s:c r="E1696" s="122" t="n"/>
    </s:row>
    <s:row r="1697" hidden="1" ht="1" customHeight="1">
      <s:c r="A1697" s="120" t="inlineStr"/>
      <s:c r="B1697" s="121" t="n"/>
      <s:c r="C1697" s="121" t="n"/>
      <s:c r="D1697" s="121" t="n"/>
      <s:c r="E1697" s="122" t="n"/>
    </s:row>
    <s:row r="1698" hidden="1" ht="1" customHeight="1">
      <s:c r="A1698" s="120" t="inlineStr"/>
      <s:c r="B1698" s="121" t="n"/>
      <s:c r="C1698" s="121" t="n"/>
      <s:c r="D1698" s="121" t="n"/>
      <s:c r="E1698" s="122" t="n"/>
    </s:row>
    <s:row r="1699" hidden="1" ht="1" customHeight="1">
      <s:c r="A1699" s="120" t="inlineStr"/>
      <s:c r="B1699" s="121" t="n"/>
      <s:c r="C1699" s="121" t="n"/>
      <s:c r="D1699" s="121" t="n"/>
      <s:c r="E1699" s="122" t="n"/>
    </s:row>
    <s:row r="1700" hidden="1" ht="1" customHeight="1">
      <s:c r="A1700" s="120" t="inlineStr"/>
      <s:c r="B1700" s="121" t="n"/>
      <s:c r="C1700" s="121" t="n"/>
      <s:c r="D1700" s="121" t="n"/>
      <s:c r="E1700" s="122" t="n"/>
    </s:row>
    <s:row r="1701" hidden="1" ht="1" customHeight="1">
      <s:c r="A1701" s="120" t="inlineStr"/>
      <s:c r="B1701" s="121" t="n"/>
      <s:c r="C1701" s="121" t="n"/>
      <s:c r="D1701" s="121" t="n"/>
      <s:c r="E1701" s="122" t="n"/>
    </s:row>
    <s:row r="1702" hidden="1" ht="1" customHeight="1">
      <s:c r="A1702" s="120" t="inlineStr"/>
      <s:c r="B1702" s="121" t="n"/>
      <s:c r="C1702" s="121" t="n"/>
      <s:c r="D1702" s="121" t="n"/>
      <s:c r="E1702" s="122" t="n"/>
    </s:row>
    <s:row r="1703" hidden="1" ht="1" customHeight="1">
      <s:c r="A1703" s="120" t="inlineStr"/>
      <s:c r="B1703" s="121" t="n"/>
      <s:c r="C1703" s="121" t="n"/>
      <s:c r="D1703" s="121" t="n"/>
      <s:c r="E1703" s="122" t="n"/>
    </s:row>
    <s:row r="1704" hidden="1" ht="1" customHeight="1">
      <s:c r="A1704" s="120" t="inlineStr"/>
      <s:c r="B1704" s="121" t="n"/>
      <s:c r="C1704" s="121" t="n"/>
      <s:c r="D1704" s="121" t="n"/>
      <s:c r="E1704" s="122" t="n"/>
    </s:row>
    <s:row r="1705" hidden="1" ht="1" customHeight="1">
      <s:c r="A1705" s="120" t="inlineStr"/>
      <s:c r="B1705" s="121" t="n"/>
      <s:c r="C1705" s="121" t="n"/>
      <s:c r="D1705" s="121" t="n"/>
      <s:c r="E1705" s="122" t="n"/>
    </s:row>
    <s:row r="1706" hidden="1" ht="1" customHeight="1">
      <s:c r="A1706" s="120" t="inlineStr"/>
      <s:c r="B1706" s="121" t="n"/>
      <s:c r="C1706" s="121" t="n"/>
      <s:c r="D1706" s="121" t="n"/>
      <s:c r="E1706" s="122" t="n"/>
    </s:row>
    <s:row r="1707" hidden="1" ht="1" customHeight="1">
      <s:c r="A1707" s="120" t="inlineStr"/>
      <s:c r="B1707" s="121" t="n"/>
      <s:c r="C1707" s="121" t="n"/>
      <s:c r="D1707" s="121" t="n"/>
      <s:c r="E1707" s="122" t="n"/>
    </s:row>
    <s:row r="1708" hidden="1" ht="1" customHeight="1">
      <s:c r="A1708" s="120" t="inlineStr"/>
      <s:c r="B1708" s="121" t="n"/>
      <s:c r="C1708" s="121" t="n"/>
      <s:c r="D1708" s="121" t="n"/>
      <s:c r="E1708" s="122" t="n"/>
    </s:row>
    <s:row r="1709" hidden="1" ht="1" customHeight="1">
      <s:c r="A1709" s="120" t="inlineStr"/>
      <s:c r="B1709" s="121" t="n"/>
      <s:c r="C1709" s="121" t="n"/>
      <s:c r="D1709" s="121" t="n"/>
      <s:c r="E1709" s="122" t="n"/>
    </s:row>
    <s:row r="1710" hidden="1" ht="1" customHeight="1">
      <s:c r="A1710" s="120" t="inlineStr"/>
      <s:c r="B1710" s="121" t="n"/>
      <s:c r="C1710" s="121" t="n"/>
      <s:c r="D1710" s="121" t="n"/>
      <s:c r="E1710" s="122" t="n"/>
    </s:row>
    <s:row r="1711" hidden="1" ht="1" customHeight="1">
      <s:c r="A1711" s="120" t="inlineStr"/>
      <s:c r="B1711" s="121" t="n"/>
      <s:c r="C1711" s="121" t="n"/>
      <s:c r="D1711" s="121" t="n"/>
      <s:c r="E1711" s="122" t="n"/>
    </s:row>
    <s:row r="1712" hidden="1" ht="1" customHeight="1">
      <s:c r="A1712" s="120" t="inlineStr"/>
      <s:c r="B1712" s="121" t="n"/>
      <s:c r="C1712" s="121" t="n"/>
      <s:c r="D1712" s="121" t="n"/>
      <s:c r="E1712" s="122" t="n"/>
    </s:row>
    <s:row r="1713" hidden="1" ht="1" customHeight="1">
      <s:c r="A1713" s="120" t="inlineStr"/>
      <s:c r="B1713" s="121" t="n"/>
      <s:c r="C1713" s="121" t="n"/>
      <s:c r="D1713" s="121" t="n"/>
      <s:c r="E1713" s="122" t="n"/>
    </s:row>
    <s:row r="1714" hidden="1" ht="1" customHeight="1">
      <s:c r="A1714" s="120" t="inlineStr"/>
      <s:c r="B1714" s="121" t="n"/>
      <s:c r="C1714" s="121" t="n"/>
      <s:c r="D1714" s="121" t="n"/>
      <s:c r="E1714" s="122" t="n"/>
    </s:row>
    <s:row r="1715" hidden="1" ht="1" customHeight="1">
      <s:c r="A1715" s="120" t="inlineStr"/>
      <s:c r="B1715" s="121" t="n"/>
      <s:c r="C1715" s="121" t="n"/>
      <s:c r="D1715" s="121" t="n"/>
      <s:c r="E1715" s="122" t="n"/>
    </s:row>
    <s:row r="1716" hidden="1" ht="1" customHeight="1">
      <s:c r="A1716" s="120" t="inlineStr"/>
      <s:c r="B1716" s="121" t="n"/>
      <s:c r="C1716" s="121" t="n"/>
      <s:c r="D1716" s="121" t="n"/>
      <s:c r="E1716" s="122" t="n"/>
    </s:row>
    <s:row r="1717" hidden="1" ht="1" customHeight="1">
      <s:c r="A1717" s="120" t="inlineStr"/>
      <s:c r="B1717" s="121" t="n"/>
      <s:c r="C1717" s="121" t="n"/>
      <s:c r="D1717" s="121" t="n"/>
      <s:c r="E1717" s="122" t="n"/>
    </s:row>
    <s:row r="1718" hidden="1" ht="1" customHeight="1">
      <s:c r="A1718" s="120" t="inlineStr"/>
      <s:c r="B1718" s="121" t="n"/>
      <s:c r="C1718" s="121" t="n"/>
      <s:c r="D1718" s="121" t="n"/>
      <s:c r="E1718" s="122" t="n"/>
    </s:row>
    <s:row r="1719" hidden="1" ht="1" customHeight="1">
      <s:c r="A1719" s="120" t="inlineStr"/>
      <s:c r="B1719" s="121" t="n"/>
      <s:c r="C1719" s="121" t="n"/>
      <s:c r="D1719" s="121" t="n"/>
      <s:c r="E1719" s="122" t="n"/>
    </s:row>
    <s:row r="1720" hidden="1" ht="1" customHeight="1">
      <s:c r="A1720" s="120" t="inlineStr"/>
      <s:c r="B1720" s="121" t="n"/>
      <s:c r="C1720" s="121" t="n"/>
      <s:c r="D1720" s="121" t="n"/>
      <s:c r="E1720" s="122" t="n"/>
    </s:row>
    <s:row r="1721" hidden="1" ht="1" customHeight="1">
      <s:c r="A1721" s="120" t="inlineStr"/>
      <s:c r="B1721" s="121" t="n"/>
      <s:c r="C1721" s="121" t="n"/>
      <s:c r="D1721" s="121" t="n"/>
      <s:c r="E1721" s="122" t="n"/>
    </s:row>
    <s:row r="1722" hidden="1" ht="1" customHeight="1">
      <s:c r="A1722" s="120" t="inlineStr"/>
      <s:c r="B1722" s="121" t="n"/>
      <s:c r="C1722" s="121" t="n"/>
      <s:c r="D1722" s="121" t="n"/>
      <s:c r="E1722" s="122" t="n"/>
    </s:row>
    <s:row r="1723" hidden="1" ht="1" customHeight="1">
      <s:c r="A1723" s="120" t="inlineStr"/>
      <s:c r="B1723" s="121" t="n"/>
      <s:c r="C1723" s="121" t="n"/>
      <s:c r="D1723" s="121" t="n"/>
      <s:c r="E1723" s="122" t="n"/>
    </s:row>
    <s:row r="1724" hidden="1" ht="1" customHeight="1">
      <s:c r="A1724" s="120" t="inlineStr"/>
      <s:c r="B1724" s="121" t="n"/>
      <s:c r="C1724" s="121" t="n"/>
      <s:c r="D1724" s="121" t="n"/>
      <s:c r="E1724" s="122" t="n"/>
    </s:row>
    <s:row r="1725" hidden="1" ht="1" customHeight="1">
      <s:c r="A1725" s="120" t="inlineStr"/>
      <s:c r="B1725" s="121" t="n"/>
      <s:c r="C1725" s="121" t="n"/>
      <s:c r="D1725" s="121" t="n"/>
      <s:c r="E1725" s="122" t="n"/>
    </s:row>
    <s:row r="1726" hidden="1" ht="1" customHeight="1">
      <s:c r="A1726" s="120" t="inlineStr"/>
      <s:c r="B1726" s="121" t="n"/>
      <s:c r="C1726" s="121" t="n"/>
      <s:c r="D1726" s="121" t="n"/>
      <s:c r="E1726" s="122" t="n"/>
    </s:row>
    <s:row r="1727" hidden="1" ht="1" customHeight="1">
      <s:c r="A1727" s="120" t="inlineStr"/>
      <s:c r="B1727" s="121" t="n"/>
      <s:c r="C1727" s="121" t="n"/>
      <s:c r="D1727" s="121" t="n"/>
      <s:c r="E1727" s="122" t="n"/>
    </s:row>
    <s:row r="1728" hidden="1" ht="1" customHeight="1">
      <s:c r="A1728" s="120" t="inlineStr"/>
      <s:c r="B1728" s="121" t="n"/>
      <s:c r="C1728" s="121" t="n"/>
      <s:c r="D1728" s="121" t="n"/>
      <s:c r="E1728" s="122" t="n"/>
    </s:row>
    <s:row r="1729" hidden="1" ht="1" customHeight="1">
      <s:c r="A1729" s="120" t="inlineStr"/>
      <s:c r="B1729" s="121" t="n"/>
      <s:c r="C1729" s="121" t="n"/>
      <s:c r="D1729" s="121" t="n"/>
      <s:c r="E1729" s="122" t="n"/>
    </s:row>
    <s:row r="1730" hidden="1" ht="1" customHeight="1">
      <s:c r="A1730" s="120" t="inlineStr"/>
      <s:c r="B1730" s="121" t="n"/>
      <s:c r="C1730" s="121" t="n"/>
      <s:c r="D1730" s="121" t="n"/>
      <s:c r="E1730" s="122" t="n"/>
    </s:row>
    <s:row r="1731" hidden="1" ht="1" customHeight="1">
      <s:c r="A1731" s="120" t="inlineStr"/>
      <s:c r="B1731" s="121" t="n"/>
      <s:c r="C1731" s="121" t="n"/>
      <s:c r="D1731" s="121" t="n"/>
      <s:c r="E1731" s="122" t="n"/>
    </s:row>
    <s:row r="1732" hidden="1" ht="1" customHeight="1">
      <s:c r="A1732" s="120" t="inlineStr"/>
      <s:c r="B1732" s="121" t="n"/>
      <s:c r="C1732" s="121" t="n"/>
      <s:c r="D1732" s="121" t="n"/>
      <s:c r="E1732" s="122" t="n"/>
    </s:row>
    <s:row r="1733" hidden="1" ht="1" customHeight="1">
      <s:c r="A1733" s="120" t="inlineStr"/>
      <s:c r="B1733" s="121" t="n"/>
      <s:c r="C1733" s="121" t="n"/>
      <s:c r="D1733" s="121" t="n"/>
      <s:c r="E1733" s="122" t="n"/>
    </s:row>
    <s:row r="1734" hidden="1" ht="1" customHeight="1">
      <s:c r="A1734" s="120" t="inlineStr"/>
      <s:c r="B1734" s="121" t="n"/>
      <s:c r="C1734" s="121" t="n"/>
      <s:c r="D1734" s="121" t="n"/>
      <s:c r="E1734" s="122" t="n"/>
    </s:row>
    <s:row r="1735" hidden="1" ht="1" customHeight="1">
      <s:c r="A1735" s="120" t="inlineStr"/>
      <s:c r="B1735" s="121" t="n"/>
      <s:c r="C1735" s="121" t="n"/>
      <s:c r="D1735" s="121" t="n"/>
      <s:c r="E1735" s="122" t="n"/>
    </s:row>
    <s:row r="1736" hidden="1" ht="1" customHeight="1">
      <s:c r="A1736" s="120" t="inlineStr"/>
      <s:c r="B1736" s="121" t="n"/>
      <s:c r="C1736" s="121" t="n"/>
      <s:c r="D1736" s="121" t="n"/>
      <s:c r="E1736" s="122" t="n"/>
    </s:row>
    <s:row r="1737" hidden="1" ht="1" customHeight="1">
      <s:c r="A1737" s="120" t="inlineStr"/>
      <s:c r="B1737" s="121" t="n"/>
      <s:c r="C1737" s="121" t="n"/>
      <s:c r="D1737" s="121" t="n"/>
      <s:c r="E1737" s="122" t="n"/>
    </s:row>
    <s:row r="1738" hidden="1" ht="1" customHeight="1">
      <s:c r="A1738" s="83" t="inlineStr">
        <s:is>
          <s:t>PASS</s:t>
        </s:is>
      </s:c>
      <s:c r="B1738" s="83">
        <s:f>SUM(IF(EXACT('Kiểm thử'!E1688,"Đạt"),1,0))</s:f>
        <s:v/>
      </s:c>
      <s:c r="C1738" s="19" t="n"/>
      <s:c r="D1738" s="19" t="n"/>
      <s:c r="E1738" s="19" t="n"/>
    </s:row>
    <s:row r="1739" hidden="1" ht="1" customHeight="1">
      <s:c r="A1739" s="83" t="inlineStr">
        <s:is>
          <s:t>FAIL</s:t>
        </s:is>
      </s:c>
      <s:c r="B1739" s="83">
        <s:f>SUM(IF(EXACT('Kiểm thử'!E1688,"Không đạt"),1,0))</s:f>
        <s:v/>
      </s:c>
      <s:c r="C1739" s="19" t="n"/>
      <s:c r="D1739" s="19" t="n"/>
      <s:c r="E1739" s="19" t="n"/>
    </s:row>
    <s:row r="1740" hidden="1" ht="1" customHeight="1">
      <s:c r="A1740" s="83" t="inlineStr">
        <s:is>
          <s:t>BLOCKED</s:t>
        </s:is>
      </s:c>
      <s:c r="B1740" s="83">
        <s:f>SUM(IF(EXACT('Kiểm thử'!E1688,"Bị chặn"),1,0))</s:f>
        <s:v/>
      </s:c>
      <s:c r="C1740" s="19" t="n"/>
      <s:c r="D1740" s="19" t="n"/>
      <s:c r="E1740" s="19" t="n"/>
    </s:row>
    <s:row r="1741" hidden="1" ht="1" customHeight="1">
      <s:c r="A1741" s="83" t="inlineStr">
        <s:is>
          <s:t>SKIPPED</s:t>
        </s:is>
      </s:c>
      <s:c r="B1741" s="83">
        <s:f>SUM(IF(EXACT('Kiểm thử'!E1688,"Không thực hiện"),1,0))</s:f>
        <s:v/>
      </s:c>
      <s:c r="C1741" s="19" t="n"/>
      <s:c r="D1741" s="19" t="n"/>
      <s:c r="E1741" s="19" t="n"/>
    </s:row>
    <s:row r="1742" hidden="1" ht="1" customHeight="1">
      <s:c r="A1742" s="83" t="inlineStr">
        <s:is>
          <s:t>NOT RUN</s:t>
        </s:is>
      </s:c>
      <s:c r="B1742" s="83">
        <s:f>SUM(IF(EXACT('Kiểm thử'!E1688,"Chưa thực hiện"),1,0))</s:f>
        <s:v/>
      </s:c>
      <s:c r="C1742" s="19" t="n"/>
      <s:c r="D1742" s="19" t="n"/>
      <s:c r="E1742" s="19" t="n"/>
    </s:row>
    <s:row r="1743" hidden="1" ht="6" customHeight="1">
      <s:c r="A1743" s="83" t="inlineStr"/>
      <s:c r="B1743" s="19" t="n"/>
      <s:c r="C1743" s="19" t="n"/>
      <s:c r="D1743" s="19" t="n"/>
      <s:c r="E1743" s="19" t="n"/>
    </s:row>
    <s:row r="1744" ht="28" customHeight="1">
      <s:c r="A1744" s="108" t="inlineStr">
        <s:is>
          <s:t>TC-RS-UI-004 — Tóm tắt điều kiện và ngưỡng trên từng dòng danh sách</s:t>
        </s:is>
      </s:c>
      <s:c r="B1744" s="111" t="n"/>
      <s:c r="C1744" s="111" t="n"/>
      <s:c r="D1744" s="111" t="n"/>
      <s:c r="E1744" s="111" t="n"/>
    </s:row>
    <s:row r="1745" ht="20" customHeight="1">
      <s:c r="A1745" s="112" t="inlineStr">
        <s:is>
          <s:t>Kết quả tình huống</s:t>
        </s:is>
      </s:c>
      <s:c r="B1745" s="113">
        <s:f>IF(SUM(IF(EXACT('Kiểm thử'!E1752,"Không đạt"),1,0))&gt;0,"Không đạt",IF(SUM(IF(EXACT('Kiểm thử'!E1752,"Đạt"),1,0))=1,"Đạt",IF(SUM(IF(EXACT('Kiểm thử'!E1752,"Không thực hiện"),1,0))=1,"Không thực hiện",IF(SUM(IF(EXACT('Kiểm thử'!E1752,"Bị chặn"),1,0))&gt;0,"Bị chặn",IF(SUM(IF(EXACT('Kiểm thử'!E1752,"Chưa thực hiện"),1,0))=1,"Chưa thực hiện","Đang thực hiện")))))</s:f>
        <s:v/>
      </s:c>
      <s:c r="C1745" s="114" t="n"/>
      <s:c r="D1745" s="114" t="n"/>
      <s:c r="E1745" s="114" t="n"/>
    </s:row>
    <s:row r="1746" ht="20" customHeight="1">
      <s:c r="A1746" s="112" t="inlineStr">
        <s:is>
          <s:t>Màn hình / chức năng</s:t>
        </s:is>
      </s:c>
      <s:c r="B1746" s="113" t="inlineStr">
        <s:is>
          <s:r>
            <s:rPr>
              <s:b val="1"/>
            </s:rPr>
            <s:t>Thiết lập điểm đỏ（赤点設定）</s:t>
          </s:r>
        </s:is>
      </s:c>
      <s:c r="C1746" s="28" t="n"/>
      <s:c r="D1746" s="28" t="n"/>
      <s:c r="E1746" s="28" t="n"/>
    </s:row>
    <s:row r="1747" ht="34" customHeight="1">
      <s:c r="A1747" s="112" t="inlineStr">
        <s:is>
          <s:t>Cấu hình</s:t>
        </s:is>
      </s:c>
      <s:c r="B1747" s="113" t="inlineStr">
        <s:is>
          <s:r>
            <s:t>• Mục số nguyên (</s:t>
          </s:r>
          <s:r>
            <s:rPr>
              <s:b val="1"/>
            </s:rPr>
            <s:t>M=100</s:t>
          </s:r>
          <s:r>
            <s:t>) có cặp quy tắc phân nhánh theo trung bình 60 và một quy tắc công thức hai dòng (trung bình ÷ 2 × 0.8).</s:t>
          </s:r>
        </s:is>
      </s:c>
      <s:c r="C1747" s="28" t="n"/>
      <s:c r="D1747" s="28" t="n"/>
      <s:c r="E1747" s="28" t="n"/>
    </s:row>
    <s:row r="1748" ht="34" customHeight="1">
      <s:c r="A1748" s="112" t="inlineStr">
        <s:is>
          <s:t>Dữ liệu test</s:t>
        </s:is>
      </s:c>
      <s:c r="B1748" s="113" t="inlineStr">
        <s:is>
          <s:r>
            <s:t>• Mục số nguyên (</s:t>
          </s:r>
          <s:r>
            <s:rPr>
              <s:b val="1"/>
            </s:rPr>
            <s:t>M=100</s:t>
          </s:r>
          <s:r>
            <s:t>);
• Quy tắc công thức hai dòng (trung bình ÷ 2 × 0.8), cặp quy tắc phân nhánh theo trung bình 60</s:t>
          </s:r>
        </s:is>
      </s:c>
      <s:c r="C1748" s="28" t="n"/>
      <s:c r="D1748" s="28" t="n"/>
      <s:c r="E1748" s="28" t="n"/>
    </s:row>
    <s:row r="1749" ht="20" customHeight="1">
      <s:c r="A1749" s="112" t="inlineStr">
        <s:is>
          <s:t>•</s:t>
        </s:is>
      </s:c>
      <s:c r="B1749" s="113" t="inlineStr">
        <s:is>
          <s:r>
            <s:t xml:space="preserve">Xem cột </s:t>
          </s:r>
          <s:r>
            <s:rPr>
              <s:b val="1"/>
            </s:rPr>
            <s:t>Điều kiện áp dụng（適用条件）</s:t>
          </s:r>
          <s:r>
            <s:t xml:space="preserve"> </s:t>
          </s:r>
          <s:r>
            <s:rPr>
              <s:b val="1"/>
            </s:rPr>
            <s:t>và Ngưỡng đỏ（赤点の基準）</s:t>
          </s:r>
          <s:r>
            <s:t xml:space="preserve"> của từng dòng.</s:t>
          </s:r>
        </s:is>
      </s:c>
      <s:c r="C1749" s="28" t="n"/>
      <s:c r="D1749" s="28" t="n"/>
      <s:c r="E1749" s="28" t="n"/>
    </s:row>
    <s:row r="1750" ht="28" customHeight="1">
      <s:c r="A1750" s="115" t="inlineStr">
        <s:is>
          <s:t>Trường hợp</s:t>
        </s:is>
      </s:c>
      <s:c r="B1750" s="115" t="inlineStr">
        <s:is>
          <s:t>Dữ liệu / thao tác riêng</s:t>
        </s:is>
      </s:c>
      <s:c r="C1750" s="115" t="inlineStr">
        <s:is>
          <s:t>Kết quả mong đợi</s:t>
        </s:is>
      </s:c>
      <s:c r="D1750" s="115" t="inlineStr">
        <s:is>
          <s:t>Kết quả thực tế</s:t>
        </s:is>
      </s:c>
      <s:c r="E1750" s="115" t="inlineStr">
        <s:is>
          <s:t>Đánh giá</s:t>
        </s:is>
      </s:c>
    </s:row>
    <s:row r="1751" ht="3" customHeight="1">
      <s:c r="A1751" s="102" t="inlineStr"/>
      <s:c r="B1751" s="99" t="n"/>
      <s:c r="C1751" s="99" t="n"/>
      <s:c r="D1751" s="116" t="n"/>
      <s:c r="E1751" s="116" t="n"/>
    </s:row>
    <s:row r="1752" ht="76" customHeight="1">
      <s:c r="A1752" s="83" t="inlineStr">
        <s:is>
          <s:t>Trường hợp cơ bản (Base)</s:t>
        </s:is>
      </s:c>
      <s:c r="B1752" s="83" t="inlineStr">
        <s:is>
          <s:t>Toàn bộ tình huống: Thực hiện đủ các bước chung theo thứ tự; kiểm cả đối tượng đích và đối chứng cùng fixture, không bỏ bước.</s:t>
        </s:is>
      </s:c>
      <s:c r="C1752" s="83" t="inlineStr">
        <s:is>
          <s:t>Mỗi dòng cho biết môn/nguồn/mốc của điều kiện, loại ngưỡng, giá trị, dấu so sánh; dòng công thức cho thấy các dòng tính và xử lý phần lẻ. Định dạng theo Figma (đề xuất).</s:t>
        </s:is>
      </s:c>
      <s:c r="D1752" s="117" t="inlineStr"/>
      <s:c r="E1752" s="118" t="inlineStr">
        <s:is>
          <s:t>Chưa thực hiện</s:t>
        </s:is>
      </s:c>
    </s:row>
    <s:row r="1753" ht="20" customHeight="1">
      <s:c r="A1753" s="119" t="inlineStr">
        <s:is>
          <s:t>Ảnh minh chứng — Chưa có ảnh</s:t>
        </s:is>
      </s:c>
      <s:c r="B1753" s="19" t="n"/>
      <s:c r="C1753" s="19" t="n"/>
      <s:c r="D1753" s="19" t="n"/>
      <s:c r="E1753" s="19" t="n"/>
    </s:row>
    <s:row r="1754" hidden="1" ht="1" customHeight="1">
      <s:c r="A1754" s="120" t="inlineStr"/>
      <s:c r="B1754" s="121" t="n"/>
      <s:c r="C1754" s="121" t="n"/>
      <s:c r="D1754" s="121" t="n"/>
      <s:c r="E1754" s="122" t="n"/>
    </s:row>
    <s:row r="1755" hidden="1" ht="1" customHeight="1">
      <s:c r="A1755" s="120" t="inlineStr"/>
      <s:c r="B1755" s="121" t="n"/>
      <s:c r="C1755" s="121" t="n"/>
      <s:c r="D1755" s="121" t="n"/>
      <s:c r="E1755" s="122" t="n"/>
    </s:row>
    <s:row r="1756" hidden="1" ht="1" customHeight="1">
      <s:c r="A1756" s="120" t="inlineStr"/>
      <s:c r="B1756" s="121" t="n"/>
      <s:c r="C1756" s="121" t="n"/>
      <s:c r="D1756" s="121" t="n"/>
      <s:c r="E1756" s="122" t="n"/>
    </s:row>
    <s:row r="1757" hidden="1" ht="1" customHeight="1">
      <s:c r="A1757" s="120" t="inlineStr"/>
      <s:c r="B1757" s="121" t="n"/>
      <s:c r="C1757" s="121" t="n"/>
      <s:c r="D1757" s="121" t="n"/>
      <s:c r="E1757" s="122" t="n"/>
    </s:row>
    <s:row r="1758" hidden="1" ht="1" customHeight="1">
      <s:c r="A1758" s="120" t="inlineStr"/>
      <s:c r="B1758" s="121" t="n"/>
      <s:c r="C1758" s="121" t="n"/>
      <s:c r="D1758" s="121" t="n"/>
      <s:c r="E1758" s="122" t="n"/>
    </s:row>
    <s:row r="1759" hidden="1" ht="1" customHeight="1">
      <s:c r="A1759" s="120" t="inlineStr"/>
      <s:c r="B1759" s="121" t="n"/>
      <s:c r="C1759" s="121" t="n"/>
      <s:c r="D1759" s="121" t="n"/>
      <s:c r="E1759" s="122" t="n"/>
    </s:row>
    <s:row r="1760" hidden="1" ht="1" customHeight="1">
      <s:c r="A1760" s="120" t="inlineStr"/>
      <s:c r="B1760" s="121" t="n"/>
      <s:c r="C1760" s="121" t="n"/>
      <s:c r="D1760" s="121" t="n"/>
      <s:c r="E1760" s="122" t="n"/>
    </s:row>
    <s:row r="1761" hidden="1" ht="1" customHeight="1">
      <s:c r="A1761" s="120" t="inlineStr"/>
      <s:c r="B1761" s="121" t="n"/>
      <s:c r="C1761" s="121" t="n"/>
      <s:c r="D1761" s="121" t="n"/>
      <s:c r="E1761" s="122" t="n"/>
    </s:row>
    <s:row r="1762" hidden="1" ht="1" customHeight="1">
      <s:c r="A1762" s="120" t="inlineStr"/>
      <s:c r="B1762" s="121" t="n"/>
      <s:c r="C1762" s="121" t="n"/>
      <s:c r="D1762" s="121" t="n"/>
      <s:c r="E1762" s="122" t="n"/>
    </s:row>
    <s:row r="1763" hidden="1" ht="1" customHeight="1">
      <s:c r="A1763" s="120" t="inlineStr"/>
      <s:c r="B1763" s="121" t="n"/>
      <s:c r="C1763" s="121" t="n"/>
      <s:c r="D1763" s="121" t="n"/>
      <s:c r="E1763" s="122" t="n"/>
    </s:row>
    <s:row r="1764" hidden="1" ht="1" customHeight="1">
      <s:c r="A1764" s="120" t="inlineStr"/>
      <s:c r="B1764" s="121" t="n"/>
      <s:c r="C1764" s="121" t="n"/>
      <s:c r="D1764" s="121" t="n"/>
      <s:c r="E1764" s="122" t="n"/>
    </s:row>
    <s:row r="1765" hidden="1" ht="1" customHeight="1">
      <s:c r="A1765" s="120" t="inlineStr"/>
      <s:c r="B1765" s="121" t="n"/>
      <s:c r="C1765" s="121" t="n"/>
      <s:c r="D1765" s="121" t="n"/>
      <s:c r="E1765" s="122" t="n"/>
    </s:row>
    <s:row r="1766" hidden="1" ht="1" customHeight="1">
      <s:c r="A1766" s="120" t="inlineStr"/>
      <s:c r="B1766" s="121" t="n"/>
      <s:c r="C1766" s="121" t="n"/>
      <s:c r="D1766" s="121" t="n"/>
      <s:c r="E1766" s="122" t="n"/>
    </s:row>
    <s:row r="1767" hidden="1" ht="1" customHeight="1">
      <s:c r="A1767" s="120" t="inlineStr"/>
      <s:c r="B1767" s="121" t="n"/>
      <s:c r="C1767" s="121" t="n"/>
      <s:c r="D1767" s="121" t="n"/>
      <s:c r="E1767" s="122" t="n"/>
    </s:row>
    <s:row r="1768" hidden="1" ht="1" customHeight="1">
      <s:c r="A1768" s="120" t="inlineStr"/>
      <s:c r="B1768" s="121" t="n"/>
      <s:c r="C1768" s="121" t="n"/>
      <s:c r="D1768" s="121" t="n"/>
      <s:c r="E1768" s="122" t="n"/>
    </s:row>
    <s:row r="1769" hidden="1" ht="1" customHeight="1">
      <s:c r="A1769" s="120" t="inlineStr"/>
      <s:c r="B1769" s="121" t="n"/>
      <s:c r="C1769" s="121" t="n"/>
      <s:c r="D1769" s="121" t="n"/>
      <s:c r="E1769" s="122" t="n"/>
    </s:row>
    <s:row r="1770" hidden="1" ht="1" customHeight="1">
      <s:c r="A1770" s="120" t="inlineStr"/>
      <s:c r="B1770" s="121" t="n"/>
      <s:c r="C1770" s="121" t="n"/>
      <s:c r="D1770" s="121" t="n"/>
      <s:c r="E1770" s="122" t="n"/>
    </s:row>
    <s:row r="1771" hidden="1" ht="1" customHeight="1">
      <s:c r="A1771" s="120" t="inlineStr"/>
      <s:c r="B1771" s="121" t="n"/>
      <s:c r="C1771" s="121" t="n"/>
      <s:c r="D1771" s="121" t="n"/>
      <s:c r="E1771" s="122" t="n"/>
    </s:row>
    <s:row r="1772" hidden="1" ht="1" customHeight="1">
      <s:c r="A1772" s="120" t="inlineStr"/>
      <s:c r="B1772" s="121" t="n"/>
      <s:c r="C1772" s="121" t="n"/>
      <s:c r="D1772" s="121" t="n"/>
      <s:c r="E1772" s="122" t="n"/>
    </s:row>
    <s:row r="1773" hidden="1" ht="1" customHeight="1">
      <s:c r="A1773" s="120" t="inlineStr"/>
      <s:c r="B1773" s="121" t="n"/>
      <s:c r="C1773" s="121" t="n"/>
      <s:c r="D1773" s="121" t="n"/>
      <s:c r="E1773" s="122" t="n"/>
    </s:row>
    <s:row r="1774" hidden="1" ht="1" customHeight="1">
      <s:c r="A1774" s="120" t="inlineStr"/>
      <s:c r="B1774" s="121" t="n"/>
      <s:c r="C1774" s="121" t="n"/>
      <s:c r="D1774" s="121" t="n"/>
      <s:c r="E1774" s="122" t="n"/>
    </s:row>
    <s:row r="1775" hidden="1" ht="1" customHeight="1">
      <s:c r="A1775" s="120" t="inlineStr"/>
      <s:c r="B1775" s="121" t="n"/>
      <s:c r="C1775" s="121" t="n"/>
      <s:c r="D1775" s="121" t="n"/>
      <s:c r="E1775" s="122" t="n"/>
    </s:row>
    <s:row r="1776" hidden="1" ht="1" customHeight="1">
      <s:c r="A1776" s="120" t="inlineStr"/>
      <s:c r="B1776" s="121" t="n"/>
      <s:c r="C1776" s="121" t="n"/>
      <s:c r="D1776" s="121" t="n"/>
      <s:c r="E1776" s="122" t="n"/>
    </s:row>
    <s:row r="1777" hidden="1" ht="1" customHeight="1">
      <s:c r="A1777" s="120" t="inlineStr"/>
      <s:c r="B1777" s="121" t="n"/>
      <s:c r="C1777" s="121" t="n"/>
      <s:c r="D1777" s="121" t="n"/>
      <s:c r="E1777" s="122" t="n"/>
    </s:row>
    <s:row r="1778" hidden="1" ht="1" customHeight="1">
      <s:c r="A1778" s="120" t="inlineStr"/>
      <s:c r="B1778" s="121" t="n"/>
      <s:c r="C1778" s="121" t="n"/>
      <s:c r="D1778" s="121" t="n"/>
      <s:c r="E1778" s="122" t="n"/>
    </s:row>
    <s:row r="1779" hidden="1" ht="1" customHeight="1">
      <s:c r="A1779" s="120" t="inlineStr"/>
      <s:c r="B1779" s="121" t="n"/>
      <s:c r="C1779" s="121" t="n"/>
      <s:c r="D1779" s="121" t="n"/>
      <s:c r="E1779" s="122" t="n"/>
    </s:row>
    <s:row r="1780" hidden="1" ht="1" customHeight="1">
      <s:c r="A1780" s="120" t="inlineStr"/>
      <s:c r="B1780" s="121" t="n"/>
      <s:c r="C1780" s="121" t="n"/>
      <s:c r="D1780" s="121" t="n"/>
      <s:c r="E1780" s="122" t="n"/>
    </s:row>
    <s:row r="1781" hidden="1" ht="1" customHeight="1">
      <s:c r="A1781" s="120" t="inlineStr"/>
      <s:c r="B1781" s="121" t="n"/>
      <s:c r="C1781" s="121" t="n"/>
      <s:c r="D1781" s="121" t="n"/>
      <s:c r="E1781" s="122" t="n"/>
    </s:row>
    <s:row r="1782" hidden="1" ht="1" customHeight="1">
      <s:c r="A1782" s="120" t="inlineStr"/>
      <s:c r="B1782" s="121" t="n"/>
      <s:c r="C1782" s="121" t="n"/>
      <s:c r="D1782" s="121" t="n"/>
      <s:c r="E1782" s="122" t="n"/>
    </s:row>
    <s:row r="1783" hidden="1" ht="1" customHeight="1">
      <s:c r="A1783" s="120" t="inlineStr"/>
      <s:c r="B1783" s="121" t="n"/>
      <s:c r="C1783" s="121" t="n"/>
      <s:c r="D1783" s="121" t="n"/>
      <s:c r="E1783" s="122" t="n"/>
    </s:row>
    <s:row r="1784" hidden="1" ht="1" customHeight="1">
      <s:c r="A1784" s="120" t="inlineStr"/>
      <s:c r="B1784" s="121" t="n"/>
      <s:c r="C1784" s="121" t="n"/>
      <s:c r="D1784" s="121" t="n"/>
      <s:c r="E1784" s="122" t="n"/>
    </s:row>
    <s:row r="1785" hidden="1" ht="1" customHeight="1">
      <s:c r="A1785" s="120" t="inlineStr"/>
      <s:c r="B1785" s="121" t="n"/>
      <s:c r="C1785" s="121" t="n"/>
      <s:c r="D1785" s="121" t="n"/>
      <s:c r="E1785" s="122" t="n"/>
    </s:row>
    <s:row r="1786" hidden="1" ht="1" customHeight="1">
      <s:c r="A1786" s="120" t="inlineStr"/>
      <s:c r="B1786" s="121" t="n"/>
      <s:c r="C1786" s="121" t="n"/>
      <s:c r="D1786" s="121" t="n"/>
      <s:c r="E1786" s="122" t="n"/>
    </s:row>
    <s:row r="1787" hidden="1" ht="1" customHeight="1">
      <s:c r="A1787" s="120" t="inlineStr"/>
      <s:c r="B1787" s="121" t="n"/>
      <s:c r="C1787" s="121" t="n"/>
      <s:c r="D1787" s="121" t="n"/>
      <s:c r="E1787" s="122" t="n"/>
    </s:row>
    <s:row r="1788" hidden="1" ht="1" customHeight="1">
      <s:c r="A1788" s="120" t="inlineStr"/>
      <s:c r="B1788" s="121" t="n"/>
      <s:c r="C1788" s="121" t="n"/>
      <s:c r="D1788" s="121" t="n"/>
      <s:c r="E1788" s="122" t="n"/>
    </s:row>
    <s:row r="1789" hidden="1" ht="1" customHeight="1">
      <s:c r="A1789" s="120" t="inlineStr"/>
      <s:c r="B1789" s="121" t="n"/>
      <s:c r="C1789" s="121" t="n"/>
      <s:c r="D1789" s="121" t="n"/>
      <s:c r="E1789" s="122" t="n"/>
    </s:row>
    <s:row r="1790" hidden="1" ht="1" customHeight="1">
      <s:c r="A1790" s="120" t="inlineStr"/>
      <s:c r="B1790" s="121" t="n"/>
      <s:c r="C1790" s="121" t="n"/>
      <s:c r="D1790" s="121" t="n"/>
      <s:c r="E1790" s="122" t="n"/>
    </s:row>
    <s:row r="1791" hidden="1" ht="1" customHeight="1">
      <s:c r="A1791" s="120" t="inlineStr"/>
      <s:c r="B1791" s="121" t="n"/>
      <s:c r="C1791" s="121" t="n"/>
      <s:c r="D1791" s="121" t="n"/>
      <s:c r="E1791" s="122" t="n"/>
    </s:row>
    <s:row r="1792" hidden="1" ht="1" customHeight="1">
      <s:c r="A1792" s="120" t="inlineStr"/>
      <s:c r="B1792" s="121" t="n"/>
      <s:c r="C1792" s="121" t="n"/>
      <s:c r="D1792" s="121" t="n"/>
      <s:c r="E1792" s="122" t="n"/>
    </s:row>
    <s:row r="1793" hidden="1" ht="1" customHeight="1">
      <s:c r="A1793" s="120" t="inlineStr"/>
      <s:c r="B1793" s="121" t="n"/>
      <s:c r="C1793" s="121" t="n"/>
      <s:c r="D1793" s="121" t="n"/>
      <s:c r="E1793" s="122" t="n"/>
    </s:row>
    <s:row r="1794" hidden="1" ht="1" customHeight="1">
      <s:c r="A1794" s="120" t="inlineStr"/>
      <s:c r="B1794" s="121" t="n"/>
      <s:c r="C1794" s="121" t="n"/>
      <s:c r="D1794" s="121" t="n"/>
      <s:c r="E1794" s="122" t="n"/>
    </s:row>
    <s:row r="1795" hidden="1" ht="1" customHeight="1">
      <s:c r="A1795" s="120" t="inlineStr"/>
      <s:c r="B1795" s="121" t="n"/>
      <s:c r="C1795" s="121" t="n"/>
      <s:c r="D1795" s="121" t="n"/>
      <s:c r="E1795" s="122" t="n"/>
    </s:row>
    <s:row r="1796" hidden="1" ht="1" customHeight="1">
      <s:c r="A1796" s="120" t="inlineStr"/>
      <s:c r="B1796" s="121" t="n"/>
      <s:c r="C1796" s="121" t="n"/>
      <s:c r="D1796" s="121" t="n"/>
      <s:c r="E1796" s="122" t="n"/>
    </s:row>
    <s:row r="1797" hidden="1" ht="1" customHeight="1">
      <s:c r="A1797" s="120" t="inlineStr"/>
      <s:c r="B1797" s="121" t="n"/>
      <s:c r="C1797" s="121" t="n"/>
      <s:c r="D1797" s="121" t="n"/>
      <s:c r="E1797" s="122" t="n"/>
    </s:row>
    <s:row r="1798" hidden="1" ht="1" customHeight="1">
      <s:c r="A1798" s="120" t="inlineStr"/>
      <s:c r="B1798" s="121" t="n"/>
      <s:c r="C1798" s="121" t="n"/>
      <s:c r="D1798" s="121" t="n"/>
      <s:c r="E1798" s="122" t="n"/>
    </s:row>
    <s:row r="1799" hidden="1" ht="1" customHeight="1">
      <s:c r="A1799" s="120" t="inlineStr"/>
      <s:c r="B1799" s="121" t="n"/>
      <s:c r="C1799" s="121" t="n"/>
      <s:c r="D1799" s="121" t="n"/>
      <s:c r="E1799" s="122" t="n"/>
    </s:row>
    <s:row r="1800" hidden="1" ht="1" customHeight="1">
      <s:c r="A1800" s="120" t="inlineStr"/>
      <s:c r="B1800" s="121" t="n"/>
      <s:c r="C1800" s="121" t="n"/>
      <s:c r="D1800" s="121" t="n"/>
      <s:c r="E1800" s="122" t="n"/>
    </s:row>
    <s:row r="1801" hidden="1" ht="1" customHeight="1">
      <s:c r="A1801" s="120" t="inlineStr"/>
      <s:c r="B1801" s="121" t="n"/>
      <s:c r="C1801" s="121" t="n"/>
      <s:c r="D1801" s="121" t="n"/>
      <s:c r="E1801" s="122" t="n"/>
    </s:row>
    <s:row r="1802" hidden="1" ht="1" customHeight="1">
      <s:c r="A1802" s="83" t="inlineStr">
        <s:is>
          <s:t>PASS</s:t>
        </s:is>
      </s:c>
      <s:c r="B1802" s="83">
        <s:f>SUM(IF(EXACT('Kiểm thử'!E1752,"Đạt"),1,0))</s:f>
        <s:v/>
      </s:c>
      <s:c r="C1802" s="19" t="n"/>
      <s:c r="D1802" s="19" t="n"/>
      <s:c r="E1802" s="19" t="n"/>
    </s:row>
    <s:row r="1803" hidden="1" ht="1" customHeight="1">
      <s:c r="A1803" s="83" t="inlineStr">
        <s:is>
          <s:t>FAIL</s:t>
        </s:is>
      </s:c>
      <s:c r="B1803" s="83">
        <s:f>SUM(IF(EXACT('Kiểm thử'!E1752,"Không đạt"),1,0))</s:f>
        <s:v/>
      </s:c>
      <s:c r="C1803" s="19" t="n"/>
      <s:c r="D1803" s="19" t="n"/>
      <s:c r="E1803" s="19" t="n"/>
    </s:row>
    <s:row r="1804" hidden="1" ht="1" customHeight="1">
      <s:c r="A1804" s="83" t="inlineStr">
        <s:is>
          <s:t>BLOCKED</s:t>
        </s:is>
      </s:c>
      <s:c r="B1804" s="83">
        <s:f>SUM(IF(EXACT('Kiểm thử'!E1752,"Bị chặn"),1,0))</s:f>
        <s:v/>
      </s:c>
      <s:c r="C1804" s="19" t="n"/>
      <s:c r="D1804" s="19" t="n"/>
      <s:c r="E1804" s="19" t="n"/>
    </s:row>
    <s:row r="1805" hidden="1" ht="1" customHeight="1">
      <s:c r="A1805" s="83" t="inlineStr">
        <s:is>
          <s:t>SKIPPED</s:t>
        </s:is>
      </s:c>
      <s:c r="B1805" s="83">
        <s:f>SUM(IF(EXACT('Kiểm thử'!E1752,"Không thực hiện"),1,0))</s:f>
        <s:v/>
      </s:c>
      <s:c r="C1805" s="19" t="n"/>
      <s:c r="D1805" s="19" t="n"/>
      <s:c r="E1805" s="19" t="n"/>
    </s:row>
    <s:row r="1806" hidden="1" ht="1" customHeight="1">
      <s:c r="A1806" s="83" t="inlineStr">
        <s:is>
          <s:t>NOT RUN</s:t>
        </s:is>
      </s:c>
      <s:c r="B1806" s="83">
        <s:f>SUM(IF(EXACT('Kiểm thử'!E1752,"Chưa thực hiện"),1,0))</s:f>
        <s:v/>
      </s:c>
      <s:c r="C1806" s="19" t="n"/>
      <s:c r="D1806" s="19" t="n"/>
      <s:c r="E1806" s="19" t="n"/>
    </s:row>
    <s:row r="1807" hidden="1" ht="6" customHeight="1">
      <s:c r="A1807" s="83" t="inlineStr"/>
      <s:c r="B1807" s="19" t="n"/>
      <s:c r="C1807" s="19" t="n"/>
      <s:c r="D1807" s="19" t="n"/>
      <s:c r="E1807" s="19" t="n"/>
    </s:row>
    <s:row r="1808" ht="28" customHeight="1">
      <s:c r="A1808" s="108" t="inlineStr">
        <s:is>
          <s:t>TC-RS-UI-005 — Trạng thái danh sách trống</s:t>
        </s:is>
      </s:c>
      <s:c r="B1808" s="111" t="n"/>
      <s:c r="C1808" s="111" t="n"/>
      <s:c r="D1808" s="111" t="n"/>
      <s:c r="E1808" s="111" t="n"/>
    </s:row>
    <s:row r="1809" ht="20" customHeight="1">
      <s:c r="A1809" s="112" t="inlineStr">
        <s:is>
          <s:t>Kết quả tình huống</s:t>
        </s:is>
      </s:c>
      <s:c r="B1809" s="113">
        <s:f>IF(SUM(IF(EXACT('Kiểm thử'!E1816,"Không đạt"),1,0))&gt;0,"Không đạt",IF(SUM(IF(EXACT('Kiểm thử'!E1816,"Đạt"),1,0))=1,"Đạt",IF(SUM(IF(EXACT('Kiểm thử'!E1816,"Không thực hiện"),1,0))=1,"Không thực hiện",IF(SUM(IF(EXACT('Kiểm thử'!E1816,"Bị chặn"),1,0))&gt;0,"Bị chặn",IF(SUM(IF(EXACT('Kiểm thử'!E1816,"Chưa thực hiện"),1,0))=1,"Chưa thực hiện","Đang thực hiện")))))</s:f>
        <s:v/>
      </s:c>
      <s:c r="C1809" s="114" t="n"/>
      <s:c r="D1809" s="114" t="n"/>
      <s:c r="E1809" s="114" t="n"/>
    </s:row>
    <s:row r="1810" ht="20" customHeight="1">
      <s:c r="A1810" s="112" t="inlineStr">
        <s:is>
          <s:t>Màn hình / chức năng</s:t>
        </s:is>
      </s:c>
      <s:c r="B1810" s="113" t="inlineStr">
        <s:is>
          <s:r>
            <s:rPr>
              <s:b val="1"/>
            </s:rPr>
            <s:t>Thiết lập điểm đỏ（赤点設定）</s:t>
          </s:r>
        </s:is>
      </s:c>
      <s:c r="C1810" s="28" t="n"/>
      <s:c r="D1810" s="28" t="n"/>
      <s:c r="E1810" s="28" t="n"/>
    </s:row>
    <s:row r="1811" ht="20" customHeight="1">
      <s:c r="A1811" s="112" t="inlineStr">
        <s:is>
          <s:t>Cấu hình</s:t>
        </s:is>
      </s:c>
      <s:c r="B1811" s="113" t="inlineStr">
        <s:is>
          <s:r>
            <s:t>• Mục số nguyên (</s:t>
          </s:r>
          <s:r>
            <s:rPr>
              <s:b val="1"/>
            </s:rPr>
            <s:t>M=100</s:t>
          </s:r>
          <s:r>
            <s:t>) không có quy tắc.</s:t>
          </s:r>
        </s:is>
      </s:c>
      <s:c r="C1811" s="28" t="n"/>
      <s:c r="D1811" s="28" t="n"/>
      <s:c r="E1811" s="28" t="n"/>
    </s:row>
    <s:row r="1812" ht="20" customHeight="1">
      <s:c r="A1812" s="112" t="inlineStr">
        <s:is>
          <s:t>Dữ liệu test</s:t>
        </s:is>
      </s:c>
      <s:c r="B1812" s="113" t="inlineStr">
        <s:is>
          <s:r>
            <s:t>• Mục số nguyên (</s:t>
          </s:r>
          <s:r>
            <s:rPr>
              <s:b val="1"/>
            </s:rPr>
            <s:t>M=100</s:t>
          </s:r>
          <s:r>
            <s:t>)</s:t>
          </s:r>
        </s:is>
      </s:c>
      <s:c r="C1812" s="28" t="n"/>
      <s:c r="D1812" s="28" t="n"/>
      <s:c r="E1812" s="28" t="n"/>
    </s:row>
    <s:row r="1813" ht="20" customHeight="1">
      <s:c r="A1813" s="112" t="inlineStr">
        <s:is>
          <s:t>•</s:t>
        </s:is>
      </s:c>
      <s:c r="B1813" s="113" t="inlineStr">
        <s:is>
          <s:t>Mở danh sách.</s:t>
        </s:is>
      </s:c>
      <s:c r="C1813" s="28" t="n"/>
      <s:c r="D1813" s="28" t="n"/>
      <s:c r="E1813" s="28" t="n"/>
    </s:row>
    <s:row r="1814" ht="28" customHeight="1">
      <s:c r="A1814" s="115" t="inlineStr">
        <s:is>
          <s:t>Trường hợp</s:t>
        </s:is>
      </s:c>
      <s:c r="B1814" s="115" t="inlineStr">
        <s:is>
          <s:t>Dữ liệu / thao tác riêng</s:t>
        </s:is>
      </s:c>
      <s:c r="C1814" s="115" t="inlineStr">
        <s:is>
          <s:t>Kết quả mong đợi</s:t>
        </s:is>
      </s:c>
      <s:c r="D1814" s="115" t="inlineStr">
        <s:is>
          <s:t>Kết quả thực tế</s:t>
        </s:is>
      </s:c>
      <s:c r="E1814" s="115" t="inlineStr">
        <s:is>
          <s:t>Đánh giá</s:t>
        </s:is>
      </s:c>
    </s:row>
    <s:row r="1815" ht="3" customHeight="1">
      <s:c r="A1815" s="102" t="inlineStr"/>
      <s:c r="B1815" s="99" t="n"/>
      <s:c r="C1815" s="99" t="n"/>
      <s:c r="D1815" s="116" t="n"/>
      <s:c r="E1815" s="116" t="n"/>
    </s:row>
    <s:row r="1816" ht="62" customHeight="1">
      <s:c r="A1816" s="83" t="inlineStr">
        <s:is>
          <s:t>Trường hợp cơ bản (Base)</s:t>
        </s:is>
      </s:c>
      <s:c r="B1816" s="83" t="inlineStr">
        <s:is>
          <s:t>Toàn bộ tình huống: Thực hiện đủ các bước chung theo thứ tự; kiểm cả đối tượng đích và đối chứng cùng fixture, không bỏ bước.</s:t>
        </s:is>
      </s:c>
      <s:c r="C1816" s="83" t="inlineStr">
        <s:is>
          <s:t>Hiển thị câu báo không có thiết lập và nút thêm; không có dòng mẫu.</s:t>
        </s:is>
      </s:c>
      <s:c r="D1816" s="117" t="inlineStr"/>
      <s:c r="E1816" s="118" t="inlineStr">
        <s:is>
          <s:t>Chưa thực hiện</s:t>
        </s:is>
      </s:c>
    </s:row>
    <s:row r="1817" ht="20" customHeight="1">
      <s:c r="A1817" s="119" t="inlineStr">
        <s:is>
          <s:t>Ảnh minh chứng — Chưa có ảnh</s:t>
        </s:is>
      </s:c>
      <s:c r="B1817" s="19" t="n"/>
      <s:c r="C1817" s="19" t="n"/>
      <s:c r="D1817" s="19" t="n"/>
      <s:c r="E1817" s="19" t="n"/>
    </s:row>
    <s:row r="1818" hidden="1" ht="1" customHeight="1">
      <s:c r="A1818" s="120" t="inlineStr"/>
      <s:c r="B1818" s="121" t="n"/>
      <s:c r="C1818" s="121" t="n"/>
      <s:c r="D1818" s="121" t="n"/>
      <s:c r="E1818" s="122" t="n"/>
    </s:row>
    <s:row r="1819" hidden="1" ht="1" customHeight="1">
      <s:c r="A1819" s="120" t="inlineStr"/>
      <s:c r="B1819" s="121" t="n"/>
      <s:c r="C1819" s="121" t="n"/>
      <s:c r="D1819" s="121" t="n"/>
      <s:c r="E1819" s="122" t="n"/>
    </s:row>
    <s:row r="1820" hidden="1" ht="1" customHeight="1">
      <s:c r="A1820" s="120" t="inlineStr"/>
      <s:c r="B1820" s="121" t="n"/>
      <s:c r="C1820" s="121" t="n"/>
      <s:c r="D1820" s="121" t="n"/>
      <s:c r="E1820" s="122" t="n"/>
    </s:row>
    <s:row r="1821" hidden="1" ht="1" customHeight="1">
      <s:c r="A1821" s="120" t="inlineStr"/>
      <s:c r="B1821" s="121" t="n"/>
      <s:c r="C1821" s="121" t="n"/>
      <s:c r="D1821" s="121" t="n"/>
      <s:c r="E1821" s="122" t="n"/>
    </s:row>
    <s:row r="1822" hidden="1" ht="1" customHeight="1">
      <s:c r="A1822" s="120" t="inlineStr"/>
      <s:c r="B1822" s="121" t="n"/>
      <s:c r="C1822" s="121" t="n"/>
      <s:c r="D1822" s="121" t="n"/>
      <s:c r="E1822" s="122" t="n"/>
    </s:row>
    <s:row r="1823" hidden="1" ht="1" customHeight="1">
      <s:c r="A1823" s="120" t="inlineStr"/>
      <s:c r="B1823" s="121" t="n"/>
      <s:c r="C1823" s="121" t="n"/>
      <s:c r="D1823" s="121" t="n"/>
      <s:c r="E1823" s="122" t="n"/>
    </s:row>
    <s:row r="1824" hidden="1" ht="1" customHeight="1">
      <s:c r="A1824" s="120" t="inlineStr"/>
      <s:c r="B1824" s="121" t="n"/>
      <s:c r="C1824" s="121" t="n"/>
      <s:c r="D1824" s="121" t="n"/>
      <s:c r="E1824" s="122" t="n"/>
    </s:row>
    <s:row r="1825" hidden="1" ht="1" customHeight="1">
      <s:c r="A1825" s="120" t="inlineStr"/>
      <s:c r="B1825" s="121" t="n"/>
      <s:c r="C1825" s="121" t="n"/>
      <s:c r="D1825" s="121" t="n"/>
      <s:c r="E1825" s="122" t="n"/>
    </s:row>
    <s:row r="1826" hidden="1" ht="1" customHeight="1">
      <s:c r="A1826" s="120" t="inlineStr"/>
      <s:c r="B1826" s="121" t="n"/>
      <s:c r="C1826" s="121" t="n"/>
      <s:c r="D1826" s="121" t="n"/>
      <s:c r="E1826" s="122" t="n"/>
    </s:row>
    <s:row r="1827" hidden="1" ht="1" customHeight="1">
      <s:c r="A1827" s="120" t="inlineStr"/>
      <s:c r="B1827" s="121" t="n"/>
      <s:c r="C1827" s="121" t="n"/>
      <s:c r="D1827" s="121" t="n"/>
      <s:c r="E1827" s="122" t="n"/>
    </s:row>
    <s:row r="1828" hidden="1" ht="1" customHeight="1">
      <s:c r="A1828" s="120" t="inlineStr"/>
      <s:c r="B1828" s="121" t="n"/>
      <s:c r="C1828" s="121" t="n"/>
      <s:c r="D1828" s="121" t="n"/>
      <s:c r="E1828" s="122" t="n"/>
    </s:row>
    <s:row r="1829" hidden="1" ht="1" customHeight="1">
      <s:c r="A1829" s="120" t="inlineStr"/>
      <s:c r="B1829" s="121" t="n"/>
      <s:c r="C1829" s="121" t="n"/>
      <s:c r="D1829" s="121" t="n"/>
      <s:c r="E1829" s="122" t="n"/>
    </s:row>
    <s:row r="1830" hidden="1" ht="1" customHeight="1">
      <s:c r="A1830" s="120" t="inlineStr"/>
      <s:c r="B1830" s="121" t="n"/>
      <s:c r="C1830" s="121" t="n"/>
      <s:c r="D1830" s="121" t="n"/>
      <s:c r="E1830" s="122" t="n"/>
    </s:row>
    <s:row r="1831" hidden="1" ht="1" customHeight="1">
      <s:c r="A1831" s="120" t="inlineStr"/>
      <s:c r="B1831" s="121" t="n"/>
      <s:c r="C1831" s="121" t="n"/>
      <s:c r="D1831" s="121" t="n"/>
      <s:c r="E1831" s="122" t="n"/>
    </s:row>
    <s:row r="1832" hidden="1" ht="1" customHeight="1">
      <s:c r="A1832" s="120" t="inlineStr"/>
      <s:c r="B1832" s="121" t="n"/>
      <s:c r="C1832" s="121" t="n"/>
      <s:c r="D1832" s="121" t="n"/>
      <s:c r="E1832" s="122" t="n"/>
    </s:row>
    <s:row r="1833" hidden="1" ht="1" customHeight="1">
      <s:c r="A1833" s="120" t="inlineStr"/>
      <s:c r="B1833" s="121" t="n"/>
      <s:c r="C1833" s="121" t="n"/>
      <s:c r="D1833" s="121" t="n"/>
      <s:c r="E1833" s="122" t="n"/>
    </s:row>
    <s:row r="1834" hidden="1" ht="1" customHeight="1">
      <s:c r="A1834" s="120" t="inlineStr"/>
      <s:c r="B1834" s="121" t="n"/>
      <s:c r="C1834" s="121" t="n"/>
      <s:c r="D1834" s="121" t="n"/>
      <s:c r="E1834" s="122" t="n"/>
    </s:row>
    <s:row r="1835" hidden="1" ht="1" customHeight="1">
      <s:c r="A1835" s="120" t="inlineStr"/>
      <s:c r="B1835" s="121" t="n"/>
      <s:c r="C1835" s="121" t="n"/>
      <s:c r="D1835" s="121" t="n"/>
      <s:c r="E1835" s="122" t="n"/>
    </s:row>
    <s:row r="1836" hidden="1" ht="1" customHeight="1">
      <s:c r="A1836" s="120" t="inlineStr"/>
      <s:c r="B1836" s="121" t="n"/>
      <s:c r="C1836" s="121" t="n"/>
      <s:c r="D1836" s="121" t="n"/>
      <s:c r="E1836" s="122" t="n"/>
    </s:row>
    <s:row r="1837" hidden="1" ht="1" customHeight="1">
      <s:c r="A1837" s="120" t="inlineStr"/>
      <s:c r="B1837" s="121" t="n"/>
      <s:c r="C1837" s="121" t="n"/>
      <s:c r="D1837" s="121" t="n"/>
      <s:c r="E1837" s="122" t="n"/>
    </s:row>
    <s:row r="1838" hidden="1" ht="1" customHeight="1">
      <s:c r="A1838" s="120" t="inlineStr"/>
      <s:c r="B1838" s="121" t="n"/>
      <s:c r="C1838" s="121" t="n"/>
      <s:c r="D1838" s="121" t="n"/>
      <s:c r="E1838" s="122" t="n"/>
    </s:row>
    <s:row r="1839" hidden="1" ht="1" customHeight="1">
      <s:c r="A1839" s="120" t="inlineStr"/>
      <s:c r="B1839" s="121" t="n"/>
      <s:c r="C1839" s="121" t="n"/>
      <s:c r="D1839" s="121" t="n"/>
      <s:c r="E1839" s="122" t="n"/>
    </s:row>
    <s:row r="1840" hidden="1" ht="1" customHeight="1">
      <s:c r="A1840" s="120" t="inlineStr"/>
      <s:c r="B1840" s="121" t="n"/>
      <s:c r="C1840" s="121" t="n"/>
      <s:c r="D1840" s="121" t="n"/>
      <s:c r="E1840" s="122" t="n"/>
    </s:row>
    <s:row r="1841" hidden="1" ht="1" customHeight="1">
      <s:c r="A1841" s="120" t="inlineStr"/>
      <s:c r="B1841" s="121" t="n"/>
      <s:c r="C1841" s="121" t="n"/>
      <s:c r="D1841" s="121" t="n"/>
      <s:c r="E1841" s="122" t="n"/>
    </s:row>
    <s:row r="1842" hidden="1" ht="1" customHeight="1">
      <s:c r="A1842" s="120" t="inlineStr"/>
      <s:c r="B1842" s="121" t="n"/>
      <s:c r="C1842" s="121" t="n"/>
      <s:c r="D1842" s="121" t="n"/>
      <s:c r="E1842" s="122" t="n"/>
    </s:row>
    <s:row r="1843" hidden="1" ht="1" customHeight="1">
      <s:c r="A1843" s="120" t="inlineStr"/>
      <s:c r="B1843" s="121" t="n"/>
      <s:c r="C1843" s="121" t="n"/>
      <s:c r="D1843" s="121" t="n"/>
      <s:c r="E1843" s="122" t="n"/>
    </s:row>
    <s:row r="1844" hidden="1" ht="1" customHeight="1">
      <s:c r="A1844" s="120" t="inlineStr"/>
      <s:c r="B1844" s="121" t="n"/>
      <s:c r="C1844" s="121" t="n"/>
      <s:c r="D1844" s="121" t="n"/>
      <s:c r="E1844" s="122" t="n"/>
    </s:row>
    <s:row r="1845" hidden="1" ht="1" customHeight="1">
      <s:c r="A1845" s="120" t="inlineStr"/>
      <s:c r="B1845" s="121" t="n"/>
      <s:c r="C1845" s="121" t="n"/>
      <s:c r="D1845" s="121" t="n"/>
      <s:c r="E1845" s="122" t="n"/>
    </s:row>
    <s:row r="1846" hidden="1" ht="1" customHeight="1">
      <s:c r="A1846" s="120" t="inlineStr"/>
      <s:c r="B1846" s="121" t="n"/>
      <s:c r="C1846" s="121" t="n"/>
      <s:c r="D1846" s="121" t="n"/>
      <s:c r="E1846" s="122" t="n"/>
    </s:row>
    <s:row r="1847" hidden="1" ht="1" customHeight="1">
      <s:c r="A1847" s="120" t="inlineStr"/>
      <s:c r="B1847" s="121" t="n"/>
      <s:c r="C1847" s="121" t="n"/>
      <s:c r="D1847" s="121" t="n"/>
      <s:c r="E1847" s="122" t="n"/>
    </s:row>
    <s:row r="1848" hidden="1" ht="1" customHeight="1">
      <s:c r="A1848" s="120" t="inlineStr"/>
      <s:c r="B1848" s="121" t="n"/>
      <s:c r="C1848" s="121" t="n"/>
      <s:c r="D1848" s="121" t="n"/>
      <s:c r="E1848" s="122" t="n"/>
    </s:row>
    <s:row r="1849" hidden="1" ht="1" customHeight="1">
      <s:c r="A1849" s="120" t="inlineStr"/>
      <s:c r="B1849" s="121" t="n"/>
      <s:c r="C1849" s="121" t="n"/>
      <s:c r="D1849" s="121" t="n"/>
      <s:c r="E1849" s="122" t="n"/>
    </s:row>
    <s:row r="1850" hidden="1" ht="1" customHeight="1">
      <s:c r="A1850" s="120" t="inlineStr"/>
      <s:c r="B1850" s="121" t="n"/>
      <s:c r="C1850" s="121" t="n"/>
      <s:c r="D1850" s="121" t="n"/>
      <s:c r="E1850" s="122" t="n"/>
    </s:row>
    <s:row r="1851" hidden="1" ht="1" customHeight="1">
      <s:c r="A1851" s="120" t="inlineStr"/>
      <s:c r="B1851" s="121" t="n"/>
      <s:c r="C1851" s="121" t="n"/>
      <s:c r="D1851" s="121" t="n"/>
      <s:c r="E1851" s="122" t="n"/>
    </s:row>
    <s:row r="1852" hidden="1" ht="1" customHeight="1">
      <s:c r="A1852" s="120" t="inlineStr"/>
      <s:c r="B1852" s="121" t="n"/>
      <s:c r="C1852" s="121" t="n"/>
      <s:c r="D1852" s="121" t="n"/>
      <s:c r="E1852" s="122" t="n"/>
    </s:row>
    <s:row r="1853" hidden="1" ht="1" customHeight="1">
      <s:c r="A1853" s="120" t="inlineStr"/>
      <s:c r="B1853" s="121" t="n"/>
      <s:c r="C1853" s="121" t="n"/>
      <s:c r="D1853" s="121" t="n"/>
      <s:c r="E1853" s="122" t="n"/>
    </s:row>
    <s:row r="1854" hidden="1" ht="1" customHeight="1">
      <s:c r="A1854" s="120" t="inlineStr"/>
      <s:c r="B1854" s="121" t="n"/>
      <s:c r="C1854" s="121" t="n"/>
      <s:c r="D1854" s="121" t="n"/>
      <s:c r="E1854" s="122" t="n"/>
    </s:row>
    <s:row r="1855" hidden="1" ht="1" customHeight="1">
      <s:c r="A1855" s="120" t="inlineStr"/>
      <s:c r="B1855" s="121" t="n"/>
      <s:c r="C1855" s="121" t="n"/>
      <s:c r="D1855" s="121" t="n"/>
      <s:c r="E1855" s="122" t="n"/>
    </s:row>
    <s:row r="1856" hidden="1" ht="1" customHeight="1">
      <s:c r="A1856" s="120" t="inlineStr"/>
      <s:c r="B1856" s="121" t="n"/>
      <s:c r="C1856" s="121" t="n"/>
      <s:c r="D1856" s="121" t="n"/>
      <s:c r="E1856" s="122" t="n"/>
    </s:row>
    <s:row r="1857" hidden="1" ht="1" customHeight="1">
      <s:c r="A1857" s="120" t="inlineStr"/>
      <s:c r="B1857" s="121" t="n"/>
      <s:c r="C1857" s="121" t="n"/>
      <s:c r="D1857" s="121" t="n"/>
      <s:c r="E1857" s="122" t="n"/>
    </s:row>
    <s:row r="1858" hidden="1" ht="1" customHeight="1">
      <s:c r="A1858" s="120" t="inlineStr"/>
      <s:c r="B1858" s="121" t="n"/>
      <s:c r="C1858" s="121" t="n"/>
      <s:c r="D1858" s="121" t="n"/>
      <s:c r="E1858" s="122" t="n"/>
    </s:row>
    <s:row r="1859" hidden="1" ht="1" customHeight="1">
      <s:c r="A1859" s="120" t="inlineStr"/>
      <s:c r="B1859" s="121" t="n"/>
      <s:c r="C1859" s="121" t="n"/>
      <s:c r="D1859" s="121" t="n"/>
      <s:c r="E1859" s="122" t="n"/>
    </s:row>
    <s:row r="1860" hidden="1" ht="1" customHeight="1">
      <s:c r="A1860" s="120" t="inlineStr"/>
      <s:c r="B1860" s="121" t="n"/>
      <s:c r="C1860" s="121" t="n"/>
      <s:c r="D1860" s="121" t="n"/>
      <s:c r="E1860" s="122" t="n"/>
    </s:row>
    <s:row r="1861" hidden="1" ht="1" customHeight="1">
      <s:c r="A1861" s="120" t="inlineStr"/>
      <s:c r="B1861" s="121" t="n"/>
      <s:c r="C1861" s="121" t="n"/>
      <s:c r="D1861" s="121" t="n"/>
      <s:c r="E1861" s="122" t="n"/>
    </s:row>
    <s:row r="1862" hidden="1" ht="1" customHeight="1">
      <s:c r="A1862" s="120" t="inlineStr"/>
      <s:c r="B1862" s="121" t="n"/>
      <s:c r="C1862" s="121" t="n"/>
      <s:c r="D1862" s="121" t="n"/>
      <s:c r="E1862" s="122" t="n"/>
    </s:row>
    <s:row r="1863" hidden="1" ht="1" customHeight="1">
      <s:c r="A1863" s="120" t="inlineStr"/>
      <s:c r="B1863" s="121" t="n"/>
      <s:c r="C1863" s="121" t="n"/>
      <s:c r="D1863" s="121" t="n"/>
      <s:c r="E1863" s="122" t="n"/>
    </s:row>
    <s:row r="1864" hidden="1" ht="1" customHeight="1">
      <s:c r="A1864" s="120" t="inlineStr"/>
      <s:c r="B1864" s="121" t="n"/>
      <s:c r="C1864" s="121" t="n"/>
      <s:c r="D1864" s="121" t="n"/>
      <s:c r="E1864" s="122" t="n"/>
    </s:row>
    <s:row r="1865" hidden="1" ht="1" customHeight="1">
      <s:c r="A1865" s="120" t="inlineStr"/>
      <s:c r="B1865" s="121" t="n"/>
      <s:c r="C1865" s="121" t="n"/>
      <s:c r="D1865" s="121" t="n"/>
      <s:c r="E1865" s="122" t="n"/>
    </s:row>
    <s:row r="1866" hidden="1" ht="1" customHeight="1">
      <s:c r="A1866" s="83" t="inlineStr">
        <s:is>
          <s:t>PASS</s:t>
        </s:is>
      </s:c>
      <s:c r="B1866" s="83">
        <s:f>SUM(IF(EXACT('Kiểm thử'!E1816,"Đạt"),1,0))</s:f>
        <s:v/>
      </s:c>
      <s:c r="C1866" s="19" t="n"/>
      <s:c r="D1866" s="19" t="n"/>
      <s:c r="E1866" s="19" t="n"/>
    </s:row>
    <s:row r="1867" hidden="1" ht="1" customHeight="1">
      <s:c r="A1867" s="83" t="inlineStr">
        <s:is>
          <s:t>FAIL</s:t>
        </s:is>
      </s:c>
      <s:c r="B1867" s="83">
        <s:f>SUM(IF(EXACT('Kiểm thử'!E1816,"Không đạt"),1,0))</s:f>
        <s:v/>
      </s:c>
      <s:c r="C1867" s="19" t="n"/>
      <s:c r="D1867" s="19" t="n"/>
      <s:c r="E1867" s="19" t="n"/>
    </s:row>
    <s:row r="1868" hidden="1" ht="1" customHeight="1">
      <s:c r="A1868" s="83" t="inlineStr">
        <s:is>
          <s:t>BLOCKED</s:t>
        </s:is>
      </s:c>
      <s:c r="B1868" s="83">
        <s:f>SUM(IF(EXACT('Kiểm thử'!E1816,"Bị chặn"),1,0))</s:f>
        <s:v/>
      </s:c>
      <s:c r="C1868" s="19" t="n"/>
      <s:c r="D1868" s="19" t="n"/>
      <s:c r="E1868" s="19" t="n"/>
    </s:row>
    <s:row r="1869" hidden="1" ht="1" customHeight="1">
      <s:c r="A1869" s="83" t="inlineStr">
        <s:is>
          <s:t>SKIPPED</s:t>
        </s:is>
      </s:c>
      <s:c r="B1869" s="83">
        <s:f>SUM(IF(EXACT('Kiểm thử'!E1816,"Không thực hiện"),1,0))</s:f>
        <s:v/>
      </s:c>
      <s:c r="C1869" s="19" t="n"/>
      <s:c r="D1869" s="19" t="n"/>
      <s:c r="E1869" s="19" t="n"/>
    </s:row>
    <s:row r="1870" hidden="1" ht="1" customHeight="1">
      <s:c r="A1870" s="83" t="inlineStr">
        <s:is>
          <s:t>NOT RUN</s:t>
        </s:is>
      </s:c>
      <s:c r="B1870" s="83">
        <s:f>SUM(IF(EXACT('Kiểm thử'!E1816,"Chưa thực hiện"),1,0))</s:f>
        <s:v/>
      </s:c>
      <s:c r="C1870" s="19" t="n"/>
      <s:c r="D1870" s="19" t="n"/>
      <s:c r="E1870" s="19" t="n"/>
    </s:row>
    <s:row r="1871" hidden="1" ht="6" customHeight="1">
      <s:c r="A1871" s="83" t="inlineStr"/>
      <s:c r="B1871" s="19" t="n"/>
      <s:c r="C1871" s="19" t="n"/>
      <s:c r="D1871" s="19" t="n"/>
      <s:c r="E1871" s="19" t="n"/>
    </s:row>
    <s:row r="1872" ht="28" customHeight="1">
      <s:c r="A1872" s="108" t="inlineStr">
        <s:is>
          <s:t>TC-RS-UI-006 — Hộp xác nhận khi xóa quy tắc cuối</s:t>
        </s:is>
      </s:c>
      <s:c r="B1872" s="111" t="n"/>
      <s:c r="C1872" s="111" t="n"/>
      <s:c r="D1872" s="111" t="n"/>
      <s:c r="E1872" s="111" t="n"/>
    </s:row>
    <s:row r="1873" ht="20" customHeight="1">
      <s:c r="A1873" s="112" t="inlineStr">
        <s:is>
          <s:t>Kết quả tình huống</s:t>
        </s:is>
      </s:c>
      <s:c r="B1873" s="113">
        <s:f>IF(SUM(IF(EXACT('Kiểm thử'!E1880,"Không đạt"),1,0))&gt;0,"Không đạt",IF(SUM(IF(EXACT('Kiểm thử'!E1880,"Đạt"),1,0))=1,"Đạt",IF(SUM(IF(EXACT('Kiểm thử'!E1880,"Không thực hiện"),1,0))=1,"Không thực hiện",IF(SUM(IF(EXACT('Kiểm thử'!E1880,"Bị chặn"),1,0))&gt;0,"Bị chặn",IF(SUM(IF(EXACT('Kiểm thử'!E1880,"Chưa thực hiện"),1,0))=1,"Chưa thực hiện","Đang thực hiện")))))</s:f>
        <s:v/>
      </s:c>
      <s:c r="C1873" s="114" t="n"/>
      <s:c r="D1873" s="114" t="n"/>
      <s:c r="E1873" s="114" t="n"/>
    </s:row>
    <s:row r="1874" ht="20" customHeight="1">
      <s:c r="A1874" s="112" t="inlineStr">
        <s:is>
          <s:t>Màn hình / chức năng</s:t>
        </s:is>
      </s:c>
      <s:c r="B1874" s="113" t="inlineStr">
        <s:is>
          <s:r>
            <s:rPr>
              <s:b val="1"/>
            </s:rPr>
            <s:t>Thiết lập điểm đỏ（赤点設定）</s:t>
          </s:r>
        </s:is>
      </s:c>
      <s:c r="C1874" s="28" t="n"/>
      <s:c r="D1874" s="28" t="n"/>
      <s:c r="E1874" s="28" t="n"/>
    </s:row>
    <s:row r="1875" ht="20" customHeight="1">
      <s:c r="A1875" s="112" t="inlineStr">
        <s:is>
          <s:t>Cấu hình</s:t>
        </s:is>
      </s:c>
      <s:c r="B1875" s="113" t="inlineStr">
        <s:is>
          <s:r>
            <s:t>• Mục số nguyên (</s:t>
          </s:r>
          <s:r>
            <s:rPr>
              <s:b val="1"/>
            </s:rPr>
            <s:t>M=100</s:t>
          </s:r>
          <s:r>
            <s:t>) chỉ có quy tắc “Cố định 30” (dưới 30).</s:t>
          </s:r>
        </s:is>
      </s:c>
      <s:c r="C1875" s="28" t="n"/>
      <s:c r="D1875" s="28" t="n"/>
      <s:c r="E1875" s="28" t="n"/>
    </s:row>
    <s:row r="1876" ht="34" customHeight="1">
      <s:c r="A1876" s="112" t="inlineStr">
        <s:is>
          <s:t>Dữ liệu test</s:t>
        </s:is>
      </s:c>
      <s:c r="B1876" s="113" t="inlineStr">
        <s:is>
          <s:r>
            <s:t>• Mục số nguyên (</s:t>
          </s:r>
          <s:r>
            <s:rPr>
              <s:b val="1"/>
            </s:rPr>
            <s:t>M=100</s:t>
          </s:r>
          <s:r>
            <s:t>);
• Quy tắc “Cố định 30” (dưới 30)</s:t>
          </s:r>
        </s:is>
      </s:c>
      <s:c r="C1876" s="28" t="n"/>
      <s:c r="D1876" s="28" t="n"/>
      <s:c r="E1876" s="28" t="n"/>
    </s:row>
    <s:row r="1877" ht="20" customHeight="1">
      <s:c r="A1877" s="112" t="inlineStr">
        <s:is>
          <s:t>•</s:t>
        </s:is>
      </s:c>
      <s:c r="B1877" s="113" t="inlineStr">
        <s:is>
          <s:r>
            <s:rPr>
              <s:b val="1"/>
            </s:rPr>
            <s:t>Bấm Xóa（削除）</s:t>
          </s:r>
          <s:r>
            <s:t xml:space="preserve"> ở dòng duy nhất.</s:t>
          </s:r>
        </s:is>
      </s:c>
      <s:c r="C1877" s="28" t="n"/>
      <s:c r="D1877" s="28" t="n"/>
      <s:c r="E1877" s="28" t="n"/>
    </s:row>
    <s:row r="1878" ht="28" customHeight="1">
      <s:c r="A1878" s="115" t="inlineStr">
        <s:is>
          <s:t>Trường hợp</s:t>
        </s:is>
      </s:c>
      <s:c r="B1878" s="115" t="inlineStr">
        <s:is>
          <s:t>Dữ liệu / thao tác riêng</s:t>
        </s:is>
      </s:c>
      <s:c r="C1878" s="115" t="inlineStr">
        <s:is>
          <s:t>Kết quả mong đợi</s:t>
        </s:is>
      </s:c>
      <s:c r="D1878" s="115" t="inlineStr">
        <s:is>
          <s:t>Kết quả thực tế</s:t>
        </s:is>
      </s:c>
      <s:c r="E1878" s="115" t="inlineStr">
        <s:is>
          <s:t>Đánh giá</s:t>
        </s:is>
      </s:c>
    </s:row>
    <s:row r="1879" ht="3" customHeight="1">
      <s:c r="A1879" s="102" t="inlineStr"/>
      <s:c r="B1879" s="99" t="n"/>
      <s:c r="C1879" s="99" t="n"/>
      <s:c r="D1879" s="116" t="n"/>
      <s:c r="E1879" s="116" t="n"/>
    </s:row>
    <s:row r="1880" ht="62" customHeight="1">
      <s:c r="A1880" s="83" t="inlineStr">
        <s:is>
          <s:t>Trường hợp cơ bản (Base)</s:t>
        </s:is>
      </s:c>
      <s:c r="B1880" s="83" t="inlineStr">
        <s:is>
          <s:t>Toàn bộ tình huống: Thực hiện đủ các bước chung theo thứ tự; kiểm cả đối tượng đích và đối chứng cùng fixture, không bỏ bước.</s:t>
        </s:is>
      </s:c>
      <s:c r="C1880" s="83" t="inlineStr">
        <s:is>
          <s:t>Hộp xác nhận nêu đây là thiết lập cuối, kết quả trước còn dùng tới lần chạy lại, điểm được giữ; có Hủy và Xóa.</s:t>
        </s:is>
      </s:c>
      <s:c r="D1880" s="117" t="inlineStr"/>
      <s:c r="E1880" s="118" t="inlineStr">
        <s:is>
          <s:t>Chưa thực hiện</s:t>
        </s:is>
      </s:c>
    </s:row>
    <s:row r="1881" ht="20" customHeight="1">
      <s:c r="A1881" s="119" t="inlineStr">
        <s:is>
          <s:t>Ảnh minh chứng — Chưa có ảnh</s:t>
        </s:is>
      </s:c>
      <s:c r="B1881" s="19" t="n"/>
      <s:c r="C1881" s="19" t="n"/>
      <s:c r="D1881" s="19" t="n"/>
      <s:c r="E1881" s="19" t="n"/>
    </s:row>
    <s:row r="1882" hidden="1" ht="1" customHeight="1">
      <s:c r="A1882" s="120" t="inlineStr"/>
      <s:c r="B1882" s="121" t="n"/>
      <s:c r="C1882" s="121" t="n"/>
      <s:c r="D1882" s="121" t="n"/>
      <s:c r="E1882" s="122" t="n"/>
    </s:row>
    <s:row r="1883" hidden="1" ht="1" customHeight="1">
      <s:c r="A1883" s="120" t="inlineStr"/>
      <s:c r="B1883" s="121" t="n"/>
      <s:c r="C1883" s="121" t="n"/>
      <s:c r="D1883" s="121" t="n"/>
      <s:c r="E1883" s="122" t="n"/>
    </s:row>
    <s:row r="1884" hidden="1" ht="1" customHeight="1">
      <s:c r="A1884" s="120" t="inlineStr"/>
      <s:c r="B1884" s="121" t="n"/>
      <s:c r="C1884" s="121" t="n"/>
      <s:c r="D1884" s="121" t="n"/>
      <s:c r="E1884" s="122" t="n"/>
    </s:row>
    <s:row r="1885" hidden="1" ht="1" customHeight="1">
      <s:c r="A1885" s="120" t="inlineStr"/>
      <s:c r="B1885" s="121" t="n"/>
      <s:c r="C1885" s="121" t="n"/>
      <s:c r="D1885" s="121" t="n"/>
      <s:c r="E1885" s="122" t="n"/>
    </s:row>
    <s:row r="1886" hidden="1" ht="1" customHeight="1">
      <s:c r="A1886" s="120" t="inlineStr"/>
      <s:c r="B1886" s="121" t="n"/>
      <s:c r="C1886" s="121" t="n"/>
      <s:c r="D1886" s="121" t="n"/>
      <s:c r="E1886" s="122" t="n"/>
    </s:row>
    <s:row r="1887" hidden="1" ht="1" customHeight="1">
      <s:c r="A1887" s="120" t="inlineStr"/>
      <s:c r="B1887" s="121" t="n"/>
      <s:c r="C1887" s="121" t="n"/>
      <s:c r="D1887" s="121" t="n"/>
      <s:c r="E1887" s="122" t="n"/>
    </s:row>
    <s:row r="1888" hidden="1" ht="1" customHeight="1">
      <s:c r="A1888" s="120" t="inlineStr"/>
      <s:c r="B1888" s="121" t="n"/>
      <s:c r="C1888" s="121" t="n"/>
      <s:c r="D1888" s="121" t="n"/>
      <s:c r="E1888" s="122" t="n"/>
    </s:row>
    <s:row r="1889" hidden="1" ht="1" customHeight="1">
      <s:c r="A1889" s="120" t="inlineStr"/>
      <s:c r="B1889" s="121" t="n"/>
      <s:c r="C1889" s="121" t="n"/>
      <s:c r="D1889" s="121" t="n"/>
      <s:c r="E1889" s="122" t="n"/>
    </s:row>
    <s:row r="1890" hidden="1" ht="1" customHeight="1">
      <s:c r="A1890" s="120" t="inlineStr"/>
      <s:c r="B1890" s="121" t="n"/>
      <s:c r="C1890" s="121" t="n"/>
      <s:c r="D1890" s="121" t="n"/>
      <s:c r="E1890" s="122" t="n"/>
    </s:row>
    <s:row r="1891" hidden="1" ht="1" customHeight="1">
      <s:c r="A1891" s="120" t="inlineStr"/>
      <s:c r="B1891" s="121" t="n"/>
      <s:c r="C1891" s="121" t="n"/>
      <s:c r="D1891" s="121" t="n"/>
      <s:c r="E1891" s="122" t="n"/>
    </s:row>
    <s:row r="1892" hidden="1" ht="1" customHeight="1">
      <s:c r="A1892" s="120" t="inlineStr"/>
      <s:c r="B1892" s="121" t="n"/>
      <s:c r="C1892" s="121" t="n"/>
      <s:c r="D1892" s="121" t="n"/>
      <s:c r="E1892" s="122" t="n"/>
    </s:row>
    <s:row r="1893" hidden="1" ht="1" customHeight="1">
      <s:c r="A1893" s="120" t="inlineStr"/>
      <s:c r="B1893" s="121" t="n"/>
      <s:c r="C1893" s="121" t="n"/>
      <s:c r="D1893" s="121" t="n"/>
      <s:c r="E1893" s="122" t="n"/>
    </s:row>
    <s:row r="1894" hidden="1" ht="1" customHeight="1">
      <s:c r="A1894" s="120" t="inlineStr"/>
      <s:c r="B1894" s="121" t="n"/>
      <s:c r="C1894" s="121" t="n"/>
      <s:c r="D1894" s="121" t="n"/>
      <s:c r="E1894" s="122" t="n"/>
    </s:row>
    <s:row r="1895" hidden="1" ht="1" customHeight="1">
      <s:c r="A1895" s="120" t="inlineStr"/>
      <s:c r="B1895" s="121" t="n"/>
      <s:c r="C1895" s="121" t="n"/>
      <s:c r="D1895" s="121" t="n"/>
      <s:c r="E1895" s="122" t="n"/>
    </s:row>
    <s:row r="1896" hidden="1" ht="1" customHeight="1">
      <s:c r="A1896" s="120" t="inlineStr"/>
      <s:c r="B1896" s="121" t="n"/>
      <s:c r="C1896" s="121" t="n"/>
      <s:c r="D1896" s="121" t="n"/>
      <s:c r="E1896" s="122" t="n"/>
    </s:row>
    <s:row r="1897" hidden="1" ht="1" customHeight="1">
      <s:c r="A1897" s="120" t="inlineStr"/>
      <s:c r="B1897" s="121" t="n"/>
      <s:c r="C1897" s="121" t="n"/>
      <s:c r="D1897" s="121" t="n"/>
      <s:c r="E1897" s="122" t="n"/>
    </s:row>
    <s:row r="1898" hidden="1" ht="1" customHeight="1">
      <s:c r="A1898" s="120" t="inlineStr"/>
      <s:c r="B1898" s="121" t="n"/>
      <s:c r="C1898" s="121" t="n"/>
      <s:c r="D1898" s="121" t="n"/>
      <s:c r="E1898" s="122" t="n"/>
    </s:row>
    <s:row r="1899" hidden="1" ht="1" customHeight="1">
      <s:c r="A1899" s="120" t="inlineStr"/>
      <s:c r="B1899" s="121" t="n"/>
      <s:c r="C1899" s="121" t="n"/>
      <s:c r="D1899" s="121" t="n"/>
      <s:c r="E1899" s="122" t="n"/>
    </s:row>
    <s:row r="1900" hidden="1" ht="1" customHeight="1">
      <s:c r="A1900" s="120" t="inlineStr"/>
      <s:c r="B1900" s="121" t="n"/>
      <s:c r="C1900" s="121" t="n"/>
      <s:c r="D1900" s="121" t="n"/>
      <s:c r="E1900" s="122" t="n"/>
    </s:row>
    <s:row r="1901" hidden="1" ht="1" customHeight="1">
      <s:c r="A1901" s="120" t="inlineStr"/>
      <s:c r="B1901" s="121" t="n"/>
      <s:c r="C1901" s="121" t="n"/>
      <s:c r="D1901" s="121" t="n"/>
      <s:c r="E1901" s="122" t="n"/>
    </s:row>
    <s:row r="1902" hidden="1" ht="1" customHeight="1">
      <s:c r="A1902" s="120" t="inlineStr"/>
      <s:c r="B1902" s="121" t="n"/>
      <s:c r="C1902" s="121" t="n"/>
      <s:c r="D1902" s="121" t="n"/>
      <s:c r="E1902" s="122" t="n"/>
    </s:row>
    <s:row r="1903" hidden="1" ht="1" customHeight="1">
      <s:c r="A1903" s="120" t="inlineStr"/>
      <s:c r="B1903" s="121" t="n"/>
      <s:c r="C1903" s="121" t="n"/>
      <s:c r="D1903" s="121" t="n"/>
      <s:c r="E1903" s="122" t="n"/>
    </s:row>
    <s:row r="1904" hidden="1" ht="1" customHeight="1">
      <s:c r="A1904" s="120" t="inlineStr"/>
      <s:c r="B1904" s="121" t="n"/>
      <s:c r="C1904" s="121" t="n"/>
      <s:c r="D1904" s="121" t="n"/>
      <s:c r="E1904" s="122" t="n"/>
    </s:row>
    <s:row r="1905" hidden="1" ht="1" customHeight="1">
      <s:c r="A1905" s="120" t="inlineStr"/>
      <s:c r="B1905" s="121" t="n"/>
      <s:c r="C1905" s="121" t="n"/>
      <s:c r="D1905" s="121" t="n"/>
      <s:c r="E1905" s="122" t="n"/>
    </s:row>
    <s:row r="1906" hidden="1" ht="1" customHeight="1">
      <s:c r="A1906" s="120" t="inlineStr"/>
      <s:c r="B1906" s="121" t="n"/>
      <s:c r="C1906" s="121" t="n"/>
      <s:c r="D1906" s="121" t="n"/>
      <s:c r="E1906" s="122" t="n"/>
    </s:row>
    <s:row r="1907" hidden="1" ht="1" customHeight="1">
      <s:c r="A1907" s="120" t="inlineStr"/>
      <s:c r="B1907" s="121" t="n"/>
      <s:c r="C1907" s="121" t="n"/>
      <s:c r="D1907" s="121" t="n"/>
      <s:c r="E1907" s="122" t="n"/>
    </s:row>
    <s:row r="1908" hidden="1" ht="1" customHeight="1">
      <s:c r="A1908" s="120" t="inlineStr"/>
      <s:c r="B1908" s="121" t="n"/>
      <s:c r="C1908" s="121" t="n"/>
      <s:c r="D1908" s="121" t="n"/>
      <s:c r="E1908" s="122" t="n"/>
    </s:row>
    <s:row r="1909" hidden="1" ht="1" customHeight="1">
      <s:c r="A1909" s="120" t="inlineStr"/>
      <s:c r="B1909" s="121" t="n"/>
      <s:c r="C1909" s="121" t="n"/>
      <s:c r="D1909" s="121" t="n"/>
      <s:c r="E1909" s="122" t="n"/>
    </s:row>
    <s:row r="1910" hidden="1" ht="1" customHeight="1">
      <s:c r="A1910" s="120" t="inlineStr"/>
      <s:c r="B1910" s="121" t="n"/>
      <s:c r="C1910" s="121" t="n"/>
      <s:c r="D1910" s="121" t="n"/>
      <s:c r="E1910" s="122" t="n"/>
    </s:row>
    <s:row r="1911" hidden="1" ht="1" customHeight="1">
      <s:c r="A1911" s="120" t="inlineStr"/>
      <s:c r="B1911" s="121" t="n"/>
      <s:c r="C1911" s="121" t="n"/>
      <s:c r="D1911" s="121" t="n"/>
      <s:c r="E1911" s="122" t="n"/>
    </s:row>
    <s:row r="1912" hidden="1" ht="1" customHeight="1">
      <s:c r="A1912" s="120" t="inlineStr"/>
      <s:c r="B1912" s="121" t="n"/>
      <s:c r="C1912" s="121" t="n"/>
      <s:c r="D1912" s="121" t="n"/>
      <s:c r="E1912" s="122" t="n"/>
    </s:row>
    <s:row r="1913" hidden="1" ht="1" customHeight="1">
      <s:c r="A1913" s="120" t="inlineStr"/>
      <s:c r="B1913" s="121" t="n"/>
      <s:c r="C1913" s="121" t="n"/>
      <s:c r="D1913" s="121" t="n"/>
      <s:c r="E1913" s="122" t="n"/>
    </s:row>
    <s:row r="1914" hidden="1" ht="1" customHeight="1">
      <s:c r="A1914" s="120" t="inlineStr"/>
      <s:c r="B1914" s="121" t="n"/>
      <s:c r="C1914" s="121" t="n"/>
      <s:c r="D1914" s="121" t="n"/>
      <s:c r="E1914" s="122" t="n"/>
    </s:row>
    <s:row r="1915" hidden="1" ht="1" customHeight="1">
      <s:c r="A1915" s="120" t="inlineStr"/>
      <s:c r="B1915" s="121" t="n"/>
      <s:c r="C1915" s="121" t="n"/>
      <s:c r="D1915" s="121" t="n"/>
      <s:c r="E1915" s="122" t="n"/>
    </s:row>
    <s:row r="1916" hidden="1" ht="1" customHeight="1">
      <s:c r="A1916" s="120" t="inlineStr"/>
      <s:c r="B1916" s="121" t="n"/>
      <s:c r="C1916" s="121" t="n"/>
      <s:c r="D1916" s="121" t="n"/>
      <s:c r="E1916" s="122" t="n"/>
    </s:row>
    <s:row r="1917" hidden="1" ht="1" customHeight="1">
      <s:c r="A1917" s="120" t="inlineStr"/>
      <s:c r="B1917" s="121" t="n"/>
      <s:c r="C1917" s="121" t="n"/>
      <s:c r="D1917" s="121" t="n"/>
      <s:c r="E1917" s="122" t="n"/>
    </s:row>
    <s:row r="1918" hidden="1" ht="1" customHeight="1">
      <s:c r="A1918" s="120" t="inlineStr"/>
      <s:c r="B1918" s="121" t="n"/>
      <s:c r="C1918" s="121" t="n"/>
      <s:c r="D1918" s="121" t="n"/>
      <s:c r="E1918" s="122" t="n"/>
    </s:row>
    <s:row r="1919" hidden="1" ht="1" customHeight="1">
      <s:c r="A1919" s="120" t="inlineStr"/>
      <s:c r="B1919" s="121" t="n"/>
      <s:c r="C1919" s="121" t="n"/>
      <s:c r="D1919" s="121" t="n"/>
      <s:c r="E1919" s="122" t="n"/>
    </s:row>
    <s:row r="1920" hidden="1" ht="1" customHeight="1">
      <s:c r="A1920" s="120" t="inlineStr"/>
      <s:c r="B1920" s="121" t="n"/>
      <s:c r="C1920" s="121" t="n"/>
      <s:c r="D1920" s="121" t="n"/>
      <s:c r="E1920" s="122" t="n"/>
    </s:row>
    <s:row r="1921" hidden="1" ht="1" customHeight="1">
      <s:c r="A1921" s="120" t="inlineStr"/>
      <s:c r="B1921" s="121" t="n"/>
      <s:c r="C1921" s="121" t="n"/>
      <s:c r="D1921" s="121" t="n"/>
      <s:c r="E1921" s="122" t="n"/>
    </s:row>
    <s:row r="1922" hidden="1" ht="1" customHeight="1">
      <s:c r="A1922" s="120" t="inlineStr"/>
      <s:c r="B1922" s="121" t="n"/>
      <s:c r="C1922" s="121" t="n"/>
      <s:c r="D1922" s="121" t="n"/>
      <s:c r="E1922" s="122" t="n"/>
    </s:row>
    <s:row r="1923" hidden="1" ht="1" customHeight="1">
      <s:c r="A1923" s="120" t="inlineStr"/>
      <s:c r="B1923" s="121" t="n"/>
      <s:c r="C1923" s="121" t="n"/>
      <s:c r="D1923" s="121" t="n"/>
      <s:c r="E1923" s="122" t="n"/>
    </s:row>
    <s:row r="1924" hidden="1" ht="1" customHeight="1">
      <s:c r="A1924" s="120" t="inlineStr"/>
      <s:c r="B1924" s="121" t="n"/>
      <s:c r="C1924" s="121" t="n"/>
      <s:c r="D1924" s="121" t="n"/>
      <s:c r="E1924" s="122" t="n"/>
    </s:row>
    <s:row r="1925" hidden="1" ht="1" customHeight="1">
      <s:c r="A1925" s="120" t="inlineStr"/>
      <s:c r="B1925" s="121" t="n"/>
      <s:c r="C1925" s="121" t="n"/>
      <s:c r="D1925" s="121" t="n"/>
      <s:c r="E1925" s="122" t="n"/>
    </s:row>
    <s:row r="1926" hidden="1" ht="1" customHeight="1">
      <s:c r="A1926" s="120" t="inlineStr"/>
      <s:c r="B1926" s="121" t="n"/>
      <s:c r="C1926" s="121" t="n"/>
      <s:c r="D1926" s="121" t="n"/>
      <s:c r="E1926" s="122" t="n"/>
    </s:row>
    <s:row r="1927" hidden="1" ht="1" customHeight="1">
      <s:c r="A1927" s="120" t="inlineStr"/>
      <s:c r="B1927" s="121" t="n"/>
      <s:c r="C1927" s="121" t="n"/>
      <s:c r="D1927" s="121" t="n"/>
      <s:c r="E1927" s="122" t="n"/>
    </s:row>
    <s:row r="1928" hidden="1" ht="1" customHeight="1">
      <s:c r="A1928" s="120" t="inlineStr"/>
      <s:c r="B1928" s="121" t="n"/>
      <s:c r="C1928" s="121" t="n"/>
      <s:c r="D1928" s="121" t="n"/>
      <s:c r="E1928" s="122" t="n"/>
    </s:row>
    <s:row r="1929" hidden="1" ht="1" customHeight="1">
      <s:c r="A1929" s="120" t="inlineStr"/>
      <s:c r="B1929" s="121" t="n"/>
      <s:c r="C1929" s="121" t="n"/>
      <s:c r="D1929" s="121" t="n"/>
      <s:c r="E1929" s="122" t="n"/>
    </s:row>
    <s:row r="1930" hidden="1" ht="1" customHeight="1">
      <s:c r="A1930" s="83" t="inlineStr">
        <s:is>
          <s:t>PASS</s:t>
        </s:is>
      </s:c>
      <s:c r="B1930" s="83">
        <s:f>SUM(IF(EXACT('Kiểm thử'!E1880,"Đạt"),1,0))</s:f>
        <s:v/>
      </s:c>
      <s:c r="C1930" s="19" t="n"/>
      <s:c r="D1930" s="19" t="n"/>
      <s:c r="E1930" s="19" t="n"/>
    </s:row>
    <s:row r="1931" hidden="1" ht="1" customHeight="1">
      <s:c r="A1931" s="83" t="inlineStr">
        <s:is>
          <s:t>FAIL</s:t>
        </s:is>
      </s:c>
      <s:c r="B1931" s="83">
        <s:f>SUM(IF(EXACT('Kiểm thử'!E1880,"Không đạt"),1,0))</s:f>
        <s:v/>
      </s:c>
      <s:c r="C1931" s="19" t="n"/>
      <s:c r="D1931" s="19" t="n"/>
      <s:c r="E1931" s="19" t="n"/>
    </s:row>
    <s:row r="1932" hidden="1" ht="1" customHeight="1">
      <s:c r="A1932" s="83" t="inlineStr">
        <s:is>
          <s:t>BLOCKED</s:t>
        </s:is>
      </s:c>
      <s:c r="B1932" s="83">
        <s:f>SUM(IF(EXACT('Kiểm thử'!E1880,"Bị chặn"),1,0))</s:f>
        <s:v/>
      </s:c>
      <s:c r="C1932" s="19" t="n"/>
      <s:c r="D1932" s="19" t="n"/>
      <s:c r="E1932" s="19" t="n"/>
    </s:row>
    <s:row r="1933" hidden="1" ht="1" customHeight="1">
      <s:c r="A1933" s="83" t="inlineStr">
        <s:is>
          <s:t>SKIPPED</s:t>
        </s:is>
      </s:c>
      <s:c r="B1933" s="83">
        <s:f>SUM(IF(EXACT('Kiểm thử'!E1880,"Không thực hiện"),1,0))</s:f>
        <s:v/>
      </s:c>
      <s:c r="C1933" s="19" t="n"/>
      <s:c r="D1933" s="19" t="n"/>
      <s:c r="E1933" s="19" t="n"/>
    </s:row>
    <s:row r="1934" hidden="1" ht="1" customHeight="1">
      <s:c r="A1934" s="83" t="inlineStr">
        <s:is>
          <s:t>NOT RUN</s:t>
        </s:is>
      </s:c>
      <s:c r="B1934" s="83">
        <s:f>SUM(IF(EXACT('Kiểm thử'!E1880,"Chưa thực hiện"),1,0))</s:f>
        <s:v/>
      </s:c>
      <s:c r="C1934" s="19" t="n"/>
      <s:c r="D1934" s="19" t="n"/>
      <s:c r="E1934" s="19" t="n"/>
    </s:row>
    <s:row r="1935" hidden="1" ht="6" customHeight="1">
      <s:c r="A1935" s="83" t="inlineStr"/>
      <s:c r="B1935" s="19" t="n"/>
      <s:c r="C1935" s="19" t="n"/>
      <s:c r="D1935" s="19" t="n"/>
      <s:c r="E1935" s="19" t="n"/>
    </s:row>
    <s:row r="1936" ht="28" customHeight="1">
      <s:c r="A1936" s="108" t="inlineStr">
        <s:is>
          <s:t>TC-RS-UI-007 — Dòng quy tắc mới chỉ có điều kiện, chưa có ngưỡng</s:t>
        </s:is>
      </s:c>
      <s:c r="B1936" s="111" t="n"/>
      <s:c r="C1936" s="111" t="n"/>
      <s:c r="D1936" s="111" t="n"/>
      <s:c r="E1936" s="111" t="n"/>
    </s:row>
    <s:row r="1937" ht="20" customHeight="1">
      <s:c r="A1937" s="112" t="inlineStr">
        <s:is>
          <s:t>Kết quả tình huống</s:t>
        </s:is>
      </s:c>
      <s:c r="B1937" s="113">
        <s:f>IF(SUM(IF(EXACT('Kiểm thử'!E1946,"Không đạt"),1,0),IF(EXACT('Kiểm thử'!E1948,"Không đạt"),1,0))&gt;0,"Không đạt",IF(SUM(IF(EXACT('Kiểm thử'!E1946,"Đạt"),1,0),IF(EXACT('Kiểm thử'!E1948,"Đạt"),1,0))=2,"Đạt",IF(SUM(IF(EXACT('Kiểm thử'!E1946,"Không thực hiện"),1,0),IF(EXACT('Kiểm thử'!E1948,"Không thực hiện"),1,0))=2,"Không thực hiện",IF(SUM(IF(EXACT('Kiểm thử'!E1946,"Bị chặn"),1,0),IF(EXACT('Kiểm thử'!E1948,"Bị chặn"),1,0))&gt;0,"Bị chặn",IF(SUM(IF(EXACT('Kiểm thử'!E1946,"Chưa thực hiện"),1,0),IF(EXACT('Kiểm thử'!E1948,"Chưa thực hiện"),1,0))=2,"Chưa thực hiện","Đang thực hiện")))))</s:f>
        <s:v/>
      </s:c>
      <s:c r="C1937" s="114" t="n"/>
      <s:c r="D1937" s="114" t="n"/>
      <s:c r="E1937" s="114" t="n"/>
    </s:row>
    <s:row r="1938" ht="20" customHeight="1">
      <s:c r="A1938" s="112" t="inlineStr">
        <s:is>
          <s:t>Màn hình / chức năng</s:t>
        </s:is>
      </s:c>
      <s:c r="B1938" s="113" t="inlineStr">
        <s:is>
          <s:r>
            <s:rPr>
              <s:b val="1"/>
            </s:rPr>
            <s:t>Thiết lập điểm đỏ（赤点設定）</s:t>
          </s:r>
        </s:is>
      </s:c>
      <s:c r="C1938" s="28" t="n"/>
      <s:c r="D1938" s="28" t="n"/>
      <s:c r="E1938" s="28" t="n"/>
    </s:row>
    <s:row r="1939" ht="76" customHeight="1">
      <s:c r="A1939" s="112" t="inlineStr">
        <s:is>
          <s:t>Cấu hình</s:t>
        </s:is>
      </s:c>
      <s:c r="B1939" s="113" t="inlineStr">
        <s:is>
          <s:r>
            <s:t>• Trường A/năm 2026, mục số nguyên TD-ITEM-01 (</s:t>
          </s:r>
          <s:r>
            <s:rPr>
              <s:b val="1"/>
            </s:rPr>
            <s:t>M=100</s:t>
          </s:r>
          <s:r>
            <s:t xml:space="preserve">), S01=29;
• Giáo viên có quyền sửa và chạy xét. Rule ưu tiên 1 chỉ lưu điều kiện Toàn bộ, chưa có ngưỡng;
• Rule đối chứng ưu tiên 2 Toàn bộ, </s:t>
          </s:r>
          <s:r>
            <s:rPr>
              <s:b val="1"/>
            </s:rPr>
            <s:t>T=20</s:t>
          </s:r>
          <s:r>
            <s:t>, dấu [&lt;]. Ghi identity hai rule và dựng lại fixture trước mỗi biến thể;
• Baseline sau xét là Không đỏ theo rule đối chứng. Cách biểu diễn enum/schema vẫn là PROPOSED.</s:t>
          </s:r>
        </s:is>
      </s:c>
      <s:c r="C1939" s="28" t="n"/>
      <s:c r="D1939" s="28" t="n"/>
      <s:c r="E1939" s="28" t="n"/>
    </s:row>
    <s:row r="1940" ht="48" customHeight="1">
      <s:c r="A1940" s="112" t="inlineStr">
        <s:is>
          <s:t>Dữ liệu test</s:t>
        </s:is>
      </s:c>
      <s:c r="B1940" s="113" t="inlineStr">
        <s:is>
          <s:r>
            <s:t xml:space="preserve">• Form ngưỡng ở tab A sẽ nhập </s:t>
          </s:r>
          <s:r>
            <s:rPr>
              <s:b val="1"/>
            </s:rPr>
            <s:t>T=40</s:t>
          </s:r>
          <s:r>
            <s:t xml:space="preserve"> nhưng chưa lưu;
• Tab B dùng để xóa rule nhập dở. Phạm vi trích xuất chỉ có ô S01=29 này. Đây là fixture của [FUNC-014/incomplete-deleted-stale], không thay ngưỡng 30 dùng chung.</s:t>
          </s:r>
        </s:is>
      </s:c>
      <s:c r="C1940" s="28" t="n"/>
      <s:c r="D1940" s="28" t="n"/>
      <s:c r="E1940" s="28" t="n"/>
    </s:row>
    <s:row r="1941" ht="34" customHeight="1">
      <s:c r="A1941" s="112" t="inlineStr">
        <s:is>
          <s:t>Bước 1</s:t>
        </s:is>
      </s:c>
      <s:c r="B1941" s="113" t="inlineStr">
        <s:is>
          <s:r>
            <s:t xml:space="preserve">Với [incomplete-row], quay về danh sách, xem dòng nhập dở và thao tác mở thiết lập ngưỡng; chạy xét và đọc rule đối chứng </s:t>
          </s:r>
          <s:r>
            <s:rPr>
              <s:b val="1"/>
            </s:rPr>
            <s:t>T=20</s:t>
          </s:r>
          <s:r>
            <s:t xml:space="preserve"> đã dùng cho S01.</s:t>
          </s:r>
        </s:is>
      </s:c>
      <s:c r="C1941" s="28" t="n"/>
      <s:c r="D1941" s="28" t="n"/>
      <s:c r="E1941" s="28" t="n"/>
    </s:row>
    <s:row r="1942" ht="48" customHeight="1">
      <s:c r="A1942" s="112" t="inlineStr">
        <s:is>
          <s:t>Bước 2</s:t>
        </s:is>
      </s:c>
      <s:c r="B1942" s="113" t="inlineStr">
        <s:is>
          <s:r>
            <s:t>Với [incomplete-deleted-stale], reset fixture và xác nhận baseline Không đỏ/</s:t>
          </s:r>
          <s:r>
            <s:rPr>
              <s:b val="1"/>
            </s:rPr>
            <s:t>T=20</s:t>
          </s:r>
          <s:r>
            <s:t xml:space="preserve">. Mở form ngưỡng của rule nhập dở ở tab A, nhập </s:t>
          </s:r>
          <s:r>
            <s:rPr>
              <s:b val="1"/>
            </s:rPr>
            <s:t>T=40</s:t>
          </s:r>
          <s:r>
            <s:t xml:space="preserve"> nhưng chưa lưu; xóa rule đó ở tab B rồi gửi lưu tab A. Reload danh sách và đọc trạng thái rule.</s:t>
          </s:r>
        </s:is>
      </s:c>
      <s:c r="C1942" s="28" t="n"/>
      <s:c r="D1942" s="28" t="n"/>
      <s:c r="E1942" s="28" t="n"/>
    </s:row>
    <s:row r="1943" ht="34" customHeight="1">
      <s:c r="A1943" s="112" t="inlineStr">
        <s:is>
          <s:t>Bước 3</s:t>
        </s:is>
      </s:c>
      <s:c r="B1943" s="113" t="inlineStr">
        <s:is>
          <s:t>Chạy xét lại thành công; đọc identity rule/ngưỡng đã dùng và trích xuất S01 một lượt tắt lọc, một lượt bật lọc đỏ. Ghi kết quả riêng cho hai biến thể.</s:t>
        </s:is>
      </s:c>
      <s:c r="C1943" s="28" t="n"/>
      <s:c r="D1943" s="28" t="n"/>
      <s:c r="E1943" s="28" t="n"/>
    </s:row>
    <s:row r="1944" ht="28" customHeight="1">
      <s:c r="A1944" s="115" t="inlineStr">
        <s:is>
          <s:t>Trường hợp</s:t>
        </s:is>
      </s:c>
      <s:c r="B1944" s="115" t="inlineStr">
        <s:is>
          <s:t>Dữ liệu / thao tác riêng</s:t>
        </s:is>
      </s:c>
      <s:c r="C1944" s="115" t="inlineStr">
        <s:is>
          <s:t>Kết quả mong đợi</s:t>
        </s:is>
      </s:c>
      <s:c r="D1944" s="115" t="inlineStr">
        <s:is>
          <s:t>Kết quả thực tế</s:t>
        </s:is>
      </s:c>
      <s:c r="E1944" s="115" t="inlineStr">
        <s:is>
          <s:t>Đánh giá</s:t>
        </s:is>
      </s:c>
    </s:row>
    <s:row r="1945" ht="3" customHeight="1">
      <s:c r="A1945" s="102" t="inlineStr"/>
      <s:c r="B1945" s="99" t="n"/>
      <s:c r="C1945" s="99" t="n"/>
      <s:c r="D1945" s="116" t="n"/>
      <s:c r="E1945" s="116" t="n"/>
    </s:row>
    <s:row r="1946" ht="146" customHeight="1">
      <s:c r="A1946" s="83" t="inlineStr">
        <s:is>
          <s:t>Hiển thị quy tắc chưa có ngưỡng (incomplete-row)</s:t>
        </s:is>
      </s:c>
      <s:c r="B1946" s="83" t="inlineStr">
        <s:is>
          <s:r>
            <s:t>S01=29, rule ưu tiên 1 nhập dở, rule đối chứng ưu tiên 2/</s:t>
          </s:r>
          <s:r>
            <s:rPr>
              <s:b val="1"/>
            </s:rPr>
            <s:t>T=20</s:t>
          </s:r>
          <s:r>
            <s:t>. Xem dòng và link ngưỡng; chạy xét và đọc identity rule/ngưỡng đã dùng.</s:t>
          </s:r>
        </s:is>
      </s:c>
      <s:c r="C1946" s="83" t="inlineStr">
        <s:is>
          <s:r>
            <s:t xml:space="preserve">1. [Incomplete-row]: dòng hiển thị chưa có ngưỡng, có link mở thiết lập ngưỡng và câu báo không dùng để xét. Bộ xét chọn rule đối chứng </s:t>
          </s:r>
          <s:r>
            <s:rPr>
              <s:b val="1"/>
            </s:rPr>
            <s:t>T=20</s:t>
          </s:r>
          <s:r>
            <s:t xml:space="preserve">, S01=29 </s:t>
          </s:r>
          <s:r>
            <s:rPr>
              <s:b val="1"/>
            </s:rPr>
            <s:t>Không đỏ</s:t>
          </s:r>
          <s:r>
            <s:t>; không tạo ngưỡng 0 ngầm.
3. Schema/enum là cách hiện thực đề xuất. Nếu chưa xác minh được form cũ, đường chạy xét hoặc reader rule/ngưỡng thì giữ biến thể BLOCKED, không suy PASS chỉ từ danh sách.</s:t>
          </s:r>
        </s:is>
      </s:c>
      <s:c r="D1946" s="117" t="inlineStr"/>
      <s:c r="E1946" s="118" t="inlineStr">
        <s:is>
          <s:t>Chưa thực hiện</s:t>
        </s:is>
      </s:c>
    </s:row>
    <s:row r="1947" ht="3" customHeight="1">
      <s:c r="A1947" s="102" t="inlineStr"/>
      <s:c r="B1947" s="99" t="n"/>
      <s:c r="C1947" s="99" t="n"/>
      <s:c r="D1947" s="116" t="n"/>
      <s:c r="E1947" s="116" t="n"/>
    </s:row>
    <s:row r="1948" ht="188" customHeight="1">
      <s:c r="A1948" s="83" t="inlineStr">
        <s:is>
          <s:t>Form cũ của quy tắc nhập dở đã xóa (incomplete-deleted-stale)</s:t>
        </s:is>
      </s:c>
      <s:c r="B1948" s="83" t="inlineStr">
        <s:is>
          <s:r>
            <s:t>Reset S01=29/Không đỏ theo rule đối chứng ưu tiên 2/</s:t>
          </s:r>
          <s:r>
            <s:rPr>
              <s:b val="1"/>
            </s:rPr>
            <s:t>T=20</s:t>
          </s:r>
          <s:r>
            <s:t xml:space="preserve">. Tab A nhập </s:t>
          </s:r>
          <s:r>
            <s:rPr>
              <s:b val="1"/>
            </s:rPr>
            <s:t>T=40</s:t>
          </s:r>
          <s:r>
            <s:t xml:space="preserve"> cho rule nhập dở nhưng chưa lưu; tab B xóa rule đó, rồi gửi form cũ tab A. Chạy xét lại; đọc identity/ngưỡng và trích xuất tắt/bật lọc riêng.</s:t>
          </s:r>
        </s:is>
      </s:c>
      <s:c r="C1948" s="83" t="inlineStr">
        <s:is>
          <s:r>
            <s:t xml:space="preserve">2. [Incomplete-deleted-stale]: dòng đã xóa không xuất hiện lại; gửi </s:t>
          </s:r>
          <s:r>
            <s:rPr>
              <s:b val="1"/>
            </s:rPr>
            <s:t>T=40</s:t>
          </s:r>
          <s:r>
            <s:t xml:space="preserve"> từ form cũ không phục hồi rule trong bộ xét. Sau lần xét lại, identity rule đối chứng và </s:t>
          </s:r>
          <s:r>
            <s:rPr>
              <s:b val="1"/>
            </s:rPr>
            <s:t>T=20</s:t>
          </s:r>
          <s:r>
            <s:t xml:space="preserve"> giữ đúng, S01=29 </s:t>
          </s:r>
          <s:r>
            <s:rPr>
              <s:b val="1"/>
            </s:rPr>
            <s:t>Không đỏ</s:t>
          </s:r>
          <s:r>
            <s:t xml:space="preserve">. Lượt tắt lọc hiện 29 không dấu đỏ; lượt bật lọc không có S01. Nếu rule 40 bị phục hồi thì 29&lt;40 sẽ </s:t>
          </s:r>
          <s:r>
            <s:rPr>
              <s:b val="1"/>
            </s:rPr>
            <s:t>Đỏ</s:t>
          </s:r>
          <s:r>
            <s:t xml:space="preserve"> và biến thể phải FAIL.
3. Schema/enum là cách hiện thực đề xuất. Nếu chưa xác minh được form cũ, đường chạy xét hoặc reader rule/ngưỡng thì giữ biến thể BLOCKED, không suy PASS chỉ từ danh sách.</s:t>
          </s:r>
        </s:is>
      </s:c>
      <s:c r="D1948" s="117" t="inlineStr"/>
      <s:c r="E1948" s="118" t="inlineStr">
        <s:is>
          <s:t>Chưa thực hiện</s:t>
        </s:is>
      </s:c>
    </s:row>
    <s:row r="1949" ht="20" customHeight="1">
      <s:c r="A1949" s="119" t="inlineStr">
        <s:is>
          <s:t>Ảnh minh chứng — Chưa có ảnh</s:t>
        </s:is>
      </s:c>
      <s:c r="B1949" s="19" t="n"/>
      <s:c r="C1949" s="19" t="n"/>
      <s:c r="D1949" s="19" t="n"/>
      <s:c r="E1949" s="19" t="n"/>
    </s:row>
    <s:row r="1950" hidden="1" ht="1" customHeight="1">
      <s:c r="A1950" s="120" t="inlineStr"/>
      <s:c r="B1950" s="121" t="n"/>
      <s:c r="C1950" s="121" t="n"/>
      <s:c r="D1950" s="121" t="n"/>
      <s:c r="E1950" s="122" t="n"/>
    </s:row>
    <s:row r="1951" hidden="1" ht="1" customHeight="1">
      <s:c r="A1951" s="120" t="inlineStr"/>
      <s:c r="B1951" s="121" t="n"/>
      <s:c r="C1951" s="121" t="n"/>
      <s:c r="D1951" s="121" t="n"/>
      <s:c r="E1951" s="122" t="n"/>
    </s:row>
    <s:row r="1952" hidden="1" ht="1" customHeight="1">
      <s:c r="A1952" s="120" t="inlineStr"/>
      <s:c r="B1952" s="121" t="n"/>
      <s:c r="C1952" s="121" t="n"/>
      <s:c r="D1952" s="121" t="n"/>
      <s:c r="E1952" s="122" t="n"/>
    </s:row>
    <s:row r="1953" hidden="1" ht="1" customHeight="1">
      <s:c r="A1953" s="120" t="inlineStr"/>
      <s:c r="B1953" s="121" t="n"/>
      <s:c r="C1953" s="121" t="n"/>
      <s:c r="D1953" s="121" t="n"/>
      <s:c r="E1953" s="122" t="n"/>
    </s:row>
    <s:row r="1954" hidden="1" ht="1" customHeight="1">
      <s:c r="A1954" s="120" t="inlineStr"/>
      <s:c r="B1954" s="121" t="n"/>
      <s:c r="C1954" s="121" t="n"/>
      <s:c r="D1954" s="121" t="n"/>
      <s:c r="E1954" s="122" t="n"/>
    </s:row>
    <s:row r="1955" hidden="1" ht="1" customHeight="1">
      <s:c r="A1955" s="120" t="inlineStr"/>
      <s:c r="B1955" s="121" t="n"/>
      <s:c r="C1955" s="121" t="n"/>
      <s:c r="D1955" s="121" t="n"/>
      <s:c r="E1955" s="122" t="n"/>
    </s:row>
    <s:row r="1956" hidden="1" ht="1" customHeight="1">
      <s:c r="A1956" s="120" t="inlineStr"/>
      <s:c r="B1956" s="121" t="n"/>
      <s:c r="C1956" s="121" t="n"/>
      <s:c r="D1956" s="121" t="n"/>
      <s:c r="E1956" s="122" t="n"/>
    </s:row>
    <s:row r="1957" hidden="1" ht="1" customHeight="1">
      <s:c r="A1957" s="120" t="inlineStr"/>
      <s:c r="B1957" s="121" t="n"/>
      <s:c r="C1957" s="121" t="n"/>
      <s:c r="D1957" s="121" t="n"/>
      <s:c r="E1957" s="122" t="n"/>
    </s:row>
    <s:row r="1958" hidden="1" ht="1" customHeight="1">
      <s:c r="A1958" s="120" t="inlineStr"/>
      <s:c r="B1958" s="121" t="n"/>
      <s:c r="C1958" s="121" t="n"/>
      <s:c r="D1958" s="121" t="n"/>
      <s:c r="E1958" s="122" t="n"/>
    </s:row>
    <s:row r="1959" hidden="1" ht="1" customHeight="1">
      <s:c r="A1959" s="120" t="inlineStr"/>
      <s:c r="B1959" s="121" t="n"/>
      <s:c r="C1959" s="121" t="n"/>
      <s:c r="D1959" s="121" t="n"/>
      <s:c r="E1959" s="122" t="n"/>
    </s:row>
    <s:row r="1960" hidden="1" ht="1" customHeight="1">
      <s:c r="A1960" s="120" t="inlineStr"/>
      <s:c r="B1960" s="121" t="n"/>
      <s:c r="C1960" s="121" t="n"/>
      <s:c r="D1960" s="121" t="n"/>
      <s:c r="E1960" s="122" t="n"/>
    </s:row>
    <s:row r="1961" hidden="1" ht="1" customHeight="1">
      <s:c r="A1961" s="120" t="inlineStr"/>
      <s:c r="B1961" s="121" t="n"/>
      <s:c r="C1961" s="121" t="n"/>
      <s:c r="D1961" s="121" t="n"/>
      <s:c r="E1961" s="122" t="n"/>
    </s:row>
    <s:row r="1962" hidden="1" ht="1" customHeight="1">
      <s:c r="A1962" s="120" t="inlineStr"/>
      <s:c r="B1962" s="121" t="n"/>
      <s:c r="C1962" s="121" t="n"/>
      <s:c r="D1962" s="121" t="n"/>
      <s:c r="E1962" s="122" t="n"/>
    </s:row>
    <s:row r="1963" hidden="1" ht="1" customHeight="1">
      <s:c r="A1963" s="120" t="inlineStr"/>
      <s:c r="B1963" s="121" t="n"/>
      <s:c r="C1963" s="121" t="n"/>
      <s:c r="D1963" s="121" t="n"/>
      <s:c r="E1963" s="122" t="n"/>
    </s:row>
    <s:row r="1964" hidden="1" ht="1" customHeight="1">
      <s:c r="A1964" s="120" t="inlineStr"/>
      <s:c r="B1964" s="121" t="n"/>
      <s:c r="C1964" s="121" t="n"/>
      <s:c r="D1964" s="121" t="n"/>
      <s:c r="E1964" s="122" t="n"/>
    </s:row>
    <s:row r="1965" hidden="1" ht="1" customHeight="1">
      <s:c r="A1965" s="120" t="inlineStr"/>
      <s:c r="B1965" s="121" t="n"/>
      <s:c r="C1965" s="121" t="n"/>
      <s:c r="D1965" s="121" t="n"/>
      <s:c r="E1965" s="122" t="n"/>
    </s:row>
    <s:row r="1966" hidden="1" ht="1" customHeight="1">
      <s:c r="A1966" s="120" t="inlineStr"/>
      <s:c r="B1966" s="121" t="n"/>
      <s:c r="C1966" s="121" t="n"/>
      <s:c r="D1966" s="121" t="n"/>
      <s:c r="E1966" s="122" t="n"/>
    </s:row>
    <s:row r="1967" hidden="1" ht="1" customHeight="1">
      <s:c r="A1967" s="120" t="inlineStr"/>
      <s:c r="B1967" s="121" t="n"/>
      <s:c r="C1967" s="121" t="n"/>
      <s:c r="D1967" s="121" t="n"/>
      <s:c r="E1967" s="122" t="n"/>
    </s:row>
    <s:row r="1968" hidden="1" ht="1" customHeight="1">
      <s:c r="A1968" s="120" t="inlineStr"/>
      <s:c r="B1968" s="121" t="n"/>
      <s:c r="C1968" s="121" t="n"/>
      <s:c r="D1968" s="121" t="n"/>
      <s:c r="E1968" s="122" t="n"/>
    </s:row>
    <s:row r="1969" hidden="1" ht="1" customHeight="1">
      <s:c r="A1969" s="120" t="inlineStr"/>
      <s:c r="B1969" s="121" t="n"/>
      <s:c r="C1969" s="121" t="n"/>
      <s:c r="D1969" s="121" t="n"/>
      <s:c r="E1969" s="122" t="n"/>
    </s:row>
    <s:row r="1970" hidden="1" ht="1" customHeight="1">
      <s:c r="A1970" s="120" t="inlineStr"/>
      <s:c r="B1970" s="121" t="n"/>
      <s:c r="C1970" s="121" t="n"/>
      <s:c r="D1970" s="121" t="n"/>
      <s:c r="E1970" s="122" t="n"/>
    </s:row>
    <s:row r="1971" hidden="1" ht="1" customHeight="1">
      <s:c r="A1971" s="120" t="inlineStr"/>
      <s:c r="B1971" s="121" t="n"/>
      <s:c r="C1971" s="121" t="n"/>
      <s:c r="D1971" s="121" t="n"/>
      <s:c r="E1971" s="122" t="n"/>
    </s:row>
    <s:row r="1972" hidden="1" ht="1" customHeight="1">
      <s:c r="A1972" s="120" t="inlineStr"/>
      <s:c r="B1972" s="121" t="n"/>
      <s:c r="C1972" s="121" t="n"/>
      <s:c r="D1972" s="121" t="n"/>
      <s:c r="E1972" s="122" t="n"/>
    </s:row>
    <s:row r="1973" hidden="1" ht="1" customHeight="1">
      <s:c r="A1973" s="120" t="inlineStr"/>
      <s:c r="B1973" s="121" t="n"/>
      <s:c r="C1973" s="121" t="n"/>
      <s:c r="D1973" s="121" t="n"/>
      <s:c r="E1973" s="122" t="n"/>
    </s:row>
    <s:row r="1974" hidden="1" ht="1" customHeight="1">
      <s:c r="A1974" s="120" t="inlineStr"/>
      <s:c r="B1974" s="121" t="n"/>
      <s:c r="C1974" s="121" t="n"/>
      <s:c r="D1974" s="121" t="n"/>
      <s:c r="E1974" s="122" t="n"/>
    </s:row>
    <s:row r="1975" hidden="1" ht="1" customHeight="1">
      <s:c r="A1975" s="120" t="inlineStr"/>
      <s:c r="B1975" s="121" t="n"/>
      <s:c r="C1975" s="121" t="n"/>
      <s:c r="D1975" s="121" t="n"/>
      <s:c r="E1975" s="122" t="n"/>
    </s:row>
    <s:row r="1976" hidden="1" ht="1" customHeight="1">
      <s:c r="A1976" s="120" t="inlineStr"/>
      <s:c r="B1976" s="121" t="n"/>
      <s:c r="C1976" s="121" t="n"/>
      <s:c r="D1976" s="121" t="n"/>
      <s:c r="E1976" s="122" t="n"/>
    </s:row>
    <s:row r="1977" hidden="1" ht="1" customHeight="1">
      <s:c r="A1977" s="120" t="inlineStr"/>
      <s:c r="B1977" s="121" t="n"/>
      <s:c r="C1977" s="121" t="n"/>
      <s:c r="D1977" s="121" t="n"/>
      <s:c r="E1977" s="122" t="n"/>
    </s:row>
    <s:row r="1978" hidden="1" ht="1" customHeight="1">
      <s:c r="A1978" s="120" t="inlineStr"/>
      <s:c r="B1978" s="121" t="n"/>
      <s:c r="C1978" s="121" t="n"/>
      <s:c r="D1978" s="121" t="n"/>
      <s:c r="E1978" s="122" t="n"/>
    </s:row>
    <s:row r="1979" hidden="1" ht="1" customHeight="1">
      <s:c r="A1979" s="120" t="inlineStr"/>
      <s:c r="B1979" s="121" t="n"/>
      <s:c r="C1979" s="121" t="n"/>
      <s:c r="D1979" s="121" t="n"/>
      <s:c r="E1979" s="122" t="n"/>
    </s:row>
    <s:row r="1980" hidden="1" ht="1" customHeight="1">
      <s:c r="A1980" s="120" t="inlineStr"/>
      <s:c r="B1980" s="121" t="n"/>
      <s:c r="C1980" s="121" t="n"/>
      <s:c r="D1980" s="121" t="n"/>
      <s:c r="E1980" s="122" t="n"/>
    </s:row>
    <s:row r="1981" hidden="1" ht="1" customHeight="1">
      <s:c r="A1981" s="120" t="inlineStr"/>
      <s:c r="B1981" s="121" t="n"/>
      <s:c r="C1981" s="121" t="n"/>
      <s:c r="D1981" s="121" t="n"/>
      <s:c r="E1981" s="122" t="n"/>
    </s:row>
    <s:row r="1982" hidden="1" ht="1" customHeight="1">
      <s:c r="A1982" s="120" t="inlineStr"/>
      <s:c r="B1982" s="121" t="n"/>
      <s:c r="C1982" s="121" t="n"/>
      <s:c r="D1982" s="121" t="n"/>
      <s:c r="E1982" s="122" t="n"/>
    </s:row>
    <s:row r="1983" hidden="1" ht="1" customHeight="1">
      <s:c r="A1983" s="120" t="inlineStr"/>
      <s:c r="B1983" s="121" t="n"/>
      <s:c r="C1983" s="121" t="n"/>
      <s:c r="D1983" s="121" t="n"/>
      <s:c r="E1983" s="122" t="n"/>
    </s:row>
    <s:row r="1984" hidden="1" ht="1" customHeight="1">
      <s:c r="A1984" s="120" t="inlineStr"/>
      <s:c r="B1984" s="121" t="n"/>
      <s:c r="C1984" s="121" t="n"/>
      <s:c r="D1984" s="121" t="n"/>
      <s:c r="E1984" s="122" t="n"/>
    </s:row>
    <s:row r="1985" hidden="1" ht="1" customHeight="1">
      <s:c r="A1985" s="120" t="inlineStr"/>
      <s:c r="B1985" s="121" t="n"/>
      <s:c r="C1985" s="121" t="n"/>
      <s:c r="D1985" s="121" t="n"/>
      <s:c r="E1985" s="122" t="n"/>
    </s:row>
    <s:row r="1986" hidden="1" ht="1" customHeight="1">
      <s:c r="A1986" s="120" t="inlineStr"/>
      <s:c r="B1986" s="121" t="n"/>
      <s:c r="C1986" s="121" t="n"/>
      <s:c r="D1986" s="121" t="n"/>
      <s:c r="E1986" s="122" t="n"/>
    </s:row>
    <s:row r="1987" hidden="1" ht="1" customHeight="1">
      <s:c r="A1987" s="120" t="inlineStr"/>
      <s:c r="B1987" s="121" t="n"/>
      <s:c r="C1987" s="121" t="n"/>
      <s:c r="D1987" s="121" t="n"/>
      <s:c r="E1987" s="122" t="n"/>
    </s:row>
    <s:row r="1988" hidden="1" ht="1" customHeight="1">
      <s:c r="A1988" s="120" t="inlineStr"/>
      <s:c r="B1988" s="121" t="n"/>
      <s:c r="C1988" s="121" t="n"/>
      <s:c r="D1988" s="121" t="n"/>
      <s:c r="E1988" s="122" t="n"/>
    </s:row>
    <s:row r="1989" hidden="1" ht="1" customHeight="1">
      <s:c r="A1989" s="120" t="inlineStr"/>
      <s:c r="B1989" s="121" t="n"/>
      <s:c r="C1989" s="121" t="n"/>
      <s:c r="D1989" s="121" t="n"/>
      <s:c r="E1989" s="122" t="n"/>
    </s:row>
    <s:row r="1990" hidden="1" ht="1" customHeight="1">
      <s:c r="A1990" s="120" t="inlineStr"/>
      <s:c r="B1990" s="121" t="n"/>
      <s:c r="C1990" s="121" t="n"/>
      <s:c r="D1990" s="121" t="n"/>
      <s:c r="E1990" s="122" t="n"/>
    </s:row>
    <s:row r="1991" hidden="1" ht="1" customHeight="1">
      <s:c r="A1991" s="120" t="inlineStr"/>
      <s:c r="B1991" s="121" t="n"/>
      <s:c r="C1991" s="121" t="n"/>
      <s:c r="D1991" s="121" t="n"/>
      <s:c r="E1991" s="122" t="n"/>
    </s:row>
    <s:row r="1992" hidden="1" ht="1" customHeight="1">
      <s:c r="A1992" s="120" t="inlineStr"/>
      <s:c r="B1992" s="121" t="n"/>
      <s:c r="C1992" s="121" t="n"/>
      <s:c r="D1992" s="121" t="n"/>
      <s:c r="E1992" s="122" t="n"/>
    </s:row>
    <s:row r="1993" hidden="1" ht="1" customHeight="1">
      <s:c r="A1993" s="120" t="inlineStr"/>
      <s:c r="B1993" s="121" t="n"/>
      <s:c r="C1993" s="121" t="n"/>
      <s:c r="D1993" s="121" t="n"/>
      <s:c r="E1993" s="122" t="n"/>
    </s:row>
    <s:row r="1994" hidden="1" ht="1" customHeight="1">
      <s:c r="A1994" s="120" t="inlineStr"/>
      <s:c r="B1994" s="121" t="n"/>
      <s:c r="C1994" s="121" t="n"/>
      <s:c r="D1994" s="121" t="n"/>
      <s:c r="E1994" s="122" t="n"/>
    </s:row>
    <s:row r="1995" hidden="1" ht="1" customHeight="1">
      <s:c r="A1995" s="120" t="inlineStr"/>
      <s:c r="B1995" s="121" t="n"/>
      <s:c r="C1995" s="121" t="n"/>
      <s:c r="D1995" s="121" t="n"/>
      <s:c r="E1995" s="122" t="n"/>
    </s:row>
    <s:row r="1996" hidden="1" ht="1" customHeight="1">
      <s:c r="A1996" s="120" t="inlineStr"/>
      <s:c r="B1996" s="121" t="n"/>
      <s:c r="C1996" s="121" t="n"/>
      <s:c r="D1996" s="121" t="n"/>
      <s:c r="E1996" s="122" t="n"/>
    </s:row>
    <s:row r="1997" hidden="1" ht="1" customHeight="1">
      <s:c r="A1997" s="120" t="inlineStr"/>
      <s:c r="B1997" s="121" t="n"/>
      <s:c r="C1997" s="121" t="n"/>
      <s:c r="D1997" s="121" t="n"/>
      <s:c r="E1997" s="122" t="n"/>
    </s:row>
    <s:row r="1998" hidden="1" ht="1" customHeight="1">
      <s:c r="A1998" s="120" t="inlineStr"/>
      <s:c r="B1998" s="121" t="n"/>
      <s:c r="C1998" s="121" t="n"/>
      <s:c r="D1998" s="121" t="n"/>
      <s:c r="E1998" s="122" t="n"/>
    </s:row>
    <s:row r="1999" hidden="1" ht="1" customHeight="1">
      <s:c r="A1999" s="120" t="inlineStr"/>
      <s:c r="B1999" s="121" t="n"/>
      <s:c r="C1999" s="121" t="n"/>
      <s:c r="D1999" s="121" t="n"/>
      <s:c r="E1999" s="122" t="n"/>
    </s:row>
    <s:row r="2000" hidden="1" ht="1" customHeight="1">
      <s:c r="A2000" s="120" t="inlineStr"/>
      <s:c r="B2000" s="121" t="n"/>
      <s:c r="C2000" s="121" t="n"/>
      <s:c r="D2000" s="121" t="n"/>
      <s:c r="E2000" s="122" t="n"/>
    </s:row>
    <s:row r="2001" hidden="1" ht="1" customHeight="1">
      <s:c r="A2001" s="120" t="inlineStr"/>
      <s:c r="B2001" s="121" t="n"/>
      <s:c r="C2001" s="121" t="n"/>
      <s:c r="D2001" s="121" t="n"/>
      <s:c r="E2001" s="122" t="n"/>
    </s:row>
    <s:row r="2002" hidden="1" ht="1" customHeight="1">
      <s:c r="A2002" s="120" t="inlineStr"/>
      <s:c r="B2002" s="121" t="n"/>
      <s:c r="C2002" s="121" t="n"/>
      <s:c r="D2002" s="121" t="n"/>
      <s:c r="E2002" s="122" t="n"/>
    </s:row>
    <s:row r="2003" hidden="1" ht="1" customHeight="1">
      <s:c r="A2003" s="120" t="inlineStr"/>
      <s:c r="B2003" s="121" t="n"/>
      <s:c r="C2003" s="121" t="n"/>
      <s:c r="D2003" s="121" t="n"/>
      <s:c r="E2003" s="122" t="n"/>
    </s:row>
    <s:row r="2004" hidden="1" ht="1" customHeight="1">
      <s:c r="A2004" s="120" t="inlineStr"/>
      <s:c r="B2004" s="121" t="n"/>
      <s:c r="C2004" s="121" t="n"/>
      <s:c r="D2004" s="121" t="n"/>
      <s:c r="E2004" s="122" t="n"/>
    </s:row>
    <s:row r="2005" hidden="1" ht="1" customHeight="1">
      <s:c r="A2005" s="120" t="inlineStr"/>
      <s:c r="B2005" s="121" t="n"/>
      <s:c r="C2005" s="121" t="n"/>
      <s:c r="D2005" s="121" t="n"/>
      <s:c r="E2005" s="122" t="n"/>
    </s:row>
    <s:row r="2006" hidden="1" ht="1" customHeight="1">
      <s:c r="A2006" s="120" t="inlineStr"/>
      <s:c r="B2006" s="121" t="n"/>
      <s:c r="C2006" s="121" t="n"/>
      <s:c r="D2006" s="121" t="n"/>
      <s:c r="E2006" s="122" t="n"/>
    </s:row>
    <s:row r="2007" hidden="1" ht="1" customHeight="1">
      <s:c r="A2007" s="120" t="inlineStr"/>
      <s:c r="B2007" s="121" t="n"/>
      <s:c r="C2007" s="121" t="n"/>
      <s:c r="D2007" s="121" t="n"/>
      <s:c r="E2007" s="122" t="n"/>
    </s:row>
    <s:row r="2008" hidden="1" ht="1" customHeight="1">
      <s:c r="A2008" s="120" t="inlineStr"/>
      <s:c r="B2008" s="121" t="n"/>
      <s:c r="C2008" s="121" t="n"/>
      <s:c r="D2008" s="121" t="n"/>
      <s:c r="E2008" s="122" t="n"/>
    </s:row>
    <s:row r="2009" hidden="1" ht="1" customHeight="1">
      <s:c r="A2009" s="120" t="inlineStr"/>
      <s:c r="B2009" s="121" t="n"/>
      <s:c r="C2009" s="121" t="n"/>
      <s:c r="D2009" s="121" t="n"/>
      <s:c r="E2009" s="122" t="n"/>
    </s:row>
    <s:row r="2010" hidden="1" ht="1" customHeight="1">
      <s:c r="A2010" s="120" t="inlineStr"/>
      <s:c r="B2010" s="121" t="n"/>
      <s:c r="C2010" s="121" t="n"/>
      <s:c r="D2010" s="121" t="n"/>
      <s:c r="E2010" s="122" t="n"/>
    </s:row>
    <s:row r="2011" hidden="1" ht="1" customHeight="1">
      <s:c r="A2011" s="120" t="inlineStr"/>
      <s:c r="B2011" s="121" t="n"/>
      <s:c r="C2011" s="121" t="n"/>
      <s:c r="D2011" s="121" t="n"/>
      <s:c r="E2011" s="122" t="n"/>
    </s:row>
    <s:row r="2012" hidden="1" ht="1" customHeight="1">
      <s:c r="A2012" s="120" t="inlineStr"/>
      <s:c r="B2012" s="121" t="n"/>
      <s:c r="C2012" s="121" t="n"/>
      <s:c r="D2012" s="121" t="n"/>
      <s:c r="E2012" s="122" t="n"/>
    </s:row>
    <s:row r="2013" hidden="1" ht="1" customHeight="1">
      <s:c r="A2013" s="120" t="inlineStr"/>
      <s:c r="B2013" s="121" t="n"/>
      <s:c r="C2013" s="121" t="n"/>
      <s:c r="D2013" s="121" t="n"/>
      <s:c r="E2013" s="122" t="n"/>
    </s:row>
    <s:row r="2014" hidden="1" ht="1" customHeight="1">
      <s:c r="A2014" s="120" t="inlineStr"/>
      <s:c r="B2014" s="121" t="n"/>
      <s:c r="C2014" s="121" t="n"/>
      <s:c r="D2014" s="121" t="n"/>
      <s:c r="E2014" s="122" t="n"/>
    </s:row>
    <s:row r="2015" hidden="1" ht="1" customHeight="1">
      <s:c r="A2015" s="120" t="inlineStr"/>
      <s:c r="B2015" s="121" t="n"/>
      <s:c r="C2015" s="121" t="n"/>
      <s:c r="D2015" s="121" t="n"/>
      <s:c r="E2015" s="122" t="n"/>
    </s:row>
    <s:row r="2016" hidden="1" ht="1" customHeight="1">
      <s:c r="A2016" s="120" t="inlineStr"/>
      <s:c r="B2016" s="121" t="n"/>
      <s:c r="C2016" s="121" t="n"/>
      <s:c r="D2016" s="121" t="n"/>
      <s:c r="E2016" s="122" t="n"/>
    </s:row>
    <s:row r="2017" hidden="1" ht="1" customHeight="1">
      <s:c r="A2017" s="120" t="inlineStr"/>
      <s:c r="B2017" s="121" t="n"/>
      <s:c r="C2017" s="121" t="n"/>
      <s:c r="D2017" s="121" t="n"/>
      <s:c r="E2017" s="122" t="n"/>
    </s:row>
    <s:row r="2018" hidden="1" ht="1" customHeight="1">
      <s:c r="A2018" s="120" t="inlineStr"/>
      <s:c r="B2018" s="121" t="n"/>
      <s:c r="C2018" s="121" t="n"/>
      <s:c r="D2018" s="121" t="n"/>
      <s:c r="E2018" s="122" t="n"/>
    </s:row>
    <s:row r="2019" hidden="1" ht="1" customHeight="1">
      <s:c r="A2019" s="120" t="inlineStr"/>
      <s:c r="B2019" s="121" t="n"/>
      <s:c r="C2019" s="121" t="n"/>
      <s:c r="D2019" s="121" t="n"/>
      <s:c r="E2019" s="122" t="n"/>
    </s:row>
    <s:row r="2020" hidden="1" ht="1" customHeight="1">
      <s:c r="A2020" s="120" t="inlineStr"/>
      <s:c r="B2020" s="121" t="n"/>
      <s:c r="C2020" s="121" t="n"/>
      <s:c r="D2020" s="121" t="n"/>
      <s:c r="E2020" s="122" t="n"/>
    </s:row>
    <s:row r="2021" hidden="1" ht="1" customHeight="1">
      <s:c r="A2021" s="120" t="inlineStr"/>
      <s:c r="B2021" s="121" t="n"/>
      <s:c r="C2021" s="121" t="n"/>
      <s:c r="D2021" s="121" t="n"/>
      <s:c r="E2021" s="122" t="n"/>
    </s:row>
    <s:row r="2022" hidden="1" ht="1" customHeight="1">
      <s:c r="A2022" s="120" t="inlineStr"/>
      <s:c r="B2022" s="121" t="n"/>
      <s:c r="C2022" s="121" t="n"/>
      <s:c r="D2022" s="121" t="n"/>
      <s:c r="E2022" s="122" t="n"/>
    </s:row>
    <s:row r="2023" hidden="1" ht="1" customHeight="1">
      <s:c r="A2023" s="120" t="inlineStr"/>
      <s:c r="B2023" s="121" t="n"/>
      <s:c r="C2023" s="121" t="n"/>
      <s:c r="D2023" s="121" t="n"/>
      <s:c r="E2023" s="122" t="n"/>
    </s:row>
    <s:row r="2024" hidden="1" ht="1" customHeight="1">
      <s:c r="A2024" s="120" t="inlineStr"/>
      <s:c r="B2024" s="121" t="n"/>
      <s:c r="C2024" s="121" t="n"/>
      <s:c r="D2024" s="121" t="n"/>
      <s:c r="E2024" s="122" t="n"/>
    </s:row>
    <s:row r="2025" hidden="1" ht="1" customHeight="1">
      <s:c r="A2025" s="120" t="inlineStr"/>
      <s:c r="B2025" s="121" t="n"/>
      <s:c r="C2025" s="121" t="n"/>
      <s:c r="D2025" s="121" t="n"/>
      <s:c r="E2025" s="122" t="n"/>
    </s:row>
    <s:row r="2026" hidden="1" ht="1" customHeight="1">
      <s:c r="A2026" s="120" t="inlineStr"/>
      <s:c r="B2026" s="121" t="n"/>
      <s:c r="C2026" s="121" t="n"/>
      <s:c r="D2026" s="121" t="n"/>
      <s:c r="E2026" s="122" t="n"/>
    </s:row>
    <s:row r="2027" hidden="1" ht="1" customHeight="1">
      <s:c r="A2027" s="120" t="inlineStr"/>
      <s:c r="B2027" s="121" t="n"/>
      <s:c r="C2027" s="121" t="n"/>
      <s:c r="D2027" s="121" t="n"/>
      <s:c r="E2027" s="122" t="n"/>
    </s:row>
    <s:row r="2028" hidden="1" ht="1" customHeight="1">
      <s:c r="A2028" s="120" t="inlineStr"/>
      <s:c r="B2028" s="121" t="n"/>
      <s:c r="C2028" s="121" t="n"/>
      <s:c r="D2028" s="121" t="n"/>
      <s:c r="E2028" s="122" t="n"/>
    </s:row>
    <s:row r="2029" hidden="1" ht="1" customHeight="1">
      <s:c r="A2029" s="120" t="inlineStr"/>
      <s:c r="B2029" s="121" t="n"/>
      <s:c r="C2029" s="121" t="n"/>
      <s:c r="D2029" s="121" t="n"/>
      <s:c r="E2029" s="122" t="n"/>
    </s:row>
    <s:row r="2030" hidden="1" ht="1" customHeight="1">
      <s:c r="A2030" s="120" t="inlineStr"/>
      <s:c r="B2030" s="121" t="n"/>
      <s:c r="C2030" s="121" t="n"/>
      <s:c r="D2030" s="121" t="n"/>
      <s:c r="E2030" s="122" t="n"/>
    </s:row>
    <s:row r="2031" hidden="1" ht="1" customHeight="1">
      <s:c r="A2031" s="120" t="inlineStr"/>
      <s:c r="B2031" s="121" t="n"/>
      <s:c r="C2031" s="121" t="n"/>
      <s:c r="D2031" s="121" t="n"/>
      <s:c r="E2031" s="122" t="n"/>
    </s:row>
    <s:row r="2032" hidden="1" ht="1" customHeight="1">
      <s:c r="A2032" s="120" t="inlineStr"/>
      <s:c r="B2032" s="121" t="n"/>
      <s:c r="C2032" s="121" t="n"/>
      <s:c r="D2032" s="121" t="n"/>
      <s:c r="E2032" s="122" t="n"/>
    </s:row>
    <s:row r="2033" hidden="1" ht="1" customHeight="1">
      <s:c r="A2033" s="120" t="inlineStr"/>
      <s:c r="B2033" s="121" t="n"/>
      <s:c r="C2033" s="121" t="n"/>
      <s:c r="D2033" s="121" t="n"/>
      <s:c r="E2033" s="122" t="n"/>
    </s:row>
    <s:row r="2034" hidden="1" ht="1" customHeight="1">
      <s:c r="A2034" s="120" t="inlineStr"/>
      <s:c r="B2034" s="121" t="n"/>
      <s:c r="C2034" s="121" t="n"/>
      <s:c r="D2034" s="121" t="n"/>
      <s:c r="E2034" s="122" t="n"/>
    </s:row>
    <s:row r="2035" hidden="1" ht="1" customHeight="1">
      <s:c r="A2035" s="120" t="inlineStr"/>
      <s:c r="B2035" s="121" t="n"/>
      <s:c r="C2035" s="121" t="n"/>
      <s:c r="D2035" s="121" t="n"/>
      <s:c r="E2035" s="122" t="n"/>
    </s:row>
    <s:row r="2036" hidden="1" ht="1" customHeight="1">
      <s:c r="A2036" s="120" t="inlineStr"/>
      <s:c r="B2036" s="121" t="n"/>
      <s:c r="C2036" s="121" t="n"/>
      <s:c r="D2036" s="121" t="n"/>
      <s:c r="E2036" s="122" t="n"/>
    </s:row>
    <s:row r="2037" hidden="1" ht="1" customHeight="1">
      <s:c r="A2037" s="120" t="inlineStr"/>
      <s:c r="B2037" s="121" t="n"/>
      <s:c r="C2037" s="121" t="n"/>
      <s:c r="D2037" s="121" t="n"/>
      <s:c r="E2037" s="122" t="n"/>
    </s:row>
    <s:row r="2038" hidden="1" ht="1" customHeight="1">
      <s:c r="A2038" s="120" t="inlineStr"/>
      <s:c r="B2038" s="121" t="n"/>
      <s:c r="C2038" s="121" t="n"/>
      <s:c r="D2038" s="121" t="n"/>
      <s:c r="E2038" s="122" t="n"/>
    </s:row>
    <s:row r="2039" hidden="1" ht="1" customHeight="1">
      <s:c r="A2039" s="120" t="inlineStr"/>
      <s:c r="B2039" s="121" t="n"/>
      <s:c r="C2039" s="121" t="n"/>
      <s:c r="D2039" s="121" t="n"/>
      <s:c r="E2039" s="122" t="n"/>
    </s:row>
    <s:row r="2040" hidden="1" ht="1" customHeight="1">
      <s:c r="A2040" s="120" t="inlineStr"/>
      <s:c r="B2040" s="121" t="n"/>
      <s:c r="C2040" s="121" t="n"/>
      <s:c r="D2040" s="121" t="n"/>
      <s:c r="E2040" s="122" t="n"/>
    </s:row>
    <s:row r="2041" hidden="1" ht="1" customHeight="1">
      <s:c r="A2041" s="120" t="inlineStr"/>
      <s:c r="B2041" s="121" t="n"/>
      <s:c r="C2041" s="121" t="n"/>
      <s:c r="D2041" s="121" t="n"/>
      <s:c r="E2041" s="122" t="n"/>
    </s:row>
    <s:row r="2042" hidden="1" ht="1" customHeight="1">
      <s:c r="A2042" s="120" t="inlineStr"/>
      <s:c r="B2042" s="121" t="n"/>
      <s:c r="C2042" s="121" t="n"/>
      <s:c r="D2042" s="121" t="n"/>
      <s:c r="E2042" s="122" t="n"/>
    </s:row>
    <s:row r="2043" hidden="1" ht="1" customHeight="1">
      <s:c r="A2043" s="120" t="inlineStr"/>
      <s:c r="B2043" s="121" t="n"/>
      <s:c r="C2043" s="121" t="n"/>
      <s:c r="D2043" s="121" t="n"/>
      <s:c r="E2043" s="122" t="n"/>
    </s:row>
    <s:row r="2044" hidden="1" ht="1" customHeight="1">
      <s:c r="A2044" s="120" t="inlineStr"/>
      <s:c r="B2044" s="121" t="n"/>
      <s:c r="C2044" s="121" t="n"/>
      <s:c r="D2044" s="121" t="n"/>
      <s:c r="E2044" s="122" t="n"/>
    </s:row>
    <s:row r="2045" hidden="1" ht="1" customHeight="1">
      <s:c r="A2045" s="120" t="inlineStr"/>
      <s:c r="B2045" s="121" t="n"/>
      <s:c r="C2045" s="121" t="n"/>
      <s:c r="D2045" s="121" t="n"/>
      <s:c r="E2045" s="122" t="n"/>
    </s:row>
    <s:row r="2046" hidden="1" ht="1" customHeight="1">
      <s:c r="A2046" s="83" t="inlineStr">
        <s:is>
          <s:t>PASS</s:t>
        </s:is>
      </s:c>
      <s:c r="B2046" s="83">
        <s:f>SUM(IF(EXACT('Kiểm thử'!E1946,"Đạt"),1,0),IF(EXACT('Kiểm thử'!E1948,"Đạt"),1,0))</s:f>
        <s:v/>
      </s:c>
      <s:c r="C2046" s="19" t="n"/>
      <s:c r="D2046" s="19" t="n"/>
      <s:c r="E2046" s="19" t="n"/>
    </s:row>
    <s:row r="2047" hidden="1" ht="1" customHeight="1">
      <s:c r="A2047" s="83" t="inlineStr">
        <s:is>
          <s:t>FAIL</s:t>
        </s:is>
      </s:c>
      <s:c r="B2047" s="83">
        <s:f>SUM(IF(EXACT('Kiểm thử'!E1946,"Không đạt"),1,0),IF(EXACT('Kiểm thử'!E1948,"Không đạt"),1,0))</s:f>
        <s:v/>
      </s:c>
      <s:c r="C2047" s="19" t="n"/>
      <s:c r="D2047" s="19" t="n"/>
      <s:c r="E2047" s="19" t="n"/>
    </s:row>
    <s:row r="2048" hidden="1" ht="1" customHeight="1">
      <s:c r="A2048" s="83" t="inlineStr">
        <s:is>
          <s:t>BLOCKED</s:t>
        </s:is>
      </s:c>
      <s:c r="B2048" s="83">
        <s:f>SUM(IF(EXACT('Kiểm thử'!E1946,"Bị chặn"),1,0),IF(EXACT('Kiểm thử'!E1948,"Bị chặn"),1,0))</s:f>
        <s:v/>
      </s:c>
      <s:c r="C2048" s="19" t="n"/>
      <s:c r="D2048" s="19" t="n"/>
      <s:c r="E2048" s="19" t="n"/>
    </s:row>
    <s:row r="2049" hidden="1" ht="1" customHeight="1">
      <s:c r="A2049" s="83" t="inlineStr">
        <s:is>
          <s:t>SKIPPED</s:t>
        </s:is>
      </s:c>
      <s:c r="B2049" s="83">
        <s:f>SUM(IF(EXACT('Kiểm thử'!E1946,"Không thực hiện"),1,0),IF(EXACT('Kiểm thử'!E1948,"Không thực hiện"),1,0))</s:f>
        <s:v/>
      </s:c>
      <s:c r="C2049" s="19" t="n"/>
      <s:c r="D2049" s="19" t="n"/>
      <s:c r="E2049" s="19" t="n"/>
    </s:row>
    <s:row r="2050" hidden="1" ht="1" customHeight="1">
      <s:c r="A2050" s="83" t="inlineStr">
        <s:is>
          <s:t>NOT RUN</s:t>
        </s:is>
      </s:c>
      <s:c r="B2050" s="83">
        <s:f>SUM(IF(EXACT('Kiểm thử'!E1946,"Chưa thực hiện"),1,0),IF(EXACT('Kiểm thử'!E1948,"Chưa thực hiện"),1,0))</s:f>
        <s:v/>
      </s:c>
      <s:c r="C2050" s="19" t="n"/>
      <s:c r="D2050" s="19" t="n"/>
      <s:c r="E2050" s="19" t="n"/>
    </s:row>
    <s:row r="2051" hidden="1" ht="6" customHeight="1">
      <s:c r="A2051" s="83" t="inlineStr"/>
      <s:c r="B2051" s="19" t="n"/>
      <s:c r="C2051" s="19" t="n"/>
      <s:c r="D2051" s="19" t="n"/>
      <s:c r="E2051" s="19" t="n"/>
    </s:row>
    <s:row r="2052" ht="28" customHeight="1">
      <s:c r="A2052" s="108" t="inlineStr">
        <s:is>
          <s:t>TC-RS-FUNC-003 — Danh sách trống không tự dựng rule từ cấu hình legacy</s:t>
        </s:is>
      </s:c>
      <s:c r="B2052" s="111" t="n"/>
      <s:c r="C2052" s="111" t="n"/>
      <s:c r="D2052" s="111" t="n"/>
      <s:c r="E2052" s="111" t="n"/>
    </s:row>
    <s:row r="2053" ht="20" customHeight="1">
      <s:c r="A2053" s="112" t="inlineStr">
        <s:is>
          <s:t>Kết quả tình huống</s:t>
        </s:is>
      </s:c>
      <s:c r="B2053" s="113">
        <s:f>IF(SUM(IF(EXACT('Kiểm thử'!E2061,"Không đạt"),1,0))&gt;0,"Không đạt",IF(SUM(IF(EXACT('Kiểm thử'!E2061,"Đạt"),1,0))=1,"Đạt",IF(SUM(IF(EXACT('Kiểm thử'!E2061,"Không thực hiện"),1,0))=1,"Không thực hiện",IF(SUM(IF(EXACT('Kiểm thử'!E2061,"Bị chặn"),1,0))&gt;0,"Bị chặn",IF(SUM(IF(EXACT('Kiểm thử'!E2061,"Chưa thực hiện"),1,0))=1,"Chưa thực hiện","Đang thực hiện")))))</s:f>
        <s:v/>
      </s:c>
      <s:c r="C2053" s="114" t="n"/>
      <s:c r="D2053" s="114" t="n"/>
      <s:c r="E2053" s="114" t="n"/>
    </s:row>
    <s:row r="2054" ht="20" customHeight="1">
      <s:c r="A2054" s="112" t="inlineStr">
        <s:is>
          <s:t>Màn hình / chức năng</s:t>
        </s:is>
      </s:c>
      <s:c r="B2054" s="113" t="inlineStr">
        <s:is>
          <s:r>
            <s:rPr>
              <s:b val="1"/>
            </s:rPr>
            <s:t>Thiết lập điểm đỏ（赤点設定）</s:t>
          </s:r>
        </s:is>
      </s:c>
      <s:c r="C2054" s="28" t="n"/>
      <s:c r="D2054" s="28" t="n"/>
      <s:c r="E2054" s="28" t="n"/>
    </s:row>
    <s:row r="2055" ht="20" customHeight="1">
      <s:c r="A2055" s="112" t="inlineStr">
        <s:is>
          <s:t>Cấu hình</s:t>
        </s:is>
      </s:c>
      <s:c r="B2055" s="113" t="inlineStr">
        <s:is>
          <s:t>• Mục chưa có rule mới nhưng có giá trị legacy và kết quả legacy đã lưu.</s:t>
        </s:is>
      </s:c>
      <s:c r="C2055" s="28" t="n"/>
      <s:c r="D2055" s="28" t="n"/>
      <s:c r="E2055" s="28" t="n"/>
    </s:row>
    <s:row r="2056" ht="20" customHeight="1">
      <s:c r="A2056" s="112" t="inlineStr">
        <s:is>
          <s:t>Dữ liệu test</s:t>
        </s:is>
      </s:c>
      <s:c r="B2056" s="113" t="inlineStr">
        <s:is>
          <s:t>• Mục chưa có rule mới nhưng có giá trị legacy và kết quả legacy đã lưu.</s:t>
        </s:is>
      </s:c>
      <s:c r="C2056" s="28" t="n"/>
      <s:c r="D2056" s="28" t="n"/>
      <s:c r="E2056" s="28" t="n"/>
    </s:row>
    <s:row r="2057" ht="20" customHeight="1">
      <s:c r="A2057" s="112" t="inlineStr">
        <s:is>
          <s:t>Bước 1</s:t>
        </s:is>
      </s:c>
      <s:c r="B2057" s="113" t="inlineStr">
        <s:is>
          <s:t>Mở danh sách rule đỏ trống.</s:t>
        </s:is>
      </s:c>
      <s:c r="C2057" s="28" t="n"/>
      <s:c r="D2057" s="28" t="n"/>
      <s:c r="E2057" s="28" t="n"/>
    </s:row>
    <s:row r="2058" ht="20" customHeight="1">
      <s:c r="A2058" s="112" t="inlineStr">
        <s:is>
          <s:t>Bước 2</s:t>
        </s:is>
      </s:c>
      <s:c r="B2058" s="113" t="inlineStr">
        <s:is>
          <s:t>Chạy xét hoặc mở đầu ra.</s:t>
        </s:is>
      </s:c>
      <s:c r="C2058" s="28" t="n"/>
      <s:c r="D2058" s="28" t="n"/>
      <s:c r="E2058" s="28" t="n"/>
    </s:row>
    <s:row r="2059" ht="28" customHeight="1">
      <s:c r="A2059" s="115" t="inlineStr">
        <s:is>
          <s:t>Trường hợp</s:t>
        </s:is>
      </s:c>
      <s:c r="B2059" s="115" t="inlineStr">
        <s:is>
          <s:t>Dữ liệu / thao tác riêng</s:t>
        </s:is>
      </s:c>
      <s:c r="C2059" s="115" t="inlineStr">
        <s:is>
          <s:t>Kết quả mong đợi</s:t>
        </s:is>
      </s:c>
      <s:c r="D2059" s="115" t="inlineStr">
        <s:is>
          <s:t>Kết quả thực tế</s:t>
        </s:is>
      </s:c>
      <s:c r="E2059" s="115" t="inlineStr">
        <s:is>
          <s:t>Đánh giá</s:t>
        </s:is>
      </s:c>
    </s:row>
    <s:row r="2060" ht="3" customHeight="1">
      <s:c r="A2060" s="102" t="inlineStr"/>
      <s:c r="B2060" s="99" t="n"/>
      <s:c r="C2060" s="99" t="n"/>
      <s:c r="D2060" s="116" t="n"/>
      <s:c r="E2060" s="116" t="n"/>
    </s:row>
    <s:row r="2061" ht="62" customHeight="1">
      <s:c r="A2061" s="83" t="inlineStr">
        <s:is>
          <s:t>Trường hợp cơ bản (Base)</s:t>
        </s:is>
      </s:c>
      <s:c r="B2061" s="83" t="inlineStr">
        <s:is>
          <s:t>Toàn bộ tình huống: Thực hiện đủ các bước chung theo thứ tự; kiểm cả đối tượng đích và đối chứng cùng fixture, không bỏ bước.</s:t>
        </s:is>
      </s:c>
      <s:c r="C2061" s="83" t="inlineStr">
        <s:is>
          <s:t>Danh sách không tự tạo rule/default từ ngưỡng legacy. Giá trị và kết quả legacy giữ nguyên; không dùng legacy làm rule fallback.</s:t>
        </s:is>
      </s:c>
      <s:c r="D2061" s="117" t="inlineStr"/>
      <s:c r="E2061" s="118" t="inlineStr">
        <s:is>
          <s:t>Chưa thực hiện</s:t>
        </s:is>
      </s:c>
    </s:row>
    <s:row r="2062" ht="20" customHeight="1">
      <s:c r="A2062" s="119" t="inlineStr">
        <s:is>
          <s:t>Ảnh minh chứng — Chưa có ảnh</s:t>
        </s:is>
      </s:c>
      <s:c r="B2062" s="19" t="n"/>
      <s:c r="C2062" s="19" t="n"/>
      <s:c r="D2062" s="19" t="n"/>
      <s:c r="E2062" s="19" t="n"/>
    </s:row>
    <s:row r="2063" hidden="1" ht="1" customHeight="1">
      <s:c r="A2063" s="120" t="inlineStr"/>
      <s:c r="B2063" s="121" t="n"/>
      <s:c r="C2063" s="121" t="n"/>
      <s:c r="D2063" s="121" t="n"/>
      <s:c r="E2063" s="122" t="n"/>
    </s:row>
    <s:row r="2064" hidden="1" ht="1" customHeight="1">
      <s:c r="A2064" s="120" t="inlineStr"/>
      <s:c r="B2064" s="121" t="n"/>
      <s:c r="C2064" s="121" t="n"/>
      <s:c r="D2064" s="121" t="n"/>
      <s:c r="E2064" s="122" t="n"/>
    </s:row>
    <s:row r="2065" hidden="1" ht="1" customHeight="1">
      <s:c r="A2065" s="120" t="inlineStr"/>
      <s:c r="B2065" s="121" t="n"/>
      <s:c r="C2065" s="121" t="n"/>
      <s:c r="D2065" s="121" t="n"/>
      <s:c r="E2065" s="122" t="n"/>
    </s:row>
    <s:row r="2066" hidden="1" ht="1" customHeight="1">
      <s:c r="A2066" s="120" t="inlineStr"/>
      <s:c r="B2066" s="121" t="n"/>
      <s:c r="C2066" s="121" t="n"/>
      <s:c r="D2066" s="121" t="n"/>
      <s:c r="E2066" s="122" t="n"/>
    </s:row>
    <s:row r="2067" hidden="1" ht="1" customHeight="1">
      <s:c r="A2067" s="120" t="inlineStr"/>
      <s:c r="B2067" s="121" t="n"/>
      <s:c r="C2067" s="121" t="n"/>
      <s:c r="D2067" s="121" t="n"/>
      <s:c r="E2067" s="122" t="n"/>
    </s:row>
    <s:row r="2068" hidden="1" ht="1" customHeight="1">
      <s:c r="A2068" s="120" t="inlineStr"/>
      <s:c r="B2068" s="121" t="n"/>
      <s:c r="C2068" s="121" t="n"/>
      <s:c r="D2068" s="121" t="n"/>
      <s:c r="E2068" s="122" t="n"/>
    </s:row>
    <s:row r="2069" hidden="1" ht="1" customHeight="1">
      <s:c r="A2069" s="120" t="inlineStr"/>
      <s:c r="B2069" s="121" t="n"/>
      <s:c r="C2069" s="121" t="n"/>
      <s:c r="D2069" s="121" t="n"/>
      <s:c r="E2069" s="122" t="n"/>
    </s:row>
    <s:row r="2070" hidden="1" ht="1" customHeight="1">
      <s:c r="A2070" s="120" t="inlineStr"/>
      <s:c r="B2070" s="121" t="n"/>
      <s:c r="C2070" s="121" t="n"/>
      <s:c r="D2070" s="121" t="n"/>
      <s:c r="E2070" s="122" t="n"/>
    </s:row>
    <s:row r="2071" hidden="1" ht="1" customHeight="1">
      <s:c r="A2071" s="120" t="inlineStr"/>
      <s:c r="B2071" s="121" t="n"/>
      <s:c r="C2071" s="121" t="n"/>
      <s:c r="D2071" s="121" t="n"/>
      <s:c r="E2071" s="122" t="n"/>
    </s:row>
    <s:row r="2072" hidden="1" ht="1" customHeight="1">
      <s:c r="A2072" s="120" t="inlineStr"/>
      <s:c r="B2072" s="121" t="n"/>
      <s:c r="C2072" s="121" t="n"/>
      <s:c r="D2072" s="121" t="n"/>
      <s:c r="E2072" s="122" t="n"/>
    </s:row>
    <s:row r="2073" hidden="1" ht="1" customHeight="1">
      <s:c r="A2073" s="120" t="inlineStr"/>
      <s:c r="B2073" s="121" t="n"/>
      <s:c r="C2073" s="121" t="n"/>
      <s:c r="D2073" s="121" t="n"/>
      <s:c r="E2073" s="122" t="n"/>
    </s:row>
    <s:row r="2074" hidden="1" ht="1" customHeight="1">
      <s:c r="A2074" s="120" t="inlineStr"/>
      <s:c r="B2074" s="121" t="n"/>
      <s:c r="C2074" s="121" t="n"/>
      <s:c r="D2074" s="121" t="n"/>
      <s:c r="E2074" s="122" t="n"/>
    </s:row>
    <s:row r="2075" hidden="1" ht="1" customHeight="1">
      <s:c r="A2075" s="120" t="inlineStr"/>
      <s:c r="B2075" s="121" t="n"/>
      <s:c r="C2075" s="121" t="n"/>
      <s:c r="D2075" s="121" t="n"/>
      <s:c r="E2075" s="122" t="n"/>
    </s:row>
    <s:row r="2076" hidden="1" ht="1" customHeight="1">
      <s:c r="A2076" s="120" t="inlineStr"/>
      <s:c r="B2076" s="121" t="n"/>
      <s:c r="C2076" s="121" t="n"/>
      <s:c r="D2076" s="121" t="n"/>
      <s:c r="E2076" s="122" t="n"/>
    </s:row>
    <s:row r="2077" hidden="1" ht="1" customHeight="1">
      <s:c r="A2077" s="120" t="inlineStr"/>
      <s:c r="B2077" s="121" t="n"/>
      <s:c r="C2077" s="121" t="n"/>
      <s:c r="D2077" s="121" t="n"/>
      <s:c r="E2077" s="122" t="n"/>
    </s:row>
    <s:row r="2078" hidden="1" ht="1" customHeight="1">
      <s:c r="A2078" s="120" t="inlineStr"/>
      <s:c r="B2078" s="121" t="n"/>
      <s:c r="C2078" s="121" t="n"/>
      <s:c r="D2078" s="121" t="n"/>
      <s:c r="E2078" s="122" t="n"/>
    </s:row>
    <s:row r="2079" hidden="1" ht="1" customHeight="1">
      <s:c r="A2079" s="120" t="inlineStr"/>
      <s:c r="B2079" s="121" t="n"/>
      <s:c r="C2079" s="121" t="n"/>
      <s:c r="D2079" s="121" t="n"/>
      <s:c r="E2079" s="122" t="n"/>
    </s:row>
    <s:row r="2080" hidden="1" ht="1" customHeight="1">
      <s:c r="A2080" s="120" t="inlineStr"/>
      <s:c r="B2080" s="121" t="n"/>
      <s:c r="C2080" s="121" t="n"/>
      <s:c r="D2080" s="121" t="n"/>
      <s:c r="E2080" s="122" t="n"/>
    </s:row>
    <s:row r="2081" hidden="1" ht="1" customHeight="1">
      <s:c r="A2081" s="120" t="inlineStr"/>
      <s:c r="B2081" s="121" t="n"/>
      <s:c r="C2081" s="121" t="n"/>
      <s:c r="D2081" s="121" t="n"/>
      <s:c r="E2081" s="122" t="n"/>
    </s:row>
    <s:row r="2082" hidden="1" ht="1" customHeight="1">
      <s:c r="A2082" s="120" t="inlineStr"/>
      <s:c r="B2082" s="121" t="n"/>
      <s:c r="C2082" s="121" t="n"/>
      <s:c r="D2082" s="121" t="n"/>
      <s:c r="E2082" s="122" t="n"/>
    </s:row>
    <s:row r="2083" hidden="1" ht="1" customHeight="1">
      <s:c r="A2083" s="120" t="inlineStr"/>
      <s:c r="B2083" s="121" t="n"/>
      <s:c r="C2083" s="121" t="n"/>
      <s:c r="D2083" s="121" t="n"/>
      <s:c r="E2083" s="122" t="n"/>
    </s:row>
    <s:row r="2084" hidden="1" ht="1" customHeight="1">
      <s:c r="A2084" s="120" t="inlineStr"/>
      <s:c r="B2084" s="121" t="n"/>
      <s:c r="C2084" s="121" t="n"/>
      <s:c r="D2084" s="121" t="n"/>
      <s:c r="E2084" s="122" t="n"/>
    </s:row>
    <s:row r="2085" hidden="1" ht="1" customHeight="1">
      <s:c r="A2085" s="120" t="inlineStr"/>
      <s:c r="B2085" s="121" t="n"/>
      <s:c r="C2085" s="121" t="n"/>
      <s:c r="D2085" s="121" t="n"/>
      <s:c r="E2085" s="122" t="n"/>
    </s:row>
    <s:row r="2086" hidden="1" ht="1" customHeight="1">
      <s:c r="A2086" s="120" t="inlineStr"/>
      <s:c r="B2086" s="121" t="n"/>
      <s:c r="C2086" s="121" t="n"/>
      <s:c r="D2086" s="121" t="n"/>
      <s:c r="E2086" s="122" t="n"/>
    </s:row>
    <s:row r="2087" hidden="1" ht="1" customHeight="1">
      <s:c r="A2087" s="120" t="inlineStr"/>
      <s:c r="B2087" s="121" t="n"/>
      <s:c r="C2087" s="121" t="n"/>
      <s:c r="D2087" s="121" t="n"/>
      <s:c r="E2087" s="122" t="n"/>
    </s:row>
    <s:row r="2088" hidden="1" ht="1" customHeight="1">
      <s:c r="A2088" s="120" t="inlineStr"/>
      <s:c r="B2088" s="121" t="n"/>
      <s:c r="C2088" s="121" t="n"/>
      <s:c r="D2088" s="121" t="n"/>
      <s:c r="E2088" s="122" t="n"/>
    </s:row>
    <s:row r="2089" hidden="1" ht="1" customHeight="1">
      <s:c r="A2089" s="120" t="inlineStr"/>
      <s:c r="B2089" s="121" t="n"/>
      <s:c r="C2089" s="121" t="n"/>
      <s:c r="D2089" s="121" t="n"/>
      <s:c r="E2089" s="122" t="n"/>
    </s:row>
    <s:row r="2090" hidden="1" ht="1" customHeight="1">
      <s:c r="A2090" s="120" t="inlineStr"/>
      <s:c r="B2090" s="121" t="n"/>
      <s:c r="C2090" s="121" t="n"/>
      <s:c r="D2090" s="121" t="n"/>
      <s:c r="E2090" s="122" t="n"/>
    </s:row>
    <s:row r="2091" hidden="1" ht="1" customHeight="1">
      <s:c r="A2091" s="120" t="inlineStr"/>
      <s:c r="B2091" s="121" t="n"/>
      <s:c r="C2091" s="121" t="n"/>
      <s:c r="D2091" s="121" t="n"/>
      <s:c r="E2091" s="122" t="n"/>
    </s:row>
    <s:row r="2092" hidden="1" ht="1" customHeight="1">
      <s:c r="A2092" s="120" t="inlineStr"/>
      <s:c r="B2092" s="121" t="n"/>
      <s:c r="C2092" s="121" t="n"/>
      <s:c r="D2092" s="121" t="n"/>
      <s:c r="E2092" s="122" t="n"/>
    </s:row>
    <s:row r="2093" hidden="1" ht="1" customHeight="1">
      <s:c r="A2093" s="120" t="inlineStr"/>
      <s:c r="B2093" s="121" t="n"/>
      <s:c r="C2093" s="121" t="n"/>
      <s:c r="D2093" s="121" t="n"/>
      <s:c r="E2093" s="122" t="n"/>
    </s:row>
    <s:row r="2094" hidden="1" ht="1" customHeight="1">
      <s:c r="A2094" s="120" t="inlineStr"/>
      <s:c r="B2094" s="121" t="n"/>
      <s:c r="C2094" s="121" t="n"/>
      <s:c r="D2094" s="121" t="n"/>
      <s:c r="E2094" s="122" t="n"/>
    </s:row>
    <s:row r="2095" hidden="1" ht="1" customHeight="1">
      <s:c r="A2095" s="120" t="inlineStr"/>
      <s:c r="B2095" s="121" t="n"/>
      <s:c r="C2095" s="121" t="n"/>
      <s:c r="D2095" s="121" t="n"/>
      <s:c r="E2095" s="122" t="n"/>
    </s:row>
    <s:row r="2096" hidden="1" ht="1" customHeight="1">
      <s:c r="A2096" s="120" t="inlineStr"/>
      <s:c r="B2096" s="121" t="n"/>
      <s:c r="C2096" s="121" t="n"/>
      <s:c r="D2096" s="121" t="n"/>
      <s:c r="E2096" s="122" t="n"/>
    </s:row>
    <s:row r="2097" hidden="1" ht="1" customHeight="1">
      <s:c r="A2097" s="120" t="inlineStr"/>
      <s:c r="B2097" s="121" t="n"/>
      <s:c r="C2097" s="121" t="n"/>
      <s:c r="D2097" s="121" t="n"/>
      <s:c r="E2097" s="122" t="n"/>
    </s:row>
    <s:row r="2098" hidden="1" ht="1" customHeight="1">
      <s:c r="A2098" s="120" t="inlineStr"/>
      <s:c r="B2098" s="121" t="n"/>
      <s:c r="C2098" s="121" t="n"/>
      <s:c r="D2098" s="121" t="n"/>
      <s:c r="E2098" s="122" t="n"/>
    </s:row>
    <s:row r="2099" hidden="1" ht="1" customHeight="1">
      <s:c r="A2099" s="120" t="inlineStr"/>
      <s:c r="B2099" s="121" t="n"/>
      <s:c r="C2099" s="121" t="n"/>
      <s:c r="D2099" s="121" t="n"/>
      <s:c r="E2099" s="122" t="n"/>
    </s:row>
    <s:row r="2100" hidden="1" ht="1" customHeight="1">
      <s:c r="A2100" s="120" t="inlineStr"/>
      <s:c r="B2100" s="121" t="n"/>
      <s:c r="C2100" s="121" t="n"/>
      <s:c r="D2100" s="121" t="n"/>
      <s:c r="E2100" s="122" t="n"/>
    </s:row>
    <s:row r="2101" hidden="1" ht="1" customHeight="1">
      <s:c r="A2101" s="120" t="inlineStr"/>
      <s:c r="B2101" s="121" t="n"/>
      <s:c r="C2101" s="121" t="n"/>
      <s:c r="D2101" s="121" t="n"/>
      <s:c r="E2101" s="122" t="n"/>
    </s:row>
    <s:row r="2102" hidden="1" ht="1" customHeight="1">
      <s:c r="A2102" s="120" t="inlineStr"/>
      <s:c r="B2102" s="121" t="n"/>
      <s:c r="C2102" s="121" t="n"/>
      <s:c r="D2102" s="121" t="n"/>
      <s:c r="E2102" s="122" t="n"/>
    </s:row>
    <s:row r="2103" hidden="1" ht="1" customHeight="1">
      <s:c r="A2103" s="120" t="inlineStr"/>
      <s:c r="B2103" s="121" t="n"/>
      <s:c r="C2103" s="121" t="n"/>
      <s:c r="D2103" s="121" t="n"/>
      <s:c r="E2103" s="122" t="n"/>
    </s:row>
    <s:row r="2104" hidden="1" ht="1" customHeight="1">
      <s:c r="A2104" s="120" t="inlineStr"/>
      <s:c r="B2104" s="121" t="n"/>
      <s:c r="C2104" s="121" t="n"/>
      <s:c r="D2104" s="121" t="n"/>
      <s:c r="E2104" s="122" t="n"/>
    </s:row>
    <s:row r="2105" hidden="1" ht="1" customHeight="1">
      <s:c r="A2105" s="120" t="inlineStr"/>
      <s:c r="B2105" s="121" t="n"/>
      <s:c r="C2105" s="121" t="n"/>
      <s:c r="D2105" s="121" t="n"/>
      <s:c r="E2105" s="122" t="n"/>
    </s:row>
    <s:row r="2106" hidden="1" ht="1" customHeight="1">
      <s:c r="A2106" s="120" t="inlineStr"/>
      <s:c r="B2106" s="121" t="n"/>
      <s:c r="C2106" s="121" t="n"/>
      <s:c r="D2106" s="121" t="n"/>
      <s:c r="E2106" s="122" t="n"/>
    </s:row>
    <s:row r="2107" hidden="1" ht="1" customHeight="1">
      <s:c r="A2107" s="120" t="inlineStr"/>
      <s:c r="B2107" s="121" t="n"/>
      <s:c r="C2107" s="121" t="n"/>
      <s:c r="D2107" s="121" t="n"/>
      <s:c r="E2107" s="122" t="n"/>
    </s:row>
    <s:row r="2108" hidden="1" ht="1" customHeight="1">
      <s:c r="A2108" s="120" t="inlineStr"/>
      <s:c r="B2108" s="121" t="n"/>
      <s:c r="C2108" s="121" t="n"/>
      <s:c r="D2108" s="121" t="n"/>
      <s:c r="E2108" s="122" t="n"/>
    </s:row>
    <s:row r="2109" hidden="1" ht="1" customHeight="1">
      <s:c r="A2109" s="120" t="inlineStr"/>
      <s:c r="B2109" s="121" t="n"/>
      <s:c r="C2109" s="121" t="n"/>
      <s:c r="D2109" s="121" t="n"/>
      <s:c r="E2109" s="122" t="n"/>
    </s:row>
    <s:row r="2110" hidden="1" ht="1" customHeight="1">
      <s:c r="A2110" s="120" t="inlineStr"/>
      <s:c r="B2110" s="121" t="n"/>
      <s:c r="C2110" s="121" t="n"/>
      <s:c r="D2110" s="121" t="n"/>
      <s:c r="E2110" s="122" t="n"/>
    </s:row>
    <s:row r="2111" hidden="1" ht="1" customHeight="1">
      <s:c r="A2111" s="83" t="inlineStr">
        <s:is>
          <s:t>PASS</s:t>
        </s:is>
      </s:c>
      <s:c r="B2111" s="83">
        <s:f>SUM(IF(EXACT('Kiểm thử'!E2061,"Đạt"),1,0))</s:f>
        <s:v/>
      </s:c>
      <s:c r="C2111" s="19" t="n"/>
      <s:c r="D2111" s="19" t="n"/>
      <s:c r="E2111" s="19" t="n"/>
    </s:row>
    <s:row r="2112" hidden="1" ht="1" customHeight="1">
      <s:c r="A2112" s="83" t="inlineStr">
        <s:is>
          <s:t>FAIL</s:t>
        </s:is>
      </s:c>
      <s:c r="B2112" s="83">
        <s:f>SUM(IF(EXACT('Kiểm thử'!E2061,"Không đạt"),1,0))</s:f>
        <s:v/>
      </s:c>
      <s:c r="C2112" s="19" t="n"/>
      <s:c r="D2112" s="19" t="n"/>
      <s:c r="E2112" s="19" t="n"/>
    </s:row>
    <s:row r="2113" hidden="1" ht="1" customHeight="1">
      <s:c r="A2113" s="83" t="inlineStr">
        <s:is>
          <s:t>BLOCKED</s:t>
        </s:is>
      </s:c>
      <s:c r="B2113" s="83">
        <s:f>SUM(IF(EXACT('Kiểm thử'!E2061,"Bị chặn"),1,0))</s:f>
        <s:v/>
      </s:c>
      <s:c r="C2113" s="19" t="n"/>
      <s:c r="D2113" s="19" t="n"/>
      <s:c r="E2113" s="19" t="n"/>
    </s:row>
    <s:row r="2114" hidden="1" ht="1" customHeight="1">
      <s:c r="A2114" s="83" t="inlineStr">
        <s:is>
          <s:t>SKIPPED</s:t>
        </s:is>
      </s:c>
      <s:c r="B2114" s="83">
        <s:f>SUM(IF(EXACT('Kiểm thử'!E2061,"Không thực hiện"),1,0))</s:f>
        <s:v/>
      </s:c>
      <s:c r="C2114" s="19" t="n"/>
      <s:c r="D2114" s="19" t="n"/>
      <s:c r="E2114" s="19" t="n"/>
    </s:row>
    <s:row r="2115" hidden="1" ht="1" customHeight="1">
      <s:c r="A2115" s="83" t="inlineStr">
        <s:is>
          <s:t>NOT RUN</s:t>
        </s:is>
      </s:c>
      <s:c r="B2115" s="83">
        <s:f>SUM(IF(EXACT('Kiểm thử'!E2061,"Chưa thực hiện"),1,0))</s:f>
        <s:v/>
      </s:c>
      <s:c r="C2115" s="19" t="n"/>
      <s:c r="D2115" s="19" t="n"/>
      <s:c r="E2115" s="19" t="n"/>
    </s:row>
    <s:row r="2116" hidden="1" ht="6" customHeight="1">
      <s:c r="A2116" s="83" t="inlineStr"/>
      <s:c r="B2116" s="19" t="n"/>
      <s:c r="C2116" s="19" t="n"/>
      <s:c r="D2116" s="19" t="n"/>
      <s:c r="E2116" s="19" t="n"/>
    </s:row>
    <s:row r="2117" ht="28" customHeight="1">
      <s:c r="A2117" s="108" t="inlineStr">
        <s:is>
          <s:t>TC-RS-FUNC-008 — Điều kiện áp dụng: Toàn bộ đối tượng hoặc giới hạn bằng bộ lọc kế thừa từ tính tự động</s:t>
        </s:is>
      </s:c>
      <s:c r="B2117" s="111" t="n"/>
      <s:c r="C2117" s="111" t="n"/>
      <s:c r="D2117" s="111" t="n"/>
      <s:c r="E2117" s="111" t="n"/>
    </s:row>
    <s:row r="2118" ht="20" customHeight="1">
      <s:c r="A2118" s="112" t="inlineStr">
        <s:is>
          <s:t>Kết quả tình huống</s:t>
        </s:is>
      </s:c>
      <s:c r="B2118" s="113">
        <s:f>IF(SUM(IF(EXACT('Kiểm thử'!E2128,"Không đạt"),1,0),IF(EXACT('Kiểm thử'!E2130,"Không đạt"),1,0))&gt;0,"Không đạt",IF(SUM(IF(EXACT('Kiểm thử'!E2128,"Đạt"),1,0),IF(EXACT('Kiểm thử'!E2130,"Đạt"),1,0))=2,"Đạt",IF(SUM(IF(EXACT('Kiểm thử'!E2128,"Không thực hiện"),1,0),IF(EXACT('Kiểm thử'!E2130,"Không thực hiện"),1,0))=2,"Không thực hiện",IF(SUM(IF(EXACT('Kiểm thử'!E2128,"Bị chặn"),1,0),IF(EXACT('Kiểm thử'!E2130,"Bị chặn"),1,0))&gt;0,"Bị chặn",IF(SUM(IF(EXACT('Kiểm thử'!E2128,"Chưa thực hiện"),1,0),IF(EXACT('Kiểm thử'!E2130,"Chưa thực hiện"),1,0))=2,"Chưa thực hiện","Đang thực hiện")))))</s:f>
        <s:v/>
      </s:c>
      <s:c r="C2118" s="114" t="n"/>
      <s:c r="D2118" s="114" t="n"/>
      <s:c r="E2118" s="114" t="n"/>
    </s:row>
    <s:row r="2119" ht="20" customHeight="1">
      <s:c r="A2119" s="112" t="inlineStr">
        <s:is>
          <s:t>Màn hình / chức năng</s:t>
        </s:is>
      </s:c>
      <s:c r="B2119" s="113" t="inlineStr">
        <s:is>
          <s:r>
            <s:rPr>
              <s:b val="1"/>
            </s:rPr>
            <s:t>Điều kiện áp dụng（適用条件）</s:t>
          </s:r>
        </s:is>
      </s:c>
      <s:c r="C2119" s="28" t="n"/>
      <s:c r="D2119" s="28" t="n"/>
      <s:c r="E2119" s="28" t="n"/>
    </s:row>
    <s:row r="2120" ht="20" customHeight="1">
      <s:c r="A2120" s="112" t="inlineStr">
        <s:is>
          <s:t>Cấu hình</s:t>
        </s:is>
      </s:c>
      <s:c r="B2120" s="113" t="inlineStr">
        <s:is>
          <s:t>• Đăng nhập tài khoản giáo viên có quyền sửa mục.</s:t>
        </s:is>
      </s:c>
      <s:c r="C2120" s="28" t="n"/>
      <s:c r="D2120" s="28" t="n"/>
      <s:c r="E2120" s="28" t="n"/>
    </s:row>
    <s:row r="2121" ht="20" customHeight="1">
      <s:c r="A2121" s="112" t="inlineStr">
        <s:is>
          <s:t>Dữ liệu test</s:t>
        </s:is>
      </s:c>
      <s:c r="B2121" s="113" t="inlineStr">
        <s:is>
          <s:t>• Các lớp học phần G-A, G-B, G-C, quy tắc có bộ lọc kết hợp (khối 1 hoặc 2, nhóm Nâng cao)</s:t>
        </s:is>
      </s:c>
      <s:c r="C2121" s="28" t="n"/>
      <s:c r="D2121" s="28" t="n"/>
      <s:c r="E2121" s="28" t="n"/>
    </s:row>
    <s:row r="2122" ht="20" customHeight="1">
      <s:c r="A2122" s="112" t="inlineStr">
        <s:is>
          <s:t>Bước 1</s:t>
        </s:is>
      </s:c>
      <s:c r="B2122" s="113" t="inlineStr">
        <s:is>
          <s:t>Mở Điều kiện áp dụng của một quy tắc mới.</s:t>
        </s:is>
      </s:c>
      <s:c r="C2122" s="28" t="n"/>
      <s:c r="D2122" s="28" t="n"/>
      <s:c r="E2122" s="28" t="n"/>
    </s:row>
    <s:row r="2123" ht="20" customHeight="1">
      <s:c r="A2123" s="112" t="inlineStr">
        <s:is>
          <s:t>Bước 2</s:t>
        </s:is>
      </s:c>
      <s:c r="B2123" s="113" t="inlineStr">
        <s:is>
          <s:r>
            <s:t xml:space="preserve">Chọn </s:t>
          </s:r>
          <s:r>
            <s:rPr>
              <s:b val="1"/>
            </s:rPr>
            <s:t>Toàn bộ đối tượng（全員が対象）</s:t>
          </s:r>
          <s:r>
            <s:t>, lưu, mở lại.</s:t>
          </s:r>
        </s:is>
      </s:c>
      <s:c r="C2123" s="28" t="n"/>
      <s:c r="D2123" s="28" t="n"/>
      <s:c r="E2123" s="28" t="n"/>
    </s:row>
    <s:row r="2124" ht="34" customHeight="1">
      <s:c r="A2124" s="112" t="inlineStr">
        <s:is>
          <s:t>Bước 3</s:t>
        </s:is>
      </s:c>
      <s:c r="B2124" s="113" t="inlineStr">
        <s:is>
          <s:r>
            <s:t xml:space="preserve">Chọn Giới </s:t>
          </s:r>
          <s:r>
            <s:rPr>
              <s:b val="1"/>
            </s:rPr>
            <s:t>hạn bằng bộ lọc（特定条件で絞り込む）</s:t>
          </s:r>
          <s:r>
            <s:t xml:space="preserve">, bấm </s:t>
          </s:r>
          <s:r>
            <s:rPr>
              <s:b val="1"/>
            </s:rPr>
            <s:t>Thêm điều kiện lọc（絞り込み条件を追加）</s:t>
          </s:r>
          <s:r>
            <s:t>, liệt kê các loại lọc có trong danh sách.</s:t>
          </s:r>
        </s:is>
      </s:c>
      <s:c r="C2124" s="28" t="n"/>
      <s:c r="D2124" s="28" t="n"/>
      <s:c r="E2124" s="28" t="n"/>
    </s:row>
    <s:row r="2125" ht="20" customHeight="1">
      <s:c r="A2125" s="112" t="inlineStr">
        <s:is>
          <s:t>Bước 4</s:t>
        </s:is>
      </s:c>
      <s:c r="B2125" s="113" t="inlineStr">
        <s:is>
          <s:t>Cấu hình như quy tắc có bộ lọc kết hợp (khối 1 hoặc 2, nhóm Nâng cao), lưu, mở lại.</s:t>
        </s:is>
      </s:c>
      <s:c r="C2125" s="28" t="n"/>
      <s:c r="D2125" s="28" t="n"/>
      <s:c r="E2125" s="28" t="n"/>
    </s:row>
    <s:row r="2126" ht="28" customHeight="1">
      <s:c r="A2126" s="115" t="inlineStr">
        <s:is>
          <s:t>Trường hợp</s:t>
        </s:is>
      </s:c>
      <s:c r="B2126" s="115" t="inlineStr">
        <s:is>
          <s:t>Dữ liệu / thao tác riêng</s:t>
        </s:is>
      </s:c>
      <s:c r="C2126" s="115" t="inlineStr">
        <s:is>
          <s:t>Kết quả mong đợi</s:t>
        </s:is>
      </s:c>
      <s:c r="D2126" s="115" t="inlineStr">
        <s:is>
          <s:t>Kết quả thực tế</s:t>
        </s:is>
      </s:c>
      <s:c r="E2126" s="115" t="inlineStr">
        <s:is>
          <s:t>Đánh giá</s:t>
        </s:is>
      </s:c>
    </s:row>
    <s:row r="2127" ht="3" customHeight="1">
      <s:c r="A2127" s="102" t="inlineStr"/>
      <s:c r="B2127" s="99" t="n"/>
      <s:c r="C2127" s="99" t="n"/>
      <s:c r="D2127" s="116" t="n"/>
      <s:c r="E2127" s="116" t="n"/>
    </s:row>
    <s:row r="2128" ht="188" customHeight="1">
      <s:c r="A2128" s="83" t="inlineStr">
        <s:is>
          <s:t>Toàn bộ đối tượng (all)</s:t>
        </s:is>
      </s:c>
      <s:c r="B2128" s="83" t="inlineStr">
        <s:is>
          <s:r>
            <s:t xml:space="preserve">Chọn </s:t>
          </s:r>
          <s:r>
            <s:rPr>
              <s:b val="1"/>
            </s:rPr>
            <s:t>Toàn bộ đối tượng（全員が対象）</s:t>
          </s:r>
          <s:r>
            <s:t>, lưu/mở lại.</s:t>
          </s:r>
        </s:is>
      </s:c>
      <s:c r="C2128" s="83" t="inlineStr">
        <s:is>
          <s:r>
            <s:t xml:space="preserve">1. Hai lựa chọn đối tượng lưu và mở lại đúng.
2. Có các </s:t>
          </s:r>
          <s:r>
            <s:rPr>
              <s:b val="1"/>
            </s:rPr>
            <s:t>bộ lọc Môn/phân môn（教科・科目）</s:t>
          </s:r>
          <s:r>
            <s:t xml:space="preserve">, </s:t>
          </s:r>
          <s:r>
            <s:rPr>
              <s:b val="1"/>
            </s:rPr>
            <s:t>Khối（学年）</s:t>
          </s:r>
          <s:r>
            <s:t xml:space="preserve">,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s:t>
          </s:r>
          <s:r>
            <s:rPr>
              <s:b val="1"/>
            </s:rPr>
            <s:t>AND</s:t>
          </s:r>
          <s:r>
            <s:t>/</s:t>
          </s:r>
          <s:r>
            <s:rPr>
              <s:b val="1"/>
            </s:rPr>
            <s:t>OR</s:t>
          </s:r>
          <s:r>
            <s:t xml:space="preserve"> lồng nhau.</s:t>
          </s:r>
        </s:is>
      </s:c>
      <s:c r="D2128" s="117" t="inlineStr"/>
      <s:c r="E2128" s="118" t="inlineStr">
        <s:is>
          <s:t>Chưa thực hiện</s:t>
        </s:is>
      </s:c>
    </s:row>
    <s:row r="2129" ht="3" customHeight="1">
      <s:c r="A2129" s="102" t="inlineStr"/>
      <s:c r="B2129" s="99" t="n"/>
      <s:c r="C2129" s="99" t="n"/>
      <s:c r="D2129" s="116" t="n"/>
      <s:c r="E2129" s="116" t="n"/>
    </s:row>
    <s:row r="2130" ht="188" customHeight="1">
      <s:c r="A2130" s="83" t="inlineStr">
        <s:is>
          <s:t>Giới hạn bằng bộ lọc (filter)</s:t>
        </s:is>
      </s:c>
      <s:c r="B2130" s="83" t="inlineStr">
        <s:is>
          <s:r>
            <s:t xml:space="preserve">Chọn Giới </s:t>
          </s:r>
          <s:r>
            <s:rPr>
              <s:b val="1"/>
            </s:rPr>
            <s:t>hạn bằng bộ lọc（特定条件で絞り込む）</s:t>
          </s:r>
          <s:r>
            <s:t>; thêm/kiểm các loại lọc; lưu Khối1 hoặc2 và nhóm Nâng cao, mở lại.</s:t>
          </s:r>
        </s:is>
      </s:c>
      <s:c r="C2130" s="83" t="inlineStr">
        <s:is>
          <s:r>
            <s:t xml:space="preserve">1. Hai lựa chọn đối tượng lưu và mở lại đúng.
2. Có các </s:t>
          </s:r>
          <s:r>
            <s:rPr>
              <s:b val="1"/>
            </s:rPr>
            <s:t>bộ lọc Môn/phân môn（教科・科目）</s:t>
          </s:r>
          <s:r>
            <s:t xml:space="preserve">, </s:t>
          </s:r>
          <s:r>
            <s:rPr>
              <s:b val="1"/>
            </s:rPr>
            <s:t>Khối（学年）</s:t>
          </s:r>
          <s:r>
            <s:t xml:space="preserve">,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s:t>
          </s:r>
          <s:r>
            <s:rPr>
              <s:b val="1"/>
            </s:rPr>
            <s:t>AND</s:t>
          </s:r>
          <s:r>
            <s:t>/</s:t>
          </s:r>
          <s:r>
            <s:rPr>
              <s:b val="1"/>
            </s:rPr>
            <s:t>OR</s:t>
          </s:r>
          <s:r>
            <s:t xml:space="preserve"> lồng nhau.</s:t>
          </s:r>
        </s:is>
      </s:c>
      <s:c r="D2130" s="117" t="inlineStr"/>
      <s:c r="E2130" s="118" t="inlineStr">
        <s:is>
          <s:t>Chưa thực hiện</s:t>
        </s:is>
      </s:c>
    </s:row>
    <s:row r="2131" ht="20" customHeight="1">
      <s:c r="A2131" s="119" t="inlineStr">
        <s:is>
          <s:t>Ảnh minh chứng — Chưa có ảnh</s:t>
        </s:is>
      </s:c>
      <s:c r="B2131" s="19" t="n"/>
      <s:c r="C2131" s="19" t="n"/>
      <s:c r="D2131" s="19" t="n"/>
      <s:c r="E2131" s="19" t="n"/>
    </s:row>
    <s:row r="2132" hidden="1" ht="1" customHeight="1">
      <s:c r="A2132" s="120" t="inlineStr"/>
      <s:c r="B2132" s="121" t="n"/>
      <s:c r="C2132" s="121" t="n"/>
      <s:c r="D2132" s="121" t="n"/>
      <s:c r="E2132" s="122" t="n"/>
    </s:row>
    <s:row r="2133" hidden="1" ht="1" customHeight="1">
      <s:c r="A2133" s="120" t="inlineStr"/>
      <s:c r="B2133" s="121" t="n"/>
      <s:c r="C2133" s="121" t="n"/>
      <s:c r="D2133" s="121" t="n"/>
      <s:c r="E2133" s="122" t="n"/>
    </s:row>
    <s:row r="2134" hidden="1" ht="1" customHeight="1">
      <s:c r="A2134" s="120" t="inlineStr"/>
      <s:c r="B2134" s="121" t="n"/>
      <s:c r="C2134" s="121" t="n"/>
      <s:c r="D2134" s="121" t="n"/>
      <s:c r="E2134" s="122" t="n"/>
    </s:row>
    <s:row r="2135" hidden="1" ht="1" customHeight="1">
      <s:c r="A2135" s="120" t="inlineStr"/>
      <s:c r="B2135" s="121" t="n"/>
      <s:c r="C2135" s="121" t="n"/>
      <s:c r="D2135" s="121" t="n"/>
      <s:c r="E2135" s="122" t="n"/>
    </s:row>
    <s:row r="2136" hidden="1" ht="1" customHeight="1">
      <s:c r="A2136" s="120" t="inlineStr"/>
      <s:c r="B2136" s="121" t="n"/>
      <s:c r="C2136" s="121" t="n"/>
      <s:c r="D2136" s="121" t="n"/>
      <s:c r="E2136" s="122" t="n"/>
    </s:row>
    <s:row r="2137" hidden="1" ht="1" customHeight="1">
      <s:c r="A2137" s="120" t="inlineStr"/>
      <s:c r="B2137" s="121" t="n"/>
      <s:c r="C2137" s="121" t="n"/>
      <s:c r="D2137" s="121" t="n"/>
      <s:c r="E2137" s="122" t="n"/>
    </s:row>
    <s:row r="2138" hidden="1" ht="1" customHeight="1">
      <s:c r="A2138" s="120" t="inlineStr"/>
      <s:c r="B2138" s="121" t="n"/>
      <s:c r="C2138" s="121" t="n"/>
      <s:c r="D2138" s="121" t="n"/>
      <s:c r="E2138" s="122" t="n"/>
    </s:row>
    <s:row r="2139" hidden="1" ht="1" customHeight="1">
      <s:c r="A2139" s="120" t="inlineStr"/>
      <s:c r="B2139" s="121" t="n"/>
      <s:c r="C2139" s="121" t="n"/>
      <s:c r="D2139" s="121" t="n"/>
      <s:c r="E2139" s="122" t="n"/>
    </s:row>
    <s:row r="2140" hidden="1" ht="1" customHeight="1">
      <s:c r="A2140" s="120" t="inlineStr"/>
      <s:c r="B2140" s="121" t="n"/>
      <s:c r="C2140" s="121" t="n"/>
      <s:c r="D2140" s="121" t="n"/>
      <s:c r="E2140" s="122" t="n"/>
    </s:row>
    <s:row r="2141" hidden="1" ht="1" customHeight="1">
      <s:c r="A2141" s="120" t="inlineStr"/>
      <s:c r="B2141" s="121" t="n"/>
      <s:c r="C2141" s="121" t="n"/>
      <s:c r="D2141" s="121" t="n"/>
      <s:c r="E2141" s="122" t="n"/>
    </s:row>
    <s:row r="2142" hidden="1" ht="1" customHeight="1">
      <s:c r="A2142" s="120" t="inlineStr"/>
      <s:c r="B2142" s="121" t="n"/>
      <s:c r="C2142" s="121" t="n"/>
      <s:c r="D2142" s="121" t="n"/>
      <s:c r="E2142" s="122" t="n"/>
    </s:row>
    <s:row r="2143" hidden="1" ht="1" customHeight="1">
      <s:c r="A2143" s="120" t="inlineStr"/>
      <s:c r="B2143" s="121" t="n"/>
      <s:c r="C2143" s="121" t="n"/>
      <s:c r="D2143" s="121" t="n"/>
      <s:c r="E2143" s="122" t="n"/>
    </s:row>
    <s:row r="2144" hidden="1" ht="1" customHeight="1">
      <s:c r="A2144" s="120" t="inlineStr"/>
      <s:c r="B2144" s="121" t="n"/>
      <s:c r="C2144" s="121" t="n"/>
      <s:c r="D2144" s="121" t="n"/>
      <s:c r="E2144" s="122" t="n"/>
    </s:row>
    <s:row r="2145" hidden="1" ht="1" customHeight="1">
      <s:c r="A2145" s="120" t="inlineStr"/>
      <s:c r="B2145" s="121" t="n"/>
      <s:c r="C2145" s="121" t="n"/>
      <s:c r="D2145" s="121" t="n"/>
      <s:c r="E2145" s="122" t="n"/>
    </s:row>
    <s:row r="2146" hidden="1" ht="1" customHeight="1">
      <s:c r="A2146" s="120" t="inlineStr"/>
      <s:c r="B2146" s="121" t="n"/>
      <s:c r="C2146" s="121" t="n"/>
      <s:c r="D2146" s="121" t="n"/>
      <s:c r="E2146" s="122" t="n"/>
    </s:row>
    <s:row r="2147" hidden="1" ht="1" customHeight="1">
      <s:c r="A2147" s="120" t="inlineStr"/>
      <s:c r="B2147" s="121" t="n"/>
      <s:c r="C2147" s="121" t="n"/>
      <s:c r="D2147" s="121" t="n"/>
      <s:c r="E2147" s="122" t="n"/>
    </s:row>
    <s:row r="2148" hidden="1" ht="1" customHeight="1">
      <s:c r="A2148" s="120" t="inlineStr"/>
      <s:c r="B2148" s="121" t="n"/>
      <s:c r="C2148" s="121" t="n"/>
      <s:c r="D2148" s="121" t="n"/>
      <s:c r="E2148" s="122" t="n"/>
    </s:row>
    <s:row r="2149" hidden="1" ht="1" customHeight="1">
      <s:c r="A2149" s="120" t="inlineStr"/>
      <s:c r="B2149" s="121" t="n"/>
      <s:c r="C2149" s="121" t="n"/>
      <s:c r="D2149" s="121" t="n"/>
      <s:c r="E2149" s="122" t="n"/>
    </s:row>
    <s:row r="2150" hidden="1" ht="1" customHeight="1">
      <s:c r="A2150" s="120" t="inlineStr"/>
      <s:c r="B2150" s="121" t="n"/>
      <s:c r="C2150" s="121" t="n"/>
      <s:c r="D2150" s="121" t="n"/>
      <s:c r="E2150" s="122" t="n"/>
    </s:row>
    <s:row r="2151" hidden="1" ht="1" customHeight="1">
      <s:c r="A2151" s="120" t="inlineStr"/>
      <s:c r="B2151" s="121" t="n"/>
      <s:c r="C2151" s="121" t="n"/>
      <s:c r="D2151" s="121" t="n"/>
      <s:c r="E2151" s="122" t="n"/>
    </s:row>
    <s:row r="2152" hidden="1" ht="1" customHeight="1">
      <s:c r="A2152" s="120" t="inlineStr"/>
      <s:c r="B2152" s="121" t="n"/>
      <s:c r="C2152" s="121" t="n"/>
      <s:c r="D2152" s="121" t="n"/>
      <s:c r="E2152" s="122" t="n"/>
    </s:row>
    <s:row r="2153" hidden="1" ht="1" customHeight="1">
      <s:c r="A2153" s="120" t="inlineStr"/>
      <s:c r="B2153" s="121" t="n"/>
      <s:c r="C2153" s="121" t="n"/>
      <s:c r="D2153" s="121" t="n"/>
      <s:c r="E2153" s="122" t="n"/>
    </s:row>
    <s:row r="2154" hidden="1" ht="1" customHeight="1">
      <s:c r="A2154" s="120" t="inlineStr"/>
      <s:c r="B2154" s="121" t="n"/>
      <s:c r="C2154" s="121" t="n"/>
      <s:c r="D2154" s="121" t="n"/>
      <s:c r="E2154" s="122" t="n"/>
    </s:row>
    <s:row r="2155" hidden="1" ht="1" customHeight="1">
      <s:c r="A2155" s="120" t="inlineStr"/>
      <s:c r="B2155" s="121" t="n"/>
      <s:c r="C2155" s="121" t="n"/>
      <s:c r="D2155" s="121" t="n"/>
      <s:c r="E2155" s="122" t="n"/>
    </s:row>
    <s:row r="2156" hidden="1" ht="1" customHeight="1">
      <s:c r="A2156" s="120" t="inlineStr"/>
      <s:c r="B2156" s="121" t="n"/>
      <s:c r="C2156" s="121" t="n"/>
      <s:c r="D2156" s="121" t="n"/>
      <s:c r="E2156" s="122" t="n"/>
    </s:row>
    <s:row r="2157" hidden="1" ht="1" customHeight="1">
      <s:c r="A2157" s="120" t="inlineStr"/>
      <s:c r="B2157" s="121" t="n"/>
      <s:c r="C2157" s="121" t="n"/>
      <s:c r="D2157" s="121" t="n"/>
      <s:c r="E2157" s="122" t="n"/>
    </s:row>
    <s:row r="2158" hidden="1" ht="1" customHeight="1">
      <s:c r="A2158" s="120" t="inlineStr"/>
      <s:c r="B2158" s="121" t="n"/>
      <s:c r="C2158" s="121" t="n"/>
      <s:c r="D2158" s="121" t="n"/>
      <s:c r="E2158" s="122" t="n"/>
    </s:row>
    <s:row r="2159" hidden="1" ht="1" customHeight="1">
      <s:c r="A2159" s="120" t="inlineStr"/>
      <s:c r="B2159" s="121" t="n"/>
      <s:c r="C2159" s="121" t="n"/>
      <s:c r="D2159" s="121" t="n"/>
      <s:c r="E2159" s="122" t="n"/>
    </s:row>
    <s:row r="2160" hidden="1" ht="1" customHeight="1">
      <s:c r="A2160" s="120" t="inlineStr"/>
      <s:c r="B2160" s="121" t="n"/>
      <s:c r="C2160" s="121" t="n"/>
      <s:c r="D2160" s="121" t="n"/>
      <s:c r="E2160" s="122" t="n"/>
    </s:row>
    <s:row r="2161" hidden="1" ht="1" customHeight="1">
      <s:c r="A2161" s="120" t="inlineStr"/>
      <s:c r="B2161" s="121" t="n"/>
      <s:c r="C2161" s="121" t="n"/>
      <s:c r="D2161" s="121" t="n"/>
      <s:c r="E2161" s="122" t="n"/>
    </s:row>
    <s:row r="2162" hidden="1" ht="1" customHeight="1">
      <s:c r="A2162" s="120" t="inlineStr"/>
      <s:c r="B2162" s="121" t="n"/>
      <s:c r="C2162" s="121" t="n"/>
      <s:c r="D2162" s="121" t="n"/>
      <s:c r="E2162" s="122" t="n"/>
    </s:row>
    <s:row r="2163" hidden="1" ht="1" customHeight="1">
      <s:c r="A2163" s="120" t="inlineStr"/>
      <s:c r="B2163" s="121" t="n"/>
      <s:c r="C2163" s="121" t="n"/>
      <s:c r="D2163" s="121" t="n"/>
      <s:c r="E2163" s="122" t="n"/>
    </s:row>
    <s:row r="2164" hidden="1" ht="1" customHeight="1">
      <s:c r="A2164" s="120" t="inlineStr"/>
      <s:c r="B2164" s="121" t="n"/>
      <s:c r="C2164" s="121" t="n"/>
      <s:c r="D2164" s="121" t="n"/>
      <s:c r="E2164" s="122" t="n"/>
    </s:row>
    <s:row r="2165" hidden="1" ht="1" customHeight="1">
      <s:c r="A2165" s="120" t="inlineStr"/>
      <s:c r="B2165" s="121" t="n"/>
      <s:c r="C2165" s="121" t="n"/>
      <s:c r="D2165" s="121" t="n"/>
      <s:c r="E2165" s="122" t="n"/>
    </s:row>
    <s:row r="2166" hidden="1" ht="1" customHeight="1">
      <s:c r="A2166" s="120" t="inlineStr"/>
      <s:c r="B2166" s="121" t="n"/>
      <s:c r="C2166" s="121" t="n"/>
      <s:c r="D2166" s="121" t="n"/>
      <s:c r="E2166" s="122" t="n"/>
    </s:row>
    <s:row r="2167" hidden="1" ht="1" customHeight="1">
      <s:c r="A2167" s="120" t="inlineStr"/>
      <s:c r="B2167" s="121" t="n"/>
      <s:c r="C2167" s="121" t="n"/>
      <s:c r="D2167" s="121" t="n"/>
      <s:c r="E2167" s="122" t="n"/>
    </s:row>
    <s:row r="2168" hidden="1" ht="1" customHeight="1">
      <s:c r="A2168" s="120" t="inlineStr"/>
      <s:c r="B2168" s="121" t="n"/>
      <s:c r="C2168" s="121" t="n"/>
      <s:c r="D2168" s="121" t="n"/>
      <s:c r="E2168" s="122" t="n"/>
    </s:row>
    <s:row r="2169" hidden="1" ht="1" customHeight="1">
      <s:c r="A2169" s="120" t="inlineStr"/>
      <s:c r="B2169" s="121" t="n"/>
      <s:c r="C2169" s="121" t="n"/>
      <s:c r="D2169" s="121" t="n"/>
      <s:c r="E2169" s="122" t="n"/>
    </s:row>
    <s:row r="2170" hidden="1" ht="1" customHeight="1">
      <s:c r="A2170" s="120" t="inlineStr"/>
      <s:c r="B2170" s="121" t="n"/>
      <s:c r="C2170" s="121" t="n"/>
      <s:c r="D2170" s="121" t="n"/>
      <s:c r="E2170" s="122" t="n"/>
    </s:row>
    <s:row r="2171" hidden="1" ht="1" customHeight="1">
      <s:c r="A2171" s="120" t="inlineStr"/>
      <s:c r="B2171" s="121" t="n"/>
      <s:c r="C2171" s="121" t="n"/>
      <s:c r="D2171" s="121" t="n"/>
      <s:c r="E2171" s="122" t="n"/>
    </s:row>
    <s:row r="2172" hidden="1" ht="1" customHeight="1">
      <s:c r="A2172" s="120" t="inlineStr"/>
      <s:c r="B2172" s="121" t="n"/>
      <s:c r="C2172" s="121" t="n"/>
      <s:c r="D2172" s="121" t="n"/>
      <s:c r="E2172" s="122" t="n"/>
    </s:row>
    <s:row r="2173" hidden="1" ht="1" customHeight="1">
      <s:c r="A2173" s="120" t="inlineStr"/>
      <s:c r="B2173" s="121" t="n"/>
      <s:c r="C2173" s="121" t="n"/>
      <s:c r="D2173" s="121" t="n"/>
      <s:c r="E2173" s="122" t="n"/>
    </s:row>
    <s:row r="2174" hidden="1" ht="1" customHeight="1">
      <s:c r="A2174" s="120" t="inlineStr"/>
      <s:c r="B2174" s="121" t="n"/>
      <s:c r="C2174" s="121" t="n"/>
      <s:c r="D2174" s="121" t="n"/>
      <s:c r="E2174" s="122" t="n"/>
    </s:row>
    <s:row r="2175" hidden="1" ht="1" customHeight="1">
      <s:c r="A2175" s="120" t="inlineStr"/>
      <s:c r="B2175" s="121" t="n"/>
      <s:c r="C2175" s="121" t="n"/>
      <s:c r="D2175" s="121" t="n"/>
      <s:c r="E2175" s="122" t="n"/>
    </s:row>
    <s:row r="2176" hidden="1" ht="1" customHeight="1">
      <s:c r="A2176" s="120" t="inlineStr"/>
      <s:c r="B2176" s="121" t="n"/>
      <s:c r="C2176" s="121" t="n"/>
      <s:c r="D2176" s="121" t="n"/>
      <s:c r="E2176" s="122" t="n"/>
    </s:row>
    <s:row r="2177" hidden="1" ht="1" customHeight="1">
      <s:c r="A2177" s="120" t="inlineStr"/>
      <s:c r="B2177" s="121" t="n"/>
      <s:c r="C2177" s="121" t="n"/>
      <s:c r="D2177" s="121" t="n"/>
      <s:c r="E2177" s="122" t="n"/>
    </s:row>
    <s:row r="2178" hidden="1" ht="1" customHeight="1">
      <s:c r="A2178" s="120" t="inlineStr"/>
      <s:c r="B2178" s="121" t="n"/>
      <s:c r="C2178" s="121" t="n"/>
      <s:c r="D2178" s="121" t="n"/>
      <s:c r="E2178" s="122" t="n"/>
    </s:row>
    <s:row r="2179" hidden="1" ht="1" customHeight="1">
      <s:c r="A2179" s="120" t="inlineStr"/>
      <s:c r="B2179" s="121" t="n"/>
      <s:c r="C2179" s="121" t="n"/>
      <s:c r="D2179" s="121" t="n"/>
      <s:c r="E2179" s="122" t="n"/>
    </s:row>
    <s:row r="2180" hidden="1" ht="1" customHeight="1">
      <s:c r="A2180" s="120" t="inlineStr"/>
      <s:c r="B2180" s="121" t="n"/>
      <s:c r="C2180" s="121" t="n"/>
      <s:c r="D2180" s="121" t="n"/>
      <s:c r="E2180" s="122" t="n"/>
    </s:row>
    <s:row r="2181" hidden="1" ht="1" customHeight="1">
      <s:c r="A2181" s="120" t="inlineStr"/>
      <s:c r="B2181" s="121" t="n"/>
      <s:c r="C2181" s="121" t="n"/>
      <s:c r="D2181" s="121" t="n"/>
      <s:c r="E2181" s="122" t="n"/>
    </s:row>
    <s:row r="2182" hidden="1" ht="1" customHeight="1">
      <s:c r="A2182" s="120" t="inlineStr"/>
      <s:c r="B2182" s="121" t="n"/>
      <s:c r="C2182" s="121" t="n"/>
      <s:c r="D2182" s="121" t="n"/>
      <s:c r="E2182" s="122" t="n"/>
    </s:row>
    <s:row r="2183" hidden="1" ht="1" customHeight="1">
      <s:c r="A2183" s="120" t="inlineStr"/>
      <s:c r="B2183" s="121" t="n"/>
      <s:c r="C2183" s="121" t="n"/>
      <s:c r="D2183" s="121" t="n"/>
      <s:c r="E2183" s="122" t="n"/>
    </s:row>
    <s:row r="2184" hidden="1" ht="1" customHeight="1">
      <s:c r="A2184" s="120" t="inlineStr"/>
      <s:c r="B2184" s="121" t="n"/>
      <s:c r="C2184" s="121" t="n"/>
      <s:c r="D2184" s="121" t="n"/>
      <s:c r="E2184" s="122" t="n"/>
    </s:row>
    <s:row r="2185" hidden="1" ht="1" customHeight="1">
      <s:c r="A2185" s="120" t="inlineStr"/>
      <s:c r="B2185" s="121" t="n"/>
      <s:c r="C2185" s="121" t="n"/>
      <s:c r="D2185" s="121" t="n"/>
      <s:c r="E2185" s="122" t="n"/>
    </s:row>
    <s:row r="2186" hidden="1" ht="1" customHeight="1">
      <s:c r="A2186" s="120" t="inlineStr"/>
      <s:c r="B2186" s="121" t="n"/>
      <s:c r="C2186" s="121" t="n"/>
      <s:c r="D2186" s="121" t="n"/>
      <s:c r="E2186" s="122" t="n"/>
    </s:row>
    <s:row r="2187" hidden="1" ht="1" customHeight="1">
      <s:c r="A2187" s="120" t="inlineStr"/>
      <s:c r="B2187" s="121" t="n"/>
      <s:c r="C2187" s="121" t="n"/>
      <s:c r="D2187" s="121" t="n"/>
      <s:c r="E2187" s="122" t="n"/>
    </s:row>
    <s:row r="2188" hidden="1" ht="1" customHeight="1">
      <s:c r="A2188" s="120" t="inlineStr"/>
      <s:c r="B2188" s="121" t="n"/>
      <s:c r="C2188" s="121" t="n"/>
      <s:c r="D2188" s="121" t="n"/>
      <s:c r="E2188" s="122" t="n"/>
    </s:row>
    <s:row r="2189" hidden="1" ht="1" customHeight="1">
      <s:c r="A2189" s="120" t="inlineStr"/>
      <s:c r="B2189" s="121" t="n"/>
      <s:c r="C2189" s="121" t="n"/>
      <s:c r="D2189" s="121" t="n"/>
      <s:c r="E2189" s="122" t="n"/>
    </s:row>
    <s:row r="2190" hidden="1" ht="1" customHeight="1">
      <s:c r="A2190" s="120" t="inlineStr"/>
      <s:c r="B2190" s="121" t="n"/>
      <s:c r="C2190" s="121" t="n"/>
      <s:c r="D2190" s="121" t="n"/>
      <s:c r="E2190" s="122" t="n"/>
    </s:row>
    <s:row r="2191" hidden="1" ht="1" customHeight="1">
      <s:c r="A2191" s="120" t="inlineStr"/>
      <s:c r="B2191" s="121" t="n"/>
      <s:c r="C2191" s="121" t="n"/>
      <s:c r="D2191" s="121" t="n"/>
      <s:c r="E2191" s="122" t="n"/>
    </s:row>
    <s:row r="2192" hidden="1" ht="1" customHeight="1">
      <s:c r="A2192" s="120" t="inlineStr"/>
      <s:c r="B2192" s="121" t="n"/>
      <s:c r="C2192" s="121" t="n"/>
      <s:c r="D2192" s="121" t="n"/>
      <s:c r="E2192" s="122" t="n"/>
    </s:row>
    <s:row r="2193" hidden="1" ht="1" customHeight="1">
      <s:c r="A2193" s="120" t="inlineStr"/>
      <s:c r="B2193" s="121" t="n"/>
      <s:c r="C2193" s="121" t="n"/>
      <s:c r="D2193" s="121" t="n"/>
      <s:c r="E2193" s="122" t="n"/>
    </s:row>
    <s:row r="2194" hidden="1" ht="1" customHeight="1">
      <s:c r="A2194" s="120" t="inlineStr"/>
      <s:c r="B2194" s="121" t="n"/>
      <s:c r="C2194" s="121" t="n"/>
      <s:c r="D2194" s="121" t="n"/>
      <s:c r="E2194" s="122" t="n"/>
    </s:row>
    <s:row r="2195" hidden="1" ht="1" customHeight="1">
      <s:c r="A2195" s="120" t="inlineStr"/>
      <s:c r="B2195" s="121" t="n"/>
      <s:c r="C2195" s="121" t="n"/>
      <s:c r="D2195" s="121" t="n"/>
      <s:c r="E2195" s="122" t="n"/>
    </s:row>
    <s:row r="2196" hidden="1" ht="1" customHeight="1">
      <s:c r="A2196" s="120" t="inlineStr"/>
      <s:c r="B2196" s="121" t="n"/>
      <s:c r="C2196" s="121" t="n"/>
      <s:c r="D2196" s="121" t="n"/>
      <s:c r="E2196" s="122" t="n"/>
    </s:row>
    <s:row r="2197" hidden="1" ht="1" customHeight="1">
      <s:c r="A2197" s="120" t="inlineStr"/>
      <s:c r="B2197" s="121" t="n"/>
      <s:c r="C2197" s="121" t="n"/>
      <s:c r="D2197" s="121" t="n"/>
      <s:c r="E2197" s="122" t="n"/>
    </s:row>
    <s:row r="2198" hidden="1" ht="1" customHeight="1">
      <s:c r="A2198" s="120" t="inlineStr"/>
      <s:c r="B2198" s="121" t="n"/>
      <s:c r="C2198" s="121" t="n"/>
      <s:c r="D2198" s="121" t="n"/>
      <s:c r="E2198" s="122" t="n"/>
    </s:row>
    <s:row r="2199" hidden="1" ht="1" customHeight="1">
      <s:c r="A2199" s="120" t="inlineStr"/>
      <s:c r="B2199" s="121" t="n"/>
      <s:c r="C2199" s="121" t="n"/>
      <s:c r="D2199" s="121" t="n"/>
      <s:c r="E2199" s="122" t="n"/>
    </s:row>
    <s:row r="2200" hidden="1" ht="1" customHeight="1">
      <s:c r="A2200" s="120" t="inlineStr"/>
      <s:c r="B2200" s="121" t="n"/>
      <s:c r="C2200" s="121" t="n"/>
      <s:c r="D2200" s="121" t="n"/>
      <s:c r="E2200" s="122" t="n"/>
    </s:row>
    <s:row r="2201" hidden="1" ht="1" customHeight="1">
      <s:c r="A2201" s="120" t="inlineStr"/>
      <s:c r="B2201" s="121" t="n"/>
      <s:c r="C2201" s="121" t="n"/>
      <s:c r="D2201" s="121" t="n"/>
      <s:c r="E2201" s="122" t="n"/>
    </s:row>
    <s:row r="2202" hidden="1" ht="1" customHeight="1">
      <s:c r="A2202" s="120" t="inlineStr"/>
      <s:c r="B2202" s="121" t="n"/>
      <s:c r="C2202" s="121" t="n"/>
      <s:c r="D2202" s="121" t="n"/>
      <s:c r="E2202" s="122" t="n"/>
    </s:row>
    <s:row r="2203" hidden="1" ht="1" customHeight="1">
      <s:c r="A2203" s="120" t="inlineStr"/>
      <s:c r="B2203" s="121" t="n"/>
      <s:c r="C2203" s="121" t="n"/>
      <s:c r="D2203" s="121" t="n"/>
      <s:c r="E2203" s="122" t="n"/>
    </s:row>
    <s:row r="2204" hidden="1" ht="1" customHeight="1">
      <s:c r="A2204" s="120" t="inlineStr"/>
      <s:c r="B2204" s="121" t="n"/>
      <s:c r="C2204" s="121" t="n"/>
      <s:c r="D2204" s="121" t="n"/>
      <s:c r="E2204" s="122" t="n"/>
    </s:row>
    <s:row r="2205" hidden="1" ht="1" customHeight="1">
      <s:c r="A2205" s="120" t="inlineStr"/>
      <s:c r="B2205" s="121" t="n"/>
      <s:c r="C2205" s="121" t="n"/>
      <s:c r="D2205" s="121" t="n"/>
      <s:c r="E2205" s="122" t="n"/>
    </s:row>
    <s:row r="2206" hidden="1" ht="1" customHeight="1">
      <s:c r="A2206" s="120" t="inlineStr"/>
      <s:c r="B2206" s="121" t="n"/>
      <s:c r="C2206" s="121" t="n"/>
      <s:c r="D2206" s="121" t="n"/>
      <s:c r="E2206" s="122" t="n"/>
    </s:row>
    <s:row r="2207" hidden="1" ht="1" customHeight="1">
      <s:c r="A2207" s="120" t="inlineStr"/>
      <s:c r="B2207" s="121" t="n"/>
      <s:c r="C2207" s="121" t="n"/>
      <s:c r="D2207" s="121" t="n"/>
      <s:c r="E2207" s="122" t="n"/>
    </s:row>
    <s:row r="2208" hidden="1" ht="1" customHeight="1">
      <s:c r="A2208" s="120" t="inlineStr"/>
      <s:c r="B2208" s="121" t="n"/>
      <s:c r="C2208" s="121" t="n"/>
      <s:c r="D2208" s="121" t="n"/>
      <s:c r="E2208" s="122" t="n"/>
    </s:row>
    <s:row r="2209" hidden="1" ht="1" customHeight="1">
      <s:c r="A2209" s="120" t="inlineStr"/>
      <s:c r="B2209" s="121" t="n"/>
      <s:c r="C2209" s="121" t="n"/>
      <s:c r="D2209" s="121" t="n"/>
      <s:c r="E2209" s="122" t="n"/>
    </s:row>
    <s:row r="2210" hidden="1" ht="1" customHeight="1">
      <s:c r="A2210" s="120" t="inlineStr"/>
      <s:c r="B2210" s="121" t="n"/>
      <s:c r="C2210" s="121" t="n"/>
      <s:c r="D2210" s="121" t="n"/>
      <s:c r="E2210" s="122" t="n"/>
    </s:row>
    <s:row r="2211" hidden="1" ht="1" customHeight="1">
      <s:c r="A2211" s="120" t="inlineStr"/>
      <s:c r="B2211" s="121" t="n"/>
      <s:c r="C2211" s="121" t="n"/>
      <s:c r="D2211" s="121" t="n"/>
      <s:c r="E2211" s="122" t="n"/>
    </s:row>
    <s:row r="2212" hidden="1" ht="1" customHeight="1">
      <s:c r="A2212" s="120" t="inlineStr"/>
      <s:c r="B2212" s="121" t="n"/>
      <s:c r="C2212" s="121" t="n"/>
      <s:c r="D2212" s="121" t="n"/>
      <s:c r="E2212" s="122" t="n"/>
    </s:row>
    <s:row r="2213" hidden="1" ht="1" customHeight="1">
      <s:c r="A2213" s="120" t="inlineStr"/>
      <s:c r="B2213" s="121" t="n"/>
      <s:c r="C2213" s="121" t="n"/>
      <s:c r="D2213" s="121" t="n"/>
      <s:c r="E2213" s="122" t="n"/>
    </s:row>
    <s:row r="2214" hidden="1" ht="1" customHeight="1">
      <s:c r="A2214" s="120" t="inlineStr"/>
      <s:c r="B2214" s="121" t="n"/>
      <s:c r="C2214" s="121" t="n"/>
      <s:c r="D2214" s="121" t="n"/>
      <s:c r="E2214" s="122" t="n"/>
    </s:row>
    <s:row r="2215" hidden="1" ht="1" customHeight="1">
      <s:c r="A2215" s="120" t="inlineStr"/>
      <s:c r="B2215" s="121" t="n"/>
      <s:c r="C2215" s="121" t="n"/>
      <s:c r="D2215" s="121" t="n"/>
      <s:c r="E2215" s="122" t="n"/>
    </s:row>
    <s:row r="2216" hidden="1" ht="1" customHeight="1">
      <s:c r="A2216" s="120" t="inlineStr"/>
      <s:c r="B2216" s="121" t="n"/>
      <s:c r="C2216" s="121" t="n"/>
      <s:c r="D2216" s="121" t="n"/>
      <s:c r="E2216" s="122" t="n"/>
    </s:row>
    <s:row r="2217" hidden="1" ht="1" customHeight="1">
      <s:c r="A2217" s="120" t="inlineStr"/>
      <s:c r="B2217" s="121" t="n"/>
      <s:c r="C2217" s="121" t="n"/>
      <s:c r="D2217" s="121" t="n"/>
      <s:c r="E2217" s="122" t="n"/>
    </s:row>
    <s:row r="2218" hidden="1" ht="1" customHeight="1">
      <s:c r="A2218" s="120" t="inlineStr"/>
      <s:c r="B2218" s="121" t="n"/>
      <s:c r="C2218" s="121" t="n"/>
      <s:c r="D2218" s="121" t="n"/>
      <s:c r="E2218" s="122" t="n"/>
    </s:row>
    <s:row r="2219" hidden="1" ht="1" customHeight="1">
      <s:c r="A2219" s="120" t="inlineStr"/>
      <s:c r="B2219" s="121" t="n"/>
      <s:c r="C2219" s="121" t="n"/>
      <s:c r="D2219" s="121" t="n"/>
      <s:c r="E2219" s="122" t="n"/>
    </s:row>
    <s:row r="2220" hidden="1" ht="1" customHeight="1">
      <s:c r="A2220" s="120" t="inlineStr"/>
      <s:c r="B2220" s="121" t="n"/>
      <s:c r="C2220" s="121" t="n"/>
      <s:c r="D2220" s="121" t="n"/>
      <s:c r="E2220" s="122" t="n"/>
    </s:row>
    <s:row r="2221" hidden="1" ht="1" customHeight="1">
      <s:c r="A2221" s="120" t="inlineStr"/>
      <s:c r="B2221" s="121" t="n"/>
      <s:c r="C2221" s="121" t="n"/>
      <s:c r="D2221" s="121" t="n"/>
      <s:c r="E2221" s="122" t="n"/>
    </s:row>
    <s:row r="2222" hidden="1" ht="1" customHeight="1">
      <s:c r="A2222" s="120" t="inlineStr"/>
      <s:c r="B2222" s="121" t="n"/>
      <s:c r="C2222" s="121" t="n"/>
      <s:c r="D2222" s="121" t="n"/>
      <s:c r="E2222" s="122" t="n"/>
    </s:row>
    <s:row r="2223" hidden="1" ht="1" customHeight="1">
      <s:c r="A2223" s="120" t="inlineStr"/>
      <s:c r="B2223" s="121" t="n"/>
      <s:c r="C2223" s="121" t="n"/>
      <s:c r="D2223" s="121" t="n"/>
      <s:c r="E2223" s="122" t="n"/>
    </s:row>
    <s:row r="2224" hidden="1" ht="1" customHeight="1">
      <s:c r="A2224" s="120" t="inlineStr"/>
      <s:c r="B2224" s="121" t="n"/>
      <s:c r="C2224" s="121" t="n"/>
      <s:c r="D2224" s="121" t="n"/>
      <s:c r="E2224" s="122" t="n"/>
    </s:row>
    <s:row r="2225" hidden="1" ht="1" customHeight="1">
      <s:c r="A2225" s="120" t="inlineStr"/>
      <s:c r="B2225" s="121" t="n"/>
      <s:c r="C2225" s="121" t="n"/>
      <s:c r="D2225" s="121" t="n"/>
      <s:c r="E2225" s="122" t="n"/>
    </s:row>
    <s:row r="2226" hidden="1" ht="1" customHeight="1">
      <s:c r="A2226" s="120" t="inlineStr"/>
      <s:c r="B2226" s="121" t="n"/>
      <s:c r="C2226" s="121" t="n"/>
      <s:c r="D2226" s="121" t="n"/>
      <s:c r="E2226" s="122" t="n"/>
    </s:row>
    <s:row r="2227" hidden="1" ht="1" customHeight="1">
      <s:c r="A2227" s="120" t="inlineStr"/>
      <s:c r="B2227" s="121" t="n"/>
      <s:c r="C2227" s="121" t="n"/>
      <s:c r="D2227" s="121" t="n"/>
      <s:c r="E2227" s="122" t="n"/>
    </s:row>
    <s:row r="2228" hidden="1" ht="1" customHeight="1">
      <s:c r="A2228" s="83" t="inlineStr">
        <s:is>
          <s:t>PASS</s:t>
        </s:is>
      </s:c>
      <s:c r="B2228" s="83">
        <s:f>SUM(IF(EXACT('Kiểm thử'!E2128,"Đạt"),1,0),IF(EXACT('Kiểm thử'!E2130,"Đạt"),1,0))</s:f>
        <s:v/>
      </s:c>
      <s:c r="C2228" s="19" t="n"/>
      <s:c r="D2228" s="19" t="n"/>
      <s:c r="E2228" s="19" t="n"/>
    </s:row>
    <s:row r="2229" hidden="1" ht="1" customHeight="1">
      <s:c r="A2229" s="83" t="inlineStr">
        <s:is>
          <s:t>FAIL</s:t>
        </s:is>
      </s:c>
      <s:c r="B2229" s="83">
        <s:f>SUM(IF(EXACT('Kiểm thử'!E2128,"Không đạt"),1,0),IF(EXACT('Kiểm thử'!E2130,"Không đạt"),1,0))</s:f>
        <s:v/>
      </s:c>
      <s:c r="C2229" s="19" t="n"/>
      <s:c r="D2229" s="19" t="n"/>
      <s:c r="E2229" s="19" t="n"/>
    </s:row>
    <s:row r="2230" hidden="1" ht="1" customHeight="1">
      <s:c r="A2230" s="83" t="inlineStr">
        <s:is>
          <s:t>BLOCKED</s:t>
        </s:is>
      </s:c>
      <s:c r="B2230" s="83">
        <s:f>SUM(IF(EXACT('Kiểm thử'!E2128,"Bị chặn"),1,0),IF(EXACT('Kiểm thử'!E2130,"Bị chặn"),1,0))</s:f>
        <s:v/>
      </s:c>
      <s:c r="C2230" s="19" t="n"/>
      <s:c r="D2230" s="19" t="n"/>
      <s:c r="E2230" s="19" t="n"/>
    </s:row>
    <s:row r="2231" hidden="1" ht="1" customHeight="1">
      <s:c r="A2231" s="83" t="inlineStr">
        <s:is>
          <s:t>SKIPPED</s:t>
        </s:is>
      </s:c>
      <s:c r="B2231" s="83">
        <s:f>SUM(IF(EXACT('Kiểm thử'!E2128,"Không thực hiện"),1,0),IF(EXACT('Kiểm thử'!E2130,"Không thực hiện"),1,0))</s:f>
        <s:v/>
      </s:c>
      <s:c r="C2231" s="19" t="n"/>
      <s:c r="D2231" s="19" t="n"/>
      <s:c r="E2231" s="19" t="n"/>
    </s:row>
    <s:row r="2232" hidden="1" ht="1" customHeight="1">
      <s:c r="A2232" s="83" t="inlineStr">
        <s:is>
          <s:t>NOT RUN</s:t>
        </s:is>
      </s:c>
      <s:c r="B2232" s="83">
        <s:f>SUM(IF(EXACT('Kiểm thử'!E2128,"Chưa thực hiện"),1,0),IF(EXACT('Kiểm thử'!E2130,"Chưa thực hiện"),1,0))</s:f>
        <s:v/>
      </s:c>
      <s:c r="C2232" s="19" t="n"/>
      <s:c r="D2232" s="19" t="n"/>
      <s:c r="E2232" s="19" t="n"/>
    </s:row>
    <s:row r="2233" hidden="1" ht="6" customHeight="1">
      <s:c r="A2233" s="83" t="inlineStr"/>
      <s:c r="B2233" s="19" t="n"/>
      <s:c r="C2233" s="19" t="n"/>
      <s:c r="D2233" s="19" t="n"/>
      <s:c r="E2233" s="19" t="n"/>
    </s:row>
    <s:row r="2234" ht="28" customHeight="1">
      <s:c r="A2234" s="108" t="inlineStr">
        <s:is>
          <s:t>TC-RS-FUNC-009 — Điều kiện phân nhánh theo Trung bình（平均点） được lưu cùng bộ nguồn</s:t>
        </s:is>
      </s:c>
      <s:c r="B2234" s="111" t="n"/>
      <s:c r="C2234" s="111" t="n"/>
      <s:c r="D2234" s="111" t="n"/>
      <s:c r="E2234" s="111" t="n"/>
    </s:row>
    <s:row r="2235" ht="20" customHeight="1">
      <s:c r="A2235" s="112" t="inlineStr">
        <s:is>
          <s:t>Kết quả tình huống</s:t>
        </s:is>
      </s:c>
      <s:c r="B2235" s="113">
        <s:f>IF(SUM(IF(EXACT('Kiểm thử'!E2246,"Không đạt"),1,0),IF(EXACT('Kiểm thử'!E2248,"Không đạt"),1,0))&gt;0,"Không đạt",IF(SUM(IF(EXACT('Kiểm thử'!E2246,"Đạt"),1,0),IF(EXACT('Kiểm thử'!E2248,"Đạt"),1,0))=2,"Đạt",IF(SUM(IF(EXACT('Kiểm thử'!E2246,"Không thực hiện"),1,0),IF(EXACT('Kiểm thử'!E2248,"Không thực hiện"),1,0))=2,"Không thực hiện",IF(SUM(IF(EXACT('Kiểm thử'!E2246,"Bị chặn"),1,0),IF(EXACT('Kiểm thử'!E2248,"Bị chặn"),1,0))&gt;0,"Bị chặn",IF(SUM(IF(EXACT('Kiểm thử'!E2246,"Chưa thực hiện"),1,0),IF(EXACT('Kiểm thử'!E2248,"Chưa thực hiện"),1,0))=2,"Chưa thực hiện","Đang thực hiện")))))</s:f>
        <s:v/>
      </s:c>
      <s:c r="C2235" s="114" t="n"/>
      <s:c r="D2235" s="114" t="n"/>
      <s:c r="E2235" s="114" t="n"/>
    </s:row>
    <s:row r="2236" ht="20" customHeight="1">
      <s:c r="A2236" s="112" t="inlineStr">
        <s:is>
          <s:t>Màn hình / chức năng</s:t>
        </s:is>
      </s:c>
      <s:c r="B2236" s="113" t="inlineStr">
        <s:is>
          <s:r>
            <s:rPr>
              <s:b val="1"/>
            </s:rPr>
            <s:t>Điều kiện áp dụng（適用条件）</s:t>
          </s:r>
        </s:is>
      </s:c>
      <s:c r="C2236" s="28" t="n"/>
      <s:c r="D2236" s="28" t="n"/>
      <s:c r="E2236" s="28" t="n"/>
    </s:row>
    <s:row r="2237" ht="20" customHeight="1">
      <s:c r="A2237" s="112" t="inlineStr">
        <s:is>
          <s:t>Cấu hình</s:t>
        </s:is>
      </s:c>
      <s:c r="B2237" s="113" t="inlineStr">
        <s:is>
          <s:t>• Đăng nhập tài khoản giáo viên có quyền sửa mục. Có nguồn tổng hợp mặc định.</s:t>
        </s:is>
      </s:c>
      <s:c r="C2237" s="28" t="n"/>
      <s:c r="D2237" s="28" t="n"/>
      <s:c r="E2237" s="28" t="n"/>
    </s:row>
    <s:row r="2238" ht="20" customHeight="1">
      <s:c r="A2238" s="112" t="inlineStr">
        <s:is>
          <s:t>Dữ liệu test</s:t>
        </s:is>
      </s:c>
      <s:c r="B2238" s="113" t="inlineStr">
        <s:is>
          <s:t>• Cặp quy tắc phân nhánh theo trung bình 60, bản tổng hợp mới nhất chưa chốt (trung bình 62)</s:t>
        </s:is>
      </s:c>
      <s:c r="C2238" s="28" t="n"/>
      <s:c r="D2238" s="28" t="n"/>
      <s:c r="E2238" s="28" t="n"/>
    </s:row>
    <s:row r="2239" ht="34" customHeight="1">
      <s:c r="A2239" s="112" t="inlineStr">
        <s:is>
          <s:t>Bước 1</s:t>
        </s:is>
      </s:c>
      <s:c r="B2239" s="113" t="inlineStr">
        <s:is>
          <s:r>
            <s:t xml:space="preserve">Tạo quy tắc "Trung bình dưới 60": </s:t>
          </s:r>
          <s:r>
            <s:rPr>
              <s:b val="1"/>
            </s:rPr>
            <s:t>thêm bộ lọc Môn（教科・科目）</s:t>
          </s:r>
          <s:r>
            <s:rPr>
              <s:b val="1"/>
            </s:rPr>
            <s:t>= Toán（数学）</s:t>
          </s:r>
          <s:r>
            <s:t xml:space="preserve"> và </s:t>
          </s:r>
          <s:r>
            <s:rPr>
              <s:b val="1"/>
            </s:rPr>
            <s:t>điều kiện Trung bình（平均点）</s:t>
          </s:r>
          <s:r>
            <s:t>.</s:t>
          </s:r>
        </s:is>
      </s:c>
      <s:c r="C2239" s="28" t="n"/>
      <s:c r="D2239" s="28" t="n"/>
      <s:c r="E2239" s="28" t="n"/>
    </s:row>
    <s:row r="2240" ht="48" customHeight="1">
      <s:c r="A2240" s="112" t="inlineStr">
        <s:is>
          <s:t>Bước 2</s:t>
        </s:is>
      </s:c>
      <s:c r="B2240" s="113" t="inlineStr">
        <s:is>
          <s:r>
            <s:t xml:space="preserve">Chọn </s:t>
          </s:r>
          <s:r>
            <s:rPr>
              <s:b val="1"/>
            </s:rPr>
            <s:t>Thời kỳ tổng hợp（集計対象時期）</s:t>
          </s:r>
          <s:r>
            <s:t xml:space="preserve">= 1学期期末 (cuối kỳ học kỳ 1), Thiết lập </s:t>
          </s:r>
          <s:r>
            <s:rPr>
              <s:b val="1"/>
            </s:rPr>
            <s:t>tổng hợp thứ hạng（順位集計設定）</s:t>
          </s:r>
          <s:r>
            <s:t xml:space="preserve">= 評点集計 (tổng hợp điểm đánh giá), Nhóm học sinh được </s:t>
          </s:r>
          <s:r>
            <s:rPr>
              <s:b val="1"/>
            </s:rPr>
            <s:t>tổng hợp — 集計対象（母集団）</s:t>
          </s:r>
          <s:r>
            <s:t>= ホームルーム (lớp chủ nhiệm; file Figma cũ ghi HR毎).</s:t>
          </s:r>
        </s:is>
      </s:c>
      <s:c r="C2240" s="28" t="n"/>
      <s:c r="D2240" s="28" t="n"/>
      <s:c r="E2240" s="28" t="n"/>
    </s:row>
    <s:row r="2241" ht="20" customHeight="1">
      <s:c r="A2241" s="112" t="inlineStr">
        <s:is>
          <s:t>Bước 3</s:t>
        </s:is>
      </s:c>
      <s:c r="B2241" s="113" t="inlineStr">
        <s:is>
          <s:r>
            <s:t xml:space="preserve">Nhập mốc 60, </s:t>
          </s:r>
          <s:r>
            <s:rPr>
              <s:b val="1"/>
            </s:rPr>
            <s:t>dấu Nhỏ hơn（未満）</s:t>
          </s:r>
          <s:r>
            <s:t>, lưu.</s:t>
          </s:r>
        </s:is>
      </s:c>
      <s:c r="C2241" s="28" t="n"/>
      <s:c r="D2241" s="28" t="n"/>
      <s:c r="E2241" s="28" t="n"/>
    </s:row>
    <s:row r="2242" ht="20" customHeight="1">
      <s:c r="A2242" s="112" t="inlineStr">
        <s:is>
          <s:t>Bước 4</s:t>
        </s:is>
      </s:c>
      <s:c r="B2242" s="113" t="inlineStr">
        <s:is>
          <s:r>
            <s:t xml:space="preserve">Tạo quy tắc thứ hai với mốc 60, dấu Từ </s:t>
          </s:r>
          <s:r>
            <s:rPr>
              <s:b val="1"/>
            </s:rPr>
            <s:t>mức này trở lên（以上）</s:t>
          </s:r>
          <s:r>
            <s:t>.</s:t>
          </s:r>
        </s:is>
      </s:c>
      <s:c r="C2242" s="28" t="n"/>
      <s:c r="D2242" s="28" t="n"/>
      <s:c r="E2242" s="28" t="n"/>
    </s:row>
    <s:row r="2243" ht="20" customHeight="1">
      <s:c r="A2243" s="112" t="inlineStr">
        <s:is>
          <s:t>Bước 5</s:t>
        </s:is>
      </s:c>
      <s:c r="B2243" s="113" t="inlineStr">
        <s:is>
          <s:t>Mở lại cả hai.</s:t>
        </s:is>
      </s:c>
      <s:c r="C2243" s="28" t="n"/>
      <s:c r="D2243" s="28" t="n"/>
      <s:c r="E2243" s="28" t="n"/>
    </s:row>
    <s:row r="2244" ht="28" customHeight="1">
      <s:c r="A2244" s="115" t="inlineStr">
        <s:is>
          <s:t>Trường hợp</s:t>
        </s:is>
      </s:c>
      <s:c r="B2244" s="115" t="inlineStr">
        <s:is>
          <s:t>Dữ liệu / thao tác riêng</s:t>
        </s:is>
      </s:c>
      <s:c r="C2244" s="115" t="inlineStr">
        <s:is>
          <s:t>Kết quả mong đợi</s:t>
        </s:is>
      </s:c>
      <s:c r="D2244" s="115" t="inlineStr">
        <s:is>
          <s:t>Kết quả thực tế</s:t>
        </s:is>
      </s:c>
      <s:c r="E2244" s="115" t="inlineStr">
        <s:is>
          <s:t>Đánh giá</s:t>
        </s:is>
      </s:c>
    </s:row>
    <s:row r="2245" ht="3" customHeight="1">
      <s:c r="A2245" s="102" t="inlineStr"/>
      <s:c r="B2245" s="99" t="n"/>
      <s:c r="C2245" s="99" t="n"/>
      <s:c r="D2245" s="116" t="n"/>
      <s:c r="E2245" s="116" t="n"/>
    </s:row>
    <s:row r="2246" ht="118" customHeight="1">
      <s:c r="A2246" s="83" t="inlineStr">
        <s:is>
          <s:t>Điều kiện dưới 60 (below60)</s:t>
        </s:is>
      </s:c>
      <s:c r="B2246" s="83" t="inlineStr">
        <s:is>
          <s:r>
            <s:t xml:space="preserve">Tạo riêng rule Trung bình dưới60; chọn bộ nguồn ở bước2, </s:t>
          </s:r>
          <s:r>
            <s:rPr>
              <s:b val="1"/>
            </s:rPr>
            <s:t>mốc60/dấu Nhỏ hơn（未満）</s:t>
          </s:r>
          <s:r>
            <s:t>, lưu/mở lại.</s:t>
          </s:r>
        </s:is>
      </s:c>
      <s:c r="C2246" s="83" t="inlineStr">
        <s:is>
          <s:r>
            <s:t xml:space="preserve">1. Cả hai quy tắc lưu được, là hai dòng riêng trong danh sách (không phải một form hai nhánh).
2. Mở lại giữ đủ bộ nguồn, mốc, dấu.
3. Không có lựa chọn Kết quả tổng hợp </s:t>
          </s:r>
          <s:r>
            <s:rPr>
              <s:b val="1"/>
            </s:rPr>
            <s:t>dùng để tham chiếu（参照する集計結果）</s:t>
          </s:r>
          <s:r>
            <s:t xml:space="preserve"> (đặc tả v2 mục 3 “Bản đồ màn hình và luồng thao tác”, mục 5.5 “Chọn bản nguồn”).</s:t>
          </s:r>
        </s:is>
      </s:c>
      <s:c r="D2246" s="117" t="inlineStr"/>
      <s:c r="E2246" s="118" t="inlineStr">
        <s:is>
          <s:t>Chưa thực hiện</s:t>
        </s:is>
      </s:c>
    </s:row>
    <s:row r="2247" ht="3" customHeight="1">
      <s:c r="A2247" s="102" t="inlineStr"/>
      <s:c r="B2247" s="99" t="n"/>
      <s:c r="C2247" s="99" t="n"/>
      <s:c r="D2247" s="116" t="n"/>
      <s:c r="E2247" s="116" t="n"/>
    </s:row>
    <s:row r="2248" ht="118" customHeight="1">
      <s:c r="A2248" s="83" t="inlineStr">
        <s:is>
          <s:t>Điều kiện từ 60 (from60)</s:t>
        </s:is>
      </s:c>
      <s:c r="B2248" s="83" t="inlineStr">
        <s:is>
          <s:r>
            <s:t xml:space="preserve">Giữ rule dưới60, tạo rule thứ hai cùng bộ nguồn/mốc60, dấu Từ </s:t>
          </s:r>
          <s:r>
            <s:rPr>
              <s:b val="1"/>
            </s:rPr>
            <s:t>mức này trở lên（以上）</s:t>
          </s:r>
          <s:r>
            <s:t>; lưu/mở lại cả hai.</s:t>
          </s:r>
        </s:is>
      </s:c>
      <s:c r="C2248" s="83" t="inlineStr">
        <s:is>
          <s:r>
            <s:t xml:space="preserve">1. Cả hai quy tắc lưu được, là hai dòng riêng trong danh sách (không phải một form hai nhánh).
2. Mở lại giữ đủ bộ nguồn, mốc, dấu.
3. Không có lựa chọn Kết quả tổng hợp </s:t>
          </s:r>
          <s:r>
            <s:rPr>
              <s:b val="1"/>
            </s:rPr>
            <s:t>dùng để tham chiếu（参照する集計結果）</s:t>
          </s:r>
          <s:r>
            <s:t xml:space="preserve"> (đặc tả v2 mục 3 “Bản đồ màn hình và luồng thao tác”, mục 5.5 “Chọn bản nguồn”).</s:t>
          </s:r>
        </s:is>
      </s:c>
      <s:c r="D2248" s="117" t="inlineStr"/>
      <s:c r="E2248" s="118" t="inlineStr">
        <s:is>
          <s:t>Chưa thực hiện</s:t>
        </s:is>
      </s:c>
    </s:row>
    <s:row r="2249" ht="20" customHeight="1">
      <s:c r="A2249" s="119" t="inlineStr">
        <s:is>
          <s:t>Ảnh minh chứng — Chưa có ảnh</s:t>
        </s:is>
      </s:c>
      <s:c r="B2249" s="19" t="n"/>
      <s:c r="C2249" s="19" t="n"/>
      <s:c r="D2249" s="19" t="n"/>
      <s:c r="E2249" s="19" t="n"/>
    </s:row>
    <s:row r="2250" hidden="1" ht="1" customHeight="1">
      <s:c r="A2250" s="120" t="inlineStr"/>
      <s:c r="B2250" s="121" t="n"/>
      <s:c r="C2250" s="121" t="n"/>
      <s:c r="D2250" s="121" t="n"/>
      <s:c r="E2250" s="122" t="n"/>
    </s:row>
    <s:row r="2251" hidden="1" ht="1" customHeight="1">
      <s:c r="A2251" s="120" t="inlineStr"/>
      <s:c r="B2251" s="121" t="n"/>
      <s:c r="C2251" s="121" t="n"/>
      <s:c r="D2251" s="121" t="n"/>
      <s:c r="E2251" s="122" t="n"/>
    </s:row>
    <s:row r="2252" hidden="1" ht="1" customHeight="1">
      <s:c r="A2252" s="120" t="inlineStr"/>
      <s:c r="B2252" s="121" t="n"/>
      <s:c r="C2252" s="121" t="n"/>
      <s:c r="D2252" s="121" t="n"/>
      <s:c r="E2252" s="122" t="n"/>
    </s:row>
    <s:row r="2253" hidden="1" ht="1" customHeight="1">
      <s:c r="A2253" s="120" t="inlineStr"/>
      <s:c r="B2253" s="121" t="n"/>
      <s:c r="C2253" s="121" t="n"/>
      <s:c r="D2253" s="121" t="n"/>
      <s:c r="E2253" s="122" t="n"/>
    </s:row>
    <s:row r="2254" hidden="1" ht="1" customHeight="1">
      <s:c r="A2254" s="120" t="inlineStr"/>
      <s:c r="B2254" s="121" t="n"/>
      <s:c r="C2254" s="121" t="n"/>
      <s:c r="D2254" s="121" t="n"/>
      <s:c r="E2254" s="122" t="n"/>
    </s:row>
    <s:row r="2255" hidden="1" ht="1" customHeight="1">
      <s:c r="A2255" s="120" t="inlineStr"/>
      <s:c r="B2255" s="121" t="n"/>
      <s:c r="C2255" s="121" t="n"/>
      <s:c r="D2255" s="121" t="n"/>
      <s:c r="E2255" s="122" t="n"/>
    </s:row>
    <s:row r="2256" hidden="1" ht="1" customHeight="1">
      <s:c r="A2256" s="120" t="inlineStr"/>
      <s:c r="B2256" s="121" t="n"/>
      <s:c r="C2256" s="121" t="n"/>
      <s:c r="D2256" s="121" t="n"/>
      <s:c r="E2256" s="122" t="n"/>
    </s:row>
    <s:row r="2257" hidden="1" ht="1" customHeight="1">
      <s:c r="A2257" s="120" t="inlineStr"/>
      <s:c r="B2257" s="121" t="n"/>
      <s:c r="C2257" s="121" t="n"/>
      <s:c r="D2257" s="121" t="n"/>
      <s:c r="E2257" s="122" t="n"/>
    </s:row>
    <s:row r="2258" hidden="1" ht="1" customHeight="1">
      <s:c r="A2258" s="120" t="inlineStr"/>
      <s:c r="B2258" s="121" t="n"/>
      <s:c r="C2258" s="121" t="n"/>
      <s:c r="D2258" s="121" t="n"/>
      <s:c r="E2258" s="122" t="n"/>
    </s:row>
    <s:row r="2259" hidden="1" ht="1" customHeight="1">
      <s:c r="A2259" s="120" t="inlineStr"/>
      <s:c r="B2259" s="121" t="n"/>
      <s:c r="C2259" s="121" t="n"/>
      <s:c r="D2259" s="121" t="n"/>
      <s:c r="E2259" s="122" t="n"/>
    </s:row>
    <s:row r="2260" hidden="1" ht="1" customHeight="1">
      <s:c r="A2260" s="120" t="inlineStr"/>
      <s:c r="B2260" s="121" t="n"/>
      <s:c r="C2260" s="121" t="n"/>
      <s:c r="D2260" s="121" t="n"/>
      <s:c r="E2260" s="122" t="n"/>
    </s:row>
    <s:row r="2261" hidden="1" ht="1" customHeight="1">
      <s:c r="A2261" s="120" t="inlineStr"/>
      <s:c r="B2261" s="121" t="n"/>
      <s:c r="C2261" s="121" t="n"/>
      <s:c r="D2261" s="121" t="n"/>
      <s:c r="E2261" s="122" t="n"/>
    </s:row>
    <s:row r="2262" hidden="1" ht="1" customHeight="1">
      <s:c r="A2262" s="120" t="inlineStr"/>
      <s:c r="B2262" s="121" t="n"/>
      <s:c r="C2262" s="121" t="n"/>
      <s:c r="D2262" s="121" t="n"/>
      <s:c r="E2262" s="122" t="n"/>
    </s:row>
    <s:row r="2263" hidden="1" ht="1" customHeight="1">
      <s:c r="A2263" s="120" t="inlineStr"/>
      <s:c r="B2263" s="121" t="n"/>
      <s:c r="C2263" s="121" t="n"/>
      <s:c r="D2263" s="121" t="n"/>
      <s:c r="E2263" s="122" t="n"/>
    </s:row>
    <s:row r="2264" hidden="1" ht="1" customHeight="1">
      <s:c r="A2264" s="120" t="inlineStr"/>
      <s:c r="B2264" s="121" t="n"/>
      <s:c r="C2264" s="121" t="n"/>
      <s:c r="D2264" s="121" t="n"/>
      <s:c r="E2264" s="122" t="n"/>
    </s:row>
    <s:row r="2265" hidden="1" ht="1" customHeight="1">
      <s:c r="A2265" s="120" t="inlineStr"/>
      <s:c r="B2265" s="121" t="n"/>
      <s:c r="C2265" s="121" t="n"/>
      <s:c r="D2265" s="121" t="n"/>
      <s:c r="E2265" s="122" t="n"/>
    </s:row>
    <s:row r="2266" hidden="1" ht="1" customHeight="1">
      <s:c r="A2266" s="120" t="inlineStr"/>
      <s:c r="B2266" s="121" t="n"/>
      <s:c r="C2266" s="121" t="n"/>
      <s:c r="D2266" s="121" t="n"/>
      <s:c r="E2266" s="122" t="n"/>
    </s:row>
    <s:row r="2267" hidden="1" ht="1" customHeight="1">
      <s:c r="A2267" s="120" t="inlineStr"/>
      <s:c r="B2267" s="121" t="n"/>
      <s:c r="C2267" s="121" t="n"/>
      <s:c r="D2267" s="121" t="n"/>
      <s:c r="E2267" s="122" t="n"/>
    </s:row>
    <s:row r="2268" hidden="1" ht="1" customHeight="1">
      <s:c r="A2268" s="120" t="inlineStr"/>
      <s:c r="B2268" s="121" t="n"/>
      <s:c r="C2268" s="121" t="n"/>
      <s:c r="D2268" s="121" t="n"/>
      <s:c r="E2268" s="122" t="n"/>
    </s:row>
    <s:row r="2269" hidden="1" ht="1" customHeight="1">
      <s:c r="A2269" s="120" t="inlineStr"/>
      <s:c r="B2269" s="121" t="n"/>
      <s:c r="C2269" s="121" t="n"/>
      <s:c r="D2269" s="121" t="n"/>
      <s:c r="E2269" s="122" t="n"/>
    </s:row>
    <s:row r="2270" hidden="1" ht="1" customHeight="1">
      <s:c r="A2270" s="120" t="inlineStr"/>
      <s:c r="B2270" s="121" t="n"/>
      <s:c r="C2270" s="121" t="n"/>
      <s:c r="D2270" s="121" t="n"/>
      <s:c r="E2270" s="122" t="n"/>
    </s:row>
    <s:row r="2271" hidden="1" ht="1" customHeight="1">
      <s:c r="A2271" s="120" t="inlineStr"/>
      <s:c r="B2271" s="121" t="n"/>
      <s:c r="C2271" s="121" t="n"/>
      <s:c r="D2271" s="121" t="n"/>
      <s:c r="E2271" s="122" t="n"/>
    </s:row>
    <s:row r="2272" hidden="1" ht="1" customHeight="1">
      <s:c r="A2272" s="120" t="inlineStr"/>
      <s:c r="B2272" s="121" t="n"/>
      <s:c r="C2272" s="121" t="n"/>
      <s:c r="D2272" s="121" t="n"/>
      <s:c r="E2272" s="122" t="n"/>
    </s:row>
    <s:row r="2273" hidden="1" ht="1" customHeight="1">
      <s:c r="A2273" s="120" t="inlineStr"/>
      <s:c r="B2273" s="121" t="n"/>
      <s:c r="C2273" s="121" t="n"/>
      <s:c r="D2273" s="121" t="n"/>
      <s:c r="E2273" s="122" t="n"/>
    </s:row>
    <s:row r="2274" hidden="1" ht="1" customHeight="1">
      <s:c r="A2274" s="120" t="inlineStr"/>
      <s:c r="B2274" s="121" t="n"/>
      <s:c r="C2274" s="121" t="n"/>
      <s:c r="D2274" s="121" t="n"/>
      <s:c r="E2274" s="122" t="n"/>
    </s:row>
    <s:row r="2275" hidden="1" ht="1" customHeight="1">
      <s:c r="A2275" s="120" t="inlineStr"/>
      <s:c r="B2275" s="121" t="n"/>
      <s:c r="C2275" s="121" t="n"/>
      <s:c r="D2275" s="121" t="n"/>
      <s:c r="E2275" s="122" t="n"/>
    </s:row>
    <s:row r="2276" hidden="1" ht="1" customHeight="1">
      <s:c r="A2276" s="120" t="inlineStr"/>
      <s:c r="B2276" s="121" t="n"/>
      <s:c r="C2276" s="121" t="n"/>
      <s:c r="D2276" s="121" t="n"/>
      <s:c r="E2276" s="122" t="n"/>
    </s:row>
    <s:row r="2277" hidden="1" ht="1" customHeight="1">
      <s:c r="A2277" s="120" t="inlineStr"/>
      <s:c r="B2277" s="121" t="n"/>
      <s:c r="C2277" s="121" t="n"/>
      <s:c r="D2277" s="121" t="n"/>
      <s:c r="E2277" s="122" t="n"/>
    </s:row>
    <s:row r="2278" hidden="1" ht="1" customHeight="1">
      <s:c r="A2278" s="120" t="inlineStr"/>
      <s:c r="B2278" s="121" t="n"/>
      <s:c r="C2278" s="121" t="n"/>
      <s:c r="D2278" s="121" t="n"/>
      <s:c r="E2278" s="122" t="n"/>
    </s:row>
    <s:row r="2279" hidden="1" ht="1" customHeight="1">
      <s:c r="A2279" s="120" t="inlineStr"/>
      <s:c r="B2279" s="121" t="n"/>
      <s:c r="C2279" s="121" t="n"/>
      <s:c r="D2279" s="121" t="n"/>
      <s:c r="E2279" s="122" t="n"/>
    </s:row>
    <s:row r="2280" hidden="1" ht="1" customHeight="1">
      <s:c r="A2280" s="120" t="inlineStr"/>
      <s:c r="B2280" s="121" t="n"/>
      <s:c r="C2280" s="121" t="n"/>
      <s:c r="D2280" s="121" t="n"/>
      <s:c r="E2280" s="122" t="n"/>
    </s:row>
    <s:row r="2281" hidden="1" ht="1" customHeight="1">
      <s:c r="A2281" s="120" t="inlineStr"/>
      <s:c r="B2281" s="121" t="n"/>
      <s:c r="C2281" s="121" t="n"/>
      <s:c r="D2281" s="121" t="n"/>
      <s:c r="E2281" s="122" t="n"/>
    </s:row>
    <s:row r="2282" hidden="1" ht="1" customHeight="1">
      <s:c r="A2282" s="120" t="inlineStr"/>
      <s:c r="B2282" s="121" t="n"/>
      <s:c r="C2282" s="121" t="n"/>
      <s:c r="D2282" s="121" t="n"/>
      <s:c r="E2282" s="122" t="n"/>
    </s:row>
    <s:row r="2283" hidden="1" ht="1" customHeight="1">
      <s:c r="A2283" s="120" t="inlineStr"/>
      <s:c r="B2283" s="121" t="n"/>
      <s:c r="C2283" s="121" t="n"/>
      <s:c r="D2283" s="121" t="n"/>
      <s:c r="E2283" s="122" t="n"/>
    </s:row>
    <s:row r="2284" hidden="1" ht="1" customHeight="1">
      <s:c r="A2284" s="120" t="inlineStr"/>
      <s:c r="B2284" s="121" t="n"/>
      <s:c r="C2284" s="121" t="n"/>
      <s:c r="D2284" s="121" t="n"/>
      <s:c r="E2284" s="122" t="n"/>
    </s:row>
    <s:row r="2285" hidden="1" ht="1" customHeight="1">
      <s:c r="A2285" s="120" t="inlineStr"/>
      <s:c r="B2285" s="121" t="n"/>
      <s:c r="C2285" s="121" t="n"/>
      <s:c r="D2285" s="121" t="n"/>
      <s:c r="E2285" s="122" t="n"/>
    </s:row>
    <s:row r="2286" hidden="1" ht="1" customHeight="1">
      <s:c r="A2286" s="120" t="inlineStr"/>
      <s:c r="B2286" s="121" t="n"/>
      <s:c r="C2286" s="121" t="n"/>
      <s:c r="D2286" s="121" t="n"/>
      <s:c r="E2286" s="122" t="n"/>
    </s:row>
    <s:row r="2287" hidden="1" ht="1" customHeight="1">
      <s:c r="A2287" s="120" t="inlineStr"/>
      <s:c r="B2287" s="121" t="n"/>
      <s:c r="C2287" s="121" t="n"/>
      <s:c r="D2287" s="121" t="n"/>
      <s:c r="E2287" s="122" t="n"/>
    </s:row>
    <s:row r="2288" hidden="1" ht="1" customHeight="1">
      <s:c r="A2288" s="120" t="inlineStr"/>
      <s:c r="B2288" s="121" t="n"/>
      <s:c r="C2288" s="121" t="n"/>
      <s:c r="D2288" s="121" t="n"/>
      <s:c r="E2288" s="122" t="n"/>
    </s:row>
    <s:row r="2289" hidden="1" ht="1" customHeight="1">
      <s:c r="A2289" s="120" t="inlineStr"/>
      <s:c r="B2289" s="121" t="n"/>
      <s:c r="C2289" s="121" t="n"/>
      <s:c r="D2289" s="121" t="n"/>
      <s:c r="E2289" s="122" t="n"/>
    </s:row>
    <s:row r="2290" hidden="1" ht="1" customHeight="1">
      <s:c r="A2290" s="120" t="inlineStr"/>
      <s:c r="B2290" s="121" t="n"/>
      <s:c r="C2290" s="121" t="n"/>
      <s:c r="D2290" s="121" t="n"/>
      <s:c r="E2290" s="122" t="n"/>
    </s:row>
    <s:row r="2291" hidden="1" ht="1" customHeight="1">
      <s:c r="A2291" s="120" t="inlineStr"/>
      <s:c r="B2291" s="121" t="n"/>
      <s:c r="C2291" s="121" t="n"/>
      <s:c r="D2291" s="121" t="n"/>
      <s:c r="E2291" s="122" t="n"/>
    </s:row>
    <s:row r="2292" hidden="1" ht="1" customHeight="1">
      <s:c r="A2292" s="120" t="inlineStr"/>
      <s:c r="B2292" s="121" t="n"/>
      <s:c r="C2292" s="121" t="n"/>
      <s:c r="D2292" s="121" t="n"/>
      <s:c r="E2292" s="122" t="n"/>
    </s:row>
    <s:row r="2293" hidden="1" ht="1" customHeight="1">
      <s:c r="A2293" s="120" t="inlineStr"/>
      <s:c r="B2293" s="121" t="n"/>
      <s:c r="C2293" s="121" t="n"/>
      <s:c r="D2293" s="121" t="n"/>
      <s:c r="E2293" s="122" t="n"/>
    </s:row>
    <s:row r="2294" hidden="1" ht="1" customHeight="1">
      <s:c r="A2294" s="120" t="inlineStr"/>
      <s:c r="B2294" s="121" t="n"/>
      <s:c r="C2294" s="121" t="n"/>
      <s:c r="D2294" s="121" t="n"/>
      <s:c r="E2294" s="122" t="n"/>
    </s:row>
    <s:row r="2295" hidden="1" ht="1" customHeight="1">
      <s:c r="A2295" s="120" t="inlineStr"/>
      <s:c r="B2295" s="121" t="n"/>
      <s:c r="C2295" s="121" t="n"/>
      <s:c r="D2295" s="121" t="n"/>
      <s:c r="E2295" s="122" t="n"/>
    </s:row>
    <s:row r="2296" hidden="1" ht="1" customHeight="1">
      <s:c r="A2296" s="120" t="inlineStr"/>
      <s:c r="B2296" s="121" t="n"/>
      <s:c r="C2296" s="121" t="n"/>
      <s:c r="D2296" s="121" t="n"/>
      <s:c r="E2296" s="122" t="n"/>
    </s:row>
    <s:row r="2297" hidden="1" ht="1" customHeight="1">
      <s:c r="A2297" s="120" t="inlineStr"/>
      <s:c r="B2297" s="121" t="n"/>
      <s:c r="C2297" s="121" t="n"/>
      <s:c r="D2297" s="121" t="n"/>
      <s:c r="E2297" s="122" t="n"/>
    </s:row>
    <s:row r="2298" hidden="1" ht="1" customHeight="1">
      <s:c r="A2298" s="120" t="inlineStr"/>
      <s:c r="B2298" s="121" t="n"/>
      <s:c r="C2298" s="121" t="n"/>
      <s:c r="D2298" s="121" t="n"/>
      <s:c r="E2298" s="122" t="n"/>
    </s:row>
    <s:row r="2299" hidden="1" ht="1" customHeight="1">
      <s:c r="A2299" s="120" t="inlineStr"/>
      <s:c r="B2299" s="121" t="n"/>
      <s:c r="C2299" s="121" t="n"/>
      <s:c r="D2299" s="121" t="n"/>
      <s:c r="E2299" s="122" t="n"/>
    </s:row>
    <s:row r="2300" hidden="1" ht="1" customHeight="1">
      <s:c r="A2300" s="120" t="inlineStr"/>
      <s:c r="B2300" s="121" t="n"/>
      <s:c r="C2300" s="121" t="n"/>
      <s:c r="D2300" s="121" t="n"/>
      <s:c r="E2300" s="122" t="n"/>
    </s:row>
    <s:row r="2301" hidden="1" ht="1" customHeight="1">
      <s:c r="A2301" s="120" t="inlineStr"/>
      <s:c r="B2301" s="121" t="n"/>
      <s:c r="C2301" s="121" t="n"/>
      <s:c r="D2301" s="121" t="n"/>
      <s:c r="E2301" s="122" t="n"/>
    </s:row>
    <s:row r="2302" hidden="1" ht="1" customHeight="1">
      <s:c r="A2302" s="120" t="inlineStr"/>
      <s:c r="B2302" s="121" t="n"/>
      <s:c r="C2302" s="121" t="n"/>
      <s:c r="D2302" s="121" t="n"/>
      <s:c r="E2302" s="122" t="n"/>
    </s:row>
    <s:row r="2303" hidden="1" ht="1" customHeight="1">
      <s:c r="A2303" s="120" t="inlineStr"/>
      <s:c r="B2303" s="121" t="n"/>
      <s:c r="C2303" s="121" t="n"/>
      <s:c r="D2303" s="121" t="n"/>
      <s:c r="E2303" s="122" t="n"/>
    </s:row>
    <s:row r="2304" hidden="1" ht="1" customHeight="1">
      <s:c r="A2304" s="120" t="inlineStr"/>
      <s:c r="B2304" s="121" t="n"/>
      <s:c r="C2304" s="121" t="n"/>
      <s:c r="D2304" s="121" t="n"/>
      <s:c r="E2304" s="122" t="n"/>
    </s:row>
    <s:row r="2305" hidden="1" ht="1" customHeight="1">
      <s:c r="A2305" s="120" t="inlineStr"/>
      <s:c r="B2305" s="121" t="n"/>
      <s:c r="C2305" s="121" t="n"/>
      <s:c r="D2305" s="121" t="n"/>
      <s:c r="E2305" s="122" t="n"/>
    </s:row>
    <s:row r="2306" hidden="1" ht="1" customHeight="1">
      <s:c r="A2306" s="120" t="inlineStr"/>
      <s:c r="B2306" s="121" t="n"/>
      <s:c r="C2306" s="121" t="n"/>
      <s:c r="D2306" s="121" t="n"/>
      <s:c r="E2306" s="122" t="n"/>
    </s:row>
    <s:row r="2307" hidden="1" ht="1" customHeight="1">
      <s:c r="A2307" s="120" t="inlineStr"/>
      <s:c r="B2307" s="121" t="n"/>
      <s:c r="C2307" s="121" t="n"/>
      <s:c r="D2307" s="121" t="n"/>
      <s:c r="E2307" s="122" t="n"/>
    </s:row>
    <s:row r="2308" hidden="1" ht="1" customHeight="1">
      <s:c r="A2308" s="120" t="inlineStr"/>
      <s:c r="B2308" s="121" t="n"/>
      <s:c r="C2308" s="121" t="n"/>
      <s:c r="D2308" s="121" t="n"/>
      <s:c r="E2308" s="122" t="n"/>
    </s:row>
    <s:row r="2309" hidden="1" ht="1" customHeight="1">
      <s:c r="A2309" s="120" t="inlineStr"/>
      <s:c r="B2309" s="121" t="n"/>
      <s:c r="C2309" s="121" t="n"/>
      <s:c r="D2309" s="121" t="n"/>
      <s:c r="E2309" s="122" t="n"/>
    </s:row>
    <s:row r="2310" hidden="1" ht="1" customHeight="1">
      <s:c r="A2310" s="120" t="inlineStr"/>
      <s:c r="B2310" s="121" t="n"/>
      <s:c r="C2310" s="121" t="n"/>
      <s:c r="D2310" s="121" t="n"/>
      <s:c r="E2310" s="122" t="n"/>
    </s:row>
    <s:row r="2311" hidden="1" ht="1" customHeight="1">
      <s:c r="A2311" s="120" t="inlineStr"/>
      <s:c r="B2311" s="121" t="n"/>
      <s:c r="C2311" s="121" t="n"/>
      <s:c r="D2311" s="121" t="n"/>
      <s:c r="E2311" s="122" t="n"/>
    </s:row>
    <s:row r="2312" hidden="1" ht="1" customHeight="1">
      <s:c r="A2312" s="120" t="inlineStr"/>
      <s:c r="B2312" s="121" t="n"/>
      <s:c r="C2312" s="121" t="n"/>
      <s:c r="D2312" s="121" t="n"/>
      <s:c r="E2312" s="122" t="n"/>
    </s:row>
    <s:row r="2313" hidden="1" ht="1" customHeight="1">
      <s:c r="A2313" s="120" t="inlineStr"/>
      <s:c r="B2313" s="121" t="n"/>
      <s:c r="C2313" s="121" t="n"/>
      <s:c r="D2313" s="121" t="n"/>
      <s:c r="E2313" s="122" t="n"/>
    </s:row>
    <s:row r="2314" hidden="1" ht="1" customHeight="1">
      <s:c r="A2314" s="120" t="inlineStr"/>
      <s:c r="B2314" s="121" t="n"/>
      <s:c r="C2314" s="121" t="n"/>
      <s:c r="D2314" s="121" t="n"/>
      <s:c r="E2314" s="122" t="n"/>
    </s:row>
    <s:row r="2315" hidden="1" ht="1" customHeight="1">
      <s:c r="A2315" s="120" t="inlineStr"/>
      <s:c r="B2315" s="121" t="n"/>
      <s:c r="C2315" s="121" t="n"/>
      <s:c r="D2315" s="121" t="n"/>
      <s:c r="E2315" s="122" t="n"/>
    </s:row>
    <s:row r="2316" hidden="1" ht="1" customHeight="1">
      <s:c r="A2316" s="120" t="inlineStr"/>
      <s:c r="B2316" s="121" t="n"/>
      <s:c r="C2316" s="121" t="n"/>
      <s:c r="D2316" s="121" t="n"/>
      <s:c r="E2316" s="122" t="n"/>
    </s:row>
    <s:row r="2317" hidden="1" ht="1" customHeight="1">
      <s:c r="A2317" s="120" t="inlineStr"/>
      <s:c r="B2317" s="121" t="n"/>
      <s:c r="C2317" s="121" t="n"/>
      <s:c r="D2317" s="121" t="n"/>
      <s:c r="E2317" s="122" t="n"/>
    </s:row>
    <s:row r="2318" hidden="1" ht="1" customHeight="1">
      <s:c r="A2318" s="120" t="inlineStr"/>
      <s:c r="B2318" s="121" t="n"/>
      <s:c r="C2318" s="121" t="n"/>
      <s:c r="D2318" s="121" t="n"/>
      <s:c r="E2318" s="122" t="n"/>
    </s:row>
    <s:row r="2319" hidden="1" ht="1" customHeight="1">
      <s:c r="A2319" s="120" t="inlineStr"/>
      <s:c r="B2319" s="121" t="n"/>
      <s:c r="C2319" s="121" t="n"/>
      <s:c r="D2319" s="121" t="n"/>
      <s:c r="E2319" s="122" t="n"/>
    </s:row>
    <s:row r="2320" hidden="1" ht="1" customHeight="1">
      <s:c r="A2320" s="120" t="inlineStr"/>
      <s:c r="B2320" s="121" t="n"/>
      <s:c r="C2320" s="121" t="n"/>
      <s:c r="D2320" s="121" t="n"/>
      <s:c r="E2320" s="122" t="n"/>
    </s:row>
    <s:row r="2321" hidden="1" ht="1" customHeight="1">
      <s:c r="A2321" s="120" t="inlineStr"/>
      <s:c r="B2321" s="121" t="n"/>
      <s:c r="C2321" s="121" t="n"/>
      <s:c r="D2321" s="121" t="n"/>
      <s:c r="E2321" s="122" t="n"/>
    </s:row>
    <s:row r="2322" hidden="1" ht="1" customHeight="1">
      <s:c r="A2322" s="120" t="inlineStr"/>
      <s:c r="B2322" s="121" t="n"/>
      <s:c r="C2322" s="121" t="n"/>
      <s:c r="D2322" s="121" t="n"/>
      <s:c r="E2322" s="122" t="n"/>
    </s:row>
    <s:row r="2323" hidden="1" ht="1" customHeight="1">
      <s:c r="A2323" s="120" t="inlineStr"/>
      <s:c r="B2323" s="121" t="n"/>
      <s:c r="C2323" s="121" t="n"/>
      <s:c r="D2323" s="121" t="n"/>
      <s:c r="E2323" s="122" t="n"/>
    </s:row>
    <s:row r="2324" hidden="1" ht="1" customHeight="1">
      <s:c r="A2324" s="120" t="inlineStr"/>
      <s:c r="B2324" s="121" t="n"/>
      <s:c r="C2324" s="121" t="n"/>
      <s:c r="D2324" s="121" t="n"/>
      <s:c r="E2324" s="122" t="n"/>
    </s:row>
    <s:row r="2325" hidden="1" ht="1" customHeight="1">
      <s:c r="A2325" s="120" t="inlineStr"/>
      <s:c r="B2325" s="121" t="n"/>
      <s:c r="C2325" s="121" t="n"/>
      <s:c r="D2325" s="121" t="n"/>
      <s:c r="E2325" s="122" t="n"/>
    </s:row>
    <s:row r="2326" hidden="1" ht="1" customHeight="1">
      <s:c r="A2326" s="120" t="inlineStr"/>
      <s:c r="B2326" s="121" t="n"/>
      <s:c r="C2326" s="121" t="n"/>
      <s:c r="D2326" s="121" t="n"/>
      <s:c r="E2326" s="122" t="n"/>
    </s:row>
    <s:row r="2327" hidden="1" ht="1" customHeight="1">
      <s:c r="A2327" s="120" t="inlineStr"/>
      <s:c r="B2327" s="121" t="n"/>
      <s:c r="C2327" s="121" t="n"/>
      <s:c r="D2327" s="121" t="n"/>
      <s:c r="E2327" s="122" t="n"/>
    </s:row>
    <s:row r="2328" hidden="1" ht="1" customHeight="1">
      <s:c r="A2328" s="120" t="inlineStr"/>
      <s:c r="B2328" s="121" t="n"/>
      <s:c r="C2328" s="121" t="n"/>
      <s:c r="D2328" s="121" t="n"/>
      <s:c r="E2328" s="122" t="n"/>
    </s:row>
    <s:row r="2329" hidden="1" ht="1" customHeight="1">
      <s:c r="A2329" s="120" t="inlineStr"/>
      <s:c r="B2329" s="121" t="n"/>
      <s:c r="C2329" s="121" t="n"/>
      <s:c r="D2329" s="121" t="n"/>
      <s:c r="E2329" s="122" t="n"/>
    </s:row>
    <s:row r="2330" hidden="1" ht="1" customHeight="1">
      <s:c r="A2330" s="120" t="inlineStr"/>
      <s:c r="B2330" s="121" t="n"/>
      <s:c r="C2330" s="121" t="n"/>
      <s:c r="D2330" s="121" t="n"/>
      <s:c r="E2330" s="122" t="n"/>
    </s:row>
    <s:row r="2331" hidden="1" ht="1" customHeight="1">
      <s:c r="A2331" s="120" t="inlineStr"/>
      <s:c r="B2331" s="121" t="n"/>
      <s:c r="C2331" s="121" t="n"/>
      <s:c r="D2331" s="121" t="n"/>
      <s:c r="E2331" s="122" t="n"/>
    </s:row>
    <s:row r="2332" hidden="1" ht="1" customHeight="1">
      <s:c r="A2332" s="120" t="inlineStr"/>
      <s:c r="B2332" s="121" t="n"/>
      <s:c r="C2332" s="121" t="n"/>
      <s:c r="D2332" s="121" t="n"/>
      <s:c r="E2332" s="122" t="n"/>
    </s:row>
    <s:row r="2333" hidden="1" ht="1" customHeight="1">
      <s:c r="A2333" s="120" t="inlineStr"/>
      <s:c r="B2333" s="121" t="n"/>
      <s:c r="C2333" s="121" t="n"/>
      <s:c r="D2333" s="121" t="n"/>
      <s:c r="E2333" s="122" t="n"/>
    </s:row>
    <s:row r="2334" hidden="1" ht="1" customHeight="1">
      <s:c r="A2334" s="120" t="inlineStr"/>
      <s:c r="B2334" s="121" t="n"/>
      <s:c r="C2334" s="121" t="n"/>
      <s:c r="D2334" s="121" t="n"/>
      <s:c r="E2334" s="122" t="n"/>
    </s:row>
    <s:row r="2335" hidden="1" ht="1" customHeight="1">
      <s:c r="A2335" s="120" t="inlineStr"/>
      <s:c r="B2335" s="121" t="n"/>
      <s:c r="C2335" s="121" t="n"/>
      <s:c r="D2335" s="121" t="n"/>
      <s:c r="E2335" s="122" t="n"/>
    </s:row>
    <s:row r="2336" hidden="1" ht="1" customHeight="1">
      <s:c r="A2336" s="120" t="inlineStr"/>
      <s:c r="B2336" s="121" t="n"/>
      <s:c r="C2336" s="121" t="n"/>
      <s:c r="D2336" s="121" t="n"/>
      <s:c r="E2336" s="122" t="n"/>
    </s:row>
    <s:row r="2337" hidden="1" ht="1" customHeight="1">
      <s:c r="A2337" s="120" t="inlineStr"/>
      <s:c r="B2337" s="121" t="n"/>
      <s:c r="C2337" s="121" t="n"/>
      <s:c r="D2337" s="121" t="n"/>
      <s:c r="E2337" s="122" t="n"/>
    </s:row>
    <s:row r="2338" hidden="1" ht="1" customHeight="1">
      <s:c r="A2338" s="120" t="inlineStr"/>
      <s:c r="B2338" s="121" t="n"/>
      <s:c r="C2338" s="121" t="n"/>
      <s:c r="D2338" s="121" t="n"/>
      <s:c r="E2338" s="122" t="n"/>
    </s:row>
    <s:row r="2339" hidden="1" ht="1" customHeight="1">
      <s:c r="A2339" s="120" t="inlineStr"/>
      <s:c r="B2339" s="121" t="n"/>
      <s:c r="C2339" s="121" t="n"/>
      <s:c r="D2339" s="121" t="n"/>
      <s:c r="E2339" s="122" t="n"/>
    </s:row>
    <s:row r="2340" hidden="1" ht="1" customHeight="1">
      <s:c r="A2340" s="120" t="inlineStr"/>
      <s:c r="B2340" s="121" t="n"/>
      <s:c r="C2340" s="121" t="n"/>
      <s:c r="D2340" s="121" t="n"/>
      <s:c r="E2340" s="122" t="n"/>
    </s:row>
    <s:row r="2341" hidden="1" ht="1" customHeight="1">
      <s:c r="A2341" s="120" t="inlineStr"/>
      <s:c r="B2341" s="121" t="n"/>
      <s:c r="C2341" s="121" t="n"/>
      <s:c r="D2341" s="121" t="n"/>
      <s:c r="E2341" s="122" t="n"/>
    </s:row>
    <s:row r="2342" hidden="1" ht="1" customHeight="1">
      <s:c r="A2342" s="120" t="inlineStr"/>
      <s:c r="B2342" s="121" t="n"/>
      <s:c r="C2342" s="121" t="n"/>
      <s:c r="D2342" s="121" t="n"/>
      <s:c r="E2342" s="122" t="n"/>
    </s:row>
    <s:row r="2343" hidden="1" ht="1" customHeight="1">
      <s:c r="A2343" s="120" t="inlineStr"/>
      <s:c r="B2343" s="121" t="n"/>
      <s:c r="C2343" s="121" t="n"/>
      <s:c r="D2343" s="121" t="n"/>
      <s:c r="E2343" s="122" t="n"/>
    </s:row>
    <s:row r="2344" hidden="1" ht="1" customHeight="1">
      <s:c r="A2344" s="120" t="inlineStr"/>
      <s:c r="B2344" s="121" t="n"/>
      <s:c r="C2344" s="121" t="n"/>
      <s:c r="D2344" s="121" t="n"/>
      <s:c r="E2344" s="122" t="n"/>
    </s:row>
    <s:row r="2345" hidden="1" ht="1" customHeight="1">
      <s:c r="A2345" s="120" t="inlineStr"/>
      <s:c r="B2345" s="121" t="n"/>
      <s:c r="C2345" s="121" t="n"/>
      <s:c r="D2345" s="121" t="n"/>
      <s:c r="E2345" s="122" t="n"/>
    </s:row>
    <s:row r="2346" hidden="1" ht="1" customHeight="1">
      <s:c r="A2346" s="83" t="inlineStr">
        <s:is>
          <s:t>PASS</s:t>
        </s:is>
      </s:c>
      <s:c r="B2346" s="83">
        <s:f>SUM(IF(EXACT('Kiểm thử'!E2246,"Đạt"),1,0),IF(EXACT('Kiểm thử'!E2248,"Đạt"),1,0))</s:f>
        <s:v/>
      </s:c>
      <s:c r="C2346" s="19" t="n"/>
      <s:c r="D2346" s="19" t="n"/>
      <s:c r="E2346" s="19" t="n"/>
    </s:row>
    <s:row r="2347" hidden="1" ht="1" customHeight="1">
      <s:c r="A2347" s="83" t="inlineStr">
        <s:is>
          <s:t>FAIL</s:t>
        </s:is>
      </s:c>
      <s:c r="B2347" s="83">
        <s:f>SUM(IF(EXACT('Kiểm thử'!E2246,"Không đạt"),1,0),IF(EXACT('Kiểm thử'!E2248,"Không đạt"),1,0))</s:f>
        <s:v/>
      </s:c>
      <s:c r="C2347" s="19" t="n"/>
      <s:c r="D2347" s="19" t="n"/>
      <s:c r="E2347" s="19" t="n"/>
    </s:row>
    <s:row r="2348" hidden="1" ht="1" customHeight="1">
      <s:c r="A2348" s="83" t="inlineStr">
        <s:is>
          <s:t>BLOCKED</s:t>
        </s:is>
      </s:c>
      <s:c r="B2348" s="83">
        <s:f>SUM(IF(EXACT('Kiểm thử'!E2246,"Bị chặn"),1,0),IF(EXACT('Kiểm thử'!E2248,"Bị chặn"),1,0))</s:f>
        <s:v/>
      </s:c>
      <s:c r="C2348" s="19" t="n"/>
      <s:c r="D2348" s="19" t="n"/>
      <s:c r="E2348" s="19" t="n"/>
    </s:row>
    <s:row r="2349" hidden="1" ht="1" customHeight="1">
      <s:c r="A2349" s="83" t="inlineStr">
        <s:is>
          <s:t>SKIPPED</s:t>
        </s:is>
      </s:c>
      <s:c r="B2349" s="83">
        <s:f>SUM(IF(EXACT('Kiểm thử'!E2246,"Không thực hiện"),1,0),IF(EXACT('Kiểm thử'!E2248,"Không thực hiện"),1,0))</s:f>
        <s:v/>
      </s:c>
      <s:c r="C2349" s="19" t="n"/>
      <s:c r="D2349" s="19" t="n"/>
      <s:c r="E2349" s="19" t="n"/>
    </s:row>
    <s:row r="2350" hidden="1" ht="1" customHeight="1">
      <s:c r="A2350" s="83" t="inlineStr">
        <s:is>
          <s:t>NOT RUN</s:t>
        </s:is>
      </s:c>
      <s:c r="B2350" s="83">
        <s:f>SUM(IF(EXACT('Kiểm thử'!E2246,"Chưa thực hiện"),1,0),IF(EXACT('Kiểm thử'!E2248,"Chưa thực hiện"),1,0))</s:f>
        <s:v/>
      </s:c>
      <s:c r="C2350" s="19" t="n"/>
      <s:c r="D2350" s="19" t="n"/>
      <s:c r="E2350" s="19" t="n"/>
    </s:row>
    <s:row r="2351" hidden="1" ht="6" customHeight="1">
      <s:c r="A2351" s="83" t="inlineStr"/>
      <s:c r="B2351" s="19" t="n"/>
      <s:c r="C2351" s="19" t="n"/>
      <s:c r="D2351" s="19" t="n"/>
      <s:c r="E2351" s="19" t="n"/>
    </s:row>
    <s:row r="2352" ht="28" customHeight="1">
      <s:c r="A2352" s="108" t="inlineStr">
        <s:is>
          <s:t>TC-RS-FUNC-010 — Điều kiện Tỷ lệ điểm của nhóm（集団の得点率） được lưu cùng bộ nguồn</s:t>
        </s:is>
      </s:c>
      <s:c r="B2352" s="111" t="n"/>
      <s:c r="C2352" s="111" t="n"/>
      <s:c r="D2352" s="111" t="n"/>
      <s:c r="E2352" s="111" t="n"/>
    </s:row>
    <s:row r="2353" ht="20" customHeight="1">
      <s:c r="A2353" s="112" t="inlineStr">
        <s:is>
          <s:t>Kết quả tình huống</s:t>
        </s:is>
      </s:c>
      <s:c r="B2353" s="113">
        <s:f>IF(SUM(IF(EXACT('Kiểm thử'!E2361,"Không đạt"),1,0))&gt;0,"Không đạt",IF(SUM(IF(EXACT('Kiểm thử'!E2361,"Đạt"),1,0))=1,"Đạt",IF(SUM(IF(EXACT('Kiểm thử'!E2361,"Không thực hiện"),1,0))=1,"Không thực hiện",IF(SUM(IF(EXACT('Kiểm thử'!E2361,"Bị chặn"),1,0))&gt;0,"Bị chặn",IF(SUM(IF(EXACT('Kiểm thử'!E2361,"Chưa thực hiện"),1,0))=1,"Chưa thực hiện","Đang thực hiện")))))</s:f>
        <s:v/>
      </s:c>
      <s:c r="C2353" s="114" t="n"/>
      <s:c r="D2353" s="114" t="n"/>
      <s:c r="E2353" s="114" t="n"/>
    </s:row>
    <s:row r="2354" ht="20" customHeight="1">
      <s:c r="A2354" s="112" t="inlineStr">
        <s:is>
          <s:t>Màn hình / chức năng</s:t>
        </s:is>
      </s:c>
      <s:c r="B2354" s="113" t="inlineStr">
        <s:is>
          <s:r>
            <s:rPr>
              <s:b val="1"/>
            </s:rPr>
            <s:t>Điều kiện áp dụng（適用条件）</s:t>
          </s:r>
        </s:is>
      </s:c>
      <s:c r="C2354" s="28" t="n"/>
      <s:c r="D2354" s="28" t="n"/>
      <s:c r="E2354" s="28" t="n"/>
    </s:row>
    <s:row r="2355" ht="20" customHeight="1">
      <s:c r="A2355" s="112" t="inlineStr">
        <s:is>
          <s:t>Cấu hình</s:t>
        </s:is>
      </s:c>
      <s:c r="B2355" s="113" t="inlineStr">
        <s:is>
          <s:t>• Đăng nhập tài khoản giáo viên có quyền sửa mục.</s:t>
        </s:is>
      </s:c>
      <s:c r="C2355" s="28" t="n"/>
      <s:c r="D2355" s="28" t="n"/>
      <s:c r="E2355" s="28" t="n"/>
    </s:row>
    <s:row r="2356" ht="20" customHeight="1">
      <s:c r="A2356" s="112" t="inlineStr">
        <s:is>
          <s:t>Dữ liệu test</s:t>
        </s:is>
      </s:c>
      <s:c r="B2356" s="113" t="inlineStr">
        <s:is>
          <s:t>• Quy tắc theo tỷ lệ điểm của nhóm từ 65%</s:t>
        </s:is>
      </s:c>
      <s:c r="C2356" s="28" t="n"/>
      <s:c r="D2356" s="28" t="n"/>
      <s:c r="E2356" s="28" t="n"/>
    </s:row>
    <s:row r="2357" ht="34" customHeight="1">
      <s:c r="A2357" s="112" t="inlineStr">
        <s:is>
          <s:t>Bước 1</s:t>
        </s:is>
      </s:c>
      <s:c r="B2357" s="113" t="inlineStr">
        <s:is>
          <s:r>
            <s:t xml:space="preserve">Tạo quy tắc với điều kiện Tỷ </s:t>
          </s:r>
          <s:r>
            <s:rPr>
              <s:b val="1"/>
            </s:rPr>
            <s:t>lệ điểm của nhóm（集団の得点率）</s:t>
          </s:r>
          <s:r>
            <s:t xml:space="preserve">, nguồn mặc định, mốc 65, dấu Từ </s:t>
          </s:r>
          <s:r>
            <s:rPr>
              <s:b val="1"/>
            </s:rPr>
            <s:t>mức này trở lên（以上）</s:t>
          </s:r>
          <s:r>
            <s:t>.</s:t>
          </s:r>
        </s:is>
      </s:c>
      <s:c r="C2357" s="28" t="n"/>
      <s:c r="D2357" s="28" t="n"/>
      <s:c r="E2357" s="28" t="n"/>
    </s:row>
    <s:row r="2358" ht="20" customHeight="1">
      <s:c r="A2358" s="112" t="inlineStr">
        <s:is>
          <s:t>Bước 2</s:t>
        </s:is>
      </s:c>
      <s:c r="B2358" s="113" t="inlineStr">
        <s:is>
          <s:t>Lưu, mở lại.</s:t>
        </s:is>
      </s:c>
      <s:c r="C2358" s="28" t="n"/>
      <s:c r="D2358" s="28" t="n"/>
      <s:c r="E2358" s="28" t="n"/>
    </s:row>
    <s:row r="2359" ht="28" customHeight="1">
      <s:c r="A2359" s="115" t="inlineStr">
        <s:is>
          <s:t>Trường hợp</s:t>
        </s:is>
      </s:c>
      <s:c r="B2359" s="115" t="inlineStr">
        <s:is>
          <s:t>Dữ liệu / thao tác riêng</s:t>
        </s:is>
      </s:c>
      <s:c r="C2359" s="115" t="inlineStr">
        <s:is>
          <s:t>Kết quả mong đợi</s:t>
        </s:is>
      </s:c>
      <s:c r="D2359" s="115" t="inlineStr">
        <s:is>
          <s:t>Kết quả thực tế</s:t>
        </s:is>
      </s:c>
      <s:c r="E2359" s="115" t="inlineStr">
        <s:is>
          <s:t>Đánh giá</s:t>
        </s:is>
      </s:c>
    </s:row>
    <s:row r="2360" ht="3" customHeight="1">
      <s:c r="A2360" s="102" t="inlineStr"/>
      <s:c r="B2360" s="99" t="n"/>
      <s:c r="C2360" s="99" t="n"/>
      <s:c r="D2360" s="116" t="n"/>
      <s:c r="E2360" s="116" t="n"/>
    </s:row>
    <s:row r="2361" ht="62" customHeight="1">
      <s:c r="A2361" s="83" t="inlineStr">
        <s:is>
          <s:t>Trường hợp cơ bản (Base)</s:t>
        </s:is>
      </s:c>
      <s:c r="B2361" s="83" t="inlineStr">
        <s:is>
          <s:t>Toàn bộ tình huống: Thực hiện đủ các bước chung theo thứ tự; kiểm cả đối tượng đích và đối chứng cùng fixture, không bỏ bước.</s:t>
        </s:is>
      </s:c>
      <s:c r="C2361" s="83" t="inlineStr">
        <s:is>
          <s:t>Lưu và mở lại đúng loại điều kiện, nguồn, mốc 65 và dấu. Không có tùy chọn chọn cách tính A/B.</s:t>
        </s:is>
      </s:c>
      <s:c r="D2361" s="117" t="inlineStr"/>
      <s:c r="E2361" s="118" t="inlineStr">
        <s:is>
          <s:t>Chưa thực hiện</s:t>
        </s:is>
      </s:c>
    </s:row>
    <s:row r="2362" ht="20" customHeight="1">
      <s:c r="A2362" s="119" t="inlineStr">
        <s:is>
          <s:t>Ảnh minh chứng — Chưa có ảnh</s:t>
        </s:is>
      </s:c>
      <s:c r="B2362" s="19" t="n"/>
      <s:c r="C2362" s="19" t="n"/>
      <s:c r="D2362" s="19" t="n"/>
      <s:c r="E2362" s="19" t="n"/>
    </s:row>
    <s:row r="2363" hidden="1" ht="1" customHeight="1">
      <s:c r="A2363" s="120" t="inlineStr"/>
      <s:c r="B2363" s="121" t="n"/>
      <s:c r="C2363" s="121" t="n"/>
      <s:c r="D2363" s="121" t="n"/>
      <s:c r="E2363" s="122" t="n"/>
    </s:row>
    <s:row r="2364" hidden="1" ht="1" customHeight="1">
      <s:c r="A2364" s="120" t="inlineStr"/>
      <s:c r="B2364" s="121" t="n"/>
      <s:c r="C2364" s="121" t="n"/>
      <s:c r="D2364" s="121" t="n"/>
      <s:c r="E2364" s="122" t="n"/>
    </s:row>
    <s:row r="2365" hidden="1" ht="1" customHeight="1">
      <s:c r="A2365" s="120" t="inlineStr"/>
      <s:c r="B2365" s="121" t="n"/>
      <s:c r="C2365" s="121" t="n"/>
      <s:c r="D2365" s="121" t="n"/>
      <s:c r="E2365" s="122" t="n"/>
    </s:row>
    <s:row r="2366" hidden="1" ht="1" customHeight="1">
      <s:c r="A2366" s="120" t="inlineStr"/>
      <s:c r="B2366" s="121" t="n"/>
      <s:c r="C2366" s="121" t="n"/>
      <s:c r="D2366" s="121" t="n"/>
      <s:c r="E2366" s="122" t="n"/>
    </s:row>
    <s:row r="2367" hidden="1" ht="1" customHeight="1">
      <s:c r="A2367" s="120" t="inlineStr"/>
      <s:c r="B2367" s="121" t="n"/>
      <s:c r="C2367" s="121" t="n"/>
      <s:c r="D2367" s="121" t="n"/>
      <s:c r="E2367" s="122" t="n"/>
    </s:row>
    <s:row r="2368" hidden="1" ht="1" customHeight="1">
      <s:c r="A2368" s="120" t="inlineStr"/>
      <s:c r="B2368" s="121" t="n"/>
      <s:c r="C2368" s="121" t="n"/>
      <s:c r="D2368" s="121" t="n"/>
      <s:c r="E2368" s="122" t="n"/>
    </s:row>
    <s:row r="2369" hidden="1" ht="1" customHeight="1">
      <s:c r="A2369" s="120" t="inlineStr"/>
      <s:c r="B2369" s="121" t="n"/>
      <s:c r="C2369" s="121" t="n"/>
      <s:c r="D2369" s="121" t="n"/>
      <s:c r="E2369" s="122" t="n"/>
    </s:row>
    <s:row r="2370" hidden="1" ht="1" customHeight="1">
      <s:c r="A2370" s="120" t="inlineStr"/>
      <s:c r="B2370" s="121" t="n"/>
      <s:c r="C2370" s="121" t="n"/>
      <s:c r="D2370" s="121" t="n"/>
      <s:c r="E2370" s="122" t="n"/>
    </s:row>
    <s:row r="2371" hidden="1" ht="1" customHeight="1">
      <s:c r="A2371" s="120" t="inlineStr"/>
      <s:c r="B2371" s="121" t="n"/>
      <s:c r="C2371" s="121" t="n"/>
      <s:c r="D2371" s="121" t="n"/>
      <s:c r="E2371" s="122" t="n"/>
    </s:row>
    <s:row r="2372" hidden="1" ht="1" customHeight="1">
      <s:c r="A2372" s="120" t="inlineStr"/>
      <s:c r="B2372" s="121" t="n"/>
      <s:c r="C2372" s="121" t="n"/>
      <s:c r="D2372" s="121" t="n"/>
      <s:c r="E2372" s="122" t="n"/>
    </s:row>
    <s:row r="2373" hidden="1" ht="1" customHeight="1">
      <s:c r="A2373" s="120" t="inlineStr"/>
      <s:c r="B2373" s="121" t="n"/>
      <s:c r="C2373" s="121" t="n"/>
      <s:c r="D2373" s="121" t="n"/>
      <s:c r="E2373" s="122" t="n"/>
    </s:row>
    <s:row r="2374" hidden="1" ht="1" customHeight="1">
      <s:c r="A2374" s="120" t="inlineStr"/>
      <s:c r="B2374" s="121" t="n"/>
      <s:c r="C2374" s="121" t="n"/>
      <s:c r="D2374" s="121" t="n"/>
      <s:c r="E2374" s="122" t="n"/>
    </s:row>
    <s:row r="2375" hidden="1" ht="1" customHeight="1">
      <s:c r="A2375" s="120" t="inlineStr"/>
      <s:c r="B2375" s="121" t="n"/>
      <s:c r="C2375" s="121" t="n"/>
      <s:c r="D2375" s="121" t="n"/>
      <s:c r="E2375" s="122" t="n"/>
    </s:row>
    <s:row r="2376" hidden="1" ht="1" customHeight="1">
      <s:c r="A2376" s="120" t="inlineStr"/>
      <s:c r="B2376" s="121" t="n"/>
      <s:c r="C2376" s="121" t="n"/>
      <s:c r="D2376" s="121" t="n"/>
      <s:c r="E2376" s="122" t="n"/>
    </s:row>
    <s:row r="2377" hidden="1" ht="1" customHeight="1">
      <s:c r="A2377" s="120" t="inlineStr"/>
      <s:c r="B2377" s="121" t="n"/>
      <s:c r="C2377" s="121" t="n"/>
      <s:c r="D2377" s="121" t="n"/>
      <s:c r="E2377" s="122" t="n"/>
    </s:row>
    <s:row r="2378" hidden="1" ht="1" customHeight="1">
      <s:c r="A2378" s="120" t="inlineStr"/>
      <s:c r="B2378" s="121" t="n"/>
      <s:c r="C2378" s="121" t="n"/>
      <s:c r="D2378" s="121" t="n"/>
      <s:c r="E2378" s="122" t="n"/>
    </s:row>
    <s:row r="2379" hidden="1" ht="1" customHeight="1">
      <s:c r="A2379" s="120" t="inlineStr"/>
      <s:c r="B2379" s="121" t="n"/>
      <s:c r="C2379" s="121" t="n"/>
      <s:c r="D2379" s="121" t="n"/>
      <s:c r="E2379" s="122" t="n"/>
    </s:row>
    <s:row r="2380" hidden="1" ht="1" customHeight="1">
      <s:c r="A2380" s="120" t="inlineStr"/>
      <s:c r="B2380" s="121" t="n"/>
      <s:c r="C2380" s="121" t="n"/>
      <s:c r="D2380" s="121" t="n"/>
      <s:c r="E2380" s="122" t="n"/>
    </s:row>
    <s:row r="2381" hidden="1" ht="1" customHeight="1">
      <s:c r="A2381" s="120" t="inlineStr"/>
      <s:c r="B2381" s="121" t="n"/>
      <s:c r="C2381" s="121" t="n"/>
      <s:c r="D2381" s="121" t="n"/>
      <s:c r="E2381" s="122" t="n"/>
    </s:row>
    <s:row r="2382" hidden="1" ht="1" customHeight="1">
      <s:c r="A2382" s="120" t="inlineStr"/>
      <s:c r="B2382" s="121" t="n"/>
      <s:c r="C2382" s="121" t="n"/>
      <s:c r="D2382" s="121" t="n"/>
      <s:c r="E2382" s="122" t="n"/>
    </s:row>
    <s:row r="2383" hidden="1" ht="1" customHeight="1">
      <s:c r="A2383" s="120" t="inlineStr"/>
      <s:c r="B2383" s="121" t="n"/>
      <s:c r="C2383" s="121" t="n"/>
      <s:c r="D2383" s="121" t="n"/>
      <s:c r="E2383" s="122" t="n"/>
    </s:row>
    <s:row r="2384" hidden="1" ht="1" customHeight="1">
      <s:c r="A2384" s="120" t="inlineStr"/>
      <s:c r="B2384" s="121" t="n"/>
      <s:c r="C2384" s="121" t="n"/>
      <s:c r="D2384" s="121" t="n"/>
      <s:c r="E2384" s="122" t="n"/>
    </s:row>
    <s:row r="2385" hidden="1" ht="1" customHeight="1">
      <s:c r="A2385" s="120" t="inlineStr"/>
      <s:c r="B2385" s="121" t="n"/>
      <s:c r="C2385" s="121" t="n"/>
      <s:c r="D2385" s="121" t="n"/>
      <s:c r="E2385" s="122" t="n"/>
    </s:row>
    <s:row r="2386" hidden="1" ht="1" customHeight="1">
      <s:c r="A2386" s="120" t="inlineStr"/>
      <s:c r="B2386" s="121" t="n"/>
      <s:c r="C2386" s="121" t="n"/>
      <s:c r="D2386" s="121" t="n"/>
      <s:c r="E2386" s="122" t="n"/>
    </s:row>
    <s:row r="2387" hidden="1" ht="1" customHeight="1">
      <s:c r="A2387" s="120" t="inlineStr"/>
      <s:c r="B2387" s="121" t="n"/>
      <s:c r="C2387" s="121" t="n"/>
      <s:c r="D2387" s="121" t="n"/>
      <s:c r="E2387" s="122" t="n"/>
    </s:row>
    <s:row r="2388" hidden="1" ht="1" customHeight="1">
      <s:c r="A2388" s="120" t="inlineStr"/>
      <s:c r="B2388" s="121" t="n"/>
      <s:c r="C2388" s="121" t="n"/>
      <s:c r="D2388" s="121" t="n"/>
      <s:c r="E2388" s="122" t="n"/>
    </s:row>
    <s:row r="2389" hidden="1" ht="1" customHeight="1">
      <s:c r="A2389" s="120" t="inlineStr"/>
      <s:c r="B2389" s="121" t="n"/>
      <s:c r="C2389" s="121" t="n"/>
      <s:c r="D2389" s="121" t="n"/>
      <s:c r="E2389" s="122" t="n"/>
    </s:row>
    <s:row r="2390" hidden="1" ht="1" customHeight="1">
      <s:c r="A2390" s="120" t="inlineStr"/>
      <s:c r="B2390" s="121" t="n"/>
      <s:c r="C2390" s="121" t="n"/>
      <s:c r="D2390" s="121" t="n"/>
      <s:c r="E2390" s="122" t="n"/>
    </s:row>
    <s:row r="2391" hidden="1" ht="1" customHeight="1">
      <s:c r="A2391" s="120" t="inlineStr"/>
      <s:c r="B2391" s="121" t="n"/>
      <s:c r="C2391" s="121" t="n"/>
      <s:c r="D2391" s="121" t="n"/>
      <s:c r="E2391" s="122" t="n"/>
    </s:row>
    <s:row r="2392" hidden="1" ht="1" customHeight="1">
      <s:c r="A2392" s="120" t="inlineStr"/>
      <s:c r="B2392" s="121" t="n"/>
      <s:c r="C2392" s="121" t="n"/>
      <s:c r="D2392" s="121" t="n"/>
      <s:c r="E2392" s="122" t="n"/>
    </s:row>
    <s:row r="2393" hidden="1" ht="1" customHeight="1">
      <s:c r="A2393" s="120" t="inlineStr"/>
      <s:c r="B2393" s="121" t="n"/>
      <s:c r="C2393" s="121" t="n"/>
      <s:c r="D2393" s="121" t="n"/>
      <s:c r="E2393" s="122" t="n"/>
    </s:row>
    <s:row r="2394" hidden="1" ht="1" customHeight="1">
      <s:c r="A2394" s="120" t="inlineStr"/>
      <s:c r="B2394" s="121" t="n"/>
      <s:c r="C2394" s="121" t="n"/>
      <s:c r="D2394" s="121" t="n"/>
      <s:c r="E2394" s="122" t="n"/>
    </s:row>
    <s:row r="2395" hidden="1" ht="1" customHeight="1">
      <s:c r="A2395" s="120" t="inlineStr"/>
      <s:c r="B2395" s="121" t="n"/>
      <s:c r="C2395" s="121" t="n"/>
      <s:c r="D2395" s="121" t="n"/>
      <s:c r="E2395" s="122" t="n"/>
    </s:row>
    <s:row r="2396" hidden="1" ht="1" customHeight="1">
      <s:c r="A2396" s="120" t="inlineStr"/>
      <s:c r="B2396" s="121" t="n"/>
      <s:c r="C2396" s="121" t="n"/>
      <s:c r="D2396" s="121" t="n"/>
      <s:c r="E2396" s="122" t="n"/>
    </s:row>
    <s:row r="2397" hidden="1" ht="1" customHeight="1">
      <s:c r="A2397" s="120" t="inlineStr"/>
      <s:c r="B2397" s="121" t="n"/>
      <s:c r="C2397" s="121" t="n"/>
      <s:c r="D2397" s="121" t="n"/>
      <s:c r="E2397" s="122" t="n"/>
    </s:row>
    <s:row r="2398" hidden="1" ht="1" customHeight="1">
      <s:c r="A2398" s="120" t="inlineStr"/>
      <s:c r="B2398" s="121" t="n"/>
      <s:c r="C2398" s="121" t="n"/>
      <s:c r="D2398" s="121" t="n"/>
      <s:c r="E2398" s="122" t="n"/>
    </s:row>
    <s:row r="2399" hidden="1" ht="1" customHeight="1">
      <s:c r="A2399" s="120" t="inlineStr"/>
      <s:c r="B2399" s="121" t="n"/>
      <s:c r="C2399" s="121" t="n"/>
      <s:c r="D2399" s="121" t="n"/>
      <s:c r="E2399" s="122" t="n"/>
    </s:row>
    <s:row r="2400" hidden="1" ht="1" customHeight="1">
      <s:c r="A2400" s="120" t="inlineStr"/>
      <s:c r="B2400" s="121" t="n"/>
      <s:c r="C2400" s="121" t="n"/>
      <s:c r="D2400" s="121" t="n"/>
      <s:c r="E2400" s="122" t="n"/>
    </s:row>
    <s:row r="2401" hidden="1" ht="1" customHeight="1">
      <s:c r="A2401" s="120" t="inlineStr"/>
      <s:c r="B2401" s="121" t="n"/>
      <s:c r="C2401" s="121" t="n"/>
      <s:c r="D2401" s="121" t="n"/>
      <s:c r="E2401" s="122" t="n"/>
    </s:row>
    <s:row r="2402" hidden="1" ht="1" customHeight="1">
      <s:c r="A2402" s="120" t="inlineStr"/>
      <s:c r="B2402" s="121" t="n"/>
      <s:c r="C2402" s="121" t="n"/>
      <s:c r="D2402" s="121" t="n"/>
      <s:c r="E2402" s="122" t="n"/>
    </s:row>
    <s:row r="2403" hidden="1" ht="1" customHeight="1">
      <s:c r="A2403" s="120" t="inlineStr"/>
      <s:c r="B2403" s="121" t="n"/>
      <s:c r="C2403" s="121" t="n"/>
      <s:c r="D2403" s="121" t="n"/>
      <s:c r="E2403" s="122" t="n"/>
    </s:row>
    <s:row r="2404" hidden="1" ht="1" customHeight="1">
      <s:c r="A2404" s="120" t="inlineStr"/>
      <s:c r="B2404" s="121" t="n"/>
      <s:c r="C2404" s="121" t="n"/>
      <s:c r="D2404" s="121" t="n"/>
      <s:c r="E2404" s="122" t="n"/>
    </s:row>
    <s:row r="2405" hidden="1" ht="1" customHeight="1">
      <s:c r="A2405" s="120" t="inlineStr"/>
      <s:c r="B2405" s="121" t="n"/>
      <s:c r="C2405" s="121" t="n"/>
      <s:c r="D2405" s="121" t="n"/>
      <s:c r="E2405" s="122" t="n"/>
    </s:row>
    <s:row r="2406" hidden="1" ht="1" customHeight="1">
      <s:c r="A2406" s="120" t="inlineStr"/>
      <s:c r="B2406" s="121" t="n"/>
      <s:c r="C2406" s="121" t="n"/>
      <s:c r="D2406" s="121" t="n"/>
      <s:c r="E2406" s="122" t="n"/>
    </s:row>
    <s:row r="2407" hidden="1" ht="1" customHeight="1">
      <s:c r="A2407" s="120" t="inlineStr"/>
      <s:c r="B2407" s="121" t="n"/>
      <s:c r="C2407" s="121" t="n"/>
      <s:c r="D2407" s="121" t="n"/>
      <s:c r="E2407" s="122" t="n"/>
    </s:row>
    <s:row r="2408" hidden="1" ht="1" customHeight="1">
      <s:c r="A2408" s="120" t="inlineStr"/>
      <s:c r="B2408" s="121" t="n"/>
      <s:c r="C2408" s="121" t="n"/>
      <s:c r="D2408" s="121" t="n"/>
      <s:c r="E2408" s="122" t="n"/>
    </s:row>
    <s:row r="2409" hidden="1" ht="1" customHeight="1">
      <s:c r="A2409" s="120" t="inlineStr"/>
      <s:c r="B2409" s="121" t="n"/>
      <s:c r="C2409" s="121" t="n"/>
      <s:c r="D2409" s="121" t="n"/>
      <s:c r="E2409" s="122" t="n"/>
    </s:row>
    <s:row r="2410" hidden="1" ht="1" customHeight="1">
      <s:c r="A2410" s="120" t="inlineStr"/>
      <s:c r="B2410" s="121" t="n"/>
      <s:c r="C2410" s="121" t="n"/>
      <s:c r="D2410" s="121" t="n"/>
      <s:c r="E2410" s="122" t="n"/>
    </s:row>
    <s:row r="2411" hidden="1" ht="1" customHeight="1">
      <s:c r="A2411" s="83" t="inlineStr">
        <s:is>
          <s:t>PASS</s:t>
        </s:is>
      </s:c>
      <s:c r="B2411" s="83">
        <s:f>SUM(IF(EXACT('Kiểm thử'!E2361,"Đạt"),1,0))</s:f>
        <s:v/>
      </s:c>
      <s:c r="C2411" s="19" t="n"/>
      <s:c r="D2411" s="19" t="n"/>
      <s:c r="E2411" s="19" t="n"/>
    </s:row>
    <s:row r="2412" hidden="1" ht="1" customHeight="1">
      <s:c r="A2412" s="83" t="inlineStr">
        <s:is>
          <s:t>FAIL</s:t>
        </s:is>
      </s:c>
      <s:c r="B2412" s="83">
        <s:f>SUM(IF(EXACT('Kiểm thử'!E2361,"Không đạt"),1,0))</s:f>
        <s:v/>
      </s:c>
      <s:c r="C2412" s="19" t="n"/>
      <s:c r="D2412" s="19" t="n"/>
      <s:c r="E2412" s="19" t="n"/>
    </s:row>
    <s:row r="2413" hidden="1" ht="1" customHeight="1">
      <s:c r="A2413" s="83" t="inlineStr">
        <s:is>
          <s:t>BLOCKED</s:t>
        </s:is>
      </s:c>
      <s:c r="B2413" s="83">
        <s:f>SUM(IF(EXACT('Kiểm thử'!E2361,"Bị chặn"),1,0))</s:f>
        <s:v/>
      </s:c>
      <s:c r="C2413" s="19" t="n"/>
      <s:c r="D2413" s="19" t="n"/>
      <s:c r="E2413" s="19" t="n"/>
    </s:row>
    <s:row r="2414" hidden="1" ht="1" customHeight="1">
      <s:c r="A2414" s="83" t="inlineStr">
        <s:is>
          <s:t>SKIPPED</s:t>
        </s:is>
      </s:c>
      <s:c r="B2414" s="83">
        <s:f>SUM(IF(EXACT('Kiểm thử'!E2361,"Không thực hiện"),1,0))</s:f>
        <s:v/>
      </s:c>
      <s:c r="C2414" s="19" t="n"/>
      <s:c r="D2414" s="19" t="n"/>
      <s:c r="E2414" s="19" t="n"/>
    </s:row>
    <s:row r="2415" hidden="1" ht="1" customHeight="1">
      <s:c r="A2415" s="83" t="inlineStr">
        <s:is>
          <s:t>NOT RUN</s:t>
        </s:is>
      </s:c>
      <s:c r="B2415" s="83">
        <s:f>SUM(IF(EXACT('Kiểm thử'!E2361,"Chưa thực hiện"),1,0))</s:f>
        <s:v/>
      </s:c>
      <s:c r="C2415" s="19" t="n"/>
      <s:c r="D2415" s="19" t="n"/>
      <s:c r="E2415" s="19" t="n"/>
    </s:row>
    <s:row r="2416" hidden="1" ht="6" customHeight="1">
      <s:c r="A2416" s="83" t="inlineStr"/>
      <s:c r="B2416" s="19" t="n"/>
      <s:c r="C2416" s="19" t="n"/>
      <s:c r="D2416" s="19" t="n"/>
      <s:c r="E2416" s="19" t="n"/>
    </s:row>
    <s:row r="2417" ht="28" customHeight="1">
      <s:c r="A2417" s="108" t="inlineStr">
        <s:is>
          <s:t>TC-RS-BR-004 — Kết hợp bộ lọc: HOẶC trong cùng loại, VÀ giữa các loại</s:t>
        </s:is>
      </s:c>
      <s:c r="B2417" s="111" t="n"/>
      <s:c r="C2417" s="111" t="n"/>
      <s:c r="D2417" s="111" t="n"/>
      <s:c r="E2417" s="111" t="n"/>
    </s:row>
    <s:row r="2418" ht="20" customHeight="1">
      <s:c r="A2418" s="112" t="inlineStr">
        <s:is>
          <s:t>Kết quả tình huống</s:t>
        </s:is>
      </s:c>
      <s:c r="B2418" s="113">
        <s:f>IF(SUM(IF(EXACT('Kiểm thử'!E2426,"Không đạt"),1,0))&gt;0,"Không đạt",IF(SUM(IF(EXACT('Kiểm thử'!E2426,"Đạt"),1,0))=1,"Đạt",IF(SUM(IF(EXACT('Kiểm thử'!E2426,"Không thực hiện"),1,0))=1,"Không thực hiện",IF(SUM(IF(EXACT('Kiểm thử'!E2426,"Bị chặn"),1,0))&gt;0,"Bị chặn",IF(SUM(IF(EXACT('Kiểm thử'!E2426,"Chưa thực hiện"),1,0))=1,"Chưa thực hiện","Đang thực hiện")))))</s:f>
        <s:v/>
      </s:c>
      <s:c r="C2418" s="114" t="n"/>
      <s:c r="D2418" s="114" t="n"/>
      <s:c r="E2418" s="114" t="n"/>
    </s:row>
    <s:row r="2419" ht="20" customHeight="1">
      <s:c r="A2419" s="112" t="inlineStr">
        <s:is>
          <s:t>Màn hình / chức năng</s:t>
        </s:is>
      </s:c>
      <s:c r="B2419" s="113" t="inlineStr">
        <s:is>
          <s:r>
            <s:rPr>
              <s:b val="1"/>
            </s:rPr>
            <s:t>Điều kiện áp dụng（適用条件）</s:t>
          </s:r>
        </s:is>
      </s:c>
      <s:c r="C2419" s="28" t="n"/>
      <s:c r="D2419" s="28" t="n"/>
      <s:c r="E2419" s="28" t="n"/>
    </s:row>
    <s:row r="2420" ht="76" customHeight="1">
      <s:c r="A2420" s="112" t="inlineStr">
        <s:is>
          <s:t>Cấu hình</s:t>
        </s:is>
      </s:c>
      <s:c r="B2420" s="113" t="inlineStr">
        <s:is>
          <s:r>
            <s:t>• Mục số nguyên (</s:t>
          </s:r>
          <s:r>
            <s:rPr>
              <s:b val="1"/>
            </s:rPr>
            <s:t>M=100</s:t>
          </s:r>
          <s:r>
            <s:t>) chỉ có quy tắc có bộ lọc kết hợp (khối 1 hoặc 2, nhóm Nâng cao). Bốn học sinh: P1 khối 1 + Nâng cao;
• P2 khối 2 + Nâng cao;
• P3 khối 3 + Nâng cao;
• P4 khối 1, không Nâng cao. Mỗi người điểm 20.</s:t>
          </s:r>
        </s:is>
      </s:c>
      <s:c r="C2420" s="28" t="n"/>
      <s:c r="D2420" s="28" t="n"/>
      <s:c r="E2420" s="28" t="n"/>
    </s:row>
    <s:row r="2421" ht="34" customHeight="1">
      <s:c r="A2421" s="112" t="inlineStr">
        <s:is>
          <s:t>Dữ liệu test</s:t>
        </s:is>
      </s:c>
      <s:c r="B2421" s="113" t="inlineStr">
        <s:is>
          <s:r>
            <s:t>• Mục số nguyên (</s:t>
          </s:r>
          <s:r>
            <s:rPr>
              <s:b val="1"/>
            </s:rPr>
            <s:t>M=100</s:t>
          </s:r>
          <s:r>
            <s:t>);
• Quy tắc có bộ lọc kết hợp (khối 1 hoặc 2, nhóm Nâng cao)</s:t>
          </s:r>
        </s:is>
      </s:c>
      <s:c r="C2421" s="28" t="n"/>
      <s:c r="D2421" s="28" t="n"/>
      <s:c r="E2421" s="28" t="n"/>
    </s:row>
    <s:row r="2422" ht="20" customHeight="1">
      <s:c r="A2422" s="112" t="inlineStr">
        <s:is>
          <s:t>Bước 1</s:t>
        </s:is>
      </s:c>
      <s:c r="B2422" s="113" t="inlineStr">
        <s:is>
          <s:t>Đăng ký điểm 20 cho P1–P4.</s:t>
        </s:is>
      </s:c>
      <s:c r="C2422" s="28" t="n"/>
      <s:c r="D2422" s="28" t="n"/>
      <s:c r="E2422" s="28" t="n"/>
    </s:row>
    <s:row r="2423" ht="20" customHeight="1">
      <s:c r="A2423" s="112" t="inlineStr">
        <s:is>
          <s:t>Bước 2</s:t>
        </s:is>
      </s:c>
      <s:c r="B2423" s="113" t="inlineStr">
        <s:is>
          <s:t>Xem kết quả.</s:t>
        </s:is>
      </s:c>
      <s:c r="C2423" s="28" t="n"/>
      <s:c r="D2423" s="28" t="n"/>
      <s:c r="E2423" s="28" t="n"/>
    </s:row>
    <s:row r="2424" ht="28" customHeight="1">
      <s:c r="A2424" s="115" t="inlineStr">
        <s:is>
          <s:t>Trường hợp</s:t>
        </s:is>
      </s:c>
      <s:c r="B2424" s="115" t="inlineStr">
        <s:is>
          <s:t>Dữ liệu / thao tác riêng</s:t>
        </s:is>
      </s:c>
      <s:c r="C2424" s="115" t="inlineStr">
        <s:is>
          <s:t>Kết quả mong đợi</s:t>
        </s:is>
      </s:c>
      <s:c r="D2424" s="115" t="inlineStr">
        <s:is>
          <s:t>Kết quả thực tế</s:t>
        </s:is>
      </s:c>
      <s:c r="E2424" s="115" t="inlineStr">
        <s:is>
          <s:t>Đánh giá</s:t>
        </s:is>
      </s:c>
    </s:row>
    <s:row r="2425" ht="3" customHeight="1">
      <s:c r="A2425" s="102" t="inlineStr"/>
      <s:c r="B2425" s="99" t="n"/>
      <s:c r="C2425" s="99" t="n"/>
      <s:c r="D2425" s="116" t="n"/>
      <s:c r="E2425" s="116" t="n"/>
    </s:row>
    <s:row r="2426" ht="62" customHeight="1">
      <s:c r="A2426" s="83" t="inlineStr">
        <s:is>
          <s:t>Trường hợp cơ bản (Base)</s:t>
        </s:is>
      </s:c>
      <s:c r="B2426" s="83" t="inlineStr">
        <s:is>
          <s:t>Toàn bộ tình huống: Thực hiện đủ các bước chung theo thứ tự; kiểm cả đối tượng đích và đối chứng cùng fixture, không bỏ bước.</s:t>
        </s:is>
      </s:c>
      <s:c r="C2426" s="83" t="inlineStr">
        <s:is>
          <s:r>
            <s:t xml:space="preserve">P1, P2: </s:t>
          </s:r>
          <s:r>
            <s:rPr>
              <s:b val="1"/>
            </s:rPr>
            <s:t>Đỏ</s:t>
          </s:r>
          <s:r>
            <s:t xml:space="preserve">. P3, P4: </s:t>
          </s:r>
          <s:r>
            <s:rPr>
              <s:b val="1"/>
            </s:rPr>
            <s:t>Không áp dụng</s:t>
          </s:r>
          <s:r>
            <s:t>.</s:t>
          </s:r>
        </s:is>
      </s:c>
      <s:c r="D2426" s="117" t="inlineStr"/>
      <s:c r="E2426" s="118" t="inlineStr">
        <s:is>
          <s:t>Chưa thực hiện</s:t>
        </s:is>
      </s:c>
    </s:row>
    <s:row r="2427" ht="20" customHeight="1">
      <s:c r="A2427" s="119" t="inlineStr">
        <s:is>
          <s:t>Ảnh minh chứng — Chưa có ảnh</s:t>
        </s:is>
      </s:c>
      <s:c r="B2427" s="19" t="n"/>
      <s:c r="C2427" s="19" t="n"/>
      <s:c r="D2427" s="19" t="n"/>
      <s:c r="E2427" s="19" t="n"/>
    </s:row>
    <s:row r="2428" hidden="1" ht="1" customHeight="1">
      <s:c r="A2428" s="120" t="inlineStr"/>
      <s:c r="B2428" s="121" t="n"/>
      <s:c r="C2428" s="121" t="n"/>
      <s:c r="D2428" s="121" t="n"/>
      <s:c r="E2428" s="122" t="n"/>
    </s:row>
    <s:row r="2429" hidden="1" ht="1" customHeight="1">
      <s:c r="A2429" s="120" t="inlineStr"/>
      <s:c r="B2429" s="121" t="n"/>
      <s:c r="C2429" s="121" t="n"/>
      <s:c r="D2429" s="121" t="n"/>
      <s:c r="E2429" s="122" t="n"/>
    </s:row>
    <s:row r="2430" hidden="1" ht="1" customHeight="1">
      <s:c r="A2430" s="120" t="inlineStr"/>
      <s:c r="B2430" s="121" t="n"/>
      <s:c r="C2430" s="121" t="n"/>
      <s:c r="D2430" s="121" t="n"/>
      <s:c r="E2430" s="122" t="n"/>
    </s:row>
    <s:row r="2431" hidden="1" ht="1" customHeight="1">
      <s:c r="A2431" s="120" t="inlineStr"/>
      <s:c r="B2431" s="121" t="n"/>
      <s:c r="C2431" s="121" t="n"/>
      <s:c r="D2431" s="121" t="n"/>
      <s:c r="E2431" s="122" t="n"/>
    </s:row>
    <s:row r="2432" hidden="1" ht="1" customHeight="1">
      <s:c r="A2432" s="120" t="inlineStr"/>
      <s:c r="B2432" s="121" t="n"/>
      <s:c r="C2432" s="121" t="n"/>
      <s:c r="D2432" s="121" t="n"/>
      <s:c r="E2432" s="122" t="n"/>
    </s:row>
    <s:row r="2433" hidden="1" ht="1" customHeight="1">
      <s:c r="A2433" s="120" t="inlineStr"/>
      <s:c r="B2433" s="121" t="n"/>
      <s:c r="C2433" s="121" t="n"/>
      <s:c r="D2433" s="121" t="n"/>
      <s:c r="E2433" s="122" t="n"/>
    </s:row>
    <s:row r="2434" hidden="1" ht="1" customHeight="1">
      <s:c r="A2434" s="120" t="inlineStr"/>
      <s:c r="B2434" s="121" t="n"/>
      <s:c r="C2434" s="121" t="n"/>
      <s:c r="D2434" s="121" t="n"/>
      <s:c r="E2434" s="122" t="n"/>
    </s:row>
    <s:row r="2435" hidden="1" ht="1" customHeight="1">
      <s:c r="A2435" s="120" t="inlineStr"/>
      <s:c r="B2435" s="121" t="n"/>
      <s:c r="C2435" s="121" t="n"/>
      <s:c r="D2435" s="121" t="n"/>
      <s:c r="E2435" s="122" t="n"/>
    </s:row>
    <s:row r="2436" hidden="1" ht="1" customHeight="1">
      <s:c r="A2436" s="120" t="inlineStr"/>
      <s:c r="B2436" s="121" t="n"/>
      <s:c r="C2436" s="121" t="n"/>
      <s:c r="D2436" s="121" t="n"/>
      <s:c r="E2436" s="122" t="n"/>
    </s:row>
    <s:row r="2437" hidden="1" ht="1" customHeight="1">
      <s:c r="A2437" s="120" t="inlineStr"/>
      <s:c r="B2437" s="121" t="n"/>
      <s:c r="C2437" s="121" t="n"/>
      <s:c r="D2437" s="121" t="n"/>
      <s:c r="E2437" s="122" t="n"/>
    </s:row>
    <s:row r="2438" hidden="1" ht="1" customHeight="1">
      <s:c r="A2438" s="120" t="inlineStr"/>
      <s:c r="B2438" s="121" t="n"/>
      <s:c r="C2438" s="121" t="n"/>
      <s:c r="D2438" s="121" t="n"/>
      <s:c r="E2438" s="122" t="n"/>
    </s:row>
    <s:row r="2439" hidden="1" ht="1" customHeight="1">
      <s:c r="A2439" s="120" t="inlineStr"/>
      <s:c r="B2439" s="121" t="n"/>
      <s:c r="C2439" s="121" t="n"/>
      <s:c r="D2439" s="121" t="n"/>
      <s:c r="E2439" s="122" t="n"/>
    </s:row>
    <s:row r="2440" hidden="1" ht="1" customHeight="1">
      <s:c r="A2440" s="120" t="inlineStr"/>
      <s:c r="B2440" s="121" t="n"/>
      <s:c r="C2440" s="121" t="n"/>
      <s:c r="D2440" s="121" t="n"/>
      <s:c r="E2440" s="122" t="n"/>
    </s:row>
    <s:row r="2441" hidden="1" ht="1" customHeight="1">
      <s:c r="A2441" s="120" t="inlineStr"/>
      <s:c r="B2441" s="121" t="n"/>
      <s:c r="C2441" s="121" t="n"/>
      <s:c r="D2441" s="121" t="n"/>
      <s:c r="E2441" s="122" t="n"/>
    </s:row>
    <s:row r="2442" hidden="1" ht="1" customHeight="1">
      <s:c r="A2442" s="120" t="inlineStr"/>
      <s:c r="B2442" s="121" t="n"/>
      <s:c r="C2442" s="121" t="n"/>
      <s:c r="D2442" s="121" t="n"/>
      <s:c r="E2442" s="122" t="n"/>
    </s:row>
    <s:row r="2443" hidden="1" ht="1" customHeight="1">
      <s:c r="A2443" s="120" t="inlineStr"/>
      <s:c r="B2443" s="121" t="n"/>
      <s:c r="C2443" s="121" t="n"/>
      <s:c r="D2443" s="121" t="n"/>
      <s:c r="E2443" s="122" t="n"/>
    </s:row>
    <s:row r="2444" hidden="1" ht="1" customHeight="1">
      <s:c r="A2444" s="120" t="inlineStr"/>
      <s:c r="B2444" s="121" t="n"/>
      <s:c r="C2444" s="121" t="n"/>
      <s:c r="D2444" s="121" t="n"/>
      <s:c r="E2444" s="122" t="n"/>
    </s:row>
    <s:row r="2445" hidden="1" ht="1" customHeight="1">
      <s:c r="A2445" s="120" t="inlineStr"/>
      <s:c r="B2445" s="121" t="n"/>
      <s:c r="C2445" s="121" t="n"/>
      <s:c r="D2445" s="121" t="n"/>
      <s:c r="E2445" s="122" t="n"/>
    </s:row>
    <s:row r="2446" hidden="1" ht="1" customHeight="1">
      <s:c r="A2446" s="120" t="inlineStr"/>
      <s:c r="B2446" s="121" t="n"/>
      <s:c r="C2446" s="121" t="n"/>
      <s:c r="D2446" s="121" t="n"/>
      <s:c r="E2446" s="122" t="n"/>
    </s:row>
    <s:row r="2447" hidden="1" ht="1" customHeight="1">
      <s:c r="A2447" s="120" t="inlineStr"/>
      <s:c r="B2447" s="121" t="n"/>
      <s:c r="C2447" s="121" t="n"/>
      <s:c r="D2447" s="121" t="n"/>
      <s:c r="E2447" s="122" t="n"/>
    </s:row>
    <s:row r="2448" hidden="1" ht="1" customHeight="1">
      <s:c r="A2448" s="120" t="inlineStr"/>
      <s:c r="B2448" s="121" t="n"/>
      <s:c r="C2448" s="121" t="n"/>
      <s:c r="D2448" s="121" t="n"/>
      <s:c r="E2448" s="122" t="n"/>
    </s:row>
    <s:row r="2449" hidden="1" ht="1" customHeight="1">
      <s:c r="A2449" s="120" t="inlineStr"/>
      <s:c r="B2449" s="121" t="n"/>
      <s:c r="C2449" s="121" t="n"/>
      <s:c r="D2449" s="121" t="n"/>
      <s:c r="E2449" s="122" t="n"/>
    </s:row>
    <s:row r="2450" hidden="1" ht="1" customHeight="1">
      <s:c r="A2450" s="120" t="inlineStr"/>
      <s:c r="B2450" s="121" t="n"/>
      <s:c r="C2450" s="121" t="n"/>
      <s:c r="D2450" s="121" t="n"/>
      <s:c r="E2450" s="122" t="n"/>
    </s:row>
    <s:row r="2451" hidden="1" ht="1" customHeight="1">
      <s:c r="A2451" s="120" t="inlineStr"/>
      <s:c r="B2451" s="121" t="n"/>
      <s:c r="C2451" s="121" t="n"/>
      <s:c r="D2451" s="121" t="n"/>
      <s:c r="E2451" s="122" t="n"/>
    </s:row>
    <s:row r="2452" hidden="1" ht="1" customHeight="1">
      <s:c r="A2452" s="120" t="inlineStr"/>
      <s:c r="B2452" s="121" t="n"/>
      <s:c r="C2452" s="121" t="n"/>
      <s:c r="D2452" s="121" t="n"/>
      <s:c r="E2452" s="122" t="n"/>
    </s:row>
    <s:row r="2453" hidden="1" ht="1" customHeight="1">
      <s:c r="A2453" s="120" t="inlineStr"/>
      <s:c r="B2453" s="121" t="n"/>
      <s:c r="C2453" s="121" t="n"/>
      <s:c r="D2453" s="121" t="n"/>
      <s:c r="E2453" s="122" t="n"/>
    </s:row>
    <s:row r="2454" hidden="1" ht="1" customHeight="1">
      <s:c r="A2454" s="120" t="inlineStr"/>
      <s:c r="B2454" s="121" t="n"/>
      <s:c r="C2454" s="121" t="n"/>
      <s:c r="D2454" s="121" t="n"/>
      <s:c r="E2454" s="122" t="n"/>
    </s:row>
    <s:row r="2455" hidden="1" ht="1" customHeight="1">
      <s:c r="A2455" s="120" t="inlineStr"/>
      <s:c r="B2455" s="121" t="n"/>
      <s:c r="C2455" s="121" t="n"/>
      <s:c r="D2455" s="121" t="n"/>
      <s:c r="E2455" s="122" t="n"/>
    </s:row>
    <s:row r="2456" hidden="1" ht="1" customHeight="1">
      <s:c r="A2456" s="120" t="inlineStr"/>
      <s:c r="B2456" s="121" t="n"/>
      <s:c r="C2456" s="121" t="n"/>
      <s:c r="D2456" s="121" t="n"/>
      <s:c r="E2456" s="122" t="n"/>
    </s:row>
    <s:row r="2457" hidden="1" ht="1" customHeight="1">
      <s:c r="A2457" s="120" t="inlineStr"/>
      <s:c r="B2457" s="121" t="n"/>
      <s:c r="C2457" s="121" t="n"/>
      <s:c r="D2457" s="121" t="n"/>
      <s:c r="E2457" s="122" t="n"/>
    </s:row>
    <s:row r="2458" hidden="1" ht="1" customHeight="1">
      <s:c r="A2458" s="120" t="inlineStr"/>
      <s:c r="B2458" s="121" t="n"/>
      <s:c r="C2458" s="121" t="n"/>
      <s:c r="D2458" s="121" t="n"/>
      <s:c r="E2458" s="122" t="n"/>
    </s:row>
    <s:row r="2459" hidden="1" ht="1" customHeight="1">
      <s:c r="A2459" s="120" t="inlineStr"/>
      <s:c r="B2459" s="121" t="n"/>
      <s:c r="C2459" s="121" t="n"/>
      <s:c r="D2459" s="121" t="n"/>
      <s:c r="E2459" s="122" t="n"/>
    </s:row>
    <s:row r="2460" hidden="1" ht="1" customHeight="1">
      <s:c r="A2460" s="120" t="inlineStr"/>
      <s:c r="B2460" s="121" t="n"/>
      <s:c r="C2460" s="121" t="n"/>
      <s:c r="D2460" s="121" t="n"/>
      <s:c r="E2460" s="122" t="n"/>
    </s:row>
    <s:row r="2461" hidden="1" ht="1" customHeight="1">
      <s:c r="A2461" s="120" t="inlineStr"/>
      <s:c r="B2461" s="121" t="n"/>
      <s:c r="C2461" s="121" t="n"/>
      <s:c r="D2461" s="121" t="n"/>
      <s:c r="E2461" s="122" t="n"/>
    </s:row>
    <s:row r="2462" hidden="1" ht="1" customHeight="1">
      <s:c r="A2462" s="120" t="inlineStr"/>
      <s:c r="B2462" s="121" t="n"/>
      <s:c r="C2462" s="121" t="n"/>
      <s:c r="D2462" s="121" t="n"/>
      <s:c r="E2462" s="122" t="n"/>
    </s:row>
    <s:row r="2463" hidden="1" ht="1" customHeight="1">
      <s:c r="A2463" s="120" t="inlineStr"/>
      <s:c r="B2463" s="121" t="n"/>
      <s:c r="C2463" s="121" t="n"/>
      <s:c r="D2463" s="121" t="n"/>
      <s:c r="E2463" s="122" t="n"/>
    </s:row>
    <s:row r="2464" hidden="1" ht="1" customHeight="1">
      <s:c r="A2464" s="120" t="inlineStr"/>
      <s:c r="B2464" s="121" t="n"/>
      <s:c r="C2464" s="121" t="n"/>
      <s:c r="D2464" s="121" t="n"/>
      <s:c r="E2464" s="122" t="n"/>
    </s:row>
    <s:row r="2465" hidden="1" ht="1" customHeight="1">
      <s:c r="A2465" s="120" t="inlineStr"/>
      <s:c r="B2465" s="121" t="n"/>
      <s:c r="C2465" s="121" t="n"/>
      <s:c r="D2465" s="121" t="n"/>
      <s:c r="E2465" s="122" t="n"/>
    </s:row>
    <s:row r="2466" hidden="1" ht="1" customHeight="1">
      <s:c r="A2466" s="120" t="inlineStr"/>
      <s:c r="B2466" s="121" t="n"/>
      <s:c r="C2466" s="121" t="n"/>
      <s:c r="D2466" s="121" t="n"/>
      <s:c r="E2466" s="122" t="n"/>
    </s:row>
    <s:row r="2467" hidden="1" ht="1" customHeight="1">
      <s:c r="A2467" s="120" t="inlineStr"/>
      <s:c r="B2467" s="121" t="n"/>
      <s:c r="C2467" s="121" t="n"/>
      <s:c r="D2467" s="121" t="n"/>
      <s:c r="E2467" s="122" t="n"/>
    </s:row>
    <s:row r="2468" hidden="1" ht="1" customHeight="1">
      <s:c r="A2468" s="120" t="inlineStr"/>
      <s:c r="B2468" s="121" t="n"/>
      <s:c r="C2468" s="121" t="n"/>
      <s:c r="D2468" s="121" t="n"/>
      <s:c r="E2468" s="122" t="n"/>
    </s:row>
    <s:row r="2469" hidden="1" ht="1" customHeight="1">
      <s:c r="A2469" s="120" t="inlineStr"/>
      <s:c r="B2469" s="121" t="n"/>
      <s:c r="C2469" s="121" t="n"/>
      <s:c r="D2469" s="121" t="n"/>
      <s:c r="E2469" s="122" t="n"/>
    </s:row>
    <s:row r="2470" hidden="1" ht="1" customHeight="1">
      <s:c r="A2470" s="120" t="inlineStr"/>
      <s:c r="B2470" s="121" t="n"/>
      <s:c r="C2470" s="121" t="n"/>
      <s:c r="D2470" s="121" t="n"/>
      <s:c r="E2470" s="122" t="n"/>
    </s:row>
    <s:row r="2471" hidden="1" ht="1" customHeight="1">
      <s:c r="A2471" s="120" t="inlineStr"/>
      <s:c r="B2471" s="121" t="n"/>
      <s:c r="C2471" s="121" t="n"/>
      <s:c r="D2471" s="121" t="n"/>
      <s:c r="E2471" s="122" t="n"/>
    </s:row>
    <s:row r="2472" hidden="1" ht="1" customHeight="1">
      <s:c r="A2472" s="120" t="inlineStr"/>
      <s:c r="B2472" s="121" t="n"/>
      <s:c r="C2472" s="121" t="n"/>
      <s:c r="D2472" s="121" t="n"/>
      <s:c r="E2472" s="122" t="n"/>
    </s:row>
    <s:row r="2473" hidden="1" ht="1" customHeight="1">
      <s:c r="A2473" s="120" t="inlineStr"/>
      <s:c r="B2473" s="121" t="n"/>
      <s:c r="C2473" s="121" t="n"/>
      <s:c r="D2473" s="121" t="n"/>
      <s:c r="E2473" s="122" t="n"/>
    </s:row>
    <s:row r="2474" hidden="1" ht="1" customHeight="1">
      <s:c r="A2474" s="120" t="inlineStr"/>
      <s:c r="B2474" s="121" t="n"/>
      <s:c r="C2474" s="121" t="n"/>
      <s:c r="D2474" s="121" t="n"/>
      <s:c r="E2474" s="122" t="n"/>
    </s:row>
    <s:row r="2475" hidden="1" ht="1" customHeight="1">
      <s:c r="A2475" s="120" t="inlineStr"/>
      <s:c r="B2475" s="121" t="n"/>
      <s:c r="C2475" s="121" t="n"/>
      <s:c r="D2475" s="121" t="n"/>
      <s:c r="E2475" s="122" t="n"/>
    </s:row>
    <s:row r="2476" hidden="1" ht="1" customHeight="1">
      <s:c r="A2476" s="83" t="inlineStr">
        <s:is>
          <s:t>PASS</s:t>
        </s:is>
      </s:c>
      <s:c r="B2476" s="83">
        <s:f>SUM(IF(EXACT('Kiểm thử'!E2426,"Đạt"),1,0))</s:f>
        <s:v/>
      </s:c>
      <s:c r="C2476" s="19" t="n"/>
      <s:c r="D2476" s="19" t="n"/>
      <s:c r="E2476" s="19" t="n"/>
    </s:row>
    <s:row r="2477" hidden="1" ht="1" customHeight="1">
      <s:c r="A2477" s="83" t="inlineStr">
        <s:is>
          <s:t>FAIL</s:t>
        </s:is>
      </s:c>
      <s:c r="B2477" s="83">
        <s:f>SUM(IF(EXACT('Kiểm thử'!E2426,"Không đạt"),1,0))</s:f>
        <s:v/>
      </s:c>
      <s:c r="C2477" s="19" t="n"/>
      <s:c r="D2477" s="19" t="n"/>
      <s:c r="E2477" s="19" t="n"/>
    </s:row>
    <s:row r="2478" hidden="1" ht="1" customHeight="1">
      <s:c r="A2478" s="83" t="inlineStr">
        <s:is>
          <s:t>BLOCKED</s:t>
        </s:is>
      </s:c>
      <s:c r="B2478" s="83">
        <s:f>SUM(IF(EXACT('Kiểm thử'!E2426,"Bị chặn"),1,0))</s:f>
        <s:v/>
      </s:c>
      <s:c r="C2478" s="19" t="n"/>
      <s:c r="D2478" s="19" t="n"/>
      <s:c r="E2478" s="19" t="n"/>
    </s:row>
    <s:row r="2479" hidden="1" ht="1" customHeight="1">
      <s:c r="A2479" s="83" t="inlineStr">
        <s:is>
          <s:t>SKIPPED</s:t>
        </s:is>
      </s:c>
      <s:c r="B2479" s="83">
        <s:f>SUM(IF(EXACT('Kiểm thử'!E2426,"Không thực hiện"),1,0))</s:f>
        <s:v/>
      </s:c>
      <s:c r="C2479" s="19" t="n"/>
      <s:c r="D2479" s="19" t="n"/>
      <s:c r="E2479" s="19" t="n"/>
    </s:row>
    <s:row r="2480" hidden="1" ht="1" customHeight="1">
      <s:c r="A2480" s="83" t="inlineStr">
        <s:is>
          <s:t>NOT RUN</s:t>
        </s:is>
      </s:c>
      <s:c r="B2480" s="83">
        <s:f>SUM(IF(EXACT('Kiểm thử'!E2426,"Chưa thực hiện"),1,0))</s:f>
        <s:v/>
      </s:c>
      <s:c r="C2480" s="19" t="n"/>
      <s:c r="D2480" s="19" t="n"/>
      <s:c r="E2480" s="19" t="n"/>
    </s:row>
    <s:row r="2481" hidden="1" ht="6" customHeight="1">
      <s:c r="A2481" s="83" t="inlineStr"/>
      <s:c r="B2481" s="19" t="n"/>
      <s:c r="C2481" s="19" t="n"/>
      <s:c r="D2481" s="19" t="n"/>
      <s:c r="E2481" s="19" t="n"/>
    </s:row>
    <s:row r="2482" ht="28" customHeight="1">
      <s:c r="A2482" s="108" t="inlineStr">
        <s:is>
          <s:t>TC-RS-BR-041 — Điều kiện trung bình cùng nguồn kết hợp AND</s:t>
        </s:is>
      </s:c>
      <s:c r="B2482" s="111" t="n"/>
      <s:c r="C2482" s="111" t="n"/>
      <s:c r="D2482" s="111" t="n"/>
      <s:c r="E2482" s="111" t="n"/>
    </s:row>
    <s:row r="2483" ht="20" customHeight="1">
      <s:c r="A2483" s="112" t="inlineStr">
        <s:is>
          <s:t>Kết quả tình huống</s:t>
        </s:is>
      </s:c>
      <s:c r="B2483" s="113">
        <s:f>IF(SUM(IF(EXACT('Kiểm thử'!E2493,"Không đạt"),1,0),IF(EXACT('Kiểm thử'!E2495,"Không đạt"),1,0),IF(EXACT('Kiểm thử'!E2497,"Không đạt"),1,0),IF(EXACT('Kiểm thử'!E2499,"Không đạt"),1,0),IF(EXACT('Kiểm thử'!E2501,"Không đạt"),1,0),IF(EXACT('Kiểm thử'!E2503,"Không đạt"),1,0),IF(EXACT('Kiểm thử'!E2505,"Không đạt"),1,0),IF(EXACT('Kiểm thử'!E2507,"Không đạt"),1,0),IF(EXACT('Kiểm thử'!E2509,"Không đạt"),1,0),IF(EXACT('Kiểm thử'!E2511,"Không đạt"),1,0),IF(EXACT('Kiểm thử'!E2513,"Không đạt"),1,0),IF(EXACT('Kiểm thử'!E2515,"Không đạt"),1,0),IF(EXACT('Kiểm thử'!E2517,"Không đạt"),1,0),IF(EXACT('Kiểm thử'!E2519,"Không đạt"),1,0),IF(EXACT('Kiểm thử'!E2521,"Không đạt"),1,0),IF(EXACT('Kiểm thử'!E2523,"Không đạt"),1,0),IF(EXACT('Kiểm thử'!E2525,"Không đạt"),1,0),IF(EXACT('Kiểm thử'!E2527,"Không đạt"),1,0),IF(EXACT('Kiểm thử'!E2529,"Không đạt"),1,0),IF(EXACT('Kiểm thử'!E2531,"Không đạt"),1,0),IF(EXACT('Kiểm thử'!E2533,"Không đạt"),1,0),IF(EXACT('Kiểm thử'!E2535,"Không đạt"),1,0))&gt;0,"Không đạt",IF(SUM(IF(EXACT('Kiểm thử'!E2493,"Đạt"),1,0),IF(EXACT('Kiểm thử'!E2495,"Đạt"),1,0),IF(EXACT('Kiểm thử'!E2497,"Đạt"),1,0),IF(EXACT('Kiểm thử'!E2499,"Đạt"),1,0),IF(EXACT('Kiểm thử'!E2501,"Đạt"),1,0),IF(EXACT('Kiểm thử'!E2503,"Đạt"),1,0),IF(EXACT('Kiểm thử'!E2505,"Đạt"),1,0),IF(EXACT('Kiểm thử'!E2507,"Đạt"),1,0),IF(EXACT('Kiểm thử'!E2509,"Đạt"),1,0),IF(EXACT('Kiểm thử'!E2511,"Đạt"),1,0),IF(EXACT('Kiểm thử'!E2513,"Đạt"),1,0),IF(EXACT('Kiểm thử'!E2515,"Đạt"),1,0),IF(EXACT('Kiểm thử'!E2517,"Đạt"),1,0),IF(EXACT('Kiểm thử'!E2519,"Đạt"),1,0),IF(EXACT('Kiểm thử'!E2521,"Đạt"),1,0),IF(EXACT('Kiểm thử'!E2523,"Đạt"),1,0),IF(EXACT('Kiểm thử'!E2525,"Đạt"),1,0),IF(EXACT('Kiểm thử'!E2527,"Đạt"),1,0),IF(EXACT('Kiểm thử'!E2529,"Đạt"),1,0),IF(EXACT('Kiểm thử'!E2531,"Đạt"),1,0),IF(EXACT('Kiểm thử'!E2533,"Đạt"),1,0),IF(EXACT('Kiểm thử'!E2535,"Đạt"),1,0))=22,"Đạt",IF(SUM(IF(EXACT('Kiểm thử'!E2493,"Không thực hiện"),1,0),IF(EXACT('Kiểm thử'!E2495,"Không thực hiện"),1,0),IF(EXACT('Kiểm thử'!E2497,"Không thực hiện"),1,0),IF(EXACT('Kiểm thử'!E2499,"Không thực hiện"),1,0),IF(EXACT('Kiểm thử'!E2501,"Không thực hiện"),1,0),IF(EXACT('Kiểm thử'!E2503,"Không thực hiện"),1,0),IF(EXACT('Kiểm thử'!E2505,"Không thực hiện"),1,0),IF(EXACT('Kiểm thử'!E2507,"Không thực hiện"),1,0),IF(EXACT('Kiểm thử'!E2509,"Không thực hiện"),1,0),IF(EXACT('Kiểm thử'!E2511,"Không thực hiện"),1,0),IF(EXACT('Kiểm thử'!E2513,"Không thực hiện"),1,0),IF(EXACT('Kiểm thử'!E2515,"Không thực hiện"),1,0),IF(EXACT('Kiểm thử'!E2517,"Không thực hiện"),1,0),IF(EXACT('Kiểm thử'!E2519,"Không thực hiện"),1,0),IF(EXACT('Kiểm thử'!E2521,"Không thực hiện"),1,0),IF(EXACT('Kiểm thử'!E2523,"Không thực hiện"),1,0),IF(EXACT('Kiểm thử'!E2525,"Không thực hiện"),1,0),IF(EXACT('Kiểm thử'!E2527,"Không thực hiện"),1,0),IF(EXACT('Kiểm thử'!E2529,"Không thực hiện"),1,0),IF(EXACT('Kiểm thử'!E2531,"Không thực hiện"),1,0),IF(EXACT('Kiểm thử'!E2533,"Không thực hiện"),1,0),IF(EXACT('Kiểm thử'!E2535,"Không thực hiện"),1,0))=22,"Không thực hiện",IF(SUM(IF(EXACT('Kiểm thử'!E2493,"Bị chặn"),1,0),IF(EXACT('Kiểm thử'!E2495,"Bị chặn"),1,0),IF(EXACT('Kiểm thử'!E2497,"Bị chặn"),1,0),IF(EXACT('Kiểm thử'!E2499,"Bị chặn"),1,0),IF(EXACT('Kiểm thử'!E2501,"Bị chặn"),1,0),IF(EXACT('Kiểm thử'!E2503,"Bị chặn"),1,0),IF(EXACT('Kiểm thử'!E2505,"Bị chặn"),1,0),IF(EXACT('Kiểm thử'!E2507,"Bị chặn"),1,0),IF(EXACT('Kiểm thử'!E2509,"Bị chặn"),1,0),IF(EXACT('Kiểm thử'!E2511,"Bị chặn"),1,0),IF(EXACT('Kiểm thử'!E2513,"Bị chặn"),1,0),IF(EXACT('Kiểm thử'!E2515,"Bị chặn"),1,0),IF(EXACT('Kiểm thử'!E2517,"Bị chặn"),1,0),IF(EXACT('Kiểm thử'!E2519,"Bị chặn"),1,0),IF(EXACT('Kiểm thử'!E2521,"Bị chặn"),1,0),IF(EXACT('Kiểm thử'!E2523,"Bị chặn"),1,0),IF(EXACT('Kiểm thử'!E2525,"Bị chặn"),1,0),IF(EXACT('Kiểm thử'!E2527,"Bị chặn"),1,0),IF(EXACT('Kiểm thử'!E2529,"Bị chặn"),1,0),IF(EXACT('Kiểm thử'!E2531,"Bị chặn"),1,0),IF(EXACT('Kiểm thử'!E2533,"Bị chặn"),1,0),IF(EXACT('Kiểm thử'!E2535,"Bị chặn"),1,0))&gt;0,"Bị chặn",IF(SUM(IF(EXACT('Kiểm thử'!E2493,"Chưa thực hiện"),1,0),IF(EXACT('Kiểm thử'!E2495,"Chưa thực hiện"),1,0),IF(EXACT('Kiểm thử'!E2497,"Chưa thực hiện"),1,0),IF(EXACT('Kiểm thử'!E2499,"Chưa thực hiện"),1,0),IF(EXACT('Kiểm thử'!E2501,"Chưa thực hiện"),1,0),IF(EXACT('Kiểm thử'!E2503,"Chưa thực hiện"),1,0),IF(EXACT('Kiểm thử'!E2505,"Chưa thực hiện"),1,0),IF(EXACT('Kiểm thử'!E2507,"Chưa thực hiện"),1,0),IF(EXACT('Kiểm thử'!E2509,"Chưa thực hiện"),1,0),IF(EXACT('Kiểm thử'!E2511,"Chưa thực hiện"),1,0),IF(EXACT('Kiểm thử'!E2513,"Chưa thực hiện"),1,0),IF(EXACT('Kiểm thử'!E2515,"Chưa thực hiện"),1,0),IF(EXACT('Kiểm thử'!E2517,"Chưa thực hiện"),1,0),IF(EXACT('Kiểm thử'!E2519,"Chưa thực hiện"),1,0),IF(EXACT('Kiểm thử'!E2521,"Chưa thực hiện"),1,0),IF(EXACT('Kiểm thử'!E2523,"Chưa thực hiện"),1,0),IF(EXACT('Kiểm thử'!E2525,"Chưa thực hiện"),1,0),IF(EXACT('Kiểm thử'!E2527,"Chưa thực hiện"),1,0),IF(EXACT('Kiểm thử'!E2529,"Chưa thực hiện"),1,0),IF(EXACT('Kiểm thử'!E2531,"Chưa thực hiện"),1,0),IF(EXACT('Kiểm thử'!E2533,"Chưa thực hiện"),1,0),IF(EXACT('Kiểm thử'!E2535,"Chưa thực hiện"),1,0))=22,"Chưa thực hiện","Đang thực hiện")))))</s:f>
        <s:v/>
      </s:c>
      <s:c r="C2483" s="114" t="n"/>
      <s:c r="D2483" s="114" t="n"/>
      <s:c r="E2483" s="114" t="n"/>
    </s:row>
    <s:row r="2484" ht="20" customHeight="1">
      <s:c r="A2484" s="112" t="inlineStr">
        <s:is>
          <s:t>Màn hình / chức năng</s:t>
        </s:is>
      </s:c>
      <s:c r="B2484" s="113" t="inlineStr">
        <s:is>
          <s:r>
            <s:rPr>
              <s:b val="1"/>
            </s:rPr>
            <s:t>Điều kiện áp dụng（適用条件）</s:t>
          </s:r>
        </s:is>
      </s:c>
      <s:c r="C2484" s="28" t="n"/>
      <s:c r="D2484" s="28" t="n"/>
      <s:c r="E2484" s="28" t="n"/>
    </s:row>
    <s:row r="2485" ht="34" customHeight="1">
      <s:c r="A2485" s="112" t="inlineStr">
        <s:is>
          <s:t>Cấu hình</s:t>
        </s:is>
      </s:c>
      <s:c r="B2485" s="113" t="inlineStr">
        <s:is>
          <s:r>
            <s:t>• Mỗi biến thể chỉ thay một nhóm điều kiện, cùng rule và cùng đối tượng áp dụng;
• Ngưỡng cố định [</s:t>
          </s:r>
          <s:r>
            <s:rPr>
              <s:b val="1"/>
            </s:rPr>
            <s:t>T=70</s:t>
          </s:r>
          <s:r>
            <s:t>], dấu [&lt;], P1 có [</s:t>
          </s:r>
          <s:r>
            <s:rPr>
              <s:b val="1"/>
            </s:rPr>
            <s:t>S=60</s:t>
          </s:r>
          <s:r>
            <s:t>] và thuộc phạm vi áp dụng.</s:t>
          </s:r>
        </s:is>
      </s:c>
      <s:c r="C2485" s="28" t="n"/>
      <s:c r="D2485" s="28" t="n"/>
      <s:c r="E2485" s="28" t="n"/>
    </s:row>
    <s:row r="2486" ht="118" customHeight="1">
      <s:c r="A2486" s="112" t="inlineStr">
        <s:is>
          <s:t>Dữ liệu test</s:t>
        </s:is>
      </s:c>
      <s:c r="B2486" s="113" t="inlineStr">
        <s:is>
          <s:t>• TD-SRC-17…24 cho A;
• TD-SRC-11…13 cho R;
• TD-SRC-14…16 cho A+R;
• TD-GRP-04 cho ba bộ lọc;
• TD-SRC-26…29 cho trạng thái thiếu/lỗi dữ liệu. Giá trị và thao tác từng lượt ở bảng Variants. Đây là fixture cần provision/quan sát, chưa phải dữ liệu đã có. Mỗi lượt reset và có identity/snapshot/reader riêng;
• Không tái sử dụng kết quả từ lượt trước.</s:t>
        </s:is>
      </s:c>
      <s:c r="C2486" s="28" t="n"/>
      <s:c r="D2486" s="28" t="n"/>
      <s:c r="E2486" s="28" t="n"/>
    </s:row>
    <s:row r="2487" ht="34" customHeight="1">
      <s:c r="A2487" s="112" t="inlineStr">
        <s:is>
          <s:t>Bước 1</s:t>
        </s:is>
      </s:c>
      <s:c r="B2487" s="113" t="inlineStr">
        <s:is>
          <s:t>Khôi phục baseline riêng của trường hợp đang chạy; xác minh đúng fixture, identity và giá trị qua reader/UI.</s:t>
        </s:is>
      </s:c>
      <s:c r="C2487" s="28" t="n"/>
      <s:c r="D2487" s="28" t="n"/>
      <s:c r="E2487" s="28" t="n"/>
    </s:row>
    <s:row r="2488" ht="34" customHeight="1">
      <s:c r="A2488" s="112" t="inlineStr">
        <s:is>
          <s:t>Bước 2</s:t>
        </s:is>
      </s:c>
      <s:c r="B2488" s="113" t="inlineStr">
        <s:is>
          <s:t>Lưu điều kiện cùng rule, bộ nguồn và bộ lọc theo dữ liệu/thao tác riêng của trường hợp; không thay nguồn từ lượt trước.</s:t>
        </s:is>
      </s:c>
      <s:c r="C2488" s="28" t="n"/>
      <s:c r="D2488" s="28" t="n"/>
      <s:c r="E2488" s="28" t="n"/>
    </s:row>
    <s:row r="2489" ht="20" customHeight="1">
      <s:c r="A2489" s="112" t="inlineStr">
        <s:is>
          <s:t>Bước 3</s:t>
        </s:is>
      </s:c>
      <s:c r="B2489" s="113" t="inlineStr">
        <s:is>
          <s:t>Chạy xét, đọc điểm, trạng thái kết quả và nguồn đã dùng; lưu bằng chứng riêng.</s:t>
        </s:is>
      </s:c>
      <s:c r="C2489" s="28" t="n"/>
      <s:c r="D2489" s="28" t="n"/>
      <s:c r="E2489" s="28" t="n"/>
    </s:row>
    <s:row r="2490" ht="34" customHeight="1">
      <s:c r="A2490" s="112" t="inlineStr">
        <s:is>
          <s:t>Bước 4</s:t>
        </s:is>
      </s:c>
      <s:c r="B2490" s="113" t="inlineStr">
        <s:is>
          <s:r>
            <s:t xml:space="preserve">Mở lại chính rule để đối chiếu nguồn và phép </s:t>
          </s:r>
          <s:r>
            <s:rPr>
              <s:b val="1"/>
            </s:rPr>
            <s:t>AND</s:t>
          </s:r>
          <s:r>
            <s:t>. Nhánh reopen-summary kiểm lại các cấu hình đã thực hiện, không tạo fixture mới.</s:t>
          </s:r>
        </s:is>
      </s:c>
      <s:c r="C2490" s="28" t="n"/>
      <s:c r="D2490" s="28" t="n"/>
      <s:c r="E2490" s="28" t="n"/>
    </s:row>
    <s:row r="2491" ht="28" customHeight="1">
      <s:c r="A2491" s="115" t="inlineStr">
        <s:is>
          <s:t>Trường hợp</s:t>
        </s:is>
      </s:c>
      <s:c r="B2491" s="115" t="inlineStr">
        <s:is>
          <s:t>Dữ liệu / thao tác riêng</s:t>
        </s:is>
      </s:c>
      <s:c r="C2491" s="115" t="inlineStr">
        <s:is>
          <s:t>Kết quả mong đợi</s:t>
        </s:is>
      </s:c>
      <s:c r="D2491" s="115" t="inlineStr">
        <s:is>
          <s:t>Kết quả thực tế</s:t>
        </s:is>
      </s:c>
      <s:c r="E2491" s="115" t="inlineStr">
        <s:is>
          <s:t>Đánh giá</s:t>
        </s:is>
      </s:c>
    </s:row>
    <s:row r="2492" ht="3" customHeight="1">
      <s:c r="A2492" s="102" t="inlineStr"/>
      <s:c r="B2492" s="99" t="n"/>
      <s:c r="C2492" s="99" t="n"/>
      <s:c r="D2492" s="116" t="n"/>
      <s:c r="E2492" s="116" t="n"/>
    </s:row>
    <s:row r="2493" ht="174" customHeight="1">
      <s:c r="A2493" s="83" t="inlineStr">
        <s:is>
          <s:t>Dưới cận dưới (A-P9)</s:t>
        </s:is>
      </s:c>
      <s:c r="B2493" s="83" t="inlineStr">
        <s:is>
          <s:r>
            <s:t xml:space="preserve">TD-SRC-17, snapshot BR041-A-P9; P9 có </s:t>
          </s:r>
          <s:r>
            <s:rPr>
              <s:b val="1"/>
            </s:rPr>
            <s:t>A=40</s:t>
          </s:r>
          <s:r>
            <s:t xml:space="preserve">, </s:t>
          </s:r>
          <s:r>
            <s:rPr>
              <s:b val="1"/>
            </s:rPr>
            <s:t>S=60</s:t>
          </s:r>
          <s:r>
            <s:t xml:space="preserve">, </s:t>
          </s:r>
          <s:r>
            <s:rPr>
              <s:b val="1"/>
            </s:rPr>
            <s:t>T=70</s:t>
          </s:r>
          <s:r>
            <s:t xml:space="preserve">, dấu &lt;. Lưu điều kiện cùng nguồn </s:t>
          </s:r>
          <s:r>
            <s:rPr>
              <s:b val="1"/>
            </s:rPr>
            <s:t>A≥50</s:t>
          </s:r>
          <s:r>
            <s:t xml:space="preserve"> </s:t>
          </s:r>
          <s:r>
            <s:rPr>
              <s:b val="1"/>
            </s:rPr>
            <s:t>AND</s:t>
          </s:r>
          <s:r>
            <s:t xml:space="preserve"> </s:t>
          </s:r>
          <s:r>
            <s:rPr>
              <s:b val="1"/>
            </s:rPr>
            <s:t>A&lt;70</s:t>
          </s:r>
          <s:r>
            <s:t>; reset và xác minh reader trước khi xét.</s:t>
          </s:r>
        </s:is>
      </s:c>
      <s:c r="C2493" s="83" t="inlineStr">
        <s:is>
          <s:r>
            <s:rPr>
              <s:b val="1"/>
            </s:rPr>
            <s:t>A≥50</s:t>
          </s:r>
          <s:r>
            <s:t xml:space="preserve"> không thỏa → P9 </s:t>
          </s:r>
          <s:r>
            <s:rPr>
              <s:b val="1"/>
            </s:rPr>
            <s:t>Không áp dụng</s:t>
          </s:r>
          <s:r>
            <s:t xml:space="preserve">; không có dấu đỏ.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493" s="117" t="inlineStr"/>
      <s:c r="E2493" s="118" t="inlineStr">
        <s:is>
          <s:t>Chưa thực hiện</s:t>
        </s:is>
      </s:c>
    </s:row>
    <s:row r="2494" ht="3" customHeight="1">
      <s:c r="A2494" s="102" t="inlineStr"/>
      <s:c r="B2494" s="99" t="n"/>
      <s:c r="C2494" s="99" t="n"/>
      <s:c r="D2494" s="116" t="n"/>
      <s:c r="E2494" s="116" t="n"/>
    </s:row>
    <s:row r="2495" ht="160" customHeight="1">
      <s:c r="A2495" s="83" t="inlineStr">
        <s:is>
          <s:t>Bằng cận dưới (A-P10)</s:t>
        </s:is>
      </s:c>
      <s:c r="B2495" s="83" t="inlineStr">
        <s:is>
          <s:r>
            <s:t xml:space="preserve">TD-SRC-18, snapshot BR041-A-P10; P10 có </s:t>
          </s:r>
          <s:r>
            <s:rPr>
              <s:b val="1"/>
            </s:rPr>
            <s:t>A=50</s:t>
          </s:r>
          <s:r>
            <s:t xml:space="preserve">, </s:t>
          </s:r>
          <s:r>
            <s:rPr>
              <s:b val="1"/>
            </s:rPr>
            <s:t>S=60</s:t>
          </s:r>
          <s:r>
            <s:t xml:space="preserve">, </s:t>
          </s:r>
          <s:r>
            <s:rPr>
              <s:b val="1"/>
            </s:rPr>
            <s:t>T=70</s:t>
          </s:r>
          <s:r>
            <s:t xml:space="preserve">, dấu &lt;. Lưu điều kiện cùng nguồn </s:t>
          </s:r>
          <s:r>
            <s:rPr>
              <s:b val="1"/>
            </s:rPr>
            <s:t>A≥50</s:t>
          </s:r>
          <s:r>
            <s:t xml:space="preserve"> </s:t>
          </s:r>
          <s:r>
            <s:rPr>
              <s:b val="1"/>
            </s:rPr>
            <s:t>AND</s:t>
          </s:r>
          <s:r>
            <s:t xml:space="preserve"> </s:t>
          </s:r>
          <s:r>
            <s:rPr>
              <s:b val="1"/>
            </s:rPr>
            <s:t>A&lt;70</s:t>
          </s:r>
          <s:r>
            <s:t>; reset và xác minh reader trước khi xét.</s:t>
          </s:r>
        </s:is>
      </s:c>
      <s:c r="C2495" s="83" t="inlineStr">
        <s:is>
          <s:r>
            <s:rPr>
              <s:b val="1"/>
            </s:rPr>
            <s:t>A≥50</s:t>
          </s:r>
          <s:r>
            <s:t xml:space="preserve"> và </s:t>
          </s:r>
          <s:r>
            <s:rPr>
              <s:b val="1"/>
            </s:rPr>
            <s:t>A&lt;70</s:t>
          </s:r>
          <s:r>
            <s:t xml:space="preserve"> đều thỏa → P10 </s:t>
          </s:r>
          <s:r>
            <s:rPr>
              <s:b val="1"/>
            </s:rPr>
            <s:t>Đỏ</s:t>
          </s:r>
          <s:r>
            <s:t xml:space="preserve"> vì 60&lt;70.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495" s="117" t="inlineStr"/>
      <s:c r="E2495" s="118" t="inlineStr">
        <s:is>
          <s:t>Chưa thực hiện</s:t>
        </s:is>
      </s:c>
    </s:row>
    <s:row r="2496" ht="3" customHeight="1">
      <s:c r="A2496" s="102" t="inlineStr"/>
      <s:c r="B2496" s="99" t="n"/>
      <s:c r="C2496" s="99" t="n"/>
      <s:c r="D2496" s="116" t="n"/>
      <s:c r="E2496" s="116" t="n"/>
    </s:row>
    <s:row r="2497" ht="160" customHeight="1">
      <s:c r="A2497" s="83" t="inlineStr">
        <s:is>
          <s:t>Trong khoảng (A-P11)</s:t>
        </s:is>
      </s:c>
      <s:c r="B2497" s="83" t="inlineStr">
        <s:is>
          <s:r>
            <s:t xml:space="preserve">TD-SRC-19, snapshot BR041-A-P11; P11 có </s:t>
          </s:r>
          <s:r>
            <s:rPr>
              <s:b val="1"/>
            </s:rPr>
            <s:t>A=60</s:t>
          </s:r>
          <s:r>
            <s:t xml:space="preserve">, </s:t>
          </s:r>
          <s:r>
            <s:rPr>
              <s:b val="1"/>
            </s:rPr>
            <s:t>S=60</s:t>
          </s:r>
          <s:r>
            <s:t xml:space="preserve">, </s:t>
          </s:r>
          <s:r>
            <s:rPr>
              <s:b val="1"/>
            </s:rPr>
            <s:t>T=70</s:t>
          </s:r>
          <s:r>
            <s:t xml:space="preserve">, dấu &lt;. Lưu điều kiện cùng nguồn </s:t>
          </s:r>
          <s:r>
            <s:rPr>
              <s:b val="1"/>
            </s:rPr>
            <s:t>A≥50</s:t>
          </s:r>
          <s:r>
            <s:t xml:space="preserve"> </s:t>
          </s:r>
          <s:r>
            <s:rPr>
              <s:b val="1"/>
            </s:rPr>
            <s:t>AND</s:t>
          </s:r>
          <s:r>
            <s:t xml:space="preserve"> </s:t>
          </s:r>
          <s:r>
            <s:rPr>
              <s:b val="1"/>
            </s:rPr>
            <s:t>A&lt;70</s:t>
          </s:r>
          <s:r>
            <s:t>; reset và xác minh reader trước khi xét.</s:t>
          </s:r>
        </s:is>
      </s:c>
      <s:c r="C2497" s="83" t="inlineStr">
        <s:is>
          <s:r>
            <s:rPr>
              <s:b val="1"/>
            </s:rPr>
            <s:t>A≥50</s:t>
          </s:r>
          <s:r>
            <s:t xml:space="preserve"> và </s:t>
          </s:r>
          <s:r>
            <s:rPr>
              <s:b val="1"/>
            </s:rPr>
            <s:t>A&lt;70</s:t>
          </s:r>
          <s:r>
            <s:t xml:space="preserve"> đều thỏa → P11 </s:t>
          </s:r>
          <s:r>
            <s:rPr>
              <s:b val="1"/>
            </s:rPr>
            <s:t>Đỏ</s:t>
          </s:r>
          <s:r>
            <s:t xml:space="preserve"> vì 60&lt;70.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497" s="117" t="inlineStr"/>
      <s:c r="E2497" s="118" t="inlineStr">
        <s:is>
          <s:t>Chưa thực hiện</s:t>
        </s:is>
      </s:c>
    </s:row>
    <s:row r="2498" ht="3" customHeight="1">
      <s:c r="A2498" s="102" t="inlineStr"/>
      <s:c r="B2498" s="99" t="n"/>
      <s:c r="C2498" s="99" t="n"/>
      <s:c r="D2498" s="116" t="n"/>
      <s:c r="E2498" s="116" t="n"/>
    </s:row>
    <s:row r="2499" ht="174" customHeight="1">
      <s:c r="A2499" s="83" t="inlineStr">
        <s:is>
          <s:t>Bằng cận trên (A-P12)</s:t>
        </s:is>
      </s:c>
      <s:c r="B2499" s="83" t="inlineStr">
        <s:is>
          <s:r>
            <s:t xml:space="preserve">TD-SRC-20, snapshot BR041-A-P12; P12 có </s:t>
          </s:r>
          <s:r>
            <s:rPr>
              <s:b val="1"/>
            </s:rPr>
            <s:t>A=70</s:t>
          </s:r>
          <s:r>
            <s:t xml:space="preserve">, </s:t>
          </s:r>
          <s:r>
            <s:rPr>
              <s:b val="1"/>
            </s:rPr>
            <s:t>S=60</s:t>
          </s:r>
          <s:r>
            <s:t xml:space="preserve">, </s:t>
          </s:r>
          <s:r>
            <s:rPr>
              <s:b val="1"/>
            </s:rPr>
            <s:t>T=70</s:t>
          </s:r>
          <s:r>
            <s:t xml:space="preserve">, dấu &lt;. Lưu điều kiện cùng nguồn </s:t>
          </s:r>
          <s:r>
            <s:rPr>
              <s:b val="1"/>
            </s:rPr>
            <s:t>A≥50</s:t>
          </s:r>
          <s:r>
            <s:t xml:space="preserve"> </s:t>
          </s:r>
          <s:r>
            <s:rPr>
              <s:b val="1"/>
            </s:rPr>
            <s:t>AND</s:t>
          </s:r>
          <s:r>
            <s:t xml:space="preserve"> </s:t>
          </s:r>
          <s:r>
            <s:rPr>
              <s:b val="1"/>
            </s:rPr>
            <s:t>A&lt;70</s:t>
          </s:r>
          <s:r>
            <s:t>; reset và xác minh reader trước khi xét.</s:t>
          </s:r>
        </s:is>
      </s:c>
      <s:c r="C2499" s="83" t="inlineStr">
        <s:is>
          <s:r>
            <s:rPr>
              <s:b val="1"/>
            </s:rPr>
            <s:t>A&lt;70</s:t>
          </s:r>
          <s:r>
            <s:t xml:space="preserve"> không thỏa → P12 </s:t>
          </s:r>
          <s:r>
            <s:rPr>
              <s:b val="1"/>
            </s:rPr>
            <s:t>Không áp dụng</s:t>
          </s:r>
          <s:r>
            <s:t xml:space="preserve">; không có dấu đỏ.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499" s="117" t="inlineStr"/>
      <s:c r="E2499" s="118" t="inlineStr">
        <s:is>
          <s:t>Chưa thực hiện</s:t>
        </s:is>
      </s:c>
    </s:row>
    <s:row r="2500" ht="3" customHeight="1">
      <s:c r="A2500" s="102" t="inlineStr"/>
      <s:c r="B2500" s="99" t="n"/>
      <s:c r="C2500" s="99" t="n"/>
      <s:c r="D2500" s="116" t="n"/>
      <s:c r="E2500" s="116" t="n"/>
    </s:row>
    <s:row r="2501" ht="174" customHeight="1">
      <s:c r="A2501" s="83" t="inlineStr">
        <s:is>
          <s:t>Sát dưới cận dưới (A-P13)</s:t>
        </s:is>
      </s:c>
      <s:c r="B2501" s="83" t="inlineStr">
        <s:is>
          <s:r>
            <s:t xml:space="preserve">TD-SRC-21, snapshot BR041-A-P13; P13 có </s:t>
          </s:r>
          <s:r>
            <s:rPr>
              <s:b val="1"/>
            </s:rPr>
            <s:t>A=49.9</s:t>
          </s:r>
          <s:r>
            <s:t xml:space="preserve">, </s:t>
          </s:r>
          <s:r>
            <s:rPr>
              <s:b val="1"/>
            </s:rPr>
            <s:t>S=60</s:t>
          </s:r>
          <s:r>
            <s:t xml:space="preserve">, </s:t>
          </s:r>
          <s:r>
            <s:rPr>
              <s:b val="1"/>
            </s:rPr>
            <s:t>T=70</s:t>
          </s:r>
          <s:r>
            <s:t xml:space="preserve">, dấu &lt;. Lưu điều kiện cùng nguồn </s:t>
          </s:r>
          <s:r>
            <s:rPr>
              <s:b val="1"/>
            </s:rPr>
            <s:t>A≥50</s:t>
          </s:r>
          <s:r>
            <s:t xml:space="preserve"> </s:t>
          </s:r>
          <s:r>
            <s:rPr>
              <s:b val="1"/>
            </s:rPr>
            <s:t>AND</s:t>
          </s:r>
          <s:r>
            <s:t xml:space="preserve"> </s:t>
          </s:r>
          <s:r>
            <s:rPr>
              <s:b val="1"/>
            </s:rPr>
            <s:t>A&lt;70</s:t>
          </s:r>
          <s:r>
            <s:t>; reset và xác minh reader trước khi xét.</s:t>
          </s:r>
        </s:is>
      </s:c>
      <s:c r="C2501" s="83" t="inlineStr">
        <s:is>
          <s:r>
            <s:rPr>
              <s:b val="1"/>
            </s:rPr>
            <s:t>A≥50</s:t>
          </s:r>
          <s:r>
            <s:t xml:space="preserve"> không thỏa → P13 </s:t>
          </s:r>
          <s:r>
            <s:rPr>
              <s:b val="1"/>
            </s:rPr>
            <s:t>Không áp dụng</s:t>
          </s:r>
          <s:r>
            <s:t xml:space="preserve">; không có dấu đỏ.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01" s="117" t="inlineStr"/>
      <s:c r="E2501" s="118" t="inlineStr">
        <s:is>
          <s:t>Chưa thực hiện</s:t>
        </s:is>
      </s:c>
    </s:row>
    <s:row r="2502" ht="3" customHeight="1">
      <s:c r="A2502" s="102" t="inlineStr"/>
      <s:c r="B2502" s="99" t="n"/>
      <s:c r="C2502" s="99" t="n"/>
      <s:c r="D2502" s="116" t="n"/>
      <s:c r="E2502" s="116" t="n"/>
    </s:row>
    <s:row r="2503" ht="160" customHeight="1">
      <s:c r="A2503" s="83" t="inlineStr">
        <s:is>
          <s:t>Cận dưới dạng thập phân (A-P14)</s:t>
        </s:is>
      </s:c>
      <s:c r="B2503" s="83" t="inlineStr">
        <s:is>
          <s:r>
            <s:t xml:space="preserve">TD-SRC-22, snapshot BR041-A-P14; P14 có </s:t>
          </s:r>
          <s:r>
            <s:rPr>
              <s:b val="1"/>
            </s:rPr>
            <s:t>A=50.0</s:t>
          </s:r>
          <s:r>
            <s:t xml:space="preserve">, </s:t>
          </s:r>
          <s:r>
            <s:rPr>
              <s:b val="1"/>
            </s:rPr>
            <s:t>S=60</s:t>
          </s:r>
          <s:r>
            <s:t xml:space="preserve">, </s:t>
          </s:r>
          <s:r>
            <s:rPr>
              <s:b val="1"/>
            </s:rPr>
            <s:t>T=70</s:t>
          </s:r>
          <s:r>
            <s:t xml:space="preserve">, dấu &lt;. Lưu điều kiện cùng nguồn </s:t>
          </s:r>
          <s:r>
            <s:rPr>
              <s:b val="1"/>
            </s:rPr>
            <s:t>A≥50</s:t>
          </s:r>
          <s:r>
            <s:t xml:space="preserve"> </s:t>
          </s:r>
          <s:r>
            <s:rPr>
              <s:b val="1"/>
            </s:rPr>
            <s:t>AND</s:t>
          </s:r>
          <s:r>
            <s:t xml:space="preserve"> </s:t>
          </s:r>
          <s:r>
            <s:rPr>
              <s:b val="1"/>
            </s:rPr>
            <s:t>A&lt;70</s:t>
          </s:r>
          <s:r>
            <s:t>; reset và xác minh reader trước khi xét.</s:t>
          </s:r>
        </s:is>
      </s:c>
      <s:c r="C2503" s="83" t="inlineStr">
        <s:is>
          <s:r>
            <s:rPr>
              <s:b val="1"/>
            </s:rPr>
            <s:t>A≥50</s:t>
          </s:r>
          <s:r>
            <s:t xml:space="preserve"> và </s:t>
          </s:r>
          <s:r>
            <s:rPr>
              <s:b val="1"/>
            </s:rPr>
            <s:t>A&lt;70</s:t>
          </s:r>
          <s:r>
            <s:t xml:space="preserve"> đều thỏa → P14 </s:t>
          </s:r>
          <s:r>
            <s:rPr>
              <s:b val="1"/>
            </s:rPr>
            <s:t>Đỏ</s:t>
          </s:r>
          <s:r>
            <s:t xml:space="preserve"> vì 60&lt;70.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03" s="117" t="inlineStr"/>
      <s:c r="E2503" s="118" t="inlineStr">
        <s:is>
          <s:t>Chưa thực hiện</s:t>
        </s:is>
      </s:c>
    </s:row>
    <s:row r="2504" ht="3" customHeight="1">
      <s:c r="A2504" s="102" t="inlineStr"/>
      <s:c r="B2504" s="99" t="n"/>
      <s:c r="C2504" s="99" t="n"/>
      <s:c r="D2504" s="116" t="n"/>
      <s:c r="E2504" s="116" t="n"/>
    </s:row>
    <s:row r="2505" ht="160" customHeight="1">
      <s:c r="A2505" s="83" t="inlineStr">
        <s:is>
          <s:t>Sát dưới cận trên (A-P15)</s:t>
        </s:is>
      </s:c>
      <s:c r="B2505" s="83" t="inlineStr">
        <s:is>
          <s:r>
            <s:t xml:space="preserve">TD-SRC-23, snapshot BR041-A-P15; P15 có </s:t>
          </s:r>
          <s:r>
            <s:rPr>
              <s:b val="1"/>
            </s:rPr>
            <s:t>A=69.9</s:t>
          </s:r>
          <s:r>
            <s:t xml:space="preserve">, </s:t>
          </s:r>
          <s:r>
            <s:rPr>
              <s:b val="1"/>
            </s:rPr>
            <s:t>S=60</s:t>
          </s:r>
          <s:r>
            <s:t xml:space="preserve">, </s:t>
          </s:r>
          <s:r>
            <s:rPr>
              <s:b val="1"/>
            </s:rPr>
            <s:t>T=70</s:t>
          </s:r>
          <s:r>
            <s:t xml:space="preserve">, dấu &lt;. Lưu điều kiện cùng nguồn </s:t>
          </s:r>
          <s:r>
            <s:rPr>
              <s:b val="1"/>
            </s:rPr>
            <s:t>A≥50</s:t>
          </s:r>
          <s:r>
            <s:t xml:space="preserve"> </s:t>
          </s:r>
          <s:r>
            <s:rPr>
              <s:b val="1"/>
            </s:rPr>
            <s:t>AND</s:t>
          </s:r>
          <s:r>
            <s:t xml:space="preserve"> </s:t>
          </s:r>
          <s:r>
            <s:rPr>
              <s:b val="1"/>
            </s:rPr>
            <s:t>A&lt;70</s:t>
          </s:r>
          <s:r>
            <s:t>; reset và xác minh reader trước khi xét.</s:t>
          </s:r>
        </s:is>
      </s:c>
      <s:c r="C2505" s="83" t="inlineStr">
        <s:is>
          <s:r>
            <s:rPr>
              <s:b val="1"/>
            </s:rPr>
            <s:t>A≥50</s:t>
          </s:r>
          <s:r>
            <s:t xml:space="preserve"> và </s:t>
          </s:r>
          <s:r>
            <s:rPr>
              <s:b val="1"/>
            </s:rPr>
            <s:t>A&lt;70</s:t>
          </s:r>
          <s:r>
            <s:t xml:space="preserve"> đều thỏa → P15 </s:t>
          </s:r>
          <s:r>
            <s:rPr>
              <s:b val="1"/>
            </s:rPr>
            <s:t>Đỏ</s:t>
          </s:r>
          <s:r>
            <s:t xml:space="preserve"> vì 60&lt;70.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05" s="117" t="inlineStr"/>
      <s:c r="E2505" s="118" t="inlineStr">
        <s:is>
          <s:t>Chưa thực hiện</s:t>
        </s:is>
      </s:c>
    </s:row>
    <s:row r="2506" ht="3" customHeight="1">
      <s:c r="A2506" s="102" t="inlineStr"/>
      <s:c r="B2506" s="99" t="n"/>
      <s:c r="C2506" s="99" t="n"/>
      <s:c r="D2506" s="116" t="n"/>
      <s:c r="E2506" s="116" t="n"/>
    </s:row>
    <s:row r="2507" ht="174" customHeight="1">
      <s:c r="A2507" s="83" t="inlineStr">
        <s:is>
          <s:t>Cận trên dạng thập phân (A-P16)</s:t>
        </s:is>
      </s:c>
      <s:c r="B2507" s="83" t="inlineStr">
        <s:is>
          <s:r>
            <s:t xml:space="preserve">TD-SRC-24, snapshot BR041-A-P16; P16 có </s:t>
          </s:r>
          <s:r>
            <s:rPr>
              <s:b val="1"/>
            </s:rPr>
            <s:t>A=70.0</s:t>
          </s:r>
          <s:r>
            <s:t xml:space="preserve">, </s:t>
          </s:r>
          <s:r>
            <s:rPr>
              <s:b val="1"/>
            </s:rPr>
            <s:t>S=60</s:t>
          </s:r>
          <s:r>
            <s:t xml:space="preserve">, </s:t>
          </s:r>
          <s:r>
            <s:rPr>
              <s:b val="1"/>
            </s:rPr>
            <s:t>T=70</s:t>
          </s:r>
          <s:r>
            <s:t xml:space="preserve">, dấu &lt;. Lưu điều kiện cùng nguồn </s:t>
          </s:r>
          <s:r>
            <s:rPr>
              <s:b val="1"/>
            </s:rPr>
            <s:t>A≥50</s:t>
          </s:r>
          <s:r>
            <s:t xml:space="preserve"> </s:t>
          </s:r>
          <s:r>
            <s:rPr>
              <s:b val="1"/>
            </s:rPr>
            <s:t>AND</s:t>
          </s:r>
          <s:r>
            <s:t xml:space="preserve"> </s:t>
          </s:r>
          <s:r>
            <s:rPr>
              <s:b val="1"/>
            </s:rPr>
            <s:t>A&lt;70</s:t>
          </s:r>
          <s:r>
            <s:t>; reset và xác minh reader trước khi xét.</s:t>
          </s:r>
        </s:is>
      </s:c>
      <s:c r="C2507" s="83" t="inlineStr">
        <s:is>
          <s:r>
            <s:rPr>
              <s:b val="1"/>
            </s:rPr>
            <s:t>A&lt;70</s:t>
          </s:r>
          <s:r>
            <s:t xml:space="preserve"> không thỏa → P16 </s:t>
          </s:r>
          <s:r>
            <s:rPr>
              <s:b val="1"/>
            </s:rPr>
            <s:t>Không áp dụng</s:t>
          </s:r>
          <s:r>
            <s:t xml:space="preserve">; không có dấu đỏ.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07" s="117" t="inlineStr"/>
      <s:c r="E2507" s="118" t="inlineStr">
        <s:is>
          <s:t>Chưa thực hiện</s:t>
        </s:is>
      </s:c>
    </s:row>
    <s:row r="2508" ht="3" customHeight="1">
      <s:c r="A2508" s="102" t="inlineStr"/>
      <s:c r="B2508" s="99" t="n"/>
      <s:c r="C2508" s="99" t="n"/>
      <s:c r="D2508" s="116" t="n"/>
      <s:c r="E2508" s="116" t="n"/>
    </s:row>
    <s:row r="2509" ht="188" customHeight="1">
      <s:c r="A2509" s="83" t="inlineStr">
        <s:is>
          <s:t>Tỷ lệ trong khoảng (RR-60)</s:t>
        </s:is>
      </s:c>
      <s:c r="B2509" s="83" t="inlineStr">
        <s:is>
          <s:r>
            <s:t xml:space="preserve">TD-SRC-11; reader </s:t>
          </s:r>
          <s:r>
            <s:rPr>
              <s:b val="1"/>
            </s:rPr>
            <s:t>R=60%</s:t>
          </s:r>
          <s:r>
            <s:t xml:space="preserve">, P1 </s:t>
          </s:r>
          <s:r>
            <s:rPr>
              <s:b val="1"/>
            </s:rPr>
            <s:t>S=60</s:t>
          </s:r>
          <s:r>
            <s:t xml:space="preserve">, </s:t>
          </s:r>
          <s:r>
            <s:rPr>
              <s:b val="1"/>
            </s:rPr>
            <s:t>T=70</s:t>
          </s:r>
          <s:r>
            <s:t xml:space="preserve">, dấu &lt;. Lưu điều kiện cùng nguồn </s:t>
          </s:r>
          <s:r>
            <s:rPr>
              <s:b val="1"/>
            </s:rPr>
            <s:t>R≥50%</s:t>
          </s:r>
          <s:r>
            <s:t xml:space="preserve"> </s:t>
          </s:r>
          <s:r>
            <s:rPr>
              <s:b val="1"/>
            </s:rPr>
            <s:t>AND</s:t>
          </s:r>
          <s:r>
            <s:t xml:space="preserve"> </s:t>
          </s:r>
          <s:r>
            <s:rPr>
              <s:b val="1"/>
            </s:rPr>
            <s:t>R&lt;70%</s:t>
          </s:r>
          <s:r>
            <s:t xml:space="preserve"> và xét; dùng snapshot riêng, không dùng lượt trước.</s:t>
          </s:r>
        </s:is>
      </s:c>
      <s:c r="C2509" s="83" t="inlineStr">
        <s:is>
          <s:r>
            <s:rPr>
              <s:b val="1"/>
            </s:rPr>
            <s:t>R=60%</s:t>
          </s:r>
          <s:r>
            <s:t xml:space="preserve"> thỏa cả hai điều kiện → P1 </s:t>
          </s:r>
          <s:r>
            <s:rPr>
              <s:b val="1"/>
            </s:rPr>
            <s:t>Đỏ</s:t>
          </s:r>
          <s:r>
            <s:t xml:space="preserve"> vì 60&lt;70. Không tự tính lại R khi thiếu source fixture quan sát được.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09" s="117" t="inlineStr"/>
      <s:c r="E2509" s="118" t="inlineStr">
        <s:is>
          <s:t>Chưa thực hiện</s:t>
        </s:is>
      </s:c>
    </s:row>
    <s:row r="2510" ht="3" customHeight="1">
      <s:c r="A2510" s="102" t="inlineStr"/>
      <s:c r="B2510" s="99" t="n"/>
      <s:c r="C2510" s="99" t="n"/>
      <s:c r="D2510" s="116" t="n"/>
      <s:c r="E2510" s="116" t="n"/>
    </s:row>
    <s:row r="2511" ht="188" customHeight="1">
      <s:c r="A2511" s="83" t="inlineStr">
        <s:is>
          <s:t>Tỷ lệ dưới cận dưới (RR-49.9)</s:t>
        </s:is>
      </s:c>
      <s:c r="B2511" s="83" t="inlineStr">
        <s:is>
          <s:r>
            <s:t xml:space="preserve">TD-SRC-12; reader </s:t>
          </s:r>
          <s:r>
            <s:rPr>
              <s:b val="1"/>
            </s:rPr>
            <s:t>R=49.9%</s:t>
          </s:r>
          <s:r>
            <s:t xml:space="preserve">, P1 </s:t>
          </s:r>
          <s:r>
            <s:rPr>
              <s:b val="1"/>
            </s:rPr>
            <s:t>S=60</s:t>
          </s:r>
          <s:r>
            <s:t xml:space="preserve">, </s:t>
          </s:r>
          <s:r>
            <s:rPr>
              <s:b val="1"/>
            </s:rPr>
            <s:t>T=70</s:t>
          </s:r>
          <s:r>
            <s:t xml:space="preserve">, dấu &lt;. Lưu điều kiện cùng nguồn </s:t>
          </s:r>
          <s:r>
            <s:rPr>
              <s:b val="1"/>
            </s:rPr>
            <s:t>R≥50%</s:t>
          </s:r>
          <s:r>
            <s:t xml:space="preserve"> </s:t>
          </s:r>
          <s:r>
            <s:rPr>
              <s:b val="1"/>
            </s:rPr>
            <s:t>AND</s:t>
          </s:r>
          <s:r>
            <s:t xml:space="preserve"> </s:t>
          </s:r>
          <s:r>
            <s:rPr>
              <s:b val="1"/>
            </s:rPr>
            <s:t>R&lt;70%</s:t>
          </s:r>
          <s:r>
            <s:t xml:space="preserve"> và xét; dùng snapshot riêng, không dùng lượt trước.</s:t>
          </s:r>
        </s:is>
      </s:c>
      <s:c r="C2511" s="83" t="inlineStr">
        <s:is>
          <s:r>
            <s:rPr>
              <s:b val="1"/>
            </s:rPr>
            <s:t>R=49.9%</s:t>
          </s:r>
          <s:r>
            <s:t xml:space="preserve"> không thỏa khoảng 50%≤</s:t>
          </s:r>
          <s:r>
            <s:rPr>
              <s:b val="1"/>
            </s:rPr>
            <s:t>R&lt;70%</s:t>
          </s:r>
          <s:r>
            <s:t xml:space="preserve"> → P1 </s:t>
          </s:r>
          <s:r>
            <s:rPr>
              <s:b val="1"/>
            </s:rPr>
            <s:t>Không áp dụng</s:t>
          </s:r>
          <s:r>
            <s:t xml:space="preserve">. Không tự tính lại R khi thiếu source fixture quan sát được.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11" s="117" t="inlineStr"/>
      <s:c r="E2511" s="118" t="inlineStr">
        <s:is>
          <s:t>Chưa thực hiện</s:t>
        </s:is>
      </s:c>
    </s:row>
    <s:row r="2512" ht="3" customHeight="1">
      <s:c r="A2512" s="102" t="inlineStr"/>
      <s:c r="B2512" s="99" t="n"/>
      <s:c r="C2512" s="99" t="n"/>
      <s:c r="D2512" s="116" t="n"/>
      <s:c r="E2512" s="116" t="n"/>
    </s:row>
    <s:row r="2513" ht="188" customHeight="1">
      <s:c r="A2513" s="83" t="inlineStr">
        <s:is>
          <s:t>Tỷ lệ bằng cận trên (RR-70)</s:t>
        </s:is>
      </s:c>
      <s:c r="B2513" s="83" t="inlineStr">
        <s:is>
          <s:r>
            <s:t xml:space="preserve">TD-SRC-13; reader </s:t>
          </s:r>
          <s:r>
            <s:rPr>
              <s:b val="1"/>
            </s:rPr>
            <s:t>R=70%</s:t>
          </s:r>
          <s:r>
            <s:t xml:space="preserve">, P1 </s:t>
          </s:r>
          <s:r>
            <s:rPr>
              <s:b val="1"/>
            </s:rPr>
            <s:t>S=60</s:t>
          </s:r>
          <s:r>
            <s:t xml:space="preserve">, </s:t>
          </s:r>
          <s:r>
            <s:rPr>
              <s:b val="1"/>
            </s:rPr>
            <s:t>T=70</s:t>
          </s:r>
          <s:r>
            <s:t xml:space="preserve">, dấu &lt;. Lưu điều kiện cùng nguồn </s:t>
          </s:r>
          <s:r>
            <s:rPr>
              <s:b val="1"/>
            </s:rPr>
            <s:t>R≥50%</s:t>
          </s:r>
          <s:r>
            <s:t xml:space="preserve"> </s:t>
          </s:r>
          <s:r>
            <s:rPr>
              <s:b val="1"/>
            </s:rPr>
            <s:t>AND</s:t>
          </s:r>
          <s:r>
            <s:t xml:space="preserve"> </s:t>
          </s:r>
          <s:r>
            <s:rPr>
              <s:b val="1"/>
            </s:rPr>
            <s:t>R&lt;70%</s:t>
          </s:r>
          <s:r>
            <s:t xml:space="preserve"> và xét; dùng snapshot riêng, không dùng lượt trước.</s:t>
          </s:r>
        </s:is>
      </s:c>
      <s:c r="C2513" s="83" t="inlineStr">
        <s:is>
          <s:r>
            <s:rPr>
              <s:b val="1"/>
            </s:rPr>
            <s:t>R=70%</s:t>
          </s:r>
          <s:r>
            <s:t xml:space="preserve"> không thỏa khoảng 50%≤</s:t>
          </s:r>
          <s:r>
            <s:rPr>
              <s:b val="1"/>
            </s:rPr>
            <s:t>R&lt;70%</s:t>
          </s:r>
          <s:r>
            <s:t xml:space="preserve"> → P1 </s:t>
          </s:r>
          <s:r>
            <s:rPr>
              <s:b val="1"/>
            </s:rPr>
            <s:t>Không áp dụng</s:t>
          </s:r>
          <s:r>
            <s:t xml:space="preserve">. Không tự tính lại R khi thiếu source fixture quan sát được.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13" s="117" t="inlineStr"/>
      <s:c r="E2513" s="118" t="inlineStr">
        <s:is>
          <s:t>Chưa thực hiện</s:t>
        </s:is>
      </s:c>
    </s:row>
    <s:row r="2514" ht="3" customHeight="1">
      <s:c r="A2514" s="102" t="inlineStr"/>
      <s:c r="B2514" s="99" t="n"/>
      <s:c r="C2514" s="99" t="n"/>
      <s:c r="D2514" s="116" t="n"/>
      <s:c r="E2514" s="116" t="n"/>
    </s:row>
    <s:row r="2515" ht="174" customHeight="1">
      <s:c r="A2515" s="83" t="inlineStr">
        <s:is>
          <s:t>Cả A và R thỏa (AR-60-60)</s:t>
        </s:is>
      </s:c>
      <s:c r="B2515" s="83" t="inlineStr">
        <s:is>
          <s:r>
            <s:t xml:space="preserve">TD-SRC-14; identity/snapshot riêng, reader </s:t>
          </s:r>
          <s:r>
            <s:rPr>
              <s:b val="1"/>
            </s:rPr>
            <s:t>A=60</s:t>
          </s:r>
          <s:r>
            <s:t xml:space="preserve">, </s:t>
          </s:r>
          <s:r>
            <s:rPr>
              <s:b val="1"/>
            </s:rPr>
            <s:t>R=60%</s:t>
          </s:r>
          <s:r>
            <s:t xml:space="preserve">, P1 </s:t>
          </s:r>
          <s:r>
            <s:rPr>
              <s:b val="1"/>
            </s:rPr>
            <s:t>S=60</s:t>
          </s:r>
          <s:r>
            <s:t xml:space="preserve">, </s:t>
          </s:r>
          <s:r>
            <s:rPr>
              <s:b val="1"/>
            </s:rPr>
            <s:t>T=70</s:t>
          </s:r>
          <s:r>
            <s:t xml:space="preserve">, dấu &lt;. Lưu </s:t>
          </s:r>
          <s:r>
            <s:rPr>
              <s:b val="1"/>
            </s:rPr>
            <s:t>A≥50</s:t>
          </s:r>
          <s:r>
            <s:t xml:space="preserve"> </s:t>
          </s:r>
          <s:r>
            <s:rPr>
              <s:b val="1"/>
            </s:rPr>
            <s:t>AND</s:t>
          </s:r>
          <s:r>
            <s:t xml:space="preserve"> </s:t>
          </s:r>
          <s:r>
            <s:rPr>
              <s:b val="1"/>
            </s:rPr>
            <s:t>R≥50%</s:t>
          </s:r>
          <s:r>
            <s:t xml:space="preserve"> và xét.</s:t>
          </s:r>
        </s:is>
      </s:c>
      <s:c r="C2515" s="83" t="inlineStr">
        <s:is>
          <s:r>
            <s:rPr>
              <s:b val="1"/>
            </s:rPr>
            <s:t>A=60</s:t>
          </s:r>
          <s:r>
            <s:t xml:space="preserve">, </s:t>
          </s:r>
          <s:r>
            <s:rPr>
              <s:b val="1"/>
            </s:rPr>
            <s:t>R=60%</s:t>
          </s:r>
          <s:r>
            <s:t xml:space="preserve"> → P1 </s:t>
          </s:r>
          <s:r>
            <s:rPr>
              <s:b val="1"/>
            </s:rPr>
            <s:t>Đỏ</s:t>
          </s:r>
          <s:r>
            <s:t xml:space="preserve"> vì cả hai điều kiện thỏa và 60&lt;70.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15" s="117" t="inlineStr"/>
      <s:c r="E2515" s="118" t="inlineStr">
        <s:is>
          <s:t>Chưa thực hiện</s:t>
        </s:is>
      </s:c>
    </s:row>
    <s:row r="2516" ht="3" customHeight="1">
      <s:c r="A2516" s="102" t="inlineStr"/>
      <s:c r="B2516" s="99" t="n"/>
      <s:c r="C2516" s="99" t="n"/>
      <s:c r="D2516" s="116" t="n"/>
      <s:c r="E2516" s="116" t="n"/>
    </s:row>
    <s:row r="2517" ht="174" customHeight="1">
      <s:c r="A2517" s="83" t="inlineStr">
        <s:is>
          <s:t>A không thỏa (AR-40-60)</s:t>
        </s:is>
      </s:c>
      <s:c r="B2517" s="83" t="inlineStr">
        <s:is>
          <s:r>
            <s:t xml:space="preserve">TD-SRC-15; identity/snapshot riêng, reader </s:t>
          </s:r>
          <s:r>
            <s:rPr>
              <s:b val="1"/>
            </s:rPr>
            <s:t>A=40</s:t>
          </s:r>
          <s:r>
            <s:t xml:space="preserve">, </s:t>
          </s:r>
          <s:r>
            <s:rPr>
              <s:b val="1"/>
            </s:rPr>
            <s:t>R=60%</s:t>
          </s:r>
          <s:r>
            <s:t xml:space="preserve">, P1 </s:t>
          </s:r>
          <s:r>
            <s:rPr>
              <s:b val="1"/>
            </s:rPr>
            <s:t>S=60</s:t>
          </s:r>
          <s:r>
            <s:t xml:space="preserve">, </s:t>
          </s:r>
          <s:r>
            <s:rPr>
              <s:b val="1"/>
            </s:rPr>
            <s:t>T=70</s:t>
          </s:r>
          <s:r>
            <s:t xml:space="preserve">, dấu &lt;. Lưu </s:t>
          </s:r>
          <s:r>
            <s:rPr>
              <s:b val="1"/>
            </s:rPr>
            <s:t>A≥50</s:t>
          </s:r>
          <s:r>
            <s:t xml:space="preserve"> </s:t>
          </s:r>
          <s:r>
            <s:rPr>
              <s:b val="1"/>
            </s:rPr>
            <s:t>AND</s:t>
          </s:r>
          <s:r>
            <s:t xml:space="preserve"> </s:t>
          </s:r>
          <s:r>
            <s:rPr>
              <s:b val="1"/>
            </s:rPr>
            <s:t>R≥50%</s:t>
          </s:r>
          <s:r>
            <s:t xml:space="preserve"> và xét.</s:t>
          </s:r>
        </s:is>
      </s:c>
      <s:c r="C2517" s="83" t="inlineStr">
        <s:is>
          <s:r>
            <s:rPr>
              <s:b val="1"/>
            </s:rPr>
            <s:t>A=40</s:t>
          </s:r>
          <s:r>
            <s:t xml:space="preserve">, </s:t>
          </s:r>
          <s:r>
            <s:rPr>
              <s:b val="1"/>
            </s:rPr>
            <s:t>R=60%</s:t>
          </s:r>
          <s:r>
            <s:t xml:space="preserve"> → P1 </s:t>
          </s:r>
          <s:r>
            <s:rPr>
              <s:b val="1"/>
            </s:rPr>
            <s:t>Không áp dụng</s:t>
          </s:r>
          <s:r>
            <s:t xml:space="preserve">; chỉ một điều kiện thỏa không đủ để áp dụng rule.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17" s="117" t="inlineStr"/>
      <s:c r="E2517" s="118" t="inlineStr">
        <s:is>
          <s:t>Chưa thực hiện</s:t>
        </s:is>
      </s:c>
    </s:row>
    <s:row r="2518" ht="3" customHeight="1">
      <s:c r="A2518" s="102" t="inlineStr"/>
      <s:c r="B2518" s="99" t="n"/>
      <s:c r="C2518" s="99" t="n"/>
      <s:c r="D2518" s="116" t="n"/>
      <s:c r="E2518" s="116" t="n"/>
    </s:row>
    <s:row r="2519" ht="174" customHeight="1">
      <s:c r="A2519" s="83" t="inlineStr">
        <s:is>
          <s:t>R không thỏa (AR-60-40)</s:t>
        </s:is>
      </s:c>
      <s:c r="B2519" s="83" t="inlineStr">
        <s:is>
          <s:r>
            <s:t xml:space="preserve">TD-SRC-16; identity/snapshot riêng, reader </s:t>
          </s:r>
          <s:r>
            <s:rPr>
              <s:b val="1"/>
            </s:rPr>
            <s:t>A=60</s:t>
          </s:r>
          <s:r>
            <s:t xml:space="preserve">, </s:t>
          </s:r>
          <s:r>
            <s:rPr>
              <s:b val="1"/>
            </s:rPr>
            <s:t>R=40%</s:t>
          </s:r>
          <s:r>
            <s:t xml:space="preserve">, P1 </s:t>
          </s:r>
          <s:r>
            <s:rPr>
              <s:b val="1"/>
            </s:rPr>
            <s:t>S=60</s:t>
          </s:r>
          <s:r>
            <s:t xml:space="preserve">, </s:t>
          </s:r>
          <s:r>
            <s:rPr>
              <s:b val="1"/>
            </s:rPr>
            <s:t>T=70</s:t>
          </s:r>
          <s:r>
            <s:t xml:space="preserve">, dấu &lt;. Lưu </s:t>
          </s:r>
          <s:r>
            <s:rPr>
              <s:b val="1"/>
            </s:rPr>
            <s:t>A≥50</s:t>
          </s:r>
          <s:r>
            <s:t xml:space="preserve"> </s:t>
          </s:r>
          <s:r>
            <s:rPr>
              <s:b val="1"/>
            </s:rPr>
            <s:t>AND</s:t>
          </s:r>
          <s:r>
            <s:t xml:space="preserve"> </s:t>
          </s:r>
          <s:r>
            <s:rPr>
              <s:b val="1"/>
            </s:rPr>
            <s:t>R≥50%</s:t>
          </s:r>
          <s:r>
            <s:t xml:space="preserve"> và xét.</s:t>
          </s:r>
        </s:is>
      </s:c>
      <s:c r="C2519" s="83" t="inlineStr">
        <s:is>
          <s:r>
            <s:rPr>
              <s:b val="1"/>
            </s:rPr>
            <s:t>A=60</s:t>
          </s:r>
          <s:r>
            <s:t xml:space="preserve">, </s:t>
          </s:r>
          <s:r>
            <s:rPr>
              <s:b val="1"/>
            </s:rPr>
            <s:t>R=40%</s:t>
          </s:r>
          <s:r>
            <s:t xml:space="preserve"> → P1 </s:t>
          </s:r>
          <s:r>
            <s:rPr>
              <s:b val="1"/>
            </s:rPr>
            <s:t>Không áp dụng</s:t>
          </s:r>
          <s:r>
            <s:t xml:space="preserve">; chỉ một điều kiện thỏa không đủ để áp dụng rule.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19" s="117" t="inlineStr"/>
      <s:c r="E2519" s="118" t="inlineStr">
        <s:is>
          <s:t>Chưa thực hiện</s:t>
        </s:is>
      </s:c>
    </s:row>
    <s:row r="2520" ht="3" customHeight="1">
      <s:c r="A2520" s="102" t="inlineStr"/>
      <s:c r="B2520" s="99" t="n"/>
      <s:c r="C2520" s="99" t="n"/>
      <s:c r="D2520" s="116" t="n"/>
      <s:c r="E2520" s="116" t="n"/>
    </s:row>
    <s:row r="2521" ht="188" customHeight="1">
      <s:c r="A2521" s="83" t="inlineStr">
        <s:is>
          <s:t>Khớp cả khối và nhóm (FILTER-POS)</s:t>
        </s:is>
      </s:c>
      <s:c r="B2521" s="83" t="inlineStr">
        <s:is>
          <s:r>
            <s:t xml:space="preserve">TD-GRP-04, identity/reader/snapshot riêng. Khớp khối 1 và nhóm Nâng cao; giữ </s:t>
          </s:r>
          <s:r>
            <s:rPr>
              <s:b val="1"/>
            </s:rPr>
            <s:t>A=60</s:t>
          </s:r>
          <s:r>
            <s:t xml:space="preserve">, </s:t>
          </s:r>
          <s:r>
            <s:rPr>
              <s:b val="1"/>
            </s:rPr>
            <s:t>R=60%</s:t>
          </s:r>
          <s:r>
            <s:t xml:space="preserve">, </s:t>
          </s:r>
          <s:r>
            <s:rPr>
              <s:b val="1"/>
            </s:rPr>
            <s:t>S=60</s:t>
          </s:r>
          <s:r>
            <s:t xml:space="preserve">, </s:t>
          </s:r>
          <s:r>
            <s:rPr>
              <s:b val="1"/>
            </s:rPr>
            <s:t>T=70</s:t>
          </s:r>
          <s:r>
            <s:t xml:space="preserve">, dấu &lt;, rule </s:t>
          </s:r>
          <s:r>
            <s:rPr>
              <s:b val="1"/>
            </s:rPr>
            <s:t>A≥50</s:t>
          </s:r>
          <s:r>
            <s:t xml:space="preserve"> </s:t>
          </s:r>
          <s:r>
            <s:rPr>
              <s:b val="1"/>
            </s:rPr>
            <s:t>AND</s:t>
          </s:r>
          <s:r>
            <s:t xml:space="preserve"> </s:t>
          </s:r>
          <s:r>
            <s:rPr>
              <s:b val="1"/>
            </s:rPr>
            <s:t>R≥50%</s:t>
          </s:r>
          <s:r>
            <s:t>. Chạy riêng và ghi reader của lượt này, không thay A/R khi đổi bộ lọc.</s:t>
          </s:r>
        </s:is>
      </s:c>
      <s:c r="C2521" s="83" t="inlineStr">
        <s:is>
          <s:r>
            <s:t xml:space="preserve">Khớp khối 1 và nhóm Nâng cao → </s:t>
          </s:r>
          <s:r>
            <s:rPr>
              <s:b val="1"/>
            </s:rPr>
            <s:t>Đỏ</s:t>
          </s:r>
          <s:r>
            <s:t xml:space="preserve"> vì 60&lt;70. </s:t>
          </s:r>
          <s:r>
            <s:rPr>
              <s:b val="1"/>
            </s:rPr>
            <s:t>OR</s:t>
          </s:r>
          <s:r>
            <s:t xml:space="preserve"> chỉ trong cùng loại (Khối 1 hoặc 2); nhóm Nâng cao là loại khác nên phải </s:t>
          </s:r>
          <s:r>
            <s:rPr>
              <s:b val="1"/>
            </s:rPr>
            <s:t>AND</s:t>
          </s:r>
          <s:r>
            <s:t xml:space="preserve">.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21" s="117" t="inlineStr"/>
      <s:c r="E2521" s="118" t="inlineStr">
        <s:is>
          <s:t>Chưa thực hiện</s:t>
        </s:is>
      </s:c>
    </s:row>
    <s:row r="2522" ht="3" customHeight="1">
      <s:c r="A2522" s="102" t="inlineStr"/>
      <s:c r="B2522" s="99" t="n"/>
      <s:c r="C2522" s="99" t="n"/>
      <s:c r="D2522" s="116" t="n"/>
      <s:c r="E2522" s="116" t="n"/>
    </s:row>
    <s:row r="2523" ht="202" customHeight="1">
      <s:c r="A2523" s="83" t="inlineStr">
        <s:is>
          <s:t>Sai khối (FILTER-GRADE-NEG)</s:t>
        </s:is>
      </s:c>
      <s:c r="B2523" s="83" t="inlineStr">
        <s:is>
          <s:r>
            <s:t xml:space="preserve">TD-GRP-04, identity/reader/snapshot riêng. Chỉ sai khối, vẫn thuộc Nâng cao; giữ </s:t>
          </s:r>
          <s:r>
            <s:rPr>
              <s:b val="1"/>
            </s:rPr>
            <s:t>A=60</s:t>
          </s:r>
          <s:r>
            <s:t xml:space="preserve">, </s:t>
          </s:r>
          <s:r>
            <s:rPr>
              <s:b val="1"/>
            </s:rPr>
            <s:t>R=60%</s:t>
          </s:r>
          <s:r>
            <s:t xml:space="preserve">, </s:t>
          </s:r>
          <s:r>
            <s:rPr>
              <s:b val="1"/>
            </s:rPr>
            <s:t>S=60</s:t>
          </s:r>
          <s:r>
            <s:t xml:space="preserve">, </s:t>
          </s:r>
          <s:r>
            <s:rPr>
              <s:b val="1"/>
            </s:rPr>
            <s:t>T=70</s:t>
          </s:r>
          <s:r>
            <s:t xml:space="preserve">, dấu &lt;, rule </s:t>
          </s:r>
          <s:r>
            <s:rPr>
              <s:b val="1"/>
            </s:rPr>
            <s:t>A≥50</s:t>
          </s:r>
          <s:r>
            <s:t xml:space="preserve"> </s:t>
          </s:r>
          <s:r>
            <s:rPr>
              <s:b val="1"/>
            </s:rPr>
            <s:t>AND</s:t>
          </s:r>
          <s:r>
            <s:t xml:space="preserve"> </s:t>
          </s:r>
          <s:r>
            <s:rPr>
              <s:b val="1"/>
            </s:rPr>
            <s:t>R≥50%</s:t>
          </s:r>
          <s:r>
            <s:t>. Chạy riêng và ghi reader của lượt này, không thay A/R khi đổi bộ lọc.</s:t>
          </s:r>
        </s:is>
      </s:c>
      <s:c r="C2523" s="83" t="inlineStr">
        <s:is>
          <s:r>
            <s:t xml:space="preserve">Chỉ sai khối, vẫn thuộc Nâng cao → </s:t>
          </s:r>
          <s:r>
            <s:rPr>
              <s:b val="1"/>
            </s:rPr>
            <s:t>Không áp dụng</s:t>
          </s:r>
          <s:r>
            <s:t xml:space="preserve">, không có dấu đỏ. </s:t>
          </s:r>
          <s:r>
            <s:rPr>
              <s:b val="1"/>
            </s:rPr>
            <s:t>OR</s:t>
          </s:r>
          <s:r>
            <s:t xml:space="preserve"> chỉ trong cùng loại (Khối 1 hoặc 2); nhóm Nâng cao là loại khác nên phải </s:t>
          </s:r>
          <s:r>
            <s:rPr>
              <s:b val="1"/>
            </s:rPr>
            <s:t>AND</s:t>
          </s:r>
          <s:r>
            <s:t xml:space="preserve">.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23" s="117" t="inlineStr"/>
      <s:c r="E2523" s="118" t="inlineStr">
        <s:is>
          <s:t>Chưa thực hiện</s:t>
        </s:is>
      </s:c>
    </s:row>
    <s:row r="2524" ht="3" customHeight="1">
      <s:c r="A2524" s="102" t="inlineStr"/>
      <s:c r="B2524" s="99" t="n"/>
      <s:c r="C2524" s="99" t="n"/>
      <s:c r="D2524" s="116" t="n"/>
      <s:c r="E2524" s="116" t="n"/>
    </s:row>
    <s:row r="2525" ht="202" customHeight="1">
      <s:c r="A2525" s="83" t="inlineStr">
        <s:is>
          <s:t>Sai nhóm (FILTER-GROUP-NEG)</s:t>
        </s:is>
      </s:c>
      <s:c r="B2525" s="83" t="inlineStr">
        <s:is>
          <s:r>
            <s:t xml:space="preserve">TD-GRP-04, identity/reader/snapshot riêng. Chỉ sai nhóm, vẫn thuộc khối 1; giữ </s:t>
          </s:r>
          <s:r>
            <s:rPr>
              <s:b val="1"/>
            </s:rPr>
            <s:t>A=60</s:t>
          </s:r>
          <s:r>
            <s:t xml:space="preserve">, </s:t>
          </s:r>
          <s:r>
            <s:rPr>
              <s:b val="1"/>
            </s:rPr>
            <s:t>R=60%</s:t>
          </s:r>
          <s:r>
            <s:t xml:space="preserve">, </s:t>
          </s:r>
          <s:r>
            <s:rPr>
              <s:b val="1"/>
            </s:rPr>
            <s:t>S=60</s:t>
          </s:r>
          <s:r>
            <s:t xml:space="preserve">, </s:t>
          </s:r>
          <s:r>
            <s:rPr>
              <s:b val="1"/>
            </s:rPr>
            <s:t>T=70</s:t>
          </s:r>
          <s:r>
            <s:t xml:space="preserve">, dấu &lt;, rule </s:t>
          </s:r>
          <s:r>
            <s:rPr>
              <s:b val="1"/>
            </s:rPr>
            <s:t>A≥50</s:t>
          </s:r>
          <s:r>
            <s:t xml:space="preserve"> </s:t>
          </s:r>
          <s:r>
            <s:rPr>
              <s:b val="1"/>
            </s:rPr>
            <s:t>AND</s:t>
          </s:r>
          <s:r>
            <s:t xml:space="preserve"> </s:t>
          </s:r>
          <s:r>
            <s:rPr>
              <s:b val="1"/>
            </s:rPr>
            <s:t>R≥50%</s:t>
          </s:r>
          <s:r>
            <s:t>. Chạy riêng và ghi reader của lượt này, không thay A/R khi đổi bộ lọc.</s:t>
          </s:r>
        </s:is>
      </s:c>
      <s:c r="C2525" s="83" t="inlineStr">
        <s:is>
          <s:r>
            <s:t xml:space="preserve">Chỉ sai nhóm, vẫn thuộc khối 1 → </s:t>
          </s:r>
          <s:r>
            <s:rPr>
              <s:b val="1"/>
            </s:rPr>
            <s:t>Không áp dụng</s:t>
          </s:r>
          <s:r>
            <s:t xml:space="preserve">, không có dấu đỏ. </s:t>
          </s:r>
          <s:r>
            <s:rPr>
              <s:b val="1"/>
            </s:rPr>
            <s:t>OR</s:t>
          </s:r>
          <s:r>
            <s:t xml:space="preserve"> chỉ trong cùng loại (Khối 1 hoặc 2); nhóm Nâng cao là loại khác nên phải </s:t>
          </s:r>
          <s:r>
            <s:rPr>
              <s:b val="1"/>
            </s:rPr>
            <s:t>AND</s:t>
          </s:r>
          <s:r>
            <s:t xml:space="preserve">.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25" s="117" t="inlineStr"/>
      <s:c r="E2525" s="118" t="inlineStr">
        <s:is>
          <s:t>Chưa thực hiện</s:t>
        </s:is>
      </s:c>
    </s:row>
    <s:row r="2526" ht="3" customHeight="1">
      <s:c r="A2526" s="102" t="inlineStr"/>
      <s:c r="B2526" s="99" t="n"/>
      <s:c r="C2526" s="99" t="n"/>
      <s:c r="D2526" s="116" t="n"/>
      <s:c r="E2526" s="116" t="n"/>
    </s:row>
    <s:row r="2527" ht="174" customHeight="1">
      <s:c r="A2527" s="83" t="inlineStr">
        <s:is>
          <s:t>Nguồn A không phải số (P17-A-NAN)</s:t>
        </s:is>
      </s:c>
      <s:c r="B2527" s="83" t="inlineStr">
        <s:is>
          <s:r>
            <s:t xml:space="preserve">TD-SRC-26; reader A=NaN, </s:t>
          </s:r>
          <s:r>
            <s:rPr>
              <s:b val="1"/>
            </s:rPr>
            <s:t>S=25</s:t>
          </s:r>
          <s:r>
            <s:t xml:space="preserve">. Reset riêng, giữ rule ưu tiên thấp hơn </s:t>
          </s:r>
          <s:r>
            <s:rPr>
              <s:b val="1"/>
            </s:rPr>
            <s:t>T=30</s:t>
          </s:r>
          <s:r>
            <s:t xml:space="preserve"> làm đối chứng fallback; ghi identity/source và trạng thái trước khi xét.</s:t>
          </s:r>
        </s:is>
      </s:c>
      <s:c r="C2527" s="83" t="inlineStr">
        <s:is>
          <s:r>
            <s:t xml:space="preserve">Chưa xét được, không xuống rule thấp hơn dù 25&lt;30, không giữ kết quả đỏ cũ. Bằng chứng thể hiện riêng A, S và trạng thái kết quả; không thay Chưa xét được bằng </s:t>
          </s:r>
          <s:r>
            <s:rPr>
              <s:b val="1"/>
            </s:rPr>
            <s:t>Không áp dụng</s:t>
          </s:r>
          <s:r>
            <s:t xml:space="preserve">.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27" s="117" t="inlineStr"/>
      <s:c r="E2527" s="118" t="inlineStr">
        <s:is>
          <s:t>Chưa thực hiện</s:t>
        </s:is>
      </s:c>
    </s:row>
    <s:row r="2528" ht="3" customHeight="1">
      <s:c r="A2528" s="102" t="inlineStr"/>
      <s:c r="B2528" s="99" t="n"/>
      <s:c r="C2528" s="99" t="n"/>
      <s:c r="D2528" s="116" t="n"/>
      <s:c r="E2528" s="116" t="n"/>
    </s:row>
    <s:row r="2529" ht="174" customHeight="1">
      <s:c r="A2529" s="83" t="inlineStr">
        <s:is>
          <s:t>Nguồn A vô hạn (P19-A-INFINITY)</s:t>
        </s:is>
      </s:c>
      <s:c r="B2529" s="83" t="inlineStr">
        <s:is>
          <s:r>
            <s:t xml:space="preserve">TD-SRC-28; reader A=Infinity, </s:t>
          </s:r>
          <s:r>
            <s:rPr>
              <s:b val="1"/>
            </s:rPr>
            <s:t>S=25</s:t>
          </s:r>
          <s:r>
            <s:t xml:space="preserve">. Reset riêng, giữ rule ưu tiên thấp hơn </s:t>
          </s:r>
          <s:r>
            <s:rPr>
              <s:b val="1"/>
            </s:rPr>
            <s:t>T=30</s:t>
          </s:r>
          <s:r>
            <s:t xml:space="preserve"> làm đối chứng fallback; ghi identity/source và trạng thái trước khi xét.</s:t>
          </s:r>
        </s:is>
      </s:c>
      <s:c r="C2529" s="83" t="inlineStr">
        <s:is>
          <s:r>
            <s:t xml:space="preserve">Chưa xét được, không xuống rule thấp hơn dù 25&lt;30, không giữ kết quả đỏ cũ. Bằng chứng thể hiện riêng A, S và trạng thái kết quả; không thay Chưa xét được bằng </s:t>
          </s:r>
          <s:r>
            <s:rPr>
              <s:b val="1"/>
            </s:rPr>
            <s:t>Không áp dụng</s:t>
          </s:r>
          <s:r>
            <s:t xml:space="preserve">.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29" s="117" t="inlineStr"/>
      <s:c r="E2529" s="118" t="inlineStr">
        <s:is>
          <s:t>Chưa thực hiện</s:t>
        </s:is>
      </s:c>
    </s:row>
    <s:row r="2530" ht="3" customHeight="1">
      <s:c r="A2530" s="102" t="inlineStr"/>
      <s:c r="B2530" s="99" t="n"/>
      <s:c r="C2530" s="99" t="n"/>
      <s:c r="D2530" s="116" t="n"/>
      <s:c r="E2530" s="116" t="n"/>
    </s:row>
    <s:row r="2531" ht="174" customHeight="1">
      <s:c r="A2531" s="83" t="inlineStr">
        <s:is>
          <s:t>Thiếu nguồn A (P18-A-EMPTY)</s:t>
        </s:is>
      </s:c>
      <s:c r="B2531" s="83" t="inlineStr">
        <s:is>
          <s:r>
            <s:t xml:space="preserve">TD-SRC-27; reader A=thiếu/null, </s:t>
          </s:r>
          <s:r>
            <s:rPr>
              <s:b val="1"/>
            </s:rPr>
            <s:t>S=25</s:t>
          </s:r>
          <s:r>
            <s:t xml:space="preserve">. Reset riêng, giữ rule ưu tiên thấp hơn </s:t>
          </s:r>
          <s:r>
            <s:rPr>
              <s:b val="1"/>
            </s:rPr>
            <s:t>T=30</s:t>
          </s:r>
          <s:r>
            <s:t xml:space="preserve"> làm đối chứng fallback; ghi identity/source và trạng thái trước khi xét.</s:t>
          </s:r>
        </s:is>
      </s:c>
      <s:c r="C2531" s="83" t="inlineStr">
        <s:is>
          <s:r>
            <s:t xml:space="preserve">Chưa xét được, không xuống rule thấp hơn dù 25&lt;30, không giữ kết quả đỏ cũ. Bằng chứng thể hiện riêng A, S và trạng thái kết quả; không thay Chưa xét được bằng </s:t>
          </s:r>
          <s:r>
            <s:rPr>
              <s:b val="1"/>
            </s:rPr>
            <s:t>Không áp dụng</s:t>
          </s:r>
          <s:r>
            <s:t xml:space="preserve">.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31" s="117" t="inlineStr"/>
      <s:c r="E2531" s="118" t="inlineStr">
        <s:is>
          <s:t>Chưa thực hiện</s:t>
        </s:is>
      </s:c>
    </s:row>
    <s:row r="2532" ht="3" customHeight="1">
      <s:c r="A2532" s="102" t="inlineStr"/>
      <s:c r="B2532" s="99" t="n"/>
      <s:c r="C2532" s="99" t="n"/>
      <s:c r="D2532" s="116" t="n"/>
      <s:c r="E2532" s="116" t="n"/>
    </s:row>
    <s:row r="2533" ht="160" customHeight="1">
      <s:c r="A2533" s="83" t="inlineStr">
        <s:is>
          <s:t>Thiếu điểm học sinh (P18-S-EMPTY)</s:t>
        </s:is>
      </s:c>
      <s:c r="B2533" s="83" t="inlineStr">
        <s:is>
          <s:r>
            <s:t xml:space="preserve">TD-SRC-29; reader </s:t>
          </s:r>
          <s:r>
            <s:rPr>
              <s:b val="1"/>
            </s:rPr>
            <s:t>A=60</s:t>
          </s:r>
          <s:r>
            <s:t xml:space="preserve"> hợp lệ nhưng S không có điểm. Reset và xác minh source/identity riêng trước khi xét.</s:t>
          </s:r>
        </s:is>
      </s:c>
      <s:c r="C2533" s="83" t="inlineStr">
        <s:is>
          <s:r>
            <s:t xml:space="preserve">Không có điểm, phân biệt với lỗi/thiếu nguồn A và trạng thái Chưa xét được. Bằng chứng thể hiện A hợp lệ, S trống và trạng thái kết quả riêng; không thay trống bằng 0.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33" s="117" t="inlineStr"/>
      <s:c r="E2533" s="118" t="inlineStr">
        <s:is>
          <s:t>Chưa thực hiện</s:t>
        </s:is>
      </s:c>
    </s:row>
    <s:row r="2534" ht="3" customHeight="1">
      <s:c r="A2534" s="102" t="inlineStr"/>
      <s:c r="B2534" s="99" t="n"/>
      <s:c r="C2534" s="99" t="n"/>
      <s:c r="D2534" s="116" t="n"/>
      <s:c r="E2534" s="116" t="n"/>
    </s:row>
    <s:row r="2535" ht="230" customHeight="1">
      <s:c r="A2535" s="83" t="inlineStr">
        <s:is>
          <s:r>
            <s:t xml:space="preserve">Giữ nguồn và </s:t>
          </s:r>
          <s:r>
            <s:rPr>
              <s:b val="1"/>
            </s:rPr>
            <s:t>AND</s:t>
          </s:r>
          <s:r>
            <s:t xml:space="preserve"> khi mở lại (reopen-summary)</s:t>
          </s:r>
        </s:is>
      </s:c>
      <s:c r="B2535" s="83" t="inlineStr">
        <s:is>
          <s:t>Sau mỗi cấu hình A+A, R+R, A+R và bộ lọc đã chạy, mở lại chính rule đó và đối chiếu source/điều kiện; không tạo thêm lượt AA-POS không có fixture.</s:t>
        </s:is>
      </s:c>
      <s:c r="C2535" s="83" t="inlineStr">
        <s:is>
          <s:r>
            <s:t xml:space="preserve">Mỗi rule giữ đúng identity nguồn/snapshot và các điều kiện đã lưu, kết hợp bằng </s:t>
          </s:r>
          <s:r>
            <s:rPr>
              <s:b val="1"/>
            </s:rPr>
            <s:t>AND</s:t>
          </s:r>
          <s:r>
            <s:t xml:space="preserve">, không chuyển thành </s:t>
          </s:r>
          <s:r>
            <s:rPr>
              <s:b val="1"/>
            </s:rPr>
            <s:t>OR</s:t>
          </s:r>
          <s:r>
            <s:t xml:space="preserve"> hoặc tách thành hai rule. Đối chiếu kết quả đã ghi cho từng fixture; positive A+A là A-P10/P11/P14/P15, không tạo lượt không có fixture.
Kết quả chỉ hợp lệ khi identity/snapshot và giá trị reader khớp fixture của lượt này.
Giữ các điều kiện trong cùng rule, đúng nguồn và phép </s:t>
          </s:r>
          <s:r>
            <s:rPr>
              <s:b val="1"/>
            </s:rPr>
            <s:t>AND</s:t>
          </s:r>
          <s:r>
            <s:t xml:space="preserve"> khi mở lại; không ghép hai rule riêng hoặc đổi thành </s:t>
          </s:r>
          <s:r>
            <s:rPr>
              <s:b val="1"/>
            </s:rPr>
            <s:t>OR</s:t>
          </s:r>
          <s:r>
            <s:t>. Nếu không dựng/xác minh được identity và giá trị qua reader/UI, ghi BLOCKED/NEEDS_EVIDENCE cho trường hợp này; không đổi kỳ vọng theo kết quả chạy.</s:t>
          </s:r>
        </s:is>
      </s:c>
      <s:c r="D2535" s="117" t="inlineStr"/>
      <s:c r="E2535" s="118" t="inlineStr">
        <s:is>
          <s:t>Chưa thực hiện</s:t>
        </s:is>
      </s:c>
    </s:row>
    <s:row r="2536" ht="20" customHeight="1">
      <s:c r="A2536" s="119" t="inlineStr">
        <s:is>
          <s:t>Ảnh minh chứng — Chưa có ảnh</s:t>
        </s:is>
      </s:c>
      <s:c r="B2536" s="19" t="n"/>
      <s:c r="C2536" s="19" t="n"/>
      <s:c r="D2536" s="19" t="n"/>
      <s:c r="E2536" s="19" t="n"/>
    </s:row>
    <s:row r="2537" hidden="1" ht="1" customHeight="1">
      <s:c r="A2537" s="120" t="inlineStr"/>
      <s:c r="B2537" s="121" t="n"/>
      <s:c r="C2537" s="121" t="n"/>
      <s:c r="D2537" s="121" t="n"/>
      <s:c r="E2537" s="122" t="n"/>
    </s:row>
    <s:row r="2538" hidden="1" ht="1" customHeight="1">
      <s:c r="A2538" s="120" t="inlineStr"/>
      <s:c r="B2538" s="121" t="n"/>
      <s:c r="C2538" s="121" t="n"/>
      <s:c r="D2538" s="121" t="n"/>
      <s:c r="E2538" s="122" t="n"/>
    </s:row>
    <s:row r="2539" hidden="1" ht="1" customHeight="1">
      <s:c r="A2539" s="120" t="inlineStr"/>
      <s:c r="B2539" s="121" t="n"/>
      <s:c r="C2539" s="121" t="n"/>
      <s:c r="D2539" s="121" t="n"/>
      <s:c r="E2539" s="122" t="n"/>
    </s:row>
    <s:row r="2540" hidden="1" ht="1" customHeight="1">
      <s:c r="A2540" s="120" t="inlineStr"/>
      <s:c r="B2540" s="121" t="n"/>
      <s:c r="C2540" s="121" t="n"/>
      <s:c r="D2540" s="121" t="n"/>
      <s:c r="E2540" s="122" t="n"/>
    </s:row>
    <s:row r="2541" hidden="1" ht="1" customHeight="1">
      <s:c r="A2541" s="120" t="inlineStr"/>
      <s:c r="B2541" s="121" t="n"/>
      <s:c r="C2541" s="121" t="n"/>
      <s:c r="D2541" s="121" t="n"/>
      <s:c r="E2541" s="122" t="n"/>
    </s:row>
    <s:row r="2542" hidden="1" ht="1" customHeight="1">
      <s:c r="A2542" s="120" t="inlineStr"/>
      <s:c r="B2542" s="121" t="n"/>
      <s:c r="C2542" s="121" t="n"/>
      <s:c r="D2542" s="121" t="n"/>
      <s:c r="E2542" s="122" t="n"/>
    </s:row>
    <s:row r="2543" hidden="1" ht="1" customHeight="1">
      <s:c r="A2543" s="120" t="inlineStr"/>
      <s:c r="B2543" s="121" t="n"/>
      <s:c r="C2543" s="121" t="n"/>
      <s:c r="D2543" s="121" t="n"/>
      <s:c r="E2543" s="122" t="n"/>
    </s:row>
    <s:row r="2544" hidden="1" ht="1" customHeight="1">
      <s:c r="A2544" s="120" t="inlineStr"/>
      <s:c r="B2544" s="121" t="n"/>
      <s:c r="C2544" s="121" t="n"/>
      <s:c r="D2544" s="121" t="n"/>
      <s:c r="E2544" s="122" t="n"/>
    </s:row>
    <s:row r="2545" hidden="1" ht="1" customHeight="1">
      <s:c r="A2545" s="120" t="inlineStr"/>
      <s:c r="B2545" s="121" t="n"/>
      <s:c r="C2545" s="121" t="n"/>
      <s:c r="D2545" s="121" t="n"/>
      <s:c r="E2545" s="122" t="n"/>
    </s:row>
    <s:row r="2546" hidden="1" ht="1" customHeight="1">
      <s:c r="A2546" s="120" t="inlineStr"/>
      <s:c r="B2546" s="121" t="n"/>
      <s:c r="C2546" s="121" t="n"/>
      <s:c r="D2546" s="121" t="n"/>
      <s:c r="E2546" s="122" t="n"/>
    </s:row>
    <s:row r="2547" hidden="1" ht="1" customHeight="1">
      <s:c r="A2547" s="120" t="inlineStr"/>
      <s:c r="B2547" s="121" t="n"/>
      <s:c r="C2547" s="121" t="n"/>
      <s:c r="D2547" s="121" t="n"/>
      <s:c r="E2547" s="122" t="n"/>
    </s:row>
    <s:row r="2548" hidden="1" ht="1" customHeight="1">
      <s:c r="A2548" s="120" t="inlineStr"/>
      <s:c r="B2548" s="121" t="n"/>
      <s:c r="C2548" s="121" t="n"/>
      <s:c r="D2548" s="121" t="n"/>
      <s:c r="E2548" s="122" t="n"/>
    </s:row>
    <s:row r="2549" hidden="1" ht="1" customHeight="1">
      <s:c r="A2549" s="120" t="inlineStr"/>
      <s:c r="B2549" s="121" t="n"/>
      <s:c r="C2549" s="121" t="n"/>
      <s:c r="D2549" s="121" t="n"/>
      <s:c r="E2549" s="122" t="n"/>
    </s:row>
    <s:row r="2550" hidden="1" ht="1" customHeight="1">
      <s:c r="A2550" s="120" t="inlineStr"/>
      <s:c r="B2550" s="121" t="n"/>
      <s:c r="C2550" s="121" t="n"/>
      <s:c r="D2550" s="121" t="n"/>
      <s:c r="E2550" s="122" t="n"/>
    </s:row>
    <s:row r="2551" hidden="1" ht="1" customHeight="1">
      <s:c r="A2551" s="120" t="inlineStr"/>
      <s:c r="B2551" s="121" t="n"/>
      <s:c r="C2551" s="121" t="n"/>
      <s:c r="D2551" s="121" t="n"/>
      <s:c r="E2551" s="122" t="n"/>
    </s:row>
    <s:row r="2552" hidden="1" ht="1" customHeight="1">
      <s:c r="A2552" s="120" t="inlineStr"/>
      <s:c r="B2552" s="121" t="n"/>
      <s:c r="C2552" s="121" t="n"/>
      <s:c r="D2552" s="121" t="n"/>
      <s:c r="E2552" s="122" t="n"/>
    </s:row>
    <s:row r="2553" hidden="1" ht="1" customHeight="1">
      <s:c r="A2553" s="120" t="inlineStr"/>
      <s:c r="B2553" s="121" t="n"/>
      <s:c r="C2553" s="121" t="n"/>
      <s:c r="D2553" s="121" t="n"/>
      <s:c r="E2553" s="122" t="n"/>
    </s:row>
    <s:row r="2554" hidden="1" ht="1" customHeight="1">
      <s:c r="A2554" s="120" t="inlineStr"/>
      <s:c r="B2554" s="121" t="n"/>
      <s:c r="C2554" s="121" t="n"/>
      <s:c r="D2554" s="121" t="n"/>
      <s:c r="E2554" s="122" t="n"/>
    </s:row>
    <s:row r="2555" hidden="1" ht="1" customHeight="1">
      <s:c r="A2555" s="120" t="inlineStr"/>
      <s:c r="B2555" s="121" t="n"/>
      <s:c r="C2555" s="121" t="n"/>
      <s:c r="D2555" s="121" t="n"/>
      <s:c r="E2555" s="122" t="n"/>
    </s:row>
    <s:row r="2556" hidden="1" ht="1" customHeight="1">
      <s:c r="A2556" s="120" t="inlineStr"/>
      <s:c r="B2556" s="121" t="n"/>
      <s:c r="C2556" s="121" t="n"/>
      <s:c r="D2556" s="121" t="n"/>
      <s:c r="E2556" s="122" t="n"/>
    </s:row>
    <s:row r="2557" hidden="1" ht="1" customHeight="1">
      <s:c r="A2557" s="120" t="inlineStr"/>
      <s:c r="B2557" s="121" t="n"/>
      <s:c r="C2557" s="121" t="n"/>
      <s:c r="D2557" s="121" t="n"/>
      <s:c r="E2557" s="122" t="n"/>
    </s:row>
    <s:row r="2558" hidden="1" ht="1" customHeight="1">
      <s:c r="A2558" s="120" t="inlineStr"/>
      <s:c r="B2558" s="121" t="n"/>
      <s:c r="C2558" s="121" t="n"/>
      <s:c r="D2558" s="121" t="n"/>
      <s:c r="E2558" s="122" t="n"/>
    </s:row>
    <s:row r="2559" hidden="1" ht="1" customHeight="1">
      <s:c r="A2559" s="120" t="inlineStr"/>
      <s:c r="B2559" s="121" t="n"/>
      <s:c r="C2559" s="121" t="n"/>
      <s:c r="D2559" s="121" t="n"/>
      <s:c r="E2559" s="122" t="n"/>
    </s:row>
    <s:row r="2560" hidden="1" ht="1" customHeight="1">
      <s:c r="A2560" s="120" t="inlineStr"/>
      <s:c r="B2560" s="121" t="n"/>
      <s:c r="C2560" s="121" t="n"/>
      <s:c r="D2560" s="121" t="n"/>
      <s:c r="E2560" s="122" t="n"/>
    </s:row>
    <s:row r="2561" hidden="1" ht="1" customHeight="1">
      <s:c r="A2561" s="120" t="inlineStr"/>
      <s:c r="B2561" s="121" t="n"/>
      <s:c r="C2561" s="121" t="n"/>
      <s:c r="D2561" s="121" t="n"/>
      <s:c r="E2561" s="122" t="n"/>
    </s:row>
    <s:row r="2562" hidden="1" ht="1" customHeight="1">
      <s:c r="A2562" s="120" t="inlineStr"/>
      <s:c r="B2562" s="121" t="n"/>
      <s:c r="C2562" s="121" t="n"/>
      <s:c r="D2562" s="121" t="n"/>
      <s:c r="E2562" s="122" t="n"/>
    </s:row>
    <s:row r="2563" hidden="1" ht="1" customHeight="1">
      <s:c r="A2563" s="120" t="inlineStr"/>
      <s:c r="B2563" s="121" t="n"/>
      <s:c r="C2563" s="121" t="n"/>
      <s:c r="D2563" s="121" t="n"/>
      <s:c r="E2563" s="122" t="n"/>
    </s:row>
    <s:row r="2564" hidden="1" ht="1" customHeight="1">
      <s:c r="A2564" s="120" t="inlineStr"/>
      <s:c r="B2564" s="121" t="n"/>
      <s:c r="C2564" s="121" t="n"/>
      <s:c r="D2564" s="121" t="n"/>
      <s:c r="E2564" s="122" t="n"/>
    </s:row>
    <s:row r="2565" hidden="1" ht="1" customHeight="1">
      <s:c r="A2565" s="120" t="inlineStr"/>
      <s:c r="B2565" s="121" t="n"/>
      <s:c r="C2565" s="121" t="n"/>
      <s:c r="D2565" s="121" t="n"/>
      <s:c r="E2565" s="122" t="n"/>
    </s:row>
    <s:row r="2566" hidden="1" ht="1" customHeight="1">
      <s:c r="A2566" s="120" t="inlineStr"/>
      <s:c r="B2566" s="121" t="n"/>
      <s:c r="C2566" s="121" t="n"/>
      <s:c r="D2566" s="121" t="n"/>
      <s:c r="E2566" s="122" t="n"/>
    </s:row>
    <s:row r="2567" hidden="1" ht="1" customHeight="1">
      <s:c r="A2567" s="120" t="inlineStr"/>
      <s:c r="B2567" s="121" t="n"/>
      <s:c r="C2567" s="121" t="n"/>
      <s:c r="D2567" s="121" t="n"/>
      <s:c r="E2567" s="122" t="n"/>
    </s:row>
    <s:row r="2568" hidden="1" ht="1" customHeight="1">
      <s:c r="A2568" s="120" t="inlineStr"/>
      <s:c r="B2568" s="121" t="n"/>
      <s:c r="C2568" s="121" t="n"/>
      <s:c r="D2568" s="121" t="n"/>
      <s:c r="E2568" s="122" t="n"/>
    </s:row>
    <s:row r="2569" hidden="1" ht="1" customHeight="1">
      <s:c r="A2569" s="120" t="inlineStr"/>
      <s:c r="B2569" s="121" t="n"/>
      <s:c r="C2569" s="121" t="n"/>
      <s:c r="D2569" s="121" t="n"/>
      <s:c r="E2569" s="122" t="n"/>
    </s:row>
    <s:row r="2570" hidden="1" ht="1" customHeight="1">
      <s:c r="A2570" s="120" t="inlineStr"/>
      <s:c r="B2570" s="121" t="n"/>
      <s:c r="C2570" s="121" t="n"/>
      <s:c r="D2570" s="121" t="n"/>
      <s:c r="E2570" s="122" t="n"/>
    </s:row>
    <s:row r="2571" hidden="1" ht="1" customHeight="1">
      <s:c r="A2571" s="120" t="inlineStr"/>
      <s:c r="B2571" s="121" t="n"/>
      <s:c r="C2571" s="121" t="n"/>
      <s:c r="D2571" s="121" t="n"/>
      <s:c r="E2571" s="122" t="n"/>
    </s:row>
    <s:row r="2572" hidden="1" ht="1" customHeight="1">
      <s:c r="A2572" s="120" t="inlineStr"/>
      <s:c r="B2572" s="121" t="n"/>
      <s:c r="C2572" s="121" t="n"/>
      <s:c r="D2572" s="121" t="n"/>
      <s:c r="E2572" s="122" t="n"/>
    </s:row>
    <s:row r="2573" hidden="1" ht="1" customHeight="1">
      <s:c r="A2573" s="120" t="inlineStr"/>
      <s:c r="B2573" s="121" t="n"/>
      <s:c r="C2573" s="121" t="n"/>
      <s:c r="D2573" s="121" t="n"/>
      <s:c r="E2573" s="122" t="n"/>
    </s:row>
    <s:row r="2574" hidden="1" ht="1" customHeight="1">
      <s:c r="A2574" s="120" t="inlineStr"/>
      <s:c r="B2574" s="121" t="n"/>
      <s:c r="C2574" s="121" t="n"/>
      <s:c r="D2574" s="121" t="n"/>
      <s:c r="E2574" s="122" t="n"/>
    </s:row>
    <s:row r="2575" hidden="1" ht="1" customHeight="1">
      <s:c r="A2575" s="120" t="inlineStr"/>
      <s:c r="B2575" s="121" t="n"/>
      <s:c r="C2575" s="121" t="n"/>
      <s:c r="D2575" s="121" t="n"/>
      <s:c r="E2575" s="122" t="n"/>
    </s:row>
    <s:row r="2576" hidden="1" ht="1" customHeight="1">
      <s:c r="A2576" s="120" t="inlineStr"/>
      <s:c r="B2576" s="121" t="n"/>
      <s:c r="C2576" s="121" t="n"/>
      <s:c r="D2576" s="121" t="n"/>
      <s:c r="E2576" s="122" t="n"/>
    </s:row>
    <s:row r="2577" hidden="1" ht="1" customHeight="1">
      <s:c r="A2577" s="120" t="inlineStr"/>
      <s:c r="B2577" s="121" t="n"/>
      <s:c r="C2577" s="121" t="n"/>
      <s:c r="D2577" s="121" t="n"/>
      <s:c r="E2577" s="122" t="n"/>
    </s:row>
    <s:row r="2578" hidden="1" ht="1" customHeight="1">
      <s:c r="A2578" s="120" t="inlineStr"/>
      <s:c r="B2578" s="121" t="n"/>
      <s:c r="C2578" s="121" t="n"/>
      <s:c r="D2578" s="121" t="n"/>
      <s:c r="E2578" s="122" t="n"/>
    </s:row>
    <s:row r="2579" hidden="1" ht="1" customHeight="1">
      <s:c r="A2579" s="120" t="inlineStr"/>
      <s:c r="B2579" s="121" t="n"/>
      <s:c r="C2579" s="121" t="n"/>
      <s:c r="D2579" s="121" t="n"/>
      <s:c r="E2579" s="122" t="n"/>
    </s:row>
    <s:row r="2580" hidden="1" ht="1" customHeight="1">
      <s:c r="A2580" s="120" t="inlineStr"/>
      <s:c r="B2580" s="121" t="n"/>
      <s:c r="C2580" s="121" t="n"/>
      <s:c r="D2580" s="121" t="n"/>
      <s:c r="E2580" s="122" t="n"/>
    </s:row>
    <s:row r="2581" hidden="1" ht="1" customHeight="1">
      <s:c r="A2581" s="120" t="inlineStr"/>
      <s:c r="B2581" s="121" t="n"/>
      <s:c r="C2581" s="121" t="n"/>
      <s:c r="D2581" s="121" t="n"/>
      <s:c r="E2581" s="122" t="n"/>
    </s:row>
    <s:row r="2582" hidden="1" ht="1" customHeight="1">
      <s:c r="A2582" s="120" t="inlineStr"/>
      <s:c r="B2582" s="121" t="n"/>
      <s:c r="C2582" s="121" t="n"/>
      <s:c r="D2582" s="121" t="n"/>
      <s:c r="E2582" s="122" t="n"/>
    </s:row>
    <s:row r="2583" hidden="1" ht="1" customHeight="1">
      <s:c r="A2583" s="120" t="inlineStr"/>
      <s:c r="B2583" s="121" t="n"/>
      <s:c r="C2583" s="121" t="n"/>
      <s:c r="D2583" s="121" t="n"/>
      <s:c r="E2583" s="122" t="n"/>
    </s:row>
    <s:row r="2584" hidden="1" ht="1" customHeight="1">
      <s:c r="A2584" s="120" t="inlineStr"/>
      <s:c r="B2584" s="121" t="n"/>
      <s:c r="C2584" s="121" t="n"/>
      <s:c r="D2584" s="121" t="n"/>
      <s:c r="E2584" s="122" t="n"/>
    </s:row>
    <s:row r="2585" hidden="1" ht="1" customHeight="1">
      <s:c r="A2585" s="120" t="inlineStr"/>
      <s:c r="B2585" s="121" t="n"/>
      <s:c r="C2585" s="121" t="n"/>
      <s:c r="D2585" s="121" t="n"/>
      <s:c r="E2585" s="122" t="n"/>
    </s:row>
    <s:row r="2586" hidden="1" ht="1" customHeight="1">
      <s:c r="A2586" s="120" t="inlineStr"/>
      <s:c r="B2586" s="121" t="n"/>
      <s:c r="C2586" s="121" t="n"/>
      <s:c r="D2586" s="121" t="n"/>
      <s:c r="E2586" s="122" t="n"/>
    </s:row>
    <s:row r="2587" hidden="1" ht="1" customHeight="1">
      <s:c r="A2587" s="120" t="inlineStr"/>
      <s:c r="B2587" s="121" t="n"/>
      <s:c r="C2587" s="121" t="n"/>
      <s:c r="D2587" s="121" t="n"/>
      <s:c r="E2587" s="122" t="n"/>
    </s:row>
    <s:row r="2588" hidden="1" ht="1" customHeight="1">
      <s:c r="A2588" s="120" t="inlineStr"/>
      <s:c r="B2588" s="121" t="n"/>
      <s:c r="C2588" s="121" t="n"/>
      <s:c r="D2588" s="121" t="n"/>
      <s:c r="E2588" s="122" t="n"/>
    </s:row>
    <s:row r="2589" hidden="1" ht="1" customHeight="1">
      <s:c r="A2589" s="120" t="inlineStr"/>
      <s:c r="B2589" s="121" t="n"/>
      <s:c r="C2589" s="121" t="n"/>
      <s:c r="D2589" s="121" t="n"/>
      <s:c r="E2589" s="122" t="n"/>
    </s:row>
    <s:row r="2590" hidden="1" ht="1" customHeight="1">
      <s:c r="A2590" s="120" t="inlineStr"/>
      <s:c r="B2590" s="121" t="n"/>
      <s:c r="C2590" s="121" t="n"/>
      <s:c r="D2590" s="121" t="n"/>
      <s:c r="E2590" s="122" t="n"/>
    </s:row>
    <s:row r="2591" hidden="1" ht="1" customHeight="1">
      <s:c r="A2591" s="120" t="inlineStr"/>
      <s:c r="B2591" s="121" t="n"/>
      <s:c r="C2591" s="121" t="n"/>
      <s:c r="D2591" s="121" t="n"/>
      <s:c r="E2591" s="122" t="n"/>
    </s:row>
    <s:row r="2592" hidden="1" ht="1" customHeight="1">
      <s:c r="A2592" s="120" t="inlineStr"/>
      <s:c r="B2592" s="121" t="n"/>
      <s:c r="C2592" s="121" t="n"/>
      <s:c r="D2592" s="121" t="n"/>
      <s:c r="E2592" s="122" t="n"/>
    </s:row>
    <s:row r="2593" hidden="1" ht="1" customHeight="1">
      <s:c r="A2593" s="120" t="inlineStr"/>
      <s:c r="B2593" s="121" t="n"/>
      <s:c r="C2593" s="121" t="n"/>
      <s:c r="D2593" s="121" t="n"/>
      <s:c r="E2593" s="122" t="n"/>
    </s:row>
    <s:row r="2594" hidden="1" ht="1" customHeight="1">
      <s:c r="A2594" s="120" t="inlineStr"/>
      <s:c r="B2594" s="121" t="n"/>
      <s:c r="C2594" s="121" t="n"/>
      <s:c r="D2594" s="121" t="n"/>
      <s:c r="E2594" s="122" t="n"/>
    </s:row>
    <s:row r="2595" hidden="1" ht="1" customHeight="1">
      <s:c r="A2595" s="120" t="inlineStr"/>
      <s:c r="B2595" s="121" t="n"/>
      <s:c r="C2595" s="121" t="n"/>
      <s:c r="D2595" s="121" t="n"/>
      <s:c r="E2595" s="122" t="n"/>
    </s:row>
    <s:row r="2596" hidden="1" ht="1" customHeight="1">
      <s:c r="A2596" s="120" t="inlineStr"/>
      <s:c r="B2596" s="121" t="n"/>
      <s:c r="C2596" s="121" t="n"/>
      <s:c r="D2596" s="121" t="n"/>
      <s:c r="E2596" s="122" t="n"/>
    </s:row>
    <s:row r="2597" hidden="1" ht="1" customHeight="1">
      <s:c r="A2597" s="120" t="inlineStr"/>
      <s:c r="B2597" s="121" t="n"/>
      <s:c r="C2597" s="121" t="n"/>
      <s:c r="D2597" s="121" t="n"/>
      <s:c r="E2597" s="122" t="n"/>
    </s:row>
    <s:row r="2598" hidden="1" ht="1" customHeight="1">
      <s:c r="A2598" s="120" t="inlineStr"/>
      <s:c r="B2598" s="121" t="n"/>
      <s:c r="C2598" s="121" t="n"/>
      <s:c r="D2598" s="121" t="n"/>
      <s:c r="E2598" s="122" t="n"/>
    </s:row>
    <s:row r="2599" hidden="1" ht="1" customHeight="1">
      <s:c r="A2599" s="120" t="inlineStr"/>
      <s:c r="B2599" s="121" t="n"/>
      <s:c r="C2599" s="121" t="n"/>
      <s:c r="D2599" s="121" t="n"/>
      <s:c r="E2599" s="122" t="n"/>
    </s:row>
    <s:row r="2600" hidden="1" ht="1" customHeight="1">
      <s:c r="A2600" s="120" t="inlineStr"/>
      <s:c r="B2600" s="121" t="n"/>
      <s:c r="C2600" s="121" t="n"/>
      <s:c r="D2600" s="121" t="n"/>
      <s:c r="E2600" s="122" t="n"/>
    </s:row>
    <s:row r="2601" hidden="1" ht="1" customHeight="1">
      <s:c r="A2601" s="120" t="inlineStr"/>
      <s:c r="B2601" s="121" t="n"/>
      <s:c r="C2601" s="121" t="n"/>
      <s:c r="D2601" s="121" t="n"/>
      <s:c r="E2601" s="122" t="n"/>
    </s:row>
    <s:row r="2602" hidden="1" ht="1" customHeight="1">
      <s:c r="A2602" s="120" t="inlineStr"/>
      <s:c r="B2602" s="121" t="n"/>
      <s:c r="C2602" s="121" t="n"/>
      <s:c r="D2602" s="121" t="n"/>
      <s:c r="E2602" s="122" t="n"/>
    </s:row>
    <s:row r="2603" hidden="1" ht="1" customHeight="1">
      <s:c r="A2603" s="120" t="inlineStr"/>
      <s:c r="B2603" s="121" t="n"/>
      <s:c r="C2603" s="121" t="n"/>
      <s:c r="D2603" s="121" t="n"/>
      <s:c r="E2603" s="122" t="n"/>
    </s:row>
    <s:row r="2604" hidden="1" ht="1" customHeight="1">
      <s:c r="A2604" s="120" t="inlineStr"/>
      <s:c r="B2604" s="121" t="n"/>
      <s:c r="C2604" s="121" t="n"/>
      <s:c r="D2604" s="121" t="n"/>
      <s:c r="E2604" s="122" t="n"/>
    </s:row>
    <s:row r="2605" hidden="1" ht="1" customHeight="1">
      <s:c r="A2605" s="120" t="inlineStr"/>
      <s:c r="B2605" s="121" t="n"/>
      <s:c r="C2605" s="121" t="n"/>
      <s:c r="D2605" s="121" t="n"/>
      <s:c r="E2605" s="122" t="n"/>
    </s:row>
    <s:row r="2606" hidden="1" ht="1" customHeight="1">
      <s:c r="A2606" s="120" t="inlineStr"/>
      <s:c r="B2606" s="121" t="n"/>
      <s:c r="C2606" s="121" t="n"/>
      <s:c r="D2606" s="121" t="n"/>
      <s:c r="E2606" s="122" t="n"/>
    </s:row>
    <s:row r="2607" hidden="1" ht="1" customHeight="1">
      <s:c r="A2607" s="120" t="inlineStr"/>
      <s:c r="B2607" s="121" t="n"/>
      <s:c r="C2607" s="121" t="n"/>
      <s:c r="D2607" s="121" t="n"/>
      <s:c r="E2607" s="122" t="n"/>
    </s:row>
    <s:row r="2608" hidden="1" ht="1" customHeight="1">
      <s:c r="A2608" s="120" t="inlineStr"/>
      <s:c r="B2608" s="121" t="n"/>
      <s:c r="C2608" s="121" t="n"/>
      <s:c r="D2608" s="121" t="n"/>
      <s:c r="E2608" s="122" t="n"/>
    </s:row>
    <s:row r="2609" hidden="1" ht="1" customHeight="1">
      <s:c r="A2609" s="120" t="inlineStr"/>
      <s:c r="B2609" s="121" t="n"/>
      <s:c r="C2609" s="121" t="n"/>
      <s:c r="D2609" s="121" t="n"/>
      <s:c r="E2609" s="122" t="n"/>
    </s:row>
    <s:row r="2610" hidden="1" ht="1" customHeight="1">
      <s:c r="A2610" s="120" t="inlineStr"/>
      <s:c r="B2610" s="121" t="n"/>
      <s:c r="C2610" s="121" t="n"/>
      <s:c r="D2610" s="121" t="n"/>
      <s:c r="E2610" s="122" t="n"/>
    </s:row>
    <s:row r="2611" hidden="1" ht="1" customHeight="1">
      <s:c r="A2611" s="120" t="inlineStr"/>
      <s:c r="B2611" s="121" t="n"/>
      <s:c r="C2611" s="121" t="n"/>
      <s:c r="D2611" s="121" t="n"/>
      <s:c r="E2611" s="122" t="n"/>
    </s:row>
    <s:row r="2612" hidden="1" ht="1" customHeight="1">
      <s:c r="A2612" s="120" t="inlineStr"/>
      <s:c r="B2612" s="121" t="n"/>
      <s:c r="C2612" s="121" t="n"/>
      <s:c r="D2612" s="121" t="n"/>
      <s:c r="E2612" s="122" t="n"/>
    </s:row>
    <s:row r="2613" hidden="1" ht="1" customHeight="1">
      <s:c r="A2613" s="120" t="inlineStr"/>
      <s:c r="B2613" s="121" t="n"/>
      <s:c r="C2613" s="121" t="n"/>
      <s:c r="D2613" s="121" t="n"/>
      <s:c r="E2613" s="122" t="n"/>
    </s:row>
    <s:row r="2614" hidden="1" ht="1" customHeight="1">
      <s:c r="A2614" s="120" t="inlineStr"/>
      <s:c r="B2614" s="121" t="n"/>
      <s:c r="C2614" s="121" t="n"/>
      <s:c r="D2614" s="121" t="n"/>
      <s:c r="E2614" s="122" t="n"/>
    </s:row>
    <s:row r="2615" hidden="1" ht="1" customHeight="1">
      <s:c r="A2615" s="120" t="inlineStr"/>
      <s:c r="B2615" s="121" t="n"/>
      <s:c r="C2615" s="121" t="n"/>
      <s:c r="D2615" s="121" t="n"/>
      <s:c r="E2615" s="122" t="n"/>
    </s:row>
    <s:row r="2616" hidden="1" ht="1" customHeight="1">
      <s:c r="A2616" s="120" t="inlineStr"/>
      <s:c r="B2616" s="121" t="n"/>
      <s:c r="C2616" s="121" t="n"/>
      <s:c r="D2616" s="121" t="n"/>
      <s:c r="E2616" s="122" t="n"/>
    </s:row>
    <s:row r="2617" hidden="1" ht="1" customHeight="1">
      <s:c r="A2617" s="120" t="inlineStr"/>
      <s:c r="B2617" s="121" t="n"/>
      <s:c r="C2617" s="121" t="n"/>
      <s:c r="D2617" s="121" t="n"/>
      <s:c r="E2617" s="122" t="n"/>
    </s:row>
    <s:row r="2618" hidden="1" ht="1" customHeight="1">
      <s:c r="A2618" s="120" t="inlineStr"/>
      <s:c r="B2618" s="121" t="n"/>
      <s:c r="C2618" s="121" t="n"/>
      <s:c r="D2618" s="121" t="n"/>
      <s:c r="E2618" s="122" t="n"/>
    </s:row>
    <s:row r="2619" hidden="1" ht="1" customHeight="1">
      <s:c r="A2619" s="120" t="inlineStr"/>
      <s:c r="B2619" s="121" t="n"/>
      <s:c r="C2619" s="121" t="n"/>
      <s:c r="D2619" s="121" t="n"/>
      <s:c r="E2619" s="122" t="n"/>
    </s:row>
    <s:row r="2620" hidden="1" ht="1" customHeight="1">
      <s:c r="A2620" s="120" t="inlineStr"/>
      <s:c r="B2620" s="121" t="n"/>
      <s:c r="C2620" s="121" t="n"/>
      <s:c r="D2620" s="121" t="n"/>
      <s:c r="E2620" s="122" t="n"/>
    </s:row>
    <s:row r="2621" hidden="1" ht="1" customHeight="1">
      <s:c r="A2621" s="120" t="inlineStr"/>
      <s:c r="B2621" s="121" t="n"/>
      <s:c r="C2621" s="121" t="n"/>
      <s:c r="D2621" s="121" t="n"/>
      <s:c r="E2621" s="122" t="n"/>
    </s:row>
    <s:row r="2622" hidden="1" ht="1" customHeight="1">
      <s:c r="A2622" s="120" t="inlineStr"/>
      <s:c r="B2622" s="121" t="n"/>
      <s:c r="C2622" s="121" t="n"/>
      <s:c r="D2622" s="121" t="n"/>
      <s:c r="E2622" s="122" t="n"/>
    </s:row>
    <s:row r="2623" hidden="1" ht="1" customHeight="1">
      <s:c r="A2623" s="120" t="inlineStr"/>
      <s:c r="B2623" s="121" t="n"/>
      <s:c r="C2623" s="121" t="n"/>
      <s:c r="D2623" s="121" t="n"/>
      <s:c r="E2623" s="122" t="n"/>
    </s:row>
    <s:row r="2624" hidden="1" ht="1" customHeight="1">
      <s:c r="A2624" s="120" t="inlineStr"/>
      <s:c r="B2624" s="121" t="n"/>
      <s:c r="C2624" s="121" t="n"/>
      <s:c r="D2624" s="121" t="n"/>
      <s:c r="E2624" s="122" t="n"/>
    </s:row>
    <s:row r="2625" hidden="1" ht="1" customHeight="1">
      <s:c r="A2625" s="120" t="inlineStr"/>
      <s:c r="B2625" s="121" t="n"/>
      <s:c r="C2625" s="121" t="n"/>
      <s:c r="D2625" s="121" t="n"/>
      <s:c r="E2625" s="122" t="n"/>
    </s:row>
    <s:row r="2626" hidden="1" ht="1" customHeight="1">
      <s:c r="A2626" s="120" t="inlineStr"/>
      <s:c r="B2626" s="121" t="n"/>
      <s:c r="C2626" s="121" t="n"/>
      <s:c r="D2626" s="121" t="n"/>
      <s:c r="E2626" s="122" t="n"/>
    </s:row>
    <s:row r="2627" hidden="1" ht="1" customHeight="1">
      <s:c r="A2627" s="120" t="inlineStr"/>
      <s:c r="B2627" s="121" t="n"/>
      <s:c r="C2627" s="121" t="n"/>
      <s:c r="D2627" s="121" t="n"/>
      <s:c r="E2627" s="122" t="n"/>
    </s:row>
    <s:row r="2628" hidden="1" ht="1" customHeight="1">
      <s:c r="A2628" s="120" t="inlineStr"/>
      <s:c r="B2628" s="121" t="n"/>
      <s:c r="C2628" s="121" t="n"/>
      <s:c r="D2628" s="121" t="n"/>
      <s:c r="E2628" s="122" t="n"/>
    </s:row>
    <s:row r="2629" hidden="1" ht="1" customHeight="1">
      <s:c r="A2629" s="120" t="inlineStr"/>
      <s:c r="B2629" s="121" t="n"/>
      <s:c r="C2629" s="121" t="n"/>
      <s:c r="D2629" s="121" t="n"/>
      <s:c r="E2629" s="122" t="n"/>
    </s:row>
    <s:row r="2630" hidden="1" ht="1" customHeight="1">
      <s:c r="A2630" s="120" t="inlineStr"/>
      <s:c r="B2630" s="121" t="n"/>
      <s:c r="C2630" s="121" t="n"/>
      <s:c r="D2630" s="121" t="n"/>
      <s:c r="E2630" s="122" t="n"/>
    </s:row>
    <s:row r="2631" hidden="1" ht="1" customHeight="1">
      <s:c r="A2631" s="120" t="inlineStr"/>
      <s:c r="B2631" s="121" t="n"/>
      <s:c r="C2631" s="121" t="n"/>
      <s:c r="D2631" s="121" t="n"/>
      <s:c r="E2631" s="122" t="n"/>
    </s:row>
    <s:row r="2632" hidden="1" ht="1" customHeight="1">
      <s:c r="A2632" s="120" t="inlineStr"/>
      <s:c r="B2632" s="121" t="n"/>
      <s:c r="C2632" s="121" t="n"/>
      <s:c r="D2632" s="121" t="n"/>
      <s:c r="E2632" s="122" t="n"/>
    </s:row>
    <s:row r="2633" hidden="1" ht="1" customHeight="1">
      <s:c r="A2633" s="120" t="inlineStr"/>
      <s:c r="B2633" s="121" t="n"/>
      <s:c r="C2633" s="121" t="n"/>
      <s:c r="D2633" s="121" t="n"/>
      <s:c r="E2633" s="122" t="n"/>
    </s:row>
    <s:row r="2634" hidden="1" ht="1" customHeight="1">
      <s:c r="A2634" s="120" t="inlineStr"/>
      <s:c r="B2634" s="121" t="n"/>
      <s:c r="C2634" s="121" t="n"/>
      <s:c r="D2634" s="121" t="n"/>
      <s:c r="E2634" s="122" t="n"/>
    </s:row>
    <s:row r="2635" hidden="1" ht="1" customHeight="1">
      <s:c r="A2635" s="120" t="inlineStr"/>
      <s:c r="B2635" s="121" t="n"/>
      <s:c r="C2635" s="121" t="n"/>
      <s:c r="D2635" s="121" t="n"/>
      <s:c r="E2635" s="122" t="n"/>
    </s:row>
    <s:row r="2636" hidden="1" ht="1" customHeight="1">
      <s:c r="A2636" s="120" t="inlineStr"/>
      <s:c r="B2636" s="121" t="n"/>
      <s:c r="C2636" s="121" t="n"/>
      <s:c r="D2636" s="121" t="n"/>
      <s:c r="E2636" s="122" t="n"/>
    </s:row>
    <s:row r="2637" hidden="1" ht="1" customHeight="1">
      <s:c r="A2637" s="120" t="inlineStr"/>
      <s:c r="B2637" s="121" t="n"/>
      <s:c r="C2637" s="121" t="n"/>
      <s:c r="D2637" s="121" t="n"/>
      <s:c r="E2637" s="122" t="n"/>
    </s:row>
    <s:row r="2638" hidden="1" ht="1" customHeight="1">
      <s:c r="A2638" s="120" t="inlineStr"/>
      <s:c r="B2638" s="121" t="n"/>
      <s:c r="C2638" s="121" t="n"/>
      <s:c r="D2638" s="121" t="n"/>
      <s:c r="E2638" s="122" t="n"/>
    </s:row>
    <s:row r="2639" hidden="1" ht="1" customHeight="1">
      <s:c r="A2639" s="120" t="inlineStr"/>
      <s:c r="B2639" s="121" t="n"/>
      <s:c r="C2639" s="121" t="n"/>
      <s:c r="D2639" s="121" t="n"/>
      <s:c r="E2639" s="122" t="n"/>
    </s:row>
    <s:row r="2640" hidden="1" ht="1" customHeight="1">
      <s:c r="A2640" s="120" t="inlineStr"/>
      <s:c r="B2640" s="121" t="n"/>
      <s:c r="C2640" s="121" t="n"/>
      <s:c r="D2640" s="121" t="n"/>
      <s:c r="E2640" s="122" t="n"/>
    </s:row>
    <s:row r="2641" hidden="1" ht="1" customHeight="1">
      <s:c r="A2641" s="120" t="inlineStr"/>
      <s:c r="B2641" s="121" t="n"/>
      <s:c r="C2641" s="121" t="n"/>
      <s:c r="D2641" s="121" t="n"/>
      <s:c r="E2641" s="122" t="n"/>
    </s:row>
    <s:row r="2642" hidden="1" ht="1" customHeight="1">
      <s:c r="A2642" s="120" t="inlineStr"/>
      <s:c r="B2642" s="121" t="n"/>
      <s:c r="C2642" s="121" t="n"/>
      <s:c r="D2642" s="121" t="n"/>
      <s:c r="E2642" s="122" t="n"/>
    </s:row>
    <s:row r="2643" hidden="1" ht="1" customHeight="1">
      <s:c r="A2643" s="120" t="inlineStr"/>
      <s:c r="B2643" s="121" t="n"/>
      <s:c r="C2643" s="121" t="n"/>
      <s:c r="D2643" s="121" t="n"/>
      <s:c r="E2643" s="122" t="n"/>
    </s:row>
    <s:row r="2644" hidden="1" ht="1" customHeight="1">
      <s:c r="A2644" s="120" t="inlineStr"/>
      <s:c r="B2644" s="121" t="n"/>
      <s:c r="C2644" s="121" t="n"/>
      <s:c r="D2644" s="121" t="n"/>
      <s:c r="E2644" s="122" t="n"/>
    </s:row>
    <s:row r="2645" hidden="1" ht="1" customHeight="1">
      <s:c r="A2645" s="120" t="inlineStr"/>
      <s:c r="B2645" s="121" t="n"/>
      <s:c r="C2645" s="121" t="n"/>
      <s:c r="D2645" s="121" t="n"/>
      <s:c r="E2645" s="122" t="n"/>
    </s:row>
    <s:row r="2646" hidden="1" ht="1" customHeight="1">
      <s:c r="A2646" s="120" t="inlineStr"/>
      <s:c r="B2646" s="121" t="n"/>
      <s:c r="C2646" s="121" t="n"/>
      <s:c r="D2646" s="121" t="n"/>
      <s:c r="E2646" s="122" t="n"/>
    </s:row>
    <s:row r="2647" hidden="1" ht="1" customHeight="1">
      <s:c r="A2647" s="120" t="inlineStr"/>
      <s:c r="B2647" s="121" t="n"/>
      <s:c r="C2647" s="121" t="n"/>
      <s:c r="D2647" s="121" t="n"/>
      <s:c r="E2647" s="122" t="n"/>
    </s:row>
    <s:row r="2648" hidden="1" ht="1" customHeight="1">
      <s:c r="A2648" s="120" t="inlineStr"/>
      <s:c r="B2648" s="121" t="n"/>
      <s:c r="C2648" s="121" t="n"/>
      <s:c r="D2648" s="121" t="n"/>
      <s:c r="E2648" s="122" t="n"/>
    </s:row>
    <s:row r="2649" hidden="1" ht="1" customHeight="1">
      <s:c r="A2649" s="120" t="inlineStr"/>
      <s:c r="B2649" s="121" t="n"/>
      <s:c r="C2649" s="121" t="n"/>
      <s:c r="D2649" s="121" t="n"/>
      <s:c r="E2649" s="122" t="n"/>
    </s:row>
    <s:row r="2650" hidden="1" ht="1" customHeight="1">
      <s:c r="A2650" s="120" t="inlineStr"/>
      <s:c r="B2650" s="121" t="n"/>
      <s:c r="C2650" s="121" t="n"/>
      <s:c r="D2650" s="121" t="n"/>
      <s:c r="E2650" s="122" t="n"/>
    </s:row>
    <s:row r="2651" hidden="1" ht="1" customHeight="1">
      <s:c r="A2651" s="120" t="inlineStr"/>
      <s:c r="B2651" s="121" t="n"/>
      <s:c r="C2651" s="121" t="n"/>
      <s:c r="D2651" s="121" t="n"/>
      <s:c r="E2651" s="122" t="n"/>
    </s:row>
    <s:row r="2652" hidden="1" ht="1" customHeight="1">
      <s:c r="A2652" s="120" t="inlineStr"/>
      <s:c r="B2652" s="121" t="n"/>
      <s:c r="C2652" s="121" t="n"/>
      <s:c r="D2652" s="121" t="n"/>
      <s:c r="E2652" s="122" t="n"/>
    </s:row>
    <s:row r="2653" hidden="1" ht="1" customHeight="1">
      <s:c r="A2653" s="120" t="inlineStr"/>
      <s:c r="B2653" s="121" t="n"/>
      <s:c r="C2653" s="121" t="n"/>
      <s:c r="D2653" s="121" t="n"/>
      <s:c r="E2653" s="122" t="n"/>
    </s:row>
    <s:row r="2654" hidden="1" ht="1" customHeight="1">
      <s:c r="A2654" s="120" t="inlineStr"/>
      <s:c r="B2654" s="121" t="n"/>
      <s:c r="C2654" s="121" t="n"/>
      <s:c r="D2654" s="121" t="n"/>
      <s:c r="E2654" s="122" t="n"/>
    </s:row>
    <s:row r="2655" hidden="1" ht="1" customHeight="1">
      <s:c r="A2655" s="120" t="inlineStr"/>
      <s:c r="B2655" s="121" t="n"/>
      <s:c r="C2655" s="121" t="n"/>
      <s:c r="D2655" s="121" t="n"/>
      <s:c r="E2655" s="122" t="n"/>
    </s:row>
    <s:row r="2656" hidden="1" ht="1" customHeight="1">
      <s:c r="A2656" s="120" t="inlineStr"/>
      <s:c r="B2656" s="121" t="n"/>
      <s:c r="C2656" s="121" t="n"/>
      <s:c r="D2656" s="121" t="n"/>
      <s:c r="E2656" s="122" t="n"/>
    </s:row>
    <s:row r="2657" hidden="1" ht="1" customHeight="1">
      <s:c r="A2657" s="120" t="inlineStr"/>
      <s:c r="B2657" s="121" t="n"/>
      <s:c r="C2657" s="121" t="n"/>
      <s:c r="D2657" s="121" t="n"/>
      <s:c r="E2657" s="122" t="n"/>
    </s:row>
    <s:row r="2658" hidden="1" ht="1" customHeight="1">
      <s:c r="A2658" s="120" t="inlineStr"/>
      <s:c r="B2658" s="121" t="n"/>
      <s:c r="C2658" s="121" t="n"/>
      <s:c r="D2658" s="121" t="n"/>
      <s:c r="E2658" s="122" t="n"/>
    </s:row>
    <s:row r="2659" hidden="1" ht="1" customHeight="1">
      <s:c r="A2659" s="120" t="inlineStr"/>
      <s:c r="B2659" s="121" t="n"/>
      <s:c r="C2659" s="121" t="n"/>
      <s:c r="D2659" s="121" t="n"/>
      <s:c r="E2659" s="122" t="n"/>
    </s:row>
    <s:row r="2660" hidden="1" ht="1" customHeight="1">
      <s:c r="A2660" s="120" t="inlineStr"/>
      <s:c r="B2660" s="121" t="n"/>
      <s:c r="C2660" s="121" t="n"/>
      <s:c r="D2660" s="121" t="n"/>
      <s:c r="E2660" s="122" t="n"/>
    </s:row>
    <s:row r="2661" hidden="1" ht="1" customHeight="1">
      <s:c r="A2661" s="120" t="inlineStr"/>
      <s:c r="B2661" s="121" t="n"/>
      <s:c r="C2661" s="121" t="n"/>
      <s:c r="D2661" s="121" t="n"/>
      <s:c r="E2661" s="122" t="n"/>
    </s:row>
    <s:row r="2662" hidden="1" ht="1" customHeight="1">
      <s:c r="A2662" s="120" t="inlineStr"/>
      <s:c r="B2662" s="121" t="n"/>
      <s:c r="C2662" s="121" t="n"/>
      <s:c r="D2662" s="121" t="n"/>
      <s:c r="E2662" s="122" t="n"/>
    </s:row>
    <s:row r="2663" hidden="1" ht="1" customHeight="1">
      <s:c r="A2663" s="120" t="inlineStr"/>
      <s:c r="B2663" s="121" t="n"/>
      <s:c r="C2663" s="121" t="n"/>
      <s:c r="D2663" s="121" t="n"/>
      <s:c r="E2663" s="122" t="n"/>
    </s:row>
    <s:row r="2664" hidden="1" ht="1" customHeight="1">
      <s:c r="A2664" s="120" t="inlineStr"/>
      <s:c r="B2664" s="121" t="n"/>
      <s:c r="C2664" s="121" t="n"/>
      <s:c r="D2664" s="121" t="n"/>
      <s:c r="E2664" s="122" t="n"/>
    </s:row>
    <s:row r="2665" hidden="1" ht="1" customHeight="1">
      <s:c r="A2665" s="120" t="inlineStr"/>
      <s:c r="B2665" s="121" t="n"/>
      <s:c r="C2665" s="121" t="n"/>
      <s:c r="D2665" s="121" t="n"/>
      <s:c r="E2665" s="122" t="n"/>
    </s:row>
    <s:row r="2666" hidden="1" ht="1" customHeight="1">
      <s:c r="A2666" s="120" t="inlineStr"/>
      <s:c r="B2666" s="121" t="n"/>
      <s:c r="C2666" s="121" t="n"/>
      <s:c r="D2666" s="121" t="n"/>
      <s:c r="E2666" s="122" t="n"/>
    </s:row>
    <s:row r="2667" hidden="1" ht="1" customHeight="1">
      <s:c r="A2667" s="120" t="inlineStr"/>
      <s:c r="B2667" s="121" t="n"/>
      <s:c r="C2667" s="121" t="n"/>
      <s:c r="D2667" s="121" t="n"/>
      <s:c r="E2667" s="122" t="n"/>
    </s:row>
    <s:row r="2668" hidden="1" ht="1" customHeight="1">
      <s:c r="A2668" s="120" t="inlineStr"/>
      <s:c r="B2668" s="121" t="n"/>
      <s:c r="C2668" s="121" t="n"/>
      <s:c r="D2668" s="121" t="n"/>
      <s:c r="E2668" s="122" t="n"/>
    </s:row>
    <s:row r="2669" hidden="1" ht="1" customHeight="1">
      <s:c r="A2669" s="120" t="inlineStr"/>
      <s:c r="B2669" s="121" t="n"/>
      <s:c r="C2669" s="121" t="n"/>
      <s:c r="D2669" s="121" t="n"/>
      <s:c r="E2669" s="122" t="n"/>
    </s:row>
    <s:row r="2670" hidden="1" ht="1" customHeight="1">
      <s:c r="A2670" s="120" t="inlineStr"/>
      <s:c r="B2670" s="121" t="n"/>
      <s:c r="C2670" s="121" t="n"/>
      <s:c r="D2670" s="121" t="n"/>
      <s:c r="E2670" s="122" t="n"/>
    </s:row>
    <s:row r="2671" hidden="1" ht="1" customHeight="1">
      <s:c r="A2671" s="120" t="inlineStr"/>
      <s:c r="B2671" s="121" t="n"/>
      <s:c r="C2671" s="121" t="n"/>
      <s:c r="D2671" s="121" t="n"/>
      <s:c r="E2671" s="122" t="n"/>
    </s:row>
    <s:row r="2672" hidden="1" ht="1" customHeight="1">
      <s:c r="A2672" s="120" t="inlineStr"/>
      <s:c r="B2672" s="121" t="n"/>
      <s:c r="C2672" s="121" t="n"/>
      <s:c r="D2672" s="121" t="n"/>
      <s:c r="E2672" s="122" t="n"/>
    </s:row>
    <s:row r="2673" hidden="1" ht="1" customHeight="1">
      <s:c r="A2673" s="120" t="inlineStr"/>
      <s:c r="B2673" s="121" t="n"/>
      <s:c r="C2673" s="121" t="n"/>
      <s:c r="D2673" s="121" t="n"/>
      <s:c r="E2673" s="122" t="n"/>
    </s:row>
    <s:row r="2674" hidden="1" ht="1" customHeight="1">
      <s:c r="A2674" s="120" t="inlineStr"/>
      <s:c r="B2674" s="121" t="n"/>
      <s:c r="C2674" s="121" t="n"/>
      <s:c r="D2674" s="121" t="n"/>
      <s:c r="E2674" s="122" t="n"/>
    </s:row>
    <s:row r="2675" hidden="1" ht="1" customHeight="1">
      <s:c r="A2675" s="120" t="inlineStr"/>
      <s:c r="B2675" s="121" t="n"/>
      <s:c r="C2675" s="121" t="n"/>
      <s:c r="D2675" s="121" t="n"/>
      <s:c r="E2675" s="122" t="n"/>
    </s:row>
    <s:row r="2676" hidden="1" ht="1" customHeight="1">
      <s:c r="A2676" s="120" t="inlineStr"/>
      <s:c r="B2676" s="121" t="n"/>
      <s:c r="C2676" s="121" t="n"/>
      <s:c r="D2676" s="121" t="n"/>
      <s:c r="E2676" s="122" t="n"/>
    </s:row>
    <s:row r="2677" hidden="1" ht="1" customHeight="1">
      <s:c r="A2677" s="120" t="inlineStr"/>
      <s:c r="B2677" s="121" t="n"/>
      <s:c r="C2677" s="121" t="n"/>
      <s:c r="D2677" s="121" t="n"/>
      <s:c r="E2677" s="122" t="n"/>
    </s:row>
    <s:row r="2678" hidden="1" ht="1" customHeight="1">
      <s:c r="A2678" s="120" t="inlineStr"/>
      <s:c r="B2678" s="121" t="n"/>
      <s:c r="C2678" s="121" t="n"/>
      <s:c r="D2678" s="121" t="n"/>
      <s:c r="E2678" s="122" t="n"/>
    </s:row>
    <s:row r="2679" hidden="1" ht="1" customHeight="1">
      <s:c r="A2679" s="120" t="inlineStr"/>
      <s:c r="B2679" s="121" t="n"/>
      <s:c r="C2679" s="121" t="n"/>
      <s:c r="D2679" s="121" t="n"/>
      <s:c r="E2679" s="122" t="n"/>
    </s:row>
    <s:row r="2680" hidden="1" ht="1" customHeight="1">
      <s:c r="A2680" s="120" t="inlineStr"/>
      <s:c r="B2680" s="121" t="n"/>
      <s:c r="C2680" s="121" t="n"/>
      <s:c r="D2680" s="121" t="n"/>
      <s:c r="E2680" s="122" t="n"/>
    </s:row>
    <s:row r="2681" hidden="1" ht="1" customHeight="1">
      <s:c r="A2681" s="120" t="inlineStr"/>
      <s:c r="B2681" s="121" t="n"/>
      <s:c r="C2681" s="121" t="n"/>
      <s:c r="D2681" s="121" t="n"/>
      <s:c r="E2681" s="122" t="n"/>
    </s:row>
    <s:row r="2682" hidden="1" ht="1" customHeight="1">
      <s:c r="A2682" s="120" t="inlineStr"/>
      <s:c r="B2682" s="121" t="n"/>
      <s:c r="C2682" s="121" t="n"/>
      <s:c r="D2682" s="121" t="n"/>
      <s:c r="E2682" s="122" t="n"/>
    </s:row>
    <s:row r="2683" hidden="1" ht="1" customHeight="1">
      <s:c r="A2683" s="120" t="inlineStr"/>
      <s:c r="B2683" s="121" t="n"/>
      <s:c r="C2683" s="121" t="n"/>
      <s:c r="D2683" s="121" t="n"/>
      <s:c r="E2683" s="122" t="n"/>
    </s:row>
    <s:row r="2684" hidden="1" ht="1" customHeight="1">
      <s:c r="A2684" s="120" t="inlineStr"/>
      <s:c r="B2684" s="121" t="n"/>
      <s:c r="C2684" s="121" t="n"/>
      <s:c r="D2684" s="121" t="n"/>
      <s:c r="E2684" s="122" t="n"/>
    </s:row>
    <s:row r="2685" hidden="1" ht="1" customHeight="1">
      <s:c r="A2685" s="120" t="inlineStr"/>
      <s:c r="B2685" s="121" t="n"/>
      <s:c r="C2685" s="121" t="n"/>
      <s:c r="D2685" s="121" t="n"/>
      <s:c r="E2685" s="122" t="n"/>
    </s:row>
    <s:row r="2686" hidden="1" ht="1" customHeight="1">
      <s:c r="A2686" s="120" t="inlineStr"/>
      <s:c r="B2686" s="121" t="n"/>
      <s:c r="C2686" s="121" t="n"/>
      <s:c r="D2686" s="121" t="n"/>
      <s:c r="E2686" s="122" t="n"/>
    </s:row>
    <s:row r="2687" hidden="1" ht="1" customHeight="1">
      <s:c r="A2687" s="120" t="inlineStr"/>
      <s:c r="B2687" s="121" t="n"/>
      <s:c r="C2687" s="121" t="n"/>
      <s:c r="D2687" s="121" t="n"/>
      <s:c r="E2687" s="122" t="n"/>
    </s:row>
    <s:row r="2688" hidden="1" ht="1" customHeight="1">
      <s:c r="A2688" s="120" t="inlineStr"/>
      <s:c r="B2688" s="121" t="n"/>
      <s:c r="C2688" s="121" t="n"/>
      <s:c r="D2688" s="121" t="n"/>
      <s:c r="E2688" s="122" t="n"/>
    </s:row>
    <s:row r="2689" hidden="1" ht="1" customHeight="1">
      <s:c r="A2689" s="120" t="inlineStr"/>
      <s:c r="B2689" s="121" t="n"/>
      <s:c r="C2689" s="121" t="n"/>
      <s:c r="D2689" s="121" t="n"/>
      <s:c r="E2689" s="122" t="n"/>
    </s:row>
    <s:row r="2690" hidden="1" ht="1" customHeight="1">
      <s:c r="A2690" s="120" t="inlineStr"/>
      <s:c r="B2690" s="121" t="n"/>
      <s:c r="C2690" s="121" t="n"/>
      <s:c r="D2690" s="121" t="n"/>
      <s:c r="E2690" s="122" t="n"/>
    </s:row>
    <s:row r="2691" hidden="1" ht="1" customHeight="1">
      <s:c r="A2691" s="120" t="inlineStr"/>
      <s:c r="B2691" s="121" t="n"/>
      <s:c r="C2691" s="121" t="n"/>
      <s:c r="D2691" s="121" t="n"/>
      <s:c r="E2691" s="122" t="n"/>
    </s:row>
    <s:row r="2692" hidden="1" ht="1" customHeight="1">
      <s:c r="A2692" s="120" t="inlineStr"/>
      <s:c r="B2692" s="121" t="n"/>
      <s:c r="C2692" s="121" t="n"/>
      <s:c r="D2692" s="121" t="n"/>
      <s:c r="E2692" s="122" t="n"/>
    </s:row>
    <s:row r="2693" hidden="1" ht="1" customHeight="1">
      <s:c r="A2693" s="120" t="inlineStr"/>
      <s:c r="B2693" s="121" t="n"/>
      <s:c r="C2693" s="121" t="n"/>
      <s:c r="D2693" s="121" t="n"/>
      <s:c r="E2693" s="122" t="n"/>
    </s:row>
    <s:row r="2694" hidden="1" ht="1" customHeight="1">
      <s:c r="A2694" s="120" t="inlineStr"/>
      <s:c r="B2694" s="121" t="n"/>
      <s:c r="C2694" s="121" t="n"/>
      <s:c r="D2694" s="121" t="n"/>
      <s:c r="E2694" s="122" t="n"/>
    </s:row>
    <s:row r="2695" hidden="1" ht="1" customHeight="1">
      <s:c r="A2695" s="120" t="inlineStr"/>
      <s:c r="B2695" s="121" t="n"/>
      <s:c r="C2695" s="121" t="n"/>
      <s:c r="D2695" s="121" t="n"/>
      <s:c r="E2695" s="122" t="n"/>
    </s:row>
    <s:row r="2696" hidden="1" ht="1" customHeight="1">
      <s:c r="A2696" s="120" t="inlineStr"/>
      <s:c r="B2696" s="121" t="n"/>
      <s:c r="C2696" s="121" t="n"/>
      <s:c r="D2696" s="121" t="n"/>
      <s:c r="E2696" s="122" t="n"/>
    </s:row>
    <s:row r="2697" hidden="1" ht="1" customHeight="1">
      <s:c r="A2697" s="120" t="inlineStr"/>
      <s:c r="B2697" s="121" t="n"/>
      <s:c r="C2697" s="121" t="n"/>
      <s:c r="D2697" s="121" t="n"/>
      <s:c r="E2697" s="122" t="n"/>
    </s:row>
    <s:row r="2698" hidden="1" ht="1" customHeight="1">
      <s:c r="A2698" s="120" t="inlineStr"/>
      <s:c r="B2698" s="121" t="n"/>
      <s:c r="C2698" s="121" t="n"/>
      <s:c r="D2698" s="121" t="n"/>
      <s:c r="E2698" s="122" t="n"/>
    </s:row>
    <s:row r="2699" hidden="1" ht="1" customHeight="1">
      <s:c r="A2699" s="120" t="inlineStr"/>
      <s:c r="B2699" s="121" t="n"/>
      <s:c r="C2699" s="121" t="n"/>
      <s:c r="D2699" s="121" t="n"/>
      <s:c r="E2699" s="122" t="n"/>
    </s:row>
    <s:row r="2700" hidden="1" ht="1" customHeight="1">
      <s:c r="A2700" s="120" t="inlineStr"/>
      <s:c r="B2700" s="121" t="n"/>
      <s:c r="C2700" s="121" t="n"/>
      <s:c r="D2700" s="121" t="n"/>
      <s:c r="E2700" s="122" t="n"/>
    </s:row>
    <s:row r="2701" hidden="1" ht="1" customHeight="1">
      <s:c r="A2701" s="120" t="inlineStr"/>
      <s:c r="B2701" s="121" t="n"/>
      <s:c r="C2701" s="121" t="n"/>
      <s:c r="D2701" s="121" t="n"/>
      <s:c r="E2701" s="122" t="n"/>
    </s:row>
    <s:row r="2702" hidden="1" ht="1" customHeight="1">
      <s:c r="A2702" s="120" t="inlineStr"/>
      <s:c r="B2702" s="121" t="n"/>
      <s:c r="C2702" s="121" t="n"/>
      <s:c r="D2702" s="121" t="n"/>
      <s:c r="E2702" s="122" t="n"/>
    </s:row>
    <s:row r="2703" hidden="1" ht="1" customHeight="1">
      <s:c r="A2703" s="120" t="inlineStr"/>
      <s:c r="B2703" s="121" t="n"/>
      <s:c r="C2703" s="121" t="n"/>
      <s:c r="D2703" s="121" t="n"/>
      <s:c r="E2703" s="122" t="n"/>
    </s:row>
    <s:row r="2704" hidden="1" ht="1" customHeight="1">
      <s:c r="A2704" s="120" t="inlineStr"/>
      <s:c r="B2704" s="121" t="n"/>
      <s:c r="C2704" s="121" t="n"/>
      <s:c r="D2704" s="121" t="n"/>
      <s:c r="E2704" s="122" t="n"/>
    </s:row>
    <s:row r="2705" hidden="1" ht="1" customHeight="1">
      <s:c r="A2705" s="120" t="inlineStr"/>
      <s:c r="B2705" s="121" t="n"/>
      <s:c r="C2705" s="121" t="n"/>
      <s:c r="D2705" s="121" t="n"/>
      <s:c r="E2705" s="122" t="n"/>
    </s:row>
    <s:row r="2706" hidden="1" ht="1" customHeight="1">
      <s:c r="A2706" s="120" t="inlineStr"/>
      <s:c r="B2706" s="121" t="n"/>
      <s:c r="C2706" s="121" t="n"/>
      <s:c r="D2706" s="121" t="n"/>
      <s:c r="E2706" s="122" t="n"/>
    </s:row>
    <s:row r="2707" hidden="1" ht="1" customHeight="1">
      <s:c r="A2707" s="120" t="inlineStr"/>
      <s:c r="B2707" s="121" t="n"/>
      <s:c r="C2707" s="121" t="n"/>
      <s:c r="D2707" s="121" t="n"/>
      <s:c r="E2707" s="122" t="n"/>
    </s:row>
    <s:row r="2708" hidden="1" ht="1" customHeight="1">
      <s:c r="A2708" s="120" t="inlineStr"/>
      <s:c r="B2708" s="121" t="n"/>
      <s:c r="C2708" s="121" t="n"/>
      <s:c r="D2708" s="121" t="n"/>
      <s:c r="E2708" s="122" t="n"/>
    </s:row>
    <s:row r="2709" hidden="1" ht="1" customHeight="1">
      <s:c r="A2709" s="120" t="inlineStr"/>
      <s:c r="B2709" s="121" t="n"/>
      <s:c r="C2709" s="121" t="n"/>
      <s:c r="D2709" s="121" t="n"/>
      <s:c r="E2709" s="122" t="n"/>
    </s:row>
    <s:row r="2710" hidden="1" ht="1" customHeight="1">
      <s:c r="A2710" s="120" t="inlineStr"/>
      <s:c r="B2710" s="121" t="n"/>
      <s:c r="C2710" s="121" t="n"/>
      <s:c r="D2710" s="121" t="n"/>
      <s:c r="E2710" s="122" t="n"/>
    </s:row>
    <s:row r="2711" hidden="1" ht="1" customHeight="1">
      <s:c r="A2711" s="120" t="inlineStr"/>
      <s:c r="B2711" s="121" t="n"/>
      <s:c r="C2711" s="121" t="n"/>
      <s:c r="D2711" s="121" t="n"/>
      <s:c r="E2711" s="122" t="n"/>
    </s:row>
    <s:row r="2712" hidden="1" ht="1" customHeight="1">
      <s:c r="A2712" s="120" t="inlineStr"/>
      <s:c r="B2712" s="121" t="n"/>
      <s:c r="C2712" s="121" t="n"/>
      <s:c r="D2712" s="121" t="n"/>
      <s:c r="E2712" s="122" t="n"/>
    </s:row>
    <s:row r="2713" hidden="1" ht="1" customHeight="1">
      <s:c r="A2713" s="120" t="inlineStr"/>
      <s:c r="B2713" s="121" t="n"/>
      <s:c r="C2713" s="121" t="n"/>
      <s:c r="D2713" s="121" t="n"/>
      <s:c r="E2713" s="122" t="n"/>
    </s:row>
    <s:row r="2714" hidden="1" ht="1" customHeight="1">
      <s:c r="A2714" s="120" t="inlineStr"/>
      <s:c r="B2714" s="121" t="n"/>
      <s:c r="C2714" s="121" t="n"/>
      <s:c r="D2714" s="121" t="n"/>
      <s:c r="E2714" s="122" t="n"/>
    </s:row>
    <s:row r="2715" hidden="1" ht="1" customHeight="1">
      <s:c r="A2715" s="120" t="inlineStr"/>
      <s:c r="B2715" s="121" t="n"/>
      <s:c r="C2715" s="121" t="n"/>
      <s:c r="D2715" s="121" t="n"/>
      <s:c r="E2715" s="122" t="n"/>
    </s:row>
    <s:row r="2716" hidden="1" ht="1" customHeight="1">
      <s:c r="A2716" s="120" t="inlineStr"/>
      <s:c r="B2716" s="121" t="n"/>
      <s:c r="C2716" s="121" t="n"/>
      <s:c r="D2716" s="121" t="n"/>
      <s:c r="E2716" s="122" t="n"/>
    </s:row>
    <s:row r="2717" hidden="1" ht="1" customHeight="1">
      <s:c r="A2717" s="120" t="inlineStr"/>
      <s:c r="B2717" s="121" t="n"/>
      <s:c r="C2717" s="121" t="n"/>
      <s:c r="D2717" s="121" t="n"/>
      <s:c r="E2717" s="122" t="n"/>
    </s:row>
    <s:row r="2718" hidden="1" ht="1" customHeight="1">
      <s:c r="A2718" s="120" t="inlineStr"/>
      <s:c r="B2718" s="121" t="n"/>
      <s:c r="C2718" s="121" t="n"/>
      <s:c r="D2718" s="121" t="n"/>
      <s:c r="E2718" s="122" t="n"/>
    </s:row>
    <s:row r="2719" hidden="1" ht="1" customHeight="1">
      <s:c r="A2719" s="120" t="inlineStr"/>
      <s:c r="B2719" s="121" t="n"/>
      <s:c r="C2719" s="121" t="n"/>
      <s:c r="D2719" s="121" t="n"/>
      <s:c r="E2719" s="122" t="n"/>
    </s:row>
    <s:row r="2720" hidden="1" ht="1" customHeight="1">
      <s:c r="A2720" s="120" t="inlineStr"/>
      <s:c r="B2720" s="121" t="n"/>
      <s:c r="C2720" s="121" t="n"/>
      <s:c r="D2720" s="121" t="n"/>
      <s:c r="E2720" s="122" t="n"/>
    </s:row>
    <s:row r="2721" hidden="1" ht="1" customHeight="1">
      <s:c r="A2721" s="120" t="inlineStr"/>
      <s:c r="B2721" s="121" t="n"/>
      <s:c r="C2721" s="121" t="n"/>
      <s:c r="D2721" s="121" t="n"/>
      <s:c r="E2721" s="122" t="n"/>
    </s:row>
    <s:row r="2722" hidden="1" ht="1" customHeight="1">
      <s:c r="A2722" s="120" t="inlineStr"/>
      <s:c r="B2722" s="121" t="n"/>
      <s:c r="C2722" s="121" t="n"/>
      <s:c r="D2722" s="121" t="n"/>
      <s:c r="E2722" s="122" t="n"/>
    </s:row>
    <s:row r="2723" hidden="1" ht="1" customHeight="1">
      <s:c r="A2723" s="120" t="inlineStr"/>
      <s:c r="B2723" s="121" t="n"/>
      <s:c r="C2723" s="121" t="n"/>
      <s:c r="D2723" s="121" t="n"/>
      <s:c r="E2723" s="122" t="n"/>
    </s:row>
    <s:row r="2724" hidden="1" ht="1" customHeight="1">
      <s:c r="A2724" s="120" t="inlineStr"/>
      <s:c r="B2724" s="121" t="n"/>
      <s:c r="C2724" s="121" t="n"/>
      <s:c r="D2724" s="121" t="n"/>
      <s:c r="E2724" s="122" t="n"/>
    </s:row>
    <s:row r="2725" hidden="1" ht="1" customHeight="1">
      <s:c r="A2725" s="120" t="inlineStr"/>
      <s:c r="B2725" s="121" t="n"/>
      <s:c r="C2725" s="121" t="n"/>
      <s:c r="D2725" s="121" t="n"/>
      <s:c r="E2725" s="122" t="n"/>
    </s:row>
    <s:row r="2726" hidden="1" ht="1" customHeight="1">
      <s:c r="A2726" s="120" t="inlineStr"/>
      <s:c r="B2726" s="121" t="n"/>
      <s:c r="C2726" s="121" t="n"/>
      <s:c r="D2726" s="121" t="n"/>
      <s:c r="E2726" s="122" t="n"/>
    </s:row>
    <s:row r="2727" hidden="1" ht="1" customHeight="1">
      <s:c r="A2727" s="120" t="inlineStr"/>
      <s:c r="B2727" s="121" t="n"/>
      <s:c r="C2727" s="121" t="n"/>
      <s:c r="D2727" s="121" t="n"/>
      <s:c r="E2727" s="122" t="n"/>
    </s:row>
    <s:row r="2728" hidden="1" ht="1" customHeight="1">
      <s:c r="A2728" s="120" t="inlineStr"/>
      <s:c r="B2728" s="121" t="n"/>
      <s:c r="C2728" s="121" t="n"/>
      <s:c r="D2728" s="121" t="n"/>
      <s:c r="E2728" s="122" t="n"/>
    </s:row>
    <s:row r="2729" hidden="1" ht="1" customHeight="1">
      <s:c r="A2729" s="120" t="inlineStr"/>
      <s:c r="B2729" s="121" t="n"/>
      <s:c r="C2729" s="121" t="n"/>
      <s:c r="D2729" s="121" t="n"/>
      <s:c r="E2729" s="122" t="n"/>
    </s:row>
    <s:row r="2730" hidden="1" ht="1" customHeight="1">
      <s:c r="A2730" s="120" t="inlineStr"/>
      <s:c r="B2730" s="121" t="n"/>
      <s:c r="C2730" s="121" t="n"/>
      <s:c r="D2730" s="121" t="n"/>
      <s:c r="E2730" s="122" t="n"/>
    </s:row>
    <s:row r="2731" hidden="1" ht="1" customHeight="1">
      <s:c r="A2731" s="120" t="inlineStr"/>
      <s:c r="B2731" s="121" t="n"/>
      <s:c r="C2731" s="121" t="n"/>
      <s:c r="D2731" s="121" t="n"/>
      <s:c r="E2731" s="122" t="n"/>
    </s:row>
    <s:row r="2732" hidden="1" ht="1" customHeight="1">
      <s:c r="A2732" s="120" t="inlineStr"/>
      <s:c r="B2732" s="121" t="n"/>
      <s:c r="C2732" s="121" t="n"/>
      <s:c r="D2732" s="121" t="n"/>
      <s:c r="E2732" s="122" t="n"/>
    </s:row>
    <s:row r="2733" hidden="1" ht="1" customHeight="1">
      <s:c r="A2733" s="120" t="inlineStr"/>
      <s:c r="B2733" s="121" t="n"/>
      <s:c r="C2733" s="121" t="n"/>
      <s:c r="D2733" s="121" t="n"/>
      <s:c r="E2733" s="122" t="n"/>
    </s:row>
    <s:row r="2734" hidden="1" ht="1" customHeight="1">
      <s:c r="A2734" s="120" t="inlineStr"/>
      <s:c r="B2734" s="121" t="n"/>
      <s:c r="C2734" s="121" t="n"/>
      <s:c r="D2734" s="121" t="n"/>
      <s:c r="E2734" s="122" t="n"/>
    </s:row>
    <s:row r="2735" hidden="1" ht="1" customHeight="1">
      <s:c r="A2735" s="120" t="inlineStr"/>
      <s:c r="B2735" s="121" t="n"/>
      <s:c r="C2735" s="121" t="n"/>
      <s:c r="D2735" s="121" t="n"/>
      <s:c r="E2735" s="122" t="n"/>
    </s:row>
    <s:row r="2736" hidden="1" ht="1" customHeight="1">
      <s:c r="A2736" s="120" t="inlineStr"/>
      <s:c r="B2736" s="121" t="n"/>
      <s:c r="C2736" s="121" t="n"/>
      <s:c r="D2736" s="121" t="n"/>
      <s:c r="E2736" s="122" t="n"/>
    </s:row>
    <s:row r="2737" hidden="1" ht="1" customHeight="1">
      <s:c r="A2737" s="120" t="inlineStr"/>
      <s:c r="B2737" s="121" t="n"/>
      <s:c r="C2737" s="121" t="n"/>
      <s:c r="D2737" s="121" t="n"/>
      <s:c r="E2737" s="122" t="n"/>
    </s:row>
    <s:row r="2738" hidden="1" ht="1" customHeight="1">
      <s:c r="A2738" s="120" t="inlineStr"/>
      <s:c r="B2738" s="121" t="n"/>
      <s:c r="C2738" s="121" t="n"/>
      <s:c r="D2738" s="121" t="n"/>
      <s:c r="E2738" s="122" t="n"/>
    </s:row>
    <s:row r="2739" hidden="1" ht="1" customHeight="1">
      <s:c r="A2739" s="120" t="inlineStr"/>
      <s:c r="B2739" s="121" t="n"/>
      <s:c r="C2739" s="121" t="n"/>
      <s:c r="D2739" s="121" t="n"/>
      <s:c r="E2739" s="122" t="n"/>
    </s:row>
    <s:row r="2740" hidden="1" ht="1" customHeight="1">
      <s:c r="A2740" s="120" t="inlineStr"/>
      <s:c r="B2740" s="121" t="n"/>
      <s:c r="C2740" s="121" t="n"/>
      <s:c r="D2740" s="121" t="n"/>
      <s:c r="E2740" s="122" t="n"/>
    </s:row>
    <s:row r="2741" hidden="1" ht="1" customHeight="1">
      <s:c r="A2741" s="120" t="inlineStr"/>
      <s:c r="B2741" s="121" t="n"/>
      <s:c r="C2741" s="121" t="n"/>
      <s:c r="D2741" s="121" t="n"/>
      <s:c r="E2741" s="122" t="n"/>
    </s:row>
    <s:row r="2742" hidden="1" ht="1" customHeight="1">
      <s:c r="A2742" s="120" t="inlineStr"/>
      <s:c r="B2742" s="121" t="n"/>
      <s:c r="C2742" s="121" t="n"/>
      <s:c r="D2742" s="121" t="n"/>
      <s:c r="E2742" s="122" t="n"/>
    </s:row>
    <s:row r="2743" hidden="1" ht="1" customHeight="1">
      <s:c r="A2743" s="120" t="inlineStr"/>
      <s:c r="B2743" s="121" t="n"/>
      <s:c r="C2743" s="121" t="n"/>
      <s:c r="D2743" s="121" t="n"/>
      <s:c r="E2743" s="122" t="n"/>
    </s:row>
    <s:row r="2744" hidden="1" ht="1" customHeight="1">
      <s:c r="A2744" s="120" t="inlineStr"/>
      <s:c r="B2744" s="121" t="n"/>
      <s:c r="C2744" s="121" t="n"/>
      <s:c r="D2744" s="121" t="n"/>
      <s:c r="E2744" s="122" t="n"/>
    </s:row>
    <s:row r="2745" hidden="1" ht="1" customHeight="1">
      <s:c r="A2745" s="120" t="inlineStr"/>
      <s:c r="B2745" s="121" t="n"/>
      <s:c r="C2745" s="121" t="n"/>
      <s:c r="D2745" s="121" t="n"/>
      <s:c r="E2745" s="122" t="n"/>
    </s:row>
    <s:row r="2746" hidden="1" ht="1" customHeight="1">
      <s:c r="A2746" s="120" t="inlineStr"/>
      <s:c r="B2746" s="121" t="n"/>
      <s:c r="C2746" s="121" t="n"/>
      <s:c r="D2746" s="121" t="n"/>
      <s:c r="E2746" s="122" t="n"/>
    </s:row>
    <s:row r="2747" hidden="1" ht="1" customHeight="1">
      <s:c r="A2747" s="120" t="inlineStr"/>
      <s:c r="B2747" s="121" t="n"/>
      <s:c r="C2747" s="121" t="n"/>
      <s:c r="D2747" s="121" t="n"/>
      <s:c r="E2747" s="122" t="n"/>
    </s:row>
    <s:row r="2748" hidden="1" ht="1" customHeight="1">
      <s:c r="A2748" s="120" t="inlineStr"/>
      <s:c r="B2748" s="121" t="n"/>
      <s:c r="C2748" s="121" t="n"/>
      <s:c r="D2748" s="121" t="n"/>
      <s:c r="E2748" s="122" t="n"/>
    </s:row>
    <s:row r="2749" hidden="1" ht="1" customHeight="1">
      <s:c r="A2749" s="120" t="inlineStr"/>
      <s:c r="B2749" s="121" t="n"/>
      <s:c r="C2749" s="121" t="n"/>
      <s:c r="D2749" s="121" t="n"/>
      <s:c r="E2749" s="122" t="n"/>
    </s:row>
    <s:row r="2750" hidden="1" ht="1" customHeight="1">
      <s:c r="A2750" s="120" t="inlineStr"/>
      <s:c r="B2750" s="121" t="n"/>
      <s:c r="C2750" s="121" t="n"/>
      <s:c r="D2750" s="121" t="n"/>
      <s:c r="E2750" s="122" t="n"/>
    </s:row>
    <s:row r="2751" hidden="1" ht="1" customHeight="1">
      <s:c r="A2751" s="120" t="inlineStr"/>
      <s:c r="B2751" s="121" t="n"/>
      <s:c r="C2751" s="121" t="n"/>
      <s:c r="D2751" s="121" t="n"/>
      <s:c r="E2751" s="122" t="n"/>
    </s:row>
    <s:row r="2752" hidden="1" ht="1" customHeight="1">
      <s:c r="A2752" s="120" t="inlineStr"/>
      <s:c r="B2752" s="121" t="n"/>
      <s:c r="C2752" s="121" t="n"/>
      <s:c r="D2752" s="121" t="n"/>
      <s:c r="E2752" s="122" t="n"/>
    </s:row>
    <s:row r="2753" hidden="1" ht="1" customHeight="1">
      <s:c r="A2753" s="120" t="inlineStr"/>
      <s:c r="B2753" s="121" t="n"/>
      <s:c r="C2753" s="121" t="n"/>
      <s:c r="D2753" s="121" t="n"/>
      <s:c r="E2753" s="122" t="n"/>
    </s:row>
    <s:row r="2754" hidden="1" ht="1" customHeight="1">
      <s:c r="A2754" s="120" t="inlineStr"/>
      <s:c r="B2754" s="121" t="n"/>
      <s:c r="C2754" s="121" t="n"/>
      <s:c r="D2754" s="121" t="n"/>
      <s:c r="E2754" s="122" t="n"/>
    </s:row>
    <s:row r="2755" hidden="1" ht="1" customHeight="1">
      <s:c r="A2755" s="120" t="inlineStr"/>
      <s:c r="B2755" s="121" t="n"/>
      <s:c r="C2755" s="121" t="n"/>
      <s:c r="D2755" s="121" t="n"/>
      <s:c r="E2755" s="122" t="n"/>
    </s:row>
    <s:row r="2756" hidden="1" ht="1" customHeight="1">
      <s:c r="A2756" s="120" t="inlineStr"/>
      <s:c r="B2756" s="121" t="n"/>
      <s:c r="C2756" s="121" t="n"/>
      <s:c r="D2756" s="121" t="n"/>
      <s:c r="E2756" s="122" t="n"/>
    </s:row>
    <s:row r="2757" hidden="1" ht="1" customHeight="1">
      <s:c r="A2757" s="120" t="inlineStr"/>
      <s:c r="B2757" s="121" t="n"/>
      <s:c r="C2757" s="121" t="n"/>
      <s:c r="D2757" s="121" t="n"/>
      <s:c r="E2757" s="122" t="n"/>
    </s:row>
    <s:row r="2758" hidden="1" ht="1" customHeight="1">
      <s:c r="A2758" s="120" t="inlineStr"/>
      <s:c r="B2758" s="121" t="n"/>
      <s:c r="C2758" s="121" t="n"/>
      <s:c r="D2758" s="121" t="n"/>
      <s:c r="E2758" s="122" t="n"/>
    </s:row>
    <s:row r="2759" hidden="1" ht="1" customHeight="1">
      <s:c r="A2759" s="120" t="inlineStr"/>
      <s:c r="B2759" s="121" t="n"/>
      <s:c r="C2759" s="121" t="n"/>
      <s:c r="D2759" s="121" t="n"/>
      <s:c r="E2759" s="122" t="n"/>
    </s:row>
    <s:row r="2760" hidden="1" ht="1" customHeight="1">
      <s:c r="A2760" s="120" t="inlineStr"/>
      <s:c r="B2760" s="121" t="n"/>
      <s:c r="C2760" s="121" t="n"/>
      <s:c r="D2760" s="121" t="n"/>
      <s:c r="E2760" s="122" t="n"/>
    </s:row>
    <s:row r="2761" hidden="1" ht="1" customHeight="1">
      <s:c r="A2761" s="120" t="inlineStr"/>
      <s:c r="B2761" s="121" t="n"/>
      <s:c r="C2761" s="121" t="n"/>
      <s:c r="D2761" s="121" t="n"/>
      <s:c r="E2761" s="122" t="n"/>
    </s:row>
    <s:row r="2762" hidden="1" ht="1" customHeight="1">
      <s:c r="A2762" s="120" t="inlineStr"/>
      <s:c r="B2762" s="121" t="n"/>
      <s:c r="C2762" s="121" t="n"/>
      <s:c r="D2762" s="121" t="n"/>
      <s:c r="E2762" s="122" t="n"/>
    </s:row>
    <s:row r="2763" hidden="1" ht="1" customHeight="1">
      <s:c r="A2763" s="120" t="inlineStr"/>
      <s:c r="B2763" s="121" t="n"/>
      <s:c r="C2763" s="121" t="n"/>
      <s:c r="D2763" s="121" t="n"/>
      <s:c r="E2763" s="122" t="n"/>
    </s:row>
    <s:row r="2764" hidden="1" ht="1" customHeight="1">
      <s:c r="A2764" s="120" t="inlineStr"/>
      <s:c r="B2764" s="121" t="n"/>
      <s:c r="C2764" s="121" t="n"/>
      <s:c r="D2764" s="121" t="n"/>
      <s:c r="E2764" s="122" t="n"/>
    </s:row>
    <s:row r="2765" hidden="1" ht="1" customHeight="1">
      <s:c r="A2765" s="120" t="inlineStr"/>
      <s:c r="B2765" s="121" t="n"/>
      <s:c r="C2765" s="121" t="n"/>
      <s:c r="D2765" s="121" t="n"/>
      <s:c r="E2765" s="122" t="n"/>
    </s:row>
    <s:row r="2766" hidden="1" ht="1" customHeight="1">
      <s:c r="A2766" s="120" t="inlineStr"/>
      <s:c r="B2766" s="121" t="n"/>
      <s:c r="C2766" s="121" t="n"/>
      <s:c r="D2766" s="121" t="n"/>
      <s:c r="E2766" s="122" t="n"/>
    </s:row>
    <s:row r="2767" hidden="1" ht="1" customHeight="1">
      <s:c r="A2767" s="120" t="inlineStr"/>
      <s:c r="B2767" s="121" t="n"/>
      <s:c r="C2767" s="121" t="n"/>
      <s:c r="D2767" s="121" t="n"/>
      <s:c r="E2767" s="122" t="n"/>
    </s:row>
    <s:row r="2768" hidden="1" ht="1" customHeight="1">
      <s:c r="A2768" s="120" t="inlineStr"/>
      <s:c r="B2768" s="121" t="n"/>
      <s:c r="C2768" s="121" t="n"/>
      <s:c r="D2768" s="121" t="n"/>
      <s:c r="E2768" s="122" t="n"/>
    </s:row>
    <s:row r="2769" hidden="1" ht="1" customHeight="1">
      <s:c r="A2769" s="120" t="inlineStr"/>
      <s:c r="B2769" s="121" t="n"/>
      <s:c r="C2769" s="121" t="n"/>
      <s:c r="D2769" s="121" t="n"/>
      <s:c r="E2769" s="122" t="n"/>
    </s:row>
    <s:row r="2770" hidden="1" ht="1" customHeight="1">
      <s:c r="A2770" s="120" t="inlineStr"/>
      <s:c r="B2770" s="121" t="n"/>
      <s:c r="C2770" s="121" t="n"/>
      <s:c r="D2770" s="121" t="n"/>
      <s:c r="E2770" s="122" t="n"/>
    </s:row>
    <s:row r="2771" hidden="1" ht="1" customHeight="1">
      <s:c r="A2771" s="120" t="inlineStr"/>
      <s:c r="B2771" s="121" t="n"/>
      <s:c r="C2771" s="121" t="n"/>
      <s:c r="D2771" s="121" t="n"/>
      <s:c r="E2771" s="122" t="n"/>
    </s:row>
    <s:row r="2772" hidden="1" ht="1" customHeight="1">
      <s:c r="A2772" s="120" t="inlineStr"/>
      <s:c r="B2772" s="121" t="n"/>
      <s:c r="C2772" s="121" t="n"/>
      <s:c r="D2772" s="121" t="n"/>
      <s:c r="E2772" s="122" t="n"/>
    </s:row>
    <s:row r="2773" hidden="1" ht="1" customHeight="1">
      <s:c r="A2773" s="120" t="inlineStr"/>
      <s:c r="B2773" s="121" t="n"/>
      <s:c r="C2773" s="121" t="n"/>
      <s:c r="D2773" s="121" t="n"/>
      <s:c r="E2773" s="122" t="n"/>
    </s:row>
    <s:row r="2774" hidden="1" ht="1" customHeight="1">
      <s:c r="A2774" s="120" t="inlineStr"/>
      <s:c r="B2774" s="121" t="n"/>
      <s:c r="C2774" s="121" t="n"/>
      <s:c r="D2774" s="121" t="n"/>
      <s:c r="E2774" s="122" t="n"/>
    </s:row>
    <s:row r="2775" hidden="1" ht="1" customHeight="1">
      <s:c r="A2775" s="120" t="inlineStr"/>
      <s:c r="B2775" s="121" t="n"/>
      <s:c r="C2775" s="121" t="n"/>
      <s:c r="D2775" s="121" t="n"/>
      <s:c r="E2775" s="122" t="n"/>
    </s:row>
    <s:row r="2776" hidden="1" ht="1" customHeight="1">
      <s:c r="A2776" s="120" t="inlineStr"/>
      <s:c r="B2776" s="121" t="n"/>
      <s:c r="C2776" s="121" t="n"/>
      <s:c r="D2776" s="121" t="n"/>
      <s:c r="E2776" s="122" t="n"/>
    </s:row>
    <s:row r="2777" hidden="1" ht="1" customHeight="1">
      <s:c r="A2777" s="120" t="inlineStr"/>
      <s:c r="B2777" s="121" t="n"/>
      <s:c r="C2777" s="121" t="n"/>
      <s:c r="D2777" s="121" t="n"/>
      <s:c r="E2777" s="122" t="n"/>
    </s:row>
    <s:row r="2778" hidden="1" ht="1" customHeight="1">
      <s:c r="A2778" s="120" t="inlineStr"/>
      <s:c r="B2778" s="121" t="n"/>
      <s:c r="C2778" s="121" t="n"/>
      <s:c r="D2778" s="121" t="n"/>
      <s:c r="E2778" s="122" t="n"/>
    </s:row>
    <s:row r="2779" hidden="1" ht="1" customHeight="1">
      <s:c r="A2779" s="120" t="inlineStr"/>
      <s:c r="B2779" s="121" t="n"/>
      <s:c r="C2779" s="121" t="n"/>
      <s:c r="D2779" s="121" t="n"/>
      <s:c r="E2779" s="122" t="n"/>
    </s:row>
    <s:row r="2780" hidden="1" ht="1" customHeight="1">
      <s:c r="A2780" s="120" t="inlineStr"/>
      <s:c r="B2780" s="121" t="n"/>
      <s:c r="C2780" s="121" t="n"/>
      <s:c r="D2780" s="121" t="n"/>
      <s:c r="E2780" s="122" t="n"/>
    </s:row>
    <s:row r="2781" hidden="1" ht="1" customHeight="1">
      <s:c r="A2781" s="120" t="inlineStr"/>
      <s:c r="B2781" s="121" t="n"/>
      <s:c r="C2781" s="121" t="n"/>
      <s:c r="D2781" s="121" t="n"/>
      <s:c r="E2781" s="122" t="n"/>
    </s:row>
    <s:row r="2782" hidden="1" ht="1" customHeight="1">
      <s:c r="A2782" s="120" t="inlineStr"/>
      <s:c r="B2782" s="121" t="n"/>
      <s:c r="C2782" s="121" t="n"/>
      <s:c r="D2782" s="121" t="n"/>
      <s:c r="E2782" s="122" t="n"/>
    </s:row>
    <s:row r="2783" hidden="1" ht="1" customHeight="1">
      <s:c r="A2783" s="120" t="inlineStr"/>
      <s:c r="B2783" s="121" t="n"/>
      <s:c r="C2783" s="121" t="n"/>
      <s:c r="D2783" s="121" t="n"/>
      <s:c r="E2783" s="122" t="n"/>
    </s:row>
    <s:row r="2784" hidden="1" ht="1" customHeight="1">
      <s:c r="A2784" s="120" t="inlineStr"/>
      <s:c r="B2784" s="121" t="n"/>
      <s:c r="C2784" s="121" t="n"/>
      <s:c r="D2784" s="121" t="n"/>
      <s:c r="E2784" s="122" t="n"/>
    </s:row>
    <s:row r="2785" hidden="1" ht="1" customHeight="1">
      <s:c r="A2785" s="120" t="inlineStr"/>
      <s:c r="B2785" s="121" t="n"/>
      <s:c r="C2785" s="121" t="n"/>
      <s:c r="D2785" s="121" t="n"/>
      <s:c r="E2785" s="122" t="n"/>
    </s:row>
    <s:row r="2786" hidden="1" ht="1" customHeight="1">
      <s:c r="A2786" s="120" t="inlineStr"/>
      <s:c r="B2786" s="121" t="n"/>
      <s:c r="C2786" s="121" t="n"/>
      <s:c r="D2786" s="121" t="n"/>
      <s:c r="E2786" s="122" t="n"/>
    </s:row>
    <s:row r="2787" hidden="1" ht="1" customHeight="1">
      <s:c r="A2787" s="120" t="inlineStr"/>
      <s:c r="B2787" s="121" t="n"/>
      <s:c r="C2787" s="121" t="n"/>
      <s:c r="D2787" s="121" t="n"/>
      <s:c r="E2787" s="122" t="n"/>
    </s:row>
    <s:row r="2788" hidden="1" ht="1" customHeight="1">
      <s:c r="A2788" s="120" t="inlineStr"/>
      <s:c r="B2788" s="121" t="n"/>
      <s:c r="C2788" s="121" t="n"/>
      <s:c r="D2788" s="121" t="n"/>
      <s:c r="E2788" s="122" t="n"/>
    </s:row>
    <s:row r="2789" hidden="1" ht="1" customHeight="1">
      <s:c r="A2789" s="120" t="inlineStr"/>
      <s:c r="B2789" s="121" t="n"/>
      <s:c r="C2789" s="121" t="n"/>
      <s:c r="D2789" s="121" t="n"/>
      <s:c r="E2789" s="122" t="n"/>
    </s:row>
    <s:row r="2790" hidden="1" ht="1" customHeight="1">
      <s:c r="A2790" s="120" t="inlineStr"/>
      <s:c r="B2790" s="121" t="n"/>
      <s:c r="C2790" s="121" t="n"/>
      <s:c r="D2790" s="121" t="n"/>
      <s:c r="E2790" s="122" t="n"/>
    </s:row>
    <s:row r="2791" hidden="1" ht="1" customHeight="1">
      <s:c r="A2791" s="120" t="inlineStr"/>
      <s:c r="B2791" s="121" t="n"/>
      <s:c r="C2791" s="121" t="n"/>
      <s:c r="D2791" s="121" t="n"/>
      <s:c r="E2791" s="122" t="n"/>
    </s:row>
    <s:row r="2792" hidden="1" ht="1" customHeight="1">
      <s:c r="A2792" s="120" t="inlineStr"/>
      <s:c r="B2792" s="121" t="n"/>
      <s:c r="C2792" s="121" t="n"/>
      <s:c r="D2792" s="121" t="n"/>
      <s:c r="E2792" s="122" t="n"/>
    </s:row>
    <s:row r="2793" hidden="1" ht="1" customHeight="1">
      <s:c r="A2793" s="120" t="inlineStr"/>
      <s:c r="B2793" s="121" t="n"/>
      <s:c r="C2793" s="121" t="n"/>
      <s:c r="D2793" s="121" t="n"/>
      <s:c r="E2793" s="122" t="n"/>
    </s:row>
    <s:row r="2794" hidden="1" ht="1" customHeight="1">
      <s:c r="A2794" s="120" t="inlineStr"/>
      <s:c r="B2794" s="121" t="n"/>
      <s:c r="C2794" s="121" t="n"/>
      <s:c r="D2794" s="121" t="n"/>
      <s:c r="E2794" s="122" t="n"/>
    </s:row>
    <s:row r="2795" hidden="1" ht="1" customHeight="1">
      <s:c r="A2795" s="120" t="inlineStr"/>
      <s:c r="B2795" s="121" t="n"/>
      <s:c r="C2795" s="121" t="n"/>
      <s:c r="D2795" s="121" t="n"/>
      <s:c r="E2795" s="122" t="n"/>
    </s:row>
    <s:row r="2796" hidden="1" ht="1" customHeight="1">
      <s:c r="A2796" s="120" t="inlineStr"/>
      <s:c r="B2796" s="121" t="n"/>
      <s:c r="C2796" s="121" t="n"/>
      <s:c r="D2796" s="121" t="n"/>
      <s:c r="E2796" s="122" t="n"/>
    </s:row>
    <s:row r="2797" hidden="1" ht="1" customHeight="1">
      <s:c r="A2797" s="120" t="inlineStr"/>
      <s:c r="B2797" s="121" t="n"/>
      <s:c r="C2797" s="121" t="n"/>
      <s:c r="D2797" s="121" t="n"/>
      <s:c r="E2797" s="122" t="n"/>
    </s:row>
    <s:row r="2798" hidden="1" ht="1" customHeight="1">
      <s:c r="A2798" s="120" t="inlineStr"/>
      <s:c r="B2798" s="121" t="n"/>
      <s:c r="C2798" s="121" t="n"/>
      <s:c r="D2798" s="121" t="n"/>
      <s:c r="E2798" s="122" t="n"/>
    </s:row>
    <s:row r="2799" hidden="1" ht="1" customHeight="1">
      <s:c r="A2799" s="120" t="inlineStr"/>
      <s:c r="B2799" s="121" t="n"/>
      <s:c r="C2799" s="121" t="n"/>
      <s:c r="D2799" s="121" t="n"/>
      <s:c r="E2799" s="122" t="n"/>
    </s:row>
    <s:row r="2800" hidden="1" ht="1" customHeight="1">
      <s:c r="A2800" s="120" t="inlineStr"/>
      <s:c r="B2800" s="121" t="n"/>
      <s:c r="C2800" s="121" t="n"/>
      <s:c r="D2800" s="121" t="n"/>
      <s:c r="E2800" s="122" t="n"/>
    </s:row>
    <s:row r="2801" hidden="1" ht="1" customHeight="1">
      <s:c r="A2801" s="120" t="inlineStr"/>
      <s:c r="B2801" s="121" t="n"/>
      <s:c r="C2801" s="121" t="n"/>
      <s:c r="D2801" s="121" t="n"/>
      <s:c r="E2801" s="122" t="n"/>
    </s:row>
    <s:row r="2802" hidden="1" ht="1" customHeight="1">
      <s:c r="A2802" s="120" t="inlineStr"/>
      <s:c r="B2802" s="121" t="n"/>
      <s:c r="C2802" s="121" t="n"/>
      <s:c r="D2802" s="121" t="n"/>
      <s:c r="E2802" s="122" t="n"/>
    </s:row>
    <s:row r="2803" hidden="1" ht="1" customHeight="1">
      <s:c r="A2803" s="120" t="inlineStr"/>
      <s:c r="B2803" s="121" t="n"/>
      <s:c r="C2803" s="121" t="n"/>
      <s:c r="D2803" s="121" t="n"/>
      <s:c r="E2803" s="122" t="n"/>
    </s:row>
    <s:row r="2804" hidden="1" ht="1" customHeight="1">
      <s:c r="A2804" s="120" t="inlineStr"/>
      <s:c r="B2804" s="121" t="n"/>
      <s:c r="C2804" s="121" t="n"/>
      <s:c r="D2804" s="121" t="n"/>
      <s:c r="E2804" s="122" t="n"/>
    </s:row>
    <s:row r="2805" hidden="1" ht="1" customHeight="1">
      <s:c r="A2805" s="120" t="inlineStr"/>
      <s:c r="B2805" s="121" t="n"/>
      <s:c r="C2805" s="121" t="n"/>
      <s:c r="D2805" s="121" t="n"/>
      <s:c r="E2805" s="122" t="n"/>
    </s:row>
    <s:row r="2806" hidden="1" ht="1" customHeight="1">
      <s:c r="A2806" s="120" t="inlineStr"/>
      <s:c r="B2806" s="121" t="n"/>
      <s:c r="C2806" s="121" t="n"/>
      <s:c r="D2806" s="121" t="n"/>
      <s:c r="E2806" s="122" t="n"/>
    </s:row>
    <s:row r="2807" hidden="1" ht="1" customHeight="1">
      <s:c r="A2807" s="120" t="inlineStr"/>
      <s:c r="B2807" s="121" t="n"/>
      <s:c r="C2807" s="121" t="n"/>
      <s:c r="D2807" s="121" t="n"/>
      <s:c r="E2807" s="122" t="n"/>
    </s:row>
    <s:row r="2808" hidden="1" ht="1" customHeight="1">
      <s:c r="A2808" s="120" t="inlineStr"/>
      <s:c r="B2808" s="121" t="n"/>
      <s:c r="C2808" s="121" t="n"/>
      <s:c r="D2808" s="121" t="n"/>
      <s:c r="E2808" s="122" t="n"/>
    </s:row>
    <s:row r="2809" hidden="1" ht="1" customHeight="1">
      <s:c r="A2809" s="120" t="inlineStr"/>
      <s:c r="B2809" s="121" t="n"/>
      <s:c r="C2809" s="121" t="n"/>
      <s:c r="D2809" s="121" t="n"/>
      <s:c r="E2809" s="122" t="n"/>
    </s:row>
    <s:row r="2810" hidden="1" ht="1" customHeight="1">
      <s:c r="A2810" s="120" t="inlineStr"/>
      <s:c r="B2810" s="121" t="n"/>
      <s:c r="C2810" s="121" t="n"/>
      <s:c r="D2810" s="121" t="n"/>
      <s:c r="E2810" s="122" t="n"/>
    </s:row>
    <s:row r="2811" hidden="1" ht="1" customHeight="1">
      <s:c r="A2811" s="120" t="inlineStr"/>
      <s:c r="B2811" s="121" t="n"/>
      <s:c r="C2811" s="121" t="n"/>
      <s:c r="D2811" s="121" t="n"/>
      <s:c r="E2811" s="122" t="n"/>
    </s:row>
    <s:row r="2812" hidden="1" ht="1" customHeight="1">
      <s:c r="A2812" s="120" t="inlineStr"/>
      <s:c r="B2812" s="121" t="n"/>
      <s:c r="C2812" s="121" t="n"/>
      <s:c r="D2812" s="121" t="n"/>
      <s:c r="E2812" s="122" t="n"/>
    </s:row>
    <s:row r="2813" hidden="1" ht="1" customHeight="1">
      <s:c r="A2813" s="120" t="inlineStr"/>
      <s:c r="B2813" s="121" t="n"/>
      <s:c r="C2813" s="121" t="n"/>
      <s:c r="D2813" s="121" t="n"/>
      <s:c r="E2813" s="122" t="n"/>
    </s:row>
    <s:row r="2814" hidden="1" ht="1" customHeight="1">
      <s:c r="A2814" s="120" t="inlineStr"/>
      <s:c r="B2814" s="121" t="n"/>
      <s:c r="C2814" s="121" t="n"/>
      <s:c r="D2814" s="121" t="n"/>
      <s:c r="E2814" s="122" t="n"/>
    </s:row>
    <s:row r="2815" hidden="1" ht="1" customHeight="1">
      <s:c r="A2815" s="120" t="inlineStr"/>
      <s:c r="B2815" s="121" t="n"/>
      <s:c r="C2815" s="121" t="n"/>
      <s:c r="D2815" s="121" t="n"/>
      <s:c r="E2815" s="122" t="n"/>
    </s:row>
    <s:row r="2816" hidden="1" ht="1" customHeight="1">
      <s:c r="A2816" s="120" t="inlineStr"/>
      <s:c r="B2816" s="121" t="n"/>
      <s:c r="C2816" s="121" t="n"/>
      <s:c r="D2816" s="121" t="n"/>
      <s:c r="E2816" s="122" t="n"/>
    </s:row>
    <s:row r="2817" hidden="1" ht="1" customHeight="1">
      <s:c r="A2817" s="120" t="inlineStr"/>
      <s:c r="B2817" s="121" t="n"/>
      <s:c r="C2817" s="121" t="n"/>
      <s:c r="D2817" s="121" t="n"/>
      <s:c r="E2817" s="122" t="n"/>
    </s:row>
    <s:row r="2818" hidden="1" ht="1" customHeight="1">
      <s:c r="A2818" s="120" t="inlineStr"/>
      <s:c r="B2818" s="121" t="n"/>
      <s:c r="C2818" s="121" t="n"/>
      <s:c r="D2818" s="121" t="n"/>
      <s:c r="E2818" s="122" t="n"/>
    </s:row>
    <s:row r="2819" hidden="1" ht="1" customHeight="1">
      <s:c r="A2819" s="120" t="inlineStr"/>
      <s:c r="B2819" s="121" t="n"/>
      <s:c r="C2819" s="121" t="n"/>
      <s:c r="D2819" s="121" t="n"/>
      <s:c r="E2819" s="122" t="n"/>
    </s:row>
    <s:row r="2820" hidden="1" ht="1" customHeight="1">
      <s:c r="A2820" s="120" t="inlineStr"/>
      <s:c r="B2820" s="121" t="n"/>
      <s:c r="C2820" s="121" t="n"/>
      <s:c r="D2820" s="121" t="n"/>
      <s:c r="E2820" s="122" t="n"/>
    </s:row>
    <s:row r="2821" hidden="1" ht="1" customHeight="1">
      <s:c r="A2821" s="120" t="inlineStr"/>
      <s:c r="B2821" s="121" t="n"/>
      <s:c r="C2821" s="121" t="n"/>
      <s:c r="D2821" s="121" t="n"/>
      <s:c r="E2821" s="122" t="n"/>
    </s:row>
    <s:row r="2822" hidden="1" ht="1" customHeight="1">
      <s:c r="A2822" s="120" t="inlineStr"/>
      <s:c r="B2822" s="121" t="n"/>
      <s:c r="C2822" s="121" t="n"/>
      <s:c r="D2822" s="121" t="n"/>
      <s:c r="E2822" s="122" t="n"/>
    </s:row>
    <s:row r="2823" hidden="1" ht="1" customHeight="1">
      <s:c r="A2823" s="120" t="inlineStr"/>
      <s:c r="B2823" s="121" t="n"/>
      <s:c r="C2823" s="121" t="n"/>
      <s:c r="D2823" s="121" t="n"/>
      <s:c r="E2823" s="122" t="n"/>
    </s:row>
    <s:row r="2824" hidden="1" ht="1" customHeight="1">
      <s:c r="A2824" s="120" t="inlineStr"/>
      <s:c r="B2824" s="121" t="n"/>
      <s:c r="C2824" s="121" t="n"/>
      <s:c r="D2824" s="121" t="n"/>
      <s:c r="E2824" s="122" t="n"/>
    </s:row>
    <s:row r="2825" hidden="1" ht="1" customHeight="1">
      <s:c r="A2825" s="120" t="inlineStr"/>
      <s:c r="B2825" s="121" t="n"/>
      <s:c r="C2825" s="121" t="n"/>
      <s:c r="D2825" s="121" t="n"/>
      <s:c r="E2825" s="122" t="n"/>
    </s:row>
    <s:row r="2826" hidden="1" ht="1" customHeight="1">
      <s:c r="A2826" s="120" t="inlineStr"/>
      <s:c r="B2826" s="121" t="n"/>
      <s:c r="C2826" s="121" t="n"/>
      <s:c r="D2826" s="121" t="n"/>
      <s:c r="E2826" s="122" t="n"/>
    </s:row>
    <s:row r="2827" hidden="1" ht="1" customHeight="1">
      <s:c r="A2827" s="120" t="inlineStr"/>
      <s:c r="B2827" s="121" t="n"/>
      <s:c r="C2827" s="121" t="n"/>
      <s:c r="D2827" s="121" t="n"/>
      <s:c r="E2827" s="122" t="n"/>
    </s:row>
    <s:row r="2828" hidden="1" ht="1" customHeight="1">
      <s:c r="A2828" s="120" t="inlineStr"/>
      <s:c r="B2828" s="121" t="n"/>
      <s:c r="C2828" s="121" t="n"/>
      <s:c r="D2828" s="121" t="n"/>
      <s:c r="E2828" s="122" t="n"/>
    </s:row>
    <s:row r="2829" hidden="1" ht="1" customHeight="1">
      <s:c r="A2829" s="120" t="inlineStr"/>
      <s:c r="B2829" s="121" t="n"/>
      <s:c r="C2829" s="121" t="n"/>
      <s:c r="D2829" s="121" t="n"/>
      <s:c r="E2829" s="122" t="n"/>
    </s:row>
    <s:row r="2830" hidden="1" ht="1" customHeight="1">
      <s:c r="A2830" s="120" t="inlineStr"/>
      <s:c r="B2830" s="121" t="n"/>
      <s:c r="C2830" s="121" t="n"/>
      <s:c r="D2830" s="121" t="n"/>
      <s:c r="E2830" s="122" t="n"/>
    </s:row>
    <s:row r="2831" hidden="1" ht="1" customHeight="1">
      <s:c r="A2831" s="120" t="inlineStr"/>
      <s:c r="B2831" s="121" t="n"/>
      <s:c r="C2831" s="121" t="n"/>
      <s:c r="D2831" s="121" t="n"/>
      <s:c r="E2831" s="122" t="n"/>
    </s:row>
    <s:row r="2832" hidden="1" ht="1" customHeight="1">
      <s:c r="A2832" s="120" t="inlineStr"/>
      <s:c r="B2832" s="121" t="n"/>
      <s:c r="C2832" s="121" t="n"/>
      <s:c r="D2832" s="121" t="n"/>
      <s:c r="E2832" s="122" t="n"/>
    </s:row>
    <s:row r="2833" hidden="1" ht="1" customHeight="1">
      <s:c r="A2833" s="120" t="inlineStr"/>
      <s:c r="B2833" s="121" t="n"/>
      <s:c r="C2833" s="121" t="n"/>
      <s:c r="D2833" s="121" t="n"/>
      <s:c r="E2833" s="122" t="n"/>
    </s:row>
    <s:row r="2834" hidden="1" ht="1" customHeight="1">
      <s:c r="A2834" s="120" t="inlineStr"/>
      <s:c r="B2834" s="121" t="n"/>
      <s:c r="C2834" s="121" t="n"/>
      <s:c r="D2834" s="121" t="n"/>
      <s:c r="E2834" s="122" t="n"/>
    </s:row>
    <s:row r="2835" hidden="1" ht="1" customHeight="1">
      <s:c r="A2835" s="120" t="inlineStr"/>
      <s:c r="B2835" s="121" t="n"/>
      <s:c r="C2835" s="121" t="n"/>
      <s:c r="D2835" s="121" t="n"/>
      <s:c r="E2835" s="122" t="n"/>
    </s:row>
    <s:row r="2836" hidden="1" ht="1" customHeight="1">
      <s:c r="A2836" s="120" t="inlineStr"/>
      <s:c r="B2836" s="121" t="n"/>
      <s:c r="C2836" s="121" t="n"/>
      <s:c r="D2836" s="121" t="n"/>
      <s:c r="E2836" s="122" t="n"/>
    </s:row>
    <s:row r="2837" hidden="1" ht="1" customHeight="1">
      <s:c r="A2837" s="120" t="inlineStr"/>
      <s:c r="B2837" s="121" t="n"/>
      <s:c r="C2837" s="121" t="n"/>
      <s:c r="D2837" s="121" t="n"/>
      <s:c r="E2837" s="122" t="n"/>
    </s:row>
    <s:row r="2838" hidden="1" ht="1" customHeight="1">
      <s:c r="A2838" s="120" t="inlineStr"/>
      <s:c r="B2838" s="121" t="n"/>
      <s:c r="C2838" s="121" t="n"/>
      <s:c r="D2838" s="121" t="n"/>
      <s:c r="E2838" s="122" t="n"/>
    </s:row>
    <s:row r="2839" hidden="1" ht="1" customHeight="1">
      <s:c r="A2839" s="120" t="inlineStr"/>
      <s:c r="B2839" s="121" t="n"/>
      <s:c r="C2839" s="121" t="n"/>
      <s:c r="D2839" s="121" t="n"/>
      <s:c r="E2839" s="122" t="n"/>
    </s:row>
    <s:row r="2840" hidden="1" ht="1" customHeight="1">
      <s:c r="A2840" s="120" t="inlineStr"/>
      <s:c r="B2840" s="121" t="n"/>
      <s:c r="C2840" s="121" t="n"/>
      <s:c r="D2840" s="121" t="n"/>
      <s:c r="E2840" s="122" t="n"/>
    </s:row>
    <s:row r="2841" hidden="1" ht="1" customHeight="1">
      <s:c r="A2841" s="120" t="inlineStr"/>
      <s:c r="B2841" s="121" t="n"/>
      <s:c r="C2841" s="121" t="n"/>
      <s:c r="D2841" s="121" t="n"/>
      <s:c r="E2841" s="122" t="n"/>
    </s:row>
    <s:row r="2842" hidden="1" ht="1" customHeight="1">
      <s:c r="A2842" s="120" t="inlineStr"/>
      <s:c r="B2842" s="121" t="n"/>
      <s:c r="C2842" s="121" t="n"/>
      <s:c r="D2842" s="121" t="n"/>
      <s:c r="E2842" s="122" t="n"/>
    </s:row>
    <s:row r="2843" hidden="1" ht="1" customHeight="1">
      <s:c r="A2843" s="120" t="inlineStr"/>
      <s:c r="B2843" s="121" t="n"/>
      <s:c r="C2843" s="121" t="n"/>
      <s:c r="D2843" s="121" t="n"/>
      <s:c r="E2843" s="122" t="n"/>
    </s:row>
    <s:row r="2844" hidden="1" ht="1" customHeight="1">
      <s:c r="A2844" s="120" t="inlineStr"/>
      <s:c r="B2844" s="121" t="n"/>
      <s:c r="C2844" s="121" t="n"/>
      <s:c r="D2844" s="121" t="n"/>
      <s:c r="E2844" s="122" t="n"/>
    </s:row>
    <s:row r="2845" hidden="1" ht="1" customHeight="1">
      <s:c r="A2845" s="120" t="inlineStr"/>
      <s:c r="B2845" s="121" t="n"/>
      <s:c r="C2845" s="121" t="n"/>
      <s:c r="D2845" s="121" t="n"/>
      <s:c r="E2845" s="122" t="n"/>
    </s:row>
    <s:row r="2846" hidden="1" ht="1" customHeight="1">
      <s:c r="A2846" s="120" t="inlineStr"/>
      <s:c r="B2846" s="121" t="n"/>
      <s:c r="C2846" s="121" t="n"/>
      <s:c r="D2846" s="121" t="n"/>
      <s:c r="E2846" s="122" t="n"/>
    </s:row>
    <s:row r="2847" hidden="1" ht="1" customHeight="1">
      <s:c r="A2847" s="120" t="inlineStr"/>
      <s:c r="B2847" s="121" t="n"/>
      <s:c r="C2847" s="121" t="n"/>
      <s:c r="D2847" s="121" t="n"/>
      <s:c r="E2847" s="122" t="n"/>
    </s:row>
    <s:row r="2848" hidden="1" ht="1" customHeight="1">
      <s:c r="A2848" s="120" t="inlineStr"/>
      <s:c r="B2848" s="121" t="n"/>
      <s:c r="C2848" s="121" t="n"/>
      <s:c r="D2848" s="121" t="n"/>
      <s:c r="E2848" s="122" t="n"/>
    </s:row>
    <s:row r="2849" hidden="1" ht="1" customHeight="1">
      <s:c r="A2849" s="120" t="inlineStr"/>
      <s:c r="B2849" s="121" t="n"/>
      <s:c r="C2849" s="121" t="n"/>
      <s:c r="D2849" s="121" t="n"/>
      <s:c r="E2849" s="122" t="n"/>
    </s:row>
    <s:row r="2850" hidden="1" ht="1" customHeight="1">
      <s:c r="A2850" s="120" t="inlineStr"/>
      <s:c r="B2850" s="121" t="n"/>
      <s:c r="C2850" s="121" t="n"/>
      <s:c r="D2850" s="121" t="n"/>
      <s:c r="E2850" s="122" t="n"/>
    </s:row>
    <s:row r="2851" hidden="1" ht="1" customHeight="1">
      <s:c r="A2851" s="120" t="inlineStr"/>
      <s:c r="B2851" s="121" t="n"/>
      <s:c r="C2851" s="121" t="n"/>
      <s:c r="D2851" s="121" t="n"/>
      <s:c r="E2851" s="122" t="n"/>
    </s:row>
    <s:row r="2852" hidden="1" ht="1" customHeight="1">
      <s:c r="A2852" s="120" t="inlineStr"/>
      <s:c r="B2852" s="121" t="n"/>
      <s:c r="C2852" s="121" t="n"/>
      <s:c r="D2852" s="121" t="n"/>
      <s:c r="E2852" s="122" t="n"/>
    </s:row>
    <s:row r="2853" hidden="1" ht="1" customHeight="1">
      <s:c r="A2853" s="120" t="inlineStr"/>
      <s:c r="B2853" s="121" t="n"/>
      <s:c r="C2853" s="121" t="n"/>
      <s:c r="D2853" s="121" t="n"/>
      <s:c r="E2853" s="122" t="n"/>
    </s:row>
    <s:row r="2854" hidden="1" ht="1" customHeight="1">
      <s:c r="A2854" s="120" t="inlineStr"/>
      <s:c r="B2854" s="121" t="n"/>
      <s:c r="C2854" s="121" t="n"/>
      <s:c r="D2854" s="121" t="n"/>
      <s:c r="E2854" s="122" t="n"/>
    </s:row>
    <s:row r="2855" hidden="1" ht="1" customHeight="1">
      <s:c r="A2855" s="120" t="inlineStr"/>
      <s:c r="B2855" s="121" t="n"/>
      <s:c r="C2855" s="121" t="n"/>
      <s:c r="D2855" s="121" t="n"/>
      <s:c r="E2855" s="122" t="n"/>
    </s:row>
    <s:row r="2856" hidden="1" ht="1" customHeight="1">
      <s:c r="A2856" s="120" t="inlineStr"/>
      <s:c r="B2856" s="121" t="n"/>
      <s:c r="C2856" s="121" t="n"/>
      <s:c r="D2856" s="121" t="n"/>
      <s:c r="E2856" s="122" t="n"/>
    </s:row>
    <s:row r="2857" hidden="1" ht="1" customHeight="1">
      <s:c r="A2857" s="120" t="inlineStr"/>
      <s:c r="B2857" s="121" t="n"/>
      <s:c r="C2857" s="121" t="n"/>
      <s:c r="D2857" s="121" t="n"/>
      <s:c r="E2857" s="122" t="n"/>
    </s:row>
    <s:row r="2858" hidden="1" ht="1" customHeight="1">
      <s:c r="A2858" s="120" t="inlineStr"/>
      <s:c r="B2858" s="121" t="n"/>
      <s:c r="C2858" s="121" t="n"/>
      <s:c r="D2858" s="121" t="n"/>
      <s:c r="E2858" s="122" t="n"/>
    </s:row>
    <s:row r="2859" hidden="1" ht="1" customHeight="1">
      <s:c r="A2859" s="120" t="inlineStr"/>
      <s:c r="B2859" s="121" t="n"/>
      <s:c r="C2859" s="121" t="n"/>
      <s:c r="D2859" s="121" t="n"/>
      <s:c r="E2859" s="122" t="n"/>
    </s:row>
    <s:row r="2860" hidden="1" ht="1" customHeight="1">
      <s:c r="A2860" s="120" t="inlineStr"/>
      <s:c r="B2860" s="121" t="n"/>
      <s:c r="C2860" s="121" t="n"/>
      <s:c r="D2860" s="121" t="n"/>
      <s:c r="E2860" s="122" t="n"/>
    </s:row>
    <s:row r="2861" hidden="1" ht="1" customHeight="1">
      <s:c r="A2861" s="120" t="inlineStr"/>
      <s:c r="B2861" s="121" t="n"/>
      <s:c r="C2861" s="121" t="n"/>
      <s:c r="D2861" s="121" t="n"/>
      <s:c r="E2861" s="122" t="n"/>
    </s:row>
    <s:row r="2862" hidden="1" ht="1" customHeight="1">
      <s:c r="A2862" s="120" t="inlineStr"/>
      <s:c r="B2862" s="121" t="n"/>
      <s:c r="C2862" s="121" t="n"/>
      <s:c r="D2862" s="121" t="n"/>
      <s:c r="E2862" s="122" t="n"/>
    </s:row>
    <s:row r="2863" hidden="1" ht="1" customHeight="1">
      <s:c r="A2863" s="120" t="inlineStr"/>
      <s:c r="B2863" s="121" t="n"/>
      <s:c r="C2863" s="121" t="n"/>
      <s:c r="D2863" s="121" t="n"/>
      <s:c r="E2863" s="122" t="n"/>
    </s:row>
    <s:row r="2864" hidden="1" ht="1" customHeight="1">
      <s:c r="A2864" s="120" t="inlineStr"/>
      <s:c r="B2864" s="121" t="n"/>
      <s:c r="C2864" s="121" t="n"/>
      <s:c r="D2864" s="121" t="n"/>
      <s:c r="E2864" s="122" t="n"/>
    </s:row>
    <s:row r="2865" hidden="1" ht="1" customHeight="1">
      <s:c r="A2865" s="120" t="inlineStr"/>
      <s:c r="B2865" s="121" t="n"/>
      <s:c r="C2865" s="121" t="n"/>
      <s:c r="D2865" s="121" t="n"/>
      <s:c r="E2865" s="122" t="n"/>
    </s:row>
    <s:row r="2866" hidden="1" ht="1" customHeight="1">
      <s:c r="A2866" s="120" t="inlineStr"/>
      <s:c r="B2866" s="121" t="n"/>
      <s:c r="C2866" s="121" t="n"/>
      <s:c r="D2866" s="121" t="n"/>
      <s:c r="E2866" s="122" t="n"/>
    </s:row>
    <s:row r="2867" hidden="1" ht="1" customHeight="1">
      <s:c r="A2867" s="120" t="inlineStr"/>
      <s:c r="B2867" s="121" t="n"/>
      <s:c r="C2867" s="121" t="n"/>
      <s:c r="D2867" s="121" t="n"/>
      <s:c r="E2867" s="122" t="n"/>
    </s:row>
    <s:row r="2868" hidden="1" ht="1" customHeight="1">
      <s:c r="A2868" s="120" t="inlineStr"/>
      <s:c r="B2868" s="121" t="n"/>
      <s:c r="C2868" s="121" t="n"/>
      <s:c r="D2868" s="121" t="n"/>
      <s:c r="E2868" s="122" t="n"/>
    </s:row>
    <s:row r="2869" hidden="1" ht="1" customHeight="1">
      <s:c r="A2869" s="120" t="inlineStr"/>
      <s:c r="B2869" s="121" t="n"/>
      <s:c r="C2869" s="121" t="n"/>
      <s:c r="D2869" s="121" t="n"/>
      <s:c r="E2869" s="122" t="n"/>
    </s:row>
    <s:row r="2870" hidden="1" ht="1" customHeight="1">
      <s:c r="A2870" s="120" t="inlineStr"/>
      <s:c r="B2870" s="121" t="n"/>
      <s:c r="C2870" s="121" t="n"/>
      <s:c r="D2870" s="121" t="n"/>
      <s:c r="E2870" s="122" t="n"/>
    </s:row>
    <s:row r="2871" hidden="1" ht="1" customHeight="1">
      <s:c r="A2871" s="120" t="inlineStr"/>
      <s:c r="B2871" s="121" t="n"/>
      <s:c r="C2871" s="121" t="n"/>
      <s:c r="D2871" s="121" t="n"/>
      <s:c r="E2871" s="122" t="n"/>
    </s:row>
    <s:row r="2872" hidden="1" ht="1" customHeight="1">
      <s:c r="A2872" s="120" t="inlineStr"/>
      <s:c r="B2872" s="121" t="n"/>
      <s:c r="C2872" s="121" t="n"/>
      <s:c r="D2872" s="121" t="n"/>
      <s:c r="E2872" s="122" t="n"/>
    </s:row>
    <s:row r="2873" hidden="1" ht="1" customHeight="1">
      <s:c r="A2873" s="120" t="inlineStr"/>
      <s:c r="B2873" s="121" t="n"/>
      <s:c r="C2873" s="121" t="n"/>
      <s:c r="D2873" s="121" t="n"/>
      <s:c r="E2873" s="122" t="n"/>
    </s:row>
    <s:row r="2874" hidden="1" ht="1" customHeight="1">
      <s:c r="A2874" s="120" t="inlineStr"/>
      <s:c r="B2874" s="121" t="n"/>
      <s:c r="C2874" s="121" t="n"/>
      <s:c r="D2874" s="121" t="n"/>
      <s:c r="E2874" s="122" t="n"/>
    </s:row>
    <s:row r="2875" hidden="1" ht="1" customHeight="1">
      <s:c r="A2875" s="120" t="inlineStr"/>
      <s:c r="B2875" s="121" t="n"/>
      <s:c r="C2875" s="121" t="n"/>
      <s:c r="D2875" s="121" t="n"/>
      <s:c r="E2875" s="122" t="n"/>
    </s:row>
    <s:row r="2876" hidden="1" ht="1" customHeight="1">
      <s:c r="A2876" s="120" t="inlineStr"/>
      <s:c r="B2876" s="121" t="n"/>
      <s:c r="C2876" s="121" t="n"/>
      <s:c r="D2876" s="121" t="n"/>
      <s:c r="E2876" s="122" t="n"/>
    </s:row>
    <s:row r="2877" hidden="1" ht="1" customHeight="1">
      <s:c r="A2877" s="120" t="inlineStr"/>
      <s:c r="B2877" s="121" t="n"/>
      <s:c r="C2877" s="121" t="n"/>
      <s:c r="D2877" s="121" t="n"/>
      <s:c r="E2877" s="122" t="n"/>
    </s:row>
    <s:row r="2878" hidden="1" ht="1" customHeight="1">
      <s:c r="A2878" s="120" t="inlineStr"/>
      <s:c r="B2878" s="121" t="n"/>
      <s:c r="C2878" s="121" t="n"/>
      <s:c r="D2878" s="121" t="n"/>
      <s:c r="E2878" s="122" t="n"/>
    </s:row>
    <s:row r="2879" hidden="1" ht="1" customHeight="1">
      <s:c r="A2879" s="120" t="inlineStr"/>
      <s:c r="B2879" s="121" t="n"/>
      <s:c r="C2879" s="121" t="n"/>
      <s:c r="D2879" s="121" t="n"/>
      <s:c r="E2879" s="122" t="n"/>
    </s:row>
    <s:row r="2880" hidden="1" ht="1" customHeight="1">
      <s:c r="A2880" s="120" t="inlineStr"/>
      <s:c r="B2880" s="121" t="n"/>
      <s:c r="C2880" s="121" t="n"/>
      <s:c r="D2880" s="121" t="n"/>
      <s:c r="E2880" s="122" t="n"/>
    </s:row>
    <s:row r="2881" hidden="1" ht="1" customHeight="1">
      <s:c r="A2881" s="120" t="inlineStr"/>
      <s:c r="B2881" s="121" t="n"/>
      <s:c r="C2881" s="121" t="n"/>
      <s:c r="D2881" s="121" t="n"/>
      <s:c r="E2881" s="122" t="n"/>
    </s:row>
    <s:row r="2882" hidden="1" ht="1" customHeight="1">
      <s:c r="A2882" s="120" t="inlineStr"/>
      <s:c r="B2882" s="121" t="n"/>
      <s:c r="C2882" s="121" t="n"/>
      <s:c r="D2882" s="121" t="n"/>
      <s:c r="E2882" s="122" t="n"/>
    </s:row>
    <s:row r="2883" hidden="1" ht="1" customHeight="1">
      <s:c r="A2883" s="120" t="inlineStr"/>
      <s:c r="B2883" s="121" t="n"/>
      <s:c r="C2883" s="121" t="n"/>
      <s:c r="D2883" s="121" t="n"/>
      <s:c r="E2883" s="122" t="n"/>
    </s:row>
    <s:row r="2884" hidden="1" ht="1" customHeight="1">
      <s:c r="A2884" s="120" t="inlineStr"/>
      <s:c r="B2884" s="121" t="n"/>
      <s:c r="C2884" s="121" t="n"/>
      <s:c r="D2884" s="121" t="n"/>
      <s:c r="E2884" s="122" t="n"/>
    </s:row>
    <s:row r="2885" hidden="1" ht="1" customHeight="1">
      <s:c r="A2885" s="120" t="inlineStr"/>
      <s:c r="B2885" s="121" t="n"/>
      <s:c r="C2885" s="121" t="n"/>
      <s:c r="D2885" s="121" t="n"/>
      <s:c r="E2885" s="122" t="n"/>
    </s:row>
    <s:row r="2886" hidden="1" ht="1" customHeight="1">
      <s:c r="A2886" s="120" t="inlineStr"/>
      <s:c r="B2886" s="121" t="n"/>
      <s:c r="C2886" s="121" t="n"/>
      <s:c r="D2886" s="121" t="n"/>
      <s:c r="E2886" s="122" t="n"/>
    </s:row>
    <s:row r="2887" hidden="1" ht="1" customHeight="1">
      <s:c r="A2887" s="120" t="inlineStr"/>
      <s:c r="B2887" s="121" t="n"/>
      <s:c r="C2887" s="121" t="n"/>
      <s:c r="D2887" s="121" t="n"/>
      <s:c r="E2887" s="122" t="n"/>
    </s:row>
    <s:row r="2888" hidden="1" ht="1" customHeight="1">
      <s:c r="A2888" s="120" t="inlineStr"/>
      <s:c r="B2888" s="121" t="n"/>
      <s:c r="C2888" s="121" t="n"/>
      <s:c r="D2888" s="121" t="n"/>
      <s:c r="E2888" s="122" t="n"/>
    </s:row>
    <s:row r="2889" hidden="1" ht="1" customHeight="1">
      <s:c r="A2889" s="120" t="inlineStr"/>
      <s:c r="B2889" s="121" t="n"/>
      <s:c r="C2889" s="121" t="n"/>
      <s:c r="D2889" s="121" t="n"/>
      <s:c r="E2889" s="122" t="n"/>
    </s:row>
    <s:row r="2890" hidden="1" ht="1" customHeight="1">
      <s:c r="A2890" s="120" t="inlineStr"/>
      <s:c r="B2890" s="121" t="n"/>
      <s:c r="C2890" s="121" t="n"/>
      <s:c r="D2890" s="121" t="n"/>
      <s:c r="E2890" s="122" t="n"/>
    </s:row>
    <s:row r="2891" hidden="1" ht="1" customHeight="1">
      <s:c r="A2891" s="120" t="inlineStr"/>
      <s:c r="B2891" s="121" t="n"/>
      <s:c r="C2891" s="121" t="n"/>
      <s:c r="D2891" s="121" t="n"/>
      <s:c r="E2891" s="122" t="n"/>
    </s:row>
    <s:row r="2892" hidden="1" ht="1" customHeight="1">
      <s:c r="A2892" s="120" t="inlineStr"/>
      <s:c r="B2892" s="121" t="n"/>
      <s:c r="C2892" s="121" t="n"/>
      <s:c r="D2892" s="121" t="n"/>
      <s:c r="E2892" s="122" t="n"/>
    </s:row>
    <s:row r="2893" hidden="1" ht="1" customHeight="1">
      <s:c r="A2893" s="120" t="inlineStr"/>
      <s:c r="B2893" s="121" t="n"/>
      <s:c r="C2893" s="121" t="n"/>
      <s:c r="D2893" s="121" t="n"/>
      <s:c r="E2893" s="122" t="n"/>
    </s:row>
    <s:row r="2894" hidden="1" ht="1" customHeight="1">
      <s:c r="A2894" s="120" t="inlineStr"/>
      <s:c r="B2894" s="121" t="n"/>
      <s:c r="C2894" s="121" t="n"/>
      <s:c r="D2894" s="121" t="n"/>
      <s:c r="E2894" s="122" t="n"/>
    </s:row>
    <s:row r="2895" hidden="1" ht="1" customHeight="1">
      <s:c r="A2895" s="120" t="inlineStr"/>
      <s:c r="B2895" s="121" t="n"/>
      <s:c r="C2895" s="121" t="n"/>
      <s:c r="D2895" s="121" t="n"/>
      <s:c r="E2895" s="122" t="n"/>
    </s:row>
    <s:row r="2896" hidden="1" ht="1" customHeight="1">
      <s:c r="A2896" s="120" t="inlineStr"/>
      <s:c r="B2896" s="121" t="n"/>
      <s:c r="C2896" s="121" t="n"/>
      <s:c r="D2896" s="121" t="n"/>
      <s:c r="E2896" s="122" t="n"/>
    </s:row>
    <s:row r="2897" hidden="1" ht="1" customHeight="1">
      <s:c r="A2897" s="120" t="inlineStr"/>
      <s:c r="B2897" s="121" t="n"/>
      <s:c r="C2897" s="121" t="n"/>
      <s:c r="D2897" s="121" t="n"/>
      <s:c r="E2897" s="122" t="n"/>
    </s:row>
    <s:row r="2898" hidden="1" ht="1" customHeight="1">
      <s:c r="A2898" s="120" t="inlineStr"/>
      <s:c r="B2898" s="121" t="n"/>
      <s:c r="C2898" s="121" t="n"/>
      <s:c r="D2898" s="121" t="n"/>
      <s:c r="E2898" s="122" t="n"/>
    </s:row>
    <s:row r="2899" hidden="1" ht="1" customHeight="1">
      <s:c r="A2899" s="120" t="inlineStr"/>
      <s:c r="B2899" s="121" t="n"/>
      <s:c r="C2899" s="121" t="n"/>
      <s:c r="D2899" s="121" t="n"/>
      <s:c r="E2899" s="122" t="n"/>
    </s:row>
    <s:row r="2900" hidden="1" ht="1" customHeight="1">
      <s:c r="A2900" s="120" t="inlineStr"/>
      <s:c r="B2900" s="121" t="n"/>
      <s:c r="C2900" s="121" t="n"/>
      <s:c r="D2900" s="121" t="n"/>
      <s:c r="E2900" s="122" t="n"/>
    </s:row>
    <s:row r="2901" hidden="1" ht="1" customHeight="1">
      <s:c r="A2901" s="120" t="inlineStr"/>
      <s:c r="B2901" s="121" t="n"/>
      <s:c r="C2901" s="121" t="n"/>
      <s:c r="D2901" s="121" t="n"/>
      <s:c r="E2901" s="122" t="n"/>
    </s:row>
    <s:row r="2902" hidden="1" ht="1" customHeight="1">
      <s:c r="A2902" s="120" t="inlineStr"/>
      <s:c r="B2902" s="121" t="n"/>
      <s:c r="C2902" s="121" t="n"/>
      <s:c r="D2902" s="121" t="n"/>
      <s:c r="E2902" s="122" t="n"/>
    </s:row>
    <s:row r="2903" hidden="1" ht="1" customHeight="1">
      <s:c r="A2903" s="120" t="inlineStr"/>
      <s:c r="B2903" s="121" t="n"/>
      <s:c r="C2903" s="121" t="n"/>
      <s:c r="D2903" s="121" t="n"/>
      <s:c r="E2903" s="122" t="n"/>
    </s:row>
    <s:row r="2904" hidden="1" ht="1" customHeight="1">
      <s:c r="A2904" s="120" t="inlineStr"/>
      <s:c r="B2904" s="121" t="n"/>
      <s:c r="C2904" s="121" t="n"/>
      <s:c r="D2904" s="121" t="n"/>
      <s:c r="E2904" s="122" t="n"/>
    </s:row>
    <s:row r="2905" hidden="1" ht="1" customHeight="1">
      <s:c r="A2905" s="120" t="inlineStr"/>
      <s:c r="B2905" s="121" t="n"/>
      <s:c r="C2905" s="121" t="n"/>
      <s:c r="D2905" s="121" t="n"/>
      <s:c r="E2905" s="122" t="n"/>
    </s:row>
    <s:row r="2906" hidden="1" ht="1" customHeight="1">
      <s:c r="A2906" s="120" t="inlineStr"/>
      <s:c r="B2906" s="121" t="n"/>
      <s:c r="C2906" s="121" t="n"/>
      <s:c r="D2906" s="121" t="n"/>
      <s:c r="E2906" s="122" t="n"/>
    </s:row>
    <s:row r="2907" hidden="1" ht="1" customHeight="1">
      <s:c r="A2907" s="120" t="inlineStr"/>
      <s:c r="B2907" s="121" t="n"/>
      <s:c r="C2907" s="121" t="n"/>
      <s:c r="D2907" s="121" t="n"/>
      <s:c r="E2907" s="122" t="n"/>
    </s:row>
    <s:row r="2908" hidden="1" ht="1" customHeight="1">
      <s:c r="A2908" s="120" t="inlineStr"/>
      <s:c r="B2908" s="121" t="n"/>
      <s:c r="C2908" s="121" t="n"/>
      <s:c r="D2908" s="121" t="n"/>
      <s:c r="E2908" s="122" t="n"/>
    </s:row>
    <s:row r="2909" hidden="1" ht="1" customHeight="1">
      <s:c r="A2909" s="120" t="inlineStr"/>
      <s:c r="B2909" s="121" t="n"/>
      <s:c r="C2909" s="121" t="n"/>
      <s:c r="D2909" s="121" t="n"/>
      <s:c r="E2909" s="122" t="n"/>
    </s:row>
    <s:row r="2910" hidden="1" ht="1" customHeight="1">
      <s:c r="A2910" s="120" t="inlineStr"/>
      <s:c r="B2910" s="121" t="n"/>
      <s:c r="C2910" s="121" t="n"/>
      <s:c r="D2910" s="121" t="n"/>
      <s:c r="E2910" s="122" t="n"/>
    </s:row>
    <s:row r="2911" hidden="1" ht="1" customHeight="1">
      <s:c r="A2911" s="120" t="inlineStr"/>
      <s:c r="B2911" s="121" t="n"/>
      <s:c r="C2911" s="121" t="n"/>
      <s:c r="D2911" s="121" t="n"/>
      <s:c r="E2911" s="122" t="n"/>
    </s:row>
    <s:row r="2912" hidden="1" ht="1" customHeight="1">
      <s:c r="A2912" s="120" t="inlineStr"/>
      <s:c r="B2912" s="121" t="n"/>
      <s:c r="C2912" s="121" t="n"/>
      <s:c r="D2912" s="121" t="n"/>
      <s:c r="E2912" s="122" t="n"/>
    </s:row>
    <s:row r="2913" hidden="1" ht="1" customHeight="1">
      <s:c r="A2913" s="120" t="inlineStr"/>
      <s:c r="B2913" s="121" t="n"/>
      <s:c r="C2913" s="121" t="n"/>
      <s:c r="D2913" s="121" t="n"/>
      <s:c r="E2913" s="122" t="n"/>
    </s:row>
    <s:row r="2914" hidden="1" ht="1" customHeight="1">
      <s:c r="A2914" s="120" t="inlineStr"/>
      <s:c r="B2914" s="121" t="n"/>
      <s:c r="C2914" s="121" t="n"/>
      <s:c r="D2914" s="121" t="n"/>
      <s:c r="E2914" s="122" t="n"/>
    </s:row>
    <s:row r="2915" hidden="1" ht="1" customHeight="1">
      <s:c r="A2915" s="120" t="inlineStr"/>
      <s:c r="B2915" s="121" t="n"/>
      <s:c r="C2915" s="121" t="n"/>
      <s:c r="D2915" s="121" t="n"/>
      <s:c r="E2915" s="122" t="n"/>
    </s:row>
    <s:row r="2916" hidden="1" ht="1" customHeight="1">
      <s:c r="A2916" s="120" t="inlineStr"/>
      <s:c r="B2916" s="121" t="n"/>
      <s:c r="C2916" s="121" t="n"/>
      <s:c r="D2916" s="121" t="n"/>
      <s:c r="E2916" s="122" t="n"/>
    </s:row>
    <s:row r="2917" hidden="1" ht="1" customHeight="1">
      <s:c r="A2917" s="120" t="inlineStr"/>
      <s:c r="B2917" s="121" t="n"/>
      <s:c r="C2917" s="121" t="n"/>
      <s:c r="D2917" s="121" t="n"/>
      <s:c r="E2917" s="122" t="n"/>
    </s:row>
    <s:row r="2918" hidden="1" ht="1" customHeight="1">
      <s:c r="A2918" s="120" t="inlineStr"/>
      <s:c r="B2918" s="121" t="n"/>
      <s:c r="C2918" s="121" t="n"/>
      <s:c r="D2918" s="121" t="n"/>
      <s:c r="E2918" s="122" t="n"/>
    </s:row>
    <s:row r="2919" hidden="1" ht="1" customHeight="1">
      <s:c r="A2919" s="120" t="inlineStr"/>
      <s:c r="B2919" s="121" t="n"/>
      <s:c r="C2919" s="121" t="n"/>
      <s:c r="D2919" s="121" t="n"/>
      <s:c r="E2919" s="122" t="n"/>
    </s:row>
    <s:row r="2920" hidden="1" ht="1" customHeight="1">
      <s:c r="A2920" s="120" t="inlineStr"/>
      <s:c r="B2920" s="121" t="n"/>
      <s:c r="C2920" s="121" t="n"/>
      <s:c r="D2920" s="121" t="n"/>
      <s:c r="E2920" s="122" t="n"/>
    </s:row>
    <s:row r="2921" hidden="1" ht="1" customHeight="1">
      <s:c r="A2921" s="120" t="inlineStr"/>
      <s:c r="B2921" s="121" t="n"/>
      <s:c r="C2921" s="121" t="n"/>
      <s:c r="D2921" s="121" t="n"/>
      <s:c r="E2921" s="122" t="n"/>
    </s:row>
    <s:row r="2922" hidden="1" ht="1" customHeight="1">
      <s:c r="A2922" s="120" t="inlineStr"/>
      <s:c r="B2922" s="121" t="n"/>
      <s:c r="C2922" s="121" t="n"/>
      <s:c r="D2922" s="121" t="n"/>
      <s:c r="E2922" s="122" t="n"/>
    </s:row>
    <s:row r="2923" hidden="1" ht="1" customHeight="1">
      <s:c r="A2923" s="120" t="inlineStr"/>
      <s:c r="B2923" s="121" t="n"/>
      <s:c r="C2923" s="121" t="n"/>
      <s:c r="D2923" s="121" t="n"/>
      <s:c r="E2923" s="122" t="n"/>
    </s:row>
    <s:row r="2924" hidden="1" ht="1" customHeight="1">
      <s:c r="A2924" s="120" t="inlineStr"/>
      <s:c r="B2924" s="121" t="n"/>
      <s:c r="C2924" s="121" t="n"/>
      <s:c r="D2924" s="121" t="n"/>
      <s:c r="E2924" s="122" t="n"/>
    </s:row>
    <s:row r="2925" hidden="1" ht="1" customHeight="1">
      <s:c r="A2925" s="120" t="inlineStr"/>
      <s:c r="B2925" s="121" t="n"/>
      <s:c r="C2925" s="121" t="n"/>
      <s:c r="D2925" s="121" t="n"/>
      <s:c r="E2925" s="122" t="n"/>
    </s:row>
    <s:row r="2926" hidden="1" ht="1" customHeight="1">
      <s:c r="A2926" s="120" t="inlineStr"/>
      <s:c r="B2926" s="121" t="n"/>
      <s:c r="C2926" s="121" t="n"/>
      <s:c r="D2926" s="121" t="n"/>
      <s:c r="E2926" s="122" t="n"/>
    </s:row>
    <s:row r="2927" hidden="1" ht="1" customHeight="1">
      <s:c r="A2927" s="120" t="inlineStr"/>
      <s:c r="B2927" s="121" t="n"/>
      <s:c r="C2927" s="121" t="n"/>
      <s:c r="D2927" s="121" t="n"/>
      <s:c r="E2927" s="122" t="n"/>
    </s:row>
    <s:row r="2928" hidden="1" ht="1" customHeight="1">
      <s:c r="A2928" s="120" t="inlineStr"/>
      <s:c r="B2928" s="121" t="n"/>
      <s:c r="C2928" s="121" t="n"/>
      <s:c r="D2928" s="121" t="n"/>
      <s:c r="E2928" s="122" t="n"/>
    </s:row>
    <s:row r="2929" hidden="1" ht="1" customHeight="1">
      <s:c r="A2929" s="120" t="inlineStr"/>
      <s:c r="B2929" s="121" t="n"/>
      <s:c r="C2929" s="121" t="n"/>
      <s:c r="D2929" s="121" t="n"/>
      <s:c r="E2929" s="122" t="n"/>
    </s:row>
    <s:row r="2930" hidden="1" ht="1" customHeight="1">
      <s:c r="A2930" s="120" t="inlineStr"/>
      <s:c r="B2930" s="121" t="n"/>
      <s:c r="C2930" s="121" t="n"/>
      <s:c r="D2930" s="121" t="n"/>
      <s:c r="E2930" s="122" t="n"/>
    </s:row>
    <s:row r="2931" hidden="1" ht="1" customHeight="1">
      <s:c r="A2931" s="120" t="inlineStr"/>
      <s:c r="B2931" s="121" t="n"/>
      <s:c r="C2931" s="121" t="n"/>
      <s:c r="D2931" s="121" t="n"/>
      <s:c r="E2931" s="122" t="n"/>
    </s:row>
    <s:row r="2932" hidden="1" ht="1" customHeight="1">
      <s:c r="A2932" s="120" t="inlineStr"/>
      <s:c r="B2932" s="121" t="n"/>
      <s:c r="C2932" s="121" t="n"/>
      <s:c r="D2932" s="121" t="n"/>
      <s:c r="E2932" s="122" t="n"/>
    </s:row>
    <s:row r="2933" hidden="1" ht="1" customHeight="1">
      <s:c r="A2933" s="120" t="inlineStr"/>
      <s:c r="B2933" s="121" t="n"/>
      <s:c r="C2933" s="121" t="n"/>
      <s:c r="D2933" s="121" t="n"/>
      <s:c r="E2933" s="122" t="n"/>
    </s:row>
    <s:row r="2934" hidden="1" ht="1" customHeight="1">
      <s:c r="A2934" s="120" t="inlineStr"/>
      <s:c r="B2934" s="121" t="n"/>
      <s:c r="C2934" s="121" t="n"/>
      <s:c r="D2934" s="121" t="n"/>
      <s:c r="E2934" s="122" t="n"/>
    </s:row>
    <s:row r="2935" hidden="1" ht="1" customHeight="1">
      <s:c r="A2935" s="120" t="inlineStr"/>
      <s:c r="B2935" s="121" t="n"/>
      <s:c r="C2935" s="121" t="n"/>
      <s:c r="D2935" s="121" t="n"/>
      <s:c r="E2935" s="122" t="n"/>
    </s:row>
    <s:row r="2936" hidden="1" ht="1" customHeight="1">
      <s:c r="A2936" s="120" t="inlineStr"/>
      <s:c r="B2936" s="121" t="n"/>
      <s:c r="C2936" s="121" t="n"/>
      <s:c r="D2936" s="121" t="n"/>
      <s:c r="E2936" s="122" t="n"/>
    </s:row>
    <s:row r="2937" hidden="1" ht="1" customHeight="1">
      <s:c r="A2937" s="120" t="inlineStr"/>
      <s:c r="B2937" s="121" t="n"/>
      <s:c r="C2937" s="121" t="n"/>
      <s:c r="D2937" s="121" t="n"/>
      <s:c r="E2937" s="122" t="n"/>
    </s:row>
    <s:row r="2938" hidden="1" ht="1" customHeight="1">
      <s:c r="A2938" s="120" t="inlineStr"/>
      <s:c r="B2938" s="121" t="n"/>
      <s:c r="C2938" s="121" t="n"/>
      <s:c r="D2938" s="121" t="n"/>
      <s:c r="E2938" s="122" t="n"/>
    </s:row>
    <s:row r="2939" hidden="1" ht="1" customHeight="1">
      <s:c r="A2939" s="120" t="inlineStr"/>
      <s:c r="B2939" s="121" t="n"/>
      <s:c r="C2939" s="121" t="n"/>
      <s:c r="D2939" s="121" t="n"/>
      <s:c r="E2939" s="122" t="n"/>
    </s:row>
    <s:row r="2940" hidden="1" ht="1" customHeight="1">
      <s:c r="A2940" s="120" t="inlineStr"/>
      <s:c r="B2940" s="121" t="n"/>
      <s:c r="C2940" s="121" t="n"/>
      <s:c r="D2940" s="121" t="n"/>
      <s:c r="E2940" s="122" t="n"/>
    </s:row>
    <s:row r="2941" hidden="1" ht="1" customHeight="1">
      <s:c r="A2941" s="120" t="inlineStr"/>
      <s:c r="B2941" s="121" t="n"/>
      <s:c r="C2941" s="121" t="n"/>
      <s:c r="D2941" s="121" t="n"/>
      <s:c r="E2941" s="122" t="n"/>
    </s:row>
    <s:row r="2942" hidden="1" ht="1" customHeight="1">
      <s:c r="A2942" s="120" t="inlineStr"/>
      <s:c r="B2942" s="121" t="n"/>
      <s:c r="C2942" s="121" t="n"/>
      <s:c r="D2942" s="121" t="n"/>
      <s:c r="E2942" s="122" t="n"/>
    </s:row>
    <s:row r="2943" hidden="1" ht="1" customHeight="1">
      <s:c r="A2943" s="120" t="inlineStr"/>
      <s:c r="B2943" s="121" t="n"/>
      <s:c r="C2943" s="121" t="n"/>
      <s:c r="D2943" s="121" t="n"/>
      <s:c r="E2943" s="122" t="n"/>
    </s:row>
    <s:row r="2944" hidden="1" ht="1" customHeight="1">
      <s:c r="A2944" s="120" t="inlineStr"/>
      <s:c r="B2944" s="121" t="n"/>
      <s:c r="C2944" s="121" t="n"/>
      <s:c r="D2944" s="121" t="n"/>
      <s:c r="E2944" s="122" t="n"/>
    </s:row>
    <s:row r="2945" hidden="1" ht="1" customHeight="1">
      <s:c r="A2945" s="120" t="inlineStr"/>
      <s:c r="B2945" s="121" t="n"/>
      <s:c r="C2945" s="121" t="n"/>
      <s:c r="D2945" s="121" t="n"/>
      <s:c r="E2945" s="122" t="n"/>
    </s:row>
    <s:row r="2946" hidden="1" ht="1" customHeight="1">
      <s:c r="A2946" s="120" t="inlineStr"/>
      <s:c r="B2946" s="121" t="n"/>
      <s:c r="C2946" s="121" t="n"/>
      <s:c r="D2946" s="121" t="n"/>
      <s:c r="E2946" s="122" t="n"/>
    </s:row>
    <s:row r="2947" hidden="1" ht="1" customHeight="1">
      <s:c r="A2947" s="120" t="inlineStr"/>
      <s:c r="B2947" s="121" t="n"/>
      <s:c r="C2947" s="121" t="n"/>
      <s:c r="D2947" s="121" t="n"/>
      <s:c r="E2947" s="122" t="n"/>
    </s:row>
    <s:row r="2948" hidden="1" ht="1" customHeight="1">
      <s:c r="A2948" s="120" t="inlineStr"/>
      <s:c r="B2948" s="121" t="n"/>
      <s:c r="C2948" s="121" t="n"/>
      <s:c r="D2948" s="121" t="n"/>
      <s:c r="E2948" s="122" t="n"/>
    </s:row>
    <s:row r="2949" hidden="1" ht="1" customHeight="1">
      <s:c r="A2949" s="120" t="inlineStr"/>
      <s:c r="B2949" s="121" t="n"/>
      <s:c r="C2949" s="121" t="n"/>
      <s:c r="D2949" s="121" t="n"/>
      <s:c r="E2949" s="122" t="n"/>
    </s:row>
    <s:row r="2950" hidden="1" ht="1" customHeight="1">
      <s:c r="A2950" s="120" t="inlineStr"/>
      <s:c r="B2950" s="121" t="n"/>
      <s:c r="C2950" s="121" t="n"/>
      <s:c r="D2950" s="121" t="n"/>
      <s:c r="E2950" s="122" t="n"/>
    </s:row>
    <s:row r="2951" hidden="1" ht="1" customHeight="1">
      <s:c r="A2951" s="120" t="inlineStr"/>
      <s:c r="B2951" s="121" t="n"/>
      <s:c r="C2951" s="121" t="n"/>
      <s:c r="D2951" s="121" t="n"/>
      <s:c r="E2951" s="122" t="n"/>
    </s:row>
    <s:row r="2952" hidden="1" ht="1" customHeight="1">
      <s:c r="A2952" s="120" t="inlineStr"/>
      <s:c r="B2952" s="121" t="n"/>
      <s:c r="C2952" s="121" t="n"/>
      <s:c r="D2952" s="121" t="n"/>
      <s:c r="E2952" s="122" t="n"/>
    </s:row>
    <s:row r="2953" hidden="1" ht="1" customHeight="1">
      <s:c r="A2953" s="120" t="inlineStr"/>
      <s:c r="B2953" s="121" t="n"/>
      <s:c r="C2953" s="121" t="n"/>
      <s:c r="D2953" s="121" t="n"/>
      <s:c r="E2953" s="122" t="n"/>
    </s:row>
    <s:row r="2954" hidden="1" ht="1" customHeight="1">
      <s:c r="A2954" s="120" t="inlineStr"/>
      <s:c r="B2954" s="121" t="n"/>
      <s:c r="C2954" s="121" t="n"/>
      <s:c r="D2954" s="121" t="n"/>
      <s:c r="E2954" s="122" t="n"/>
    </s:row>
    <s:row r="2955" hidden="1" ht="1" customHeight="1">
      <s:c r="A2955" s="120" t="inlineStr"/>
      <s:c r="B2955" s="121" t="n"/>
      <s:c r="C2955" s="121" t="n"/>
      <s:c r="D2955" s="121" t="n"/>
      <s:c r="E2955" s="122" t="n"/>
    </s:row>
    <s:row r="2956" hidden="1" ht="1" customHeight="1">
      <s:c r="A2956" s="120" t="inlineStr"/>
      <s:c r="B2956" s="121" t="n"/>
      <s:c r="C2956" s="121" t="n"/>
      <s:c r="D2956" s="121" t="n"/>
      <s:c r="E2956" s="122" t="n"/>
    </s:row>
    <s:row r="2957" hidden="1" ht="1" customHeight="1">
      <s:c r="A2957" s="120" t="inlineStr"/>
      <s:c r="B2957" s="121" t="n"/>
      <s:c r="C2957" s="121" t="n"/>
      <s:c r="D2957" s="121" t="n"/>
      <s:c r="E2957" s="122" t="n"/>
    </s:row>
    <s:row r="2958" hidden="1" ht="1" customHeight="1">
      <s:c r="A2958" s="120" t="inlineStr"/>
      <s:c r="B2958" s="121" t="n"/>
      <s:c r="C2958" s="121" t="n"/>
      <s:c r="D2958" s="121" t="n"/>
      <s:c r="E2958" s="122" t="n"/>
    </s:row>
    <s:row r="2959" hidden="1" ht="1" customHeight="1">
      <s:c r="A2959" s="120" t="inlineStr"/>
      <s:c r="B2959" s="121" t="n"/>
      <s:c r="C2959" s="121" t="n"/>
      <s:c r="D2959" s="121" t="n"/>
      <s:c r="E2959" s="122" t="n"/>
    </s:row>
    <s:row r="2960" hidden="1" ht="1" customHeight="1">
      <s:c r="A2960" s="120" t="inlineStr"/>
      <s:c r="B2960" s="121" t="n"/>
      <s:c r="C2960" s="121" t="n"/>
      <s:c r="D2960" s="121" t="n"/>
      <s:c r="E2960" s="122" t="n"/>
    </s:row>
    <s:row r="2961" hidden="1" ht="1" customHeight="1">
      <s:c r="A2961" s="120" t="inlineStr"/>
      <s:c r="B2961" s="121" t="n"/>
      <s:c r="C2961" s="121" t="n"/>
      <s:c r="D2961" s="121" t="n"/>
      <s:c r="E2961" s="122" t="n"/>
    </s:row>
    <s:row r="2962" hidden="1" ht="1" customHeight="1">
      <s:c r="A2962" s="120" t="inlineStr"/>
      <s:c r="B2962" s="121" t="n"/>
      <s:c r="C2962" s="121" t="n"/>
      <s:c r="D2962" s="121" t="n"/>
      <s:c r="E2962" s="122" t="n"/>
    </s:row>
    <s:row r="2963" hidden="1" ht="1" customHeight="1">
      <s:c r="A2963" s="120" t="inlineStr"/>
      <s:c r="B2963" s="121" t="n"/>
      <s:c r="C2963" s="121" t="n"/>
      <s:c r="D2963" s="121" t="n"/>
      <s:c r="E2963" s="122" t="n"/>
    </s:row>
    <s:row r="2964" hidden="1" ht="1" customHeight="1">
      <s:c r="A2964" s="120" t="inlineStr"/>
      <s:c r="B2964" s="121" t="n"/>
      <s:c r="C2964" s="121" t="n"/>
      <s:c r="D2964" s="121" t="n"/>
      <s:c r="E2964" s="122" t="n"/>
    </s:row>
    <s:row r="2965" hidden="1" ht="1" customHeight="1">
      <s:c r="A2965" s="120" t="inlineStr"/>
      <s:c r="B2965" s="121" t="n"/>
      <s:c r="C2965" s="121" t="n"/>
      <s:c r="D2965" s="121" t="n"/>
      <s:c r="E2965" s="122" t="n"/>
    </s:row>
    <s:row r="2966" hidden="1" ht="1" customHeight="1">
      <s:c r="A2966" s="120" t="inlineStr"/>
      <s:c r="B2966" s="121" t="n"/>
      <s:c r="C2966" s="121" t="n"/>
      <s:c r="D2966" s="121" t="n"/>
      <s:c r="E2966" s="122" t="n"/>
    </s:row>
    <s:row r="2967" hidden="1" ht="1" customHeight="1">
      <s:c r="A2967" s="120" t="inlineStr"/>
      <s:c r="B2967" s="121" t="n"/>
      <s:c r="C2967" s="121" t="n"/>
      <s:c r="D2967" s="121" t="n"/>
      <s:c r="E2967" s="122" t="n"/>
    </s:row>
    <s:row r="2968" hidden="1" ht="1" customHeight="1">
      <s:c r="A2968" s="120" t="inlineStr"/>
      <s:c r="B2968" s="121" t="n"/>
      <s:c r="C2968" s="121" t="n"/>
      <s:c r="D2968" s="121" t="n"/>
      <s:c r="E2968" s="122" t="n"/>
    </s:row>
    <s:row r="2969" hidden="1" ht="1" customHeight="1">
      <s:c r="A2969" s="120" t="inlineStr"/>
      <s:c r="B2969" s="121" t="n"/>
      <s:c r="C2969" s="121" t="n"/>
      <s:c r="D2969" s="121" t="n"/>
      <s:c r="E2969" s="122" t="n"/>
    </s:row>
    <s:row r="2970" hidden="1" ht="1" customHeight="1">
      <s:c r="A2970" s="120" t="inlineStr"/>
      <s:c r="B2970" s="121" t="n"/>
      <s:c r="C2970" s="121" t="n"/>
      <s:c r="D2970" s="121" t="n"/>
      <s:c r="E2970" s="122" t="n"/>
    </s:row>
    <s:row r="2971" hidden="1" ht="1" customHeight="1">
      <s:c r="A2971" s="120" t="inlineStr"/>
      <s:c r="B2971" s="121" t="n"/>
      <s:c r="C2971" s="121" t="n"/>
      <s:c r="D2971" s="121" t="n"/>
      <s:c r="E2971" s="122" t="n"/>
    </s:row>
    <s:row r="2972" hidden="1" ht="1" customHeight="1">
      <s:c r="A2972" s="120" t="inlineStr"/>
      <s:c r="B2972" s="121" t="n"/>
      <s:c r="C2972" s="121" t="n"/>
      <s:c r="D2972" s="121" t="n"/>
      <s:c r="E2972" s="122" t="n"/>
    </s:row>
    <s:row r="2973" hidden="1" ht="1" customHeight="1">
      <s:c r="A2973" s="120" t="inlineStr"/>
      <s:c r="B2973" s="121" t="n"/>
      <s:c r="C2973" s="121" t="n"/>
      <s:c r="D2973" s="121" t="n"/>
      <s:c r="E2973" s="122" t="n"/>
    </s:row>
    <s:row r="2974" hidden="1" ht="1" customHeight="1">
      <s:c r="A2974" s="120" t="inlineStr"/>
      <s:c r="B2974" s="121" t="n"/>
      <s:c r="C2974" s="121" t="n"/>
      <s:c r="D2974" s="121" t="n"/>
      <s:c r="E2974" s="122" t="n"/>
    </s:row>
    <s:row r="2975" hidden="1" ht="1" customHeight="1">
      <s:c r="A2975" s="120" t="inlineStr"/>
      <s:c r="B2975" s="121" t="n"/>
      <s:c r="C2975" s="121" t="n"/>
      <s:c r="D2975" s="121" t="n"/>
      <s:c r="E2975" s="122" t="n"/>
    </s:row>
    <s:row r="2976" hidden="1" ht="1" customHeight="1">
      <s:c r="A2976" s="120" t="inlineStr"/>
      <s:c r="B2976" s="121" t="n"/>
      <s:c r="C2976" s="121" t="n"/>
      <s:c r="D2976" s="121" t="n"/>
      <s:c r="E2976" s="122" t="n"/>
    </s:row>
    <s:row r="2977" hidden="1" ht="1" customHeight="1">
      <s:c r="A2977" s="120" t="inlineStr"/>
      <s:c r="B2977" s="121" t="n"/>
      <s:c r="C2977" s="121" t="n"/>
      <s:c r="D2977" s="121" t="n"/>
      <s:c r="E2977" s="122" t="n"/>
    </s:row>
    <s:row r="2978" hidden="1" ht="1" customHeight="1">
      <s:c r="A2978" s="120" t="inlineStr"/>
      <s:c r="B2978" s="121" t="n"/>
      <s:c r="C2978" s="121" t="n"/>
      <s:c r="D2978" s="121" t="n"/>
      <s:c r="E2978" s="122" t="n"/>
    </s:row>
    <s:row r="2979" hidden="1" ht="1" customHeight="1">
      <s:c r="A2979" s="120" t="inlineStr"/>
      <s:c r="B2979" s="121" t="n"/>
      <s:c r="C2979" s="121" t="n"/>
      <s:c r="D2979" s="121" t="n"/>
      <s:c r="E2979" s="122" t="n"/>
    </s:row>
    <s:row r="2980" hidden="1" ht="1" customHeight="1">
      <s:c r="A2980" s="120" t="inlineStr"/>
      <s:c r="B2980" s="121" t="n"/>
      <s:c r="C2980" s="121" t="n"/>
      <s:c r="D2980" s="121" t="n"/>
      <s:c r="E2980" s="122" t="n"/>
    </s:row>
    <s:row r="2981" hidden="1" ht="1" customHeight="1">
      <s:c r="A2981" s="120" t="inlineStr"/>
      <s:c r="B2981" s="121" t="n"/>
      <s:c r="C2981" s="121" t="n"/>
      <s:c r="D2981" s="121" t="n"/>
      <s:c r="E2981" s="122" t="n"/>
    </s:row>
    <s:row r="2982" hidden="1" ht="1" customHeight="1">
      <s:c r="A2982" s="120" t="inlineStr"/>
      <s:c r="B2982" s="121" t="n"/>
      <s:c r="C2982" s="121" t="n"/>
      <s:c r="D2982" s="121" t="n"/>
      <s:c r="E2982" s="122" t="n"/>
    </s:row>
    <s:row r="2983" hidden="1" ht="1" customHeight="1">
      <s:c r="A2983" s="120" t="inlineStr"/>
      <s:c r="B2983" s="121" t="n"/>
      <s:c r="C2983" s="121" t="n"/>
      <s:c r="D2983" s="121" t="n"/>
      <s:c r="E2983" s="122" t="n"/>
    </s:row>
    <s:row r="2984" hidden="1" ht="1" customHeight="1">
      <s:c r="A2984" s="120" t="inlineStr"/>
      <s:c r="B2984" s="121" t="n"/>
      <s:c r="C2984" s="121" t="n"/>
      <s:c r="D2984" s="121" t="n"/>
      <s:c r="E2984" s="122" t="n"/>
    </s:row>
    <s:row r="2985" hidden="1" ht="1" customHeight="1">
      <s:c r="A2985" s="120" t="inlineStr"/>
      <s:c r="B2985" s="121" t="n"/>
      <s:c r="C2985" s="121" t="n"/>
      <s:c r="D2985" s="121" t="n"/>
      <s:c r="E2985" s="122" t="n"/>
    </s:row>
    <s:row r="2986" hidden="1" ht="1" customHeight="1">
      <s:c r="A2986" s="120" t="inlineStr"/>
      <s:c r="B2986" s="121" t="n"/>
      <s:c r="C2986" s="121" t="n"/>
      <s:c r="D2986" s="121" t="n"/>
      <s:c r="E2986" s="122" t="n"/>
    </s:row>
    <s:row r="2987" hidden="1" ht="1" customHeight="1">
      <s:c r="A2987" s="120" t="inlineStr"/>
      <s:c r="B2987" s="121" t="n"/>
      <s:c r="C2987" s="121" t="n"/>
      <s:c r="D2987" s="121" t="n"/>
      <s:c r="E2987" s="122" t="n"/>
    </s:row>
    <s:row r="2988" hidden="1" ht="1" customHeight="1">
      <s:c r="A2988" s="120" t="inlineStr"/>
      <s:c r="B2988" s="121" t="n"/>
      <s:c r="C2988" s="121" t="n"/>
      <s:c r="D2988" s="121" t="n"/>
      <s:c r="E2988" s="122" t="n"/>
    </s:row>
    <s:row r="2989" hidden="1" ht="1" customHeight="1">
      <s:c r="A2989" s="120" t="inlineStr"/>
      <s:c r="B2989" s="121" t="n"/>
      <s:c r="C2989" s="121" t="n"/>
      <s:c r="D2989" s="121" t="n"/>
      <s:c r="E2989" s="122" t="n"/>
    </s:row>
    <s:row r="2990" hidden="1" ht="1" customHeight="1">
      <s:c r="A2990" s="120" t="inlineStr"/>
      <s:c r="B2990" s="121" t="n"/>
      <s:c r="C2990" s="121" t="n"/>
      <s:c r="D2990" s="121" t="n"/>
      <s:c r="E2990" s="122" t="n"/>
    </s:row>
    <s:row r="2991" hidden="1" ht="1" customHeight="1">
      <s:c r="A2991" s="120" t="inlineStr"/>
      <s:c r="B2991" s="121" t="n"/>
      <s:c r="C2991" s="121" t="n"/>
      <s:c r="D2991" s="121" t="n"/>
      <s:c r="E2991" s="122" t="n"/>
    </s:row>
    <s:row r="2992" hidden="1" ht="1" customHeight="1">
      <s:c r="A2992" s="120" t="inlineStr"/>
      <s:c r="B2992" s="121" t="n"/>
      <s:c r="C2992" s="121" t="n"/>
      <s:c r="D2992" s="121" t="n"/>
      <s:c r="E2992" s="122" t="n"/>
    </s:row>
    <s:row r="2993" hidden="1" ht="1" customHeight="1">
      <s:c r="A2993" s="120" t="inlineStr"/>
      <s:c r="B2993" s="121" t="n"/>
      <s:c r="C2993" s="121" t="n"/>
      <s:c r="D2993" s="121" t="n"/>
      <s:c r="E2993" s="122" t="n"/>
    </s:row>
    <s:row r="2994" hidden="1" ht="1" customHeight="1">
      <s:c r="A2994" s="120" t="inlineStr"/>
      <s:c r="B2994" s="121" t="n"/>
      <s:c r="C2994" s="121" t="n"/>
      <s:c r="D2994" s="121" t="n"/>
      <s:c r="E2994" s="122" t="n"/>
    </s:row>
    <s:row r="2995" hidden="1" ht="1" customHeight="1">
      <s:c r="A2995" s="120" t="inlineStr"/>
      <s:c r="B2995" s="121" t="n"/>
      <s:c r="C2995" s="121" t="n"/>
      <s:c r="D2995" s="121" t="n"/>
      <s:c r="E2995" s="122" t="n"/>
    </s:row>
    <s:row r="2996" hidden="1" ht="1" customHeight="1">
      <s:c r="A2996" s="120" t="inlineStr"/>
      <s:c r="B2996" s="121" t="n"/>
      <s:c r="C2996" s="121" t="n"/>
      <s:c r="D2996" s="121" t="n"/>
      <s:c r="E2996" s="122" t="n"/>
    </s:row>
    <s:row r="2997" hidden="1" ht="1" customHeight="1">
      <s:c r="A2997" s="120" t="inlineStr"/>
      <s:c r="B2997" s="121" t="n"/>
      <s:c r="C2997" s="121" t="n"/>
      <s:c r="D2997" s="121" t="n"/>
      <s:c r="E2997" s="122" t="n"/>
    </s:row>
    <s:row r="2998" hidden="1" ht="1" customHeight="1">
      <s:c r="A2998" s="120" t="inlineStr"/>
      <s:c r="B2998" s="121" t="n"/>
      <s:c r="C2998" s="121" t="n"/>
      <s:c r="D2998" s="121" t="n"/>
      <s:c r="E2998" s="122" t="n"/>
    </s:row>
    <s:row r="2999" hidden="1" ht="1" customHeight="1">
      <s:c r="A2999" s="120" t="inlineStr"/>
      <s:c r="B2999" s="121" t="n"/>
      <s:c r="C2999" s="121" t="n"/>
      <s:c r="D2999" s="121" t="n"/>
      <s:c r="E2999" s="122" t="n"/>
    </s:row>
    <s:row r="3000" hidden="1" ht="1" customHeight="1">
      <s:c r="A3000" s="120" t="inlineStr"/>
      <s:c r="B3000" s="121" t="n"/>
      <s:c r="C3000" s="121" t="n"/>
      <s:c r="D3000" s="121" t="n"/>
      <s:c r="E3000" s="122" t="n"/>
    </s:row>
    <s:row r="3001" hidden="1" ht="1" customHeight="1">
      <s:c r="A3001" s="120" t="inlineStr"/>
      <s:c r="B3001" s="121" t="n"/>
      <s:c r="C3001" s="121" t="n"/>
      <s:c r="D3001" s="121" t="n"/>
      <s:c r="E3001" s="122" t="n"/>
    </s:row>
    <s:row r="3002" hidden="1" ht="1" customHeight="1">
      <s:c r="A3002" s="120" t="inlineStr"/>
      <s:c r="B3002" s="121" t="n"/>
      <s:c r="C3002" s="121" t="n"/>
      <s:c r="D3002" s="121" t="n"/>
      <s:c r="E3002" s="122" t="n"/>
    </s:row>
    <s:row r="3003" hidden="1" ht="1" customHeight="1">
      <s:c r="A3003" s="120" t="inlineStr"/>
      <s:c r="B3003" s="121" t="n"/>
      <s:c r="C3003" s="121" t="n"/>
      <s:c r="D3003" s="121" t="n"/>
      <s:c r="E3003" s="122" t="n"/>
    </s:row>
    <s:row r="3004" hidden="1" ht="1" customHeight="1">
      <s:c r="A3004" s="120" t="inlineStr"/>
      <s:c r="B3004" s="121" t="n"/>
      <s:c r="C3004" s="121" t="n"/>
      <s:c r="D3004" s="121" t="n"/>
      <s:c r="E3004" s="122" t="n"/>
    </s:row>
    <s:row r="3005" hidden="1" ht="1" customHeight="1">
      <s:c r="A3005" s="120" t="inlineStr"/>
      <s:c r="B3005" s="121" t="n"/>
      <s:c r="C3005" s="121" t="n"/>
      <s:c r="D3005" s="121" t="n"/>
      <s:c r="E3005" s="122" t="n"/>
    </s:row>
    <s:row r="3006" hidden="1" ht="1" customHeight="1">
      <s:c r="A3006" s="120" t="inlineStr"/>
      <s:c r="B3006" s="121" t="n"/>
      <s:c r="C3006" s="121" t="n"/>
      <s:c r="D3006" s="121" t="n"/>
      <s:c r="E3006" s="122" t="n"/>
    </s:row>
    <s:row r="3007" hidden="1" ht="1" customHeight="1">
      <s:c r="A3007" s="120" t="inlineStr"/>
      <s:c r="B3007" s="121" t="n"/>
      <s:c r="C3007" s="121" t="n"/>
      <s:c r="D3007" s="121" t="n"/>
      <s:c r="E3007" s="122" t="n"/>
    </s:row>
    <s:row r="3008" hidden="1" ht="1" customHeight="1">
      <s:c r="A3008" s="120" t="inlineStr"/>
      <s:c r="B3008" s="121" t="n"/>
      <s:c r="C3008" s="121" t="n"/>
      <s:c r="D3008" s="121" t="n"/>
      <s:c r="E3008" s="122" t="n"/>
    </s:row>
    <s:row r="3009" hidden="1" ht="1" customHeight="1">
      <s:c r="A3009" s="120" t="inlineStr"/>
      <s:c r="B3009" s="121" t="n"/>
      <s:c r="C3009" s="121" t="n"/>
      <s:c r="D3009" s="121" t="n"/>
      <s:c r="E3009" s="122" t="n"/>
    </s:row>
    <s:row r="3010" hidden="1" ht="1" customHeight="1">
      <s:c r="A3010" s="120" t="inlineStr"/>
      <s:c r="B3010" s="121" t="n"/>
      <s:c r="C3010" s="121" t="n"/>
      <s:c r="D3010" s="121" t="n"/>
      <s:c r="E3010" s="122" t="n"/>
    </s:row>
    <s:row r="3011" hidden="1" ht="1" customHeight="1">
      <s:c r="A3011" s="120" t="inlineStr"/>
      <s:c r="B3011" s="121" t="n"/>
      <s:c r="C3011" s="121" t="n"/>
      <s:c r="D3011" s="121" t="n"/>
      <s:c r="E3011" s="122" t="n"/>
    </s:row>
    <s:row r="3012" hidden="1" ht="1" customHeight="1">
      <s:c r="A3012" s="120" t="inlineStr"/>
      <s:c r="B3012" s="121" t="n"/>
      <s:c r="C3012" s="121" t="n"/>
      <s:c r="D3012" s="121" t="n"/>
      <s:c r="E3012" s="122" t="n"/>
    </s:row>
    <s:row r="3013" hidden="1" ht="1" customHeight="1">
      <s:c r="A3013" s="120" t="inlineStr"/>
      <s:c r="B3013" s="121" t="n"/>
      <s:c r="C3013" s="121" t="n"/>
      <s:c r="D3013" s="121" t="n"/>
      <s:c r="E3013" s="122" t="n"/>
    </s:row>
    <s:row r="3014" hidden="1" ht="1" customHeight="1">
      <s:c r="A3014" s="120" t="inlineStr"/>
      <s:c r="B3014" s="121" t="n"/>
      <s:c r="C3014" s="121" t="n"/>
      <s:c r="D3014" s="121" t="n"/>
      <s:c r="E3014" s="122" t="n"/>
    </s:row>
    <s:row r="3015" hidden="1" ht="1" customHeight="1">
      <s:c r="A3015" s="120" t="inlineStr"/>
      <s:c r="B3015" s="121" t="n"/>
      <s:c r="C3015" s="121" t="n"/>
      <s:c r="D3015" s="121" t="n"/>
      <s:c r="E3015" s="122" t="n"/>
    </s:row>
    <s:row r="3016" hidden="1" ht="1" customHeight="1">
      <s:c r="A3016" s="120" t="inlineStr"/>
      <s:c r="B3016" s="121" t="n"/>
      <s:c r="C3016" s="121" t="n"/>
      <s:c r="D3016" s="121" t="n"/>
      <s:c r="E3016" s="122" t="n"/>
    </s:row>
    <s:row r="3017" hidden="1" ht="1" customHeight="1">
      <s:c r="A3017" s="120" t="inlineStr"/>
      <s:c r="B3017" s="121" t="n"/>
      <s:c r="C3017" s="121" t="n"/>
      <s:c r="D3017" s="121" t="n"/>
      <s:c r="E3017" s="122" t="n"/>
    </s:row>
    <s:row r="3018" hidden="1" ht="1" customHeight="1">
      <s:c r="A3018" s="120" t="inlineStr"/>
      <s:c r="B3018" s="121" t="n"/>
      <s:c r="C3018" s="121" t="n"/>
      <s:c r="D3018" s="121" t="n"/>
      <s:c r="E3018" s="122" t="n"/>
    </s:row>
    <s:row r="3019" hidden="1" ht="1" customHeight="1">
      <s:c r="A3019" s="120" t="inlineStr"/>
      <s:c r="B3019" s="121" t="n"/>
      <s:c r="C3019" s="121" t="n"/>
      <s:c r="D3019" s="121" t="n"/>
      <s:c r="E3019" s="122" t="n"/>
    </s:row>
    <s:row r="3020" hidden="1" ht="1" customHeight="1">
      <s:c r="A3020" s="120" t="inlineStr"/>
      <s:c r="B3020" s="121" t="n"/>
      <s:c r="C3020" s="121" t="n"/>
      <s:c r="D3020" s="121" t="n"/>
      <s:c r="E3020" s="122" t="n"/>
    </s:row>
    <s:row r="3021" hidden="1" ht="1" customHeight="1">
      <s:c r="A3021" s="120" t="inlineStr"/>
      <s:c r="B3021" s="121" t="n"/>
      <s:c r="C3021" s="121" t="n"/>
      <s:c r="D3021" s="121" t="n"/>
      <s:c r="E3021" s="122" t="n"/>
    </s:row>
    <s:row r="3022" hidden="1" ht="1" customHeight="1">
      <s:c r="A3022" s="120" t="inlineStr"/>
      <s:c r="B3022" s="121" t="n"/>
      <s:c r="C3022" s="121" t="n"/>
      <s:c r="D3022" s="121" t="n"/>
      <s:c r="E3022" s="122" t="n"/>
    </s:row>
    <s:row r="3023" hidden="1" ht="1" customHeight="1">
      <s:c r="A3023" s="120" t="inlineStr"/>
      <s:c r="B3023" s="121" t="n"/>
      <s:c r="C3023" s="121" t="n"/>
      <s:c r="D3023" s="121" t="n"/>
      <s:c r="E3023" s="122" t="n"/>
    </s:row>
    <s:row r="3024" hidden="1" ht="1" customHeight="1">
      <s:c r="A3024" s="120" t="inlineStr"/>
      <s:c r="B3024" s="121" t="n"/>
      <s:c r="C3024" s="121" t="n"/>
      <s:c r="D3024" s="121" t="n"/>
      <s:c r="E3024" s="122" t="n"/>
    </s:row>
    <s:row r="3025" hidden="1" ht="1" customHeight="1">
      <s:c r="A3025" s="120" t="inlineStr"/>
      <s:c r="B3025" s="121" t="n"/>
      <s:c r="C3025" s="121" t="n"/>
      <s:c r="D3025" s="121" t="n"/>
      <s:c r="E3025" s="122" t="n"/>
    </s:row>
    <s:row r="3026" hidden="1" ht="1" customHeight="1">
      <s:c r="A3026" s="120" t="inlineStr"/>
      <s:c r="B3026" s="121" t="n"/>
      <s:c r="C3026" s="121" t="n"/>
      <s:c r="D3026" s="121" t="n"/>
      <s:c r="E3026" s="122" t="n"/>
    </s:row>
    <s:row r="3027" hidden="1" ht="1" customHeight="1">
      <s:c r="A3027" s="120" t="inlineStr"/>
      <s:c r="B3027" s="121" t="n"/>
      <s:c r="C3027" s="121" t="n"/>
      <s:c r="D3027" s="121" t="n"/>
      <s:c r="E3027" s="122" t="n"/>
    </s:row>
    <s:row r="3028" hidden="1" ht="1" customHeight="1">
      <s:c r="A3028" s="120" t="inlineStr"/>
      <s:c r="B3028" s="121" t="n"/>
      <s:c r="C3028" s="121" t="n"/>
      <s:c r="D3028" s="121" t="n"/>
      <s:c r="E3028" s="122" t="n"/>
    </s:row>
    <s:row r="3029" hidden="1" ht="1" customHeight="1">
      <s:c r="A3029" s="120" t="inlineStr"/>
      <s:c r="B3029" s="121" t="n"/>
      <s:c r="C3029" s="121" t="n"/>
      <s:c r="D3029" s="121" t="n"/>
      <s:c r="E3029" s="122" t="n"/>
    </s:row>
    <s:row r="3030" hidden="1" ht="1" customHeight="1">
      <s:c r="A3030" s="120" t="inlineStr"/>
      <s:c r="B3030" s="121" t="n"/>
      <s:c r="C3030" s="121" t="n"/>
      <s:c r="D3030" s="121" t="n"/>
      <s:c r="E3030" s="122" t="n"/>
    </s:row>
    <s:row r="3031" hidden="1" ht="1" customHeight="1">
      <s:c r="A3031" s="120" t="inlineStr"/>
      <s:c r="B3031" s="121" t="n"/>
      <s:c r="C3031" s="121" t="n"/>
      <s:c r="D3031" s="121" t="n"/>
      <s:c r="E3031" s="122" t="n"/>
    </s:row>
    <s:row r="3032" hidden="1" ht="1" customHeight="1">
      <s:c r="A3032" s="120" t="inlineStr"/>
      <s:c r="B3032" s="121" t="n"/>
      <s:c r="C3032" s="121" t="n"/>
      <s:c r="D3032" s="121" t="n"/>
      <s:c r="E3032" s="122" t="n"/>
    </s:row>
    <s:row r="3033" hidden="1" ht="1" customHeight="1">
      <s:c r="A3033" s="120" t="inlineStr"/>
      <s:c r="B3033" s="121" t="n"/>
      <s:c r="C3033" s="121" t="n"/>
      <s:c r="D3033" s="121" t="n"/>
      <s:c r="E3033" s="122" t="n"/>
    </s:row>
    <s:row r="3034" hidden="1" ht="1" customHeight="1">
      <s:c r="A3034" s="120" t="inlineStr"/>
      <s:c r="B3034" s="121" t="n"/>
      <s:c r="C3034" s="121" t="n"/>
      <s:c r="D3034" s="121" t="n"/>
      <s:c r="E3034" s="122" t="n"/>
    </s:row>
    <s:row r="3035" hidden="1" ht="1" customHeight="1">
      <s:c r="A3035" s="120" t="inlineStr"/>
      <s:c r="B3035" s="121" t="n"/>
      <s:c r="C3035" s="121" t="n"/>
      <s:c r="D3035" s="121" t="n"/>
      <s:c r="E3035" s="122" t="n"/>
    </s:row>
    <s:row r="3036" hidden="1" ht="1" customHeight="1">
      <s:c r="A3036" s="120" t="inlineStr"/>
      <s:c r="B3036" s="121" t="n"/>
      <s:c r="C3036" s="121" t="n"/>
      <s:c r="D3036" s="121" t="n"/>
      <s:c r="E3036" s="122" t="n"/>
    </s:row>
    <s:row r="3037" hidden="1" ht="1" customHeight="1">
      <s:c r="A3037" s="120" t="inlineStr"/>
      <s:c r="B3037" s="121" t="n"/>
      <s:c r="C3037" s="121" t="n"/>
      <s:c r="D3037" s="121" t="n"/>
      <s:c r="E3037" s="122" t="n"/>
    </s:row>
    <s:row r="3038" hidden="1" ht="1" customHeight="1">
      <s:c r="A3038" s="120" t="inlineStr"/>
      <s:c r="B3038" s="121" t="n"/>
      <s:c r="C3038" s="121" t="n"/>
      <s:c r="D3038" s="121" t="n"/>
      <s:c r="E3038" s="122" t="n"/>
    </s:row>
    <s:row r="3039" hidden="1" ht="1" customHeight="1">
      <s:c r="A3039" s="120" t="inlineStr"/>
      <s:c r="B3039" s="121" t="n"/>
      <s:c r="C3039" s="121" t="n"/>
      <s:c r="D3039" s="121" t="n"/>
      <s:c r="E3039" s="122" t="n"/>
    </s:row>
    <s:row r="3040" hidden="1" ht="1" customHeight="1">
      <s:c r="A3040" s="120" t="inlineStr"/>
      <s:c r="B3040" s="121" t="n"/>
      <s:c r="C3040" s="121" t="n"/>
      <s:c r="D3040" s="121" t="n"/>
      <s:c r="E3040" s="122" t="n"/>
    </s:row>
    <s:row r="3041" hidden="1" ht="1" customHeight="1">
      <s:c r="A3041" s="120" t="inlineStr"/>
      <s:c r="B3041" s="121" t="n"/>
      <s:c r="C3041" s="121" t="n"/>
      <s:c r="D3041" s="121" t="n"/>
      <s:c r="E3041" s="122" t="n"/>
    </s:row>
    <s:row r="3042" hidden="1" ht="1" customHeight="1">
      <s:c r="A3042" s="120" t="inlineStr"/>
      <s:c r="B3042" s="121" t="n"/>
      <s:c r="C3042" s="121" t="n"/>
      <s:c r="D3042" s="121" t="n"/>
      <s:c r="E3042" s="122" t="n"/>
    </s:row>
    <s:row r="3043" hidden="1" ht="1" customHeight="1">
      <s:c r="A3043" s="120" t="inlineStr"/>
      <s:c r="B3043" s="121" t="n"/>
      <s:c r="C3043" s="121" t="n"/>
      <s:c r="D3043" s="121" t="n"/>
      <s:c r="E3043" s="122" t="n"/>
    </s:row>
    <s:row r="3044" hidden="1" ht="1" customHeight="1">
      <s:c r="A3044" s="120" t="inlineStr"/>
      <s:c r="B3044" s="121" t="n"/>
      <s:c r="C3044" s="121" t="n"/>
      <s:c r="D3044" s="121" t="n"/>
      <s:c r="E3044" s="122" t="n"/>
    </s:row>
    <s:row r="3045" hidden="1" ht="1" customHeight="1">
      <s:c r="A3045" s="120" t="inlineStr"/>
      <s:c r="B3045" s="121" t="n"/>
      <s:c r="C3045" s="121" t="n"/>
      <s:c r="D3045" s="121" t="n"/>
      <s:c r="E3045" s="122" t="n"/>
    </s:row>
    <s:row r="3046" hidden="1" ht="1" customHeight="1">
      <s:c r="A3046" s="120" t="inlineStr"/>
      <s:c r="B3046" s="121" t="n"/>
      <s:c r="C3046" s="121" t="n"/>
      <s:c r="D3046" s="121" t="n"/>
      <s:c r="E3046" s="122" t="n"/>
    </s:row>
    <s:row r="3047" hidden="1" ht="1" customHeight="1">
      <s:c r="A3047" s="120" t="inlineStr"/>
      <s:c r="B3047" s="121" t="n"/>
      <s:c r="C3047" s="121" t="n"/>
      <s:c r="D3047" s="121" t="n"/>
      <s:c r="E3047" s="122" t="n"/>
    </s:row>
    <s:row r="3048" hidden="1" ht="1" customHeight="1">
      <s:c r="A3048" s="120" t="inlineStr"/>
      <s:c r="B3048" s="121" t="n"/>
      <s:c r="C3048" s="121" t="n"/>
      <s:c r="D3048" s="121" t="n"/>
      <s:c r="E3048" s="122" t="n"/>
    </s:row>
    <s:row r="3049" hidden="1" ht="1" customHeight="1">
      <s:c r="A3049" s="120" t="inlineStr"/>
      <s:c r="B3049" s="121" t="n"/>
      <s:c r="C3049" s="121" t="n"/>
      <s:c r="D3049" s="121" t="n"/>
      <s:c r="E3049" s="122" t="n"/>
    </s:row>
    <s:row r="3050" hidden="1" ht="1" customHeight="1">
      <s:c r="A3050" s="120" t="inlineStr"/>
      <s:c r="B3050" s="121" t="n"/>
      <s:c r="C3050" s="121" t="n"/>
      <s:c r="D3050" s="121" t="n"/>
      <s:c r="E3050" s="122" t="n"/>
    </s:row>
    <s:row r="3051" hidden="1" ht="1" customHeight="1">
      <s:c r="A3051" s="120" t="inlineStr"/>
      <s:c r="B3051" s="121" t="n"/>
      <s:c r="C3051" s="121" t="n"/>
      <s:c r="D3051" s="121" t="n"/>
      <s:c r="E3051" s="122" t="n"/>
    </s:row>
    <s:row r="3052" hidden="1" ht="1" customHeight="1">
      <s:c r="A3052" s="120" t="inlineStr"/>
      <s:c r="B3052" s="121" t="n"/>
      <s:c r="C3052" s="121" t="n"/>
      <s:c r="D3052" s="121" t="n"/>
      <s:c r="E3052" s="122" t="n"/>
    </s:row>
    <s:row r="3053" hidden="1" ht="1" customHeight="1">
      <s:c r="A3053" s="120" t="inlineStr"/>
      <s:c r="B3053" s="121" t="n"/>
      <s:c r="C3053" s="121" t="n"/>
      <s:c r="D3053" s="121" t="n"/>
      <s:c r="E3053" s="122" t="n"/>
    </s:row>
    <s:row r="3054" hidden="1" ht="1" customHeight="1">
      <s:c r="A3054" s="120" t="inlineStr"/>
      <s:c r="B3054" s="121" t="n"/>
      <s:c r="C3054" s="121" t="n"/>
      <s:c r="D3054" s="121" t="n"/>
      <s:c r="E3054" s="122" t="n"/>
    </s:row>
    <s:row r="3055" hidden="1" ht="1" customHeight="1">
      <s:c r="A3055" s="120" t="inlineStr"/>
      <s:c r="B3055" s="121" t="n"/>
      <s:c r="C3055" s="121" t="n"/>
      <s:c r="D3055" s="121" t="n"/>
      <s:c r="E3055" s="122" t="n"/>
    </s:row>
    <s:row r="3056" hidden="1" ht="1" customHeight="1">
      <s:c r="A3056" s="120" t="inlineStr"/>
      <s:c r="B3056" s="121" t="n"/>
      <s:c r="C3056" s="121" t="n"/>
      <s:c r="D3056" s="121" t="n"/>
      <s:c r="E3056" s="122" t="n"/>
    </s:row>
    <s:row r="3057" hidden="1" ht="1" customHeight="1">
      <s:c r="A3057" s="120" t="inlineStr"/>
      <s:c r="B3057" s="121" t="n"/>
      <s:c r="C3057" s="121" t="n"/>
      <s:c r="D3057" s="121" t="n"/>
      <s:c r="E3057" s="122" t="n"/>
    </s:row>
    <s:row r="3058" hidden="1" ht="1" customHeight="1">
      <s:c r="A3058" s="120" t="inlineStr"/>
      <s:c r="B3058" s="121" t="n"/>
      <s:c r="C3058" s="121" t="n"/>
      <s:c r="D3058" s="121" t="n"/>
      <s:c r="E3058" s="122" t="n"/>
    </s:row>
    <s:row r="3059" hidden="1" ht="1" customHeight="1">
      <s:c r="A3059" s="120" t="inlineStr"/>
      <s:c r="B3059" s="121" t="n"/>
      <s:c r="C3059" s="121" t="n"/>
      <s:c r="D3059" s="121" t="n"/>
      <s:c r="E3059" s="122" t="n"/>
    </s:row>
    <s:row r="3060" hidden="1" ht="1" customHeight="1">
      <s:c r="A3060" s="120" t="inlineStr"/>
      <s:c r="B3060" s="121" t="n"/>
      <s:c r="C3060" s="121" t="n"/>
      <s:c r="D3060" s="121" t="n"/>
      <s:c r="E3060" s="122" t="n"/>
    </s:row>
    <s:row r="3061" hidden="1" ht="1" customHeight="1">
      <s:c r="A3061" s="120" t="inlineStr"/>
      <s:c r="B3061" s="121" t="n"/>
      <s:c r="C3061" s="121" t="n"/>
      <s:c r="D3061" s="121" t="n"/>
      <s:c r="E3061" s="122" t="n"/>
    </s:row>
    <s:row r="3062" hidden="1" ht="1" customHeight="1">
      <s:c r="A3062" s="120" t="inlineStr"/>
      <s:c r="B3062" s="121" t="n"/>
      <s:c r="C3062" s="121" t="n"/>
      <s:c r="D3062" s="121" t="n"/>
      <s:c r="E3062" s="122" t="n"/>
    </s:row>
    <s:row r="3063" hidden="1" ht="1" customHeight="1">
      <s:c r="A3063" s="120" t="inlineStr"/>
      <s:c r="B3063" s="121" t="n"/>
      <s:c r="C3063" s="121" t="n"/>
      <s:c r="D3063" s="121" t="n"/>
      <s:c r="E3063" s="122" t="n"/>
    </s:row>
    <s:row r="3064" hidden="1" ht="1" customHeight="1">
      <s:c r="A3064" s="120" t="inlineStr"/>
      <s:c r="B3064" s="121" t="n"/>
      <s:c r="C3064" s="121" t="n"/>
      <s:c r="D3064" s="121" t="n"/>
      <s:c r="E3064" s="122" t="n"/>
    </s:row>
    <s:row r="3065" hidden="1" ht="1" customHeight="1">
      <s:c r="A3065" s="120" t="inlineStr"/>
      <s:c r="B3065" s="121" t="n"/>
      <s:c r="C3065" s="121" t="n"/>
      <s:c r="D3065" s="121" t="n"/>
      <s:c r="E3065" s="122" t="n"/>
    </s:row>
    <s:row r="3066" hidden="1" ht="1" customHeight="1">
      <s:c r="A3066" s="120" t="inlineStr"/>
      <s:c r="B3066" s="121" t="n"/>
      <s:c r="C3066" s="121" t="n"/>
      <s:c r="D3066" s="121" t="n"/>
      <s:c r="E3066" s="122" t="n"/>
    </s:row>
    <s:row r="3067" hidden="1" ht="1" customHeight="1">
      <s:c r="A3067" s="120" t="inlineStr"/>
      <s:c r="B3067" s="121" t="n"/>
      <s:c r="C3067" s="121" t="n"/>
      <s:c r="D3067" s="121" t="n"/>
      <s:c r="E3067" s="122" t="n"/>
    </s:row>
    <s:row r="3068" hidden="1" ht="1" customHeight="1">
      <s:c r="A3068" s="120" t="inlineStr"/>
      <s:c r="B3068" s="121" t="n"/>
      <s:c r="C3068" s="121" t="n"/>
      <s:c r="D3068" s="121" t="n"/>
      <s:c r="E3068" s="122" t="n"/>
    </s:row>
    <s:row r="3069" hidden="1" ht="1" customHeight="1">
      <s:c r="A3069" s="120" t="inlineStr"/>
      <s:c r="B3069" s="121" t="n"/>
      <s:c r="C3069" s="121" t="n"/>
      <s:c r="D3069" s="121" t="n"/>
      <s:c r="E3069" s="122" t="n"/>
    </s:row>
    <s:row r="3070" hidden="1" ht="1" customHeight="1">
      <s:c r="A3070" s="120" t="inlineStr"/>
      <s:c r="B3070" s="121" t="n"/>
      <s:c r="C3070" s="121" t="n"/>
      <s:c r="D3070" s="121" t="n"/>
      <s:c r="E3070" s="122" t="n"/>
    </s:row>
    <s:row r="3071" hidden="1" ht="1" customHeight="1">
      <s:c r="A3071" s="120" t="inlineStr"/>
      <s:c r="B3071" s="121" t="n"/>
      <s:c r="C3071" s="121" t="n"/>
      <s:c r="D3071" s="121" t="n"/>
      <s:c r="E3071" s="122" t="n"/>
    </s:row>
    <s:row r="3072" hidden="1" ht="1" customHeight="1">
      <s:c r="A3072" s="120" t="inlineStr"/>
      <s:c r="B3072" s="121" t="n"/>
      <s:c r="C3072" s="121" t="n"/>
      <s:c r="D3072" s="121" t="n"/>
      <s:c r="E3072" s="122" t="n"/>
    </s:row>
    <s:row r="3073" hidden="1" ht="1" customHeight="1">
      <s:c r="A3073" s="120" t="inlineStr"/>
      <s:c r="B3073" s="121" t="n"/>
      <s:c r="C3073" s="121" t="n"/>
      <s:c r="D3073" s="121" t="n"/>
      <s:c r="E3073" s="122" t="n"/>
    </s:row>
    <s:row r="3074" hidden="1" ht="1" customHeight="1">
      <s:c r="A3074" s="120" t="inlineStr"/>
      <s:c r="B3074" s="121" t="n"/>
      <s:c r="C3074" s="121" t="n"/>
      <s:c r="D3074" s="121" t="n"/>
      <s:c r="E3074" s="122" t="n"/>
    </s:row>
    <s:row r="3075" hidden="1" ht="1" customHeight="1">
      <s:c r="A3075" s="120" t="inlineStr"/>
      <s:c r="B3075" s="121" t="n"/>
      <s:c r="C3075" s="121" t="n"/>
      <s:c r="D3075" s="121" t="n"/>
      <s:c r="E3075" s="122" t="n"/>
    </s:row>
    <s:row r="3076" hidden="1" ht="1" customHeight="1">
      <s:c r="A3076" s="120" t="inlineStr"/>
      <s:c r="B3076" s="121" t="n"/>
      <s:c r="C3076" s="121" t="n"/>
      <s:c r="D3076" s="121" t="n"/>
      <s:c r="E3076" s="122" t="n"/>
    </s:row>
    <s:row r="3077" hidden="1" ht="1" customHeight="1">
      <s:c r="A3077" s="120" t="inlineStr"/>
      <s:c r="B3077" s="121" t="n"/>
      <s:c r="C3077" s="121" t="n"/>
      <s:c r="D3077" s="121" t="n"/>
      <s:c r="E3077" s="122" t="n"/>
    </s:row>
    <s:row r="3078" hidden="1" ht="1" customHeight="1">
      <s:c r="A3078" s="120" t="inlineStr"/>
      <s:c r="B3078" s="121" t="n"/>
      <s:c r="C3078" s="121" t="n"/>
      <s:c r="D3078" s="121" t="n"/>
      <s:c r="E3078" s="122" t="n"/>
    </s:row>
    <s:row r="3079" hidden="1" ht="1" customHeight="1">
      <s:c r="A3079" s="120" t="inlineStr"/>
      <s:c r="B3079" s="121" t="n"/>
      <s:c r="C3079" s="121" t="n"/>
      <s:c r="D3079" s="121" t="n"/>
      <s:c r="E3079" s="122" t="n"/>
    </s:row>
    <s:row r="3080" hidden="1" ht="1" customHeight="1">
      <s:c r="A3080" s="120" t="inlineStr"/>
      <s:c r="B3080" s="121" t="n"/>
      <s:c r="C3080" s="121" t="n"/>
      <s:c r="D3080" s="121" t="n"/>
      <s:c r="E3080" s="122" t="n"/>
    </s:row>
    <s:row r="3081" hidden="1" ht="1" customHeight="1">
      <s:c r="A3081" s="120" t="inlineStr"/>
      <s:c r="B3081" s="121" t="n"/>
      <s:c r="C3081" s="121" t="n"/>
      <s:c r="D3081" s="121" t="n"/>
      <s:c r="E3081" s="122" t="n"/>
    </s:row>
    <s:row r="3082" hidden="1" ht="1" customHeight="1">
      <s:c r="A3082" s="120" t="inlineStr"/>
      <s:c r="B3082" s="121" t="n"/>
      <s:c r="C3082" s="121" t="n"/>
      <s:c r="D3082" s="121" t="n"/>
      <s:c r="E3082" s="122" t="n"/>
    </s:row>
    <s:row r="3083" hidden="1" ht="1" customHeight="1">
      <s:c r="A3083" s="120" t="inlineStr"/>
      <s:c r="B3083" s="121" t="n"/>
      <s:c r="C3083" s="121" t="n"/>
      <s:c r="D3083" s="121" t="n"/>
      <s:c r="E3083" s="122" t="n"/>
    </s:row>
    <s:row r="3084" hidden="1" ht="1" customHeight="1">
      <s:c r="A3084" s="120" t="inlineStr"/>
      <s:c r="B3084" s="121" t="n"/>
      <s:c r="C3084" s="121" t="n"/>
      <s:c r="D3084" s="121" t="n"/>
      <s:c r="E3084" s="122" t="n"/>
    </s:row>
    <s:row r="3085" hidden="1" ht="1" customHeight="1">
      <s:c r="A3085" s="120" t="inlineStr"/>
      <s:c r="B3085" s="121" t="n"/>
      <s:c r="C3085" s="121" t="n"/>
      <s:c r="D3085" s="121" t="n"/>
      <s:c r="E3085" s="122" t="n"/>
    </s:row>
    <s:row r="3086" hidden="1" ht="1" customHeight="1">
      <s:c r="A3086" s="120" t="inlineStr"/>
      <s:c r="B3086" s="121" t="n"/>
      <s:c r="C3086" s="121" t="n"/>
      <s:c r="D3086" s="121" t="n"/>
      <s:c r="E3086" s="122" t="n"/>
    </s:row>
    <s:row r="3087" hidden="1" ht="1" customHeight="1">
      <s:c r="A3087" s="120" t="inlineStr"/>
      <s:c r="B3087" s="121" t="n"/>
      <s:c r="C3087" s="121" t="n"/>
      <s:c r="D3087" s="121" t="n"/>
      <s:c r="E3087" s="122" t="n"/>
    </s:row>
    <s:row r="3088" hidden="1" ht="1" customHeight="1">
      <s:c r="A3088" s="120" t="inlineStr"/>
      <s:c r="B3088" s="121" t="n"/>
      <s:c r="C3088" s="121" t="n"/>
      <s:c r="D3088" s="121" t="n"/>
      <s:c r="E3088" s="122" t="n"/>
    </s:row>
    <s:row r="3089" hidden="1" ht="1" customHeight="1">
      <s:c r="A3089" s="120" t="inlineStr"/>
      <s:c r="B3089" s="121" t="n"/>
      <s:c r="C3089" s="121" t="n"/>
      <s:c r="D3089" s="121" t="n"/>
      <s:c r="E3089" s="122" t="n"/>
    </s:row>
    <s:row r="3090" hidden="1" ht="1" customHeight="1">
      <s:c r="A3090" s="120" t="inlineStr"/>
      <s:c r="B3090" s="121" t="n"/>
      <s:c r="C3090" s="121" t="n"/>
      <s:c r="D3090" s="121" t="n"/>
      <s:c r="E3090" s="122" t="n"/>
    </s:row>
    <s:row r="3091" hidden="1" ht="1" customHeight="1">
      <s:c r="A3091" s="120" t="inlineStr"/>
      <s:c r="B3091" s="121" t="n"/>
      <s:c r="C3091" s="121" t="n"/>
      <s:c r="D3091" s="121" t="n"/>
      <s:c r="E3091" s="122" t="n"/>
    </s:row>
    <s:row r="3092" hidden="1" ht="1" customHeight="1">
      <s:c r="A3092" s="120" t="inlineStr"/>
      <s:c r="B3092" s="121" t="n"/>
      <s:c r="C3092" s="121" t="n"/>
      <s:c r="D3092" s="121" t="n"/>
      <s:c r="E3092" s="122" t="n"/>
    </s:row>
    <s:row r="3093" hidden="1" ht="1" customHeight="1">
      <s:c r="A3093" s="120" t="inlineStr"/>
      <s:c r="B3093" s="121" t="n"/>
      <s:c r="C3093" s="121" t="n"/>
      <s:c r="D3093" s="121" t="n"/>
      <s:c r="E3093" s="122" t="n"/>
    </s:row>
    <s:row r="3094" hidden="1" ht="1" customHeight="1">
      <s:c r="A3094" s="120" t="inlineStr"/>
      <s:c r="B3094" s="121" t="n"/>
      <s:c r="C3094" s="121" t="n"/>
      <s:c r="D3094" s="121" t="n"/>
      <s:c r="E3094" s="122" t="n"/>
    </s:row>
    <s:row r="3095" hidden="1" ht="1" customHeight="1">
      <s:c r="A3095" s="120" t="inlineStr"/>
      <s:c r="B3095" s="121" t="n"/>
      <s:c r="C3095" s="121" t="n"/>
      <s:c r="D3095" s="121" t="n"/>
      <s:c r="E3095" s="122" t="n"/>
    </s:row>
    <s:row r="3096" hidden="1" ht="1" customHeight="1">
      <s:c r="A3096" s="120" t="inlineStr"/>
      <s:c r="B3096" s="121" t="n"/>
      <s:c r="C3096" s="121" t="n"/>
      <s:c r="D3096" s="121" t="n"/>
      <s:c r="E3096" s="122" t="n"/>
    </s:row>
    <s:row r="3097" hidden="1" ht="1" customHeight="1">
      <s:c r="A3097" s="120" t="inlineStr"/>
      <s:c r="B3097" s="121" t="n"/>
      <s:c r="C3097" s="121" t="n"/>
      <s:c r="D3097" s="121" t="n"/>
      <s:c r="E3097" s="122" t="n"/>
    </s:row>
    <s:row r="3098" hidden="1" ht="1" customHeight="1">
      <s:c r="A3098" s="120" t="inlineStr"/>
      <s:c r="B3098" s="121" t="n"/>
      <s:c r="C3098" s="121" t="n"/>
      <s:c r="D3098" s="121" t="n"/>
      <s:c r="E3098" s="122" t="n"/>
    </s:row>
    <s:row r="3099" hidden="1" ht="1" customHeight="1">
      <s:c r="A3099" s="120" t="inlineStr"/>
      <s:c r="B3099" s="121" t="n"/>
      <s:c r="C3099" s="121" t="n"/>
      <s:c r="D3099" s="121" t="n"/>
      <s:c r="E3099" s="122" t="n"/>
    </s:row>
    <s:row r="3100" hidden="1" ht="1" customHeight="1">
      <s:c r="A3100" s="120" t="inlineStr"/>
      <s:c r="B3100" s="121" t="n"/>
      <s:c r="C3100" s="121" t="n"/>
      <s:c r="D3100" s="121" t="n"/>
      <s:c r="E3100" s="122" t="n"/>
    </s:row>
    <s:row r="3101" hidden="1" ht="1" customHeight="1">
      <s:c r="A3101" s="120" t="inlineStr"/>
      <s:c r="B3101" s="121" t="n"/>
      <s:c r="C3101" s="121" t="n"/>
      <s:c r="D3101" s="121" t="n"/>
      <s:c r="E3101" s="122" t="n"/>
    </s:row>
    <s:row r="3102" hidden="1" ht="1" customHeight="1">
      <s:c r="A3102" s="120" t="inlineStr"/>
      <s:c r="B3102" s="121" t="n"/>
      <s:c r="C3102" s="121" t="n"/>
      <s:c r="D3102" s="121" t="n"/>
      <s:c r="E3102" s="122" t="n"/>
    </s:row>
    <s:row r="3103" hidden="1" ht="1" customHeight="1">
      <s:c r="A3103" s="120" t="inlineStr"/>
      <s:c r="B3103" s="121" t="n"/>
      <s:c r="C3103" s="121" t="n"/>
      <s:c r="D3103" s="121" t="n"/>
      <s:c r="E3103" s="122" t="n"/>
    </s:row>
    <s:row r="3104" hidden="1" ht="1" customHeight="1">
      <s:c r="A3104" s="120" t="inlineStr"/>
      <s:c r="B3104" s="121" t="n"/>
      <s:c r="C3104" s="121" t="n"/>
      <s:c r="D3104" s="121" t="n"/>
      <s:c r="E3104" s="122" t="n"/>
    </s:row>
    <s:row r="3105" hidden="1" ht="1" customHeight="1">
      <s:c r="A3105" s="120" t="inlineStr"/>
      <s:c r="B3105" s="121" t="n"/>
      <s:c r="C3105" s="121" t="n"/>
      <s:c r="D3105" s="121" t="n"/>
      <s:c r="E3105" s="122" t="n"/>
    </s:row>
    <s:row r="3106" hidden="1" ht="1" customHeight="1">
      <s:c r="A3106" s="120" t="inlineStr"/>
      <s:c r="B3106" s="121" t="n"/>
      <s:c r="C3106" s="121" t="n"/>
      <s:c r="D3106" s="121" t="n"/>
      <s:c r="E3106" s="122" t="n"/>
    </s:row>
    <s:row r="3107" hidden="1" ht="1" customHeight="1">
      <s:c r="A3107" s="120" t="inlineStr"/>
      <s:c r="B3107" s="121" t="n"/>
      <s:c r="C3107" s="121" t="n"/>
      <s:c r="D3107" s="121" t="n"/>
      <s:c r="E3107" s="122" t="n"/>
    </s:row>
    <s:row r="3108" hidden="1" ht="1" customHeight="1">
      <s:c r="A3108" s="120" t="inlineStr"/>
      <s:c r="B3108" s="121" t="n"/>
      <s:c r="C3108" s="121" t="n"/>
      <s:c r="D3108" s="121" t="n"/>
      <s:c r="E3108" s="122" t="n"/>
    </s:row>
    <s:row r="3109" hidden="1" ht="1" customHeight="1">
      <s:c r="A3109" s="120" t="inlineStr"/>
      <s:c r="B3109" s="121" t="n"/>
      <s:c r="C3109" s="121" t="n"/>
      <s:c r="D3109" s="121" t="n"/>
      <s:c r="E3109" s="122" t="n"/>
    </s:row>
    <s:row r="3110" hidden="1" ht="1" customHeight="1">
      <s:c r="A3110" s="120" t="inlineStr"/>
      <s:c r="B3110" s="121" t="n"/>
      <s:c r="C3110" s="121" t="n"/>
      <s:c r="D3110" s="121" t="n"/>
      <s:c r="E3110" s="122" t="n"/>
    </s:row>
    <s:row r="3111" hidden="1" ht="1" customHeight="1">
      <s:c r="A3111" s="120" t="inlineStr"/>
      <s:c r="B3111" s="121" t="n"/>
      <s:c r="C3111" s="121" t="n"/>
      <s:c r="D3111" s="121" t="n"/>
      <s:c r="E3111" s="122" t="n"/>
    </s:row>
    <s:row r="3112" hidden="1" ht="1" customHeight="1">
      <s:c r="A3112" s="120" t="inlineStr"/>
      <s:c r="B3112" s="121" t="n"/>
      <s:c r="C3112" s="121" t="n"/>
      <s:c r="D3112" s="121" t="n"/>
      <s:c r="E3112" s="122" t="n"/>
    </s:row>
    <s:row r="3113" hidden="1" ht="1" customHeight="1">
      <s:c r="A3113" s="120" t="inlineStr"/>
      <s:c r="B3113" s="121" t="n"/>
      <s:c r="C3113" s="121" t="n"/>
      <s:c r="D3113" s="121" t="n"/>
      <s:c r="E3113" s="122" t="n"/>
    </s:row>
    <s:row r="3114" hidden="1" ht="1" customHeight="1">
      <s:c r="A3114" s="120" t="inlineStr"/>
      <s:c r="B3114" s="121" t="n"/>
      <s:c r="C3114" s="121" t="n"/>
      <s:c r="D3114" s="121" t="n"/>
      <s:c r="E3114" s="122" t="n"/>
    </s:row>
    <s:row r="3115" hidden="1" ht="1" customHeight="1">
      <s:c r="A3115" s="120" t="inlineStr"/>
      <s:c r="B3115" s="121" t="n"/>
      <s:c r="C3115" s="121" t="n"/>
      <s:c r="D3115" s="121" t="n"/>
      <s:c r="E3115" s="122" t="n"/>
    </s:row>
    <s:row r="3116" hidden="1" ht="1" customHeight="1">
      <s:c r="A3116" s="120" t="inlineStr"/>
      <s:c r="B3116" s="121" t="n"/>
      <s:c r="C3116" s="121" t="n"/>
      <s:c r="D3116" s="121" t="n"/>
      <s:c r="E3116" s="122" t="n"/>
    </s:row>
    <s:row r="3117" hidden="1" ht="1" customHeight="1">
      <s:c r="A3117" s="120" t="inlineStr"/>
      <s:c r="B3117" s="121" t="n"/>
      <s:c r="C3117" s="121" t="n"/>
      <s:c r="D3117" s="121" t="n"/>
      <s:c r="E3117" s="122" t="n"/>
    </s:row>
    <s:row r="3118" hidden="1" ht="1" customHeight="1">
      <s:c r="A3118" s="120" t="inlineStr"/>
      <s:c r="B3118" s="121" t="n"/>
      <s:c r="C3118" s="121" t="n"/>
      <s:c r="D3118" s="121" t="n"/>
      <s:c r="E3118" s="122" t="n"/>
    </s:row>
    <s:row r="3119" hidden="1" ht="1" customHeight="1">
      <s:c r="A3119" s="120" t="inlineStr"/>
      <s:c r="B3119" s="121" t="n"/>
      <s:c r="C3119" s="121" t="n"/>
      <s:c r="D3119" s="121" t="n"/>
      <s:c r="E3119" s="122" t="n"/>
    </s:row>
    <s:row r="3120" hidden="1" ht="1" customHeight="1">
      <s:c r="A3120" s="120" t="inlineStr"/>
      <s:c r="B3120" s="121" t="n"/>
      <s:c r="C3120" s="121" t="n"/>
      <s:c r="D3120" s="121" t="n"/>
      <s:c r="E3120" s="122" t="n"/>
    </s:row>
    <s:row r="3121" hidden="1" ht="1" customHeight="1">
      <s:c r="A3121" s="120" t="inlineStr"/>
      <s:c r="B3121" s="121" t="n"/>
      <s:c r="C3121" s="121" t="n"/>
      <s:c r="D3121" s="121" t="n"/>
      <s:c r="E3121" s="122" t="n"/>
    </s:row>
    <s:row r="3122" hidden="1" ht="1" customHeight="1">
      <s:c r="A3122" s="120" t="inlineStr"/>
      <s:c r="B3122" s="121" t="n"/>
      <s:c r="C3122" s="121" t="n"/>
      <s:c r="D3122" s="121" t="n"/>
      <s:c r="E3122" s="122" t="n"/>
    </s:row>
    <s:row r="3123" hidden="1" ht="1" customHeight="1">
      <s:c r="A3123" s="120" t="inlineStr"/>
      <s:c r="B3123" s="121" t="n"/>
      <s:c r="C3123" s="121" t="n"/>
      <s:c r="D3123" s="121" t="n"/>
      <s:c r="E3123" s="122" t="n"/>
    </s:row>
    <s:row r="3124" hidden="1" ht="1" customHeight="1">
      <s:c r="A3124" s="120" t="inlineStr"/>
      <s:c r="B3124" s="121" t="n"/>
      <s:c r="C3124" s="121" t="n"/>
      <s:c r="D3124" s="121" t="n"/>
      <s:c r="E3124" s="122" t="n"/>
    </s:row>
    <s:row r="3125" hidden="1" ht="1" customHeight="1">
      <s:c r="A3125" s="120" t="inlineStr"/>
      <s:c r="B3125" s="121" t="n"/>
      <s:c r="C3125" s="121" t="n"/>
      <s:c r="D3125" s="121" t="n"/>
      <s:c r="E3125" s="122" t="n"/>
    </s:row>
    <s:row r="3126" hidden="1" ht="1" customHeight="1">
      <s:c r="A3126" s="120" t="inlineStr"/>
      <s:c r="B3126" s="121" t="n"/>
      <s:c r="C3126" s="121" t="n"/>
      <s:c r="D3126" s="121" t="n"/>
      <s:c r="E3126" s="122" t="n"/>
    </s:row>
    <s:row r="3127" hidden="1" ht="1" customHeight="1">
      <s:c r="A3127" s="120" t="inlineStr"/>
      <s:c r="B3127" s="121" t="n"/>
      <s:c r="C3127" s="121" t="n"/>
      <s:c r="D3127" s="121" t="n"/>
      <s:c r="E3127" s="122" t="n"/>
    </s:row>
    <s:row r="3128" hidden="1" ht="1" customHeight="1">
      <s:c r="A3128" s="120" t="inlineStr"/>
      <s:c r="B3128" s="121" t="n"/>
      <s:c r="C3128" s="121" t="n"/>
      <s:c r="D3128" s="121" t="n"/>
      <s:c r="E3128" s="122" t="n"/>
    </s:row>
    <s:row r="3129" hidden="1" ht="1" customHeight="1">
      <s:c r="A3129" s="120" t="inlineStr"/>
      <s:c r="B3129" s="121" t="n"/>
      <s:c r="C3129" s="121" t="n"/>
      <s:c r="D3129" s="121" t="n"/>
      <s:c r="E3129" s="122" t="n"/>
    </s:row>
    <s:row r="3130" hidden="1" ht="1" customHeight="1">
      <s:c r="A3130" s="120" t="inlineStr"/>
      <s:c r="B3130" s="121" t="n"/>
      <s:c r="C3130" s="121" t="n"/>
      <s:c r="D3130" s="121" t="n"/>
      <s:c r="E3130" s="122" t="n"/>
    </s:row>
    <s:row r="3131" hidden="1" ht="1" customHeight="1">
      <s:c r="A3131" s="120" t="inlineStr"/>
      <s:c r="B3131" s="121" t="n"/>
      <s:c r="C3131" s="121" t="n"/>
      <s:c r="D3131" s="121" t="n"/>
      <s:c r="E3131" s="122" t="n"/>
    </s:row>
    <s:row r="3132" hidden="1" ht="1" customHeight="1">
      <s:c r="A3132" s="120" t="inlineStr"/>
      <s:c r="B3132" s="121" t="n"/>
      <s:c r="C3132" s="121" t="n"/>
      <s:c r="D3132" s="121" t="n"/>
      <s:c r="E3132" s="122" t="n"/>
    </s:row>
    <s:row r="3133" hidden="1" ht="1" customHeight="1">
      <s:c r="A3133" s="120" t="inlineStr"/>
      <s:c r="B3133" s="121" t="n"/>
      <s:c r="C3133" s="121" t="n"/>
      <s:c r="D3133" s="121" t="n"/>
      <s:c r="E3133" s="122" t="n"/>
    </s:row>
    <s:row r="3134" hidden="1" ht="1" customHeight="1">
      <s:c r="A3134" s="120" t="inlineStr"/>
      <s:c r="B3134" s="121" t="n"/>
      <s:c r="C3134" s="121" t="n"/>
      <s:c r="D3134" s="121" t="n"/>
      <s:c r="E3134" s="122" t="n"/>
    </s:row>
    <s:row r="3135" hidden="1" ht="1" customHeight="1">
      <s:c r="A3135" s="120" t="inlineStr"/>
      <s:c r="B3135" s="121" t="n"/>
      <s:c r="C3135" s="121" t="n"/>
      <s:c r="D3135" s="121" t="n"/>
      <s:c r="E3135" s="122" t="n"/>
    </s:row>
    <s:row r="3136" hidden="1" ht="1" customHeight="1">
      <s:c r="A3136" s="120" t="inlineStr"/>
      <s:c r="B3136" s="121" t="n"/>
      <s:c r="C3136" s="121" t="n"/>
      <s:c r="D3136" s="121" t="n"/>
      <s:c r="E3136" s="122" t="n"/>
    </s:row>
    <s:row r="3137" hidden="1" ht="1" customHeight="1">
      <s:c r="A3137" s="120" t="inlineStr"/>
      <s:c r="B3137" s="121" t="n"/>
      <s:c r="C3137" s="121" t="n"/>
      <s:c r="D3137" s="121" t="n"/>
      <s:c r="E3137" s="122" t="n"/>
    </s:row>
    <s:row r="3138" hidden="1" ht="1" customHeight="1">
      <s:c r="A3138" s="120" t="inlineStr"/>
      <s:c r="B3138" s="121" t="n"/>
      <s:c r="C3138" s="121" t="n"/>
      <s:c r="D3138" s="121" t="n"/>
      <s:c r="E3138" s="122" t="n"/>
    </s:row>
    <s:row r="3139" hidden="1" ht="1" customHeight="1">
      <s:c r="A3139" s="120" t="inlineStr"/>
      <s:c r="B3139" s="121" t="n"/>
      <s:c r="C3139" s="121" t="n"/>
      <s:c r="D3139" s="121" t="n"/>
      <s:c r="E3139" s="122" t="n"/>
    </s:row>
    <s:row r="3140" hidden="1" ht="1" customHeight="1">
      <s:c r="A3140" s="120" t="inlineStr"/>
      <s:c r="B3140" s="121" t="n"/>
      <s:c r="C3140" s="121" t="n"/>
      <s:c r="D3140" s="121" t="n"/>
      <s:c r="E3140" s="122" t="n"/>
    </s:row>
    <s:row r="3141" hidden="1" ht="1" customHeight="1">
      <s:c r="A3141" s="120" t="inlineStr"/>
      <s:c r="B3141" s="121" t="n"/>
      <s:c r="C3141" s="121" t="n"/>
      <s:c r="D3141" s="121" t="n"/>
      <s:c r="E3141" s="122" t="n"/>
    </s:row>
    <s:row r="3142" hidden="1" ht="1" customHeight="1">
      <s:c r="A3142" s="120" t="inlineStr"/>
      <s:c r="B3142" s="121" t="n"/>
      <s:c r="C3142" s="121" t="n"/>
      <s:c r="D3142" s="121" t="n"/>
      <s:c r="E3142" s="122" t="n"/>
    </s:row>
    <s:row r="3143" hidden="1" ht="1" customHeight="1">
      <s:c r="A3143" s="120" t="inlineStr"/>
      <s:c r="B3143" s="121" t="n"/>
      <s:c r="C3143" s="121" t="n"/>
      <s:c r="D3143" s="121" t="n"/>
      <s:c r="E3143" s="122" t="n"/>
    </s:row>
    <s:row r="3144" hidden="1" ht="1" customHeight="1">
      <s:c r="A3144" s="120" t="inlineStr"/>
      <s:c r="B3144" s="121" t="n"/>
      <s:c r="C3144" s="121" t="n"/>
      <s:c r="D3144" s="121" t="n"/>
      <s:c r="E3144" s="122" t="n"/>
    </s:row>
    <s:row r="3145" hidden="1" ht="1" customHeight="1">
      <s:c r="A3145" s="120" t="inlineStr"/>
      <s:c r="B3145" s="121" t="n"/>
      <s:c r="C3145" s="121" t="n"/>
      <s:c r="D3145" s="121" t="n"/>
      <s:c r="E3145" s="122" t="n"/>
    </s:row>
    <s:row r="3146" hidden="1" ht="1" customHeight="1">
      <s:c r="A3146" s="120" t="inlineStr"/>
      <s:c r="B3146" s="121" t="n"/>
      <s:c r="C3146" s="121" t="n"/>
      <s:c r="D3146" s="121" t="n"/>
      <s:c r="E3146" s="122" t="n"/>
    </s:row>
    <s:row r="3147" hidden="1" ht="1" customHeight="1">
      <s:c r="A3147" s="120" t="inlineStr"/>
      <s:c r="B3147" s="121" t="n"/>
      <s:c r="C3147" s="121" t="n"/>
      <s:c r="D3147" s="121" t="n"/>
      <s:c r="E3147" s="122" t="n"/>
    </s:row>
    <s:row r="3148" hidden="1" ht="1" customHeight="1">
      <s:c r="A3148" s="120" t="inlineStr"/>
      <s:c r="B3148" s="121" t="n"/>
      <s:c r="C3148" s="121" t="n"/>
      <s:c r="D3148" s="121" t="n"/>
      <s:c r="E3148" s="122" t="n"/>
    </s:row>
    <s:row r="3149" hidden="1" ht="1" customHeight="1">
      <s:c r="A3149" s="120" t="inlineStr"/>
      <s:c r="B3149" s="121" t="n"/>
      <s:c r="C3149" s="121" t="n"/>
      <s:c r="D3149" s="121" t="n"/>
      <s:c r="E3149" s="122" t="n"/>
    </s:row>
    <s:row r="3150" hidden="1" ht="1" customHeight="1">
      <s:c r="A3150" s="120" t="inlineStr"/>
      <s:c r="B3150" s="121" t="n"/>
      <s:c r="C3150" s="121" t="n"/>
      <s:c r="D3150" s="121" t="n"/>
      <s:c r="E3150" s="122" t="n"/>
    </s:row>
    <s:row r="3151" hidden="1" ht="1" customHeight="1">
      <s:c r="A3151" s="120" t="inlineStr"/>
      <s:c r="B3151" s="121" t="n"/>
      <s:c r="C3151" s="121" t="n"/>
      <s:c r="D3151" s="121" t="n"/>
      <s:c r="E3151" s="122" t="n"/>
    </s:row>
    <s:row r="3152" hidden="1" ht="1" customHeight="1">
      <s:c r="A3152" s="120" t="inlineStr"/>
      <s:c r="B3152" s="121" t="n"/>
      <s:c r="C3152" s="121" t="n"/>
      <s:c r="D3152" s="121" t="n"/>
      <s:c r="E3152" s="122" t="n"/>
    </s:row>
    <s:row r="3153" hidden="1" ht="1" customHeight="1">
      <s:c r="A3153" s="120" t="inlineStr"/>
      <s:c r="B3153" s="121" t="n"/>
      <s:c r="C3153" s="121" t="n"/>
      <s:c r="D3153" s="121" t="n"/>
      <s:c r="E3153" s="122" t="n"/>
    </s:row>
    <s:row r="3154" hidden="1" ht="1" customHeight="1">
      <s:c r="A3154" s="120" t="inlineStr"/>
      <s:c r="B3154" s="121" t="n"/>
      <s:c r="C3154" s="121" t="n"/>
      <s:c r="D3154" s="121" t="n"/>
      <s:c r="E3154" s="122" t="n"/>
    </s:row>
    <s:row r="3155" hidden="1" ht="1" customHeight="1">
      <s:c r="A3155" s="120" t="inlineStr"/>
      <s:c r="B3155" s="121" t="n"/>
      <s:c r="C3155" s="121" t="n"/>
      <s:c r="D3155" s="121" t="n"/>
      <s:c r="E3155" s="122" t="n"/>
    </s:row>
    <s:row r="3156" hidden="1" ht="1" customHeight="1">
      <s:c r="A3156" s="120" t="inlineStr"/>
      <s:c r="B3156" s="121" t="n"/>
      <s:c r="C3156" s="121" t="n"/>
      <s:c r="D3156" s="121" t="n"/>
      <s:c r="E3156" s="122" t="n"/>
    </s:row>
    <s:row r="3157" hidden="1" ht="1" customHeight="1">
      <s:c r="A3157" s="120" t="inlineStr"/>
      <s:c r="B3157" s="121" t="n"/>
      <s:c r="C3157" s="121" t="n"/>
      <s:c r="D3157" s="121" t="n"/>
      <s:c r="E3157" s="122" t="n"/>
    </s:row>
    <s:row r="3158" hidden="1" ht="1" customHeight="1">
      <s:c r="A3158" s="120" t="inlineStr"/>
      <s:c r="B3158" s="121" t="n"/>
      <s:c r="C3158" s="121" t="n"/>
      <s:c r="D3158" s="121" t="n"/>
      <s:c r="E3158" s="122" t="n"/>
    </s:row>
    <s:row r="3159" hidden="1" ht="1" customHeight="1">
      <s:c r="A3159" s="120" t="inlineStr"/>
      <s:c r="B3159" s="121" t="n"/>
      <s:c r="C3159" s="121" t="n"/>
      <s:c r="D3159" s="121" t="n"/>
      <s:c r="E3159" s="122" t="n"/>
    </s:row>
    <s:row r="3160" hidden="1" ht="1" customHeight="1">
      <s:c r="A3160" s="120" t="inlineStr"/>
      <s:c r="B3160" s="121" t="n"/>
      <s:c r="C3160" s="121" t="n"/>
      <s:c r="D3160" s="121" t="n"/>
      <s:c r="E3160" s="122" t="n"/>
    </s:row>
    <s:row r="3161" hidden="1" ht="1" customHeight="1">
      <s:c r="A3161" s="120" t="inlineStr"/>
      <s:c r="B3161" s="121" t="n"/>
      <s:c r="C3161" s="121" t="n"/>
      <s:c r="D3161" s="121" t="n"/>
      <s:c r="E3161" s="122" t="n"/>
    </s:row>
    <s:row r="3162" hidden="1" ht="1" customHeight="1">
      <s:c r="A3162" s="120" t="inlineStr"/>
      <s:c r="B3162" s="121" t="n"/>
      <s:c r="C3162" s="121" t="n"/>
      <s:c r="D3162" s="121" t="n"/>
      <s:c r="E3162" s="122" t="n"/>
    </s:row>
    <s:row r="3163" hidden="1" ht="1" customHeight="1">
      <s:c r="A3163" s="120" t="inlineStr"/>
      <s:c r="B3163" s="121" t="n"/>
      <s:c r="C3163" s="121" t="n"/>
      <s:c r="D3163" s="121" t="n"/>
      <s:c r="E3163" s="122" t="n"/>
    </s:row>
    <s:row r="3164" hidden="1" ht="1" customHeight="1">
      <s:c r="A3164" s="120" t="inlineStr"/>
      <s:c r="B3164" s="121" t="n"/>
      <s:c r="C3164" s="121" t="n"/>
      <s:c r="D3164" s="121" t="n"/>
      <s:c r="E3164" s="122" t="n"/>
    </s:row>
    <s:row r="3165" hidden="1" ht="1" customHeight="1">
      <s:c r="A3165" s="120" t="inlineStr"/>
      <s:c r="B3165" s="121" t="n"/>
      <s:c r="C3165" s="121" t="n"/>
      <s:c r="D3165" s="121" t="n"/>
      <s:c r="E3165" s="122" t="n"/>
    </s:row>
    <s:row r="3166" hidden="1" ht="1" customHeight="1">
      <s:c r="A3166" s="120" t="inlineStr"/>
      <s:c r="B3166" s="121" t="n"/>
      <s:c r="C3166" s="121" t="n"/>
      <s:c r="D3166" s="121" t="n"/>
      <s:c r="E3166" s="122" t="n"/>
    </s:row>
    <s:row r="3167" hidden="1" ht="1" customHeight="1">
      <s:c r="A3167" s="120" t="inlineStr"/>
      <s:c r="B3167" s="121" t="n"/>
      <s:c r="C3167" s="121" t="n"/>
      <s:c r="D3167" s="121" t="n"/>
      <s:c r="E3167" s="122" t="n"/>
    </s:row>
    <s:row r="3168" hidden="1" ht="1" customHeight="1">
      <s:c r="A3168" s="120" t="inlineStr"/>
      <s:c r="B3168" s="121" t="n"/>
      <s:c r="C3168" s="121" t="n"/>
      <s:c r="D3168" s="121" t="n"/>
      <s:c r="E3168" s="122" t="n"/>
    </s:row>
    <s:row r="3169" hidden="1" ht="1" customHeight="1">
      <s:c r="A3169" s="120" t="inlineStr"/>
      <s:c r="B3169" s="121" t="n"/>
      <s:c r="C3169" s="121" t="n"/>
      <s:c r="D3169" s="121" t="n"/>
      <s:c r="E3169" s="122" t="n"/>
    </s:row>
    <s:row r="3170" hidden="1" ht="1" customHeight="1">
      <s:c r="A3170" s="120" t="inlineStr"/>
      <s:c r="B3170" s="121" t="n"/>
      <s:c r="C3170" s="121" t="n"/>
      <s:c r="D3170" s="121" t="n"/>
      <s:c r="E3170" s="122" t="n"/>
    </s:row>
    <s:row r="3171" hidden="1" ht="1" customHeight="1">
      <s:c r="A3171" s="120" t="inlineStr"/>
      <s:c r="B3171" s="121" t="n"/>
      <s:c r="C3171" s="121" t="n"/>
      <s:c r="D3171" s="121" t="n"/>
      <s:c r="E3171" s="122" t="n"/>
    </s:row>
    <s:row r="3172" hidden="1" ht="1" customHeight="1">
      <s:c r="A3172" s="120" t="inlineStr"/>
      <s:c r="B3172" s="121" t="n"/>
      <s:c r="C3172" s="121" t="n"/>
      <s:c r="D3172" s="121" t="n"/>
      <s:c r="E3172" s="122" t="n"/>
    </s:row>
    <s:row r="3173" hidden="1" ht="1" customHeight="1">
      <s:c r="A3173" s="120" t="inlineStr"/>
      <s:c r="B3173" s="121" t="n"/>
      <s:c r="C3173" s="121" t="n"/>
      <s:c r="D3173" s="121" t="n"/>
      <s:c r="E3173" s="122" t="n"/>
    </s:row>
    <s:row r="3174" hidden="1" ht="1" customHeight="1">
      <s:c r="A3174" s="120" t="inlineStr"/>
      <s:c r="B3174" s="121" t="n"/>
      <s:c r="C3174" s="121" t="n"/>
      <s:c r="D3174" s="121" t="n"/>
      <s:c r="E3174" s="122" t="n"/>
    </s:row>
    <s:row r="3175" hidden="1" ht="1" customHeight="1">
      <s:c r="A3175" s="120" t="inlineStr"/>
      <s:c r="B3175" s="121" t="n"/>
      <s:c r="C3175" s="121" t="n"/>
      <s:c r="D3175" s="121" t="n"/>
      <s:c r="E3175" s="122" t="n"/>
    </s:row>
    <s:row r="3176" hidden="1" ht="1" customHeight="1">
      <s:c r="A3176" s="120" t="inlineStr"/>
      <s:c r="B3176" s="121" t="n"/>
      <s:c r="C3176" s="121" t="n"/>
      <s:c r="D3176" s="121" t="n"/>
      <s:c r="E3176" s="122" t="n"/>
    </s:row>
    <s:row r="3177" hidden="1" ht="1" customHeight="1">
      <s:c r="A3177" s="120" t="inlineStr"/>
      <s:c r="B3177" s="121" t="n"/>
      <s:c r="C3177" s="121" t="n"/>
      <s:c r="D3177" s="121" t="n"/>
      <s:c r="E3177" s="122" t="n"/>
    </s:row>
    <s:row r="3178" hidden="1" ht="1" customHeight="1">
      <s:c r="A3178" s="120" t="inlineStr"/>
      <s:c r="B3178" s="121" t="n"/>
      <s:c r="C3178" s="121" t="n"/>
      <s:c r="D3178" s="121" t="n"/>
      <s:c r="E3178" s="122" t="n"/>
    </s:row>
    <s:row r="3179" hidden="1" ht="1" customHeight="1">
      <s:c r="A3179" s="120" t="inlineStr"/>
      <s:c r="B3179" s="121" t="n"/>
      <s:c r="C3179" s="121" t="n"/>
      <s:c r="D3179" s="121" t="n"/>
      <s:c r="E3179" s="122" t="n"/>
    </s:row>
    <s:row r="3180" hidden="1" ht="1" customHeight="1">
      <s:c r="A3180" s="120" t="inlineStr"/>
      <s:c r="B3180" s="121" t="n"/>
      <s:c r="C3180" s="121" t="n"/>
      <s:c r="D3180" s="121" t="n"/>
      <s:c r="E3180" s="122" t="n"/>
    </s:row>
    <s:row r="3181" hidden="1" ht="1" customHeight="1">
      <s:c r="A3181" s="120" t="inlineStr"/>
      <s:c r="B3181" s="121" t="n"/>
      <s:c r="C3181" s="121" t="n"/>
      <s:c r="D3181" s="121" t="n"/>
      <s:c r="E3181" s="122" t="n"/>
    </s:row>
    <s:row r="3182" hidden="1" ht="1" customHeight="1">
      <s:c r="A3182" s="120" t="inlineStr"/>
      <s:c r="B3182" s="121" t="n"/>
      <s:c r="C3182" s="121" t="n"/>
      <s:c r="D3182" s="121" t="n"/>
      <s:c r="E3182" s="122" t="n"/>
    </s:row>
    <s:row r="3183" hidden="1" ht="1" customHeight="1">
      <s:c r="A3183" s="120" t="inlineStr"/>
      <s:c r="B3183" s="121" t="n"/>
      <s:c r="C3183" s="121" t="n"/>
      <s:c r="D3183" s="121" t="n"/>
      <s:c r="E3183" s="122" t="n"/>
    </s:row>
    <s:row r="3184" hidden="1" ht="1" customHeight="1">
      <s:c r="A3184" s="120" t="inlineStr"/>
      <s:c r="B3184" s="121" t="n"/>
      <s:c r="C3184" s="121" t="n"/>
      <s:c r="D3184" s="121" t="n"/>
      <s:c r="E3184" s="122" t="n"/>
    </s:row>
    <s:row r="3185" hidden="1" ht="1" customHeight="1">
      <s:c r="A3185" s="120" t="inlineStr"/>
      <s:c r="B3185" s="121" t="n"/>
      <s:c r="C3185" s="121" t="n"/>
      <s:c r="D3185" s="121" t="n"/>
      <s:c r="E3185" s="122" t="n"/>
    </s:row>
    <s:row r="3186" hidden="1" ht="1" customHeight="1">
      <s:c r="A3186" s="120" t="inlineStr"/>
      <s:c r="B3186" s="121" t="n"/>
      <s:c r="C3186" s="121" t="n"/>
      <s:c r="D3186" s="121" t="n"/>
      <s:c r="E3186" s="122" t="n"/>
    </s:row>
    <s:row r="3187" hidden="1" ht="1" customHeight="1">
      <s:c r="A3187" s="120" t="inlineStr"/>
      <s:c r="B3187" s="121" t="n"/>
      <s:c r="C3187" s="121" t="n"/>
      <s:c r="D3187" s="121" t="n"/>
      <s:c r="E3187" s="122" t="n"/>
    </s:row>
    <s:row r="3188" hidden="1" ht="1" customHeight="1">
      <s:c r="A3188" s="120" t="inlineStr"/>
      <s:c r="B3188" s="121" t="n"/>
      <s:c r="C3188" s="121" t="n"/>
      <s:c r="D3188" s="121" t="n"/>
      <s:c r="E3188" s="122" t="n"/>
    </s:row>
    <s:row r="3189" hidden="1" ht="1" customHeight="1">
      <s:c r="A3189" s="120" t="inlineStr"/>
      <s:c r="B3189" s="121" t="n"/>
      <s:c r="C3189" s="121" t="n"/>
      <s:c r="D3189" s="121" t="n"/>
      <s:c r="E3189" s="122" t="n"/>
    </s:row>
    <s:row r="3190" hidden="1" ht="1" customHeight="1">
      <s:c r="A3190" s="120" t="inlineStr"/>
      <s:c r="B3190" s="121" t="n"/>
      <s:c r="C3190" s="121" t="n"/>
      <s:c r="D3190" s="121" t="n"/>
      <s:c r="E3190" s="122" t="n"/>
    </s:row>
    <s:row r="3191" hidden="1" ht="1" customHeight="1">
      <s:c r="A3191" s="120" t="inlineStr"/>
      <s:c r="B3191" s="121" t="n"/>
      <s:c r="C3191" s="121" t="n"/>
      <s:c r="D3191" s="121" t="n"/>
      <s:c r="E3191" s="122" t="n"/>
    </s:row>
    <s:row r="3192" hidden="1" ht="1" customHeight="1">
      <s:c r="A3192" s="120" t="inlineStr"/>
      <s:c r="B3192" s="121" t="n"/>
      <s:c r="C3192" s="121" t="n"/>
      <s:c r="D3192" s="121" t="n"/>
      <s:c r="E3192" s="122" t="n"/>
    </s:row>
    <s:row r="3193" hidden="1" ht="1" customHeight="1">
      <s:c r="A3193" s="120" t="inlineStr"/>
      <s:c r="B3193" s="121" t="n"/>
      <s:c r="C3193" s="121" t="n"/>
      <s:c r="D3193" s="121" t="n"/>
      <s:c r="E3193" s="122" t="n"/>
    </s:row>
    <s:row r="3194" hidden="1" ht="1" customHeight="1">
      <s:c r="A3194" s="120" t="inlineStr"/>
      <s:c r="B3194" s="121" t="n"/>
      <s:c r="C3194" s="121" t="n"/>
      <s:c r="D3194" s="121" t="n"/>
      <s:c r="E3194" s="122" t="n"/>
    </s:row>
    <s:row r="3195" hidden="1" ht="1" customHeight="1">
      <s:c r="A3195" s="120" t="inlineStr"/>
      <s:c r="B3195" s="121" t="n"/>
      <s:c r="C3195" s="121" t="n"/>
      <s:c r="D3195" s="121" t="n"/>
      <s:c r="E3195" s="122" t="n"/>
    </s:row>
    <s:row r="3196" hidden="1" ht="1" customHeight="1">
      <s:c r="A3196" s="120" t="inlineStr"/>
      <s:c r="B3196" s="121" t="n"/>
      <s:c r="C3196" s="121" t="n"/>
      <s:c r="D3196" s="121" t="n"/>
      <s:c r="E3196" s="122" t="n"/>
    </s:row>
    <s:row r="3197" hidden="1" ht="1" customHeight="1">
      <s:c r="A3197" s="120" t="inlineStr"/>
      <s:c r="B3197" s="121" t="n"/>
      <s:c r="C3197" s="121" t="n"/>
      <s:c r="D3197" s="121" t="n"/>
      <s:c r="E3197" s="122" t="n"/>
    </s:row>
    <s:row r="3198" hidden="1" ht="1" customHeight="1">
      <s:c r="A3198" s="120" t="inlineStr"/>
      <s:c r="B3198" s="121" t="n"/>
      <s:c r="C3198" s="121" t="n"/>
      <s:c r="D3198" s="121" t="n"/>
      <s:c r="E3198" s="122" t="n"/>
    </s:row>
    <s:row r="3199" hidden="1" ht="1" customHeight="1">
      <s:c r="A3199" s="120" t="inlineStr"/>
      <s:c r="B3199" s="121" t="n"/>
      <s:c r="C3199" s="121" t="n"/>
      <s:c r="D3199" s="121" t="n"/>
      <s:c r="E3199" s="122" t="n"/>
    </s:row>
    <s:row r="3200" hidden="1" ht="1" customHeight="1">
      <s:c r="A3200" s="120" t="inlineStr"/>
      <s:c r="B3200" s="121" t="n"/>
      <s:c r="C3200" s="121" t="n"/>
      <s:c r="D3200" s="121" t="n"/>
      <s:c r="E3200" s="122" t="n"/>
    </s:row>
    <s:row r="3201" hidden="1" ht="1" customHeight="1">
      <s:c r="A3201" s="120" t="inlineStr"/>
      <s:c r="B3201" s="121" t="n"/>
      <s:c r="C3201" s="121" t="n"/>
      <s:c r="D3201" s="121" t="n"/>
      <s:c r="E3201" s="122" t="n"/>
    </s:row>
    <s:row r="3202" hidden="1" ht="1" customHeight="1">
      <s:c r="A3202" s="120" t="inlineStr"/>
      <s:c r="B3202" s="121" t="n"/>
      <s:c r="C3202" s="121" t="n"/>
      <s:c r="D3202" s="121" t="n"/>
      <s:c r="E3202" s="122" t="n"/>
    </s:row>
    <s:row r="3203" hidden="1" ht="1" customHeight="1">
      <s:c r="A3203" s="120" t="inlineStr"/>
      <s:c r="B3203" s="121" t="n"/>
      <s:c r="C3203" s="121" t="n"/>
      <s:c r="D3203" s="121" t="n"/>
      <s:c r="E3203" s="122" t="n"/>
    </s:row>
    <s:row r="3204" hidden="1" ht="1" customHeight="1">
      <s:c r="A3204" s="120" t="inlineStr"/>
      <s:c r="B3204" s="121" t="n"/>
      <s:c r="C3204" s="121" t="n"/>
      <s:c r="D3204" s="121" t="n"/>
      <s:c r="E3204" s="122" t="n"/>
    </s:row>
    <s:row r="3205" hidden="1" ht="1" customHeight="1">
      <s:c r="A3205" s="120" t="inlineStr"/>
      <s:c r="B3205" s="121" t="n"/>
      <s:c r="C3205" s="121" t="n"/>
      <s:c r="D3205" s="121" t="n"/>
      <s:c r="E3205" s="122" t="n"/>
    </s:row>
    <s:row r="3206" hidden="1" ht="1" customHeight="1">
      <s:c r="A3206" s="120" t="inlineStr"/>
      <s:c r="B3206" s="121" t="n"/>
      <s:c r="C3206" s="121" t="n"/>
      <s:c r="D3206" s="121" t="n"/>
      <s:c r="E3206" s="122" t="n"/>
    </s:row>
    <s:row r="3207" hidden="1" ht="1" customHeight="1">
      <s:c r="A3207" s="120" t="inlineStr"/>
      <s:c r="B3207" s="121" t="n"/>
      <s:c r="C3207" s="121" t="n"/>
      <s:c r="D3207" s="121" t="n"/>
      <s:c r="E3207" s="122" t="n"/>
    </s:row>
    <s:row r="3208" hidden="1" ht="1" customHeight="1">
      <s:c r="A3208" s="120" t="inlineStr"/>
      <s:c r="B3208" s="121" t="n"/>
      <s:c r="C3208" s="121" t="n"/>
      <s:c r="D3208" s="121" t="n"/>
      <s:c r="E3208" s="122" t="n"/>
    </s:row>
    <s:row r="3209" hidden="1" ht="1" customHeight="1">
      <s:c r="A3209" s="120" t="inlineStr"/>
      <s:c r="B3209" s="121" t="n"/>
      <s:c r="C3209" s="121" t="n"/>
      <s:c r="D3209" s="121" t="n"/>
      <s:c r="E3209" s="122" t="n"/>
    </s:row>
    <s:row r="3210" hidden="1" ht="1" customHeight="1">
      <s:c r="A3210" s="120" t="inlineStr"/>
      <s:c r="B3210" s="121" t="n"/>
      <s:c r="C3210" s="121" t="n"/>
      <s:c r="D3210" s="121" t="n"/>
      <s:c r="E3210" s="122" t="n"/>
    </s:row>
    <s:row r="3211" hidden="1" ht="1" customHeight="1">
      <s:c r="A3211" s="120" t="inlineStr"/>
      <s:c r="B3211" s="121" t="n"/>
      <s:c r="C3211" s="121" t="n"/>
      <s:c r="D3211" s="121" t="n"/>
      <s:c r="E3211" s="122" t="n"/>
    </s:row>
    <s:row r="3212" hidden="1" ht="1" customHeight="1">
      <s:c r="A3212" s="120" t="inlineStr"/>
      <s:c r="B3212" s="121" t="n"/>
      <s:c r="C3212" s="121" t="n"/>
      <s:c r="D3212" s="121" t="n"/>
      <s:c r="E3212" s="122" t="n"/>
    </s:row>
    <s:row r="3213" hidden="1" ht="1" customHeight="1">
      <s:c r="A3213" s="120" t="inlineStr"/>
      <s:c r="B3213" s="121" t="n"/>
      <s:c r="C3213" s="121" t="n"/>
      <s:c r="D3213" s="121" t="n"/>
      <s:c r="E3213" s="122" t="n"/>
    </s:row>
    <s:row r="3214" hidden="1" ht="1" customHeight="1">
      <s:c r="A3214" s="120" t="inlineStr"/>
      <s:c r="B3214" s="121" t="n"/>
      <s:c r="C3214" s="121" t="n"/>
      <s:c r="D3214" s="121" t="n"/>
      <s:c r="E3214" s="122" t="n"/>
    </s:row>
    <s:row r="3215" hidden="1" ht="1" customHeight="1">
      <s:c r="A3215" s="120" t="inlineStr"/>
      <s:c r="B3215" s="121" t="n"/>
      <s:c r="C3215" s="121" t="n"/>
      <s:c r="D3215" s="121" t="n"/>
      <s:c r="E3215" s="122" t="n"/>
    </s:row>
    <s:row r="3216" hidden="1" ht="1" customHeight="1">
      <s:c r="A3216" s="120" t="inlineStr"/>
      <s:c r="B3216" s="121" t="n"/>
      <s:c r="C3216" s="121" t="n"/>
      <s:c r="D3216" s="121" t="n"/>
      <s:c r="E3216" s="122" t="n"/>
    </s:row>
    <s:row r="3217" hidden="1" ht="1" customHeight="1">
      <s:c r="A3217" s="120" t="inlineStr"/>
      <s:c r="B3217" s="121" t="n"/>
      <s:c r="C3217" s="121" t="n"/>
      <s:c r="D3217" s="121" t="n"/>
      <s:c r="E3217" s="122" t="n"/>
    </s:row>
    <s:row r="3218" hidden="1" ht="1" customHeight="1">
      <s:c r="A3218" s="120" t="inlineStr"/>
      <s:c r="B3218" s="121" t="n"/>
      <s:c r="C3218" s="121" t="n"/>
      <s:c r="D3218" s="121" t="n"/>
      <s:c r="E3218" s="122" t="n"/>
    </s:row>
    <s:row r="3219" hidden="1" ht="1" customHeight="1">
      <s:c r="A3219" s="120" t="inlineStr"/>
      <s:c r="B3219" s="121" t="n"/>
      <s:c r="C3219" s="121" t="n"/>
      <s:c r="D3219" s="121" t="n"/>
      <s:c r="E3219" s="122" t="n"/>
    </s:row>
    <s:row r="3220" hidden="1" ht="1" customHeight="1">
      <s:c r="A3220" s="120" t="inlineStr"/>
      <s:c r="B3220" s="121" t="n"/>
      <s:c r="C3220" s="121" t="n"/>
      <s:c r="D3220" s="121" t="n"/>
      <s:c r="E3220" s="122" t="n"/>
    </s:row>
    <s:row r="3221" hidden="1" ht="1" customHeight="1">
      <s:c r="A3221" s="120" t="inlineStr"/>
      <s:c r="B3221" s="121" t="n"/>
      <s:c r="C3221" s="121" t="n"/>
      <s:c r="D3221" s="121" t="n"/>
      <s:c r="E3221" s="122" t="n"/>
    </s:row>
    <s:row r="3222" hidden="1" ht="1" customHeight="1">
      <s:c r="A3222" s="120" t="inlineStr"/>
      <s:c r="B3222" s="121" t="n"/>
      <s:c r="C3222" s="121" t="n"/>
      <s:c r="D3222" s="121" t="n"/>
      <s:c r="E3222" s="122" t="n"/>
    </s:row>
    <s:row r="3223" hidden="1" ht="1" customHeight="1">
      <s:c r="A3223" s="120" t="inlineStr"/>
      <s:c r="B3223" s="121" t="n"/>
      <s:c r="C3223" s="121" t="n"/>
      <s:c r="D3223" s="121" t="n"/>
      <s:c r="E3223" s="122" t="n"/>
    </s:row>
    <s:row r="3224" hidden="1" ht="1" customHeight="1">
      <s:c r="A3224" s="120" t="inlineStr"/>
      <s:c r="B3224" s="121" t="n"/>
      <s:c r="C3224" s="121" t="n"/>
      <s:c r="D3224" s="121" t="n"/>
      <s:c r="E3224" s="122" t="n"/>
    </s:row>
    <s:row r="3225" hidden="1" ht="1" customHeight="1">
      <s:c r="A3225" s="120" t="inlineStr"/>
      <s:c r="B3225" s="121" t="n"/>
      <s:c r="C3225" s="121" t="n"/>
      <s:c r="D3225" s="121" t="n"/>
      <s:c r="E3225" s="122" t="n"/>
    </s:row>
    <s:row r="3226" hidden="1" ht="1" customHeight="1">
      <s:c r="A3226" s="120" t="inlineStr"/>
      <s:c r="B3226" s="121" t="n"/>
      <s:c r="C3226" s="121" t="n"/>
      <s:c r="D3226" s="121" t="n"/>
      <s:c r="E3226" s="122" t="n"/>
    </s:row>
    <s:row r="3227" hidden="1" ht="1" customHeight="1">
      <s:c r="A3227" s="120" t="inlineStr"/>
      <s:c r="B3227" s="121" t="n"/>
      <s:c r="C3227" s="121" t="n"/>
      <s:c r="D3227" s="121" t="n"/>
      <s:c r="E3227" s="122" t="n"/>
    </s:row>
    <s:row r="3228" hidden="1" ht="1" customHeight="1">
      <s:c r="A3228" s="120" t="inlineStr"/>
      <s:c r="B3228" s="121" t="n"/>
      <s:c r="C3228" s="121" t="n"/>
      <s:c r="D3228" s="121" t="n"/>
      <s:c r="E3228" s="122" t="n"/>
    </s:row>
    <s:row r="3229" hidden="1" ht="1" customHeight="1">
      <s:c r="A3229" s="120" t="inlineStr"/>
      <s:c r="B3229" s="121" t="n"/>
      <s:c r="C3229" s="121" t="n"/>
      <s:c r="D3229" s="121" t="n"/>
      <s:c r="E3229" s="122" t="n"/>
    </s:row>
    <s:row r="3230" hidden="1" ht="1" customHeight="1">
      <s:c r="A3230" s="120" t="inlineStr"/>
      <s:c r="B3230" s="121" t="n"/>
      <s:c r="C3230" s="121" t="n"/>
      <s:c r="D3230" s="121" t="n"/>
      <s:c r="E3230" s="122" t="n"/>
    </s:row>
    <s:row r="3231" hidden="1" ht="1" customHeight="1">
      <s:c r="A3231" s="120" t="inlineStr"/>
      <s:c r="B3231" s="121" t="n"/>
      <s:c r="C3231" s="121" t="n"/>
      <s:c r="D3231" s="121" t="n"/>
      <s:c r="E3231" s="122" t="n"/>
    </s:row>
    <s:row r="3232" hidden="1" ht="1" customHeight="1">
      <s:c r="A3232" s="120" t="inlineStr"/>
      <s:c r="B3232" s="121" t="n"/>
      <s:c r="C3232" s="121" t="n"/>
      <s:c r="D3232" s="121" t="n"/>
      <s:c r="E3232" s="122" t="n"/>
    </s:row>
    <s:row r="3233" hidden="1" ht="1" customHeight="1">
      <s:c r="A3233" s="120" t="inlineStr"/>
      <s:c r="B3233" s="121" t="n"/>
      <s:c r="C3233" s="121" t="n"/>
      <s:c r="D3233" s="121" t="n"/>
      <s:c r="E3233" s="122" t="n"/>
    </s:row>
    <s:row r="3234" hidden="1" ht="1" customHeight="1">
      <s:c r="A3234" s="120" t="inlineStr"/>
      <s:c r="B3234" s="121" t="n"/>
      <s:c r="C3234" s="121" t="n"/>
      <s:c r="D3234" s="121" t="n"/>
      <s:c r="E3234" s="122" t="n"/>
    </s:row>
    <s:row r="3235" hidden="1" ht="1" customHeight="1">
      <s:c r="A3235" s="120" t="inlineStr"/>
      <s:c r="B3235" s="121" t="n"/>
      <s:c r="C3235" s="121" t="n"/>
      <s:c r="D3235" s="121" t="n"/>
      <s:c r="E3235" s="122" t="n"/>
    </s:row>
    <s:row r="3236" hidden="1" ht="1" customHeight="1">
      <s:c r="A3236" s="120" t="inlineStr"/>
      <s:c r="B3236" s="121" t="n"/>
      <s:c r="C3236" s="121" t="n"/>
      <s:c r="D3236" s="121" t="n"/>
      <s:c r="E3236" s="122" t="n"/>
    </s:row>
    <s:row r="3237" hidden="1" ht="1" customHeight="1">
      <s:c r="A3237" s="120" t="inlineStr"/>
      <s:c r="B3237" s="121" t="n"/>
      <s:c r="C3237" s="121" t="n"/>
      <s:c r="D3237" s="121" t="n"/>
      <s:c r="E3237" s="122" t="n"/>
    </s:row>
    <s:row r="3238" hidden="1" ht="1" customHeight="1">
      <s:c r="A3238" s="120" t="inlineStr"/>
      <s:c r="B3238" s="121" t="n"/>
      <s:c r="C3238" s="121" t="n"/>
      <s:c r="D3238" s="121" t="n"/>
      <s:c r="E3238" s="122" t="n"/>
    </s:row>
    <s:row r="3239" hidden="1" ht="1" customHeight="1">
      <s:c r="A3239" s="120" t="inlineStr"/>
      <s:c r="B3239" s="121" t="n"/>
      <s:c r="C3239" s="121" t="n"/>
      <s:c r="D3239" s="121" t="n"/>
      <s:c r="E3239" s="122" t="n"/>
    </s:row>
    <s:row r="3240" hidden="1" ht="1" customHeight="1">
      <s:c r="A3240" s="120" t="inlineStr"/>
      <s:c r="B3240" s="121" t="n"/>
      <s:c r="C3240" s="121" t="n"/>
      <s:c r="D3240" s="121" t="n"/>
      <s:c r="E3240" s="122" t="n"/>
    </s:row>
    <s:row r="3241" hidden="1" ht="1" customHeight="1">
      <s:c r="A3241" s="120" t="inlineStr"/>
      <s:c r="B3241" s="121" t="n"/>
      <s:c r="C3241" s="121" t="n"/>
      <s:c r="D3241" s="121" t="n"/>
      <s:c r="E3241" s="122" t="n"/>
    </s:row>
    <s:row r="3242" hidden="1" ht="1" customHeight="1">
      <s:c r="A3242" s="120" t="inlineStr"/>
      <s:c r="B3242" s="121" t="n"/>
      <s:c r="C3242" s="121" t="n"/>
      <s:c r="D3242" s="121" t="n"/>
      <s:c r="E3242" s="122" t="n"/>
    </s:row>
    <s:row r="3243" hidden="1" ht="1" customHeight="1">
      <s:c r="A3243" s="120" t="inlineStr"/>
      <s:c r="B3243" s="121" t="n"/>
      <s:c r="C3243" s="121" t="n"/>
      <s:c r="D3243" s="121" t="n"/>
      <s:c r="E3243" s="122" t="n"/>
    </s:row>
    <s:row r="3244" hidden="1" ht="1" customHeight="1">
      <s:c r="A3244" s="120" t="inlineStr"/>
      <s:c r="B3244" s="121" t="n"/>
      <s:c r="C3244" s="121" t="n"/>
      <s:c r="D3244" s="121" t="n"/>
      <s:c r="E3244" s="122" t="n"/>
    </s:row>
    <s:row r="3245" hidden="1" ht="1" customHeight="1">
      <s:c r="A3245" s="120" t="inlineStr"/>
      <s:c r="B3245" s="121" t="n"/>
      <s:c r="C3245" s="121" t="n"/>
      <s:c r="D3245" s="121" t="n"/>
      <s:c r="E3245" s="122" t="n"/>
    </s:row>
    <s:row r="3246" hidden="1" ht="1" customHeight="1">
      <s:c r="A3246" s="120" t="inlineStr"/>
      <s:c r="B3246" s="121" t="n"/>
      <s:c r="C3246" s="121" t="n"/>
      <s:c r="D3246" s="121" t="n"/>
      <s:c r="E3246" s="122" t="n"/>
    </s:row>
    <s:row r="3247" hidden="1" ht="1" customHeight="1">
      <s:c r="A3247" s="120" t="inlineStr"/>
      <s:c r="B3247" s="121" t="n"/>
      <s:c r="C3247" s="121" t="n"/>
      <s:c r="D3247" s="121" t="n"/>
      <s:c r="E3247" s="122" t="n"/>
    </s:row>
    <s:row r="3248" hidden="1" ht="1" customHeight="1">
      <s:c r="A3248" s="120" t="inlineStr"/>
      <s:c r="B3248" s="121" t="n"/>
      <s:c r="C3248" s="121" t="n"/>
      <s:c r="D3248" s="121" t="n"/>
      <s:c r="E3248" s="122" t="n"/>
    </s:row>
    <s:row r="3249" hidden="1" ht="1" customHeight="1">
      <s:c r="A3249" s="120" t="inlineStr"/>
      <s:c r="B3249" s="121" t="n"/>
      <s:c r="C3249" s="121" t="n"/>
      <s:c r="D3249" s="121" t="n"/>
      <s:c r="E3249" s="122" t="n"/>
    </s:row>
    <s:row r="3250" hidden="1" ht="1" customHeight="1">
      <s:c r="A3250" s="120" t="inlineStr"/>
      <s:c r="B3250" s="121" t="n"/>
      <s:c r="C3250" s="121" t="n"/>
      <s:c r="D3250" s="121" t="n"/>
      <s:c r="E3250" s="122" t="n"/>
    </s:row>
    <s:row r="3251" hidden="1" ht="1" customHeight="1">
      <s:c r="A3251" s="120" t="inlineStr"/>
      <s:c r="B3251" s="121" t="n"/>
      <s:c r="C3251" s="121" t="n"/>
      <s:c r="D3251" s="121" t="n"/>
      <s:c r="E3251" s="122" t="n"/>
    </s:row>
    <s:row r="3252" hidden="1" ht="1" customHeight="1">
      <s:c r="A3252" s="120" t="inlineStr"/>
      <s:c r="B3252" s="121" t="n"/>
      <s:c r="C3252" s="121" t="n"/>
      <s:c r="D3252" s="121" t="n"/>
      <s:c r="E3252" s="122" t="n"/>
    </s:row>
    <s:row r="3253" hidden="1" ht="1" customHeight="1">
      <s:c r="A3253" s="120" t="inlineStr"/>
      <s:c r="B3253" s="121" t="n"/>
      <s:c r="C3253" s="121" t="n"/>
      <s:c r="D3253" s="121" t="n"/>
      <s:c r="E3253" s="122" t="n"/>
    </s:row>
    <s:row r="3254" hidden="1" ht="1" customHeight="1">
      <s:c r="A3254" s="120" t="inlineStr"/>
      <s:c r="B3254" s="121" t="n"/>
      <s:c r="C3254" s="121" t="n"/>
      <s:c r="D3254" s="121" t="n"/>
      <s:c r="E3254" s="122" t="n"/>
    </s:row>
    <s:row r="3255" hidden="1" ht="1" customHeight="1">
      <s:c r="A3255" s="120" t="inlineStr"/>
      <s:c r="B3255" s="121" t="n"/>
      <s:c r="C3255" s="121" t="n"/>
      <s:c r="D3255" s="121" t="n"/>
      <s:c r="E3255" s="122" t="n"/>
    </s:row>
    <s:row r="3256" hidden="1" ht="1" customHeight="1">
      <s:c r="A3256" s="120" t="inlineStr"/>
      <s:c r="B3256" s="121" t="n"/>
      <s:c r="C3256" s="121" t="n"/>
      <s:c r="D3256" s="121" t="n"/>
      <s:c r="E3256" s="122" t="n"/>
    </s:row>
    <s:row r="3257" hidden="1" ht="1" customHeight="1">
      <s:c r="A3257" s="120" t="inlineStr"/>
      <s:c r="B3257" s="121" t="n"/>
      <s:c r="C3257" s="121" t="n"/>
      <s:c r="D3257" s="121" t="n"/>
      <s:c r="E3257" s="122" t="n"/>
    </s:row>
    <s:row r="3258" hidden="1" ht="1" customHeight="1">
      <s:c r="A3258" s="120" t="inlineStr"/>
      <s:c r="B3258" s="121" t="n"/>
      <s:c r="C3258" s="121" t="n"/>
      <s:c r="D3258" s="121" t="n"/>
      <s:c r="E3258" s="122" t="n"/>
    </s:row>
    <s:row r="3259" hidden="1" ht="1" customHeight="1">
      <s:c r="A3259" s="120" t="inlineStr"/>
      <s:c r="B3259" s="121" t="n"/>
      <s:c r="C3259" s="121" t="n"/>
      <s:c r="D3259" s="121" t="n"/>
      <s:c r="E3259" s="122" t="n"/>
    </s:row>
    <s:row r="3260" hidden="1" ht="1" customHeight="1">
      <s:c r="A3260" s="120" t="inlineStr"/>
      <s:c r="B3260" s="121" t="n"/>
      <s:c r="C3260" s="121" t="n"/>
      <s:c r="D3260" s="121" t="n"/>
      <s:c r="E3260" s="122" t="n"/>
    </s:row>
    <s:row r="3261" hidden="1" ht="1" customHeight="1">
      <s:c r="A3261" s="120" t="inlineStr"/>
      <s:c r="B3261" s="121" t="n"/>
      <s:c r="C3261" s="121" t="n"/>
      <s:c r="D3261" s="121" t="n"/>
      <s:c r="E3261" s="122" t="n"/>
    </s:row>
    <s:row r="3262" hidden="1" ht="1" customHeight="1">
      <s:c r="A3262" s="120" t="inlineStr"/>
      <s:c r="B3262" s="121" t="n"/>
      <s:c r="C3262" s="121" t="n"/>
      <s:c r="D3262" s="121" t="n"/>
      <s:c r="E3262" s="122" t="n"/>
    </s:row>
    <s:row r="3263" hidden="1" ht="1" customHeight="1">
      <s:c r="A3263" s="120" t="inlineStr"/>
      <s:c r="B3263" s="121" t="n"/>
      <s:c r="C3263" s="121" t="n"/>
      <s:c r="D3263" s="121" t="n"/>
      <s:c r="E3263" s="122" t="n"/>
    </s:row>
    <s:row r="3264" hidden="1" ht="1" customHeight="1">
      <s:c r="A3264" s="120" t="inlineStr"/>
      <s:c r="B3264" s="121" t="n"/>
      <s:c r="C3264" s="121" t="n"/>
      <s:c r="D3264" s="121" t="n"/>
      <s:c r="E3264" s="122" t="n"/>
    </s:row>
    <s:row r="3265" hidden="1" ht="1" customHeight="1">
      <s:c r="A3265" s="120" t="inlineStr"/>
      <s:c r="B3265" s="121" t="n"/>
      <s:c r="C3265" s="121" t="n"/>
      <s:c r="D3265" s="121" t="n"/>
      <s:c r="E3265" s="122" t="n"/>
    </s:row>
    <s:row r="3266" hidden="1" ht="1" customHeight="1">
      <s:c r="A3266" s="120" t="inlineStr"/>
      <s:c r="B3266" s="121" t="n"/>
      <s:c r="C3266" s="121" t="n"/>
      <s:c r="D3266" s="121" t="n"/>
      <s:c r="E3266" s="122" t="n"/>
    </s:row>
    <s:row r="3267" hidden="1" ht="1" customHeight="1">
      <s:c r="A3267" s="120" t="inlineStr"/>
      <s:c r="B3267" s="121" t="n"/>
      <s:c r="C3267" s="121" t="n"/>
      <s:c r="D3267" s="121" t="n"/>
      <s:c r="E3267" s="122" t="n"/>
    </s:row>
    <s:row r="3268" hidden="1" ht="1" customHeight="1">
      <s:c r="A3268" s="120" t="inlineStr"/>
      <s:c r="B3268" s="121" t="n"/>
      <s:c r="C3268" s="121" t="n"/>
      <s:c r="D3268" s="121" t="n"/>
      <s:c r="E3268" s="122" t="n"/>
    </s:row>
    <s:row r="3269" hidden="1" ht="1" customHeight="1">
      <s:c r="A3269" s="120" t="inlineStr"/>
      <s:c r="B3269" s="121" t="n"/>
      <s:c r="C3269" s="121" t="n"/>
      <s:c r="D3269" s="121" t="n"/>
      <s:c r="E3269" s="122" t="n"/>
    </s:row>
    <s:row r="3270" hidden="1" ht="1" customHeight="1">
      <s:c r="A3270" s="120" t="inlineStr"/>
      <s:c r="B3270" s="121" t="n"/>
      <s:c r="C3270" s="121" t="n"/>
      <s:c r="D3270" s="121" t="n"/>
      <s:c r="E3270" s="122" t="n"/>
    </s:row>
    <s:row r="3271" hidden="1" ht="1" customHeight="1">
      <s:c r="A3271" s="120" t="inlineStr"/>
      <s:c r="B3271" s="121" t="n"/>
      <s:c r="C3271" s="121" t="n"/>
      <s:c r="D3271" s="121" t="n"/>
      <s:c r="E3271" s="122" t="n"/>
    </s:row>
    <s:row r="3272" hidden="1" ht="1" customHeight="1">
      <s:c r="A3272" s="120" t="inlineStr"/>
      <s:c r="B3272" s="121" t="n"/>
      <s:c r="C3272" s="121" t="n"/>
      <s:c r="D3272" s="121" t="n"/>
      <s:c r="E3272" s="122" t="n"/>
    </s:row>
    <s:row r="3273" hidden="1" ht="1" customHeight="1">
      <s:c r="A3273" s="120" t="inlineStr"/>
      <s:c r="B3273" s="121" t="n"/>
      <s:c r="C3273" s="121" t="n"/>
      <s:c r="D3273" s="121" t="n"/>
      <s:c r="E3273" s="122" t="n"/>
    </s:row>
    <s:row r="3274" hidden="1" ht="1" customHeight="1">
      <s:c r="A3274" s="120" t="inlineStr"/>
      <s:c r="B3274" s="121" t="n"/>
      <s:c r="C3274" s="121" t="n"/>
      <s:c r="D3274" s="121" t="n"/>
      <s:c r="E3274" s="122" t="n"/>
    </s:row>
    <s:row r="3275" hidden="1" ht="1" customHeight="1">
      <s:c r="A3275" s="120" t="inlineStr"/>
      <s:c r="B3275" s="121" t="n"/>
      <s:c r="C3275" s="121" t="n"/>
      <s:c r="D3275" s="121" t="n"/>
      <s:c r="E3275" s="122" t="n"/>
    </s:row>
    <s:row r="3276" hidden="1" ht="1" customHeight="1">
      <s:c r="A3276" s="120" t="inlineStr"/>
      <s:c r="B3276" s="121" t="n"/>
      <s:c r="C3276" s="121" t="n"/>
      <s:c r="D3276" s="121" t="n"/>
      <s:c r="E3276" s="122" t="n"/>
    </s:row>
    <s:row r="3277" hidden="1" ht="1" customHeight="1">
      <s:c r="A3277" s="120" t="inlineStr"/>
      <s:c r="B3277" s="121" t="n"/>
      <s:c r="C3277" s="121" t="n"/>
      <s:c r="D3277" s="121" t="n"/>
      <s:c r="E3277" s="122" t="n"/>
    </s:row>
    <s:row r="3278" hidden="1" ht="1" customHeight="1">
      <s:c r="A3278" s="120" t="inlineStr"/>
      <s:c r="B3278" s="121" t="n"/>
      <s:c r="C3278" s="121" t="n"/>
      <s:c r="D3278" s="121" t="n"/>
      <s:c r="E3278" s="122" t="n"/>
    </s:row>
    <s:row r="3279" hidden="1" ht="1" customHeight="1">
      <s:c r="A3279" s="120" t="inlineStr"/>
      <s:c r="B3279" s="121" t="n"/>
      <s:c r="C3279" s="121" t="n"/>
      <s:c r="D3279" s="121" t="n"/>
      <s:c r="E3279" s="122" t="n"/>
    </s:row>
    <s:row r="3280" hidden="1" ht="1" customHeight="1">
      <s:c r="A3280" s="120" t="inlineStr"/>
      <s:c r="B3280" s="121" t="n"/>
      <s:c r="C3280" s="121" t="n"/>
      <s:c r="D3280" s="121" t="n"/>
      <s:c r="E3280" s="122" t="n"/>
    </s:row>
    <s:row r="3281" hidden="1" ht="1" customHeight="1">
      <s:c r="A3281" s="120" t="inlineStr"/>
      <s:c r="B3281" s="121" t="n"/>
      <s:c r="C3281" s="121" t="n"/>
      <s:c r="D3281" s="121" t="n"/>
      <s:c r="E3281" s="122" t="n"/>
    </s:row>
    <s:row r="3282" hidden="1" ht="1" customHeight="1">
      <s:c r="A3282" s="120" t="inlineStr"/>
      <s:c r="B3282" s="121" t="n"/>
      <s:c r="C3282" s="121" t="n"/>
      <s:c r="D3282" s="121" t="n"/>
      <s:c r="E3282" s="122" t="n"/>
    </s:row>
    <s:row r="3283" hidden="1" ht="1" customHeight="1">
      <s:c r="A3283" s="120" t="inlineStr"/>
      <s:c r="B3283" s="121" t="n"/>
      <s:c r="C3283" s="121" t="n"/>
      <s:c r="D3283" s="121" t="n"/>
      <s:c r="E3283" s="122" t="n"/>
    </s:row>
    <s:row r="3284" hidden="1" ht="1" customHeight="1">
      <s:c r="A3284" s="120" t="inlineStr"/>
      <s:c r="B3284" s="121" t="n"/>
      <s:c r="C3284" s="121" t="n"/>
      <s:c r="D3284" s="121" t="n"/>
      <s:c r="E3284" s="122" t="n"/>
    </s:row>
    <s:row r="3285" hidden="1" ht="1" customHeight="1">
      <s:c r="A3285" s="120" t="inlineStr"/>
      <s:c r="B3285" s="121" t="n"/>
      <s:c r="C3285" s="121" t="n"/>
      <s:c r="D3285" s="121" t="n"/>
      <s:c r="E3285" s="122" t="n"/>
    </s:row>
    <s:row r="3286" hidden="1" ht="1" customHeight="1">
      <s:c r="A3286" s="120" t="inlineStr"/>
      <s:c r="B3286" s="121" t="n"/>
      <s:c r="C3286" s="121" t="n"/>
      <s:c r="D3286" s="121" t="n"/>
      <s:c r="E3286" s="122" t="n"/>
    </s:row>
    <s:row r="3287" hidden="1" ht="1" customHeight="1">
      <s:c r="A3287" s="120" t="inlineStr"/>
      <s:c r="B3287" s="121" t="n"/>
      <s:c r="C3287" s="121" t="n"/>
      <s:c r="D3287" s="121" t="n"/>
      <s:c r="E3287" s="122" t="n"/>
    </s:row>
    <s:row r="3288" hidden="1" ht="1" customHeight="1">
      <s:c r="A3288" s="120" t="inlineStr"/>
      <s:c r="B3288" s="121" t="n"/>
      <s:c r="C3288" s="121" t="n"/>
      <s:c r="D3288" s="121" t="n"/>
      <s:c r="E3288" s="122" t="n"/>
    </s:row>
    <s:row r="3289" hidden="1" ht="1" customHeight="1">
      <s:c r="A3289" s="120" t="inlineStr"/>
      <s:c r="B3289" s="121" t="n"/>
      <s:c r="C3289" s="121" t="n"/>
      <s:c r="D3289" s="121" t="n"/>
      <s:c r="E3289" s="122" t="n"/>
    </s:row>
    <s:row r="3290" hidden="1" ht="1" customHeight="1">
      <s:c r="A3290" s="120" t="inlineStr"/>
      <s:c r="B3290" s="121" t="n"/>
      <s:c r="C3290" s="121" t="n"/>
      <s:c r="D3290" s="121" t="n"/>
      <s:c r="E3290" s="122" t="n"/>
    </s:row>
    <s:row r="3291" hidden="1" ht="1" customHeight="1">
      <s:c r="A3291" s="120" t="inlineStr"/>
      <s:c r="B3291" s="121" t="n"/>
      <s:c r="C3291" s="121" t="n"/>
      <s:c r="D3291" s="121" t="n"/>
      <s:c r="E3291" s="122" t="n"/>
    </s:row>
    <s:row r="3292" hidden="1" ht="1" customHeight="1">
      <s:c r="A3292" s="120" t="inlineStr"/>
      <s:c r="B3292" s="121" t="n"/>
      <s:c r="C3292" s="121" t="n"/>
      <s:c r="D3292" s="121" t="n"/>
      <s:c r="E3292" s="122" t="n"/>
    </s:row>
    <s:row r="3293" hidden="1" ht="1" customHeight="1">
      <s:c r="A3293" s="120" t="inlineStr"/>
      <s:c r="B3293" s="121" t="n"/>
      <s:c r="C3293" s="121" t="n"/>
      <s:c r="D3293" s="121" t="n"/>
      <s:c r="E3293" s="122" t="n"/>
    </s:row>
    <s:row r="3294" hidden="1" ht="1" customHeight="1">
      <s:c r="A3294" s="120" t="inlineStr"/>
      <s:c r="B3294" s="121" t="n"/>
      <s:c r="C3294" s="121" t="n"/>
      <s:c r="D3294" s="121" t="n"/>
      <s:c r="E3294" s="122" t="n"/>
    </s:row>
    <s:row r="3295" hidden="1" ht="1" customHeight="1">
      <s:c r="A3295" s="120" t="inlineStr"/>
      <s:c r="B3295" s="121" t="n"/>
      <s:c r="C3295" s="121" t="n"/>
      <s:c r="D3295" s="121" t="n"/>
      <s:c r="E3295" s="122" t="n"/>
    </s:row>
    <s:row r="3296" hidden="1" ht="1" customHeight="1">
      <s:c r="A3296" s="120" t="inlineStr"/>
      <s:c r="B3296" s="121" t="n"/>
      <s:c r="C3296" s="121" t="n"/>
      <s:c r="D3296" s="121" t="n"/>
      <s:c r="E3296" s="122" t="n"/>
    </s:row>
    <s:row r="3297" hidden="1" ht="1" customHeight="1">
      <s:c r="A3297" s="120" t="inlineStr"/>
      <s:c r="B3297" s="121" t="n"/>
      <s:c r="C3297" s="121" t="n"/>
      <s:c r="D3297" s="121" t="n"/>
      <s:c r="E3297" s="122" t="n"/>
    </s:row>
    <s:row r="3298" hidden="1" ht="1" customHeight="1">
      <s:c r="A3298" s="120" t="inlineStr"/>
      <s:c r="B3298" s="121" t="n"/>
      <s:c r="C3298" s="121" t="n"/>
      <s:c r="D3298" s="121" t="n"/>
      <s:c r="E3298" s="122" t="n"/>
    </s:row>
    <s:row r="3299" hidden="1" ht="1" customHeight="1">
      <s:c r="A3299" s="120" t="inlineStr"/>
      <s:c r="B3299" s="121" t="n"/>
      <s:c r="C3299" s="121" t="n"/>
      <s:c r="D3299" s="121" t="n"/>
      <s:c r="E3299" s="122" t="n"/>
    </s:row>
    <s:row r="3300" hidden="1" ht="1" customHeight="1">
      <s:c r="A3300" s="120" t="inlineStr"/>
      <s:c r="B3300" s="121" t="n"/>
      <s:c r="C3300" s="121" t="n"/>
      <s:c r="D3300" s="121" t="n"/>
      <s:c r="E3300" s="122" t="n"/>
    </s:row>
    <s:row r="3301" hidden="1" ht="1" customHeight="1">
      <s:c r="A3301" s="120" t="inlineStr"/>
      <s:c r="B3301" s="121" t="n"/>
      <s:c r="C3301" s="121" t="n"/>
      <s:c r="D3301" s="121" t="n"/>
      <s:c r="E3301" s="122" t="n"/>
    </s:row>
    <s:row r="3302" hidden="1" ht="1" customHeight="1">
      <s:c r="A3302" s="120" t="inlineStr"/>
      <s:c r="B3302" s="121" t="n"/>
      <s:c r="C3302" s="121" t="n"/>
      <s:c r="D3302" s="121" t="n"/>
      <s:c r="E3302" s="122" t="n"/>
    </s:row>
    <s:row r="3303" hidden="1" ht="1" customHeight="1">
      <s:c r="A3303" s="120" t="inlineStr"/>
      <s:c r="B3303" s="121" t="n"/>
      <s:c r="C3303" s="121" t="n"/>
      <s:c r="D3303" s="121" t="n"/>
      <s:c r="E3303" s="122" t="n"/>
    </s:row>
    <s:row r="3304" hidden="1" ht="1" customHeight="1">
      <s:c r="A3304" s="120" t="inlineStr"/>
      <s:c r="B3304" s="121" t="n"/>
      <s:c r="C3304" s="121" t="n"/>
      <s:c r="D3304" s="121" t="n"/>
      <s:c r="E3304" s="122" t="n"/>
    </s:row>
    <s:row r="3305" hidden="1" ht="1" customHeight="1">
      <s:c r="A3305" s="120" t="inlineStr"/>
      <s:c r="B3305" s="121" t="n"/>
      <s:c r="C3305" s="121" t="n"/>
      <s:c r="D3305" s="121" t="n"/>
      <s:c r="E3305" s="122" t="n"/>
    </s:row>
    <s:row r="3306" hidden="1" ht="1" customHeight="1">
      <s:c r="A3306" s="120" t="inlineStr"/>
      <s:c r="B3306" s="121" t="n"/>
      <s:c r="C3306" s="121" t="n"/>
      <s:c r="D3306" s="121" t="n"/>
      <s:c r="E3306" s="122" t="n"/>
    </s:row>
    <s:row r="3307" hidden="1" ht="1" customHeight="1">
      <s:c r="A3307" s="120" t="inlineStr"/>
      <s:c r="B3307" s="121" t="n"/>
      <s:c r="C3307" s="121" t="n"/>
      <s:c r="D3307" s="121" t="n"/>
      <s:c r="E3307" s="122" t="n"/>
    </s:row>
    <s:row r="3308" hidden="1" ht="1" customHeight="1">
      <s:c r="A3308" s="120" t="inlineStr"/>
      <s:c r="B3308" s="121" t="n"/>
      <s:c r="C3308" s="121" t="n"/>
      <s:c r="D3308" s="121" t="n"/>
      <s:c r="E3308" s="122" t="n"/>
    </s:row>
    <s:row r="3309" hidden="1" ht="1" customHeight="1">
      <s:c r="A3309" s="120" t="inlineStr"/>
      <s:c r="B3309" s="121" t="n"/>
      <s:c r="C3309" s="121" t="n"/>
      <s:c r="D3309" s="121" t="n"/>
      <s:c r="E3309" s="122" t="n"/>
    </s:row>
    <s:row r="3310" hidden="1" ht="1" customHeight="1">
      <s:c r="A3310" s="120" t="inlineStr"/>
      <s:c r="B3310" s="121" t="n"/>
      <s:c r="C3310" s="121" t="n"/>
      <s:c r="D3310" s="121" t="n"/>
      <s:c r="E3310" s="122" t="n"/>
    </s:row>
    <s:row r="3311" hidden="1" ht="1" customHeight="1">
      <s:c r="A3311" s="120" t="inlineStr"/>
      <s:c r="B3311" s="121" t="n"/>
      <s:c r="C3311" s="121" t="n"/>
      <s:c r="D3311" s="121" t="n"/>
      <s:c r="E3311" s="122" t="n"/>
    </s:row>
    <s:row r="3312" hidden="1" ht="1" customHeight="1">
      <s:c r="A3312" s="120" t="inlineStr"/>
      <s:c r="B3312" s="121" t="n"/>
      <s:c r="C3312" s="121" t="n"/>
      <s:c r="D3312" s="121" t="n"/>
      <s:c r="E3312" s="122" t="n"/>
    </s:row>
    <s:row r="3313" hidden="1" ht="1" customHeight="1">
      <s:c r="A3313" s="120" t="inlineStr"/>
      <s:c r="B3313" s="121" t="n"/>
      <s:c r="C3313" s="121" t="n"/>
      <s:c r="D3313" s="121" t="n"/>
      <s:c r="E3313" s="122" t="n"/>
    </s:row>
    <s:row r="3314" hidden="1" ht="1" customHeight="1">
      <s:c r="A3314" s="120" t="inlineStr"/>
      <s:c r="B3314" s="121" t="n"/>
      <s:c r="C3314" s="121" t="n"/>
      <s:c r="D3314" s="121" t="n"/>
      <s:c r="E3314" s="122" t="n"/>
    </s:row>
    <s:row r="3315" hidden="1" ht="1" customHeight="1">
      <s:c r="A3315" s="120" t="inlineStr"/>
      <s:c r="B3315" s="121" t="n"/>
      <s:c r="C3315" s="121" t="n"/>
      <s:c r="D3315" s="121" t="n"/>
      <s:c r="E3315" s="122" t="n"/>
    </s:row>
    <s:row r="3316" hidden="1" ht="1" customHeight="1">
      <s:c r="A3316" s="120" t="inlineStr"/>
      <s:c r="B3316" s="121" t="n"/>
      <s:c r="C3316" s="121" t="n"/>
      <s:c r="D3316" s="121" t="n"/>
      <s:c r="E3316" s="122" t="n"/>
    </s:row>
    <s:row r="3317" hidden="1" ht="1" customHeight="1">
      <s:c r="A3317" s="120" t="inlineStr"/>
      <s:c r="B3317" s="121" t="n"/>
      <s:c r="C3317" s="121" t="n"/>
      <s:c r="D3317" s="121" t="n"/>
      <s:c r="E3317" s="122" t="n"/>
    </s:row>
    <s:row r="3318" hidden="1" ht="1" customHeight="1">
      <s:c r="A3318" s="120" t="inlineStr"/>
      <s:c r="B3318" s="121" t="n"/>
      <s:c r="C3318" s="121" t="n"/>
      <s:c r="D3318" s="121" t="n"/>
      <s:c r="E3318" s="122" t="n"/>
    </s:row>
    <s:row r="3319" hidden="1" ht="1" customHeight="1">
      <s:c r="A3319" s="120" t="inlineStr"/>
      <s:c r="B3319" s="121" t="n"/>
      <s:c r="C3319" s="121" t="n"/>
      <s:c r="D3319" s="121" t="n"/>
      <s:c r="E3319" s="122" t="n"/>
    </s:row>
    <s:row r="3320" hidden="1" ht="1" customHeight="1">
      <s:c r="A3320" s="120" t="inlineStr"/>
      <s:c r="B3320" s="121" t="n"/>
      <s:c r="C3320" s="121" t="n"/>
      <s:c r="D3320" s="121" t="n"/>
      <s:c r="E3320" s="122" t="n"/>
    </s:row>
    <s:row r="3321" hidden="1" ht="1" customHeight="1">
      <s:c r="A3321" s="120" t="inlineStr"/>
      <s:c r="B3321" s="121" t="n"/>
      <s:c r="C3321" s="121" t="n"/>
      <s:c r="D3321" s="121" t="n"/>
      <s:c r="E3321" s="122" t="n"/>
    </s:row>
    <s:row r="3322" hidden="1" ht="1" customHeight="1">
      <s:c r="A3322" s="120" t="inlineStr"/>
      <s:c r="B3322" s="121" t="n"/>
      <s:c r="C3322" s="121" t="n"/>
      <s:c r="D3322" s="121" t="n"/>
      <s:c r="E3322" s="122" t="n"/>
    </s:row>
    <s:row r="3323" hidden="1" ht="1" customHeight="1">
      <s:c r="A3323" s="120" t="inlineStr"/>
      <s:c r="B3323" s="121" t="n"/>
      <s:c r="C3323" s="121" t="n"/>
      <s:c r="D3323" s="121" t="n"/>
      <s:c r="E3323" s="122" t="n"/>
    </s:row>
    <s:row r="3324" hidden="1" ht="1" customHeight="1">
      <s:c r="A3324" s="120" t="inlineStr"/>
      <s:c r="B3324" s="121" t="n"/>
      <s:c r="C3324" s="121" t="n"/>
      <s:c r="D3324" s="121" t="n"/>
      <s:c r="E3324" s="122" t="n"/>
    </s:row>
    <s:row r="3325" hidden="1" ht="1" customHeight="1">
      <s:c r="A3325" s="120" t="inlineStr"/>
      <s:c r="B3325" s="121" t="n"/>
      <s:c r="C3325" s="121" t="n"/>
      <s:c r="D3325" s="121" t="n"/>
      <s:c r="E3325" s="122" t="n"/>
    </s:row>
    <s:row r="3326" hidden="1" ht="1" customHeight="1">
      <s:c r="A3326" s="120" t="inlineStr"/>
      <s:c r="B3326" s="121" t="n"/>
      <s:c r="C3326" s="121" t="n"/>
      <s:c r="D3326" s="121" t="n"/>
      <s:c r="E3326" s="122" t="n"/>
    </s:row>
    <s:row r="3327" hidden="1" ht="1" customHeight="1">
      <s:c r="A3327" s="120" t="inlineStr"/>
      <s:c r="B3327" s="121" t="n"/>
      <s:c r="C3327" s="121" t="n"/>
      <s:c r="D3327" s="121" t="n"/>
      <s:c r="E3327" s="122" t="n"/>
    </s:row>
    <s:row r="3328" hidden="1" ht="1" customHeight="1">
      <s:c r="A3328" s="120" t="inlineStr"/>
      <s:c r="B3328" s="121" t="n"/>
      <s:c r="C3328" s="121" t="n"/>
      <s:c r="D3328" s="121" t="n"/>
      <s:c r="E3328" s="122" t="n"/>
    </s:row>
    <s:row r="3329" hidden="1" ht="1" customHeight="1">
      <s:c r="A3329" s="120" t="inlineStr"/>
      <s:c r="B3329" s="121" t="n"/>
      <s:c r="C3329" s="121" t="n"/>
      <s:c r="D3329" s="121" t="n"/>
      <s:c r="E3329" s="122" t="n"/>
    </s:row>
    <s:row r="3330" hidden="1" ht="1" customHeight="1">
      <s:c r="A3330" s="120" t="inlineStr"/>
      <s:c r="B3330" s="121" t="n"/>
      <s:c r="C3330" s="121" t="n"/>
      <s:c r="D3330" s="121" t="n"/>
      <s:c r="E3330" s="122" t="n"/>
    </s:row>
    <s:row r="3331" hidden="1" ht="1" customHeight="1">
      <s:c r="A3331" s="120" t="inlineStr"/>
      <s:c r="B3331" s="121" t="n"/>
      <s:c r="C3331" s="121" t="n"/>
      <s:c r="D3331" s="121" t="n"/>
      <s:c r="E3331" s="122" t="n"/>
    </s:row>
    <s:row r="3332" hidden="1" ht="1" customHeight="1">
      <s:c r="A3332" s="120" t="inlineStr"/>
      <s:c r="B3332" s="121" t="n"/>
      <s:c r="C3332" s="121" t="n"/>
      <s:c r="D3332" s="121" t="n"/>
      <s:c r="E3332" s="122" t="n"/>
    </s:row>
    <s:row r="3333" hidden="1" ht="1" customHeight="1">
      <s:c r="A3333" s="120" t="inlineStr"/>
      <s:c r="B3333" s="121" t="n"/>
      <s:c r="C3333" s="121" t="n"/>
      <s:c r="D3333" s="121" t="n"/>
      <s:c r="E3333" s="122" t="n"/>
    </s:row>
    <s:row r="3334" hidden="1" ht="1" customHeight="1">
      <s:c r="A3334" s="120" t="inlineStr"/>
      <s:c r="B3334" s="121" t="n"/>
      <s:c r="C3334" s="121" t="n"/>
      <s:c r="D3334" s="121" t="n"/>
      <s:c r="E3334" s="122" t="n"/>
    </s:row>
    <s:row r="3335" hidden="1" ht="1" customHeight="1">
      <s:c r="A3335" s="120" t="inlineStr"/>
      <s:c r="B3335" s="121" t="n"/>
      <s:c r="C3335" s="121" t="n"/>
      <s:c r="D3335" s="121" t="n"/>
      <s:c r="E3335" s="122" t="n"/>
    </s:row>
    <s:row r="3336" hidden="1" ht="1" customHeight="1">
      <s:c r="A3336" s="120" t="inlineStr"/>
      <s:c r="B3336" s="121" t="n"/>
      <s:c r="C3336" s="121" t="n"/>
      <s:c r="D3336" s="121" t="n"/>
      <s:c r="E3336" s="122" t="n"/>
    </s:row>
    <s:row r="3337" hidden="1" ht="1" customHeight="1">
      <s:c r="A3337" s="120" t="inlineStr"/>
      <s:c r="B3337" s="121" t="n"/>
      <s:c r="C3337" s="121" t="n"/>
      <s:c r="D3337" s="121" t="n"/>
      <s:c r="E3337" s="122" t="n"/>
    </s:row>
    <s:row r="3338" hidden="1" ht="1" customHeight="1">
      <s:c r="A3338" s="120" t="inlineStr"/>
      <s:c r="B3338" s="121" t="n"/>
      <s:c r="C3338" s="121" t="n"/>
      <s:c r="D3338" s="121" t="n"/>
      <s:c r="E3338" s="122" t="n"/>
    </s:row>
    <s:row r="3339" hidden="1" ht="1" customHeight="1">
      <s:c r="A3339" s="120" t="inlineStr"/>
      <s:c r="B3339" s="121" t="n"/>
      <s:c r="C3339" s="121" t="n"/>
      <s:c r="D3339" s="121" t="n"/>
      <s:c r="E3339" s="122" t="n"/>
    </s:row>
    <s:row r="3340" hidden="1" ht="1" customHeight="1">
      <s:c r="A3340" s="120" t="inlineStr"/>
      <s:c r="B3340" s="121" t="n"/>
      <s:c r="C3340" s="121" t="n"/>
      <s:c r="D3340" s="121" t="n"/>
      <s:c r="E3340" s="122" t="n"/>
    </s:row>
    <s:row r="3341" hidden="1" ht="1" customHeight="1">
      <s:c r="A3341" s="120" t="inlineStr"/>
      <s:c r="B3341" s="121" t="n"/>
      <s:c r="C3341" s="121" t="n"/>
      <s:c r="D3341" s="121" t="n"/>
      <s:c r="E3341" s="122" t="n"/>
    </s:row>
    <s:row r="3342" hidden="1" ht="1" customHeight="1">
      <s:c r="A3342" s="120" t="inlineStr"/>
      <s:c r="B3342" s="121" t="n"/>
      <s:c r="C3342" s="121" t="n"/>
      <s:c r="D3342" s="121" t="n"/>
      <s:c r="E3342" s="122" t="n"/>
    </s:row>
    <s:row r="3343" hidden="1" ht="1" customHeight="1">
      <s:c r="A3343" s="120" t="inlineStr"/>
      <s:c r="B3343" s="121" t="n"/>
      <s:c r="C3343" s="121" t="n"/>
      <s:c r="D3343" s="121" t="n"/>
      <s:c r="E3343" s="122" t="n"/>
    </s:row>
    <s:row r="3344" hidden="1" ht="1" customHeight="1">
      <s:c r="A3344" s="120" t="inlineStr"/>
      <s:c r="B3344" s="121" t="n"/>
      <s:c r="C3344" s="121" t="n"/>
      <s:c r="D3344" s="121" t="n"/>
      <s:c r="E3344" s="122" t="n"/>
    </s:row>
    <s:row r="3345" hidden="1" ht="1" customHeight="1">
      <s:c r="A3345" s="120" t="inlineStr"/>
      <s:c r="B3345" s="121" t="n"/>
      <s:c r="C3345" s="121" t="n"/>
      <s:c r="D3345" s="121" t="n"/>
      <s:c r="E3345" s="122" t="n"/>
    </s:row>
    <s:row r="3346" hidden="1" ht="1" customHeight="1">
      <s:c r="A3346" s="120" t="inlineStr"/>
      <s:c r="B3346" s="121" t="n"/>
      <s:c r="C3346" s="121" t="n"/>
      <s:c r="D3346" s="121" t="n"/>
      <s:c r="E3346" s="122" t="n"/>
    </s:row>
    <s:row r="3347" hidden="1" ht="1" customHeight="1">
      <s:c r="A3347" s="120" t="inlineStr"/>
      <s:c r="B3347" s="121" t="n"/>
      <s:c r="C3347" s="121" t="n"/>
      <s:c r="D3347" s="121" t="n"/>
      <s:c r="E3347" s="122" t="n"/>
    </s:row>
    <s:row r="3348" hidden="1" ht="1" customHeight="1">
      <s:c r="A3348" s="120" t="inlineStr"/>
      <s:c r="B3348" s="121" t="n"/>
      <s:c r="C3348" s="121" t="n"/>
      <s:c r="D3348" s="121" t="n"/>
      <s:c r="E3348" s="122" t="n"/>
    </s:row>
    <s:row r="3349" hidden="1" ht="1" customHeight="1">
      <s:c r="A3349" s="120" t="inlineStr"/>
      <s:c r="B3349" s="121" t="n"/>
      <s:c r="C3349" s="121" t="n"/>
      <s:c r="D3349" s="121" t="n"/>
      <s:c r="E3349" s="122" t="n"/>
    </s:row>
    <s:row r="3350" hidden="1" ht="1" customHeight="1">
      <s:c r="A3350" s="120" t="inlineStr"/>
      <s:c r="B3350" s="121" t="n"/>
      <s:c r="C3350" s="121" t="n"/>
      <s:c r="D3350" s="121" t="n"/>
      <s:c r="E3350" s="122" t="n"/>
    </s:row>
    <s:row r="3351" hidden="1" ht="1" customHeight="1">
      <s:c r="A3351" s="120" t="inlineStr"/>
      <s:c r="B3351" s="121" t="n"/>
      <s:c r="C3351" s="121" t="n"/>
      <s:c r="D3351" s="121" t="n"/>
      <s:c r="E3351" s="122" t="n"/>
    </s:row>
    <s:row r="3352" hidden="1" ht="1" customHeight="1">
      <s:c r="A3352" s="120" t="inlineStr"/>
      <s:c r="B3352" s="121" t="n"/>
      <s:c r="C3352" s="121" t="n"/>
      <s:c r="D3352" s="121" t="n"/>
      <s:c r="E3352" s="122" t="n"/>
    </s:row>
    <s:row r="3353" hidden="1" ht="1" customHeight="1">
      <s:c r="A3353" s="120" t="inlineStr"/>
      <s:c r="B3353" s="121" t="n"/>
      <s:c r="C3353" s="121" t="n"/>
      <s:c r="D3353" s="121" t="n"/>
      <s:c r="E3353" s="122" t="n"/>
    </s:row>
    <s:row r="3354" hidden="1" ht="1" customHeight="1">
      <s:c r="A3354" s="120" t="inlineStr"/>
      <s:c r="B3354" s="121" t="n"/>
      <s:c r="C3354" s="121" t="n"/>
      <s:c r="D3354" s="121" t="n"/>
      <s:c r="E3354" s="122" t="n"/>
    </s:row>
    <s:row r="3355" hidden="1" ht="1" customHeight="1">
      <s:c r="A3355" s="120" t="inlineStr"/>
      <s:c r="B3355" s="121" t="n"/>
      <s:c r="C3355" s="121" t="n"/>
      <s:c r="D3355" s="121" t="n"/>
      <s:c r="E3355" s="122" t="n"/>
    </s:row>
    <s:row r="3356" hidden="1" ht="1" customHeight="1">
      <s:c r="A3356" s="120" t="inlineStr"/>
      <s:c r="B3356" s="121" t="n"/>
      <s:c r="C3356" s="121" t="n"/>
      <s:c r="D3356" s="121" t="n"/>
      <s:c r="E3356" s="122" t="n"/>
    </s:row>
    <s:row r="3357" hidden="1" ht="1" customHeight="1">
      <s:c r="A3357" s="120" t="inlineStr"/>
      <s:c r="B3357" s="121" t="n"/>
      <s:c r="C3357" s="121" t="n"/>
      <s:c r="D3357" s="121" t="n"/>
      <s:c r="E3357" s="122" t="n"/>
    </s:row>
    <s:row r="3358" hidden="1" ht="1" customHeight="1">
      <s:c r="A3358" s="120" t="inlineStr"/>
      <s:c r="B3358" s="121" t="n"/>
      <s:c r="C3358" s="121" t="n"/>
      <s:c r="D3358" s="121" t="n"/>
      <s:c r="E3358" s="122" t="n"/>
    </s:row>
    <s:row r="3359" hidden="1" ht="1" customHeight="1">
      <s:c r="A3359" s="120" t="inlineStr"/>
      <s:c r="B3359" s="121" t="n"/>
      <s:c r="C3359" s="121" t="n"/>
      <s:c r="D3359" s="121" t="n"/>
      <s:c r="E3359" s="122" t="n"/>
    </s:row>
    <s:row r="3360" hidden="1" ht="1" customHeight="1">
      <s:c r="A3360" s="120" t="inlineStr"/>
      <s:c r="B3360" s="121" t="n"/>
      <s:c r="C3360" s="121" t="n"/>
      <s:c r="D3360" s="121" t="n"/>
      <s:c r="E3360" s="122" t="n"/>
    </s:row>
    <s:row r="3361" hidden="1" ht="1" customHeight="1">
      <s:c r="A3361" s="120" t="inlineStr"/>
      <s:c r="B3361" s="121" t="n"/>
      <s:c r="C3361" s="121" t="n"/>
      <s:c r="D3361" s="121" t="n"/>
      <s:c r="E3361" s="122" t="n"/>
    </s:row>
    <s:row r="3362" hidden="1" ht="1" customHeight="1">
      <s:c r="A3362" s="120" t="inlineStr"/>
      <s:c r="B3362" s="121" t="n"/>
      <s:c r="C3362" s="121" t="n"/>
      <s:c r="D3362" s="121" t="n"/>
      <s:c r="E3362" s="122" t="n"/>
    </s:row>
    <s:row r="3363" hidden="1" ht="1" customHeight="1">
      <s:c r="A3363" s="120" t="inlineStr"/>
      <s:c r="B3363" s="121" t="n"/>
      <s:c r="C3363" s="121" t="n"/>
      <s:c r="D3363" s="121" t="n"/>
      <s:c r="E3363" s="122" t="n"/>
    </s:row>
    <s:row r="3364" hidden="1" ht="1" customHeight="1">
      <s:c r="A3364" s="120" t="inlineStr"/>
      <s:c r="B3364" s="121" t="n"/>
      <s:c r="C3364" s="121" t="n"/>
      <s:c r="D3364" s="121" t="n"/>
      <s:c r="E3364" s="122" t="n"/>
    </s:row>
    <s:row r="3365" hidden="1" ht="1" customHeight="1">
      <s:c r="A3365" s="120" t="inlineStr"/>
      <s:c r="B3365" s="121" t="n"/>
      <s:c r="C3365" s="121" t="n"/>
      <s:c r="D3365" s="121" t="n"/>
      <s:c r="E3365" s="122" t="n"/>
    </s:row>
    <s:row r="3366" hidden="1" ht="1" customHeight="1">
      <s:c r="A3366" s="120" t="inlineStr"/>
      <s:c r="B3366" s="121" t="n"/>
      <s:c r="C3366" s="121" t="n"/>
      <s:c r="D3366" s="121" t="n"/>
      <s:c r="E3366" s="122" t="n"/>
    </s:row>
    <s:row r="3367" hidden="1" ht="1" customHeight="1">
      <s:c r="A3367" s="120" t="inlineStr"/>
      <s:c r="B3367" s="121" t="n"/>
      <s:c r="C3367" s="121" t="n"/>
      <s:c r="D3367" s="121" t="n"/>
      <s:c r="E3367" s="122" t="n"/>
    </s:row>
    <s:row r="3368" hidden="1" ht="1" customHeight="1">
      <s:c r="A3368" s="120" t="inlineStr"/>
      <s:c r="B3368" s="121" t="n"/>
      <s:c r="C3368" s="121" t="n"/>
      <s:c r="D3368" s="121" t="n"/>
      <s:c r="E3368" s="122" t="n"/>
    </s:row>
    <s:row r="3369" hidden="1" ht="1" customHeight="1">
      <s:c r="A3369" s="120" t="inlineStr"/>
      <s:c r="B3369" s="121" t="n"/>
      <s:c r="C3369" s="121" t="n"/>
      <s:c r="D3369" s="121" t="n"/>
      <s:c r="E3369" s="122" t="n"/>
    </s:row>
    <s:row r="3370" hidden="1" ht="1" customHeight="1">
      <s:c r="A3370" s="120" t="inlineStr"/>
      <s:c r="B3370" s="121" t="n"/>
      <s:c r="C3370" s="121" t="n"/>
      <s:c r="D3370" s="121" t="n"/>
      <s:c r="E3370" s="122" t="n"/>
    </s:row>
    <s:row r="3371" hidden="1" ht="1" customHeight="1">
      <s:c r="A3371" s="120" t="inlineStr"/>
      <s:c r="B3371" s="121" t="n"/>
      <s:c r="C3371" s="121" t="n"/>
      <s:c r="D3371" s="121" t="n"/>
      <s:c r="E3371" s="122" t="n"/>
    </s:row>
    <s:row r="3372" hidden="1" ht="1" customHeight="1">
      <s:c r="A3372" s="120" t="inlineStr"/>
      <s:c r="B3372" s="121" t="n"/>
      <s:c r="C3372" s="121" t="n"/>
      <s:c r="D3372" s="121" t="n"/>
      <s:c r="E3372" s="122" t="n"/>
    </s:row>
    <s:row r="3373" hidden="1" ht="1" customHeight="1">
      <s:c r="A3373" s="120" t="inlineStr"/>
      <s:c r="B3373" s="121" t="n"/>
      <s:c r="C3373" s="121" t="n"/>
      <s:c r="D3373" s="121" t="n"/>
      <s:c r="E3373" s="122" t="n"/>
    </s:row>
    <s:row r="3374" hidden="1" ht="1" customHeight="1">
      <s:c r="A3374" s="120" t="inlineStr"/>
      <s:c r="B3374" s="121" t="n"/>
      <s:c r="C3374" s="121" t="n"/>
      <s:c r="D3374" s="121" t="n"/>
      <s:c r="E3374" s="122" t="n"/>
    </s:row>
    <s:row r="3375" hidden="1" ht="1" customHeight="1">
      <s:c r="A3375" s="120" t="inlineStr"/>
      <s:c r="B3375" s="121" t="n"/>
      <s:c r="C3375" s="121" t="n"/>
      <s:c r="D3375" s="121" t="n"/>
      <s:c r="E3375" s="122" t="n"/>
    </s:row>
    <s:row r="3376" hidden="1" ht="1" customHeight="1">
      <s:c r="A3376" s="120" t="inlineStr"/>
      <s:c r="B3376" s="121" t="n"/>
      <s:c r="C3376" s="121" t="n"/>
      <s:c r="D3376" s="121" t="n"/>
      <s:c r="E3376" s="122" t="n"/>
    </s:row>
    <s:row r="3377" hidden="1" ht="1" customHeight="1">
      <s:c r="A3377" s="120" t="inlineStr"/>
      <s:c r="B3377" s="121" t="n"/>
      <s:c r="C3377" s="121" t="n"/>
      <s:c r="D3377" s="121" t="n"/>
      <s:c r="E3377" s="122" t="n"/>
    </s:row>
    <s:row r="3378" hidden="1" ht="1" customHeight="1">
      <s:c r="A3378" s="120" t="inlineStr"/>
      <s:c r="B3378" s="121" t="n"/>
      <s:c r="C3378" s="121" t="n"/>
      <s:c r="D3378" s="121" t="n"/>
      <s:c r="E3378" s="122" t="n"/>
    </s:row>
    <s:row r="3379" hidden="1" ht="1" customHeight="1">
      <s:c r="A3379" s="120" t="inlineStr"/>
      <s:c r="B3379" s="121" t="n"/>
      <s:c r="C3379" s="121" t="n"/>
      <s:c r="D3379" s="121" t="n"/>
      <s:c r="E3379" s="122" t="n"/>
    </s:row>
    <s:row r="3380" hidden="1" ht="1" customHeight="1">
      <s:c r="A3380" s="120" t="inlineStr"/>
      <s:c r="B3380" s="121" t="n"/>
      <s:c r="C3380" s="121" t="n"/>
      <s:c r="D3380" s="121" t="n"/>
      <s:c r="E3380" s="122" t="n"/>
    </s:row>
    <s:row r="3381" hidden="1" ht="1" customHeight="1">
      <s:c r="A3381" s="120" t="inlineStr"/>
      <s:c r="B3381" s="121" t="n"/>
      <s:c r="C3381" s="121" t="n"/>
      <s:c r="D3381" s="121" t="n"/>
      <s:c r="E3381" s="122" t="n"/>
    </s:row>
    <s:row r="3382" hidden="1" ht="1" customHeight="1">
      <s:c r="A3382" s="120" t="inlineStr"/>
      <s:c r="B3382" s="121" t="n"/>
      <s:c r="C3382" s="121" t="n"/>
      <s:c r="D3382" s="121" t="n"/>
      <s:c r="E3382" s="122" t="n"/>
    </s:row>
    <s:row r="3383" hidden="1" ht="1" customHeight="1">
      <s:c r="A3383" s="120" t="inlineStr"/>
      <s:c r="B3383" s="121" t="n"/>
      <s:c r="C3383" s="121" t="n"/>
      <s:c r="D3383" s="121" t="n"/>
      <s:c r="E3383" s="122" t="n"/>
    </s:row>
    <s:row r="3384" hidden="1" ht="1" customHeight="1">
      <s:c r="A3384" s="120" t="inlineStr"/>
      <s:c r="B3384" s="121" t="n"/>
      <s:c r="C3384" s="121" t="n"/>
      <s:c r="D3384" s="121" t="n"/>
      <s:c r="E3384" s="122" t="n"/>
    </s:row>
    <s:row r="3385" hidden="1" ht="1" customHeight="1">
      <s:c r="A3385" s="120" t="inlineStr"/>
      <s:c r="B3385" s="121" t="n"/>
      <s:c r="C3385" s="121" t="n"/>
      <s:c r="D3385" s="121" t="n"/>
      <s:c r="E3385" s="122" t="n"/>
    </s:row>
    <s:row r="3386" hidden="1" ht="1" customHeight="1">
      <s:c r="A3386" s="120" t="inlineStr"/>
      <s:c r="B3386" s="121" t="n"/>
      <s:c r="C3386" s="121" t="n"/>
      <s:c r="D3386" s="121" t="n"/>
      <s:c r="E3386" s="122" t="n"/>
    </s:row>
    <s:row r="3387" hidden="1" ht="1" customHeight="1">
      <s:c r="A3387" s="120" t="inlineStr"/>
      <s:c r="B3387" s="121" t="n"/>
      <s:c r="C3387" s="121" t="n"/>
      <s:c r="D3387" s="121" t="n"/>
      <s:c r="E3387" s="122" t="n"/>
    </s:row>
    <s:row r="3388" hidden="1" ht="1" customHeight="1">
      <s:c r="A3388" s="120" t="inlineStr"/>
      <s:c r="B3388" s="121" t="n"/>
      <s:c r="C3388" s="121" t="n"/>
      <s:c r="D3388" s="121" t="n"/>
      <s:c r="E3388" s="122" t="n"/>
    </s:row>
    <s:row r="3389" hidden="1" ht="1" customHeight="1">
      <s:c r="A3389" s="120" t="inlineStr"/>
      <s:c r="B3389" s="121" t="n"/>
      <s:c r="C3389" s="121" t="n"/>
      <s:c r="D3389" s="121" t="n"/>
      <s:c r="E3389" s="122" t="n"/>
    </s:row>
    <s:row r="3390" hidden="1" ht="1" customHeight="1">
      <s:c r="A3390" s="120" t="inlineStr"/>
      <s:c r="B3390" s="121" t="n"/>
      <s:c r="C3390" s="121" t="n"/>
      <s:c r="D3390" s="121" t="n"/>
      <s:c r="E3390" s="122" t="n"/>
    </s:row>
    <s:row r="3391" hidden="1" ht="1" customHeight="1">
      <s:c r="A3391" s="120" t="inlineStr"/>
      <s:c r="B3391" s="121" t="n"/>
      <s:c r="C3391" s="121" t="n"/>
      <s:c r="D3391" s="121" t="n"/>
      <s:c r="E3391" s="122" t="n"/>
    </s:row>
    <s:row r="3392" hidden="1" ht="1" customHeight="1">
      <s:c r="A3392" s="120" t="inlineStr"/>
      <s:c r="B3392" s="121" t="n"/>
      <s:c r="C3392" s="121" t="n"/>
      <s:c r="D3392" s="121" t="n"/>
      <s:c r="E3392" s="122" t="n"/>
    </s:row>
    <s:row r="3393" hidden="1" ht="1" customHeight="1">
      <s:c r="A3393" s="120" t="inlineStr"/>
      <s:c r="B3393" s="121" t="n"/>
      <s:c r="C3393" s="121" t="n"/>
      <s:c r="D3393" s="121" t="n"/>
      <s:c r="E3393" s="122" t="n"/>
    </s:row>
    <s:row r="3394" hidden="1" ht="1" customHeight="1">
      <s:c r="A3394" s="120" t="inlineStr"/>
      <s:c r="B3394" s="121" t="n"/>
      <s:c r="C3394" s="121" t="n"/>
      <s:c r="D3394" s="121" t="n"/>
      <s:c r="E3394" s="122" t="n"/>
    </s:row>
    <s:row r="3395" hidden="1" ht="1" customHeight="1">
      <s:c r="A3395" s="120" t="inlineStr"/>
      <s:c r="B3395" s="121" t="n"/>
      <s:c r="C3395" s="121" t="n"/>
      <s:c r="D3395" s="121" t="n"/>
      <s:c r="E3395" s="122" t="n"/>
    </s:row>
    <s:row r="3396" hidden="1" ht="1" customHeight="1">
      <s:c r="A3396" s="120" t="inlineStr"/>
      <s:c r="B3396" s="121" t="n"/>
      <s:c r="C3396" s="121" t="n"/>
      <s:c r="D3396" s="121" t="n"/>
      <s:c r="E3396" s="122" t="n"/>
    </s:row>
    <s:row r="3397" hidden="1" ht="1" customHeight="1">
      <s:c r="A3397" s="120" t="inlineStr"/>
      <s:c r="B3397" s="121" t="n"/>
      <s:c r="C3397" s="121" t="n"/>
      <s:c r="D3397" s="121" t="n"/>
      <s:c r="E3397" s="122" t="n"/>
    </s:row>
    <s:row r="3398" hidden="1" ht="1" customHeight="1">
      <s:c r="A3398" s="120" t="inlineStr"/>
      <s:c r="B3398" s="121" t="n"/>
      <s:c r="C3398" s="121" t="n"/>
      <s:c r="D3398" s="121" t="n"/>
      <s:c r="E3398" s="122" t="n"/>
    </s:row>
    <s:row r="3399" hidden="1" ht="1" customHeight="1">
      <s:c r="A3399" s="120" t="inlineStr"/>
      <s:c r="B3399" s="121" t="n"/>
      <s:c r="C3399" s="121" t="n"/>
      <s:c r="D3399" s="121" t="n"/>
      <s:c r="E3399" s="122" t="n"/>
    </s:row>
    <s:row r="3400" hidden="1" ht="1" customHeight="1">
      <s:c r="A3400" s="120" t="inlineStr"/>
      <s:c r="B3400" s="121" t="n"/>
      <s:c r="C3400" s="121" t="n"/>
      <s:c r="D3400" s="121" t="n"/>
      <s:c r="E3400" s="122" t="n"/>
    </s:row>
    <s:row r="3401" hidden="1" ht="1" customHeight="1">
      <s:c r="A3401" s="120" t="inlineStr"/>
      <s:c r="B3401" s="121" t="n"/>
      <s:c r="C3401" s="121" t="n"/>
      <s:c r="D3401" s="121" t="n"/>
      <s:c r="E3401" s="122" t="n"/>
    </s:row>
    <s:row r="3402" hidden="1" ht="1" customHeight="1">
      <s:c r="A3402" s="120" t="inlineStr"/>
      <s:c r="B3402" s="121" t="n"/>
      <s:c r="C3402" s="121" t="n"/>
      <s:c r="D3402" s="121" t="n"/>
      <s:c r="E3402" s="122" t="n"/>
    </s:row>
    <s:row r="3403" hidden="1" ht="1" customHeight="1">
      <s:c r="A3403" s="120" t="inlineStr"/>
      <s:c r="B3403" s="121" t="n"/>
      <s:c r="C3403" s="121" t="n"/>
      <s:c r="D3403" s="121" t="n"/>
      <s:c r="E3403" s="122" t="n"/>
    </s:row>
    <s:row r="3404" hidden="1" ht="1" customHeight="1">
      <s:c r="A3404" s="120" t="inlineStr"/>
      <s:c r="B3404" s="121" t="n"/>
      <s:c r="C3404" s="121" t="n"/>
      <s:c r="D3404" s="121" t="n"/>
      <s:c r="E3404" s="122" t="n"/>
    </s:row>
    <s:row r="3405" hidden="1" ht="1" customHeight="1">
      <s:c r="A3405" s="120" t="inlineStr"/>
      <s:c r="B3405" s="121" t="n"/>
      <s:c r="C3405" s="121" t="n"/>
      <s:c r="D3405" s="121" t="n"/>
      <s:c r="E3405" s="122" t="n"/>
    </s:row>
    <s:row r="3406" hidden="1" ht="1" customHeight="1">
      <s:c r="A3406" s="120" t="inlineStr"/>
      <s:c r="B3406" s="121" t="n"/>
      <s:c r="C3406" s="121" t="n"/>
      <s:c r="D3406" s="121" t="n"/>
      <s:c r="E3406" s="122" t="n"/>
    </s:row>
    <s:row r="3407" hidden="1" ht="1" customHeight="1">
      <s:c r="A3407" s="120" t="inlineStr"/>
      <s:c r="B3407" s="121" t="n"/>
      <s:c r="C3407" s="121" t="n"/>
      <s:c r="D3407" s="121" t="n"/>
      <s:c r="E3407" s="122" t="n"/>
    </s:row>
    <s:row r="3408" hidden="1" ht="1" customHeight="1">
      <s:c r="A3408" s="120" t="inlineStr"/>
      <s:c r="B3408" s="121" t="n"/>
      <s:c r="C3408" s="121" t="n"/>
      <s:c r="D3408" s="121" t="n"/>
      <s:c r="E3408" s="122" t="n"/>
    </s:row>
    <s:row r="3409" hidden="1" ht="1" customHeight="1">
      <s:c r="A3409" s="120" t="inlineStr"/>
      <s:c r="B3409" s="121" t="n"/>
      <s:c r="C3409" s="121" t="n"/>
      <s:c r="D3409" s="121" t="n"/>
      <s:c r="E3409" s="122" t="n"/>
    </s:row>
    <s:row r="3410" hidden="1" ht="1" customHeight="1">
      <s:c r="A3410" s="120" t="inlineStr"/>
      <s:c r="B3410" s="121" t="n"/>
      <s:c r="C3410" s="121" t="n"/>
      <s:c r="D3410" s="121" t="n"/>
      <s:c r="E3410" s="122" t="n"/>
    </s:row>
    <s:row r="3411" hidden="1" ht="1" customHeight="1">
      <s:c r="A3411" s="120" t="inlineStr"/>
      <s:c r="B3411" s="121" t="n"/>
      <s:c r="C3411" s="121" t="n"/>
      <s:c r="D3411" s="121" t="n"/>
      <s:c r="E3411" s="122" t="n"/>
    </s:row>
    <s:row r="3412" hidden="1" ht="1" customHeight="1">
      <s:c r="A3412" s="120" t="inlineStr"/>
      <s:c r="B3412" s="121" t="n"/>
      <s:c r="C3412" s="121" t="n"/>
      <s:c r="D3412" s="121" t="n"/>
      <s:c r="E3412" s="122" t="n"/>
    </s:row>
    <s:row r="3413" hidden="1" ht="1" customHeight="1">
      <s:c r="A3413" s="120" t="inlineStr"/>
      <s:c r="B3413" s="121" t="n"/>
      <s:c r="C3413" s="121" t="n"/>
      <s:c r="D3413" s="121" t="n"/>
      <s:c r="E3413" s="122" t="n"/>
    </s:row>
    <s:row r="3414" hidden="1" ht="1" customHeight="1">
      <s:c r="A3414" s="120" t="inlineStr"/>
      <s:c r="B3414" s="121" t="n"/>
      <s:c r="C3414" s="121" t="n"/>
      <s:c r="D3414" s="121" t="n"/>
      <s:c r="E3414" s="122" t="n"/>
    </s:row>
    <s:row r="3415" hidden="1" ht="1" customHeight="1">
      <s:c r="A3415" s="120" t="inlineStr"/>
      <s:c r="B3415" s="121" t="n"/>
      <s:c r="C3415" s="121" t="n"/>
      <s:c r="D3415" s="121" t="n"/>
      <s:c r="E3415" s="122" t="n"/>
    </s:row>
    <s:row r="3416" hidden="1" ht="1" customHeight="1">
      <s:c r="A3416" s="120" t="inlineStr"/>
      <s:c r="B3416" s="121" t="n"/>
      <s:c r="C3416" s="121" t="n"/>
      <s:c r="D3416" s="121" t="n"/>
      <s:c r="E3416" s="122" t="n"/>
    </s:row>
    <s:row r="3417" hidden="1" ht="1" customHeight="1">
      <s:c r="A3417" s="120" t="inlineStr"/>
      <s:c r="B3417" s="121" t="n"/>
      <s:c r="C3417" s="121" t="n"/>
      <s:c r="D3417" s="121" t="n"/>
      <s:c r="E3417" s="122" t="n"/>
    </s:row>
    <s:row r="3418" hidden="1" ht="1" customHeight="1">
      <s:c r="A3418" s="120" t="inlineStr"/>
      <s:c r="B3418" s="121" t="n"/>
      <s:c r="C3418" s="121" t="n"/>
      <s:c r="D3418" s="121" t="n"/>
      <s:c r="E3418" s="122" t="n"/>
    </s:row>
    <s:row r="3419" hidden="1" ht="1" customHeight="1">
      <s:c r="A3419" s="120" t="inlineStr"/>
      <s:c r="B3419" s="121" t="n"/>
      <s:c r="C3419" s="121" t="n"/>
      <s:c r="D3419" s="121" t="n"/>
      <s:c r="E3419" s="122" t="n"/>
    </s:row>
    <s:row r="3420" hidden="1" ht="1" customHeight="1">
      <s:c r="A3420" s="120" t="inlineStr"/>
      <s:c r="B3420" s="121" t="n"/>
      <s:c r="C3420" s="121" t="n"/>
      <s:c r="D3420" s="121" t="n"/>
      <s:c r="E3420" s="122" t="n"/>
    </s:row>
    <s:row r="3421" hidden="1" ht="1" customHeight="1">
      <s:c r="A3421" s="120" t="inlineStr"/>
      <s:c r="B3421" s="121" t="n"/>
      <s:c r="C3421" s="121" t="n"/>
      <s:c r="D3421" s="121" t="n"/>
      <s:c r="E3421" s="122" t="n"/>
    </s:row>
    <s:row r="3422" hidden="1" ht="1" customHeight="1">
      <s:c r="A3422" s="120" t="inlineStr"/>
      <s:c r="B3422" s="121" t="n"/>
      <s:c r="C3422" s="121" t="n"/>
      <s:c r="D3422" s="121" t="n"/>
      <s:c r="E3422" s="122" t="n"/>
    </s:row>
    <s:row r="3423" hidden="1" ht="1" customHeight="1">
      <s:c r="A3423" s="120" t="inlineStr"/>
      <s:c r="B3423" s="121" t="n"/>
      <s:c r="C3423" s="121" t="n"/>
      <s:c r="D3423" s="121" t="n"/>
      <s:c r="E3423" s="122" t="n"/>
    </s:row>
    <s:row r="3424" hidden="1" ht="1" customHeight="1">
      <s:c r="A3424" s="120" t="inlineStr"/>
      <s:c r="B3424" s="121" t="n"/>
      <s:c r="C3424" s="121" t="n"/>
      <s:c r="D3424" s="121" t="n"/>
      <s:c r="E3424" s="122" t="n"/>
    </s:row>
    <s:row r="3425" hidden="1" ht="1" customHeight="1">
      <s:c r="A3425" s="120" t="inlineStr"/>
      <s:c r="B3425" s="121" t="n"/>
      <s:c r="C3425" s="121" t="n"/>
      <s:c r="D3425" s="121" t="n"/>
      <s:c r="E3425" s="122" t="n"/>
    </s:row>
    <s:row r="3426" hidden="1" ht="1" customHeight="1">
      <s:c r="A3426" s="120" t="inlineStr"/>
      <s:c r="B3426" s="121" t="n"/>
      <s:c r="C3426" s="121" t="n"/>
      <s:c r="D3426" s="121" t="n"/>
      <s:c r="E3426" s="122" t="n"/>
    </s:row>
    <s:row r="3427" hidden="1" ht="1" customHeight="1">
      <s:c r="A3427" s="120" t="inlineStr"/>
      <s:c r="B3427" s="121" t="n"/>
      <s:c r="C3427" s="121" t="n"/>
      <s:c r="D3427" s="121" t="n"/>
      <s:c r="E3427" s="122" t="n"/>
    </s:row>
    <s:row r="3428" hidden="1" ht="1" customHeight="1">
      <s:c r="A3428" s="120" t="inlineStr"/>
      <s:c r="B3428" s="121" t="n"/>
      <s:c r="C3428" s="121" t="n"/>
      <s:c r="D3428" s="121" t="n"/>
      <s:c r="E3428" s="122" t="n"/>
    </s:row>
    <s:row r="3429" hidden="1" ht="1" customHeight="1">
      <s:c r="A3429" s="120" t="inlineStr"/>
      <s:c r="B3429" s="121" t="n"/>
      <s:c r="C3429" s="121" t="n"/>
      <s:c r="D3429" s="121" t="n"/>
      <s:c r="E3429" s="122" t="n"/>
    </s:row>
    <s:row r="3430" hidden="1" ht="1" customHeight="1">
      <s:c r="A3430" s="120" t="inlineStr"/>
      <s:c r="B3430" s="121" t="n"/>
      <s:c r="C3430" s="121" t="n"/>
      <s:c r="D3430" s="121" t="n"/>
      <s:c r="E3430" s="122" t="n"/>
    </s:row>
    <s:row r="3431" hidden="1" ht="1" customHeight="1">
      <s:c r="A3431" s="120" t="inlineStr"/>
      <s:c r="B3431" s="121" t="n"/>
      <s:c r="C3431" s="121" t="n"/>
      <s:c r="D3431" s="121" t="n"/>
      <s:c r="E3431" s="122" t="n"/>
    </s:row>
    <s:row r="3432" hidden="1" ht="1" customHeight="1">
      <s:c r="A3432" s="120" t="inlineStr"/>
      <s:c r="B3432" s="121" t="n"/>
      <s:c r="C3432" s="121" t="n"/>
      <s:c r="D3432" s="121" t="n"/>
      <s:c r="E3432" s="122" t="n"/>
    </s:row>
    <s:row r="3433" hidden="1" ht="1" customHeight="1">
      <s:c r="A3433" s="120" t="inlineStr"/>
      <s:c r="B3433" s="121" t="n"/>
      <s:c r="C3433" s="121" t="n"/>
      <s:c r="D3433" s="121" t="n"/>
      <s:c r="E3433" s="122" t="n"/>
    </s:row>
    <s:row r="3434" hidden="1" ht="1" customHeight="1">
      <s:c r="A3434" s="120" t="inlineStr"/>
      <s:c r="B3434" s="121" t="n"/>
      <s:c r="C3434" s="121" t="n"/>
      <s:c r="D3434" s="121" t="n"/>
      <s:c r="E3434" s="122" t="n"/>
    </s:row>
    <s:row r="3435" hidden="1" ht="1" customHeight="1">
      <s:c r="A3435" s="120" t="inlineStr"/>
      <s:c r="B3435" s="121" t="n"/>
      <s:c r="C3435" s="121" t="n"/>
      <s:c r="D3435" s="121" t="n"/>
      <s:c r="E3435" s="122" t="n"/>
    </s:row>
    <s:row r="3436" hidden="1" ht="1" customHeight="1">
      <s:c r="A3436" s="120" t="inlineStr"/>
      <s:c r="B3436" s="121" t="n"/>
      <s:c r="C3436" s="121" t="n"/>
      <s:c r="D3436" s="121" t="n"/>
      <s:c r="E3436" s="122" t="n"/>
    </s:row>
    <s:row r="3437" hidden="1" ht="1" customHeight="1">
      <s:c r="A3437" s="120" t="inlineStr"/>
      <s:c r="B3437" s="121" t="n"/>
      <s:c r="C3437" s="121" t="n"/>
      <s:c r="D3437" s="121" t="n"/>
      <s:c r="E3437" s="122" t="n"/>
    </s:row>
    <s:row r="3438" hidden="1" ht="1" customHeight="1">
      <s:c r="A3438" s="120" t="inlineStr"/>
      <s:c r="B3438" s="121" t="n"/>
      <s:c r="C3438" s="121" t="n"/>
      <s:c r="D3438" s="121" t="n"/>
      <s:c r="E3438" s="122" t="n"/>
    </s:row>
    <s:row r="3439" hidden="1" ht="1" customHeight="1">
      <s:c r="A3439" s="120" t="inlineStr"/>
      <s:c r="B3439" s="121" t="n"/>
      <s:c r="C3439" s="121" t="n"/>
      <s:c r="D3439" s="121" t="n"/>
      <s:c r="E3439" s="122" t="n"/>
    </s:row>
    <s:row r="3440" hidden="1" ht="1" customHeight="1">
      <s:c r="A3440" s="120" t="inlineStr"/>
      <s:c r="B3440" s="121" t="n"/>
      <s:c r="C3440" s="121" t="n"/>
      <s:c r="D3440" s="121" t="n"/>
      <s:c r="E3440" s="122" t="n"/>
    </s:row>
    <s:row r="3441" hidden="1" ht="1" customHeight="1">
      <s:c r="A3441" s="120" t="inlineStr"/>
      <s:c r="B3441" s="121" t="n"/>
      <s:c r="C3441" s="121" t="n"/>
      <s:c r="D3441" s="121" t="n"/>
      <s:c r="E3441" s="122" t="n"/>
    </s:row>
    <s:row r="3442" hidden="1" ht="1" customHeight="1">
      <s:c r="A3442" s="120" t="inlineStr"/>
      <s:c r="B3442" s="121" t="n"/>
      <s:c r="C3442" s="121" t="n"/>
      <s:c r="D3442" s="121" t="n"/>
      <s:c r="E3442" s="122" t="n"/>
    </s:row>
    <s:row r="3443" hidden="1" ht="1" customHeight="1">
      <s:c r="A3443" s="120" t="inlineStr"/>
      <s:c r="B3443" s="121" t="n"/>
      <s:c r="C3443" s="121" t="n"/>
      <s:c r="D3443" s="121" t="n"/>
      <s:c r="E3443" s="122" t="n"/>
    </s:row>
    <s:row r="3444" hidden="1" ht="1" customHeight="1">
      <s:c r="A3444" s="120" t="inlineStr"/>
      <s:c r="B3444" s="121" t="n"/>
      <s:c r="C3444" s="121" t="n"/>
      <s:c r="D3444" s="121" t="n"/>
      <s:c r="E3444" s="122" t="n"/>
    </s:row>
    <s:row r="3445" hidden="1" ht="1" customHeight="1">
      <s:c r="A3445" s="120" t="inlineStr"/>
      <s:c r="B3445" s="121" t="n"/>
      <s:c r="C3445" s="121" t="n"/>
      <s:c r="D3445" s="121" t="n"/>
      <s:c r="E3445" s="122" t="n"/>
    </s:row>
    <s:row r="3446" hidden="1" ht="1" customHeight="1">
      <s:c r="A3446" s="120" t="inlineStr"/>
      <s:c r="B3446" s="121" t="n"/>
      <s:c r="C3446" s="121" t="n"/>
      <s:c r="D3446" s="121" t="n"/>
      <s:c r="E3446" s="122" t="n"/>
    </s:row>
    <s:row r="3447" hidden="1" ht="1" customHeight="1">
      <s:c r="A3447" s="120" t="inlineStr"/>
      <s:c r="B3447" s="121" t="n"/>
      <s:c r="C3447" s="121" t="n"/>
      <s:c r="D3447" s="121" t="n"/>
      <s:c r="E3447" s="122" t="n"/>
    </s:row>
    <s:row r="3448" hidden="1" ht="1" customHeight="1">
      <s:c r="A3448" s="120" t="inlineStr"/>
      <s:c r="B3448" s="121" t="n"/>
      <s:c r="C3448" s="121" t="n"/>
      <s:c r="D3448" s="121" t="n"/>
      <s:c r="E3448" s="122" t="n"/>
    </s:row>
    <s:row r="3449" hidden="1" ht="1" customHeight="1">
      <s:c r="A3449" s="120" t="inlineStr"/>
      <s:c r="B3449" s="121" t="n"/>
      <s:c r="C3449" s="121" t="n"/>
      <s:c r="D3449" s="121" t="n"/>
      <s:c r="E3449" s="122" t="n"/>
    </s:row>
    <s:row r="3450" hidden="1" ht="1" customHeight="1">
      <s:c r="A3450" s="120" t="inlineStr"/>
      <s:c r="B3450" s="121" t="n"/>
      <s:c r="C3450" s="121" t="n"/>
      <s:c r="D3450" s="121" t="n"/>
      <s:c r="E3450" s="122" t="n"/>
    </s:row>
    <s:row r="3451" hidden="1" ht="1" customHeight="1">
      <s:c r="A3451" s="120" t="inlineStr"/>
      <s:c r="B3451" s="121" t="n"/>
      <s:c r="C3451" s="121" t="n"/>
      <s:c r="D3451" s="121" t="n"/>
      <s:c r="E3451" s="122" t="n"/>
    </s:row>
    <s:row r="3452" hidden="1" ht="1" customHeight="1">
      <s:c r="A3452" s="120" t="inlineStr"/>
      <s:c r="B3452" s="121" t="n"/>
      <s:c r="C3452" s="121" t="n"/>
      <s:c r="D3452" s="121" t="n"/>
      <s:c r="E3452" s="122" t="n"/>
    </s:row>
    <s:row r="3453" hidden="1" ht="1" customHeight="1">
      <s:c r="A3453" s="120" t="inlineStr"/>
      <s:c r="B3453" s="121" t="n"/>
      <s:c r="C3453" s="121" t="n"/>
      <s:c r="D3453" s="121" t="n"/>
      <s:c r="E3453" s="122" t="n"/>
    </s:row>
    <s:row r="3454" hidden="1" ht="1" customHeight="1">
      <s:c r="A3454" s="120" t="inlineStr"/>
      <s:c r="B3454" s="121" t="n"/>
      <s:c r="C3454" s="121" t="n"/>
      <s:c r="D3454" s="121" t="n"/>
      <s:c r="E3454" s="122" t="n"/>
    </s:row>
    <s:row r="3455" hidden="1" ht="1" customHeight="1">
      <s:c r="A3455" s="120" t="inlineStr"/>
      <s:c r="B3455" s="121" t="n"/>
      <s:c r="C3455" s="121" t="n"/>
      <s:c r="D3455" s="121" t="n"/>
      <s:c r="E3455" s="122" t="n"/>
    </s:row>
    <s:row r="3456" hidden="1" ht="1" customHeight="1">
      <s:c r="A3456" s="120" t="inlineStr"/>
      <s:c r="B3456" s="121" t="n"/>
      <s:c r="C3456" s="121" t="n"/>
      <s:c r="D3456" s="121" t="n"/>
      <s:c r="E3456" s="122" t="n"/>
    </s:row>
    <s:row r="3457" hidden="1" ht="1" customHeight="1">
      <s:c r="A3457" s="120" t="inlineStr"/>
      <s:c r="B3457" s="121" t="n"/>
      <s:c r="C3457" s="121" t="n"/>
      <s:c r="D3457" s="121" t="n"/>
      <s:c r="E3457" s="122" t="n"/>
    </s:row>
    <s:row r="3458" hidden="1" ht="1" customHeight="1">
      <s:c r="A3458" s="120" t="inlineStr"/>
      <s:c r="B3458" s="121" t="n"/>
      <s:c r="C3458" s="121" t="n"/>
      <s:c r="D3458" s="121" t="n"/>
      <s:c r="E3458" s="122" t="n"/>
    </s:row>
    <s:row r="3459" hidden="1" ht="1" customHeight="1">
      <s:c r="A3459" s="120" t="inlineStr"/>
      <s:c r="B3459" s="121" t="n"/>
      <s:c r="C3459" s="121" t="n"/>
      <s:c r="D3459" s="121" t="n"/>
      <s:c r="E3459" s="122" t="n"/>
    </s:row>
    <s:row r="3460" hidden="1" ht="1" customHeight="1">
      <s:c r="A3460" s="120" t="inlineStr"/>
      <s:c r="B3460" s="121" t="n"/>
      <s:c r="C3460" s="121" t="n"/>
      <s:c r="D3460" s="121" t="n"/>
      <s:c r="E3460" s="122" t="n"/>
    </s:row>
    <s:row r="3461" hidden="1" ht="1" customHeight="1">
      <s:c r="A3461" s="120" t="inlineStr"/>
      <s:c r="B3461" s="121" t="n"/>
      <s:c r="C3461" s="121" t="n"/>
      <s:c r="D3461" s="121" t="n"/>
      <s:c r="E3461" s="122" t="n"/>
    </s:row>
    <s:row r="3462" hidden="1" ht="1" customHeight="1">
      <s:c r="A3462" s="120" t="inlineStr"/>
      <s:c r="B3462" s="121" t="n"/>
      <s:c r="C3462" s="121" t="n"/>
      <s:c r="D3462" s="121" t="n"/>
      <s:c r="E3462" s="122" t="n"/>
    </s:row>
    <s:row r="3463" hidden="1" ht="1" customHeight="1">
      <s:c r="A3463" s="120" t="inlineStr"/>
      <s:c r="B3463" s="121" t="n"/>
      <s:c r="C3463" s="121" t="n"/>
      <s:c r="D3463" s="121" t="n"/>
      <s:c r="E3463" s="122" t="n"/>
    </s:row>
    <s:row r="3464" hidden="1" ht="1" customHeight="1">
      <s:c r="A3464" s="120" t="inlineStr"/>
      <s:c r="B3464" s="121" t="n"/>
      <s:c r="C3464" s="121" t="n"/>
      <s:c r="D3464" s="121" t="n"/>
      <s:c r="E3464" s="122" t="n"/>
    </s:row>
    <s:row r="3465" hidden="1" ht="1" customHeight="1">
      <s:c r="A3465" s="120" t="inlineStr"/>
      <s:c r="B3465" s="121" t="n"/>
      <s:c r="C3465" s="121" t="n"/>
      <s:c r="D3465" s="121" t="n"/>
      <s:c r="E3465" s="122" t="n"/>
    </s:row>
    <s:row r="3466" hidden="1" ht="1" customHeight="1">
      <s:c r="A3466" s="120" t="inlineStr"/>
      <s:c r="B3466" s="121" t="n"/>
      <s:c r="C3466" s="121" t="n"/>
      <s:c r="D3466" s="121" t="n"/>
      <s:c r="E3466" s="122" t="n"/>
    </s:row>
    <s:row r="3467" hidden="1" ht="1" customHeight="1">
      <s:c r="A3467" s="120" t="inlineStr"/>
      <s:c r="B3467" s="121" t="n"/>
      <s:c r="C3467" s="121" t="n"/>
      <s:c r="D3467" s="121" t="n"/>
      <s:c r="E3467" s="122" t="n"/>
    </s:row>
    <s:row r="3468" hidden="1" ht="1" customHeight="1">
      <s:c r="A3468" s="120" t="inlineStr"/>
      <s:c r="B3468" s="121" t="n"/>
      <s:c r="C3468" s="121" t="n"/>
      <s:c r="D3468" s="121" t="n"/>
      <s:c r="E3468" s="122" t="n"/>
    </s:row>
    <s:row r="3469" hidden="1" ht="1" customHeight="1">
      <s:c r="A3469" s="120" t="inlineStr"/>
      <s:c r="B3469" s="121" t="n"/>
      <s:c r="C3469" s="121" t="n"/>
      <s:c r="D3469" s="121" t="n"/>
      <s:c r="E3469" s="122" t="n"/>
    </s:row>
    <s:row r="3470" hidden="1" ht="1" customHeight="1">
      <s:c r="A3470" s="120" t="inlineStr"/>
      <s:c r="B3470" s="121" t="n"/>
      <s:c r="C3470" s="121" t="n"/>
      <s:c r="D3470" s="121" t="n"/>
      <s:c r="E3470" s="122" t="n"/>
    </s:row>
    <s:row r="3471" hidden="1" ht="1" customHeight="1">
      <s:c r="A3471" s="120" t="inlineStr"/>
      <s:c r="B3471" s="121" t="n"/>
      <s:c r="C3471" s="121" t="n"/>
      <s:c r="D3471" s="121" t="n"/>
      <s:c r="E3471" s="122" t="n"/>
    </s:row>
    <s:row r="3472" hidden="1" ht="1" customHeight="1">
      <s:c r="A3472" s="120" t="inlineStr"/>
      <s:c r="B3472" s="121" t="n"/>
      <s:c r="C3472" s="121" t="n"/>
      <s:c r="D3472" s="121" t="n"/>
      <s:c r="E3472" s="122" t="n"/>
    </s:row>
    <s:row r="3473" hidden="1" ht="1" customHeight="1">
      <s:c r="A3473" s="120" t="inlineStr"/>
      <s:c r="B3473" s="121" t="n"/>
      <s:c r="C3473" s="121" t="n"/>
      <s:c r="D3473" s="121" t="n"/>
      <s:c r="E3473" s="122" t="n"/>
    </s:row>
    <s:row r="3474" hidden="1" ht="1" customHeight="1">
      <s:c r="A3474" s="120" t="inlineStr"/>
      <s:c r="B3474" s="121" t="n"/>
      <s:c r="C3474" s="121" t="n"/>
      <s:c r="D3474" s="121" t="n"/>
      <s:c r="E3474" s="122" t="n"/>
    </s:row>
    <s:row r="3475" hidden="1" ht="1" customHeight="1">
      <s:c r="A3475" s="120" t="inlineStr"/>
      <s:c r="B3475" s="121" t="n"/>
      <s:c r="C3475" s="121" t="n"/>
      <s:c r="D3475" s="121" t="n"/>
      <s:c r="E3475" s="122" t="n"/>
    </s:row>
    <s:row r="3476" hidden="1" ht="1" customHeight="1">
      <s:c r="A3476" s="120" t="inlineStr"/>
      <s:c r="B3476" s="121" t="n"/>
      <s:c r="C3476" s="121" t="n"/>
      <s:c r="D3476" s="121" t="n"/>
      <s:c r="E3476" s="122" t="n"/>
    </s:row>
    <s:row r="3477" hidden="1" ht="1" customHeight="1">
      <s:c r="A3477" s="120" t="inlineStr"/>
      <s:c r="B3477" s="121" t="n"/>
      <s:c r="C3477" s="121" t="n"/>
      <s:c r="D3477" s="121" t="n"/>
      <s:c r="E3477" s="122" t="n"/>
    </s:row>
    <s:row r="3478" hidden="1" ht="1" customHeight="1">
      <s:c r="A3478" s="120" t="inlineStr"/>
      <s:c r="B3478" s="121" t="n"/>
      <s:c r="C3478" s="121" t="n"/>
      <s:c r="D3478" s="121" t="n"/>
      <s:c r="E3478" s="122" t="n"/>
    </s:row>
    <s:row r="3479" hidden="1" ht="1" customHeight="1">
      <s:c r="A3479" s="120" t="inlineStr"/>
      <s:c r="B3479" s="121" t="n"/>
      <s:c r="C3479" s="121" t="n"/>
      <s:c r="D3479" s="121" t="n"/>
      <s:c r="E3479" s="122" t="n"/>
    </s:row>
    <s:row r="3480" hidden="1" ht="1" customHeight="1">
      <s:c r="A3480" s="120" t="inlineStr"/>
      <s:c r="B3480" s="121" t="n"/>
      <s:c r="C3480" s="121" t="n"/>
      <s:c r="D3480" s="121" t="n"/>
      <s:c r="E3480" s="122" t="n"/>
    </s:row>
    <s:row r="3481" hidden="1" ht="1" customHeight="1">
      <s:c r="A3481" s="120" t="inlineStr"/>
      <s:c r="B3481" s="121" t="n"/>
      <s:c r="C3481" s="121" t="n"/>
      <s:c r="D3481" s="121" t="n"/>
      <s:c r="E3481" s="122" t="n"/>
    </s:row>
    <s:row r="3482" hidden="1" ht="1" customHeight="1">
      <s:c r="A3482" s="120" t="inlineStr"/>
      <s:c r="B3482" s="121" t="n"/>
      <s:c r="C3482" s="121" t="n"/>
      <s:c r="D3482" s="121" t="n"/>
      <s:c r="E3482" s="122" t="n"/>
    </s:row>
    <s:row r="3483" hidden="1" ht="1" customHeight="1">
      <s:c r="A3483" s="120" t="inlineStr"/>
      <s:c r="B3483" s="121" t="n"/>
      <s:c r="C3483" s="121" t="n"/>
      <s:c r="D3483" s="121" t="n"/>
      <s:c r="E3483" s="122" t="n"/>
    </s:row>
    <s:row r="3484" hidden="1" ht="1" customHeight="1">
      <s:c r="A3484" s="120" t="inlineStr"/>
      <s:c r="B3484" s="121" t="n"/>
      <s:c r="C3484" s="121" t="n"/>
      <s:c r="D3484" s="121" t="n"/>
      <s:c r="E3484" s="122" t="n"/>
    </s:row>
    <s:row r="3485" hidden="1" ht="1" customHeight="1">
      <s:c r="A3485" s="120" t="inlineStr"/>
      <s:c r="B3485" s="121" t="n"/>
      <s:c r="C3485" s="121" t="n"/>
      <s:c r="D3485" s="121" t="n"/>
      <s:c r="E3485" s="122" t="n"/>
    </s:row>
    <s:row r="3486" hidden="1" ht="1" customHeight="1">
      <s:c r="A3486" s="120" t="inlineStr"/>
      <s:c r="B3486" s="121" t="n"/>
      <s:c r="C3486" s="121" t="n"/>
      <s:c r="D3486" s="121" t="n"/>
      <s:c r="E3486" s="122" t="n"/>
    </s:row>
    <s:row r="3487" hidden="1" ht="1" customHeight="1">
      <s:c r="A3487" s="120" t="inlineStr"/>
      <s:c r="B3487" s="121" t="n"/>
      <s:c r="C3487" s="121" t="n"/>
      <s:c r="D3487" s="121" t="n"/>
      <s:c r="E3487" s="122" t="n"/>
    </s:row>
    <s:row r="3488" hidden="1" ht="1" customHeight="1">
      <s:c r="A3488" s="120" t="inlineStr"/>
      <s:c r="B3488" s="121" t="n"/>
      <s:c r="C3488" s="121" t="n"/>
      <s:c r="D3488" s="121" t="n"/>
      <s:c r="E3488" s="122" t="n"/>
    </s:row>
    <s:row r="3489" hidden="1" ht="1" customHeight="1">
      <s:c r="A3489" s="120" t="inlineStr"/>
      <s:c r="B3489" s="121" t="n"/>
      <s:c r="C3489" s="121" t="n"/>
      <s:c r="D3489" s="121" t="n"/>
      <s:c r="E3489" s="122" t="n"/>
    </s:row>
    <s:row r="3490" hidden="1" ht="1" customHeight="1">
      <s:c r="A3490" s="120" t="inlineStr"/>
      <s:c r="B3490" s="121" t="n"/>
      <s:c r="C3490" s="121" t="n"/>
      <s:c r="D3490" s="121" t="n"/>
      <s:c r="E3490" s="122" t="n"/>
    </s:row>
    <s:row r="3491" hidden="1" ht="1" customHeight="1">
      <s:c r="A3491" s="120" t="inlineStr"/>
      <s:c r="B3491" s="121" t="n"/>
      <s:c r="C3491" s="121" t="n"/>
      <s:c r="D3491" s="121" t="n"/>
      <s:c r="E3491" s="122" t="n"/>
    </s:row>
    <s:row r="3492" hidden="1" ht="1" customHeight="1">
      <s:c r="A3492" s="120" t="inlineStr"/>
      <s:c r="B3492" s="121" t="n"/>
      <s:c r="C3492" s="121" t="n"/>
      <s:c r="D3492" s="121" t="n"/>
      <s:c r="E3492" s="122" t="n"/>
    </s:row>
    <s:row r="3493" hidden="1" ht="1" customHeight="1">
      <s:c r="A3493" s="120" t="inlineStr"/>
      <s:c r="B3493" s="121" t="n"/>
      <s:c r="C3493" s="121" t="n"/>
      <s:c r="D3493" s="121" t="n"/>
      <s:c r="E3493" s="122" t="n"/>
    </s:row>
    <s:row r="3494" hidden="1" ht="1" customHeight="1">
      <s:c r="A3494" s="120" t="inlineStr"/>
      <s:c r="B3494" s="121" t="n"/>
      <s:c r="C3494" s="121" t="n"/>
      <s:c r="D3494" s="121" t="n"/>
      <s:c r="E3494" s="122" t="n"/>
    </s:row>
    <s:row r="3495" hidden="1" ht="1" customHeight="1">
      <s:c r="A3495" s="120" t="inlineStr"/>
      <s:c r="B3495" s="121" t="n"/>
      <s:c r="C3495" s="121" t="n"/>
      <s:c r="D3495" s="121" t="n"/>
      <s:c r="E3495" s="122" t="n"/>
    </s:row>
    <s:row r="3496" hidden="1" ht="1" customHeight="1">
      <s:c r="A3496" s="120" t="inlineStr"/>
      <s:c r="B3496" s="121" t="n"/>
      <s:c r="C3496" s="121" t="n"/>
      <s:c r="D3496" s="121" t="n"/>
      <s:c r="E3496" s="122" t="n"/>
    </s:row>
    <s:row r="3497" hidden="1" ht="1" customHeight="1">
      <s:c r="A3497" s="120" t="inlineStr"/>
      <s:c r="B3497" s="121" t="n"/>
      <s:c r="C3497" s="121" t="n"/>
      <s:c r="D3497" s="121" t="n"/>
      <s:c r="E3497" s="122" t="n"/>
    </s:row>
    <s:row r="3498" hidden="1" ht="1" customHeight="1">
      <s:c r="A3498" s="120" t="inlineStr"/>
      <s:c r="B3498" s="121" t="n"/>
      <s:c r="C3498" s="121" t="n"/>
      <s:c r="D3498" s="121" t="n"/>
      <s:c r="E3498" s="122" t="n"/>
    </s:row>
    <s:row r="3499" hidden="1" ht="1" customHeight="1">
      <s:c r="A3499" s="120" t="inlineStr"/>
      <s:c r="B3499" s="121" t="n"/>
      <s:c r="C3499" s="121" t="n"/>
      <s:c r="D3499" s="121" t="n"/>
      <s:c r="E3499" s="122" t="n"/>
    </s:row>
    <s:row r="3500" hidden="1" ht="1" customHeight="1">
      <s:c r="A3500" s="120" t="inlineStr"/>
      <s:c r="B3500" s="121" t="n"/>
      <s:c r="C3500" s="121" t="n"/>
      <s:c r="D3500" s="121" t="n"/>
      <s:c r="E3500" s="122" t="n"/>
    </s:row>
    <s:row r="3501" hidden="1" ht="1" customHeight="1">
      <s:c r="A3501" s="120" t="inlineStr"/>
      <s:c r="B3501" s="121" t="n"/>
      <s:c r="C3501" s="121" t="n"/>
      <s:c r="D3501" s="121" t="n"/>
      <s:c r="E3501" s="122" t="n"/>
    </s:row>
    <s:row r="3502" hidden="1" ht="1" customHeight="1">
      <s:c r="A3502" s="120" t="inlineStr"/>
      <s:c r="B3502" s="121" t="n"/>
      <s:c r="C3502" s="121" t="n"/>
      <s:c r="D3502" s="121" t="n"/>
      <s:c r="E3502" s="122" t="n"/>
    </s:row>
    <s:row r="3503" hidden="1" ht="1" customHeight="1">
      <s:c r="A3503" s="120" t="inlineStr"/>
      <s:c r="B3503" s="121" t="n"/>
      <s:c r="C3503" s="121" t="n"/>
      <s:c r="D3503" s="121" t="n"/>
      <s:c r="E3503" s="122" t="n"/>
    </s:row>
    <s:row r="3504" hidden="1" ht="1" customHeight="1">
      <s:c r="A3504" s="120" t="inlineStr"/>
      <s:c r="B3504" s="121" t="n"/>
      <s:c r="C3504" s="121" t="n"/>
      <s:c r="D3504" s="121" t="n"/>
      <s:c r="E3504" s="122" t="n"/>
    </s:row>
    <s:row r="3505" hidden="1" ht="1" customHeight="1">
      <s:c r="A3505" s="120" t="inlineStr"/>
      <s:c r="B3505" s="121" t="n"/>
      <s:c r="C3505" s="121" t="n"/>
      <s:c r="D3505" s="121" t="n"/>
      <s:c r="E3505" s="122" t="n"/>
    </s:row>
    <s:row r="3506" hidden="1" ht="1" customHeight="1">
      <s:c r="A3506" s="120" t="inlineStr"/>
      <s:c r="B3506" s="121" t="n"/>
      <s:c r="C3506" s="121" t="n"/>
      <s:c r="D3506" s="121" t="n"/>
      <s:c r="E3506" s="122" t="n"/>
    </s:row>
    <s:row r="3507" hidden="1" ht="1" customHeight="1">
      <s:c r="A3507" s="120" t="inlineStr"/>
      <s:c r="B3507" s="121" t="n"/>
      <s:c r="C3507" s="121" t="n"/>
      <s:c r="D3507" s="121" t="n"/>
      <s:c r="E3507" s="122" t="n"/>
    </s:row>
    <s:row r="3508" hidden="1" ht="1" customHeight="1">
      <s:c r="A3508" s="120" t="inlineStr"/>
      <s:c r="B3508" s="121" t="n"/>
      <s:c r="C3508" s="121" t="n"/>
      <s:c r="D3508" s="121" t="n"/>
      <s:c r="E3508" s="122" t="n"/>
    </s:row>
    <s:row r="3509" hidden="1" ht="1" customHeight="1">
      <s:c r="A3509" s="120" t="inlineStr"/>
      <s:c r="B3509" s="121" t="n"/>
      <s:c r="C3509" s="121" t="n"/>
      <s:c r="D3509" s="121" t="n"/>
      <s:c r="E3509" s="122" t="n"/>
    </s:row>
    <s:row r="3510" hidden="1" ht="1" customHeight="1">
      <s:c r="A3510" s="120" t="inlineStr"/>
      <s:c r="B3510" s="121" t="n"/>
      <s:c r="C3510" s="121" t="n"/>
      <s:c r="D3510" s="121" t="n"/>
      <s:c r="E3510" s="122" t="n"/>
    </s:row>
    <s:row r="3511" hidden="1" ht="1" customHeight="1">
      <s:c r="A3511" s="120" t="inlineStr"/>
      <s:c r="B3511" s="121" t="n"/>
      <s:c r="C3511" s="121" t="n"/>
      <s:c r="D3511" s="121" t="n"/>
      <s:c r="E3511" s="122" t="n"/>
    </s:row>
    <s:row r="3512" hidden="1" ht="1" customHeight="1">
      <s:c r="A3512" s="120" t="inlineStr"/>
      <s:c r="B3512" s="121" t="n"/>
      <s:c r="C3512" s="121" t="n"/>
      <s:c r="D3512" s="121" t="n"/>
      <s:c r="E3512" s="122" t="n"/>
    </s:row>
    <s:row r="3513" hidden="1" ht="1" customHeight="1">
      <s:c r="A3513" s="120" t="inlineStr"/>
      <s:c r="B3513" s="121" t="n"/>
      <s:c r="C3513" s="121" t="n"/>
      <s:c r="D3513" s="121" t="n"/>
      <s:c r="E3513" s="122" t="n"/>
    </s:row>
    <s:row r="3514" hidden="1" ht="1" customHeight="1">
      <s:c r="A3514" s="120" t="inlineStr"/>
      <s:c r="B3514" s="121" t="n"/>
      <s:c r="C3514" s="121" t="n"/>
      <s:c r="D3514" s="121" t="n"/>
      <s:c r="E3514" s="122" t="n"/>
    </s:row>
    <s:row r="3515" hidden="1" ht="1" customHeight="1">
      <s:c r="A3515" s="120" t="inlineStr"/>
      <s:c r="B3515" s="121" t="n"/>
      <s:c r="C3515" s="121" t="n"/>
      <s:c r="D3515" s="121" t="n"/>
      <s:c r="E3515" s="122" t="n"/>
    </s:row>
    <s:row r="3516" hidden="1" ht="1" customHeight="1">
      <s:c r="A3516" s="120" t="inlineStr"/>
      <s:c r="B3516" s="121" t="n"/>
      <s:c r="C3516" s="121" t="n"/>
      <s:c r="D3516" s="121" t="n"/>
      <s:c r="E3516" s="122" t="n"/>
    </s:row>
    <s:row r="3517" hidden="1" ht="1" customHeight="1">
      <s:c r="A3517" s="120" t="inlineStr"/>
      <s:c r="B3517" s="121" t="n"/>
      <s:c r="C3517" s="121" t="n"/>
      <s:c r="D3517" s="121" t="n"/>
      <s:c r="E3517" s="122" t="n"/>
    </s:row>
    <s:row r="3518" hidden="1" ht="1" customHeight="1">
      <s:c r="A3518" s="120" t="inlineStr"/>
      <s:c r="B3518" s="121" t="n"/>
      <s:c r="C3518" s="121" t="n"/>
      <s:c r="D3518" s="121" t="n"/>
      <s:c r="E3518" s="122" t="n"/>
    </s:row>
    <s:row r="3519" hidden="1" ht="1" customHeight="1">
      <s:c r="A3519" s="120" t="inlineStr"/>
      <s:c r="B3519" s="121" t="n"/>
      <s:c r="C3519" s="121" t="n"/>
      <s:c r="D3519" s="121" t="n"/>
      <s:c r="E3519" s="122" t="n"/>
    </s:row>
    <s:row r="3520" hidden="1" ht="1" customHeight="1">
      <s:c r="A3520" s="120" t="inlineStr"/>
      <s:c r="B3520" s="121" t="n"/>
      <s:c r="C3520" s="121" t="n"/>
      <s:c r="D3520" s="121" t="n"/>
      <s:c r="E3520" s="122" t="n"/>
    </s:row>
    <s:row r="3521" hidden="1" ht="1" customHeight="1">
      <s:c r="A3521" s="120" t="inlineStr"/>
      <s:c r="B3521" s="121" t="n"/>
      <s:c r="C3521" s="121" t="n"/>
      <s:c r="D3521" s="121" t="n"/>
      <s:c r="E3521" s="122" t="n"/>
    </s:row>
    <s:row r="3522" hidden="1" ht="1" customHeight="1">
      <s:c r="A3522" s="120" t="inlineStr"/>
      <s:c r="B3522" s="121" t="n"/>
      <s:c r="C3522" s="121" t="n"/>
      <s:c r="D3522" s="121" t="n"/>
      <s:c r="E3522" s="122" t="n"/>
    </s:row>
    <s:row r="3523" hidden="1" ht="1" customHeight="1">
      <s:c r="A3523" s="120" t="inlineStr"/>
      <s:c r="B3523" s="121" t="n"/>
      <s:c r="C3523" s="121" t="n"/>
      <s:c r="D3523" s="121" t="n"/>
      <s:c r="E3523" s="122" t="n"/>
    </s:row>
    <s:row r="3524" hidden="1" ht="1" customHeight="1">
      <s:c r="A3524" s="120" t="inlineStr"/>
      <s:c r="B3524" s="121" t="n"/>
      <s:c r="C3524" s="121" t="n"/>
      <s:c r="D3524" s="121" t="n"/>
      <s:c r="E3524" s="122" t="n"/>
    </s:row>
    <s:row r="3525" hidden="1" ht="1" customHeight="1">
      <s:c r="A3525" s="120" t="inlineStr"/>
      <s:c r="B3525" s="121" t="n"/>
      <s:c r="C3525" s="121" t="n"/>
      <s:c r="D3525" s="121" t="n"/>
      <s:c r="E3525" s="122" t="n"/>
    </s:row>
    <s:row r="3526" hidden="1" ht="1" customHeight="1">
      <s:c r="A3526" s="120" t="inlineStr"/>
      <s:c r="B3526" s="121" t="n"/>
      <s:c r="C3526" s="121" t="n"/>
      <s:c r="D3526" s="121" t="n"/>
      <s:c r="E3526" s="122" t="n"/>
    </s:row>
    <s:row r="3527" hidden="1" ht="1" customHeight="1">
      <s:c r="A3527" s="120" t="inlineStr"/>
      <s:c r="B3527" s="121" t="n"/>
      <s:c r="C3527" s="121" t="n"/>
      <s:c r="D3527" s="121" t="n"/>
      <s:c r="E3527" s="122" t="n"/>
    </s:row>
    <s:row r="3528" hidden="1" ht="1" customHeight="1">
      <s:c r="A3528" s="120" t="inlineStr"/>
      <s:c r="B3528" s="121" t="n"/>
      <s:c r="C3528" s="121" t="n"/>
      <s:c r="D3528" s="121" t="n"/>
      <s:c r="E3528" s="122" t="n"/>
    </s:row>
    <s:row r="3529" hidden="1" ht="1" customHeight="1">
      <s:c r="A3529" s="120" t="inlineStr"/>
      <s:c r="B3529" s="121" t="n"/>
      <s:c r="C3529" s="121" t="n"/>
      <s:c r="D3529" s="121" t="n"/>
      <s:c r="E3529" s="122" t="n"/>
    </s:row>
    <s:row r="3530" hidden="1" ht="1" customHeight="1">
      <s:c r="A3530" s="120" t="inlineStr"/>
      <s:c r="B3530" s="121" t="n"/>
      <s:c r="C3530" s="121" t="n"/>
      <s:c r="D3530" s="121" t="n"/>
      <s:c r="E3530" s="122" t="n"/>
    </s:row>
    <s:row r="3531" hidden="1" ht="1" customHeight="1">
      <s:c r="A3531" s="120" t="inlineStr"/>
      <s:c r="B3531" s="121" t="n"/>
      <s:c r="C3531" s="121" t="n"/>
      <s:c r="D3531" s="121" t="n"/>
      <s:c r="E3531" s="122" t="n"/>
    </s:row>
    <s:row r="3532" hidden="1" ht="1" customHeight="1">
      <s:c r="A3532" s="120" t="inlineStr"/>
      <s:c r="B3532" s="121" t="n"/>
      <s:c r="C3532" s="121" t="n"/>
      <s:c r="D3532" s="121" t="n"/>
      <s:c r="E3532" s="122" t="n"/>
    </s:row>
    <s:row r="3533" hidden="1" ht="1" customHeight="1">
      <s:c r="A3533" s="120" t="inlineStr"/>
      <s:c r="B3533" s="121" t="n"/>
      <s:c r="C3533" s="121" t="n"/>
      <s:c r="D3533" s="121" t="n"/>
      <s:c r="E3533" s="122" t="n"/>
    </s:row>
    <s:row r="3534" hidden="1" ht="1" customHeight="1">
      <s:c r="A3534" s="120" t="inlineStr"/>
      <s:c r="B3534" s="121" t="n"/>
      <s:c r="C3534" s="121" t="n"/>
      <s:c r="D3534" s="121" t="n"/>
      <s:c r="E3534" s="122" t="n"/>
    </s:row>
    <s:row r="3535" hidden="1" ht="1" customHeight="1">
      <s:c r="A3535" s="120" t="inlineStr"/>
      <s:c r="B3535" s="121" t="n"/>
      <s:c r="C3535" s="121" t="n"/>
      <s:c r="D3535" s="121" t="n"/>
      <s:c r="E3535" s="122" t="n"/>
    </s:row>
    <s:row r="3536" hidden="1" ht="1" customHeight="1">
      <s:c r="A3536" s="120" t="inlineStr"/>
      <s:c r="B3536" s="121" t="n"/>
      <s:c r="C3536" s="121" t="n"/>
      <s:c r="D3536" s="121" t="n"/>
      <s:c r="E3536" s="122" t="n"/>
    </s:row>
    <s:row r="3537" hidden="1" ht="1" customHeight="1">
      <s:c r="A3537" s="120" t="inlineStr"/>
      <s:c r="B3537" s="121" t="n"/>
      <s:c r="C3537" s="121" t="n"/>
      <s:c r="D3537" s="121" t="n"/>
      <s:c r="E3537" s="122" t="n"/>
    </s:row>
    <s:row r="3538" hidden="1" ht="1" customHeight="1">
      <s:c r="A3538" s="120" t="inlineStr"/>
      <s:c r="B3538" s="121" t="n"/>
      <s:c r="C3538" s="121" t="n"/>
      <s:c r="D3538" s="121" t="n"/>
      <s:c r="E3538" s="122" t="n"/>
    </s:row>
    <s:row r="3539" hidden="1" ht="1" customHeight="1">
      <s:c r="A3539" s="120" t="inlineStr"/>
      <s:c r="B3539" s="121" t="n"/>
      <s:c r="C3539" s="121" t="n"/>
      <s:c r="D3539" s="121" t="n"/>
      <s:c r="E3539" s="122" t="n"/>
    </s:row>
    <s:row r="3540" hidden="1" ht="1" customHeight="1">
      <s:c r="A3540" s="120" t="inlineStr"/>
      <s:c r="B3540" s="121" t="n"/>
      <s:c r="C3540" s="121" t="n"/>
      <s:c r="D3540" s="121" t="n"/>
      <s:c r="E3540" s="122" t="n"/>
    </s:row>
    <s:row r="3541" hidden="1" ht="1" customHeight="1">
      <s:c r="A3541" s="120" t="inlineStr"/>
      <s:c r="B3541" s="121" t="n"/>
      <s:c r="C3541" s="121" t="n"/>
      <s:c r="D3541" s="121" t="n"/>
      <s:c r="E3541" s="122" t="n"/>
    </s:row>
    <s:row r="3542" hidden="1" ht="1" customHeight="1">
      <s:c r="A3542" s="120" t="inlineStr"/>
      <s:c r="B3542" s="121" t="n"/>
      <s:c r="C3542" s="121" t="n"/>
      <s:c r="D3542" s="121" t="n"/>
      <s:c r="E3542" s="122" t="n"/>
    </s:row>
    <s:row r="3543" hidden="1" ht="1" customHeight="1">
      <s:c r="A3543" s="120" t="inlineStr"/>
      <s:c r="B3543" s="121" t="n"/>
      <s:c r="C3543" s="121" t="n"/>
      <s:c r="D3543" s="121" t="n"/>
      <s:c r="E3543" s="122" t="n"/>
    </s:row>
    <s:row r="3544" hidden="1" ht="1" customHeight="1">
      <s:c r="A3544" s="120" t="inlineStr"/>
      <s:c r="B3544" s="121" t="n"/>
      <s:c r="C3544" s="121" t="n"/>
      <s:c r="D3544" s="121" t="n"/>
      <s:c r="E3544" s="122" t="n"/>
    </s:row>
    <s:row r="3545" hidden="1" ht="1" customHeight="1">
      <s:c r="A3545" s="120" t="inlineStr"/>
      <s:c r="B3545" s="121" t="n"/>
      <s:c r="C3545" s="121" t="n"/>
      <s:c r="D3545" s="121" t="n"/>
      <s:c r="E3545" s="122" t="n"/>
    </s:row>
    <s:row r="3546" hidden="1" ht="1" customHeight="1">
      <s:c r="A3546" s="120" t="inlineStr"/>
      <s:c r="B3546" s="121" t="n"/>
      <s:c r="C3546" s="121" t="n"/>
      <s:c r="D3546" s="121" t="n"/>
      <s:c r="E3546" s="122" t="n"/>
    </s:row>
    <s:row r="3547" hidden="1" ht="1" customHeight="1">
      <s:c r="A3547" s="120" t="inlineStr"/>
      <s:c r="B3547" s="121" t="n"/>
      <s:c r="C3547" s="121" t="n"/>
      <s:c r="D3547" s="121" t="n"/>
      <s:c r="E3547" s="122" t="n"/>
    </s:row>
    <s:row r="3548" hidden="1" ht="1" customHeight="1">
      <s:c r="A3548" s="120" t="inlineStr"/>
      <s:c r="B3548" s="121" t="n"/>
      <s:c r="C3548" s="121" t="n"/>
      <s:c r="D3548" s="121" t="n"/>
      <s:c r="E3548" s="122" t="n"/>
    </s:row>
    <s:row r="3549" hidden="1" ht="1" customHeight="1">
      <s:c r="A3549" s="120" t="inlineStr"/>
      <s:c r="B3549" s="121" t="n"/>
      <s:c r="C3549" s="121" t="n"/>
      <s:c r="D3549" s="121" t="n"/>
      <s:c r="E3549" s="122" t="n"/>
    </s:row>
    <s:row r="3550" hidden="1" ht="1" customHeight="1">
      <s:c r="A3550" s="120" t="inlineStr"/>
      <s:c r="B3550" s="121" t="n"/>
      <s:c r="C3550" s="121" t="n"/>
      <s:c r="D3550" s="121" t="n"/>
      <s:c r="E3550" s="122" t="n"/>
    </s:row>
    <s:row r="3551" hidden="1" ht="1" customHeight="1">
      <s:c r="A3551" s="120" t="inlineStr"/>
      <s:c r="B3551" s="121" t="n"/>
      <s:c r="C3551" s="121" t="n"/>
      <s:c r="D3551" s="121" t="n"/>
      <s:c r="E3551" s="122" t="n"/>
    </s:row>
    <s:row r="3552" hidden="1" ht="1" customHeight="1">
      <s:c r="A3552" s="120" t="inlineStr"/>
      <s:c r="B3552" s="121" t="n"/>
      <s:c r="C3552" s="121" t="n"/>
      <s:c r="D3552" s="121" t="n"/>
      <s:c r="E3552" s="122" t="n"/>
    </s:row>
    <s:row r="3553" hidden="1" ht="1" customHeight="1">
      <s:c r="A3553" s="120" t="inlineStr"/>
      <s:c r="B3553" s="121" t="n"/>
      <s:c r="C3553" s="121" t="n"/>
      <s:c r="D3553" s="121" t="n"/>
      <s:c r="E3553" s="122" t="n"/>
    </s:row>
    <s:row r="3554" hidden="1" ht="1" customHeight="1">
      <s:c r="A3554" s="120" t="inlineStr"/>
      <s:c r="B3554" s="121" t="n"/>
      <s:c r="C3554" s="121" t="n"/>
      <s:c r="D3554" s="121" t="n"/>
      <s:c r="E3554" s="122" t="n"/>
    </s:row>
    <s:row r="3555" hidden="1" ht="1" customHeight="1">
      <s:c r="A3555" s="120" t="inlineStr"/>
      <s:c r="B3555" s="121" t="n"/>
      <s:c r="C3555" s="121" t="n"/>
      <s:c r="D3555" s="121" t="n"/>
      <s:c r="E3555" s="122" t="n"/>
    </s:row>
    <s:row r="3556" hidden="1" ht="1" customHeight="1">
      <s:c r="A3556" s="120" t="inlineStr"/>
      <s:c r="B3556" s="121" t="n"/>
      <s:c r="C3556" s="121" t="n"/>
      <s:c r="D3556" s="121" t="n"/>
      <s:c r="E3556" s="122" t="n"/>
    </s:row>
    <s:row r="3557" hidden="1" ht="1" customHeight="1">
      <s:c r="A3557" s="120" t="inlineStr"/>
      <s:c r="B3557" s="121" t="n"/>
      <s:c r="C3557" s="121" t="n"/>
      <s:c r="D3557" s="121" t="n"/>
      <s:c r="E3557" s="122" t="n"/>
    </s:row>
    <s:row r="3558" hidden="1" ht="1" customHeight="1">
      <s:c r="A3558" s="120" t="inlineStr"/>
      <s:c r="B3558" s="121" t="n"/>
      <s:c r="C3558" s="121" t="n"/>
      <s:c r="D3558" s="121" t="n"/>
      <s:c r="E3558" s="122" t="n"/>
    </s:row>
    <s:row r="3559" hidden="1" ht="1" customHeight="1">
      <s:c r="A3559" s="120" t="inlineStr"/>
      <s:c r="B3559" s="121" t="n"/>
      <s:c r="C3559" s="121" t="n"/>
      <s:c r="D3559" s="121" t="n"/>
      <s:c r="E3559" s="122" t="n"/>
    </s:row>
    <s:row r="3560" hidden="1" ht="1" customHeight="1">
      <s:c r="A3560" s="120" t="inlineStr"/>
      <s:c r="B3560" s="121" t="n"/>
      <s:c r="C3560" s="121" t="n"/>
      <s:c r="D3560" s="121" t="n"/>
      <s:c r="E3560" s="122" t="n"/>
    </s:row>
    <s:row r="3561" hidden="1" ht="1" customHeight="1">
      <s:c r="A3561" s="120" t="inlineStr"/>
      <s:c r="B3561" s="121" t="n"/>
      <s:c r="C3561" s="121" t="n"/>
      <s:c r="D3561" s="121" t="n"/>
      <s:c r="E3561" s="122" t="n"/>
    </s:row>
    <s:row r="3562" hidden="1" ht="1" customHeight="1">
      <s:c r="A3562" s="120" t="inlineStr"/>
      <s:c r="B3562" s="121" t="n"/>
      <s:c r="C3562" s="121" t="n"/>
      <s:c r="D3562" s="121" t="n"/>
      <s:c r="E3562" s="122" t="n"/>
    </s:row>
    <s:row r="3563" hidden="1" ht="1" customHeight="1">
      <s:c r="A3563" s="120" t="inlineStr"/>
      <s:c r="B3563" s="121" t="n"/>
      <s:c r="C3563" s="121" t="n"/>
      <s:c r="D3563" s="121" t="n"/>
      <s:c r="E3563" s="122" t="n"/>
    </s:row>
    <s:row r="3564" hidden="1" ht="1" customHeight="1">
      <s:c r="A3564" s="120" t="inlineStr"/>
      <s:c r="B3564" s="121" t="n"/>
      <s:c r="C3564" s="121" t="n"/>
      <s:c r="D3564" s="121" t="n"/>
      <s:c r="E3564" s="122" t="n"/>
    </s:row>
    <s:row r="3565" hidden="1" ht="1" customHeight="1">
      <s:c r="A3565" s="120" t="inlineStr"/>
      <s:c r="B3565" s="121" t="n"/>
      <s:c r="C3565" s="121" t="n"/>
      <s:c r="D3565" s="121" t="n"/>
      <s:c r="E3565" s="122" t="n"/>
    </s:row>
    <s:row r="3566" hidden="1" ht="1" customHeight="1">
      <s:c r="A3566" s="120" t="inlineStr"/>
      <s:c r="B3566" s="121" t="n"/>
      <s:c r="C3566" s="121" t="n"/>
      <s:c r="D3566" s="121" t="n"/>
      <s:c r="E3566" s="122" t="n"/>
    </s:row>
    <s:row r="3567" hidden="1" ht="1" customHeight="1">
      <s:c r="A3567" s="120" t="inlineStr"/>
      <s:c r="B3567" s="121" t="n"/>
      <s:c r="C3567" s="121" t="n"/>
      <s:c r="D3567" s="121" t="n"/>
      <s:c r="E3567" s="122" t="n"/>
    </s:row>
    <s:row r="3568" hidden="1" ht="1" customHeight="1">
      <s:c r="A3568" s="120" t="inlineStr"/>
      <s:c r="B3568" s="121" t="n"/>
      <s:c r="C3568" s="121" t="n"/>
      <s:c r="D3568" s="121" t="n"/>
      <s:c r="E3568" s="122" t="n"/>
    </s:row>
    <s:row r="3569" hidden="1" ht="1" customHeight="1">
      <s:c r="A3569" s="120" t="inlineStr"/>
      <s:c r="B3569" s="121" t="n"/>
      <s:c r="C3569" s="121" t="n"/>
      <s:c r="D3569" s="121" t="n"/>
      <s:c r="E3569" s="122" t="n"/>
    </s:row>
    <s:row r="3570" hidden="1" ht="1" customHeight="1">
      <s:c r="A3570" s="120" t="inlineStr"/>
      <s:c r="B3570" s="121" t="n"/>
      <s:c r="C3570" s="121" t="n"/>
      <s:c r="D3570" s="121" t="n"/>
      <s:c r="E3570" s="122" t="n"/>
    </s:row>
    <s:row r="3571" hidden="1" ht="1" customHeight="1">
      <s:c r="A3571" s="120" t="inlineStr"/>
      <s:c r="B3571" s="121" t="n"/>
      <s:c r="C3571" s="121" t="n"/>
      <s:c r="D3571" s="121" t="n"/>
      <s:c r="E3571" s="122" t="n"/>
    </s:row>
    <s:row r="3572" hidden="1" ht="1" customHeight="1">
      <s:c r="A3572" s="120" t="inlineStr"/>
      <s:c r="B3572" s="121" t="n"/>
      <s:c r="C3572" s="121" t="n"/>
      <s:c r="D3572" s="121" t="n"/>
      <s:c r="E3572" s="122" t="n"/>
    </s:row>
    <s:row r="3573" hidden="1" ht="1" customHeight="1">
      <s:c r="A3573" s="120" t="inlineStr"/>
      <s:c r="B3573" s="121" t="n"/>
      <s:c r="C3573" s="121" t="n"/>
      <s:c r="D3573" s="121" t="n"/>
      <s:c r="E3573" s="122" t="n"/>
    </s:row>
    <s:row r="3574" hidden="1" ht="1" customHeight="1">
      <s:c r="A3574" s="120" t="inlineStr"/>
      <s:c r="B3574" s="121" t="n"/>
      <s:c r="C3574" s="121" t="n"/>
      <s:c r="D3574" s="121" t="n"/>
      <s:c r="E3574" s="122" t="n"/>
    </s:row>
    <s:row r="3575" hidden="1" ht="1" customHeight="1">
      <s:c r="A3575" s="120" t="inlineStr"/>
      <s:c r="B3575" s="121" t="n"/>
      <s:c r="C3575" s="121" t="n"/>
      <s:c r="D3575" s="121" t="n"/>
      <s:c r="E3575" s="122" t="n"/>
    </s:row>
    <s:row r="3576" hidden="1" ht="1" customHeight="1">
      <s:c r="A3576" s="120" t="inlineStr"/>
      <s:c r="B3576" s="121" t="n"/>
      <s:c r="C3576" s="121" t="n"/>
      <s:c r="D3576" s="121" t="n"/>
      <s:c r="E3576" s="122" t="n"/>
    </s:row>
    <s:row r="3577" hidden="1" ht="1" customHeight="1">
      <s:c r="A3577" s="120" t="inlineStr"/>
      <s:c r="B3577" s="121" t="n"/>
      <s:c r="C3577" s="121" t="n"/>
      <s:c r="D3577" s="121" t="n"/>
      <s:c r="E3577" s="122" t="n"/>
    </s:row>
    <s:row r="3578" hidden="1" ht="1" customHeight="1">
      <s:c r="A3578" s="120" t="inlineStr"/>
      <s:c r="B3578" s="121" t="n"/>
      <s:c r="C3578" s="121" t="n"/>
      <s:c r="D3578" s="121" t="n"/>
      <s:c r="E3578" s="122" t="n"/>
    </s:row>
    <s:row r="3579" hidden="1" ht="1" customHeight="1">
      <s:c r="A3579" s="120" t="inlineStr"/>
      <s:c r="B3579" s="121" t="n"/>
      <s:c r="C3579" s="121" t="n"/>
      <s:c r="D3579" s="121" t="n"/>
      <s:c r="E3579" s="122" t="n"/>
    </s:row>
    <s:row r="3580" hidden="1" ht="1" customHeight="1">
      <s:c r="A3580" s="120" t="inlineStr"/>
      <s:c r="B3580" s="121" t="n"/>
      <s:c r="C3580" s="121" t="n"/>
      <s:c r="D3580" s="121" t="n"/>
      <s:c r="E3580" s="122" t="n"/>
    </s:row>
    <s:row r="3581" hidden="1" ht="1" customHeight="1">
      <s:c r="A3581" s="120" t="inlineStr"/>
      <s:c r="B3581" s="121" t="n"/>
      <s:c r="C3581" s="121" t="n"/>
      <s:c r="D3581" s="121" t="n"/>
      <s:c r="E3581" s="122" t="n"/>
    </s:row>
    <s:row r="3582" hidden="1" ht="1" customHeight="1">
      <s:c r="A3582" s="120" t="inlineStr"/>
      <s:c r="B3582" s="121" t="n"/>
      <s:c r="C3582" s="121" t="n"/>
      <s:c r="D3582" s="121" t="n"/>
      <s:c r="E3582" s="122" t="n"/>
    </s:row>
    <s:row r="3583" hidden="1" ht="1" customHeight="1">
      <s:c r="A3583" s="120" t="inlineStr"/>
      <s:c r="B3583" s="121" t="n"/>
      <s:c r="C3583" s="121" t="n"/>
      <s:c r="D3583" s="121" t="n"/>
      <s:c r="E3583" s="122" t="n"/>
    </s:row>
    <s:row r="3584" hidden="1" ht="1" customHeight="1">
      <s:c r="A3584" s="120" t="inlineStr"/>
      <s:c r="B3584" s="121" t="n"/>
      <s:c r="C3584" s="121" t="n"/>
      <s:c r="D3584" s="121" t="n"/>
      <s:c r="E3584" s="122" t="n"/>
    </s:row>
    <s:row r="3585" hidden="1" ht="1" customHeight="1">
      <s:c r="A3585" s="120" t="inlineStr"/>
      <s:c r="B3585" s="121" t="n"/>
      <s:c r="C3585" s="121" t="n"/>
      <s:c r="D3585" s="121" t="n"/>
      <s:c r="E3585" s="122" t="n"/>
    </s:row>
    <s:row r="3586" hidden="1" ht="1" customHeight="1">
      <s:c r="A3586" s="120" t="inlineStr"/>
      <s:c r="B3586" s="121" t="n"/>
      <s:c r="C3586" s="121" t="n"/>
      <s:c r="D3586" s="121" t="n"/>
      <s:c r="E3586" s="122" t="n"/>
    </s:row>
    <s:row r="3587" hidden="1" ht="1" customHeight="1">
      <s:c r="A3587" s="120" t="inlineStr"/>
      <s:c r="B3587" s="121" t="n"/>
      <s:c r="C3587" s="121" t="n"/>
      <s:c r="D3587" s="121" t="n"/>
      <s:c r="E3587" s="122" t="n"/>
    </s:row>
    <s:row r="3588" hidden="1" ht="1" customHeight="1">
      <s:c r="A3588" s="120" t="inlineStr"/>
      <s:c r="B3588" s="121" t="n"/>
      <s:c r="C3588" s="121" t="n"/>
      <s:c r="D3588" s="121" t="n"/>
      <s:c r="E3588" s="122" t="n"/>
    </s:row>
    <s:row r="3589" hidden="1" ht="1" customHeight="1">
      <s:c r="A3589" s="120" t="inlineStr"/>
      <s:c r="B3589" s="121" t="n"/>
      <s:c r="C3589" s="121" t="n"/>
      <s:c r="D3589" s="121" t="n"/>
      <s:c r="E3589" s="122" t="n"/>
    </s:row>
    <s:row r="3590" hidden="1" ht="1" customHeight="1">
      <s:c r="A3590" s="120" t="inlineStr"/>
      <s:c r="B3590" s="121" t="n"/>
      <s:c r="C3590" s="121" t="n"/>
      <s:c r="D3590" s="121" t="n"/>
      <s:c r="E3590" s="122" t="n"/>
    </s:row>
    <s:row r="3591" hidden="1" ht="1" customHeight="1">
      <s:c r="A3591" s="120" t="inlineStr"/>
      <s:c r="B3591" s="121" t="n"/>
      <s:c r="C3591" s="121" t="n"/>
      <s:c r="D3591" s="121" t="n"/>
      <s:c r="E3591" s="122" t="n"/>
    </s:row>
    <s:row r="3592" hidden="1" ht="1" customHeight="1">
      <s:c r="A3592" s="120" t="inlineStr"/>
      <s:c r="B3592" s="121" t="n"/>
      <s:c r="C3592" s="121" t="n"/>
      <s:c r="D3592" s="121" t="n"/>
      <s:c r="E3592" s="122" t="n"/>
    </s:row>
    <s:row r="3593" hidden="1" ht="1" customHeight="1">
      <s:c r="A3593" s="83" t="inlineStr">
        <s:is>
          <s:t>PASS</s:t>
        </s:is>
      </s:c>
      <s:c r="B3593" s="83">
        <s:f>SUM(IF(EXACT('Kiểm thử'!E2493,"Đạt"),1,0),IF(EXACT('Kiểm thử'!E2495,"Đạt"),1,0),IF(EXACT('Kiểm thử'!E2497,"Đạt"),1,0),IF(EXACT('Kiểm thử'!E2499,"Đạt"),1,0),IF(EXACT('Kiểm thử'!E2501,"Đạt"),1,0),IF(EXACT('Kiểm thử'!E2503,"Đạt"),1,0),IF(EXACT('Kiểm thử'!E2505,"Đạt"),1,0),IF(EXACT('Kiểm thử'!E2507,"Đạt"),1,0),IF(EXACT('Kiểm thử'!E2509,"Đạt"),1,0),IF(EXACT('Kiểm thử'!E2511,"Đạt"),1,0),IF(EXACT('Kiểm thử'!E2513,"Đạt"),1,0),IF(EXACT('Kiểm thử'!E2515,"Đạt"),1,0),IF(EXACT('Kiểm thử'!E2517,"Đạt"),1,0),IF(EXACT('Kiểm thử'!E2519,"Đạt"),1,0),IF(EXACT('Kiểm thử'!E2521,"Đạt"),1,0),IF(EXACT('Kiểm thử'!E2523,"Đạt"),1,0),IF(EXACT('Kiểm thử'!E2525,"Đạt"),1,0),IF(EXACT('Kiểm thử'!E2527,"Đạt"),1,0),IF(EXACT('Kiểm thử'!E2529,"Đạt"),1,0),IF(EXACT('Kiểm thử'!E2531,"Đạt"),1,0),IF(EXACT('Kiểm thử'!E2533,"Đạt"),1,0),IF(EXACT('Kiểm thử'!E2535,"Đạt"),1,0))</s:f>
        <s:v/>
      </s:c>
      <s:c r="C3593" s="19" t="n"/>
      <s:c r="D3593" s="19" t="n"/>
      <s:c r="E3593" s="19" t="n"/>
    </s:row>
    <s:row r="3594" hidden="1" ht="1" customHeight="1">
      <s:c r="A3594" s="83" t="inlineStr">
        <s:is>
          <s:t>FAIL</s:t>
        </s:is>
      </s:c>
      <s:c r="B3594" s="83">
        <s:f>SUM(IF(EXACT('Kiểm thử'!E2493,"Không đạt"),1,0),IF(EXACT('Kiểm thử'!E2495,"Không đạt"),1,0),IF(EXACT('Kiểm thử'!E2497,"Không đạt"),1,0),IF(EXACT('Kiểm thử'!E2499,"Không đạt"),1,0),IF(EXACT('Kiểm thử'!E2501,"Không đạt"),1,0),IF(EXACT('Kiểm thử'!E2503,"Không đạt"),1,0),IF(EXACT('Kiểm thử'!E2505,"Không đạt"),1,0),IF(EXACT('Kiểm thử'!E2507,"Không đạt"),1,0),IF(EXACT('Kiểm thử'!E2509,"Không đạt"),1,0),IF(EXACT('Kiểm thử'!E2511,"Không đạt"),1,0),IF(EXACT('Kiểm thử'!E2513,"Không đạt"),1,0),IF(EXACT('Kiểm thử'!E2515,"Không đạt"),1,0),IF(EXACT('Kiểm thử'!E2517,"Không đạt"),1,0),IF(EXACT('Kiểm thử'!E2519,"Không đạt"),1,0),IF(EXACT('Kiểm thử'!E2521,"Không đạt"),1,0),IF(EXACT('Kiểm thử'!E2523,"Không đạt"),1,0),IF(EXACT('Kiểm thử'!E2525,"Không đạt"),1,0),IF(EXACT('Kiểm thử'!E2527,"Không đạt"),1,0),IF(EXACT('Kiểm thử'!E2529,"Không đạt"),1,0),IF(EXACT('Kiểm thử'!E2531,"Không đạt"),1,0),IF(EXACT('Kiểm thử'!E2533,"Không đạt"),1,0),IF(EXACT('Kiểm thử'!E2535,"Không đạt"),1,0))</s:f>
        <s:v/>
      </s:c>
      <s:c r="C3594" s="19" t="n"/>
      <s:c r="D3594" s="19" t="n"/>
      <s:c r="E3594" s="19" t="n"/>
    </s:row>
    <s:row r="3595" hidden="1" ht="1" customHeight="1">
      <s:c r="A3595" s="83" t="inlineStr">
        <s:is>
          <s:t>BLOCKED</s:t>
        </s:is>
      </s:c>
      <s:c r="B3595" s="83">
        <s:f>SUM(IF(EXACT('Kiểm thử'!E2493,"Bị chặn"),1,0),IF(EXACT('Kiểm thử'!E2495,"Bị chặn"),1,0),IF(EXACT('Kiểm thử'!E2497,"Bị chặn"),1,0),IF(EXACT('Kiểm thử'!E2499,"Bị chặn"),1,0),IF(EXACT('Kiểm thử'!E2501,"Bị chặn"),1,0),IF(EXACT('Kiểm thử'!E2503,"Bị chặn"),1,0),IF(EXACT('Kiểm thử'!E2505,"Bị chặn"),1,0),IF(EXACT('Kiểm thử'!E2507,"Bị chặn"),1,0),IF(EXACT('Kiểm thử'!E2509,"Bị chặn"),1,0),IF(EXACT('Kiểm thử'!E2511,"Bị chặn"),1,0),IF(EXACT('Kiểm thử'!E2513,"Bị chặn"),1,0),IF(EXACT('Kiểm thử'!E2515,"Bị chặn"),1,0),IF(EXACT('Kiểm thử'!E2517,"Bị chặn"),1,0),IF(EXACT('Kiểm thử'!E2519,"Bị chặn"),1,0),IF(EXACT('Kiểm thử'!E2521,"Bị chặn"),1,0),IF(EXACT('Kiểm thử'!E2523,"Bị chặn"),1,0),IF(EXACT('Kiểm thử'!E2525,"Bị chặn"),1,0),IF(EXACT('Kiểm thử'!E2527,"Bị chặn"),1,0),IF(EXACT('Kiểm thử'!E2529,"Bị chặn"),1,0),IF(EXACT('Kiểm thử'!E2531,"Bị chặn"),1,0),IF(EXACT('Kiểm thử'!E2533,"Bị chặn"),1,0),IF(EXACT('Kiểm thử'!E2535,"Bị chặn"),1,0))</s:f>
        <s:v/>
      </s:c>
      <s:c r="C3595" s="19" t="n"/>
      <s:c r="D3595" s="19" t="n"/>
      <s:c r="E3595" s="19" t="n"/>
    </s:row>
    <s:row r="3596" hidden="1" ht="1" customHeight="1">
      <s:c r="A3596" s="83" t="inlineStr">
        <s:is>
          <s:t>SKIPPED</s:t>
        </s:is>
      </s:c>
      <s:c r="B3596" s="83">
        <s:f>SUM(IF(EXACT('Kiểm thử'!E2493,"Không thực hiện"),1,0),IF(EXACT('Kiểm thử'!E2495,"Không thực hiện"),1,0),IF(EXACT('Kiểm thử'!E2497,"Không thực hiện"),1,0),IF(EXACT('Kiểm thử'!E2499,"Không thực hiện"),1,0),IF(EXACT('Kiểm thử'!E2501,"Không thực hiện"),1,0),IF(EXACT('Kiểm thử'!E2503,"Không thực hiện"),1,0),IF(EXACT('Kiểm thử'!E2505,"Không thực hiện"),1,0),IF(EXACT('Kiểm thử'!E2507,"Không thực hiện"),1,0),IF(EXACT('Kiểm thử'!E2509,"Không thực hiện"),1,0),IF(EXACT('Kiểm thử'!E2511,"Không thực hiện"),1,0),IF(EXACT('Kiểm thử'!E2513,"Không thực hiện"),1,0),IF(EXACT('Kiểm thử'!E2515,"Không thực hiện"),1,0),IF(EXACT('Kiểm thử'!E2517,"Không thực hiện"),1,0),IF(EXACT('Kiểm thử'!E2519,"Không thực hiện"),1,0),IF(EXACT('Kiểm thử'!E2521,"Không thực hiện"),1,0),IF(EXACT('Kiểm thử'!E2523,"Không thực hiện"),1,0),IF(EXACT('Kiểm thử'!E2525,"Không thực hiện"),1,0),IF(EXACT('Kiểm thử'!E2527,"Không thực hiện"),1,0),IF(EXACT('Kiểm thử'!E2529,"Không thực hiện"),1,0),IF(EXACT('Kiểm thử'!E2531,"Không thực hiện"),1,0),IF(EXACT('Kiểm thử'!E2533,"Không thực hiện"),1,0),IF(EXACT('Kiểm thử'!E2535,"Không thực hiện"),1,0))</s:f>
        <s:v/>
      </s:c>
      <s:c r="C3596" s="19" t="n"/>
      <s:c r="D3596" s="19" t="n"/>
      <s:c r="E3596" s="19" t="n"/>
    </s:row>
    <s:row r="3597" hidden="1" ht="1" customHeight="1">
      <s:c r="A3597" s="83" t="inlineStr">
        <s:is>
          <s:t>NOT RUN</s:t>
        </s:is>
      </s:c>
      <s:c r="B3597" s="83">
        <s:f>SUM(IF(EXACT('Kiểm thử'!E2493,"Chưa thực hiện"),1,0),IF(EXACT('Kiểm thử'!E2495,"Chưa thực hiện"),1,0),IF(EXACT('Kiểm thử'!E2497,"Chưa thực hiện"),1,0),IF(EXACT('Kiểm thử'!E2499,"Chưa thực hiện"),1,0),IF(EXACT('Kiểm thử'!E2501,"Chưa thực hiện"),1,0),IF(EXACT('Kiểm thử'!E2503,"Chưa thực hiện"),1,0),IF(EXACT('Kiểm thử'!E2505,"Chưa thực hiện"),1,0),IF(EXACT('Kiểm thử'!E2507,"Chưa thực hiện"),1,0),IF(EXACT('Kiểm thử'!E2509,"Chưa thực hiện"),1,0),IF(EXACT('Kiểm thử'!E2511,"Chưa thực hiện"),1,0),IF(EXACT('Kiểm thử'!E2513,"Chưa thực hiện"),1,0),IF(EXACT('Kiểm thử'!E2515,"Chưa thực hiện"),1,0),IF(EXACT('Kiểm thử'!E2517,"Chưa thực hiện"),1,0),IF(EXACT('Kiểm thử'!E2519,"Chưa thực hiện"),1,0),IF(EXACT('Kiểm thử'!E2521,"Chưa thực hiện"),1,0),IF(EXACT('Kiểm thử'!E2523,"Chưa thực hiện"),1,0),IF(EXACT('Kiểm thử'!E2525,"Chưa thực hiện"),1,0),IF(EXACT('Kiểm thử'!E2527,"Chưa thực hiện"),1,0),IF(EXACT('Kiểm thử'!E2529,"Chưa thực hiện"),1,0),IF(EXACT('Kiểm thử'!E2531,"Chưa thực hiện"),1,0),IF(EXACT('Kiểm thử'!E2533,"Chưa thực hiện"),1,0),IF(EXACT('Kiểm thử'!E2535,"Chưa thực hiện"),1,0))</s:f>
        <s:v/>
      </s:c>
      <s:c r="C3597" s="19" t="n"/>
      <s:c r="D3597" s="19" t="n"/>
      <s:c r="E3597" s="19" t="n"/>
    </s:row>
    <s:row r="3598" hidden="1" ht="6" customHeight="1">
      <s:c r="A3598" s="83" t="inlineStr"/>
      <s:c r="B3598" s="19" t="n"/>
      <s:c r="C3598" s="19" t="n"/>
      <s:c r="D3598" s="19" t="n"/>
      <s:c r="E3598" s="19" t="n"/>
    </s:row>
    <s:row r="3599" ht="28" customHeight="1">
      <s:c r="A3599" s="108" t="inlineStr">
        <s:is>
          <s:t>TC-RS-BR-005 — Toàn bộ đối tượng（全員が対象） không vượt phạm vi mục, trường, năm</s:t>
        </s:is>
      </s:c>
      <s:c r="B3599" s="111" t="n"/>
      <s:c r="C3599" s="111" t="n"/>
      <s:c r="D3599" s="111" t="n"/>
      <s:c r="E3599" s="111" t="n"/>
    </s:row>
    <s:row r="3600" ht="20" customHeight="1">
      <s:c r="A3600" s="112" t="inlineStr">
        <s:is>
          <s:t>Kết quả tình huống</s:t>
        </s:is>
      </s:c>
      <s:c r="B3600" s="113">
        <s:f>IF(SUM(IF(EXACT('Kiểm thử'!E3608,"Không đạt"),1,0))&gt;0,"Không đạt",IF(SUM(IF(EXACT('Kiểm thử'!E3608,"Đạt"),1,0))=1,"Đạt",IF(SUM(IF(EXACT('Kiểm thử'!E3608,"Không thực hiện"),1,0))=1,"Không thực hiện",IF(SUM(IF(EXACT('Kiểm thử'!E3608,"Bị chặn"),1,0))&gt;0,"Bị chặn",IF(SUM(IF(EXACT('Kiểm thử'!E3608,"Chưa thực hiện"),1,0))=1,"Chưa thực hiện","Đang thực hiện")))))</s:f>
        <s:v/>
      </s:c>
      <s:c r="C3600" s="114" t="n"/>
      <s:c r="D3600" s="114" t="n"/>
      <s:c r="E3600" s="114" t="n"/>
    </s:row>
    <s:row r="3601" ht="20" customHeight="1">
      <s:c r="A3601" s="112" t="inlineStr">
        <s:is>
          <s:t>Màn hình / chức năng</s:t>
        </s:is>
      </s:c>
      <s:c r="B3601" s="113" t="inlineStr">
        <s:is>
          <s:r>
            <s:rPr>
              <s:b val="1"/>
            </s:rPr>
            <s:t>Điều kiện áp dụng（適用条件）</s:t>
          </s:r>
        </s:is>
      </s:c>
      <s:c r="C3601" s="28" t="n"/>
      <s:c r="D3601" s="28" t="n"/>
      <s:c r="E3601" s="28" t="n"/>
    </s:row>
    <s:row r="3602" ht="34" customHeight="1">
      <s:c r="A3602" s="112" t="inlineStr">
        <s:is>
          <s:t>Cấu hình</s:t>
        </s:is>
      </s:c>
      <s:c r="B3602" s="113" t="inlineStr">
        <s:is>
          <s:r>
            <s:t>• Mục số nguyên (</s:t>
          </s:r>
          <s:r>
            <s:rPr>
              <s:b val="1"/>
            </s:rPr>
            <s:t>M=100</s:t>
          </s:r>
          <s:r>
            <s:t>) có quy tắc “Cố định 30” (dưới 30) (Toàn bộ). Trường B (trường B (trường khác)) có học sinh điểm 10 ở mục tương tự. Mục mục số thập phân (</s:t>
          </s:r>
          <s:r>
            <s:rPr>
              <s:b val="1"/>
            </s:rPr>
            <s:t>M=100</s:t>
          </s:r>
          <s:r>
            <s:t>) (không có quy tắc) có S09=29.5.</s:t>
          </s:r>
        </s:is>
      </s:c>
      <s:c r="C3602" s="28" t="n"/>
      <s:c r="D3602" s="28" t="n"/>
      <s:c r="E3602" s="28" t="n"/>
    </s:row>
    <s:row r="3603" ht="34" customHeight="1">
      <s:c r="A3603" s="112" t="inlineStr">
        <s:is>
          <s:t>Dữ liệu test</s:t>
        </s:is>
      </s:c>
      <s:c r="B3603" s="113" t="inlineStr">
        <s:is>
          <s:r>
            <s:t>• Mục số nguyên (</s:t>
          </s:r>
          <s:r>
            <s:rPr>
              <s:b val="1"/>
            </s:rPr>
            <s:t>M=100</s:t>
          </s:r>
          <s:r>
            <s:t>), mục số thập phân (</s:t>
          </s:r>
          <s:r>
            <s:rPr>
              <s:b val="1"/>
            </s:rPr>
            <s:t>M=100</s:t>
          </s:r>
          <s:r>
            <s:t>);
• Quy tắc “Cố định 30” (dưới 30), trường B (trường khác), học sinh S09 (mục số thập phân 29.5)</s:t>
          </s:r>
        </s:is>
      </s:c>
      <s:c r="C3603" s="28" t="n"/>
      <s:c r="D3603" s="28" t="n"/>
      <s:c r="E3603" s="28" t="n"/>
    </s:row>
    <s:row r="3604" ht="20" customHeight="1">
      <s:c r="A3604" s="112" t="inlineStr">
        <s:is>
          <s:t>Bước 1</s:t>
        </s:is>
      </s:c>
      <s:c r="B3604" s="113" t="inlineStr">
        <s:is>
          <s:t>Chạy xét hàng loạt cho trường A.</s:t>
        </s:is>
      </s:c>
      <s:c r="C3604" s="28" t="n"/>
      <s:c r="D3604" s="28" t="n"/>
      <s:c r="E3604" s="28" t="n"/>
    </s:row>
    <s:row r="3605" ht="20" customHeight="1">
      <s:c r="A3605" s="112" t="inlineStr">
        <s:is>
          <s:t>Bước 2</s:t>
        </s:is>
      </s:c>
      <s:c r="B3605" s="113" t="inlineStr">
        <s:is>
          <s:r>
            <s:t>Xem kết quả S09 ở mục số thập phân (</s:t>
          </s:r>
          <s:r>
            <s:rPr>
              <s:b val="1"/>
            </s:rPr>
            <s:t>M=100</s:t>
          </s:r>
          <s:r>
            <s:t>) và dữ liệu trường B.</s:t>
          </s:r>
        </s:is>
      </s:c>
      <s:c r="C3605" s="28" t="n"/>
      <s:c r="D3605" s="28" t="n"/>
      <s:c r="E3605" s="28" t="n"/>
    </s:row>
    <s:row r="3606" ht="28" customHeight="1">
      <s:c r="A3606" s="115" t="inlineStr">
        <s:is>
          <s:t>Trường hợp</s:t>
        </s:is>
      </s:c>
      <s:c r="B3606" s="115" t="inlineStr">
        <s:is>
          <s:t>Dữ liệu / thao tác riêng</s:t>
        </s:is>
      </s:c>
      <s:c r="C3606" s="115" t="inlineStr">
        <s:is>
          <s:t>Kết quả mong đợi</s:t>
        </s:is>
      </s:c>
      <s:c r="D3606" s="115" t="inlineStr">
        <s:is>
          <s:t>Kết quả thực tế</s:t>
        </s:is>
      </s:c>
      <s:c r="E3606" s="115" t="inlineStr">
        <s:is>
          <s:t>Đánh giá</s:t>
        </s:is>
      </s:c>
    </s:row>
    <s:row r="3607" ht="3" customHeight="1">
      <s:c r="A3607" s="102" t="inlineStr"/>
      <s:c r="B3607" s="99" t="n"/>
      <s:c r="C3607" s="99" t="n"/>
      <s:c r="D3607" s="116" t="n"/>
      <s:c r="E3607" s="116" t="n"/>
    </s:row>
    <s:row r="3608" ht="62" customHeight="1">
      <s:c r="A3608" s="83" t="inlineStr">
        <s:is>
          <s:t>Trường hợp cơ bản (Base)</s:t>
        </s:is>
      </s:c>
      <s:c r="B3608" s="83" t="inlineStr">
        <s:is>
          <s:t>Toàn bộ tình huống: Thực hiện đủ các bước chung theo thứ tự; kiểm cả đối tượng đích và đối chứng cùng fixture, không bỏ bước.</s:t>
        </s:is>
      </s:c>
      <s:c r="C3608" s="83" t="inlineStr">
        <s:is>
          <s:r>
            <s:t>Chỉ ô của mục số nguyên (</s:t>
          </s:r>
          <s:r>
            <s:rPr>
              <s:b val="1"/>
            </s:rPr>
            <s:t>M=100</s:t>
          </s:r>
          <s:r>
            <s:t>) trong trường A năm 2026 được xét. S09 ở mục số thập phân (</s:t>
          </s:r>
          <s:r>
            <s:rPr>
              <s:b val="1"/>
            </s:rPr>
            <s:t>M=100</s:t>
          </s:r>
          <s:r>
            <s:t>) và học sinh trường B không bị ảnh hưởng.</s:t>
          </s:r>
        </s:is>
      </s:c>
      <s:c r="D3608" s="117" t="inlineStr"/>
      <s:c r="E3608" s="118" t="inlineStr">
        <s:is>
          <s:t>Chưa thực hiện</s:t>
        </s:is>
      </s:c>
    </s:row>
    <s:row r="3609" ht="20" customHeight="1">
      <s:c r="A3609" s="119" t="inlineStr">
        <s:is>
          <s:t>Ảnh minh chứng — Chưa có ảnh</s:t>
        </s:is>
      </s:c>
      <s:c r="B3609" s="19" t="n"/>
      <s:c r="C3609" s="19" t="n"/>
      <s:c r="D3609" s="19" t="n"/>
      <s:c r="E3609" s="19" t="n"/>
    </s:row>
    <s:row r="3610" hidden="1" ht="1" customHeight="1">
      <s:c r="A3610" s="120" t="inlineStr"/>
      <s:c r="B3610" s="121" t="n"/>
      <s:c r="C3610" s="121" t="n"/>
      <s:c r="D3610" s="121" t="n"/>
      <s:c r="E3610" s="122" t="n"/>
    </s:row>
    <s:row r="3611" hidden="1" ht="1" customHeight="1">
      <s:c r="A3611" s="120" t="inlineStr"/>
      <s:c r="B3611" s="121" t="n"/>
      <s:c r="C3611" s="121" t="n"/>
      <s:c r="D3611" s="121" t="n"/>
      <s:c r="E3611" s="122" t="n"/>
    </s:row>
    <s:row r="3612" hidden="1" ht="1" customHeight="1">
      <s:c r="A3612" s="120" t="inlineStr"/>
      <s:c r="B3612" s="121" t="n"/>
      <s:c r="C3612" s="121" t="n"/>
      <s:c r="D3612" s="121" t="n"/>
      <s:c r="E3612" s="122" t="n"/>
    </s:row>
    <s:row r="3613" hidden="1" ht="1" customHeight="1">
      <s:c r="A3613" s="120" t="inlineStr"/>
      <s:c r="B3613" s="121" t="n"/>
      <s:c r="C3613" s="121" t="n"/>
      <s:c r="D3613" s="121" t="n"/>
      <s:c r="E3613" s="122" t="n"/>
    </s:row>
    <s:row r="3614" hidden="1" ht="1" customHeight="1">
      <s:c r="A3614" s="120" t="inlineStr"/>
      <s:c r="B3614" s="121" t="n"/>
      <s:c r="C3614" s="121" t="n"/>
      <s:c r="D3614" s="121" t="n"/>
      <s:c r="E3614" s="122" t="n"/>
    </s:row>
    <s:row r="3615" hidden="1" ht="1" customHeight="1">
      <s:c r="A3615" s="120" t="inlineStr"/>
      <s:c r="B3615" s="121" t="n"/>
      <s:c r="C3615" s="121" t="n"/>
      <s:c r="D3615" s="121" t="n"/>
      <s:c r="E3615" s="122" t="n"/>
    </s:row>
    <s:row r="3616" hidden="1" ht="1" customHeight="1">
      <s:c r="A3616" s="120" t="inlineStr"/>
      <s:c r="B3616" s="121" t="n"/>
      <s:c r="C3616" s="121" t="n"/>
      <s:c r="D3616" s="121" t="n"/>
      <s:c r="E3616" s="122" t="n"/>
    </s:row>
    <s:row r="3617" hidden="1" ht="1" customHeight="1">
      <s:c r="A3617" s="120" t="inlineStr"/>
      <s:c r="B3617" s="121" t="n"/>
      <s:c r="C3617" s="121" t="n"/>
      <s:c r="D3617" s="121" t="n"/>
      <s:c r="E3617" s="122" t="n"/>
    </s:row>
    <s:row r="3618" hidden="1" ht="1" customHeight="1">
      <s:c r="A3618" s="120" t="inlineStr"/>
      <s:c r="B3618" s="121" t="n"/>
      <s:c r="C3618" s="121" t="n"/>
      <s:c r="D3618" s="121" t="n"/>
      <s:c r="E3618" s="122" t="n"/>
    </s:row>
    <s:row r="3619" hidden="1" ht="1" customHeight="1">
      <s:c r="A3619" s="120" t="inlineStr"/>
      <s:c r="B3619" s="121" t="n"/>
      <s:c r="C3619" s="121" t="n"/>
      <s:c r="D3619" s="121" t="n"/>
      <s:c r="E3619" s="122" t="n"/>
    </s:row>
    <s:row r="3620" hidden="1" ht="1" customHeight="1">
      <s:c r="A3620" s="120" t="inlineStr"/>
      <s:c r="B3620" s="121" t="n"/>
      <s:c r="C3620" s="121" t="n"/>
      <s:c r="D3620" s="121" t="n"/>
      <s:c r="E3620" s="122" t="n"/>
    </s:row>
    <s:row r="3621" hidden="1" ht="1" customHeight="1">
      <s:c r="A3621" s="120" t="inlineStr"/>
      <s:c r="B3621" s="121" t="n"/>
      <s:c r="C3621" s="121" t="n"/>
      <s:c r="D3621" s="121" t="n"/>
      <s:c r="E3621" s="122" t="n"/>
    </s:row>
    <s:row r="3622" hidden="1" ht="1" customHeight="1">
      <s:c r="A3622" s="120" t="inlineStr"/>
      <s:c r="B3622" s="121" t="n"/>
      <s:c r="C3622" s="121" t="n"/>
      <s:c r="D3622" s="121" t="n"/>
      <s:c r="E3622" s="122" t="n"/>
    </s:row>
    <s:row r="3623" hidden="1" ht="1" customHeight="1">
      <s:c r="A3623" s="120" t="inlineStr"/>
      <s:c r="B3623" s="121" t="n"/>
      <s:c r="C3623" s="121" t="n"/>
      <s:c r="D3623" s="121" t="n"/>
      <s:c r="E3623" s="122" t="n"/>
    </s:row>
    <s:row r="3624" hidden="1" ht="1" customHeight="1">
      <s:c r="A3624" s="120" t="inlineStr"/>
      <s:c r="B3624" s="121" t="n"/>
      <s:c r="C3624" s="121" t="n"/>
      <s:c r="D3624" s="121" t="n"/>
      <s:c r="E3624" s="122" t="n"/>
    </s:row>
    <s:row r="3625" hidden="1" ht="1" customHeight="1">
      <s:c r="A3625" s="120" t="inlineStr"/>
      <s:c r="B3625" s="121" t="n"/>
      <s:c r="C3625" s="121" t="n"/>
      <s:c r="D3625" s="121" t="n"/>
      <s:c r="E3625" s="122" t="n"/>
    </s:row>
    <s:row r="3626" hidden="1" ht="1" customHeight="1">
      <s:c r="A3626" s="120" t="inlineStr"/>
      <s:c r="B3626" s="121" t="n"/>
      <s:c r="C3626" s="121" t="n"/>
      <s:c r="D3626" s="121" t="n"/>
      <s:c r="E3626" s="122" t="n"/>
    </s:row>
    <s:row r="3627" hidden="1" ht="1" customHeight="1">
      <s:c r="A3627" s="120" t="inlineStr"/>
      <s:c r="B3627" s="121" t="n"/>
      <s:c r="C3627" s="121" t="n"/>
      <s:c r="D3627" s="121" t="n"/>
      <s:c r="E3627" s="122" t="n"/>
    </s:row>
    <s:row r="3628" hidden="1" ht="1" customHeight="1">
      <s:c r="A3628" s="120" t="inlineStr"/>
      <s:c r="B3628" s="121" t="n"/>
      <s:c r="C3628" s="121" t="n"/>
      <s:c r="D3628" s="121" t="n"/>
      <s:c r="E3628" s="122" t="n"/>
    </s:row>
    <s:row r="3629" hidden="1" ht="1" customHeight="1">
      <s:c r="A3629" s="120" t="inlineStr"/>
      <s:c r="B3629" s="121" t="n"/>
      <s:c r="C3629" s="121" t="n"/>
      <s:c r="D3629" s="121" t="n"/>
      <s:c r="E3629" s="122" t="n"/>
    </s:row>
    <s:row r="3630" hidden="1" ht="1" customHeight="1">
      <s:c r="A3630" s="120" t="inlineStr"/>
      <s:c r="B3630" s="121" t="n"/>
      <s:c r="C3630" s="121" t="n"/>
      <s:c r="D3630" s="121" t="n"/>
      <s:c r="E3630" s="122" t="n"/>
    </s:row>
    <s:row r="3631" hidden="1" ht="1" customHeight="1">
      <s:c r="A3631" s="120" t="inlineStr"/>
      <s:c r="B3631" s="121" t="n"/>
      <s:c r="C3631" s="121" t="n"/>
      <s:c r="D3631" s="121" t="n"/>
      <s:c r="E3631" s="122" t="n"/>
    </s:row>
    <s:row r="3632" hidden="1" ht="1" customHeight="1">
      <s:c r="A3632" s="120" t="inlineStr"/>
      <s:c r="B3632" s="121" t="n"/>
      <s:c r="C3632" s="121" t="n"/>
      <s:c r="D3632" s="121" t="n"/>
      <s:c r="E3632" s="122" t="n"/>
    </s:row>
    <s:row r="3633" hidden="1" ht="1" customHeight="1">
      <s:c r="A3633" s="120" t="inlineStr"/>
      <s:c r="B3633" s="121" t="n"/>
      <s:c r="C3633" s="121" t="n"/>
      <s:c r="D3633" s="121" t="n"/>
      <s:c r="E3633" s="122" t="n"/>
    </s:row>
    <s:row r="3634" hidden="1" ht="1" customHeight="1">
      <s:c r="A3634" s="120" t="inlineStr"/>
      <s:c r="B3634" s="121" t="n"/>
      <s:c r="C3634" s="121" t="n"/>
      <s:c r="D3634" s="121" t="n"/>
      <s:c r="E3634" s="122" t="n"/>
    </s:row>
    <s:row r="3635" hidden="1" ht="1" customHeight="1">
      <s:c r="A3635" s="120" t="inlineStr"/>
      <s:c r="B3635" s="121" t="n"/>
      <s:c r="C3635" s="121" t="n"/>
      <s:c r="D3635" s="121" t="n"/>
      <s:c r="E3635" s="122" t="n"/>
    </s:row>
    <s:row r="3636" hidden="1" ht="1" customHeight="1">
      <s:c r="A3636" s="120" t="inlineStr"/>
      <s:c r="B3636" s="121" t="n"/>
      <s:c r="C3636" s="121" t="n"/>
      <s:c r="D3636" s="121" t="n"/>
      <s:c r="E3636" s="122" t="n"/>
    </s:row>
    <s:row r="3637" hidden="1" ht="1" customHeight="1">
      <s:c r="A3637" s="120" t="inlineStr"/>
      <s:c r="B3637" s="121" t="n"/>
      <s:c r="C3637" s="121" t="n"/>
      <s:c r="D3637" s="121" t="n"/>
      <s:c r="E3637" s="122" t="n"/>
    </s:row>
    <s:row r="3638" hidden="1" ht="1" customHeight="1">
      <s:c r="A3638" s="120" t="inlineStr"/>
      <s:c r="B3638" s="121" t="n"/>
      <s:c r="C3638" s="121" t="n"/>
      <s:c r="D3638" s="121" t="n"/>
      <s:c r="E3638" s="122" t="n"/>
    </s:row>
    <s:row r="3639" hidden="1" ht="1" customHeight="1">
      <s:c r="A3639" s="120" t="inlineStr"/>
      <s:c r="B3639" s="121" t="n"/>
      <s:c r="C3639" s="121" t="n"/>
      <s:c r="D3639" s="121" t="n"/>
      <s:c r="E3639" s="122" t="n"/>
    </s:row>
    <s:row r="3640" hidden="1" ht="1" customHeight="1">
      <s:c r="A3640" s="120" t="inlineStr"/>
      <s:c r="B3640" s="121" t="n"/>
      <s:c r="C3640" s="121" t="n"/>
      <s:c r="D3640" s="121" t="n"/>
      <s:c r="E3640" s="122" t="n"/>
    </s:row>
    <s:row r="3641" hidden="1" ht="1" customHeight="1">
      <s:c r="A3641" s="120" t="inlineStr"/>
      <s:c r="B3641" s="121" t="n"/>
      <s:c r="C3641" s="121" t="n"/>
      <s:c r="D3641" s="121" t="n"/>
      <s:c r="E3641" s="122" t="n"/>
    </s:row>
    <s:row r="3642" hidden="1" ht="1" customHeight="1">
      <s:c r="A3642" s="120" t="inlineStr"/>
      <s:c r="B3642" s="121" t="n"/>
      <s:c r="C3642" s="121" t="n"/>
      <s:c r="D3642" s="121" t="n"/>
      <s:c r="E3642" s="122" t="n"/>
    </s:row>
    <s:row r="3643" hidden="1" ht="1" customHeight="1">
      <s:c r="A3643" s="120" t="inlineStr"/>
      <s:c r="B3643" s="121" t="n"/>
      <s:c r="C3643" s="121" t="n"/>
      <s:c r="D3643" s="121" t="n"/>
      <s:c r="E3643" s="122" t="n"/>
    </s:row>
    <s:row r="3644" hidden="1" ht="1" customHeight="1">
      <s:c r="A3644" s="120" t="inlineStr"/>
      <s:c r="B3644" s="121" t="n"/>
      <s:c r="C3644" s="121" t="n"/>
      <s:c r="D3644" s="121" t="n"/>
      <s:c r="E3644" s="122" t="n"/>
    </s:row>
    <s:row r="3645" hidden="1" ht="1" customHeight="1">
      <s:c r="A3645" s="120" t="inlineStr"/>
      <s:c r="B3645" s="121" t="n"/>
      <s:c r="C3645" s="121" t="n"/>
      <s:c r="D3645" s="121" t="n"/>
      <s:c r="E3645" s="122" t="n"/>
    </s:row>
    <s:row r="3646" hidden="1" ht="1" customHeight="1">
      <s:c r="A3646" s="120" t="inlineStr"/>
      <s:c r="B3646" s="121" t="n"/>
      <s:c r="C3646" s="121" t="n"/>
      <s:c r="D3646" s="121" t="n"/>
      <s:c r="E3646" s="122" t="n"/>
    </s:row>
    <s:row r="3647" hidden="1" ht="1" customHeight="1">
      <s:c r="A3647" s="120" t="inlineStr"/>
      <s:c r="B3647" s="121" t="n"/>
      <s:c r="C3647" s="121" t="n"/>
      <s:c r="D3647" s="121" t="n"/>
      <s:c r="E3647" s="122" t="n"/>
    </s:row>
    <s:row r="3648" hidden="1" ht="1" customHeight="1">
      <s:c r="A3648" s="120" t="inlineStr"/>
      <s:c r="B3648" s="121" t="n"/>
      <s:c r="C3648" s="121" t="n"/>
      <s:c r="D3648" s="121" t="n"/>
      <s:c r="E3648" s="122" t="n"/>
    </s:row>
    <s:row r="3649" hidden="1" ht="1" customHeight="1">
      <s:c r="A3649" s="120" t="inlineStr"/>
      <s:c r="B3649" s="121" t="n"/>
      <s:c r="C3649" s="121" t="n"/>
      <s:c r="D3649" s="121" t="n"/>
      <s:c r="E3649" s="122" t="n"/>
    </s:row>
    <s:row r="3650" hidden="1" ht="1" customHeight="1">
      <s:c r="A3650" s="120" t="inlineStr"/>
      <s:c r="B3650" s="121" t="n"/>
      <s:c r="C3650" s="121" t="n"/>
      <s:c r="D3650" s="121" t="n"/>
      <s:c r="E3650" s="122" t="n"/>
    </s:row>
    <s:row r="3651" hidden="1" ht="1" customHeight="1">
      <s:c r="A3651" s="120" t="inlineStr"/>
      <s:c r="B3651" s="121" t="n"/>
      <s:c r="C3651" s="121" t="n"/>
      <s:c r="D3651" s="121" t="n"/>
      <s:c r="E3651" s="122" t="n"/>
    </s:row>
    <s:row r="3652" hidden="1" ht="1" customHeight="1">
      <s:c r="A3652" s="120" t="inlineStr"/>
      <s:c r="B3652" s="121" t="n"/>
      <s:c r="C3652" s="121" t="n"/>
      <s:c r="D3652" s="121" t="n"/>
      <s:c r="E3652" s="122" t="n"/>
    </s:row>
    <s:row r="3653" hidden="1" ht="1" customHeight="1">
      <s:c r="A3653" s="120" t="inlineStr"/>
      <s:c r="B3653" s="121" t="n"/>
      <s:c r="C3653" s="121" t="n"/>
      <s:c r="D3653" s="121" t="n"/>
      <s:c r="E3653" s="122" t="n"/>
    </s:row>
    <s:row r="3654" hidden="1" ht="1" customHeight="1">
      <s:c r="A3654" s="120" t="inlineStr"/>
      <s:c r="B3654" s="121" t="n"/>
      <s:c r="C3654" s="121" t="n"/>
      <s:c r="D3654" s="121" t="n"/>
      <s:c r="E3654" s="122" t="n"/>
    </s:row>
    <s:row r="3655" hidden="1" ht="1" customHeight="1">
      <s:c r="A3655" s="120" t="inlineStr"/>
      <s:c r="B3655" s="121" t="n"/>
      <s:c r="C3655" s="121" t="n"/>
      <s:c r="D3655" s="121" t="n"/>
      <s:c r="E3655" s="122" t="n"/>
    </s:row>
    <s:row r="3656" hidden="1" ht="1" customHeight="1">
      <s:c r="A3656" s="120" t="inlineStr"/>
      <s:c r="B3656" s="121" t="n"/>
      <s:c r="C3656" s="121" t="n"/>
      <s:c r="D3656" s="121" t="n"/>
      <s:c r="E3656" s="122" t="n"/>
    </s:row>
    <s:row r="3657" hidden="1" ht="1" customHeight="1">
      <s:c r="A3657" s="120" t="inlineStr"/>
      <s:c r="B3657" s="121" t="n"/>
      <s:c r="C3657" s="121" t="n"/>
      <s:c r="D3657" s="121" t="n"/>
      <s:c r="E3657" s="122" t="n"/>
    </s:row>
    <s:row r="3658" hidden="1" ht="1" customHeight="1">
      <s:c r="A3658" s="83" t="inlineStr">
        <s:is>
          <s:t>PASS</s:t>
        </s:is>
      </s:c>
      <s:c r="B3658" s="83">
        <s:f>SUM(IF(EXACT('Kiểm thử'!E3608,"Đạt"),1,0))</s:f>
        <s:v/>
      </s:c>
      <s:c r="C3658" s="19" t="n"/>
      <s:c r="D3658" s="19" t="n"/>
      <s:c r="E3658" s="19" t="n"/>
    </s:row>
    <s:row r="3659" hidden="1" ht="1" customHeight="1">
      <s:c r="A3659" s="83" t="inlineStr">
        <s:is>
          <s:t>FAIL</s:t>
        </s:is>
      </s:c>
      <s:c r="B3659" s="83">
        <s:f>SUM(IF(EXACT('Kiểm thử'!E3608,"Không đạt"),1,0))</s:f>
        <s:v/>
      </s:c>
      <s:c r="C3659" s="19" t="n"/>
      <s:c r="D3659" s="19" t="n"/>
      <s:c r="E3659" s="19" t="n"/>
    </s:row>
    <s:row r="3660" hidden="1" ht="1" customHeight="1">
      <s:c r="A3660" s="83" t="inlineStr">
        <s:is>
          <s:t>BLOCKED</s:t>
        </s:is>
      </s:c>
      <s:c r="B3660" s="83">
        <s:f>SUM(IF(EXACT('Kiểm thử'!E3608,"Bị chặn"),1,0))</s:f>
        <s:v/>
      </s:c>
      <s:c r="C3660" s="19" t="n"/>
      <s:c r="D3660" s="19" t="n"/>
      <s:c r="E3660" s="19" t="n"/>
    </s:row>
    <s:row r="3661" hidden="1" ht="1" customHeight="1">
      <s:c r="A3661" s="83" t="inlineStr">
        <s:is>
          <s:t>SKIPPED</s:t>
        </s:is>
      </s:c>
      <s:c r="B3661" s="83">
        <s:f>SUM(IF(EXACT('Kiểm thử'!E3608,"Không thực hiện"),1,0))</s:f>
        <s:v/>
      </s:c>
      <s:c r="C3661" s="19" t="n"/>
      <s:c r="D3661" s="19" t="n"/>
      <s:c r="E3661" s="19" t="n"/>
    </s:row>
    <s:row r="3662" hidden="1" ht="1" customHeight="1">
      <s:c r="A3662" s="83" t="inlineStr">
        <s:is>
          <s:t>NOT RUN</s:t>
        </s:is>
      </s:c>
      <s:c r="B3662" s="83">
        <s:f>SUM(IF(EXACT('Kiểm thử'!E3608,"Chưa thực hiện"),1,0))</s:f>
        <s:v/>
      </s:c>
      <s:c r="C3662" s="19" t="n"/>
      <s:c r="D3662" s="19" t="n"/>
      <s:c r="E3662" s="19" t="n"/>
    </s:row>
    <s:row r="3663" hidden="1" ht="6" customHeight="1">
      <s:c r="A3663" s="83" t="inlineStr"/>
      <s:c r="B3663" s="19" t="n"/>
      <s:c r="C3663" s="19" t="n"/>
      <s:c r="D3663" s="19" t="n"/>
      <s:c r="E3663" s="19" t="n"/>
    </s:row>
    <s:row r="3664" ht="28" customHeight="1">
      <s:c r="A3664" s="108" t="inlineStr">
        <s:is>
          <s:t>TC-RS-BR-029 — Mục lựa chọn không được xét, nhưng bộ lọc theo lựa chọn vẫn dùng để chọn đối tượng</s:t>
        </s:is>
      </s:c>
      <s:c r="B3664" s="111" t="n"/>
      <s:c r="C3664" s="111" t="n"/>
      <s:c r="D3664" s="111" t="n"/>
      <s:c r="E3664" s="111" t="n"/>
    </s:row>
    <s:row r="3665" ht="20" customHeight="1">
      <s:c r="A3665" s="112" t="inlineStr">
        <s:is>
          <s:t>Kết quả tình huống</s:t>
        </s:is>
      </s:c>
      <s:c r="B3665" s="113">
        <s:f>IF(SUM(IF(EXACT('Kiểm thử'!E3673,"Không đạt"),1,0))&gt;0,"Không đạt",IF(SUM(IF(EXACT('Kiểm thử'!E3673,"Đạt"),1,0))=1,"Đạt",IF(SUM(IF(EXACT('Kiểm thử'!E3673,"Không thực hiện"),1,0))=1,"Không thực hiện",IF(SUM(IF(EXACT('Kiểm thử'!E3673,"Bị chặn"),1,0))&gt;0,"Bị chặn",IF(SUM(IF(EXACT('Kiểm thử'!E3673,"Chưa thực hiện"),1,0))=1,"Chưa thực hiện","Đang thực hiện")))))</s:f>
        <s:v/>
      </s:c>
      <s:c r="C3665" s="114" t="n"/>
      <s:c r="D3665" s="114" t="n"/>
      <s:c r="E3665" s="114" t="n"/>
    </s:row>
    <s:row r="3666" ht="20" customHeight="1">
      <s:c r="A3666" s="112" t="inlineStr">
        <s:is>
          <s:t>Màn hình / chức năng</s:t>
        </s:is>
      </s:c>
      <s:c r="B3666" s="113" t="inlineStr">
        <s:is>
          <s:r>
            <s:rPr>
              <s:b val="1"/>
            </s:rPr>
            <s:t>Điều kiện áp dụng（適用条件）</s:t>
          </s:r>
        </s:is>
      </s:c>
      <s:c r="C3666" s="28" t="n"/>
      <s:c r="D3666" s="28" t="n"/>
      <s:c r="E3666" s="28" t="n"/>
    </s:row>
    <s:row r="3667" ht="20" customHeight="1">
      <s:c r="A3667" s="112" t="inlineStr">
        <s:is>
          <s:t>Cấu hình</s:t>
        </s:is>
      </s:c>
      <s:c r="B3667" s="113" t="inlineStr">
        <s:is>
          <s:t>• Mục kiểu lựa chọn A/B/C (A/B/C) có giá trị cho S01 = B, S02 = A.</s:t>
        </s:is>
      </s:c>
      <s:c r="C3667" s="28" t="n"/>
      <s:c r="D3667" s="28" t="n"/>
      <s:c r="E3667" s="28" t="n"/>
    </s:row>
    <s:row r="3668" ht="34" customHeight="1">
      <s:c r="A3668" s="112" t="inlineStr">
        <s:is>
          <s:t>Dữ liệu test</s:t>
        </s:is>
      </s:c>
      <s:c r="B3668" s="113" t="inlineStr">
        <s:is>
          <s:r>
            <s:t>• Mục số nguyên (</s:t>
          </s:r>
          <s:r>
            <s:rPr>
              <s:b val="1"/>
            </s:rPr>
            <s:t>M=100</s:t>
          </s:r>
          <s:r>
            <s:t>);
• Mục kiểu lựa chọn A/B/C, quy tắc “Cố định 30” (dưới 30)</s:t>
          </s:r>
        </s:is>
      </s:c>
      <s:c r="C3668" s="28" t="n"/>
      <s:c r="D3668" s="28" t="n"/>
      <s:c r="E3668" s="28" t="n"/>
    </s:row>
    <s:row r="3669" ht="34" customHeight="1">
      <s:c r="A3669" s="112" t="inlineStr">
        <s:is>
          <s:t>Bước 1</s:t>
        </s:is>
      </s:c>
      <s:c r="B3669" s="113" t="inlineStr">
        <s:is>
          <s:r>
            <s:t>Tạo quy tắc cho mục số nguyên (</s:t>
          </s:r>
          <s:r>
            <s:rPr>
              <s:b val="1"/>
            </s:rPr>
            <s:t>M=100</s:t>
          </s:r>
          <s:r>
            <s:t xml:space="preserve">) với bộ </s:t>
          </s:r>
          <s:r>
            <s:rPr>
              <s:b val="1"/>
            </s:rPr>
            <s:t>lọc theo lựa chọn（選択肢型）</s:t>
          </s:r>
          <s:r>
            <s:t xml:space="preserve"> mục kiểu lựa chọn A/B/C = B, cố định 30 [&lt;].</s:t>
          </s:r>
        </s:is>
      </s:c>
      <s:c r="C3669" s="28" t="n"/>
      <s:c r="D3669" s="28" t="n"/>
      <s:c r="E3669" s="28" t="n"/>
    </s:row>
    <s:row r="3670" ht="20" customHeight="1">
      <s:c r="A3670" s="112" t="inlineStr">
        <s:is>
          <s:t>Bước 2</s:t>
        </s:is>
      </s:c>
      <s:c r="B3670" s="113" t="inlineStr">
        <s:is>
          <s:t>Đăng ký S01=29, S02=29.</s:t>
        </s:is>
      </s:c>
      <s:c r="C3670" s="28" t="n"/>
      <s:c r="D3670" s="28" t="n"/>
      <s:c r="E3670" s="28" t="n"/>
    </s:row>
    <s:row r="3671" ht="28" customHeight="1">
      <s:c r="A3671" s="115" t="inlineStr">
        <s:is>
          <s:t>Trường hợp</s:t>
        </s:is>
      </s:c>
      <s:c r="B3671" s="115" t="inlineStr">
        <s:is>
          <s:t>Dữ liệu / thao tác riêng</s:t>
        </s:is>
      </s:c>
      <s:c r="C3671" s="115" t="inlineStr">
        <s:is>
          <s:t>Kết quả mong đợi</s:t>
        </s:is>
      </s:c>
      <s:c r="D3671" s="115" t="inlineStr">
        <s:is>
          <s:t>Kết quả thực tế</s:t>
        </s:is>
      </s:c>
      <s:c r="E3671" s="115" t="inlineStr">
        <s:is>
          <s:t>Đánh giá</s:t>
        </s:is>
      </s:c>
    </s:row>
    <s:row r="3672" ht="3" customHeight="1">
      <s:c r="A3672" s="102" t="inlineStr"/>
      <s:c r="B3672" s="99" t="n"/>
      <s:c r="C3672" s="99" t="n"/>
      <s:c r="D3672" s="116" t="n"/>
      <s:c r="E3672" s="116" t="n"/>
    </s:row>
    <s:row r="3673" ht="62" customHeight="1">
      <s:c r="A3673" s="83" t="inlineStr">
        <s:is>
          <s:t>Trường hợp cơ bản (Base)</s:t>
        </s:is>
      </s:c>
      <s:c r="B3673" s="83" t="inlineStr">
        <s:is>
          <s:t>Toàn bộ tình huống: Thực hiện đủ các bước chung theo thứ tự; kiểm cả đối tượng đích và đối chứng cùng fixture, không bỏ bước.</s:t>
        </s:is>
      </s:c>
      <s:c r="C3673" s="83" t="inlineStr">
        <s:is>
          <s:r>
            <s:t xml:space="preserve">S01 </s:t>
          </s:r>
          <s:r>
            <s:rPr>
              <s:b val="1"/>
            </s:rPr>
            <s:t>Đỏ</s:t>
          </s:r>
          <s:r>
            <s:t xml:space="preserve"> (thuộc đối tượng); S02 </s:t>
          </s:r>
          <s:r>
            <s:rPr>
              <s:b val="1"/>
            </s:rPr>
            <s:t>Không áp dụng</s:t>
          </s:r>
          <s:r>
            <s:t>. Không có ô nào của mục kiểu lựa chọn A/B/C được xét đỏ.</s:t>
          </s:r>
        </s:is>
      </s:c>
      <s:c r="D3673" s="117" t="inlineStr"/>
      <s:c r="E3673" s="118" t="inlineStr">
        <s:is>
          <s:t>Chưa thực hiện</s:t>
        </s:is>
      </s:c>
    </s:row>
    <s:row r="3674" ht="20" customHeight="1">
      <s:c r="A3674" s="119" t="inlineStr">
        <s:is>
          <s:t>Ảnh minh chứng — Chưa có ảnh</s:t>
        </s:is>
      </s:c>
      <s:c r="B3674" s="19" t="n"/>
      <s:c r="C3674" s="19" t="n"/>
      <s:c r="D3674" s="19" t="n"/>
      <s:c r="E3674" s="19" t="n"/>
    </s:row>
    <s:row r="3675" hidden="1" ht="1" customHeight="1">
      <s:c r="A3675" s="120" t="inlineStr"/>
      <s:c r="B3675" s="121" t="n"/>
      <s:c r="C3675" s="121" t="n"/>
      <s:c r="D3675" s="121" t="n"/>
      <s:c r="E3675" s="122" t="n"/>
    </s:row>
    <s:row r="3676" hidden="1" ht="1" customHeight="1">
      <s:c r="A3676" s="120" t="inlineStr"/>
      <s:c r="B3676" s="121" t="n"/>
      <s:c r="C3676" s="121" t="n"/>
      <s:c r="D3676" s="121" t="n"/>
      <s:c r="E3676" s="122" t="n"/>
    </s:row>
    <s:row r="3677" hidden="1" ht="1" customHeight="1">
      <s:c r="A3677" s="120" t="inlineStr"/>
      <s:c r="B3677" s="121" t="n"/>
      <s:c r="C3677" s="121" t="n"/>
      <s:c r="D3677" s="121" t="n"/>
      <s:c r="E3677" s="122" t="n"/>
    </s:row>
    <s:row r="3678" hidden="1" ht="1" customHeight="1">
      <s:c r="A3678" s="120" t="inlineStr"/>
      <s:c r="B3678" s="121" t="n"/>
      <s:c r="C3678" s="121" t="n"/>
      <s:c r="D3678" s="121" t="n"/>
      <s:c r="E3678" s="122" t="n"/>
    </s:row>
    <s:row r="3679" hidden="1" ht="1" customHeight="1">
      <s:c r="A3679" s="120" t="inlineStr"/>
      <s:c r="B3679" s="121" t="n"/>
      <s:c r="C3679" s="121" t="n"/>
      <s:c r="D3679" s="121" t="n"/>
      <s:c r="E3679" s="122" t="n"/>
    </s:row>
    <s:row r="3680" hidden="1" ht="1" customHeight="1">
      <s:c r="A3680" s="120" t="inlineStr"/>
      <s:c r="B3680" s="121" t="n"/>
      <s:c r="C3680" s="121" t="n"/>
      <s:c r="D3680" s="121" t="n"/>
      <s:c r="E3680" s="122" t="n"/>
    </s:row>
    <s:row r="3681" hidden="1" ht="1" customHeight="1">
      <s:c r="A3681" s="120" t="inlineStr"/>
      <s:c r="B3681" s="121" t="n"/>
      <s:c r="C3681" s="121" t="n"/>
      <s:c r="D3681" s="121" t="n"/>
      <s:c r="E3681" s="122" t="n"/>
    </s:row>
    <s:row r="3682" hidden="1" ht="1" customHeight="1">
      <s:c r="A3682" s="120" t="inlineStr"/>
      <s:c r="B3682" s="121" t="n"/>
      <s:c r="C3682" s="121" t="n"/>
      <s:c r="D3682" s="121" t="n"/>
      <s:c r="E3682" s="122" t="n"/>
    </s:row>
    <s:row r="3683" hidden="1" ht="1" customHeight="1">
      <s:c r="A3683" s="120" t="inlineStr"/>
      <s:c r="B3683" s="121" t="n"/>
      <s:c r="C3683" s="121" t="n"/>
      <s:c r="D3683" s="121" t="n"/>
      <s:c r="E3683" s="122" t="n"/>
    </s:row>
    <s:row r="3684" hidden="1" ht="1" customHeight="1">
      <s:c r="A3684" s="120" t="inlineStr"/>
      <s:c r="B3684" s="121" t="n"/>
      <s:c r="C3684" s="121" t="n"/>
      <s:c r="D3684" s="121" t="n"/>
      <s:c r="E3684" s="122" t="n"/>
    </s:row>
    <s:row r="3685" hidden="1" ht="1" customHeight="1">
      <s:c r="A3685" s="120" t="inlineStr"/>
      <s:c r="B3685" s="121" t="n"/>
      <s:c r="C3685" s="121" t="n"/>
      <s:c r="D3685" s="121" t="n"/>
      <s:c r="E3685" s="122" t="n"/>
    </s:row>
    <s:row r="3686" hidden="1" ht="1" customHeight="1">
      <s:c r="A3686" s="120" t="inlineStr"/>
      <s:c r="B3686" s="121" t="n"/>
      <s:c r="C3686" s="121" t="n"/>
      <s:c r="D3686" s="121" t="n"/>
      <s:c r="E3686" s="122" t="n"/>
    </s:row>
    <s:row r="3687" hidden="1" ht="1" customHeight="1">
      <s:c r="A3687" s="120" t="inlineStr"/>
      <s:c r="B3687" s="121" t="n"/>
      <s:c r="C3687" s="121" t="n"/>
      <s:c r="D3687" s="121" t="n"/>
      <s:c r="E3687" s="122" t="n"/>
    </s:row>
    <s:row r="3688" hidden="1" ht="1" customHeight="1">
      <s:c r="A3688" s="120" t="inlineStr"/>
      <s:c r="B3688" s="121" t="n"/>
      <s:c r="C3688" s="121" t="n"/>
      <s:c r="D3688" s="121" t="n"/>
      <s:c r="E3688" s="122" t="n"/>
    </s:row>
    <s:row r="3689" hidden="1" ht="1" customHeight="1">
      <s:c r="A3689" s="120" t="inlineStr"/>
      <s:c r="B3689" s="121" t="n"/>
      <s:c r="C3689" s="121" t="n"/>
      <s:c r="D3689" s="121" t="n"/>
      <s:c r="E3689" s="122" t="n"/>
    </s:row>
    <s:row r="3690" hidden="1" ht="1" customHeight="1">
      <s:c r="A3690" s="120" t="inlineStr"/>
      <s:c r="B3690" s="121" t="n"/>
      <s:c r="C3690" s="121" t="n"/>
      <s:c r="D3690" s="121" t="n"/>
      <s:c r="E3690" s="122" t="n"/>
    </s:row>
    <s:row r="3691" hidden="1" ht="1" customHeight="1">
      <s:c r="A3691" s="120" t="inlineStr"/>
      <s:c r="B3691" s="121" t="n"/>
      <s:c r="C3691" s="121" t="n"/>
      <s:c r="D3691" s="121" t="n"/>
      <s:c r="E3691" s="122" t="n"/>
    </s:row>
    <s:row r="3692" hidden="1" ht="1" customHeight="1">
      <s:c r="A3692" s="120" t="inlineStr"/>
      <s:c r="B3692" s="121" t="n"/>
      <s:c r="C3692" s="121" t="n"/>
      <s:c r="D3692" s="121" t="n"/>
      <s:c r="E3692" s="122" t="n"/>
    </s:row>
    <s:row r="3693" hidden="1" ht="1" customHeight="1">
      <s:c r="A3693" s="120" t="inlineStr"/>
      <s:c r="B3693" s="121" t="n"/>
      <s:c r="C3693" s="121" t="n"/>
      <s:c r="D3693" s="121" t="n"/>
      <s:c r="E3693" s="122" t="n"/>
    </s:row>
    <s:row r="3694" hidden="1" ht="1" customHeight="1">
      <s:c r="A3694" s="120" t="inlineStr"/>
      <s:c r="B3694" s="121" t="n"/>
      <s:c r="C3694" s="121" t="n"/>
      <s:c r="D3694" s="121" t="n"/>
      <s:c r="E3694" s="122" t="n"/>
    </s:row>
    <s:row r="3695" hidden="1" ht="1" customHeight="1">
      <s:c r="A3695" s="120" t="inlineStr"/>
      <s:c r="B3695" s="121" t="n"/>
      <s:c r="C3695" s="121" t="n"/>
      <s:c r="D3695" s="121" t="n"/>
      <s:c r="E3695" s="122" t="n"/>
    </s:row>
    <s:row r="3696" hidden="1" ht="1" customHeight="1">
      <s:c r="A3696" s="120" t="inlineStr"/>
      <s:c r="B3696" s="121" t="n"/>
      <s:c r="C3696" s="121" t="n"/>
      <s:c r="D3696" s="121" t="n"/>
      <s:c r="E3696" s="122" t="n"/>
    </s:row>
    <s:row r="3697" hidden="1" ht="1" customHeight="1">
      <s:c r="A3697" s="120" t="inlineStr"/>
      <s:c r="B3697" s="121" t="n"/>
      <s:c r="C3697" s="121" t="n"/>
      <s:c r="D3697" s="121" t="n"/>
      <s:c r="E3697" s="122" t="n"/>
    </s:row>
    <s:row r="3698" hidden="1" ht="1" customHeight="1">
      <s:c r="A3698" s="120" t="inlineStr"/>
      <s:c r="B3698" s="121" t="n"/>
      <s:c r="C3698" s="121" t="n"/>
      <s:c r="D3698" s="121" t="n"/>
      <s:c r="E3698" s="122" t="n"/>
    </s:row>
    <s:row r="3699" hidden="1" ht="1" customHeight="1">
      <s:c r="A3699" s="120" t="inlineStr"/>
      <s:c r="B3699" s="121" t="n"/>
      <s:c r="C3699" s="121" t="n"/>
      <s:c r="D3699" s="121" t="n"/>
      <s:c r="E3699" s="122" t="n"/>
    </s:row>
    <s:row r="3700" hidden="1" ht="1" customHeight="1">
      <s:c r="A3700" s="120" t="inlineStr"/>
      <s:c r="B3700" s="121" t="n"/>
      <s:c r="C3700" s="121" t="n"/>
      <s:c r="D3700" s="121" t="n"/>
      <s:c r="E3700" s="122" t="n"/>
    </s:row>
    <s:row r="3701" hidden="1" ht="1" customHeight="1">
      <s:c r="A3701" s="120" t="inlineStr"/>
      <s:c r="B3701" s="121" t="n"/>
      <s:c r="C3701" s="121" t="n"/>
      <s:c r="D3701" s="121" t="n"/>
      <s:c r="E3701" s="122" t="n"/>
    </s:row>
    <s:row r="3702" hidden="1" ht="1" customHeight="1">
      <s:c r="A3702" s="120" t="inlineStr"/>
      <s:c r="B3702" s="121" t="n"/>
      <s:c r="C3702" s="121" t="n"/>
      <s:c r="D3702" s="121" t="n"/>
      <s:c r="E3702" s="122" t="n"/>
    </s:row>
    <s:row r="3703" hidden="1" ht="1" customHeight="1">
      <s:c r="A3703" s="120" t="inlineStr"/>
      <s:c r="B3703" s="121" t="n"/>
      <s:c r="C3703" s="121" t="n"/>
      <s:c r="D3703" s="121" t="n"/>
      <s:c r="E3703" s="122" t="n"/>
    </s:row>
    <s:row r="3704" hidden="1" ht="1" customHeight="1">
      <s:c r="A3704" s="120" t="inlineStr"/>
      <s:c r="B3704" s="121" t="n"/>
      <s:c r="C3704" s="121" t="n"/>
      <s:c r="D3704" s="121" t="n"/>
      <s:c r="E3704" s="122" t="n"/>
    </s:row>
    <s:row r="3705" hidden="1" ht="1" customHeight="1">
      <s:c r="A3705" s="120" t="inlineStr"/>
      <s:c r="B3705" s="121" t="n"/>
      <s:c r="C3705" s="121" t="n"/>
      <s:c r="D3705" s="121" t="n"/>
      <s:c r="E3705" s="122" t="n"/>
    </s:row>
    <s:row r="3706" hidden="1" ht="1" customHeight="1">
      <s:c r="A3706" s="120" t="inlineStr"/>
      <s:c r="B3706" s="121" t="n"/>
      <s:c r="C3706" s="121" t="n"/>
      <s:c r="D3706" s="121" t="n"/>
      <s:c r="E3706" s="122" t="n"/>
    </s:row>
    <s:row r="3707" hidden="1" ht="1" customHeight="1">
      <s:c r="A3707" s="120" t="inlineStr"/>
      <s:c r="B3707" s="121" t="n"/>
      <s:c r="C3707" s="121" t="n"/>
      <s:c r="D3707" s="121" t="n"/>
      <s:c r="E3707" s="122" t="n"/>
    </s:row>
    <s:row r="3708" hidden="1" ht="1" customHeight="1">
      <s:c r="A3708" s="120" t="inlineStr"/>
      <s:c r="B3708" s="121" t="n"/>
      <s:c r="C3708" s="121" t="n"/>
      <s:c r="D3708" s="121" t="n"/>
      <s:c r="E3708" s="122" t="n"/>
    </s:row>
    <s:row r="3709" hidden="1" ht="1" customHeight="1">
      <s:c r="A3709" s="120" t="inlineStr"/>
      <s:c r="B3709" s="121" t="n"/>
      <s:c r="C3709" s="121" t="n"/>
      <s:c r="D3709" s="121" t="n"/>
      <s:c r="E3709" s="122" t="n"/>
    </s:row>
    <s:row r="3710" hidden="1" ht="1" customHeight="1">
      <s:c r="A3710" s="120" t="inlineStr"/>
      <s:c r="B3710" s="121" t="n"/>
      <s:c r="C3710" s="121" t="n"/>
      <s:c r="D3710" s="121" t="n"/>
      <s:c r="E3710" s="122" t="n"/>
    </s:row>
    <s:row r="3711" hidden="1" ht="1" customHeight="1">
      <s:c r="A3711" s="120" t="inlineStr"/>
      <s:c r="B3711" s="121" t="n"/>
      <s:c r="C3711" s="121" t="n"/>
      <s:c r="D3711" s="121" t="n"/>
      <s:c r="E3711" s="122" t="n"/>
    </s:row>
    <s:row r="3712" hidden="1" ht="1" customHeight="1">
      <s:c r="A3712" s="120" t="inlineStr"/>
      <s:c r="B3712" s="121" t="n"/>
      <s:c r="C3712" s="121" t="n"/>
      <s:c r="D3712" s="121" t="n"/>
      <s:c r="E3712" s="122" t="n"/>
    </s:row>
    <s:row r="3713" hidden="1" ht="1" customHeight="1">
      <s:c r="A3713" s="120" t="inlineStr"/>
      <s:c r="B3713" s="121" t="n"/>
      <s:c r="C3713" s="121" t="n"/>
      <s:c r="D3713" s="121" t="n"/>
      <s:c r="E3713" s="122" t="n"/>
    </s:row>
    <s:row r="3714" hidden="1" ht="1" customHeight="1">
      <s:c r="A3714" s="120" t="inlineStr"/>
      <s:c r="B3714" s="121" t="n"/>
      <s:c r="C3714" s="121" t="n"/>
      <s:c r="D3714" s="121" t="n"/>
      <s:c r="E3714" s="122" t="n"/>
    </s:row>
    <s:row r="3715" hidden="1" ht="1" customHeight="1">
      <s:c r="A3715" s="120" t="inlineStr"/>
      <s:c r="B3715" s="121" t="n"/>
      <s:c r="C3715" s="121" t="n"/>
      <s:c r="D3715" s="121" t="n"/>
      <s:c r="E3715" s="122" t="n"/>
    </s:row>
    <s:row r="3716" hidden="1" ht="1" customHeight="1">
      <s:c r="A3716" s="120" t="inlineStr"/>
      <s:c r="B3716" s="121" t="n"/>
      <s:c r="C3716" s="121" t="n"/>
      <s:c r="D3716" s="121" t="n"/>
      <s:c r="E3716" s="122" t="n"/>
    </s:row>
    <s:row r="3717" hidden="1" ht="1" customHeight="1">
      <s:c r="A3717" s="120" t="inlineStr"/>
      <s:c r="B3717" s="121" t="n"/>
      <s:c r="C3717" s="121" t="n"/>
      <s:c r="D3717" s="121" t="n"/>
      <s:c r="E3717" s="122" t="n"/>
    </s:row>
    <s:row r="3718" hidden="1" ht="1" customHeight="1">
      <s:c r="A3718" s="120" t="inlineStr"/>
      <s:c r="B3718" s="121" t="n"/>
      <s:c r="C3718" s="121" t="n"/>
      <s:c r="D3718" s="121" t="n"/>
      <s:c r="E3718" s="122" t="n"/>
    </s:row>
    <s:row r="3719" hidden="1" ht="1" customHeight="1">
      <s:c r="A3719" s="120" t="inlineStr"/>
      <s:c r="B3719" s="121" t="n"/>
      <s:c r="C3719" s="121" t="n"/>
      <s:c r="D3719" s="121" t="n"/>
      <s:c r="E3719" s="122" t="n"/>
    </s:row>
    <s:row r="3720" hidden="1" ht="1" customHeight="1">
      <s:c r="A3720" s="120" t="inlineStr"/>
      <s:c r="B3720" s="121" t="n"/>
      <s:c r="C3720" s="121" t="n"/>
      <s:c r="D3720" s="121" t="n"/>
      <s:c r="E3720" s="122" t="n"/>
    </s:row>
    <s:row r="3721" hidden="1" ht="1" customHeight="1">
      <s:c r="A3721" s="120" t="inlineStr"/>
      <s:c r="B3721" s="121" t="n"/>
      <s:c r="C3721" s="121" t="n"/>
      <s:c r="D3721" s="121" t="n"/>
      <s:c r="E3721" s="122" t="n"/>
    </s:row>
    <s:row r="3722" hidden="1" ht="1" customHeight="1">
      <s:c r="A3722" s="120" t="inlineStr"/>
      <s:c r="B3722" s="121" t="n"/>
      <s:c r="C3722" s="121" t="n"/>
      <s:c r="D3722" s="121" t="n"/>
      <s:c r="E3722" s="122" t="n"/>
    </s:row>
    <s:row r="3723" hidden="1" ht="1" customHeight="1">
      <s:c r="A3723" s="83" t="inlineStr">
        <s:is>
          <s:t>PASS</s:t>
        </s:is>
      </s:c>
      <s:c r="B3723" s="83">
        <s:f>SUM(IF(EXACT('Kiểm thử'!E3673,"Đạt"),1,0))</s:f>
        <s:v/>
      </s:c>
      <s:c r="C3723" s="19" t="n"/>
      <s:c r="D3723" s="19" t="n"/>
      <s:c r="E3723" s="19" t="n"/>
    </s:row>
    <s:row r="3724" hidden="1" ht="1" customHeight="1">
      <s:c r="A3724" s="83" t="inlineStr">
        <s:is>
          <s:t>FAIL</s:t>
        </s:is>
      </s:c>
      <s:c r="B3724" s="83">
        <s:f>SUM(IF(EXACT('Kiểm thử'!E3673,"Không đạt"),1,0))</s:f>
        <s:v/>
      </s:c>
      <s:c r="C3724" s="19" t="n"/>
      <s:c r="D3724" s="19" t="n"/>
      <s:c r="E3724" s="19" t="n"/>
    </s:row>
    <s:row r="3725" hidden="1" ht="1" customHeight="1">
      <s:c r="A3725" s="83" t="inlineStr">
        <s:is>
          <s:t>BLOCKED</s:t>
        </s:is>
      </s:c>
      <s:c r="B3725" s="83">
        <s:f>SUM(IF(EXACT('Kiểm thử'!E3673,"Bị chặn"),1,0))</s:f>
        <s:v/>
      </s:c>
      <s:c r="C3725" s="19" t="n"/>
      <s:c r="D3725" s="19" t="n"/>
      <s:c r="E3725" s="19" t="n"/>
    </s:row>
    <s:row r="3726" hidden="1" ht="1" customHeight="1">
      <s:c r="A3726" s="83" t="inlineStr">
        <s:is>
          <s:t>SKIPPED</s:t>
        </s:is>
      </s:c>
      <s:c r="B3726" s="83">
        <s:f>SUM(IF(EXACT('Kiểm thử'!E3673,"Không thực hiện"),1,0))</s:f>
        <s:v/>
      </s:c>
      <s:c r="C3726" s="19" t="n"/>
      <s:c r="D3726" s="19" t="n"/>
      <s:c r="E3726" s="19" t="n"/>
    </s:row>
    <s:row r="3727" hidden="1" ht="1" customHeight="1">
      <s:c r="A3727" s="83" t="inlineStr">
        <s:is>
          <s:t>NOT RUN</s:t>
        </s:is>
      </s:c>
      <s:c r="B3727" s="83">
        <s:f>SUM(IF(EXACT('Kiểm thử'!E3673,"Chưa thực hiện"),1,0))</s:f>
        <s:v/>
      </s:c>
      <s:c r="C3727" s="19" t="n"/>
      <s:c r="D3727" s="19" t="n"/>
      <s:c r="E3727" s="19" t="n"/>
    </s:row>
    <s:row r="3728" hidden="1" ht="6" customHeight="1">
      <s:c r="A3728" s="83" t="inlineStr"/>
      <s:c r="B3728" s="19" t="n"/>
      <s:c r="C3728" s="19" t="n"/>
      <s:c r="D3728" s="19" t="n"/>
      <s:c r="E3728" s="19" t="n"/>
    </s:row>
    <s:row r="3729" ht="28" customHeight="1">
      <s:c r="A3729" s="108" t="inlineStr">
        <s:is>
          <s:t>TC-RS-BR-035 — Bộ lọc nhóm tổng hợp khác loại phải kết hợp VÀ</s:t>
        </s:is>
      </s:c>
      <s:c r="B3729" s="111" t="n"/>
      <s:c r="C3729" s="111" t="n"/>
      <s:c r="D3729" s="111" t="n"/>
      <s:c r="E3729" s="111" t="n"/>
    </s:row>
    <s:row r="3730" ht="20" customHeight="1">
      <s:c r="A3730" s="112" t="inlineStr">
        <s:is>
          <s:t>Kết quả tình huống</s:t>
        </s:is>
      </s:c>
      <s:c r="B3730" s="113">
        <s:f>IF(SUM(IF(EXACT('Kiểm thử'!E3739,"Không đạt"),1,0))&gt;0,"Không đạt",IF(SUM(IF(EXACT('Kiểm thử'!E3739,"Đạt"),1,0))=1,"Đạt",IF(SUM(IF(EXACT('Kiểm thử'!E3739,"Không thực hiện"),1,0))=1,"Không thực hiện",IF(SUM(IF(EXACT('Kiểm thử'!E3739,"Bị chặn"),1,0))&gt;0,"Bị chặn",IF(SUM(IF(EXACT('Kiểm thử'!E3739,"Chưa thực hiện"),1,0))=1,"Chưa thực hiện","Đang thực hiện")))))</s:f>
        <s:v/>
      </s:c>
      <s:c r="C3730" s="114" t="n"/>
      <s:c r="D3730" s="114" t="n"/>
      <s:c r="E3730" s="114" t="n"/>
    </s:row>
    <s:row r="3731" ht="20" customHeight="1">
      <s:c r="A3731" s="112" t="inlineStr">
        <s:is>
          <s:t>Màn hình / chức năng</s:t>
        </s:is>
      </s:c>
      <s:c r="B3731" s="113" t="inlineStr">
        <s:is>
          <s:r>
            <s:rPr>
              <s:b val="1"/>
            </s:rPr>
            <s:t>Điều kiện áp dụng（適用条件）</s:t>
          </s:r>
        </s:is>
      </s:c>
      <s:c r="C3731" s="28" t="n"/>
      <s:c r="D3731" s="28" t="n"/>
      <s:c r="E3731" s="28" t="n"/>
    </s:row>
    <s:row r="3732" ht="76" customHeight="1">
      <s:c r="A3732" s="112" t="inlineStr">
        <s:is>
          <s:t>Cấu hình</s:t>
        </s:is>
      </s:c>
      <s:c r="B3732" s="113" t="inlineStr">
        <s:is>
          <s:r>
            <s:t xml:space="preserve">• Hai loại nhóm tổng hợp: K1 </s:t>
          </s:r>
          <s:r>
            <s:rPr>
              <s:b val="1"/>
            </s:rPr>
            <s:t>= Nhóm thành tích（成績グループ）</s:t>
          </s:r>
          <s:r>
            <s:t xml:space="preserve"> có mục Nâng cao;
• K2 = một loại nhóm tổng hợp khác có mục X. P5 chỉ thuộc Nâng cao;
• P6 chỉ thuộc X;
• P7 thuộc cả Nâng cao và X;
• P8 không thuộc cả hai. Cả bốn học khối 1.</s:t>
          </s:r>
        </s:is>
      </s:c>
      <s:c r="C3732" s="28" t="n"/>
      <s:c r="D3732" s="28" t="n"/>
      <s:c r="E3732" s="28" t="n"/>
    </s:row>
    <s:row r="3733" ht="34" customHeight="1">
      <s:c r="A3733" s="112" t="inlineStr">
        <s:is>
          <s:t>Dữ liệu test</s:t>
        </s:is>
      </s:c>
      <s:c r="B3733" s="113" t="inlineStr">
        <s:is>
          <s:t>• Quy tắc lọc theo nhóm tổng hợp thuộc hai loại nhóm;
• S = 20 cho P5–P8</s:t>
        </s:is>
      </s:c>
      <s:c r="C3733" s="28" t="n"/>
      <s:c r="D3733" s="28" t="n"/>
      <s:c r="E3733" s="28" t="n"/>
    </s:row>
    <s:row r="3734" ht="20" customHeight="1">
      <s:c r="A3734" s="112" t="inlineStr">
        <s:is>
          <s:t>Bước 1</s:t>
        </s:is>
      </s:c>
      <s:c r="B3734" s="113" t="inlineStr">
        <s:is>
          <s:t>Đăng ký điểm 20 cho P5–P8.</s:t>
        </s:is>
      </s:c>
      <s:c r="C3734" s="28" t="n"/>
      <s:c r="D3734" s="28" t="n"/>
      <s:c r="E3734" s="28" t="n"/>
    </s:row>
    <s:row r="3735" ht="20" customHeight="1">
      <s:c r="A3735" s="112" t="inlineStr">
        <s:is>
          <s:t>Bước 2</s:t>
        </s:is>
      </s:c>
      <s:c r="B3735" s="113" t="inlineStr">
        <s:is>
          <s:t>Xem kết quả.</s:t>
        </s:is>
      </s:c>
      <s:c r="C3735" s="28" t="n"/>
      <s:c r="D3735" s="28" t="n"/>
      <s:c r="E3735" s="28" t="n"/>
    </s:row>
    <s:row r="3736" ht="20" customHeight="1">
      <s:c r="A3736" s="112" t="inlineStr">
        <s:is>
          <s:t>Bước 3</s:t>
        </s:is>
      </s:c>
      <s:c r="B3736" s="113" t="inlineStr">
        <s:is>
          <s:t>Mở lại quy tắc.</s:t>
        </s:is>
      </s:c>
      <s:c r="C3736" s="28" t="n"/>
      <s:c r="D3736" s="28" t="n"/>
      <s:c r="E3736" s="28" t="n"/>
    </s:row>
    <s:row r="3737" ht="28" customHeight="1">
      <s:c r="A3737" s="115" t="inlineStr">
        <s:is>
          <s:t>Trường hợp</s:t>
        </s:is>
      </s:c>
      <s:c r="B3737" s="115" t="inlineStr">
        <s:is>
          <s:t>Dữ liệu / thao tác riêng</s:t>
        </s:is>
      </s:c>
      <s:c r="C3737" s="115" t="inlineStr">
        <s:is>
          <s:t>Kết quả mong đợi</s:t>
        </s:is>
      </s:c>
      <s:c r="D3737" s="115" t="inlineStr">
        <s:is>
          <s:t>Kết quả thực tế</s:t>
        </s:is>
      </s:c>
      <s:c r="E3737" s="115" t="inlineStr">
        <s:is>
          <s:t>Đánh giá</s:t>
        </s:is>
      </s:c>
    </s:row>
    <s:row r="3738" ht="3" customHeight="1">
      <s:c r="A3738" s="102" t="inlineStr"/>
      <s:c r="B3738" s="99" t="n"/>
      <s:c r="C3738" s="99" t="n"/>
      <s:c r="D3738" s="116" t="n"/>
      <s:c r="E3738" s="116" t="n"/>
    </s:row>
    <s:row r="3739" ht="76" customHeight="1">
      <s:c r="A3739" s="83" t="inlineStr">
        <s:is>
          <s:t>Trường hợp cơ bản (Base)</s:t>
        </s:is>
      </s:c>
      <s:c r="B3739" s="83" t="inlineStr">
        <s:is>
          <s:t>Toàn bộ tình huống: Thực hiện đủ các bước chung theo thứ tự; kiểm cả đối tượng đích và đối chứng cùng fixture, không bỏ bước.</s:t>
        </s:is>
      </s:c>
      <s:c r="C3739" s="83" t="inlineStr">
        <s:is>
          <s:r>
            <s:t xml:space="preserve">1–2. Chỉ P7 thỏa cả hai loại nhóm và được xét → </s:t>
          </s:r>
          <s:r>
            <s:rPr>
              <s:b val="1"/>
            </s:rPr>
            <s:t>Đỏ</s:t>
          </s:r>
          <s:r>
            <s:t xml:space="preserve">. P5, P6, P8: </s:t>
          </s:r>
          <s:r>
            <s:rPr>
              <s:b val="1"/>
            </s:rPr>
            <s:t>Không áp dụng</s:t>
          </s:r>
          <s:r>
            <s:t>.
3. Mỗi giá trị vẫn gắn đúng loại nhóm của nó.</s:t>
          </s:r>
        </s:is>
      </s:c>
      <s:c r="D3739" s="117" t="inlineStr"/>
      <s:c r="E3739" s="118" t="inlineStr">
        <s:is>
          <s:t>Chưa thực hiện</s:t>
        </s:is>
      </s:c>
    </s:row>
    <s:row r="3740" ht="20" customHeight="1">
      <s:c r="A3740" s="119" t="inlineStr">
        <s:is>
          <s:t>Ảnh minh chứng — Chưa có ảnh</s:t>
        </s:is>
      </s:c>
      <s:c r="B3740" s="19" t="n"/>
      <s:c r="C3740" s="19" t="n"/>
      <s:c r="D3740" s="19" t="n"/>
      <s:c r="E3740" s="19" t="n"/>
    </s:row>
    <s:row r="3741" hidden="1" ht="1" customHeight="1">
      <s:c r="A3741" s="120" t="inlineStr"/>
      <s:c r="B3741" s="121" t="n"/>
      <s:c r="C3741" s="121" t="n"/>
      <s:c r="D3741" s="121" t="n"/>
      <s:c r="E3741" s="122" t="n"/>
    </s:row>
    <s:row r="3742" hidden="1" ht="1" customHeight="1">
      <s:c r="A3742" s="120" t="inlineStr"/>
      <s:c r="B3742" s="121" t="n"/>
      <s:c r="C3742" s="121" t="n"/>
      <s:c r="D3742" s="121" t="n"/>
      <s:c r="E3742" s="122" t="n"/>
    </s:row>
    <s:row r="3743" hidden="1" ht="1" customHeight="1">
      <s:c r="A3743" s="120" t="inlineStr"/>
      <s:c r="B3743" s="121" t="n"/>
      <s:c r="C3743" s="121" t="n"/>
      <s:c r="D3743" s="121" t="n"/>
      <s:c r="E3743" s="122" t="n"/>
    </s:row>
    <s:row r="3744" hidden="1" ht="1" customHeight="1">
      <s:c r="A3744" s="120" t="inlineStr"/>
      <s:c r="B3744" s="121" t="n"/>
      <s:c r="C3744" s="121" t="n"/>
      <s:c r="D3744" s="121" t="n"/>
      <s:c r="E3744" s="122" t="n"/>
    </s:row>
    <s:row r="3745" hidden="1" ht="1" customHeight="1">
      <s:c r="A3745" s="120" t="inlineStr"/>
      <s:c r="B3745" s="121" t="n"/>
      <s:c r="C3745" s="121" t="n"/>
      <s:c r="D3745" s="121" t="n"/>
      <s:c r="E3745" s="122" t="n"/>
    </s:row>
    <s:row r="3746" hidden="1" ht="1" customHeight="1">
      <s:c r="A3746" s="120" t="inlineStr"/>
      <s:c r="B3746" s="121" t="n"/>
      <s:c r="C3746" s="121" t="n"/>
      <s:c r="D3746" s="121" t="n"/>
      <s:c r="E3746" s="122" t="n"/>
    </s:row>
    <s:row r="3747" hidden="1" ht="1" customHeight="1">
      <s:c r="A3747" s="120" t="inlineStr"/>
      <s:c r="B3747" s="121" t="n"/>
      <s:c r="C3747" s="121" t="n"/>
      <s:c r="D3747" s="121" t="n"/>
      <s:c r="E3747" s="122" t="n"/>
    </s:row>
    <s:row r="3748" hidden="1" ht="1" customHeight="1">
      <s:c r="A3748" s="120" t="inlineStr"/>
      <s:c r="B3748" s="121" t="n"/>
      <s:c r="C3748" s="121" t="n"/>
      <s:c r="D3748" s="121" t="n"/>
      <s:c r="E3748" s="122" t="n"/>
    </s:row>
    <s:row r="3749" hidden="1" ht="1" customHeight="1">
      <s:c r="A3749" s="120" t="inlineStr"/>
      <s:c r="B3749" s="121" t="n"/>
      <s:c r="C3749" s="121" t="n"/>
      <s:c r="D3749" s="121" t="n"/>
      <s:c r="E3749" s="122" t="n"/>
    </s:row>
    <s:row r="3750" hidden="1" ht="1" customHeight="1">
      <s:c r="A3750" s="120" t="inlineStr"/>
      <s:c r="B3750" s="121" t="n"/>
      <s:c r="C3750" s="121" t="n"/>
      <s:c r="D3750" s="121" t="n"/>
      <s:c r="E3750" s="122" t="n"/>
    </s:row>
    <s:row r="3751" hidden="1" ht="1" customHeight="1">
      <s:c r="A3751" s="120" t="inlineStr"/>
      <s:c r="B3751" s="121" t="n"/>
      <s:c r="C3751" s="121" t="n"/>
      <s:c r="D3751" s="121" t="n"/>
      <s:c r="E3751" s="122" t="n"/>
    </s:row>
    <s:row r="3752" hidden="1" ht="1" customHeight="1">
      <s:c r="A3752" s="120" t="inlineStr"/>
      <s:c r="B3752" s="121" t="n"/>
      <s:c r="C3752" s="121" t="n"/>
      <s:c r="D3752" s="121" t="n"/>
      <s:c r="E3752" s="122" t="n"/>
    </s:row>
    <s:row r="3753" hidden="1" ht="1" customHeight="1">
      <s:c r="A3753" s="120" t="inlineStr"/>
      <s:c r="B3753" s="121" t="n"/>
      <s:c r="C3753" s="121" t="n"/>
      <s:c r="D3753" s="121" t="n"/>
      <s:c r="E3753" s="122" t="n"/>
    </s:row>
    <s:row r="3754" hidden="1" ht="1" customHeight="1">
      <s:c r="A3754" s="120" t="inlineStr"/>
      <s:c r="B3754" s="121" t="n"/>
      <s:c r="C3754" s="121" t="n"/>
      <s:c r="D3754" s="121" t="n"/>
      <s:c r="E3754" s="122" t="n"/>
    </s:row>
    <s:row r="3755" hidden="1" ht="1" customHeight="1">
      <s:c r="A3755" s="120" t="inlineStr"/>
      <s:c r="B3755" s="121" t="n"/>
      <s:c r="C3755" s="121" t="n"/>
      <s:c r="D3755" s="121" t="n"/>
      <s:c r="E3755" s="122" t="n"/>
    </s:row>
    <s:row r="3756" hidden="1" ht="1" customHeight="1">
      <s:c r="A3756" s="120" t="inlineStr"/>
      <s:c r="B3756" s="121" t="n"/>
      <s:c r="C3756" s="121" t="n"/>
      <s:c r="D3756" s="121" t="n"/>
      <s:c r="E3756" s="122" t="n"/>
    </s:row>
    <s:row r="3757" hidden="1" ht="1" customHeight="1">
      <s:c r="A3757" s="120" t="inlineStr"/>
      <s:c r="B3757" s="121" t="n"/>
      <s:c r="C3757" s="121" t="n"/>
      <s:c r="D3757" s="121" t="n"/>
      <s:c r="E3757" s="122" t="n"/>
    </s:row>
    <s:row r="3758" hidden="1" ht="1" customHeight="1">
      <s:c r="A3758" s="120" t="inlineStr"/>
      <s:c r="B3758" s="121" t="n"/>
      <s:c r="C3758" s="121" t="n"/>
      <s:c r="D3758" s="121" t="n"/>
      <s:c r="E3758" s="122" t="n"/>
    </s:row>
    <s:row r="3759" hidden="1" ht="1" customHeight="1">
      <s:c r="A3759" s="120" t="inlineStr"/>
      <s:c r="B3759" s="121" t="n"/>
      <s:c r="C3759" s="121" t="n"/>
      <s:c r="D3759" s="121" t="n"/>
      <s:c r="E3759" s="122" t="n"/>
    </s:row>
    <s:row r="3760" hidden="1" ht="1" customHeight="1">
      <s:c r="A3760" s="120" t="inlineStr"/>
      <s:c r="B3760" s="121" t="n"/>
      <s:c r="C3760" s="121" t="n"/>
      <s:c r="D3760" s="121" t="n"/>
      <s:c r="E3760" s="122" t="n"/>
    </s:row>
    <s:row r="3761" hidden="1" ht="1" customHeight="1">
      <s:c r="A3761" s="120" t="inlineStr"/>
      <s:c r="B3761" s="121" t="n"/>
      <s:c r="C3761" s="121" t="n"/>
      <s:c r="D3761" s="121" t="n"/>
      <s:c r="E3761" s="122" t="n"/>
    </s:row>
    <s:row r="3762" hidden="1" ht="1" customHeight="1">
      <s:c r="A3762" s="120" t="inlineStr"/>
      <s:c r="B3762" s="121" t="n"/>
      <s:c r="C3762" s="121" t="n"/>
      <s:c r="D3762" s="121" t="n"/>
      <s:c r="E3762" s="122" t="n"/>
    </s:row>
    <s:row r="3763" hidden="1" ht="1" customHeight="1">
      <s:c r="A3763" s="120" t="inlineStr"/>
      <s:c r="B3763" s="121" t="n"/>
      <s:c r="C3763" s="121" t="n"/>
      <s:c r="D3763" s="121" t="n"/>
      <s:c r="E3763" s="122" t="n"/>
    </s:row>
    <s:row r="3764" hidden="1" ht="1" customHeight="1">
      <s:c r="A3764" s="120" t="inlineStr"/>
      <s:c r="B3764" s="121" t="n"/>
      <s:c r="C3764" s="121" t="n"/>
      <s:c r="D3764" s="121" t="n"/>
      <s:c r="E3764" s="122" t="n"/>
    </s:row>
    <s:row r="3765" hidden="1" ht="1" customHeight="1">
      <s:c r="A3765" s="120" t="inlineStr"/>
      <s:c r="B3765" s="121" t="n"/>
      <s:c r="C3765" s="121" t="n"/>
      <s:c r="D3765" s="121" t="n"/>
      <s:c r="E3765" s="122" t="n"/>
    </s:row>
    <s:row r="3766" hidden="1" ht="1" customHeight="1">
      <s:c r="A3766" s="120" t="inlineStr"/>
      <s:c r="B3766" s="121" t="n"/>
      <s:c r="C3766" s="121" t="n"/>
      <s:c r="D3766" s="121" t="n"/>
      <s:c r="E3766" s="122" t="n"/>
    </s:row>
    <s:row r="3767" hidden="1" ht="1" customHeight="1">
      <s:c r="A3767" s="120" t="inlineStr"/>
      <s:c r="B3767" s="121" t="n"/>
      <s:c r="C3767" s="121" t="n"/>
      <s:c r="D3767" s="121" t="n"/>
      <s:c r="E3767" s="122" t="n"/>
    </s:row>
    <s:row r="3768" hidden="1" ht="1" customHeight="1">
      <s:c r="A3768" s="120" t="inlineStr"/>
      <s:c r="B3768" s="121" t="n"/>
      <s:c r="C3768" s="121" t="n"/>
      <s:c r="D3768" s="121" t="n"/>
      <s:c r="E3768" s="122" t="n"/>
    </s:row>
    <s:row r="3769" hidden="1" ht="1" customHeight="1">
      <s:c r="A3769" s="120" t="inlineStr"/>
      <s:c r="B3769" s="121" t="n"/>
      <s:c r="C3769" s="121" t="n"/>
      <s:c r="D3769" s="121" t="n"/>
      <s:c r="E3769" s="122" t="n"/>
    </s:row>
    <s:row r="3770" hidden="1" ht="1" customHeight="1">
      <s:c r="A3770" s="120" t="inlineStr"/>
      <s:c r="B3770" s="121" t="n"/>
      <s:c r="C3770" s="121" t="n"/>
      <s:c r="D3770" s="121" t="n"/>
      <s:c r="E3770" s="122" t="n"/>
    </s:row>
    <s:row r="3771" hidden="1" ht="1" customHeight="1">
      <s:c r="A3771" s="120" t="inlineStr"/>
      <s:c r="B3771" s="121" t="n"/>
      <s:c r="C3771" s="121" t="n"/>
      <s:c r="D3771" s="121" t="n"/>
      <s:c r="E3771" s="122" t="n"/>
    </s:row>
    <s:row r="3772" hidden="1" ht="1" customHeight="1">
      <s:c r="A3772" s="120" t="inlineStr"/>
      <s:c r="B3772" s="121" t="n"/>
      <s:c r="C3772" s="121" t="n"/>
      <s:c r="D3772" s="121" t="n"/>
      <s:c r="E3772" s="122" t="n"/>
    </s:row>
    <s:row r="3773" hidden="1" ht="1" customHeight="1">
      <s:c r="A3773" s="120" t="inlineStr"/>
      <s:c r="B3773" s="121" t="n"/>
      <s:c r="C3773" s="121" t="n"/>
      <s:c r="D3773" s="121" t="n"/>
      <s:c r="E3773" s="122" t="n"/>
    </s:row>
    <s:row r="3774" hidden="1" ht="1" customHeight="1">
      <s:c r="A3774" s="120" t="inlineStr"/>
      <s:c r="B3774" s="121" t="n"/>
      <s:c r="C3774" s="121" t="n"/>
      <s:c r="D3774" s="121" t="n"/>
      <s:c r="E3774" s="122" t="n"/>
    </s:row>
    <s:row r="3775" hidden="1" ht="1" customHeight="1">
      <s:c r="A3775" s="120" t="inlineStr"/>
      <s:c r="B3775" s="121" t="n"/>
      <s:c r="C3775" s="121" t="n"/>
      <s:c r="D3775" s="121" t="n"/>
      <s:c r="E3775" s="122" t="n"/>
    </s:row>
    <s:row r="3776" hidden="1" ht="1" customHeight="1">
      <s:c r="A3776" s="120" t="inlineStr"/>
      <s:c r="B3776" s="121" t="n"/>
      <s:c r="C3776" s="121" t="n"/>
      <s:c r="D3776" s="121" t="n"/>
      <s:c r="E3776" s="122" t="n"/>
    </s:row>
    <s:row r="3777" hidden="1" ht="1" customHeight="1">
      <s:c r="A3777" s="120" t="inlineStr"/>
      <s:c r="B3777" s="121" t="n"/>
      <s:c r="C3777" s="121" t="n"/>
      <s:c r="D3777" s="121" t="n"/>
      <s:c r="E3777" s="122" t="n"/>
    </s:row>
    <s:row r="3778" hidden="1" ht="1" customHeight="1">
      <s:c r="A3778" s="120" t="inlineStr"/>
      <s:c r="B3778" s="121" t="n"/>
      <s:c r="C3778" s="121" t="n"/>
      <s:c r="D3778" s="121" t="n"/>
      <s:c r="E3778" s="122" t="n"/>
    </s:row>
    <s:row r="3779" hidden="1" ht="1" customHeight="1">
      <s:c r="A3779" s="120" t="inlineStr"/>
      <s:c r="B3779" s="121" t="n"/>
      <s:c r="C3779" s="121" t="n"/>
      <s:c r="D3779" s="121" t="n"/>
      <s:c r="E3779" s="122" t="n"/>
    </s:row>
    <s:row r="3780" hidden="1" ht="1" customHeight="1">
      <s:c r="A3780" s="120" t="inlineStr"/>
      <s:c r="B3780" s="121" t="n"/>
      <s:c r="C3780" s="121" t="n"/>
      <s:c r="D3780" s="121" t="n"/>
      <s:c r="E3780" s="122" t="n"/>
    </s:row>
    <s:row r="3781" hidden="1" ht="1" customHeight="1">
      <s:c r="A3781" s="120" t="inlineStr"/>
      <s:c r="B3781" s="121" t="n"/>
      <s:c r="C3781" s="121" t="n"/>
      <s:c r="D3781" s="121" t="n"/>
      <s:c r="E3781" s="122" t="n"/>
    </s:row>
    <s:row r="3782" hidden="1" ht="1" customHeight="1">
      <s:c r="A3782" s="120" t="inlineStr"/>
      <s:c r="B3782" s="121" t="n"/>
      <s:c r="C3782" s="121" t="n"/>
      <s:c r="D3782" s="121" t="n"/>
      <s:c r="E3782" s="122" t="n"/>
    </s:row>
    <s:row r="3783" hidden="1" ht="1" customHeight="1">
      <s:c r="A3783" s="120" t="inlineStr"/>
      <s:c r="B3783" s="121" t="n"/>
      <s:c r="C3783" s="121" t="n"/>
      <s:c r="D3783" s="121" t="n"/>
      <s:c r="E3783" s="122" t="n"/>
    </s:row>
    <s:row r="3784" hidden="1" ht="1" customHeight="1">
      <s:c r="A3784" s="120" t="inlineStr"/>
      <s:c r="B3784" s="121" t="n"/>
      <s:c r="C3784" s="121" t="n"/>
      <s:c r="D3784" s="121" t="n"/>
      <s:c r="E3784" s="122" t="n"/>
    </s:row>
    <s:row r="3785" hidden="1" ht="1" customHeight="1">
      <s:c r="A3785" s="120" t="inlineStr"/>
      <s:c r="B3785" s="121" t="n"/>
      <s:c r="C3785" s="121" t="n"/>
      <s:c r="D3785" s="121" t="n"/>
      <s:c r="E3785" s="122" t="n"/>
    </s:row>
    <s:row r="3786" hidden="1" ht="1" customHeight="1">
      <s:c r="A3786" s="120" t="inlineStr"/>
      <s:c r="B3786" s="121" t="n"/>
      <s:c r="C3786" s="121" t="n"/>
      <s:c r="D3786" s="121" t="n"/>
      <s:c r="E3786" s="122" t="n"/>
    </s:row>
    <s:row r="3787" hidden="1" ht="1" customHeight="1">
      <s:c r="A3787" s="120" t="inlineStr"/>
      <s:c r="B3787" s="121" t="n"/>
      <s:c r="C3787" s="121" t="n"/>
      <s:c r="D3787" s="121" t="n"/>
      <s:c r="E3787" s="122" t="n"/>
    </s:row>
    <s:row r="3788" hidden="1" ht="1" customHeight="1">
      <s:c r="A3788" s="120" t="inlineStr"/>
      <s:c r="B3788" s="121" t="n"/>
      <s:c r="C3788" s="121" t="n"/>
      <s:c r="D3788" s="121" t="n"/>
      <s:c r="E3788" s="122" t="n"/>
    </s:row>
    <s:row r="3789" hidden="1" ht="1" customHeight="1">
      <s:c r="A3789" s="83" t="inlineStr">
        <s:is>
          <s:t>PASS</s:t>
        </s:is>
      </s:c>
      <s:c r="B3789" s="83">
        <s:f>SUM(IF(EXACT('Kiểm thử'!E3739,"Đạt"),1,0))</s:f>
        <s:v/>
      </s:c>
      <s:c r="C3789" s="19" t="n"/>
      <s:c r="D3789" s="19" t="n"/>
      <s:c r="E3789" s="19" t="n"/>
    </s:row>
    <s:row r="3790" hidden="1" ht="1" customHeight="1">
      <s:c r="A3790" s="83" t="inlineStr">
        <s:is>
          <s:t>FAIL</s:t>
        </s:is>
      </s:c>
      <s:c r="B3790" s="83">
        <s:f>SUM(IF(EXACT('Kiểm thử'!E3739,"Không đạt"),1,0))</s:f>
        <s:v/>
      </s:c>
      <s:c r="C3790" s="19" t="n"/>
      <s:c r="D3790" s="19" t="n"/>
      <s:c r="E3790" s="19" t="n"/>
    </s:row>
    <s:row r="3791" hidden="1" ht="1" customHeight="1">
      <s:c r="A3791" s="83" t="inlineStr">
        <s:is>
          <s:t>BLOCKED</s:t>
        </s:is>
      </s:c>
      <s:c r="B3791" s="83">
        <s:f>SUM(IF(EXACT('Kiểm thử'!E3739,"Bị chặn"),1,0))</s:f>
        <s:v/>
      </s:c>
      <s:c r="C3791" s="19" t="n"/>
      <s:c r="D3791" s="19" t="n"/>
      <s:c r="E3791" s="19" t="n"/>
    </s:row>
    <s:row r="3792" hidden="1" ht="1" customHeight="1">
      <s:c r="A3792" s="83" t="inlineStr">
        <s:is>
          <s:t>SKIPPED</s:t>
        </s:is>
      </s:c>
      <s:c r="B3792" s="83">
        <s:f>SUM(IF(EXACT('Kiểm thử'!E3739,"Không thực hiện"),1,0))</s:f>
        <s:v/>
      </s:c>
      <s:c r="C3792" s="19" t="n"/>
      <s:c r="D3792" s="19" t="n"/>
      <s:c r="E3792" s="19" t="n"/>
    </s:row>
    <s:row r="3793" hidden="1" ht="1" customHeight="1">
      <s:c r="A3793" s="83" t="inlineStr">
        <s:is>
          <s:t>NOT RUN</s:t>
        </s:is>
      </s:c>
      <s:c r="B3793" s="83">
        <s:f>SUM(IF(EXACT('Kiểm thử'!E3739,"Chưa thực hiện"),1,0))</s:f>
        <s:v/>
      </s:c>
      <s:c r="C3793" s="19" t="n"/>
      <s:c r="D3793" s="19" t="n"/>
      <s:c r="E3793" s="19" t="n"/>
    </s:row>
    <s:row r="3794" hidden="1" ht="6" customHeight="1">
      <s:c r="A3794" s="83" t="inlineStr"/>
      <s:c r="B3794" s="19" t="n"/>
      <s:c r="C3794" s="19" t="n"/>
      <s:c r="D3794" s="19" t="n"/>
      <s:c r="E3794" s="19" t="n"/>
    </s:row>
    <s:row r="3795" ht="28" customHeight="1">
      <s:c r="A3795" s="108" t="inlineStr">
        <s:is>
          <s:t>TC-RS-VAL-015 — Chọn giới hạn bằng bộ lọc nhưng không có bộ lọc nào</s:t>
        </s:is>
      </s:c>
      <s:c r="B3795" s="111" t="n"/>
      <s:c r="C3795" s="111" t="n"/>
      <s:c r="D3795" s="111" t="n"/>
      <s:c r="E3795" s="111" t="n"/>
    </s:row>
    <s:row r="3796" ht="20" customHeight="1">
      <s:c r="A3796" s="112" t="inlineStr">
        <s:is>
          <s:t>Kết quả tình huống</s:t>
        </s:is>
      </s:c>
      <s:c r="B3796" s="113">
        <s:f>IF(SUM(IF(EXACT('Kiểm thử'!E3803,"Không đạt"),1,0))&gt;0,"Không đạt",IF(SUM(IF(EXACT('Kiểm thử'!E3803,"Đạt"),1,0))=1,"Đạt",IF(SUM(IF(EXACT('Kiểm thử'!E3803,"Không thực hiện"),1,0))=1,"Không thực hiện",IF(SUM(IF(EXACT('Kiểm thử'!E3803,"Bị chặn"),1,0))&gt;0,"Bị chặn",IF(SUM(IF(EXACT('Kiểm thử'!E3803,"Chưa thực hiện"),1,0))=1,"Chưa thực hiện","Đang thực hiện")))))</s:f>
        <s:v/>
      </s:c>
      <s:c r="C3796" s="114" t="n"/>
      <s:c r="D3796" s="114" t="n"/>
      <s:c r="E3796" s="114" t="n"/>
    </s:row>
    <s:row r="3797" ht="20" customHeight="1">
      <s:c r="A3797" s="112" t="inlineStr">
        <s:is>
          <s:t>Màn hình / chức năng</s:t>
        </s:is>
      </s:c>
      <s:c r="B3797" s="113" t="inlineStr">
        <s:is>
          <s:r>
            <s:rPr>
              <s:b val="1"/>
            </s:rPr>
            <s:t>Điều kiện áp dụng（適用条件）</s:t>
          </s:r>
        </s:is>
      </s:c>
      <s:c r="C3797" s="28" t="n"/>
      <s:c r="D3797" s="28" t="n"/>
      <s:c r="E3797" s="28" t="n"/>
    </s:row>
    <s:row r="3798" ht="20" customHeight="1">
      <s:c r="A3798" s="112" t="inlineStr">
        <s:is>
          <s:t>Cấu hình</s:t>
        </s:is>
      </s:c>
      <s:c r="B3798" s="113" t="inlineStr">
        <s:is>
          <s:t>• Màn thêm quy tắc.</s:t>
        </s:is>
      </s:c>
      <s:c r="C3798" s="28" t="n"/>
      <s:c r="D3798" s="28" t="n"/>
      <s:c r="E3798" s="28" t="n"/>
    </s:row>
    <s:row r="3799" ht="20" customHeight="1">
      <s:c r="A3799" s="112" t="inlineStr">
        <s:is>
          <s:t>Dữ liệu test</s:t>
        </s:is>
      </s:c>
      <s:c r="B3799" s="113" t="inlineStr">
        <s:is>
          <s:r>
            <s:t xml:space="preserve">• Giới </s:t>
          </s:r>
          <s:r>
            <s:rPr>
              <s:b val="1"/>
            </s:rPr>
            <s:t>hạn bằng bộ lọc（特定条件で絞り込む）</s:t>
          </s:r>
          <s:r>
            <s:t>, không chọn giá trị</s:t>
          </s:r>
        </s:is>
      </s:c>
      <s:c r="C3799" s="28" t="n"/>
      <s:c r="D3799" s="28" t="n"/>
      <s:c r="E3799" s="28" t="n"/>
    </s:row>
    <s:row r="3800" ht="20" customHeight="1">
      <s:c r="A3800" s="112" t="inlineStr">
        <s:is>
          <s:t>•</s:t>
        </s:is>
      </s:c>
      <s:c r="B3800" s="113" t="inlineStr">
        <s:is>
          <s:t>Chọn giới hạn bằng bộ lọc, không chọn điều kiện, Lưu.</s:t>
        </s:is>
      </s:c>
      <s:c r="C3800" s="28" t="n"/>
      <s:c r="D3800" s="28" t="n"/>
      <s:c r="E3800" s="28" t="n"/>
    </s:row>
    <s:row r="3801" ht="28" customHeight="1">
      <s:c r="A3801" s="115" t="inlineStr">
        <s:is>
          <s:t>Trường hợp</s:t>
        </s:is>
      </s:c>
      <s:c r="B3801" s="115" t="inlineStr">
        <s:is>
          <s:t>Dữ liệu / thao tác riêng</s:t>
        </s:is>
      </s:c>
      <s:c r="C3801" s="115" t="inlineStr">
        <s:is>
          <s:t>Kết quả mong đợi</s:t>
        </s:is>
      </s:c>
      <s:c r="D3801" s="115" t="inlineStr">
        <s:is>
          <s:t>Kết quả thực tế</s:t>
        </s:is>
      </s:c>
      <s:c r="E3801" s="115" t="inlineStr">
        <s:is>
          <s:t>Đánh giá</s:t>
        </s:is>
      </s:c>
    </s:row>
    <s:row r="3802" ht="3" customHeight="1">
      <s:c r="A3802" s="102" t="inlineStr"/>
      <s:c r="B3802" s="99" t="n"/>
      <s:c r="C3802" s="99" t="n"/>
      <s:c r="D3802" s="116" t="n"/>
      <s:c r="E3802" s="116" t="n"/>
    </s:row>
    <s:row r="3803" ht="62" customHeight="1">
      <s:c r="A3803" s="83" t="inlineStr">
        <s:is>
          <s:t>Trường hợp cơ bản (Base)</s:t>
        </s:is>
      </s:c>
      <s:c r="B3803" s="83" t="inlineStr">
        <s:is>
          <s:t>Toàn bộ tình huống: Thực hiện đủ các bước chung theo thứ tự; kiểm cả đối tượng đích và đối chứng cùng fixture, không bỏ bước.</s:t>
        </s:is>
      </s:c>
      <s:c r="C3803" s="83" t="inlineStr">
        <s:is>
          <s:t>Không lưu được; có thông báo lỗi. Câu chữ thông báo không phải must-pass (Figma chưa có).</s:t>
        </s:is>
      </s:c>
      <s:c r="D3803" s="117" t="inlineStr"/>
      <s:c r="E3803" s="118" t="inlineStr">
        <s:is>
          <s:t>Chưa thực hiện</s:t>
        </s:is>
      </s:c>
    </s:row>
    <s:row r="3804" ht="20" customHeight="1">
      <s:c r="A3804" s="119" t="inlineStr">
        <s:is>
          <s:t>Ảnh minh chứng — Chưa có ảnh</s:t>
        </s:is>
      </s:c>
      <s:c r="B3804" s="19" t="n"/>
      <s:c r="C3804" s="19" t="n"/>
      <s:c r="D3804" s="19" t="n"/>
      <s:c r="E3804" s="19" t="n"/>
    </s:row>
    <s:row r="3805" hidden="1" ht="1" customHeight="1">
      <s:c r="A3805" s="120" t="inlineStr"/>
      <s:c r="B3805" s="121" t="n"/>
      <s:c r="C3805" s="121" t="n"/>
      <s:c r="D3805" s="121" t="n"/>
      <s:c r="E3805" s="122" t="n"/>
    </s:row>
    <s:row r="3806" hidden="1" ht="1" customHeight="1">
      <s:c r="A3806" s="120" t="inlineStr"/>
      <s:c r="B3806" s="121" t="n"/>
      <s:c r="C3806" s="121" t="n"/>
      <s:c r="D3806" s="121" t="n"/>
      <s:c r="E3806" s="122" t="n"/>
    </s:row>
    <s:row r="3807" hidden="1" ht="1" customHeight="1">
      <s:c r="A3807" s="120" t="inlineStr"/>
      <s:c r="B3807" s="121" t="n"/>
      <s:c r="C3807" s="121" t="n"/>
      <s:c r="D3807" s="121" t="n"/>
      <s:c r="E3807" s="122" t="n"/>
    </s:row>
    <s:row r="3808" hidden="1" ht="1" customHeight="1">
      <s:c r="A3808" s="120" t="inlineStr"/>
      <s:c r="B3808" s="121" t="n"/>
      <s:c r="C3808" s="121" t="n"/>
      <s:c r="D3808" s="121" t="n"/>
      <s:c r="E3808" s="122" t="n"/>
    </s:row>
    <s:row r="3809" hidden="1" ht="1" customHeight="1">
      <s:c r="A3809" s="120" t="inlineStr"/>
      <s:c r="B3809" s="121" t="n"/>
      <s:c r="C3809" s="121" t="n"/>
      <s:c r="D3809" s="121" t="n"/>
      <s:c r="E3809" s="122" t="n"/>
    </s:row>
    <s:row r="3810" hidden="1" ht="1" customHeight="1">
      <s:c r="A3810" s="120" t="inlineStr"/>
      <s:c r="B3810" s="121" t="n"/>
      <s:c r="C3810" s="121" t="n"/>
      <s:c r="D3810" s="121" t="n"/>
      <s:c r="E3810" s="122" t="n"/>
    </s:row>
    <s:row r="3811" hidden="1" ht="1" customHeight="1">
      <s:c r="A3811" s="120" t="inlineStr"/>
      <s:c r="B3811" s="121" t="n"/>
      <s:c r="C3811" s="121" t="n"/>
      <s:c r="D3811" s="121" t="n"/>
      <s:c r="E3811" s="122" t="n"/>
    </s:row>
    <s:row r="3812" hidden="1" ht="1" customHeight="1">
      <s:c r="A3812" s="120" t="inlineStr"/>
      <s:c r="B3812" s="121" t="n"/>
      <s:c r="C3812" s="121" t="n"/>
      <s:c r="D3812" s="121" t="n"/>
      <s:c r="E3812" s="122" t="n"/>
    </s:row>
    <s:row r="3813" hidden="1" ht="1" customHeight="1">
      <s:c r="A3813" s="120" t="inlineStr"/>
      <s:c r="B3813" s="121" t="n"/>
      <s:c r="C3813" s="121" t="n"/>
      <s:c r="D3813" s="121" t="n"/>
      <s:c r="E3813" s="122" t="n"/>
    </s:row>
    <s:row r="3814" hidden="1" ht="1" customHeight="1">
      <s:c r="A3814" s="120" t="inlineStr"/>
      <s:c r="B3814" s="121" t="n"/>
      <s:c r="C3814" s="121" t="n"/>
      <s:c r="D3814" s="121" t="n"/>
      <s:c r="E3814" s="122" t="n"/>
    </s:row>
    <s:row r="3815" hidden="1" ht="1" customHeight="1">
      <s:c r="A3815" s="120" t="inlineStr"/>
      <s:c r="B3815" s="121" t="n"/>
      <s:c r="C3815" s="121" t="n"/>
      <s:c r="D3815" s="121" t="n"/>
      <s:c r="E3815" s="122" t="n"/>
    </s:row>
    <s:row r="3816" hidden="1" ht="1" customHeight="1">
      <s:c r="A3816" s="120" t="inlineStr"/>
      <s:c r="B3816" s="121" t="n"/>
      <s:c r="C3816" s="121" t="n"/>
      <s:c r="D3816" s="121" t="n"/>
      <s:c r="E3816" s="122" t="n"/>
    </s:row>
    <s:row r="3817" hidden="1" ht="1" customHeight="1">
      <s:c r="A3817" s="120" t="inlineStr"/>
      <s:c r="B3817" s="121" t="n"/>
      <s:c r="C3817" s="121" t="n"/>
      <s:c r="D3817" s="121" t="n"/>
      <s:c r="E3817" s="122" t="n"/>
    </s:row>
    <s:row r="3818" hidden="1" ht="1" customHeight="1">
      <s:c r="A3818" s="120" t="inlineStr"/>
      <s:c r="B3818" s="121" t="n"/>
      <s:c r="C3818" s="121" t="n"/>
      <s:c r="D3818" s="121" t="n"/>
      <s:c r="E3818" s="122" t="n"/>
    </s:row>
    <s:row r="3819" hidden="1" ht="1" customHeight="1">
      <s:c r="A3819" s="120" t="inlineStr"/>
      <s:c r="B3819" s="121" t="n"/>
      <s:c r="C3819" s="121" t="n"/>
      <s:c r="D3819" s="121" t="n"/>
      <s:c r="E3819" s="122" t="n"/>
    </s:row>
    <s:row r="3820" hidden="1" ht="1" customHeight="1">
      <s:c r="A3820" s="120" t="inlineStr"/>
      <s:c r="B3820" s="121" t="n"/>
      <s:c r="C3820" s="121" t="n"/>
      <s:c r="D3820" s="121" t="n"/>
      <s:c r="E3820" s="122" t="n"/>
    </s:row>
    <s:row r="3821" hidden="1" ht="1" customHeight="1">
      <s:c r="A3821" s="120" t="inlineStr"/>
      <s:c r="B3821" s="121" t="n"/>
      <s:c r="C3821" s="121" t="n"/>
      <s:c r="D3821" s="121" t="n"/>
      <s:c r="E3821" s="122" t="n"/>
    </s:row>
    <s:row r="3822" hidden="1" ht="1" customHeight="1">
      <s:c r="A3822" s="120" t="inlineStr"/>
      <s:c r="B3822" s="121" t="n"/>
      <s:c r="C3822" s="121" t="n"/>
      <s:c r="D3822" s="121" t="n"/>
      <s:c r="E3822" s="122" t="n"/>
    </s:row>
    <s:row r="3823" hidden="1" ht="1" customHeight="1">
      <s:c r="A3823" s="120" t="inlineStr"/>
      <s:c r="B3823" s="121" t="n"/>
      <s:c r="C3823" s="121" t="n"/>
      <s:c r="D3823" s="121" t="n"/>
      <s:c r="E3823" s="122" t="n"/>
    </s:row>
    <s:row r="3824" hidden="1" ht="1" customHeight="1">
      <s:c r="A3824" s="120" t="inlineStr"/>
      <s:c r="B3824" s="121" t="n"/>
      <s:c r="C3824" s="121" t="n"/>
      <s:c r="D3824" s="121" t="n"/>
      <s:c r="E3824" s="122" t="n"/>
    </s:row>
    <s:row r="3825" hidden="1" ht="1" customHeight="1">
      <s:c r="A3825" s="120" t="inlineStr"/>
      <s:c r="B3825" s="121" t="n"/>
      <s:c r="C3825" s="121" t="n"/>
      <s:c r="D3825" s="121" t="n"/>
      <s:c r="E3825" s="122" t="n"/>
    </s:row>
    <s:row r="3826" hidden="1" ht="1" customHeight="1">
      <s:c r="A3826" s="120" t="inlineStr"/>
      <s:c r="B3826" s="121" t="n"/>
      <s:c r="C3826" s="121" t="n"/>
      <s:c r="D3826" s="121" t="n"/>
      <s:c r="E3826" s="122" t="n"/>
    </s:row>
    <s:row r="3827" hidden="1" ht="1" customHeight="1">
      <s:c r="A3827" s="120" t="inlineStr"/>
      <s:c r="B3827" s="121" t="n"/>
      <s:c r="C3827" s="121" t="n"/>
      <s:c r="D3827" s="121" t="n"/>
      <s:c r="E3827" s="122" t="n"/>
    </s:row>
    <s:row r="3828" hidden="1" ht="1" customHeight="1">
      <s:c r="A3828" s="120" t="inlineStr"/>
      <s:c r="B3828" s="121" t="n"/>
      <s:c r="C3828" s="121" t="n"/>
      <s:c r="D3828" s="121" t="n"/>
      <s:c r="E3828" s="122" t="n"/>
    </s:row>
    <s:row r="3829" hidden="1" ht="1" customHeight="1">
      <s:c r="A3829" s="120" t="inlineStr"/>
      <s:c r="B3829" s="121" t="n"/>
      <s:c r="C3829" s="121" t="n"/>
      <s:c r="D3829" s="121" t="n"/>
      <s:c r="E3829" s="122" t="n"/>
    </s:row>
    <s:row r="3830" hidden="1" ht="1" customHeight="1">
      <s:c r="A3830" s="120" t="inlineStr"/>
      <s:c r="B3830" s="121" t="n"/>
      <s:c r="C3830" s="121" t="n"/>
      <s:c r="D3830" s="121" t="n"/>
      <s:c r="E3830" s="122" t="n"/>
    </s:row>
    <s:row r="3831" hidden="1" ht="1" customHeight="1">
      <s:c r="A3831" s="120" t="inlineStr"/>
      <s:c r="B3831" s="121" t="n"/>
      <s:c r="C3831" s="121" t="n"/>
      <s:c r="D3831" s="121" t="n"/>
      <s:c r="E3831" s="122" t="n"/>
    </s:row>
    <s:row r="3832" hidden="1" ht="1" customHeight="1">
      <s:c r="A3832" s="120" t="inlineStr"/>
      <s:c r="B3832" s="121" t="n"/>
      <s:c r="C3832" s="121" t="n"/>
      <s:c r="D3832" s="121" t="n"/>
      <s:c r="E3832" s="122" t="n"/>
    </s:row>
    <s:row r="3833" hidden="1" ht="1" customHeight="1">
      <s:c r="A3833" s="120" t="inlineStr"/>
      <s:c r="B3833" s="121" t="n"/>
      <s:c r="C3833" s="121" t="n"/>
      <s:c r="D3833" s="121" t="n"/>
      <s:c r="E3833" s="122" t="n"/>
    </s:row>
    <s:row r="3834" hidden="1" ht="1" customHeight="1">
      <s:c r="A3834" s="120" t="inlineStr"/>
      <s:c r="B3834" s="121" t="n"/>
      <s:c r="C3834" s="121" t="n"/>
      <s:c r="D3834" s="121" t="n"/>
      <s:c r="E3834" s="122" t="n"/>
    </s:row>
    <s:row r="3835" hidden="1" ht="1" customHeight="1">
      <s:c r="A3835" s="120" t="inlineStr"/>
      <s:c r="B3835" s="121" t="n"/>
      <s:c r="C3835" s="121" t="n"/>
      <s:c r="D3835" s="121" t="n"/>
      <s:c r="E3835" s="122" t="n"/>
    </s:row>
    <s:row r="3836" hidden="1" ht="1" customHeight="1">
      <s:c r="A3836" s="120" t="inlineStr"/>
      <s:c r="B3836" s="121" t="n"/>
      <s:c r="C3836" s="121" t="n"/>
      <s:c r="D3836" s="121" t="n"/>
      <s:c r="E3836" s="122" t="n"/>
    </s:row>
    <s:row r="3837" hidden="1" ht="1" customHeight="1">
      <s:c r="A3837" s="120" t="inlineStr"/>
      <s:c r="B3837" s="121" t="n"/>
      <s:c r="C3837" s="121" t="n"/>
      <s:c r="D3837" s="121" t="n"/>
      <s:c r="E3837" s="122" t="n"/>
    </s:row>
    <s:row r="3838" hidden="1" ht="1" customHeight="1">
      <s:c r="A3838" s="120" t="inlineStr"/>
      <s:c r="B3838" s="121" t="n"/>
      <s:c r="C3838" s="121" t="n"/>
      <s:c r="D3838" s="121" t="n"/>
      <s:c r="E3838" s="122" t="n"/>
    </s:row>
    <s:row r="3839" hidden="1" ht="1" customHeight="1">
      <s:c r="A3839" s="120" t="inlineStr"/>
      <s:c r="B3839" s="121" t="n"/>
      <s:c r="C3839" s="121" t="n"/>
      <s:c r="D3839" s="121" t="n"/>
      <s:c r="E3839" s="122" t="n"/>
    </s:row>
    <s:row r="3840" hidden="1" ht="1" customHeight="1">
      <s:c r="A3840" s="120" t="inlineStr"/>
      <s:c r="B3840" s="121" t="n"/>
      <s:c r="C3840" s="121" t="n"/>
      <s:c r="D3840" s="121" t="n"/>
      <s:c r="E3840" s="122" t="n"/>
    </s:row>
    <s:row r="3841" hidden="1" ht="1" customHeight="1">
      <s:c r="A3841" s="120" t="inlineStr"/>
      <s:c r="B3841" s="121" t="n"/>
      <s:c r="C3841" s="121" t="n"/>
      <s:c r="D3841" s="121" t="n"/>
      <s:c r="E3841" s="122" t="n"/>
    </s:row>
    <s:row r="3842" hidden="1" ht="1" customHeight="1">
      <s:c r="A3842" s="120" t="inlineStr"/>
      <s:c r="B3842" s="121" t="n"/>
      <s:c r="C3842" s="121" t="n"/>
      <s:c r="D3842" s="121" t="n"/>
      <s:c r="E3842" s="122" t="n"/>
    </s:row>
    <s:row r="3843" hidden="1" ht="1" customHeight="1">
      <s:c r="A3843" s="120" t="inlineStr"/>
      <s:c r="B3843" s="121" t="n"/>
      <s:c r="C3843" s="121" t="n"/>
      <s:c r="D3843" s="121" t="n"/>
      <s:c r="E3843" s="122" t="n"/>
    </s:row>
    <s:row r="3844" hidden="1" ht="1" customHeight="1">
      <s:c r="A3844" s="120" t="inlineStr"/>
      <s:c r="B3844" s="121" t="n"/>
      <s:c r="C3844" s="121" t="n"/>
      <s:c r="D3844" s="121" t="n"/>
      <s:c r="E3844" s="122" t="n"/>
    </s:row>
    <s:row r="3845" hidden="1" ht="1" customHeight="1">
      <s:c r="A3845" s="120" t="inlineStr"/>
      <s:c r="B3845" s="121" t="n"/>
      <s:c r="C3845" s="121" t="n"/>
      <s:c r="D3845" s="121" t="n"/>
      <s:c r="E3845" s="122" t="n"/>
    </s:row>
    <s:row r="3846" hidden="1" ht="1" customHeight="1">
      <s:c r="A3846" s="120" t="inlineStr"/>
      <s:c r="B3846" s="121" t="n"/>
      <s:c r="C3846" s="121" t="n"/>
      <s:c r="D3846" s="121" t="n"/>
      <s:c r="E3846" s="122" t="n"/>
    </s:row>
    <s:row r="3847" hidden="1" ht="1" customHeight="1">
      <s:c r="A3847" s="120" t="inlineStr"/>
      <s:c r="B3847" s="121" t="n"/>
      <s:c r="C3847" s="121" t="n"/>
      <s:c r="D3847" s="121" t="n"/>
      <s:c r="E3847" s="122" t="n"/>
    </s:row>
    <s:row r="3848" hidden="1" ht="1" customHeight="1">
      <s:c r="A3848" s="120" t="inlineStr"/>
      <s:c r="B3848" s="121" t="n"/>
      <s:c r="C3848" s="121" t="n"/>
      <s:c r="D3848" s="121" t="n"/>
      <s:c r="E3848" s="122" t="n"/>
    </s:row>
    <s:row r="3849" hidden="1" ht="1" customHeight="1">
      <s:c r="A3849" s="120" t="inlineStr"/>
      <s:c r="B3849" s="121" t="n"/>
      <s:c r="C3849" s="121" t="n"/>
      <s:c r="D3849" s="121" t="n"/>
      <s:c r="E3849" s="122" t="n"/>
    </s:row>
    <s:row r="3850" hidden="1" ht="1" customHeight="1">
      <s:c r="A3850" s="120" t="inlineStr"/>
      <s:c r="B3850" s="121" t="n"/>
      <s:c r="C3850" s="121" t="n"/>
      <s:c r="D3850" s="121" t="n"/>
      <s:c r="E3850" s="122" t="n"/>
    </s:row>
    <s:row r="3851" hidden="1" ht="1" customHeight="1">
      <s:c r="A3851" s="120" t="inlineStr"/>
      <s:c r="B3851" s="121" t="n"/>
      <s:c r="C3851" s="121" t="n"/>
      <s:c r="D3851" s="121" t="n"/>
      <s:c r="E3851" s="122" t="n"/>
    </s:row>
    <s:row r="3852" hidden="1" ht="1" customHeight="1">
      <s:c r="A3852" s="120" t="inlineStr"/>
      <s:c r="B3852" s="121" t="n"/>
      <s:c r="C3852" s="121" t="n"/>
      <s:c r="D3852" s="121" t="n"/>
      <s:c r="E3852" s="122" t="n"/>
    </s:row>
    <s:row r="3853" hidden="1" ht="1" customHeight="1">
      <s:c r="A3853" s="83" t="inlineStr">
        <s:is>
          <s:t>PASS</s:t>
        </s:is>
      </s:c>
      <s:c r="B3853" s="83">
        <s:f>SUM(IF(EXACT('Kiểm thử'!E3803,"Đạt"),1,0))</s:f>
        <s:v/>
      </s:c>
      <s:c r="C3853" s="19" t="n"/>
      <s:c r="D3853" s="19" t="n"/>
      <s:c r="E3853" s="19" t="n"/>
    </s:row>
    <s:row r="3854" hidden="1" ht="1" customHeight="1">
      <s:c r="A3854" s="83" t="inlineStr">
        <s:is>
          <s:t>FAIL</s:t>
        </s:is>
      </s:c>
      <s:c r="B3854" s="83">
        <s:f>SUM(IF(EXACT('Kiểm thử'!E3803,"Không đạt"),1,0))</s:f>
        <s:v/>
      </s:c>
      <s:c r="C3854" s="19" t="n"/>
      <s:c r="D3854" s="19" t="n"/>
      <s:c r="E3854" s="19" t="n"/>
    </s:row>
    <s:row r="3855" hidden="1" ht="1" customHeight="1">
      <s:c r="A3855" s="83" t="inlineStr">
        <s:is>
          <s:t>BLOCKED</s:t>
        </s:is>
      </s:c>
      <s:c r="B3855" s="83">
        <s:f>SUM(IF(EXACT('Kiểm thử'!E3803,"Bị chặn"),1,0))</s:f>
        <s:v/>
      </s:c>
      <s:c r="C3855" s="19" t="n"/>
      <s:c r="D3855" s="19" t="n"/>
      <s:c r="E3855" s="19" t="n"/>
    </s:row>
    <s:row r="3856" hidden="1" ht="1" customHeight="1">
      <s:c r="A3856" s="83" t="inlineStr">
        <s:is>
          <s:t>SKIPPED</s:t>
        </s:is>
      </s:c>
      <s:c r="B3856" s="83">
        <s:f>SUM(IF(EXACT('Kiểm thử'!E3803,"Không thực hiện"),1,0))</s:f>
        <s:v/>
      </s:c>
      <s:c r="C3856" s="19" t="n"/>
      <s:c r="D3856" s="19" t="n"/>
      <s:c r="E3856" s="19" t="n"/>
    </s:row>
    <s:row r="3857" hidden="1" ht="1" customHeight="1">
      <s:c r="A3857" s="83" t="inlineStr">
        <s:is>
          <s:t>NOT RUN</s:t>
        </s:is>
      </s:c>
      <s:c r="B3857" s="83">
        <s:f>SUM(IF(EXACT('Kiểm thử'!E3803,"Chưa thực hiện"),1,0))</s:f>
        <s:v/>
      </s:c>
      <s:c r="C3857" s="19" t="n"/>
      <s:c r="D3857" s="19" t="n"/>
      <s:c r="E3857" s="19" t="n"/>
    </s:row>
    <s:row r="3858" hidden="1" ht="6" customHeight="1">
      <s:c r="A3858" s="83" t="inlineStr"/>
      <s:c r="B3858" s="19" t="n"/>
      <s:c r="C3858" s="19" t="n"/>
      <s:c r="D3858" s="19" t="n"/>
      <s:c r="E3858" s="19" t="n"/>
    </s:row>
    <s:row r="3859" ht="28" customHeight="1">
      <s:c r="A3859" s="108" t="inlineStr">
        <s:is>
          <s:t>TC-RS-VAL-022 — Giá trị điều kiện phân nhánh (trung bình/tỷ lệ nhóm)</s:t>
        </s:is>
      </s:c>
      <s:c r="B3859" s="111" t="n"/>
      <s:c r="C3859" s="111" t="n"/>
      <s:c r="D3859" s="111" t="n"/>
      <s:c r="E3859" s="111" t="n"/>
    </s:row>
    <s:row r="3860" ht="20" customHeight="1">
      <s:c r="A3860" s="112" t="inlineStr">
        <s:is>
          <s:t>Kết quả tình huống</s:t>
        </s:is>
      </s:c>
      <s:c r="B3860" s="113">
        <s:f>IF(SUM(IF(EXACT('Kiểm thử'!E3867,"Không đạt"),1,0),IF(EXACT('Kiểm thử'!E3869,"Không đạt"),1,0),IF(EXACT('Kiểm thử'!E3871,"Không đạt"),1,0),IF(EXACT('Kiểm thử'!E3873,"Không đạt"),1,0),IF(EXACT('Kiểm thử'!E3875,"Không đạt"),1,0),IF(EXACT('Kiểm thử'!E3877,"Không đạt"),1,0),IF(EXACT('Kiểm thử'!E3879,"Không đạt"),1,0),IF(EXACT('Kiểm thử'!E3881,"Không đạt"),1,0),IF(EXACT('Kiểm thử'!E3883,"Không đạt"),1,0))&gt;0,"Không đạt",IF(SUM(IF(EXACT('Kiểm thử'!E3867,"Đạt"),1,0),IF(EXACT('Kiểm thử'!E3869,"Đạt"),1,0),IF(EXACT('Kiểm thử'!E3871,"Đạt"),1,0),IF(EXACT('Kiểm thử'!E3873,"Đạt"),1,0),IF(EXACT('Kiểm thử'!E3875,"Đạt"),1,0),IF(EXACT('Kiểm thử'!E3877,"Đạt"),1,0),IF(EXACT('Kiểm thử'!E3879,"Đạt"),1,0),IF(EXACT('Kiểm thử'!E3881,"Đạt"),1,0),IF(EXACT('Kiểm thử'!E3883,"Đạt"),1,0))=9,"Đạt",IF(SUM(IF(EXACT('Kiểm thử'!E3867,"Không thực hiện"),1,0),IF(EXACT('Kiểm thử'!E3869,"Không thực hiện"),1,0),IF(EXACT('Kiểm thử'!E3871,"Không thực hiện"),1,0),IF(EXACT('Kiểm thử'!E3873,"Không thực hiện"),1,0),IF(EXACT('Kiểm thử'!E3875,"Không thực hiện"),1,0),IF(EXACT('Kiểm thử'!E3877,"Không thực hiện"),1,0),IF(EXACT('Kiểm thử'!E3879,"Không thực hiện"),1,0),IF(EXACT('Kiểm thử'!E3881,"Không thực hiện"),1,0),IF(EXACT('Kiểm thử'!E3883,"Không thực hiện"),1,0))=9,"Không thực hiện",IF(SUM(IF(EXACT('Kiểm thử'!E3867,"Bị chặn"),1,0),IF(EXACT('Kiểm thử'!E3869,"Bị chặn"),1,0),IF(EXACT('Kiểm thử'!E3871,"Bị chặn"),1,0),IF(EXACT('Kiểm thử'!E3873,"Bị chặn"),1,0),IF(EXACT('Kiểm thử'!E3875,"Bị chặn"),1,0),IF(EXACT('Kiểm thử'!E3877,"Bị chặn"),1,0),IF(EXACT('Kiểm thử'!E3879,"Bị chặn"),1,0),IF(EXACT('Kiểm thử'!E3881,"Bị chặn"),1,0),IF(EXACT('Kiểm thử'!E3883,"Bị chặn"),1,0))&gt;0,"Bị chặn",IF(SUM(IF(EXACT('Kiểm thử'!E3867,"Chưa thực hiện"),1,0),IF(EXACT('Kiểm thử'!E3869,"Chưa thực hiện"),1,0),IF(EXACT('Kiểm thử'!E3871,"Chưa thực hiện"),1,0),IF(EXACT('Kiểm thử'!E3873,"Chưa thực hiện"),1,0),IF(EXACT('Kiểm thử'!E3875,"Chưa thực hiện"),1,0),IF(EXACT('Kiểm thử'!E3877,"Chưa thực hiện"),1,0),IF(EXACT('Kiểm thử'!E3879,"Chưa thực hiện"),1,0),IF(EXACT('Kiểm thử'!E3881,"Chưa thực hiện"),1,0),IF(EXACT('Kiểm thử'!E3883,"Chưa thực hiện"),1,0))=9,"Chưa thực hiện","Đang thực hiện")))))</s:f>
        <s:v/>
      </s:c>
      <s:c r="C3860" s="114" t="n"/>
      <s:c r="D3860" s="114" t="n"/>
      <s:c r="E3860" s="114" t="n"/>
    </s:row>
    <s:row r="3861" ht="20" customHeight="1">
      <s:c r="A3861" s="112" t="inlineStr">
        <s:is>
          <s:t>Màn hình / chức năng</s:t>
        </s:is>
      </s:c>
      <s:c r="B3861" s="113" t="inlineStr">
        <s:is>
          <s:r>
            <s:rPr>
              <s:b val="1"/>
            </s:rPr>
            <s:t>Điều kiện áp dụng（適用条件）</s:t>
          </s:r>
        </s:is>
      </s:c>
      <s:c r="C3861" s="28" t="n"/>
      <s:c r="D3861" s="28" t="n"/>
      <s:c r="E3861" s="28" t="n"/>
    </s:row>
    <s:row r="3862" ht="20" customHeight="1">
      <s:c r="A3862" s="112" t="inlineStr">
        <s:is>
          <s:t>Cấu hình</s:t>
        </s:is>
      </s:c>
      <s:c r="B3862" s="113" t="inlineStr">
        <s:is>
          <s:t>• Màn thêm quy tắc có điều kiện.</s:t>
        </s:is>
      </s:c>
      <s:c r="C3862" s="28" t="n"/>
      <s:c r="D3862" s="28" t="n"/>
      <s:c r="E3862" s="28" t="n"/>
    </s:row>
    <s:row r="3863" ht="34" customHeight="1">
      <s:c r="A3863" s="112" t="inlineStr">
        <s:is>
          <s:t>Dữ liệu test</s:t>
        </s:is>
      </s:c>
      <s:c r="B3863" s="113" t="inlineStr">
        <s:is>
          <s:t>• Trung bình: trống, −1, 101, 60.5, 60.123456789;
• Tỷ lệ nhóm: −1, 0, 100, 101</s:t>
        </s:is>
      </s:c>
      <s:c r="C3863" s="28" t="n"/>
      <s:c r="D3863" s="28" t="n"/>
      <s:c r="E3863" s="28" t="n"/>
    </s:row>
    <s:row r="3864" ht="20" customHeight="1">
      <s:c r="A3864" s="112" t="inlineStr">
        <s:is>
          <s:t>•</s:t>
        </s:is>
      </s:c>
      <s:c r="B3864" s="113" t="inlineStr">
        <s:is>
          <s:t>Nhập từng giá trị, Lưu.</s:t>
        </s:is>
      </s:c>
      <s:c r="C3864" s="28" t="n"/>
      <s:c r="D3864" s="28" t="n"/>
      <s:c r="E3864" s="28" t="n"/>
    </s:row>
    <s:row r="3865" ht="28" customHeight="1">
      <s:c r="A3865" s="115" t="inlineStr">
        <s:is>
          <s:t>Trường hợp</s:t>
        </s:is>
      </s:c>
      <s:c r="B3865" s="115" t="inlineStr">
        <s:is>
          <s:t>Dữ liệu / thao tác riêng</s:t>
        </s:is>
      </s:c>
      <s:c r="C3865" s="115" t="inlineStr">
        <s:is>
          <s:t>Kết quả mong đợi</s:t>
        </s:is>
      </s:c>
      <s:c r="D3865" s="115" t="inlineStr">
        <s:is>
          <s:t>Kết quả thực tế</s:t>
        </s:is>
      </s:c>
      <s:c r="E3865" s="115" t="inlineStr">
        <s:is>
          <s:t>Đánh giá</s:t>
        </s:is>
      </s:c>
    </s:row>
    <s:row r="3866" ht="3" customHeight="1">
      <s:c r="A3866" s="102" t="inlineStr"/>
      <s:c r="B3866" s="99" t="n"/>
      <s:c r="C3866" s="99" t="n"/>
      <s:c r="D3866" s="116" t="n"/>
      <s:c r="E3866" s="116" t="n"/>
    </s:row>
    <s:row r="3867" ht="34" customHeight="1">
      <s:c r="A3867" s="83" t="inlineStr">
        <s:is>
          <s:t>Trung bình để trống (avg-empty)</s:t>
        </s:is>
      </s:c>
      <s:c r="B3867" s="83" t="inlineStr">
        <s:is>
          <s:t>Nhập điều kiện Trung bình với giá trị trống; bấm Lưu.</s:t>
        </s:is>
      </s:c>
      <s:c r="C3867" s="83" t="inlineStr">
        <s:is>
          <s:t>PROPOSED (thiết kế DB v2): Trung bình trống không lưu được vì điều kiện chưa đủ.</s:t>
        </s:is>
      </s:c>
      <s:c r="D3867" s="117" t="inlineStr"/>
      <s:c r="E3867" s="118" t="inlineStr">
        <s:is>
          <s:t>Chưa thực hiện</s:t>
        </s:is>
      </s:c>
    </s:row>
    <s:row r="3868" ht="3" customHeight="1">
      <s:c r="A3868" s="102" t="inlineStr"/>
      <s:c r="B3868" s="99" t="n"/>
      <s:c r="C3868" s="99" t="n"/>
      <s:c r="D3868" s="116" t="n"/>
      <s:c r="E3868" s="116" t="n"/>
    </s:row>
    <s:row r="3869" ht="48" customHeight="1">
      <s:c r="A3869" s="83" t="inlineStr">
        <s:is>
          <s:t>Trung bình âm (avg-negative)</s:t>
        </s:is>
      </s:c>
      <s:c r="B3869" s="83" t="inlineStr">
        <s:is>
          <s:t>Nhập Trung bình=−1; bấm Lưu; miền giá trị vẫn TBD.</s:t>
        </s:is>
      </s:c>
      <s:c r="C3869" s="83" t="inlineStr">
        <s:is>
          <s:t>Trung bình −1: thiết kế DB v2 chưa nêu miền — TBD, ghi hành vi thực tế, không tự kết luận PASS/FAIL.</s:t>
        </s:is>
      </s:c>
      <s:c r="D3869" s="117" t="inlineStr"/>
      <s:c r="E3869" s="118" t="inlineStr">
        <s:is>
          <s:t>Chưa thực hiện</s:t>
        </s:is>
      </s:c>
    </s:row>
    <s:row r="3870" ht="3" customHeight="1">
      <s:c r="A3870" s="102" t="inlineStr"/>
      <s:c r="B3870" s="99" t="n"/>
      <s:c r="C3870" s="99" t="n"/>
      <s:c r="D3870" s="116" t="n"/>
      <s:c r="E3870" s="116" t="n"/>
    </s:row>
    <s:row r="3871" ht="48" customHeight="1">
      <s:c r="A3871" s="83" t="inlineStr">
        <s:is>
          <s:t>Trung bình vượt 100 (avg101)</s:t>
        </s:is>
      </s:c>
      <s:c r="B3871" s="83" t="inlineStr">
        <s:is>
          <s:t>Nhập Trung bình=101; bấm Lưu; miền giá trị vẫn TBD.</s:t>
        </s:is>
      </s:c>
      <s:c r="C3871" s="83" t="inlineStr">
        <s:is>
          <s:t>Trung bình 101: thiết kế DB v2 chưa nêu miền — TBD, ghi hành vi thực tế, không tự kết luận PASS/FAIL.</s:t>
        </s:is>
      </s:c>
      <s:c r="D3871" s="117" t="inlineStr"/>
      <s:c r="E3871" s="118" t="inlineStr">
        <s:is>
          <s:t>Chưa thực hiện</s:t>
        </s:is>
      </s:c>
    </s:row>
    <s:row r="3872" ht="3" customHeight="1">
      <s:c r="A3872" s="102" t="inlineStr"/>
      <s:c r="B3872" s="99" t="n"/>
      <s:c r="C3872" s="99" t="n"/>
      <s:c r="D3872" s="116" t="n"/>
      <s:c r="E3872" s="116" t="n"/>
    </s:row>
    <s:row r="3873" ht="34" customHeight="1">
      <s:c r="A3873" s="83" t="inlineStr">
        <s:is>
          <s:t>Trung bình có một chữ số lẻ (avg605)</s:t>
        </s:is>
      </s:c>
      <s:c r="B3873" s="83" t="inlineStr">
        <s:is>
          <s:t>Nhập Trung bình=60.5; bấm Lưu.</s:t>
        </s:is>
      </s:c>
      <s:c r="C3873" s="83" t="inlineStr">
        <s:is>
          <s:t>PROPOSED (thiết kế DB v2): Trung bình 60.5 lưu được.</s:t>
        </s:is>
      </s:c>
      <s:c r="D3873" s="117" t="inlineStr"/>
      <s:c r="E3873" s="118" t="inlineStr">
        <s:is>
          <s:t>Chưa thực hiện</s:t>
        </s:is>
      </s:c>
    </s:row>
    <s:row r="3874" ht="3" customHeight="1">
      <s:c r="A3874" s="102" t="inlineStr"/>
      <s:c r="B3874" s="99" t="n"/>
      <s:c r="C3874" s="99" t="n"/>
      <s:c r="D3874" s="116" t="n"/>
      <s:c r="E3874" s="116" t="n"/>
    </s:row>
    <s:row r="3875" ht="34" customHeight="1">
      <s:c r="A3875" s="83" t="inlineStr">
        <s:is>
          <s:t>Trung bình có chín chữ số lẻ (avg-long)</s:t>
        </s:is>
      </s:c>
      <s:c r="B3875" s="83" t="inlineStr">
        <s:is>
          <s:t>Nhập Trung bình=60.123456789; bấm Lưu.</s:t>
        </s:is>
      </s:c>
      <s:c r="C3875" s="83" t="inlineStr">
        <s:is>
          <s:t>PROPOSED (thiết kế DB v2): Trung bình 60.123456789 có 9 chữ số lẻ, bị từ chối.</s:t>
        </s:is>
      </s:c>
      <s:c r="D3875" s="117" t="inlineStr"/>
      <s:c r="E3875" s="118" t="inlineStr">
        <s:is>
          <s:t>Chưa thực hiện</s:t>
        </s:is>
      </s:c>
    </s:row>
    <s:row r="3876" ht="3" customHeight="1">
      <s:c r="A3876" s="102" t="inlineStr"/>
      <s:c r="B3876" s="99" t="n"/>
      <s:c r="C3876" s="99" t="n"/>
      <s:c r="D3876" s="116" t="n"/>
      <s:c r="E3876" s="116" t="n"/>
    </s:row>
    <s:row r="3877" ht="34" customHeight="1">
      <s:c r="A3877" s="83" t="inlineStr">
        <s:is>
          <s:t>Tỷ lệ nhóm âm (ratio-negative)</s:t>
        </s:is>
      </s:c>
      <s:c r="B3877" s="83" t="inlineStr">
        <s:is>
          <s:t>Nhập tỷ lệ nhóm=−1; bấm Lưu.</s:t>
        </s:is>
      </s:c>
      <s:c r="C3877" s="83" t="inlineStr">
        <s:is>
          <s:t>PROPOSED (thiết kế DB v2): Tỷ lệ nhóm −1 bị từ chối.</s:t>
        </s:is>
      </s:c>
      <s:c r="D3877" s="117" t="inlineStr"/>
      <s:c r="E3877" s="118" t="inlineStr">
        <s:is>
          <s:t>Chưa thực hiện</s:t>
        </s:is>
      </s:c>
    </s:row>
    <s:row r="3878" ht="3" customHeight="1">
      <s:c r="A3878" s="102" t="inlineStr"/>
      <s:c r="B3878" s="99" t="n"/>
      <s:c r="C3878" s="99" t="n"/>
      <s:c r="D3878" s="116" t="n"/>
      <s:c r="E3878" s="116" t="n"/>
    </s:row>
    <s:row r="3879" ht="34" customHeight="1">
      <s:c r="A3879" s="83" t="inlineStr">
        <s:is>
          <s:t>Tỷ lệ nhóm bằng 0 (ratio0)</s:t>
        </s:is>
      </s:c>
      <s:c r="B3879" s="83" t="inlineStr">
        <s:is>
          <s:t>Nhập tỷ lệ nhóm=0; bấm Lưu.</s:t>
        </s:is>
      </s:c>
      <s:c r="C3879" s="83" t="inlineStr">
        <s:is>
          <s:t>PROPOSED (thiết kế DB v2): Tỷ lệ nhóm 0 lưu được.</s:t>
        </s:is>
      </s:c>
      <s:c r="D3879" s="117" t="inlineStr"/>
      <s:c r="E3879" s="118" t="inlineStr">
        <s:is>
          <s:t>Chưa thực hiện</s:t>
        </s:is>
      </s:c>
    </s:row>
    <s:row r="3880" ht="3" customHeight="1">
      <s:c r="A3880" s="102" t="inlineStr"/>
      <s:c r="B3880" s="99" t="n"/>
      <s:c r="C3880" s="99" t="n"/>
      <s:c r="D3880" s="116" t="n"/>
      <s:c r="E3880" s="116" t="n"/>
    </s:row>
    <s:row r="3881" ht="34" customHeight="1">
      <s:c r="A3881" s="83" t="inlineStr">
        <s:is>
          <s:t>Tỷ lệ nhóm bằng 100 (ratio100)</s:t>
        </s:is>
      </s:c>
      <s:c r="B3881" s="83" t="inlineStr">
        <s:is>
          <s:t>Nhập tỷ lệ nhóm=100; bấm Lưu.</s:t>
        </s:is>
      </s:c>
      <s:c r="C3881" s="83" t="inlineStr">
        <s:is>
          <s:t>PROPOSED (thiết kế DB v2): Tỷ lệ nhóm 100 lưu được.</s:t>
        </s:is>
      </s:c>
      <s:c r="D3881" s="117" t="inlineStr"/>
      <s:c r="E3881" s="118" t="inlineStr">
        <s:is>
          <s:t>Chưa thực hiện</s:t>
        </s:is>
      </s:c>
    </s:row>
    <s:row r="3882" ht="3" customHeight="1">
      <s:c r="A3882" s="102" t="inlineStr"/>
      <s:c r="B3882" s="99" t="n"/>
      <s:c r="C3882" s="99" t="n"/>
      <s:c r="D3882" s="116" t="n"/>
      <s:c r="E3882" s="116" t="n"/>
    </s:row>
    <s:row r="3883" ht="34" customHeight="1">
      <s:c r="A3883" s="83" t="inlineStr">
        <s:is>
          <s:t>Tỷ lệ nhóm vượt 100 (ratio101)</s:t>
        </s:is>
      </s:c>
      <s:c r="B3883" s="83" t="inlineStr">
        <s:is>
          <s:t>Nhập tỷ lệ nhóm=101; bấm Lưu.</s:t>
        </s:is>
      </s:c>
      <s:c r="C3883" s="83" t="inlineStr">
        <s:is>
          <s:t>PROPOSED (thiết kế DB v2): Tỷ lệ nhóm 101 bị từ chối.</s:t>
        </s:is>
      </s:c>
      <s:c r="D3883" s="117" t="inlineStr"/>
      <s:c r="E3883" s="118" t="inlineStr">
        <s:is>
          <s:t>Chưa thực hiện</s:t>
        </s:is>
      </s:c>
    </s:row>
    <s:row r="3884" ht="20" customHeight="1">
      <s:c r="A3884" s="119" t="inlineStr">
        <s:is>
          <s:t>Ảnh minh chứng — Chưa có ảnh</s:t>
        </s:is>
      </s:c>
      <s:c r="B3884" s="19" t="n"/>
      <s:c r="C3884" s="19" t="n"/>
      <s:c r="D3884" s="19" t="n"/>
      <s:c r="E3884" s="19" t="n"/>
    </s:row>
    <s:row r="3885" hidden="1" ht="1" customHeight="1">
      <s:c r="A3885" s="120" t="inlineStr"/>
      <s:c r="B3885" s="121" t="n"/>
      <s:c r="C3885" s="121" t="n"/>
      <s:c r="D3885" s="121" t="n"/>
      <s:c r="E3885" s="122" t="n"/>
    </s:row>
    <s:row r="3886" hidden="1" ht="1" customHeight="1">
      <s:c r="A3886" s="120" t="inlineStr"/>
      <s:c r="B3886" s="121" t="n"/>
      <s:c r="C3886" s="121" t="n"/>
      <s:c r="D3886" s="121" t="n"/>
      <s:c r="E3886" s="122" t="n"/>
    </s:row>
    <s:row r="3887" hidden="1" ht="1" customHeight="1">
      <s:c r="A3887" s="120" t="inlineStr"/>
      <s:c r="B3887" s="121" t="n"/>
      <s:c r="C3887" s="121" t="n"/>
      <s:c r="D3887" s="121" t="n"/>
      <s:c r="E3887" s="122" t="n"/>
    </s:row>
    <s:row r="3888" hidden="1" ht="1" customHeight="1">
      <s:c r="A3888" s="120" t="inlineStr"/>
      <s:c r="B3888" s="121" t="n"/>
      <s:c r="C3888" s="121" t="n"/>
      <s:c r="D3888" s="121" t="n"/>
      <s:c r="E3888" s="122" t="n"/>
    </s:row>
    <s:row r="3889" hidden="1" ht="1" customHeight="1">
      <s:c r="A3889" s="120" t="inlineStr"/>
      <s:c r="B3889" s="121" t="n"/>
      <s:c r="C3889" s="121" t="n"/>
      <s:c r="D3889" s="121" t="n"/>
      <s:c r="E3889" s="122" t="n"/>
    </s:row>
    <s:row r="3890" hidden="1" ht="1" customHeight="1">
      <s:c r="A3890" s="120" t="inlineStr"/>
      <s:c r="B3890" s="121" t="n"/>
      <s:c r="C3890" s="121" t="n"/>
      <s:c r="D3890" s="121" t="n"/>
      <s:c r="E3890" s="122" t="n"/>
    </s:row>
    <s:row r="3891" hidden="1" ht="1" customHeight="1">
      <s:c r="A3891" s="120" t="inlineStr"/>
      <s:c r="B3891" s="121" t="n"/>
      <s:c r="C3891" s="121" t="n"/>
      <s:c r="D3891" s="121" t="n"/>
      <s:c r="E3891" s="122" t="n"/>
    </s:row>
    <s:row r="3892" hidden="1" ht="1" customHeight="1">
      <s:c r="A3892" s="120" t="inlineStr"/>
      <s:c r="B3892" s="121" t="n"/>
      <s:c r="C3892" s="121" t="n"/>
      <s:c r="D3892" s="121" t="n"/>
      <s:c r="E3892" s="122" t="n"/>
    </s:row>
    <s:row r="3893" hidden="1" ht="1" customHeight="1">
      <s:c r="A3893" s="120" t="inlineStr"/>
      <s:c r="B3893" s="121" t="n"/>
      <s:c r="C3893" s="121" t="n"/>
      <s:c r="D3893" s="121" t="n"/>
      <s:c r="E3893" s="122" t="n"/>
    </s:row>
    <s:row r="3894" hidden="1" ht="1" customHeight="1">
      <s:c r="A3894" s="120" t="inlineStr"/>
      <s:c r="B3894" s="121" t="n"/>
      <s:c r="C3894" s="121" t="n"/>
      <s:c r="D3894" s="121" t="n"/>
      <s:c r="E3894" s="122" t="n"/>
    </s:row>
    <s:row r="3895" hidden="1" ht="1" customHeight="1">
      <s:c r="A3895" s="120" t="inlineStr"/>
      <s:c r="B3895" s="121" t="n"/>
      <s:c r="C3895" s="121" t="n"/>
      <s:c r="D3895" s="121" t="n"/>
      <s:c r="E3895" s="122" t="n"/>
    </s:row>
    <s:row r="3896" hidden="1" ht="1" customHeight="1">
      <s:c r="A3896" s="120" t="inlineStr"/>
      <s:c r="B3896" s="121" t="n"/>
      <s:c r="C3896" s="121" t="n"/>
      <s:c r="D3896" s="121" t="n"/>
      <s:c r="E3896" s="122" t="n"/>
    </s:row>
    <s:row r="3897" hidden="1" ht="1" customHeight="1">
      <s:c r="A3897" s="120" t="inlineStr"/>
      <s:c r="B3897" s="121" t="n"/>
      <s:c r="C3897" s="121" t="n"/>
      <s:c r="D3897" s="121" t="n"/>
      <s:c r="E3897" s="122" t="n"/>
    </s:row>
    <s:row r="3898" hidden="1" ht="1" customHeight="1">
      <s:c r="A3898" s="120" t="inlineStr"/>
      <s:c r="B3898" s="121" t="n"/>
      <s:c r="C3898" s="121" t="n"/>
      <s:c r="D3898" s="121" t="n"/>
      <s:c r="E3898" s="122" t="n"/>
    </s:row>
    <s:row r="3899" hidden="1" ht="1" customHeight="1">
      <s:c r="A3899" s="120" t="inlineStr"/>
      <s:c r="B3899" s="121" t="n"/>
      <s:c r="C3899" s="121" t="n"/>
      <s:c r="D3899" s="121" t="n"/>
      <s:c r="E3899" s="122" t="n"/>
    </s:row>
    <s:row r="3900" hidden="1" ht="1" customHeight="1">
      <s:c r="A3900" s="120" t="inlineStr"/>
      <s:c r="B3900" s="121" t="n"/>
      <s:c r="C3900" s="121" t="n"/>
      <s:c r="D3900" s="121" t="n"/>
      <s:c r="E3900" s="122" t="n"/>
    </s:row>
    <s:row r="3901" hidden="1" ht="1" customHeight="1">
      <s:c r="A3901" s="120" t="inlineStr"/>
      <s:c r="B3901" s="121" t="n"/>
      <s:c r="C3901" s="121" t="n"/>
      <s:c r="D3901" s="121" t="n"/>
      <s:c r="E3901" s="122" t="n"/>
    </s:row>
    <s:row r="3902" hidden="1" ht="1" customHeight="1">
      <s:c r="A3902" s="120" t="inlineStr"/>
      <s:c r="B3902" s="121" t="n"/>
      <s:c r="C3902" s="121" t="n"/>
      <s:c r="D3902" s="121" t="n"/>
      <s:c r="E3902" s="122" t="n"/>
    </s:row>
    <s:row r="3903" hidden="1" ht="1" customHeight="1">
      <s:c r="A3903" s="120" t="inlineStr"/>
      <s:c r="B3903" s="121" t="n"/>
      <s:c r="C3903" s="121" t="n"/>
      <s:c r="D3903" s="121" t="n"/>
      <s:c r="E3903" s="122" t="n"/>
    </s:row>
    <s:row r="3904" hidden="1" ht="1" customHeight="1">
      <s:c r="A3904" s="120" t="inlineStr"/>
      <s:c r="B3904" s="121" t="n"/>
      <s:c r="C3904" s="121" t="n"/>
      <s:c r="D3904" s="121" t="n"/>
      <s:c r="E3904" s="122" t="n"/>
    </s:row>
    <s:row r="3905" hidden="1" ht="1" customHeight="1">
      <s:c r="A3905" s="120" t="inlineStr"/>
      <s:c r="B3905" s="121" t="n"/>
      <s:c r="C3905" s="121" t="n"/>
      <s:c r="D3905" s="121" t="n"/>
      <s:c r="E3905" s="122" t="n"/>
    </s:row>
    <s:row r="3906" hidden="1" ht="1" customHeight="1">
      <s:c r="A3906" s="120" t="inlineStr"/>
      <s:c r="B3906" s="121" t="n"/>
      <s:c r="C3906" s="121" t="n"/>
      <s:c r="D3906" s="121" t="n"/>
      <s:c r="E3906" s="122" t="n"/>
    </s:row>
    <s:row r="3907" hidden="1" ht="1" customHeight="1">
      <s:c r="A3907" s="120" t="inlineStr"/>
      <s:c r="B3907" s="121" t="n"/>
      <s:c r="C3907" s="121" t="n"/>
      <s:c r="D3907" s="121" t="n"/>
      <s:c r="E3907" s="122" t="n"/>
    </s:row>
    <s:row r="3908" hidden="1" ht="1" customHeight="1">
      <s:c r="A3908" s="120" t="inlineStr"/>
      <s:c r="B3908" s="121" t="n"/>
      <s:c r="C3908" s="121" t="n"/>
      <s:c r="D3908" s="121" t="n"/>
      <s:c r="E3908" s="122" t="n"/>
    </s:row>
    <s:row r="3909" hidden="1" ht="1" customHeight="1">
      <s:c r="A3909" s="120" t="inlineStr"/>
      <s:c r="B3909" s="121" t="n"/>
      <s:c r="C3909" s="121" t="n"/>
      <s:c r="D3909" s="121" t="n"/>
      <s:c r="E3909" s="122" t="n"/>
    </s:row>
    <s:row r="3910" hidden="1" ht="1" customHeight="1">
      <s:c r="A3910" s="120" t="inlineStr"/>
      <s:c r="B3910" s="121" t="n"/>
      <s:c r="C3910" s="121" t="n"/>
      <s:c r="D3910" s="121" t="n"/>
      <s:c r="E3910" s="122" t="n"/>
    </s:row>
    <s:row r="3911" hidden="1" ht="1" customHeight="1">
      <s:c r="A3911" s="120" t="inlineStr"/>
      <s:c r="B3911" s="121" t="n"/>
      <s:c r="C3911" s="121" t="n"/>
      <s:c r="D3911" s="121" t="n"/>
      <s:c r="E3911" s="122" t="n"/>
    </s:row>
    <s:row r="3912" hidden="1" ht="1" customHeight="1">
      <s:c r="A3912" s="120" t="inlineStr"/>
      <s:c r="B3912" s="121" t="n"/>
      <s:c r="C3912" s="121" t="n"/>
      <s:c r="D3912" s="121" t="n"/>
      <s:c r="E3912" s="122" t="n"/>
    </s:row>
    <s:row r="3913" hidden="1" ht="1" customHeight="1">
      <s:c r="A3913" s="120" t="inlineStr"/>
      <s:c r="B3913" s="121" t="n"/>
      <s:c r="C3913" s="121" t="n"/>
      <s:c r="D3913" s="121" t="n"/>
      <s:c r="E3913" s="122" t="n"/>
    </s:row>
    <s:row r="3914" hidden="1" ht="1" customHeight="1">
      <s:c r="A3914" s="120" t="inlineStr"/>
      <s:c r="B3914" s="121" t="n"/>
      <s:c r="C3914" s="121" t="n"/>
      <s:c r="D3914" s="121" t="n"/>
      <s:c r="E3914" s="122" t="n"/>
    </s:row>
    <s:row r="3915" hidden="1" ht="1" customHeight="1">
      <s:c r="A3915" s="120" t="inlineStr"/>
      <s:c r="B3915" s="121" t="n"/>
      <s:c r="C3915" s="121" t="n"/>
      <s:c r="D3915" s="121" t="n"/>
      <s:c r="E3915" s="122" t="n"/>
    </s:row>
    <s:row r="3916" hidden="1" ht="1" customHeight="1">
      <s:c r="A3916" s="120" t="inlineStr"/>
      <s:c r="B3916" s="121" t="n"/>
      <s:c r="C3916" s="121" t="n"/>
      <s:c r="D3916" s="121" t="n"/>
      <s:c r="E3916" s="122" t="n"/>
    </s:row>
    <s:row r="3917" hidden="1" ht="1" customHeight="1">
      <s:c r="A3917" s="120" t="inlineStr"/>
      <s:c r="B3917" s="121" t="n"/>
      <s:c r="C3917" s="121" t="n"/>
      <s:c r="D3917" s="121" t="n"/>
      <s:c r="E3917" s="122" t="n"/>
    </s:row>
    <s:row r="3918" hidden="1" ht="1" customHeight="1">
      <s:c r="A3918" s="120" t="inlineStr"/>
      <s:c r="B3918" s="121" t="n"/>
      <s:c r="C3918" s="121" t="n"/>
      <s:c r="D3918" s="121" t="n"/>
      <s:c r="E3918" s="122" t="n"/>
    </s:row>
    <s:row r="3919" hidden="1" ht="1" customHeight="1">
      <s:c r="A3919" s="120" t="inlineStr"/>
      <s:c r="B3919" s="121" t="n"/>
      <s:c r="C3919" s="121" t="n"/>
      <s:c r="D3919" s="121" t="n"/>
      <s:c r="E3919" s="122" t="n"/>
    </s:row>
    <s:row r="3920" hidden="1" ht="1" customHeight="1">
      <s:c r="A3920" s="120" t="inlineStr"/>
      <s:c r="B3920" s="121" t="n"/>
      <s:c r="C3920" s="121" t="n"/>
      <s:c r="D3920" s="121" t="n"/>
      <s:c r="E3920" s="122" t="n"/>
    </s:row>
    <s:row r="3921" hidden="1" ht="1" customHeight="1">
      <s:c r="A3921" s="120" t="inlineStr"/>
      <s:c r="B3921" s="121" t="n"/>
      <s:c r="C3921" s="121" t="n"/>
      <s:c r="D3921" s="121" t="n"/>
      <s:c r="E3921" s="122" t="n"/>
    </s:row>
    <s:row r="3922" hidden="1" ht="1" customHeight="1">
      <s:c r="A3922" s="120" t="inlineStr"/>
      <s:c r="B3922" s="121" t="n"/>
      <s:c r="C3922" s="121" t="n"/>
      <s:c r="D3922" s="121" t="n"/>
      <s:c r="E3922" s="122" t="n"/>
    </s:row>
    <s:row r="3923" hidden="1" ht="1" customHeight="1">
      <s:c r="A3923" s="120" t="inlineStr"/>
      <s:c r="B3923" s="121" t="n"/>
      <s:c r="C3923" s="121" t="n"/>
      <s:c r="D3923" s="121" t="n"/>
      <s:c r="E3923" s="122" t="n"/>
    </s:row>
    <s:row r="3924" hidden="1" ht="1" customHeight="1">
      <s:c r="A3924" s="120" t="inlineStr"/>
      <s:c r="B3924" s="121" t="n"/>
      <s:c r="C3924" s="121" t="n"/>
      <s:c r="D3924" s="121" t="n"/>
      <s:c r="E3924" s="122" t="n"/>
    </s:row>
    <s:row r="3925" hidden="1" ht="1" customHeight="1">
      <s:c r="A3925" s="120" t="inlineStr"/>
      <s:c r="B3925" s="121" t="n"/>
      <s:c r="C3925" s="121" t="n"/>
      <s:c r="D3925" s="121" t="n"/>
      <s:c r="E3925" s="122" t="n"/>
    </s:row>
    <s:row r="3926" hidden="1" ht="1" customHeight="1">
      <s:c r="A3926" s="120" t="inlineStr"/>
      <s:c r="B3926" s="121" t="n"/>
      <s:c r="C3926" s="121" t="n"/>
      <s:c r="D3926" s="121" t="n"/>
      <s:c r="E3926" s="122" t="n"/>
    </s:row>
    <s:row r="3927" hidden="1" ht="1" customHeight="1">
      <s:c r="A3927" s="120" t="inlineStr"/>
      <s:c r="B3927" s="121" t="n"/>
      <s:c r="C3927" s="121" t="n"/>
      <s:c r="D3927" s="121" t="n"/>
      <s:c r="E3927" s="122" t="n"/>
    </s:row>
    <s:row r="3928" hidden="1" ht="1" customHeight="1">
      <s:c r="A3928" s="120" t="inlineStr"/>
      <s:c r="B3928" s="121" t="n"/>
      <s:c r="C3928" s="121" t="n"/>
      <s:c r="D3928" s="121" t="n"/>
      <s:c r="E3928" s="122" t="n"/>
    </s:row>
    <s:row r="3929" hidden="1" ht="1" customHeight="1">
      <s:c r="A3929" s="120" t="inlineStr"/>
      <s:c r="B3929" s="121" t="n"/>
      <s:c r="C3929" s="121" t="n"/>
      <s:c r="D3929" s="121" t="n"/>
      <s:c r="E3929" s="122" t="n"/>
    </s:row>
    <s:row r="3930" hidden="1" ht="1" customHeight="1">
      <s:c r="A3930" s="120" t="inlineStr"/>
      <s:c r="B3930" s="121" t="n"/>
      <s:c r="C3930" s="121" t="n"/>
      <s:c r="D3930" s="121" t="n"/>
      <s:c r="E3930" s="122" t="n"/>
    </s:row>
    <s:row r="3931" hidden="1" ht="1" customHeight="1">
      <s:c r="A3931" s="120" t="inlineStr"/>
      <s:c r="B3931" s="121" t="n"/>
      <s:c r="C3931" s="121" t="n"/>
      <s:c r="D3931" s="121" t="n"/>
      <s:c r="E3931" s="122" t="n"/>
    </s:row>
    <s:row r="3932" hidden="1" ht="1" customHeight="1">
      <s:c r="A3932" s="120" t="inlineStr"/>
      <s:c r="B3932" s="121" t="n"/>
      <s:c r="C3932" s="121" t="n"/>
      <s:c r="D3932" s="121" t="n"/>
      <s:c r="E3932" s="122" t="n"/>
    </s:row>
    <s:row r="3933" hidden="1" ht="1" customHeight="1">
      <s:c r="A3933" s="120" t="inlineStr"/>
      <s:c r="B3933" s="121" t="n"/>
      <s:c r="C3933" s="121" t="n"/>
      <s:c r="D3933" s="121" t="n"/>
      <s:c r="E3933" s="122" t="n"/>
    </s:row>
    <s:row r="3934" hidden="1" ht="1" customHeight="1">
      <s:c r="A3934" s="120" t="inlineStr"/>
      <s:c r="B3934" s="121" t="n"/>
      <s:c r="C3934" s="121" t="n"/>
      <s:c r="D3934" s="121" t="n"/>
      <s:c r="E3934" s="122" t="n"/>
    </s:row>
    <s:row r="3935" hidden="1" ht="1" customHeight="1">
      <s:c r="A3935" s="120" t="inlineStr"/>
      <s:c r="B3935" s="121" t="n"/>
      <s:c r="C3935" s="121" t="n"/>
      <s:c r="D3935" s="121" t="n"/>
      <s:c r="E3935" s="122" t="n"/>
    </s:row>
    <s:row r="3936" hidden="1" ht="1" customHeight="1">
      <s:c r="A3936" s="120" t="inlineStr"/>
      <s:c r="B3936" s="121" t="n"/>
      <s:c r="C3936" s="121" t="n"/>
      <s:c r="D3936" s="121" t="n"/>
      <s:c r="E3936" s="122" t="n"/>
    </s:row>
    <s:row r="3937" hidden="1" ht="1" customHeight="1">
      <s:c r="A3937" s="120" t="inlineStr"/>
      <s:c r="B3937" s="121" t="n"/>
      <s:c r="C3937" s="121" t="n"/>
      <s:c r="D3937" s="121" t="n"/>
      <s:c r="E3937" s="122" t="n"/>
    </s:row>
    <s:row r="3938" hidden="1" ht="1" customHeight="1">
      <s:c r="A3938" s="120" t="inlineStr"/>
      <s:c r="B3938" s="121" t="n"/>
      <s:c r="C3938" s="121" t="n"/>
      <s:c r="D3938" s="121" t="n"/>
      <s:c r="E3938" s="122" t="n"/>
    </s:row>
    <s:row r="3939" hidden="1" ht="1" customHeight="1">
      <s:c r="A3939" s="120" t="inlineStr"/>
      <s:c r="B3939" s="121" t="n"/>
      <s:c r="C3939" s="121" t="n"/>
      <s:c r="D3939" s="121" t="n"/>
      <s:c r="E3939" s="122" t="n"/>
    </s:row>
    <s:row r="3940" hidden="1" ht="1" customHeight="1">
      <s:c r="A3940" s="120" t="inlineStr"/>
      <s:c r="B3940" s="121" t="n"/>
      <s:c r="C3940" s="121" t="n"/>
      <s:c r="D3940" s="121" t="n"/>
      <s:c r="E3940" s="122" t="n"/>
    </s:row>
    <s:row r="3941" hidden="1" ht="1" customHeight="1">
      <s:c r="A3941" s="120" t="inlineStr"/>
      <s:c r="B3941" s="121" t="n"/>
      <s:c r="C3941" s="121" t="n"/>
      <s:c r="D3941" s="121" t="n"/>
      <s:c r="E3941" s="122" t="n"/>
    </s:row>
    <s:row r="3942" hidden="1" ht="1" customHeight="1">
      <s:c r="A3942" s="120" t="inlineStr"/>
      <s:c r="B3942" s="121" t="n"/>
      <s:c r="C3942" s="121" t="n"/>
      <s:c r="D3942" s="121" t="n"/>
      <s:c r="E3942" s="122" t="n"/>
    </s:row>
    <s:row r="3943" hidden="1" ht="1" customHeight="1">
      <s:c r="A3943" s="120" t="inlineStr"/>
      <s:c r="B3943" s="121" t="n"/>
      <s:c r="C3943" s="121" t="n"/>
      <s:c r="D3943" s="121" t="n"/>
      <s:c r="E3943" s="122" t="n"/>
    </s:row>
    <s:row r="3944" hidden="1" ht="1" customHeight="1">
      <s:c r="A3944" s="120" t="inlineStr"/>
      <s:c r="B3944" s="121" t="n"/>
      <s:c r="C3944" s="121" t="n"/>
      <s:c r="D3944" s="121" t="n"/>
      <s:c r="E3944" s="122" t="n"/>
    </s:row>
    <s:row r="3945" hidden="1" ht="1" customHeight="1">
      <s:c r="A3945" s="120" t="inlineStr"/>
      <s:c r="B3945" s="121" t="n"/>
      <s:c r="C3945" s="121" t="n"/>
      <s:c r="D3945" s="121" t="n"/>
      <s:c r="E3945" s="122" t="n"/>
    </s:row>
    <s:row r="3946" hidden="1" ht="1" customHeight="1">
      <s:c r="A3946" s="120" t="inlineStr"/>
      <s:c r="B3946" s="121" t="n"/>
      <s:c r="C3946" s="121" t="n"/>
      <s:c r="D3946" s="121" t="n"/>
      <s:c r="E3946" s="122" t="n"/>
    </s:row>
    <s:row r="3947" hidden="1" ht="1" customHeight="1">
      <s:c r="A3947" s="120" t="inlineStr"/>
      <s:c r="B3947" s="121" t="n"/>
      <s:c r="C3947" s="121" t="n"/>
      <s:c r="D3947" s="121" t="n"/>
      <s:c r="E3947" s="122" t="n"/>
    </s:row>
    <s:row r="3948" hidden="1" ht="1" customHeight="1">
      <s:c r="A3948" s="120" t="inlineStr"/>
      <s:c r="B3948" s="121" t="n"/>
      <s:c r="C3948" s="121" t="n"/>
      <s:c r="D3948" s="121" t="n"/>
      <s:c r="E3948" s="122" t="n"/>
    </s:row>
    <s:row r="3949" hidden="1" ht="1" customHeight="1">
      <s:c r="A3949" s="120" t="inlineStr"/>
      <s:c r="B3949" s="121" t="n"/>
      <s:c r="C3949" s="121" t="n"/>
      <s:c r="D3949" s="121" t="n"/>
      <s:c r="E3949" s="122" t="n"/>
    </s:row>
    <s:row r="3950" hidden="1" ht="1" customHeight="1">
      <s:c r="A3950" s="120" t="inlineStr"/>
      <s:c r="B3950" s="121" t="n"/>
      <s:c r="C3950" s="121" t="n"/>
      <s:c r="D3950" s="121" t="n"/>
      <s:c r="E3950" s="122" t="n"/>
    </s:row>
    <s:row r="3951" hidden="1" ht="1" customHeight="1">
      <s:c r="A3951" s="120" t="inlineStr"/>
      <s:c r="B3951" s="121" t="n"/>
      <s:c r="C3951" s="121" t="n"/>
      <s:c r="D3951" s="121" t="n"/>
      <s:c r="E3951" s="122" t="n"/>
    </s:row>
    <s:row r="3952" hidden="1" ht="1" customHeight="1">
      <s:c r="A3952" s="120" t="inlineStr"/>
      <s:c r="B3952" s="121" t="n"/>
      <s:c r="C3952" s="121" t="n"/>
      <s:c r="D3952" s="121" t="n"/>
      <s:c r="E3952" s="122" t="n"/>
    </s:row>
    <s:row r="3953" hidden="1" ht="1" customHeight="1">
      <s:c r="A3953" s="120" t="inlineStr"/>
      <s:c r="B3953" s="121" t="n"/>
      <s:c r="C3953" s="121" t="n"/>
      <s:c r="D3953" s="121" t="n"/>
      <s:c r="E3953" s="122" t="n"/>
    </s:row>
    <s:row r="3954" hidden="1" ht="1" customHeight="1">
      <s:c r="A3954" s="120" t="inlineStr"/>
      <s:c r="B3954" s="121" t="n"/>
      <s:c r="C3954" s="121" t="n"/>
      <s:c r="D3954" s="121" t="n"/>
      <s:c r="E3954" s="122" t="n"/>
    </s:row>
    <s:row r="3955" hidden="1" ht="1" customHeight="1">
      <s:c r="A3955" s="120" t="inlineStr"/>
      <s:c r="B3955" s="121" t="n"/>
      <s:c r="C3955" s="121" t="n"/>
      <s:c r="D3955" s="121" t="n"/>
      <s:c r="E3955" s="122" t="n"/>
    </s:row>
    <s:row r="3956" hidden="1" ht="1" customHeight="1">
      <s:c r="A3956" s="120" t="inlineStr"/>
      <s:c r="B3956" s="121" t="n"/>
      <s:c r="C3956" s="121" t="n"/>
      <s:c r="D3956" s="121" t="n"/>
      <s:c r="E3956" s="122" t="n"/>
    </s:row>
    <s:row r="3957" hidden="1" ht="1" customHeight="1">
      <s:c r="A3957" s="120" t="inlineStr"/>
      <s:c r="B3957" s="121" t="n"/>
      <s:c r="C3957" s="121" t="n"/>
      <s:c r="D3957" s="121" t="n"/>
      <s:c r="E3957" s="122" t="n"/>
    </s:row>
    <s:row r="3958" hidden="1" ht="1" customHeight="1">
      <s:c r="A3958" s="120" t="inlineStr"/>
      <s:c r="B3958" s="121" t="n"/>
      <s:c r="C3958" s="121" t="n"/>
      <s:c r="D3958" s="121" t="n"/>
      <s:c r="E3958" s="122" t="n"/>
    </s:row>
    <s:row r="3959" hidden="1" ht="1" customHeight="1">
      <s:c r="A3959" s="120" t="inlineStr"/>
      <s:c r="B3959" s="121" t="n"/>
      <s:c r="C3959" s="121" t="n"/>
      <s:c r="D3959" s="121" t="n"/>
      <s:c r="E3959" s="122" t="n"/>
    </s:row>
    <s:row r="3960" hidden="1" ht="1" customHeight="1">
      <s:c r="A3960" s="120" t="inlineStr"/>
      <s:c r="B3960" s="121" t="n"/>
      <s:c r="C3960" s="121" t="n"/>
      <s:c r="D3960" s="121" t="n"/>
      <s:c r="E3960" s="122" t="n"/>
    </s:row>
    <s:row r="3961" hidden="1" ht="1" customHeight="1">
      <s:c r="A3961" s="120" t="inlineStr"/>
      <s:c r="B3961" s="121" t="n"/>
      <s:c r="C3961" s="121" t="n"/>
      <s:c r="D3961" s="121" t="n"/>
      <s:c r="E3961" s="122" t="n"/>
    </s:row>
    <s:row r="3962" hidden="1" ht="1" customHeight="1">
      <s:c r="A3962" s="120" t="inlineStr"/>
      <s:c r="B3962" s="121" t="n"/>
      <s:c r="C3962" s="121" t="n"/>
      <s:c r="D3962" s="121" t="n"/>
      <s:c r="E3962" s="122" t="n"/>
    </s:row>
    <s:row r="3963" hidden="1" ht="1" customHeight="1">
      <s:c r="A3963" s="120" t="inlineStr"/>
      <s:c r="B3963" s="121" t="n"/>
      <s:c r="C3963" s="121" t="n"/>
      <s:c r="D3963" s="121" t="n"/>
      <s:c r="E3963" s="122" t="n"/>
    </s:row>
    <s:row r="3964" hidden="1" ht="1" customHeight="1">
      <s:c r="A3964" s="120" t="inlineStr"/>
      <s:c r="B3964" s="121" t="n"/>
      <s:c r="C3964" s="121" t="n"/>
      <s:c r="D3964" s="121" t="n"/>
      <s:c r="E3964" s="122" t="n"/>
    </s:row>
    <s:row r="3965" hidden="1" ht="1" customHeight="1">
      <s:c r="A3965" s="120" t="inlineStr"/>
      <s:c r="B3965" s="121" t="n"/>
      <s:c r="C3965" s="121" t="n"/>
      <s:c r="D3965" s="121" t="n"/>
      <s:c r="E3965" s="122" t="n"/>
    </s:row>
    <s:row r="3966" hidden="1" ht="1" customHeight="1">
      <s:c r="A3966" s="120" t="inlineStr"/>
      <s:c r="B3966" s="121" t="n"/>
      <s:c r="C3966" s="121" t="n"/>
      <s:c r="D3966" s="121" t="n"/>
      <s:c r="E3966" s="122" t="n"/>
    </s:row>
    <s:row r="3967" hidden="1" ht="1" customHeight="1">
      <s:c r="A3967" s="120" t="inlineStr"/>
      <s:c r="B3967" s="121" t="n"/>
      <s:c r="C3967" s="121" t="n"/>
      <s:c r="D3967" s="121" t="n"/>
      <s:c r="E3967" s="122" t="n"/>
    </s:row>
    <s:row r="3968" hidden="1" ht="1" customHeight="1">
      <s:c r="A3968" s="120" t="inlineStr"/>
      <s:c r="B3968" s="121" t="n"/>
      <s:c r="C3968" s="121" t="n"/>
      <s:c r="D3968" s="121" t="n"/>
      <s:c r="E3968" s="122" t="n"/>
    </s:row>
    <s:row r="3969" hidden="1" ht="1" customHeight="1">
      <s:c r="A3969" s="120" t="inlineStr"/>
      <s:c r="B3969" s="121" t="n"/>
      <s:c r="C3969" s="121" t="n"/>
      <s:c r="D3969" s="121" t="n"/>
      <s:c r="E3969" s="122" t="n"/>
    </s:row>
    <s:row r="3970" hidden="1" ht="1" customHeight="1">
      <s:c r="A3970" s="120" t="inlineStr"/>
      <s:c r="B3970" s="121" t="n"/>
      <s:c r="C3970" s="121" t="n"/>
      <s:c r="D3970" s="121" t="n"/>
      <s:c r="E3970" s="122" t="n"/>
    </s:row>
    <s:row r="3971" hidden="1" ht="1" customHeight="1">
      <s:c r="A3971" s="120" t="inlineStr"/>
      <s:c r="B3971" s="121" t="n"/>
      <s:c r="C3971" s="121" t="n"/>
      <s:c r="D3971" s="121" t="n"/>
      <s:c r="E3971" s="122" t="n"/>
    </s:row>
    <s:row r="3972" hidden="1" ht="1" customHeight="1">
      <s:c r="A3972" s="120" t="inlineStr"/>
      <s:c r="B3972" s="121" t="n"/>
      <s:c r="C3972" s="121" t="n"/>
      <s:c r="D3972" s="121" t="n"/>
      <s:c r="E3972" s="122" t="n"/>
    </s:row>
    <s:row r="3973" hidden="1" ht="1" customHeight="1">
      <s:c r="A3973" s="120" t="inlineStr"/>
      <s:c r="B3973" s="121" t="n"/>
      <s:c r="C3973" s="121" t="n"/>
      <s:c r="D3973" s="121" t="n"/>
      <s:c r="E3973" s="122" t="n"/>
    </s:row>
    <s:row r="3974" hidden="1" ht="1" customHeight="1">
      <s:c r="A3974" s="120" t="inlineStr"/>
      <s:c r="B3974" s="121" t="n"/>
      <s:c r="C3974" s="121" t="n"/>
      <s:c r="D3974" s="121" t="n"/>
      <s:c r="E3974" s="122" t="n"/>
    </s:row>
    <s:row r="3975" hidden="1" ht="1" customHeight="1">
      <s:c r="A3975" s="120" t="inlineStr"/>
      <s:c r="B3975" s="121" t="n"/>
      <s:c r="C3975" s="121" t="n"/>
      <s:c r="D3975" s="121" t="n"/>
      <s:c r="E3975" s="122" t="n"/>
    </s:row>
    <s:row r="3976" hidden="1" ht="1" customHeight="1">
      <s:c r="A3976" s="120" t="inlineStr"/>
      <s:c r="B3976" s="121" t="n"/>
      <s:c r="C3976" s="121" t="n"/>
      <s:c r="D3976" s="121" t="n"/>
      <s:c r="E3976" s="122" t="n"/>
    </s:row>
    <s:row r="3977" hidden="1" ht="1" customHeight="1">
      <s:c r="A3977" s="120" t="inlineStr"/>
      <s:c r="B3977" s="121" t="n"/>
      <s:c r="C3977" s="121" t="n"/>
      <s:c r="D3977" s="121" t="n"/>
      <s:c r="E3977" s="122" t="n"/>
    </s:row>
    <s:row r="3978" hidden="1" ht="1" customHeight="1">
      <s:c r="A3978" s="120" t="inlineStr"/>
      <s:c r="B3978" s="121" t="n"/>
      <s:c r="C3978" s="121" t="n"/>
      <s:c r="D3978" s="121" t="n"/>
      <s:c r="E3978" s="122" t="n"/>
    </s:row>
    <s:row r="3979" hidden="1" ht="1" customHeight="1">
      <s:c r="A3979" s="120" t="inlineStr"/>
      <s:c r="B3979" s="121" t="n"/>
      <s:c r="C3979" s="121" t="n"/>
      <s:c r="D3979" s="121" t="n"/>
      <s:c r="E3979" s="122" t="n"/>
    </s:row>
    <s:row r="3980" hidden="1" ht="1" customHeight="1">
      <s:c r="A3980" s="120" t="inlineStr"/>
      <s:c r="B3980" s="121" t="n"/>
      <s:c r="C3980" s="121" t="n"/>
      <s:c r="D3980" s="121" t="n"/>
      <s:c r="E3980" s="122" t="n"/>
    </s:row>
    <s:row r="3981" hidden="1" ht="1" customHeight="1">
      <s:c r="A3981" s="120" t="inlineStr"/>
      <s:c r="B3981" s="121" t="n"/>
      <s:c r="C3981" s="121" t="n"/>
      <s:c r="D3981" s="121" t="n"/>
      <s:c r="E3981" s="122" t="n"/>
    </s:row>
    <s:row r="3982" hidden="1" ht="1" customHeight="1">
      <s:c r="A3982" s="120" t="inlineStr"/>
      <s:c r="B3982" s="121" t="n"/>
      <s:c r="C3982" s="121" t="n"/>
      <s:c r="D3982" s="121" t="n"/>
      <s:c r="E3982" s="122" t="n"/>
    </s:row>
    <s:row r="3983" hidden="1" ht="1" customHeight="1">
      <s:c r="A3983" s="120" t="inlineStr"/>
      <s:c r="B3983" s="121" t="n"/>
      <s:c r="C3983" s="121" t="n"/>
      <s:c r="D3983" s="121" t="n"/>
      <s:c r="E3983" s="122" t="n"/>
    </s:row>
    <s:row r="3984" hidden="1" ht="1" customHeight="1">
      <s:c r="A3984" s="120" t="inlineStr"/>
      <s:c r="B3984" s="121" t="n"/>
      <s:c r="C3984" s="121" t="n"/>
      <s:c r="D3984" s="121" t="n"/>
      <s:c r="E3984" s="122" t="n"/>
    </s:row>
    <s:row r="3985" hidden="1" ht="1" customHeight="1">
      <s:c r="A3985" s="120" t="inlineStr"/>
      <s:c r="B3985" s="121" t="n"/>
      <s:c r="C3985" s="121" t="n"/>
      <s:c r="D3985" s="121" t="n"/>
      <s:c r="E3985" s="122" t="n"/>
    </s:row>
    <s:row r="3986" hidden="1" ht="1" customHeight="1">
      <s:c r="A3986" s="120" t="inlineStr"/>
      <s:c r="B3986" s="121" t="n"/>
      <s:c r="C3986" s="121" t="n"/>
      <s:c r="D3986" s="121" t="n"/>
      <s:c r="E3986" s="122" t="n"/>
    </s:row>
    <s:row r="3987" hidden="1" ht="1" customHeight="1">
      <s:c r="A3987" s="120" t="inlineStr"/>
      <s:c r="B3987" s="121" t="n"/>
      <s:c r="C3987" s="121" t="n"/>
      <s:c r="D3987" s="121" t="n"/>
      <s:c r="E3987" s="122" t="n"/>
    </s:row>
    <s:row r="3988" hidden="1" ht="1" customHeight="1">
      <s:c r="A3988" s="120" t="inlineStr"/>
      <s:c r="B3988" s="121" t="n"/>
      <s:c r="C3988" s="121" t="n"/>
      <s:c r="D3988" s="121" t="n"/>
      <s:c r="E3988" s="122" t="n"/>
    </s:row>
    <s:row r="3989" hidden="1" ht="1" customHeight="1">
      <s:c r="A3989" s="120" t="inlineStr"/>
      <s:c r="B3989" s="121" t="n"/>
      <s:c r="C3989" s="121" t="n"/>
      <s:c r="D3989" s="121" t="n"/>
      <s:c r="E3989" s="122" t="n"/>
    </s:row>
    <s:row r="3990" hidden="1" ht="1" customHeight="1">
      <s:c r="A3990" s="120" t="inlineStr"/>
      <s:c r="B3990" s="121" t="n"/>
      <s:c r="C3990" s="121" t="n"/>
      <s:c r="D3990" s="121" t="n"/>
      <s:c r="E3990" s="122" t="n"/>
    </s:row>
    <s:row r="3991" hidden="1" ht="1" customHeight="1">
      <s:c r="A3991" s="120" t="inlineStr"/>
      <s:c r="B3991" s="121" t="n"/>
      <s:c r="C3991" s="121" t="n"/>
      <s:c r="D3991" s="121" t="n"/>
      <s:c r="E3991" s="122" t="n"/>
    </s:row>
    <s:row r="3992" hidden="1" ht="1" customHeight="1">
      <s:c r="A3992" s="120" t="inlineStr"/>
      <s:c r="B3992" s="121" t="n"/>
      <s:c r="C3992" s="121" t="n"/>
      <s:c r="D3992" s="121" t="n"/>
      <s:c r="E3992" s="122" t="n"/>
    </s:row>
    <s:row r="3993" hidden="1" ht="1" customHeight="1">
      <s:c r="A3993" s="120" t="inlineStr"/>
      <s:c r="B3993" s="121" t="n"/>
      <s:c r="C3993" s="121" t="n"/>
      <s:c r="D3993" s="121" t="n"/>
      <s:c r="E3993" s="122" t="n"/>
    </s:row>
    <s:row r="3994" hidden="1" ht="1" customHeight="1">
      <s:c r="A3994" s="120" t="inlineStr"/>
      <s:c r="B3994" s="121" t="n"/>
      <s:c r="C3994" s="121" t="n"/>
      <s:c r="D3994" s="121" t="n"/>
      <s:c r="E3994" s="122" t="n"/>
    </s:row>
    <s:row r="3995" hidden="1" ht="1" customHeight="1">
      <s:c r="A3995" s="120" t="inlineStr"/>
      <s:c r="B3995" s="121" t="n"/>
      <s:c r="C3995" s="121" t="n"/>
      <s:c r="D3995" s="121" t="n"/>
      <s:c r="E3995" s="122" t="n"/>
    </s:row>
    <s:row r="3996" hidden="1" ht="1" customHeight="1">
      <s:c r="A3996" s="120" t="inlineStr"/>
      <s:c r="B3996" s="121" t="n"/>
      <s:c r="C3996" s="121" t="n"/>
      <s:c r="D3996" s="121" t="n"/>
      <s:c r="E3996" s="122" t="n"/>
    </s:row>
    <s:row r="3997" hidden="1" ht="1" customHeight="1">
      <s:c r="A3997" s="120" t="inlineStr"/>
      <s:c r="B3997" s="121" t="n"/>
      <s:c r="C3997" s="121" t="n"/>
      <s:c r="D3997" s="121" t="n"/>
      <s:c r="E3997" s="122" t="n"/>
    </s:row>
    <s:row r="3998" hidden="1" ht="1" customHeight="1">
      <s:c r="A3998" s="120" t="inlineStr"/>
      <s:c r="B3998" s="121" t="n"/>
      <s:c r="C3998" s="121" t="n"/>
      <s:c r="D3998" s="121" t="n"/>
      <s:c r="E3998" s="122" t="n"/>
    </s:row>
    <s:row r="3999" hidden="1" ht="1" customHeight="1">
      <s:c r="A3999" s="120" t="inlineStr"/>
      <s:c r="B3999" s="121" t="n"/>
      <s:c r="C3999" s="121" t="n"/>
      <s:c r="D3999" s="121" t="n"/>
      <s:c r="E3999" s="122" t="n"/>
    </s:row>
    <s:row r="4000" hidden="1" ht="1" customHeight="1">
      <s:c r="A4000" s="120" t="inlineStr"/>
      <s:c r="B4000" s="121" t="n"/>
      <s:c r="C4000" s="121" t="n"/>
      <s:c r="D4000" s="121" t="n"/>
      <s:c r="E4000" s="122" t="n"/>
    </s:row>
    <s:row r="4001" hidden="1" ht="1" customHeight="1">
      <s:c r="A4001" s="120" t="inlineStr"/>
      <s:c r="B4001" s="121" t="n"/>
      <s:c r="C4001" s="121" t="n"/>
      <s:c r="D4001" s="121" t="n"/>
      <s:c r="E4001" s="122" t="n"/>
    </s:row>
    <s:row r="4002" hidden="1" ht="1" customHeight="1">
      <s:c r="A4002" s="120" t="inlineStr"/>
      <s:c r="B4002" s="121" t="n"/>
      <s:c r="C4002" s="121" t="n"/>
      <s:c r="D4002" s="121" t="n"/>
      <s:c r="E4002" s="122" t="n"/>
    </s:row>
    <s:row r="4003" hidden="1" ht="1" customHeight="1">
      <s:c r="A4003" s="120" t="inlineStr"/>
      <s:c r="B4003" s="121" t="n"/>
      <s:c r="C4003" s="121" t="n"/>
      <s:c r="D4003" s="121" t="n"/>
      <s:c r="E4003" s="122" t="n"/>
    </s:row>
    <s:row r="4004" hidden="1" ht="1" customHeight="1">
      <s:c r="A4004" s="120" t="inlineStr"/>
      <s:c r="B4004" s="121" t="n"/>
      <s:c r="C4004" s="121" t="n"/>
      <s:c r="D4004" s="121" t="n"/>
      <s:c r="E4004" s="122" t="n"/>
    </s:row>
    <s:row r="4005" hidden="1" ht="1" customHeight="1">
      <s:c r="A4005" s="120" t="inlineStr"/>
      <s:c r="B4005" s="121" t="n"/>
      <s:c r="C4005" s="121" t="n"/>
      <s:c r="D4005" s="121" t="n"/>
      <s:c r="E4005" s="122" t="n"/>
    </s:row>
    <s:row r="4006" hidden="1" ht="1" customHeight="1">
      <s:c r="A4006" s="120" t="inlineStr"/>
      <s:c r="B4006" s="121" t="n"/>
      <s:c r="C4006" s="121" t="n"/>
      <s:c r="D4006" s="121" t="n"/>
      <s:c r="E4006" s="122" t="n"/>
    </s:row>
    <s:row r="4007" hidden="1" ht="1" customHeight="1">
      <s:c r="A4007" s="120" t="inlineStr"/>
      <s:c r="B4007" s="121" t="n"/>
      <s:c r="C4007" s="121" t="n"/>
      <s:c r="D4007" s="121" t="n"/>
      <s:c r="E4007" s="122" t="n"/>
    </s:row>
    <s:row r="4008" hidden="1" ht="1" customHeight="1">
      <s:c r="A4008" s="120" t="inlineStr"/>
      <s:c r="B4008" s="121" t="n"/>
      <s:c r="C4008" s="121" t="n"/>
      <s:c r="D4008" s="121" t="n"/>
      <s:c r="E4008" s="122" t="n"/>
    </s:row>
    <s:row r="4009" hidden="1" ht="1" customHeight="1">
      <s:c r="A4009" s="120" t="inlineStr"/>
      <s:c r="B4009" s="121" t="n"/>
      <s:c r="C4009" s="121" t="n"/>
      <s:c r="D4009" s="121" t="n"/>
      <s:c r="E4009" s="122" t="n"/>
    </s:row>
    <s:row r="4010" hidden="1" ht="1" customHeight="1">
      <s:c r="A4010" s="120" t="inlineStr"/>
      <s:c r="B4010" s="121" t="n"/>
      <s:c r="C4010" s="121" t="n"/>
      <s:c r="D4010" s="121" t="n"/>
      <s:c r="E4010" s="122" t="n"/>
    </s:row>
    <s:row r="4011" hidden="1" ht="1" customHeight="1">
      <s:c r="A4011" s="120" t="inlineStr"/>
      <s:c r="B4011" s="121" t="n"/>
      <s:c r="C4011" s="121" t="n"/>
      <s:c r="D4011" s="121" t="n"/>
      <s:c r="E4011" s="122" t="n"/>
    </s:row>
    <s:row r="4012" hidden="1" ht="1" customHeight="1">
      <s:c r="A4012" s="120" t="inlineStr"/>
      <s:c r="B4012" s="121" t="n"/>
      <s:c r="C4012" s="121" t="n"/>
      <s:c r="D4012" s="121" t="n"/>
      <s:c r="E4012" s="122" t="n"/>
    </s:row>
    <s:row r="4013" hidden="1" ht="1" customHeight="1">
      <s:c r="A4013" s="120" t="inlineStr"/>
      <s:c r="B4013" s="121" t="n"/>
      <s:c r="C4013" s="121" t="n"/>
      <s:c r="D4013" s="121" t="n"/>
      <s:c r="E4013" s="122" t="n"/>
    </s:row>
    <s:row r="4014" hidden="1" ht="1" customHeight="1">
      <s:c r="A4014" s="120" t="inlineStr"/>
      <s:c r="B4014" s="121" t="n"/>
      <s:c r="C4014" s="121" t="n"/>
      <s:c r="D4014" s="121" t="n"/>
      <s:c r="E4014" s="122" t="n"/>
    </s:row>
    <s:row r="4015" hidden="1" ht="1" customHeight="1">
      <s:c r="A4015" s="120" t="inlineStr"/>
      <s:c r="B4015" s="121" t="n"/>
      <s:c r="C4015" s="121" t="n"/>
      <s:c r="D4015" s="121" t="n"/>
      <s:c r="E4015" s="122" t="n"/>
    </s:row>
    <s:row r="4016" hidden="1" ht="1" customHeight="1">
      <s:c r="A4016" s="120" t="inlineStr"/>
      <s:c r="B4016" s="121" t="n"/>
      <s:c r="C4016" s="121" t="n"/>
      <s:c r="D4016" s="121" t="n"/>
      <s:c r="E4016" s="122" t="n"/>
    </s:row>
    <s:row r="4017" hidden="1" ht="1" customHeight="1">
      <s:c r="A4017" s="120" t="inlineStr"/>
      <s:c r="B4017" s="121" t="n"/>
      <s:c r="C4017" s="121" t="n"/>
      <s:c r="D4017" s="121" t="n"/>
      <s:c r="E4017" s="122" t="n"/>
    </s:row>
    <s:row r="4018" hidden="1" ht="1" customHeight="1">
      <s:c r="A4018" s="120" t="inlineStr"/>
      <s:c r="B4018" s="121" t="n"/>
      <s:c r="C4018" s="121" t="n"/>
      <s:c r="D4018" s="121" t="n"/>
      <s:c r="E4018" s="122" t="n"/>
    </s:row>
    <s:row r="4019" hidden="1" ht="1" customHeight="1">
      <s:c r="A4019" s="120" t="inlineStr"/>
      <s:c r="B4019" s="121" t="n"/>
      <s:c r="C4019" s="121" t="n"/>
      <s:c r="D4019" s="121" t="n"/>
      <s:c r="E4019" s="122" t="n"/>
    </s:row>
    <s:row r="4020" hidden="1" ht="1" customHeight="1">
      <s:c r="A4020" s="120" t="inlineStr"/>
      <s:c r="B4020" s="121" t="n"/>
      <s:c r="C4020" s="121" t="n"/>
      <s:c r="D4020" s="121" t="n"/>
      <s:c r="E4020" s="122" t="n"/>
    </s:row>
    <s:row r="4021" hidden="1" ht="1" customHeight="1">
      <s:c r="A4021" s="120" t="inlineStr"/>
      <s:c r="B4021" s="121" t="n"/>
      <s:c r="C4021" s="121" t="n"/>
      <s:c r="D4021" s="121" t="n"/>
      <s:c r="E4021" s="122" t="n"/>
    </s:row>
    <s:row r="4022" hidden="1" ht="1" customHeight="1">
      <s:c r="A4022" s="120" t="inlineStr"/>
      <s:c r="B4022" s="121" t="n"/>
      <s:c r="C4022" s="121" t="n"/>
      <s:c r="D4022" s="121" t="n"/>
      <s:c r="E4022" s="122" t="n"/>
    </s:row>
    <s:row r="4023" hidden="1" ht="1" customHeight="1">
      <s:c r="A4023" s="120" t="inlineStr"/>
      <s:c r="B4023" s="121" t="n"/>
      <s:c r="C4023" s="121" t="n"/>
      <s:c r="D4023" s="121" t="n"/>
      <s:c r="E4023" s="122" t="n"/>
    </s:row>
    <s:row r="4024" hidden="1" ht="1" customHeight="1">
      <s:c r="A4024" s="120" t="inlineStr"/>
      <s:c r="B4024" s="121" t="n"/>
      <s:c r="C4024" s="121" t="n"/>
      <s:c r="D4024" s="121" t="n"/>
      <s:c r="E4024" s="122" t="n"/>
    </s:row>
    <s:row r="4025" hidden="1" ht="1" customHeight="1">
      <s:c r="A4025" s="120" t="inlineStr"/>
      <s:c r="B4025" s="121" t="n"/>
      <s:c r="C4025" s="121" t="n"/>
      <s:c r="D4025" s="121" t="n"/>
      <s:c r="E4025" s="122" t="n"/>
    </s:row>
    <s:row r="4026" hidden="1" ht="1" customHeight="1">
      <s:c r="A4026" s="120" t="inlineStr"/>
      <s:c r="B4026" s="121" t="n"/>
      <s:c r="C4026" s="121" t="n"/>
      <s:c r="D4026" s="121" t="n"/>
      <s:c r="E4026" s="122" t="n"/>
    </s:row>
    <s:row r="4027" hidden="1" ht="1" customHeight="1">
      <s:c r="A4027" s="120" t="inlineStr"/>
      <s:c r="B4027" s="121" t="n"/>
      <s:c r="C4027" s="121" t="n"/>
      <s:c r="D4027" s="121" t="n"/>
      <s:c r="E4027" s="122" t="n"/>
    </s:row>
    <s:row r="4028" hidden="1" ht="1" customHeight="1">
      <s:c r="A4028" s="120" t="inlineStr"/>
      <s:c r="B4028" s="121" t="n"/>
      <s:c r="C4028" s="121" t="n"/>
      <s:c r="D4028" s="121" t="n"/>
      <s:c r="E4028" s="122" t="n"/>
    </s:row>
    <s:row r="4029" hidden="1" ht="1" customHeight="1">
      <s:c r="A4029" s="120" t="inlineStr"/>
      <s:c r="B4029" s="121" t="n"/>
      <s:c r="C4029" s="121" t="n"/>
      <s:c r="D4029" s="121" t="n"/>
      <s:c r="E4029" s="122" t="n"/>
    </s:row>
    <s:row r="4030" hidden="1" ht="1" customHeight="1">
      <s:c r="A4030" s="120" t="inlineStr"/>
      <s:c r="B4030" s="121" t="n"/>
      <s:c r="C4030" s="121" t="n"/>
      <s:c r="D4030" s="121" t="n"/>
      <s:c r="E4030" s="122" t="n"/>
    </s:row>
    <s:row r="4031" hidden="1" ht="1" customHeight="1">
      <s:c r="A4031" s="120" t="inlineStr"/>
      <s:c r="B4031" s="121" t="n"/>
      <s:c r="C4031" s="121" t="n"/>
      <s:c r="D4031" s="121" t="n"/>
      <s:c r="E4031" s="122" t="n"/>
    </s:row>
    <s:row r="4032" hidden="1" ht="1" customHeight="1">
      <s:c r="A4032" s="120" t="inlineStr"/>
      <s:c r="B4032" s="121" t="n"/>
      <s:c r="C4032" s="121" t="n"/>
      <s:c r="D4032" s="121" t="n"/>
      <s:c r="E4032" s="122" t="n"/>
    </s:row>
    <s:row r="4033" hidden="1" ht="1" customHeight="1">
      <s:c r="A4033" s="120" t="inlineStr"/>
      <s:c r="B4033" s="121" t="n"/>
      <s:c r="C4033" s="121" t="n"/>
      <s:c r="D4033" s="121" t="n"/>
      <s:c r="E4033" s="122" t="n"/>
    </s:row>
    <s:row r="4034" hidden="1" ht="1" customHeight="1">
      <s:c r="A4034" s="120" t="inlineStr"/>
      <s:c r="B4034" s="121" t="n"/>
      <s:c r="C4034" s="121" t="n"/>
      <s:c r="D4034" s="121" t="n"/>
      <s:c r="E4034" s="122" t="n"/>
    </s:row>
    <s:row r="4035" hidden="1" ht="1" customHeight="1">
      <s:c r="A4035" s="120" t="inlineStr"/>
      <s:c r="B4035" s="121" t="n"/>
      <s:c r="C4035" s="121" t="n"/>
      <s:c r="D4035" s="121" t="n"/>
      <s:c r="E4035" s="122" t="n"/>
    </s:row>
    <s:row r="4036" hidden="1" ht="1" customHeight="1">
      <s:c r="A4036" s="120" t="inlineStr"/>
      <s:c r="B4036" s="121" t="n"/>
      <s:c r="C4036" s="121" t="n"/>
      <s:c r="D4036" s="121" t="n"/>
      <s:c r="E4036" s="122" t="n"/>
    </s:row>
    <s:row r="4037" hidden="1" ht="1" customHeight="1">
      <s:c r="A4037" s="120" t="inlineStr"/>
      <s:c r="B4037" s="121" t="n"/>
      <s:c r="C4037" s="121" t="n"/>
      <s:c r="D4037" s="121" t="n"/>
      <s:c r="E4037" s="122" t="n"/>
    </s:row>
    <s:row r="4038" hidden="1" ht="1" customHeight="1">
      <s:c r="A4038" s="120" t="inlineStr"/>
      <s:c r="B4038" s="121" t="n"/>
      <s:c r="C4038" s="121" t="n"/>
      <s:c r="D4038" s="121" t="n"/>
      <s:c r="E4038" s="122" t="n"/>
    </s:row>
    <s:row r="4039" hidden="1" ht="1" customHeight="1">
      <s:c r="A4039" s="120" t="inlineStr"/>
      <s:c r="B4039" s="121" t="n"/>
      <s:c r="C4039" s="121" t="n"/>
      <s:c r="D4039" s="121" t="n"/>
      <s:c r="E4039" s="122" t="n"/>
    </s:row>
    <s:row r="4040" hidden="1" ht="1" customHeight="1">
      <s:c r="A4040" s="120" t="inlineStr"/>
      <s:c r="B4040" s="121" t="n"/>
      <s:c r="C4040" s="121" t="n"/>
      <s:c r="D4040" s="121" t="n"/>
      <s:c r="E4040" s="122" t="n"/>
    </s:row>
    <s:row r="4041" hidden="1" ht="1" customHeight="1">
      <s:c r="A4041" s="120" t="inlineStr"/>
      <s:c r="B4041" s="121" t="n"/>
      <s:c r="C4041" s="121" t="n"/>
      <s:c r="D4041" s="121" t="n"/>
      <s:c r="E4041" s="122" t="n"/>
    </s:row>
    <s:row r="4042" hidden="1" ht="1" customHeight="1">
      <s:c r="A4042" s="120" t="inlineStr"/>
      <s:c r="B4042" s="121" t="n"/>
      <s:c r="C4042" s="121" t="n"/>
      <s:c r="D4042" s="121" t="n"/>
      <s:c r="E4042" s="122" t="n"/>
    </s:row>
    <s:row r="4043" hidden="1" ht="1" customHeight="1">
      <s:c r="A4043" s="120" t="inlineStr"/>
      <s:c r="B4043" s="121" t="n"/>
      <s:c r="C4043" s="121" t="n"/>
      <s:c r="D4043" s="121" t="n"/>
      <s:c r="E4043" s="122" t="n"/>
    </s:row>
    <s:row r="4044" hidden="1" ht="1" customHeight="1">
      <s:c r="A4044" s="120" t="inlineStr"/>
      <s:c r="B4044" s="121" t="n"/>
      <s:c r="C4044" s="121" t="n"/>
      <s:c r="D4044" s="121" t="n"/>
      <s:c r="E4044" s="122" t="n"/>
    </s:row>
    <s:row r="4045" hidden="1" ht="1" customHeight="1">
      <s:c r="A4045" s="120" t="inlineStr"/>
      <s:c r="B4045" s="121" t="n"/>
      <s:c r="C4045" s="121" t="n"/>
      <s:c r="D4045" s="121" t="n"/>
      <s:c r="E4045" s="122" t="n"/>
    </s:row>
    <s:row r="4046" hidden="1" ht="1" customHeight="1">
      <s:c r="A4046" s="120" t="inlineStr"/>
      <s:c r="B4046" s="121" t="n"/>
      <s:c r="C4046" s="121" t="n"/>
      <s:c r="D4046" s="121" t="n"/>
      <s:c r="E4046" s="122" t="n"/>
    </s:row>
    <s:row r="4047" hidden="1" ht="1" customHeight="1">
      <s:c r="A4047" s="120" t="inlineStr"/>
      <s:c r="B4047" s="121" t="n"/>
      <s:c r="C4047" s="121" t="n"/>
      <s:c r="D4047" s="121" t="n"/>
      <s:c r="E4047" s="122" t="n"/>
    </s:row>
    <s:row r="4048" hidden="1" ht="1" customHeight="1">
      <s:c r="A4048" s="120" t="inlineStr"/>
      <s:c r="B4048" s="121" t="n"/>
      <s:c r="C4048" s="121" t="n"/>
      <s:c r="D4048" s="121" t="n"/>
      <s:c r="E4048" s="122" t="n"/>
    </s:row>
    <s:row r="4049" hidden="1" ht="1" customHeight="1">
      <s:c r="A4049" s="120" t="inlineStr"/>
      <s:c r="B4049" s="121" t="n"/>
      <s:c r="C4049" s="121" t="n"/>
      <s:c r="D4049" s="121" t="n"/>
      <s:c r="E4049" s="122" t="n"/>
    </s:row>
    <s:row r="4050" hidden="1" ht="1" customHeight="1">
      <s:c r="A4050" s="120" t="inlineStr"/>
      <s:c r="B4050" s="121" t="n"/>
      <s:c r="C4050" s="121" t="n"/>
      <s:c r="D4050" s="121" t="n"/>
      <s:c r="E4050" s="122" t="n"/>
    </s:row>
    <s:row r="4051" hidden="1" ht="1" customHeight="1">
      <s:c r="A4051" s="120" t="inlineStr"/>
      <s:c r="B4051" s="121" t="n"/>
      <s:c r="C4051" s="121" t="n"/>
      <s:c r="D4051" s="121" t="n"/>
      <s:c r="E4051" s="122" t="n"/>
    </s:row>
    <s:row r="4052" hidden="1" ht="1" customHeight="1">
      <s:c r="A4052" s="120" t="inlineStr"/>
      <s:c r="B4052" s="121" t="n"/>
      <s:c r="C4052" s="121" t="n"/>
      <s:c r="D4052" s="121" t="n"/>
      <s:c r="E4052" s="122" t="n"/>
    </s:row>
    <s:row r="4053" hidden="1" ht="1" customHeight="1">
      <s:c r="A4053" s="120" t="inlineStr"/>
      <s:c r="B4053" s="121" t="n"/>
      <s:c r="C4053" s="121" t="n"/>
      <s:c r="D4053" s="121" t="n"/>
      <s:c r="E4053" s="122" t="n"/>
    </s:row>
    <s:row r="4054" hidden="1" ht="1" customHeight="1">
      <s:c r="A4054" s="120" t="inlineStr"/>
      <s:c r="B4054" s="121" t="n"/>
      <s:c r="C4054" s="121" t="n"/>
      <s:c r="D4054" s="121" t="n"/>
      <s:c r="E4054" s="122" t="n"/>
    </s:row>
    <s:row r="4055" hidden="1" ht="1" customHeight="1">
      <s:c r="A4055" s="120" t="inlineStr"/>
      <s:c r="B4055" s="121" t="n"/>
      <s:c r="C4055" s="121" t="n"/>
      <s:c r="D4055" s="121" t="n"/>
      <s:c r="E4055" s="122" t="n"/>
    </s:row>
    <s:row r="4056" hidden="1" ht="1" customHeight="1">
      <s:c r="A4056" s="120" t="inlineStr"/>
      <s:c r="B4056" s="121" t="n"/>
      <s:c r="C4056" s="121" t="n"/>
      <s:c r="D4056" s="121" t="n"/>
      <s:c r="E4056" s="122" t="n"/>
    </s:row>
    <s:row r="4057" hidden="1" ht="1" customHeight="1">
      <s:c r="A4057" s="120" t="inlineStr"/>
      <s:c r="B4057" s="121" t="n"/>
      <s:c r="C4057" s="121" t="n"/>
      <s:c r="D4057" s="121" t="n"/>
      <s:c r="E4057" s="122" t="n"/>
    </s:row>
    <s:row r="4058" hidden="1" ht="1" customHeight="1">
      <s:c r="A4058" s="120" t="inlineStr"/>
      <s:c r="B4058" s="121" t="n"/>
      <s:c r="C4058" s="121" t="n"/>
      <s:c r="D4058" s="121" t="n"/>
      <s:c r="E4058" s="122" t="n"/>
    </s:row>
    <s:row r="4059" hidden="1" ht="1" customHeight="1">
      <s:c r="A4059" s="120" t="inlineStr"/>
      <s:c r="B4059" s="121" t="n"/>
      <s:c r="C4059" s="121" t="n"/>
      <s:c r="D4059" s="121" t="n"/>
      <s:c r="E4059" s="122" t="n"/>
    </s:row>
    <s:row r="4060" hidden="1" ht="1" customHeight="1">
      <s:c r="A4060" s="120" t="inlineStr"/>
      <s:c r="B4060" s="121" t="n"/>
      <s:c r="C4060" s="121" t="n"/>
      <s:c r="D4060" s="121" t="n"/>
      <s:c r="E4060" s="122" t="n"/>
    </s:row>
    <s:row r="4061" hidden="1" ht="1" customHeight="1">
      <s:c r="A4061" s="120" t="inlineStr"/>
      <s:c r="B4061" s="121" t="n"/>
      <s:c r="C4061" s="121" t="n"/>
      <s:c r="D4061" s="121" t="n"/>
      <s:c r="E4061" s="122" t="n"/>
    </s:row>
    <s:row r="4062" hidden="1" ht="1" customHeight="1">
      <s:c r="A4062" s="120" t="inlineStr"/>
      <s:c r="B4062" s="121" t="n"/>
      <s:c r="C4062" s="121" t="n"/>
      <s:c r="D4062" s="121" t="n"/>
      <s:c r="E4062" s="122" t="n"/>
    </s:row>
    <s:row r="4063" hidden="1" ht="1" customHeight="1">
      <s:c r="A4063" s="120" t="inlineStr"/>
      <s:c r="B4063" s="121" t="n"/>
      <s:c r="C4063" s="121" t="n"/>
      <s:c r="D4063" s="121" t="n"/>
      <s:c r="E4063" s="122" t="n"/>
    </s:row>
    <s:row r="4064" hidden="1" ht="1" customHeight="1">
      <s:c r="A4064" s="120" t="inlineStr"/>
      <s:c r="B4064" s="121" t="n"/>
      <s:c r="C4064" s="121" t="n"/>
      <s:c r="D4064" s="121" t="n"/>
      <s:c r="E4064" s="122" t="n"/>
    </s:row>
    <s:row r="4065" hidden="1" ht="1" customHeight="1">
      <s:c r="A4065" s="120" t="inlineStr"/>
      <s:c r="B4065" s="121" t="n"/>
      <s:c r="C4065" s="121" t="n"/>
      <s:c r="D4065" s="121" t="n"/>
      <s:c r="E4065" s="122" t="n"/>
    </s:row>
    <s:row r="4066" hidden="1" ht="1" customHeight="1">
      <s:c r="A4066" s="120" t="inlineStr"/>
      <s:c r="B4066" s="121" t="n"/>
      <s:c r="C4066" s="121" t="n"/>
      <s:c r="D4066" s="121" t="n"/>
      <s:c r="E4066" s="122" t="n"/>
    </s:row>
    <s:row r="4067" hidden="1" ht="1" customHeight="1">
      <s:c r="A4067" s="120" t="inlineStr"/>
      <s:c r="B4067" s="121" t="n"/>
      <s:c r="C4067" s="121" t="n"/>
      <s:c r="D4067" s="121" t="n"/>
      <s:c r="E4067" s="122" t="n"/>
    </s:row>
    <s:row r="4068" hidden="1" ht="1" customHeight="1">
      <s:c r="A4068" s="120" t="inlineStr"/>
      <s:c r="B4068" s="121" t="n"/>
      <s:c r="C4068" s="121" t="n"/>
      <s:c r="D4068" s="121" t="n"/>
      <s:c r="E4068" s="122" t="n"/>
    </s:row>
    <s:row r="4069" hidden="1" ht="1" customHeight="1">
      <s:c r="A4069" s="120" t="inlineStr"/>
      <s:c r="B4069" s="121" t="n"/>
      <s:c r="C4069" s="121" t="n"/>
      <s:c r="D4069" s="121" t="n"/>
      <s:c r="E4069" s="122" t="n"/>
    </s:row>
    <s:row r="4070" hidden="1" ht="1" customHeight="1">
      <s:c r="A4070" s="120" t="inlineStr"/>
      <s:c r="B4070" s="121" t="n"/>
      <s:c r="C4070" s="121" t="n"/>
      <s:c r="D4070" s="121" t="n"/>
      <s:c r="E4070" s="122" t="n"/>
    </s:row>
    <s:row r="4071" hidden="1" ht="1" customHeight="1">
      <s:c r="A4071" s="120" t="inlineStr"/>
      <s:c r="B4071" s="121" t="n"/>
      <s:c r="C4071" s="121" t="n"/>
      <s:c r="D4071" s="121" t="n"/>
      <s:c r="E4071" s="122" t="n"/>
    </s:row>
    <s:row r="4072" hidden="1" ht="1" customHeight="1">
      <s:c r="A4072" s="120" t="inlineStr"/>
      <s:c r="B4072" s="121" t="n"/>
      <s:c r="C4072" s="121" t="n"/>
      <s:c r="D4072" s="121" t="n"/>
      <s:c r="E4072" s="122" t="n"/>
    </s:row>
    <s:row r="4073" hidden="1" ht="1" customHeight="1">
      <s:c r="A4073" s="120" t="inlineStr"/>
      <s:c r="B4073" s="121" t="n"/>
      <s:c r="C4073" s="121" t="n"/>
      <s:c r="D4073" s="121" t="n"/>
      <s:c r="E4073" s="122" t="n"/>
    </s:row>
    <s:row r="4074" hidden="1" ht="1" customHeight="1">
      <s:c r="A4074" s="120" t="inlineStr"/>
      <s:c r="B4074" s="121" t="n"/>
      <s:c r="C4074" s="121" t="n"/>
      <s:c r="D4074" s="121" t="n"/>
      <s:c r="E4074" s="122" t="n"/>
    </s:row>
    <s:row r="4075" hidden="1" ht="1" customHeight="1">
      <s:c r="A4075" s="120" t="inlineStr"/>
      <s:c r="B4075" s="121" t="n"/>
      <s:c r="C4075" s="121" t="n"/>
      <s:c r="D4075" s="121" t="n"/>
      <s:c r="E4075" s="122" t="n"/>
    </s:row>
    <s:row r="4076" hidden="1" ht="1" customHeight="1">
      <s:c r="A4076" s="120" t="inlineStr"/>
      <s:c r="B4076" s="121" t="n"/>
      <s:c r="C4076" s="121" t="n"/>
      <s:c r="D4076" s="121" t="n"/>
      <s:c r="E4076" s="122" t="n"/>
    </s:row>
    <s:row r="4077" hidden="1" ht="1" customHeight="1">
      <s:c r="A4077" s="120" t="inlineStr"/>
      <s:c r="B4077" s="121" t="n"/>
      <s:c r="C4077" s="121" t="n"/>
      <s:c r="D4077" s="121" t="n"/>
      <s:c r="E4077" s="122" t="n"/>
    </s:row>
    <s:row r="4078" hidden="1" ht="1" customHeight="1">
      <s:c r="A4078" s="120" t="inlineStr"/>
      <s:c r="B4078" s="121" t="n"/>
      <s:c r="C4078" s="121" t="n"/>
      <s:c r="D4078" s="121" t="n"/>
      <s:c r="E4078" s="122" t="n"/>
    </s:row>
    <s:row r="4079" hidden="1" ht="1" customHeight="1">
      <s:c r="A4079" s="120" t="inlineStr"/>
      <s:c r="B4079" s="121" t="n"/>
      <s:c r="C4079" s="121" t="n"/>
      <s:c r="D4079" s="121" t="n"/>
      <s:c r="E4079" s="122" t="n"/>
    </s:row>
    <s:row r="4080" hidden="1" ht="1" customHeight="1">
      <s:c r="A4080" s="120" t="inlineStr"/>
      <s:c r="B4080" s="121" t="n"/>
      <s:c r="C4080" s="121" t="n"/>
      <s:c r="D4080" s="121" t="n"/>
      <s:c r="E4080" s="122" t="n"/>
    </s:row>
    <s:row r="4081" hidden="1" ht="1" customHeight="1">
      <s:c r="A4081" s="120" t="inlineStr"/>
      <s:c r="B4081" s="121" t="n"/>
      <s:c r="C4081" s="121" t="n"/>
      <s:c r="D4081" s="121" t="n"/>
      <s:c r="E4081" s="122" t="n"/>
    </s:row>
    <s:row r="4082" hidden="1" ht="1" customHeight="1">
      <s:c r="A4082" s="120" t="inlineStr"/>
      <s:c r="B4082" s="121" t="n"/>
      <s:c r="C4082" s="121" t="n"/>
      <s:c r="D4082" s="121" t="n"/>
      <s:c r="E4082" s="122" t="n"/>
    </s:row>
    <s:row r="4083" hidden="1" ht="1" customHeight="1">
      <s:c r="A4083" s="120" t="inlineStr"/>
      <s:c r="B4083" s="121" t="n"/>
      <s:c r="C4083" s="121" t="n"/>
      <s:c r="D4083" s="121" t="n"/>
      <s:c r="E4083" s="122" t="n"/>
    </s:row>
    <s:row r="4084" hidden="1" ht="1" customHeight="1">
      <s:c r="A4084" s="120" t="inlineStr"/>
      <s:c r="B4084" s="121" t="n"/>
      <s:c r="C4084" s="121" t="n"/>
      <s:c r="D4084" s="121" t="n"/>
      <s:c r="E4084" s="122" t="n"/>
    </s:row>
    <s:row r="4085" hidden="1" ht="1" customHeight="1">
      <s:c r="A4085" s="120" t="inlineStr"/>
      <s:c r="B4085" s="121" t="n"/>
      <s:c r="C4085" s="121" t="n"/>
      <s:c r="D4085" s="121" t="n"/>
      <s:c r="E4085" s="122" t="n"/>
    </s:row>
    <s:row r="4086" hidden="1" ht="1" customHeight="1">
      <s:c r="A4086" s="120" t="inlineStr"/>
      <s:c r="B4086" s="121" t="n"/>
      <s:c r="C4086" s="121" t="n"/>
      <s:c r="D4086" s="121" t="n"/>
      <s:c r="E4086" s="122" t="n"/>
    </s:row>
    <s:row r="4087" hidden="1" ht="1" customHeight="1">
      <s:c r="A4087" s="120" t="inlineStr"/>
      <s:c r="B4087" s="121" t="n"/>
      <s:c r="C4087" s="121" t="n"/>
      <s:c r="D4087" s="121" t="n"/>
      <s:c r="E4087" s="122" t="n"/>
    </s:row>
    <s:row r="4088" hidden="1" ht="1" customHeight="1">
      <s:c r="A4088" s="120" t="inlineStr"/>
      <s:c r="B4088" s="121" t="n"/>
      <s:c r="C4088" s="121" t="n"/>
      <s:c r="D4088" s="121" t="n"/>
      <s:c r="E4088" s="122" t="n"/>
    </s:row>
    <s:row r="4089" hidden="1" ht="1" customHeight="1">
      <s:c r="A4089" s="120" t="inlineStr"/>
      <s:c r="B4089" s="121" t="n"/>
      <s:c r="C4089" s="121" t="n"/>
      <s:c r="D4089" s="121" t="n"/>
      <s:c r="E4089" s="122" t="n"/>
    </s:row>
    <s:row r="4090" hidden="1" ht="1" customHeight="1">
      <s:c r="A4090" s="120" t="inlineStr"/>
      <s:c r="B4090" s="121" t="n"/>
      <s:c r="C4090" s="121" t="n"/>
      <s:c r="D4090" s="121" t="n"/>
      <s:c r="E4090" s="122" t="n"/>
    </s:row>
    <s:row r="4091" hidden="1" ht="1" customHeight="1">
      <s:c r="A4091" s="120" t="inlineStr"/>
      <s:c r="B4091" s="121" t="n"/>
      <s:c r="C4091" s="121" t="n"/>
      <s:c r="D4091" s="121" t="n"/>
      <s:c r="E4091" s="122" t="n"/>
    </s:row>
    <s:row r="4092" hidden="1" ht="1" customHeight="1">
      <s:c r="A4092" s="120" t="inlineStr"/>
      <s:c r="B4092" s="121" t="n"/>
      <s:c r="C4092" s="121" t="n"/>
      <s:c r="D4092" s="121" t="n"/>
      <s:c r="E4092" s="122" t="n"/>
    </s:row>
    <s:row r="4093" hidden="1" ht="1" customHeight="1">
      <s:c r="A4093" s="120" t="inlineStr"/>
      <s:c r="B4093" s="121" t="n"/>
      <s:c r="C4093" s="121" t="n"/>
      <s:c r="D4093" s="121" t="n"/>
      <s:c r="E4093" s="122" t="n"/>
    </s:row>
    <s:row r="4094" hidden="1" ht="1" customHeight="1">
      <s:c r="A4094" s="120" t="inlineStr"/>
      <s:c r="B4094" s="121" t="n"/>
      <s:c r="C4094" s="121" t="n"/>
      <s:c r="D4094" s="121" t="n"/>
      <s:c r="E4094" s="122" t="n"/>
    </s:row>
    <s:row r="4095" hidden="1" ht="1" customHeight="1">
      <s:c r="A4095" s="120" t="inlineStr"/>
      <s:c r="B4095" s="121" t="n"/>
      <s:c r="C4095" s="121" t="n"/>
      <s:c r="D4095" s="121" t="n"/>
      <s:c r="E4095" s="122" t="n"/>
    </s:row>
    <s:row r="4096" hidden="1" ht="1" customHeight="1">
      <s:c r="A4096" s="120" t="inlineStr"/>
      <s:c r="B4096" s="121" t="n"/>
      <s:c r="C4096" s="121" t="n"/>
      <s:c r="D4096" s="121" t="n"/>
      <s:c r="E4096" s="122" t="n"/>
    </s:row>
    <s:row r="4097" hidden="1" ht="1" customHeight="1">
      <s:c r="A4097" s="120" t="inlineStr"/>
      <s:c r="B4097" s="121" t="n"/>
      <s:c r="C4097" s="121" t="n"/>
      <s:c r="D4097" s="121" t="n"/>
      <s:c r="E4097" s="122" t="n"/>
    </s:row>
    <s:row r="4098" hidden="1" ht="1" customHeight="1">
      <s:c r="A4098" s="120" t="inlineStr"/>
      <s:c r="B4098" s="121" t="n"/>
      <s:c r="C4098" s="121" t="n"/>
      <s:c r="D4098" s="121" t="n"/>
      <s:c r="E4098" s="122" t="n"/>
    </s:row>
    <s:row r="4099" hidden="1" ht="1" customHeight="1">
      <s:c r="A4099" s="120" t="inlineStr"/>
      <s:c r="B4099" s="121" t="n"/>
      <s:c r="C4099" s="121" t="n"/>
      <s:c r="D4099" s="121" t="n"/>
      <s:c r="E4099" s="122" t="n"/>
    </s:row>
    <s:row r="4100" hidden="1" ht="1" customHeight="1">
      <s:c r="A4100" s="120" t="inlineStr"/>
      <s:c r="B4100" s="121" t="n"/>
      <s:c r="C4100" s="121" t="n"/>
      <s:c r="D4100" s="121" t="n"/>
      <s:c r="E4100" s="122" t="n"/>
    </s:row>
    <s:row r="4101" hidden="1" ht="1" customHeight="1">
      <s:c r="A4101" s="120" t="inlineStr"/>
      <s:c r="B4101" s="121" t="n"/>
      <s:c r="C4101" s="121" t="n"/>
      <s:c r="D4101" s="121" t="n"/>
      <s:c r="E4101" s="122" t="n"/>
    </s:row>
    <s:row r="4102" hidden="1" ht="1" customHeight="1">
      <s:c r="A4102" s="120" t="inlineStr"/>
      <s:c r="B4102" s="121" t="n"/>
      <s:c r="C4102" s="121" t="n"/>
      <s:c r="D4102" s="121" t="n"/>
      <s:c r="E4102" s="122" t="n"/>
    </s:row>
    <s:row r="4103" hidden="1" ht="1" customHeight="1">
      <s:c r="A4103" s="120" t="inlineStr"/>
      <s:c r="B4103" s="121" t="n"/>
      <s:c r="C4103" s="121" t="n"/>
      <s:c r="D4103" s="121" t="n"/>
      <s:c r="E4103" s="122" t="n"/>
    </s:row>
    <s:row r="4104" hidden="1" ht="1" customHeight="1">
      <s:c r="A4104" s="120" t="inlineStr"/>
      <s:c r="B4104" s="121" t="n"/>
      <s:c r="C4104" s="121" t="n"/>
      <s:c r="D4104" s="121" t="n"/>
      <s:c r="E4104" s="122" t="n"/>
    </s:row>
    <s:row r="4105" hidden="1" ht="1" customHeight="1">
      <s:c r="A4105" s="120" t="inlineStr"/>
      <s:c r="B4105" s="121" t="n"/>
      <s:c r="C4105" s="121" t="n"/>
      <s:c r="D4105" s="121" t="n"/>
      <s:c r="E4105" s="122" t="n"/>
    </s:row>
    <s:row r="4106" hidden="1" ht="1" customHeight="1">
      <s:c r="A4106" s="120" t="inlineStr"/>
      <s:c r="B4106" s="121" t="n"/>
      <s:c r="C4106" s="121" t="n"/>
      <s:c r="D4106" s="121" t="n"/>
      <s:c r="E4106" s="122" t="n"/>
    </s:row>
    <s:row r="4107" hidden="1" ht="1" customHeight="1">
      <s:c r="A4107" s="120" t="inlineStr"/>
      <s:c r="B4107" s="121" t="n"/>
      <s:c r="C4107" s="121" t="n"/>
      <s:c r="D4107" s="121" t="n"/>
      <s:c r="E4107" s="122" t="n"/>
    </s:row>
    <s:row r="4108" hidden="1" ht="1" customHeight="1">
      <s:c r="A4108" s="120" t="inlineStr"/>
      <s:c r="B4108" s="121" t="n"/>
      <s:c r="C4108" s="121" t="n"/>
      <s:c r="D4108" s="121" t="n"/>
      <s:c r="E4108" s="122" t="n"/>
    </s:row>
    <s:row r="4109" hidden="1" ht="1" customHeight="1">
      <s:c r="A4109" s="120" t="inlineStr"/>
      <s:c r="B4109" s="121" t="n"/>
      <s:c r="C4109" s="121" t="n"/>
      <s:c r="D4109" s="121" t="n"/>
      <s:c r="E4109" s="122" t="n"/>
    </s:row>
    <s:row r="4110" hidden="1" ht="1" customHeight="1">
      <s:c r="A4110" s="120" t="inlineStr"/>
      <s:c r="B4110" s="121" t="n"/>
      <s:c r="C4110" s="121" t="n"/>
      <s:c r="D4110" s="121" t="n"/>
      <s:c r="E4110" s="122" t="n"/>
    </s:row>
    <s:row r="4111" hidden="1" ht="1" customHeight="1">
      <s:c r="A4111" s="120" t="inlineStr"/>
      <s:c r="B4111" s="121" t="n"/>
      <s:c r="C4111" s="121" t="n"/>
      <s:c r="D4111" s="121" t="n"/>
      <s:c r="E4111" s="122" t="n"/>
    </s:row>
    <s:row r="4112" hidden="1" ht="1" customHeight="1">
      <s:c r="A4112" s="120" t="inlineStr"/>
      <s:c r="B4112" s="121" t="n"/>
      <s:c r="C4112" s="121" t="n"/>
      <s:c r="D4112" s="121" t="n"/>
      <s:c r="E4112" s="122" t="n"/>
    </s:row>
    <s:row r="4113" hidden="1" ht="1" customHeight="1">
      <s:c r="A4113" s="120" t="inlineStr"/>
      <s:c r="B4113" s="121" t="n"/>
      <s:c r="C4113" s="121" t="n"/>
      <s:c r="D4113" s="121" t="n"/>
      <s:c r="E4113" s="122" t="n"/>
    </s:row>
    <s:row r="4114" hidden="1" ht="1" customHeight="1">
      <s:c r="A4114" s="120" t="inlineStr"/>
      <s:c r="B4114" s="121" t="n"/>
      <s:c r="C4114" s="121" t="n"/>
      <s:c r="D4114" s="121" t="n"/>
      <s:c r="E4114" s="122" t="n"/>
    </s:row>
    <s:row r="4115" hidden="1" ht="1" customHeight="1">
      <s:c r="A4115" s="120" t="inlineStr"/>
      <s:c r="B4115" s="121" t="n"/>
      <s:c r="C4115" s="121" t="n"/>
      <s:c r="D4115" s="121" t="n"/>
      <s:c r="E4115" s="122" t="n"/>
    </s:row>
    <s:row r="4116" hidden="1" ht="1" customHeight="1">
      <s:c r="A4116" s="120" t="inlineStr"/>
      <s:c r="B4116" s="121" t="n"/>
      <s:c r="C4116" s="121" t="n"/>
      <s:c r="D4116" s="121" t="n"/>
      <s:c r="E4116" s="122" t="n"/>
    </s:row>
    <s:row r="4117" hidden="1" ht="1" customHeight="1">
      <s:c r="A4117" s="120" t="inlineStr"/>
      <s:c r="B4117" s="121" t="n"/>
      <s:c r="C4117" s="121" t="n"/>
      <s:c r="D4117" s="121" t="n"/>
      <s:c r="E4117" s="122" t="n"/>
    </s:row>
    <s:row r="4118" hidden="1" ht="1" customHeight="1">
      <s:c r="A4118" s="120" t="inlineStr"/>
      <s:c r="B4118" s="121" t="n"/>
      <s:c r="C4118" s="121" t="n"/>
      <s:c r="D4118" s="121" t="n"/>
      <s:c r="E4118" s="122" t="n"/>
    </s:row>
    <s:row r="4119" hidden="1" ht="1" customHeight="1">
      <s:c r="A4119" s="120" t="inlineStr"/>
      <s:c r="B4119" s="121" t="n"/>
      <s:c r="C4119" s="121" t="n"/>
      <s:c r="D4119" s="121" t="n"/>
      <s:c r="E4119" s="122" t="n"/>
    </s:row>
    <s:row r="4120" hidden="1" ht="1" customHeight="1">
      <s:c r="A4120" s="120" t="inlineStr"/>
      <s:c r="B4120" s="121" t="n"/>
      <s:c r="C4120" s="121" t="n"/>
      <s:c r="D4120" s="121" t="n"/>
      <s:c r="E4120" s="122" t="n"/>
    </s:row>
    <s:row r="4121" hidden="1" ht="1" customHeight="1">
      <s:c r="A4121" s="120" t="inlineStr"/>
      <s:c r="B4121" s="121" t="n"/>
      <s:c r="C4121" s="121" t="n"/>
      <s:c r="D4121" s="121" t="n"/>
      <s:c r="E4121" s="122" t="n"/>
    </s:row>
    <s:row r="4122" hidden="1" ht="1" customHeight="1">
      <s:c r="A4122" s="120" t="inlineStr"/>
      <s:c r="B4122" s="121" t="n"/>
      <s:c r="C4122" s="121" t="n"/>
      <s:c r="D4122" s="121" t="n"/>
      <s:c r="E4122" s="122" t="n"/>
    </s:row>
    <s:row r="4123" hidden="1" ht="1" customHeight="1">
      <s:c r="A4123" s="120" t="inlineStr"/>
      <s:c r="B4123" s="121" t="n"/>
      <s:c r="C4123" s="121" t="n"/>
      <s:c r="D4123" s="121" t="n"/>
      <s:c r="E4123" s="122" t="n"/>
    </s:row>
    <s:row r="4124" hidden="1" ht="1" customHeight="1">
      <s:c r="A4124" s="120" t="inlineStr"/>
      <s:c r="B4124" s="121" t="n"/>
      <s:c r="C4124" s="121" t="n"/>
      <s:c r="D4124" s="121" t="n"/>
      <s:c r="E4124" s="122" t="n"/>
    </s:row>
    <s:row r="4125" hidden="1" ht="1" customHeight="1">
      <s:c r="A4125" s="120" t="inlineStr"/>
      <s:c r="B4125" s="121" t="n"/>
      <s:c r="C4125" s="121" t="n"/>
      <s:c r="D4125" s="121" t="n"/>
      <s:c r="E4125" s="122" t="n"/>
    </s:row>
    <s:row r="4126" hidden="1" ht="1" customHeight="1">
      <s:c r="A4126" s="120" t="inlineStr"/>
      <s:c r="B4126" s="121" t="n"/>
      <s:c r="C4126" s="121" t="n"/>
      <s:c r="D4126" s="121" t="n"/>
      <s:c r="E4126" s="122" t="n"/>
    </s:row>
    <s:row r="4127" hidden="1" ht="1" customHeight="1">
      <s:c r="A4127" s="120" t="inlineStr"/>
      <s:c r="B4127" s="121" t="n"/>
      <s:c r="C4127" s="121" t="n"/>
      <s:c r="D4127" s="121" t="n"/>
      <s:c r="E4127" s="122" t="n"/>
    </s:row>
    <s:row r="4128" hidden="1" ht="1" customHeight="1">
      <s:c r="A4128" s="120" t="inlineStr"/>
      <s:c r="B4128" s="121" t="n"/>
      <s:c r="C4128" s="121" t="n"/>
      <s:c r="D4128" s="121" t="n"/>
      <s:c r="E4128" s="122" t="n"/>
    </s:row>
    <s:row r="4129" hidden="1" ht="1" customHeight="1">
      <s:c r="A4129" s="120" t="inlineStr"/>
      <s:c r="B4129" s="121" t="n"/>
      <s:c r="C4129" s="121" t="n"/>
      <s:c r="D4129" s="121" t="n"/>
      <s:c r="E4129" s="122" t="n"/>
    </s:row>
    <s:row r="4130" hidden="1" ht="1" customHeight="1">
      <s:c r="A4130" s="120" t="inlineStr"/>
      <s:c r="B4130" s="121" t="n"/>
      <s:c r="C4130" s="121" t="n"/>
      <s:c r="D4130" s="121" t="n"/>
      <s:c r="E4130" s="122" t="n"/>
    </s:row>
    <s:row r="4131" hidden="1" ht="1" customHeight="1">
      <s:c r="A4131" s="120" t="inlineStr"/>
      <s:c r="B4131" s="121" t="n"/>
      <s:c r="C4131" s="121" t="n"/>
      <s:c r="D4131" s="121" t="n"/>
      <s:c r="E4131" s="122" t="n"/>
    </s:row>
    <s:row r="4132" hidden="1" ht="1" customHeight="1">
      <s:c r="A4132" s="120" t="inlineStr"/>
      <s:c r="B4132" s="121" t="n"/>
      <s:c r="C4132" s="121" t="n"/>
      <s:c r="D4132" s="121" t="n"/>
      <s:c r="E4132" s="122" t="n"/>
    </s:row>
    <s:row r="4133" hidden="1" ht="1" customHeight="1">
      <s:c r="A4133" s="120" t="inlineStr"/>
      <s:c r="B4133" s="121" t="n"/>
      <s:c r="C4133" s="121" t="n"/>
      <s:c r="D4133" s="121" t="n"/>
      <s:c r="E4133" s="122" t="n"/>
    </s:row>
    <s:row r="4134" hidden="1" ht="1" customHeight="1">
      <s:c r="A4134" s="120" t="inlineStr"/>
      <s:c r="B4134" s="121" t="n"/>
      <s:c r="C4134" s="121" t="n"/>
      <s:c r="D4134" s="121" t="n"/>
      <s:c r="E4134" s="122" t="n"/>
    </s:row>
    <s:row r="4135" hidden="1" ht="1" customHeight="1">
      <s:c r="A4135" s="120" t="inlineStr"/>
      <s:c r="B4135" s="121" t="n"/>
      <s:c r="C4135" s="121" t="n"/>
      <s:c r="D4135" s="121" t="n"/>
      <s:c r="E4135" s="122" t="n"/>
    </s:row>
    <s:row r="4136" hidden="1" ht="1" customHeight="1">
      <s:c r="A4136" s="120" t="inlineStr"/>
      <s:c r="B4136" s="121" t="n"/>
      <s:c r="C4136" s="121" t="n"/>
      <s:c r="D4136" s="121" t="n"/>
      <s:c r="E4136" s="122" t="n"/>
    </s:row>
    <s:row r="4137" hidden="1" ht="1" customHeight="1">
      <s:c r="A4137" s="120" t="inlineStr"/>
      <s:c r="B4137" s="121" t="n"/>
      <s:c r="C4137" s="121" t="n"/>
      <s:c r="D4137" s="121" t="n"/>
      <s:c r="E4137" s="122" t="n"/>
    </s:row>
    <s:row r="4138" hidden="1" ht="1" customHeight="1">
      <s:c r="A4138" s="120" t="inlineStr"/>
      <s:c r="B4138" s="121" t="n"/>
      <s:c r="C4138" s="121" t="n"/>
      <s:c r="D4138" s="121" t="n"/>
      <s:c r="E4138" s="122" t="n"/>
    </s:row>
    <s:row r="4139" hidden="1" ht="1" customHeight="1">
      <s:c r="A4139" s="120" t="inlineStr"/>
      <s:c r="B4139" s="121" t="n"/>
      <s:c r="C4139" s="121" t="n"/>
      <s:c r="D4139" s="121" t="n"/>
      <s:c r="E4139" s="122" t="n"/>
    </s:row>
    <s:row r="4140" hidden="1" ht="1" customHeight="1">
      <s:c r="A4140" s="120" t="inlineStr"/>
      <s:c r="B4140" s="121" t="n"/>
      <s:c r="C4140" s="121" t="n"/>
      <s:c r="D4140" s="121" t="n"/>
      <s:c r="E4140" s="122" t="n"/>
    </s:row>
    <s:row r="4141" hidden="1" ht="1" customHeight="1">
      <s:c r="A4141" s="120" t="inlineStr"/>
      <s:c r="B4141" s="121" t="n"/>
      <s:c r="C4141" s="121" t="n"/>
      <s:c r="D4141" s="121" t="n"/>
      <s:c r="E4141" s="122" t="n"/>
    </s:row>
    <s:row r="4142" hidden="1" ht="1" customHeight="1">
      <s:c r="A4142" s="120" t="inlineStr"/>
      <s:c r="B4142" s="121" t="n"/>
      <s:c r="C4142" s="121" t="n"/>
      <s:c r="D4142" s="121" t="n"/>
      <s:c r="E4142" s="122" t="n"/>
    </s:row>
    <s:row r="4143" hidden="1" ht="1" customHeight="1">
      <s:c r="A4143" s="120" t="inlineStr"/>
      <s:c r="B4143" s="121" t="n"/>
      <s:c r="C4143" s="121" t="n"/>
      <s:c r="D4143" s="121" t="n"/>
      <s:c r="E4143" s="122" t="n"/>
    </s:row>
    <s:row r="4144" hidden="1" ht="1" customHeight="1">
      <s:c r="A4144" s="120" t="inlineStr"/>
      <s:c r="B4144" s="121" t="n"/>
      <s:c r="C4144" s="121" t="n"/>
      <s:c r="D4144" s="121" t="n"/>
      <s:c r="E4144" s="122" t="n"/>
    </s:row>
    <s:row r="4145" hidden="1" ht="1" customHeight="1">
      <s:c r="A4145" s="120" t="inlineStr"/>
      <s:c r="B4145" s="121" t="n"/>
      <s:c r="C4145" s="121" t="n"/>
      <s:c r="D4145" s="121" t="n"/>
      <s:c r="E4145" s="122" t="n"/>
    </s:row>
    <s:row r="4146" hidden="1" ht="1" customHeight="1">
      <s:c r="A4146" s="120" t="inlineStr"/>
      <s:c r="B4146" s="121" t="n"/>
      <s:c r="C4146" s="121" t="n"/>
      <s:c r="D4146" s="121" t="n"/>
      <s:c r="E4146" s="122" t="n"/>
    </s:row>
    <s:row r="4147" hidden="1" ht="1" customHeight="1">
      <s:c r="A4147" s="120" t="inlineStr"/>
      <s:c r="B4147" s="121" t="n"/>
      <s:c r="C4147" s="121" t="n"/>
      <s:c r="D4147" s="121" t="n"/>
      <s:c r="E4147" s="122" t="n"/>
    </s:row>
    <s:row r="4148" hidden="1" ht="1" customHeight="1">
      <s:c r="A4148" s="120" t="inlineStr"/>
      <s:c r="B4148" s="121" t="n"/>
      <s:c r="C4148" s="121" t="n"/>
      <s:c r="D4148" s="121" t="n"/>
      <s:c r="E4148" s="122" t="n"/>
    </s:row>
    <s:row r="4149" hidden="1" ht="1" customHeight="1">
      <s:c r="A4149" s="120" t="inlineStr"/>
      <s:c r="B4149" s="121" t="n"/>
      <s:c r="C4149" s="121" t="n"/>
      <s:c r="D4149" s="121" t="n"/>
      <s:c r="E4149" s="122" t="n"/>
    </s:row>
    <s:row r="4150" hidden="1" ht="1" customHeight="1">
      <s:c r="A4150" s="120" t="inlineStr"/>
      <s:c r="B4150" s="121" t="n"/>
      <s:c r="C4150" s="121" t="n"/>
      <s:c r="D4150" s="121" t="n"/>
      <s:c r="E4150" s="122" t="n"/>
    </s:row>
    <s:row r="4151" hidden="1" ht="1" customHeight="1">
      <s:c r="A4151" s="120" t="inlineStr"/>
      <s:c r="B4151" s="121" t="n"/>
      <s:c r="C4151" s="121" t="n"/>
      <s:c r="D4151" s="121" t="n"/>
      <s:c r="E4151" s="122" t="n"/>
    </s:row>
    <s:row r="4152" hidden="1" ht="1" customHeight="1">
      <s:c r="A4152" s="120" t="inlineStr"/>
      <s:c r="B4152" s="121" t="n"/>
      <s:c r="C4152" s="121" t="n"/>
      <s:c r="D4152" s="121" t="n"/>
      <s:c r="E4152" s="122" t="n"/>
    </s:row>
    <s:row r="4153" hidden="1" ht="1" customHeight="1">
      <s:c r="A4153" s="120" t="inlineStr"/>
      <s:c r="B4153" s="121" t="n"/>
      <s:c r="C4153" s="121" t="n"/>
      <s:c r="D4153" s="121" t="n"/>
      <s:c r="E4153" s="122" t="n"/>
    </s:row>
    <s:row r="4154" hidden="1" ht="1" customHeight="1">
      <s:c r="A4154" s="120" t="inlineStr"/>
      <s:c r="B4154" s="121" t="n"/>
      <s:c r="C4154" s="121" t="n"/>
      <s:c r="D4154" s="121" t="n"/>
      <s:c r="E4154" s="122" t="n"/>
    </s:row>
    <s:row r="4155" hidden="1" ht="1" customHeight="1">
      <s:c r="A4155" s="120" t="inlineStr"/>
      <s:c r="B4155" s="121" t="n"/>
      <s:c r="C4155" s="121" t="n"/>
      <s:c r="D4155" s="121" t="n"/>
      <s:c r="E4155" s="122" t="n"/>
    </s:row>
    <s:row r="4156" hidden="1" ht="1" customHeight="1">
      <s:c r="A4156" s="120" t="inlineStr"/>
      <s:c r="B4156" s="121" t="n"/>
      <s:c r="C4156" s="121" t="n"/>
      <s:c r="D4156" s="121" t="n"/>
      <s:c r="E4156" s="122" t="n"/>
    </s:row>
    <s:row r="4157" hidden="1" ht="1" customHeight="1">
      <s:c r="A4157" s="120" t="inlineStr"/>
      <s:c r="B4157" s="121" t="n"/>
      <s:c r="C4157" s="121" t="n"/>
      <s:c r="D4157" s="121" t="n"/>
      <s:c r="E4157" s="122" t="n"/>
    </s:row>
    <s:row r="4158" hidden="1" ht="1" customHeight="1">
      <s:c r="A4158" s="120" t="inlineStr"/>
      <s:c r="B4158" s="121" t="n"/>
      <s:c r="C4158" s="121" t="n"/>
      <s:c r="D4158" s="121" t="n"/>
      <s:c r="E4158" s="122" t="n"/>
    </s:row>
    <s:row r="4159" hidden="1" ht="1" customHeight="1">
      <s:c r="A4159" s="120" t="inlineStr"/>
      <s:c r="B4159" s="121" t="n"/>
      <s:c r="C4159" s="121" t="n"/>
      <s:c r="D4159" s="121" t="n"/>
      <s:c r="E4159" s="122" t="n"/>
    </s:row>
    <s:row r="4160" hidden="1" ht="1" customHeight="1">
      <s:c r="A4160" s="120" t="inlineStr"/>
      <s:c r="B4160" s="121" t="n"/>
      <s:c r="C4160" s="121" t="n"/>
      <s:c r="D4160" s="121" t="n"/>
      <s:c r="E4160" s="122" t="n"/>
    </s:row>
    <s:row r="4161" hidden="1" ht="1" customHeight="1">
      <s:c r="A4161" s="120" t="inlineStr"/>
      <s:c r="B4161" s="121" t="n"/>
      <s:c r="C4161" s="121" t="n"/>
      <s:c r="D4161" s="121" t="n"/>
      <s:c r="E4161" s="122" t="n"/>
    </s:row>
    <s:row r="4162" hidden="1" ht="1" customHeight="1">
      <s:c r="A4162" s="120" t="inlineStr"/>
      <s:c r="B4162" s="121" t="n"/>
      <s:c r="C4162" s="121" t="n"/>
      <s:c r="D4162" s="121" t="n"/>
      <s:c r="E4162" s="122" t="n"/>
    </s:row>
    <s:row r="4163" hidden="1" ht="1" customHeight="1">
      <s:c r="A4163" s="120" t="inlineStr"/>
      <s:c r="B4163" s="121" t="n"/>
      <s:c r="C4163" s="121" t="n"/>
      <s:c r="D4163" s="121" t="n"/>
      <s:c r="E4163" s="122" t="n"/>
    </s:row>
    <s:row r="4164" hidden="1" ht="1" customHeight="1">
      <s:c r="A4164" s="120" t="inlineStr"/>
      <s:c r="B4164" s="121" t="n"/>
      <s:c r="C4164" s="121" t="n"/>
      <s:c r="D4164" s="121" t="n"/>
      <s:c r="E4164" s="122" t="n"/>
    </s:row>
    <s:row r="4165" hidden="1" ht="1" customHeight="1">
      <s:c r="A4165" s="120" t="inlineStr"/>
      <s:c r="B4165" s="121" t="n"/>
      <s:c r="C4165" s="121" t="n"/>
      <s:c r="D4165" s="121" t="n"/>
      <s:c r="E4165" s="122" t="n"/>
    </s:row>
    <s:row r="4166" hidden="1" ht="1" customHeight="1">
      <s:c r="A4166" s="120" t="inlineStr"/>
      <s:c r="B4166" s="121" t="n"/>
      <s:c r="C4166" s="121" t="n"/>
      <s:c r="D4166" s="121" t="n"/>
      <s:c r="E4166" s="122" t="n"/>
    </s:row>
    <s:row r="4167" hidden="1" ht="1" customHeight="1">
      <s:c r="A4167" s="120" t="inlineStr"/>
      <s:c r="B4167" s="121" t="n"/>
      <s:c r="C4167" s="121" t="n"/>
      <s:c r="D4167" s="121" t="n"/>
      <s:c r="E4167" s="122" t="n"/>
    </s:row>
    <s:row r="4168" hidden="1" ht="1" customHeight="1">
      <s:c r="A4168" s="120" t="inlineStr"/>
      <s:c r="B4168" s="121" t="n"/>
      <s:c r="C4168" s="121" t="n"/>
      <s:c r="D4168" s="121" t="n"/>
      <s:c r="E4168" s="122" t="n"/>
    </s:row>
    <s:row r="4169" hidden="1" ht="1" customHeight="1">
      <s:c r="A4169" s="120" t="inlineStr"/>
      <s:c r="B4169" s="121" t="n"/>
      <s:c r="C4169" s="121" t="n"/>
      <s:c r="D4169" s="121" t="n"/>
      <s:c r="E4169" s="122" t="n"/>
    </s:row>
    <s:row r="4170" hidden="1" ht="1" customHeight="1">
      <s:c r="A4170" s="120" t="inlineStr"/>
      <s:c r="B4170" s="121" t="n"/>
      <s:c r="C4170" s="121" t="n"/>
      <s:c r="D4170" s="121" t="n"/>
      <s:c r="E4170" s="122" t="n"/>
    </s:row>
    <s:row r="4171" hidden="1" ht="1" customHeight="1">
      <s:c r="A4171" s="120" t="inlineStr"/>
      <s:c r="B4171" s="121" t="n"/>
      <s:c r="C4171" s="121" t="n"/>
      <s:c r="D4171" s="121" t="n"/>
      <s:c r="E4171" s="122" t="n"/>
    </s:row>
    <s:row r="4172" hidden="1" ht="1" customHeight="1">
      <s:c r="A4172" s="120" t="inlineStr"/>
      <s:c r="B4172" s="121" t="n"/>
      <s:c r="C4172" s="121" t="n"/>
      <s:c r="D4172" s="121" t="n"/>
      <s:c r="E4172" s="122" t="n"/>
    </s:row>
    <s:row r="4173" hidden="1" ht="1" customHeight="1">
      <s:c r="A4173" s="120" t="inlineStr"/>
      <s:c r="B4173" s="121" t="n"/>
      <s:c r="C4173" s="121" t="n"/>
      <s:c r="D4173" s="121" t="n"/>
      <s:c r="E4173" s="122" t="n"/>
    </s:row>
    <s:row r="4174" hidden="1" ht="1" customHeight="1">
      <s:c r="A4174" s="120" t="inlineStr"/>
      <s:c r="B4174" s="121" t="n"/>
      <s:c r="C4174" s="121" t="n"/>
      <s:c r="D4174" s="121" t="n"/>
      <s:c r="E4174" s="122" t="n"/>
    </s:row>
    <s:row r="4175" hidden="1" ht="1" customHeight="1">
      <s:c r="A4175" s="120" t="inlineStr"/>
      <s:c r="B4175" s="121" t="n"/>
      <s:c r="C4175" s="121" t="n"/>
      <s:c r="D4175" s="121" t="n"/>
      <s:c r="E4175" s="122" t="n"/>
    </s:row>
    <s:row r="4176" hidden="1" ht="1" customHeight="1">
      <s:c r="A4176" s="120" t="inlineStr"/>
      <s:c r="B4176" s="121" t="n"/>
      <s:c r="C4176" s="121" t="n"/>
      <s:c r="D4176" s="121" t="n"/>
      <s:c r="E4176" s="122" t="n"/>
    </s:row>
    <s:row r="4177" hidden="1" ht="1" customHeight="1">
      <s:c r="A4177" s="120" t="inlineStr"/>
      <s:c r="B4177" s="121" t="n"/>
      <s:c r="C4177" s="121" t="n"/>
      <s:c r="D4177" s="121" t="n"/>
      <s:c r="E4177" s="122" t="n"/>
    </s:row>
    <s:row r="4178" hidden="1" ht="1" customHeight="1">
      <s:c r="A4178" s="120" t="inlineStr"/>
      <s:c r="B4178" s="121" t="n"/>
      <s:c r="C4178" s="121" t="n"/>
      <s:c r="D4178" s="121" t="n"/>
      <s:c r="E4178" s="122" t="n"/>
    </s:row>
    <s:row r="4179" hidden="1" ht="1" customHeight="1">
      <s:c r="A4179" s="120" t="inlineStr"/>
      <s:c r="B4179" s="121" t="n"/>
      <s:c r="C4179" s="121" t="n"/>
      <s:c r="D4179" s="121" t="n"/>
      <s:c r="E4179" s="122" t="n"/>
    </s:row>
    <s:row r="4180" hidden="1" ht="1" customHeight="1">
      <s:c r="A4180" s="120" t="inlineStr"/>
      <s:c r="B4180" s="121" t="n"/>
      <s:c r="C4180" s="121" t="n"/>
      <s:c r="D4180" s="121" t="n"/>
      <s:c r="E4180" s="122" t="n"/>
    </s:row>
    <s:row r="4181" hidden="1" ht="1" customHeight="1">
      <s:c r="A4181" s="120" t="inlineStr"/>
      <s:c r="B4181" s="121" t="n"/>
      <s:c r="C4181" s="121" t="n"/>
      <s:c r="D4181" s="121" t="n"/>
      <s:c r="E4181" s="122" t="n"/>
    </s:row>
    <s:row r="4182" hidden="1" ht="1" customHeight="1">
      <s:c r="A4182" s="120" t="inlineStr"/>
      <s:c r="B4182" s="121" t="n"/>
      <s:c r="C4182" s="121" t="n"/>
      <s:c r="D4182" s="121" t="n"/>
      <s:c r="E4182" s="122" t="n"/>
    </s:row>
    <s:row r="4183" hidden="1" ht="1" customHeight="1">
      <s:c r="A4183" s="120" t="inlineStr"/>
      <s:c r="B4183" s="121" t="n"/>
      <s:c r="C4183" s="121" t="n"/>
      <s:c r="D4183" s="121" t="n"/>
      <s:c r="E4183" s="122" t="n"/>
    </s:row>
    <s:row r="4184" hidden="1" ht="1" customHeight="1">
      <s:c r="A4184" s="120" t="inlineStr"/>
      <s:c r="B4184" s="121" t="n"/>
      <s:c r="C4184" s="121" t="n"/>
      <s:c r="D4184" s="121" t="n"/>
      <s:c r="E4184" s="122" t="n"/>
    </s:row>
    <s:row r="4185" hidden="1" ht="1" customHeight="1">
      <s:c r="A4185" s="120" t="inlineStr"/>
      <s:c r="B4185" s="121" t="n"/>
      <s:c r="C4185" s="121" t="n"/>
      <s:c r="D4185" s="121" t="n"/>
      <s:c r="E4185" s="122" t="n"/>
    </s:row>
    <s:row r="4186" hidden="1" ht="1" customHeight="1">
      <s:c r="A4186" s="120" t="inlineStr"/>
      <s:c r="B4186" s="121" t="n"/>
      <s:c r="C4186" s="121" t="n"/>
      <s:c r="D4186" s="121" t="n"/>
      <s:c r="E4186" s="122" t="n"/>
    </s:row>
    <s:row r="4187" hidden="1" ht="1" customHeight="1">
      <s:c r="A4187" s="120" t="inlineStr"/>
      <s:c r="B4187" s="121" t="n"/>
      <s:c r="C4187" s="121" t="n"/>
      <s:c r="D4187" s="121" t="n"/>
      <s:c r="E4187" s="122" t="n"/>
    </s:row>
    <s:row r="4188" hidden="1" ht="1" customHeight="1">
      <s:c r="A4188" s="120" t="inlineStr"/>
      <s:c r="B4188" s="121" t="n"/>
      <s:c r="C4188" s="121" t="n"/>
      <s:c r="D4188" s="121" t="n"/>
      <s:c r="E4188" s="122" t="n"/>
    </s:row>
    <s:row r="4189" hidden="1" ht="1" customHeight="1">
      <s:c r="A4189" s="120" t="inlineStr"/>
      <s:c r="B4189" s="121" t="n"/>
      <s:c r="C4189" s="121" t="n"/>
      <s:c r="D4189" s="121" t="n"/>
      <s:c r="E4189" s="122" t="n"/>
    </s:row>
    <s:row r="4190" hidden="1" ht="1" customHeight="1">
      <s:c r="A4190" s="120" t="inlineStr"/>
      <s:c r="B4190" s="121" t="n"/>
      <s:c r="C4190" s="121" t="n"/>
      <s:c r="D4190" s="121" t="n"/>
      <s:c r="E4190" s="122" t="n"/>
    </s:row>
    <s:row r="4191" hidden="1" ht="1" customHeight="1">
      <s:c r="A4191" s="120" t="inlineStr"/>
      <s:c r="B4191" s="121" t="n"/>
      <s:c r="C4191" s="121" t="n"/>
      <s:c r="D4191" s="121" t="n"/>
      <s:c r="E4191" s="122" t="n"/>
    </s:row>
    <s:row r="4192" hidden="1" ht="1" customHeight="1">
      <s:c r="A4192" s="120" t="inlineStr"/>
      <s:c r="B4192" s="121" t="n"/>
      <s:c r="C4192" s="121" t="n"/>
      <s:c r="D4192" s="121" t="n"/>
      <s:c r="E4192" s="122" t="n"/>
    </s:row>
    <s:row r="4193" hidden="1" ht="1" customHeight="1">
      <s:c r="A4193" s="120" t="inlineStr"/>
      <s:c r="B4193" s="121" t="n"/>
      <s:c r="C4193" s="121" t="n"/>
      <s:c r="D4193" s="121" t="n"/>
      <s:c r="E4193" s="122" t="n"/>
    </s:row>
    <s:row r="4194" hidden="1" ht="1" customHeight="1">
      <s:c r="A4194" s="120" t="inlineStr"/>
      <s:c r="B4194" s="121" t="n"/>
      <s:c r="C4194" s="121" t="n"/>
      <s:c r="D4194" s="121" t="n"/>
      <s:c r="E4194" s="122" t="n"/>
    </s:row>
    <s:row r="4195" hidden="1" ht="1" customHeight="1">
      <s:c r="A4195" s="120" t="inlineStr"/>
      <s:c r="B4195" s="121" t="n"/>
      <s:c r="C4195" s="121" t="n"/>
      <s:c r="D4195" s="121" t="n"/>
      <s:c r="E4195" s="122" t="n"/>
    </s:row>
    <s:row r="4196" hidden="1" ht="1" customHeight="1">
      <s:c r="A4196" s="120" t="inlineStr"/>
      <s:c r="B4196" s="121" t="n"/>
      <s:c r="C4196" s="121" t="n"/>
      <s:c r="D4196" s="121" t="n"/>
      <s:c r="E4196" s="122" t="n"/>
    </s:row>
    <s:row r="4197" hidden="1" ht="1" customHeight="1">
      <s:c r="A4197" s="120" t="inlineStr"/>
      <s:c r="B4197" s="121" t="n"/>
      <s:c r="C4197" s="121" t="n"/>
      <s:c r="D4197" s="121" t="n"/>
      <s:c r="E4197" s="122" t="n"/>
    </s:row>
    <s:row r="4198" hidden="1" ht="1" customHeight="1">
      <s:c r="A4198" s="120" t="inlineStr"/>
      <s:c r="B4198" s="121" t="n"/>
      <s:c r="C4198" s="121" t="n"/>
      <s:c r="D4198" s="121" t="n"/>
      <s:c r="E4198" s="122" t="n"/>
    </s:row>
    <s:row r="4199" hidden="1" ht="1" customHeight="1">
      <s:c r="A4199" s="120" t="inlineStr"/>
      <s:c r="B4199" s="121" t="n"/>
      <s:c r="C4199" s="121" t="n"/>
      <s:c r="D4199" s="121" t="n"/>
      <s:c r="E4199" s="122" t="n"/>
    </s:row>
    <s:row r="4200" hidden="1" ht="1" customHeight="1">
      <s:c r="A4200" s="120" t="inlineStr"/>
      <s:c r="B4200" s="121" t="n"/>
      <s:c r="C4200" s="121" t="n"/>
      <s:c r="D4200" s="121" t="n"/>
      <s:c r="E4200" s="122" t="n"/>
    </s:row>
    <s:row r="4201" hidden="1" ht="1" customHeight="1">
      <s:c r="A4201" s="120" t="inlineStr"/>
      <s:c r="B4201" s="121" t="n"/>
      <s:c r="C4201" s="121" t="n"/>
      <s:c r="D4201" s="121" t="n"/>
      <s:c r="E4201" s="122" t="n"/>
    </s:row>
    <s:row r="4202" hidden="1" ht="1" customHeight="1">
      <s:c r="A4202" s="120" t="inlineStr"/>
      <s:c r="B4202" s="121" t="n"/>
      <s:c r="C4202" s="121" t="n"/>
      <s:c r="D4202" s="121" t="n"/>
      <s:c r="E4202" s="122" t="n"/>
    </s:row>
    <s:row r="4203" hidden="1" ht="1" customHeight="1">
      <s:c r="A4203" s="120" t="inlineStr"/>
      <s:c r="B4203" s="121" t="n"/>
      <s:c r="C4203" s="121" t="n"/>
      <s:c r="D4203" s="121" t="n"/>
      <s:c r="E4203" s="122" t="n"/>
    </s:row>
    <s:row r="4204" hidden="1" ht="1" customHeight="1">
      <s:c r="A4204" s="120" t="inlineStr"/>
      <s:c r="B4204" s="121" t="n"/>
      <s:c r="C4204" s="121" t="n"/>
      <s:c r="D4204" s="121" t="n"/>
      <s:c r="E4204" s="122" t="n"/>
    </s:row>
    <s:row r="4205" hidden="1" ht="1" customHeight="1">
      <s:c r="A4205" s="120" t="inlineStr"/>
      <s:c r="B4205" s="121" t="n"/>
      <s:c r="C4205" s="121" t="n"/>
      <s:c r="D4205" s="121" t="n"/>
      <s:c r="E4205" s="122" t="n"/>
    </s:row>
    <s:row r="4206" hidden="1" ht="1" customHeight="1">
      <s:c r="A4206" s="120" t="inlineStr"/>
      <s:c r="B4206" s="121" t="n"/>
      <s:c r="C4206" s="121" t="n"/>
      <s:c r="D4206" s="121" t="n"/>
      <s:c r="E4206" s="122" t="n"/>
    </s:row>
    <s:row r="4207" hidden="1" ht="1" customHeight="1">
      <s:c r="A4207" s="120" t="inlineStr"/>
      <s:c r="B4207" s="121" t="n"/>
      <s:c r="C4207" s="121" t="n"/>
      <s:c r="D4207" s="121" t="n"/>
      <s:c r="E4207" s="122" t="n"/>
    </s:row>
    <s:row r="4208" hidden="1" ht="1" customHeight="1">
      <s:c r="A4208" s="120" t="inlineStr"/>
      <s:c r="B4208" s="121" t="n"/>
      <s:c r="C4208" s="121" t="n"/>
      <s:c r="D4208" s="121" t="n"/>
      <s:c r="E4208" s="122" t="n"/>
    </s:row>
    <s:row r="4209" hidden="1" ht="1" customHeight="1">
      <s:c r="A4209" s="120" t="inlineStr"/>
      <s:c r="B4209" s="121" t="n"/>
      <s:c r="C4209" s="121" t="n"/>
      <s:c r="D4209" s="121" t="n"/>
      <s:c r="E4209" s="122" t="n"/>
    </s:row>
    <s:row r="4210" hidden="1" ht="1" customHeight="1">
      <s:c r="A4210" s="120" t="inlineStr"/>
      <s:c r="B4210" s="121" t="n"/>
      <s:c r="C4210" s="121" t="n"/>
      <s:c r="D4210" s="121" t="n"/>
      <s:c r="E4210" s="122" t="n"/>
    </s:row>
    <s:row r="4211" hidden="1" ht="1" customHeight="1">
      <s:c r="A4211" s="120" t="inlineStr"/>
      <s:c r="B4211" s="121" t="n"/>
      <s:c r="C4211" s="121" t="n"/>
      <s:c r="D4211" s="121" t="n"/>
      <s:c r="E4211" s="122" t="n"/>
    </s:row>
    <s:row r="4212" hidden="1" ht="1" customHeight="1">
      <s:c r="A4212" s="120" t="inlineStr"/>
      <s:c r="B4212" s="121" t="n"/>
      <s:c r="C4212" s="121" t="n"/>
      <s:c r="D4212" s="121" t="n"/>
      <s:c r="E4212" s="122" t="n"/>
    </s:row>
    <s:row r="4213" hidden="1" ht="1" customHeight="1">
      <s:c r="A4213" s="120" t="inlineStr"/>
      <s:c r="B4213" s="121" t="n"/>
      <s:c r="C4213" s="121" t="n"/>
      <s:c r="D4213" s="121" t="n"/>
      <s:c r="E4213" s="122" t="n"/>
    </s:row>
    <s:row r="4214" hidden="1" ht="1" customHeight="1">
      <s:c r="A4214" s="120" t="inlineStr"/>
      <s:c r="B4214" s="121" t="n"/>
      <s:c r="C4214" s="121" t="n"/>
      <s:c r="D4214" s="121" t="n"/>
      <s:c r="E4214" s="122" t="n"/>
    </s:row>
    <s:row r="4215" hidden="1" ht="1" customHeight="1">
      <s:c r="A4215" s="120" t="inlineStr"/>
      <s:c r="B4215" s="121" t="n"/>
      <s:c r="C4215" s="121" t="n"/>
      <s:c r="D4215" s="121" t="n"/>
      <s:c r="E4215" s="122" t="n"/>
    </s:row>
    <s:row r="4216" hidden="1" ht="1" customHeight="1">
      <s:c r="A4216" s="120" t="inlineStr"/>
      <s:c r="B4216" s="121" t="n"/>
      <s:c r="C4216" s="121" t="n"/>
      <s:c r="D4216" s="121" t="n"/>
      <s:c r="E4216" s="122" t="n"/>
    </s:row>
    <s:row r="4217" hidden="1" ht="1" customHeight="1">
      <s:c r="A4217" s="120" t="inlineStr"/>
      <s:c r="B4217" s="121" t="n"/>
      <s:c r="C4217" s="121" t="n"/>
      <s:c r="D4217" s="121" t="n"/>
      <s:c r="E4217" s="122" t="n"/>
    </s:row>
    <s:row r="4218" hidden="1" ht="1" customHeight="1">
      <s:c r="A4218" s="120" t="inlineStr"/>
      <s:c r="B4218" s="121" t="n"/>
      <s:c r="C4218" s="121" t="n"/>
      <s:c r="D4218" s="121" t="n"/>
      <s:c r="E4218" s="122" t="n"/>
    </s:row>
    <s:row r="4219" hidden="1" ht="1" customHeight="1">
      <s:c r="A4219" s="120" t="inlineStr"/>
      <s:c r="B4219" s="121" t="n"/>
      <s:c r="C4219" s="121" t="n"/>
      <s:c r="D4219" s="121" t="n"/>
      <s:c r="E4219" s="122" t="n"/>
    </s:row>
    <s:row r="4220" hidden="1" ht="1" customHeight="1">
      <s:c r="A4220" s="120" t="inlineStr"/>
      <s:c r="B4220" s="121" t="n"/>
      <s:c r="C4220" s="121" t="n"/>
      <s:c r="D4220" s="121" t="n"/>
      <s:c r="E4220" s="122" t="n"/>
    </s:row>
    <s:row r="4221" hidden="1" ht="1" customHeight="1">
      <s:c r="A4221" s="120" t="inlineStr"/>
      <s:c r="B4221" s="121" t="n"/>
      <s:c r="C4221" s="121" t="n"/>
      <s:c r="D4221" s="121" t="n"/>
      <s:c r="E4221" s="122" t="n"/>
    </s:row>
    <s:row r="4222" hidden="1" ht="1" customHeight="1">
      <s:c r="A4222" s="120" t="inlineStr"/>
      <s:c r="B4222" s="121" t="n"/>
      <s:c r="C4222" s="121" t="n"/>
      <s:c r="D4222" s="121" t="n"/>
      <s:c r="E4222" s="122" t="n"/>
    </s:row>
    <s:row r="4223" hidden="1" ht="1" customHeight="1">
      <s:c r="A4223" s="120" t="inlineStr"/>
      <s:c r="B4223" s="121" t="n"/>
      <s:c r="C4223" s="121" t="n"/>
      <s:c r="D4223" s="121" t="n"/>
      <s:c r="E4223" s="122" t="n"/>
    </s:row>
    <s:row r="4224" hidden="1" ht="1" customHeight="1">
      <s:c r="A4224" s="120" t="inlineStr"/>
      <s:c r="B4224" s="121" t="n"/>
      <s:c r="C4224" s="121" t="n"/>
      <s:c r="D4224" s="121" t="n"/>
      <s:c r="E4224" s="122" t="n"/>
    </s:row>
    <s:row r="4225" hidden="1" ht="1" customHeight="1">
      <s:c r="A4225" s="120" t="inlineStr"/>
      <s:c r="B4225" s="121" t="n"/>
      <s:c r="C4225" s="121" t="n"/>
      <s:c r="D4225" s="121" t="n"/>
      <s:c r="E4225" s="122" t="n"/>
    </s:row>
    <s:row r="4226" hidden="1" ht="1" customHeight="1">
      <s:c r="A4226" s="120" t="inlineStr"/>
      <s:c r="B4226" s="121" t="n"/>
      <s:c r="C4226" s="121" t="n"/>
      <s:c r="D4226" s="121" t="n"/>
      <s:c r="E4226" s="122" t="n"/>
    </s:row>
    <s:row r="4227" hidden="1" ht="1" customHeight="1">
      <s:c r="A4227" s="120" t="inlineStr"/>
      <s:c r="B4227" s="121" t="n"/>
      <s:c r="C4227" s="121" t="n"/>
      <s:c r="D4227" s="121" t="n"/>
      <s:c r="E4227" s="122" t="n"/>
    </s:row>
    <s:row r="4228" hidden="1" ht="1" customHeight="1">
      <s:c r="A4228" s="120" t="inlineStr"/>
      <s:c r="B4228" s="121" t="n"/>
      <s:c r="C4228" s="121" t="n"/>
      <s:c r="D4228" s="121" t="n"/>
      <s:c r="E4228" s="122" t="n"/>
    </s:row>
    <s:row r="4229" hidden="1" ht="1" customHeight="1">
      <s:c r="A4229" s="120" t="inlineStr"/>
      <s:c r="B4229" s="121" t="n"/>
      <s:c r="C4229" s="121" t="n"/>
      <s:c r="D4229" s="121" t="n"/>
      <s:c r="E4229" s="122" t="n"/>
    </s:row>
    <s:row r="4230" hidden="1" ht="1" customHeight="1">
      <s:c r="A4230" s="120" t="inlineStr"/>
      <s:c r="B4230" s="121" t="n"/>
      <s:c r="C4230" s="121" t="n"/>
      <s:c r="D4230" s="121" t="n"/>
      <s:c r="E4230" s="122" t="n"/>
    </s:row>
    <s:row r="4231" hidden="1" ht="1" customHeight="1">
      <s:c r="A4231" s="120" t="inlineStr"/>
      <s:c r="B4231" s="121" t="n"/>
      <s:c r="C4231" s="121" t="n"/>
      <s:c r="D4231" s="121" t="n"/>
      <s:c r="E4231" s="122" t="n"/>
    </s:row>
    <s:row r="4232" hidden="1" ht="1" customHeight="1">
      <s:c r="A4232" s="120" t="inlineStr"/>
      <s:c r="B4232" s="121" t="n"/>
      <s:c r="C4232" s="121" t="n"/>
      <s:c r="D4232" s="121" t="n"/>
      <s:c r="E4232" s="122" t="n"/>
    </s:row>
    <s:row r="4233" hidden="1" ht="1" customHeight="1">
      <s:c r="A4233" s="120" t="inlineStr"/>
      <s:c r="B4233" s="121" t="n"/>
      <s:c r="C4233" s="121" t="n"/>
      <s:c r="D4233" s="121" t="n"/>
      <s:c r="E4233" s="122" t="n"/>
    </s:row>
    <s:row r="4234" hidden="1" ht="1" customHeight="1">
      <s:c r="A4234" s="120" t="inlineStr"/>
      <s:c r="B4234" s="121" t="n"/>
      <s:c r="C4234" s="121" t="n"/>
      <s:c r="D4234" s="121" t="n"/>
      <s:c r="E4234" s="122" t="n"/>
    </s:row>
    <s:row r="4235" hidden="1" ht="1" customHeight="1">
      <s:c r="A4235" s="120" t="inlineStr"/>
      <s:c r="B4235" s="121" t="n"/>
      <s:c r="C4235" s="121" t="n"/>
      <s:c r="D4235" s="121" t="n"/>
      <s:c r="E4235" s="122" t="n"/>
    </s:row>
    <s:row r="4236" hidden="1" ht="1" customHeight="1">
      <s:c r="A4236" s="120" t="inlineStr"/>
      <s:c r="B4236" s="121" t="n"/>
      <s:c r="C4236" s="121" t="n"/>
      <s:c r="D4236" s="121" t="n"/>
      <s:c r="E4236" s="122" t="n"/>
    </s:row>
    <s:row r="4237" hidden="1" ht="1" customHeight="1">
      <s:c r="A4237" s="120" t="inlineStr"/>
      <s:c r="B4237" s="121" t="n"/>
      <s:c r="C4237" s="121" t="n"/>
      <s:c r="D4237" s="121" t="n"/>
      <s:c r="E4237" s="122" t="n"/>
    </s:row>
    <s:row r="4238" hidden="1" ht="1" customHeight="1">
      <s:c r="A4238" s="120" t="inlineStr"/>
      <s:c r="B4238" s="121" t="n"/>
      <s:c r="C4238" s="121" t="n"/>
      <s:c r="D4238" s="121" t="n"/>
      <s:c r="E4238" s="122" t="n"/>
    </s:row>
    <s:row r="4239" hidden="1" ht="1" customHeight="1">
      <s:c r="A4239" s="120" t="inlineStr"/>
      <s:c r="B4239" s="121" t="n"/>
      <s:c r="C4239" s="121" t="n"/>
      <s:c r="D4239" s="121" t="n"/>
      <s:c r="E4239" s="122" t="n"/>
    </s:row>
    <s:row r="4240" hidden="1" ht="1" customHeight="1">
      <s:c r="A4240" s="120" t="inlineStr"/>
      <s:c r="B4240" s="121" t="n"/>
      <s:c r="C4240" s="121" t="n"/>
      <s:c r="D4240" s="121" t="n"/>
      <s:c r="E4240" s="122" t="n"/>
    </s:row>
    <s:row r="4241" hidden="1" ht="1" customHeight="1">
      <s:c r="A4241" s="120" t="inlineStr"/>
      <s:c r="B4241" s="121" t="n"/>
      <s:c r="C4241" s="121" t="n"/>
      <s:c r="D4241" s="121" t="n"/>
      <s:c r="E4241" s="122" t="n"/>
    </s:row>
    <s:row r="4242" hidden="1" ht="1" customHeight="1">
      <s:c r="A4242" s="120" t="inlineStr"/>
      <s:c r="B4242" s="121" t="n"/>
      <s:c r="C4242" s="121" t="n"/>
      <s:c r="D4242" s="121" t="n"/>
      <s:c r="E4242" s="122" t="n"/>
    </s:row>
    <s:row r="4243" hidden="1" ht="1" customHeight="1">
      <s:c r="A4243" s="120" t="inlineStr"/>
      <s:c r="B4243" s="121" t="n"/>
      <s:c r="C4243" s="121" t="n"/>
      <s:c r="D4243" s="121" t="n"/>
      <s:c r="E4243" s="122" t="n"/>
    </s:row>
    <s:row r="4244" hidden="1" ht="1" customHeight="1">
      <s:c r="A4244" s="120" t="inlineStr"/>
      <s:c r="B4244" s="121" t="n"/>
      <s:c r="C4244" s="121" t="n"/>
      <s:c r="D4244" s="121" t="n"/>
      <s:c r="E4244" s="122" t="n"/>
    </s:row>
    <s:row r="4245" hidden="1" ht="1" customHeight="1">
      <s:c r="A4245" s="120" t="inlineStr"/>
      <s:c r="B4245" s="121" t="n"/>
      <s:c r="C4245" s="121" t="n"/>
      <s:c r="D4245" s="121" t="n"/>
      <s:c r="E4245" s="122" t="n"/>
    </s:row>
    <s:row r="4246" hidden="1" ht="1" customHeight="1">
      <s:c r="A4246" s="120" t="inlineStr"/>
      <s:c r="B4246" s="121" t="n"/>
      <s:c r="C4246" s="121" t="n"/>
      <s:c r="D4246" s="121" t="n"/>
      <s:c r="E4246" s="122" t="n"/>
    </s:row>
    <s:row r="4247" hidden="1" ht="1" customHeight="1">
      <s:c r="A4247" s="120" t="inlineStr"/>
      <s:c r="B4247" s="121" t="n"/>
      <s:c r="C4247" s="121" t="n"/>
      <s:c r="D4247" s="121" t="n"/>
      <s:c r="E4247" s="122" t="n"/>
    </s:row>
    <s:row r="4248" hidden="1" ht="1" customHeight="1">
      <s:c r="A4248" s="120" t="inlineStr"/>
      <s:c r="B4248" s="121" t="n"/>
      <s:c r="C4248" s="121" t="n"/>
      <s:c r="D4248" s="121" t="n"/>
      <s:c r="E4248" s="122" t="n"/>
    </s:row>
    <s:row r="4249" hidden="1" ht="1" customHeight="1">
      <s:c r="A4249" s="120" t="inlineStr"/>
      <s:c r="B4249" s="121" t="n"/>
      <s:c r="C4249" s="121" t="n"/>
      <s:c r="D4249" s="121" t="n"/>
      <s:c r="E4249" s="122" t="n"/>
    </s:row>
    <s:row r="4250" hidden="1" ht="1" customHeight="1">
      <s:c r="A4250" s="120" t="inlineStr"/>
      <s:c r="B4250" s="121" t="n"/>
      <s:c r="C4250" s="121" t="n"/>
      <s:c r="D4250" s="121" t="n"/>
      <s:c r="E4250" s="122" t="n"/>
    </s:row>
    <s:row r="4251" hidden="1" ht="1" customHeight="1">
      <s:c r="A4251" s="120" t="inlineStr"/>
      <s:c r="B4251" s="121" t="n"/>
      <s:c r="C4251" s="121" t="n"/>
      <s:c r="D4251" s="121" t="n"/>
      <s:c r="E4251" s="122" t="n"/>
    </s:row>
    <s:row r="4252" hidden="1" ht="1" customHeight="1">
      <s:c r="A4252" s="120" t="inlineStr"/>
      <s:c r="B4252" s="121" t="n"/>
      <s:c r="C4252" s="121" t="n"/>
      <s:c r="D4252" s="121" t="n"/>
      <s:c r="E4252" s="122" t="n"/>
    </s:row>
    <s:row r="4253" hidden="1" ht="1" customHeight="1">
      <s:c r="A4253" s="120" t="inlineStr"/>
      <s:c r="B4253" s="121" t="n"/>
      <s:c r="C4253" s="121" t="n"/>
      <s:c r="D4253" s="121" t="n"/>
      <s:c r="E4253" s="122" t="n"/>
    </s:row>
    <s:row r="4254" hidden="1" ht="1" customHeight="1">
      <s:c r="A4254" s="120" t="inlineStr"/>
      <s:c r="B4254" s="121" t="n"/>
      <s:c r="C4254" s="121" t="n"/>
      <s:c r="D4254" s="121" t="n"/>
      <s:c r="E4254" s="122" t="n"/>
    </s:row>
    <s:row r="4255" hidden="1" ht="1" customHeight="1">
      <s:c r="A4255" s="120" t="inlineStr"/>
      <s:c r="B4255" s="121" t="n"/>
      <s:c r="C4255" s="121" t="n"/>
      <s:c r="D4255" s="121" t="n"/>
      <s:c r="E4255" s="122" t="n"/>
    </s:row>
    <s:row r="4256" hidden="1" ht="1" customHeight="1">
      <s:c r="A4256" s="120" t="inlineStr"/>
      <s:c r="B4256" s="121" t="n"/>
      <s:c r="C4256" s="121" t="n"/>
      <s:c r="D4256" s="121" t="n"/>
      <s:c r="E4256" s="122" t="n"/>
    </s:row>
    <s:row r="4257" hidden="1" ht="1" customHeight="1">
      <s:c r="A4257" s="120" t="inlineStr"/>
      <s:c r="B4257" s="121" t="n"/>
      <s:c r="C4257" s="121" t="n"/>
      <s:c r="D4257" s="121" t="n"/>
      <s:c r="E4257" s="122" t="n"/>
    </s:row>
    <s:row r="4258" hidden="1" ht="1" customHeight="1">
      <s:c r="A4258" s="120" t="inlineStr"/>
      <s:c r="B4258" s="121" t="n"/>
      <s:c r="C4258" s="121" t="n"/>
      <s:c r="D4258" s="121" t="n"/>
      <s:c r="E4258" s="122" t="n"/>
    </s:row>
    <s:row r="4259" hidden="1" ht="1" customHeight="1">
      <s:c r="A4259" s="120" t="inlineStr"/>
      <s:c r="B4259" s="121" t="n"/>
      <s:c r="C4259" s="121" t="n"/>
      <s:c r="D4259" s="121" t="n"/>
      <s:c r="E4259" s="122" t="n"/>
    </s:row>
    <s:row r="4260" hidden="1" ht="1" customHeight="1">
      <s:c r="A4260" s="120" t="inlineStr"/>
      <s:c r="B4260" s="121" t="n"/>
      <s:c r="C4260" s="121" t="n"/>
      <s:c r="D4260" s="121" t="n"/>
      <s:c r="E4260" s="122" t="n"/>
    </s:row>
    <s:row r="4261" hidden="1" ht="1" customHeight="1">
      <s:c r="A4261" s="120" t="inlineStr"/>
      <s:c r="B4261" s="121" t="n"/>
      <s:c r="C4261" s="121" t="n"/>
      <s:c r="D4261" s="121" t="n"/>
      <s:c r="E4261" s="122" t="n"/>
    </s:row>
    <s:row r="4262" hidden="1" ht="1" customHeight="1">
      <s:c r="A4262" s="120" t="inlineStr"/>
      <s:c r="B4262" s="121" t="n"/>
      <s:c r="C4262" s="121" t="n"/>
      <s:c r="D4262" s="121" t="n"/>
      <s:c r="E4262" s="122" t="n"/>
    </s:row>
    <s:row r="4263" hidden="1" ht="1" customHeight="1">
      <s:c r="A4263" s="120" t="inlineStr"/>
      <s:c r="B4263" s="121" t="n"/>
      <s:c r="C4263" s="121" t="n"/>
      <s:c r="D4263" s="121" t="n"/>
      <s:c r="E4263" s="122" t="n"/>
    </s:row>
    <s:row r="4264" hidden="1" ht="1" customHeight="1">
      <s:c r="A4264" s="120" t="inlineStr"/>
      <s:c r="B4264" s="121" t="n"/>
      <s:c r="C4264" s="121" t="n"/>
      <s:c r="D4264" s="121" t="n"/>
      <s:c r="E4264" s="122" t="n"/>
    </s:row>
    <s:row r="4265" hidden="1" ht="1" customHeight="1">
      <s:c r="A4265" s="120" t="inlineStr"/>
      <s:c r="B4265" s="121" t="n"/>
      <s:c r="C4265" s="121" t="n"/>
      <s:c r="D4265" s="121" t="n"/>
      <s:c r="E4265" s="122" t="n"/>
    </s:row>
    <s:row r="4266" hidden="1" ht="1" customHeight="1">
      <s:c r="A4266" s="120" t="inlineStr"/>
      <s:c r="B4266" s="121" t="n"/>
      <s:c r="C4266" s="121" t="n"/>
      <s:c r="D4266" s="121" t="n"/>
      <s:c r="E4266" s="122" t="n"/>
    </s:row>
    <s:row r="4267" hidden="1" ht="1" customHeight="1">
      <s:c r="A4267" s="120" t="inlineStr"/>
      <s:c r="B4267" s="121" t="n"/>
      <s:c r="C4267" s="121" t="n"/>
      <s:c r="D4267" s="121" t="n"/>
      <s:c r="E4267" s="122" t="n"/>
    </s:row>
    <s:row r="4268" hidden="1" ht="1" customHeight="1">
      <s:c r="A4268" s="120" t="inlineStr"/>
      <s:c r="B4268" s="121" t="n"/>
      <s:c r="C4268" s="121" t="n"/>
      <s:c r="D4268" s="121" t="n"/>
      <s:c r="E4268" s="122" t="n"/>
    </s:row>
    <s:row r="4269" hidden="1" ht="1" customHeight="1">
      <s:c r="A4269" s="120" t="inlineStr"/>
      <s:c r="B4269" s="121" t="n"/>
      <s:c r="C4269" s="121" t="n"/>
      <s:c r="D4269" s="121" t="n"/>
      <s:c r="E4269" s="122" t="n"/>
    </s:row>
    <s:row r="4270" hidden="1" ht="1" customHeight="1">
      <s:c r="A4270" s="120" t="inlineStr"/>
      <s:c r="B4270" s="121" t="n"/>
      <s:c r="C4270" s="121" t="n"/>
      <s:c r="D4270" s="121" t="n"/>
      <s:c r="E4270" s="122" t="n"/>
    </s:row>
    <s:row r="4271" hidden="1" ht="1" customHeight="1">
      <s:c r="A4271" s="120" t="inlineStr"/>
      <s:c r="B4271" s="121" t="n"/>
      <s:c r="C4271" s="121" t="n"/>
      <s:c r="D4271" s="121" t="n"/>
      <s:c r="E4271" s="122" t="n"/>
    </s:row>
    <s:row r="4272" hidden="1" ht="1" customHeight="1">
      <s:c r="A4272" s="120" t="inlineStr"/>
      <s:c r="B4272" s="121" t="n"/>
      <s:c r="C4272" s="121" t="n"/>
      <s:c r="D4272" s="121" t="n"/>
      <s:c r="E4272" s="122" t="n"/>
    </s:row>
    <s:row r="4273" hidden="1" ht="1" customHeight="1">
      <s:c r="A4273" s="120" t="inlineStr"/>
      <s:c r="B4273" s="121" t="n"/>
      <s:c r="C4273" s="121" t="n"/>
      <s:c r="D4273" s="121" t="n"/>
      <s:c r="E4273" s="122" t="n"/>
    </s:row>
    <s:row r="4274" hidden="1" ht="1" customHeight="1">
      <s:c r="A4274" s="120" t="inlineStr"/>
      <s:c r="B4274" s="121" t="n"/>
      <s:c r="C4274" s="121" t="n"/>
      <s:c r="D4274" s="121" t="n"/>
      <s:c r="E4274" s="122" t="n"/>
    </s:row>
    <s:row r="4275" hidden="1" ht="1" customHeight="1">
      <s:c r="A4275" s="120" t="inlineStr"/>
      <s:c r="B4275" s="121" t="n"/>
      <s:c r="C4275" s="121" t="n"/>
      <s:c r="D4275" s="121" t="n"/>
      <s:c r="E4275" s="122" t="n"/>
    </s:row>
    <s:row r="4276" hidden="1" ht="1" customHeight="1">
      <s:c r="A4276" s="120" t="inlineStr"/>
      <s:c r="B4276" s="121" t="n"/>
      <s:c r="C4276" s="121" t="n"/>
      <s:c r="D4276" s="121" t="n"/>
      <s:c r="E4276" s="122" t="n"/>
    </s:row>
    <s:row r="4277" hidden="1" ht="1" customHeight="1">
      <s:c r="A4277" s="120" t="inlineStr"/>
      <s:c r="B4277" s="121" t="n"/>
      <s:c r="C4277" s="121" t="n"/>
      <s:c r="D4277" s="121" t="n"/>
      <s:c r="E4277" s="122" t="n"/>
    </s:row>
    <s:row r="4278" hidden="1" ht="1" customHeight="1">
      <s:c r="A4278" s="120" t="inlineStr"/>
      <s:c r="B4278" s="121" t="n"/>
      <s:c r="C4278" s="121" t="n"/>
      <s:c r="D4278" s="121" t="n"/>
      <s:c r="E4278" s="122" t="n"/>
    </s:row>
    <s:row r="4279" hidden="1" ht="1" customHeight="1">
      <s:c r="A4279" s="120" t="inlineStr"/>
      <s:c r="B4279" s="121" t="n"/>
      <s:c r="C4279" s="121" t="n"/>
      <s:c r="D4279" s="121" t="n"/>
      <s:c r="E4279" s="122" t="n"/>
    </s:row>
    <s:row r="4280" hidden="1" ht="1" customHeight="1">
      <s:c r="A4280" s="120" t="inlineStr"/>
      <s:c r="B4280" s="121" t="n"/>
      <s:c r="C4280" s="121" t="n"/>
      <s:c r="D4280" s="121" t="n"/>
      <s:c r="E4280" s="122" t="n"/>
    </s:row>
    <s:row r="4281" hidden="1" ht="1" customHeight="1">
      <s:c r="A4281" s="120" t="inlineStr"/>
      <s:c r="B4281" s="121" t="n"/>
      <s:c r="C4281" s="121" t="n"/>
      <s:c r="D4281" s="121" t="n"/>
      <s:c r="E4281" s="122" t="n"/>
    </s:row>
    <s:row r="4282" hidden="1" ht="1" customHeight="1">
      <s:c r="A4282" s="120" t="inlineStr"/>
      <s:c r="B4282" s="121" t="n"/>
      <s:c r="C4282" s="121" t="n"/>
      <s:c r="D4282" s="121" t="n"/>
      <s:c r="E4282" s="122" t="n"/>
    </s:row>
    <s:row r="4283" hidden="1" ht="1" customHeight="1">
      <s:c r="A4283" s="120" t="inlineStr"/>
      <s:c r="B4283" s="121" t="n"/>
      <s:c r="C4283" s="121" t="n"/>
      <s:c r="D4283" s="121" t="n"/>
      <s:c r="E4283" s="122" t="n"/>
    </s:row>
    <s:row r="4284" hidden="1" ht="1" customHeight="1">
      <s:c r="A4284" s="120" t="inlineStr"/>
      <s:c r="B4284" s="121" t="n"/>
      <s:c r="C4284" s="121" t="n"/>
      <s:c r="D4284" s="121" t="n"/>
      <s:c r="E4284" s="122" t="n"/>
    </s:row>
    <s:row r="4285" hidden="1" ht="1" customHeight="1">
      <s:c r="A4285" s="120" t="inlineStr"/>
      <s:c r="B4285" s="121" t="n"/>
      <s:c r="C4285" s="121" t="n"/>
      <s:c r="D4285" s="121" t="n"/>
      <s:c r="E4285" s="122" t="n"/>
    </s:row>
    <s:row r="4286" hidden="1" ht="1" customHeight="1">
      <s:c r="A4286" s="120" t="inlineStr"/>
      <s:c r="B4286" s="121" t="n"/>
      <s:c r="C4286" s="121" t="n"/>
      <s:c r="D4286" s="121" t="n"/>
      <s:c r="E4286" s="122" t="n"/>
    </s:row>
    <s:row r="4287" hidden="1" ht="1" customHeight="1">
      <s:c r="A4287" s="120" t="inlineStr"/>
      <s:c r="B4287" s="121" t="n"/>
      <s:c r="C4287" s="121" t="n"/>
      <s:c r="D4287" s="121" t="n"/>
      <s:c r="E4287" s="122" t="n"/>
    </s:row>
    <s:row r="4288" hidden="1" ht="1" customHeight="1">
      <s:c r="A4288" s="120" t="inlineStr"/>
      <s:c r="B4288" s="121" t="n"/>
      <s:c r="C4288" s="121" t="n"/>
      <s:c r="D4288" s="121" t="n"/>
      <s:c r="E4288" s="122" t="n"/>
    </s:row>
    <s:row r="4289" hidden="1" ht="1" customHeight="1">
      <s:c r="A4289" s="120" t="inlineStr"/>
      <s:c r="B4289" s="121" t="n"/>
      <s:c r="C4289" s="121" t="n"/>
      <s:c r="D4289" s="121" t="n"/>
      <s:c r="E4289" s="122" t="n"/>
    </s:row>
    <s:row r="4290" hidden="1" ht="1" customHeight="1">
      <s:c r="A4290" s="120" t="inlineStr"/>
      <s:c r="B4290" s="121" t="n"/>
      <s:c r="C4290" s="121" t="n"/>
      <s:c r="D4290" s="121" t="n"/>
      <s:c r="E4290" s="122" t="n"/>
    </s:row>
    <s:row r="4291" hidden="1" ht="1" customHeight="1">
      <s:c r="A4291" s="120" t="inlineStr"/>
      <s:c r="B4291" s="121" t="n"/>
      <s:c r="C4291" s="121" t="n"/>
      <s:c r="D4291" s="121" t="n"/>
      <s:c r="E4291" s="122" t="n"/>
    </s:row>
    <s:row r="4292" hidden="1" ht="1" customHeight="1">
      <s:c r="A4292" s="120" t="inlineStr"/>
      <s:c r="B4292" s="121" t="n"/>
      <s:c r="C4292" s="121" t="n"/>
      <s:c r="D4292" s="121" t="n"/>
      <s:c r="E4292" s="122" t="n"/>
    </s:row>
    <s:row r="4293" hidden="1" ht="1" customHeight="1">
      <s:c r="A4293" s="120" t="inlineStr"/>
      <s:c r="B4293" s="121" t="n"/>
      <s:c r="C4293" s="121" t="n"/>
      <s:c r="D4293" s="121" t="n"/>
      <s:c r="E4293" s="122" t="n"/>
    </s:row>
    <s:row r="4294" hidden="1" ht="1" customHeight="1">
      <s:c r="A4294" s="120" t="inlineStr"/>
      <s:c r="B4294" s="121" t="n"/>
      <s:c r="C4294" s="121" t="n"/>
      <s:c r="D4294" s="121" t="n"/>
      <s:c r="E4294" s="122" t="n"/>
    </s:row>
    <s:row r="4295" hidden="1" ht="1" customHeight="1">
      <s:c r="A4295" s="120" t="inlineStr"/>
      <s:c r="B4295" s="121" t="n"/>
      <s:c r="C4295" s="121" t="n"/>
      <s:c r="D4295" s="121" t="n"/>
      <s:c r="E4295" s="122" t="n"/>
    </s:row>
    <s:row r="4296" hidden="1" ht="1" customHeight="1">
      <s:c r="A4296" s="120" t="inlineStr"/>
      <s:c r="B4296" s="121" t="n"/>
      <s:c r="C4296" s="121" t="n"/>
      <s:c r="D4296" s="121" t="n"/>
      <s:c r="E4296" s="122" t="n"/>
    </s:row>
    <s:row r="4297" hidden="1" ht="1" customHeight="1">
      <s:c r="A4297" s="120" t="inlineStr"/>
      <s:c r="B4297" s="121" t="n"/>
      <s:c r="C4297" s="121" t="n"/>
      <s:c r="D4297" s="121" t="n"/>
      <s:c r="E4297" s="122" t="n"/>
    </s:row>
    <s:row r="4298" hidden="1" ht="1" customHeight="1">
      <s:c r="A4298" s="120" t="inlineStr"/>
      <s:c r="B4298" s="121" t="n"/>
      <s:c r="C4298" s="121" t="n"/>
      <s:c r="D4298" s="121" t="n"/>
      <s:c r="E4298" s="122" t="n"/>
    </s:row>
    <s:row r="4299" hidden="1" ht="1" customHeight="1">
      <s:c r="A4299" s="120" t="inlineStr"/>
      <s:c r="B4299" s="121" t="n"/>
      <s:c r="C4299" s="121" t="n"/>
      <s:c r="D4299" s="121" t="n"/>
      <s:c r="E4299" s="122" t="n"/>
    </s:row>
    <s:row r="4300" hidden="1" ht="1" customHeight="1">
      <s:c r="A4300" s="120" t="inlineStr"/>
      <s:c r="B4300" s="121" t="n"/>
      <s:c r="C4300" s="121" t="n"/>
      <s:c r="D4300" s="121" t="n"/>
      <s:c r="E4300" s="122" t="n"/>
    </s:row>
    <s:row r="4301" hidden="1" ht="1" customHeight="1">
      <s:c r="A4301" s="120" t="inlineStr"/>
      <s:c r="B4301" s="121" t="n"/>
      <s:c r="C4301" s="121" t="n"/>
      <s:c r="D4301" s="121" t="n"/>
      <s:c r="E4301" s="122" t="n"/>
    </s:row>
    <s:row r="4302" hidden="1" ht="1" customHeight="1">
      <s:c r="A4302" s="120" t="inlineStr"/>
      <s:c r="B4302" s="121" t="n"/>
      <s:c r="C4302" s="121" t="n"/>
      <s:c r="D4302" s="121" t="n"/>
      <s:c r="E4302" s="122" t="n"/>
    </s:row>
    <s:row r="4303" hidden="1" ht="1" customHeight="1">
      <s:c r="A4303" s="120" t="inlineStr"/>
      <s:c r="B4303" s="121" t="n"/>
      <s:c r="C4303" s="121" t="n"/>
      <s:c r="D4303" s="121" t="n"/>
      <s:c r="E4303" s="122" t="n"/>
    </s:row>
    <s:row r="4304" hidden="1" ht="1" customHeight="1">
      <s:c r="A4304" s="120" t="inlineStr"/>
      <s:c r="B4304" s="121" t="n"/>
      <s:c r="C4304" s="121" t="n"/>
      <s:c r="D4304" s="121" t="n"/>
      <s:c r="E4304" s="122" t="n"/>
    </s:row>
    <s:row r="4305" hidden="1" ht="1" customHeight="1">
      <s:c r="A4305" s="120" t="inlineStr"/>
      <s:c r="B4305" s="121" t="n"/>
      <s:c r="C4305" s="121" t="n"/>
      <s:c r="D4305" s="121" t="n"/>
      <s:c r="E4305" s="122" t="n"/>
    </s:row>
    <s:row r="4306" hidden="1" ht="1" customHeight="1">
      <s:c r="A4306" s="120" t="inlineStr"/>
      <s:c r="B4306" s="121" t="n"/>
      <s:c r="C4306" s="121" t="n"/>
      <s:c r="D4306" s="121" t="n"/>
      <s:c r="E4306" s="122" t="n"/>
    </s:row>
    <s:row r="4307" hidden="1" ht="1" customHeight="1">
      <s:c r="A4307" s="120" t="inlineStr"/>
      <s:c r="B4307" s="121" t="n"/>
      <s:c r="C4307" s="121" t="n"/>
      <s:c r="D4307" s="121" t="n"/>
      <s:c r="E4307" s="122" t="n"/>
    </s:row>
    <s:row r="4308" hidden="1" ht="1" customHeight="1">
      <s:c r="A4308" s="120" t="inlineStr"/>
      <s:c r="B4308" s="121" t="n"/>
      <s:c r="C4308" s="121" t="n"/>
      <s:c r="D4308" s="121" t="n"/>
      <s:c r="E4308" s="122" t="n"/>
    </s:row>
    <s:row r="4309" hidden="1" ht="1" customHeight="1">
      <s:c r="A4309" s="120" t="inlineStr"/>
      <s:c r="B4309" s="121" t="n"/>
      <s:c r="C4309" s="121" t="n"/>
      <s:c r="D4309" s="121" t="n"/>
      <s:c r="E4309" s="122" t="n"/>
    </s:row>
    <s:row r="4310" hidden="1" ht="1" customHeight="1">
      <s:c r="A4310" s="120" t="inlineStr"/>
      <s:c r="B4310" s="121" t="n"/>
      <s:c r="C4310" s="121" t="n"/>
      <s:c r="D4310" s="121" t="n"/>
      <s:c r="E4310" s="122" t="n"/>
    </s:row>
    <s:row r="4311" hidden="1" ht="1" customHeight="1">
      <s:c r="A4311" s="120" t="inlineStr"/>
      <s:c r="B4311" s="121" t="n"/>
      <s:c r="C4311" s="121" t="n"/>
      <s:c r="D4311" s="121" t="n"/>
      <s:c r="E4311" s="122" t="n"/>
    </s:row>
    <s:row r="4312" hidden="1" ht="1" customHeight="1">
      <s:c r="A4312" s="120" t="inlineStr"/>
      <s:c r="B4312" s="121" t="n"/>
      <s:c r="C4312" s="121" t="n"/>
      <s:c r="D4312" s="121" t="n"/>
      <s:c r="E4312" s="122" t="n"/>
    </s:row>
    <s:row r="4313" hidden="1" ht="1" customHeight="1">
      <s:c r="A4313" s="120" t="inlineStr"/>
      <s:c r="B4313" s="121" t="n"/>
      <s:c r="C4313" s="121" t="n"/>
      <s:c r="D4313" s="121" t="n"/>
      <s:c r="E4313" s="122" t="n"/>
    </s:row>
    <s:row r="4314" hidden="1" ht="1" customHeight="1">
      <s:c r="A4314" s="120" t="inlineStr"/>
      <s:c r="B4314" s="121" t="n"/>
      <s:c r="C4314" s="121" t="n"/>
      <s:c r="D4314" s="121" t="n"/>
      <s:c r="E4314" s="122" t="n"/>
    </s:row>
    <s:row r="4315" hidden="1" ht="1" customHeight="1">
      <s:c r="A4315" s="120" t="inlineStr"/>
      <s:c r="B4315" s="121" t="n"/>
      <s:c r="C4315" s="121" t="n"/>
      <s:c r="D4315" s="121" t="n"/>
      <s:c r="E4315" s="122" t="n"/>
    </s:row>
    <s:row r="4316" hidden="1" ht="1" customHeight="1">
      <s:c r="A4316" s="120" t="inlineStr"/>
      <s:c r="B4316" s="121" t="n"/>
      <s:c r="C4316" s="121" t="n"/>
      <s:c r="D4316" s="121" t="n"/>
      <s:c r="E4316" s="122" t="n"/>
    </s:row>
    <s:row r="4317" hidden="1" ht="1" customHeight="1">
      <s:c r="A4317" s="83" t="inlineStr">
        <s:is>
          <s:t>PASS</s:t>
        </s:is>
      </s:c>
      <s:c r="B4317" s="83">
        <s:f>SUM(IF(EXACT('Kiểm thử'!E3867,"Đạt"),1,0),IF(EXACT('Kiểm thử'!E3869,"Đạt"),1,0),IF(EXACT('Kiểm thử'!E3871,"Đạt"),1,0),IF(EXACT('Kiểm thử'!E3873,"Đạt"),1,0),IF(EXACT('Kiểm thử'!E3875,"Đạt"),1,0),IF(EXACT('Kiểm thử'!E3877,"Đạt"),1,0),IF(EXACT('Kiểm thử'!E3879,"Đạt"),1,0),IF(EXACT('Kiểm thử'!E3881,"Đạt"),1,0),IF(EXACT('Kiểm thử'!E3883,"Đạt"),1,0))</s:f>
        <s:v/>
      </s:c>
      <s:c r="C4317" s="19" t="n"/>
      <s:c r="D4317" s="19" t="n"/>
      <s:c r="E4317" s="19" t="n"/>
    </s:row>
    <s:row r="4318" hidden="1" ht="1" customHeight="1">
      <s:c r="A4318" s="83" t="inlineStr">
        <s:is>
          <s:t>FAIL</s:t>
        </s:is>
      </s:c>
      <s:c r="B4318" s="83">
        <s:f>SUM(IF(EXACT('Kiểm thử'!E3867,"Không đạt"),1,0),IF(EXACT('Kiểm thử'!E3869,"Không đạt"),1,0),IF(EXACT('Kiểm thử'!E3871,"Không đạt"),1,0),IF(EXACT('Kiểm thử'!E3873,"Không đạt"),1,0),IF(EXACT('Kiểm thử'!E3875,"Không đạt"),1,0),IF(EXACT('Kiểm thử'!E3877,"Không đạt"),1,0),IF(EXACT('Kiểm thử'!E3879,"Không đạt"),1,0),IF(EXACT('Kiểm thử'!E3881,"Không đạt"),1,0),IF(EXACT('Kiểm thử'!E3883,"Không đạt"),1,0))</s:f>
        <s:v/>
      </s:c>
      <s:c r="C4318" s="19" t="n"/>
      <s:c r="D4318" s="19" t="n"/>
      <s:c r="E4318" s="19" t="n"/>
    </s:row>
    <s:row r="4319" hidden="1" ht="1" customHeight="1">
      <s:c r="A4319" s="83" t="inlineStr">
        <s:is>
          <s:t>BLOCKED</s:t>
        </s:is>
      </s:c>
      <s:c r="B4319" s="83">
        <s:f>SUM(IF(EXACT('Kiểm thử'!E3867,"Bị chặn"),1,0),IF(EXACT('Kiểm thử'!E3869,"Bị chặn"),1,0),IF(EXACT('Kiểm thử'!E3871,"Bị chặn"),1,0),IF(EXACT('Kiểm thử'!E3873,"Bị chặn"),1,0),IF(EXACT('Kiểm thử'!E3875,"Bị chặn"),1,0),IF(EXACT('Kiểm thử'!E3877,"Bị chặn"),1,0),IF(EXACT('Kiểm thử'!E3879,"Bị chặn"),1,0),IF(EXACT('Kiểm thử'!E3881,"Bị chặn"),1,0),IF(EXACT('Kiểm thử'!E3883,"Bị chặn"),1,0))</s:f>
        <s:v/>
      </s:c>
      <s:c r="C4319" s="19" t="n"/>
      <s:c r="D4319" s="19" t="n"/>
      <s:c r="E4319" s="19" t="n"/>
    </s:row>
    <s:row r="4320" hidden="1" ht="1" customHeight="1">
      <s:c r="A4320" s="83" t="inlineStr">
        <s:is>
          <s:t>SKIPPED</s:t>
        </s:is>
      </s:c>
      <s:c r="B4320" s="83">
        <s:f>SUM(IF(EXACT('Kiểm thử'!E3867,"Không thực hiện"),1,0),IF(EXACT('Kiểm thử'!E3869,"Không thực hiện"),1,0),IF(EXACT('Kiểm thử'!E3871,"Không thực hiện"),1,0),IF(EXACT('Kiểm thử'!E3873,"Không thực hiện"),1,0),IF(EXACT('Kiểm thử'!E3875,"Không thực hiện"),1,0),IF(EXACT('Kiểm thử'!E3877,"Không thực hiện"),1,0),IF(EXACT('Kiểm thử'!E3879,"Không thực hiện"),1,0),IF(EXACT('Kiểm thử'!E3881,"Không thực hiện"),1,0),IF(EXACT('Kiểm thử'!E3883,"Không thực hiện"),1,0))</s:f>
        <s:v/>
      </s:c>
      <s:c r="C4320" s="19" t="n"/>
      <s:c r="D4320" s="19" t="n"/>
      <s:c r="E4320" s="19" t="n"/>
    </s:row>
    <s:row r="4321" hidden="1" ht="1" customHeight="1">
      <s:c r="A4321" s="83" t="inlineStr">
        <s:is>
          <s:t>NOT RUN</s:t>
        </s:is>
      </s:c>
      <s:c r="B4321" s="83">
        <s:f>SUM(IF(EXACT('Kiểm thử'!E3867,"Chưa thực hiện"),1,0),IF(EXACT('Kiểm thử'!E3869,"Chưa thực hiện"),1,0),IF(EXACT('Kiểm thử'!E3871,"Chưa thực hiện"),1,0),IF(EXACT('Kiểm thử'!E3873,"Chưa thực hiện"),1,0),IF(EXACT('Kiểm thử'!E3875,"Chưa thực hiện"),1,0),IF(EXACT('Kiểm thử'!E3877,"Chưa thực hiện"),1,0),IF(EXACT('Kiểm thử'!E3879,"Chưa thực hiện"),1,0),IF(EXACT('Kiểm thử'!E3881,"Chưa thực hiện"),1,0),IF(EXACT('Kiểm thử'!E3883,"Chưa thực hiện"),1,0))</s:f>
        <s:v/>
      </s:c>
      <s:c r="C4321" s="19" t="n"/>
      <s:c r="D4321" s="19" t="n"/>
      <s:c r="E4321" s="19" t="n"/>
    </s:row>
    <s:row r="4322" hidden="1" ht="6" customHeight="1">
      <s:c r="A4322" s="83" t="inlineStr"/>
      <s:c r="B4322" s="19" t="n"/>
      <s:c r="C4322" s="19" t="n"/>
      <s:c r="D4322" s="19" t="n"/>
      <s:c r="E4322" s="19" t="n"/>
    </s:row>
    <s:row r="4323" ht="28" customHeight="1">
      <s:c r="A4323" s="108" t="inlineStr">
        <s:is>
          <s:t>TC-RS-UI-008 — Màn Điều kiện áp dụng（適用条件設定）: bố cục và chuyển Toàn bộ/Bộ lọc</s:t>
        </s:is>
      </s:c>
      <s:c r="B4323" s="111" t="n"/>
      <s:c r="C4323" s="111" t="n"/>
      <s:c r="D4323" s="111" t="n"/>
      <s:c r="E4323" s="111" t="n"/>
    </s:row>
    <s:row r="4324" ht="20" customHeight="1">
      <s:c r="A4324" s="112" t="inlineStr">
        <s:is>
          <s:t>Kết quả tình huống</s:t>
        </s:is>
      </s:c>
      <s:c r="B4324" s="113">
        <s:f>IF(SUM(IF(EXACT('Kiểm thử'!E4333,"Không đạt"),1,0))&gt;0,"Không đạt",IF(SUM(IF(EXACT('Kiểm thử'!E4333,"Đạt"),1,0))=1,"Đạt",IF(SUM(IF(EXACT('Kiểm thử'!E4333,"Không thực hiện"),1,0))=1,"Không thực hiện",IF(SUM(IF(EXACT('Kiểm thử'!E4333,"Bị chặn"),1,0))&gt;0,"Bị chặn",IF(SUM(IF(EXACT('Kiểm thử'!E4333,"Chưa thực hiện"),1,0))=1,"Chưa thực hiện","Đang thực hiện")))))</s:f>
        <s:v/>
      </s:c>
      <s:c r="C4324" s="114" t="n"/>
      <s:c r="D4324" s="114" t="n"/>
      <s:c r="E4324" s="114" t="n"/>
    </s:row>
    <s:row r="4325" ht="20" customHeight="1">
      <s:c r="A4325" s="112" t="inlineStr">
        <s:is>
          <s:t>Màn hình / chức năng</s:t>
        </s:is>
      </s:c>
      <s:c r="B4325" s="113" t="inlineStr">
        <s:is>
          <s:r>
            <s:rPr>
              <s:b val="1"/>
            </s:rPr>
            <s:t>Điều kiện áp dụng（適用条件）</s:t>
          </s:r>
        </s:is>
      </s:c>
      <s:c r="C4325" s="28" t="n"/>
      <s:c r="D4325" s="28" t="n"/>
      <s:c r="E4325" s="28" t="n"/>
    </s:row>
    <s:row r="4326" ht="20" customHeight="1">
      <s:c r="A4326" s="112" t="inlineStr">
        <s:is>
          <s:t>Cấu hình</s:t>
        </s:is>
      </s:c>
      <s:c r="B4326" s="113" t="inlineStr">
        <s:is>
          <s:r>
            <s:t>• Mở thêm quy tắc cho mục số thập phân (</s:t>
          </s:r>
          <s:r>
            <s:rPr>
              <s:b val="1"/>
            </s:rPr>
            <s:t>M=100</s:t>
          </s:r>
          <s:r>
            <s:t>).</s:t>
          </s:r>
        </s:is>
      </s:c>
      <s:c r="C4326" s="28" t="n"/>
      <s:c r="D4326" s="28" t="n"/>
      <s:c r="E4326" s="28" t="n"/>
    </s:row>
    <s:row r="4327" ht="20" customHeight="1">
      <s:c r="A4327" s="112" t="inlineStr">
        <s:is>
          <s:t>Dữ liệu test</s:t>
        </s:is>
      </s:c>
      <s:c r="B4327" s="113" t="inlineStr">
        <s:is>
          <s:r>
            <s:t>• Mục số thập phân (</s:t>
          </s:r>
          <s:r>
            <s:rPr>
              <s:b val="1"/>
            </s:rPr>
            <s:t>M=100</s:t>
          </s:r>
          <s:r>
            <s:t>)</s:t>
          </s:r>
        </s:is>
      </s:c>
      <s:c r="C4327" s="28" t="n"/>
      <s:c r="D4327" s="28" t="n"/>
      <s:c r="E4327" s="28" t="n"/>
    </s:row>
    <s:row r="4328" ht="20" customHeight="1">
      <s:c r="A4328" s="112" t="inlineStr">
        <s:is>
          <s:t>Bước 1</s:t>
        </s:is>
      </s:c>
      <s:c r="B4328" s="113" t="inlineStr">
        <s:is>
          <s:t>Đối chiếu bố cục và đọc nguyên văn hướng dẫn điều kiện.</s:t>
        </s:is>
      </s:c>
      <s:c r="C4328" s="28" t="n"/>
      <s:c r="D4328" s="28" t="n"/>
      <s:c r="E4328" s="28" t="n"/>
    </s:row>
    <s:row r="4329" ht="20" customHeight="1">
      <s:c r="A4329" s="112" t="inlineStr">
        <s:is>
          <s:t>Bước 2</s:t>
        </s:is>
      </s:c>
      <s:c r="B4329" s="113" t="inlineStr">
        <s:is>
          <s:r>
            <s:t xml:space="preserve">Chọn </s:t>
          </s:r>
          <s:r>
            <s:rPr>
              <s:b val="1"/>
            </s:rPr>
            <s:t>Toàn bộ đối tượng（全員が対象）</s:t>
          </s:r>
          <s:r>
            <s:t>.</s:t>
          </s:r>
        </s:is>
      </s:c>
      <s:c r="C4329" s="28" t="n"/>
      <s:c r="D4329" s="28" t="n"/>
      <s:c r="E4329" s="28" t="n"/>
    </s:row>
    <s:row r="4330" ht="34" customHeight="1">
      <s:c r="A4330" s="112" t="inlineStr">
        <s:is>
          <s:t>Bước 3</s:t>
        </s:is>
      </s:c>
      <s:c r="B4330" s="113" t="inlineStr">
        <s:is>
          <s:r>
            <s:t xml:space="preserve">Chọn Giới </s:t>
          </s:r>
          <s:r>
            <s:rPr>
              <s:b val="1"/>
            </s:rPr>
            <s:t>hạn bằng bộ lọc（特定条件で絞り込む）</s:t>
          </s:r>
          <s:r>
            <s:t>, thêm hai điều kiện cùng loại và hai điều kiện khác loại.</s:t>
          </s:r>
        </s:is>
      </s:c>
      <s:c r="C4330" s="28" t="n"/>
      <s:c r="D4330" s="28" t="n"/>
      <s:c r="E4330" s="28" t="n"/>
    </s:row>
    <s:row r="4331" ht="28" customHeight="1">
      <s:c r="A4331" s="115" t="inlineStr">
        <s:is>
          <s:t>Trường hợp</s:t>
        </s:is>
      </s:c>
      <s:c r="B4331" s="115" t="inlineStr">
        <s:is>
          <s:t>Dữ liệu / thao tác riêng</s:t>
        </s:is>
      </s:c>
      <s:c r="C4331" s="115" t="inlineStr">
        <s:is>
          <s:t>Kết quả mong đợi</s:t>
        </s:is>
      </s:c>
      <s:c r="D4331" s="115" t="inlineStr">
        <s:is>
          <s:t>Kết quả thực tế</s:t>
        </s:is>
      </s:c>
      <s:c r="E4331" s="115" t="inlineStr">
        <s:is>
          <s:t>Đánh giá</s:t>
        </s:is>
      </s:c>
    </s:row>
    <s:row r="4332" ht="3" customHeight="1">
      <s:c r="A4332" s="102" t="inlineStr"/>
      <s:c r="B4332" s="99" t="n"/>
      <s:c r="C4332" s="99" t="n"/>
      <s:c r="D4332" s="116" t="n"/>
      <s:c r="E4332" s="116" t="n"/>
    </s:row>
    <s:row r="4333" ht="174" customHeight="1">
      <s:c r="A4333" s="83" t="inlineStr">
        <s:is>
          <s:t>Trường hợp cơ bản (Base)</s:t>
        </s:is>
      </s:c>
      <s:c r="B4333" s="83" t="inlineStr">
        <s:is>
          <s:t>Toàn bộ tình huống: Thực hiện đủ các bước chung theo thứ tự; kiểm cả đối tượng đích và đối chứng cùng fixture, không bỏ bước.</s:t>
        </s:is>
      </s:c>
      <s:c r="C4333" s="83" t="inlineStr">
        <s:is>
          <s:r>
            <s:t xml:space="preserve">1. Có các phần tử như Source.
2. Không hiện </s:t>
          </s:r>
          <s:r>
            <s:rPr>
              <s:b val="1"/>
            </s:rPr>
            <s:t>vùng Điều kiện lọc（絞り込み条件）</s:t>
          </s:r>
          <s:r>
            <s:t xml:space="preserve">.
3. Hiện vùng lọc, thêm được điều kiện và câu 「※同じ種類の条件はいずれか1つ、種類が違う条件はすべて満たす生徒が対象となります。」 (cùng loại chỉ cần thỏa một điều kiện, khác loại phải thỏa tất cả). Hướng dẫn phải phân biệt </s:t>
          </s:r>
          <s:r>
            <s:rPr>
              <s:b val="1"/>
            </s:rPr>
            <s:t>OR</s:t>
          </s:r>
          <s:r>
            <s:t xml:space="preserve"> trong cùng loại bộ lọc với </s:t>
          </s:r>
          <s:r>
            <s:rPr>
              <s:b val="1"/>
            </s:rPr>
            <s:t>AND</s:t>
          </s:r>
          <s:r>
            <s:t xml:space="preserve"> giữa các loại điều kiện; không dùng câu này để thay thế phép </s:t>
          </s:r>
          <s:r>
            <s:rPr>
              <s:b val="1"/>
            </s:rPr>
            <s:t>AND</s:t>
          </s:r>
          <s:r>
            <s:t xml:space="preserve"> giữa các điều kiện nguồn A/R trong cùng rule.</s:t>
          </s:r>
        </s:is>
      </s:c>
      <s:c r="D4333" s="117" t="inlineStr"/>
      <s:c r="E4333" s="118" t="inlineStr">
        <s:is>
          <s:t>Chưa thực hiện</s:t>
        </s:is>
      </s:c>
    </s:row>
    <s:row r="4334" ht="20" customHeight="1">
      <s:c r="A4334" s="119" t="inlineStr">
        <s:is>
          <s:t>Ảnh minh chứng — Chưa có ảnh</s:t>
        </s:is>
      </s:c>
      <s:c r="B4334" s="19" t="n"/>
      <s:c r="C4334" s="19" t="n"/>
      <s:c r="D4334" s="19" t="n"/>
      <s:c r="E4334" s="19" t="n"/>
    </s:row>
    <s:row r="4335" hidden="1" ht="1" customHeight="1">
      <s:c r="A4335" s="120" t="inlineStr"/>
      <s:c r="B4335" s="121" t="n"/>
      <s:c r="C4335" s="121" t="n"/>
      <s:c r="D4335" s="121" t="n"/>
      <s:c r="E4335" s="122" t="n"/>
    </s:row>
    <s:row r="4336" hidden="1" ht="1" customHeight="1">
      <s:c r="A4336" s="120" t="inlineStr"/>
      <s:c r="B4336" s="121" t="n"/>
      <s:c r="C4336" s="121" t="n"/>
      <s:c r="D4336" s="121" t="n"/>
      <s:c r="E4336" s="122" t="n"/>
    </s:row>
    <s:row r="4337" hidden="1" ht="1" customHeight="1">
      <s:c r="A4337" s="120" t="inlineStr"/>
      <s:c r="B4337" s="121" t="n"/>
      <s:c r="C4337" s="121" t="n"/>
      <s:c r="D4337" s="121" t="n"/>
      <s:c r="E4337" s="122" t="n"/>
    </s:row>
    <s:row r="4338" hidden="1" ht="1" customHeight="1">
      <s:c r="A4338" s="120" t="inlineStr"/>
      <s:c r="B4338" s="121" t="n"/>
      <s:c r="C4338" s="121" t="n"/>
      <s:c r="D4338" s="121" t="n"/>
      <s:c r="E4338" s="122" t="n"/>
    </s:row>
    <s:row r="4339" hidden="1" ht="1" customHeight="1">
      <s:c r="A4339" s="120" t="inlineStr"/>
      <s:c r="B4339" s="121" t="n"/>
      <s:c r="C4339" s="121" t="n"/>
      <s:c r="D4339" s="121" t="n"/>
      <s:c r="E4339" s="122" t="n"/>
    </s:row>
    <s:row r="4340" hidden="1" ht="1" customHeight="1">
      <s:c r="A4340" s="120" t="inlineStr"/>
      <s:c r="B4340" s="121" t="n"/>
      <s:c r="C4340" s="121" t="n"/>
      <s:c r="D4340" s="121" t="n"/>
      <s:c r="E4340" s="122" t="n"/>
    </s:row>
    <s:row r="4341" hidden="1" ht="1" customHeight="1">
      <s:c r="A4341" s="120" t="inlineStr"/>
      <s:c r="B4341" s="121" t="n"/>
      <s:c r="C4341" s="121" t="n"/>
      <s:c r="D4341" s="121" t="n"/>
      <s:c r="E4341" s="122" t="n"/>
    </s:row>
    <s:row r="4342" hidden="1" ht="1" customHeight="1">
      <s:c r="A4342" s="120" t="inlineStr"/>
      <s:c r="B4342" s="121" t="n"/>
      <s:c r="C4342" s="121" t="n"/>
      <s:c r="D4342" s="121" t="n"/>
      <s:c r="E4342" s="122" t="n"/>
    </s:row>
    <s:row r="4343" hidden="1" ht="1" customHeight="1">
      <s:c r="A4343" s="120" t="inlineStr"/>
      <s:c r="B4343" s="121" t="n"/>
      <s:c r="C4343" s="121" t="n"/>
      <s:c r="D4343" s="121" t="n"/>
      <s:c r="E4343" s="122" t="n"/>
    </s:row>
    <s:row r="4344" hidden="1" ht="1" customHeight="1">
      <s:c r="A4344" s="120" t="inlineStr"/>
      <s:c r="B4344" s="121" t="n"/>
      <s:c r="C4344" s="121" t="n"/>
      <s:c r="D4344" s="121" t="n"/>
      <s:c r="E4344" s="122" t="n"/>
    </s:row>
    <s:row r="4345" hidden="1" ht="1" customHeight="1">
      <s:c r="A4345" s="120" t="inlineStr"/>
      <s:c r="B4345" s="121" t="n"/>
      <s:c r="C4345" s="121" t="n"/>
      <s:c r="D4345" s="121" t="n"/>
      <s:c r="E4345" s="122" t="n"/>
    </s:row>
    <s:row r="4346" hidden="1" ht="1" customHeight="1">
      <s:c r="A4346" s="120" t="inlineStr"/>
      <s:c r="B4346" s="121" t="n"/>
      <s:c r="C4346" s="121" t="n"/>
      <s:c r="D4346" s="121" t="n"/>
      <s:c r="E4346" s="122" t="n"/>
    </s:row>
    <s:row r="4347" hidden="1" ht="1" customHeight="1">
      <s:c r="A4347" s="120" t="inlineStr"/>
      <s:c r="B4347" s="121" t="n"/>
      <s:c r="C4347" s="121" t="n"/>
      <s:c r="D4347" s="121" t="n"/>
      <s:c r="E4347" s="122" t="n"/>
    </s:row>
    <s:row r="4348" hidden="1" ht="1" customHeight="1">
      <s:c r="A4348" s="120" t="inlineStr"/>
      <s:c r="B4348" s="121" t="n"/>
      <s:c r="C4348" s="121" t="n"/>
      <s:c r="D4348" s="121" t="n"/>
      <s:c r="E4348" s="122" t="n"/>
    </s:row>
    <s:row r="4349" hidden="1" ht="1" customHeight="1">
      <s:c r="A4349" s="120" t="inlineStr"/>
      <s:c r="B4349" s="121" t="n"/>
      <s:c r="C4349" s="121" t="n"/>
      <s:c r="D4349" s="121" t="n"/>
      <s:c r="E4349" s="122" t="n"/>
    </s:row>
    <s:row r="4350" hidden="1" ht="1" customHeight="1">
      <s:c r="A4350" s="120" t="inlineStr"/>
      <s:c r="B4350" s="121" t="n"/>
      <s:c r="C4350" s="121" t="n"/>
      <s:c r="D4350" s="121" t="n"/>
      <s:c r="E4350" s="122" t="n"/>
    </s:row>
    <s:row r="4351" hidden="1" ht="1" customHeight="1">
      <s:c r="A4351" s="120" t="inlineStr"/>
      <s:c r="B4351" s="121" t="n"/>
      <s:c r="C4351" s="121" t="n"/>
      <s:c r="D4351" s="121" t="n"/>
      <s:c r="E4351" s="122" t="n"/>
    </s:row>
    <s:row r="4352" hidden="1" ht="1" customHeight="1">
      <s:c r="A4352" s="120" t="inlineStr"/>
      <s:c r="B4352" s="121" t="n"/>
      <s:c r="C4352" s="121" t="n"/>
      <s:c r="D4352" s="121" t="n"/>
      <s:c r="E4352" s="122" t="n"/>
    </s:row>
    <s:row r="4353" hidden="1" ht="1" customHeight="1">
      <s:c r="A4353" s="120" t="inlineStr"/>
      <s:c r="B4353" s="121" t="n"/>
      <s:c r="C4353" s="121" t="n"/>
      <s:c r="D4353" s="121" t="n"/>
      <s:c r="E4353" s="122" t="n"/>
    </s:row>
    <s:row r="4354" hidden="1" ht="1" customHeight="1">
      <s:c r="A4354" s="120" t="inlineStr"/>
      <s:c r="B4354" s="121" t="n"/>
      <s:c r="C4354" s="121" t="n"/>
      <s:c r="D4354" s="121" t="n"/>
      <s:c r="E4354" s="122" t="n"/>
    </s:row>
    <s:row r="4355" hidden="1" ht="1" customHeight="1">
      <s:c r="A4355" s="120" t="inlineStr"/>
      <s:c r="B4355" s="121" t="n"/>
      <s:c r="C4355" s="121" t="n"/>
      <s:c r="D4355" s="121" t="n"/>
      <s:c r="E4355" s="122" t="n"/>
    </s:row>
    <s:row r="4356" hidden="1" ht="1" customHeight="1">
      <s:c r="A4356" s="120" t="inlineStr"/>
      <s:c r="B4356" s="121" t="n"/>
      <s:c r="C4356" s="121" t="n"/>
      <s:c r="D4356" s="121" t="n"/>
      <s:c r="E4356" s="122" t="n"/>
    </s:row>
    <s:row r="4357" hidden="1" ht="1" customHeight="1">
      <s:c r="A4357" s="120" t="inlineStr"/>
      <s:c r="B4357" s="121" t="n"/>
      <s:c r="C4357" s="121" t="n"/>
      <s:c r="D4357" s="121" t="n"/>
      <s:c r="E4357" s="122" t="n"/>
    </s:row>
    <s:row r="4358" hidden="1" ht="1" customHeight="1">
      <s:c r="A4358" s="120" t="inlineStr"/>
      <s:c r="B4358" s="121" t="n"/>
      <s:c r="C4358" s="121" t="n"/>
      <s:c r="D4358" s="121" t="n"/>
      <s:c r="E4358" s="122" t="n"/>
    </s:row>
    <s:row r="4359" hidden="1" ht="1" customHeight="1">
      <s:c r="A4359" s="120" t="inlineStr"/>
      <s:c r="B4359" s="121" t="n"/>
      <s:c r="C4359" s="121" t="n"/>
      <s:c r="D4359" s="121" t="n"/>
      <s:c r="E4359" s="122" t="n"/>
    </s:row>
    <s:row r="4360" hidden="1" ht="1" customHeight="1">
      <s:c r="A4360" s="120" t="inlineStr"/>
      <s:c r="B4360" s="121" t="n"/>
      <s:c r="C4360" s="121" t="n"/>
      <s:c r="D4360" s="121" t="n"/>
      <s:c r="E4360" s="122" t="n"/>
    </s:row>
    <s:row r="4361" hidden="1" ht="1" customHeight="1">
      <s:c r="A4361" s="120" t="inlineStr"/>
      <s:c r="B4361" s="121" t="n"/>
      <s:c r="C4361" s="121" t="n"/>
      <s:c r="D4361" s="121" t="n"/>
      <s:c r="E4361" s="122" t="n"/>
    </s:row>
    <s:row r="4362" hidden="1" ht="1" customHeight="1">
      <s:c r="A4362" s="120" t="inlineStr"/>
      <s:c r="B4362" s="121" t="n"/>
      <s:c r="C4362" s="121" t="n"/>
      <s:c r="D4362" s="121" t="n"/>
      <s:c r="E4362" s="122" t="n"/>
    </s:row>
    <s:row r="4363" hidden="1" ht="1" customHeight="1">
      <s:c r="A4363" s="120" t="inlineStr"/>
      <s:c r="B4363" s="121" t="n"/>
      <s:c r="C4363" s="121" t="n"/>
      <s:c r="D4363" s="121" t="n"/>
      <s:c r="E4363" s="122" t="n"/>
    </s:row>
    <s:row r="4364" hidden="1" ht="1" customHeight="1">
      <s:c r="A4364" s="120" t="inlineStr"/>
      <s:c r="B4364" s="121" t="n"/>
      <s:c r="C4364" s="121" t="n"/>
      <s:c r="D4364" s="121" t="n"/>
      <s:c r="E4364" s="122" t="n"/>
    </s:row>
    <s:row r="4365" hidden="1" ht="1" customHeight="1">
      <s:c r="A4365" s="120" t="inlineStr"/>
      <s:c r="B4365" s="121" t="n"/>
      <s:c r="C4365" s="121" t="n"/>
      <s:c r="D4365" s="121" t="n"/>
      <s:c r="E4365" s="122" t="n"/>
    </s:row>
    <s:row r="4366" hidden="1" ht="1" customHeight="1">
      <s:c r="A4366" s="120" t="inlineStr"/>
      <s:c r="B4366" s="121" t="n"/>
      <s:c r="C4366" s="121" t="n"/>
      <s:c r="D4366" s="121" t="n"/>
      <s:c r="E4366" s="122" t="n"/>
    </s:row>
    <s:row r="4367" hidden="1" ht="1" customHeight="1">
      <s:c r="A4367" s="120" t="inlineStr"/>
      <s:c r="B4367" s="121" t="n"/>
      <s:c r="C4367" s="121" t="n"/>
      <s:c r="D4367" s="121" t="n"/>
      <s:c r="E4367" s="122" t="n"/>
    </s:row>
    <s:row r="4368" hidden="1" ht="1" customHeight="1">
      <s:c r="A4368" s="120" t="inlineStr"/>
      <s:c r="B4368" s="121" t="n"/>
      <s:c r="C4368" s="121" t="n"/>
      <s:c r="D4368" s="121" t="n"/>
      <s:c r="E4368" s="122" t="n"/>
    </s:row>
    <s:row r="4369" hidden="1" ht="1" customHeight="1">
      <s:c r="A4369" s="120" t="inlineStr"/>
      <s:c r="B4369" s="121" t="n"/>
      <s:c r="C4369" s="121" t="n"/>
      <s:c r="D4369" s="121" t="n"/>
      <s:c r="E4369" s="122" t="n"/>
    </s:row>
    <s:row r="4370" hidden="1" ht="1" customHeight="1">
      <s:c r="A4370" s="120" t="inlineStr"/>
      <s:c r="B4370" s="121" t="n"/>
      <s:c r="C4370" s="121" t="n"/>
      <s:c r="D4370" s="121" t="n"/>
      <s:c r="E4370" s="122" t="n"/>
    </s:row>
    <s:row r="4371" hidden="1" ht="1" customHeight="1">
      <s:c r="A4371" s="120" t="inlineStr"/>
      <s:c r="B4371" s="121" t="n"/>
      <s:c r="C4371" s="121" t="n"/>
      <s:c r="D4371" s="121" t="n"/>
      <s:c r="E4371" s="122" t="n"/>
    </s:row>
    <s:row r="4372" hidden="1" ht="1" customHeight="1">
      <s:c r="A4372" s="120" t="inlineStr"/>
      <s:c r="B4372" s="121" t="n"/>
      <s:c r="C4372" s="121" t="n"/>
      <s:c r="D4372" s="121" t="n"/>
      <s:c r="E4372" s="122" t="n"/>
    </s:row>
    <s:row r="4373" hidden="1" ht="1" customHeight="1">
      <s:c r="A4373" s="120" t="inlineStr"/>
      <s:c r="B4373" s="121" t="n"/>
      <s:c r="C4373" s="121" t="n"/>
      <s:c r="D4373" s="121" t="n"/>
      <s:c r="E4373" s="122" t="n"/>
    </s:row>
    <s:row r="4374" hidden="1" ht="1" customHeight="1">
      <s:c r="A4374" s="120" t="inlineStr"/>
      <s:c r="B4374" s="121" t="n"/>
      <s:c r="C4374" s="121" t="n"/>
      <s:c r="D4374" s="121" t="n"/>
      <s:c r="E4374" s="122" t="n"/>
    </s:row>
    <s:row r="4375" hidden="1" ht="1" customHeight="1">
      <s:c r="A4375" s="120" t="inlineStr"/>
      <s:c r="B4375" s="121" t="n"/>
      <s:c r="C4375" s="121" t="n"/>
      <s:c r="D4375" s="121" t="n"/>
      <s:c r="E4375" s="122" t="n"/>
    </s:row>
    <s:row r="4376" hidden="1" ht="1" customHeight="1">
      <s:c r="A4376" s="120" t="inlineStr"/>
      <s:c r="B4376" s="121" t="n"/>
      <s:c r="C4376" s="121" t="n"/>
      <s:c r="D4376" s="121" t="n"/>
      <s:c r="E4376" s="122" t="n"/>
    </s:row>
    <s:row r="4377" hidden="1" ht="1" customHeight="1">
      <s:c r="A4377" s="120" t="inlineStr"/>
      <s:c r="B4377" s="121" t="n"/>
      <s:c r="C4377" s="121" t="n"/>
      <s:c r="D4377" s="121" t="n"/>
      <s:c r="E4377" s="122" t="n"/>
    </s:row>
    <s:row r="4378" hidden="1" ht="1" customHeight="1">
      <s:c r="A4378" s="120" t="inlineStr"/>
      <s:c r="B4378" s="121" t="n"/>
      <s:c r="C4378" s="121" t="n"/>
      <s:c r="D4378" s="121" t="n"/>
      <s:c r="E4378" s="122" t="n"/>
    </s:row>
    <s:row r="4379" hidden="1" ht="1" customHeight="1">
      <s:c r="A4379" s="120" t="inlineStr"/>
      <s:c r="B4379" s="121" t="n"/>
      <s:c r="C4379" s="121" t="n"/>
      <s:c r="D4379" s="121" t="n"/>
      <s:c r="E4379" s="122" t="n"/>
    </s:row>
    <s:row r="4380" hidden="1" ht="1" customHeight="1">
      <s:c r="A4380" s="120" t="inlineStr"/>
      <s:c r="B4380" s="121" t="n"/>
      <s:c r="C4380" s="121" t="n"/>
      <s:c r="D4380" s="121" t="n"/>
      <s:c r="E4380" s="122" t="n"/>
    </s:row>
    <s:row r="4381" hidden="1" ht="1" customHeight="1">
      <s:c r="A4381" s="120" t="inlineStr"/>
      <s:c r="B4381" s="121" t="n"/>
      <s:c r="C4381" s="121" t="n"/>
      <s:c r="D4381" s="121" t="n"/>
      <s:c r="E4381" s="122" t="n"/>
    </s:row>
    <s:row r="4382" hidden="1" ht="1" customHeight="1">
      <s:c r="A4382" s="120" t="inlineStr"/>
      <s:c r="B4382" s="121" t="n"/>
      <s:c r="C4382" s="121" t="n"/>
      <s:c r="D4382" s="121" t="n"/>
      <s:c r="E4382" s="122" t="n"/>
    </s:row>
    <s:row r="4383" hidden="1" ht="1" customHeight="1">
      <s:c r="A4383" s="83" t="inlineStr">
        <s:is>
          <s:t>PASS</s:t>
        </s:is>
      </s:c>
      <s:c r="B4383" s="83">
        <s:f>SUM(IF(EXACT('Kiểm thử'!E4333,"Đạt"),1,0))</s:f>
        <s:v/>
      </s:c>
      <s:c r="C4383" s="19" t="n"/>
      <s:c r="D4383" s="19" t="n"/>
      <s:c r="E4383" s="19" t="n"/>
    </s:row>
    <s:row r="4384" hidden="1" ht="1" customHeight="1">
      <s:c r="A4384" s="83" t="inlineStr">
        <s:is>
          <s:t>FAIL</s:t>
        </s:is>
      </s:c>
      <s:c r="B4384" s="83">
        <s:f>SUM(IF(EXACT('Kiểm thử'!E4333,"Không đạt"),1,0))</s:f>
        <s:v/>
      </s:c>
      <s:c r="C4384" s="19" t="n"/>
      <s:c r="D4384" s="19" t="n"/>
      <s:c r="E4384" s="19" t="n"/>
    </s:row>
    <s:row r="4385" hidden="1" ht="1" customHeight="1">
      <s:c r="A4385" s="83" t="inlineStr">
        <s:is>
          <s:t>BLOCKED</s:t>
        </s:is>
      </s:c>
      <s:c r="B4385" s="83">
        <s:f>SUM(IF(EXACT('Kiểm thử'!E4333,"Bị chặn"),1,0))</s:f>
        <s:v/>
      </s:c>
      <s:c r="C4385" s="19" t="n"/>
      <s:c r="D4385" s="19" t="n"/>
      <s:c r="E4385" s="19" t="n"/>
    </s:row>
    <s:row r="4386" hidden="1" ht="1" customHeight="1">
      <s:c r="A4386" s="83" t="inlineStr">
        <s:is>
          <s:t>SKIPPED</s:t>
        </s:is>
      </s:c>
      <s:c r="B4386" s="83">
        <s:f>SUM(IF(EXACT('Kiểm thử'!E4333,"Không thực hiện"),1,0))</s:f>
        <s:v/>
      </s:c>
      <s:c r="C4386" s="19" t="n"/>
      <s:c r="D4386" s="19" t="n"/>
      <s:c r="E4386" s="19" t="n"/>
    </s:row>
    <s:row r="4387" hidden="1" ht="1" customHeight="1">
      <s:c r="A4387" s="83" t="inlineStr">
        <s:is>
          <s:t>NOT RUN</s:t>
        </s:is>
      </s:c>
      <s:c r="B4387" s="83">
        <s:f>SUM(IF(EXACT('Kiểm thử'!E4333,"Chưa thực hiện"),1,0))</s:f>
        <s:v/>
      </s:c>
      <s:c r="C4387" s="19" t="n"/>
      <s:c r="D4387" s="19" t="n"/>
      <s:c r="E4387" s="19" t="n"/>
    </s:row>
    <s:row r="4388" hidden="1" ht="6" customHeight="1">
      <s:c r="A4388" s="83" t="inlineStr"/>
      <s:c r="B4388" s="19" t="n"/>
      <s:c r="C4388" s="19" t="n"/>
      <s:c r="D4388" s="19" t="n"/>
      <s:c r="E4388" s="19" t="n"/>
    </s:row>
    <s:row r="4389" ht="34" customHeight="1">
      <s:c r="A4389" s="108" t="inlineStr">
        <s:is>
          <s:t>TC-RS-UI-009 — Khối điều kiện Trung bình（平均点） và nguồn tham chiếu, không có ô chọn "kết quả tổng hợp dùng để tham chiếu"</s:t>
        </s:is>
      </s:c>
      <s:c r="B4389" s="111" t="n"/>
      <s:c r="C4389" s="111" t="n"/>
      <s:c r="D4389" s="111" t="n"/>
      <s:c r="E4389" s="111" t="n"/>
    </s:row>
    <s:row r="4390" ht="20" customHeight="1">
      <s:c r="A4390" s="112" t="inlineStr">
        <s:is>
          <s:t>Kết quả tình huống</s:t>
        </s:is>
      </s:c>
      <s:c r="B4390" s="113">
        <s:f>IF(SUM(IF(EXACT('Kiểm thử'!E4397,"Không đạt"),1,0))&gt;0,"Không đạt",IF(SUM(IF(EXACT('Kiểm thử'!E4397,"Đạt"),1,0))=1,"Đạt",IF(SUM(IF(EXACT('Kiểm thử'!E4397,"Không thực hiện"),1,0))=1,"Không thực hiện",IF(SUM(IF(EXACT('Kiểm thử'!E4397,"Bị chặn"),1,0))&gt;0,"Bị chặn",IF(SUM(IF(EXACT('Kiểm thử'!E4397,"Chưa thực hiện"),1,0))=1,"Chưa thực hiện","Đang thực hiện")))))</s:f>
        <s:v/>
      </s:c>
      <s:c r="C4390" s="114" t="n"/>
      <s:c r="D4390" s="114" t="n"/>
      <s:c r="E4390" s="114" t="n"/>
    </s:row>
    <s:row r="4391" ht="20" customHeight="1">
      <s:c r="A4391" s="112" t="inlineStr">
        <s:is>
          <s:t>Màn hình / chức năng</s:t>
        </s:is>
      </s:c>
      <s:c r="B4391" s="113" t="inlineStr">
        <s:is>
          <s:r>
            <s:rPr>
              <s:b val="1"/>
            </s:rPr>
            <s:t>Điều kiện áp dụng（適用条件）</s:t>
          </s:r>
        </s:is>
      </s:c>
      <s:c r="C4391" s="28" t="n"/>
      <s:c r="D4391" s="28" t="n"/>
      <s:c r="E4391" s="28" t="n"/>
    </s:row>
    <s:row r="4392" ht="20" customHeight="1">
      <s:c r="A4392" s="112" t="inlineStr">
        <s:is>
          <s:t>Cấu hình</s:t>
        </s:is>
      </s:c>
      <s:c r="B4392" s="113" t="inlineStr">
        <s:is>
          <s:t>• Màn Điều kiện áp dụng, Giới hạn bằng bộ lọc.</s:t>
        </s:is>
      </s:c>
      <s:c r="C4392" s="28" t="n"/>
      <s:c r="D4392" s="28" t="n"/>
      <s:c r="E4392" s="28" t="n"/>
    </s:row>
    <s:row r="4393" ht="20" customHeight="1">
      <s:c r="A4393" s="112" t="inlineStr">
        <s:is>
          <s:t>Dữ liệu test</s:t>
        </s:is>
      </s:c>
      <s:c r="B4393" s="113" t="inlineStr">
        <s:is>
          <s:t>• —</s:t>
        </s:is>
      </s:c>
      <s:c r="C4393" s="28" t="n"/>
      <s:c r="D4393" s="28" t="n"/>
      <s:c r="E4393" s="28" t="n"/>
    </s:row>
    <s:row r="4394" ht="20" customHeight="1">
      <s:c r="A4394" s="112" t="inlineStr">
        <s:is>
          <s:t>•</s:t>
        </s:is>
      </s:c>
      <s:c r="B4394" s="113" t="inlineStr">
        <s:is>
          <s:r>
            <s:t xml:space="preserve">Thêm </s:t>
          </s:r>
          <s:r>
            <s:rPr>
              <s:b val="1"/>
            </s:rPr>
            <s:t>điều kiện Trung bình（平均点）</s:t>
          </s:r>
          <s:r>
            <s:t>, xem các ô.</s:t>
          </s:r>
        </s:is>
      </s:c>
      <s:c r="C4394" s="28" t="n"/>
      <s:c r="D4394" s="28" t="n"/>
      <s:c r="E4394" s="28" t="n"/>
    </s:row>
    <s:row r="4395" ht="28" customHeight="1">
      <s:c r="A4395" s="115" t="inlineStr">
        <s:is>
          <s:t>Trường hợp</s:t>
        </s:is>
      </s:c>
      <s:c r="B4395" s="115" t="inlineStr">
        <s:is>
          <s:t>Dữ liệu / thao tác riêng</s:t>
        </s:is>
      </s:c>
      <s:c r="C4395" s="115" t="inlineStr">
        <s:is>
          <s:t>Kết quả mong đợi</s:t>
        </s:is>
      </s:c>
      <s:c r="D4395" s="115" t="inlineStr">
        <s:is>
          <s:t>Kết quả thực tế</s:t>
        </s:is>
      </s:c>
      <s:c r="E4395" s="115" t="inlineStr">
        <s:is>
          <s:t>Đánh giá</s:t>
        </s:is>
      </s:c>
    </s:row>
    <s:row r="4396" ht="3" customHeight="1">
      <s:c r="A4396" s="102" t="inlineStr"/>
      <s:c r="B4396" s="99" t="n"/>
      <s:c r="C4396" s="99" t="n"/>
      <s:c r="D4396" s="116" t="n"/>
      <s:c r="E4396" s="116" t="n"/>
    </s:row>
    <s:row r="4397" ht="104" customHeight="1">
      <s:c r="A4397" s="83" t="inlineStr">
        <s:is>
          <s:t>Trường hợp cơ bản (Base)</s:t>
        </s:is>
      </s:c>
      <s:c r="B4397" s="83" t="inlineStr">
        <s:is>
          <s:t>Toàn bộ tình huống: Thực hiện đủ các bước chung theo thứ tự; kiểm cả đối tượng đích và đối chứng cùng fixture, không bỏ bước.</s:t>
        </s:is>
      </s:c>
      <s:c r="C4397" s="83" t="inlineStr">
        <s:is>
          <s:t>CONFIRMED: có ba ô nguồn (thời kỳ, thiết lập tổng hợp thứ hạng, nhóm tham chiếu); không có ô chọn kết quả tổng hợp cụ thể/bản chốt.
PROPOSED: câu mục tham chiếu, bố cục ô mốc + đơn vị 点 (điểm) + dấu.</s:t>
        </s:is>
      </s:c>
      <s:c r="D4397" s="117" t="inlineStr"/>
      <s:c r="E4397" s="118" t="inlineStr">
        <s:is>
          <s:t>Chưa thực hiện</s:t>
        </s:is>
      </s:c>
    </s:row>
    <s:row r="4398" ht="20" customHeight="1">
      <s:c r="A4398" s="119" t="inlineStr">
        <s:is>
          <s:t>Ảnh minh chứng — Chưa có ảnh</s:t>
        </s:is>
      </s:c>
      <s:c r="B4398" s="19" t="n"/>
      <s:c r="C4398" s="19" t="n"/>
      <s:c r="D4398" s="19" t="n"/>
      <s:c r="E4398" s="19" t="n"/>
    </s:row>
    <s:row r="4399" hidden="1" ht="1" customHeight="1">
      <s:c r="A4399" s="120" t="inlineStr"/>
      <s:c r="B4399" s="121" t="n"/>
      <s:c r="C4399" s="121" t="n"/>
      <s:c r="D4399" s="121" t="n"/>
      <s:c r="E4399" s="122" t="n"/>
    </s:row>
    <s:row r="4400" hidden="1" ht="1" customHeight="1">
      <s:c r="A4400" s="120" t="inlineStr"/>
      <s:c r="B4400" s="121" t="n"/>
      <s:c r="C4400" s="121" t="n"/>
      <s:c r="D4400" s="121" t="n"/>
      <s:c r="E4400" s="122" t="n"/>
    </s:row>
    <s:row r="4401" hidden="1" ht="1" customHeight="1">
      <s:c r="A4401" s="120" t="inlineStr"/>
      <s:c r="B4401" s="121" t="n"/>
      <s:c r="C4401" s="121" t="n"/>
      <s:c r="D4401" s="121" t="n"/>
      <s:c r="E4401" s="122" t="n"/>
    </s:row>
    <s:row r="4402" hidden="1" ht="1" customHeight="1">
      <s:c r="A4402" s="120" t="inlineStr"/>
      <s:c r="B4402" s="121" t="n"/>
      <s:c r="C4402" s="121" t="n"/>
      <s:c r="D4402" s="121" t="n"/>
      <s:c r="E4402" s="122" t="n"/>
    </s:row>
    <s:row r="4403" hidden="1" ht="1" customHeight="1">
      <s:c r="A4403" s="120" t="inlineStr"/>
      <s:c r="B4403" s="121" t="n"/>
      <s:c r="C4403" s="121" t="n"/>
      <s:c r="D4403" s="121" t="n"/>
      <s:c r="E4403" s="122" t="n"/>
    </s:row>
    <s:row r="4404" hidden="1" ht="1" customHeight="1">
      <s:c r="A4404" s="120" t="inlineStr"/>
      <s:c r="B4404" s="121" t="n"/>
      <s:c r="C4404" s="121" t="n"/>
      <s:c r="D4404" s="121" t="n"/>
      <s:c r="E4404" s="122" t="n"/>
    </s:row>
    <s:row r="4405" hidden="1" ht="1" customHeight="1">
      <s:c r="A4405" s="120" t="inlineStr"/>
      <s:c r="B4405" s="121" t="n"/>
      <s:c r="C4405" s="121" t="n"/>
      <s:c r="D4405" s="121" t="n"/>
      <s:c r="E4405" s="122" t="n"/>
    </s:row>
    <s:row r="4406" hidden="1" ht="1" customHeight="1">
      <s:c r="A4406" s="120" t="inlineStr"/>
      <s:c r="B4406" s="121" t="n"/>
      <s:c r="C4406" s="121" t="n"/>
      <s:c r="D4406" s="121" t="n"/>
      <s:c r="E4406" s="122" t="n"/>
    </s:row>
    <s:row r="4407" hidden="1" ht="1" customHeight="1">
      <s:c r="A4407" s="120" t="inlineStr"/>
      <s:c r="B4407" s="121" t="n"/>
      <s:c r="C4407" s="121" t="n"/>
      <s:c r="D4407" s="121" t="n"/>
      <s:c r="E4407" s="122" t="n"/>
    </s:row>
    <s:row r="4408" hidden="1" ht="1" customHeight="1">
      <s:c r="A4408" s="120" t="inlineStr"/>
      <s:c r="B4408" s="121" t="n"/>
      <s:c r="C4408" s="121" t="n"/>
      <s:c r="D4408" s="121" t="n"/>
      <s:c r="E4408" s="122" t="n"/>
    </s:row>
    <s:row r="4409" hidden="1" ht="1" customHeight="1">
      <s:c r="A4409" s="120" t="inlineStr"/>
      <s:c r="B4409" s="121" t="n"/>
      <s:c r="C4409" s="121" t="n"/>
      <s:c r="D4409" s="121" t="n"/>
      <s:c r="E4409" s="122" t="n"/>
    </s:row>
    <s:row r="4410" hidden="1" ht="1" customHeight="1">
      <s:c r="A4410" s="120" t="inlineStr"/>
      <s:c r="B4410" s="121" t="n"/>
      <s:c r="C4410" s="121" t="n"/>
      <s:c r="D4410" s="121" t="n"/>
      <s:c r="E4410" s="122" t="n"/>
    </s:row>
    <s:row r="4411" hidden="1" ht="1" customHeight="1">
      <s:c r="A4411" s="120" t="inlineStr"/>
      <s:c r="B4411" s="121" t="n"/>
      <s:c r="C4411" s="121" t="n"/>
      <s:c r="D4411" s="121" t="n"/>
      <s:c r="E4411" s="122" t="n"/>
    </s:row>
    <s:row r="4412" hidden="1" ht="1" customHeight="1">
      <s:c r="A4412" s="120" t="inlineStr"/>
      <s:c r="B4412" s="121" t="n"/>
      <s:c r="C4412" s="121" t="n"/>
      <s:c r="D4412" s="121" t="n"/>
      <s:c r="E4412" s="122" t="n"/>
    </s:row>
    <s:row r="4413" hidden="1" ht="1" customHeight="1">
      <s:c r="A4413" s="120" t="inlineStr"/>
      <s:c r="B4413" s="121" t="n"/>
      <s:c r="C4413" s="121" t="n"/>
      <s:c r="D4413" s="121" t="n"/>
      <s:c r="E4413" s="122" t="n"/>
    </s:row>
    <s:row r="4414" hidden="1" ht="1" customHeight="1">
      <s:c r="A4414" s="120" t="inlineStr"/>
      <s:c r="B4414" s="121" t="n"/>
      <s:c r="C4414" s="121" t="n"/>
      <s:c r="D4414" s="121" t="n"/>
      <s:c r="E4414" s="122" t="n"/>
    </s:row>
    <s:row r="4415" hidden="1" ht="1" customHeight="1">
      <s:c r="A4415" s="120" t="inlineStr"/>
      <s:c r="B4415" s="121" t="n"/>
      <s:c r="C4415" s="121" t="n"/>
      <s:c r="D4415" s="121" t="n"/>
      <s:c r="E4415" s="122" t="n"/>
    </s:row>
    <s:row r="4416" hidden="1" ht="1" customHeight="1">
      <s:c r="A4416" s="120" t="inlineStr"/>
      <s:c r="B4416" s="121" t="n"/>
      <s:c r="C4416" s="121" t="n"/>
      <s:c r="D4416" s="121" t="n"/>
      <s:c r="E4416" s="122" t="n"/>
    </s:row>
    <s:row r="4417" hidden="1" ht="1" customHeight="1">
      <s:c r="A4417" s="120" t="inlineStr"/>
      <s:c r="B4417" s="121" t="n"/>
      <s:c r="C4417" s="121" t="n"/>
      <s:c r="D4417" s="121" t="n"/>
      <s:c r="E4417" s="122" t="n"/>
    </s:row>
    <s:row r="4418" hidden="1" ht="1" customHeight="1">
      <s:c r="A4418" s="120" t="inlineStr"/>
      <s:c r="B4418" s="121" t="n"/>
      <s:c r="C4418" s="121" t="n"/>
      <s:c r="D4418" s="121" t="n"/>
      <s:c r="E4418" s="122" t="n"/>
    </s:row>
    <s:row r="4419" hidden="1" ht="1" customHeight="1">
      <s:c r="A4419" s="120" t="inlineStr"/>
      <s:c r="B4419" s="121" t="n"/>
      <s:c r="C4419" s="121" t="n"/>
      <s:c r="D4419" s="121" t="n"/>
      <s:c r="E4419" s="122" t="n"/>
    </s:row>
    <s:row r="4420" hidden="1" ht="1" customHeight="1">
      <s:c r="A4420" s="120" t="inlineStr"/>
      <s:c r="B4420" s="121" t="n"/>
      <s:c r="C4420" s="121" t="n"/>
      <s:c r="D4420" s="121" t="n"/>
      <s:c r="E4420" s="122" t="n"/>
    </s:row>
    <s:row r="4421" hidden="1" ht="1" customHeight="1">
      <s:c r="A4421" s="120" t="inlineStr"/>
      <s:c r="B4421" s="121" t="n"/>
      <s:c r="C4421" s="121" t="n"/>
      <s:c r="D4421" s="121" t="n"/>
      <s:c r="E4421" s="122" t="n"/>
    </s:row>
    <s:row r="4422" hidden="1" ht="1" customHeight="1">
      <s:c r="A4422" s="120" t="inlineStr"/>
      <s:c r="B4422" s="121" t="n"/>
      <s:c r="C4422" s="121" t="n"/>
      <s:c r="D4422" s="121" t="n"/>
      <s:c r="E4422" s="122" t="n"/>
    </s:row>
    <s:row r="4423" hidden="1" ht="1" customHeight="1">
      <s:c r="A4423" s="120" t="inlineStr"/>
      <s:c r="B4423" s="121" t="n"/>
      <s:c r="C4423" s="121" t="n"/>
      <s:c r="D4423" s="121" t="n"/>
      <s:c r="E4423" s="122" t="n"/>
    </s:row>
    <s:row r="4424" hidden="1" ht="1" customHeight="1">
      <s:c r="A4424" s="120" t="inlineStr"/>
      <s:c r="B4424" s="121" t="n"/>
      <s:c r="C4424" s="121" t="n"/>
      <s:c r="D4424" s="121" t="n"/>
      <s:c r="E4424" s="122" t="n"/>
    </s:row>
    <s:row r="4425" hidden="1" ht="1" customHeight="1">
      <s:c r="A4425" s="120" t="inlineStr"/>
      <s:c r="B4425" s="121" t="n"/>
      <s:c r="C4425" s="121" t="n"/>
      <s:c r="D4425" s="121" t="n"/>
      <s:c r="E4425" s="122" t="n"/>
    </s:row>
    <s:row r="4426" hidden="1" ht="1" customHeight="1">
      <s:c r="A4426" s="120" t="inlineStr"/>
      <s:c r="B4426" s="121" t="n"/>
      <s:c r="C4426" s="121" t="n"/>
      <s:c r="D4426" s="121" t="n"/>
      <s:c r="E4426" s="122" t="n"/>
    </s:row>
    <s:row r="4427" hidden="1" ht="1" customHeight="1">
      <s:c r="A4427" s="120" t="inlineStr"/>
      <s:c r="B4427" s="121" t="n"/>
      <s:c r="C4427" s="121" t="n"/>
      <s:c r="D4427" s="121" t="n"/>
      <s:c r="E4427" s="122" t="n"/>
    </s:row>
    <s:row r="4428" hidden="1" ht="1" customHeight="1">
      <s:c r="A4428" s="120" t="inlineStr"/>
      <s:c r="B4428" s="121" t="n"/>
      <s:c r="C4428" s="121" t="n"/>
      <s:c r="D4428" s="121" t="n"/>
      <s:c r="E4428" s="122" t="n"/>
    </s:row>
    <s:row r="4429" hidden="1" ht="1" customHeight="1">
      <s:c r="A4429" s="120" t="inlineStr"/>
      <s:c r="B4429" s="121" t="n"/>
      <s:c r="C4429" s="121" t="n"/>
      <s:c r="D4429" s="121" t="n"/>
      <s:c r="E4429" s="122" t="n"/>
    </s:row>
    <s:row r="4430" hidden="1" ht="1" customHeight="1">
      <s:c r="A4430" s="120" t="inlineStr"/>
      <s:c r="B4430" s="121" t="n"/>
      <s:c r="C4430" s="121" t="n"/>
      <s:c r="D4430" s="121" t="n"/>
      <s:c r="E4430" s="122" t="n"/>
    </s:row>
    <s:row r="4431" hidden="1" ht="1" customHeight="1">
      <s:c r="A4431" s="120" t="inlineStr"/>
      <s:c r="B4431" s="121" t="n"/>
      <s:c r="C4431" s="121" t="n"/>
      <s:c r="D4431" s="121" t="n"/>
      <s:c r="E4431" s="122" t="n"/>
    </s:row>
    <s:row r="4432" hidden="1" ht="1" customHeight="1">
      <s:c r="A4432" s="120" t="inlineStr"/>
      <s:c r="B4432" s="121" t="n"/>
      <s:c r="C4432" s="121" t="n"/>
      <s:c r="D4432" s="121" t="n"/>
      <s:c r="E4432" s="122" t="n"/>
    </s:row>
    <s:row r="4433" hidden="1" ht="1" customHeight="1">
      <s:c r="A4433" s="120" t="inlineStr"/>
      <s:c r="B4433" s="121" t="n"/>
      <s:c r="C4433" s="121" t="n"/>
      <s:c r="D4433" s="121" t="n"/>
      <s:c r="E4433" s="122" t="n"/>
    </s:row>
    <s:row r="4434" hidden="1" ht="1" customHeight="1">
      <s:c r="A4434" s="120" t="inlineStr"/>
      <s:c r="B4434" s="121" t="n"/>
      <s:c r="C4434" s="121" t="n"/>
      <s:c r="D4434" s="121" t="n"/>
      <s:c r="E4434" s="122" t="n"/>
    </s:row>
    <s:row r="4435" hidden="1" ht="1" customHeight="1">
      <s:c r="A4435" s="120" t="inlineStr"/>
      <s:c r="B4435" s="121" t="n"/>
      <s:c r="C4435" s="121" t="n"/>
      <s:c r="D4435" s="121" t="n"/>
      <s:c r="E4435" s="122" t="n"/>
    </s:row>
    <s:row r="4436" hidden="1" ht="1" customHeight="1">
      <s:c r="A4436" s="120" t="inlineStr"/>
      <s:c r="B4436" s="121" t="n"/>
      <s:c r="C4436" s="121" t="n"/>
      <s:c r="D4436" s="121" t="n"/>
      <s:c r="E4436" s="122" t="n"/>
    </s:row>
    <s:row r="4437" hidden="1" ht="1" customHeight="1">
      <s:c r="A4437" s="120" t="inlineStr"/>
      <s:c r="B4437" s="121" t="n"/>
      <s:c r="C4437" s="121" t="n"/>
      <s:c r="D4437" s="121" t="n"/>
      <s:c r="E4437" s="122" t="n"/>
    </s:row>
    <s:row r="4438" hidden="1" ht="1" customHeight="1">
      <s:c r="A4438" s="120" t="inlineStr"/>
      <s:c r="B4438" s="121" t="n"/>
      <s:c r="C4438" s="121" t="n"/>
      <s:c r="D4438" s="121" t="n"/>
      <s:c r="E4438" s="122" t="n"/>
    </s:row>
    <s:row r="4439" hidden="1" ht="1" customHeight="1">
      <s:c r="A4439" s="120" t="inlineStr"/>
      <s:c r="B4439" s="121" t="n"/>
      <s:c r="C4439" s="121" t="n"/>
      <s:c r="D4439" s="121" t="n"/>
      <s:c r="E4439" s="122" t="n"/>
    </s:row>
    <s:row r="4440" hidden="1" ht="1" customHeight="1">
      <s:c r="A4440" s="120" t="inlineStr"/>
      <s:c r="B4440" s="121" t="n"/>
      <s:c r="C4440" s="121" t="n"/>
      <s:c r="D4440" s="121" t="n"/>
      <s:c r="E4440" s="122" t="n"/>
    </s:row>
    <s:row r="4441" hidden="1" ht="1" customHeight="1">
      <s:c r="A4441" s="120" t="inlineStr"/>
      <s:c r="B4441" s="121" t="n"/>
      <s:c r="C4441" s="121" t="n"/>
      <s:c r="D4441" s="121" t="n"/>
      <s:c r="E4441" s="122" t="n"/>
    </s:row>
    <s:row r="4442" hidden="1" ht="1" customHeight="1">
      <s:c r="A4442" s="120" t="inlineStr"/>
      <s:c r="B4442" s="121" t="n"/>
      <s:c r="C4442" s="121" t="n"/>
      <s:c r="D4442" s="121" t="n"/>
      <s:c r="E4442" s="122" t="n"/>
    </s:row>
    <s:row r="4443" hidden="1" ht="1" customHeight="1">
      <s:c r="A4443" s="120" t="inlineStr"/>
      <s:c r="B4443" s="121" t="n"/>
      <s:c r="C4443" s="121" t="n"/>
      <s:c r="D4443" s="121" t="n"/>
      <s:c r="E4443" s="122" t="n"/>
    </s:row>
    <s:row r="4444" hidden="1" ht="1" customHeight="1">
      <s:c r="A4444" s="120" t="inlineStr"/>
      <s:c r="B4444" s="121" t="n"/>
      <s:c r="C4444" s="121" t="n"/>
      <s:c r="D4444" s="121" t="n"/>
      <s:c r="E4444" s="122" t="n"/>
    </s:row>
    <s:row r="4445" hidden="1" ht="1" customHeight="1">
      <s:c r="A4445" s="120" t="inlineStr"/>
      <s:c r="B4445" s="121" t="n"/>
      <s:c r="C4445" s="121" t="n"/>
      <s:c r="D4445" s="121" t="n"/>
      <s:c r="E4445" s="122" t="n"/>
    </s:row>
    <s:row r="4446" hidden="1" ht="1" customHeight="1">
      <s:c r="A4446" s="120" t="inlineStr"/>
      <s:c r="B4446" s="121" t="n"/>
      <s:c r="C4446" s="121" t="n"/>
      <s:c r="D4446" s="121" t="n"/>
      <s:c r="E4446" s="122" t="n"/>
    </s:row>
    <s:row r="4447" hidden="1" ht="1" customHeight="1">
      <s:c r="A4447" s="83" t="inlineStr">
        <s:is>
          <s:t>PASS</s:t>
        </s:is>
      </s:c>
      <s:c r="B4447" s="83">
        <s:f>SUM(IF(EXACT('Kiểm thử'!E4397,"Đạt"),1,0))</s:f>
        <s:v/>
      </s:c>
      <s:c r="C4447" s="19" t="n"/>
      <s:c r="D4447" s="19" t="n"/>
      <s:c r="E4447" s="19" t="n"/>
    </s:row>
    <s:row r="4448" hidden="1" ht="1" customHeight="1">
      <s:c r="A4448" s="83" t="inlineStr">
        <s:is>
          <s:t>FAIL</s:t>
        </s:is>
      </s:c>
      <s:c r="B4448" s="83">
        <s:f>SUM(IF(EXACT('Kiểm thử'!E4397,"Không đạt"),1,0))</s:f>
        <s:v/>
      </s:c>
      <s:c r="C4448" s="19" t="n"/>
      <s:c r="D4448" s="19" t="n"/>
      <s:c r="E4448" s="19" t="n"/>
    </s:row>
    <s:row r="4449" hidden="1" ht="1" customHeight="1">
      <s:c r="A4449" s="83" t="inlineStr">
        <s:is>
          <s:t>BLOCKED</s:t>
        </s:is>
      </s:c>
      <s:c r="B4449" s="83">
        <s:f>SUM(IF(EXACT('Kiểm thử'!E4397,"Bị chặn"),1,0))</s:f>
        <s:v/>
      </s:c>
      <s:c r="C4449" s="19" t="n"/>
      <s:c r="D4449" s="19" t="n"/>
      <s:c r="E4449" s="19" t="n"/>
    </s:row>
    <s:row r="4450" hidden="1" ht="1" customHeight="1">
      <s:c r="A4450" s="83" t="inlineStr">
        <s:is>
          <s:t>SKIPPED</s:t>
        </s:is>
      </s:c>
      <s:c r="B4450" s="83">
        <s:f>SUM(IF(EXACT('Kiểm thử'!E4397,"Không thực hiện"),1,0))</s:f>
        <s:v/>
      </s:c>
      <s:c r="C4450" s="19" t="n"/>
      <s:c r="D4450" s="19" t="n"/>
      <s:c r="E4450" s="19" t="n"/>
    </s:row>
    <s:row r="4451" hidden="1" ht="1" customHeight="1">
      <s:c r="A4451" s="83" t="inlineStr">
        <s:is>
          <s:t>NOT RUN</s:t>
        </s:is>
      </s:c>
      <s:c r="B4451" s="83">
        <s:f>SUM(IF(EXACT('Kiểm thử'!E4397,"Chưa thực hiện"),1,0))</s:f>
        <s:v/>
      </s:c>
      <s:c r="C4451" s="19" t="n"/>
      <s:c r="D4451" s="19" t="n"/>
      <s:c r="E4451" s="19" t="n"/>
    </s:row>
    <s:row r="4452" hidden="1" ht="6" customHeight="1">
      <s:c r="A4452" s="83" t="inlineStr"/>
      <s:c r="B4452" s="19" t="n"/>
      <s:c r="C4452" s="19" t="n"/>
      <s:c r="D4452" s="19" t="n"/>
      <s:c r="E4452" s="19" t="n"/>
    </s:row>
    <s:row r="4453" ht="28" customHeight="1">
      <s:c r="A4453" s="108" t="inlineStr">
        <s:is>
          <s:t>TC-RS-UI-010 — Khối điều kiện Tỷ lệ điểm của nhóm（集団の得点率）</s:t>
        </s:is>
      </s:c>
      <s:c r="B4453" s="111" t="n"/>
      <s:c r="C4453" s="111" t="n"/>
      <s:c r="D4453" s="111" t="n"/>
      <s:c r="E4453" s="111" t="n"/>
    </s:row>
    <s:row r="4454" ht="20" customHeight="1">
      <s:c r="A4454" s="112" t="inlineStr">
        <s:is>
          <s:t>Kết quả tình huống</s:t>
        </s:is>
      </s:c>
      <s:c r="B4454" s="113">
        <s:f>IF(SUM(IF(EXACT('Kiểm thử'!E4461,"Không đạt"),1,0))&gt;0,"Không đạt",IF(SUM(IF(EXACT('Kiểm thử'!E4461,"Đạt"),1,0))=1,"Đạt",IF(SUM(IF(EXACT('Kiểm thử'!E4461,"Không thực hiện"),1,0))=1,"Không thực hiện",IF(SUM(IF(EXACT('Kiểm thử'!E4461,"Bị chặn"),1,0))&gt;0,"Bị chặn",IF(SUM(IF(EXACT('Kiểm thử'!E4461,"Chưa thực hiện"),1,0))=1,"Chưa thực hiện","Đang thực hiện")))))</s:f>
        <s:v/>
      </s:c>
      <s:c r="C4454" s="114" t="n"/>
      <s:c r="D4454" s="114" t="n"/>
      <s:c r="E4454" s="114" t="n"/>
    </s:row>
    <s:row r="4455" ht="20" customHeight="1">
      <s:c r="A4455" s="112" t="inlineStr">
        <s:is>
          <s:t>Màn hình / chức năng</s:t>
        </s:is>
      </s:c>
      <s:c r="B4455" s="113" t="inlineStr">
        <s:is>
          <s:r>
            <s:rPr>
              <s:b val="1"/>
            </s:rPr>
            <s:t>Điều kiện áp dụng（適用条件）</s:t>
          </s:r>
        </s:is>
      </s:c>
      <s:c r="C4455" s="28" t="n"/>
      <s:c r="D4455" s="28" t="n"/>
      <s:c r="E4455" s="28" t="n"/>
    </s:row>
    <s:row r="4456" ht="20" customHeight="1">
      <s:c r="A4456" s="112" t="inlineStr">
        <s:is>
          <s:t>Cấu hình</s:t>
        </s:is>
      </s:c>
      <s:c r="B4456" s="113" t="inlineStr">
        <s:is>
          <s:t>• Màn Điều kiện áp dụng.</s:t>
        </s:is>
      </s:c>
      <s:c r="C4456" s="28" t="n"/>
      <s:c r="D4456" s="28" t="n"/>
      <s:c r="E4456" s="28" t="n"/>
    </s:row>
    <s:row r="4457" ht="20" customHeight="1">
      <s:c r="A4457" s="112" t="inlineStr">
        <s:is>
          <s:t>Dữ liệu test</s:t>
        </s:is>
      </s:c>
      <s:c r="B4457" s="113" t="inlineStr">
        <s:is>
          <s:t>• —</s:t>
        </s:is>
      </s:c>
      <s:c r="C4457" s="28" t="n"/>
      <s:c r="D4457" s="28" t="n"/>
      <s:c r="E4457" s="28" t="n"/>
    </s:row>
    <s:row r="4458" ht="20" customHeight="1">
      <s:c r="A4458" s="112" t="inlineStr">
        <s:is>
          <s:t>•</s:t>
        </s:is>
      </s:c>
      <s:c r="B4458" s="113" t="inlineStr">
        <s:is>
          <s:r>
            <s:t xml:space="preserve">Thêm điều kiện Tỷ </s:t>
          </s:r>
          <s:r>
            <s:rPr>
              <s:b val="1"/>
            </s:rPr>
            <s:t>lệ điểm của nhóm（集団の得点率）</s:t>
          </s:r>
          <s:r>
            <s:t>.</s:t>
          </s:r>
        </s:is>
      </s:c>
      <s:c r="C4458" s="28" t="n"/>
      <s:c r="D4458" s="28" t="n"/>
      <s:c r="E4458" s="28" t="n"/>
    </s:row>
    <s:row r="4459" ht="28" customHeight="1">
      <s:c r="A4459" s="115" t="inlineStr">
        <s:is>
          <s:t>Trường hợp</s:t>
        </s:is>
      </s:c>
      <s:c r="B4459" s="115" t="inlineStr">
        <s:is>
          <s:t>Dữ liệu / thao tác riêng</s:t>
        </s:is>
      </s:c>
      <s:c r="C4459" s="115" t="inlineStr">
        <s:is>
          <s:t>Kết quả mong đợi</s:t>
        </s:is>
      </s:c>
      <s:c r="D4459" s="115" t="inlineStr">
        <s:is>
          <s:t>Kết quả thực tế</s:t>
        </s:is>
      </s:c>
      <s:c r="E4459" s="115" t="inlineStr">
        <s:is>
          <s:t>Đánh giá</s:t>
        </s:is>
      </s:c>
    </s:row>
    <s:row r="4460" ht="3" customHeight="1">
      <s:c r="A4460" s="102" t="inlineStr"/>
      <s:c r="B4460" s="99" t="n"/>
      <s:c r="C4460" s="99" t="n"/>
      <s:c r="D4460" s="116" t="n"/>
      <s:c r="E4460" s="116" t="n"/>
    </s:row>
    <s:row r="4461" ht="76" customHeight="1">
      <s:c r="A4461" s="83" t="inlineStr">
        <s:is>
          <s:t>Trường hợp cơ bản (Base)</s:t>
        </s:is>
      </s:c>
      <s:c r="B4461" s="83" t="inlineStr">
        <s:is>
          <s:t>Toàn bộ tình huống: Thực hiện đủ các bước chung theo thứ tự; kiểm cả đối tượng đích và đối chứng cùng fixture, không bỏ bước.</s:t>
        </s:is>
      </s:c>
      <s:c r="C4461" s="83" t="inlineStr">
        <s:is>
          <s:t>Có ba ô nguồn như UI-009, ô mốc với đơn vị %, dấu so sánh. Không có tùy chọn cách tính A/B (Q&amp;A nghiệp vụ đã xác nhận câu “Tỷ lệ nhóm có cần xử lý riêng khi các lớp khác điểm tối đa không?” — CONFIRMED).</s:t>
        </s:is>
      </s:c>
      <s:c r="D4461" s="117" t="inlineStr"/>
      <s:c r="E4461" s="118" t="inlineStr">
        <s:is>
          <s:t>Chưa thực hiện</s:t>
        </s:is>
      </s:c>
    </s:row>
    <s:row r="4462" ht="20" customHeight="1">
      <s:c r="A4462" s="119" t="inlineStr">
        <s:is>
          <s:t>Ảnh minh chứng — Chưa có ảnh</s:t>
        </s:is>
      </s:c>
      <s:c r="B4462" s="19" t="n"/>
      <s:c r="C4462" s="19" t="n"/>
      <s:c r="D4462" s="19" t="n"/>
      <s:c r="E4462" s="19" t="n"/>
    </s:row>
    <s:row r="4463" hidden="1" ht="1" customHeight="1">
      <s:c r="A4463" s="120" t="inlineStr"/>
      <s:c r="B4463" s="121" t="n"/>
      <s:c r="C4463" s="121" t="n"/>
      <s:c r="D4463" s="121" t="n"/>
      <s:c r="E4463" s="122" t="n"/>
    </s:row>
    <s:row r="4464" hidden="1" ht="1" customHeight="1">
      <s:c r="A4464" s="120" t="inlineStr"/>
      <s:c r="B4464" s="121" t="n"/>
      <s:c r="C4464" s="121" t="n"/>
      <s:c r="D4464" s="121" t="n"/>
      <s:c r="E4464" s="122" t="n"/>
    </s:row>
    <s:row r="4465" hidden="1" ht="1" customHeight="1">
      <s:c r="A4465" s="120" t="inlineStr"/>
      <s:c r="B4465" s="121" t="n"/>
      <s:c r="C4465" s="121" t="n"/>
      <s:c r="D4465" s="121" t="n"/>
      <s:c r="E4465" s="122" t="n"/>
    </s:row>
    <s:row r="4466" hidden="1" ht="1" customHeight="1">
      <s:c r="A4466" s="120" t="inlineStr"/>
      <s:c r="B4466" s="121" t="n"/>
      <s:c r="C4466" s="121" t="n"/>
      <s:c r="D4466" s="121" t="n"/>
      <s:c r="E4466" s="122" t="n"/>
    </s:row>
    <s:row r="4467" hidden="1" ht="1" customHeight="1">
      <s:c r="A4467" s="120" t="inlineStr"/>
      <s:c r="B4467" s="121" t="n"/>
      <s:c r="C4467" s="121" t="n"/>
      <s:c r="D4467" s="121" t="n"/>
      <s:c r="E4467" s="122" t="n"/>
    </s:row>
    <s:row r="4468" hidden="1" ht="1" customHeight="1">
      <s:c r="A4468" s="120" t="inlineStr"/>
      <s:c r="B4468" s="121" t="n"/>
      <s:c r="C4468" s="121" t="n"/>
      <s:c r="D4468" s="121" t="n"/>
      <s:c r="E4468" s="122" t="n"/>
    </s:row>
    <s:row r="4469" hidden="1" ht="1" customHeight="1">
      <s:c r="A4469" s="120" t="inlineStr"/>
      <s:c r="B4469" s="121" t="n"/>
      <s:c r="C4469" s="121" t="n"/>
      <s:c r="D4469" s="121" t="n"/>
      <s:c r="E4469" s="122" t="n"/>
    </s:row>
    <s:row r="4470" hidden="1" ht="1" customHeight="1">
      <s:c r="A4470" s="120" t="inlineStr"/>
      <s:c r="B4470" s="121" t="n"/>
      <s:c r="C4470" s="121" t="n"/>
      <s:c r="D4470" s="121" t="n"/>
      <s:c r="E4470" s="122" t="n"/>
    </s:row>
    <s:row r="4471" hidden="1" ht="1" customHeight="1">
      <s:c r="A4471" s="120" t="inlineStr"/>
      <s:c r="B4471" s="121" t="n"/>
      <s:c r="C4471" s="121" t="n"/>
      <s:c r="D4471" s="121" t="n"/>
      <s:c r="E4471" s="122" t="n"/>
    </s:row>
    <s:row r="4472" hidden="1" ht="1" customHeight="1">
      <s:c r="A4472" s="120" t="inlineStr"/>
      <s:c r="B4472" s="121" t="n"/>
      <s:c r="C4472" s="121" t="n"/>
      <s:c r="D4472" s="121" t="n"/>
      <s:c r="E4472" s="122" t="n"/>
    </s:row>
    <s:row r="4473" hidden="1" ht="1" customHeight="1">
      <s:c r="A4473" s="120" t="inlineStr"/>
      <s:c r="B4473" s="121" t="n"/>
      <s:c r="C4473" s="121" t="n"/>
      <s:c r="D4473" s="121" t="n"/>
      <s:c r="E4473" s="122" t="n"/>
    </s:row>
    <s:row r="4474" hidden="1" ht="1" customHeight="1">
      <s:c r="A4474" s="120" t="inlineStr"/>
      <s:c r="B4474" s="121" t="n"/>
      <s:c r="C4474" s="121" t="n"/>
      <s:c r="D4474" s="121" t="n"/>
      <s:c r="E4474" s="122" t="n"/>
    </s:row>
    <s:row r="4475" hidden="1" ht="1" customHeight="1">
      <s:c r="A4475" s="120" t="inlineStr"/>
      <s:c r="B4475" s="121" t="n"/>
      <s:c r="C4475" s="121" t="n"/>
      <s:c r="D4475" s="121" t="n"/>
      <s:c r="E4475" s="122" t="n"/>
    </s:row>
    <s:row r="4476" hidden="1" ht="1" customHeight="1">
      <s:c r="A4476" s="120" t="inlineStr"/>
      <s:c r="B4476" s="121" t="n"/>
      <s:c r="C4476" s="121" t="n"/>
      <s:c r="D4476" s="121" t="n"/>
      <s:c r="E4476" s="122" t="n"/>
    </s:row>
    <s:row r="4477" hidden="1" ht="1" customHeight="1">
      <s:c r="A4477" s="120" t="inlineStr"/>
      <s:c r="B4477" s="121" t="n"/>
      <s:c r="C4477" s="121" t="n"/>
      <s:c r="D4477" s="121" t="n"/>
      <s:c r="E4477" s="122" t="n"/>
    </s:row>
    <s:row r="4478" hidden="1" ht="1" customHeight="1">
      <s:c r="A4478" s="120" t="inlineStr"/>
      <s:c r="B4478" s="121" t="n"/>
      <s:c r="C4478" s="121" t="n"/>
      <s:c r="D4478" s="121" t="n"/>
      <s:c r="E4478" s="122" t="n"/>
    </s:row>
    <s:row r="4479" hidden="1" ht="1" customHeight="1">
      <s:c r="A4479" s="120" t="inlineStr"/>
      <s:c r="B4479" s="121" t="n"/>
      <s:c r="C4479" s="121" t="n"/>
      <s:c r="D4479" s="121" t="n"/>
      <s:c r="E4479" s="122" t="n"/>
    </s:row>
    <s:row r="4480" hidden="1" ht="1" customHeight="1">
      <s:c r="A4480" s="120" t="inlineStr"/>
      <s:c r="B4480" s="121" t="n"/>
      <s:c r="C4480" s="121" t="n"/>
      <s:c r="D4480" s="121" t="n"/>
      <s:c r="E4480" s="122" t="n"/>
    </s:row>
    <s:row r="4481" hidden="1" ht="1" customHeight="1">
      <s:c r="A4481" s="120" t="inlineStr"/>
      <s:c r="B4481" s="121" t="n"/>
      <s:c r="C4481" s="121" t="n"/>
      <s:c r="D4481" s="121" t="n"/>
      <s:c r="E4481" s="122" t="n"/>
    </s:row>
    <s:row r="4482" hidden="1" ht="1" customHeight="1">
      <s:c r="A4482" s="120" t="inlineStr"/>
      <s:c r="B4482" s="121" t="n"/>
      <s:c r="C4482" s="121" t="n"/>
      <s:c r="D4482" s="121" t="n"/>
      <s:c r="E4482" s="122" t="n"/>
    </s:row>
    <s:row r="4483" hidden="1" ht="1" customHeight="1">
      <s:c r="A4483" s="120" t="inlineStr"/>
      <s:c r="B4483" s="121" t="n"/>
      <s:c r="C4483" s="121" t="n"/>
      <s:c r="D4483" s="121" t="n"/>
      <s:c r="E4483" s="122" t="n"/>
    </s:row>
    <s:row r="4484" hidden="1" ht="1" customHeight="1">
      <s:c r="A4484" s="120" t="inlineStr"/>
      <s:c r="B4484" s="121" t="n"/>
      <s:c r="C4484" s="121" t="n"/>
      <s:c r="D4484" s="121" t="n"/>
      <s:c r="E4484" s="122" t="n"/>
    </s:row>
    <s:row r="4485" hidden="1" ht="1" customHeight="1">
      <s:c r="A4485" s="120" t="inlineStr"/>
      <s:c r="B4485" s="121" t="n"/>
      <s:c r="C4485" s="121" t="n"/>
      <s:c r="D4485" s="121" t="n"/>
      <s:c r="E4485" s="122" t="n"/>
    </s:row>
    <s:row r="4486" hidden="1" ht="1" customHeight="1">
      <s:c r="A4486" s="120" t="inlineStr"/>
      <s:c r="B4486" s="121" t="n"/>
      <s:c r="C4486" s="121" t="n"/>
      <s:c r="D4486" s="121" t="n"/>
      <s:c r="E4486" s="122" t="n"/>
    </s:row>
    <s:row r="4487" hidden="1" ht="1" customHeight="1">
      <s:c r="A4487" s="120" t="inlineStr"/>
      <s:c r="B4487" s="121" t="n"/>
      <s:c r="C4487" s="121" t="n"/>
      <s:c r="D4487" s="121" t="n"/>
      <s:c r="E4487" s="122" t="n"/>
    </s:row>
    <s:row r="4488" hidden="1" ht="1" customHeight="1">
      <s:c r="A4488" s="120" t="inlineStr"/>
      <s:c r="B4488" s="121" t="n"/>
      <s:c r="C4488" s="121" t="n"/>
      <s:c r="D4488" s="121" t="n"/>
      <s:c r="E4488" s="122" t="n"/>
    </s:row>
    <s:row r="4489" hidden="1" ht="1" customHeight="1">
      <s:c r="A4489" s="120" t="inlineStr"/>
      <s:c r="B4489" s="121" t="n"/>
      <s:c r="C4489" s="121" t="n"/>
      <s:c r="D4489" s="121" t="n"/>
      <s:c r="E4489" s="122" t="n"/>
    </s:row>
    <s:row r="4490" hidden="1" ht="1" customHeight="1">
      <s:c r="A4490" s="120" t="inlineStr"/>
      <s:c r="B4490" s="121" t="n"/>
      <s:c r="C4490" s="121" t="n"/>
      <s:c r="D4490" s="121" t="n"/>
      <s:c r="E4490" s="122" t="n"/>
    </s:row>
    <s:row r="4491" hidden="1" ht="1" customHeight="1">
      <s:c r="A4491" s="120" t="inlineStr"/>
      <s:c r="B4491" s="121" t="n"/>
      <s:c r="C4491" s="121" t="n"/>
      <s:c r="D4491" s="121" t="n"/>
      <s:c r="E4491" s="122" t="n"/>
    </s:row>
    <s:row r="4492" hidden="1" ht="1" customHeight="1">
      <s:c r="A4492" s="120" t="inlineStr"/>
      <s:c r="B4492" s="121" t="n"/>
      <s:c r="C4492" s="121" t="n"/>
      <s:c r="D4492" s="121" t="n"/>
      <s:c r="E4492" s="122" t="n"/>
    </s:row>
    <s:row r="4493" hidden="1" ht="1" customHeight="1">
      <s:c r="A4493" s="120" t="inlineStr"/>
      <s:c r="B4493" s="121" t="n"/>
      <s:c r="C4493" s="121" t="n"/>
      <s:c r="D4493" s="121" t="n"/>
      <s:c r="E4493" s="122" t="n"/>
    </s:row>
    <s:row r="4494" hidden="1" ht="1" customHeight="1">
      <s:c r="A4494" s="120" t="inlineStr"/>
      <s:c r="B4494" s="121" t="n"/>
      <s:c r="C4494" s="121" t="n"/>
      <s:c r="D4494" s="121" t="n"/>
      <s:c r="E4494" s="122" t="n"/>
    </s:row>
    <s:row r="4495" hidden="1" ht="1" customHeight="1">
      <s:c r="A4495" s="120" t="inlineStr"/>
      <s:c r="B4495" s="121" t="n"/>
      <s:c r="C4495" s="121" t="n"/>
      <s:c r="D4495" s="121" t="n"/>
      <s:c r="E4495" s="122" t="n"/>
    </s:row>
    <s:row r="4496" hidden="1" ht="1" customHeight="1">
      <s:c r="A4496" s="120" t="inlineStr"/>
      <s:c r="B4496" s="121" t="n"/>
      <s:c r="C4496" s="121" t="n"/>
      <s:c r="D4496" s="121" t="n"/>
      <s:c r="E4496" s="122" t="n"/>
    </s:row>
    <s:row r="4497" hidden="1" ht="1" customHeight="1">
      <s:c r="A4497" s="120" t="inlineStr"/>
      <s:c r="B4497" s="121" t="n"/>
      <s:c r="C4497" s="121" t="n"/>
      <s:c r="D4497" s="121" t="n"/>
      <s:c r="E4497" s="122" t="n"/>
    </s:row>
    <s:row r="4498" hidden="1" ht="1" customHeight="1">
      <s:c r="A4498" s="120" t="inlineStr"/>
      <s:c r="B4498" s="121" t="n"/>
      <s:c r="C4498" s="121" t="n"/>
      <s:c r="D4498" s="121" t="n"/>
      <s:c r="E4498" s="122" t="n"/>
    </s:row>
    <s:row r="4499" hidden="1" ht="1" customHeight="1">
      <s:c r="A4499" s="120" t="inlineStr"/>
      <s:c r="B4499" s="121" t="n"/>
      <s:c r="C4499" s="121" t="n"/>
      <s:c r="D4499" s="121" t="n"/>
      <s:c r="E4499" s="122" t="n"/>
    </s:row>
    <s:row r="4500" hidden="1" ht="1" customHeight="1">
      <s:c r="A4500" s="120" t="inlineStr"/>
      <s:c r="B4500" s="121" t="n"/>
      <s:c r="C4500" s="121" t="n"/>
      <s:c r="D4500" s="121" t="n"/>
      <s:c r="E4500" s="122" t="n"/>
    </s:row>
    <s:row r="4501" hidden="1" ht="1" customHeight="1">
      <s:c r="A4501" s="120" t="inlineStr"/>
      <s:c r="B4501" s="121" t="n"/>
      <s:c r="C4501" s="121" t="n"/>
      <s:c r="D4501" s="121" t="n"/>
      <s:c r="E4501" s="122" t="n"/>
    </s:row>
    <s:row r="4502" hidden="1" ht="1" customHeight="1">
      <s:c r="A4502" s="120" t="inlineStr"/>
      <s:c r="B4502" s="121" t="n"/>
      <s:c r="C4502" s="121" t="n"/>
      <s:c r="D4502" s="121" t="n"/>
      <s:c r="E4502" s="122" t="n"/>
    </s:row>
    <s:row r="4503" hidden="1" ht="1" customHeight="1">
      <s:c r="A4503" s="120" t="inlineStr"/>
      <s:c r="B4503" s="121" t="n"/>
      <s:c r="C4503" s="121" t="n"/>
      <s:c r="D4503" s="121" t="n"/>
      <s:c r="E4503" s="122" t="n"/>
    </s:row>
    <s:row r="4504" hidden="1" ht="1" customHeight="1">
      <s:c r="A4504" s="120" t="inlineStr"/>
      <s:c r="B4504" s="121" t="n"/>
      <s:c r="C4504" s="121" t="n"/>
      <s:c r="D4504" s="121" t="n"/>
      <s:c r="E4504" s="122" t="n"/>
    </s:row>
    <s:row r="4505" hidden="1" ht="1" customHeight="1">
      <s:c r="A4505" s="120" t="inlineStr"/>
      <s:c r="B4505" s="121" t="n"/>
      <s:c r="C4505" s="121" t="n"/>
      <s:c r="D4505" s="121" t="n"/>
      <s:c r="E4505" s="122" t="n"/>
    </s:row>
    <s:row r="4506" hidden="1" ht="1" customHeight="1">
      <s:c r="A4506" s="120" t="inlineStr"/>
      <s:c r="B4506" s="121" t="n"/>
      <s:c r="C4506" s="121" t="n"/>
      <s:c r="D4506" s="121" t="n"/>
      <s:c r="E4506" s="122" t="n"/>
    </s:row>
    <s:row r="4507" hidden="1" ht="1" customHeight="1">
      <s:c r="A4507" s="120" t="inlineStr"/>
      <s:c r="B4507" s="121" t="n"/>
      <s:c r="C4507" s="121" t="n"/>
      <s:c r="D4507" s="121" t="n"/>
      <s:c r="E4507" s="122" t="n"/>
    </s:row>
    <s:row r="4508" hidden="1" ht="1" customHeight="1">
      <s:c r="A4508" s="120" t="inlineStr"/>
      <s:c r="B4508" s="121" t="n"/>
      <s:c r="C4508" s="121" t="n"/>
      <s:c r="D4508" s="121" t="n"/>
      <s:c r="E4508" s="122" t="n"/>
    </s:row>
    <s:row r="4509" hidden="1" ht="1" customHeight="1">
      <s:c r="A4509" s="120" t="inlineStr"/>
      <s:c r="B4509" s="121" t="n"/>
      <s:c r="C4509" s="121" t="n"/>
      <s:c r="D4509" s="121" t="n"/>
      <s:c r="E4509" s="122" t="n"/>
    </s:row>
    <s:row r="4510" hidden="1" ht="1" customHeight="1">
      <s:c r="A4510" s="120" t="inlineStr"/>
      <s:c r="B4510" s="121" t="n"/>
      <s:c r="C4510" s="121" t="n"/>
      <s:c r="D4510" s="121" t="n"/>
      <s:c r="E4510" s="122" t="n"/>
    </s:row>
    <s:row r="4511" hidden="1" ht="1" customHeight="1">
      <s:c r="A4511" s="83" t="inlineStr">
        <s:is>
          <s:t>PASS</s:t>
        </s:is>
      </s:c>
      <s:c r="B4511" s="83">
        <s:f>SUM(IF(EXACT('Kiểm thử'!E4461,"Đạt"),1,0))</s:f>
        <s:v/>
      </s:c>
      <s:c r="C4511" s="19" t="n"/>
      <s:c r="D4511" s="19" t="n"/>
      <s:c r="E4511" s="19" t="n"/>
    </s:row>
    <s:row r="4512" hidden="1" ht="1" customHeight="1">
      <s:c r="A4512" s="83" t="inlineStr">
        <s:is>
          <s:t>FAIL</s:t>
        </s:is>
      </s:c>
      <s:c r="B4512" s="83">
        <s:f>SUM(IF(EXACT('Kiểm thử'!E4461,"Không đạt"),1,0))</s:f>
        <s:v/>
      </s:c>
      <s:c r="C4512" s="19" t="n"/>
      <s:c r="D4512" s="19" t="n"/>
      <s:c r="E4512" s="19" t="n"/>
    </s:row>
    <s:row r="4513" hidden="1" ht="1" customHeight="1">
      <s:c r="A4513" s="83" t="inlineStr">
        <s:is>
          <s:t>BLOCKED</s:t>
        </s:is>
      </s:c>
      <s:c r="B4513" s="83">
        <s:f>SUM(IF(EXACT('Kiểm thử'!E4461,"Bị chặn"),1,0))</s:f>
        <s:v/>
      </s:c>
      <s:c r="C4513" s="19" t="n"/>
      <s:c r="D4513" s="19" t="n"/>
      <s:c r="E4513" s="19" t="n"/>
    </s:row>
    <s:row r="4514" hidden="1" ht="1" customHeight="1">
      <s:c r="A4514" s="83" t="inlineStr">
        <s:is>
          <s:t>SKIPPED</s:t>
        </s:is>
      </s:c>
      <s:c r="B4514" s="83">
        <s:f>SUM(IF(EXACT('Kiểm thử'!E4461,"Không thực hiện"),1,0))</s:f>
        <s:v/>
      </s:c>
      <s:c r="C4514" s="19" t="n"/>
      <s:c r="D4514" s="19" t="n"/>
      <s:c r="E4514" s="19" t="n"/>
    </s:row>
    <s:row r="4515" hidden="1" ht="1" customHeight="1">
      <s:c r="A4515" s="83" t="inlineStr">
        <s:is>
          <s:t>NOT RUN</s:t>
        </s:is>
      </s:c>
      <s:c r="B4515" s="83">
        <s:f>SUM(IF(EXACT('Kiểm thử'!E4461,"Chưa thực hiện"),1,0))</s:f>
        <s:v/>
      </s:c>
      <s:c r="C4515" s="19" t="n"/>
      <s:c r="D4515" s="19" t="n"/>
      <s:c r="E4515" s="19" t="n"/>
    </s:row>
    <s:row r="4516" hidden="1" ht="6" customHeight="1">
      <s:c r="A4516" s="83" t="inlineStr"/>
      <s:c r="B4516" s="19" t="n"/>
      <s:c r="C4516" s="19" t="n"/>
      <s:c r="D4516" s="19" t="n"/>
      <s:c r="E4516" s="19" t="n"/>
    </s:row>
    <s:row r="4517" ht="28" customHeight="1">
      <s:c r="A4517" s="108" t="inlineStr">
        <s:is>
          <s:t>TC-RS-FUNC-011 — Chọn loại ngưỡng làm thay đổi vùng nhập</s:t>
        </s:is>
      </s:c>
      <s:c r="B4517" s="111" t="n"/>
      <s:c r="C4517" s="111" t="n"/>
      <s:c r="D4517" s="111" t="n"/>
      <s:c r="E4517" s="111" t="n"/>
    </s:row>
    <s:row r="4518" ht="20" customHeight="1">
      <s:c r="A4518" s="112" t="inlineStr">
        <s:is>
          <s:t>Kết quả tình huống</s:t>
        </s:is>
      </s:c>
      <s:c r="B4518" s="113">
        <s:f>IF(SUM(IF(EXACT('Kiểm thử'!E4526,"Không đạt"),1,0),IF(EXACT('Kiểm thử'!E4528,"Không đạt"),1,0),IF(EXACT('Kiểm thử'!E4530,"Không đạt"),1,0))&gt;0,"Không đạt",IF(SUM(IF(EXACT('Kiểm thử'!E4526,"Đạt"),1,0),IF(EXACT('Kiểm thử'!E4528,"Đạt"),1,0),IF(EXACT('Kiểm thử'!E4530,"Đạt"),1,0))=3,"Đạt",IF(SUM(IF(EXACT('Kiểm thử'!E4526,"Không thực hiện"),1,0),IF(EXACT('Kiểm thử'!E4528,"Không thực hiện"),1,0),IF(EXACT('Kiểm thử'!E4530,"Không thực hiện"),1,0))=3,"Không thực hiện",IF(SUM(IF(EXACT('Kiểm thử'!E4526,"Bị chặn"),1,0),IF(EXACT('Kiểm thử'!E4528,"Bị chặn"),1,0),IF(EXACT('Kiểm thử'!E4530,"Bị chặn"),1,0))&gt;0,"Bị chặn",IF(SUM(IF(EXACT('Kiểm thử'!E4526,"Chưa thực hiện"),1,0),IF(EXACT('Kiểm thử'!E4528,"Chưa thực hiện"),1,0),IF(EXACT('Kiểm thử'!E4530,"Chưa thực hiện"),1,0))=3,"Chưa thực hiện","Đang thực hiện")))))</s:f>
        <s:v/>
      </s:c>
      <s:c r="C4518" s="114" t="n"/>
      <s:c r="D4518" s="114" t="n"/>
      <s:c r="E4518" s="114" t="n"/>
    </s:row>
    <s:row r="4519" ht="20" customHeight="1">
      <s:c r="A4519" s="112" t="inlineStr">
        <s:is>
          <s:t>Màn hình / chức năng</s:t>
        </s:is>
      </s:c>
      <s:c r="B4519" s="113" t="inlineStr">
        <s:is>
          <s:r>
            <s:rPr>
              <s:b val="1"/>
            </s:rPr>
            <s:t>Thiết lập ngưỡng（基準設定）</s:t>
          </s:r>
        </s:is>
      </s:c>
      <s:c r="C4519" s="28" t="n"/>
      <s:c r="D4519" s="28" t="n"/>
      <s:c r="E4519" s="28" t="n"/>
    </s:row>
    <s:row r="4520" ht="20" customHeight="1">
      <s:c r="A4520" s="112" t="inlineStr">
        <s:is>
          <s:t>Cấu hình</s:t>
        </s:is>
      </s:c>
      <s:c r="B4520" s="113" t="inlineStr">
        <s:is>
          <s:t>• Mở Ngưỡng của một quy tắc.</s:t>
        </s:is>
      </s:c>
      <s:c r="C4520" s="28" t="n"/>
      <s:c r="D4520" s="28" t="n"/>
      <s:c r="E4520" s="28" t="n"/>
    </s:row>
    <s:row r="4521" ht="20" customHeight="1">
      <s:c r="A4521" s="112" t="inlineStr">
        <s:is>
          <s:t>Dữ liệu test</s:t>
        </s:is>
      </s:c>
      <s:c r="B4521" s="113" t="inlineStr">
        <s:is>
          <s:t>• —</s:t>
        </s:is>
      </s:c>
      <s:c r="C4521" s="28" t="n"/>
      <s:c r="D4521" s="28" t="n"/>
      <s:c r="E4521" s="28" t="n"/>
    </s:row>
    <s:row r="4522" ht="20" customHeight="1">
      <s:c r="A4522" s="112" t="inlineStr">
        <s:is>
          <s:t>Bước 1</s:t>
        </s:is>
      </s:c>
      <s:c r="B4522" s="113" t="inlineStr">
        <s:is>
          <s:r>
            <s:rPr>
              <s:b val="1"/>
            </s:rPr>
            <s:t>Mở màn Ngưỡng（基準設定）</s:t>
          </s:r>
          <s:r>
            <s:t xml:space="preserve"> của rule.</s:t>
          </s:r>
        </s:is>
      </s:c>
      <s:c r="C4522" s="28" t="n"/>
      <s:c r="D4522" s="28" t="n"/>
      <s:c r="E4522" s="28" t="n"/>
    </s:row>
    <s:row r="4523" ht="20" customHeight="1">
      <s:c r="A4523" s="112" t="inlineStr">
        <s:is>
          <s:t>Bước 2</s:t>
        </s:is>
      </s:c>
      <s:c r="B4523" s="113" t="inlineStr">
        <s:is>
          <s:t>Chọn đúng loại ngưỡng trong trường hợp; quan sát vùng nhập thay đổi và các trường liên quan.</s:t>
        </s:is>
      </s:c>
      <s:c r="C4523" s="28" t="n"/>
      <s:c r="D4523" s="28" t="n"/>
      <s:c r="E4523" s="28" t="n"/>
    </s:row>
    <s:row r="4524" ht="28" customHeight="1">
      <s:c r="A4524" s="115" t="inlineStr">
        <s:is>
          <s:t>Trường hợp</s:t>
        </s:is>
      </s:c>
      <s:c r="B4524" s="115" t="inlineStr">
        <s:is>
          <s:t>Dữ liệu / thao tác riêng</s:t>
        </s:is>
      </s:c>
      <s:c r="C4524" s="115" t="inlineStr">
        <s:is>
          <s:t>Kết quả mong đợi</s:t>
        </s:is>
      </s:c>
      <s:c r="D4524" s="115" t="inlineStr">
        <s:is>
          <s:t>Kết quả thực tế</s:t>
        </s:is>
      </s:c>
      <s:c r="E4524" s="115" t="inlineStr">
        <s:is>
          <s:t>Đánh giá</s:t>
        </s:is>
      </s:c>
    </s:row>
    <s:row r="4525" ht="3" customHeight="1">
      <s:c r="A4525" s="102" t="inlineStr"/>
      <s:c r="B4525" s="99" t="n"/>
      <s:c r="C4525" s="99" t="n"/>
      <s:c r="D4525" s="116" t="n"/>
      <s:c r="E4525" s="116" t="n"/>
    </s:row>
    <s:row r="4526" ht="48" customHeight="1">
      <s:c r="A4526" s="83" t="inlineStr">
        <s:is>
          <s:t>Chọn cố định (fixed)</s:t>
        </s:is>
      </s:c>
      <s:c r="B4526" s="83" t="inlineStr">
        <s:is>
          <s:r>
            <s:rPr>
              <s:b val="1"/>
            </s:rPr>
            <s:t>Chọn Điểm cố định（固定点数）</s:t>
          </s:r>
          <s:r>
            <s:t xml:space="preserve"> và quan sát vùng nhập.</s:t>
          </s:r>
        </s:is>
      </s:c>
      <s:c r="C4526" s="83" t="inlineStr">
        <s:is>
          <s:t>1. Cố định: có ô ngưỡng và dấu so sánh; không có vùng nguồn trung bình, không có xử lý phần lẻ.</s:t>
        </s:is>
      </s:c>
      <s:c r="D4526" s="117" t="inlineStr"/>
      <s:c r="E4526" s="118" t="inlineStr">
        <s:is>
          <s:t>Chưa thực hiện</s:t>
        </s:is>
      </s:c>
    </s:row>
    <s:row r="4527" ht="3" customHeight="1">
      <s:c r="A4527" s="102" t="inlineStr"/>
      <s:c r="B4527" s="99" t="n"/>
      <s:c r="C4527" s="99" t="n"/>
      <s:c r="D4527" s="116" t="n"/>
      <s:c r="E4527" s="116" t="n"/>
    </s:row>
    <s:row r="4528" ht="34" customHeight="1">
      <s:c r="A4528" s="83" t="inlineStr">
        <s:is>
          <s:t>Chọn tỷ lệ (ratio)</s:t>
        </s:is>
      </s:c>
      <s:c r="B4528" s="83" t="inlineStr">
        <s:is>
          <s:r>
            <s:t xml:space="preserve">Chọn Tỷ </s:t>
          </s:r>
          <s:r>
            <s:rPr>
              <s:b val="1"/>
            </s:rPr>
            <s:t>lệ điểm tối đa（得点率）</s:t>
          </s:r>
          <s:r>
            <s:t xml:space="preserve"> và quan sát vùng nhập.</s:t>
          </s:r>
        </s:is>
      </s:c>
      <s:c r="C4528" s="83" t="inlineStr">
        <s:is>
          <s:t>2. Tỷ lệ: có ô %, xử lý phần lẻ, dấu so sánh; không có vùng nguồn trung bình.</s:t>
        </s:is>
      </s:c>
      <s:c r="D4528" s="117" t="inlineStr"/>
      <s:c r="E4528" s="118" t="inlineStr">
        <s:is>
          <s:t>Chưa thực hiện</s:t>
        </s:is>
      </s:c>
    </s:row>
    <s:row r="4529" ht="3" customHeight="1">
      <s:c r="A4529" s="102" t="inlineStr"/>
      <s:c r="B4529" s="99" t="n"/>
      <s:c r="C4529" s="99" t="n"/>
      <s:c r="D4529" s="116" t="n"/>
      <s:c r="E4529" s="116" t="n"/>
    </s:row>
    <s:row r="4530" ht="34" customHeight="1">
      <s:c r="A4530" s="83" t="inlineStr">
        <s:is>
          <s:t>Chọn công thức (formula)</s:t>
        </s:is>
      </s:c>
      <s:c r="B4530" s="83" t="inlineStr">
        <s:is>
          <s:r>
            <s:rPr>
              <s:b val="1"/>
            </s:rPr>
            <s:t>Chọn Công thức（計算式）</s:t>
          </s:r>
          <s:r>
            <s:t xml:space="preserve"> và quan sát vùng nhập.</s:t>
          </s:r>
        </s:is>
      </s:c>
      <s:c r="C4530" s="83" t="inlineStr">
        <s:is>
          <s:t>3. Công thức: có vùng nguồn trung bình, bảng dòng công thức, dấu so sánh.</s:t>
        </s:is>
      </s:c>
      <s:c r="D4530" s="117" t="inlineStr"/>
      <s:c r="E4530" s="118" t="inlineStr">
        <s:is>
          <s:t>Chưa thực hiện</s:t>
        </s:is>
      </s:c>
    </s:row>
    <s:row r="4531" ht="20" customHeight="1">
      <s:c r="A4531" s="119" t="inlineStr">
        <s:is>
          <s:t>Ảnh minh chứng — Chưa có ảnh</s:t>
        </s:is>
      </s:c>
      <s:c r="B4531" s="19" t="n"/>
      <s:c r="C4531" s="19" t="n"/>
      <s:c r="D4531" s="19" t="n"/>
      <s:c r="E4531" s="19" t="n"/>
    </s:row>
    <s:row r="4532" hidden="1" ht="1" customHeight="1">
      <s:c r="A4532" s="120" t="inlineStr"/>
      <s:c r="B4532" s="121" t="n"/>
      <s:c r="C4532" s="121" t="n"/>
      <s:c r="D4532" s="121" t="n"/>
      <s:c r="E4532" s="122" t="n"/>
    </s:row>
    <s:row r="4533" hidden="1" ht="1" customHeight="1">
      <s:c r="A4533" s="120" t="inlineStr"/>
      <s:c r="B4533" s="121" t="n"/>
      <s:c r="C4533" s="121" t="n"/>
      <s:c r="D4533" s="121" t="n"/>
      <s:c r="E4533" s="122" t="n"/>
    </s:row>
    <s:row r="4534" hidden="1" ht="1" customHeight="1">
      <s:c r="A4534" s="120" t="inlineStr"/>
      <s:c r="B4534" s="121" t="n"/>
      <s:c r="C4534" s="121" t="n"/>
      <s:c r="D4534" s="121" t="n"/>
      <s:c r="E4534" s="122" t="n"/>
    </s:row>
    <s:row r="4535" hidden="1" ht="1" customHeight="1">
      <s:c r="A4535" s="120" t="inlineStr"/>
      <s:c r="B4535" s="121" t="n"/>
      <s:c r="C4535" s="121" t="n"/>
      <s:c r="D4535" s="121" t="n"/>
      <s:c r="E4535" s="122" t="n"/>
    </s:row>
    <s:row r="4536" hidden="1" ht="1" customHeight="1">
      <s:c r="A4536" s="120" t="inlineStr"/>
      <s:c r="B4536" s="121" t="n"/>
      <s:c r="C4536" s="121" t="n"/>
      <s:c r="D4536" s="121" t="n"/>
      <s:c r="E4536" s="122" t="n"/>
    </s:row>
    <s:row r="4537" hidden="1" ht="1" customHeight="1">
      <s:c r="A4537" s="120" t="inlineStr"/>
      <s:c r="B4537" s="121" t="n"/>
      <s:c r="C4537" s="121" t="n"/>
      <s:c r="D4537" s="121" t="n"/>
      <s:c r="E4537" s="122" t="n"/>
    </s:row>
    <s:row r="4538" hidden="1" ht="1" customHeight="1">
      <s:c r="A4538" s="120" t="inlineStr"/>
      <s:c r="B4538" s="121" t="n"/>
      <s:c r="C4538" s="121" t="n"/>
      <s:c r="D4538" s="121" t="n"/>
      <s:c r="E4538" s="122" t="n"/>
    </s:row>
    <s:row r="4539" hidden="1" ht="1" customHeight="1">
      <s:c r="A4539" s="120" t="inlineStr"/>
      <s:c r="B4539" s="121" t="n"/>
      <s:c r="C4539" s="121" t="n"/>
      <s:c r="D4539" s="121" t="n"/>
      <s:c r="E4539" s="122" t="n"/>
    </s:row>
    <s:row r="4540" hidden="1" ht="1" customHeight="1">
      <s:c r="A4540" s="120" t="inlineStr"/>
      <s:c r="B4540" s="121" t="n"/>
      <s:c r="C4540" s="121" t="n"/>
      <s:c r="D4540" s="121" t="n"/>
      <s:c r="E4540" s="122" t="n"/>
    </s:row>
    <s:row r="4541" hidden="1" ht="1" customHeight="1">
      <s:c r="A4541" s="120" t="inlineStr"/>
      <s:c r="B4541" s="121" t="n"/>
      <s:c r="C4541" s="121" t="n"/>
      <s:c r="D4541" s="121" t="n"/>
      <s:c r="E4541" s="122" t="n"/>
    </s:row>
    <s:row r="4542" hidden="1" ht="1" customHeight="1">
      <s:c r="A4542" s="120" t="inlineStr"/>
      <s:c r="B4542" s="121" t="n"/>
      <s:c r="C4542" s="121" t="n"/>
      <s:c r="D4542" s="121" t="n"/>
      <s:c r="E4542" s="122" t="n"/>
    </s:row>
    <s:row r="4543" hidden="1" ht="1" customHeight="1">
      <s:c r="A4543" s="120" t="inlineStr"/>
      <s:c r="B4543" s="121" t="n"/>
      <s:c r="C4543" s="121" t="n"/>
      <s:c r="D4543" s="121" t="n"/>
      <s:c r="E4543" s="122" t="n"/>
    </s:row>
    <s:row r="4544" hidden="1" ht="1" customHeight="1">
      <s:c r="A4544" s="120" t="inlineStr"/>
      <s:c r="B4544" s="121" t="n"/>
      <s:c r="C4544" s="121" t="n"/>
      <s:c r="D4544" s="121" t="n"/>
      <s:c r="E4544" s="122" t="n"/>
    </s:row>
    <s:row r="4545" hidden="1" ht="1" customHeight="1">
      <s:c r="A4545" s="120" t="inlineStr"/>
      <s:c r="B4545" s="121" t="n"/>
      <s:c r="C4545" s="121" t="n"/>
      <s:c r="D4545" s="121" t="n"/>
      <s:c r="E4545" s="122" t="n"/>
    </s:row>
    <s:row r="4546" hidden="1" ht="1" customHeight="1">
      <s:c r="A4546" s="120" t="inlineStr"/>
      <s:c r="B4546" s="121" t="n"/>
      <s:c r="C4546" s="121" t="n"/>
      <s:c r="D4546" s="121" t="n"/>
      <s:c r="E4546" s="122" t="n"/>
    </s:row>
    <s:row r="4547" hidden="1" ht="1" customHeight="1">
      <s:c r="A4547" s="120" t="inlineStr"/>
      <s:c r="B4547" s="121" t="n"/>
      <s:c r="C4547" s="121" t="n"/>
      <s:c r="D4547" s="121" t="n"/>
      <s:c r="E4547" s="122" t="n"/>
    </s:row>
    <s:row r="4548" hidden="1" ht="1" customHeight="1">
      <s:c r="A4548" s="120" t="inlineStr"/>
      <s:c r="B4548" s="121" t="n"/>
      <s:c r="C4548" s="121" t="n"/>
      <s:c r="D4548" s="121" t="n"/>
      <s:c r="E4548" s="122" t="n"/>
    </s:row>
    <s:row r="4549" hidden="1" ht="1" customHeight="1">
      <s:c r="A4549" s="120" t="inlineStr"/>
      <s:c r="B4549" s="121" t="n"/>
      <s:c r="C4549" s="121" t="n"/>
      <s:c r="D4549" s="121" t="n"/>
      <s:c r="E4549" s="122" t="n"/>
    </s:row>
    <s:row r="4550" hidden="1" ht="1" customHeight="1">
      <s:c r="A4550" s="120" t="inlineStr"/>
      <s:c r="B4550" s="121" t="n"/>
      <s:c r="C4550" s="121" t="n"/>
      <s:c r="D4550" s="121" t="n"/>
      <s:c r="E4550" s="122" t="n"/>
    </s:row>
    <s:row r="4551" hidden="1" ht="1" customHeight="1">
      <s:c r="A4551" s="120" t="inlineStr"/>
      <s:c r="B4551" s="121" t="n"/>
      <s:c r="C4551" s="121" t="n"/>
      <s:c r="D4551" s="121" t="n"/>
      <s:c r="E4551" s="122" t="n"/>
    </s:row>
    <s:row r="4552" hidden="1" ht="1" customHeight="1">
      <s:c r="A4552" s="120" t="inlineStr"/>
      <s:c r="B4552" s="121" t="n"/>
      <s:c r="C4552" s="121" t="n"/>
      <s:c r="D4552" s="121" t="n"/>
      <s:c r="E4552" s="122" t="n"/>
    </s:row>
    <s:row r="4553" hidden="1" ht="1" customHeight="1">
      <s:c r="A4553" s="120" t="inlineStr"/>
      <s:c r="B4553" s="121" t="n"/>
      <s:c r="C4553" s="121" t="n"/>
      <s:c r="D4553" s="121" t="n"/>
      <s:c r="E4553" s="122" t="n"/>
    </s:row>
    <s:row r="4554" hidden="1" ht="1" customHeight="1">
      <s:c r="A4554" s="120" t="inlineStr"/>
      <s:c r="B4554" s="121" t="n"/>
      <s:c r="C4554" s="121" t="n"/>
      <s:c r="D4554" s="121" t="n"/>
      <s:c r="E4554" s="122" t="n"/>
    </s:row>
    <s:row r="4555" hidden="1" ht="1" customHeight="1">
      <s:c r="A4555" s="120" t="inlineStr"/>
      <s:c r="B4555" s="121" t="n"/>
      <s:c r="C4555" s="121" t="n"/>
      <s:c r="D4555" s="121" t="n"/>
      <s:c r="E4555" s="122" t="n"/>
    </s:row>
    <s:row r="4556" hidden="1" ht="1" customHeight="1">
      <s:c r="A4556" s="120" t="inlineStr"/>
      <s:c r="B4556" s="121" t="n"/>
      <s:c r="C4556" s="121" t="n"/>
      <s:c r="D4556" s="121" t="n"/>
      <s:c r="E4556" s="122" t="n"/>
    </s:row>
    <s:row r="4557" hidden="1" ht="1" customHeight="1">
      <s:c r="A4557" s="120" t="inlineStr"/>
      <s:c r="B4557" s="121" t="n"/>
      <s:c r="C4557" s="121" t="n"/>
      <s:c r="D4557" s="121" t="n"/>
      <s:c r="E4557" s="122" t="n"/>
    </s:row>
    <s:row r="4558" hidden="1" ht="1" customHeight="1">
      <s:c r="A4558" s="120" t="inlineStr"/>
      <s:c r="B4558" s="121" t="n"/>
      <s:c r="C4558" s="121" t="n"/>
      <s:c r="D4558" s="121" t="n"/>
      <s:c r="E4558" s="122" t="n"/>
    </s:row>
    <s:row r="4559" hidden="1" ht="1" customHeight="1">
      <s:c r="A4559" s="120" t="inlineStr"/>
      <s:c r="B4559" s="121" t="n"/>
      <s:c r="C4559" s="121" t="n"/>
      <s:c r="D4559" s="121" t="n"/>
      <s:c r="E4559" s="122" t="n"/>
    </s:row>
    <s:row r="4560" hidden="1" ht="1" customHeight="1">
      <s:c r="A4560" s="120" t="inlineStr"/>
      <s:c r="B4560" s="121" t="n"/>
      <s:c r="C4560" s="121" t="n"/>
      <s:c r="D4560" s="121" t="n"/>
      <s:c r="E4560" s="122" t="n"/>
    </s:row>
    <s:row r="4561" hidden="1" ht="1" customHeight="1">
      <s:c r="A4561" s="120" t="inlineStr"/>
      <s:c r="B4561" s="121" t="n"/>
      <s:c r="C4561" s="121" t="n"/>
      <s:c r="D4561" s="121" t="n"/>
      <s:c r="E4561" s="122" t="n"/>
    </s:row>
    <s:row r="4562" hidden="1" ht="1" customHeight="1">
      <s:c r="A4562" s="120" t="inlineStr"/>
      <s:c r="B4562" s="121" t="n"/>
      <s:c r="C4562" s="121" t="n"/>
      <s:c r="D4562" s="121" t="n"/>
      <s:c r="E4562" s="122" t="n"/>
    </s:row>
    <s:row r="4563" hidden="1" ht="1" customHeight="1">
      <s:c r="A4563" s="120" t="inlineStr"/>
      <s:c r="B4563" s="121" t="n"/>
      <s:c r="C4563" s="121" t="n"/>
      <s:c r="D4563" s="121" t="n"/>
      <s:c r="E4563" s="122" t="n"/>
    </s:row>
    <s:row r="4564" hidden="1" ht="1" customHeight="1">
      <s:c r="A4564" s="120" t="inlineStr"/>
      <s:c r="B4564" s="121" t="n"/>
      <s:c r="C4564" s="121" t="n"/>
      <s:c r="D4564" s="121" t="n"/>
      <s:c r="E4564" s="122" t="n"/>
    </s:row>
    <s:row r="4565" hidden="1" ht="1" customHeight="1">
      <s:c r="A4565" s="120" t="inlineStr"/>
      <s:c r="B4565" s="121" t="n"/>
      <s:c r="C4565" s="121" t="n"/>
      <s:c r="D4565" s="121" t="n"/>
      <s:c r="E4565" s="122" t="n"/>
    </s:row>
    <s:row r="4566" hidden="1" ht="1" customHeight="1">
      <s:c r="A4566" s="120" t="inlineStr"/>
      <s:c r="B4566" s="121" t="n"/>
      <s:c r="C4566" s="121" t="n"/>
      <s:c r="D4566" s="121" t="n"/>
      <s:c r="E4566" s="122" t="n"/>
    </s:row>
    <s:row r="4567" hidden="1" ht="1" customHeight="1">
      <s:c r="A4567" s="120" t="inlineStr"/>
      <s:c r="B4567" s="121" t="n"/>
      <s:c r="C4567" s="121" t="n"/>
      <s:c r="D4567" s="121" t="n"/>
      <s:c r="E4567" s="122" t="n"/>
    </s:row>
    <s:row r="4568" hidden="1" ht="1" customHeight="1">
      <s:c r="A4568" s="120" t="inlineStr"/>
      <s:c r="B4568" s="121" t="n"/>
      <s:c r="C4568" s="121" t="n"/>
      <s:c r="D4568" s="121" t="n"/>
      <s:c r="E4568" s="122" t="n"/>
    </s:row>
    <s:row r="4569" hidden="1" ht="1" customHeight="1">
      <s:c r="A4569" s="120" t="inlineStr"/>
      <s:c r="B4569" s="121" t="n"/>
      <s:c r="C4569" s="121" t="n"/>
      <s:c r="D4569" s="121" t="n"/>
      <s:c r="E4569" s="122" t="n"/>
    </s:row>
    <s:row r="4570" hidden="1" ht="1" customHeight="1">
      <s:c r="A4570" s="120" t="inlineStr"/>
      <s:c r="B4570" s="121" t="n"/>
      <s:c r="C4570" s="121" t="n"/>
      <s:c r="D4570" s="121" t="n"/>
      <s:c r="E4570" s="122" t="n"/>
    </s:row>
    <s:row r="4571" hidden="1" ht="1" customHeight="1">
      <s:c r="A4571" s="120" t="inlineStr"/>
      <s:c r="B4571" s="121" t="n"/>
      <s:c r="C4571" s="121" t="n"/>
      <s:c r="D4571" s="121" t="n"/>
      <s:c r="E4571" s="122" t="n"/>
    </s:row>
    <s:row r="4572" hidden="1" ht="1" customHeight="1">
      <s:c r="A4572" s="120" t="inlineStr"/>
      <s:c r="B4572" s="121" t="n"/>
      <s:c r="C4572" s="121" t="n"/>
      <s:c r="D4572" s="121" t="n"/>
      <s:c r="E4572" s="122" t="n"/>
    </s:row>
    <s:row r="4573" hidden="1" ht="1" customHeight="1">
      <s:c r="A4573" s="120" t="inlineStr"/>
      <s:c r="B4573" s="121" t="n"/>
      <s:c r="C4573" s="121" t="n"/>
      <s:c r="D4573" s="121" t="n"/>
      <s:c r="E4573" s="122" t="n"/>
    </s:row>
    <s:row r="4574" hidden="1" ht="1" customHeight="1">
      <s:c r="A4574" s="120" t="inlineStr"/>
      <s:c r="B4574" s="121" t="n"/>
      <s:c r="C4574" s="121" t="n"/>
      <s:c r="D4574" s="121" t="n"/>
      <s:c r="E4574" s="122" t="n"/>
    </s:row>
    <s:row r="4575" hidden="1" ht="1" customHeight="1">
      <s:c r="A4575" s="120" t="inlineStr"/>
      <s:c r="B4575" s="121" t="n"/>
      <s:c r="C4575" s="121" t="n"/>
      <s:c r="D4575" s="121" t="n"/>
      <s:c r="E4575" s="122" t="n"/>
    </s:row>
    <s:row r="4576" hidden="1" ht="1" customHeight="1">
      <s:c r="A4576" s="120" t="inlineStr"/>
      <s:c r="B4576" s="121" t="n"/>
      <s:c r="C4576" s="121" t="n"/>
      <s:c r="D4576" s="121" t="n"/>
      <s:c r="E4576" s="122" t="n"/>
    </s:row>
    <s:row r="4577" hidden="1" ht="1" customHeight="1">
      <s:c r="A4577" s="120" t="inlineStr"/>
      <s:c r="B4577" s="121" t="n"/>
      <s:c r="C4577" s="121" t="n"/>
      <s:c r="D4577" s="121" t="n"/>
      <s:c r="E4577" s="122" t="n"/>
    </s:row>
    <s:row r="4578" hidden="1" ht="1" customHeight="1">
      <s:c r="A4578" s="120" t="inlineStr"/>
      <s:c r="B4578" s="121" t="n"/>
      <s:c r="C4578" s="121" t="n"/>
      <s:c r="D4578" s="121" t="n"/>
      <s:c r="E4578" s="122" t="n"/>
    </s:row>
    <s:row r="4579" hidden="1" ht="1" customHeight="1">
      <s:c r="A4579" s="120" t="inlineStr"/>
      <s:c r="B4579" s="121" t="n"/>
      <s:c r="C4579" s="121" t="n"/>
      <s:c r="D4579" s="121" t="n"/>
      <s:c r="E4579" s="122" t="n"/>
    </s:row>
    <s:row r="4580" hidden="1" ht="1" customHeight="1">
      <s:c r="A4580" s="120" t="inlineStr"/>
      <s:c r="B4580" s="121" t="n"/>
      <s:c r="C4580" s="121" t="n"/>
      <s:c r="D4580" s="121" t="n"/>
      <s:c r="E4580" s="122" t="n"/>
    </s:row>
    <s:row r="4581" hidden="1" ht="1" customHeight="1">
      <s:c r="A4581" s="120" t="inlineStr"/>
      <s:c r="B4581" s="121" t="n"/>
      <s:c r="C4581" s="121" t="n"/>
      <s:c r="D4581" s="121" t="n"/>
      <s:c r="E4581" s="122" t="n"/>
    </s:row>
    <s:row r="4582" hidden="1" ht="1" customHeight="1">
      <s:c r="A4582" s="120" t="inlineStr"/>
      <s:c r="B4582" s="121" t="n"/>
      <s:c r="C4582" s="121" t="n"/>
      <s:c r="D4582" s="121" t="n"/>
      <s:c r="E4582" s="122" t="n"/>
    </s:row>
    <s:row r="4583" hidden="1" ht="1" customHeight="1">
      <s:c r="A4583" s="120" t="inlineStr"/>
      <s:c r="B4583" s="121" t="n"/>
      <s:c r="C4583" s="121" t="n"/>
      <s:c r="D4583" s="121" t="n"/>
      <s:c r="E4583" s="122" t="n"/>
    </s:row>
    <s:row r="4584" hidden="1" ht="1" customHeight="1">
      <s:c r="A4584" s="120" t="inlineStr"/>
      <s:c r="B4584" s="121" t="n"/>
      <s:c r="C4584" s="121" t="n"/>
      <s:c r="D4584" s="121" t="n"/>
      <s:c r="E4584" s="122" t="n"/>
    </s:row>
    <s:row r="4585" hidden="1" ht="1" customHeight="1">
      <s:c r="A4585" s="120" t="inlineStr"/>
      <s:c r="B4585" s="121" t="n"/>
      <s:c r="C4585" s="121" t="n"/>
      <s:c r="D4585" s="121" t="n"/>
      <s:c r="E4585" s="122" t="n"/>
    </s:row>
    <s:row r="4586" hidden="1" ht="1" customHeight="1">
      <s:c r="A4586" s="120" t="inlineStr"/>
      <s:c r="B4586" s="121" t="n"/>
      <s:c r="C4586" s="121" t="n"/>
      <s:c r="D4586" s="121" t="n"/>
      <s:c r="E4586" s="122" t="n"/>
    </s:row>
    <s:row r="4587" hidden="1" ht="1" customHeight="1">
      <s:c r="A4587" s="120" t="inlineStr"/>
      <s:c r="B4587" s="121" t="n"/>
      <s:c r="C4587" s="121" t="n"/>
      <s:c r="D4587" s="121" t="n"/>
      <s:c r="E4587" s="122" t="n"/>
    </s:row>
    <s:row r="4588" hidden="1" ht="1" customHeight="1">
      <s:c r="A4588" s="120" t="inlineStr"/>
      <s:c r="B4588" s="121" t="n"/>
      <s:c r="C4588" s="121" t="n"/>
      <s:c r="D4588" s="121" t="n"/>
      <s:c r="E4588" s="122" t="n"/>
    </s:row>
    <s:row r="4589" hidden="1" ht="1" customHeight="1">
      <s:c r="A4589" s="120" t="inlineStr"/>
      <s:c r="B4589" s="121" t="n"/>
      <s:c r="C4589" s="121" t="n"/>
      <s:c r="D4589" s="121" t="n"/>
      <s:c r="E4589" s="122" t="n"/>
    </s:row>
    <s:row r="4590" hidden="1" ht="1" customHeight="1">
      <s:c r="A4590" s="120" t="inlineStr"/>
      <s:c r="B4590" s="121" t="n"/>
      <s:c r="C4590" s="121" t="n"/>
      <s:c r="D4590" s="121" t="n"/>
      <s:c r="E4590" s="122" t="n"/>
    </s:row>
    <s:row r="4591" hidden="1" ht="1" customHeight="1">
      <s:c r="A4591" s="120" t="inlineStr"/>
      <s:c r="B4591" s="121" t="n"/>
      <s:c r="C4591" s="121" t="n"/>
      <s:c r="D4591" s="121" t="n"/>
      <s:c r="E4591" s="122" t="n"/>
    </s:row>
    <s:row r="4592" hidden="1" ht="1" customHeight="1">
      <s:c r="A4592" s="120" t="inlineStr"/>
      <s:c r="B4592" s="121" t="n"/>
      <s:c r="C4592" s="121" t="n"/>
      <s:c r="D4592" s="121" t="n"/>
      <s:c r="E4592" s="122" t="n"/>
    </s:row>
    <s:row r="4593" hidden="1" ht="1" customHeight="1">
      <s:c r="A4593" s="120" t="inlineStr"/>
      <s:c r="B4593" s="121" t="n"/>
      <s:c r="C4593" s="121" t="n"/>
      <s:c r="D4593" s="121" t="n"/>
      <s:c r="E4593" s="122" t="n"/>
    </s:row>
    <s:row r="4594" hidden="1" ht="1" customHeight="1">
      <s:c r="A4594" s="120" t="inlineStr"/>
      <s:c r="B4594" s="121" t="n"/>
      <s:c r="C4594" s="121" t="n"/>
      <s:c r="D4594" s="121" t="n"/>
      <s:c r="E4594" s="122" t="n"/>
    </s:row>
    <s:row r="4595" hidden="1" ht="1" customHeight="1">
      <s:c r="A4595" s="120" t="inlineStr"/>
      <s:c r="B4595" s="121" t="n"/>
      <s:c r="C4595" s="121" t="n"/>
      <s:c r="D4595" s="121" t="n"/>
      <s:c r="E4595" s="122" t="n"/>
    </s:row>
    <s:row r="4596" hidden="1" ht="1" customHeight="1">
      <s:c r="A4596" s="120" t="inlineStr"/>
      <s:c r="B4596" s="121" t="n"/>
      <s:c r="C4596" s="121" t="n"/>
      <s:c r="D4596" s="121" t="n"/>
      <s:c r="E4596" s="122" t="n"/>
    </s:row>
    <s:row r="4597" hidden="1" ht="1" customHeight="1">
      <s:c r="A4597" s="120" t="inlineStr"/>
      <s:c r="B4597" s="121" t="n"/>
      <s:c r="C4597" s="121" t="n"/>
      <s:c r="D4597" s="121" t="n"/>
      <s:c r="E4597" s="122" t="n"/>
    </s:row>
    <s:row r="4598" hidden="1" ht="1" customHeight="1">
      <s:c r="A4598" s="120" t="inlineStr"/>
      <s:c r="B4598" s="121" t="n"/>
      <s:c r="C4598" s="121" t="n"/>
      <s:c r="D4598" s="121" t="n"/>
      <s:c r="E4598" s="122" t="n"/>
    </s:row>
    <s:row r="4599" hidden="1" ht="1" customHeight="1">
      <s:c r="A4599" s="120" t="inlineStr"/>
      <s:c r="B4599" s="121" t="n"/>
      <s:c r="C4599" s="121" t="n"/>
      <s:c r="D4599" s="121" t="n"/>
      <s:c r="E4599" s="122" t="n"/>
    </s:row>
    <s:row r="4600" hidden="1" ht="1" customHeight="1">
      <s:c r="A4600" s="120" t="inlineStr"/>
      <s:c r="B4600" s="121" t="n"/>
      <s:c r="C4600" s="121" t="n"/>
      <s:c r="D4600" s="121" t="n"/>
      <s:c r="E4600" s="122" t="n"/>
    </s:row>
    <s:row r="4601" hidden="1" ht="1" customHeight="1">
      <s:c r="A4601" s="120" t="inlineStr"/>
      <s:c r="B4601" s="121" t="n"/>
      <s:c r="C4601" s="121" t="n"/>
      <s:c r="D4601" s="121" t="n"/>
      <s:c r="E4601" s="122" t="n"/>
    </s:row>
    <s:row r="4602" hidden="1" ht="1" customHeight="1">
      <s:c r="A4602" s="120" t="inlineStr"/>
      <s:c r="B4602" s="121" t="n"/>
      <s:c r="C4602" s="121" t="n"/>
      <s:c r="D4602" s="121" t="n"/>
      <s:c r="E4602" s="122" t="n"/>
    </s:row>
    <s:row r="4603" hidden="1" ht="1" customHeight="1">
      <s:c r="A4603" s="120" t="inlineStr"/>
      <s:c r="B4603" s="121" t="n"/>
      <s:c r="C4603" s="121" t="n"/>
      <s:c r="D4603" s="121" t="n"/>
      <s:c r="E4603" s="122" t="n"/>
    </s:row>
    <s:row r="4604" hidden="1" ht="1" customHeight="1">
      <s:c r="A4604" s="120" t="inlineStr"/>
      <s:c r="B4604" s="121" t="n"/>
      <s:c r="C4604" s="121" t="n"/>
      <s:c r="D4604" s="121" t="n"/>
      <s:c r="E4604" s="122" t="n"/>
    </s:row>
    <s:row r="4605" hidden="1" ht="1" customHeight="1">
      <s:c r="A4605" s="120" t="inlineStr"/>
      <s:c r="B4605" s="121" t="n"/>
      <s:c r="C4605" s="121" t="n"/>
      <s:c r="D4605" s="121" t="n"/>
      <s:c r="E4605" s="122" t="n"/>
    </s:row>
    <s:row r="4606" hidden="1" ht="1" customHeight="1">
      <s:c r="A4606" s="120" t="inlineStr"/>
      <s:c r="B4606" s="121" t="n"/>
      <s:c r="C4606" s="121" t="n"/>
      <s:c r="D4606" s="121" t="n"/>
      <s:c r="E4606" s="122" t="n"/>
    </s:row>
    <s:row r="4607" hidden="1" ht="1" customHeight="1">
      <s:c r="A4607" s="120" t="inlineStr"/>
      <s:c r="B4607" s="121" t="n"/>
      <s:c r="C4607" s="121" t="n"/>
      <s:c r="D4607" s="121" t="n"/>
      <s:c r="E4607" s="122" t="n"/>
    </s:row>
    <s:row r="4608" hidden="1" ht="1" customHeight="1">
      <s:c r="A4608" s="120" t="inlineStr"/>
      <s:c r="B4608" s="121" t="n"/>
      <s:c r="C4608" s="121" t="n"/>
      <s:c r="D4608" s="121" t="n"/>
      <s:c r="E4608" s="122" t="n"/>
    </s:row>
    <s:row r="4609" hidden="1" ht="1" customHeight="1">
      <s:c r="A4609" s="120" t="inlineStr"/>
      <s:c r="B4609" s="121" t="n"/>
      <s:c r="C4609" s="121" t="n"/>
      <s:c r="D4609" s="121" t="n"/>
      <s:c r="E4609" s="122" t="n"/>
    </s:row>
    <s:row r="4610" hidden="1" ht="1" customHeight="1">
      <s:c r="A4610" s="120" t="inlineStr"/>
      <s:c r="B4610" s="121" t="n"/>
      <s:c r="C4610" s="121" t="n"/>
      <s:c r="D4610" s="121" t="n"/>
      <s:c r="E4610" s="122" t="n"/>
    </s:row>
    <s:row r="4611" hidden="1" ht="1" customHeight="1">
      <s:c r="A4611" s="120" t="inlineStr"/>
      <s:c r="B4611" s="121" t="n"/>
      <s:c r="C4611" s="121" t="n"/>
      <s:c r="D4611" s="121" t="n"/>
      <s:c r="E4611" s="122" t="n"/>
    </s:row>
    <s:row r="4612" hidden="1" ht="1" customHeight="1">
      <s:c r="A4612" s="120" t="inlineStr"/>
      <s:c r="B4612" s="121" t="n"/>
      <s:c r="C4612" s="121" t="n"/>
      <s:c r="D4612" s="121" t="n"/>
      <s:c r="E4612" s="122" t="n"/>
    </s:row>
    <s:row r="4613" hidden="1" ht="1" customHeight="1">
      <s:c r="A4613" s="120" t="inlineStr"/>
      <s:c r="B4613" s="121" t="n"/>
      <s:c r="C4613" s="121" t="n"/>
      <s:c r="D4613" s="121" t="n"/>
      <s:c r="E4613" s="122" t="n"/>
    </s:row>
    <s:row r="4614" hidden="1" ht="1" customHeight="1">
      <s:c r="A4614" s="120" t="inlineStr"/>
      <s:c r="B4614" s="121" t="n"/>
      <s:c r="C4614" s="121" t="n"/>
      <s:c r="D4614" s="121" t="n"/>
      <s:c r="E4614" s="122" t="n"/>
    </s:row>
    <s:row r="4615" hidden="1" ht="1" customHeight="1">
      <s:c r="A4615" s="120" t="inlineStr"/>
      <s:c r="B4615" s="121" t="n"/>
      <s:c r="C4615" s="121" t="n"/>
      <s:c r="D4615" s="121" t="n"/>
      <s:c r="E4615" s="122" t="n"/>
    </s:row>
    <s:row r="4616" hidden="1" ht="1" customHeight="1">
      <s:c r="A4616" s="120" t="inlineStr"/>
      <s:c r="B4616" s="121" t="n"/>
      <s:c r="C4616" s="121" t="n"/>
      <s:c r="D4616" s="121" t="n"/>
      <s:c r="E4616" s="122" t="n"/>
    </s:row>
    <s:row r="4617" hidden="1" ht="1" customHeight="1">
      <s:c r="A4617" s="120" t="inlineStr"/>
      <s:c r="B4617" s="121" t="n"/>
      <s:c r="C4617" s="121" t="n"/>
      <s:c r="D4617" s="121" t="n"/>
      <s:c r="E4617" s="122" t="n"/>
    </s:row>
    <s:row r="4618" hidden="1" ht="1" customHeight="1">
      <s:c r="A4618" s="120" t="inlineStr"/>
      <s:c r="B4618" s="121" t="n"/>
      <s:c r="C4618" s="121" t="n"/>
      <s:c r="D4618" s="121" t="n"/>
      <s:c r="E4618" s="122" t="n"/>
    </s:row>
    <s:row r="4619" hidden="1" ht="1" customHeight="1">
      <s:c r="A4619" s="120" t="inlineStr"/>
      <s:c r="B4619" s="121" t="n"/>
      <s:c r="C4619" s="121" t="n"/>
      <s:c r="D4619" s="121" t="n"/>
      <s:c r="E4619" s="122" t="n"/>
    </s:row>
    <s:row r="4620" hidden="1" ht="1" customHeight="1">
      <s:c r="A4620" s="120" t="inlineStr"/>
      <s:c r="B4620" s="121" t="n"/>
      <s:c r="C4620" s="121" t="n"/>
      <s:c r="D4620" s="121" t="n"/>
      <s:c r="E4620" s="122" t="n"/>
    </s:row>
    <s:row r="4621" hidden="1" ht="1" customHeight="1">
      <s:c r="A4621" s="120" t="inlineStr"/>
      <s:c r="B4621" s="121" t="n"/>
      <s:c r="C4621" s="121" t="n"/>
      <s:c r="D4621" s="121" t="n"/>
      <s:c r="E4621" s="122" t="n"/>
    </s:row>
    <s:row r="4622" hidden="1" ht="1" customHeight="1">
      <s:c r="A4622" s="120" t="inlineStr"/>
      <s:c r="B4622" s="121" t="n"/>
      <s:c r="C4622" s="121" t="n"/>
      <s:c r="D4622" s="121" t="n"/>
      <s:c r="E4622" s="122" t="n"/>
    </s:row>
    <s:row r="4623" hidden="1" ht="1" customHeight="1">
      <s:c r="A4623" s="120" t="inlineStr"/>
      <s:c r="B4623" s="121" t="n"/>
      <s:c r="C4623" s="121" t="n"/>
      <s:c r="D4623" s="121" t="n"/>
      <s:c r="E4623" s="122" t="n"/>
    </s:row>
    <s:row r="4624" hidden="1" ht="1" customHeight="1">
      <s:c r="A4624" s="120" t="inlineStr"/>
      <s:c r="B4624" s="121" t="n"/>
      <s:c r="C4624" s="121" t="n"/>
      <s:c r="D4624" s="121" t="n"/>
      <s:c r="E4624" s="122" t="n"/>
    </s:row>
    <s:row r="4625" hidden="1" ht="1" customHeight="1">
      <s:c r="A4625" s="120" t="inlineStr"/>
      <s:c r="B4625" s="121" t="n"/>
      <s:c r="C4625" s="121" t="n"/>
      <s:c r="D4625" s="121" t="n"/>
      <s:c r="E4625" s="122" t="n"/>
    </s:row>
    <s:row r="4626" hidden="1" ht="1" customHeight="1">
      <s:c r="A4626" s="120" t="inlineStr"/>
      <s:c r="B4626" s="121" t="n"/>
      <s:c r="C4626" s="121" t="n"/>
      <s:c r="D4626" s="121" t="n"/>
      <s:c r="E4626" s="122" t="n"/>
    </s:row>
    <s:row r="4627" hidden="1" ht="1" customHeight="1">
      <s:c r="A4627" s="120" t="inlineStr"/>
      <s:c r="B4627" s="121" t="n"/>
      <s:c r="C4627" s="121" t="n"/>
      <s:c r="D4627" s="121" t="n"/>
      <s:c r="E4627" s="122" t="n"/>
    </s:row>
    <s:row r="4628" hidden="1" ht="1" customHeight="1">
      <s:c r="A4628" s="120" t="inlineStr"/>
      <s:c r="B4628" s="121" t="n"/>
      <s:c r="C4628" s="121" t="n"/>
      <s:c r="D4628" s="121" t="n"/>
      <s:c r="E4628" s="122" t="n"/>
    </s:row>
    <s:row r="4629" hidden="1" ht="1" customHeight="1">
      <s:c r="A4629" s="120" t="inlineStr"/>
      <s:c r="B4629" s="121" t="n"/>
      <s:c r="C4629" s="121" t="n"/>
      <s:c r="D4629" s="121" t="n"/>
      <s:c r="E4629" s="122" t="n"/>
    </s:row>
    <s:row r="4630" hidden="1" ht="1" customHeight="1">
      <s:c r="A4630" s="120" t="inlineStr"/>
      <s:c r="B4630" s="121" t="n"/>
      <s:c r="C4630" s="121" t="n"/>
      <s:c r="D4630" s="121" t="n"/>
      <s:c r="E4630" s="122" t="n"/>
    </s:row>
    <s:row r="4631" hidden="1" ht="1" customHeight="1">
      <s:c r="A4631" s="120" t="inlineStr"/>
      <s:c r="B4631" s="121" t="n"/>
      <s:c r="C4631" s="121" t="n"/>
      <s:c r="D4631" s="121" t="n"/>
      <s:c r="E4631" s="122" t="n"/>
    </s:row>
    <s:row r="4632" hidden="1" ht="1" customHeight="1">
      <s:c r="A4632" s="120" t="inlineStr"/>
      <s:c r="B4632" s="121" t="n"/>
      <s:c r="C4632" s="121" t="n"/>
      <s:c r="D4632" s="121" t="n"/>
      <s:c r="E4632" s="122" t="n"/>
    </s:row>
    <s:row r="4633" hidden="1" ht="1" customHeight="1">
      <s:c r="A4633" s="120" t="inlineStr"/>
      <s:c r="B4633" s="121" t="n"/>
      <s:c r="C4633" s="121" t="n"/>
      <s:c r="D4633" s="121" t="n"/>
      <s:c r="E4633" s="122" t="n"/>
    </s:row>
    <s:row r="4634" hidden="1" ht="1" customHeight="1">
      <s:c r="A4634" s="120" t="inlineStr"/>
      <s:c r="B4634" s="121" t="n"/>
      <s:c r="C4634" s="121" t="n"/>
      <s:c r="D4634" s="121" t="n"/>
      <s:c r="E4634" s="122" t="n"/>
    </s:row>
    <s:row r="4635" hidden="1" ht="1" customHeight="1">
      <s:c r="A4635" s="120" t="inlineStr"/>
      <s:c r="B4635" s="121" t="n"/>
      <s:c r="C4635" s="121" t="n"/>
      <s:c r="D4635" s="121" t="n"/>
      <s:c r="E4635" s="122" t="n"/>
    </s:row>
    <s:row r="4636" hidden="1" ht="1" customHeight="1">
      <s:c r="A4636" s="120" t="inlineStr"/>
      <s:c r="B4636" s="121" t="n"/>
      <s:c r="C4636" s="121" t="n"/>
      <s:c r="D4636" s="121" t="n"/>
      <s:c r="E4636" s="122" t="n"/>
    </s:row>
    <s:row r="4637" hidden="1" ht="1" customHeight="1">
      <s:c r="A4637" s="120" t="inlineStr"/>
      <s:c r="B4637" s="121" t="n"/>
      <s:c r="C4637" s="121" t="n"/>
      <s:c r="D4637" s="121" t="n"/>
      <s:c r="E4637" s="122" t="n"/>
    </s:row>
    <s:row r="4638" hidden="1" ht="1" customHeight="1">
      <s:c r="A4638" s="120" t="inlineStr"/>
      <s:c r="B4638" s="121" t="n"/>
      <s:c r="C4638" s="121" t="n"/>
      <s:c r="D4638" s="121" t="n"/>
      <s:c r="E4638" s="122" t="n"/>
    </s:row>
    <s:row r="4639" hidden="1" ht="1" customHeight="1">
      <s:c r="A4639" s="120" t="inlineStr"/>
      <s:c r="B4639" s="121" t="n"/>
      <s:c r="C4639" s="121" t="n"/>
      <s:c r="D4639" s="121" t="n"/>
      <s:c r="E4639" s="122" t="n"/>
    </s:row>
    <s:row r="4640" hidden="1" ht="1" customHeight="1">
      <s:c r="A4640" s="120" t="inlineStr"/>
      <s:c r="B4640" s="121" t="n"/>
      <s:c r="C4640" s="121" t="n"/>
      <s:c r="D4640" s="121" t="n"/>
      <s:c r="E4640" s="122" t="n"/>
    </s:row>
    <s:row r="4641" hidden="1" ht="1" customHeight="1">
      <s:c r="A4641" s="120" t="inlineStr"/>
      <s:c r="B4641" s="121" t="n"/>
      <s:c r="C4641" s="121" t="n"/>
      <s:c r="D4641" s="121" t="n"/>
      <s:c r="E4641" s="122" t="n"/>
    </s:row>
    <s:row r="4642" hidden="1" ht="1" customHeight="1">
      <s:c r="A4642" s="120" t="inlineStr"/>
      <s:c r="B4642" s="121" t="n"/>
      <s:c r="C4642" s="121" t="n"/>
      <s:c r="D4642" s="121" t="n"/>
      <s:c r="E4642" s="122" t="n"/>
    </s:row>
    <s:row r="4643" hidden="1" ht="1" customHeight="1">
      <s:c r="A4643" s="120" t="inlineStr"/>
      <s:c r="B4643" s="121" t="n"/>
      <s:c r="C4643" s="121" t="n"/>
      <s:c r="D4643" s="121" t="n"/>
      <s:c r="E4643" s="122" t="n"/>
    </s:row>
    <s:row r="4644" hidden="1" ht="1" customHeight="1">
      <s:c r="A4644" s="120" t="inlineStr"/>
      <s:c r="B4644" s="121" t="n"/>
      <s:c r="C4644" s="121" t="n"/>
      <s:c r="D4644" s="121" t="n"/>
      <s:c r="E4644" s="122" t="n"/>
    </s:row>
    <s:row r="4645" hidden="1" ht="1" customHeight="1">
      <s:c r="A4645" s="120" t="inlineStr"/>
      <s:c r="B4645" s="121" t="n"/>
      <s:c r="C4645" s="121" t="n"/>
      <s:c r="D4645" s="121" t="n"/>
      <s:c r="E4645" s="122" t="n"/>
    </s:row>
    <s:row r="4646" hidden="1" ht="1" customHeight="1">
      <s:c r="A4646" s="120" t="inlineStr"/>
      <s:c r="B4646" s="121" t="n"/>
      <s:c r="C4646" s="121" t="n"/>
      <s:c r="D4646" s="121" t="n"/>
      <s:c r="E4646" s="122" t="n"/>
    </s:row>
    <s:row r="4647" hidden="1" ht="1" customHeight="1">
      <s:c r="A4647" s="120" t="inlineStr"/>
      <s:c r="B4647" s="121" t="n"/>
      <s:c r="C4647" s="121" t="n"/>
      <s:c r="D4647" s="121" t="n"/>
      <s:c r="E4647" s="122" t="n"/>
    </s:row>
    <s:row r="4648" hidden="1" ht="1" customHeight="1">
      <s:c r="A4648" s="120" t="inlineStr"/>
      <s:c r="B4648" s="121" t="n"/>
      <s:c r="C4648" s="121" t="n"/>
      <s:c r="D4648" s="121" t="n"/>
      <s:c r="E4648" s="122" t="n"/>
    </s:row>
    <s:row r="4649" hidden="1" ht="1" customHeight="1">
      <s:c r="A4649" s="120" t="inlineStr"/>
      <s:c r="B4649" s="121" t="n"/>
      <s:c r="C4649" s="121" t="n"/>
      <s:c r="D4649" s="121" t="n"/>
      <s:c r="E4649" s="122" t="n"/>
    </s:row>
    <s:row r="4650" hidden="1" ht="1" customHeight="1">
      <s:c r="A4650" s="120" t="inlineStr"/>
      <s:c r="B4650" s="121" t="n"/>
      <s:c r="C4650" s="121" t="n"/>
      <s:c r="D4650" s="121" t="n"/>
      <s:c r="E4650" s="122" t="n"/>
    </s:row>
    <s:row r="4651" hidden="1" ht="1" customHeight="1">
      <s:c r="A4651" s="120" t="inlineStr"/>
      <s:c r="B4651" s="121" t="n"/>
      <s:c r="C4651" s="121" t="n"/>
      <s:c r="D4651" s="121" t="n"/>
      <s:c r="E4651" s="122" t="n"/>
    </s:row>
    <s:row r="4652" hidden="1" ht="1" customHeight="1">
      <s:c r="A4652" s="120" t="inlineStr"/>
      <s:c r="B4652" s="121" t="n"/>
      <s:c r="C4652" s="121" t="n"/>
      <s:c r="D4652" s="121" t="n"/>
      <s:c r="E4652" s="122" t="n"/>
    </s:row>
    <s:row r="4653" hidden="1" ht="1" customHeight="1">
      <s:c r="A4653" s="120" t="inlineStr"/>
      <s:c r="B4653" s="121" t="n"/>
      <s:c r="C4653" s="121" t="n"/>
      <s:c r="D4653" s="121" t="n"/>
      <s:c r="E4653" s="122" t="n"/>
    </s:row>
    <s:row r="4654" hidden="1" ht="1" customHeight="1">
      <s:c r="A4654" s="120" t="inlineStr"/>
      <s:c r="B4654" s="121" t="n"/>
      <s:c r="C4654" s="121" t="n"/>
      <s:c r="D4654" s="121" t="n"/>
      <s:c r="E4654" s="122" t="n"/>
    </s:row>
    <s:row r="4655" hidden="1" ht="1" customHeight="1">
      <s:c r="A4655" s="120" t="inlineStr"/>
      <s:c r="B4655" s="121" t="n"/>
      <s:c r="C4655" s="121" t="n"/>
      <s:c r="D4655" s="121" t="n"/>
      <s:c r="E4655" s="122" t="n"/>
    </s:row>
    <s:row r="4656" hidden="1" ht="1" customHeight="1">
      <s:c r="A4656" s="120" t="inlineStr"/>
      <s:c r="B4656" s="121" t="n"/>
      <s:c r="C4656" s="121" t="n"/>
      <s:c r="D4656" s="121" t="n"/>
      <s:c r="E4656" s="122" t="n"/>
    </s:row>
    <s:row r="4657" hidden="1" ht="1" customHeight="1">
      <s:c r="A4657" s="120" t="inlineStr"/>
      <s:c r="B4657" s="121" t="n"/>
      <s:c r="C4657" s="121" t="n"/>
      <s:c r="D4657" s="121" t="n"/>
      <s:c r="E4657" s="122" t="n"/>
    </s:row>
    <s:row r="4658" hidden="1" ht="1" customHeight="1">
      <s:c r="A4658" s="120" t="inlineStr"/>
      <s:c r="B4658" s="121" t="n"/>
      <s:c r="C4658" s="121" t="n"/>
      <s:c r="D4658" s="121" t="n"/>
      <s:c r="E4658" s="122" t="n"/>
    </s:row>
    <s:row r="4659" hidden="1" ht="1" customHeight="1">
      <s:c r="A4659" s="120" t="inlineStr"/>
      <s:c r="B4659" s="121" t="n"/>
      <s:c r="C4659" s="121" t="n"/>
      <s:c r="D4659" s="121" t="n"/>
      <s:c r="E4659" s="122" t="n"/>
    </s:row>
    <s:row r="4660" hidden="1" ht="1" customHeight="1">
      <s:c r="A4660" s="120" t="inlineStr"/>
      <s:c r="B4660" s="121" t="n"/>
      <s:c r="C4660" s="121" t="n"/>
      <s:c r="D4660" s="121" t="n"/>
      <s:c r="E4660" s="122" t="n"/>
    </s:row>
    <s:row r="4661" hidden="1" ht="1" customHeight="1">
      <s:c r="A4661" s="120" t="inlineStr"/>
      <s:c r="B4661" s="121" t="n"/>
      <s:c r="C4661" s="121" t="n"/>
      <s:c r="D4661" s="121" t="n"/>
      <s:c r="E4661" s="122" t="n"/>
    </s:row>
    <s:row r="4662" hidden="1" ht="1" customHeight="1">
      <s:c r="A4662" s="120" t="inlineStr"/>
      <s:c r="B4662" s="121" t="n"/>
      <s:c r="C4662" s="121" t="n"/>
      <s:c r="D4662" s="121" t="n"/>
      <s:c r="E4662" s="122" t="n"/>
    </s:row>
    <s:row r="4663" hidden="1" ht="1" customHeight="1">
      <s:c r="A4663" s="120" t="inlineStr"/>
      <s:c r="B4663" s="121" t="n"/>
      <s:c r="C4663" s="121" t="n"/>
      <s:c r="D4663" s="121" t="n"/>
      <s:c r="E4663" s="122" t="n"/>
    </s:row>
    <s:row r="4664" hidden="1" ht="1" customHeight="1">
      <s:c r="A4664" s="120" t="inlineStr"/>
      <s:c r="B4664" s="121" t="n"/>
      <s:c r="C4664" s="121" t="n"/>
      <s:c r="D4664" s="121" t="n"/>
      <s:c r="E4664" s="122" t="n"/>
    </s:row>
    <s:row r="4665" hidden="1" ht="1" customHeight="1">
      <s:c r="A4665" s="120" t="inlineStr"/>
      <s:c r="B4665" s="121" t="n"/>
      <s:c r="C4665" s="121" t="n"/>
      <s:c r="D4665" s="121" t="n"/>
      <s:c r="E4665" s="122" t="n"/>
    </s:row>
    <s:row r="4666" hidden="1" ht="1" customHeight="1">
      <s:c r="A4666" s="120" t="inlineStr"/>
      <s:c r="B4666" s="121" t="n"/>
      <s:c r="C4666" s="121" t="n"/>
      <s:c r="D4666" s="121" t="n"/>
      <s:c r="E4666" s="122" t="n"/>
    </s:row>
    <s:row r="4667" hidden="1" ht="1" customHeight="1">
      <s:c r="A4667" s="120" t="inlineStr"/>
      <s:c r="B4667" s="121" t="n"/>
      <s:c r="C4667" s="121" t="n"/>
      <s:c r="D4667" s="121" t="n"/>
      <s:c r="E4667" s="122" t="n"/>
    </s:row>
    <s:row r="4668" hidden="1" ht="1" customHeight="1">
      <s:c r="A4668" s="120" t="inlineStr"/>
      <s:c r="B4668" s="121" t="n"/>
      <s:c r="C4668" s="121" t="n"/>
      <s:c r="D4668" s="121" t="n"/>
      <s:c r="E4668" s="122" t="n"/>
    </s:row>
    <s:row r="4669" hidden="1" ht="1" customHeight="1">
      <s:c r="A4669" s="120" t="inlineStr"/>
      <s:c r="B4669" s="121" t="n"/>
      <s:c r="C4669" s="121" t="n"/>
      <s:c r="D4669" s="121" t="n"/>
      <s:c r="E4669" s="122" t="n"/>
    </s:row>
    <s:row r="4670" hidden="1" ht="1" customHeight="1">
      <s:c r="A4670" s="120" t="inlineStr"/>
      <s:c r="B4670" s="121" t="n"/>
      <s:c r="C4670" s="121" t="n"/>
      <s:c r="D4670" s="121" t="n"/>
      <s:c r="E4670" s="122" t="n"/>
    </s:row>
    <s:row r="4671" hidden="1" ht="1" customHeight="1">
      <s:c r="A4671" s="120" t="inlineStr"/>
      <s:c r="B4671" s="121" t="n"/>
      <s:c r="C4671" s="121" t="n"/>
      <s:c r="D4671" s="121" t="n"/>
      <s:c r="E4671" s="122" t="n"/>
    </s:row>
    <s:row r="4672" hidden="1" ht="1" customHeight="1">
      <s:c r="A4672" s="120" t="inlineStr"/>
      <s:c r="B4672" s="121" t="n"/>
      <s:c r="C4672" s="121" t="n"/>
      <s:c r="D4672" s="121" t="n"/>
      <s:c r="E4672" s="122" t="n"/>
    </s:row>
    <s:row r="4673" hidden="1" ht="1" customHeight="1">
      <s:c r="A4673" s="120" t="inlineStr"/>
      <s:c r="B4673" s="121" t="n"/>
      <s:c r="C4673" s="121" t="n"/>
      <s:c r="D4673" s="121" t="n"/>
      <s:c r="E4673" s="122" t="n"/>
    </s:row>
    <s:row r="4674" hidden="1" ht="1" customHeight="1">
      <s:c r="A4674" s="120" t="inlineStr"/>
      <s:c r="B4674" s="121" t="n"/>
      <s:c r="C4674" s="121" t="n"/>
      <s:c r="D4674" s="121" t="n"/>
      <s:c r="E4674" s="122" t="n"/>
    </s:row>
    <s:row r="4675" hidden="1" ht="1" customHeight="1">
      <s:c r="A4675" s="120" t="inlineStr"/>
      <s:c r="B4675" s="121" t="n"/>
      <s:c r="C4675" s="121" t="n"/>
      <s:c r="D4675" s="121" t="n"/>
      <s:c r="E4675" s="122" t="n"/>
    </s:row>
    <s:row r="4676" hidden="1" ht="1" customHeight="1">
      <s:c r="A4676" s="83" t="inlineStr">
        <s:is>
          <s:t>PASS</s:t>
        </s:is>
      </s:c>
      <s:c r="B4676" s="83">
        <s:f>SUM(IF(EXACT('Kiểm thử'!E4526,"Đạt"),1,0),IF(EXACT('Kiểm thử'!E4528,"Đạt"),1,0),IF(EXACT('Kiểm thử'!E4530,"Đạt"),1,0))</s:f>
        <s:v/>
      </s:c>
      <s:c r="C4676" s="19" t="n"/>
      <s:c r="D4676" s="19" t="n"/>
      <s:c r="E4676" s="19" t="n"/>
    </s:row>
    <s:row r="4677" hidden="1" ht="1" customHeight="1">
      <s:c r="A4677" s="83" t="inlineStr">
        <s:is>
          <s:t>FAIL</s:t>
        </s:is>
      </s:c>
      <s:c r="B4677" s="83">
        <s:f>SUM(IF(EXACT('Kiểm thử'!E4526,"Không đạt"),1,0),IF(EXACT('Kiểm thử'!E4528,"Không đạt"),1,0),IF(EXACT('Kiểm thử'!E4530,"Không đạt"),1,0))</s:f>
        <s:v/>
      </s:c>
      <s:c r="C4677" s="19" t="n"/>
      <s:c r="D4677" s="19" t="n"/>
      <s:c r="E4677" s="19" t="n"/>
    </s:row>
    <s:row r="4678" hidden="1" ht="1" customHeight="1">
      <s:c r="A4678" s="83" t="inlineStr">
        <s:is>
          <s:t>BLOCKED</s:t>
        </s:is>
      </s:c>
      <s:c r="B4678" s="83">
        <s:f>SUM(IF(EXACT('Kiểm thử'!E4526,"Bị chặn"),1,0),IF(EXACT('Kiểm thử'!E4528,"Bị chặn"),1,0),IF(EXACT('Kiểm thử'!E4530,"Bị chặn"),1,0))</s:f>
        <s:v/>
      </s:c>
      <s:c r="C4678" s="19" t="n"/>
      <s:c r="D4678" s="19" t="n"/>
      <s:c r="E4678" s="19" t="n"/>
    </s:row>
    <s:row r="4679" hidden="1" ht="1" customHeight="1">
      <s:c r="A4679" s="83" t="inlineStr">
        <s:is>
          <s:t>SKIPPED</s:t>
        </s:is>
      </s:c>
      <s:c r="B4679" s="83">
        <s:f>SUM(IF(EXACT('Kiểm thử'!E4526,"Không thực hiện"),1,0),IF(EXACT('Kiểm thử'!E4528,"Không thực hiện"),1,0),IF(EXACT('Kiểm thử'!E4530,"Không thực hiện"),1,0))</s:f>
        <s:v/>
      </s:c>
      <s:c r="C4679" s="19" t="n"/>
      <s:c r="D4679" s="19" t="n"/>
      <s:c r="E4679" s="19" t="n"/>
    </s:row>
    <s:row r="4680" hidden="1" ht="1" customHeight="1">
      <s:c r="A4680" s="83" t="inlineStr">
        <s:is>
          <s:t>NOT RUN</s:t>
        </s:is>
      </s:c>
      <s:c r="B4680" s="83">
        <s:f>SUM(IF(EXACT('Kiểm thử'!E4526,"Chưa thực hiện"),1,0),IF(EXACT('Kiểm thử'!E4528,"Chưa thực hiện"),1,0),IF(EXACT('Kiểm thử'!E4530,"Chưa thực hiện"),1,0))</s:f>
        <s:v/>
      </s:c>
      <s:c r="C4680" s="19" t="n"/>
      <s:c r="D4680" s="19" t="n"/>
      <s:c r="E4680" s="19" t="n"/>
    </s:row>
    <s:row r="4681" hidden="1" ht="6" customHeight="1">
      <s:c r="A4681" s="83" t="inlineStr"/>
      <s:c r="B4681" s="19" t="n"/>
      <s:c r="C4681" s="19" t="n"/>
      <s:c r="D4681" s="19" t="n"/>
      <s:c r="E4681" s="19" t="n"/>
    </s:row>
    <s:row r="4682" ht="28" customHeight="1">
      <s:c r="A4682" s="108" t="inlineStr">
        <s:is>
          <s:t>TC-RS-FUNC-013 — Dấu so sánh Nhỏ hơn（未満）/Nhỏ hơn hoặc bằng（以下） được lưu và hiển thị</s:t>
        </s:is>
      </s:c>
      <s:c r="B4682" s="111" t="n"/>
      <s:c r="C4682" s="111" t="n"/>
      <s:c r="D4682" s="111" t="n"/>
      <s:c r="E4682" s="111" t="n"/>
    </s:row>
    <s:row r="4683" ht="20" customHeight="1">
      <s:c r="A4683" s="112" t="inlineStr">
        <s:is>
          <s:t>Kết quả tình huống</s:t>
        </s:is>
      </s:c>
      <s:c r="B4683" s="113">
        <s:f>IF(SUM(IF(EXACT('Kiểm thử'!E4691,"Không đạt"),1,0),IF(EXACT('Kiểm thử'!E4693,"Không đạt"),1,0))&gt;0,"Không đạt",IF(SUM(IF(EXACT('Kiểm thử'!E4691,"Đạt"),1,0),IF(EXACT('Kiểm thử'!E4693,"Đạt"),1,0))=2,"Đạt",IF(SUM(IF(EXACT('Kiểm thử'!E4691,"Không thực hiện"),1,0),IF(EXACT('Kiểm thử'!E4693,"Không thực hiện"),1,0))=2,"Không thực hiện",IF(SUM(IF(EXACT('Kiểm thử'!E4691,"Bị chặn"),1,0),IF(EXACT('Kiểm thử'!E4693,"Bị chặn"),1,0))&gt;0,"Bị chặn",IF(SUM(IF(EXACT('Kiểm thử'!E4691,"Chưa thực hiện"),1,0),IF(EXACT('Kiểm thử'!E4693,"Chưa thực hiện"),1,0))=2,"Chưa thực hiện","Đang thực hiện")))))</s:f>
        <s:v/>
      </s:c>
      <s:c r="C4683" s="114" t="n"/>
      <s:c r="D4683" s="114" t="n"/>
      <s:c r="E4683" s="114" t="n"/>
    </s:row>
    <s:row r="4684" ht="20" customHeight="1">
      <s:c r="A4684" s="112" t="inlineStr">
        <s:is>
          <s:t>Màn hình / chức năng</s:t>
        </s:is>
      </s:c>
      <s:c r="B4684" s="113" t="inlineStr">
        <s:is>
          <s:r>
            <s:rPr>
              <s:b val="1"/>
            </s:rPr>
            <s:t>Thiết lập ngưỡng（基準設定）</s:t>
          </s:r>
        </s:is>
      </s:c>
      <s:c r="C4684" s="28" t="n"/>
      <s:c r="D4684" s="28" t="n"/>
      <s:c r="E4684" s="28" t="n"/>
    </s:row>
    <s:row r="4685" ht="20" customHeight="1">
      <s:c r="A4685" s="112" t="inlineStr">
        <s:is>
          <s:t>Cấu hình</s:t>
        </s:is>
      </s:c>
      <s:c r="B4685" s="113" t="inlineStr">
        <s:is>
          <s:t>• Có quy tắc “Cố định 30” (dưới 30).</s:t>
        </s:is>
      </s:c>
      <s:c r="C4685" s="28" t="n"/>
      <s:c r="D4685" s="28" t="n"/>
      <s:c r="E4685" s="28" t="n"/>
    </s:row>
    <s:row r="4686" ht="20" customHeight="1">
      <s:c r="A4686" s="112" t="inlineStr">
        <s:is>
          <s:t>Dữ liệu test</s:t>
        </s:is>
      </s:c>
      <s:c r="B4686" s="113" t="inlineStr">
        <s:is>
          <s:r>
            <s:t xml:space="preserve">• Quy tắc “Cố định 30” (dưới 30), quy tắc cố định 30 với </s:t>
          </s:r>
          <s:r>
            <s:rPr>
              <s:b val="1"/>
            </s:rPr>
            <s:t>Nhỏ hơn hoặc bằng（以下）</s:t>
          </s:r>
        </s:is>
      </s:c>
      <s:c r="C4686" s="28" t="n"/>
      <s:c r="D4686" s="28" t="n"/>
      <s:c r="E4686" s="28" t="n"/>
    </s:row>
    <s:row r="4687" ht="20" customHeight="1">
      <s:c r="A4687" s="112" t="inlineStr">
        <s:is>
          <s:t>Bước 1</s:t>
        </s:is>
      </s:c>
      <s:c r="B4687" s="113" t="inlineStr">
        <s:is>
          <s:r>
            <s:t xml:space="preserve">Đổi dấu của quy tắc “Cố định 30” (dưới 30) sang </s:t>
          </s:r>
          <s:r>
            <s:rPr>
              <s:b val="1"/>
            </s:rPr>
            <s:t>Nhỏ hơn hoặc bằng（以下）</s:t>
          </s:r>
          <s:r>
            <s:t>, lưu, mở lại.</s:t>
          </s:r>
        </s:is>
      </s:c>
      <s:c r="C4687" s="28" t="n"/>
      <s:c r="D4687" s="28" t="n"/>
      <s:c r="E4687" s="28" t="n"/>
    </s:row>
    <s:row r="4688" ht="20" customHeight="1">
      <s:c r="A4688" s="112" t="inlineStr">
        <s:is>
          <s:t>Bước 2</s:t>
        </s:is>
      </s:c>
      <s:c r="B4688" s="113" t="inlineStr">
        <s:is>
          <s:r>
            <s:rPr>
              <s:b val="1"/>
            </s:rPr>
            <s:t>Đổi lại Nhỏ hơn（未満）</s:t>
          </s:r>
          <s:r>
            <s:t>, lưu, mở lại.</s:t>
          </s:r>
        </s:is>
      </s:c>
      <s:c r="C4688" s="28" t="n"/>
      <s:c r="D4688" s="28" t="n"/>
      <s:c r="E4688" s="28" t="n"/>
    </s:row>
    <s:row r="4689" ht="28" customHeight="1">
      <s:c r="A4689" s="115" t="inlineStr">
        <s:is>
          <s:t>Trường hợp</s:t>
        </s:is>
      </s:c>
      <s:c r="B4689" s="115" t="inlineStr">
        <s:is>
          <s:t>Dữ liệu / thao tác riêng</s:t>
        </s:is>
      </s:c>
      <s:c r="C4689" s="115" t="inlineStr">
        <s:is>
          <s:t>Kết quả mong đợi</s:t>
        </s:is>
      </s:c>
      <s:c r="D4689" s="115" t="inlineStr">
        <s:is>
          <s:t>Kết quả thực tế</s:t>
        </s:is>
      </s:c>
      <s:c r="E4689" s="115" t="inlineStr">
        <s:is>
          <s:t>Đánh giá</s:t>
        </s:is>
      </s:c>
    </s:row>
    <s:row r="4690" ht="3" customHeight="1">
      <s:c r="A4690" s="102" t="inlineStr"/>
      <s:c r="B4690" s="99" t="n"/>
      <s:c r="C4690" s="99" t="n"/>
      <s:c r="D4690" s="116" t="n"/>
      <s:c r="E4690" s="116" t="n"/>
    </s:row>
    <s:row r="4691" ht="62" customHeight="1">
      <s:c r="A4691" s="83" t="inlineStr">
        <s:is>
          <s:t>Nhỏ hơn (lt)</s:t>
        </s:is>
      </s:c>
      <s:c r="B4691" s="83" t="inlineStr">
        <s:is>
          <s:t>Dấu nhỏ hơn</s:t>
        </s:is>
      </s:c>
      <s:c r="C4691" s="83" t="inlineStr">
        <s:is>
          <s:t>Dấu đã chọn được lưu, hiển thị đúng ở form và tóm tắt danh sách. Tác động lên kết quả: case “Ngưỡng cố định 30: S = 29 / 30 / 31 với [&lt;] và [≤]”.</s:t>
        </s:is>
      </s:c>
      <s:c r="D4691" s="117" t="inlineStr"/>
      <s:c r="E4691" s="118" t="inlineStr">
        <s:is>
          <s:t>Chưa thực hiện</s:t>
        </s:is>
      </s:c>
    </s:row>
    <s:row r="4692" ht="3" customHeight="1">
      <s:c r="A4692" s="102" t="inlineStr"/>
      <s:c r="B4692" s="99" t="n"/>
      <s:c r="C4692" s="99" t="n"/>
      <s:c r="D4692" s="116" t="n"/>
      <s:c r="E4692" s="116" t="n"/>
    </s:row>
    <s:row r="4693" ht="62" customHeight="1">
      <s:c r="A4693" s="83" t="inlineStr">
        <s:is>
          <s:t>Nhỏ hơn hoặc bằng (le)</s:t>
        </s:is>
      </s:c>
      <s:c r="B4693" s="83" t="inlineStr">
        <s:is>
          <s:t>Dấu nhỏ hơn hoặc bằng</s:t>
        </s:is>
      </s:c>
      <s:c r="C4693" s="83" t="inlineStr">
        <s:is>
          <s:t>Dấu đã chọn được lưu, hiển thị đúng ở form và tóm tắt danh sách. Tác động lên kết quả: case “Ngưỡng cố định 30: S = 29 / 30 / 31 với [&lt;] và [≤]”.</s:t>
        </s:is>
      </s:c>
      <s:c r="D4693" s="117" t="inlineStr"/>
      <s:c r="E4693" s="118" t="inlineStr">
        <s:is>
          <s:t>Chưa thực hiện</s:t>
        </s:is>
      </s:c>
    </s:row>
    <s:row r="4694" ht="20" customHeight="1">
      <s:c r="A4694" s="119" t="inlineStr">
        <s:is>
          <s:t>Ảnh minh chứng — Chưa có ảnh</s:t>
        </s:is>
      </s:c>
      <s:c r="B4694" s="19" t="n"/>
      <s:c r="C4694" s="19" t="n"/>
      <s:c r="D4694" s="19" t="n"/>
      <s:c r="E4694" s="19" t="n"/>
    </s:row>
    <s:row r="4695" hidden="1" ht="1" customHeight="1">
      <s:c r="A4695" s="120" t="inlineStr"/>
      <s:c r="B4695" s="121" t="n"/>
      <s:c r="C4695" s="121" t="n"/>
      <s:c r="D4695" s="121" t="n"/>
      <s:c r="E4695" s="122" t="n"/>
    </s:row>
    <s:row r="4696" hidden="1" ht="1" customHeight="1">
      <s:c r="A4696" s="120" t="inlineStr"/>
      <s:c r="B4696" s="121" t="n"/>
      <s:c r="C4696" s="121" t="n"/>
      <s:c r="D4696" s="121" t="n"/>
      <s:c r="E4696" s="122" t="n"/>
    </s:row>
    <s:row r="4697" hidden="1" ht="1" customHeight="1">
      <s:c r="A4697" s="120" t="inlineStr"/>
      <s:c r="B4697" s="121" t="n"/>
      <s:c r="C4697" s="121" t="n"/>
      <s:c r="D4697" s="121" t="n"/>
      <s:c r="E4697" s="122" t="n"/>
    </s:row>
    <s:row r="4698" hidden="1" ht="1" customHeight="1">
      <s:c r="A4698" s="120" t="inlineStr"/>
      <s:c r="B4698" s="121" t="n"/>
      <s:c r="C4698" s="121" t="n"/>
      <s:c r="D4698" s="121" t="n"/>
      <s:c r="E4698" s="122" t="n"/>
    </s:row>
    <s:row r="4699" hidden="1" ht="1" customHeight="1">
      <s:c r="A4699" s="120" t="inlineStr"/>
      <s:c r="B4699" s="121" t="n"/>
      <s:c r="C4699" s="121" t="n"/>
      <s:c r="D4699" s="121" t="n"/>
      <s:c r="E4699" s="122" t="n"/>
    </s:row>
    <s:row r="4700" hidden="1" ht="1" customHeight="1">
      <s:c r="A4700" s="120" t="inlineStr"/>
      <s:c r="B4700" s="121" t="n"/>
      <s:c r="C4700" s="121" t="n"/>
      <s:c r="D4700" s="121" t="n"/>
      <s:c r="E4700" s="122" t="n"/>
    </s:row>
    <s:row r="4701" hidden="1" ht="1" customHeight="1">
      <s:c r="A4701" s="120" t="inlineStr"/>
      <s:c r="B4701" s="121" t="n"/>
      <s:c r="C4701" s="121" t="n"/>
      <s:c r="D4701" s="121" t="n"/>
      <s:c r="E4701" s="122" t="n"/>
    </s:row>
    <s:row r="4702" hidden="1" ht="1" customHeight="1">
      <s:c r="A4702" s="120" t="inlineStr"/>
      <s:c r="B4702" s="121" t="n"/>
      <s:c r="C4702" s="121" t="n"/>
      <s:c r="D4702" s="121" t="n"/>
      <s:c r="E4702" s="122" t="n"/>
    </s:row>
    <s:row r="4703" hidden="1" ht="1" customHeight="1">
      <s:c r="A4703" s="120" t="inlineStr"/>
      <s:c r="B4703" s="121" t="n"/>
      <s:c r="C4703" s="121" t="n"/>
      <s:c r="D4703" s="121" t="n"/>
      <s:c r="E4703" s="122" t="n"/>
    </s:row>
    <s:row r="4704" hidden="1" ht="1" customHeight="1">
      <s:c r="A4704" s="120" t="inlineStr"/>
      <s:c r="B4704" s="121" t="n"/>
      <s:c r="C4704" s="121" t="n"/>
      <s:c r="D4704" s="121" t="n"/>
      <s:c r="E4704" s="122" t="n"/>
    </s:row>
    <s:row r="4705" hidden="1" ht="1" customHeight="1">
      <s:c r="A4705" s="120" t="inlineStr"/>
      <s:c r="B4705" s="121" t="n"/>
      <s:c r="C4705" s="121" t="n"/>
      <s:c r="D4705" s="121" t="n"/>
      <s:c r="E4705" s="122" t="n"/>
    </s:row>
    <s:row r="4706" hidden="1" ht="1" customHeight="1">
      <s:c r="A4706" s="120" t="inlineStr"/>
      <s:c r="B4706" s="121" t="n"/>
      <s:c r="C4706" s="121" t="n"/>
      <s:c r="D4706" s="121" t="n"/>
      <s:c r="E4706" s="122" t="n"/>
    </s:row>
    <s:row r="4707" hidden="1" ht="1" customHeight="1">
      <s:c r="A4707" s="120" t="inlineStr"/>
      <s:c r="B4707" s="121" t="n"/>
      <s:c r="C4707" s="121" t="n"/>
      <s:c r="D4707" s="121" t="n"/>
      <s:c r="E4707" s="122" t="n"/>
    </s:row>
    <s:row r="4708" hidden="1" ht="1" customHeight="1">
      <s:c r="A4708" s="120" t="inlineStr"/>
      <s:c r="B4708" s="121" t="n"/>
      <s:c r="C4708" s="121" t="n"/>
      <s:c r="D4708" s="121" t="n"/>
      <s:c r="E4708" s="122" t="n"/>
    </s:row>
    <s:row r="4709" hidden="1" ht="1" customHeight="1">
      <s:c r="A4709" s="120" t="inlineStr"/>
      <s:c r="B4709" s="121" t="n"/>
      <s:c r="C4709" s="121" t="n"/>
      <s:c r="D4709" s="121" t="n"/>
      <s:c r="E4709" s="122" t="n"/>
    </s:row>
    <s:row r="4710" hidden="1" ht="1" customHeight="1">
      <s:c r="A4710" s="120" t="inlineStr"/>
      <s:c r="B4710" s="121" t="n"/>
      <s:c r="C4710" s="121" t="n"/>
      <s:c r="D4710" s="121" t="n"/>
      <s:c r="E4710" s="122" t="n"/>
    </s:row>
    <s:row r="4711" hidden="1" ht="1" customHeight="1">
      <s:c r="A4711" s="120" t="inlineStr"/>
      <s:c r="B4711" s="121" t="n"/>
      <s:c r="C4711" s="121" t="n"/>
      <s:c r="D4711" s="121" t="n"/>
      <s:c r="E4711" s="122" t="n"/>
    </s:row>
    <s:row r="4712" hidden="1" ht="1" customHeight="1">
      <s:c r="A4712" s="120" t="inlineStr"/>
      <s:c r="B4712" s="121" t="n"/>
      <s:c r="C4712" s="121" t="n"/>
      <s:c r="D4712" s="121" t="n"/>
      <s:c r="E4712" s="122" t="n"/>
    </s:row>
    <s:row r="4713" hidden="1" ht="1" customHeight="1">
      <s:c r="A4713" s="120" t="inlineStr"/>
      <s:c r="B4713" s="121" t="n"/>
      <s:c r="C4713" s="121" t="n"/>
      <s:c r="D4713" s="121" t="n"/>
      <s:c r="E4713" s="122" t="n"/>
    </s:row>
    <s:row r="4714" hidden="1" ht="1" customHeight="1">
      <s:c r="A4714" s="120" t="inlineStr"/>
      <s:c r="B4714" s="121" t="n"/>
      <s:c r="C4714" s="121" t="n"/>
      <s:c r="D4714" s="121" t="n"/>
      <s:c r="E4714" s="122" t="n"/>
    </s:row>
    <s:row r="4715" hidden="1" ht="1" customHeight="1">
      <s:c r="A4715" s="120" t="inlineStr"/>
      <s:c r="B4715" s="121" t="n"/>
      <s:c r="C4715" s="121" t="n"/>
      <s:c r="D4715" s="121" t="n"/>
      <s:c r="E4715" s="122" t="n"/>
    </s:row>
    <s:row r="4716" hidden="1" ht="1" customHeight="1">
      <s:c r="A4716" s="120" t="inlineStr"/>
      <s:c r="B4716" s="121" t="n"/>
      <s:c r="C4716" s="121" t="n"/>
      <s:c r="D4716" s="121" t="n"/>
      <s:c r="E4716" s="122" t="n"/>
    </s:row>
    <s:row r="4717" hidden="1" ht="1" customHeight="1">
      <s:c r="A4717" s="120" t="inlineStr"/>
      <s:c r="B4717" s="121" t="n"/>
      <s:c r="C4717" s="121" t="n"/>
      <s:c r="D4717" s="121" t="n"/>
      <s:c r="E4717" s="122" t="n"/>
    </s:row>
    <s:row r="4718" hidden="1" ht="1" customHeight="1">
      <s:c r="A4718" s="120" t="inlineStr"/>
      <s:c r="B4718" s="121" t="n"/>
      <s:c r="C4718" s="121" t="n"/>
      <s:c r="D4718" s="121" t="n"/>
      <s:c r="E4718" s="122" t="n"/>
    </s:row>
    <s:row r="4719" hidden="1" ht="1" customHeight="1">
      <s:c r="A4719" s="120" t="inlineStr"/>
      <s:c r="B4719" s="121" t="n"/>
      <s:c r="C4719" s="121" t="n"/>
      <s:c r="D4719" s="121" t="n"/>
      <s:c r="E4719" s="122" t="n"/>
    </s:row>
    <s:row r="4720" hidden="1" ht="1" customHeight="1">
      <s:c r="A4720" s="120" t="inlineStr"/>
      <s:c r="B4720" s="121" t="n"/>
      <s:c r="C4720" s="121" t="n"/>
      <s:c r="D4720" s="121" t="n"/>
      <s:c r="E4720" s="122" t="n"/>
    </s:row>
    <s:row r="4721" hidden="1" ht="1" customHeight="1">
      <s:c r="A4721" s="120" t="inlineStr"/>
      <s:c r="B4721" s="121" t="n"/>
      <s:c r="C4721" s="121" t="n"/>
      <s:c r="D4721" s="121" t="n"/>
      <s:c r="E4721" s="122" t="n"/>
    </s:row>
    <s:row r="4722" hidden="1" ht="1" customHeight="1">
      <s:c r="A4722" s="120" t="inlineStr"/>
      <s:c r="B4722" s="121" t="n"/>
      <s:c r="C4722" s="121" t="n"/>
      <s:c r="D4722" s="121" t="n"/>
      <s:c r="E4722" s="122" t="n"/>
    </s:row>
    <s:row r="4723" hidden="1" ht="1" customHeight="1">
      <s:c r="A4723" s="120" t="inlineStr"/>
      <s:c r="B4723" s="121" t="n"/>
      <s:c r="C4723" s="121" t="n"/>
      <s:c r="D4723" s="121" t="n"/>
      <s:c r="E4723" s="122" t="n"/>
    </s:row>
    <s:row r="4724" hidden="1" ht="1" customHeight="1">
      <s:c r="A4724" s="120" t="inlineStr"/>
      <s:c r="B4724" s="121" t="n"/>
      <s:c r="C4724" s="121" t="n"/>
      <s:c r="D4724" s="121" t="n"/>
      <s:c r="E4724" s="122" t="n"/>
    </s:row>
    <s:row r="4725" hidden="1" ht="1" customHeight="1">
      <s:c r="A4725" s="120" t="inlineStr"/>
      <s:c r="B4725" s="121" t="n"/>
      <s:c r="C4725" s="121" t="n"/>
      <s:c r="D4725" s="121" t="n"/>
      <s:c r="E4725" s="122" t="n"/>
    </s:row>
    <s:row r="4726" hidden="1" ht="1" customHeight="1">
      <s:c r="A4726" s="120" t="inlineStr"/>
      <s:c r="B4726" s="121" t="n"/>
      <s:c r="C4726" s="121" t="n"/>
      <s:c r="D4726" s="121" t="n"/>
      <s:c r="E4726" s="122" t="n"/>
    </s:row>
    <s:row r="4727" hidden="1" ht="1" customHeight="1">
      <s:c r="A4727" s="120" t="inlineStr"/>
      <s:c r="B4727" s="121" t="n"/>
      <s:c r="C4727" s="121" t="n"/>
      <s:c r="D4727" s="121" t="n"/>
      <s:c r="E4727" s="122" t="n"/>
    </s:row>
    <s:row r="4728" hidden="1" ht="1" customHeight="1">
      <s:c r="A4728" s="120" t="inlineStr"/>
      <s:c r="B4728" s="121" t="n"/>
      <s:c r="C4728" s="121" t="n"/>
      <s:c r="D4728" s="121" t="n"/>
      <s:c r="E4728" s="122" t="n"/>
    </s:row>
    <s:row r="4729" hidden="1" ht="1" customHeight="1">
      <s:c r="A4729" s="120" t="inlineStr"/>
      <s:c r="B4729" s="121" t="n"/>
      <s:c r="C4729" s="121" t="n"/>
      <s:c r="D4729" s="121" t="n"/>
      <s:c r="E4729" s="122" t="n"/>
    </s:row>
    <s:row r="4730" hidden="1" ht="1" customHeight="1">
      <s:c r="A4730" s="120" t="inlineStr"/>
      <s:c r="B4730" s="121" t="n"/>
      <s:c r="C4730" s="121" t="n"/>
      <s:c r="D4730" s="121" t="n"/>
      <s:c r="E4730" s="122" t="n"/>
    </s:row>
    <s:row r="4731" hidden="1" ht="1" customHeight="1">
      <s:c r="A4731" s="120" t="inlineStr"/>
      <s:c r="B4731" s="121" t="n"/>
      <s:c r="C4731" s="121" t="n"/>
      <s:c r="D4731" s="121" t="n"/>
      <s:c r="E4731" s="122" t="n"/>
    </s:row>
    <s:row r="4732" hidden="1" ht="1" customHeight="1">
      <s:c r="A4732" s="120" t="inlineStr"/>
      <s:c r="B4732" s="121" t="n"/>
      <s:c r="C4732" s="121" t="n"/>
      <s:c r="D4732" s="121" t="n"/>
      <s:c r="E4732" s="122" t="n"/>
    </s:row>
    <s:row r="4733" hidden="1" ht="1" customHeight="1">
      <s:c r="A4733" s="120" t="inlineStr"/>
      <s:c r="B4733" s="121" t="n"/>
      <s:c r="C4733" s="121" t="n"/>
      <s:c r="D4733" s="121" t="n"/>
      <s:c r="E4733" s="122" t="n"/>
    </s:row>
    <s:row r="4734" hidden="1" ht="1" customHeight="1">
      <s:c r="A4734" s="120" t="inlineStr"/>
      <s:c r="B4734" s="121" t="n"/>
      <s:c r="C4734" s="121" t="n"/>
      <s:c r="D4734" s="121" t="n"/>
      <s:c r="E4734" s="122" t="n"/>
    </s:row>
    <s:row r="4735" hidden="1" ht="1" customHeight="1">
      <s:c r="A4735" s="120" t="inlineStr"/>
      <s:c r="B4735" s="121" t="n"/>
      <s:c r="C4735" s="121" t="n"/>
      <s:c r="D4735" s="121" t="n"/>
      <s:c r="E4735" s="122" t="n"/>
    </s:row>
    <s:row r="4736" hidden="1" ht="1" customHeight="1">
      <s:c r="A4736" s="120" t="inlineStr"/>
      <s:c r="B4736" s="121" t="n"/>
      <s:c r="C4736" s="121" t="n"/>
      <s:c r="D4736" s="121" t="n"/>
      <s:c r="E4736" s="122" t="n"/>
    </s:row>
    <s:row r="4737" hidden="1" ht="1" customHeight="1">
      <s:c r="A4737" s="120" t="inlineStr"/>
      <s:c r="B4737" s="121" t="n"/>
      <s:c r="C4737" s="121" t="n"/>
      <s:c r="D4737" s="121" t="n"/>
      <s:c r="E4737" s="122" t="n"/>
    </s:row>
    <s:row r="4738" hidden="1" ht="1" customHeight="1">
      <s:c r="A4738" s="120" t="inlineStr"/>
      <s:c r="B4738" s="121" t="n"/>
      <s:c r="C4738" s="121" t="n"/>
      <s:c r="D4738" s="121" t="n"/>
      <s:c r="E4738" s="122" t="n"/>
    </s:row>
    <s:row r="4739" hidden="1" ht="1" customHeight="1">
      <s:c r="A4739" s="120" t="inlineStr"/>
      <s:c r="B4739" s="121" t="n"/>
      <s:c r="C4739" s="121" t="n"/>
      <s:c r="D4739" s="121" t="n"/>
      <s:c r="E4739" s="122" t="n"/>
    </s:row>
    <s:row r="4740" hidden="1" ht="1" customHeight="1">
      <s:c r="A4740" s="120" t="inlineStr"/>
      <s:c r="B4740" s="121" t="n"/>
      <s:c r="C4740" s="121" t="n"/>
      <s:c r="D4740" s="121" t="n"/>
      <s:c r="E4740" s="122" t="n"/>
    </s:row>
    <s:row r="4741" hidden="1" ht="1" customHeight="1">
      <s:c r="A4741" s="120" t="inlineStr"/>
      <s:c r="B4741" s="121" t="n"/>
      <s:c r="C4741" s="121" t="n"/>
      <s:c r="D4741" s="121" t="n"/>
      <s:c r="E4741" s="122" t="n"/>
    </s:row>
    <s:row r="4742" hidden="1" ht="1" customHeight="1">
      <s:c r="A4742" s="120" t="inlineStr"/>
      <s:c r="B4742" s="121" t="n"/>
      <s:c r="C4742" s="121" t="n"/>
      <s:c r="D4742" s="121" t="n"/>
      <s:c r="E4742" s="122" t="n"/>
    </s:row>
    <s:row r="4743" hidden="1" ht="1" customHeight="1">
      <s:c r="A4743" s="120" t="inlineStr"/>
      <s:c r="B4743" s="121" t="n"/>
      <s:c r="C4743" s="121" t="n"/>
      <s:c r="D4743" s="121" t="n"/>
      <s:c r="E4743" s="122" t="n"/>
    </s:row>
    <s:row r="4744" hidden="1" ht="1" customHeight="1">
      <s:c r="A4744" s="120" t="inlineStr"/>
      <s:c r="B4744" s="121" t="n"/>
      <s:c r="C4744" s="121" t="n"/>
      <s:c r="D4744" s="121" t="n"/>
      <s:c r="E4744" s="122" t="n"/>
    </s:row>
    <s:row r="4745" hidden="1" ht="1" customHeight="1">
      <s:c r="A4745" s="120" t="inlineStr"/>
      <s:c r="B4745" s="121" t="n"/>
      <s:c r="C4745" s="121" t="n"/>
      <s:c r="D4745" s="121" t="n"/>
      <s:c r="E4745" s="122" t="n"/>
    </s:row>
    <s:row r="4746" hidden="1" ht="1" customHeight="1">
      <s:c r="A4746" s="120" t="inlineStr"/>
      <s:c r="B4746" s="121" t="n"/>
      <s:c r="C4746" s="121" t="n"/>
      <s:c r="D4746" s="121" t="n"/>
      <s:c r="E4746" s="122" t="n"/>
    </s:row>
    <s:row r="4747" hidden="1" ht="1" customHeight="1">
      <s:c r="A4747" s="120" t="inlineStr"/>
      <s:c r="B4747" s="121" t="n"/>
      <s:c r="C4747" s="121" t="n"/>
      <s:c r="D4747" s="121" t="n"/>
      <s:c r="E4747" s="122" t="n"/>
    </s:row>
    <s:row r="4748" hidden="1" ht="1" customHeight="1">
      <s:c r="A4748" s="120" t="inlineStr"/>
      <s:c r="B4748" s="121" t="n"/>
      <s:c r="C4748" s="121" t="n"/>
      <s:c r="D4748" s="121" t="n"/>
      <s:c r="E4748" s="122" t="n"/>
    </s:row>
    <s:row r="4749" hidden="1" ht="1" customHeight="1">
      <s:c r="A4749" s="120" t="inlineStr"/>
      <s:c r="B4749" s="121" t="n"/>
      <s:c r="C4749" s="121" t="n"/>
      <s:c r="D4749" s="121" t="n"/>
      <s:c r="E4749" s="122" t="n"/>
    </s:row>
    <s:row r="4750" hidden="1" ht="1" customHeight="1">
      <s:c r="A4750" s="120" t="inlineStr"/>
      <s:c r="B4750" s="121" t="n"/>
      <s:c r="C4750" s="121" t="n"/>
      <s:c r="D4750" s="121" t="n"/>
      <s:c r="E4750" s="122" t="n"/>
    </s:row>
    <s:row r="4751" hidden="1" ht="1" customHeight="1">
      <s:c r="A4751" s="120" t="inlineStr"/>
      <s:c r="B4751" s="121" t="n"/>
      <s:c r="C4751" s="121" t="n"/>
      <s:c r="D4751" s="121" t="n"/>
      <s:c r="E4751" s="122" t="n"/>
    </s:row>
    <s:row r="4752" hidden="1" ht="1" customHeight="1">
      <s:c r="A4752" s="120" t="inlineStr"/>
      <s:c r="B4752" s="121" t="n"/>
      <s:c r="C4752" s="121" t="n"/>
      <s:c r="D4752" s="121" t="n"/>
      <s:c r="E4752" s="122" t="n"/>
    </s:row>
    <s:row r="4753" hidden="1" ht="1" customHeight="1">
      <s:c r="A4753" s="120" t="inlineStr"/>
      <s:c r="B4753" s="121" t="n"/>
      <s:c r="C4753" s="121" t="n"/>
      <s:c r="D4753" s="121" t="n"/>
      <s:c r="E4753" s="122" t="n"/>
    </s:row>
    <s:row r="4754" hidden="1" ht="1" customHeight="1">
      <s:c r="A4754" s="120" t="inlineStr"/>
      <s:c r="B4754" s="121" t="n"/>
      <s:c r="C4754" s="121" t="n"/>
      <s:c r="D4754" s="121" t="n"/>
      <s:c r="E4754" s="122" t="n"/>
    </s:row>
    <s:row r="4755" hidden="1" ht="1" customHeight="1">
      <s:c r="A4755" s="120" t="inlineStr"/>
      <s:c r="B4755" s="121" t="n"/>
      <s:c r="C4755" s="121" t="n"/>
      <s:c r="D4755" s="121" t="n"/>
      <s:c r="E4755" s="122" t="n"/>
    </s:row>
    <s:row r="4756" hidden="1" ht="1" customHeight="1">
      <s:c r="A4756" s="120" t="inlineStr"/>
      <s:c r="B4756" s="121" t="n"/>
      <s:c r="C4756" s="121" t="n"/>
      <s:c r="D4756" s="121" t="n"/>
      <s:c r="E4756" s="122" t="n"/>
    </s:row>
    <s:row r="4757" hidden="1" ht="1" customHeight="1">
      <s:c r="A4757" s="120" t="inlineStr"/>
      <s:c r="B4757" s="121" t="n"/>
      <s:c r="C4757" s="121" t="n"/>
      <s:c r="D4757" s="121" t="n"/>
      <s:c r="E4757" s="122" t="n"/>
    </s:row>
    <s:row r="4758" hidden="1" ht="1" customHeight="1">
      <s:c r="A4758" s="120" t="inlineStr"/>
      <s:c r="B4758" s="121" t="n"/>
      <s:c r="C4758" s="121" t="n"/>
      <s:c r="D4758" s="121" t="n"/>
      <s:c r="E4758" s="122" t="n"/>
    </s:row>
    <s:row r="4759" hidden="1" ht="1" customHeight="1">
      <s:c r="A4759" s="120" t="inlineStr"/>
      <s:c r="B4759" s="121" t="n"/>
      <s:c r="C4759" s="121" t="n"/>
      <s:c r="D4759" s="121" t="n"/>
      <s:c r="E4759" s="122" t="n"/>
    </s:row>
    <s:row r="4760" hidden="1" ht="1" customHeight="1">
      <s:c r="A4760" s="120" t="inlineStr"/>
      <s:c r="B4760" s="121" t="n"/>
      <s:c r="C4760" s="121" t="n"/>
      <s:c r="D4760" s="121" t="n"/>
      <s:c r="E4760" s="122" t="n"/>
    </s:row>
    <s:row r="4761" hidden="1" ht="1" customHeight="1">
      <s:c r="A4761" s="120" t="inlineStr"/>
      <s:c r="B4761" s="121" t="n"/>
      <s:c r="C4761" s="121" t="n"/>
      <s:c r="D4761" s="121" t="n"/>
      <s:c r="E4761" s="122" t="n"/>
    </s:row>
    <s:row r="4762" hidden="1" ht="1" customHeight="1">
      <s:c r="A4762" s="120" t="inlineStr"/>
      <s:c r="B4762" s="121" t="n"/>
      <s:c r="C4762" s="121" t="n"/>
      <s:c r="D4762" s="121" t="n"/>
      <s:c r="E4762" s="122" t="n"/>
    </s:row>
    <s:row r="4763" hidden="1" ht="1" customHeight="1">
      <s:c r="A4763" s="120" t="inlineStr"/>
      <s:c r="B4763" s="121" t="n"/>
      <s:c r="C4763" s="121" t="n"/>
      <s:c r="D4763" s="121" t="n"/>
      <s:c r="E4763" s="122" t="n"/>
    </s:row>
    <s:row r="4764" hidden="1" ht="1" customHeight="1">
      <s:c r="A4764" s="120" t="inlineStr"/>
      <s:c r="B4764" s="121" t="n"/>
      <s:c r="C4764" s="121" t="n"/>
      <s:c r="D4764" s="121" t="n"/>
      <s:c r="E4764" s="122" t="n"/>
    </s:row>
    <s:row r="4765" hidden="1" ht="1" customHeight="1">
      <s:c r="A4765" s="120" t="inlineStr"/>
      <s:c r="B4765" s="121" t="n"/>
      <s:c r="C4765" s="121" t="n"/>
      <s:c r="D4765" s="121" t="n"/>
      <s:c r="E4765" s="122" t="n"/>
    </s:row>
    <s:row r="4766" hidden="1" ht="1" customHeight="1">
      <s:c r="A4766" s="120" t="inlineStr"/>
      <s:c r="B4766" s="121" t="n"/>
      <s:c r="C4766" s="121" t="n"/>
      <s:c r="D4766" s="121" t="n"/>
      <s:c r="E4766" s="122" t="n"/>
    </s:row>
    <s:row r="4767" hidden="1" ht="1" customHeight="1">
      <s:c r="A4767" s="120" t="inlineStr"/>
      <s:c r="B4767" s="121" t="n"/>
      <s:c r="C4767" s="121" t="n"/>
      <s:c r="D4767" s="121" t="n"/>
      <s:c r="E4767" s="122" t="n"/>
    </s:row>
    <s:row r="4768" hidden="1" ht="1" customHeight="1">
      <s:c r="A4768" s="120" t="inlineStr"/>
      <s:c r="B4768" s="121" t="n"/>
      <s:c r="C4768" s="121" t="n"/>
      <s:c r="D4768" s="121" t="n"/>
      <s:c r="E4768" s="122" t="n"/>
    </s:row>
    <s:row r="4769" hidden="1" ht="1" customHeight="1">
      <s:c r="A4769" s="120" t="inlineStr"/>
      <s:c r="B4769" s="121" t="n"/>
      <s:c r="C4769" s="121" t="n"/>
      <s:c r="D4769" s="121" t="n"/>
      <s:c r="E4769" s="122" t="n"/>
    </s:row>
    <s:row r="4770" hidden="1" ht="1" customHeight="1">
      <s:c r="A4770" s="120" t="inlineStr"/>
      <s:c r="B4770" s="121" t="n"/>
      <s:c r="C4770" s="121" t="n"/>
      <s:c r="D4770" s="121" t="n"/>
      <s:c r="E4770" s="122" t="n"/>
    </s:row>
    <s:row r="4771" hidden="1" ht="1" customHeight="1">
      <s:c r="A4771" s="120" t="inlineStr"/>
      <s:c r="B4771" s="121" t="n"/>
      <s:c r="C4771" s="121" t="n"/>
      <s:c r="D4771" s="121" t="n"/>
      <s:c r="E4771" s="122" t="n"/>
    </s:row>
    <s:row r="4772" hidden="1" ht="1" customHeight="1">
      <s:c r="A4772" s="120" t="inlineStr"/>
      <s:c r="B4772" s="121" t="n"/>
      <s:c r="C4772" s="121" t="n"/>
      <s:c r="D4772" s="121" t="n"/>
      <s:c r="E4772" s="122" t="n"/>
    </s:row>
    <s:row r="4773" hidden="1" ht="1" customHeight="1">
      <s:c r="A4773" s="120" t="inlineStr"/>
      <s:c r="B4773" s="121" t="n"/>
      <s:c r="C4773" s="121" t="n"/>
      <s:c r="D4773" s="121" t="n"/>
      <s:c r="E4773" s="122" t="n"/>
    </s:row>
    <s:row r="4774" hidden="1" ht="1" customHeight="1">
      <s:c r="A4774" s="120" t="inlineStr"/>
      <s:c r="B4774" s="121" t="n"/>
      <s:c r="C4774" s="121" t="n"/>
      <s:c r="D4774" s="121" t="n"/>
      <s:c r="E4774" s="122" t="n"/>
    </s:row>
    <s:row r="4775" hidden="1" ht="1" customHeight="1">
      <s:c r="A4775" s="120" t="inlineStr"/>
      <s:c r="B4775" s="121" t="n"/>
      <s:c r="C4775" s="121" t="n"/>
      <s:c r="D4775" s="121" t="n"/>
      <s:c r="E4775" s="122" t="n"/>
    </s:row>
    <s:row r="4776" hidden="1" ht="1" customHeight="1">
      <s:c r="A4776" s="120" t="inlineStr"/>
      <s:c r="B4776" s="121" t="n"/>
      <s:c r="C4776" s="121" t="n"/>
      <s:c r="D4776" s="121" t="n"/>
      <s:c r="E4776" s="122" t="n"/>
    </s:row>
    <s:row r="4777" hidden="1" ht="1" customHeight="1">
      <s:c r="A4777" s="120" t="inlineStr"/>
      <s:c r="B4777" s="121" t="n"/>
      <s:c r="C4777" s="121" t="n"/>
      <s:c r="D4777" s="121" t="n"/>
      <s:c r="E4777" s="122" t="n"/>
    </s:row>
    <s:row r="4778" hidden="1" ht="1" customHeight="1">
      <s:c r="A4778" s="120" t="inlineStr"/>
      <s:c r="B4778" s="121" t="n"/>
      <s:c r="C4778" s="121" t="n"/>
      <s:c r="D4778" s="121" t="n"/>
      <s:c r="E4778" s="122" t="n"/>
    </s:row>
    <s:row r="4779" hidden="1" ht="1" customHeight="1">
      <s:c r="A4779" s="120" t="inlineStr"/>
      <s:c r="B4779" s="121" t="n"/>
      <s:c r="C4779" s="121" t="n"/>
      <s:c r="D4779" s="121" t="n"/>
      <s:c r="E4779" s="122" t="n"/>
    </s:row>
    <s:row r="4780" hidden="1" ht="1" customHeight="1">
      <s:c r="A4780" s="120" t="inlineStr"/>
      <s:c r="B4780" s="121" t="n"/>
      <s:c r="C4780" s="121" t="n"/>
      <s:c r="D4780" s="121" t="n"/>
      <s:c r="E4780" s="122" t="n"/>
    </s:row>
    <s:row r="4781" hidden="1" ht="1" customHeight="1">
      <s:c r="A4781" s="120" t="inlineStr"/>
      <s:c r="B4781" s="121" t="n"/>
      <s:c r="C4781" s="121" t="n"/>
      <s:c r="D4781" s="121" t="n"/>
      <s:c r="E4781" s="122" t="n"/>
    </s:row>
    <s:row r="4782" hidden="1" ht="1" customHeight="1">
      <s:c r="A4782" s="120" t="inlineStr"/>
      <s:c r="B4782" s="121" t="n"/>
      <s:c r="C4782" s="121" t="n"/>
      <s:c r="D4782" s="121" t="n"/>
      <s:c r="E4782" s="122" t="n"/>
    </s:row>
    <s:row r="4783" hidden="1" ht="1" customHeight="1">
      <s:c r="A4783" s="120" t="inlineStr"/>
      <s:c r="B4783" s="121" t="n"/>
      <s:c r="C4783" s="121" t="n"/>
      <s:c r="D4783" s="121" t="n"/>
      <s:c r="E4783" s="122" t="n"/>
    </s:row>
    <s:row r="4784" hidden="1" ht="1" customHeight="1">
      <s:c r="A4784" s="120" t="inlineStr"/>
      <s:c r="B4784" s="121" t="n"/>
      <s:c r="C4784" s="121" t="n"/>
      <s:c r="D4784" s="121" t="n"/>
      <s:c r="E4784" s="122" t="n"/>
    </s:row>
    <s:row r="4785" hidden="1" ht="1" customHeight="1">
      <s:c r="A4785" s="120" t="inlineStr"/>
      <s:c r="B4785" s="121" t="n"/>
      <s:c r="C4785" s="121" t="n"/>
      <s:c r="D4785" s="121" t="n"/>
      <s:c r="E4785" s="122" t="n"/>
    </s:row>
    <s:row r="4786" hidden="1" ht="1" customHeight="1">
      <s:c r="A4786" s="120" t="inlineStr"/>
      <s:c r="B4786" s="121" t="n"/>
      <s:c r="C4786" s="121" t="n"/>
      <s:c r="D4786" s="121" t="n"/>
      <s:c r="E4786" s="122" t="n"/>
    </s:row>
    <s:row r="4787" hidden="1" ht="1" customHeight="1">
      <s:c r="A4787" s="120" t="inlineStr"/>
      <s:c r="B4787" s="121" t="n"/>
      <s:c r="C4787" s="121" t="n"/>
      <s:c r="D4787" s="121" t="n"/>
      <s:c r="E4787" s="122" t="n"/>
    </s:row>
    <s:row r="4788" hidden="1" ht="1" customHeight="1">
      <s:c r="A4788" s="120" t="inlineStr"/>
      <s:c r="B4788" s="121" t="n"/>
      <s:c r="C4788" s="121" t="n"/>
      <s:c r="D4788" s="121" t="n"/>
      <s:c r="E4788" s="122" t="n"/>
    </s:row>
    <s:row r="4789" hidden="1" ht="1" customHeight="1">
      <s:c r="A4789" s="120" t="inlineStr"/>
      <s:c r="B4789" s="121" t="n"/>
      <s:c r="C4789" s="121" t="n"/>
      <s:c r="D4789" s="121" t="n"/>
      <s:c r="E4789" s="122" t="n"/>
    </s:row>
    <s:row r="4790" hidden="1" ht="1" customHeight="1">
      <s:c r="A4790" s="120" t="inlineStr"/>
      <s:c r="B4790" s="121" t="n"/>
      <s:c r="C4790" s="121" t="n"/>
      <s:c r="D4790" s="121" t="n"/>
      <s:c r="E4790" s="122" t="n"/>
    </s:row>
    <s:row r="4791" hidden="1" ht="1" customHeight="1">
      <s:c r="A4791" s="83" t="inlineStr">
        <s:is>
          <s:t>PASS</s:t>
        </s:is>
      </s:c>
      <s:c r="B4791" s="83">
        <s:f>SUM(IF(EXACT('Kiểm thử'!E4691,"Đạt"),1,0),IF(EXACT('Kiểm thử'!E4693,"Đạt"),1,0))</s:f>
        <s:v/>
      </s:c>
      <s:c r="C4791" s="19" t="n"/>
      <s:c r="D4791" s="19" t="n"/>
      <s:c r="E4791" s="19" t="n"/>
    </s:row>
    <s:row r="4792" hidden="1" ht="1" customHeight="1">
      <s:c r="A4792" s="83" t="inlineStr">
        <s:is>
          <s:t>FAIL</s:t>
        </s:is>
      </s:c>
      <s:c r="B4792" s="83">
        <s:f>SUM(IF(EXACT('Kiểm thử'!E4691,"Không đạt"),1,0),IF(EXACT('Kiểm thử'!E4693,"Không đạt"),1,0))</s:f>
        <s:v/>
      </s:c>
      <s:c r="C4792" s="19" t="n"/>
      <s:c r="D4792" s="19" t="n"/>
      <s:c r="E4792" s="19" t="n"/>
    </s:row>
    <s:row r="4793" hidden="1" ht="1" customHeight="1">
      <s:c r="A4793" s="83" t="inlineStr">
        <s:is>
          <s:t>BLOCKED</s:t>
        </s:is>
      </s:c>
      <s:c r="B4793" s="83">
        <s:f>SUM(IF(EXACT('Kiểm thử'!E4691,"Bị chặn"),1,0),IF(EXACT('Kiểm thử'!E4693,"Bị chặn"),1,0))</s:f>
        <s:v/>
      </s:c>
      <s:c r="C4793" s="19" t="n"/>
      <s:c r="D4793" s="19" t="n"/>
      <s:c r="E4793" s="19" t="n"/>
    </s:row>
    <s:row r="4794" hidden="1" ht="1" customHeight="1">
      <s:c r="A4794" s="83" t="inlineStr">
        <s:is>
          <s:t>SKIPPED</s:t>
        </s:is>
      </s:c>
      <s:c r="B4794" s="83">
        <s:f>SUM(IF(EXACT('Kiểm thử'!E4691,"Không thực hiện"),1,0),IF(EXACT('Kiểm thử'!E4693,"Không thực hiện"),1,0))</s:f>
        <s:v/>
      </s:c>
      <s:c r="C4794" s="19" t="n"/>
      <s:c r="D4794" s="19" t="n"/>
      <s:c r="E4794" s="19" t="n"/>
    </s:row>
    <s:row r="4795" hidden="1" ht="1" customHeight="1">
      <s:c r="A4795" s="83" t="inlineStr">
        <s:is>
          <s:t>NOT RUN</s:t>
        </s:is>
      </s:c>
      <s:c r="B4795" s="83">
        <s:f>SUM(IF(EXACT('Kiểm thử'!E4691,"Chưa thực hiện"),1,0),IF(EXACT('Kiểm thử'!E4693,"Chưa thực hiện"),1,0))</s:f>
        <s:v/>
      </s:c>
      <s:c r="C4795" s="19" t="n"/>
      <s:c r="D4795" s="19" t="n"/>
      <s:c r="E4795" s="19" t="n"/>
    </s:row>
    <s:row r="4796" hidden="1" ht="6" customHeight="1">
      <s:c r="A4796" s="83" t="inlineStr"/>
      <s:c r="B4796" s="19" t="n"/>
      <s:c r="C4796" s="19" t="n"/>
      <s:c r="D4796" s="19" t="n"/>
      <s:c r="E4796" s="19" t="n"/>
    </s:row>
    <s:row r="4797" ht="28" customHeight="1">
      <s:c r="A4797" s="108" t="inlineStr">
        <s:is>
          <s:t>TC-RS-VAL-001 — Điểm cố định: biên −1 / 0 / 100 / 101 với M=100</s:t>
        </s:is>
      </s:c>
      <s:c r="B4797" s="111" t="n"/>
      <s:c r="C4797" s="111" t="n"/>
      <s:c r="D4797" s="111" t="n"/>
      <s:c r="E4797" s="111" t="n"/>
    </s:row>
    <s:row r="4798" ht="20" customHeight="1">
      <s:c r="A4798" s="112" t="inlineStr">
        <s:is>
          <s:t>Kết quả tình huống</s:t>
        </s:is>
      </s:c>
      <s:c r="B4798" s="113">
        <s:f>IF(SUM(IF(EXACT('Kiểm thử'!E4805,"Không đạt"),1,0),IF(EXACT('Kiểm thử'!E4807,"Không đạt"),1,0),IF(EXACT('Kiểm thử'!E4809,"Không đạt"),1,0),IF(EXACT('Kiểm thử'!E4811,"Không đạt"),1,0))&gt;0,"Không đạt",IF(SUM(IF(EXACT('Kiểm thử'!E4805,"Đạt"),1,0),IF(EXACT('Kiểm thử'!E4807,"Đạt"),1,0),IF(EXACT('Kiểm thử'!E4809,"Đạt"),1,0),IF(EXACT('Kiểm thử'!E4811,"Đạt"),1,0))=4,"Đạt",IF(SUM(IF(EXACT('Kiểm thử'!E4805,"Không thực hiện"),1,0),IF(EXACT('Kiểm thử'!E4807,"Không thực hiện"),1,0),IF(EXACT('Kiểm thử'!E4809,"Không thực hiện"),1,0),IF(EXACT('Kiểm thử'!E4811,"Không thực hiện"),1,0))=4,"Không thực hiện",IF(SUM(IF(EXACT('Kiểm thử'!E4805,"Bị chặn"),1,0),IF(EXACT('Kiểm thử'!E4807,"Bị chặn"),1,0),IF(EXACT('Kiểm thử'!E4809,"Bị chặn"),1,0),IF(EXACT('Kiểm thử'!E4811,"Bị chặn"),1,0))&gt;0,"Bị chặn",IF(SUM(IF(EXACT('Kiểm thử'!E4805,"Chưa thực hiện"),1,0),IF(EXACT('Kiểm thử'!E4807,"Chưa thực hiện"),1,0),IF(EXACT('Kiểm thử'!E4809,"Chưa thực hiện"),1,0),IF(EXACT('Kiểm thử'!E4811,"Chưa thực hiện"),1,0))=4,"Chưa thực hiện","Đang thực hiện")))))</s:f>
        <s:v/>
      </s:c>
      <s:c r="C4798" s="114" t="n"/>
      <s:c r="D4798" s="114" t="n"/>
      <s:c r="E4798" s="114" t="n"/>
    </s:row>
    <s:row r="4799" ht="20" customHeight="1">
      <s:c r="A4799" s="112" t="inlineStr">
        <s:is>
          <s:t>Màn hình / chức năng</s:t>
        </s:is>
      </s:c>
      <s:c r="B4799" s="113" t="inlineStr">
        <s:is>
          <s:r>
            <s:rPr>
              <s:b val="1"/>
            </s:rPr>
            <s:t>Thiết lập ngưỡng（基準設定）</s:t>
          </s:r>
        </s:is>
      </s:c>
      <s:c r="C4799" s="28" t="n"/>
      <s:c r="D4799" s="28" t="n"/>
      <s:c r="E4799" s="28" t="n"/>
    </s:row>
    <s:row r="4800" ht="20" customHeight="1">
      <s:c r="A4800" s="112" t="inlineStr">
        <s:is>
          <s:t>Cấu hình</s:t>
        </s:is>
      </s:c>
      <s:c r="B4800" s="113" t="inlineStr">
        <s:is>
          <s:r>
            <s:t>• Mục số nguyên (</s:t>
          </s:r>
          <s:r>
            <s:rPr>
              <s:b val="1"/>
            </s:rPr>
            <s:t>M=100</s:t>
          </s:r>
          <s:r>
            <s:t>) (</s:t>
          </s:r>
          <s:r>
            <s:rPr>
              <s:b val="1"/>
            </s:rPr>
            <s:t>M=100</s:t>
          </s:r>
          <s:r>
            <s:t xml:space="preserve"> cho mọi đối tượng), Toàn bộ đối tượng.</s:t>
          </s:r>
        </s:is>
      </s:c>
      <s:c r="C4800" s="28" t="n"/>
      <s:c r="D4800" s="28" t="n"/>
      <s:c r="E4800" s="28" t="n"/>
    </s:row>
    <s:row r="4801" ht="34" customHeight="1">
      <s:c r="A4801" s="112" t="inlineStr">
        <s:is>
          <s:t>Dữ liệu test</s:t>
        </s:is>
      </s:c>
      <s:c r="B4801" s="113" t="inlineStr">
        <s:is>
          <s:r>
            <s:t>• Mục số nguyên (</s:t>
          </s:r>
          <s:r>
            <s:rPr>
              <s:b val="1"/>
            </s:rPr>
            <s:t>M=100</s:t>
          </s:r>
          <s:r>
            <s:t>);
• N = −1, 0, 100, 101</s:t>
          </s:r>
        </s:is>
      </s:c>
      <s:c r="C4801" s="28" t="n"/>
      <s:c r="D4801" s="28" t="n"/>
      <s:c r="E4801" s="28" t="n"/>
    </s:row>
    <s:row r="4802" ht="20" customHeight="1">
      <s:c r="A4802" s="112" t="inlineStr">
        <s:is>
          <s:t>•</s:t>
        </s:is>
      </s:c>
      <s:c r="B4802" s="113" t="inlineStr">
        <s:is>
          <s:r>
            <s:t xml:space="preserve">Lần lượt </s:t>
          </s:r>
          <s:r>
            <s:rPr>
              <s:b val="1"/>
            </s:rPr>
            <s:t>nhập Điểm cố định（固定点数）</s:t>
          </s:r>
          <s:r>
            <s:t xml:space="preserve">= −1, 0, 100, 101 </s:t>
          </s:r>
          <s:r>
            <s:rPr>
              <s:b val="1"/>
            </s:rPr>
            <s:t>và bấm Cập nhật（更新する）</s:t>
          </s:r>
          <s:r>
            <s:t>.</s:t>
          </s:r>
        </s:is>
      </s:c>
      <s:c r="C4802" s="28" t="n"/>
      <s:c r="D4802" s="28" t="n"/>
      <s:c r="E4802" s="28" t="n"/>
    </s:row>
    <s:row r="4803" ht="28" customHeight="1">
      <s:c r="A4803" s="115" t="inlineStr">
        <s:is>
          <s:t>Trường hợp</s:t>
        </s:is>
      </s:c>
      <s:c r="B4803" s="115" t="inlineStr">
        <s:is>
          <s:t>Dữ liệu / thao tác riêng</s:t>
        </s:is>
      </s:c>
      <s:c r="C4803" s="115" t="inlineStr">
        <s:is>
          <s:t>Kết quả mong đợi</s:t>
        </s:is>
      </s:c>
      <s:c r="D4803" s="115" t="inlineStr">
        <s:is>
          <s:t>Kết quả thực tế</s:t>
        </s:is>
      </s:c>
      <s:c r="E4803" s="115" t="inlineStr">
        <s:is>
          <s:t>Đánh giá</s:t>
        </s:is>
      </s:c>
    </s:row>
    <s:row r="4804" ht="3" customHeight="1">
      <s:c r="A4804" s="102" t="inlineStr"/>
      <s:c r="B4804" s="99" t="n"/>
      <s:c r="C4804" s="99" t="n"/>
      <s:c r="D4804" s="116" t="n"/>
      <s:c r="E4804" s="116" t="n"/>
    </s:row>
    <s:row r="4805" ht="34" customHeight="1">
      <s:c r="A4805" s="83" t="inlineStr">
        <s:is>
          <s:t>Trường hợp (negative)</s:t>
        </s:is>
      </s:c>
      <s:c r="B4805" s="83" t="inlineStr">
        <s:is>
          <s:r>
            <s:rPr>
              <s:b val="1"/>
            </s:rPr>
            <s:t>N=-1</s:t>
          </s:r>
          <s:r>
            <s:t>: Nhập N=−1; lưu.</s:t>
          </s:r>
        </s:is>
      </s:c>
      <s:c r="C4805" s="83" t="inlineStr">
        <s:is>
          <s:t>N=−1: không lưu được, có lỗi; cấu hình đã lưu trước đó không đổi.</s:t>
        </s:is>
      </s:c>
      <s:c r="D4805" s="117" t="inlineStr"/>
      <s:c r="E4805" s="118" t="inlineStr">
        <s:is>
          <s:t>Chưa thực hiện</s:t>
        </s:is>
      </s:c>
    </s:row>
    <s:row r="4806" ht="3" customHeight="1">
      <s:c r="A4806" s="102" t="inlineStr"/>
      <s:c r="B4806" s="99" t="n"/>
      <s:c r="C4806" s="99" t="n"/>
      <s:c r="D4806" s="116" t="n"/>
      <s:c r="E4806" s="116" t="n"/>
    </s:row>
    <s:row r="4807" ht="20" customHeight="1">
      <s:c r="A4807" s="83" t="inlineStr">
        <s:is>
          <s:t>Trường hợp (zero)</s:t>
        </s:is>
      </s:c>
      <s:c r="B4807" s="83" t="inlineStr">
        <s:is>
          <s:r>
            <s:rPr>
              <s:b val="1"/>
            </s:rPr>
            <s:t>N=0</s:t>
          </s:r>
          <s:r>
            <s:t xml:space="preserve">: Nhập </s:t>
          </s:r>
          <s:r>
            <s:rPr>
              <s:b val="1"/>
            </s:rPr>
            <s:t>N=0</s:t>
          </s:r>
          <s:r>
            <s:t>; lưu.</s:t>
          </s:r>
        </s:is>
      </s:c>
      <s:c r="C4807" s="83" t="inlineStr">
        <s:is>
          <s:r>
            <s:rPr>
              <s:b val="1"/>
            </s:rPr>
            <s:t>N=0</s:t>
          </s:r>
          <s:r>
            <s:t>: lưu được.</s:t>
          </s:r>
        </s:is>
      </s:c>
      <s:c r="D4807" s="117" t="inlineStr"/>
      <s:c r="E4807" s="118" t="inlineStr">
        <s:is>
          <s:t>Chưa thực hiện</s:t>
        </s:is>
      </s:c>
    </s:row>
    <s:row r="4808" ht="3" customHeight="1">
      <s:c r="A4808" s="102" t="inlineStr"/>
      <s:c r="B4808" s="99" t="n"/>
      <s:c r="C4808" s="99" t="n"/>
      <s:c r="D4808" s="116" t="n"/>
      <s:c r="E4808" s="116" t="n"/>
    </s:row>
    <s:row r="4809" ht="20" customHeight="1">
      <s:c r="A4809" s="83" t="inlineStr">
        <s:is>
          <s:t>Trường hợp (maximum)</s:t>
        </s:is>
      </s:c>
      <s:c r="B4809" s="83" t="inlineStr">
        <s:is>
          <s:r>
            <s:rPr>
              <s:b val="1"/>
            </s:rPr>
            <s:t>N=100</s:t>
          </s:r>
          <s:r>
            <s:t xml:space="preserve">: Nhập </s:t>
          </s:r>
          <s:r>
            <s:rPr>
              <s:b val="1"/>
            </s:rPr>
            <s:t>N=100</s:t>
          </s:r>
          <s:r>
            <s:t xml:space="preserve">, </s:t>
          </s:r>
          <s:r>
            <s:rPr>
              <s:b val="1"/>
            </s:rPr>
            <s:t>M=100</s:t>
          </s:r>
          <s:r>
            <s:t>; lưu.</s:t>
          </s:r>
        </s:is>
      </s:c>
      <s:c r="C4809" s="83" t="inlineStr">
        <s:is>
          <s:r>
            <s:rPr>
              <s:b val="1"/>
            </s:rPr>
            <s:t>N=100</s:t>
          </s:r>
          <s:r>
            <s:t>=M: lưu được.</s:t>
          </s:r>
        </s:is>
      </s:c>
      <s:c r="D4809" s="117" t="inlineStr"/>
      <s:c r="E4809" s="118" t="inlineStr">
        <s:is>
          <s:t>Chưa thực hiện</s:t>
        </s:is>
      </s:c>
    </s:row>
    <s:row r="4810" ht="3" customHeight="1">
      <s:c r="A4810" s="102" t="inlineStr"/>
      <s:c r="B4810" s="99" t="n"/>
      <s:c r="C4810" s="99" t="n"/>
      <s:c r="D4810" s="116" t="n"/>
      <s:c r="E4810" s="116" t="n"/>
    </s:row>
    <s:row r="4811" ht="34" customHeight="1">
      <s:c r="A4811" s="83" t="inlineStr">
        <s:is>
          <s:t>Trường hợp (above)</s:t>
        </s:is>
      </s:c>
      <s:c r="B4811" s="83" t="inlineStr">
        <s:is>
          <s:r>
            <s:rPr>
              <s:b val="1"/>
            </s:rPr>
            <s:t>N=101</s:t>
          </s:r>
          <s:r>
            <s:t xml:space="preserve">: Nhập </s:t>
          </s:r>
          <s:r>
            <s:rPr>
              <s:b val="1"/>
            </s:rPr>
            <s:t>N=101</s:t>
          </s:r>
          <s:r>
            <s:t xml:space="preserve">, </s:t>
          </s:r>
          <s:r>
            <s:rPr>
              <s:b val="1"/>
            </s:rPr>
            <s:t>M=100</s:t>
          </s:r>
          <s:r>
            <s:t>; lưu.</s:t>
          </s:r>
        </s:is>
      </s:c>
      <s:c r="C4811" s="83" t="inlineStr">
        <s:is>
          <s:r>
            <s:rPr>
              <s:b val="1"/>
            </s:rPr>
            <s:t>N=101</s:t>
          </s:r>
          <s:r>
            <s:t>&gt;</s:t>
          </s:r>
          <s:r>
            <s:rPr>
              <s:b val="1"/>
            </s:rPr>
            <s:t>M=100</s:t>
          </s:r>
          <s:r>
            <s:t>: không lưu được, có lỗi vượt M; cấu hình đã lưu trước đó không đổi.</s:t>
          </s:r>
        </s:is>
      </s:c>
      <s:c r="D4811" s="117" t="inlineStr"/>
      <s:c r="E4811" s="118" t="inlineStr">
        <s:is>
          <s:t>Chưa thực hiện</s:t>
        </s:is>
      </s:c>
    </s:row>
    <s:row r="4812" ht="20" customHeight="1">
      <s:c r="A4812" s="119" t="inlineStr">
        <s:is>
          <s:t>Ảnh minh chứng — Chưa có ảnh</s:t>
        </s:is>
      </s:c>
      <s:c r="B4812" s="19" t="n"/>
      <s:c r="C4812" s="19" t="n"/>
      <s:c r="D4812" s="19" t="n"/>
      <s:c r="E4812" s="19" t="n"/>
    </s:row>
    <s:row r="4813" hidden="1" ht="1" customHeight="1">
      <s:c r="A4813" s="120" t="inlineStr"/>
      <s:c r="B4813" s="121" t="n"/>
      <s:c r="C4813" s="121" t="n"/>
      <s:c r="D4813" s="121" t="n"/>
      <s:c r="E4813" s="122" t="n"/>
    </s:row>
    <s:row r="4814" hidden="1" ht="1" customHeight="1">
      <s:c r="A4814" s="120" t="inlineStr"/>
      <s:c r="B4814" s="121" t="n"/>
      <s:c r="C4814" s="121" t="n"/>
      <s:c r="D4814" s="121" t="n"/>
      <s:c r="E4814" s="122" t="n"/>
    </s:row>
    <s:row r="4815" hidden="1" ht="1" customHeight="1">
      <s:c r="A4815" s="120" t="inlineStr"/>
      <s:c r="B4815" s="121" t="n"/>
      <s:c r="C4815" s="121" t="n"/>
      <s:c r="D4815" s="121" t="n"/>
      <s:c r="E4815" s="122" t="n"/>
    </s:row>
    <s:row r="4816" hidden="1" ht="1" customHeight="1">
      <s:c r="A4816" s="120" t="inlineStr"/>
      <s:c r="B4816" s="121" t="n"/>
      <s:c r="C4816" s="121" t="n"/>
      <s:c r="D4816" s="121" t="n"/>
      <s:c r="E4816" s="122" t="n"/>
    </s:row>
    <s:row r="4817" hidden="1" ht="1" customHeight="1">
      <s:c r="A4817" s="120" t="inlineStr"/>
      <s:c r="B4817" s="121" t="n"/>
      <s:c r="C4817" s="121" t="n"/>
      <s:c r="D4817" s="121" t="n"/>
      <s:c r="E4817" s="122" t="n"/>
    </s:row>
    <s:row r="4818" hidden="1" ht="1" customHeight="1">
      <s:c r="A4818" s="120" t="inlineStr"/>
      <s:c r="B4818" s="121" t="n"/>
      <s:c r="C4818" s="121" t="n"/>
      <s:c r="D4818" s="121" t="n"/>
      <s:c r="E4818" s="122" t="n"/>
    </s:row>
    <s:row r="4819" hidden="1" ht="1" customHeight="1">
      <s:c r="A4819" s="120" t="inlineStr"/>
      <s:c r="B4819" s="121" t="n"/>
      <s:c r="C4819" s="121" t="n"/>
      <s:c r="D4819" s="121" t="n"/>
      <s:c r="E4819" s="122" t="n"/>
    </s:row>
    <s:row r="4820" hidden="1" ht="1" customHeight="1">
      <s:c r="A4820" s="120" t="inlineStr"/>
      <s:c r="B4820" s="121" t="n"/>
      <s:c r="C4820" s="121" t="n"/>
      <s:c r="D4820" s="121" t="n"/>
      <s:c r="E4820" s="122" t="n"/>
    </s:row>
    <s:row r="4821" hidden="1" ht="1" customHeight="1">
      <s:c r="A4821" s="120" t="inlineStr"/>
      <s:c r="B4821" s="121" t="n"/>
      <s:c r="C4821" s="121" t="n"/>
      <s:c r="D4821" s="121" t="n"/>
      <s:c r="E4821" s="122" t="n"/>
    </s:row>
    <s:row r="4822" hidden="1" ht="1" customHeight="1">
      <s:c r="A4822" s="120" t="inlineStr"/>
      <s:c r="B4822" s="121" t="n"/>
      <s:c r="C4822" s="121" t="n"/>
      <s:c r="D4822" s="121" t="n"/>
      <s:c r="E4822" s="122" t="n"/>
    </s:row>
    <s:row r="4823" hidden="1" ht="1" customHeight="1">
      <s:c r="A4823" s="120" t="inlineStr"/>
      <s:c r="B4823" s="121" t="n"/>
      <s:c r="C4823" s="121" t="n"/>
      <s:c r="D4823" s="121" t="n"/>
      <s:c r="E4823" s="122" t="n"/>
    </s:row>
    <s:row r="4824" hidden="1" ht="1" customHeight="1">
      <s:c r="A4824" s="120" t="inlineStr"/>
      <s:c r="B4824" s="121" t="n"/>
      <s:c r="C4824" s="121" t="n"/>
      <s:c r="D4824" s="121" t="n"/>
      <s:c r="E4824" s="122" t="n"/>
    </s:row>
    <s:row r="4825" hidden="1" ht="1" customHeight="1">
      <s:c r="A4825" s="120" t="inlineStr"/>
      <s:c r="B4825" s="121" t="n"/>
      <s:c r="C4825" s="121" t="n"/>
      <s:c r="D4825" s="121" t="n"/>
      <s:c r="E4825" s="122" t="n"/>
    </s:row>
    <s:row r="4826" hidden="1" ht="1" customHeight="1">
      <s:c r="A4826" s="120" t="inlineStr"/>
      <s:c r="B4826" s="121" t="n"/>
      <s:c r="C4826" s="121" t="n"/>
      <s:c r="D4826" s="121" t="n"/>
      <s:c r="E4826" s="122" t="n"/>
    </s:row>
    <s:row r="4827" hidden="1" ht="1" customHeight="1">
      <s:c r="A4827" s="120" t="inlineStr"/>
      <s:c r="B4827" s="121" t="n"/>
      <s:c r="C4827" s="121" t="n"/>
      <s:c r="D4827" s="121" t="n"/>
      <s:c r="E4827" s="122" t="n"/>
    </s:row>
    <s:row r="4828" hidden="1" ht="1" customHeight="1">
      <s:c r="A4828" s="120" t="inlineStr"/>
      <s:c r="B4828" s="121" t="n"/>
      <s:c r="C4828" s="121" t="n"/>
      <s:c r="D4828" s="121" t="n"/>
      <s:c r="E4828" s="122" t="n"/>
    </s:row>
    <s:row r="4829" hidden="1" ht="1" customHeight="1">
      <s:c r="A4829" s="120" t="inlineStr"/>
      <s:c r="B4829" s="121" t="n"/>
      <s:c r="C4829" s="121" t="n"/>
      <s:c r="D4829" s="121" t="n"/>
      <s:c r="E4829" s="122" t="n"/>
    </s:row>
    <s:row r="4830" hidden="1" ht="1" customHeight="1">
      <s:c r="A4830" s="120" t="inlineStr"/>
      <s:c r="B4830" s="121" t="n"/>
      <s:c r="C4830" s="121" t="n"/>
      <s:c r="D4830" s="121" t="n"/>
      <s:c r="E4830" s="122" t="n"/>
    </s:row>
    <s:row r="4831" hidden="1" ht="1" customHeight="1">
      <s:c r="A4831" s="120" t="inlineStr"/>
      <s:c r="B4831" s="121" t="n"/>
      <s:c r="C4831" s="121" t="n"/>
      <s:c r="D4831" s="121" t="n"/>
      <s:c r="E4831" s="122" t="n"/>
    </s:row>
    <s:row r="4832" hidden="1" ht="1" customHeight="1">
      <s:c r="A4832" s="120" t="inlineStr"/>
      <s:c r="B4832" s="121" t="n"/>
      <s:c r="C4832" s="121" t="n"/>
      <s:c r="D4832" s="121" t="n"/>
      <s:c r="E4832" s="122" t="n"/>
    </s:row>
    <s:row r="4833" hidden="1" ht="1" customHeight="1">
      <s:c r="A4833" s="120" t="inlineStr"/>
      <s:c r="B4833" s="121" t="n"/>
      <s:c r="C4833" s="121" t="n"/>
      <s:c r="D4833" s="121" t="n"/>
      <s:c r="E4833" s="122" t="n"/>
    </s:row>
    <s:row r="4834" hidden="1" ht="1" customHeight="1">
      <s:c r="A4834" s="120" t="inlineStr"/>
      <s:c r="B4834" s="121" t="n"/>
      <s:c r="C4834" s="121" t="n"/>
      <s:c r="D4834" s="121" t="n"/>
      <s:c r="E4834" s="122" t="n"/>
    </s:row>
    <s:row r="4835" hidden="1" ht="1" customHeight="1">
      <s:c r="A4835" s="120" t="inlineStr"/>
      <s:c r="B4835" s="121" t="n"/>
      <s:c r="C4835" s="121" t="n"/>
      <s:c r="D4835" s="121" t="n"/>
      <s:c r="E4835" s="122" t="n"/>
    </s:row>
    <s:row r="4836" hidden="1" ht="1" customHeight="1">
      <s:c r="A4836" s="120" t="inlineStr"/>
      <s:c r="B4836" s="121" t="n"/>
      <s:c r="C4836" s="121" t="n"/>
      <s:c r="D4836" s="121" t="n"/>
      <s:c r="E4836" s="122" t="n"/>
    </s:row>
    <s:row r="4837" hidden="1" ht="1" customHeight="1">
      <s:c r="A4837" s="120" t="inlineStr"/>
      <s:c r="B4837" s="121" t="n"/>
      <s:c r="C4837" s="121" t="n"/>
      <s:c r="D4837" s="121" t="n"/>
      <s:c r="E4837" s="122" t="n"/>
    </s:row>
    <s:row r="4838" hidden="1" ht="1" customHeight="1">
      <s:c r="A4838" s="120" t="inlineStr"/>
      <s:c r="B4838" s="121" t="n"/>
      <s:c r="C4838" s="121" t="n"/>
      <s:c r="D4838" s="121" t="n"/>
      <s:c r="E4838" s="122" t="n"/>
    </s:row>
    <s:row r="4839" hidden="1" ht="1" customHeight="1">
      <s:c r="A4839" s="120" t="inlineStr"/>
      <s:c r="B4839" s="121" t="n"/>
      <s:c r="C4839" s="121" t="n"/>
      <s:c r="D4839" s="121" t="n"/>
      <s:c r="E4839" s="122" t="n"/>
    </s:row>
    <s:row r="4840" hidden="1" ht="1" customHeight="1">
      <s:c r="A4840" s="120" t="inlineStr"/>
      <s:c r="B4840" s="121" t="n"/>
      <s:c r="C4840" s="121" t="n"/>
      <s:c r="D4840" s="121" t="n"/>
      <s:c r="E4840" s="122" t="n"/>
    </s:row>
    <s:row r="4841" hidden="1" ht="1" customHeight="1">
      <s:c r="A4841" s="120" t="inlineStr"/>
      <s:c r="B4841" s="121" t="n"/>
      <s:c r="C4841" s="121" t="n"/>
      <s:c r="D4841" s="121" t="n"/>
      <s:c r="E4841" s="122" t="n"/>
    </s:row>
    <s:row r="4842" hidden="1" ht="1" customHeight="1">
      <s:c r="A4842" s="120" t="inlineStr"/>
      <s:c r="B4842" s="121" t="n"/>
      <s:c r="C4842" s="121" t="n"/>
      <s:c r="D4842" s="121" t="n"/>
      <s:c r="E4842" s="122" t="n"/>
    </s:row>
    <s:row r="4843" hidden="1" ht="1" customHeight="1">
      <s:c r="A4843" s="120" t="inlineStr"/>
      <s:c r="B4843" s="121" t="n"/>
      <s:c r="C4843" s="121" t="n"/>
      <s:c r="D4843" s="121" t="n"/>
      <s:c r="E4843" s="122" t="n"/>
    </s:row>
    <s:row r="4844" hidden="1" ht="1" customHeight="1">
      <s:c r="A4844" s="120" t="inlineStr"/>
      <s:c r="B4844" s="121" t="n"/>
      <s:c r="C4844" s="121" t="n"/>
      <s:c r="D4844" s="121" t="n"/>
      <s:c r="E4844" s="122" t="n"/>
    </s:row>
    <s:row r="4845" hidden="1" ht="1" customHeight="1">
      <s:c r="A4845" s="120" t="inlineStr"/>
      <s:c r="B4845" s="121" t="n"/>
      <s:c r="C4845" s="121" t="n"/>
      <s:c r="D4845" s="121" t="n"/>
      <s:c r="E4845" s="122" t="n"/>
    </s:row>
    <s:row r="4846" hidden="1" ht="1" customHeight="1">
      <s:c r="A4846" s="120" t="inlineStr"/>
      <s:c r="B4846" s="121" t="n"/>
      <s:c r="C4846" s="121" t="n"/>
      <s:c r="D4846" s="121" t="n"/>
      <s:c r="E4846" s="122" t="n"/>
    </s:row>
    <s:row r="4847" hidden="1" ht="1" customHeight="1">
      <s:c r="A4847" s="120" t="inlineStr"/>
      <s:c r="B4847" s="121" t="n"/>
      <s:c r="C4847" s="121" t="n"/>
      <s:c r="D4847" s="121" t="n"/>
      <s:c r="E4847" s="122" t="n"/>
    </s:row>
    <s:row r="4848" hidden="1" ht="1" customHeight="1">
      <s:c r="A4848" s="120" t="inlineStr"/>
      <s:c r="B4848" s="121" t="n"/>
      <s:c r="C4848" s="121" t="n"/>
      <s:c r="D4848" s="121" t="n"/>
      <s:c r="E4848" s="122" t="n"/>
    </s:row>
    <s:row r="4849" hidden="1" ht="1" customHeight="1">
      <s:c r="A4849" s="120" t="inlineStr"/>
      <s:c r="B4849" s="121" t="n"/>
      <s:c r="C4849" s="121" t="n"/>
      <s:c r="D4849" s="121" t="n"/>
      <s:c r="E4849" s="122" t="n"/>
    </s:row>
    <s:row r="4850" hidden="1" ht="1" customHeight="1">
      <s:c r="A4850" s="120" t="inlineStr"/>
      <s:c r="B4850" s="121" t="n"/>
      <s:c r="C4850" s="121" t="n"/>
      <s:c r="D4850" s="121" t="n"/>
      <s:c r="E4850" s="122" t="n"/>
    </s:row>
    <s:row r="4851" hidden="1" ht="1" customHeight="1">
      <s:c r="A4851" s="120" t="inlineStr"/>
      <s:c r="B4851" s="121" t="n"/>
      <s:c r="C4851" s="121" t="n"/>
      <s:c r="D4851" s="121" t="n"/>
      <s:c r="E4851" s="122" t="n"/>
    </s:row>
    <s:row r="4852" hidden="1" ht="1" customHeight="1">
      <s:c r="A4852" s="120" t="inlineStr"/>
      <s:c r="B4852" s="121" t="n"/>
      <s:c r="C4852" s="121" t="n"/>
      <s:c r="D4852" s="121" t="n"/>
      <s:c r="E4852" s="122" t="n"/>
    </s:row>
    <s:row r="4853" hidden="1" ht="1" customHeight="1">
      <s:c r="A4853" s="120" t="inlineStr"/>
      <s:c r="B4853" s="121" t="n"/>
      <s:c r="C4853" s="121" t="n"/>
      <s:c r="D4853" s="121" t="n"/>
      <s:c r="E4853" s="122" t="n"/>
    </s:row>
    <s:row r="4854" hidden="1" ht="1" customHeight="1">
      <s:c r="A4854" s="120" t="inlineStr"/>
      <s:c r="B4854" s="121" t="n"/>
      <s:c r="C4854" s="121" t="n"/>
      <s:c r="D4854" s="121" t="n"/>
      <s:c r="E4854" s="122" t="n"/>
    </s:row>
    <s:row r="4855" hidden="1" ht="1" customHeight="1">
      <s:c r="A4855" s="120" t="inlineStr"/>
      <s:c r="B4855" s="121" t="n"/>
      <s:c r="C4855" s="121" t="n"/>
      <s:c r="D4855" s="121" t="n"/>
      <s:c r="E4855" s="122" t="n"/>
    </s:row>
    <s:row r="4856" hidden="1" ht="1" customHeight="1">
      <s:c r="A4856" s="120" t="inlineStr"/>
      <s:c r="B4856" s="121" t="n"/>
      <s:c r="C4856" s="121" t="n"/>
      <s:c r="D4856" s="121" t="n"/>
      <s:c r="E4856" s="122" t="n"/>
    </s:row>
    <s:row r="4857" hidden="1" ht="1" customHeight="1">
      <s:c r="A4857" s="120" t="inlineStr"/>
      <s:c r="B4857" s="121" t="n"/>
      <s:c r="C4857" s="121" t="n"/>
      <s:c r="D4857" s="121" t="n"/>
      <s:c r="E4857" s="122" t="n"/>
    </s:row>
    <s:row r="4858" hidden="1" ht="1" customHeight="1">
      <s:c r="A4858" s="120" t="inlineStr"/>
      <s:c r="B4858" s="121" t="n"/>
      <s:c r="C4858" s="121" t="n"/>
      <s:c r="D4858" s="121" t="n"/>
      <s:c r="E4858" s="122" t="n"/>
    </s:row>
    <s:row r="4859" hidden="1" ht="1" customHeight="1">
      <s:c r="A4859" s="120" t="inlineStr"/>
      <s:c r="B4859" s="121" t="n"/>
      <s:c r="C4859" s="121" t="n"/>
      <s:c r="D4859" s="121" t="n"/>
      <s:c r="E4859" s="122" t="n"/>
    </s:row>
    <s:row r="4860" hidden="1" ht="1" customHeight="1">
      <s:c r="A4860" s="120" t="inlineStr"/>
      <s:c r="B4860" s="121" t="n"/>
      <s:c r="C4860" s="121" t="n"/>
      <s:c r="D4860" s="121" t="n"/>
      <s:c r="E4860" s="122" t="n"/>
    </s:row>
    <s:row r="4861" hidden="1" ht="1" customHeight="1">
      <s:c r="A4861" s="120" t="inlineStr"/>
      <s:c r="B4861" s="121" t="n"/>
      <s:c r="C4861" s="121" t="n"/>
      <s:c r="D4861" s="121" t="n"/>
      <s:c r="E4861" s="122" t="n"/>
    </s:row>
    <s:row r="4862" hidden="1" ht="1" customHeight="1">
      <s:c r="A4862" s="120" t="inlineStr"/>
      <s:c r="B4862" s="121" t="n"/>
      <s:c r="C4862" s="121" t="n"/>
      <s:c r="D4862" s="121" t="n"/>
      <s:c r="E4862" s="122" t="n"/>
    </s:row>
    <s:row r="4863" hidden="1" ht="1" customHeight="1">
      <s:c r="A4863" s="120" t="inlineStr"/>
      <s:c r="B4863" s="121" t="n"/>
      <s:c r="C4863" s="121" t="n"/>
      <s:c r="D4863" s="121" t="n"/>
      <s:c r="E4863" s="122" t="n"/>
    </s:row>
    <s:row r="4864" hidden="1" ht="1" customHeight="1">
      <s:c r="A4864" s="120" t="inlineStr"/>
      <s:c r="B4864" s="121" t="n"/>
      <s:c r="C4864" s="121" t="n"/>
      <s:c r="D4864" s="121" t="n"/>
      <s:c r="E4864" s="122" t="n"/>
    </s:row>
    <s:row r="4865" hidden="1" ht="1" customHeight="1">
      <s:c r="A4865" s="120" t="inlineStr"/>
      <s:c r="B4865" s="121" t="n"/>
      <s:c r="C4865" s="121" t="n"/>
      <s:c r="D4865" s="121" t="n"/>
      <s:c r="E4865" s="122" t="n"/>
    </s:row>
    <s:row r="4866" hidden="1" ht="1" customHeight="1">
      <s:c r="A4866" s="120" t="inlineStr"/>
      <s:c r="B4866" s="121" t="n"/>
      <s:c r="C4866" s="121" t="n"/>
      <s:c r="D4866" s="121" t="n"/>
      <s:c r="E4866" s="122" t="n"/>
    </s:row>
    <s:row r="4867" hidden="1" ht="1" customHeight="1">
      <s:c r="A4867" s="120" t="inlineStr"/>
      <s:c r="B4867" s="121" t="n"/>
      <s:c r="C4867" s="121" t="n"/>
      <s:c r="D4867" s="121" t="n"/>
      <s:c r="E4867" s="122" t="n"/>
    </s:row>
    <s:row r="4868" hidden="1" ht="1" customHeight="1">
      <s:c r="A4868" s="120" t="inlineStr"/>
      <s:c r="B4868" s="121" t="n"/>
      <s:c r="C4868" s="121" t="n"/>
      <s:c r="D4868" s="121" t="n"/>
      <s:c r="E4868" s="122" t="n"/>
    </s:row>
    <s:row r="4869" hidden="1" ht="1" customHeight="1">
      <s:c r="A4869" s="120" t="inlineStr"/>
      <s:c r="B4869" s="121" t="n"/>
      <s:c r="C4869" s="121" t="n"/>
      <s:c r="D4869" s="121" t="n"/>
      <s:c r="E4869" s="122" t="n"/>
    </s:row>
    <s:row r="4870" hidden="1" ht="1" customHeight="1">
      <s:c r="A4870" s="120" t="inlineStr"/>
      <s:c r="B4870" s="121" t="n"/>
      <s:c r="C4870" s="121" t="n"/>
      <s:c r="D4870" s="121" t="n"/>
      <s:c r="E4870" s="122" t="n"/>
    </s:row>
    <s:row r="4871" hidden="1" ht="1" customHeight="1">
      <s:c r="A4871" s="120" t="inlineStr"/>
      <s:c r="B4871" s="121" t="n"/>
      <s:c r="C4871" s="121" t="n"/>
      <s:c r="D4871" s="121" t="n"/>
      <s:c r="E4871" s="122" t="n"/>
    </s:row>
    <s:row r="4872" hidden="1" ht="1" customHeight="1">
      <s:c r="A4872" s="120" t="inlineStr"/>
      <s:c r="B4872" s="121" t="n"/>
      <s:c r="C4872" s="121" t="n"/>
      <s:c r="D4872" s="121" t="n"/>
      <s:c r="E4872" s="122" t="n"/>
    </s:row>
    <s:row r="4873" hidden="1" ht="1" customHeight="1">
      <s:c r="A4873" s="120" t="inlineStr"/>
      <s:c r="B4873" s="121" t="n"/>
      <s:c r="C4873" s="121" t="n"/>
      <s:c r="D4873" s="121" t="n"/>
      <s:c r="E4873" s="122" t="n"/>
    </s:row>
    <s:row r="4874" hidden="1" ht="1" customHeight="1">
      <s:c r="A4874" s="120" t="inlineStr"/>
      <s:c r="B4874" s="121" t="n"/>
      <s:c r="C4874" s="121" t="n"/>
      <s:c r="D4874" s="121" t="n"/>
      <s:c r="E4874" s="122" t="n"/>
    </s:row>
    <s:row r="4875" hidden="1" ht="1" customHeight="1">
      <s:c r="A4875" s="120" t="inlineStr"/>
      <s:c r="B4875" s="121" t="n"/>
      <s:c r="C4875" s="121" t="n"/>
      <s:c r="D4875" s="121" t="n"/>
      <s:c r="E4875" s="122" t="n"/>
    </s:row>
    <s:row r="4876" hidden="1" ht="1" customHeight="1">
      <s:c r="A4876" s="120" t="inlineStr"/>
      <s:c r="B4876" s="121" t="n"/>
      <s:c r="C4876" s="121" t="n"/>
      <s:c r="D4876" s="121" t="n"/>
      <s:c r="E4876" s="122" t="n"/>
    </s:row>
    <s:row r="4877" hidden="1" ht="1" customHeight="1">
      <s:c r="A4877" s="120" t="inlineStr"/>
      <s:c r="B4877" s="121" t="n"/>
      <s:c r="C4877" s="121" t="n"/>
      <s:c r="D4877" s="121" t="n"/>
      <s:c r="E4877" s="122" t="n"/>
    </s:row>
    <s:row r="4878" hidden="1" ht="1" customHeight="1">
      <s:c r="A4878" s="120" t="inlineStr"/>
      <s:c r="B4878" s="121" t="n"/>
      <s:c r="C4878" s="121" t="n"/>
      <s:c r="D4878" s="121" t="n"/>
      <s:c r="E4878" s="122" t="n"/>
    </s:row>
    <s:row r="4879" hidden="1" ht="1" customHeight="1">
      <s:c r="A4879" s="120" t="inlineStr"/>
      <s:c r="B4879" s="121" t="n"/>
      <s:c r="C4879" s="121" t="n"/>
      <s:c r="D4879" s="121" t="n"/>
      <s:c r="E4879" s="122" t="n"/>
    </s:row>
    <s:row r="4880" hidden="1" ht="1" customHeight="1">
      <s:c r="A4880" s="120" t="inlineStr"/>
      <s:c r="B4880" s="121" t="n"/>
      <s:c r="C4880" s="121" t="n"/>
      <s:c r="D4880" s="121" t="n"/>
      <s:c r="E4880" s="122" t="n"/>
    </s:row>
    <s:row r="4881" hidden="1" ht="1" customHeight="1">
      <s:c r="A4881" s="120" t="inlineStr"/>
      <s:c r="B4881" s="121" t="n"/>
      <s:c r="C4881" s="121" t="n"/>
      <s:c r="D4881" s="121" t="n"/>
      <s:c r="E4881" s="122" t="n"/>
    </s:row>
    <s:row r="4882" hidden="1" ht="1" customHeight="1">
      <s:c r="A4882" s="120" t="inlineStr"/>
      <s:c r="B4882" s="121" t="n"/>
      <s:c r="C4882" s="121" t="n"/>
      <s:c r="D4882" s="121" t="n"/>
      <s:c r="E4882" s="122" t="n"/>
    </s:row>
    <s:row r="4883" hidden="1" ht="1" customHeight="1">
      <s:c r="A4883" s="120" t="inlineStr"/>
      <s:c r="B4883" s="121" t="n"/>
      <s:c r="C4883" s="121" t="n"/>
      <s:c r="D4883" s="121" t="n"/>
      <s:c r="E4883" s="122" t="n"/>
    </s:row>
    <s:row r="4884" hidden="1" ht="1" customHeight="1">
      <s:c r="A4884" s="120" t="inlineStr"/>
      <s:c r="B4884" s="121" t="n"/>
      <s:c r="C4884" s="121" t="n"/>
      <s:c r="D4884" s="121" t="n"/>
      <s:c r="E4884" s="122" t="n"/>
    </s:row>
    <s:row r="4885" hidden="1" ht="1" customHeight="1">
      <s:c r="A4885" s="120" t="inlineStr"/>
      <s:c r="B4885" s="121" t="n"/>
      <s:c r="C4885" s="121" t="n"/>
      <s:c r="D4885" s="121" t="n"/>
      <s:c r="E4885" s="122" t="n"/>
    </s:row>
    <s:row r="4886" hidden="1" ht="1" customHeight="1">
      <s:c r="A4886" s="120" t="inlineStr"/>
      <s:c r="B4886" s="121" t="n"/>
      <s:c r="C4886" s="121" t="n"/>
      <s:c r="D4886" s="121" t="n"/>
      <s:c r="E4886" s="122" t="n"/>
    </s:row>
    <s:row r="4887" hidden="1" ht="1" customHeight="1">
      <s:c r="A4887" s="120" t="inlineStr"/>
      <s:c r="B4887" s="121" t="n"/>
      <s:c r="C4887" s="121" t="n"/>
      <s:c r="D4887" s="121" t="n"/>
      <s:c r="E4887" s="122" t="n"/>
    </s:row>
    <s:row r="4888" hidden="1" ht="1" customHeight="1">
      <s:c r="A4888" s="120" t="inlineStr"/>
      <s:c r="B4888" s="121" t="n"/>
      <s:c r="C4888" s="121" t="n"/>
      <s:c r="D4888" s="121" t="n"/>
      <s:c r="E4888" s="122" t="n"/>
    </s:row>
    <s:row r="4889" hidden="1" ht="1" customHeight="1">
      <s:c r="A4889" s="120" t="inlineStr"/>
      <s:c r="B4889" s="121" t="n"/>
      <s:c r="C4889" s="121" t="n"/>
      <s:c r="D4889" s="121" t="n"/>
      <s:c r="E4889" s="122" t="n"/>
    </s:row>
    <s:row r="4890" hidden="1" ht="1" customHeight="1">
      <s:c r="A4890" s="120" t="inlineStr"/>
      <s:c r="B4890" s="121" t="n"/>
      <s:c r="C4890" s="121" t="n"/>
      <s:c r="D4890" s="121" t="n"/>
      <s:c r="E4890" s="122" t="n"/>
    </s:row>
    <s:row r="4891" hidden="1" ht="1" customHeight="1">
      <s:c r="A4891" s="120" t="inlineStr"/>
      <s:c r="B4891" s="121" t="n"/>
      <s:c r="C4891" s="121" t="n"/>
      <s:c r="D4891" s="121" t="n"/>
      <s:c r="E4891" s="122" t="n"/>
    </s:row>
    <s:row r="4892" hidden="1" ht="1" customHeight="1">
      <s:c r="A4892" s="120" t="inlineStr"/>
      <s:c r="B4892" s="121" t="n"/>
      <s:c r="C4892" s="121" t="n"/>
      <s:c r="D4892" s="121" t="n"/>
      <s:c r="E4892" s="122" t="n"/>
    </s:row>
    <s:row r="4893" hidden="1" ht="1" customHeight="1">
      <s:c r="A4893" s="120" t="inlineStr"/>
      <s:c r="B4893" s="121" t="n"/>
      <s:c r="C4893" s="121" t="n"/>
      <s:c r="D4893" s="121" t="n"/>
      <s:c r="E4893" s="122" t="n"/>
    </s:row>
    <s:row r="4894" hidden="1" ht="1" customHeight="1">
      <s:c r="A4894" s="120" t="inlineStr"/>
      <s:c r="B4894" s="121" t="n"/>
      <s:c r="C4894" s="121" t="n"/>
      <s:c r="D4894" s="121" t="n"/>
      <s:c r="E4894" s="122" t="n"/>
    </s:row>
    <s:row r="4895" hidden="1" ht="1" customHeight="1">
      <s:c r="A4895" s="120" t="inlineStr"/>
      <s:c r="B4895" s="121" t="n"/>
      <s:c r="C4895" s="121" t="n"/>
      <s:c r="D4895" s="121" t="n"/>
      <s:c r="E4895" s="122" t="n"/>
    </s:row>
    <s:row r="4896" hidden="1" ht="1" customHeight="1">
      <s:c r="A4896" s="120" t="inlineStr"/>
      <s:c r="B4896" s="121" t="n"/>
      <s:c r="C4896" s="121" t="n"/>
      <s:c r="D4896" s="121" t="n"/>
      <s:c r="E4896" s="122" t="n"/>
    </s:row>
    <s:row r="4897" hidden="1" ht="1" customHeight="1">
      <s:c r="A4897" s="120" t="inlineStr"/>
      <s:c r="B4897" s="121" t="n"/>
      <s:c r="C4897" s="121" t="n"/>
      <s:c r="D4897" s="121" t="n"/>
      <s:c r="E4897" s="122" t="n"/>
    </s:row>
    <s:row r="4898" hidden="1" ht="1" customHeight="1">
      <s:c r="A4898" s="120" t="inlineStr"/>
      <s:c r="B4898" s="121" t="n"/>
      <s:c r="C4898" s="121" t="n"/>
      <s:c r="D4898" s="121" t="n"/>
      <s:c r="E4898" s="122" t="n"/>
    </s:row>
    <s:row r="4899" hidden="1" ht="1" customHeight="1">
      <s:c r="A4899" s="120" t="inlineStr"/>
      <s:c r="B4899" s="121" t="n"/>
      <s:c r="C4899" s="121" t="n"/>
      <s:c r="D4899" s="121" t="n"/>
      <s:c r="E4899" s="122" t="n"/>
    </s:row>
    <s:row r="4900" hidden="1" ht="1" customHeight="1">
      <s:c r="A4900" s="120" t="inlineStr"/>
      <s:c r="B4900" s="121" t="n"/>
      <s:c r="C4900" s="121" t="n"/>
      <s:c r="D4900" s="121" t="n"/>
      <s:c r="E4900" s="122" t="n"/>
    </s:row>
    <s:row r="4901" hidden="1" ht="1" customHeight="1">
      <s:c r="A4901" s="120" t="inlineStr"/>
      <s:c r="B4901" s="121" t="n"/>
      <s:c r="C4901" s="121" t="n"/>
      <s:c r="D4901" s="121" t="n"/>
      <s:c r="E4901" s="122" t="n"/>
    </s:row>
    <s:row r="4902" hidden="1" ht="1" customHeight="1">
      <s:c r="A4902" s="120" t="inlineStr"/>
      <s:c r="B4902" s="121" t="n"/>
      <s:c r="C4902" s="121" t="n"/>
      <s:c r="D4902" s="121" t="n"/>
      <s:c r="E4902" s="122" t="n"/>
    </s:row>
    <s:row r="4903" hidden="1" ht="1" customHeight="1">
      <s:c r="A4903" s="120" t="inlineStr"/>
      <s:c r="B4903" s="121" t="n"/>
      <s:c r="C4903" s="121" t="n"/>
      <s:c r="D4903" s="121" t="n"/>
      <s:c r="E4903" s="122" t="n"/>
    </s:row>
    <s:row r="4904" hidden="1" ht="1" customHeight="1">
      <s:c r="A4904" s="120" t="inlineStr"/>
      <s:c r="B4904" s="121" t="n"/>
      <s:c r="C4904" s="121" t="n"/>
      <s:c r="D4904" s="121" t="n"/>
      <s:c r="E4904" s="122" t="n"/>
    </s:row>
    <s:row r="4905" hidden="1" ht="1" customHeight="1">
      <s:c r="A4905" s="120" t="inlineStr"/>
      <s:c r="B4905" s="121" t="n"/>
      <s:c r="C4905" s="121" t="n"/>
      <s:c r="D4905" s="121" t="n"/>
      <s:c r="E4905" s="122" t="n"/>
    </s:row>
    <s:row r="4906" hidden="1" ht="1" customHeight="1">
      <s:c r="A4906" s="120" t="inlineStr"/>
      <s:c r="B4906" s="121" t="n"/>
      <s:c r="C4906" s="121" t="n"/>
      <s:c r="D4906" s="121" t="n"/>
      <s:c r="E4906" s="122" t="n"/>
    </s:row>
    <s:row r="4907" hidden="1" ht="1" customHeight="1">
      <s:c r="A4907" s="120" t="inlineStr"/>
      <s:c r="B4907" s="121" t="n"/>
      <s:c r="C4907" s="121" t="n"/>
      <s:c r="D4907" s="121" t="n"/>
      <s:c r="E4907" s="122" t="n"/>
    </s:row>
    <s:row r="4908" hidden="1" ht="1" customHeight="1">
      <s:c r="A4908" s="120" t="inlineStr"/>
      <s:c r="B4908" s="121" t="n"/>
      <s:c r="C4908" s="121" t="n"/>
      <s:c r="D4908" s="121" t="n"/>
      <s:c r="E4908" s="122" t="n"/>
    </s:row>
    <s:row r="4909" hidden="1" ht="1" customHeight="1">
      <s:c r="A4909" s="120" t="inlineStr"/>
      <s:c r="B4909" s="121" t="n"/>
      <s:c r="C4909" s="121" t="n"/>
      <s:c r="D4909" s="121" t="n"/>
      <s:c r="E4909" s="122" t="n"/>
    </s:row>
    <s:row r="4910" hidden="1" ht="1" customHeight="1">
      <s:c r="A4910" s="120" t="inlineStr"/>
      <s:c r="B4910" s="121" t="n"/>
      <s:c r="C4910" s="121" t="n"/>
      <s:c r="D4910" s="121" t="n"/>
      <s:c r="E4910" s="122" t="n"/>
    </s:row>
    <s:row r="4911" hidden="1" ht="1" customHeight="1">
      <s:c r="A4911" s="120" t="inlineStr"/>
      <s:c r="B4911" s="121" t="n"/>
      <s:c r="C4911" s="121" t="n"/>
      <s:c r="D4911" s="121" t="n"/>
      <s:c r="E4911" s="122" t="n"/>
    </s:row>
    <s:row r="4912" hidden="1" ht="1" customHeight="1">
      <s:c r="A4912" s="120" t="inlineStr"/>
      <s:c r="B4912" s="121" t="n"/>
      <s:c r="C4912" s="121" t="n"/>
      <s:c r="D4912" s="121" t="n"/>
      <s:c r="E4912" s="122" t="n"/>
    </s:row>
    <s:row r="4913" hidden="1" ht="1" customHeight="1">
      <s:c r="A4913" s="120" t="inlineStr"/>
      <s:c r="B4913" s="121" t="n"/>
      <s:c r="C4913" s="121" t="n"/>
      <s:c r="D4913" s="121" t="n"/>
      <s:c r="E4913" s="122" t="n"/>
    </s:row>
    <s:row r="4914" hidden="1" ht="1" customHeight="1">
      <s:c r="A4914" s="120" t="inlineStr"/>
      <s:c r="B4914" s="121" t="n"/>
      <s:c r="C4914" s="121" t="n"/>
      <s:c r="D4914" s="121" t="n"/>
      <s:c r="E4914" s="122" t="n"/>
    </s:row>
    <s:row r="4915" hidden="1" ht="1" customHeight="1">
      <s:c r="A4915" s="120" t="inlineStr"/>
      <s:c r="B4915" s="121" t="n"/>
      <s:c r="C4915" s="121" t="n"/>
      <s:c r="D4915" s="121" t="n"/>
      <s:c r="E4915" s="122" t="n"/>
    </s:row>
    <s:row r="4916" hidden="1" ht="1" customHeight="1">
      <s:c r="A4916" s="120" t="inlineStr"/>
      <s:c r="B4916" s="121" t="n"/>
      <s:c r="C4916" s="121" t="n"/>
      <s:c r="D4916" s="121" t="n"/>
      <s:c r="E4916" s="122" t="n"/>
    </s:row>
    <s:row r="4917" hidden="1" ht="1" customHeight="1">
      <s:c r="A4917" s="120" t="inlineStr"/>
      <s:c r="B4917" s="121" t="n"/>
      <s:c r="C4917" s="121" t="n"/>
      <s:c r="D4917" s="121" t="n"/>
      <s:c r="E4917" s="122" t="n"/>
    </s:row>
    <s:row r="4918" hidden="1" ht="1" customHeight="1">
      <s:c r="A4918" s="120" t="inlineStr"/>
      <s:c r="B4918" s="121" t="n"/>
      <s:c r="C4918" s="121" t="n"/>
      <s:c r="D4918" s="121" t="n"/>
      <s:c r="E4918" s="122" t="n"/>
    </s:row>
    <s:row r="4919" hidden="1" ht="1" customHeight="1">
      <s:c r="A4919" s="120" t="inlineStr"/>
      <s:c r="B4919" s="121" t="n"/>
      <s:c r="C4919" s="121" t="n"/>
      <s:c r="D4919" s="121" t="n"/>
      <s:c r="E4919" s="122" t="n"/>
    </s:row>
    <s:row r="4920" hidden="1" ht="1" customHeight="1">
      <s:c r="A4920" s="120" t="inlineStr"/>
      <s:c r="B4920" s="121" t="n"/>
      <s:c r="C4920" s="121" t="n"/>
      <s:c r="D4920" s="121" t="n"/>
      <s:c r="E4920" s="122" t="n"/>
    </s:row>
    <s:row r="4921" hidden="1" ht="1" customHeight="1">
      <s:c r="A4921" s="120" t="inlineStr"/>
      <s:c r="B4921" s="121" t="n"/>
      <s:c r="C4921" s="121" t="n"/>
      <s:c r="D4921" s="121" t="n"/>
      <s:c r="E4921" s="122" t="n"/>
    </s:row>
    <s:row r="4922" hidden="1" ht="1" customHeight="1">
      <s:c r="A4922" s="120" t="inlineStr"/>
      <s:c r="B4922" s="121" t="n"/>
      <s:c r="C4922" s="121" t="n"/>
      <s:c r="D4922" s="121" t="n"/>
      <s:c r="E4922" s="122" t="n"/>
    </s:row>
    <s:row r="4923" hidden="1" ht="1" customHeight="1">
      <s:c r="A4923" s="120" t="inlineStr"/>
      <s:c r="B4923" s="121" t="n"/>
      <s:c r="C4923" s="121" t="n"/>
      <s:c r="D4923" s="121" t="n"/>
      <s:c r="E4923" s="122" t="n"/>
    </s:row>
    <s:row r="4924" hidden="1" ht="1" customHeight="1">
      <s:c r="A4924" s="120" t="inlineStr"/>
      <s:c r="B4924" s="121" t="n"/>
      <s:c r="C4924" s="121" t="n"/>
      <s:c r="D4924" s="121" t="n"/>
      <s:c r="E4924" s="122" t="n"/>
    </s:row>
    <s:row r="4925" hidden="1" ht="1" customHeight="1">
      <s:c r="A4925" s="120" t="inlineStr"/>
      <s:c r="B4925" s="121" t="n"/>
      <s:c r="C4925" s="121" t="n"/>
      <s:c r="D4925" s="121" t="n"/>
      <s:c r="E4925" s="122" t="n"/>
    </s:row>
    <s:row r="4926" hidden="1" ht="1" customHeight="1">
      <s:c r="A4926" s="120" t="inlineStr"/>
      <s:c r="B4926" s="121" t="n"/>
      <s:c r="C4926" s="121" t="n"/>
      <s:c r="D4926" s="121" t="n"/>
      <s:c r="E4926" s="122" t="n"/>
    </s:row>
    <s:row r="4927" hidden="1" ht="1" customHeight="1">
      <s:c r="A4927" s="120" t="inlineStr"/>
      <s:c r="B4927" s="121" t="n"/>
      <s:c r="C4927" s="121" t="n"/>
      <s:c r="D4927" s="121" t="n"/>
      <s:c r="E4927" s="122" t="n"/>
    </s:row>
    <s:row r="4928" hidden="1" ht="1" customHeight="1">
      <s:c r="A4928" s="120" t="inlineStr"/>
      <s:c r="B4928" s="121" t="n"/>
      <s:c r="C4928" s="121" t="n"/>
      <s:c r="D4928" s="121" t="n"/>
      <s:c r="E4928" s="122" t="n"/>
    </s:row>
    <s:row r="4929" hidden="1" ht="1" customHeight="1">
      <s:c r="A4929" s="120" t="inlineStr"/>
      <s:c r="B4929" s="121" t="n"/>
      <s:c r="C4929" s="121" t="n"/>
      <s:c r="D4929" s="121" t="n"/>
      <s:c r="E4929" s="122" t="n"/>
    </s:row>
    <s:row r="4930" hidden="1" ht="1" customHeight="1">
      <s:c r="A4930" s="120" t="inlineStr"/>
      <s:c r="B4930" s="121" t="n"/>
      <s:c r="C4930" s="121" t="n"/>
      <s:c r="D4930" s="121" t="n"/>
      <s:c r="E4930" s="122" t="n"/>
    </s:row>
    <s:row r="4931" hidden="1" ht="1" customHeight="1">
      <s:c r="A4931" s="120" t="inlineStr"/>
      <s:c r="B4931" s="121" t="n"/>
      <s:c r="C4931" s="121" t="n"/>
      <s:c r="D4931" s="121" t="n"/>
      <s:c r="E4931" s="122" t="n"/>
    </s:row>
    <s:row r="4932" hidden="1" ht="1" customHeight="1">
      <s:c r="A4932" s="120" t="inlineStr"/>
      <s:c r="B4932" s="121" t="n"/>
      <s:c r="C4932" s="121" t="n"/>
      <s:c r="D4932" s="121" t="n"/>
      <s:c r="E4932" s="122" t="n"/>
    </s:row>
    <s:row r="4933" hidden="1" ht="1" customHeight="1">
      <s:c r="A4933" s="120" t="inlineStr"/>
      <s:c r="B4933" s="121" t="n"/>
      <s:c r="C4933" s="121" t="n"/>
      <s:c r="D4933" s="121" t="n"/>
      <s:c r="E4933" s="122" t="n"/>
    </s:row>
    <s:row r="4934" hidden="1" ht="1" customHeight="1">
      <s:c r="A4934" s="120" t="inlineStr"/>
      <s:c r="B4934" s="121" t="n"/>
      <s:c r="C4934" s="121" t="n"/>
      <s:c r="D4934" s="121" t="n"/>
      <s:c r="E4934" s="122" t="n"/>
    </s:row>
    <s:row r="4935" hidden="1" ht="1" customHeight="1">
      <s:c r="A4935" s="120" t="inlineStr"/>
      <s:c r="B4935" s="121" t="n"/>
      <s:c r="C4935" s="121" t="n"/>
      <s:c r="D4935" s="121" t="n"/>
      <s:c r="E4935" s="122" t="n"/>
    </s:row>
    <s:row r="4936" hidden="1" ht="1" customHeight="1">
      <s:c r="A4936" s="120" t="inlineStr"/>
      <s:c r="B4936" s="121" t="n"/>
      <s:c r="C4936" s="121" t="n"/>
      <s:c r="D4936" s="121" t="n"/>
      <s:c r="E4936" s="122" t="n"/>
    </s:row>
    <s:row r="4937" hidden="1" ht="1" customHeight="1">
      <s:c r="A4937" s="120" t="inlineStr"/>
      <s:c r="B4937" s="121" t="n"/>
      <s:c r="C4937" s="121" t="n"/>
      <s:c r="D4937" s="121" t="n"/>
      <s:c r="E4937" s="122" t="n"/>
    </s:row>
    <s:row r="4938" hidden="1" ht="1" customHeight="1">
      <s:c r="A4938" s="120" t="inlineStr"/>
      <s:c r="B4938" s="121" t="n"/>
      <s:c r="C4938" s="121" t="n"/>
      <s:c r="D4938" s="121" t="n"/>
      <s:c r="E4938" s="122" t="n"/>
    </s:row>
    <s:row r="4939" hidden="1" ht="1" customHeight="1">
      <s:c r="A4939" s="120" t="inlineStr"/>
      <s:c r="B4939" s="121" t="n"/>
      <s:c r="C4939" s="121" t="n"/>
      <s:c r="D4939" s="121" t="n"/>
      <s:c r="E4939" s="122" t="n"/>
    </s:row>
    <s:row r="4940" hidden="1" ht="1" customHeight="1">
      <s:c r="A4940" s="120" t="inlineStr"/>
      <s:c r="B4940" s="121" t="n"/>
      <s:c r="C4940" s="121" t="n"/>
      <s:c r="D4940" s="121" t="n"/>
      <s:c r="E4940" s="122" t="n"/>
    </s:row>
    <s:row r="4941" hidden="1" ht="1" customHeight="1">
      <s:c r="A4941" s="120" t="inlineStr"/>
      <s:c r="B4941" s="121" t="n"/>
      <s:c r="C4941" s="121" t="n"/>
      <s:c r="D4941" s="121" t="n"/>
      <s:c r="E4941" s="122" t="n"/>
    </s:row>
    <s:row r="4942" hidden="1" ht="1" customHeight="1">
      <s:c r="A4942" s="120" t="inlineStr"/>
      <s:c r="B4942" s="121" t="n"/>
      <s:c r="C4942" s="121" t="n"/>
      <s:c r="D4942" s="121" t="n"/>
      <s:c r="E4942" s="122" t="n"/>
    </s:row>
    <s:row r="4943" hidden="1" ht="1" customHeight="1">
      <s:c r="A4943" s="120" t="inlineStr"/>
      <s:c r="B4943" s="121" t="n"/>
      <s:c r="C4943" s="121" t="n"/>
      <s:c r="D4943" s="121" t="n"/>
      <s:c r="E4943" s="122" t="n"/>
    </s:row>
    <s:row r="4944" hidden="1" ht="1" customHeight="1">
      <s:c r="A4944" s="120" t="inlineStr"/>
      <s:c r="B4944" s="121" t="n"/>
      <s:c r="C4944" s="121" t="n"/>
      <s:c r="D4944" s="121" t="n"/>
      <s:c r="E4944" s="122" t="n"/>
    </s:row>
    <s:row r="4945" hidden="1" ht="1" customHeight="1">
      <s:c r="A4945" s="120" t="inlineStr"/>
      <s:c r="B4945" s="121" t="n"/>
      <s:c r="C4945" s="121" t="n"/>
      <s:c r="D4945" s="121" t="n"/>
      <s:c r="E4945" s="122" t="n"/>
    </s:row>
    <s:row r="4946" hidden="1" ht="1" customHeight="1">
      <s:c r="A4946" s="120" t="inlineStr"/>
      <s:c r="B4946" s="121" t="n"/>
      <s:c r="C4946" s="121" t="n"/>
      <s:c r="D4946" s="121" t="n"/>
      <s:c r="E4946" s="122" t="n"/>
    </s:row>
    <s:row r="4947" hidden="1" ht="1" customHeight="1">
      <s:c r="A4947" s="120" t="inlineStr"/>
      <s:c r="B4947" s="121" t="n"/>
      <s:c r="C4947" s="121" t="n"/>
      <s:c r="D4947" s="121" t="n"/>
      <s:c r="E4947" s="122" t="n"/>
    </s:row>
    <s:row r="4948" hidden="1" ht="1" customHeight="1">
      <s:c r="A4948" s="120" t="inlineStr"/>
      <s:c r="B4948" s="121" t="n"/>
      <s:c r="C4948" s="121" t="n"/>
      <s:c r="D4948" s="121" t="n"/>
      <s:c r="E4948" s="122" t="n"/>
    </s:row>
    <s:row r="4949" hidden="1" ht="1" customHeight="1">
      <s:c r="A4949" s="120" t="inlineStr"/>
      <s:c r="B4949" s="121" t="n"/>
      <s:c r="C4949" s="121" t="n"/>
      <s:c r="D4949" s="121" t="n"/>
      <s:c r="E4949" s="122" t="n"/>
    </s:row>
    <s:row r="4950" hidden="1" ht="1" customHeight="1">
      <s:c r="A4950" s="120" t="inlineStr"/>
      <s:c r="B4950" s="121" t="n"/>
      <s:c r="C4950" s="121" t="n"/>
      <s:c r="D4950" s="121" t="n"/>
      <s:c r="E4950" s="122" t="n"/>
    </s:row>
    <s:row r="4951" hidden="1" ht="1" customHeight="1">
      <s:c r="A4951" s="120" t="inlineStr"/>
      <s:c r="B4951" s="121" t="n"/>
      <s:c r="C4951" s="121" t="n"/>
      <s:c r="D4951" s="121" t="n"/>
      <s:c r="E4951" s="122" t="n"/>
    </s:row>
    <s:row r="4952" hidden="1" ht="1" customHeight="1">
      <s:c r="A4952" s="120" t="inlineStr"/>
      <s:c r="B4952" s="121" t="n"/>
      <s:c r="C4952" s="121" t="n"/>
      <s:c r="D4952" s="121" t="n"/>
      <s:c r="E4952" s="122" t="n"/>
    </s:row>
    <s:row r="4953" hidden="1" ht="1" customHeight="1">
      <s:c r="A4953" s="120" t="inlineStr"/>
      <s:c r="B4953" s="121" t="n"/>
      <s:c r="C4953" s="121" t="n"/>
      <s:c r="D4953" s="121" t="n"/>
      <s:c r="E4953" s="122" t="n"/>
    </s:row>
    <s:row r="4954" hidden="1" ht="1" customHeight="1">
      <s:c r="A4954" s="120" t="inlineStr"/>
      <s:c r="B4954" s="121" t="n"/>
      <s:c r="C4954" s="121" t="n"/>
      <s:c r="D4954" s="121" t="n"/>
      <s:c r="E4954" s="122" t="n"/>
    </s:row>
    <s:row r="4955" hidden="1" ht="1" customHeight="1">
      <s:c r="A4955" s="120" t="inlineStr"/>
      <s:c r="B4955" s="121" t="n"/>
      <s:c r="C4955" s="121" t="n"/>
      <s:c r="D4955" s="121" t="n"/>
      <s:c r="E4955" s="122" t="n"/>
    </s:row>
    <s:row r="4956" hidden="1" ht="1" customHeight="1">
      <s:c r="A4956" s="120" t="inlineStr"/>
      <s:c r="B4956" s="121" t="n"/>
      <s:c r="C4956" s="121" t="n"/>
      <s:c r="D4956" s="121" t="n"/>
      <s:c r="E4956" s="122" t="n"/>
    </s:row>
    <s:row r="4957" hidden="1" ht="1" customHeight="1">
      <s:c r="A4957" s="120" t="inlineStr"/>
      <s:c r="B4957" s="121" t="n"/>
      <s:c r="C4957" s="121" t="n"/>
      <s:c r="D4957" s="121" t="n"/>
      <s:c r="E4957" s="122" t="n"/>
    </s:row>
    <s:row r="4958" hidden="1" ht="1" customHeight="1">
      <s:c r="A4958" s="120" t="inlineStr"/>
      <s:c r="B4958" s="121" t="n"/>
      <s:c r="C4958" s="121" t="n"/>
      <s:c r="D4958" s="121" t="n"/>
      <s:c r="E4958" s="122" t="n"/>
    </s:row>
    <s:row r="4959" hidden="1" ht="1" customHeight="1">
      <s:c r="A4959" s="120" t="inlineStr"/>
      <s:c r="B4959" s="121" t="n"/>
      <s:c r="C4959" s="121" t="n"/>
      <s:c r="D4959" s="121" t="n"/>
      <s:c r="E4959" s="122" t="n"/>
    </s:row>
    <s:row r="4960" hidden="1" ht="1" customHeight="1">
      <s:c r="A4960" s="120" t="inlineStr"/>
      <s:c r="B4960" s="121" t="n"/>
      <s:c r="C4960" s="121" t="n"/>
      <s:c r="D4960" s="121" t="n"/>
      <s:c r="E4960" s="122" t="n"/>
    </s:row>
    <s:row r="4961" hidden="1" ht="1" customHeight="1">
      <s:c r="A4961" s="120" t="inlineStr"/>
      <s:c r="B4961" s="121" t="n"/>
      <s:c r="C4961" s="121" t="n"/>
      <s:c r="D4961" s="121" t="n"/>
      <s:c r="E4961" s="122" t="n"/>
    </s:row>
    <s:row r="4962" hidden="1" ht="1" customHeight="1">
      <s:c r="A4962" s="120" t="inlineStr"/>
      <s:c r="B4962" s="121" t="n"/>
      <s:c r="C4962" s="121" t="n"/>
      <s:c r="D4962" s="121" t="n"/>
      <s:c r="E4962" s="122" t="n"/>
    </s:row>
    <s:row r="4963" hidden="1" ht="1" customHeight="1">
      <s:c r="A4963" s="120" t="inlineStr"/>
      <s:c r="B4963" s="121" t="n"/>
      <s:c r="C4963" s="121" t="n"/>
      <s:c r="D4963" s="121" t="n"/>
      <s:c r="E4963" s="122" t="n"/>
    </s:row>
    <s:row r="4964" hidden="1" ht="1" customHeight="1">
      <s:c r="A4964" s="120" t="inlineStr"/>
      <s:c r="B4964" s="121" t="n"/>
      <s:c r="C4964" s="121" t="n"/>
      <s:c r="D4964" s="121" t="n"/>
      <s:c r="E4964" s="122" t="n"/>
    </s:row>
    <s:row r="4965" hidden="1" ht="1" customHeight="1">
      <s:c r="A4965" s="120" t="inlineStr"/>
      <s:c r="B4965" s="121" t="n"/>
      <s:c r="C4965" s="121" t="n"/>
      <s:c r="D4965" s="121" t="n"/>
      <s:c r="E4965" s="122" t="n"/>
    </s:row>
    <s:row r="4966" hidden="1" ht="1" customHeight="1">
      <s:c r="A4966" s="120" t="inlineStr"/>
      <s:c r="B4966" s="121" t="n"/>
      <s:c r="C4966" s="121" t="n"/>
      <s:c r="D4966" s="121" t="n"/>
      <s:c r="E4966" s="122" t="n"/>
    </s:row>
    <s:row r="4967" hidden="1" ht="1" customHeight="1">
      <s:c r="A4967" s="120" t="inlineStr"/>
      <s:c r="B4967" s="121" t="n"/>
      <s:c r="C4967" s="121" t="n"/>
      <s:c r="D4967" s="121" t="n"/>
      <s:c r="E4967" s="122" t="n"/>
    </s:row>
    <s:row r="4968" hidden="1" ht="1" customHeight="1">
      <s:c r="A4968" s="120" t="inlineStr"/>
      <s:c r="B4968" s="121" t="n"/>
      <s:c r="C4968" s="121" t="n"/>
      <s:c r="D4968" s="121" t="n"/>
      <s:c r="E4968" s="122" t="n"/>
    </s:row>
    <s:row r="4969" hidden="1" ht="1" customHeight="1">
      <s:c r="A4969" s="120" t="inlineStr"/>
      <s:c r="B4969" s="121" t="n"/>
      <s:c r="C4969" s="121" t="n"/>
      <s:c r="D4969" s="121" t="n"/>
      <s:c r="E4969" s="122" t="n"/>
    </s:row>
    <s:row r="4970" hidden="1" ht="1" customHeight="1">
      <s:c r="A4970" s="120" t="inlineStr"/>
      <s:c r="B4970" s="121" t="n"/>
      <s:c r="C4970" s="121" t="n"/>
      <s:c r="D4970" s="121" t="n"/>
      <s:c r="E4970" s="122" t="n"/>
    </s:row>
    <s:row r="4971" hidden="1" ht="1" customHeight="1">
      <s:c r="A4971" s="120" t="inlineStr"/>
      <s:c r="B4971" s="121" t="n"/>
      <s:c r="C4971" s="121" t="n"/>
      <s:c r="D4971" s="121" t="n"/>
      <s:c r="E4971" s="122" t="n"/>
    </s:row>
    <s:row r="4972" hidden="1" ht="1" customHeight="1">
      <s:c r="A4972" s="120" t="inlineStr"/>
      <s:c r="B4972" s="121" t="n"/>
      <s:c r="C4972" s="121" t="n"/>
      <s:c r="D4972" s="121" t="n"/>
      <s:c r="E4972" s="122" t="n"/>
    </s:row>
    <s:row r="4973" hidden="1" ht="1" customHeight="1">
      <s:c r="A4973" s="120" t="inlineStr"/>
      <s:c r="B4973" s="121" t="n"/>
      <s:c r="C4973" s="121" t="n"/>
      <s:c r="D4973" s="121" t="n"/>
      <s:c r="E4973" s="122" t="n"/>
    </s:row>
    <s:row r="4974" hidden="1" ht="1" customHeight="1">
      <s:c r="A4974" s="120" t="inlineStr"/>
      <s:c r="B4974" s="121" t="n"/>
      <s:c r="C4974" s="121" t="n"/>
      <s:c r="D4974" s="121" t="n"/>
      <s:c r="E4974" s="122" t="n"/>
    </s:row>
    <s:row r="4975" hidden="1" ht="1" customHeight="1">
      <s:c r="A4975" s="120" t="inlineStr"/>
      <s:c r="B4975" s="121" t="n"/>
      <s:c r="C4975" s="121" t="n"/>
      <s:c r="D4975" s="121" t="n"/>
      <s:c r="E4975" s="122" t="n"/>
    </s:row>
    <s:row r="4976" hidden="1" ht="1" customHeight="1">
      <s:c r="A4976" s="120" t="inlineStr"/>
      <s:c r="B4976" s="121" t="n"/>
      <s:c r="C4976" s="121" t="n"/>
      <s:c r="D4976" s="121" t="n"/>
      <s:c r="E4976" s="122" t="n"/>
    </s:row>
    <s:row r="4977" hidden="1" ht="1" customHeight="1">
      <s:c r="A4977" s="120" t="inlineStr"/>
      <s:c r="B4977" s="121" t="n"/>
      <s:c r="C4977" s="121" t="n"/>
      <s:c r="D4977" s="121" t="n"/>
      <s:c r="E4977" s="122" t="n"/>
    </s:row>
    <s:row r="4978" hidden="1" ht="1" customHeight="1">
      <s:c r="A4978" s="120" t="inlineStr"/>
      <s:c r="B4978" s="121" t="n"/>
      <s:c r="C4978" s="121" t="n"/>
      <s:c r="D4978" s="121" t="n"/>
      <s:c r="E4978" s="122" t="n"/>
    </s:row>
    <s:row r="4979" hidden="1" ht="1" customHeight="1">
      <s:c r="A4979" s="120" t="inlineStr"/>
      <s:c r="B4979" s="121" t="n"/>
      <s:c r="C4979" s="121" t="n"/>
      <s:c r="D4979" s="121" t="n"/>
      <s:c r="E4979" s="122" t="n"/>
    </s:row>
    <s:row r="4980" hidden="1" ht="1" customHeight="1">
      <s:c r="A4980" s="120" t="inlineStr"/>
      <s:c r="B4980" s="121" t="n"/>
      <s:c r="C4980" s="121" t="n"/>
      <s:c r="D4980" s="121" t="n"/>
      <s:c r="E4980" s="122" t="n"/>
    </s:row>
    <s:row r="4981" hidden="1" ht="1" customHeight="1">
      <s:c r="A4981" s="120" t="inlineStr"/>
      <s:c r="B4981" s="121" t="n"/>
      <s:c r="C4981" s="121" t="n"/>
      <s:c r="D4981" s="121" t="n"/>
      <s:c r="E4981" s="122" t="n"/>
    </s:row>
    <s:row r="4982" hidden="1" ht="1" customHeight="1">
      <s:c r="A4982" s="120" t="inlineStr"/>
      <s:c r="B4982" s="121" t="n"/>
      <s:c r="C4982" s="121" t="n"/>
      <s:c r="D4982" s="121" t="n"/>
      <s:c r="E4982" s="122" t="n"/>
    </s:row>
    <s:row r="4983" hidden="1" ht="1" customHeight="1">
      <s:c r="A4983" s="120" t="inlineStr"/>
      <s:c r="B4983" s="121" t="n"/>
      <s:c r="C4983" s="121" t="n"/>
      <s:c r="D4983" s="121" t="n"/>
      <s:c r="E4983" s="122" t="n"/>
    </s:row>
    <s:row r="4984" hidden="1" ht="1" customHeight="1">
      <s:c r="A4984" s="120" t="inlineStr"/>
      <s:c r="B4984" s="121" t="n"/>
      <s:c r="C4984" s="121" t="n"/>
      <s:c r="D4984" s="121" t="n"/>
      <s:c r="E4984" s="122" t="n"/>
    </s:row>
    <s:row r="4985" hidden="1" ht="1" customHeight="1">
      <s:c r="A4985" s="120" t="inlineStr"/>
      <s:c r="B4985" s="121" t="n"/>
      <s:c r="C4985" s="121" t="n"/>
      <s:c r="D4985" s="121" t="n"/>
      <s:c r="E4985" s="122" t="n"/>
    </s:row>
    <s:row r="4986" hidden="1" ht="1" customHeight="1">
      <s:c r="A4986" s="120" t="inlineStr"/>
      <s:c r="B4986" s="121" t="n"/>
      <s:c r="C4986" s="121" t="n"/>
      <s:c r="D4986" s="121" t="n"/>
      <s:c r="E4986" s="122" t="n"/>
    </s:row>
    <s:row r="4987" hidden="1" ht="1" customHeight="1">
      <s:c r="A4987" s="120" t="inlineStr"/>
      <s:c r="B4987" s="121" t="n"/>
      <s:c r="C4987" s="121" t="n"/>
      <s:c r="D4987" s="121" t="n"/>
      <s:c r="E4987" s="122" t="n"/>
    </s:row>
    <s:row r="4988" hidden="1" ht="1" customHeight="1">
      <s:c r="A4988" s="120" t="inlineStr"/>
      <s:c r="B4988" s="121" t="n"/>
      <s:c r="C4988" s="121" t="n"/>
      <s:c r="D4988" s="121" t="n"/>
      <s:c r="E4988" s="122" t="n"/>
    </s:row>
    <s:row r="4989" hidden="1" ht="1" customHeight="1">
      <s:c r="A4989" s="120" t="inlineStr"/>
      <s:c r="B4989" s="121" t="n"/>
      <s:c r="C4989" s="121" t="n"/>
      <s:c r="D4989" s="121" t="n"/>
      <s:c r="E4989" s="122" t="n"/>
    </s:row>
    <s:row r="4990" hidden="1" ht="1" customHeight="1">
      <s:c r="A4990" s="120" t="inlineStr"/>
      <s:c r="B4990" s="121" t="n"/>
      <s:c r="C4990" s="121" t="n"/>
      <s:c r="D4990" s="121" t="n"/>
      <s:c r="E4990" s="122" t="n"/>
    </s:row>
    <s:row r="4991" hidden="1" ht="1" customHeight="1">
      <s:c r="A4991" s="120" t="inlineStr"/>
      <s:c r="B4991" s="121" t="n"/>
      <s:c r="C4991" s="121" t="n"/>
      <s:c r="D4991" s="121" t="n"/>
      <s:c r="E4991" s="122" t="n"/>
    </s:row>
    <s:row r="4992" hidden="1" ht="1" customHeight="1">
      <s:c r="A4992" s="120" t="inlineStr"/>
      <s:c r="B4992" s="121" t="n"/>
      <s:c r="C4992" s="121" t="n"/>
      <s:c r="D4992" s="121" t="n"/>
      <s:c r="E4992" s="122" t="n"/>
    </s:row>
    <s:row r="4993" hidden="1" ht="1" customHeight="1">
      <s:c r="A4993" s="120" t="inlineStr"/>
      <s:c r="B4993" s="121" t="n"/>
      <s:c r="C4993" s="121" t="n"/>
      <s:c r="D4993" s="121" t="n"/>
      <s:c r="E4993" s="122" t="n"/>
    </s:row>
    <s:row r="4994" hidden="1" ht="1" customHeight="1">
      <s:c r="A4994" s="120" t="inlineStr"/>
      <s:c r="B4994" s="121" t="n"/>
      <s:c r="C4994" s="121" t="n"/>
      <s:c r="D4994" s="121" t="n"/>
      <s:c r="E4994" s="122" t="n"/>
    </s:row>
    <s:row r="4995" hidden="1" ht="1" customHeight="1">
      <s:c r="A4995" s="120" t="inlineStr"/>
      <s:c r="B4995" s="121" t="n"/>
      <s:c r="C4995" s="121" t="n"/>
      <s:c r="D4995" s="121" t="n"/>
      <s:c r="E4995" s="122" t="n"/>
    </s:row>
    <s:row r="4996" hidden="1" ht="1" customHeight="1">
      <s:c r="A4996" s="120" t="inlineStr"/>
      <s:c r="B4996" s="121" t="n"/>
      <s:c r="C4996" s="121" t="n"/>
      <s:c r="D4996" s="121" t="n"/>
      <s:c r="E4996" s="122" t="n"/>
    </s:row>
    <s:row r="4997" hidden="1" ht="1" customHeight="1">
      <s:c r="A4997" s="120" t="inlineStr"/>
      <s:c r="B4997" s="121" t="n"/>
      <s:c r="C4997" s="121" t="n"/>
      <s:c r="D4997" s="121" t="n"/>
      <s:c r="E4997" s="122" t="n"/>
    </s:row>
    <s:row r="4998" hidden="1" ht="1" customHeight="1">
      <s:c r="A4998" s="120" t="inlineStr"/>
      <s:c r="B4998" s="121" t="n"/>
      <s:c r="C4998" s="121" t="n"/>
      <s:c r="D4998" s="121" t="n"/>
      <s:c r="E4998" s="122" t="n"/>
    </s:row>
    <s:row r="4999" hidden="1" ht="1" customHeight="1">
      <s:c r="A4999" s="120" t="inlineStr"/>
      <s:c r="B4999" s="121" t="n"/>
      <s:c r="C4999" s="121" t="n"/>
      <s:c r="D4999" s="121" t="n"/>
      <s:c r="E4999" s="122" t="n"/>
    </s:row>
    <s:row r="5000" hidden="1" ht="1" customHeight="1">
      <s:c r="A5000" s="120" t="inlineStr"/>
      <s:c r="B5000" s="121" t="n"/>
      <s:c r="C5000" s="121" t="n"/>
      <s:c r="D5000" s="121" t="n"/>
      <s:c r="E5000" s="122" t="n"/>
    </s:row>
    <s:row r="5001" hidden="1" ht="1" customHeight="1">
      <s:c r="A5001" s="120" t="inlineStr"/>
      <s:c r="B5001" s="121" t="n"/>
      <s:c r="C5001" s="121" t="n"/>
      <s:c r="D5001" s="121" t="n"/>
      <s:c r="E5001" s="122" t="n"/>
    </s:row>
    <s:row r="5002" hidden="1" ht="1" customHeight="1">
      <s:c r="A5002" s="120" t="inlineStr"/>
      <s:c r="B5002" s="121" t="n"/>
      <s:c r="C5002" s="121" t="n"/>
      <s:c r="D5002" s="121" t="n"/>
      <s:c r="E5002" s="122" t="n"/>
    </s:row>
    <s:row r="5003" hidden="1" ht="1" customHeight="1">
      <s:c r="A5003" s="120" t="inlineStr"/>
      <s:c r="B5003" s="121" t="n"/>
      <s:c r="C5003" s="121" t="n"/>
      <s:c r="D5003" s="121" t="n"/>
      <s:c r="E5003" s="122" t="n"/>
    </s:row>
    <s:row r="5004" hidden="1" ht="1" customHeight="1">
      <s:c r="A5004" s="120" t="inlineStr"/>
      <s:c r="B5004" s="121" t="n"/>
      <s:c r="C5004" s="121" t="n"/>
      <s:c r="D5004" s="121" t="n"/>
      <s:c r="E5004" s="122" t="n"/>
    </s:row>
    <s:row r="5005" hidden="1" ht="1" customHeight="1">
      <s:c r="A5005" s="83" t="inlineStr">
        <s:is>
          <s:t>PASS</s:t>
        </s:is>
      </s:c>
      <s:c r="B5005" s="83">
        <s:f>SUM(IF(EXACT('Kiểm thử'!E4805,"Đạt"),1,0),IF(EXACT('Kiểm thử'!E4807,"Đạt"),1,0),IF(EXACT('Kiểm thử'!E4809,"Đạt"),1,0),IF(EXACT('Kiểm thử'!E4811,"Đạt"),1,0))</s:f>
        <s:v/>
      </s:c>
      <s:c r="C5005" s="19" t="n"/>
      <s:c r="D5005" s="19" t="n"/>
      <s:c r="E5005" s="19" t="n"/>
    </s:row>
    <s:row r="5006" hidden="1" ht="1" customHeight="1">
      <s:c r="A5006" s="83" t="inlineStr">
        <s:is>
          <s:t>FAIL</s:t>
        </s:is>
      </s:c>
      <s:c r="B5006" s="83">
        <s:f>SUM(IF(EXACT('Kiểm thử'!E4805,"Không đạt"),1,0),IF(EXACT('Kiểm thử'!E4807,"Không đạt"),1,0),IF(EXACT('Kiểm thử'!E4809,"Không đạt"),1,0),IF(EXACT('Kiểm thử'!E4811,"Không đạt"),1,0))</s:f>
        <s:v/>
      </s:c>
      <s:c r="C5006" s="19" t="n"/>
      <s:c r="D5006" s="19" t="n"/>
      <s:c r="E5006" s="19" t="n"/>
    </s:row>
    <s:row r="5007" hidden="1" ht="1" customHeight="1">
      <s:c r="A5007" s="83" t="inlineStr">
        <s:is>
          <s:t>BLOCKED</s:t>
        </s:is>
      </s:c>
      <s:c r="B5007" s="83">
        <s:f>SUM(IF(EXACT('Kiểm thử'!E4805,"Bị chặn"),1,0),IF(EXACT('Kiểm thử'!E4807,"Bị chặn"),1,0),IF(EXACT('Kiểm thử'!E4809,"Bị chặn"),1,0),IF(EXACT('Kiểm thử'!E4811,"Bị chặn"),1,0))</s:f>
        <s:v/>
      </s:c>
      <s:c r="C5007" s="19" t="n"/>
      <s:c r="D5007" s="19" t="n"/>
      <s:c r="E5007" s="19" t="n"/>
    </s:row>
    <s:row r="5008" hidden="1" ht="1" customHeight="1">
      <s:c r="A5008" s="83" t="inlineStr">
        <s:is>
          <s:t>SKIPPED</s:t>
        </s:is>
      </s:c>
      <s:c r="B5008" s="83">
        <s:f>SUM(IF(EXACT('Kiểm thử'!E4805,"Không thực hiện"),1,0),IF(EXACT('Kiểm thử'!E4807,"Không thực hiện"),1,0),IF(EXACT('Kiểm thử'!E4809,"Không thực hiện"),1,0),IF(EXACT('Kiểm thử'!E4811,"Không thực hiện"),1,0))</s:f>
        <s:v/>
      </s:c>
      <s:c r="C5008" s="19" t="n"/>
      <s:c r="D5008" s="19" t="n"/>
      <s:c r="E5008" s="19" t="n"/>
    </s:row>
    <s:row r="5009" hidden="1" ht="1" customHeight="1">
      <s:c r="A5009" s="83" t="inlineStr">
        <s:is>
          <s:t>NOT RUN</s:t>
        </s:is>
      </s:c>
      <s:c r="B5009" s="83">
        <s:f>SUM(IF(EXACT('Kiểm thử'!E4805,"Chưa thực hiện"),1,0),IF(EXACT('Kiểm thử'!E4807,"Chưa thực hiện"),1,0),IF(EXACT('Kiểm thử'!E4809,"Chưa thực hiện"),1,0),IF(EXACT('Kiểm thử'!E4811,"Chưa thực hiện"),1,0))</s:f>
        <s:v/>
      </s:c>
      <s:c r="C5009" s="19" t="n"/>
      <s:c r="D5009" s="19" t="n"/>
      <s:c r="E5009" s="19" t="n"/>
    </s:row>
    <s:row r="5010" hidden="1" ht="6" customHeight="1">
      <s:c r="A5010" s="83" t="inlineStr"/>
      <s:c r="B5010" s="19" t="n"/>
      <s:c r="C5010" s="19" t="n"/>
      <s:c r="D5010" s="19" t="n"/>
      <s:c r="E5010" s="19" t="n"/>
    </s:row>
    <s:row r="5011" ht="28" customHeight="1">
      <s:c r="A5011" s="108" t="inlineStr">
        <s:is>
          <s:t>TC-RS-VAL-002 — Điểm cố định phải ≤ M của mọi đối tượng (M=20 và M=100)</s:t>
        </s:is>
      </s:c>
      <s:c r="B5011" s="111" t="n"/>
      <s:c r="C5011" s="111" t="n"/>
      <s:c r="D5011" s="111" t="n"/>
      <s:c r="E5011" s="111" t="n"/>
    </s:row>
    <s:row r="5012" ht="20" customHeight="1">
      <s:c r="A5012" s="112" t="inlineStr">
        <s:is>
          <s:t>Kết quả tình huống</s:t>
        </s:is>
      </s:c>
      <s:c r="B5012" s="113">
        <s:f>IF(SUM(IF(EXACT('Kiểm thử'!E5021,"Không đạt"),1,0),IF(EXACT('Kiểm thử'!E5023,"Không đạt"),1,0),IF(EXACT('Kiểm thử'!E5025,"Không đạt"),1,0))&gt;0,"Không đạt",IF(SUM(IF(EXACT('Kiểm thử'!E5021,"Đạt"),1,0),IF(EXACT('Kiểm thử'!E5023,"Đạt"),1,0),IF(EXACT('Kiểm thử'!E5025,"Đạt"),1,0))=3,"Đạt",IF(SUM(IF(EXACT('Kiểm thử'!E5021,"Không thực hiện"),1,0),IF(EXACT('Kiểm thử'!E5023,"Không thực hiện"),1,0),IF(EXACT('Kiểm thử'!E5025,"Không thực hiện"),1,0))=3,"Không thực hiện",IF(SUM(IF(EXACT('Kiểm thử'!E5021,"Bị chặn"),1,0),IF(EXACT('Kiểm thử'!E5023,"Bị chặn"),1,0),IF(EXACT('Kiểm thử'!E5025,"Bị chặn"),1,0))&gt;0,"Bị chặn",IF(SUM(IF(EXACT('Kiểm thử'!E5021,"Chưa thực hiện"),1,0),IF(EXACT('Kiểm thử'!E5023,"Chưa thực hiện"),1,0),IF(EXACT('Kiểm thử'!E5025,"Chưa thực hiện"),1,0))=3,"Chưa thực hiện","Đang thực hiện")))))</s:f>
        <s:v/>
      </s:c>
      <s:c r="C5012" s="114" t="n"/>
      <s:c r="D5012" s="114" t="n"/>
      <s:c r="E5012" s="114" t="n"/>
    </s:row>
    <s:row r="5013" ht="20" customHeight="1">
      <s:c r="A5013" s="112" t="inlineStr">
        <s:is>
          <s:t>Màn hình / chức năng</s:t>
        </s:is>
      </s:c>
      <s:c r="B5013" s="113" t="inlineStr">
        <s:is>
          <s:r>
            <s:rPr>
              <s:b val="1"/>
            </s:rPr>
            <s:t>Thiết lập ngưỡng（基準設定）</s:t>
          </s:r>
        </s:is>
      </s:c>
      <s:c r="C5013" s="28" t="n"/>
      <s:c r="D5013" s="28" t="n"/>
      <s:c r="E5013" s="28" t="n"/>
    </s:row>
    <s:row r="5014" ht="20" customHeight="1">
      <s:c r="A5014" s="112" t="inlineStr">
        <s:is>
          <s:t>Cấu hình</s:t>
        </s:is>
      </s:c>
      <s:c r="B5014" s="113" t="inlineStr">
        <s:is>
          <s:r>
            <s:t xml:space="preserve">• Mục có M khác nhau theo lớp (G-A </s:t>
          </s:r>
          <s:r>
            <s:rPr>
              <s:b val="1"/>
            </s:rPr>
            <s:t>M=20</s:t>
          </s:r>
          <s:r>
            <s:t xml:space="preserve">, G-B </s:t>
          </s:r>
          <s:r>
            <s:rPr>
              <s:b val="1"/>
            </s:rPr>
            <s:t>M=100</s:t>
          </s:r>
          <s:r>
            <s:t xml:space="preserve">) (G-A </s:t>
          </s:r>
          <s:r>
            <s:rPr>
              <s:b val="1"/>
            </s:rPr>
            <s:t>M=20</s:t>
          </s:r>
          <s:r>
            <s:t xml:space="preserve">, G-B </s:t>
          </s:r>
          <s:r>
            <s:rPr>
              <s:b val="1"/>
            </s:rPr>
            <s:t>M=100</s:t>
          </s:r>
          <s:r>
            <s:t>).</s:t>
          </s:r>
        </s:is>
      </s:c>
      <s:c r="C5014" s="28" t="n"/>
      <s:c r="D5014" s="28" t="n"/>
      <s:c r="E5014" s="28" t="n"/>
    </s:row>
    <s:row r="5015" ht="34" customHeight="1">
      <s:c r="A5015" s="112" t="inlineStr">
        <s:is>
          <s:t>Dữ liệu test</s:t>
        </s:is>
      </s:c>
      <s:c r="B5015" s="113" t="inlineStr">
        <s:is>
          <s:r>
            <s:t xml:space="preserve">• Mục có M khác nhau theo lớp (G-A </s:t>
          </s:r>
          <s:r>
            <s:rPr>
              <s:b val="1"/>
            </s:rPr>
            <s:t>M=20</s:t>
          </s:r>
          <s:r>
            <s:t xml:space="preserve">, G-B </s:t>
          </s:r>
          <s:r>
            <s:rPr>
              <s:b val="1"/>
            </s:rPr>
            <s:t>M=100</s:t>
          </s:r>
          <s:r>
            <s:t>);
• N = 30, 20</s:t>
          </s:r>
        </s:is>
      </s:c>
      <s:c r="C5015" s="28" t="n"/>
      <s:c r="D5015" s="28" t="n"/>
      <s:c r="E5015" s="28" t="n"/>
    </s:row>
    <s:row r="5016" ht="20" customHeight="1">
      <s:c r="A5016" s="112" t="inlineStr">
        <s:is>
          <s:t>Bước 1</s:t>
        </s:is>
      </s:c>
      <s:c r="B5016" s="113" t="inlineStr">
        <s:is>
          <s:r>
            <s:t xml:space="preserve">Toàn bộ đối tượng, </s:t>
          </s:r>
          <s:r>
            <s:rPr>
              <s:b val="1"/>
            </s:rPr>
            <s:t>N=30</s:t>
          </s:r>
          <s:r>
            <s:t>, Lưu.</s:t>
          </s:r>
        </s:is>
      </s:c>
      <s:c r="C5016" s="28" t="n"/>
      <s:c r="D5016" s="28" t="n"/>
      <s:c r="E5016" s="28" t="n"/>
    </s:row>
    <s:row r="5017" ht="20" customHeight="1">
      <s:c r="A5017" s="112" t="inlineStr">
        <s:is>
          <s:t>Bước 2</s:t>
        </s:is>
      </s:c>
      <s:c r="B5017" s="113" t="inlineStr">
        <s:is>
          <s:r>
            <s:t xml:space="preserve">Toàn bộ đối tượng, </s:t>
          </s:r>
          <s:r>
            <s:rPr>
              <s:b val="1"/>
            </s:rPr>
            <s:t>N=20</s:t>
          </s:r>
          <s:r>
            <s:t>, Lưu.</s:t>
          </s:r>
        </s:is>
      </s:c>
      <s:c r="C5017" s="28" t="n"/>
      <s:c r="D5017" s="28" t="n"/>
      <s:c r="E5017" s="28" t="n"/>
    </s:row>
    <s:row r="5018" ht="20" customHeight="1">
      <s:c r="A5018" s="112" t="inlineStr">
        <s:is>
          <s:t>Bước 3</s:t>
        </s:is>
      </s:c>
      <s:c r="B5018" s="113" t="inlineStr">
        <s:is>
          <s:r>
            <s:t xml:space="preserve">Lọc chỉ lớp G-B, </s:t>
          </s:r>
          <s:r>
            <s:rPr>
              <s:b val="1"/>
            </s:rPr>
            <s:t>N=30</s:t>
          </s:r>
          <s:r>
            <s:t>, Lưu.</s:t>
          </s:r>
        </s:is>
      </s:c>
      <s:c r="C5018" s="28" t="n"/>
      <s:c r="D5018" s="28" t="n"/>
      <s:c r="E5018" s="28" t="n"/>
    </s:row>
    <s:row r="5019" ht="28" customHeight="1">
      <s:c r="A5019" s="115" t="inlineStr">
        <s:is>
          <s:t>Trường hợp</s:t>
        </s:is>
      </s:c>
      <s:c r="B5019" s="115" t="inlineStr">
        <s:is>
          <s:t>Dữ liệu / thao tác riêng</s:t>
        </s:is>
      </s:c>
      <s:c r="C5019" s="115" t="inlineStr">
        <s:is>
          <s:t>Kết quả mong đợi</s:t>
        </s:is>
      </s:c>
      <s:c r="D5019" s="115" t="inlineStr">
        <s:is>
          <s:t>Kết quả thực tế</s:t>
        </s:is>
      </s:c>
      <s:c r="E5019" s="115" t="inlineStr">
        <s:is>
          <s:t>Đánh giá</s:t>
        </s:is>
      </s:c>
    </s:row>
    <s:row r="5020" ht="3" customHeight="1">
      <s:c r="A5020" s="102" t="inlineStr"/>
      <s:c r="B5020" s="99" t="n"/>
      <s:c r="C5020" s="99" t="n"/>
      <s:c r="D5020" s="116" t="n"/>
      <s:c r="E5020" s="116" t="n"/>
    </s:row>
    <s:row r="5021" ht="48" customHeight="1">
      <s:c r="A5021" s="83" t="inlineStr">
        <s:is>
          <s:t>Trường hợp (all30)</s:t>
        </s:is>
      </s:c>
      <s:c r="B5021" s="83" t="inlineStr">
        <s:is>
          <s:r>
            <s:t xml:space="preserve">Toàn bộ </s:t>
          </s:r>
          <s:r>
            <s:rPr>
              <s:b val="1"/>
            </s:rPr>
            <s:t>N=30</s:t>
          </s:r>
          <s:r>
            <s:t xml:space="preserve">: </s:t>
          </s:r>
          <s:r>
            <s:rPr>
              <s:b val="1"/>
            </s:rPr>
            <s:t>M=20</s:t>
          </s:r>
          <s:r>
            <s:t xml:space="preserve"> và100 trong phạm vi Toàn bộ; nhập </s:t>
          </s:r>
          <s:r>
            <s:rPr>
              <s:b val="1"/>
            </s:rPr>
            <s:t>N=30</s:t>
          </s:r>
          <s:r>
            <s:t xml:space="preserve"> và lưu.</s:t>
          </s:r>
        </s:is>
      </s:c>
      <s:c r="C5021" s="83" t="inlineStr">
        <s:is>
          <s:r>
            <s:t xml:space="preserve">1. Không lưu được (G-A </s:t>
          </s:r>
          <s:r>
            <s:rPr>
              <s:b val="1"/>
            </s:rPr>
            <s:t>M=20</s:t>
          </s:r>
          <s:r>
            <s:t>).</s:t>
          </s:r>
        </s:is>
      </s:c>
      <s:c r="D5021" s="117" t="inlineStr"/>
      <s:c r="E5021" s="118" t="inlineStr">
        <s:is>
          <s:t>Chưa thực hiện</s:t>
        </s:is>
      </s:c>
    </s:row>
    <s:row r="5022" ht="3" customHeight="1">
      <s:c r="A5022" s="102" t="inlineStr"/>
      <s:c r="B5022" s="99" t="n"/>
      <s:c r="C5022" s="99" t="n"/>
      <s:c r="D5022" s="116" t="n"/>
      <s:c r="E5022" s="116" t="n"/>
    </s:row>
    <s:row r="5023" ht="48" customHeight="1">
      <s:c r="A5023" s="83" t="inlineStr">
        <s:is>
          <s:t>Trường hợp (all20)</s:t>
        </s:is>
      </s:c>
      <s:c r="B5023" s="83" t="inlineStr">
        <s:is>
          <s:r>
            <s:t xml:space="preserve">Toàn bộ </s:t>
          </s:r>
          <s:r>
            <s:rPr>
              <s:b val="1"/>
            </s:rPr>
            <s:t>N=20</s:t>
          </s:r>
          <s:r>
            <s:t xml:space="preserve">: </s:t>
          </s:r>
          <s:r>
            <s:rPr>
              <s:b val="1"/>
            </s:rPr>
            <s:t>M=20</s:t>
          </s:r>
          <s:r>
            <s:t xml:space="preserve"> và100 trong phạm vi Toàn bộ; nhập </s:t>
          </s:r>
          <s:r>
            <s:rPr>
              <s:b val="1"/>
            </s:rPr>
            <s:t>N=20</s:t>
          </s:r>
          <s:r>
            <s:t xml:space="preserve"> và lưu.</s:t>
          </s:r>
        </s:is>
      </s:c>
      <s:c r="C5023" s="83" t="inlineStr">
        <s:is>
          <s:t>2. Lưu được.</s:t>
        </s:is>
      </s:c>
      <s:c r="D5023" s="117" t="inlineStr"/>
      <s:c r="E5023" s="118" t="inlineStr">
        <s:is>
          <s:t>Chưa thực hiện</s:t>
        </s:is>
      </s:c>
    </s:row>
    <s:row r="5024" ht="3" customHeight="1">
      <s:c r="A5024" s="102" t="inlineStr"/>
      <s:c r="B5024" s="99" t="n"/>
      <s:c r="C5024" s="99" t="n"/>
      <s:c r="D5024" s="116" t="n"/>
      <s:c r="E5024" s="116" t="n"/>
    </s:row>
    <s:row r="5025" ht="34" customHeight="1">
      <s:c r="A5025" s="83" t="inlineStr">
        <s:is>
          <s:t>Trường hợp (gb30)</s:t>
        </s:is>
      </s:c>
      <s:c r="B5025" s="83" t="inlineStr">
        <s:is>
          <s:r>
            <s:t xml:space="preserve">Chỉ G-B </s:t>
          </s:r>
          <s:r>
            <s:rPr>
              <s:b val="1"/>
            </s:rPr>
            <s:t>N=30</s:t>
          </s:r>
          <s:r>
            <s:t xml:space="preserve">: Giới hạn chỉ G-B; nhập </s:t>
          </s:r>
          <s:r>
            <s:rPr>
              <s:b val="1"/>
            </s:rPr>
            <s:t>N=30</s:t>
          </s:r>
          <s:r>
            <s:t xml:space="preserve"> và lưu.</s:t>
          </s:r>
        </s:is>
      </s:c>
      <s:c r="C5025" s="83" t="inlineStr">
        <s:is>
          <s:t>3. Lưu được.</s:t>
        </s:is>
      </s:c>
      <s:c r="D5025" s="117" t="inlineStr"/>
      <s:c r="E5025" s="118" t="inlineStr">
        <s:is>
          <s:t>Chưa thực hiện</s:t>
        </s:is>
      </s:c>
    </s:row>
    <s:row r="5026" ht="20" customHeight="1">
      <s:c r="A5026" s="119" t="inlineStr">
        <s:is>
          <s:t>Ảnh minh chứng — Chưa có ảnh</s:t>
        </s:is>
      </s:c>
      <s:c r="B5026" s="19" t="n"/>
      <s:c r="C5026" s="19" t="n"/>
      <s:c r="D5026" s="19" t="n"/>
      <s:c r="E5026" s="19" t="n"/>
    </s:row>
    <s:row r="5027" hidden="1" ht="1" customHeight="1">
      <s:c r="A5027" s="120" t="inlineStr"/>
      <s:c r="B5027" s="121" t="n"/>
      <s:c r="C5027" s="121" t="n"/>
      <s:c r="D5027" s="121" t="n"/>
      <s:c r="E5027" s="122" t="n"/>
    </s:row>
    <s:row r="5028" hidden="1" ht="1" customHeight="1">
      <s:c r="A5028" s="120" t="inlineStr"/>
      <s:c r="B5028" s="121" t="n"/>
      <s:c r="C5028" s="121" t="n"/>
      <s:c r="D5028" s="121" t="n"/>
      <s:c r="E5028" s="122" t="n"/>
    </s:row>
    <s:row r="5029" hidden="1" ht="1" customHeight="1">
      <s:c r="A5029" s="120" t="inlineStr"/>
      <s:c r="B5029" s="121" t="n"/>
      <s:c r="C5029" s="121" t="n"/>
      <s:c r="D5029" s="121" t="n"/>
      <s:c r="E5029" s="122" t="n"/>
    </s:row>
    <s:row r="5030" hidden="1" ht="1" customHeight="1">
      <s:c r="A5030" s="120" t="inlineStr"/>
      <s:c r="B5030" s="121" t="n"/>
      <s:c r="C5030" s="121" t="n"/>
      <s:c r="D5030" s="121" t="n"/>
      <s:c r="E5030" s="122" t="n"/>
    </s:row>
    <s:row r="5031" hidden="1" ht="1" customHeight="1">
      <s:c r="A5031" s="120" t="inlineStr"/>
      <s:c r="B5031" s="121" t="n"/>
      <s:c r="C5031" s="121" t="n"/>
      <s:c r="D5031" s="121" t="n"/>
      <s:c r="E5031" s="122" t="n"/>
    </s:row>
    <s:row r="5032" hidden="1" ht="1" customHeight="1">
      <s:c r="A5032" s="120" t="inlineStr"/>
      <s:c r="B5032" s="121" t="n"/>
      <s:c r="C5032" s="121" t="n"/>
      <s:c r="D5032" s="121" t="n"/>
      <s:c r="E5032" s="122" t="n"/>
    </s:row>
    <s:row r="5033" hidden="1" ht="1" customHeight="1">
      <s:c r="A5033" s="120" t="inlineStr"/>
      <s:c r="B5033" s="121" t="n"/>
      <s:c r="C5033" s="121" t="n"/>
      <s:c r="D5033" s="121" t="n"/>
      <s:c r="E5033" s="122" t="n"/>
    </s:row>
    <s:row r="5034" hidden="1" ht="1" customHeight="1">
      <s:c r="A5034" s="120" t="inlineStr"/>
      <s:c r="B5034" s="121" t="n"/>
      <s:c r="C5034" s="121" t="n"/>
      <s:c r="D5034" s="121" t="n"/>
      <s:c r="E5034" s="122" t="n"/>
    </s:row>
    <s:row r="5035" hidden="1" ht="1" customHeight="1">
      <s:c r="A5035" s="120" t="inlineStr"/>
      <s:c r="B5035" s="121" t="n"/>
      <s:c r="C5035" s="121" t="n"/>
      <s:c r="D5035" s="121" t="n"/>
      <s:c r="E5035" s="122" t="n"/>
    </s:row>
    <s:row r="5036" hidden="1" ht="1" customHeight="1">
      <s:c r="A5036" s="120" t="inlineStr"/>
      <s:c r="B5036" s="121" t="n"/>
      <s:c r="C5036" s="121" t="n"/>
      <s:c r="D5036" s="121" t="n"/>
      <s:c r="E5036" s="122" t="n"/>
    </s:row>
    <s:row r="5037" hidden="1" ht="1" customHeight="1">
      <s:c r="A5037" s="120" t="inlineStr"/>
      <s:c r="B5037" s="121" t="n"/>
      <s:c r="C5037" s="121" t="n"/>
      <s:c r="D5037" s="121" t="n"/>
      <s:c r="E5037" s="122" t="n"/>
    </s:row>
    <s:row r="5038" hidden="1" ht="1" customHeight="1">
      <s:c r="A5038" s="120" t="inlineStr"/>
      <s:c r="B5038" s="121" t="n"/>
      <s:c r="C5038" s="121" t="n"/>
      <s:c r="D5038" s="121" t="n"/>
      <s:c r="E5038" s="122" t="n"/>
    </s:row>
    <s:row r="5039" hidden="1" ht="1" customHeight="1">
      <s:c r="A5039" s="120" t="inlineStr"/>
      <s:c r="B5039" s="121" t="n"/>
      <s:c r="C5039" s="121" t="n"/>
      <s:c r="D5039" s="121" t="n"/>
      <s:c r="E5039" s="122" t="n"/>
    </s:row>
    <s:row r="5040" hidden="1" ht="1" customHeight="1">
      <s:c r="A5040" s="120" t="inlineStr"/>
      <s:c r="B5040" s="121" t="n"/>
      <s:c r="C5040" s="121" t="n"/>
      <s:c r="D5040" s="121" t="n"/>
      <s:c r="E5040" s="122" t="n"/>
    </s:row>
    <s:row r="5041" hidden="1" ht="1" customHeight="1">
      <s:c r="A5041" s="120" t="inlineStr"/>
      <s:c r="B5041" s="121" t="n"/>
      <s:c r="C5041" s="121" t="n"/>
      <s:c r="D5041" s="121" t="n"/>
      <s:c r="E5041" s="122" t="n"/>
    </s:row>
    <s:row r="5042" hidden="1" ht="1" customHeight="1">
      <s:c r="A5042" s="120" t="inlineStr"/>
      <s:c r="B5042" s="121" t="n"/>
      <s:c r="C5042" s="121" t="n"/>
      <s:c r="D5042" s="121" t="n"/>
      <s:c r="E5042" s="122" t="n"/>
    </s:row>
    <s:row r="5043" hidden="1" ht="1" customHeight="1">
      <s:c r="A5043" s="120" t="inlineStr"/>
      <s:c r="B5043" s="121" t="n"/>
      <s:c r="C5043" s="121" t="n"/>
      <s:c r="D5043" s="121" t="n"/>
      <s:c r="E5043" s="122" t="n"/>
    </s:row>
    <s:row r="5044" hidden="1" ht="1" customHeight="1">
      <s:c r="A5044" s="120" t="inlineStr"/>
      <s:c r="B5044" s="121" t="n"/>
      <s:c r="C5044" s="121" t="n"/>
      <s:c r="D5044" s="121" t="n"/>
      <s:c r="E5044" s="122" t="n"/>
    </s:row>
    <s:row r="5045" hidden="1" ht="1" customHeight="1">
      <s:c r="A5045" s="120" t="inlineStr"/>
      <s:c r="B5045" s="121" t="n"/>
      <s:c r="C5045" s="121" t="n"/>
      <s:c r="D5045" s="121" t="n"/>
      <s:c r="E5045" s="122" t="n"/>
    </s:row>
    <s:row r="5046" hidden="1" ht="1" customHeight="1">
      <s:c r="A5046" s="120" t="inlineStr"/>
      <s:c r="B5046" s="121" t="n"/>
      <s:c r="C5046" s="121" t="n"/>
      <s:c r="D5046" s="121" t="n"/>
      <s:c r="E5046" s="122" t="n"/>
    </s:row>
    <s:row r="5047" hidden="1" ht="1" customHeight="1">
      <s:c r="A5047" s="120" t="inlineStr"/>
      <s:c r="B5047" s="121" t="n"/>
      <s:c r="C5047" s="121" t="n"/>
      <s:c r="D5047" s="121" t="n"/>
      <s:c r="E5047" s="122" t="n"/>
    </s:row>
    <s:row r="5048" hidden="1" ht="1" customHeight="1">
      <s:c r="A5048" s="120" t="inlineStr"/>
      <s:c r="B5048" s="121" t="n"/>
      <s:c r="C5048" s="121" t="n"/>
      <s:c r="D5048" s="121" t="n"/>
      <s:c r="E5048" s="122" t="n"/>
    </s:row>
    <s:row r="5049" hidden="1" ht="1" customHeight="1">
      <s:c r="A5049" s="120" t="inlineStr"/>
      <s:c r="B5049" s="121" t="n"/>
      <s:c r="C5049" s="121" t="n"/>
      <s:c r="D5049" s="121" t="n"/>
      <s:c r="E5049" s="122" t="n"/>
    </s:row>
    <s:row r="5050" hidden="1" ht="1" customHeight="1">
      <s:c r="A5050" s="120" t="inlineStr"/>
      <s:c r="B5050" s="121" t="n"/>
      <s:c r="C5050" s="121" t="n"/>
      <s:c r="D5050" s="121" t="n"/>
      <s:c r="E5050" s="122" t="n"/>
    </s:row>
    <s:row r="5051" hidden="1" ht="1" customHeight="1">
      <s:c r="A5051" s="120" t="inlineStr"/>
      <s:c r="B5051" s="121" t="n"/>
      <s:c r="C5051" s="121" t="n"/>
      <s:c r="D5051" s="121" t="n"/>
      <s:c r="E5051" s="122" t="n"/>
    </s:row>
    <s:row r="5052" hidden="1" ht="1" customHeight="1">
      <s:c r="A5052" s="120" t="inlineStr"/>
      <s:c r="B5052" s="121" t="n"/>
      <s:c r="C5052" s="121" t="n"/>
      <s:c r="D5052" s="121" t="n"/>
      <s:c r="E5052" s="122" t="n"/>
    </s:row>
    <s:row r="5053" hidden="1" ht="1" customHeight="1">
      <s:c r="A5053" s="120" t="inlineStr"/>
      <s:c r="B5053" s="121" t="n"/>
      <s:c r="C5053" s="121" t="n"/>
      <s:c r="D5053" s="121" t="n"/>
      <s:c r="E5053" s="122" t="n"/>
    </s:row>
    <s:row r="5054" hidden="1" ht="1" customHeight="1">
      <s:c r="A5054" s="120" t="inlineStr"/>
      <s:c r="B5054" s="121" t="n"/>
      <s:c r="C5054" s="121" t="n"/>
      <s:c r="D5054" s="121" t="n"/>
      <s:c r="E5054" s="122" t="n"/>
    </s:row>
    <s:row r="5055" hidden="1" ht="1" customHeight="1">
      <s:c r="A5055" s="120" t="inlineStr"/>
      <s:c r="B5055" s="121" t="n"/>
      <s:c r="C5055" s="121" t="n"/>
      <s:c r="D5055" s="121" t="n"/>
      <s:c r="E5055" s="122" t="n"/>
    </s:row>
    <s:row r="5056" hidden="1" ht="1" customHeight="1">
      <s:c r="A5056" s="120" t="inlineStr"/>
      <s:c r="B5056" s="121" t="n"/>
      <s:c r="C5056" s="121" t="n"/>
      <s:c r="D5056" s="121" t="n"/>
      <s:c r="E5056" s="122" t="n"/>
    </s:row>
    <s:row r="5057" hidden="1" ht="1" customHeight="1">
      <s:c r="A5057" s="120" t="inlineStr"/>
      <s:c r="B5057" s="121" t="n"/>
      <s:c r="C5057" s="121" t="n"/>
      <s:c r="D5057" s="121" t="n"/>
      <s:c r="E5057" s="122" t="n"/>
    </s:row>
    <s:row r="5058" hidden="1" ht="1" customHeight="1">
      <s:c r="A5058" s="120" t="inlineStr"/>
      <s:c r="B5058" s="121" t="n"/>
      <s:c r="C5058" s="121" t="n"/>
      <s:c r="D5058" s="121" t="n"/>
      <s:c r="E5058" s="122" t="n"/>
    </s:row>
    <s:row r="5059" hidden="1" ht="1" customHeight="1">
      <s:c r="A5059" s="120" t="inlineStr"/>
      <s:c r="B5059" s="121" t="n"/>
      <s:c r="C5059" s="121" t="n"/>
      <s:c r="D5059" s="121" t="n"/>
      <s:c r="E5059" s="122" t="n"/>
    </s:row>
    <s:row r="5060" hidden="1" ht="1" customHeight="1">
      <s:c r="A5060" s="120" t="inlineStr"/>
      <s:c r="B5060" s="121" t="n"/>
      <s:c r="C5060" s="121" t="n"/>
      <s:c r="D5060" s="121" t="n"/>
      <s:c r="E5060" s="122" t="n"/>
    </s:row>
    <s:row r="5061" hidden="1" ht="1" customHeight="1">
      <s:c r="A5061" s="120" t="inlineStr"/>
      <s:c r="B5061" s="121" t="n"/>
      <s:c r="C5061" s="121" t="n"/>
      <s:c r="D5061" s="121" t="n"/>
      <s:c r="E5061" s="122" t="n"/>
    </s:row>
    <s:row r="5062" hidden="1" ht="1" customHeight="1">
      <s:c r="A5062" s="120" t="inlineStr"/>
      <s:c r="B5062" s="121" t="n"/>
      <s:c r="C5062" s="121" t="n"/>
      <s:c r="D5062" s="121" t="n"/>
      <s:c r="E5062" s="122" t="n"/>
    </s:row>
    <s:row r="5063" hidden="1" ht="1" customHeight="1">
      <s:c r="A5063" s="120" t="inlineStr"/>
      <s:c r="B5063" s="121" t="n"/>
      <s:c r="C5063" s="121" t="n"/>
      <s:c r="D5063" s="121" t="n"/>
      <s:c r="E5063" s="122" t="n"/>
    </s:row>
    <s:row r="5064" hidden="1" ht="1" customHeight="1">
      <s:c r="A5064" s="120" t="inlineStr"/>
      <s:c r="B5064" s="121" t="n"/>
      <s:c r="C5064" s="121" t="n"/>
      <s:c r="D5064" s="121" t="n"/>
      <s:c r="E5064" s="122" t="n"/>
    </s:row>
    <s:row r="5065" hidden="1" ht="1" customHeight="1">
      <s:c r="A5065" s="120" t="inlineStr"/>
      <s:c r="B5065" s="121" t="n"/>
      <s:c r="C5065" s="121" t="n"/>
      <s:c r="D5065" s="121" t="n"/>
      <s:c r="E5065" s="122" t="n"/>
    </s:row>
    <s:row r="5066" hidden="1" ht="1" customHeight="1">
      <s:c r="A5066" s="120" t="inlineStr"/>
      <s:c r="B5066" s="121" t="n"/>
      <s:c r="C5066" s="121" t="n"/>
      <s:c r="D5066" s="121" t="n"/>
      <s:c r="E5066" s="122" t="n"/>
    </s:row>
    <s:row r="5067" hidden="1" ht="1" customHeight="1">
      <s:c r="A5067" s="120" t="inlineStr"/>
      <s:c r="B5067" s="121" t="n"/>
      <s:c r="C5067" s="121" t="n"/>
      <s:c r="D5067" s="121" t="n"/>
      <s:c r="E5067" s="122" t="n"/>
    </s:row>
    <s:row r="5068" hidden="1" ht="1" customHeight="1">
      <s:c r="A5068" s="120" t="inlineStr"/>
      <s:c r="B5068" s="121" t="n"/>
      <s:c r="C5068" s="121" t="n"/>
      <s:c r="D5068" s="121" t="n"/>
      <s:c r="E5068" s="122" t="n"/>
    </s:row>
    <s:row r="5069" hidden="1" ht="1" customHeight="1">
      <s:c r="A5069" s="120" t="inlineStr"/>
      <s:c r="B5069" s="121" t="n"/>
      <s:c r="C5069" s="121" t="n"/>
      <s:c r="D5069" s="121" t="n"/>
      <s:c r="E5069" s="122" t="n"/>
    </s:row>
    <s:row r="5070" hidden="1" ht="1" customHeight="1">
      <s:c r="A5070" s="120" t="inlineStr"/>
      <s:c r="B5070" s="121" t="n"/>
      <s:c r="C5070" s="121" t="n"/>
      <s:c r="D5070" s="121" t="n"/>
      <s:c r="E5070" s="122" t="n"/>
    </s:row>
    <s:row r="5071" hidden="1" ht="1" customHeight="1">
      <s:c r="A5071" s="120" t="inlineStr"/>
      <s:c r="B5071" s="121" t="n"/>
      <s:c r="C5071" s="121" t="n"/>
      <s:c r="D5071" s="121" t="n"/>
      <s:c r="E5071" s="122" t="n"/>
    </s:row>
    <s:row r="5072" hidden="1" ht="1" customHeight="1">
      <s:c r="A5072" s="120" t="inlineStr"/>
      <s:c r="B5072" s="121" t="n"/>
      <s:c r="C5072" s="121" t="n"/>
      <s:c r="D5072" s="121" t="n"/>
      <s:c r="E5072" s="122" t="n"/>
    </s:row>
    <s:row r="5073" hidden="1" ht="1" customHeight="1">
      <s:c r="A5073" s="120" t="inlineStr"/>
      <s:c r="B5073" s="121" t="n"/>
      <s:c r="C5073" s="121" t="n"/>
      <s:c r="D5073" s="121" t="n"/>
      <s:c r="E5073" s="122" t="n"/>
    </s:row>
    <s:row r="5074" hidden="1" ht="1" customHeight="1">
      <s:c r="A5074" s="120" t="inlineStr"/>
      <s:c r="B5074" s="121" t="n"/>
      <s:c r="C5074" s="121" t="n"/>
      <s:c r="D5074" s="121" t="n"/>
      <s:c r="E5074" s="122" t="n"/>
    </s:row>
    <s:row r="5075" hidden="1" ht="1" customHeight="1">
      <s:c r="A5075" s="120" t="inlineStr"/>
      <s:c r="B5075" s="121" t="n"/>
      <s:c r="C5075" s="121" t="n"/>
      <s:c r="D5075" s="121" t="n"/>
      <s:c r="E5075" s="122" t="n"/>
    </s:row>
    <s:row r="5076" hidden="1" ht="1" customHeight="1">
      <s:c r="A5076" s="120" t="inlineStr"/>
      <s:c r="B5076" s="121" t="n"/>
      <s:c r="C5076" s="121" t="n"/>
      <s:c r="D5076" s="121" t="n"/>
      <s:c r="E5076" s="122" t="n"/>
    </s:row>
    <s:row r="5077" hidden="1" ht="1" customHeight="1">
      <s:c r="A5077" s="120" t="inlineStr"/>
      <s:c r="B5077" s="121" t="n"/>
      <s:c r="C5077" s="121" t="n"/>
      <s:c r="D5077" s="121" t="n"/>
      <s:c r="E5077" s="122" t="n"/>
    </s:row>
    <s:row r="5078" hidden="1" ht="1" customHeight="1">
      <s:c r="A5078" s="120" t="inlineStr"/>
      <s:c r="B5078" s="121" t="n"/>
      <s:c r="C5078" s="121" t="n"/>
      <s:c r="D5078" s="121" t="n"/>
      <s:c r="E5078" s="122" t="n"/>
    </s:row>
    <s:row r="5079" hidden="1" ht="1" customHeight="1">
      <s:c r="A5079" s="120" t="inlineStr"/>
      <s:c r="B5079" s="121" t="n"/>
      <s:c r="C5079" s="121" t="n"/>
      <s:c r="D5079" s="121" t="n"/>
      <s:c r="E5079" s="122" t="n"/>
    </s:row>
    <s:row r="5080" hidden="1" ht="1" customHeight="1">
      <s:c r="A5080" s="120" t="inlineStr"/>
      <s:c r="B5080" s="121" t="n"/>
      <s:c r="C5080" s="121" t="n"/>
      <s:c r="D5080" s="121" t="n"/>
      <s:c r="E5080" s="122" t="n"/>
    </s:row>
    <s:row r="5081" hidden="1" ht="1" customHeight="1">
      <s:c r="A5081" s="120" t="inlineStr"/>
      <s:c r="B5081" s="121" t="n"/>
      <s:c r="C5081" s="121" t="n"/>
      <s:c r="D5081" s="121" t="n"/>
      <s:c r="E5081" s="122" t="n"/>
    </s:row>
    <s:row r="5082" hidden="1" ht="1" customHeight="1">
      <s:c r="A5082" s="120" t="inlineStr"/>
      <s:c r="B5082" s="121" t="n"/>
      <s:c r="C5082" s="121" t="n"/>
      <s:c r="D5082" s="121" t="n"/>
      <s:c r="E5082" s="122" t="n"/>
    </s:row>
    <s:row r="5083" hidden="1" ht="1" customHeight="1">
      <s:c r="A5083" s="120" t="inlineStr"/>
      <s:c r="B5083" s="121" t="n"/>
      <s:c r="C5083" s="121" t="n"/>
      <s:c r="D5083" s="121" t="n"/>
      <s:c r="E5083" s="122" t="n"/>
    </s:row>
    <s:row r="5084" hidden="1" ht="1" customHeight="1">
      <s:c r="A5084" s="120" t="inlineStr"/>
      <s:c r="B5084" s="121" t="n"/>
      <s:c r="C5084" s="121" t="n"/>
      <s:c r="D5084" s="121" t="n"/>
      <s:c r="E5084" s="122" t="n"/>
    </s:row>
    <s:row r="5085" hidden="1" ht="1" customHeight="1">
      <s:c r="A5085" s="120" t="inlineStr"/>
      <s:c r="B5085" s="121" t="n"/>
      <s:c r="C5085" s="121" t="n"/>
      <s:c r="D5085" s="121" t="n"/>
      <s:c r="E5085" s="122" t="n"/>
    </s:row>
    <s:row r="5086" hidden="1" ht="1" customHeight="1">
      <s:c r="A5086" s="120" t="inlineStr"/>
      <s:c r="B5086" s="121" t="n"/>
      <s:c r="C5086" s="121" t="n"/>
      <s:c r="D5086" s="121" t="n"/>
      <s:c r="E5086" s="122" t="n"/>
    </s:row>
    <s:row r="5087" hidden="1" ht="1" customHeight="1">
      <s:c r="A5087" s="120" t="inlineStr"/>
      <s:c r="B5087" s="121" t="n"/>
      <s:c r="C5087" s="121" t="n"/>
      <s:c r="D5087" s="121" t="n"/>
      <s:c r="E5087" s="122" t="n"/>
    </s:row>
    <s:row r="5088" hidden="1" ht="1" customHeight="1">
      <s:c r="A5088" s="120" t="inlineStr"/>
      <s:c r="B5088" s="121" t="n"/>
      <s:c r="C5088" s="121" t="n"/>
      <s:c r="D5088" s="121" t="n"/>
      <s:c r="E5088" s="122" t="n"/>
    </s:row>
    <s:row r="5089" hidden="1" ht="1" customHeight="1">
      <s:c r="A5089" s="120" t="inlineStr"/>
      <s:c r="B5089" s="121" t="n"/>
      <s:c r="C5089" s="121" t="n"/>
      <s:c r="D5089" s="121" t="n"/>
      <s:c r="E5089" s="122" t="n"/>
    </s:row>
    <s:row r="5090" hidden="1" ht="1" customHeight="1">
      <s:c r="A5090" s="120" t="inlineStr"/>
      <s:c r="B5090" s="121" t="n"/>
      <s:c r="C5090" s="121" t="n"/>
      <s:c r="D5090" s="121" t="n"/>
      <s:c r="E5090" s="122" t="n"/>
    </s:row>
    <s:row r="5091" hidden="1" ht="1" customHeight="1">
      <s:c r="A5091" s="120" t="inlineStr"/>
      <s:c r="B5091" s="121" t="n"/>
      <s:c r="C5091" s="121" t="n"/>
      <s:c r="D5091" s="121" t="n"/>
      <s:c r="E5091" s="122" t="n"/>
    </s:row>
    <s:row r="5092" hidden="1" ht="1" customHeight="1">
      <s:c r="A5092" s="120" t="inlineStr"/>
      <s:c r="B5092" s="121" t="n"/>
      <s:c r="C5092" s="121" t="n"/>
      <s:c r="D5092" s="121" t="n"/>
      <s:c r="E5092" s="122" t="n"/>
    </s:row>
    <s:row r="5093" hidden="1" ht="1" customHeight="1">
      <s:c r="A5093" s="120" t="inlineStr"/>
      <s:c r="B5093" s="121" t="n"/>
      <s:c r="C5093" s="121" t="n"/>
      <s:c r="D5093" s="121" t="n"/>
      <s:c r="E5093" s="122" t="n"/>
    </s:row>
    <s:row r="5094" hidden="1" ht="1" customHeight="1">
      <s:c r="A5094" s="120" t="inlineStr"/>
      <s:c r="B5094" s="121" t="n"/>
      <s:c r="C5094" s="121" t="n"/>
      <s:c r="D5094" s="121" t="n"/>
      <s:c r="E5094" s="122" t="n"/>
    </s:row>
    <s:row r="5095" hidden="1" ht="1" customHeight="1">
      <s:c r="A5095" s="120" t="inlineStr"/>
      <s:c r="B5095" s="121" t="n"/>
      <s:c r="C5095" s="121" t="n"/>
      <s:c r="D5095" s="121" t="n"/>
      <s:c r="E5095" s="122" t="n"/>
    </s:row>
    <s:row r="5096" hidden="1" ht="1" customHeight="1">
      <s:c r="A5096" s="120" t="inlineStr"/>
      <s:c r="B5096" s="121" t="n"/>
      <s:c r="C5096" s="121" t="n"/>
      <s:c r="D5096" s="121" t="n"/>
      <s:c r="E5096" s="122" t="n"/>
    </s:row>
    <s:row r="5097" hidden="1" ht="1" customHeight="1">
      <s:c r="A5097" s="120" t="inlineStr"/>
      <s:c r="B5097" s="121" t="n"/>
      <s:c r="C5097" s="121" t="n"/>
      <s:c r="D5097" s="121" t="n"/>
      <s:c r="E5097" s="122" t="n"/>
    </s:row>
    <s:row r="5098" hidden="1" ht="1" customHeight="1">
      <s:c r="A5098" s="120" t="inlineStr"/>
      <s:c r="B5098" s="121" t="n"/>
      <s:c r="C5098" s="121" t="n"/>
      <s:c r="D5098" s="121" t="n"/>
      <s:c r="E5098" s="122" t="n"/>
    </s:row>
    <s:row r="5099" hidden="1" ht="1" customHeight="1">
      <s:c r="A5099" s="120" t="inlineStr"/>
      <s:c r="B5099" s="121" t="n"/>
      <s:c r="C5099" s="121" t="n"/>
      <s:c r="D5099" s="121" t="n"/>
      <s:c r="E5099" s="122" t="n"/>
    </s:row>
    <s:row r="5100" hidden="1" ht="1" customHeight="1">
      <s:c r="A5100" s="120" t="inlineStr"/>
      <s:c r="B5100" s="121" t="n"/>
      <s:c r="C5100" s="121" t="n"/>
      <s:c r="D5100" s="121" t="n"/>
      <s:c r="E5100" s="122" t="n"/>
    </s:row>
    <s:row r="5101" hidden="1" ht="1" customHeight="1">
      <s:c r="A5101" s="120" t="inlineStr"/>
      <s:c r="B5101" s="121" t="n"/>
      <s:c r="C5101" s="121" t="n"/>
      <s:c r="D5101" s="121" t="n"/>
      <s:c r="E5101" s="122" t="n"/>
    </s:row>
    <s:row r="5102" hidden="1" ht="1" customHeight="1">
      <s:c r="A5102" s="120" t="inlineStr"/>
      <s:c r="B5102" s="121" t="n"/>
      <s:c r="C5102" s="121" t="n"/>
      <s:c r="D5102" s="121" t="n"/>
      <s:c r="E5102" s="122" t="n"/>
    </s:row>
    <s:row r="5103" hidden="1" ht="1" customHeight="1">
      <s:c r="A5103" s="120" t="inlineStr"/>
      <s:c r="B5103" s="121" t="n"/>
      <s:c r="C5103" s="121" t="n"/>
      <s:c r="D5103" s="121" t="n"/>
      <s:c r="E5103" s="122" t="n"/>
    </s:row>
    <s:row r="5104" hidden="1" ht="1" customHeight="1">
      <s:c r="A5104" s="120" t="inlineStr"/>
      <s:c r="B5104" s="121" t="n"/>
      <s:c r="C5104" s="121" t="n"/>
      <s:c r="D5104" s="121" t="n"/>
      <s:c r="E5104" s="122" t="n"/>
    </s:row>
    <s:row r="5105" hidden="1" ht="1" customHeight="1">
      <s:c r="A5105" s="120" t="inlineStr"/>
      <s:c r="B5105" s="121" t="n"/>
      <s:c r="C5105" s="121" t="n"/>
      <s:c r="D5105" s="121" t="n"/>
      <s:c r="E5105" s="122" t="n"/>
    </s:row>
    <s:row r="5106" hidden="1" ht="1" customHeight="1">
      <s:c r="A5106" s="120" t="inlineStr"/>
      <s:c r="B5106" s="121" t="n"/>
      <s:c r="C5106" s="121" t="n"/>
      <s:c r="D5106" s="121" t="n"/>
      <s:c r="E5106" s="122" t="n"/>
    </s:row>
    <s:row r="5107" hidden="1" ht="1" customHeight="1">
      <s:c r="A5107" s="120" t="inlineStr"/>
      <s:c r="B5107" s="121" t="n"/>
      <s:c r="C5107" s="121" t="n"/>
      <s:c r="D5107" s="121" t="n"/>
      <s:c r="E5107" s="122" t="n"/>
    </s:row>
    <s:row r="5108" hidden="1" ht="1" customHeight="1">
      <s:c r="A5108" s="120" t="inlineStr"/>
      <s:c r="B5108" s="121" t="n"/>
      <s:c r="C5108" s="121" t="n"/>
      <s:c r="D5108" s="121" t="n"/>
      <s:c r="E5108" s="122" t="n"/>
    </s:row>
    <s:row r="5109" hidden="1" ht="1" customHeight="1">
      <s:c r="A5109" s="120" t="inlineStr"/>
      <s:c r="B5109" s="121" t="n"/>
      <s:c r="C5109" s="121" t="n"/>
      <s:c r="D5109" s="121" t="n"/>
      <s:c r="E5109" s="122" t="n"/>
    </s:row>
    <s:row r="5110" hidden="1" ht="1" customHeight="1">
      <s:c r="A5110" s="120" t="inlineStr"/>
      <s:c r="B5110" s="121" t="n"/>
      <s:c r="C5110" s="121" t="n"/>
      <s:c r="D5110" s="121" t="n"/>
      <s:c r="E5110" s="122" t="n"/>
    </s:row>
    <s:row r="5111" hidden="1" ht="1" customHeight="1">
      <s:c r="A5111" s="120" t="inlineStr"/>
      <s:c r="B5111" s="121" t="n"/>
      <s:c r="C5111" s="121" t="n"/>
      <s:c r="D5111" s="121" t="n"/>
      <s:c r="E5111" s="122" t="n"/>
    </s:row>
    <s:row r="5112" hidden="1" ht="1" customHeight="1">
      <s:c r="A5112" s="120" t="inlineStr"/>
      <s:c r="B5112" s="121" t="n"/>
      <s:c r="C5112" s="121" t="n"/>
      <s:c r="D5112" s="121" t="n"/>
      <s:c r="E5112" s="122" t="n"/>
    </s:row>
    <s:row r="5113" hidden="1" ht="1" customHeight="1">
      <s:c r="A5113" s="120" t="inlineStr"/>
      <s:c r="B5113" s="121" t="n"/>
      <s:c r="C5113" s="121" t="n"/>
      <s:c r="D5113" s="121" t="n"/>
      <s:c r="E5113" s="122" t="n"/>
    </s:row>
    <s:row r="5114" hidden="1" ht="1" customHeight="1">
      <s:c r="A5114" s="120" t="inlineStr"/>
      <s:c r="B5114" s="121" t="n"/>
      <s:c r="C5114" s="121" t="n"/>
      <s:c r="D5114" s="121" t="n"/>
      <s:c r="E5114" s="122" t="n"/>
    </s:row>
    <s:row r="5115" hidden="1" ht="1" customHeight="1">
      <s:c r="A5115" s="120" t="inlineStr"/>
      <s:c r="B5115" s="121" t="n"/>
      <s:c r="C5115" s="121" t="n"/>
      <s:c r="D5115" s="121" t="n"/>
      <s:c r="E5115" s="122" t="n"/>
    </s:row>
    <s:row r="5116" hidden="1" ht="1" customHeight="1">
      <s:c r="A5116" s="120" t="inlineStr"/>
      <s:c r="B5116" s="121" t="n"/>
      <s:c r="C5116" s="121" t="n"/>
      <s:c r="D5116" s="121" t="n"/>
      <s:c r="E5116" s="122" t="n"/>
    </s:row>
    <s:row r="5117" hidden="1" ht="1" customHeight="1">
      <s:c r="A5117" s="120" t="inlineStr"/>
      <s:c r="B5117" s="121" t="n"/>
      <s:c r="C5117" s="121" t="n"/>
      <s:c r="D5117" s="121" t="n"/>
      <s:c r="E5117" s="122" t="n"/>
    </s:row>
    <s:row r="5118" hidden="1" ht="1" customHeight="1">
      <s:c r="A5118" s="120" t="inlineStr"/>
      <s:c r="B5118" s="121" t="n"/>
      <s:c r="C5118" s="121" t="n"/>
      <s:c r="D5118" s="121" t="n"/>
      <s:c r="E5118" s="122" t="n"/>
    </s:row>
    <s:row r="5119" hidden="1" ht="1" customHeight="1">
      <s:c r="A5119" s="120" t="inlineStr"/>
      <s:c r="B5119" s="121" t="n"/>
      <s:c r="C5119" s="121" t="n"/>
      <s:c r="D5119" s="121" t="n"/>
      <s:c r="E5119" s="122" t="n"/>
    </s:row>
    <s:row r="5120" hidden="1" ht="1" customHeight="1">
      <s:c r="A5120" s="120" t="inlineStr"/>
      <s:c r="B5120" s="121" t="n"/>
      <s:c r="C5120" s="121" t="n"/>
      <s:c r="D5120" s="121" t="n"/>
      <s:c r="E5120" s="122" t="n"/>
    </s:row>
    <s:row r="5121" hidden="1" ht="1" customHeight="1">
      <s:c r="A5121" s="120" t="inlineStr"/>
      <s:c r="B5121" s="121" t="n"/>
      <s:c r="C5121" s="121" t="n"/>
      <s:c r="D5121" s="121" t="n"/>
      <s:c r="E5121" s="122" t="n"/>
    </s:row>
    <s:row r="5122" hidden="1" ht="1" customHeight="1">
      <s:c r="A5122" s="120" t="inlineStr"/>
      <s:c r="B5122" s="121" t="n"/>
      <s:c r="C5122" s="121" t="n"/>
      <s:c r="D5122" s="121" t="n"/>
      <s:c r="E5122" s="122" t="n"/>
    </s:row>
    <s:row r="5123" hidden="1" ht="1" customHeight="1">
      <s:c r="A5123" s="120" t="inlineStr"/>
      <s:c r="B5123" s="121" t="n"/>
      <s:c r="C5123" s="121" t="n"/>
      <s:c r="D5123" s="121" t="n"/>
      <s:c r="E5123" s="122" t="n"/>
    </s:row>
    <s:row r="5124" hidden="1" ht="1" customHeight="1">
      <s:c r="A5124" s="120" t="inlineStr"/>
      <s:c r="B5124" s="121" t="n"/>
      <s:c r="C5124" s="121" t="n"/>
      <s:c r="D5124" s="121" t="n"/>
      <s:c r="E5124" s="122" t="n"/>
    </s:row>
    <s:row r="5125" hidden="1" ht="1" customHeight="1">
      <s:c r="A5125" s="120" t="inlineStr"/>
      <s:c r="B5125" s="121" t="n"/>
      <s:c r="C5125" s="121" t="n"/>
      <s:c r="D5125" s="121" t="n"/>
      <s:c r="E5125" s="122" t="n"/>
    </s:row>
    <s:row r="5126" hidden="1" ht="1" customHeight="1">
      <s:c r="A5126" s="120" t="inlineStr"/>
      <s:c r="B5126" s="121" t="n"/>
      <s:c r="C5126" s="121" t="n"/>
      <s:c r="D5126" s="121" t="n"/>
      <s:c r="E5126" s="122" t="n"/>
    </s:row>
    <s:row r="5127" hidden="1" ht="1" customHeight="1">
      <s:c r="A5127" s="120" t="inlineStr"/>
      <s:c r="B5127" s="121" t="n"/>
      <s:c r="C5127" s="121" t="n"/>
      <s:c r="D5127" s="121" t="n"/>
      <s:c r="E5127" s="122" t="n"/>
    </s:row>
    <s:row r="5128" hidden="1" ht="1" customHeight="1">
      <s:c r="A5128" s="120" t="inlineStr"/>
      <s:c r="B5128" s="121" t="n"/>
      <s:c r="C5128" s="121" t="n"/>
      <s:c r="D5128" s="121" t="n"/>
      <s:c r="E5128" s="122" t="n"/>
    </s:row>
    <s:row r="5129" hidden="1" ht="1" customHeight="1">
      <s:c r="A5129" s="120" t="inlineStr"/>
      <s:c r="B5129" s="121" t="n"/>
      <s:c r="C5129" s="121" t="n"/>
      <s:c r="D5129" s="121" t="n"/>
      <s:c r="E5129" s="122" t="n"/>
    </s:row>
    <s:row r="5130" hidden="1" ht="1" customHeight="1">
      <s:c r="A5130" s="120" t="inlineStr"/>
      <s:c r="B5130" s="121" t="n"/>
      <s:c r="C5130" s="121" t="n"/>
      <s:c r="D5130" s="121" t="n"/>
      <s:c r="E5130" s="122" t="n"/>
    </s:row>
    <s:row r="5131" hidden="1" ht="1" customHeight="1">
      <s:c r="A5131" s="120" t="inlineStr"/>
      <s:c r="B5131" s="121" t="n"/>
      <s:c r="C5131" s="121" t="n"/>
      <s:c r="D5131" s="121" t="n"/>
      <s:c r="E5131" s="122" t="n"/>
    </s:row>
    <s:row r="5132" hidden="1" ht="1" customHeight="1">
      <s:c r="A5132" s="120" t="inlineStr"/>
      <s:c r="B5132" s="121" t="n"/>
      <s:c r="C5132" s="121" t="n"/>
      <s:c r="D5132" s="121" t="n"/>
      <s:c r="E5132" s="122" t="n"/>
    </s:row>
    <s:row r="5133" hidden="1" ht="1" customHeight="1">
      <s:c r="A5133" s="120" t="inlineStr"/>
      <s:c r="B5133" s="121" t="n"/>
      <s:c r="C5133" s="121" t="n"/>
      <s:c r="D5133" s="121" t="n"/>
      <s:c r="E5133" s="122" t="n"/>
    </s:row>
    <s:row r="5134" hidden="1" ht="1" customHeight="1">
      <s:c r="A5134" s="120" t="inlineStr"/>
      <s:c r="B5134" s="121" t="n"/>
      <s:c r="C5134" s="121" t="n"/>
      <s:c r="D5134" s="121" t="n"/>
      <s:c r="E5134" s="122" t="n"/>
    </s:row>
    <s:row r="5135" hidden="1" ht="1" customHeight="1">
      <s:c r="A5135" s="120" t="inlineStr"/>
      <s:c r="B5135" s="121" t="n"/>
      <s:c r="C5135" s="121" t="n"/>
      <s:c r="D5135" s="121" t="n"/>
      <s:c r="E5135" s="122" t="n"/>
    </s:row>
    <s:row r="5136" hidden="1" ht="1" customHeight="1">
      <s:c r="A5136" s="120" t="inlineStr"/>
      <s:c r="B5136" s="121" t="n"/>
      <s:c r="C5136" s="121" t="n"/>
      <s:c r="D5136" s="121" t="n"/>
      <s:c r="E5136" s="122" t="n"/>
    </s:row>
    <s:row r="5137" hidden="1" ht="1" customHeight="1">
      <s:c r="A5137" s="120" t="inlineStr"/>
      <s:c r="B5137" s="121" t="n"/>
      <s:c r="C5137" s="121" t="n"/>
      <s:c r="D5137" s="121" t="n"/>
      <s:c r="E5137" s="122" t="n"/>
    </s:row>
    <s:row r="5138" hidden="1" ht="1" customHeight="1">
      <s:c r="A5138" s="120" t="inlineStr"/>
      <s:c r="B5138" s="121" t="n"/>
      <s:c r="C5138" s="121" t="n"/>
      <s:c r="D5138" s="121" t="n"/>
      <s:c r="E5138" s="122" t="n"/>
    </s:row>
    <s:row r="5139" hidden="1" ht="1" customHeight="1">
      <s:c r="A5139" s="120" t="inlineStr"/>
      <s:c r="B5139" s="121" t="n"/>
      <s:c r="C5139" s="121" t="n"/>
      <s:c r="D5139" s="121" t="n"/>
      <s:c r="E5139" s="122" t="n"/>
    </s:row>
    <s:row r="5140" hidden="1" ht="1" customHeight="1">
      <s:c r="A5140" s="120" t="inlineStr"/>
      <s:c r="B5140" s="121" t="n"/>
      <s:c r="C5140" s="121" t="n"/>
      <s:c r="D5140" s="121" t="n"/>
      <s:c r="E5140" s="122" t="n"/>
    </s:row>
    <s:row r="5141" hidden="1" ht="1" customHeight="1">
      <s:c r="A5141" s="120" t="inlineStr"/>
      <s:c r="B5141" s="121" t="n"/>
      <s:c r="C5141" s="121" t="n"/>
      <s:c r="D5141" s="121" t="n"/>
      <s:c r="E5141" s="122" t="n"/>
    </s:row>
    <s:row r="5142" hidden="1" ht="1" customHeight="1">
      <s:c r="A5142" s="120" t="inlineStr"/>
      <s:c r="B5142" s="121" t="n"/>
      <s:c r="C5142" s="121" t="n"/>
      <s:c r="D5142" s="121" t="n"/>
      <s:c r="E5142" s="122" t="n"/>
    </s:row>
    <s:row r="5143" hidden="1" ht="1" customHeight="1">
      <s:c r="A5143" s="120" t="inlineStr"/>
      <s:c r="B5143" s="121" t="n"/>
      <s:c r="C5143" s="121" t="n"/>
      <s:c r="D5143" s="121" t="n"/>
      <s:c r="E5143" s="122" t="n"/>
    </s:row>
    <s:row r="5144" hidden="1" ht="1" customHeight="1">
      <s:c r="A5144" s="120" t="inlineStr"/>
      <s:c r="B5144" s="121" t="n"/>
      <s:c r="C5144" s="121" t="n"/>
      <s:c r="D5144" s="121" t="n"/>
      <s:c r="E5144" s="122" t="n"/>
    </s:row>
    <s:row r="5145" hidden="1" ht="1" customHeight="1">
      <s:c r="A5145" s="120" t="inlineStr"/>
      <s:c r="B5145" s="121" t="n"/>
      <s:c r="C5145" s="121" t="n"/>
      <s:c r="D5145" s="121" t="n"/>
      <s:c r="E5145" s="122" t="n"/>
    </s:row>
    <s:row r="5146" hidden="1" ht="1" customHeight="1">
      <s:c r="A5146" s="120" t="inlineStr"/>
      <s:c r="B5146" s="121" t="n"/>
      <s:c r="C5146" s="121" t="n"/>
      <s:c r="D5146" s="121" t="n"/>
      <s:c r="E5146" s="122" t="n"/>
    </s:row>
    <s:row r="5147" hidden="1" ht="1" customHeight="1">
      <s:c r="A5147" s="120" t="inlineStr"/>
      <s:c r="B5147" s="121" t="n"/>
      <s:c r="C5147" s="121" t="n"/>
      <s:c r="D5147" s="121" t="n"/>
      <s:c r="E5147" s="122" t="n"/>
    </s:row>
    <s:row r="5148" hidden="1" ht="1" customHeight="1">
      <s:c r="A5148" s="120" t="inlineStr"/>
      <s:c r="B5148" s="121" t="n"/>
      <s:c r="C5148" s="121" t="n"/>
      <s:c r="D5148" s="121" t="n"/>
      <s:c r="E5148" s="122" t="n"/>
    </s:row>
    <s:row r="5149" hidden="1" ht="1" customHeight="1">
      <s:c r="A5149" s="120" t="inlineStr"/>
      <s:c r="B5149" s="121" t="n"/>
      <s:c r="C5149" s="121" t="n"/>
      <s:c r="D5149" s="121" t="n"/>
      <s:c r="E5149" s="122" t="n"/>
    </s:row>
    <s:row r="5150" hidden="1" ht="1" customHeight="1">
      <s:c r="A5150" s="120" t="inlineStr"/>
      <s:c r="B5150" s="121" t="n"/>
      <s:c r="C5150" s="121" t="n"/>
      <s:c r="D5150" s="121" t="n"/>
      <s:c r="E5150" s="122" t="n"/>
    </s:row>
    <s:row r="5151" hidden="1" ht="1" customHeight="1">
      <s:c r="A5151" s="120" t="inlineStr"/>
      <s:c r="B5151" s="121" t="n"/>
      <s:c r="C5151" s="121" t="n"/>
      <s:c r="D5151" s="121" t="n"/>
      <s:c r="E5151" s="122" t="n"/>
    </s:row>
    <s:row r="5152" hidden="1" ht="1" customHeight="1">
      <s:c r="A5152" s="120" t="inlineStr"/>
      <s:c r="B5152" s="121" t="n"/>
      <s:c r="C5152" s="121" t="n"/>
      <s:c r="D5152" s="121" t="n"/>
      <s:c r="E5152" s="122" t="n"/>
    </s:row>
    <s:row r="5153" hidden="1" ht="1" customHeight="1">
      <s:c r="A5153" s="120" t="inlineStr"/>
      <s:c r="B5153" s="121" t="n"/>
      <s:c r="C5153" s="121" t="n"/>
      <s:c r="D5153" s="121" t="n"/>
      <s:c r="E5153" s="122" t="n"/>
    </s:row>
    <s:row r="5154" hidden="1" ht="1" customHeight="1">
      <s:c r="A5154" s="120" t="inlineStr"/>
      <s:c r="B5154" s="121" t="n"/>
      <s:c r="C5154" s="121" t="n"/>
      <s:c r="D5154" s="121" t="n"/>
      <s:c r="E5154" s="122" t="n"/>
    </s:row>
    <s:row r="5155" hidden="1" ht="1" customHeight="1">
      <s:c r="A5155" s="120" t="inlineStr"/>
      <s:c r="B5155" s="121" t="n"/>
      <s:c r="C5155" s="121" t="n"/>
      <s:c r="D5155" s="121" t="n"/>
      <s:c r="E5155" s="122" t="n"/>
    </s:row>
    <s:row r="5156" hidden="1" ht="1" customHeight="1">
      <s:c r="A5156" s="120" t="inlineStr"/>
      <s:c r="B5156" s="121" t="n"/>
      <s:c r="C5156" s="121" t="n"/>
      <s:c r="D5156" s="121" t="n"/>
      <s:c r="E5156" s="122" t="n"/>
    </s:row>
    <s:row r="5157" hidden="1" ht="1" customHeight="1">
      <s:c r="A5157" s="120" t="inlineStr"/>
      <s:c r="B5157" s="121" t="n"/>
      <s:c r="C5157" s="121" t="n"/>
      <s:c r="D5157" s="121" t="n"/>
      <s:c r="E5157" s="122" t="n"/>
    </s:row>
    <s:row r="5158" hidden="1" ht="1" customHeight="1">
      <s:c r="A5158" s="120" t="inlineStr"/>
      <s:c r="B5158" s="121" t="n"/>
      <s:c r="C5158" s="121" t="n"/>
      <s:c r="D5158" s="121" t="n"/>
      <s:c r="E5158" s="122" t="n"/>
    </s:row>
    <s:row r="5159" hidden="1" ht="1" customHeight="1">
      <s:c r="A5159" s="120" t="inlineStr"/>
      <s:c r="B5159" s="121" t="n"/>
      <s:c r="C5159" s="121" t="n"/>
      <s:c r="D5159" s="121" t="n"/>
      <s:c r="E5159" s="122" t="n"/>
    </s:row>
    <s:row r="5160" hidden="1" ht="1" customHeight="1">
      <s:c r="A5160" s="120" t="inlineStr"/>
      <s:c r="B5160" s="121" t="n"/>
      <s:c r="C5160" s="121" t="n"/>
      <s:c r="D5160" s="121" t="n"/>
      <s:c r="E5160" s="122" t="n"/>
    </s:row>
    <s:row r="5161" hidden="1" ht="1" customHeight="1">
      <s:c r="A5161" s="120" t="inlineStr"/>
      <s:c r="B5161" s="121" t="n"/>
      <s:c r="C5161" s="121" t="n"/>
      <s:c r="D5161" s="121" t="n"/>
      <s:c r="E5161" s="122" t="n"/>
    </s:row>
    <s:row r="5162" hidden="1" ht="1" customHeight="1">
      <s:c r="A5162" s="120" t="inlineStr"/>
      <s:c r="B5162" s="121" t="n"/>
      <s:c r="C5162" s="121" t="n"/>
      <s:c r="D5162" s="121" t="n"/>
      <s:c r="E5162" s="122" t="n"/>
    </s:row>
    <s:row r="5163" hidden="1" ht="1" customHeight="1">
      <s:c r="A5163" s="120" t="inlineStr"/>
      <s:c r="B5163" s="121" t="n"/>
      <s:c r="C5163" s="121" t="n"/>
      <s:c r="D5163" s="121" t="n"/>
      <s:c r="E5163" s="122" t="n"/>
    </s:row>
    <s:row r="5164" hidden="1" ht="1" customHeight="1">
      <s:c r="A5164" s="120" t="inlineStr"/>
      <s:c r="B5164" s="121" t="n"/>
      <s:c r="C5164" s="121" t="n"/>
      <s:c r="D5164" s="121" t="n"/>
      <s:c r="E5164" s="122" t="n"/>
    </s:row>
    <s:row r="5165" hidden="1" ht="1" customHeight="1">
      <s:c r="A5165" s="120" t="inlineStr"/>
      <s:c r="B5165" s="121" t="n"/>
      <s:c r="C5165" s="121" t="n"/>
      <s:c r="D5165" s="121" t="n"/>
      <s:c r="E5165" s="122" t="n"/>
    </s:row>
    <s:row r="5166" hidden="1" ht="1" customHeight="1">
      <s:c r="A5166" s="120" t="inlineStr"/>
      <s:c r="B5166" s="121" t="n"/>
      <s:c r="C5166" s="121" t="n"/>
      <s:c r="D5166" s="121" t="n"/>
      <s:c r="E5166" s="122" t="n"/>
    </s:row>
    <s:row r="5167" hidden="1" ht="1" customHeight="1">
      <s:c r="A5167" s="120" t="inlineStr"/>
      <s:c r="B5167" s="121" t="n"/>
      <s:c r="C5167" s="121" t="n"/>
      <s:c r="D5167" s="121" t="n"/>
      <s:c r="E5167" s="122" t="n"/>
    </s:row>
    <s:row r="5168" hidden="1" ht="1" customHeight="1">
      <s:c r="A5168" s="120" t="inlineStr"/>
      <s:c r="B5168" s="121" t="n"/>
      <s:c r="C5168" s="121" t="n"/>
      <s:c r="D5168" s="121" t="n"/>
      <s:c r="E5168" s="122" t="n"/>
    </s:row>
    <s:row r="5169" hidden="1" ht="1" customHeight="1">
      <s:c r="A5169" s="120" t="inlineStr"/>
      <s:c r="B5169" s="121" t="n"/>
      <s:c r="C5169" s="121" t="n"/>
      <s:c r="D5169" s="121" t="n"/>
      <s:c r="E5169" s="122" t="n"/>
    </s:row>
    <s:row r="5170" hidden="1" ht="1" customHeight="1">
      <s:c r="A5170" s="120" t="inlineStr"/>
      <s:c r="B5170" s="121" t="n"/>
      <s:c r="C5170" s="121" t="n"/>
      <s:c r="D5170" s="121" t="n"/>
      <s:c r="E5170" s="122" t="n"/>
    </s:row>
    <s:row r="5171" hidden="1" ht="1" customHeight="1">
      <s:c r="A5171" s="83" t="inlineStr">
        <s:is>
          <s:t>PASS</s:t>
        </s:is>
      </s:c>
      <s:c r="B5171" s="83">
        <s:f>SUM(IF(EXACT('Kiểm thử'!E5021,"Đạt"),1,0),IF(EXACT('Kiểm thử'!E5023,"Đạt"),1,0),IF(EXACT('Kiểm thử'!E5025,"Đạt"),1,0))</s:f>
        <s:v/>
      </s:c>
      <s:c r="C5171" s="19" t="n"/>
      <s:c r="D5171" s="19" t="n"/>
      <s:c r="E5171" s="19" t="n"/>
    </s:row>
    <s:row r="5172" hidden="1" ht="1" customHeight="1">
      <s:c r="A5172" s="83" t="inlineStr">
        <s:is>
          <s:t>FAIL</s:t>
        </s:is>
      </s:c>
      <s:c r="B5172" s="83">
        <s:f>SUM(IF(EXACT('Kiểm thử'!E5021,"Không đạt"),1,0),IF(EXACT('Kiểm thử'!E5023,"Không đạt"),1,0),IF(EXACT('Kiểm thử'!E5025,"Không đạt"),1,0))</s:f>
        <s:v/>
      </s:c>
      <s:c r="C5172" s="19" t="n"/>
      <s:c r="D5172" s="19" t="n"/>
      <s:c r="E5172" s="19" t="n"/>
    </s:row>
    <s:row r="5173" hidden="1" ht="1" customHeight="1">
      <s:c r="A5173" s="83" t="inlineStr">
        <s:is>
          <s:t>BLOCKED</s:t>
        </s:is>
      </s:c>
      <s:c r="B5173" s="83">
        <s:f>SUM(IF(EXACT('Kiểm thử'!E5021,"Bị chặn"),1,0),IF(EXACT('Kiểm thử'!E5023,"Bị chặn"),1,0),IF(EXACT('Kiểm thử'!E5025,"Bị chặn"),1,0))</s:f>
        <s:v/>
      </s:c>
      <s:c r="C5173" s="19" t="n"/>
      <s:c r="D5173" s="19" t="n"/>
      <s:c r="E5173" s="19" t="n"/>
    </s:row>
    <s:row r="5174" hidden="1" ht="1" customHeight="1">
      <s:c r="A5174" s="83" t="inlineStr">
        <s:is>
          <s:t>SKIPPED</s:t>
        </s:is>
      </s:c>
      <s:c r="B5174" s="83">
        <s:f>SUM(IF(EXACT('Kiểm thử'!E5021,"Không thực hiện"),1,0),IF(EXACT('Kiểm thử'!E5023,"Không thực hiện"),1,0),IF(EXACT('Kiểm thử'!E5025,"Không thực hiện"),1,0))</s:f>
        <s:v/>
      </s:c>
      <s:c r="C5174" s="19" t="n"/>
      <s:c r="D5174" s="19" t="n"/>
      <s:c r="E5174" s="19" t="n"/>
    </s:row>
    <s:row r="5175" hidden="1" ht="1" customHeight="1">
      <s:c r="A5175" s="83" t="inlineStr">
        <s:is>
          <s:t>NOT RUN</s:t>
        </s:is>
      </s:c>
      <s:c r="B5175" s="83">
        <s:f>SUM(IF(EXACT('Kiểm thử'!E5021,"Chưa thực hiện"),1,0),IF(EXACT('Kiểm thử'!E5023,"Chưa thực hiện"),1,0),IF(EXACT('Kiểm thử'!E5025,"Chưa thực hiện"),1,0))</s:f>
        <s:v/>
      </s:c>
      <s:c r="C5175" s="19" t="n"/>
      <s:c r="D5175" s="19" t="n"/>
      <s:c r="E5175" s="19" t="n"/>
    </s:row>
    <s:row r="5176" hidden="1" ht="6" customHeight="1">
      <s:c r="A5176" s="83" t="inlineStr"/>
      <s:c r="B5176" s="19" t="n"/>
      <s:c r="C5176" s="19" t="n"/>
      <s:c r="D5176" s="19" t="n"/>
      <s:c r="E5176" s="19" t="n"/>
    </s:row>
    <s:row r="5177" ht="28" customHeight="1">
      <s:c r="A5177" s="108" t="inlineStr">
        <s:is>
          <s:t>TC-RS-VAL-003 — Mở rộng phạm vi sau khi lưu: kiểm lại ngưỡng cố định với M của đối tượng mới</s:t>
        </s:is>
      </s:c>
      <s:c r="B5177" s="111" t="n"/>
      <s:c r="C5177" s="111" t="n"/>
      <s:c r="D5177" s="111" t="n"/>
      <s:c r="E5177" s="111" t="n"/>
    </s:row>
    <s:row r="5178" ht="20" customHeight="1">
      <s:c r="A5178" s="112" t="inlineStr">
        <s:is>
          <s:t>Kết quả tình huống</s:t>
        </s:is>
      </s:c>
      <s:c r="B5178" s="113">
        <s:f>IF(SUM(IF(EXACT('Kiểm thử'!E5185,"Không đạt"),1,0))&gt;0,"Không đạt",IF(SUM(IF(EXACT('Kiểm thử'!E5185,"Đạt"),1,0))=1,"Đạt",IF(SUM(IF(EXACT('Kiểm thử'!E5185,"Không thực hiện"),1,0))=1,"Không thực hiện",IF(SUM(IF(EXACT('Kiểm thử'!E5185,"Bị chặn"),1,0))&gt;0,"Bị chặn",IF(SUM(IF(EXACT('Kiểm thử'!E5185,"Chưa thực hiện"),1,0))=1,"Chưa thực hiện","Đang thực hiện")))))</s:f>
        <s:v/>
      </s:c>
      <s:c r="C5178" s="114" t="n"/>
      <s:c r="D5178" s="114" t="n"/>
      <s:c r="E5178" s="114" t="n"/>
    </s:row>
    <s:row r="5179" ht="20" customHeight="1">
      <s:c r="A5179" s="112" t="inlineStr">
        <s:is>
          <s:t>Màn hình / chức năng</s:t>
        </s:is>
      </s:c>
      <s:c r="B5179" s="113" t="inlineStr">
        <s:is>
          <s:r>
            <s:rPr>
              <s:b val="1"/>
            </s:rPr>
            <s:t>Thiết lập ngưỡng（基準設定）</s:t>
          </s:r>
        </s:is>
      </s:c>
      <s:c r="C5179" s="28" t="n"/>
      <s:c r="D5179" s="28" t="n"/>
      <s:c r="E5179" s="28" t="n"/>
    </s:row>
    <s:row r="5180" ht="34" customHeight="1">
      <s:c r="A5180" s="112" t="inlineStr">
        <s:is>
          <s:t>Cấu hình</s:t>
        </s:is>
      </s:c>
      <s:c r="B5180" s="113" t="inlineStr">
        <s:is>
          <s:r>
            <s:t xml:space="preserve">• Mục có M khác nhau theo lớp (G-A </s:t>
          </s:r>
          <s:r>
            <s:rPr>
              <s:b val="1"/>
            </s:rPr>
            <s:t>M=20</s:t>
          </s:r>
          <s:r>
            <s:t xml:space="preserve">, G-B </s:t>
          </s:r>
          <s:r>
            <s:rPr>
              <s:b val="1"/>
            </s:rPr>
            <s:t>M=100</s:t>
          </s:r>
          <s:r>
            <s:t>);
• Quy tắc lọc chỉ G-B, cố định 30 đã lưu.</s:t>
          </s:r>
        </s:is>
      </s:c>
      <s:c r="C5180" s="28" t="n"/>
      <s:c r="D5180" s="28" t="n"/>
      <s:c r="E5180" s="28" t="n"/>
    </s:row>
    <s:row r="5181" ht="20" customHeight="1">
      <s:c r="A5181" s="112" t="inlineStr">
        <s:is>
          <s:t>Dữ liệu test</s:t>
        </s:is>
      </s:c>
      <s:c r="B5181" s="113" t="inlineStr">
        <s:is>
          <s:r>
            <s:t xml:space="preserve">• Mục có M khác nhau theo lớp (G-A </s:t>
          </s:r>
          <s:r>
            <s:rPr>
              <s:b val="1"/>
            </s:rPr>
            <s:t>M=20</s:t>
          </s:r>
          <s:r>
            <s:t xml:space="preserve">, G-B </s:t>
          </s:r>
          <s:r>
            <s:rPr>
              <s:b val="1"/>
            </s:rPr>
            <s:t>M=100</s:t>
          </s:r>
          <s:r>
            <s:t>)</s:t>
          </s:r>
        </s:is>
      </s:c>
      <s:c r="C5181" s="28" t="n"/>
      <s:c r="D5181" s="28" t="n"/>
      <s:c r="E5181" s="28" t="n"/>
    </s:row>
    <s:row r="5182" ht="20" customHeight="1">
      <s:c r="A5182" s="112" t="inlineStr">
        <s:is>
          <s:t>•</s:t>
        </s:is>
      </s:c>
      <s:c r="B5182" s="113" t="inlineStr">
        <s:is>
          <s:r>
            <s:t xml:space="preserve">Sửa bộ lọc thành G-A hoặc G-B (giữ </s:t>
          </s:r>
          <s:r>
            <s:rPr>
              <s:b val="1"/>
            </s:rPr>
            <s:t>N=30</s:t>
          </s:r>
          <s:r>
            <s:t>), bấm Lưu.</s:t>
          </s:r>
        </s:is>
      </s:c>
      <s:c r="C5182" s="28" t="n"/>
      <s:c r="D5182" s="28" t="n"/>
      <s:c r="E5182" s="28" t="n"/>
    </s:row>
    <s:row r="5183" ht="28" customHeight="1">
      <s:c r="A5183" s="115" t="inlineStr">
        <s:is>
          <s:t>Trường hợp</s:t>
        </s:is>
      </s:c>
      <s:c r="B5183" s="115" t="inlineStr">
        <s:is>
          <s:t>Dữ liệu / thao tác riêng</s:t>
        </s:is>
      </s:c>
      <s:c r="C5183" s="115" t="inlineStr">
        <s:is>
          <s:t>Kết quả mong đợi</s:t>
        </s:is>
      </s:c>
      <s:c r="D5183" s="115" t="inlineStr">
        <s:is>
          <s:t>Kết quả thực tế</s:t>
        </s:is>
      </s:c>
      <s:c r="E5183" s="115" t="inlineStr">
        <s:is>
          <s:t>Đánh giá</s:t>
        </s:is>
      </s:c>
    </s:row>
    <s:row r="5184" ht="3" customHeight="1">
      <s:c r="A5184" s="102" t="inlineStr"/>
      <s:c r="B5184" s="99" t="n"/>
      <s:c r="C5184" s="99" t="n"/>
      <s:c r="D5184" s="116" t="n"/>
      <s:c r="E5184" s="116" t="n"/>
    </s:row>
    <s:row r="5185" ht="62" customHeight="1">
      <s:c r="A5185" s="83" t="inlineStr">
        <s:is>
          <s:t>Trường hợp cơ bản (Base)</s:t>
        </s:is>
      </s:c>
      <s:c r="B5185" s="83" t="inlineStr">
        <s:is>
          <s:t>Toàn bộ tình huống: Thực hiện đủ các bước chung theo thứ tự; kiểm cả đối tượng đích và đối chứng cùng fixture, không bỏ bước.</s:t>
        </s:is>
      </s:c>
      <s:c r="C5185" s="83" t="inlineStr">
        <s:is>
          <s:r>
            <s:t xml:space="preserve">Không lưu được vì G-A có </s:t>
          </s:r>
          <s:r>
            <s:rPr>
              <s:b val="1"/>
            </s:rPr>
            <s:t>M=20</s:t>
          </s:r>
          <s:r>
            <s:t>; cấu hình cũ (chỉ G-B) giữ nguyên.</s:t>
          </s:r>
        </s:is>
      </s:c>
      <s:c r="D5185" s="117" t="inlineStr"/>
      <s:c r="E5185" s="118" t="inlineStr">
        <s:is>
          <s:t>Chưa thực hiện</s:t>
        </s:is>
      </s:c>
    </s:row>
    <s:row r="5186" ht="20" customHeight="1">
      <s:c r="A5186" s="119" t="inlineStr">
        <s:is>
          <s:t>Ảnh minh chứng — Chưa có ảnh</s:t>
        </s:is>
      </s:c>
      <s:c r="B5186" s="19" t="n"/>
      <s:c r="C5186" s="19" t="n"/>
      <s:c r="D5186" s="19" t="n"/>
      <s:c r="E5186" s="19" t="n"/>
    </s:row>
    <s:row r="5187" hidden="1" ht="1" customHeight="1">
      <s:c r="A5187" s="120" t="inlineStr"/>
      <s:c r="B5187" s="121" t="n"/>
      <s:c r="C5187" s="121" t="n"/>
      <s:c r="D5187" s="121" t="n"/>
      <s:c r="E5187" s="122" t="n"/>
    </s:row>
    <s:row r="5188" hidden="1" ht="1" customHeight="1">
      <s:c r="A5188" s="120" t="inlineStr"/>
      <s:c r="B5188" s="121" t="n"/>
      <s:c r="C5188" s="121" t="n"/>
      <s:c r="D5188" s="121" t="n"/>
      <s:c r="E5188" s="122" t="n"/>
    </s:row>
    <s:row r="5189" hidden="1" ht="1" customHeight="1">
      <s:c r="A5189" s="120" t="inlineStr"/>
      <s:c r="B5189" s="121" t="n"/>
      <s:c r="C5189" s="121" t="n"/>
      <s:c r="D5189" s="121" t="n"/>
      <s:c r="E5189" s="122" t="n"/>
    </s:row>
    <s:row r="5190" hidden="1" ht="1" customHeight="1">
      <s:c r="A5190" s="120" t="inlineStr"/>
      <s:c r="B5190" s="121" t="n"/>
      <s:c r="C5190" s="121" t="n"/>
      <s:c r="D5190" s="121" t="n"/>
      <s:c r="E5190" s="122" t="n"/>
    </s:row>
    <s:row r="5191" hidden="1" ht="1" customHeight="1">
      <s:c r="A5191" s="120" t="inlineStr"/>
      <s:c r="B5191" s="121" t="n"/>
      <s:c r="C5191" s="121" t="n"/>
      <s:c r="D5191" s="121" t="n"/>
      <s:c r="E5191" s="122" t="n"/>
    </s:row>
    <s:row r="5192" hidden="1" ht="1" customHeight="1">
      <s:c r="A5192" s="120" t="inlineStr"/>
      <s:c r="B5192" s="121" t="n"/>
      <s:c r="C5192" s="121" t="n"/>
      <s:c r="D5192" s="121" t="n"/>
      <s:c r="E5192" s="122" t="n"/>
    </s:row>
    <s:row r="5193" hidden="1" ht="1" customHeight="1">
      <s:c r="A5193" s="120" t="inlineStr"/>
      <s:c r="B5193" s="121" t="n"/>
      <s:c r="C5193" s="121" t="n"/>
      <s:c r="D5193" s="121" t="n"/>
      <s:c r="E5193" s="122" t="n"/>
    </s:row>
    <s:row r="5194" hidden="1" ht="1" customHeight="1">
      <s:c r="A5194" s="120" t="inlineStr"/>
      <s:c r="B5194" s="121" t="n"/>
      <s:c r="C5194" s="121" t="n"/>
      <s:c r="D5194" s="121" t="n"/>
      <s:c r="E5194" s="122" t="n"/>
    </s:row>
    <s:row r="5195" hidden="1" ht="1" customHeight="1">
      <s:c r="A5195" s="120" t="inlineStr"/>
      <s:c r="B5195" s="121" t="n"/>
      <s:c r="C5195" s="121" t="n"/>
      <s:c r="D5195" s="121" t="n"/>
      <s:c r="E5195" s="122" t="n"/>
    </s:row>
    <s:row r="5196" hidden="1" ht="1" customHeight="1">
      <s:c r="A5196" s="120" t="inlineStr"/>
      <s:c r="B5196" s="121" t="n"/>
      <s:c r="C5196" s="121" t="n"/>
      <s:c r="D5196" s="121" t="n"/>
      <s:c r="E5196" s="122" t="n"/>
    </s:row>
    <s:row r="5197" hidden="1" ht="1" customHeight="1">
      <s:c r="A5197" s="120" t="inlineStr"/>
      <s:c r="B5197" s="121" t="n"/>
      <s:c r="C5197" s="121" t="n"/>
      <s:c r="D5197" s="121" t="n"/>
      <s:c r="E5197" s="122" t="n"/>
    </s:row>
    <s:row r="5198" hidden="1" ht="1" customHeight="1">
      <s:c r="A5198" s="120" t="inlineStr"/>
      <s:c r="B5198" s="121" t="n"/>
      <s:c r="C5198" s="121" t="n"/>
      <s:c r="D5198" s="121" t="n"/>
      <s:c r="E5198" s="122" t="n"/>
    </s:row>
    <s:row r="5199" hidden="1" ht="1" customHeight="1">
      <s:c r="A5199" s="120" t="inlineStr"/>
      <s:c r="B5199" s="121" t="n"/>
      <s:c r="C5199" s="121" t="n"/>
      <s:c r="D5199" s="121" t="n"/>
      <s:c r="E5199" s="122" t="n"/>
    </s:row>
    <s:row r="5200" hidden="1" ht="1" customHeight="1">
      <s:c r="A5200" s="120" t="inlineStr"/>
      <s:c r="B5200" s="121" t="n"/>
      <s:c r="C5200" s="121" t="n"/>
      <s:c r="D5200" s="121" t="n"/>
      <s:c r="E5200" s="122" t="n"/>
    </s:row>
    <s:row r="5201" hidden="1" ht="1" customHeight="1">
      <s:c r="A5201" s="120" t="inlineStr"/>
      <s:c r="B5201" s="121" t="n"/>
      <s:c r="C5201" s="121" t="n"/>
      <s:c r="D5201" s="121" t="n"/>
      <s:c r="E5201" s="122" t="n"/>
    </s:row>
    <s:row r="5202" hidden="1" ht="1" customHeight="1">
      <s:c r="A5202" s="120" t="inlineStr"/>
      <s:c r="B5202" s="121" t="n"/>
      <s:c r="C5202" s="121" t="n"/>
      <s:c r="D5202" s="121" t="n"/>
      <s:c r="E5202" s="122" t="n"/>
    </s:row>
    <s:row r="5203" hidden="1" ht="1" customHeight="1">
      <s:c r="A5203" s="120" t="inlineStr"/>
      <s:c r="B5203" s="121" t="n"/>
      <s:c r="C5203" s="121" t="n"/>
      <s:c r="D5203" s="121" t="n"/>
      <s:c r="E5203" s="122" t="n"/>
    </s:row>
    <s:row r="5204" hidden="1" ht="1" customHeight="1">
      <s:c r="A5204" s="120" t="inlineStr"/>
      <s:c r="B5204" s="121" t="n"/>
      <s:c r="C5204" s="121" t="n"/>
      <s:c r="D5204" s="121" t="n"/>
      <s:c r="E5204" s="122" t="n"/>
    </s:row>
    <s:row r="5205" hidden="1" ht="1" customHeight="1">
      <s:c r="A5205" s="120" t="inlineStr"/>
      <s:c r="B5205" s="121" t="n"/>
      <s:c r="C5205" s="121" t="n"/>
      <s:c r="D5205" s="121" t="n"/>
      <s:c r="E5205" s="122" t="n"/>
    </s:row>
    <s:row r="5206" hidden="1" ht="1" customHeight="1">
      <s:c r="A5206" s="120" t="inlineStr"/>
      <s:c r="B5206" s="121" t="n"/>
      <s:c r="C5206" s="121" t="n"/>
      <s:c r="D5206" s="121" t="n"/>
      <s:c r="E5206" s="122" t="n"/>
    </s:row>
    <s:row r="5207" hidden="1" ht="1" customHeight="1">
      <s:c r="A5207" s="120" t="inlineStr"/>
      <s:c r="B5207" s="121" t="n"/>
      <s:c r="C5207" s="121" t="n"/>
      <s:c r="D5207" s="121" t="n"/>
      <s:c r="E5207" s="122" t="n"/>
    </s:row>
    <s:row r="5208" hidden="1" ht="1" customHeight="1">
      <s:c r="A5208" s="120" t="inlineStr"/>
      <s:c r="B5208" s="121" t="n"/>
      <s:c r="C5208" s="121" t="n"/>
      <s:c r="D5208" s="121" t="n"/>
      <s:c r="E5208" s="122" t="n"/>
    </s:row>
    <s:row r="5209" hidden="1" ht="1" customHeight="1">
      <s:c r="A5209" s="120" t="inlineStr"/>
      <s:c r="B5209" s="121" t="n"/>
      <s:c r="C5209" s="121" t="n"/>
      <s:c r="D5209" s="121" t="n"/>
      <s:c r="E5209" s="122" t="n"/>
    </s:row>
    <s:row r="5210" hidden="1" ht="1" customHeight="1">
      <s:c r="A5210" s="120" t="inlineStr"/>
      <s:c r="B5210" s="121" t="n"/>
      <s:c r="C5210" s="121" t="n"/>
      <s:c r="D5210" s="121" t="n"/>
      <s:c r="E5210" s="122" t="n"/>
    </s:row>
    <s:row r="5211" hidden="1" ht="1" customHeight="1">
      <s:c r="A5211" s="120" t="inlineStr"/>
      <s:c r="B5211" s="121" t="n"/>
      <s:c r="C5211" s="121" t="n"/>
      <s:c r="D5211" s="121" t="n"/>
      <s:c r="E5211" s="122" t="n"/>
    </s:row>
    <s:row r="5212" hidden="1" ht="1" customHeight="1">
      <s:c r="A5212" s="120" t="inlineStr"/>
      <s:c r="B5212" s="121" t="n"/>
      <s:c r="C5212" s="121" t="n"/>
      <s:c r="D5212" s="121" t="n"/>
      <s:c r="E5212" s="122" t="n"/>
    </s:row>
    <s:row r="5213" hidden="1" ht="1" customHeight="1">
      <s:c r="A5213" s="120" t="inlineStr"/>
      <s:c r="B5213" s="121" t="n"/>
      <s:c r="C5213" s="121" t="n"/>
      <s:c r="D5213" s="121" t="n"/>
      <s:c r="E5213" s="122" t="n"/>
    </s:row>
    <s:row r="5214" hidden="1" ht="1" customHeight="1">
      <s:c r="A5214" s="120" t="inlineStr"/>
      <s:c r="B5214" s="121" t="n"/>
      <s:c r="C5214" s="121" t="n"/>
      <s:c r="D5214" s="121" t="n"/>
      <s:c r="E5214" s="122" t="n"/>
    </s:row>
    <s:row r="5215" hidden="1" ht="1" customHeight="1">
      <s:c r="A5215" s="120" t="inlineStr"/>
      <s:c r="B5215" s="121" t="n"/>
      <s:c r="C5215" s="121" t="n"/>
      <s:c r="D5215" s="121" t="n"/>
      <s:c r="E5215" s="122" t="n"/>
    </s:row>
    <s:row r="5216" hidden="1" ht="1" customHeight="1">
      <s:c r="A5216" s="120" t="inlineStr"/>
      <s:c r="B5216" s="121" t="n"/>
      <s:c r="C5216" s="121" t="n"/>
      <s:c r="D5216" s="121" t="n"/>
      <s:c r="E5216" s="122" t="n"/>
    </s:row>
    <s:row r="5217" hidden="1" ht="1" customHeight="1">
      <s:c r="A5217" s="120" t="inlineStr"/>
      <s:c r="B5217" s="121" t="n"/>
      <s:c r="C5217" s="121" t="n"/>
      <s:c r="D5217" s="121" t="n"/>
      <s:c r="E5217" s="122" t="n"/>
    </s:row>
    <s:row r="5218" hidden="1" ht="1" customHeight="1">
      <s:c r="A5218" s="120" t="inlineStr"/>
      <s:c r="B5218" s="121" t="n"/>
      <s:c r="C5218" s="121" t="n"/>
      <s:c r="D5218" s="121" t="n"/>
      <s:c r="E5218" s="122" t="n"/>
    </s:row>
    <s:row r="5219" hidden="1" ht="1" customHeight="1">
      <s:c r="A5219" s="120" t="inlineStr"/>
      <s:c r="B5219" s="121" t="n"/>
      <s:c r="C5219" s="121" t="n"/>
      <s:c r="D5219" s="121" t="n"/>
      <s:c r="E5219" s="122" t="n"/>
    </s:row>
    <s:row r="5220" hidden="1" ht="1" customHeight="1">
      <s:c r="A5220" s="120" t="inlineStr"/>
      <s:c r="B5220" s="121" t="n"/>
      <s:c r="C5220" s="121" t="n"/>
      <s:c r="D5220" s="121" t="n"/>
      <s:c r="E5220" s="122" t="n"/>
    </s:row>
    <s:row r="5221" hidden="1" ht="1" customHeight="1">
      <s:c r="A5221" s="120" t="inlineStr"/>
      <s:c r="B5221" s="121" t="n"/>
      <s:c r="C5221" s="121" t="n"/>
      <s:c r="D5221" s="121" t="n"/>
      <s:c r="E5221" s="122" t="n"/>
    </s:row>
    <s:row r="5222" hidden="1" ht="1" customHeight="1">
      <s:c r="A5222" s="120" t="inlineStr"/>
      <s:c r="B5222" s="121" t="n"/>
      <s:c r="C5222" s="121" t="n"/>
      <s:c r="D5222" s="121" t="n"/>
      <s:c r="E5222" s="122" t="n"/>
    </s:row>
    <s:row r="5223" hidden="1" ht="1" customHeight="1">
      <s:c r="A5223" s="120" t="inlineStr"/>
      <s:c r="B5223" s="121" t="n"/>
      <s:c r="C5223" s="121" t="n"/>
      <s:c r="D5223" s="121" t="n"/>
      <s:c r="E5223" s="122" t="n"/>
    </s:row>
    <s:row r="5224" hidden="1" ht="1" customHeight="1">
      <s:c r="A5224" s="120" t="inlineStr"/>
      <s:c r="B5224" s="121" t="n"/>
      <s:c r="C5224" s="121" t="n"/>
      <s:c r="D5224" s="121" t="n"/>
      <s:c r="E5224" s="122" t="n"/>
    </s:row>
    <s:row r="5225" hidden="1" ht="1" customHeight="1">
      <s:c r="A5225" s="120" t="inlineStr"/>
      <s:c r="B5225" s="121" t="n"/>
      <s:c r="C5225" s="121" t="n"/>
      <s:c r="D5225" s="121" t="n"/>
      <s:c r="E5225" s="122" t="n"/>
    </s:row>
    <s:row r="5226" hidden="1" ht="1" customHeight="1">
      <s:c r="A5226" s="120" t="inlineStr"/>
      <s:c r="B5226" s="121" t="n"/>
      <s:c r="C5226" s="121" t="n"/>
      <s:c r="D5226" s="121" t="n"/>
      <s:c r="E5226" s="122" t="n"/>
    </s:row>
    <s:row r="5227" hidden="1" ht="1" customHeight="1">
      <s:c r="A5227" s="120" t="inlineStr"/>
      <s:c r="B5227" s="121" t="n"/>
      <s:c r="C5227" s="121" t="n"/>
      <s:c r="D5227" s="121" t="n"/>
      <s:c r="E5227" s="122" t="n"/>
    </s:row>
    <s:row r="5228" hidden="1" ht="1" customHeight="1">
      <s:c r="A5228" s="120" t="inlineStr"/>
      <s:c r="B5228" s="121" t="n"/>
      <s:c r="C5228" s="121" t="n"/>
      <s:c r="D5228" s="121" t="n"/>
      <s:c r="E5228" s="122" t="n"/>
    </s:row>
    <s:row r="5229" hidden="1" ht="1" customHeight="1">
      <s:c r="A5229" s="120" t="inlineStr"/>
      <s:c r="B5229" s="121" t="n"/>
      <s:c r="C5229" s="121" t="n"/>
      <s:c r="D5229" s="121" t="n"/>
      <s:c r="E5229" s="122" t="n"/>
    </s:row>
    <s:row r="5230" hidden="1" ht="1" customHeight="1">
      <s:c r="A5230" s="120" t="inlineStr"/>
      <s:c r="B5230" s="121" t="n"/>
      <s:c r="C5230" s="121" t="n"/>
      <s:c r="D5230" s="121" t="n"/>
      <s:c r="E5230" s="122" t="n"/>
    </s:row>
    <s:row r="5231" hidden="1" ht="1" customHeight="1">
      <s:c r="A5231" s="120" t="inlineStr"/>
      <s:c r="B5231" s="121" t="n"/>
      <s:c r="C5231" s="121" t="n"/>
      <s:c r="D5231" s="121" t="n"/>
      <s:c r="E5231" s="122" t="n"/>
    </s:row>
    <s:row r="5232" hidden="1" ht="1" customHeight="1">
      <s:c r="A5232" s="120" t="inlineStr"/>
      <s:c r="B5232" s="121" t="n"/>
      <s:c r="C5232" s="121" t="n"/>
      <s:c r="D5232" s="121" t="n"/>
      <s:c r="E5232" s="122" t="n"/>
    </s:row>
    <s:row r="5233" hidden="1" ht="1" customHeight="1">
      <s:c r="A5233" s="120" t="inlineStr"/>
      <s:c r="B5233" s="121" t="n"/>
      <s:c r="C5233" s="121" t="n"/>
      <s:c r="D5233" s="121" t="n"/>
      <s:c r="E5233" s="122" t="n"/>
    </s:row>
    <s:row r="5234" hidden="1" ht="1" customHeight="1">
      <s:c r="A5234" s="120" t="inlineStr"/>
      <s:c r="B5234" s="121" t="n"/>
      <s:c r="C5234" s="121" t="n"/>
      <s:c r="D5234" s="121" t="n"/>
      <s:c r="E5234" s="122" t="n"/>
    </s:row>
    <s:row r="5235" hidden="1" ht="1" customHeight="1">
      <s:c r="A5235" s="83" t="inlineStr">
        <s:is>
          <s:t>PASS</s:t>
        </s:is>
      </s:c>
      <s:c r="B5235" s="83">
        <s:f>SUM(IF(EXACT('Kiểm thử'!E5185,"Đạt"),1,0))</s:f>
        <s:v/>
      </s:c>
      <s:c r="C5235" s="19" t="n"/>
      <s:c r="D5235" s="19" t="n"/>
      <s:c r="E5235" s="19" t="n"/>
    </s:row>
    <s:row r="5236" hidden="1" ht="1" customHeight="1">
      <s:c r="A5236" s="83" t="inlineStr">
        <s:is>
          <s:t>FAIL</s:t>
        </s:is>
      </s:c>
      <s:c r="B5236" s="83">
        <s:f>SUM(IF(EXACT('Kiểm thử'!E5185,"Không đạt"),1,0))</s:f>
        <s:v/>
      </s:c>
      <s:c r="C5236" s="19" t="n"/>
      <s:c r="D5236" s="19" t="n"/>
      <s:c r="E5236" s="19" t="n"/>
    </s:row>
    <s:row r="5237" hidden="1" ht="1" customHeight="1">
      <s:c r="A5237" s="83" t="inlineStr">
        <s:is>
          <s:t>BLOCKED</s:t>
        </s:is>
      </s:c>
      <s:c r="B5237" s="83">
        <s:f>SUM(IF(EXACT('Kiểm thử'!E5185,"Bị chặn"),1,0))</s:f>
        <s:v/>
      </s:c>
      <s:c r="C5237" s="19" t="n"/>
      <s:c r="D5237" s="19" t="n"/>
      <s:c r="E5237" s="19" t="n"/>
    </s:row>
    <s:row r="5238" hidden="1" ht="1" customHeight="1">
      <s:c r="A5238" s="83" t="inlineStr">
        <s:is>
          <s:t>SKIPPED</s:t>
        </s:is>
      </s:c>
      <s:c r="B5238" s="83">
        <s:f>SUM(IF(EXACT('Kiểm thử'!E5185,"Không thực hiện"),1,0))</s:f>
        <s:v/>
      </s:c>
      <s:c r="C5238" s="19" t="n"/>
      <s:c r="D5238" s="19" t="n"/>
      <s:c r="E5238" s="19" t="n"/>
    </s:row>
    <s:row r="5239" hidden="1" ht="1" customHeight="1">
      <s:c r="A5239" s="83" t="inlineStr">
        <s:is>
          <s:t>NOT RUN</s:t>
        </s:is>
      </s:c>
      <s:c r="B5239" s="83">
        <s:f>SUM(IF(EXACT('Kiểm thử'!E5185,"Chưa thực hiện"),1,0))</s:f>
        <s:v/>
      </s:c>
      <s:c r="C5239" s="19" t="n"/>
      <s:c r="D5239" s="19" t="n"/>
      <s:c r="E5239" s="19" t="n"/>
    </s:row>
    <s:row r="5240" hidden="1" ht="6" customHeight="1">
      <s:c r="A5240" s="83" t="inlineStr"/>
      <s:c r="B5240" s="19" t="n"/>
      <s:c r="C5240" s="19" t="n"/>
      <s:c r="D5240" s="19" t="n"/>
      <s:c r="E5240" s="19" t="n"/>
    </s:row>
    <s:row r="5241" ht="28" customHeight="1">
      <s:c r="A5241" s="108" t="inlineStr">
        <s:is>
          <s:t>TC-RS-VAL-004 — Ngưỡng cố định/tỷ lệ trống hoặc không phải số</s:t>
        </s:is>
      </s:c>
      <s:c r="B5241" s="111" t="n"/>
      <s:c r="C5241" s="111" t="n"/>
      <s:c r="D5241" s="111" t="n"/>
      <s:c r="E5241" s="111" t="n"/>
    </s:row>
    <s:row r="5242" ht="20" customHeight="1">
      <s:c r="A5242" s="112" t="inlineStr">
        <s:is>
          <s:t>Kết quả tình huống</s:t>
        </s:is>
      </s:c>
      <s:c r="B5242" s="113">
        <s:f>IF(SUM(IF(EXACT('Kiểm thử'!E5249,"Không đạt"),1,0),IF(EXACT('Kiểm thử'!E5251,"Không đạt"),1,0),IF(EXACT('Kiểm thử'!E5253,"Không đạt"),1,0),IF(EXACT('Kiểm thử'!E5255,"Không đạt"),1,0),IF(EXACT('Kiểm thử'!E5257,"Không đạt"),1,0),IF(EXACT('Kiểm thử'!E5259,"Không đạt"),1,0),IF(EXACT('Kiểm thử'!E5261,"Không đạt"),1,0),IF(EXACT('Kiểm thử'!E5263,"Không đạt"),1,0))&gt;0,"Không đạt",IF(SUM(IF(EXACT('Kiểm thử'!E5249,"Đạt"),1,0),IF(EXACT('Kiểm thử'!E5251,"Đạt"),1,0),IF(EXACT('Kiểm thử'!E5253,"Đạt"),1,0),IF(EXACT('Kiểm thử'!E5255,"Đạt"),1,0),IF(EXACT('Kiểm thử'!E5257,"Đạt"),1,0),IF(EXACT('Kiểm thử'!E5259,"Đạt"),1,0),IF(EXACT('Kiểm thử'!E5261,"Đạt"),1,0),IF(EXACT('Kiểm thử'!E5263,"Đạt"),1,0))=8,"Đạt",IF(SUM(IF(EXACT('Kiểm thử'!E5249,"Không thực hiện"),1,0),IF(EXACT('Kiểm thử'!E5251,"Không thực hiện"),1,0),IF(EXACT('Kiểm thử'!E5253,"Không thực hiện"),1,0),IF(EXACT('Kiểm thử'!E5255,"Không thực hiện"),1,0),IF(EXACT('Kiểm thử'!E5257,"Không thực hiện"),1,0),IF(EXACT('Kiểm thử'!E5259,"Không thực hiện"),1,0),IF(EXACT('Kiểm thử'!E5261,"Không thực hiện"),1,0),IF(EXACT('Kiểm thử'!E5263,"Không thực hiện"),1,0))=8,"Không thực hiện",IF(SUM(IF(EXACT('Kiểm thử'!E5249,"Bị chặn"),1,0),IF(EXACT('Kiểm thử'!E5251,"Bị chặn"),1,0),IF(EXACT('Kiểm thử'!E5253,"Bị chặn"),1,0),IF(EXACT('Kiểm thử'!E5255,"Bị chặn"),1,0),IF(EXACT('Kiểm thử'!E5257,"Bị chặn"),1,0),IF(EXACT('Kiểm thử'!E5259,"Bị chặn"),1,0),IF(EXACT('Kiểm thử'!E5261,"Bị chặn"),1,0),IF(EXACT('Kiểm thử'!E5263,"Bị chặn"),1,0))&gt;0,"Bị chặn",IF(SUM(IF(EXACT('Kiểm thử'!E5249,"Chưa thực hiện"),1,0),IF(EXACT('Kiểm thử'!E5251,"Chưa thực hiện"),1,0),IF(EXACT('Kiểm thử'!E5253,"Chưa thực hiện"),1,0),IF(EXACT('Kiểm thử'!E5255,"Chưa thực hiện"),1,0),IF(EXACT('Kiểm thử'!E5257,"Chưa thực hiện"),1,0),IF(EXACT('Kiểm thử'!E5259,"Chưa thực hiện"),1,0),IF(EXACT('Kiểm thử'!E5261,"Chưa thực hiện"),1,0),IF(EXACT('Kiểm thử'!E5263,"Chưa thực hiện"),1,0))=8,"Chưa thực hiện","Đang thực hiện")))))</s:f>
        <s:v/>
      </s:c>
      <s:c r="C5242" s="114" t="n"/>
      <s:c r="D5242" s="114" t="n"/>
      <s:c r="E5242" s="114" t="n"/>
    </s:row>
    <s:row r="5243" ht="20" customHeight="1">
      <s:c r="A5243" s="112" t="inlineStr">
        <s:is>
          <s:t>Màn hình / chức năng</s:t>
        </s:is>
      </s:c>
      <s:c r="B5243" s="113" t="inlineStr">
        <s:is>
          <s:r>
            <s:rPr>
              <s:b val="1"/>
            </s:rPr>
            <s:t>Thiết lập ngưỡng（基準設定）</s:t>
          </s:r>
        </s:is>
      </s:c>
      <s:c r="C5243" s="28" t="n"/>
      <s:c r="D5243" s="28" t="n"/>
      <s:c r="E5243" s="28" t="n"/>
    </s:row>
    <s:row r="5244" ht="20" customHeight="1">
      <s:c r="A5244" s="112" t="inlineStr">
        <s:is>
          <s:t>Cấu hình</s:t>
        </s:is>
      </s:c>
      <s:c r="B5244" s="113" t="inlineStr">
        <s:is>
          <s:r>
            <s:t>• Màn cấu hình mục số nguyên (</s:t>
          </s:r>
          <s:r>
            <s:rPr>
              <s:b val="1"/>
            </s:rPr>
            <s:t>M=100</s:t>
          </s:r>
          <s:r>
            <s:t>).</s:t>
          </s:r>
        </s:is>
      </s:c>
      <s:c r="C5244" s="28" t="n"/>
      <s:c r="D5244" s="28" t="n"/>
      <s:c r="E5244" s="28" t="n"/>
    </s:row>
    <s:row r="5245" ht="34" customHeight="1">
      <s:c r="A5245" s="112" t="inlineStr">
        <s:is>
          <s:t>Dữ liệu test</s:t>
        </s:is>
      </s:c>
      <s:c r="B5245" s="113" t="inlineStr">
        <s:is>
          <s:r>
            <s:t>• Mục số nguyên (</s:t>
          </s:r>
          <s:r>
            <s:rPr>
              <s:b val="1"/>
            </s:rPr>
            <s:t>M=100</s:t>
          </s:r>
          <s:r>
            <s:t>);
• Giá trị: trống, [abc], [3O] (chữ O), [３０] (số toàn khổ)</s:t>
          </s:r>
        </s:is>
      </s:c>
      <s:c r="C5245" s="28" t="n"/>
      <s:c r="D5245" s="28" t="n"/>
      <s:c r="E5245" s="28" t="n"/>
    </s:row>
    <s:row r="5246" ht="20" customHeight="1">
      <s:c r="A5246" s="112" t="inlineStr">
        <s:is>
          <s:t>•</s:t>
        </s:is>
      </s:c>
      <s:c r="B5246" s="113" t="inlineStr">
        <s:is>
          <s:r>
            <s:t xml:space="preserve">Với </s:t>
          </s:r>
          <s:r>
            <s:rPr>
              <s:b val="1"/>
            </s:rPr>
            <s:t>loại Điểm cố định（固定点数）</s:t>
          </s:r>
          <s:r>
            <s:t xml:space="preserve"> rồi Tỷ </s:t>
          </s:r>
          <s:r>
            <s:rPr>
              <s:b val="1"/>
            </s:rPr>
            <s:t>lệ điểm tối đa（得点率）</s:t>
          </s:r>
          <s:r>
            <s:t>: nhập từng giá trị, bấm Lưu.</s:t>
          </s:r>
        </s:is>
      </s:c>
      <s:c r="C5246" s="28" t="n"/>
      <s:c r="D5246" s="28" t="n"/>
      <s:c r="E5246" s="28" t="n"/>
    </s:row>
    <s:row r="5247" ht="28" customHeight="1">
      <s:c r="A5247" s="115" t="inlineStr">
        <s:is>
          <s:t>Trường hợp</s:t>
        </s:is>
      </s:c>
      <s:c r="B5247" s="115" t="inlineStr">
        <s:is>
          <s:t>Dữ liệu / thao tác riêng</s:t>
        </s:is>
      </s:c>
      <s:c r="C5247" s="115" t="inlineStr">
        <s:is>
          <s:t>Kết quả mong đợi</s:t>
        </s:is>
      </s:c>
      <s:c r="D5247" s="115" t="inlineStr">
        <s:is>
          <s:t>Kết quả thực tế</s:t>
        </s:is>
      </s:c>
      <s:c r="E5247" s="115" t="inlineStr">
        <s:is>
          <s:t>Đánh giá</s:t>
        </s:is>
      </s:c>
    </s:row>
    <s:row r="5248" ht="3" customHeight="1">
      <s:c r="A5248" s="102" t="inlineStr"/>
      <s:c r="B5248" s="99" t="n"/>
      <s:c r="C5248" s="99" t="n"/>
      <s:c r="D5248" s="116" t="n"/>
      <s:c r="E5248" s="116" t="n"/>
    </s:row>
    <s:row r="5249" ht="34" customHeight="1">
      <s:c r="A5249" s="83" t="inlineStr">
        <s:is>
          <s:t>Điểm cố định với trống (fixed-empty)</s:t>
        </s:is>
      </s:c>
      <s:c r="B5249" s="83" t="inlineStr">
        <s:is>
          <s:t>Nhập trống vào Điểm cố định, rồi lưu.</s:t>
        </s:is>
      </s:c>
      <s:c r="C5249" s="83" t="inlineStr">
        <s:is>
          <s:t>Giá trị trống không lưu được, có lỗi.</s:t>
        </s:is>
      </s:c>
      <s:c r="D5249" s="117" t="inlineStr"/>
      <s:c r="E5249" s="118" t="inlineStr">
        <s:is>
          <s:t>Chưa thực hiện</s:t>
        </s:is>
      </s:c>
    </s:row>
    <s:row r="5250" ht="3" customHeight="1">
      <s:c r="A5250" s="102" t="inlineStr"/>
      <s:c r="B5250" s="99" t="n"/>
      <s:c r="C5250" s="99" t="n"/>
      <s:c r="D5250" s="116" t="n"/>
      <s:c r="E5250" s="116" t="n"/>
    </s:row>
    <s:row r="5251" ht="34" customHeight="1">
      <s:c r="A5251" s="83" t="inlineStr">
        <s:is>
          <s:t>Điểm cố định với abc (fixed-abc)</s:t>
        </s:is>
      </s:c>
      <s:c r="B5251" s="83" t="inlineStr">
        <s:is>
          <s:t>Nhập abc vào Điểm cố định, rồi lưu.</s:t>
        </s:is>
      </s:c>
      <s:c r="C5251" s="83" t="inlineStr">
        <s:is>
          <s:t>Giá trị abc không lưu được, có lỗi.</s:t>
        </s:is>
      </s:c>
      <s:c r="D5251" s="117" t="inlineStr"/>
      <s:c r="E5251" s="118" t="inlineStr">
        <s:is>
          <s:t>Chưa thực hiện</s:t>
        </s:is>
      </s:c>
    </s:row>
    <s:row r="5252" ht="3" customHeight="1">
      <s:c r="A5252" s="102" t="inlineStr"/>
      <s:c r="B5252" s="99" t="n"/>
      <s:c r="C5252" s="99" t="n"/>
      <s:c r="D5252" s="116" t="n"/>
      <s:c r="E5252" s="116" t="n"/>
    </s:row>
    <s:row r="5253" ht="34" customHeight="1">
      <s:c r="A5253" s="83" t="inlineStr">
        <s:is>
          <s:t>Điểm cố định với 3O (fixed-3O)</s:t>
        </s:is>
      </s:c>
      <s:c r="B5253" s="83" t="inlineStr">
        <s:is>
          <s:t>Nhập 3O vào Điểm cố định, rồi lưu.</s:t>
        </s:is>
      </s:c>
      <s:c r="C5253" s="83" t="inlineStr">
        <s:is>
          <s:t>Giá trị 3O không lưu được, có lỗi.</s:t>
        </s:is>
      </s:c>
      <s:c r="D5253" s="117" t="inlineStr"/>
      <s:c r="E5253" s="118" t="inlineStr">
        <s:is>
          <s:t>Chưa thực hiện</s:t>
        </s:is>
      </s:c>
    </s:row>
    <s:row r="5254" ht="3" customHeight="1">
      <s:c r="A5254" s="102" t="inlineStr"/>
      <s:c r="B5254" s="99" t="n"/>
      <s:c r="C5254" s="99" t="n"/>
      <s:c r="D5254" s="116" t="n"/>
      <s:c r="E5254" s="116" t="n"/>
    </s:row>
    <s:row r="5255" ht="62" customHeight="1">
      <s:c r="A5255" s="83" t="inlineStr">
        <s:is>
          <s:t>Điểm cố định với ３０ (fixed-fullwidth)</s:t>
        </s:is>
      </s:c>
      <s:c r="B5255" s="83" t="inlineStr">
        <s:is>
          <s:t>Nhập ３０ vào Điểm cố định, rồi lưu.</s:t>
        </s:is>
      </s:c>
      <s:c r="C5255" s="83" t="inlineStr">
        <s:is>
          <s:t>Giá trị ３０ xử lý theo quy ước nhập số hiện hành của BLEND — TBD: có thể chuẩn hóa thành 30 hoặc báo lỗi; chưa tự chốt PASS/FAIL.</s:t>
        </s:is>
      </s:c>
      <s:c r="D5255" s="117" t="inlineStr"/>
      <s:c r="E5255" s="118" t="inlineStr">
        <s:is>
          <s:t>Chưa thực hiện</s:t>
        </s:is>
      </s:c>
    </s:row>
    <s:row r="5256" ht="3" customHeight="1">
      <s:c r="A5256" s="102" t="inlineStr"/>
      <s:c r="B5256" s="99" t="n"/>
      <s:c r="C5256" s="99" t="n"/>
      <s:c r="D5256" s="116" t="n"/>
      <s:c r="E5256" s="116" t="n"/>
    </s:row>
    <s:row r="5257" ht="34" customHeight="1">
      <s:c r="A5257" s="83" t="inlineStr">
        <s:is>
          <s:t>Tỷ lệ với trống (ratio-empty)</s:t>
        </s:is>
      </s:c>
      <s:c r="B5257" s="83" t="inlineStr">
        <s:is>
          <s:t>Nhập trống vào Tỷ lệ, rồi lưu.</s:t>
        </s:is>
      </s:c>
      <s:c r="C5257" s="83" t="inlineStr">
        <s:is>
          <s:t>Giá trị trống không lưu được, có lỗi.</s:t>
        </s:is>
      </s:c>
      <s:c r="D5257" s="117" t="inlineStr"/>
      <s:c r="E5257" s="118" t="inlineStr">
        <s:is>
          <s:t>Chưa thực hiện</s:t>
        </s:is>
      </s:c>
    </s:row>
    <s:row r="5258" ht="3" customHeight="1">
      <s:c r="A5258" s="102" t="inlineStr"/>
      <s:c r="B5258" s="99" t="n"/>
      <s:c r="C5258" s="99" t="n"/>
      <s:c r="D5258" s="116" t="n"/>
      <s:c r="E5258" s="116" t="n"/>
    </s:row>
    <s:row r="5259" ht="34" customHeight="1">
      <s:c r="A5259" s="83" t="inlineStr">
        <s:is>
          <s:t>Tỷ lệ với abc (ratio-abc)</s:t>
        </s:is>
      </s:c>
      <s:c r="B5259" s="83" t="inlineStr">
        <s:is>
          <s:t>Nhập abc vào Tỷ lệ, rồi lưu.</s:t>
        </s:is>
      </s:c>
      <s:c r="C5259" s="83" t="inlineStr">
        <s:is>
          <s:t>Giá trị abc không lưu được, có lỗi.</s:t>
        </s:is>
      </s:c>
      <s:c r="D5259" s="117" t="inlineStr"/>
      <s:c r="E5259" s="118" t="inlineStr">
        <s:is>
          <s:t>Chưa thực hiện</s:t>
        </s:is>
      </s:c>
    </s:row>
    <s:row r="5260" ht="3" customHeight="1">
      <s:c r="A5260" s="102" t="inlineStr"/>
      <s:c r="B5260" s="99" t="n"/>
      <s:c r="C5260" s="99" t="n"/>
      <s:c r="D5260" s="116" t="n"/>
      <s:c r="E5260" s="116" t="n"/>
    </s:row>
    <s:row r="5261" ht="34" customHeight="1">
      <s:c r="A5261" s="83" t="inlineStr">
        <s:is>
          <s:t>Tỷ lệ với 3O (ratio-3O)</s:t>
        </s:is>
      </s:c>
      <s:c r="B5261" s="83" t="inlineStr">
        <s:is>
          <s:t>Nhập 3O vào Tỷ lệ, rồi lưu.</s:t>
        </s:is>
      </s:c>
      <s:c r="C5261" s="83" t="inlineStr">
        <s:is>
          <s:t>Giá trị 3O không lưu được, có lỗi.</s:t>
        </s:is>
      </s:c>
      <s:c r="D5261" s="117" t="inlineStr"/>
      <s:c r="E5261" s="118" t="inlineStr">
        <s:is>
          <s:t>Chưa thực hiện</s:t>
        </s:is>
      </s:c>
    </s:row>
    <s:row r="5262" ht="3" customHeight="1">
      <s:c r="A5262" s="102" t="inlineStr"/>
      <s:c r="B5262" s="99" t="n"/>
      <s:c r="C5262" s="99" t="n"/>
      <s:c r="D5262" s="116" t="n"/>
      <s:c r="E5262" s="116" t="n"/>
    </s:row>
    <s:row r="5263" ht="62" customHeight="1">
      <s:c r="A5263" s="83" t="inlineStr">
        <s:is>
          <s:t>Tỷ lệ với ３０ (ratio-fullwidth)</s:t>
        </s:is>
      </s:c>
      <s:c r="B5263" s="83" t="inlineStr">
        <s:is>
          <s:t>Nhập ３０ vào Tỷ lệ, rồi lưu.</s:t>
        </s:is>
      </s:c>
      <s:c r="C5263" s="83" t="inlineStr">
        <s:is>
          <s:t>Giá trị ３０ xử lý theo quy ước nhập số hiện hành của BLEND — TBD: có thể chuẩn hóa thành 30 hoặc báo lỗi; chưa tự chốt PASS/FAIL.</s:t>
        </s:is>
      </s:c>
      <s:c r="D5263" s="117" t="inlineStr"/>
      <s:c r="E5263" s="118" t="inlineStr">
        <s:is>
          <s:t>Chưa thực hiện</s:t>
        </s:is>
      </s:c>
    </s:row>
    <s:row r="5264" ht="20" customHeight="1">
      <s:c r="A5264" s="119" t="inlineStr">
        <s:is>
          <s:t>Ảnh minh chứng — Chưa có ảnh</s:t>
        </s:is>
      </s:c>
      <s:c r="B5264" s="19" t="n"/>
      <s:c r="C5264" s="19" t="n"/>
      <s:c r="D5264" s="19" t="n"/>
      <s:c r="E5264" s="19" t="n"/>
    </s:row>
    <s:row r="5265" hidden="1" ht="1" customHeight="1">
      <s:c r="A5265" s="120" t="inlineStr"/>
      <s:c r="B5265" s="121" t="n"/>
      <s:c r="C5265" s="121" t="n"/>
      <s:c r="D5265" s="121" t="n"/>
      <s:c r="E5265" s="122" t="n"/>
    </s:row>
    <s:row r="5266" hidden="1" ht="1" customHeight="1">
      <s:c r="A5266" s="120" t="inlineStr"/>
      <s:c r="B5266" s="121" t="n"/>
      <s:c r="C5266" s="121" t="n"/>
      <s:c r="D5266" s="121" t="n"/>
      <s:c r="E5266" s="122" t="n"/>
    </s:row>
    <s:row r="5267" hidden="1" ht="1" customHeight="1">
      <s:c r="A5267" s="120" t="inlineStr"/>
      <s:c r="B5267" s="121" t="n"/>
      <s:c r="C5267" s="121" t="n"/>
      <s:c r="D5267" s="121" t="n"/>
      <s:c r="E5267" s="122" t="n"/>
    </s:row>
    <s:row r="5268" hidden="1" ht="1" customHeight="1">
      <s:c r="A5268" s="120" t="inlineStr"/>
      <s:c r="B5268" s="121" t="n"/>
      <s:c r="C5268" s="121" t="n"/>
      <s:c r="D5268" s="121" t="n"/>
      <s:c r="E5268" s="122" t="n"/>
    </s:row>
    <s:row r="5269" hidden="1" ht="1" customHeight="1">
      <s:c r="A5269" s="120" t="inlineStr"/>
      <s:c r="B5269" s="121" t="n"/>
      <s:c r="C5269" s="121" t="n"/>
      <s:c r="D5269" s="121" t="n"/>
      <s:c r="E5269" s="122" t="n"/>
    </s:row>
    <s:row r="5270" hidden="1" ht="1" customHeight="1">
      <s:c r="A5270" s="120" t="inlineStr"/>
      <s:c r="B5270" s="121" t="n"/>
      <s:c r="C5270" s="121" t="n"/>
      <s:c r="D5270" s="121" t="n"/>
      <s:c r="E5270" s="122" t="n"/>
    </s:row>
    <s:row r="5271" hidden="1" ht="1" customHeight="1">
      <s:c r="A5271" s="120" t="inlineStr"/>
      <s:c r="B5271" s="121" t="n"/>
      <s:c r="C5271" s="121" t="n"/>
      <s:c r="D5271" s="121" t="n"/>
      <s:c r="E5271" s="122" t="n"/>
    </s:row>
    <s:row r="5272" hidden="1" ht="1" customHeight="1">
      <s:c r="A5272" s="120" t="inlineStr"/>
      <s:c r="B5272" s="121" t="n"/>
      <s:c r="C5272" s="121" t="n"/>
      <s:c r="D5272" s="121" t="n"/>
      <s:c r="E5272" s="122" t="n"/>
    </s:row>
    <s:row r="5273" hidden="1" ht="1" customHeight="1">
      <s:c r="A5273" s="120" t="inlineStr"/>
      <s:c r="B5273" s="121" t="n"/>
      <s:c r="C5273" s="121" t="n"/>
      <s:c r="D5273" s="121" t="n"/>
      <s:c r="E5273" s="122" t="n"/>
    </s:row>
    <s:row r="5274" hidden="1" ht="1" customHeight="1">
      <s:c r="A5274" s="120" t="inlineStr"/>
      <s:c r="B5274" s="121" t="n"/>
      <s:c r="C5274" s="121" t="n"/>
      <s:c r="D5274" s="121" t="n"/>
      <s:c r="E5274" s="122" t="n"/>
    </s:row>
    <s:row r="5275" hidden="1" ht="1" customHeight="1">
      <s:c r="A5275" s="120" t="inlineStr"/>
      <s:c r="B5275" s="121" t="n"/>
      <s:c r="C5275" s="121" t="n"/>
      <s:c r="D5275" s="121" t="n"/>
      <s:c r="E5275" s="122" t="n"/>
    </s:row>
    <s:row r="5276" hidden="1" ht="1" customHeight="1">
      <s:c r="A5276" s="120" t="inlineStr"/>
      <s:c r="B5276" s="121" t="n"/>
      <s:c r="C5276" s="121" t="n"/>
      <s:c r="D5276" s="121" t="n"/>
      <s:c r="E5276" s="122" t="n"/>
    </s:row>
    <s:row r="5277" hidden="1" ht="1" customHeight="1">
      <s:c r="A5277" s="120" t="inlineStr"/>
      <s:c r="B5277" s="121" t="n"/>
      <s:c r="C5277" s="121" t="n"/>
      <s:c r="D5277" s="121" t="n"/>
      <s:c r="E5277" s="122" t="n"/>
    </s:row>
    <s:row r="5278" hidden="1" ht="1" customHeight="1">
      <s:c r="A5278" s="120" t="inlineStr"/>
      <s:c r="B5278" s="121" t="n"/>
      <s:c r="C5278" s="121" t="n"/>
      <s:c r="D5278" s="121" t="n"/>
      <s:c r="E5278" s="122" t="n"/>
    </s:row>
    <s:row r="5279" hidden="1" ht="1" customHeight="1">
      <s:c r="A5279" s="120" t="inlineStr"/>
      <s:c r="B5279" s="121" t="n"/>
      <s:c r="C5279" s="121" t="n"/>
      <s:c r="D5279" s="121" t="n"/>
      <s:c r="E5279" s="122" t="n"/>
    </s:row>
    <s:row r="5280" hidden="1" ht="1" customHeight="1">
      <s:c r="A5280" s="120" t="inlineStr"/>
      <s:c r="B5280" s="121" t="n"/>
      <s:c r="C5280" s="121" t="n"/>
      <s:c r="D5280" s="121" t="n"/>
      <s:c r="E5280" s="122" t="n"/>
    </s:row>
    <s:row r="5281" hidden="1" ht="1" customHeight="1">
      <s:c r="A5281" s="120" t="inlineStr"/>
      <s:c r="B5281" s="121" t="n"/>
      <s:c r="C5281" s="121" t="n"/>
      <s:c r="D5281" s="121" t="n"/>
      <s:c r="E5281" s="122" t="n"/>
    </s:row>
    <s:row r="5282" hidden="1" ht="1" customHeight="1">
      <s:c r="A5282" s="120" t="inlineStr"/>
      <s:c r="B5282" s="121" t="n"/>
      <s:c r="C5282" s="121" t="n"/>
      <s:c r="D5282" s="121" t="n"/>
      <s:c r="E5282" s="122" t="n"/>
    </s:row>
    <s:row r="5283" hidden="1" ht="1" customHeight="1">
      <s:c r="A5283" s="120" t="inlineStr"/>
      <s:c r="B5283" s="121" t="n"/>
      <s:c r="C5283" s="121" t="n"/>
      <s:c r="D5283" s="121" t="n"/>
      <s:c r="E5283" s="122" t="n"/>
    </s:row>
    <s:row r="5284" hidden="1" ht="1" customHeight="1">
      <s:c r="A5284" s="120" t="inlineStr"/>
      <s:c r="B5284" s="121" t="n"/>
      <s:c r="C5284" s="121" t="n"/>
      <s:c r="D5284" s="121" t="n"/>
      <s:c r="E5284" s="122" t="n"/>
    </s:row>
    <s:row r="5285" hidden="1" ht="1" customHeight="1">
      <s:c r="A5285" s="120" t="inlineStr"/>
      <s:c r="B5285" s="121" t="n"/>
      <s:c r="C5285" s="121" t="n"/>
      <s:c r="D5285" s="121" t="n"/>
      <s:c r="E5285" s="122" t="n"/>
    </s:row>
    <s:row r="5286" hidden="1" ht="1" customHeight="1">
      <s:c r="A5286" s="120" t="inlineStr"/>
      <s:c r="B5286" s="121" t="n"/>
      <s:c r="C5286" s="121" t="n"/>
      <s:c r="D5286" s="121" t="n"/>
      <s:c r="E5286" s="122" t="n"/>
    </s:row>
    <s:row r="5287" hidden="1" ht="1" customHeight="1">
      <s:c r="A5287" s="120" t="inlineStr"/>
      <s:c r="B5287" s="121" t="n"/>
      <s:c r="C5287" s="121" t="n"/>
      <s:c r="D5287" s="121" t="n"/>
      <s:c r="E5287" s="122" t="n"/>
    </s:row>
    <s:row r="5288" hidden="1" ht="1" customHeight="1">
      <s:c r="A5288" s="120" t="inlineStr"/>
      <s:c r="B5288" s="121" t="n"/>
      <s:c r="C5288" s="121" t="n"/>
      <s:c r="D5288" s="121" t="n"/>
      <s:c r="E5288" s="122" t="n"/>
    </s:row>
    <s:row r="5289" hidden="1" ht="1" customHeight="1">
      <s:c r="A5289" s="120" t="inlineStr"/>
      <s:c r="B5289" s="121" t="n"/>
      <s:c r="C5289" s="121" t="n"/>
      <s:c r="D5289" s="121" t="n"/>
      <s:c r="E5289" s="122" t="n"/>
    </s:row>
    <s:row r="5290" hidden="1" ht="1" customHeight="1">
      <s:c r="A5290" s="120" t="inlineStr"/>
      <s:c r="B5290" s="121" t="n"/>
      <s:c r="C5290" s="121" t="n"/>
      <s:c r="D5290" s="121" t="n"/>
      <s:c r="E5290" s="122" t="n"/>
    </s:row>
    <s:row r="5291" hidden="1" ht="1" customHeight="1">
      <s:c r="A5291" s="120" t="inlineStr"/>
      <s:c r="B5291" s="121" t="n"/>
      <s:c r="C5291" s="121" t="n"/>
      <s:c r="D5291" s="121" t="n"/>
      <s:c r="E5291" s="122" t="n"/>
    </s:row>
    <s:row r="5292" hidden="1" ht="1" customHeight="1">
      <s:c r="A5292" s="120" t="inlineStr"/>
      <s:c r="B5292" s="121" t="n"/>
      <s:c r="C5292" s="121" t="n"/>
      <s:c r="D5292" s="121" t="n"/>
      <s:c r="E5292" s="122" t="n"/>
    </s:row>
    <s:row r="5293" hidden="1" ht="1" customHeight="1">
      <s:c r="A5293" s="120" t="inlineStr"/>
      <s:c r="B5293" s="121" t="n"/>
      <s:c r="C5293" s="121" t="n"/>
      <s:c r="D5293" s="121" t="n"/>
      <s:c r="E5293" s="122" t="n"/>
    </s:row>
    <s:row r="5294" hidden="1" ht="1" customHeight="1">
      <s:c r="A5294" s="120" t="inlineStr"/>
      <s:c r="B5294" s="121" t="n"/>
      <s:c r="C5294" s="121" t="n"/>
      <s:c r="D5294" s="121" t="n"/>
      <s:c r="E5294" s="122" t="n"/>
    </s:row>
    <s:row r="5295" hidden="1" ht="1" customHeight="1">
      <s:c r="A5295" s="120" t="inlineStr"/>
      <s:c r="B5295" s="121" t="n"/>
      <s:c r="C5295" s="121" t="n"/>
      <s:c r="D5295" s="121" t="n"/>
      <s:c r="E5295" s="122" t="n"/>
    </s:row>
    <s:row r="5296" hidden="1" ht="1" customHeight="1">
      <s:c r="A5296" s="120" t="inlineStr"/>
      <s:c r="B5296" s="121" t="n"/>
      <s:c r="C5296" s="121" t="n"/>
      <s:c r="D5296" s="121" t="n"/>
      <s:c r="E5296" s="122" t="n"/>
    </s:row>
    <s:row r="5297" hidden="1" ht="1" customHeight="1">
      <s:c r="A5297" s="120" t="inlineStr"/>
      <s:c r="B5297" s="121" t="n"/>
      <s:c r="C5297" s="121" t="n"/>
      <s:c r="D5297" s="121" t="n"/>
      <s:c r="E5297" s="122" t="n"/>
    </s:row>
    <s:row r="5298" hidden="1" ht="1" customHeight="1">
      <s:c r="A5298" s="120" t="inlineStr"/>
      <s:c r="B5298" s="121" t="n"/>
      <s:c r="C5298" s="121" t="n"/>
      <s:c r="D5298" s="121" t="n"/>
      <s:c r="E5298" s="122" t="n"/>
    </s:row>
    <s:row r="5299" hidden="1" ht="1" customHeight="1">
      <s:c r="A5299" s="120" t="inlineStr"/>
      <s:c r="B5299" s="121" t="n"/>
      <s:c r="C5299" s="121" t="n"/>
      <s:c r="D5299" s="121" t="n"/>
      <s:c r="E5299" s="122" t="n"/>
    </s:row>
    <s:row r="5300" hidden="1" ht="1" customHeight="1">
      <s:c r="A5300" s="120" t="inlineStr"/>
      <s:c r="B5300" s="121" t="n"/>
      <s:c r="C5300" s="121" t="n"/>
      <s:c r="D5300" s="121" t="n"/>
      <s:c r="E5300" s="122" t="n"/>
    </s:row>
    <s:row r="5301" hidden="1" ht="1" customHeight="1">
      <s:c r="A5301" s="120" t="inlineStr"/>
      <s:c r="B5301" s="121" t="n"/>
      <s:c r="C5301" s="121" t="n"/>
      <s:c r="D5301" s="121" t="n"/>
      <s:c r="E5301" s="122" t="n"/>
    </s:row>
    <s:row r="5302" hidden="1" ht="1" customHeight="1">
      <s:c r="A5302" s="120" t="inlineStr"/>
      <s:c r="B5302" s="121" t="n"/>
      <s:c r="C5302" s="121" t="n"/>
      <s:c r="D5302" s="121" t="n"/>
      <s:c r="E5302" s="122" t="n"/>
    </s:row>
    <s:row r="5303" hidden="1" ht="1" customHeight="1">
      <s:c r="A5303" s="120" t="inlineStr"/>
      <s:c r="B5303" s="121" t="n"/>
      <s:c r="C5303" s="121" t="n"/>
      <s:c r="D5303" s="121" t="n"/>
      <s:c r="E5303" s="122" t="n"/>
    </s:row>
    <s:row r="5304" hidden="1" ht="1" customHeight="1">
      <s:c r="A5304" s="120" t="inlineStr"/>
      <s:c r="B5304" s="121" t="n"/>
      <s:c r="C5304" s="121" t="n"/>
      <s:c r="D5304" s="121" t="n"/>
      <s:c r="E5304" s="122" t="n"/>
    </s:row>
    <s:row r="5305" hidden="1" ht="1" customHeight="1">
      <s:c r="A5305" s="120" t="inlineStr"/>
      <s:c r="B5305" s="121" t="n"/>
      <s:c r="C5305" s="121" t="n"/>
      <s:c r="D5305" s="121" t="n"/>
      <s:c r="E5305" s="122" t="n"/>
    </s:row>
    <s:row r="5306" hidden="1" ht="1" customHeight="1">
      <s:c r="A5306" s="120" t="inlineStr"/>
      <s:c r="B5306" s="121" t="n"/>
      <s:c r="C5306" s="121" t="n"/>
      <s:c r="D5306" s="121" t="n"/>
      <s:c r="E5306" s="122" t="n"/>
    </s:row>
    <s:row r="5307" hidden="1" ht="1" customHeight="1">
      <s:c r="A5307" s="120" t="inlineStr"/>
      <s:c r="B5307" s="121" t="n"/>
      <s:c r="C5307" s="121" t="n"/>
      <s:c r="D5307" s="121" t="n"/>
      <s:c r="E5307" s="122" t="n"/>
    </s:row>
    <s:row r="5308" hidden="1" ht="1" customHeight="1">
      <s:c r="A5308" s="120" t="inlineStr"/>
      <s:c r="B5308" s="121" t="n"/>
      <s:c r="C5308" s="121" t="n"/>
      <s:c r="D5308" s="121" t="n"/>
      <s:c r="E5308" s="122" t="n"/>
    </s:row>
    <s:row r="5309" hidden="1" ht="1" customHeight="1">
      <s:c r="A5309" s="120" t="inlineStr"/>
      <s:c r="B5309" s="121" t="n"/>
      <s:c r="C5309" s="121" t="n"/>
      <s:c r="D5309" s="121" t="n"/>
      <s:c r="E5309" s="122" t="n"/>
    </s:row>
    <s:row r="5310" hidden="1" ht="1" customHeight="1">
      <s:c r="A5310" s="120" t="inlineStr"/>
      <s:c r="B5310" s="121" t="n"/>
      <s:c r="C5310" s="121" t="n"/>
      <s:c r="D5310" s="121" t="n"/>
      <s:c r="E5310" s="122" t="n"/>
    </s:row>
    <s:row r="5311" hidden="1" ht="1" customHeight="1">
      <s:c r="A5311" s="120" t="inlineStr"/>
      <s:c r="B5311" s="121" t="n"/>
      <s:c r="C5311" s="121" t="n"/>
      <s:c r="D5311" s="121" t="n"/>
      <s:c r="E5311" s="122" t="n"/>
    </s:row>
    <s:row r="5312" hidden="1" ht="1" customHeight="1">
      <s:c r="A5312" s="120" t="inlineStr"/>
      <s:c r="B5312" s="121" t="n"/>
      <s:c r="C5312" s="121" t="n"/>
      <s:c r="D5312" s="121" t="n"/>
      <s:c r="E5312" s="122" t="n"/>
    </s:row>
    <s:row r="5313" hidden="1" ht="1" customHeight="1">
      <s:c r="A5313" s="120" t="inlineStr"/>
      <s:c r="B5313" s="121" t="n"/>
      <s:c r="C5313" s="121" t="n"/>
      <s:c r="D5313" s="121" t="n"/>
      <s:c r="E5313" s="122" t="n"/>
    </s:row>
    <s:row r="5314" hidden="1" ht="1" customHeight="1">
      <s:c r="A5314" s="120" t="inlineStr"/>
      <s:c r="B5314" s="121" t="n"/>
      <s:c r="C5314" s="121" t="n"/>
      <s:c r="D5314" s="121" t="n"/>
      <s:c r="E5314" s="122" t="n"/>
    </s:row>
    <s:row r="5315" hidden="1" ht="1" customHeight="1">
      <s:c r="A5315" s="120" t="inlineStr"/>
      <s:c r="B5315" s="121" t="n"/>
      <s:c r="C5315" s="121" t="n"/>
      <s:c r="D5315" s="121" t="n"/>
      <s:c r="E5315" s="122" t="n"/>
    </s:row>
    <s:row r="5316" hidden="1" ht="1" customHeight="1">
      <s:c r="A5316" s="120" t="inlineStr"/>
      <s:c r="B5316" s="121" t="n"/>
      <s:c r="C5316" s="121" t="n"/>
      <s:c r="D5316" s="121" t="n"/>
      <s:c r="E5316" s="122" t="n"/>
    </s:row>
    <s:row r="5317" hidden="1" ht="1" customHeight="1">
      <s:c r="A5317" s="120" t="inlineStr"/>
      <s:c r="B5317" s="121" t="n"/>
      <s:c r="C5317" s="121" t="n"/>
      <s:c r="D5317" s="121" t="n"/>
      <s:c r="E5317" s="122" t="n"/>
    </s:row>
    <s:row r="5318" hidden="1" ht="1" customHeight="1">
      <s:c r="A5318" s="120" t="inlineStr"/>
      <s:c r="B5318" s="121" t="n"/>
      <s:c r="C5318" s="121" t="n"/>
      <s:c r="D5318" s="121" t="n"/>
      <s:c r="E5318" s="122" t="n"/>
    </s:row>
    <s:row r="5319" hidden="1" ht="1" customHeight="1">
      <s:c r="A5319" s="120" t="inlineStr"/>
      <s:c r="B5319" s="121" t="n"/>
      <s:c r="C5319" s="121" t="n"/>
      <s:c r="D5319" s="121" t="n"/>
      <s:c r="E5319" s="122" t="n"/>
    </s:row>
    <s:row r="5320" hidden="1" ht="1" customHeight="1">
      <s:c r="A5320" s="120" t="inlineStr"/>
      <s:c r="B5320" s="121" t="n"/>
      <s:c r="C5320" s="121" t="n"/>
      <s:c r="D5320" s="121" t="n"/>
      <s:c r="E5320" s="122" t="n"/>
    </s:row>
    <s:row r="5321" hidden="1" ht="1" customHeight="1">
      <s:c r="A5321" s="120" t="inlineStr"/>
      <s:c r="B5321" s="121" t="n"/>
      <s:c r="C5321" s="121" t="n"/>
      <s:c r="D5321" s="121" t="n"/>
      <s:c r="E5321" s="122" t="n"/>
    </s:row>
    <s:row r="5322" hidden="1" ht="1" customHeight="1">
      <s:c r="A5322" s="120" t="inlineStr"/>
      <s:c r="B5322" s="121" t="n"/>
      <s:c r="C5322" s="121" t="n"/>
      <s:c r="D5322" s="121" t="n"/>
      <s:c r="E5322" s="122" t="n"/>
    </s:row>
    <s:row r="5323" hidden="1" ht="1" customHeight="1">
      <s:c r="A5323" s="120" t="inlineStr"/>
      <s:c r="B5323" s="121" t="n"/>
      <s:c r="C5323" s="121" t="n"/>
      <s:c r="D5323" s="121" t="n"/>
      <s:c r="E5323" s="122" t="n"/>
    </s:row>
    <s:row r="5324" hidden="1" ht="1" customHeight="1">
      <s:c r="A5324" s="120" t="inlineStr"/>
      <s:c r="B5324" s="121" t="n"/>
      <s:c r="C5324" s="121" t="n"/>
      <s:c r="D5324" s="121" t="n"/>
      <s:c r="E5324" s="122" t="n"/>
    </s:row>
    <s:row r="5325" hidden="1" ht="1" customHeight="1">
      <s:c r="A5325" s="120" t="inlineStr"/>
      <s:c r="B5325" s="121" t="n"/>
      <s:c r="C5325" s="121" t="n"/>
      <s:c r="D5325" s="121" t="n"/>
      <s:c r="E5325" s="122" t="n"/>
    </s:row>
    <s:row r="5326" hidden="1" ht="1" customHeight="1">
      <s:c r="A5326" s="120" t="inlineStr"/>
      <s:c r="B5326" s="121" t="n"/>
      <s:c r="C5326" s="121" t="n"/>
      <s:c r="D5326" s="121" t="n"/>
      <s:c r="E5326" s="122" t="n"/>
    </s:row>
    <s:row r="5327" hidden="1" ht="1" customHeight="1">
      <s:c r="A5327" s="120" t="inlineStr"/>
      <s:c r="B5327" s="121" t="n"/>
      <s:c r="C5327" s="121" t="n"/>
      <s:c r="D5327" s="121" t="n"/>
      <s:c r="E5327" s="122" t="n"/>
    </s:row>
    <s:row r="5328" hidden="1" ht="1" customHeight="1">
      <s:c r="A5328" s="120" t="inlineStr"/>
      <s:c r="B5328" s="121" t="n"/>
      <s:c r="C5328" s="121" t="n"/>
      <s:c r="D5328" s="121" t="n"/>
      <s:c r="E5328" s="122" t="n"/>
    </s:row>
    <s:row r="5329" hidden="1" ht="1" customHeight="1">
      <s:c r="A5329" s="120" t="inlineStr"/>
      <s:c r="B5329" s="121" t="n"/>
      <s:c r="C5329" s="121" t="n"/>
      <s:c r="D5329" s="121" t="n"/>
      <s:c r="E5329" s="122" t="n"/>
    </s:row>
    <s:row r="5330" hidden="1" ht="1" customHeight="1">
      <s:c r="A5330" s="120" t="inlineStr"/>
      <s:c r="B5330" s="121" t="n"/>
      <s:c r="C5330" s="121" t="n"/>
      <s:c r="D5330" s="121" t="n"/>
      <s:c r="E5330" s="122" t="n"/>
    </s:row>
    <s:row r="5331" hidden="1" ht="1" customHeight="1">
      <s:c r="A5331" s="120" t="inlineStr"/>
      <s:c r="B5331" s="121" t="n"/>
      <s:c r="C5331" s="121" t="n"/>
      <s:c r="D5331" s="121" t="n"/>
      <s:c r="E5331" s="122" t="n"/>
    </s:row>
    <s:row r="5332" hidden="1" ht="1" customHeight="1">
      <s:c r="A5332" s="120" t="inlineStr"/>
      <s:c r="B5332" s="121" t="n"/>
      <s:c r="C5332" s="121" t="n"/>
      <s:c r="D5332" s="121" t="n"/>
      <s:c r="E5332" s="122" t="n"/>
    </s:row>
    <s:row r="5333" hidden="1" ht="1" customHeight="1">
      <s:c r="A5333" s="120" t="inlineStr"/>
      <s:c r="B5333" s="121" t="n"/>
      <s:c r="C5333" s="121" t="n"/>
      <s:c r="D5333" s="121" t="n"/>
      <s:c r="E5333" s="122" t="n"/>
    </s:row>
    <s:row r="5334" hidden="1" ht="1" customHeight="1">
      <s:c r="A5334" s="120" t="inlineStr"/>
      <s:c r="B5334" s="121" t="n"/>
      <s:c r="C5334" s="121" t="n"/>
      <s:c r="D5334" s="121" t="n"/>
      <s:c r="E5334" s="122" t="n"/>
    </s:row>
    <s:row r="5335" hidden="1" ht="1" customHeight="1">
      <s:c r="A5335" s="120" t="inlineStr"/>
      <s:c r="B5335" s="121" t="n"/>
      <s:c r="C5335" s="121" t="n"/>
      <s:c r="D5335" s="121" t="n"/>
      <s:c r="E5335" s="122" t="n"/>
    </s:row>
    <s:row r="5336" hidden="1" ht="1" customHeight="1">
      <s:c r="A5336" s="120" t="inlineStr"/>
      <s:c r="B5336" s="121" t="n"/>
      <s:c r="C5336" s="121" t="n"/>
      <s:c r="D5336" s="121" t="n"/>
      <s:c r="E5336" s="122" t="n"/>
    </s:row>
    <s:row r="5337" hidden="1" ht="1" customHeight="1">
      <s:c r="A5337" s="120" t="inlineStr"/>
      <s:c r="B5337" s="121" t="n"/>
      <s:c r="C5337" s="121" t="n"/>
      <s:c r="D5337" s="121" t="n"/>
      <s:c r="E5337" s="122" t="n"/>
    </s:row>
    <s:row r="5338" hidden="1" ht="1" customHeight="1">
      <s:c r="A5338" s="120" t="inlineStr"/>
      <s:c r="B5338" s="121" t="n"/>
      <s:c r="C5338" s="121" t="n"/>
      <s:c r="D5338" s="121" t="n"/>
      <s:c r="E5338" s="122" t="n"/>
    </s:row>
    <s:row r="5339" hidden="1" ht="1" customHeight="1">
      <s:c r="A5339" s="120" t="inlineStr"/>
      <s:c r="B5339" s="121" t="n"/>
      <s:c r="C5339" s="121" t="n"/>
      <s:c r="D5339" s="121" t="n"/>
      <s:c r="E5339" s="122" t="n"/>
    </s:row>
    <s:row r="5340" hidden="1" ht="1" customHeight="1">
      <s:c r="A5340" s="120" t="inlineStr"/>
      <s:c r="B5340" s="121" t="n"/>
      <s:c r="C5340" s="121" t="n"/>
      <s:c r="D5340" s="121" t="n"/>
      <s:c r="E5340" s="122" t="n"/>
    </s:row>
    <s:row r="5341" hidden="1" ht="1" customHeight="1">
      <s:c r="A5341" s="120" t="inlineStr"/>
      <s:c r="B5341" s="121" t="n"/>
      <s:c r="C5341" s="121" t="n"/>
      <s:c r="D5341" s="121" t="n"/>
      <s:c r="E5341" s="122" t="n"/>
    </s:row>
    <s:row r="5342" hidden="1" ht="1" customHeight="1">
      <s:c r="A5342" s="120" t="inlineStr"/>
      <s:c r="B5342" s="121" t="n"/>
      <s:c r="C5342" s="121" t="n"/>
      <s:c r="D5342" s="121" t="n"/>
      <s:c r="E5342" s="122" t="n"/>
    </s:row>
    <s:row r="5343" hidden="1" ht="1" customHeight="1">
      <s:c r="A5343" s="120" t="inlineStr"/>
      <s:c r="B5343" s="121" t="n"/>
      <s:c r="C5343" s="121" t="n"/>
      <s:c r="D5343" s="121" t="n"/>
      <s:c r="E5343" s="122" t="n"/>
    </s:row>
    <s:row r="5344" hidden="1" ht="1" customHeight="1">
      <s:c r="A5344" s="120" t="inlineStr"/>
      <s:c r="B5344" s="121" t="n"/>
      <s:c r="C5344" s="121" t="n"/>
      <s:c r="D5344" s="121" t="n"/>
      <s:c r="E5344" s="122" t="n"/>
    </s:row>
    <s:row r="5345" hidden="1" ht="1" customHeight="1">
      <s:c r="A5345" s="120" t="inlineStr"/>
      <s:c r="B5345" s="121" t="n"/>
      <s:c r="C5345" s="121" t="n"/>
      <s:c r="D5345" s="121" t="n"/>
      <s:c r="E5345" s="122" t="n"/>
    </s:row>
    <s:row r="5346" hidden="1" ht="1" customHeight="1">
      <s:c r="A5346" s="120" t="inlineStr"/>
      <s:c r="B5346" s="121" t="n"/>
      <s:c r="C5346" s="121" t="n"/>
      <s:c r="D5346" s="121" t="n"/>
      <s:c r="E5346" s="122" t="n"/>
    </s:row>
    <s:row r="5347" hidden="1" ht="1" customHeight="1">
      <s:c r="A5347" s="120" t="inlineStr"/>
      <s:c r="B5347" s="121" t="n"/>
      <s:c r="C5347" s="121" t="n"/>
      <s:c r="D5347" s="121" t="n"/>
      <s:c r="E5347" s="122" t="n"/>
    </s:row>
    <s:row r="5348" hidden="1" ht="1" customHeight="1">
      <s:c r="A5348" s="120" t="inlineStr"/>
      <s:c r="B5348" s="121" t="n"/>
      <s:c r="C5348" s="121" t="n"/>
      <s:c r="D5348" s="121" t="n"/>
      <s:c r="E5348" s="122" t="n"/>
    </s:row>
    <s:row r="5349" hidden="1" ht="1" customHeight="1">
      <s:c r="A5349" s="120" t="inlineStr"/>
      <s:c r="B5349" s="121" t="n"/>
      <s:c r="C5349" s="121" t="n"/>
      <s:c r="D5349" s="121" t="n"/>
      <s:c r="E5349" s="122" t="n"/>
    </s:row>
    <s:row r="5350" hidden="1" ht="1" customHeight="1">
      <s:c r="A5350" s="120" t="inlineStr"/>
      <s:c r="B5350" s="121" t="n"/>
      <s:c r="C5350" s="121" t="n"/>
      <s:c r="D5350" s="121" t="n"/>
      <s:c r="E5350" s="122" t="n"/>
    </s:row>
    <s:row r="5351" hidden="1" ht="1" customHeight="1">
      <s:c r="A5351" s="120" t="inlineStr"/>
      <s:c r="B5351" s="121" t="n"/>
      <s:c r="C5351" s="121" t="n"/>
      <s:c r="D5351" s="121" t="n"/>
      <s:c r="E5351" s="122" t="n"/>
    </s:row>
    <s:row r="5352" hidden="1" ht="1" customHeight="1">
      <s:c r="A5352" s="120" t="inlineStr"/>
      <s:c r="B5352" s="121" t="n"/>
      <s:c r="C5352" s="121" t="n"/>
      <s:c r="D5352" s="121" t="n"/>
      <s:c r="E5352" s="122" t="n"/>
    </s:row>
    <s:row r="5353" hidden="1" ht="1" customHeight="1">
      <s:c r="A5353" s="120" t="inlineStr"/>
      <s:c r="B5353" s="121" t="n"/>
      <s:c r="C5353" s="121" t="n"/>
      <s:c r="D5353" s="121" t="n"/>
      <s:c r="E5353" s="122" t="n"/>
    </s:row>
    <s:row r="5354" hidden="1" ht="1" customHeight="1">
      <s:c r="A5354" s="120" t="inlineStr"/>
      <s:c r="B5354" s="121" t="n"/>
      <s:c r="C5354" s="121" t="n"/>
      <s:c r="D5354" s="121" t="n"/>
      <s:c r="E5354" s="122" t="n"/>
    </s:row>
    <s:row r="5355" hidden="1" ht="1" customHeight="1">
      <s:c r="A5355" s="120" t="inlineStr"/>
      <s:c r="B5355" s="121" t="n"/>
      <s:c r="C5355" s="121" t="n"/>
      <s:c r="D5355" s="121" t="n"/>
      <s:c r="E5355" s="122" t="n"/>
    </s:row>
    <s:row r="5356" hidden="1" ht="1" customHeight="1">
      <s:c r="A5356" s="120" t="inlineStr"/>
      <s:c r="B5356" s="121" t="n"/>
      <s:c r="C5356" s="121" t="n"/>
      <s:c r="D5356" s="121" t="n"/>
      <s:c r="E5356" s="122" t="n"/>
    </s:row>
    <s:row r="5357" hidden="1" ht="1" customHeight="1">
      <s:c r="A5357" s="120" t="inlineStr"/>
      <s:c r="B5357" s="121" t="n"/>
      <s:c r="C5357" s="121" t="n"/>
      <s:c r="D5357" s="121" t="n"/>
      <s:c r="E5357" s="122" t="n"/>
    </s:row>
    <s:row r="5358" hidden="1" ht="1" customHeight="1">
      <s:c r="A5358" s="120" t="inlineStr"/>
      <s:c r="B5358" s="121" t="n"/>
      <s:c r="C5358" s="121" t="n"/>
      <s:c r="D5358" s="121" t="n"/>
      <s:c r="E5358" s="122" t="n"/>
    </s:row>
    <s:row r="5359" hidden="1" ht="1" customHeight="1">
      <s:c r="A5359" s="120" t="inlineStr"/>
      <s:c r="B5359" s="121" t="n"/>
      <s:c r="C5359" s="121" t="n"/>
      <s:c r="D5359" s="121" t="n"/>
      <s:c r="E5359" s="122" t="n"/>
    </s:row>
    <s:row r="5360" hidden="1" ht="1" customHeight="1">
      <s:c r="A5360" s="120" t="inlineStr"/>
      <s:c r="B5360" s="121" t="n"/>
      <s:c r="C5360" s="121" t="n"/>
      <s:c r="D5360" s="121" t="n"/>
      <s:c r="E5360" s="122" t="n"/>
    </s:row>
    <s:row r="5361" hidden="1" ht="1" customHeight="1">
      <s:c r="A5361" s="120" t="inlineStr"/>
      <s:c r="B5361" s="121" t="n"/>
      <s:c r="C5361" s="121" t="n"/>
      <s:c r="D5361" s="121" t="n"/>
      <s:c r="E5361" s="122" t="n"/>
    </s:row>
    <s:row r="5362" hidden="1" ht="1" customHeight="1">
      <s:c r="A5362" s="120" t="inlineStr"/>
      <s:c r="B5362" s="121" t="n"/>
      <s:c r="C5362" s="121" t="n"/>
      <s:c r="D5362" s="121" t="n"/>
      <s:c r="E5362" s="122" t="n"/>
    </s:row>
    <s:row r="5363" hidden="1" ht="1" customHeight="1">
      <s:c r="A5363" s="120" t="inlineStr"/>
      <s:c r="B5363" s="121" t="n"/>
      <s:c r="C5363" s="121" t="n"/>
      <s:c r="D5363" s="121" t="n"/>
      <s:c r="E5363" s="122" t="n"/>
    </s:row>
    <s:row r="5364" hidden="1" ht="1" customHeight="1">
      <s:c r="A5364" s="120" t="inlineStr"/>
      <s:c r="B5364" s="121" t="n"/>
      <s:c r="C5364" s="121" t="n"/>
      <s:c r="D5364" s="121" t="n"/>
      <s:c r="E5364" s="122" t="n"/>
    </s:row>
    <s:row r="5365" hidden="1" ht="1" customHeight="1">
      <s:c r="A5365" s="120" t="inlineStr"/>
      <s:c r="B5365" s="121" t="n"/>
      <s:c r="C5365" s="121" t="n"/>
      <s:c r="D5365" s="121" t="n"/>
      <s:c r="E5365" s="122" t="n"/>
    </s:row>
    <s:row r="5366" hidden="1" ht="1" customHeight="1">
      <s:c r="A5366" s="120" t="inlineStr"/>
      <s:c r="B5366" s="121" t="n"/>
      <s:c r="C5366" s="121" t="n"/>
      <s:c r="D5366" s="121" t="n"/>
      <s:c r="E5366" s="122" t="n"/>
    </s:row>
    <s:row r="5367" hidden="1" ht="1" customHeight="1">
      <s:c r="A5367" s="120" t="inlineStr"/>
      <s:c r="B5367" s="121" t="n"/>
      <s:c r="C5367" s="121" t="n"/>
      <s:c r="D5367" s="121" t="n"/>
      <s:c r="E5367" s="122" t="n"/>
    </s:row>
    <s:row r="5368" hidden="1" ht="1" customHeight="1">
      <s:c r="A5368" s="120" t="inlineStr"/>
      <s:c r="B5368" s="121" t="n"/>
      <s:c r="C5368" s="121" t="n"/>
      <s:c r="D5368" s="121" t="n"/>
      <s:c r="E5368" s="122" t="n"/>
    </s:row>
    <s:row r="5369" hidden="1" ht="1" customHeight="1">
      <s:c r="A5369" s="120" t="inlineStr"/>
      <s:c r="B5369" s="121" t="n"/>
      <s:c r="C5369" s="121" t="n"/>
      <s:c r="D5369" s="121" t="n"/>
      <s:c r="E5369" s="122" t="n"/>
    </s:row>
    <s:row r="5370" hidden="1" ht="1" customHeight="1">
      <s:c r="A5370" s="120" t="inlineStr"/>
      <s:c r="B5370" s="121" t="n"/>
      <s:c r="C5370" s="121" t="n"/>
      <s:c r="D5370" s="121" t="n"/>
      <s:c r="E5370" s="122" t="n"/>
    </s:row>
    <s:row r="5371" hidden="1" ht="1" customHeight="1">
      <s:c r="A5371" s="120" t="inlineStr"/>
      <s:c r="B5371" s="121" t="n"/>
      <s:c r="C5371" s="121" t="n"/>
      <s:c r="D5371" s="121" t="n"/>
      <s:c r="E5371" s="122" t="n"/>
    </s:row>
    <s:row r="5372" hidden="1" ht="1" customHeight="1">
      <s:c r="A5372" s="120" t="inlineStr"/>
      <s:c r="B5372" s="121" t="n"/>
      <s:c r="C5372" s="121" t="n"/>
      <s:c r="D5372" s="121" t="n"/>
      <s:c r="E5372" s="122" t="n"/>
    </s:row>
    <s:row r="5373" hidden="1" ht="1" customHeight="1">
      <s:c r="A5373" s="120" t="inlineStr"/>
      <s:c r="B5373" s="121" t="n"/>
      <s:c r="C5373" s="121" t="n"/>
      <s:c r="D5373" s="121" t="n"/>
      <s:c r="E5373" s="122" t="n"/>
    </s:row>
    <s:row r="5374" hidden="1" ht="1" customHeight="1">
      <s:c r="A5374" s="120" t="inlineStr"/>
      <s:c r="B5374" s="121" t="n"/>
      <s:c r="C5374" s="121" t="n"/>
      <s:c r="D5374" s="121" t="n"/>
      <s:c r="E5374" s="122" t="n"/>
    </s:row>
    <s:row r="5375" hidden="1" ht="1" customHeight="1">
      <s:c r="A5375" s="120" t="inlineStr"/>
      <s:c r="B5375" s="121" t="n"/>
      <s:c r="C5375" s="121" t="n"/>
      <s:c r="D5375" s="121" t="n"/>
      <s:c r="E5375" s="122" t="n"/>
    </s:row>
    <s:row r="5376" hidden="1" ht="1" customHeight="1">
      <s:c r="A5376" s="120" t="inlineStr"/>
      <s:c r="B5376" s="121" t="n"/>
      <s:c r="C5376" s="121" t="n"/>
      <s:c r="D5376" s="121" t="n"/>
      <s:c r="E5376" s="122" t="n"/>
    </s:row>
    <s:row r="5377" hidden="1" ht="1" customHeight="1">
      <s:c r="A5377" s="120" t="inlineStr"/>
      <s:c r="B5377" s="121" t="n"/>
      <s:c r="C5377" s="121" t="n"/>
      <s:c r="D5377" s="121" t="n"/>
      <s:c r="E5377" s="122" t="n"/>
    </s:row>
    <s:row r="5378" hidden="1" ht="1" customHeight="1">
      <s:c r="A5378" s="120" t="inlineStr"/>
      <s:c r="B5378" s="121" t="n"/>
      <s:c r="C5378" s="121" t="n"/>
      <s:c r="D5378" s="121" t="n"/>
      <s:c r="E5378" s="122" t="n"/>
    </s:row>
    <s:row r="5379" hidden="1" ht="1" customHeight="1">
      <s:c r="A5379" s="120" t="inlineStr"/>
      <s:c r="B5379" s="121" t="n"/>
      <s:c r="C5379" s="121" t="n"/>
      <s:c r="D5379" s="121" t="n"/>
      <s:c r="E5379" s="122" t="n"/>
    </s:row>
    <s:row r="5380" hidden="1" ht="1" customHeight="1">
      <s:c r="A5380" s="120" t="inlineStr"/>
      <s:c r="B5380" s="121" t="n"/>
      <s:c r="C5380" s="121" t="n"/>
      <s:c r="D5380" s="121" t="n"/>
      <s:c r="E5380" s="122" t="n"/>
    </s:row>
    <s:row r="5381" hidden="1" ht="1" customHeight="1">
      <s:c r="A5381" s="120" t="inlineStr"/>
      <s:c r="B5381" s="121" t="n"/>
      <s:c r="C5381" s="121" t="n"/>
      <s:c r="D5381" s="121" t="n"/>
      <s:c r="E5381" s="122" t="n"/>
    </s:row>
    <s:row r="5382" hidden="1" ht="1" customHeight="1">
      <s:c r="A5382" s="120" t="inlineStr"/>
      <s:c r="B5382" s="121" t="n"/>
      <s:c r="C5382" s="121" t="n"/>
      <s:c r="D5382" s="121" t="n"/>
      <s:c r="E5382" s="122" t="n"/>
    </s:row>
    <s:row r="5383" hidden="1" ht="1" customHeight="1">
      <s:c r="A5383" s="120" t="inlineStr"/>
      <s:c r="B5383" s="121" t="n"/>
      <s:c r="C5383" s="121" t="n"/>
      <s:c r="D5383" s="121" t="n"/>
      <s:c r="E5383" s="122" t="n"/>
    </s:row>
    <s:row r="5384" hidden="1" ht="1" customHeight="1">
      <s:c r="A5384" s="120" t="inlineStr"/>
      <s:c r="B5384" s="121" t="n"/>
      <s:c r="C5384" s="121" t="n"/>
      <s:c r="D5384" s="121" t="n"/>
      <s:c r="E5384" s="122" t="n"/>
    </s:row>
    <s:row r="5385" hidden="1" ht="1" customHeight="1">
      <s:c r="A5385" s="120" t="inlineStr"/>
      <s:c r="B5385" s="121" t="n"/>
      <s:c r="C5385" s="121" t="n"/>
      <s:c r="D5385" s="121" t="n"/>
      <s:c r="E5385" s="122" t="n"/>
    </s:row>
    <s:row r="5386" hidden="1" ht="1" customHeight="1">
      <s:c r="A5386" s="120" t="inlineStr"/>
      <s:c r="B5386" s="121" t="n"/>
      <s:c r="C5386" s="121" t="n"/>
      <s:c r="D5386" s="121" t="n"/>
      <s:c r="E5386" s="122" t="n"/>
    </s:row>
    <s:row r="5387" hidden="1" ht="1" customHeight="1">
      <s:c r="A5387" s="120" t="inlineStr"/>
      <s:c r="B5387" s="121" t="n"/>
      <s:c r="C5387" s="121" t="n"/>
      <s:c r="D5387" s="121" t="n"/>
      <s:c r="E5387" s="122" t="n"/>
    </s:row>
    <s:row r="5388" hidden="1" ht="1" customHeight="1">
      <s:c r="A5388" s="120" t="inlineStr"/>
      <s:c r="B5388" s="121" t="n"/>
      <s:c r="C5388" s="121" t="n"/>
      <s:c r="D5388" s="121" t="n"/>
      <s:c r="E5388" s="122" t="n"/>
    </s:row>
    <s:row r="5389" hidden="1" ht="1" customHeight="1">
      <s:c r="A5389" s="120" t="inlineStr"/>
      <s:c r="B5389" s="121" t="n"/>
      <s:c r="C5389" s="121" t="n"/>
      <s:c r="D5389" s="121" t="n"/>
      <s:c r="E5389" s="122" t="n"/>
    </s:row>
    <s:row r="5390" hidden="1" ht="1" customHeight="1">
      <s:c r="A5390" s="120" t="inlineStr"/>
      <s:c r="B5390" s="121" t="n"/>
      <s:c r="C5390" s="121" t="n"/>
      <s:c r="D5390" s="121" t="n"/>
      <s:c r="E5390" s="122" t="n"/>
    </s:row>
    <s:row r="5391" hidden="1" ht="1" customHeight="1">
      <s:c r="A5391" s="120" t="inlineStr"/>
      <s:c r="B5391" s="121" t="n"/>
      <s:c r="C5391" s="121" t="n"/>
      <s:c r="D5391" s="121" t="n"/>
      <s:c r="E5391" s="122" t="n"/>
    </s:row>
    <s:row r="5392" hidden="1" ht="1" customHeight="1">
      <s:c r="A5392" s="120" t="inlineStr"/>
      <s:c r="B5392" s="121" t="n"/>
      <s:c r="C5392" s="121" t="n"/>
      <s:c r="D5392" s="121" t="n"/>
      <s:c r="E5392" s="122" t="n"/>
    </s:row>
    <s:row r="5393" hidden="1" ht="1" customHeight="1">
      <s:c r="A5393" s="120" t="inlineStr"/>
      <s:c r="B5393" s="121" t="n"/>
      <s:c r="C5393" s="121" t="n"/>
      <s:c r="D5393" s="121" t="n"/>
      <s:c r="E5393" s="122" t="n"/>
    </s:row>
    <s:row r="5394" hidden="1" ht="1" customHeight="1">
      <s:c r="A5394" s="120" t="inlineStr"/>
      <s:c r="B5394" s="121" t="n"/>
      <s:c r="C5394" s="121" t="n"/>
      <s:c r="D5394" s="121" t="n"/>
      <s:c r="E5394" s="122" t="n"/>
    </s:row>
    <s:row r="5395" hidden="1" ht="1" customHeight="1">
      <s:c r="A5395" s="120" t="inlineStr"/>
      <s:c r="B5395" s="121" t="n"/>
      <s:c r="C5395" s="121" t="n"/>
      <s:c r="D5395" s="121" t="n"/>
      <s:c r="E5395" s="122" t="n"/>
    </s:row>
    <s:row r="5396" hidden="1" ht="1" customHeight="1">
      <s:c r="A5396" s="120" t="inlineStr"/>
      <s:c r="B5396" s="121" t="n"/>
      <s:c r="C5396" s="121" t="n"/>
      <s:c r="D5396" s="121" t="n"/>
      <s:c r="E5396" s="122" t="n"/>
    </s:row>
    <s:row r="5397" hidden="1" ht="1" customHeight="1">
      <s:c r="A5397" s="120" t="inlineStr"/>
      <s:c r="B5397" s="121" t="n"/>
      <s:c r="C5397" s="121" t="n"/>
      <s:c r="D5397" s="121" t="n"/>
      <s:c r="E5397" s="122" t="n"/>
    </s:row>
    <s:row r="5398" hidden="1" ht="1" customHeight="1">
      <s:c r="A5398" s="120" t="inlineStr"/>
      <s:c r="B5398" s="121" t="n"/>
      <s:c r="C5398" s="121" t="n"/>
      <s:c r="D5398" s="121" t="n"/>
      <s:c r="E5398" s="122" t="n"/>
    </s:row>
    <s:row r="5399" hidden="1" ht="1" customHeight="1">
      <s:c r="A5399" s="120" t="inlineStr"/>
      <s:c r="B5399" s="121" t="n"/>
      <s:c r="C5399" s="121" t="n"/>
      <s:c r="D5399" s="121" t="n"/>
      <s:c r="E5399" s="122" t="n"/>
    </s:row>
    <s:row r="5400" hidden="1" ht="1" customHeight="1">
      <s:c r="A5400" s="120" t="inlineStr"/>
      <s:c r="B5400" s="121" t="n"/>
      <s:c r="C5400" s="121" t="n"/>
      <s:c r="D5400" s="121" t="n"/>
      <s:c r="E5400" s="122" t="n"/>
    </s:row>
    <s:row r="5401" hidden="1" ht="1" customHeight="1">
      <s:c r="A5401" s="120" t="inlineStr"/>
      <s:c r="B5401" s="121" t="n"/>
      <s:c r="C5401" s="121" t="n"/>
      <s:c r="D5401" s="121" t="n"/>
      <s:c r="E5401" s="122" t="n"/>
    </s:row>
    <s:row r="5402" hidden="1" ht="1" customHeight="1">
      <s:c r="A5402" s="120" t="inlineStr"/>
      <s:c r="B5402" s="121" t="n"/>
      <s:c r="C5402" s="121" t="n"/>
      <s:c r="D5402" s="121" t="n"/>
      <s:c r="E5402" s="122" t="n"/>
    </s:row>
    <s:row r="5403" hidden="1" ht="1" customHeight="1">
      <s:c r="A5403" s="120" t="inlineStr"/>
      <s:c r="B5403" s="121" t="n"/>
      <s:c r="C5403" s="121" t="n"/>
      <s:c r="D5403" s="121" t="n"/>
      <s:c r="E5403" s="122" t="n"/>
    </s:row>
    <s:row r="5404" hidden="1" ht="1" customHeight="1">
      <s:c r="A5404" s="120" t="inlineStr"/>
      <s:c r="B5404" s="121" t="n"/>
      <s:c r="C5404" s="121" t="n"/>
      <s:c r="D5404" s="121" t="n"/>
      <s:c r="E5404" s="122" t="n"/>
    </s:row>
    <s:row r="5405" hidden="1" ht="1" customHeight="1">
      <s:c r="A5405" s="120" t="inlineStr"/>
      <s:c r="B5405" s="121" t="n"/>
      <s:c r="C5405" s="121" t="n"/>
      <s:c r="D5405" s="121" t="n"/>
      <s:c r="E5405" s="122" t="n"/>
    </s:row>
    <s:row r="5406" hidden="1" ht="1" customHeight="1">
      <s:c r="A5406" s="120" t="inlineStr"/>
      <s:c r="B5406" s="121" t="n"/>
      <s:c r="C5406" s="121" t="n"/>
      <s:c r="D5406" s="121" t="n"/>
      <s:c r="E5406" s="122" t="n"/>
    </s:row>
    <s:row r="5407" hidden="1" ht="1" customHeight="1">
      <s:c r="A5407" s="120" t="inlineStr"/>
      <s:c r="B5407" s="121" t="n"/>
      <s:c r="C5407" s="121" t="n"/>
      <s:c r="D5407" s="121" t="n"/>
      <s:c r="E5407" s="122" t="n"/>
    </s:row>
    <s:row r="5408" hidden="1" ht="1" customHeight="1">
      <s:c r="A5408" s="120" t="inlineStr"/>
      <s:c r="B5408" s="121" t="n"/>
      <s:c r="C5408" s="121" t="n"/>
      <s:c r="D5408" s="121" t="n"/>
      <s:c r="E5408" s="122" t="n"/>
    </s:row>
    <s:row r="5409" hidden="1" ht="1" customHeight="1">
      <s:c r="A5409" s="120" t="inlineStr"/>
      <s:c r="B5409" s="121" t="n"/>
      <s:c r="C5409" s="121" t="n"/>
      <s:c r="D5409" s="121" t="n"/>
      <s:c r="E5409" s="122" t="n"/>
    </s:row>
    <s:row r="5410" hidden="1" ht="1" customHeight="1">
      <s:c r="A5410" s="120" t="inlineStr"/>
      <s:c r="B5410" s="121" t="n"/>
      <s:c r="C5410" s="121" t="n"/>
      <s:c r="D5410" s="121" t="n"/>
      <s:c r="E5410" s="122" t="n"/>
    </s:row>
    <s:row r="5411" hidden="1" ht="1" customHeight="1">
      <s:c r="A5411" s="120" t="inlineStr"/>
      <s:c r="B5411" s="121" t="n"/>
      <s:c r="C5411" s="121" t="n"/>
      <s:c r="D5411" s="121" t="n"/>
      <s:c r="E5411" s="122" t="n"/>
    </s:row>
    <s:row r="5412" hidden="1" ht="1" customHeight="1">
      <s:c r="A5412" s="120" t="inlineStr"/>
      <s:c r="B5412" s="121" t="n"/>
      <s:c r="C5412" s="121" t="n"/>
      <s:c r="D5412" s="121" t="n"/>
      <s:c r="E5412" s="122" t="n"/>
    </s:row>
    <s:row r="5413" hidden="1" ht="1" customHeight="1">
      <s:c r="A5413" s="120" t="inlineStr"/>
      <s:c r="B5413" s="121" t="n"/>
      <s:c r="C5413" s="121" t="n"/>
      <s:c r="D5413" s="121" t="n"/>
      <s:c r="E5413" s="122" t="n"/>
    </s:row>
    <s:row r="5414" hidden="1" ht="1" customHeight="1">
      <s:c r="A5414" s="120" t="inlineStr"/>
      <s:c r="B5414" s="121" t="n"/>
      <s:c r="C5414" s="121" t="n"/>
      <s:c r="D5414" s="121" t="n"/>
      <s:c r="E5414" s="122" t="n"/>
    </s:row>
    <s:row r="5415" hidden="1" ht="1" customHeight="1">
      <s:c r="A5415" s="120" t="inlineStr"/>
      <s:c r="B5415" s="121" t="n"/>
      <s:c r="C5415" s="121" t="n"/>
      <s:c r="D5415" s="121" t="n"/>
      <s:c r="E5415" s="122" t="n"/>
    </s:row>
    <s:row r="5416" hidden="1" ht="1" customHeight="1">
      <s:c r="A5416" s="120" t="inlineStr"/>
      <s:c r="B5416" s="121" t="n"/>
      <s:c r="C5416" s="121" t="n"/>
      <s:c r="D5416" s="121" t="n"/>
      <s:c r="E5416" s="122" t="n"/>
    </s:row>
    <s:row r="5417" hidden="1" ht="1" customHeight="1">
      <s:c r="A5417" s="120" t="inlineStr"/>
      <s:c r="B5417" s="121" t="n"/>
      <s:c r="C5417" s="121" t="n"/>
      <s:c r="D5417" s="121" t="n"/>
      <s:c r="E5417" s="122" t="n"/>
    </s:row>
    <s:row r="5418" hidden="1" ht="1" customHeight="1">
      <s:c r="A5418" s="120" t="inlineStr"/>
      <s:c r="B5418" s="121" t="n"/>
      <s:c r="C5418" s="121" t="n"/>
      <s:c r="D5418" s="121" t="n"/>
      <s:c r="E5418" s="122" t="n"/>
    </s:row>
    <s:row r="5419" hidden="1" ht="1" customHeight="1">
      <s:c r="A5419" s="120" t="inlineStr"/>
      <s:c r="B5419" s="121" t="n"/>
      <s:c r="C5419" s="121" t="n"/>
      <s:c r="D5419" s="121" t="n"/>
      <s:c r="E5419" s="122" t="n"/>
    </s:row>
    <s:row r="5420" hidden="1" ht="1" customHeight="1">
      <s:c r="A5420" s="120" t="inlineStr"/>
      <s:c r="B5420" s="121" t="n"/>
      <s:c r="C5420" s="121" t="n"/>
      <s:c r="D5420" s="121" t="n"/>
      <s:c r="E5420" s="122" t="n"/>
    </s:row>
    <s:row r="5421" hidden="1" ht="1" customHeight="1">
      <s:c r="A5421" s="120" t="inlineStr"/>
      <s:c r="B5421" s="121" t="n"/>
      <s:c r="C5421" s="121" t="n"/>
      <s:c r="D5421" s="121" t="n"/>
      <s:c r="E5421" s="122" t="n"/>
    </s:row>
    <s:row r="5422" hidden="1" ht="1" customHeight="1">
      <s:c r="A5422" s="120" t="inlineStr"/>
      <s:c r="B5422" s="121" t="n"/>
      <s:c r="C5422" s="121" t="n"/>
      <s:c r="D5422" s="121" t="n"/>
      <s:c r="E5422" s="122" t="n"/>
    </s:row>
    <s:row r="5423" hidden="1" ht="1" customHeight="1">
      <s:c r="A5423" s="120" t="inlineStr"/>
      <s:c r="B5423" s="121" t="n"/>
      <s:c r="C5423" s="121" t="n"/>
      <s:c r="D5423" s="121" t="n"/>
      <s:c r="E5423" s="122" t="n"/>
    </s:row>
    <s:row r="5424" hidden="1" ht="1" customHeight="1">
      <s:c r="A5424" s="120" t="inlineStr"/>
      <s:c r="B5424" s="121" t="n"/>
      <s:c r="C5424" s="121" t="n"/>
      <s:c r="D5424" s="121" t="n"/>
      <s:c r="E5424" s="122" t="n"/>
    </s:row>
    <s:row r="5425" hidden="1" ht="1" customHeight="1">
      <s:c r="A5425" s="120" t="inlineStr"/>
      <s:c r="B5425" s="121" t="n"/>
      <s:c r="C5425" s="121" t="n"/>
      <s:c r="D5425" s="121" t="n"/>
      <s:c r="E5425" s="122" t="n"/>
    </s:row>
    <s:row r="5426" hidden="1" ht="1" customHeight="1">
      <s:c r="A5426" s="120" t="inlineStr"/>
      <s:c r="B5426" s="121" t="n"/>
      <s:c r="C5426" s="121" t="n"/>
      <s:c r="D5426" s="121" t="n"/>
      <s:c r="E5426" s="122" t="n"/>
    </s:row>
    <s:row r="5427" hidden="1" ht="1" customHeight="1">
      <s:c r="A5427" s="120" t="inlineStr"/>
      <s:c r="B5427" s="121" t="n"/>
      <s:c r="C5427" s="121" t="n"/>
      <s:c r="D5427" s="121" t="n"/>
      <s:c r="E5427" s="122" t="n"/>
    </s:row>
    <s:row r="5428" hidden="1" ht="1" customHeight="1">
      <s:c r="A5428" s="120" t="inlineStr"/>
      <s:c r="B5428" s="121" t="n"/>
      <s:c r="C5428" s="121" t="n"/>
      <s:c r="D5428" s="121" t="n"/>
      <s:c r="E5428" s="122" t="n"/>
    </s:row>
    <s:row r="5429" hidden="1" ht="1" customHeight="1">
      <s:c r="A5429" s="120" t="inlineStr"/>
      <s:c r="B5429" s="121" t="n"/>
      <s:c r="C5429" s="121" t="n"/>
      <s:c r="D5429" s="121" t="n"/>
      <s:c r="E5429" s="122" t="n"/>
    </s:row>
    <s:row r="5430" hidden="1" ht="1" customHeight="1">
      <s:c r="A5430" s="120" t="inlineStr"/>
      <s:c r="B5430" s="121" t="n"/>
      <s:c r="C5430" s="121" t="n"/>
      <s:c r="D5430" s="121" t="n"/>
      <s:c r="E5430" s="122" t="n"/>
    </s:row>
    <s:row r="5431" hidden="1" ht="1" customHeight="1">
      <s:c r="A5431" s="120" t="inlineStr"/>
      <s:c r="B5431" s="121" t="n"/>
      <s:c r="C5431" s="121" t="n"/>
      <s:c r="D5431" s="121" t="n"/>
      <s:c r="E5431" s="122" t="n"/>
    </s:row>
    <s:row r="5432" hidden="1" ht="1" customHeight="1">
      <s:c r="A5432" s="120" t="inlineStr"/>
      <s:c r="B5432" s="121" t="n"/>
      <s:c r="C5432" s="121" t="n"/>
      <s:c r="D5432" s="121" t="n"/>
      <s:c r="E5432" s="122" t="n"/>
    </s:row>
    <s:row r="5433" hidden="1" ht="1" customHeight="1">
      <s:c r="A5433" s="120" t="inlineStr"/>
      <s:c r="B5433" s="121" t="n"/>
      <s:c r="C5433" s="121" t="n"/>
      <s:c r="D5433" s="121" t="n"/>
      <s:c r="E5433" s="122" t="n"/>
    </s:row>
    <s:row r="5434" hidden="1" ht="1" customHeight="1">
      <s:c r="A5434" s="120" t="inlineStr"/>
      <s:c r="B5434" s="121" t="n"/>
      <s:c r="C5434" s="121" t="n"/>
      <s:c r="D5434" s="121" t="n"/>
      <s:c r="E5434" s="122" t="n"/>
    </s:row>
    <s:row r="5435" hidden="1" ht="1" customHeight="1">
      <s:c r="A5435" s="120" t="inlineStr"/>
      <s:c r="B5435" s="121" t="n"/>
      <s:c r="C5435" s="121" t="n"/>
      <s:c r="D5435" s="121" t="n"/>
      <s:c r="E5435" s="122" t="n"/>
    </s:row>
    <s:row r="5436" hidden="1" ht="1" customHeight="1">
      <s:c r="A5436" s="120" t="inlineStr"/>
      <s:c r="B5436" s="121" t="n"/>
      <s:c r="C5436" s="121" t="n"/>
      <s:c r="D5436" s="121" t="n"/>
      <s:c r="E5436" s="122" t="n"/>
    </s:row>
    <s:row r="5437" hidden="1" ht="1" customHeight="1">
      <s:c r="A5437" s="120" t="inlineStr"/>
      <s:c r="B5437" s="121" t="n"/>
      <s:c r="C5437" s="121" t="n"/>
      <s:c r="D5437" s="121" t="n"/>
      <s:c r="E5437" s="122" t="n"/>
    </s:row>
    <s:row r="5438" hidden="1" ht="1" customHeight="1">
      <s:c r="A5438" s="120" t="inlineStr"/>
      <s:c r="B5438" s="121" t="n"/>
      <s:c r="C5438" s="121" t="n"/>
      <s:c r="D5438" s="121" t="n"/>
      <s:c r="E5438" s="122" t="n"/>
    </s:row>
    <s:row r="5439" hidden="1" ht="1" customHeight="1">
      <s:c r="A5439" s="120" t="inlineStr"/>
      <s:c r="B5439" s="121" t="n"/>
      <s:c r="C5439" s="121" t="n"/>
      <s:c r="D5439" s="121" t="n"/>
      <s:c r="E5439" s="122" t="n"/>
    </s:row>
    <s:row r="5440" hidden="1" ht="1" customHeight="1">
      <s:c r="A5440" s="120" t="inlineStr"/>
      <s:c r="B5440" s="121" t="n"/>
      <s:c r="C5440" s="121" t="n"/>
      <s:c r="D5440" s="121" t="n"/>
      <s:c r="E5440" s="122" t="n"/>
    </s:row>
    <s:row r="5441" hidden="1" ht="1" customHeight="1">
      <s:c r="A5441" s="120" t="inlineStr"/>
      <s:c r="B5441" s="121" t="n"/>
      <s:c r="C5441" s="121" t="n"/>
      <s:c r="D5441" s="121" t="n"/>
      <s:c r="E5441" s="122" t="n"/>
    </s:row>
    <s:row r="5442" hidden="1" ht="1" customHeight="1">
      <s:c r="A5442" s="120" t="inlineStr"/>
      <s:c r="B5442" s="121" t="n"/>
      <s:c r="C5442" s="121" t="n"/>
      <s:c r="D5442" s="121" t="n"/>
      <s:c r="E5442" s="122" t="n"/>
    </s:row>
    <s:row r="5443" hidden="1" ht="1" customHeight="1">
      <s:c r="A5443" s="120" t="inlineStr"/>
      <s:c r="B5443" s="121" t="n"/>
      <s:c r="C5443" s="121" t="n"/>
      <s:c r="D5443" s="121" t="n"/>
      <s:c r="E5443" s="122" t="n"/>
    </s:row>
    <s:row r="5444" hidden="1" ht="1" customHeight="1">
      <s:c r="A5444" s="120" t="inlineStr"/>
      <s:c r="B5444" s="121" t="n"/>
      <s:c r="C5444" s="121" t="n"/>
      <s:c r="D5444" s="121" t="n"/>
      <s:c r="E5444" s="122" t="n"/>
    </s:row>
    <s:row r="5445" hidden="1" ht="1" customHeight="1">
      <s:c r="A5445" s="120" t="inlineStr"/>
      <s:c r="B5445" s="121" t="n"/>
      <s:c r="C5445" s="121" t="n"/>
      <s:c r="D5445" s="121" t="n"/>
      <s:c r="E5445" s="122" t="n"/>
    </s:row>
    <s:row r="5446" hidden="1" ht="1" customHeight="1">
      <s:c r="A5446" s="120" t="inlineStr"/>
      <s:c r="B5446" s="121" t="n"/>
      <s:c r="C5446" s="121" t="n"/>
      <s:c r="D5446" s="121" t="n"/>
      <s:c r="E5446" s="122" t="n"/>
    </s:row>
    <s:row r="5447" hidden="1" ht="1" customHeight="1">
      <s:c r="A5447" s="120" t="inlineStr"/>
      <s:c r="B5447" s="121" t="n"/>
      <s:c r="C5447" s="121" t="n"/>
      <s:c r="D5447" s="121" t="n"/>
      <s:c r="E5447" s="122" t="n"/>
    </s:row>
    <s:row r="5448" hidden="1" ht="1" customHeight="1">
      <s:c r="A5448" s="120" t="inlineStr"/>
      <s:c r="B5448" s="121" t="n"/>
      <s:c r="C5448" s="121" t="n"/>
      <s:c r="D5448" s="121" t="n"/>
      <s:c r="E5448" s="122" t="n"/>
    </s:row>
    <s:row r="5449" hidden="1" ht="1" customHeight="1">
      <s:c r="A5449" s="120" t="inlineStr"/>
      <s:c r="B5449" s="121" t="n"/>
      <s:c r="C5449" s="121" t="n"/>
      <s:c r="D5449" s="121" t="n"/>
      <s:c r="E5449" s="122" t="n"/>
    </s:row>
    <s:row r="5450" hidden="1" ht="1" customHeight="1">
      <s:c r="A5450" s="120" t="inlineStr"/>
      <s:c r="B5450" s="121" t="n"/>
      <s:c r="C5450" s="121" t="n"/>
      <s:c r="D5450" s="121" t="n"/>
      <s:c r="E5450" s="122" t="n"/>
    </s:row>
    <s:row r="5451" hidden="1" ht="1" customHeight="1">
      <s:c r="A5451" s="120" t="inlineStr"/>
      <s:c r="B5451" s="121" t="n"/>
      <s:c r="C5451" s="121" t="n"/>
      <s:c r="D5451" s="121" t="n"/>
      <s:c r="E5451" s="122" t="n"/>
    </s:row>
    <s:row r="5452" hidden="1" ht="1" customHeight="1">
      <s:c r="A5452" s="120" t="inlineStr"/>
      <s:c r="B5452" s="121" t="n"/>
      <s:c r="C5452" s="121" t="n"/>
      <s:c r="D5452" s="121" t="n"/>
      <s:c r="E5452" s="122" t="n"/>
    </s:row>
    <s:row r="5453" hidden="1" ht="1" customHeight="1">
      <s:c r="A5453" s="120" t="inlineStr"/>
      <s:c r="B5453" s="121" t="n"/>
      <s:c r="C5453" s="121" t="n"/>
      <s:c r="D5453" s="121" t="n"/>
      <s:c r="E5453" s="122" t="n"/>
    </s:row>
    <s:row r="5454" hidden="1" ht="1" customHeight="1">
      <s:c r="A5454" s="120" t="inlineStr"/>
      <s:c r="B5454" s="121" t="n"/>
      <s:c r="C5454" s="121" t="n"/>
      <s:c r="D5454" s="121" t="n"/>
      <s:c r="E5454" s="122" t="n"/>
    </s:row>
    <s:row r="5455" hidden="1" ht="1" customHeight="1">
      <s:c r="A5455" s="120" t="inlineStr"/>
      <s:c r="B5455" s="121" t="n"/>
      <s:c r="C5455" s="121" t="n"/>
      <s:c r="D5455" s="121" t="n"/>
      <s:c r="E5455" s="122" t="n"/>
    </s:row>
    <s:row r="5456" hidden="1" ht="1" customHeight="1">
      <s:c r="A5456" s="120" t="inlineStr"/>
      <s:c r="B5456" s="121" t="n"/>
      <s:c r="C5456" s="121" t="n"/>
      <s:c r="D5456" s="121" t="n"/>
      <s:c r="E5456" s="122" t="n"/>
    </s:row>
    <s:row r="5457" hidden="1" ht="1" customHeight="1">
      <s:c r="A5457" s="120" t="inlineStr"/>
      <s:c r="B5457" s="121" t="n"/>
      <s:c r="C5457" s="121" t="n"/>
      <s:c r="D5457" s="121" t="n"/>
      <s:c r="E5457" s="122" t="n"/>
    </s:row>
    <s:row r="5458" hidden="1" ht="1" customHeight="1">
      <s:c r="A5458" s="120" t="inlineStr"/>
      <s:c r="B5458" s="121" t="n"/>
      <s:c r="C5458" s="121" t="n"/>
      <s:c r="D5458" s="121" t="n"/>
      <s:c r="E5458" s="122" t="n"/>
    </s:row>
    <s:row r="5459" hidden="1" ht="1" customHeight="1">
      <s:c r="A5459" s="120" t="inlineStr"/>
      <s:c r="B5459" s="121" t="n"/>
      <s:c r="C5459" s="121" t="n"/>
      <s:c r="D5459" s="121" t="n"/>
      <s:c r="E5459" s="122" t="n"/>
    </s:row>
    <s:row r="5460" hidden="1" ht="1" customHeight="1">
      <s:c r="A5460" s="120" t="inlineStr"/>
      <s:c r="B5460" s="121" t="n"/>
      <s:c r="C5460" s="121" t="n"/>
      <s:c r="D5460" s="121" t="n"/>
      <s:c r="E5460" s="122" t="n"/>
    </s:row>
    <s:row r="5461" hidden="1" ht="1" customHeight="1">
      <s:c r="A5461" s="120" t="inlineStr"/>
      <s:c r="B5461" s="121" t="n"/>
      <s:c r="C5461" s="121" t="n"/>
      <s:c r="D5461" s="121" t="n"/>
      <s:c r="E5461" s="122" t="n"/>
    </s:row>
    <s:row r="5462" hidden="1" ht="1" customHeight="1">
      <s:c r="A5462" s="120" t="inlineStr"/>
      <s:c r="B5462" s="121" t="n"/>
      <s:c r="C5462" s="121" t="n"/>
      <s:c r="D5462" s="121" t="n"/>
      <s:c r="E5462" s="122" t="n"/>
    </s:row>
    <s:row r="5463" hidden="1" ht="1" customHeight="1">
      <s:c r="A5463" s="120" t="inlineStr"/>
      <s:c r="B5463" s="121" t="n"/>
      <s:c r="C5463" s="121" t="n"/>
      <s:c r="D5463" s="121" t="n"/>
      <s:c r="E5463" s="122" t="n"/>
    </s:row>
    <s:row r="5464" hidden="1" ht="1" customHeight="1">
      <s:c r="A5464" s="120" t="inlineStr"/>
      <s:c r="B5464" s="121" t="n"/>
      <s:c r="C5464" s="121" t="n"/>
      <s:c r="D5464" s="121" t="n"/>
      <s:c r="E5464" s="122" t="n"/>
    </s:row>
    <s:row r="5465" hidden="1" ht="1" customHeight="1">
      <s:c r="A5465" s="120" t="inlineStr"/>
      <s:c r="B5465" s="121" t="n"/>
      <s:c r="C5465" s="121" t="n"/>
      <s:c r="D5465" s="121" t="n"/>
      <s:c r="E5465" s="122" t="n"/>
    </s:row>
    <s:row r="5466" hidden="1" ht="1" customHeight="1">
      <s:c r="A5466" s="120" t="inlineStr"/>
      <s:c r="B5466" s="121" t="n"/>
      <s:c r="C5466" s="121" t="n"/>
      <s:c r="D5466" s="121" t="n"/>
      <s:c r="E5466" s="122" t="n"/>
    </s:row>
    <s:row r="5467" hidden="1" ht="1" customHeight="1">
      <s:c r="A5467" s="120" t="inlineStr"/>
      <s:c r="B5467" s="121" t="n"/>
      <s:c r="C5467" s="121" t="n"/>
      <s:c r="D5467" s="121" t="n"/>
      <s:c r="E5467" s="122" t="n"/>
    </s:row>
    <s:row r="5468" hidden="1" ht="1" customHeight="1">
      <s:c r="A5468" s="120" t="inlineStr"/>
      <s:c r="B5468" s="121" t="n"/>
      <s:c r="C5468" s="121" t="n"/>
      <s:c r="D5468" s="121" t="n"/>
      <s:c r="E5468" s="122" t="n"/>
    </s:row>
    <s:row r="5469" hidden="1" ht="1" customHeight="1">
      <s:c r="A5469" s="120" t="inlineStr"/>
      <s:c r="B5469" s="121" t="n"/>
      <s:c r="C5469" s="121" t="n"/>
      <s:c r="D5469" s="121" t="n"/>
      <s:c r="E5469" s="122" t="n"/>
    </s:row>
    <s:row r="5470" hidden="1" ht="1" customHeight="1">
      <s:c r="A5470" s="120" t="inlineStr"/>
      <s:c r="B5470" s="121" t="n"/>
      <s:c r="C5470" s="121" t="n"/>
      <s:c r="D5470" s="121" t="n"/>
      <s:c r="E5470" s="122" t="n"/>
    </s:row>
    <s:row r="5471" hidden="1" ht="1" customHeight="1">
      <s:c r="A5471" s="120" t="inlineStr"/>
      <s:c r="B5471" s="121" t="n"/>
      <s:c r="C5471" s="121" t="n"/>
      <s:c r="D5471" s="121" t="n"/>
      <s:c r="E5471" s="122" t="n"/>
    </s:row>
    <s:row r="5472" hidden="1" ht="1" customHeight="1">
      <s:c r="A5472" s="120" t="inlineStr"/>
      <s:c r="B5472" s="121" t="n"/>
      <s:c r="C5472" s="121" t="n"/>
      <s:c r="D5472" s="121" t="n"/>
      <s:c r="E5472" s="122" t="n"/>
    </s:row>
    <s:row r="5473" hidden="1" ht="1" customHeight="1">
      <s:c r="A5473" s="120" t="inlineStr"/>
      <s:c r="B5473" s="121" t="n"/>
      <s:c r="C5473" s="121" t="n"/>
      <s:c r="D5473" s="121" t="n"/>
      <s:c r="E5473" s="122" t="n"/>
    </s:row>
    <s:row r="5474" hidden="1" ht="1" customHeight="1">
      <s:c r="A5474" s="120" t="inlineStr"/>
      <s:c r="B5474" s="121" t="n"/>
      <s:c r="C5474" s="121" t="n"/>
      <s:c r="D5474" s="121" t="n"/>
      <s:c r="E5474" s="122" t="n"/>
    </s:row>
    <s:row r="5475" hidden="1" ht="1" customHeight="1">
      <s:c r="A5475" s="120" t="inlineStr"/>
      <s:c r="B5475" s="121" t="n"/>
      <s:c r="C5475" s="121" t="n"/>
      <s:c r="D5475" s="121" t="n"/>
      <s:c r="E5475" s="122" t="n"/>
    </s:row>
    <s:row r="5476" hidden="1" ht="1" customHeight="1">
      <s:c r="A5476" s="120" t="inlineStr"/>
      <s:c r="B5476" s="121" t="n"/>
      <s:c r="C5476" s="121" t="n"/>
      <s:c r="D5476" s="121" t="n"/>
      <s:c r="E5476" s="122" t="n"/>
    </s:row>
    <s:row r="5477" hidden="1" ht="1" customHeight="1">
      <s:c r="A5477" s="120" t="inlineStr"/>
      <s:c r="B5477" s="121" t="n"/>
      <s:c r="C5477" s="121" t="n"/>
      <s:c r="D5477" s="121" t="n"/>
      <s:c r="E5477" s="122" t="n"/>
    </s:row>
    <s:row r="5478" hidden="1" ht="1" customHeight="1">
      <s:c r="A5478" s="120" t="inlineStr"/>
      <s:c r="B5478" s="121" t="n"/>
      <s:c r="C5478" s="121" t="n"/>
      <s:c r="D5478" s="121" t="n"/>
      <s:c r="E5478" s="122" t="n"/>
    </s:row>
    <s:row r="5479" hidden="1" ht="1" customHeight="1">
      <s:c r="A5479" s="120" t="inlineStr"/>
      <s:c r="B5479" s="121" t="n"/>
      <s:c r="C5479" s="121" t="n"/>
      <s:c r="D5479" s="121" t="n"/>
      <s:c r="E5479" s="122" t="n"/>
    </s:row>
    <s:row r="5480" hidden="1" ht="1" customHeight="1">
      <s:c r="A5480" s="120" t="inlineStr"/>
      <s:c r="B5480" s="121" t="n"/>
      <s:c r="C5480" s="121" t="n"/>
      <s:c r="D5480" s="121" t="n"/>
      <s:c r="E5480" s="122" t="n"/>
    </s:row>
    <s:row r="5481" hidden="1" ht="1" customHeight="1">
      <s:c r="A5481" s="120" t="inlineStr"/>
      <s:c r="B5481" s="121" t="n"/>
      <s:c r="C5481" s="121" t="n"/>
      <s:c r="D5481" s="121" t="n"/>
      <s:c r="E5481" s="122" t="n"/>
    </s:row>
    <s:row r="5482" hidden="1" ht="1" customHeight="1">
      <s:c r="A5482" s="120" t="inlineStr"/>
      <s:c r="B5482" s="121" t="n"/>
      <s:c r="C5482" s="121" t="n"/>
      <s:c r="D5482" s="121" t="n"/>
      <s:c r="E5482" s="122" t="n"/>
    </s:row>
    <s:row r="5483" hidden="1" ht="1" customHeight="1">
      <s:c r="A5483" s="120" t="inlineStr"/>
      <s:c r="B5483" s="121" t="n"/>
      <s:c r="C5483" s="121" t="n"/>
      <s:c r="D5483" s="121" t="n"/>
      <s:c r="E5483" s="122" t="n"/>
    </s:row>
    <s:row r="5484" hidden="1" ht="1" customHeight="1">
      <s:c r="A5484" s="120" t="inlineStr"/>
      <s:c r="B5484" s="121" t="n"/>
      <s:c r="C5484" s="121" t="n"/>
      <s:c r="D5484" s="121" t="n"/>
      <s:c r="E5484" s="122" t="n"/>
    </s:row>
    <s:row r="5485" hidden="1" ht="1" customHeight="1">
      <s:c r="A5485" s="120" t="inlineStr"/>
      <s:c r="B5485" s="121" t="n"/>
      <s:c r="C5485" s="121" t="n"/>
      <s:c r="D5485" s="121" t="n"/>
      <s:c r="E5485" s="122" t="n"/>
    </s:row>
    <s:row r="5486" hidden="1" ht="1" customHeight="1">
      <s:c r="A5486" s="120" t="inlineStr"/>
      <s:c r="B5486" s="121" t="n"/>
      <s:c r="C5486" s="121" t="n"/>
      <s:c r="D5486" s="121" t="n"/>
      <s:c r="E5486" s="122" t="n"/>
    </s:row>
    <s:row r="5487" hidden="1" ht="1" customHeight="1">
      <s:c r="A5487" s="120" t="inlineStr"/>
      <s:c r="B5487" s="121" t="n"/>
      <s:c r="C5487" s="121" t="n"/>
      <s:c r="D5487" s="121" t="n"/>
      <s:c r="E5487" s="122" t="n"/>
    </s:row>
    <s:row r="5488" hidden="1" ht="1" customHeight="1">
      <s:c r="A5488" s="120" t="inlineStr"/>
      <s:c r="B5488" s="121" t="n"/>
      <s:c r="C5488" s="121" t="n"/>
      <s:c r="D5488" s="121" t="n"/>
      <s:c r="E5488" s="122" t="n"/>
    </s:row>
    <s:row r="5489" hidden="1" ht="1" customHeight="1">
      <s:c r="A5489" s="120" t="inlineStr"/>
      <s:c r="B5489" s="121" t="n"/>
      <s:c r="C5489" s="121" t="n"/>
      <s:c r="D5489" s="121" t="n"/>
      <s:c r="E5489" s="122" t="n"/>
    </s:row>
    <s:row r="5490" hidden="1" ht="1" customHeight="1">
      <s:c r="A5490" s="120" t="inlineStr"/>
      <s:c r="B5490" s="121" t="n"/>
      <s:c r="C5490" s="121" t="n"/>
      <s:c r="D5490" s="121" t="n"/>
      <s:c r="E5490" s="122" t="n"/>
    </s:row>
    <s:row r="5491" hidden="1" ht="1" customHeight="1">
      <s:c r="A5491" s="120" t="inlineStr"/>
      <s:c r="B5491" s="121" t="n"/>
      <s:c r="C5491" s="121" t="n"/>
      <s:c r="D5491" s="121" t="n"/>
      <s:c r="E5491" s="122" t="n"/>
    </s:row>
    <s:row r="5492" hidden="1" ht="1" customHeight="1">
      <s:c r="A5492" s="120" t="inlineStr"/>
      <s:c r="B5492" s="121" t="n"/>
      <s:c r="C5492" s="121" t="n"/>
      <s:c r="D5492" s="121" t="n"/>
      <s:c r="E5492" s="122" t="n"/>
    </s:row>
    <s:row r="5493" hidden="1" ht="1" customHeight="1">
      <s:c r="A5493" s="120" t="inlineStr"/>
      <s:c r="B5493" s="121" t="n"/>
      <s:c r="C5493" s="121" t="n"/>
      <s:c r="D5493" s="121" t="n"/>
      <s:c r="E5493" s="122" t="n"/>
    </s:row>
    <s:row r="5494" hidden="1" ht="1" customHeight="1">
      <s:c r="A5494" s="120" t="inlineStr"/>
      <s:c r="B5494" s="121" t="n"/>
      <s:c r="C5494" s="121" t="n"/>
      <s:c r="D5494" s="121" t="n"/>
      <s:c r="E5494" s="122" t="n"/>
    </s:row>
    <s:row r="5495" hidden="1" ht="1" customHeight="1">
      <s:c r="A5495" s="120" t="inlineStr"/>
      <s:c r="B5495" s="121" t="n"/>
      <s:c r="C5495" s="121" t="n"/>
      <s:c r="D5495" s="121" t="n"/>
      <s:c r="E5495" s="122" t="n"/>
    </s:row>
    <s:row r="5496" hidden="1" ht="1" customHeight="1">
      <s:c r="A5496" s="120" t="inlineStr"/>
      <s:c r="B5496" s="121" t="n"/>
      <s:c r="C5496" s="121" t="n"/>
      <s:c r="D5496" s="121" t="n"/>
      <s:c r="E5496" s="122" t="n"/>
    </s:row>
    <s:row r="5497" hidden="1" ht="1" customHeight="1">
      <s:c r="A5497" s="120" t="inlineStr"/>
      <s:c r="B5497" s="121" t="n"/>
      <s:c r="C5497" s="121" t="n"/>
      <s:c r="D5497" s="121" t="n"/>
      <s:c r="E5497" s="122" t="n"/>
    </s:row>
    <s:row r="5498" hidden="1" ht="1" customHeight="1">
      <s:c r="A5498" s="120" t="inlineStr"/>
      <s:c r="B5498" s="121" t="n"/>
      <s:c r="C5498" s="121" t="n"/>
      <s:c r="D5498" s="121" t="n"/>
      <s:c r="E5498" s="122" t="n"/>
    </s:row>
    <s:row r="5499" hidden="1" ht="1" customHeight="1">
      <s:c r="A5499" s="120" t="inlineStr"/>
      <s:c r="B5499" s="121" t="n"/>
      <s:c r="C5499" s="121" t="n"/>
      <s:c r="D5499" s="121" t="n"/>
      <s:c r="E5499" s="122" t="n"/>
    </s:row>
    <s:row r="5500" hidden="1" ht="1" customHeight="1">
      <s:c r="A5500" s="120" t="inlineStr"/>
      <s:c r="B5500" s="121" t="n"/>
      <s:c r="C5500" s="121" t="n"/>
      <s:c r="D5500" s="121" t="n"/>
      <s:c r="E5500" s="122" t="n"/>
    </s:row>
    <s:row r="5501" hidden="1" ht="1" customHeight="1">
      <s:c r="A5501" s="120" t="inlineStr"/>
      <s:c r="B5501" s="121" t="n"/>
      <s:c r="C5501" s="121" t="n"/>
      <s:c r="D5501" s="121" t="n"/>
      <s:c r="E5501" s="122" t="n"/>
    </s:row>
    <s:row r="5502" hidden="1" ht="1" customHeight="1">
      <s:c r="A5502" s="120" t="inlineStr"/>
      <s:c r="B5502" s="121" t="n"/>
      <s:c r="C5502" s="121" t="n"/>
      <s:c r="D5502" s="121" t="n"/>
      <s:c r="E5502" s="122" t="n"/>
    </s:row>
    <s:row r="5503" hidden="1" ht="1" customHeight="1">
      <s:c r="A5503" s="120" t="inlineStr"/>
      <s:c r="B5503" s="121" t="n"/>
      <s:c r="C5503" s="121" t="n"/>
      <s:c r="D5503" s="121" t="n"/>
      <s:c r="E5503" s="122" t="n"/>
    </s:row>
    <s:row r="5504" hidden="1" ht="1" customHeight="1">
      <s:c r="A5504" s="120" t="inlineStr"/>
      <s:c r="B5504" s="121" t="n"/>
      <s:c r="C5504" s="121" t="n"/>
      <s:c r="D5504" s="121" t="n"/>
      <s:c r="E5504" s="122" t="n"/>
    </s:row>
    <s:row r="5505" hidden="1" ht="1" customHeight="1">
      <s:c r="A5505" s="120" t="inlineStr"/>
      <s:c r="B5505" s="121" t="n"/>
      <s:c r="C5505" s="121" t="n"/>
      <s:c r="D5505" s="121" t="n"/>
      <s:c r="E5505" s="122" t="n"/>
    </s:row>
    <s:row r="5506" hidden="1" ht="1" customHeight="1">
      <s:c r="A5506" s="120" t="inlineStr"/>
      <s:c r="B5506" s="121" t="n"/>
      <s:c r="C5506" s="121" t="n"/>
      <s:c r="D5506" s="121" t="n"/>
      <s:c r="E5506" s="122" t="n"/>
    </s:row>
    <s:row r="5507" hidden="1" ht="1" customHeight="1">
      <s:c r="A5507" s="120" t="inlineStr"/>
      <s:c r="B5507" s="121" t="n"/>
      <s:c r="C5507" s="121" t="n"/>
      <s:c r="D5507" s="121" t="n"/>
      <s:c r="E5507" s="122" t="n"/>
    </s:row>
    <s:row r="5508" hidden="1" ht="1" customHeight="1">
      <s:c r="A5508" s="120" t="inlineStr"/>
      <s:c r="B5508" s="121" t="n"/>
      <s:c r="C5508" s="121" t="n"/>
      <s:c r="D5508" s="121" t="n"/>
      <s:c r="E5508" s="122" t="n"/>
    </s:row>
    <s:row r="5509" hidden="1" ht="1" customHeight="1">
      <s:c r="A5509" s="120" t="inlineStr"/>
      <s:c r="B5509" s="121" t="n"/>
      <s:c r="C5509" s="121" t="n"/>
      <s:c r="D5509" s="121" t="n"/>
      <s:c r="E5509" s="122" t="n"/>
    </s:row>
    <s:row r="5510" hidden="1" ht="1" customHeight="1">
      <s:c r="A5510" s="120" t="inlineStr"/>
      <s:c r="B5510" s="121" t="n"/>
      <s:c r="C5510" s="121" t="n"/>
      <s:c r="D5510" s="121" t="n"/>
      <s:c r="E5510" s="122" t="n"/>
    </s:row>
    <s:row r="5511" hidden="1" ht="1" customHeight="1">
      <s:c r="A5511" s="120" t="inlineStr"/>
      <s:c r="B5511" s="121" t="n"/>
      <s:c r="C5511" s="121" t="n"/>
      <s:c r="D5511" s="121" t="n"/>
      <s:c r="E5511" s="122" t="n"/>
    </s:row>
    <s:row r="5512" hidden="1" ht="1" customHeight="1">
      <s:c r="A5512" s="120" t="inlineStr"/>
      <s:c r="B5512" s="121" t="n"/>
      <s:c r="C5512" s="121" t="n"/>
      <s:c r="D5512" s="121" t="n"/>
      <s:c r="E5512" s="122" t="n"/>
    </s:row>
    <s:row r="5513" hidden="1" ht="1" customHeight="1">
      <s:c r="A5513" s="120" t="inlineStr"/>
      <s:c r="B5513" s="121" t="n"/>
      <s:c r="C5513" s="121" t="n"/>
      <s:c r="D5513" s="121" t="n"/>
      <s:c r="E5513" s="122" t="n"/>
    </s:row>
    <s:row r="5514" hidden="1" ht="1" customHeight="1">
      <s:c r="A5514" s="120" t="inlineStr"/>
      <s:c r="B5514" s="121" t="n"/>
      <s:c r="C5514" s="121" t="n"/>
      <s:c r="D5514" s="121" t="n"/>
      <s:c r="E5514" s="122" t="n"/>
    </s:row>
    <s:row r="5515" hidden="1" ht="1" customHeight="1">
      <s:c r="A5515" s="120" t="inlineStr"/>
      <s:c r="B5515" s="121" t="n"/>
      <s:c r="C5515" s="121" t="n"/>
      <s:c r="D5515" s="121" t="n"/>
      <s:c r="E5515" s="122" t="n"/>
    </s:row>
    <s:row r="5516" hidden="1" ht="1" customHeight="1">
      <s:c r="A5516" s="120" t="inlineStr"/>
      <s:c r="B5516" s="121" t="n"/>
      <s:c r="C5516" s="121" t="n"/>
      <s:c r="D5516" s="121" t="n"/>
      <s:c r="E5516" s="122" t="n"/>
    </s:row>
    <s:row r="5517" hidden="1" ht="1" customHeight="1">
      <s:c r="A5517" s="120" t="inlineStr"/>
      <s:c r="B5517" s="121" t="n"/>
      <s:c r="C5517" s="121" t="n"/>
      <s:c r="D5517" s="121" t="n"/>
      <s:c r="E5517" s="122" t="n"/>
    </s:row>
    <s:row r="5518" hidden="1" ht="1" customHeight="1">
      <s:c r="A5518" s="120" t="inlineStr"/>
      <s:c r="B5518" s="121" t="n"/>
      <s:c r="C5518" s="121" t="n"/>
      <s:c r="D5518" s="121" t="n"/>
      <s:c r="E5518" s="122" t="n"/>
    </s:row>
    <s:row r="5519" hidden="1" ht="1" customHeight="1">
      <s:c r="A5519" s="120" t="inlineStr"/>
      <s:c r="B5519" s="121" t="n"/>
      <s:c r="C5519" s="121" t="n"/>
      <s:c r="D5519" s="121" t="n"/>
      <s:c r="E5519" s="122" t="n"/>
    </s:row>
    <s:row r="5520" hidden="1" ht="1" customHeight="1">
      <s:c r="A5520" s="120" t="inlineStr"/>
      <s:c r="B5520" s="121" t="n"/>
      <s:c r="C5520" s="121" t="n"/>
      <s:c r="D5520" s="121" t="n"/>
      <s:c r="E5520" s="122" t="n"/>
    </s:row>
    <s:row r="5521" hidden="1" ht="1" customHeight="1">
      <s:c r="A5521" s="120" t="inlineStr"/>
      <s:c r="B5521" s="121" t="n"/>
      <s:c r="C5521" s="121" t="n"/>
      <s:c r="D5521" s="121" t="n"/>
      <s:c r="E5521" s="122" t="n"/>
    </s:row>
    <s:row r="5522" hidden="1" ht="1" customHeight="1">
      <s:c r="A5522" s="120" t="inlineStr"/>
      <s:c r="B5522" s="121" t="n"/>
      <s:c r="C5522" s="121" t="n"/>
      <s:c r="D5522" s="121" t="n"/>
      <s:c r="E5522" s="122" t="n"/>
    </s:row>
    <s:row r="5523" hidden="1" ht="1" customHeight="1">
      <s:c r="A5523" s="120" t="inlineStr"/>
      <s:c r="B5523" s="121" t="n"/>
      <s:c r="C5523" s="121" t="n"/>
      <s:c r="D5523" s="121" t="n"/>
      <s:c r="E5523" s="122" t="n"/>
    </s:row>
    <s:row r="5524" hidden="1" ht="1" customHeight="1">
      <s:c r="A5524" s="120" t="inlineStr"/>
      <s:c r="B5524" s="121" t="n"/>
      <s:c r="C5524" s="121" t="n"/>
      <s:c r="D5524" s="121" t="n"/>
      <s:c r="E5524" s="122" t="n"/>
    </s:row>
    <s:row r="5525" hidden="1" ht="1" customHeight="1">
      <s:c r="A5525" s="120" t="inlineStr"/>
      <s:c r="B5525" s="121" t="n"/>
      <s:c r="C5525" s="121" t="n"/>
      <s:c r="D5525" s="121" t="n"/>
      <s:c r="E5525" s="122" t="n"/>
    </s:row>
    <s:row r="5526" hidden="1" ht="1" customHeight="1">
      <s:c r="A5526" s="120" t="inlineStr"/>
      <s:c r="B5526" s="121" t="n"/>
      <s:c r="C5526" s="121" t="n"/>
      <s:c r="D5526" s="121" t="n"/>
      <s:c r="E5526" s="122" t="n"/>
    </s:row>
    <s:row r="5527" hidden="1" ht="1" customHeight="1">
      <s:c r="A5527" s="120" t="inlineStr"/>
      <s:c r="B5527" s="121" t="n"/>
      <s:c r="C5527" s="121" t="n"/>
      <s:c r="D5527" s="121" t="n"/>
      <s:c r="E5527" s="122" t="n"/>
    </s:row>
    <s:row r="5528" hidden="1" ht="1" customHeight="1">
      <s:c r="A5528" s="120" t="inlineStr"/>
      <s:c r="B5528" s="121" t="n"/>
      <s:c r="C5528" s="121" t="n"/>
      <s:c r="D5528" s="121" t="n"/>
      <s:c r="E5528" s="122" t="n"/>
    </s:row>
    <s:row r="5529" hidden="1" ht="1" customHeight="1">
      <s:c r="A5529" s="120" t="inlineStr"/>
      <s:c r="B5529" s="121" t="n"/>
      <s:c r="C5529" s="121" t="n"/>
      <s:c r="D5529" s="121" t="n"/>
      <s:c r="E5529" s="122" t="n"/>
    </s:row>
    <s:row r="5530" hidden="1" ht="1" customHeight="1">
      <s:c r="A5530" s="120" t="inlineStr"/>
      <s:c r="B5530" s="121" t="n"/>
      <s:c r="C5530" s="121" t="n"/>
      <s:c r="D5530" s="121" t="n"/>
      <s:c r="E5530" s="122" t="n"/>
    </s:row>
    <s:row r="5531" hidden="1" ht="1" customHeight="1">
      <s:c r="A5531" s="120" t="inlineStr"/>
      <s:c r="B5531" s="121" t="n"/>
      <s:c r="C5531" s="121" t="n"/>
      <s:c r="D5531" s="121" t="n"/>
      <s:c r="E5531" s="122" t="n"/>
    </s:row>
    <s:row r="5532" hidden="1" ht="1" customHeight="1">
      <s:c r="A5532" s="120" t="inlineStr"/>
      <s:c r="B5532" s="121" t="n"/>
      <s:c r="C5532" s="121" t="n"/>
      <s:c r="D5532" s="121" t="n"/>
      <s:c r="E5532" s="122" t="n"/>
    </s:row>
    <s:row r="5533" hidden="1" ht="1" customHeight="1">
      <s:c r="A5533" s="120" t="inlineStr"/>
      <s:c r="B5533" s="121" t="n"/>
      <s:c r="C5533" s="121" t="n"/>
      <s:c r="D5533" s="121" t="n"/>
      <s:c r="E5533" s="122" t="n"/>
    </s:row>
    <s:row r="5534" hidden="1" ht="1" customHeight="1">
      <s:c r="A5534" s="120" t="inlineStr"/>
      <s:c r="B5534" s="121" t="n"/>
      <s:c r="C5534" s="121" t="n"/>
      <s:c r="D5534" s="121" t="n"/>
      <s:c r="E5534" s="122" t="n"/>
    </s:row>
    <s:row r="5535" hidden="1" ht="1" customHeight="1">
      <s:c r="A5535" s="120" t="inlineStr"/>
      <s:c r="B5535" s="121" t="n"/>
      <s:c r="C5535" s="121" t="n"/>
      <s:c r="D5535" s="121" t="n"/>
      <s:c r="E5535" s="122" t="n"/>
    </s:row>
    <s:row r="5536" hidden="1" ht="1" customHeight="1">
      <s:c r="A5536" s="120" t="inlineStr"/>
      <s:c r="B5536" s="121" t="n"/>
      <s:c r="C5536" s="121" t="n"/>
      <s:c r="D5536" s="121" t="n"/>
      <s:c r="E5536" s="122" t="n"/>
    </s:row>
    <s:row r="5537" hidden="1" ht="1" customHeight="1">
      <s:c r="A5537" s="120" t="inlineStr"/>
      <s:c r="B5537" s="121" t="n"/>
      <s:c r="C5537" s="121" t="n"/>
      <s:c r="D5537" s="121" t="n"/>
      <s:c r="E5537" s="122" t="n"/>
    </s:row>
    <s:row r="5538" hidden="1" ht="1" customHeight="1">
      <s:c r="A5538" s="120" t="inlineStr"/>
      <s:c r="B5538" s="121" t="n"/>
      <s:c r="C5538" s="121" t="n"/>
      <s:c r="D5538" s="121" t="n"/>
      <s:c r="E5538" s="122" t="n"/>
    </s:row>
    <s:row r="5539" hidden="1" ht="1" customHeight="1">
      <s:c r="A5539" s="120" t="inlineStr"/>
      <s:c r="B5539" s="121" t="n"/>
      <s:c r="C5539" s="121" t="n"/>
      <s:c r="D5539" s="121" t="n"/>
      <s:c r="E5539" s="122" t="n"/>
    </s:row>
    <s:row r="5540" hidden="1" ht="1" customHeight="1">
      <s:c r="A5540" s="120" t="inlineStr"/>
      <s:c r="B5540" s="121" t="n"/>
      <s:c r="C5540" s="121" t="n"/>
      <s:c r="D5540" s="121" t="n"/>
      <s:c r="E5540" s="122" t="n"/>
    </s:row>
    <s:row r="5541" hidden="1" ht="1" customHeight="1">
      <s:c r="A5541" s="120" t="inlineStr"/>
      <s:c r="B5541" s="121" t="n"/>
      <s:c r="C5541" s="121" t="n"/>
      <s:c r="D5541" s="121" t="n"/>
      <s:c r="E5541" s="122" t="n"/>
    </s:row>
    <s:row r="5542" hidden="1" ht="1" customHeight="1">
      <s:c r="A5542" s="120" t="inlineStr"/>
      <s:c r="B5542" s="121" t="n"/>
      <s:c r="C5542" s="121" t="n"/>
      <s:c r="D5542" s="121" t="n"/>
      <s:c r="E5542" s="122" t="n"/>
    </s:row>
    <s:row r="5543" hidden="1" ht="1" customHeight="1">
      <s:c r="A5543" s="120" t="inlineStr"/>
      <s:c r="B5543" s="121" t="n"/>
      <s:c r="C5543" s="121" t="n"/>
      <s:c r="D5543" s="121" t="n"/>
      <s:c r="E5543" s="122" t="n"/>
    </s:row>
    <s:row r="5544" hidden="1" ht="1" customHeight="1">
      <s:c r="A5544" s="120" t="inlineStr"/>
      <s:c r="B5544" s="121" t="n"/>
      <s:c r="C5544" s="121" t="n"/>
      <s:c r="D5544" s="121" t="n"/>
      <s:c r="E5544" s="122" t="n"/>
    </s:row>
    <s:row r="5545" hidden="1" ht="1" customHeight="1">
      <s:c r="A5545" s="120" t="inlineStr"/>
      <s:c r="B5545" s="121" t="n"/>
      <s:c r="C5545" s="121" t="n"/>
      <s:c r="D5545" s="121" t="n"/>
      <s:c r="E5545" s="122" t="n"/>
    </s:row>
    <s:row r="5546" hidden="1" ht="1" customHeight="1">
      <s:c r="A5546" s="120" t="inlineStr"/>
      <s:c r="B5546" s="121" t="n"/>
      <s:c r="C5546" s="121" t="n"/>
      <s:c r="D5546" s="121" t="n"/>
      <s:c r="E5546" s="122" t="n"/>
    </s:row>
    <s:row r="5547" hidden="1" ht="1" customHeight="1">
      <s:c r="A5547" s="120" t="inlineStr"/>
      <s:c r="B5547" s="121" t="n"/>
      <s:c r="C5547" s="121" t="n"/>
      <s:c r="D5547" s="121" t="n"/>
      <s:c r="E5547" s="122" t="n"/>
    </s:row>
    <s:row r="5548" hidden="1" ht="1" customHeight="1">
      <s:c r="A5548" s="120" t="inlineStr"/>
      <s:c r="B5548" s="121" t="n"/>
      <s:c r="C5548" s="121" t="n"/>
      <s:c r="D5548" s="121" t="n"/>
      <s:c r="E5548" s="122" t="n"/>
    </s:row>
    <s:row r="5549" hidden="1" ht="1" customHeight="1">
      <s:c r="A5549" s="120" t="inlineStr"/>
      <s:c r="B5549" s="121" t="n"/>
      <s:c r="C5549" s="121" t="n"/>
      <s:c r="D5549" s="121" t="n"/>
      <s:c r="E5549" s="122" t="n"/>
    </s:row>
    <s:row r="5550" hidden="1" ht="1" customHeight="1">
      <s:c r="A5550" s="120" t="inlineStr"/>
      <s:c r="B5550" s="121" t="n"/>
      <s:c r="C5550" s="121" t="n"/>
      <s:c r="D5550" s="121" t="n"/>
      <s:c r="E5550" s="122" t="n"/>
    </s:row>
    <s:row r="5551" hidden="1" ht="1" customHeight="1">
      <s:c r="A5551" s="120" t="inlineStr"/>
      <s:c r="B5551" s="121" t="n"/>
      <s:c r="C5551" s="121" t="n"/>
      <s:c r="D5551" s="121" t="n"/>
      <s:c r="E5551" s="122" t="n"/>
    </s:row>
    <s:row r="5552" hidden="1" ht="1" customHeight="1">
      <s:c r="A5552" s="120" t="inlineStr"/>
      <s:c r="B5552" s="121" t="n"/>
      <s:c r="C5552" s="121" t="n"/>
      <s:c r="D5552" s="121" t="n"/>
      <s:c r="E5552" s="122" t="n"/>
    </s:row>
    <s:row r="5553" hidden="1" ht="1" customHeight="1">
      <s:c r="A5553" s="120" t="inlineStr"/>
      <s:c r="B5553" s="121" t="n"/>
      <s:c r="C5553" s="121" t="n"/>
      <s:c r="D5553" s="121" t="n"/>
      <s:c r="E5553" s="122" t="n"/>
    </s:row>
    <s:row r="5554" hidden="1" ht="1" customHeight="1">
      <s:c r="A5554" s="120" t="inlineStr"/>
      <s:c r="B5554" s="121" t="n"/>
      <s:c r="C5554" s="121" t="n"/>
      <s:c r="D5554" s="121" t="n"/>
      <s:c r="E5554" s="122" t="n"/>
    </s:row>
    <s:row r="5555" hidden="1" ht="1" customHeight="1">
      <s:c r="A5555" s="120" t="inlineStr"/>
      <s:c r="B5555" s="121" t="n"/>
      <s:c r="C5555" s="121" t="n"/>
      <s:c r="D5555" s="121" t="n"/>
      <s:c r="E5555" s="122" t="n"/>
    </s:row>
    <s:row r="5556" hidden="1" ht="1" customHeight="1">
      <s:c r="A5556" s="120" t="inlineStr"/>
      <s:c r="B5556" s="121" t="n"/>
      <s:c r="C5556" s="121" t="n"/>
      <s:c r="D5556" s="121" t="n"/>
      <s:c r="E5556" s="122" t="n"/>
    </s:row>
    <s:row r="5557" hidden="1" ht="1" customHeight="1">
      <s:c r="A5557" s="120" t="inlineStr"/>
      <s:c r="B5557" s="121" t="n"/>
      <s:c r="C5557" s="121" t="n"/>
      <s:c r="D5557" s="121" t="n"/>
      <s:c r="E5557" s="122" t="n"/>
    </s:row>
    <s:row r="5558" hidden="1" ht="1" customHeight="1">
      <s:c r="A5558" s="120" t="inlineStr"/>
      <s:c r="B5558" s="121" t="n"/>
      <s:c r="C5558" s="121" t="n"/>
      <s:c r="D5558" s="121" t="n"/>
      <s:c r="E5558" s="122" t="n"/>
    </s:row>
    <s:row r="5559" hidden="1" ht="1" customHeight="1">
      <s:c r="A5559" s="120" t="inlineStr"/>
      <s:c r="B5559" s="121" t="n"/>
      <s:c r="C5559" s="121" t="n"/>
      <s:c r="D5559" s="121" t="n"/>
      <s:c r="E5559" s="122" t="n"/>
    </s:row>
    <s:row r="5560" hidden="1" ht="1" customHeight="1">
      <s:c r="A5560" s="120" t="inlineStr"/>
      <s:c r="B5560" s="121" t="n"/>
      <s:c r="C5560" s="121" t="n"/>
      <s:c r="D5560" s="121" t="n"/>
      <s:c r="E5560" s="122" t="n"/>
    </s:row>
    <s:row r="5561" hidden="1" ht="1" customHeight="1">
      <s:c r="A5561" s="120" t="inlineStr"/>
      <s:c r="B5561" s="121" t="n"/>
      <s:c r="C5561" s="121" t="n"/>
      <s:c r="D5561" s="121" t="n"/>
      <s:c r="E5561" s="122" t="n"/>
    </s:row>
    <s:row r="5562" hidden="1" ht="1" customHeight="1">
      <s:c r="A5562" s="120" t="inlineStr"/>
      <s:c r="B5562" s="121" t="n"/>
      <s:c r="C5562" s="121" t="n"/>
      <s:c r="D5562" s="121" t="n"/>
      <s:c r="E5562" s="122" t="n"/>
    </s:row>
    <s:row r="5563" hidden="1" ht="1" customHeight="1">
      <s:c r="A5563" s="120" t="inlineStr"/>
      <s:c r="B5563" s="121" t="n"/>
      <s:c r="C5563" s="121" t="n"/>
      <s:c r="D5563" s="121" t="n"/>
      <s:c r="E5563" s="122" t="n"/>
    </s:row>
    <s:row r="5564" hidden="1" ht="1" customHeight="1">
      <s:c r="A5564" s="120" t="inlineStr"/>
      <s:c r="B5564" s="121" t="n"/>
      <s:c r="C5564" s="121" t="n"/>
      <s:c r="D5564" s="121" t="n"/>
      <s:c r="E5564" s="122" t="n"/>
    </s:row>
    <s:row r="5565" hidden="1" ht="1" customHeight="1">
      <s:c r="A5565" s="120" t="inlineStr"/>
      <s:c r="B5565" s="121" t="n"/>
      <s:c r="C5565" s="121" t="n"/>
      <s:c r="D5565" s="121" t="n"/>
      <s:c r="E5565" s="122" t="n"/>
    </s:row>
    <s:row r="5566" hidden="1" ht="1" customHeight="1">
      <s:c r="A5566" s="120" t="inlineStr"/>
      <s:c r="B5566" s="121" t="n"/>
      <s:c r="C5566" s="121" t="n"/>
      <s:c r="D5566" s="121" t="n"/>
      <s:c r="E5566" s="122" t="n"/>
    </s:row>
    <s:row r="5567" hidden="1" ht="1" customHeight="1">
      <s:c r="A5567" s="120" t="inlineStr"/>
      <s:c r="B5567" s="121" t="n"/>
      <s:c r="C5567" s="121" t="n"/>
      <s:c r="D5567" s="121" t="n"/>
      <s:c r="E5567" s="122" t="n"/>
    </s:row>
    <s:row r="5568" hidden="1" ht="1" customHeight="1">
      <s:c r="A5568" s="120" t="inlineStr"/>
      <s:c r="B5568" s="121" t="n"/>
      <s:c r="C5568" s="121" t="n"/>
      <s:c r="D5568" s="121" t="n"/>
      <s:c r="E5568" s="122" t="n"/>
    </s:row>
    <s:row r="5569" hidden="1" ht="1" customHeight="1">
      <s:c r="A5569" s="120" t="inlineStr"/>
      <s:c r="B5569" s="121" t="n"/>
      <s:c r="C5569" s="121" t="n"/>
      <s:c r="D5569" s="121" t="n"/>
      <s:c r="E5569" s="122" t="n"/>
    </s:row>
    <s:row r="5570" hidden="1" ht="1" customHeight="1">
      <s:c r="A5570" s="120" t="inlineStr"/>
      <s:c r="B5570" s="121" t="n"/>
      <s:c r="C5570" s="121" t="n"/>
      <s:c r="D5570" s="121" t="n"/>
      <s:c r="E5570" s="122" t="n"/>
    </s:row>
    <s:row r="5571" hidden="1" ht="1" customHeight="1">
      <s:c r="A5571" s="120" t="inlineStr"/>
      <s:c r="B5571" s="121" t="n"/>
      <s:c r="C5571" s="121" t="n"/>
      <s:c r="D5571" s="121" t="n"/>
      <s:c r="E5571" s="122" t="n"/>
    </s:row>
    <s:row r="5572" hidden="1" ht="1" customHeight="1">
      <s:c r="A5572" s="120" t="inlineStr"/>
      <s:c r="B5572" s="121" t="n"/>
      <s:c r="C5572" s="121" t="n"/>
      <s:c r="D5572" s="121" t="n"/>
      <s:c r="E5572" s="122" t="n"/>
    </s:row>
    <s:row r="5573" hidden="1" ht="1" customHeight="1">
      <s:c r="A5573" s="120" t="inlineStr"/>
      <s:c r="B5573" s="121" t="n"/>
      <s:c r="C5573" s="121" t="n"/>
      <s:c r="D5573" s="121" t="n"/>
      <s:c r="E5573" s="122" t="n"/>
    </s:row>
    <s:row r="5574" hidden="1" ht="1" customHeight="1">
      <s:c r="A5574" s="120" t="inlineStr"/>
      <s:c r="B5574" s="121" t="n"/>
      <s:c r="C5574" s="121" t="n"/>
      <s:c r="D5574" s="121" t="n"/>
      <s:c r="E5574" s="122" t="n"/>
    </s:row>
    <s:row r="5575" hidden="1" ht="1" customHeight="1">
      <s:c r="A5575" s="120" t="inlineStr"/>
      <s:c r="B5575" s="121" t="n"/>
      <s:c r="C5575" s="121" t="n"/>
      <s:c r="D5575" s="121" t="n"/>
      <s:c r="E5575" s="122" t="n"/>
    </s:row>
    <s:row r="5576" hidden="1" ht="1" customHeight="1">
      <s:c r="A5576" s="120" t="inlineStr"/>
      <s:c r="B5576" s="121" t="n"/>
      <s:c r="C5576" s="121" t="n"/>
      <s:c r="D5576" s="121" t="n"/>
      <s:c r="E5576" s="122" t="n"/>
    </s:row>
    <s:row r="5577" hidden="1" ht="1" customHeight="1">
      <s:c r="A5577" s="120" t="inlineStr"/>
      <s:c r="B5577" s="121" t="n"/>
      <s:c r="C5577" s="121" t="n"/>
      <s:c r="D5577" s="121" t="n"/>
      <s:c r="E5577" s="122" t="n"/>
    </s:row>
    <s:row r="5578" hidden="1" ht="1" customHeight="1">
      <s:c r="A5578" s="120" t="inlineStr"/>
      <s:c r="B5578" s="121" t="n"/>
      <s:c r="C5578" s="121" t="n"/>
      <s:c r="D5578" s="121" t="n"/>
      <s:c r="E5578" s="122" t="n"/>
    </s:row>
    <s:row r="5579" hidden="1" ht="1" customHeight="1">
      <s:c r="A5579" s="120" t="inlineStr"/>
      <s:c r="B5579" s="121" t="n"/>
      <s:c r="C5579" s="121" t="n"/>
      <s:c r="D5579" s="121" t="n"/>
      <s:c r="E5579" s="122" t="n"/>
    </s:row>
    <s:row r="5580" hidden="1" ht="1" customHeight="1">
      <s:c r="A5580" s="120" t="inlineStr"/>
      <s:c r="B5580" s="121" t="n"/>
      <s:c r="C5580" s="121" t="n"/>
      <s:c r="D5580" s="121" t="n"/>
      <s:c r="E5580" s="122" t="n"/>
    </s:row>
    <s:row r="5581" hidden="1" ht="1" customHeight="1">
      <s:c r="A5581" s="120" t="inlineStr"/>
      <s:c r="B5581" s="121" t="n"/>
      <s:c r="C5581" s="121" t="n"/>
      <s:c r="D5581" s="121" t="n"/>
      <s:c r="E5581" s="122" t="n"/>
    </s:row>
    <s:row r="5582" hidden="1" ht="1" customHeight="1">
      <s:c r="A5582" s="120" t="inlineStr"/>
      <s:c r="B5582" s="121" t="n"/>
      <s:c r="C5582" s="121" t="n"/>
      <s:c r="D5582" s="121" t="n"/>
      <s:c r="E5582" s="122" t="n"/>
    </s:row>
    <s:row r="5583" hidden="1" ht="1" customHeight="1">
      <s:c r="A5583" s="120" t="inlineStr"/>
      <s:c r="B5583" s="121" t="n"/>
      <s:c r="C5583" s="121" t="n"/>
      <s:c r="D5583" s="121" t="n"/>
      <s:c r="E5583" s="122" t="n"/>
    </s:row>
    <s:row r="5584" hidden="1" ht="1" customHeight="1">
      <s:c r="A5584" s="120" t="inlineStr"/>
      <s:c r="B5584" s="121" t="n"/>
      <s:c r="C5584" s="121" t="n"/>
      <s:c r="D5584" s="121" t="n"/>
      <s:c r="E5584" s="122" t="n"/>
    </s:row>
    <s:row r="5585" hidden="1" ht="1" customHeight="1">
      <s:c r="A5585" s="120" t="inlineStr"/>
      <s:c r="B5585" s="121" t="n"/>
      <s:c r="C5585" s="121" t="n"/>
      <s:c r="D5585" s="121" t="n"/>
      <s:c r="E5585" s="122" t="n"/>
    </s:row>
    <s:row r="5586" hidden="1" ht="1" customHeight="1">
      <s:c r="A5586" s="120" t="inlineStr"/>
      <s:c r="B5586" s="121" t="n"/>
      <s:c r="C5586" s="121" t="n"/>
      <s:c r="D5586" s="121" t="n"/>
      <s:c r="E5586" s="122" t="n"/>
    </s:row>
    <s:row r="5587" hidden="1" ht="1" customHeight="1">
      <s:c r="A5587" s="120" t="inlineStr"/>
      <s:c r="B5587" s="121" t="n"/>
      <s:c r="C5587" s="121" t="n"/>
      <s:c r="D5587" s="121" t="n"/>
      <s:c r="E5587" s="122" t="n"/>
    </s:row>
    <s:row r="5588" hidden="1" ht="1" customHeight="1">
      <s:c r="A5588" s="120" t="inlineStr"/>
      <s:c r="B5588" s="121" t="n"/>
      <s:c r="C5588" s="121" t="n"/>
      <s:c r="D5588" s="121" t="n"/>
      <s:c r="E5588" s="122" t="n"/>
    </s:row>
    <s:row r="5589" hidden="1" ht="1" customHeight="1">
      <s:c r="A5589" s="120" t="inlineStr"/>
      <s:c r="B5589" s="121" t="n"/>
      <s:c r="C5589" s="121" t="n"/>
      <s:c r="D5589" s="121" t="n"/>
      <s:c r="E5589" s="122" t="n"/>
    </s:row>
    <s:row r="5590" hidden="1" ht="1" customHeight="1">
      <s:c r="A5590" s="120" t="inlineStr"/>
      <s:c r="B5590" s="121" t="n"/>
      <s:c r="C5590" s="121" t="n"/>
      <s:c r="D5590" s="121" t="n"/>
      <s:c r="E5590" s="122" t="n"/>
    </s:row>
    <s:row r="5591" hidden="1" ht="1" customHeight="1">
      <s:c r="A5591" s="120" t="inlineStr"/>
      <s:c r="B5591" s="121" t="n"/>
      <s:c r="C5591" s="121" t="n"/>
      <s:c r="D5591" s="121" t="n"/>
      <s:c r="E5591" s="122" t="n"/>
    </s:row>
    <s:row r="5592" hidden="1" ht="1" customHeight="1">
      <s:c r="A5592" s="120" t="inlineStr"/>
      <s:c r="B5592" s="121" t="n"/>
      <s:c r="C5592" s="121" t="n"/>
      <s:c r="D5592" s="121" t="n"/>
      <s:c r="E5592" s="122" t="n"/>
    </s:row>
    <s:row r="5593" hidden="1" ht="1" customHeight="1">
      <s:c r="A5593" s="120" t="inlineStr"/>
      <s:c r="B5593" s="121" t="n"/>
      <s:c r="C5593" s="121" t="n"/>
      <s:c r="D5593" s="121" t="n"/>
      <s:c r="E5593" s="122" t="n"/>
    </s:row>
    <s:row r="5594" hidden="1" ht="1" customHeight="1">
      <s:c r="A5594" s="120" t="inlineStr"/>
      <s:c r="B5594" s="121" t="n"/>
      <s:c r="C5594" s="121" t="n"/>
      <s:c r="D5594" s="121" t="n"/>
      <s:c r="E5594" s="122" t="n"/>
    </s:row>
    <s:row r="5595" hidden="1" ht="1" customHeight="1">
      <s:c r="A5595" s="120" t="inlineStr"/>
      <s:c r="B5595" s="121" t="n"/>
      <s:c r="C5595" s="121" t="n"/>
      <s:c r="D5595" s="121" t="n"/>
      <s:c r="E5595" s="122" t="n"/>
    </s:row>
    <s:row r="5596" hidden="1" ht="1" customHeight="1">
      <s:c r="A5596" s="120" t="inlineStr"/>
      <s:c r="B5596" s="121" t="n"/>
      <s:c r="C5596" s="121" t="n"/>
      <s:c r="D5596" s="121" t="n"/>
      <s:c r="E5596" s="122" t="n"/>
    </s:row>
    <s:row r="5597" hidden="1" ht="1" customHeight="1">
      <s:c r="A5597" s="120" t="inlineStr"/>
      <s:c r="B5597" s="121" t="n"/>
      <s:c r="C5597" s="121" t="n"/>
      <s:c r="D5597" s="121" t="n"/>
      <s:c r="E5597" s="122" t="n"/>
    </s:row>
    <s:row r="5598" hidden="1" ht="1" customHeight="1">
      <s:c r="A5598" s="120" t="inlineStr"/>
      <s:c r="B5598" s="121" t="n"/>
      <s:c r="C5598" s="121" t="n"/>
      <s:c r="D5598" s="121" t="n"/>
      <s:c r="E5598" s="122" t="n"/>
    </s:row>
    <s:row r="5599" hidden="1" ht="1" customHeight="1">
      <s:c r="A5599" s="120" t="inlineStr"/>
      <s:c r="B5599" s="121" t="n"/>
      <s:c r="C5599" s="121" t="n"/>
      <s:c r="D5599" s="121" t="n"/>
      <s:c r="E5599" s="122" t="n"/>
    </s:row>
    <s:row r="5600" hidden="1" ht="1" customHeight="1">
      <s:c r="A5600" s="120" t="inlineStr"/>
      <s:c r="B5600" s="121" t="n"/>
      <s:c r="C5600" s="121" t="n"/>
      <s:c r="D5600" s="121" t="n"/>
      <s:c r="E5600" s="122" t="n"/>
    </s:row>
    <s:row r="5601" hidden="1" ht="1" customHeight="1">
      <s:c r="A5601" s="120" t="inlineStr"/>
      <s:c r="B5601" s="121" t="n"/>
      <s:c r="C5601" s="121" t="n"/>
      <s:c r="D5601" s="121" t="n"/>
      <s:c r="E5601" s="122" t="n"/>
    </s:row>
    <s:row r="5602" hidden="1" ht="1" customHeight="1">
      <s:c r="A5602" s="120" t="inlineStr"/>
      <s:c r="B5602" s="121" t="n"/>
      <s:c r="C5602" s="121" t="n"/>
      <s:c r="D5602" s="121" t="n"/>
      <s:c r="E5602" s="122" t="n"/>
    </s:row>
    <s:row r="5603" hidden="1" ht="1" customHeight="1">
      <s:c r="A5603" s="120" t="inlineStr"/>
      <s:c r="B5603" s="121" t="n"/>
      <s:c r="C5603" s="121" t="n"/>
      <s:c r="D5603" s="121" t="n"/>
      <s:c r="E5603" s="122" t="n"/>
    </s:row>
    <s:row r="5604" hidden="1" ht="1" customHeight="1">
      <s:c r="A5604" s="120" t="inlineStr"/>
      <s:c r="B5604" s="121" t="n"/>
      <s:c r="C5604" s="121" t="n"/>
      <s:c r="D5604" s="121" t="n"/>
      <s:c r="E5604" s="122" t="n"/>
    </s:row>
    <s:row r="5605" hidden="1" ht="1" customHeight="1">
      <s:c r="A5605" s="120" t="inlineStr"/>
      <s:c r="B5605" s="121" t="n"/>
      <s:c r="C5605" s="121" t="n"/>
      <s:c r="D5605" s="121" t="n"/>
      <s:c r="E5605" s="122" t="n"/>
    </s:row>
    <s:row r="5606" hidden="1" ht="1" customHeight="1">
      <s:c r="A5606" s="120" t="inlineStr"/>
      <s:c r="B5606" s="121" t="n"/>
      <s:c r="C5606" s="121" t="n"/>
      <s:c r="D5606" s="121" t="n"/>
      <s:c r="E5606" s="122" t="n"/>
    </s:row>
    <s:row r="5607" hidden="1" ht="1" customHeight="1">
      <s:c r="A5607" s="120" t="inlineStr"/>
      <s:c r="B5607" s="121" t="n"/>
      <s:c r="C5607" s="121" t="n"/>
      <s:c r="D5607" s="121" t="n"/>
      <s:c r="E5607" s="122" t="n"/>
    </s:row>
    <s:row r="5608" hidden="1" ht="1" customHeight="1">
      <s:c r="A5608" s="120" t="inlineStr"/>
      <s:c r="B5608" s="121" t="n"/>
      <s:c r="C5608" s="121" t="n"/>
      <s:c r="D5608" s="121" t="n"/>
      <s:c r="E5608" s="122" t="n"/>
    </s:row>
    <s:row r="5609" hidden="1" ht="1" customHeight="1">
      <s:c r="A5609" s="120" t="inlineStr"/>
      <s:c r="B5609" s="121" t="n"/>
      <s:c r="C5609" s="121" t="n"/>
      <s:c r="D5609" s="121" t="n"/>
      <s:c r="E5609" s="122" t="n"/>
    </s:row>
    <s:row r="5610" hidden="1" ht="1" customHeight="1">
      <s:c r="A5610" s="120" t="inlineStr"/>
      <s:c r="B5610" s="121" t="n"/>
      <s:c r="C5610" s="121" t="n"/>
      <s:c r="D5610" s="121" t="n"/>
      <s:c r="E5610" s="122" t="n"/>
    </s:row>
    <s:row r="5611" hidden="1" ht="1" customHeight="1">
      <s:c r="A5611" s="120" t="inlineStr"/>
      <s:c r="B5611" s="121" t="n"/>
      <s:c r="C5611" s="121" t="n"/>
      <s:c r="D5611" s="121" t="n"/>
      <s:c r="E5611" s="122" t="n"/>
    </s:row>
    <s:row r="5612" hidden="1" ht="1" customHeight="1">
      <s:c r="A5612" s="120" t="inlineStr"/>
      <s:c r="B5612" s="121" t="n"/>
      <s:c r="C5612" s="121" t="n"/>
      <s:c r="D5612" s="121" t="n"/>
      <s:c r="E5612" s="122" t="n"/>
    </s:row>
    <s:row r="5613" hidden="1" ht="1" customHeight="1">
      <s:c r="A5613" s="120" t="inlineStr"/>
      <s:c r="B5613" s="121" t="n"/>
      <s:c r="C5613" s="121" t="n"/>
      <s:c r="D5613" s="121" t="n"/>
      <s:c r="E5613" s="122" t="n"/>
    </s:row>
    <s:row r="5614" hidden="1" ht="1" customHeight="1">
      <s:c r="A5614" s="120" t="inlineStr"/>
      <s:c r="B5614" s="121" t="n"/>
      <s:c r="C5614" s="121" t="n"/>
      <s:c r="D5614" s="121" t="n"/>
      <s:c r="E5614" s="122" t="n"/>
    </s:row>
    <s:row r="5615" hidden="1" ht="1" customHeight="1">
      <s:c r="A5615" s="120" t="inlineStr"/>
      <s:c r="B5615" s="121" t="n"/>
      <s:c r="C5615" s="121" t="n"/>
      <s:c r="D5615" s="121" t="n"/>
      <s:c r="E5615" s="122" t="n"/>
    </s:row>
    <s:row r="5616" hidden="1" ht="1" customHeight="1">
      <s:c r="A5616" s="120" t="inlineStr"/>
      <s:c r="B5616" s="121" t="n"/>
      <s:c r="C5616" s="121" t="n"/>
      <s:c r="D5616" s="121" t="n"/>
      <s:c r="E5616" s="122" t="n"/>
    </s:row>
    <s:row r="5617" hidden="1" ht="1" customHeight="1">
      <s:c r="A5617" s="120" t="inlineStr"/>
      <s:c r="B5617" s="121" t="n"/>
      <s:c r="C5617" s="121" t="n"/>
      <s:c r="D5617" s="121" t="n"/>
      <s:c r="E5617" s="122" t="n"/>
    </s:row>
    <s:row r="5618" hidden="1" ht="1" customHeight="1">
      <s:c r="A5618" s="120" t="inlineStr"/>
      <s:c r="B5618" s="121" t="n"/>
      <s:c r="C5618" s="121" t="n"/>
      <s:c r="D5618" s="121" t="n"/>
      <s:c r="E5618" s="122" t="n"/>
    </s:row>
    <s:row r="5619" hidden="1" ht="1" customHeight="1">
      <s:c r="A5619" s="120" t="inlineStr"/>
      <s:c r="B5619" s="121" t="n"/>
      <s:c r="C5619" s="121" t="n"/>
      <s:c r="D5619" s="121" t="n"/>
      <s:c r="E5619" s="122" t="n"/>
    </s:row>
    <s:row r="5620" hidden="1" ht="1" customHeight="1">
      <s:c r="A5620" s="120" t="inlineStr"/>
      <s:c r="B5620" s="121" t="n"/>
      <s:c r="C5620" s="121" t="n"/>
      <s:c r="D5620" s="121" t="n"/>
      <s:c r="E5620" s="122" t="n"/>
    </s:row>
    <s:row r="5621" hidden="1" ht="1" customHeight="1">
      <s:c r="A5621" s="120" t="inlineStr"/>
      <s:c r="B5621" s="121" t="n"/>
      <s:c r="C5621" s="121" t="n"/>
      <s:c r="D5621" s="121" t="n"/>
      <s:c r="E5621" s="122" t="n"/>
    </s:row>
    <s:row r="5622" hidden="1" ht="1" customHeight="1">
      <s:c r="A5622" s="120" t="inlineStr"/>
      <s:c r="B5622" s="121" t="n"/>
      <s:c r="C5622" s="121" t="n"/>
      <s:c r="D5622" s="121" t="n"/>
      <s:c r="E5622" s="122" t="n"/>
    </s:row>
    <s:row r="5623" hidden="1" ht="1" customHeight="1">
      <s:c r="A5623" s="120" t="inlineStr"/>
      <s:c r="B5623" s="121" t="n"/>
      <s:c r="C5623" s="121" t="n"/>
      <s:c r="D5623" s="121" t="n"/>
      <s:c r="E5623" s="122" t="n"/>
    </s:row>
    <s:row r="5624" hidden="1" ht="1" customHeight="1">
      <s:c r="A5624" s="120" t="inlineStr"/>
      <s:c r="B5624" s="121" t="n"/>
      <s:c r="C5624" s="121" t="n"/>
      <s:c r="D5624" s="121" t="n"/>
      <s:c r="E5624" s="122" t="n"/>
    </s:row>
    <s:row r="5625" hidden="1" ht="1" customHeight="1">
      <s:c r="A5625" s="120" t="inlineStr"/>
      <s:c r="B5625" s="121" t="n"/>
      <s:c r="C5625" s="121" t="n"/>
      <s:c r="D5625" s="121" t="n"/>
      <s:c r="E5625" s="122" t="n"/>
    </s:row>
    <s:row r="5626" hidden="1" ht="1" customHeight="1">
      <s:c r="A5626" s="120" t="inlineStr"/>
      <s:c r="B5626" s="121" t="n"/>
      <s:c r="C5626" s="121" t="n"/>
      <s:c r="D5626" s="121" t="n"/>
      <s:c r="E5626" s="122" t="n"/>
    </s:row>
    <s:row r="5627" hidden="1" ht="1" customHeight="1">
      <s:c r="A5627" s="120" t="inlineStr"/>
      <s:c r="B5627" s="121" t="n"/>
      <s:c r="C5627" s="121" t="n"/>
      <s:c r="D5627" s="121" t="n"/>
      <s:c r="E5627" s="122" t="n"/>
    </s:row>
    <s:row r="5628" hidden="1" ht="1" customHeight="1">
      <s:c r="A5628" s="120" t="inlineStr"/>
      <s:c r="B5628" s="121" t="n"/>
      <s:c r="C5628" s="121" t="n"/>
      <s:c r="D5628" s="121" t="n"/>
      <s:c r="E5628" s="122" t="n"/>
    </s:row>
    <s:row r="5629" hidden="1" ht="1" customHeight="1">
      <s:c r="A5629" s="120" t="inlineStr"/>
      <s:c r="B5629" s="121" t="n"/>
      <s:c r="C5629" s="121" t="n"/>
      <s:c r="D5629" s="121" t="n"/>
      <s:c r="E5629" s="122" t="n"/>
    </s:row>
    <s:row r="5630" hidden="1" ht="1" customHeight="1">
      <s:c r="A5630" s="120" t="inlineStr"/>
      <s:c r="B5630" s="121" t="n"/>
      <s:c r="C5630" s="121" t="n"/>
      <s:c r="D5630" s="121" t="n"/>
      <s:c r="E5630" s="122" t="n"/>
    </s:row>
    <s:row r="5631" hidden="1" ht="1" customHeight="1">
      <s:c r="A5631" s="120" t="inlineStr"/>
      <s:c r="B5631" s="121" t="n"/>
      <s:c r="C5631" s="121" t="n"/>
      <s:c r="D5631" s="121" t="n"/>
      <s:c r="E5631" s="122" t="n"/>
    </s:row>
    <s:row r="5632" hidden="1" ht="1" customHeight="1">
      <s:c r="A5632" s="120" t="inlineStr"/>
      <s:c r="B5632" s="121" t="n"/>
      <s:c r="C5632" s="121" t="n"/>
      <s:c r="D5632" s="121" t="n"/>
      <s:c r="E5632" s="122" t="n"/>
    </s:row>
    <s:row r="5633" hidden="1" ht="1" customHeight="1">
      <s:c r="A5633" s="120" t="inlineStr"/>
      <s:c r="B5633" s="121" t="n"/>
      <s:c r="C5633" s="121" t="n"/>
      <s:c r="D5633" s="121" t="n"/>
      <s:c r="E5633" s="122" t="n"/>
    </s:row>
    <s:row r="5634" hidden="1" ht="1" customHeight="1">
      <s:c r="A5634" s="120" t="inlineStr"/>
      <s:c r="B5634" s="121" t="n"/>
      <s:c r="C5634" s="121" t="n"/>
      <s:c r="D5634" s="121" t="n"/>
      <s:c r="E5634" s="122" t="n"/>
    </s:row>
    <s:row r="5635" hidden="1" ht="1" customHeight="1">
      <s:c r="A5635" s="120" t="inlineStr"/>
      <s:c r="B5635" s="121" t="n"/>
      <s:c r="C5635" s="121" t="n"/>
      <s:c r="D5635" s="121" t="n"/>
      <s:c r="E5635" s="122" t="n"/>
    </s:row>
    <s:row r="5636" hidden="1" ht="1" customHeight="1">
      <s:c r="A5636" s="120" t="inlineStr"/>
      <s:c r="B5636" s="121" t="n"/>
      <s:c r="C5636" s="121" t="n"/>
      <s:c r="D5636" s="121" t="n"/>
      <s:c r="E5636" s="122" t="n"/>
    </s:row>
    <s:row r="5637" hidden="1" ht="1" customHeight="1">
      <s:c r="A5637" s="120" t="inlineStr"/>
      <s:c r="B5637" s="121" t="n"/>
      <s:c r="C5637" s="121" t="n"/>
      <s:c r="D5637" s="121" t="n"/>
      <s:c r="E5637" s="122" t="n"/>
    </s:row>
    <s:row r="5638" hidden="1" ht="1" customHeight="1">
      <s:c r="A5638" s="120" t="inlineStr"/>
      <s:c r="B5638" s="121" t="n"/>
      <s:c r="C5638" s="121" t="n"/>
      <s:c r="D5638" s="121" t="n"/>
      <s:c r="E5638" s="122" t="n"/>
    </s:row>
    <s:row r="5639" hidden="1" ht="1" customHeight="1">
      <s:c r="A5639" s="120" t="inlineStr"/>
      <s:c r="B5639" s="121" t="n"/>
      <s:c r="C5639" s="121" t="n"/>
      <s:c r="D5639" s="121" t="n"/>
      <s:c r="E5639" s="122" t="n"/>
    </s:row>
    <s:row r="5640" hidden="1" ht="1" customHeight="1">
      <s:c r="A5640" s="120" t="inlineStr"/>
      <s:c r="B5640" s="121" t="n"/>
      <s:c r="C5640" s="121" t="n"/>
      <s:c r="D5640" s="121" t="n"/>
      <s:c r="E5640" s="122" t="n"/>
    </s:row>
    <s:row r="5641" hidden="1" ht="1" customHeight="1">
      <s:c r="A5641" s="120" t="inlineStr"/>
      <s:c r="B5641" s="121" t="n"/>
      <s:c r="C5641" s="121" t="n"/>
      <s:c r="D5641" s="121" t="n"/>
      <s:c r="E5641" s="122" t="n"/>
    </s:row>
    <s:row r="5642" hidden="1" ht="1" customHeight="1">
      <s:c r="A5642" s="120" t="inlineStr"/>
      <s:c r="B5642" s="121" t="n"/>
      <s:c r="C5642" s="121" t="n"/>
      <s:c r="D5642" s="121" t="n"/>
      <s:c r="E5642" s="122" t="n"/>
    </s:row>
    <s:row r="5643" hidden="1" ht="1" customHeight="1">
      <s:c r="A5643" s="120" t="inlineStr"/>
      <s:c r="B5643" s="121" t="n"/>
      <s:c r="C5643" s="121" t="n"/>
      <s:c r="D5643" s="121" t="n"/>
      <s:c r="E5643" s="122" t="n"/>
    </s:row>
    <s:row r="5644" hidden="1" ht="1" customHeight="1">
      <s:c r="A5644" s="120" t="inlineStr"/>
      <s:c r="B5644" s="121" t="n"/>
      <s:c r="C5644" s="121" t="n"/>
      <s:c r="D5644" s="121" t="n"/>
      <s:c r="E5644" s="122" t="n"/>
    </s:row>
    <s:row r="5645" hidden="1" ht="1" customHeight="1">
      <s:c r="A5645" s="120" t="inlineStr"/>
      <s:c r="B5645" s="121" t="n"/>
      <s:c r="C5645" s="121" t="n"/>
      <s:c r="D5645" s="121" t="n"/>
      <s:c r="E5645" s="122" t="n"/>
    </s:row>
    <s:row r="5646" hidden="1" ht="1" customHeight="1">
      <s:c r="A5646" s="120" t="inlineStr"/>
      <s:c r="B5646" s="121" t="n"/>
      <s:c r="C5646" s="121" t="n"/>
      <s:c r="D5646" s="121" t="n"/>
      <s:c r="E5646" s="122" t="n"/>
    </s:row>
    <s:row r="5647" hidden="1" ht="1" customHeight="1">
      <s:c r="A5647" s="120" t="inlineStr"/>
      <s:c r="B5647" s="121" t="n"/>
      <s:c r="C5647" s="121" t="n"/>
      <s:c r="D5647" s="121" t="n"/>
      <s:c r="E5647" s="122" t="n"/>
    </s:row>
    <s:row r="5648" hidden="1" ht="1" customHeight="1">
      <s:c r="A5648" s="120" t="inlineStr"/>
      <s:c r="B5648" s="121" t="n"/>
      <s:c r="C5648" s="121" t="n"/>
      <s:c r="D5648" s="121" t="n"/>
      <s:c r="E5648" s="122" t="n"/>
    </s:row>
    <s:row r="5649" hidden="1" ht="1" customHeight="1">
      <s:c r="A5649" s="83" t="inlineStr">
        <s:is>
          <s:t>PASS</s:t>
        </s:is>
      </s:c>
      <s:c r="B5649" s="83">
        <s:f>SUM(IF(EXACT('Kiểm thử'!E5249,"Đạt"),1,0),IF(EXACT('Kiểm thử'!E5251,"Đạt"),1,0),IF(EXACT('Kiểm thử'!E5253,"Đạt"),1,0),IF(EXACT('Kiểm thử'!E5255,"Đạt"),1,0),IF(EXACT('Kiểm thử'!E5257,"Đạt"),1,0),IF(EXACT('Kiểm thử'!E5259,"Đạt"),1,0),IF(EXACT('Kiểm thử'!E5261,"Đạt"),1,0),IF(EXACT('Kiểm thử'!E5263,"Đạt"),1,0))</s:f>
        <s:v/>
      </s:c>
      <s:c r="C5649" s="19" t="n"/>
      <s:c r="D5649" s="19" t="n"/>
      <s:c r="E5649" s="19" t="n"/>
    </s:row>
    <s:row r="5650" hidden="1" ht="1" customHeight="1">
      <s:c r="A5650" s="83" t="inlineStr">
        <s:is>
          <s:t>FAIL</s:t>
        </s:is>
      </s:c>
      <s:c r="B5650" s="83">
        <s:f>SUM(IF(EXACT('Kiểm thử'!E5249,"Không đạt"),1,0),IF(EXACT('Kiểm thử'!E5251,"Không đạt"),1,0),IF(EXACT('Kiểm thử'!E5253,"Không đạt"),1,0),IF(EXACT('Kiểm thử'!E5255,"Không đạt"),1,0),IF(EXACT('Kiểm thử'!E5257,"Không đạt"),1,0),IF(EXACT('Kiểm thử'!E5259,"Không đạt"),1,0),IF(EXACT('Kiểm thử'!E5261,"Không đạt"),1,0),IF(EXACT('Kiểm thử'!E5263,"Không đạt"),1,0))</s:f>
        <s:v/>
      </s:c>
      <s:c r="C5650" s="19" t="n"/>
      <s:c r="D5650" s="19" t="n"/>
      <s:c r="E5650" s="19" t="n"/>
    </s:row>
    <s:row r="5651" hidden="1" ht="1" customHeight="1">
      <s:c r="A5651" s="83" t="inlineStr">
        <s:is>
          <s:t>BLOCKED</s:t>
        </s:is>
      </s:c>
      <s:c r="B5651" s="83">
        <s:f>SUM(IF(EXACT('Kiểm thử'!E5249,"Bị chặn"),1,0),IF(EXACT('Kiểm thử'!E5251,"Bị chặn"),1,0),IF(EXACT('Kiểm thử'!E5253,"Bị chặn"),1,0),IF(EXACT('Kiểm thử'!E5255,"Bị chặn"),1,0),IF(EXACT('Kiểm thử'!E5257,"Bị chặn"),1,0),IF(EXACT('Kiểm thử'!E5259,"Bị chặn"),1,0),IF(EXACT('Kiểm thử'!E5261,"Bị chặn"),1,0),IF(EXACT('Kiểm thử'!E5263,"Bị chặn"),1,0))</s:f>
        <s:v/>
      </s:c>
      <s:c r="C5651" s="19" t="n"/>
      <s:c r="D5651" s="19" t="n"/>
      <s:c r="E5651" s="19" t="n"/>
    </s:row>
    <s:row r="5652" hidden="1" ht="1" customHeight="1">
      <s:c r="A5652" s="83" t="inlineStr">
        <s:is>
          <s:t>SKIPPED</s:t>
        </s:is>
      </s:c>
      <s:c r="B5652" s="83">
        <s:f>SUM(IF(EXACT('Kiểm thử'!E5249,"Không thực hiện"),1,0),IF(EXACT('Kiểm thử'!E5251,"Không thực hiện"),1,0),IF(EXACT('Kiểm thử'!E5253,"Không thực hiện"),1,0),IF(EXACT('Kiểm thử'!E5255,"Không thực hiện"),1,0),IF(EXACT('Kiểm thử'!E5257,"Không thực hiện"),1,0),IF(EXACT('Kiểm thử'!E5259,"Không thực hiện"),1,0),IF(EXACT('Kiểm thử'!E5261,"Không thực hiện"),1,0),IF(EXACT('Kiểm thử'!E5263,"Không thực hiện"),1,0))</s:f>
        <s:v/>
      </s:c>
      <s:c r="C5652" s="19" t="n"/>
      <s:c r="D5652" s="19" t="n"/>
      <s:c r="E5652" s="19" t="n"/>
    </s:row>
    <s:row r="5653" hidden="1" ht="1" customHeight="1">
      <s:c r="A5653" s="83" t="inlineStr">
        <s:is>
          <s:t>NOT RUN</s:t>
        </s:is>
      </s:c>
      <s:c r="B5653" s="83">
        <s:f>SUM(IF(EXACT('Kiểm thử'!E5249,"Chưa thực hiện"),1,0),IF(EXACT('Kiểm thử'!E5251,"Chưa thực hiện"),1,0),IF(EXACT('Kiểm thử'!E5253,"Chưa thực hiện"),1,0),IF(EXACT('Kiểm thử'!E5255,"Chưa thực hiện"),1,0),IF(EXACT('Kiểm thử'!E5257,"Chưa thực hiện"),1,0),IF(EXACT('Kiểm thử'!E5259,"Chưa thực hiện"),1,0),IF(EXACT('Kiểm thử'!E5261,"Chưa thực hiện"),1,0),IF(EXACT('Kiểm thử'!E5263,"Chưa thực hiện"),1,0))</s:f>
        <s:v/>
      </s:c>
      <s:c r="C5653" s="19" t="n"/>
      <s:c r="D5653" s="19" t="n"/>
      <s:c r="E5653" s="19" t="n"/>
    </s:row>
    <s:row r="5654" hidden="1" ht="6" customHeight="1">
      <s:c r="A5654" s="83" t="inlineStr"/>
      <s:c r="B5654" s="19" t="n"/>
      <s:c r="C5654" s="19" t="n"/>
      <s:c r="D5654" s="19" t="n"/>
      <s:c r="E5654" s="19" t="n"/>
    </s:row>
    <s:row r="5655" ht="28" customHeight="1">
      <s:c r="A5655" s="108" t="inlineStr">
        <s:is>
          <s:t>TC-RS-VAL-005 — Điểm cố định thập phân</s:t>
        </s:is>
      </s:c>
      <s:c r="B5655" s="111" t="n"/>
      <s:c r="C5655" s="111" t="n"/>
      <s:c r="D5655" s="111" t="n"/>
      <s:c r="E5655" s="111" t="n"/>
    </s:row>
    <s:row r="5656" ht="20" customHeight="1">
      <s:c r="A5656" s="112" t="inlineStr">
        <s:is>
          <s:t>Kết quả tình huống</s:t>
        </s:is>
      </s:c>
      <s:c r="B5656" s="113">
        <s:f>IF(SUM(IF(EXACT('Kiểm thử'!E5663,"Không đạt"),1,0),IF(EXACT('Kiểm thử'!E5665,"Không đạt"),1,0),IF(EXACT('Kiểm thử'!E5667,"Không đạt"),1,0),IF(EXACT('Kiểm thử'!E5669,"Không đạt"),1,0))&gt;0,"Không đạt",IF(SUM(IF(EXACT('Kiểm thử'!E5663,"Đạt"),1,0),IF(EXACT('Kiểm thử'!E5665,"Đạt"),1,0),IF(EXACT('Kiểm thử'!E5667,"Đạt"),1,0),IF(EXACT('Kiểm thử'!E5669,"Đạt"),1,0))=4,"Đạt",IF(SUM(IF(EXACT('Kiểm thử'!E5663,"Không thực hiện"),1,0),IF(EXACT('Kiểm thử'!E5665,"Không thực hiện"),1,0),IF(EXACT('Kiểm thử'!E5667,"Không thực hiện"),1,0),IF(EXACT('Kiểm thử'!E5669,"Không thực hiện"),1,0))=4,"Không thực hiện",IF(SUM(IF(EXACT('Kiểm thử'!E5663,"Bị chặn"),1,0),IF(EXACT('Kiểm thử'!E5665,"Bị chặn"),1,0),IF(EXACT('Kiểm thử'!E5667,"Bị chặn"),1,0),IF(EXACT('Kiểm thử'!E5669,"Bị chặn"),1,0))&gt;0,"Bị chặn",IF(SUM(IF(EXACT('Kiểm thử'!E5663,"Chưa thực hiện"),1,0),IF(EXACT('Kiểm thử'!E5665,"Chưa thực hiện"),1,0),IF(EXACT('Kiểm thử'!E5667,"Chưa thực hiện"),1,0),IF(EXACT('Kiểm thử'!E5669,"Chưa thực hiện"),1,0))=4,"Chưa thực hiện","Đang thực hiện")))))</s:f>
        <s:v/>
      </s:c>
      <s:c r="C5656" s="114" t="n"/>
      <s:c r="D5656" s="114" t="n"/>
      <s:c r="E5656" s="114" t="n"/>
    </s:row>
    <s:row r="5657" ht="20" customHeight="1">
      <s:c r="A5657" s="112" t="inlineStr">
        <s:is>
          <s:t>Màn hình / chức năng</s:t>
        </s:is>
      </s:c>
      <s:c r="B5657" s="113" t="inlineStr">
        <s:is>
          <s:r>
            <s:rPr>
              <s:b val="1"/>
            </s:rPr>
            <s:t>Thiết lập ngưỡng（基準設定）</s:t>
          </s:r>
        </s:is>
      </s:c>
      <s:c r="C5657" s="28" t="n"/>
      <s:c r="D5657" s="28" t="n"/>
      <s:c r="E5657" s="28" t="n"/>
    </s:row>
    <s:row r="5658" ht="20" customHeight="1">
      <s:c r="A5658" s="112" t="inlineStr">
        <s:is>
          <s:t>Cấu hình</s:t>
        </s:is>
      </s:c>
      <s:c r="B5658" s="113" t="inlineStr">
        <s:is>
          <s:r>
            <s:t>• Mục số thập phân (</s:t>
          </s:r>
          <s:r>
            <s:rPr>
              <s:b val="1"/>
            </s:rPr>
            <s:t>M=100</s:t>
          </s:r>
          <s:r>
            <s:t>) (thập phân).</s:t>
          </s:r>
        </s:is>
      </s:c>
      <s:c r="C5658" s="28" t="n"/>
      <s:c r="D5658" s="28" t="n"/>
      <s:c r="E5658" s="28" t="n"/>
    </s:row>
    <s:row r="5659" ht="34" customHeight="1">
      <s:c r="A5659" s="112" t="inlineStr">
        <s:is>
          <s:t>Dữ liệu test</s:t>
        </s:is>
      </s:c>
      <s:c r="B5659" s="113" t="inlineStr">
        <s:is>
          <s:r>
            <s:t>• Mục số thập phân (</s:t>
          </s:r>
          <s:r>
            <s:rPr>
              <s:b val="1"/>
            </s:rPr>
            <s:t>M=100</s:t>
          </s:r>
          <s:r>
            <s:t>);
• N = 29.5, 29.55, 29.555, 29.5555</s:t>
          </s:r>
        </s:is>
      </s:c>
      <s:c r="C5659" s="28" t="n"/>
      <s:c r="D5659" s="28" t="n"/>
      <s:c r="E5659" s="28" t="n"/>
    </s:row>
    <s:row r="5660" ht="20" customHeight="1">
      <s:c r="A5660" s="112" t="inlineStr">
        <s:is>
          <s:t>•</s:t>
        </s:is>
      </s:c>
      <s:c r="B5660" s="113" t="inlineStr">
        <s:is>
          <s:t>Nhập từng giá trị, Lưu, mở lại.</s:t>
        </s:is>
      </s:c>
      <s:c r="C5660" s="28" t="n"/>
      <s:c r="D5660" s="28" t="n"/>
      <s:c r="E5660" s="28" t="n"/>
    </s:row>
    <s:row r="5661" ht="28" customHeight="1">
      <s:c r="A5661" s="115" t="inlineStr">
        <s:is>
          <s:t>Trường hợp</s:t>
        </s:is>
      </s:c>
      <s:c r="B5661" s="115" t="inlineStr">
        <s:is>
          <s:t>Dữ liệu / thao tác riêng</s:t>
        </s:is>
      </s:c>
      <s:c r="C5661" s="115" t="inlineStr">
        <s:is>
          <s:t>Kết quả mong đợi</s:t>
        </s:is>
      </s:c>
      <s:c r="D5661" s="115" t="inlineStr">
        <s:is>
          <s:t>Kết quả thực tế</s:t>
        </s:is>
      </s:c>
      <s:c r="E5661" s="115" t="inlineStr">
        <s:is>
          <s:t>Đánh giá</s:t>
        </s:is>
      </s:c>
    </s:row>
    <s:row r="5662" ht="3" customHeight="1">
      <s:c r="A5662" s="102" t="inlineStr"/>
      <s:c r="B5662" s="99" t="n"/>
      <s:c r="C5662" s="99" t="n"/>
      <s:c r="D5662" s="116" t="n"/>
      <s:c r="E5662" s="116" t="n"/>
    </s:row>
    <s:row r="5663" ht="62" customHeight="1">
      <s:c r="A5663" s="83" t="inlineStr">
        <s:is>
          <s:t>Điểm cố định 29.5 (d1)</s:t>
        </s:is>
      </s:c>
      <s:c r="B5663" s="83" t="inlineStr">
        <s:is>
          <s:r>
            <s:t xml:space="preserve">Nhập </s:t>
          </s:r>
          <s:r>
            <s:rPr>
              <s:b val="1"/>
            </s:rPr>
            <s:t>N=29.5</s:t>
          </s:r>
          <s:r>
            <s:t>, lưu và mở lại.</s:t>
          </s:r>
        </s:is>
      </s:c>
      <s:c r="C5663" s="83" t="inlineStr">
        <s:is>
          <s:t>PROPOSED (thiết kế DB v2 mục 4.2): 29.5 lưu và mở lại đúng. CONFIRMED (đặc tả v2 mục 6.8): không được âm thầm làm tròn/cắt giá trị mà không báo.</s:t>
        </s:is>
      </s:c>
      <s:c r="D5663" s="117" t="inlineStr"/>
      <s:c r="E5663" s="118" t="inlineStr">
        <s:is>
          <s:t>Chưa thực hiện</s:t>
        </s:is>
      </s:c>
    </s:row>
    <s:row r="5664" ht="3" customHeight="1">
      <s:c r="A5664" s="102" t="inlineStr"/>
      <s:c r="B5664" s="99" t="n"/>
      <s:c r="C5664" s="99" t="n"/>
      <s:c r="D5664" s="116" t="n"/>
      <s:c r="E5664" s="116" t="n"/>
    </s:row>
    <s:row r="5665" ht="62" customHeight="1">
      <s:c r="A5665" s="83" t="inlineStr">
        <s:is>
          <s:t>Điểm cố định 29.55 (d2)</s:t>
        </s:is>
      </s:c>
      <s:c r="B5665" s="83" t="inlineStr">
        <s:is>
          <s:r>
            <s:t xml:space="preserve">Nhập </s:t>
          </s:r>
          <s:r>
            <s:rPr>
              <s:b val="1"/>
            </s:rPr>
            <s:t>N=29.55</s:t>
          </s:r>
          <s:r>
            <s:t>, lưu và mở lại.</s:t>
          </s:r>
        </s:is>
      </s:c>
      <s:c r="C5665" s="83" t="inlineStr">
        <s:is>
          <s:t>PROPOSED (thiết kế DB v2 mục 4.2): 29.55 lưu và mở lại đúng. CONFIRMED (đặc tả v2 mục 6.8): không được âm thầm làm tròn/cắt giá trị mà không báo.</s:t>
        </s:is>
      </s:c>
      <s:c r="D5665" s="117" t="inlineStr"/>
      <s:c r="E5665" s="118" t="inlineStr">
        <s:is>
          <s:t>Chưa thực hiện</s:t>
        </s:is>
      </s:c>
    </s:row>
    <s:row r="5666" ht="3" customHeight="1">
      <s:c r="A5666" s="102" t="inlineStr"/>
      <s:c r="B5666" s="99" t="n"/>
      <s:c r="C5666" s="99" t="n"/>
      <s:c r="D5666" s="116" t="n"/>
      <s:c r="E5666" s="116" t="n"/>
    </s:row>
    <s:row r="5667" ht="62" customHeight="1">
      <s:c r="A5667" s="83" t="inlineStr">
        <s:is>
          <s:t>Điểm cố định 29.555 (d3)</s:t>
        </s:is>
      </s:c>
      <s:c r="B5667" s="83" t="inlineStr">
        <s:is>
          <s:r>
            <s:t xml:space="preserve">Nhập </s:t>
          </s:r>
          <s:r>
            <s:rPr>
              <s:b val="1"/>
            </s:rPr>
            <s:t>N=29.555</s:t>
          </s:r>
          <s:r>
            <s:t>, lưu và mở lại.</s:t>
          </s:r>
        </s:is>
      </s:c>
      <s:c r="C5667" s="83" t="inlineStr">
        <s:is>
          <s:t>PROPOSED (thiết kế DB v2 mục 4.2): 29.555 lưu và mở lại đúng. CONFIRMED (đặc tả v2 mục 6.8): không được âm thầm làm tròn/cắt giá trị mà không báo.</s:t>
        </s:is>
      </s:c>
      <s:c r="D5667" s="117" t="inlineStr"/>
      <s:c r="E5667" s="118" t="inlineStr">
        <s:is>
          <s:t>Chưa thực hiện</s:t>
        </s:is>
      </s:c>
    </s:row>
    <s:row r="5668" ht="3" customHeight="1">
      <s:c r="A5668" s="102" t="inlineStr"/>
      <s:c r="B5668" s="99" t="n"/>
      <s:c r="C5668" s="99" t="n"/>
      <s:c r="D5668" s="116" t="n"/>
      <s:c r="E5668" s="116" t="n"/>
    </s:row>
    <s:row r="5669" ht="62" customHeight="1">
      <s:c r="A5669" s="83" t="inlineStr">
        <s:is>
          <s:t>Điểm cố định 29.5555 (d4)</s:t>
        </s:is>
      </s:c>
      <s:c r="B5669" s="83" t="inlineStr">
        <s:is>
          <s:r>
            <s:t xml:space="preserve">Nhập </s:t>
          </s:r>
          <s:r>
            <s:rPr>
              <s:b val="1"/>
            </s:rPr>
            <s:t>N=29.5555</s:t>
          </s:r>
          <s:r>
            <s:t>, lưu và mở lại.</s:t>
          </s:r>
        </s:is>
      </s:c>
      <s:c r="C5669" s="83" t="inlineStr">
        <s:is>
          <s:t>PROPOSED (thiết kế DB v2 mục 4.2): 29.5555 bị từ chối, không tự cắt/làm tròn. CONFIRMED (đặc tả v2 mục 6.8): không được âm thầm làm tròn/cắt giá trị mà không báo.</s:t>
        </s:is>
      </s:c>
      <s:c r="D5669" s="117" t="inlineStr"/>
      <s:c r="E5669" s="118" t="inlineStr">
        <s:is>
          <s:t>Chưa thực hiện</s:t>
        </s:is>
      </s:c>
    </s:row>
    <s:row r="5670" ht="20" customHeight="1">
      <s:c r="A5670" s="119" t="inlineStr">
        <s:is>
          <s:t>Ảnh minh chứng — Chưa có ảnh</s:t>
        </s:is>
      </s:c>
      <s:c r="B5670" s="19" t="n"/>
      <s:c r="C5670" s="19" t="n"/>
      <s:c r="D5670" s="19" t="n"/>
      <s:c r="E5670" s="19" t="n"/>
    </s:row>
    <s:row r="5671" hidden="1" ht="1" customHeight="1">
      <s:c r="A5671" s="120" t="inlineStr"/>
      <s:c r="B5671" s="121" t="n"/>
      <s:c r="C5671" s="121" t="n"/>
      <s:c r="D5671" s="121" t="n"/>
      <s:c r="E5671" s="122" t="n"/>
    </s:row>
    <s:row r="5672" hidden="1" ht="1" customHeight="1">
      <s:c r="A5672" s="120" t="inlineStr"/>
      <s:c r="B5672" s="121" t="n"/>
      <s:c r="C5672" s="121" t="n"/>
      <s:c r="D5672" s="121" t="n"/>
      <s:c r="E5672" s="122" t="n"/>
    </s:row>
    <s:row r="5673" hidden="1" ht="1" customHeight="1">
      <s:c r="A5673" s="120" t="inlineStr"/>
      <s:c r="B5673" s="121" t="n"/>
      <s:c r="C5673" s="121" t="n"/>
      <s:c r="D5673" s="121" t="n"/>
      <s:c r="E5673" s="122" t="n"/>
    </s:row>
    <s:row r="5674" hidden="1" ht="1" customHeight="1">
      <s:c r="A5674" s="120" t="inlineStr"/>
      <s:c r="B5674" s="121" t="n"/>
      <s:c r="C5674" s="121" t="n"/>
      <s:c r="D5674" s="121" t="n"/>
      <s:c r="E5674" s="122" t="n"/>
    </s:row>
    <s:row r="5675" hidden="1" ht="1" customHeight="1">
      <s:c r="A5675" s="120" t="inlineStr"/>
      <s:c r="B5675" s="121" t="n"/>
      <s:c r="C5675" s="121" t="n"/>
      <s:c r="D5675" s="121" t="n"/>
      <s:c r="E5675" s="122" t="n"/>
    </s:row>
    <s:row r="5676" hidden="1" ht="1" customHeight="1">
      <s:c r="A5676" s="120" t="inlineStr"/>
      <s:c r="B5676" s="121" t="n"/>
      <s:c r="C5676" s="121" t="n"/>
      <s:c r="D5676" s="121" t="n"/>
      <s:c r="E5676" s="122" t="n"/>
    </s:row>
    <s:row r="5677" hidden="1" ht="1" customHeight="1">
      <s:c r="A5677" s="120" t="inlineStr"/>
      <s:c r="B5677" s="121" t="n"/>
      <s:c r="C5677" s="121" t="n"/>
      <s:c r="D5677" s="121" t="n"/>
      <s:c r="E5677" s="122" t="n"/>
    </s:row>
    <s:row r="5678" hidden="1" ht="1" customHeight="1">
      <s:c r="A5678" s="120" t="inlineStr"/>
      <s:c r="B5678" s="121" t="n"/>
      <s:c r="C5678" s="121" t="n"/>
      <s:c r="D5678" s="121" t="n"/>
      <s:c r="E5678" s="122" t="n"/>
    </s:row>
    <s:row r="5679" hidden="1" ht="1" customHeight="1">
      <s:c r="A5679" s="120" t="inlineStr"/>
      <s:c r="B5679" s="121" t="n"/>
      <s:c r="C5679" s="121" t="n"/>
      <s:c r="D5679" s="121" t="n"/>
      <s:c r="E5679" s="122" t="n"/>
    </s:row>
    <s:row r="5680" hidden="1" ht="1" customHeight="1">
      <s:c r="A5680" s="120" t="inlineStr"/>
      <s:c r="B5680" s="121" t="n"/>
      <s:c r="C5680" s="121" t="n"/>
      <s:c r="D5680" s="121" t="n"/>
      <s:c r="E5680" s="122" t="n"/>
    </s:row>
    <s:row r="5681" hidden="1" ht="1" customHeight="1">
      <s:c r="A5681" s="120" t="inlineStr"/>
      <s:c r="B5681" s="121" t="n"/>
      <s:c r="C5681" s="121" t="n"/>
      <s:c r="D5681" s="121" t="n"/>
      <s:c r="E5681" s="122" t="n"/>
    </s:row>
    <s:row r="5682" hidden="1" ht="1" customHeight="1">
      <s:c r="A5682" s="120" t="inlineStr"/>
      <s:c r="B5682" s="121" t="n"/>
      <s:c r="C5682" s="121" t="n"/>
      <s:c r="D5682" s="121" t="n"/>
      <s:c r="E5682" s="122" t="n"/>
    </s:row>
    <s:row r="5683" hidden="1" ht="1" customHeight="1">
      <s:c r="A5683" s="120" t="inlineStr"/>
      <s:c r="B5683" s="121" t="n"/>
      <s:c r="C5683" s="121" t="n"/>
      <s:c r="D5683" s="121" t="n"/>
      <s:c r="E5683" s="122" t="n"/>
    </s:row>
    <s:row r="5684" hidden="1" ht="1" customHeight="1">
      <s:c r="A5684" s="120" t="inlineStr"/>
      <s:c r="B5684" s="121" t="n"/>
      <s:c r="C5684" s="121" t="n"/>
      <s:c r="D5684" s="121" t="n"/>
      <s:c r="E5684" s="122" t="n"/>
    </s:row>
    <s:row r="5685" hidden="1" ht="1" customHeight="1">
      <s:c r="A5685" s="120" t="inlineStr"/>
      <s:c r="B5685" s="121" t="n"/>
      <s:c r="C5685" s="121" t="n"/>
      <s:c r="D5685" s="121" t="n"/>
      <s:c r="E5685" s="122" t="n"/>
    </s:row>
    <s:row r="5686" hidden="1" ht="1" customHeight="1">
      <s:c r="A5686" s="120" t="inlineStr"/>
      <s:c r="B5686" s="121" t="n"/>
      <s:c r="C5686" s="121" t="n"/>
      <s:c r="D5686" s="121" t="n"/>
      <s:c r="E5686" s="122" t="n"/>
    </s:row>
    <s:row r="5687" hidden="1" ht="1" customHeight="1">
      <s:c r="A5687" s="120" t="inlineStr"/>
      <s:c r="B5687" s="121" t="n"/>
      <s:c r="C5687" s="121" t="n"/>
      <s:c r="D5687" s="121" t="n"/>
      <s:c r="E5687" s="122" t="n"/>
    </s:row>
    <s:row r="5688" hidden="1" ht="1" customHeight="1">
      <s:c r="A5688" s="120" t="inlineStr"/>
      <s:c r="B5688" s="121" t="n"/>
      <s:c r="C5688" s="121" t="n"/>
      <s:c r="D5688" s="121" t="n"/>
      <s:c r="E5688" s="122" t="n"/>
    </s:row>
    <s:row r="5689" hidden="1" ht="1" customHeight="1">
      <s:c r="A5689" s="120" t="inlineStr"/>
      <s:c r="B5689" s="121" t="n"/>
      <s:c r="C5689" s="121" t="n"/>
      <s:c r="D5689" s="121" t="n"/>
      <s:c r="E5689" s="122" t="n"/>
    </s:row>
    <s:row r="5690" hidden="1" ht="1" customHeight="1">
      <s:c r="A5690" s="120" t="inlineStr"/>
      <s:c r="B5690" s="121" t="n"/>
      <s:c r="C5690" s="121" t="n"/>
      <s:c r="D5690" s="121" t="n"/>
      <s:c r="E5690" s="122" t="n"/>
    </s:row>
    <s:row r="5691" hidden="1" ht="1" customHeight="1">
      <s:c r="A5691" s="120" t="inlineStr"/>
      <s:c r="B5691" s="121" t="n"/>
      <s:c r="C5691" s="121" t="n"/>
      <s:c r="D5691" s="121" t="n"/>
      <s:c r="E5691" s="122" t="n"/>
    </s:row>
    <s:row r="5692" hidden="1" ht="1" customHeight="1">
      <s:c r="A5692" s="120" t="inlineStr"/>
      <s:c r="B5692" s="121" t="n"/>
      <s:c r="C5692" s="121" t="n"/>
      <s:c r="D5692" s="121" t="n"/>
      <s:c r="E5692" s="122" t="n"/>
    </s:row>
    <s:row r="5693" hidden="1" ht="1" customHeight="1">
      <s:c r="A5693" s="120" t="inlineStr"/>
      <s:c r="B5693" s="121" t="n"/>
      <s:c r="C5693" s="121" t="n"/>
      <s:c r="D5693" s="121" t="n"/>
      <s:c r="E5693" s="122" t="n"/>
    </s:row>
    <s:row r="5694" hidden="1" ht="1" customHeight="1">
      <s:c r="A5694" s="120" t="inlineStr"/>
      <s:c r="B5694" s="121" t="n"/>
      <s:c r="C5694" s="121" t="n"/>
      <s:c r="D5694" s="121" t="n"/>
      <s:c r="E5694" s="122" t="n"/>
    </s:row>
    <s:row r="5695" hidden="1" ht="1" customHeight="1">
      <s:c r="A5695" s="120" t="inlineStr"/>
      <s:c r="B5695" s="121" t="n"/>
      <s:c r="C5695" s="121" t="n"/>
      <s:c r="D5695" s="121" t="n"/>
      <s:c r="E5695" s="122" t="n"/>
    </s:row>
    <s:row r="5696" hidden="1" ht="1" customHeight="1">
      <s:c r="A5696" s="120" t="inlineStr"/>
      <s:c r="B5696" s="121" t="n"/>
      <s:c r="C5696" s="121" t="n"/>
      <s:c r="D5696" s="121" t="n"/>
      <s:c r="E5696" s="122" t="n"/>
    </s:row>
    <s:row r="5697" hidden="1" ht="1" customHeight="1">
      <s:c r="A5697" s="120" t="inlineStr"/>
      <s:c r="B5697" s="121" t="n"/>
      <s:c r="C5697" s="121" t="n"/>
      <s:c r="D5697" s="121" t="n"/>
      <s:c r="E5697" s="122" t="n"/>
    </s:row>
    <s:row r="5698" hidden="1" ht="1" customHeight="1">
      <s:c r="A5698" s="120" t="inlineStr"/>
      <s:c r="B5698" s="121" t="n"/>
      <s:c r="C5698" s="121" t="n"/>
      <s:c r="D5698" s="121" t="n"/>
      <s:c r="E5698" s="122" t="n"/>
    </s:row>
    <s:row r="5699" hidden="1" ht="1" customHeight="1">
      <s:c r="A5699" s="120" t="inlineStr"/>
      <s:c r="B5699" s="121" t="n"/>
      <s:c r="C5699" s="121" t="n"/>
      <s:c r="D5699" s="121" t="n"/>
      <s:c r="E5699" s="122" t="n"/>
    </s:row>
    <s:row r="5700" hidden="1" ht="1" customHeight="1">
      <s:c r="A5700" s="120" t="inlineStr"/>
      <s:c r="B5700" s="121" t="n"/>
      <s:c r="C5700" s="121" t="n"/>
      <s:c r="D5700" s="121" t="n"/>
      <s:c r="E5700" s="122" t="n"/>
    </s:row>
    <s:row r="5701" hidden="1" ht="1" customHeight="1">
      <s:c r="A5701" s="120" t="inlineStr"/>
      <s:c r="B5701" s="121" t="n"/>
      <s:c r="C5701" s="121" t="n"/>
      <s:c r="D5701" s="121" t="n"/>
      <s:c r="E5701" s="122" t="n"/>
    </s:row>
    <s:row r="5702" hidden="1" ht="1" customHeight="1">
      <s:c r="A5702" s="120" t="inlineStr"/>
      <s:c r="B5702" s="121" t="n"/>
      <s:c r="C5702" s="121" t="n"/>
      <s:c r="D5702" s="121" t="n"/>
      <s:c r="E5702" s="122" t="n"/>
    </s:row>
    <s:row r="5703" hidden="1" ht="1" customHeight="1">
      <s:c r="A5703" s="120" t="inlineStr"/>
      <s:c r="B5703" s="121" t="n"/>
      <s:c r="C5703" s="121" t="n"/>
      <s:c r="D5703" s="121" t="n"/>
      <s:c r="E5703" s="122" t="n"/>
    </s:row>
    <s:row r="5704" hidden="1" ht="1" customHeight="1">
      <s:c r="A5704" s="120" t="inlineStr"/>
      <s:c r="B5704" s="121" t="n"/>
      <s:c r="C5704" s="121" t="n"/>
      <s:c r="D5704" s="121" t="n"/>
      <s:c r="E5704" s="122" t="n"/>
    </s:row>
    <s:row r="5705" hidden="1" ht="1" customHeight="1">
      <s:c r="A5705" s="120" t="inlineStr"/>
      <s:c r="B5705" s="121" t="n"/>
      <s:c r="C5705" s="121" t="n"/>
      <s:c r="D5705" s="121" t="n"/>
      <s:c r="E5705" s="122" t="n"/>
    </s:row>
    <s:row r="5706" hidden="1" ht="1" customHeight="1">
      <s:c r="A5706" s="120" t="inlineStr"/>
      <s:c r="B5706" s="121" t="n"/>
      <s:c r="C5706" s="121" t="n"/>
      <s:c r="D5706" s="121" t="n"/>
      <s:c r="E5706" s="122" t="n"/>
    </s:row>
    <s:row r="5707" hidden="1" ht="1" customHeight="1">
      <s:c r="A5707" s="120" t="inlineStr"/>
      <s:c r="B5707" s="121" t="n"/>
      <s:c r="C5707" s="121" t="n"/>
      <s:c r="D5707" s="121" t="n"/>
      <s:c r="E5707" s="122" t="n"/>
    </s:row>
    <s:row r="5708" hidden="1" ht="1" customHeight="1">
      <s:c r="A5708" s="120" t="inlineStr"/>
      <s:c r="B5708" s="121" t="n"/>
      <s:c r="C5708" s="121" t="n"/>
      <s:c r="D5708" s="121" t="n"/>
      <s:c r="E5708" s="122" t="n"/>
    </s:row>
    <s:row r="5709" hidden="1" ht="1" customHeight="1">
      <s:c r="A5709" s="120" t="inlineStr"/>
      <s:c r="B5709" s="121" t="n"/>
      <s:c r="C5709" s="121" t="n"/>
      <s:c r="D5709" s="121" t="n"/>
      <s:c r="E5709" s="122" t="n"/>
    </s:row>
    <s:row r="5710" hidden="1" ht="1" customHeight="1">
      <s:c r="A5710" s="120" t="inlineStr"/>
      <s:c r="B5710" s="121" t="n"/>
      <s:c r="C5710" s="121" t="n"/>
      <s:c r="D5710" s="121" t="n"/>
      <s:c r="E5710" s="122" t="n"/>
    </s:row>
    <s:row r="5711" hidden="1" ht="1" customHeight="1">
      <s:c r="A5711" s="120" t="inlineStr"/>
      <s:c r="B5711" s="121" t="n"/>
      <s:c r="C5711" s="121" t="n"/>
      <s:c r="D5711" s="121" t="n"/>
      <s:c r="E5711" s="122" t="n"/>
    </s:row>
    <s:row r="5712" hidden="1" ht="1" customHeight="1">
      <s:c r="A5712" s="120" t="inlineStr"/>
      <s:c r="B5712" s="121" t="n"/>
      <s:c r="C5712" s="121" t="n"/>
      <s:c r="D5712" s="121" t="n"/>
      <s:c r="E5712" s="122" t="n"/>
    </s:row>
    <s:row r="5713" hidden="1" ht="1" customHeight="1">
      <s:c r="A5713" s="120" t="inlineStr"/>
      <s:c r="B5713" s="121" t="n"/>
      <s:c r="C5713" s="121" t="n"/>
      <s:c r="D5713" s="121" t="n"/>
      <s:c r="E5713" s="122" t="n"/>
    </s:row>
    <s:row r="5714" hidden="1" ht="1" customHeight="1">
      <s:c r="A5714" s="120" t="inlineStr"/>
      <s:c r="B5714" s="121" t="n"/>
      <s:c r="C5714" s="121" t="n"/>
      <s:c r="D5714" s="121" t="n"/>
      <s:c r="E5714" s="122" t="n"/>
    </s:row>
    <s:row r="5715" hidden="1" ht="1" customHeight="1">
      <s:c r="A5715" s="120" t="inlineStr"/>
      <s:c r="B5715" s="121" t="n"/>
      <s:c r="C5715" s="121" t="n"/>
      <s:c r="D5715" s="121" t="n"/>
      <s:c r="E5715" s="122" t="n"/>
    </s:row>
    <s:row r="5716" hidden="1" ht="1" customHeight="1">
      <s:c r="A5716" s="120" t="inlineStr"/>
      <s:c r="B5716" s="121" t="n"/>
      <s:c r="C5716" s="121" t="n"/>
      <s:c r="D5716" s="121" t="n"/>
      <s:c r="E5716" s="122" t="n"/>
    </s:row>
    <s:row r="5717" hidden="1" ht="1" customHeight="1">
      <s:c r="A5717" s="120" t="inlineStr"/>
      <s:c r="B5717" s="121" t="n"/>
      <s:c r="C5717" s="121" t="n"/>
      <s:c r="D5717" s="121" t="n"/>
      <s:c r="E5717" s="122" t="n"/>
    </s:row>
    <s:row r="5718" hidden="1" ht="1" customHeight="1">
      <s:c r="A5718" s="120" t="inlineStr"/>
      <s:c r="B5718" s="121" t="n"/>
      <s:c r="C5718" s="121" t="n"/>
      <s:c r="D5718" s="121" t="n"/>
      <s:c r="E5718" s="122" t="n"/>
    </s:row>
    <s:row r="5719" hidden="1" ht="1" customHeight="1">
      <s:c r="A5719" s="120" t="inlineStr"/>
      <s:c r="B5719" s="121" t="n"/>
      <s:c r="C5719" s="121" t="n"/>
      <s:c r="D5719" s="121" t="n"/>
      <s:c r="E5719" s="122" t="n"/>
    </s:row>
    <s:row r="5720" hidden="1" ht="1" customHeight="1">
      <s:c r="A5720" s="120" t="inlineStr"/>
      <s:c r="B5720" s="121" t="n"/>
      <s:c r="C5720" s="121" t="n"/>
      <s:c r="D5720" s="121" t="n"/>
      <s:c r="E5720" s="122" t="n"/>
    </s:row>
    <s:row r="5721" hidden="1" ht="1" customHeight="1">
      <s:c r="A5721" s="120" t="inlineStr"/>
      <s:c r="B5721" s="121" t="n"/>
      <s:c r="C5721" s="121" t="n"/>
      <s:c r="D5721" s="121" t="n"/>
      <s:c r="E5721" s="122" t="n"/>
    </s:row>
    <s:row r="5722" hidden="1" ht="1" customHeight="1">
      <s:c r="A5722" s="120" t="inlineStr"/>
      <s:c r="B5722" s="121" t="n"/>
      <s:c r="C5722" s="121" t="n"/>
      <s:c r="D5722" s="121" t="n"/>
      <s:c r="E5722" s="122" t="n"/>
    </s:row>
    <s:row r="5723" hidden="1" ht="1" customHeight="1">
      <s:c r="A5723" s="120" t="inlineStr"/>
      <s:c r="B5723" s="121" t="n"/>
      <s:c r="C5723" s="121" t="n"/>
      <s:c r="D5723" s="121" t="n"/>
      <s:c r="E5723" s="122" t="n"/>
    </s:row>
    <s:row r="5724" hidden="1" ht="1" customHeight="1">
      <s:c r="A5724" s="120" t="inlineStr"/>
      <s:c r="B5724" s="121" t="n"/>
      <s:c r="C5724" s="121" t="n"/>
      <s:c r="D5724" s="121" t="n"/>
      <s:c r="E5724" s="122" t="n"/>
    </s:row>
    <s:row r="5725" hidden="1" ht="1" customHeight="1">
      <s:c r="A5725" s="120" t="inlineStr"/>
      <s:c r="B5725" s="121" t="n"/>
      <s:c r="C5725" s="121" t="n"/>
      <s:c r="D5725" s="121" t="n"/>
      <s:c r="E5725" s="122" t="n"/>
    </s:row>
    <s:row r="5726" hidden="1" ht="1" customHeight="1">
      <s:c r="A5726" s="120" t="inlineStr"/>
      <s:c r="B5726" s="121" t="n"/>
      <s:c r="C5726" s="121" t="n"/>
      <s:c r="D5726" s="121" t="n"/>
      <s:c r="E5726" s="122" t="n"/>
    </s:row>
    <s:row r="5727" hidden="1" ht="1" customHeight="1">
      <s:c r="A5727" s="120" t="inlineStr"/>
      <s:c r="B5727" s="121" t="n"/>
      <s:c r="C5727" s="121" t="n"/>
      <s:c r="D5727" s="121" t="n"/>
      <s:c r="E5727" s="122" t="n"/>
    </s:row>
    <s:row r="5728" hidden="1" ht="1" customHeight="1">
      <s:c r="A5728" s="120" t="inlineStr"/>
      <s:c r="B5728" s="121" t="n"/>
      <s:c r="C5728" s="121" t="n"/>
      <s:c r="D5728" s="121" t="n"/>
      <s:c r="E5728" s="122" t="n"/>
    </s:row>
    <s:row r="5729" hidden="1" ht="1" customHeight="1">
      <s:c r="A5729" s="120" t="inlineStr"/>
      <s:c r="B5729" s="121" t="n"/>
      <s:c r="C5729" s="121" t="n"/>
      <s:c r="D5729" s="121" t="n"/>
      <s:c r="E5729" s="122" t="n"/>
    </s:row>
    <s:row r="5730" hidden="1" ht="1" customHeight="1">
      <s:c r="A5730" s="120" t="inlineStr"/>
      <s:c r="B5730" s="121" t="n"/>
      <s:c r="C5730" s="121" t="n"/>
      <s:c r="D5730" s="121" t="n"/>
      <s:c r="E5730" s="122" t="n"/>
    </s:row>
    <s:row r="5731" hidden="1" ht="1" customHeight="1">
      <s:c r="A5731" s="120" t="inlineStr"/>
      <s:c r="B5731" s="121" t="n"/>
      <s:c r="C5731" s="121" t="n"/>
      <s:c r="D5731" s="121" t="n"/>
      <s:c r="E5731" s="122" t="n"/>
    </s:row>
    <s:row r="5732" hidden="1" ht="1" customHeight="1">
      <s:c r="A5732" s="120" t="inlineStr"/>
      <s:c r="B5732" s="121" t="n"/>
      <s:c r="C5732" s="121" t="n"/>
      <s:c r="D5732" s="121" t="n"/>
      <s:c r="E5732" s="122" t="n"/>
    </s:row>
    <s:row r="5733" hidden="1" ht="1" customHeight="1">
      <s:c r="A5733" s="120" t="inlineStr"/>
      <s:c r="B5733" s="121" t="n"/>
      <s:c r="C5733" s="121" t="n"/>
      <s:c r="D5733" s="121" t="n"/>
      <s:c r="E5733" s="122" t="n"/>
    </s:row>
    <s:row r="5734" hidden="1" ht="1" customHeight="1">
      <s:c r="A5734" s="120" t="inlineStr"/>
      <s:c r="B5734" s="121" t="n"/>
      <s:c r="C5734" s="121" t="n"/>
      <s:c r="D5734" s="121" t="n"/>
      <s:c r="E5734" s="122" t="n"/>
    </s:row>
    <s:row r="5735" hidden="1" ht="1" customHeight="1">
      <s:c r="A5735" s="120" t="inlineStr"/>
      <s:c r="B5735" s="121" t="n"/>
      <s:c r="C5735" s="121" t="n"/>
      <s:c r="D5735" s="121" t="n"/>
      <s:c r="E5735" s="122" t="n"/>
    </s:row>
    <s:row r="5736" hidden="1" ht="1" customHeight="1">
      <s:c r="A5736" s="120" t="inlineStr"/>
      <s:c r="B5736" s="121" t="n"/>
      <s:c r="C5736" s="121" t="n"/>
      <s:c r="D5736" s="121" t="n"/>
      <s:c r="E5736" s="122" t="n"/>
    </s:row>
    <s:row r="5737" hidden="1" ht="1" customHeight="1">
      <s:c r="A5737" s="120" t="inlineStr"/>
      <s:c r="B5737" s="121" t="n"/>
      <s:c r="C5737" s="121" t="n"/>
      <s:c r="D5737" s="121" t="n"/>
      <s:c r="E5737" s="122" t="n"/>
    </s:row>
    <s:row r="5738" hidden="1" ht="1" customHeight="1">
      <s:c r="A5738" s="120" t="inlineStr"/>
      <s:c r="B5738" s="121" t="n"/>
      <s:c r="C5738" s="121" t="n"/>
      <s:c r="D5738" s="121" t="n"/>
      <s:c r="E5738" s="122" t="n"/>
    </s:row>
    <s:row r="5739" hidden="1" ht="1" customHeight="1">
      <s:c r="A5739" s="120" t="inlineStr"/>
      <s:c r="B5739" s="121" t="n"/>
      <s:c r="C5739" s="121" t="n"/>
      <s:c r="D5739" s="121" t="n"/>
      <s:c r="E5739" s="122" t="n"/>
    </s:row>
    <s:row r="5740" hidden="1" ht="1" customHeight="1">
      <s:c r="A5740" s="120" t="inlineStr"/>
      <s:c r="B5740" s="121" t="n"/>
      <s:c r="C5740" s="121" t="n"/>
      <s:c r="D5740" s="121" t="n"/>
      <s:c r="E5740" s="122" t="n"/>
    </s:row>
    <s:row r="5741" hidden="1" ht="1" customHeight="1">
      <s:c r="A5741" s="120" t="inlineStr"/>
      <s:c r="B5741" s="121" t="n"/>
      <s:c r="C5741" s="121" t="n"/>
      <s:c r="D5741" s="121" t="n"/>
      <s:c r="E5741" s="122" t="n"/>
    </s:row>
    <s:row r="5742" hidden="1" ht="1" customHeight="1">
      <s:c r="A5742" s="120" t="inlineStr"/>
      <s:c r="B5742" s="121" t="n"/>
      <s:c r="C5742" s="121" t="n"/>
      <s:c r="D5742" s="121" t="n"/>
      <s:c r="E5742" s="122" t="n"/>
    </s:row>
    <s:row r="5743" hidden="1" ht="1" customHeight="1">
      <s:c r="A5743" s="120" t="inlineStr"/>
      <s:c r="B5743" s="121" t="n"/>
      <s:c r="C5743" s="121" t="n"/>
      <s:c r="D5743" s="121" t="n"/>
      <s:c r="E5743" s="122" t="n"/>
    </s:row>
    <s:row r="5744" hidden="1" ht="1" customHeight="1">
      <s:c r="A5744" s="120" t="inlineStr"/>
      <s:c r="B5744" s="121" t="n"/>
      <s:c r="C5744" s="121" t="n"/>
      <s:c r="D5744" s="121" t="n"/>
      <s:c r="E5744" s="122" t="n"/>
    </s:row>
    <s:row r="5745" hidden="1" ht="1" customHeight="1">
      <s:c r="A5745" s="120" t="inlineStr"/>
      <s:c r="B5745" s="121" t="n"/>
      <s:c r="C5745" s="121" t="n"/>
      <s:c r="D5745" s="121" t="n"/>
      <s:c r="E5745" s="122" t="n"/>
    </s:row>
    <s:row r="5746" hidden="1" ht="1" customHeight="1">
      <s:c r="A5746" s="120" t="inlineStr"/>
      <s:c r="B5746" s="121" t="n"/>
      <s:c r="C5746" s="121" t="n"/>
      <s:c r="D5746" s="121" t="n"/>
      <s:c r="E5746" s="122" t="n"/>
    </s:row>
    <s:row r="5747" hidden="1" ht="1" customHeight="1">
      <s:c r="A5747" s="120" t="inlineStr"/>
      <s:c r="B5747" s="121" t="n"/>
      <s:c r="C5747" s="121" t="n"/>
      <s:c r="D5747" s="121" t="n"/>
      <s:c r="E5747" s="122" t="n"/>
    </s:row>
    <s:row r="5748" hidden="1" ht="1" customHeight="1">
      <s:c r="A5748" s="120" t="inlineStr"/>
      <s:c r="B5748" s="121" t="n"/>
      <s:c r="C5748" s="121" t="n"/>
      <s:c r="D5748" s="121" t="n"/>
      <s:c r="E5748" s="122" t="n"/>
    </s:row>
    <s:row r="5749" hidden="1" ht="1" customHeight="1">
      <s:c r="A5749" s="120" t="inlineStr"/>
      <s:c r="B5749" s="121" t="n"/>
      <s:c r="C5749" s="121" t="n"/>
      <s:c r="D5749" s="121" t="n"/>
      <s:c r="E5749" s="122" t="n"/>
    </s:row>
    <s:row r="5750" hidden="1" ht="1" customHeight="1">
      <s:c r="A5750" s="120" t="inlineStr"/>
      <s:c r="B5750" s="121" t="n"/>
      <s:c r="C5750" s="121" t="n"/>
      <s:c r="D5750" s="121" t="n"/>
      <s:c r="E5750" s="122" t="n"/>
    </s:row>
    <s:row r="5751" hidden="1" ht="1" customHeight="1">
      <s:c r="A5751" s="120" t="inlineStr"/>
      <s:c r="B5751" s="121" t="n"/>
      <s:c r="C5751" s="121" t="n"/>
      <s:c r="D5751" s="121" t="n"/>
      <s:c r="E5751" s="122" t="n"/>
    </s:row>
    <s:row r="5752" hidden="1" ht="1" customHeight="1">
      <s:c r="A5752" s="120" t="inlineStr"/>
      <s:c r="B5752" s="121" t="n"/>
      <s:c r="C5752" s="121" t="n"/>
      <s:c r="D5752" s="121" t="n"/>
      <s:c r="E5752" s="122" t="n"/>
    </s:row>
    <s:row r="5753" hidden="1" ht="1" customHeight="1">
      <s:c r="A5753" s="120" t="inlineStr"/>
      <s:c r="B5753" s="121" t="n"/>
      <s:c r="C5753" s="121" t="n"/>
      <s:c r="D5753" s="121" t="n"/>
      <s:c r="E5753" s="122" t="n"/>
    </s:row>
    <s:row r="5754" hidden="1" ht="1" customHeight="1">
      <s:c r="A5754" s="120" t="inlineStr"/>
      <s:c r="B5754" s="121" t="n"/>
      <s:c r="C5754" s="121" t="n"/>
      <s:c r="D5754" s="121" t="n"/>
      <s:c r="E5754" s="122" t="n"/>
    </s:row>
    <s:row r="5755" hidden="1" ht="1" customHeight="1">
      <s:c r="A5755" s="120" t="inlineStr"/>
      <s:c r="B5755" s="121" t="n"/>
      <s:c r="C5755" s="121" t="n"/>
      <s:c r="D5755" s="121" t="n"/>
      <s:c r="E5755" s="122" t="n"/>
    </s:row>
    <s:row r="5756" hidden="1" ht="1" customHeight="1">
      <s:c r="A5756" s="120" t="inlineStr"/>
      <s:c r="B5756" s="121" t="n"/>
      <s:c r="C5756" s="121" t="n"/>
      <s:c r="D5756" s="121" t="n"/>
      <s:c r="E5756" s="122" t="n"/>
    </s:row>
    <s:row r="5757" hidden="1" ht="1" customHeight="1">
      <s:c r="A5757" s="120" t="inlineStr"/>
      <s:c r="B5757" s="121" t="n"/>
      <s:c r="C5757" s="121" t="n"/>
      <s:c r="D5757" s="121" t="n"/>
      <s:c r="E5757" s="122" t="n"/>
    </s:row>
    <s:row r="5758" hidden="1" ht="1" customHeight="1">
      <s:c r="A5758" s="120" t="inlineStr"/>
      <s:c r="B5758" s="121" t="n"/>
      <s:c r="C5758" s="121" t="n"/>
      <s:c r="D5758" s="121" t="n"/>
      <s:c r="E5758" s="122" t="n"/>
    </s:row>
    <s:row r="5759" hidden="1" ht="1" customHeight="1">
      <s:c r="A5759" s="120" t="inlineStr"/>
      <s:c r="B5759" s="121" t="n"/>
      <s:c r="C5759" s="121" t="n"/>
      <s:c r="D5759" s="121" t="n"/>
      <s:c r="E5759" s="122" t="n"/>
    </s:row>
    <s:row r="5760" hidden="1" ht="1" customHeight="1">
      <s:c r="A5760" s="120" t="inlineStr"/>
      <s:c r="B5760" s="121" t="n"/>
      <s:c r="C5760" s="121" t="n"/>
      <s:c r="D5760" s="121" t="n"/>
      <s:c r="E5760" s="122" t="n"/>
    </s:row>
    <s:row r="5761" hidden="1" ht="1" customHeight="1">
      <s:c r="A5761" s="120" t="inlineStr"/>
      <s:c r="B5761" s="121" t="n"/>
      <s:c r="C5761" s="121" t="n"/>
      <s:c r="D5761" s="121" t="n"/>
      <s:c r="E5761" s="122" t="n"/>
    </s:row>
    <s:row r="5762" hidden="1" ht="1" customHeight="1">
      <s:c r="A5762" s="120" t="inlineStr"/>
      <s:c r="B5762" s="121" t="n"/>
      <s:c r="C5762" s="121" t="n"/>
      <s:c r="D5762" s="121" t="n"/>
      <s:c r="E5762" s="122" t="n"/>
    </s:row>
    <s:row r="5763" hidden="1" ht="1" customHeight="1">
      <s:c r="A5763" s="120" t="inlineStr"/>
      <s:c r="B5763" s="121" t="n"/>
      <s:c r="C5763" s="121" t="n"/>
      <s:c r="D5763" s="121" t="n"/>
      <s:c r="E5763" s="122" t="n"/>
    </s:row>
    <s:row r="5764" hidden="1" ht="1" customHeight="1">
      <s:c r="A5764" s="120" t="inlineStr"/>
      <s:c r="B5764" s="121" t="n"/>
      <s:c r="C5764" s="121" t="n"/>
      <s:c r="D5764" s="121" t="n"/>
      <s:c r="E5764" s="122" t="n"/>
    </s:row>
    <s:row r="5765" hidden="1" ht="1" customHeight="1">
      <s:c r="A5765" s="120" t="inlineStr"/>
      <s:c r="B5765" s="121" t="n"/>
      <s:c r="C5765" s="121" t="n"/>
      <s:c r="D5765" s="121" t="n"/>
      <s:c r="E5765" s="122" t="n"/>
    </s:row>
    <s:row r="5766" hidden="1" ht="1" customHeight="1">
      <s:c r="A5766" s="120" t="inlineStr"/>
      <s:c r="B5766" s="121" t="n"/>
      <s:c r="C5766" s="121" t="n"/>
      <s:c r="D5766" s="121" t="n"/>
      <s:c r="E5766" s="122" t="n"/>
    </s:row>
    <s:row r="5767" hidden="1" ht="1" customHeight="1">
      <s:c r="A5767" s="120" t="inlineStr"/>
      <s:c r="B5767" s="121" t="n"/>
      <s:c r="C5767" s="121" t="n"/>
      <s:c r="D5767" s="121" t="n"/>
      <s:c r="E5767" s="122" t="n"/>
    </s:row>
    <s:row r="5768" hidden="1" ht="1" customHeight="1">
      <s:c r="A5768" s="120" t="inlineStr"/>
      <s:c r="B5768" s="121" t="n"/>
      <s:c r="C5768" s="121" t="n"/>
      <s:c r="D5768" s="121" t="n"/>
      <s:c r="E5768" s="122" t="n"/>
    </s:row>
    <s:row r="5769" hidden="1" ht="1" customHeight="1">
      <s:c r="A5769" s="120" t="inlineStr"/>
      <s:c r="B5769" s="121" t="n"/>
      <s:c r="C5769" s="121" t="n"/>
      <s:c r="D5769" s="121" t="n"/>
      <s:c r="E5769" s="122" t="n"/>
    </s:row>
    <s:row r="5770" hidden="1" ht="1" customHeight="1">
      <s:c r="A5770" s="120" t="inlineStr"/>
      <s:c r="B5770" s="121" t="n"/>
      <s:c r="C5770" s="121" t="n"/>
      <s:c r="D5770" s="121" t="n"/>
      <s:c r="E5770" s="122" t="n"/>
    </s:row>
    <s:row r="5771" hidden="1" ht="1" customHeight="1">
      <s:c r="A5771" s="120" t="inlineStr"/>
      <s:c r="B5771" s="121" t="n"/>
      <s:c r="C5771" s="121" t="n"/>
      <s:c r="D5771" s="121" t="n"/>
      <s:c r="E5771" s="122" t="n"/>
    </s:row>
    <s:row r="5772" hidden="1" ht="1" customHeight="1">
      <s:c r="A5772" s="120" t="inlineStr"/>
      <s:c r="B5772" s="121" t="n"/>
      <s:c r="C5772" s="121" t="n"/>
      <s:c r="D5772" s="121" t="n"/>
      <s:c r="E5772" s="122" t="n"/>
    </s:row>
    <s:row r="5773" hidden="1" ht="1" customHeight="1">
      <s:c r="A5773" s="120" t="inlineStr"/>
      <s:c r="B5773" s="121" t="n"/>
      <s:c r="C5773" s="121" t="n"/>
      <s:c r="D5773" s="121" t="n"/>
      <s:c r="E5773" s="122" t="n"/>
    </s:row>
    <s:row r="5774" hidden="1" ht="1" customHeight="1">
      <s:c r="A5774" s="120" t="inlineStr"/>
      <s:c r="B5774" s="121" t="n"/>
      <s:c r="C5774" s="121" t="n"/>
      <s:c r="D5774" s="121" t="n"/>
      <s:c r="E5774" s="122" t="n"/>
    </s:row>
    <s:row r="5775" hidden="1" ht="1" customHeight="1">
      <s:c r="A5775" s="120" t="inlineStr"/>
      <s:c r="B5775" s="121" t="n"/>
      <s:c r="C5775" s="121" t="n"/>
      <s:c r="D5775" s="121" t="n"/>
      <s:c r="E5775" s="122" t="n"/>
    </s:row>
    <s:row r="5776" hidden="1" ht="1" customHeight="1">
      <s:c r="A5776" s="120" t="inlineStr"/>
      <s:c r="B5776" s="121" t="n"/>
      <s:c r="C5776" s="121" t="n"/>
      <s:c r="D5776" s="121" t="n"/>
      <s:c r="E5776" s="122" t="n"/>
    </s:row>
    <s:row r="5777" hidden="1" ht="1" customHeight="1">
      <s:c r="A5777" s="120" t="inlineStr"/>
      <s:c r="B5777" s="121" t="n"/>
      <s:c r="C5777" s="121" t="n"/>
      <s:c r="D5777" s="121" t="n"/>
      <s:c r="E5777" s="122" t="n"/>
    </s:row>
    <s:row r="5778" hidden="1" ht="1" customHeight="1">
      <s:c r="A5778" s="120" t="inlineStr"/>
      <s:c r="B5778" s="121" t="n"/>
      <s:c r="C5778" s="121" t="n"/>
      <s:c r="D5778" s="121" t="n"/>
      <s:c r="E5778" s="122" t="n"/>
    </s:row>
    <s:row r="5779" hidden="1" ht="1" customHeight="1">
      <s:c r="A5779" s="120" t="inlineStr"/>
      <s:c r="B5779" s="121" t="n"/>
      <s:c r="C5779" s="121" t="n"/>
      <s:c r="D5779" s="121" t="n"/>
      <s:c r="E5779" s="122" t="n"/>
    </s:row>
    <s:row r="5780" hidden="1" ht="1" customHeight="1">
      <s:c r="A5780" s="120" t="inlineStr"/>
      <s:c r="B5780" s="121" t="n"/>
      <s:c r="C5780" s="121" t="n"/>
      <s:c r="D5780" s="121" t="n"/>
      <s:c r="E5780" s="122" t="n"/>
    </s:row>
    <s:row r="5781" hidden="1" ht="1" customHeight="1">
      <s:c r="A5781" s="120" t="inlineStr"/>
      <s:c r="B5781" s="121" t="n"/>
      <s:c r="C5781" s="121" t="n"/>
      <s:c r="D5781" s="121" t="n"/>
      <s:c r="E5781" s="122" t="n"/>
    </s:row>
    <s:row r="5782" hidden="1" ht="1" customHeight="1">
      <s:c r="A5782" s="120" t="inlineStr"/>
      <s:c r="B5782" s="121" t="n"/>
      <s:c r="C5782" s="121" t="n"/>
      <s:c r="D5782" s="121" t="n"/>
      <s:c r="E5782" s="122" t="n"/>
    </s:row>
    <s:row r="5783" hidden="1" ht="1" customHeight="1">
      <s:c r="A5783" s="120" t="inlineStr"/>
      <s:c r="B5783" s="121" t="n"/>
      <s:c r="C5783" s="121" t="n"/>
      <s:c r="D5783" s="121" t="n"/>
      <s:c r="E5783" s="122" t="n"/>
    </s:row>
    <s:row r="5784" hidden="1" ht="1" customHeight="1">
      <s:c r="A5784" s="120" t="inlineStr"/>
      <s:c r="B5784" s="121" t="n"/>
      <s:c r="C5784" s="121" t="n"/>
      <s:c r="D5784" s="121" t="n"/>
      <s:c r="E5784" s="122" t="n"/>
    </s:row>
    <s:row r="5785" hidden="1" ht="1" customHeight="1">
      <s:c r="A5785" s="120" t="inlineStr"/>
      <s:c r="B5785" s="121" t="n"/>
      <s:c r="C5785" s="121" t="n"/>
      <s:c r="D5785" s="121" t="n"/>
      <s:c r="E5785" s="122" t="n"/>
    </s:row>
    <s:row r="5786" hidden="1" ht="1" customHeight="1">
      <s:c r="A5786" s="120" t="inlineStr"/>
      <s:c r="B5786" s="121" t="n"/>
      <s:c r="C5786" s="121" t="n"/>
      <s:c r="D5786" s="121" t="n"/>
      <s:c r="E5786" s="122" t="n"/>
    </s:row>
    <s:row r="5787" hidden="1" ht="1" customHeight="1">
      <s:c r="A5787" s="120" t="inlineStr"/>
      <s:c r="B5787" s="121" t="n"/>
      <s:c r="C5787" s="121" t="n"/>
      <s:c r="D5787" s="121" t="n"/>
      <s:c r="E5787" s="122" t="n"/>
    </s:row>
    <s:row r="5788" hidden="1" ht="1" customHeight="1">
      <s:c r="A5788" s="120" t="inlineStr"/>
      <s:c r="B5788" s="121" t="n"/>
      <s:c r="C5788" s="121" t="n"/>
      <s:c r="D5788" s="121" t="n"/>
      <s:c r="E5788" s="122" t="n"/>
    </s:row>
    <s:row r="5789" hidden="1" ht="1" customHeight="1">
      <s:c r="A5789" s="120" t="inlineStr"/>
      <s:c r="B5789" s="121" t="n"/>
      <s:c r="C5789" s="121" t="n"/>
      <s:c r="D5789" s="121" t="n"/>
      <s:c r="E5789" s="122" t="n"/>
    </s:row>
    <s:row r="5790" hidden="1" ht="1" customHeight="1">
      <s:c r="A5790" s="120" t="inlineStr"/>
      <s:c r="B5790" s="121" t="n"/>
      <s:c r="C5790" s="121" t="n"/>
      <s:c r="D5790" s="121" t="n"/>
      <s:c r="E5790" s="122" t="n"/>
    </s:row>
    <s:row r="5791" hidden="1" ht="1" customHeight="1">
      <s:c r="A5791" s="120" t="inlineStr"/>
      <s:c r="B5791" s="121" t="n"/>
      <s:c r="C5791" s="121" t="n"/>
      <s:c r="D5791" s="121" t="n"/>
      <s:c r="E5791" s="122" t="n"/>
    </s:row>
    <s:row r="5792" hidden="1" ht="1" customHeight="1">
      <s:c r="A5792" s="120" t="inlineStr"/>
      <s:c r="B5792" s="121" t="n"/>
      <s:c r="C5792" s="121" t="n"/>
      <s:c r="D5792" s="121" t="n"/>
      <s:c r="E5792" s="122" t="n"/>
    </s:row>
    <s:row r="5793" hidden="1" ht="1" customHeight="1">
      <s:c r="A5793" s="120" t="inlineStr"/>
      <s:c r="B5793" s="121" t="n"/>
      <s:c r="C5793" s="121" t="n"/>
      <s:c r="D5793" s="121" t="n"/>
      <s:c r="E5793" s="122" t="n"/>
    </s:row>
    <s:row r="5794" hidden="1" ht="1" customHeight="1">
      <s:c r="A5794" s="120" t="inlineStr"/>
      <s:c r="B5794" s="121" t="n"/>
      <s:c r="C5794" s="121" t="n"/>
      <s:c r="D5794" s="121" t="n"/>
      <s:c r="E5794" s="122" t="n"/>
    </s:row>
    <s:row r="5795" hidden="1" ht="1" customHeight="1">
      <s:c r="A5795" s="120" t="inlineStr"/>
      <s:c r="B5795" s="121" t="n"/>
      <s:c r="C5795" s="121" t="n"/>
      <s:c r="D5795" s="121" t="n"/>
      <s:c r="E5795" s="122" t="n"/>
    </s:row>
    <s:row r="5796" hidden="1" ht="1" customHeight="1">
      <s:c r="A5796" s="120" t="inlineStr"/>
      <s:c r="B5796" s="121" t="n"/>
      <s:c r="C5796" s="121" t="n"/>
      <s:c r="D5796" s="121" t="n"/>
      <s:c r="E5796" s="122" t="n"/>
    </s:row>
    <s:row r="5797" hidden="1" ht="1" customHeight="1">
      <s:c r="A5797" s="120" t="inlineStr"/>
      <s:c r="B5797" s="121" t="n"/>
      <s:c r="C5797" s="121" t="n"/>
      <s:c r="D5797" s="121" t="n"/>
      <s:c r="E5797" s="122" t="n"/>
    </s:row>
    <s:row r="5798" hidden="1" ht="1" customHeight="1">
      <s:c r="A5798" s="120" t="inlineStr"/>
      <s:c r="B5798" s="121" t="n"/>
      <s:c r="C5798" s="121" t="n"/>
      <s:c r="D5798" s="121" t="n"/>
      <s:c r="E5798" s="122" t="n"/>
    </s:row>
    <s:row r="5799" hidden="1" ht="1" customHeight="1">
      <s:c r="A5799" s="120" t="inlineStr"/>
      <s:c r="B5799" s="121" t="n"/>
      <s:c r="C5799" s="121" t="n"/>
      <s:c r="D5799" s="121" t="n"/>
      <s:c r="E5799" s="122" t="n"/>
    </s:row>
    <s:row r="5800" hidden="1" ht="1" customHeight="1">
      <s:c r="A5800" s="120" t="inlineStr"/>
      <s:c r="B5800" s="121" t="n"/>
      <s:c r="C5800" s="121" t="n"/>
      <s:c r="D5800" s="121" t="n"/>
      <s:c r="E5800" s="122" t="n"/>
    </s:row>
    <s:row r="5801" hidden="1" ht="1" customHeight="1">
      <s:c r="A5801" s="120" t="inlineStr"/>
      <s:c r="B5801" s="121" t="n"/>
      <s:c r="C5801" s="121" t="n"/>
      <s:c r="D5801" s="121" t="n"/>
      <s:c r="E5801" s="122" t="n"/>
    </s:row>
    <s:row r="5802" hidden="1" ht="1" customHeight="1">
      <s:c r="A5802" s="120" t="inlineStr"/>
      <s:c r="B5802" s="121" t="n"/>
      <s:c r="C5802" s="121" t="n"/>
      <s:c r="D5802" s="121" t="n"/>
      <s:c r="E5802" s="122" t="n"/>
    </s:row>
    <s:row r="5803" hidden="1" ht="1" customHeight="1">
      <s:c r="A5803" s="120" t="inlineStr"/>
      <s:c r="B5803" s="121" t="n"/>
      <s:c r="C5803" s="121" t="n"/>
      <s:c r="D5803" s="121" t="n"/>
      <s:c r="E5803" s="122" t="n"/>
    </s:row>
    <s:row r="5804" hidden="1" ht="1" customHeight="1">
      <s:c r="A5804" s="120" t="inlineStr"/>
      <s:c r="B5804" s="121" t="n"/>
      <s:c r="C5804" s="121" t="n"/>
      <s:c r="D5804" s="121" t="n"/>
      <s:c r="E5804" s="122" t="n"/>
    </s:row>
    <s:row r="5805" hidden="1" ht="1" customHeight="1">
      <s:c r="A5805" s="120" t="inlineStr"/>
      <s:c r="B5805" s="121" t="n"/>
      <s:c r="C5805" s="121" t="n"/>
      <s:c r="D5805" s="121" t="n"/>
      <s:c r="E5805" s="122" t="n"/>
    </s:row>
    <s:row r="5806" hidden="1" ht="1" customHeight="1">
      <s:c r="A5806" s="120" t="inlineStr"/>
      <s:c r="B5806" s="121" t="n"/>
      <s:c r="C5806" s="121" t="n"/>
      <s:c r="D5806" s="121" t="n"/>
      <s:c r="E5806" s="122" t="n"/>
    </s:row>
    <s:row r="5807" hidden="1" ht="1" customHeight="1">
      <s:c r="A5807" s="120" t="inlineStr"/>
      <s:c r="B5807" s="121" t="n"/>
      <s:c r="C5807" s="121" t="n"/>
      <s:c r="D5807" s="121" t="n"/>
      <s:c r="E5807" s="122" t="n"/>
    </s:row>
    <s:row r="5808" hidden="1" ht="1" customHeight="1">
      <s:c r="A5808" s="120" t="inlineStr"/>
      <s:c r="B5808" s="121" t="n"/>
      <s:c r="C5808" s="121" t="n"/>
      <s:c r="D5808" s="121" t="n"/>
      <s:c r="E5808" s="122" t="n"/>
    </s:row>
    <s:row r="5809" hidden="1" ht="1" customHeight="1">
      <s:c r="A5809" s="120" t="inlineStr"/>
      <s:c r="B5809" s="121" t="n"/>
      <s:c r="C5809" s="121" t="n"/>
      <s:c r="D5809" s="121" t="n"/>
      <s:c r="E5809" s="122" t="n"/>
    </s:row>
    <s:row r="5810" hidden="1" ht="1" customHeight="1">
      <s:c r="A5810" s="120" t="inlineStr"/>
      <s:c r="B5810" s="121" t="n"/>
      <s:c r="C5810" s="121" t="n"/>
      <s:c r="D5810" s="121" t="n"/>
      <s:c r="E5810" s="122" t="n"/>
    </s:row>
    <s:row r="5811" hidden="1" ht="1" customHeight="1">
      <s:c r="A5811" s="120" t="inlineStr"/>
      <s:c r="B5811" s="121" t="n"/>
      <s:c r="C5811" s="121" t="n"/>
      <s:c r="D5811" s="121" t="n"/>
      <s:c r="E5811" s="122" t="n"/>
    </s:row>
    <s:row r="5812" hidden="1" ht="1" customHeight="1">
      <s:c r="A5812" s="120" t="inlineStr"/>
      <s:c r="B5812" s="121" t="n"/>
      <s:c r="C5812" s="121" t="n"/>
      <s:c r="D5812" s="121" t="n"/>
      <s:c r="E5812" s="122" t="n"/>
    </s:row>
    <s:row r="5813" hidden="1" ht="1" customHeight="1">
      <s:c r="A5813" s="120" t="inlineStr"/>
      <s:c r="B5813" s="121" t="n"/>
      <s:c r="C5813" s="121" t="n"/>
      <s:c r="D5813" s="121" t="n"/>
      <s:c r="E5813" s="122" t="n"/>
    </s:row>
    <s:row r="5814" hidden="1" ht="1" customHeight="1">
      <s:c r="A5814" s="120" t="inlineStr"/>
      <s:c r="B5814" s="121" t="n"/>
      <s:c r="C5814" s="121" t="n"/>
      <s:c r="D5814" s="121" t="n"/>
      <s:c r="E5814" s="122" t="n"/>
    </s:row>
    <s:row r="5815" hidden="1" ht="1" customHeight="1">
      <s:c r="A5815" s="120" t="inlineStr"/>
      <s:c r="B5815" s="121" t="n"/>
      <s:c r="C5815" s="121" t="n"/>
      <s:c r="D5815" s="121" t="n"/>
      <s:c r="E5815" s="122" t="n"/>
    </s:row>
    <s:row r="5816" hidden="1" ht="1" customHeight="1">
      <s:c r="A5816" s="120" t="inlineStr"/>
      <s:c r="B5816" s="121" t="n"/>
      <s:c r="C5816" s="121" t="n"/>
      <s:c r="D5816" s="121" t="n"/>
      <s:c r="E5816" s="122" t="n"/>
    </s:row>
    <s:row r="5817" hidden="1" ht="1" customHeight="1">
      <s:c r="A5817" s="120" t="inlineStr"/>
      <s:c r="B5817" s="121" t="n"/>
      <s:c r="C5817" s="121" t="n"/>
      <s:c r="D5817" s="121" t="n"/>
      <s:c r="E5817" s="122" t="n"/>
    </s:row>
    <s:row r="5818" hidden="1" ht="1" customHeight="1">
      <s:c r="A5818" s="120" t="inlineStr"/>
      <s:c r="B5818" s="121" t="n"/>
      <s:c r="C5818" s="121" t="n"/>
      <s:c r="D5818" s="121" t="n"/>
      <s:c r="E5818" s="122" t="n"/>
    </s:row>
    <s:row r="5819" hidden="1" ht="1" customHeight="1">
      <s:c r="A5819" s="120" t="inlineStr"/>
      <s:c r="B5819" s="121" t="n"/>
      <s:c r="C5819" s="121" t="n"/>
      <s:c r="D5819" s="121" t="n"/>
      <s:c r="E5819" s="122" t="n"/>
    </s:row>
    <s:row r="5820" hidden="1" ht="1" customHeight="1">
      <s:c r="A5820" s="120" t="inlineStr"/>
      <s:c r="B5820" s="121" t="n"/>
      <s:c r="C5820" s="121" t="n"/>
      <s:c r="D5820" s="121" t="n"/>
      <s:c r="E5820" s="122" t="n"/>
    </s:row>
    <s:row r="5821" hidden="1" ht="1" customHeight="1">
      <s:c r="A5821" s="120" t="inlineStr"/>
      <s:c r="B5821" s="121" t="n"/>
      <s:c r="C5821" s="121" t="n"/>
      <s:c r="D5821" s="121" t="n"/>
      <s:c r="E5821" s="122" t="n"/>
    </s:row>
    <s:row r="5822" hidden="1" ht="1" customHeight="1">
      <s:c r="A5822" s="120" t="inlineStr"/>
      <s:c r="B5822" s="121" t="n"/>
      <s:c r="C5822" s="121" t="n"/>
      <s:c r="D5822" s="121" t="n"/>
      <s:c r="E5822" s="122" t="n"/>
    </s:row>
    <s:row r="5823" hidden="1" ht="1" customHeight="1">
      <s:c r="A5823" s="120" t="inlineStr"/>
      <s:c r="B5823" s="121" t="n"/>
      <s:c r="C5823" s="121" t="n"/>
      <s:c r="D5823" s="121" t="n"/>
      <s:c r="E5823" s="122" t="n"/>
    </s:row>
    <s:row r="5824" hidden="1" ht="1" customHeight="1">
      <s:c r="A5824" s="120" t="inlineStr"/>
      <s:c r="B5824" s="121" t="n"/>
      <s:c r="C5824" s="121" t="n"/>
      <s:c r="D5824" s="121" t="n"/>
      <s:c r="E5824" s="122" t="n"/>
    </s:row>
    <s:row r="5825" hidden="1" ht="1" customHeight="1">
      <s:c r="A5825" s="120" t="inlineStr"/>
      <s:c r="B5825" s="121" t="n"/>
      <s:c r="C5825" s="121" t="n"/>
      <s:c r="D5825" s="121" t="n"/>
      <s:c r="E5825" s="122" t="n"/>
    </s:row>
    <s:row r="5826" hidden="1" ht="1" customHeight="1">
      <s:c r="A5826" s="120" t="inlineStr"/>
      <s:c r="B5826" s="121" t="n"/>
      <s:c r="C5826" s="121" t="n"/>
      <s:c r="D5826" s="121" t="n"/>
      <s:c r="E5826" s="122" t="n"/>
    </s:row>
    <s:row r="5827" hidden="1" ht="1" customHeight="1">
      <s:c r="A5827" s="120" t="inlineStr"/>
      <s:c r="B5827" s="121" t="n"/>
      <s:c r="C5827" s="121" t="n"/>
      <s:c r="D5827" s="121" t="n"/>
      <s:c r="E5827" s="122" t="n"/>
    </s:row>
    <s:row r="5828" hidden="1" ht="1" customHeight="1">
      <s:c r="A5828" s="120" t="inlineStr"/>
      <s:c r="B5828" s="121" t="n"/>
      <s:c r="C5828" s="121" t="n"/>
      <s:c r="D5828" s="121" t="n"/>
      <s:c r="E5828" s="122" t="n"/>
    </s:row>
    <s:row r="5829" hidden="1" ht="1" customHeight="1">
      <s:c r="A5829" s="120" t="inlineStr"/>
      <s:c r="B5829" s="121" t="n"/>
      <s:c r="C5829" s="121" t="n"/>
      <s:c r="D5829" s="121" t="n"/>
      <s:c r="E5829" s="122" t="n"/>
    </s:row>
    <s:row r="5830" hidden="1" ht="1" customHeight="1">
      <s:c r="A5830" s="120" t="inlineStr"/>
      <s:c r="B5830" s="121" t="n"/>
      <s:c r="C5830" s="121" t="n"/>
      <s:c r="D5830" s="121" t="n"/>
      <s:c r="E5830" s="122" t="n"/>
    </s:row>
    <s:row r="5831" hidden="1" ht="1" customHeight="1">
      <s:c r="A5831" s="120" t="inlineStr"/>
      <s:c r="B5831" s="121" t="n"/>
      <s:c r="C5831" s="121" t="n"/>
      <s:c r="D5831" s="121" t="n"/>
      <s:c r="E5831" s="122" t="n"/>
    </s:row>
    <s:row r="5832" hidden="1" ht="1" customHeight="1">
      <s:c r="A5832" s="120" t="inlineStr"/>
      <s:c r="B5832" s="121" t="n"/>
      <s:c r="C5832" s="121" t="n"/>
      <s:c r="D5832" s="121" t="n"/>
      <s:c r="E5832" s="122" t="n"/>
    </s:row>
    <s:row r="5833" hidden="1" ht="1" customHeight="1">
      <s:c r="A5833" s="120" t="inlineStr"/>
      <s:c r="B5833" s="121" t="n"/>
      <s:c r="C5833" s="121" t="n"/>
      <s:c r="D5833" s="121" t="n"/>
      <s:c r="E5833" s="122" t="n"/>
    </s:row>
    <s:row r="5834" hidden="1" ht="1" customHeight="1">
      <s:c r="A5834" s="120" t="inlineStr"/>
      <s:c r="B5834" s="121" t="n"/>
      <s:c r="C5834" s="121" t="n"/>
      <s:c r="D5834" s="121" t="n"/>
      <s:c r="E5834" s="122" t="n"/>
    </s:row>
    <s:row r="5835" hidden="1" ht="1" customHeight="1">
      <s:c r="A5835" s="120" t="inlineStr"/>
      <s:c r="B5835" s="121" t="n"/>
      <s:c r="C5835" s="121" t="n"/>
      <s:c r="D5835" s="121" t="n"/>
      <s:c r="E5835" s="122" t="n"/>
    </s:row>
    <s:row r="5836" hidden="1" ht="1" customHeight="1">
      <s:c r="A5836" s="120" t="inlineStr"/>
      <s:c r="B5836" s="121" t="n"/>
      <s:c r="C5836" s="121" t="n"/>
      <s:c r="D5836" s="121" t="n"/>
      <s:c r="E5836" s="122" t="n"/>
    </s:row>
    <s:row r="5837" hidden="1" ht="1" customHeight="1">
      <s:c r="A5837" s="120" t="inlineStr"/>
      <s:c r="B5837" s="121" t="n"/>
      <s:c r="C5837" s="121" t="n"/>
      <s:c r="D5837" s="121" t="n"/>
      <s:c r="E5837" s="122" t="n"/>
    </s:row>
    <s:row r="5838" hidden="1" ht="1" customHeight="1">
      <s:c r="A5838" s="120" t="inlineStr"/>
      <s:c r="B5838" s="121" t="n"/>
      <s:c r="C5838" s="121" t="n"/>
      <s:c r="D5838" s="121" t="n"/>
      <s:c r="E5838" s="122" t="n"/>
    </s:row>
    <s:row r="5839" hidden="1" ht="1" customHeight="1">
      <s:c r="A5839" s="120" t="inlineStr"/>
      <s:c r="B5839" s="121" t="n"/>
      <s:c r="C5839" s="121" t="n"/>
      <s:c r="D5839" s="121" t="n"/>
      <s:c r="E5839" s="122" t="n"/>
    </s:row>
    <s:row r="5840" hidden="1" ht="1" customHeight="1">
      <s:c r="A5840" s="120" t="inlineStr"/>
      <s:c r="B5840" s="121" t="n"/>
      <s:c r="C5840" s="121" t="n"/>
      <s:c r="D5840" s="121" t="n"/>
      <s:c r="E5840" s="122" t="n"/>
    </s:row>
    <s:row r="5841" hidden="1" ht="1" customHeight="1">
      <s:c r="A5841" s="120" t="inlineStr"/>
      <s:c r="B5841" s="121" t="n"/>
      <s:c r="C5841" s="121" t="n"/>
      <s:c r="D5841" s="121" t="n"/>
      <s:c r="E5841" s="122" t="n"/>
    </s:row>
    <s:row r="5842" hidden="1" ht="1" customHeight="1">
      <s:c r="A5842" s="120" t="inlineStr"/>
      <s:c r="B5842" s="121" t="n"/>
      <s:c r="C5842" s="121" t="n"/>
      <s:c r="D5842" s="121" t="n"/>
      <s:c r="E5842" s="122" t="n"/>
    </s:row>
    <s:row r="5843" hidden="1" ht="1" customHeight="1">
      <s:c r="A5843" s="120" t="inlineStr"/>
      <s:c r="B5843" s="121" t="n"/>
      <s:c r="C5843" s="121" t="n"/>
      <s:c r="D5843" s="121" t="n"/>
      <s:c r="E5843" s="122" t="n"/>
    </s:row>
    <s:row r="5844" hidden="1" ht="1" customHeight="1">
      <s:c r="A5844" s="120" t="inlineStr"/>
      <s:c r="B5844" s="121" t="n"/>
      <s:c r="C5844" s="121" t="n"/>
      <s:c r="D5844" s="121" t="n"/>
      <s:c r="E5844" s="122" t="n"/>
    </s:row>
    <s:row r="5845" hidden="1" ht="1" customHeight="1">
      <s:c r="A5845" s="120" t="inlineStr"/>
      <s:c r="B5845" s="121" t="n"/>
      <s:c r="C5845" s="121" t="n"/>
      <s:c r="D5845" s="121" t="n"/>
      <s:c r="E5845" s="122" t="n"/>
    </s:row>
    <s:row r="5846" hidden="1" ht="1" customHeight="1">
      <s:c r="A5846" s="120" t="inlineStr"/>
      <s:c r="B5846" s="121" t="n"/>
      <s:c r="C5846" s="121" t="n"/>
      <s:c r="D5846" s="121" t="n"/>
      <s:c r="E5846" s="122" t="n"/>
    </s:row>
    <s:row r="5847" hidden="1" ht="1" customHeight="1">
      <s:c r="A5847" s="120" t="inlineStr"/>
      <s:c r="B5847" s="121" t="n"/>
      <s:c r="C5847" s="121" t="n"/>
      <s:c r="D5847" s="121" t="n"/>
      <s:c r="E5847" s="122" t="n"/>
    </s:row>
    <s:row r="5848" hidden="1" ht="1" customHeight="1">
      <s:c r="A5848" s="120" t="inlineStr"/>
      <s:c r="B5848" s="121" t="n"/>
      <s:c r="C5848" s="121" t="n"/>
      <s:c r="D5848" s="121" t="n"/>
      <s:c r="E5848" s="122" t="n"/>
    </s:row>
    <s:row r="5849" hidden="1" ht="1" customHeight="1">
      <s:c r="A5849" s="120" t="inlineStr"/>
      <s:c r="B5849" s="121" t="n"/>
      <s:c r="C5849" s="121" t="n"/>
      <s:c r="D5849" s="121" t="n"/>
      <s:c r="E5849" s="122" t="n"/>
    </s:row>
    <s:row r="5850" hidden="1" ht="1" customHeight="1">
      <s:c r="A5850" s="120" t="inlineStr"/>
      <s:c r="B5850" s="121" t="n"/>
      <s:c r="C5850" s="121" t="n"/>
      <s:c r="D5850" s="121" t="n"/>
      <s:c r="E5850" s="122" t="n"/>
    </s:row>
    <s:row r="5851" hidden="1" ht="1" customHeight="1">
      <s:c r="A5851" s="120" t="inlineStr"/>
      <s:c r="B5851" s="121" t="n"/>
      <s:c r="C5851" s="121" t="n"/>
      <s:c r="D5851" s="121" t="n"/>
      <s:c r="E5851" s="122" t="n"/>
    </s:row>
    <s:row r="5852" hidden="1" ht="1" customHeight="1">
      <s:c r="A5852" s="120" t="inlineStr"/>
      <s:c r="B5852" s="121" t="n"/>
      <s:c r="C5852" s="121" t="n"/>
      <s:c r="D5852" s="121" t="n"/>
      <s:c r="E5852" s="122" t="n"/>
    </s:row>
    <s:row r="5853" hidden="1" ht="1" customHeight="1">
      <s:c r="A5853" s="120" t="inlineStr"/>
      <s:c r="B5853" s="121" t="n"/>
      <s:c r="C5853" s="121" t="n"/>
      <s:c r="D5853" s="121" t="n"/>
      <s:c r="E5853" s="122" t="n"/>
    </s:row>
    <s:row r="5854" hidden="1" ht="1" customHeight="1">
      <s:c r="A5854" s="120" t="inlineStr"/>
      <s:c r="B5854" s="121" t="n"/>
      <s:c r="C5854" s="121" t="n"/>
      <s:c r="D5854" s="121" t="n"/>
      <s:c r="E5854" s="122" t="n"/>
    </s:row>
    <s:row r="5855" hidden="1" ht="1" customHeight="1">
      <s:c r="A5855" s="120" t="inlineStr"/>
      <s:c r="B5855" s="121" t="n"/>
      <s:c r="C5855" s="121" t="n"/>
      <s:c r="D5855" s="121" t="n"/>
      <s:c r="E5855" s="122" t="n"/>
    </s:row>
    <s:row r="5856" hidden="1" ht="1" customHeight="1">
      <s:c r="A5856" s="120" t="inlineStr"/>
      <s:c r="B5856" s="121" t="n"/>
      <s:c r="C5856" s="121" t="n"/>
      <s:c r="D5856" s="121" t="n"/>
      <s:c r="E5856" s="122" t="n"/>
    </s:row>
    <s:row r="5857" hidden="1" ht="1" customHeight="1">
      <s:c r="A5857" s="120" t="inlineStr"/>
      <s:c r="B5857" s="121" t="n"/>
      <s:c r="C5857" s="121" t="n"/>
      <s:c r="D5857" s="121" t="n"/>
      <s:c r="E5857" s="122" t="n"/>
    </s:row>
    <s:row r="5858" hidden="1" ht="1" customHeight="1">
      <s:c r="A5858" s="120" t="inlineStr"/>
      <s:c r="B5858" s="121" t="n"/>
      <s:c r="C5858" s="121" t="n"/>
      <s:c r="D5858" s="121" t="n"/>
      <s:c r="E5858" s="122" t="n"/>
    </s:row>
    <s:row r="5859" hidden="1" ht="1" customHeight="1">
      <s:c r="A5859" s="120" t="inlineStr"/>
      <s:c r="B5859" s="121" t="n"/>
      <s:c r="C5859" s="121" t="n"/>
      <s:c r="D5859" s="121" t="n"/>
      <s:c r="E5859" s="122" t="n"/>
    </s:row>
    <s:row r="5860" hidden="1" ht="1" customHeight="1">
      <s:c r="A5860" s="120" t="inlineStr"/>
      <s:c r="B5860" s="121" t="n"/>
      <s:c r="C5860" s="121" t="n"/>
      <s:c r="D5860" s="121" t="n"/>
      <s:c r="E5860" s="122" t="n"/>
    </s:row>
    <s:row r="5861" hidden="1" ht="1" customHeight="1">
      <s:c r="A5861" s="120" t="inlineStr"/>
      <s:c r="B5861" s="121" t="n"/>
      <s:c r="C5861" s="121" t="n"/>
      <s:c r="D5861" s="121" t="n"/>
      <s:c r="E5861" s="122" t="n"/>
    </s:row>
    <s:row r="5862" hidden="1" ht="1" customHeight="1">
      <s:c r="A5862" s="120" t="inlineStr"/>
      <s:c r="B5862" s="121" t="n"/>
      <s:c r="C5862" s="121" t="n"/>
      <s:c r="D5862" s="121" t="n"/>
      <s:c r="E5862" s="122" t="n"/>
    </s:row>
    <s:row r="5863" hidden="1" ht="1" customHeight="1">
      <s:c r="A5863" s="83" t="inlineStr">
        <s:is>
          <s:t>PASS</s:t>
        </s:is>
      </s:c>
      <s:c r="B5863" s="83">
        <s:f>SUM(IF(EXACT('Kiểm thử'!E5663,"Đạt"),1,0),IF(EXACT('Kiểm thử'!E5665,"Đạt"),1,0),IF(EXACT('Kiểm thử'!E5667,"Đạt"),1,0),IF(EXACT('Kiểm thử'!E5669,"Đạt"),1,0))</s:f>
        <s:v/>
      </s:c>
      <s:c r="C5863" s="19" t="n"/>
      <s:c r="D5863" s="19" t="n"/>
      <s:c r="E5863" s="19" t="n"/>
    </s:row>
    <s:row r="5864" hidden="1" ht="1" customHeight="1">
      <s:c r="A5864" s="83" t="inlineStr">
        <s:is>
          <s:t>FAIL</s:t>
        </s:is>
      </s:c>
      <s:c r="B5864" s="83">
        <s:f>SUM(IF(EXACT('Kiểm thử'!E5663,"Không đạt"),1,0),IF(EXACT('Kiểm thử'!E5665,"Không đạt"),1,0),IF(EXACT('Kiểm thử'!E5667,"Không đạt"),1,0),IF(EXACT('Kiểm thử'!E5669,"Không đạt"),1,0))</s:f>
        <s:v/>
      </s:c>
      <s:c r="C5864" s="19" t="n"/>
      <s:c r="D5864" s="19" t="n"/>
      <s:c r="E5864" s="19" t="n"/>
    </s:row>
    <s:row r="5865" hidden="1" ht="1" customHeight="1">
      <s:c r="A5865" s="83" t="inlineStr">
        <s:is>
          <s:t>BLOCKED</s:t>
        </s:is>
      </s:c>
      <s:c r="B5865" s="83">
        <s:f>SUM(IF(EXACT('Kiểm thử'!E5663,"Bị chặn"),1,0),IF(EXACT('Kiểm thử'!E5665,"Bị chặn"),1,0),IF(EXACT('Kiểm thử'!E5667,"Bị chặn"),1,0),IF(EXACT('Kiểm thử'!E5669,"Bị chặn"),1,0))</s:f>
        <s:v/>
      </s:c>
      <s:c r="C5865" s="19" t="n"/>
      <s:c r="D5865" s="19" t="n"/>
      <s:c r="E5865" s="19" t="n"/>
    </s:row>
    <s:row r="5866" hidden="1" ht="1" customHeight="1">
      <s:c r="A5866" s="83" t="inlineStr">
        <s:is>
          <s:t>SKIPPED</s:t>
        </s:is>
      </s:c>
      <s:c r="B5866" s="83">
        <s:f>SUM(IF(EXACT('Kiểm thử'!E5663,"Không thực hiện"),1,0),IF(EXACT('Kiểm thử'!E5665,"Không thực hiện"),1,0),IF(EXACT('Kiểm thử'!E5667,"Không thực hiện"),1,0),IF(EXACT('Kiểm thử'!E5669,"Không thực hiện"),1,0))</s:f>
        <s:v/>
      </s:c>
      <s:c r="C5866" s="19" t="n"/>
      <s:c r="D5866" s="19" t="n"/>
      <s:c r="E5866" s="19" t="n"/>
    </s:row>
    <s:row r="5867" hidden="1" ht="1" customHeight="1">
      <s:c r="A5867" s="83" t="inlineStr">
        <s:is>
          <s:t>NOT RUN</s:t>
        </s:is>
      </s:c>
      <s:c r="B5867" s="83">
        <s:f>SUM(IF(EXACT('Kiểm thử'!E5663,"Chưa thực hiện"),1,0),IF(EXACT('Kiểm thử'!E5665,"Chưa thực hiện"),1,0),IF(EXACT('Kiểm thử'!E5667,"Chưa thực hiện"),1,0),IF(EXACT('Kiểm thử'!E5669,"Chưa thực hiện"),1,0))</s:f>
        <s:v/>
      </s:c>
      <s:c r="C5867" s="19" t="n"/>
      <s:c r="D5867" s="19" t="n"/>
      <s:c r="E5867" s="19" t="n"/>
    </s:row>
    <s:row r="5868" hidden="1" ht="6" customHeight="1">
      <s:c r="A5868" s="83" t="inlineStr"/>
      <s:c r="B5868" s="19" t="n"/>
      <s:c r="C5868" s="19" t="n"/>
      <s:c r="D5868" s="19" t="n"/>
      <s:c r="E5868" s="19" t="n"/>
    </s:row>
    <s:row r="5869" ht="28" customHeight="1">
      <s:c r="A5869" s="108" t="inlineStr">
        <s:is>
          <s:t>TC-RS-CALC-001 — Ngưỡng cố định 30: S = 29 / 30 / 31 với [&lt;] và [≤]</s:t>
        </s:is>
      </s:c>
      <s:c r="B5869" s="111" t="n"/>
      <s:c r="C5869" s="111" t="n"/>
      <s:c r="D5869" s="111" t="n"/>
      <s:c r="E5869" s="111" t="n"/>
    </s:row>
    <s:row r="5870" ht="20" customHeight="1">
      <s:c r="A5870" s="112" t="inlineStr">
        <s:is>
          <s:t>Kết quả tình huống</s:t>
        </s:is>
      </s:c>
      <s:c r="B5870" s="113">
        <s:f>IF(SUM(IF(EXACT('Kiểm thử'!E5878,"Không đạt"),1,0),IF(EXACT('Kiểm thử'!E5880,"Không đạt"),1,0))&gt;0,"Không đạt",IF(SUM(IF(EXACT('Kiểm thử'!E5878,"Đạt"),1,0),IF(EXACT('Kiểm thử'!E5880,"Đạt"),1,0))=2,"Đạt",IF(SUM(IF(EXACT('Kiểm thử'!E5878,"Không thực hiện"),1,0),IF(EXACT('Kiểm thử'!E5880,"Không thực hiện"),1,0))=2,"Không thực hiện",IF(SUM(IF(EXACT('Kiểm thử'!E5878,"Bị chặn"),1,0),IF(EXACT('Kiểm thử'!E5880,"Bị chặn"),1,0))&gt;0,"Bị chặn",IF(SUM(IF(EXACT('Kiểm thử'!E5878,"Chưa thực hiện"),1,0),IF(EXACT('Kiểm thử'!E5880,"Chưa thực hiện"),1,0))=2,"Chưa thực hiện","Đang thực hiện")))))</s:f>
        <s:v/>
      </s:c>
      <s:c r="C5870" s="114" t="n"/>
      <s:c r="D5870" s="114" t="n"/>
      <s:c r="E5870" s="114" t="n"/>
    </s:row>
    <s:row r="5871" ht="20" customHeight="1">
      <s:c r="A5871" s="112" t="inlineStr">
        <s:is>
          <s:t>Màn hình / chức năng</s:t>
        </s:is>
      </s:c>
      <s:c r="B5871" s="113" t="inlineStr">
        <s:is>
          <s:r>
            <s:rPr>
              <s:b val="1"/>
            </s:rPr>
            <s:t>Thiết lập ngưỡng（基準設定）</s:t>
          </s:r>
        </s:is>
      </s:c>
      <s:c r="C5871" s="28" t="n"/>
      <s:c r="D5871" s="28" t="n"/>
      <s:c r="E5871" s="28" t="n"/>
    </s:row>
    <s:row r="5872" ht="20" customHeight="1">
      <s:c r="A5872" s="112" t="inlineStr">
        <s:is>
          <s:t>Cấu hình</s:t>
        </s:is>
      </s:c>
      <s:c r="B5872" s="113" t="inlineStr">
        <s:is>
          <s:r>
            <s:t>• Mục số nguyên (</s:t>
          </s:r>
          <s:r>
            <s:rPr>
              <s:b val="1"/>
            </s:rPr>
            <s:t>M=100</s:t>
          </s:r>
          <s:r>
            <s:t>) (</s:t>
          </s:r>
          <s:r>
            <s:rPr>
              <s:b val="1"/>
            </s:rPr>
            <s:t>M=100</s:t>
          </s:r>
          <s:r>
            <s:t>).</s:t>
          </s:r>
        </s:is>
      </s:c>
      <s:c r="C5872" s="28" t="n"/>
      <s:c r="D5872" s="28" t="n"/>
      <s:c r="E5872" s="28" t="n"/>
    </s:row>
    <s:row r="5873" ht="48" customHeight="1">
      <s:c r="A5873" s="112" t="inlineStr">
        <s:is>
          <s:t>Dữ liệu test</s:t>
        </s:is>
      </s:c>
      <s:c r="B5873" s="113" t="inlineStr">
        <s:is>
          <s:r>
            <s:t>• Mục số nguyên (</s:t>
          </s:r>
          <s:r>
            <s:rPr>
              <s:b val="1"/>
            </s:rPr>
            <s:t>M=100</s:t>
          </s:r>
          <s:r>
            <s:t xml:space="preserve">);
• Quy tắc “Cố định 30” (dưới 30), quy tắc cố định 30 với </s:t>
          </s:r>
          <s:r>
            <s:rPr>
              <s:b val="1"/>
            </s:rPr>
            <s:t>Nhỏ hơn hoặc bằng（以下）</s:t>
          </s:r>
          <s:r>
            <s:t>, học sinh S01 (điểm 29), học sinh S02 (điểm 30), học sinh S03 (điểm 31)</s:t>
          </s:r>
        </s:is>
      </s:c>
      <s:c r="C5873" s="28" t="n"/>
      <s:c r="D5873" s="28" t="n"/>
      <s:c r="E5873" s="28" t="n"/>
    </s:row>
    <s:row r="5874" ht="20" customHeight="1">
      <s:c r="A5874" s="112" t="inlineStr">
        <s:is>
          <s:t>Bước 1</s:t>
        </s:is>
      </s:c>
      <s:c r="B5874" s="113" t="inlineStr">
        <s:is>
          <s:r>
            <s:t>Chỉ có quy tắc “Cố định 30” (dưới 30) ([</s:t>
          </s:r>
          <s:r>
            <s:rPr>
              <s:b val="1"/>
            </s:rPr>
            <s:t>T=30</s:t>
          </s:r>
          <s:r>
            <s:t>], [&lt;]): đăng ký S01=29, S02=30, S03=31.</s:t>
          </s:r>
        </s:is>
      </s:c>
      <s:c r="C5874" s="28" t="n"/>
      <s:c r="D5874" s="28" t="n"/>
      <s:c r="E5874" s="28" t="n"/>
    </s:row>
    <s:row r="5875" ht="20" customHeight="1">
      <s:c r="A5875" s="112" t="inlineStr">
        <s:is>
          <s:t>Bước 2</s:t>
        </s:is>
      </s:c>
      <s:c r="B5875" s="113" t="inlineStr">
        <s:is>
          <s:r>
            <s:t xml:space="preserve">Đổi thành quy tắc cố định 30 với </s:t>
          </s:r>
          <s:r>
            <s:rPr>
              <s:b val="1"/>
            </s:rPr>
            <s:t>Nhỏ hơn hoặc bằng（以下）</s:t>
          </s:r>
          <s:r>
            <s:t xml:space="preserve"> ([≤]), chạy lại.</s:t>
          </s:r>
        </s:is>
      </s:c>
      <s:c r="C5875" s="28" t="n"/>
      <s:c r="D5875" s="28" t="n"/>
      <s:c r="E5875" s="28" t="n"/>
    </s:row>
    <s:row r="5876" ht="28" customHeight="1">
      <s:c r="A5876" s="115" t="inlineStr">
        <s:is>
          <s:t>Trường hợp</s:t>
        </s:is>
      </s:c>
      <s:c r="B5876" s="115" t="inlineStr">
        <s:is>
          <s:t>Dữ liệu / thao tác riêng</s:t>
        </s:is>
      </s:c>
      <s:c r="C5876" s="115" t="inlineStr">
        <s:is>
          <s:t>Kết quả mong đợi</s:t>
        </s:is>
      </s:c>
      <s:c r="D5876" s="115" t="inlineStr">
        <s:is>
          <s:t>Kết quả thực tế</s:t>
        </s:is>
      </s:c>
      <s:c r="E5876" s="115" t="inlineStr">
        <s:is>
          <s:t>Đánh giá</s:t>
        </s:is>
      </s:c>
    </s:row>
    <s:row r="5877" ht="3" customHeight="1">
      <s:c r="A5877" s="102" t="inlineStr"/>
      <s:c r="B5877" s="99" t="n"/>
      <s:c r="C5877" s="99" t="n"/>
      <s:c r="D5877" s="116" t="n"/>
      <s:c r="E5877" s="116" t="n"/>
    </s:row>
    <s:row r="5878" ht="34" customHeight="1">
      <s:c r="A5878" s="83" t="inlineStr">
        <s:is>
          <s:t>Nhỏ hơn (lt)</s:t>
        </s:is>
      </s:c>
      <s:c r="B5878" s="83" t="inlineStr">
        <s:is>
          <s:t>Ngưỡng 30, dấu nhỏ hơn, cả ba điểm</s:t>
        </s:is>
      </s:c>
      <s:c r="C5878" s="83" t="inlineStr">
        <s:is>
          <s:r>
            <s:t xml:space="preserve">Bước 1: 29 </s:t>
          </s:r>
          <s:r>
            <s:rPr>
              <s:b val="1"/>
            </s:rPr>
            <s:t>Đỏ</s:t>
          </s:r>
          <s:r>
            <s:t xml:space="preserve">; 30 </s:t>
          </s:r>
          <s:r>
            <s:rPr>
              <s:b val="1"/>
            </s:rPr>
            <s:t>Không đỏ</s:t>
          </s:r>
          <s:r>
            <s:t xml:space="preserve">; 31 </s:t>
          </s:r>
          <s:r>
            <s:rPr>
              <s:b val="1"/>
            </s:rPr>
            <s:t>Không đỏ</s:t>
          </s:r>
          <s:r>
            <s:t>.</s:t>
          </s:r>
        </s:is>
      </s:c>
      <s:c r="D5878" s="117" t="inlineStr"/>
      <s:c r="E5878" s="118" t="inlineStr">
        <s:is>
          <s:t>Chưa thực hiện</s:t>
        </s:is>
      </s:c>
    </s:row>
    <s:row r="5879" ht="3" customHeight="1">
      <s:c r="A5879" s="102" t="inlineStr"/>
      <s:c r="B5879" s="99" t="n"/>
      <s:c r="C5879" s="99" t="n"/>
      <s:c r="D5879" s="116" t="n"/>
      <s:c r="E5879" s="116" t="n"/>
    </s:row>
    <s:row r="5880" ht="34" customHeight="1">
      <s:c r="A5880" s="83" t="inlineStr">
        <s:is>
          <s:t>Nhỏ hơn hoặc bằng (le)</s:t>
        </s:is>
      </s:c>
      <s:c r="B5880" s="83" t="inlineStr">
        <s:is>
          <s:t>Ngưỡng 30, dấu nhỏ hơn hoặc bằng, cả ba điểm</s:t>
        </s:is>
      </s:c>
      <s:c r="C5880" s="83" t="inlineStr">
        <s:is>
          <s:r>
            <s:t xml:space="preserve">Bước 2: 29 </s:t>
          </s:r>
          <s:r>
            <s:rPr>
              <s:b val="1"/>
            </s:rPr>
            <s:t>Đỏ</s:t>
          </s:r>
          <s:r>
            <s:t xml:space="preserve">; 30 </s:t>
          </s:r>
          <s:r>
            <s:rPr>
              <s:b val="1"/>
            </s:rPr>
            <s:t>Đỏ</s:t>
          </s:r>
          <s:r>
            <s:t xml:space="preserve">; 31 </s:t>
          </s:r>
          <s:r>
            <s:rPr>
              <s:b val="1"/>
            </s:rPr>
            <s:t>Không đỏ</s:t>
          </s:r>
          <s:r>
            <s:t>.</s:t>
          </s:r>
        </s:is>
      </s:c>
      <s:c r="D5880" s="117" t="inlineStr"/>
      <s:c r="E5880" s="118" t="inlineStr">
        <s:is>
          <s:t>Chưa thực hiện</s:t>
        </s:is>
      </s:c>
    </s:row>
    <s:row r="5881" ht="20" customHeight="1">
      <s:c r="A5881" s="119" t="inlineStr">
        <s:is>
          <s:t>Ảnh minh chứng — Chưa có ảnh</s:t>
        </s:is>
      </s:c>
      <s:c r="B5881" s="19" t="n"/>
      <s:c r="C5881" s="19" t="n"/>
      <s:c r="D5881" s="19" t="n"/>
      <s:c r="E5881" s="19" t="n"/>
    </s:row>
    <s:row r="5882" hidden="1" ht="1" customHeight="1">
      <s:c r="A5882" s="120" t="inlineStr"/>
      <s:c r="B5882" s="121" t="n"/>
      <s:c r="C5882" s="121" t="n"/>
      <s:c r="D5882" s="121" t="n"/>
      <s:c r="E5882" s="122" t="n"/>
    </s:row>
    <s:row r="5883" hidden="1" ht="1" customHeight="1">
      <s:c r="A5883" s="120" t="inlineStr"/>
      <s:c r="B5883" s="121" t="n"/>
      <s:c r="C5883" s="121" t="n"/>
      <s:c r="D5883" s="121" t="n"/>
      <s:c r="E5883" s="122" t="n"/>
    </s:row>
    <s:row r="5884" hidden="1" ht="1" customHeight="1">
      <s:c r="A5884" s="120" t="inlineStr"/>
      <s:c r="B5884" s="121" t="n"/>
      <s:c r="C5884" s="121" t="n"/>
      <s:c r="D5884" s="121" t="n"/>
      <s:c r="E5884" s="122" t="n"/>
    </s:row>
    <s:row r="5885" hidden="1" ht="1" customHeight="1">
      <s:c r="A5885" s="120" t="inlineStr"/>
      <s:c r="B5885" s="121" t="n"/>
      <s:c r="C5885" s="121" t="n"/>
      <s:c r="D5885" s="121" t="n"/>
      <s:c r="E5885" s="122" t="n"/>
    </s:row>
    <s:row r="5886" hidden="1" ht="1" customHeight="1">
      <s:c r="A5886" s="120" t="inlineStr"/>
      <s:c r="B5886" s="121" t="n"/>
      <s:c r="C5886" s="121" t="n"/>
      <s:c r="D5886" s="121" t="n"/>
      <s:c r="E5886" s="122" t="n"/>
    </s:row>
    <s:row r="5887" hidden="1" ht="1" customHeight="1">
      <s:c r="A5887" s="120" t="inlineStr"/>
      <s:c r="B5887" s="121" t="n"/>
      <s:c r="C5887" s="121" t="n"/>
      <s:c r="D5887" s="121" t="n"/>
      <s:c r="E5887" s="122" t="n"/>
    </s:row>
    <s:row r="5888" hidden="1" ht="1" customHeight="1">
      <s:c r="A5888" s="120" t="inlineStr"/>
      <s:c r="B5888" s="121" t="n"/>
      <s:c r="C5888" s="121" t="n"/>
      <s:c r="D5888" s="121" t="n"/>
      <s:c r="E5888" s="122" t="n"/>
    </s:row>
    <s:row r="5889" hidden="1" ht="1" customHeight="1">
      <s:c r="A5889" s="120" t="inlineStr"/>
      <s:c r="B5889" s="121" t="n"/>
      <s:c r="C5889" s="121" t="n"/>
      <s:c r="D5889" s="121" t="n"/>
      <s:c r="E5889" s="122" t="n"/>
    </s:row>
    <s:row r="5890" hidden="1" ht="1" customHeight="1">
      <s:c r="A5890" s="120" t="inlineStr"/>
      <s:c r="B5890" s="121" t="n"/>
      <s:c r="C5890" s="121" t="n"/>
      <s:c r="D5890" s="121" t="n"/>
      <s:c r="E5890" s="122" t="n"/>
    </s:row>
    <s:row r="5891" hidden="1" ht="1" customHeight="1">
      <s:c r="A5891" s="120" t="inlineStr"/>
      <s:c r="B5891" s="121" t="n"/>
      <s:c r="C5891" s="121" t="n"/>
      <s:c r="D5891" s="121" t="n"/>
      <s:c r="E5891" s="122" t="n"/>
    </s:row>
    <s:row r="5892" hidden="1" ht="1" customHeight="1">
      <s:c r="A5892" s="120" t="inlineStr"/>
      <s:c r="B5892" s="121" t="n"/>
      <s:c r="C5892" s="121" t="n"/>
      <s:c r="D5892" s="121" t="n"/>
      <s:c r="E5892" s="122" t="n"/>
    </s:row>
    <s:row r="5893" hidden="1" ht="1" customHeight="1">
      <s:c r="A5893" s="120" t="inlineStr"/>
      <s:c r="B5893" s="121" t="n"/>
      <s:c r="C5893" s="121" t="n"/>
      <s:c r="D5893" s="121" t="n"/>
      <s:c r="E5893" s="122" t="n"/>
    </s:row>
    <s:row r="5894" hidden="1" ht="1" customHeight="1">
      <s:c r="A5894" s="120" t="inlineStr"/>
      <s:c r="B5894" s="121" t="n"/>
      <s:c r="C5894" s="121" t="n"/>
      <s:c r="D5894" s="121" t="n"/>
      <s:c r="E5894" s="122" t="n"/>
    </s:row>
    <s:row r="5895" hidden="1" ht="1" customHeight="1">
      <s:c r="A5895" s="120" t="inlineStr"/>
      <s:c r="B5895" s="121" t="n"/>
      <s:c r="C5895" s="121" t="n"/>
      <s:c r="D5895" s="121" t="n"/>
      <s:c r="E5895" s="122" t="n"/>
    </s:row>
    <s:row r="5896" hidden="1" ht="1" customHeight="1">
      <s:c r="A5896" s="120" t="inlineStr"/>
      <s:c r="B5896" s="121" t="n"/>
      <s:c r="C5896" s="121" t="n"/>
      <s:c r="D5896" s="121" t="n"/>
      <s:c r="E5896" s="122" t="n"/>
    </s:row>
    <s:row r="5897" hidden="1" ht="1" customHeight="1">
      <s:c r="A5897" s="120" t="inlineStr"/>
      <s:c r="B5897" s="121" t="n"/>
      <s:c r="C5897" s="121" t="n"/>
      <s:c r="D5897" s="121" t="n"/>
      <s:c r="E5897" s="122" t="n"/>
    </s:row>
    <s:row r="5898" hidden="1" ht="1" customHeight="1">
      <s:c r="A5898" s="120" t="inlineStr"/>
      <s:c r="B5898" s="121" t="n"/>
      <s:c r="C5898" s="121" t="n"/>
      <s:c r="D5898" s="121" t="n"/>
      <s:c r="E5898" s="122" t="n"/>
    </s:row>
    <s:row r="5899" hidden="1" ht="1" customHeight="1">
      <s:c r="A5899" s="120" t="inlineStr"/>
      <s:c r="B5899" s="121" t="n"/>
      <s:c r="C5899" s="121" t="n"/>
      <s:c r="D5899" s="121" t="n"/>
      <s:c r="E5899" s="122" t="n"/>
    </s:row>
    <s:row r="5900" hidden="1" ht="1" customHeight="1">
      <s:c r="A5900" s="120" t="inlineStr"/>
      <s:c r="B5900" s="121" t="n"/>
      <s:c r="C5900" s="121" t="n"/>
      <s:c r="D5900" s="121" t="n"/>
      <s:c r="E5900" s="122" t="n"/>
    </s:row>
    <s:row r="5901" hidden="1" ht="1" customHeight="1">
      <s:c r="A5901" s="120" t="inlineStr"/>
      <s:c r="B5901" s="121" t="n"/>
      <s:c r="C5901" s="121" t="n"/>
      <s:c r="D5901" s="121" t="n"/>
      <s:c r="E5901" s="122" t="n"/>
    </s:row>
    <s:row r="5902" hidden="1" ht="1" customHeight="1">
      <s:c r="A5902" s="120" t="inlineStr"/>
      <s:c r="B5902" s="121" t="n"/>
      <s:c r="C5902" s="121" t="n"/>
      <s:c r="D5902" s="121" t="n"/>
      <s:c r="E5902" s="122" t="n"/>
    </s:row>
    <s:row r="5903" hidden="1" ht="1" customHeight="1">
      <s:c r="A5903" s="120" t="inlineStr"/>
      <s:c r="B5903" s="121" t="n"/>
      <s:c r="C5903" s="121" t="n"/>
      <s:c r="D5903" s="121" t="n"/>
      <s:c r="E5903" s="122" t="n"/>
    </s:row>
    <s:row r="5904" hidden="1" ht="1" customHeight="1">
      <s:c r="A5904" s="120" t="inlineStr"/>
      <s:c r="B5904" s="121" t="n"/>
      <s:c r="C5904" s="121" t="n"/>
      <s:c r="D5904" s="121" t="n"/>
      <s:c r="E5904" s="122" t="n"/>
    </s:row>
    <s:row r="5905" hidden="1" ht="1" customHeight="1">
      <s:c r="A5905" s="120" t="inlineStr"/>
      <s:c r="B5905" s="121" t="n"/>
      <s:c r="C5905" s="121" t="n"/>
      <s:c r="D5905" s="121" t="n"/>
      <s:c r="E5905" s="122" t="n"/>
    </s:row>
    <s:row r="5906" hidden="1" ht="1" customHeight="1">
      <s:c r="A5906" s="120" t="inlineStr"/>
      <s:c r="B5906" s="121" t="n"/>
      <s:c r="C5906" s="121" t="n"/>
      <s:c r="D5906" s="121" t="n"/>
      <s:c r="E5906" s="122" t="n"/>
    </s:row>
    <s:row r="5907" hidden="1" ht="1" customHeight="1">
      <s:c r="A5907" s="120" t="inlineStr"/>
      <s:c r="B5907" s="121" t="n"/>
      <s:c r="C5907" s="121" t="n"/>
      <s:c r="D5907" s="121" t="n"/>
      <s:c r="E5907" s="122" t="n"/>
    </s:row>
    <s:row r="5908" hidden="1" ht="1" customHeight="1">
      <s:c r="A5908" s="120" t="inlineStr"/>
      <s:c r="B5908" s="121" t="n"/>
      <s:c r="C5908" s="121" t="n"/>
      <s:c r="D5908" s="121" t="n"/>
      <s:c r="E5908" s="122" t="n"/>
    </s:row>
    <s:row r="5909" hidden="1" ht="1" customHeight="1">
      <s:c r="A5909" s="120" t="inlineStr"/>
      <s:c r="B5909" s="121" t="n"/>
      <s:c r="C5909" s="121" t="n"/>
      <s:c r="D5909" s="121" t="n"/>
      <s:c r="E5909" s="122" t="n"/>
    </s:row>
    <s:row r="5910" hidden="1" ht="1" customHeight="1">
      <s:c r="A5910" s="120" t="inlineStr"/>
      <s:c r="B5910" s="121" t="n"/>
      <s:c r="C5910" s="121" t="n"/>
      <s:c r="D5910" s="121" t="n"/>
      <s:c r="E5910" s="122" t="n"/>
    </s:row>
    <s:row r="5911" hidden="1" ht="1" customHeight="1">
      <s:c r="A5911" s="120" t="inlineStr"/>
      <s:c r="B5911" s="121" t="n"/>
      <s:c r="C5911" s="121" t="n"/>
      <s:c r="D5911" s="121" t="n"/>
      <s:c r="E5911" s="122" t="n"/>
    </s:row>
    <s:row r="5912" hidden="1" ht="1" customHeight="1">
      <s:c r="A5912" s="120" t="inlineStr"/>
      <s:c r="B5912" s="121" t="n"/>
      <s:c r="C5912" s="121" t="n"/>
      <s:c r="D5912" s="121" t="n"/>
      <s:c r="E5912" s="122" t="n"/>
    </s:row>
    <s:row r="5913" hidden="1" ht="1" customHeight="1">
      <s:c r="A5913" s="120" t="inlineStr"/>
      <s:c r="B5913" s="121" t="n"/>
      <s:c r="C5913" s="121" t="n"/>
      <s:c r="D5913" s="121" t="n"/>
      <s:c r="E5913" s="122" t="n"/>
    </s:row>
    <s:row r="5914" hidden="1" ht="1" customHeight="1">
      <s:c r="A5914" s="120" t="inlineStr"/>
      <s:c r="B5914" s="121" t="n"/>
      <s:c r="C5914" s="121" t="n"/>
      <s:c r="D5914" s="121" t="n"/>
      <s:c r="E5914" s="122" t="n"/>
    </s:row>
    <s:row r="5915" hidden="1" ht="1" customHeight="1">
      <s:c r="A5915" s="120" t="inlineStr"/>
      <s:c r="B5915" s="121" t="n"/>
      <s:c r="C5915" s="121" t="n"/>
      <s:c r="D5915" s="121" t="n"/>
      <s:c r="E5915" s="122" t="n"/>
    </s:row>
    <s:row r="5916" hidden="1" ht="1" customHeight="1">
      <s:c r="A5916" s="120" t="inlineStr"/>
      <s:c r="B5916" s="121" t="n"/>
      <s:c r="C5916" s="121" t="n"/>
      <s:c r="D5916" s="121" t="n"/>
      <s:c r="E5916" s="122" t="n"/>
    </s:row>
    <s:row r="5917" hidden="1" ht="1" customHeight="1">
      <s:c r="A5917" s="120" t="inlineStr"/>
      <s:c r="B5917" s="121" t="n"/>
      <s:c r="C5917" s="121" t="n"/>
      <s:c r="D5917" s="121" t="n"/>
      <s:c r="E5917" s="122" t="n"/>
    </s:row>
    <s:row r="5918" hidden="1" ht="1" customHeight="1">
      <s:c r="A5918" s="120" t="inlineStr"/>
      <s:c r="B5918" s="121" t="n"/>
      <s:c r="C5918" s="121" t="n"/>
      <s:c r="D5918" s="121" t="n"/>
      <s:c r="E5918" s="122" t="n"/>
    </s:row>
    <s:row r="5919" hidden="1" ht="1" customHeight="1">
      <s:c r="A5919" s="120" t="inlineStr"/>
      <s:c r="B5919" s="121" t="n"/>
      <s:c r="C5919" s="121" t="n"/>
      <s:c r="D5919" s="121" t="n"/>
      <s:c r="E5919" s="122" t="n"/>
    </s:row>
    <s:row r="5920" hidden="1" ht="1" customHeight="1">
      <s:c r="A5920" s="120" t="inlineStr"/>
      <s:c r="B5920" s="121" t="n"/>
      <s:c r="C5920" s="121" t="n"/>
      <s:c r="D5920" s="121" t="n"/>
      <s:c r="E5920" s="122" t="n"/>
    </s:row>
    <s:row r="5921" hidden="1" ht="1" customHeight="1">
      <s:c r="A5921" s="120" t="inlineStr"/>
      <s:c r="B5921" s="121" t="n"/>
      <s:c r="C5921" s="121" t="n"/>
      <s:c r="D5921" s="121" t="n"/>
      <s:c r="E5921" s="122" t="n"/>
    </s:row>
    <s:row r="5922" hidden="1" ht="1" customHeight="1">
      <s:c r="A5922" s="120" t="inlineStr"/>
      <s:c r="B5922" s="121" t="n"/>
      <s:c r="C5922" s="121" t="n"/>
      <s:c r="D5922" s="121" t="n"/>
      <s:c r="E5922" s="122" t="n"/>
    </s:row>
    <s:row r="5923" hidden="1" ht="1" customHeight="1">
      <s:c r="A5923" s="120" t="inlineStr"/>
      <s:c r="B5923" s="121" t="n"/>
      <s:c r="C5923" s="121" t="n"/>
      <s:c r="D5923" s="121" t="n"/>
      <s:c r="E5923" s="122" t="n"/>
    </s:row>
    <s:row r="5924" hidden="1" ht="1" customHeight="1">
      <s:c r="A5924" s="120" t="inlineStr"/>
      <s:c r="B5924" s="121" t="n"/>
      <s:c r="C5924" s="121" t="n"/>
      <s:c r="D5924" s="121" t="n"/>
      <s:c r="E5924" s="122" t="n"/>
    </s:row>
    <s:row r="5925" hidden="1" ht="1" customHeight="1">
      <s:c r="A5925" s="120" t="inlineStr"/>
      <s:c r="B5925" s="121" t="n"/>
      <s:c r="C5925" s="121" t="n"/>
      <s:c r="D5925" s="121" t="n"/>
      <s:c r="E5925" s="122" t="n"/>
    </s:row>
    <s:row r="5926" hidden="1" ht="1" customHeight="1">
      <s:c r="A5926" s="120" t="inlineStr"/>
      <s:c r="B5926" s="121" t="n"/>
      <s:c r="C5926" s="121" t="n"/>
      <s:c r="D5926" s="121" t="n"/>
      <s:c r="E5926" s="122" t="n"/>
    </s:row>
    <s:row r="5927" hidden="1" ht="1" customHeight="1">
      <s:c r="A5927" s="120" t="inlineStr"/>
      <s:c r="B5927" s="121" t="n"/>
      <s:c r="C5927" s="121" t="n"/>
      <s:c r="D5927" s="121" t="n"/>
      <s:c r="E5927" s="122" t="n"/>
    </s:row>
    <s:row r="5928" hidden="1" ht="1" customHeight="1">
      <s:c r="A5928" s="120" t="inlineStr"/>
      <s:c r="B5928" s="121" t="n"/>
      <s:c r="C5928" s="121" t="n"/>
      <s:c r="D5928" s="121" t="n"/>
      <s:c r="E5928" s="122" t="n"/>
    </s:row>
    <s:row r="5929" hidden="1" ht="1" customHeight="1">
      <s:c r="A5929" s="120" t="inlineStr"/>
      <s:c r="B5929" s="121" t="n"/>
      <s:c r="C5929" s="121" t="n"/>
      <s:c r="D5929" s="121" t="n"/>
      <s:c r="E5929" s="122" t="n"/>
    </s:row>
    <s:row r="5930" hidden="1" ht="1" customHeight="1">
      <s:c r="A5930" s="120" t="inlineStr"/>
      <s:c r="B5930" s="121" t="n"/>
      <s:c r="C5930" s="121" t="n"/>
      <s:c r="D5930" s="121" t="n"/>
      <s:c r="E5930" s="122" t="n"/>
    </s:row>
    <s:row r="5931" hidden="1" ht="1" customHeight="1">
      <s:c r="A5931" s="120" t="inlineStr"/>
      <s:c r="B5931" s="121" t="n"/>
      <s:c r="C5931" s="121" t="n"/>
      <s:c r="D5931" s="121" t="n"/>
      <s:c r="E5931" s="122" t="n"/>
    </s:row>
    <s:row r="5932" hidden="1" ht="1" customHeight="1">
      <s:c r="A5932" s="120" t="inlineStr"/>
      <s:c r="B5932" s="121" t="n"/>
      <s:c r="C5932" s="121" t="n"/>
      <s:c r="D5932" s="121" t="n"/>
      <s:c r="E5932" s="122" t="n"/>
    </s:row>
    <s:row r="5933" hidden="1" ht="1" customHeight="1">
      <s:c r="A5933" s="120" t="inlineStr"/>
      <s:c r="B5933" s="121" t="n"/>
      <s:c r="C5933" s="121" t="n"/>
      <s:c r="D5933" s="121" t="n"/>
      <s:c r="E5933" s="122" t="n"/>
    </s:row>
    <s:row r="5934" hidden="1" ht="1" customHeight="1">
      <s:c r="A5934" s="120" t="inlineStr"/>
      <s:c r="B5934" s="121" t="n"/>
      <s:c r="C5934" s="121" t="n"/>
      <s:c r="D5934" s="121" t="n"/>
      <s:c r="E5934" s="122" t="n"/>
    </s:row>
    <s:row r="5935" hidden="1" ht="1" customHeight="1">
      <s:c r="A5935" s="120" t="inlineStr"/>
      <s:c r="B5935" s="121" t="n"/>
      <s:c r="C5935" s="121" t="n"/>
      <s:c r="D5935" s="121" t="n"/>
      <s:c r="E5935" s="122" t="n"/>
    </s:row>
    <s:row r="5936" hidden="1" ht="1" customHeight="1">
      <s:c r="A5936" s="120" t="inlineStr"/>
      <s:c r="B5936" s="121" t="n"/>
      <s:c r="C5936" s="121" t="n"/>
      <s:c r="D5936" s="121" t="n"/>
      <s:c r="E5936" s="122" t="n"/>
    </s:row>
    <s:row r="5937" hidden="1" ht="1" customHeight="1">
      <s:c r="A5937" s="120" t="inlineStr"/>
      <s:c r="B5937" s="121" t="n"/>
      <s:c r="C5937" s="121" t="n"/>
      <s:c r="D5937" s="121" t="n"/>
      <s:c r="E5937" s="122" t="n"/>
    </s:row>
    <s:row r="5938" hidden="1" ht="1" customHeight="1">
      <s:c r="A5938" s="120" t="inlineStr"/>
      <s:c r="B5938" s="121" t="n"/>
      <s:c r="C5938" s="121" t="n"/>
      <s:c r="D5938" s="121" t="n"/>
      <s:c r="E5938" s="122" t="n"/>
    </s:row>
    <s:row r="5939" hidden="1" ht="1" customHeight="1">
      <s:c r="A5939" s="120" t="inlineStr"/>
      <s:c r="B5939" s="121" t="n"/>
      <s:c r="C5939" s="121" t="n"/>
      <s:c r="D5939" s="121" t="n"/>
      <s:c r="E5939" s="122" t="n"/>
    </s:row>
    <s:row r="5940" hidden="1" ht="1" customHeight="1">
      <s:c r="A5940" s="120" t="inlineStr"/>
      <s:c r="B5940" s="121" t="n"/>
      <s:c r="C5940" s="121" t="n"/>
      <s:c r="D5940" s="121" t="n"/>
      <s:c r="E5940" s="122" t="n"/>
    </s:row>
    <s:row r="5941" hidden="1" ht="1" customHeight="1">
      <s:c r="A5941" s="120" t="inlineStr"/>
      <s:c r="B5941" s="121" t="n"/>
      <s:c r="C5941" s="121" t="n"/>
      <s:c r="D5941" s="121" t="n"/>
      <s:c r="E5941" s="122" t="n"/>
    </s:row>
    <s:row r="5942" hidden="1" ht="1" customHeight="1">
      <s:c r="A5942" s="120" t="inlineStr"/>
      <s:c r="B5942" s="121" t="n"/>
      <s:c r="C5942" s="121" t="n"/>
      <s:c r="D5942" s="121" t="n"/>
      <s:c r="E5942" s="122" t="n"/>
    </s:row>
    <s:row r="5943" hidden="1" ht="1" customHeight="1">
      <s:c r="A5943" s="120" t="inlineStr"/>
      <s:c r="B5943" s="121" t="n"/>
      <s:c r="C5943" s="121" t="n"/>
      <s:c r="D5943" s="121" t="n"/>
      <s:c r="E5943" s="122" t="n"/>
    </s:row>
    <s:row r="5944" hidden="1" ht="1" customHeight="1">
      <s:c r="A5944" s="120" t="inlineStr"/>
      <s:c r="B5944" s="121" t="n"/>
      <s:c r="C5944" s="121" t="n"/>
      <s:c r="D5944" s="121" t="n"/>
      <s:c r="E5944" s="122" t="n"/>
    </s:row>
    <s:row r="5945" hidden="1" ht="1" customHeight="1">
      <s:c r="A5945" s="120" t="inlineStr"/>
      <s:c r="B5945" s="121" t="n"/>
      <s:c r="C5945" s="121" t="n"/>
      <s:c r="D5945" s="121" t="n"/>
      <s:c r="E5945" s="122" t="n"/>
    </s:row>
    <s:row r="5946" hidden="1" ht="1" customHeight="1">
      <s:c r="A5946" s="120" t="inlineStr"/>
      <s:c r="B5946" s="121" t="n"/>
      <s:c r="C5946" s="121" t="n"/>
      <s:c r="D5946" s="121" t="n"/>
      <s:c r="E5946" s="122" t="n"/>
    </s:row>
    <s:row r="5947" hidden="1" ht="1" customHeight="1">
      <s:c r="A5947" s="120" t="inlineStr"/>
      <s:c r="B5947" s="121" t="n"/>
      <s:c r="C5947" s="121" t="n"/>
      <s:c r="D5947" s="121" t="n"/>
      <s:c r="E5947" s="122" t="n"/>
    </s:row>
    <s:row r="5948" hidden="1" ht="1" customHeight="1">
      <s:c r="A5948" s="120" t="inlineStr"/>
      <s:c r="B5948" s="121" t="n"/>
      <s:c r="C5948" s="121" t="n"/>
      <s:c r="D5948" s="121" t="n"/>
      <s:c r="E5948" s="122" t="n"/>
    </s:row>
    <s:row r="5949" hidden="1" ht="1" customHeight="1">
      <s:c r="A5949" s="120" t="inlineStr"/>
      <s:c r="B5949" s="121" t="n"/>
      <s:c r="C5949" s="121" t="n"/>
      <s:c r="D5949" s="121" t="n"/>
      <s:c r="E5949" s="122" t="n"/>
    </s:row>
    <s:row r="5950" hidden="1" ht="1" customHeight="1">
      <s:c r="A5950" s="120" t="inlineStr"/>
      <s:c r="B5950" s="121" t="n"/>
      <s:c r="C5950" s="121" t="n"/>
      <s:c r="D5950" s="121" t="n"/>
      <s:c r="E5950" s="122" t="n"/>
    </s:row>
    <s:row r="5951" hidden="1" ht="1" customHeight="1">
      <s:c r="A5951" s="120" t="inlineStr"/>
      <s:c r="B5951" s="121" t="n"/>
      <s:c r="C5951" s="121" t="n"/>
      <s:c r="D5951" s="121" t="n"/>
      <s:c r="E5951" s="122" t="n"/>
    </s:row>
    <s:row r="5952" hidden="1" ht="1" customHeight="1">
      <s:c r="A5952" s="120" t="inlineStr"/>
      <s:c r="B5952" s="121" t="n"/>
      <s:c r="C5952" s="121" t="n"/>
      <s:c r="D5952" s="121" t="n"/>
      <s:c r="E5952" s="122" t="n"/>
    </s:row>
    <s:row r="5953" hidden="1" ht="1" customHeight="1">
      <s:c r="A5953" s="120" t="inlineStr"/>
      <s:c r="B5953" s="121" t="n"/>
      <s:c r="C5953" s="121" t="n"/>
      <s:c r="D5953" s="121" t="n"/>
      <s:c r="E5953" s="122" t="n"/>
    </s:row>
    <s:row r="5954" hidden="1" ht="1" customHeight="1">
      <s:c r="A5954" s="120" t="inlineStr"/>
      <s:c r="B5954" s="121" t="n"/>
      <s:c r="C5954" s="121" t="n"/>
      <s:c r="D5954" s="121" t="n"/>
      <s:c r="E5954" s="122" t="n"/>
    </s:row>
    <s:row r="5955" hidden="1" ht="1" customHeight="1">
      <s:c r="A5955" s="120" t="inlineStr"/>
      <s:c r="B5955" s="121" t="n"/>
      <s:c r="C5955" s="121" t="n"/>
      <s:c r="D5955" s="121" t="n"/>
      <s:c r="E5955" s="122" t="n"/>
    </s:row>
    <s:row r="5956" hidden="1" ht="1" customHeight="1">
      <s:c r="A5956" s="120" t="inlineStr"/>
      <s:c r="B5956" s="121" t="n"/>
      <s:c r="C5956" s="121" t="n"/>
      <s:c r="D5956" s="121" t="n"/>
      <s:c r="E5956" s="122" t="n"/>
    </s:row>
    <s:row r="5957" hidden="1" ht="1" customHeight="1">
      <s:c r="A5957" s="120" t="inlineStr"/>
      <s:c r="B5957" s="121" t="n"/>
      <s:c r="C5957" s="121" t="n"/>
      <s:c r="D5957" s="121" t="n"/>
      <s:c r="E5957" s="122" t="n"/>
    </s:row>
    <s:row r="5958" hidden="1" ht="1" customHeight="1">
      <s:c r="A5958" s="120" t="inlineStr"/>
      <s:c r="B5958" s="121" t="n"/>
      <s:c r="C5958" s="121" t="n"/>
      <s:c r="D5958" s="121" t="n"/>
      <s:c r="E5958" s="122" t="n"/>
    </s:row>
    <s:row r="5959" hidden="1" ht="1" customHeight="1">
      <s:c r="A5959" s="120" t="inlineStr"/>
      <s:c r="B5959" s="121" t="n"/>
      <s:c r="C5959" s="121" t="n"/>
      <s:c r="D5959" s="121" t="n"/>
      <s:c r="E5959" s="122" t="n"/>
    </s:row>
    <s:row r="5960" hidden="1" ht="1" customHeight="1">
      <s:c r="A5960" s="120" t="inlineStr"/>
      <s:c r="B5960" s="121" t="n"/>
      <s:c r="C5960" s="121" t="n"/>
      <s:c r="D5960" s="121" t="n"/>
      <s:c r="E5960" s="122" t="n"/>
    </s:row>
    <s:row r="5961" hidden="1" ht="1" customHeight="1">
      <s:c r="A5961" s="120" t="inlineStr"/>
      <s:c r="B5961" s="121" t="n"/>
      <s:c r="C5961" s="121" t="n"/>
      <s:c r="D5961" s="121" t="n"/>
      <s:c r="E5961" s="122" t="n"/>
    </s:row>
    <s:row r="5962" hidden="1" ht="1" customHeight="1">
      <s:c r="A5962" s="120" t="inlineStr"/>
      <s:c r="B5962" s="121" t="n"/>
      <s:c r="C5962" s="121" t="n"/>
      <s:c r="D5962" s="121" t="n"/>
      <s:c r="E5962" s="122" t="n"/>
    </s:row>
    <s:row r="5963" hidden="1" ht="1" customHeight="1">
      <s:c r="A5963" s="120" t="inlineStr"/>
      <s:c r="B5963" s="121" t="n"/>
      <s:c r="C5963" s="121" t="n"/>
      <s:c r="D5963" s="121" t="n"/>
      <s:c r="E5963" s="122" t="n"/>
    </s:row>
    <s:row r="5964" hidden="1" ht="1" customHeight="1">
      <s:c r="A5964" s="120" t="inlineStr"/>
      <s:c r="B5964" s="121" t="n"/>
      <s:c r="C5964" s="121" t="n"/>
      <s:c r="D5964" s="121" t="n"/>
      <s:c r="E5964" s="122" t="n"/>
    </s:row>
    <s:row r="5965" hidden="1" ht="1" customHeight="1">
      <s:c r="A5965" s="120" t="inlineStr"/>
      <s:c r="B5965" s="121" t="n"/>
      <s:c r="C5965" s="121" t="n"/>
      <s:c r="D5965" s="121" t="n"/>
      <s:c r="E5965" s="122" t="n"/>
    </s:row>
    <s:row r="5966" hidden="1" ht="1" customHeight="1">
      <s:c r="A5966" s="120" t="inlineStr"/>
      <s:c r="B5966" s="121" t="n"/>
      <s:c r="C5966" s="121" t="n"/>
      <s:c r="D5966" s="121" t="n"/>
      <s:c r="E5966" s="122" t="n"/>
    </s:row>
    <s:row r="5967" hidden="1" ht="1" customHeight="1">
      <s:c r="A5967" s="120" t="inlineStr"/>
      <s:c r="B5967" s="121" t="n"/>
      <s:c r="C5967" s="121" t="n"/>
      <s:c r="D5967" s="121" t="n"/>
      <s:c r="E5967" s="122" t="n"/>
    </s:row>
    <s:row r="5968" hidden="1" ht="1" customHeight="1">
      <s:c r="A5968" s="120" t="inlineStr"/>
      <s:c r="B5968" s="121" t="n"/>
      <s:c r="C5968" s="121" t="n"/>
      <s:c r="D5968" s="121" t="n"/>
      <s:c r="E5968" s="122" t="n"/>
    </s:row>
    <s:row r="5969" hidden="1" ht="1" customHeight="1">
      <s:c r="A5969" s="120" t="inlineStr"/>
      <s:c r="B5969" s="121" t="n"/>
      <s:c r="C5969" s="121" t="n"/>
      <s:c r="D5969" s="121" t="n"/>
      <s:c r="E5969" s="122" t="n"/>
    </s:row>
    <s:row r="5970" hidden="1" ht="1" customHeight="1">
      <s:c r="A5970" s="120" t="inlineStr"/>
      <s:c r="B5970" s="121" t="n"/>
      <s:c r="C5970" s="121" t="n"/>
      <s:c r="D5970" s="121" t="n"/>
      <s:c r="E5970" s="122" t="n"/>
    </s:row>
    <s:row r="5971" hidden="1" ht="1" customHeight="1">
      <s:c r="A5971" s="120" t="inlineStr"/>
      <s:c r="B5971" s="121" t="n"/>
      <s:c r="C5971" s="121" t="n"/>
      <s:c r="D5971" s="121" t="n"/>
      <s:c r="E5971" s="122" t="n"/>
    </s:row>
    <s:row r="5972" hidden="1" ht="1" customHeight="1">
      <s:c r="A5972" s="120" t="inlineStr"/>
      <s:c r="B5972" s="121" t="n"/>
      <s:c r="C5972" s="121" t="n"/>
      <s:c r="D5972" s="121" t="n"/>
      <s:c r="E5972" s="122" t="n"/>
    </s:row>
    <s:row r="5973" hidden="1" ht="1" customHeight="1">
      <s:c r="A5973" s="120" t="inlineStr"/>
      <s:c r="B5973" s="121" t="n"/>
      <s:c r="C5973" s="121" t="n"/>
      <s:c r="D5973" s="121" t="n"/>
      <s:c r="E5973" s="122" t="n"/>
    </s:row>
    <s:row r="5974" hidden="1" ht="1" customHeight="1">
      <s:c r="A5974" s="120" t="inlineStr"/>
      <s:c r="B5974" s="121" t="n"/>
      <s:c r="C5974" s="121" t="n"/>
      <s:c r="D5974" s="121" t="n"/>
      <s:c r="E5974" s="122" t="n"/>
    </s:row>
    <s:row r="5975" hidden="1" ht="1" customHeight="1">
      <s:c r="A5975" s="120" t="inlineStr"/>
      <s:c r="B5975" s="121" t="n"/>
      <s:c r="C5975" s="121" t="n"/>
      <s:c r="D5975" s="121" t="n"/>
      <s:c r="E5975" s="122" t="n"/>
    </s:row>
    <s:row r="5976" hidden="1" ht="1" customHeight="1">
      <s:c r="A5976" s="120" t="inlineStr"/>
      <s:c r="B5976" s="121" t="n"/>
      <s:c r="C5976" s="121" t="n"/>
      <s:c r="D5976" s="121" t="n"/>
      <s:c r="E5976" s="122" t="n"/>
    </s:row>
    <s:row r="5977" hidden="1" ht="1" customHeight="1">
      <s:c r="A5977" s="120" t="inlineStr"/>
      <s:c r="B5977" s="121" t="n"/>
      <s:c r="C5977" s="121" t="n"/>
      <s:c r="D5977" s="121" t="n"/>
      <s:c r="E5977" s="122" t="n"/>
    </s:row>
    <s:row r="5978" hidden="1" ht="1" customHeight="1">
      <s:c r="A5978" s="83" t="inlineStr">
        <s:is>
          <s:t>PASS</s:t>
        </s:is>
      </s:c>
      <s:c r="B5978" s="83">
        <s:f>SUM(IF(EXACT('Kiểm thử'!E5878,"Đạt"),1,0),IF(EXACT('Kiểm thử'!E5880,"Đạt"),1,0))</s:f>
        <s:v/>
      </s:c>
      <s:c r="C5978" s="19" t="n"/>
      <s:c r="D5978" s="19" t="n"/>
      <s:c r="E5978" s="19" t="n"/>
    </s:row>
    <s:row r="5979" hidden="1" ht="1" customHeight="1">
      <s:c r="A5979" s="83" t="inlineStr">
        <s:is>
          <s:t>FAIL</s:t>
        </s:is>
      </s:c>
      <s:c r="B5979" s="83">
        <s:f>SUM(IF(EXACT('Kiểm thử'!E5878,"Không đạt"),1,0),IF(EXACT('Kiểm thử'!E5880,"Không đạt"),1,0))</s:f>
        <s:v/>
      </s:c>
      <s:c r="C5979" s="19" t="n"/>
      <s:c r="D5979" s="19" t="n"/>
      <s:c r="E5979" s="19" t="n"/>
    </s:row>
    <s:row r="5980" hidden="1" ht="1" customHeight="1">
      <s:c r="A5980" s="83" t="inlineStr">
        <s:is>
          <s:t>BLOCKED</s:t>
        </s:is>
      </s:c>
      <s:c r="B5980" s="83">
        <s:f>SUM(IF(EXACT('Kiểm thử'!E5878,"Bị chặn"),1,0),IF(EXACT('Kiểm thử'!E5880,"Bị chặn"),1,0))</s:f>
        <s:v/>
      </s:c>
      <s:c r="C5980" s="19" t="n"/>
      <s:c r="D5980" s="19" t="n"/>
      <s:c r="E5980" s="19" t="n"/>
    </s:row>
    <s:row r="5981" hidden="1" ht="1" customHeight="1">
      <s:c r="A5981" s="83" t="inlineStr">
        <s:is>
          <s:t>SKIPPED</s:t>
        </s:is>
      </s:c>
      <s:c r="B5981" s="83">
        <s:f>SUM(IF(EXACT('Kiểm thử'!E5878,"Không thực hiện"),1,0),IF(EXACT('Kiểm thử'!E5880,"Không thực hiện"),1,0))</s:f>
        <s:v/>
      </s:c>
      <s:c r="C5981" s="19" t="n"/>
      <s:c r="D5981" s="19" t="n"/>
      <s:c r="E5981" s="19" t="n"/>
    </s:row>
    <s:row r="5982" hidden="1" ht="1" customHeight="1">
      <s:c r="A5982" s="83" t="inlineStr">
        <s:is>
          <s:t>NOT RUN</s:t>
        </s:is>
      </s:c>
      <s:c r="B5982" s="83">
        <s:f>SUM(IF(EXACT('Kiểm thử'!E5878,"Chưa thực hiện"),1,0),IF(EXACT('Kiểm thử'!E5880,"Chưa thực hiện"),1,0))</s:f>
        <s:v/>
      </s:c>
      <s:c r="C5982" s="19" t="n"/>
      <s:c r="D5982" s="19" t="n"/>
      <s:c r="E5982" s="19" t="n"/>
    </s:row>
    <s:row r="5983" hidden="1" ht="6" customHeight="1">
      <s:c r="A5983" s="83" t="inlineStr"/>
      <s:c r="B5983" s="19" t="n"/>
      <s:c r="C5983" s="19" t="n"/>
      <s:c r="D5983" s="19" t="n"/>
      <s:c r="E5983" s="19" t="n"/>
    </s:row>
    <s:row r="5984" ht="28" customHeight="1">
      <s:c r="A5984" s="108" t="inlineStr">
        <s:is>
          <s:t>TC-RS-CALC-002 — Điểm 0 với ngưỡng 0 và 30</s:t>
        </s:is>
      </s:c>
      <s:c r="B5984" s="111" t="n"/>
      <s:c r="C5984" s="111" t="n"/>
      <s:c r="D5984" s="111" t="n"/>
      <s:c r="E5984" s="111" t="n"/>
    </s:row>
    <s:row r="5985" ht="20" customHeight="1">
      <s:c r="A5985" s="112" t="inlineStr">
        <s:is>
          <s:t>Kết quả tình huống</s:t>
        </s:is>
      </s:c>
      <s:c r="B5985" s="113">
        <s:f>IF(SUM(IF(EXACT('Kiểm thử'!E5992,"Không đạt"),1,0),IF(EXACT('Kiểm thử'!E5994,"Không đạt"),1,0),IF(EXACT('Kiểm thử'!E5996,"Không đạt"),1,0))&gt;0,"Không đạt",IF(SUM(IF(EXACT('Kiểm thử'!E5992,"Đạt"),1,0),IF(EXACT('Kiểm thử'!E5994,"Đạt"),1,0),IF(EXACT('Kiểm thử'!E5996,"Đạt"),1,0))=3,"Đạt",IF(SUM(IF(EXACT('Kiểm thử'!E5992,"Không thực hiện"),1,0),IF(EXACT('Kiểm thử'!E5994,"Không thực hiện"),1,0),IF(EXACT('Kiểm thử'!E5996,"Không thực hiện"),1,0))=3,"Không thực hiện",IF(SUM(IF(EXACT('Kiểm thử'!E5992,"Bị chặn"),1,0),IF(EXACT('Kiểm thử'!E5994,"Bị chặn"),1,0),IF(EXACT('Kiểm thử'!E5996,"Bị chặn"),1,0))&gt;0,"Bị chặn",IF(SUM(IF(EXACT('Kiểm thử'!E5992,"Chưa thực hiện"),1,0),IF(EXACT('Kiểm thử'!E5994,"Chưa thực hiện"),1,0),IF(EXACT('Kiểm thử'!E5996,"Chưa thực hiện"),1,0))=3,"Chưa thực hiện","Đang thực hiện")))))</s:f>
        <s:v/>
      </s:c>
      <s:c r="C5985" s="114" t="n"/>
      <s:c r="D5985" s="114" t="n"/>
      <s:c r="E5985" s="114" t="n"/>
    </s:row>
    <s:row r="5986" ht="20" customHeight="1">
      <s:c r="A5986" s="112" t="inlineStr">
        <s:is>
          <s:t>Màn hình / chức năng</s:t>
        </s:is>
      </s:c>
      <s:c r="B5986" s="113" t="inlineStr">
        <s:is>
          <s:r>
            <s:rPr>
              <s:b val="1"/>
            </s:rPr>
            <s:t>Thiết lập ngưỡng（基準設定）</s:t>
          </s:r>
        </s:is>
      </s:c>
      <s:c r="C5986" s="28" t="n"/>
      <s:c r="D5986" s="28" t="n"/>
      <s:c r="E5986" s="28" t="n"/>
    </s:row>
    <s:row r="5987" ht="20" customHeight="1">
      <s:c r="A5987" s="112" t="inlineStr">
        <s:is>
          <s:t>Cấu hình</s:t>
        </s:is>
      </s:c>
      <s:c r="B5987" s="113" t="inlineStr">
        <s:is>
          <s:r>
            <s:t>• Mục số nguyên (</s:t>
          </s:r>
          <s:r>
            <s:rPr>
              <s:b val="1"/>
            </s:rPr>
            <s:t>M=100</s:t>
          </s:r>
          <s:r>
            <s:t>).</s:t>
          </s:r>
        </s:is>
      </s:c>
      <s:c r="C5987" s="28" t="n"/>
      <s:c r="D5987" s="28" t="n"/>
      <s:c r="E5987" s="28" t="n"/>
    </s:row>
    <s:row r="5988" ht="48" customHeight="1">
      <s:c r="A5988" s="112" t="inlineStr">
        <s:is>
          <s:t>Dữ liệu test</s:t>
        </s:is>
      </s:c>
      <s:c r="B5988" s="113" t="inlineStr">
        <s:is>
          <s:r>
            <s:t>• Mục số nguyên (</s:t>
          </s:r>
          <s:r>
            <s:rPr>
              <s:b val="1"/>
            </s:rPr>
            <s:t>M=100</s:t>
          </s:r>
          <s:r>
            <s:t>);
• Học sinh S04 (điểm 0) (</s:t>
          </s:r>
          <s:r>
            <s:rPr>
              <s:b val="1"/>
            </s:rPr>
            <s:t>S=0</s:t>
          </s:r>
          <s:r>
            <s:t>);
• N = 0, 30</s:t>
          </s:r>
        </s:is>
      </s:c>
      <s:c r="C5988" s="28" t="n"/>
      <s:c r="D5988" s="28" t="n"/>
      <s:c r="E5988" s="28" t="n"/>
    </s:row>
    <s:row r="5989" ht="20" customHeight="1">
      <s:c r="A5989" s="112" t="inlineStr">
        <s:is>
          <s:t>•</s:t>
        </s:is>
      </s:c>
      <s:c r="B5989" s="113" t="inlineStr">
        <s:is>
          <s:t>Với từng cấu hình: cố định 0 [&lt;], cố định 0 [≤], cố định 30 [&lt;]: chạy lại, xem S04.</s:t>
        </s:is>
      </s:c>
      <s:c r="C5989" s="28" t="n"/>
      <s:c r="D5989" s="28" t="n"/>
      <s:c r="E5989" s="28" t="n"/>
    </s:row>
    <s:row r="5990" ht="28" customHeight="1">
      <s:c r="A5990" s="115" t="inlineStr">
        <s:is>
          <s:t>Trường hợp</s:t>
        </s:is>
      </s:c>
      <s:c r="B5990" s="115" t="inlineStr">
        <s:is>
          <s:t>Dữ liệu / thao tác riêng</s:t>
        </s:is>
      </s:c>
      <s:c r="C5990" s="115" t="inlineStr">
        <s:is>
          <s:t>Kết quả mong đợi</s:t>
        </s:is>
      </s:c>
      <s:c r="D5990" s="115" t="inlineStr">
        <s:is>
          <s:t>Kết quả thực tế</s:t>
        </s:is>
      </s:c>
      <s:c r="E5990" s="115" t="inlineStr">
        <s:is>
          <s:t>Đánh giá</s:t>
        </s:is>
      </s:c>
    </s:row>
    <s:row r="5991" ht="3" customHeight="1">
      <s:c r="A5991" s="102" t="inlineStr"/>
      <s:c r="B5991" s="99" t="n"/>
      <s:c r="C5991" s="99" t="n"/>
      <s:c r="D5991" s="116" t="n"/>
      <s:c r="E5991" s="116" t="n"/>
    </s:row>
    <s:row r="5992" ht="34" customHeight="1">
      <s:c r="A5992" s="83" t="inlineStr">
        <s:is>
          <s:t>Ngưỡng 0, nhỏ hơn (zero-lt)</s:t>
        </s:is>
      </s:c>
      <s:c r="B5992" s="83" t="inlineStr">
        <s:is>
          <s:r>
            <s:t xml:space="preserve">S04=0; cấu hình cố định </s:t>
          </s:r>
          <s:r>
            <s:rPr>
              <s:b val="1"/>
            </s:rPr>
            <s:t>T=0</s:t>
          </s:r>
          <s:r>
            <s:t>, dấu &lt;; chạy xét.</s:t>
          </s:r>
        </s:is>
      </s:c>
      <s:c r="C5992" s="83" t="inlineStr">
        <s:is>
          <s:r>
            <s:t xml:space="preserve">0 [&lt;]: [0&lt;0] Sai → </s:t>
          </s:r>
          <s:r>
            <s:rPr>
              <s:b val="1"/>
            </s:rPr>
            <s:t>Không đỏ</s:t>
          </s:r>
          <s:r>
            <s:t>.</s:t>
          </s:r>
        </s:is>
      </s:c>
      <s:c r="D5992" s="117" t="inlineStr"/>
      <s:c r="E5992" s="118" t="inlineStr">
        <s:is>
          <s:t>Chưa thực hiện</s:t>
        </s:is>
      </s:c>
    </s:row>
    <s:row r="5993" ht="3" customHeight="1">
      <s:c r="A5993" s="102" t="inlineStr"/>
      <s:c r="B5993" s="99" t="n"/>
      <s:c r="C5993" s="99" t="n"/>
      <s:c r="D5993" s="116" t="n"/>
      <s:c r="E5993" s="116" t="n"/>
    </s:row>
    <s:row r="5994" ht="34" customHeight="1">
      <s:c r="A5994" s="83" t="inlineStr">
        <s:is>
          <s:t>Ngưỡng 0, nhỏ hơn hoặc bằng (zero-le)</s:t>
        </s:is>
      </s:c>
      <s:c r="B5994" s="83" t="inlineStr">
        <s:is>
          <s:r>
            <s:t xml:space="preserve">S04=0; cấu hình cố định </s:t>
          </s:r>
          <s:r>
            <s:rPr>
              <s:b val="1"/>
            </s:rPr>
            <s:t>T=0</s:t>
          </s:r>
          <s:r>
            <s:t>, dấu ≤; chạy xét.</s:t>
          </s:r>
        </s:is>
      </s:c>
      <s:c r="C5994" s="83" t="inlineStr">
        <s:is>
          <s:r>
            <s:t xml:space="preserve">0 [≤]: [0≤0] → </s:t>
          </s:r>
          <s:r>
            <s:rPr>
              <s:b val="1"/>
            </s:rPr>
            <s:t>Đỏ</s:t>
          </s:r>
          <s:r>
            <s:t>.</s:t>
          </s:r>
        </s:is>
      </s:c>
      <s:c r="D5994" s="117" t="inlineStr"/>
      <s:c r="E5994" s="118" t="inlineStr">
        <s:is>
          <s:t>Chưa thực hiện</s:t>
        </s:is>
      </s:c>
    </s:row>
    <s:row r="5995" ht="3" customHeight="1">
      <s:c r="A5995" s="102" t="inlineStr"/>
      <s:c r="B5995" s="99" t="n"/>
      <s:c r="C5995" s="99" t="n"/>
      <s:c r="D5995" s="116" t="n"/>
      <s:c r="E5995" s="116" t="n"/>
    </s:row>
    <s:row r="5996" ht="34" customHeight="1">
      <s:c r="A5996" s="83" t="inlineStr">
        <s:is>
          <s:t>Ngưỡng 30, nhỏ hơn (thirty-lt)</s:t>
        </s:is>
      </s:c>
      <s:c r="B5996" s="83" t="inlineStr">
        <s:is>
          <s:r>
            <s:t xml:space="preserve">S04=0; cấu hình cố định </s:t>
          </s:r>
          <s:r>
            <s:rPr>
              <s:b val="1"/>
            </s:rPr>
            <s:t>T=30</s:t>
          </s:r>
          <s:r>
            <s:t>, dấu &lt;; chạy xét.</s:t>
          </s:r>
        </s:is>
      </s:c>
      <s:c r="C5996" s="83" t="inlineStr">
        <s:is>
          <s:r>
            <s:t xml:space="preserve">30 [&lt;]: [0&lt;30] → </s:t>
          </s:r>
          <s:r>
            <s:rPr>
              <s:b val="1"/>
            </s:rPr>
            <s:t>Đỏ</s:t>
          </s:r>
          <s:r>
            <s:t>.</s:t>
          </s:r>
        </s:is>
      </s:c>
      <s:c r="D5996" s="117" t="inlineStr"/>
      <s:c r="E5996" s="118" t="inlineStr">
        <s:is>
          <s:t>Chưa thực hiện</s:t>
        </s:is>
      </s:c>
    </s:row>
    <s:row r="5997" ht="20" customHeight="1">
      <s:c r="A5997" s="119" t="inlineStr">
        <s:is>
          <s:t>Ảnh minh chứng — Chưa có ảnh</s:t>
        </s:is>
      </s:c>
      <s:c r="B5997" s="19" t="n"/>
      <s:c r="C5997" s="19" t="n"/>
      <s:c r="D5997" s="19" t="n"/>
      <s:c r="E5997" s="19" t="n"/>
    </s:row>
    <s:row r="5998" hidden="1" ht="1" customHeight="1">
      <s:c r="A5998" s="120" t="inlineStr"/>
      <s:c r="B5998" s="121" t="n"/>
      <s:c r="C5998" s="121" t="n"/>
      <s:c r="D5998" s="121" t="n"/>
      <s:c r="E5998" s="122" t="n"/>
    </s:row>
    <s:row r="5999" hidden="1" ht="1" customHeight="1">
      <s:c r="A5999" s="120" t="inlineStr"/>
      <s:c r="B5999" s="121" t="n"/>
      <s:c r="C5999" s="121" t="n"/>
      <s:c r="D5999" s="121" t="n"/>
      <s:c r="E5999" s="122" t="n"/>
    </s:row>
    <s:row r="6000" hidden="1" ht="1" customHeight="1">
      <s:c r="A6000" s="120" t="inlineStr"/>
      <s:c r="B6000" s="121" t="n"/>
      <s:c r="C6000" s="121" t="n"/>
      <s:c r="D6000" s="121" t="n"/>
      <s:c r="E6000" s="122" t="n"/>
    </s:row>
    <s:row r="6001" hidden="1" ht="1" customHeight="1">
      <s:c r="A6001" s="120" t="inlineStr"/>
      <s:c r="B6001" s="121" t="n"/>
      <s:c r="C6001" s="121" t="n"/>
      <s:c r="D6001" s="121" t="n"/>
      <s:c r="E6001" s="122" t="n"/>
    </s:row>
    <s:row r="6002" hidden="1" ht="1" customHeight="1">
      <s:c r="A6002" s="120" t="inlineStr"/>
      <s:c r="B6002" s="121" t="n"/>
      <s:c r="C6002" s="121" t="n"/>
      <s:c r="D6002" s="121" t="n"/>
      <s:c r="E6002" s="122" t="n"/>
    </s:row>
    <s:row r="6003" hidden="1" ht="1" customHeight="1">
      <s:c r="A6003" s="120" t="inlineStr"/>
      <s:c r="B6003" s="121" t="n"/>
      <s:c r="C6003" s="121" t="n"/>
      <s:c r="D6003" s="121" t="n"/>
      <s:c r="E6003" s="122" t="n"/>
    </s:row>
    <s:row r="6004" hidden="1" ht="1" customHeight="1">
      <s:c r="A6004" s="120" t="inlineStr"/>
      <s:c r="B6004" s="121" t="n"/>
      <s:c r="C6004" s="121" t="n"/>
      <s:c r="D6004" s="121" t="n"/>
      <s:c r="E6004" s="122" t="n"/>
    </s:row>
    <s:row r="6005" hidden="1" ht="1" customHeight="1">
      <s:c r="A6005" s="120" t="inlineStr"/>
      <s:c r="B6005" s="121" t="n"/>
      <s:c r="C6005" s="121" t="n"/>
      <s:c r="D6005" s="121" t="n"/>
      <s:c r="E6005" s="122" t="n"/>
    </s:row>
    <s:row r="6006" hidden="1" ht="1" customHeight="1">
      <s:c r="A6006" s="120" t="inlineStr"/>
      <s:c r="B6006" s="121" t="n"/>
      <s:c r="C6006" s="121" t="n"/>
      <s:c r="D6006" s="121" t="n"/>
      <s:c r="E6006" s="122" t="n"/>
    </s:row>
    <s:row r="6007" hidden="1" ht="1" customHeight="1">
      <s:c r="A6007" s="120" t="inlineStr"/>
      <s:c r="B6007" s="121" t="n"/>
      <s:c r="C6007" s="121" t="n"/>
      <s:c r="D6007" s="121" t="n"/>
      <s:c r="E6007" s="122" t="n"/>
    </s:row>
    <s:row r="6008" hidden="1" ht="1" customHeight="1">
      <s:c r="A6008" s="120" t="inlineStr"/>
      <s:c r="B6008" s="121" t="n"/>
      <s:c r="C6008" s="121" t="n"/>
      <s:c r="D6008" s="121" t="n"/>
      <s:c r="E6008" s="122" t="n"/>
    </s:row>
    <s:row r="6009" hidden="1" ht="1" customHeight="1">
      <s:c r="A6009" s="120" t="inlineStr"/>
      <s:c r="B6009" s="121" t="n"/>
      <s:c r="C6009" s="121" t="n"/>
      <s:c r="D6009" s="121" t="n"/>
      <s:c r="E6009" s="122" t="n"/>
    </s:row>
    <s:row r="6010" hidden="1" ht="1" customHeight="1">
      <s:c r="A6010" s="120" t="inlineStr"/>
      <s:c r="B6010" s="121" t="n"/>
      <s:c r="C6010" s="121" t="n"/>
      <s:c r="D6010" s="121" t="n"/>
      <s:c r="E6010" s="122" t="n"/>
    </s:row>
    <s:row r="6011" hidden="1" ht="1" customHeight="1">
      <s:c r="A6011" s="120" t="inlineStr"/>
      <s:c r="B6011" s="121" t="n"/>
      <s:c r="C6011" s="121" t="n"/>
      <s:c r="D6011" s="121" t="n"/>
      <s:c r="E6011" s="122" t="n"/>
    </s:row>
    <s:row r="6012" hidden="1" ht="1" customHeight="1">
      <s:c r="A6012" s="120" t="inlineStr"/>
      <s:c r="B6012" s="121" t="n"/>
      <s:c r="C6012" s="121" t="n"/>
      <s:c r="D6012" s="121" t="n"/>
      <s:c r="E6012" s="122" t="n"/>
    </s:row>
    <s:row r="6013" hidden="1" ht="1" customHeight="1">
      <s:c r="A6013" s="120" t="inlineStr"/>
      <s:c r="B6013" s="121" t="n"/>
      <s:c r="C6013" s="121" t="n"/>
      <s:c r="D6013" s="121" t="n"/>
      <s:c r="E6013" s="122" t="n"/>
    </s:row>
    <s:row r="6014" hidden="1" ht="1" customHeight="1">
      <s:c r="A6014" s="120" t="inlineStr"/>
      <s:c r="B6014" s="121" t="n"/>
      <s:c r="C6014" s="121" t="n"/>
      <s:c r="D6014" s="121" t="n"/>
      <s:c r="E6014" s="122" t="n"/>
    </s:row>
    <s:row r="6015" hidden="1" ht="1" customHeight="1">
      <s:c r="A6015" s="120" t="inlineStr"/>
      <s:c r="B6015" s="121" t="n"/>
      <s:c r="C6015" s="121" t="n"/>
      <s:c r="D6015" s="121" t="n"/>
      <s:c r="E6015" s="122" t="n"/>
    </s:row>
    <s:row r="6016" hidden="1" ht="1" customHeight="1">
      <s:c r="A6016" s="120" t="inlineStr"/>
      <s:c r="B6016" s="121" t="n"/>
      <s:c r="C6016" s="121" t="n"/>
      <s:c r="D6016" s="121" t="n"/>
      <s:c r="E6016" s="122" t="n"/>
    </s:row>
    <s:row r="6017" hidden="1" ht="1" customHeight="1">
      <s:c r="A6017" s="120" t="inlineStr"/>
      <s:c r="B6017" s="121" t="n"/>
      <s:c r="C6017" s="121" t="n"/>
      <s:c r="D6017" s="121" t="n"/>
      <s:c r="E6017" s="122" t="n"/>
    </s:row>
    <s:row r="6018" hidden="1" ht="1" customHeight="1">
      <s:c r="A6018" s="120" t="inlineStr"/>
      <s:c r="B6018" s="121" t="n"/>
      <s:c r="C6018" s="121" t="n"/>
      <s:c r="D6018" s="121" t="n"/>
      <s:c r="E6018" s="122" t="n"/>
    </s:row>
    <s:row r="6019" hidden="1" ht="1" customHeight="1">
      <s:c r="A6019" s="120" t="inlineStr"/>
      <s:c r="B6019" s="121" t="n"/>
      <s:c r="C6019" s="121" t="n"/>
      <s:c r="D6019" s="121" t="n"/>
      <s:c r="E6019" s="122" t="n"/>
    </s:row>
    <s:row r="6020" hidden="1" ht="1" customHeight="1">
      <s:c r="A6020" s="120" t="inlineStr"/>
      <s:c r="B6020" s="121" t="n"/>
      <s:c r="C6020" s="121" t="n"/>
      <s:c r="D6020" s="121" t="n"/>
      <s:c r="E6020" s="122" t="n"/>
    </s:row>
    <s:row r="6021" hidden="1" ht="1" customHeight="1">
      <s:c r="A6021" s="120" t="inlineStr"/>
      <s:c r="B6021" s="121" t="n"/>
      <s:c r="C6021" s="121" t="n"/>
      <s:c r="D6021" s="121" t="n"/>
      <s:c r="E6021" s="122" t="n"/>
    </s:row>
    <s:row r="6022" hidden="1" ht="1" customHeight="1">
      <s:c r="A6022" s="120" t="inlineStr"/>
      <s:c r="B6022" s="121" t="n"/>
      <s:c r="C6022" s="121" t="n"/>
      <s:c r="D6022" s="121" t="n"/>
      <s:c r="E6022" s="122" t="n"/>
    </s:row>
    <s:row r="6023" hidden="1" ht="1" customHeight="1">
      <s:c r="A6023" s="120" t="inlineStr"/>
      <s:c r="B6023" s="121" t="n"/>
      <s:c r="C6023" s="121" t="n"/>
      <s:c r="D6023" s="121" t="n"/>
      <s:c r="E6023" s="122" t="n"/>
    </s:row>
    <s:row r="6024" hidden="1" ht="1" customHeight="1">
      <s:c r="A6024" s="120" t="inlineStr"/>
      <s:c r="B6024" s="121" t="n"/>
      <s:c r="C6024" s="121" t="n"/>
      <s:c r="D6024" s="121" t="n"/>
      <s:c r="E6024" s="122" t="n"/>
    </s:row>
    <s:row r="6025" hidden="1" ht="1" customHeight="1">
      <s:c r="A6025" s="120" t="inlineStr"/>
      <s:c r="B6025" s="121" t="n"/>
      <s:c r="C6025" s="121" t="n"/>
      <s:c r="D6025" s="121" t="n"/>
      <s:c r="E6025" s="122" t="n"/>
    </s:row>
    <s:row r="6026" hidden="1" ht="1" customHeight="1">
      <s:c r="A6026" s="120" t="inlineStr"/>
      <s:c r="B6026" s="121" t="n"/>
      <s:c r="C6026" s="121" t="n"/>
      <s:c r="D6026" s="121" t="n"/>
      <s:c r="E6026" s="122" t="n"/>
    </s:row>
    <s:row r="6027" hidden="1" ht="1" customHeight="1">
      <s:c r="A6027" s="120" t="inlineStr"/>
      <s:c r="B6027" s="121" t="n"/>
      <s:c r="C6027" s="121" t="n"/>
      <s:c r="D6027" s="121" t="n"/>
      <s:c r="E6027" s="122" t="n"/>
    </s:row>
    <s:row r="6028" hidden="1" ht="1" customHeight="1">
      <s:c r="A6028" s="120" t="inlineStr"/>
      <s:c r="B6028" s="121" t="n"/>
      <s:c r="C6028" s="121" t="n"/>
      <s:c r="D6028" s="121" t="n"/>
      <s:c r="E6028" s="122" t="n"/>
    </s:row>
    <s:row r="6029" hidden="1" ht="1" customHeight="1">
      <s:c r="A6029" s="120" t="inlineStr"/>
      <s:c r="B6029" s="121" t="n"/>
      <s:c r="C6029" s="121" t="n"/>
      <s:c r="D6029" s="121" t="n"/>
      <s:c r="E6029" s="122" t="n"/>
    </s:row>
    <s:row r="6030" hidden="1" ht="1" customHeight="1">
      <s:c r="A6030" s="120" t="inlineStr"/>
      <s:c r="B6030" s="121" t="n"/>
      <s:c r="C6030" s="121" t="n"/>
      <s:c r="D6030" s="121" t="n"/>
      <s:c r="E6030" s="122" t="n"/>
    </s:row>
    <s:row r="6031" hidden="1" ht="1" customHeight="1">
      <s:c r="A6031" s="120" t="inlineStr"/>
      <s:c r="B6031" s="121" t="n"/>
      <s:c r="C6031" s="121" t="n"/>
      <s:c r="D6031" s="121" t="n"/>
      <s:c r="E6031" s="122" t="n"/>
    </s:row>
    <s:row r="6032" hidden="1" ht="1" customHeight="1">
      <s:c r="A6032" s="120" t="inlineStr"/>
      <s:c r="B6032" s="121" t="n"/>
      <s:c r="C6032" s="121" t="n"/>
      <s:c r="D6032" s="121" t="n"/>
      <s:c r="E6032" s="122" t="n"/>
    </s:row>
    <s:row r="6033" hidden="1" ht="1" customHeight="1">
      <s:c r="A6033" s="120" t="inlineStr"/>
      <s:c r="B6033" s="121" t="n"/>
      <s:c r="C6033" s="121" t="n"/>
      <s:c r="D6033" s="121" t="n"/>
      <s:c r="E6033" s="122" t="n"/>
    </s:row>
    <s:row r="6034" hidden="1" ht="1" customHeight="1">
      <s:c r="A6034" s="120" t="inlineStr"/>
      <s:c r="B6034" s="121" t="n"/>
      <s:c r="C6034" s="121" t="n"/>
      <s:c r="D6034" s="121" t="n"/>
      <s:c r="E6034" s="122" t="n"/>
    </s:row>
    <s:row r="6035" hidden="1" ht="1" customHeight="1">
      <s:c r="A6035" s="120" t="inlineStr"/>
      <s:c r="B6035" s="121" t="n"/>
      <s:c r="C6035" s="121" t="n"/>
      <s:c r="D6035" s="121" t="n"/>
      <s:c r="E6035" s="122" t="n"/>
    </s:row>
    <s:row r="6036" hidden="1" ht="1" customHeight="1">
      <s:c r="A6036" s="120" t="inlineStr"/>
      <s:c r="B6036" s="121" t="n"/>
      <s:c r="C6036" s="121" t="n"/>
      <s:c r="D6036" s="121" t="n"/>
      <s:c r="E6036" s="122" t="n"/>
    </s:row>
    <s:row r="6037" hidden="1" ht="1" customHeight="1">
      <s:c r="A6037" s="120" t="inlineStr"/>
      <s:c r="B6037" s="121" t="n"/>
      <s:c r="C6037" s="121" t="n"/>
      <s:c r="D6037" s="121" t="n"/>
      <s:c r="E6037" s="122" t="n"/>
    </s:row>
    <s:row r="6038" hidden="1" ht="1" customHeight="1">
      <s:c r="A6038" s="120" t="inlineStr"/>
      <s:c r="B6038" s="121" t="n"/>
      <s:c r="C6038" s="121" t="n"/>
      <s:c r="D6038" s="121" t="n"/>
      <s:c r="E6038" s="122" t="n"/>
    </s:row>
    <s:row r="6039" hidden="1" ht="1" customHeight="1">
      <s:c r="A6039" s="120" t="inlineStr"/>
      <s:c r="B6039" s="121" t="n"/>
      <s:c r="C6039" s="121" t="n"/>
      <s:c r="D6039" s="121" t="n"/>
      <s:c r="E6039" s="122" t="n"/>
    </s:row>
    <s:row r="6040" hidden="1" ht="1" customHeight="1">
      <s:c r="A6040" s="120" t="inlineStr"/>
      <s:c r="B6040" s="121" t="n"/>
      <s:c r="C6040" s="121" t="n"/>
      <s:c r="D6040" s="121" t="n"/>
      <s:c r="E6040" s="122" t="n"/>
    </s:row>
    <s:row r="6041" hidden="1" ht="1" customHeight="1">
      <s:c r="A6041" s="120" t="inlineStr"/>
      <s:c r="B6041" s="121" t="n"/>
      <s:c r="C6041" s="121" t="n"/>
      <s:c r="D6041" s="121" t="n"/>
      <s:c r="E6041" s="122" t="n"/>
    </s:row>
    <s:row r="6042" hidden="1" ht="1" customHeight="1">
      <s:c r="A6042" s="120" t="inlineStr"/>
      <s:c r="B6042" s="121" t="n"/>
      <s:c r="C6042" s="121" t="n"/>
      <s:c r="D6042" s="121" t="n"/>
      <s:c r="E6042" s="122" t="n"/>
    </s:row>
    <s:row r="6043" hidden="1" ht="1" customHeight="1">
      <s:c r="A6043" s="120" t="inlineStr"/>
      <s:c r="B6043" s="121" t="n"/>
      <s:c r="C6043" s="121" t="n"/>
      <s:c r="D6043" s="121" t="n"/>
      <s:c r="E6043" s="122" t="n"/>
    </s:row>
    <s:row r="6044" hidden="1" ht="1" customHeight="1">
      <s:c r="A6044" s="120" t="inlineStr"/>
      <s:c r="B6044" s="121" t="n"/>
      <s:c r="C6044" s="121" t="n"/>
      <s:c r="D6044" s="121" t="n"/>
      <s:c r="E6044" s="122" t="n"/>
    </s:row>
    <s:row r="6045" hidden="1" ht="1" customHeight="1">
      <s:c r="A6045" s="120" t="inlineStr"/>
      <s:c r="B6045" s="121" t="n"/>
      <s:c r="C6045" s="121" t="n"/>
      <s:c r="D6045" s="121" t="n"/>
      <s:c r="E6045" s="122" t="n"/>
    </s:row>
    <s:row r="6046" hidden="1" ht="1" customHeight="1">
      <s:c r="A6046" s="120" t="inlineStr"/>
      <s:c r="B6046" s="121" t="n"/>
      <s:c r="C6046" s="121" t="n"/>
      <s:c r="D6046" s="121" t="n"/>
      <s:c r="E6046" s="122" t="n"/>
    </s:row>
    <s:row r="6047" hidden="1" ht="1" customHeight="1">
      <s:c r="A6047" s="120" t="inlineStr"/>
      <s:c r="B6047" s="121" t="n"/>
      <s:c r="C6047" s="121" t="n"/>
      <s:c r="D6047" s="121" t="n"/>
      <s:c r="E6047" s="122" t="n"/>
    </s:row>
    <s:row r="6048" hidden="1" ht="1" customHeight="1">
      <s:c r="A6048" s="120" t="inlineStr"/>
      <s:c r="B6048" s="121" t="n"/>
      <s:c r="C6048" s="121" t="n"/>
      <s:c r="D6048" s="121" t="n"/>
      <s:c r="E6048" s="122" t="n"/>
    </s:row>
    <s:row r="6049" hidden="1" ht="1" customHeight="1">
      <s:c r="A6049" s="120" t="inlineStr"/>
      <s:c r="B6049" s="121" t="n"/>
      <s:c r="C6049" s="121" t="n"/>
      <s:c r="D6049" s="121" t="n"/>
      <s:c r="E6049" s="122" t="n"/>
    </s:row>
    <s:row r="6050" hidden="1" ht="1" customHeight="1">
      <s:c r="A6050" s="120" t="inlineStr"/>
      <s:c r="B6050" s="121" t="n"/>
      <s:c r="C6050" s="121" t="n"/>
      <s:c r="D6050" s="121" t="n"/>
      <s:c r="E6050" s="122" t="n"/>
    </s:row>
    <s:row r="6051" hidden="1" ht="1" customHeight="1">
      <s:c r="A6051" s="120" t="inlineStr"/>
      <s:c r="B6051" s="121" t="n"/>
      <s:c r="C6051" s="121" t="n"/>
      <s:c r="D6051" s="121" t="n"/>
      <s:c r="E6051" s="122" t="n"/>
    </s:row>
    <s:row r="6052" hidden="1" ht="1" customHeight="1">
      <s:c r="A6052" s="120" t="inlineStr"/>
      <s:c r="B6052" s="121" t="n"/>
      <s:c r="C6052" s="121" t="n"/>
      <s:c r="D6052" s="121" t="n"/>
      <s:c r="E6052" s="122" t="n"/>
    </s:row>
    <s:row r="6053" hidden="1" ht="1" customHeight="1">
      <s:c r="A6053" s="120" t="inlineStr"/>
      <s:c r="B6053" s="121" t="n"/>
      <s:c r="C6053" s="121" t="n"/>
      <s:c r="D6053" s="121" t="n"/>
      <s:c r="E6053" s="122" t="n"/>
    </s:row>
    <s:row r="6054" hidden="1" ht="1" customHeight="1">
      <s:c r="A6054" s="120" t="inlineStr"/>
      <s:c r="B6054" s="121" t="n"/>
      <s:c r="C6054" s="121" t="n"/>
      <s:c r="D6054" s="121" t="n"/>
      <s:c r="E6054" s="122" t="n"/>
    </s:row>
    <s:row r="6055" hidden="1" ht="1" customHeight="1">
      <s:c r="A6055" s="120" t="inlineStr"/>
      <s:c r="B6055" s="121" t="n"/>
      <s:c r="C6055" s="121" t="n"/>
      <s:c r="D6055" s="121" t="n"/>
      <s:c r="E6055" s="122" t="n"/>
    </s:row>
    <s:row r="6056" hidden="1" ht="1" customHeight="1">
      <s:c r="A6056" s="120" t="inlineStr"/>
      <s:c r="B6056" s="121" t="n"/>
      <s:c r="C6056" s="121" t="n"/>
      <s:c r="D6056" s="121" t="n"/>
      <s:c r="E6056" s="122" t="n"/>
    </s:row>
    <s:row r="6057" hidden="1" ht="1" customHeight="1">
      <s:c r="A6057" s="120" t="inlineStr"/>
      <s:c r="B6057" s="121" t="n"/>
      <s:c r="C6057" s="121" t="n"/>
      <s:c r="D6057" s="121" t="n"/>
      <s:c r="E6057" s="122" t="n"/>
    </s:row>
    <s:row r="6058" hidden="1" ht="1" customHeight="1">
      <s:c r="A6058" s="120" t="inlineStr"/>
      <s:c r="B6058" s="121" t="n"/>
      <s:c r="C6058" s="121" t="n"/>
      <s:c r="D6058" s="121" t="n"/>
      <s:c r="E6058" s="122" t="n"/>
    </s:row>
    <s:row r="6059" hidden="1" ht="1" customHeight="1">
      <s:c r="A6059" s="120" t="inlineStr"/>
      <s:c r="B6059" s="121" t="n"/>
      <s:c r="C6059" s="121" t="n"/>
      <s:c r="D6059" s="121" t="n"/>
      <s:c r="E6059" s="122" t="n"/>
    </s:row>
    <s:row r="6060" hidden="1" ht="1" customHeight="1">
      <s:c r="A6060" s="120" t="inlineStr"/>
      <s:c r="B6060" s="121" t="n"/>
      <s:c r="C6060" s="121" t="n"/>
      <s:c r="D6060" s="121" t="n"/>
      <s:c r="E6060" s="122" t="n"/>
    </s:row>
    <s:row r="6061" hidden="1" ht="1" customHeight="1">
      <s:c r="A6061" s="120" t="inlineStr"/>
      <s:c r="B6061" s="121" t="n"/>
      <s:c r="C6061" s="121" t="n"/>
      <s:c r="D6061" s="121" t="n"/>
      <s:c r="E6061" s="122" t="n"/>
    </s:row>
    <s:row r="6062" hidden="1" ht="1" customHeight="1">
      <s:c r="A6062" s="120" t="inlineStr"/>
      <s:c r="B6062" s="121" t="n"/>
      <s:c r="C6062" s="121" t="n"/>
      <s:c r="D6062" s="121" t="n"/>
      <s:c r="E6062" s="122" t="n"/>
    </s:row>
    <s:row r="6063" hidden="1" ht="1" customHeight="1">
      <s:c r="A6063" s="120" t="inlineStr"/>
      <s:c r="B6063" s="121" t="n"/>
      <s:c r="C6063" s="121" t="n"/>
      <s:c r="D6063" s="121" t="n"/>
      <s:c r="E6063" s="122" t="n"/>
    </s:row>
    <s:row r="6064" hidden="1" ht="1" customHeight="1">
      <s:c r="A6064" s="120" t="inlineStr"/>
      <s:c r="B6064" s="121" t="n"/>
      <s:c r="C6064" s="121" t="n"/>
      <s:c r="D6064" s="121" t="n"/>
      <s:c r="E6064" s="122" t="n"/>
    </s:row>
    <s:row r="6065" hidden="1" ht="1" customHeight="1">
      <s:c r="A6065" s="120" t="inlineStr"/>
      <s:c r="B6065" s="121" t="n"/>
      <s:c r="C6065" s="121" t="n"/>
      <s:c r="D6065" s="121" t="n"/>
      <s:c r="E6065" s="122" t="n"/>
    </s:row>
    <s:row r="6066" hidden="1" ht="1" customHeight="1">
      <s:c r="A6066" s="120" t="inlineStr"/>
      <s:c r="B6066" s="121" t="n"/>
      <s:c r="C6066" s="121" t="n"/>
      <s:c r="D6066" s="121" t="n"/>
      <s:c r="E6066" s="122" t="n"/>
    </s:row>
    <s:row r="6067" hidden="1" ht="1" customHeight="1">
      <s:c r="A6067" s="120" t="inlineStr"/>
      <s:c r="B6067" s="121" t="n"/>
      <s:c r="C6067" s="121" t="n"/>
      <s:c r="D6067" s="121" t="n"/>
      <s:c r="E6067" s="122" t="n"/>
    </s:row>
    <s:row r="6068" hidden="1" ht="1" customHeight="1">
      <s:c r="A6068" s="120" t="inlineStr"/>
      <s:c r="B6068" s="121" t="n"/>
      <s:c r="C6068" s="121" t="n"/>
      <s:c r="D6068" s="121" t="n"/>
      <s:c r="E6068" s="122" t="n"/>
    </s:row>
    <s:row r="6069" hidden="1" ht="1" customHeight="1">
      <s:c r="A6069" s="120" t="inlineStr"/>
      <s:c r="B6069" s="121" t="n"/>
      <s:c r="C6069" s="121" t="n"/>
      <s:c r="D6069" s="121" t="n"/>
      <s:c r="E6069" s="122" t="n"/>
    </s:row>
    <s:row r="6070" hidden="1" ht="1" customHeight="1">
      <s:c r="A6070" s="120" t="inlineStr"/>
      <s:c r="B6070" s="121" t="n"/>
      <s:c r="C6070" s="121" t="n"/>
      <s:c r="D6070" s="121" t="n"/>
      <s:c r="E6070" s="122" t="n"/>
    </s:row>
    <s:row r="6071" hidden="1" ht="1" customHeight="1">
      <s:c r="A6071" s="120" t="inlineStr"/>
      <s:c r="B6071" s="121" t="n"/>
      <s:c r="C6071" s="121" t="n"/>
      <s:c r="D6071" s="121" t="n"/>
      <s:c r="E6071" s="122" t="n"/>
    </s:row>
    <s:row r="6072" hidden="1" ht="1" customHeight="1">
      <s:c r="A6072" s="120" t="inlineStr"/>
      <s:c r="B6072" s="121" t="n"/>
      <s:c r="C6072" s="121" t="n"/>
      <s:c r="D6072" s="121" t="n"/>
      <s:c r="E6072" s="122" t="n"/>
    </s:row>
    <s:row r="6073" hidden="1" ht="1" customHeight="1">
      <s:c r="A6073" s="120" t="inlineStr"/>
      <s:c r="B6073" s="121" t="n"/>
      <s:c r="C6073" s="121" t="n"/>
      <s:c r="D6073" s="121" t="n"/>
      <s:c r="E6073" s="122" t="n"/>
    </s:row>
    <s:row r="6074" hidden="1" ht="1" customHeight="1">
      <s:c r="A6074" s="120" t="inlineStr"/>
      <s:c r="B6074" s="121" t="n"/>
      <s:c r="C6074" s="121" t="n"/>
      <s:c r="D6074" s="121" t="n"/>
      <s:c r="E6074" s="122" t="n"/>
    </s:row>
    <s:row r="6075" hidden="1" ht="1" customHeight="1">
      <s:c r="A6075" s="120" t="inlineStr"/>
      <s:c r="B6075" s="121" t="n"/>
      <s:c r="C6075" s="121" t="n"/>
      <s:c r="D6075" s="121" t="n"/>
      <s:c r="E6075" s="122" t="n"/>
    </s:row>
    <s:row r="6076" hidden="1" ht="1" customHeight="1">
      <s:c r="A6076" s="120" t="inlineStr"/>
      <s:c r="B6076" s="121" t="n"/>
      <s:c r="C6076" s="121" t="n"/>
      <s:c r="D6076" s="121" t="n"/>
      <s:c r="E6076" s="122" t="n"/>
    </s:row>
    <s:row r="6077" hidden="1" ht="1" customHeight="1">
      <s:c r="A6077" s="120" t="inlineStr"/>
      <s:c r="B6077" s="121" t="n"/>
      <s:c r="C6077" s="121" t="n"/>
      <s:c r="D6077" s="121" t="n"/>
      <s:c r="E6077" s="122" t="n"/>
    </s:row>
    <s:row r="6078" hidden="1" ht="1" customHeight="1">
      <s:c r="A6078" s="120" t="inlineStr"/>
      <s:c r="B6078" s="121" t="n"/>
      <s:c r="C6078" s="121" t="n"/>
      <s:c r="D6078" s="121" t="n"/>
      <s:c r="E6078" s="122" t="n"/>
    </s:row>
    <s:row r="6079" hidden="1" ht="1" customHeight="1">
      <s:c r="A6079" s="120" t="inlineStr"/>
      <s:c r="B6079" s="121" t="n"/>
      <s:c r="C6079" s="121" t="n"/>
      <s:c r="D6079" s="121" t="n"/>
      <s:c r="E6079" s="122" t="n"/>
    </s:row>
    <s:row r="6080" hidden="1" ht="1" customHeight="1">
      <s:c r="A6080" s="120" t="inlineStr"/>
      <s:c r="B6080" s="121" t="n"/>
      <s:c r="C6080" s="121" t="n"/>
      <s:c r="D6080" s="121" t="n"/>
      <s:c r="E6080" s="122" t="n"/>
    </s:row>
    <s:row r="6081" hidden="1" ht="1" customHeight="1">
      <s:c r="A6081" s="120" t="inlineStr"/>
      <s:c r="B6081" s="121" t="n"/>
      <s:c r="C6081" s="121" t="n"/>
      <s:c r="D6081" s="121" t="n"/>
      <s:c r="E6081" s="122" t="n"/>
    </s:row>
    <s:row r="6082" hidden="1" ht="1" customHeight="1">
      <s:c r="A6082" s="120" t="inlineStr"/>
      <s:c r="B6082" s="121" t="n"/>
      <s:c r="C6082" s="121" t="n"/>
      <s:c r="D6082" s="121" t="n"/>
      <s:c r="E6082" s="122" t="n"/>
    </s:row>
    <s:row r="6083" hidden="1" ht="1" customHeight="1">
      <s:c r="A6083" s="120" t="inlineStr"/>
      <s:c r="B6083" s="121" t="n"/>
      <s:c r="C6083" s="121" t="n"/>
      <s:c r="D6083" s="121" t="n"/>
      <s:c r="E6083" s="122" t="n"/>
    </s:row>
    <s:row r="6084" hidden="1" ht="1" customHeight="1">
      <s:c r="A6084" s="120" t="inlineStr"/>
      <s:c r="B6084" s="121" t="n"/>
      <s:c r="C6084" s="121" t="n"/>
      <s:c r="D6084" s="121" t="n"/>
      <s:c r="E6084" s="122" t="n"/>
    </s:row>
    <s:row r="6085" hidden="1" ht="1" customHeight="1">
      <s:c r="A6085" s="120" t="inlineStr"/>
      <s:c r="B6085" s="121" t="n"/>
      <s:c r="C6085" s="121" t="n"/>
      <s:c r="D6085" s="121" t="n"/>
      <s:c r="E6085" s="122" t="n"/>
    </s:row>
    <s:row r="6086" hidden="1" ht="1" customHeight="1">
      <s:c r="A6086" s="120" t="inlineStr"/>
      <s:c r="B6086" s="121" t="n"/>
      <s:c r="C6086" s="121" t="n"/>
      <s:c r="D6086" s="121" t="n"/>
      <s:c r="E6086" s="122" t="n"/>
    </s:row>
    <s:row r="6087" hidden="1" ht="1" customHeight="1">
      <s:c r="A6087" s="120" t="inlineStr"/>
      <s:c r="B6087" s="121" t="n"/>
      <s:c r="C6087" s="121" t="n"/>
      <s:c r="D6087" s="121" t="n"/>
      <s:c r="E6087" s="122" t="n"/>
    </s:row>
    <s:row r="6088" hidden="1" ht="1" customHeight="1">
      <s:c r="A6088" s="120" t="inlineStr"/>
      <s:c r="B6088" s="121" t="n"/>
      <s:c r="C6088" s="121" t="n"/>
      <s:c r="D6088" s="121" t="n"/>
      <s:c r="E6088" s="122" t="n"/>
    </s:row>
    <s:row r="6089" hidden="1" ht="1" customHeight="1">
      <s:c r="A6089" s="120" t="inlineStr"/>
      <s:c r="B6089" s="121" t="n"/>
      <s:c r="C6089" s="121" t="n"/>
      <s:c r="D6089" s="121" t="n"/>
      <s:c r="E6089" s="122" t="n"/>
    </s:row>
    <s:row r="6090" hidden="1" ht="1" customHeight="1">
      <s:c r="A6090" s="120" t="inlineStr"/>
      <s:c r="B6090" s="121" t="n"/>
      <s:c r="C6090" s="121" t="n"/>
      <s:c r="D6090" s="121" t="n"/>
      <s:c r="E6090" s="122" t="n"/>
    </s:row>
    <s:row r="6091" hidden="1" ht="1" customHeight="1">
      <s:c r="A6091" s="120" t="inlineStr"/>
      <s:c r="B6091" s="121" t="n"/>
      <s:c r="C6091" s="121" t="n"/>
      <s:c r="D6091" s="121" t="n"/>
      <s:c r="E6091" s="122" t="n"/>
    </s:row>
    <s:row r="6092" hidden="1" ht="1" customHeight="1">
      <s:c r="A6092" s="120" t="inlineStr"/>
      <s:c r="B6092" s="121" t="n"/>
      <s:c r="C6092" s="121" t="n"/>
      <s:c r="D6092" s="121" t="n"/>
      <s:c r="E6092" s="122" t="n"/>
    </s:row>
    <s:row r="6093" hidden="1" ht="1" customHeight="1">
      <s:c r="A6093" s="120" t="inlineStr"/>
      <s:c r="B6093" s="121" t="n"/>
      <s:c r="C6093" s="121" t="n"/>
      <s:c r="D6093" s="121" t="n"/>
      <s:c r="E6093" s="122" t="n"/>
    </s:row>
    <s:row r="6094" hidden="1" ht="1" customHeight="1">
      <s:c r="A6094" s="120" t="inlineStr"/>
      <s:c r="B6094" s="121" t="n"/>
      <s:c r="C6094" s="121" t="n"/>
      <s:c r="D6094" s="121" t="n"/>
      <s:c r="E6094" s="122" t="n"/>
    </s:row>
    <s:row r="6095" hidden="1" ht="1" customHeight="1">
      <s:c r="A6095" s="120" t="inlineStr"/>
      <s:c r="B6095" s="121" t="n"/>
      <s:c r="C6095" s="121" t="n"/>
      <s:c r="D6095" s="121" t="n"/>
      <s:c r="E6095" s="122" t="n"/>
    </s:row>
    <s:row r="6096" hidden="1" ht="1" customHeight="1">
      <s:c r="A6096" s="120" t="inlineStr"/>
      <s:c r="B6096" s="121" t="n"/>
      <s:c r="C6096" s="121" t="n"/>
      <s:c r="D6096" s="121" t="n"/>
      <s:c r="E6096" s="122" t="n"/>
    </s:row>
    <s:row r="6097" hidden="1" ht="1" customHeight="1">
      <s:c r="A6097" s="120" t="inlineStr"/>
      <s:c r="B6097" s="121" t="n"/>
      <s:c r="C6097" s="121" t="n"/>
      <s:c r="D6097" s="121" t="n"/>
      <s:c r="E6097" s="122" t="n"/>
    </s:row>
    <s:row r="6098" hidden="1" ht="1" customHeight="1">
      <s:c r="A6098" s="120" t="inlineStr"/>
      <s:c r="B6098" s="121" t="n"/>
      <s:c r="C6098" s="121" t="n"/>
      <s:c r="D6098" s="121" t="n"/>
      <s:c r="E6098" s="122" t="n"/>
    </s:row>
    <s:row r="6099" hidden="1" ht="1" customHeight="1">
      <s:c r="A6099" s="120" t="inlineStr"/>
      <s:c r="B6099" s="121" t="n"/>
      <s:c r="C6099" s="121" t="n"/>
      <s:c r="D6099" s="121" t="n"/>
      <s:c r="E6099" s="122" t="n"/>
    </s:row>
    <s:row r="6100" hidden="1" ht="1" customHeight="1">
      <s:c r="A6100" s="120" t="inlineStr"/>
      <s:c r="B6100" s="121" t="n"/>
      <s:c r="C6100" s="121" t="n"/>
      <s:c r="D6100" s="121" t="n"/>
      <s:c r="E6100" s="122" t="n"/>
    </s:row>
    <s:row r="6101" hidden="1" ht="1" customHeight="1">
      <s:c r="A6101" s="120" t="inlineStr"/>
      <s:c r="B6101" s="121" t="n"/>
      <s:c r="C6101" s="121" t="n"/>
      <s:c r="D6101" s="121" t="n"/>
      <s:c r="E6101" s="122" t="n"/>
    </s:row>
    <s:row r="6102" hidden="1" ht="1" customHeight="1">
      <s:c r="A6102" s="120" t="inlineStr"/>
      <s:c r="B6102" s="121" t="n"/>
      <s:c r="C6102" s="121" t="n"/>
      <s:c r="D6102" s="121" t="n"/>
      <s:c r="E6102" s="122" t="n"/>
    </s:row>
    <s:row r="6103" hidden="1" ht="1" customHeight="1">
      <s:c r="A6103" s="120" t="inlineStr"/>
      <s:c r="B6103" s="121" t="n"/>
      <s:c r="C6103" s="121" t="n"/>
      <s:c r="D6103" s="121" t="n"/>
      <s:c r="E6103" s="122" t="n"/>
    </s:row>
    <s:row r="6104" hidden="1" ht="1" customHeight="1">
      <s:c r="A6104" s="120" t="inlineStr"/>
      <s:c r="B6104" s="121" t="n"/>
      <s:c r="C6104" s="121" t="n"/>
      <s:c r="D6104" s="121" t="n"/>
      <s:c r="E6104" s="122" t="n"/>
    </s:row>
    <s:row r="6105" hidden="1" ht="1" customHeight="1">
      <s:c r="A6105" s="120" t="inlineStr"/>
      <s:c r="B6105" s="121" t="n"/>
      <s:c r="C6105" s="121" t="n"/>
      <s:c r="D6105" s="121" t="n"/>
      <s:c r="E6105" s="122" t="n"/>
    </s:row>
    <s:row r="6106" hidden="1" ht="1" customHeight="1">
      <s:c r="A6106" s="120" t="inlineStr"/>
      <s:c r="B6106" s="121" t="n"/>
      <s:c r="C6106" s="121" t="n"/>
      <s:c r="D6106" s="121" t="n"/>
      <s:c r="E6106" s="122" t="n"/>
    </s:row>
    <s:row r="6107" hidden="1" ht="1" customHeight="1">
      <s:c r="A6107" s="120" t="inlineStr"/>
      <s:c r="B6107" s="121" t="n"/>
      <s:c r="C6107" s="121" t="n"/>
      <s:c r="D6107" s="121" t="n"/>
      <s:c r="E6107" s="122" t="n"/>
    </s:row>
    <s:row r="6108" hidden="1" ht="1" customHeight="1">
      <s:c r="A6108" s="120" t="inlineStr"/>
      <s:c r="B6108" s="121" t="n"/>
      <s:c r="C6108" s="121" t="n"/>
      <s:c r="D6108" s="121" t="n"/>
      <s:c r="E6108" s="122" t="n"/>
    </s:row>
    <s:row r="6109" hidden="1" ht="1" customHeight="1">
      <s:c r="A6109" s="120" t="inlineStr"/>
      <s:c r="B6109" s="121" t="n"/>
      <s:c r="C6109" s="121" t="n"/>
      <s:c r="D6109" s="121" t="n"/>
      <s:c r="E6109" s="122" t="n"/>
    </s:row>
    <s:row r="6110" hidden="1" ht="1" customHeight="1">
      <s:c r="A6110" s="120" t="inlineStr"/>
      <s:c r="B6110" s="121" t="n"/>
      <s:c r="C6110" s="121" t="n"/>
      <s:c r="D6110" s="121" t="n"/>
      <s:c r="E6110" s="122" t="n"/>
    </s:row>
    <s:row r="6111" hidden="1" ht="1" customHeight="1">
      <s:c r="A6111" s="120" t="inlineStr"/>
      <s:c r="B6111" s="121" t="n"/>
      <s:c r="C6111" s="121" t="n"/>
      <s:c r="D6111" s="121" t="n"/>
      <s:c r="E6111" s="122" t="n"/>
    </s:row>
    <s:row r="6112" hidden="1" ht="1" customHeight="1">
      <s:c r="A6112" s="120" t="inlineStr"/>
      <s:c r="B6112" s="121" t="n"/>
      <s:c r="C6112" s="121" t="n"/>
      <s:c r="D6112" s="121" t="n"/>
      <s:c r="E6112" s="122" t="n"/>
    </s:row>
    <s:row r="6113" hidden="1" ht="1" customHeight="1">
      <s:c r="A6113" s="120" t="inlineStr"/>
      <s:c r="B6113" s="121" t="n"/>
      <s:c r="C6113" s="121" t="n"/>
      <s:c r="D6113" s="121" t="n"/>
      <s:c r="E6113" s="122" t="n"/>
    </s:row>
    <s:row r="6114" hidden="1" ht="1" customHeight="1">
      <s:c r="A6114" s="120" t="inlineStr"/>
      <s:c r="B6114" s="121" t="n"/>
      <s:c r="C6114" s="121" t="n"/>
      <s:c r="D6114" s="121" t="n"/>
      <s:c r="E6114" s="122" t="n"/>
    </s:row>
    <s:row r="6115" hidden="1" ht="1" customHeight="1">
      <s:c r="A6115" s="120" t="inlineStr"/>
      <s:c r="B6115" s="121" t="n"/>
      <s:c r="C6115" s="121" t="n"/>
      <s:c r="D6115" s="121" t="n"/>
      <s:c r="E6115" s="122" t="n"/>
    </s:row>
    <s:row r="6116" hidden="1" ht="1" customHeight="1">
      <s:c r="A6116" s="120" t="inlineStr"/>
      <s:c r="B6116" s="121" t="n"/>
      <s:c r="C6116" s="121" t="n"/>
      <s:c r="D6116" s="121" t="n"/>
      <s:c r="E6116" s="122" t="n"/>
    </s:row>
    <s:row r="6117" hidden="1" ht="1" customHeight="1">
      <s:c r="A6117" s="120" t="inlineStr"/>
      <s:c r="B6117" s="121" t="n"/>
      <s:c r="C6117" s="121" t="n"/>
      <s:c r="D6117" s="121" t="n"/>
      <s:c r="E6117" s="122" t="n"/>
    </s:row>
    <s:row r="6118" hidden="1" ht="1" customHeight="1">
      <s:c r="A6118" s="120" t="inlineStr"/>
      <s:c r="B6118" s="121" t="n"/>
      <s:c r="C6118" s="121" t="n"/>
      <s:c r="D6118" s="121" t="n"/>
      <s:c r="E6118" s="122" t="n"/>
    </s:row>
    <s:row r="6119" hidden="1" ht="1" customHeight="1">
      <s:c r="A6119" s="120" t="inlineStr"/>
      <s:c r="B6119" s="121" t="n"/>
      <s:c r="C6119" s="121" t="n"/>
      <s:c r="D6119" s="121" t="n"/>
      <s:c r="E6119" s="122" t="n"/>
    </s:row>
    <s:row r="6120" hidden="1" ht="1" customHeight="1">
      <s:c r="A6120" s="120" t="inlineStr"/>
      <s:c r="B6120" s="121" t="n"/>
      <s:c r="C6120" s="121" t="n"/>
      <s:c r="D6120" s="121" t="n"/>
      <s:c r="E6120" s="122" t="n"/>
    </s:row>
    <s:row r="6121" hidden="1" ht="1" customHeight="1">
      <s:c r="A6121" s="120" t="inlineStr"/>
      <s:c r="B6121" s="121" t="n"/>
      <s:c r="C6121" s="121" t="n"/>
      <s:c r="D6121" s="121" t="n"/>
      <s:c r="E6121" s="122" t="n"/>
    </s:row>
    <s:row r="6122" hidden="1" ht="1" customHeight="1">
      <s:c r="A6122" s="120" t="inlineStr"/>
      <s:c r="B6122" s="121" t="n"/>
      <s:c r="C6122" s="121" t="n"/>
      <s:c r="D6122" s="121" t="n"/>
      <s:c r="E6122" s="122" t="n"/>
    </s:row>
    <s:row r="6123" hidden="1" ht="1" customHeight="1">
      <s:c r="A6123" s="120" t="inlineStr"/>
      <s:c r="B6123" s="121" t="n"/>
      <s:c r="C6123" s="121" t="n"/>
      <s:c r="D6123" s="121" t="n"/>
      <s:c r="E6123" s="122" t="n"/>
    </s:row>
    <s:row r="6124" hidden="1" ht="1" customHeight="1">
      <s:c r="A6124" s="120" t="inlineStr"/>
      <s:c r="B6124" s="121" t="n"/>
      <s:c r="C6124" s="121" t="n"/>
      <s:c r="D6124" s="121" t="n"/>
      <s:c r="E6124" s="122" t="n"/>
    </s:row>
    <s:row r="6125" hidden="1" ht="1" customHeight="1">
      <s:c r="A6125" s="120" t="inlineStr"/>
      <s:c r="B6125" s="121" t="n"/>
      <s:c r="C6125" s="121" t="n"/>
      <s:c r="D6125" s="121" t="n"/>
      <s:c r="E6125" s="122" t="n"/>
    </s:row>
    <s:row r="6126" hidden="1" ht="1" customHeight="1">
      <s:c r="A6126" s="120" t="inlineStr"/>
      <s:c r="B6126" s="121" t="n"/>
      <s:c r="C6126" s="121" t="n"/>
      <s:c r="D6126" s="121" t="n"/>
      <s:c r="E6126" s="122" t="n"/>
    </s:row>
    <s:row r="6127" hidden="1" ht="1" customHeight="1">
      <s:c r="A6127" s="120" t="inlineStr"/>
      <s:c r="B6127" s="121" t="n"/>
      <s:c r="C6127" s="121" t="n"/>
      <s:c r="D6127" s="121" t="n"/>
      <s:c r="E6127" s="122" t="n"/>
    </s:row>
    <s:row r="6128" hidden="1" ht="1" customHeight="1">
      <s:c r="A6128" s="120" t="inlineStr"/>
      <s:c r="B6128" s="121" t="n"/>
      <s:c r="C6128" s="121" t="n"/>
      <s:c r="D6128" s="121" t="n"/>
      <s:c r="E6128" s="122" t="n"/>
    </s:row>
    <s:row r="6129" hidden="1" ht="1" customHeight="1">
      <s:c r="A6129" s="120" t="inlineStr"/>
      <s:c r="B6129" s="121" t="n"/>
      <s:c r="C6129" s="121" t="n"/>
      <s:c r="D6129" s="121" t="n"/>
      <s:c r="E6129" s="122" t="n"/>
    </s:row>
    <s:row r="6130" hidden="1" ht="1" customHeight="1">
      <s:c r="A6130" s="120" t="inlineStr"/>
      <s:c r="B6130" s="121" t="n"/>
      <s:c r="C6130" s="121" t="n"/>
      <s:c r="D6130" s="121" t="n"/>
      <s:c r="E6130" s="122" t="n"/>
    </s:row>
    <s:row r="6131" hidden="1" ht="1" customHeight="1">
      <s:c r="A6131" s="120" t="inlineStr"/>
      <s:c r="B6131" s="121" t="n"/>
      <s:c r="C6131" s="121" t="n"/>
      <s:c r="D6131" s="121" t="n"/>
      <s:c r="E6131" s="122" t="n"/>
    </s:row>
    <s:row r="6132" hidden="1" ht="1" customHeight="1">
      <s:c r="A6132" s="120" t="inlineStr"/>
      <s:c r="B6132" s="121" t="n"/>
      <s:c r="C6132" s="121" t="n"/>
      <s:c r="D6132" s="121" t="n"/>
      <s:c r="E6132" s="122" t="n"/>
    </s:row>
    <s:row r="6133" hidden="1" ht="1" customHeight="1">
      <s:c r="A6133" s="120" t="inlineStr"/>
      <s:c r="B6133" s="121" t="n"/>
      <s:c r="C6133" s="121" t="n"/>
      <s:c r="D6133" s="121" t="n"/>
      <s:c r="E6133" s="122" t="n"/>
    </s:row>
    <s:row r="6134" hidden="1" ht="1" customHeight="1">
      <s:c r="A6134" s="120" t="inlineStr"/>
      <s:c r="B6134" s="121" t="n"/>
      <s:c r="C6134" s="121" t="n"/>
      <s:c r="D6134" s="121" t="n"/>
      <s:c r="E6134" s="122" t="n"/>
    </s:row>
    <s:row r="6135" hidden="1" ht="1" customHeight="1">
      <s:c r="A6135" s="120" t="inlineStr"/>
      <s:c r="B6135" s="121" t="n"/>
      <s:c r="C6135" s="121" t="n"/>
      <s:c r="D6135" s="121" t="n"/>
      <s:c r="E6135" s="122" t="n"/>
    </s:row>
    <s:row r="6136" hidden="1" ht="1" customHeight="1">
      <s:c r="A6136" s="120" t="inlineStr"/>
      <s:c r="B6136" s="121" t="n"/>
      <s:c r="C6136" s="121" t="n"/>
      <s:c r="D6136" s="121" t="n"/>
      <s:c r="E6136" s="122" t="n"/>
    </s:row>
    <s:row r="6137" hidden="1" ht="1" customHeight="1">
      <s:c r="A6137" s="120" t="inlineStr"/>
      <s:c r="B6137" s="121" t="n"/>
      <s:c r="C6137" s="121" t="n"/>
      <s:c r="D6137" s="121" t="n"/>
      <s:c r="E6137" s="122" t="n"/>
    </s:row>
    <s:row r="6138" hidden="1" ht="1" customHeight="1">
      <s:c r="A6138" s="120" t="inlineStr"/>
      <s:c r="B6138" s="121" t="n"/>
      <s:c r="C6138" s="121" t="n"/>
      <s:c r="D6138" s="121" t="n"/>
      <s:c r="E6138" s="122" t="n"/>
    </s:row>
    <s:row r="6139" hidden="1" ht="1" customHeight="1">
      <s:c r="A6139" s="120" t="inlineStr"/>
      <s:c r="B6139" s="121" t="n"/>
      <s:c r="C6139" s="121" t="n"/>
      <s:c r="D6139" s="121" t="n"/>
      <s:c r="E6139" s="122" t="n"/>
    </s:row>
    <s:row r="6140" hidden="1" ht="1" customHeight="1">
      <s:c r="A6140" s="120" t="inlineStr"/>
      <s:c r="B6140" s="121" t="n"/>
      <s:c r="C6140" s="121" t="n"/>
      <s:c r="D6140" s="121" t="n"/>
      <s:c r="E6140" s="122" t="n"/>
    </s:row>
    <s:row r="6141" hidden="1" ht="1" customHeight="1">
      <s:c r="A6141" s="120" t="inlineStr"/>
      <s:c r="B6141" s="121" t="n"/>
      <s:c r="C6141" s="121" t="n"/>
      <s:c r="D6141" s="121" t="n"/>
      <s:c r="E6141" s="122" t="n"/>
    </s:row>
    <s:row r="6142" hidden="1" ht="1" customHeight="1">
      <s:c r="A6142" s="83" t="inlineStr">
        <s:is>
          <s:t>PASS</s:t>
        </s:is>
      </s:c>
      <s:c r="B6142" s="83">
        <s:f>SUM(IF(EXACT('Kiểm thử'!E5992,"Đạt"),1,0),IF(EXACT('Kiểm thử'!E5994,"Đạt"),1,0),IF(EXACT('Kiểm thử'!E5996,"Đạt"),1,0))</s:f>
        <s:v/>
      </s:c>
      <s:c r="C6142" s="19" t="n"/>
      <s:c r="D6142" s="19" t="n"/>
      <s:c r="E6142" s="19" t="n"/>
    </s:row>
    <s:row r="6143" hidden="1" ht="1" customHeight="1">
      <s:c r="A6143" s="83" t="inlineStr">
        <s:is>
          <s:t>FAIL</s:t>
        </s:is>
      </s:c>
      <s:c r="B6143" s="83">
        <s:f>SUM(IF(EXACT('Kiểm thử'!E5992,"Không đạt"),1,0),IF(EXACT('Kiểm thử'!E5994,"Không đạt"),1,0),IF(EXACT('Kiểm thử'!E5996,"Không đạt"),1,0))</s:f>
        <s:v/>
      </s:c>
      <s:c r="C6143" s="19" t="n"/>
      <s:c r="D6143" s="19" t="n"/>
      <s:c r="E6143" s="19" t="n"/>
    </s:row>
    <s:row r="6144" hidden="1" ht="1" customHeight="1">
      <s:c r="A6144" s="83" t="inlineStr">
        <s:is>
          <s:t>BLOCKED</s:t>
        </s:is>
      </s:c>
      <s:c r="B6144" s="83">
        <s:f>SUM(IF(EXACT('Kiểm thử'!E5992,"Bị chặn"),1,0),IF(EXACT('Kiểm thử'!E5994,"Bị chặn"),1,0),IF(EXACT('Kiểm thử'!E5996,"Bị chặn"),1,0))</s:f>
        <s:v/>
      </s:c>
      <s:c r="C6144" s="19" t="n"/>
      <s:c r="D6144" s="19" t="n"/>
      <s:c r="E6144" s="19" t="n"/>
    </s:row>
    <s:row r="6145" hidden="1" ht="1" customHeight="1">
      <s:c r="A6145" s="83" t="inlineStr">
        <s:is>
          <s:t>SKIPPED</s:t>
        </s:is>
      </s:c>
      <s:c r="B6145" s="83">
        <s:f>SUM(IF(EXACT('Kiểm thử'!E5992,"Không thực hiện"),1,0),IF(EXACT('Kiểm thử'!E5994,"Không thực hiện"),1,0),IF(EXACT('Kiểm thử'!E5996,"Không thực hiện"),1,0))</s:f>
        <s:v/>
      </s:c>
      <s:c r="C6145" s="19" t="n"/>
      <s:c r="D6145" s="19" t="n"/>
      <s:c r="E6145" s="19" t="n"/>
    </s:row>
    <s:row r="6146" hidden="1" ht="1" customHeight="1">
      <s:c r="A6146" s="83" t="inlineStr">
        <s:is>
          <s:t>NOT RUN</s:t>
        </s:is>
      </s:c>
      <s:c r="B6146" s="83">
        <s:f>SUM(IF(EXACT('Kiểm thử'!E5992,"Chưa thực hiện"),1,0),IF(EXACT('Kiểm thử'!E5994,"Chưa thực hiện"),1,0),IF(EXACT('Kiểm thử'!E5996,"Chưa thực hiện"),1,0))</s:f>
        <s:v/>
      </s:c>
      <s:c r="C6146" s="19" t="n"/>
      <s:c r="D6146" s="19" t="n"/>
      <s:c r="E6146" s="19" t="n"/>
    </s:row>
    <s:row r="6147" hidden="1" ht="6" customHeight="1">
      <s:c r="A6147" s="83" t="inlineStr"/>
      <s:c r="B6147" s="19" t="n"/>
      <s:c r="C6147" s="19" t="n"/>
      <s:c r="D6147" s="19" t="n"/>
      <s:c r="E6147" s="19" t="n"/>
    </s:row>
    <s:row r="6148" ht="28" customHeight="1">
      <s:c r="A6148" s="108" t="inlineStr">
        <s:is>
          <s:t>TC-RS-CALC-003 — Điểm thập phân sát ngưỡng</s:t>
        </s:is>
      </s:c>
      <s:c r="B6148" s="111" t="n"/>
      <s:c r="C6148" s="111" t="n"/>
      <s:c r="D6148" s="111" t="n"/>
      <s:c r="E6148" s="111" t="n"/>
    </s:row>
    <s:row r="6149" ht="20" customHeight="1">
      <s:c r="A6149" s="112" t="inlineStr">
        <s:is>
          <s:t>Kết quả tình huống</s:t>
        </s:is>
      </s:c>
      <s:c r="B6149" s="113">
        <s:f>IF(SUM(IF(EXACT('Kiểm thử'!E6156,"Không đạt"),1,0),IF(EXACT('Kiểm thử'!E6158,"Không đạt"),1,0))&gt;0,"Không đạt",IF(SUM(IF(EXACT('Kiểm thử'!E6156,"Đạt"),1,0),IF(EXACT('Kiểm thử'!E6158,"Đạt"),1,0))=2,"Đạt",IF(SUM(IF(EXACT('Kiểm thử'!E6156,"Không thực hiện"),1,0),IF(EXACT('Kiểm thử'!E6158,"Không thực hiện"),1,0))=2,"Không thực hiện",IF(SUM(IF(EXACT('Kiểm thử'!E6156,"Bị chặn"),1,0),IF(EXACT('Kiểm thử'!E6158,"Bị chặn"),1,0))&gt;0,"Bị chặn",IF(SUM(IF(EXACT('Kiểm thử'!E6156,"Chưa thực hiện"),1,0),IF(EXACT('Kiểm thử'!E6158,"Chưa thực hiện"),1,0))=2,"Chưa thực hiện","Đang thực hiện")))))</s:f>
        <s:v/>
      </s:c>
      <s:c r="C6149" s="114" t="n"/>
      <s:c r="D6149" s="114" t="n"/>
      <s:c r="E6149" s="114" t="n"/>
    </s:row>
    <s:row r="6150" ht="20" customHeight="1">
      <s:c r="A6150" s="112" t="inlineStr">
        <s:is>
          <s:t>Màn hình / chức năng</s:t>
        </s:is>
      </s:c>
      <s:c r="B6150" s="113" t="inlineStr">
        <s:is>
          <s:r>
            <s:rPr>
              <s:b val="1"/>
            </s:rPr>
            <s:t>Thiết lập ngưỡng（基準設定）</s:t>
          </s:r>
        </s:is>
      </s:c>
      <s:c r="C6150" s="28" t="n"/>
      <s:c r="D6150" s="28" t="n"/>
      <s:c r="E6150" s="28" t="n"/>
    </s:row>
    <s:row r="6151" ht="34" customHeight="1">
      <s:c r="A6151" s="112" t="inlineStr">
        <s:is>
          <s:t>Cấu hình</s:t>
        </s:is>
      </s:c>
      <s:c r="B6151" s="113" t="inlineStr">
        <s:is>
          <s:r>
            <s:t>• Mục số thập phân (</s:t>
          </s:r>
          <s:r>
            <s:rPr>
              <s:b val="1"/>
            </s:rPr>
            <s:t>M=100</s:t>
          </s:r>
          <s:r>
            <s:t xml:space="preserve">) (thập phân, </s:t>
          </s:r>
          <s:r>
            <s:rPr>
              <s:b val="1"/>
            </s:rPr>
            <s:t>M=100</s:t>
          </s:r>
          <s:r>
            <s:t>);
• Cố định 30.</s:t>
          </s:r>
        </s:is>
      </s:c>
      <s:c r="C6151" s="28" t="n"/>
      <s:c r="D6151" s="28" t="n"/>
      <s:c r="E6151" s="28" t="n"/>
    </s:row>
    <s:row r="6152" ht="34" customHeight="1">
      <s:c r="A6152" s="112" t="inlineStr">
        <s:is>
          <s:t>Dữ liệu test</s:t>
        </s:is>
      </s:c>
      <s:c r="B6152" s="113" t="inlineStr">
        <s:is>
          <s:r>
            <s:t>• Mục số thập phân (</s:t>
          </s:r>
          <s:r>
            <s:rPr>
              <s:b val="1"/>
            </s:rPr>
            <s:t>M=100</s:t>
          </s:r>
          <s:r>
            <s:t>);
• S = 29.5, 29.9, 30.0, 30.01</s:t>
          </s:r>
        </s:is>
      </s:c>
      <s:c r="C6152" s="28" t="n"/>
      <s:c r="D6152" s="28" t="n"/>
      <s:c r="E6152" s="28" t="n"/>
    </s:row>
    <s:row r="6153" ht="20" customHeight="1">
      <s:c r="A6153" s="112" t="inlineStr">
        <s:is>
          <s:t>•</s:t>
        </s:is>
      </s:c>
      <s:c r="B6153" s="113" t="inlineStr">
        <s:is>
          <s:t>Đăng ký bốn học sinh với các điểm trên; xét với [&lt;] rồi [≤].</s:t>
        </s:is>
      </s:c>
      <s:c r="C6153" s="28" t="n"/>
      <s:c r="D6153" s="28" t="n"/>
      <s:c r="E6153" s="28" t="n"/>
    </s:row>
    <s:row r="6154" ht="28" customHeight="1">
      <s:c r="A6154" s="115" t="inlineStr">
        <s:is>
          <s:t>Trường hợp</s:t>
        </s:is>
      </s:c>
      <s:c r="B6154" s="115" t="inlineStr">
        <s:is>
          <s:t>Dữ liệu / thao tác riêng</s:t>
        </s:is>
      </s:c>
      <s:c r="C6154" s="115" t="inlineStr">
        <s:is>
          <s:t>Kết quả mong đợi</s:t>
        </s:is>
      </s:c>
      <s:c r="D6154" s="115" t="inlineStr">
        <s:is>
          <s:t>Kết quả thực tế</s:t>
        </s:is>
      </s:c>
      <s:c r="E6154" s="115" t="inlineStr">
        <s:is>
          <s:t>Đánh giá</s:t>
        </s:is>
      </s:c>
    </s:row>
    <s:row r="6155" ht="3" customHeight="1">
      <s:c r="A6155" s="102" t="inlineStr"/>
      <s:c r="B6155" s="99" t="n"/>
      <s:c r="C6155" s="99" t="n"/>
      <s:c r="D6155" s="116" t="n"/>
      <s:c r="E6155" s="116" t="n"/>
    </s:row>
    <s:row r="6156" ht="34" customHeight="1">
      <s:c r="A6156" s="83" t="inlineStr">
        <s:is>
          <s:t>Nhỏ hơn (lt)</s:t>
        </s:is>
      </s:c>
      <s:c r="B6156" s="83" t="inlineStr">
        <s:is>
          <s:t>Dấu nhỏ hơn, cả bốn điểm</s:t>
        </s:is>
      </s:c>
      <s:c r="C6156" s="83" t="inlineStr">
        <s:is>
          <s:r>
            <s:t xml:space="preserve">[&lt;]: 29.5 </s:t>
          </s:r>
          <s:r>
            <s:rPr>
              <s:b val="1"/>
            </s:rPr>
            <s:t>Đỏ</s:t>
          </s:r>
          <s:r>
            <s:t xml:space="preserve">; 29.9 </s:t>
          </s:r>
          <s:r>
            <s:rPr>
              <s:b val="1"/>
            </s:rPr>
            <s:t>Đỏ</s:t>
          </s:r>
          <s:r>
            <s:t xml:space="preserve">; 30.0 </s:t>
          </s:r>
          <s:r>
            <s:rPr>
              <s:b val="1"/>
            </s:rPr>
            <s:t>Không đỏ</s:t>
          </s:r>
          <s:r>
            <s:t xml:space="preserve">; 30.01 </s:t>
          </s:r>
          <s:r>
            <s:rPr>
              <s:b val="1"/>
            </s:rPr>
            <s:t>Không đỏ</s:t>
          </s:r>
          <s:r>
            <s:t>.</s:t>
          </s:r>
        </s:is>
      </s:c>
      <s:c r="D6156" s="117" t="inlineStr"/>
      <s:c r="E6156" s="118" t="inlineStr">
        <s:is>
          <s:t>Chưa thực hiện</s:t>
        </s:is>
      </s:c>
    </s:row>
    <s:row r="6157" ht="3" customHeight="1">
      <s:c r="A6157" s="102" t="inlineStr"/>
      <s:c r="B6157" s="99" t="n"/>
      <s:c r="C6157" s="99" t="n"/>
      <s:c r="D6157" s="116" t="n"/>
      <s:c r="E6157" s="116" t="n"/>
    </s:row>
    <s:row r="6158" ht="34" customHeight="1">
      <s:c r="A6158" s="83" t="inlineStr">
        <s:is>
          <s:t>Nhỏ hơn hoặc bằng (le)</s:t>
        </s:is>
      </s:c>
      <s:c r="B6158" s="83" t="inlineStr">
        <s:is>
          <s:t>Dấu nhỏ hơn hoặc bằng, cả bốn điểm</s:t>
        </s:is>
      </s:c>
      <s:c r="C6158" s="83" t="inlineStr">
        <s:is>
          <s:r>
            <s:t xml:space="preserve">[≤]: 29.5 </s:t>
          </s:r>
          <s:r>
            <s:rPr>
              <s:b val="1"/>
            </s:rPr>
            <s:t>Đỏ</s:t>
          </s:r>
          <s:r>
            <s:t xml:space="preserve">; 29.9 </s:t>
          </s:r>
          <s:r>
            <s:rPr>
              <s:b val="1"/>
            </s:rPr>
            <s:t>Đỏ</s:t>
          </s:r>
          <s:r>
            <s:t xml:space="preserve">; 30.0 </s:t>
          </s:r>
          <s:r>
            <s:rPr>
              <s:b val="1"/>
            </s:rPr>
            <s:t>Đỏ</s:t>
          </s:r>
          <s:r>
            <s:t xml:space="preserve">; 30.01 </s:t>
          </s:r>
          <s:r>
            <s:rPr>
              <s:b val="1"/>
            </s:rPr>
            <s:t>Không đỏ</s:t>
          </s:r>
          <s:r>
            <s:t>.</s:t>
          </s:r>
        </s:is>
      </s:c>
      <s:c r="D6158" s="117" t="inlineStr"/>
      <s:c r="E6158" s="118" t="inlineStr">
        <s:is>
          <s:t>Chưa thực hiện</s:t>
        </s:is>
      </s:c>
    </s:row>
    <s:row r="6159" ht="20" customHeight="1">
      <s:c r="A6159" s="119" t="inlineStr">
        <s:is>
          <s:t>Ảnh minh chứng — Chưa có ảnh</s:t>
        </s:is>
      </s:c>
      <s:c r="B6159" s="19" t="n"/>
      <s:c r="C6159" s="19" t="n"/>
      <s:c r="D6159" s="19" t="n"/>
      <s:c r="E6159" s="19" t="n"/>
    </s:row>
    <s:row r="6160" hidden="1" ht="1" customHeight="1">
      <s:c r="A6160" s="120" t="inlineStr"/>
      <s:c r="B6160" s="121" t="n"/>
      <s:c r="C6160" s="121" t="n"/>
      <s:c r="D6160" s="121" t="n"/>
      <s:c r="E6160" s="122" t="n"/>
    </s:row>
    <s:row r="6161" hidden="1" ht="1" customHeight="1">
      <s:c r="A6161" s="120" t="inlineStr"/>
      <s:c r="B6161" s="121" t="n"/>
      <s:c r="C6161" s="121" t="n"/>
      <s:c r="D6161" s="121" t="n"/>
      <s:c r="E6161" s="122" t="n"/>
    </s:row>
    <s:row r="6162" hidden="1" ht="1" customHeight="1">
      <s:c r="A6162" s="120" t="inlineStr"/>
      <s:c r="B6162" s="121" t="n"/>
      <s:c r="C6162" s="121" t="n"/>
      <s:c r="D6162" s="121" t="n"/>
      <s:c r="E6162" s="122" t="n"/>
    </s:row>
    <s:row r="6163" hidden="1" ht="1" customHeight="1">
      <s:c r="A6163" s="120" t="inlineStr"/>
      <s:c r="B6163" s="121" t="n"/>
      <s:c r="C6163" s="121" t="n"/>
      <s:c r="D6163" s="121" t="n"/>
      <s:c r="E6163" s="122" t="n"/>
    </s:row>
    <s:row r="6164" hidden="1" ht="1" customHeight="1">
      <s:c r="A6164" s="120" t="inlineStr"/>
      <s:c r="B6164" s="121" t="n"/>
      <s:c r="C6164" s="121" t="n"/>
      <s:c r="D6164" s="121" t="n"/>
      <s:c r="E6164" s="122" t="n"/>
    </s:row>
    <s:row r="6165" hidden="1" ht="1" customHeight="1">
      <s:c r="A6165" s="120" t="inlineStr"/>
      <s:c r="B6165" s="121" t="n"/>
      <s:c r="C6165" s="121" t="n"/>
      <s:c r="D6165" s="121" t="n"/>
      <s:c r="E6165" s="122" t="n"/>
    </s:row>
    <s:row r="6166" hidden="1" ht="1" customHeight="1">
      <s:c r="A6166" s="120" t="inlineStr"/>
      <s:c r="B6166" s="121" t="n"/>
      <s:c r="C6166" s="121" t="n"/>
      <s:c r="D6166" s="121" t="n"/>
      <s:c r="E6166" s="122" t="n"/>
    </s:row>
    <s:row r="6167" hidden="1" ht="1" customHeight="1">
      <s:c r="A6167" s="120" t="inlineStr"/>
      <s:c r="B6167" s="121" t="n"/>
      <s:c r="C6167" s="121" t="n"/>
      <s:c r="D6167" s="121" t="n"/>
      <s:c r="E6167" s="122" t="n"/>
    </s:row>
    <s:row r="6168" hidden="1" ht="1" customHeight="1">
      <s:c r="A6168" s="120" t="inlineStr"/>
      <s:c r="B6168" s="121" t="n"/>
      <s:c r="C6168" s="121" t="n"/>
      <s:c r="D6168" s="121" t="n"/>
      <s:c r="E6168" s="122" t="n"/>
    </s:row>
    <s:row r="6169" hidden="1" ht="1" customHeight="1">
      <s:c r="A6169" s="120" t="inlineStr"/>
      <s:c r="B6169" s="121" t="n"/>
      <s:c r="C6169" s="121" t="n"/>
      <s:c r="D6169" s="121" t="n"/>
      <s:c r="E6169" s="122" t="n"/>
    </s:row>
    <s:row r="6170" hidden="1" ht="1" customHeight="1">
      <s:c r="A6170" s="120" t="inlineStr"/>
      <s:c r="B6170" s="121" t="n"/>
      <s:c r="C6170" s="121" t="n"/>
      <s:c r="D6170" s="121" t="n"/>
      <s:c r="E6170" s="122" t="n"/>
    </s:row>
    <s:row r="6171" hidden="1" ht="1" customHeight="1">
      <s:c r="A6171" s="120" t="inlineStr"/>
      <s:c r="B6171" s="121" t="n"/>
      <s:c r="C6171" s="121" t="n"/>
      <s:c r="D6171" s="121" t="n"/>
      <s:c r="E6171" s="122" t="n"/>
    </s:row>
    <s:row r="6172" hidden="1" ht="1" customHeight="1">
      <s:c r="A6172" s="120" t="inlineStr"/>
      <s:c r="B6172" s="121" t="n"/>
      <s:c r="C6172" s="121" t="n"/>
      <s:c r="D6172" s="121" t="n"/>
      <s:c r="E6172" s="122" t="n"/>
    </s:row>
    <s:row r="6173" hidden="1" ht="1" customHeight="1">
      <s:c r="A6173" s="120" t="inlineStr"/>
      <s:c r="B6173" s="121" t="n"/>
      <s:c r="C6173" s="121" t="n"/>
      <s:c r="D6173" s="121" t="n"/>
      <s:c r="E6173" s="122" t="n"/>
    </s:row>
    <s:row r="6174" hidden="1" ht="1" customHeight="1">
      <s:c r="A6174" s="120" t="inlineStr"/>
      <s:c r="B6174" s="121" t="n"/>
      <s:c r="C6174" s="121" t="n"/>
      <s:c r="D6174" s="121" t="n"/>
      <s:c r="E6174" s="122" t="n"/>
    </s:row>
    <s:row r="6175" hidden="1" ht="1" customHeight="1">
      <s:c r="A6175" s="120" t="inlineStr"/>
      <s:c r="B6175" s="121" t="n"/>
      <s:c r="C6175" s="121" t="n"/>
      <s:c r="D6175" s="121" t="n"/>
      <s:c r="E6175" s="122" t="n"/>
    </s:row>
    <s:row r="6176" hidden="1" ht="1" customHeight="1">
      <s:c r="A6176" s="120" t="inlineStr"/>
      <s:c r="B6176" s="121" t="n"/>
      <s:c r="C6176" s="121" t="n"/>
      <s:c r="D6176" s="121" t="n"/>
      <s:c r="E6176" s="122" t="n"/>
    </s:row>
    <s:row r="6177" hidden="1" ht="1" customHeight="1">
      <s:c r="A6177" s="120" t="inlineStr"/>
      <s:c r="B6177" s="121" t="n"/>
      <s:c r="C6177" s="121" t="n"/>
      <s:c r="D6177" s="121" t="n"/>
      <s:c r="E6177" s="122" t="n"/>
    </s:row>
    <s:row r="6178" hidden="1" ht="1" customHeight="1">
      <s:c r="A6178" s="120" t="inlineStr"/>
      <s:c r="B6178" s="121" t="n"/>
      <s:c r="C6178" s="121" t="n"/>
      <s:c r="D6178" s="121" t="n"/>
      <s:c r="E6178" s="122" t="n"/>
    </s:row>
    <s:row r="6179" hidden="1" ht="1" customHeight="1">
      <s:c r="A6179" s="120" t="inlineStr"/>
      <s:c r="B6179" s="121" t="n"/>
      <s:c r="C6179" s="121" t="n"/>
      <s:c r="D6179" s="121" t="n"/>
      <s:c r="E6179" s="122" t="n"/>
    </s:row>
    <s:row r="6180" hidden="1" ht="1" customHeight="1">
      <s:c r="A6180" s="120" t="inlineStr"/>
      <s:c r="B6180" s="121" t="n"/>
      <s:c r="C6180" s="121" t="n"/>
      <s:c r="D6180" s="121" t="n"/>
      <s:c r="E6180" s="122" t="n"/>
    </s:row>
    <s:row r="6181" hidden="1" ht="1" customHeight="1">
      <s:c r="A6181" s="120" t="inlineStr"/>
      <s:c r="B6181" s="121" t="n"/>
      <s:c r="C6181" s="121" t="n"/>
      <s:c r="D6181" s="121" t="n"/>
      <s:c r="E6181" s="122" t="n"/>
    </s:row>
    <s:row r="6182" hidden="1" ht="1" customHeight="1">
      <s:c r="A6182" s="120" t="inlineStr"/>
      <s:c r="B6182" s="121" t="n"/>
      <s:c r="C6182" s="121" t="n"/>
      <s:c r="D6182" s="121" t="n"/>
      <s:c r="E6182" s="122" t="n"/>
    </s:row>
    <s:row r="6183" hidden="1" ht="1" customHeight="1">
      <s:c r="A6183" s="120" t="inlineStr"/>
      <s:c r="B6183" s="121" t="n"/>
      <s:c r="C6183" s="121" t="n"/>
      <s:c r="D6183" s="121" t="n"/>
      <s:c r="E6183" s="122" t="n"/>
    </s:row>
    <s:row r="6184" hidden="1" ht="1" customHeight="1">
      <s:c r="A6184" s="120" t="inlineStr"/>
      <s:c r="B6184" s="121" t="n"/>
      <s:c r="C6184" s="121" t="n"/>
      <s:c r="D6184" s="121" t="n"/>
      <s:c r="E6184" s="122" t="n"/>
    </s:row>
    <s:row r="6185" hidden="1" ht="1" customHeight="1">
      <s:c r="A6185" s="120" t="inlineStr"/>
      <s:c r="B6185" s="121" t="n"/>
      <s:c r="C6185" s="121" t="n"/>
      <s:c r="D6185" s="121" t="n"/>
      <s:c r="E6185" s="122" t="n"/>
    </s:row>
    <s:row r="6186" hidden="1" ht="1" customHeight="1">
      <s:c r="A6186" s="120" t="inlineStr"/>
      <s:c r="B6186" s="121" t="n"/>
      <s:c r="C6186" s="121" t="n"/>
      <s:c r="D6186" s="121" t="n"/>
      <s:c r="E6186" s="122" t="n"/>
    </s:row>
    <s:row r="6187" hidden="1" ht="1" customHeight="1">
      <s:c r="A6187" s="120" t="inlineStr"/>
      <s:c r="B6187" s="121" t="n"/>
      <s:c r="C6187" s="121" t="n"/>
      <s:c r="D6187" s="121" t="n"/>
      <s:c r="E6187" s="122" t="n"/>
    </s:row>
    <s:row r="6188" hidden="1" ht="1" customHeight="1">
      <s:c r="A6188" s="120" t="inlineStr"/>
      <s:c r="B6188" s="121" t="n"/>
      <s:c r="C6188" s="121" t="n"/>
      <s:c r="D6188" s="121" t="n"/>
      <s:c r="E6188" s="122" t="n"/>
    </s:row>
    <s:row r="6189" hidden="1" ht="1" customHeight="1">
      <s:c r="A6189" s="120" t="inlineStr"/>
      <s:c r="B6189" s="121" t="n"/>
      <s:c r="C6189" s="121" t="n"/>
      <s:c r="D6189" s="121" t="n"/>
      <s:c r="E6189" s="122" t="n"/>
    </s:row>
    <s:row r="6190" hidden="1" ht="1" customHeight="1">
      <s:c r="A6190" s="120" t="inlineStr"/>
      <s:c r="B6190" s="121" t="n"/>
      <s:c r="C6190" s="121" t="n"/>
      <s:c r="D6190" s="121" t="n"/>
      <s:c r="E6190" s="122" t="n"/>
    </s:row>
    <s:row r="6191" hidden="1" ht="1" customHeight="1">
      <s:c r="A6191" s="120" t="inlineStr"/>
      <s:c r="B6191" s="121" t="n"/>
      <s:c r="C6191" s="121" t="n"/>
      <s:c r="D6191" s="121" t="n"/>
      <s:c r="E6191" s="122" t="n"/>
    </s:row>
    <s:row r="6192" hidden="1" ht="1" customHeight="1">
      <s:c r="A6192" s="120" t="inlineStr"/>
      <s:c r="B6192" s="121" t="n"/>
      <s:c r="C6192" s="121" t="n"/>
      <s:c r="D6192" s="121" t="n"/>
      <s:c r="E6192" s="122" t="n"/>
    </s:row>
    <s:row r="6193" hidden="1" ht="1" customHeight="1">
      <s:c r="A6193" s="120" t="inlineStr"/>
      <s:c r="B6193" s="121" t="n"/>
      <s:c r="C6193" s="121" t="n"/>
      <s:c r="D6193" s="121" t="n"/>
      <s:c r="E6193" s="122" t="n"/>
    </s:row>
    <s:row r="6194" hidden="1" ht="1" customHeight="1">
      <s:c r="A6194" s="120" t="inlineStr"/>
      <s:c r="B6194" s="121" t="n"/>
      <s:c r="C6194" s="121" t="n"/>
      <s:c r="D6194" s="121" t="n"/>
      <s:c r="E6194" s="122" t="n"/>
    </s:row>
    <s:row r="6195" hidden="1" ht="1" customHeight="1">
      <s:c r="A6195" s="120" t="inlineStr"/>
      <s:c r="B6195" s="121" t="n"/>
      <s:c r="C6195" s="121" t="n"/>
      <s:c r="D6195" s="121" t="n"/>
      <s:c r="E6195" s="122" t="n"/>
    </s:row>
    <s:row r="6196" hidden="1" ht="1" customHeight="1">
      <s:c r="A6196" s="120" t="inlineStr"/>
      <s:c r="B6196" s="121" t="n"/>
      <s:c r="C6196" s="121" t="n"/>
      <s:c r="D6196" s="121" t="n"/>
      <s:c r="E6196" s="122" t="n"/>
    </s:row>
    <s:row r="6197" hidden="1" ht="1" customHeight="1">
      <s:c r="A6197" s="120" t="inlineStr"/>
      <s:c r="B6197" s="121" t="n"/>
      <s:c r="C6197" s="121" t="n"/>
      <s:c r="D6197" s="121" t="n"/>
      <s:c r="E6197" s="122" t="n"/>
    </s:row>
    <s:row r="6198" hidden="1" ht="1" customHeight="1">
      <s:c r="A6198" s="120" t="inlineStr"/>
      <s:c r="B6198" s="121" t="n"/>
      <s:c r="C6198" s="121" t="n"/>
      <s:c r="D6198" s="121" t="n"/>
      <s:c r="E6198" s="122" t="n"/>
    </s:row>
    <s:row r="6199" hidden="1" ht="1" customHeight="1">
      <s:c r="A6199" s="120" t="inlineStr"/>
      <s:c r="B6199" s="121" t="n"/>
      <s:c r="C6199" s="121" t="n"/>
      <s:c r="D6199" s="121" t="n"/>
      <s:c r="E6199" s="122" t="n"/>
    </s:row>
    <s:row r="6200" hidden="1" ht="1" customHeight="1">
      <s:c r="A6200" s="120" t="inlineStr"/>
      <s:c r="B6200" s="121" t="n"/>
      <s:c r="C6200" s="121" t="n"/>
      <s:c r="D6200" s="121" t="n"/>
      <s:c r="E6200" s="122" t="n"/>
    </s:row>
    <s:row r="6201" hidden="1" ht="1" customHeight="1">
      <s:c r="A6201" s="120" t="inlineStr"/>
      <s:c r="B6201" s="121" t="n"/>
      <s:c r="C6201" s="121" t="n"/>
      <s:c r="D6201" s="121" t="n"/>
      <s:c r="E6201" s="122" t="n"/>
    </s:row>
    <s:row r="6202" hidden="1" ht="1" customHeight="1">
      <s:c r="A6202" s="120" t="inlineStr"/>
      <s:c r="B6202" s="121" t="n"/>
      <s:c r="C6202" s="121" t="n"/>
      <s:c r="D6202" s="121" t="n"/>
      <s:c r="E6202" s="122" t="n"/>
    </s:row>
    <s:row r="6203" hidden="1" ht="1" customHeight="1">
      <s:c r="A6203" s="120" t="inlineStr"/>
      <s:c r="B6203" s="121" t="n"/>
      <s:c r="C6203" s="121" t="n"/>
      <s:c r="D6203" s="121" t="n"/>
      <s:c r="E6203" s="122" t="n"/>
    </s:row>
    <s:row r="6204" hidden="1" ht="1" customHeight="1">
      <s:c r="A6204" s="120" t="inlineStr"/>
      <s:c r="B6204" s="121" t="n"/>
      <s:c r="C6204" s="121" t="n"/>
      <s:c r="D6204" s="121" t="n"/>
      <s:c r="E6204" s="122" t="n"/>
    </s:row>
    <s:row r="6205" hidden="1" ht="1" customHeight="1">
      <s:c r="A6205" s="120" t="inlineStr"/>
      <s:c r="B6205" s="121" t="n"/>
      <s:c r="C6205" s="121" t="n"/>
      <s:c r="D6205" s="121" t="n"/>
      <s:c r="E6205" s="122" t="n"/>
    </s:row>
    <s:row r="6206" hidden="1" ht="1" customHeight="1">
      <s:c r="A6206" s="120" t="inlineStr"/>
      <s:c r="B6206" s="121" t="n"/>
      <s:c r="C6206" s="121" t="n"/>
      <s:c r="D6206" s="121" t="n"/>
      <s:c r="E6206" s="122" t="n"/>
    </s:row>
    <s:row r="6207" hidden="1" ht="1" customHeight="1">
      <s:c r="A6207" s="120" t="inlineStr"/>
      <s:c r="B6207" s="121" t="n"/>
      <s:c r="C6207" s="121" t="n"/>
      <s:c r="D6207" s="121" t="n"/>
      <s:c r="E6207" s="122" t="n"/>
    </s:row>
    <s:row r="6208" hidden="1" ht="1" customHeight="1">
      <s:c r="A6208" s="120" t="inlineStr"/>
      <s:c r="B6208" s="121" t="n"/>
      <s:c r="C6208" s="121" t="n"/>
      <s:c r="D6208" s="121" t="n"/>
      <s:c r="E6208" s="122" t="n"/>
    </s:row>
    <s:row r="6209" hidden="1" ht="1" customHeight="1">
      <s:c r="A6209" s="120" t="inlineStr"/>
      <s:c r="B6209" s="121" t="n"/>
      <s:c r="C6209" s="121" t="n"/>
      <s:c r="D6209" s="121" t="n"/>
      <s:c r="E6209" s="122" t="n"/>
    </s:row>
    <s:row r="6210" hidden="1" ht="1" customHeight="1">
      <s:c r="A6210" s="120" t="inlineStr"/>
      <s:c r="B6210" s="121" t="n"/>
      <s:c r="C6210" s="121" t="n"/>
      <s:c r="D6210" s="121" t="n"/>
      <s:c r="E6210" s="122" t="n"/>
    </s:row>
    <s:row r="6211" hidden="1" ht="1" customHeight="1">
      <s:c r="A6211" s="120" t="inlineStr"/>
      <s:c r="B6211" s="121" t="n"/>
      <s:c r="C6211" s="121" t="n"/>
      <s:c r="D6211" s="121" t="n"/>
      <s:c r="E6211" s="122" t="n"/>
    </s:row>
    <s:row r="6212" hidden="1" ht="1" customHeight="1">
      <s:c r="A6212" s="120" t="inlineStr"/>
      <s:c r="B6212" s="121" t="n"/>
      <s:c r="C6212" s="121" t="n"/>
      <s:c r="D6212" s="121" t="n"/>
      <s:c r="E6212" s="122" t="n"/>
    </s:row>
    <s:row r="6213" hidden="1" ht="1" customHeight="1">
      <s:c r="A6213" s="120" t="inlineStr"/>
      <s:c r="B6213" s="121" t="n"/>
      <s:c r="C6213" s="121" t="n"/>
      <s:c r="D6213" s="121" t="n"/>
      <s:c r="E6213" s="122" t="n"/>
    </s:row>
    <s:row r="6214" hidden="1" ht="1" customHeight="1">
      <s:c r="A6214" s="120" t="inlineStr"/>
      <s:c r="B6214" s="121" t="n"/>
      <s:c r="C6214" s="121" t="n"/>
      <s:c r="D6214" s="121" t="n"/>
      <s:c r="E6214" s="122" t="n"/>
    </s:row>
    <s:row r="6215" hidden="1" ht="1" customHeight="1">
      <s:c r="A6215" s="120" t="inlineStr"/>
      <s:c r="B6215" s="121" t="n"/>
      <s:c r="C6215" s="121" t="n"/>
      <s:c r="D6215" s="121" t="n"/>
      <s:c r="E6215" s="122" t="n"/>
    </s:row>
    <s:row r="6216" hidden="1" ht="1" customHeight="1">
      <s:c r="A6216" s="120" t="inlineStr"/>
      <s:c r="B6216" s="121" t="n"/>
      <s:c r="C6216" s="121" t="n"/>
      <s:c r="D6216" s="121" t="n"/>
      <s:c r="E6216" s="122" t="n"/>
    </s:row>
    <s:row r="6217" hidden="1" ht="1" customHeight="1">
      <s:c r="A6217" s="120" t="inlineStr"/>
      <s:c r="B6217" s="121" t="n"/>
      <s:c r="C6217" s="121" t="n"/>
      <s:c r="D6217" s="121" t="n"/>
      <s:c r="E6217" s="122" t="n"/>
    </s:row>
    <s:row r="6218" hidden="1" ht="1" customHeight="1">
      <s:c r="A6218" s="120" t="inlineStr"/>
      <s:c r="B6218" s="121" t="n"/>
      <s:c r="C6218" s="121" t="n"/>
      <s:c r="D6218" s="121" t="n"/>
      <s:c r="E6218" s="122" t="n"/>
    </s:row>
    <s:row r="6219" hidden="1" ht="1" customHeight="1">
      <s:c r="A6219" s="120" t="inlineStr"/>
      <s:c r="B6219" s="121" t="n"/>
      <s:c r="C6219" s="121" t="n"/>
      <s:c r="D6219" s="121" t="n"/>
      <s:c r="E6219" s="122" t="n"/>
    </s:row>
    <s:row r="6220" hidden="1" ht="1" customHeight="1">
      <s:c r="A6220" s="120" t="inlineStr"/>
      <s:c r="B6220" s="121" t="n"/>
      <s:c r="C6220" s="121" t="n"/>
      <s:c r="D6220" s="121" t="n"/>
      <s:c r="E6220" s="122" t="n"/>
    </s:row>
    <s:row r="6221" hidden="1" ht="1" customHeight="1">
      <s:c r="A6221" s="120" t="inlineStr"/>
      <s:c r="B6221" s="121" t="n"/>
      <s:c r="C6221" s="121" t="n"/>
      <s:c r="D6221" s="121" t="n"/>
      <s:c r="E6221" s="122" t="n"/>
    </s:row>
    <s:row r="6222" hidden="1" ht="1" customHeight="1">
      <s:c r="A6222" s="120" t="inlineStr"/>
      <s:c r="B6222" s="121" t="n"/>
      <s:c r="C6222" s="121" t="n"/>
      <s:c r="D6222" s="121" t="n"/>
      <s:c r="E6222" s="122" t="n"/>
    </s:row>
    <s:row r="6223" hidden="1" ht="1" customHeight="1">
      <s:c r="A6223" s="120" t="inlineStr"/>
      <s:c r="B6223" s="121" t="n"/>
      <s:c r="C6223" s="121" t="n"/>
      <s:c r="D6223" s="121" t="n"/>
      <s:c r="E6223" s="122" t="n"/>
    </s:row>
    <s:row r="6224" hidden="1" ht="1" customHeight="1">
      <s:c r="A6224" s="120" t="inlineStr"/>
      <s:c r="B6224" s="121" t="n"/>
      <s:c r="C6224" s="121" t="n"/>
      <s:c r="D6224" s="121" t="n"/>
      <s:c r="E6224" s="122" t="n"/>
    </s:row>
    <s:row r="6225" hidden="1" ht="1" customHeight="1">
      <s:c r="A6225" s="120" t="inlineStr"/>
      <s:c r="B6225" s="121" t="n"/>
      <s:c r="C6225" s="121" t="n"/>
      <s:c r="D6225" s="121" t="n"/>
      <s:c r="E6225" s="122" t="n"/>
    </s:row>
    <s:row r="6226" hidden="1" ht="1" customHeight="1">
      <s:c r="A6226" s="120" t="inlineStr"/>
      <s:c r="B6226" s="121" t="n"/>
      <s:c r="C6226" s="121" t="n"/>
      <s:c r="D6226" s="121" t="n"/>
      <s:c r="E6226" s="122" t="n"/>
    </s:row>
    <s:row r="6227" hidden="1" ht="1" customHeight="1">
      <s:c r="A6227" s="120" t="inlineStr"/>
      <s:c r="B6227" s="121" t="n"/>
      <s:c r="C6227" s="121" t="n"/>
      <s:c r="D6227" s="121" t="n"/>
      <s:c r="E6227" s="122" t="n"/>
    </s:row>
    <s:row r="6228" hidden="1" ht="1" customHeight="1">
      <s:c r="A6228" s="120" t="inlineStr"/>
      <s:c r="B6228" s="121" t="n"/>
      <s:c r="C6228" s="121" t="n"/>
      <s:c r="D6228" s="121" t="n"/>
      <s:c r="E6228" s="122" t="n"/>
    </s:row>
    <s:row r="6229" hidden="1" ht="1" customHeight="1">
      <s:c r="A6229" s="120" t="inlineStr"/>
      <s:c r="B6229" s="121" t="n"/>
      <s:c r="C6229" s="121" t="n"/>
      <s:c r="D6229" s="121" t="n"/>
      <s:c r="E6229" s="122" t="n"/>
    </s:row>
    <s:row r="6230" hidden="1" ht="1" customHeight="1">
      <s:c r="A6230" s="120" t="inlineStr"/>
      <s:c r="B6230" s="121" t="n"/>
      <s:c r="C6230" s="121" t="n"/>
      <s:c r="D6230" s="121" t="n"/>
      <s:c r="E6230" s="122" t="n"/>
    </s:row>
    <s:row r="6231" hidden="1" ht="1" customHeight="1">
      <s:c r="A6231" s="120" t="inlineStr"/>
      <s:c r="B6231" s="121" t="n"/>
      <s:c r="C6231" s="121" t="n"/>
      <s:c r="D6231" s="121" t="n"/>
      <s:c r="E6231" s="122" t="n"/>
    </s:row>
    <s:row r="6232" hidden="1" ht="1" customHeight="1">
      <s:c r="A6232" s="120" t="inlineStr"/>
      <s:c r="B6232" s="121" t="n"/>
      <s:c r="C6232" s="121" t="n"/>
      <s:c r="D6232" s="121" t="n"/>
      <s:c r="E6232" s="122" t="n"/>
    </s:row>
    <s:row r="6233" hidden="1" ht="1" customHeight="1">
      <s:c r="A6233" s="120" t="inlineStr"/>
      <s:c r="B6233" s="121" t="n"/>
      <s:c r="C6233" s="121" t="n"/>
      <s:c r="D6233" s="121" t="n"/>
      <s:c r="E6233" s="122" t="n"/>
    </s:row>
    <s:row r="6234" hidden="1" ht="1" customHeight="1">
      <s:c r="A6234" s="120" t="inlineStr"/>
      <s:c r="B6234" s="121" t="n"/>
      <s:c r="C6234" s="121" t="n"/>
      <s:c r="D6234" s="121" t="n"/>
      <s:c r="E6234" s="122" t="n"/>
    </s:row>
    <s:row r="6235" hidden="1" ht="1" customHeight="1">
      <s:c r="A6235" s="120" t="inlineStr"/>
      <s:c r="B6235" s="121" t="n"/>
      <s:c r="C6235" s="121" t="n"/>
      <s:c r="D6235" s="121" t="n"/>
      <s:c r="E6235" s="122" t="n"/>
    </s:row>
    <s:row r="6236" hidden="1" ht="1" customHeight="1">
      <s:c r="A6236" s="120" t="inlineStr"/>
      <s:c r="B6236" s="121" t="n"/>
      <s:c r="C6236" s="121" t="n"/>
      <s:c r="D6236" s="121" t="n"/>
      <s:c r="E6236" s="122" t="n"/>
    </s:row>
    <s:row r="6237" hidden="1" ht="1" customHeight="1">
      <s:c r="A6237" s="120" t="inlineStr"/>
      <s:c r="B6237" s="121" t="n"/>
      <s:c r="C6237" s="121" t="n"/>
      <s:c r="D6237" s="121" t="n"/>
      <s:c r="E6237" s="122" t="n"/>
    </s:row>
    <s:row r="6238" hidden="1" ht="1" customHeight="1">
      <s:c r="A6238" s="120" t="inlineStr"/>
      <s:c r="B6238" s="121" t="n"/>
      <s:c r="C6238" s="121" t="n"/>
      <s:c r="D6238" s="121" t="n"/>
      <s:c r="E6238" s="122" t="n"/>
    </s:row>
    <s:row r="6239" hidden="1" ht="1" customHeight="1">
      <s:c r="A6239" s="120" t="inlineStr"/>
      <s:c r="B6239" s="121" t="n"/>
      <s:c r="C6239" s="121" t="n"/>
      <s:c r="D6239" s="121" t="n"/>
      <s:c r="E6239" s="122" t="n"/>
    </s:row>
    <s:row r="6240" hidden="1" ht="1" customHeight="1">
      <s:c r="A6240" s="120" t="inlineStr"/>
      <s:c r="B6240" s="121" t="n"/>
      <s:c r="C6240" s="121" t="n"/>
      <s:c r="D6240" s="121" t="n"/>
      <s:c r="E6240" s="122" t="n"/>
    </s:row>
    <s:row r="6241" hidden="1" ht="1" customHeight="1">
      <s:c r="A6241" s="120" t="inlineStr"/>
      <s:c r="B6241" s="121" t="n"/>
      <s:c r="C6241" s="121" t="n"/>
      <s:c r="D6241" s="121" t="n"/>
      <s:c r="E6241" s="122" t="n"/>
    </s:row>
    <s:row r="6242" hidden="1" ht="1" customHeight="1">
      <s:c r="A6242" s="120" t="inlineStr"/>
      <s:c r="B6242" s="121" t="n"/>
      <s:c r="C6242" s="121" t="n"/>
      <s:c r="D6242" s="121" t="n"/>
      <s:c r="E6242" s="122" t="n"/>
    </s:row>
    <s:row r="6243" hidden="1" ht="1" customHeight="1">
      <s:c r="A6243" s="120" t="inlineStr"/>
      <s:c r="B6243" s="121" t="n"/>
      <s:c r="C6243" s="121" t="n"/>
      <s:c r="D6243" s="121" t="n"/>
      <s:c r="E6243" s="122" t="n"/>
    </s:row>
    <s:row r="6244" hidden="1" ht="1" customHeight="1">
      <s:c r="A6244" s="120" t="inlineStr"/>
      <s:c r="B6244" s="121" t="n"/>
      <s:c r="C6244" s="121" t="n"/>
      <s:c r="D6244" s="121" t="n"/>
      <s:c r="E6244" s="122" t="n"/>
    </s:row>
    <s:row r="6245" hidden="1" ht="1" customHeight="1">
      <s:c r="A6245" s="120" t="inlineStr"/>
      <s:c r="B6245" s="121" t="n"/>
      <s:c r="C6245" s="121" t="n"/>
      <s:c r="D6245" s="121" t="n"/>
      <s:c r="E6245" s="122" t="n"/>
    </s:row>
    <s:row r="6246" hidden="1" ht="1" customHeight="1">
      <s:c r="A6246" s="120" t="inlineStr"/>
      <s:c r="B6246" s="121" t="n"/>
      <s:c r="C6246" s="121" t="n"/>
      <s:c r="D6246" s="121" t="n"/>
      <s:c r="E6246" s="122" t="n"/>
    </s:row>
    <s:row r="6247" hidden="1" ht="1" customHeight="1">
      <s:c r="A6247" s="120" t="inlineStr"/>
      <s:c r="B6247" s="121" t="n"/>
      <s:c r="C6247" s="121" t="n"/>
      <s:c r="D6247" s="121" t="n"/>
      <s:c r="E6247" s="122" t="n"/>
    </s:row>
    <s:row r="6248" hidden="1" ht="1" customHeight="1">
      <s:c r="A6248" s="120" t="inlineStr"/>
      <s:c r="B6248" s="121" t="n"/>
      <s:c r="C6248" s="121" t="n"/>
      <s:c r="D6248" s="121" t="n"/>
      <s:c r="E6248" s="122" t="n"/>
    </s:row>
    <s:row r="6249" hidden="1" ht="1" customHeight="1">
      <s:c r="A6249" s="120" t="inlineStr"/>
      <s:c r="B6249" s="121" t="n"/>
      <s:c r="C6249" s="121" t="n"/>
      <s:c r="D6249" s="121" t="n"/>
      <s:c r="E6249" s="122" t="n"/>
    </s:row>
    <s:row r="6250" hidden="1" ht="1" customHeight="1">
      <s:c r="A6250" s="120" t="inlineStr"/>
      <s:c r="B6250" s="121" t="n"/>
      <s:c r="C6250" s="121" t="n"/>
      <s:c r="D6250" s="121" t="n"/>
      <s:c r="E6250" s="122" t="n"/>
    </s:row>
    <s:row r="6251" hidden="1" ht="1" customHeight="1">
      <s:c r="A6251" s="120" t="inlineStr"/>
      <s:c r="B6251" s="121" t="n"/>
      <s:c r="C6251" s="121" t="n"/>
      <s:c r="D6251" s="121" t="n"/>
      <s:c r="E6251" s="122" t="n"/>
    </s:row>
    <s:row r="6252" hidden="1" ht="1" customHeight="1">
      <s:c r="A6252" s="120" t="inlineStr"/>
      <s:c r="B6252" s="121" t="n"/>
      <s:c r="C6252" s="121" t="n"/>
      <s:c r="D6252" s="121" t="n"/>
      <s:c r="E6252" s="122" t="n"/>
    </s:row>
    <s:row r="6253" hidden="1" ht="1" customHeight="1">
      <s:c r="A6253" s="120" t="inlineStr"/>
      <s:c r="B6253" s="121" t="n"/>
      <s:c r="C6253" s="121" t="n"/>
      <s:c r="D6253" s="121" t="n"/>
      <s:c r="E6253" s="122" t="n"/>
    </s:row>
    <s:row r="6254" hidden="1" ht="1" customHeight="1">
      <s:c r="A6254" s="120" t="inlineStr"/>
      <s:c r="B6254" s="121" t="n"/>
      <s:c r="C6254" s="121" t="n"/>
      <s:c r="D6254" s="121" t="n"/>
      <s:c r="E6254" s="122" t="n"/>
    </s:row>
    <s:row r="6255" hidden="1" ht="1" customHeight="1">
      <s:c r="A6255" s="120" t="inlineStr"/>
      <s:c r="B6255" s="121" t="n"/>
      <s:c r="C6255" s="121" t="n"/>
      <s:c r="D6255" s="121" t="n"/>
      <s:c r="E6255" s="122" t="n"/>
    </s:row>
    <s:row r="6256" hidden="1" ht="1" customHeight="1">
      <s:c r="A6256" s="83" t="inlineStr">
        <s:is>
          <s:t>PASS</s:t>
        </s:is>
      </s:c>
      <s:c r="B6256" s="83">
        <s:f>SUM(IF(EXACT('Kiểm thử'!E6156,"Đạt"),1,0),IF(EXACT('Kiểm thử'!E6158,"Đạt"),1,0))</s:f>
        <s:v/>
      </s:c>
      <s:c r="C6256" s="19" t="n"/>
      <s:c r="D6256" s="19" t="n"/>
      <s:c r="E6256" s="19" t="n"/>
    </s:row>
    <s:row r="6257" hidden="1" ht="1" customHeight="1">
      <s:c r="A6257" s="83" t="inlineStr">
        <s:is>
          <s:t>FAIL</s:t>
        </s:is>
      </s:c>
      <s:c r="B6257" s="83">
        <s:f>SUM(IF(EXACT('Kiểm thử'!E6156,"Không đạt"),1,0),IF(EXACT('Kiểm thử'!E6158,"Không đạt"),1,0))</s:f>
        <s:v/>
      </s:c>
      <s:c r="C6257" s="19" t="n"/>
      <s:c r="D6257" s="19" t="n"/>
      <s:c r="E6257" s="19" t="n"/>
    </s:row>
    <s:row r="6258" hidden="1" ht="1" customHeight="1">
      <s:c r="A6258" s="83" t="inlineStr">
        <s:is>
          <s:t>BLOCKED</s:t>
        </s:is>
      </s:c>
      <s:c r="B6258" s="83">
        <s:f>SUM(IF(EXACT('Kiểm thử'!E6156,"Bị chặn"),1,0),IF(EXACT('Kiểm thử'!E6158,"Bị chặn"),1,0))</s:f>
        <s:v/>
      </s:c>
      <s:c r="C6258" s="19" t="n"/>
      <s:c r="D6258" s="19" t="n"/>
      <s:c r="E6258" s="19" t="n"/>
    </s:row>
    <s:row r="6259" hidden="1" ht="1" customHeight="1">
      <s:c r="A6259" s="83" t="inlineStr">
        <s:is>
          <s:t>SKIPPED</s:t>
        </s:is>
      </s:c>
      <s:c r="B6259" s="83">
        <s:f>SUM(IF(EXACT('Kiểm thử'!E6156,"Không thực hiện"),1,0),IF(EXACT('Kiểm thử'!E6158,"Không thực hiện"),1,0))</s:f>
        <s:v/>
      </s:c>
      <s:c r="C6259" s="19" t="n"/>
      <s:c r="D6259" s="19" t="n"/>
      <s:c r="E6259" s="19" t="n"/>
    </s:row>
    <s:row r="6260" hidden="1" ht="1" customHeight="1">
      <s:c r="A6260" s="83" t="inlineStr">
        <s:is>
          <s:t>NOT RUN</s:t>
        </s:is>
      </s:c>
      <s:c r="B6260" s="83">
        <s:f>SUM(IF(EXACT('Kiểm thử'!E6156,"Chưa thực hiện"),1,0),IF(EXACT('Kiểm thử'!E6158,"Chưa thực hiện"),1,0))</s:f>
        <s:v/>
      </s:c>
      <s:c r="C6260" s="19" t="n"/>
      <s:c r="D6260" s="19" t="n"/>
      <s:c r="E6260" s="19" t="n"/>
    </s:row>
    <s:row r="6261" hidden="1" ht="6" customHeight="1">
      <s:c r="A6261" s="83" t="inlineStr"/>
      <s:c r="B6261" s="19" t="n"/>
      <s:c r="C6261" s="19" t="n"/>
      <s:c r="D6261" s="19" t="n"/>
      <s:c r="E6261" s="19" t="n"/>
    </s:row>
    <s:row r="6262" ht="28" customHeight="1">
      <s:c r="A6262" s="108" t="inlineStr">
        <s:is>
          <s:t>TC-RS-CALC-004 — Ngưỡng cố định giữ [T=N] khi M đổi về sau</s:t>
        </s:is>
      </s:c>
      <s:c r="B6262" s="111" t="n"/>
      <s:c r="C6262" s="111" t="n"/>
      <s:c r="D6262" s="111" t="n"/>
      <s:c r="E6262" s="111" t="n"/>
    </s:row>
    <s:row r="6263" ht="20" customHeight="1">
      <s:c r="A6263" s="112" t="inlineStr">
        <s:is>
          <s:t>Kết quả tình huống</s:t>
        </s:is>
      </s:c>
      <s:c r="B6263" s="113">
        <s:f>IF(SUM(IF(EXACT('Kiểm thử'!E6271,"Không đạt"),1,0))&gt;0,"Không đạt",IF(SUM(IF(EXACT('Kiểm thử'!E6271,"Đạt"),1,0))=1,"Đạt",IF(SUM(IF(EXACT('Kiểm thử'!E6271,"Không thực hiện"),1,0))=1,"Không thực hiện",IF(SUM(IF(EXACT('Kiểm thử'!E6271,"Bị chặn"),1,0))&gt;0,"Bị chặn",IF(SUM(IF(EXACT('Kiểm thử'!E6271,"Chưa thực hiện"),1,0))=1,"Chưa thực hiện","Đang thực hiện")))))</s:f>
        <s:v/>
      </s:c>
      <s:c r="C6263" s="114" t="n"/>
      <s:c r="D6263" s="114" t="n"/>
      <s:c r="E6263" s="114" t="n"/>
    </s:row>
    <s:row r="6264" ht="20" customHeight="1">
      <s:c r="A6264" s="112" t="inlineStr">
        <s:is>
          <s:t>Màn hình / chức năng</s:t>
        </s:is>
      </s:c>
      <s:c r="B6264" s="113" t="inlineStr">
        <s:is>
          <s:r>
            <s:rPr>
              <s:b val="1"/>
            </s:rPr>
            <s:t>Thiết lập ngưỡng（基準設定）</s:t>
          </s:r>
        </s:is>
      </s:c>
      <s:c r="C6264" s="28" t="n"/>
      <s:c r="D6264" s="28" t="n"/>
      <s:c r="E6264" s="28" t="n"/>
    </s:row>
    <s:row r="6265" ht="34" customHeight="1">
      <s:c r="A6265" s="112" t="inlineStr">
        <s:is>
          <s:t>Cấu hình</s:t>
        </s:is>
      </s:c>
      <s:c r="B6265" s="113" t="inlineStr">
        <s:is>
          <s:r>
            <s:t>• Quy tắc “Cố định 30” (dưới 30) (</s:t>
          </s:r>
          <s:r>
            <s:rPr>
              <s:b val="1"/>
            </s:rPr>
            <s:t>N=30</s:t>
          </s:r>
          <s:r>
            <s:t xml:space="preserve">) lưu khi </s:t>
          </s:r>
          <s:r>
            <s:rPr>
              <s:b val="1"/>
            </s:rPr>
            <s:t>M=100</s:t>
          </s:r>
          <s:r>
            <s:t xml:space="preserve">. Sau đó đổi </s:t>
          </s:r>
          <s:r>
            <s:rPr>
              <s:b val="1"/>
            </s:rPr>
            <s:t>Giá trị tối đa（最大値）</s:t>
          </s:r>
          <s:r>
            <s:t xml:space="preserve"> của mục số nguyên (</s:t>
          </s:r>
          <s:r>
            <s:rPr>
              <s:b val="1"/>
            </s:rPr>
            <s:t>M=100</s:t>
          </s:r>
          <s:r>
            <s:t>) thành 20.</s:t>
          </s:r>
        </s:is>
      </s:c>
      <s:c r="C6265" s="28" t="n"/>
      <s:c r="D6265" s="28" t="n"/>
      <s:c r="E6265" s="28" t="n"/>
    </s:row>
    <s:row r="6266" ht="48" customHeight="1">
      <s:c r="A6266" s="112" t="inlineStr">
        <s:is>
          <s:t>Dữ liệu test</s:t>
        </s:is>
      </s:c>
      <s:c r="B6266" s="113" t="inlineStr">
        <s:is>
          <s:r>
            <s:t>• Mục số nguyên (</s:t>
          </s:r>
          <s:r>
            <s:rPr>
              <s:b val="1"/>
            </s:rPr>
            <s:t>M=100</s:t>
          </s:r>
          <s:r>
            <s:t>);
• Quy tắc “Cố định 30” (dưới 30);
• S = 15, 20</s:t>
          </s:r>
        </s:is>
      </s:c>
      <s:c r="C6266" s="28" t="n"/>
      <s:c r="D6266" s="28" t="n"/>
      <s:c r="E6266" s="28" t="n"/>
    </s:row>
    <s:row r="6267" ht="20" customHeight="1">
      <s:c r="A6267" s="112" t="inlineStr">
        <s:is>
          <s:t>Bước 1</s:t>
        </s:is>
      </s:c>
      <s:c r="B6267" s="113" t="inlineStr">
        <s:is>
          <s:r>
            <s:t xml:space="preserve">Đăng ký hai học sinh </s:t>
          </s:r>
          <s:r>
            <s:rPr>
              <s:b val="1"/>
            </s:rPr>
            <s:t>S=15</s:t>
          </s:r>
          <s:r>
            <s:t xml:space="preserve"> và </s:t>
          </s:r>
          <s:r>
            <s:rPr>
              <s:b val="1"/>
            </s:rPr>
            <s:t>S=20</s:t>
          </s:r>
          <s:r>
            <s:t>.</s:t>
          </s:r>
        </s:is>
      </s:c>
      <s:c r="C6267" s="28" t="n"/>
      <s:c r="D6267" s="28" t="n"/>
      <s:c r="E6267" s="28" t="n"/>
    </s:row>
    <s:row r="6268" ht="20" customHeight="1">
      <s:c r="A6268" s="112" t="inlineStr">
        <s:is>
          <s:t>Bước 2</s:t>
        </s:is>
      </s:c>
      <s:c r="B6268" s="113" t="inlineStr">
        <s:is>
          <s:t>Mở lại quy tắc.</s:t>
        </s:is>
      </s:c>
      <s:c r="C6268" s="28" t="n"/>
      <s:c r="D6268" s="28" t="n"/>
      <s:c r="E6268" s="28" t="n"/>
    </s:row>
    <s:row r="6269" ht="28" customHeight="1">
      <s:c r="A6269" s="115" t="inlineStr">
        <s:is>
          <s:t>Trường hợp</s:t>
        </s:is>
      </s:c>
      <s:c r="B6269" s="115" t="inlineStr">
        <s:is>
          <s:t>Dữ liệu / thao tác riêng</s:t>
        </s:is>
      </s:c>
      <s:c r="C6269" s="115" t="inlineStr">
        <s:is>
          <s:t>Kết quả mong đợi</s:t>
        </s:is>
      </s:c>
      <s:c r="D6269" s="115" t="inlineStr">
        <s:is>
          <s:t>Kết quả thực tế</s:t>
        </s:is>
      </s:c>
      <s:c r="E6269" s="115" t="inlineStr">
        <s:is>
          <s:t>Đánh giá</s:t>
        </s:is>
      </s:c>
    </s:row>
    <s:row r="6270" ht="3" customHeight="1">
      <s:c r="A6270" s="102" t="inlineStr"/>
      <s:c r="B6270" s="99" t="n"/>
      <s:c r="C6270" s="99" t="n"/>
      <s:c r="D6270" s="116" t="n"/>
      <s:c r="E6270" s="116" t="n"/>
    </s:row>
    <s:row r="6271" ht="62" customHeight="1">
      <s:c r="A6271" s="83" t="inlineStr">
        <s:is>
          <s:t>Trường hợp cơ bản (Base)</s:t>
        </s:is>
      </s:c>
      <s:c r="B6271" s="83" t="inlineStr">
        <s:is>
          <s:t>Toàn bộ tình huống: Thực hiện đủ các bước chung theo thứ tự; kiểm cả đối tượng đích và đối chứng cùng fixture, không bỏ bước.</s:t>
        </s:is>
      </s:c>
      <s:c r="C6271" s="83" t="inlineStr">
        <s:is>
          <s:r>
            <s:t>1. [</s:t>
          </s:r>
          <s:r>
            <s:rPr>
              <s:b val="1"/>
            </s:rPr>
            <s:t>T=30</s:t>
          </s:r>
          <s:r>
            <s:t xml:space="preserve">] → 15 </s:t>
          </s:r>
          <s:r>
            <s:rPr>
              <s:b val="1"/>
            </s:rPr>
            <s:t>Đỏ</s:t>
          </s:r>
          <s:r>
            <s:t xml:space="preserve">; 20 </s:t>
          </s:r>
          <s:r>
            <s:rPr>
              <s:b val="1"/>
            </s:rPr>
            <s:t>Đỏ</s:t>
          </s:r>
          <s:r>
            <s:t>. Không chuyển thành Chưa xét được; không tự đổi [T] thành 20 hoặc [M×30%].
2. N vẫn hiển thị 30 (không bị tự sửa).</s:t>
          </s:r>
        </s:is>
      </s:c>
      <s:c r="D6271" s="117" t="inlineStr"/>
      <s:c r="E6271" s="118" t="inlineStr">
        <s:is>
          <s:t>Chưa thực hiện</s:t>
        </s:is>
      </s:c>
    </s:row>
    <s:row r="6272" ht="20" customHeight="1">
      <s:c r="A6272" s="119" t="inlineStr">
        <s:is>
          <s:t>Ảnh minh chứng — Chưa có ảnh</s:t>
        </s:is>
      </s:c>
      <s:c r="B6272" s="19" t="n"/>
      <s:c r="C6272" s="19" t="n"/>
      <s:c r="D6272" s="19" t="n"/>
      <s:c r="E6272" s="19" t="n"/>
    </s:row>
    <s:row r="6273" hidden="1" ht="1" customHeight="1">
      <s:c r="A6273" s="120" t="inlineStr"/>
      <s:c r="B6273" s="121" t="n"/>
      <s:c r="C6273" s="121" t="n"/>
      <s:c r="D6273" s="121" t="n"/>
      <s:c r="E6273" s="122" t="n"/>
    </s:row>
    <s:row r="6274" hidden="1" ht="1" customHeight="1">
      <s:c r="A6274" s="120" t="inlineStr"/>
      <s:c r="B6274" s="121" t="n"/>
      <s:c r="C6274" s="121" t="n"/>
      <s:c r="D6274" s="121" t="n"/>
      <s:c r="E6274" s="122" t="n"/>
    </s:row>
    <s:row r="6275" hidden="1" ht="1" customHeight="1">
      <s:c r="A6275" s="120" t="inlineStr"/>
      <s:c r="B6275" s="121" t="n"/>
      <s:c r="C6275" s="121" t="n"/>
      <s:c r="D6275" s="121" t="n"/>
      <s:c r="E6275" s="122" t="n"/>
    </s:row>
    <s:row r="6276" hidden="1" ht="1" customHeight="1">
      <s:c r="A6276" s="120" t="inlineStr"/>
      <s:c r="B6276" s="121" t="n"/>
      <s:c r="C6276" s="121" t="n"/>
      <s:c r="D6276" s="121" t="n"/>
      <s:c r="E6276" s="122" t="n"/>
    </s:row>
    <s:row r="6277" hidden="1" ht="1" customHeight="1">
      <s:c r="A6277" s="120" t="inlineStr"/>
      <s:c r="B6277" s="121" t="n"/>
      <s:c r="C6277" s="121" t="n"/>
      <s:c r="D6277" s="121" t="n"/>
      <s:c r="E6277" s="122" t="n"/>
    </s:row>
    <s:row r="6278" hidden="1" ht="1" customHeight="1">
      <s:c r="A6278" s="120" t="inlineStr"/>
      <s:c r="B6278" s="121" t="n"/>
      <s:c r="C6278" s="121" t="n"/>
      <s:c r="D6278" s="121" t="n"/>
      <s:c r="E6278" s="122" t="n"/>
    </s:row>
    <s:row r="6279" hidden="1" ht="1" customHeight="1">
      <s:c r="A6279" s="120" t="inlineStr"/>
      <s:c r="B6279" s="121" t="n"/>
      <s:c r="C6279" s="121" t="n"/>
      <s:c r="D6279" s="121" t="n"/>
      <s:c r="E6279" s="122" t="n"/>
    </s:row>
    <s:row r="6280" hidden="1" ht="1" customHeight="1">
      <s:c r="A6280" s="120" t="inlineStr"/>
      <s:c r="B6280" s="121" t="n"/>
      <s:c r="C6280" s="121" t="n"/>
      <s:c r="D6280" s="121" t="n"/>
      <s:c r="E6280" s="122" t="n"/>
    </s:row>
    <s:row r="6281" hidden="1" ht="1" customHeight="1">
      <s:c r="A6281" s="120" t="inlineStr"/>
      <s:c r="B6281" s="121" t="n"/>
      <s:c r="C6281" s="121" t="n"/>
      <s:c r="D6281" s="121" t="n"/>
      <s:c r="E6281" s="122" t="n"/>
    </s:row>
    <s:row r="6282" hidden="1" ht="1" customHeight="1">
      <s:c r="A6282" s="120" t="inlineStr"/>
      <s:c r="B6282" s="121" t="n"/>
      <s:c r="C6282" s="121" t="n"/>
      <s:c r="D6282" s="121" t="n"/>
      <s:c r="E6282" s="122" t="n"/>
    </s:row>
    <s:row r="6283" hidden="1" ht="1" customHeight="1">
      <s:c r="A6283" s="120" t="inlineStr"/>
      <s:c r="B6283" s="121" t="n"/>
      <s:c r="C6283" s="121" t="n"/>
      <s:c r="D6283" s="121" t="n"/>
      <s:c r="E6283" s="122" t="n"/>
    </s:row>
    <s:row r="6284" hidden="1" ht="1" customHeight="1">
      <s:c r="A6284" s="120" t="inlineStr"/>
      <s:c r="B6284" s="121" t="n"/>
      <s:c r="C6284" s="121" t="n"/>
      <s:c r="D6284" s="121" t="n"/>
      <s:c r="E6284" s="122" t="n"/>
    </s:row>
    <s:row r="6285" hidden="1" ht="1" customHeight="1">
      <s:c r="A6285" s="120" t="inlineStr"/>
      <s:c r="B6285" s="121" t="n"/>
      <s:c r="C6285" s="121" t="n"/>
      <s:c r="D6285" s="121" t="n"/>
      <s:c r="E6285" s="122" t="n"/>
    </s:row>
    <s:row r="6286" hidden="1" ht="1" customHeight="1">
      <s:c r="A6286" s="120" t="inlineStr"/>
      <s:c r="B6286" s="121" t="n"/>
      <s:c r="C6286" s="121" t="n"/>
      <s:c r="D6286" s="121" t="n"/>
      <s:c r="E6286" s="122" t="n"/>
    </s:row>
    <s:row r="6287" hidden="1" ht="1" customHeight="1">
      <s:c r="A6287" s="120" t="inlineStr"/>
      <s:c r="B6287" s="121" t="n"/>
      <s:c r="C6287" s="121" t="n"/>
      <s:c r="D6287" s="121" t="n"/>
      <s:c r="E6287" s="122" t="n"/>
    </s:row>
    <s:row r="6288" hidden="1" ht="1" customHeight="1">
      <s:c r="A6288" s="120" t="inlineStr"/>
      <s:c r="B6288" s="121" t="n"/>
      <s:c r="C6288" s="121" t="n"/>
      <s:c r="D6288" s="121" t="n"/>
      <s:c r="E6288" s="122" t="n"/>
    </s:row>
    <s:row r="6289" hidden="1" ht="1" customHeight="1">
      <s:c r="A6289" s="120" t="inlineStr"/>
      <s:c r="B6289" s="121" t="n"/>
      <s:c r="C6289" s="121" t="n"/>
      <s:c r="D6289" s="121" t="n"/>
      <s:c r="E6289" s="122" t="n"/>
    </s:row>
    <s:row r="6290" hidden="1" ht="1" customHeight="1">
      <s:c r="A6290" s="120" t="inlineStr"/>
      <s:c r="B6290" s="121" t="n"/>
      <s:c r="C6290" s="121" t="n"/>
      <s:c r="D6290" s="121" t="n"/>
      <s:c r="E6290" s="122" t="n"/>
    </s:row>
    <s:row r="6291" hidden="1" ht="1" customHeight="1">
      <s:c r="A6291" s="120" t="inlineStr"/>
      <s:c r="B6291" s="121" t="n"/>
      <s:c r="C6291" s="121" t="n"/>
      <s:c r="D6291" s="121" t="n"/>
      <s:c r="E6291" s="122" t="n"/>
    </s:row>
    <s:row r="6292" hidden="1" ht="1" customHeight="1">
      <s:c r="A6292" s="120" t="inlineStr"/>
      <s:c r="B6292" s="121" t="n"/>
      <s:c r="C6292" s="121" t="n"/>
      <s:c r="D6292" s="121" t="n"/>
      <s:c r="E6292" s="122" t="n"/>
    </s:row>
    <s:row r="6293" hidden="1" ht="1" customHeight="1">
      <s:c r="A6293" s="120" t="inlineStr"/>
      <s:c r="B6293" s="121" t="n"/>
      <s:c r="C6293" s="121" t="n"/>
      <s:c r="D6293" s="121" t="n"/>
      <s:c r="E6293" s="122" t="n"/>
    </s:row>
    <s:row r="6294" hidden="1" ht="1" customHeight="1">
      <s:c r="A6294" s="120" t="inlineStr"/>
      <s:c r="B6294" s="121" t="n"/>
      <s:c r="C6294" s="121" t="n"/>
      <s:c r="D6294" s="121" t="n"/>
      <s:c r="E6294" s="122" t="n"/>
    </s:row>
    <s:row r="6295" hidden="1" ht="1" customHeight="1">
      <s:c r="A6295" s="120" t="inlineStr"/>
      <s:c r="B6295" s="121" t="n"/>
      <s:c r="C6295" s="121" t="n"/>
      <s:c r="D6295" s="121" t="n"/>
      <s:c r="E6295" s="122" t="n"/>
    </s:row>
    <s:row r="6296" hidden="1" ht="1" customHeight="1">
      <s:c r="A6296" s="120" t="inlineStr"/>
      <s:c r="B6296" s="121" t="n"/>
      <s:c r="C6296" s="121" t="n"/>
      <s:c r="D6296" s="121" t="n"/>
      <s:c r="E6296" s="122" t="n"/>
    </s:row>
    <s:row r="6297" hidden="1" ht="1" customHeight="1">
      <s:c r="A6297" s="120" t="inlineStr"/>
      <s:c r="B6297" s="121" t="n"/>
      <s:c r="C6297" s="121" t="n"/>
      <s:c r="D6297" s="121" t="n"/>
      <s:c r="E6297" s="122" t="n"/>
    </s:row>
    <s:row r="6298" hidden="1" ht="1" customHeight="1">
      <s:c r="A6298" s="120" t="inlineStr"/>
      <s:c r="B6298" s="121" t="n"/>
      <s:c r="C6298" s="121" t="n"/>
      <s:c r="D6298" s="121" t="n"/>
      <s:c r="E6298" s="122" t="n"/>
    </s:row>
    <s:row r="6299" hidden="1" ht="1" customHeight="1">
      <s:c r="A6299" s="120" t="inlineStr"/>
      <s:c r="B6299" s="121" t="n"/>
      <s:c r="C6299" s="121" t="n"/>
      <s:c r="D6299" s="121" t="n"/>
      <s:c r="E6299" s="122" t="n"/>
    </s:row>
    <s:row r="6300" hidden="1" ht="1" customHeight="1">
      <s:c r="A6300" s="120" t="inlineStr"/>
      <s:c r="B6300" s="121" t="n"/>
      <s:c r="C6300" s="121" t="n"/>
      <s:c r="D6300" s="121" t="n"/>
      <s:c r="E6300" s="122" t="n"/>
    </s:row>
    <s:row r="6301" hidden="1" ht="1" customHeight="1">
      <s:c r="A6301" s="120" t="inlineStr"/>
      <s:c r="B6301" s="121" t="n"/>
      <s:c r="C6301" s="121" t="n"/>
      <s:c r="D6301" s="121" t="n"/>
      <s:c r="E6301" s="122" t="n"/>
    </s:row>
    <s:row r="6302" hidden="1" ht="1" customHeight="1">
      <s:c r="A6302" s="120" t="inlineStr"/>
      <s:c r="B6302" s="121" t="n"/>
      <s:c r="C6302" s="121" t="n"/>
      <s:c r="D6302" s="121" t="n"/>
      <s:c r="E6302" s="122" t="n"/>
    </s:row>
    <s:row r="6303" hidden="1" ht="1" customHeight="1">
      <s:c r="A6303" s="120" t="inlineStr"/>
      <s:c r="B6303" s="121" t="n"/>
      <s:c r="C6303" s="121" t="n"/>
      <s:c r="D6303" s="121" t="n"/>
      <s:c r="E6303" s="122" t="n"/>
    </s:row>
    <s:row r="6304" hidden="1" ht="1" customHeight="1">
      <s:c r="A6304" s="120" t="inlineStr"/>
      <s:c r="B6304" s="121" t="n"/>
      <s:c r="C6304" s="121" t="n"/>
      <s:c r="D6304" s="121" t="n"/>
      <s:c r="E6304" s="122" t="n"/>
    </s:row>
    <s:row r="6305" hidden="1" ht="1" customHeight="1">
      <s:c r="A6305" s="120" t="inlineStr"/>
      <s:c r="B6305" s="121" t="n"/>
      <s:c r="C6305" s="121" t="n"/>
      <s:c r="D6305" s="121" t="n"/>
      <s:c r="E6305" s="122" t="n"/>
    </s:row>
    <s:row r="6306" hidden="1" ht="1" customHeight="1">
      <s:c r="A6306" s="120" t="inlineStr"/>
      <s:c r="B6306" s="121" t="n"/>
      <s:c r="C6306" s="121" t="n"/>
      <s:c r="D6306" s="121" t="n"/>
      <s:c r="E6306" s="122" t="n"/>
    </s:row>
    <s:row r="6307" hidden="1" ht="1" customHeight="1">
      <s:c r="A6307" s="120" t="inlineStr"/>
      <s:c r="B6307" s="121" t="n"/>
      <s:c r="C6307" s="121" t="n"/>
      <s:c r="D6307" s="121" t="n"/>
      <s:c r="E6307" s="122" t="n"/>
    </s:row>
    <s:row r="6308" hidden="1" ht="1" customHeight="1">
      <s:c r="A6308" s="120" t="inlineStr"/>
      <s:c r="B6308" s="121" t="n"/>
      <s:c r="C6308" s="121" t="n"/>
      <s:c r="D6308" s="121" t="n"/>
      <s:c r="E6308" s="122" t="n"/>
    </s:row>
    <s:row r="6309" hidden="1" ht="1" customHeight="1">
      <s:c r="A6309" s="120" t="inlineStr"/>
      <s:c r="B6309" s="121" t="n"/>
      <s:c r="C6309" s="121" t="n"/>
      <s:c r="D6309" s="121" t="n"/>
      <s:c r="E6309" s="122" t="n"/>
    </s:row>
    <s:row r="6310" hidden="1" ht="1" customHeight="1">
      <s:c r="A6310" s="120" t="inlineStr"/>
      <s:c r="B6310" s="121" t="n"/>
      <s:c r="C6310" s="121" t="n"/>
      <s:c r="D6310" s="121" t="n"/>
      <s:c r="E6310" s="122" t="n"/>
    </s:row>
    <s:row r="6311" hidden="1" ht="1" customHeight="1">
      <s:c r="A6311" s="120" t="inlineStr"/>
      <s:c r="B6311" s="121" t="n"/>
      <s:c r="C6311" s="121" t="n"/>
      <s:c r="D6311" s="121" t="n"/>
      <s:c r="E6311" s="122" t="n"/>
    </s:row>
    <s:row r="6312" hidden="1" ht="1" customHeight="1">
      <s:c r="A6312" s="120" t="inlineStr"/>
      <s:c r="B6312" s="121" t="n"/>
      <s:c r="C6312" s="121" t="n"/>
      <s:c r="D6312" s="121" t="n"/>
      <s:c r="E6312" s="122" t="n"/>
    </s:row>
    <s:row r="6313" hidden="1" ht="1" customHeight="1">
      <s:c r="A6313" s="120" t="inlineStr"/>
      <s:c r="B6313" s="121" t="n"/>
      <s:c r="C6313" s="121" t="n"/>
      <s:c r="D6313" s="121" t="n"/>
      <s:c r="E6313" s="122" t="n"/>
    </s:row>
    <s:row r="6314" hidden="1" ht="1" customHeight="1">
      <s:c r="A6314" s="120" t="inlineStr"/>
      <s:c r="B6314" s="121" t="n"/>
      <s:c r="C6314" s="121" t="n"/>
      <s:c r="D6314" s="121" t="n"/>
      <s:c r="E6314" s="122" t="n"/>
    </s:row>
    <s:row r="6315" hidden="1" ht="1" customHeight="1">
      <s:c r="A6315" s="120" t="inlineStr"/>
      <s:c r="B6315" s="121" t="n"/>
      <s:c r="C6315" s="121" t="n"/>
      <s:c r="D6315" s="121" t="n"/>
      <s:c r="E6315" s="122" t="n"/>
    </s:row>
    <s:row r="6316" hidden="1" ht="1" customHeight="1">
      <s:c r="A6316" s="120" t="inlineStr"/>
      <s:c r="B6316" s="121" t="n"/>
      <s:c r="C6316" s="121" t="n"/>
      <s:c r="D6316" s="121" t="n"/>
      <s:c r="E6316" s="122" t="n"/>
    </s:row>
    <s:row r="6317" hidden="1" ht="1" customHeight="1">
      <s:c r="A6317" s="120" t="inlineStr"/>
      <s:c r="B6317" s="121" t="n"/>
      <s:c r="C6317" s="121" t="n"/>
      <s:c r="D6317" s="121" t="n"/>
      <s:c r="E6317" s="122" t="n"/>
    </s:row>
    <s:row r="6318" hidden="1" ht="1" customHeight="1">
      <s:c r="A6318" s="120" t="inlineStr"/>
      <s:c r="B6318" s="121" t="n"/>
      <s:c r="C6318" s="121" t="n"/>
      <s:c r="D6318" s="121" t="n"/>
      <s:c r="E6318" s="122" t="n"/>
    </s:row>
    <s:row r="6319" hidden="1" ht="1" customHeight="1">
      <s:c r="A6319" s="120" t="inlineStr"/>
      <s:c r="B6319" s="121" t="n"/>
      <s:c r="C6319" s="121" t="n"/>
      <s:c r="D6319" s="121" t="n"/>
      <s:c r="E6319" s="122" t="n"/>
    </s:row>
    <s:row r="6320" hidden="1" ht="1" customHeight="1">
      <s:c r="A6320" s="120" t="inlineStr"/>
      <s:c r="B6320" s="121" t="n"/>
      <s:c r="C6320" s="121" t="n"/>
      <s:c r="D6320" s="121" t="n"/>
      <s:c r="E6320" s="122" t="n"/>
    </s:row>
    <s:row r="6321" hidden="1" ht="1" customHeight="1">
      <s:c r="A6321" s="83" t="inlineStr">
        <s:is>
          <s:t>PASS</s:t>
        </s:is>
      </s:c>
      <s:c r="B6321" s="83">
        <s:f>SUM(IF(EXACT('Kiểm thử'!E6271,"Đạt"),1,0))</s:f>
        <s:v/>
      </s:c>
      <s:c r="C6321" s="19" t="n"/>
      <s:c r="D6321" s="19" t="n"/>
      <s:c r="E6321" s="19" t="n"/>
    </s:row>
    <s:row r="6322" hidden="1" ht="1" customHeight="1">
      <s:c r="A6322" s="83" t="inlineStr">
        <s:is>
          <s:t>FAIL</s:t>
        </s:is>
      </s:c>
      <s:c r="B6322" s="83">
        <s:f>SUM(IF(EXACT('Kiểm thử'!E6271,"Không đạt"),1,0))</s:f>
        <s:v/>
      </s:c>
      <s:c r="C6322" s="19" t="n"/>
      <s:c r="D6322" s="19" t="n"/>
      <s:c r="E6322" s="19" t="n"/>
    </s:row>
    <s:row r="6323" hidden="1" ht="1" customHeight="1">
      <s:c r="A6323" s="83" t="inlineStr">
        <s:is>
          <s:t>BLOCKED</s:t>
        </s:is>
      </s:c>
      <s:c r="B6323" s="83">
        <s:f>SUM(IF(EXACT('Kiểm thử'!E6271,"Bị chặn"),1,0))</s:f>
        <s:v/>
      </s:c>
      <s:c r="C6323" s="19" t="n"/>
      <s:c r="D6323" s="19" t="n"/>
      <s:c r="E6323" s="19" t="n"/>
    </s:row>
    <s:row r="6324" hidden="1" ht="1" customHeight="1">
      <s:c r="A6324" s="83" t="inlineStr">
        <s:is>
          <s:t>SKIPPED</s:t>
        </s:is>
      </s:c>
      <s:c r="B6324" s="83">
        <s:f>SUM(IF(EXACT('Kiểm thử'!E6271,"Không thực hiện"),1,0))</s:f>
        <s:v/>
      </s:c>
      <s:c r="C6324" s="19" t="n"/>
      <s:c r="D6324" s="19" t="n"/>
      <s:c r="E6324" s="19" t="n"/>
    </s:row>
    <s:row r="6325" hidden="1" ht="1" customHeight="1">
      <s:c r="A6325" s="83" t="inlineStr">
        <s:is>
          <s:t>NOT RUN</s:t>
        </s:is>
      </s:c>
      <s:c r="B6325" s="83">
        <s:f>SUM(IF(EXACT('Kiểm thử'!E6271,"Chưa thực hiện"),1,0))</s:f>
        <s:v/>
      </s:c>
      <s:c r="C6325" s="19" t="n"/>
      <s:c r="D6325" s="19" t="n"/>
      <s:c r="E6325" s="19" t="n"/>
    </s:row>
    <s:row r="6326" hidden="1" ht="6" customHeight="1">
      <s:c r="A6326" s="83" t="inlineStr"/>
      <s:c r="B6326" s="19" t="n"/>
      <s:c r="C6326" s="19" t="n"/>
      <s:c r="D6326" s="19" t="n"/>
      <s:c r="E6326" s="19" t="n"/>
    </s:row>
    <s:row r="6327" ht="28" customHeight="1">
      <s:c r="A6327" s="108" t="inlineStr">
        <s:is>
          <s:t>TC-RS-UI-011 — Màn Ngưỡng（基準設定）: ba loại, dấu so sánh và câu giải thích đổi theo dấu</s:t>
        </s:is>
      </s:c>
      <s:c r="B6327" s="111" t="n"/>
      <s:c r="C6327" s="111" t="n"/>
      <s:c r="D6327" s="111" t="n"/>
      <s:c r="E6327" s="111" t="n"/>
    </s:row>
    <s:row r="6328" ht="20" customHeight="1">
      <s:c r="A6328" s="112" t="inlineStr">
        <s:is>
          <s:t>Kết quả tình huống</s:t>
        </s:is>
      </s:c>
      <s:c r="B6328" s="113">
        <s:f>IF(SUM(IF(EXACT('Kiểm thử'!E6336,"Không đạt"),1,0),IF(EXACT('Kiểm thử'!E6338,"Không đạt"),1,0))&gt;0,"Không đạt",IF(SUM(IF(EXACT('Kiểm thử'!E6336,"Đạt"),1,0),IF(EXACT('Kiểm thử'!E6338,"Đạt"),1,0))=2,"Đạt",IF(SUM(IF(EXACT('Kiểm thử'!E6336,"Không thực hiện"),1,0),IF(EXACT('Kiểm thử'!E6338,"Không thực hiện"),1,0))=2,"Không thực hiện",IF(SUM(IF(EXACT('Kiểm thử'!E6336,"Bị chặn"),1,0),IF(EXACT('Kiểm thử'!E6338,"Bị chặn"),1,0))&gt;0,"Bị chặn",IF(SUM(IF(EXACT('Kiểm thử'!E6336,"Chưa thực hiện"),1,0),IF(EXACT('Kiểm thử'!E6338,"Chưa thực hiện"),1,0))=2,"Chưa thực hiện","Đang thực hiện")))))</s:f>
        <s:v/>
      </s:c>
      <s:c r="C6328" s="114" t="n"/>
      <s:c r="D6328" s="114" t="n"/>
      <s:c r="E6328" s="114" t="n"/>
    </s:row>
    <s:row r="6329" ht="20" customHeight="1">
      <s:c r="A6329" s="112" t="inlineStr">
        <s:is>
          <s:t>Màn hình / chức năng</s:t>
        </s:is>
      </s:c>
      <s:c r="B6329" s="113" t="inlineStr">
        <s:is>
          <s:r>
            <s:rPr>
              <s:b val="1"/>
            </s:rPr>
            <s:t>Thiết lập ngưỡng（基準設定）</s:t>
          </s:r>
        </s:is>
      </s:c>
      <s:c r="C6329" s="28" t="n"/>
      <s:c r="D6329" s="28" t="n"/>
      <s:c r="E6329" s="28" t="n"/>
    </s:row>
    <s:row r="6330" ht="20" customHeight="1">
      <s:c r="A6330" s="112" t="inlineStr">
        <s:is>
          <s:t>Cấu hình</s:t>
        </s:is>
      </s:c>
      <s:c r="B6330" s="113" t="inlineStr">
        <s:is>
          <s:t>• Mở ngưỡng của một quy tắc.</s:t>
        </s:is>
      </s:c>
      <s:c r="C6330" s="28" t="n"/>
      <s:c r="D6330" s="28" t="n"/>
      <s:c r="E6330" s="28" t="n"/>
    </s:row>
    <s:row r="6331" ht="20" customHeight="1">
      <s:c r="A6331" s="112" t="inlineStr">
        <s:is>
          <s:t>Dữ liệu test</s:t>
        </s:is>
      </s:c>
      <s:c r="B6331" s="113" t="inlineStr">
        <s:is>
          <s:t>• —</s:t>
        </s:is>
      </s:c>
      <s:c r="C6331" s="28" t="n"/>
      <s:c r="D6331" s="28" t="n"/>
      <s:c r="E6331" s="28" t="n"/>
    </s:row>
    <s:row r="6332" ht="20" customHeight="1">
      <s:c r="A6332" s="112" t="inlineStr">
        <s:is>
          <s:t>Bước 1</s:t>
        </s:is>
      </s:c>
      <s:c r="B6332" s="113" t="inlineStr">
        <s:is>
          <s:t>Xem ba lựa chọn loại.</s:t>
        </s:is>
      </s:c>
      <s:c r="C6332" s="28" t="n"/>
      <s:c r="D6332" s="28" t="n"/>
      <s:c r="E6332" s="28" t="n"/>
    </s:row>
    <s:row r="6333" ht="20" customHeight="1">
      <s:c r="A6333" s="112" t="inlineStr">
        <s:is>
          <s:t>Bước 2</s:t>
        </s:is>
      </s:c>
      <s:c r="B6333" s="113" t="inlineStr">
        <s:is>
          <s:r>
            <s:rPr>
              <s:b val="1"/>
            </s:rPr>
            <s:t>Đổi Dấu so sánh（比較条件）</s:t>
          </s:r>
          <s:r>
            <s:t xml:space="preserve"> </s:t>
          </s:r>
          <s:r>
            <s:rPr>
              <s:b val="1"/>
            </s:rPr>
            <s:t>giữa Nhỏ hơn（未満）</s:t>
          </s:r>
          <s:r>
            <s:t xml:space="preserve"> và </s:t>
          </s:r>
          <s:r>
            <s:rPr>
              <s:b val="1"/>
            </s:rPr>
            <s:t>Nhỏ hơn hoặc bằng（以下）</s:t>
          </s:r>
          <s:r>
            <s:t>.</s:t>
          </s:r>
        </s:is>
      </s:c>
      <s:c r="C6333" s="28" t="n"/>
      <s:c r="D6333" s="28" t="n"/>
      <s:c r="E6333" s="28" t="n"/>
    </s:row>
    <s:row r="6334" ht="28" customHeight="1">
      <s:c r="A6334" s="115" t="inlineStr">
        <s:is>
          <s:t>Trường hợp</s:t>
        </s:is>
      </s:c>
      <s:c r="B6334" s="115" t="inlineStr">
        <s:is>
          <s:t>Dữ liệu / thao tác riêng</s:t>
        </s:is>
      </s:c>
      <s:c r="C6334" s="115" t="inlineStr">
        <s:is>
          <s:t>Kết quả mong đợi</s:t>
        </s:is>
      </s:c>
      <s:c r="D6334" s="115" t="inlineStr">
        <s:is>
          <s:t>Kết quả thực tế</s:t>
        </s:is>
      </s:c>
      <s:c r="E6334" s="115" t="inlineStr">
        <s:is>
          <s:t>Đánh giá</s:t>
        </s:is>
      </s:c>
    </s:row>
    <s:row r="6335" ht="3" customHeight="1">
      <s:c r="A6335" s="102" t="inlineStr"/>
      <s:c r="B6335" s="99" t="n"/>
      <s:c r="C6335" s="99" t="n"/>
      <s:c r="D6335" s="116" t="n"/>
      <s:c r="E6335" s="116" t="n"/>
    </s:row>
    <s:row r="6336" ht="76" customHeight="1">
      <s:c r="A6336" s="83" t="inlineStr">
        <s:is>
          <s:t>Nhỏ hơn (lt)</s:t>
        </s:is>
      </s:c>
      <s:c r="B6336" s="83" t="inlineStr">
        <s:is>
          <s:t>Dấu nhỏ hơn</s:t>
        </s:is>
      </s:c>
      <s:c r="C6336" s="83" t="inlineStr">
        <s:is>
          <s:r>
            <s:t xml:space="preserve">1. </s:t>
          </s:r>
          <s:r>
            <s:rPr>
              <s:b val="1"/>
            </s:rPr>
            <s:t>Có Điểm cố định（固定点数）</s:t>
          </s:r>
          <s:r>
            <s:t xml:space="preserve">, Tỷ </s:t>
          </s:r>
          <s:r>
            <s:rPr>
              <s:b val="1"/>
            </s:rPr>
            <s:t>lệ điểm tối đa（得点率）</s:t>
          </s:r>
          <s:r>
            <s:t xml:space="preserve">, </s:t>
          </s:r>
          <s:r>
            <s:rPr>
              <s:b val="1"/>
            </s:rPr>
            <s:t>Công thức（計算式）</s:t>
          </s:r>
          <s:r>
            <s:t xml:space="preserve"> (theo phạm vi phát hành — xem UI-025).
2. Câu giải thích dưới dấu đổi theo lựa chọn.</s:t>
          </s:r>
        </s:is>
      </s:c>
      <s:c r="D6336" s="117" t="inlineStr"/>
      <s:c r="E6336" s="118" t="inlineStr">
        <s:is>
          <s:t>Chưa thực hiện</s:t>
        </s:is>
      </s:c>
    </s:row>
    <s:row r="6337" ht="3" customHeight="1">
      <s:c r="A6337" s="102" t="inlineStr"/>
      <s:c r="B6337" s="99" t="n"/>
      <s:c r="C6337" s="99" t="n"/>
      <s:c r="D6337" s="116" t="n"/>
      <s:c r="E6337" s="116" t="n"/>
    </s:row>
    <s:row r="6338" ht="76" customHeight="1">
      <s:c r="A6338" s="83" t="inlineStr">
        <s:is>
          <s:t>Nhỏ hơn hoặc bằng (le)</s:t>
        </s:is>
      </s:c>
      <s:c r="B6338" s="83" t="inlineStr">
        <s:is>
          <s:t>Dấu nhỏ hơn hoặc bằng</s:t>
        </s:is>
      </s:c>
      <s:c r="C6338" s="83" t="inlineStr">
        <s:is>
          <s:r>
            <s:t xml:space="preserve">1. </s:t>
          </s:r>
          <s:r>
            <s:rPr>
              <s:b val="1"/>
            </s:rPr>
            <s:t>Có Điểm cố định（固定点数）</s:t>
          </s:r>
          <s:r>
            <s:t xml:space="preserve">, Tỷ </s:t>
          </s:r>
          <s:r>
            <s:rPr>
              <s:b val="1"/>
            </s:rPr>
            <s:t>lệ điểm tối đa（得点率）</s:t>
          </s:r>
          <s:r>
            <s:t xml:space="preserve">, </s:t>
          </s:r>
          <s:r>
            <s:rPr>
              <s:b val="1"/>
            </s:rPr>
            <s:t>Công thức（計算式）</s:t>
          </s:r>
          <s:r>
            <s:t xml:space="preserve"> (theo phạm vi phát hành — xem UI-025).
2. Câu giải thích dưới dấu đổi theo lựa chọn.</s:t>
          </s:r>
        </s:is>
      </s:c>
      <s:c r="D6338" s="117" t="inlineStr"/>
      <s:c r="E6338" s="118" t="inlineStr">
        <s:is>
          <s:t>Chưa thực hiện</s:t>
        </s:is>
      </s:c>
    </s:row>
    <s:row r="6339" ht="20" customHeight="1">
      <s:c r="A6339" s="119" t="inlineStr">
        <s:is>
          <s:t>Ảnh minh chứng — Chưa có ảnh</s:t>
        </s:is>
      </s:c>
      <s:c r="B6339" s="19" t="n"/>
      <s:c r="C6339" s="19" t="n"/>
      <s:c r="D6339" s="19" t="n"/>
      <s:c r="E6339" s="19" t="n"/>
    </s:row>
    <s:row r="6340" hidden="1" ht="1" customHeight="1">
      <s:c r="A6340" s="120" t="inlineStr"/>
      <s:c r="B6340" s="121" t="n"/>
      <s:c r="C6340" s="121" t="n"/>
      <s:c r="D6340" s="121" t="n"/>
      <s:c r="E6340" s="122" t="n"/>
    </s:row>
    <s:row r="6341" hidden="1" ht="1" customHeight="1">
      <s:c r="A6341" s="120" t="inlineStr"/>
      <s:c r="B6341" s="121" t="n"/>
      <s:c r="C6341" s="121" t="n"/>
      <s:c r="D6341" s="121" t="n"/>
      <s:c r="E6341" s="122" t="n"/>
    </s:row>
    <s:row r="6342" hidden="1" ht="1" customHeight="1">
      <s:c r="A6342" s="120" t="inlineStr"/>
      <s:c r="B6342" s="121" t="n"/>
      <s:c r="C6342" s="121" t="n"/>
      <s:c r="D6342" s="121" t="n"/>
      <s:c r="E6342" s="122" t="n"/>
    </s:row>
    <s:row r="6343" hidden="1" ht="1" customHeight="1">
      <s:c r="A6343" s="120" t="inlineStr"/>
      <s:c r="B6343" s="121" t="n"/>
      <s:c r="C6343" s="121" t="n"/>
      <s:c r="D6343" s="121" t="n"/>
      <s:c r="E6343" s="122" t="n"/>
    </s:row>
    <s:row r="6344" hidden="1" ht="1" customHeight="1">
      <s:c r="A6344" s="120" t="inlineStr"/>
      <s:c r="B6344" s="121" t="n"/>
      <s:c r="C6344" s="121" t="n"/>
      <s:c r="D6344" s="121" t="n"/>
      <s:c r="E6344" s="122" t="n"/>
    </s:row>
    <s:row r="6345" hidden="1" ht="1" customHeight="1">
      <s:c r="A6345" s="120" t="inlineStr"/>
      <s:c r="B6345" s="121" t="n"/>
      <s:c r="C6345" s="121" t="n"/>
      <s:c r="D6345" s="121" t="n"/>
      <s:c r="E6345" s="122" t="n"/>
    </s:row>
    <s:row r="6346" hidden="1" ht="1" customHeight="1">
      <s:c r="A6346" s="120" t="inlineStr"/>
      <s:c r="B6346" s="121" t="n"/>
      <s:c r="C6346" s="121" t="n"/>
      <s:c r="D6346" s="121" t="n"/>
      <s:c r="E6346" s="122" t="n"/>
    </s:row>
    <s:row r="6347" hidden="1" ht="1" customHeight="1">
      <s:c r="A6347" s="120" t="inlineStr"/>
      <s:c r="B6347" s="121" t="n"/>
      <s:c r="C6347" s="121" t="n"/>
      <s:c r="D6347" s="121" t="n"/>
      <s:c r="E6347" s="122" t="n"/>
    </s:row>
    <s:row r="6348" hidden="1" ht="1" customHeight="1">
      <s:c r="A6348" s="120" t="inlineStr"/>
      <s:c r="B6348" s="121" t="n"/>
      <s:c r="C6348" s="121" t="n"/>
      <s:c r="D6348" s="121" t="n"/>
      <s:c r="E6348" s="122" t="n"/>
    </s:row>
    <s:row r="6349" hidden="1" ht="1" customHeight="1">
      <s:c r="A6349" s="120" t="inlineStr"/>
      <s:c r="B6349" s="121" t="n"/>
      <s:c r="C6349" s="121" t="n"/>
      <s:c r="D6349" s="121" t="n"/>
      <s:c r="E6349" s="122" t="n"/>
    </s:row>
    <s:row r="6350" hidden="1" ht="1" customHeight="1">
      <s:c r="A6350" s="120" t="inlineStr"/>
      <s:c r="B6350" s="121" t="n"/>
      <s:c r="C6350" s="121" t="n"/>
      <s:c r="D6350" s="121" t="n"/>
      <s:c r="E6350" s="122" t="n"/>
    </s:row>
    <s:row r="6351" hidden="1" ht="1" customHeight="1">
      <s:c r="A6351" s="120" t="inlineStr"/>
      <s:c r="B6351" s="121" t="n"/>
      <s:c r="C6351" s="121" t="n"/>
      <s:c r="D6351" s="121" t="n"/>
      <s:c r="E6351" s="122" t="n"/>
    </s:row>
    <s:row r="6352" hidden="1" ht="1" customHeight="1">
      <s:c r="A6352" s="120" t="inlineStr"/>
      <s:c r="B6352" s="121" t="n"/>
      <s:c r="C6352" s="121" t="n"/>
      <s:c r="D6352" s="121" t="n"/>
      <s:c r="E6352" s="122" t="n"/>
    </s:row>
    <s:row r="6353" hidden="1" ht="1" customHeight="1">
      <s:c r="A6353" s="120" t="inlineStr"/>
      <s:c r="B6353" s="121" t="n"/>
      <s:c r="C6353" s="121" t="n"/>
      <s:c r="D6353" s="121" t="n"/>
      <s:c r="E6353" s="122" t="n"/>
    </s:row>
    <s:row r="6354" hidden="1" ht="1" customHeight="1">
      <s:c r="A6354" s="120" t="inlineStr"/>
      <s:c r="B6354" s="121" t="n"/>
      <s:c r="C6354" s="121" t="n"/>
      <s:c r="D6354" s="121" t="n"/>
      <s:c r="E6354" s="122" t="n"/>
    </s:row>
    <s:row r="6355" hidden="1" ht="1" customHeight="1">
      <s:c r="A6355" s="120" t="inlineStr"/>
      <s:c r="B6355" s="121" t="n"/>
      <s:c r="C6355" s="121" t="n"/>
      <s:c r="D6355" s="121" t="n"/>
      <s:c r="E6355" s="122" t="n"/>
    </s:row>
    <s:row r="6356" hidden="1" ht="1" customHeight="1">
      <s:c r="A6356" s="120" t="inlineStr"/>
      <s:c r="B6356" s="121" t="n"/>
      <s:c r="C6356" s="121" t="n"/>
      <s:c r="D6356" s="121" t="n"/>
      <s:c r="E6356" s="122" t="n"/>
    </s:row>
    <s:row r="6357" hidden="1" ht="1" customHeight="1">
      <s:c r="A6357" s="120" t="inlineStr"/>
      <s:c r="B6357" s="121" t="n"/>
      <s:c r="C6357" s="121" t="n"/>
      <s:c r="D6357" s="121" t="n"/>
      <s:c r="E6357" s="122" t="n"/>
    </s:row>
    <s:row r="6358" hidden="1" ht="1" customHeight="1">
      <s:c r="A6358" s="120" t="inlineStr"/>
      <s:c r="B6358" s="121" t="n"/>
      <s:c r="C6358" s="121" t="n"/>
      <s:c r="D6358" s="121" t="n"/>
      <s:c r="E6358" s="122" t="n"/>
    </s:row>
    <s:row r="6359" hidden="1" ht="1" customHeight="1">
      <s:c r="A6359" s="120" t="inlineStr"/>
      <s:c r="B6359" s="121" t="n"/>
      <s:c r="C6359" s="121" t="n"/>
      <s:c r="D6359" s="121" t="n"/>
      <s:c r="E6359" s="122" t="n"/>
    </s:row>
    <s:row r="6360" hidden="1" ht="1" customHeight="1">
      <s:c r="A6360" s="120" t="inlineStr"/>
      <s:c r="B6360" s="121" t="n"/>
      <s:c r="C6360" s="121" t="n"/>
      <s:c r="D6360" s="121" t="n"/>
      <s:c r="E6360" s="122" t="n"/>
    </s:row>
    <s:row r="6361" hidden="1" ht="1" customHeight="1">
      <s:c r="A6361" s="120" t="inlineStr"/>
      <s:c r="B6361" s="121" t="n"/>
      <s:c r="C6361" s="121" t="n"/>
      <s:c r="D6361" s="121" t="n"/>
      <s:c r="E6361" s="122" t="n"/>
    </s:row>
    <s:row r="6362" hidden="1" ht="1" customHeight="1">
      <s:c r="A6362" s="120" t="inlineStr"/>
      <s:c r="B6362" s="121" t="n"/>
      <s:c r="C6362" s="121" t="n"/>
      <s:c r="D6362" s="121" t="n"/>
      <s:c r="E6362" s="122" t="n"/>
    </s:row>
    <s:row r="6363" hidden="1" ht="1" customHeight="1">
      <s:c r="A6363" s="120" t="inlineStr"/>
      <s:c r="B6363" s="121" t="n"/>
      <s:c r="C6363" s="121" t="n"/>
      <s:c r="D6363" s="121" t="n"/>
      <s:c r="E6363" s="122" t="n"/>
    </s:row>
    <s:row r="6364" hidden="1" ht="1" customHeight="1">
      <s:c r="A6364" s="120" t="inlineStr"/>
      <s:c r="B6364" s="121" t="n"/>
      <s:c r="C6364" s="121" t="n"/>
      <s:c r="D6364" s="121" t="n"/>
      <s:c r="E6364" s="122" t="n"/>
    </s:row>
    <s:row r="6365" hidden="1" ht="1" customHeight="1">
      <s:c r="A6365" s="120" t="inlineStr"/>
      <s:c r="B6365" s="121" t="n"/>
      <s:c r="C6365" s="121" t="n"/>
      <s:c r="D6365" s="121" t="n"/>
      <s:c r="E6365" s="122" t="n"/>
    </s:row>
    <s:row r="6366" hidden="1" ht="1" customHeight="1">
      <s:c r="A6366" s="120" t="inlineStr"/>
      <s:c r="B6366" s="121" t="n"/>
      <s:c r="C6366" s="121" t="n"/>
      <s:c r="D6366" s="121" t="n"/>
      <s:c r="E6366" s="122" t="n"/>
    </s:row>
    <s:row r="6367" hidden="1" ht="1" customHeight="1">
      <s:c r="A6367" s="120" t="inlineStr"/>
      <s:c r="B6367" s="121" t="n"/>
      <s:c r="C6367" s="121" t="n"/>
      <s:c r="D6367" s="121" t="n"/>
      <s:c r="E6367" s="122" t="n"/>
    </s:row>
    <s:row r="6368" hidden="1" ht="1" customHeight="1">
      <s:c r="A6368" s="120" t="inlineStr"/>
      <s:c r="B6368" s="121" t="n"/>
      <s:c r="C6368" s="121" t="n"/>
      <s:c r="D6368" s="121" t="n"/>
      <s:c r="E6368" s="122" t="n"/>
    </s:row>
    <s:row r="6369" hidden="1" ht="1" customHeight="1">
      <s:c r="A6369" s="120" t="inlineStr"/>
      <s:c r="B6369" s="121" t="n"/>
      <s:c r="C6369" s="121" t="n"/>
      <s:c r="D6369" s="121" t="n"/>
      <s:c r="E6369" s="122" t="n"/>
    </s:row>
    <s:row r="6370" hidden="1" ht="1" customHeight="1">
      <s:c r="A6370" s="120" t="inlineStr"/>
      <s:c r="B6370" s="121" t="n"/>
      <s:c r="C6370" s="121" t="n"/>
      <s:c r="D6370" s="121" t="n"/>
      <s:c r="E6370" s="122" t="n"/>
    </s:row>
    <s:row r="6371" hidden="1" ht="1" customHeight="1">
      <s:c r="A6371" s="120" t="inlineStr"/>
      <s:c r="B6371" s="121" t="n"/>
      <s:c r="C6371" s="121" t="n"/>
      <s:c r="D6371" s="121" t="n"/>
      <s:c r="E6371" s="122" t="n"/>
    </s:row>
    <s:row r="6372" hidden="1" ht="1" customHeight="1">
      <s:c r="A6372" s="120" t="inlineStr"/>
      <s:c r="B6372" s="121" t="n"/>
      <s:c r="C6372" s="121" t="n"/>
      <s:c r="D6372" s="121" t="n"/>
      <s:c r="E6372" s="122" t="n"/>
    </s:row>
    <s:row r="6373" hidden="1" ht="1" customHeight="1">
      <s:c r="A6373" s="120" t="inlineStr"/>
      <s:c r="B6373" s="121" t="n"/>
      <s:c r="C6373" s="121" t="n"/>
      <s:c r="D6373" s="121" t="n"/>
      <s:c r="E6373" s="122" t="n"/>
    </s:row>
    <s:row r="6374" hidden="1" ht="1" customHeight="1">
      <s:c r="A6374" s="120" t="inlineStr"/>
      <s:c r="B6374" s="121" t="n"/>
      <s:c r="C6374" s="121" t="n"/>
      <s:c r="D6374" s="121" t="n"/>
      <s:c r="E6374" s="122" t="n"/>
    </s:row>
    <s:row r="6375" hidden="1" ht="1" customHeight="1">
      <s:c r="A6375" s="120" t="inlineStr"/>
      <s:c r="B6375" s="121" t="n"/>
      <s:c r="C6375" s="121" t="n"/>
      <s:c r="D6375" s="121" t="n"/>
      <s:c r="E6375" s="122" t="n"/>
    </s:row>
    <s:row r="6376" hidden="1" ht="1" customHeight="1">
      <s:c r="A6376" s="120" t="inlineStr"/>
      <s:c r="B6376" s="121" t="n"/>
      <s:c r="C6376" s="121" t="n"/>
      <s:c r="D6376" s="121" t="n"/>
      <s:c r="E6376" s="122" t="n"/>
    </s:row>
    <s:row r="6377" hidden="1" ht="1" customHeight="1">
      <s:c r="A6377" s="120" t="inlineStr"/>
      <s:c r="B6377" s="121" t="n"/>
      <s:c r="C6377" s="121" t="n"/>
      <s:c r="D6377" s="121" t="n"/>
      <s:c r="E6377" s="122" t="n"/>
    </s:row>
    <s:row r="6378" hidden="1" ht="1" customHeight="1">
      <s:c r="A6378" s="120" t="inlineStr"/>
      <s:c r="B6378" s="121" t="n"/>
      <s:c r="C6378" s="121" t="n"/>
      <s:c r="D6378" s="121" t="n"/>
      <s:c r="E6378" s="122" t="n"/>
    </s:row>
    <s:row r="6379" hidden="1" ht="1" customHeight="1">
      <s:c r="A6379" s="120" t="inlineStr"/>
      <s:c r="B6379" s="121" t="n"/>
      <s:c r="C6379" s="121" t="n"/>
      <s:c r="D6379" s="121" t="n"/>
      <s:c r="E6379" s="122" t="n"/>
    </s:row>
    <s:row r="6380" hidden="1" ht="1" customHeight="1">
      <s:c r="A6380" s="120" t="inlineStr"/>
      <s:c r="B6380" s="121" t="n"/>
      <s:c r="C6380" s="121" t="n"/>
      <s:c r="D6380" s="121" t="n"/>
      <s:c r="E6380" s="122" t="n"/>
    </s:row>
    <s:row r="6381" hidden="1" ht="1" customHeight="1">
      <s:c r="A6381" s="120" t="inlineStr"/>
      <s:c r="B6381" s="121" t="n"/>
      <s:c r="C6381" s="121" t="n"/>
      <s:c r="D6381" s="121" t="n"/>
      <s:c r="E6381" s="122" t="n"/>
    </s:row>
    <s:row r="6382" hidden="1" ht="1" customHeight="1">
      <s:c r="A6382" s="120" t="inlineStr"/>
      <s:c r="B6382" s="121" t="n"/>
      <s:c r="C6382" s="121" t="n"/>
      <s:c r="D6382" s="121" t="n"/>
      <s:c r="E6382" s="122" t="n"/>
    </s:row>
    <s:row r="6383" hidden="1" ht="1" customHeight="1">
      <s:c r="A6383" s="120" t="inlineStr"/>
      <s:c r="B6383" s="121" t="n"/>
      <s:c r="C6383" s="121" t="n"/>
      <s:c r="D6383" s="121" t="n"/>
      <s:c r="E6383" s="122" t="n"/>
    </s:row>
    <s:row r="6384" hidden="1" ht="1" customHeight="1">
      <s:c r="A6384" s="120" t="inlineStr"/>
      <s:c r="B6384" s="121" t="n"/>
      <s:c r="C6384" s="121" t="n"/>
      <s:c r="D6384" s="121" t="n"/>
      <s:c r="E6384" s="122" t="n"/>
    </s:row>
    <s:row r="6385" hidden="1" ht="1" customHeight="1">
      <s:c r="A6385" s="120" t="inlineStr"/>
      <s:c r="B6385" s="121" t="n"/>
      <s:c r="C6385" s="121" t="n"/>
      <s:c r="D6385" s="121" t="n"/>
      <s:c r="E6385" s="122" t="n"/>
    </s:row>
    <s:row r="6386" hidden="1" ht="1" customHeight="1">
      <s:c r="A6386" s="120" t="inlineStr"/>
      <s:c r="B6386" s="121" t="n"/>
      <s:c r="C6386" s="121" t="n"/>
      <s:c r="D6386" s="121" t="n"/>
      <s:c r="E6386" s="122" t="n"/>
    </s:row>
    <s:row r="6387" hidden="1" ht="1" customHeight="1">
      <s:c r="A6387" s="120" t="inlineStr"/>
      <s:c r="B6387" s="121" t="n"/>
      <s:c r="C6387" s="121" t="n"/>
      <s:c r="D6387" s="121" t="n"/>
      <s:c r="E6387" s="122" t="n"/>
    </s:row>
    <s:row r="6388" hidden="1" ht="1" customHeight="1">
      <s:c r="A6388" s="120" t="inlineStr"/>
      <s:c r="B6388" s="121" t="n"/>
      <s:c r="C6388" s="121" t="n"/>
      <s:c r="D6388" s="121" t="n"/>
      <s:c r="E6388" s="122" t="n"/>
    </s:row>
    <s:row r="6389" hidden="1" ht="1" customHeight="1">
      <s:c r="A6389" s="120" t="inlineStr"/>
      <s:c r="B6389" s="121" t="n"/>
      <s:c r="C6389" s="121" t="n"/>
      <s:c r="D6389" s="121" t="n"/>
      <s:c r="E6389" s="122" t="n"/>
    </s:row>
    <s:row r="6390" hidden="1" ht="1" customHeight="1">
      <s:c r="A6390" s="120" t="inlineStr"/>
      <s:c r="B6390" s="121" t="n"/>
      <s:c r="C6390" s="121" t="n"/>
      <s:c r="D6390" s="121" t="n"/>
      <s:c r="E6390" s="122" t="n"/>
    </s:row>
    <s:row r="6391" hidden="1" ht="1" customHeight="1">
      <s:c r="A6391" s="120" t="inlineStr"/>
      <s:c r="B6391" s="121" t="n"/>
      <s:c r="C6391" s="121" t="n"/>
      <s:c r="D6391" s="121" t="n"/>
      <s:c r="E6391" s="122" t="n"/>
    </s:row>
    <s:row r="6392" hidden="1" ht="1" customHeight="1">
      <s:c r="A6392" s="120" t="inlineStr"/>
      <s:c r="B6392" s="121" t="n"/>
      <s:c r="C6392" s="121" t="n"/>
      <s:c r="D6392" s="121" t="n"/>
      <s:c r="E6392" s="122" t="n"/>
    </s:row>
    <s:row r="6393" hidden="1" ht="1" customHeight="1">
      <s:c r="A6393" s="120" t="inlineStr"/>
      <s:c r="B6393" s="121" t="n"/>
      <s:c r="C6393" s="121" t="n"/>
      <s:c r="D6393" s="121" t="n"/>
      <s:c r="E6393" s="122" t="n"/>
    </s:row>
    <s:row r="6394" hidden="1" ht="1" customHeight="1">
      <s:c r="A6394" s="120" t="inlineStr"/>
      <s:c r="B6394" s="121" t="n"/>
      <s:c r="C6394" s="121" t="n"/>
      <s:c r="D6394" s="121" t="n"/>
      <s:c r="E6394" s="122" t="n"/>
    </s:row>
    <s:row r="6395" hidden="1" ht="1" customHeight="1">
      <s:c r="A6395" s="120" t="inlineStr"/>
      <s:c r="B6395" s="121" t="n"/>
      <s:c r="C6395" s="121" t="n"/>
      <s:c r="D6395" s="121" t="n"/>
      <s:c r="E6395" s="122" t="n"/>
    </s:row>
    <s:row r="6396" hidden="1" ht="1" customHeight="1">
      <s:c r="A6396" s="120" t="inlineStr"/>
      <s:c r="B6396" s="121" t="n"/>
      <s:c r="C6396" s="121" t="n"/>
      <s:c r="D6396" s="121" t="n"/>
      <s:c r="E6396" s="122" t="n"/>
    </s:row>
    <s:row r="6397" hidden="1" ht="1" customHeight="1">
      <s:c r="A6397" s="120" t="inlineStr"/>
      <s:c r="B6397" s="121" t="n"/>
      <s:c r="C6397" s="121" t="n"/>
      <s:c r="D6397" s="121" t="n"/>
      <s:c r="E6397" s="122" t="n"/>
    </s:row>
    <s:row r="6398" hidden="1" ht="1" customHeight="1">
      <s:c r="A6398" s="120" t="inlineStr"/>
      <s:c r="B6398" s="121" t="n"/>
      <s:c r="C6398" s="121" t="n"/>
      <s:c r="D6398" s="121" t="n"/>
      <s:c r="E6398" s="122" t="n"/>
    </s:row>
    <s:row r="6399" hidden="1" ht="1" customHeight="1">
      <s:c r="A6399" s="120" t="inlineStr"/>
      <s:c r="B6399" s="121" t="n"/>
      <s:c r="C6399" s="121" t="n"/>
      <s:c r="D6399" s="121" t="n"/>
      <s:c r="E6399" s="122" t="n"/>
    </s:row>
    <s:row r="6400" hidden="1" ht="1" customHeight="1">
      <s:c r="A6400" s="120" t="inlineStr"/>
      <s:c r="B6400" s="121" t="n"/>
      <s:c r="C6400" s="121" t="n"/>
      <s:c r="D6400" s="121" t="n"/>
      <s:c r="E6400" s="122" t="n"/>
    </s:row>
    <s:row r="6401" hidden="1" ht="1" customHeight="1">
      <s:c r="A6401" s="120" t="inlineStr"/>
      <s:c r="B6401" s="121" t="n"/>
      <s:c r="C6401" s="121" t="n"/>
      <s:c r="D6401" s="121" t="n"/>
      <s:c r="E6401" s="122" t="n"/>
    </s:row>
    <s:row r="6402" hidden="1" ht="1" customHeight="1">
      <s:c r="A6402" s="120" t="inlineStr"/>
      <s:c r="B6402" s="121" t="n"/>
      <s:c r="C6402" s="121" t="n"/>
      <s:c r="D6402" s="121" t="n"/>
      <s:c r="E6402" s="122" t="n"/>
    </s:row>
    <s:row r="6403" hidden="1" ht="1" customHeight="1">
      <s:c r="A6403" s="120" t="inlineStr"/>
      <s:c r="B6403" s="121" t="n"/>
      <s:c r="C6403" s="121" t="n"/>
      <s:c r="D6403" s="121" t="n"/>
      <s:c r="E6403" s="122" t="n"/>
    </s:row>
    <s:row r="6404" hidden="1" ht="1" customHeight="1">
      <s:c r="A6404" s="120" t="inlineStr"/>
      <s:c r="B6404" s="121" t="n"/>
      <s:c r="C6404" s="121" t="n"/>
      <s:c r="D6404" s="121" t="n"/>
      <s:c r="E6404" s="122" t="n"/>
    </s:row>
    <s:row r="6405" hidden="1" ht="1" customHeight="1">
      <s:c r="A6405" s="120" t="inlineStr"/>
      <s:c r="B6405" s="121" t="n"/>
      <s:c r="C6405" s="121" t="n"/>
      <s:c r="D6405" s="121" t="n"/>
      <s:c r="E6405" s="122" t="n"/>
    </s:row>
    <s:row r="6406" hidden="1" ht="1" customHeight="1">
      <s:c r="A6406" s="120" t="inlineStr"/>
      <s:c r="B6406" s="121" t="n"/>
      <s:c r="C6406" s="121" t="n"/>
      <s:c r="D6406" s="121" t="n"/>
      <s:c r="E6406" s="122" t="n"/>
    </s:row>
    <s:row r="6407" hidden="1" ht="1" customHeight="1">
      <s:c r="A6407" s="120" t="inlineStr"/>
      <s:c r="B6407" s="121" t="n"/>
      <s:c r="C6407" s="121" t="n"/>
      <s:c r="D6407" s="121" t="n"/>
      <s:c r="E6407" s="122" t="n"/>
    </s:row>
    <s:row r="6408" hidden="1" ht="1" customHeight="1">
      <s:c r="A6408" s="120" t="inlineStr"/>
      <s:c r="B6408" s="121" t="n"/>
      <s:c r="C6408" s="121" t="n"/>
      <s:c r="D6408" s="121" t="n"/>
      <s:c r="E6408" s="122" t="n"/>
    </s:row>
    <s:row r="6409" hidden="1" ht="1" customHeight="1">
      <s:c r="A6409" s="120" t="inlineStr"/>
      <s:c r="B6409" s="121" t="n"/>
      <s:c r="C6409" s="121" t="n"/>
      <s:c r="D6409" s="121" t="n"/>
      <s:c r="E6409" s="122" t="n"/>
    </s:row>
    <s:row r="6410" hidden="1" ht="1" customHeight="1">
      <s:c r="A6410" s="120" t="inlineStr"/>
      <s:c r="B6410" s="121" t="n"/>
      <s:c r="C6410" s="121" t="n"/>
      <s:c r="D6410" s="121" t="n"/>
      <s:c r="E6410" s="122" t="n"/>
    </s:row>
    <s:row r="6411" hidden="1" ht="1" customHeight="1">
      <s:c r="A6411" s="120" t="inlineStr"/>
      <s:c r="B6411" s="121" t="n"/>
      <s:c r="C6411" s="121" t="n"/>
      <s:c r="D6411" s="121" t="n"/>
      <s:c r="E6411" s="122" t="n"/>
    </s:row>
    <s:row r="6412" hidden="1" ht="1" customHeight="1">
      <s:c r="A6412" s="120" t="inlineStr"/>
      <s:c r="B6412" s="121" t="n"/>
      <s:c r="C6412" s="121" t="n"/>
      <s:c r="D6412" s="121" t="n"/>
      <s:c r="E6412" s="122" t="n"/>
    </s:row>
    <s:row r="6413" hidden="1" ht="1" customHeight="1">
      <s:c r="A6413" s="120" t="inlineStr"/>
      <s:c r="B6413" s="121" t="n"/>
      <s:c r="C6413" s="121" t="n"/>
      <s:c r="D6413" s="121" t="n"/>
      <s:c r="E6413" s="122" t="n"/>
    </s:row>
    <s:row r="6414" hidden="1" ht="1" customHeight="1">
      <s:c r="A6414" s="120" t="inlineStr"/>
      <s:c r="B6414" s="121" t="n"/>
      <s:c r="C6414" s="121" t="n"/>
      <s:c r="D6414" s="121" t="n"/>
      <s:c r="E6414" s="122" t="n"/>
    </s:row>
    <s:row r="6415" hidden="1" ht="1" customHeight="1">
      <s:c r="A6415" s="120" t="inlineStr"/>
      <s:c r="B6415" s="121" t="n"/>
      <s:c r="C6415" s="121" t="n"/>
      <s:c r="D6415" s="121" t="n"/>
      <s:c r="E6415" s="122" t="n"/>
    </s:row>
    <s:row r="6416" hidden="1" ht="1" customHeight="1">
      <s:c r="A6416" s="120" t="inlineStr"/>
      <s:c r="B6416" s="121" t="n"/>
      <s:c r="C6416" s="121" t="n"/>
      <s:c r="D6416" s="121" t="n"/>
      <s:c r="E6416" s="122" t="n"/>
    </s:row>
    <s:row r="6417" hidden="1" ht="1" customHeight="1">
      <s:c r="A6417" s="120" t="inlineStr"/>
      <s:c r="B6417" s="121" t="n"/>
      <s:c r="C6417" s="121" t="n"/>
      <s:c r="D6417" s="121" t="n"/>
      <s:c r="E6417" s="122" t="n"/>
    </s:row>
    <s:row r="6418" hidden="1" ht="1" customHeight="1">
      <s:c r="A6418" s="120" t="inlineStr"/>
      <s:c r="B6418" s="121" t="n"/>
      <s:c r="C6418" s="121" t="n"/>
      <s:c r="D6418" s="121" t="n"/>
      <s:c r="E6418" s="122" t="n"/>
    </s:row>
    <s:row r="6419" hidden="1" ht="1" customHeight="1">
      <s:c r="A6419" s="120" t="inlineStr"/>
      <s:c r="B6419" s="121" t="n"/>
      <s:c r="C6419" s="121" t="n"/>
      <s:c r="D6419" s="121" t="n"/>
      <s:c r="E6419" s="122" t="n"/>
    </s:row>
    <s:row r="6420" hidden="1" ht="1" customHeight="1">
      <s:c r="A6420" s="120" t="inlineStr"/>
      <s:c r="B6420" s="121" t="n"/>
      <s:c r="C6420" s="121" t="n"/>
      <s:c r="D6420" s="121" t="n"/>
      <s:c r="E6420" s="122" t="n"/>
    </s:row>
    <s:row r="6421" hidden="1" ht="1" customHeight="1">
      <s:c r="A6421" s="120" t="inlineStr"/>
      <s:c r="B6421" s="121" t="n"/>
      <s:c r="C6421" s="121" t="n"/>
      <s:c r="D6421" s="121" t="n"/>
      <s:c r="E6421" s="122" t="n"/>
    </s:row>
    <s:row r="6422" hidden="1" ht="1" customHeight="1">
      <s:c r="A6422" s="120" t="inlineStr"/>
      <s:c r="B6422" s="121" t="n"/>
      <s:c r="C6422" s="121" t="n"/>
      <s:c r="D6422" s="121" t="n"/>
      <s:c r="E6422" s="122" t="n"/>
    </s:row>
    <s:row r="6423" hidden="1" ht="1" customHeight="1">
      <s:c r="A6423" s="120" t="inlineStr"/>
      <s:c r="B6423" s="121" t="n"/>
      <s:c r="C6423" s="121" t="n"/>
      <s:c r="D6423" s="121" t="n"/>
      <s:c r="E6423" s="122" t="n"/>
    </s:row>
    <s:row r="6424" hidden="1" ht="1" customHeight="1">
      <s:c r="A6424" s="120" t="inlineStr"/>
      <s:c r="B6424" s="121" t="n"/>
      <s:c r="C6424" s="121" t="n"/>
      <s:c r="D6424" s="121" t="n"/>
      <s:c r="E6424" s="122" t="n"/>
    </s:row>
    <s:row r="6425" hidden="1" ht="1" customHeight="1">
      <s:c r="A6425" s="120" t="inlineStr"/>
      <s:c r="B6425" s="121" t="n"/>
      <s:c r="C6425" s="121" t="n"/>
      <s:c r="D6425" s="121" t="n"/>
      <s:c r="E6425" s="122" t="n"/>
    </s:row>
    <s:row r="6426" hidden="1" ht="1" customHeight="1">
      <s:c r="A6426" s="120" t="inlineStr"/>
      <s:c r="B6426" s="121" t="n"/>
      <s:c r="C6426" s="121" t="n"/>
      <s:c r="D6426" s="121" t="n"/>
      <s:c r="E6426" s="122" t="n"/>
    </s:row>
    <s:row r="6427" hidden="1" ht="1" customHeight="1">
      <s:c r="A6427" s="120" t="inlineStr"/>
      <s:c r="B6427" s="121" t="n"/>
      <s:c r="C6427" s="121" t="n"/>
      <s:c r="D6427" s="121" t="n"/>
      <s:c r="E6427" s="122" t="n"/>
    </s:row>
    <s:row r="6428" hidden="1" ht="1" customHeight="1">
      <s:c r="A6428" s="120" t="inlineStr"/>
      <s:c r="B6428" s="121" t="n"/>
      <s:c r="C6428" s="121" t="n"/>
      <s:c r="D6428" s="121" t="n"/>
      <s:c r="E6428" s="122" t="n"/>
    </s:row>
    <s:row r="6429" hidden="1" ht="1" customHeight="1">
      <s:c r="A6429" s="120" t="inlineStr"/>
      <s:c r="B6429" s="121" t="n"/>
      <s:c r="C6429" s="121" t="n"/>
      <s:c r="D6429" s="121" t="n"/>
      <s:c r="E6429" s="122" t="n"/>
    </s:row>
    <s:row r="6430" hidden="1" ht="1" customHeight="1">
      <s:c r="A6430" s="120" t="inlineStr"/>
      <s:c r="B6430" s="121" t="n"/>
      <s:c r="C6430" s="121" t="n"/>
      <s:c r="D6430" s="121" t="n"/>
      <s:c r="E6430" s="122" t="n"/>
    </s:row>
    <s:row r="6431" hidden="1" ht="1" customHeight="1">
      <s:c r="A6431" s="120" t="inlineStr"/>
      <s:c r="B6431" s="121" t="n"/>
      <s:c r="C6431" s="121" t="n"/>
      <s:c r="D6431" s="121" t="n"/>
      <s:c r="E6431" s="122" t="n"/>
    </s:row>
    <s:row r="6432" hidden="1" ht="1" customHeight="1">
      <s:c r="A6432" s="120" t="inlineStr"/>
      <s:c r="B6432" s="121" t="n"/>
      <s:c r="C6432" s="121" t="n"/>
      <s:c r="D6432" s="121" t="n"/>
      <s:c r="E6432" s="122" t="n"/>
    </s:row>
    <s:row r="6433" hidden="1" ht="1" customHeight="1">
      <s:c r="A6433" s="120" t="inlineStr"/>
      <s:c r="B6433" s="121" t="n"/>
      <s:c r="C6433" s="121" t="n"/>
      <s:c r="D6433" s="121" t="n"/>
      <s:c r="E6433" s="122" t="n"/>
    </s:row>
    <s:row r="6434" hidden="1" ht="1" customHeight="1">
      <s:c r="A6434" s="120" t="inlineStr"/>
      <s:c r="B6434" s="121" t="n"/>
      <s:c r="C6434" s="121" t="n"/>
      <s:c r="D6434" s="121" t="n"/>
      <s:c r="E6434" s="122" t="n"/>
    </s:row>
    <s:row r="6435" hidden="1" ht="1" customHeight="1">
      <s:c r="A6435" s="120" t="inlineStr"/>
      <s:c r="B6435" s="121" t="n"/>
      <s:c r="C6435" s="121" t="n"/>
      <s:c r="D6435" s="121" t="n"/>
      <s:c r="E6435" s="122" t="n"/>
    </s:row>
    <s:row r="6436" hidden="1" ht="1" customHeight="1">
      <s:c r="A6436" s="83" t="inlineStr">
        <s:is>
          <s:t>PASS</s:t>
        </s:is>
      </s:c>
      <s:c r="B6436" s="83">
        <s:f>SUM(IF(EXACT('Kiểm thử'!E6336,"Đạt"),1,0),IF(EXACT('Kiểm thử'!E6338,"Đạt"),1,0))</s:f>
        <s:v/>
      </s:c>
      <s:c r="C6436" s="19" t="n"/>
      <s:c r="D6436" s="19" t="n"/>
      <s:c r="E6436" s="19" t="n"/>
    </s:row>
    <s:row r="6437" hidden="1" ht="1" customHeight="1">
      <s:c r="A6437" s="83" t="inlineStr">
        <s:is>
          <s:t>FAIL</s:t>
        </s:is>
      </s:c>
      <s:c r="B6437" s="83">
        <s:f>SUM(IF(EXACT('Kiểm thử'!E6336,"Không đạt"),1,0),IF(EXACT('Kiểm thử'!E6338,"Không đạt"),1,0))</s:f>
        <s:v/>
      </s:c>
      <s:c r="C6437" s="19" t="n"/>
      <s:c r="D6437" s="19" t="n"/>
      <s:c r="E6437" s="19" t="n"/>
    </s:row>
    <s:row r="6438" hidden="1" ht="1" customHeight="1">
      <s:c r="A6438" s="83" t="inlineStr">
        <s:is>
          <s:t>BLOCKED</s:t>
        </s:is>
      </s:c>
      <s:c r="B6438" s="83">
        <s:f>SUM(IF(EXACT('Kiểm thử'!E6336,"Bị chặn"),1,0),IF(EXACT('Kiểm thử'!E6338,"Bị chặn"),1,0))</s:f>
        <s:v/>
      </s:c>
      <s:c r="C6438" s="19" t="n"/>
      <s:c r="D6438" s="19" t="n"/>
      <s:c r="E6438" s="19" t="n"/>
    </s:row>
    <s:row r="6439" hidden="1" ht="1" customHeight="1">
      <s:c r="A6439" s="83" t="inlineStr">
        <s:is>
          <s:t>SKIPPED</s:t>
        </s:is>
      </s:c>
      <s:c r="B6439" s="83">
        <s:f>SUM(IF(EXACT('Kiểm thử'!E6336,"Không thực hiện"),1,0),IF(EXACT('Kiểm thử'!E6338,"Không thực hiện"),1,0))</s:f>
        <s:v/>
      </s:c>
      <s:c r="C6439" s="19" t="n"/>
      <s:c r="D6439" s="19" t="n"/>
      <s:c r="E6439" s="19" t="n"/>
    </s:row>
    <s:row r="6440" hidden="1" ht="1" customHeight="1">
      <s:c r="A6440" s="83" t="inlineStr">
        <s:is>
          <s:t>NOT RUN</s:t>
        </s:is>
      </s:c>
      <s:c r="B6440" s="83">
        <s:f>SUM(IF(EXACT('Kiểm thử'!E6336,"Chưa thực hiện"),1,0),IF(EXACT('Kiểm thử'!E6338,"Chưa thực hiện"),1,0))</s:f>
        <s:v/>
      </s:c>
      <s:c r="C6440" s="19" t="n"/>
      <s:c r="D6440" s="19" t="n"/>
      <s:c r="E6440" s="19" t="n"/>
    </s:row>
    <s:row r="6441" hidden="1" ht="6" customHeight="1">
      <s:c r="A6441" s="83" t="inlineStr"/>
      <s:c r="B6441" s="19" t="n"/>
      <s:c r="C6441" s="19" t="n"/>
      <s:c r="D6441" s="19" t="n"/>
      <s:c r="E6441" s="19" t="n"/>
    </s:row>
    <s:row r="6442" ht="28" customHeight="1">
      <s:c r="A6442" s="108" t="inlineStr">
        <s:is>
          <s:t>TC-RS-UI-012 — Mặc định khi tạo quy tắc mới</s:t>
        </s:is>
      </s:c>
      <s:c r="B6442" s="111" t="n"/>
      <s:c r="C6442" s="111" t="n"/>
      <s:c r="D6442" s="111" t="n"/>
      <s:c r="E6442" s="111" t="n"/>
    </s:row>
    <s:row r="6443" ht="20" customHeight="1">
      <s:c r="A6443" s="112" t="inlineStr">
        <s:is>
          <s:t>Kết quả tình huống</s:t>
        </s:is>
      </s:c>
      <s:c r="B6443" s="113">
        <s:f>IF(SUM(IF(EXACT('Kiểm thử'!E6450,"Không đạt"),1,0))&gt;0,"Không đạt",IF(SUM(IF(EXACT('Kiểm thử'!E6450,"Đạt"),1,0))=1,"Đạt",IF(SUM(IF(EXACT('Kiểm thử'!E6450,"Không thực hiện"),1,0))=1,"Không thực hiện",IF(SUM(IF(EXACT('Kiểm thử'!E6450,"Bị chặn"),1,0))&gt;0,"Bị chặn",IF(SUM(IF(EXACT('Kiểm thử'!E6450,"Chưa thực hiện"),1,0))=1,"Chưa thực hiện","Đang thực hiện")))))</s:f>
        <s:v/>
      </s:c>
      <s:c r="C6443" s="114" t="n"/>
      <s:c r="D6443" s="114" t="n"/>
      <s:c r="E6443" s="114" t="n"/>
    </s:row>
    <s:row r="6444" ht="20" customHeight="1">
      <s:c r="A6444" s="112" t="inlineStr">
        <s:is>
          <s:t>Màn hình / chức năng</s:t>
        </s:is>
      </s:c>
      <s:c r="B6444" s="113" t="inlineStr">
        <s:is>
          <s:r>
            <s:rPr>
              <s:b val="1"/>
            </s:rPr>
            <s:t>Thiết lập ngưỡng（基準設定）</s:t>
          </s:r>
        </s:is>
      </s:c>
      <s:c r="C6444" s="28" t="n"/>
      <s:c r="D6444" s="28" t="n"/>
      <s:c r="E6444" s="28" t="n"/>
    </s:row>
    <s:row r="6445" ht="20" customHeight="1">
      <s:c r="A6445" s="112" t="inlineStr">
        <s:is>
          <s:t>Cấu hình</s:t>
        </s:is>
      </s:c>
      <s:c r="B6445" s="113" t="inlineStr">
        <s:is>
          <s:t>• Thêm quy tắc mới, lưu điều kiện, mở ngưỡng.</s:t>
        </s:is>
      </s:c>
      <s:c r="C6445" s="28" t="n"/>
      <s:c r="D6445" s="28" t="n"/>
      <s:c r="E6445" s="28" t="n"/>
    </s:row>
    <s:row r="6446" ht="20" customHeight="1">
      <s:c r="A6446" s="112" t="inlineStr">
        <s:is>
          <s:t>Dữ liệu test</s:t>
        </s:is>
      </s:c>
      <s:c r="B6446" s="113" t="inlineStr">
        <s:is>
          <s:t>• —</s:t>
        </s:is>
      </s:c>
      <s:c r="C6446" s="28" t="n"/>
      <s:c r="D6446" s="28" t="n"/>
      <s:c r="E6446" s="28" t="n"/>
    </s:row>
    <s:row r="6447" ht="20" customHeight="1">
      <s:c r="A6447" s="112" t="inlineStr">
        <s:is>
          <s:t>•</s:t>
        </s:is>
      </s:c>
      <s:c r="B6447" s="113" t="inlineStr">
        <s:is>
          <s:t>Quan sát giá trị ban đầu.</s:t>
        </s:is>
      </s:c>
      <s:c r="C6447" s="28" t="n"/>
      <s:c r="D6447" s="28" t="n"/>
      <s:c r="E6447" s="28" t="n"/>
    </s:row>
    <s:row r="6448" ht="28" customHeight="1">
      <s:c r="A6448" s="115" t="inlineStr">
        <s:is>
          <s:t>Trường hợp</s:t>
        </s:is>
      </s:c>
      <s:c r="B6448" s="115" t="inlineStr">
        <s:is>
          <s:t>Dữ liệu / thao tác riêng</s:t>
        </s:is>
      </s:c>
      <s:c r="C6448" s="115" t="inlineStr">
        <s:is>
          <s:t>Kết quả mong đợi</s:t>
        </s:is>
      </s:c>
      <s:c r="D6448" s="115" t="inlineStr">
        <s:is>
          <s:t>Kết quả thực tế</s:t>
        </s:is>
      </s:c>
      <s:c r="E6448" s="115" t="inlineStr">
        <s:is>
          <s:t>Đánh giá</s:t>
        </s:is>
      </s:c>
    </s:row>
    <s:row r="6449" ht="3" customHeight="1">
      <s:c r="A6449" s="102" t="inlineStr"/>
      <s:c r="B6449" s="99" t="n"/>
      <s:c r="C6449" s="99" t="n"/>
      <s:c r="D6449" s="116" t="n"/>
      <s:c r="E6449" s="116" t="n"/>
    </s:row>
    <s:row r="6450" ht="104" customHeight="1">
      <s:c r="A6450" s="83" t="inlineStr">
        <s:is>
          <s:t>Trường hợp cơ bản (Base)</s:t>
        </s:is>
      </s:c>
      <s:c r="B6450" s="83" t="inlineStr">
        <s:is>
          <s:t>Toàn bộ tình huống: Thực hiện đủ các bước chung theo thứ tự; kiểm cả đối tượng đích và đối chứng cùng fixture, không bỏ bước.</s:t>
        </s:is>
      </s:c>
      <s:c r="C6450" s="83" t="inlineStr">
        <s:is>
          <s:r>
            <s:t xml:space="preserve">Loại </s:t>
          </s:r>
          <s:r>
            <s:rPr>
              <s:b val="1"/>
            </s:rPr>
            <s:t>= Điểm cố định（固定点数）</s:t>
          </s:r>
          <s:r>
            <s:t xml:space="preserve">; </s:t>
          </s:r>
          <s:r>
            <s:rPr>
              <s:b val="1"/>
            </s:rPr>
            <s:t>dấu = Nhỏ hơn（未満）</s:t>
          </s:r>
          <s:r>
            <s:t xml:space="preserve">; </s:t>
          </s:r>
          <s:r>
            <s:rPr>
              <s:b val="1"/>
            </s:rPr>
            <s:t>ô Điểm chuẩn（基準点）</s:t>
          </s:r>
          <s:r>
            <s:t xml:space="preserve"> trống; tỷ lệ/công thức (nếu mở) mặc định Không </s:t>
          </s:r>
          <s:r>
            <s:rPr>
              <s:b val="1"/>
            </s:rPr>
            <s:t>xử lý phần lẻ（しない）</s:t>
          </s:r>
          <s:r>
            <s:t>.
Quy tắc mới được thêm ở cuối danh sách (PROPOSED).</s:t>
          </s:r>
        </s:is>
      </s:c>
      <s:c r="D6450" s="117" t="inlineStr"/>
      <s:c r="E6450" s="118" t="inlineStr">
        <s:is>
          <s:t>Chưa thực hiện</s:t>
        </s:is>
      </s:c>
    </s:row>
    <s:row r="6451" ht="20" customHeight="1">
      <s:c r="A6451" s="119" t="inlineStr">
        <s:is>
          <s:t>Ảnh minh chứng — Chưa có ảnh</s:t>
        </s:is>
      </s:c>
      <s:c r="B6451" s="19" t="n"/>
      <s:c r="C6451" s="19" t="n"/>
      <s:c r="D6451" s="19" t="n"/>
      <s:c r="E6451" s="19" t="n"/>
    </s:row>
    <s:row r="6452" hidden="1" ht="1" customHeight="1">
      <s:c r="A6452" s="120" t="inlineStr"/>
      <s:c r="B6452" s="121" t="n"/>
      <s:c r="C6452" s="121" t="n"/>
      <s:c r="D6452" s="121" t="n"/>
      <s:c r="E6452" s="122" t="n"/>
    </s:row>
    <s:row r="6453" hidden="1" ht="1" customHeight="1">
      <s:c r="A6453" s="120" t="inlineStr"/>
      <s:c r="B6453" s="121" t="n"/>
      <s:c r="C6453" s="121" t="n"/>
      <s:c r="D6453" s="121" t="n"/>
      <s:c r="E6453" s="122" t="n"/>
    </s:row>
    <s:row r="6454" hidden="1" ht="1" customHeight="1">
      <s:c r="A6454" s="120" t="inlineStr"/>
      <s:c r="B6454" s="121" t="n"/>
      <s:c r="C6454" s="121" t="n"/>
      <s:c r="D6454" s="121" t="n"/>
      <s:c r="E6454" s="122" t="n"/>
    </s:row>
    <s:row r="6455" hidden="1" ht="1" customHeight="1">
      <s:c r="A6455" s="120" t="inlineStr"/>
      <s:c r="B6455" s="121" t="n"/>
      <s:c r="C6455" s="121" t="n"/>
      <s:c r="D6455" s="121" t="n"/>
      <s:c r="E6455" s="122" t="n"/>
    </s:row>
    <s:row r="6456" hidden="1" ht="1" customHeight="1">
      <s:c r="A6456" s="120" t="inlineStr"/>
      <s:c r="B6456" s="121" t="n"/>
      <s:c r="C6456" s="121" t="n"/>
      <s:c r="D6456" s="121" t="n"/>
      <s:c r="E6456" s="122" t="n"/>
    </s:row>
    <s:row r="6457" hidden="1" ht="1" customHeight="1">
      <s:c r="A6457" s="120" t="inlineStr"/>
      <s:c r="B6457" s="121" t="n"/>
      <s:c r="C6457" s="121" t="n"/>
      <s:c r="D6457" s="121" t="n"/>
      <s:c r="E6457" s="122" t="n"/>
    </s:row>
    <s:row r="6458" hidden="1" ht="1" customHeight="1">
      <s:c r="A6458" s="120" t="inlineStr"/>
      <s:c r="B6458" s="121" t="n"/>
      <s:c r="C6458" s="121" t="n"/>
      <s:c r="D6458" s="121" t="n"/>
      <s:c r="E6458" s="122" t="n"/>
    </s:row>
    <s:row r="6459" hidden="1" ht="1" customHeight="1">
      <s:c r="A6459" s="120" t="inlineStr"/>
      <s:c r="B6459" s="121" t="n"/>
      <s:c r="C6459" s="121" t="n"/>
      <s:c r="D6459" s="121" t="n"/>
      <s:c r="E6459" s="122" t="n"/>
    </s:row>
    <s:row r="6460" hidden="1" ht="1" customHeight="1">
      <s:c r="A6460" s="120" t="inlineStr"/>
      <s:c r="B6460" s="121" t="n"/>
      <s:c r="C6460" s="121" t="n"/>
      <s:c r="D6460" s="121" t="n"/>
      <s:c r="E6460" s="122" t="n"/>
    </s:row>
    <s:row r="6461" hidden="1" ht="1" customHeight="1">
      <s:c r="A6461" s="120" t="inlineStr"/>
      <s:c r="B6461" s="121" t="n"/>
      <s:c r="C6461" s="121" t="n"/>
      <s:c r="D6461" s="121" t="n"/>
      <s:c r="E6461" s="122" t="n"/>
    </s:row>
    <s:row r="6462" hidden="1" ht="1" customHeight="1">
      <s:c r="A6462" s="120" t="inlineStr"/>
      <s:c r="B6462" s="121" t="n"/>
      <s:c r="C6462" s="121" t="n"/>
      <s:c r="D6462" s="121" t="n"/>
      <s:c r="E6462" s="122" t="n"/>
    </s:row>
    <s:row r="6463" hidden="1" ht="1" customHeight="1">
      <s:c r="A6463" s="120" t="inlineStr"/>
      <s:c r="B6463" s="121" t="n"/>
      <s:c r="C6463" s="121" t="n"/>
      <s:c r="D6463" s="121" t="n"/>
      <s:c r="E6463" s="122" t="n"/>
    </s:row>
    <s:row r="6464" hidden="1" ht="1" customHeight="1">
      <s:c r="A6464" s="120" t="inlineStr"/>
      <s:c r="B6464" s="121" t="n"/>
      <s:c r="C6464" s="121" t="n"/>
      <s:c r="D6464" s="121" t="n"/>
      <s:c r="E6464" s="122" t="n"/>
    </s:row>
    <s:row r="6465" hidden="1" ht="1" customHeight="1">
      <s:c r="A6465" s="120" t="inlineStr"/>
      <s:c r="B6465" s="121" t="n"/>
      <s:c r="C6465" s="121" t="n"/>
      <s:c r="D6465" s="121" t="n"/>
      <s:c r="E6465" s="122" t="n"/>
    </s:row>
    <s:row r="6466" hidden="1" ht="1" customHeight="1">
      <s:c r="A6466" s="120" t="inlineStr"/>
      <s:c r="B6466" s="121" t="n"/>
      <s:c r="C6466" s="121" t="n"/>
      <s:c r="D6466" s="121" t="n"/>
      <s:c r="E6466" s="122" t="n"/>
    </s:row>
    <s:row r="6467" hidden="1" ht="1" customHeight="1">
      <s:c r="A6467" s="120" t="inlineStr"/>
      <s:c r="B6467" s="121" t="n"/>
      <s:c r="C6467" s="121" t="n"/>
      <s:c r="D6467" s="121" t="n"/>
      <s:c r="E6467" s="122" t="n"/>
    </s:row>
    <s:row r="6468" hidden="1" ht="1" customHeight="1">
      <s:c r="A6468" s="120" t="inlineStr"/>
      <s:c r="B6468" s="121" t="n"/>
      <s:c r="C6468" s="121" t="n"/>
      <s:c r="D6468" s="121" t="n"/>
      <s:c r="E6468" s="122" t="n"/>
    </s:row>
    <s:row r="6469" hidden="1" ht="1" customHeight="1">
      <s:c r="A6469" s="120" t="inlineStr"/>
      <s:c r="B6469" s="121" t="n"/>
      <s:c r="C6469" s="121" t="n"/>
      <s:c r="D6469" s="121" t="n"/>
      <s:c r="E6469" s="122" t="n"/>
    </s:row>
    <s:row r="6470" hidden="1" ht="1" customHeight="1">
      <s:c r="A6470" s="120" t="inlineStr"/>
      <s:c r="B6470" s="121" t="n"/>
      <s:c r="C6470" s="121" t="n"/>
      <s:c r="D6470" s="121" t="n"/>
      <s:c r="E6470" s="122" t="n"/>
    </s:row>
    <s:row r="6471" hidden="1" ht="1" customHeight="1">
      <s:c r="A6471" s="120" t="inlineStr"/>
      <s:c r="B6471" s="121" t="n"/>
      <s:c r="C6471" s="121" t="n"/>
      <s:c r="D6471" s="121" t="n"/>
      <s:c r="E6471" s="122" t="n"/>
    </s:row>
    <s:row r="6472" hidden="1" ht="1" customHeight="1">
      <s:c r="A6472" s="120" t="inlineStr"/>
      <s:c r="B6472" s="121" t="n"/>
      <s:c r="C6472" s="121" t="n"/>
      <s:c r="D6472" s="121" t="n"/>
      <s:c r="E6472" s="122" t="n"/>
    </s:row>
    <s:row r="6473" hidden="1" ht="1" customHeight="1">
      <s:c r="A6473" s="120" t="inlineStr"/>
      <s:c r="B6473" s="121" t="n"/>
      <s:c r="C6473" s="121" t="n"/>
      <s:c r="D6473" s="121" t="n"/>
      <s:c r="E6473" s="122" t="n"/>
    </s:row>
    <s:row r="6474" hidden="1" ht="1" customHeight="1">
      <s:c r="A6474" s="120" t="inlineStr"/>
      <s:c r="B6474" s="121" t="n"/>
      <s:c r="C6474" s="121" t="n"/>
      <s:c r="D6474" s="121" t="n"/>
      <s:c r="E6474" s="122" t="n"/>
    </s:row>
    <s:row r="6475" hidden="1" ht="1" customHeight="1">
      <s:c r="A6475" s="120" t="inlineStr"/>
      <s:c r="B6475" s="121" t="n"/>
      <s:c r="C6475" s="121" t="n"/>
      <s:c r="D6475" s="121" t="n"/>
      <s:c r="E6475" s="122" t="n"/>
    </s:row>
    <s:row r="6476" hidden="1" ht="1" customHeight="1">
      <s:c r="A6476" s="120" t="inlineStr"/>
      <s:c r="B6476" s="121" t="n"/>
      <s:c r="C6476" s="121" t="n"/>
      <s:c r="D6476" s="121" t="n"/>
      <s:c r="E6476" s="122" t="n"/>
    </s:row>
    <s:row r="6477" hidden="1" ht="1" customHeight="1">
      <s:c r="A6477" s="120" t="inlineStr"/>
      <s:c r="B6477" s="121" t="n"/>
      <s:c r="C6477" s="121" t="n"/>
      <s:c r="D6477" s="121" t="n"/>
      <s:c r="E6477" s="122" t="n"/>
    </s:row>
    <s:row r="6478" hidden="1" ht="1" customHeight="1">
      <s:c r="A6478" s="120" t="inlineStr"/>
      <s:c r="B6478" s="121" t="n"/>
      <s:c r="C6478" s="121" t="n"/>
      <s:c r="D6478" s="121" t="n"/>
      <s:c r="E6478" s="122" t="n"/>
    </s:row>
    <s:row r="6479" hidden="1" ht="1" customHeight="1">
      <s:c r="A6479" s="120" t="inlineStr"/>
      <s:c r="B6479" s="121" t="n"/>
      <s:c r="C6479" s="121" t="n"/>
      <s:c r="D6479" s="121" t="n"/>
      <s:c r="E6479" s="122" t="n"/>
    </s:row>
    <s:row r="6480" hidden="1" ht="1" customHeight="1">
      <s:c r="A6480" s="120" t="inlineStr"/>
      <s:c r="B6480" s="121" t="n"/>
      <s:c r="C6480" s="121" t="n"/>
      <s:c r="D6480" s="121" t="n"/>
      <s:c r="E6480" s="122" t="n"/>
    </s:row>
    <s:row r="6481" hidden="1" ht="1" customHeight="1">
      <s:c r="A6481" s="120" t="inlineStr"/>
      <s:c r="B6481" s="121" t="n"/>
      <s:c r="C6481" s="121" t="n"/>
      <s:c r="D6481" s="121" t="n"/>
      <s:c r="E6481" s="122" t="n"/>
    </s:row>
    <s:row r="6482" hidden="1" ht="1" customHeight="1">
      <s:c r="A6482" s="120" t="inlineStr"/>
      <s:c r="B6482" s="121" t="n"/>
      <s:c r="C6482" s="121" t="n"/>
      <s:c r="D6482" s="121" t="n"/>
      <s:c r="E6482" s="122" t="n"/>
    </s:row>
    <s:row r="6483" hidden="1" ht="1" customHeight="1">
      <s:c r="A6483" s="120" t="inlineStr"/>
      <s:c r="B6483" s="121" t="n"/>
      <s:c r="C6483" s="121" t="n"/>
      <s:c r="D6483" s="121" t="n"/>
      <s:c r="E6483" s="122" t="n"/>
    </s:row>
    <s:row r="6484" hidden="1" ht="1" customHeight="1">
      <s:c r="A6484" s="120" t="inlineStr"/>
      <s:c r="B6484" s="121" t="n"/>
      <s:c r="C6484" s="121" t="n"/>
      <s:c r="D6484" s="121" t="n"/>
      <s:c r="E6484" s="122" t="n"/>
    </s:row>
    <s:row r="6485" hidden="1" ht="1" customHeight="1">
      <s:c r="A6485" s="120" t="inlineStr"/>
      <s:c r="B6485" s="121" t="n"/>
      <s:c r="C6485" s="121" t="n"/>
      <s:c r="D6485" s="121" t="n"/>
      <s:c r="E6485" s="122" t="n"/>
    </s:row>
    <s:row r="6486" hidden="1" ht="1" customHeight="1">
      <s:c r="A6486" s="120" t="inlineStr"/>
      <s:c r="B6486" s="121" t="n"/>
      <s:c r="C6486" s="121" t="n"/>
      <s:c r="D6486" s="121" t="n"/>
      <s:c r="E6486" s="122" t="n"/>
    </s:row>
    <s:row r="6487" hidden="1" ht="1" customHeight="1">
      <s:c r="A6487" s="120" t="inlineStr"/>
      <s:c r="B6487" s="121" t="n"/>
      <s:c r="C6487" s="121" t="n"/>
      <s:c r="D6487" s="121" t="n"/>
      <s:c r="E6487" s="122" t="n"/>
    </s:row>
    <s:row r="6488" hidden="1" ht="1" customHeight="1">
      <s:c r="A6488" s="120" t="inlineStr"/>
      <s:c r="B6488" s="121" t="n"/>
      <s:c r="C6488" s="121" t="n"/>
      <s:c r="D6488" s="121" t="n"/>
      <s:c r="E6488" s="122" t="n"/>
    </s:row>
    <s:row r="6489" hidden="1" ht="1" customHeight="1">
      <s:c r="A6489" s="120" t="inlineStr"/>
      <s:c r="B6489" s="121" t="n"/>
      <s:c r="C6489" s="121" t="n"/>
      <s:c r="D6489" s="121" t="n"/>
      <s:c r="E6489" s="122" t="n"/>
    </s:row>
    <s:row r="6490" hidden="1" ht="1" customHeight="1">
      <s:c r="A6490" s="120" t="inlineStr"/>
      <s:c r="B6490" s="121" t="n"/>
      <s:c r="C6490" s="121" t="n"/>
      <s:c r="D6490" s="121" t="n"/>
      <s:c r="E6490" s="122" t="n"/>
    </s:row>
    <s:row r="6491" hidden="1" ht="1" customHeight="1">
      <s:c r="A6491" s="120" t="inlineStr"/>
      <s:c r="B6491" s="121" t="n"/>
      <s:c r="C6491" s="121" t="n"/>
      <s:c r="D6491" s="121" t="n"/>
      <s:c r="E6491" s="122" t="n"/>
    </s:row>
    <s:row r="6492" hidden="1" ht="1" customHeight="1">
      <s:c r="A6492" s="120" t="inlineStr"/>
      <s:c r="B6492" s="121" t="n"/>
      <s:c r="C6492" s="121" t="n"/>
      <s:c r="D6492" s="121" t="n"/>
      <s:c r="E6492" s="122" t="n"/>
    </s:row>
    <s:row r="6493" hidden="1" ht="1" customHeight="1">
      <s:c r="A6493" s="120" t="inlineStr"/>
      <s:c r="B6493" s="121" t="n"/>
      <s:c r="C6493" s="121" t="n"/>
      <s:c r="D6493" s="121" t="n"/>
      <s:c r="E6493" s="122" t="n"/>
    </s:row>
    <s:row r="6494" hidden="1" ht="1" customHeight="1">
      <s:c r="A6494" s="120" t="inlineStr"/>
      <s:c r="B6494" s="121" t="n"/>
      <s:c r="C6494" s="121" t="n"/>
      <s:c r="D6494" s="121" t="n"/>
      <s:c r="E6494" s="122" t="n"/>
    </s:row>
    <s:row r="6495" hidden="1" ht="1" customHeight="1">
      <s:c r="A6495" s="120" t="inlineStr"/>
      <s:c r="B6495" s="121" t="n"/>
      <s:c r="C6495" s="121" t="n"/>
      <s:c r="D6495" s="121" t="n"/>
      <s:c r="E6495" s="122" t="n"/>
    </s:row>
    <s:row r="6496" hidden="1" ht="1" customHeight="1">
      <s:c r="A6496" s="120" t="inlineStr"/>
      <s:c r="B6496" s="121" t="n"/>
      <s:c r="C6496" s="121" t="n"/>
      <s:c r="D6496" s="121" t="n"/>
      <s:c r="E6496" s="122" t="n"/>
    </s:row>
    <s:row r="6497" hidden="1" ht="1" customHeight="1">
      <s:c r="A6497" s="120" t="inlineStr"/>
      <s:c r="B6497" s="121" t="n"/>
      <s:c r="C6497" s="121" t="n"/>
      <s:c r="D6497" s="121" t="n"/>
      <s:c r="E6497" s="122" t="n"/>
    </s:row>
    <s:row r="6498" hidden="1" ht="1" customHeight="1">
      <s:c r="A6498" s="120" t="inlineStr"/>
      <s:c r="B6498" s="121" t="n"/>
      <s:c r="C6498" s="121" t="n"/>
      <s:c r="D6498" s="121" t="n"/>
      <s:c r="E6498" s="122" t="n"/>
    </s:row>
    <s:row r="6499" hidden="1" ht="1" customHeight="1">
      <s:c r="A6499" s="120" t="inlineStr"/>
      <s:c r="B6499" s="121" t="n"/>
      <s:c r="C6499" s="121" t="n"/>
      <s:c r="D6499" s="121" t="n"/>
      <s:c r="E6499" s="122" t="n"/>
    </s:row>
    <s:row r="6500" hidden="1" ht="1" customHeight="1">
      <s:c r="A6500" s="83" t="inlineStr">
        <s:is>
          <s:t>PASS</s:t>
        </s:is>
      </s:c>
      <s:c r="B6500" s="83">
        <s:f>SUM(IF(EXACT('Kiểm thử'!E6450,"Đạt"),1,0))</s:f>
        <s:v/>
      </s:c>
      <s:c r="C6500" s="19" t="n"/>
      <s:c r="D6500" s="19" t="n"/>
      <s:c r="E6500" s="19" t="n"/>
    </s:row>
    <s:row r="6501" hidden="1" ht="1" customHeight="1">
      <s:c r="A6501" s="83" t="inlineStr">
        <s:is>
          <s:t>FAIL</s:t>
        </s:is>
      </s:c>
      <s:c r="B6501" s="83">
        <s:f>SUM(IF(EXACT('Kiểm thử'!E6450,"Không đạt"),1,0))</s:f>
        <s:v/>
      </s:c>
      <s:c r="C6501" s="19" t="n"/>
      <s:c r="D6501" s="19" t="n"/>
      <s:c r="E6501" s="19" t="n"/>
    </s:row>
    <s:row r="6502" hidden="1" ht="1" customHeight="1">
      <s:c r="A6502" s="83" t="inlineStr">
        <s:is>
          <s:t>BLOCKED</s:t>
        </s:is>
      </s:c>
      <s:c r="B6502" s="83">
        <s:f>SUM(IF(EXACT('Kiểm thử'!E6450,"Bị chặn"),1,0))</s:f>
        <s:v/>
      </s:c>
      <s:c r="C6502" s="19" t="n"/>
      <s:c r="D6502" s="19" t="n"/>
      <s:c r="E6502" s="19" t="n"/>
    </s:row>
    <s:row r="6503" hidden="1" ht="1" customHeight="1">
      <s:c r="A6503" s="83" t="inlineStr">
        <s:is>
          <s:t>SKIPPED</s:t>
        </s:is>
      </s:c>
      <s:c r="B6503" s="83">
        <s:f>SUM(IF(EXACT('Kiểm thử'!E6450,"Không thực hiện"),1,0))</s:f>
        <s:v/>
      </s:c>
      <s:c r="C6503" s="19" t="n"/>
      <s:c r="D6503" s="19" t="n"/>
      <s:c r="E6503" s="19" t="n"/>
    </s:row>
    <s:row r="6504" hidden="1" ht="1" customHeight="1">
      <s:c r="A6504" s="83" t="inlineStr">
        <s:is>
          <s:t>NOT RUN</s:t>
        </s:is>
      </s:c>
      <s:c r="B6504" s="83">
        <s:f>SUM(IF(EXACT('Kiểm thử'!E6450,"Chưa thực hiện"),1,0))</s:f>
        <s:v/>
      </s:c>
      <s:c r="C6504" s="19" t="n"/>
      <s:c r="D6504" s="19" t="n"/>
      <s:c r="E6504" s="19" t="n"/>
    </s:row>
    <s:row r="6505" hidden="1" ht="6" customHeight="1">
      <s:c r="A6505" s="83" t="inlineStr"/>
      <s:c r="B6505" s="19" t="n"/>
      <s:c r="C6505" s="19" t="n"/>
      <s:c r="D6505" s="19" t="n"/>
      <s:c r="E6505" s="19" t="n"/>
    </s:row>
    <s:row r="6506" ht="28" customHeight="1">
      <s:c r="A6506" s="108" t="inlineStr">
        <s:is>
          <s:t>TC-RS-UI-013 — Ngưỡng cố định không hiển thị nguồn trung bình</s:t>
        </s:is>
      </s:c>
      <s:c r="B6506" s="111" t="n"/>
      <s:c r="C6506" s="111" t="n"/>
      <s:c r="D6506" s="111" t="n"/>
      <s:c r="E6506" s="111" t="n"/>
    </s:row>
    <s:row r="6507" ht="20" customHeight="1">
      <s:c r="A6507" s="112" t="inlineStr">
        <s:is>
          <s:t>Kết quả tình huống</s:t>
        </s:is>
      </s:c>
      <s:c r="B6507" s="113">
        <s:f>IF(SUM(IF(EXACT('Kiểm thử'!E6514,"Không đạt"),1,0))&gt;0,"Không đạt",IF(SUM(IF(EXACT('Kiểm thử'!E6514,"Đạt"),1,0))=1,"Đạt",IF(SUM(IF(EXACT('Kiểm thử'!E6514,"Không thực hiện"),1,0))=1,"Không thực hiện",IF(SUM(IF(EXACT('Kiểm thử'!E6514,"Bị chặn"),1,0))&gt;0,"Bị chặn",IF(SUM(IF(EXACT('Kiểm thử'!E6514,"Chưa thực hiện"),1,0))=1,"Chưa thực hiện","Đang thực hiện")))))</s:f>
        <s:v/>
      </s:c>
      <s:c r="C6507" s="114" t="n"/>
      <s:c r="D6507" s="114" t="n"/>
      <s:c r="E6507" s="114" t="n"/>
    </s:row>
    <s:row r="6508" ht="20" customHeight="1">
      <s:c r="A6508" s="112" t="inlineStr">
        <s:is>
          <s:t>Màn hình / chức năng</s:t>
        </s:is>
      </s:c>
      <s:c r="B6508" s="113" t="inlineStr">
        <s:is>
          <s:r>
            <s:rPr>
              <s:b val="1"/>
            </s:rPr>
            <s:t>Thiết lập ngưỡng（基準設定）</s:t>
          </s:r>
        </s:is>
      </s:c>
      <s:c r="C6508" s="28" t="n"/>
      <s:c r="D6508" s="28" t="n"/>
      <s:c r="E6508" s="28" t="n"/>
    </s:row>
    <s:row r="6509" ht="20" customHeight="1">
      <s:c r="A6509" s="112" t="inlineStr">
        <s:is>
          <s:t>Cấu hình</s:t>
        </s:is>
      </s:c>
      <s:c r="B6509" s="113" t="inlineStr">
        <s:is>
          <s:r>
            <s:t xml:space="preserve">• Mở ngưỡng, </s:t>
          </s:r>
          <s:r>
            <s:rPr>
              <s:b val="1"/>
            </s:rPr>
            <s:t>chọn Điểm cố định（固定点数）</s:t>
          </s:r>
          <s:r>
            <s:t>.</s:t>
          </s:r>
        </s:is>
      </s:c>
      <s:c r="C6509" s="28" t="n"/>
      <s:c r="D6509" s="28" t="n"/>
      <s:c r="E6509" s="28" t="n"/>
    </s:row>
    <s:row r="6510" ht="20" customHeight="1">
      <s:c r="A6510" s="112" t="inlineStr">
        <s:is>
          <s:t>Dữ liệu test</s:t>
        </s:is>
      </s:c>
      <s:c r="B6510" s="113" t="inlineStr">
        <s:is>
          <s:t>• —</s:t>
        </s:is>
      </s:c>
      <s:c r="C6510" s="28" t="n"/>
      <s:c r="D6510" s="28" t="n"/>
      <s:c r="E6510" s="28" t="n"/>
    </s:row>
    <s:row r="6511" ht="20" customHeight="1">
      <s:c r="A6511" s="112" t="inlineStr">
        <s:is>
          <s:t>•</s:t>
        </s:is>
      </s:c>
      <s:c r="B6511" s="113" t="inlineStr">
        <s:is>
          <s:t>Xem màn.</s:t>
        </s:is>
      </s:c>
      <s:c r="C6511" s="28" t="n"/>
      <s:c r="D6511" s="28" t="n"/>
      <s:c r="E6511" s="28" t="n"/>
    </s:row>
    <s:row r="6512" ht="28" customHeight="1">
      <s:c r="A6512" s="115" t="inlineStr">
        <s:is>
          <s:t>Trường hợp</s:t>
        </s:is>
      </s:c>
      <s:c r="B6512" s="115" t="inlineStr">
        <s:is>
          <s:t>Dữ liệu / thao tác riêng</s:t>
        </s:is>
      </s:c>
      <s:c r="C6512" s="115" t="inlineStr">
        <s:is>
          <s:t>Kết quả mong đợi</s:t>
        </s:is>
      </s:c>
      <s:c r="D6512" s="115" t="inlineStr">
        <s:is>
          <s:t>Kết quả thực tế</s:t>
        </s:is>
      </s:c>
      <s:c r="E6512" s="115" t="inlineStr">
        <s:is>
          <s:t>Đánh giá</s:t>
        </s:is>
      </s:c>
    </s:row>
    <s:row r="6513" ht="3" customHeight="1">
      <s:c r="A6513" s="102" t="inlineStr"/>
      <s:c r="B6513" s="99" t="n"/>
      <s:c r="C6513" s="99" t="n"/>
      <s:c r="D6513" s="116" t="n"/>
      <s:c r="E6513" s="116" t="n"/>
    </s:row>
    <s:row r="6514" ht="146" customHeight="1">
      <s:c r="A6514" s="83" t="inlineStr">
        <s:is>
          <s:t>Trường hợp cơ bản (Base)</s:t>
        </s:is>
      </s:c>
      <s:c r="B6514" s="83" t="inlineStr">
        <s:is>
          <s:t>Toàn bộ tình huống: Thực hiện đủ các bước chung theo thứ tự; kiểm cả đối tượng đích và đối chứng cùng fixture, không bỏ bước.</s:t>
        </s:is>
      </s:c>
      <s:c r="C6514" s="83" t="inlineStr">
        <s:is>
          <s:r>
            <s:t xml:space="preserve">CONFIRMED: không có khối </s:t>
          </s:r>
          <s:r>
            <s:rPr>
              <s:b val="1"/>
            </s:rPr>
            <s:t>Trung bình tham chiếu（参照する平均点）</s:t>
          </s:r>
          <s:r>
            <s:t xml:space="preserve">; lưu không yêu cầu chọn nguồn.
PROPOSED: </s:t>
          </s:r>
          <s:r>
            <s:rPr>
              <s:b val="1"/>
            </s:rPr>
            <s:t>ô Điểm chuẩn（基準点）</s:t>
          </s:r>
          <s:r>
            <s:t xml:space="preserve"> + đơn vị 点 (điểm), câu 「30点未満を赤点とします。30点は赤点になりません。」 (dưới 30 là đỏ; 30 không đỏ) đổi theo giá trị/dấu, câu 「判定には登録済みの最終点数を使用します。」 (xét dùng điểm cuối đã đăng ký).</s:t>
          </s:r>
        </s:is>
      </s:c>
      <s:c r="D6514" s="117" t="inlineStr"/>
      <s:c r="E6514" s="118" t="inlineStr">
        <s:is>
          <s:t>Chưa thực hiện</s:t>
        </s:is>
      </s:c>
    </s:row>
    <s:row r="6515" ht="20" customHeight="1">
      <s:c r="A6515" s="119" t="inlineStr">
        <s:is>
          <s:t>Ảnh minh chứng — Chưa có ảnh</s:t>
        </s:is>
      </s:c>
      <s:c r="B6515" s="19" t="n"/>
      <s:c r="C6515" s="19" t="n"/>
      <s:c r="D6515" s="19" t="n"/>
      <s:c r="E6515" s="19" t="n"/>
    </s:row>
    <s:row r="6516" hidden="1" ht="1" customHeight="1">
      <s:c r="A6516" s="120" t="inlineStr"/>
      <s:c r="B6516" s="121" t="n"/>
      <s:c r="C6516" s="121" t="n"/>
      <s:c r="D6516" s="121" t="n"/>
      <s:c r="E6516" s="122" t="n"/>
    </s:row>
    <s:row r="6517" hidden="1" ht="1" customHeight="1">
      <s:c r="A6517" s="120" t="inlineStr"/>
      <s:c r="B6517" s="121" t="n"/>
      <s:c r="C6517" s="121" t="n"/>
      <s:c r="D6517" s="121" t="n"/>
      <s:c r="E6517" s="122" t="n"/>
    </s:row>
    <s:row r="6518" hidden="1" ht="1" customHeight="1">
      <s:c r="A6518" s="120" t="inlineStr"/>
      <s:c r="B6518" s="121" t="n"/>
      <s:c r="C6518" s="121" t="n"/>
      <s:c r="D6518" s="121" t="n"/>
      <s:c r="E6518" s="122" t="n"/>
    </s:row>
    <s:row r="6519" hidden="1" ht="1" customHeight="1">
      <s:c r="A6519" s="120" t="inlineStr"/>
      <s:c r="B6519" s="121" t="n"/>
      <s:c r="C6519" s="121" t="n"/>
      <s:c r="D6519" s="121" t="n"/>
      <s:c r="E6519" s="122" t="n"/>
    </s:row>
    <s:row r="6520" hidden="1" ht="1" customHeight="1">
      <s:c r="A6520" s="120" t="inlineStr"/>
      <s:c r="B6520" s="121" t="n"/>
      <s:c r="C6520" s="121" t="n"/>
      <s:c r="D6520" s="121" t="n"/>
      <s:c r="E6520" s="122" t="n"/>
    </s:row>
    <s:row r="6521" hidden="1" ht="1" customHeight="1">
      <s:c r="A6521" s="120" t="inlineStr"/>
      <s:c r="B6521" s="121" t="n"/>
      <s:c r="C6521" s="121" t="n"/>
      <s:c r="D6521" s="121" t="n"/>
      <s:c r="E6521" s="122" t="n"/>
    </s:row>
    <s:row r="6522" hidden="1" ht="1" customHeight="1">
      <s:c r="A6522" s="120" t="inlineStr"/>
      <s:c r="B6522" s="121" t="n"/>
      <s:c r="C6522" s="121" t="n"/>
      <s:c r="D6522" s="121" t="n"/>
      <s:c r="E6522" s="122" t="n"/>
    </s:row>
    <s:row r="6523" hidden="1" ht="1" customHeight="1">
      <s:c r="A6523" s="120" t="inlineStr"/>
      <s:c r="B6523" s="121" t="n"/>
      <s:c r="C6523" s="121" t="n"/>
      <s:c r="D6523" s="121" t="n"/>
      <s:c r="E6523" s="122" t="n"/>
    </s:row>
    <s:row r="6524" hidden="1" ht="1" customHeight="1">
      <s:c r="A6524" s="120" t="inlineStr"/>
      <s:c r="B6524" s="121" t="n"/>
      <s:c r="C6524" s="121" t="n"/>
      <s:c r="D6524" s="121" t="n"/>
      <s:c r="E6524" s="122" t="n"/>
    </s:row>
    <s:row r="6525" hidden="1" ht="1" customHeight="1">
      <s:c r="A6525" s="120" t="inlineStr"/>
      <s:c r="B6525" s="121" t="n"/>
      <s:c r="C6525" s="121" t="n"/>
      <s:c r="D6525" s="121" t="n"/>
      <s:c r="E6525" s="122" t="n"/>
    </s:row>
    <s:row r="6526" hidden="1" ht="1" customHeight="1">
      <s:c r="A6526" s="120" t="inlineStr"/>
      <s:c r="B6526" s="121" t="n"/>
      <s:c r="C6526" s="121" t="n"/>
      <s:c r="D6526" s="121" t="n"/>
      <s:c r="E6526" s="122" t="n"/>
    </s:row>
    <s:row r="6527" hidden="1" ht="1" customHeight="1">
      <s:c r="A6527" s="120" t="inlineStr"/>
      <s:c r="B6527" s="121" t="n"/>
      <s:c r="C6527" s="121" t="n"/>
      <s:c r="D6527" s="121" t="n"/>
      <s:c r="E6527" s="122" t="n"/>
    </s:row>
    <s:row r="6528" hidden="1" ht="1" customHeight="1">
      <s:c r="A6528" s="120" t="inlineStr"/>
      <s:c r="B6528" s="121" t="n"/>
      <s:c r="C6528" s="121" t="n"/>
      <s:c r="D6528" s="121" t="n"/>
      <s:c r="E6528" s="122" t="n"/>
    </s:row>
    <s:row r="6529" hidden="1" ht="1" customHeight="1">
      <s:c r="A6529" s="120" t="inlineStr"/>
      <s:c r="B6529" s="121" t="n"/>
      <s:c r="C6529" s="121" t="n"/>
      <s:c r="D6529" s="121" t="n"/>
      <s:c r="E6529" s="122" t="n"/>
    </s:row>
    <s:row r="6530" hidden="1" ht="1" customHeight="1">
      <s:c r="A6530" s="120" t="inlineStr"/>
      <s:c r="B6530" s="121" t="n"/>
      <s:c r="C6530" s="121" t="n"/>
      <s:c r="D6530" s="121" t="n"/>
      <s:c r="E6530" s="122" t="n"/>
    </s:row>
    <s:row r="6531" hidden="1" ht="1" customHeight="1">
      <s:c r="A6531" s="120" t="inlineStr"/>
      <s:c r="B6531" s="121" t="n"/>
      <s:c r="C6531" s="121" t="n"/>
      <s:c r="D6531" s="121" t="n"/>
      <s:c r="E6531" s="122" t="n"/>
    </s:row>
    <s:row r="6532" hidden="1" ht="1" customHeight="1">
      <s:c r="A6532" s="120" t="inlineStr"/>
      <s:c r="B6532" s="121" t="n"/>
      <s:c r="C6532" s="121" t="n"/>
      <s:c r="D6532" s="121" t="n"/>
      <s:c r="E6532" s="122" t="n"/>
    </s:row>
    <s:row r="6533" hidden="1" ht="1" customHeight="1">
      <s:c r="A6533" s="120" t="inlineStr"/>
      <s:c r="B6533" s="121" t="n"/>
      <s:c r="C6533" s="121" t="n"/>
      <s:c r="D6533" s="121" t="n"/>
      <s:c r="E6533" s="122" t="n"/>
    </s:row>
    <s:row r="6534" hidden="1" ht="1" customHeight="1">
      <s:c r="A6534" s="120" t="inlineStr"/>
      <s:c r="B6534" s="121" t="n"/>
      <s:c r="C6534" s="121" t="n"/>
      <s:c r="D6534" s="121" t="n"/>
      <s:c r="E6534" s="122" t="n"/>
    </s:row>
    <s:row r="6535" hidden="1" ht="1" customHeight="1">
      <s:c r="A6535" s="120" t="inlineStr"/>
      <s:c r="B6535" s="121" t="n"/>
      <s:c r="C6535" s="121" t="n"/>
      <s:c r="D6535" s="121" t="n"/>
      <s:c r="E6535" s="122" t="n"/>
    </s:row>
    <s:row r="6536" hidden="1" ht="1" customHeight="1">
      <s:c r="A6536" s="120" t="inlineStr"/>
      <s:c r="B6536" s="121" t="n"/>
      <s:c r="C6536" s="121" t="n"/>
      <s:c r="D6536" s="121" t="n"/>
      <s:c r="E6536" s="122" t="n"/>
    </s:row>
    <s:row r="6537" hidden="1" ht="1" customHeight="1">
      <s:c r="A6537" s="120" t="inlineStr"/>
      <s:c r="B6537" s="121" t="n"/>
      <s:c r="C6537" s="121" t="n"/>
      <s:c r="D6537" s="121" t="n"/>
      <s:c r="E6537" s="122" t="n"/>
    </s:row>
    <s:row r="6538" hidden="1" ht="1" customHeight="1">
      <s:c r="A6538" s="120" t="inlineStr"/>
      <s:c r="B6538" s="121" t="n"/>
      <s:c r="C6538" s="121" t="n"/>
      <s:c r="D6538" s="121" t="n"/>
      <s:c r="E6538" s="122" t="n"/>
    </s:row>
    <s:row r="6539" hidden="1" ht="1" customHeight="1">
      <s:c r="A6539" s="120" t="inlineStr"/>
      <s:c r="B6539" s="121" t="n"/>
      <s:c r="C6539" s="121" t="n"/>
      <s:c r="D6539" s="121" t="n"/>
      <s:c r="E6539" s="122" t="n"/>
    </s:row>
    <s:row r="6540" hidden="1" ht="1" customHeight="1">
      <s:c r="A6540" s="120" t="inlineStr"/>
      <s:c r="B6540" s="121" t="n"/>
      <s:c r="C6540" s="121" t="n"/>
      <s:c r="D6540" s="121" t="n"/>
      <s:c r="E6540" s="122" t="n"/>
    </s:row>
    <s:row r="6541" hidden="1" ht="1" customHeight="1">
      <s:c r="A6541" s="120" t="inlineStr"/>
      <s:c r="B6541" s="121" t="n"/>
      <s:c r="C6541" s="121" t="n"/>
      <s:c r="D6541" s="121" t="n"/>
      <s:c r="E6541" s="122" t="n"/>
    </s:row>
    <s:row r="6542" hidden="1" ht="1" customHeight="1">
      <s:c r="A6542" s="120" t="inlineStr"/>
      <s:c r="B6542" s="121" t="n"/>
      <s:c r="C6542" s="121" t="n"/>
      <s:c r="D6542" s="121" t="n"/>
      <s:c r="E6542" s="122" t="n"/>
    </s:row>
    <s:row r="6543" hidden="1" ht="1" customHeight="1">
      <s:c r="A6543" s="120" t="inlineStr"/>
      <s:c r="B6543" s="121" t="n"/>
      <s:c r="C6543" s="121" t="n"/>
      <s:c r="D6543" s="121" t="n"/>
      <s:c r="E6543" s="122" t="n"/>
    </s:row>
    <s:row r="6544" hidden="1" ht="1" customHeight="1">
      <s:c r="A6544" s="120" t="inlineStr"/>
      <s:c r="B6544" s="121" t="n"/>
      <s:c r="C6544" s="121" t="n"/>
      <s:c r="D6544" s="121" t="n"/>
      <s:c r="E6544" s="122" t="n"/>
    </s:row>
    <s:row r="6545" hidden="1" ht="1" customHeight="1">
      <s:c r="A6545" s="120" t="inlineStr"/>
      <s:c r="B6545" s="121" t="n"/>
      <s:c r="C6545" s="121" t="n"/>
      <s:c r="D6545" s="121" t="n"/>
      <s:c r="E6545" s="122" t="n"/>
    </s:row>
    <s:row r="6546" hidden="1" ht="1" customHeight="1">
      <s:c r="A6546" s="120" t="inlineStr"/>
      <s:c r="B6546" s="121" t="n"/>
      <s:c r="C6546" s="121" t="n"/>
      <s:c r="D6546" s="121" t="n"/>
      <s:c r="E6546" s="122" t="n"/>
    </s:row>
    <s:row r="6547" hidden="1" ht="1" customHeight="1">
      <s:c r="A6547" s="120" t="inlineStr"/>
      <s:c r="B6547" s="121" t="n"/>
      <s:c r="C6547" s="121" t="n"/>
      <s:c r="D6547" s="121" t="n"/>
      <s:c r="E6547" s="122" t="n"/>
    </s:row>
    <s:row r="6548" hidden="1" ht="1" customHeight="1">
      <s:c r="A6548" s="120" t="inlineStr"/>
      <s:c r="B6548" s="121" t="n"/>
      <s:c r="C6548" s="121" t="n"/>
      <s:c r="D6548" s="121" t="n"/>
      <s:c r="E6548" s="122" t="n"/>
    </s:row>
    <s:row r="6549" hidden="1" ht="1" customHeight="1">
      <s:c r="A6549" s="120" t="inlineStr"/>
      <s:c r="B6549" s="121" t="n"/>
      <s:c r="C6549" s="121" t="n"/>
      <s:c r="D6549" s="121" t="n"/>
      <s:c r="E6549" s="122" t="n"/>
    </s:row>
    <s:row r="6550" hidden="1" ht="1" customHeight="1">
      <s:c r="A6550" s="120" t="inlineStr"/>
      <s:c r="B6550" s="121" t="n"/>
      <s:c r="C6550" s="121" t="n"/>
      <s:c r="D6550" s="121" t="n"/>
      <s:c r="E6550" s="122" t="n"/>
    </s:row>
    <s:row r="6551" hidden="1" ht="1" customHeight="1">
      <s:c r="A6551" s="120" t="inlineStr"/>
      <s:c r="B6551" s="121" t="n"/>
      <s:c r="C6551" s="121" t="n"/>
      <s:c r="D6551" s="121" t="n"/>
      <s:c r="E6551" s="122" t="n"/>
    </s:row>
    <s:row r="6552" hidden="1" ht="1" customHeight="1">
      <s:c r="A6552" s="120" t="inlineStr"/>
      <s:c r="B6552" s="121" t="n"/>
      <s:c r="C6552" s="121" t="n"/>
      <s:c r="D6552" s="121" t="n"/>
      <s:c r="E6552" s="122" t="n"/>
    </s:row>
    <s:row r="6553" hidden="1" ht="1" customHeight="1">
      <s:c r="A6553" s="120" t="inlineStr"/>
      <s:c r="B6553" s="121" t="n"/>
      <s:c r="C6553" s="121" t="n"/>
      <s:c r="D6553" s="121" t="n"/>
      <s:c r="E6553" s="122" t="n"/>
    </s:row>
    <s:row r="6554" hidden="1" ht="1" customHeight="1">
      <s:c r="A6554" s="120" t="inlineStr"/>
      <s:c r="B6554" s="121" t="n"/>
      <s:c r="C6554" s="121" t="n"/>
      <s:c r="D6554" s="121" t="n"/>
      <s:c r="E6554" s="122" t="n"/>
    </s:row>
    <s:row r="6555" hidden="1" ht="1" customHeight="1">
      <s:c r="A6555" s="120" t="inlineStr"/>
      <s:c r="B6555" s="121" t="n"/>
      <s:c r="C6555" s="121" t="n"/>
      <s:c r="D6555" s="121" t="n"/>
      <s:c r="E6555" s="122" t="n"/>
    </s:row>
    <s:row r="6556" hidden="1" ht="1" customHeight="1">
      <s:c r="A6556" s="120" t="inlineStr"/>
      <s:c r="B6556" s="121" t="n"/>
      <s:c r="C6556" s="121" t="n"/>
      <s:c r="D6556" s="121" t="n"/>
      <s:c r="E6556" s="122" t="n"/>
    </s:row>
    <s:row r="6557" hidden="1" ht="1" customHeight="1">
      <s:c r="A6557" s="120" t="inlineStr"/>
      <s:c r="B6557" s="121" t="n"/>
      <s:c r="C6557" s="121" t="n"/>
      <s:c r="D6557" s="121" t="n"/>
      <s:c r="E6557" s="122" t="n"/>
    </s:row>
    <s:row r="6558" hidden="1" ht="1" customHeight="1">
      <s:c r="A6558" s="120" t="inlineStr"/>
      <s:c r="B6558" s="121" t="n"/>
      <s:c r="C6558" s="121" t="n"/>
      <s:c r="D6558" s="121" t="n"/>
      <s:c r="E6558" s="122" t="n"/>
    </s:row>
    <s:row r="6559" hidden="1" ht="1" customHeight="1">
      <s:c r="A6559" s="120" t="inlineStr"/>
      <s:c r="B6559" s="121" t="n"/>
      <s:c r="C6559" s="121" t="n"/>
      <s:c r="D6559" s="121" t="n"/>
      <s:c r="E6559" s="122" t="n"/>
    </s:row>
    <s:row r="6560" hidden="1" ht="1" customHeight="1">
      <s:c r="A6560" s="120" t="inlineStr"/>
      <s:c r="B6560" s="121" t="n"/>
      <s:c r="C6560" s="121" t="n"/>
      <s:c r="D6560" s="121" t="n"/>
      <s:c r="E6560" s="122" t="n"/>
    </s:row>
    <s:row r="6561" hidden="1" ht="1" customHeight="1">
      <s:c r="A6561" s="120" t="inlineStr"/>
      <s:c r="B6561" s="121" t="n"/>
      <s:c r="C6561" s="121" t="n"/>
      <s:c r="D6561" s="121" t="n"/>
      <s:c r="E6561" s="122" t="n"/>
    </s:row>
    <s:row r="6562" hidden="1" ht="1" customHeight="1">
      <s:c r="A6562" s="120" t="inlineStr"/>
      <s:c r="B6562" s="121" t="n"/>
      <s:c r="C6562" s="121" t="n"/>
      <s:c r="D6562" s="121" t="n"/>
      <s:c r="E6562" s="122" t="n"/>
    </s:row>
    <s:row r="6563" hidden="1" ht="1" customHeight="1">
      <s:c r="A6563" s="120" t="inlineStr"/>
      <s:c r="B6563" s="121" t="n"/>
      <s:c r="C6563" s="121" t="n"/>
      <s:c r="D6563" s="121" t="n"/>
      <s:c r="E6563" s="122" t="n"/>
    </s:row>
    <s:row r="6564" hidden="1" ht="1" customHeight="1">
      <s:c r="A6564" s="83" t="inlineStr">
        <s:is>
          <s:t>PASS</s:t>
        </s:is>
      </s:c>
      <s:c r="B6564" s="83">
        <s:f>SUM(IF(EXACT('Kiểm thử'!E6514,"Đạt"),1,0))</s:f>
        <s:v/>
      </s:c>
      <s:c r="C6564" s="19" t="n"/>
      <s:c r="D6564" s="19" t="n"/>
      <s:c r="E6564" s="19" t="n"/>
    </s:row>
    <s:row r="6565" hidden="1" ht="1" customHeight="1">
      <s:c r="A6565" s="83" t="inlineStr">
        <s:is>
          <s:t>FAIL</s:t>
        </s:is>
      </s:c>
      <s:c r="B6565" s="83">
        <s:f>SUM(IF(EXACT('Kiểm thử'!E6514,"Không đạt"),1,0))</s:f>
        <s:v/>
      </s:c>
      <s:c r="C6565" s="19" t="n"/>
      <s:c r="D6565" s="19" t="n"/>
      <s:c r="E6565" s="19" t="n"/>
    </s:row>
    <s:row r="6566" hidden="1" ht="1" customHeight="1">
      <s:c r="A6566" s="83" t="inlineStr">
        <s:is>
          <s:t>BLOCKED</s:t>
        </s:is>
      </s:c>
      <s:c r="B6566" s="83">
        <s:f>SUM(IF(EXACT('Kiểm thử'!E6514,"Bị chặn"),1,0))</s:f>
        <s:v/>
      </s:c>
      <s:c r="C6566" s="19" t="n"/>
      <s:c r="D6566" s="19" t="n"/>
      <s:c r="E6566" s="19" t="n"/>
    </s:row>
    <s:row r="6567" hidden="1" ht="1" customHeight="1">
      <s:c r="A6567" s="83" t="inlineStr">
        <s:is>
          <s:t>SKIPPED</s:t>
        </s:is>
      </s:c>
      <s:c r="B6567" s="83">
        <s:f>SUM(IF(EXACT('Kiểm thử'!E6514,"Không thực hiện"),1,0))</s:f>
        <s:v/>
      </s:c>
      <s:c r="C6567" s="19" t="n"/>
      <s:c r="D6567" s="19" t="n"/>
      <s:c r="E6567" s="19" t="n"/>
    </s:row>
    <s:row r="6568" hidden="1" ht="1" customHeight="1">
      <s:c r="A6568" s="83" t="inlineStr">
        <s:is>
          <s:t>NOT RUN</s:t>
        </s:is>
      </s:c>
      <s:c r="B6568" s="83">
        <s:f>SUM(IF(EXACT('Kiểm thử'!E6514,"Chưa thực hiện"),1,0))</s:f>
        <s:v/>
      </s:c>
      <s:c r="C6568" s="19" t="n"/>
      <s:c r="D6568" s="19" t="n"/>
      <s:c r="E6568" s="19" t="n"/>
    </s:row>
    <s:row r="6569" hidden="1" ht="6" customHeight="1">
      <s:c r="A6569" s="83" t="inlineStr"/>
      <s:c r="B6569" s="19" t="n"/>
      <s:c r="C6569" s="19" t="n"/>
      <s:c r="D6569" s="19" t="n"/>
      <s:c r="E6569" s="19" t="n"/>
    </s:row>
    <s:row r="6570" ht="28" customHeight="1">
      <s:c r="A6570" s="108" t="inlineStr">
        <s:is>
          <s:t>TC-RS-FUNC-012 — Công thức: thêm/xóa dòng, kết quả dòng cuối là ngưỡng</s:t>
        </s:is>
      </s:c>
      <s:c r="B6570" s="111" t="n"/>
      <s:c r="C6570" s="111" t="n"/>
      <s:c r="D6570" s="111" t="n"/>
      <s:c r="E6570" s="111" t="n"/>
    </s:row>
    <s:row r="6571" ht="20" customHeight="1">
      <s:c r="A6571" s="112" t="inlineStr">
        <s:is>
          <s:t>Kết quả tình huống</s:t>
        </s:is>
      </s:c>
      <s:c r="B6571" s="113">
        <s:f>IF(SUM(IF(EXACT('Kiểm thử'!E6580,"Không đạt"),1,0))&gt;0,"Không đạt",IF(SUM(IF(EXACT('Kiểm thử'!E6580,"Đạt"),1,0))=1,"Đạt",IF(SUM(IF(EXACT('Kiểm thử'!E6580,"Không thực hiện"),1,0))=1,"Không thực hiện",IF(SUM(IF(EXACT('Kiểm thử'!E6580,"Bị chặn"),1,0))&gt;0,"Bị chặn",IF(SUM(IF(EXACT('Kiểm thử'!E6580,"Chưa thực hiện"),1,0))=1,"Chưa thực hiện","Đang thực hiện")))))</s:f>
        <s:v/>
      </s:c>
      <s:c r="C6571" s="114" t="n"/>
      <s:c r="D6571" s="114" t="n"/>
      <s:c r="E6571" s="114" t="n"/>
    </s:row>
    <s:row r="6572" ht="20" customHeight="1">
      <s:c r="A6572" s="112" t="inlineStr">
        <s:is>
          <s:t>Màn hình / chức năng</s:t>
        </s:is>
      </s:c>
      <s:c r="B6572" s="113" t="inlineStr">
        <s:is>
          <s:r>
            <s:rPr>
              <s:b val="1"/>
            </s:rPr>
            <s:t>Thiết lập ngưỡng（基準設定）</s:t>
          </s:r>
        </s:is>
      </s:c>
      <s:c r="C6572" s="28" t="n"/>
      <s:c r="D6572" s="28" t="n"/>
      <s:c r="E6572" s="28" t="n"/>
    </s:row>
    <s:row r="6573" ht="20" customHeight="1">
      <s:c r="A6573" s="112" t="inlineStr">
        <s:is>
          <s:t>Cấu hình</s:t>
        </s:is>
      </s:c>
      <s:c r="B6573" s="113" t="inlineStr">
        <s:is>
          <s:r>
            <s:t xml:space="preserve">• Mở </s:t>
          </s:r>
          <s:r>
            <s:rPr>
              <s:b val="1"/>
            </s:rPr>
            <s:t>Ngưỡng loại Công thức（計算式）</s:t>
          </s:r>
          <s:r>
            <s:t>.</s:t>
          </s:r>
        </s:is>
      </s:c>
      <s:c r="C6573" s="28" t="n"/>
      <s:c r="D6573" s="28" t="n"/>
      <s:c r="E6573" s="28" t="n"/>
    </s:row>
    <s:row r="6574" ht="20" customHeight="1">
      <s:c r="A6574" s="112" t="inlineStr">
        <s:is>
          <s:t>Dữ liệu test</s:t>
        </s:is>
      </s:c>
      <s:c r="B6574" s="113" t="inlineStr">
        <s:is>
          <s:t>• Quy tắc công thức hai dòng (trung bình ÷ 2 × 0.8)</s:t>
        </s:is>
      </s:c>
      <s:c r="C6574" s="28" t="n"/>
      <s:c r="D6574" s="28" t="n"/>
      <s:c r="E6574" s="28" t="n"/>
    </s:row>
    <s:row r="6575" ht="20" customHeight="1">
      <s:c r="A6575" s="112" t="inlineStr">
        <s:is>
          <s:t>Bước 1</s:t>
        </s:is>
      </s:c>
      <s:c r="B6575" s="113" t="inlineStr">
        <s:is>
          <s:t>Cấu hình dòng 1 và dòng 2 như quy tắc công thức hai dòng (trung bình ÷ 2 × 0.8), lưu.</s:t>
        </s:is>
      </s:c>
      <s:c r="C6575" s="28" t="n"/>
      <s:c r="D6575" s="28" t="n"/>
      <s:c r="E6575" s="28" t="n"/>
    </s:row>
    <s:row r="6576" ht="20" customHeight="1">
      <s:c r="A6576" s="112" t="inlineStr">
        <s:is>
          <s:t>Bước 2</s:t>
        </s:is>
      </s:c>
      <s:c r="B6576" s="113" t="inlineStr">
        <s:is>
          <s:r>
            <s:t xml:space="preserve">Mở lại; </s:t>
          </s:r>
          <s:r>
            <s:rPr>
              <s:b val="1"/>
            </s:rPr>
            <s:t>bấm Thêm công thức（計算式を追加）</s:t>
          </s:r>
          <s:r>
            <s:t xml:space="preserve"> để có dòng 3, rồi xóa dòng 3, lưu.</s:t>
          </s:r>
        </s:is>
      </s:c>
      <s:c r="C6576" s="28" t="n"/>
      <s:c r="D6576" s="28" t="n"/>
      <s:c r="E6576" s="28" t="n"/>
    </s:row>
    <s:row r="6577" ht="20" customHeight="1">
      <s:c r="A6577" s="112" t="inlineStr">
        <s:is>
          <s:t>Bước 3</s:t>
        </s:is>
      </s:c>
      <s:c r="B6577" s="113" t="inlineStr">
        <s:is>
          <s:t>Xem tóm tắt ở danh sách.</s:t>
        </s:is>
      </s:c>
      <s:c r="C6577" s="28" t="n"/>
      <s:c r="D6577" s="28" t="n"/>
      <s:c r="E6577" s="28" t="n"/>
    </s:row>
    <s:row r="6578" ht="28" customHeight="1">
      <s:c r="A6578" s="115" t="inlineStr">
        <s:is>
          <s:t>Trường hợp</s:t>
        </s:is>
      </s:c>
      <s:c r="B6578" s="115" t="inlineStr">
        <s:is>
          <s:t>Dữ liệu / thao tác riêng</s:t>
        </s:is>
      </s:c>
      <s:c r="C6578" s="115" t="inlineStr">
        <s:is>
          <s:t>Kết quả mong đợi</s:t>
        </s:is>
      </s:c>
      <s:c r="D6578" s="115" t="inlineStr">
        <s:is>
          <s:t>Kết quả thực tế</s:t>
        </s:is>
      </s:c>
      <s:c r="E6578" s="115" t="inlineStr">
        <s:is>
          <s:t>Đánh giá</s:t>
        </s:is>
      </s:c>
    </s:row>
    <s:row r="6579" ht="3" customHeight="1">
      <s:c r="A6579" s="102" t="inlineStr"/>
      <s:c r="B6579" s="99" t="n"/>
      <s:c r="C6579" s="99" t="n"/>
      <s:c r="D6579" s="116" t="n"/>
      <s:c r="E6579" s="116" t="n"/>
    </s:row>
    <s:row r="6580" ht="174" customHeight="1">
      <s:c r="A6580" s="83" t="inlineStr">
        <s:is>
          <s:t>Trường hợp cơ bản (Base)</s:t>
        </s:is>
      </s:c>
      <s:c r="B6580" s="83" t="inlineStr">
        <s:is>
          <s:t>Toàn bộ tình huống: Thực hiện đủ các bước chung theo thứ tự; kiểm cả đối tượng đích và đối chứng cùng fixture, không bỏ bước.</s:t>
        </s:is>
      </s:c>
      <s:c r="C6580" s="83" t="inlineStr">
        <s:is>
          <s:t>1. Lưu được 2 dòng; mở lại giữ vế trái, phép toán, vế phải và xử lý phần lẻ từng dòng (chi tiết form là PROPOSED theo thiết kế).
2. Danh sách tóm tắt đủ các dòng và dấu so sánh (PROPOSED; không dùng làm oracle nghiệp vụ nếu đặc tả chưa chốt bố cục tóm tắt).
3. Khi xét, [T] = kết quả dòng cuối; phép tính và xử lý phần lẻ phải tuân theo AC-G16 và case “Công thức hai dòng theo Figma: (A÷2)×0.8, dòng 1 làm tròn xuống”.</s:t>
        </s:is>
      </s:c>
      <s:c r="D6580" s="117" t="inlineStr"/>
      <s:c r="E6580" s="118" t="inlineStr">
        <s:is>
          <s:t>Chưa thực hiện</s:t>
        </s:is>
      </s:c>
    </s:row>
    <s:row r="6581" ht="20" customHeight="1">
      <s:c r="A6581" s="119" t="inlineStr">
        <s:is>
          <s:t>Ảnh minh chứng — Chưa có ảnh</s:t>
        </s:is>
      </s:c>
      <s:c r="B6581" s="19" t="n"/>
      <s:c r="C6581" s="19" t="n"/>
      <s:c r="D6581" s="19" t="n"/>
      <s:c r="E6581" s="19" t="n"/>
    </s:row>
    <s:row r="6582" hidden="1" ht="1" customHeight="1">
      <s:c r="A6582" s="120" t="inlineStr"/>
      <s:c r="B6582" s="121" t="n"/>
      <s:c r="C6582" s="121" t="n"/>
      <s:c r="D6582" s="121" t="n"/>
      <s:c r="E6582" s="122" t="n"/>
    </s:row>
    <s:row r="6583" hidden="1" ht="1" customHeight="1">
      <s:c r="A6583" s="120" t="inlineStr"/>
      <s:c r="B6583" s="121" t="n"/>
      <s:c r="C6583" s="121" t="n"/>
      <s:c r="D6583" s="121" t="n"/>
      <s:c r="E6583" s="122" t="n"/>
    </s:row>
    <s:row r="6584" hidden="1" ht="1" customHeight="1">
      <s:c r="A6584" s="120" t="inlineStr"/>
      <s:c r="B6584" s="121" t="n"/>
      <s:c r="C6584" s="121" t="n"/>
      <s:c r="D6584" s="121" t="n"/>
      <s:c r="E6584" s="122" t="n"/>
    </s:row>
    <s:row r="6585" hidden="1" ht="1" customHeight="1">
      <s:c r="A6585" s="120" t="inlineStr"/>
      <s:c r="B6585" s="121" t="n"/>
      <s:c r="C6585" s="121" t="n"/>
      <s:c r="D6585" s="121" t="n"/>
      <s:c r="E6585" s="122" t="n"/>
    </s:row>
    <s:row r="6586" hidden="1" ht="1" customHeight="1">
      <s:c r="A6586" s="120" t="inlineStr"/>
      <s:c r="B6586" s="121" t="n"/>
      <s:c r="C6586" s="121" t="n"/>
      <s:c r="D6586" s="121" t="n"/>
      <s:c r="E6586" s="122" t="n"/>
    </s:row>
    <s:row r="6587" hidden="1" ht="1" customHeight="1">
      <s:c r="A6587" s="120" t="inlineStr"/>
      <s:c r="B6587" s="121" t="n"/>
      <s:c r="C6587" s="121" t="n"/>
      <s:c r="D6587" s="121" t="n"/>
      <s:c r="E6587" s="122" t="n"/>
    </s:row>
    <s:row r="6588" hidden="1" ht="1" customHeight="1">
      <s:c r="A6588" s="120" t="inlineStr"/>
      <s:c r="B6588" s="121" t="n"/>
      <s:c r="C6588" s="121" t="n"/>
      <s:c r="D6588" s="121" t="n"/>
      <s:c r="E6588" s="122" t="n"/>
    </s:row>
    <s:row r="6589" hidden="1" ht="1" customHeight="1">
      <s:c r="A6589" s="120" t="inlineStr"/>
      <s:c r="B6589" s="121" t="n"/>
      <s:c r="C6589" s="121" t="n"/>
      <s:c r="D6589" s="121" t="n"/>
      <s:c r="E6589" s="122" t="n"/>
    </s:row>
    <s:row r="6590" hidden="1" ht="1" customHeight="1">
      <s:c r="A6590" s="120" t="inlineStr"/>
      <s:c r="B6590" s="121" t="n"/>
      <s:c r="C6590" s="121" t="n"/>
      <s:c r="D6590" s="121" t="n"/>
      <s:c r="E6590" s="122" t="n"/>
    </s:row>
    <s:row r="6591" hidden="1" ht="1" customHeight="1">
      <s:c r="A6591" s="120" t="inlineStr"/>
      <s:c r="B6591" s="121" t="n"/>
      <s:c r="C6591" s="121" t="n"/>
      <s:c r="D6591" s="121" t="n"/>
      <s:c r="E6591" s="122" t="n"/>
    </s:row>
    <s:row r="6592" hidden="1" ht="1" customHeight="1">
      <s:c r="A6592" s="120" t="inlineStr"/>
      <s:c r="B6592" s="121" t="n"/>
      <s:c r="C6592" s="121" t="n"/>
      <s:c r="D6592" s="121" t="n"/>
      <s:c r="E6592" s="122" t="n"/>
    </s:row>
    <s:row r="6593" hidden="1" ht="1" customHeight="1">
      <s:c r="A6593" s="120" t="inlineStr"/>
      <s:c r="B6593" s="121" t="n"/>
      <s:c r="C6593" s="121" t="n"/>
      <s:c r="D6593" s="121" t="n"/>
      <s:c r="E6593" s="122" t="n"/>
    </s:row>
    <s:row r="6594" hidden="1" ht="1" customHeight="1">
      <s:c r="A6594" s="120" t="inlineStr"/>
      <s:c r="B6594" s="121" t="n"/>
      <s:c r="C6594" s="121" t="n"/>
      <s:c r="D6594" s="121" t="n"/>
      <s:c r="E6594" s="122" t="n"/>
    </s:row>
    <s:row r="6595" hidden="1" ht="1" customHeight="1">
      <s:c r="A6595" s="120" t="inlineStr"/>
      <s:c r="B6595" s="121" t="n"/>
      <s:c r="C6595" s="121" t="n"/>
      <s:c r="D6595" s="121" t="n"/>
      <s:c r="E6595" s="122" t="n"/>
    </s:row>
    <s:row r="6596" hidden="1" ht="1" customHeight="1">
      <s:c r="A6596" s="120" t="inlineStr"/>
      <s:c r="B6596" s="121" t="n"/>
      <s:c r="C6596" s="121" t="n"/>
      <s:c r="D6596" s="121" t="n"/>
      <s:c r="E6596" s="122" t="n"/>
    </s:row>
    <s:row r="6597" hidden="1" ht="1" customHeight="1">
      <s:c r="A6597" s="120" t="inlineStr"/>
      <s:c r="B6597" s="121" t="n"/>
      <s:c r="C6597" s="121" t="n"/>
      <s:c r="D6597" s="121" t="n"/>
      <s:c r="E6597" s="122" t="n"/>
    </s:row>
    <s:row r="6598" hidden="1" ht="1" customHeight="1">
      <s:c r="A6598" s="120" t="inlineStr"/>
      <s:c r="B6598" s="121" t="n"/>
      <s:c r="C6598" s="121" t="n"/>
      <s:c r="D6598" s="121" t="n"/>
      <s:c r="E6598" s="122" t="n"/>
    </s:row>
    <s:row r="6599" hidden="1" ht="1" customHeight="1">
      <s:c r="A6599" s="120" t="inlineStr"/>
      <s:c r="B6599" s="121" t="n"/>
      <s:c r="C6599" s="121" t="n"/>
      <s:c r="D6599" s="121" t="n"/>
      <s:c r="E6599" s="122" t="n"/>
    </s:row>
    <s:row r="6600" hidden="1" ht="1" customHeight="1">
      <s:c r="A6600" s="120" t="inlineStr"/>
      <s:c r="B6600" s="121" t="n"/>
      <s:c r="C6600" s="121" t="n"/>
      <s:c r="D6600" s="121" t="n"/>
      <s:c r="E6600" s="122" t="n"/>
    </s:row>
    <s:row r="6601" hidden="1" ht="1" customHeight="1">
      <s:c r="A6601" s="120" t="inlineStr"/>
      <s:c r="B6601" s="121" t="n"/>
      <s:c r="C6601" s="121" t="n"/>
      <s:c r="D6601" s="121" t="n"/>
      <s:c r="E6601" s="122" t="n"/>
    </s:row>
    <s:row r="6602" hidden="1" ht="1" customHeight="1">
      <s:c r="A6602" s="120" t="inlineStr"/>
      <s:c r="B6602" s="121" t="n"/>
      <s:c r="C6602" s="121" t="n"/>
      <s:c r="D6602" s="121" t="n"/>
      <s:c r="E6602" s="122" t="n"/>
    </s:row>
    <s:row r="6603" hidden="1" ht="1" customHeight="1">
      <s:c r="A6603" s="120" t="inlineStr"/>
      <s:c r="B6603" s="121" t="n"/>
      <s:c r="C6603" s="121" t="n"/>
      <s:c r="D6603" s="121" t="n"/>
      <s:c r="E6603" s="122" t="n"/>
    </s:row>
    <s:row r="6604" hidden="1" ht="1" customHeight="1">
      <s:c r="A6604" s="120" t="inlineStr"/>
      <s:c r="B6604" s="121" t="n"/>
      <s:c r="C6604" s="121" t="n"/>
      <s:c r="D6604" s="121" t="n"/>
      <s:c r="E6604" s="122" t="n"/>
    </s:row>
    <s:row r="6605" hidden="1" ht="1" customHeight="1">
      <s:c r="A6605" s="120" t="inlineStr"/>
      <s:c r="B6605" s="121" t="n"/>
      <s:c r="C6605" s="121" t="n"/>
      <s:c r="D6605" s="121" t="n"/>
      <s:c r="E6605" s="122" t="n"/>
    </s:row>
    <s:row r="6606" hidden="1" ht="1" customHeight="1">
      <s:c r="A6606" s="120" t="inlineStr"/>
      <s:c r="B6606" s="121" t="n"/>
      <s:c r="C6606" s="121" t="n"/>
      <s:c r="D6606" s="121" t="n"/>
      <s:c r="E6606" s="122" t="n"/>
    </s:row>
    <s:row r="6607" hidden="1" ht="1" customHeight="1">
      <s:c r="A6607" s="120" t="inlineStr"/>
      <s:c r="B6607" s="121" t="n"/>
      <s:c r="C6607" s="121" t="n"/>
      <s:c r="D6607" s="121" t="n"/>
      <s:c r="E6607" s="122" t="n"/>
    </s:row>
    <s:row r="6608" hidden="1" ht="1" customHeight="1">
      <s:c r="A6608" s="120" t="inlineStr"/>
      <s:c r="B6608" s="121" t="n"/>
      <s:c r="C6608" s="121" t="n"/>
      <s:c r="D6608" s="121" t="n"/>
      <s:c r="E6608" s="122" t="n"/>
    </s:row>
    <s:row r="6609" hidden="1" ht="1" customHeight="1">
      <s:c r="A6609" s="120" t="inlineStr"/>
      <s:c r="B6609" s="121" t="n"/>
      <s:c r="C6609" s="121" t="n"/>
      <s:c r="D6609" s="121" t="n"/>
      <s:c r="E6609" s="122" t="n"/>
    </s:row>
    <s:row r="6610" hidden="1" ht="1" customHeight="1">
      <s:c r="A6610" s="120" t="inlineStr"/>
      <s:c r="B6610" s="121" t="n"/>
      <s:c r="C6610" s="121" t="n"/>
      <s:c r="D6610" s="121" t="n"/>
      <s:c r="E6610" s="122" t="n"/>
    </s:row>
    <s:row r="6611" hidden="1" ht="1" customHeight="1">
      <s:c r="A6611" s="120" t="inlineStr"/>
      <s:c r="B6611" s="121" t="n"/>
      <s:c r="C6611" s="121" t="n"/>
      <s:c r="D6611" s="121" t="n"/>
      <s:c r="E6611" s="122" t="n"/>
    </s:row>
    <s:row r="6612" hidden="1" ht="1" customHeight="1">
      <s:c r="A6612" s="120" t="inlineStr"/>
      <s:c r="B6612" s="121" t="n"/>
      <s:c r="C6612" s="121" t="n"/>
      <s:c r="D6612" s="121" t="n"/>
      <s:c r="E6612" s="122" t="n"/>
    </s:row>
    <s:row r="6613" hidden="1" ht="1" customHeight="1">
      <s:c r="A6613" s="120" t="inlineStr"/>
      <s:c r="B6613" s="121" t="n"/>
      <s:c r="C6613" s="121" t="n"/>
      <s:c r="D6613" s="121" t="n"/>
      <s:c r="E6613" s="122" t="n"/>
    </s:row>
    <s:row r="6614" hidden="1" ht="1" customHeight="1">
      <s:c r="A6614" s="120" t="inlineStr"/>
      <s:c r="B6614" s="121" t="n"/>
      <s:c r="C6614" s="121" t="n"/>
      <s:c r="D6614" s="121" t="n"/>
      <s:c r="E6614" s="122" t="n"/>
    </s:row>
    <s:row r="6615" hidden="1" ht="1" customHeight="1">
      <s:c r="A6615" s="120" t="inlineStr"/>
      <s:c r="B6615" s="121" t="n"/>
      <s:c r="C6615" s="121" t="n"/>
      <s:c r="D6615" s="121" t="n"/>
      <s:c r="E6615" s="122" t="n"/>
    </s:row>
    <s:row r="6616" hidden="1" ht="1" customHeight="1">
      <s:c r="A6616" s="120" t="inlineStr"/>
      <s:c r="B6616" s="121" t="n"/>
      <s:c r="C6616" s="121" t="n"/>
      <s:c r="D6616" s="121" t="n"/>
      <s:c r="E6616" s="122" t="n"/>
    </s:row>
    <s:row r="6617" hidden="1" ht="1" customHeight="1">
      <s:c r="A6617" s="120" t="inlineStr"/>
      <s:c r="B6617" s="121" t="n"/>
      <s:c r="C6617" s="121" t="n"/>
      <s:c r="D6617" s="121" t="n"/>
      <s:c r="E6617" s="122" t="n"/>
    </s:row>
    <s:row r="6618" hidden="1" ht="1" customHeight="1">
      <s:c r="A6618" s="120" t="inlineStr"/>
      <s:c r="B6618" s="121" t="n"/>
      <s:c r="C6618" s="121" t="n"/>
      <s:c r="D6618" s="121" t="n"/>
      <s:c r="E6618" s="122" t="n"/>
    </s:row>
    <s:row r="6619" hidden="1" ht="1" customHeight="1">
      <s:c r="A6619" s="120" t="inlineStr"/>
      <s:c r="B6619" s="121" t="n"/>
      <s:c r="C6619" s="121" t="n"/>
      <s:c r="D6619" s="121" t="n"/>
      <s:c r="E6619" s="122" t="n"/>
    </s:row>
    <s:row r="6620" hidden="1" ht="1" customHeight="1">
      <s:c r="A6620" s="120" t="inlineStr"/>
      <s:c r="B6620" s="121" t="n"/>
      <s:c r="C6620" s="121" t="n"/>
      <s:c r="D6620" s="121" t="n"/>
      <s:c r="E6620" s="122" t="n"/>
    </s:row>
    <s:row r="6621" hidden="1" ht="1" customHeight="1">
      <s:c r="A6621" s="120" t="inlineStr"/>
      <s:c r="B6621" s="121" t="n"/>
      <s:c r="C6621" s="121" t="n"/>
      <s:c r="D6621" s="121" t="n"/>
      <s:c r="E6621" s="122" t="n"/>
    </s:row>
    <s:row r="6622" hidden="1" ht="1" customHeight="1">
      <s:c r="A6622" s="120" t="inlineStr"/>
      <s:c r="B6622" s="121" t="n"/>
      <s:c r="C6622" s="121" t="n"/>
      <s:c r="D6622" s="121" t="n"/>
      <s:c r="E6622" s="122" t="n"/>
    </s:row>
    <s:row r="6623" hidden="1" ht="1" customHeight="1">
      <s:c r="A6623" s="120" t="inlineStr"/>
      <s:c r="B6623" s="121" t="n"/>
      <s:c r="C6623" s="121" t="n"/>
      <s:c r="D6623" s="121" t="n"/>
      <s:c r="E6623" s="122" t="n"/>
    </s:row>
    <s:row r="6624" hidden="1" ht="1" customHeight="1">
      <s:c r="A6624" s="120" t="inlineStr"/>
      <s:c r="B6624" s="121" t="n"/>
      <s:c r="C6624" s="121" t="n"/>
      <s:c r="D6624" s="121" t="n"/>
      <s:c r="E6624" s="122" t="n"/>
    </s:row>
    <s:row r="6625" hidden="1" ht="1" customHeight="1">
      <s:c r="A6625" s="120" t="inlineStr"/>
      <s:c r="B6625" s="121" t="n"/>
      <s:c r="C6625" s="121" t="n"/>
      <s:c r="D6625" s="121" t="n"/>
      <s:c r="E6625" s="122" t="n"/>
    </s:row>
    <s:row r="6626" hidden="1" ht="1" customHeight="1">
      <s:c r="A6626" s="120" t="inlineStr"/>
      <s:c r="B6626" s="121" t="n"/>
      <s:c r="C6626" s="121" t="n"/>
      <s:c r="D6626" s="121" t="n"/>
      <s:c r="E6626" s="122" t="n"/>
    </s:row>
    <s:row r="6627" hidden="1" ht="1" customHeight="1">
      <s:c r="A6627" s="120" t="inlineStr"/>
      <s:c r="B6627" s="121" t="n"/>
      <s:c r="C6627" s="121" t="n"/>
      <s:c r="D6627" s="121" t="n"/>
      <s:c r="E6627" s="122" t="n"/>
    </s:row>
    <s:row r="6628" hidden="1" ht="1" customHeight="1">
      <s:c r="A6628" s="120" t="inlineStr"/>
      <s:c r="B6628" s="121" t="n"/>
      <s:c r="C6628" s="121" t="n"/>
      <s:c r="D6628" s="121" t="n"/>
      <s:c r="E6628" s="122" t="n"/>
    </s:row>
    <s:row r="6629" hidden="1" ht="1" customHeight="1">
      <s:c r="A6629" s="120" t="inlineStr"/>
      <s:c r="B6629" s="121" t="n"/>
      <s:c r="C6629" s="121" t="n"/>
      <s:c r="D6629" s="121" t="n"/>
      <s:c r="E6629" s="122" t="n"/>
    </s:row>
    <s:row r="6630" hidden="1" ht="1" customHeight="1">
      <s:c r="A6630" s="83" t="inlineStr">
        <s:is>
          <s:t>PASS</s:t>
        </s:is>
      </s:c>
      <s:c r="B6630" s="83">
        <s:f>SUM(IF(EXACT('Kiểm thử'!E6580,"Đạt"),1,0))</s:f>
        <s:v/>
      </s:c>
      <s:c r="C6630" s="19" t="n"/>
      <s:c r="D6630" s="19" t="n"/>
      <s:c r="E6630" s="19" t="n"/>
    </s:row>
    <s:row r="6631" hidden="1" ht="1" customHeight="1">
      <s:c r="A6631" s="83" t="inlineStr">
        <s:is>
          <s:t>FAIL</s:t>
        </s:is>
      </s:c>
      <s:c r="B6631" s="83">
        <s:f>SUM(IF(EXACT('Kiểm thử'!E6580,"Không đạt"),1,0))</s:f>
        <s:v/>
      </s:c>
      <s:c r="C6631" s="19" t="n"/>
      <s:c r="D6631" s="19" t="n"/>
      <s:c r="E6631" s="19" t="n"/>
    </s:row>
    <s:row r="6632" hidden="1" ht="1" customHeight="1">
      <s:c r="A6632" s="83" t="inlineStr">
        <s:is>
          <s:t>BLOCKED</s:t>
        </s:is>
      </s:c>
      <s:c r="B6632" s="83">
        <s:f>SUM(IF(EXACT('Kiểm thử'!E6580,"Bị chặn"),1,0))</s:f>
        <s:v/>
      </s:c>
      <s:c r="C6632" s="19" t="n"/>
      <s:c r="D6632" s="19" t="n"/>
      <s:c r="E6632" s="19" t="n"/>
    </s:row>
    <s:row r="6633" hidden="1" ht="1" customHeight="1">
      <s:c r="A6633" s="83" t="inlineStr">
        <s:is>
          <s:t>SKIPPED</s:t>
        </s:is>
      </s:c>
      <s:c r="B6633" s="83">
        <s:f>SUM(IF(EXACT('Kiểm thử'!E6580,"Không thực hiện"),1,0))</s:f>
        <s:v/>
      </s:c>
      <s:c r="C6633" s="19" t="n"/>
      <s:c r="D6633" s="19" t="n"/>
      <s:c r="E6633" s="19" t="n"/>
    </s:row>
    <s:row r="6634" hidden="1" ht="1" customHeight="1">
      <s:c r="A6634" s="83" t="inlineStr">
        <s:is>
          <s:t>NOT RUN</s:t>
        </s:is>
      </s:c>
      <s:c r="B6634" s="83">
        <s:f>SUM(IF(EXACT('Kiểm thử'!E6580,"Chưa thực hiện"),1,0))</s:f>
        <s:v/>
      </s:c>
      <s:c r="C6634" s="19" t="n"/>
      <s:c r="D6634" s="19" t="n"/>
      <s:c r="E6634" s="19" t="n"/>
    </s:row>
    <s:row r="6635" hidden="1" ht="6" customHeight="1">
      <s:c r="A6635" s="83" t="inlineStr"/>
      <s:c r="B6635" s="19" t="n"/>
      <s:c r="C6635" s="19" t="n"/>
      <s:c r="D6635" s="19" t="n"/>
      <s:c r="E6635" s="19" t="n"/>
    </s:row>
    <s:row r="6636" ht="28" customHeight="1">
      <s:c r="A6636" s="108" t="inlineStr">
        <s:is>
          <s:t>TC-RS-VAL-008 — Công thức phải có ít nhất một dòng</s:t>
        </s:is>
      </s:c>
      <s:c r="B6636" s="111" t="n"/>
      <s:c r="C6636" s="111" t="n"/>
      <s:c r="D6636" s="111" t="n"/>
      <s:c r="E6636" s="111" t="n"/>
    </s:row>
    <s:row r="6637" ht="20" customHeight="1">
      <s:c r="A6637" s="112" t="inlineStr">
        <s:is>
          <s:t>Kết quả tình huống</s:t>
        </s:is>
      </s:c>
      <s:c r="B6637" s="113">
        <s:f>IF(SUM(IF(EXACT('Kiểm thử'!E6644,"Không đạt"),1,0))&gt;0,"Không đạt",IF(SUM(IF(EXACT('Kiểm thử'!E6644,"Đạt"),1,0))=1,"Đạt",IF(SUM(IF(EXACT('Kiểm thử'!E6644,"Không thực hiện"),1,0))=1,"Không thực hiện",IF(SUM(IF(EXACT('Kiểm thử'!E6644,"Bị chặn"),1,0))&gt;0,"Bị chặn",IF(SUM(IF(EXACT('Kiểm thử'!E6644,"Chưa thực hiện"),1,0))=1,"Chưa thực hiện","Đang thực hiện")))))</s:f>
        <s:v/>
      </s:c>
      <s:c r="C6637" s="114" t="n"/>
      <s:c r="D6637" s="114" t="n"/>
      <s:c r="E6637" s="114" t="n"/>
    </s:row>
    <s:row r="6638" ht="20" customHeight="1">
      <s:c r="A6638" s="112" t="inlineStr">
        <s:is>
          <s:t>Màn hình / chức năng</s:t>
        </s:is>
      </s:c>
      <s:c r="B6638" s="113" t="inlineStr">
        <s:is>
          <s:r>
            <s:rPr>
              <s:b val="1"/>
            </s:rPr>
            <s:t>Thiết lập ngưỡng（基準設定）</s:t>
          </s:r>
        </s:is>
      </s:c>
      <s:c r="C6638" s="28" t="n"/>
      <s:c r="D6638" s="28" t="n"/>
      <s:c r="E6638" s="28" t="n"/>
    </s:row>
    <s:row r="6639" ht="20" customHeight="1">
      <s:c r="A6639" s="112" t="inlineStr">
        <s:is>
          <s:t>Cấu hình</s:t>
        </s:is>
      </s:c>
      <s:c r="B6639" s="113" t="inlineStr">
        <s:is>
          <s:r>
            <s:t xml:space="preserve">• </s:t>
          </s:r>
          <s:r>
            <s:rPr>
              <s:b val="1"/>
            </s:rPr>
            <s:t>Loại Công thức tính（計算式）</s:t>
          </s:r>
          <s:r>
            <s:t>.</s:t>
          </s:r>
        </s:is>
      </s:c>
      <s:c r="C6639" s="28" t="n"/>
      <s:c r="D6639" s="28" t="n"/>
      <s:c r="E6639" s="28" t="n"/>
    </s:row>
    <s:row r="6640" ht="20" customHeight="1">
      <s:c r="A6640" s="112" t="inlineStr">
        <s:is>
          <s:t>Dữ liệu test</s:t>
        </s:is>
      </s:c>
      <s:c r="B6640" s="113" t="inlineStr">
        <s:is>
          <s:t>• —</s:t>
        </s:is>
      </s:c>
      <s:c r="C6640" s="28" t="n"/>
      <s:c r="D6640" s="28" t="n"/>
      <s:c r="E6640" s="28" t="n"/>
    </s:row>
    <s:row r="6641" ht="20" customHeight="1">
      <s:c r="A6641" s="112" t="inlineStr">
        <s:is>
          <s:t>•</s:t>
        </s:is>
      </s:c>
      <s:c r="B6641" s="113" t="inlineStr">
        <s:is>
          <s:t>Xóa hết các dòng công thức (nếu UI cho phép), bấm Lưu.</s:t>
        </s:is>
      </s:c>
      <s:c r="C6641" s="28" t="n"/>
      <s:c r="D6641" s="28" t="n"/>
      <s:c r="E6641" s="28" t="n"/>
    </s:row>
    <s:row r="6642" ht="28" customHeight="1">
      <s:c r="A6642" s="115" t="inlineStr">
        <s:is>
          <s:t>Trường hợp</s:t>
        </s:is>
      </s:c>
      <s:c r="B6642" s="115" t="inlineStr">
        <s:is>
          <s:t>Dữ liệu / thao tác riêng</s:t>
        </s:is>
      </s:c>
      <s:c r="C6642" s="115" t="inlineStr">
        <s:is>
          <s:t>Kết quả mong đợi</s:t>
        </s:is>
      </s:c>
      <s:c r="D6642" s="115" t="inlineStr">
        <s:is>
          <s:t>Kết quả thực tế</s:t>
        </s:is>
      </s:c>
      <s:c r="E6642" s="115" t="inlineStr">
        <s:is>
          <s:t>Đánh giá</s:t>
        </s:is>
      </s:c>
    </s:row>
    <s:row r="6643" ht="3" customHeight="1">
      <s:c r="A6643" s="102" t="inlineStr"/>
      <s:c r="B6643" s="99" t="n"/>
      <s:c r="C6643" s="99" t="n"/>
      <s:c r="D6643" s="116" t="n"/>
      <s:c r="E6643" s="116" t="n"/>
    </s:row>
    <s:row r="6644" ht="62" customHeight="1">
      <s:c r="A6644" s="83" t="inlineStr">
        <s:is>
          <s:t>Trường hợp cơ bản (Base)</s:t>
        </s:is>
      </s:c>
      <s:c r="B6644" s="83" t="inlineStr">
        <s:is>
          <s:t>Toàn bộ tình huống: Thực hiện đủ các bước chung theo thứ tự; kiểm cả đối tượng đích và đối chứng cùng fixture, không bỏ bước.</s:t>
        </s:is>
      </s:c>
      <s:c r="C6644" s="83" t="inlineStr">
        <s:is>
          <s:t>Không lưu được (hoặc UI không cho xóa dòng cuối).</s:t>
        </s:is>
      </s:c>
      <s:c r="D6644" s="117" t="inlineStr"/>
      <s:c r="E6644" s="118" t="inlineStr">
        <s:is>
          <s:t>Chưa thực hiện</s:t>
        </s:is>
      </s:c>
    </s:row>
    <s:row r="6645" ht="20" customHeight="1">
      <s:c r="A6645" s="119" t="inlineStr">
        <s:is>
          <s:t>Ảnh minh chứng — Chưa có ảnh</s:t>
        </s:is>
      </s:c>
      <s:c r="B6645" s="19" t="n"/>
      <s:c r="C6645" s="19" t="n"/>
      <s:c r="D6645" s="19" t="n"/>
      <s:c r="E6645" s="19" t="n"/>
    </s:row>
    <s:row r="6646" hidden="1" ht="1" customHeight="1">
      <s:c r="A6646" s="120" t="inlineStr"/>
      <s:c r="B6646" s="121" t="n"/>
      <s:c r="C6646" s="121" t="n"/>
      <s:c r="D6646" s="121" t="n"/>
      <s:c r="E6646" s="122" t="n"/>
    </s:row>
    <s:row r="6647" hidden="1" ht="1" customHeight="1">
      <s:c r="A6647" s="120" t="inlineStr"/>
      <s:c r="B6647" s="121" t="n"/>
      <s:c r="C6647" s="121" t="n"/>
      <s:c r="D6647" s="121" t="n"/>
      <s:c r="E6647" s="122" t="n"/>
    </s:row>
    <s:row r="6648" hidden="1" ht="1" customHeight="1">
      <s:c r="A6648" s="120" t="inlineStr"/>
      <s:c r="B6648" s="121" t="n"/>
      <s:c r="C6648" s="121" t="n"/>
      <s:c r="D6648" s="121" t="n"/>
      <s:c r="E6648" s="122" t="n"/>
    </s:row>
    <s:row r="6649" hidden="1" ht="1" customHeight="1">
      <s:c r="A6649" s="120" t="inlineStr"/>
      <s:c r="B6649" s="121" t="n"/>
      <s:c r="C6649" s="121" t="n"/>
      <s:c r="D6649" s="121" t="n"/>
      <s:c r="E6649" s="122" t="n"/>
    </s:row>
    <s:row r="6650" hidden="1" ht="1" customHeight="1">
      <s:c r="A6650" s="120" t="inlineStr"/>
      <s:c r="B6650" s="121" t="n"/>
      <s:c r="C6650" s="121" t="n"/>
      <s:c r="D6650" s="121" t="n"/>
      <s:c r="E6650" s="122" t="n"/>
    </s:row>
    <s:row r="6651" hidden="1" ht="1" customHeight="1">
      <s:c r="A6651" s="120" t="inlineStr"/>
      <s:c r="B6651" s="121" t="n"/>
      <s:c r="C6651" s="121" t="n"/>
      <s:c r="D6651" s="121" t="n"/>
      <s:c r="E6651" s="122" t="n"/>
    </s:row>
    <s:row r="6652" hidden="1" ht="1" customHeight="1">
      <s:c r="A6652" s="120" t="inlineStr"/>
      <s:c r="B6652" s="121" t="n"/>
      <s:c r="C6652" s="121" t="n"/>
      <s:c r="D6652" s="121" t="n"/>
      <s:c r="E6652" s="122" t="n"/>
    </s:row>
    <s:row r="6653" hidden="1" ht="1" customHeight="1">
      <s:c r="A6653" s="120" t="inlineStr"/>
      <s:c r="B6653" s="121" t="n"/>
      <s:c r="C6653" s="121" t="n"/>
      <s:c r="D6653" s="121" t="n"/>
      <s:c r="E6653" s="122" t="n"/>
    </s:row>
    <s:row r="6654" hidden="1" ht="1" customHeight="1">
      <s:c r="A6654" s="120" t="inlineStr"/>
      <s:c r="B6654" s="121" t="n"/>
      <s:c r="C6654" s="121" t="n"/>
      <s:c r="D6654" s="121" t="n"/>
      <s:c r="E6654" s="122" t="n"/>
    </s:row>
    <s:row r="6655" hidden="1" ht="1" customHeight="1">
      <s:c r="A6655" s="120" t="inlineStr"/>
      <s:c r="B6655" s="121" t="n"/>
      <s:c r="C6655" s="121" t="n"/>
      <s:c r="D6655" s="121" t="n"/>
      <s:c r="E6655" s="122" t="n"/>
    </s:row>
    <s:row r="6656" hidden="1" ht="1" customHeight="1">
      <s:c r="A6656" s="120" t="inlineStr"/>
      <s:c r="B6656" s="121" t="n"/>
      <s:c r="C6656" s="121" t="n"/>
      <s:c r="D6656" s="121" t="n"/>
      <s:c r="E6656" s="122" t="n"/>
    </s:row>
    <s:row r="6657" hidden="1" ht="1" customHeight="1">
      <s:c r="A6657" s="120" t="inlineStr"/>
      <s:c r="B6657" s="121" t="n"/>
      <s:c r="C6657" s="121" t="n"/>
      <s:c r="D6657" s="121" t="n"/>
      <s:c r="E6657" s="122" t="n"/>
    </s:row>
    <s:row r="6658" hidden="1" ht="1" customHeight="1">
      <s:c r="A6658" s="120" t="inlineStr"/>
      <s:c r="B6658" s="121" t="n"/>
      <s:c r="C6658" s="121" t="n"/>
      <s:c r="D6658" s="121" t="n"/>
      <s:c r="E6658" s="122" t="n"/>
    </s:row>
    <s:row r="6659" hidden="1" ht="1" customHeight="1">
      <s:c r="A6659" s="120" t="inlineStr"/>
      <s:c r="B6659" s="121" t="n"/>
      <s:c r="C6659" s="121" t="n"/>
      <s:c r="D6659" s="121" t="n"/>
      <s:c r="E6659" s="122" t="n"/>
    </s:row>
    <s:row r="6660" hidden="1" ht="1" customHeight="1">
      <s:c r="A6660" s="120" t="inlineStr"/>
      <s:c r="B6660" s="121" t="n"/>
      <s:c r="C6660" s="121" t="n"/>
      <s:c r="D6660" s="121" t="n"/>
      <s:c r="E6660" s="122" t="n"/>
    </s:row>
    <s:row r="6661" hidden="1" ht="1" customHeight="1">
      <s:c r="A6661" s="120" t="inlineStr"/>
      <s:c r="B6661" s="121" t="n"/>
      <s:c r="C6661" s="121" t="n"/>
      <s:c r="D6661" s="121" t="n"/>
      <s:c r="E6661" s="122" t="n"/>
    </s:row>
    <s:row r="6662" hidden="1" ht="1" customHeight="1">
      <s:c r="A6662" s="120" t="inlineStr"/>
      <s:c r="B6662" s="121" t="n"/>
      <s:c r="C6662" s="121" t="n"/>
      <s:c r="D6662" s="121" t="n"/>
      <s:c r="E6662" s="122" t="n"/>
    </s:row>
    <s:row r="6663" hidden="1" ht="1" customHeight="1">
      <s:c r="A6663" s="120" t="inlineStr"/>
      <s:c r="B6663" s="121" t="n"/>
      <s:c r="C6663" s="121" t="n"/>
      <s:c r="D6663" s="121" t="n"/>
      <s:c r="E6663" s="122" t="n"/>
    </s:row>
    <s:row r="6664" hidden="1" ht="1" customHeight="1">
      <s:c r="A6664" s="120" t="inlineStr"/>
      <s:c r="B6664" s="121" t="n"/>
      <s:c r="C6664" s="121" t="n"/>
      <s:c r="D6664" s="121" t="n"/>
      <s:c r="E6664" s="122" t="n"/>
    </s:row>
    <s:row r="6665" hidden="1" ht="1" customHeight="1">
      <s:c r="A6665" s="120" t="inlineStr"/>
      <s:c r="B6665" s="121" t="n"/>
      <s:c r="C6665" s="121" t="n"/>
      <s:c r="D6665" s="121" t="n"/>
      <s:c r="E6665" s="122" t="n"/>
    </s:row>
    <s:row r="6666" hidden="1" ht="1" customHeight="1">
      <s:c r="A6666" s="120" t="inlineStr"/>
      <s:c r="B6666" s="121" t="n"/>
      <s:c r="C6666" s="121" t="n"/>
      <s:c r="D6666" s="121" t="n"/>
      <s:c r="E6666" s="122" t="n"/>
    </s:row>
    <s:row r="6667" hidden="1" ht="1" customHeight="1">
      <s:c r="A6667" s="120" t="inlineStr"/>
      <s:c r="B6667" s="121" t="n"/>
      <s:c r="C6667" s="121" t="n"/>
      <s:c r="D6667" s="121" t="n"/>
      <s:c r="E6667" s="122" t="n"/>
    </s:row>
    <s:row r="6668" hidden="1" ht="1" customHeight="1">
      <s:c r="A6668" s="120" t="inlineStr"/>
      <s:c r="B6668" s="121" t="n"/>
      <s:c r="C6668" s="121" t="n"/>
      <s:c r="D6668" s="121" t="n"/>
      <s:c r="E6668" s="122" t="n"/>
    </s:row>
    <s:row r="6669" hidden="1" ht="1" customHeight="1">
      <s:c r="A6669" s="120" t="inlineStr"/>
      <s:c r="B6669" s="121" t="n"/>
      <s:c r="C6669" s="121" t="n"/>
      <s:c r="D6669" s="121" t="n"/>
      <s:c r="E6669" s="122" t="n"/>
    </s:row>
    <s:row r="6670" hidden="1" ht="1" customHeight="1">
      <s:c r="A6670" s="120" t="inlineStr"/>
      <s:c r="B6670" s="121" t="n"/>
      <s:c r="C6670" s="121" t="n"/>
      <s:c r="D6670" s="121" t="n"/>
      <s:c r="E6670" s="122" t="n"/>
    </s:row>
    <s:row r="6671" hidden="1" ht="1" customHeight="1">
      <s:c r="A6671" s="120" t="inlineStr"/>
      <s:c r="B6671" s="121" t="n"/>
      <s:c r="C6671" s="121" t="n"/>
      <s:c r="D6671" s="121" t="n"/>
      <s:c r="E6671" s="122" t="n"/>
    </s:row>
    <s:row r="6672" hidden="1" ht="1" customHeight="1">
      <s:c r="A6672" s="120" t="inlineStr"/>
      <s:c r="B6672" s="121" t="n"/>
      <s:c r="C6672" s="121" t="n"/>
      <s:c r="D6672" s="121" t="n"/>
      <s:c r="E6672" s="122" t="n"/>
    </s:row>
    <s:row r="6673" hidden="1" ht="1" customHeight="1">
      <s:c r="A6673" s="120" t="inlineStr"/>
      <s:c r="B6673" s="121" t="n"/>
      <s:c r="C6673" s="121" t="n"/>
      <s:c r="D6673" s="121" t="n"/>
      <s:c r="E6673" s="122" t="n"/>
    </s:row>
    <s:row r="6674" hidden="1" ht="1" customHeight="1">
      <s:c r="A6674" s="120" t="inlineStr"/>
      <s:c r="B6674" s="121" t="n"/>
      <s:c r="C6674" s="121" t="n"/>
      <s:c r="D6674" s="121" t="n"/>
      <s:c r="E6674" s="122" t="n"/>
    </s:row>
    <s:row r="6675" hidden="1" ht="1" customHeight="1">
      <s:c r="A6675" s="120" t="inlineStr"/>
      <s:c r="B6675" s="121" t="n"/>
      <s:c r="C6675" s="121" t="n"/>
      <s:c r="D6675" s="121" t="n"/>
      <s:c r="E6675" s="122" t="n"/>
    </s:row>
    <s:row r="6676" hidden="1" ht="1" customHeight="1">
      <s:c r="A6676" s="120" t="inlineStr"/>
      <s:c r="B6676" s="121" t="n"/>
      <s:c r="C6676" s="121" t="n"/>
      <s:c r="D6676" s="121" t="n"/>
      <s:c r="E6676" s="122" t="n"/>
    </s:row>
    <s:row r="6677" hidden="1" ht="1" customHeight="1">
      <s:c r="A6677" s="120" t="inlineStr"/>
      <s:c r="B6677" s="121" t="n"/>
      <s:c r="C6677" s="121" t="n"/>
      <s:c r="D6677" s="121" t="n"/>
      <s:c r="E6677" s="122" t="n"/>
    </s:row>
    <s:row r="6678" hidden="1" ht="1" customHeight="1">
      <s:c r="A6678" s="120" t="inlineStr"/>
      <s:c r="B6678" s="121" t="n"/>
      <s:c r="C6678" s="121" t="n"/>
      <s:c r="D6678" s="121" t="n"/>
      <s:c r="E6678" s="122" t="n"/>
    </s:row>
    <s:row r="6679" hidden="1" ht="1" customHeight="1">
      <s:c r="A6679" s="120" t="inlineStr"/>
      <s:c r="B6679" s="121" t="n"/>
      <s:c r="C6679" s="121" t="n"/>
      <s:c r="D6679" s="121" t="n"/>
      <s:c r="E6679" s="122" t="n"/>
    </s:row>
    <s:row r="6680" hidden="1" ht="1" customHeight="1">
      <s:c r="A6680" s="120" t="inlineStr"/>
      <s:c r="B6680" s="121" t="n"/>
      <s:c r="C6680" s="121" t="n"/>
      <s:c r="D6680" s="121" t="n"/>
      <s:c r="E6680" s="122" t="n"/>
    </s:row>
    <s:row r="6681" hidden="1" ht="1" customHeight="1">
      <s:c r="A6681" s="120" t="inlineStr"/>
      <s:c r="B6681" s="121" t="n"/>
      <s:c r="C6681" s="121" t="n"/>
      <s:c r="D6681" s="121" t="n"/>
      <s:c r="E6681" s="122" t="n"/>
    </s:row>
    <s:row r="6682" hidden="1" ht="1" customHeight="1">
      <s:c r="A6682" s="120" t="inlineStr"/>
      <s:c r="B6682" s="121" t="n"/>
      <s:c r="C6682" s="121" t="n"/>
      <s:c r="D6682" s="121" t="n"/>
      <s:c r="E6682" s="122" t="n"/>
    </s:row>
    <s:row r="6683" hidden="1" ht="1" customHeight="1">
      <s:c r="A6683" s="120" t="inlineStr"/>
      <s:c r="B6683" s="121" t="n"/>
      <s:c r="C6683" s="121" t="n"/>
      <s:c r="D6683" s="121" t="n"/>
      <s:c r="E6683" s="122" t="n"/>
    </s:row>
    <s:row r="6684" hidden="1" ht="1" customHeight="1">
      <s:c r="A6684" s="120" t="inlineStr"/>
      <s:c r="B6684" s="121" t="n"/>
      <s:c r="C6684" s="121" t="n"/>
      <s:c r="D6684" s="121" t="n"/>
      <s:c r="E6684" s="122" t="n"/>
    </s:row>
    <s:row r="6685" hidden="1" ht="1" customHeight="1">
      <s:c r="A6685" s="120" t="inlineStr"/>
      <s:c r="B6685" s="121" t="n"/>
      <s:c r="C6685" s="121" t="n"/>
      <s:c r="D6685" s="121" t="n"/>
      <s:c r="E6685" s="122" t="n"/>
    </s:row>
    <s:row r="6686" hidden="1" ht="1" customHeight="1">
      <s:c r="A6686" s="120" t="inlineStr"/>
      <s:c r="B6686" s="121" t="n"/>
      <s:c r="C6686" s="121" t="n"/>
      <s:c r="D6686" s="121" t="n"/>
      <s:c r="E6686" s="122" t="n"/>
    </s:row>
    <s:row r="6687" hidden="1" ht="1" customHeight="1">
      <s:c r="A6687" s="120" t="inlineStr"/>
      <s:c r="B6687" s="121" t="n"/>
      <s:c r="C6687" s="121" t="n"/>
      <s:c r="D6687" s="121" t="n"/>
      <s:c r="E6687" s="122" t="n"/>
    </s:row>
    <s:row r="6688" hidden="1" ht="1" customHeight="1">
      <s:c r="A6688" s="120" t="inlineStr"/>
      <s:c r="B6688" s="121" t="n"/>
      <s:c r="C6688" s="121" t="n"/>
      <s:c r="D6688" s="121" t="n"/>
      <s:c r="E6688" s="122" t="n"/>
    </s:row>
    <s:row r="6689" hidden="1" ht="1" customHeight="1">
      <s:c r="A6689" s="120" t="inlineStr"/>
      <s:c r="B6689" s="121" t="n"/>
      <s:c r="C6689" s="121" t="n"/>
      <s:c r="D6689" s="121" t="n"/>
      <s:c r="E6689" s="122" t="n"/>
    </s:row>
    <s:row r="6690" hidden="1" ht="1" customHeight="1">
      <s:c r="A6690" s="120" t="inlineStr"/>
      <s:c r="B6690" s="121" t="n"/>
      <s:c r="C6690" s="121" t="n"/>
      <s:c r="D6690" s="121" t="n"/>
      <s:c r="E6690" s="122" t="n"/>
    </s:row>
    <s:row r="6691" hidden="1" ht="1" customHeight="1">
      <s:c r="A6691" s="120" t="inlineStr"/>
      <s:c r="B6691" s="121" t="n"/>
      <s:c r="C6691" s="121" t="n"/>
      <s:c r="D6691" s="121" t="n"/>
      <s:c r="E6691" s="122" t="n"/>
    </s:row>
    <s:row r="6692" hidden="1" ht="1" customHeight="1">
      <s:c r="A6692" s="120" t="inlineStr"/>
      <s:c r="B6692" s="121" t="n"/>
      <s:c r="C6692" s="121" t="n"/>
      <s:c r="D6692" s="121" t="n"/>
      <s:c r="E6692" s="122" t="n"/>
    </s:row>
    <s:row r="6693" hidden="1" ht="1" customHeight="1">
      <s:c r="A6693" s="120" t="inlineStr"/>
      <s:c r="B6693" s="121" t="n"/>
      <s:c r="C6693" s="121" t="n"/>
      <s:c r="D6693" s="121" t="n"/>
      <s:c r="E6693" s="122" t="n"/>
    </s:row>
    <s:row r="6694" hidden="1" ht="1" customHeight="1">
      <s:c r="A6694" s="83" t="inlineStr">
        <s:is>
          <s:t>PASS</s:t>
        </s:is>
      </s:c>
      <s:c r="B6694" s="83">
        <s:f>SUM(IF(EXACT('Kiểm thử'!E6644,"Đạt"),1,0))</s:f>
        <s:v/>
      </s:c>
      <s:c r="C6694" s="19" t="n"/>
      <s:c r="D6694" s="19" t="n"/>
      <s:c r="E6694" s="19" t="n"/>
    </s:row>
    <s:row r="6695" hidden="1" ht="1" customHeight="1">
      <s:c r="A6695" s="83" t="inlineStr">
        <s:is>
          <s:t>FAIL</s:t>
        </s:is>
      </s:c>
      <s:c r="B6695" s="83">
        <s:f>SUM(IF(EXACT('Kiểm thử'!E6644,"Không đạt"),1,0))</s:f>
        <s:v/>
      </s:c>
      <s:c r="C6695" s="19" t="n"/>
      <s:c r="D6695" s="19" t="n"/>
      <s:c r="E6695" s="19" t="n"/>
    </s:row>
    <s:row r="6696" hidden="1" ht="1" customHeight="1">
      <s:c r="A6696" s="83" t="inlineStr">
        <s:is>
          <s:t>BLOCKED</s:t>
        </s:is>
      </s:c>
      <s:c r="B6696" s="83">
        <s:f>SUM(IF(EXACT('Kiểm thử'!E6644,"Bị chặn"),1,0))</s:f>
        <s:v/>
      </s:c>
      <s:c r="C6696" s="19" t="n"/>
      <s:c r="D6696" s="19" t="n"/>
      <s:c r="E6696" s="19" t="n"/>
    </s:row>
    <s:row r="6697" hidden="1" ht="1" customHeight="1">
      <s:c r="A6697" s="83" t="inlineStr">
        <s:is>
          <s:t>SKIPPED</s:t>
        </s:is>
      </s:c>
      <s:c r="B6697" s="83">
        <s:f>SUM(IF(EXACT('Kiểm thử'!E6644,"Không thực hiện"),1,0))</s:f>
        <s:v/>
      </s:c>
      <s:c r="C6697" s="19" t="n"/>
      <s:c r="D6697" s="19" t="n"/>
      <s:c r="E6697" s="19" t="n"/>
    </s:row>
    <s:row r="6698" hidden="1" ht="1" customHeight="1">
      <s:c r="A6698" s="83" t="inlineStr">
        <s:is>
          <s:t>NOT RUN</s:t>
        </s:is>
      </s:c>
      <s:c r="B6698" s="83">
        <s:f>SUM(IF(EXACT('Kiểm thử'!E6644,"Chưa thực hiện"),1,0))</s:f>
        <s:v/>
      </s:c>
      <s:c r="C6698" s="19" t="n"/>
      <s:c r="D6698" s="19" t="n"/>
      <s:c r="E6698" s="19" t="n"/>
    </s:row>
    <s:row r="6699" hidden="1" ht="6" customHeight="1">
      <s:c r="A6699" s="83" t="inlineStr"/>
      <s:c r="B6699" s="19" t="n"/>
      <s:c r="C6699" s="19" t="n"/>
      <s:c r="D6699" s="19" t="n"/>
      <s:c r="E6699" s="19" t="n"/>
    </s:row>
    <s:row r="6700" ht="28" customHeight="1">
      <s:c r="A6700" s="108" t="inlineStr">
        <s:is>
          <s:t>TC-RS-VAL-009 — Chia cho số cố định 0 không lưu được</s:t>
        </s:is>
      </s:c>
      <s:c r="B6700" s="111" t="n"/>
      <s:c r="C6700" s="111" t="n"/>
      <s:c r="D6700" s="111" t="n"/>
      <s:c r="E6700" s="111" t="n"/>
    </s:row>
    <s:row r="6701" ht="20" customHeight="1">
      <s:c r="A6701" s="112" t="inlineStr">
        <s:is>
          <s:t>Kết quả tình huống</s:t>
        </s:is>
      </s:c>
      <s:c r="B6701" s="113">
        <s:f>IF(SUM(IF(EXACT('Kiểm thử'!E6708,"Không đạt"),1,0),IF(EXACT('Kiểm thử'!E6710,"Không đạt"),1,0))&gt;0,"Không đạt",IF(SUM(IF(EXACT('Kiểm thử'!E6708,"Đạt"),1,0),IF(EXACT('Kiểm thử'!E6710,"Đạt"),1,0))=2,"Đạt",IF(SUM(IF(EXACT('Kiểm thử'!E6708,"Không thực hiện"),1,0),IF(EXACT('Kiểm thử'!E6710,"Không thực hiện"),1,0))=2,"Không thực hiện",IF(SUM(IF(EXACT('Kiểm thử'!E6708,"Bị chặn"),1,0),IF(EXACT('Kiểm thử'!E6710,"Bị chặn"),1,0))&gt;0,"Bị chặn",IF(SUM(IF(EXACT('Kiểm thử'!E6708,"Chưa thực hiện"),1,0),IF(EXACT('Kiểm thử'!E6710,"Chưa thực hiện"),1,0))=2,"Chưa thực hiện","Đang thực hiện")))))</s:f>
        <s:v/>
      </s:c>
      <s:c r="C6701" s="114" t="n"/>
      <s:c r="D6701" s="114" t="n"/>
      <s:c r="E6701" s="114" t="n"/>
    </s:row>
    <s:row r="6702" ht="20" customHeight="1">
      <s:c r="A6702" s="112" t="inlineStr">
        <s:is>
          <s:t>Màn hình / chức năng</s:t>
        </s:is>
      </s:c>
      <s:c r="B6702" s="113" t="inlineStr">
        <s:is>
          <s:r>
            <s:rPr>
              <s:b val="1"/>
            </s:rPr>
            <s:t>Thiết lập ngưỡng（基準設定）</s:t>
          </s:r>
        </s:is>
      </s:c>
      <s:c r="C6702" s="28" t="n"/>
      <s:c r="D6702" s="28" t="n"/>
      <s:c r="E6702" s="28" t="n"/>
    </s:row>
    <s:row r="6703" ht="20" customHeight="1">
      <s:c r="A6703" s="112" t="inlineStr">
        <s:is>
          <s:t>Cấu hình</s:t>
        </s:is>
      </s:c>
      <s:c r="B6703" s="113" t="inlineStr">
        <s:is>
          <s:r>
            <s:t xml:space="preserve">• </s:t>
          </s:r>
          <s:r>
            <s:rPr>
              <s:b val="1"/>
            </s:rPr>
            <s:t>Loại Công thức tính（計算式）</s:t>
          </s:r>
          <s:r>
            <s:t>.</s:t>
          </s:r>
        </s:is>
      </s:c>
      <s:c r="C6703" s="28" t="n"/>
      <s:c r="D6703" s="28" t="n"/>
      <s:c r="E6703" s="28" t="n"/>
    </s:row>
    <s:row r="6704" ht="34" customHeight="1">
      <s:c r="A6704" s="112" t="inlineStr">
        <s:is>
          <s:t>Dữ liệu test</s:t>
        </s:is>
      </s:c>
      <s:c r="B6704" s="113" t="inlineStr">
        <s:is>
          <s:r>
            <s:t xml:space="preserve">• Dòng 1: </s:t>
          </s:r>
          <s:r>
            <s:rPr>
              <s:b val="1"/>
            </s:rPr>
            <s:t>Trung bình（平均点）</s:t>
          </s:r>
          <s:r>
            <s:rPr>
              <s:b val="1"/>
            </s:rPr>
            <s:t>÷ Số cố định（固定値）</s:t>
          </s:r>
          <s:r>
            <s:t>0;
• Biến thể 0.0</s:t>
          </s:r>
        </s:is>
      </s:c>
      <s:c r="C6704" s="28" t="n"/>
      <s:c r="D6704" s="28" t="n"/>
      <s:c r="E6704" s="28" t="n"/>
    </s:row>
    <s:row r="6705" ht="20" customHeight="1">
      <s:c r="A6705" s="112" t="inlineStr">
        <s:is>
          <s:t>•</s:t>
        </s:is>
      </s:c>
      <s:c r="B6705" s="113" t="inlineStr">
        <s:is>
          <s:t>Nhập công thức, Lưu.</s:t>
        </s:is>
      </s:c>
      <s:c r="C6705" s="28" t="n"/>
      <s:c r="D6705" s="28" t="n"/>
      <s:c r="E6705" s="28" t="n"/>
    </s:row>
    <s:row r="6706" ht="28" customHeight="1">
      <s:c r="A6706" s="115" t="inlineStr">
        <s:is>
          <s:t>Trường hợp</s:t>
        </s:is>
      </s:c>
      <s:c r="B6706" s="115" t="inlineStr">
        <s:is>
          <s:t>Dữ liệu / thao tác riêng</s:t>
        </s:is>
      </s:c>
      <s:c r="C6706" s="115" t="inlineStr">
        <s:is>
          <s:t>Kết quả mong đợi</s:t>
        </s:is>
      </s:c>
      <s:c r="D6706" s="115" t="inlineStr">
        <s:is>
          <s:t>Kết quả thực tế</s:t>
        </s:is>
      </s:c>
      <s:c r="E6706" s="115" t="inlineStr">
        <s:is>
          <s:t>Đánh giá</s:t>
        </s:is>
      </s:c>
    </s:row>
    <s:row r="6707" ht="3" customHeight="1">
      <s:c r="A6707" s="102" t="inlineStr"/>
      <s:c r="B6707" s="99" t="n"/>
      <s:c r="C6707" s="99" t="n"/>
      <s:c r="D6707" s="116" t="n"/>
      <s:c r="E6707" s="116" t="n"/>
    </s:row>
    <s:row r="6708" ht="34" customHeight="1">
      <s:c r="A6708" s="83" t="inlineStr">
        <s:is>
          <s:t>Chia 0 (zero)</s:t>
        </s:is>
      </s:c>
      <s:c r="B6708" s="83" t="inlineStr">
        <s:is>
          <s:t>Số chia cố định=0; lưu công thức.</s:t>
        </s:is>
      </s:c>
      <s:c r="C6708" s="83" t="inlineStr">
        <s:is>
          <s:t>Không lưu được; lỗi chỉ rõ dòng/vế phải.</s:t>
        </s:is>
      </s:c>
      <s:c r="D6708" s="117" t="inlineStr"/>
      <s:c r="E6708" s="118" t="inlineStr">
        <s:is>
          <s:t>Chưa thực hiện</s:t>
        </s:is>
      </s:c>
    </s:row>
    <s:row r="6709" ht="3" customHeight="1">
      <s:c r="A6709" s="102" t="inlineStr"/>
      <s:c r="B6709" s="99" t="n"/>
      <s:c r="C6709" s="99" t="n"/>
      <s:c r="D6709" s="116" t="n"/>
      <s:c r="E6709" s="116" t="n"/>
    </s:row>
    <s:row r="6710" ht="34" customHeight="1">
      <s:c r="A6710" s="83" t="inlineStr">
        <s:is>
          <s:t>Chia 0.0 (decimal-zero)</s:t>
        </s:is>
      </s:c>
      <s:c r="B6710" s="83" t="inlineStr">
        <s:is>
          <s:t>Số chia cố định=0.0; lưu công thức.</s:t>
        </s:is>
      </s:c>
      <s:c r="C6710" s="83" t="inlineStr">
        <s:is>
          <s:t>Không lưu được; lỗi chỉ rõ dòng/vế phải.</s:t>
        </s:is>
      </s:c>
      <s:c r="D6710" s="117" t="inlineStr"/>
      <s:c r="E6710" s="118" t="inlineStr">
        <s:is>
          <s:t>Chưa thực hiện</s:t>
        </s:is>
      </s:c>
    </s:row>
    <s:row r="6711" ht="20" customHeight="1">
      <s:c r="A6711" s="119" t="inlineStr">
        <s:is>
          <s:t>Ảnh minh chứng — Chưa có ảnh</s:t>
        </s:is>
      </s:c>
      <s:c r="B6711" s="19" t="n"/>
      <s:c r="C6711" s="19" t="n"/>
      <s:c r="D6711" s="19" t="n"/>
      <s:c r="E6711" s="19" t="n"/>
    </s:row>
    <s:row r="6712" hidden="1" ht="1" customHeight="1">
      <s:c r="A6712" s="120" t="inlineStr"/>
      <s:c r="B6712" s="121" t="n"/>
      <s:c r="C6712" s="121" t="n"/>
      <s:c r="D6712" s="121" t="n"/>
      <s:c r="E6712" s="122" t="n"/>
    </s:row>
    <s:row r="6713" hidden="1" ht="1" customHeight="1">
      <s:c r="A6713" s="120" t="inlineStr"/>
      <s:c r="B6713" s="121" t="n"/>
      <s:c r="C6713" s="121" t="n"/>
      <s:c r="D6713" s="121" t="n"/>
      <s:c r="E6713" s="122" t="n"/>
    </s:row>
    <s:row r="6714" hidden="1" ht="1" customHeight="1">
      <s:c r="A6714" s="120" t="inlineStr"/>
      <s:c r="B6714" s="121" t="n"/>
      <s:c r="C6714" s="121" t="n"/>
      <s:c r="D6714" s="121" t="n"/>
      <s:c r="E6714" s="122" t="n"/>
    </s:row>
    <s:row r="6715" hidden="1" ht="1" customHeight="1">
      <s:c r="A6715" s="120" t="inlineStr"/>
      <s:c r="B6715" s="121" t="n"/>
      <s:c r="C6715" s="121" t="n"/>
      <s:c r="D6715" s="121" t="n"/>
      <s:c r="E6715" s="122" t="n"/>
    </s:row>
    <s:row r="6716" hidden="1" ht="1" customHeight="1">
      <s:c r="A6716" s="120" t="inlineStr"/>
      <s:c r="B6716" s="121" t="n"/>
      <s:c r="C6716" s="121" t="n"/>
      <s:c r="D6716" s="121" t="n"/>
      <s:c r="E6716" s="122" t="n"/>
    </s:row>
    <s:row r="6717" hidden="1" ht="1" customHeight="1">
      <s:c r="A6717" s="120" t="inlineStr"/>
      <s:c r="B6717" s="121" t="n"/>
      <s:c r="C6717" s="121" t="n"/>
      <s:c r="D6717" s="121" t="n"/>
      <s:c r="E6717" s="122" t="n"/>
    </s:row>
    <s:row r="6718" hidden="1" ht="1" customHeight="1">
      <s:c r="A6718" s="120" t="inlineStr"/>
      <s:c r="B6718" s="121" t="n"/>
      <s:c r="C6718" s="121" t="n"/>
      <s:c r="D6718" s="121" t="n"/>
      <s:c r="E6718" s="122" t="n"/>
    </s:row>
    <s:row r="6719" hidden="1" ht="1" customHeight="1">
      <s:c r="A6719" s="120" t="inlineStr"/>
      <s:c r="B6719" s="121" t="n"/>
      <s:c r="C6719" s="121" t="n"/>
      <s:c r="D6719" s="121" t="n"/>
      <s:c r="E6719" s="122" t="n"/>
    </s:row>
    <s:row r="6720" hidden="1" ht="1" customHeight="1">
      <s:c r="A6720" s="120" t="inlineStr"/>
      <s:c r="B6720" s="121" t="n"/>
      <s:c r="C6720" s="121" t="n"/>
      <s:c r="D6720" s="121" t="n"/>
      <s:c r="E6720" s="122" t="n"/>
    </s:row>
    <s:row r="6721" hidden="1" ht="1" customHeight="1">
      <s:c r="A6721" s="120" t="inlineStr"/>
      <s:c r="B6721" s="121" t="n"/>
      <s:c r="C6721" s="121" t="n"/>
      <s:c r="D6721" s="121" t="n"/>
      <s:c r="E6721" s="122" t="n"/>
    </s:row>
    <s:row r="6722" hidden="1" ht="1" customHeight="1">
      <s:c r="A6722" s="120" t="inlineStr"/>
      <s:c r="B6722" s="121" t="n"/>
      <s:c r="C6722" s="121" t="n"/>
      <s:c r="D6722" s="121" t="n"/>
      <s:c r="E6722" s="122" t="n"/>
    </s:row>
    <s:row r="6723" hidden="1" ht="1" customHeight="1">
      <s:c r="A6723" s="120" t="inlineStr"/>
      <s:c r="B6723" s="121" t="n"/>
      <s:c r="C6723" s="121" t="n"/>
      <s:c r="D6723" s="121" t="n"/>
      <s:c r="E6723" s="122" t="n"/>
    </s:row>
    <s:row r="6724" hidden="1" ht="1" customHeight="1">
      <s:c r="A6724" s="120" t="inlineStr"/>
      <s:c r="B6724" s="121" t="n"/>
      <s:c r="C6724" s="121" t="n"/>
      <s:c r="D6724" s="121" t="n"/>
      <s:c r="E6724" s="122" t="n"/>
    </s:row>
    <s:row r="6725" hidden="1" ht="1" customHeight="1">
      <s:c r="A6725" s="120" t="inlineStr"/>
      <s:c r="B6725" s="121" t="n"/>
      <s:c r="C6725" s="121" t="n"/>
      <s:c r="D6725" s="121" t="n"/>
      <s:c r="E6725" s="122" t="n"/>
    </s:row>
    <s:row r="6726" hidden="1" ht="1" customHeight="1">
      <s:c r="A6726" s="120" t="inlineStr"/>
      <s:c r="B6726" s="121" t="n"/>
      <s:c r="C6726" s="121" t="n"/>
      <s:c r="D6726" s="121" t="n"/>
      <s:c r="E6726" s="122" t="n"/>
    </s:row>
    <s:row r="6727" hidden="1" ht="1" customHeight="1">
      <s:c r="A6727" s="120" t="inlineStr"/>
      <s:c r="B6727" s="121" t="n"/>
      <s:c r="C6727" s="121" t="n"/>
      <s:c r="D6727" s="121" t="n"/>
      <s:c r="E6727" s="122" t="n"/>
    </s:row>
    <s:row r="6728" hidden="1" ht="1" customHeight="1">
      <s:c r="A6728" s="120" t="inlineStr"/>
      <s:c r="B6728" s="121" t="n"/>
      <s:c r="C6728" s="121" t="n"/>
      <s:c r="D6728" s="121" t="n"/>
      <s:c r="E6728" s="122" t="n"/>
    </s:row>
    <s:row r="6729" hidden="1" ht="1" customHeight="1">
      <s:c r="A6729" s="120" t="inlineStr"/>
      <s:c r="B6729" s="121" t="n"/>
      <s:c r="C6729" s="121" t="n"/>
      <s:c r="D6729" s="121" t="n"/>
      <s:c r="E6729" s="122" t="n"/>
    </s:row>
    <s:row r="6730" hidden="1" ht="1" customHeight="1">
      <s:c r="A6730" s="120" t="inlineStr"/>
      <s:c r="B6730" s="121" t="n"/>
      <s:c r="C6730" s="121" t="n"/>
      <s:c r="D6730" s="121" t="n"/>
      <s:c r="E6730" s="122" t="n"/>
    </s:row>
    <s:row r="6731" hidden="1" ht="1" customHeight="1">
      <s:c r="A6731" s="120" t="inlineStr"/>
      <s:c r="B6731" s="121" t="n"/>
      <s:c r="C6731" s="121" t="n"/>
      <s:c r="D6731" s="121" t="n"/>
      <s:c r="E6731" s="122" t="n"/>
    </s:row>
    <s:row r="6732" hidden="1" ht="1" customHeight="1">
      <s:c r="A6732" s="120" t="inlineStr"/>
      <s:c r="B6732" s="121" t="n"/>
      <s:c r="C6732" s="121" t="n"/>
      <s:c r="D6732" s="121" t="n"/>
      <s:c r="E6732" s="122" t="n"/>
    </s:row>
    <s:row r="6733" hidden="1" ht="1" customHeight="1">
      <s:c r="A6733" s="120" t="inlineStr"/>
      <s:c r="B6733" s="121" t="n"/>
      <s:c r="C6733" s="121" t="n"/>
      <s:c r="D6733" s="121" t="n"/>
      <s:c r="E6733" s="122" t="n"/>
    </s:row>
    <s:row r="6734" hidden="1" ht="1" customHeight="1">
      <s:c r="A6734" s="120" t="inlineStr"/>
      <s:c r="B6734" s="121" t="n"/>
      <s:c r="C6734" s="121" t="n"/>
      <s:c r="D6734" s="121" t="n"/>
      <s:c r="E6734" s="122" t="n"/>
    </s:row>
    <s:row r="6735" hidden="1" ht="1" customHeight="1">
      <s:c r="A6735" s="120" t="inlineStr"/>
      <s:c r="B6735" s="121" t="n"/>
      <s:c r="C6735" s="121" t="n"/>
      <s:c r="D6735" s="121" t="n"/>
      <s:c r="E6735" s="122" t="n"/>
    </s:row>
    <s:row r="6736" hidden="1" ht="1" customHeight="1">
      <s:c r="A6736" s="120" t="inlineStr"/>
      <s:c r="B6736" s="121" t="n"/>
      <s:c r="C6736" s="121" t="n"/>
      <s:c r="D6736" s="121" t="n"/>
      <s:c r="E6736" s="122" t="n"/>
    </s:row>
    <s:row r="6737" hidden="1" ht="1" customHeight="1">
      <s:c r="A6737" s="120" t="inlineStr"/>
      <s:c r="B6737" s="121" t="n"/>
      <s:c r="C6737" s="121" t="n"/>
      <s:c r="D6737" s="121" t="n"/>
      <s:c r="E6737" s="122" t="n"/>
    </s:row>
    <s:row r="6738" hidden="1" ht="1" customHeight="1">
      <s:c r="A6738" s="120" t="inlineStr"/>
      <s:c r="B6738" s="121" t="n"/>
      <s:c r="C6738" s="121" t="n"/>
      <s:c r="D6738" s="121" t="n"/>
      <s:c r="E6738" s="122" t="n"/>
    </s:row>
    <s:row r="6739" hidden="1" ht="1" customHeight="1">
      <s:c r="A6739" s="120" t="inlineStr"/>
      <s:c r="B6739" s="121" t="n"/>
      <s:c r="C6739" s="121" t="n"/>
      <s:c r="D6739" s="121" t="n"/>
      <s:c r="E6739" s="122" t="n"/>
    </s:row>
    <s:row r="6740" hidden="1" ht="1" customHeight="1">
      <s:c r="A6740" s="120" t="inlineStr"/>
      <s:c r="B6740" s="121" t="n"/>
      <s:c r="C6740" s="121" t="n"/>
      <s:c r="D6740" s="121" t="n"/>
      <s:c r="E6740" s="122" t="n"/>
    </s:row>
    <s:row r="6741" hidden="1" ht="1" customHeight="1">
      <s:c r="A6741" s="120" t="inlineStr"/>
      <s:c r="B6741" s="121" t="n"/>
      <s:c r="C6741" s="121" t="n"/>
      <s:c r="D6741" s="121" t="n"/>
      <s:c r="E6741" s="122" t="n"/>
    </s:row>
    <s:row r="6742" hidden="1" ht="1" customHeight="1">
      <s:c r="A6742" s="120" t="inlineStr"/>
      <s:c r="B6742" s="121" t="n"/>
      <s:c r="C6742" s="121" t="n"/>
      <s:c r="D6742" s="121" t="n"/>
      <s:c r="E6742" s="122" t="n"/>
    </s:row>
    <s:row r="6743" hidden="1" ht="1" customHeight="1">
      <s:c r="A6743" s="120" t="inlineStr"/>
      <s:c r="B6743" s="121" t="n"/>
      <s:c r="C6743" s="121" t="n"/>
      <s:c r="D6743" s="121" t="n"/>
      <s:c r="E6743" s="122" t="n"/>
    </s:row>
    <s:row r="6744" hidden="1" ht="1" customHeight="1">
      <s:c r="A6744" s="120" t="inlineStr"/>
      <s:c r="B6744" s="121" t="n"/>
      <s:c r="C6744" s="121" t="n"/>
      <s:c r="D6744" s="121" t="n"/>
      <s:c r="E6744" s="122" t="n"/>
    </s:row>
    <s:row r="6745" hidden="1" ht="1" customHeight="1">
      <s:c r="A6745" s="120" t="inlineStr"/>
      <s:c r="B6745" s="121" t="n"/>
      <s:c r="C6745" s="121" t="n"/>
      <s:c r="D6745" s="121" t="n"/>
      <s:c r="E6745" s="122" t="n"/>
    </s:row>
    <s:row r="6746" hidden="1" ht="1" customHeight="1">
      <s:c r="A6746" s="120" t="inlineStr"/>
      <s:c r="B6746" s="121" t="n"/>
      <s:c r="C6746" s="121" t="n"/>
      <s:c r="D6746" s="121" t="n"/>
      <s:c r="E6746" s="122" t="n"/>
    </s:row>
    <s:row r="6747" hidden="1" ht="1" customHeight="1">
      <s:c r="A6747" s="120" t="inlineStr"/>
      <s:c r="B6747" s="121" t="n"/>
      <s:c r="C6747" s="121" t="n"/>
      <s:c r="D6747" s="121" t="n"/>
      <s:c r="E6747" s="122" t="n"/>
    </s:row>
    <s:row r="6748" hidden="1" ht="1" customHeight="1">
      <s:c r="A6748" s="120" t="inlineStr"/>
      <s:c r="B6748" s="121" t="n"/>
      <s:c r="C6748" s="121" t="n"/>
      <s:c r="D6748" s="121" t="n"/>
      <s:c r="E6748" s="122" t="n"/>
    </s:row>
    <s:row r="6749" hidden="1" ht="1" customHeight="1">
      <s:c r="A6749" s="120" t="inlineStr"/>
      <s:c r="B6749" s="121" t="n"/>
      <s:c r="C6749" s="121" t="n"/>
      <s:c r="D6749" s="121" t="n"/>
      <s:c r="E6749" s="122" t="n"/>
    </s:row>
    <s:row r="6750" hidden="1" ht="1" customHeight="1">
      <s:c r="A6750" s="120" t="inlineStr"/>
      <s:c r="B6750" s="121" t="n"/>
      <s:c r="C6750" s="121" t="n"/>
      <s:c r="D6750" s="121" t="n"/>
      <s:c r="E6750" s="122" t="n"/>
    </s:row>
    <s:row r="6751" hidden="1" ht="1" customHeight="1">
      <s:c r="A6751" s="120" t="inlineStr"/>
      <s:c r="B6751" s="121" t="n"/>
      <s:c r="C6751" s="121" t="n"/>
      <s:c r="D6751" s="121" t="n"/>
      <s:c r="E6751" s="122" t="n"/>
    </s:row>
    <s:row r="6752" hidden="1" ht="1" customHeight="1">
      <s:c r="A6752" s="120" t="inlineStr"/>
      <s:c r="B6752" s="121" t="n"/>
      <s:c r="C6752" s="121" t="n"/>
      <s:c r="D6752" s="121" t="n"/>
      <s:c r="E6752" s="122" t="n"/>
    </s:row>
    <s:row r="6753" hidden="1" ht="1" customHeight="1">
      <s:c r="A6753" s="120" t="inlineStr"/>
      <s:c r="B6753" s="121" t="n"/>
      <s:c r="C6753" s="121" t="n"/>
      <s:c r="D6753" s="121" t="n"/>
      <s:c r="E6753" s="122" t="n"/>
    </s:row>
    <s:row r="6754" hidden="1" ht="1" customHeight="1">
      <s:c r="A6754" s="120" t="inlineStr"/>
      <s:c r="B6754" s="121" t="n"/>
      <s:c r="C6754" s="121" t="n"/>
      <s:c r="D6754" s="121" t="n"/>
      <s:c r="E6754" s="122" t="n"/>
    </s:row>
    <s:row r="6755" hidden="1" ht="1" customHeight="1">
      <s:c r="A6755" s="120" t="inlineStr"/>
      <s:c r="B6755" s="121" t="n"/>
      <s:c r="C6755" s="121" t="n"/>
      <s:c r="D6755" s="121" t="n"/>
      <s:c r="E6755" s="122" t="n"/>
    </s:row>
    <s:row r="6756" hidden="1" ht="1" customHeight="1">
      <s:c r="A6756" s="120" t="inlineStr"/>
      <s:c r="B6756" s="121" t="n"/>
      <s:c r="C6756" s="121" t="n"/>
      <s:c r="D6756" s="121" t="n"/>
      <s:c r="E6756" s="122" t="n"/>
    </s:row>
    <s:row r="6757" hidden="1" ht="1" customHeight="1">
      <s:c r="A6757" s="120" t="inlineStr"/>
      <s:c r="B6757" s="121" t="n"/>
      <s:c r="C6757" s="121" t="n"/>
      <s:c r="D6757" s="121" t="n"/>
      <s:c r="E6757" s="122" t="n"/>
    </s:row>
    <s:row r="6758" hidden="1" ht="1" customHeight="1">
      <s:c r="A6758" s="120" t="inlineStr"/>
      <s:c r="B6758" s="121" t="n"/>
      <s:c r="C6758" s="121" t="n"/>
      <s:c r="D6758" s="121" t="n"/>
      <s:c r="E6758" s="122" t="n"/>
    </s:row>
    <s:row r="6759" hidden="1" ht="1" customHeight="1">
      <s:c r="A6759" s="120" t="inlineStr"/>
      <s:c r="B6759" s="121" t="n"/>
      <s:c r="C6759" s="121" t="n"/>
      <s:c r="D6759" s="121" t="n"/>
      <s:c r="E6759" s="122" t="n"/>
    </s:row>
    <s:row r="6760" hidden="1" ht="1" customHeight="1">
      <s:c r="A6760" s="120" t="inlineStr"/>
      <s:c r="B6760" s="121" t="n"/>
      <s:c r="C6760" s="121" t="n"/>
      <s:c r="D6760" s="121" t="n"/>
      <s:c r="E6760" s="122" t="n"/>
    </s:row>
    <s:row r="6761" hidden="1" ht="1" customHeight="1">
      <s:c r="A6761" s="120" t="inlineStr"/>
      <s:c r="B6761" s="121" t="n"/>
      <s:c r="C6761" s="121" t="n"/>
      <s:c r="D6761" s="121" t="n"/>
      <s:c r="E6761" s="122" t="n"/>
    </s:row>
    <s:row r="6762" hidden="1" ht="1" customHeight="1">
      <s:c r="A6762" s="120" t="inlineStr"/>
      <s:c r="B6762" s="121" t="n"/>
      <s:c r="C6762" s="121" t="n"/>
      <s:c r="D6762" s="121" t="n"/>
      <s:c r="E6762" s="122" t="n"/>
    </s:row>
    <s:row r="6763" hidden="1" ht="1" customHeight="1">
      <s:c r="A6763" s="120" t="inlineStr"/>
      <s:c r="B6763" s="121" t="n"/>
      <s:c r="C6763" s="121" t="n"/>
      <s:c r="D6763" s="121" t="n"/>
      <s:c r="E6763" s="122" t="n"/>
    </s:row>
    <s:row r="6764" hidden="1" ht="1" customHeight="1">
      <s:c r="A6764" s="120" t="inlineStr"/>
      <s:c r="B6764" s="121" t="n"/>
      <s:c r="C6764" s="121" t="n"/>
      <s:c r="D6764" s="121" t="n"/>
      <s:c r="E6764" s="122" t="n"/>
    </s:row>
    <s:row r="6765" hidden="1" ht="1" customHeight="1">
      <s:c r="A6765" s="120" t="inlineStr"/>
      <s:c r="B6765" s="121" t="n"/>
      <s:c r="C6765" s="121" t="n"/>
      <s:c r="D6765" s="121" t="n"/>
      <s:c r="E6765" s="122" t="n"/>
    </s:row>
    <s:row r="6766" hidden="1" ht="1" customHeight="1">
      <s:c r="A6766" s="120" t="inlineStr"/>
      <s:c r="B6766" s="121" t="n"/>
      <s:c r="C6766" s="121" t="n"/>
      <s:c r="D6766" s="121" t="n"/>
      <s:c r="E6766" s="122" t="n"/>
    </s:row>
    <s:row r="6767" hidden="1" ht="1" customHeight="1">
      <s:c r="A6767" s="120" t="inlineStr"/>
      <s:c r="B6767" s="121" t="n"/>
      <s:c r="C6767" s="121" t="n"/>
      <s:c r="D6767" s="121" t="n"/>
      <s:c r="E6767" s="122" t="n"/>
    </s:row>
    <s:row r="6768" hidden="1" ht="1" customHeight="1">
      <s:c r="A6768" s="120" t="inlineStr"/>
      <s:c r="B6768" s="121" t="n"/>
      <s:c r="C6768" s="121" t="n"/>
      <s:c r="D6768" s="121" t="n"/>
      <s:c r="E6768" s="122" t="n"/>
    </s:row>
    <s:row r="6769" hidden="1" ht="1" customHeight="1">
      <s:c r="A6769" s="120" t="inlineStr"/>
      <s:c r="B6769" s="121" t="n"/>
      <s:c r="C6769" s="121" t="n"/>
      <s:c r="D6769" s="121" t="n"/>
      <s:c r="E6769" s="122" t="n"/>
    </s:row>
    <s:row r="6770" hidden="1" ht="1" customHeight="1">
      <s:c r="A6770" s="120" t="inlineStr"/>
      <s:c r="B6770" s="121" t="n"/>
      <s:c r="C6770" s="121" t="n"/>
      <s:c r="D6770" s="121" t="n"/>
      <s:c r="E6770" s="122" t="n"/>
    </s:row>
    <s:row r="6771" hidden="1" ht="1" customHeight="1">
      <s:c r="A6771" s="120" t="inlineStr"/>
      <s:c r="B6771" s="121" t="n"/>
      <s:c r="C6771" s="121" t="n"/>
      <s:c r="D6771" s="121" t="n"/>
      <s:c r="E6771" s="122" t="n"/>
    </s:row>
    <s:row r="6772" hidden="1" ht="1" customHeight="1">
      <s:c r="A6772" s="120" t="inlineStr"/>
      <s:c r="B6772" s="121" t="n"/>
      <s:c r="C6772" s="121" t="n"/>
      <s:c r="D6772" s="121" t="n"/>
      <s:c r="E6772" s="122" t="n"/>
    </s:row>
    <s:row r="6773" hidden="1" ht="1" customHeight="1">
      <s:c r="A6773" s="120" t="inlineStr"/>
      <s:c r="B6773" s="121" t="n"/>
      <s:c r="C6773" s="121" t="n"/>
      <s:c r="D6773" s="121" t="n"/>
      <s:c r="E6773" s="122" t="n"/>
    </s:row>
    <s:row r="6774" hidden="1" ht="1" customHeight="1">
      <s:c r="A6774" s="120" t="inlineStr"/>
      <s:c r="B6774" s="121" t="n"/>
      <s:c r="C6774" s="121" t="n"/>
      <s:c r="D6774" s="121" t="n"/>
      <s:c r="E6774" s="122" t="n"/>
    </s:row>
    <s:row r="6775" hidden="1" ht="1" customHeight="1">
      <s:c r="A6775" s="120" t="inlineStr"/>
      <s:c r="B6775" s="121" t="n"/>
      <s:c r="C6775" s="121" t="n"/>
      <s:c r="D6775" s="121" t="n"/>
      <s:c r="E6775" s="122" t="n"/>
    </s:row>
    <s:row r="6776" hidden="1" ht="1" customHeight="1">
      <s:c r="A6776" s="120" t="inlineStr"/>
      <s:c r="B6776" s="121" t="n"/>
      <s:c r="C6776" s="121" t="n"/>
      <s:c r="D6776" s="121" t="n"/>
      <s:c r="E6776" s="122" t="n"/>
    </s:row>
    <s:row r="6777" hidden="1" ht="1" customHeight="1">
      <s:c r="A6777" s="120" t="inlineStr"/>
      <s:c r="B6777" s="121" t="n"/>
      <s:c r="C6777" s="121" t="n"/>
      <s:c r="D6777" s="121" t="n"/>
      <s:c r="E6777" s="122" t="n"/>
    </s:row>
    <s:row r="6778" hidden="1" ht="1" customHeight="1">
      <s:c r="A6778" s="120" t="inlineStr"/>
      <s:c r="B6778" s="121" t="n"/>
      <s:c r="C6778" s="121" t="n"/>
      <s:c r="D6778" s="121" t="n"/>
      <s:c r="E6778" s="122" t="n"/>
    </s:row>
    <s:row r="6779" hidden="1" ht="1" customHeight="1">
      <s:c r="A6779" s="120" t="inlineStr"/>
      <s:c r="B6779" s="121" t="n"/>
      <s:c r="C6779" s="121" t="n"/>
      <s:c r="D6779" s="121" t="n"/>
      <s:c r="E6779" s="122" t="n"/>
    </s:row>
    <s:row r="6780" hidden="1" ht="1" customHeight="1">
      <s:c r="A6780" s="120" t="inlineStr"/>
      <s:c r="B6780" s="121" t="n"/>
      <s:c r="C6780" s="121" t="n"/>
      <s:c r="D6780" s="121" t="n"/>
      <s:c r="E6780" s="122" t="n"/>
    </s:row>
    <s:row r="6781" hidden="1" ht="1" customHeight="1">
      <s:c r="A6781" s="120" t="inlineStr"/>
      <s:c r="B6781" s="121" t="n"/>
      <s:c r="C6781" s="121" t="n"/>
      <s:c r="D6781" s="121" t="n"/>
      <s:c r="E6781" s="122" t="n"/>
    </s:row>
    <s:row r="6782" hidden="1" ht="1" customHeight="1">
      <s:c r="A6782" s="120" t="inlineStr"/>
      <s:c r="B6782" s="121" t="n"/>
      <s:c r="C6782" s="121" t="n"/>
      <s:c r="D6782" s="121" t="n"/>
      <s:c r="E6782" s="122" t="n"/>
    </s:row>
    <s:row r="6783" hidden="1" ht="1" customHeight="1">
      <s:c r="A6783" s="120" t="inlineStr"/>
      <s:c r="B6783" s="121" t="n"/>
      <s:c r="C6783" s="121" t="n"/>
      <s:c r="D6783" s="121" t="n"/>
      <s:c r="E6783" s="122" t="n"/>
    </s:row>
    <s:row r="6784" hidden="1" ht="1" customHeight="1">
      <s:c r="A6784" s="120" t="inlineStr"/>
      <s:c r="B6784" s="121" t="n"/>
      <s:c r="C6784" s="121" t="n"/>
      <s:c r="D6784" s="121" t="n"/>
      <s:c r="E6784" s="122" t="n"/>
    </s:row>
    <s:row r="6785" hidden="1" ht="1" customHeight="1">
      <s:c r="A6785" s="120" t="inlineStr"/>
      <s:c r="B6785" s="121" t="n"/>
      <s:c r="C6785" s="121" t="n"/>
      <s:c r="D6785" s="121" t="n"/>
      <s:c r="E6785" s="122" t="n"/>
    </s:row>
    <s:row r="6786" hidden="1" ht="1" customHeight="1">
      <s:c r="A6786" s="120" t="inlineStr"/>
      <s:c r="B6786" s="121" t="n"/>
      <s:c r="C6786" s="121" t="n"/>
      <s:c r="D6786" s="121" t="n"/>
      <s:c r="E6786" s="122" t="n"/>
    </s:row>
    <s:row r="6787" hidden="1" ht="1" customHeight="1">
      <s:c r="A6787" s="120" t="inlineStr"/>
      <s:c r="B6787" s="121" t="n"/>
      <s:c r="C6787" s="121" t="n"/>
      <s:c r="D6787" s="121" t="n"/>
      <s:c r="E6787" s="122" t="n"/>
    </s:row>
    <s:row r="6788" hidden="1" ht="1" customHeight="1">
      <s:c r="A6788" s="120" t="inlineStr"/>
      <s:c r="B6788" s="121" t="n"/>
      <s:c r="C6788" s="121" t="n"/>
      <s:c r="D6788" s="121" t="n"/>
      <s:c r="E6788" s="122" t="n"/>
    </s:row>
    <s:row r="6789" hidden="1" ht="1" customHeight="1">
      <s:c r="A6789" s="120" t="inlineStr"/>
      <s:c r="B6789" s="121" t="n"/>
      <s:c r="C6789" s="121" t="n"/>
      <s:c r="D6789" s="121" t="n"/>
      <s:c r="E6789" s="122" t="n"/>
    </s:row>
    <s:row r="6790" hidden="1" ht="1" customHeight="1">
      <s:c r="A6790" s="120" t="inlineStr"/>
      <s:c r="B6790" s="121" t="n"/>
      <s:c r="C6790" s="121" t="n"/>
      <s:c r="D6790" s="121" t="n"/>
      <s:c r="E6790" s="122" t="n"/>
    </s:row>
    <s:row r="6791" hidden="1" ht="1" customHeight="1">
      <s:c r="A6791" s="120" t="inlineStr"/>
      <s:c r="B6791" s="121" t="n"/>
      <s:c r="C6791" s="121" t="n"/>
      <s:c r="D6791" s="121" t="n"/>
      <s:c r="E6791" s="122" t="n"/>
    </s:row>
    <s:row r="6792" hidden="1" ht="1" customHeight="1">
      <s:c r="A6792" s="120" t="inlineStr"/>
      <s:c r="B6792" s="121" t="n"/>
      <s:c r="C6792" s="121" t="n"/>
      <s:c r="D6792" s="121" t="n"/>
      <s:c r="E6792" s="122" t="n"/>
    </s:row>
    <s:row r="6793" hidden="1" ht="1" customHeight="1">
      <s:c r="A6793" s="120" t="inlineStr"/>
      <s:c r="B6793" s="121" t="n"/>
      <s:c r="C6793" s="121" t="n"/>
      <s:c r="D6793" s="121" t="n"/>
      <s:c r="E6793" s="122" t="n"/>
    </s:row>
    <s:row r="6794" hidden="1" ht="1" customHeight="1">
      <s:c r="A6794" s="120" t="inlineStr"/>
      <s:c r="B6794" s="121" t="n"/>
      <s:c r="C6794" s="121" t="n"/>
      <s:c r="D6794" s="121" t="n"/>
      <s:c r="E6794" s="122" t="n"/>
    </s:row>
    <s:row r="6795" hidden="1" ht="1" customHeight="1">
      <s:c r="A6795" s="120" t="inlineStr"/>
      <s:c r="B6795" s="121" t="n"/>
      <s:c r="C6795" s="121" t="n"/>
      <s:c r="D6795" s="121" t="n"/>
      <s:c r="E6795" s="122" t="n"/>
    </s:row>
    <s:row r="6796" hidden="1" ht="1" customHeight="1">
      <s:c r="A6796" s="120" t="inlineStr"/>
      <s:c r="B6796" s="121" t="n"/>
      <s:c r="C6796" s="121" t="n"/>
      <s:c r="D6796" s="121" t="n"/>
      <s:c r="E6796" s="122" t="n"/>
    </s:row>
    <s:row r="6797" hidden="1" ht="1" customHeight="1">
      <s:c r="A6797" s="120" t="inlineStr"/>
      <s:c r="B6797" s="121" t="n"/>
      <s:c r="C6797" s="121" t="n"/>
      <s:c r="D6797" s="121" t="n"/>
      <s:c r="E6797" s="122" t="n"/>
    </s:row>
    <s:row r="6798" hidden="1" ht="1" customHeight="1">
      <s:c r="A6798" s="120" t="inlineStr"/>
      <s:c r="B6798" s="121" t="n"/>
      <s:c r="C6798" s="121" t="n"/>
      <s:c r="D6798" s="121" t="n"/>
      <s:c r="E6798" s="122" t="n"/>
    </s:row>
    <s:row r="6799" hidden="1" ht="1" customHeight="1">
      <s:c r="A6799" s="120" t="inlineStr"/>
      <s:c r="B6799" s="121" t="n"/>
      <s:c r="C6799" s="121" t="n"/>
      <s:c r="D6799" s="121" t="n"/>
      <s:c r="E6799" s="122" t="n"/>
    </s:row>
    <s:row r="6800" hidden="1" ht="1" customHeight="1">
      <s:c r="A6800" s="120" t="inlineStr"/>
      <s:c r="B6800" s="121" t="n"/>
      <s:c r="C6800" s="121" t="n"/>
      <s:c r="D6800" s="121" t="n"/>
      <s:c r="E6800" s="122" t="n"/>
    </s:row>
    <s:row r="6801" hidden="1" ht="1" customHeight="1">
      <s:c r="A6801" s="120" t="inlineStr"/>
      <s:c r="B6801" s="121" t="n"/>
      <s:c r="C6801" s="121" t="n"/>
      <s:c r="D6801" s="121" t="n"/>
      <s:c r="E6801" s="122" t="n"/>
    </s:row>
    <s:row r="6802" hidden="1" ht="1" customHeight="1">
      <s:c r="A6802" s="120" t="inlineStr"/>
      <s:c r="B6802" s="121" t="n"/>
      <s:c r="C6802" s="121" t="n"/>
      <s:c r="D6802" s="121" t="n"/>
      <s:c r="E6802" s="122" t="n"/>
    </s:row>
    <s:row r="6803" hidden="1" ht="1" customHeight="1">
      <s:c r="A6803" s="120" t="inlineStr"/>
      <s:c r="B6803" s="121" t="n"/>
      <s:c r="C6803" s="121" t="n"/>
      <s:c r="D6803" s="121" t="n"/>
      <s:c r="E6803" s="122" t="n"/>
    </s:row>
    <s:row r="6804" hidden="1" ht="1" customHeight="1">
      <s:c r="A6804" s="120" t="inlineStr"/>
      <s:c r="B6804" s="121" t="n"/>
      <s:c r="C6804" s="121" t="n"/>
      <s:c r="D6804" s="121" t="n"/>
      <s:c r="E6804" s="122" t="n"/>
    </s:row>
    <s:row r="6805" hidden="1" ht="1" customHeight="1">
      <s:c r="A6805" s="120" t="inlineStr"/>
      <s:c r="B6805" s="121" t="n"/>
      <s:c r="C6805" s="121" t="n"/>
      <s:c r="D6805" s="121" t="n"/>
      <s:c r="E6805" s="122" t="n"/>
    </s:row>
    <s:row r="6806" hidden="1" ht="1" customHeight="1">
      <s:c r="A6806" s="120" t="inlineStr"/>
      <s:c r="B6806" s="121" t="n"/>
      <s:c r="C6806" s="121" t="n"/>
      <s:c r="D6806" s="121" t="n"/>
      <s:c r="E6806" s="122" t="n"/>
    </s:row>
    <s:row r="6807" hidden="1" ht="1" customHeight="1">
      <s:c r="A6807" s="120" t="inlineStr"/>
      <s:c r="B6807" s="121" t="n"/>
      <s:c r="C6807" s="121" t="n"/>
      <s:c r="D6807" s="121" t="n"/>
      <s:c r="E6807" s="122" t="n"/>
    </s:row>
    <s:row r="6808" hidden="1" ht="1" customHeight="1">
      <s:c r="A6808" s="83" t="inlineStr">
        <s:is>
          <s:t>PASS</s:t>
        </s:is>
      </s:c>
      <s:c r="B6808" s="83">
        <s:f>SUM(IF(EXACT('Kiểm thử'!E6708,"Đạt"),1,0),IF(EXACT('Kiểm thử'!E6710,"Đạt"),1,0))</s:f>
        <s:v/>
      </s:c>
      <s:c r="C6808" s="19" t="n"/>
      <s:c r="D6808" s="19" t="n"/>
      <s:c r="E6808" s="19" t="n"/>
    </s:row>
    <s:row r="6809" hidden="1" ht="1" customHeight="1">
      <s:c r="A6809" s="83" t="inlineStr">
        <s:is>
          <s:t>FAIL</s:t>
        </s:is>
      </s:c>
      <s:c r="B6809" s="83">
        <s:f>SUM(IF(EXACT('Kiểm thử'!E6708,"Không đạt"),1,0),IF(EXACT('Kiểm thử'!E6710,"Không đạt"),1,0))</s:f>
        <s:v/>
      </s:c>
      <s:c r="C6809" s="19" t="n"/>
      <s:c r="D6809" s="19" t="n"/>
      <s:c r="E6809" s="19" t="n"/>
    </s:row>
    <s:row r="6810" hidden="1" ht="1" customHeight="1">
      <s:c r="A6810" s="83" t="inlineStr">
        <s:is>
          <s:t>BLOCKED</s:t>
        </s:is>
      </s:c>
      <s:c r="B6810" s="83">
        <s:f>SUM(IF(EXACT('Kiểm thử'!E6708,"Bị chặn"),1,0),IF(EXACT('Kiểm thử'!E6710,"Bị chặn"),1,0))</s:f>
        <s:v/>
      </s:c>
      <s:c r="C6810" s="19" t="n"/>
      <s:c r="D6810" s="19" t="n"/>
      <s:c r="E6810" s="19" t="n"/>
    </s:row>
    <s:row r="6811" hidden="1" ht="1" customHeight="1">
      <s:c r="A6811" s="83" t="inlineStr">
        <s:is>
          <s:t>SKIPPED</s:t>
        </s:is>
      </s:c>
      <s:c r="B6811" s="83">
        <s:f>SUM(IF(EXACT('Kiểm thử'!E6708,"Không thực hiện"),1,0),IF(EXACT('Kiểm thử'!E6710,"Không thực hiện"),1,0))</s:f>
        <s:v/>
      </s:c>
      <s:c r="C6811" s="19" t="n"/>
      <s:c r="D6811" s="19" t="n"/>
      <s:c r="E6811" s="19" t="n"/>
    </s:row>
    <s:row r="6812" hidden="1" ht="1" customHeight="1">
      <s:c r="A6812" s="83" t="inlineStr">
        <s:is>
          <s:t>NOT RUN</s:t>
        </s:is>
      </s:c>
      <s:c r="B6812" s="83">
        <s:f>SUM(IF(EXACT('Kiểm thử'!E6708,"Chưa thực hiện"),1,0),IF(EXACT('Kiểm thử'!E6710,"Chưa thực hiện"),1,0))</s:f>
        <s:v/>
      </s:c>
      <s:c r="C6812" s="19" t="n"/>
      <s:c r="D6812" s="19" t="n"/>
      <s:c r="E6812" s="19" t="n"/>
    </s:row>
    <s:row r="6813" hidden="1" ht="6" customHeight="1">
      <s:c r="A6813" s="83" t="inlineStr"/>
      <s:c r="B6813" s="19" t="n"/>
      <s:c r="C6813" s="19" t="n"/>
      <s:c r="D6813" s="19" t="n"/>
      <s:c r="E6813" s="19" t="n"/>
    </s:row>
    <s:row r="6814" ht="28" customHeight="1">
      <s:c r="A6814" s="108" t="inlineStr">
        <s:is>
          <s:t>TC-RS-VAL-010 — Toán hạng trống hoặc không phải số</s:t>
        </s:is>
      </s:c>
      <s:c r="B6814" s="111" t="n"/>
      <s:c r="C6814" s="111" t="n"/>
      <s:c r="D6814" s="111" t="n"/>
      <s:c r="E6814" s="111" t="n"/>
    </s:row>
    <s:row r="6815" ht="20" customHeight="1">
      <s:c r="A6815" s="112" t="inlineStr">
        <s:is>
          <s:t>Kết quả tình huống</s:t>
        </s:is>
      </s:c>
      <s:c r="B6815" s="113">
        <s:f>IF(SUM(IF(EXACT('Kiểm thử'!E6822,"Không đạt"),1,0),IF(EXACT('Kiểm thử'!E6824,"Không đạt"),1,0),IF(EXACT('Kiểm thử'!E6826,"Không đạt"),1,0))&gt;0,"Không đạt",IF(SUM(IF(EXACT('Kiểm thử'!E6822,"Đạt"),1,0),IF(EXACT('Kiểm thử'!E6824,"Đạt"),1,0),IF(EXACT('Kiểm thử'!E6826,"Đạt"),1,0))=3,"Đạt",IF(SUM(IF(EXACT('Kiểm thử'!E6822,"Không thực hiện"),1,0),IF(EXACT('Kiểm thử'!E6824,"Không thực hiện"),1,0),IF(EXACT('Kiểm thử'!E6826,"Không thực hiện"),1,0))=3,"Không thực hiện",IF(SUM(IF(EXACT('Kiểm thử'!E6822,"Bị chặn"),1,0),IF(EXACT('Kiểm thử'!E6824,"Bị chặn"),1,0),IF(EXACT('Kiểm thử'!E6826,"Bị chặn"),1,0))&gt;0,"Bị chặn",IF(SUM(IF(EXACT('Kiểm thử'!E6822,"Chưa thực hiện"),1,0),IF(EXACT('Kiểm thử'!E6824,"Chưa thực hiện"),1,0),IF(EXACT('Kiểm thử'!E6826,"Chưa thực hiện"),1,0))=3,"Chưa thực hiện","Đang thực hiện")))))</s:f>
        <s:v/>
      </s:c>
      <s:c r="C6815" s="114" t="n"/>
      <s:c r="D6815" s="114" t="n"/>
      <s:c r="E6815" s="114" t="n"/>
    </s:row>
    <s:row r="6816" ht="20" customHeight="1">
      <s:c r="A6816" s="112" t="inlineStr">
        <s:is>
          <s:t>Màn hình / chức năng</s:t>
        </s:is>
      </s:c>
      <s:c r="B6816" s="113" t="inlineStr">
        <s:is>
          <s:r>
            <s:rPr>
              <s:b val="1"/>
            </s:rPr>
            <s:t>Thiết lập ngưỡng（基準設定）</s:t>
          </s:r>
        </s:is>
      </s:c>
      <s:c r="C6816" s="28" t="n"/>
      <s:c r="D6816" s="28" t="n"/>
      <s:c r="E6816" s="28" t="n"/>
    </s:row>
    <s:row r="6817" ht="20" customHeight="1">
      <s:c r="A6817" s="112" t="inlineStr">
        <s:is>
          <s:t>Cấu hình</s:t>
        </s:is>
      </s:c>
      <s:c r="B6817" s="113" t="inlineStr">
        <s:is>
          <s:r>
            <s:t xml:space="preserve">• </s:t>
          </s:r>
          <s:r>
            <s:rPr>
              <s:b val="1"/>
            </s:rPr>
            <s:t>Loại Công thức tính（計算式）</s:t>
          </s:r>
          <s:r>
            <s:t>.</s:t>
          </s:r>
        </s:is>
      </s:c>
      <s:c r="C6817" s="28" t="n"/>
      <s:c r="D6817" s="28" t="n"/>
      <s:c r="E6817" s="28" t="n"/>
    </s:row>
    <s:row r="6818" ht="34" customHeight="1">
      <s:c r="A6818" s="112" t="inlineStr">
        <s:is>
          <s:t>Dữ liệu test</s:t>
        </s:is>
      </s:c>
      <s:c r="B6818" s="113" t="inlineStr">
        <s:is>
          <s:r>
            <s:t xml:space="preserve">• Vế </s:t>
          </s:r>
          <s:r>
            <s:rPr>
              <s:b val="1"/>
            </s:rPr>
            <s:t>phải Số cố định（固定値）</s:t>
          </s:r>
          <s:r>
            <s:t>: trống, [abc];
• Toán tử: chưa chọn</s:t>
          </s:r>
        </s:is>
      </s:c>
      <s:c r="C6818" s="28" t="n"/>
      <s:c r="D6818" s="28" t="n"/>
      <s:c r="E6818" s="28" t="n"/>
    </s:row>
    <s:row r="6819" ht="20" customHeight="1">
      <s:c r="A6819" s="112" t="inlineStr">
        <s:is>
          <s:t>•</s:t>
        </s:is>
      </s:c>
      <s:c r="B6819" s="113" t="inlineStr">
        <s:is>
          <s:t>Nhập từng biến thể, Lưu.</s:t>
        </s:is>
      </s:c>
      <s:c r="C6819" s="28" t="n"/>
      <s:c r="D6819" s="28" t="n"/>
      <s:c r="E6819" s="28" t="n"/>
    </s:row>
    <s:row r="6820" ht="28" customHeight="1">
      <s:c r="A6820" s="115" t="inlineStr">
        <s:is>
          <s:t>Trường hợp</s:t>
        </s:is>
      </s:c>
      <s:c r="B6820" s="115" t="inlineStr">
        <s:is>
          <s:t>Dữ liệu / thao tác riêng</s:t>
        </s:is>
      </s:c>
      <s:c r="C6820" s="115" t="inlineStr">
        <s:is>
          <s:t>Kết quả mong đợi</s:t>
        </s:is>
      </s:c>
      <s:c r="D6820" s="115" t="inlineStr">
        <s:is>
          <s:t>Kết quả thực tế</s:t>
        </s:is>
      </s:c>
      <s:c r="E6820" s="115" t="inlineStr">
        <s:is>
          <s:t>Đánh giá</s:t>
        </s:is>
      </s:c>
    </s:row>
    <s:row r="6821" ht="3" customHeight="1">
      <s:c r="A6821" s="102" t="inlineStr"/>
      <s:c r="B6821" s="99" t="n"/>
      <s:c r="C6821" s="99" t="n"/>
      <s:c r="D6821" s="116" t="n"/>
      <s:c r="E6821" s="116" t="n"/>
    </s:row>
    <s:row r="6822" ht="34" customHeight="1">
      <s:c r="A6822" s="83" t="inlineStr">
        <s:is>
          <s:t>Trống toán hạng (empty)</s:t>
        </s:is>
      </s:c>
      <s:c r="B6822" s="83" t="inlineStr">
        <s:is>
          <s:t>Để trống toán hạng; lưu công thức.</s:t>
        </s:is>
      </s:c>
      <s:c r="C6822" s="83" t="inlineStr">
        <s:is>
          <s:t>Không lưu được; lỗi chỉ ra dòng thiếu.</s:t>
        </s:is>
      </s:c>
      <s:c r="D6822" s="117" t="inlineStr"/>
      <s:c r="E6822" s="118" t="inlineStr">
        <s:is>
          <s:t>Chưa thực hiện</s:t>
        </s:is>
      </s:c>
    </s:row>
    <s:row r="6823" ht="3" customHeight="1">
      <s:c r="A6823" s="102" t="inlineStr"/>
      <s:c r="B6823" s="99" t="n"/>
      <s:c r="C6823" s="99" t="n"/>
      <s:c r="D6823" s="116" t="n"/>
      <s:c r="E6823" s="116" t="n"/>
    </s:row>
    <s:row r="6824" ht="34" customHeight="1">
      <s:c r="A6824" s="83" t="inlineStr">
        <s:is>
          <s:t>Toán hạng không phải số (text)</s:t>
        </s:is>
      </s:c>
      <s:c r="B6824" s="83" t="inlineStr">
        <s:is>
          <s:t>Nhập toán hạng không phải số theo fixture; lưu.</s:t>
        </s:is>
      </s:c>
      <s:c r="C6824" s="83" t="inlineStr">
        <s:is>
          <s:t>Không lưu được; lỗi chỉ ra dòng thiếu.</s:t>
        </s:is>
      </s:c>
      <s:c r="D6824" s="117" t="inlineStr"/>
      <s:c r="E6824" s="118" t="inlineStr">
        <s:is>
          <s:t>Chưa thực hiện</s:t>
        </s:is>
      </s:c>
    </s:row>
    <s:row r="6825" ht="3" customHeight="1">
      <s:c r="A6825" s="102" t="inlineStr"/>
      <s:c r="B6825" s="99" t="n"/>
      <s:c r="C6825" s="99" t="n"/>
      <s:c r="D6825" s="116" t="n"/>
      <s:c r="E6825" s="116" t="n"/>
    </s:row>
    <s:row r="6826" ht="34" customHeight="1">
      <s:c r="A6826" s="83" t="inlineStr">
        <s:is>
          <s:t>Thiếu phép toán (operator)</s:t>
        </s:is>
      </s:c>
      <s:c r="B6826" s="83" t="inlineStr">
        <s:is>
          <s:t>Để thiếu phép toán; lưu công thức.</s:t>
        </s:is>
      </s:c>
      <s:c r="C6826" s="83" t="inlineStr">
        <s:is>
          <s:t>Không lưu được; lỗi chỉ ra dòng thiếu.</s:t>
        </s:is>
      </s:c>
      <s:c r="D6826" s="117" t="inlineStr"/>
      <s:c r="E6826" s="118" t="inlineStr">
        <s:is>
          <s:t>Chưa thực hiện</s:t>
        </s:is>
      </s:c>
    </s:row>
    <s:row r="6827" ht="20" customHeight="1">
      <s:c r="A6827" s="119" t="inlineStr">
        <s:is>
          <s:t>Ảnh minh chứng — Chưa có ảnh</s:t>
        </s:is>
      </s:c>
      <s:c r="B6827" s="19" t="n"/>
      <s:c r="C6827" s="19" t="n"/>
      <s:c r="D6827" s="19" t="n"/>
      <s:c r="E6827" s="19" t="n"/>
    </s:row>
    <s:row r="6828" hidden="1" ht="1" customHeight="1">
      <s:c r="A6828" s="120" t="inlineStr"/>
      <s:c r="B6828" s="121" t="n"/>
      <s:c r="C6828" s="121" t="n"/>
      <s:c r="D6828" s="121" t="n"/>
      <s:c r="E6828" s="122" t="n"/>
    </s:row>
    <s:row r="6829" hidden="1" ht="1" customHeight="1">
      <s:c r="A6829" s="120" t="inlineStr"/>
      <s:c r="B6829" s="121" t="n"/>
      <s:c r="C6829" s="121" t="n"/>
      <s:c r="D6829" s="121" t="n"/>
      <s:c r="E6829" s="122" t="n"/>
    </s:row>
    <s:row r="6830" hidden="1" ht="1" customHeight="1">
      <s:c r="A6830" s="120" t="inlineStr"/>
      <s:c r="B6830" s="121" t="n"/>
      <s:c r="C6830" s="121" t="n"/>
      <s:c r="D6830" s="121" t="n"/>
      <s:c r="E6830" s="122" t="n"/>
    </s:row>
    <s:row r="6831" hidden="1" ht="1" customHeight="1">
      <s:c r="A6831" s="120" t="inlineStr"/>
      <s:c r="B6831" s="121" t="n"/>
      <s:c r="C6831" s="121" t="n"/>
      <s:c r="D6831" s="121" t="n"/>
      <s:c r="E6831" s="122" t="n"/>
    </s:row>
    <s:row r="6832" hidden="1" ht="1" customHeight="1">
      <s:c r="A6832" s="120" t="inlineStr"/>
      <s:c r="B6832" s="121" t="n"/>
      <s:c r="C6832" s="121" t="n"/>
      <s:c r="D6832" s="121" t="n"/>
      <s:c r="E6832" s="122" t="n"/>
    </s:row>
    <s:row r="6833" hidden="1" ht="1" customHeight="1">
      <s:c r="A6833" s="120" t="inlineStr"/>
      <s:c r="B6833" s="121" t="n"/>
      <s:c r="C6833" s="121" t="n"/>
      <s:c r="D6833" s="121" t="n"/>
      <s:c r="E6833" s="122" t="n"/>
    </s:row>
    <s:row r="6834" hidden="1" ht="1" customHeight="1">
      <s:c r="A6834" s="120" t="inlineStr"/>
      <s:c r="B6834" s="121" t="n"/>
      <s:c r="C6834" s="121" t="n"/>
      <s:c r="D6834" s="121" t="n"/>
      <s:c r="E6834" s="122" t="n"/>
    </s:row>
    <s:row r="6835" hidden="1" ht="1" customHeight="1">
      <s:c r="A6835" s="120" t="inlineStr"/>
      <s:c r="B6835" s="121" t="n"/>
      <s:c r="C6835" s="121" t="n"/>
      <s:c r="D6835" s="121" t="n"/>
      <s:c r="E6835" s="122" t="n"/>
    </s:row>
    <s:row r="6836" hidden="1" ht="1" customHeight="1">
      <s:c r="A6836" s="120" t="inlineStr"/>
      <s:c r="B6836" s="121" t="n"/>
      <s:c r="C6836" s="121" t="n"/>
      <s:c r="D6836" s="121" t="n"/>
      <s:c r="E6836" s="122" t="n"/>
    </s:row>
    <s:row r="6837" hidden="1" ht="1" customHeight="1">
      <s:c r="A6837" s="120" t="inlineStr"/>
      <s:c r="B6837" s="121" t="n"/>
      <s:c r="C6837" s="121" t="n"/>
      <s:c r="D6837" s="121" t="n"/>
      <s:c r="E6837" s="122" t="n"/>
    </s:row>
    <s:row r="6838" hidden="1" ht="1" customHeight="1">
      <s:c r="A6838" s="120" t="inlineStr"/>
      <s:c r="B6838" s="121" t="n"/>
      <s:c r="C6838" s="121" t="n"/>
      <s:c r="D6838" s="121" t="n"/>
      <s:c r="E6838" s="122" t="n"/>
    </s:row>
    <s:row r="6839" hidden="1" ht="1" customHeight="1">
      <s:c r="A6839" s="120" t="inlineStr"/>
      <s:c r="B6839" s="121" t="n"/>
      <s:c r="C6839" s="121" t="n"/>
      <s:c r="D6839" s="121" t="n"/>
      <s:c r="E6839" s="122" t="n"/>
    </s:row>
    <s:row r="6840" hidden="1" ht="1" customHeight="1">
      <s:c r="A6840" s="120" t="inlineStr"/>
      <s:c r="B6840" s="121" t="n"/>
      <s:c r="C6840" s="121" t="n"/>
      <s:c r="D6840" s="121" t="n"/>
      <s:c r="E6840" s="122" t="n"/>
    </s:row>
    <s:row r="6841" hidden="1" ht="1" customHeight="1">
      <s:c r="A6841" s="120" t="inlineStr"/>
      <s:c r="B6841" s="121" t="n"/>
      <s:c r="C6841" s="121" t="n"/>
      <s:c r="D6841" s="121" t="n"/>
      <s:c r="E6841" s="122" t="n"/>
    </s:row>
    <s:row r="6842" hidden="1" ht="1" customHeight="1">
      <s:c r="A6842" s="120" t="inlineStr"/>
      <s:c r="B6842" s="121" t="n"/>
      <s:c r="C6842" s="121" t="n"/>
      <s:c r="D6842" s="121" t="n"/>
      <s:c r="E6842" s="122" t="n"/>
    </s:row>
    <s:row r="6843" hidden="1" ht="1" customHeight="1">
      <s:c r="A6843" s="120" t="inlineStr"/>
      <s:c r="B6843" s="121" t="n"/>
      <s:c r="C6843" s="121" t="n"/>
      <s:c r="D6843" s="121" t="n"/>
      <s:c r="E6843" s="122" t="n"/>
    </s:row>
    <s:row r="6844" hidden="1" ht="1" customHeight="1">
      <s:c r="A6844" s="120" t="inlineStr"/>
      <s:c r="B6844" s="121" t="n"/>
      <s:c r="C6844" s="121" t="n"/>
      <s:c r="D6844" s="121" t="n"/>
      <s:c r="E6844" s="122" t="n"/>
    </s:row>
    <s:row r="6845" hidden="1" ht="1" customHeight="1">
      <s:c r="A6845" s="120" t="inlineStr"/>
      <s:c r="B6845" s="121" t="n"/>
      <s:c r="C6845" s="121" t="n"/>
      <s:c r="D6845" s="121" t="n"/>
      <s:c r="E6845" s="122" t="n"/>
    </s:row>
    <s:row r="6846" hidden="1" ht="1" customHeight="1">
      <s:c r="A6846" s="120" t="inlineStr"/>
      <s:c r="B6846" s="121" t="n"/>
      <s:c r="C6846" s="121" t="n"/>
      <s:c r="D6846" s="121" t="n"/>
      <s:c r="E6846" s="122" t="n"/>
    </s:row>
    <s:row r="6847" hidden="1" ht="1" customHeight="1">
      <s:c r="A6847" s="120" t="inlineStr"/>
      <s:c r="B6847" s="121" t="n"/>
      <s:c r="C6847" s="121" t="n"/>
      <s:c r="D6847" s="121" t="n"/>
      <s:c r="E6847" s="122" t="n"/>
    </s:row>
    <s:row r="6848" hidden="1" ht="1" customHeight="1">
      <s:c r="A6848" s="120" t="inlineStr"/>
      <s:c r="B6848" s="121" t="n"/>
      <s:c r="C6848" s="121" t="n"/>
      <s:c r="D6848" s="121" t="n"/>
      <s:c r="E6848" s="122" t="n"/>
    </s:row>
    <s:row r="6849" hidden="1" ht="1" customHeight="1">
      <s:c r="A6849" s="120" t="inlineStr"/>
      <s:c r="B6849" s="121" t="n"/>
      <s:c r="C6849" s="121" t="n"/>
      <s:c r="D6849" s="121" t="n"/>
      <s:c r="E6849" s="122" t="n"/>
    </s:row>
    <s:row r="6850" hidden="1" ht="1" customHeight="1">
      <s:c r="A6850" s="120" t="inlineStr"/>
      <s:c r="B6850" s="121" t="n"/>
      <s:c r="C6850" s="121" t="n"/>
      <s:c r="D6850" s="121" t="n"/>
      <s:c r="E6850" s="122" t="n"/>
    </s:row>
    <s:row r="6851" hidden="1" ht="1" customHeight="1">
      <s:c r="A6851" s="120" t="inlineStr"/>
      <s:c r="B6851" s="121" t="n"/>
      <s:c r="C6851" s="121" t="n"/>
      <s:c r="D6851" s="121" t="n"/>
      <s:c r="E6851" s="122" t="n"/>
    </s:row>
    <s:row r="6852" hidden="1" ht="1" customHeight="1">
      <s:c r="A6852" s="120" t="inlineStr"/>
      <s:c r="B6852" s="121" t="n"/>
      <s:c r="C6852" s="121" t="n"/>
      <s:c r="D6852" s="121" t="n"/>
      <s:c r="E6852" s="122" t="n"/>
    </s:row>
    <s:row r="6853" hidden="1" ht="1" customHeight="1">
      <s:c r="A6853" s="120" t="inlineStr"/>
      <s:c r="B6853" s="121" t="n"/>
      <s:c r="C6853" s="121" t="n"/>
      <s:c r="D6853" s="121" t="n"/>
      <s:c r="E6853" s="122" t="n"/>
    </s:row>
    <s:row r="6854" hidden="1" ht="1" customHeight="1">
      <s:c r="A6854" s="120" t="inlineStr"/>
      <s:c r="B6854" s="121" t="n"/>
      <s:c r="C6854" s="121" t="n"/>
      <s:c r="D6854" s="121" t="n"/>
      <s:c r="E6854" s="122" t="n"/>
    </s:row>
    <s:row r="6855" hidden="1" ht="1" customHeight="1">
      <s:c r="A6855" s="120" t="inlineStr"/>
      <s:c r="B6855" s="121" t="n"/>
      <s:c r="C6855" s="121" t="n"/>
      <s:c r="D6855" s="121" t="n"/>
      <s:c r="E6855" s="122" t="n"/>
    </s:row>
    <s:row r="6856" hidden="1" ht="1" customHeight="1">
      <s:c r="A6856" s="120" t="inlineStr"/>
      <s:c r="B6856" s="121" t="n"/>
      <s:c r="C6856" s="121" t="n"/>
      <s:c r="D6856" s="121" t="n"/>
      <s:c r="E6856" s="122" t="n"/>
    </s:row>
    <s:row r="6857" hidden="1" ht="1" customHeight="1">
      <s:c r="A6857" s="120" t="inlineStr"/>
      <s:c r="B6857" s="121" t="n"/>
      <s:c r="C6857" s="121" t="n"/>
      <s:c r="D6857" s="121" t="n"/>
      <s:c r="E6857" s="122" t="n"/>
    </s:row>
    <s:row r="6858" hidden="1" ht="1" customHeight="1">
      <s:c r="A6858" s="120" t="inlineStr"/>
      <s:c r="B6858" s="121" t="n"/>
      <s:c r="C6858" s="121" t="n"/>
      <s:c r="D6858" s="121" t="n"/>
      <s:c r="E6858" s="122" t="n"/>
    </s:row>
    <s:row r="6859" hidden="1" ht="1" customHeight="1">
      <s:c r="A6859" s="120" t="inlineStr"/>
      <s:c r="B6859" s="121" t="n"/>
      <s:c r="C6859" s="121" t="n"/>
      <s:c r="D6859" s="121" t="n"/>
      <s:c r="E6859" s="122" t="n"/>
    </s:row>
    <s:row r="6860" hidden="1" ht="1" customHeight="1">
      <s:c r="A6860" s="120" t="inlineStr"/>
      <s:c r="B6860" s="121" t="n"/>
      <s:c r="C6860" s="121" t="n"/>
      <s:c r="D6860" s="121" t="n"/>
      <s:c r="E6860" s="122" t="n"/>
    </s:row>
    <s:row r="6861" hidden="1" ht="1" customHeight="1">
      <s:c r="A6861" s="120" t="inlineStr"/>
      <s:c r="B6861" s="121" t="n"/>
      <s:c r="C6861" s="121" t="n"/>
      <s:c r="D6861" s="121" t="n"/>
      <s:c r="E6861" s="122" t="n"/>
    </s:row>
    <s:row r="6862" hidden="1" ht="1" customHeight="1">
      <s:c r="A6862" s="120" t="inlineStr"/>
      <s:c r="B6862" s="121" t="n"/>
      <s:c r="C6862" s="121" t="n"/>
      <s:c r="D6862" s="121" t="n"/>
      <s:c r="E6862" s="122" t="n"/>
    </s:row>
    <s:row r="6863" hidden="1" ht="1" customHeight="1">
      <s:c r="A6863" s="120" t="inlineStr"/>
      <s:c r="B6863" s="121" t="n"/>
      <s:c r="C6863" s="121" t="n"/>
      <s:c r="D6863" s="121" t="n"/>
      <s:c r="E6863" s="122" t="n"/>
    </s:row>
    <s:row r="6864" hidden="1" ht="1" customHeight="1">
      <s:c r="A6864" s="120" t="inlineStr"/>
      <s:c r="B6864" s="121" t="n"/>
      <s:c r="C6864" s="121" t="n"/>
      <s:c r="D6864" s="121" t="n"/>
      <s:c r="E6864" s="122" t="n"/>
    </s:row>
    <s:row r="6865" hidden="1" ht="1" customHeight="1">
      <s:c r="A6865" s="120" t="inlineStr"/>
      <s:c r="B6865" s="121" t="n"/>
      <s:c r="C6865" s="121" t="n"/>
      <s:c r="D6865" s="121" t="n"/>
      <s:c r="E6865" s="122" t="n"/>
    </s:row>
    <s:row r="6866" hidden="1" ht="1" customHeight="1">
      <s:c r="A6866" s="120" t="inlineStr"/>
      <s:c r="B6866" s="121" t="n"/>
      <s:c r="C6866" s="121" t="n"/>
      <s:c r="D6866" s="121" t="n"/>
      <s:c r="E6866" s="122" t="n"/>
    </s:row>
    <s:row r="6867" hidden="1" ht="1" customHeight="1">
      <s:c r="A6867" s="120" t="inlineStr"/>
      <s:c r="B6867" s="121" t="n"/>
      <s:c r="C6867" s="121" t="n"/>
      <s:c r="D6867" s="121" t="n"/>
      <s:c r="E6867" s="122" t="n"/>
    </s:row>
    <s:row r="6868" hidden="1" ht="1" customHeight="1">
      <s:c r="A6868" s="120" t="inlineStr"/>
      <s:c r="B6868" s="121" t="n"/>
      <s:c r="C6868" s="121" t="n"/>
      <s:c r="D6868" s="121" t="n"/>
      <s:c r="E6868" s="122" t="n"/>
    </s:row>
    <s:row r="6869" hidden="1" ht="1" customHeight="1">
      <s:c r="A6869" s="120" t="inlineStr"/>
      <s:c r="B6869" s="121" t="n"/>
      <s:c r="C6869" s="121" t="n"/>
      <s:c r="D6869" s="121" t="n"/>
      <s:c r="E6869" s="122" t="n"/>
    </s:row>
    <s:row r="6870" hidden="1" ht="1" customHeight="1">
      <s:c r="A6870" s="120" t="inlineStr"/>
      <s:c r="B6870" s="121" t="n"/>
      <s:c r="C6870" s="121" t="n"/>
      <s:c r="D6870" s="121" t="n"/>
      <s:c r="E6870" s="122" t="n"/>
    </s:row>
    <s:row r="6871" hidden="1" ht="1" customHeight="1">
      <s:c r="A6871" s="120" t="inlineStr"/>
      <s:c r="B6871" s="121" t="n"/>
      <s:c r="C6871" s="121" t="n"/>
      <s:c r="D6871" s="121" t="n"/>
      <s:c r="E6871" s="122" t="n"/>
    </s:row>
    <s:row r="6872" hidden="1" ht="1" customHeight="1">
      <s:c r="A6872" s="120" t="inlineStr"/>
      <s:c r="B6872" s="121" t="n"/>
      <s:c r="C6872" s="121" t="n"/>
      <s:c r="D6872" s="121" t="n"/>
      <s:c r="E6872" s="122" t="n"/>
    </s:row>
    <s:row r="6873" hidden="1" ht="1" customHeight="1">
      <s:c r="A6873" s="120" t="inlineStr"/>
      <s:c r="B6873" s="121" t="n"/>
      <s:c r="C6873" s="121" t="n"/>
      <s:c r="D6873" s="121" t="n"/>
      <s:c r="E6873" s="122" t="n"/>
    </s:row>
    <s:row r="6874" hidden="1" ht="1" customHeight="1">
      <s:c r="A6874" s="120" t="inlineStr"/>
      <s:c r="B6874" s="121" t="n"/>
      <s:c r="C6874" s="121" t="n"/>
      <s:c r="D6874" s="121" t="n"/>
      <s:c r="E6874" s="122" t="n"/>
    </s:row>
    <s:row r="6875" hidden="1" ht="1" customHeight="1">
      <s:c r="A6875" s="120" t="inlineStr"/>
      <s:c r="B6875" s="121" t="n"/>
      <s:c r="C6875" s="121" t="n"/>
      <s:c r="D6875" s="121" t="n"/>
      <s:c r="E6875" s="122" t="n"/>
    </s:row>
    <s:row r="6876" hidden="1" ht="1" customHeight="1">
      <s:c r="A6876" s="120" t="inlineStr"/>
      <s:c r="B6876" s="121" t="n"/>
      <s:c r="C6876" s="121" t="n"/>
      <s:c r="D6876" s="121" t="n"/>
      <s:c r="E6876" s="122" t="n"/>
    </s:row>
    <s:row r="6877" hidden="1" ht="1" customHeight="1">
      <s:c r="A6877" s="120" t="inlineStr"/>
      <s:c r="B6877" s="121" t="n"/>
      <s:c r="C6877" s="121" t="n"/>
      <s:c r="D6877" s="121" t="n"/>
      <s:c r="E6877" s="122" t="n"/>
    </s:row>
    <s:row r="6878" hidden="1" ht="1" customHeight="1">
      <s:c r="A6878" s="120" t="inlineStr"/>
      <s:c r="B6878" s="121" t="n"/>
      <s:c r="C6878" s="121" t="n"/>
      <s:c r="D6878" s="121" t="n"/>
      <s:c r="E6878" s="122" t="n"/>
    </s:row>
    <s:row r="6879" hidden="1" ht="1" customHeight="1">
      <s:c r="A6879" s="120" t="inlineStr"/>
      <s:c r="B6879" s="121" t="n"/>
      <s:c r="C6879" s="121" t="n"/>
      <s:c r="D6879" s="121" t="n"/>
      <s:c r="E6879" s="122" t="n"/>
    </s:row>
    <s:row r="6880" hidden="1" ht="1" customHeight="1">
      <s:c r="A6880" s="120" t="inlineStr"/>
      <s:c r="B6880" s="121" t="n"/>
      <s:c r="C6880" s="121" t="n"/>
      <s:c r="D6880" s="121" t="n"/>
      <s:c r="E6880" s="122" t="n"/>
    </s:row>
    <s:row r="6881" hidden="1" ht="1" customHeight="1">
      <s:c r="A6881" s="120" t="inlineStr"/>
      <s:c r="B6881" s="121" t="n"/>
      <s:c r="C6881" s="121" t="n"/>
      <s:c r="D6881" s="121" t="n"/>
      <s:c r="E6881" s="122" t="n"/>
    </s:row>
    <s:row r="6882" hidden="1" ht="1" customHeight="1">
      <s:c r="A6882" s="120" t="inlineStr"/>
      <s:c r="B6882" s="121" t="n"/>
      <s:c r="C6882" s="121" t="n"/>
      <s:c r="D6882" s="121" t="n"/>
      <s:c r="E6882" s="122" t="n"/>
    </s:row>
    <s:row r="6883" hidden="1" ht="1" customHeight="1">
      <s:c r="A6883" s="120" t="inlineStr"/>
      <s:c r="B6883" s="121" t="n"/>
      <s:c r="C6883" s="121" t="n"/>
      <s:c r="D6883" s="121" t="n"/>
      <s:c r="E6883" s="122" t="n"/>
    </s:row>
    <s:row r="6884" hidden="1" ht="1" customHeight="1">
      <s:c r="A6884" s="120" t="inlineStr"/>
      <s:c r="B6884" s="121" t="n"/>
      <s:c r="C6884" s="121" t="n"/>
      <s:c r="D6884" s="121" t="n"/>
      <s:c r="E6884" s="122" t="n"/>
    </s:row>
    <s:row r="6885" hidden="1" ht="1" customHeight="1">
      <s:c r="A6885" s="120" t="inlineStr"/>
      <s:c r="B6885" s="121" t="n"/>
      <s:c r="C6885" s="121" t="n"/>
      <s:c r="D6885" s="121" t="n"/>
      <s:c r="E6885" s="122" t="n"/>
    </s:row>
    <s:row r="6886" hidden="1" ht="1" customHeight="1">
      <s:c r="A6886" s="120" t="inlineStr"/>
      <s:c r="B6886" s="121" t="n"/>
      <s:c r="C6886" s="121" t="n"/>
      <s:c r="D6886" s="121" t="n"/>
      <s:c r="E6886" s="122" t="n"/>
    </s:row>
    <s:row r="6887" hidden="1" ht="1" customHeight="1">
      <s:c r="A6887" s="120" t="inlineStr"/>
      <s:c r="B6887" s="121" t="n"/>
      <s:c r="C6887" s="121" t="n"/>
      <s:c r="D6887" s="121" t="n"/>
      <s:c r="E6887" s="122" t="n"/>
    </s:row>
    <s:row r="6888" hidden="1" ht="1" customHeight="1">
      <s:c r="A6888" s="120" t="inlineStr"/>
      <s:c r="B6888" s="121" t="n"/>
      <s:c r="C6888" s="121" t="n"/>
      <s:c r="D6888" s="121" t="n"/>
      <s:c r="E6888" s="122" t="n"/>
    </s:row>
    <s:row r="6889" hidden="1" ht="1" customHeight="1">
      <s:c r="A6889" s="120" t="inlineStr"/>
      <s:c r="B6889" s="121" t="n"/>
      <s:c r="C6889" s="121" t="n"/>
      <s:c r="D6889" s="121" t="n"/>
      <s:c r="E6889" s="122" t="n"/>
    </s:row>
    <s:row r="6890" hidden="1" ht="1" customHeight="1">
      <s:c r="A6890" s="120" t="inlineStr"/>
      <s:c r="B6890" s="121" t="n"/>
      <s:c r="C6890" s="121" t="n"/>
      <s:c r="D6890" s="121" t="n"/>
      <s:c r="E6890" s="122" t="n"/>
    </s:row>
    <s:row r="6891" hidden="1" ht="1" customHeight="1">
      <s:c r="A6891" s="120" t="inlineStr"/>
      <s:c r="B6891" s="121" t="n"/>
      <s:c r="C6891" s="121" t="n"/>
      <s:c r="D6891" s="121" t="n"/>
      <s:c r="E6891" s="122" t="n"/>
    </s:row>
    <s:row r="6892" hidden="1" ht="1" customHeight="1">
      <s:c r="A6892" s="120" t="inlineStr"/>
      <s:c r="B6892" s="121" t="n"/>
      <s:c r="C6892" s="121" t="n"/>
      <s:c r="D6892" s="121" t="n"/>
      <s:c r="E6892" s="122" t="n"/>
    </s:row>
    <s:row r="6893" hidden="1" ht="1" customHeight="1">
      <s:c r="A6893" s="120" t="inlineStr"/>
      <s:c r="B6893" s="121" t="n"/>
      <s:c r="C6893" s="121" t="n"/>
      <s:c r="D6893" s="121" t="n"/>
      <s:c r="E6893" s="122" t="n"/>
    </s:row>
    <s:row r="6894" hidden="1" ht="1" customHeight="1">
      <s:c r="A6894" s="120" t="inlineStr"/>
      <s:c r="B6894" s="121" t="n"/>
      <s:c r="C6894" s="121" t="n"/>
      <s:c r="D6894" s="121" t="n"/>
      <s:c r="E6894" s="122" t="n"/>
    </s:row>
    <s:row r="6895" hidden="1" ht="1" customHeight="1">
      <s:c r="A6895" s="120" t="inlineStr"/>
      <s:c r="B6895" s="121" t="n"/>
      <s:c r="C6895" s="121" t="n"/>
      <s:c r="D6895" s="121" t="n"/>
      <s:c r="E6895" s="122" t="n"/>
    </s:row>
    <s:row r="6896" hidden="1" ht="1" customHeight="1">
      <s:c r="A6896" s="120" t="inlineStr"/>
      <s:c r="B6896" s="121" t="n"/>
      <s:c r="C6896" s="121" t="n"/>
      <s:c r="D6896" s="121" t="n"/>
      <s:c r="E6896" s="122" t="n"/>
    </s:row>
    <s:row r="6897" hidden="1" ht="1" customHeight="1">
      <s:c r="A6897" s="120" t="inlineStr"/>
      <s:c r="B6897" s="121" t="n"/>
      <s:c r="C6897" s="121" t="n"/>
      <s:c r="D6897" s="121" t="n"/>
      <s:c r="E6897" s="122" t="n"/>
    </s:row>
    <s:row r="6898" hidden="1" ht="1" customHeight="1">
      <s:c r="A6898" s="120" t="inlineStr"/>
      <s:c r="B6898" s="121" t="n"/>
      <s:c r="C6898" s="121" t="n"/>
      <s:c r="D6898" s="121" t="n"/>
      <s:c r="E6898" s="122" t="n"/>
    </s:row>
    <s:row r="6899" hidden="1" ht="1" customHeight="1">
      <s:c r="A6899" s="120" t="inlineStr"/>
      <s:c r="B6899" s="121" t="n"/>
      <s:c r="C6899" s="121" t="n"/>
      <s:c r="D6899" s="121" t="n"/>
      <s:c r="E6899" s="122" t="n"/>
    </s:row>
    <s:row r="6900" hidden="1" ht="1" customHeight="1">
      <s:c r="A6900" s="120" t="inlineStr"/>
      <s:c r="B6900" s="121" t="n"/>
      <s:c r="C6900" s="121" t="n"/>
      <s:c r="D6900" s="121" t="n"/>
      <s:c r="E6900" s="122" t="n"/>
    </s:row>
    <s:row r="6901" hidden="1" ht="1" customHeight="1">
      <s:c r="A6901" s="120" t="inlineStr"/>
      <s:c r="B6901" s="121" t="n"/>
      <s:c r="C6901" s="121" t="n"/>
      <s:c r="D6901" s="121" t="n"/>
      <s:c r="E6901" s="122" t="n"/>
    </s:row>
    <s:row r="6902" hidden="1" ht="1" customHeight="1">
      <s:c r="A6902" s="120" t="inlineStr"/>
      <s:c r="B6902" s="121" t="n"/>
      <s:c r="C6902" s="121" t="n"/>
      <s:c r="D6902" s="121" t="n"/>
      <s:c r="E6902" s="122" t="n"/>
    </s:row>
    <s:row r="6903" hidden="1" ht="1" customHeight="1">
      <s:c r="A6903" s="120" t="inlineStr"/>
      <s:c r="B6903" s="121" t="n"/>
      <s:c r="C6903" s="121" t="n"/>
      <s:c r="D6903" s="121" t="n"/>
      <s:c r="E6903" s="122" t="n"/>
    </s:row>
    <s:row r="6904" hidden="1" ht="1" customHeight="1">
      <s:c r="A6904" s="120" t="inlineStr"/>
      <s:c r="B6904" s="121" t="n"/>
      <s:c r="C6904" s="121" t="n"/>
      <s:c r="D6904" s="121" t="n"/>
      <s:c r="E6904" s="122" t="n"/>
    </s:row>
    <s:row r="6905" hidden="1" ht="1" customHeight="1">
      <s:c r="A6905" s="120" t="inlineStr"/>
      <s:c r="B6905" s="121" t="n"/>
      <s:c r="C6905" s="121" t="n"/>
      <s:c r="D6905" s="121" t="n"/>
      <s:c r="E6905" s="122" t="n"/>
    </s:row>
    <s:row r="6906" hidden="1" ht="1" customHeight="1">
      <s:c r="A6906" s="120" t="inlineStr"/>
      <s:c r="B6906" s="121" t="n"/>
      <s:c r="C6906" s="121" t="n"/>
      <s:c r="D6906" s="121" t="n"/>
      <s:c r="E6906" s="122" t="n"/>
    </s:row>
    <s:row r="6907" hidden="1" ht="1" customHeight="1">
      <s:c r="A6907" s="120" t="inlineStr"/>
      <s:c r="B6907" s="121" t="n"/>
      <s:c r="C6907" s="121" t="n"/>
      <s:c r="D6907" s="121" t="n"/>
      <s:c r="E6907" s="122" t="n"/>
    </s:row>
    <s:row r="6908" hidden="1" ht="1" customHeight="1">
      <s:c r="A6908" s="120" t="inlineStr"/>
      <s:c r="B6908" s="121" t="n"/>
      <s:c r="C6908" s="121" t="n"/>
      <s:c r="D6908" s="121" t="n"/>
      <s:c r="E6908" s="122" t="n"/>
    </s:row>
    <s:row r="6909" hidden="1" ht="1" customHeight="1">
      <s:c r="A6909" s="120" t="inlineStr"/>
      <s:c r="B6909" s="121" t="n"/>
      <s:c r="C6909" s="121" t="n"/>
      <s:c r="D6909" s="121" t="n"/>
      <s:c r="E6909" s="122" t="n"/>
    </s:row>
    <s:row r="6910" hidden="1" ht="1" customHeight="1">
      <s:c r="A6910" s="120" t="inlineStr"/>
      <s:c r="B6910" s="121" t="n"/>
      <s:c r="C6910" s="121" t="n"/>
      <s:c r="D6910" s="121" t="n"/>
      <s:c r="E6910" s="122" t="n"/>
    </s:row>
    <s:row r="6911" hidden="1" ht="1" customHeight="1">
      <s:c r="A6911" s="120" t="inlineStr"/>
      <s:c r="B6911" s="121" t="n"/>
      <s:c r="C6911" s="121" t="n"/>
      <s:c r="D6911" s="121" t="n"/>
      <s:c r="E6911" s="122" t="n"/>
    </s:row>
    <s:row r="6912" hidden="1" ht="1" customHeight="1">
      <s:c r="A6912" s="120" t="inlineStr"/>
      <s:c r="B6912" s="121" t="n"/>
      <s:c r="C6912" s="121" t="n"/>
      <s:c r="D6912" s="121" t="n"/>
      <s:c r="E6912" s="122" t="n"/>
    </s:row>
    <s:row r="6913" hidden="1" ht="1" customHeight="1">
      <s:c r="A6913" s="120" t="inlineStr"/>
      <s:c r="B6913" s="121" t="n"/>
      <s:c r="C6913" s="121" t="n"/>
      <s:c r="D6913" s="121" t="n"/>
      <s:c r="E6913" s="122" t="n"/>
    </s:row>
    <s:row r="6914" hidden="1" ht="1" customHeight="1">
      <s:c r="A6914" s="120" t="inlineStr"/>
      <s:c r="B6914" s="121" t="n"/>
      <s:c r="C6914" s="121" t="n"/>
      <s:c r="D6914" s="121" t="n"/>
      <s:c r="E6914" s="122" t="n"/>
    </s:row>
    <s:row r="6915" hidden="1" ht="1" customHeight="1">
      <s:c r="A6915" s="120" t="inlineStr"/>
      <s:c r="B6915" s="121" t="n"/>
      <s:c r="C6915" s="121" t="n"/>
      <s:c r="D6915" s="121" t="n"/>
      <s:c r="E6915" s="122" t="n"/>
    </s:row>
    <s:row r="6916" hidden="1" ht="1" customHeight="1">
      <s:c r="A6916" s="120" t="inlineStr"/>
      <s:c r="B6916" s="121" t="n"/>
      <s:c r="C6916" s="121" t="n"/>
      <s:c r="D6916" s="121" t="n"/>
      <s:c r="E6916" s="122" t="n"/>
    </s:row>
    <s:row r="6917" hidden="1" ht="1" customHeight="1">
      <s:c r="A6917" s="120" t="inlineStr"/>
      <s:c r="B6917" s="121" t="n"/>
      <s:c r="C6917" s="121" t="n"/>
      <s:c r="D6917" s="121" t="n"/>
      <s:c r="E6917" s="122" t="n"/>
    </s:row>
    <s:row r="6918" hidden="1" ht="1" customHeight="1">
      <s:c r="A6918" s="120" t="inlineStr"/>
      <s:c r="B6918" s="121" t="n"/>
      <s:c r="C6918" s="121" t="n"/>
      <s:c r="D6918" s="121" t="n"/>
      <s:c r="E6918" s="122" t="n"/>
    </s:row>
    <s:row r="6919" hidden="1" ht="1" customHeight="1">
      <s:c r="A6919" s="120" t="inlineStr"/>
      <s:c r="B6919" s="121" t="n"/>
      <s:c r="C6919" s="121" t="n"/>
      <s:c r="D6919" s="121" t="n"/>
      <s:c r="E6919" s="122" t="n"/>
    </s:row>
    <s:row r="6920" hidden="1" ht="1" customHeight="1">
      <s:c r="A6920" s="120" t="inlineStr"/>
      <s:c r="B6920" s="121" t="n"/>
      <s:c r="C6920" s="121" t="n"/>
      <s:c r="D6920" s="121" t="n"/>
      <s:c r="E6920" s="122" t="n"/>
    </s:row>
    <s:row r="6921" hidden="1" ht="1" customHeight="1">
      <s:c r="A6921" s="120" t="inlineStr"/>
      <s:c r="B6921" s="121" t="n"/>
      <s:c r="C6921" s="121" t="n"/>
      <s:c r="D6921" s="121" t="n"/>
      <s:c r="E6921" s="122" t="n"/>
    </s:row>
    <s:row r="6922" hidden="1" ht="1" customHeight="1">
      <s:c r="A6922" s="120" t="inlineStr"/>
      <s:c r="B6922" s="121" t="n"/>
      <s:c r="C6922" s="121" t="n"/>
      <s:c r="D6922" s="121" t="n"/>
      <s:c r="E6922" s="122" t="n"/>
    </s:row>
    <s:row r="6923" hidden="1" ht="1" customHeight="1">
      <s:c r="A6923" s="120" t="inlineStr"/>
      <s:c r="B6923" s="121" t="n"/>
      <s:c r="C6923" s="121" t="n"/>
      <s:c r="D6923" s="121" t="n"/>
      <s:c r="E6923" s="122" t="n"/>
    </s:row>
    <s:row r="6924" hidden="1" ht="1" customHeight="1">
      <s:c r="A6924" s="120" t="inlineStr"/>
      <s:c r="B6924" s="121" t="n"/>
      <s:c r="C6924" s="121" t="n"/>
      <s:c r="D6924" s="121" t="n"/>
      <s:c r="E6924" s="122" t="n"/>
    </s:row>
    <s:row r="6925" hidden="1" ht="1" customHeight="1">
      <s:c r="A6925" s="120" t="inlineStr"/>
      <s:c r="B6925" s="121" t="n"/>
      <s:c r="C6925" s="121" t="n"/>
      <s:c r="D6925" s="121" t="n"/>
      <s:c r="E6925" s="122" t="n"/>
    </s:row>
    <s:row r="6926" hidden="1" ht="1" customHeight="1">
      <s:c r="A6926" s="120" t="inlineStr"/>
      <s:c r="B6926" s="121" t="n"/>
      <s:c r="C6926" s="121" t="n"/>
      <s:c r="D6926" s="121" t="n"/>
      <s:c r="E6926" s="122" t="n"/>
    </s:row>
    <s:row r="6927" hidden="1" ht="1" customHeight="1">
      <s:c r="A6927" s="120" t="inlineStr"/>
      <s:c r="B6927" s="121" t="n"/>
      <s:c r="C6927" s="121" t="n"/>
      <s:c r="D6927" s="121" t="n"/>
      <s:c r="E6927" s="122" t="n"/>
    </s:row>
    <s:row r="6928" hidden="1" ht="1" customHeight="1">
      <s:c r="A6928" s="120" t="inlineStr"/>
      <s:c r="B6928" s="121" t="n"/>
      <s:c r="C6928" s="121" t="n"/>
      <s:c r="D6928" s="121" t="n"/>
      <s:c r="E6928" s="122" t="n"/>
    </s:row>
    <s:row r="6929" hidden="1" ht="1" customHeight="1">
      <s:c r="A6929" s="120" t="inlineStr"/>
      <s:c r="B6929" s="121" t="n"/>
      <s:c r="C6929" s="121" t="n"/>
      <s:c r="D6929" s="121" t="n"/>
      <s:c r="E6929" s="122" t="n"/>
    </s:row>
    <s:row r="6930" hidden="1" ht="1" customHeight="1">
      <s:c r="A6930" s="120" t="inlineStr"/>
      <s:c r="B6930" s="121" t="n"/>
      <s:c r="C6930" s="121" t="n"/>
      <s:c r="D6930" s="121" t="n"/>
      <s:c r="E6930" s="122" t="n"/>
    </s:row>
    <s:row r="6931" hidden="1" ht="1" customHeight="1">
      <s:c r="A6931" s="120" t="inlineStr"/>
      <s:c r="B6931" s="121" t="n"/>
      <s:c r="C6931" s="121" t="n"/>
      <s:c r="D6931" s="121" t="n"/>
      <s:c r="E6931" s="122" t="n"/>
    </s:row>
    <s:row r="6932" hidden="1" ht="1" customHeight="1">
      <s:c r="A6932" s="120" t="inlineStr"/>
      <s:c r="B6932" s="121" t="n"/>
      <s:c r="C6932" s="121" t="n"/>
      <s:c r="D6932" s="121" t="n"/>
      <s:c r="E6932" s="122" t="n"/>
    </s:row>
    <s:row r="6933" hidden="1" ht="1" customHeight="1">
      <s:c r="A6933" s="120" t="inlineStr"/>
      <s:c r="B6933" s="121" t="n"/>
      <s:c r="C6933" s="121" t="n"/>
      <s:c r="D6933" s="121" t="n"/>
      <s:c r="E6933" s="122" t="n"/>
    </s:row>
    <s:row r="6934" hidden="1" ht="1" customHeight="1">
      <s:c r="A6934" s="120" t="inlineStr"/>
      <s:c r="B6934" s="121" t="n"/>
      <s:c r="C6934" s="121" t="n"/>
      <s:c r="D6934" s="121" t="n"/>
      <s:c r="E6934" s="122" t="n"/>
    </s:row>
    <s:row r="6935" hidden="1" ht="1" customHeight="1">
      <s:c r="A6935" s="120" t="inlineStr"/>
      <s:c r="B6935" s="121" t="n"/>
      <s:c r="C6935" s="121" t="n"/>
      <s:c r="D6935" s="121" t="n"/>
      <s:c r="E6935" s="122" t="n"/>
    </s:row>
    <s:row r="6936" hidden="1" ht="1" customHeight="1">
      <s:c r="A6936" s="120" t="inlineStr"/>
      <s:c r="B6936" s="121" t="n"/>
      <s:c r="C6936" s="121" t="n"/>
      <s:c r="D6936" s="121" t="n"/>
      <s:c r="E6936" s="122" t="n"/>
    </s:row>
    <s:row r="6937" hidden="1" ht="1" customHeight="1">
      <s:c r="A6937" s="120" t="inlineStr"/>
      <s:c r="B6937" s="121" t="n"/>
      <s:c r="C6937" s="121" t="n"/>
      <s:c r="D6937" s="121" t="n"/>
      <s:c r="E6937" s="122" t="n"/>
    </s:row>
    <s:row r="6938" hidden="1" ht="1" customHeight="1">
      <s:c r="A6938" s="120" t="inlineStr"/>
      <s:c r="B6938" s="121" t="n"/>
      <s:c r="C6938" s="121" t="n"/>
      <s:c r="D6938" s="121" t="n"/>
      <s:c r="E6938" s="122" t="n"/>
    </s:row>
    <s:row r="6939" hidden="1" ht="1" customHeight="1">
      <s:c r="A6939" s="120" t="inlineStr"/>
      <s:c r="B6939" s="121" t="n"/>
      <s:c r="C6939" s="121" t="n"/>
      <s:c r="D6939" s="121" t="n"/>
      <s:c r="E6939" s="122" t="n"/>
    </s:row>
    <s:row r="6940" hidden="1" ht="1" customHeight="1">
      <s:c r="A6940" s="120" t="inlineStr"/>
      <s:c r="B6940" s="121" t="n"/>
      <s:c r="C6940" s="121" t="n"/>
      <s:c r="D6940" s="121" t="n"/>
      <s:c r="E6940" s="122" t="n"/>
    </s:row>
    <s:row r="6941" hidden="1" ht="1" customHeight="1">
      <s:c r="A6941" s="120" t="inlineStr"/>
      <s:c r="B6941" s="121" t="n"/>
      <s:c r="C6941" s="121" t="n"/>
      <s:c r="D6941" s="121" t="n"/>
      <s:c r="E6941" s="122" t="n"/>
    </s:row>
    <s:row r="6942" hidden="1" ht="1" customHeight="1">
      <s:c r="A6942" s="120" t="inlineStr"/>
      <s:c r="B6942" s="121" t="n"/>
      <s:c r="C6942" s="121" t="n"/>
      <s:c r="D6942" s="121" t="n"/>
      <s:c r="E6942" s="122" t="n"/>
    </s:row>
    <s:row r="6943" hidden="1" ht="1" customHeight="1">
      <s:c r="A6943" s="120" t="inlineStr"/>
      <s:c r="B6943" s="121" t="n"/>
      <s:c r="C6943" s="121" t="n"/>
      <s:c r="D6943" s="121" t="n"/>
      <s:c r="E6943" s="122" t="n"/>
    </s:row>
    <s:row r="6944" hidden="1" ht="1" customHeight="1">
      <s:c r="A6944" s="120" t="inlineStr"/>
      <s:c r="B6944" s="121" t="n"/>
      <s:c r="C6944" s="121" t="n"/>
      <s:c r="D6944" s="121" t="n"/>
      <s:c r="E6944" s="122" t="n"/>
    </s:row>
    <s:row r="6945" hidden="1" ht="1" customHeight="1">
      <s:c r="A6945" s="120" t="inlineStr"/>
      <s:c r="B6945" s="121" t="n"/>
      <s:c r="C6945" s="121" t="n"/>
      <s:c r="D6945" s="121" t="n"/>
      <s:c r="E6945" s="122" t="n"/>
    </s:row>
    <s:row r="6946" hidden="1" ht="1" customHeight="1">
      <s:c r="A6946" s="120" t="inlineStr"/>
      <s:c r="B6946" s="121" t="n"/>
      <s:c r="C6946" s="121" t="n"/>
      <s:c r="D6946" s="121" t="n"/>
      <s:c r="E6946" s="122" t="n"/>
    </s:row>
    <s:row r="6947" hidden="1" ht="1" customHeight="1">
      <s:c r="A6947" s="120" t="inlineStr"/>
      <s:c r="B6947" s="121" t="n"/>
      <s:c r="C6947" s="121" t="n"/>
      <s:c r="D6947" s="121" t="n"/>
      <s:c r="E6947" s="122" t="n"/>
    </s:row>
    <s:row r="6948" hidden="1" ht="1" customHeight="1">
      <s:c r="A6948" s="120" t="inlineStr"/>
      <s:c r="B6948" s="121" t="n"/>
      <s:c r="C6948" s="121" t="n"/>
      <s:c r="D6948" s="121" t="n"/>
      <s:c r="E6948" s="122" t="n"/>
    </s:row>
    <s:row r="6949" hidden="1" ht="1" customHeight="1">
      <s:c r="A6949" s="120" t="inlineStr"/>
      <s:c r="B6949" s="121" t="n"/>
      <s:c r="C6949" s="121" t="n"/>
      <s:c r="D6949" s="121" t="n"/>
      <s:c r="E6949" s="122" t="n"/>
    </s:row>
    <s:row r="6950" hidden="1" ht="1" customHeight="1">
      <s:c r="A6950" s="120" t="inlineStr"/>
      <s:c r="B6950" s="121" t="n"/>
      <s:c r="C6950" s="121" t="n"/>
      <s:c r="D6950" s="121" t="n"/>
      <s:c r="E6950" s="122" t="n"/>
    </s:row>
    <s:row r="6951" hidden="1" ht="1" customHeight="1">
      <s:c r="A6951" s="120" t="inlineStr"/>
      <s:c r="B6951" s="121" t="n"/>
      <s:c r="C6951" s="121" t="n"/>
      <s:c r="D6951" s="121" t="n"/>
      <s:c r="E6951" s="122" t="n"/>
    </s:row>
    <s:row r="6952" hidden="1" ht="1" customHeight="1">
      <s:c r="A6952" s="120" t="inlineStr"/>
      <s:c r="B6952" s="121" t="n"/>
      <s:c r="C6952" s="121" t="n"/>
      <s:c r="D6952" s="121" t="n"/>
      <s:c r="E6952" s="122" t="n"/>
    </s:row>
    <s:row r="6953" hidden="1" ht="1" customHeight="1">
      <s:c r="A6953" s="120" t="inlineStr"/>
      <s:c r="B6953" s="121" t="n"/>
      <s:c r="C6953" s="121" t="n"/>
      <s:c r="D6953" s="121" t="n"/>
      <s:c r="E6953" s="122" t="n"/>
    </s:row>
    <s:row r="6954" hidden="1" ht="1" customHeight="1">
      <s:c r="A6954" s="120" t="inlineStr"/>
      <s:c r="B6954" s="121" t="n"/>
      <s:c r="C6954" s="121" t="n"/>
      <s:c r="D6954" s="121" t="n"/>
      <s:c r="E6954" s="122" t="n"/>
    </s:row>
    <s:row r="6955" hidden="1" ht="1" customHeight="1">
      <s:c r="A6955" s="120" t="inlineStr"/>
      <s:c r="B6955" s="121" t="n"/>
      <s:c r="C6955" s="121" t="n"/>
      <s:c r="D6955" s="121" t="n"/>
      <s:c r="E6955" s="122" t="n"/>
    </s:row>
    <s:row r="6956" hidden="1" ht="1" customHeight="1">
      <s:c r="A6956" s="120" t="inlineStr"/>
      <s:c r="B6956" s="121" t="n"/>
      <s:c r="C6956" s="121" t="n"/>
      <s:c r="D6956" s="121" t="n"/>
      <s:c r="E6956" s="122" t="n"/>
    </s:row>
    <s:row r="6957" hidden="1" ht="1" customHeight="1">
      <s:c r="A6957" s="120" t="inlineStr"/>
      <s:c r="B6957" s="121" t="n"/>
      <s:c r="C6957" s="121" t="n"/>
      <s:c r="D6957" s="121" t="n"/>
      <s:c r="E6957" s="122" t="n"/>
    </s:row>
    <s:row r="6958" hidden="1" ht="1" customHeight="1">
      <s:c r="A6958" s="120" t="inlineStr"/>
      <s:c r="B6958" s="121" t="n"/>
      <s:c r="C6958" s="121" t="n"/>
      <s:c r="D6958" s="121" t="n"/>
      <s:c r="E6958" s="122" t="n"/>
    </s:row>
    <s:row r="6959" hidden="1" ht="1" customHeight="1">
      <s:c r="A6959" s="120" t="inlineStr"/>
      <s:c r="B6959" s="121" t="n"/>
      <s:c r="C6959" s="121" t="n"/>
      <s:c r="D6959" s="121" t="n"/>
      <s:c r="E6959" s="122" t="n"/>
    </s:row>
    <s:row r="6960" hidden="1" ht="1" customHeight="1">
      <s:c r="A6960" s="120" t="inlineStr"/>
      <s:c r="B6960" s="121" t="n"/>
      <s:c r="C6960" s="121" t="n"/>
      <s:c r="D6960" s="121" t="n"/>
      <s:c r="E6960" s="122" t="n"/>
    </s:row>
    <s:row r="6961" hidden="1" ht="1" customHeight="1">
      <s:c r="A6961" s="120" t="inlineStr"/>
      <s:c r="B6961" s="121" t="n"/>
      <s:c r="C6961" s="121" t="n"/>
      <s:c r="D6961" s="121" t="n"/>
      <s:c r="E6961" s="122" t="n"/>
    </s:row>
    <s:row r="6962" hidden="1" ht="1" customHeight="1">
      <s:c r="A6962" s="120" t="inlineStr"/>
      <s:c r="B6962" s="121" t="n"/>
      <s:c r="C6962" s="121" t="n"/>
      <s:c r="D6962" s="121" t="n"/>
      <s:c r="E6962" s="122" t="n"/>
    </s:row>
    <s:row r="6963" hidden="1" ht="1" customHeight="1">
      <s:c r="A6963" s="120" t="inlineStr"/>
      <s:c r="B6963" s="121" t="n"/>
      <s:c r="C6963" s="121" t="n"/>
      <s:c r="D6963" s="121" t="n"/>
      <s:c r="E6963" s="122" t="n"/>
    </s:row>
    <s:row r="6964" hidden="1" ht="1" customHeight="1">
      <s:c r="A6964" s="120" t="inlineStr"/>
      <s:c r="B6964" s="121" t="n"/>
      <s:c r="C6964" s="121" t="n"/>
      <s:c r="D6964" s="121" t="n"/>
      <s:c r="E6964" s="122" t="n"/>
    </s:row>
    <s:row r="6965" hidden="1" ht="1" customHeight="1">
      <s:c r="A6965" s="120" t="inlineStr"/>
      <s:c r="B6965" s="121" t="n"/>
      <s:c r="C6965" s="121" t="n"/>
      <s:c r="D6965" s="121" t="n"/>
      <s:c r="E6965" s="122" t="n"/>
    </s:row>
    <s:row r="6966" hidden="1" ht="1" customHeight="1">
      <s:c r="A6966" s="120" t="inlineStr"/>
      <s:c r="B6966" s="121" t="n"/>
      <s:c r="C6966" s="121" t="n"/>
      <s:c r="D6966" s="121" t="n"/>
      <s:c r="E6966" s="122" t="n"/>
    </s:row>
    <s:row r="6967" hidden="1" ht="1" customHeight="1">
      <s:c r="A6967" s="120" t="inlineStr"/>
      <s:c r="B6967" s="121" t="n"/>
      <s:c r="C6967" s="121" t="n"/>
      <s:c r="D6967" s="121" t="n"/>
      <s:c r="E6967" s="122" t="n"/>
    </s:row>
    <s:row r="6968" hidden="1" ht="1" customHeight="1">
      <s:c r="A6968" s="120" t="inlineStr"/>
      <s:c r="B6968" s="121" t="n"/>
      <s:c r="C6968" s="121" t="n"/>
      <s:c r="D6968" s="121" t="n"/>
      <s:c r="E6968" s="122" t="n"/>
    </s:row>
    <s:row r="6969" hidden="1" ht="1" customHeight="1">
      <s:c r="A6969" s="120" t="inlineStr"/>
      <s:c r="B6969" s="121" t="n"/>
      <s:c r="C6969" s="121" t="n"/>
      <s:c r="D6969" s="121" t="n"/>
      <s:c r="E6969" s="122" t="n"/>
    </s:row>
    <s:row r="6970" hidden="1" ht="1" customHeight="1">
      <s:c r="A6970" s="120" t="inlineStr"/>
      <s:c r="B6970" s="121" t="n"/>
      <s:c r="C6970" s="121" t="n"/>
      <s:c r="D6970" s="121" t="n"/>
      <s:c r="E6970" s="122" t="n"/>
    </s:row>
    <s:row r="6971" hidden="1" ht="1" customHeight="1">
      <s:c r="A6971" s="120" t="inlineStr"/>
      <s:c r="B6971" s="121" t="n"/>
      <s:c r="C6971" s="121" t="n"/>
      <s:c r="D6971" s="121" t="n"/>
      <s:c r="E6971" s="122" t="n"/>
    </s:row>
    <s:row r="6972" hidden="1" ht="1" customHeight="1">
      <s:c r="A6972" s="83" t="inlineStr">
        <s:is>
          <s:t>PASS</s:t>
        </s:is>
      </s:c>
      <s:c r="B6972" s="83">
        <s:f>SUM(IF(EXACT('Kiểm thử'!E6822,"Đạt"),1,0),IF(EXACT('Kiểm thử'!E6824,"Đạt"),1,0),IF(EXACT('Kiểm thử'!E6826,"Đạt"),1,0))</s:f>
        <s:v/>
      </s:c>
      <s:c r="C6972" s="19" t="n"/>
      <s:c r="D6972" s="19" t="n"/>
      <s:c r="E6972" s="19" t="n"/>
    </s:row>
    <s:row r="6973" hidden="1" ht="1" customHeight="1">
      <s:c r="A6973" s="83" t="inlineStr">
        <s:is>
          <s:t>FAIL</s:t>
        </s:is>
      </s:c>
      <s:c r="B6973" s="83">
        <s:f>SUM(IF(EXACT('Kiểm thử'!E6822,"Không đạt"),1,0),IF(EXACT('Kiểm thử'!E6824,"Không đạt"),1,0),IF(EXACT('Kiểm thử'!E6826,"Không đạt"),1,0))</s:f>
        <s:v/>
      </s:c>
      <s:c r="C6973" s="19" t="n"/>
      <s:c r="D6973" s="19" t="n"/>
      <s:c r="E6973" s="19" t="n"/>
    </s:row>
    <s:row r="6974" hidden="1" ht="1" customHeight="1">
      <s:c r="A6974" s="83" t="inlineStr">
        <s:is>
          <s:t>BLOCKED</s:t>
        </s:is>
      </s:c>
      <s:c r="B6974" s="83">
        <s:f>SUM(IF(EXACT('Kiểm thử'!E6822,"Bị chặn"),1,0),IF(EXACT('Kiểm thử'!E6824,"Bị chặn"),1,0),IF(EXACT('Kiểm thử'!E6826,"Bị chặn"),1,0))</s:f>
        <s:v/>
      </s:c>
      <s:c r="C6974" s="19" t="n"/>
      <s:c r="D6974" s="19" t="n"/>
      <s:c r="E6974" s="19" t="n"/>
    </s:row>
    <s:row r="6975" hidden="1" ht="1" customHeight="1">
      <s:c r="A6975" s="83" t="inlineStr">
        <s:is>
          <s:t>SKIPPED</s:t>
        </s:is>
      </s:c>
      <s:c r="B6975" s="83">
        <s:f>SUM(IF(EXACT('Kiểm thử'!E6822,"Không thực hiện"),1,0),IF(EXACT('Kiểm thử'!E6824,"Không thực hiện"),1,0),IF(EXACT('Kiểm thử'!E6826,"Không thực hiện"),1,0))</s:f>
        <s:v/>
      </s:c>
      <s:c r="C6975" s="19" t="n"/>
      <s:c r="D6975" s="19" t="n"/>
      <s:c r="E6975" s="19" t="n"/>
    </s:row>
    <s:row r="6976" hidden="1" ht="1" customHeight="1">
      <s:c r="A6976" s="83" t="inlineStr">
        <s:is>
          <s:t>NOT RUN</s:t>
        </s:is>
      </s:c>
      <s:c r="B6976" s="83">
        <s:f>SUM(IF(EXACT('Kiểm thử'!E6822,"Chưa thực hiện"),1,0),IF(EXACT('Kiểm thử'!E6824,"Chưa thực hiện"),1,0),IF(EXACT('Kiểm thử'!E6826,"Chưa thực hiện"),1,0))</s:f>
        <s:v/>
      </s:c>
      <s:c r="C6976" s="19" t="n"/>
      <s:c r="D6976" s="19" t="n"/>
      <s:c r="E6976" s="19" t="n"/>
    </s:row>
    <s:row r="6977" hidden="1" ht="6" customHeight="1">
      <s:c r="A6977" s="83" t="inlineStr"/>
      <s:c r="B6977" s="19" t="n"/>
      <s:c r="C6977" s="19" t="n"/>
      <s:c r="D6977" s="19" t="n"/>
      <s:c r="E6977" s="19" t="n"/>
    </s:row>
    <s:row r="6978" ht="28" customHeight="1">
      <s:c r="A6978" s="108" t="inlineStr">
        <s:is>
          <s:t>TC-RS-VAL-011 — Kết quả phép tính（式の結果） chỉ tham chiếu dòng phía trước</s:t>
        </s:is>
      </s:c>
      <s:c r="B6978" s="111" t="n"/>
      <s:c r="C6978" s="111" t="n"/>
      <s:c r="D6978" s="111" t="n"/>
      <s:c r="E6978" s="111" t="n"/>
    </s:row>
    <s:row r="6979" ht="20" customHeight="1">
      <s:c r="A6979" s="112" t="inlineStr">
        <s:is>
          <s:t>Kết quả tình huống</s:t>
        </s:is>
      </s:c>
      <s:c r="B6979" s="113">
        <s:f>IF(SUM(IF(EXACT('Kiểm thử'!E6986,"Không đạt"),1,0),IF(EXACT('Kiểm thử'!E6988,"Không đạt"),1,0),IF(EXACT('Kiểm thử'!E6990,"Không đạt"),1,0),IF(EXACT('Kiểm thử'!E6992,"Không đạt"),1,0))&gt;0,"Không đạt",IF(SUM(IF(EXACT('Kiểm thử'!E6986,"Đạt"),1,0),IF(EXACT('Kiểm thử'!E6988,"Đạt"),1,0),IF(EXACT('Kiểm thử'!E6990,"Đạt"),1,0),IF(EXACT('Kiểm thử'!E6992,"Đạt"),1,0))=4,"Đạt",IF(SUM(IF(EXACT('Kiểm thử'!E6986,"Không thực hiện"),1,0),IF(EXACT('Kiểm thử'!E6988,"Không thực hiện"),1,0),IF(EXACT('Kiểm thử'!E6990,"Không thực hiện"),1,0),IF(EXACT('Kiểm thử'!E6992,"Không thực hiện"),1,0))=4,"Không thực hiện",IF(SUM(IF(EXACT('Kiểm thử'!E6986,"Bị chặn"),1,0),IF(EXACT('Kiểm thử'!E6988,"Bị chặn"),1,0),IF(EXACT('Kiểm thử'!E6990,"Bị chặn"),1,0),IF(EXACT('Kiểm thử'!E6992,"Bị chặn"),1,0))&gt;0,"Bị chặn",IF(SUM(IF(EXACT('Kiểm thử'!E6986,"Chưa thực hiện"),1,0),IF(EXACT('Kiểm thử'!E6988,"Chưa thực hiện"),1,0),IF(EXACT('Kiểm thử'!E6990,"Chưa thực hiện"),1,0),IF(EXACT('Kiểm thử'!E6992,"Chưa thực hiện"),1,0))=4,"Chưa thực hiện","Đang thực hiện")))))</s:f>
        <s:v/>
      </s:c>
      <s:c r="C6979" s="114" t="n"/>
      <s:c r="D6979" s="114" t="n"/>
      <s:c r="E6979" s="114" t="n"/>
    </s:row>
    <s:row r="6980" ht="20" customHeight="1">
      <s:c r="A6980" s="112" t="inlineStr">
        <s:is>
          <s:t>Màn hình / chức năng</s:t>
        </s:is>
      </s:c>
      <s:c r="B6980" s="113" t="inlineStr">
        <s:is>
          <s:r>
            <s:rPr>
              <s:b val="1"/>
            </s:rPr>
            <s:t>Thiết lập ngưỡng（基準設定）</s:t>
          </s:r>
        </s:is>
      </s:c>
      <s:c r="C6980" s="28" t="n"/>
      <s:c r="D6980" s="28" t="n"/>
      <s:c r="E6980" s="28" t="n"/>
    </s:row>
    <s:row r="6981" ht="20" customHeight="1">
      <s:c r="A6981" s="112" t="inlineStr">
        <s:is>
          <s:t>Cấu hình</s:t>
        </s:is>
      </s:c>
      <s:c r="B6981" s="113" t="inlineStr">
        <s:is>
          <s:t>• Công thức 3 dòng.</s:t>
        </s:is>
      </s:c>
      <s:c r="C6981" s="28" t="n"/>
      <s:c r="D6981" s="28" t="n"/>
      <s:c r="E6981" s="28" t="n"/>
    </s:row>
    <s:row r="6982" ht="62" customHeight="1">
      <s:c r="A6982" s="112" t="inlineStr">
        <s:is>
          <s:t>Dữ liệu test</s:t>
        </s:is>
      </s:c>
      <s:c r="B6982" s="113" t="inlineStr">
        <s:is>
          <s:t>• (A) Dòng 1 dùng Kết quả phép tính;
• (B) dòng 2 tham chiếu chính dòng 2;
• (C) dòng 2 tham chiếu dòng 3;
• (D) dòng 3 tham chiếu dòng 1</s:t>
        </s:is>
      </s:c>
      <s:c r="C6982" s="28" t="n"/>
      <s:c r="D6982" s="28" t="n"/>
      <s:c r="E6982" s="28" t="n"/>
    </s:row>
    <s:row r="6983" ht="20" customHeight="1">
      <s:c r="A6983" s="112" t="inlineStr">
        <s:is>
          <s:t>•</s:t>
        </s:is>
      </s:c>
      <s:c r="B6983" s="113" t="inlineStr">
        <s:is>
          <s:t>Thử từng biến thể, bấm Lưu.</s:t>
        </s:is>
      </s:c>
      <s:c r="C6983" s="28" t="n"/>
      <s:c r="D6983" s="28" t="n"/>
      <s:c r="E6983" s="28" t="n"/>
    </s:row>
    <s:row r="6984" ht="28" customHeight="1">
      <s:c r="A6984" s="115" t="inlineStr">
        <s:is>
          <s:t>Trường hợp</s:t>
        </s:is>
      </s:c>
      <s:c r="B6984" s="115" t="inlineStr">
        <s:is>
          <s:t>Dữ liệu / thao tác riêng</s:t>
        </s:is>
      </s:c>
      <s:c r="C6984" s="115" t="inlineStr">
        <s:is>
          <s:t>Kết quả mong đợi</s:t>
        </s:is>
      </s:c>
      <s:c r="D6984" s="115" t="inlineStr">
        <s:is>
          <s:t>Kết quả thực tế</s:t>
        </s:is>
      </s:c>
      <s:c r="E6984" s="115" t="inlineStr">
        <s:is>
          <s:t>Đánh giá</s:t>
        </s:is>
      </s:c>
    </s:row>
    <s:row r="6985" ht="3" customHeight="1">
      <s:c r="A6985" s="102" t="inlineStr"/>
      <s:c r="B6985" s="99" t="n"/>
      <s:c r="C6985" s="99" t="n"/>
      <s:c r="D6985" s="116" t="n"/>
      <s:c r="E6985" s="116" t="n"/>
    </s:row>
    <s:row r="6986" ht="34" customHeight="1">
      <s:c r="A6986" s="83" t="inlineStr">
        <s:is>
          <s:t>Tham chiếu dòng đầu (first)</s:t>
        </s:is>
      </s:c>
      <s:c r="B6986" s="83" t="inlineStr">
        <s:is>
          <s:r>
            <s:t xml:space="preserve">Chọn </s:t>
          </s:r>
          <s:r>
            <s:rPr>
              <s:b val="1"/>
            </s:rPr>
            <s:t>Kết quả phép tính（式の結果）</s:t>
          </s:r>
          <s:r>
            <s:t xml:space="preserve"> ở dòng đầu; thử lưu.</s:t>
          </s:r>
        </s:is>
      </s:c>
      <s:c r="C6986" s="83" t="inlineStr">
        <s:is>
          <s:t>Dòng đầu: không chọn được hoặc không lưu được tham chiếu.</s:t>
        </s:is>
      </s:c>
      <s:c r="D6986" s="117" t="inlineStr"/>
      <s:c r="E6986" s="118" t="inlineStr">
        <s:is>
          <s:t>Chưa thực hiện</s:t>
        </s:is>
      </s:c>
    </s:row>
    <s:row r="6987" ht="3" customHeight="1">
      <s:c r="A6987" s="102" t="inlineStr"/>
      <s:c r="B6987" s="99" t="n"/>
      <s:c r="C6987" s="99" t="n"/>
      <s:c r="D6987" s="116" t="n"/>
      <s:c r="E6987" s="116" t="n"/>
    </s:row>
    <s:row r="6988" ht="34" customHeight="1">
      <s:c r="A6988" s="83" t="inlineStr">
        <s:is>
          <s:t>Tham chiếu chính dòng (self)</s:t>
        </s:is>
      </s:c>
      <s:c r="B6988" s="83" t="inlineStr">
        <s:is>
          <s:t>Tham chiếu chính dòng đang sửa; thử lưu.</s:t>
        </s:is>
      </s:c>
      <s:c r="C6988" s="83" t="inlineStr">
        <s:is>
          <s:t>Chính dòng đang sửa: không chọn được hoặc không lưu được tham chiếu.</s:t>
        </s:is>
      </s:c>
      <s:c r="D6988" s="117" t="inlineStr"/>
      <s:c r="E6988" s="118" t="inlineStr">
        <s:is>
          <s:t>Chưa thực hiện</s:t>
        </s:is>
      </s:c>
    </s:row>
    <s:row r="6989" ht="3" customHeight="1">
      <s:c r="A6989" s="102" t="inlineStr"/>
      <s:c r="B6989" s="99" t="n"/>
      <s:c r="C6989" s="99" t="n"/>
      <s:c r="D6989" s="116" t="n"/>
      <s:c r="E6989" s="116" t="n"/>
    </s:row>
    <s:row r="6990" ht="34" customHeight="1">
      <s:c r="A6990" s="83" t="inlineStr">
        <s:is>
          <s:t>Tham chiếu dòng sau (forward)</s:t>
        </s:is>
      </s:c>
      <s:c r="B6990" s="83" t="inlineStr">
        <s:is>
          <s:t>Tham chiếu dòng phía sau; thử lưu.</s:t>
        </s:is>
      </s:c>
      <s:c r="C6990" s="83" t="inlineStr">
        <s:is>
          <s:t>Dòng phía sau: không chọn được hoặc không lưu được tham chiếu.</s:t>
        </s:is>
      </s:c>
      <s:c r="D6990" s="117" t="inlineStr"/>
      <s:c r="E6990" s="118" t="inlineStr">
        <s:is>
          <s:t>Chưa thực hiện</s:t>
        </s:is>
      </s:c>
    </s:row>
    <s:row r="6991" ht="3" customHeight="1">
      <s:c r="A6991" s="102" t="inlineStr"/>
      <s:c r="B6991" s="99" t="n"/>
      <s:c r="C6991" s="99" t="n"/>
      <s:c r="D6991" s="116" t="n"/>
      <s:c r="E6991" s="116" t="n"/>
    </s:row>
    <s:row r="6992" ht="34" customHeight="1">
      <s:c r="A6992" s="83" t="inlineStr">
        <s:is>
          <s:t>Tham chiếu dòng trước (backward)</s:t>
        </s:is>
      </s:c>
      <s:c r="B6992" s="83" t="inlineStr">
        <s:is>
          <s:t>Tham chiếu dòng phía trước; lưu và chạy.</s:t>
        </s:is>
      </s:c>
      <s:c r="C6992" s="83" t="inlineStr">
        <s:is>
          <s:t>(D): lưu được.</s:t>
        </s:is>
      </s:c>
      <s:c r="D6992" s="117" t="inlineStr"/>
      <s:c r="E6992" s="118" t="inlineStr">
        <s:is>
          <s:t>Chưa thực hiện</s:t>
        </s:is>
      </s:c>
    </s:row>
    <s:row r="6993" ht="20" customHeight="1">
      <s:c r="A6993" s="119" t="inlineStr">
        <s:is>
          <s:t>Ảnh minh chứng — Chưa có ảnh</s:t>
        </s:is>
      </s:c>
      <s:c r="B6993" s="19" t="n"/>
      <s:c r="C6993" s="19" t="n"/>
      <s:c r="D6993" s="19" t="n"/>
      <s:c r="E6993" s="19" t="n"/>
    </s:row>
    <s:row r="6994" hidden="1" ht="1" customHeight="1">
      <s:c r="A6994" s="120" t="inlineStr"/>
      <s:c r="B6994" s="121" t="n"/>
      <s:c r="C6994" s="121" t="n"/>
      <s:c r="D6994" s="121" t="n"/>
      <s:c r="E6994" s="122" t="n"/>
    </s:row>
    <s:row r="6995" hidden="1" ht="1" customHeight="1">
      <s:c r="A6995" s="120" t="inlineStr"/>
      <s:c r="B6995" s="121" t="n"/>
      <s:c r="C6995" s="121" t="n"/>
      <s:c r="D6995" s="121" t="n"/>
      <s:c r="E6995" s="122" t="n"/>
    </s:row>
    <s:row r="6996" hidden="1" ht="1" customHeight="1">
      <s:c r="A6996" s="120" t="inlineStr"/>
      <s:c r="B6996" s="121" t="n"/>
      <s:c r="C6996" s="121" t="n"/>
      <s:c r="D6996" s="121" t="n"/>
      <s:c r="E6996" s="122" t="n"/>
    </s:row>
    <s:row r="6997" hidden="1" ht="1" customHeight="1">
      <s:c r="A6997" s="120" t="inlineStr"/>
      <s:c r="B6997" s="121" t="n"/>
      <s:c r="C6997" s="121" t="n"/>
      <s:c r="D6997" s="121" t="n"/>
      <s:c r="E6997" s="122" t="n"/>
    </s:row>
    <s:row r="6998" hidden="1" ht="1" customHeight="1">
      <s:c r="A6998" s="120" t="inlineStr"/>
      <s:c r="B6998" s="121" t="n"/>
      <s:c r="C6998" s="121" t="n"/>
      <s:c r="D6998" s="121" t="n"/>
      <s:c r="E6998" s="122" t="n"/>
    </s:row>
    <s:row r="6999" hidden="1" ht="1" customHeight="1">
      <s:c r="A6999" s="120" t="inlineStr"/>
      <s:c r="B6999" s="121" t="n"/>
      <s:c r="C6999" s="121" t="n"/>
      <s:c r="D6999" s="121" t="n"/>
      <s:c r="E6999" s="122" t="n"/>
    </s:row>
    <s:row r="7000" hidden="1" ht="1" customHeight="1">
      <s:c r="A7000" s="120" t="inlineStr"/>
      <s:c r="B7000" s="121" t="n"/>
      <s:c r="C7000" s="121" t="n"/>
      <s:c r="D7000" s="121" t="n"/>
      <s:c r="E7000" s="122" t="n"/>
    </s:row>
    <s:row r="7001" hidden="1" ht="1" customHeight="1">
      <s:c r="A7001" s="120" t="inlineStr"/>
      <s:c r="B7001" s="121" t="n"/>
      <s:c r="C7001" s="121" t="n"/>
      <s:c r="D7001" s="121" t="n"/>
      <s:c r="E7001" s="122" t="n"/>
    </s:row>
    <s:row r="7002" hidden="1" ht="1" customHeight="1">
      <s:c r="A7002" s="120" t="inlineStr"/>
      <s:c r="B7002" s="121" t="n"/>
      <s:c r="C7002" s="121" t="n"/>
      <s:c r="D7002" s="121" t="n"/>
      <s:c r="E7002" s="122" t="n"/>
    </s:row>
    <s:row r="7003" hidden="1" ht="1" customHeight="1">
      <s:c r="A7003" s="120" t="inlineStr"/>
      <s:c r="B7003" s="121" t="n"/>
      <s:c r="C7003" s="121" t="n"/>
      <s:c r="D7003" s="121" t="n"/>
      <s:c r="E7003" s="122" t="n"/>
    </s:row>
    <s:row r="7004" hidden="1" ht="1" customHeight="1">
      <s:c r="A7004" s="120" t="inlineStr"/>
      <s:c r="B7004" s="121" t="n"/>
      <s:c r="C7004" s="121" t="n"/>
      <s:c r="D7004" s="121" t="n"/>
      <s:c r="E7004" s="122" t="n"/>
    </s:row>
    <s:row r="7005" hidden="1" ht="1" customHeight="1">
      <s:c r="A7005" s="120" t="inlineStr"/>
      <s:c r="B7005" s="121" t="n"/>
      <s:c r="C7005" s="121" t="n"/>
      <s:c r="D7005" s="121" t="n"/>
      <s:c r="E7005" s="122" t="n"/>
    </s:row>
    <s:row r="7006" hidden="1" ht="1" customHeight="1">
      <s:c r="A7006" s="120" t="inlineStr"/>
      <s:c r="B7006" s="121" t="n"/>
      <s:c r="C7006" s="121" t="n"/>
      <s:c r="D7006" s="121" t="n"/>
      <s:c r="E7006" s="122" t="n"/>
    </s:row>
    <s:row r="7007" hidden="1" ht="1" customHeight="1">
      <s:c r="A7007" s="120" t="inlineStr"/>
      <s:c r="B7007" s="121" t="n"/>
      <s:c r="C7007" s="121" t="n"/>
      <s:c r="D7007" s="121" t="n"/>
      <s:c r="E7007" s="122" t="n"/>
    </s:row>
    <s:row r="7008" hidden="1" ht="1" customHeight="1">
      <s:c r="A7008" s="120" t="inlineStr"/>
      <s:c r="B7008" s="121" t="n"/>
      <s:c r="C7008" s="121" t="n"/>
      <s:c r="D7008" s="121" t="n"/>
      <s:c r="E7008" s="122" t="n"/>
    </s:row>
    <s:row r="7009" hidden="1" ht="1" customHeight="1">
      <s:c r="A7009" s="120" t="inlineStr"/>
      <s:c r="B7009" s="121" t="n"/>
      <s:c r="C7009" s="121" t="n"/>
      <s:c r="D7009" s="121" t="n"/>
      <s:c r="E7009" s="122" t="n"/>
    </s:row>
    <s:row r="7010" hidden="1" ht="1" customHeight="1">
      <s:c r="A7010" s="120" t="inlineStr"/>
      <s:c r="B7010" s="121" t="n"/>
      <s:c r="C7010" s="121" t="n"/>
      <s:c r="D7010" s="121" t="n"/>
      <s:c r="E7010" s="122" t="n"/>
    </s:row>
    <s:row r="7011" hidden="1" ht="1" customHeight="1">
      <s:c r="A7011" s="120" t="inlineStr"/>
      <s:c r="B7011" s="121" t="n"/>
      <s:c r="C7011" s="121" t="n"/>
      <s:c r="D7011" s="121" t="n"/>
      <s:c r="E7011" s="122" t="n"/>
    </s:row>
    <s:row r="7012" hidden="1" ht="1" customHeight="1">
      <s:c r="A7012" s="120" t="inlineStr"/>
      <s:c r="B7012" s="121" t="n"/>
      <s:c r="C7012" s="121" t="n"/>
      <s:c r="D7012" s="121" t="n"/>
      <s:c r="E7012" s="122" t="n"/>
    </s:row>
    <s:row r="7013" hidden="1" ht="1" customHeight="1">
      <s:c r="A7013" s="120" t="inlineStr"/>
      <s:c r="B7013" s="121" t="n"/>
      <s:c r="C7013" s="121" t="n"/>
      <s:c r="D7013" s="121" t="n"/>
      <s:c r="E7013" s="122" t="n"/>
    </s:row>
    <s:row r="7014" hidden="1" ht="1" customHeight="1">
      <s:c r="A7014" s="120" t="inlineStr"/>
      <s:c r="B7014" s="121" t="n"/>
      <s:c r="C7014" s="121" t="n"/>
      <s:c r="D7014" s="121" t="n"/>
      <s:c r="E7014" s="122" t="n"/>
    </s:row>
    <s:row r="7015" hidden="1" ht="1" customHeight="1">
      <s:c r="A7015" s="120" t="inlineStr"/>
      <s:c r="B7015" s="121" t="n"/>
      <s:c r="C7015" s="121" t="n"/>
      <s:c r="D7015" s="121" t="n"/>
      <s:c r="E7015" s="122" t="n"/>
    </s:row>
    <s:row r="7016" hidden="1" ht="1" customHeight="1">
      <s:c r="A7016" s="120" t="inlineStr"/>
      <s:c r="B7016" s="121" t="n"/>
      <s:c r="C7016" s="121" t="n"/>
      <s:c r="D7016" s="121" t="n"/>
      <s:c r="E7016" s="122" t="n"/>
    </s:row>
    <s:row r="7017" hidden="1" ht="1" customHeight="1">
      <s:c r="A7017" s="120" t="inlineStr"/>
      <s:c r="B7017" s="121" t="n"/>
      <s:c r="C7017" s="121" t="n"/>
      <s:c r="D7017" s="121" t="n"/>
      <s:c r="E7017" s="122" t="n"/>
    </s:row>
    <s:row r="7018" hidden="1" ht="1" customHeight="1">
      <s:c r="A7018" s="120" t="inlineStr"/>
      <s:c r="B7018" s="121" t="n"/>
      <s:c r="C7018" s="121" t="n"/>
      <s:c r="D7018" s="121" t="n"/>
      <s:c r="E7018" s="122" t="n"/>
    </s:row>
    <s:row r="7019" hidden="1" ht="1" customHeight="1">
      <s:c r="A7019" s="120" t="inlineStr"/>
      <s:c r="B7019" s="121" t="n"/>
      <s:c r="C7019" s="121" t="n"/>
      <s:c r="D7019" s="121" t="n"/>
      <s:c r="E7019" s="122" t="n"/>
    </s:row>
    <s:row r="7020" hidden="1" ht="1" customHeight="1">
      <s:c r="A7020" s="120" t="inlineStr"/>
      <s:c r="B7020" s="121" t="n"/>
      <s:c r="C7020" s="121" t="n"/>
      <s:c r="D7020" s="121" t="n"/>
      <s:c r="E7020" s="122" t="n"/>
    </s:row>
    <s:row r="7021" hidden="1" ht="1" customHeight="1">
      <s:c r="A7021" s="120" t="inlineStr"/>
      <s:c r="B7021" s="121" t="n"/>
      <s:c r="C7021" s="121" t="n"/>
      <s:c r="D7021" s="121" t="n"/>
      <s:c r="E7021" s="122" t="n"/>
    </s:row>
    <s:row r="7022" hidden="1" ht="1" customHeight="1">
      <s:c r="A7022" s="120" t="inlineStr"/>
      <s:c r="B7022" s="121" t="n"/>
      <s:c r="C7022" s="121" t="n"/>
      <s:c r="D7022" s="121" t="n"/>
      <s:c r="E7022" s="122" t="n"/>
    </s:row>
    <s:row r="7023" hidden="1" ht="1" customHeight="1">
      <s:c r="A7023" s="120" t="inlineStr"/>
      <s:c r="B7023" s="121" t="n"/>
      <s:c r="C7023" s="121" t="n"/>
      <s:c r="D7023" s="121" t="n"/>
      <s:c r="E7023" s="122" t="n"/>
    </s:row>
    <s:row r="7024" hidden="1" ht="1" customHeight="1">
      <s:c r="A7024" s="120" t="inlineStr"/>
      <s:c r="B7024" s="121" t="n"/>
      <s:c r="C7024" s="121" t="n"/>
      <s:c r="D7024" s="121" t="n"/>
      <s:c r="E7024" s="122" t="n"/>
    </s:row>
    <s:row r="7025" hidden="1" ht="1" customHeight="1">
      <s:c r="A7025" s="120" t="inlineStr"/>
      <s:c r="B7025" s="121" t="n"/>
      <s:c r="C7025" s="121" t="n"/>
      <s:c r="D7025" s="121" t="n"/>
      <s:c r="E7025" s="122" t="n"/>
    </s:row>
    <s:row r="7026" hidden="1" ht="1" customHeight="1">
      <s:c r="A7026" s="120" t="inlineStr"/>
      <s:c r="B7026" s="121" t="n"/>
      <s:c r="C7026" s="121" t="n"/>
      <s:c r="D7026" s="121" t="n"/>
      <s:c r="E7026" s="122" t="n"/>
    </s:row>
    <s:row r="7027" hidden="1" ht="1" customHeight="1">
      <s:c r="A7027" s="120" t="inlineStr"/>
      <s:c r="B7027" s="121" t="n"/>
      <s:c r="C7027" s="121" t="n"/>
      <s:c r="D7027" s="121" t="n"/>
      <s:c r="E7027" s="122" t="n"/>
    </s:row>
    <s:row r="7028" hidden="1" ht="1" customHeight="1">
      <s:c r="A7028" s="120" t="inlineStr"/>
      <s:c r="B7028" s="121" t="n"/>
      <s:c r="C7028" s="121" t="n"/>
      <s:c r="D7028" s="121" t="n"/>
      <s:c r="E7028" s="122" t="n"/>
    </s:row>
    <s:row r="7029" hidden="1" ht="1" customHeight="1">
      <s:c r="A7029" s="120" t="inlineStr"/>
      <s:c r="B7029" s="121" t="n"/>
      <s:c r="C7029" s="121" t="n"/>
      <s:c r="D7029" s="121" t="n"/>
      <s:c r="E7029" s="122" t="n"/>
    </s:row>
    <s:row r="7030" hidden="1" ht="1" customHeight="1">
      <s:c r="A7030" s="120" t="inlineStr"/>
      <s:c r="B7030" s="121" t="n"/>
      <s:c r="C7030" s="121" t="n"/>
      <s:c r="D7030" s="121" t="n"/>
      <s:c r="E7030" s="122" t="n"/>
    </s:row>
    <s:row r="7031" hidden="1" ht="1" customHeight="1">
      <s:c r="A7031" s="120" t="inlineStr"/>
      <s:c r="B7031" s="121" t="n"/>
      <s:c r="C7031" s="121" t="n"/>
      <s:c r="D7031" s="121" t="n"/>
      <s:c r="E7031" s="122" t="n"/>
    </s:row>
    <s:row r="7032" hidden="1" ht="1" customHeight="1">
      <s:c r="A7032" s="120" t="inlineStr"/>
      <s:c r="B7032" s="121" t="n"/>
      <s:c r="C7032" s="121" t="n"/>
      <s:c r="D7032" s="121" t="n"/>
      <s:c r="E7032" s="122" t="n"/>
    </s:row>
    <s:row r="7033" hidden="1" ht="1" customHeight="1">
      <s:c r="A7033" s="120" t="inlineStr"/>
      <s:c r="B7033" s="121" t="n"/>
      <s:c r="C7033" s="121" t="n"/>
      <s:c r="D7033" s="121" t="n"/>
      <s:c r="E7033" s="122" t="n"/>
    </s:row>
    <s:row r="7034" hidden="1" ht="1" customHeight="1">
      <s:c r="A7034" s="120" t="inlineStr"/>
      <s:c r="B7034" s="121" t="n"/>
      <s:c r="C7034" s="121" t="n"/>
      <s:c r="D7034" s="121" t="n"/>
      <s:c r="E7034" s="122" t="n"/>
    </s:row>
    <s:row r="7035" hidden="1" ht="1" customHeight="1">
      <s:c r="A7035" s="120" t="inlineStr"/>
      <s:c r="B7035" s="121" t="n"/>
      <s:c r="C7035" s="121" t="n"/>
      <s:c r="D7035" s="121" t="n"/>
      <s:c r="E7035" s="122" t="n"/>
    </s:row>
    <s:row r="7036" hidden="1" ht="1" customHeight="1">
      <s:c r="A7036" s="120" t="inlineStr"/>
      <s:c r="B7036" s="121" t="n"/>
      <s:c r="C7036" s="121" t="n"/>
      <s:c r="D7036" s="121" t="n"/>
      <s:c r="E7036" s="122" t="n"/>
    </s:row>
    <s:row r="7037" hidden="1" ht="1" customHeight="1">
      <s:c r="A7037" s="120" t="inlineStr"/>
      <s:c r="B7037" s="121" t="n"/>
      <s:c r="C7037" s="121" t="n"/>
      <s:c r="D7037" s="121" t="n"/>
      <s:c r="E7037" s="122" t="n"/>
    </s:row>
    <s:row r="7038" hidden="1" ht="1" customHeight="1">
      <s:c r="A7038" s="120" t="inlineStr"/>
      <s:c r="B7038" s="121" t="n"/>
      <s:c r="C7038" s="121" t="n"/>
      <s:c r="D7038" s="121" t="n"/>
      <s:c r="E7038" s="122" t="n"/>
    </s:row>
    <s:row r="7039" hidden="1" ht="1" customHeight="1">
      <s:c r="A7039" s="120" t="inlineStr"/>
      <s:c r="B7039" s="121" t="n"/>
      <s:c r="C7039" s="121" t="n"/>
      <s:c r="D7039" s="121" t="n"/>
      <s:c r="E7039" s="122" t="n"/>
    </s:row>
    <s:row r="7040" hidden="1" ht="1" customHeight="1">
      <s:c r="A7040" s="120" t="inlineStr"/>
      <s:c r="B7040" s="121" t="n"/>
      <s:c r="C7040" s="121" t="n"/>
      <s:c r="D7040" s="121" t="n"/>
      <s:c r="E7040" s="122" t="n"/>
    </s:row>
    <s:row r="7041" hidden="1" ht="1" customHeight="1">
      <s:c r="A7041" s="120" t="inlineStr"/>
      <s:c r="B7041" s="121" t="n"/>
      <s:c r="C7041" s="121" t="n"/>
      <s:c r="D7041" s="121" t="n"/>
      <s:c r="E7041" s="122" t="n"/>
    </s:row>
    <s:row r="7042" hidden="1" ht="1" customHeight="1">
      <s:c r="A7042" s="120" t="inlineStr"/>
      <s:c r="B7042" s="121" t="n"/>
      <s:c r="C7042" s="121" t="n"/>
      <s:c r="D7042" s="121" t="n"/>
      <s:c r="E7042" s="122" t="n"/>
    </s:row>
    <s:row r="7043" hidden="1" ht="1" customHeight="1">
      <s:c r="A7043" s="120" t="inlineStr"/>
      <s:c r="B7043" s="121" t="n"/>
      <s:c r="C7043" s="121" t="n"/>
      <s:c r="D7043" s="121" t="n"/>
      <s:c r="E7043" s="122" t="n"/>
    </s:row>
    <s:row r="7044" hidden="1" ht="1" customHeight="1">
      <s:c r="A7044" s="120" t="inlineStr"/>
      <s:c r="B7044" s="121" t="n"/>
      <s:c r="C7044" s="121" t="n"/>
      <s:c r="D7044" s="121" t="n"/>
      <s:c r="E7044" s="122" t="n"/>
    </s:row>
    <s:row r="7045" hidden="1" ht="1" customHeight="1">
      <s:c r="A7045" s="120" t="inlineStr"/>
      <s:c r="B7045" s="121" t="n"/>
      <s:c r="C7045" s="121" t="n"/>
      <s:c r="D7045" s="121" t="n"/>
      <s:c r="E7045" s="122" t="n"/>
    </s:row>
    <s:row r="7046" hidden="1" ht="1" customHeight="1">
      <s:c r="A7046" s="120" t="inlineStr"/>
      <s:c r="B7046" s="121" t="n"/>
      <s:c r="C7046" s="121" t="n"/>
      <s:c r="D7046" s="121" t="n"/>
      <s:c r="E7046" s="122" t="n"/>
    </s:row>
    <s:row r="7047" hidden="1" ht="1" customHeight="1">
      <s:c r="A7047" s="120" t="inlineStr"/>
      <s:c r="B7047" s="121" t="n"/>
      <s:c r="C7047" s="121" t="n"/>
      <s:c r="D7047" s="121" t="n"/>
      <s:c r="E7047" s="122" t="n"/>
    </s:row>
    <s:row r="7048" hidden="1" ht="1" customHeight="1">
      <s:c r="A7048" s="120" t="inlineStr"/>
      <s:c r="B7048" s="121" t="n"/>
      <s:c r="C7048" s="121" t="n"/>
      <s:c r="D7048" s="121" t="n"/>
      <s:c r="E7048" s="122" t="n"/>
    </s:row>
    <s:row r="7049" hidden="1" ht="1" customHeight="1">
      <s:c r="A7049" s="120" t="inlineStr"/>
      <s:c r="B7049" s="121" t="n"/>
      <s:c r="C7049" s="121" t="n"/>
      <s:c r="D7049" s="121" t="n"/>
      <s:c r="E7049" s="122" t="n"/>
    </s:row>
    <s:row r="7050" hidden="1" ht="1" customHeight="1">
      <s:c r="A7050" s="120" t="inlineStr"/>
      <s:c r="B7050" s="121" t="n"/>
      <s:c r="C7050" s="121" t="n"/>
      <s:c r="D7050" s="121" t="n"/>
      <s:c r="E7050" s="122" t="n"/>
    </s:row>
    <s:row r="7051" hidden="1" ht="1" customHeight="1">
      <s:c r="A7051" s="120" t="inlineStr"/>
      <s:c r="B7051" s="121" t="n"/>
      <s:c r="C7051" s="121" t="n"/>
      <s:c r="D7051" s="121" t="n"/>
      <s:c r="E7051" s="122" t="n"/>
    </s:row>
    <s:row r="7052" hidden="1" ht="1" customHeight="1">
      <s:c r="A7052" s="120" t="inlineStr"/>
      <s:c r="B7052" s="121" t="n"/>
      <s:c r="C7052" s="121" t="n"/>
      <s:c r="D7052" s="121" t="n"/>
      <s:c r="E7052" s="122" t="n"/>
    </s:row>
    <s:row r="7053" hidden="1" ht="1" customHeight="1">
      <s:c r="A7053" s="120" t="inlineStr"/>
      <s:c r="B7053" s="121" t="n"/>
      <s:c r="C7053" s="121" t="n"/>
      <s:c r="D7053" s="121" t="n"/>
      <s:c r="E7053" s="122" t="n"/>
    </s:row>
    <s:row r="7054" hidden="1" ht="1" customHeight="1">
      <s:c r="A7054" s="120" t="inlineStr"/>
      <s:c r="B7054" s="121" t="n"/>
      <s:c r="C7054" s="121" t="n"/>
      <s:c r="D7054" s="121" t="n"/>
      <s:c r="E7054" s="122" t="n"/>
    </s:row>
    <s:row r="7055" hidden="1" ht="1" customHeight="1">
      <s:c r="A7055" s="120" t="inlineStr"/>
      <s:c r="B7055" s="121" t="n"/>
      <s:c r="C7055" s="121" t="n"/>
      <s:c r="D7055" s="121" t="n"/>
      <s:c r="E7055" s="122" t="n"/>
    </s:row>
    <s:row r="7056" hidden="1" ht="1" customHeight="1">
      <s:c r="A7056" s="120" t="inlineStr"/>
      <s:c r="B7056" s="121" t="n"/>
      <s:c r="C7056" s="121" t="n"/>
      <s:c r="D7056" s="121" t="n"/>
      <s:c r="E7056" s="122" t="n"/>
    </s:row>
    <s:row r="7057" hidden="1" ht="1" customHeight="1">
      <s:c r="A7057" s="120" t="inlineStr"/>
      <s:c r="B7057" s="121" t="n"/>
      <s:c r="C7057" s="121" t="n"/>
      <s:c r="D7057" s="121" t="n"/>
      <s:c r="E7057" s="122" t="n"/>
    </s:row>
    <s:row r="7058" hidden="1" ht="1" customHeight="1">
      <s:c r="A7058" s="120" t="inlineStr"/>
      <s:c r="B7058" s="121" t="n"/>
      <s:c r="C7058" s="121" t="n"/>
      <s:c r="D7058" s="121" t="n"/>
      <s:c r="E7058" s="122" t="n"/>
    </s:row>
    <s:row r="7059" hidden="1" ht="1" customHeight="1">
      <s:c r="A7059" s="120" t="inlineStr"/>
      <s:c r="B7059" s="121" t="n"/>
      <s:c r="C7059" s="121" t="n"/>
      <s:c r="D7059" s="121" t="n"/>
      <s:c r="E7059" s="122" t="n"/>
    </s:row>
    <s:row r="7060" hidden="1" ht="1" customHeight="1">
      <s:c r="A7060" s="120" t="inlineStr"/>
      <s:c r="B7060" s="121" t="n"/>
      <s:c r="C7060" s="121" t="n"/>
      <s:c r="D7060" s="121" t="n"/>
      <s:c r="E7060" s="122" t="n"/>
    </s:row>
    <s:row r="7061" hidden="1" ht="1" customHeight="1">
      <s:c r="A7061" s="120" t="inlineStr"/>
      <s:c r="B7061" s="121" t="n"/>
      <s:c r="C7061" s="121" t="n"/>
      <s:c r="D7061" s="121" t="n"/>
      <s:c r="E7061" s="122" t="n"/>
    </s:row>
    <s:row r="7062" hidden="1" ht="1" customHeight="1">
      <s:c r="A7062" s="120" t="inlineStr"/>
      <s:c r="B7062" s="121" t="n"/>
      <s:c r="C7062" s="121" t="n"/>
      <s:c r="D7062" s="121" t="n"/>
      <s:c r="E7062" s="122" t="n"/>
    </s:row>
    <s:row r="7063" hidden="1" ht="1" customHeight="1">
      <s:c r="A7063" s="120" t="inlineStr"/>
      <s:c r="B7063" s="121" t="n"/>
      <s:c r="C7063" s="121" t="n"/>
      <s:c r="D7063" s="121" t="n"/>
      <s:c r="E7063" s="122" t="n"/>
    </s:row>
    <s:row r="7064" hidden="1" ht="1" customHeight="1">
      <s:c r="A7064" s="120" t="inlineStr"/>
      <s:c r="B7064" s="121" t="n"/>
      <s:c r="C7064" s="121" t="n"/>
      <s:c r="D7064" s="121" t="n"/>
      <s:c r="E7064" s="122" t="n"/>
    </s:row>
    <s:row r="7065" hidden="1" ht="1" customHeight="1">
      <s:c r="A7065" s="120" t="inlineStr"/>
      <s:c r="B7065" s="121" t="n"/>
      <s:c r="C7065" s="121" t="n"/>
      <s:c r="D7065" s="121" t="n"/>
      <s:c r="E7065" s="122" t="n"/>
    </s:row>
    <s:row r="7066" hidden="1" ht="1" customHeight="1">
      <s:c r="A7066" s="120" t="inlineStr"/>
      <s:c r="B7066" s="121" t="n"/>
      <s:c r="C7066" s="121" t="n"/>
      <s:c r="D7066" s="121" t="n"/>
      <s:c r="E7066" s="122" t="n"/>
    </s:row>
    <s:row r="7067" hidden="1" ht="1" customHeight="1">
      <s:c r="A7067" s="120" t="inlineStr"/>
      <s:c r="B7067" s="121" t="n"/>
      <s:c r="C7067" s="121" t="n"/>
      <s:c r="D7067" s="121" t="n"/>
      <s:c r="E7067" s="122" t="n"/>
    </s:row>
    <s:row r="7068" hidden="1" ht="1" customHeight="1">
      <s:c r="A7068" s="120" t="inlineStr"/>
      <s:c r="B7068" s="121" t="n"/>
      <s:c r="C7068" s="121" t="n"/>
      <s:c r="D7068" s="121" t="n"/>
      <s:c r="E7068" s="122" t="n"/>
    </s:row>
    <s:row r="7069" hidden="1" ht="1" customHeight="1">
      <s:c r="A7069" s="120" t="inlineStr"/>
      <s:c r="B7069" s="121" t="n"/>
      <s:c r="C7069" s="121" t="n"/>
      <s:c r="D7069" s="121" t="n"/>
      <s:c r="E7069" s="122" t="n"/>
    </s:row>
    <s:row r="7070" hidden="1" ht="1" customHeight="1">
      <s:c r="A7070" s="120" t="inlineStr"/>
      <s:c r="B7070" s="121" t="n"/>
      <s:c r="C7070" s="121" t="n"/>
      <s:c r="D7070" s="121" t="n"/>
      <s:c r="E7070" s="122" t="n"/>
    </s:row>
    <s:row r="7071" hidden="1" ht="1" customHeight="1">
      <s:c r="A7071" s="120" t="inlineStr"/>
      <s:c r="B7071" s="121" t="n"/>
      <s:c r="C7071" s="121" t="n"/>
      <s:c r="D7071" s="121" t="n"/>
      <s:c r="E7071" s="122" t="n"/>
    </s:row>
    <s:row r="7072" hidden="1" ht="1" customHeight="1">
      <s:c r="A7072" s="120" t="inlineStr"/>
      <s:c r="B7072" s="121" t="n"/>
      <s:c r="C7072" s="121" t="n"/>
      <s:c r="D7072" s="121" t="n"/>
      <s:c r="E7072" s="122" t="n"/>
    </s:row>
    <s:row r="7073" hidden="1" ht="1" customHeight="1">
      <s:c r="A7073" s="120" t="inlineStr"/>
      <s:c r="B7073" s="121" t="n"/>
      <s:c r="C7073" s="121" t="n"/>
      <s:c r="D7073" s="121" t="n"/>
      <s:c r="E7073" s="122" t="n"/>
    </s:row>
    <s:row r="7074" hidden="1" ht="1" customHeight="1">
      <s:c r="A7074" s="120" t="inlineStr"/>
      <s:c r="B7074" s="121" t="n"/>
      <s:c r="C7074" s="121" t="n"/>
      <s:c r="D7074" s="121" t="n"/>
      <s:c r="E7074" s="122" t="n"/>
    </s:row>
    <s:row r="7075" hidden="1" ht="1" customHeight="1">
      <s:c r="A7075" s="120" t="inlineStr"/>
      <s:c r="B7075" s="121" t="n"/>
      <s:c r="C7075" s="121" t="n"/>
      <s:c r="D7075" s="121" t="n"/>
      <s:c r="E7075" s="122" t="n"/>
    </s:row>
    <s:row r="7076" hidden="1" ht="1" customHeight="1">
      <s:c r="A7076" s="120" t="inlineStr"/>
      <s:c r="B7076" s="121" t="n"/>
      <s:c r="C7076" s="121" t="n"/>
      <s:c r="D7076" s="121" t="n"/>
      <s:c r="E7076" s="122" t="n"/>
    </s:row>
    <s:row r="7077" hidden="1" ht="1" customHeight="1">
      <s:c r="A7077" s="120" t="inlineStr"/>
      <s:c r="B7077" s="121" t="n"/>
      <s:c r="C7077" s="121" t="n"/>
      <s:c r="D7077" s="121" t="n"/>
      <s:c r="E7077" s="122" t="n"/>
    </s:row>
    <s:row r="7078" hidden="1" ht="1" customHeight="1">
      <s:c r="A7078" s="120" t="inlineStr"/>
      <s:c r="B7078" s="121" t="n"/>
      <s:c r="C7078" s="121" t="n"/>
      <s:c r="D7078" s="121" t="n"/>
      <s:c r="E7078" s="122" t="n"/>
    </s:row>
    <s:row r="7079" hidden="1" ht="1" customHeight="1">
      <s:c r="A7079" s="120" t="inlineStr"/>
      <s:c r="B7079" s="121" t="n"/>
      <s:c r="C7079" s="121" t="n"/>
      <s:c r="D7079" s="121" t="n"/>
      <s:c r="E7079" s="122" t="n"/>
    </s:row>
    <s:row r="7080" hidden="1" ht="1" customHeight="1">
      <s:c r="A7080" s="120" t="inlineStr"/>
      <s:c r="B7080" s="121" t="n"/>
      <s:c r="C7080" s="121" t="n"/>
      <s:c r="D7080" s="121" t="n"/>
      <s:c r="E7080" s="122" t="n"/>
    </s:row>
    <s:row r="7081" hidden="1" ht="1" customHeight="1">
      <s:c r="A7081" s="120" t="inlineStr"/>
      <s:c r="B7081" s="121" t="n"/>
      <s:c r="C7081" s="121" t="n"/>
      <s:c r="D7081" s="121" t="n"/>
      <s:c r="E7081" s="122" t="n"/>
    </s:row>
    <s:row r="7082" hidden="1" ht="1" customHeight="1">
      <s:c r="A7082" s="120" t="inlineStr"/>
      <s:c r="B7082" s="121" t="n"/>
      <s:c r="C7082" s="121" t="n"/>
      <s:c r="D7082" s="121" t="n"/>
      <s:c r="E7082" s="122" t="n"/>
    </s:row>
    <s:row r="7083" hidden="1" ht="1" customHeight="1">
      <s:c r="A7083" s="120" t="inlineStr"/>
      <s:c r="B7083" s="121" t="n"/>
      <s:c r="C7083" s="121" t="n"/>
      <s:c r="D7083" s="121" t="n"/>
      <s:c r="E7083" s="122" t="n"/>
    </s:row>
    <s:row r="7084" hidden="1" ht="1" customHeight="1">
      <s:c r="A7084" s="120" t="inlineStr"/>
      <s:c r="B7084" s="121" t="n"/>
      <s:c r="C7084" s="121" t="n"/>
      <s:c r="D7084" s="121" t="n"/>
      <s:c r="E7084" s="122" t="n"/>
    </s:row>
    <s:row r="7085" hidden="1" ht="1" customHeight="1">
      <s:c r="A7085" s="120" t="inlineStr"/>
      <s:c r="B7085" s="121" t="n"/>
      <s:c r="C7085" s="121" t="n"/>
      <s:c r="D7085" s="121" t="n"/>
      <s:c r="E7085" s="122" t="n"/>
    </s:row>
    <s:row r="7086" hidden="1" ht="1" customHeight="1">
      <s:c r="A7086" s="120" t="inlineStr"/>
      <s:c r="B7086" s="121" t="n"/>
      <s:c r="C7086" s="121" t="n"/>
      <s:c r="D7086" s="121" t="n"/>
      <s:c r="E7086" s="122" t="n"/>
    </s:row>
    <s:row r="7087" hidden="1" ht="1" customHeight="1">
      <s:c r="A7087" s="120" t="inlineStr"/>
      <s:c r="B7087" s="121" t="n"/>
      <s:c r="C7087" s="121" t="n"/>
      <s:c r="D7087" s="121" t="n"/>
      <s:c r="E7087" s="122" t="n"/>
    </s:row>
    <s:row r="7088" hidden="1" ht="1" customHeight="1">
      <s:c r="A7088" s="120" t="inlineStr"/>
      <s:c r="B7088" s="121" t="n"/>
      <s:c r="C7088" s="121" t="n"/>
      <s:c r="D7088" s="121" t="n"/>
      <s:c r="E7088" s="122" t="n"/>
    </s:row>
    <s:row r="7089" hidden="1" ht="1" customHeight="1">
      <s:c r="A7089" s="120" t="inlineStr"/>
      <s:c r="B7089" s="121" t="n"/>
      <s:c r="C7089" s="121" t="n"/>
      <s:c r="D7089" s="121" t="n"/>
      <s:c r="E7089" s="122" t="n"/>
    </s:row>
    <s:row r="7090" hidden="1" ht="1" customHeight="1">
      <s:c r="A7090" s="120" t="inlineStr"/>
      <s:c r="B7090" s="121" t="n"/>
      <s:c r="C7090" s="121" t="n"/>
      <s:c r="D7090" s="121" t="n"/>
      <s:c r="E7090" s="122" t="n"/>
    </s:row>
    <s:row r="7091" hidden="1" ht="1" customHeight="1">
      <s:c r="A7091" s="120" t="inlineStr"/>
      <s:c r="B7091" s="121" t="n"/>
      <s:c r="C7091" s="121" t="n"/>
      <s:c r="D7091" s="121" t="n"/>
      <s:c r="E7091" s="122" t="n"/>
    </s:row>
    <s:row r="7092" hidden="1" ht="1" customHeight="1">
      <s:c r="A7092" s="120" t="inlineStr"/>
      <s:c r="B7092" s="121" t="n"/>
      <s:c r="C7092" s="121" t="n"/>
      <s:c r="D7092" s="121" t="n"/>
      <s:c r="E7092" s="122" t="n"/>
    </s:row>
    <s:row r="7093" hidden="1" ht="1" customHeight="1">
      <s:c r="A7093" s="120" t="inlineStr"/>
      <s:c r="B7093" s="121" t="n"/>
      <s:c r="C7093" s="121" t="n"/>
      <s:c r="D7093" s="121" t="n"/>
      <s:c r="E7093" s="122" t="n"/>
    </s:row>
    <s:row r="7094" hidden="1" ht="1" customHeight="1">
      <s:c r="A7094" s="120" t="inlineStr"/>
      <s:c r="B7094" s="121" t="n"/>
      <s:c r="C7094" s="121" t="n"/>
      <s:c r="D7094" s="121" t="n"/>
      <s:c r="E7094" s="122" t="n"/>
    </s:row>
    <s:row r="7095" hidden="1" ht="1" customHeight="1">
      <s:c r="A7095" s="120" t="inlineStr"/>
      <s:c r="B7095" s="121" t="n"/>
      <s:c r="C7095" s="121" t="n"/>
      <s:c r="D7095" s="121" t="n"/>
      <s:c r="E7095" s="122" t="n"/>
    </s:row>
    <s:row r="7096" hidden="1" ht="1" customHeight="1">
      <s:c r="A7096" s="120" t="inlineStr"/>
      <s:c r="B7096" s="121" t="n"/>
      <s:c r="C7096" s="121" t="n"/>
      <s:c r="D7096" s="121" t="n"/>
      <s:c r="E7096" s="122" t="n"/>
    </s:row>
    <s:row r="7097" hidden="1" ht="1" customHeight="1">
      <s:c r="A7097" s="120" t="inlineStr"/>
      <s:c r="B7097" s="121" t="n"/>
      <s:c r="C7097" s="121" t="n"/>
      <s:c r="D7097" s="121" t="n"/>
      <s:c r="E7097" s="122" t="n"/>
    </s:row>
    <s:row r="7098" hidden="1" ht="1" customHeight="1">
      <s:c r="A7098" s="120" t="inlineStr"/>
      <s:c r="B7098" s="121" t="n"/>
      <s:c r="C7098" s="121" t="n"/>
      <s:c r="D7098" s="121" t="n"/>
      <s:c r="E7098" s="122" t="n"/>
    </s:row>
    <s:row r="7099" hidden="1" ht="1" customHeight="1">
      <s:c r="A7099" s="120" t="inlineStr"/>
      <s:c r="B7099" s="121" t="n"/>
      <s:c r="C7099" s="121" t="n"/>
      <s:c r="D7099" s="121" t="n"/>
      <s:c r="E7099" s="122" t="n"/>
    </s:row>
    <s:row r="7100" hidden="1" ht="1" customHeight="1">
      <s:c r="A7100" s="120" t="inlineStr"/>
      <s:c r="B7100" s="121" t="n"/>
      <s:c r="C7100" s="121" t="n"/>
      <s:c r="D7100" s="121" t="n"/>
      <s:c r="E7100" s="122" t="n"/>
    </s:row>
    <s:row r="7101" hidden="1" ht="1" customHeight="1">
      <s:c r="A7101" s="120" t="inlineStr"/>
      <s:c r="B7101" s="121" t="n"/>
      <s:c r="C7101" s="121" t="n"/>
      <s:c r="D7101" s="121" t="n"/>
      <s:c r="E7101" s="122" t="n"/>
    </s:row>
    <s:row r="7102" hidden="1" ht="1" customHeight="1">
      <s:c r="A7102" s="120" t="inlineStr"/>
      <s:c r="B7102" s="121" t="n"/>
      <s:c r="C7102" s="121" t="n"/>
      <s:c r="D7102" s="121" t="n"/>
      <s:c r="E7102" s="122" t="n"/>
    </s:row>
    <s:row r="7103" hidden="1" ht="1" customHeight="1">
      <s:c r="A7103" s="120" t="inlineStr"/>
      <s:c r="B7103" s="121" t="n"/>
      <s:c r="C7103" s="121" t="n"/>
      <s:c r="D7103" s="121" t="n"/>
      <s:c r="E7103" s="122" t="n"/>
    </s:row>
    <s:row r="7104" hidden="1" ht="1" customHeight="1">
      <s:c r="A7104" s="120" t="inlineStr"/>
      <s:c r="B7104" s="121" t="n"/>
      <s:c r="C7104" s="121" t="n"/>
      <s:c r="D7104" s="121" t="n"/>
      <s:c r="E7104" s="122" t="n"/>
    </s:row>
    <s:row r="7105" hidden="1" ht="1" customHeight="1">
      <s:c r="A7105" s="120" t="inlineStr"/>
      <s:c r="B7105" s="121" t="n"/>
      <s:c r="C7105" s="121" t="n"/>
      <s:c r="D7105" s="121" t="n"/>
      <s:c r="E7105" s="122" t="n"/>
    </s:row>
    <s:row r="7106" hidden="1" ht="1" customHeight="1">
      <s:c r="A7106" s="120" t="inlineStr"/>
      <s:c r="B7106" s="121" t="n"/>
      <s:c r="C7106" s="121" t="n"/>
      <s:c r="D7106" s="121" t="n"/>
      <s:c r="E7106" s="122" t="n"/>
    </s:row>
    <s:row r="7107" hidden="1" ht="1" customHeight="1">
      <s:c r="A7107" s="120" t="inlineStr"/>
      <s:c r="B7107" s="121" t="n"/>
      <s:c r="C7107" s="121" t="n"/>
      <s:c r="D7107" s="121" t="n"/>
      <s:c r="E7107" s="122" t="n"/>
    </s:row>
    <s:row r="7108" hidden="1" ht="1" customHeight="1">
      <s:c r="A7108" s="120" t="inlineStr"/>
      <s:c r="B7108" s="121" t="n"/>
      <s:c r="C7108" s="121" t="n"/>
      <s:c r="D7108" s="121" t="n"/>
      <s:c r="E7108" s="122" t="n"/>
    </s:row>
    <s:row r="7109" hidden="1" ht="1" customHeight="1">
      <s:c r="A7109" s="120" t="inlineStr"/>
      <s:c r="B7109" s="121" t="n"/>
      <s:c r="C7109" s="121" t="n"/>
      <s:c r="D7109" s="121" t="n"/>
      <s:c r="E7109" s="122" t="n"/>
    </s:row>
    <s:row r="7110" hidden="1" ht="1" customHeight="1">
      <s:c r="A7110" s="120" t="inlineStr"/>
      <s:c r="B7110" s="121" t="n"/>
      <s:c r="C7110" s="121" t="n"/>
      <s:c r="D7110" s="121" t="n"/>
      <s:c r="E7110" s="122" t="n"/>
    </s:row>
    <s:row r="7111" hidden="1" ht="1" customHeight="1">
      <s:c r="A7111" s="120" t="inlineStr"/>
      <s:c r="B7111" s="121" t="n"/>
      <s:c r="C7111" s="121" t="n"/>
      <s:c r="D7111" s="121" t="n"/>
      <s:c r="E7111" s="122" t="n"/>
    </s:row>
    <s:row r="7112" hidden="1" ht="1" customHeight="1">
      <s:c r="A7112" s="120" t="inlineStr"/>
      <s:c r="B7112" s="121" t="n"/>
      <s:c r="C7112" s="121" t="n"/>
      <s:c r="D7112" s="121" t="n"/>
      <s:c r="E7112" s="122" t="n"/>
    </s:row>
    <s:row r="7113" hidden="1" ht="1" customHeight="1">
      <s:c r="A7113" s="120" t="inlineStr"/>
      <s:c r="B7113" s="121" t="n"/>
      <s:c r="C7113" s="121" t="n"/>
      <s:c r="D7113" s="121" t="n"/>
      <s:c r="E7113" s="122" t="n"/>
    </s:row>
    <s:row r="7114" hidden="1" ht="1" customHeight="1">
      <s:c r="A7114" s="120" t="inlineStr"/>
      <s:c r="B7114" s="121" t="n"/>
      <s:c r="C7114" s="121" t="n"/>
      <s:c r="D7114" s="121" t="n"/>
      <s:c r="E7114" s="122" t="n"/>
    </s:row>
    <s:row r="7115" hidden="1" ht="1" customHeight="1">
      <s:c r="A7115" s="120" t="inlineStr"/>
      <s:c r="B7115" s="121" t="n"/>
      <s:c r="C7115" s="121" t="n"/>
      <s:c r="D7115" s="121" t="n"/>
      <s:c r="E7115" s="122" t="n"/>
    </s:row>
    <s:row r="7116" hidden="1" ht="1" customHeight="1">
      <s:c r="A7116" s="120" t="inlineStr"/>
      <s:c r="B7116" s="121" t="n"/>
      <s:c r="C7116" s="121" t="n"/>
      <s:c r="D7116" s="121" t="n"/>
      <s:c r="E7116" s="122" t="n"/>
    </s:row>
    <s:row r="7117" hidden="1" ht="1" customHeight="1">
      <s:c r="A7117" s="120" t="inlineStr"/>
      <s:c r="B7117" s="121" t="n"/>
      <s:c r="C7117" s="121" t="n"/>
      <s:c r="D7117" s="121" t="n"/>
      <s:c r="E7117" s="122" t="n"/>
    </s:row>
    <s:row r="7118" hidden="1" ht="1" customHeight="1">
      <s:c r="A7118" s="120" t="inlineStr"/>
      <s:c r="B7118" s="121" t="n"/>
      <s:c r="C7118" s="121" t="n"/>
      <s:c r="D7118" s="121" t="n"/>
      <s:c r="E7118" s="122" t="n"/>
    </s:row>
    <s:row r="7119" hidden="1" ht="1" customHeight="1">
      <s:c r="A7119" s="120" t="inlineStr"/>
      <s:c r="B7119" s="121" t="n"/>
      <s:c r="C7119" s="121" t="n"/>
      <s:c r="D7119" s="121" t="n"/>
      <s:c r="E7119" s="122" t="n"/>
    </s:row>
    <s:row r="7120" hidden="1" ht="1" customHeight="1">
      <s:c r="A7120" s="120" t="inlineStr"/>
      <s:c r="B7120" s="121" t="n"/>
      <s:c r="C7120" s="121" t="n"/>
      <s:c r="D7120" s="121" t="n"/>
      <s:c r="E7120" s="122" t="n"/>
    </s:row>
    <s:row r="7121" hidden="1" ht="1" customHeight="1">
      <s:c r="A7121" s="120" t="inlineStr"/>
      <s:c r="B7121" s="121" t="n"/>
      <s:c r="C7121" s="121" t="n"/>
      <s:c r="D7121" s="121" t="n"/>
      <s:c r="E7121" s="122" t="n"/>
    </s:row>
    <s:row r="7122" hidden="1" ht="1" customHeight="1">
      <s:c r="A7122" s="120" t="inlineStr"/>
      <s:c r="B7122" s="121" t="n"/>
      <s:c r="C7122" s="121" t="n"/>
      <s:c r="D7122" s="121" t="n"/>
      <s:c r="E7122" s="122" t="n"/>
    </s:row>
    <s:row r="7123" hidden="1" ht="1" customHeight="1">
      <s:c r="A7123" s="120" t="inlineStr"/>
      <s:c r="B7123" s="121" t="n"/>
      <s:c r="C7123" s="121" t="n"/>
      <s:c r="D7123" s="121" t="n"/>
      <s:c r="E7123" s="122" t="n"/>
    </s:row>
    <s:row r="7124" hidden="1" ht="1" customHeight="1">
      <s:c r="A7124" s="120" t="inlineStr"/>
      <s:c r="B7124" s="121" t="n"/>
      <s:c r="C7124" s="121" t="n"/>
      <s:c r="D7124" s="121" t="n"/>
      <s:c r="E7124" s="122" t="n"/>
    </s:row>
    <s:row r="7125" hidden="1" ht="1" customHeight="1">
      <s:c r="A7125" s="120" t="inlineStr"/>
      <s:c r="B7125" s="121" t="n"/>
      <s:c r="C7125" s="121" t="n"/>
      <s:c r="D7125" s="121" t="n"/>
      <s:c r="E7125" s="122" t="n"/>
    </s:row>
    <s:row r="7126" hidden="1" ht="1" customHeight="1">
      <s:c r="A7126" s="120" t="inlineStr"/>
      <s:c r="B7126" s="121" t="n"/>
      <s:c r="C7126" s="121" t="n"/>
      <s:c r="D7126" s="121" t="n"/>
      <s:c r="E7126" s="122" t="n"/>
    </s:row>
    <s:row r="7127" hidden="1" ht="1" customHeight="1">
      <s:c r="A7127" s="120" t="inlineStr"/>
      <s:c r="B7127" s="121" t="n"/>
      <s:c r="C7127" s="121" t="n"/>
      <s:c r="D7127" s="121" t="n"/>
      <s:c r="E7127" s="122" t="n"/>
    </s:row>
    <s:row r="7128" hidden="1" ht="1" customHeight="1">
      <s:c r="A7128" s="120" t="inlineStr"/>
      <s:c r="B7128" s="121" t="n"/>
      <s:c r="C7128" s="121" t="n"/>
      <s:c r="D7128" s="121" t="n"/>
      <s:c r="E7128" s="122" t="n"/>
    </s:row>
    <s:row r="7129" hidden="1" ht="1" customHeight="1">
      <s:c r="A7129" s="120" t="inlineStr"/>
      <s:c r="B7129" s="121" t="n"/>
      <s:c r="C7129" s="121" t="n"/>
      <s:c r="D7129" s="121" t="n"/>
      <s:c r="E7129" s="122" t="n"/>
    </s:row>
    <s:row r="7130" hidden="1" ht="1" customHeight="1">
      <s:c r="A7130" s="120" t="inlineStr"/>
      <s:c r="B7130" s="121" t="n"/>
      <s:c r="C7130" s="121" t="n"/>
      <s:c r="D7130" s="121" t="n"/>
      <s:c r="E7130" s="122" t="n"/>
    </s:row>
    <s:row r="7131" hidden="1" ht="1" customHeight="1">
      <s:c r="A7131" s="120" t="inlineStr"/>
      <s:c r="B7131" s="121" t="n"/>
      <s:c r="C7131" s="121" t="n"/>
      <s:c r="D7131" s="121" t="n"/>
      <s:c r="E7131" s="122" t="n"/>
    </s:row>
    <s:row r="7132" hidden="1" ht="1" customHeight="1">
      <s:c r="A7132" s="120" t="inlineStr"/>
      <s:c r="B7132" s="121" t="n"/>
      <s:c r="C7132" s="121" t="n"/>
      <s:c r="D7132" s="121" t="n"/>
      <s:c r="E7132" s="122" t="n"/>
    </s:row>
    <s:row r="7133" hidden="1" ht="1" customHeight="1">
      <s:c r="A7133" s="120" t="inlineStr"/>
      <s:c r="B7133" s="121" t="n"/>
      <s:c r="C7133" s="121" t="n"/>
      <s:c r="D7133" s="121" t="n"/>
      <s:c r="E7133" s="122" t="n"/>
    </s:row>
    <s:row r="7134" hidden="1" ht="1" customHeight="1">
      <s:c r="A7134" s="120" t="inlineStr"/>
      <s:c r="B7134" s="121" t="n"/>
      <s:c r="C7134" s="121" t="n"/>
      <s:c r="D7134" s="121" t="n"/>
      <s:c r="E7134" s="122" t="n"/>
    </s:row>
    <s:row r="7135" hidden="1" ht="1" customHeight="1">
      <s:c r="A7135" s="120" t="inlineStr"/>
      <s:c r="B7135" s="121" t="n"/>
      <s:c r="C7135" s="121" t="n"/>
      <s:c r="D7135" s="121" t="n"/>
      <s:c r="E7135" s="122" t="n"/>
    </s:row>
    <s:row r="7136" hidden="1" ht="1" customHeight="1">
      <s:c r="A7136" s="120" t="inlineStr"/>
      <s:c r="B7136" s="121" t="n"/>
      <s:c r="C7136" s="121" t="n"/>
      <s:c r="D7136" s="121" t="n"/>
      <s:c r="E7136" s="122" t="n"/>
    </s:row>
    <s:row r="7137" hidden="1" ht="1" customHeight="1">
      <s:c r="A7137" s="120" t="inlineStr"/>
      <s:c r="B7137" s="121" t="n"/>
      <s:c r="C7137" s="121" t="n"/>
      <s:c r="D7137" s="121" t="n"/>
      <s:c r="E7137" s="122" t="n"/>
    </s:row>
    <s:row r="7138" hidden="1" ht="1" customHeight="1">
      <s:c r="A7138" s="120" t="inlineStr"/>
      <s:c r="B7138" s="121" t="n"/>
      <s:c r="C7138" s="121" t="n"/>
      <s:c r="D7138" s="121" t="n"/>
      <s:c r="E7138" s="122" t="n"/>
    </s:row>
    <s:row r="7139" hidden="1" ht="1" customHeight="1">
      <s:c r="A7139" s="120" t="inlineStr"/>
      <s:c r="B7139" s="121" t="n"/>
      <s:c r="C7139" s="121" t="n"/>
      <s:c r="D7139" s="121" t="n"/>
      <s:c r="E7139" s="122" t="n"/>
    </s:row>
    <s:row r="7140" hidden="1" ht="1" customHeight="1">
      <s:c r="A7140" s="120" t="inlineStr"/>
      <s:c r="B7140" s="121" t="n"/>
      <s:c r="C7140" s="121" t="n"/>
      <s:c r="D7140" s="121" t="n"/>
      <s:c r="E7140" s="122" t="n"/>
    </s:row>
    <s:row r="7141" hidden="1" ht="1" customHeight="1">
      <s:c r="A7141" s="120" t="inlineStr"/>
      <s:c r="B7141" s="121" t="n"/>
      <s:c r="C7141" s="121" t="n"/>
      <s:c r="D7141" s="121" t="n"/>
      <s:c r="E7141" s="122" t="n"/>
    </s:row>
    <s:row r="7142" hidden="1" ht="1" customHeight="1">
      <s:c r="A7142" s="120" t="inlineStr"/>
      <s:c r="B7142" s="121" t="n"/>
      <s:c r="C7142" s="121" t="n"/>
      <s:c r="D7142" s="121" t="n"/>
      <s:c r="E7142" s="122" t="n"/>
    </s:row>
    <s:row r="7143" hidden="1" ht="1" customHeight="1">
      <s:c r="A7143" s="120" t="inlineStr"/>
      <s:c r="B7143" s="121" t="n"/>
      <s:c r="C7143" s="121" t="n"/>
      <s:c r="D7143" s="121" t="n"/>
      <s:c r="E7143" s="122" t="n"/>
    </s:row>
    <s:row r="7144" hidden="1" ht="1" customHeight="1">
      <s:c r="A7144" s="120" t="inlineStr"/>
      <s:c r="B7144" s="121" t="n"/>
      <s:c r="C7144" s="121" t="n"/>
      <s:c r="D7144" s="121" t="n"/>
      <s:c r="E7144" s="122" t="n"/>
    </s:row>
    <s:row r="7145" hidden="1" ht="1" customHeight="1">
      <s:c r="A7145" s="120" t="inlineStr"/>
      <s:c r="B7145" s="121" t="n"/>
      <s:c r="C7145" s="121" t="n"/>
      <s:c r="D7145" s="121" t="n"/>
      <s:c r="E7145" s="122" t="n"/>
    </s:row>
    <s:row r="7146" hidden="1" ht="1" customHeight="1">
      <s:c r="A7146" s="120" t="inlineStr"/>
      <s:c r="B7146" s="121" t="n"/>
      <s:c r="C7146" s="121" t="n"/>
      <s:c r="D7146" s="121" t="n"/>
      <s:c r="E7146" s="122" t="n"/>
    </s:row>
    <s:row r="7147" hidden="1" ht="1" customHeight="1">
      <s:c r="A7147" s="120" t="inlineStr"/>
      <s:c r="B7147" s="121" t="n"/>
      <s:c r="C7147" s="121" t="n"/>
      <s:c r="D7147" s="121" t="n"/>
      <s:c r="E7147" s="122" t="n"/>
    </s:row>
    <s:row r="7148" hidden="1" ht="1" customHeight="1">
      <s:c r="A7148" s="120" t="inlineStr"/>
      <s:c r="B7148" s="121" t="n"/>
      <s:c r="C7148" s="121" t="n"/>
      <s:c r="D7148" s="121" t="n"/>
      <s:c r="E7148" s="122" t="n"/>
    </s:row>
    <s:row r="7149" hidden="1" ht="1" customHeight="1">
      <s:c r="A7149" s="120" t="inlineStr"/>
      <s:c r="B7149" s="121" t="n"/>
      <s:c r="C7149" s="121" t="n"/>
      <s:c r="D7149" s="121" t="n"/>
      <s:c r="E7149" s="122" t="n"/>
    </s:row>
    <s:row r="7150" hidden="1" ht="1" customHeight="1">
      <s:c r="A7150" s="120" t="inlineStr"/>
      <s:c r="B7150" s="121" t="n"/>
      <s:c r="C7150" s="121" t="n"/>
      <s:c r="D7150" s="121" t="n"/>
      <s:c r="E7150" s="122" t="n"/>
    </s:row>
    <s:row r="7151" hidden="1" ht="1" customHeight="1">
      <s:c r="A7151" s="120" t="inlineStr"/>
      <s:c r="B7151" s="121" t="n"/>
      <s:c r="C7151" s="121" t="n"/>
      <s:c r="D7151" s="121" t="n"/>
      <s:c r="E7151" s="122" t="n"/>
    </s:row>
    <s:row r="7152" hidden="1" ht="1" customHeight="1">
      <s:c r="A7152" s="120" t="inlineStr"/>
      <s:c r="B7152" s="121" t="n"/>
      <s:c r="C7152" s="121" t="n"/>
      <s:c r="D7152" s="121" t="n"/>
      <s:c r="E7152" s="122" t="n"/>
    </s:row>
    <s:row r="7153" hidden="1" ht="1" customHeight="1">
      <s:c r="A7153" s="120" t="inlineStr"/>
      <s:c r="B7153" s="121" t="n"/>
      <s:c r="C7153" s="121" t="n"/>
      <s:c r="D7153" s="121" t="n"/>
      <s:c r="E7153" s="122" t="n"/>
    </s:row>
    <s:row r="7154" hidden="1" ht="1" customHeight="1">
      <s:c r="A7154" s="120" t="inlineStr"/>
      <s:c r="B7154" s="121" t="n"/>
      <s:c r="C7154" s="121" t="n"/>
      <s:c r="D7154" s="121" t="n"/>
      <s:c r="E7154" s="122" t="n"/>
    </s:row>
    <s:row r="7155" hidden="1" ht="1" customHeight="1">
      <s:c r="A7155" s="120" t="inlineStr"/>
      <s:c r="B7155" s="121" t="n"/>
      <s:c r="C7155" s="121" t="n"/>
      <s:c r="D7155" s="121" t="n"/>
      <s:c r="E7155" s="122" t="n"/>
    </s:row>
    <s:row r="7156" hidden="1" ht="1" customHeight="1">
      <s:c r="A7156" s="120" t="inlineStr"/>
      <s:c r="B7156" s="121" t="n"/>
      <s:c r="C7156" s="121" t="n"/>
      <s:c r="D7156" s="121" t="n"/>
      <s:c r="E7156" s="122" t="n"/>
    </s:row>
    <s:row r="7157" hidden="1" ht="1" customHeight="1">
      <s:c r="A7157" s="120" t="inlineStr"/>
      <s:c r="B7157" s="121" t="n"/>
      <s:c r="C7157" s="121" t="n"/>
      <s:c r="D7157" s="121" t="n"/>
      <s:c r="E7157" s="122" t="n"/>
    </s:row>
    <s:row r="7158" hidden="1" ht="1" customHeight="1">
      <s:c r="A7158" s="120" t="inlineStr"/>
      <s:c r="B7158" s="121" t="n"/>
      <s:c r="C7158" s="121" t="n"/>
      <s:c r="D7158" s="121" t="n"/>
      <s:c r="E7158" s="122" t="n"/>
    </s:row>
    <s:row r="7159" hidden="1" ht="1" customHeight="1">
      <s:c r="A7159" s="120" t="inlineStr"/>
      <s:c r="B7159" s="121" t="n"/>
      <s:c r="C7159" s="121" t="n"/>
      <s:c r="D7159" s="121" t="n"/>
      <s:c r="E7159" s="122" t="n"/>
    </s:row>
    <s:row r="7160" hidden="1" ht="1" customHeight="1">
      <s:c r="A7160" s="120" t="inlineStr"/>
      <s:c r="B7160" s="121" t="n"/>
      <s:c r="C7160" s="121" t="n"/>
      <s:c r="D7160" s="121" t="n"/>
      <s:c r="E7160" s="122" t="n"/>
    </s:row>
    <s:row r="7161" hidden="1" ht="1" customHeight="1">
      <s:c r="A7161" s="120" t="inlineStr"/>
      <s:c r="B7161" s="121" t="n"/>
      <s:c r="C7161" s="121" t="n"/>
      <s:c r="D7161" s="121" t="n"/>
      <s:c r="E7161" s="122" t="n"/>
    </s:row>
    <s:row r="7162" hidden="1" ht="1" customHeight="1">
      <s:c r="A7162" s="120" t="inlineStr"/>
      <s:c r="B7162" s="121" t="n"/>
      <s:c r="C7162" s="121" t="n"/>
      <s:c r="D7162" s="121" t="n"/>
      <s:c r="E7162" s="122" t="n"/>
    </s:row>
    <s:row r="7163" hidden="1" ht="1" customHeight="1">
      <s:c r="A7163" s="120" t="inlineStr"/>
      <s:c r="B7163" s="121" t="n"/>
      <s:c r="C7163" s="121" t="n"/>
      <s:c r="D7163" s="121" t="n"/>
      <s:c r="E7163" s="122" t="n"/>
    </s:row>
    <s:row r="7164" hidden="1" ht="1" customHeight="1">
      <s:c r="A7164" s="120" t="inlineStr"/>
      <s:c r="B7164" s="121" t="n"/>
      <s:c r="C7164" s="121" t="n"/>
      <s:c r="D7164" s="121" t="n"/>
      <s:c r="E7164" s="122" t="n"/>
    </s:row>
    <s:row r="7165" hidden="1" ht="1" customHeight="1">
      <s:c r="A7165" s="120" t="inlineStr"/>
      <s:c r="B7165" s="121" t="n"/>
      <s:c r="C7165" s="121" t="n"/>
      <s:c r="D7165" s="121" t="n"/>
      <s:c r="E7165" s="122" t="n"/>
    </s:row>
    <s:row r="7166" hidden="1" ht="1" customHeight="1">
      <s:c r="A7166" s="120" t="inlineStr"/>
      <s:c r="B7166" s="121" t="n"/>
      <s:c r="C7166" s="121" t="n"/>
      <s:c r="D7166" s="121" t="n"/>
      <s:c r="E7166" s="122" t="n"/>
    </s:row>
    <s:row r="7167" hidden="1" ht="1" customHeight="1">
      <s:c r="A7167" s="120" t="inlineStr"/>
      <s:c r="B7167" s="121" t="n"/>
      <s:c r="C7167" s="121" t="n"/>
      <s:c r="D7167" s="121" t="n"/>
      <s:c r="E7167" s="122" t="n"/>
    </s:row>
    <s:row r="7168" hidden="1" ht="1" customHeight="1">
      <s:c r="A7168" s="120" t="inlineStr"/>
      <s:c r="B7168" s="121" t="n"/>
      <s:c r="C7168" s="121" t="n"/>
      <s:c r="D7168" s="121" t="n"/>
      <s:c r="E7168" s="122" t="n"/>
    </s:row>
    <s:row r="7169" hidden="1" ht="1" customHeight="1">
      <s:c r="A7169" s="120" t="inlineStr"/>
      <s:c r="B7169" s="121" t="n"/>
      <s:c r="C7169" s="121" t="n"/>
      <s:c r="D7169" s="121" t="n"/>
      <s:c r="E7169" s="122" t="n"/>
    </s:row>
    <s:row r="7170" hidden="1" ht="1" customHeight="1">
      <s:c r="A7170" s="120" t="inlineStr"/>
      <s:c r="B7170" s="121" t="n"/>
      <s:c r="C7170" s="121" t="n"/>
      <s:c r="D7170" s="121" t="n"/>
      <s:c r="E7170" s="122" t="n"/>
    </s:row>
    <s:row r="7171" hidden="1" ht="1" customHeight="1">
      <s:c r="A7171" s="120" t="inlineStr"/>
      <s:c r="B7171" s="121" t="n"/>
      <s:c r="C7171" s="121" t="n"/>
      <s:c r="D7171" s="121" t="n"/>
      <s:c r="E7171" s="122" t="n"/>
    </s:row>
    <s:row r="7172" hidden="1" ht="1" customHeight="1">
      <s:c r="A7172" s="120" t="inlineStr"/>
      <s:c r="B7172" s="121" t="n"/>
      <s:c r="C7172" s="121" t="n"/>
      <s:c r="D7172" s="121" t="n"/>
      <s:c r="E7172" s="122" t="n"/>
    </s:row>
    <s:row r="7173" hidden="1" ht="1" customHeight="1">
      <s:c r="A7173" s="120" t="inlineStr"/>
      <s:c r="B7173" s="121" t="n"/>
      <s:c r="C7173" s="121" t="n"/>
      <s:c r="D7173" s="121" t="n"/>
      <s:c r="E7173" s="122" t="n"/>
    </s:row>
    <s:row r="7174" hidden="1" ht="1" customHeight="1">
      <s:c r="A7174" s="120" t="inlineStr"/>
      <s:c r="B7174" s="121" t="n"/>
      <s:c r="C7174" s="121" t="n"/>
      <s:c r="D7174" s="121" t="n"/>
      <s:c r="E7174" s="122" t="n"/>
    </s:row>
    <s:row r="7175" hidden="1" ht="1" customHeight="1">
      <s:c r="A7175" s="120" t="inlineStr"/>
      <s:c r="B7175" s="121" t="n"/>
      <s:c r="C7175" s="121" t="n"/>
      <s:c r="D7175" s="121" t="n"/>
      <s:c r="E7175" s="122" t="n"/>
    </s:row>
    <s:row r="7176" hidden="1" ht="1" customHeight="1">
      <s:c r="A7176" s="120" t="inlineStr"/>
      <s:c r="B7176" s="121" t="n"/>
      <s:c r="C7176" s="121" t="n"/>
      <s:c r="D7176" s="121" t="n"/>
      <s:c r="E7176" s="122" t="n"/>
    </s:row>
    <s:row r="7177" hidden="1" ht="1" customHeight="1">
      <s:c r="A7177" s="120" t="inlineStr"/>
      <s:c r="B7177" s="121" t="n"/>
      <s:c r="C7177" s="121" t="n"/>
      <s:c r="D7177" s="121" t="n"/>
      <s:c r="E7177" s="122" t="n"/>
    </s:row>
    <s:row r="7178" hidden="1" ht="1" customHeight="1">
      <s:c r="A7178" s="120" t="inlineStr"/>
      <s:c r="B7178" s="121" t="n"/>
      <s:c r="C7178" s="121" t="n"/>
      <s:c r="D7178" s="121" t="n"/>
      <s:c r="E7178" s="122" t="n"/>
    </s:row>
    <s:row r="7179" hidden="1" ht="1" customHeight="1">
      <s:c r="A7179" s="120" t="inlineStr"/>
      <s:c r="B7179" s="121" t="n"/>
      <s:c r="C7179" s="121" t="n"/>
      <s:c r="D7179" s="121" t="n"/>
      <s:c r="E7179" s="122" t="n"/>
    </s:row>
    <s:row r="7180" hidden="1" ht="1" customHeight="1">
      <s:c r="A7180" s="120" t="inlineStr"/>
      <s:c r="B7180" s="121" t="n"/>
      <s:c r="C7180" s="121" t="n"/>
      <s:c r="D7180" s="121" t="n"/>
      <s:c r="E7180" s="122" t="n"/>
    </s:row>
    <s:row r="7181" hidden="1" ht="1" customHeight="1">
      <s:c r="A7181" s="120" t="inlineStr"/>
      <s:c r="B7181" s="121" t="n"/>
      <s:c r="C7181" s="121" t="n"/>
      <s:c r="D7181" s="121" t="n"/>
      <s:c r="E7181" s="122" t="n"/>
    </s:row>
    <s:row r="7182" hidden="1" ht="1" customHeight="1">
      <s:c r="A7182" s="120" t="inlineStr"/>
      <s:c r="B7182" s="121" t="n"/>
      <s:c r="C7182" s="121" t="n"/>
      <s:c r="D7182" s="121" t="n"/>
      <s:c r="E7182" s="122" t="n"/>
    </s:row>
    <s:row r="7183" hidden="1" ht="1" customHeight="1">
      <s:c r="A7183" s="120" t="inlineStr"/>
      <s:c r="B7183" s="121" t="n"/>
      <s:c r="C7183" s="121" t="n"/>
      <s:c r="D7183" s="121" t="n"/>
      <s:c r="E7183" s="122" t="n"/>
    </s:row>
    <s:row r="7184" hidden="1" ht="1" customHeight="1">
      <s:c r="A7184" s="120" t="inlineStr"/>
      <s:c r="B7184" s="121" t="n"/>
      <s:c r="C7184" s="121" t="n"/>
      <s:c r="D7184" s="121" t="n"/>
      <s:c r="E7184" s="122" t="n"/>
    </s:row>
    <s:row r="7185" hidden="1" ht="1" customHeight="1">
      <s:c r="A7185" s="120" t="inlineStr"/>
      <s:c r="B7185" s="121" t="n"/>
      <s:c r="C7185" s="121" t="n"/>
      <s:c r="D7185" s="121" t="n"/>
      <s:c r="E7185" s="122" t="n"/>
    </s:row>
    <s:row r="7186" hidden="1" ht="1" customHeight="1">
      <s:c r="A7186" s="83" t="inlineStr">
        <s:is>
          <s:t>PASS</s:t>
        </s:is>
      </s:c>
      <s:c r="B7186" s="83">
        <s:f>SUM(IF(EXACT('Kiểm thử'!E6986,"Đạt"),1,0),IF(EXACT('Kiểm thử'!E6988,"Đạt"),1,0),IF(EXACT('Kiểm thử'!E6990,"Đạt"),1,0),IF(EXACT('Kiểm thử'!E6992,"Đạt"),1,0))</s:f>
        <s:v/>
      </s:c>
      <s:c r="C7186" s="19" t="n"/>
      <s:c r="D7186" s="19" t="n"/>
      <s:c r="E7186" s="19" t="n"/>
    </s:row>
    <s:row r="7187" hidden="1" ht="1" customHeight="1">
      <s:c r="A7187" s="83" t="inlineStr">
        <s:is>
          <s:t>FAIL</s:t>
        </s:is>
      </s:c>
      <s:c r="B7187" s="83">
        <s:f>SUM(IF(EXACT('Kiểm thử'!E6986,"Không đạt"),1,0),IF(EXACT('Kiểm thử'!E6988,"Không đạt"),1,0),IF(EXACT('Kiểm thử'!E6990,"Không đạt"),1,0),IF(EXACT('Kiểm thử'!E6992,"Không đạt"),1,0))</s:f>
        <s:v/>
      </s:c>
      <s:c r="C7187" s="19" t="n"/>
      <s:c r="D7187" s="19" t="n"/>
      <s:c r="E7187" s="19" t="n"/>
    </s:row>
    <s:row r="7188" hidden="1" ht="1" customHeight="1">
      <s:c r="A7188" s="83" t="inlineStr">
        <s:is>
          <s:t>BLOCKED</s:t>
        </s:is>
      </s:c>
      <s:c r="B7188" s="83">
        <s:f>SUM(IF(EXACT('Kiểm thử'!E6986,"Bị chặn"),1,0),IF(EXACT('Kiểm thử'!E6988,"Bị chặn"),1,0),IF(EXACT('Kiểm thử'!E6990,"Bị chặn"),1,0),IF(EXACT('Kiểm thử'!E6992,"Bị chặn"),1,0))</s:f>
        <s:v/>
      </s:c>
      <s:c r="C7188" s="19" t="n"/>
      <s:c r="D7188" s="19" t="n"/>
      <s:c r="E7188" s="19" t="n"/>
    </s:row>
    <s:row r="7189" hidden="1" ht="1" customHeight="1">
      <s:c r="A7189" s="83" t="inlineStr">
        <s:is>
          <s:t>SKIPPED</s:t>
        </s:is>
      </s:c>
      <s:c r="B7189" s="83">
        <s:f>SUM(IF(EXACT('Kiểm thử'!E6986,"Không thực hiện"),1,0),IF(EXACT('Kiểm thử'!E6988,"Không thực hiện"),1,0),IF(EXACT('Kiểm thử'!E6990,"Không thực hiện"),1,0),IF(EXACT('Kiểm thử'!E6992,"Không thực hiện"),1,0))</s:f>
        <s:v/>
      </s:c>
      <s:c r="C7189" s="19" t="n"/>
      <s:c r="D7189" s="19" t="n"/>
      <s:c r="E7189" s="19" t="n"/>
    </s:row>
    <s:row r="7190" hidden="1" ht="1" customHeight="1">
      <s:c r="A7190" s="83" t="inlineStr">
        <s:is>
          <s:t>NOT RUN</s:t>
        </s:is>
      </s:c>
      <s:c r="B7190" s="83">
        <s:f>SUM(IF(EXACT('Kiểm thử'!E6986,"Chưa thực hiện"),1,0),IF(EXACT('Kiểm thử'!E6988,"Chưa thực hiện"),1,0),IF(EXACT('Kiểm thử'!E6990,"Chưa thực hiện"),1,0),IF(EXACT('Kiểm thử'!E6992,"Chưa thực hiện"),1,0))</s:f>
        <s:v/>
      </s:c>
      <s:c r="C7190" s="19" t="n"/>
      <s:c r="D7190" s="19" t="n"/>
      <s:c r="E7190" s="19" t="n"/>
    </s:row>
    <s:row r="7191" hidden="1" ht="6" customHeight="1">
      <s:c r="A7191" s="83" t="inlineStr"/>
      <s:c r="B7191" s="19" t="n"/>
      <s:c r="C7191" s="19" t="n"/>
      <s:c r="D7191" s="19" t="n"/>
      <s:c r="E7191" s="19" t="n"/>
    </s:row>
    <s:row r="7192" ht="28" customHeight="1">
      <s:c r="A7192" s="108" t="inlineStr">
        <s:is>
          <s:t>TC-RS-VAL-012 — Xóa/đổi thứ tự dòng không tự nối lại tham chiếu</s:t>
        </s:is>
      </s:c>
      <s:c r="B7192" s="111" t="n"/>
      <s:c r="C7192" s="111" t="n"/>
      <s:c r="D7192" s="111" t="n"/>
      <s:c r="E7192" s="111" t="n"/>
    </s:row>
    <s:row r="7193" ht="20" customHeight="1">
      <s:c r="A7193" s="112" t="inlineStr">
        <s:is>
          <s:t>Kết quả tình huống</s:t>
        </s:is>
      </s:c>
      <s:c r="B7193" s="113">
        <s:f>IF(SUM(IF(EXACT('Kiểm thử'!E7202,"Không đạt"),1,0),IF(EXACT('Kiểm thử'!E7204,"Không đạt"),1,0))&gt;0,"Không đạt",IF(SUM(IF(EXACT('Kiểm thử'!E7202,"Đạt"),1,0),IF(EXACT('Kiểm thử'!E7204,"Đạt"),1,0))=2,"Đạt",IF(SUM(IF(EXACT('Kiểm thử'!E7202,"Không thực hiện"),1,0),IF(EXACT('Kiểm thử'!E7204,"Không thực hiện"),1,0))=2,"Không thực hiện",IF(SUM(IF(EXACT('Kiểm thử'!E7202,"Bị chặn"),1,0),IF(EXACT('Kiểm thử'!E7204,"Bị chặn"),1,0))&gt;0,"Bị chặn",IF(SUM(IF(EXACT('Kiểm thử'!E7202,"Chưa thực hiện"),1,0),IF(EXACT('Kiểm thử'!E7204,"Chưa thực hiện"),1,0))=2,"Chưa thực hiện","Đang thực hiện")))))</s:f>
        <s:v/>
      </s:c>
      <s:c r="C7193" s="114" t="n"/>
      <s:c r="D7193" s="114" t="n"/>
      <s:c r="E7193" s="114" t="n"/>
    </s:row>
    <s:row r="7194" ht="20" customHeight="1">
      <s:c r="A7194" s="112" t="inlineStr">
        <s:is>
          <s:t>Màn hình / chức năng</s:t>
        </s:is>
      </s:c>
      <s:c r="B7194" s="113" t="inlineStr">
        <s:is>
          <s:r>
            <s:rPr>
              <s:b val="1"/>
            </s:rPr>
            <s:t>Thiết lập ngưỡng（基準設定）</s:t>
          </s:r>
        </s:is>
      </s:c>
      <s:c r="C7194" s="28" t="n"/>
      <s:c r="D7194" s="28" t="n"/>
      <s:c r="E7194" s="28" t="n"/>
    </s:row>
    <s:row r="7195" ht="20" customHeight="1">
      <s:c r="A7195" s="112" t="inlineStr">
        <s:is>
          <s:t>Cấu hình</s:t>
        </s:is>
      </s:c>
      <s:c r="B7195" s="113" t="inlineStr">
        <s:is>
          <s:t>• Công thức 3 dòng: dòng 2 dùng kết quả dòng 1, dòng 3 dùng kết quả dòng 2.</s:t>
        </s:is>
      </s:c>
      <s:c r="C7195" s="28" t="n"/>
      <s:c r="D7195" s="28" t="n"/>
      <s:c r="E7195" s="28" t="n"/>
    </s:row>
    <s:row r="7196" ht="20" customHeight="1">
      <s:c r="A7196" s="112" t="inlineStr">
        <s:is>
          <s:t>Dữ liệu test</s:t>
        </s:is>
      </s:c>
      <s:c r="B7196" s="113" t="inlineStr">
        <s:is>
          <s:t>• —</s:t>
        </s:is>
      </s:c>
      <s:c r="C7196" s="28" t="n"/>
      <s:c r="D7196" s="28" t="n"/>
      <s:c r="E7196" s="28" t="n"/>
    </s:row>
    <s:row r="7197" ht="20" customHeight="1">
      <s:c r="A7197" s="112" t="inlineStr">
        <s:is>
          <s:t>Bước 1</s:t>
        </s:is>
      </s:c>
      <s:c r="B7197" s="113" t="inlineStr">
        <s:is>
          <s:t>Dựng lại công thức ba dòng đúng tham chiếu ban đầu trước mỗi trường hợp.</s:t>
        </s:is>
      </s:c>
      <s:c r="C7197" s="28" t="n"/>
      <s:c r="D7197" s="28" t="n"/>
      <s:c r="E7197" s="28" t="n"/>
    </s:row>
    <s:row r="7198" ht="20" customHeight="1">
      <s:c r="A7198" s="112" t="inlineStr">
        <s:is>
          <s:t>Bước 2</s:t>
        </s:is>
      </s:c>
      <s:c r="B7198" s="113" t="inlineStr">
        <s:is>
          <s:t>Thay dòng/thứ tự theo trường hợp rồi bấm Lưu.</s:t>
        </s:is>
      </s:c>
      <s:c r="C7198" s="28" t="n"/>
      <s:c r="D7198" s="28" t="n"/>
      <s:c r="E7198" s="28" t="n"/>
    </s:row>
    <s:row r="7199" ht="20" customHeight="1">
      <s:c r="A7199" s="112" t="inlineStr">
        <s:is>
          <s:t>Bước 3</s:t>
        </s:is>
      </s:c>
      <s:c r="B7199" s="113" t="inlineStr">
        <s:is>
          <s:t>Đọc lỗi và tham chiếu, kiểm hệ thống không tự nối sang dòng khác.</s:t>
        </s:is>
      </s:c>
      <s:c r="C7199" s="28" t="n"/>
      <s:c r="D7199" s="28" t="n"/>
      <s:c r="E7199" s="28" t="n"/>
    </s:row>
    <s:row r="7200" ht="28" customHeight="1">
      <s:c r="A7200" s="115" t="inlineStr">
        <s:is>
          <s:t>Trường hợp</s:t>
        </s:is>
      </s:c>
      <s:c r="B7200" s="115" t="inlineStr">
        <s:is>
          <s:t>Dữ liệu / thao tác riêng</s:t>
        </s:is>
      </s:c>
      <s:c r="C7200" s="115" t="inlineStr">
        <s:is>
          <s:t>Kết quả mong đợi</s:t>
        </s:is>
      </s:c>
      <s:c r="D7200" s="115" t="inlineStr">
        <s:is>
          <s:t>Kết quả thực tế</s:t>
        </s:is>
      </s:c>
      <s:c r="E7200" s="115" t="inlineStr">
        <s:is>
          <s:t>Đánh giá</s:t>
        </s:is>
      </s:c>
    </s:row>
    <s:row r="7201" ht="3" customHeight="1">
      <s:c r="A7201" s="102" t="inlineStr"/>
      <s:c r="B7201" s="99" t="n"/>
      <s:c r="C7201" s="99" t="n"/>
      <s:c r="D7201" s="116" t="n"/>
      <s:c r="E7201" s="116" t="n"/>
    </s:row>
    <s:row r="7202" ht="62" customHeight="1">
      <s:c r="A7202" s="83" t="inlineStr">
        <s:is>
          <s:t>Đồng ý xóa (delete)</s:t>
        </s:is>
      </s:c>
      <s:c r="B7202" s="83" t="inlineStr">
        <s:is>
          <s:t>Xóa dòng đang được tham chiếu: Dựng công thức3 dòng: dòng2 dùng kết quả dòng1, dòng3 dùng kết quả dòng2. Xóa dòng2 rồi Lưu.</s:t>
        </s:is>
      </s:c>
      <s:c r="C7202" s="83" t="inlineStr">
        <s:is>
          <s:t>1. Dòng 3 báo tham chiếu không hợp lệ hoặc buộc chọn lại; không âm thầm trỏ sang dòng 1.</s:t>
        </s:is>
      </s:c>
      <s:c r="D7202" s="117" t="inlineStr"/>
      <s:c r="E7202" s="118" t="inlineStr">
        <s:is>
          <s:t>Chưa thực hiện</s:t>
        </s:is>
      </s:c>
    </s:row>
    <s:row r="7203" ht="3" customHeight="1">
      <s:c r="A7203" s="102" t="inlineStr"/>
      <s:c r="B7203" s="99" t="n"/>
      <s:c r="C7203" s="99" t="n"/>
      <s:c r="D7203" s="116" t="n"/>
      <s:c r="E7203" s="116" t="n"/>
    </s:row>
    <s:row r="7204" ht="62" customHeight="1">
      <s:c r="A7204" s="83" t="inlineStr">
        <s:is>
          <s:t>Chuyển dòng lên trước nguồn (reorder)</s:t>
        </s:is>
      </s:c>
      <s:c r="B7204" s="83" t="inlineStr">
        <s:is>
          <s:t>Reset công thức3 dòng ban đầu; đổi thứ tự dòng3 lên vị trí2, giữ tham chiếu cũ rồi Lưu.</s:t>
        </s:is>
      </s:c>
      <s:c r="C7204" s="83" t="inlineStr">
        <s:is>
          <s:t>2. Dòng vừa chuyển lên (đang tham chiếu dòng mới nằm phía sau nó) bị báo tham chiếu không hợp lệ hoặc buộc chọn lại; không tự đổi sang dòng khác chỉ vì cùng số thứ tự.</s:t>
        </s:is>
      </s:c>
      <s:c r="D7204" s="117" t="inlineStr"/>
      <s:c r="E7204" s="118" t="inlineStr">
        <s:is>
          <s:t>Chưa thực hiện</s:t>
        </s:is>
      </s:c>
    </s:row>
    <s:row r="7205" ht="20" customHeight="1">
      <s:c r="A7205" s="119" t="inlineStr">
        <s:is>
          <s:t>Ảnh minh chứng — Chưa có ảnh</s:t>
        </s:is>
      </s:c>
      <s:c r="B7205" s="19" t="n"/>
      <s:c r="C7205" s="19" t="n"/>
      <s:c r="D7205" s="19" t="n"/>
      <s:c r="E7205" s="19" t="n"/>
    </s:row>
    <s:row r="7206" hidden="1" ht="1" customHeight="1">
      <s:c r="A7206" s="120" t="inlineStr"/>
      <s:c r="B7206" s="121" t="n"/>
      <s:c r="C7206" s="121" t="n"/>
      <s:c r="D7206" s="121" t="n"/>
      <s:c r="E7206" s="122" t="n"/>
    </s:row>
    <s:row r="7207" hidden="1" ht="1" customHeight="1">
      <s:c r="A7207" s="120" t="inlineStr"/>
      <s:c r="B7207" s="121" t="n"/>
      <s:c r="C7207" s="121" t="n"/>
      <s:c r="D7207" s="121" t="n"/>
      <s:c r="E7207" s="122" t="n"/>
    </s:row>
    <s:row r="7208" hidden="1" ht="1" customHeight="1">
      <s:c r="A7208" s="120" t="inlineStr"/>
      <s:c r="B7208" s="121" t="n"/>
      <s:c r="C7208" s="121" t="n"/>
      <s:c r="D7208" s="121" t="n"/>
      <s:c r="E7208" s="122" t="n"/>
    </s:row>
    <s:row r="7209" hidden="1" ht="1" customHeight="1">
      <s:c r="A7209" s="120" t="inlineStr"/>
      <s:c r="B7209" s="121" t="n"/>
      <s:c r="C7209" s="121" t="n"/>
      <s:c r="D7209" s="121" t="n"/>
      <s:c r="E7209" s="122" t="n"/>
    </s:row>
    <s:row r="7210" hidden="1" ht="1" customHeight="1">
      <s:c r="A7210" s="120" t="inlineStr"/>
      <s:c r="B7210" s="121" t="n"/>
      <s:c r="C7210" s="121" t="n"/>
      <s:c r="D7210" s="121" t="n"/>
      <s:c r="E7210" s="122" t="n"/>
    </s:row>
    <s:row r="7211" hidden="1" ht="1" customHeight="1">
      <s:c r="A7211" s="120" t="inlineStr"/>
      <s:c r="B7211" s="121" t="n"/>
      <s:c r="C7211" s="121" t="n"/>
      <s:c r="D7211" s="121" t="n"/>
      <s:c r="E7211" s="122" t="n"/>
    </s:row>
    <s:row r="7212" hidden="1" ht="1" customHeight="1">
      <s:c r="A7212" s="120" t="inlineStr"/>
      <s:c r="B7212" s="121" t="n"/>
      <s:c r="C7212" s="121" t="n"/>
      <s:c r="D7212" s="121" t="n"/>
      <s:c r="E7212" s="122" t="n"/>
    </s:row>
    <s:row r="7213" hidden="1" ht="1" customHeight="1">
      <s:c r="A7213" s="120" t="inlineStr"/>
      <s:c r="B7213" s="121" t="n"/>
      <s:c r="C7213" s="121" t="n"/>
      <s:c r="D7213" s="121" t="n"/>
      <s:c r="E7213" s="122" t="n"/>
    </s:row>
    <s:row r="7214" hidden="1" ht="1" customHeight="1">
      <s:c r="A7214" s="120" t="inlineStr"/>
      <s:c r="B7214" s="121" t="n"/>
      <s:c r="C7214" s="121" t="n"/>
      <s:c r="D7214" s="121" t="n"/>
      <s:c r="E7214" s="122" t="n"/>
    </s:row>
    <s:row r="7215" hidden="1" ht="1" customHeight="1">
      <s:c r="A7215" s="120" t="inlineStr"/>
      <s:c r="B7215" s="121" t="n"/>
      <s:c r="C7215" s="121" t="n"/>
      <s:c r="D7215" s="121" t="n"/>
      <s:c r="E7215" s="122" t="n"/>
    </s:row>
    <s:row r="7216" hidden="1" ht="1" customHeight="1">
      <s:c r="A7216" s="120" t="inlineStr"/>
      <s:c r="B7216" s="121" t="n"/>
      <s:c r="C7216" s="121" t="n"/>
      <s:c r="D7216" s="121" t="n"/>
      <s:c r="E7216" s="122" t="n"/>
    </s:row>
    <s:row r="7217" hidden="1" ht="1" customHeight="1">
      <s:c r="A7217" s="120" t="inlineStr"/>
      <s:c r="B7217" s="121" t="n"/>
      <s:c r="C7217" s="121" t="n"/>
      <s:c r="D7217" s="121" t="n"/>
      <s:c r="E7217" s="122" t="n"/>
    </s:row>
    <s:row r="7218" hidden="1" ht="1" customHeight="1">
      <s:c r="A7218" s="120" t="inlineStr"/>
      <s:c r="B7218" s="121" t="n"/>
      <s:c r="C7218" s="121" t="n"/>
      <s:c r="D7218" s="121" t="n"/>
      <s:c r="E7218" s="122" t="n"/>
    </s:row>
    <s:row r="7219" hidden="1" ht="1" customHeight="1">
      <s:c r="A7219" s="120" t="inlineStr"/>
      <s:c r="B7219" s="121" t="n"/>
      <s:c r="C7219" s="121" t="n"/>
      <s:c r="D7219" s="121" t="n"/>
      <s:c r="E7219" s="122" t="n"/>
    </s:row>
    <s:row r="7220" hidden="1" ht="1" customHeight="1">
      <s:c r="A7220" s="120" t="inlineStr"/>
      <s:c r="B7220" s="121" t="n"/>
      <s:c r="C7220" s="121" t="n"/>
      <s:c r="D7220" s="121" t="n"/>
      <s:c r="E7220" s="122" t="n"/>
    </s:row>
    <s:row r="7221" hidden="1" ht="1" customHeight="1">
      <s:c r="A7221" s="120" t="inlineStr"/>
      <s:c r="B7221" s="121" t="n"/>
      <s:c r="C7221" s="121" t="n"/>
      <s:c r="D7221" s="121" t="n"/>
      <s:c r="E7221" s="122" t="n"/>
    </s:row>
    <s:row r="7222" hidden="1" ht="1" customHeight="1">
      <s:c r="A7222" s="120" t="inlineStr"/>
      <s:c r="B7222" s="121" t="n"/>
      <s:c r="C7222" s="121" t="n"/>
      <s:c r="D7222" s="121" t="n"/>
      <s:c r="E7222" s="122" t="n"/>
    </s:row>
    <s:row r="7223" hidden="1" ht="1" customHeight="1">
      <s:c r="A7223" s="120" t="inlineStr"/>
      <s:c r="B7223" s="121" t="n"/>
      <s:c r="C7223" s="121" t="n"/>
      <s:c r="D7223" s="121" t="n"/>
      <s:c r="E7223" s="122" t="n"/>
    </s:row>
    <s:row r="7224" hidden="1" ht="1" customHeight="1">
      <s:c r="A7224" s="120" t="inlineStr"/>
      <s:c r="B7224" s="121" t="n"/>
      <s:c r="C7224" s="121" t="n"/>
      <s:c r="D7224" s="121" t="n"/>
      <s:c r="E7224" s="122" t="n"/>
    </s:row>
    <s:row r="7225" hidden="1" ht="1" customHeight="1">
      <s:c r="A7225" s="120" t="inlineStr"/>
      <s:c r="B7225" s="121" t="n"/>
      <s:c r="C7225" s="121" t="n"/>
      <s:c r="D7225" s="121" t="n"/>
      <s:c r="E7225" s="122" t="n"/>
    </s:row>
    <s:row r="7226" hidden="1" ht="1" customHeight="1">
      <s:c r="A7226" s="120" t="inlineStr"/>
      <s:c r="B7226" s="121" t="n"/>
      <s:c r="C7226" s="121" t="n"/>
      <s:c r="D7226" s="121" t="n"/>
      <s:c r="E7226" s="122" t="n"/>
    </s:row>
    <s:row r="7227" hidden="1" ht="1" customHeight="1">
      <s:c r="A7227" s="120" t="inlineStr"/>
      <s:c r="B7227" s="121" t="n"/>
      <s:c r="C7227" s="121" t="n"/>
      <s:c r="D7227" s="121" t="n"/>
      <s:c r="E7227" s="122" t="n"/>
    </s:row>
    <s:row r="7228" hidden="1" ht="1" customHeight="1">
      <s:c r="A7228" s="120" t="inlineStr"/>
      <s:c r="B7228" s="121" t="n"/>
      <s:c r="C7228" s="121" t="n"/>
      <s:c r="D7228" s="121" t="n"/>
      <s:c r="E7228" s="122" t="n"/>
    </s:row>
    <s:row r="7229" hidden="1" ht="1" customHeight="1">
      <s:c r="A7229" s="120" t="inlineStr"/>
      <s:c r="B7229" s="121" t="n"/>
      <s:c r="C7229" s="121" t="n"/>
      <s:c r="D7229" s="121" t="n"/>
      <s:c r="E7229" s="122" t="n"/>
    </s:row>
    <s:row r="7230" hidden="1" ht="1" customHeight="1">
      <s:c r="A7230" s="120" t="inlineStr"/>
      <s:c r="B7230" s="121" t="n"/>
      <s:c r="C7230" s="121" t="n"/>
      <s:c r="D7230" s="121" t="n"/>
      <s:c r="E7230" s="122" t="n"/>
    </s:row>
    <s:row r="7231" hidden="1" ht="1" customHeight="1">
      <s:c r="A7231" s="120" t="inlineStr"/>
      <s:c r="B7231" s="121" t="n"/>
      <s:c r="C7231" s="121" t="n"/>
      <s:c r="D7231" s="121" t="n"/>
      <s:c r="E7231" s="122" t="n"/>
    </s:row>
    <s:row r="7232" hidden="1" ht="1" customHeight="1">
      <s:c r="A7232" s="120" t="inlineStr"/>
      <s:c r="B7232" s="121" t="n"/>
      <s:c r="C7232" s="121" t="n"/>
      <s:c r="D7232" s="121" t="n"/>
      <s:c r="E7232" s="122" t="n"/>
    </s:row>
    <s:row r="7233" hidden="1" ht="1" customHeight="1">
      <s:c r="A7233" s="120" t="inlineStr"/>
      <s:c r="B7233" s="121" t="n"/>
      <s:c r="C7233" s="121" t="n"/>
      <s:c r="D7233" s="121" t="n"/>
      <s:c r="E7233" s="122" t="n"/>
    </s:row>
    <s:row r="7234" hidden="1" ht="1" customHeight="1">
      <s:c r="A7234" s="120" t="inlineStr"/>
      <s:c r="B7234" s="121" t="n"/>
      <s:c r="C7234" s="121" t="n"/>
      <s:c r="D7234" s="121" t="n"/>
      <s:c r="E7234" s="122" t="n"/>
    </s:row>
    <s:row r="7235" hidden="1" ht="1" customHeight="1">
      <s:c r="A7235" s="120" t="inlineStr"/>
      <s:c r="B7235" s="121" t="n"/>
      <s:c r="C7235" s="121" t="n"/>
      <s:c r="D7235" s="121" t="n"/>
      <s:c r="E7235" s="122" t="n"/>
    </s:row>
    <s:row r="7236" hidden="1" ht="1" customHeight="1">
      <s:c r="A7236" s="120" t="inlineStr"/>
      <s:c r="B7236" s="121" t="n"/>
      <s:c r="C7236" s="121" t="n"/>
      <s:c r="D7236" s="121" t="n"/>
      <s:c r="E7236" s="122" t="n"/>
    </s:row>
    <s:row r="7237" hidden="1" ht="1" customHeight="1">
      <s:c r="A7237" s="120" t="inlineStr"/>
      <s:c r="B7237" s="121" t="n"/>
      <s:c r="C7237" s="121" t="n"/>
      <s:c r="D7237" s="121" t="n"/>
      <s:c r="E7237" s="122" t="n"/>
    </s:row>
    <s:row r="7238" hidden="1" ht="1" customHeight="1">
      <s:c r="A7238" s="120" t="inlineStr"/>
      <s:c r="B7238" s="121" t="n"/>
      <s:c r="C7238" s="121" t="n"/>
      <s:c r="D7238" s="121" t="n"/>
      <s:c r="E7238" s="122" t="n"/>
    </s:row>
    <s:row r="7239" hidden="1" ht="1" customHeight="1">
      <s:c r="A7239" s="120" t="inlineStr"/>
      <s:c r="B7239" s="121" t="n"/>
      <s:c r="C7239" s="121" t="n"/>
      <s:c r="D7239" s="121" t="n"/>
      <s:c r="E7239" s="122" t="n"/>
    </s:row>
    <s:row r="7240" hidden="1" ht="1" customHeight="1">
      <s:c r="A7240" s="120" t="inlineStr"/>
      <s:c r="B7240" s="121" t="n"/>
      <s:c r="C7240" s="121" t="n"/>
      <s:c r="D7240" s="121" t="n"/>
      <s:c r="E7240" s="122" t="n"/>
    </s:row>
    <s:row r="7241" hidden="1" ht="1" customHeight="1">
      <s:c r="A7241" s="120" t="inlineStr"/>
      <s:c r="B7241" s="121" t="n"/>
      <s:c r="C7241" s="121" t="n"/>
      <s:c r="D7241" s="121" t="n"/>
      <s:c r="E7241" s="122" t="n"/>
    </s:row>
    <s:row r="7242" hidden="1" ht="1" customHeight="1">
      <s:c r="A7242" s="120" t="inlineStr"/>
      <s:c r="B7242" s="121" t="n"/>
      <s:c r="C7242" s="121" t="n"/>
      <s:c r="D7242" s="121" t="n"/>
      <s:c r="E7242" s="122" t="n"/>
    </s:row>
    <s:row r="7243" hidden="1" ht="1" customHeight="1">
      <s:c r="A7243" s="120" t="inlineStr"/>
      <s:c r="B7243" s="121" t="n"/>
      <s:c r="C7243" s="121" t="n"/>
      <s:c r="D7243" s="121" t="n"/>
      <s:c r="E7243" s="122" t="n"/>
    </s:row>
    <s:row r="7244" hidden="1" ht="1" customHeight="1">
      <s:c r="A7244" s="120" t="inlineStr"/>
      <s:c r="B7244" s="121" t="n"/>
      <s:c r="C7244" s="121" t="n"/>
      <s:c r="D7244" s="121" t="n"/>
      <s:c r="E7244" s="122" t="n"/>
    </s:row>
    <s:row r="7245" hidden="1" ht="1" customHeight="1">
      <s:c r="A7245" s="120" t="inlineStr"/>
      <s:c r="B7245" s="121" t="n"/>
      <s:c r="C7245" s="121" t="n"/>
      <s:c r="D7245" s="121" t="n"/>
      <s:c r="E7245" s="122" t="n"/>
    </s:row>
    <s:row r="7246" hidden="1" ht="1" customHeight="1">
      <s:c r="A7246" s="120" t="inlineStr"/>
      <s:c r="B7246" s="121" t="n"/>
      <s:c r="C7246" s="121" t="n"/>
      <s:c r="D7246" s="121" t="n"/>
      <s:c r="E7246" s="122" t="n"/>
    </s:row>
    <s:row r="7247" hidden="1" ht="1" customHeight="1">
      <s:c r="A7247" s="120" t="inlineStr"/>
      <s:c r="B7247" s="121" t="n"/>
      <s:c r="C7247" s="121" t="n"/>
      <s:c r="D7247" s="121" t="n"/>
      <s:c r="E7247" s="122" t="n"/>
    </s:row>
    <s:row r="7248" hidden="1" ht="1" customHeight="1">
      <s:c r="A7248" s="120" t="inlineStr"/>
      <s:c r="B7248" s="121" t="n"/>
      <s:c r="C7248" s="121" t="n"/>
      <s:c r="D7248" s="121" t="n"/>
      <s:c r="E7248" s="122" t="n"/>
    </s:row>
    <s:row r="7249" hidden="1" ht="1" customHeight="1">
      <s:c r="A7249" s="120" t="inlineStr"/>
      <s:c r="B7249" s="121" t="n"/>
      <s:c r="C7249" s="121" t="n"/>
      <s:c r="D7249" s="121" t="n"/>
      <s:c r="E7249" s="122" t="n"/>
    </s:row>
    <s:row r="7250" hidden="1" ht="1" customHeight="1">
      <s:c r="A7250" s="120" t="inlineStr"/>
      <s:c r="B7250" s="121" t="n"/>
      <s:c r="C7250" s="121" t="n"/>
      <s:c r="D7250" s="121" t="n"/>
      <s:c r="E7250" s="122" t="n"/>
    </s:row>
    <s:row r="7251" hidden="1" ht="1" customHeight="1">
      <s:c r="A7251" s="120" t="inlineStr"/>
      <s:c r="B7251" s="121" t="n"/>
      <s:c r="C7251" s="121" t="n"/>
      <s:c r="D7251" s="121" t="n"/>
      <s:c r="E7251" s="122" t="n"/>
    </s:row>
    <s:row r="7252" hidden="1" ht="1" customHeight="1">
      <s:c r="A7252" s="120" t="inlineStr"/>
      <s:c r="B7252" s="121" t="n"/>
      <s:c r="C7252" s="121" t="n"/>
      <s:c r="D7252" s="121" t="n"/>
      <s:c r="E7252" s="122" t="n"/>
    </s:row>
    <s:row r="7253" hidden="1" ht="1" customHeight="1">
      <s:c r="A7253" s="120" t="inlineStr"/>
      <s:c r="B7253" s="121" t="n"/>
      <s:c r="C7253" s="121" t="n"/>
      <s:c r="D7253" s="121" t="n"/>
      <s:c r="E7253" s="122" t="n"/>
    </s:row>
    <s:row r="7254" hidden="1" ht="1" customHeight="1">
      <s:c r="A7254" s="120" t="inlineStr"/>
      <s:c r="B7254" s="121" t="n"/>
      <s:c r="C7254" s="121" t="n"/>
      <s:c r="D7254" s="121" t="n"/>
      <s:c r="E7254" s="122" t="n"/>
    </s:row>
    <s:row r="7255" hidden="1" ht="1" customHeight="1">
      <s:c r="A7255" s="120" t="inlineStr"/>
      <s:c r="B7255" s="121" t="n"/>
      <s:c r="C7255" s="121" t="n"/>
      <s:c r="D7255" s="121" t="n"/>
      <s:c r="E7255" s="122" t="n"/>
    </s:row>
    <s:row r="7256" hidden="1" ht="1" customHeight="1">
      <s:c r="A7256" s="120" t="inlineStr"/>
      <s:c r="B7256" s="121" t="n"/>
      <s:c r="C7256" s="121" t="n"/>
      <s:c r="D7256" s="121" t="n"/>
      <s:c r="E7256" s="122" t="n"/>
    </s:row>
    <s:row r="7257" hidden="1" ht="1" customHeight="1">
      <s:c r="A7257" s="120" t="inlineStr"/>
      <s:c r="B7257" s="121" t="n"/>
      <s:c r="C7257" s="121" t="n"/>
      <s:c r="D7257" s="121" t="n"/>
      <s:c r="E7257" s="122" t="n"/>
    </s:row>
    <s:row r="7258" hidden="1" ht="1" customHeight="1">
      <s:c r="A7258" s="120" t="inlineStr"/>
      <s:c r="B7258" s="121" t="n"/>
      <s:c r="C7258" s="121" t="n"/>
      <s:c r="D7258" s="121" t="n"/>
      <s:c r="E7258" s="122" t="n"/>
    </s:row>
    <s:row r="7259" hidden="1" ht="1" customHeight="1">
      <s:c r="A7259" s="120" t="inlineStr"/>
      <s:c r="B7259" s="121" t="n"/>
      <s:c r="C7259" s="121" t="n"/>
      <s:c r="D7259" s="121" t="n"/>
      <s:c r="E7259" s="122" t="n"/>
    </s:row>
    <s:row r="7260" hidden="1" ht="1" customHeight="1">
      <s:c r="A7260" s="120" t="inlineStr"/>
      <s:c r="B7260" s="121" t="n"/>
      <s:c r="C7260" s="121" t="n"/>
      <s:c r="D7260" s="121" t="n"/>
      <s:c r="E7260" s="122" t="n"/>
    </s:row>
    <s:row r="7261" hidden="1" ht="1" customHeight="1">
      <s:c r="A7261" s="120" t="inlineStr"/>
      <s:c r="B7261" s="121" t="n"/>
      <s:c r="C7261" s="121" t="n"/>
      <s:c r="D7261" s="121" t="n"/>
      <s:c r="E7261" s="122" t="n"/>
    </s:row>
    <s:row r="7262" hidden="1" ht="1" customHeight="1">
      <s:c r="A7262" s="120" t="inlineStr"/>
      <s:c r="B7262" s="121" t="n"/>
      <s:c r="C7262" s="121" t="n"/>
      <s:c r="D7262" s="121" t="n"/>
      <s:c r="E7262" s="122" t="n"/>
    </s:row>
    <s:row r="7263" hidden="1" ht="1" customHeight="1">
      <s:c r="A7263" s="120" t="inlineStr"/>
      <s:c r="B7263" s="121" t="n"/>
      <s:c r="C7263" s="121" t="n"/>
      <s:c r="D7263" s="121" t="n"/>
      <s:c r="E7263" s="122" t="n"/>
    </s:row>
    <s:row r="7264" hidden="1" ht="1" customHeight="1">
      <s:c r="A7264" s="120" t="inlineStr"/>
      <s:c r="B7264" s="121" t="n"/>
      <s:c r="C7264" s="121" t="n"/>
      <s:c r="D7264" s="121" t="n"/>
      <s:c r="E7264" s="122" t="n"/>
    </s:row>
    <s:row r="7265" hidden="1" ht="1" customHeight="1">
      <s:c r="A7265" s="120" t="inlineStr"/>
      <s:c r="B7265" s="121" t="n"/>
      <s:c r="C7265" s="121" t="n"/>
      <s:c r="D7265" s="121" t="n"/>
      <s:c r="E7265" s="122" t="n"/>
    </s:row>
    <s:row r="7266" hidden="1" ht="1" customHeight="1">
      <s:c r="A7266" s="120" t="inlineStr"/>
      <s:c r="B7266" s="121" t="n"/>
      <s:c r="C7266" s="121" t="n"/>
      <s:c r="D7266" s="121" t="n"/>
      <s:c r="E7266" s="122" t="n"/>
    </s:row>
    <s:row r="7267" hidden="1" ht="1" customHeight="1">
      <s:c r="A7267" s="120" t="inlineStr"/>
      <s:c r="B7267" s="121" t="n"/>
      <s:c r="C7267" s="121" t="n"/>
      <s:c r="D7267" s="121" t="n"/>
      <s:c r="E7267" s="122" t="n"/>
    </s:row>
    <s:row r="7268" hidden="1" ht="1" customHeight="1">
      <s:c r="A7268" s="120" t="inlineStr"/>
      <s:c r="B7268" s="121" t="n"/>
      <s:c r="C7268" s="121" t="n"/>
      <s:c r="D7268" s="121" t="n"/>
      <s:c r="E7268" s="122" t="n"/>
    </s:row>
    <s:row r="7269" hidden="1" ht="1" customHeight="1">
      <s:c r="A7269" s="120" t="inlineStr"/>
      <s:c r="B7269" s="121" t="n"/>
      <s:c r="C7269" s="121" t="n"/>
      <s:c r="D7269" s="121" t="n"/>
      <s:c r="E7269" s="122" t="n"/>
    </s:row>
    <s:row r="7270" hidden="1" ht="1" customHeight="1">
      <s:c r="A7270" s="120" t="inlineStr"/>
      <s:c r="B7270" s="121" t="n"/>
      <s:c r="C7270" s="121" t="n"/>
      <s:c r="D7270" s="121" t="n"/>
      <s:c r="E7270" s="122" t="n"/>
    </s:row>
    <s:row r="7271" hidden="1" ht="1" customHeight="1">
      <s:c r="A7271" s="120" t="inlineStr"/>
      <s:c r="B7271" s="121" t="n"/>
      <s:c r="C7271" s="121" t="n"/>
      <s:c r="D7271" s="121" t="n"/>
      <s:c r="E7271" s="122" t="n"/>
    </s:row>
    <s:row r="7272" hidden="1" ht="1" customHeight="1">
      <s:c r="A7272" s="120" t="inlineStr"/>
      <s:c r="B7272" s="121" t="n"/>
      <s:c r="C7272" s="121" t="n"/>
      <s:c r="D7272" s="121" t="n"/>
      <s:c r="E7272" s="122" t="n"/>
    </s:row>
    <s:row r="7273" hidden="1" ht="1" customHeight="1">
      <s:c r="A7273" s="120" t="inlineStr"/>
      <s:c r="B7273" s="121" t="n"/>
      <s:c r="C7273" s="121" t="n"/>
      <s:c r="D7273" s="121" t="n"/>
      <s:c r="E7273" s="122" t="n"/>
    </s:row>
    <s:row r="7274" hidden="1" ht="1" customHeight="1">
      <s:c r="A7274" s="120" t="inlineStr"/>
      <s:c r="B7274" s="121" t="n"/>
      <s:c r="C7274" s="121" t="n"/>
      <s:c r="D7274" s="121" t="n"/>
      <s:c r="E7274" s="122" t="n"/>
    </s:row>
    <s:row r="7275" hidden="1" ht="1" customHeight="1">
      <s:c r="A7275" s="120" t="inlineStr"/>
      <s:c r="B7275" s="121" t="n"/>
      <s:c r="C7275" s="121" t="n"/>
      <s:c r="D7275" s="121" t="n"/>
      <s:c r="E7275" s="122" t="n"/>
    </s:row>
    <s:row r="7276" hidden="1" ht="1" customHeight="1">
      <s:c r="A7276" s="120" t="inlineStr"/>
      <s:c r="B7276" s="121" t="n"/>
      <s:c r="C7276" s="121" t="n"/>
      <s:c r="D7276" s="121" t="n"/>
      <s:c r="E7276" s="122" t="n"/>
    </s:row>
    <s:row r="7277" hidden="1" ht="1" customHeight="1">
      <s:c r="A7277" s="120" t="inlineStr"/>
      <s:c r="B7277" s="121" t="n"/>
      <s:c r="C7277" s="121" t="n"/>
      <s:c r="D7277" s="121" t="n"/>
      <s:c r="E7277" s="122" t="n"/>
    </s:row>
    <s:row r="7278" hidden="1" ht="1" customHeight="1">
      <s:c r="A7278" s="120" t="inlineStr"/>
      <s:c r="B7278" s="121" t="n"/>
      <s:c r="C7278" s="121" t="n"/>
      <s:c r="D7278" s="121" t="n"/>
      <s:c r="E7278" s="122" t="n"/>
    </s:row>
    <s:row r="7279" hidden="1" ht="1" customHeight="1">
      <s:c r="A7279" s="120" t="inlineStr"/>
      <s:c r="B7279" s="121" t="n"/>
      <s:c r="C7279" s="121" t="n"/>
      <s:c r="D7279" s="121" t="n"/>
      <s:c r="E7279" s="122" t="n"/>
    </s:row>
    <s:row r="7280" hidden="1" ht="1" customHeight="1">
      <s:c r="A7280" s="120" t="inlineStr"/>
      <s:c r="B7280" s="121" t="n"/>
      <s:c r="C7280" s="121" t="n"/>
      <s:c r="D7280" s="121" t="n"/>
      <s:c r="E7280" s="122" t="n"/>
    </s:row>
    <s:row r="7281" hidden="1" ht="1" customHeight="1">
      <s:c r="A7281" s="120" t="inlineStr"/>
      <s:c r="B7281" s="121" t="n"/>
      <s:c r="C7281" s="121" t="n"/>
      <s:c r="D7281" s="121" t="n"/>
      <s:c r="E7281" s="122" t="n"/>
    </s:row>
    <s:row r="7282" hidden="1" ht="1" customHeight="1">
      <s:c r="A7282" s="120" t="inlineStr"/>
      <s:c r="B7282" s="121" t="n"/>
      <s:c r="C7282" s="121" t="n"/>
      <s:c r="D7282" s="121" t="n"/>
      <s:c r="E7282" s="122" t="n"/>
    </s:row>
    <s:row r="7283" hidden="1" ht="1" customHeight="1">
      <s:c r="A7283" s="120" t="inlineStr"/>
      <s:c r="B7283" s="121" t="n"/>
      <s:c r="C7283" s="121" t="n"/>
      <s:c r="D7283" s="121" t="n"/>
      <s:c r="E7283" s="122" t="n"/>
    </s:row>
    <s:row r="7284" hidden="1" ht="1" customHeight="1">
      <s:c r="A7284" s="120" t="inlineStr"/>
      <s:c r="B7284" s="121" t="n"/>
      <s:c r="C7284" s="121" t="n"/>
      <s:c r="D7284" s="121" t="n"/>
      <s:c r="E7284" s="122" t="n"/>
    </s:row>
    <s:row r="7285" hidden="1" ht="1" customHeight="1">
      <s:c r="A7285" s="120" t="inlineStr"/>
      <s:c r="B7285" s="121" t="n"/>
      <s:c r="C7285" s="121" t="n"/>
      <s:c r="D7285" s="121" t="n"/>
      <s:c r="E7285" s="122" t="n"/>
    </s:row>
    <s:row r="7286" hidden="1" ht="1" customHeight="1">
      <s:c r="A7286" s="120" t="inlineStr"/>
      <s:c r="B7286" s="121" t="n"/>
      <s:c r="C7286" s="121" t="n"/>
      <s:c r="D7286" s="121" t="n"/>
      <s:c r="E7286" s="122" t="n"/>
    </s:row>
    <s:row r="7287" hidden="1" ht="1" customHeight="1">
      <s:c r="A7287" s="120" t="inlineStr"/>
      <s:c r="B7287" s="121" t="n"/>
      <s:c r="C7287" s="121" t="n"/>
      <s:c r="D7287" s="121" t="n"/>
      <s:c r="E7287" s="122" t="n"/>
    </s:row>
    <s:row r="7288" hidden="1" ht="1" customHeight="1">
      <s:c r="A7288" s="120" t="inlineStr"/>
      <s:c r="B7288" s="121" t="n"/>
      <s:c r="C7288" s="121" t="n"/>
      <s:c r="D7288" s="121" t="n"/>
      <s:c r="E7288" s="122" t="n"/>
    </s:row>
    <s:row r="7289" hidden="1" ht="1" customHeight="1">
      <s:c r="A7289" s="120" t="inlineStr"/>
      <s:c r="B7289" s="121" t="n"/>
      <s:c r="C7289" s="121" t="n"/>
      <s:c r="D7289" s="121" t="n"/>
      <s:c r="E7289" s="122" t="n"/>
    </s:row>
    <s:row r="7290" hidden="1" ht="1" customHeight="1">
      <s:c r="A7290" s="120" t="inlineStr"/>
      <s:c r="B7290" s="121" t="n"/>
      <s:c r="C7290" s="121" t="n"/>
      <s:c r="D7290" s="121" t="n"/>
      <s:c r="E7290" s="122" t="n"/>
    </s:row>
    <s:row r="7291" hidden="1" ht="1" customHeight="1">
      <s:c r="A7291" s="120" t="inlineStr"/>
      <s:c r="B7291" s="121" t="n"/>
      <s:c r="C7291" s="121" t="n"/>
      <s:c r="D7291" s="121" t="n"/>
      <s:c r="E7291" s="122" t="n"/>
    </s:row>
    <s:row r="7292" hidden="1" ht="1" customHeight="1">
      <s:c r="A7292" s="120" t="inlineStr"/>
      <s:c r="B7292" s="121" t="n"/>
      <s:c r="C7292" s="121" t="n"/>
      <s:c r="D7292" s="121" t="n"/>
      <s:c r="E7292" s="122" t="n"/>
    </s:row>
    <s:row r="7293" hidden="1" ht="1" customHeight="1">
      <s:c r="A7293" s="120" t="inlineStr"/>
      <s:c r="B7293" s="121" t="n"/>
      <s:c r="C7293" s="121" t="n"/>
      <s:c r="D7293" s="121" t="n"/>
      <s:c r="E7293" s="122" t="n"/>
    </s:row>
    <s:row r="7294" hidden="1" ht="1" customHeight="1">
      <s:c r="A7294" s="120" t="inlineStr"/>
      <s:c r="B7294" s="121" t="n"/>
      <s:c r="C7294" s="121" t="n"/>
      <s:c r="D7294" s="121" t="n"/>
      <s:c r="E7294" s="122" t="n"/>
    </s:row>
    <s:row r="7295" hidden="1" ht="1" customHeight="1">
      <s:c r="A7295" s="120" t="inlineStr"/>
      <s:c r="B7295" s="121" t="n"/>
      <s:c r="C7295" s="121" t="n"/>
      <s:c r="D7295" s="121" t="n"/>
      <s:c r="E7295" s="122" t="n"/>
    </s:row>
    <s:row r="7296" hidden="1" ht="1" customHeight="1">
      <s:c r="A7296" s="120" t="inlineStr"/>
      <s:c r="B7296" s="121" t="n"/>
      <s:c r="C7296" s="121" t="n"/>
      <s:c r="D7296" s="121" t="n"/>
      <s:c r="E7296" s="122" t="n"/>
    </s:row>
    <s:row r="7297" hidden="1" ht="1" customHeight="1">
      <s:c r="A7297" s="120" t="inlineStr"/>
      <s:c r="B7297" s="121" t="n"/>
      <s:c r="C7297" s="121" t="n"/>
      <s:c r="D7297" s="121" t="n"/>
      <s:c r="E7297" s="122" t="n"/>
    </s:row>
    <s:row r="7298" hidden="1" ht="1" customHeight="1">
      <s:c r="A7298" s="120" t="inlineStr"/>
      <s:c r="B7298" s="121" t="n"/>
      <s:c r="C7298" s="121" t="n"/>
      <s:c r="D7298" s="121" t="n"/>
      <s:c r="E7298" s="122" t="n"/>
    </s:row>
    <s:row r="7299" hidden="1" ht="1" customHeight="1">
      <s:c r="A7299" s="120" t="inlineStr"/>
      <s:c r="B7299" s="121" t="n"/>
      <s:c r="C7299" s="121" t="n"/>
      <s:c r="D7299" s="121" t="n"/>
      <s:c r="E7299" s="122" t="n"/>
    </s:row>
    <s:row r="7300" hidden="1" ht="1" customHeight="1">
      <s:c r="A7300" s="120" t="inlineStr"/>
      <s:c r="B7300" s="121" t="n"/>
      <s:c r="C7300" s="121" t="n"/>
      <s:c r="D7300" s="121" t="n"/>
      <s:c r="E7300" s="122" t="n"/>
    </s:row>
    <s:row r="7301" hidden="1" ht="1" customHeight="1">
      <s:c r="A7301" s="120" t="inlineStr"/>
      <s:c r="B7301" s="121" t="n"/>
      <s:c r="C7301" s="121" t="n"/>
      <s:c r="D7301" s="121" t="n"/>
      <s:c r="E7301" s="122" t="n"/>
    </s:row>
    <s:row r="7302" hidden="1" ht="1" customHeight="1">
      <s:c r="A7302" s="83" t="inlineStr">
        <s:is>
          <s:t>PASS</s:t>
        </s:is>
      </s:c>
      <s:c r="B7302" s="83">
        <s:f>SUM(IF(EXACT('Kiểm thử'!E7202,"Đạt"),1,0),IF(EXACT('Kiểm thử'!E7204,"Đạt"),1,0))</s:f>
        <s:v/>
      </s:c>
      <s:c r="C7302" s="19" t="n"/>
      <s:c r="D7302" s="19" t="n"/>
      <s:c r="E7302" s="19" t="n"/>
    </s:row>
    <s:row r="7303" hidden="1" ht="1" customHeight="1">
      <s:c r="A7303" s="83" t="inlineStr">
        <s:is>
          <s:t>FAIL</s:t>
        </s:is>
      </s:c>
      <s:c r="B7303" s="83">
        <s:f>SUM(IF(EXACT('Kiểm thử'!E7202,"Không đạt"),1,0),IF(EXACT('Kiểm thử'!E7204,"Không đạt"),1,0))</s:f>
        <s:v/>
      </s:c>
      <s:c r="C7303" s="19" t="n"/>
      <s:c r="D7303" s="19" t="n"/>
      <s:c r="E7303" s="19" t="n"/>
    </s:row>
    <s:row r="7304" hidden="1" ht="1" customHeight="1">
      <s:c r="A7304" s="83" t="inlineStr">
        <s:is>
          <s:t>BLOCKED</s:t>
        </s:is>
      </s:c>
      <s:c r="B7304" s="83">
        <s:f>SUM(IF(EXACT('Kiểm thử'!E7202,"Bị chặn"),1,0),IF(EXACT('Kiểm thử'!E7204,"Bị chặn"),1,0))</s:f>
        <s:v/>
      </s:c>
      <s:c r="C7304" s="19" t="n"/>
      <s:c r="D7304" s="19" t="n"/>
      <s:c r="E7304" s="19" t="n"/>
    </s:row>
    <s:row r="7305" hidden="1" ht="1" customHeight="1">
      <s:c r="A7305" s="83" t="inlineStr">
        <s:is>
          <s:t>SKIPPED</s:t>
        </s:is>
      </s:c>
      <s:c r="B7305" s="83">
        <s:f>SUM(IF(EXACT('Kiểm thử'!E7202,"Không thực hiện"),1,0),IF(EXACT('Kiểm thử'!E7204,"Không thực hiện"),1,0))</s:f>
        <s:v/>
      </s:c>
      <s:c r="C7305" s="19" t="n"/>
      <s:c r="D7305" s="19" t="n"/>
      <s:c r="E7305" s="19" t="n"/>
    </s:row>
    <s:row r="7306" hidden="1" ht="1" customHeight="1">
      <s:c r="A7306" s="83" t="inlineStr">
        <s:is>
          <s:t>NOT RUN</s:t>
        </s:is>
      </s:c>
      <s:c r="B7306" s="83">
        <s:f>SUM(IF(EXACT('Kiểm thử'!E7202,"Chưa thực hiện"),1,0),IF(EXACT('Kiểm thử'!E7204,"Chưa thực hiện"),1,0))</s:f>
        <s:v/>
      </s:c>
      <s:c r="C7306" s="19" t="n"/>
      <s:c r="D7306" s="19" t="n"/>
      <s:c r="E7306" s="19" t="n"/>
    </s:row>
    <s:row r="7307" hidden="1" ht="6" customHeight="1">
      <s:c r="A7307" s="83" t="inlineStr"/>
      <s:c r="B7307" s="19" t="n"/>
      <s:c r="C7307" s="19" t="n"/>
      <s:c r="D7307" s="19" t="n"/>
      <s:c r="E7307" s="19" t="n"/>
    </s:row>
    <s:row r="7308" ht="28" customHeight="1">
      <s:c r="A7308" s="108" t="inlineStr">
        <s:is>
          <s:t>TC-RS-VAL-013 — Số cố định trong công thức không bị giới hạn 0–100</s:t>
        </s:is>
      </s:c>
      <s:c r="B7308" s="111" t="n"/>
      <s:c r="C7308" s="111" t="n"/>
      <s:c r="D7308" s="111" t="n"/>
      <s:c r="E7308" s="111" t="n"/>
    </s:row>
    <s:row r="7309" ht="20" customHeight="1">
      <s:c r="A7309" s="112" t="inlineStr">
        <s:is>
          <s:t>Kết quả tình huống</s:t>
        </s:is>
      </s:c>
      <s:c r="B7309" s="113">
        <s:f>IF(SUM(IF(EXACT('Kiểm thử'!E7316,"Không đạt"),1,0),IF(EXACT('Kiểm thử'!E7318,"Không đạt"),1,0),IF(EXACT('Kiểm thử'!E7320,"Không đạt"),1,0))&gt;0,"Không đạt",IF(SUM(IF(EXACT('Kiểm thử'!E7316,"Đạt"),1,0),IF(EXACT('Kiểm thử'!E7318,"Đạt"),1,0),IF(EXACT('Kiểm thử'!E7320,"Đạt"),1,0))=3,"Đạt",IF(SUM(IF(EXACT('Kiểm thử'!E7316,"Không thực hiện"),1,0),IF(EXACT('Kiểm thử'!E7318,"Không thực hiện"),1,0),IF(EXACT('Kiểm thử'!E7320,"Không thực hiện"),1,0))=3,"Không thực hiện",IF(SUM(IF(EXACT('Kiểm thử'!E7316,"Bị chặn"),1,0),IF(EXACT('Kiểm thử'!E7318,"Bị chặn"),1,0),IF(EXACT('Kiểm thử'!E7320,"Bị chặn"),1,0))&gt;0,"Bị chặn",IF(SUM(IF(EXACT('Kiểm thử'!E7316,"Chưa thực hiện"),1,0),IF(EXACT('Kiểm thử'!E7318,"Chưa thực hiện"),1,0),IF(EXACT('Kiểm thử'!E7320,"Chưa thực hiện"),1,0))=3,"Chưa thực hiện","Đang thực hiện")))))</s:f>
        <s:v/>
      </s:c>
      <s:c r="C7309" s="114" t="n"/>
      <s:c r="D7309" s="114" t="n"/>
      <s:c r="E7309" s="114" t="n"/>
    </s:row>
    <s:row r="7310" ht="20" customHeight="1">
      <s:c r="A7310" s="112" t="inlineStr">
        <s:is>
          <s:t>Màn hình / chức năng</s:t>
        </s:is>
      </s:c>
      <s:c r="B7310" s="113" t="inlineStr">
        <s:is>
          <s:r>
            <s:rPr>
              <s:b val="1"/>
            </s:rPr>
            <s:t>Thiết lập ngưỡng（基準設定）</s:t>
          </s:r>
        </s:is>
      </s:c>
      <s:c r="C7310" s="28" t="n"/>
      <s:c r="D7310" s="28" t="n"/>
      <s:c r="E7310" s="28" t="n"/>
    </s:row>
    <s:row r="7311" ht="20" customHeight="1">
      <s:c r="A7311" s="112" t="inlineStr">
        <s:is>
          <s:t>Cấu hình</s:t>
        </s:is>
      </s:c>
      <s:c r="B7311" s="113" t="inlineStr">
        <s:is>
          <s:r>
            <s:t xml:space="preserve">• </s:t>
          </s:r>
          <s:r>
            <s:rPr>
              <s:b val="1"/>
            </s:rPr>
            <s:t>Loại Công thức tính（計算式）</s:t>
          </s:r>
          <s:r>
            <s:t>.</s:t>
          </s:r>
        </s:is>
      </s:c>
      <s:c r="C7311" s="28" t="n"/>
      <s:c r="D7311" s="28" t="n"/>
      <s:c r="E7311" s="28" t="n"/>
    </s:row>
    <s:row r="7312" ht="20" customHeight="1">
      <s:c r="A7312" s="112" t="inlineStr">
        <s:is>
          <s:t>Dữ liệu test</s:t>
        </s:is>
      </s:c>
      <s:c r="B7312" s="113" t="inlineStr">
        <s:is>
          <s:t>• [A × 150], [A × 0.5], [A − 150]</s:t>
        </s:is>
      </s:c>
      <s:c r="C7312" s="28" t="n"/>
      <s:c r="D7312" s="28" t="n"/>
      <s:c r="E7312" s="28" t="n"/>
    </s:row>
    <s:row r="7313" ht="20" customHeight="1">
      <s:c r="A7313" s="112" t="inlineStr">
        <s:is>
          <s:t>•</s:t>
        </s:is>
      </s:c>
      <s:c r="B7313" s="113" t="inlineStr">
        <s:is>
          <s:t>Nhập từng công thức, Lưu.</s:t>
        </s:is>
      </s:c>
      <s:c r="C7313" s="28" t="n"/>
      <s:c r="D7313" s="28" t="n"/>
      <s:c r="E7313" s="28" t="n"/>
    </s:row>
    <s:row r="7314" ht="28" customHeight="1">
      <s:c r="A7314" s="115" t="inlineStr">
        <s:is>
          <s:t>Trường hợp</s:t>
        </s:is>
      </s:c>
      <s:c r="B7314" s="115" t="inlineStr">
        <s:is>
          <s:t>Dữ liệu / thao tác riêng</s:t>
        </s:is>
      </s:c>
      <s:c r="C7314" s="115" t="inlineStr">
        <s:is>
          <s:t>Kết quả mong đợi</s:t>
        </s:is>
      </s:c>
      <s:c r="D7314" s="115" t="inlineStr">
        <s:is>
          <s:t>Kết quả thực tế</s:t>
        </s:is>
      </s:c>
      <s:c r="E7314" s="115" t="inlineStr">
        <s:is>
          <s:t>Đánh giá</s:t>
        </s:is>
      </s:c>
    </s:row>
    <s:row r="7315" ht="3" customHeight="1">
      <s:c r="A7315" s="102" t="inlineStr"/>
      <s:c r="B7315" s="99" t="n"/>
      <s:c r="C7315" s="99" t="n"/>
      <s:c r="D7315" s="116" t="n"/>
      <s:c r="E7315" s="116" t="n"/>
    </s:row>
    <s:row r="7316" ht="34" customHeight="1">
      <s:c r="A7316" s="83" t="inlineStr">
        <s:is>
          <s:t>Nhân 150 (times150)</s:t>
        </s:is>
      </s:c>
      <s:c r="B7316" s="83" t="inlineStr">
        <s:is>
          <s:t>Nhập phép nhân với hằng số150; lưu.</s:t>
        </s:is>
      </s:c>
      <s:c r="C7316" s="83" t="inlineStr">
        <s:is>
          <s:t>Lưu được (không áp giới hạn 0–100 hay 0–M cho toán hạng).</s:t>
        </s:is>
      </s:c>
      <s:c r="D7316" s="117" t="inlineStr"/>
      <s:c r="E7316" s="118" t="inlineStr">
        <s:is>
          <s:t>Chưa thực hiện</s:t>
        </s:is>
      </s:c>
    </s:row>
    <s:row r="7317" ht="3" customHeight="1">
      <s:c r="A7317" s="102" t="inlineStr"/>
      <s:c r="B7317" s="99" t="n"/>
      <s:c r="C7317" s="99" t="n"/>
      <s:c r="D7317" s="116" t="n"/>
      <s:c r="E7317" s="116" t="n"/>
    </s:row>
    <s:row r="7318" ht="34" customHeight="1">
      <s:c r="A7318" s="83" t="inlineStr">
        <s:is>
          <s:t>Nhân 0.5 (times05)</s:t>
        </s:is>
      </s:c>
      <s:c r="B7318" s="83" t="inlineStr">
        <s:is>
          <s:t>Nhập phép nhân với hằng số0.5; lưu.</s:t>
        </s:is>
      </s:c>
      <s:c r="C7318" s="83" t="inlineStr">
        <s:is>
          <s:t>Lưu được (không áp giới hạn 0–100 hay 0–M cho toán hạng).</s:t>
        </s:is>
      </s:c>
      <s:c r="D7318" s="117" t="inlineStr"/>
      <s:c r="E7318" s="118" t="inlineStr">
        <s:is>
          <s:t>Chưa thực hiện</s:t>
        </s:is>
      </s:c>
    </s:row>
    <s:row r="7319" ht="3" customHeight="1">
      <s:c r="A7319" s="102" t="inlineStr"/>
      <s:c r="B7319" s="99" t="n"/>
      <s:c r="C7319" s="99" t="n"/>
      <s:c r="D7319" s="116" t="n"/>
      <s:c r="E7319" s="116" t="n"/>
    </s:row>
    <s:row r="7320" ht="34" customHeight="1">
      <s:c r="A7320" s="83" t="inlineStr">
        <s:is>
          <s:t>Trừ 150 (minus150)</s:t>
        </s:is>
      </s:c>
      <s:c r="B7320" s="83" t="inlineStr">
        <s:is>
          <s:t>Nhập phép trừ hằng số150; lưu.</s:t>
        </s:is>
      </s:c>
      <s:c r="C7320" s="83" t="inlineStr">
        <s:is>
          <s:t>Lưu được (không áp giới hạn 0–100 hay 0–M cho toán hạng).</s:t>
        </s:is>
      </s:c>
      <s:c r="D7320" s="117" t="inlineStr"/>
      <s:c r="E7320" s="118" t="inlineStr">
        <s:is>
          <s:t>Chưa thực hiện</s:t>
        </s:is>
      </s:c>
    </s:row>
    <s:row r="7321" ht="20" customHeight="1">
      <s:c r="A7321" s="119" t="inlineStr">
        <s:is>
          <s:t>Ảnh minh chứng — Chưa có ảnh</s:t>
        </s:is>
      </s:c>
      <s:c r="B7321" s="19" t="n"/>
      <s:c r="C7321" s="19" t="n"/>
      <s:c r="D7321" s="19" t="n"/>
      <s:c r="E7321" s="19" t="n"/>
    </s:row>
    <s:row r="7322" hidden="1" ht="1" customHeight="1">
      <s:c r="A7322" s="120" t="inlineStr"/>
      <s:c r="B7322" s="121" t="n"/>
      <s:c r="C7322" s="121" t="n"/>
      <s:c r="D7322" s="121" t="n"/>
      <s:c r="E7322" s="122" t="n"/>
    </s:row>
    <s:row r="7323" hidden="1" ht="1" customHeight="1">
      <s:c r="A7323" s="120" t="inlineStr"/>
      <s:c r="B7323" s="121" t="n"/>
      <s:c r="C7323" s="121" t="n"/>
      <s:c r="D7323" s="121" t="n"/>
      <s:c r="E7323" s="122" t="n"/>
    </s:row>
    <s:row r="7324" hidden="1" ht="1" customHeight="1">
      <s:c r="A7324" s="120" t="inlineStr"/>
      <s:c r="B7324" s="121" t="n"/>
      <s:c r="C7324" s="121" t="n"/>
      <s:c r="D7324" s="121" t="n"/>
      <s:c r="E7324" s="122" t="n"/>
    </s:row>
    <s:row r="7325" hidden="1" ht="1" customHeight="1">
      <s:c r="A7325" s="120" t="inlineStr"/>
      <s:c r="B7325" s="121" t="n"/>
      <s:c r="C7325" s="121" t="n"/>
      <s:c r="D7325" s="121" t="n"/>
      <s:c r="E7325" s="122" t="n"/>
    </s:row>
    <s:row r="7326" hidden="1" ht="1" customHeight="1">
      <s:c r="A7326" s="120" t="inlineStr"/>
      <s:c r="B7326" s="121" t="n"/>
      <s:c r="C7326" s="121" t="n"/>
      <s:c r="D7326" s="121" t="n"/>
      <s:c r="E7326" s="122" t="n"/>
    </s:row>
    <s:row r="7327" hidden="1" ht="1" customHeight="1">
      <s:c r="A7327" s="120" t="inlineStr"/>
      <s:c r="B7327" s="121" t="n"/>
      <s:c r="C7327" s="121" t="n"/>
      <s:c r="D7327" s="121" t="n"/>
      <s:c r="E7327" s="122" t="n"/>
    </s:row>
    <s:row r="7328" hidden="1" ht="1" customHeight="1">
      <s:c r="A7328" s="120" t="inlineStr"/>
      <s:c r="B7328" s="121" t="n"/>
      <s:c r="C7328" s="121" t="n"/>
      <s:c r="D7328" s="121" t="n"/>
      <s:c r="E7328" s="122" t="n"/>
    </s:row>
    <s:row r="7329" hidden="1" ht="1" customHeight="1">
      <s:c r="A7329" s="120" t="inlineStr"/>
      <s:c r="B7329" s="121" t="n"/>
      <s:c r="C7329" s="121" t="n"/>
      <s:c r="D7329" s="121" t="n"/>
      <s:c r="E7329" s="122" t="n"/>
    </s:row>
    <s:row r="7330" hidden="1" ht="1" customHeight="1">
      <s:c r="A7330" s="120" t="inlineStr"/>
      <s:c r="B7330" s="121" t="n"/>
      <s:c r="C7330" s="121" t="n"/>
      <s:c r="D7330" s="121" t="n"/>
      <s:c r="E7330" s="122" t="n"/>
    </s:row>
    <s:row r="7331" hidden="1" ht="1" customHeight="1">
      <s:c r="A7331" s="120" t="inlineStr"/>
      <s:c r="B7331" s="121" t="n"/>
      <s:c r="C7331" s="121" t="n"/>
      <s:c r="D7331" s="121" t="n"/>
      <s:c r="E7331" s="122" t="n"/>
    </s:row>
    <s:row r="7332" hidden="1" ht="1" customHeight="1">
      <s:c r="A7332" s="120" t="inlineStr"/>
      <s:c r="B7332" s="121" t="n"/>
      <s:c r="C7332" s="121" t="n"/>
      <s:c r="D7332" s="121" t="n"/>
      <s:c r="E7332" s="122" t="n"/>
    </s:row>
    <s:row r="7333" hidden="1" ht="1" customHeight="1">
      <s:c r="A7333" s="120" t="inlineStr"/>
      <s:c r="B7333" s="121" t="n"/>
      <s:c r="C7333" s="121" t="n"/>
      <s:c r="D7333" s="121" t="n"/>
      <s:c r="E7333" s="122" t="n"/>
    </s:row>
    <s:row r="7334" hidden="1" ht="1" customHeight="1">
      <s:c r="A7334" s="120" t="inlineStr"/>
      <s:c r="B7334" s="121" t="n"/>
      <s:c r="C7334" s="121" t="n"/>
      <s:c r="D7334" s="121" t="n"/>
      <s:c r="E7334" s="122" t="n"/>
    </s:row>
    <s:row r="7335" hidden="1" ht="1" customHeight="1">
      <s:c r="A7335" s="120" t="inlineStr"/>
      <s:c r="B7335" s="121" t="n"/>
      <s:c r="C7335" s="121" t="n"/>
      <s:c r="D7335" s="121" t="n"/>
      <s:c r="E7335" s="122" t="n"/>
    </s:row>
    <s:row r="7336" hidden="1" ht="1" customHeight="1">
      <s:c r="A7336" s="120" t="inlineStr"/>
      <s:c r="B7336" s="121" t="n"/>
      <s:c r="C7336" s="121" t="n"/>
      <s:c r="D7336" s="121" t="n"/>
      <s:c r="E7336" s="122" t="n"/>
    </s:row>
    <s:row r="7337" hidden="1" ht="1" customHeight="1">
      <s:c r="A7337" s="120" t="inlineStr"/>
      <s:c r="B7337" s="121" t="n"/>
      <s:c r="C7337" s="121" t="n"/>
      <s:c r="D7337" s="121" t="n"/>
      <s:c r="E7337" s="122" t="n"/>
    </s:row>
    <s:row r="7338" hidden="1" ht="1" customHeight="1">
      <s:c r="A7338" s="120" t="inlineStr"/>
      <s:c r="B7338" s="121" t="n"/>
      <s:c r="C7338" s="121" t="n"/>
      <s:c r="D7338" s="121" t="n"/>
      <s:c r="E7338" s="122" t="n"/>
    </s:row>
    <s:row r="7339" hidden="1" ht="1" customHeight="1">
      <s:c r="A7339" s="120" t="inlineStr"/>
      <s:c r="B7339" s="121" t="n"/>
      <s:c r="C7339" s="121" t="n"/>
      <s:c r="D7339" s="121" t="n"/>
      <s:c r="E7339" s="122" t="n"/>
    </s:row>
    <s:row r="7340" hidden="1" ht="1" customHeight="1">
      <s:c r="A7340" s="120" t="inlineStr"/>
      <s:c r="B7340" s="121" t="n"/>
      <s:c r="C7340" s="121" t="n"/>
      <s:c r="D7340" s="121" t="n"/>
      <s:c r="E7340" s="122" t="n"/>
    </s:row>
    <s:row r="7341" hidden="1" ht="1" customHeight="1">
      <s:c r="A7341" s="120" t="inlineStr"/>
      <s:c r="B7341" s="121" t="n"/>
      <s:c r="C7341" s="121" t="n"/>
      <s:c r="D7341" s="121" t="n"/>
      <s:c r="E7341" s="122" t="n"/>
    </s:row>
    <s:row r="7342" hidden="1" ht="1" customHeight="1">
      <s:c r="A7342" s="120" t="inlineStr"/>
      <s:c r="B7342" s="121" t="n"/>
      <s:c r="C7342" s="121" t="n"/>
      <s:c r="D7342" s="121" t="n"/>
      <s:c r="E7342" s="122" t="n"/>
    </s:row>
    <s:row r="7343" hidden="1" ht="1" customHeight="1">
      <s:c r="A7343" s="120" t="inlineStr"/>
      <s:c r="B7343" s="121" t="n"/>
      <s:c r="C7343" s="121" t="n"/>
      <s:c r="D7343" s="121" t="n"/>
      <s:c r="E7343" s="122" t="n"/>
    </s:row>
    <s:row r="7344" hidden="1" ht="1" customHeight="1">
      <s:c r="A7344" s="120" t="inlineStr"/>
      <s:c r="B7344" s="121" t="n"/>
      <s:c r="C7344" s="121" t="n"/>
      <s:c r="D7344" s="121" t="n"/>
      <s:c r="E7344" s="122" t="n"/>
    </s:row>
    <s:row r="7345" hidden="1" ht="1" customHeight="1">
      <s:c r="A7345" s="120" t="inlineStr"/>
      <s:c r="B7345" s="121" t="n"/>
      <s:c r="C7345" s="121" t="n"/>
      <s:c r="D7345" s="121" t="n"/>
      <s:c r="E7345" s="122" t="n"/>
    </s:row>
    <s:row r="7346" hidden="1" ht="1" customHeight="1">
      <s:c r="A7346" s="120" t="inlineStr"/>
      <s:c r="B7346" s="121" t="n"/>
      <s:c r="C7346" s="121" t="n"/>
      <s:c r="D7346" s="121" t="n"/>
      <s:c r="E7346" s="122" t="n"/>
    </s:row>
    <s:row r="7347" hidden="1" ht="1" customHeight="1">
      <s:c r="A7347" s="120" t="inlineStr"/>
      <s:c r="B7347" s="121" t="n"/>
      <s:c r="C7347" s="121" t="n"/>
      <s:c r="D7347" s="121" t="n"/>
      <s:c r="E7347" s="122" t="n"/>
    </s:row>
    <s:row r="7348" hidden="1" ht="1" customHeight="1">
      <s:c r="A7348" s="120" t="inlineStr"/>
      <s:c r="B7348" s="121" t="n"/>
      <s:c r="C7348" s="121" t="n"/>
      <s:c r="D7348" s="121" t="n"/>
      <s:c r="E7348" s="122" t="n"/>
    </s:row>
    <s:row r="7349" hidden="1" ht="1" customHeight="1">
      <s:c r="A7349" s="120" t="inlineStr"/>
      <s:c r="B7349" s="121" t="n"/>
      <s:c r="C7349" s="121" t="n"/>
      <s:c r="D7349" s="121" t="n"/>
      <s:c r="E7349" s="122" t="n"/>
    </s:row>
    <s:row r="7350" hidden="1" ht="1" customHeight="1">
      <s:c r="A7350" s="120" t="inlineStr"/>
      <s:c r="B7350" s="121" t="n"/>
      <s:c r="C7350" s="121" t="n"/>
      <s:c r="D7350" s="121" t="n"/>
      <s:c r="E7350" s="122" t="n"/>
    </s:row>
    <s:row r="7351" hidden="1" ht="1" customHeight="1">
      <s:c r="A7351" s="120" t="inlineStr"/>
      <s:c r="B7351" s="121" t="n"/>
      <s:c r="C7351" s="121" t="n"/>
      <s:c r="D7351" s="121" t="n"/>
      <s:c r="E7351" s="122" t="n"/>
    </s:row>
    <s:row r="7352" hidden="1" ht="1" customHeight="1">
      <s:c r="A7352" s="120" t="inlineStr"/>
      <s:c r="B7352" s="121" t="n"/>
      <s:c r="C7352" s="121" t="n"/>
      <s:c r="D7352" s="121" t="n"/>
      <s:c r="E7352" s="122" t="n"/>
    </s:row>
    <s:row r="7353" hidden="1" ht="1" customHeight="1">
      <s:c r="A7353" s="120" t="inlineStr"/>
      <s:c r="B7353" s="121" t="n"/>
      <s:c r="C7353" s="121" t="n"/>
      <s:c r="D7353" s="121" t="n"/>
      <s:c r="E7353" s="122" t="n"/>
    </s:row>
    <s:row r="7354" hidden="1" ht="1" customHeight="1">
      <s:c r="A7354" s="120" t="inlineStr"/>
      <s:c r="B7354" s="121" t="n"/>
      <s:c r="C7354" s="121" t="n"/>
      <s:c r="D7354" s="121" t="n"/>
      <s:c r="E7354" s="122" t="n"/>
    </s:row>
    <s:row r="7355" hidden="1" ht="1" customHeight="1">
      <s:c r="A7355" s="120" t="inlineStr"/>
      <s:c r="B7355" s="121" t="n"/>
      <s:c r="C7355" s="121" t="n"/>
      <s:c r="D7355" s="121" t="n"/>
      <s:c r="E7355" s="122" t="n"/>
    </s:row>
    <s:row r="7356" hidden="1" ht="1" customHeight="1">
      <s:c r="A7356" s="120" t="inlineStr"/>
      <s:c r="B7356" s="121" t="n"/>
      <s:c r="C7356" s="121" t="n"/>
      <s:c r="D7356" s="121" t="n"/>
      <s:c r="E7356" s="122" t="n"/>
    </s:row>
    <s:row r="7357" hidden="1" ht="1" customHeight="1">
      <s:c r="A7357" s="120" t="inlineStr"/>
      <s:c r="B7357" s="121" t="n"/>
      <s:c r="C7357" s="121" t="n"/>
      <s:c r="D7357" s="121" t="n"/>
      <s:c r="E7357" s="122" t="n"/>
    </s:row>
    <s:row r="7358" hidden="1" ht="1" customHeight="1">
      <s:c r="A7358" s="120" t="inlineStr"/>
      <s:c r="B7358" s="121" t="n"/>
      <s:c r="C7358" s="121" t="n"/>
      <s:c r="D7358" s="121" t="n"/>
      <s:c r="E7358" s="122" t="n"/>
    </s:row>
    <s:row r="7359" hidden="1" ht="1" customHeight="1">
      <s:c r="A7359" s="120" t="inlineStr"/>
      <s:c r="B7359" s="121" t="n"/>
      <s:c r="C7359" s="121" t="n"/>
      <s:c r="D7359" s="121" t="n"/>
      <s:c r="E7359" s="122" t="n"/>
    </s:row>
    <s:row r="7360" hidden="1" ht="1" customHeight="1">
      <s:c r="A7360" s="120" t="inlineStr"/>
      <s:c r="B7360" s="121" t="n"/>
      <s:c r="C7360" s="121" t="n"/>
      <s:c r="D7360" s="121" t="n"/>
      <s:c r="E7360" s="122" t="n"/>
    </s:row>
    <s:row r="7361" hidden="1" ht="1" customHeight="1">
      <s:c r="A7361" s="120" t="inlineStr"/>
      <s:c r="B7361" s="121" t="n"/>
      <s:c r="C7361" s="121" t="n"/>
      <s:c r="D7361" s="121" t="n"/>
      <s:c r="E7361" s="122" t="n"/>
    </s:row>
    <s:row r="7362" hidden="1" ht="1" customHeight="1">
      <s:c r="A7362" s="120" t="inlineStr"/>
      <s:c r="B7362" s="121" t="n"/>
      <s:c r="C7362" s="121" t="n"/>
      <s:c r="D7362" s="121" t="n"/>
      <s:c r="E7362" s="122" t="n"/>
    </s:row>
    <s:row r="7363" hidden="1" ht="1" customHeight="1">
      <s:c r="A7363" s="120" t="inlineStr"/>
      <s:c r="B7363" s="121" t="n"/>
      <s:c r="C7363" s="121" t="n"/>
      <s:c r="D7363" s="121" t="n"/>
      <s:c r="E7363" s="122" t="n"/>
    </s:row>
    <s:row r="7364" hidden="1" ht="1" customHeight="1">
      <s:c r="A7364" s="120" t="inlineStr"/>
      <s:c r="B7364" s="121" t="n"/>
      <s:c r="C7364" s="121" t="n"/>
      <s:c r="D7364" s="121" t="n"/>
      <s:c r="E7364" s="122" t="n"/>
    </s:row>
    <s:row r="7365" hidden="1" ht="1" customHeight="1">
      <s:c r="A7365" s="120" t="inlineStr"/>
      <s:c r="B7365" s="121" t="n"/>
      <s:c r="C7365" s="121" t="n"/>
      <s:c r="D7365" s="121" t="n"/>
      <s:c r="E7365" s="122" t="n"/>
    </s:row>
    <s:row r="7366" hidden="1" ht="1" customHeight="1">
      <s:c r="A7366" s="120" t="inlineStr"/>
      <s:c r="B7366" s="121" t="n"/>
      <s:c r="C7366" s="121" t="n"/>
      <s:c r="D7366" s="121" t="n"/>
      <s:c r="E7366" s="122" t="n"/>
    </s:row>
    <s:row r="7367" hidden="1" ht="1" customHeight="1">
      <s:c r="A7367" s="120" t="inlineStr"/>
      <s:c r="B7367" s="121" t="n"/>
      <s:c r="C7367" s="121" t="n"/>
      <s:c r="D7367" s="121" t="n"/>
      <s:c r="E7367" s="122" t="n"/>
    </s:row>
    <s:row r="7368" hidden="1" ht="1" customHeight="1">
      <s:c r="A7368" s="120" t="inlineStr"/>
      <s:c r="B7368" s="121" t="n"/>
      <s:c r="C7368" s="121" t="n"/>
      <s:c r="D7368" s="121" t="n"/>
      <s:c r="E7368" s="122" t="n"/>
    </s:row>
    <s:row r="7369" hidden="1" ht="1" customHeight="1">
      <s:c r="A7369" s="120" t="inlineStr"/>
      <s:c r="B7369" s="121" t="n"/>
      <s:c r="C7369" s="121" t="n"/>
      <s:c r="D7369" s="121" t="n"/>
      <s:c r="E7369" s="122" t="n"/>
    </s:row>
    <s:row r="7370" hidden="1" ht="1" customHeight="1">
      <s:c r="A7370" s="120" t="inlineStr"/>
      <s:c r="B7370" s="121" t="n"/>
      <s:c r="C7370" s="121" t="n"/>
      <s:c r="D7370" s="121" t="n"/>
      <s:c r="E7370" s="122" t="n"/>
    </s:row>
    <s:row r="7371" hidden="1" ht="1" customHeight="1">
      <s:c r="A7371" s="120" t="inlineStr"/>
      <s:c r="B7371" s="121" t="n"/>
      <s:c r="C7371" s="121" t="n"/>
      <s:c r="D7371" s="121" t="n"/>
      <s:c r="E7371" s="122" t="n"/>
    </s:row>
    <s:row r="7372" hidden="1" ht="1" customHeight="1">
      <s:c r="A7372" s="120" t="inlineStr"/>
      <s:c r="B7372" s="121" t="n"/>
      <s:c r="C7372" s="121" t="n"/>
      <s:c r="D7372" s="121" t="n"/>
      <s:c r="E7372" s="122" t="n"/>
    </s:row>
    <s:row r="7373" hidden="1" ht="1" customHeight="1">
      <s:c r="A7373" s="120" t="inlineStr"/>
      <s:c r="B7373" s="121" t="n"/>
      <s:c r="C7373" s="121" t="n"/>
      <s:c r="D7373" s="121" t="n"/>
      <s:c r="E7373" s="122" t="n"/>
    </s:row>
    <s:row r="7374" hidden="1" ht="1" customHeight="1">
      <s:c r="A7374" s="120" t="inlineStr"/>
      <s:c r="B7374" s="121" t="n"/>
      <s:c r="C7374" s="121" t="n"/>
      <s:c r="D7374" s="121" t="n"/>
      <s:c r="E7374" s="122" t="n"/>
    </s:row>
    <s:row r="7375" hidden="1" ht="1" customHeight="1">
      <s:c r="A7375" s="120" t="inlineStr"/>
      <s:c r="B7375" s="121" t="n"/>
      <s:c r="C7375" s="121" t="n"/>
      <s:c r="D7375" s="121" t="n"/>
      <s:c r="E7375" s="122" t="n"/>
    </s:row>
    <s:row r="7376" hidden="1" ht="1" customHeight="1">
      <s:c r="A7376" s="120" t="inlineStr"/>
      <s:c r="B7376" s="121" t="n"/>
      <s:c r="C7376" s="121" t="n"/>
      <s:c r="D7376" s="121" t="n"/>
      <s:c r="E7376" s="122" t="n"/>
    </s:row>
    <s:row r="7377" hidden="1" ht="1" customHeight="1">
      <s:c r="A7377" s="120" t="inlineStr"/>
      <s:c r="B7377" s="121" t="n"/>
      <s:c r="C7377" s="121" t="n"/>
      <s:c r="D7377" s="121" t="n"/>
      <s:c r="E7377" s="122" t="n"/>
    </s:row>
    <s:row r="7378" hidden="1" ht="1" customHeight="1">
      <s:c r="A7378" s="120" t="inlineStr"/>
      <s:c r="B7378" s="121" t="n"/>
      <s:c r="C7378" s="121" t="n"/>
      <s:c r="D7378" s="121" t="n"/>
      <s:c r="E7378" s="122" t="n"/>
    </s:row>
    <s:row r="7379" hidden="1" ht="1" customHeight="1">
      <s:c r="A7379" s="120" t="inlineStr"/>
      <s:c r="B7379" s="121" t="n"/>
      <s:c r="C7379" s="121" t="n"/>
      <s:c r="D7379" s="121" t="n"/>
      <s:c r="E7379" s="122" t="n"/>
    </s:row>
    <s:row r="7380" hidden="1" ht="1" customHeight="1">
      <s:c r="A7380" s="120" t="inlineStr"/>
      <s:c r="B7380" s="121" t="n"/>
      <s:c r="C7380" s="121" t="n"/>
      <s:c r="D7380" s="121" t="n"/>
      <s:c r="E7380" s="122" t="n"/>
    </s:row>
    <s:row r="7381" hidden="1" ht="1" customHeight="1">
      <s:c r="A7381" s="120" t="inlineStr"/>
      <s:c r="B7381" s="121" t="n"/>
      <s:c r="C7381" s="121" t="n"/>
      <s:c r="D7381" s="121" t="n"/>
      <s:c r="E7381" s="122" t="n"/>
    </s:row>
    <s:row r="7382" hidden="1" ht="1" customHeight="1">
      <s:c r="A7382" s="120" t="inlineStr"/>
      <s:c r="B7382" s="121" t="n"/>
      <s:c r="C7382" s="121" t="n"/>
      <s:c r="D7382" s="121" t="n"/>
      <s:c r="E7382" s="122" t="n"/>
    </s:row>
    <s:row r="7383" hidden="1" ht="1" customHeight="1">
      <s:c r="A7383" s="120" t="inlineStr"/>
      <s:c r="B7383" s="121" t="n"/>
      <s:c r="C7383" s="121" t="n"/>
      <s:c r="D7383" s="121" t="n"/>
      <s:c r="E7383" s="122" t="n"/>
    </s:row>
    <s:row r="7384" hidden="1" ht="1" customHeight="1">
      <s:c r="A7384" s="120" t="inlineStr"/>
      <s:c r="B7384" s="121" t="n"/>
      <s:c r="C7384" s="121" t="n"/>
      <s:c r="D7384" s="121" t="n"/>
      <s:c r="E7384" s="122" t="n"/>
    </s:row>
    <s:row r="7385" hidden="1" ht="1" customHeight="1">
      <s:c r="A7385" s="120" t="inlineStr"/>
      <s:c r="B7385" s="121" t="n"/>
      <s:c r="C7385" s="121" t="n"/>
      <s:c r="D7385" s="121" t="n"/>
      <s:c r="E7385" s="122" t="n"/>
    </s:row>
    <s:row r="7386" hidden="1" ht="1" customHeight="1">
      <s:c r="A7386" s="120" t="inlineStr"/>
      <s:c r="B7386" s="121" t="n"/>
      <s:c r="C7386" s="121" t="n"/>
      <s:c r="D7386" s="121" t="n"/>
      <s:c r="E7386" s="122" t="n"/>
    </s:row>
    <s:row r="7387" hidden="1" ht="1" customHeight="1">
      <s:c r="A7387" s="120" t="inlineStr"/>
      <s:c r="B7387" s="121" t="n"/>
      <s:c r="C7387" s="121" t="n"/>
      <s:c r="D7387" s="121" t="n"/>
      <s:c r="E7387" s="122" t="n"/>
    </s:row>
    <s:row r="7388" hidden="1" ht="1" customHeight="1">
      <s:c r="A7388" s="120" t="inlineStr"/>
      <s:c r="B7388" s="121" t="n"/>
      <s:c r="C7388" s="121" t="n"/>
      <s:c r="D7388" s="121" t="n"/>
      <s:c r="E7388" s="122" t="n"/>
    </s:row>
    <s:row r="7389" hidden="1" ht="1" customHeight="1">
      <s:c r="A7389" s="120" t="inlineStr"/>
      <s:c r="B7389" s="121" t="n"/>
      <s:c r="C7389" s="121" t="n"/>
      <s:c r="D7389" s="121" t="n"/>
      <s:c r="E7389" s="122" t="n"/>
    </s:row>
    <s:row r="7390" hidden="1" ht="1" customHeight="1">
      <s:c r="A7390" s="120" t="inlineStr"/>
      <s:c r="B7390" s="121" t="n"/>
      <s:c r="C7390" s="121" t="n"/>
      <s:c r="D7390" s="121" t="n"/>
      <s:c r="E7390" s="122" t="n"/>
    </s:row>
    <s:row r="7391" hidden="1" ht="1" customHeight="1">
      <s:c r="A7391" s="120" t="inlineStr"/>
      <s:c r="B7391" s="121" t="n"/>
      <s:c r="C7391" s="121" t="n"/>
      <s:c r="D7391" s="121" t="n"/>
      <s:c r="E7391" s="122" t="n"/>
    </s:row>
    <s:row r="7392" hidden="1" ht="1" customHeight="1">
      <s:c r="A7392" s="120" t="inlineStr"/>
      <s:c r="B7392" s="121" t="n"/>
      <s:c r="C7392" s="121" t="n"/>
      <s:c r="D7392" s="121" t="n"/>
      <s:c r="E7392" s="122" t="n"/>
    </s:row>
    <s:row r="7393" hidden="1" ht="1" customHeight="1">
      <s:c r="A7393" s="120" t="inlineStr"/>
      <s:c r="B7393" s="121" t="n"/>
      <s:c r="C7393" s="121" t="n"/>
      <s:c r="D7393" s="121" t="n"/>
      <s:c r="E7393" s="122" t="n"/>
    </s:row>
    <s:row r="7394" hidden="1" ht="1" customHeight="1">
      <s:c r="A7394" s="120" t="inlineStr"/>
      <s:c r="B7394" s="121" t="n"/>
      <s:c r="C7394" s="121" t="n"/>
      <s:c r="D7394" s="121" t="n"/>
      <s:c r="E7394" s="122" t="n"/>
    </s:row>
    <s:row r="7395" hidden="1" ht="1" customHeight="1">
      <s:c r="A7395" s="120" t="inlineStr"/>
      <s:c r="B7395" s="121" t="n"/>
      <s:c r="C7395" s="121" t="n"/>
      <s:c r="D7395" s="121" t="n"/>
      <s:c r="E7395" s="122" t="n"/>
    </s:row>
    <s:row r="7396" hidden="1" ht="1" customHeight="1">
      <s:c r="A7396" s="120" t="inlineStr"/>
      <s:c r="B7396" s="121" t="n"/>
      <s:c r="C7396" s="121" t="n"/>
      <s:c r="D7396" s="121" t="n"/>
      <s:c r="E7396" s="122" t="n"/>
    </s:row>
    <s:row r="7397" hidden="1" ht="1" customHeight="1">
      <s:c r="A7397" s="120" t="inlineStr"/>
      <s:c r="B7397" s="121" t="n"/>
      <s:c r="C7397" s="121" t="n"/>
      <s:c r="D7397" s="121" t="n"/>
      <s:c r="E7397" s="122" t="n"/>
    </s:row>
    <s:row r="7398" hidden="1" ht="1" customHeight="1">
      <s:c r="A7398" s="120" t="inlineStr"/>
      <s:c r="B7398" s="121" t="n"/>
      <s:c r="C7398" s="121" t="n"/>
      <s:c r="D7398" s="121" t="n"/>
      <s:c r="E7398" s="122" t="n"/>
    </s:row>
    <s:row r="7399" hidden="1" ht="1" customHeight="1">
      <s:c r="A7399" s="120" t="inlineStr"/>
      <s:c r="B7399" s="121" t="n"/>
      <s:c r="C7399" s="121" t="n"/>
      <s:c r="D7399" s="121" t="n"/>
      <s:c r="E7399" s="122" t="n"/>
    </s:row>
    <s:row r="7400" hidden="1" ht="1" customHeight="1">
      <s:c r="A7400" s="120" t="inlineStr"/>
      <s:c r="B7400" s="121" t="n"/>
      <s:c r="C7400" s="121" t="n"/>
      <s:c r="D7400" s="121" t="n"/>
      <s:c r="E7400" s="122" t="n"/>
    </s:row>
    <s:row r="7401" hidden="1" ht="1" customHeight="1">
      <s:c r="A7401" s="120" t="inlineStr"/>
      <s:c r="B7401" s="121" t="n"/>
      <s:c r="C7401" s="121" t="n"/>
      <s:c r="D7401" s="121" t="n"/>
      <s:c r="E7401" s="122" t="n"/>
    </s:row>
    <s:row r="7402" hidden="1" ht="1" customHeight="1">
      <s:c r="A7402" s="120" t="inlineStr"/>
      <s:c r="B7402" s="121" t="n"/>
      <s:c r="C7402" s="121" t="n"/>
      <s:c r="D7402" s="121" t="n"/>
      <s:c r="E7402" s="122" t="n"/>
    </s:row>
    <s:row r="7403" hidden="1" ht="1" customHeight="1">
      <s:c r="A7403" s="120" t="inlineStr"/>
      <s:c r="B7403" s="121" t="n"/>
      <s:c r="C7403" s="121" t="n"/>
      <s:c r="D7403" s="121" t="n"/>
      <s:c r="E7403" s="122" t="n"/>
    </s:row>
    <s:row r="7404" hidden="1" ht="1" customHeight="1">
      <s:c r="A7404" s="120" t="inlineStr"/>
      <s:c r="B7404" s="121" t="n"/>
      <s:c r="C7404" s="121" t="n"/>
      <s:c r="D7404" s="121" t="n"/>
      <s:c r="E7404" s="122" t="n"/>
    </s:row>
    <s:row r="7405" hidden="1" ht="1" customHeight="1">
      <s:c r="A7405" s="120" t="inlineStr"/>
      <s:c r="B7405" s="121" t="n"/>
      <s:c r="C7405" s="121" t="n"/>
      <s:c r="D7405" s="121" t="n"/>
      <s:c r="E7405" s="122" t="n"/>
    </s:row>
    <s:row r="7406" hidden="1" ht="1" customHeight="1">
      <s:c r="A7406" s="120" t="inlineStr"/>
      <s:c r="B7406" s="121" t="n"/>
      <s:c r="C7406" s="121" t="n"/>
      <s:c r="D7406" s="121" t="n"/>
      <s:c r="E7406" s="122" t="n"/>
    </s:row>
    <s:row r="7407" hidden="1" ht="1" customHeight="1">
      <s:c r="A7407" s="120" t="inlineStr"/>
      <s:c r="B7407" s="121" t="n"/>
      <s:c r="C7407" s="121" t="n"/>
      <s:c r="D7407" s="121" t="n"/>
      <s:c r="E7407" s="122" t="n"/>
    </s:row>
    <s:row r="7408" hidden="1" ht="1" customHeight="1">
      <s:c r="A7408" s="120" t="inlineStr"/>
      <s:c r="B7408" s="121" t="n"/>
      <s:c r="C7408" s="121" t="n"/>
      <s:c r="D7408" s="121" t="n"/>
      <s:c r="E7408" s="122" t="n"/>
    </s:row>
    <s:row r="7409" hidden="1" ht="1" customHeight="1">
      <s:c r="A7409" s="120" t="inlineStr"/>
      <s:c r="B7409" s="121" t="n"/>
      <s:c r="C7409" s="121" t="n"/>
      <s:c r="D7409" s="121" t="n"/>
      <s:c r="E7409" s="122" t="n"/>
    </s:row>
    <s:row r="7410" hidden="1" ht="1" customHeight="1">
      <s:c r="A7410" s="120" t="inlineStr"/>
      <s:c r="B7410" s="121" t="n"/>
      <s:c r="C7410" s="121" t="n"/>
      <s:c r="D7410" s="121" t="n"/>
      <s:c r="E7410" s="122" t="n"/>
    </s:row>
    <s:row r="7411" hidden="1" ht="1" customHeight="1">
      <s:c r="A7411" s="120" t="inlineStr"/>
      <s:c r="B7411" s="121" t="n"/>
      <s:c r="C7411" s="121" t="n"/>
      <s:c r="D7411" s="121" t="n"/>
      <s:c r="E7411" s="122" t="n"/>
    </s:row>
    <s:row r="7412" hidden="1" ht="1" customHeight="1">
      <s:c r="A7412" s="120" t="inlineStr"/>
      <s:c r="B7412" s="121" t="n"/>
      <s:c r="C7412" s="121" t="n"/>
      <s:c r="D7412" s="121" t="n"/>
      <s:c r="E7412" s="122" t="n"/>
    </s:row>
    <s:row r="7413" hidden="1" ht="1" customHeight="1">
      <s:c r="A7413" s="120" t="inlineStr"/>
      <s:c r="B7413" s="121" t="n"/>
      <s:c r="C7413" s="121" t="n"/>
      <s:c r="D7413" s="121" t="n"/>
      <s:c r="E7413" s="122" t="n"/>
    </s:row>
    <s:row r="7414" hidden="1" ht="1" customHeight="1">
      <s:c r="A7414" s="120" t="inlineStr"/>
      <s:c r="B7414" s="121" t="n"/>
      <s:c r="C7414" s="121" t="n"/>
      <s:c r="D7414" s="121" t="n"/>
      <s:c r="E7414" s="122" t="n"/>
    </s:row>
    <s:row r="7415" hidden="1" ht="1" customHeight="1">
      <s:c r="A7415" s="120" t="inlineStr"/>
      <s:c r="B7415" s="121" t="n"/>
      <s:c r="C7415" s="121" t="n"/>
      <s:c r="D7415" s="121" t="n"/>
      <s:c r="E7415" s="122" t="n"/>
    </s:row>
    <s:row r="7416" hidden="1" ht="1" customHeight="1">
      <s:c r="A7416" s="120" t="inlineStr"/>
      <s:c r="B7416" s="121" t="n"/>
      <s:c r="C7416" s="121" t="n"/>
      <s:c r="D7416" s="121" t="n"/>
      <s:c r="E7416" s="122" t="n"/>
    </s:row>
    <s:row r="7417" hidden="1" ht="1" customHeight="1">
      <s:c r="A7417" s="120" t="inlineStr"/>
      <s:c r="B7417" s="121" t="n"/>
      <s:c r="C7417" s="121" t="n"/>
      <s:c r="D7417" s="121" t="n"/>
      <s:c r="E7417" s="122" t="n"/>
    </s:row>
    <s:row r="7418" hidden="1" ht="1" customHeight="1">
      <s:c r="A7418" s="120" t="inlineStr"/>
      <s:c r="B7418" s="121" t="n"/>
      <s:c r="C7418" s="121" t="n"/>
      <s:c r="D7418" s="121" t="n"/>
      <s:c r="E7418" s="122" t="n"/>
    </s:row>
    <s:row r="7419" hidden="1" ht="1" customHeight="1">
      <s:c r="A7419" s="120" t="inlineStr"/>
      <s:c r="B7419" s="121" t="n"/>
      <s:c r="C7419" s="121" t="n"/>
      <s:c r="D7419" s="121" t="n"/>
      <s:c r="E7419" s="122" t="n"/>
    </s:row>
    <s:row r="7420" hidden="1" ht="1" customHeight="1">
      <s:c r="A7420" s="120" t="inlineStr"/>
      <s:c r="B7420" s="121" t="n"/>
      <s:c r="C7420" s="121" t="n"/>
      <s:c r="D7420" s="121" t="n"/>
      <s:c r="E7420" s="122" t="n"/>
    </s:row>
    <s:row r="7421" hidden="1" ht="1" customHeight="1">
      <s:c r="A7421" s="120" t="inlineStr"/>
      <s:c r="B7421" s="121" t="n"/>
      <s:c r="C7421" s="121" t="n"/>
      <s:c r="D7421" s="121" t="n"/>
      <s:c r="E7421" s="122" t="n"/>
    </s:row>
    <s:row r="7422" hidden="1" ht="1" customHeight="1">
      <s:c r="A7422" s="120" t="inlineStr"/>
      <s:c r="B7422" s="121" t="n"/>
      <s:c r="C7422" s="121" t="n"/>
      <s:c r="D7422" s="121" t="n"/>
      <s:c r="E7422" s="122" t="n"/>
    </s:row>
    <s:row r="7423" hidden="1" ht="1" customHeight="1">
      <s:c r="A7423" s="120" t="inlineStr"/>
      <s:c r="B7423" s="121" t="n"/>
      <s:c r="C7423" s="121" t="n"/>
      <s:c r="D7423" s="121" t="n"/>
      <s:c r="E7423" s="122" t="n"/>
    </s:row>
    <s:row r="7424" hidden="1" ht="1" customHeight="1">
      <s:c r="A7424" s="120" t="inlineStr"/>
      <s:c r="B7424" s="121" t="n"/>
      <s:c r="C7424" s="121" t="n"/>
      <s:c r="D7424" s="121" t="n"/>
      <s:c r="E7424" s="122" t="n"/>
    </s:row>
    <s:row r="7425" hidden="1" ht="1" customHeight="1">
      <s:c r="A7425" s="120" t="inlineStr"/>
      <s:c r="B7425" s="121" t="n"/>
      <s:c r="C7425" s="121" t="n"/>
      <s:c r="D7425" s="121" t="n"/>
      <s:c r="E7425" s="122" t="n"/>
    </s:row>
    <s:row r="7426" hidden="1" ht="1" customHeight="1">
      <s:c r="A7426" s="120" t="inlineStr"/>
      <s:c r="B7426" s="121" t="n"/>
      <s:c r="C7426" s="121" t="n"/>
      <s:c r="D7426" s="121" t="n"/>
      <s:c r="E7426" s="122" t="n"/>
    </s:row>
    <s:row r="7427" hidden="1" ht="1" customHeight="1">
      <s:c r="A7427" s="120" t="inlineStr"/>
      <s:c r="B7427" s="121" t="n"/>
      <s:c r="C7427" s="121" t="n"/>
      <s:c r="D7427" s="121" t="n"/>
      <s:c r="E7427" s="122" t="n"/>
    </s:row>
    <s:row r="7428" hidden="1" ht="1" customHeight="1">
      <s:c r="A7428" s="120" t="inlineStr"/>
      <s:c r="B7428" s="121" t="n"/>
      <s:c r="C7428" s="121" t="n"/>
      <s:c r="D7428" s="121" t="n"/>
      <s:c r="E7428" s="122" t="n"/>
    </s:row>
    <s:row r="7429" hidden="1" ht="1" customHeight="1">
      <s:c r="A7429" s="120" t="inlineStr"/>
      <s:c r="B7429" s="121" t="n"/>
      <s:c r="C7429" s="121" t="n"/>
      <s:c r="D7429" s="121" t="n"/>
      <s:c r="E7429" s="122" t="n"/>
    </s:row>
    <s:row r="7430" hidden="1" ht="1" customHeight="1">
      <s:c r="A7430" s="120" t="inlineStr"/>
      <s:c r="B7430" s="121" t="n"/>
      <s:c r="C7430" s="121" t="n"/>
      <s:c r="D7430" s="121" t="n"/>
      <s:c r="E7430" s="122" t="n"/>
    </s:row>
    <s:row r="7431" hidden="1" ht="1" customHeight="1">
      <s:c r="A7431" s="120" t="inlineStr"/>
      <s:c r="B7431" s="121" t="n"/>
      <s:c r="C7431" s="121" t="n"/>
      <s:c r="D7431" s="121" t="n"/>
      <s:c r="E7431" s="122" t="n"/>
    </s:row>
    <s:row r="7432" hidden="1" ht="1" customHeight="1">
      <s:c r="A7432" s="120" t="inlineStr"/>
      <s:c r="B7432" s="121" t="n"/>
      <s:c r="C7432" s="121" t="n"/>
      <s:c r="D7432" s="121" t="n"/>
      <s:c r="E7432" s="122" t="n"/>
    </s:row>
    <s:row r="7433" hidden="1" ht="1" customHeight="1">
      <s:c r="A7433" s="120" t="inlineStr"/>
      <s:c r="B7433" s="121" t="n"/>
      <s:c r="C7433" s="121" t="n"/>
      <s:c r="D7433" s="121" t="n"/>
      <s:c r="E7433" s="122" t="n"/>
    </s:row>
    <s:row r="7434" hidden="1" ht="1" customHeight="1">
      <s:c r="A7434" s="120" t="inlineStr"/>
      <s:c r="B7434" s="121" t="n"/>
      <s:c r="C7434" s="121" t="n"/>
      <s:c r="D7434" s="121" t="n"/>
      <s:c r="E7434" s="122" t="n"/>
    </s:row>
    <s:row r="7435" hidden="1" ht="1" customHeight="1">
      <s:c r="A7435" s="120" t="inlineStr"/>
      <s:c r="B7435" s="121" t="n"/>
      <s:c r="C7435" s="121" t="n"/>
      <s:c r="D7435" s="121" t="n"/>
      <s:c r="E7435" s="122" t="n"/>
    </s:row>
    <s:row r="7436" hidden="1" ht="1" customHeight="1">
      <s:c r="A7436" s="120" t="inlineStr"/>
      <s:c r="B7436" s="121" t="n"/>
      <s:c r="C7436" s="121" t="n"/>
      <s:c r="D7436" s="121" t="n"/>
      <s:c r="E7436" s="122" t="n"/>
    </s:row>
    <s:row r="7437" hidden="1" ht="1" customHeight="1">
      <s:c r="A7437" s="120" t="inlineStr"/>
      <s:c r="B7437" s="121" t="n"/>
      <s:c r="C7437" s="121" t="n"/>
      <s:c r="D7437" s="121" t="n"/>
      <s:c r="E7437" s="122" t="n"/>
    </s:row>
    <s:row r="7438" hidden="1" ht="1" customHeight="1">
      <s:c r="A7438" s="120" t="inlineStr"/>
      <s:c r="B7438" s="121" t="n"/>
      <s:c r="C7438" s="121" t="n"/>
      <s:c r="D7438" s="121" t="n"/>
      <s:c r="E7438" s="122" t="n"/>
    </s:row>
    <s:row r="7439" hidden="1" ht="1" customHeight="1">
      <s:c r="A7439" s="120" t="inlineStr"/>
      <s:c r="B7439" s="121" t="n"/>
      <s:c r="C7439" s="121" t="n"/>
      <s:c r="D7439" s="121" t="n"/>
      <s:c r="E7439" s="122" t="n"/>
    </s:row>
    <s:row r="7440" hidden="1" ht="1" customHeight="1">
      <s:c r="A7440" s="120" t="inlineStr"/>
      <s:c r="B7440" s="121" t="n"/>
      <s:c r="C7440" s="121" t="n"/>
      <s:c r="D7440" s="121" t="n"/>
      <s:c r="E7440" s="122" t="n"/>
    </s:row>
    <s:row r="7441" hidden="1" ht="1" customHeight="1">
      <s:c r="A7441" s="120" t="inlineStr"/>
      <s:c r="B7441" s="121" t="n"/>
      <s:c r="C7441" s="121" t="n"/>
      <s:c r="D7441" s="121" t="n"/>
      <s:c r="E7441" s="122" t="n"/>
    </s:row>
    <s:row r="7442" hidden="1" ht="1" customHeight="1">
      <s:c r="A7442" s="120" t="inlineStr"/>
      <s:c r="B7442" s="121" t="n"/>
      <s:c r="C7442" s="121" t="n"/>
      <s:c r="D7442" s="121" t="n"/>
      <s:c r="E7442" s="122" t="n"/>
    </s:row>
    <s:row r="7443" hidden="1" ht="1" customHeight="1">
      <s:c r="A7443" s="120" t="inlineStr"/>
      <s:c r="B7443" s="121" t="n"/>
      <s:c r="C7443" s="121" t="n"/>
      <s:c r="D7443" s="121" t="n"/>
      <s:c r="E7443" s="122" t="n"/>
    </s:row>
    <s:row r="7444" hidden="1" ht="1" customHeight="1">
      <s:c r="A7444" s="120" t="inlineStr"/>
      <s:c r="B7444" s="121" t="n"/>
      <s:c r="C7444" s="121" t="n"/>
      <s:c r="D7444" s="121" t="n"/>
      <s:c r="E7444" s="122" t="n"/>
    </s:row>
    <s:row r="7445" hidden="1" ht="1" customHeight="1">
      <s:c r="A7445" s="120" t="inlineStr"/>
      <s:c r="B7445" s="121" t="n"/>
      <s:c r="C7445" s="121" t="n"/>
      <s:c r="D7445" s="121" t="n"/>
      <s:c r="E7445" s="122" t="n"/>
    </s:row>
    <s:row r="7446" hidden="1" ht="1" customHeight="1">
      <s:c r="A7446" s="120" t="inlineStr"/>
      <s:c r="B7446" s="121" t="n"/>
      <s:c r="C7446" s="121" t="n"/>
      <s:c r="D7446" s="121" t="n"/>
      <s:c r="E7446" s="122" t="n"/>
    </s:row>
    <s:row r="7447" hidden="1" ht="1" customHeight="1">
      <s:c r="A7447" s="120" t="inlineStr"/>
      <s:c r="B7447" s="121" t="n"/>
      <s:c r="C7447" s="121" t="n"/>
      <s:c r="D7447" s="121" t="n"/>
      <s:c r="E7447" s="122" t="n"/>
    </s:row>
    <s:row r="7448" hidden="1" ht="1" customHeight="1">
      <s:c r="A7448" s="120" t="inlineStr"/>
      <s:c r="B7448" s="121" t="n"/>
      <s:c r="C7448" s="121" t="n"/>
      <s:c r="D7448" s="121" t="n"/>
      <s:c r="E7448" s="122" t="n"/>
    </s:row>
    <s:row r="7449" hidden="1" ht="1" customHeight="1">
      <s:c r="A7449" s="120" t="inlineStr"/>
      <s:c r="B7449" s="121" t="n"/>
      <s:c r="C7449" s="121" t="n"/>
      <s:c r="D7449" s="121" t="n"/>
      <s:c r="E7449" s="122" t="n"/>
    </s:row>
    <s:row r="7450" hidden="1" ht="1" customHeight="1">
      <s:c r="A7450" s="120" t="inlineStr"/>
      <s:c r="B7450" s="121" t="n"/>
      <s:c r="C7450" s="121" t="n"/>
      <s:c r="D7450" s="121" t="n"/>
      <s:c r="E7450" s="122" t="n"/>
    </s:row>
    <s:row r="7451" hidden="1" ht="1" customHeight="1">
      <s:c r="A7451" s="120" t="inlineStr"/>
      <s:c r="B7451" s="121" t="n"/>
      <s:c r="C7451" s="121" t="n"/>
      <s:c r="D7451" s="121" t="n"/>
      <s:c r="E7451" s="122" t="n"/>
    </s:row>
    <s:row r="7452" hidden="1" ht="1" customHeight="1">
      <s:c r="A7452" s="120" t="inlineStr"/>
      <s:c r="B7452" s="121" t="n"/>
      <s:c r="C7452" s="121" t="n"/>
      <s:c r="D7452" s="121" t="n"/>
      <s:c r="E7452" s="122" t="n"/>
    </s:row>
    <s:row r="7453" hidden="1" ht="1" customHeight="1">
      <s:c r="A7453" s="120" t="inlineStr"/>
      <s:c r="B7453" s="121" t="n"/>
      <s:c r="C7453" s="121" t="n"/>
      <s:c r="D7453" s="121" t="n"/>
      <s:c r="E7453" s="122" t="n"/>
    </s:row>
    <s:row r="7454" hidden="1" ht="1" customHeight="1">
      <s:c r="A7454" s="120" t="inlineStr"/>
      <s:c r="B7454" s="121" t="n"/>
      <s:c r="C7454" s="121" t="n"/>
      <s:c r="D7454" s="121" t="n"/>
      <s:c r="E7454" s="122" t="n"/>
    </s:row>
    <s:row r="7455" hidden="1" ht="1" customHeight="1">
      <s:c r="A7455" s="120" t="inlineStr"/>
      <s:c r="B7455" s="121" t="n"/>
      <s:c r="C7455" s="121" t="n"/>
      <s:c r="D7455" s="121" t="n"/>
      <s:c r="E7455" s="122" t="n"/>
    </s:row>
    <s:row r="7456" hidden="1" ht="1" customHeight="1">
      <s:c r="A7456" s="120" t="inlineStr"/>
      <s:c r="B7456" s="121" t="n"/>
      <s:c r="C7456" s="121" t="n"/>
      <s:c r="D7456" s="121" t="n"/>
      <s:c r="E7456" s="122" t="n"/>
    </s:row>
    <s:row r="7457" hidden="1" ht="1" customHeight="1">
      <s:c r="A7457" s="120" t="inlineStr"/>
      <s:c r="B7457" s="121" t="n"/>
      <s:c r="C7457" s="121" t="n"/>
      <s:c r="D7457" s="121" t="n"/>
      <s:c r="E7457" s="122" t="n"/>
    </s:row>
    <s:row r="7458" hidden="1" ht="1" customHeight="1">
      <s:c r="A7458" s="120" t="inlineStr"/>
      <s:c r="B7458" s="121" t="n"/>
      <s:c r="C7458" s="121" t="n"/>
      <s:c r="D7458" s="121" t="n"/>
      <s:c r="E7458" s="122" t="n"/>
    </s:row>
    <s:row r="7459" hidden="1" ht="1" customHeight="1">
      <s:c r="A7459" s="120" t="inlineStr"/>
      <s:c r="B7459" s="121" t="n"/>
      <s:c r="C7459" s="121" t="n"/>
      <s:c r="D7459" s="121" t="n"/>
      <s:c r="E7459" s="122" t="n"/>
    </s:row>
    <s:row r="7460" hidden="1" ht="1" customHeight="1">
      <s:c r="A7460" s="120" t="inlineStr"/>
      <s:c r="B7460" s="121" t="n"/>
      <s:c r="C7460" s="121" t="n"/>
      <s:c r="D7460" s="121" t="n"/>
      <s:c r="E7460" s="122" t="n"/>
    </s:row>
    <s:row r="7461" hidden="1" ht="1" customHeight="1">
      <s:c r="A7461" s="120" t="inlineStr"/>
      <s:c r="B7461" s="121" t="n"/>
      <s:c r="C7461" s="121" t="n"/>
      <s:c r="D7461" s="121" t="n"/>
      <s:c r="E7461" s="122" t="n"/>
    </s:row>
    <s:row r="7462" hidden="1" ht="1" customHeight="1">
      <s:c r="A7462" s="120" t="inlineStr"/>
      <s:c r="B7462" s="121" t="n"/>
      <s:c r="C7462" s="121" t="n"/>
      <s:c r="D7462" s="121" t="n"/>
      <s:c r="E7462" s="122" t="n"/>
    </s:row>
    <s:row r="7463" hidden="1" ht="1" customHeight="1">
      <s:c r="A7463" s="120" t="inlineStr"/>
      <s:c r="B7463" s="121" t="n"/>
      <s:c r="C7463" s="121" t="n"/>
      <s:c r="D7463" s="121" t="n"/>
      <s:c r="E7463" s="122" t="n"/>
    </s:row>
    <s:row r="7464" hidden="1" ht="1" customHeight="1">
      <s:c r="A7464" s="120" t="inlineStr"/>
      <s:c r="B7464" s="121" t="n"/>
      <s:c r="C7464" s="121" t="n"/>
      <s:c r="D7464" s="121" t="n"/>
      <s:c r="E7464" s="122" t="n"/>
    </s:row>
    <s:row r="7465" hidden="1" ht="1" customHeight="1">
      <s:c r="A7465" s="120" t="inlineStr"/>
      <s:c r="B7465" s="121" t="n"/>
      <s:c r="C7465" s="121" t="n"/>
      <s:c r="D7465" s="121" t="n"/>
      <s:c r="E7465" s="122" t="n"/>
    </s:row>
    <s:row r="7466" hidden="1" ht="1" customHeight="1">
      <s:c r="A7466" s="83" t="inlineStr">
        <s:is>
          <s:t>PASS</s:t>
        </s:is>
      </s:c>
      <s:c r="B7466" s="83">
        <s:f>SUM(IF(EXACT('Kiểm thử'!E7316,"Đạt"),1,0),IF(EXACT('Kiểm thử'!E7318,"Đạt"),1,0),IF(EXACT('Kiểm thử'!E7320,"Đạt"),1,0))</s:f>
        <s:v/>
      </s:c>
      <s:c r="C7466" s="19" t="n"/>
      <s:c r="D7466" s="19" t="n"/>
      <s:c r="E7466" s="19" t="n"/>
    </s:row>
    <s:row r="7467" hidden="1" ht="1" customHeight="1">
      <s:c r="A7467" s="83" t="inlineStr">
        <s:is>
          <s:t>FAIL</s:t>
        </s:is>
      </s:c>
      <s:c r="B7467" s="83">
        <s:f>SUM(IF(EXACT('Kiểm thử'!E7316,"Không đạt"),1,0),IF(EXACT('Kiểm thử'!E7318,"Không đạt"),1,0),IF(EXACT('Kiểm thử'!E7320,"Không đạt"),1,0))</s:f>
        <s:v/>
      </s:c>
      <s:c r="C7467" s="19" t="n"/>
      <s:c r="D7467" s="19" t="n"/>
      <s:c r="E7467" s="19" t="n"/>
    </s:row>
    <s:row r="7468" hidden="1" ht="1" customHeight="1">
      <s:c r="A7468" s="83" t="inlineStr">
        <s:is>
          <s:t>BLOCKED</s:t>
        </s:is>
      </s:c>
      <s:c r="B7468" s="83">
        <s:f>SUM(IF(EXACT('Kiểm thử'!E7316,"Bị chặn"),1,0),IF(EXACT('Kiểm thử'!E7318,"Bị chặn"),1,0),IF(EXACT('Kiểm thử'!E7320,"Bị chặn"),1,0))</s:f>
        <s:v/>
      </s:c>
      <s:c r="C7468" s="19" t="n"/>
      <s:c r="D7468" s="19" t="n"/>
      <s:c r="E7468" s="19" t="n"/>
    </s:row>
    <s:row r="7469" hidden="1" ht="1" customHeight="1">
      <s:c r="A7469" s="83" t="inlineStr">
        <s:is>
          <s:t>SKIPPED</s:t>
        </s:is>
      </s:c>
      <s:c r="B7469" s="83">
        <s:f>SUM(IF(EXACT('Kiểm thử'!E7316,"Không thực hiện"),1,0),IF(EXACT('Kiểm thử'!E7318,"Không thực hiện"),1,0),IF(EXACT('Kiểm thử'!E7320,"Không thực hiện"),1,0))</s:f>
        <s:v/>
      </s:c>
      <s:c r="C7469" s="19" t="n"/>
      <s:c r="D7469" s="19" t="n"/>
      <s:c r="E7469" s="19" t="n"/>
    </s:row>
    <s:row r="7470" hidden="1" ht="1" customHeight="1">
      <s:c r="A7470" s="83" t="inlineStr">
        <s:is>
          <s:t>NOT RUN</s:t>
        </s:is>
      </s:c>
      <s:c r="B7470" s="83">
        <s:f>SUM(IF(EXACT('Kiểm thử'!E7316,"Chưa thực hiện"),1,0),IF(EXACT('Kiểm thử'!E7318,"Chưa thực hiện"),1,0),IF(EXACT('Kiểm thử'!E7320,"Chưa thực hiện"),1,0))</s:f>
        <s:v/>
      </s:c>
      <s:c r="C7470" s="19" t="n"/>
      <s:c r="D7470" s="19" t="n"/>
      <s:c r="E7470" s="19" t="n"/>
    </s:row>
    <s:row r="7471" hidden="1" ht="6" customHeight="1">
      <s:c r="A7471" s="83" t="inlineStr"/>
      <s:c r="B7471" s="19" t="n"/>
      <s:c r="C7471" s="19" t="n"/>
      <s:c r="D7471" s="19" t="n"/>
      <s:c r="E7471" s="19" t="n"/>
    </s:row>
    <s:row r="7472" ht="28" customHeight="1">
      <s:c r="A7472" s="108" t="inlineStr">
        <s:is>
          <s:t>TC-RS-VAL-019 — Cảnh báo ngưỡng biên không chặn lưu</s:t>
        </s:is>
      </s:c>
      <s:c r="B7472" s="111" t="n"/>
      <s:c r="C7472" s="111" t="n"/>
      <s:c r="D7472" s="111" t="n"/>
      <s:c r="E7472" s="111" t="n"/>
    </s:row>
    <s:row r="7473" ht="20" customHeight="1">
      <s:c r="A7473" s="112" t="inlineStr">
        <s:is>
          <s:t>Kết quả tình huống</s:t>
        </s:is>
      </s:c>
      <s:c r="B7473" s="113">
        <s:f>IF(SUM(IF(EXACT('Kiểm thử'!E7480,"Không đạt"),1,0),IF(EXACT('Kiểm thử'!E7482,"Không đạt"),1,0),IF(EXACT('Kiểm thử'!E7484,"Không đạt"),1,0),IF(EXACT('Kiểm thử'!E7486,"Không đạt"),1,0),IF(EXACT('Kiểm thử'!E7488,"Không đạt"),1,0),IF(EXACT('Kiểm thử'!E7490,"Không đạt"),1,0),IF(EXACT('Kiểm thử'!E7492,"Không đạt"),1,0))&gt;0,"Không đạt",IF(SUM(IF(EXACT('Kiểm thử'!E7480,"Đạt"),1,0),IF(EXACT('Kiểm thử'!E7482,"Đạt"),1,0),IF(EXACT('Kiểm thử'!E7484,"Đạt"),1,0),IF(EXACT('Kiểm thử'!E7486,"Đạt"),1,0),IF(EXACT('Kiểm thử'!E7488,"Đạt"),1,0),IF(EXACT('Kiểm thử'!E7490,"Đạt"),1,0),IF(EXACT('Kiểm thử'!E7492,"Đạt"),1,0))=7,"Đạt",IF(SUM(IF(EXACT('Kiểm thử'!E7480,"Không thực hiện"),1,0),IF(EXACT('Kiểm thử'!E7482,"Không thực hiện"),1,0),IF(EXACT('Kiểm thử'!E7484,"Không thực hiện"),1,0),IF(EXACT('Kiểm thử'!E7486,"Không thực hiện"),1,0),IF(EXACT('Kiểm thử'!E7488,"Không thực hiện"),1,0),IF(EXACT('Kiểm thử'!E7490,"Không thực hiện"),1,0),IF(EXACT('Kiểm thử'!E7492,"Không thực hiện"),1,0))=7,"Không thực hiện",IF(SUM(IF(EXACT('Kiểm thử'!E7480,"Bị chặn"),1,0),IF(EXACT('Kiểm thử'!E7482,"Bị chặn"),1,0),IF(EXACT('Kiểm thử'!E7484,"Bị chặn"),1,0),IF(EXACT('Kiểm thử'!E7486,"Bị chặn"),1,0),IF(EXACT('Kiểm thử'!E7488,"Bị chặn"),1,0),IF(EXACT('Kiểm thử'!E7490,"Bị chặn"),1,0),IF(EXACT('Kiểm thử'!E7492,"Bị chặn"),1,0))&gt;0,"Bị chặn",IF(SUM(IF(EXACT('Kiểm thử'!E7480,"Chưa thực hiện"),1,0),IF(EXACT('Kiểm thử'!E7482,"Chưa thực hiện"),1,0),IF(EXACT('Kiểm thử'!E7484,"Chưa thực hiện"),1,0),IF(EXACT('Kiểm thử'!E7486,"Chưa thực hiện"),1,0),IF(EXACT('Kiểm thử'!E7488,"Chưa thực hiện"),1,0),IF(EXACT('Kiểm thử'!E7490,"Chưa thực hiện"),1,0),IF(EXACT('Kiểm thử'!E7492,"Chưa thực hiện"),1,0))=7,"Chưa thực hiện","Đang thực hiện")))))</s:f>
        <s:v/>
      </s:c>
      <s:c r="C7473" s="114" t="n"/>
      <s:c r="D7473" s="114" t="n"/>
      <s:c r="E7473" s="114" t="n"/>
    </s:row>
    <s:row r="7474" ht="20" customHeight="1">
      <s:c r="A7474" s="112" t="inlineStr">
        <s:is>
          <s:t>Màn hình / chức năng</s:t>
        </s:is>
      </s:c>
      <s:c r="B7474" s="113" t="inlineStr">
        <s:is>
          <s:r>
            <s:rPr>
              <s:b val="1"/>
            </s:rPr>
            <s:t>Thiết lập ngưỡng（基準設定）</s:t>
          </s:r>
        </s:is>
      </s:c>
      <s:c r="C7474" s="28" t="n"/>
      <s:c r="D7474" s="28" t="n"/>
      <s:c r="E7474" s="28" t="n"/>
    </s:row>
    <s:row r="7475" ht="20" customHeight="1">
      <s:c r="A7475" s="112" t="inlineStr">
        <s:is>
          <s:t>Cấu hình</s:t>
        </s:is>
      </s:c>
      <s:c r="B7475" s="113" t="inlineStr">
        <s:is>
          <s:r>
            <s:t>• Mục số nguyên (</s:t>
          </s:r>
          <s:r>
            <s:rPr>
              <s:b val="1"/>
            </s:rPr>
            <s:t>M=100</s:t>
          </s:r>
          <s:r>
            <s:t>).</s:t>
          </s:r>
        </s:is>
      </s:c>
      <s:c r="C7475" s="28" t="n"/>
      <s:c r="D7475" s="28" t="n"/>
      <s:c r="E7475" s="28" t="n"/>
    </s:row>
    <s:row r="7476" ht="62" customHeight="1">
      <s:c r="A7476" s="112" t="inlineStr">
        <s:is>
          <s:t>Dữ liệu test</s:t>
        </s:is>
      </s:c>
      <s:c r="B7476" s="113" t="inlineStr">
        <s:is>
          <s:r>
            <s:t>• Mục số nguyên (</s:t>
          </s:r>
          <s:r>
            <s:rPr>
              <s:b val="1"/>
            </s:rPr>
            <s:t>M=100</s:t>
          </s:r>
          <s:r>
            <s:t xml:space="preserve">);
• Cố định </s:t>
          </s:r>
          <s:r>
            <s:rPr>
              <s:b val="1"/>
            </s:rPr>
            <s:t>N=0</s:t>
          </s:r>
          <s:r>
            <s:t xml:space="preserve"> và </s:t>
          </s:r>
          <s:r>
            <s:rPr>
              <s:b val="1"/>
            </s:rPr>
            <s:t>N=100</s:t>
          </s:r>
          <s:r>
            <s:t xml:space="preserve">, mỗi giá trị với [&lt;] và [≤];
• Tỷ lệ </s:t>
          </s:r>
          <s:r>
            <s:rPr>
              <s:b val="1"/>
            </s:rPr>
            <s:t>N=0</s:t>
          </s:r>
          <s:r>
            <s:t xml:space="preserve">, </s:t>
          </s:r>
          <s:r>
            <s:rPr>
              <s:b val="1"/>
            </s:rPr>
            <s:t>N=100</s:t>
          </s:r>
          <s:r>
            <s:t xml:space="preserve">;
• Tỷ lệ </s:t>
          </s:r>
          <s:r>
            <s:rPr>
              <s:b val="1"/>
            </s:rPr>
            <s:t>N=0.4</s:t>
          </s:r>
          <s:r>
            <s:t xml:space="preserve"> </s:t>
          </s:r>
          <s:r>
            <s:rPr>
              <s:b val="1"/>
            </s:rPr>
            <s:t>với Làm tròn（四捨五入）</s:t>
          </s:r>
          <s:r>
            <s:t xml:space="preserve"> (ra [</s:t>
          </s:r>
          <s:r>
            <s:rPr>
              <s:b val="1"/>
            </s:rPr>
            <s:t>T=0</s:t>
          </s:r>
          <s:r>
            <s:t>])</s:t>
          </s:r>
        </s:is>
      </s:c>
      <s:c r="C7476" s="28" t="n"/>
      <s:c r="D7476" s="28" t="n"/>
      <s:c r="E7476" s="28" t="n"/>
    </s:row>
    <s:row r="7477" ht="20" customHeight="1">
      <s:c r="A7477" s="112" t="inlineStr">
        <s:is>
          <s:t>•</s:t>
        </s:is>
      </s:c>
      <s:c r="B7477" s="113" t="inlineStr">
        <s:is>
          <s:t>Nhập từng giá trị, Lưu, mở lại.</s:t>
        </s:is>
      </s:c>
      <s:c r="C7477" s="28" t="n"/>
      <s:c r="D7477" s="28" t="n"/>
      <s:c r="E7477" s="28" t="n"/>
    </s:row>
    <s:row r="7478" ht="28" customHeight="1">
      <s:c r="A7478" s="115" t="inlineStr">
        <s:is>
          <s:t>Trường hợp</s:t>
        </s:is>
      </s:c>
      <s:c r="B7478" s="115" t="inlineStr">
        <s:is>
          <s:t>Dữ liệu / thao tác riêng</s:t>
        </s:is>
      </s:c>
      <s:c r="C7478" s="115" t="inlineStr">
        <s:is>
          <s:t>Kết quả mong đợi</s:t>
        </s:is>
      </s:c>
      <s:c r="D7478" s="115" t="inlineStr">
        <s:is>
          <s:t>Kết quả thực tế</s:t>
        </s:is>
      </s:c>
      <s:c r="E7478" s="115" t="inlineStr">
        <s:is>
          <s:t>Đánh giá</s:t>
        </s:is>
      </s:c>
    </s:row>
    <s:row r="7479" ht="3" customHeight="1">
      <s:c r="A7479" s="102" t="inlineStr"/>
      <s:c r="B7479" s="99" t="n"/>
      <s:c r="C7479" s="99" t="n"/>
      <s:c r="D7479" s="116" t="n"/>
      <s:c r="E7479" s="116" t="n"/>
    </s:row>
    <s:row r="7480" ht="48" customHeight="1">
      <s:c r="A7480" s="83" t="inlineStr">
        <s:is>
          <s:t>Cố định 0, nhỏ hơn (fixed0-lt)</s:t>
        </s:is>
      </s:c>
      <s:c r="B7480" s="83" t="inlineStr">
        <s:is>
          <s:r>
            <s:rPr>
              <s:b val="1"/>
            </s:rPr>
            <s:t>M=100</s:t>
          </s:r>
          <s:r>
            <s:t xml:space="preserve">; nhập ngưỡng cố định </s:t>
          </s:r>
          <s:r>
            <s:rPr>
              <s:b val="1"/>
            </s:rPr>
            <s:t>N=0</s:t>
          </s:r>
          <s:r>
            <s:t>, dấu &lt;, Lưu và mở lại; đọc cảnh báo và giá trị đã lưu.</s:t>
          </s:r>
        </s:is>
      </s:c>
      <s:c r="C7480" s="83" t="inlineStr">
        <s:is>
          <s:r>
            <s:rPr>
              <s:b val="1"/>
            </s:rPr>
            <s:t>T=0</s:t>
          </s:r>
          <s:r>
            <s:t>, dấu &lt;: phải cảnh báo không ai đỏ. Cảnh báo không chặn lưu; mở lại giữ nguyên giá trị, không tự đổi sang giá trị khác.</s:t>
          </s:r>
        </s:is>
      </s:c>
      <s:c r="D7480" s="117" t="inlineStr"/>
      <s:c r="E7480" s="118" t="inlineStr">
        <s:is>
          <s:t>Chưa thực hiện</s:t>
        </s:is>
      </s:c>
    </s:row>
    <s:row r="7481" ht="3" customHeight="1">
      <s:c r="A7481" s="102" t="inlineStr"/>
      <s:c r="B7481" s="99" t="n"/>
      <s:c r="C7481" s="99" t="n"/>
      <s:c r="D7481" s="116" t="n"/>
      <s:c r="E7481" s="116" t="n"/>
    </s:row>
    <s:row r="7482" ht="76" customHeight="1">
      <s:c r="A7482" s="83" t="inlineStr">
        <s:is>
          <s:t>Cố định 0, nhỏ hơn hoặc bằng (fixed0-le)</s:t>
        </s:is>
      </s:c>
      <s:c r="B7482" s="83" t="inlineStr">
        <s:is>
          <s:r>
            <s:rPr>
              <s:b val="1"/>
            </s:rPr>
            <s:t>M=100</s:t>
          </s:r>
          <s:r>
            <s:t xml:space="preserve">; nhập ngưỡng cố định </s:t>
          </s:r>
          <s:r>
            <s:rPr>
              <s:b val="1"/>
            </s:rPr>
            <s:t>N=0</s:t>
          </s:r>
          <s:r>
            <s:t>, dấu ≤, Lưu và mở lại; đọc cảnh báo và giá trị đã lưu.</s:t>
          </s:r>
        </s:is>
      </s:c>
      <s:c r="C7482" s="83" t="inlineStr">
        <s:is>
          <s:r>
            <s:rPr>
              <s:b val="1"/>
            </s:rPr>
            <s:t>T=0</s:t>
          </s:r>
          <s:r>
            <s:t>, dấu ≤: cảnh báo theo tổ hợp biên trong thiết kế; không tự áp kết luận không ai đỏ của dấu &lt;. Cảnh báo không chặn lưu; mở lại giữ nguyên giá trị, không tự đổi sang giá trị khác.</s:t>
          </s:r>
        </s:is>
      </s:c>
      <s:c r="D7482" s="117" t="inlineStr"/>
      <s:c r="E7482" s="118" t="inlineStr">
        <s:is>
          <s:t>Chưa thực hiện</s:t>
        </s:is>
      </s:c>
    </s:row>
    <s:row r="7483" ht="3" customHeight="1">
      <s:c r="A7483" s="102" t="inlineStr"/>
      <s:c r="B7483" s="99" t="n"/>
      <s:c r="C7483" s="99" t="n"/>
      <s:c r="D7483" s="116" t="n"/>
      <s:c r="E7483" s="116" t="n"/>
    </s:row>
    <s:row r="7484" ht="76" customHeight="1">
      <s:c r="A7484" s="83" t="inlineStr">
        <s:is>
          <s:t>Cố định 100, nhỏ hơn (fixed100-lt)</s:t>
        </s:is>
      </s:c>
      <s:c r="B7484" s="83" t="inlineStr">
        <s:is>
          <s:r>
            <s:rPr>
              <s:b val="1"/>
            </s:rPr>
            <s:t>M=100</s:t>
          </s:r>
          <s:r>
            <s:t xml:space="preserve">; nhập ngưỡng cố định </s:t>
          </s:r>
          <s:r>
            <s:rPr>
              <s:b val="1"/>
            </s:rPr>
            <s:t>N=100</s:t>
          </s:r>
          <s:r>
            <s:t>, dấu &lt;, Lưu và mở lại; đọc cảnh báo và giá trị đã lưu.</s:t>
          </s:r>
        </s:is>
      </s:c>
      <s:c r="C7484" s="83" t="inlineStr">
        <s:is>
          <s:r>
            <s:rPr>
              <s:b val="1"/>
            </s:rPr>
            <s:t>T=100</s:t>
          </s:r>
          <s:r>
            <s:t>, dấu &lt;: cảnh báo theo tổ hợp biên trong thiết kế; không tự áp kết luận mọi điểm hợp lệ đỏ của dấu ≤. Cảnh báo không chặn lưu; mở lại giữ nguyên giá trị, không tự đổi sang giá trị khác.</s:t>
          </s:r>
        </s:is>
      </s:c>
      <s:c r="D7484" s="117" t="inlineStr"/>
      <s:c r="E7484" s="118" t="inlineStr">
        <s:is>
          <s:t>Chưa thực hiện</s:t>
        </s:is>
      </s:c>
    </s:row>
    <s:row r="7485" ht="3" customHeight="1">
      <s:c r="A7485" s="102" t="inlineStr"/>
      <s:c r="B7485" s="99" t="n"/>
      <s:c r="C7485" s="99" t="n"/>
      <s:c r="D7485" s="116" t="n"/>
      <s:c r="E7485" s="116" t="n"/>
    </s:row>
    <s:row r="7486" ht="62" customHeight="1">
      <s:c r="A7486" s="83" t="inlineStr">
        <s:is>
          <s:t>Cố định 100, nhỏ hơn hoặc bằng (fixed100-le)</s:t>
        </s:is>
      </s:c>
      <s:c r="B7486" s="83" t="inlineStr">
        <s:is>
          <s:r>
            <s:rPr>
              <s:b val="1"/>
            </s:rPr>
            <s:t>M=100</s:t>
          </s:r>
          <s:r>
            <s:t xml:space="preserve">; nhập ngưỡng cố định </s:t>
          </s:r>
          <s:r>
            <s:rPr>
              <s:b val="1"/>
            </s:rPr>
            <s:t>N=100</s:t>
          </s:r>
          <s:r>
            <s:t>, dấu ≤, Lưu và mở lại; đọc cảnh báo và giá trị đã lưu.</s:t>
          </s:r>
        </s:is>
      </s:c>
      <s:c r="C7486" s="83" t="inlineStr">
        <s:is>
          <s:r>
            <s:rPr>
              <s:b val="1"/>
            </s:rPr>
            <s:t>T=100</s:t>
          </s:r>
          <s:r>
            <s:t>, dấu ≤: phải cảnh báo mọi điểm hợp lệ đỏ. Cảnh báo không chặn lưu; mở lại giữ nguyên giá trị, không tự đổi sang giá trị khác.</s:t>
          </s:r>
        </s:is>
      </s:c>
      <s:c r="D7486" s="117" t="inlineStr"/>
      <s:c r="E7486" s="118" t="inlineStr">
        <s:is>
          <s:t>Chưa thực hiện</s:t>
        </s:is>
      </s:c>
    </s:row>
    <s:row r="7487" ht="3" customHeight="1">
      <s:c r="A7487" s="102" t="inlineStr"/>
      <s:c r="B7487" s="99" t="n"/>
      <s:c r="C7487" s="99" t="n"/>
      <s:c r="D7487" s="116" t="n"/>
      <s:c r="E7487" s="116" t="n"/>
    </s:row>
    <s:row r="7488" ht="62" customHeight="1">
      <s:c r="A7488" s="83" t="inlineStr">
        <s:is>
          <s:t>Tỷ lệ 0, dấu nhỏ hơn, không xử lý phần lẻ (ratio0)</s:t>
        </s:is>
      </s:c>
      <s:c r="B7488" s="83" t="inlineStr">
        <s:is>
          <s:r>
            <s:rPr>
              <s:b val="1"/>
            </s:rPr>
            <s:t>T=0</s:t>
          </s:r>
          <s:r>
            <s:t>, có cảnh báo</s:t>
          </s:r>
        </s:is>
      </s:c>
      <s:c r="C7488" s="83" t="inlineStr">
        <s:is>
          <s:r>
            <s:t xml:space="preserve">Tỷ lệ </s:t>
          </s:r>
          <s:r>
            <s:rPr>
              <s:b val="1"/>
            </s:rPr>
            <s:t>N=0</s:t>
          </s:r>
          <s:r>
            <s:t xml:space="preserve">, </s:t>
          </s:r>
          <s:r>
            <s:rPr>
              <s:b val="1"/>
            </s:rPr>
            <s:t>T=0</s:t>
          </s:r>
          <s:r>
            <s:t>, dấu &lt;: phải cảnh báo không ai đỏ. Cảnh báo không chặn lưu; mở lại giữ nguyên giá trị, không tự đổi sang giá trị khác.</s:t>
          </s:r>
        </s:is>
      </s:c>
      <s:c r="D7488" s="117" t="inlineStr"/>
      <s:c r="E7488" s="118" t="inlineStr">
        <s:is>
          <s:t>Chưa thực hiện</s:t>
        </s:is>
      </s:c>
    </s:row>
    <s:row r="7489" ht="3" customHeight="1">
      <s:c r="A7489" s="102" t="inlineStr"/>
      <s:c r="B7489" s="99" t="n"/>
      <s:c r="C7489" s="99" t="n"/>
      <s:c r="D7489" s="116" t="n"/>
      <s:c r="E7489" s="116" t="n"/>
    </s:row>
    <s:row r="7490" ht="62" customHeight="1">
      <s:c r="A7490" s="83" t="inlineStr">
        <s:is>
          <s:t>Tỷ lệ 100, dấu nhỏ hơn hoặc bằng, không xử lý phần lẻ (ratio100)</s:t>
        </s:is>
      </s:c>
      <s:c r="B7490" s="83" t="inlineStr">
        <s:is>
          <s:r>
            <s:rPr>
              <s:b val="1"/>
            </s:rPr>
            <s:t>T=100</s:t>
          </s:r>
          <s:r>
            <s:t>, có cảnh báo</s:t>
          </s:r>
        </s:is>
      </s:c>
      <s:c r="C7490" s="83" t="inlineStr">
        <s:is>
          <s:r>
            <s:t xml:space="preserve">Tỷ lệ </s:t>
          </s:r>
          <s:r>
            <s:rPr>
              <s:b val="1"/>
            </s:rPr>
            <s:t>N=100</s:t>
          </s:r>
          <s:r>
            <s:t xml:space="preserve">, </s:t>
          </s:r>
          <s:r>
            <s:rPr>
              <s:b val="1"/>
            </s:rPr>
            <s:t>T=100</s:t>
          </s:r>
          <s:r>
            <s:t>, dấu ≤: phải cảnh báo mọi điểm hợp lệ đỏ. Cảnh báo không chặn lưu; mở lại giữ nguyên giá trị, không tự đổi sang giá trị khác.</s:t>
          </s:r>
        </s:is>
      </s:c>
      <s:c r="D7490" s="117" t="inlineStr"/>
      <s:c r="E7490" s="118" t="inlineStr">
        <s:is>
          <s:t>Chưa thực hiện</s:t>
        </s:is>
      </s:c>
    </s:row>
    <s:row r="7491" ht="3" customHeight="1">
      <s:c r="A7491" s="102" t="inlineStr"/>
      <s:c r="B7491" s="99" t="n"/>
      <s:c r="C7491" s="99" t="n"/>
      <s:c r="D7491" s="116" t="n"/>
      <s:c r="E7491" s="116" t="n"/>
    </s:row>
    <s:row r="7492" ht="76" customHeight="1">
      <s:c r="A7492" s="83" t="inlineStr">
        <s:is>
          <s:t>Trường hợp (ratio04)</s:t>
        </s:is>
      </s:c>
      <s:c r="B7492" s="83" t="inlineStr">
        <s:is>
          <s:r>
            <s:t xml:space="preserve">Tỷ lệ 0.4, dấu nhỏ hơn, làm tròn gần nhất p=1: </s:t>
          </s:r>
          <s:r>
            <s:rPr>
              <s:b val="1"/>
            </s:rPr>
            <s:t>T=0</s:t>
          </s:r>
          <s:r>
            <s:t>, có cảnh báo</s:t>
          </s:r>
        </s:is>
      </s:c>
      <s:c r="C7492" s="83" t="inlineStr">
        <s:is>
          <s:r>
            <s:t xml:space="preserve">Tỷ lệ </s:t>
          </s:r>
          <s:r>
            <s:rPr>
              <s:b val="1"/>
            </s:rPr>
            <s:t>N=0.4</s:t>
          </s:r>
          <s:r>
            <s:t xml:space="preserve">, làm tròn gần nhất p=1 cho </s:t>
          </s:r>
          <s:r>
            <s:rPr>
              <s:b val="1"/>
            </s:rPr>
            <s:t>T=0</s:t>
          </s:r>
          <s:r>
            <s:t>, dấu &lt;: phải cảnh báo theo T cuối, không theo 0.4. Cảnh báo không chặn lưu; mở lại giữ nguyên giá trị, không tự đổi sang giá trị khác.</s:t>
          </s:r>
        </s:is>
      </s:c>
      <s:c r="D7492" s="117" t="inlineStr"/>
      <s:c r="E7492" s="118" t="inlineStr">
        <s:is>
          <s:t>Chưa thực hiện</s:t>
        </s:is>
      </s:c>
    </s:row>
    <s:row r="7493" ht="20" customHeight="1">
      <s:c r="A7493" s="119" t="inlineStr">
        <s:is>
          <s:t>Ảnh minh chứng — Chưa có ảnh</s:t>
        </s:is>
      </s:c>
      <s:c r="B7493" s="19" t="n"/>
      <s:c r="C7493" s="19" t="n"/>
      <s:c r="D7493" s="19" t="n"/>
      <s:c r="E7493" s="19" t="n"/>
    </s:row>
    <s:row r="7494" hidden="1" ht="1" customHeight="1">
      <s:c r="A7494" s="120" t="inlineStr"/>
      <s:c r="B7494" s="121" t="n"/>
      <s:c r="C7494" s="121" t="n"/>
      <s:c r="D7494" s="121" t="n"/>
      <s:c r="E7494" s="122" t="n"/>
    </s:row>
    <s:row r="7495" hidden="1" ht="1" customHeight="1">
      <s:c r="A7495" s="120" t="inlineStr"/>
      <s:c r="B7495" s="121" t="n"/>
      <s:c r="C7495" s="121" t="n"/>
      <s:c r="D7495" s="121" t="n"/>
      <s:c r="E7495" s="122" t="n"/>
    </s:row>
    <s:row r="7496" hidden="1" ht="1" customHeight="1">
      <s:c r="A7496" s="120" t="inlineStr"/>
      <s:c r="B7496" s="121" t="n"/>
      <s:c r="C7496" s="121" t="n"/>
      <s:c r="D7496" s="121" t="n"/>
      <s:c r="E7496" s="122" t="n"/>
    </s:row>
    <s:row r="7497" hidden="1" ht="1" customHeight="1">
      <s:c r="A7497" s="120" t="inlineStr"/>
      <s:c r="B7497" s="121" t="n"/>
      <s:c r="C7497" s="121" t="n"/>
      <s:c r="D7497" s="121" t="n"/>
      <s:c r="E7497" s="122" t="n"/>
    </s:row>
    <s:row r="7498" hidden="1" ht="1" customHeight="1">
      <s:c r="A7498" s="120" t="inlineStr"/>
      <s:c r="B7498" s="121" t="n"/>
      <s:c r="C7498" s="121" t="n"/>
      <s:c r="D7498" s="121" t="n"/>
      <s:c r="E7498" s="122" t="n"/>
    </s:row>
    <s:row r="7499" hidden="1" ht="1" customHeight="1">
      <s:c r="A7499" s="120" t="inlineStr"/>
      <s:c r="B7499" s="121" t="n"/>
      <s:c r="C7499" s="121" t="n"/>
      <s:c r="D7499" s="121" t="n"/>
      <s:c r="E7499" s="122" t="n"/>
    </s:row>
    <s:row r="7500" hidden="1" ht="1" customHeight="1">
      <s:c r="A7500" s="120" t="inlineStr"/>
      <s:c r="B7500" s="121" t="n"/>
      <s:c r="C7500" s="121" t="n"/>
      <s:c r="D7500" s="121" t="n"/>
      <s:c r="E7500" s="122" t="n"/>
    </s:row>
    <s:row r="7501" hidden="1" ht="1" customHeight="1">
      <s:c r="A7501" s="120" t="inlineStr"/>
      <s:c r="B7501" s="121" t="n"/>
      <s:c r="C7501" s="121" t="n"/>
      <s:c r="D7501" s="121" t="n"/>
      <s:c r="E7501" s="122" t="n"/>
    </s:row>
    <s:row r="7502" hidden="1" ht="1" customHeight="1">
      <s:c r="A7502" s="120" t="inlineStr"/>
      <s:c r="B7502" s="121" t="n"/>
      <s:c r="C7502" s="121" t="n"/>
      <s:c r="D7502" s="121" t="n"/>
      <s:c r="E7502" s="122" t="n"/>
    </s:row>
    <s:row r="7503" hidden="1" ht="1" customHeight="1">
      <s:c r="A7503" s="120" t="inlineStr"/>
      <s:c r="B7503" s="121" t="n"/>
      <s:c r="C7503" s="121" t="n"/>
      <s:c r="D7503" s="121" t="n"/>
      <s:c r="E7503" s="122" t="n"/>
    </s:row>
    <s:row r="7504" hidden="1" ht="1" customHeight="1">
      <s:c r="A7504" s="120" t="inlineStr"/>
      <s:c r="B7504" s="121" t="n"/>
      <s:c r="C7504" s="121" t="n"/>
      <s:c r="D7504" s="121" t="n"/>
      <s:c r="E7504" s="122" t="n"/>
    </s:row>
    <s:row r="7505" hidden="1" ht="1" customHeight="1">
      <s:c r="A7505" s="120" t="inlineStr"/>
      <s:c r="B7505" s="121" t="n"/>
      <s:c r="C7505" s="121" t="n"/>
      <s:c r="D7505" s="121" t="n"/>
      <s:c r="E7505" s="122" t="n"/>
    </s:row>
    <s:row r="7506" hidden="1" ht="1" customHeight="1">
      <s:c r="A7506" s="120" t="inlineStr"/>
      <s:c r="B7506" s="121" t="n"/>
      <s:c r="C7506" s="121" t="n"/>
      <s:c r="D7506" s="121" t="n"/>
      <s:c r="E7506" s="122" t="n"/>
    </s:row>
    <s:row r="7507" hidden="1" ht="1" customHeight="1">
      <s:c r="A7507" s="120" t="inlineStr"/>
      <s:c r="B7507" s="121" t="n"/>
      <s:c r="C7507" s="121" t="n"/>
      <s:c r="D7507" s="121" t="n"/>
      <s:c r="E7507" s="122" t="n"/>
    </s:row>
    <s:row r="7508" hidden="1" ht="1" customHeight="1">
      <s:c r="A7508" s="120" t="inlineStr"/>
      <s:c r="B7508" s="121" t="n"/>
      <s:c r="C7508" s="121" t="n"/>
      <s:c r="D7508" s="121" t="n"/>
      <s:c r="E7508" s="122" t="n"/>
    </s:row>
    <s:row r="7509" hidden="1" ht="1" customHeight="1">
      <s:c r="A7509" s="120" t="inlineStr"/>
      <s:c r="B7509" s="121" t="n"/>
      <s:c r="C7509" s="121" t="n"/>
      <s:c r="D7509" s="121" t="n"/>
      <s:c r="E7509" s="122" t="n"/>
    </s:row>
    <s:row r="7510" hidden="1" ht="1" customHeight="1">
      <s:c r="A7510" s="120" t="inlineStr"/>
      <s:c r="B7510" s="121" t="n"/>
      <s:c r="C7510" s="121" t="n"/>
      <s:c r="D7510" s="121" t="n"/>
      <s:c r="E7510" s="122" t="n"/>
    </s:row>
    <s:row r="7511" hidden="1" ht="1" customHeight="1">
      <s:c r="A7511" s="120" t="inlineStr"/>
      <s:c r="B7511" s="121" t="n"/>
      <s:c r="C7511" s="121" t="n"/>
      <s:c r="D7511" s="121" t="n"/>
      <s:c r="E7511" s="122" t="n"/>
    </s:row>
    <s:row r="7512" hidden="1" ht="1" customHeight="1">
      <s:c r="A7512" s="120" t="inlineStr"/>
      <s:c r="B7512" s="121" t="n"/>
      <s:c r="C7512" s="121" t="n"/>
      <s:c r="D7512" s="121" t="n"/>
      <s:c r="E7512" s="122" t="n"/>
    </s:row>
    <s:row r="7513" hidden="1" ht="1" customHeight="1">
      <s:c r="A7513" s="120" t="inlineStr"/>
      <s:c r="B7513" s="121" t="n"/>
      <s:c r="C7513" s="121" t="n"/>
      <s:c r="D7513" s="121" t="n"/>
      <s:c r="E7513" s="122" t="n"/>
    </s:row>
    <s:row r="7514" hidden="1" ht="1" customHeight="1">
      <s:c r="A7514" s="120" t="inlineStr"/>
      <s:c r="B7514" s="121" t="n"/>
      <s:c r="C7514" s="121" t="n"/>
      <s:c r="D7514" s="121" t="n"/>
      <s:c r="E7514" s="122" t="n"/>
    </s:row>
    <s:row r="7515" hidden="1" ht="1" customHeight="1">
      <s:c r="A7515" s="120" t="inlineStr"/>
      <s:c r="B7515" s="121" t="n"/>
      <s:c r="C7515" s="121" t="n"/>
      <s:c r="D7515" s="121" t="n"/>
      <s:c r="E7515" s="122" t="n"/>
    </s:row>
    <s:row r="7516" hidden="1" ht="1" customHeight="1">
      <s:c r="A7516" s="120" t="inlineStr"/>
      <s:c r="B7516" s="121" t="n"/>
      <s:c r="C7516" s="121" t="n"/>
      <s:c r="D7516" s="121" t="n"/>
      <s:c r="E7516" s="122" t="n"/>
    </s:row>
    <s:row r="7517" hidden="1" ht="1" customHeight="1">
      <s:c r="A7517" s="120" t="inlineStr"/>
      <s:c r="B7517" s="121" t="n"/>
      <s:c r="C7517" s="121" t="n"/>
      <s:c r="D7517" s="121" t="n"/>
      <s:c r="E7517" s="122" t="n"/>
    </s:row>
    <s:row r="7518" hidden="1" ht="1" customHeight="1">
      <s:c r="A7518" s="120" t="inlineStr"/>
      <s:c r="B7518" s="121" t="n"/>
      <s:c r="C7518" s="121" t="n"/>
      <s:c r="D7518" s="121" t="n"/>
      <s:c r="E7518" s="122" t="n"/>
    </s:row>
    <s:row r="7519" hidden="1" ht="1" customHeight="1">
      <s:c r="A7519" s="120" t="inlineStr"/>
      <s:c r="B7519" s="121" t="n"/>
      <s:c r="C7519" s="121" t="n"/>
      <s:c r="D7519" s="121" t="n"/>
      <s:c r="E7519" s="122" t="n"/>
    </s:row>
    <s:row r="7520" hidden="1" ht="1" customHeight="1">
      <s:c r="A7520" s="120" t="inlineStr"/>
      <s:c r="B7520" s="121" t="n"/>
      <s:c r="C7520" s="121" t="n"/>
      <s:c r="D7520" s="121" t="n"/>
      <s:c r="E7520" s="122" t="n"/>
    </s:row>
    <s:row r="7521" hidden="1" ht="1" customHeight="1">
      <s:c r="A7521" s="120" t="inlineStr"/>
      <s:c r="B7521" s="121" t="n"/>
      <s:c r="C7521" s="121" t="n"/>
      <s:c r="D7521" s="121" t="n"/>
      <s:c r="E7521" s="122" t="n"/>
    </s:row>
    <s:row r="7522" hidden="1" ht="1" customHeight="1">
      <s:c r="A7522" s="120" t="inlineStr"/>
      <s:c r="B7522" s="121" t="n"/>
      <s:c r="C7522" s="121" t="n"/>
      <s:c r="D7522" s="121" t="n"/>
      <s:c r="E7522" s="122" t="n"/>
    </s:row>
    <s:row r="7523" hidden="1" ht="1" customHeight="1">
      <s:c r="A7523" s="120" t="inlineStr"/>
      <s:c r="B7523" s="121" t="n"/>
      <s:c r="C7523" s="121" t="n"/>
      <s:c r="D7523" s="121" t="n"/>
      <s:c r="E7523" s="122" t="n"/>
    </s:row>
    <s:row r="7524" hidden="1" ht="1" customHeight="1">
      <s:c r="A7524" s="120" t="inlineStr"/>
      <s:c r="B7524" s="121" t="n"/>
      <s:c r="C7524" s="121" t="n"/>
      <s:c r="D7524" s="121" t="n"/>
      <s:c r="E7524" s="122" t="n"/>
    </s:row>
    <s:row r="7525" hidden="1" ht="1" customHeight="1">
      <s:c r="A7525" s="120" t="inlineStr"/>
      <s:c r="B7525" s="121" t="n"/>
      <s:c r="C7525" s="121" t="n"/>
      <s:c r="D7525" s="121" t="n"/>
      <s:c r="E7525" s="122" t="n"/>
    </s:row>
    <s:row r="7526" hidden="1" ht="1" customHeight="1">
      <s:c r="A7526" s="120" t="inlineStr"/>
      <s:c r="B7526" s="121" t="n"/>
      <s:c r="C7526" s="121" t="n"/>
      <s:c r="D7526" s="121" t="n"/>
      <s:c r="E7526" s="122" t="n"/>
    </s:row>
    <s:row r="7527" hidden="1" ht="1" customHeight="1">
      <s:c r="A7527" s="120" t="inlineStr"/>
      <s:c r="B7527" s="121" t="n"/>
      <s:c r="C7527" s="121" t="n"/>
      <s:c r="D7527" s="121" t="n"/>
      <s:c r="E7527" s="122" t="n"/>
    </s:row>
    <s:row r="7528" hidden="1" ht="1" customHeight="1">
      <s:c r="A7528" s="120" t="inlineStr"/>
      <s:c r="B7528" s="121" t="n"/>
      <s:c r="C7528" s="121" t="n"/>
      <s:c r="D7528" s="121" t="n"/>
      <s:c r="E7528" s="122" t="n"/>
    </s:row>
    <s:row r="7529" hidden="1" ht="1" customHeight="1">
      <s:c r="A7529" s="120" t="inlineStr"/>
      <s:c r="B7529" s="121" t="n"/>
      <s:c r="C7529" s="121" t="n"/>
      <s:c r="D7529" s="121" t="n"/>
      <s:c r="E7529" s="122" t="n"/>
    </s:row>
    <s:row r="7530" hidden="1" ht="1" customHeight="1">
      <s:c r="A7530" s="120" t="inlineStr"/>
      <s:c r="B7530" s="121" t="n"/>
      <s:c r="C7530" s="121" t="n"/>
      <s:c r="D7530" s="121" t="n"/>
      <s:c r="E7530" s="122" t="n"/>
    </s:row>
    <s:row r="7531" hidden="1" ht="1" customHeight="1">
      <s:c r="A7531" s="120" t="inlineStr"/>
      <s:c r="B7531" s="121" t="n"/>
      <s:c r="C7531" s="121" t="n"/>
      <s:c r="D7531" s="121" t="n"/>
      <s:c r="E7531" s="122" t="n"/>
    </s:row>
    <s:row r="7532" hidden="1" ht="1" customHeight="1">
      <s:c r="A7532" s="120" t="inlineStr"/>
      <s:c r="B7532" s="121" t="n"/>
      <s:c r="C7532" s="121" t="n"/>
      <s:c r="D7532" s="121" t="n"/>
      <s:c r="E7532" s="122" t="n"/>
    </s:row>
    <s:row r="7533" hidden="1" ht="1" customHeight="1">
      <s:c r="A7533" s="120" t="inlineStr"/>
      <s:c r="B7533" s="121" t="n"/>
      <s:c r="C7533" s="121" t="n"/>
      <s:c r="D7533" s="121" t="n"/>
      <s:c r="E7533" s="122" t="n"/>
    </s:row>
    <s:row r="7534" hidden="1" ht="1" customHeight="1">
      <s:c r="A7534" s="120" t="inlineStr"/>
      <s:c r="B7534" s="121" t="n"/>
      <s:c r="C7534" s="121" t="n"/>
      <s:c r="D7534" s="121" t="n"/>
      <s:c r="E7534" s="122" t="n"/>
    </s:row>
    <s:row r="7535" hidden="1" ht="1" customHeight="1">
      <s:c r="A7535" s="120" t="inlineStr"/>
      <s:c r="B7535" s="121" t="n"/>
      <s:c r="C7535" s="121" t="n"/>
      <s:c r="D7535" s="121" t="n"/>
      <s:c r="E7535" s="122" t="n"/>
    </s:row>
    <s:row r="7536" hidden="1" ht="1" customHeight="1">
      <s:c r="A7536" s="120" t="inlineStr"/>
      <s:c r="B7536" s="121" t="n"/>
      <s:c r="C7536" s="121" t="n"/>
      <s:c r="D7536" s="121" t="n"/>
      <s:c r="E7536" s="122" t="n"/>
    </s:row>
    <s:row r="7537" hidden="1" ht="1" customHeight="1">
      <s:c r="A7537" s="120" t="inlineStr"/>
      <s:c r="B7537" s="121" t="n"/>
      <s:c r="C7537" s="121" t="n"/>
      <s:c r="D7537" s="121" t="n"/>
      <s:c r="E7537" s="122" t="n"/>
    </s:row>
    <s:row r="7538" hidden="1" ht="1" customHeight="1">
      <s:c r="A7538" s="120" t="inlineStr"/>
      <s:c r="B7538" s="121" t="n"/>
      <s:c r="C7538" s="121" t="n"/>
      <s:c r="D7538" s="121" t="n"/>
      <s:c r="E7538" s="122" t="n"/>
    </s:row>
    <s:row r="7539" hidden="1" ht="1" customHeight="1">
      <s:c r="A7539" s="120" t="inlineStr"/>
      <s:c r="B7539" s="121" t="n"/>
      <s:c r="C7539" s="121" t="n"/>
      <s:c r="D7539" s="121" t="n"/>
      <s:c r="E7539" s="122" t="n"/>
    </s:row>
    <s:row r="7540" hidden="1" ht="1" customHeight="1">
      <s:c r="A7540" s="120" t="inlineStr"/>
      <s:c r="B7540" s="121" t="n"/>
      <s:c r="C7540" s="121" t="n"/>
      <s:c r="D7540" s="121" t="n"/>
      <s:c r="E7540" s="122" t="n"/>
    </s:row>
    <s:row r="7541" hidden="1" ht="1" customHeight="1">
      <s:c r="A7541" s="120" t="inlineStr"/>
      <s:c r="B7541" s="121" t="n"/>
      <s:c r="C7541" s="121" t="n"/>
      <s:c r="D7541" s="121" t="n"/>
      <s:c r="E7541" s="122" t="n"/>
    </s:row>
    <s:row r="7542" hidden="1" ht="1" customHeight="1">
      <s:c r="A7542" s="120" t="inlineStr"/>
      <s:c r="B7542" s="121" t="n"/>
      <s:c r="C7542" s="121" t="n"/>
      <s:c r="D7542" s="121" t="n"/>
      <s:c r="E7542" s="122" t="n"/>
    </s:row>
    <s:row r="7543" hidden="1" ht="1" customHeight="1">
      <s:c r="A7543" s="120" t="inlineStr"/>
      <s:c r="B7543" s="121" t="n"/>
      <s:c r="C7543" s="121" t="n"/>
      <s:c r="D7543" s="121" t="n"/>
      <s:c r="E7543" s="122" t="n"/>
    </s:row>
    <s:row r="7544" hidden="1" ht="1" customHeight="1">
      <s:c r="A7544" s="120" t="inlineStr"/>
      <s:c r="B7544" s="121" t="n"/>
      <s:c r="C7544" s="121" t="n"/>
      <s:c r="D7544" s="121" t="n"/>
      <s:c r="E7544" s="122" t="n"/>
    </s:row>
    <s:row r="7545" hidden="1" ht="1" customHeight="1">
      <s:c r="A7545" s="120" t="inlineStr"/>
      <s:c r="B7545" s="121" t="n"/>
      <s:c r="C7545" s="121" t="n"/>
      <s:c r="D7545" s="121" t="n"/>
      <s:c r="E7545" s="122" t="n"/>
    </s:row>
    <s:row r="7546" hidden="1" ht="1" customHeight="1">
      <s:c r="A7546" s="120" t="inlineStr"/>
      <s:c r="B7546" s="121" t="n"/>
      <s:c r="C7546" s="121" t="n"/>
      <s:c r="D7546" s="121" t="n"/>
      <s:c r="E7546" s="122" t="n"/>
    </s:row>
    <s:row r="7547" hidden="1" ht="1" customHeight="1">
      <s:c r="A7547" s="120" t="inlineStr"/>
      <s:c r="B7547" s="121" t="n"/>
      <s:c r="C7547" s="121" t="n"/>
      <s:c r="D7547" s="121" t="n"/>
      <s:c r="E7547" s="122" t="n"/>
    </s:row>
    <s:row r="7548" hidden="1" ht="1" customHeight="1">
      <s:c r="A7548" s="120" t="inlineStr"/>
      <s:c r="B7548" s="121" t="n"/>
      <s:c r="C7548" s="121" t="n"/>
      <s:c r="D7548" s="121" t="n"/>
      <s:c r="E7548" s="122" t="n"/>
    </s:row>
    <s:row r="7549" hidden="1" ht="1" customHeight="1">
      <s:c r="A7549" s="120" t="inlineStr"/>
      <s:c r="B7549" s="121" t="n"/>
      <s:c r="C7549" s="121" t="n"/>
      <s:c r="D7549" s="121" t="n"/>
      <s:c r="E7549" s="122" t="n"/>
    </s:row>
    <s:row r="7550" hidden="1" ht="1" customHeight="1">
      <s:c r="A7550" s="120" t="inlineStr"/>
      <s:c r="B7550" s="121" t="n"/>
      <s:c r="C7550" s="121" t="n"/>
      <s:c r="D7550" s="121" t="n"/>
      <s:c r="E7550" s="122" t="n"/>
    </s:row>
    <s:row r="7551" hidden="1" ht="1" customHeight="1">
      <s:c r="A7551" s="120" t="inlineStr"/>
      <s:c r="B7551" s="121" t="n"/>
      <s:c r="C7551" s="121" t="n"/>
      <s:c r="D7551" s="121" t="n"/>
      <s:c r="E7551" s="122" t="n"/>
    </s:row>
    <s:row r="7552" hidden="1" ht="1" customHeight="1">
      <s:c r="A7552" s="120" t="inlineStr"/>
      <s:c r="B7552" s="121" t="n"/>
      <s:c r="C7552" s="121" t="n"/>
      <s:c r="D7552" s="121" t="n"/>
      <s:c r="E7552" s="122" t="n"/>
    </s:row>
    <s:row r="7553" hidden="1" ht="1" customHeight="1">
      <s:c r="A7553" s="120" t="inlineStr"/>
      <s:c r="B7553" s="121" t="n"/>
      <s:c r="C7553" s="121" t="n"/>
      <s:c r="D7553" s="121" t="n"/>
      <s:c r="E7553" s="122" t="n"/>
    </s:row>
    <s:row r="7554" hidden="1" ht="1" customHeight="1">
      <s:c r="A7554" s="120" t="inlineStr"/>
      <s:c r="B7554" s="121" t="n"/>
      <s:c r="C7554" s="121" t="n"/>
      <s:c r="D7554" s="121" t="n"/>
      <s:c r="E7554" s="122" t="n"/>
    </s:row>
    <s:row r="7555" hidden="1" ht="1" customHeight="1">
      <s:c r="A7555" s="120" t="inlineStr"/>
      <s:c r="B7555" s="121" t="n"/>
      <s:c r="C7555" s="121" t="n"/>
      <s:c r="D7555" s="121" t="n"/>
      <s:c r="E7555" s="122" t="n"/>
    </s:row>
    <s:row r="7556" hidden="1" ht="1" customHeight="1">
      <s:c r="A7556" s="120" t="inlineStr"/>
      <s:c r="B7556" s="121" t="n"/>
      <s:c r="C7556" s="121" t="n"/>
      <s:c r="D7556" s="121" t="n"/>
      <s:c r="E7556" s="122" t="n"/>
    </s:row>
    <s:row r="7557" hidden="1" ht="1" customHeight="1">
      <s:c r="A7557" s="120" t="inlineStr"/>
      <s:c r="B7557" s="121" t="n"/>
      <s:c r="C7557" s="121" t="n"/>
      <s:c r="D7557" s="121" t="n"/>
      <s:c r="E7557" s="122" t="n"/>
    </s:row>
    <s:row r="7558" hidden="1" ht="1" customHeight="1">
      <s:c r="A7558" s="120" t="inlineStr"/>
      <s:c r="B7558" s="121" t="n"/>
      <s:c r="C7558" s="121" t="n"/>
      <s:c r="D7558" s="121" t="n"/>
      <s:c r="E7558" s="122" t="n"/>
    </s:row>
    <s:row r="7559" hidden="1" ht="1" customHeight="1">
      <s:c r="A7559" s="120" t="inlineStr"/>
      <s:c r="B7559" s="121" t="n"/>
      <s:c r="C7559" s="121" t="n"/>
      <s:c r="D7559" s="121" t="n"/>
      <s:c r="E7559" s="122" t="n"/>
    </s:row>
    <s:row r="7560" hidden="1" ht="1" customHeight="1">
      <s:c r="A7560" s="120" t="inlineStr"/>
      <s:c r="B7560" s="121" t="n"/>
      <s:c r="C7560" s="121" t="n"/>
      <s:c r="D7560" s="121" t="n"/>
      <s:c r="E7560" s="122" t="n"/>
    </s:row>
    <s:row r="7561" hidden="1" ht="1" customHeight="1">
      <s:c r="A7561" s="120" t="inlineStr"/>
      <s:c r="B7561" s="121" t="n"/>
      <s:c r="C7561" s="121" t="n"/>
      <s:c r="D7561" s="121" t="n"/>
      <s:c r="E7561" s="122" t="n"/>
    </s:row>
    <s:row r="7562" hidden="1" ht="1" customHeight="1">
      <s:c r="A7562" s="120" t="inlineStr"/>
      <s:c r="B7562" s="121" t="n"/>
      <s:c r="C7562" s="121" t="n"/>
      <s:c r="D7562" s="121" t="n"/>
      <s:c r="E7562" s="122" t="n"/>
    </s:row>
    <s:row r="7563" hidden="1" ht="1" customHeight="1">
      <s:c r="A7563" s="120" t="inlineStr"/>
      <s:c r="B7563" s="121" t="n"/>
      <s:c r="C7563" s="121" t="n"/>
      <s:c r="D7563" s="121" t="n"/>
      <s:c r="E7563" s="122" t="n"/>
    </s:row>
    <s:row r="7564" hidden="1" ht="1" customHeight="1">
      <s:c r="A7564" s="120" t="inlineStr"/>
      <s:c r="B7564" s="121" t="n"/>
      <s:c r="C7564" s="121" t="n"/>
      <s:c r="D7564" s="121" t="n"/>
      <s:c r="E7564" s="122" t="n"/>
    </s:row>
    <s:row r="7565" hidden="1" ht="1" customHeight="1">
      <s:c r="A7565" s="120" t="inlineStr"/>
      <s:c r="B7565" s="121" t="n"/>
      <s:c r="C7565" s="121" t="n"/>
      <s:c r="D7565" s="121" t="n"/>
      <s:c r="E7565" s="122" t="n"/>
    </s:row>
    <s:row r="7566" hidden="1" ht="1" customHeight="1">
      <s:c r="A7566" s="120" t="inlineStr"/>
      <s:c r="B7566" s="121" t="n"/>
      <s:c r="C7566" s="121" t="n"/>
      <s:c r="D7566" s="121" t="n"/>
      <s:c r="E7566" s="122" t="n"/>
    </s:row>
    <s:row r="7567" hidden="1" ht="1" customHeight="1">
      <s:c r="A7567" s="120" t="inlineStr"/>
      <s:c r="B7567" s="121" t="n"/>
      <s:c r="C7567" s="121" t="n"/>
      <s:c r="D7567" s="121" t="n"/>
      <s:c r="E7567" s="122" t="n"/>
    </s:row>
    <s:row r="7568" hidden="1" ht="1" customHeight="1">
      <s:c r="A7568" s="120" t="inlineStr"/>
      <s:c r="B7568" s="121" t="n"/>
      <s:c r="C7568" s="121" t="n"/>
      <s:c r="D7568" s="121" t="n"/>
      <s:c r="E7568" s="122" t="n"/>
    </s:row>
    <s:row r="7569" hidden="1" ht="1" customHeight="1">
      <s:c r="A7569" s="120" t="inlineStr"/>
      <s:c r="B7569" s="121" t="n"/>
      <s:c r="C7569" s="121" t="n"/>
      <s:c r="D7569" s="121" t="n"/>
      <s:c r="E7569" s="122" t="n"/>
    </s:row>
    <s:row r="7570" hidden="1" ht="1" customHeight="1">
      <s:c r="A7570" s="120" t="inlineStr"/>
      <s:c r="B7570" s="121" t="n"/>
      <s:c r="C7570" s="121" t="n"/>
      <s:c r="D7570" s="121" t="n"/>
      <s:c r="E7570" s="122" t="n"/>
    </s:row>
    <s:row r="7571" hidden="1" ht="1" customHeight="1">
      <s:c r="A7571" s="120" t="inlineStr"/>
      <s:c r="B7571" s="121" t="n"/>
      <s:c r="C7571" s="121" t="n"/>
      <s:c r="D7571" s="121" t="n"/>
      <s:c r="E7571" s="122" t="n"/>
    </s:row>
    <s:row r="7572" hidden="1" ht="1" customHeight="1">
      <s:c r="A7572" s="120" t="inlineStr"/>
      <s:c r="B7572" s="121" t="n"/>
      <s:c r="C7572" s="121" t="n"/>
      <s:c r="D7572" s="121" t="n"/>
      <s:c r="E7572" s="122" t="n"/>
    </s:row>
    <s:row r="7573" hidden="1" ht="1" customHeight="1">
      <s:c r="A7573" s="120" t="inlineStr"/>
      <s:c r="B7573" s="121" t="n"/>
      <s:c r="C7573" s="121" t="n"/>
      <s:c r="D7573" s="121" t="n"/>
      <s:c r="E7573" s="122" t="n"/>
    </s:row>
    <s:row r="7574" hidden="1" ht="1" customHeight="1">
      <s:c r="A7574" s="120" t="inlineStr"/>
      <s:c r="B7574" s="121" t="n"/>
      <s:c r="C7574" s="121" t="n"/>
      <s:c r="D7574" s="121" t="n"/>
      <s:c r="E7574" s="122" t="n"/>
    </s:row>
    <s:row r="7575" hidden="1" ht="1" customHeight="1">
      <s:c r="A7575" s="120" t="inlineStr"/>
      <s:c r="B7575" s="121" t="n"/>
      <s:c r="C7575" s="121" t="n"/>
      <s:c r="D7575" s="121" t="n"/>
      <s:c r="E7575" s="122" t="n"/>
    </s:row>
    <s:row r="7576" hidden="1" ht="1" customHeight="1">
      <s:c r="A7576" s="120" t="inlineStr"/>
      <s:c r="B7576" s="121" t="n"/>
      <s:c r="C7576" s="121" t="n"/>
      <s:c r="D7576" s="121" t="n"/>
      <s:c r="E7576" s="122" t="n"/>
    </s:row>
    <s:row r="7577" hidden="1" ht="1" customHeight="1">
      <s:c r="A7577" s="120" t="inlineStr"/>
      <s:c r="B7577" s="121" t="n"/>
      <s:c r="C7577" s="121" t="n"/>
      <s:c r="D7577" s="121" t="n"/>
      <s:c r="E7577" s="122" t="n"/>
    </s:row>
    <s:row r="7578" hidden="1" ht="1" customHeight="1">
      <s:c r="A7578" s="120" t="inlineStr"/>
      <s:c r="B7578" s="121" t="n"/>
      <s:c r="C7578" s="121" t="n"/>
      <s:c r="D7578" s="121" t="n"/>
      <s:c r="E7578" s="122" t="n"/>
    </s:row>
    <s:row r="7579" hidden="1" ht="1" customHeight="1">
      <s:c r="A7579" s="120" t="inlineStr"/>
      <s:c r="B7579" s="121" t="n"/>
      <s:c r="C7579" s="121" t="n"/>
      <s:c r="D7579" s="121" t="n"/>
      <s:c r="E7579" s="122" t="n"/>
    </s:row>
    <s:row r="7580" hidden="1" ht="1" customHeight="1">
      <s:c r="A7580" s="120" t="inlineStr"/>
      <s:c r="B7580" s="121" t="n"/>
      <s:c r="C7580" s="121" t="n"/>
      <s:c r="D7580" s="121" t="n"/>
      <s:c r="E7580" s="122" t="n"/>
    </s:row>
    <s:row r="7581" hidden="1" ht="1" customHeight="1">
      <s:c r="A7581" s="120" t="inlineStr"/>
      <s:c r="B7581" s="121" t="n"/>
      <s:c r="C7581" s="121" t="n"/>
      <s:c r="D7581" s="121" t="n"/>
      <s:c r="E7581" s="122" t="n"/>
    </s:row>
    <s:row r="7582" hidden="1" ht="1" customHeight="1">
      <s:c r="A7582" s="120" t="inlineStr"/>
      <s:c r="B7582" s="121" t="n"/>
      <s:c r="C7582" s="121" t="n"/>
      <s:c r="D7582" s="121" t="n"/>
      <s:c r="E7582" s="122" t="n"/>
    </s:row>
    <s:row r="7583" hidden="1" ht="1" customHeight="1">
      <s:c r="A7583" s="120" t="inlineStr"/>
      <s:c r="B7583" s="121" t="n"/>
      <s:c r="C7583" s="121" t="n"/>
      <s:c r="D7583" s="121" t="n"/>
      <s:c r="E7583" s="122" t="n"/>
    </s:row>
    <s:row r="7584" hidden="1" ht="1" customHeight="1">
      <s:c r="A7584" s="120" t="inlineStr"/>
      <s:c r="B7584" s="121" t="n"/>
      <s:c r="C7584" s="121" t="n"/>
      <s:c r="D7584" s="121" t="n"/>
      <s:c r="E7584" s="122" t="n"/>
    </s:row>
    <s:row r="7585" hidden="1" ht="1" customHeight="1">
      <s:c r="A7585" s="120" t="inlineStr"/>
      <s:c r="B7585" s="121" t="n"/>
      <s:c r="C7585" s="121" t="n"/>
      <s:c r="D7585" s="121" t="n"/>
      <s:c r="E7585" s="122" t="n"/>
    </s:row>
    <s:row r="7586" hidden="1" ht="1" customHeight="1">
      <s:c r="A7586" s="120" t="inlineStr"/>
      <s:c r="B7586" s="121" t="n"/>
      <s:c r="C7586" s="121" t="n"/>
      <s:c r="D7586" s="121" t="n"/>
      <s:c r="E7586" s="122" t="n"/>
    </s:row>
    <s:row r="7587" hidden="1" ht="1" customHeight="1">
      <s:c r="A7587" s="120" t="inlineStr"/>
      <s:c r="B7587" s="121" t="n"/>
      <s:c r="C7587" s="121" t="n"/>
      <s:c r="D7587" s="121" t="n"/>
      <s:c r="E7587" s="122" t="n"/>
    </s:row>
    <s:row r="7588" hidden="1" ht="1" customHeight="1">
      <s:c r="A7588" s="120" t="inlineStr"/>
      <s:c r="B7588" s="121" t="n"/>
      <s:c r="C7588" s="121" t="n"/>
      <s:c r="D7588" s="121" t="n"/>
      <s:c r="E7588" s="122" t="n"/>
    </s:row>
    <s:row r="7589" hidden="1" ht="1" customHeight="1">
      <s:c r="A7589" s="120" t="inlineStr"/>
      <s:c r="B7589" s="121" t="n"/>
      <s:c r="C7589" s="121" t="n"/>
      <s:c r="D7589" s="121" t="n"/>
      <s:c r="E7589" s="122" t="n"/>
    </s:row>
    <s:row r="7590" hidden="1" ht="1" customHeight="1">
      <s:c r="A7590" s="120" t="inlineStr"/>
      <s:c r="B7590" s="121" t="n"/>
      <s:c r="C7590" s="121" t="n"/>
      <s:c r="D7590" s="121" t="n"/>
      <s:c r="E7590" s="122" t="n"/>
    </s:row>
    <s:row r="7591" hidden="1" ht="1" customHeight="1">
      <s:c r="A7591" s="120" t="inlineStr"/>
      <s:c r="B7591" s="121" t="n"/>
      <s:c r="C7591" s="121" t="n"/>
      <s:c r="D7591" s="121" t="n"/>
      <s:c r="E7591" s="122" t="n"/>
    </s:row>
    <s:row r="7592" hidden="1" ht="1" customHeight="1">
      <s:c r="A7592" s="120" t="inlineStr"/>
      <s:c r="B7592" s="121" t="n"/>
      <s:c r="C7592" s="121" t="n"/>
      <s:c r="D7592" s="121" t="n"/>
      <s:c r="E7592" s="122" t="n"/>
    </s:row>
    <s:row r="7593" hidden="1" ht="1" customHeight="1">
      <s:c r="A7593" s="120" t="inlineStr"/>
      <s:c r="B7593" s="121" t="n"/>
      <s:c r="C7593" s="121" t="n"/>
      <s:c r="D7593" s="121" t="n"/>
      <s:c r="E7593" s="122" t="n"/>
    </s:row>
    <s:row r="7594" hidden="1" ht="1" customHeight="1">
      <s:c r="A7594" s="120" t="inlineStr"/>
      <s:c r="B7594" s="121" t="n"/>
      <s:c r="C7594" s="121" t="n"/>
      <s:c r="D7594" s="121" t="n"/>
      <s:c r="E7594" s="122" t="n"/>
    </s:row>
    <s:row r="7595" hidden="1" ht="1" customHeight="1">
      <s:c r="A7595" s="120" t="inlineStr"/>
      <s:c r="B7595" s="121" t="n"/>
      <s:c r="C7595" s="121" t="n"/>
      <s:c r="D7595" s="121" t="n"/>
      <s:c r="E7595" s="122" t="n"/>
    </s:row>
    <s:row r="7596" hidden="1" ht="1" customHeight="1">
      <s:c r="A7596" s="120" t="inlineStr"/>
      <s:c r="B7596" s="121" t="n"/>
      <s:c r="C7596" s="121" t="n"/>
      <s:c r="D7596" s="121" t="n"/>
      <s:c r="E7596" s="122" t="n"/>
    </s:row>
    <s:row r="7597" hidden="1" ht="1" customHeight="1">
      <s:c r="A7597" s="120" t="inlineStr"/>
      <s:c r="B7597" s="121" t="n"/>
      <s:c r="C7597" s="121" t="n"/>
      <s:c r="D7597" s="121" t="n"/>
      <s:c r="E7597" s="122" t="n"/>
    </s:row>
    <s:row r="7598" hidden="1" ht="1" customHeight="1">
      <s:c r="A7598" s="120" t="inlineStr"/>
      <s:c r="B7598" s="121" t="n"/>
      <s:c r="C7598" s="121" t="n"/>
      <s:c r="D7598" s="121" t="n"/>
      <s:c r="E7598" s="122" t="n"/>
    </s:row>
    <s:row r="7599" hidden="1" ht="1" customHeight="1">
      <s:c r="A7599" s="120" t="inlineStr"/>
      <s:c r="B7599" s="121" t="n"/>
      <s:c r="C7599" s="121" t="n"/>
      <s:c r="D7599" s="121" t="n"/>
      <s:c r="E7599" s="122" t="n"/>
    </s:row>
    <s:row r="7600" hidden="1" ht="1" customHeight="1">
      <s:c r="A7600" s="120" t="inlineStr"/>
      <s:c r="B7600" s="121" t="n"/>
      <s:c r="C7600" s="121" t="n"/>
      <s:c r="D7600" s="121" t="n"/>
      <s:c r="E7600" s="122" t="n"/>
    </s:row>
    <s:row r="7601" hidden="1" ht="1" customHeight="1">
      <s:c r="A7601" s="120" t="inlineStr"/>
      <s:c r="B7601" s="121" t="n"/>
      <s:c r="C7601" s="121" t="n"/>
      <s:c r="D7601" s="121" t="n"/>
      <s:c r="E7601" s="122" t="n"/>
    </s:row>
    <s:row r="7602" hidden="1" ht="1" customHeight="1">
      <s:c r="A7602" s="120" t="inlineStr"/>
      <s:c r="B7602" s="121" t="n"/>
      <s:c r="C7602" s="121" t="n"/>
      <s:c r="D7602" s="121" t="n"/>
      <s:c r="E7602" s="122" t="n"/>
    </s:row>
    <s:row r="7603" hidden="1" ht="1" customHeight="1">
      <s:c r="A7603" s="120" t="inlineStr"/>
      <s:c r="B7603" s="121" t="n"/>
      <s:c r="C7603" s="121" t="n"/>
      <s:c r="D7603" s="121" t="n"/>
      <s:c r="E7603" s="122" t="n"/>
    </s:row>
    <s:row r="7604" hidden="1" ht="1" customHeight="1">
      <s:c r="A7604" s="120" t="inlineStr"/>
      <s:c r="B7604" s="121" t="n"/>
      <s:c r="C7604" s="121" t="n"/>
      <s:c r="D7604" s="121" t="n"/>
      <s:c r="E7604" s="122" t="n"/>
    </s:row>
    <s:row r="7605" hidden="1" ht="1" customHeight="1">
      <s:c r="A7605" s="120" t="inlineStr"/>
      <s:c r="B7605" s="121" t="n"/>
      <s:c r="C7605" s="121" t="n"/>
      <s:c r="D7605" s="121" t="n"/>
      <s:c r="E7605" s="122" t="n"/>
    </s:row>
    <s:row r="7606" hidden="1" ht="1" customHeight="1">
      <s:c r="A7606" s="120" t="inlineStr"/>
      <s:c r="B7606" s="121" t="n"/>
      <s:c r="C7606" s="121" t="n"/>
      <s:c r="D7606" s="121" t="n"/>
      <s:c r="E7606" s="122" t="n"/>
    </s:row>
    <s:row r="7607" hidden="1" ht="1" customHeight="1">
      <s:c r="A7607" s="120" t="inlineStr"/>
      <s:c r="B7607" s="121" t="n"/>
      <s:c r="C7607" s="121" t="n"/>
      <s:c r="D7607" s="121" t="n"/>
      <s:c r="E7607" s="122" t="n"/>
    </s:row>
    <s:row r="7608" hidden="1" ht="1" customHeight="1">
      <s:c r="A7608" s="120" t="inlineStr"/>
      <s:c r="B7608" s="121" t="n"/>
      <s:c r="C7608" s="121" t="n"/>
      <s:c r="D7608" s="121" t="n"/>
      <s:c r="E7608" s="122" t="n"/>
    </s:row>
    <s:row r="7609" hidden="1" ht="1" customHeight="1">
      <s:c r="A7609" s="120" t="inlineStr"/>
      <s:c r="B7609" s="121" t="n"/>
      <s:c r="C7609" s="121" t="n"/>
      <s:c r="D7609" s="121" t="n"/>
      <s:c r="E7609" s="122" t="n"/>
    </s:row>
    <s:row r="7610" hidden="1" ht="1" customHeight="1">
      <s:c r="A7610" s="120" t="inlineStr"/>
      <s:c r="B7610" s="121" t="n"/>
      <s:c r="C7610" s="121" t="n"/>
      <s:c r="D7610" s="121" t="n"/>
      <s:c r="E7610" s="122" t="n"/>
    </s:row>
    <s:row r="7611" hidden="1" ht="1" customHeight="1">
      <s:c r="A7611" s="120" t="inlineStr"/>
      <s:c r="B7611" s="121" t="n"/>
      <s:c r="C7611" s="121" t="n"/>
      <s:c r="D7611" s="121" t="n"/>
      <s:c r="E7611" s="122" t="n"/>
    </s:row>
    <s:row r="7612" hidden="1" ht="1" customHeight="1">
      <s:c r="A7612" s="120" t="inlineStr"/>
      <s:c r="B7612" s="121" t="n"/>
      <s:c r="C7612" s="121" t="n"/>
      <s:c r="D7612" s="121" t="n"/>
      <s:c r="E7612" s="122" t="n"/>
    </s:row>
    <s:row r="7613" hidden="1" ht="1" customHeight="1">
      <s:c r="A7613" s="120" t="inlineStr"/>
      <s:c r="B7613" s="121" t="n"/>
      <s:c r="C7613" s="121" t="n"/>
      <s:c r="D7613" s="121" t="n"/>
      <s:c r="E7613" s="122" t="n"/>
    </s:row>
    <s:row r="7614" hidden="1" ht="1" customHeight="1">
      <s:c r="A7614" s="120" t="inlineStr"/>
      <s:c r="B7614" s="121" t="n"/>
      <s:c r="C7614" s="121" t="n"/>
      <s:c r="D7614" s="121" t="n"/>
      <s:c r="E7614" s="122" t="n"/>
    </s:row>
    <s:row r="7615" hidden="1" ht="1" customHeight="1">
      <s:c r="A7615" s="120" t="inlineStr"/>
      <s:c r="B7615" s="121" t="n"/>
      <s:c r="C7615" s="121" t="n"/>
      <s:c r="D7615" s="121" t="n"/>
      <s:c r="E7615" s="122" t="n"/>
    </s:row>
    <s:row r="7616" hidden="1" ht="1" customHeight="1">
      <s:c r="A7616" s="120" t="inlineStr"/>
      <s:c r="B7616" s="121" t="n"/>
      <s:c r="C7616" s="121" t="n"/>
      <s:c r="D7616" s="121" t="n"/>
      <s:c r="E7616" s="122" t="n"/>
    </s:row>
    <s:row r="7617" hidden="1" ht="1" customHeight="1">
      <s:c r="A7617" s="120" t="inlineStr"/>
      <s:c r="B7617" s="121" t="n"/>
      <s:c r="C7617" s="121" t="n"/>
      <s:c r="D7617" s="121" t="n"/>
      <s:c r="E7617" s="122" t="n"/>
    </s:row>
    <s:row r="7618" hidden="1" ht="1" customHeight="1">
      <s:c r="A7618" s="120" t="inlineStr"/>
      <s:c r="B7618" s="121" t="n"/>
      <s:c r="C7618" s="121" t="n"/>
      <s:c r="D7618" s="121" t="n"/>
      <s:c r="E7618" s="122" t="n"/>
    </s:row>
    <s:row r="7619" hidden="1" ht="1" customHeight="1">
      <s:c r="A7619" s="120" t="inlineStr"/>
      <s:c r="B7619" s="121" t="n"/>
      <s:c r="C7619" s="121" t="n"/>
      <s:c r="D7619" s="121" t="n"/>
      <s:c r="E7619" s="122" t="n"/>
    </s:row>
    <s:row r="7620" hidden="1" ht="1" customHeight="1">
      <s:c r="A7620" s="120" t="inlineStr"/>
      <s:c r="B7620" s="121" t="n"/>
      <s:c r="C7620" s="121" t="n"/>
      <s:c r="D7620" s="121" t="n"/>
      <s:c r="E7620" s="122" t="n"/>
    </s:row>
    <s:row r="7621" hidden="1" ht="1" customHeight="1">
      <s:c r="A7621" s="120" t="inlineStr"/>
      <s:c r="B7621" s="121" t="n"/>
      <s:c r="C7621" s="121" t="n"/>
      <s:c r="D7621" s="121" t="n"/>
      <s:c r="E7621" s="122" t="n"/>
    </s:row>
    <s:row r="7622" hidden="1" ht="1" customHeight="1">
      <s:c r="A7622" s="120" t="inlineStr"/>
      <s:c r="B7622" s="121" t="n"/>
      <s:c r="C7622" s="121" t="n"/>
      <s:c r="D7622" s="121" t="n"/>
      <s:c r="E7622" s="122" t="n"/>
    </s:row>
    <s:row r="7623" hidden="1" ht="1" customHeight="1">
      <s:c r="A7623" s="120" t="inlineStr"/>
      <s:c r="B7623" s="121" t="n"/>
      <s:c r="C7623" s="121" t="n"/>
      <s:c r="D7623" s="121" t="n"/>
      <s:c r="E7623" s="122" t="n"/>
    </s:row>
    <s:row r="7624" hidden="1" ht="1" customHeight="1">
      <s:c r="A7624" s="120" t="inlineStr"/>
      <s:c r="B7624" s="121" t="n"/>
      <s:c r="C7624" s="121" t="n"/>
      <s:c r="D7624" s="121" t="n"/>
      <s:c r="E7624" s="122" t="n"/>
    </s:row>
    <s:row r="7625" hidden="1" ht="1" customHeight="1">
      <s:c r="A7625" s="120" t="inlineStr"/>
      <s:c r="B7625" s="121" t="n"/>
      <s:c r="C7625" s="121" t="n"/>
      <s:c r="D7625" s="121" t="n"/>
      <s:c r="E7625" s="122" t="n"/>
    </s:row>
    <s:row r="7626" hidden="1" ht="1" customHeight="1">
      <s:c r="A7626" s="120" t="inlineStr"/>
      <s:c r="B7626" s="121" t="n"/>
      <s:c r="C7626" s="121" t="n"/>
      <s:c r="D7626" s="121" t="n"/>
      <s:c r="E7626" s="122" t="n"/>
    </s:row>
    <s:row r="7627" hidden="1" ht="1" customHeight="1">
      <s:c r="A7627" s="120" t="inlineStr"/>
      <s:c r="B7627" s="121" t="n"/>
      <s:c r="C7627" s="121" t="n"/>
      <s:c r="D7627" s="121" t="n"/>
      <s:c r="E7627" s="122" t="n"/>
    </s:row>
    <s:row r="7628" hidden="1" ht="1" customHeight="1">
      <s:c r="A7628" s="120" t="inlineStr"/>
      <s:c r="B7628" s="121" t="n"/>
      <s:c r="C7628" s="121" t="n"/>
      <s:c r="D7628" s="121" t="n"/>
      <s:c r="E7628" s="122" t="n"/>
    </s:row>
    <s:row r="7629" hidden="1" ht="1" customHeight="1">
      <s:c r="A7629" s="120" t="inlineStr"/>
      <s:c r="B7629" s="121" t="n"/>
      <s:c r="C7629" s="121" t="n"/>
      <s:c r="D7629" s="121" t="n"/>
      <s:c r="E7629" s="122" t="n"/>
    </s:row>
    <s:row r="7630" hidden="1" ht="1" customHeight="1">
      <s:c r="A7630" s="120" t="inlineStr"/>
      <s:c r="B7630" s="121" t="n"/>
      <s:c r="C7630" s="121" t="n"/>
      <s:c r="D7630" s="121" t="n"/>
      <s:c r="E7630" s="122" t="n"/>
    </s:row>
    <s:row r="7631" hidden="1" ht="1" customHeight="1">
      <s:c r="A7631" s="120" t="inlineStr"/>
      <s:c r="B7631" s="121" t="n"/>
      <s:c r="C7631" s="121" t="n"/>
      <s:c r="D7631" s="121" t="n"/>
      <s:c r="E7631" s="122" t="n"/>
    </s:row>
    <s:row r="7632" hidden="1" ht="1" customHeight="1">
      <s:c r="A7632" s="120" t="inlineStr"/>
      <s:c r="B7632" s="121" t="n"/>
      <s:c r="C7632" s="121" t="n"/>
      <s:c r="D7632" s="121" t="n"/>
      <s:c r="E7632" s="122" t="n"/>
    </s:row>
    <s:row r="7633" hidden="1" ht="1" customHeight="1">
      <s:c r="A7633" s="120" t="inlineStr"/>
      <s:c r="B7633" s="121" t="n"/>
      <s:c r="C7633" s="121" t="n"/>
      <s:c r="D7633" s="121" t="n"/>
      <s:c r="E7633" s="122" t="n"/>
    </s:row>
    <s:row r="7634" hidden="1" ht="1" customHeight="1">
      <s:c r="A7634" s="120" t="inlineStr"/>
      <s:c r="B7634" s="121" t="n"/>
      <s:c r="C7634" s="121" t="n"/>
      <s:c r="D7634" s="121" t="n"/>
      <s:c r="E7634" s="122" t="n"/>
    </s:row>
    <s:row r="7635" hidden="1" ht="1" customHeight="1">
      <s:c r="A7635" s="120" t="inlineStr"/>
      <s:c r="B7635" s="121" t="n"/>
      <s:c r="C7635" s="121" t="n"/>
      <s:c r="D7635" s="121" t="n"/>
      <s:c r="E7635" s="122" t="n"/>
    </s:row>
    <s:row r="7636" hidden="1" ht="1" customHeight="1">
      <s:c r="A7636" s="120" t="inlineStr"/>
      <s:c r="B7636" s="121" t="n"/>
      <s:c r="C7636" s="121" t="n"/>
      <s:c r="D7636" s="121" t="n"/>
      <s:c r="E7636" s="122" t="n"/>
    </s:row>
    <s:row r="7637" hidden="1" ht="1" customHeight="1">
      <s:c r="A7637" s="120" t="inlineStr"/>
      <s:c r="B7637" s="121" t="n"/>
      <s:c r="C7637" s="121" t="n"/>
      <s:c r="D7637" s="121" t="n"/>
      <s:c r="E7637" s="122" t="n"/>
    </s:row>
    <s:row r="7638" hidden="1" ht="1" customHeight="1">
      <s:c r="A7638" s="120" t="inlineStr"/>
      <s:c r="B7638" s="121" t="n"/>
      <s:c r="C7638" s="121" t="n"/>
      <s:c r="D7638" s="121" t="n"/>
      <s:c r="E7638" s="122" t="n"/>
    </s:row>
    <s:row r="7639" hidden="1" ht="1" customHeight="1">
      <s:c r="A7639" s="120" t="inlineStr"/>
      <s:c r="B7639" s="121" t="n"/>
      <s:c r="C7639" s="121" t="n"/>
      <s:c r="D7639" s="121" t="n"/>
      <s:c r="E7639" s="122" t="n"/>
    </s:row>
    <s:row r="7640" hidden="1" ht="1" customHeight="1">
      <s:c r="A7640" s="120" t="inlineStr"/>
      <s:c r="B7640" s="121" t="n"/>
      <s:c r="C7640" s="121" t="n"/>
      <s:c r="D7640" s="121" t="n"/>
      <s:c r="E7640" s="122" t="n"/>
    </s:row>
    <s:row r="7641" hidden="1" ht="1" customHeight="1">
      <s:c r="A7641" s="120" t="inlineStr"/>
      <s:c r="B7641" s="121" t="n"/>
      <s:c r="C7641" s="121" t="n"/>
      <s:c r="D7641" s="121" t="n"/>
      <s:c r="E7641" s="122" t="n"/>
    </s:row>
    <s:row r="7642" hidden="1" ht="1" customHeight="1">
      <s:c r="A7642" s="120" t="inlineStr"/>
      <s:c r="B7642" s="121" t="n"/>
      <s:c r="C7642" s="121" t="n"/>
      <s:c r="D7642" s="121" t="n"/>
      <s:c r="E7642" s="122" t="n"/>
    </s:row>
    <s:row r="7643" hidden="1" ht="1" customHeight="1">
      <s:c r="A7643" s="120" t="inlineStr"/>
      <s:c r="B7643" s="121" t="n"/>
      <s:c r="C7643" s="121" t="n"/>
      <s:c r="D7643" s="121" t="n"/>
      <s:c r="E7643" s="122" t="n"/>
    </s:row>
    <s:row r="7644" hidden="1" ht="1" customHeight="1">
      <s:c r="A7644" s="120" t="inlineStr"/>
      <s:c r="B7644" s="121" t="n"/>
      <s:c r="C7644" s="121" t="n"/>
      <s:c r="D7644" s="121" t="n"/>
      <s:c r="E7644" s="122" t="n"/>
    </s:row>
    <s:row r="7645" hidden="1" ht="1" customHeight="1">
      <s:c r="A7645" s="120" t="inlineStr"/>
      <s:c r="B7645" s="121" t="n"/>
      <s:c r="C7645" s="121" t="n"/>
      <s:c r="D7645" s="121" t="n"/>
      <s:c r="E7645" s="122" t="n"/>
    </s:row>
    <s:row r="7646" hidden="1" ht="1" customHeight="1">
      <s:c r="A7646" s="120" t="inlineStr"/>
      <s:c r="B7646" s="121" t="n"/>
      <s:c r="C7646" s="121" t="n"/>
      <s:c r="D7646" s="121" t="n"/>
      <s:c r="E7646" s="122" t="n"/>
    </s:row>
    <s:row r="7647" hidden="1" ht="1" customHeight="1">
      <s:c r="A7647" s="120" t="inlineStr"/>
      <s:c r="B7647" s="121" t="n"/>
      <s:c r="C7647" s="121" t="n"/>
      <s:c r="D7647" s="121" t="n"/>
      <s:c r="E7647" s="122" t="n"/>
    </s:row>
    <s:row r="7648" hidden="1" ht="1" customHeight="1">
      <s:c r="A7648" s="120" t="inlineStr"/>
      <s:c r="B7648" s="121" t="n"/>
      <s:c r="C7648" s="121" t="n"/>
      <s:c r="D7648" s="121" t="n"/>
      <s:c r="E7648" s="122" t="n"/>
    </s:row>
    <s:row r="7649" hidden="1" ht="1" customHeight="1">
      <s:c r="A7649" s="120" t="inlineStr"/>
      <s:c r="B7649" s="121" t="n"/>
      <s:c r="C7649" s="121" t="n"/>
      <s:c r="D7649" s="121" t="n"/>
      <s:c r="E7649" s="122" t="n"/>
    </s:row>
    <s:row r="7650" hidden="1" ht="1" customHeight="1">
      <s:c r="A7650" s="120" t="inlineStr"/>
      <s:c r="B7650" s="121" t="n"/>
      <s:c r="C7650" s="121" t="n"/>
      <s:c r="D7650" s="121" t="n"/>
      <s:c r="E7650" s="122" t="n"/>
    </s:row>
    <s:row r="7651" hidden="1" ht="1" customHeight="1">
      <s:c r="A7651" s="120" t="inlineStr"/>
      <s:c r="B7651" s="121" t="n"/>
      <s:c r="C7651" s="121" t="n"/>
      <s:c r="D7651" s="121" t="n"/>
      <s:c r="E7651" s="122" t="n"/>
    </s:row>
    <s:row r="7652" hidden="1" ht="1" customHeight="1">
      <s:c r="A7652" s="120" t="inlineStr"/>
      <s:c r="B7652" s="121" t="n"/>
      <s:c r="C7652" s="121" t="n"/>
      <s:c r="D7652" s="121" t="n"/>
      <s:c r="E7652" s="122" t="n"/>
    </s:row>
    <s:row r="7653" hidden="1" ht="1" customHeight="1">
      <s:c r="A7653" s="120" t="inlineStr"/>
      <s:c r="B7653" s="121" t="n"/>
      <s:c r="C7653" s="121" t="n"/>
      <s:c r="D7653" s="121" t="n"/>
      <s:c r="E7653" s="122" t="n"/>
    </s:row>
    <s:row r="7654" hidden="1" ht="1" customHeight="1">
      <s:c r="A7654" s="120" t="inlineStr"/>
      <s:c r="B7654" s="121" t="n"/>
      <s:c r="C7654" s="121" t="n"/>
      <s:c r="D7654" s="121" t="n"/>
      <s:c r="E7654" s="122" t="n"/>
    </s:row>
    <s:row r="7655" hidden="1" ht="1" customHeight="1">
      <s:c r="A7655" s="120" t="inlineStr"/>
      <s:c r="B7655" s="121" t="n"/>
      <s:c r="C7655" s="121" t="n"/>
      <s:c r="D7655" s="121" t="n"/>
      <s:c r="E7655" s="122" t="n"/>
    </s:row>
    <s:row r="7656" hidden="1" ht="1" customHeight="1">
      <s:c r="A7656" s="120" t="inlineStr"/>
      <s:c r="B7656" s="121" t="n"/>
      <s:c r="C7656" s="121" t="n"/>
      <s:c r="D7656" s="121" t="n"/>
      <s:c r="E7656" s="122" t="n"/>
    </s:row>
    <s:row r="7657" hidden="1" ht="1" customHeight="1">
      <s:c r="A7657" s="120" t="inlineStr"/>
      <s:c r="B7657" s="121" t="n"/>
      <s:c r="C7657" s="121" t="n"/>
      <s:c r="D7657" s="121" t="n"/>
      <s:c r="E7657" s="122" t="n"/>
    </s:row>
    <s:row r="7658" hidden="1" ht="1" customHeight="1">
      <s:c r="A7658" s="120" t="inlineStr"/>
      <s:c r="B7658" s="121" t="n"/>
      <s:c r="C7658" s="121" t="n"/>
      <s:c r="D7658" s="121" t="n"/>
      <s:c r="E7658" s="122" t="n"/>
    </s:row>
    <s:row r="7659" hidden="1" ht="1" customHeight="1">
      <s:c r="A7659" s="120" t="inlineStr"/>
      <s:c r="B7659" s="121" t="n"/>
      <s:c r="C7659" s="121" t="n"/>
      <s:c r="D7659" s="121" t="n"/>
      <s:c r="E7659" s="122" t="n"/>
    </s:row>
    <s:row r="7660" hidden="1" ht="1" customHeight="1">
      <s:c r="A7660" s="120" t="inlineStr"/>
      <s:c r="B7660" s="121" t="n"/>
      <s:c r="C7660" s="121" t="n"/>
      <s:c r="D7660" s="121" t="n"/>
      <s:c r="E7660" s="122" t="n"/>
    </s:row>
    <s:row r="7661" hidden="1" ht="1" customHeight="1">
      <s:c r="A7661" s="120" t="inlineStr"/>
      <s:c r="B7661" s="121" t="n"/>
      <s:c r="C7661" s="121" t="n"/>
      <s:c r="D7661" s="121" t="n"/>
      <s:c r="E7661" s="122" t="n"/>
    </s:row>
    <s:row r="7662" hidden="1" ht="1" customHeight="1">
      <s:c r="A7662" s="120" t="inlineStr"/>
      <s:c r="B7662" s="121" t="n"/>
      <s:c r="C7662" s="121" t="n"/>
      <s:c r="D7662" s="121" t="n"/>
      <s:c r="E7662" s="122" t="n"/>
    </s:row>
    <s:row r="7663" hidden="1" ht="1" customHeight="1">
      <s:c r="A7663" s="120" t="inlineStr"/>
      <s:c r="B7663" s="121" t="n"/>
      <s:c r="C7663" s="121" t="n"/>
      <s:c r="D7663" s="121" t="n"/>
      <s:c r="E7663" s="122" t="n"/>
    </s:row>
    <s:row r="7664" hidden="1" ht="1" customHeight="1">
      <s:c r="A7664" s="120" t="inlineStr"/>
      <s:c r="B7664" s="121" t="n"/>
      <s:c r="C7664" s="121" t="n"/>
      <s:c r="D7664" s="121" t="n"/>
      <s:c r="E7664" s="122" t="n"/>
    </s:row>
    <s:row r="7665" hidden="1" ht="1" customHeight="1">
      <s:c r="A7665" s="120" t="inlineStr"/>
      <s:c r="B7665" s="121" t="n"/>
      <s:c r="C7665" s="121" t="n"/>
      <s:c r="D7665" s="121" t="n"/>
      <s:c r="E7665" s="122" t="n"/>
    </s:row>
    <s:row r="7666" hidden="1" ht="1" customHeight="1">
      <s:c r="A7666" s="120" t="inlineStr"/>
      <s:c r="B7666" s="121" t="n"/>
      <s:c r="C7666" s="121" t="n"/>
      <s:c r="D7666" s="121" t="n"/>
      <s:c r="E7666" s="122" t="n"/>
    </s:row>
    <s:row r="7667" hidden="1" ht="1" customHeight="1">
      <s:c r="A7667" s="120" t="inlineStr"/>
      <s:c r="B7667" s="121" t="n"/>
      <s:c r="C7667" s="121" t="n"/>
      <s:c r="D7667" s="121" t="n"/>
      <s:c r="E7667" s="122" t="n"/>
    </s:row>
    <s:row r="7668" hidden="1" ht="1" customHeight="1">
      <s:c r="A7668" s="120" t="inlineStr"/>
      <s:c r="B7668" s="121" t="n"/>
      <s:c r="C7668" s="121" t="n"/>
      <s:c r="D7668" s="121" t="n"/>
      <s:c r="E7668" s="122" t="n"/>
    </s:row>
    <s:row r="7669" hidden="1" ht="1" customHeight="1">
      <s:c r="A7669" s="120" t="inlineStr"/>
      <s:c r="B7669" s="121" t="n"/>
      <s:c r="C7669" s="121" t="n"/>
      <s:c r="D7669" s="121" t="n"/>
      <s:c r="E7669" s="122" t="n"/>
    </s:row>
    <s:row r="7670" hidden="1" ht="1" customHeight="1">
      <s:c r="A7670" s="120" t="inlineStr"/>
      <s:c r="B7670" s="121" t="n"/>
      <s:c r="C7670" s="121" t="n"/>
      <s:c r="D7670" s="121" t="n"/>
      <s:c r="E7670" s="122" t="n"/>
    </s:row>
    <s:row r="7671" hidden="1" ht="1" customHeight="1">
      <s:c r="A7671" s="120" t="inlineStr"/>
      <s:c r="B7671" s="121" t="n"/>
      <s:c r="C7671" s="121" t="n"/>
      <s:c r="D7671" s="121" t="n"/>
      <s:c r="E7671" s="122" t="n"/>
    </s:row>
    <s:row r="7672" hidden="1" ht="1" customHeight="1">
      <s:c r="A7672" s="120" t="inlineStr"/>
      <s:c r="B7672" s="121" t="n"/>
      <s:c r="C7672" s="121" t="n"/>
      <s:c r="D7672" s="121" t="n"/>
      <s:c r="E7672" s="122" t="n"/>
    </s:row>
    <s:row r="7673" hidden="1" ht="1" customHeight="1">
      <s:c r="A7673" s="120" t="inlineStr"/>
      <s:c r="B7673" s="121" t="n"/>
      <s:c r="C7673" s="121" t="n"/>
      <s:c r="D7673" s="121" t="n"/>
      <s:c r="E7673" s="122" t="n"/>
    </s:row>
    <s:row r="7674" hidden="1" ht="1" customHeight="1">
      <s:c r="A7674" s="120" t="inlineStr"/>
      <s:c r="B7674" s="121" t="n"/>
      <s:c r="C7674" s="121" t="n"/>
      <s:c r="D7674" s="121" t="n"/>
      <s:c r="E7674" s="122" t="n"/>
    </s:row>
    <s:row r="7675" hidden="1" ht="1" customHeight="1">
      <s:c r="A7675" s="120" t="inlineStr"/>
      <s:c r="B7675" s="121" t="n"/>
      <s:c r="C7675" s="121" t="n"/>
      <s:c r="D7675" s="121" t="n"/>
      <s:c r="E7675" s="122" t="n"/>
    </s:row>
    <s:row r="7676" hidden="1" ht="1" customHeight="1">
      <s:c r="A7676" s="120" t="inlineStr"/>
      <s:c r="B7676" s="121" t="n"/>
      <s:c r="C7676" s="121" t="n"/>
      <s:c r="D7676" s="121" t="n"/>
      <s:c r="E7676" s="122" t="n"/>
    </s:row>
    <s:row r="7677" hidden="1" ht="1" customHeight="1">
      <s:c r="A7677" s="120" t="inlineStr"/>
      <s:c r="B7677" s="121" t="n"/>
      <s:c r="C7677" s="121" t="n"/>
      <s:c r="D7677" s="121" t="n"/>
      <s:c r="E7677" s="122" t="n"/>
    </s:row>
    <s:row r="7678" hidden="1" ht="1" customHeight="1">
      <s:c r="A7678" s="120" t="inlineStr"/>
      <s:c r="B7678" s="121" t="n"/>
      <s:c r="C7678" s="121" t="n"/>
      <s:c r="D7678" s="121" t="n"/>
      <s:c r="E7678" s="122" t="n"/>
    </s:row>
    <s:row r="7679" hidden="1" ht="1" customHeight="1">
      <s:c r="A7679" s="120" t="inlineStr"/>
      <s:c r="B7679" s="121" t="n"/>
      <s:c r="C7679" s="121" t="n"/>
      <s:c r="D7679" s="121" t="n"/>
      <s:c r="E7679" s="122" t="n"/>
    </s:row>
    <s:row r="7680" hidden="1" ht="1" customHeight="1">
      <s:c r="A7680" s="120" t="inlineStr"/>
      <s:c r="B7680" s="121" t="n"/>
      <s:c r="C7680" s="121" t="n"/>
      <s:c r="D7680" s="121" t="n"/>
      <s:c r="E7680" s="122" t="n"/>
    </s:row>
    <s:row r="7681" hidden="1" ht="1" customHeight="1">
      <s:c r="A7681" s="120" t="inlineStr"/>
      <s:c r="B7681" s="121" t="n"/>
      <s:c r="C7681" s="121" t="n"/>
      <s:c r="D7681" s="121" t="n"/>
      <s:c r="E7681" s="122" t="n"/>
    </s:row>
    <s:row r="7682" hidden="1" ht="1" customHeight="1">
      <s:c r="A7682" s="120" t="inlineStr"/>
      <s:c r="B7682" s="121" t="n"/>
      <s:c r="C7682" s="121" t="n"/>
      <s:c r="D7682" s="121" t="n"/>
      <s:c r="E7682" s="122" t="n"/>
    </s:row>
    <s:row r="7683" hidden="1" ht="1" customHeight="1">
      <s:c r="A7683" s="120" t="inlineStr"/>
      <s:c r="B7683" s="121" t="n"/>
      <s:c r="C7683" s="121" t="n"/>
      <s:c r="D7683" s="121" t="n"/>
      <s:c r="E7683" s="122" t="n"/>
    </s:row>
    <s:row r="7684" hidden="1" ht="1" customHeight="1">
      <s:c r="A7684" s="120" t="inlineStr"/>
      <s:c r="B7684" s="121" t="n"/>
      <s:c r="C7684" s="121" t="n"/>
      <s:c r="D7684" s="121" t="n"/>
      <s:c r="E7684" s="122" t="n"/>
    </s:row>
    <s:row r="7685" hidden="1" ht="1" customHeight="1">
      <s:c r="A7685" s="120" t="inlineStr"/>
      <s:c r="B7685" s="121" t="n"/>
      <s:c r="C7685" s="121" t="n"/>
      <s:c r="D7685" s="121" t="n"/>
      <s:c r="E7685" s="122" t="n"/>
    </s:row>
    <s:row r="7686" hidden="1" ht="1" customHeight="1">
      <s:c r="A7686" s="120" t="inlineStr"/>
      <s:c r="B7686" s="121" t="n"/>
      <s:c r="C7686" s="121" t="n"/>
      <s:c r="D7686" s="121" t="n"/>
      <s:c r="E7686" s="122" t="n"/>
    </s:row>
    <s:row r="7687" hidden="1" ht="1" customHeight="1">
      <s:c r="A7687" s="120" t="inlineStr"/>
      <s:c r="B7687" s="121" t="n"/>
      <s:c r="C7687" s="121" t="n"/>
      <s:c r="D7687" s="121" t="n"/>
      <s:c r="E7687" s="122" t="n"/>
    </s:row>
    <s:row r="7688" hidden="1" ht="1" customHeight="1">
      <s:c r="A7688" s="120" t="inlineStr"/>
      <s:c r="B7688" s="121" t="n"/>
      <s:c r="C7688" s="121" t="n"/>
      <s:c r="D7688" s="121" t="n"/>
      <s:c r="E7688" s="122" t="n"/>
    </s:row>
    <s:row r="7689" hidden="1" ht="1" customHeight="1">
      <s:c r="A7689" s="120" t="inlineStr"/>
      <s:c r="B7689" s="121" t="n"/>
      <s:c r="C7689" s="121" t="n"/>
      <s:c r="D7689" s="121" t="n"/>
      <s:c r="E7689" s="122" t="n"/>
    </s:row>
    <s:row r="7690" hidden="1" ht="1" customHeight="1">
      <s:c r="A7690" s="120" t="inlineStr"/>
      <s:c r="B7690" s="121" t="n"/>
      <s:c r="C7690" s="121" t="n"/>
      <s:c r="D7690" s="121" t="n"/>
      <s:c r="E7690" s="122" t="n"/>
    </s:row>
    <s:row r="7691" hidden="1" ht="1" customHeight="1">
      <s:c r="A7691" s="120" t="inlineStr"/>
      <s:c r="B7691" s="121" t="n"/>
      <s:c r="C7691" s="121" t="n"/>
      <s:c r="D7691" s="121" t="n"/>
      <s:c r="E7691" s="122" t="n"/>
    </s:row>
    <s:row r="7692" hidden="1" ht="1" customHeight="1">
      <s:c r="A7692" s="120" t="inlineStr"/>
      <s:c r="B7692" s="121" t="n"/>
      <s:c r="C7692" s="121" t="n"/>
      <s:c r="D7692" s="121" t="n"/>
      <s:c r="E7692" s="122" t="n"/>
    </s:row>
    <s:row r="7693" hidden="1" ht="1" customHeight="1">
      <s:c r="A7693" s="120" t="inlineStr"/>
      <s:c r="B7693" s="121" t="n"/>
      <s:c r="C7693" s="121" t="n"/>
      <s:c r="D7693" s="121" t="n"/>
      <s:c r="E7693" s="122" t="n"/>
    </s:row>
    <s:row r="7694" hidden="1" ht="1" customHeight="1">
      <s:c r="A7694" s="120" t="inlineStr"/>
      <s:c r="B7694" s="121" t="n"/>
      <s:c r="C7694" s="121" t="n"/>
      <s:c r="D7694" s="121" t="n"/>
      <s:c r="E7694" s="122" t="n"/>
    </s:row>
    <s:row r="7695" hidden="1" ht="1" customHeight="1">
      <s:c r="A7695" s="120" t="inlineStr"/>
      <s:c r="B7695" s="121" t="n"/>
      <s:c r="C7695" s="121" t="n"/>
      <s:c r="D7695" s="121" t="n"/>
      <s:c r="E7695" s="122" t="n"/>
    </s:row>
    <s:row r="7696" hidden="1" ht="1" customHeight="1">
      <s:c r="A7696" s="120" t="inlineStr"/>
      <s:c r="B7696" s="121" t="n"/>
      <s:c r="C7696" s="121" t="n"/>
      <s:c r="D7696" s="121" t="n"/>
      <s:c r="E7696" s="122" t="n"/>
    </s:row>
    <s:row r="7697" hidden="1" ht="1" customHeight="1">
      <s:c r="A7697" s="120" t="inlineStr"/>
      <s:c r="B7697" s="121" t="n"/>
      <s:c r="C7697" s="121" t="n"/>
      <s:c r="D7697" s="121" t="n"/>
      <s:c r="E7697" s="122" t="n"/>
    </s:row>
    <s:row r="7698" hidden="1" ht="1" customHeight="1">
      <s:c r="A7698" s="120" t="inlineStr"/>
      <s:c r="B7698" s="121" t="n"/>
      <s:c r="C7698" s="121" t="n"/>
      <s:c r="D7698" s="121" t="n"/>
      <s:c r="E7698" s="122" t="n"/>
    </s:row>
    <s:row r="7699" hidden="1" ht="1" customHeight="1">
      <s:c r="A7699" s="120" t="inlineStr"/>
      <s:c r="B7699" s="121" t="n"/>
      <s:c r="C7699" s="121" t="n"/>
      <s:c r="D7699" s="121" t="n"/>
      <s:c r="E7699" s="122" t="n"/>
    </s:row>
    <s:row r="7700" hidden="1" ht="1" customHeight="1">
      <s:c r="A7700" s="120" t="inlineStr"/>
      <s:c r="B7700" s="121" t="n"/>
      <s:c r="C7700" s="121" t="n"/>
      <s:c r="D7700" s="121" t="n"/>
      <s:c r="E7700" s="122" t="n"/>
    </s:row>
    <s:row r="7701" hidden="1" ht="1" customHeight="1">
      <s:c r="A7701" s="120" t="inlineStr"/>
      <s:c r="B7701" s="121" t="n"/>
      <s:c r="C7701" s="121" t="n"/>
      <s:c r="D7701" s="121" t="n"/>
      <s:c r="E7701" s="122" t="n"/>
    </s:row>
    <s:row r="7702" hidden="1" ht="1" customHeight="1">
      <s:c r="A7702" s="120" t="inlineStr"/>
      <s:c r="B7702" s="121" t="n"/>
      <s:c r="C7702" s="121" t="n"/>
      <s:c r="D7702" s="121" t="n"/>
      <s:c r="E7702" s="122" t="n"/>
    </s:row>
    <s:row r="7703" hidden="1" ht="1" customHeight="1">
      <s:c r="A7703" s="120" t="inlineStr"/>
      <s:c r="B7703" s="121" t="n"/>
      <s:c r="C7703" s="121" t="n"/>
      <s:c r="D7703" s="121" t="n"/>
      <s:c r="E7703" s="122" t="n"/>
    </s:row>
    <s:row r="7704" hidden="1" ht="1" customHeight="1">
      <s:c r="A7704" s="120" t="inlineStr"/>
      <s:c r="B7704" s="121" t="n"/>
      <s:c r="C7704" s="121" t="n"/>
      <s:c r="D7704" s="121" t="n"/>
      <s:c r="E7704" s="122" t="n"/>
    </s:row>
    <s:row r="7705" hidden="1" ht="1" customHeight="1">
      <s:c r="A7705" s="120" t="inlineStr"/>
      <s:c r="B7705" s="121" t="n"/>
      <s:c r="C7705" s="121" t="n"/>
      <s:c r="D7705" s="121" t="n"/>
      <s:c r="E7705" s="122" t="n"/>
    </s:row>
    <s:row r="7706" hidden="1" ht="1" customHeight="1">
      <s:c r="A7706" s="120" t="inlineStr"/>
      <s:c r="B7706" s="121" t="n"/>
      <s:c r="C7706" s="121" t="n"/>
      <s:c r="D7706" s="121" t="n"/>
      <s:c r="E7706" s="122" t="n"/>
    </s:row>
    <s:row r="7707" hidden="1" ht="1" customHeight="1">
      <s:c r="A7707" s="120" t="inlineStr"/>
      <s:c r="B7707" s="121" t="n"/>
      <s:c r="C7707" s="121" t="n"/>
      <s:c r="D7707" s="121" t="n"/>
      <s:c r="E7707" s="122" t="n"/>
    </s:row>
    <s:row r="7708" hidden="1" ht="1" customHeight="1">
      <s:c r="A7708" s="120" t="inlineStr"/>
      <s:c r="B7708" s="121" t="n"/>
      <s:c r="C7708" s="121" t="n"/>
      <s:c r="D7708" s="121" t="n"/>
      <s:c r="E7708" s="122" t="n"/>
    </s:row>
    <s:row r="7709" hidden="1" ht="1" customHeight="1">
      <s:c r="A7709" s="120" t="inlineStr"/>
      <s:c r="B7709" s="121" t="n"/>
      <s:c r="C7709" s="121" t="n"/>
      <s:c r="D7709" s="121" t="n"/>
      <s:c r="E7709" s="122" t="n"/>
    </s:row>
    <s:row r="7710" hidden="1" ht="1" customHeight="1">
      <s:c r="A7710" s="120" t="inlineStr"/>
      <s:c r="B7710" s="121" t="n"/>
      <s:c r="C7710" s="121" t="n"/>
      <s:c r="D7710" s="121" t="n"/>
      <s:c r="E7710" s="122" t="n"/>
    </s:row>
    <s:row r="7711" hidden="1" ht="1" customHeight="1">
      <s:c r="A7711" s="120" t="inlineStr"/>
      <s:c r="B7711" s="121" t="n"/>
      <s:c r="C7711" s="121" t="n"/>
      <s:c r="D7711" s="121" t="n"/>
      <s:c r="E7711" s="122" t="n"/>
    </s:row>
    <s:row r="7712" hidden="1" ht="1" customHeight="1">
      <s:c r="A7712" s="120" t="inlineStr"/>
      <s:c r="B7712" s="121" t="n"/>
      <s:c r="C7712" s="121" t="n"/>
      <s:c r="D7712" s="121" t="n"/>
      <s:c r="E7712" s="122" t="n"/>
    </s:row>
    <s:row r="7713" hidden="1" ht="1" customHeight="1">
      <s:c r="A7713" s="120" t="inlineStr"/>
      <s:c r="B7713" s="121" t="n"/>
      <s:c r="C7713" s="121" t="n"/>
      <s:c r="D7713" s="121" t="n"/>
      <s:c r="E7713" s="122" t="n"/>
    </s:row>
    <s:row r="7714" hidden="1" ht="1" customHeight="1">
      <s:c r="A7714" s="120" t="inlineStr"/>
      <s:c r="B7714" s="121" t="n"/>
      <s:c r="C7714" s="121" t="n"/>
      <s:c r="D7714" s="121" t="n"/>
      <s:c r="E7714" s="122" t="n"/>
    </s:row>
    <s:row r="7715" hidden="1" ht="1" customHeight="1">
      <s:c r="A7715" s="120" t="inlineStr"/>
      <s:c r="B7715" s="121" t="n"/>
      <s:c r="C7715" s="121" t="n"/>
      <s:c r="D7715" s="121" t="n"/>
      <s:c r="E7715" s="122" t="n"/>
    </s:row>
    <s:row r="7716" hidden="1" ht="1" customHeight="1">
      <s:c r="A7716" s="120" t="inlineStr"/>
      <s:c r="B7716" s="121" t="n"/>
      <s:c r="C7716" s="121" t="n"/>
      <s:c r="D7716" s="121" t="n"/>
      <s:c r="E7716" s="122" t="n"/>
    </s:row>
    <s:row r="7717" hidden="1" ht="1" customHeight="1">
      <s:c r="A7717" s="120" t="inlineStr"/>
      <s:c r="B7717" s="121" t="n"/>
      <s:c r="C7717" s="121" t="n"/>
      <s:c r="D7717" s="121" t="n"/>
      <s:c r="E7717" s="122" t="n"/>
    </s:row>
    <s:row r="7718" hidden="1" ht="1" customHeight="1">
      <s:c r="A7718" s="120" t="inlineStr"/>
      <s:c r="B7718" s="121" t="n"/>
      <s:c r="C7718" s="121" t="n"/>
      <s:c r="D7718" s="121" t="n"/>
      <s:c r="E7718" s="122" t="n"/>
    </s:row>
    <s:row r="7719" hidden="1" ht="1" customHeight="1">
      <s:c r="A7719" s="120" t="inlineStr"/>
      <s:c r="B7719" s="121" t="n"/>
      <s:c r="C7719" s="121" t="n"/>
      <s:c r="D7719" s="121" t="n"/>
      <s:c r="E7719" s="122" t="n"/>
    </s:row>
    <s:row r="7720" hidden="1" ht="1" customHeight="1">
      <s:c r="A7720" s="120" t="inlineStr"/>
      <s:c r="B7720" s="121" t="n"/>
      <s:c r="C7720" s="121" t="n"/>
      <s:c r="D7720" s="121" t="n"/>
      <s:c r="E7720" s="122" t="n"/>
    </s:row>
    <s:row r="7721" hidden="1" ht="1" customHeight="1">
      <s:c r="A7721" s="120" t="inlineStr"/>
      <s:c r="B7721" s="121" t="n"/>
      <s:c r="C7721" s="121" t="n"/>
      <s:c r="D7721" s="121" t="n"/>
      <s:c r="E7721" s="122" t="n"/>
    </s:row>
    <s:row r="7722" hidden="1" ht="1" customHeight="1">
      <s:c r="A7722" s="120" t="inlineStr"/>
      <s:c r="B7722" s="121" t="n"/>
      <s:c r="C7722" s="121" t="n"/>
      <s:c r="D7722" s="121" t="n"/>
      <s:c r="E7722" s="122" t="n"/>
    </s:row>
    <s:row r="7723" hidden="1" ht="1" customHeight="1">
      <s:c r="A7723" s="120" t="inlineStr"/>
      <s:c r="B7723" s="121" t="n"/>
      <s:c r="C7723" s="121" t="n"/>
      <s:c r="D7723" s="121" t="n"/>
      <s:c r="E7723" s="122" t="n"/>
    </s:row>
    <s:row r="7724" hidden="1" ht="1" customHeight="1">
      <s:c r="A7724" s="120" t="inlineStr"/>
      <s:c r="B7724" s="121" t="n"/>
      <s:c r="C7724" s="121" t="n"/>
      <s:c r="D7724" s="121" t="n"/>
      <s:c r="E7724" s="122" t="n"/>
    </s:row>
    <s:row r="7725" hidden="1" ht="1" customHeight="1">
      <s:c r="A7725" s="120" t="inlineStr"/>
      <s:c r="B7725" s="121" t="n"/>
      <s:c r="C7725" s="121" t="n"/>
      <s:c r="D7725" s="121" t="n"/>
      <s:c r="E7725" s="122" t="n"/>
    </s:row>
    <s:row r="7726" hidden="1" ht="1" customHeight="1">
      <s:c r="A7726" s="120" t="inlineStr"/>
      <s:c r="B7726" s="121" t="n"/>
      <s:c r="C7726" s="121" t="n"/>
      <s:c r="D7726" s="121" t="n"/>
      <s:c r="E7726" s="122" t="n"/>
    </s:row>
    <s:row r="7727" hidden="1" ht="1" customHeight="1">
      <s:c r="A7727" s="120" t="inlineStr"/>
      <s:c r="B7727" s="121" t="n"/>
      <s:c r="C7727" s="121" t="n"/>
      <s:c r="D7727" s="121" t="n"/>
      <s:c r="E7727" s="122" t="n"/>
    </s:row>
    <s:row r="7728" hidden="1" ht="1" customHeight="1">
      <s:c r="A7728" s="120" t="inlineStr"/>
      <s:c r="B7728" s="121" t="n"/>
      <s:c r="C7728" s="121" t="n"/>
      <s:c r="D7728" s="121" t="n"/>
      <s:c r="E7728" s="122" t="n"/>
    </s:row>
    <s:row r="7729" hidden="1" ht="1" customHeight="1">
      <s:c r="A7729" s="120" t="inlineStr"/>
      <s:c r="B7729" s="121" t="n"/>
      <s:c r="C7729" s="121" t="n"/>
      <s:c r="D7729" s="121" t="n"/>
      <s:c r="E7729" s="122" t="n"/>
    </s:row>
    <s:row r="7730" hidden="1" ht="1" customHeight="1">
      <s:c r="A7730" s="120" t="inlineStr"/>
      <s:c r="B7730" s="121" t="n"/>
      <s:c r="C7730" s="121" t="n"/>
      <s:c r="D7730" s="121" t="n"/>
      <s:c r="E7730" s="122" t="n"/>
    </s:row>
    <s:row r="7731" hidden="1" ht="1" customHeight="1">
      <s:c r="A7731" s="120" t="inlineStr"/>
      <s:c r="B7731" s="121" t="n"/>
      <s:c r="C7731" s="121" t="n"/>
      <s:c r="D7731" s="121" t="n"/>
      <s:c r="E7731" s="122" t="n"/>
    </s:row>
    <s:row r="7732" hidden="1" ht="1" customHeight="1">
      <s:c r="A7732" s="120" t="inlineStr"/>
      <s:c r="B7732" s="121" t="n"/>
      <s:c r="C7732" s="121" t="n"/>
      <s:c r="D7732" s="121" t="n"/>
      <s:c r="E7732" s="122" t="n"/>
    </s:row>
    <s:row r="7733" hidden="1" ht="1" customHeight="1">
      <s:c r="A7733" s="120" t="inlineStr"/>
      <s:c r="B7733" s="121" t="n"/>
      <s:c r="C7733" s="121" t="n"/>
      <s:c r="D7733" s="121" t="n"/>
      <s:c r="E7733" s="122" t="n"/>
    </s:row>
    <s:row r="7734" hidden="1" ht="1" customHeight="1">
      <s:c r="A7734" s="120" t="inlineStr"/>
      <s:c r="B7734" s="121" t="n"/>
      <s:c r="C7734" s="121" t="n"/>
      <s:c r="D7734" s="121" t="n"/>
      <s:c r="E7734" s="122" t="n"/>
    </s:row>
    <s:row r="7735" hidden="1" ht="1" customHeight="1">
      <s:c r="A7735" s="120" t="inlineStr"/>
      <s:c r="B7735" s="121" t="n"/>
      <s:c r="C7735" s="121" t="n"/>
      <s:c r="D7735" s="121" t="n"/>
      <s:c r="E7735" s="122" t="n"/>
    </s:row>
    <s:row r="7736" hidden="1" ht="1" customHeight="1">
      <s:c r="A7736" s="120" t="inlineStr"/>
      <s:c r="B7736" s="121" t="n"/>
      <s:c r="C7736" s="121" t="n"/>
      <s:c r="D7736" s="121" t="n"/>
      <s:c r="E7736" s="122" t="n"/>
    </s:row>
    <s:row r="7737" hidden="1" ht="1" customHeight="1">
      <s:c r="A7737" s="120" t="inlineStr"/>
      <s:c r="B7737" s="121" t="n"/>
      <s:c r="C7737" s="121" t="n"/>
      <s:c r="D7737" s="121" t="n"/>
      <s:c r="E7737" s="122" t="n"/>
    </s:row>
    <s:row r="7738" hidden="1" ht="1" customHeight="1">
      <s:c r="A7738" s="120" t="inlineStr"/>
      <s:c r="B7738" s="121" t="n"/>
      <s:c r="C7738" s="121" t="n"/>
      <s:c r="D7738" s="121" t="n"/>
      <s:c r="E7738" s="122" t="n"/>
    </s:row>
    <s:row r="7739" hidden="1" ht="1" customHeight="1">
      <s:c r="A7739" s="120" t="inlineStr"/>
      <s:c r="B7739" s="121" t="n"/>
      <s:c r="C7739" s="121" t="n"/>
      <s:c r="D7739" s="121" t="n"/>
      <s:c r="E7739" s="122" t="n"/>
    </s:row>
    <s:row r="7740" hidden="1" ht="1" customHeight="1">
      <s:c r="A7740" s="120" t="inlineStr"/>
      <s:c r="B7740" s="121" t="n"/>
      <s:c r="C7740" s="121" t="n"/>
      <s:c r="D7740" s="121" t="n"/>
      <s:c r="E7740" s="122" t="n"/>
    </s:row>
    <s:row r="7741" hidden="1" ht="1" customHeight="1">
      <s:c r="A7741" s="120" t="inlineStr"/>
      <s:c r="B7741" s="121" t="n"/>
      <s:c r="C7741" s="121" t="n"/>
      <s:c r="D7741" s="121" t="n"/>
      <s:c r="E7741" s="122" t="n"/>
    </s:row>
    <s:row r="7742" hidden="1" ht="1" customHeight="1">
      <s:c r="A7742" s="120" t="inlineStr"/>
      <s:c r="B7742" s="121" t="n"/>
      <s:c r="C7742" s="121" t="n"/>
      <s:c r="D7742" s="121" t="n"/>
      <s:c r="E7742" s="122" t="n"/>
    </s:row>
    <s:row r="7743" hidden="1" ht="1" customHeight="1">
      <s:c r="A7743" s="120" t="inlineStr"/>
      <s:c r="B7743" s="121" t="n"/>
      <s:c r="C7743" s="121" t="n"/>
      <s:c r="D7743" s="121" t="n"/>
      <s:c r="E7743" s="122" t="n"/>
    </s:row>
    <s:row r="7744" hidden="1" ht="1" customHeight="1">
      <s:c r="A7744" s="120" t="inlineStr"/>
      <s:c r="B7744" s="121" t="n"/>
      <s:c r="C7744" s="121" t="n"/>
      <s:c r="D7744" s="121" t="n"/>
      <s:c r="E7744" s="122" t="n"/>
    </s:row>
    <s:row r="7745" hidden="1" ht="1" customHeight="1">
      <s:c r="A7745" s="120" t="inlineStr"/>
      <s:c r="B7745" s="121" t="n"/>
      <s:c r="C7745" s="121" t="n"/>
      <s:c r="D7745" s="121" t="n"/>
      <s:c r="E7745" s="122" t="n"/>
    </s:row>
    <s:row r="7746" hidden="1" ht="1" customHeight="1">
      <s:c r="A7746" s="120" t="inlineStr"/>
      <s:c r="B7746" s="121" t="n"/>
      <s:c r="C7746" s="121" t="n"/>
      <s:c r="D7746" s="121" t="n"/>
      <s:c r="E7746" s="122" t="n"/>
    </s:row>
    <s:row r="7747" hidden="1" ht="1" customHeight="1">
      <s:c r="A7747" s="120" t="inlineStr"/>
      <s:c r="B7747" s="121" t="n"/>
      <s:c r="C7747" s="121" t="n"/>
      <s:c r="D7747" s="121" t="n"/>
      <s:c r="E7747" s="122" t="n"/>
    </s:row>
    <s:row r="7748" hidden="1" ht="1" customHeight="1">
      <s:c r="A7748" s="120" t="inlineStr"/>
      <s:c r="B7748" s="121" t="n"/>
      <s:c r="C7748" s="121" t="n"/>
      <s:c r="D7748" s="121" t="n"/>
      <s:c r="E7748" s="122" t="n"/>
    </s:row>
    <s:row r="7749" hidden="1" ht="1" customHeight="1">
      <s:c r="A7749" s="120" t="inlineStr"/>
      <s:c r="B7749" s="121" t="n"/>
      <s:c r="C7749" s="121" t="n"/>
      <s:c r="D7749" s="121" t="n"/>
      <s:c r="E7749" s="122" t="n"/>
    </s:row>
    <s:row r="7750" hidden="1" ht="1" customHeight="1">
      <s:c r="A7750" s="120" t="inlineStr"/>
      <s:c r="B7750" s="121" t="n"/>
      <s:c r="C7750" s="121" t="n"/>
      <s:c r="D7750" s="121" t="n"/>
      <s:c r="E7750" s="122" t="n"/>
    </s:row>
    <s:row r="7751" hidden="1" ht="1" customHeight="1">
      <s:c r="A7751" s="120" t="inlineStr"/>
      <s:c r="B7751" s="121" t="n"/>
      <s:c r="C7751" s="121" t="n"/>
      <s:c r="D7751" s="121" t="n"/>
      <s:c r="E7751" s="122" t="n"/>
    </s:row>
    <s:row r="7752" hidden="1" ht="1" customHeight="1">
      <s:c r="A7752" s="120" t="inlineStr"/>
      <s:c r="B7752" s="121" t="n"/>
      <s:c r="C7752" s="121" t="n"/>
      <s:c r="D7752" s="121" t="n"/>
      <s:c r="E7752" s="122" t="n"/>
    </s:row>
    <s:row r="7753" hidden="1" ht="1" customHeight="1">
      <s:c r="A7753" s="120" t="inlineStr"/>
      <s:c r="B7753" s="121" t="n"/>
      <s:c r="C7753" s="121" t="n"/>
      <s:c r="D7753" s="121" t="n"/>
      <s:c r="E7753" s="122" t="n"/>
    </s:row>
    <s:row r="7754" hidden="1" ht="1" customHeight="1">
      <s:c r="A7754" s="120" t="inlineStr"/>
      <s:c r="B7754" s="121" t="n"/>
      <s:c r="C7754" s="121" t="n"/>
      <s:c r="D7754" s="121" t="n"/>
      <s:c r="E7754" s="122" t="n"/>
    </s:row>
    <s:row r="7755" hidden="1" ht="1" customHeight="1">
      <s:c r="A7755" s="120" t="inlineStr"/>
      <s:c r="B7755" s="121" t="n"/>
      <s:c r="C7755" s="121" t="n"/>
      <s:c r="D7755" s="121" t="n"/>
      <s:c r="E7755" s="122" t="n"/>
    </s:row>
    <s:row r="7756" hidden="1" ht="1" customHeight="1">
      <s:c r="A7756" s="120" t="inlineStr"/>
      <s:c r="B7756" s="121" t="n"/>
      <s:c r="C7756" s="121" t="n"/>
      <s:c r="D7756" s="121" t="n"/>
      <s:c r="E7756" s="122" t="n"/>
    </s:row>
    <s:row r="7757" hidden="1" ht="1" customHeight="1">
      <s:c r="A7757" s="120" t="inlineStr"/>
      <s:c r="B7757" s="121" t="n"/>
      <s:c r="C7757" s="121" t="n"/>
      <s:c r="D7757" s="121" t="n"/>
      <s:c r="E7757" s="122" t="n"/>
    </s:row>
    <s:row r="7758" hidden="1" ht="1" customHeight="1">
      <s:c r="A7758" s="120" t="inlineStr"/>
      <s:c r="B7758" s="121" t="n"/>
      <s:c r="C7758" s="121" t="n"/>
      <s:c r="D7758" s="121" t="n"/>
      <s:c r="E7758" s="122" t="n"/>
    </s:row>
    <s:row r="7759" hidden="1" ht="1" customHeight="1">
      <s:c r="A7759" s="120" t="inlineStr"/>
      <s:c r="B7759" s="121" t="n"/>
      <s:c r="C7759" s="121" t="n"/>
      <s:c r="D7759" s="121" t="n"/>
      <s:c r="E7759" s="122" t="n"/>
    </s:row>
    <s:row r="7760" hidden="1" ht="1" customHeight="1">
      <s:c r="A7760" s="120" t="inlineStr"/>
      <s:c r="B7760" s="121" t="n"/>
      <s:c r="C7760" s="121" t="n"/>
      <s:c r="D7760" s="121" t="n"/>
      <s:c r="E7760" s="122" t="n"/>
    </s:row>
    <s:row r="7761" hidden="1" ht="1" customHeight="1">
      <s:c r="A7761" s="120" t="inlineStr"/>
      <s:c r="B7761" s="121" t="n"/>
      <s:c r="C7761" s="121" t="n"/>
      <s:c r="D7761" s="121" t="n"/>
      <s:c r="E7761" s="122" t="n"/>
    </s:row>
    <s:row r="7762" hidden="1" ht="1" customHeight="1">
      <s:c r="A7762" s="120" t="inlineStr"/>
      <s:c r="B7762" s="121" t="n"/>
      <s:c r="C7762" s="121" t="n"/>
      <s:c r="D7762" s="121" t="n"/>
      <s:c r="E7762" s="122" t="n"/>
    </s:row>
    <s:row r="7763" hidden="1" ht="1" customHeight="1">
      <s:c r="A7763" s="120" t="inlineStr"/>
      <s:c r="B7763" s="121" t="n"/>
      <s:c r="C7763" s="121" t="n"/>
      <s:c r="D7763" s="121" t="n"/>
      <s:c r="E7763" s="122" t="n"/>
    </s:row>
    <s:row r="7764" hidden="1" ht="1" customHeight="1">
      <s:c r="A7764" s="120" t="inlineStr"/>
      <s:c r="B7764" s="121" t="n"/>
      <s:c r="C7764" s="121" t="n"/>
      <s:c r="D7764" s="121" t="n"/>
      <s:c r="E7764" s="122" t="n"/>
    </s:row>
    <s:row r="7765" hidden="1" ht="1" customHeight="1">
      <s:c r="A7765" s="120" t="inlineStr"/>
      <s:c r="B7765" s="121" t="n"/>
      <s:c r="C7765" s="121" t="n"/>
      <s:c r="D7765" s="121" t="n"/>
      <s:c r="E7765" s="122" t="n"/>
    </s:row>
    <s:row r="7766" hidden="1" ht="1" customHeight="1">
      <s:c r="A7766" s="120" t="inlineStr"/>
      <s:c r="B7766" s="121" t="n"/>
      <s:c r="C7766" s="121" t="n"/>
      <s:c r="D7766" s="121" t="n"/>
      <s:c r="E7766" s="122" t="n"/>
    </s:row>
    <s:row r="7767" hidden="1" ht="1" customHeight="1">
      <s:c r="A7767" s="120" t="inlineStr"/>
      <s:c r="B7767" s="121" t="n"/>
      <s:c r="C7767" s="121" t="n"/>
      <s:c r="D7767" s="121" t="n"/>
      <s:c r="E7767" s="122" t="n"/>
    </s:row>
    <s:row r="7768" hidden="1" ht="1" customHeight="1">
      <s:c r="A7768" s="120" t="inlineStr"/>
      <s:c r="B7768" s="121" t="n"/>
      <s:c r="C7768" s="121" t="n"/>
      <s:c r="D7768" s="121" t="n"/>
      <s:c r="E7768" s="122" t="n"/>
    </s:row>
    <s:row r="7769" hidden="1" ht="1" customHeight="1">
      <s:c r="A7769" s="120" t="inlineStr"/>
      <s:c r="B7769" s="121" t="n"/>
      <s:c r="C7769" s="121" t="n"/>
      <s:c r="D7769" s="121" t="n"/>
      <s:c r="E7769" s="122" t="n"/>
    </s:row>
    <s:row r="7770" hidden="1" ht="1" customHeight="1">
      <s:c r="A7770" s="120" t="inlineStr"/>
      <s:c r="B7770" s="121" t="n"/>
      <s:c r="C7770" s="121" t="n"/>
      <s:c r="D7770" s="121" t="n"/>
      <s:c r="E7770" s="122" t="n"/>
    </s:row>
    <s:row r="7771" hidden="1" ht="1" customHeight="1">
      <s:c r="A7771" s="120" t="inlineStr"/>
      <s:c r="B7771" s="121" t="n"/>
      <s:c r="C7771" s="121" t="n"/>
      <s:c r="D7771" s="121" t="n"/>
      <s:c r="E7771" s="122" t="n"/>
    </s:row>
    <s:row r="7772" hidden="1" ht="1" customHeight="1">
      <s:c r="A7772" s="120" t="inlineStr"/>
      <s:c r="B7772" s="121" t="n"/>
      <s:c r="C7772" s="121" t="n"/>
      <s:c r="D7772" s="121" t="n"/>
      <s:c r="E7772" s="122" t="n"/>
    </s:row>
    <s:row r="7773" hidden="1" ht="1" customHeight="1">
      <s:c r="A7773" s="120" t="inlineStr"/>
      <s:c r="B7773" s="121" t="n"/>
      <s:c r="C7773" s="121" t="n"/>
      <s:c r="D7773" s="121" t="n"/>
      <s:c r="E7773" s="122" t="n"/>
    </s:row>
    <s:row r="7774" hidden="1" ht="1" customHeight="1">
      <s:c r="A7774" s="120" t="inlineStr"/>
      <s:c r="B7774" s="121" t="n"/>
      <s:c r="C7774" s="121" t="n"/>
      <s:c r="D7774" s="121" t="n"/>
      <s:c r="E7774" s="122" t="n"/>
    </s:row>
    <s:row r="7775" hidden="1" ht="1" customHeight="1">
      <s:c r="A7775" s="120" t="inlineStr"/>
      <s:c r="B7775" s="121" t="n"/>
      <s:c r="C7775" s="121" t="n"/>
      <s:c r="D7775" s="121" t="n"/>
      <s:c r="E7775" s="122" t="n"/>
    </s:row>
    <s:row r="7776" hidden="1" ht="1" customHeight="1">
      <s:c r="A7776" s="120" t="inlineStr"/>
      <s:c r="B7776" s="121" t="n"/>
      <s:c r="C7776" s="121" t="n"/>
      <s:c r="D7776" s="121" t="n"/>
      <s:c r="E7776" s="122" t="n"/>
    </s:row>
    <s:row r="7777" hidden="1" ht="1" customHeight="1">
      <s:c r="A7777" s="120" t="inlineStr"/>
      <s:c r="B7777" s="121" t="n"/>
      <s:c r="C7777" s="121" t="n"/>
      <s:c r="D7777" s="121" t="n"/>
      <s:c r="E7777" s="122" t="n"/>
    </s:row>
    <s:row r="7778" hidden="1" ht="1" customHeight="1">
      <s:c r="A7778" s="120" t="inlineStr"/>
      <s:c r="B7778" s="121" t="n"/>
      <s:c r="C7778" s="121" t="n"/>
      <s:c r="D7778" s="121" t="n"/>
      <s:c r="E7778" s="122" t="n"/>
    </s:row>
    <s:row r="7779" hidden="1" ht="1" customHeight="1">
      <s:c r="A7779" s="120" t="inlineStr"/>
      <s:c r="B7779" s="121" t="n"/>
      <s:c r="C7779" s="121" t="n"/>
      <s:c r="D7779" s="121" t="n"/>
      <s:c r="E7779" s="122" t="n"/>
    </s:row>
    <s:row r="7780" hidden="1" ht="1" customHeight="1">
      <s:c r="A7780" s="120" t="inlineStr"/>
      <s:c r="B7780" s="121" t="n"/>
      <s:c r="C7780" s="121" t="n"/>
      <s:c r="D7780" s="121" t="n"/>
      <s:c r="E7780" s="122" t="n"/>
    </s:row>
    <s:row r="7781" hidden="1" ht="1" customHeight="1">
      <s:c r="A7781" s="120" t="inlineStr"/>
      <s:c r="B7781" s="121" t="n"/>
      <s:c r="C7781" s="121" t="n"/>
      <s:c r="D7781" s="121" t="n"/>
      <s:c r="E7781" s="122" t="n"/>
    </s:row>
    <s:row r="7782" hidden="1" ht="1" customHeight="1">
      <s:c r="A7782" s="120" t="inlineStr"/>
      <s:c r="B7782" s="121" t="n"/>
      <s:c r="C7782" s="121" t="n"/>
      <s:c r="D7782" s="121" t="n"/>
      <s:c r="E7782" s="122" t="n"/>
    </s:row>
    <s:row r="7783" hidden="1" ht="1" customHeight="1">
      <s:c r="A7783" s="120" t="inlineStr"/>
      <s:c r="B7783" s="121" t="n"/>
      <s:c r="C7783" s="121" t="n"/>
      <s:c r="D7783" s="121" t="n"/>
      <s:c r="E7783" s="122" t="n"/>
    </s:row>
    <s:row r="7784" hidden="1" ht="1" customHeight="1">
      <s:c r="A7784" s="120" t="inlineStr"/>
      <s:c r="B7784" s="121" t="n"/>
      <s:c r="C7784" s="121" t="n"/>
      <s:c r="D7784" s="121" t="n"/>
      <s:c r="E7784" s="122" t="n"/>
    </s:row>
    <s:row r="7785" hidden="1" ht="1" customHeight="1">
      <s:c r="A7785" s="120" t="inlineStr"/>
      <s:c r="B7785" s="121" t="n"/>
      <s:c r="C7785" s="121" t="n"/>
      <s:c r="D7785" s="121" t="n"/>
      <s:c r="E7785" s="122" t="n"/>
    </s:row>
    <s:row r="7786" hidden="1" ht="1" customHeight="1">
      <s:c r="A7786" s="120" t="inlineStr"/>
      <s:c r="B7786" s="121" t="n"/>
      <s:c r="C7786" s="121" t="n"/>
      <s:c r="D7786" s="121" t="n"/>
      <s:c r="E7786" s="122" t="n"/>
    </s:row>
    <s:row r="7787" hidden="1" ht="1" customHeight="1">
      <s:c r="A7787" s="120" t="inlineStr"/>
      <s:c r="B7787" s="121" t="n"/>
      <s:c r="C7787" s="121" t="n"/>
      <s:c r="D7787" s="121" t="n"/>
      <s:c r="E7787" s="122" t="n"/>
    </s:row>
    <s:row r="7788" hidden="1" ht="1" customHeight="1">
      <s:c r="A7788" s="120" t="inlineStr"/>
      <s:c r="B7788" s="121" t="n"/>
      <s:c r="C7788" s="121" t="n"/>
      <s:c r="D7788" s="121" t="n"/>
      <s:c r="E7788" s="122" t="n"/>
    </s:row>
    <s:row r="7789" hidden="1" ht="1" customHeight="1">
      <s:c r="A7789" s="120" t="inlineStr"/>
      <s:c r="B7789" s="121" t="n"/>
      <s:c r="C7789" s="121" t="n"/>
      <s:c r="D7789" s="121" t="n"/>
      <s:c r="E7789" s="122" t="n"/>
    </s:row>
    <s:row r="7790" hidden="1" ht="1" customHeight="1">
      <s:c r="A7790" s="120" t="inlineStr"/>
      <s:c r="B7790" s="121" t="n"/>
      <s:c r="C7790" s="121" t="n"/>
      <s:c r="D7790" s="121" t="n"/>
      <s:c r="E7790" s="122" t="n"/>
    </s:row>
    <s:row r="7791" hidden="1" ht="1" customHeight="1">
      <s:c r="A7791" s="120" t="inlineStr"/>
      <s:c r="B7791" s="121" t="n"/>
      <s:c r="C7791" s="121" t="n"/>
      <s:c r="D7791" s="121" t="n"/>
      <s:c r="E7791" s="122" t="n"/>
    </s:row>
    <s:row r="7792" hidden="1" ht="1" customHeight="1">
      <s:c r="A7792" s="120" t="inlineStr"/>
      <s:c r="B7792" s="121" t="n"/>
      <s:c r="C7792" s="121" t="n"/>
      <s:c r="D7792" s="121" t="n"/>
      <s:c r="E7792" s="122" t="n"/>
    </s:row>
    <s:row r="7793" hidden="1" ht="1" customHeight="1">
      <s:c r="A7793" s="120" t="inlineStr"/>
      <s:c r="B7793" s="121" t="n"/>
      <s:c r="C7793" s="121" t="n"/>
      <s:c r="D7793" s="121" t="n"/>
      <s:c r="E7793" s="122" t="n"/>
    </s:row>
    <s:row r="7794" hidden="1" ht="1" customHeight="1">
      <s:c r="A7794" s="120" t="inlineStr"/>
      <s:c r="B7794" s="121" t="n"/>
      <s:c r="C7794" s="121" t="n"/>
      <s:c r="D7794" s="121" t="n"/>
      <s:c r="E7794" s="122" t="n"/>
    </s:row>
    <s:row r="7795" hidden="1" ht="1" customHeight="1">
      <s:c r="A7795" s="120" t="inlineStr"/>
      <s:c r="B7795" s="121" t="n"/>
      <s:c r="C7795" s="121" t="n"/>
      <s:c r="D7795" s="121" t="n"/>
      <s:c r="E7795" s="122" t="n"/>
    </s:row>
    <s:row r="7796" hidden="1" ht="1" customHeight="1">
      <s:c r="A7796" s="120" t="inlineStr"/>
      <s:c r="B7796" s="121" t="n"/>
      <s:c r="C7796" s="121" t="n"/>
      <s:c r="D7796" s="121" t="n"/>
      <s:c r="E7796" s="122" t="n"/>
    </s:row>
    <s:row r="7797" hidden="1" ht="1" customHeight="1">
      <s:c r="A7797" s="120" t="inlineStr"/>
      <s:c r="B7797" s="121" t="n"/>
      <s:c r="C7797" s="121" t="n"/>
      <s:c r="D7797" s="121" t="n"/>
      <s:c r="E7797" s="122" t="n"/>
    </s:row>
    <s:row r="7798" hidden="1" ht="1" customHeight="1">
      <s:c r="A7798" s="120" t="inlineStr"/>
      <s:c r="B7798" s="121" t="n"/>
      <s:c r="C7798" s="121" t="n"/>
      <s:c r="D7798" s="121" t="n"/>
      <s:c r="E7798" s="122" t="n"/>
    </s:row>
    <s:row r="7799" hidden="1" ht="1" customHeight="1">
      <s:c r="A7799" s="120" t="inlineStr"/>
      <s:c r="B7799" s="121" t="n"/>
      <s:c r="C7799" s="121" t="n"/>
      <s:c r="D7799" s="121" t="n"/>
      <s:c r="E7799" s="122" t="n"/>
    </s:row>
    <s:row r="7800" hidden="1" ht="1" customHeight="1">
      <s:c r="A7800" s="120" t="inlineStr"/>
      <s:c r="B7800" s="121" t="n"/>
      <s:c r="C7800" s="121" t="n"/>
      <s:c r="D7800" s="121" t="n"/>
      <s:c r="E7800" s="122" t="n"/>
    </s:row>
    <s:row r="7801" hidden="1" ht="1" customHeight="1">
      <s:c r="A7801" s="120" t="inlineStr"/>
      <s:c r="B7801" s="121" t="n"/>
      <s:c r="C7801" s="121" t="n"/>
      <s:c r="D7801" s="121" t="n"/>
      <s:c r="E7801" s="122" t="n"/>
    </s:row>
    <s:row r="7802" hidden="1" ht="1" customHeight="1">
      <s:c r="A7802" s="120" t="inlineStr"/>
      <s:c r="B7802" s="121" t="n"/>
      <s:c r="C7802" s="121" t="n"/>
      <s:c r="D7802" s="121" t="n"/>
      <s:c r="E7802" s="122" t="n"/>
    </s:row>
    <s:row r="7803" hidden="1" ht="1" customHeight="1">
      <s:c r="A7803" s="120" t="inlineStr"/>
      <s:c r="B7803" s="121" t="n"/>
      <s:c r="C7803" s="121" t="n"/>
      <s:c r="D7803" s="121" t="n"/>
      <s:c r="E7803" s="122" t="n"/>
    </s:row>
    <s:row r="7804" hidden="1" ht="1" customHeight="1">
      <s:c r="A7804" s="120" t="inlineStr"/>
      <s:c r="B7804" s="121" t="n"/>
      <s:c r="C7804" s="121" t="n"/>
      <s:c r="D7804" s="121" t="n"/>
      <s:c r="E7804" s="122" t="n"/>
    </s:row>
    <s:row r="7805" hidden="1" ht="1" customHeight="1">
      <s:c r="A7805" s="120" t="inlineStr"/>
      <s:c r="B7805" s="121" t="n"/>
      <s:c r="C7805" s="121" t="n"/>
      <s:c r="D7805" s="121" t="n"/>
      <s:c r="E7805" s="122" t="n"/>
    </s:row>
    <s:row r="7806" hidden="1" ht="1" customHeight="1">
      <s:c r="A7806" s="120" t="inlineStr"/>
      <s:c r="B7806" s="121" t="n"/>
      <s:c r="C7806" s="121" t="n"/>
      <s:c r="D7806" s="121" t="n"/>
      <s:c r="E7806" s="122" t="n"/>
    </s:row>
    <s:row r="7807" hidden="1" ht="1" customHeight="1">
      <s:c r="A7807" s="120" t="inlineStr"/>
      <s:c r="B7807" s="121" t="n"/>
      <s:c r="C7807" s="121" t="n"/>
      <s:c r="D7807" s="121" t="n"/>
      <s:c r="E7807" s="122" t="n"/>
    </s:row>
    <s:row r="7808" hidden="1" ht="1" customHeight="1">
      <s:c r="A7808" s="120" t="inlineStr"/>
      <s:c r="B7808" s="121" t="n"/>
      <s:c r="C7808" s="121" t="n"/>
      <s:c r="D7808" s="121" t="n"/>
      <s:c r="E7808" s="122" t="n"/>
    </s:row>
    <s:row r="7809" hidden="1" ht="1" customHeight="1">
      <s:c r="A7809" s="120" t="inlineStr"/>
      <s:c r="B7809" s="121" t="n"/>
      <s:c r="C7809" s="121" t="n"/>
      <s:c r="D7809" s="121" t="n"/>
      <s:c r="E7809" s="122" t="n"/>
    </s:row>
    <s:row r="7810" hidden="1" ht="1" customHeight="1">
      <s:c r="A7810" s="120" t="inlineStr"/>
      <s:c r="B7810" s="121" t="n"/>
      <s:c r="C7810" s="121" t="n"/>
      <s:c r="D7810" s="121" t="n"/>
      <s:c r="E7810" s="122" t="n"/>
    </s:row>
    <s:row r="7811" hidden="1" ht="1" customHeight="1">
      <s:c r="A7811" s="120" t="inlineStr"/>
      <s:c r="B7811" s="121" t="n"/>
      <s:c r="C7811" s="121" t="n"/>
      <s:c r="D7811" s="121" t="n"/>
      <s:c r="E7811" s="122" t="n"/>
    </s:row>
    <s:row r="7812" hidden="1" ht="1" customHeight="1">
      <s:c r="A7812" s="120" t="inlineStr"/>
      <s:c r="B7812" s="121" t="n"/>
      <s:c r="C7812" s="121" t="n"/>
      <s:c r="D7812" s="121" t="n"/>
      <s:c r="E7812" s="122" t="n"/>
    </s:row>
    <s:row r="7813" hidden="1" ht="1" customHeight="1">
      <s:c r="A7813" s="120" t="inlineStr"/>
      <s:c r="B7813" s="121" t="n"/>
      <s:c r="C7813" s="121" t="n"/>
      <s:c r="D7813" s="121" t="n"/>
      <s:c r="E7813" s="122" t="n"/>
    </s:row>
    <s:row r="7814" hidden="1" ht="1" customHeight="1">
      <s:c r="A7814" s="120" t="inlineStr"/>
      <s:c r="B7814" s="121" t="n"/>
      <s:c r="C7814" s="121" t="n"/>
      <s:c r="D7814" s="121" t="n"/>
      <s:c r="E7814" s="122" t="n"/>
    </s:row>
    <s:row r="7815" hidden="1" ht="1" customHeight="1">
      <s:c r="A7815" s="120" t="inlineStr"/>
      <s:c r="B7815" s="121" t="n"/>
      <s:c r="C7815" s="121" t="n"/>
      <s:c r="D7815" s="121" t="n"/>
      <s:c r="E7815" s="122" t="n"/>
    </s:row>
    <s:row r="7816" hidden="1" ht="1" customHeight="1">
      <s:c r="A7816" s="120" t="inlineStr"/>
      <s:c r="B7816" s="121" t="n"/>
      <s:c r="C7816" s="121" t="n"/>
      <s:c r="D7816" s="121" t="n"/>
      <s:c r="E7816" s="122" t="n"/>
    </s:row>
    <s:row r="7817" hidden="1" ht="1" customHeight="1">
      <s:c r="A7817" s="120" t="inlineStr"/>
      <s:c r="B7817" s="121" t="n"/>
      <s:c r="C7817" s="121" t="n"/>
      <s:c r="D7817" s="121" t="n"/>
      <s:c r="E7817" s="122" t="n"/>
    </s:row>
    <s:row r="7818" hidden="1" ht="1" customHeight="1">
      <s:c r="A7818" s="120" t="inlineStr"/>
      <s:c r="B7818" s="121" t="n"/>
      <s:c r="C7818" s="121" t="n"/>
      <s:c r="D7818" s="121" t="n"/>
      <s:c r="E7818" s="122" t="n"/>
    </s:row>
    <s:row r="7819" hidden="1" ht="1" customHeight="1">
      <s:c r="A7819" s="120" t="inlineStr"/>
      <s:c r="B7819" s="121" t="n"/>
      <s:c r="C7819" s="121" t="n"/>
      <s:c r="D7819" s="121" t="n"/>
      <s:c r="E7819" s="122" t="n"/>
    </s:row>
    <s:row r="7820" hidden="1" ht="1" customHeight="1">
      <s:c r="A7820" s="120" t="inlineStr"/>
      <s:c r="B7820" s="121" t="n"/>
      <s:c r="C7820" s="121" t="n"/>
      <s:c r="D7820" s="121" t="n"/>
      <s:c r="E7820" s="122" t="n"/>
    </s:row>
    <s:row r="7821" hidden="1" ht="1" customHeight="1">
      <s:c r="A7821" s="120" t="inlineStr"/>
      <s:c r="B7821" s="121" t="n"/>
      <s:c r="C7821" s="121" t="n"/>
      <s:c r="D7821" s="121" t="n"/>
      <s:c r="E7821" s="122" t="n"/>
    </s:row>
    <s:row r="7822" hidden="1" ht="1" customHeight="1">
      <s:c r="A7822" s="120" t="inlineStr"/>
      <s:c r="B7822" s="121" t="n"/>
      <s:c r="C7822" s="121" t="n"/>
      <s:c r="D7822" s="121" t="n"/>
      <s:c r="E7822" s="122" t="n"/>
    </s:row>
    <s:row r="7823" hidden="1" ht="1" customHeight="1">
      <s:c r="A7823" s="120" t="inlineStr"/>
      <s:c r="B7823" s="121" t="n"/>
      <s:c r="C7823" s="121" t="n"/>
      <s:c r="D7823" s="121" t="n"/>
      <s:c r="E7823" s="122" t="n"/>
    </s:row>
    <s:row r="7824" hidden="1" ht="1" customHeight="1">
      <s:c r="A7824" s="120" t="inlineStr"/>
      <s:c r="B7824" s="121" t="n"/>
      <s:c r="C7824" s="121" t="n"/>
      <s:c r="D7824" s="121" t="n"/>
      <s:c r="E7824" s="122" t="n"/>
    </s:row>
    <s:row r="7825" hidden="1" ht="1" customHeight="1">
      <s:c r="A7825" s="120" t="inlineStr"/>
      <s:c r="B7825" s="121" t="n"/>
      <s:c r="C7825" s="121" t="n"/>
      <s:c r="D7825" s="121" t="n"/>
      <s:c r="E7825" s="122" t="n"/>
    </s:row>
    <s:row r="7826" hidden="1" ht="1" customHeight="1">
      <s:c r="A7826" s="120" t="inlineStr"/>
      <s:c r="B7826" s="121" t="n"/>
      <s:c r="C7826" s="121" t="n"/>
      <s:c r="D7826" s="121" t="n"/>
      <s:c r="E7826" s="122" t="n"/>
    </s:row>
    <s:row r="7827" hidden="1" ht="1" customHeight="1">
      <s:c r="A7827" s="120" t="inlineStr"/>
      <s:c r="B7827" s="121" t="n"/>
      <s:c r="C7827" s="121" t="n"/>
      <s:c r="D7827" s="121" t="n"/>
      <s:c r="E7827" s="122" t="n"/>
    </s:row>
    <s:row r="7828" hidden="1" ht="1" customHeight="1">
      <s:c r="A7828" s="120" t="inlineStr"/>
      <s:c r="B7828" s="121" t="n"/>
      <s:c r="C7828" s="121" t="n"/>
      <s:c r="D7828" s="121" t="n"/>
      <s:c r="E7828" s="122" t="n"/>
    </s:row>
    <s:row r="7829" hidden="1" ht="1" customHeight="1">
      <s:c r="A7829" s="120" t="inlineStr"/>
      <s:c r="B7829" s="121" t="n"/>
      <s:c r="C7829" s="121" t="n"/>
      <s:c r="D7829" s="121" t="n"/>
      <s:c r="E7829" s="122" t="n"/>
    </s:row>
    <s:row r="7830" hidden="1" ht="1" customHeight="1">
      <s:c r="A7830" s="83" t="inlineStr">
        <s:is>
          <s:t>PASS</s:t>
        </s:is>
      </s:c>
      <s:c r="B7830" s="83">
        <s:f>SUM(IF(EXACT('Kiểm thử'!E7480,"Đạt"),1,0),IF(EXACT('Kiểm thử'!E7482,"Đạt"),1,0),IF(EXACT('Kiểm thử'!E7484,"Đạt"),1,0),IF(EXACT('Kiểm thử'!E7486,"Đạt"),1,0),IF(EXACT('Kiểm thử'!E7488,"Đạt"),1,0),IF(EXACT('Kiểm thử'!E7490,"Đạt"),1,0),IF(EXACT('Kiểm thử'!E7492,"Đạt"),1,0))</s:f>
        <s:v/>
      </s:c>
      <s:c r="C7830" s="19" t="n"/>
      <s:c r="D7830" s="19" t="n"/>
      <s:c r="E7830" s="19" t="n"/>
    </s:row>
    <s:row r="7831" hidden="1" ht="1" customHeight="1">
      <s:c r="A7831" s="83" t="inlineStr">
        <s:is>
          <s:t>FAIL</s:t>
        </s:is>
      </s:c>
      <s:c r="B7831" s="83">
        <s:f>SUM(IF(EXACT('Kiểm thử'!E7480,"Không đạt"),1,0),IF(EXACT('Kiểm thử'!E7482,"Không đạt"),1,0),IF(EXACT('Kiểm thử'!E7484,"Không đạt"),1,0),IF(EXACT('Kiểm thử'!E7486,"Không đạt"),1,0),IF(EXACT('Kiểm thử'!E7488,"Không đạt"),1,0),IF(EXACT('Kiểm thử'!E7490,"Không đạt"),1,0),IF(EXACT('Kiểm thử'!E7492,"Không đạt"),1,0))</s:f>
        <s:v/>
      </s:c>
      <s:c r="C7831" s="19" t="n"/>
      <s:c r="D7831" s="19" t="n"/>
      <s:c r="E7831" s="19" t="n"/>
    </s:row>
    <s:row r="7832" hidden="1" ht="1" customHeight="1">
      <s:c r="A7832" s="83" t="inlineStr">
        <s:is>
          <s:t>BLOCKED</s:t>
        </s:is>
      </s:c>
      <s:c r="B7832" s="83">
        <s:f>SUM(IF(EXACT('Kiểm thử'!E7480,"Bị chặn"),1,0),IF(EXACT('Kiểm thử'!E7482,"Bị chặn"),1,0),IF(EXACT('Kiểm thử'!E7484,"Bị chặn"),1,0),IF(EXACT('Kiểm thử'!E7486,"Bị chặn"),1,0),IF(EXACT('Kiểm thử'!E7488,"Bị chặn"),1,0),IF(EXACT('Kiểm thử'!E7490,"Bị chặn"),1,0),IF(EXACT('Kiểm thử'!E7492,"Bị chặn"),1,0))</s:f>
        <s:v/>
      </s:c>
      <s:c r="C7832" s="19" t="n"/>
      <s:c r="D7832" s="19" t="n"/>
      <s:c r="E7832" s="19" t="n"/>
    </s:row>
    <s:row r="7833" hidden="1" ht="1" customHeight="1">
      <s:c r="A7833" s="83" t="inlineStr">
        <s:is>
          <s:t>SKIPPED</s:t>
        </s:is>
      </s:c>
      <s:c r="B7833" s="83">
        <s:f>SUM(IF(EXACT('Kiểm thử'!E7480,"Không thực hiện"),1,0),IF(EXACT('Kiểm thử'!E7482,"Không thực hiện"),1,0),IF(EXACT('Kiểm thử'!E7484,"Không thực hiện"),1,0),IF(EXACT('Kiểm thử'!E7486,"Không thực hiện"),1,0),IF(EXACT('Kiểm thử'!E7488,"Không thực hiện"),1,0),IF(EXACT('Kiểm thử'!E7490,"Không thực hiện"),1,0),IF(EXACT('Kiểm thử'!E7492,"Không thực hiện"),1,0))</s:f>
        <s:v/>
      </s:c>
      <s:c r="C7833" s="19" t="n"/>
      <s:c r="D7833" s="19" t="n"/>
      <s:c r="E7833" s="19" t="n"/>
    </s:row>
    <s:row r="7834" hidden="1" ht="1" customHeight="1">
      <s:c r="A7834" s="83" t="inlineStr">
        <s:is>
          <s:t>NOT RUN</s:t>
        </s:is>
      </s:c>
      <s:c r="B7834" s="83">
        <s:f>SUM(IF(EXACT('Kiểm thử'!E7480,"Chưa thực hiện"),1,0),IF(EXACT('Kiểm thử'!E7482,"Chưa thực hiện"),1,0),IF(EXACT('Kiểm thử'!E7484,"Chưa thực hiện"),1,0),IF(EXACT('Kiểm thử'!E7486,"Chưa thực hiện"),1,0),IF(EXACT('Kiểm thử'!E7488,"Chưa thực hiện"),1,0),IF(EXACT('Kiểm thử'!E7490,"Chưa thực hiện"),1,0),IF(EXACT('Kiểm thử'!E7492,"Chưa thực hiện"),1,0))</s:f>
        <s:v/>
      </s:c>
      <s:c r="C7834" s="19" t="n"/>
      <s:c r="D7834" s="19" t="n"/>
      <s:c r="E7834" s="19" t="n"/>
    </s:row>
    <s:row r="7835" hidden="1" ht="6" customHeight="1">
      <s:c r="A7835" s="83" t="inlineStr"/>
      <s:c r="B7835" s="19" t="n"/>
      <s:c r="C7835" s="19" t="n"/>
      <s:c r="D7835" s="19" t="n"/>
      <s:c r="E7835" s="19" t="n"/>
    </s:row>
    <s:row r="7836" ht="28" customHeight="1">
      <s:c r="A7836" s="108" t="inlineStr">
        <s:is>
          <s:t>TC-RS-VAL-020 — Kết quả công thức âm hoặc vượt M không phải lỗi lưu</s:t>
        </s:is>
      </s:c>
      <s:c r="B7836" s="111" t="n"/>
      <s:c r="C7836" s="111" t="n"/>
      <s:c r="D7836" s="111" t="n"/>
      <s:c r="E7836" s="111" t="n"/>
    </s:row>
    <s:row r="7837" ht="20" customHeight="1">
      <s:c r="A7837" s="112" t="inlineStr">
        <s:is>
          <s:t>Kết quả tình huống</s:t>
        </s:is>
      </s:c>
      <s:c r="B7837" s="113">
        <s:f>IF(SUM(IF(EXACT('Kiểm thử'!E7844,"Không đạt"),1,0),IF(EXACT('Kiểm thử'!E7846,"Không đạt"),1,0))&gt;0,"Không đạt",IF(SUM(IF(EXACT('Kiểm thử'!E7844,"Đạt"),1,0),IF(EXACT('Kiểm thử'!E7846,"Đạt"),1,0))=2,"Đạt",IF(SUM(IF(EXACT('Kiểm thử'!E7844,"Không thực hiện"),1,0),IF(EXACT('Kiểm thử'!E7846,"Không thực hiện"),1,0))=2,"Không thực hiện",IF(SUM(IF(EXACT('Kiểm thử'!E7844,"Bị chặn"),1,0),IF(EXACT('Kiểm thử'!E7846,"Bị chặn"),1,0))&gt;0,"Bị chặn",IF(SUM(IF(EXACT('Kiểm thử'!E7844,"Chưa thực hiện"),1,0),IF(EXACT('Kiểm thử'!E7846,"Chưa thực hiện"),1,0))=2,"Chưa thực hiện","Đang thực hiện")))))</s:f>
        <s:v/>
      </s:c>
      <s:c r="C7837" s="114" t="n"/>
      <s:c r="D7837" s="114" t="n"/>
      <s:c r="E7837" s="114" t="n"/>
    </s:row>
    <s:row r="7838" ht="20" customHeight="1">
      <s:c r="A7838" s="112" t="inlineStr">
        <s:is>
          <s:t>Màn hình / chức năng</s:t>
        </s:is>
      </s:c>
      <s:c r="B7838" s="113" t="inlineStr">
        <s:is>
          <s:r>
            <s:rPr>
              <s:b val="1"/>
            </s:rPr>
            <s:t>Thiết lập ngưỡng（基準設定）</s:t>
          </s:r>
        </s:is>
      </s:c>
      <s:c r="C7838" s="28" t="n"/>
      <s:c r="D7838" s="28" t="n"/>
      <s:c r="E7838" s="28" t="n"/>
    </s:row>
    <s:row r="7839" ht="20" customHeight="1">
      <s:c r="A7839" s="112" t="inlineStr">
        <s:is>
          <s:t>Cấu hình</s:t>
        </s:is>
      </s:c>
      <s:c r="B7839" s="113" t="inlineStr">
        <s:is>
          <s:r>
            <s:t xml:space="preserve">• </s:t>
          </s:r>
          <s:r>
            <s:rPr>
              <s:b val="1"/>
            </s:rPr>
            <s:t>Loại Công thức tính（計算式）</s:t>
          </s:r>
          <s:r>
            <s:t>.</s:t>
          </s:r>
        </s:is>
      </s:c>
      <s:c r="C7839" s="28" t="n"/>
      <s:c r="D7839" s="28" t="n"/>
      <s:c r="E7839" s="28" t="n"/>
    </s:row>
    <s:row r="7840" ht="34" customHeight="1">
      <s:c r="A7840" s="112" t="inlineStr">
        <s:is>
          <s:t>Dữ liệu test</s:t>
        </s:is>
      </s:c>
      <s:c r="B7840" s="113" t="inlineStr">
        <s:is>
          <s:t>• Quy tắc công thức trung bình − 20 ([A−20]);
• Công thức [A × 3]</s:t>
        </s:is>
      </s:c>
      <s:c r="C7840" s="28" t="n"/>
      <s:c r="D7840" s="28" t="n"/>
      <s:c r="E7840" s="28" t="n"/>
    </s:row>
    <s:row r="7841" ht="20" customHeight="1">
      <s:c r="A7841" s="112" t="inlineStr">
        <s:is>
          <s:t>•</s:t>
        </s:is>
      </s:c>
      <s:c r="B7841" s="113" t="inlineStr">
        <s:is>
          <s:t>Lưu từng công thức.</s:t>
        </s:is>
      </s:c>
      <s:c r="C7841" s="28" t="n"/>
      <s:c r="D7841" s="28" t="n"/>
      <s:c r="E7841" s="28" t="n"/>
    </s:row>
    <s:row r="7842" ht="28" customHeight="1">
      <s:c r="A7842" s="115" t="inlineStr">
        <s:is>
          <s:t>Trường hợp</s:t>
        </s:is>
      </s:c>
      <s:c r="B7842" s="115" t="inlineStr">
        <s:is>
          <s:t>Dữ liệu / thao tác riêng</s:t>
        </s:is>
      </s:c>
      <s:c r="C7842" s="115" t="inlineStr">
        <s:is>
          <s:t>Kết quả mong đợi</s:t>
        </s:is>
      </s:c>
      <s:c r="D7842" s="115" t="inlineStr">
        <s:is>
          <s:t>Kết quả thực tế</s:t>
        </s:is>
      </s:c>
      <s:c r="E7842" s="115" t="inlineStr">
        <s:is>
          <s:t>Đánh giá</s:t>
        </s:is>
      </s:c>
    </s:row>
    <s:row r="7843" ht="3" customHeight="1">
      <s:c r="A7843" s="102" t="inlineStr"/>
      <s:c r="B7843" s="99" t="n"/>
      <s:c r="C7843" s="99" t="n"/>
      <s:c r="D7843" s="116" t="n"/>
      <s:c r="E7843" s="116" t="n"/>
    </s:row>
    <s:row r="7844" ht="34" customHeight="1">
      <s:c r="A7844" s="83" t="inlineStr">
        <s:is>
          <s:t>Trừ 20 (minus20)</s:t>
        </s:is>
      </s:c>
      <s:c r="B7844" s="83" t="inlineStr">
        <s:is>
          <s:t>Nhập công thức A−20 và lưu.</s:t>
        </s:is>
      </s:c>
      <s:c r="C7844" s="83" t="inlineStr">
        <s:is>
          <s:t>Lưu được; không kiểm [0≤T≤M] tại lúc lưu cho công thức.</s:t>
        </s:is>
      </s:c>
      <s:c r="D7844" s="117" t="inlineStr"/>
      <s:c r="E7844" s="118" t="inlineStr">
        <s:is>
          <s:t>Chưa thực hiện</s:t>
        </s:is>
      </s:c>
    </s:row>
    <s:row r="7845" ht="3" customHeight="1">
      <s:c r="A7845" s="102" t="inlineStr"/>
      <s:c r="B7845" s="99" t="n"/>
      <s:c r="C7845" s="99" t="n"/>
      <s:c r="D7845" s="116" t="n"/>
      <s:c r="E7845" s="116" t="n"/>
    </s:row>
    <s:row r="7846" ht="34" customHeight="1">
      <s:c r="A7846" s="83" t="inlineStr">
        <s:is>
          <s:t>Nhân 3 (times3)</s:t>
        </s:is>
      </s:c>
      <s:c r="B7846" s="83" t="inlineStr">
        <s:is>
          <s:t>Nhập công thức A×3 và lưu.</s:t>
        </s:is>
      </s:c>
      <s:c r="C7846" s="83" t="inlineStr">
        <s:is>
          <s:t>Lưu được; không kiểm [0≤T≤M] tại lúc lưu cho công thức.</s:t>
        </s:is>
      </s:c>
      <s:c r="D7846" s="117" t="inlineStr"/>
      <s:c r="E7846" s="118" t="inlineStr">
        <s:is>
          <s:t>Chưa thực hiện</s:t>
        </s:is>
      </s:c>
    </s:row>
    <s:row r="7847" ht="20" customHeight="1">
      <s:c r="A7847" s="119" t="inlineStr">
        <s:is>
          <s:t>Ảnh minh chứng — Chưa có ảnh</s:t>
        </s:is>
      </s:c>
      <s:c r="B7847" s="19" t="n"/>
      <s:c r="C7847" s="19" t="n"/>
      <s:c r="D7847" s="19" t="n"/>
      <s:c r="E7847" s="19" t="n"/>
    </s:row>
    <s:row r="7848" hidden="1" ht="1" customHeight="1">
      <s:c r="A7848" s="120" t="inlineStr"/>
      <s:c r="B7848" s="121" t="n"/>
      <s:c r="C7848" s="121" t="n"/>
      <s:c r="D7848" s="121" t="n"/>
      <s:c r="E7848" s="122" t="n"/>
    </s:row>
    <s:row r="7849" hidden="1" ht="1" customHeight="1">
      <s:c r="A7849" s="120" t="inlineStr"/>
      <s:c r="B7849" s="121" t="n"/>
      <s:c r="C7849" s="121" t="n"/>
      <s:c r="D7849" s="121" t="n"/>
      <s:c r="E7849" s="122" t="n"/>
    </s:row>
    <s:row r="7850" hidden="1" ht="1" customHeight="1">
      <s:c r="A7850" s="120" t="inlineStr"/>
      <s:c r="B7850" s="121" t="n"/>
      <s:c r="C7850" s="121" t="n"/>
      <s:c r="D7850" s="121" t="n"/>
      <s:c r="E7850" s="122" t="n"/>
    </s:row>
    <s:row r="7851" hidden="1" ht="1" customHeight="1">
      <s:c r="A7851" s="120" t="inlineStr"/>
      <s:c r="B7851" s="121" t="n"/>
      <s:c r="C7851" s="121" t="n"/>
      <s:c r="D7851" s="121" t="n"/>
      <s:c r="E7851" s="122" t="n"/>
    </s:row>
    <s:row r="7852" hidden="1" ht="1" customHeight="1">
      <s:c r="A7852" s="120" t="inlineStr"/>
      <s:c r="B7852" s="121" t="n"/>
      <s:c r="C7852" s="121" t="n"/>
      <s:c r="D7852" s="121" t="n"/>
      <s:c r="E7852" s="122" t="n"/>
    </s:row>
    <s:row r="7853" hidden="1" ht="1" customHeight="1">
      <s:c r="A7853" s="120" t="inlineStr"/>
      <s:c r="B7853" s="121" t="n"/>
      <s:c r="C7853" s="121" t="n"/>
      <s:c r="D7853" s="121" t="n"/>
      <s:c r="E7853" s="122" t="n"/>
    </s:row>
    <s:row r="7854" hidden="1" ht="1" customHeight="1">
      <s:c r="A7854" s="120" t="inlineStr"/>
      <s:c r="B7854" s="121" t="n"/>
      <s:c r="C7854" s="121" t="n"/>
      <s:c r="D7854" s="121" t="n"/>
      <s:c r="E7854" s="122" t="n"/>
    </s:row>
    <s:row r="7855" hidden="1" ht="1" customHeight="1">
      <s:c r="A7855" s="120" t="inlineStr"/>
      <s:c r="B7855" s="121" t="n"/>
      <s:c r="C7855" s="121" t="n"/>
      <s:c r="D7855" s="121" t="n"/>
      <s:c r="E7855" s="122" t="n"/>
    </s:row>
    <s:row r="7856" hidden="1" ht="1" customHeight="1">
      <s:c r="A7856" s="120" t="inlineStr"/>
      <s:c r="B7856" s="121" t="n"/>
      <s:c r="C7856" s="121" t="n"/>
      <s:c r="D7856" s="121" t="n"/>
      <s:c r="E7856" s="122" t="n"/>
    </s:row>
    <s:row r="7857" hidden="1" ht="1" customHeight="1">
      <s:c r="A7857" s="120" t="inlineStr"/>
      <s:c r="B7857" s="121" t="n"/>
      <s:c r="C7857" s="121" t="n"/>
      <s:c r="D7857" s="121" t="n"/>
      <s:c r="E7857" s="122" t="n"/>
    </s:row>
    <s:row r="7858" hidden="1" ht="1" customHeight="1">
      <s:c r="A7858" s="120" t="inlineStr"/>
      <s:c r="B7858" s="121" t="n"/>
      <s:c r="C7858" s="121" t="n"/>
      <s:c r="D7858" s="121" t="n"/>
      <s:c r="E7858" s="122" t="n"/>
    </s:row>
    <s:row r="7859" hidden="1" ht="1" customHeight="1">
      <s:c r="A7859" s="120" t="inlineStr"/>
      <s:c r="B7859" s="121" t="n"/>
      <s:c r="C7859" s="121" t="n"/>
      <s:c r="D7859" s="121" t="n"/>
      <s:c r="E7859" s="122" t="n"/>
    </s:row>
    <s:row r="7860" hidden="1" ht="1" customHeight="1">
      <s:c r="A7860" s="120" t="inlineStr"/>
      <s:c r="B7860" s="121" t="n"/>
      <s:c r="C7860" s="121" t="n"/>
      <s:c r="D7860" s="121" t="n"/>
      <s:c r="E7860" s="122" t="n"/>
    </s:row>
    <s:row r="7861" hidden="1" ht="1" customHeight="1">
      <s:c r="A7861" s="120" t="inlineStr"/>
      <s:c r="B7861" s="121" t="n"/>
      <s:c r="C7861" s="121" t="n"/>
      <s:c r="D7861" s="121" t="n"/>
      <s:c r="E7861" s="122" t="n"/>
    </s:row>
    <s:row r="7862" hidden="1" ht="1" customHeight="1">
      <s:c r="A7862" s="120" t="inlineStr"/>
      <s:c r="B7862" s="121" t="n"/>
      <s:c r="C7862" s="121" t="n"/>
      <s:c r="D7862" s="121" t="n"/>
      <s:c r="E7862" s="122" t="n"/>
    </s:row>
    <s:row r="7863" hidden="1" ht="1" customHeight="1">
      <s:c r="A7863" s="120" t="inlineStr"/>
      <s:c r="B7863" s="121" t="n"/>
      <s:c r="C7863" s="121" t="n"/>
      <s:c r="D7863" s="121" t="n"/>
      <s:c r="E7863" s="122" t="n"/>
    </s:row>
    <s:row r="7864" hidden="1" ht="1" customHeight="1">
      <s:c r="A7864" s="120" t="inlineStr"/>
      <s:c r="B7864" s="121" t="n"/>
      <s:c r="C7864" s="121" t="n"/>
      <s:c r="D7864" s="121" t="n"/>
      <s:c r="E7864" s="122" t="n"/>
    </s:row>
    <s:row r="7865" hidden="1" ht="1" customHeight="1">
      <s:c r="A7865" s="120" t="inlineStr"/>
      <s:c r="B7865" s="121" t="n"/>
      <s:c r="C7865" s="121" t="n"/>
      <s:c r="D7865" s="121" t="n"/>
      <s:c r="E7865" s="122" t="n"/>
    </s:row>
    <s:row r="7866" hidden="1" ht="1" customHeight="1">
      <s:c r="A7866" s="120" t="inlineStr"/>
      <s:c r="B7866" s="121" t="n"/>
      <s:c r="C7866" s="121" t="n"/>
      <s:c r="D7866" s="121" t="n"/>
      <s:c r="E7866" s="122" t="n"/>
    </s:row>
    <s:row r="7867" hidden="1" ht="1" customHeight="1">
      <s:c r="A7867" s="120" t="inlineStr"/>
      <s:c r="B7867" s="121" t="n"/>
      <s:c r="C7867" s="121" t="n"/>
      <s:c r="D7867" s="121" t="n"/>
      <s:c r="E7867" s="122" t="n"/>
    </s:row>
    <s:row r="7868" hidden="1" ht="1" customHeight="1">
      <s:c r="A7868" s="120" t="inlineStr"/>
      <s:c r="B7868" s="121" t="n"/>
      <s:c r="C7868" s="121" t="n"/>
      <s:c r="D7868" s="121" t="n"/>
      <s:c r="E7868" s="122" t="n"/>
    </s:row>
    <s:row r="7869" hidden="1" ht="1" customHeight="1">
      <s:c r="A7869" s="120" t="inlineStr"/>
      <s:c r="B7869" s="121" t="n"/>
      <s:c r="C7869" s="121" t="n"/>
      <s:c r="D7869" s="121" t="n"/>
      <s:c r="E7869" s="122" t="n"/>
    </s:row>
    <s:row r="7870" hidden="1" ht="1" customHeight="1">
      <s:c r="A7870" s="120" t="inlineStr"/>
      <s:c r="B7870" s="121" t="n"/>
      <s:c r="C7870" s="121" t="n"/>
      <s:c r="D7870" s="121" t="n"/>
      <s:c r="E7870" s="122" t="n"/>
    </s:row>
    <s:row r="7871" hidden="1" ht="1" customHeight="1">
      <s:c r="A7871" s="120" t="inlineStr"/>
      <s:c r="B7871" s="121" t="n"/>
      <s:c r="C7871" s="121" t="n"/>
      <s:c r="D7871" s="121" t="n"/>
      <s:c r="E7871" s="122" t="n"/>
    </s:row>
    <s:row r="7872" hidden="1" ht="1" customHeight="1">
      <s:c r="A7872" s="120" t="inlineStr"/>
      <s:c r="B7872" s="121" t="n"/>
      <s:c r="C7872" s="121" t="n"/>
      <s:c r="D7872" s="121" t="n"/>
      <s:c r="E7872" s="122" t="n"/>
    </s:row>
    <s:row r="7873" hidden="1" ht="1" customHeight="1">
      <s:c r="A7873" s="120" t="inlineStr"/>
      <s:c r="B7873" s="121" t="n"/>
      <s:c r="C7873" s="121" t="n"/>
      <s:c r="D7873" s="121" t="n"/>
      <s:c r="E7873" s="122" t="n"/>
    </s:row>
    <s:row r="7874" hidden="1" ht="1" customHeight="1">
      <s:c r="A7874" s="120" t="inlineStr"/>
      <s:c r="B7874" s="121" t="n"/>
      <s:c r="C7874" s="121" t="n"/>
      <s:c r="D7874" s="121" t="n"/>
      <s:c r="E7874" s="122" t="n"/>
    </s:row>
    <s:row r="7875" hidden="1" ht="1" customHeight="1">
      <s:c r="A7875" s="120" t="inlineStr"/>
      <s:c r="B7875" s="121" t="n"/>
      <s:c r="C7875" s="121" t="n"/>
      <s:c r="D7875" s="121" t="n"/>
      <s:c r="E7875" s="122" t="n"/>
    </s:row>
    <s:row r="7876" hidden="1" ht="1" customHeight="1">
      <s:c r="A7876" s="120" t="inlineStr"/>
      <s:c r="B7876" s="121" t="n"/>
      <s:c r="C7876" s="121" t="n"/>
      <s:c r="D7876" s="121" t="n"/>
      <s:c r="E7876" s="122" t="n"/>
    </s:row>
    <s:row r="7877" hidden="1" ht="1" customHeight="1">
      <s:c r="A7877" s="120" t="inlineStr"/>
      <s:c r="B7877" s="121" t="n"/>
      <s:c r="C7877" s="121" t="n"/>
      <s:c r="D7877" s="121" t="n"/>
      <s:c r="E7877" s="122" t="n"/>
    </s:row>
    <s:row r="7878" hidden="1" ht="1" customHeight="1">
      <s:c r="A7878" s="120" t="inlineStr"/>
      <s:c r="B7878" s="121" t="n"/>
      <s:c r="C7878" s="121" t="n"/>
      <s:c r="D7878" s="121" t="n"/>
      <s:c r="E7878" s="122" t="n"/>
    </s:row>
    <s:row r="7879" hidden="1" ht="1" customHeight="1">
      <s:c r="A7879" s="120" t="inlineStr"/>
      <s:c r="B7879" s="121" t="n"/>
      <s:c r="C7879" s="121" t="n"/>
      <s:c r="D7879" s="121" t="n"/>
      <s:c r="E7879" s="122" t="n"/>
    </s:row>
    <s:row r="7880" hidden="1" ht="1" customHeight="1">
      <s:c r="A7880" s="120" t="inlineStr"/>
      <s:c r="B7880" s="121" t="n"/>
      <s:c r="C7880" s="121" t="n"/>
      <s:c r="D7880" s="121" t="n"/>
      <s:c r="E7880" s="122" t="n"/>
    </s:row>
    <s:row r="7881" hidden="1" ht="1" customHeight="1">
      <s:c r="A7881" s="120" t="inlineStr"/>
      <s:c r="B7881" s="121" t="n"/>
      <s:c r="C7881" s="121" t="n"/>
      <s:c r="D7881" s="121" t="n"/>
      <s:c r="E7881" s="122" t="n"/>
    </s:row>
    <s:row r="7882" hidden="1" ht="1" customHeight="1">
      <s:c r="A7882" s="120" t="inlineStr"/>
      <s:c r="B7882" s="121" t="n"/>
      <s:c r="C7882" s="121" t="n"/>
      <s:c r="D7882" s="121" t="n"/>
      <s:c r="E7882" s="122" t="n"/>
    </s:row>
    <s:row r="7883" hidden="1" ht="1" customHeight="1">
      <s:c r="A7883" s="120" t="inlineStr"/>
      <s:c r="B7883" s="121" t="n"/>
      <s:c r="C7883" s="121" t="n"/>
      <s:c r="D7883" s="121" t="n"/>
      <s:c r="E7883" s="122" t="n"/>
    </s:row>
    <s:row r="7884" hidden="1" ht="1" customHeight="1">
      <s:c r="A7884" s="120" t="inlineStr"/>
      <s:c r="B7884" s="121" t="n"/>
      <s:c r="C7884" s="121" t="n"/>
      <s:c r="D7884" s="121" t="n"/>
      <s:c r="E7884" s="122" t="n"/>
    </s:row>
    <s:row r="7885" hidden="1" ht="1" customHeight="1">
      <s:c r="A7885" s="120" t="inlineStr"/>
      <s:c r="B7885" s="121" t="n"/>
      <s:c r="C7885" s="121" t="n"/>
      <s:c r="D7885" s="121" t="n"/>
      <s:c r="E7885" s="122" t="n"/>
    </s:row>
    <s:row r="7886" hidden="1" ht="1" customHeight="1">
      <s:c r="A7886" s="120" t="inlineStr"/>
      <s:c r="B7886" s="121" t="n"/>
      <s:c r="C7886" s="121" t="n"/>
      <s:c r="D7886" s="121" t="n"/>
      <s:c r="E7886" s="122" t="n"/>
    </s:row>
    <s:row r="7887" hidden="1" ht="1" customHeight="1">
      <s:c r="A7887" s="120" t="inlineStr"/>
      <s:c r="B7887" s="121" t="n"/>
      <s:c r="C7887" s="121" t="n"/>
      <s:c r="D7887" s="121" t="n"/>
      <s:c r="E7887" s="122" t="n"/>
    </s:row>
    <s:row r="7888" hidden="1" ht="1" customHeight="1">
      <s:c r="A7888" s="120" t="inlineStr"/>
      <s:c r="B7888" s="121" t="n"/>
      <s:c r="C7888" s="121" t="n"/>
      <s:c r="D7888" s="121" t="n"/>
      <s:c r="E7888" s="122" t="n"/>
    </s:row>
    <s:row r="7889" hidden="1" ht="1" customHeight="1">
      <s:c r="A7889" s="120" t="inlineStr"/>
      <s:c r="B7889" s="121" t="n"/>
      <s:c r="C7889" s="121" t="n"/>
      <s:c r="D7889" s="121" t="n"/>
      <s:c r="E7889" s="122" t="n"/>
    </s:row>
    <s:row r="7890" hidden="1" ht="1" customHeight="1">
      <s:c r="A7890" s="120" t="inlineStr"/>
      <s:c r="B7890" s="121" t="n"/>
      <s:c r="C7890" s="121" t="n"/>
      <s:c r="D7890" s="121" t="n"/>
      <s:c r="E7890" s="122" t="n"/>
    </s:row>
    <s:row r="7891" hidden="1" ht="1" customHeight="1">
      <s:c r="A7891" s="120" t="inlineStr"/>
      <s:c r="B7891" s="121" t="n"/>
      <s:c r="C7891" s="121" t="n"/>
      <s:c r="D7891" s="121" t="n"/>
      <s:c r="E7891" s="122" t="n"/>
    </s:row>
    <s:row r="7892" hidden="1" ht="1" customHeight="1">
      <s:c r="A7892" s="120" t="inlineStr"/>
      <s:c r="B7892" s="121" t="n"/>
      <s:c r="C7892" s="121" t="n"/>
      <s:c r="D7892" s="121" t="n"/>
      <s:c r="E7892" s="122" t="n"/>
    </s:row>
    <s:row r="7893" hidden="1" ht="1" customHeight="1">
      <s:c r="A7893" s="120" t="inlineStr"/>
      <s:c r="B7893" s="121" t="n"/>
      <s:c r="C7893" s="121" t="n"/>
      <s:c r="D7893" s="121" t="n"/>
      <s:c r="E7893" s="122" t="n"/>
    </s:row>
    <s:row r="7894" hidden="1" ht="1" customHeight="1">
      <s:c r="A7894" s="120" t="inlineStr"/>
      <s:c r="B7894" s="121" t="n"/>
      <s:c r="C7894" s="121" t="n"/>
      <s:c r="D7894" s="121" t="n"/>
      <s:c r="E7894" s="122" t="n"/>
    </s:row>
    <s:row r="7895" hidden="1" ht="1" customHeight="1">
      <s:c r="A7895" s="120" t="inlineStr"/>
      <s:c r="B7895" s="121" t="n"/>
      <s:c r="C7895" s="121" t="n"/>
      <s:c r="D7895" s="121" t="n"/>
      <s:c r="E7895" s="122" t="n"/>
    </s:row>
    <s:row r="7896" hidden="1" ht="1" customHeight="1">
      <s:c r="A7896" s="120" t="inlineStr"/>
      <s:c r="B7896" s="121" t="n"/>
      <s:c r="C7896" s="121" t="n"/>
      <s:c r="D7896" s="121" t="n"/>
      <s:c r="E7896" s="122" t="n"/>
    </s:row>
    <s:row r="7897" hidden="1" ht="1" customHeight="1">
      <s:c r="A7897" s="120" t="inlineStr"/>
      <s:c r="B7897" s="121" t="n"/>
      <s:c r="C7897" s="121" t="n"/>
      <s:c r="D7897" s="121" t="n"/>
      <s:c r="E7897" s="122" t="n"/>
    </s:row>
    <s:row r="7898" hidden="1" ht="1" customHeight="1">
      <s:c r="A7898" s="120" t="inlineStr"/>
      <s:c r="B7898" s="121" t="n"/>
      <s:c r="C7898" s="121" t="n"/>
      <s:c r="D7898" s="121" t="n"/>
      <s:c r="E7898" s="122" t="n"/>
    </s:row>
    <s:row r="7899" hidden="1" ht="1" customHeight="1">
      <s:c r="A7899" s="120" t="inlineStr"/>
      <s:c r="B7899" s="121" t="n"/>
      <s:c r="C7899" s="121" t="n"/>
      <s:c r="D7899" s="121" t="n"/>
      <s:c r="E7899" s="122" t="n"/>
    </s:row>
    <s:row r="7900" hidden="1" ht="1" customHeight="1">
      <s:c r="A7900" s="120" t="inlineStr"/>
      <s:c r="B7900" s="121" t="n"/>
      <s:c r="C7900" s="121" t="n"/>
      <s:c r="D7900" s="121" t="n"/>
      <s:c r="E7900" s="122" t="n"/>
    </s:row>
    <s:row r="7901" hidden="1" ht="1" customHeight="1">
      <s:c r="A7901" s="120" t="inlineStr"/>
      <s:c r="B7901" s="121" t="n"/>
      <s:c r="C7901" s="121" t="n"/>
      <s:c r="D7901" s="121" t="n"/>
      <s:c r="E7901" s="122" t="n"/>
    </s:row>
    <s:row r="7902" hidden="1" ht="1" customHeight="1">
      <s:c r="A7902" s="120" t="inlineStr"/>
      <s:c r="B7902" s="121" t="n"/>
      <s:c r="C7902" s="121" t="n"/>
      <s:c r="D7902" s="121" t="n"/>
      <s:c r="E7902" s="122" t="n"/>
    </s:row>
    <s:row r="7903" hidden="1" ht="1" customHeight="1">
      <s:c r="A7903" s="120" t="inlineStr"/>
      <s:c r="B7903" s="121" t="n"/>
      <s:c r="C7903" s="121" t="n"/>
      <s:c r="D7903" s="121" t="n"/>
      <s:c r="E7903" s="122" t="n"/>
    </s:row>
    <s:row r="7904" hidden="1" ht="1" customHeight="1">
      <s:c r="A7904" s="120" t="inlineStr"/>
      <s:c r="B7904" s="121" t="n"/>
      <s:c r="C7904" s="121" t="n"/>
      <s:c r="D7904" s="121" t="n"/>
      <s:c r="E7904" s="122" t="n"/>
    </s:row>
    <s:row r="7905" hidden="1" ht="1" customHeight="1">
      <s:c r="A7905" s="120" t="inlineStr"/>
      <s:c r="B7905" s="121" t="n"/>
      <s:c r="C7905" s="121" t="n"/>
      <s:c r="D7905" s="121" t="n"/>
      <s:c r="E7905" s="122" t="n"/>
    </s:row>
    <s:row r="7906" hidden="1" ht="1" customHeight="1">
      <s:c r="A7906" s="120" t="inlineStr"/>
      <s:c r="B7906" s="121" t="n"/>
      <s:c r="C7906" s="121" t="n"/>
      <s:c r="D7906" s="121" t="n"/>
      <s:c r="E7906" s="122" t="n"/>
    </s:row>
    <s:row r="7907" hidden="1" ht="1" customHeight="1">
      <s:c r="A7907" s="120" t="inlineStr"/>
      <s:c r="B7907" s="121" t="n"/>
      <s:c r="C7907" s="121" t="n"/>
      <s:c r="D7907" s="121" t="n"/>
      <s:c r="E7907" s="122" t="n"/>
    </s:row>
    <s:row r="7908" hidden="1" ht="1" customHeight="1">
      <s:c r="A7908" s="120" t="inlineStr"/>
      <s:c r="B7908" s="121" t="n"/>
      <s:c r="C7908" s="121" t="n"/>
      <s:c r="D7908" s="121" t="n"/>
      <s:c r="E7908" s="122" t="n"/>
    </s:row>
    <s:row r="7909" hidden="1" ht="1" customHeight="1">
      <s:c r="A7909" s="120" t="inlineStr"/>
      <s:c r="B7909" s="121" t="n"/>
      <s:c r="C7909" s="121" t="n"/>
      <s:c r="D7909" s="121" t="n"/>
      <s:c r="E7909" s="122" t="n"/>
    </s:row>
    <s:row r="7910" hidden="1" ht="1" customHeight="1">
      <s:c r="A7910" s="120" t="inlineStr"/>
      <s:c r="B7910" s="121" t="n"/>
      <s:c r="C7910" s="121" t="n"/>
      <s:c r="D7910" s="121" t="n"/>
      <s:c r="E7910" s="122" t="n"/>
    </s:row>
    <s:row r="7911" hidden="1" ht="1" customHeight="1">
      <s:c r="A7911" s="120" t="inlineStr"/>
      <s:c r="B7911" s="121" t="n"/>
      <s:c r="C7911" s="121" t="n"/>
      <s:c r="D7911" s="121" t="n"/>
      <s:c r="E7911" s="122" t="n"/>
    </s:row>
    <s:row r="7912" hidden="1" ht="1" customHeight="1">
      <s:c r="A7912" s="120" t="inlineStr"/>
      <s:c r="B7912" s="121" t="n"/>
      <s:c r="C7912" s="121" t="n"/>
      <s:c r="D7912" s="121" t="n"/>
      <s:c r="E7912" s="122" t="n"/>
    </s:row>
    <s:row r="7913" hidden="1" ht="1" customHeight="1">
      <s:c r="A7913" s="120" t="inlineStr"/>
      <s:c r="B7913" s="121" t="n"/>
      <s:c r="C7913" s="121" t="n"/>
      <s:c r="D7913" s="121" t="n"/>
      <s:c r="E7913" s="122" t="n"/>
    </s:row>
    <s:row r="7914" hidden="1" ht="1" customHeight="1">
      <s:c r="A7914" s="120" t="inlineStr"/>
      <s:c r="B7914" s="121" t="n"/>
      <s:c r="C7914" s="121" t="n"/>
      <s:c r="D7914" s="121" t="n"/>
      <s:c r="E7914" s="122" t="n"/>
    </s:row>
    <s:row r="7915" hidden="1" ht="1" customHeight="1">
      <s:c r="A7915" s="120" t="inlineStr"/>
      <s:c r="B7915" s="121" t="n"/>
      <s:c r="C7915" s="121" t="n"/>
      <s:c r="D7915" s="121" t="n"/>
      <s:c r="E7915" s="122" t="n"/>
    </s:row>
    <s:row r="7916" hidden="1" ht="1" customHeight="1">
      <s:c r="A7916" s="120" t="inlineStr"/>
      <s:c r="B7916" s="121" t="n"/>
      <s:c r="C7916" s="121" t="n"/>
      <s:c r="D7916" s="121" t="n"/>
      <s:c r="E7916" s="122" t="n"/>
    </s:row>
    <s:row r="7917" hidden="1" ht="1" customHeight="1">
      <s:c r="A7917" s="120" t="inlineStr"/>
      <s:c r="B7917" s="121" t="n"/>
      <s:c r="C7917" s="121" t="n"/>
      <s:c r="D7917" s="121" t="n"/>
      <s:c r="E7917" s="122" t="n"/>
    </s:row>
    <s:row r="7918" hidden="1" ht="1" customHeight="1">
      <s:c r="A7918" s="120" t="inlineStr"/>
      <s:c r="B7918" s="121" t="n"/>
      <s:c r="C7918" s="121" t="n"/>
      <s:c r="D7918" s="121" t="n"/>
      <s:c r="E7918" s="122" t="n"/>
    </s:row>
    <s:row r="7919" hidden="1" ht="1" customHeight="1">
      <s:c r="A7919" s="120" t="inlineStr"/>
      <s:c r="B7919" s="121" t="n"/>
      <s:c r="C7919" s="121" t="n"/>
      <s:c r="D7919" s="121" t="n"/>
      <s:c r="E7919" s="122" t="n"/>
    </s:row>
    <s:row r="7920" hidden="1" ht="1" customHeight="1">
      <s:c r="A7920" s="120" t="inlineStr"/>
      <s:c r="B7920" s="121" t="n"/>
      <s:c r="C7920" s="121" t="n"/>
      <s:c r="D7920" s="121" t="n"/>
      <s:c r="E7920" s="122" t="n"/>
    </s:row>
    <s:row r="7921" hidden="1" ht="1" customHeight="1">
      <s:c r="A7921" s="120" t="inlineStr"/>
      <s:c r="B7921" s="121" t="n"/>
      <s:c r="C7921" s="121" t="n"/>
      <s:c r="D7921" s="121" t="n"/>
      <s:c r="E7921" s="122" t="n"/>
    </s:row>
    <s:row r="7922" hidden="1" ht="1" customHeight="1">
      <s:c r="A7922" s="120" t="inlineStr"/>
      <s:c r="B7922" s="121" t="n"/>
      <s:c r="C7922" s="121" t="n"/>
      <s:c r="D7922" s="121" t="n"/>
      <s:c r="E7922" s="122" t="n"/>
    </s:row>
    <s:row r="7923" hidden="1" ht="1" customHeight="1">
      <s:c r="A7923" s="120" t="inlineStr"/>
      <s:c r="B7923" s="121" t="n"/>
      <s:c r="C7923" s="121" t="n"/>
      <s:c r="D7923" s="121" t="n"/>
      <s:c r="E7923" s="122" t="n"/>
    </s:row>
    <s:row r="7924" hidden="1" ht="1" customHeight="1">
      <s:c r="A7924" s="120" t="inlineStr"/>
      <s:c r="B7924" s="121" t="n"/>
      <s:c r="C7924" s="121" t="n"/>
      <s:c r="D7924" s="121" t="n"/>
      <s:c r="E7924" s="122" t="n"/>
    </s:row>
    <s:row r="7925" hidden="1" ht="1" customHeight="1">
      <s:c r="A7925" s="120" t="inlineStr"/>
      <s:c r="B7925" s="121" t="n"/>
      <s:c r="C7925" s="121" t="n"/>
      <s:c r="D7925" s="121" t="n"/>
      <s:c r="E7925" s="122" t="n"/>
    </s:row>
    <s:row r="7926" hidden="1" ht="1" customHeight="1">
      <s:c r="A7926" s="120" t="inlineStr"/>
      <s:c r="B7926" s="121" t="n"/>
      <s:c r="C7926" s="121" t="n"/>
      <s:c r="D7926" s="121" t="n"/>
      <s:c r="E7926" s="122" t="n"/>
    </s:row>
    <s:row r="7927" hidden="1" ht="1" customHeight="1">
      <s:c r="A7927" s="120" t="inlineStr"/>
      <s:c r="B7927" s="121" t="n"/>
      <s:c r="C7927" s="121" t="n"/>
      <s:c r="D7927" s="121" t="n"/>
      <s:c r="E7927" s="122" t="n"/>
    </s:row>
    <s:row r="7928" hidden="1" ht="1" customHeight="1">
      <s:c r="A7928" s="120" t="inlineStr"/>
      <s:c r="B7928" s="121" t="n"/>
      <s:c r="C7928" s="121" t="n"/>
      <s:c r="D7928" s="121" t="n"/>
      <s:c r="E7928" s="122" t="n"/>
    </s:row>
    <s:row r="7929" hidden="1" ht="1" customHeight="1">
      <s:c r="A7929" s="120" t="inlineStr"/>
      <s:c r="B7929" s="121" t="n"/>
      <s:c r="C7929" s="121" t="n"/>
      <s:c r="D7929" s="121" t="n"/>
      <s:c r="E7929" s="122" t="n"/>
    </s:row>
    <s:row r="7930" hidden="1" ht="1" customHeight="1">
      <s:c r="A7930" s="120" t="inlineStr"/>
      <s:c r="B7930" s="121" t="n"/>
      <s:c r="C7930" s="121" t="n"/>
      <s:c r="D7930" s="121" t="n"/>
      <s:c r="E7930" s="122" t="n"/>
    </s:row>
    <s:row r="7931" hidden="1" ht="1" customHeight="1">
      <s:c r="A7931" s="120" t="inlineStr"/>
      <s:c r="B7931" s="121" t="n"/>
      <s:c r="C7931" s="121" t="n"/>
      <s:c r="D7931" s="121" t="n"/>
      <s:c r="E7931" s="122" t="n"/>
    </s:row>
    <s:row r="7932" hidden="1" ht="1" customHeight="1">
      <s:c r="A7932" s="120" t="inlineStr"/>
      <s:c r="B7932" s="121" t="n"/>
      <s:c r="C7932" s="121" t="n"/>
      <s:c r="D7932" s="121" t="n"/>
      <s:c r="E7932" s="122" t="n"/>
    </s:row>
    <s:row r="7933" hidden="1" ht="1" customHeight="1">
      <s:c r="A7933" s="120" t="inlineStr"/>
      <s:c r="B7933" s="121" t="n"/>
      <s:c r="C7933" s="121" t="n"/>
      <s:c r="D7933" s="121" t="n"/>
      <s:c r="E7933" s="122" t="n"/>
    </s:row>
    <s:row r="7934" hidden="1" ht="1" customHeight="1">
      <s:c r="A7934" s="120" t="inlineStr"/>
      <s:c r="B7934" s="121" t="n"/>
      <s:c r="C7934" s="121" t="n"/>
      <s:c r="D7934" s="121" t="n"/>
      <s:c r="E7934" s="122" t="n"/>
    </s:row>
    <s:row r="7935" hidden="1" ht="1" customHeight="1">
      <s:c r="A7935" s="120" t="inlineStr"/>
      <s:c r="B7935" s="121" t="n"/>
      <s:c r="C7935" s="121" t="n"/>
      <s:c r="D7935" s="121" t="n"/>
      <s:c r="E7935" s="122" t="n"/>
    </s:row>
    <s:row r="7936" hidden="1" ht="1" customHeight="1">
      <s:c r="A7936" s="120" t="inlineStr"/>
      <s:c r="B7936" s="121" t="n"/>
      <s:c r="C7936" s="121" t="n"/>
      <s:c r="D7936" s="121" t="n"/>
      <s:c r="E7936" s="122" t="n"/>
    </s:row>
    <s:row r="7937" hidden="1" ht="1" customHeight="1">
      <s:c r="A7937" s="120" t="inlineStr"/>
      <s:c r="B7937" s="121" t="n"/>
      <s:c r="C7937" s="121" t="n"/>
      <s:c r="D7937" s="121" t="n"/>
      <s:c r="E7937" s="122" t="n"/>
    </s:row>
    <s:row r="7938" hidden="1" ht="1" customHeight="1">
      <s:c r="A7938" s="120" t="inlineStr"/>
      <s:c r="B7938" s="121" t="n"/>
      <s:c r="C7938" s="121" t="n"/>
      <s:c r="D7938" s="121" t="n"/>
      <s:c r="E7938" s="122" t="n"/>
    </s:row>
    <s:row r="7939" hidden="1" ht="1" customHeight="1">
      <s:c r="A7939" s="120" t="inlineStr"/>
      <s:c r="B7939" s="121" t="n"/>
      <s:c r="C7939" s="121" t="n"/>
      <s:c r="D7939" s="121" t="n"/>
      <s:c r="E7939" s="122" t="n"/>
    </s:row>
    <s:row r="7940" hidden="1" ht="1" customHeight="1">
      <s:c r="A7940" s="120" t="inlineStr"/>
      <s:c r="B7940" s="121" t="n"/>
      <s:c r="C7940" s="121" t="n"/>
      <s:c r="D7940" s="121" t="n"/>
      <s:c r="E7940" s="122" t="n"/>
    </s:row>
    <s:row r="7941" hidden="1" ht="1" customHeight="1">
      <s:c r="A7941" s="120" t="inlineStr"/>
      <s:c r="B7941" s="121" t="n"/>
      <s:c r="C7941" s="121" t="n"/>
      <s:c r="D7941" s="121" t="n"/>
      <s:c r="E7941" s="122" t="n"/>
    </s:row>
    <s:row r="7942" hidden="1" ht="1" customHeight="1">
      <s:c r="A7942" s="120" t="inlineStr"/>
      <s:c r="B7942" s="121" t="n"/>
      <s:c r="C7942" s="121" t="n"/>
      <s:c r="D7942" s="121" t="n"/>
      <s:c r="E7942" s="122" t="n"/>
    </s:row>
    <s:row r="7943" hidden="1" ht="1" customHeight="1">
      <s:c r="A7943" s="120" t="inlineStr"/>
      <s:c r="B7943" s="121" t="n"/>
      <s:c r="C7943" s="121" t="n"/>
      <s:c r="D7943" s="121" t="n"/>
      <s:c r="E7943" s="122" t="n"/>
    </s:row>
    <s:row r="7944" hidden="1" ht="1" customHeight="1">
      <s:c r="A7944" s="83" t="inlineStr">
        <s:is>
          <s:t>PASS</s:t>
        </s:is>
      </s:c>
      <s:c r="B7944" s="83">
        <s:f>SUM(IF(EXACT('Kiểm thử'!E7844,"Đạt"),1,0),IF(EXACT('Kiểm thử'!E7846,"Đạt"),1,0))</s:f>
        <s:v/>
      </s:c>
      <s:c r="C7944" s="19" t="n"/>
      <s:c r="D7944" s="19" t="n"/>
      <s:c r="E7944" s="19" t="n"/>
    </s:row>
    <s:row r="7945" hidden="1" ht="1" customHeight="1">
      <s:c r="A7945" s="83" t="inlineStr">
        <s:is>
          <s:t>FAIL</s:t>
        </s:is>
      </s:c>
      <s:c r="B7945" s="83">
        <s:f>SUM(IF(EXACT('Kiểm thử'!E7844,"Không đạt"),1,0),IF(EXACT('Kiểm thử'!E7846,"Không đạt"),1,0))</s:f>
        <s:v/>
      </s:c>
      <s:c r="C7945" s="19" t="n"/>
      <s:c r="D7945" s="19" t="n"/>
      <s:c r="E7945" s="19" t="n"/>
    </s:row>
    <s:row r="7946" hidden="1" ht="1" customHeight="1">
      <s:c r="A7946" s="83" t="inlineStr">
        <s:is>
          <s:t>BLOCKED</s:t>
        </s:is>
      </s:c>
      <s:c r="B7946" s="83">
        <s:f>SUM(IF(EXACT('Kiểm thử'!E7844,"Bị chặn"),1,0),IF(EXACT('Kiểm thử'!E7846,"Bị chặn"),1,0))</s:f>
        <s:v/>
      </s:c>
      <s:c r="C7946" s="19" t="n"/>
      <s:c r="D7946" s="19" t="n"/>
      <s:c r="E7946" s="19" t="n"/>
    </s:row>
    <s:row r="7947" hidden="1" ht="1" customHeight="1">
      <s:c r="A7947" s="83" t="inlineStr">
        <s:is>
          <s:t>SKIPPED</s:t>
        </s:is>
      </s:c>
      <s:c r="B7947" s="83">
        <s:f>SUM(IF(EXACT('Kiểm thử'!E7844,"Không thực hiện"),1,0),IF(EXACT('Kiểm thử'!E7846,"Không thực hiện"),1,0))</s:f>
        <s:v/>
      </s:c>
      <s:c r="C7947" s="19" t="n"/>
      <s:c r="D7947" s="19" t="n"/>
      <s:c r="E7947" s="19" t="n"/>
    </s:row>
    <s:row r="7948" hidden="1" ht="1" customHeight="1">
      <s:c r="A7948" s="83" t="inlineStr">
        <s:is>
          <s:t>NOT RUN</s:t>
        </s:is>
      </s:c>
      <s:c r="B7948" s="83">
        <s:f>SUM(IF(EXACT('Kiểm thử'!E7844,"Chưa thực hiện"),1,0),IF(EXACT('Kiểm thử'!E7846,"Chưa thực hiện"),1,0))</s:f>
        <s:v/>
      </s:c>
      <s:c r="C7948" s="19" t="n"/>
      <s:c r="D7948" s="19" t="n"/>
      <s:c r="E7948" s="19" t="n"/>
    </s:row>
    <s:row r="7949" hidden="1" ht="6" customHeight="1">
      <s:c r="A7949" s="83" t="inlineStr"/>
      <s:c r="B7949" s="19" t="n"/>
      <s:c r="C7949" s="19" t="n"/>
      <s:c r="D7949" s="19" t="n"/>
      <s:c r="E7949" s="19" t="n"/>
    </s:row>
    <s:row r="7950" ht="28" customHeight="1">
      <s:c r="A7950" s="108" t="inlineStr">
        <s:is>
          <s:t>TC-RS-VAL-021 — Đổi loại ngưỡng trong cùng phiên sửa</s:t>
        </s:is>
      </s:c>
      <s:c r="B7950" s="111" t="n"/>
      <s:c r="C7950" s="111" t="n"/>
      <s:c r="D7950" s="111" t="n"/>
      <s:c r="E7950" s="111" t="n"/>
    </s:row>
    <s:row r="7951" ht="20" customHeight="1">
      <s:c r="A7951" s="112" t="inlineStr">
        <s:is>
          <s:t>Kết quả tình huống</s:t>
        </s:is>
      </s:c>
      <s:c r="B7951" s="113">
        <s:f>IF(SUM(IF(EXACT('Kiểm thử'!E7962,"Không đạt"),1,0))&gt;0,"Không đạt",IF(SUM(IF(EXACT('Kiểm thử'!E7962,"Đạt"),1,0))=1,"Đạt",IF(SUM(IF(EXACT('Kiểm thử'!E7962,"Không thực hiện"),1,0))=1,"Không thực hiện",IF(SUM(IF(EXACT('Kiểm thử'!E7962,"Bị chặn"),1,0))&gt;0,"Bị chặn",IF(SUM(IF(EXACT('Kiểm thử'!E7962,"Chưa thực hiện"),1,0))=1,"Chưa thực hiện","Đang thực hiện")))))</s:f>
        <s:v/>
      </s:c>
      <s:c r="C7951" s="114" t="n"/>
      <s:c r="D7951" s="114" t="n"/>
      <s:c r="E7951" s="114" t="n"/>
    </s:row>
    <s:row r="7952" ht="20" customHeight="1">
      <s:c r="A7952" s="112" t="inlineStr">
        <s:is>
          <s:t>Màn hình / chức năng</s:t>
        </s:is>
      </s:c>
      <s:c r="B7952" s="113" t="inlineStr">
        <s:is>
          <s:r>
            <s:rPr>
              <s:b val="1"/>
            </s:rPr>
            <s:t>Thiết lập ngưỡng（基準設定）</s:t>
          </s:r>
        </s:is>
      </s:c>
      <s:c r="C7952" s="28" t="n"/>
      <s:c r="D7952" s="28" t="n"/>
      <s:c r="E7952" s="28" t="n"/>
    </s:row>
    <s:row r="7953" ht="20" customHeight="1">
      <s:c r="A7953" s="112" t="inlineStr">
        <s:is>
          <s:t>Cấu hình</s:t>
        </s:is>
      </s:c>
      <s:c r="B7953" s="113" t="inlineStr">
        <s:is>
          <s:t>• Quy tắc “Cố định 30” (dưới 30) (cố định 30) đã lưu.</s:t>
        </s:is>
      </s:c>
      <s:c r="C7953" s="28" t="n"/>
      <s:c r="D7953" s="28" t="n"/>
      <s:c r="E7953" s="28" t="n"/>
    </s:row>
    <s:row r="7954" ht="20" customHeight="1">
      <s:c r="A7954" s="112" t="inlineStr">
        <s:is>
          <s:t>Dữ liệu test</s:t>
        </s:is>
      </s:c>
      <s:c r="B7954" s="113" t="inlineStr">
        <s:is>
          <s:t>• Quy tắc “Cố định 30” (dưới 30)</s:t>
        </s:is>
      </s:c>
      <s:c r="C7954" s="28" t="n"/>
      <s:c r="D7954" s="28" t="n"/>
      <s:c r="E7954" s="28" t="n"/>
    </s:row>
    <s:row r="7955" ht="20" customHeight="1">
      <s:c r="A7955" s="112" t="inlineStr">
        <s:is>
          <s:t>Bước 1</s:t>
        </s:is>
      </s:c>
      <s:c r="B7955" s="113" t="inlineStr">
        <s:is>
          <s:t>Đổi sang Tỷ lệ, nhập 40, đổi lại Cố định; xem ô Cố định; đổi sang Tỷ lệ lần nữa, xem ô Tỷ lệ.</s:t>
        </s:is>
      </s:c>
      <s:c r="C7955" s="28" t="n"/>
      <s:c r="D7955" s="28" t="n"/>
      <s:c r="E7955" s="28" t="n"/>
    </s:row>
    <s:row r="7956" ht="20" customHeight="1">
      <s:c r="A7956" s="112" t="inlineStr">
        <s:is>
          <s:t>Bước 2</s:t>
        </s:is>
      </s:c>
      <s:c r="B7956" s="113" t="inlineStr">
        <s:is>
          <s:t>Đổi lại Cố định, Lưu.</s:t>
        </s:is>
      </s:c>
      <s:c r="C7956" s="28" t="n"/>
      <s:c r="D7956" s="28" t="n"/>
      <s:c r="E7956" s="28" t="n"/>
    </s:row>
    <s:row r="7957" ht="20" customHeight="1">
      <s:c r="A7957" s="112" t="inlineStr">
        <s:is>
          <s:t>Bước 3</s:t>
        </s:is>
      </s:c>
      <s:c r="B7957" s="113" t="inlineStr">
        <s:is>
          <s:t>Mở lại quy tắc.</s:t>
        </s:is>
      </s:c>
      <s:c r="C7957" s="28" t="n"/>
      <s:c r="D7957" s="28" t="n"/>
      <s:c r="E7957" s="28" t="n"/>
    </s:row>
    <s:row r="7958" ht="20" customHeight="1">
      <s:c r="A7958" s="112" t="inlineStr">
        <s:is>
          <s:t>Bước 4</s:t>
        </s:is>
      </s:c>
      <s:c r="B7958" s="113" t="inlineStr">
        <s:is>
          <s:t>Đổi sang Tỷ lệ, nhập 50, bấm Hủy; mở lại.</s:t>
        </s:is>
      </s:c>
      <s:c r="C7958" s="28" t="n"/>
      <s:c r="D7958" s="28" t="n"/>
      <s:c r="E7958" s="28" t="n"/>
    </s:row>
    <s:row r="7959" ht="34" customHeight="1">
      <s:c r="A7959" s="112" t="inlineStr">
        <s:is>
          <s:t>Bước 5</s:t>
        </s:is>
      </s:c>
      <s:c r="B7959" s="113" t="inlineStr">
        <s:is>
          <s:t>(Khi có schema) Lưu quy tắc Tỷ lệ 40 có bật xử lý phần lẻ; đổi sang Cố định 30, Lưu, SELECT; đổi sang Công thức [A×0.5], Lưu, SELECT.</s:t>
        </s:is>
      </s:c>
      <s:c r="C7959" s="28" t="n"/>
      <s:c r="D7959" s="28" t="n"/>
      <s:c r="E7959" s="28" t="n"/>
    </s:row>
    <s:row r="7960" ht="28" customHeight="1">
      <s:c r="A7960" s="115" t="inlineStr">
        <s:is>
          <s:t>Trường hợp</s:t>
        </s:is>
      </s:c>
      <s:c r="B7960" s="115" t="inlineStr">
        <s:is>
          <s:t>Dữ liệu / thao tác riêng</s:t>
        </s:is>
      </s:c>
      <s:c r="C7960" s="115" t="inlineStr">
        <s:is>
          <s:t>Kết quả mong đợi</s:t>
        </s:is>
      </s:c>
      <s:c r="D7960" s="115" t="inlineStr">
        <s:is>
          <s:t>Kết quả thực tế</s:t>
        </s:is>
      </s:c>
      <s:c r="E7960" s="115" t="inlineStr">
        <s:is>
          <s:t>Đánh giá</s:t>
        </s:is>
      </s:c>
    </s:row>
    <s:row r="7961" ht="3" customHeight="1">
      <s:c r="A7961" s="102" t="inlineStr"/>
      <s:c r="B7961" s="99" t="n"/>
      <s:c r="C7961" s="99" t="n"/>
      <s:c r="D7961" s="116" t="n"/>
      <s:c r="E7961" s="116" t="n"/>
    </s:row>
    <s:row r="7962" ht="188" customHeight="1">
      <s:c r="A7962" s="83" t="inlineStr">
        <s:is>
          <s:t>Trường hợp cơ bản (Base)</s:t>
        </s:is>
      </s:c>
      <s:c r="B7962" s="83" t="inlineStr">
        <s:is>
          <s:t>Toàn bộ tình huống: Thực hiện đủ các bước chung theo thứ tự; kiểm cả đối tượng đích và đối chứng cùng fixture, không bỏ bước.</s:t>
        </s:is>
      </s:c>
      <s:c r="C7962" s="83" t="inlineStr">
        <s:is>
          <s:t>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s:t>
        </s:is>
      </s:c>
      <s:c r="D7962" s="117" t="inlineStr"/>
      <s:c r="E7962" s="118" t="inlineStr">
        <s:is>
          <s:t>Chưa thực hiện</s:t>
        </s:is>
      </s:c>
    </s:row>
    <s:row r="7963" ht="20" customHeight="1">
      <s:c r="A7963" s="119" t="inlineStr">
        <s:is>
          <s:t>Ảnh minh chứng — Chưa có ảnh</s:t>
        </s:is>
      </s:c>
      <s:c r="B7963" s="19" t="n"/>
      <s:c r="C7963" s="19" t="n"/>
      <s:c r="D7963" s="19" t="n"/>
      <s:c r="E7963" s="19" t="n"/>
    </s:row>
    <s:row r="7964" hidden="1" ht="1" customHeight="1">
      <s:c r="A7964" s="120" t="inlineStr"/>
      <s:c r="B7964" s="121" t="n"/>
      <s:c r="C7964" s="121" t="n"/>
      <s:c r="D7964" s="121" t="n"/>
      <s:c r="E7964" s="122" t="n"/>
    </s:row>
    <s:row r="7965" hidden="1" ht="1" customHeight="1">
      <s:c r="A7965" s="120" t="inlineStr"/>
      <s:c r="B7965" s="121" t="n"/>
      <s:c r="C7965" s="121" t="n"/>
      <s:c r="D7965" s="121" t="n"/>
      <s:c r="E7965" s="122" t="n"/>
    </s:row>
    <s:row r="7966" hidden="1" ht="1" customHeight="1">
      <s:c r="A7966" s="120" t="inlineStr"/>
      <s:c r="B7966" s="121" t="n"/>
      <s:c r="C7966" s="121" t="n"/>
      <s:c r="D7966" s="121" t="n"/>
      <s:c r="E7966" s="122" t="n"/>
    </s:row>
    <s:row r="7967" hidden="1" ht="1" customHeight="1">
      <s:c r="A7967" s="120" t="inlineStr"/>
      <s:c r="B7967" s="121" t="n"/>
      <s:c r="C7967" s="121" t="n"/>
      <s:c r="D7967" s="121" t="n"/>
      <s:c r="E7967" s="122" t="n"/>
    </s:row>
    <s:row r="7968" hidden="1" ht="1" customHeight="1">
      <s:c r="A7968" s="120" t="inlineStr"/>
      <s:c r="B7968" s="121" t="n"/>
      <s:c r="C7968" s="121" t="n"/>
      <s:c r="D7968" s="121" t="n"/>
      <s:c r="E7968" s="122" t="n"/>
    </s:row>
    <s:row r="7969" hidden="1" ht="1" customHeight="1">
      <s:c r="A7969" s="120" t="inlineStr"/>
      <s:c r="B7969" s="121" t="n"/>
      <s:c r="C7969" s="121" t="n"/>
      <s:c r="D7969" s="121" t="n"/>
      <s:c r="E7969" s="122" t="n"/>
    </s:row>
    <s:row r="7970" hidden="1" ht="1" customHeight="1">
      <s:c r="A7970" s="120" t="inlineStr"/>
      <s:c r="B7970" s="121" t="n"/>
      <s:c r="C7970" s="121" t="n"/>
      <s:c r="D7970" s="121" t="n"/>
      <s:c r="E7970" s="122" t="n"/>
    </s:row>
    <s:row r="7971" hidden="1" ht="1" customHeight="1">
      <s:c r="A7971" s="120" t="inlineStr"/>
      <s:c r="B7971" s="121" t="n"/>
      <s:c r="C7971" s="121" t="n"/>
      <s:c r="D7971" s="121" t="n"/>
      <s:c r="E7971" s="122" t="n"/>
    </s:row>
    <s:row r="7972" hidden="1" ht="1" customHeight="1">
      <s:c r="A7972" s="120" t="inlineStr"/>
      <s:c r="B7972" s="121" t="n"/>
      <s:c r="C7972" s="121" t="n"/>
      <s:c r="D7972" s="121" t="n"/>
      <s:c r="E7972" s="122" t="n"/>
    </s:row>
    <s:row r="7973" hidden="1" ht="1" customHeight="1">
      <s:c r="A7973" s="120" t="inlineStr"/>
      <s:c r="B7973" s="121" t="n"/>
      <s:c r="C7973" s="121" t="n"/>
      <s:c r="D7973" s="121" t="n"/>
      <s:c r="E7973" s="122" t="n"/>
    </s:row>
    <s:row r="7974" hidden="1" ht="1" customHeight="1">
      <s:c r="A7974" s="120" t="inlineStr"/>
      <s:c r="B7974" s="121" t="n"/>
      <s:c r="C7974" s="121" t="n"/>
      <s:c r="D7974" s="121" t="n"/>
      <s:c r="E7974" s="122" t="n"/>
    </s:row>
    <s:row r="7975" hidden="1" ht="1" customHeight="1">
      <s:c r="A7975" s="120" t="inlineStr"/>
      <s:c r="B7975" s="121" t="n"/>
      <s:c r="C7975" s="121" t="n"/>
      <s:c r="D7975" s="121" t="n"/>
      <s:c r="E7975" s="122" t="n"/>
    </s:row>
    <s:row r="7976" hidden="1" ht="1" customHeight="1">
      <s:c r="A7976" s="120" t="inlineStr"/>
      <s:c r="B7976" s="121" t="n"/>
      <s:c r="C7976" s="121" t="n"/>
      <s:c r="D7976" s="121" t="n"/>
      <s:c r="E7976" s="122" t="n"/>
    </s:row>
    <s:row r="7977" hidden="1" ht="1" customHeight="1">
      <s:c r="A7977" s="120" t="inlineStr"/>
      <s:c r="B7977" s="121" t="n"/>
      <s:c r="C7977" s="121" t="n"/>
      <s:c r="D7977" s="121" t="n"/>
      <s:c r="E7977" s="122" t="n"/>
    </s:row>
    <s:row r="7978" hidden="1" ht="1" customHeight="1">
      <s:c r="A7978" s="120" t="inlineStr"/>
      <s:c r="B7978" s="121" t="n"/>
      <s:c r="C7978" s="121" t="n"/>
      <s:c r="D7978" s="121" t="n"/>
      <s:c r="E7978" s="122" t="n"/>
    </s:row>
    <s:row r="7979" hidden="1" ht="1" customHeight="1">
      <s:c r="A7979" s="120" t="inlineStr"/>
      <s:c r="B7979" s="121" t="n"/>
      <s:c r="C7979" s="121" t="n"/>
      <s:c r="D7979" s="121" t="n"/>
      <s:c r="E7979" s="122" t="n"/>
    </s:row>
    <s:row r="7980" hidden="1" ht="1" customHeight="1">
      <s:c r="A7980" s="120" t="inlineStr"/>
      <s:c r="B7980" s="121" t="n"/>
      <s:c r="C7980" s="121" t="n"/>
      <s:c r="D7980" s="121" t="n"/>
      <s:c r="E7980" s="122" t="n"/>
    </s:row>
    <s:row r="7981" hidden="1" ht="1" customHeight="1">
      <s:c r="A7981" s="120" t="inlineStr"/>
      <s:c r="B7981" s="121" t="n"/>
      <s:c r="C7981" s="121" t="n"/>
      <s:c r="D7981" s="121" t="n"/>
      <s:c r="E7981" s="122" t="n"/>
    </s:row>
    <s:row r="7982" hidden="1" ht="1" customHeight="1">
      <s:c r="A7982" s="120" t="inlineStr"/>
      <s:c r="B7982" s="121" t="n"/>
      <s:c r="C7982" s="121" t="n"/>
      <s:c r="D7982" s="121" t="n"/>
      <s:c r="E7982" s="122" t="n"/>
    </s:row>
    <s:row r="7983" hidden="1" ht="1" customHeight="1">
      <s:c r="A7983" s="120" t="inlineStr"/>
      <s:c r="B7983" s="121" t="n"/>
      <s:c r="C7983" s="121" t="n"/>
      <s:c r="D7983" s="121" t="n"/>
      <s:c r="E7983" s="122" t="n"/>
    </s:row>
    <s:row r="7984" hidden="1" ht="1" customHeight="1">
      <s:c r="A7984" s="120" t="inlineStr"/>
      <s:c r="B7984" s="121" t="n"/>
      <s:c r="C7984" s="121" t="n"/>
      <s:c r="D7984" s="121" t="n"/>
      <s:c r="E7984" s="122" t="n"/>
    </s:row>
    <s:row r="7985" hidden="1" ht="1" customHeight="1">
      <s:c r="A7985" s="120" t="inlineStr"/>
      <s:c r="B7985" s="121" t="n"/>
      <s:c r="C7985" s="121" t="n"/>
      <s:c r="D7985" s="121" t="n"/>
      <s:c r="E7985" s="122" t="n"/>
    </s:row>
    <s:row r="7986" hidden="1" ht="1" customHeight="1">
      <s:c r="A7986" s="120" t="inlineStr"/>
      <s:c r="B7986" s="121" t="n"/>
      <s:c r="C7986" s="121" t="n"/>
      <s:c r="D7986" s="121" t="n"/>
      <s:c r="E7986" s="122" t="n"/>
    </s:row>
    <s:row r="7987" hidden="1" ht="1" customHeight="1">
      <s:c r="A7987" s="120" t="inlineStr"/>
      <s:c r="B7987" s="121" t="n"/>
      <s:c r="C7987" s="121" t="n"/>
      <s:c r="D7987" s="121" t="n"/>
      <s:c r="E7987" s="122" t="n"/>
    </s:row>
    <s:row r="7988" hidden="1" ht="1" customHeight="1">
      <s:c r="A7988" s="120" t="inlineStr"/>
      <s:c r="B7988" s="121" t="n"/>
      <s:c r="C7988" s="121" t="n"/>
      <s:c r="D7988" s="121" t="n"/>
      <s:c r="E7988" s="122" t="n"/>
    </s:row>
    <s:row r="7989" hidden="1" ht="1" customHeight="1">
      <s:c r="A7989" s="120" t="inlineStr"/>
      <s:c r="B7989" s="121" t="n"/>
      <s:c r="C7989" s="121" t="n"/>
      <s:c r="D7989" s="121" t="n"/>
      <s:c r="E7989" s="122" t="n"/>
    </s:row>
    <s:row r="7990" hidden="1" ht="1" customHeight="1">
      <s:c r="A7990" s="120" t="inlineStr"/>
      <s:c r="B7990" s="121" t="n"/>
      <s:c r="C7990" s="121" t="n"/>
      <s:c r="D7990" s="121" t="n"/>
      <s:c r="E7990" s="122" t="n"/>
    </s:row>
    <s:row r="7991" hidden="1" ht="1" customHeight="1">
      <s:c r="A7991" s="120" t="inlineStr"/>
      <s:c r="B7991" s="121" t="n"/>
      <s:c r="C7991" s="121" t="n"/>
      <s:c r="D7991" s="121" t="n"/>
      <s:c r="E7991" s="122" t="n"/>
    </s:row>
    <s:row r="7992" hidden="1" ht="1" customHeight="1">
      <s:c r="A7992" s="120" t="inlineStr"/>
      <s:c r="B7992" s="121" t="n"/>
      <s:c r="C7992" s="121" t="n"/>
      <s:c r="D7992" s="121" t="n"/>
      <s:c r="E7992" s="122" t="n"/>
    </s:row>
    <s:row r="7993" hidden="1" ht="1" customHeight="1">
      <s:c r="A7993" s="120" t="inlineStr"/>
      <s:c r="B7993" s="121" t="n"/>
      <s:c r="C7993" s="121" t="n"/>
      <s:c r="D7993" s="121" t="n"/>
      <s:c r="E7993" s="122" t="n"/>
    </s:row>
    <s:row r="7994" hidden="1" ht="1" customHeight="1">
      <s:c r="A7994" s="120" t="inlineStr"/>
      <s:c r="B7994" s="121" t="n"/>
      <s:c r="C7994" s="121" t="n"/>
      <s:c r="D7994" s="121" t="n"/>
      <s:c r="E7994" s="122" t="n"/>
    </s:row>
    <s:row r="7995" hidden="1" ht="1" customHeight="1">
      <s:c r="A7995" s="120" t="inlineStr"/>
      <s:c r="B7995" s="121" t="n"/>
      <s:c r="C7995" s="121" t="n"/>
      <s:c r="D7995" s="121" t="n"/>
      <s:c r="E7995" s="122" t="n"/>
    </s:row>
    <s:row r="7996" hidden="1" ht="1" customHeight="1">
      <s:c r="A7996" s="120" t="inlineStr"/>
      <s:c r="B7996" s="121" t="n"/>
      <s:c r="C7996" s="121" t="n"/>
      <s:c r="D7996" s="121" t="n"/>
      <s:c r="E7996" s="122" t="n"/>
    </s:row>
    <s:row r="7997" hidden="1" ht="1" customHeight="1">
      <s:c r="A7997" s="120" t="inlineStr"/>
      <s:c r="B7997" s="121" t="n"/>
      <s:c r="C7997" s="121" t="n"/>
      <s:c r="D7997" s="121" t="n"/>
      <s:c r="E7997" s="122" t="n"/>
    </s:row>
    <s:row r="7998" hidden="1" ht="1" customHeight="1">
      <s:c r="A7998" s="120" t="inlineStr"/>
      <s:c r="B7998" s="121" t="n"/>
      <s:c r="C7998" s="121" t="n"/>
      <s:c r="D7998" s="121" t="n"/>
      <s:c r="E7998" s="122" t="n"/>
    </s:row>
    <s:row r="7999" hidden="1" ht="1" customHeight="1">
      <s:c r="A7999" s="120" t="inlineStr"/>
      <s:c r="B7999" s="121" t="n"/>
      <s:c r="C7999" s="121" t="n"/>
      <s:c r="D7999" s="121" t="n"/>
      <s:c r="E7999" s="122" t="n"/>
    </s:row>
    <s:row r="8000" hidden="1" ht="1" customHeight="1">
      <s:c r="A8000" s="120" t="inlineStr"/>
      <s:c r="B8000" s="121" t="n"/>
      <s:c r="C8000" s="121" t="n"/>
      <s:c r="D8000" s="121" t="n"/>
      <s:c r="E8000" s="122" t="n"/>
    </s:row>
    <s:row r="8001" hidden="1" ht="1" customHeight="1">
      <s:c r="A8001" s="120" t="inlineStr"/>
      <s:c r="B8001" s="121" t="n"/>
      <s:c r="C8001" s="121" t="n"/>
      <s:c r="D8001" s="121" t="n"/>
      <s:c r="E8001" s="122" t="n"/>
    </s:row>
    <s:row r="8002" hidden="1" ht="1" customHeight="1">
      <s:c r="A8002" s="120" t="inlineStr"/>
      <s:c r="B8002" s="121" t="n"/>
      <s:c r="C8002" s="121" t="n"/>
      <s:c r="D8002" s="121" t="n"/>
      <s:c r="E8002" s="122" t="n"/>
    </s:row>
    <s:row r="8003" hidden="1" ht="1" customHeight="1">
      <s:c r="A8003" s="120" t="inlineStr"/>
      <s:c r="B8003" s="121" t="n"/>
      <s:c r="C8003" s="121" t="n"/>
      <s:c r="D8003" s="121" t="n"/>
      <s:c r="E8003" s="122" t="n"/>
    </s:row>
    <s:row r="8004" hidden="1" ht="1" customHeight="1">
      <s:c r="A8004" s="120" t="inlineStr"/>
      <s:c r="B8004" s="121" t="n"/>
      <s:c r="C8004" s="121" t="n"/>
      <s:c r="D8004" s="121" t="n"/>
      <s:c r="E8004" s="122" t="n"/>
    </s:row>
    <s:row r="8005" hidden="1" ht="1" customHeight="1">
      <s:c r="A8005" s="120" t="inlineStr"/>
      <s:c r="B8005" s="121" t="n"/>
      <s:c r="C8005" s="121" t="n"/>
      <s:c r="D8005" s="121" t="n"/>
      <s:c r="E8005" s="122" t="n"/>
    </s:row>
    <s:row r="8006" hidden="1" ht="1" customHeight="1">
      <s:c r="A8006" s="120" t="inlineStr"/>
      <s:c r="B8006" s="121" t="n"/>
      <s:c r="C8006" s="121" t="n"/>
      <s:c r="D8006" s="121" t="n"/>
      <s:c r="E8006" s="122" t="n"/>
    </s:row>
    <s:row r="8007" hidden="1" ht="1" customHeight="1">
      <s:c r="A8007" s="120" t="inlineStr"/>
      <s:c r="B8007" s="121" t="n"/>
      <s:c r="C8007" s="121" t="n"/>
      <s:c r="D8007" s="121" t="n"/>
      <s:c r="E8007" s="122" t="n"/>
    </s:row>
    <s:row r="8008" hidden="1" ht="1" customHeight="1">
      <s:c r="A8008" s="120" t="inlineStr"/>
      <s:c r="B8008" s="121" t="n"/>
      <s:c r="C8008" s="121" t="n"/>
      <s:c r="D8008" s="121" t="n"/>
      <s:c r="E8008" s="122" t="n"/>
    </s:row>
    <s:row r="8009" hidden="1" ht="1" customHeight="1">
      <s:c r="A8009" s="120" t="inlineStr"/>
      <s:c r="B8009" s="121" t="n"/>
      <s:c r="C8009" s="121" t="n"/>
      <s:c r="D8009" s="121" t="n"/>
      <s:c r="E8009" s="122" t="n"/>
    </s:row>
    <s:row r="8010" hidden="1" ht="1" customHeight="1">
      <s:c r="A8010" s="120" t="inlineStr"/>
      <s:c r="B8010" s="121" t="n"/>
      <s:c r="C8010" s="121" t="n"/>
      <s:c r="D8010" s="121" t="n"/>
      <s:c r="E8010" s="122" t="n"/>
    </s:row>
    <s:row r="8011" hidden="1" ht="1" customHeight="1">
      <s:c r="A8011" s="120" t="inlineStr"/>
      <s:c r="B8011" s="121" t="n"/>
      <s:c r="C8011" s="121" t="n"/>
      <s:c r="D8011" s="121" t="n"/>
      <s:c r="E8011" s="122" t="n"/>
    </s:row>
    <s:row r="8012" hidden="1" ht="1" customHeight="1">
      <s:c r="A8012" s="83" t="inlineStr">
        <s:is>
          <s:t>PASS</s:t>
        </s:is>
      </s:c>
      <s:c r="B8012" s="83">
        <s:f>SUM(IF(EXACT('Kiểm thử'!E7962,"Đạt"),1,0))</s:f>
        <s:v/>
      </s:c>
      <s:c r="C8012" s="19" t="n"/>
      <s:c r="D8012" s="19" t="n"/>
      <s:c r="E8012" s="19" t="n"/>
    </s:row>
    <s:row r="8013" hidden="1" ht="1" customHeight="1">
      <s:c r="A8013" s="83" t="inlineStr">
        <s:is>
          <s:t>FAIL</s:t>
        </s:is>
      </s:c>
      <s:c r="B8013" s="83">
        <s:f>SUM(IF(EXACT('Kiểm thử'!E7962,"Không đạt"),1,0))</s:f>
        <s:v/>
      </s:c>
      <s:c r="C8013" s="19" t="n"/>
      <s:c r="D8013" s="19" t="n"/>
      <s:c r="E8013" s="19" t="n"/>
    </s:row>
    <s:row r="8014" hidden="1" ht="1" customHeight="1">
      <s:c r="A8014" s="83" t="inlineStr">
        <s:is>
          <s:t>BLOCKED</s:t>
        </s:is>
      </s:c>
      <s:c r="B8014" s="83">
        <s:f>SUM(IF(EXACT('Kiểm thử'!E7962,"Bị chặn"),1,0))</s:f>
        <s:v/>
      </s:c>
      <s:c r="C8014" s="19" t="n"/>
      <s:c r="D8014" s="19" t="n"/>
      <s:c r="E8014" s="19" t="n"/>
    </s:row>
    <s:row r="8015" hidden="1" ht="1" customHeight="1">
      <s:c r="A8015" s="83" t="inlineStr">
        <s:is>
          <s:t>SKIPPED</s:t>
        </s:is>
      </s:c>
      <s:c r="B8015" s="83">
        <s:f>SUM(IF(EXACT('Kiểm thử'!E7962,"Không thực hiện"),1,0))</s:f>
        <s:v/>
      </s:c>
      <s:c r="C8015" s="19" t="n"/>
      <s:c r="D8015" s="19" t="n"/>
      <s:c r="E8015" s="19" t="n"/>
    </s:row>
    <s:row r="8016" hidden="1" ht="1" customHeight="1">
      <s:c r="A8016" s="83" t="inlineStr">
        <s:is>
          <s:t>NOT RUN</s:t>
        </s:is>
      </s:c>
      <s:c r="B8016" s="83">
        <s:f>SUM(IF(EXACT('Kiểm thử'!E7962,"Chưa thực hiện"),1,0))</s:f>
        <s:v/>
      </s:c>
      <s:c r="C8016" s="19" t="n"/>
      <s:c r="D8016" s="19" t="n"/>
      <s:c r="E8016" s="19" t="n"/>
    </s:row>
    <s:row r="8017" hidden="1" ht="6" customHeight="1">
      <s:c r="A8017" s="83" t="inlineStr"/>
      <s:c r="B8017" s="19" t="n"/>
      <s:c r="C8017" s="19" t="n"/>
      <s:c r="D8017" s="19" t="n"/>
      <s:c r="E8017" s="19" t="n"/>
    </s:row>
    <s:row r="8018" ht="28" customHeight="1">
      <s:c r="A8018" s="108" t="inlineStr">
        <s:is>
          <s:t>TC-RS-VAL-023 — Giới hạn công thức: 20/21 dòng và số chữ số của số cố định</s:t>
        </s:is>
      </s:c>
      <s:c r="B8018" s="111" t="n"/>
      <s:c r="C8018" s="111" t="n"/>
      <s:c r="D8018" s="111" t="n"/>
      <s:c r="E8018" s="111" t="n"/>
    </s:row>
    <s:row r="8019" ht="20" customHeight="1">
      <s:c r="A8019" s="112" t="inlineStr">
        <s:is>
          <s:t>Kết quả tình huống</s:t>
        </s:is>
      </s:c>
      <s:c r="B8019" s="113">
        <s:f>IF(SUM(IF(EXACT('Kiểm thử'!E8026,"Không đạt"),1,0),IF(EXACT('Kiểm thử'!E8028,"Không đạt"),1,0),IF(EXACT('Kiểm thử'!E8030,"Không đạt"),1,0),IF(EXACT('Kiểm thử'!E8032,"Không đạt"),1,0),IF(EXACT('Kiểm thử'!E8034,"Không đạt"),1,0))&gt;0,"Không đạt",IF(SUM(IF(EXACT('Kiểm thử'!E8026,"Đạt"),1,0),IF(EXACT('Kiểm thử'!E8028,"Đạt"),1,0),IF(EXACT('Kiểm thử'!E8030,"Đạt"),1,0),IF(EXACT('Kiểm thử'!E8032,"Đạt"),1,0),IF(EXACT('Kiểm thử'!E8034,"Đạt"),1,0))=5,"Đạt",IF(SUM(IF(EXACT('Kiểm thử'!E8026,"Không thực hiện"),1,0),IF(EXACT('Kiểm thử'!E8028,"Không thực hiện"),1,0),IF(EXACT('Kiểm thử'!E8030,"Không thực hiện"),1,0),IF(EXACT('Kiểm thử'!E8032,"Không thực hiện"),1,0),IF(EXACT('Kiểm thử'!E8034,"Không thực hiện"),1,0))=5,"Không thực hiện",IF(SUM(IF(EXACT('Kiểm thử'!E8026,"Bị chặn"),1,0),IF(EXACT('Kiểm thử'!E8028,"Bị chặn"),1,0),IF(EXACT('Kiểm thử'!E8030,"Bị chặn"),1,0),IF(EXACT('Kiểm thử'!E8032,"Bị chặn"),1,0),IF(EXACT('Kiểm thử'!E8034,"Bị chặn"),1,0))&gt;0,"Bị chặn",IF(SUM(IF(EXACT('Kiểm thử'!E8026,"Chưa thực hiện"),1,0),IF(EXACT('Kiểm thử'!E8028,"Chưa thực hiện"),1,0),IF(EXACT('Kiểm thử'!E8030,"Chưa thực hiện"),1,0),IF(EXACT('Kiểm thử'!E8032,"Chưa thực hiện"),1,0),IF(EXACT('Kiểm thử'!E8034,"Chưa thực hiện"),1,0))=5,"Chưa thực hiện","Đang thực hiện")))))</s:f>
        <s:v/>
      </s:c>
      <s:c r="C8019" s="114" t="n"/>
      <s:c r="D8019" s="114" t="n"/>
      <s:c r="E8019" s="114" t="n"/>
    </s:row>
    <s:row r="8020" ht="20" customHeight="1">
      <s:c r="A8020" s="112" t="inlineStr">
        <s:is>
          <s:t>Màn hình / chức năng</s:t>
        </s:is>
      </s:c>
      <s:c r="B8020" s="113" t="inlineStr">
        <s:is>
          <s:r>
            <s:rPr>
              <s:b val="1"/>
            </s:rPr>
            <s:t>Thiết lập ngưỡng（基準設定）</s:t>
          </s:r>
        </s:is>
      </s:c>
      <s:c r="C8020" s="28" t="n"/>
      <s:c r="D8020" s="28" t="n"/>
      <s:c r="E8020" s="28" t="n"/>
    </s:row>
    <s:row r="8021" ht="20" customHeight="1">
      <s:c r="A8021" s="112" t="inlineStr">
        <s:is>
          <s:t>Cấu hình</s:t>
        </s:is>
      </s:c>
      <s:c r="B8021" s="113" t="inlineStr">
        <s:is>
          <s:r>
            <s:rPr>
              <s:b val="1"/>
            </s:rPr>
            <s:t>• Màn Công thức（計算式）</s:t>
          </s:r>
          <s:r>
            <s:t>, nguồn mặc định.</s:t>
          </s:r>
        </s:is>
      </s:c>
      <s:c r="C8021" s="28" t="n"/>
      <s:c r="D8021" s="28" t="n"/>
      <s:c r="E8021" s="28" t="n"/>
    </s:row>
    <s:row r="8022" ht="76" customHeight="1">
      <s:c r="A8022" s="112" t="inlineStr">
        <s:is>
          <s:t>Dữ liệu test</s:t>
        </s:is>
      </s:c>
      <s:c r="B8022" s="113" t="inlineStr">
        <s:is>
          <s:t>• (A) 20 dòng: dòng 1 [A × 1], các dòng sau [kết quả dòng trước × 1];
• (B) 21 dòng như (a);
• (C) [A × 999999999.99999999];
• (D) [A × 1000000000];
• (E) [A × 0.123456789]</s:t>
        </s:is>
      </s:c>
      <s:c r="C8022" s="28" t="n"/>
      <s:c r="D8022" s="28" t="n"/>
      <s:c r="E8022" s="28" t="n"/>
    </s:row>
    <s:row r="8023" ht="20" customHeight="1">
      <s:c r="A8023" s="112" t="inlineStr">
        <s:is>
          <s:t>•</s:t>
        </s:is>
      </s:c>
      <s:c r="B8023" s="113" t="inlineStr">
        <s:is>
          <s:t>Nhập từng cấu hình, Lưu, mở lại.</s:t>
        </s:is>
      </s:c>
      <s:c r="C8023" s="28" t="n"/>
      <s:c r="D8023" s="28" t="n"/>
      <s:c r="E8023" s="28" t="n"/>
    </s:row>
    <s:row r="8024" ht="28" customHeight="1">
      <s:c r="A8024" s="115" t="inlineStr">
        <s:is>
          <s:t>Trường hợp</s:t>
        </s:is>
      </s:c>
      <s:c r="B8024" s="115" t="inlineStr">
        <s:is>
          <s:t>Dữ liệu / thao tác riêng</s:t>
        </s:is>
      </s:c>
      <s:c r="C8024" s="115" t="inlineStr">
        <s:is>
          <s:t>Kết quả mong đợi</s:t>
        </s:is>
      </s:c>
      <s:c r="D8024" s="115" t="inlineStr">
        <s:is>
          <s:t>Kết quả thực tế</s:t>
        </s:is>
      </s:c>
      <s:c r="E8024" s="115" t="inlineStr">
        <s:is>
          <s:t>Đánh giá</s:t>
        </s:is>
      </s:c>
    </s:row>
    <s:row r="8025" ht="3" customHeight="1">
      <s:c r="A8025" s="102" t="inlineStr"/>
      <s:c r="B8025" s="99" t="n"/>
      <s:c r="C8025" s="99" t="n"/>
      <s:c r="D8025" s="116" t="n"/>
      <s:c r="E8025" s="116" t="n"/>
    </s:row>
    <s:row r="8026" ht="76" customHeight="1">
      <s:c r="A8026" s="83" t="inlineStr">
        <s:is>
          <s:t>20 Dòng (lines20)</s:t>
        </s:is>
      </s:c>
      <s:c r="B8026" s="83" t="inlineStr">
        <s:is>
          <s:t>Dòng1 A×1, các dòng sau kết quả dòng trước×1, tổng20 dòng; lưu/mở lại.</s:t>
        </s:is>
      </s:c>
      <s:c r="C8026" s="83" t="inlineStr">
        <s:is>
          <s:t>(A) Lưu được, mở lại đủ 20 dòng.
Gửi trực tiếp request vượt giới hạn cũng bị server từ chối (case “Server kiểm miền giá trị khi bỏ qua kiểm tra phía trình duyệt”).</s:t>
        </s:is>
      </s:c>
      <s:c r="D8026" s="117" t="inlineStr"/>
      <s:c r="E8026" s="118" t="inlineStr">
        <s:is>
          <s:t>Chưa thực hiện</s:t>
        </s:is>
      </s:c>
    </s:row>
    <s:row r="8027" ht="3" customHeight="1">
      <s:c r="A8027" s="102" t="inlineStr"/>
      <s:c r="B8027" s="99" t="n"/>
      <s:c r="C8027" s="99" t="n"/>
      <s:c r="D8027" s="116" t="n"/>
      <s:c r="E8027" s="116" t="n"/>
    </s:row>
    <s:row r="8028" ht="90" customHeight="1">
      <s:c r="A8028" s="83" t="inlineStr">
        <s:is>
          <s:t>21 Dòng (lines21)</s:t>
        </s:is>
      </s:c>
      <s:c r="B8028" s="83" t="inlineStr">
        <s:is>
          <s:t>Thử21 dòng như fixture20 dòng; lưu.</s:t>
        </s:is>
      </s:c>
      <s:c r="C8028" s="83" t="inlineStr">
        <s:is>
          <s:t>(B) Không thêm được dòng 21 hoặc bị từ chối khi lưu.
Gửi trực tiếp request vượt giới hạn cũng bị server từ chối (case “Server kiểm miền giá trị khi bỏ qua kiểm tra phía trình duyệt”).</s:t>
        </s:is>
      </s:c>
      <s:c r="D8028" s="117" t="inlineStr"/>
      <s:c r="E8028" s="118" t="inlineStr">
        <s:is>
          <s:t>Chưa thực hiện</s:t>
        </s:is>
      </s:c>
    </s:row>
    <s:row r="8029" ht="3" customHeight="1">
      <s:c r="A8029" s="102" t="inlineStr"/>
      <s:c r="B8029" s="99" t="n"/>
      <s:c r="C8029" s="99" t="n"/>
      <s:c r="D8029" s="116" t="n"/>
      <s:c r="E8029" s="116" t="n"/>
    </s:row>
    <s:row r="8030" ht="76" customHeight="1">
      <s:c r="A8030" s="83" t="inlineStr">
        <s:is>
          <s:t>Hằng số cực lớn (constant)</s:t>
        </s:is>
      </s:c>
      <s:c r="B8030" s="83" t="inlineStr">
        <s:is>
          <s:t>Nhập A×999999999.99999999; lưu/mở lại.</s:t>
        </s:is>
      </s:c>
      <s:c r="C8030" s="83" t="inlineStr">
        <s:is>
          <s:t>(C) Lưu được, giá trị giữ nguyên.
Gửi trực tiếp request vượt giới hạn cũng bị server từ chối (case “Server kiểm miền giá trị khi bỏ qua kiểm tra phía trình duyệt”).</s:t>
        </s:is>
      </s:c>
      <s:c r="D8030" s="117" t="inlineStr"/>
      <s:c r="E8030" s="118" t="inlineStr">
        <s:is>
          <s:t>Chưa thực hiện</s:t>
        </s:is>
      </s:c>
    </s:row>
    <s:row r="8031" ht="3" customHeight="1">
      <s:c r="A8031" s="102" t="inlineStr"/>
      <s:c r="B8031" s="99" t="n"/>
      <s:c r="C8031" s="99" t="n"/>
      <s:c r="D8031" s="116" t="n"/>
      <s:c r="E8031" s="116" t="n"/>
    </s:row>
    <s:row r="8032" ht="62" customHeight="1">
      <s:c r="A8032" s="83" t="inlineStr">
        <s:is>
          <s:t>Vượt phần nguyên (integer-overflow)</s:t>
        </s:is>
      </s:c>
      <s:c r="B8032" s="83" t="inlineStr">
        <s:is>
          <s:t>Nhập A×1000000000; lưu và thử request trực tiếp.</s:t>
        </s:is>
      </s:c>
      <s:c r="C8032" s="83" t="inlineStr">
        <s:is>
          <s:t>PROPOSED: A×1000000000 vượt 9 chữ số nguyên, bị từ chối; không tự cắt/làm tròn. Gửi trực tiếp request vượt giới hạn cũng bị server từ chối.</s:t>
        </s:is>
      </s:c>
      <s:c r="D8032" s="117" t="inlineStr"/>
      <s:c r="E8032" s="118" t="inlineStr">
        <s:is>
          <s:t>Chưa thực hiện</s:t>
        </s:is>
      </s:c>
    </s:row>
    <s:row r="8033" ht="3" customHeight="1">
      <s:c r="A8033" s="102" t="inlineStr"/>
      <s:c r="B8033" s="99" t="n"/>
      <s:c r="C8033" s="99" t="n"/>
      <s:c r="D8033" s="116" t="n"/>
      <s:c r="E8033" s="116" t="n"/>
    </s:row>
    <s:row r="8034" ht="62" customHeight="1">
      <s:c r="A8034" s="83" t="inlineStr">
        <s:is>
          <s:t>Vượt phần thập phân (fraction-overflow)</s:t>
        </s:is>
      </s:c>
      <s:c r="B8034" s="83" t="inlineStr">
        <s:is>
          <s:t>Nhập A×0.123456789; lưu và thử request trực tiếp.</s:t>
        </s:is>
      </s:c>
      <s:c r="C8034" s="83" t="inlineStr">
        <s:is>
          <s:t>PROPOSED: A×0.123456789 vượt 8 chữ số lẻ, bị từ chối; không tự cắt/làm tròn. Gửi trực tiếp request vượt giới hạn cũng bị server từ chối.</s:t>
        </s:is>
      </s:c>
      <s:c r="D8034" s="117" t="inlineStr"/>
      <s:c r="E8034" s="118" t="inlineStr">
        <s:is>
          <s:t>Chưa thực hiện</s:t>
        </s:is>
      </s:c>
    </s:row>
    <s:row r="8035" ht="20" customHeight="1">
      <s:c r="A8035" s="119" t="inlineStr">
        <s:is>
          <s:t>Ảnh minh chứng — Chưa có ảnh</s:t>
        </s:is>
      </s:c>
      <s:c r="B8035" s="19" t="n"/>
      <s:c r="C8035" s="19" t="n"/>
      <s:c r="D8035" s="19" t="n"/>
      <s:c r="E8035" s="19" t="n"/>
    </s:row>
    <s:row r="8036" hidden="1" ht="1" customHeight="1">
      <s:c r="A8036" s="120" t="inlineStr"/>
      <s:c r="B8036" s="121" t="n"/>
      <s:c r="C8036" s="121" t="n"/>
      <s:c r="D8036" s="121" t="n"/>
      <s:c r="E8036" s="122" t="n"/>
    </s:row>
    <s:row r="8037" hidden="1" ht="1" customHeight="1">
      <s:c r="A8037" s="120" t="inlineStr"/>
      <s:c r="B8037" s="121" t="n"/>
      <s:c r="C8037" s="121" t="n"/>
      <s:c r="D8037" s="121" t="n"/>
      <s:c r="E8037" s="122" t="n"/>
    </s:row>
    <s:row r="8038" hidden="1" ht="1" customHeight="1">
      <s:c r="A8038" s="120" t="inlineStr"/>
      <s:c r="B8038" s="121" t="n"/>
      <s:c r="C8038" s="121" t="n"/>
      <s:c r="D8038" s="121" t="n"/>
      <s:c r="E8038" s="122" t="n"/>
    </s:row>
    <s:row r="8039" hidden="1" ht="1" customHeight="1">
      <s:c r="A8039" s="120" t="inlineStr"/>
      <s:c r="B8039" s="121" t="n"/>
      <s:c r="C8039" s="121" t="n"/>
      <s:c r="D8039" s="121" t="n"/>
      <s:c r="E8039" s="122" t="n"/>
    </s:row>
    <s:row r="8040" hidden="1" ht="1" customHeight="1">
      <s:c r="A8040" s="120" t="inlineStr"/>
      <s:c r="B8040" s="121" t="n"/>
      <s:c r="C8040" s="121" t="n"/>
      <s:c r="D8040" s="121" t="n"/>
      <s:c r="E8040" s="122" t="n"/>
    </s:row>
    <s:row r="8041" hidden="1" ht="1" customHeight="1">
      <s:c r="A8041" s="120" t="inlineStr"/>
      <s:c r="B8041" s="121" t="n"/>
      <s:c r="C8041" s="121" t="n"/>
      <s:c r="D8041" s="121" t="n"/>
      <s:c r="E8041" s="122" t="n"/>
    </s:row>
    <s:row r="8042" hidden="1" ht="1" customHeight="1">
      <s:c r="A8042" s="120" t="inlineStr"/>
      <s:c r="B8042" s="121" t="n"/>
      <s:c r="C8042" s="121" t="n"/>
      <s:c r="D8042" s="121" t="n"/>
      <s:c r="E8042" s="122" t="n"/>
    </s:row>
    <s:row r="8043" hidden="1" ht="1" customHeight="1">
      <s:c r="A8043" s="120" t="inlineStr"/>
      <s:c r="B8043" s="121" t="n"/>
      <s:c r="C8043" s="121" t="n"/>
      <s:c r="D8043" s="121" t="n"/>
      <s:c r="E8043" s="122" t="n"/>
    </s:row>
    <s:row r="8044" hidden="1" ht="1" customHeight="1">
      <s:c r="A8044" s="120" t="inlineStr"/>
      <s:c r="B8044" s="121" t="n"/>
      <s:c r="C8044" s="121" t="n"/>
      <s:c r="D8044" s="121" t="n"/>
      <s:c r="E8044" s="122" t="n"/>
    </s:row>
    <s:row r="8045" hidden="1" ht="1" customHeight="1">
      <s:c r="A8045" s="120" t="inlineStr"/>
      <s:c r="B8045" s="121" t="n"/>
      <s:c r="C8045" s="121" t="n"/>
      <s:c r="D8045" s="121" t="n"/>
      <s:c r="E8045" s="122" t="n"/>
    </s:row>
    <s:row r="8046" hidden="1" ht="1" customHeight="1">
      <s:c r="A8046" s="120" t="inlineStr"/>
      <s:c r="B8046" s="121" t="n"/>
      <s:c r="C8046" s="121" t="n"/>
      <s:c r="D8046" s="121" t="n"/>
      <s:c r="E8046" s="122" t="n"/>
    </s:row>
    <s:row r="8047" hidden="1" ht="1" customHeight="1">
      <s:c r="A8047" s="120" t="inlineStr"/>
      <s:c r="B8047" s="121" t="n"/>
      <s:c r="C8047" s="121" t="n"/>
      <s:c r="D8047" s="121" t="n"/>
      <s:c r="E8047" s="122" t="n"/>
    </s:row>
    <s:row r="8048" hidden="1" ht="1" customHeight="1">
      <s:c r="A8048" s="120" t="inlineStr"/>
      <s:c r="B8048" s="121" t="n"/>
      <s:c r="C8048" s="121" t="n"/>
      <s:c r="D8048" s="121" t="n"/>
      <s:c r="E8048" s="122" t="n"/>
    </s:row>
    <s:row r="8049" hidden="1" ht="1" customHeight="1">
      <s:c r="A8049" s="120" t="inlineStr"/>
      <s:c r="B8049" s="121" t="n"/>
      <s:c r="C8049" s="121" t="n"/>
      <s:c r="D8049" s="121" t="n"/>
      <s:c r="E8049" s="122" t="n"/>
    </s:row>
    <s:row r="8050" hidden="1" ht="1" customHeight="1">
      <s:c r="A8050" s="120" t="inlineStr"/>
      <s:c r="B8050" s="121" t="n"/>
      <s:c r="C8050" s="121" t="n"/>
      <s:c r="D8050" s="121" t="n"/>
      <s:c r="E8050" s="122" t="n"/>
    </s:row>
    <s:row r="8051" hidden="1" ht="1" customHeight="1">
      <s:c r="A8051" s="120" t="inlineStr"/>
      <s:c r="B8051" s="121" t="n"/>
      <s:c r="C8051" s="121" t="n"/>
      <s:c r="D8051" s="121" t="n"/>
      <s:c r="E8051" s="122" t="n"/>
    </s:row>
    <s:row r="8052" hidden="1" ht="1" customHeight="1">
      <s:c r="A8052" s="120" t="inlineStr"/>
      <s:c r="B8052" s="121" t="n"/>
      <s:c r="C8052" s="121" t="n"/>
      <s:c r="D8052" s="121" t="n"/>
      <s:c r="E8052" s="122" t="n"/>
    </s:row>
    <s:row r="8053" hidden="1" ht="1" customHeight="1">
      <s:c r="A8053" s="120" t="inlineStr"/>
      <s:c r="B8053" s="121" t="n"/>
      <s:c r="C8053" s="121" t="n"/>
      <s:c r="D8053" s="121" t="n"/>
      <s:c r="E8053" s="122" t="n"/>
    </s:row>
    <s:row r="8054" hidden="1" ht="1" customHeight="1">
      <s:c r="A8054" s="120" t="inlineStr"/>
      <s:c r="B8054" s="121" t="n"/>
      <s:c r="C8054" s="121" t="n"/>
      <s:c r="D8054" s="121" t="n"/>
      <s:c r="E8054" s="122" t="n"/>
    </s:row>
    <s:row r="8055" hidden="1" ht="1" customHeight="1">
      <s:c r="A8055" s="120" t="inlineStr"/>
      <s:c r="B8055" s="121" t="n"/>
      <s:c r="C8055" s="121" t="n"/>
      <s:c r="D8055" s="121" t="n"/>
      <s:c r="E8055" s="122" t="n"/>
    </s:row>
    <s:row r="8056" hidden="1" ht="1" customHeight="1">
      <s:c r="A8056" s="120" t="inlineStr"/>
      <s:c r="B8056" s="121" t="n"/>
      <s:c r="C8056" s="121" t="n"/>
      <s:c r="D8056" s="121" t="n"/>
      <s:c r="E8056" s="122" t="n"/>
    </s:row>
    <s:row r="8057" hidden="1" ht="1" customHeight="1">
      <s:c r="A8057" s="120" t="inlineStr"/>
      <s:c r="B8057" s="121" t="n"/>
      <s:c r="C8057" s="121" t="n"/>
      <s:c r="D8057" s="121" t="n"/>
      <s:c r="E8057" s="122" t="n"/>
    </s:row>
    <s:row r="8058" hidden="1" ht="1" customHeight="1">
      <s:c r="A8058" s="120" t="inlineStr"/>
      <s:c r="B8058" s="121" t="n"/>
      <s:c r="C8058" s="121" t="n"/>
      <s:c r="D8058" s="121" t="n"/>
      <s:c r="E8058" s="122" t="n"/>
    </s:row>
    <s:row r="8059" hidden="1" ht="1" customHeight="1">
      <s:c r="A8059" s="120" t="inlineStr"/>
      <s:c r="B8059" s="121" t="n"/>
      <s:c r="C8059" s="121" t="n"/>
      <s:c r="D8059" s="121" t="n"/>
      <s:c r="E8059" s="122" t="n"/>
    </s:row>
    <s:row r="8060" hidden="1" ht="1" customHeight="1">
      <s:c r="A8060" s="120" t="inlineStr"/>
      <s:c r="B8060" s="121" t="n"/>
      <s:c r="C8060" s="121" t="n"/>
      <s:c r="D8060" s="121" t="n"/>
      <s:c r="E8060" s="122" t="n"/>
    </s:row>
    <s:row r="8061" hidden="1" ht="1" customHeight="1">
      <s:c r="A8061" s="120" t="inlineStr"/>
      <s:c r="B8061" s="121" t="n"/>
      <s:c r="C8061" s="121" t="n"/>
      <s:c r="D8061" s="121" t="n"/>
      <s:c r="E8061" s="122" t="n"/>
    </s:row>
    <s:row r="8062" hidden="1" ht="1" customHeight="1">
      <s:c r="A8062" s="120" t="inlineStr"/>
      <s:c r="B8062" s="121" t="n"/>
      <s:c r="C8062" s="121" t="n"/>
      <s:c r="D8062" s="121" t="n"/>
      <s:c r="E8062" s="122" t="n"/>
    </s:row>
    <s:row r="8063" hidden="1" ht="1" customHeight="1">
      <s:c r="A8063" s="120" t="inlineStr"/>
      <s:c r="B8063" s="121" t="n"/>
      <s:c r="C8063" s="121" t="n"/>
      <s:c r="D8063" s="121" t="n"/>
      <s:c r="E8063" s="122" t="n"/>
    </s:row>
    <s:row r="8064" hidden="1" ht="1" customHeight="1">
      <s:c r="A8064" s="120" t="inlineStr"/>
      <s:c r="B8064" s="121" t="n"/>
      <s:c r="C8064" s="121" t="n"/>
      <s:c r="D8064" s="121" t="n"/>
      <s:c r="E8064" s="122" t="n"/>
    </s:row>
    <s:row r="8065" hidden="1" ht="1" customHeight="1">
      <s:c r="A8065" s="120" t="inlineStr"/>
      <s:c r="B8065" s="121" t="n"/>
      <s:c r="C8065" s="121" t="n"/>
      <s:c r="D8065" s="121" t="n"/>
      <s:c r="E8065" s="122" t="n"/>
    </s:row>
    <s:row r="8066" hidden="1" ht="1" customHeight="1">
      <s:c r="A8066" s="120" t="inlineStr"/>
      <s:c r="B8066" s="121" t="n"/>
      <s:c r="C8066" s="121" t="n"/>
      <s:c r="D8066" s="121" t="n"/>
      <s:c r="E8066" s="122" t="n"/>
    </s:row>
    <s:row r="8067" hidden="1" ht="1" customHeight="1">
      <s:c r="A8067" s="120" t="inlineStr"/>
      <s:c r="B8067" s="121" t="n"/>
      <s:c r="C8067" s="121" t="n"/>
      <s:c r="D8067" s="121" t="n"/>
      <s:c r="E8067" s="122" t="n"/>
    </s:row>
    <s:row r="8068" hidden="1" ht="1" customHeight="1">
      <s:c r="A8068" s="120" t="inlineStr"/>
      <s:c r="B8068" s="121" t="n"/>
      <s:c r="C8068" s="121" t="n"/>
      <s:c r="D8068" s="121" t="n"/>
      <s:c r="E8068" s="122" t="n"/>
    </s:row>
    <s:row r="8069" hidden="1" ht="1" customHeight="1">
      <s:c r="A8069" s="120" t="inlineStr"/>
      <s:c r="B8069" s="121" t="n"/>
      <s:c r="C8069" s="121" t="n"/>
      <s:c r="D8069" s="121" t="n"/>
      <s:c r="E8069" s="122" t="n"/>
    </s:row>
    <s:row r="8070" hidden="1" ht="1" customHeight="1">
      <s:c r="A8070" s="120" t="inlineStr"/>
      <s:c r="B8070" s="121" t="n"/>
      <s:c r="C8070" s="121" t="n"/>
      <s:c r="D8070" s="121" t="n"/>
      <s:c r="E8070" s="122" t="n"/>
    </s:row>
    <s:row r="8071" hidden="1" ht="1" customHeight="1">
      <s:c r="A8071" s="120" t="inlineStr"/>
      <s:c r="B8071" s="121" t="n"/>
      <s:c r="C8071" s="121" t="n"/>
      <s:c r="D8071" s="121" t="n"/>
      <s:c r="E8071" s="122" t="n"/>
    </s:row>
    <s:row r="8072" hidden="1" ht="1" customHeight="1">
      <s:c r="A8072" s="120" t="inlineStr"/>
      <s:c r="B8072" s="121" t="n"/>
      <s:c r="C8072" s="121" t="n"/>
      <s:c r="D8072" s="121" t="n"/>
      <s:c r="E8072" s="122" t="n"/>
    </s:row>
    <s:row r="8073" hidden="1" ht="1" customHeight="1">
      <s:c r="A8073" s="120" t="inlineStr"/>
      <s:c r="B8073" s="121" t="n"/>
      <s:c r="C8073" s="121" t="n"/>
      <s:c r="D8073" s="121" t="n"/>
      <s:c r="E8073" s="122" t="n"/>
    </s:row>
    <s:row r="8074" hidden="1" ht="1" customHeight="1">
      <s:c r="A8074" s="120" t="inlineStr"/>
      <s:c r="B8074" s="121" t="n"/>
      <s:c r="C8074" s="121" t="n"/>
      <s:c r="D8074" s="121" t="n"/>
      <s:c r="E8074" s="122" t="n"/>
    </s:row>
    <s:row r="8075" hidden="1" ht="1" customHeight="1">
      <s:c r="A8075" s="120" t="inlineStr"/>
      <s:c r="B8075" s="121" t="n"/>
      <s:c r="C8075" s="121" t="n"/>
      <s:c r="D8075" s="121" t="n"/>
      <s:c r="E8075" s="122" t="n"/>
    </s:row>
    <s:row r="8076" hidden="1" ht="1" customHeight="1">
      <s:c r="A8076" s="120" t="inlineStr"/>
      <s:c r="B8076" s="121" t="n"/>
      <s:c r="C8076" s="121" t="n"/>
      <s:c r="D8076" s="121" t="n"/>
      <s:c r="E8076" s="122" t="n"/>
    </s:row>
    <s:row r="8077" hidden="1" ht="1" customHeight="1">
      <s:c r="A8077" s="120" t="inlineStr"/>
      <s:c r="B8077" s="121" t="n"/>
      <s:c r="C8077" s="121" t="n"/>
      <s:c r="D8077" s="121" t="n"/>
      <s:c r="E8077" s="122" t="n"/>
    </s:row>
    <s:row r="8078" hidden="1" ht="1" customHeight="1">
      <s:c r="A8078" s="120" t="inlineStr"/>
      <s:c r="B8078" s="121" t="n"/>
      <s:c r="C8078" s="121" t="n"/>
      <s:c r="D8078" s="121" t="n"/>
      <s:c r="E8078" s="122" t="n"/>
    </s:row>
    <s:row r="8079" hidden="1" ht="1" customHeight="1">
      <s:c r="A8079" s="120" t="inlineStr"/>
      <s:c r="B8079" s="121" t="n"/>
      <s:c r="C8079" s="121" t="n"/>
      <s:c r="D8079" s="121" t="n"/>
      <s:c r="E8079" s="122" t="n"/>
    </s:row>
    <s:row r="8080" hidden="1" ht="1" customHeight="1">
      <s:c r="A8080" s="120" t="inlineStr"/>
      <s:c r="B8080" s="121" t="n"/>
      <s:c r="C8080" s="121" t="n"/>
      <s:c r="D8080" s="121" t="n"/>
      <s:c r="E8080" s="122" t="n"/>
    </s:row>
    <s:row r="8081" hidden="1" ht="1" customHeight="1">
      <s:c r="A8081" s="120" t="inlineStr"/>
      <s:c r="B8081" s="121" t="n"/>
      <s:c r="C8081" s="121" t="n"/>
      <s:c r="D8081" s="121" t="n"/>
      <s:c r="E8081" s="122" t="n"/>
    </s:row>
    <s:row r="8082" hidden="1" ht="1" customHeight="1">
      <s:c r="A8082" s="120" t="inlineStr"/>
      <s:c r="B8082" s="121" t="n"/>
      <s:c r="C8082" s="121" t="n"/>
      <s:c r="D8082" s="121" t="n"/>
      <s:c r="E8082" s="122" t="n"/>
    </s:row>
    <s:row r="8083" hidden="1" ht="1" customHeight="1">
      <s:c r="A8083" s="120" t="inlineStr"/>
      <s:c r="B8083" s="121" t="n"/>
      <s:c r="C8083" s="121" t="n"/>
      <s:c r="D8083" s="121" t="n"/>
      <s:c r="E8083" s="122" t="n"/>
    </s:row>
    <s:row r="8084" hidden="1" ht="1" customHeight="1">
      <s:c r="A8084" s="120" t="inlineStr"/>
      <s:c r="B8084" s="121" t="n"/>
      <s:c r="C8084" s="121" t="n"/>
      <s:c r="D8084" s="121" t="n"/>
      <s:c r="E8084" s="122" t="n"/>
    </s:row>
    <s:row r="8085" hidden="1" ht="1" customHeight="1">
      <s:c r="A8085" s="120" t="inlineStr"/>
      <s:c r="B8085" s="121" t="n"/>
      <s:c r="C8085" s="121" t="n"/>
      <s:c r="D8085" s="121" t="n"/>
      <s:c r="E8085" s="122" t="n"/>
    </s:row>
    <s:row r="8086" hidden="1" ht="1" customHeight="1">
      <s:c r="A8086" s="120" t="inlineStr"/>
      <s:c r="B8086" s="121" t="n"/>
      <s:c r="C8086" s="121" t="n"/>
      <s:c r="D8086" s="121" t="n"/>
      <s:c r="E8086" s="122" t="n"/>
    </s:row>
    <s:row r="8087" hidden="1" ht="1" customHeight="1">
      <s:c r="A8087" s="120" t="inlineStr"/>
      <s:c r="B8087" s="121" t="n"/>
      <s:c r="C8087" s="121" t="n"/>
      <s:c r="D8087" s="121" t="n"/>
      <s:c r="E8087" s="122" t="n"/>
    </s:row>
    <s:row r="8088" hidden="1" ht="1" customHeight="1">
      <s:c r="A8088" s="120" t="inlineStr"/>
      <s:c r="B8088" s="121" t="n"/>
      <s:c r="C8088" s="121" t="n"/>
      <s:c r="D8088" s="121" t="n"/>
      <s:c r="E8088" s="122" t="n"/>
    </s:row>
    <s:row r="8089" hidden="1" ht="1" customHeight="1">
      <s:c r="A8089" s="120" t="inlineStr"/>
      <s:c r="B8089" s="121" t="n"/>
      <s:c r="C8089" s="121" t="n"/>
      <s:c r="D8089" s="121" t="n"/>
      <s:c r="E8089" s="122" t="n"/>
    </s:row>
    <s:row r="8090" hidden="1" ht="1" customHeight="1">
      <s:c r="A8090" s="120" t="inlineStr"/>
      <s:c r="B8090" s="121" t="n"/>
      <s:c r="C8090" s="121" t="n"/>
      <s:c r="D8090" s="121" t="n"/>
      <s:c r="E8090" s="122" t="n"/>
    </s:row>
    <s:row r="8091" hidden="1" ht="1" customHeight="1">
      <s:c r="A8091" s="120" t="inlineStr"/>
      <s:c r="B8091" s="121" t="n"/>
      <s:c r="C8091" s="121" t="n"/>
      <s:c r="D8091" s="121" t="n"/>
      <s:c r="E8091" s="122" t="n"/>
    </s:row>
    <s:row r="8092" hidden="1" ht="1" customHeight="1">
      <s:c r="A8092" s="120" t="inlineStr"/>
      <s:c r="B8092" s="121" t="n"/>
      <s:c r="C8092" s="121" t="n"/>
      <s:c r="D8092" s="121" t="n"/>
      <s:c r="E8092" s="122" t="n"/>
    </s:row>
    <s:row r="8093" hidden="1" ht="1" customHeight="1">
      <s:c r="A8093" s="120" t="inlineStr"/>
      <s:c r="B8093" s="121" t="n"/>
      <s:c r="C8093" s="121" t="n"/>
      <s:c r="D8093" s="121" t="n"/>
      <s:c r="E8093" s="122" t="n"/>
    </s:row>
    <s:row r="8094" hidden="1" ht="1" customHeight="1">
      <s:c r="A8094" s="120" t="inlineStr"/>
      <s:c r="B8094" s="121" t="n"/>
      <s:c r="C8094" s="121" t="n"/>
      <s:c r="D8094" s="121" t="n"/>
      <s:c r="E8094" s="122" t="n"/>
    </s:row>
    <s:row r="8095" hidden="1" ht="1" customHeight="1">
      <s:c r="A8095" s="120" t="inlineStr"/>
      <s:c r="B8095" s="121" t="n"/>
      <s:c r="C8095" s="121" t="n"/>
      <s:c r="D8095" s="121" t="n"/>
      <s:c r="E8095" s="122" t="n"/>
    </s:row>
    <s:row r="8096" hidden="1" ht="1" customHeight="1">
      <s:c r="A8096" s="120" t="inlineStr"/>
      <s:c r="B8096" s="121" t="n"/>
      <s:c r="C8096" s="121" t="n"/>
      <s:c r="D8096" s="121" t="n"/>
      <s:c r="E8096" s="122" t="n"/>
    </s:row>
    <s:row r="8097" hidden="1" ht="1" customHeight="1">
      <s:c r="A8097" s="120" t="inlineStr"/>
      <s:c r="B8097" s="121" t="n"/>
      <s:c r="C8097" s="121" t="n"/>
      <s:c r="D8097" s="121" t="n"/>
      <s:c r="E8097" s="122" t="n"/>
    </s:row>
    <s:row r="8098" hidden="1" ht="1" customHeight="1">
      <s:c r="A8098" s="120" t="inlineStr"/>
      <s:c r="B8098" s="121" t="n"/>
      <s:c r="C8098" s="121" t="n"/>
      <s:c r="D8098" s="121" t="n"/>
      <s:c r="E8098" s="122" t="n"/>
    </s:row>
    <s:row r="8099" hidden="1" ht="1" customHeight="1">
      <s:c r="A8099" s="120" t="inlineStr"/>
      <s:c r="B8099" s="121" t="n"/>
      <s:c r="C8099" s="121" t="n"/>
      <s:c r="D8099" s="121" t="n"/>
      <s:c r="E8099" s="122" t="n"/>
    </s:row>
    <s:row r="8100" hidden="1" ht="1" customHeight="1">
      <s:c r="A8100" s="120" t="inlineStr"/>
      <s:c r="B8100" s="121" t="n"/>
      <s:c r="C8100" s="121" t="n"/>
      <s:c r="D8100" s="121" t="n"/>
      <s:c r="E8100" s="122" t="n"/>
    </s:row>
    <s:row r="8101" hidden="1" ht="1" customHeight="1">
      <s:c r="A8101" s="120" t="inlineStr"/>
      <s:c r="B8101" s="121" t="n"/>
      <s:c r="C8101" s="121" t="n"/>
      <s:c r="D8101" s="121" t="n"/>
      <s:c r="E8101" s="122" t="n"/>
    </s:row>
    <s:row r="8102" hidden="1" ht="1" customHeight="1">
      <s:c r="A8102" s="120" t="inlineStr"/>
      <s:c r="B8102" s="121" t="n"/>
      <s:c r="C8102" s="121" t="n"/>
      <s:c r="D8102" s="121" t="n"/>
      <s:c r="E8102" s="122" t="n"/>
    </s:row>
    <s:row r="8103" hidden="1" ht="1" customHeight="1">
      <s:c r="A8103" s="120" t="inlineStr"/>
      <s:c r="B8103" s="121" t="n"/>
      <s:c r="C8103" s="121" t="n"/>
      <s:c r="D8103" s="121" t="n"/>
      <s:c r="E8103" s="122" t="n"/>
    </s:row>
    <s:row r="8104" hidden="1" ht="1" customHeight="1">
      <s:c r="A8104" s="120" t="inlineStr"/>
      <s:c r="B8104" s="121" t="n"/>
      <s:c r="C8104" s="121" t="n"/>
      <s:c r="D8104" s="121" t="n"/>
      <s:c r="E8104" s="122" t="n"/>
    </s:row>
    <s:row r="8105" hidden="1" ht="1" customHeight="1">
      <s:c r="A8105" s="120" t="inlineStr"/>
      <s:c r="B8105" s="121" t="n"/>
      <s:c r="C8105" s="121" t="n"/>
      <s:c r="D8105" s="121" t="n"/>
      <s:c r="E8105" s="122" t="n"/>
    </s:row>
    <s:row r="8106" hidden="1" ht="1" customHeight="1">
      <s:c r="A8106" s="120" t="inlineStr"/>
      <s:c r="B8106" s="121" t="n"/>
      <s:c r="C8106" s="121" t="n"/>
      <s:c r="D8106" s="121" t="n"/>
      <s:c r="E8106" s="122" t="n"/>
    </s:row>
    <s:row r="8107" hidden="1" ht="1" customHeight="1">
      <s:c r="A8107" s="120" t="inlineStr"/>
      <s:c r="B8107" s="121" t="n"/>
      <s:c r="C8107" s="121" t="n"/>
      <s:c r="D8107" s="121" t="n"/>
      <s:c r="E8107" s="122" t="n"/>
    </s:row>
    <s:row r="8108" hidden="1" ht="1" customHeight="1">
      <s:c r="A8108" s="120" t="inlineStr"/>
      <s:c r="B8108" s="121" t="n"/>
      <s:c r="C8108" s="121" t="n"/>
      <s:c r="D8108" s="121" t="n"/>
      <s:c r="E8108" s="122" t="n"/>
    </s:row>
    <s:row r="8109" hidden="1" ht="1" customHeight="1">
      <s:c r="A8109" s="120" t="inlineStr"/>
      <s:c r="B8109" s="121" t="n"/>
      <s:c r="C8109" s="121" t="n"/>
      <s:c r="D8109" s="121" t="n"/>
      <s:c r="E8109" s="122" t="n"/>
    </s:row>
    <s:row r="8110" hidden="1" ht="1" customHeight="1">
      <s:c r="A8110" s="120" t="inlineStr"/>
      <s:c r="B8110" s="121" t="n"/>
      <s:c r="C8110" s="121" t="n"/>
      <s:c r="D8110" s="121" t="n"/>
      <s:c r="E8110" s="122" t="n"/>
    </s:row>
    <s:row r="8111" hidden="1" ht="1" customHeight="1">
      <s:c r="A8111" s="120" t="inlineStr"/>
      <s:c r="B8111" s="121" t="n"/>
      <s:c r="C8111" s="121" t="n"/>
      <s:c r="D8111" s="121" t="n"/>
      <s:c r="E8111" s="122" t="n"/>
    </s:row>
    <s:row r="8112" hidden="1" ht="1" customHeight="1">
      <s:c r="A8112" s="120" t="inlineStr"/>
      <s:c r="B8112" s="121" t="n"/>
      <s:c r="C8112" s="121" t="n"/>
      <s:c r="D8112" s="121" t="n"/>
      <s:c r="E8112" s="122" t="n"/>
    </s:row>
    <s:row r="8113" hidden="1" ht="1" customHeight="1">
      <s:c r="A8113" s="120" t="inlineStr"/>
      <s:c r="B8113" s="121" t="n"/>
      <s:c r="C8113" s="121" t="n"/>
      <s:c r="D8113" s="121" t="n"/>
      <s:c r="E8113" s="122" t="n"/>
    </s:row>
    <s:row r="8114" hidden="1" ht="1" customHeight="1">
      <s:c r="A8114" s="120" t="inlineStr"/>
      <s:c r="B8114" s="121" t="n"/>
      <s:c r="C8114" s="121" t="n"/>
      <s:c r="D8114" s="121" t="n"/>
      <s:c r="E8114" s="122" t="n"/>
    </s:row>
    <s:row r="8115" hidden="1" ht="1" customHeight="1">
      <s:c r="A8115" s="120" t="inlineStr"/>
      <s:c r="B8115" s="121" t="n"/>
      <s:c r="C8115" s="121" t="n"/>
      <s:c r="D8115" s="121" t="n"/>
      <s:c r="E8115" s="122" t="n"/>
    </s:row>
    <s:row r="8116" hidden="1" ht="1" customHeight="1">
      <s:c r="A8116" s="120" t="inlineStr"/>
      <s:c r="B8116" s="121" t="n"/>
      <s:c r="C8116" s="121" t="n"/>
      <s:c r="D8116" s="121" t="n"/>
      <s:c r="E8116" s="122" t="n"/>
    </s:row>
    <s:row r="8117" hidden="1" ht="1" customHeight="1">
      <s:c r="A8117" s="120" t="inlineStr"/>
      <s:c r="B8117" s="121" t="n"/>
      <s:c r="C8117" s="121" t="n"/>
      <s:c r="D8117" s="121" t="n"/>
      <s:c r="E8117" s="122" t="n"/>
    </s:row>
    <s:row r="8118" hidden="1" ht="1" customHeight="1">
      <s:c r="A8118" s="120" t="inlineStr"/>
      <s:c r="B8118" s="121" t="n"/>
      <s:c r="C8118" s="121" t="n"/>
      <s:c r="D8118" s="121" t="n"/>
      <s:c r="E8118" s="122" t="n"/>
    </s:row>
    <s:row r="8119" hidden="1" ht="1" customHeight="1">
      <s:c r="A8119" s="120" t="inlineStr"/>
      <s:c r="B8119" s="121" t="n"/>
      <s:c r="C8119" s="121" t="n"/>
      <s:c r="D8119" s="121" t="n"/>
      <s:c r="E8119" s="122" t="n"/>
    </s:row>
    <s:row r="8120" hidden="1" ht="1" customHeight="1">
      <s:c r="A8120" s="120" t="inlineStr"/>
      <s:c r="B8120" s="121" t="n"/>
      <s:c r="C8120" s="121" t="n"/>
      <s:c r="D8120" s="121" t="n"/>
      <s:c r="E8120" s="122" t="n"/>
    </s:row>
    <s:row r="8121" hidden="1" ht="1" customHeight="1">
      <s:c r="A8121" s="120" t="inlineStr"/>
      <s:c r="B8121" s="121" t="n"/>
      <s:c r="C8121" s="121" t="n"/>
      <s:c r="D8121" s="121" t="n"/>
      <s:c r="E8121" s="122" t="n"/>
    </s:row>
    <s:row r="8122" hidden="1" ht="1" customHeight="1">
      <s:c r="A8122" s="120" t="inlineStr"/>
      <s:c r="B8122" s="121" t="n"/>
      <s:c r="C8122" s="121" t="n"/>
      <s:c r="D8122" s="121" t="n"/>
      <s:c r="E8122" s="122" t="n"/>
    </s:row>
    <s:row r="8123" hidden="1" ht="1" customHeight="1">
      <s:c r="A8123" s="120" t="inlineStr"/>
      <s:c r="B8123" s="121" t="n"/>
      <s:c r="C8123" s="121" t="n"/>
      <s:c r="D8123" s="121" t="n"/>
      <s:c r="E8123" s="122" t="n"/>
    </s:row>
    <s:row r="8124" hidden="1" ht="1" customHeight="1">
      <s:c r="A8124" s="120" t="inlineStr"/>
      <s:c r="B8124" s="121" t="n"/>
      <s:c r="C8124" s="121" t="n"/>
      <s:c r="D8124" s="121" t="n"/>
      <s:c r="E8124" s="122" t="n"/>
    </s:row>
    <s:row r="8125" hidden="1" ht="1" customHeight="1">
      <s:c r="A8125" s="120" t="inlineStr"/>
      <s:c r="B8125" s="121" t="n"/>
      <s:c r="C8125" s="121" t="n"/>
      <s:c r="D8125" s="121" t="n"/>
      <s:c r="E8125" s="122" t="n"/>
    </s:row>
    <s:row r="8126" hidden="1" ht="1" customHeight="1">
      <s:c r="A8126" s="120" t="inlineStr"/>
      <s:c r="B8126" s="121" t="n"/>
      <s:c r="C8126" s="121" t="n"/>
      <s:c r="D8126" s="121" t="n"/>
      <s:c r="E8126" s="122" t="n"/>
    </s:row>
    <s:row r="8127" hidden="1" ht="1" customHeight="1">
      <s:c r="A8127" s="120" t="inlineStr"/>
      <s:c r="B8127" s="121" t="n"/>
      <s:c r="C8127" s="121" t="n"/>
      <s:c r="D8127" s="121" t="n"/>
      <s:c r="E8127" s="122" t="n"/>
    </s:row>
    <s:row r="8128" hidden="1" ht="1" customHeight="1">
      <s:c r="A8128" s="120" t="inlineStr"/>
      <s:c r="B8128" s="121" t="n"/>
      <s:c r="C8128" s="121" t="n"/>
      <s:c r="D8128" s="121" t="n"/>
      <s:c r="E8128" s="122" t="n"/>
    </s:row>
    <s:row r="8129" hidden="1" ht="1" customHeight="1">
      <s:c r="A8129" s="120" t="inlineStr"/>
      <s:c r="B8129" s="121" t="n"/>
      <s:c r="C8129" s="121" t="n"/>
      <s:c r="D8129" s="121" t="n"/>
      <s:c r="E8129" s="122" t="n"/>
    </s:row>
    <s:row r="8130" hidden="1" ht="1" customHeight="1">
      <s:c r="A8130" s="120" t="inlineStr"/>
      <s:c r="B8130" s="121" t="n"/>
      <s:c r="C8130" s="121" t="n"/>
      <s:c r="D8130" s="121" t="n"/>
      <s:c r="E8130" s="122" t="n"/>
    </s:row>
    <s:row r="8131" hidden="1" ht="1" customHeight="1">
      <s:c r="A8131" s="120" t="inlineStr"/>
      <s:c r="B8131" s="121" t="n"/>
      <s:c r="C8131" s="121" t="n"/>
      <s:c r="D8131" s="121" t="n"/>
      <s:c r="E8131" s="122" t="n"/>
    </s:row>
    <s:row r="8132" hidden="1" ht="1" customHeight="1">
      <s:c r="A8132" s="120" t="inlineStr"/>
      <s:c r="B8132" s="121" t="n"/>
      <s:c r="C8132" s="121" t="n"/>
      <s:c r="D8132" s="121" t="n"/>
      <s:c r="E8132" s="122" t="n"/>
    </s:row>
    <s:row r="8133" hidden="1" ht="1" customHeight="1">
      <s:c r="A8133" s="120" t="inlineStr"/>
      <s:c r="B8133" s="121" t="n"/>
      <s:c r="C8133" s="121" t="n"/>
      <s:c r="D8133" s="121" t="n"/>
      <s:c r="E8133" s="122" t="n"/>
    </s:row>
    <s:row r="8134" hidden="1" ht="1" customHeight="1">
      <s:c r="A8134" s="120" t="inlineStr"/>
      <s:c r="B8134" s="121" t="n"/>
      <s:c r="C8134" s="121" t="n"/>
      <s:c r="D8134" s="121" t="n"/>
      <s:c r="E8134" s="122" t="n"/>
    </s:row>
    <s:row r="8135" hidden="1" ht="1" customHeight="1">
      <s:c r="A8135" s="120" t="inlineStr"/>
      <s:c r="B8135" s="121" t="n"/>
      <s:c r="C8135" s="121" t="n"/>
      <s:c r="D8135" s="121" t="n"/>
      <s:c r="E8135" s="122" t="n"/>
    </s:row>
    <s:row r="8136" hidden="1" ht="1" customHeight="1">
      <s:c r="A8136" s="120" t="inlineStr"/>
      <s:c r="B8136" s="121" t="n"/>
      <s:c r="C8136" s="121" t="n"/>
      <s:c r="D8136" s="121" t="n"/>
      <s:c r="E8136" s="122" t="n"/>
    </s:row>
    <s:row r="8137" hidden="1" ht="1" customHeight="1">
      <s:c r="A8137" s="120" t="inlineStr"/>
      <s:c r="B8137" s="121" t="n"/>
      <s:c r="C8137" s="121" t="n"/>
      <s:c r="D8137" s="121" t="n"/>
      <s:c r="E8137" s="122" t="n"/>
    </s:row>
    <s:row r="8138" hidden="1" ht="1" customHeight="1">
      <s:c r="A8138" s="120" t="inlineStr"/>
      <s:c r="B8138" s="121" t="n"/>
      <s:c r="C8138" s="121" t="n"/>
      <s:c r="D8138" s="121" t="n"/>
      <s:c r="E8138" s="122" t="n"/>
    </s:row>
    <s:row r="8139" hidden="1" ht="1" customHeight="1">
      <s:c r="A8139" s="120" t="inlineStr"/>
      <s:c r="B8139" s="121" t="n"/>
      <s:c r="C8139" s="121" t="n"/>
      <s:c r="D8139" s="121" t="n"/>
      <s:c r="E8139" s="122" t="n"/>
    </s:row>
    <s:row r="8140" hidden="1" ht="1" customHeight="1">
      <s:c r="A8140" s="120" t="inlineStr"/>
      <s:c r="B8140" s="121" t="n"/>
      <s:c r="C8140" s="121" t="n"/>
      <s:c r="D8140" s="121" t="n"/>
      <s:c r="E8140" s="122" t="n"/>
    </s:row>
    <s:row r="8141" hidden="1" ht="1" customHeight="1">
      <s:c r="A8141" s="120" t="inlineStr"/>
      <s:c r="B8141" s="121" t="n"/>
      <s:c r="C8141" s="121" t="n"/>
      <s:c r="D8141" s="121" t="n"/>
      <s:c r="E8141" s="122" t="n"/>
    </s:row>
    <s:row r="8142" hidden="1" ht="1" customHeight="1">
      <s:c r="A8142" s="120" t="inlineStr"/>
      <s:c r="B8142" s="121" t="n"/>
      <s:c r="C8142" s="121" t="n"/>
      <s:c r="D8142" s="121" t="n"/>
      <s:c r="E8142" s="122" t="n"/>
    </s:row>
    <s:row r="8143" hidden="1" ht="1" customHeight="1">
      <s:c r="A8143" s="120" t="inlineStr"/>
      <s:c r="B8143" s="121" t="n"/>
      <s:c r="C8143" s="121" t="n"/>
      <s:c r="D8143" s="121" t="n"/>
      <s:c r="E8143" s="122" t="n"/>
    </s:row>
    <s:row r="8144" hidden="1" ht="1" customHeight="1">
      <s:c r="A8144" s="120" t="inlineStr"/>
      <s:c r="B8144" s="121" t="n"/>
      <s:c r="C8144" s="121" t="n"/>
      <s:c r="D8144" s="121" t="n"/>
      <s:c r="E8144" s="122" t="n"/>
    </s:row>
    <s:row r="8145" hidden="1" ht="1" customHeight="1">
      <s:c r="A8145" s="120" t="inlineStr"/>
      <s:c r="B8145" s="121" t="n"/>
      <s:c r="C8145" s="121" t="n"/>
      <s:c r="D8145" s="121" t="n"/>
      <s:c r="E8145" s="122" t="n"/>
    </s:row>
    <s:row r="8146" hidden="1" ht="1" customHeight="1">
      <s:c r="A8146" s="120" t="inlineStr"/>
      <s:c r="B8146" s="121" t="n"/>
      <s:c r="C8146" s="121" t="n"/>
      <s:c r="D8146" s="121" t="n"/>
      <s:c r="E8146" s="122" t="n"/>
    </s:row>
    <s:row r="8147" hidden="1" ht="1" customHeight="1">
      <s:c r="A8147" s="120" t="inlineStr"/>
      <s:c r="B8147" s="121" t="n"/>
      <s:c r="C8147" s="121" t="n"/>
      <s:c r="D8147" s="121" t="n"/>
      <s:c r="E8147" s="122" t="n"/>
    </s:row>
    <s:row r="8148" hidden="1" ht="1" customHeight="1">
      <s:c r="A8148" s="120" t="inlineStr"/>
      <s:c r="B8148" s="121" t="n"/>
      <s:c r="C8148" s="121" t="n"/>
      <s:c r="D8148" s="121" t="n"/>
      <s:c r="E8148" s="122" t="n"/>
    </s:row>
    <s:row r="8149" hidden="1" ht="1" customHeight="1">
      <s:c r="A8149" s="120" t="inlineStr"/>
      <s:c r="B8149" s="121" t="n"/>
      <s:c r="C8149" s="121" t="n"/>
      <s:c r="D8149" s="121" t="n"/>
      <s:c r="E8149" s="122" t="n"/>
    </s:row>
    <s:row r="8150" hidden="1" ht="1" customHeight="1">
      <s:c r="A8150" s="120" t="inlineStr"/>
      <s:c r="B8150" s="121" t="n"/>
      <s:c r="C8150" s="121" t="n"/>
      <s:c r="D8150" s="121" t="n"/>
      <s:c r="E8150" s="122" t="n"/>
    </s:row>
    <s:row r="8151" hidden="1" ht="1" customHeight="1">
      <s:c r="A8151" s="120" t="inlineStr"/>
      <s:c r="B8151" s="121" t="n"/>
      <s:c r="C8151" s="121" t="n"/>
      <s:c r="D8151" s="121" t="n"/>
      <s:c r="E8151" s="122" t="n"/>
    </s:row>
    <s:row r="8152" hidden="1" ht="1" customHeight="1">
      <s:c r="A8152" s="120" t="inlineStr"/>
      <s:c r="B8152" s="121" t="n"/>
      <s:c r="C8152" s="121" t="n"/>
      <s:c r="D8152" s="121" t="n"/>
      <s:c r="E8152" s="122" t="n"/>
    </s:row>
    <s:row r="8153" hidden="1" ht="1" customHeight="1">
      <s:c r="A8153" s="120" t="inlineStr"/>
      <s:c r="B8153" s="121" t="n"/>
      <s:c r="C8153" s="121" t="n"/>
      <s:c r="D8153" s="121" t="n"/>
      <s:c r="E8153" s="122" t="n"/>
    </s:row>
    <s:row r="8154" hidden="1" ht="1" customHeight="1">
      <s:c r="A8154" s="120" t="inlineStr"/>
      <s:c r="B8154" s="121" t="n"/>
      <s:c r="C8154" s="121" t="n"/>
      <s:c r="D8154" s="121" t="n"/>
      <s:c r="E8154" s="122" t="n"/>
    </s:row>
    <s:row r="8155" hidden="1" ht="1" customHeight="1">
      <s:c r="A8155" s="120" t="inlineStr"/>
      <s:c r="B8155" s="121" t="n"/>
      <s:c r="C8155" s="121" t="n"/>
      <s:c r="D8155" s="121" t="n"/>
      <s:c r="E8155" s="122" t="n"/>
    </s:row>
    <s:row r="8156" hidden="1" ht="1" customHeight="1">
      <s:c r="A8156" s="120" t="inlineStr"/>
      <s:c r="B8156" s="121" t="n"/>
      <s:c r="C8156" s="121" t="n"/>
      <s:c r="D8156" s="121" t="n"/>
      <s:c r="E8156" s="122" t="n"/>
    </s:row>
    <s:row r="8157" hidden="1" ht="1" customHeight="1">
      <s:c r="A8157" s="120" t="inlineStr"/>
      <s:c r="B8157" s="121" t="n"/>
      <s:c r="C8157" s="121" t="n"/>
      <s:c r="D8157" s="121" t="n"/>
      <s:c r="E8157" s="122" t="n"/>
    </s:row>
    <s:row r="8158" hidden="1" ht="1" customHeight="1">
      <s:c r="A8158" s="120" t="inlineStr"/>
      <s:c r="B8158" s="121" t="n"/>
      <s:c r="C8158" s="121" t="n"/>
      <s:c r="D8158" s="121" t="n"/>
      <s:c r="E8158" s="122" t="n"/>
    </s:row>
    <s:row r="8159" hidden="1" ht="1" customHeight="1">
      <s:c r="A8159" s="120" t="inlineStr"/>
      <s:c r="B8159" s="121" t="n"/>
      <s:c r="C8159" s="121" t="n"/>
      <s:c r="D8159" s="121" t="n"/>
      <s:c r="E8159" s="122" t="n"/>
    </s:row>
    <s:row r="8160" hidden="1" ht="1" customHeight="1">
      <s:c r="A8160" s="120" t="inlineStr"/>
      <s:c r="B8160" s="121" t="n"/>
      <s:c r="C8160" s="121" t="n"/>
      <s:c r="D8160" s="121" t="n"/>
      <s:c r="E8160" s="122" t="n"/>
    </s:row>
    <s:row r="8161" hidden="1" ht="1" customHeight="1">
      <s:c r="A8161" s="120" t="inlineStr"/>
      <s:c r="B8161" s="121" t="n"/>
      <s:c r="C8161" s="121" t="n"/>
      <s:c r="D8161" s="121" t="n"/>
      <s:c r="E8161" s="122" t="n"/>
    </s:row>
    <s:row r="8162" hidden="1" ht="1" customHeight="1">
      <s:c r="A8162" s="120" t="inlineStr"/>
      <s:c r="B8162" s="121" t="n"/>
      <s:c r="C8162" s="121" t="n"/>
      <s:c r="D8162" s="121" t="n"/>
      <s:c r="E8162" s="122" t="n"/>
    </s:row>
    <s:row r="8163" hidden="1" ht="1" customHeight="1">
      <s:c r="A8163" s="120" t="inlineStr"/>
      <s:c r="B8163" s="121" t="n"/>
      <s:c r="C8163" s="121" t="n"/>
      <s:c r="D8163" s="121" t="n"/>
      <s:c r="E8163" s="122" t="n"/>
    </s:row>
    <s:row r="8164" hidden="1" ht="1" customHeight="1">
      <s:c r="A8164" s="120" t="inlineStr"/>
      <s:c r="B8164" s="121" t="n"/>
      <s:c r="C8164" s="121" t="n"/>
      <s:c r="D8164" s="121" t="n"/>
      <s:c r="E8164" s="122" t="n"/>
    </s:row>
    <s:row r="8165" hidden="1" ht="1" customHeight="1">
      <s:c r="A8165" s="120" t="inlineStr"/>
      <s:c r="B8165" s="121" t="n"/>
      <s:c r="C8165" s="121" t="n"/>
      <s:c r="D8165" s="121" t="n"/>
      <s:c r="E8165" s="122" t="n"/>
    </s:row>
    <s:row r="8166" hidden="1" ht="1" customHeight="1">
      <s:c r="A8166" s="120" t="inlineStr"/>
      <s:c r="B8166" s="121" t="n"/>
      <s:c r="C8166" s="121" t="n"/>
      <s:c r="D8166" s="121" t="n"/>
      <s:c r="E8166" s="122" t="n"/>
    </s:row>
    <s:row r="8167" hidden="1" ht="1" customHeight="1">
      <s:c r="A8167" s="120" t="inlineStr"/>
      <s:c r="B8167" s="121" t="n"/>
      <s:c r="C8167" s="121" t="n"/>
      <s:c r="D8167" s="121" t="n"/>
      <s:c r="E8167" s="122" t="n"/>
    </s:row>
    <s:row r="8168" hidden="1" ht="1" customHeight="1">
      <s:c r="A8168" s="120" t="inlineStr"/>
      <s:c r="B8168" s="121" t="n"/>
      <s:c r="C8168" s="121" t="n"/>
      <s:c r="D8168" s="121" t="n"/>
      <s:c r="E8168" s="122" t="n"/>
    </s:row>
    <s:row r="8169" hidden="1" ht="1" customHeight="1">
      <s:c r="A8169" s="120" t="inlineStr"/>
      <s:c r="B8169" s="121" t="n"/>
      <s:c r="C8169" s="121" t="n"/>
      <s:c r="D8169" s="121" t="n"/>
      <s:c r="E8169" s="122" t="n"/>
    </s:row>
    <s:row r="8170" hidden="1" ht="1" customHeight="1">
      <s:c r="A8170" s="120" t="inlineStr"/>
      <s:c r="B8170" s="121" t="n"/>
      <s:c r="C8170" s="121" t="n"/>
      <s:c r="D8170" s="121" t="n"/>
      <s:c r="E8170" s="122" t="n"/>
    </s:row>
    <s:row r="8171" hidden="1" ht="1" customHeight="1">
      <s:c r="A8171" s="120" t="inlineStr"/>
      <s:c r="B8171" s="121" t="n"/>
      <s:c r="C8171" s="121" t="n"/>
      <s:c r="D8171" s="121" t="n"/>
      <s:c r="E8171" s="122" t="n"/>
    </s:row>
    <s:row r="8172" hidden="1" ht="1" customHeight="1">
      <s:c r="A8172" s="120" t="inlineStr"/>
      <s:c r="B8172" s="121" t="n"/>
      <s:c r="C8172" s="121" t="n"/>
      <s:c r="D8172" s="121" t="n"/>
      <s:c r="E8172" s="122" t="n"/>
    </s:row>
    <s:row r="8173" hidden="1" ht="1" customHeight="1">
      <s:c r="A8173" s="120" t="inlineStr"/>
      <s:c r="B8173" s="121" t="n"/>
      <s:c r="C8173" s="121" t="n"/>
      <s:c r="D8173" s="121" t="n"/>
      <s:c r="E8173" s="122" t="n"/>
    </s:row>
    <s:row r="8174" hidden="1" ht="1" customHeight="1">
      <s:c r="A8174" s="120" t="inlineStr"/>
      <s:c r="B8174" s="121" t="n"/>
      <s:c r="C8174" s="121" t="n"/>
      <s:c r="D8174" s="121" t="n"/>
      <s:c r="E8174" s="122" t="n"/>
    </s:row>
    <s:row r="8175" hidden="1" ht="1" customHeight="1">
      <s:c r="A8175" s="120" t="inlineStr"/>
      <s:c r="B8175" s="121" t="n"/>
      <s:c r="C8175" s="121" t="n"/>
      <s:c r="D8175" s="121" t="n"/>
      <s:c r="E8175" s="122" t="n"/>
    </s:row>
    <s:row r="8176" hidden="1" ht="1" customHeight="1">
      <s:c r="A8176" s="120" t="inlineStr"/>
      <s:c r="B8176" s="121" t="n"/>
      <s:c r="C8176" s="121" t="n"/>
      <s:c r="D8176" s="121" t="n"/>
      <s:c r="E8176" s="122" t="n"/>
    </s:row>
    <s:row r="8177" hidden="1" ht="1" customHeight="1">
      <s:c r="A8177" s="120" t="inlineStr"/>
      <s:c r="B8177" s="121" t="n"/>
      <s:c r="C8177" s="121" t="n"/>
      <s:c r="D8177" s="121" t="n"/>
      <s:c r="E8177" s="122" t="n"/>
    </s:row>
    <s:row r="8178" hidden="1" ht="1" customHeight="1">
      <s:c r="A8178" s="120" t="inlineStr"/>
      <s:c r="B8178" s="121" t="n"/>
      <s:c r="C8178" s="121" t="n"/>
      <s:c r="D8178" s="121" t="n"/>
      <s:c r="E8178" s="122" t="n"/>
    </s:row>
    <s:row r="8179" hidden="1" ht="1" customHeight="1">
      <s:c r="A8179" s="120" t="inlineStr"/>
      <s:c r="B8179" s="121" t="n"/>
      <s:c r="C8179" s="121" t="n"/>
      <s:c r="D8179" s="121" t="n"/>
      <s:c r="E8179" s="122" t="n"/>
    </s:row>
    <s:row r="8180" hidden="1" ht="1" customHeight="1">
      <s:c r="A8180" s="120" t="inlineStr"/>
      <s:c r="B8180" s="121" t="n"/>
      <s:c r="C8180" s="121" t="n"/>
      <s:c r="D8180" s="121" t="n"/>
      <s:c r="E8180" s="122" t="n"/>
    </s:row>
    <s:row r="8181" hidden="1" ht="1" customHeight="1">
      <s:c r="A8181" s="120" t="inlineStr"/>
      <s:c r="B8181" s="121" t="n"/>
      <s:c r="C8181" s="121" t="n"/>
      <s:c r="D8181" s="121" t="n"/>
      <s:c r="E8181" s="122" t="n"/>
    </s:row>
    <s:row r="8182" hidden="1" ht="1" customHeight="1">
      <s:c r="A8182" s="120" t="inlineStr"/>
      <s:c r="B8182" s="121" t="n"/>
      <s:c r="C8182" s="121" t="n"/>
      <s:c r="D8182" s="121" t="n"/>
      <s:c r="E8182" s="122" t="n"/>
    </s:row>
    <s:row r="8183" hidden="1" ht="1" customHeight="1">
      <s:c r="A8183" s="120" t="inlineStr"/>
      <s:c r="B8183" s="121" t="n"/>
      <s:c r="C8183" s="121" t="n"/>
      <s:c r="D8183" s="121" t="n"/>
      <s:c r="E8183" s="122" t="n"/>
    </s:row>
    <s:row r="8184" hidden="1" ht="1" customHeight="1">
      <s:c r="A8184" s="120" t="inlineStr"/>
      <s:c r="B8184" s="121" t="n"/>
      <s:c r="C8184" s="121" t="n"/>
      <s:c r="D8184" s="121" t="n"/>
      <s:c r="E8184" s="122" t="n"/>
    </s:row>
    <s:row r="8185" hidden="1" ht="1" customHeight="1">
      <s:c r="A8185" s="120" t="inlineStr"/>
      <s:c r="B8185" s="121" t="n"/>
      <s:c r="C8185" s="121" t="n"/>
      <s:c r="D8185" s="121" t="n"/>
      <s:c r="E8185" s="122" t="n"/>
    </s:row>
    <s:row r="8186" hidden="1" ht="1" customHeight="1">
      <s:c r="A8186" s="120" t="inlineStr"/>
      <s:c r="B8186" s="121" t="n"/>
      <s:c r="C8186" s="121" t="n"/>
      <s:c r="D8186" s="121" t="n"/>
      <s:c r="E8186" s="122" t="n"/>
    </s:row>
    <s:row r="8187" hidden="1" ht="1" customHeight="1">
      <s:c r="A8187" s="120" t="inlineStr"/>
      <s:c r="B8187" s="121" t="n"/>
      <s:c r="C8187" s="121" t="n"/>
      <s:c r="D8187" s="121" t="n"/>
      <s:c r="E8187" s="122" t="n"/>
    </s:row>
    <s:row r="8188" hidden="1" ht="1" customHeight="1">
      <s:c r="A8188" s="120" t="inlineStr"/>
      <s:c r="B8188" s="121" t="n"/>
      <s:c r="C8188" s="121" t="n"/>
      <s:c r="D8188" s="121" t="n"/>
      <s:c r="E8188" s="122" t="n"/>
    </s:row>
    <s:row r="8189" hidden="1" ht="1" customHeight="1">
      <s:c r="A8189" s="120" t="inlineStr"/>
      <s:c r="B8189" s="121" t="n"/>
      <s:c r="C8189" s="121" t="n"/>
      <s:c r="D8189" s="121" t="n"/>
      <s:c r="E8189" s="122" t="n"/>
    </s:row>
    <s:row r="8190" hidden="1" ht="1" customHeight="1">
      <s:c r="A8190" s="120" t="inlineStr"/>
      <s:c r="B8190" s="121" t="n"/>
      <s:c r="C8190" s="121" t="n"/>
      <s:c r="D8190" s="121" t="n"/>
      <s:c r="E8190" s="122" t="n"/>
    </s:row>
    <s:row r="8191" hidden="1" ht="1" customHeight="1">
      <s:c r="A8191" s="120" t="inlineStr"/>
      <s:c r="B8191" s="121" t="n"/>
      <s:c r="C8191" s="121" t="n"/>
      <s:c r="D8191" s="121" t="n"/>
      <s:c r="E8191" s="122" t="n"/>
    </s:row>
    <s:row r="8192" hidden="1" ht="1" customHeight="1">
      <s:c r="A8192" s="120" t="inlineStr"/>
      <s:c r="B8192" s="121" t="n"/>
      <s:c r="C8192" s="121" t="n"/>
      <s:c r="D8192" s="121" t="n"/>
      <s:c r="E8192" s="122" t="n"/>
    </s:row>
    <s:row r="8193" hidden="1" ht="1" customHeight="1">
      <s:c r="A8193" s="120" t="inlineStr"/>
      <s:c r="B8193" s="121" t="n"/>
      <s:c r="C8193" s="121" t="n"/>
      <s:c r="D8193" s="121" t="n"/>
      <s:c r="E8193" s="122" t="n"/>
    </s:row>
    <s:row r="8194" hidden="1" ht="1" customHeight="1">
      <s:c r="A8194" s="120" t="inlineStr"/>
      <s:c r="B8194" s="121" t="n"/>
      <s:c r="C8194" s="121" t="n"/>
      <s:c r="D8194" s="121" t="n"/>
      <s:c r="E8194" s="122" t="n"/>
    </s:row>
    <s:row r="8195" hidden="1" ht="1" customHeight="1">
      <s:c r="A8195" s="120" t="inlineStr"/>
      <s:c r="B8195" s="121" t="n"/>
      <s:c r="C8195" s="121" t="n"/>
      <s:c r="D8195" s="121" t="n"/>
      <s:c r="E8195" s="122" t="n"/>
    </s:row>
    <s:row r="8196" hidden="1" ht="1" customHeight="1">
      <s:c r="A8196" s="120" t="inlineStr"/>
      <s:c r="B8196" s="121" t="n"/>
      <s:c r="C8196" s="121" t="n"/>
      <s:c r="D8196" s="121" t="n"/>
      <s:c r="E8196" s="122" t="n"/>
    </s:row>
    <s:row r="8197" hidden="1" ht="1" customHeight="1">
      <s:c r="A8197" s="120" t="inlineStr"/>
      <s:c r="B8197" s="121" t="n"/>
      <s:c r="C8197" s="121" t="n"/>
      <s:c r="D8197" s="121" t="n"/>
      <s:c r="E8197" s="122" t="n"/>
    </s:row>
    <s:row r="8198" hidden="1" ht="1" customHeight="1">
      <s:c r="A8198" s="120" t="inlineStr"/>
      <s:c r="B8198" s="121" t="n"/>
      <s:c r="C8198" s="121" t="n"/>
      <s:c r="D8198" s="121" t="n"/>
      <s:c r="E8198" s="122" t="n"/>
    </s:row>
    <s:row r="8199" hidden="1" ht="1" customHeight="1">
      <s:c r="A8199" s="120" t="inlineStr"/>
      <s:c r="B8199" s="121" t="n"/>
      <s:c r="C8199" s="121" t="n"/>
      <s:c r="D8199" s="121" t="n"/>
      <s:c r="E8199" s="122" t="n"/>
    </s:row>
    <s:row r="8200" hidden="1" ht="1" customHeight="1">
      <s:c r="A8200" s="120" t="inlineStr"/>
      <s:c r="B8200" s="121" t="n"/>
      <s:c r="C8200" s="121" t="n"/>
      <s:c r="D8200" s="121" t="n"/>
      <s:c r="E8200" s="122" t="n"/>
    </s:row>
    <s:row r="8201" hidden="1" ht="1" customHeight="1">
      <s:c r="A8201" s="120" t="inlineStr"/>
      <s:c r="B8201" s="121" t="n"/>
      <s:c r="C8201" s="121" t="n"/>
      <s:c r="D8201" s="121" t="n"/>
      <s:c r="E8201" s="122" t="n"/>
    </s:row>
    <s:row r="8202" hidden="1" ht="1" customHeight="1">
      <s:c r="A8202" s="120" t="inlineStr"/>
      <s:c r="B8202" s="121" t="n"/>
      <s:c r="C8202" s="121" t="n"/>
      <s:c r="D8202" s="121" t="n"/>
      <s:c r="E8202" s="122" t="n"/>
    </s:row>
    <s:row r="8203" hidden="1" ht="1" customHeight="1">
      <s:c r="A8203" s="120" t="inlineStr"/>
      <s:c r="B8203" s="121" t="n"/>
      <s:c r="C8203" s="121" t="n"/>
      <s:c r="D8203" s="121" t="n"/>
      <s:c r="E8203" s="122" t="n"/>
    </s:row>
    <s:row r="8204" hidden="1" ht="1" customHeight="1">
      <s:c r="A8204" s="120" t="inlineStr"/>
      <s:c r="B8204" s="121" t="n"/>
      <s:c r="C8204" s="121" t="n"/>
      <s:c r="D8204" s="121" t="n"/>
      <s:c r="E8204" s="122" t="n"/>
    </s:row>
    <s:row r="8205" hidden="1" ht="1" customHeight="1">
      <s:c r="A8205" s="120" t="inlineStr"/>
      <s:c r="B8205" s="121" t="n"/>
      <s:c r="C8205" s="121" t="n"/>
      <s:c r="D8205" s="121" t="n"/>
      <s:c r="E8205" s="122" t="n"/>
    </s:row>
    <s:row r="8206" hidden="1" ht="1" customHeight="1">
      <s:c r="A8206" s="120" t="inlineStr"/>
      <s:c r="B8206" s="121" t="n"/>
      <s:c r="C8206" s="121" t="n"/>
      <s:c r="D8206" s="121" t="n"/>
      <s:c r="E8206" s="122" t="n"/>
    </s:row>
    <s:row r="8207" hidden="1" ht="1" customHeight="1">
      <s:c r="A8207" s="120" t="inlineStr"/>
      <s:c r="B8207" s="121" t="n"/>
      <s:c r="C8207" s="121" t="n"/>
      <s:c r="D8207" s="121" t="n"/>
      <s:c r="E8207" s="122" t="n"/>
    </s:row>
    <s:row r="8208" hidden="1" ht="1" customHeight="1">
      <s:c r="A8208" s="120" t="inlineStr"/>
      <s:c r="B8208" s="121" t="n"/>
      <s:c r="C8208" s="121" t="n"/>
      <s:c r="D8208" s="121" t="n"/>
      <s:c r="E8208" s="122" t="n"/>
    </s:row>
    <s:row r="8209" hidden="1" ht="1" customHeight="1">
      <s:c r="A8209" s="120" t="inlineStr"/>
      <s:c r="B8209" s="121" t="n"/>
      <s:c r="C8209" s="121" t="n"/>
      <s:c r="D8209" s="121" t="n"/>
      <s:c r="E8209" s="122" t="n"/>
    </s:row>
    <s:row r="8210" hidden="1" ht="1" customHeight="1">
      <s:c r="A8210" s="120" t="inlineStr"/>
      <s:c r="B8210" s="121" t="n"/>
      <s:c r="C8210" s="121" t="n"/>
      <s:c r="D8210" s="121" t="n"/>
      <s:c r="E8210" s="122" t="n"/>
    </s:row>
    <s:row r="8211" hidden="1" ht="1" customHeight="1">
      <s:c r="A8211" s="120" t="inlineStr"/>
      <s:c r="B8211" s="121" t="n"/>
      <s:c r="C8211" s="121" t="n"/>
      <s:c r="D8211" s="121" t="n"/>
      <s:c r="E8211" s="122" t="n"/>
    </s:row>
    <s:row r="8212" hidden="1" ht="1" customHeight="1">
      <s:c r="A8212" s="120" t="inlineStr"/>
      <s:c r="B8212" s="121" t="n"/>
      <s:c r="C8212" s="121" t="n"/>
      <s:c r="D8212" s="121" t="n"/>
      <s:c r="E8212" s="122" t="n"/>
    </s:row>
    <s:row r="8213" hidden="1" ht="1" customHeight="1">
      <s:c r="A8213" s="120" t="inlineStr"/>
      <s:c r="B8213" s="121" t="n"/>
      <s:c r="C8213" s="121" t="n"/>
      <s:c r="D8213" s="121" t="n"/>
      <s:c r="E8213" s="122" t="n"/>
    </s:row>
    <s:row r="8214" hidden="1" ht="1" customHeight="1">
      <s:c r="A8214" s="120" t="inlineStr"/>
      <s:c r="B8214" s="121" t="n"/>
      <s:c r="C8214" s="121" t="n"/>
      <s:c r="D8214" s="121" t="n"/>
      <s:c r="E8214" s="122" t="n"/>
    </s:row>
    <s:row r="8215" hidden="1" ht="1" customHeight="1">
      <s:c r="A8215" s="120" t="inlineStr"/>
      <s:c r="B8215" s="121" t="n"/>
      <s:c r="C8215" s="121" t="n"/>
      <s:c r="D8215" s="121" t="n"/>
      <s:c r="E8215" s="122" t="n"/>
    </s:row>
    <s:row r="8216" hidden="1" ht="1" customHeight="1">
      <s:c r="A8216" s="120" t="inlineStr"/>
      <s:c r="B8216" s="121" t="n"/>
      <s:c r="C8216" s="121" t="n"/>
      <s:c r="D8216" s="121" t="n"/>
      <s:c r="E8216" s="122" t="n"/>
    </s:row>
    <s:row r="8217" hidden="1" ht="1" customHeight="1">
      <s:c r="A8217" s="120" t="inlineStr"/>
      <s:c r="B8217" s="121" t="n"/>
      <s:c r="C8217" s="121" t="n"/>
      <s:c r="D8217" s="121" t="n"/>
      <s:c r="E8217" s="122" t="n"/>
    </s:row>
    <s:row r="8218" hidden="1" ht="1" customHeight="1">
      <s:c r="A8218" s="120" t="inlineStr"/>
      <s:c r="B8218" s="121" t="n"/>
      <s:c r="C8218" s="121" t="n"/>
      <s:c r="D8218" s="121" t="n"/>
      <s:c r="E8218" s="122" t="n"/>
    </s:row>
    <s:row r="8219" hidden="1" ht="1" customHeight="1">
      <s:c r="A8219" s="120" t="inlineStr"/>
      <s:c r="B8219" s="121" t="n"/>
      <s:c r="C8219" s="121" t="n"/>
      <s:c r="D8219" s="121" t="n"/>
      <s:c r="E8219" s="122" t="n"/>
    </s:row>
    <s:row r="8220" hidden="1" ht="1" customHeight="1">
      <s:c r="A8220" s="120" t="inlineStr"/>
      <s:c r="B8220" s="121" t="n"/>
      <s:c r="C8220" s="121" t="n"/>
      <s:c r="D8220" s="121" t="n"/>
      <s:c r="E8220" s="122" t="n"/>
    </s:row>
    <s:row r="8221" hidden="1" ht="1" customHeight="1">
      <s:c r="A8221" s="120" t="inlineStr"/>
      <s:c r="B8221" s="121" t="n"/>
      <s:c r="C8221" s="121" t="n"/>
      <s:c r="D8221" s="121" t="n"/>
      <s:c r="E8221" s="122" t="n"/>
    </s:row>
    <s:row r="8222" hidden="1" ht="1" customHeight="1">
      <s:c r="A8222" s="120" t="inlineStr"/>
      <s:c r="B8222" s="121" t="n"/>
      <s:c r="C8222" s="121" t="n"/>
      <s:c r="D8222" s="121" t="n"/>
      <s:c r="E8222" s="122" t="n"/>
    </s:row>
    <s:row r="8223" hidden="1" ht="1" customHeight="1">
      <s:c r="A8223" s="120" t="inlineStr"/>
      <s:c r="B8223" s="121" t="n"/>
      <s:c r="C8223" s="121" t="n"/>
      <s:c r="D8223" s="121" t="n"/>
      <s:c r="E8223" s="122" t="n"/>
    </s:row>
    <s:row r="8224" hidden="1" ht="1" customHeight="1">
      <s:c r="A8224" s="120" t="inlineStr"/>
      <s:c r="B8224" s="121" t="n"/>
      <s:c r="C8224" s="121" t="n"/>
      <s:c r="D8224" s="121" t="n"/>
      <s:c r="E8224" s="122" t="n"/>
    </s:row>
    <s:row r="8225" hidden="1" ht="1" customHeight="1">
      <s:c r="A8225" s="120" t="inlineStr"/>
      <s:c r="B8225" s="121" t="n"/>
      <s:c r="C8225" s="121" t="n"/>
      <s:c r="D8225" s="121" t="n"/>
      <s:c r="E8225" s="122" t="n"/>
    </s:row>
    <s:row r="8226" hidden="1" ht="1" customHeight="1">
      <s:c r="A8226" s="120" t="inlineStr"/>
      <s:c r="B8226" s="121" t="n"/>
      <s:c r="C8226" s="121" t="n"/>
      <s:c r="D8226" s="121" t="n"/>
      <s:c r="E8226" s="122" t="n"/>
    </s:row>
    <s:row r="8227" hidden="1" ht="1" customHeight="1">
      <s:c r="A8227" s="120" t="inlineStr"/>
      <s:c r="B8227" s="121" t="n"/>
      <s:c r="C8227" s="121" t="n"/>
      <s:c r="D8227" s="121" t="n"/>
      <s:c r="E8227" s="122" t="n"/>
    </s:row>
    <s:row r="8228" hidden="1" ht="1" customHeight="1">
      <s:c r="A8228" s="120" t="inlineStr"/>
      <s:c r="B8228" s="121" t="n"/>
      <s:c r="C8228" s="121" t="n"/>
      <s:c r="D8228" s="121" t="n"/>
      <s:c r="E8228" s="122" t="n"/>
    </s:row>
    <s:row r="8229" hidden="1" ht="1" customHeight="1">
      <s:c r="A8229" s="120" t="inlineStr"/>
      <s:c r="B8229" s="121" t="n"/>
      <s:c r="C8229" s="121" t="n"/>
      <s:c r="D8229" s="121" t="n"/>
      <s:c r="E8229" s="122" t="n"/>
    </s:row>
    <s:row r="8230" hidden="1" ht="1" customHeight="1">
      <s:c r="A8230" s="120" t="inlineStr"/>
      <s:c r="B8230" s="121" t="n"/>
      <s:c r="C8230" s="121" t="n"/>
      <s:c r="D8230" s="121" t="n"/>
      <s:c r="E8230" s="122" t="n"/>
    </s:row>
    <s:row r="8231" hidden="1" ht="1" customHeight="1">
      <s:c r="A8231" s="120" t="inlineStr"/>
      <s:c r="B8231" s="121" t="n"/>
      <s:c r="C8231" s="121" t="n"/>
      <s:c r="D8231" s="121" t="n"/>
      <s:c r="E8231" s="122" t="n"/>
    </s:row>
    <s:row r="8232" hidden="1" ht="1" customHeight="1">
      <s:c r="A8232" s="120" t="inlineStr"/>
      <s:c r="B8232" s="121" t="n"/>
      <s:c r="C8232" s="121" t="n"/>
      <s:c r="D8232" s="121" t="n"/>
      <s:c r="E8232" s="122" t="n"/>
    </s:row>
    <s:row r="8233" hidden="1" ht="1" customHeight="1">
      <s:c r="A8233" s="120" t="inlineStr"/>
      <s:c r="B8233" s="121" t="n"/>
      <s:c r="C8233" s="121" t="n"/>
      <s:c r="D8233" s="121" t="n"/>
      <s:c r="E8233" s="122" t="n"/>
    </s:row>
    <s:row r="8234" hidden="1" ht="1" customHeight="1">
      <s:c r="A8234" s="120" t="inlineStr"/>
      <s:c r="B8234" s="121" t="n"/>
      <s:c r="C8234" s="121" t="n"/>
      <s:c r="D8234" s="121" t="n"/>
      <s:c r="E8234" s="122" t="n"/>
    </s:row>
    <s:row r="8235" hidden="1" ht="1" customHeight="1">
      <s:c r="A8235" s="120" t="inlineStr"/>
      <s:c r="B8235" s="121" t="n"/>
      <s:c r="C8235" s="121" t="n"/>
      <s:c r="D8235" s="121" t="n"/>
      <s:c r="E8235" s="122" t="n"/>
    </s:row>
    <s:row r="8236" hidden="1" ht="1" customHeight="1">
      <s:c r="A8236" s="120" t="inlineStr"/>
      <s:c r="B8236" s="121" t="n"/>
      <s:c r="C8236" s="121" t="n"/>
      <s:c r="D8236" s="121" t="n"/>
      <s:c r="E8236" s="122" t="n"/>
    </s:row>
    <s:row r="8237" hidden="1" ht="1" customHeight="1">
      <s:c r="A8237" s="120" t="inlineStr"/>
      <s:c r="B8237" s="121" t="n"/>
      <s:c r="C8237" s="121" t="n"/>
      <s:c r="D8237" s="121" t="n"/>
      <s:c r="E8237" s="122" t="n"/>
    </s:row>
    <s:row r="8238" hidden="1" ht="1" customHeight="1">
      <s:c r="A8238" s="120" t="inlineStr"/>
      <s:c r="B8238" s="121" t="n"/>
      <s:c r="C8238" s="121" t="n"/>
      <s:c r="D8238" s="121" t="n"/>
      <s:c r="E8238" s="122" t="n"/>
    </s:row>
    <s:row r="8239" hidden="1" ht="1" customHeight="1">
      <s:c r="A8239" s="120" t="inlineStr"/>
      <s:c r="B8239" s="121" t="n"/>
      <s:c r="C8239" s="121" t="n"/>
      <s:c r="D8239" s="121" t="n"/>
      <s:c r="E8239" s="122" t="n"/>
    </s:row>
    <s:row r="8240" hidden="1" ht="1" customHeight="1">
      <s:c r="A8240" s="120" t="inlineStr"/>
      <s:c r="B8240" s="121" t="n"/>
      <s:c r="C8240" s="121" t="n"/>
      <s:c r="D8240" s="121" t="n"/>
      <s:c r="E8240" s="122" t="n"/>
    </s:row>
    <s:row r="8241" hidden="1" ht="1" customHeight="1">
      <s:c r="A8241" s="120" t="inlineStr"/>
      <s:c r="B8241" s="121" t="n"/>
      <s:c r="C8241" s="121" t="n"/>
      <s:c r="D8241" s="121" t="n"/>
      <s:c r="E8241" s="122" t="n"/>
    </s:row>
    <s:row r="8242" hidden="1" ht="1" customHeight="1">
      <s:c r="A8242" s="120" t="inlineStr"/>
      <s:c r="B8242" s="121" t="n"/>
      <s:c r="C8242" s="121" t="n"/>
      <s:c r="D8242" s="121" t="n"/>
      <s:c r="E8242" s="122" t="n"/>
    </s:row>
    <s:row r="8243" hidden="1" ht="1" customHeight="1">
      <s:c r="A8243" s="120" t="inlineStr"/>
      <s:c r="B8243" s="121" t="n"/>
      <s:c r="C8243" s="121" t="n"/>
      <s:c r="D8243" s="121" t="n"/>
      <s:c r="E8243" s="122" t="n"/>
    </s:row>
    <s:row r="8244" hidden="1" ht="1" customHeight="1">
      <s:c r="A8244" s="120" t="inlineStr"/>
      <s:c r="B8244" s="121" t="n"/>
      <s:c r="C8244" s="121" t="n"/>
      <s:c r="D8244" s="121" t="n"/>
      <s:c r="E8244" s="122" t="n"/>
    </s:row>
    <s:row r="8245" hidden="1" ht="1" customHeight="1">
      <s:c r="A8245" s="120" t="inlineStr"/>
      <s:c r="B8245" s="121" t="n"/>
      <s:c r="C8245" s="121" t="n"/>
      <s:c r="D8245" s="121" t="n"/>
      <s:c r="E8245" s="122" t="n"/>
    </s:row>
    <s:row r="8246" hidden="1" ht="1" customHeight="1">
      <s:c r="A8246" s="120" t="inlineStr"/>
      <s:c r="B8246" s="121" t="n"/>
      <s:c r="C8246" s="121" t="n"/>
      <s:c r="D8246" s="121" t="n"/>
      <s:c r="E8246" s="122" t="n"/>
    </s:row>
    <s:row r="8247" hidden="1" ht="1" customHeight="1">
      <s:c r="A8247" s="120" t="inlineStr"/>
      <s:c r="B8247" s="121" t="n"/>
      <s:c r="C8247" s="121" t="n"/>
      <s:c r="D8247" s="121" t="n"/>
      <s:c r="E8247" s="122" t="n"/>
    </s:row>
    <s:row r="8248" hidden="1" ht="1" customHeight="1">
      <s:c r="A8248" s="120" t="inlineStr"/>
      <s:c r="B8248" s="121" t="n"/>
      <s:c r="C8248" s="121" t="n"/>
      <s:c r="D8248" s="121" t="n"/>
      <s:c r="E8248" s="122" t="n"/>
    </s:row>
    <s:row r="8249" hidden="1" ht="1" customHeight="1">
      <s:c r="A8249" s="120" t="inlineStr"/>
      <s:c r="B8249" s="121" t="n"/>
      <s:c r="C8249" s="121" t="n"/>
      <s:c r="D8249" s="121" t="n"/>
      <s:c r="E8249" s="122" t="n"/>
    </s:row>
    <s:row r="8250" hidden="1" ht="1" customHeight="1">
      <s:c r="A8250" s="120" t="inlineStr"/>
      <s:c r="B8250" s="121" t="n"/>
      <s:c r="C8250" s="121" t="n"/>
      <s:c r="D8250" s="121" t="n"/>
      <s:c r="E8250" s="122" t="n"/>
    </s:row>
    <s:row r="8251" hidden="1" ht="1" customHeight="1">
      <s:c r="A8251" s="120" t="inlineStr"/>
      <s:c r="B8251" s="121" t="n"/>
      <s:c r="C8251" s="121" t="n"/>
      <s:c r="D8251" s="121" t="n"/>
      <s:c r="E8251" s="122" t="n"/>
    </s:row>
    <s:row r="8252" hidden="1" ht="1" customHeight="1">
      <s:c r="A8252" s="120" t="inlineStr"/>
      <s:c r="B8252" s="121" t="n"/>
      <s:c r="C8252" s="121" t="n"/>
      <s:c r="D8252" s="121" t="n"/>
      <s:c r="E8252" s="122" t="n"/>
    </s:row>
    <s:row r="8253" hidden="1" ht="1" customHeight="1">
      <s:c r="A8253" s="120" t="inlineStr"/>
      <s:c r="B8253" s="121" t="n"/>
      <s:c r="C8253" s="121" t="n"/>
      <s:c r="D8253" s="121" t="n"/>
      <s:c r="E8253" s="122" t="n"/>
    </s:row>
    <s:row r="8254" hidden="1" ht="1" customHeight="1">
      <s:c r="A8254" s="120" t="inlineStr"/>
      <s:c r="B8254" s="121" t="n"/>
      <s:c r="C8254" s="121" t="n"/>
      <s:c r="D8254" s="121" t="n"/>
      <s:c r="E8254" s="122" t="n"/>
    </s:row>
    <s:row r="8255" hidden="1" ht="1" customHeight="1">
      <s:c r="A8255" s="120" t="inlineStr"/>
      <s:c r="B8255" s="121" t="n"/>
      <s:c r="C8255" s="121" t="n"/>
      <s:c r="D8255" s="121" t="n"/>
      <s:c r="E8255" s="122" t="n"/>
    </s:row>
    <s:row r="8256" hidden="1" ht="1" customHeight="1">
      <s:c r="A8256" s="120" t="inlineStr"/>
      <s:c r="B8256" s="121" t="n"/>
      <s:c r="C8256" s="121" t="n"/>
      <s:c r="D8256" s="121" t="n"/>
      <s:c r="E8256" s="122" t="n"/>
    </s:row>
    <s:row r="8257" hidden="1" ht="1" customHeight="1">
      <s:c r="A8257" s="120" t="inlineStr"/>
      <s:c r="B8257" s="121" t="n"/>
      <s:c r="C8257" s="121" t="n"/>
      <s:c r="D8257" s="121" t="n"/>
      <s:c r="E8257" s="122" t="n"/>
    </s:row>
    <s:row r="8258" hidden="1" ht="1" customHeight="1">
      <s:c r="A8258" s="120" t="inlineStr"/>
      <s:c r="B8258" s="121" t="n"/>
      <s:c r="C8258" s="121" t="n"/>
      <s:c r="D8258" s="121" t="n"/>
      <s:c r="E8258" s="122" t="n"/>
    </s:row>
    <s:row r="8259" hidden="1" ht="1" customHeight="1">
      <s:c r="A8259" s="120" t="inlineStr"/>
      <s:c r="B8259" s="121" t="n"/>
      <s:c r="C8259" s="121" t="n"/>
      <s:c r="D8259" s="121" t="n"/>
      <s:c r="E8259" s="122" t="n"/>
    </s:row>
    <s:row r="8260" hidden="1" ht="1" customHeight="1">
      <s:c r="A8260" s="120" t="inlineStr"/>
      <s:c r="B8260" s="121" t="n"/>
      <s:c r="C8260" s="121" t="n"/>
      <s:c r="D8260" s="121" t="n"/>
      <s:c r="E8260" s="122" t="n"/>
    </s:row>
    <s:row r="8261" hidden="1" ht="1" customHeight="1">
      <s:c r="A8261" s="120" t="inlineStr"/>
      <s:c r="B8261" s="121" t="n"/>
      <s:c r="C8261" s="121" t="n"/>
      <s:c r="D8261" s="121" t="n"/>
      <s:c r="E8261" s="122" t="n"/>
    </s:row>
    <s:row r="8262" hidden="1" ht="1" customHeight="1">
      <s:c r="A8262" s="120" t="inlineStr"/>
      <s:c r="B8262" s="121" t="n"/>
      <s:c r="C8262" s="121" t="n"/>
      <s:c r="D8262" s="121" t="n"/>
      <s:c r="E8262" s="122" t="n"/>
    </s:row>
    <s:row r="8263" hidden="1" ht="1" customHeight="1">
      <s:c r="A8263" s="120" t="inlineStr"/>
      <s:c r="B8263" s="121" t="n"/>
      <s:c r="C8263" s="121" t="n"/>
      <s:c r="D8263" s="121" t="n"/>
      <s:c r="E8263" s="122" t="n"/>
    </s:row>
    <s:row r="8264" hidden="1" ht="1" customHeight="1">
      <s:c r="A8264" s="120" t="inlineStr"/>
      <s:c r="B8264" s="121" t="n"/>
      <s:c r="C8264" s="121" t="n"/>
      <s:c r="D8264" s="121" t="n"/>
      <s:c r="E8264" s="122" t="n"/>
    </s:row>
    <s:row r="8265" hidden="1" ht="1" customHeight="1">
      <s:c r="A8265" s="120" t="inlineStr"/>
      <s:c r="B8265" s="121" t="n"/>
      <s:c r="C8265" s="121" t="n"/>
      <s:c r="D8265" s="121" t="n"/>
      <s:c r="E8265" s="122" t="n"/>
    </s:row>
    <s:row r="8266" hidden="1" ht="1" customHeight="1">
      <s:c r="A8266" s="120" t="inlineStr"/>
      <s:c r="B8266" s="121" t="n"/>
      <s:c r="C8266" s="121" t="n"/>
      <s:c r="D8266" s="121" t="n"/>
      <s:c r="E8266" s="122" t="n"/>
    </s:row>
    <s:row r="8267" hidden="1" ht="1" customHeight="1">
      <s:c r="A8267" s="120" t="inlineStr"/>
      <s:c r="B8267" s="121" t="n"/>
      <s:c r="C8267" s="121" t="n"/>
      <s:c r="D8267" s="121" t="n"/>
      <s:c r="E8267" s="122" t="n"/>
    </s:row>
    <s:row r="8268" hidden="1" ht="1" customHeight="1">
      <s:c r="A8268" s="120" t="inlineStr"/>
      <s:c r="B8268" s="121" t="n"/>
      <s:c r="C8268" s="121" t="n"/>
      <s:c r="D8268" s="121" t="n"/>
      <s:c r="E8268" s="122" t="n"/>
    </s:row>
    <s:row r="8269" hidden="1" ht="1" customHeight="1">
      <s:c r="A8269" s="120" t="inlineStr"/>
      <s:c r="B8269" s="121" t="n"/>
      <s:c r="C8269" s="121" t="n"/>
      <s:c r="D8269" s="121" t="n"/>
      <s:c r="E8269" s="122" t="n"/>
    </s:row>
    <s:row r="8270" hidden="1" ht="1" customHeight="1">
      <s:c r="A8270" s="120" t="inlineStr"/>
      <s:c r="B8270" s="121" t="n"/>
      <s:c r="C8270" s="121" t="n"/>
      <s:c r="D8270" s="121" t="n"/>
      <s:c r="E8270" s="122" t="n"/>
    </s:row>
    <s:row r="8271" hidden="1" ht="1" customHeight="1">
      <s:c r="A8271" s="120" t="inlineStr"/>
      <s:c r="B8271" s="121" t="n"/>
      <s:c r="C8271" s="121" t="n"/>
      <s:c r="D8271" s="121" t="n"/>
      <s:c r="E8271" s="122" t="n"/>
    </s:row>
    <s:row r="8272" hidden="1" ht="1" customHeight="1">
      <s:c r="A8272" s="120" t="inlineStr"/>
      <s:c r="B8272" s="121" t="n"/>
      <s:c r="C8272" s="121" t="n"/>
      <s:c r="D8272" s="121" t="n"/>
      <s:c r="E8272" s="122" t="n"/>
    </s:row>
    <s:row r="8273" hidden="1" ht="1" customHeight="1">
      <s:c r="A8273" s="120" t="inlineStr"/>
      <s:c r="B8273" s="121" t="n"/>
      <s:c r="C8273" s="121" t="n"/>
      <s:c r="D8273" s="121" t="n"/>
      <s:c r="E8273" s="122" t="n"/>
    </s:row>
    <s:row r="8274" hidden="1" ht="1" customHeight="1">
      <s:c r="A8274" s="120" t="inlineStr"/>
      <s:c r="B8274" s="121" t="n"/>
      <s:c r="C8274" s="121" t="n"/>
      <s:c r="D8274" s="121" t="n"/>
      <s:c r="E8274" s="122" t="n"/>
    </s:row>
    <s:row r="8275" hidden="1" ht="1" customHeight="1">
      <s:c r="A8275" s="120" t="inlineStr"/>
      <s:c r="B8275" s="121" t="n"/>
      <s:c r="C8275" s="121" t="n"/>
      <s:c r="D8275" s="121" t="n"/>
      <s:c r="E8275" s="122" t="n"/>
    </s:row>
    <s:row r="8276" hidden="1" ht="1" customHeight="1">
      <s:c r="A8276" s="83" t="inlineStr">
        <s:is>
          <s:t>PASS</s:t>
        </s:is>
      </s:c>
      <s:c r="B8276" s="83">
        <s:f>SUM(IF(EXACT('Kiểm thử'!E8026,"Đạt"),1,0),IF(EXACT('Kiểm thử'!E8028,"Đạt"),1,0),IF(EXACT('Kiểm thử'!E8030,"Đạt"),1,0),IF(EXACT('Kiểm thử'!E8032,"Đạt"),1,0),IF(EXACT('Kiểm thử'!E8034,"Đạt"),1,0))</s:f>
        <s:v/>
      </s:c>
      <s:c r="C8276" s="19" t="n"/>
      <s:c r="D8276" s="19" t="n"/>
      <s:c r="E8276" s="19" t="n"/>
    </s:row>
    <s:row r="8277" hidden="1" ht="1" customHeight="1">
      <s:c r="A8277" s="83" t="inlineStr">
        <s:is>
          <s:t>FAIL</s:t>
        </s:is>
      </s:c>
      <s:c r="B8277" s="83">
        <s:f>SUM(IF(EXACT('Kiểm thử'!E8026,"Không đạt"),1,0),IF(EXACT('Kiểm thử'!E8028,"Không đạt"),1,0),IF(EXACT('Kiểm thử'!E8030,"Không đạt"),1,0),IF(EXACT('Kiểm thử'!E8032,"Không đạt"),1,0),IF(EXACT('Kiểm thử'!E8034,"Không đạt"),1,0))</s:f>
        <s:v/>
      </s:c>
      <s:c r="C8277" s="19" t="n"/>
      <s:c r="D8277" s="19" t="n"/>
      <s:c r="E8277" s="19" t="n"/>
    </s:row>
    <s:row r="8278" hidden="1" ht="1" customHeight="1">
      <s:c r="A8278" s="83" t="inlineStr">
        <s:is>
          <s:t>BLOCKED</s:t>
        </s:is>
      </s:c>
      <s:c r="B8278" s="83">
        <s:f>SUM(IF(EXACT('Kiểm thử'!E8026,"Bị chặn"),1,0),IF(EXACT('Kiểm thử'!E8028,"Bị chặn"),1,0),IF(EXACT('Kiểm thử'!E8030,"Bị chặn"),1,0),IF(EXACT('Kiểm thử'!E8032,"Bị chặn"),1,0),IF(EXACT('Kiểm thử'!E8034,"Bị chặn"),1,0))</s:f>
        <s:v/>
      </s:c>
      <s:c r="C8278" s="19" t="n"/>
      <s:c r="D8278" s="19" t="n"/>
      <s:c r="E8278" s="19" t="n"/>
    </s:row>
    <s:row r="8279" hidden="1" ht="1" customHeight="1">
      <s:c r="A8279" s="83" t="inlineStr">
        <s:is>
          <s:t>SKIPPED</s:t>
        </s:is>
      </s:c>
      <s:c r="B8279" s="83">
        <s:f>SUM(IF(EXACT('Kiểm thử'!E8026,"Không thực hiện"),1,0),IF(EXACT('Kiểm thử'!E8028,"Không thực hiện"),1,0),IF(EXACT('Kiểm thử'!E8030,"Không thực hiện"),1,0),IF(EXACT('Kiểm thử'!E8032,"Không thực hiện"),1,0),IF(EXACT('Kiểm thử'!E8034,"Không thực hiện"),1,0))</s:f>
        <s:v/>
      </s:c>
      <s:c r="C8279" s="19" t="n"/>
      <s:c r="D8279" s="19" t="n"/>
      <s:c r="E8279" s="19" t="n"/>
    </s:row>
    <s:row r="8280" hidden="1" ht="1" customHeight="1">
      <s:c r="A8280" s="83" t="inlineStr">
        <s:is>
          <s:t>NOT RUN</s:t>
        </s:is>
      </s:c>
      <s:c r="B8280" s="83">
        <s:f>SUM(IF(EXACT('Kiểm thử'!E8026,"Chưa thực hiện"),1,0),IF(EXACT('Kiểm thử'!E8028,"Chưa thực hiện"),1,0),IF(EXACT('Kiểm thử'!E8030,"Chưa thực hiện"),1,0),IF(EXACT('Kiểm thử'!E8032,"Chưa thực hiện"),1,0),IF(EXACT('Kiểm thử'!E8034,"Chưa thực hiện"),1,0))</s:f>
        <s:v/>
      </s:c>
      <s:c r="C8280" s="19" t="n"/>
      <s:c r="D8280" s="19" t="n"/>
      <s:c r="E8280" s="19" t="n"/>
    </s:row>
    <s:row r="8281" hidden="1" ht="6" customHeight="1">
      <s:c r="A8281" s="83" t="inlineStr"/>
      <s:c r="B8281" s="19" t="n"/>
      <s:c r="C8281" s="19" t="n"/>
      <s:c r="D8281" s="19" t="n"/>
      <s:c r="E8281" s="19" t="n"/>
    </s:row>
    <s:row r="8282" ht="28" customHeight="1">
      <s:c r="A8282" s="108" t="inlineStr">
        <s:is>
          <s:t>TC-RS-CALC-013 — Công thức một dòng với A=50</s:t>
        </s:is>
      </s:c>
      <s:c r="B8282" s="111" t="n"/>
      <s:c r="C8282" s="111" t="n"/>
      <s:c r="D8282" s="111" t="n"/>
      <s:c r="E8282" s="111" t="n"/>
    </s:row>
    <s:row r="8283" ht="20" customHeight="1">
      <s:c r="A8283" s="112" t="inlineStr">
        <s:is>
          <s:t>Kết quả tình huống</s:t>
        </s:is>
      </s:c>
      <s:c r="B8283" s="113">
        <s:f>IF(SUM(IF(EXACT('Kiểm thử'!E8290,"Không đạt"),1,0),IF(EXACT('Kiểm thử'!E8292,"Không đạt"),1,0),IF(EXACT('Kiểm thử'!E8294,"Không đạt"),1,0))&gt;0,"Không đạt",IF(SUM(IF(EXACT('Kiểm thử'!E8290,"Đạt"),1,0),IF(EXACT('Kiểm thử'!E8292,"Đạt"),1,0),IF(EXACT('Kiểm thử'!E8294,"Đạt"),1,0))=3,"Đạt",IF(SUM(IF(EXACT('Kiểm thử'!E8290,"Không thực hiện"),1,0),IF(EXACT('Kiểm thử'!E8292,"Không thực hiện"),1,0),IF(EXACT('Kiểm thử'!E8294,"Không thực hiện"),1,0))=3,"Không thực hiện",IF(SUM(IF(EXACT('Kiểm thử'!E8290,"Bị chặn"),1,0),IF(EXACT('Kiểm thử'!E8292,"Bị chặn"),1,0),IF(EXACT('Kiểm thử'!E8294,"Bị chặn"),1,0))&gt;0,"Bị chặn",IF(SUM(IF(EXACT('Kiểm thử'!E8290,"Chưa thực hiện"),1,0),IF(EXACT('Kiểm thử'!E8292,"Chưa thực hiện"),1,0),IF(EXACT('Kiểm thử'!E8294,"Chưa thực hiện"),1,0))=3,"Chưa thực hiện","Đang thực hiện")))))</s:f>
        <s:v/>
      </s:c>
      <s:c r="C8283" s="114" t="n"/>
      <s:c r="D8283" s="114" t="n"/>
      <s:c r="E8283" s="114" t="n"/>
    </s:row>
    <s:row r="8284" ht="20" customHeight="1">
      <s:c r="A8284" s="112" t="inlineStr">
        <s:is>
          <s:t>Màn hình / chức năng</s:t>
        </s:is>
      </s:c>
      <s:c r="B8284" s="113" t="inlineStr">
        <s:is>
          <s:r>
            <s:rPr>
              <s:b val="1"/>
            </s:rPr>
            <s:t>Thiết lập ngưỡng（基準設定）</s:t>
          </s:r>
        </s:is>
      </s:c>
      <s:c r="C8284" s="28" t="n"/>
      <s:c r="D8284" s="28" t="n"/>
      <s:c r="E8284" s="28" t="n"/>
    </s:row>
    <s:row r="8285" ht="34" customHeight="1">
      <s:c r="A8285" s="112" t="inlineStr">
        <s:is>
          <s:t>Cấu hình</s:t>
        </s:is>
      </s:c>
      <s:c r="B8285" s="113" t="inlineStr">
        <s:is>
          <s:r>
            <s:t>• Nguồn có [</s:t>
          </s:r>
          <s:r>
            <s:rPr>
              <s:b val="1"/>
            </s:rPr>
            <s:t>A=50</s:t>
          </s:r>
          <s:r>
            <s:t>];
• Dấu [&lt;].</s:t>
          </s:r>
        </s:is>
      </s:c>
      <s:c r="C8285" s="28" t="n"/>
      <s:c r="D8285" s="28" t="n"/>
      <s:c r="E8285" s="28" t="n"/>
    </s:row>
    <s:row r="8286" ht="62" customHeight="1">
      <s:c r="A8286" s="112" t="inlineStr">
        <s:is>
          <s:t>Dữ liệu test</s:t>
        </s:is>
      </s:c>
      <s:c r="B8286" s="113" t="inlineStr">
        <s:is>
          <s:t>• Công thức: (a) [A×0.5];
• (B) [A−20];
• (C) [A+5];
• S = 24, 25, 29, 30, 54, 55</s:t>
        </s:is>
      </s:c>
      <s:c r="C8286" s="28" t="n"/>
      <s:c r="D8286" s="28" t="n"/>
      <s:c r="E8286" s="28" t="n"/>
    </s:row>
    <s:row r="8287" ht="20" customHeight="1">
      <s:c r="A8287" s="112" t="inlineStr">
        <s:is>
          <s:t>•</s:t>
        </s:is>
      </s:c>
      <s:c r="B8287" s="113" t="inlineStr">
        <s:is>
          <s:t>Với từng công thức, chạy nút cam, xem kết quả.</s:t>
        </s:is>
      </s:c>
      <s:c r="C8287" s="28" t="n"/>
      <s:c r="D8287" s="28" t="n"/>
      <s:c r="E8287" s="28" t="n"/>
    </s:row>
    <s:row r="8288" ht="28" customHeight="1">
      <s:c r="A8288" s="115" t="inlineStr">
        <s:is>
          <s:t>Trường hợp</s:t>
        </s:is>
      </s:c>
      <s:c r="B8288" s="115" t="inlineStr">
        <s:is>
          <s:t>Dữ liệu / thao tác riêng</s:t>
        </s:is>
      </s:c>
      <s:c r="C8288" s="115" t="inlineStr">
        <s:is>
          <s:t>Kết quả mong đợi</s:t>
        </s:is>
      </s:c>
      <s:c r="D8288" s="115" t="inlineStr">
        <s:is>
          <s:t>Kết quả thực tế</s:t>
        </s:is>
      </s:c>
      <s:c r="E8288" s="115" t="inlineStr">
        <s:is>
          <s:t>Đánh giá</s:t>
        </s:is>
      </s:c>
    </s:row>
    <s:row r="8289" ht="3" customHeight="1">
      <s:c r="A8289" s="102" t="inlineStr"/>
      <s:c r="B8289" s="99" t="n"/>
      <s:c r="C8289" s="99" t="n"/>
      <s:c r="D8289" s="116" t="n"/>
      <s:c r="E8289" s="116" t="n"/>
    </s:row>
    <s:row r="8290" ht="34" customHeight="1">
      <s:c r="A8290" s="83" t="inlineStr">
        <s:is>
          <s:t>Nhân 0.5 (multiply)</s:t>
        </s:is>
      </s:c>
      <s:c r="B8290" s="83" t="inlineStr">
        <s:is>
          <s:r>
            <s:t xml:space="preserve">Nguồn </s:t>
          </s:r>
          <s:r>
            <s:rPr>
              <s:b val="1"/>
            </s:rPr>
            <s:t>A=50</s:t>
          </s:r>
          <s:r>
            <s:t>; tạo công thức A×0.5, chạy xét.</s:t>
          </s:r>
        </s:is>
      </s:c>
      <s:c r="C8290" s="83" t="inlineStr">
        <s:is>
          <s:r>
            <s:t>(A) [</s:t>
          </s:r>
          <s:r>
            <s:rPr>
              <s:b val="1"/>
            </s:rPr>
            <s:t>T=25</s:t>
          </s:r>
          <s:r>
            <s:t xml:space="preserve">]: 24 </s:t>
          </s:r>
          <s:r>
            <s:rPr>
              <s:b val="1"/>
            </s:rPr>
            <s:t>Đỏ</s:t>
          </s:r>
          <s:r>
            <s:t xml:space="preserve">; 25 </s:t>
          </s:r>
          <s:r>
            <s:rPr>
              <s:b val="1"/>
            </s:rPr>
            <s:t>Không đỏ</s:t>
          </s:r>
          <s:r>
            <s:t>.</s:t>
          </s:r>
        </s:is>
      </s:c>
      <s:c r="D8290" s="117" t="inlineStr"/>
      <s:c r="E8290" s="118" t="inlineStr">
        <s:is>
          <s:t>Chưa thực hiện</s:t>
        </s:is>
      </s:c>
    </s:row>
    <s:row r="8291" ht="3" customHeight="1">
      <s:c r="A8291" s="102" t="inlineStr"/>
      <s:c r="B8291" s="99" t="n"/>
      <s:c r="C8291" s="99" t="n"/>
      <s:c r="D8291" s="116" t="n"/>
      <s:c r="E8291" s="116" t="n"/>
    </s:row>
    <s:row r="8292" ht="34" customHeight="1">
      <s:c r="A8292" s="83" t="inlineStr">
        <s:is>
          <s:t>Trừ 20 (subtract)</s:t>
        </s:is>
      </s:c>
      <s:c r="B8292" s="83" t="inlineStr">
        <s:is>
          <s:r>
            <s:t xml:space="preserve">Nguồn </s:t>
          </s:r>
          <s:r>
            <s:rPr>
              <s:b val="1"/>
            </s:rPr>
            <s:t>A=50</s:t>
          </s:r>
          <s:r>
            <s:t>; tạo công thức A−20, chạy xét.</s:t>
          </s:r>
        </s:is>
      </s:c>
      <s:c r="C8292" s="83" t="inlineStr">
        <s:is>
          <s:r>
            <s:t>(B) [</s:t>
          </s:r>
          <s:r>
            <s:rPr>
              <s:b val="1"/>
            </s:rPr>
            <s:t>T=30</s:t>
          </s:r>
          <s:r>
            <s:t xml:space="preserve">]: 29 </s:t>
          </s:r>
          <s:r>
            <s:rPr>
              <s:b val="1"/>
            </s:rPr>
            <s:t>Đỏ</s:t>
          </s:r>
          <s:r>
            <s:t xml:space="preserve">; 30 </s:t>
          </s:r>
          <s:r>
            <s:rPr>
              <s:b val="1"/>
            </s:rPr>
            <s:t>Không đỏ</s:t>
          </s:r>
          <s:r>
            <s:t>.</s:t>
          </s:r>
        </s:is>
      </s:c>
      <s:c r="D8292" s="117" t="inlineStr"/>
      <s:c r="E8292" s="118" t="inlineStr">
        <s:is>
          <s:t>Chưa thực hiện</s:t>
        </s:is>
      </s:c>
    </s:row>
    <s:row r="8293" ht="3" customHeight="1">
      <s:c r="A8293" s="102" t="inlineStr"/>
      <s:c r="B8293" s="99" t="n"/>
      <s:c r="C8293" s="99" t="n"/>
      <s:c r="D8293" s="116" t="n"/>
      <s:c r="E8293" s="116" t="n"/>
    </s:row>
    <s:row r="8294" ht="34" customHeight="1">
      <s:c r="A8294" s="83" t="inlineStr">
        <s:is>
          <s:t>Cộng 5 (add)</s:t>
        </s:is>
      </s:c>
      <s:c r="B8294" s="83" t="inlineStr">
        <s:is>
          <s:r>
            <s:t xml:space="preserve">Nguồn </s:t>
          </s:r>
          <s:r>
            <s:rPr>
              <s:b val="1"/>
            </s:rPr>
            <s:t>A=50</s:t>
          </s:r>
          <s:r>
            <s:t>; tạo công thức A+5, chạy xét.</s:t>
          </s:r>
        </s:is>
      </s:c>
      <s:c r="C8294" s="83" t="inlineStr">
        <s:is>
          <s:r>
            <s:t>(C) [</s:t>
          </s:r>
          <s:r>
            <s:rPr>
              <s:b val="1"/>
            </s:rPr>
            <s:t>T=55</s:t>
          </s:r>
          <s:r>
            <s:t xml:space="preserve">]: 54 </s:t>
          </s:r>
          <s:r>
            <s:rPr>
              <s:b val="1"/>
            </s:rPr>
            <s:t>Đỏ</s:t>
          </s:r>
          <s:r>
            <s:t xml:space="preserve">; 55 </s:t>
          </s:r>
          <s:r>
            <s:rPr>
              <s:b val="1"/>
            </s:rPr>
            <s:t>Không đỏ</s:t>
          </s:r>
          <s:r>
            <s:t>.</s:t>
          </s:r>
        </s:is>
      </s:c>
      <s:c r="D8294" s="117" t="inlineStr"/>
      <s:c r="E8294" s="118" t="inlineStr">
        <s:is>
          <s:t>Chưa thực hiện</s:t>
        </s:is>
      </s:c>
    </s:row>
    <s:row r="8295" ht="20" customHeight="1">
      <s:c r="A8295" s="119" t="inlineStr">
        <s:is>
          <s:t>Ảnh minh chứng — Chưa có ảnh</s:t>
        </s:is>
      </s:c>
      <s:c r="B8295" s="19" t="n"/>
      <s:c r="C8295" s="19" t="n"/>
      <s:c r="D8295" s="19" t="n"/>
      <s:c r="E8295" s="19" t="n"/>
    </s:row>
    <s:row r="8296" hidden="1" ht="1" customHeight="1">
      <s:c r="A8296" s="120" t="inlineStr"/>
      <s:c r="B8296" s="121" t="n"/>
      <s:c r="C8296" s="121" t="n"/>
      <s:c r="D8296" s="121" t="n"/>
      <s:c r="E8296" s="122" t="n"/>
    </s:row>
    <s:row r="8297" hidden="1" ht="1" customHeight="1">
      <s:c r="A8297" s="120" t="inlineStr"/>
      <s:c r="B8297" s="121" t="n"/>
      <s:c r="C8297" s="121" t="n"/>
      <s:c r="D8297" s="121" t="n"/>
      <s:c r="E8297" s="122" t="n"/>
    </s:row>
    <s:row r="8298" hidden="1" ht="1" customHeight="1">
      <s:c r="A8298" s="120" t="inlineStr"/>
      <s:c r="B8298" s="121" t="n"/>
      <s:c r="C8298" s="121" t="n"/>
      <s:c r="D8298" s="121" t="n"/>
      <s:c r="E8298" s="122" t="n"/>
    </s:row>
    <s:row r="8299" hidden="1" ht="1" customHeight="1">
      <s:c r="A8299" s="120" t="inlineStr"/>
      <s:c r="B8299" s="121" t="n"/>
      <s:c r="C8299" s="121" t="n"/>
      <s:c r="D8299" s="121" t="n"/>
      <s:c r="E8299" s="122" t="n"/>
    </s:row>
    <s:row r="8300" hidden="1" ht="1" customHeight="1">
      <s:c r="A8300" s="120" t="inlineStr"/>
      <s:c r="B8300" s="121" t="n"/>
      <s:c r="C8300" s="121" t="n"/>
      <s:c r="D8300" s="121" t="n"/>
      <s:c r="E8300" s="122" t="n"/>
    </s:row>
    <s:row r="8301" hidden="1" ht="1" customHeight="1">
      <s:c r="A8301" s="120" t="inlineStr"/>
      <s:c r="B8301" s="121" t="n"/>
      <s:c r="C8301" s="121" t="n"/>
      <s:c r="D8301" s="121" t="n"/>
      <s:c r="E8301" s="122" t="n"/>
    </s:row>
    <s:row r="8302" hidden="1" ht="1" customHeight="1">
      <s:c r="A8302" s="120" t="inlineStr"/>
      <s:c r="B8302" s="121" t="n"/>
      <s:c r="C8302" s="121" t="n"/>
      <s:c r="D8302" s="121" t="n"/>
      <s:c r="E8302" s="122" t="n"/>
    </s:row>
    <s:row r="8303" hidden="1" ht="1" customHeight="1">
      <s:c r="A8303" s="120" t="inlineStr"/>
      <s:c r="B8303" s="121" t="n"/>
      <s:c r="C8303" s="121" t="n"/>
      <s:c r="D8303" s="121" t="n"/>
      <s:c r="E8303" s="122" t="n"/>
    </s:row>
    <s:row r="8304" hidden="1" ht="1" customHeight="1">
      <s:c r="A8304" s="120" t="inlineStr"/>
      <s:c r="B8304" s="121" t="n"/>
      <s:c r="C8304" s="121" t="n"/>
      <s:c r="D8304" s="121" t="n"/>
      <s:c r="E8304" s="122" t="n"/>
    </s:row>
    <s:row r="8305" hidden="1" ht="1" customHeight="1">
      <s:c r="A8305" s="120" t="inlineStr"/>
      <s:c r="B8305" s="121" t="n"/>
      <s:c r="C8305" s="121" t="n"/>
      <s:c r="D8305" s="121" t="n"/>
      <s:c r="E8305" s="122" t="n"/>
    </s:row>
    <s:row r="8306" hidden="1" ht="1" customHeight="1">
      <s:c r="A8306" s="120" t="inlineStr"/>
      <s:c r="B8306" s="121" t="n"/>
      <s:c r="C8306" s="121" t="n"/>
      <s:c r="D8306" s="121" t="n"/>
      <s:c r="E8306" s="122" t="n"/>
    </s:row>
    <s:row r="8307" hidden="1" ht="1" customHeight="1">
      <s:c r="A8307" s="120" t="inlineStr"/>
      <s:c r="B8307" s="121" t="n"/>
      <s:c r="C8307" s="121" t="n"/>
      <s:c r="D8307" s="121" t="n"/>
      <s:c r="E8307" s="122" t="n"/>
    </s:row>
    <s:row r="8308" hidden="1" ht="1" customHeight="1">
      <s:c r="A8308" s="120" t="inlineStr"/>
      <s:c r="B8308" s="121" t="n"/>
      <s:c r="C8308" s="121" t="n"/>
      <s:c r="D8308" s="121" t="n"/>
      <s:c r="E8308" s="122" t="n"/>
    </s:row>
    <s:row r="8309" hidden="1" ht="1" customHeight="1">
      <s:c r="A8309" s="120" t="inlineStr"/>
      <s:c r="B8309" s="121" t="n"/>
      <s:c r="C8309" s="121" t="n"/>
      <s:c r="D8309" s="121" t="n"/>
      <s:c r="E8309" s="122" t="n"/>
    </s:row>
    <s:row r="8310" hidden="1" ht="1" customHeight="1">
      <s:c r="A8310" s="120" t="inlineStr"/>
      <s:c r="B8310" s="121" t="n"/>
      <s:c r="C8310" s="121" t="n"/>
      <s:c r="D8310" s="121" t="n"/>
      <s:c r="E8310" s="122" t="n"/>
    </s:row>
    <s:row r="8311" hidden="1" ht="1" customHeight="1">
      <s:c r="A8311" s="120" t="inlineStr"/>
      <s:c r="B8311" s="121" t="n"/>
      <s:c r="C8311" s="121" t="n"/>
      <s:c r="D8311" s="121" t="n"/>
      <s:c r="E8311" s="122" t="n"/>
    </s:row>
    <s:row r="8312" hidden="1" ht="1" customHeight="1">
      <s:c r="A8312" s="120" t="inlineStr"/>
      <s:c r="B8312" s="121" t="n"/>
      <s:c r="C8312" s="121" t="n"/>
      <s:c r="D8312" s="121" t="n"/>
      <s:c r="E8312" s="122" t="n"/>
    </s:row>
    <s:row r="8313" hidden="1" ht="1" customHeight="1">
      <s:c r="A8313" s="120" t="inlineStr"/>
      <s:c r="B8313" s="121" t="n"/>
      <s:c r="C8313" s="121" t="n"/>
      <s:c r="D8313" s="121" t="n"/>
      <s:c r="E8313" s="122" t="n"/>
    </s:row>
    <s:row r="8314" hidden="1" ht="1" customHeight="1">
      <s:c r="A8314" s="120" t="inlineStr"/>
      <s:c r="B8314" s="121" t="n"/>
      <s:c r="C8314" s="121" t="n"/>
      <s:c r="D8314" s="121" t="n"/>
      <s:c r="E8314" s="122" t="n"/>
    </s:row>
    <s:row r="8315" hidden="1" ht="1" customHeight="1">
      <s:c r="A8315" s="120" t="inlineStr"/>
      <s:c r="B8315" s="121" t="n"/>
      <s:c r="C8315" s="121" t="n"/>
      <s:c r="D8315" s="121" t="n"/>
      <s:c r="E8315" s="122" t="n"/>
    </s:row>
    <s:row r="8316" hidden="1" ht="1" customHeight="1">
      <s:c r="A8316" s="120" t="inlineStr"/>
      <s:c r="B8316" s="121" t="n"/>
      <s:c r="C8316" s="121" t="n"/>
      <s:c r="D8316" s="121" t="n"/>
      <s:c r="E8316" s="122" t="n"/>
    </s:row>
    <s:row r="8317" hidden="1" ht="1" customHeight="1">
      <s:c r="A8317" s="120" t="inlineStr"/>
      <s:c r="B8317" s="121" t="n"/>
      <s:c r="C8317" s="121" t="n"/>
      <s:c r="D8317" s="121" t="n"/>
      <s:c r="E8317" s="122" t="n"/>
    </s:row>
    <s:row r="8318" hidden="1" ht="1" customHeight="1">
      <s:c r="A8318" s="120" t="inlineStr"/>
      <s:c r="B8318" s="121" t="n"/>
      <s:c r="C8318" s="121" t="n"/>
      <s:c r="D8318" s="121" t="n"/>
      <s:c r="E8318" s="122" t="n"/>
    </s:row>
    <s:row r="8319" hidden="1" ht="1" customHeight="1">
      <s:c r="A8319" s="120" t="inlineStr"/>
      <s:c r="B8319" s="121" t="n"/>
      <s:c r="C8319" s="121" t="n"/>
      <s:c r="D8319" s="121" t="n"/>
      <s:c r="E8319" s="122" t="n"/>
    </s:row>
    <s:row r="8320" hidden="1" ht="1" customHeight="1">
      <s:c r="A8320" s="120" t="inlineStr"/>
      <s:c r="B8320" s="121" t="n"/>
      <s:c r="C8320" s="121" t="n"/>
      <s:c r="D8320" s="121" t="n"/>
      <s:c r="E8320" s="122" t="n"/>
    </s:row>
    <s:row r="8321" hidden="1" ht="1" customHeight="1">
      <s:c r="A8321" s="120" t="inlineStr"/>
      <s:c r="B8321" s="121" t="n"/>
      <s:c r="C8321" s="121" t="n"/>
      <s:c r="D8321" s="121" t="n"/>
      <s:c r="E8321" s="122" t="n"/>
    </s:row>
    <s:row r="8322" hidden="1" ht="1" customHeight="1">
      <s:c r="A8322" s="120" t="inlineStr"/>
      <s:c r="B8322" s="121" t="n"/>
      <s:c r="C8322" s="121" t="n"/>
      <s:c r="D8322" s="121" t="n"/>
      <s:c r="E8322" s="122" t="n"/>
    </s:row>
    <s:row r="8323" hidden="1" ht="1" customHeight="1">
      <s:c r="A8323" s="120" t="inlineStr"/>
      <s:c r="B8323" s="121" t="n"/>
      <s:c r="C8323" s="121" t="n"/>
      <s:c r="D8323" s="121" t="n"/>
      <s:c r="E8323" s="122" t="n"/>
    </s:row>
    <s:row r="8324" hidden="1" ht="1" customHeight="1">
      <s:c r="A8324" s="120" t="inlineStr"/>
      <s:c r="B8324" s="121" t="n"/>
      <s:c r="C8324" s="121" t="n"/>
      <s:c r="D8324" s="121" t="n"/>
      <s:c r="E8324" s="122" t="n"/>
    </s:row>
    <s:row r="8325" hidden="1" ht="1" customHeight="1">
      <s:c r="A8325" s="120" t="inlineStr"/>
      <s:c r="B8325" s="121" t="n"/>
      <s:c r="C8325" s="121" t="n"/>
      <s:c r="D8325" s="121" t="n"/>
      <s:c r="E8325" s="122" t="n"/>
    </s:row>
    <s:row r="8326" hidden="1" ht="1" customHeight="1">
      <s:c r="A8326" s="120" t="inlineStr"/>
      <s:c r="B8326" s="121" t="n"/>
      <s:c r="C8326" s="121" t="n"/>
      <s:c r="D8326" s="121" t="n"/>
      <s:c r="E8326" s="122" t="n"/>
    </s:row>
    <s:row r="8327" hidden="1" ht="1" customHeight="1">
      <s:c r="A8327" s="120" t="inlineStr"/>
      <s:c r="B8327" s="121" t="n"/>
      <s:c r="C8327" s="121" t="n"/>
      <s:c r="D8327" s="121" t="n"/>
      <s:c r="E8327" s="122" t="n"/>
    </s:row>
    <s:row r="8328" hidden="1" ht="1" customHeight="1">
      <s:c r="A8328" s="120" t="inlineStr"/>
      <s:c r="B8328" s="121" t="n"/>
      <s:c r="C8328" s="121" t="n"/>
      <s:c r="D8328" s="121" t="n"/>
      <s:c r="E8328" s="122" t="n"/>
    </s:row>
    <s:row r="8329" hidden="1" ht="1" customHeight="1">
      <s:c r="A8329" s="120" t="inlineStr"/>
      <s:c r="B8329" s="121" t="n"/>
      <s:c r="C8329" s="121" t="n"/>
      <s:c r="D8329" s="121" t="n"/>
      <s:c r="E8329" s="122" t="n"/>
    </s:row>
    <s:row r="8330" hidden="1" ht="1" customHeight="1">
      <s:c r="A8330" s="120" t="inlineStr"/>
      <s:c r="B8330" s="121" t="n"/>
      <s:c r="C8330" s="121" t="n"/>
      <s:c r="D8330" s="121" t="n"/>
      <s:c r="E8330" s="122" t="n"/>
    </s:row>
    <s:row r="8331" hidden="1" ht="1" customHeight="1">
      <s:c r="A8331" s="120" t="inlineStr"/>
      <s:c r="B8331" s="121" t="n"/>
      <s:c r="C8331" s="121" t="n"/>
      <s:c r="D8331" s="121" t="n"/>
      <s:c r="E8331" s="122" t="n"/>
    </s:row>
    <s:row r="8332" hidden="1" ht="1" customHeight="1">
      <s:c r="A8332" s="120" t="inlineStr"/>
      <s:c r="B8332" s="121" t="n"/>
      <s:c r="C8332" s="121" t="n"/>
      <s:c r="D8332" s="121" t="n"/>
      <s:c r="E8332" s="122" t="n"/>
    </s:row>
    <s:row r="8333" hidden="1" ht="1" customHeight="1">
      <s:c r="A8333" s="120" t="inlineStr"/>
      <s:c r="B8333" s="121" t="n"/>
      <s:c r="C8333" s="121" t="n"/>
      <s:c r="D8333" s="121" t="n"/>
      <s:c r="E8333" s="122" t="n"/>
    </s:row>
    <s:row r="8334" hidden="1" ht="1" customHeight="1">
      <s:c r="A8334" s="120" t="inlineStr"/>
      <s:c r="B8334" s="121" t="n"/>
      <s:c r="C8334" s="121" t="n"/>
      <s:c r="D8334" s="121" t="n"/>
      <s:c r="E8334" s="122" t="n"/>
    </s:row>
    <s:row r="8335" hidden="1" ht="1" customHeight="1">
      <s:c r="A8335" s="120" t="inlineStr"/>
      <s:c r="B8335" s="121" t="n"/>
      <s:c r="C8335" s="121" t="n"/>
      <s:c r="D8335" s="121" t="n"/>
      <s:c r="E8335" s="122" t="n"/>
    </s:row>
    <s:row r="8336" hidden="1" ht="1" customHeight="1">
      <s:c r="A8336" s="120" t="inlineStr"/>
      <s:c r="B8336" s="121" t="n"/>
      <s:c r="C8336" s="121" t="n"/>
      <s:c r="D8336" s="121" t="n"/>
      <s:c r="E8336" s="122" t="n"/>
    </s:row>
    <s:row r="8337" hidden="1" ht="1" customHeight="1">
      <s:c r="A8337" s="120" t="inlineStr"/>
      <s:c r="B8337" s="121" t="n"/>
      <s:c r="C8337" s="121" t="n"/>
      <s:c r="D8337" s="121" t="n"/>
      <s:c r="E8337" s="122" t="n"/>
    </s:row>
    <s:row r="8338" hidden="1" ht="1" customHeight="1">
      <s:c r="A8338" s="120" t="inlineStr"/>
      <s:c r="B8338" s="121" t="n"/>
      <s:c r="C8338" s="121" t="n"/>
      <s:c r="D8338" s="121" t="n"/>
      <s:c r="E8338" s="122" t="n"/>
    </s:row>
    <s:row r="8339" hidden="1" ht="1" customHeight="1">
      <s:c r="A8339" s="120" t="inlineStr"/>
      <s:c r="B8339" s="121" t="n"/>
      <s:c r="C8339" s="121" t="n"/>
      <s:c r="D8339" s="121" t="n"/>
      <s:c r="E8339" s="122" t="n"/>
    </s:row>
    <s:row r="8340" hidden="1" ht="1" customHeight="1">
      <s:c r="A8340" s="120" t="inlineStr"/>
      <s:c r="B8340" s="121" t="n"/>
      <s:c r="C8340" s="121" t="n"/>
      <s:c r="D8340" s="121" t="n"/>
      <s:c r="E8340" s="122" t="n"/>
    </s:row>
    <s:row r="8341" hidden="1" ht="1" customHeight="1">
      <s:c r="A8341" s="120" t="inlineStr"/>
      <s:c r="B8341" s="121" t="n"/>
      <s:c r="C8341" s="121" t="n"/>
      <s:c r="D8341" s="121" t="n"/>
      <s:c r="E8341" s="122" t="n"/>
    </s:row>
    <s:row r="8342" hidden="1" ht="1" customHeight="1">
      <s:c r="A8342" s="120" t="inlineStr"/>
      <s:c r="B8342" s="121" t="n"/>
      <s:c r="C8342" s="121" t="n"/>
      <s:c r="D8342" s="121" t="n"/>
      <s:c r="E8342" s="122" t="n"/>
    </s:row>
    <s:row r="8343" hidden="1" ht="1" customHeight="1">
      <s:c r="A8343" s="120" t="inlineStr"/>
      <s:c r="B8343" s="121" t="n"/>
      <s:c r="C8343" s="121" t="n"/>
      <s:c r="D8343" s="121" t="n"/>
      <s:c r="E8343" s="122" t="n"/>
    </s:row>
    <s:row r="8344" hidden="1" ht="1" customHeight="1">
      <s:c r="A8344" s="120" t="inlineStr"/>
      <s:c r="B8344" s="121" t="n"/>
      <s:c r="C8344" s="121" t="n"/>
      <s:c r="D8344" s="121" t="n"/>
      <s:c r="E8344" s="122" t="n"/>
    </s:row>
    <s:row r="8345" hidden="1" ht="1" customHeight="1">
      <s:c r="A8345" s="120" t="inlineStr"/>
      <s:c r="B8345" s="121" t="n"/>
      <s:c r="C8345" s="121" t="n"/>
      <s:c r="D8345" s="121" t="n"/>
      <s:c r="E8345" s="122" t="n"/>
    </s:row>
    <s:row r="8346" hidden="1" ht="1" customHeight="1">
      <s:c r="A8346" s="120" t="inlineStr"/>
      <s:c r="B8346" s="121" t="n"/>
      <s:c r="C8346" s="121" t="n"/>
      <s:c r="D8346" s="121" t="n"/>
      <s:c r="E8346" s="122" t="n"/>
    </s:row>
    <s:row r="8347" hidden="1" ht="1" customHeight="1">
      <s:c r="A8347" s="120" t="inlineStr"/>
      <s:c r="B8347" s="121" t="n"/>
      <s:c r="C8347" s="121" t="n"/>
      <s:c r="D8347" s="121" t="n"/>
      <s:c r="E8347" s="122" t="n"/>
    </s:row>
    <s:row r="8348" hidden="1" ht="1" customHeight="1">
      <s:c r="A8348" s="120" t="inlineStr"/>
      <s:c r="B8348" s="121" t="n"/>
      <s:c r="C8348" s="121" t="n"/>
      <s:c r="D8348" s="121" t="n"/>
      <s:c r="E8348" s="122" t="n"/>
    </s:row>
    <s:row r="8349" hidden="1" ht="1" customHeight="1">
      <s:c r="A8349" s="120" t="inlineStr"/>
      <s:c r="B8349" s="121" t="n"/>
      <s:c r="C8349" s="121" t="n"/>
      <s:c r="D8349" s="121" t="n"/>
      <s:c r="E8349" s="122" t="n"/>
    </s:row>
    <s:row r="8350" hidden="1" ht="1" customHeight="1">
      <s:c r="A8350" s="120" t="inlineStr"/>
      <s:c r="B8350" s="121" t="n"/>
      <s:c r="C8350" s="121" t="n"/>
      <s:c r="D8350" s="121" t="n"/>
      <s:c r="E8350" s="122" t="n"/>
    </s:row>
    <s:row r="8351" hidden="1" ht="1" customHeight="1">
      <s:c r="A8351" s="120" t="inlineStr"/>
      <s:c r="B8351" s="121" t="n"/>
      <s:c r="C8351" s="121" t="n"/>
      <s:c r="D8351" s="121" t="n"/>
      <s:c r="E8351" s="122" t="n"/>
    </s:row>
    <s:row r="8352" hidden="1" ht="1" customHeight="1">
      <s:c r="A8352" s="120" t="inlineStr"/>
      <s:c r="B8352" s="121" t="n"/>
      <s:c r="C8352" s="121" t="n"/>
      <s:c r="D8352" s="121" t="n"/>
      <s:c r="E8352" s="122" t="n"/>
    </s:row>
    <s:row r="8353" hidden="1" ht="1" customHeight="1">
      <s:c r="A8353" s="120" t="inlineStr"/>
      <s:c r="B8353" s="121" t="n"/>
      <s:c r="C8353" s="121" t="n"/>
      <s:c r="D8353" s="121" t="n"/>
      <s:c r="E8353" s="122" t="n"/>
    </s:row>
    <s:row r="8354" hidden="1" ht="1" customHeight="1">
      <s:c r="A8354" s="120" t="inlineStr"/>
      <s:c r="B8354" s="121" t="n"/>
      <s:c r="C8354" s="121" t="n"/>
      <s:c r="D8354" s="121" t="n"/>
      <s:c r="E8354" s="122" t="n"/>
    </s:row>
    <s:row r="8355" hidden="1" ht="1" customHeight="1">
      <s:c r="A8355" s="120" t="inlineStr"/>
      <s:c r="B8355" s="121" t="n"/>
      <s:c r="C8355" s="121" t="n"/>
      <s:c r="D8355" s="121" t="n"/>
      <s:c r="E8355" s="122" t="n"/>
    </s:row>
    <s:row r="8356" hidden="1" ht="1" customHeight="1">
      <s:c r="A8356" s="120" t="inlineStr"/>
      <s:c r="B8356" s="121" t="n"/>
      <s:c r="C8356" s="121" t="n"/>
      <s:c r="D8356" s="121" t="n"/>
      <s:c r="E8356" s="122" t="n"/>
    </s:row>
    <s:row r="8357" hidden="1" ht="1" customHeight="1">
      <s:c r="A8357" s="120" t="inlineStr"/>
      <s:c r="B8357" s="121" t="n"/>
      <s:c r="C8357" s="121" t="n"/>
      <s:c r="D8357" s="121" t="n"/>
      <s:c r="E8357" s="122" t="n"/>
    </s:row>
    <s:row r="8358" hidden="1" ht="1" customHeight="1">
      <s:c r="A8358" s="120" t="inlineStr"/>
      <s:c r="B8358" s="121" t="n"/>
      <s:c r="C8358" s="121" t="n"/>
      <s:c r="D8358" s="121" t="n"/>
      <s:c r="E8358" s="122" t="n"/>
    </s:row>
    <s:row r="8359" hidden="1" ht="1" customHeight="1">
      <s:c r="A8359" s="120" t="inlineStr"/>
      <s:c r="B8359" s="121" t="n"/>
      <s:c r="C8359" s="121" t="n"/>
      <s:c r="D8359" s="121" t="n"/>
      <s:c r="E8359" s="122" t="n"/>
    </s:row>
    <s:row r="8360" hidden="1" ht="1" customHeight="1">
      <s:c r="A8360" s="120" t="inlineStr"/>
      <s:c r="B8360" s="121" t="n"/>
      <s:c r="C8360" s="121" t="n"/>
      <s:c r="D8360" s="121" t="n"/>
      <s:c r="E8360" s="122" t="n"/>
    </s:row>
    <s:row r="8361" hidden="1" ht="1" customHeight="1">
      <s:c r="A8361" s="120" t="inlineStr"/>
      <s:c r="B8361" s="121" t="n"/>
      <s:c r="C8361" s="121" t="n"/>
      <s:c r="D8361" s="121" t="n"/>
      <s:c r="E8361" s="122" t="n"/>
    </s:row>
    <s:row r="8362" hidden="1" ht="1" customHeight="1">
      <s:c r="A8362" s="120" t="inlineStr"/>
      <s:c r="B8362" s="121" t="n"/>
      <s:c r="C8362" s="121" t="n"/>
      <s:c r="D8362" s="121" t="n"/>
      <s:c r="E8362" s="122" t="n"/>
    </s:row>
    <s:row r="8363" hidden="1" ht="1" customHeight="1">
      <s:c r="A8363" s="120" t="inlineStr"/>
      <s:c r="B8363" s="121" t="n"/>
      <s:c r="C8363" s="121" t="n"/>
      <s:c r="D8363" s="121" t="n"/>
      <s:c r="E8363" s="122" t="n"/>
    </s:row>
    <s:row r="8364" hidden="1" ht="1" customHeight="1">
      <s:c r="A8364" s="120" t="inlineStr"/>
      <s:c r="B8364" s="121" t="n"/>
      <s:c r="C8364" s="121" t="n"/>
      <s:c r="D8364" s="121" t="n"/>
      <s:c r="E8364" s="122" t="n"/>
    </s:row>
    <s:row r="8365" hidden="1" ht="1" customHeight="1">
      <s:c r="A8365" s="120" t="inlineStr"/>
      <s:c r="B8365" s="121" t="n"/>
      <s:c r="C8365" s="121" t="n"/>
      <s:c r="D8365" s="121" t="n"/>
      <s:c r="E8365" s="122" t="n"/>
    </s:row>
    <s:row r="8366" hidden="1" ht="1" customHeight="1">
      <s:c r="A8366" s="120" t="inlineStr"/>
      <s:c r="B8366" s="121" t="n"/>
      <s:c r="C8366" s="121" t="n"/>
      <s:c r="D8366" s="121" t="n"/>
      <s:c r="E8366" s="122" t="n"/>
    </s:row>
    <s:row r="8367" hidden="1" ht="1" customHeight="1">
      <s:c r="A8367" s="120" t="inlineStr"/>
      <s:c r="B8367" s="121" t="n"/>
      <s:c r="C8367" s="121" t="n"/>
      <s:c r="D8367" s="121" t="n"/>
      <s:c r="E8367" s="122" t="n"/>
    </s:row>
    <s:row r="8368" hidden="1" ht="1" customHeight="1">
      <s:c r="A8368" s="120" t="inlineStr"/>
      <s:c r="B8368" s="121" t="n"/>
      <s:c r="C8368" s="121" t="n"/>
      <s:c r="D8368" s="121" t="n"/>
      <s:c r="E8368" s="122" t="n"/>
    </s:row>
    <s:row r="8369" hidden="1" ht="1" customHeight="1">
      <s:c r="A8369" s="120" t="inlineStr"/>
      <s:c r="B8369" s="121" t="n"/>
      <s:c r="C8369" s="121" t="n"/>
      <s:c r="D8369" s="121" t="n"/>
      <s:c r="E8369" s="122" t="n"/>
    </s:row>
    <s:row r="8370" hidden="1" ht="1" customHeight="1">
      <s:c r="A8370" s="120" t="inlineStr"/>
      <s:c r="B8370" s="121" t="n"/>
      <s:c r="C8370" s="121" t="n"/>
      <s:c r="D8370" s="121" t="n"/>
      <s:c r="E8370" s="122" t="n"/>
    </s:row>
    <s:row r="8371" hidden="1" ht="1" customHeight="1">
      <s:c r="A8371" s="120" t="inlineStr"/>
      <s:c r="B8371" s="121" t="n"/>
      <s:c r="C8371" s="121" t="n"/>
      <s:c r="D8371" s="121" t="n"/>
      <s:c r="E8371" s="122" t="n"/>
    </s:row>
    <s:row r="8372" hidden="1" ht="1" customHeight="1">
      <s:c r="A8372" s="120" t="inlineStr"/>
      <s:c r="B8372" s="121" t="n"/>
      <s:c r="C8372" s="121" t="n"/>
      <s:c r="D8372" s="121" t="n"/>
      <s:c r="E8372" s="122" t="n"/>
    </s:row>
    <s:row r="8373" hidden="1" ht="1" customHeight="1">
      <s:c r="A8373" s="120" t="inlineStr"/>
      <s:c r="B8373" s="121" t="n"/>
      <s:c r="C8373" s="121" t="n"/>
      <s:c r="D8373" s="121" t="n"/>
      <s:c r="E8373" s="122" t="n"/>
    </s:row>
    <s:row r="8374" hidden="1" ht="1" customHeight="1">
      <s:c r="A8374" s="120" t="inlineStr"/>
      <s:c r="B8374" s="121" t="n"/>
      <s:c r="C8374" s="121" t="n"/>
      <s:c r="D8374" s="121" t="n"/>
      <s:c r="E8374" s="122" t="n"/>
    </s:row>
    <s:row r="8375" hidden="1" ht="1" customHeight="1">
      <s:c r="A8375" s="120" t="inlineStr"/>
      <s:c r="B8375" s="121" t="n"/>
      <s:c r="C8375" s="121" t="n"/>
      <s:c r="D8375" s="121" t="n"/>
      <s:c r="E8375" s="122" t="n"/>
    </s:row>
    <s:row r="8376" hidden="1" ht="1" customHeight="1">
      <s:c r="A8376" s="120" t="inlineStr"/>
      <s:c r="B8376" s="121" t="n"/>
      <s:c r="C8376" s="121" t="n"/>
      <s:c r="D8376" s="121" t="n"/>
      <s:c r="E8376" s="122" t="n"/>
    </s:row>
    <s:row r="8377" hidden="1" ht="1" customHeight="1">
      <s:c r="A8377" s="120" t="inlineStr"/>
      <s:c r="B8377" s="121" t="n"/>
      <s:c r="C8377" s="121" t="n"/>
      <s:c r="D8377" s="121" t="n"/>
      <s:c r="E8377" s="122" t="n"/>
    </s:row>
    <s:row r="8378" hidden="1" ht="1" customHeight="1">
      <s:c r="A8378" s="120" t="inlineStr"/>
      <s:c r="B8378" s="121" t="n"/>
      <s:c r="C8378" s="121" t="n"/>
      <s:c r="D8378" s="121" t="n"/>
      <s:c r="E8378" s="122" t="n"/>
    </s:row>
    <s:row r="8379" hidden="1" ht="1" customHeight="1">
      <s:c r="A8379" s="120" t="inlineStr"/>
      <s:c r="B8379" s="121" t="n"/>
      <s:c r="C8379" s="121" t="n"/>
      <s:c r="D8379" s="121" t="n"/>
      <s:c r="E8379" s="122" t="n"/>
    </s:row>
    <s:row r="8380" hidden="1" ht="1" customHeight="1">
      <s:c r="A8380" s="120" t="inlineStr"/>
      <s:c r="B8380" s="121" t="n"/>
      <s:c r="C8380" s="121" t="n"/>
      <s:c r="D8380" s="121" t="n"/>
      <s:c r="E8380" s="122" t="n"/>
    </s:row>
    <s:row r="8381" hidden="1" ht="1" customHeight="1">
      <s:c r="A8381" s="120" t="inlineStr"/>
      <s:c r="B8381" s="121" t="n"/>
      <s:c r="C8381" s="121" t="n"/>
      <s:c r="D8381" s="121" t="n"/>
      <s:c r="E8381" s="122" t="n"/>
    </s:row>
    <s:row r="8382" hidden="1" ht="1" customHeight="1">
      <s:c r="A8382" s="120" t="inlineStr"/>
      <s:c r="B8382" s="121" t="n"/>
      <s:c r="C8382" s="121" t="n"/>
      <s:c r="D8382" s="121" t="n"/>
      <s:c r="E8382" s="122" t="n"/>
    </s:row>
    <s:row r="8383" hidden="1" ht="1" customHeight="1">
      <s:c r="A8383" s="120" t="inlineStr"/>
      <s:c r="B8383" s="121" t="n"/>
      <s:c r="C8383" s="121" t="n"/>
      <s:c r="D8383" s="121" t="n"/>
      <s:c r="E8383" s="122" t="n"/>
    </s:row>
    <s:row r="8384" hidden="1" ht="1" customHeight="1">
      <s:c r="A8384" s="120" t="inlineStr"/>
      <s:c r="B8384" s="121" t="n"/>
      <s:c r="C8384" s="121" t="n"/>
      <s:c r="D8384" s="121" t="n"/>
      <s:c r="E8384" s="122" t="n"/>
    </s:row>
    <s:row r="8385" hidden="1" ht="1" customHeight="1">
      <s:c r="A8385" s="120" t="inlineStr"/>
      <s:c r="B8385" s="121" t="n"/>
      <s:c r="C8385" s="121" t="n"/>
      <s:c r="D8385" s="121" t="n"/>
      <s:c r="E8385" s="122" t="n"/>
    </s:row>
    <s:row r="8386" hidden="1" ht="1" customHeight="1">
      <s:c r="A8386" s="120" t="inlineStr"/>
      <s:c r="B8386" s="121" t="n"/>
      <s:c r="C8386" s="121" t="n"/>
      <s:c r="D8386" s="121" t="n"/>
      <s:c r="E8386" s="122" t="n"/>
    </s:row>
    <s:row r="8387" hidden="1" ht="1" customHeight="1">
      <s:c r="A8387" s="120" t="inlineStr"/>
      <s:c r="B8387" s="121" t="n"/>
      <s:c r="C8387" s="121" t="n"/>
      <s:c r="D8387" s="121" t="n"/>
      <s:c r="E8387" s="122" t="n"/>
    </s:row>
    <s:row r="8388" hidden="1" ht="1" customHeight="1">
      <s:c r="A8388" s="120" t="inlineStr"/>
      <s:c r="B8388" s="121" t="n"/>
      <s:c r="C8388" s="121" t="n"/>
      <s:c r="D8388" s="121" t="n"/>
      <s:c r="E8388" s="122" t="n"/>
    </s:row>
    <s:row r="8389" hidden="1" ht="1" customHeight="1">
      <s:c r="A8389" s="120" t="inlineStr"/>
      <s:c r="B8389" s="121" t="n"/>
      <s:c r="C8389" s="121" t="n"/>
      <s:c r="D8389" s="121" t="n"/>
      <s:c r="E8389" s="122" t="n"/>
    </s:row>
    <s:row r="8390" hidden="1" ht="1" customHeight="1">
      <s:c r="A8390" s="120" t="inlineStr"/>
      <s:c r="B8390" s="121" t="n"/>
      <s:c r="C8390" s="121" t="n"/>
      <s:c r="D8390" s="121" t="n"/>
      <s:c r="E8390" s="122" t="n"/>
    </s:row>
    <s:row r="8391" hidden="1" ht="1" customHeight="1">
      <s:c r="A8391" s="120" t="inlineStr"/>
      <s:c r="B8391" s="121" t="n"/>
      <s:c r="C8391" s="121" t="n"/>
      <s:c r="D8391" s="121" t="n"/>
      <s:c r="E8391" s="122" t="n"/>
    </s:row>
    <s:row r="8392" hidden="1" ht="1" customHeight="1">
      <s:c r="A8392" s="120" t="inlineStr"/>
      <s:c r="B8392" s="121" t="n"/>
      <s:c r="C8392" s="121" t="n"/>
      <s:c r="D8392" s="121" t="n"/>
      <s:c r="E8392" s="122" t="n"/>
    </s:row>
    <s:row r="8393" hidden="1" ht="1" customHeight="1">
      <s:c r="A8393" s="120" t="inlineStr"/>
      <s:c r="B8393" s="121" t="n"/>
      <s:c r="C8393" s="121" t="n"/>
      <s:c r="D8393" s="121" t="n"/>
      <s:c r="E8393" s="122" t="n"/>
    </s:row>
    <s:row r="8394" hidden="1" ht="1" customHeight="1">
      <s:c r="A8394" s="120" t="inlineStr"/>
      <s:c r="B8394" s="121" t="n"/>
      <s:c r="C8394" s="121" t="n"/>
      <s:c r="D8394" s="121" t="n"/>
      <s:c r="E8394" s="122" t="n"/>
    </s:row>
    <s:row r="8395" hidden="1" ht="1" customHeight="1">
      <s:c r="A8395" s="120" t="inlineStr"/>
      <s:c r="B8395" s="121" t="n"/>
      <s:c r="C8395" s="121" t="n"/>
      <s:c r="D8395" s="121" t="n"/>
      <s:c r="E8395" s="122" t="n"/>
    </s:row>
    <s:row r="8396" hidden="1" ht="1" customHeight="1">
      <s:c r="A8396" s="120" t="inlineStr"/>
      <s:c r="B8396" s="121" t="n"/>
      <s:c r="C8396" s="121" t="n"/>
      <s:c r="D8396" s="121" t="n"/>
      <s:c r="E8396" s="122" t="n"/>
    </s:row>
    <s:row r="8397" hidden="1" ht="1" customHeight="1">
      <s:c r="A8397" s="120" t="inlineStr"/>
      <s:c r="B8397" s="121" t="n"/>
      <s:c r="C8397" s="121" t="n"/>
      <s:c r="D8397" s="121" t="n"/>
      <s:c r="E8397" s="122" t="n"/>
    </s:row>
    <s:row r="8398" hidden="1" ht="1" customHeight="1">
      <s:c r="A8398" s="120" t="inlineStr"/>
      <s:c r="B8398" s="121" t="n"/>
      <s:c r="C8398" s="121" t="n"/>
      <s:c r="D8398" s="121" t="n"/>
      <s:c r="E8398" s="122" t="n"/>
    </s:row>
    <s:row r="8399" hidden="1" ht="1" customHeight="1">
      <s:c r="A8399" s="120" t="inlineStr"/>
      <s:c r="B8399" s="121" t="n"/>
      <s:c r="C8399" s="121" t="n"/>
      <s:c r="D8399" s="121" t="n"/>
      <s:c r="E8399" s="122" t="n"/>
    </s:row>
    <s:row r="8400" hidden="1" ht="1" customHeight="1">
      <s:c r="A8400" s="120" t="inlineStr"/>
      <s:c r="B8400" s="121" t="n"/>
      <s:c r="C8400" s="121" t="n"/>
      <s:c r="D8400" s="121" t="n"/>
      <s:c r="E8400" s="122" t="n"/>
    </s:row>
    <s:row r="8401" hidden="1" ht="1" customHeight="1">
      <s:c r="A8401" s="120" t="inlineStr"/>
      <s:c r="B8401" s="121" t="n"/>
      <s:c r="C8401" s="121" t="n"/>
      <s:c r="D8401" s="121" t="n"/>
      <s:c r="E8401" s="122" t="n"/>
    </s:row>
    <s:row r="8402" hidden="1" ht="1" customHeight="1">
      <s:c r="A8402" s="120" t="inlineStr"/>
      <s:c r="B8402" s="121" t="n"/>
      <s:c r="C8402" s="121" t="n"/>
      <s:c r="D8402" s="121" t="n"/>
      <s:c r="E8402" s="122" t="n"/>
    </s:row>
    <s:row r="8403" hidden="1" ht="1" customHeight="1">
      <s:c r="A8403" s="120" t="inlineStr"/>
      <s:c r="B8403" s="121" t="n"/>
      <s:c r="C8403" s="121" t="n"/>
      <s:c r="D8403" s="121" t="n"/>
      <s:c r="E8403" s="122" t="n"/>
    </s:row>
    <s:row r="8404" hidden="1" ht="1" customHeight="1">
      <s:c r="A8404" s="120" t="inlineStr"/>
      <s:c r="B8404" s="121" t="n"/>
      <s:c r="C8404" s="121" t="n"/>
      <s:c r="D8404" s="121" t="n"/>
      <s:c r="E8404" s="122" t="n"/>
    </s:row>
    <s:row r="8405" hidden="1" ht="1" customHeight="1">
      <s:c r="A8405" s="120" t="inlineStr"/>
      <s:c r="B8405" s="121" t="n"/>
      <s:c r="C8405" s="121" t="n"/>
      <s:c r="D8405" s="121" t="n"/>
      <s:c r="E8405" s="122" t="n"/>
    </s:row>
    <s:row r="8406" hidden="1" ht="1" customHeight="1">
      <s:c r="A8406" s="120" t="inlineStr"/>
      <s:c r="B8406" s="121" t="n"/>
      <s:c r="C8406" s="121" t="n"/>
      <s:c r="D8406" s="121" t="n"/>
      <s:c r="E8406" s="122" t="n"/>
    </s:row>
    <s:row r="8407" hidden="1" ht="1" customHeight="1">
      <s:c r="A8407" s="120" t="inlineStr"/>
      <s:c r="B8407" s="121" t="n"/>
      <s:c r="C8407" s="121" t="n"/>
      <s:c r="D8407" s="121" t="n"/>
      <s:c r="E8407" s="122" t="n"/>
    </s:row>
    <s:row r="8408" hidden="1" ht="1" customHeight="1">
      <s:c r="A8408" s="120" t="inlineStr"/>
      <s:c r="B8408" s="121" t="n"/>
      <s:c r="C8408" s="121" t="n"/>
      <s:c r="D8408" s="121" t="n"/>
      <s:c r="E8408" s="122" t="n"/>
    </s:row>
    <s:row r="8409" hidden="1" ht="1" customHeight="1">
      <s:c r="A8409" s="120" t="inlineStr"/>
      <s:c r="B8409" s="121" t="n"/>
      <s:c r="C8409" s="121" t="n"/>
      <s:c r="D8409" s="121" t="n"/>
      <s:c r="E8409" s="122" t="n"/>
    </s:row>
    <s:row r="8410" hidden="1" ht="1" customHeight="1">
      <s:c r="A8410" s="120" t="inlineStr"/>
      <s:c r="B8410" s="121" t="n"/>
      <s:c r="C8410" s="121" t="n"/>
      <s:c r="D8410" s="121" t="n"/>
      <s:c r="E8410" s="122" t="n"/>
    </s:row>
    <s:row r="8411" hidden="1" ht="1" customHeight="1">
      <s:c r="A8411" s="120" t="inlineStr"/>
      <s:c r="B8411" s="121" t="n"/>
      <s:c r="C8411" s="121" t="n"/>
      <s:c r="D8411" s="121" t="n"/>
      <s:c r="E8411" s="122" t="n"/>
    </s:row>
    <s:row r="8412" hidden="1" ht="1" customHeight="1">
      <s:c r="A8412" s="120" t="inlineStr"/>
      <s:c r="B8412" s="121" t="n"/>
      <s:c r="C8412" s="121" t="n"/>
      <s:c r="D8412" s="121" t="n"/>
      <s:c r="E8412" s="122" t="n"/>
    </s:row>
    <s:row r="8413" hidden="1" ht="1" customHeight="1">
      <s:c r="A8413" s="120" t="inlineStr"/>
      <s:c r="B8413" s="121" t="n"/>
      <s:c r="C8413" s="121" t="n"/>
      <s:c r="D8413" s="121" t="n"/>
      <s:c r="E8413" s="122" t="n"/>
    </s:row>
    <s:row r="8414" hidden="1" ht="1" customHeight="1">
      <s:c r="A8414" s="120" t="inlineStr"/>
      <s:c r="B8414" s="121" t="n"/>
      <s:c r="C8414" s="121" t="n"/>
      <s:c r="D8414" s="121" t="n"/>
      <s:c r="E8414" s="122" t="n"/>
    </s:row>
    <s:row r="8415" hidden="1" ht="1" customHeight="1">
      <s:c r="A8415" s="120" t="inlineStr"/>
      <s:c r="B8415" s="121" t="n"/>
      <s:c r="C8415" s="121" t="n"/>
      <s:c r="D8415" s="121" t="n"/>
      <s:c r="E8415" s="122" t="n"/>
    </s:row>
    <s:row r="8416" hidden="1" ht="1" customHeight="1">
      <s:c r="A8416" s="120" t="inlineStr"/>
      <s:c r="B8416" s="121" t="n"/>
      <s:c r="C8416" s="121" t="n"/>
      <s:c r="D8416" s="121" t="n"/>
      <s:c r="E8416" s="122" t="n"/>
    </s:row>
    <s:row r="8417" hidden="1" ht="1" customHeight="1">
      <s:c r="A8417" s="120" t="inlineStr"/>
      <s:c r="B8417" s="121" t="n"/>
      <s:c r="C8417" s="121" t="n"/>
      <s:c r="D8417" s="121" t="n"/>
      <s:c r="E8417" s="122" t="n"/>
    </s:row>
    <s:row r="8418" hidden="1" ht="1" customHeight="1">
      <s:c r="A8418" s="120" t="inlineStr"/>
      <s:c r="B8418" s="121" t="n"/>
      <s:c r="C8418" s="121" t="n"/>
      <s:c r="D8418" s="121" t="n"/>
      <s:c r="E8418" s="122" t="n"/>
    </s:row>
    <s:row r="8419" hidden="1" ht="1" customHeight="1">
      <s:c r="A8419" s="120" t="inlineStr"/>
      <s:c r="B8419" s="121" t="n"/>
      <s:c r="C8419" s="121" t="n"/>
      <s:c r="D8419" s="121" t="n"/>
      <s:c r="E8419" s="122" t="n"/>
    </s:row>
    <s:row r="8420" hidden="1" ht="1" customHeight="1">
      <s:c r="A8420" s="120" t="inlineStr"/>
      <s:c r="B8420" s="121" t="n"/>
      <s:c r="C8420" s="121" t="n"/>
      <s:c r="D8420" s="121" t="n"/>
      <s:c r="E8420" s="122" t="n"/>
    </s:row>
    <s:row r="8421" hidden="1" ht="1" customHeight="1">
      <s:c r="A8421" s="120" t="inlineStr"/>
      <s:c r="B8421" s="121" t="n"/>
      <s:c r="C8421" s="121" t="n"/>
      <s:c r="D8421" s="121" t="n"/>
      <s:c r="E8421" s="122" t="n"/>
    </s:row>
    <s:row r="8422" hidden="1" ht="1" customHeight="1">
      <s:c r="A8422" s="120" t="inlineStr"/>
      <s:c r="B8422" s="121" t="n"/>
      <s:c r="C8422" s="121" t="n"/>
      <s:c r="D8422" s="121" t="n"/>
      <s:c r="E8422" s="122" t="n"/>
    </s:row>
    <s:row r="8423" hidden="1" ht="1" customHeight="1">
      <s:c r="A8423" s="120" t="inlineStr"/>
      <s:c r="B8423" s="121" t="n"/>
      <s:c r="C8423" s="121" t="n"/>
      <s:c r="D8423" s="121" t="n"/>
      <s:c r="E8423" s="122" t="n"/>
    </s:row>
    <s:row r="8424" hidden="1" ht="1" customHeight="1">
      <s:c r="A8424" s="120" t="inlineStr"/>
      <s:c r="B8424" s="121" t="n"/>
      <s:c r="C8424" s="121" t="n"/>
      <s:c r="D8424" s="121" t="n"/>
      <s:c r="E8424" s="122" t="n"/>
    </s:row>
    <s:row r="8425" hidden="1" ht="1" customHeight="1">
      <s:c r="A8425" s="120" t="inlineStr"/>
      <s:c r="B8425" s="121" t="n"/>
      <s:c r="C8425" s="121" t="n"/>
      <s:c r="D8425" s="121" t="n"/>
      <s:c r="E8425" s="122" t="n"/>
    </s:row>
    <s:row r="8426" hidden="1" ht="1" customHeight="1">
      <s:c r="A8426" s="120" t="inlineStr"/>
      <s:c r="B8426" s="121" t="n"/>
      <s:c r="C8426" s="121" t="n"/>
      <s:c r="D8426" s="121" t="n"/>
      <s:c r="E8426" s="122" t="n"/>
    </s:row>
    <s:row r="8427" hidden="1" ht="1" customHeight="1">
      <s:c r="A8427" s="120" t="inlineStr"/>
      <s:c r="B8427" s="121" t="n"/>
      <s:c r="C8427" s="121" t="n"/>
      <s:c r="D8427" s="121" t="n"/>
      <s:c r="E8427" s="122" t="n"/>
    </s:row>
    <s:row r="8428" hidden="1" ht="1" customHeight="1">
      <s:c r="A8428" s="120" t="inlineStr"/>
      <s:c r="B8428" s="121" t="n"/>
      <s:c r="C8428" s="121" t="n"/>
      <s:c r="D8428" s="121" t="n"/>
      <s:c r="E8428" s="122" t="n"/>
    </s:row>
    <s:row r="8429" hidden="1" ht="1" customHeight="1">
      <s:c r="A8429" s="120" t="inlineStr"/>
      <s:c r="B8429" s="121" t="n"/>
      <s:c r="C8429" s="121" t="n"/>
      <s:c r="D8429" s="121" t="n"/>
      <s:c r="E8429" s="122" t="n"/>
    </s:row>
    <s:row r="8430" hidden="1" ht="1" customHeight="1">
      <s:c r="A8430" s="120" t="inlineStr"/>
      <s:c r="B8430" s="121" t="n"/>
      <s:c r="C8430" s="121" t="n"/>
      <s:c r="D8430" s="121" t="n"/>
      <s:c r="E8430" s="122" t="n"/>
    </s:row>
    <s:row r="8431" hidden="1" ht="1" customHeight="1">
      <s:c r="A8431" s="120" t="inlineStr"/>
      <s:c r="B8431" s="121" t="n"/>
      <s:c r="C8431" s="121" t="n"/>
      <s:c r="D8431" s="121" t="n"/>
      <s:c r="E8431" s="122" t="n"/>
    </s:row>
    <s:row r="8432" hidden="1" ht="1" customHeight="1">
      <s:c r="A8432" s="120" t="inlineStr"/>
      <s:c r="B8432" s="121" t="n"/>
      <s:c r="C8432" s="121" t="n"/>
      <s:c r="D8432" s="121" t="n"/>
      <s:c r="E8432" s="122" t="n"/>
    </s:row>
    <s:row r="8433" hidden="1" ht="1" customHeight="1">
      <s:c r="A8433" s="120" t="inlineStr"/>
      <s:c r="B8433" s="121" t="n"/>
      <s:c r="C8433" s="121" t="n"/>
      <s:c r="D8433" s="121" t="n"/>
      <s:c r="E8433" s="122" t="n"/>
    </s:row>
    <s:row r="8434" hidden="1" ht="1" customHeight="1">
      <s:c r="A8434" s="120" t="inlineStr"/>
      <s:c r="B8434" s="121" t="n"/>
      <s:c r="C8434" s="121" t="n"/>
      <s:c r="D8434" s="121" t="n"/>
      <s:c r="E8434" s="122" t="n"/>
    </s:row>
    <s:row r="8435" hidden="1" ht="1" customHeight="1">
      <s:c r="A8435" s="120" t="inlineStr"/>
      <s:c r="B8435" s="121" t="n"/>
      <s:c r="C8435" s="121" t="n"/>
      <s:c r="D8435" s="121" t="n"/>
      <s:c r="E8435" s="122" t="n"/>
    </s:row>
    <s:row r="8436" hidden="1" ht="1" customHeight="1">
      <s:c r="A8436" s="120" t="inlineStr"/>
      <s:c r="B8436" s="121" t="n"/>
      <s:c r="C8436" s="121" t="n"/>
      <s:c r="D8436" s="121" t="n"/>
      <s:c r="E8436" s="122" t="n"/>
    </s:row>
    <s:row r="8437" hidden="1" ht="1" customHeight="1">
      <s:c r="A8437" s="120" t="inlineStr"/>
      <s:c r="B8437" s="121" t="n"/>
      <s:c r="C8437" s="121" t="n"/>
      <s:c r="D8437" s="121" t="n"/>
      <s:c r="E8437" s="122" t="n"/>
    </s:row>
    <s:row r="8438" hidden="1" ht="1" customHeight="1">
      <s:c r="A8438" s="120" t="inlineStr"/>
      <s:c r="B8438" s="121" t="n"/>
      <s:c r="C8438" s="121" t="n"/>
      <s:c r="D8438" s="121" t="n"/>
      <s:c r="E8438" s="122" t="n"/>
    </s:row>
    <s:row r="8439" hidden="1" ht="1" customHeight="1">
      <s:c r="A8439" s="120" t="inlineStr"/>
      <s:c r="B8439" s="121" t="n"/>
      <s:c r="C8439" s="121" t="n"/>
      <s:c r="D8439" s="121" t="n"/>
      <s:c r="E8439" s="122" t="n"/>
    </s:row>
    <s:row r="8440" hidden="1" ht="1" customHeight="1">
      <s:c r="A8440" s="83" t="inlineStr">
        <s:is>
          <s:t>PASS</s:t>
        </s:is>
      </s:c>
      <s:c r="B8440" s="83">
        <s:f>SUM(IF(EXACT('Kiểm thử'!E8290,"Đạt"),1,0),IF(EXACT('Kiểm thử'!E8292,"Đạt"),1,0),IF(EXACT('Kiểm thử'!E8294,"Đạt"),1,0))</s:f>
        <s:v/>
      </s:c>
      <s:c r="C8440" s="19" t="n"/>
      <s:c r="D8440" s="19" t="n"/>
      <s:c r="E8440" s="19" t="n"/>
    </s:row>
    <s:row r="8441" hidden="1" ht="1" customHeight="1">
      <s:c r="A8441" s="83" t="inlineStr">
        <s:is>
          <s:t>FAIL</s:t>
        </s:is>
      </s:c>
      <s:c r="B8441" s="83">
        <s:f>SUM(IF(EXACT('Kiểm thử'!E8290,"Không đạt"),1,0),IF(EXACT('Kiểm thử'!E8292,"Không đạt"),1,0),IF(EXACT('Kiểm thử'!E8294,"Không đạt"),1,0))</s:f>
        <s:v/>
      </s:c>
      <s:c r="C8441" s="19" t="n"/>
      <s:c r="D8441" s="19" t="n"/>
      <s:c r="E8441" s="19" t="n"/>
    </s:row>
    <s:row r="8442" hidden="1" ht="1" customHeight="1">
      <s:c r="A8442" s="83" t="inlineStr">
        <s:is>
          <s:t>BLOCKED</s:t>
        </s:is>
      </s:c>
      <s:c r="B8442" s="83">
        <s:f>SUM(IF(EXACT('Kiểm thử'!E8290,"Bị chặn"),1,0),IF(EXACT('Kiểm thử'!E8292,"Bị chặn"),1,0),IF(EXACT('Kiểm thử'!E8294,"Bị chặn"),1,0))</s:f>
        <s:v/>
      </s:c>
      <s:c r="C8442" s="19" t="n"/>
      <s:c r="D8442" s="19" t="n"/>
      <s:c r="E8442" s="19" t="n"/>
    </s:row>
    <s:row r="8443" hidden="1" ht="1" customHeight="1">
      <s:c r="A8443" s="83" t="inlineStr">
        <s:is>
          <s:t>SKIPPED</s:t>
        </s:is>
      </s:c>
      <s:c r="B8443" s="83">
        <s:f>SUM(IF(EXACT('Kiểm thử'!E8290,"Không thực hiện"),1,0),IF(EXACT('Kiểm thử'!E8292,"Không thực hiện"),1,0),IF(EXACT('Kiểm thử'!E8294,"Không thực hiện"),1,0))</s:f>
        <s:v/>
      </s:c>
      <s:c r="C8443" s="19" t="n"/>
      <s:c r="D8443" s="19" t="n"/>
      <s:c r="E8443" s="19" t="n"/>
    </s:row>
    <s:row r="8444" hidden="1" ht="1" customHeight="1">
      <s:c r="A8444" s="83" t="inlineStr">
        <s:is>
          <s:t>NOT RUN</s:t>
        </s:is>
      </s:c>
      <s:c r="B8444" s="83">
        <s:f>SUM(IF(EXACT('Kiểm thử'!E8290,"Chưa thực hiện"),1,0),IF(EXACT('Kiểm thử'!E8292,"Chưa thực hiện"),1,0),IF(EXACT('Kiểm thử'!E8294,"Chưa thực hiện"),1,0))</s:f>
        <s:v/>
      </s:c>
      <s:c r="C8444" s="19" t="n"/>
      <s:c r="D8444" s="19" t="n"/>
      <s:c r="E8444" s="19" t="n"/>
    </s:row>
    <s:row r="8445" hidden="1" ht="6" customHeight="1">
      <s:c r="A8445" s="83" t="inlineStr"/>
      <s:c r="B8445" s="19" t="n"/>
      <s:c r="C8445" s="19" t="n"/>
      <s:c r="D8445" s="19" t="n"/>
      <s:c r="E8445" s="19" t="n"/>
    </s:row>
    <s:row r="8446" ht="28" customHeight="1">
      <s:c r="A8446" s="108" t="inlineStr">
        <s:is>
          <s:t>TC-RS-CALC-014 — Làm tròn theo từng dòng: A=49.7</s:t>
        </s:is>
      </s:c>
      <s:c r="B8446" s="111" t="n"/>
      <s:c r="C8446" s="111" t="n"/>
      <s:c r="D8446" s="111" t="n"/>
      <s:c r="E8446" s="111" t="n"/>
    </s:row>
    <s:row r="8447" ht="20" customHeight="1">
      <s:c r="A8447" s="112" t="inlineStr">
        <s:is>
          <s:t>Kết quả tình huống</s:t>
        </s:is>
      </s:c>
      <s:c r="B8447" s="113">
        <s:f>IF(SUM(IF(EXACT('Kiểm thử'!E8455,"Không đạt"),1,0))&gt;0,"Không đạt",IF(SUM(IF(EXACT('Kiểm thử'!E8455,"Đạt"),1,0))=1,"Đạt",IF(SUM(IF(EXACT('Kiểm thử'!E8455,"Không thực hiện"),1,0))=1,"Không thực hiện",IF(SUM(IF(EXACT('Kiểm thử'!E8455,"Bị chặn"),1,0))&gt;0,"Bị chặn",IF(SUM(IF(EXACT('Kiểm thử'!E8455,"Chưa thực hiện"),1,0))=1,"Chưa thực hiện","Đang thực hiện")))))</s:f>
        <s:v/>
      </s:c>
      <s:c r="C8447" s="114" t="n"/>
      <s:c r="D8447" s="114" t="n"/>
      <s:c r="E8447" s="114" t="n"/>
    </s:row>
    <s:row r="8448" ht="20" customHeight="1">
      <s:c r="A8448" s="112" t="inlineStr">
        <s:is>
          <s:t>Màn hình / chức năng</s:t>
        </s:is>
      </s:c>
      <s:c r="B8448" s="113" t="inlineStr">
        <s:is>
          <s:r>
            <s:rPr>
              <s:b val="1"/>
            </s:rPr>
            <s:t>Thiết lập ngưỡng（基準設定）</s:t>
          </s:r>
        </s:is>
      </s:c>
      <s:c r="C8448" s="28" t="n"/>
      <s:c r="D8448" s="28" t="n"/>
      <s:c r="E8448" s="28" t="n"/>
    </s:row>
    <s:row r="8449" ht="62" customHeight="1">
      <s:c r="A8449" s="112" t="inlineStr">
        <s:is>
          <s:t>Cấu hình</s:t>
        </s:is>
      </s:c>
      <s:c r="B8449" s="113" t="inlineStr">
        <s:is>
          <s:r>
            <s:t>• Nguồn [</s:t>
          </s:r>
          <s:r>
            <s:rPr>
              <s:b val="1"/>
            </s:rPr>
            <s:t>A=49.7</s:t>
          </s:r>
          <s:r>
            <s:t>];
• Dòng 1 [A÷2];
• Dòng 2 [Kết quả dòng 1 × 0.8];
• [&lt;].</s:t>
          </s:r>
        </s:is>
      </s:c>
      <s:c r="C8449" s="28" t="n"/>
      <s:c r="D8449" s="28" t="n"/>
      <s:c r="E8449" s="28" t="n"/>
    </s:row>
    <s:row r="8450" ht="20" customHeight="1">
      <s:c r="A8450" s="112" t="inlineStr">
        <s:is>
          <s:t>Dữ liệu test</s:t>
        </s:is>
      </s:c>
      <s:c r="B8450" s="113" t="inlineStr">
        <s:is>
          <s:t>• S = 19.1 và S = 19.2</s:t>
        </s:is>
      </s:c>
      <s:c r="C8450" s="28" t="n"/>
      <s:c r="D8450" s="28" t="n"/>
      <s:c r="E8450" s="28" t="n"/>
    </s:row>
    <s:row r="8451" ht="20" customHeight="1">
      <s:c r="A8451" s="112" t="inlineStr">
        <s:is>
          <s:t>Bước 1</s:t>
        </s:is>
      </s:c>
      <s:c r="B8451" s="113" t="inlineStr">
        <s:is>
          <s:t>Lưu đúng cấu hình: dòng 1 bật xử lý phần lẻ, vị trí 1, làm tròn xuống; dòng 2 không xử lý.</s:t>
        </s:is>
      </s:c>
      <s:c r="C8451" s="28" t="n"/>
      <s:c r="D8451" s="28" t="n"/>
      <s:c r="E8451" s="28" t="n"/>
    </s:row>
    <s:row r="8452" ht="20" customHeight="1">
      <s:c r="A8452" s="112" t="inlineStr">
        <s:is>
          <s:t>Bước 2</s:t>
        </s:is>
      </s:c>
      <s:c r="B8452" s="113" t="inlineStr">
        <s:is>
          <s:r>
            <s:t>Chạy xét với [</s:t>
          </s:r>
          <s:r>
            <s:rPr>
              <s:b val="1"/>
            </s:rPr>
            <s:t>S=19.1</s:t>
          </s:r>
          <s:r>
            <s:t>] và [</s:t>
          </s:r>
          <s:r>
            <s:rPr>
              <s:b val="1"/>
            </s:rPr>
            <s:t>S=19.2</s:t>
          </s:r>
          <s:r>
            <s:t>].</s:t>
          </s:r>
        </s:is>
      </s:c>
      <s:c r="C8452" s="28" t="n"/>
      <s:c r="D8452" s="28" t="n"/>
      <s:c r="E8452" s="28" t="n"/>
    </s:row>
    <s:row r="8453" ht="28" customHeight="1">
      <s:c r="A8453" s="115" t="inlineStr">
        <s:is>
          <s:t>Trường hợp</s:t>
        </s:is>
      </s:c>
      <s:c r="B8453" s="115" t="inlineStr">
        <s:is>
          <s:t>Dữ liệu / thao tác riêng</s:t>
        </s:is>
      </s:c>
      <s:c r="C8453" s="115" t="inlineStr">
        <s:is>
          <s:t>Kết quả mong đợi</s:t>
        </s:is>
      </s:c>
      <s:c r="D8453" s="115" t="inlineStr">
        <s:is>
          <s:t>Kết quả thực tế</s:t>
        </s:is>
      </s:c>
      <s:c r="E8453" s="115" t="inlineStr">
        <s:is>
          <s:t>Đánh giá</s:t>
        </s:is>
      </s:c>
    </s:row>
    <s:row r="8454" ht="3" customHeight="1">
      <s:c r="A8454" s="102" t="inlineStr"/>
      <s:c r="B8454" s="99" t="n"/>
      <s:c r="C8454" s="99" t="n"/>
      <s:c r="D8454" s="116" t="n"/>
      <s:c r="E8454" s="116" t="n"/>
    </s:row>
    <s:row r="8455" ht="62" customHeight="1">
      <s:c r="A8455" s="83" t="inlineStr">
        <s:is>
          <s:t>Trường hợp cơ bản (Base)</s:t>
        </s:is>
      </s:c>
      <s:c r="B8455" s="83" t="inlineStr">
        <s:is>
          <s:t>Toàn bộ tình huống: Thực hiện đủ các bước chung theo thứ tự; kiểm cả đối tượng đích và đối chứng cùng fixture, không bỏ bước.</s:t>
        </s:is>
      </s:c>
      <s:c r="C8455" s="83" t="inlineStr">
        <s:is>
          <s:r>
            <s:t>1. [24.85→24]; [</s:t>
          </s:r>
          <s:r>
            <s:rPr>
              <s:b val="1"/>
            </s:rPr>
            <s:t>T=24</s:t>
          </s:r>
          <s:r>
            <s:t>×0.8=19.2].
2. Với dấu [&lt;]: [</s:t>
          </s:r>
          <s:r>
            <s:rPr>
              <s:b val="1"/>
            </s:rPr>
            <s:t>S=19.1</s:t>
          </s:r>
          <s:r>
            <s:t xml:space="preserve">] </s:t>
          </s:r>
          <s:r>
            <s:rPr>
              <s:b val="1"/>
            </s:rPr>
            <s:t>Đỏ</s:t>
          </s:r>
          <s:r>
            <s:t xml:space="preserve"> và [</s:t>
          </s:r>
          <s:r>
            <s:rPr>
              <s:b val="1"/>
            </s:rPr>
            <s:t>S=19.2</s:t>
          </s:r>
          <s:r>
            <s:t xml:space="preserve">] </s:t>
          </s:r>
          <s:r>
            <s:rPr>
              <s:b val="1"/>
            </s:rPr>
            <s:t>Không đỏ</s:t>
          </s:r>
          <s:r>
            <s:t>.
3. Không làm tròn dòng 2 thành [19].</s:t>
          </s:r>
        </s:is>
      </s:c>
      <s:c r="D8455" s="117" t="inlineStr"/>
      <s:c r="E8455" s="118" t="inlineStr">
        <s:is>
          <s:t>Chưa thực hiện</s:t>
        </s:is>
      </s:c>
    </s:row>
    <s:row r="8456" ht="20" customHeight="1">
      <s:c r="A8456" s="119" t="inlineStr">
        <s:is>
          <s:t>Ảnh minh chứng — Chưa có ảnh</s:t>
        </s:is>
      </s:c>
      <s:c r="B8456" s="19" t="n"/>
      <s:c r="C8456" s="19" t="n"/>
      <s:c r="D8456" s="19" t="n"/>
      <s:c r="E8456" s="19" t="n"/>
    </s:row>
    <s:row r="8457" hidden="1" ht="1" customHeight="1">
      <s:c r="A8457" s="120" t="inlineStr"/>
      <s:c r="B8457" s="121" t="n"/>
      <s:c r="C8457" s="121" t="n"/>
      <s:c r="D8457" s="121" t="n"/>
      <s:c r="E8457" s="122" t="n"/>
    </s:row>
    <s:row r="8458" hidden="1" ht="1" customHeight="1">
      <s:c r="A8458" s="120" t="inlineStr"/>
      <s:c r="B8458" s="121" t="n"/>
      <s:c r="C8458" s="121" t="n"/>
      <s:c r="D8458" s="121" t="n"/>
      <s:c r="E8458" s="122" t="n"/>
    </s:row>
    <s:row r="8459" hidden="1" ht="1" customHeight="1">
      <s:c r="A8459" s="120" t="inlineStr"/>
      <s:c r="B8459" s="121" t="n"/>
      <s:c r="C8459" s="121" t="n"/>
      <s:c r="D8459" s="121" t="n"/>
      <s:c r="E8459" s="122" t="n"/>
    </s:row>
    <s:row r="8460" hidden="1" ht="1" customHeight="1">
      <s:c r="A8460" s="120" t="inlineStr"/>
      <s:c r="B8460" s="121" t="n"/>
      <s:c r="C8460" s="121" t="n"/>
      <s:c r="D8460" s="121" t="n"/>
      <s:c r="E8460" s="122" t="n"/>
    </s:row>
    <s:row r="8461" hidden="1" ht="1" customHeight="1">
      <s:c r="A8461" s="120" t="inlineStr"/>
      <s:c r="B8461" s="121" t="n"/>
      <s:c r="C8461" s="121" t="n"/>
      <s:c r="D8461" s="121" t="n"/>
      <s:c r="E8461" s="122" t="n"/>
    </s:row>
    <s:row r="8462" hidden="1" ht="1" customHeight="1">
      <s:c r="A8462" s="120" t="inlineStr"/>
      <s:c r="B8462" s="121" t="n"/>
      <s:c r="C8462" s="121" t="n"/>
      <s:c r="D8462" s="121" t="n"/>
      <s:c r="E8462" s="122" t="n"/>
    </s:row>
    <s:row r="8463" hidden="1" ht="1" customHeight="1">
      <s:c r="A8463" s="120" t="inlineStr"/>
      <s:c r="B8463" s="121" t="n"/>
      <s:c r="C8463" s="121" t="n"/>
      <s:c r="D8463" s="121" t="n"/>
      <s:c r="E8463" s="122" t="n"/>
    </s:row>
    <s:row r="8464" hidden="1" ht="1" customHeight="1">
      <s:c r="A8464" s="120" t="inlineStr"/>
      <s:c r="B8464" s="121" t="n"/>
      <s:c r="C8464" s="121" t="n"/>
      <s:c r="D8464" s="121" t="n"/>
      <s:c r="E8464" s="122" t="n"/>
    </s:row>
    <s:row r="8465" hidden="1" ht="1" customHeight="1">
      <s:c r="A8465" s="120" t="inlineStr"/>
      <s:c r="B8465" s="121" t="n"/>
      <s:c r="C8465" s="121" t="n"/>
      <s:c r="D8465" s="121" t="n"/>
      <s:c r="E8465" s="122" t="n"/>
    </s:row>
    <s:row r="8466" hidden="1" ht="1" customHeight="1">
      <s:c r="A8466" s="120" t="inlineStr"/>
      <s:c r="B8466" s="121" t="n"/>
      <s:c r="C8466" s="121" t="n"/>
      <s:c r="D8466" s="121" t="n"/>
      <s:c r="E8466" s="122" t="n"/>
    </s:row>
    <s:row r="8467" hidden="1" ht="1" customHeight="1">
      <s:c r="A8467" s="120" t="inlineStr"/>
      <s:c r="B8467" s="121" t="n"/>
      <s:c r="C8467" s="121" t="n"/>
      <s:c r="D8467" s="121" t="n"/>
      <s:c r="E8467" s="122" t="n"/>
    </s:row>
    <s:row r="8468" hidden="1" ht="1" customHeight="1">
      <s:c r="A8468" s="120" t="inlineStr"/>
      <s:c r="B8468" s="121" t="n"/>
      <s:c r="C8468" s="121" t="n"/>
      <s:c r="D8468" s="121" t="n"/>
      <s:c r="E8468" s="122" t="n"/>
    </s:row>
    <s:row r="8469" hidden="1" ht="1" customHeight="1">
      <s:c r="A8469" s="120" t="inlineStr"/>
      <s:c r="B8469" s="121" t="n"/>
      <s:c r="C8469" s="121" t="n"/>
      <s:c r="D8469" s="121" t="n"/>
      <s:c r="E8469" s="122" t="n"/>
    </s:row>
    <s:row r="8470" hidden="1" ht="1" customHeight="1">
      <s:c r="A8470" s="120" t="inlineStr"/>
      <s:c r="B8470" s="121" t="n"/>
      <s:c r="C8470" s="121" t="n"/>
      <s:c r="D8470" s="121" t="n"/>
      <s:c r="E8470" s="122" t="n"/>
    </s:row>
    <s:row r="8471" hidden="1" ht="1" customHeight="1">
      <s:c r="A8471" s="120" t="inlineStr"/>
      <s:c r="B8471" s="121" t="n"/>
      <s:c r="C8471" s="121" t="n"/>
      <s:c r="D8471" s="121" t="n"/>
      <s:c r="E8471" s="122" t="n"/>
    </s:row>
    <s:row r="8472" hidden="1" ht="1" customHeight="1">
      <s:c r="A8472" s="120" t="inlineStr"/>
      <s:c r="B8472" s="121" t="n"/>
      <s:c r="C8472" s="121" t="n"/>
      <s:c r="D8472" s="121" t="n"/>
      <s:c r="E8472" s="122" t="n"/>
    </s:row>
    <s:row r="8473" hidden="1" ht="1" customHeight="1">
      <s:c r="A8473" s="120" t="inlineStr"/>
      <s:c r="B8473" s="121" t="n"/>
      <s:c r="C8473" s="121" t="n"/>
      <s:c r="D8473" s="121" t="n"/>
      <s:c r="E8473" s="122" t="n"/>
    </s:row>
    <s:row r="8474" hidden="1" ht="1" customHeight="1">
      <s:c r="A8474" s="120" t="inlineStr"/>
      <s:c r="B8474" s="121" t="n"/>
      <s:c r="C8474" s="121" t="n"/>
      <s:c r="D8474" s="121" t="n"/>
      <s:c r="E8474" s="122" t="n"/>
    </s:row>
    <s:row r="8475" hidden="1" ht="1" customHeight="1">
      <s:c r="A8475" s="120" t="inlineStr"/>
      <s:c r="B8475" s="121" t="n"/>
      <s:c r="C8475" s="121" t="n"/>
      <s:c r="D8475" s="121" t="n"/>
      <s:c r="E8475" s="122" t="n"/>
    </s:row>
    <s:row r="8476" hidden="1" ht="1" customHeight="1">
      <s:c r="A8476" s="120" t="inlineStr"/>
      <s:c r="B8476" s="121" t="n"/>
      <s:c r="C8476" s="121" t="n"/>
      <s:c r="D8476" s="121" t="n"/>
      <s:c r="E8476" s="122" t="n"/>
    </s:row>
    <s:row r="8477" hidden="1" ht="1" customHeight="1">
      <s:c r="A8477" s="120" t="inlineStr"/>
      <s:c r="B8477" s="121" t="n"/>
      <s:c r="C8477" s="121" t="n"/>
      <s:c r="D8477" s="121" t="n"/>
      <s:c r="E8477" s="122" t="n"/>
    </s:row>
    <s:row r="8478" hidden="1" ht="1" customHeight="1">
      <s:c r="A8478" s="120" t="inlineStr"/>
      <s:c r="B8478" s="121" t="n"/>
      <s:c r="C8478" s="121" t="n"/>
      <s:c r="D8478" s="121" t="n"/>
      <s:c r="E8478" s="122" t="n"/>
    </s:row>
    <s:row r="8479" hidden="1" ht="1" customHeight="1">
      <s:c r="A8479" s="120" t="inlineStr"/>
      <s:c r="B8479" s="121" t="n"/>
      <s:c r="C8479" s="121" t="n"/>
      <s:c r="D8479" s="121" t="n"/>
      <s:c r="E8479" s="122" t="n"/>
    </s:row>
    <s:row r="8480" hidden="1" ht="1" customHeight="1">
      <s:c r="A8480" s="120" t="inlineStr"/>
      <s:c r="B8480" s="121" t="n"/>
      <s:c r="C8480" s="121" t="n"/>
      <s:c r="D8480" s="121" t="n"/>
      <s:c r="E8480" s="122" t="n"/>
    </s:row>
    <s:row r="8481" hidden="1" ht="1" customHeight="1">
      <s:c r="A8481" s="120" t="inlineStr"/>
      <s:c r="B8481" s="121" t="n"/>
      <s:c r="C8481" s="121" t="n"/>
      <s:c r="D8481" s="121" t="n"/>
      <s:c r="E8481" s="122" t="n"/>
    </s:row>
    <s:row r="8482" hidden="1" ht="1" customHeight="1">
      <s:c r="A8482" s="120" t="inlineStr"/>
      <s:c r="B8482" s="121" t="n"/>
      <s:c r="C8482" s="121" t="n"/>
      <s:c r="D8482" s="121" t="n"/>
      <s:c r="E8482" s="122" t="n"/>
    </s:row>
    <s:row r="8483" hidden="1" ht="1" customHeight="1">
      <s:c r="A8483" s="120" t="inlineStr"/>
      <s:c r="B8483" s="121" t="n"/>
      <s:c r="C8483" s="121" t="n"/>
      <s:c r="D8483" s="121" t="n"/>
      <s:c r="E8483" s="122" t="n"/>
    </s:row>
    <s:row r="8484" hidden="1" ht="1" customHeight="1">
      <s:c r="A8484" s="120" t="inlineStr"/>
      <s:c r="B8484" s="121" t="n"/>
      <s:c r="C8484" s="121" t="n"/>
      <s:c r="D8484" s="121" t="n"/>
      <s:c r="E8484" s="122" t="n"/>
    </s:row>
    <s:row r="8485" hidden="1" ht="1" customHeight="1">
      <s:c r="A8485" s="120" t="inlineStr"/>
      <s:c r="B8485" s="121" t="n"/>
      <s:c r="C8485" s="121" t="n"/>
      <s:c r="D8485" s="121" t="n"/>
      <s:c r="E8485" s="122" t="n"/>
    </s:row>
    <s:row r="8486" hidden="1" ht="1" customHeight="1">
      <s:c r="A8486" s="120" t="inlineStr"/>
      <s:c r="B8486" s="121" t="n"/>
      <s:c r="C8486" s="121" t="n"/>
      <s:c r="D8486" s="121" t="n"/>
      <s:c r="E8486" s="122" t="n"/>
    </s:row>
    <s:row r="8487" hidden="1" ht="1" customHeight="1">
      <s:c r="A8487" s="120" t="inlineStr"/>
      <s:c r="B8487" s="121" t="n"/>
      <s:c r="C8487" s="121" t="n"/>
      <s:c r="D8487" s="121" t="n"/>
      <s:c r="E8487" s="122" t="n"/>
    </s:row>
    <s:row r="8488" hidden="1" ht="1" customHeight="1">
      <s:c r="A8488" s="120" t="inlineStr"/>
      <s:c r="B8488" s="121" t="n"/>
      <s:c r="C8488" s="121" t="n"/>
      <s:c r="D8488" s="121" t="n"/>
      <s:c r="E8488" s="122" t="n"/>
    </s:row>
    <s:row r="8489" hidden="1" ht="1" customHeight="1">
      <s:c r="A8489" s="120" t="inlineStr"/>
      <s:c r="B8489" s="121" t="n"/>
      <s:c r="C8489" s="121" t="n"/>
      <s:c r="D8489" s="121" t="n"/>
      <s:c r="E8489" s="122" t="n"/>
    </s:row>
    <s:row r="8490" hidden="1" ht="1" customHeight="1">
      <s:c r="A8490" s="120" t="inlineStr"/>
      <s:c r="B8490" s="121" t="n"/>
      <s:c r="C8490" s="121" t="n"/>
      <s:c r="D8490" s="121" t="n"/>
      <s:c r="E8490" s="122" t="n"/>
    </s:row>
    <s:row r="8491" hidden="1" ht="1" customHeight="1">
      <s:c r="A8491" s="120" t="inlineStr"/>
      <s:c r="B8491" s="121" t="n"/>
      <s:c r="C8491" s="121" t="n"/>
      <s:c r="D8491" s="121" t="n"/>
      <s:c r="E8491" s="122" t="n"/>
    </s:row>
    <s:row r="8492" hidden="1" ht="1" customHeight="1">
      <s:c r="A8492" s="120" t="inlineStr"/>
      <s:c r="B8492" s="121" t="n"/>
      <s:c r="C8492" s="121" t="n"/>
      <s:c r="D8492" s="121" t="n"/>
      <s:c r="E8492" s="122" t="n"/>
    </s:row>
    <s:row r="8493" hidden="1" ht="1" customHeight="1">
      <s:c r="A8493" s="120" t="inlineStr"/>
      <s:c r="B8493" s="121" t="n"/>
      <s:c r="C8493" s="121" t="n"/>
      <s:c r="D8493" s="121" t="n"/>
      <s:c r="E8493" s="122" t="n"/>
    </s:row>
    <s:row r="8494" hidden="1" ht="1" customHeight="1">
      <s:c r="A8494" s="120" t="inlineStr"/>
      <s:c r="B8494" s="121" t="n"/>
      <s:c r="C8494" s="121" t="n"/>
      <s:c r="D8494" s="121" t="n"/>
      <s:c r="E8494" s="122" t="n"/>
    </s:row>
    <s:row r="8495" hidden="1" ht="1" customHeight="1">
      <s:c r="A8495" s="120" t="inlineStr"/>
      <s:c r="B8495" s="121" t="n"/>
      <s:c r="C8495" s="121" t="n"/>
      <s:c r="D8495" s="121" t="n"/>
      <s:c r="E8495" s="122" t="n"/>
    </s:row>
    <s:row r="8496" hidden="1" ht="1" customHeight="1">
      <s:c r="A8496" s="120" t="inlineStr"/>
      <s:c r="B8496" s="121" t="n"/>
      <s:c r="C8496" s="121" t="n"/>
      <s:c r="D8496" s="121" t="n"/>
      <s:c r="E8496" s="122" t="n"/>
    </s:row>
    <s:row r="8497" hidden="1" ht="1" customHeight="1">
      <s:c r="A8497" s="120" t="inlineStr"/>
      <s:c r="B8497" s="121" t="n"/>
      <s:c r="C8497" s="121" t="n"/>
      <s:c r="D8497" s="121" t="n"/>
      <s:c r="E8497" s="122" t="n"/>
    </s:row>
    <s:row r="8498" hidden="1" ht="1" customHeight="1">
      <s:c r="A8498" s="120" t="inlineStr"/>
      <s:c r="B8498" s="121" t="n"/>
      <s:c r="C8498" s="121" t="n"/>
      <s:c r="D8498" s="121" t="n"/>
      <s:c r="E8498" s="122" t="n"/>
    </s:row>
    <s:row r="8499" hidden="1" ht="1" customHeight="1">
      <s:c r="A8499" s="120" t="inlineStr"/>
      <s:c r="B8499" s="121" t="n"/>
      <s:c r="C8499" s="121" t="n"/>
      <s:c r="D8499" s="121" t="n"/>
      <s:c r="E8499" s="122" t="n"/>
    </s:row>
    <s:row r="8500" hidden="1" ht="1" customHeight="1">
      <s:c r="A8500" s="120" t="inlineStr"/>
      <s:c r="B8500" s="121" t="n"/>
      <s:c r="C8500" s="121" t="n"/>
      <s:c r="D8500" s="121" t="n"/>
      <s:c r="E8500" s="122" t="n"/>
    </s:row>
    <s:row r="8501" hidden="1" ht="1" customHeight="1">
      <s:c r="A8501" s="120" t="inlineStr"/>
      <s:c r="B8501" s="121" t="n"/>
      <s:c r="C8501" s="121" t="n"/>
      <s:c r="D8501" s="121" t="n"/>
      <s:c r="E8501" s="122" t="n"/>
    </s:row>
    <s:row r="8502" hidden="1" ht="1" customHeight="1">
      <s:c r="A8502" s="120" t="inlineStr"/>
      <s:c r="B8502" s="121" t="n"/>
      <s:c r="C8502" s="121" t="n"/>
      <s:c r="D8502" s="121" t="n"/>
      <s:c r="E8502" s="122" t="n"/>
    </s:row>
    <s:row r="8503" hidden="1" ht="1" customHeight="1">
      <s:c r="A8503" s="120" t="inlineStr"/>
      <s:c r="B8503" s="121" t="n"/>
      <s:c r="C8503" s="121" t="n"/>
      <s:c r="D8503" s="121" t="n"/>
      <s:c r="E8503" s="122" t="n"/>
    </s:row>
    <s:row r="8504" hidden="1" ht="1" customHeight="1">
      <s:c r="A8504" s="120" t="inlineStr"/>
      <s:c r="B8504" s="121" t="n"/>
      <s:c r="C8504" s="121" t="n"/>
      <s:c r="D8504" s="121" t="n"/>
      <s:c r="E8504" s="122" t="n"/>
    </s:row>
    <s:row r="8505" hidden="1" ht="1" customHeight="1">
      <s:c r="A8505" s="83" t="inlineStr">
        <s:is>
          <s:t>PASS</s:t>
        </s:is>
      </s:c>
      <s:c r="B8505" s="83">
        <s:f>SUM(IF(EXACT('Kiểm thử'!E8455,"Đạt"),1,0))</s:f>
        <s:v/>
      </s:c>
      <s:c r="C8505" s="19" t="n"/>
      <s:c r="D8505" s="19" t="n"/>
      <s:c r="E8505" s="19" t="n"/>
    </s:row>
    <s:row r="8506" hidden="1" ht="1" customHeight="1">
      <s:c r="A8506" s="83" t="inlineStr">
        <s:is>
          <s:t>FAIL</s:t>
        </s:is>
      </s:c>
      <s:c r="B8506" s="83">
        <s:f>SUM(IF(EXACT('Kiểm thử'!E8455,"Không đạt"),1,0))</s:f>
        <s:v/>
      </s:c>
      <s:c r="C8506" s="19" t="n"/>
      <s:c r="D8506" s="19" t="n"/>
      <s:c r="E8506" s="19" t="n"/>
    </s:row>
    <s:row r="8507" hidden="1" ht="1" customHeight="1">
      <s:c r="A8507" s="83" t="inlineStr">
        <s:is>
          <s:t>BLOCKED</s:t>
        </s:is>
      </s:c>
      <s:c r="B8507" s="83">
        <s:f>SUM(IF(EXACT('Kiểm thử'!E8455,"Bị chặn"),1,0))</s:f>
        <s:v/>
      </s:c>
      <s:c r="C8507" s="19" t="n"/>
      <s:c r="D8507" s="19" t="n"/>
      <s:c r="E8507" s="19" t="n"/>
    </s:row>
    <s:row r="8508" hidden="1" ht="1" customHeight="1">
      <s:c r="A8508" s="83" t="inlineStr">
        <s:is>
          <s:t>SKIPPED</s:t>
        </s:is>
      </s:c>
      <s:c r="B8508" s="83">
        <s:f>SUM(IF(EXACT('Kiểm thử'!E8455,"Không thực hiện"),1,0))</s:f>
        <s:v/>
      </s:c>
      <s:c r="C8508" s="19" t="n"/>
      <s:c r="D8508" s="19" t="n"/>
      <s:c r="E8508" s="19" t="n"/>
    </s:row>
    <s:row r="8509" hidden="1" ht="1" customHeight="1">
      <s:c r="A8509" s="83" t="inlineStr">
        <s:is>
          <s:t>NOT RUN</s:t>
        </s:is>
      </s:c>
      <s:c r="B8509" s="83">
        <s:f>SUM(IF(EXACT('Kiểm thử'!E8455,"Chưa thực hiện"),1,0))</s:f>
        <s:v/>
      </s:c>
      <s:c r="C8509" s="19" t="n"/>
      <s:c r="D8509" s="19" t="n"/>
      <s:c r="E8509" s="19" t="n"/>
    </s:row>
    <s:row r="8510" hidden="1" ht="6" customHeight="1">
      <s:c r="A8510" s="83" t="inlineStr"/>
      <s:c r="B8510" s="19" t="n"/>
      <s:c r="C8510" s="19" t="n"/>
      <s:c r="D8510" s="19" t="n"/>
      <s:c r="E8510" s="19" t="n"/>
    </s:row>
    <s:row r="8511" ht="28" customHeight="1">
      <s:c r="A8511" s="108" t="inlineStr">
        <s:is>
          <s:t>TC-RS-CALC-015 — Công thức hai dòng theo Figma: (A÷2)×0.8, dòng 1 làm tròn xuống</s:t>
        </s:is>
      </s:c>
      <s:c r="B8511" s="111" t="n"/>
      <s:c r="C8511" s="111" t="n"/>
      <s:c r="D8511" s="111" t="n"/>
      <s:c r="E8511" s="111" t="n"/>
    </s:row>
    <s:row r="8512" ht="20" customHeight="1">
      <s:c r="A8512" s="112" t="inlineStr">
        <s:is>
          <s:t>Kết quả tình huống</s:t>
        </s:is>
      </s:c>
      <s:c r="B8512" s="113">
        <s:f>IF(SUM(IF(EXACT('Kiểm thử'!E8521,"Không đạt"),1,0),IF(EXACT('Kiểm thử'!E8523,"Không đạt"),1,0),IF(EXACT('Kiểm thử'!E8525,"Không đạt"),1,0))&gt;0,"Không đạt",IF(SUM(IF(EXACT('Kiểm thử'!E8521,"Đạt"),1,0),IF(EXACT('Kiểm thử'!E8523,"Đạt"),1,0),IF(EXACT('Kiểm thử'!E8525,"Đạt"),1,0))=3,"Đạt",IF(SUM(IF(EXACT('Kiểm thử'!E8521,"Không thực hiện"),1,0),IF(EXACT('Kiểm thử'!E8523,"Không thực hiện"),1,0),IF(EXACT('Kiểm thử'!E8525,"Không thực hiện"),1,0))=3,"Không thực hiện",IF(SUM(IF(EXACT('Kiểm thử'!E8521,"Bị chặn"),1,0),IF(EXACT('Kiểm thử'!E8523,"Bị chặn"),1,0),IF(EXACT('Kiểm thử'!E8525,"Bị chặn"),1,0))&gt;0,"Bị chặn",IF(SUM(IF(EXACT('Kiểm thử'!E8521,"Chưa thực hiện"),1,0),IF(EXACT('Kiểm thử'!E8523,"Chưa thực hiện"),1,0),IF(EXACT('Kiểm thử'!E8525,"Chưa thực hiện"),1,0))=3,"Chưa thực hiện","Đang thực hiện")))))</s:f>
        <s:v/>
      </s:c>
      <s:c r="C8512" s="114" t="n"/>
      <s:c r="D8512" s="114" t="n"/>
      <s:c r="E8512" s="114" t="n"/>
    </s:row>
    <s:row r="8513" ht="20" customHeight="1">
      <s:c r="A8513" s="112" t="inlineStr">
        <s:is>
          <s:t>Màn hình / chức năng</s:t>
        </s:is>
      </s:c>
      <s:c r="B8513" s="113" t="inlineStr">
        <s:is>
          <s:r>
            <s:rPr>
              <s:b val="1"/>
            </s:rPr>
            <s:t>Thiết lập ngưỡng（基準設定）</s:t>
          </s:r>
        </s:is>
      </s:c>
      <s:c r="C8513" s="28" t="n"/>
      <s:c r="D8513" s="28" t="n"/>
      <s:c r="E8513" s="28" t="n"/>
    </s:row>
    <s:row r="8514" ht="62" customHeight="1">
      <s:c r="A8514" s="112" t="inlineStr">
        <s:is>
          <s:t>Cấu hình</s:t>
        </s:is>
      </s:c>
      <s:c r="B8514" s="113" t="inlineStr">
        <s:is>
          <s:r>
            <s:t>• Giáo viên có quyền sửa thiết lập;
• Dùng mục số thập phân TD-ITEM-02 ([</s:t>
          </s:r>
          <s:r>
            <s:rPr>
              <s:b val="1"/>
            </s:rPr>
            <s:t>M=100</s:t>
          </s:r>
          <s:r>
            <s:t>]) trong lớp fixture duy nhất TD-GRP-05;
• Ba học sinh C15-P1/P2/P3 cùng thuộc phạm vi rule và nguồn trung bình TD-SRC-25;
• Chưa có kết quả đỏ cũ.</s:t>
          </s:r>
        </s:is>
      </s:c>
      <s:c r="C8514" s="28" t="n"/>
      <s:c r="D8514" s="28" t="n"/>
      <s:c r="E8514" s="28" t="n"/>
    </s:row>
    <s:row r="8515" ht="48" customHeight="1">
      <s:c r="A8515" s="112" t="inlineStr">
        <s:is>
          <s:t>Dữ liệu test</s:t>
        </s:is>
      </s:c>
      <s:c r="B8515" s="113" t="inlineStr">
        <s:is>
          <s:r>
            <s:t>• C15-P1 có [</s:t>
          </s:r>
          <s:r>
            <s:rPr>
              <s:b val="1"/>
            </s:rPr>
            <s:t>S=23.9</s:t>
          </s:r>
          <s:r>
            <s:t>], C15-P2 có [</s:t>
          </s:r>
          <s:r>
            <s:rPr>
              <s:b val="1"/>
            </s:rPr>
            <s:t>S=24</s:t>
          </s:r>
          <s:r>
            <s:t>], C15-P3 có [</s:t>
          </s:r>
          <s:r>
            <s:rPr>
              <s:b val="1"/>
            </s:rPr>
            <s:t>S=24.4</s:t>
          </s:r>
          <s:r>
            <s:t>];
• Nguồn reader phải trả [</s:t>
          </s:r>
          <s:r>
            <s:rPr>
              <s:b val="1"/>
            </s:rPr>
            <s:t>A=61</s:t>
          </s:r>
          <s:r>
            <s:t>];
• Quy tắc hai dòng [(A÷2)×0.8].</s:t>
          </s:r>
        </s:is>
      </s:c>
      <s:c r="C8515" s="28" t="n"/>
      <s:c r="D8515" s="28" t="n"/>
      <s:c r="E8515" s="28" t="n"/>
    </s:row>
    <s:row r="8516" ht="48" customHeight="1">
      <s:c r="A8516" s="112" t="inlineStr">
        <s:is>
          <s:t>Bước 1</s:t>
        </s:is>
      </s:c>
      <s:c r="B8516" s="113" t="inlineStr">
        <s:is>
          <s:r>
            <s:t xml:space="preserve">Tạo dòng 1 [A÷2]; chọn chữ số </s:t>
          </s:r>
          <s:r>
            <s:rPr>
              <s:b val="1"/>
            </s:rPr>
            <s:t>thập phân thứ 1（小数第1位）</s:t>
          </s:r>
          <s:r>
            <s:t xml:space="preserve"> </s:t>
          </s:r>
          <s:r>
            <s:rPr>
              <s:b val="1"/>
            </s:rPr>
            <s:t>và Làm tròn xuống（切り捨て）</s:t>
          </s:r>
          <s:r>
            <s:t xml:space="preserve">, tức kết quả dòng 1 được đưa về số nguyên. Tạo dòng 2 [kết quả dòng trước×0.8] và chọn không </s:t>
          </s:r>
          <s:r>
            <s:rPr>
              <s:b val="1"/>
            </s:rPr>
            <s:t>xử lý phần lẻ（しない）</s:t>
          </s:r>
          <s:r>
            <s:t>.</s:t>
          </s:r>
        </s:is>
      </s:c>
      <s:c r="C8516" s="28" t="n"/>
      <s:c r="D8516" s="28" t="n"/>
      <s:c r="E8516" s="28" t="n"/>
    </s:row>
    <s:row r="8517" ht="34" customHeight="1">
      <s:c r="A8517" s="112" t="inlineStr">
        <s:is>
          <s:t>Bước 2</s:t>
        </s:is>
      </s:c>
      <s:c r="B8517" s="113" t="inlineStr">
        <s:is>
          <s:r>
            <s:t>Xác nhận TD-SRC-25/reader trả [</s:t>
          </s:r>
          <s:r>
            <s:rPr>
              <s:b val="1"/>
            </s:rPr>
            <s:t>A=61</s:t>
          </s:r>
          <s:r>
            <s:t>]; chạy trong đúng lớp TD-GRP-05 với C15-P1/P2/P3 cho hai biến thể dấu [&lt;] và [≤], không đổi nguồn hoặc cách làm tròn.</s:t>
          </s:r>
        </s:is>
      </s:c>
      <s:c r="C8517" s="28" t="n"/>
      <s:c r="D8517" s="28" t="n"/>
      <s:c r="E8517" s="28" t="n"/>
    </s:row>
    <s:row r="8518" ht="20" customHeight="1">
      <s:c r="A8518" s="112" t="inlineStr">
        <s:is>
          <s:t>Bước 3</s:t>
        </s:is>
      </s:c>
      <s:c r="B8518" s="113" t="inlineStr">
        <s:is>
          <s:t>Mở lại cấu hình và đối chiếu kết quả của C15-P1/P2/P3.</s:t>
        </s:is>
      </s:c>
      <s:c r="C8518" s="28" t="n"/>
      <s:c r="D8518" s="28" t="n"/>
      <s:c r="E8518" s="28" t="n"/>
    </s:row>
    <s:row r="8519" ht="28" customHeight="1">
      <s:c r="A8519" s="115" t="inlineStr">
        <s:is>
          <s:t>Trường hợp</s:t>
        </s:is>
      </s:c>
      <s:c r="B8519" s="115" t="inlineStr">
        <s:is>
          <s:t>Dữ liệu / thao tác riêng</s:t>
        </s:is>
      </s:c>
      <s:c r="C8519" s="115" t="inlineStr">
        <s:is>
          <s:t>Kết quả mong đợi</s:t>
        </s:is>
      </s:c>
      <s:c r="D8519" s="115" t="inlineStr">
        <s:is>
          <s:t>Kết quả thực tế</s:t>
        </s:is>
      </s:c>
      <s:c r="E8519" s="115" t="inlineStr">
        <s:is>
          <s:t>Đánh giá</s:t>
        </s:is>
      </s:c>
    </s:row>
    <s:row r="8520" ht="3" customHeight="1">
      <s:c r="A8520" s="102" t="inlineStr"/>
      <s:c r="B8520" s="99" t="n"/>
      <s:c r="C8520" s="99" t="n"/>
      <s:c r="D8520" s="116" t="n"/>
      <s:c r="E8520" s="116" t="n"/>
    </s:row>
    <s:row r="8521" ht="160" customHeight="1">
      <s:c r="A8521" s="83" t="inlineStr">
        <s:is>
          <s:t>Nhỏ hơn (less-than)</s:t>
        </s:is>
      </s:c>
      <s:c r="B8521" s="83" t="inlineStr">
        <s:is>
          <s:r>
            <s:t xml:space="preserve">TD-SRC-25 reader </s:t>
          </s:r>
          <s:r>
            <s:rPr>
              <s:b val="1"/>
            </s:rPr>
            <s:t>A=61</s:t>
          </s:r>
          <s:r>
            <s:t>; TD-GRP-05/C15-P1=23.9, C15-P2=24, C15-P3=24.4. Xét dấu &lt;, giữ dòng 1 làm tròn xuống ở chữ số thập phân thứ 1 và dòng 2 không xử lý phần lẻ.</s:t>
          </s:r>
        </s:is>
      </s:c>
      <s:c r="C8521" s="83" t="inlineStr">
        <s:is>
          <s:r>
            <s:t>Dòng 1 [61÷2=30.5] làm tròn xuống thành [30]; dòng 2 [30×0.8=24], nên oracle cố định là [</s:t>
          </s:r>
          <s:r>
            <s:rPr>
              <s:b val="1"/>
            </s:rPr>
            <s:t>T=24</s:t>
          </s:r>
          <s:r>
            <s:t xml:space="preserve">].
Với &lt;: C15-P1=23.9 </s:t>
          </s:r>
          <s:r>
            <s:rPr>
              <s:b val="1"/>
            </s:rPr>
            <s:t>Đỏ</s:t>
          </s:r>
          <s:r>
            <s:t xml:space="preserve">; C15-P2=24 </s:t>
          </s:r>
          <s:r>
            <s:rPr>
              <s:b val="1"/>
            </s:rPr>
            <s:t>Không đỏ</s:t>
          </s:r>
          <s:r>
            <s:t xml:space="preserve">; C15-P3=24.4 </s:t>
          </s:r>
          <s:r>
            <s:rPr>
              <s:b val="1"/>
            </s:rPr>
            <s:t>Không đỏ</s:t>
          </s:r>
          <s:r>
            <s:t>.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s:t>
          </s:r>
        </s:is>
      </s:c>
      <s:c r="D8521" s="117" t="inlineStr"/>
      <s:c r="E8521" s="118" t="inlineStr">
        <s:is>
          <s:t>Chưa thực hiện</s:t>
        </s:is>
      </s:c>
    </s:row>
    <s:row r="8522" ht="3" customHeight="1">
      <s:c r="A8522" s="102" t="inlineStr"/>
      <s:c r="B8522" s="99" t="n"/>
      <s:c r="C8522" s="99" t="n"/>
      <s:c r="D8522" s="116" t="n"/>
      <s:c r="E8522" s="116" t="n"/>
    </s:row>
    <s:row r="8523" ht="160" customHeight="1">
      <s:c r="A8523" s="83" t="inlineStr">
        <s:is>
          <s:t>Nhỏ hơn hoặc bằng (less-or-equal)</s:t>
        </s:is>
      </s:c>
      <s:c r="B8523" s="83" t="inlineStr">
        <s:is>
          <s:r>
            <s:t xml:space="preserve">TD-SRC-25 reader </s:t>
          </s:r>
          <s:r>
            <s:rPr>
              <s:b val="1"/>
            </s:rPr>
            <s:t>A=61</s:t>
          </s:r>
          <s:r>
            <s:t>; TD-GRP-05/C15-P1=23.9, C15-P2=24, C15-P3=24.4. Xét dấu ≤, giữ dòng 1 làm tròn xuống ở chữ số thập phân thứ 1 và dòng 2 không xử lý phần lẻ.</s:t>
          </s:r>
        </s:is>
      </s:c>
      <s:c r="C8523" s="83" t="inlineStr">
        <s:is>
          <s:r>
            <s:t>Dòng 1 [61÷2=30.5] làm tròn xuống thành [30]; dòng 2 [30×0.8=24], nên oracle cố định là [</s:t>
          </s:r>
          <s:r>
            <s:rPr>
              <s:b val="1"/>
            </s:rPr>
            <s:t>T=24</s:t>
          </s:r>
          <s:r>
            <s:t xml:space="preserve">].
Với ≤: C15-P1=23.9 </s:t>
          </s:r>
          <s:r>
            <s:rPr>
              <s:b val="1"/>
            </s:rPr>
            <s:t>Đỏ</s:t>
          </s:r>
          <s:r>
            <s:t xml:space="preserve">; C15-P2=24 </s:t>
          </s:r>
          <s:r>
            <s:rPr>
              <s:b val="1"/>
            </s:rPr>
            <s:t>Đỏ</s:t>
          </s:r>
          <s:r>
            <s:t xml:space="preserve">; C15-P3=24.4 </s:t>
          </s:r>
          <s:r>
            <s:rPr>
              <s:b val="1"/>
            </s:rPr>
            <s:t>Không đỏ</s:t>
          </s:r>
          <s:r>
            <s:t>.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s:t>
          </s:r>
        </s:is>
      </s:c>
      <s:c r="D8523" s="117" t="inlineStr"/>
      <s:c r="E8523" s="118" t="inlineStr">
        <s:is>
          <s:t>Chưa thực hiện</s:t>
        </s:is>
      </s:c>
    </s:row>
    <s:row r="8524" ht="3" customHeight="1">
      <s:c r="A8524" s="102" t="inlineStr"/>
      <s:c r="B8524" s="99" t="n"/>
      <s:c r="C8524" s="99" t="n"/>
      <s:c r="D8524" s="116" t="n"/>
      <s:c r="E8524" s="116" t="n"/>
    </s:row>
    <s:row r="8525" ht="216" customHeight="1">
      <s:c r="A8525" s="83" t="inlineStr">
        <s:is>
          <s:t>Giữ cấu hình khi mở lại (reopen-summary)</s:t>
        </s:is>
      </s:c>
      <s:c r="B8525" s="83" t="inlineStr">
        <s:is>
          <s:r>
            <s:t xml:space="preserve">Sau từng lượt dấu &lt;/≤, mở lại quy tắc hai dòng (A÷2)×0.8 và phần tóm tắt; đối chiếu source </s:t>
          </s:r>
          <s:r>
            <s:rPr>
              <s:b val="1"/>
            </s:rPr>
            <s:t>A=61</s:t>
          </s:r>
          <s:r>
            <s:t xml:space="preserve"> và vị trí làm tròn.</s:t>
          </s:r>
        </s:is>
      </s:c>
      <s:c r="C8525" s="83" t="inlineStr">
        <s:is>
          <s:r>
            <s:t>Dòng 1 [61÷2=30.5] làm tròn xuống thành [30]; dòng 2 [30×0.8=24], nên oracle cố định là [</s:t>
          </s:r>
          <s:r>
            <s:rPr>
              <s:b val="1"/>
            </s:rPr>
            <s:t>T=24</s:t>
          </s:r>
          <s:r>
            <s:t xml:space="preserve">].
- Với dấu [&lt;]: C15-P1=[23.9] </s:t>
          </s:r>
          <s:r>
            <s:rPr>
              <s:b val="1"/>
            </s:rPr>
            <s:t>Đỏ</s:t>
          </s:r>
          <s:r>
            <s:t xml:space="preserve">; C15-P2=[24] </s:t>
          </s:r>
          <s:r>
            <s:rPr>
              <s:b val="1"/>
            </s:rPr>
            <s:t>Không đỏ</s:t>
          </s:r>
          <s:r>
            <s:t xml:space="preserve">; C15-P3=[24.4] </s:t>
          </s:r>
          <s:r>
            <s:rPr>
              <s:b val="1"/>
            </s:rPr>
            <s:t>Không đỏ</s:t>
          </s:r>
          <s:r>
            <s:t xml:space="preserve">.
- Với dấu [≤]: C15-P1=[23.9] </s:t>
          </s:r>
          <s:r>
            <s:rPr>
              <s:b val="1"/>
            </s:rPr>
            <s:t>Đỏ</s:t>
          </s:r>
          <s:r>
            <s:t xml:space="preserve">; C15-P2=[24] </s:t>
          </s:r>
          <s:r>
            <s:rPr>
              <s:b val="1"/>
            </s:rPr>
            <s:t>Đỏ</s:t>
          </s:r>
          <s:r>
            <s:t xml:space="preserve">; C15-P3=[24.4] </s:t>
          </s:r>
          <s:r>
            <s:rPr>
              <s:b val="1"/>
            </s:rPr>
            <s:t>Không đỏ</s:t>
          </s:r>
          <s:r>
            <s:t>.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s:t>
          </s:r>
        </s:is>
      </s:c>
      <s:c r="D8525" s="117" t="inlineStr"/>
      <s:c r="E8525" s="118" t="inlineStr">
        <s:is>
          <s:t>Chưa thực hiện</s:t>
        </s:is>
      </s:c>
    </s:row>
    <s:row r="8526" ht="20" customHeight="1">
      <s:c r="A8526" s="119" t="inlineStr">
        <s:is>
          <s:t>Ảnh minh chứng — Chưa có ảnh</s:t>
        </s:is>
      </s:c>
      <s:c r="B8526" s="19" t="n"/>
      <s:c r="C8526" s="19" t="n"/>
      <s:c r="D8526" s="19" t="n"/>
      <s:c r="E8526" s="19" t="n"/>
    </s:row>
    <s:row r="8527" hidden="1" ht="1" customHeight="1">
      <s:c r="A8527" s="120" t="inlineStr"/>
      <s:c r="B8527" s="121" t="n"/>
      <s:c r="C8527" s="121" t="n"/>
      <s:c r="D8527" s="121" t="n"/>
      <s:c r="E8527" s="122" t="n"/>
    </s:row>
    <s:row r="8528" hidden="1" ht="1" customHeight="1">
      <s:c r="A8528" s="120" t="inlineStr"/>
      <s:c r="B8528" s="121" t="n"/>
      <s:c r="C8528" s="121" t="n"/>
      <s:c r="D8528" s="121" t="n"/>
      <s:c r="E8528" s="122" t="n"/>
    </s:row>
    <s:row r="8529" hidden="1" ht="1" customHeight="1">
      <s:c r="A8529" s="120" t="inlineStr"/>
      <s:c r="B8529" s="121" t="n"/>
      <s:c r="C8529" s="121" t="n"/>
      <s:c r="D8529" s="121" t="n"/>
      <s:c r="E8529" s="122" t="n"/>
    </s:row>
    <s:row r="8530" hidden="1" ht="1" customHeight="1">
      <s:c r="A8530" s="120" t="inlineStr"/>
      <s:c r="B8530" s="121" t="n"/>
      <s:c r="C8530" s="121" t="n"/>
      <s:c r="D8530" s="121" t="n"/>
      <s:c r="E8530" s="122" t="n"/>
    </s:row>
    <s:row r="8531" hidden="1" ht="1" customHeight="1">
      <s:c r="A8531" s="120" t="inlineStr"/>
      <s:c r="B8531" s="121" t="n"/>
      <s:c r="C8531" s="121" t="n"/>
      <s:c r="D8531" s="121" t="n"/>
      <s:c r="E8531" s="122" t="n"/>
    </s:row>
    <s:row r="8532" hidden="1" ht="1" customHeight="1">
      <s:c r="A8532" s="120" t="inlineStr"/>
      <s:c r="B8532" s="121" t="n"/>
      <s:c r="C8532" s="121" t="n"/>
      <s:c r="D8532" s="121" t="n"/>
      <s:c r="E8532" s="122" t="n"/>
    </s:row>
    <s:row r="8533" hidden="1" ht="1" customHeight="1">
      <s:c r="A8533" s="120" t="inlineStr"/>
      <s:c r="B8533" s="121" t="n"/>
      <s:c r="C8533" s="121" t="n"/>
      <s:c r="D8533" s="121" t="n"/>
      <s:c r="E8533" s="122" t="n"/>
    </s:row>
    <s:row r="8534" hidden="1" ht="1" customHeight="1">
      <s:c r="A8534" s="120" t="inlineStr"/>
      <s:c r="B8534" s="121" t="n"/>
      <s:c r="C8534" s="121" t="n"/>
      <s:c r="D8534" s="121" t="n"/>
      <s:c r="E8534" s="122" t="n"/>
    </s:row>
    <s:row r="8535" hidden="1" ht="1" customHeight="1">
      <s:c r="A8535" s="120" t="inlineStr"/>
      <s:c r="B8535" s="121" t="n"/>
      <s:c r="C8535" s="121" t="n"/>
      <s:c r="D8535" s="121" t="n"/>
      <s:c r="E8535" s="122" t="n"/>
    </s:row>
    <s:row r="8536" hidden="1" ht="1" customHeight="1">
      <s:c r="A8536" s="120" t="inlineStr"/>
      <s:c r="B8536" s="121" t="n"/>
      <s:c r="C8536" s="121" t="n"/>
      <s:c r="D8536" s="121" t="n"/>
      <s:c r="E8536" s="122" t="n"/>
    </s:row>
    <s:row r="8537" hidden="1" ht="1" customHeight="1">
      <s:c r="A8537" s="120" t="inlineStr"/>
      <s:c r="B8537" s="121" t="n"/>
      <s:c r="C8537" s="121" t="n"/>
      <s:c r="D8537" s="121" t="n"/>
      <s:c r="E8537" s="122" t="n"/>
    </s:row>
    <s:row r="8538" hidden="1" ht="1" customHeight="1">
      <s:c r="A8538" s="120" t="inlineStr"/>
      <s:c r="B8538" s="121" t="n"/>
      <s:c r="C8538" s="121" t="n"/>
      <s:c r="D8538" s="121" t="n"/>
      <s:c r="E8538" s="122" t="n"/>
    </s:row>
    <s:row r="8539" hidden="1" ht="1" customHeight="1">
      <s:c r="A8539" s="120" t="inlineStr"/>
      <s:c r="B8539" s="121" t="n"/>
      <s:c r="C8539" s="121" t="n"/>
      <s:c r="D8539" s="121" t="n"/>
      <s:c r="E8539" s="122" t="n"/>
    </s:row>
    <s:row r="8540" hidden="1" ht="1" customHeight="1">
      <s:c r="A8540" s="120" t="inlineStr"/>
      <s:c r="B8540" s="121" t="n"/>
      <s:c r="C8540" s="121" t="n"/>
      <s:c r="D8540" s="121" t="n"/>
      <s:c r="E8540" s="122" t="n"/>
    </s:row>
    <s:row r="8541" hidden="1" ht="1" customHeight="1">
      <s:c r="A8541" s="120" t="inlineStr"/>
      <s:c r="B8541" s="121" t="n"/>
      <s:c r="C8541" s="121" t="n"/>
      <s:c r="D8541" s="121" t="n"/>
      <s:c r="E8541" s="122" t="n"/>
    </s:row>
    <s:row r="8542" hidden="1" ht="1" customHeight="1">
      <s:c r="A8542" s="120" t="inlineStr"/>
      <s:c r="B8542" s="121" t="n"/>
      <s:c r="C8542" s="121" t="n"/>
      <s:c r="D8542" s="121" t="n"/>
      <s:c r="E8542" s="122" t="n"/>
    </s:row>
    <s:row r="8543" hidden="1" ht="1" customHeight="1">
      <s:c r="A8543" s="120" t="inlineStr"/>
      <s:c r="B8543" s="121" t="n"/>
      <s:c r="C8543" s="121" t="n"/>
      <s:c r="D8543" s="121" t="n"/>
      <s:c r="E8543" s="122" t="n"/>
    </s:row>
    <s:row r="8544" hidden="1" ht="1" customHeight="1">
      <s:c r="A8544" s="120" t="inlineStr"/>
      <s:c r="B8544" s="121" t="n"/>
      <s:c r="C8544" s="121" t="n"/>
      <s:c r="D8544" s="121" t="n"/>
      <s:c r="E8544" s="122" t="n"/>
    </s:row>
    <s:row r="8545" hidden="1" ht="1" customHeight="1">
      <s:c r="A8545" s="120" t="inlineStr"/>
      <s:c r="B8545" s="121" t="n"/>
      <s:c r="C8545" s="121" t="n"/>
      <s:c r="D8545" s="121" t="n"/>
      <s:c r="E8545" s="122" t="n"/>
    </s:row>
    <s:row r="8546" hidden="1" ht="1" customHeight="1">
      <s:c r="A8546" s="120" t="inlineStr"/>
      <s:c r="B8546" s="121" t="n"/>
      <s:c r="C8546" s="121" t="n"/>
      <s:c r="D8546" s="121" t="n"/>
      <s:c r="E8546" s="122" t="n"/>
    </s:row>
    <s:row r="8547" hidden="1" ht="1" customHeight="1">
      <s:c r="A8547" s="120" t="inlineStr"/>
      <s:c r="B8547" s="121" t="n"/>
      <s:c r="C8547" s="121" t="n"/>
      <s:c r="D8547" s="121" t="n"/>
      <s:c r="E8547" s="122" t="n"/>
    </s:row>
    <s:row r="8548" hidden="1" ht="1" customHeight="1">
      <s:c r="A8548" s="120" t="inlineStr"/>
      <s:c r="B8548" s="121" t="n"/>
      <s:c r="C8548" s="121" t="n"/>
      <s:c r="D8548" s="121" t="n"/>
      <s:c r="E8548" s="122" t="n"/>
    </s:row>
    <s:row r="8549" hidden="1" ht="1" customHeight="1">
      <s:c r="A8549" s="120" t="inlineStr"/>
      <s:c r="B8549" s="121" t="n"/>
      <s:c r="C8549" s="121" t="n"/>
      <s:c r="D8549" s="121" t="n"/>
      <s:c r="E8549" s="122" t="n"/>
    </s:row>
    <s:row r="8550" hidden="1" ht="1" customHeight="1">
      <s:c r="A8550" s="120" t="inlineStr"/>
      <s:c r="B8550" s="121" t="n"/>
      <s:c r="C8550" s="121" t="n"/>
      <s:c r="D8550" s="121" t="n"/>
      <s:c r="E8550" s="122" t="n"/>
    </s:row>
    <s:row r="8551" hidden="1" ht="1" customHeight="1">
      <s:c r="A8551" s="120" t="inlineStr"/>
      <s:c r="B8551" s="121" t="n"/>
      <s:c r="C8551" s="121" t="n"/>
      <s:c r="D8551" s="121" t="n"/>
      <s:c r="E8551" s="122" t="n"/>
    </s:row>
    <s:row r="8552" hidden="1" ht="1" customHeight="1">
      <s:c r="A8552" s="120" t="inlineStr"/>
      <s:c r="B8552" s="121" t="n"/>
      <s:c r="C8552" s="121" t="n"/>
      <s:c r="D8552" s="121" t="n"/>
      <s:c r="E8552" s="122" t="n"/>
    </s:row>
    <s:row r="8553" hidden="1" ht="1" customHeight="1">
      <s:c r="A8553" s="120" t="inlineStr"/>
      <s:c r="B8553" s="121" t="n"/>
      <s:c r="C8553" s="121" t="n"/>
      <s:c r="D8553" s="121" t="n"/>
      <s:c r="E8553" s="122" t="n"/>
    </s:row>
    <s:row r="8554" hidden="1" ht="1" customHeight="1">
      <s:c r="A8554" s="120" t="inlineStr"/>
      <s:c r="B8554" s="121" t="n"/>
      <s:c r="C8554" s="121" t="n"/>
      <s:c r="D8554" s="121" t="n"/>
      <s:c r="E8554" s="122" t="n"/>
    </s:row>
    <s:row r="8555" hidden="1" ht="1" customHeight="1">
      <s:c r="A8555" s="120" t="inlineStr"/>
      <s:c r="B8555" s="121" t="n"/>
      <s:c r="C8555" s="121" t="n"/>
      <s:c r="D8555" s="121" t="n"/>
      <s:c r="E8555" s="122" t="n"/>
    </s:row>
    <s:row r="8556" hidden="1" ht="1" customHeight="1">
      <s:c r="A8556" s="120" t="inlineStr"/>
      <s:c r="B8556" s="121" t="n"/>
      <s:c r="C8556" s="121" t="n"/>
      <s:c r="D8556" s="121" t="n"/>
      <s:c r="E8556" s="122" t="n"/>
    </s:row>
    <s:row r="8557" hidden="1" ht="1" customHeight="1">
      <s:c r="A8557" s="120" t="inlineStr"/>
      <s:c r="B8557" s="121" t="n"/>
      <s:c r="C8557" s="121" t="n"/>
      <s:c r="D8557" s="121" t="n"/>
      <s:c r="E8557" s="122" t="n"/>
    </s:row>
    <s:row r="8558" hidden="1" ht="1" customHeight="1">
      <s:c r="A8558" s="120" t="inlineStr"/>
      <s:c r="B8558" s="121" t="n"/>
      <s:c r="C8558" s="121" t="n"/>
      <s:c r="D8558" s="121" t="n"/>
      <s:c r="E8558" s="122" t="n"/>
    </s:row>
    <s:row r="8559" hidden="1" ht="1" customHeight="1">
      <s:c r="A8559" s="120" t="inlineStr"/>
      <s:c r="B8559" s="121" t="n"/>
      <s:c r="C8559" s="121" t="n"/>
      <s:c r="D8559" s="121" t="n"/>
      <s:c r="E8559" s="122" t="n"/>
    </s:row>
    <s:row r="8560" hidden="1" ht="1" customHeight="1">
      <s:c r="A8560" s="120" t="inlineStr"/>
      <s:c r="B8560" s="121" t="n"/>
      <s:c r="C8560" s="121" t="n"/>
      <s:c r="D8560" s="121" t="n"/>
      <s:c r="E8560" s="122" t="n"/>
    </s:row>
    <s:row r="8561" hidden="1" ht="1" customHeight="1">
      <s:c r="A8561" s="120" t="inlineStr"/>
      <s:c r="B8561" s="121" t="n"/>
      <s:c r="C8561" s="121" t="n"/>
      <s:c r="D8561" s="121" t="n"/>
      <s:c r="E8561" s="122" t="n"/>
    </s:row>
    <s:row r="8562" hidden="1" ht="1" customHeight="1">
      <s:c r="A8562" s="120" t="inlineStr"/>
      <s:c r="B8562" s="121" t="n"/>
      <s:c r="C8562" s="121" t="n"/>
      <s:c r="D8562" s="121" t="n"/>
      <s:c r="E8562" s="122" t="n"/>
    </s:row>
    <s:row r="8563" hidden="1" ht="1" customHeight="1">
      <s:c r="A8563" s="120" t="inlineStr"/>
      <s:c r="B8563" s="121" t="n"/>
      <s:c r="C8563" s="121" t="n"/>
      <s:c r="D8563" s="121" t="n"/>
      <s:c r="E8563" s="122" t="n"/>
    </s:row>
    <s:row r="8564" hidden="1" ht="1" customHeight="1">
      <s:c r="A8564" s="120" t="inlineStr"/>
      <s:c r="B8564" s="121" t="n"/>
      <s:c r="C8564" s="121" t="n"/>
      <s:c r="D8564" s="121" t="n"/>
      <s:c r="E8564" s="122" t="n"/>
    </s:row>
    <s:row r="8565" hidden="1" ht="1" customHeight="1">
      <s:c r="A8565" s="120" t="inlineStr"/>
      <s:c r="B8565" s="121" t="n"/>
      <s:c r="C8565" s="121" t="n"/>
      <s:c r="D8565" s="121" t="n"/>
      <s:c r="E8565" s="122" t="n"/>
    </s:row>
    <s:row r="8566" hidden="1" ht="1" customHeight="1">
      <s:c r="A8566" s="120" t="inlineStr"/>
      <s:c r="B8566" s="121" t="n"/>
      <s:c r="C8566" s="121" t="n"/>
      <s:c r="D8566" s="121" t="n"/>
      <s:c r="E8566" s="122" t="n"/>
    </s:row>
    <s:row r="8567" hidden="1" ht="1" customHeight="1">
      <s:c r="A8567" s="120" t="inlineStr"/>
      <s:c r="B8567" s="121" t="n"/>
      <s:c r="C8567" s="121" t="n"/>
      <s:c r="D8567" s="121" t="n"/>
      <s:c r="E8567" s="122" t="n"/>
    </s:row>
    <s:row r="8568" hidden="1" ht="1" customHeight="1">
      <s:c r="A8568" s="120" t="inlineStr"/>
      <s:c r="B8568" s="121" t="n"/>
      <s:c r="C8568" s="121" t="n"/>
      <s:c r="D8568" s="121" t="n"/>
      <s:c r="E8568" s="122" t="n"/>
    </s:row>
    <s:row r="8569" hidden="1" ht="1" customHeight="1">
      <s:c r="A8569" s="120" t="inlineStr"/>
      <s:c r="B8569" s="121" t="n"/>
      <s:c r="C8569" s="121" t="n"/>
      <s:c r="D8569" s="121" t="n"/>
      <s:c r="E8569" s="122" t="n"/>
    </s:row>
    <s:row r="8570" hidden="1" ht="1" customHeight="1">
      <s:c r="A8570" s="120" t="inlineStr"/>
      <s:c r="B8570" s="121" t="n"/>
      <s:c r="C8570" s="121" t="n"/>
      <s:c r="D8570" s="121" t="n"/>
      <s:c r="E8570" s="122" t="n"/>
    </s:row>
    <s:row r="8571" hidden="1" ht="1" customHeight="1">
      <s:c r="A8571" s="120" t="inlineStr"/>
      <s:c r="B8571" s="121" t="n"/>
      <s:c r="C8571" s="121" t="n"/>
      <s:c r="D8571" s="121" t="n"/>
      <s:c r="E8571" s="122" t="n"/>
    </s:row>
    <s:row r="8572" hidden="1" ht="1" customHeight="1">
      <s:c r="A8572" s="120" t="inlineStr"/>
      <s:c r="B8572" s="121" t="n"/>
      <s:c r="C8572" s="121" t="n"/>
      <s:c r="D8572" s="121" t="n"/>
      <s:c r="E8572" s="122" t="n"/>
    </s:row>
    <s:row r="8573" hidden="1" ht="1" customHeight="1">
      <s:c r="A8573" s="120" t="inlineStr"/>
      <s:c r="B8573" s="121" t="n"/>
      <s:c r="C8573" s="121" t="n"/>
      <s:c r="D8573" s="121" t="n"/>
      <s:c r="E8573" s="122" t="n"/>
    </s:row>
    <s:row r="8574" hidden="1" ht="1" customHeight="1">
      <s:c r="A8574" s="120" t="inlineStr"/>
      <s:c r="B8574" s="121" t="n"/>
      <s:c r="C8574" s="121" t="n"/>
      <s:c r="D8574" s="121" t="n"/>
      <s:c r="E8574" s="122" t="n"/>
    </s:row>
    <s:row r="8575" hidden="1" ht="1" customHeight="1">
      <s:c r="A8575" s="120" t="inlineStr"/>
      <s:c r="B8575" s="121" t="n"/>
      <s:c r="C8575" s="121" t="n"/>
      <s:c r="D8575" s="121" t="n"/>
      <s:c r="E8575" s="122" t="n"/>
    </s:row>
    <s:row r="8576" hidden="1" ht="1" customHeight="1">
      <s:c r="A8576" s="120" t="inlineStr"/>
      <s:c r="B8576" s="121" t="n"/>
      <s:c r="C8576" s="121" t="n"/>
      <s:c r="D8576" s="121" t="n"/>
      <s:c r="E8576" s="122" t="n"/>
    </s:row>
    <s:row r="8577" hidden="1" ht="1" customHeight="1">
      <s:c r="A8577" s="120" t="inlineStr"/>
      <s:c r="B8577" s="121" t="n"/>
      <s:c r="C8577" s="121" t="n"/>
      <s:c r="D8577" s="121" t="n"/>
      <s:c r="E8577" s="122" t="n"/>
    </s:row>
    <s:row r="8578" hidden="1" ht="1" customHeight="1">
      <s:c r="A8578" s="120" t="inlineStr"/>
      <s:c r="B8578" s="121" t="n"/>
      <s:c r="C8578" s="121" t="n"/>
      <s:c r="D8578" s="121" t="n"/>
      <s:c r="E8578" s="122" t="n"/>
    </s:row>
    <s:row r="8579" hidden="1" ht="1" customHeight="1">
      <s:c r="A8579" s="120" t="inlineStr"/>
      <s:c r="B8579" s="121" t="n"/>
      <s:c r="C8579" s="121" t="n"/>
      <s:c r="D8579" s="121" t="n"/>
      <s:c r="E8579" s="122" t="n"/>
    </s:row>
    <s:row r="8580" hidden="1" ht="1" customHeight="1">
      <s:c r="A8580" s="120" t="inlineStr"/>
      <s:c r="B8580" s="121" t="n"/>
      <s:c r="C8580" s="121" t="n"/>
      <s:c r="D8580" s="121" t="n"/>
      <s:c r="E8580" s="122" t="n"/>
    </s:row>
    <s:row r="8581" hidden="1" ht="1" customHeight="1">
      <s:c r="A8581" s="120" t="inlineStr"/>
      <s:c r="B8581" s="121" t="n"/>
      <s:c r="C8581" s="121" t="n"/>
      <s:c r="D8581" s="121" t="n"/>
      <s:c r="E8581" s="122" t="n"/>
    </s:row>
    <s:row r="8582" hidden="1" ht="1" customHeight="1">
      <s:c r="A8582" s="120" t="inlineStr"/>
      <s:c r="B8582" s="121" t="n"/>
      <s:c r="C8582" s="121" t="n"/>
      <s:c r="D8582" s="121" t="n"/>
      <s:c r="E8582" s="122" t="n"/>
    </s:row>
    <s:row r="8583" hidden="1" ht="1" customHeight="1">
      <s:c r="A8583" s="120" t="inlineStr"/>
      <s:c r="B8583" s="121" t="n"/>
      <s:c r="C8583" s="121" t="n"/>
      <s:c r="D8583" s="121" t="n"/>
      <s:c r="E8583" s="122" t="n"/>
    </s:row>
    <s:row r="8584" hidden="1" ht="1" customHeight="1">
      <s:c r="A8584" s="120" t="inlineStr"/>
      <s:c r="B8584" s="121" t="n"/>
      <s:c r="C8584" s="121" t="n"/>
      <s:c r="D8584" s="121" t="n"/>
      <s:c r="E8584" s="122" t="n"/>
    </s:row>
    <s:row r="8585" hidden="1" ht="1" customHeight="1">
      <s:c r="A8585" s="120" t="inlineStr"/>
      <s:c r="B8585" s="121" t="n"/>
      <s:c r="C8585" s="121" t="n"/>
      <s:c r="D8585" s="121" t="n"/>
      <s:c r="E8585" s="122" t="n"/>
    </s:row>
    <s:row r="8586" hidden="1" ht="1" customHeight="1">
      <s:c r="A8586" s="120" t="inlineStr"/>
      <s:c r="B8586" s="121" t="n"/>
      <s:c r="C8586" s="121" t="n"/>
      <s:c r="D8586" s="121" t="n"/>
      <s:c r="E8586" s="122" t="n"/>
    </s:row>
    <s:row r="8587" hidden="1" ht="1" customHeight="1">
      <s:c r="A8587" s="120" t="inlineStr"/>
      <s:c r="B8587" s="121" t="n"/>
      <s:c r="C8587" s="121" t="n"/>
      <s:c r="D8587" s="121" t="n"/>
      <s:c r="E8587" s="122" t="n"/>
    </s:row>
    <s:row r="8588" hidden="1" ht="1" customHeight="1">
      <s:c r="A8588" s="120" t="inlineStr"/>
      <s:c r="B8588" s="121" t="n"/>
      <s:c r="C8588" s="121" t="n"/>
      <s:c r="D8588" s="121" t="n"/>
      <s:c r="E8588" s="122" t="n"/>
    </s:row>
    <s:row r="8589" hidden="1" ht="1" customHeight="1">
      <s:c r="A8589" s="120" t="inlineStr"/>
      <s:c r="B8589" s="121" t="n"/>
      <s:c r="C8589" s="121" t="n"/>
      <s:c r="D8589" s="121" t="n"/>
      <s:c r="E8589" s="122" t="n"/>
    </s:row>
    <s:row r="8590" hidden="1" ht="1" customHeight="1">
      <s:c r="A8590" s="120" t="inlineStr"/>
      <s:c r="B8590" s="121" t="n"/>
      <s:c r="C8590" s="121" t="n"/>
      <s:c r="D8590" s="121" t="n"/>
      <s:c r="E8590" s="122" t="n"/>
    </s:row>
    <s:row r="8591" hidden="1" ht="1" customHeight="1">
      <s:c r="A8591" s="120" t="inlineStr"/>
      <s:c r="B8591" s="121" t="n"/>
      <s:c r="C8591" s="121" t="n"/>
      <s:c r="D8591" s="121" t="n"/>
      <s:c r="E8591" s="122" t="n"/>
    </s:row>
    <s:row r="8592" hidden="1" ht="1" customHeight="1">
      <s:c r="A8592" s="120" t="inlineStr"/>
      <s:c r="B8592" s="121" t="n"/>
      <s:c r="C8592" s="121" t="n"/>
      <s:c r="D8592" s="121" t="n"/>
      <s:c r="E8592" s="122" t="n"/>
    </s:row>
    <s:row r="8593" hidden="1" ht="1" customHeight="1">
      <s:c r="A8593" s="120" t="inlineStr"/>
      <s:c r="B8593" s="121" t="n"/>
      <s:c r="C8593" s="121" t="n"/>
      <s:c r="D8593" s="121" t="n"/>
      <s:c r="E8593" s="122" t="n"/>
    </s:row>
    <s:row r="8594" hidden="1" ht="1" customHeight="1">
      <s:c r="A8594" s="120" t="inlineStr"/>
      <s:c r="B8594" s="121" t="n"/>
      <s:c r="C8594" s="121" t="n"/>
      <s:c r="D8594" s="121" t="n"/>
      <s:c r="E8594" s="122" t="n"/>
    </s:row>
    <s:row r="8595" hidden="1" ht="1" customHeight="1">
      <s:c r="A8595" s="120" t="inlineStr"/>
      <s:c r="B8595" s="121" t="n"/>
      <s:c r="C8595" s="121" t="n"/>
      <s:c r="D8595" s="121" t="n"/>
      <s:c r="E8595" s="122" t="n"/>
    </s:row>
    <s:row r="8596" hidden="1" ht="1" customHeight="1">
      <s:c r="A8596" s="120" t="inlineStr"/>
      <s:c r="B8596" s="121" t="n"/>
      <s:c r="C8596" s="121" t="n"/>
      <s:c r="D8596" s="121" t="n"/>
      <s:c r="E8596" s="122" t="n"/>
    </s:row>
    <s:row r="8597" hidden="1" ht="1" customHeight="1">
      <s:c r="A8597" s="120" t="inlineStr"/>
      <s:c r="B8597" s="121" t="n"/>
      <s:c r="C8597" s="121" t="n"/>
      <s:c r="D8597" s="121" t="n"/>
      <s:c r="E8597" s="122" t="n"/>
    </s:row>
    <s:row r="8598" hidden="1" ht="1" customHeight="1">
      <s:c r="A8598" s="120" t="inlineStr"/>
      <s:c r="B8598" s="121" t="n"/>
      <s:c r="C8598" s="121" t="n"/>
      <s:c r="D8598" s="121" t="n"/>
      <s:c r="E8598" s="122" t="n"/>
    </s:row>
    <s:row r="8599" hidden="1" ht="1" customHeight="1">
      <s:c r="A8599" s="120" t="inlineStr"/>
      <s:c r="B8599" s="121" t="n"/>
      <s:c r="C8599" s="121" t="n"/>
      <s:c r="D8599" s="121" t="n"/>
      <s:c r="E8599" s="122" t="n"/>
    </s:row>
    <s:row r="8600" hidden="1" ht="1" customHeight="1">
      <s:c r="A8600" s="120" t="inlineStr"/>
      <s:c r="B8600" s="121" t="n"/>
      <s:c r="C8600" s="121" t="n"/>
      <s:c r="D8600" s="121" t="n"/>
      <s:c r="E8600" s="122" t="n"/>
    </s:row>
    <s:row r="8601" hidden="1" ht="1" customHeight="1">
      <s:c r="A8601" s="120" t="inlineStr"/>
      <s:c r="B8601" s="121" t="n"/>
      <s:c r="C8601" s="121" t="n"/>
      <s:c r="D8601" s="121" t="n"/>
      <s:c r="E8601" s="122" t="n"/>
    </s:row>
    <s:row r="8602" hidden="1" ht="1" customHeight="1">
      <s:c r="A8602" s="120" t="inlineStr"/>
      <s:c r="B8602" s="121" t="n"/>
      <s:c r="C8602" s="121" t="n"/>
      <s:c r="D8602" s="121" t="n"/>
      <s:c r="E8602" s="122" t="n"/>
    </s:row>
    <s:row r="8603" hidden="1" ht="1" customHeight="1">
      <s:c r="A8603" s="120" t="inlineStr"/>
      <s:c r="B8603" s="121" t="n"/>
      <s:c r="C8603" s="121" t="n"/>
      <s:c r="D8603" s="121" t="n"/>
      <s:c r="E8603" s="122" t="n"/>
    </s:row>
    <s:row r="8604" hidden="1" ht="1" customHeight="1">
      <s:c r="A8604" s="120" t="inlineStr"/>
      <s:c r="B8604" s="121" t="n"/>
      <s:c r="C8604" s="121" t="n"/>
      <s:c r="D8604" s="121" t="n"/>
      <s:c r="E8604" s="122" t="n"/>
    </s:row>
    <s:row r="8605" hidden="1" ht="1" customHeight="1">
      <s:c r="A8605" s="120" t="inlineStr"/>
      <s:c r="B8605" s="121" t="n"/>
      <s:c r="C8605" s="121" t="n"/>
      <s:c r="D8605" s="121" t="n"/>
      <s:c r="E8605" s="122" t="n"/>
    </s:row>
    <s:row r="8606" hidden="1" ht="1" customHeight="1">
      <s:c r="A8606" s="120" t="inlineStr"/>
      <s:c r="B8606" s="121" t="n"/>
      <s:c r="C8606" s="121" t="n"/>
      <s:c r="D8606" s="121" t="n"/>
      <s:c r="E8606" s="122" t="n"/>
    </s:row>
    <s:row r="8607" hidden="1" ht="1" customHeight="1">
      <s:c r="A8607" s="120" t="inlineStr"/>
      <s:c r="B8607" s="121" t="n"/>
      <s:c r="C8607" s="121" t="n"/>
      <s:c r="D8607" s="121" t="n"/>
      <s:c r="E8607" s="122" t="n"/>
    </s:row>
    <s:row r="8608" hidden="1" ht="1" customHeight="1">
      <s:c r="A8608" s="120" t="inlineStr"/>
      <s:c r="B8608" s="121" t="n"/>
      <s:c r="C8608" s="121" t="n"/>
      <s:c r="D8608" s="121" t="n"/>
      <s:c r="E8608" s="122" t="n"/>
    </s:row>
    <s:row r="8609" hidden="1" ht="1" customHeight="1">
      <s:c r="A8609" s="120" t="inlineStr"/>
      <s:c r="B8609" s="121" t="n"/>
      <s:c r="C8609" s="121" t="n"/>
      <s:c r="D8609" s="121" t="n"/>
      <s:c r="E8609" s="122" t="n"/>
    </s:row>
    <s:row r="8610" hidden="1" ht="1" customHeight="1">
      <s:c r="A8610" s="120" t="inlineStr"/>
      <s:c r="B8610" s="121" t="n"/>
      <s:c r="C8610" s="121" t="n"/>
      <s:c r="D8610" s="121" t="n"/>
      <s:c r="E8610" s="122" t="n"/>
    </s:row>
    <s:row r="8611" hidden="1" ht="1" customHeight="1">
      <s:c r="A8611" s="120" t="inlineStr"/>
      <s:c r="B8611" s="121" t="n"/>
      <s:c r="C8611" s="121" t="n"/>
      <s:c r="D8611" s="121" t="n"/>
      <s:c r="E8611" s="122" t="n"/>
    </s:row>
    <s:row r="8612" hidden="1" ht="1" customHeight="1">
      <s:c r="A8612" s="120" t="inlineStr"/>
      <s:c r="B8612" s="121" t="n"/>
      <s:c r="C8612" s="121" t="n"/>
      <s:c r="D8612" s="121" t="n"/>
      <s:c r="E8612" s="122" t="n"/>
    </s:row>
    <s:row r="8613" hidden="1" ht="1" customHeight="1">
      <s:c r="A8613" s="120" t="inlineStr"/>
      <s:c r="B8613" s="121" t="n"/>
      <s:c r="C8613" s="121" t="n"/>
      <s:c r="D8613" s="121" t="n"/>
      <s:c r="E8613" s="122" t="n"/>
    </s:row>
    <s:row r="8614" hidden="1" ht="1" customHeight="1">
      <s:c r="A8614" s="120" t="inlineStr"/>
      <s:c r="B8614" s="121" t="n"/>
      <s:c r="C8614" s="121" t="n"/>
      <s:c r="D8614" s="121" t="n"/>
      <s:c r="E8614" s="122" t="n"/>
    </s:row>
    <s:row r="8615" hidden="1" ht="1" customHeight="1">
      <s:c r="A8615" s="120" t="inlineStr"/>
      <s:c r="B8615" s="121" t="n"/>
      <s:c r="C8615" s="121" t="n"/>
      <s:c r="D8615" s="121" t="n"/>
      <s:c r="E8615" s="122" t="n"/>
    </s:row>
    <s:row r="8616" hidden="1" ht="1" customHeight="1">
      <s:c r="A8616" s="120" t="inlineStr"/>
      <s:c r="B8616" s="121" t="n"/>
      <s:c r="C8616" s="121" t="n"/>
      <s:c r="D8616" s="121" t="n"/>
      <s:c r="E8616" s="122" t="n"/>
    </s:row>
    <s:row r="8617" hidden="1" ht="1" customHeight="1">
      <s:c r="A8617" s="120" t="inlineStr"/>
      <s:c r="B8617" s="121" t="n"/>
      <s:c r="C8617" s="121" t="n"/>
      <s:c r="D8617" s="121" t="n"/>
      <s:c r="E8617" s="122" t="n"/>
    </s:row>
    <s:row r="8618" hidden="1" ht="1" customHeight="1">
      <s:c r="A8618" s="120" t="inlineStr"/>
      <s:c r="B8618" s="121" t="n"/>
      <s:c r="C8618" s="121" t="n"/>
      <s:c r="D8618" s="121" t="n"/>
      <s:c r="E8618" s="122" t="n"/>
    </s:row>
    <s:row r="8619" hidden="1" ht="1" customHeight="1">
      <s:c r="A8619" s="120" t="inlineStr"/>
      <s:c r="B8619" s="121" t="n"/>
      <s:c r="C8619" s="121" t="n"/>
      <s:c r="D8619" s="121" t="n"/>
      <s:c r="E8619" s="122" t="n"/>
    </s:row>
    <s:row r="8620" hidden="1" ht="1" customHeight="1">
      <s:c r="A8620" s="120" t="inlineStr"/>
      <s:c r="B8620" s="121" t="n"/>
      <s:c r="C8620" s="121" t="n"/>
      <s:c r="D8620" s="121" t="n"/>
      <s:c r="E8620" s="122" t="n"/>
    </s:row>
    <s:row r="8621" hidden="1" ht="1" customHeight="1">
      <s:c r="A8621" s="120" t="inlineStr"/>
      <s:c r="B8621" s="121" t="n"/>
      <s:c r="C8621" s="121" t="n"/>
      <s:c r="D8621" s="121" t="n"/>
      <s:c r="E8621" s="122" t="n"/>
    </s:row>
    <s:row r="8622" hidden="1" ht="1" customHeight="1">
      <s:c r="A8622" s="120" t="inlineStr"/>
      <s:c r="B8622" s="121" t="n"/>
      <s:c r="C8622" s="121" t="n"/>
      <s:c r="D8622" s="121" t="n"/>
      <s:c r="E8622" s="122" t="n"/>
    </s:row>
    <s:row r="8623" hidden="1" ht="1" customHeight="1">
      <s:c r="A8623" s="120" t="inlineStr"/>
      <s:c r="B8623" s="121" t="n"/>
      <s:c r="C8623" s="121" t="n"/>
      <s:c r="D8623" s="121" t="n"/>
      <s:c r="E8623" s="122" t="n"/>
    </s:row>
    <s:row r="8624" hidden="1" ht="1" customHeight="1">
      <s:c r="A8624" s="120" t="inlineStr"/>
      <s:c r="B8624" s="121" t="n"/>
      <s:c r="C8624" s="121" t="n"/>
      <s:c r="D8624" s="121" t="n"/>
      <s:c r="E8624" s="122" t="n"/>
    </s:row>
    <s:row r="8625" hidden="1" ht="1" customHeight="1">
      <s:c r="A8625" s="120" t="inlineStr"/>
      <s:c r="B8625" s="121" t="n"/>
      <s:c r="C8625" s="121" t="n"/>
      <s:c r="D8625" s="121" t="n"/>
      <s:c r="E8625" s="122" t="n"/>
    </s:row>
    <s:row r="8626" hidden="1" ht="1" customHeight="1">
      <s:c r="A8626" s="120" t="inlineStr"/>
      <s:c r="B8626" s="121" t="n"/>
      <s:c r="C8626" s="121" t="n"/>
      <s:c r="D8626" s="121" t="n"/>
      <s:c r="E8626" s="122" t="n"/>
    </s:row>
    <s:row r="8627" hidden="1" ht="1" customHeight="1">
      <s:c r="A8627" s="120" t="inlineStr"/>
      <s:c r="B8627" s="121" t="n"/>
      <s:c r="C8627" s="121" t="n"/>
      <s:c r="D8627" s="121" t="n"/>
      <s:c r="E8627" s="122" t="n"/>
    </s:row>
    <s:row r="8628" hidden="1" ht="1" customHeight="1">
      <s:c r="A8628" s="120" t="inlineStr"/>
      <s:c r="B8628" s="121" t="n"/>
      <s:c r="C8628" s="121" t="n"/>
      <s:c r="D8628" s="121" t="n"/>
      <s:c r="E8628" s="122" t="n"/>
    </s:row>
    <s:row r="8629" hidden="1" ht="1" customHeight="1">
      <s:c r="A8629" s="120" t="inlineStr"/>
      <s:c r="B8629" s="121" t="n"/>
      <s:c r="C8629" s="121" t="n"/>
      <s:c r="D8629" s="121" t="n"/>
      <s:c r="E8629" s="122" t="n"/>
    </s:row>
    <s:row r="8630" hidden="1" ht="1" customHeight="1">
      <s:c r="A8630" s="120" t="inlineStr"/>
      <s:c r="B8630" s="121" t="n"/>
      <s:c r="C8630" s="121" t="n"/>
      <s:c r="D8630" s="121" t="n"/>
      <s:c r="E8630" s="122" t="n"/>
    </s:row>
    <s:row r="8631" hidden="1" ht="1" customHeight="1">
      <s:c r="A8631" s="120" t="inlineStr"/>
      <s:c r="B8631" s="121" t="n"/>
      <s:c r="C8631" s="121" t="n"/>
      <s:c r="D8631" s="121" t="n"/>
      <s:c r="E8631" s="122" t="n"/>
    </s:row>
    <s:row r="8632" hidden="1" ht="1" customHeight="1">
      <s:c r="A8632" s="120" t="inlineStr"/>
      <s:c r="B8632" s="121" t="n"/>
      <s:c r="C8632" s="121" t="n"/>
      <s:c r="D8632" s="121" t="n"/>
      <s:c r="E8632" s="122" t="n"/>
    </s:row>
    <s:row r="8633" hidden="1" ht="1" customHeight="1">
      <s:c r="A8633" s="120" t="inlineStr"/>
      <s:c r="B8633" s="121" t="n"/>
      <s:c r="C8633" s="121" t="n"/>
      <s:c r="D8633" s="121" t="n"/>
      <s:c r="E8633" s="122" t="n"/>
    </s:row>
    <s:row r="8634" hidden="1" ht="1" customHeight="1">
      <s:c r="A8634" s="120" t="inlineStr"/>
      <s:c r="B8634" s="121" t="n"/>
      <s:c r="C8634" s="121" t="n"/>
      <s:c r="D8634" s="121" t="n"/>
      <s:c r="E8634" s="122" t="n"/>
    </s:row>
    <s:row r="8635" hidden="1" ht="1" customHeight="1">
      <s:c r="A8635" s="120" t="inlineStr"/>
      <s:c r="B8635" s="121" t="n"/>
      <s:c r="C8635" s="121" t="n"/>
      <s:c r="D8635" s="121" t="n"/>
      <s:c r="E8635" s="122" t="n"/>
    </s:row>
    <s:row r="8636" hidden="1" ht="1" customHeight="1">
      <s:c r="A8636" s="120" t="inlineStr"/>
      <s:c r="B8636" s="121" t="n"/>
      <s:c r="C8636" s="121" t="n"/>
      <s:c r="D8636" s="121" t="n"/>
      <s:c r="E8636" s="122" t="n"/>
    </s:row>
    <s:row r="8637" hidden="1" ht="1" customHeight="1">
      <s:c r="A8637" s="120" t="inlineStr"/>
      <s:c r="B8637" s="121" t="n"/>
      <s:c r="C8637" s="121" t="n"/>
      <s:c r="D8637" s="121" t="n"/>
      <s:c r="E8637" s="122" t="n"/>
    </s:row>
    <s:row r="8638" hidden="1" ht="1" customHeight="1">
      <s:c r="A8638" s="120" t="inlineStr"/>
      <s:c r="B8638" s="121" t="n"/>
      <s:c r="C8638" s="121" t="n"/>
      <s:c r="D8638" s="121" t="n"/>
      <s:c r="E8638" s="122" t="n"/>
    </s:row>
    <s:row r="8639" hidden="1" ht="1" customHeight="1">
      <s:c r="A8639" s="120" t="inlineStr"/>
      <s:c r="B8639" s="121" t="n"/>
      <s:c r="C8639" s="121" t="n"/>
      <s:c r="D8639" s="121" t="n"/>
      <s:c r="E8639" s="122" t="n"/>
    </s:row>
    <s:row r="8640" hidden="1" ht="1" customHeight="1">
      <s:c r="A8640" s="120" t="inlineStr"/>
      <s:c r="B8640" s="121" t="n"/>
      <s:c r="C8640" s="121" t="n"/>
      <s:c r="D8640" s="121" t="n"/>
      <s:c r="E8640" s="122" t="n"/>
    </s:row>
    <s:row r="8641" hidden="1" ht="1" customHeight="1">
      <s:c r="A8641" s="120" t="inlineStr"/>
      <s:c r="B8641" s="121" t="n"/>
      <s:c r="C8641" s="121" t="n"/>
      <s:c r="D8641" s="121" t="n"/>
      <s:c r="E8641" s="122" t="n"/>
    </s:row>
    <s:row r="8642" hidden="1" ht="1" customHeight="1">
      <s:c r="A8642" s="120" t="inlineStr"/>
      <s:c r="B8642" s="121" t="n"/>
      <s:c r="C8642" s="121" t="n"/>
      <s:c r="D8642" s="121" t="n"/>
      <s:c r="E8642" s="122" t="n"/>
    </s:row>
    <s:row r="8643" hidden="1" ht="1" customHeight="1">
      <s:c r="A8643" s="120" t="inlineStr"/>
      <s:c r="B8643" s="121" t="n"/>
      <s:c r="C8643" s="121" t="n"/>
      <s:c r="D8643" s="121" t="n"/>
      <s:c r="E8643" s="122" t="n"/>
    </s:row>
    <s:row r="8644" hidden="1" ht="1" customHeight="1">
      <s:c r="A8644" s="120" t="inlineStr"/>
      <s:c r="B8644" s="121" t="n"/>
      <s:c r="C8644" s="121" t="n"/>
      <s:c r="D8644" s="121" t="n"/>
      <s:c r="E8644" s="122" t="n"/>
    </s:row>
    <s:row r="8645" hidden="1" ht="1" customHeight="1">
      <s:c r="A8645" s="120" t="inlineStr"/>
      <s:c r="B8645" s="121" t="n"/>
      <s:c r="C8645" s="121" t="n"/>
      <s:c r="D8645" s="121" t="n"/>
      <s:c r="E8645" s="122" t="n"/>
    </s:row>
    <s:row r="8646" hidden="1" ht="1" customHeight="1">
      <s:c r="A8646" s="120" t="inlineStr"/>
      <s:c r="B8646" s="121" t="n"/>
      <s:c r="C8646" s="121" t="n"/>
      <s:c r="D8646" s="121" t="n"/>
      <s:c r="E8646" s="122" t="n"/>
    </s:row>
    <s:row r="8647" hidden="1" ht="1" customHeight="1">
      <s:c r="A8647" s="120" t="inlineStr"/>
      <s:c r="B8647" s="121" t="n"/>
      <s:c r="C8647" s="121" t="n"/>
      <s:c r="D8647" s="121" t="n"/>
      <s:c r="E8647" s="122" t="n"/>
    </s:row>
    <s:row r="8648" hidden="1" ht="1" customHeight="1">
      <s:c r="A8648" s="120" t="inlineStr"/>
      <s:c r="B8648" s="121" t="n"/>
      <s:c r="C8648" s="121" t="n"/>
      <s:c r="D8648" s="121" t="n"/>
      <s:c r="E8648" s="122" t="n"/>
    </s:row>
    <s:row r="8649" hidden="1" ht="1" customHeight="1">
      <s:c r="A8649" s="120" t="inlineStr"/>
      <s:c r="B8649" s="121" t="n"/>
      <s:c r="C8649" s="121" t="n"/>
      <s:c r="D8649" s="121" t="n"/>
      <s:c r="E8649" s="122" t="n"/>
    </s:row>
    <s:row r="8650" hidden="1" ht="1" customHeight="1">
      <s:c r="A8650" s="120" t="inlineStr"/>
      <s:c r="B8650" s="121" t="n"/>
      <s:c r="C8650" s="121" t="n"/>
      <s:c r="D8650" s="121" t="n"/>
      <s:c r="E8650" s="122" t="n"/>
    </s:row>
    <s:row r="8651" hidden="1" ht="1" customHeight="1">
      <s:c r="A8651" s="120" t="inlineStr"/>
      <s:c r="B8651" s="121" t="n"/>
      <s:c r="C8651" s="121" t="n"/>
      <s:c r="D8651" s="121" t="n"/>
      <s:c r="E8651" s="122" t="n"/>
    </s:row>
    <s:row r="8652" hidden="1" ht="1" customHeight="1">
      <s:c r="A8652" s="120" t="inlineStr"/>
      <s:c r="B8652" s="121" t="n"/>
      <s:c r="C8652" s="121" t="n"/>
      <s:c r="D8652" s="121" t="n"/>
      <s:c r="E8652" s="122" t="n"/>
    </s:row>
    <s:row r="8653" hidden="1" ht="1" customHeight="1">
      <s:c r="A8653" s="120" t="inlineStr"/>
      <s:c r="B8653" s="121" t="n"/>
      <s:c r="C8653" s="121" t="n"/>
      <s:c r="D8653" s="121" t="n"/>
      <s:c r="E8653" s="122" t="n"/>
    </s:row>
    <s:row r="8654" hidden="1" ht="1" customHeight="1">
      <s:c r="A8654" s="120" t="inlineStr"/>
      <s:c r="B8654" s="121" t="n"/>
      <s:c r="C8654" s="121" t="n"/>
      <s:c r="D8654" s="121" t="n"/>
      <s:c r="E8654" s="122" t="n"/>
    </s:row>
    <s:row r="8655" hidden="1" ht="1" customHeight="1">
      <s:c r="A8655" s="120" t="inlineStr"/>
      <s:c r="B8655" s="121" t="n"/>
      <s:c r="C8655" s="121" t="n"/>
      <s:c r="D8655" s="121" t="n"/>
      <s:c r="E8655" s="122" t="n"/>
    </s:row>
    <s:row r="8656" hidden="1" ht="1" customHeight="1">
      <s:c r="A8656" s="120" t="inlineStr"/>
      <s:c r="B8656" s="121" t="n"/>
      <s:c r="C8656" s="121" t="n"/>
      <s:c r="D8656" s="121" t="n"/>
      <s:c r="E8656" s="122" t="n"/>
    </s:row>
    <s:row r="8657" hidden="1" ht="1" customHeight="1">
      <s:c r="A8657" s="120" t="inlineStr"/>
      <s:c r="B8657" s="121" t="n"/>
      <s:c r="C8657" s="121" t="n"/>
      <s:c r="D8657" s="121" t="n"/>
      <s:c r="E8657" s="122" t="n"/>
    </s:row>
    <s:row r="8658" hidden="1" ht="1" customHeight="1">
      <s:c r="A8658" s="120" t="inlineStr"/>
      <s:c r="B8658" s="121" t="n"/>
      <s:c r="C8658" s="121" t="n"/>
      <s:c r="D8658" s="121" t="n"/>
      <s:c r="E8658" s="122" t="n"/>
    </s:row>
    <s:row r="8659" hidden="1" ht="1" customHeight="1">
      <s:c r="A8659" s="120" t="inlineStr"/>
      <s:c r="B8659" s="121" t="n"/>
      <s:c r="C8659" s="121" t="n"/>
      <s:c r="D8659" s="121" t="n"/>
      <s:c r="E8659" s="122" t="n"/>
    </s:row>
    <s:row r="8660" hidden="1" ht="1" customHeight="1">
      <s:c r="A8660" s="120" t="inlineStr"/>
      <s:c r="B8660" s="121" t="n"/>
      <s:c r="C8660" s="121" t="n"/>
      <s:c r="D8660" s="121" t="n"/>
      <s:c r="E8660" s="122" t="n"/>
    </s:row>
    <s:row r="8661" hidden="1" ht="1" customHeight="1">
      <s:c r="A8661" s="120" t="inlineStr"/>
      <s:c r="B8661" s="121" t="n"/>
      <s:c r="C8661" s="121" t="n"/>
      <s:c r="D8661" s="121" t="n"/>
      <s:c r="E8661" s="122" t="n"/>
    </s:row>
    <s:row r="8662" hidden="1" ht="1" customHeight="1">
      <s:c r="A8662" s="120" t="inlineStr"/>
      <s:c r="B8662" s="121" t="n"/>
      <s:c r="C8662" s="121" t="n"/>
      <s:c r="D8662" s="121" t="n"/>
      <s:c r="E8662" s="122" t="n"/>
    </s:row>
    <s:row r="8663" hidden="1" ht="1" customHeight="1">
      <s:c r="A8663" s="120" t="inlineStr"/>
      <s:c r="B8663" s="121" t="n"/>
      <s:c r="C8663" s="121" t="n"/>
      <s:c r="D8663" s="121" t="n"/>
      <s:c r="E8663" s="122" t="n"/>
    </s:row>
    <s:row r="8664" hidden="1" ht="1" customHeight="1">
      <s:c r="A8664" s="120" t="inlineStr"/>
      <s:c r="B8664" s="121" t="n"/>
      <s:c r="C8664" s="121" t="n"/>
      <s:c r="D8664" s="121" t="n"/>
      <s:c r="E8664" s="122" t="n"/>
    </s:row>
    <s:row r="8665" hidden="1" ht="1" customHeight="1">
      <s:c r="A8665" s="120" t="inlineStr"/>
      <s:c r="B8665" s="121" t="n"/>
      <s:c r="C8665" s="121" t="n"/>
      <s:c r="D8665" s="121" t="n"/>
      <s:c r="E8665" s="122" t="n"/>
    </s:row>
    <s:row r="8666" hidden="1" ht="1" customHeight="1">
      <s:c r="A8666" s="120" t="inlineStr"/>
      <s:c r="B8666" s="121" t="n"/>
      <s:c r="C8666" s="121" t="n"/>
      <s:c r="D8666" s="121" t="n"/>
      <s:c r="E8666" s="122" t="n"/>
    </s:row>
    <s:row r="8667" hidden="1" ht="1" customHeight="1">
      <s:c r="A8667" s="120" t="inlineStr"/>
      <s:c r="B8667" s="121" t="n"/>
      <s:c r="C8667" s="121" t="n"/>
      <s:c r="D8667" s="121" t="n"/>
      <s:c r="E8667" s="122" t="n"/>
    </s:row>
    <s:row r="8668" hidden="1" ht="1" customHeight="1">
      <s:c r="A8668" s="120" t="inlineStr"/>
      <s:c r="B8668" s="121" t="n"/>
      <s:c r="C8668" s="121" t="n"/>
      <s:c r="D8668" s="121" t="n"/>
      <s:c r="E8668" s="122" t="n"/>
    </s:row>
    <s:row r="8669" hidden="1" ht="1" customHeight="1">
      <s:c r="A8669" s="120" t="inlineStr"/>
      <s:c r="B8669" s="121" t="n"/>
      <s:c r="C8669" s="121" t="n"/>
      <s:c r="D8669" s="121" t="n"/>
      <s:c r="E8669" s="122" t="n"/>
    </s:row>
    <s:row r="8670" hidden="1" ht="1" customHeight="1">
      <s:c r="A8670" s="120" t="inlineStr"/>
      <s:c r="B8670" s="121" t="n"/>
      <s:c r="C8670" s="121" t="n"/>
      <s:c r="D8670" s="121" t="n"/>
      <s:c r="E8670" s="122" t="n"/>
    </s:row>
    <s:row r="8671" hidden="1" ht="1" customHeight="1">
      <s:c r="A8671" s="83" t="inlineStr">
        <s:is>
          <s:t>PASS</s:t>
        </s:is>
      </s:c>
      <s:c r="B8671" s="83">
        <s:f>SUM(IF(EXACT('Kiểm thử'!E8521,"Đạt"),1,0),IF(EXACT('Kiểm thử'!E8523,"Đạt"),1,0),IF(EXACT('Kiểm thử'!E8525,"Đạt"),1,0))</s:f>
        <s:v/>
      </s:c>
      <s:c r="C8671" s="19" t="n"/>
      <s:c r="D8671" s="19" t="n"/>
      <s:c r="E8671" s="19" t="n"/>
    </s:row>
    <s:row r="8672" hidden="1" ht="1" customHeight="1">
      <s:c r="A8672" s="83" t="inlineStr">
        <s:is>
          <s:t>FAIL</s:t>
        </s:is>
      </s:c>
      <s:c r="B8672" s="83">
        <s:f>SUM(IF(EXACT('Kiểm thử'!E8521,"Không đạt"),1,0),IF(EXACT('Kiểm thử'!E8523,"Không đạt"),1,0),IF(EXACT('Kiểm thử'!E8525,"Không đạt"),1,0))</s:f>
        <s:v/>
      </s:c>
      <s:c r="C8672" s="19" t="n"/>
      <s:c r="D8672" s="19" t="n"/>
      <s:c r="E8672" s="19" t="n"/>
    </s:row>
    <s:row r="8673" hidden="1" ht="1" customHeight="1">
      <s:c r="A8673" s="83" t="inlineStr">
        <s:is>
          <s:t>BLOCKED</s:t>
        </s:is>
      </s:c>
      <s:c r="B8673" s="83">
        <s:f>SUM(IF(EXACT('Kiểm thử'!E8521,"Bị chặn"),1,0),IF(EXACT('Kiểm thử'!E8523,"Bị chặn"),1,0),IF(EXACT('Kiểm thử'!E8525,"Bị chặn"),1,0))</s:f>
        <s:v/>
      </s:c>
      <s:c r="C8673" s="19" t="n"/>
      <s:c r="D8673" s="19" t="n"/>
      <s:c r="E8673" s="19" t="n"/>
    </s:row>
    <s:row r="8674" hidden="1" ht="1" customHeight="1">
      <s:c r="A8674" s="83" t="inlineStr">
        <s:is>
          <s:t>SKIPPED</s:t>
        </s:is>
      </s:c>
      <s:c r="B8674" s="83">
        <s:f>SUM(IF(EXACT('Kiểm thử'!E8521,"Không thực hiện"),1,0),IF(EXACT('Kiểm thử'!E8523,"Không thực hiện"),1,0),IF(EXACT('Kiểm thử'!E8525,"Không thực hiện"),1,0))</s:f>
        <s:v/>
      </s:c>
      <s:c r="C8674" s="19" t="n"/>
      <s:c r="D8674" s="19" t="n"/>
      <s:c r="E8674" s="19" t="n"/>
    </s:row>
    <s:row r="8675" hidden="1" ht="1" customHeight="1">
      <s:c r="A8675" s="83" t="inlineStr">
        <s:is>
          <s:t>NOT RUN</s:t>
        </s:is>
      </s:c>
      <s:c r="B8675" s="83">
        <s:f>SUM(IF(EXACT('Kiểm thử'!E8521,"Chưa thực hiện"),1,0),IF(EXACT('Kiểm thử'!E8523,"Chưa thực hiện"),1,0),IF(EXACT('Kiểm thử'!E8525,"Chưa thực hiện"),1,0))</s:f>
        <s:v/>
      </s:c>
      <s:c r="C8675" s="19" t="n"/>
      <s:c r="D8675" s="19" t="n"/>
      <s:c r="E8675" s="19" t="n"/>
    </s:row>
    <s:row r="8676" hidden="1" ht="6" customHeight="1">
      <s:c r="A8676" s="83" t="inlineStr"/>
      <s:c r="B8676" s="19" t="n"/>
      <s:c r="C8676" s="19" t="n"/>
      <s:c r="D8676" s="19" t="n"/>
      <s:c r="E8676" s="19" t="n"/>
    </s:row>
    <s:row r="8677" ht="28" customHeight="1">
      <s:c r="A8677" s="108" t="inlineStr">
        <s:is>
          <s:t>TC-RS-CALC-016 — Ngưỡng âm: A=15, A−20 → T=−5</s:t>
        </s:is>
      </s:c>
      <s:c r="B8677" s="111" t="n"/>
      <s:c r="C8677" s="111" t="n"/>
      <s:c r="D8677" s="111" t="n"/>
      <s:c r="E8677" s="111" t="n"/>
    </s:row>
    <s:row r="8678" ht="20" customHeight="1">
      <s:c r="A8678" s="112" t="inlineStr">
        <s:is>
          <s:t>Kết quả tình huống</s:t>
        </s:is>
      </s:c>
      <s:c r="B8678" s="113">
        <s:f>IF(SUM(IF(EXACT('Kiểm thử'!E8686,"Không đạt"),1,0),IF(EXACT('Kiểm thử'!E8688,"Không đạt"),1,0),IF(EXACT('Kiểm thử'!E8690,"Không đạt"),1,0),IF(EXACT('Kiểm thử'!E8692,"Không đạt"),1,0))&gt;0,"Không đạt",IF(SUM(IF(EXACT('Kiểm thử'!E8686,"Đạt"),1,0),IF(EXACT('Kiểm thử'!E8688,"Đạt"),1,0),IF(EXACT('Kiểm thử'!E8690,"Đạt"),1,0),IF(EXACT('Kiểm thử'!E8692,"Đạt"),1,0))=4,"Đạt",IF(SUM(IF(EXACT('Kiểm thử'!E8686,"Không thực hiện"),1,0),IF(EXACT('Kiểm thử'!E8688,"Không thực hiện"),1,0),IF(EXACT('Kiểm thử'!E8690,"Không thực hiện"),1,0),IF(EXACT('Kiểm thử'!E8692,"Không thực hiện"),1,0))=4,"Không thực hiện",IF(SUM(IF(EXACT('Kiểm thử'!E8686,"Bị chặn"),1,0),IF(EXACT('Kiểm thử'!E8688,"Bị chặn"),1,0),IF(EXACT('Kiểm thử'!E8690,"Bị chặn"),1,0),IF(EXACT('Kiểm thử'!E8692,"Bị chặn"),1,0))&gt;0,"Bị chặn",IF(SUM(IF(EXACT('Kiểm thử'!E8686,"Chưa thực hiện"),1,0),IF(EXACT('Kiểm thử'!E8688,"Chưa thực hiện"),1,0),IF(EXACT('Kiểm thử'!E8690,"Chưa thực hiện"),1,0),IF(EXACT('Kiểm thử'!E8692,"Chưa thực hiện"),1,0))=4,"Chưa thực hiện","Đang thực hiện")))))</s:f>
        <s:v/>
      </s:c>
      <s:c r="C8678" s="114" t="n"/>
      <s:c r="D8678" s="114" t="n"/>
      <s:c r="E8678" s="114" t="n"/>
    </s:row>
    <s:row r="8679" ht="20" customHeight="1">
      <s:c r="A8679" s="112" t="inlineStr">
        <s:is>
          <s:t>Màn hình / chức năng</s:t>
        </s:is>
      </s:c>
      <s:c r="B8679" s="113" t="inlineStr">
        <s:is>
          <s:r>
            <s:rPr>
              <s:b val="1"/>
            </s:rPr>
            <s:t>Thiết lập ngưỡng（基準設定）</s:t>
          </s:r>
        </s:is>
      </s:c>
      <s:c r="C8679" s="28" t="n"/>
      <s:c r="D8679" s="28" t="n"/>
      <s:c r="E8679" s="28" t="n"/>
    </s:row>
    <s:row r="8680" ht="34" customHeight="1">
      <s:c r="A8680" s="112" t="inlineStr">
        <s:is>
          <s:t>Cấu hình</s:t>
        </s:is>
      </s:c>
      <s:c r="B8680" s="113" t="inlineStr">
        <s:is>
          <s:r>
            <s:t>• Quy tắc công thức trung bình − 20;
• Nguồn [</s:t>
          </s:r>
          <s:r>
            <s:rPr>
              <s:b val="1"/>
            </s:rPr>
            <s:t>A=15</s:t>
          </s:r>
          <s:r>
            <s:t>]. Biến thể (b) cần mục cho phép điểm âm.</s:t>
          </s:r>
        </s:is>
      </s:c>
      <s:c r="C8680" s="28" t="n"/>
      <s:c r="D8680" s="28" t="n"/>
      <s:c r="E8680" s="28" t="n"/>
    </s:row>
    <s:row r="8681" ht="48" customHeight="1">
      <s:c r="A8681" s="112" t="inlineStr">
        <s:is>
          <s:t>Dữ liệu test</s:t>
        </s:is>
      </s:c>
      <s:c r="B8681" s="113" t="inlineStr">
        <s:is>
          <s:t>• Quy tắc công thức trung bình − 20;
• (A) Mục thường: S = 0;
• (B) mục cho phép điểm âm: S = −6, −5</s:t>
        </s:is>
      </s:c>
      <s:c r="C8681" s="28" t="n"/>
      <s:c r="D8681" s="28" t="n"/>
      <s:c r="E8681" s="28" t="n"/>
    </s:row>
    <s:row r="8682" ht="20" customHeight="1">
      <s:c r="A8682" s="112" t="inlineStr">
        <s:is>
          <s:t>•</s:t>
        </s:is>
      </s:c>
      <s:c r="B8682" s="113" t="inlineStr">
        <s:is>
          <s:r>
            <s:t xml:space="preserve">(A) Xét </s:t>
          </s:r>
          <s:r>
            <s:rPr>
              <s:b val="1"/>
            </s:rPr>
            <s:t>S=0</s:t>
          </s:r>
          <s:r>
            <s:t xml:space="preserve"> với [&lt;] và [≤].</s:t>
          </s:r>
        </s:is>
      </s:c>
      <s:c r="C8682" s="28" t="n"/>
      <s:c r="D8682" s="28" t="n"/>
      <s:c r="E8682" s="28" t="n"/>
    </s:row>
    <s:row r="8683" ht="20" customHeight="1">
      <s:c r="A8683" s="112" t="inlineStr">
        <s:is>
          <s:t>•</s:t>
        </s:is>
      </s:c>
      <s:c r="B8683" s="113" t="inlineStr">
        <s:is>
          <s:t>(B) Xét −6, −5 với [&lt;] và [≤].</s:t>
        </s:is>
      </s:c>
      <s:c r="C8683" s="28" t="n"/>
      <s:c r="D8683" s="28" t="n"/>
      <s:c r="E8683" s="28" t="n"/>
    </s:row>
    <s:row r="8684" ht="28" customHeight="1">
      <s:c r="A8684" s="115" t="inlineStr">
        <s:is>
          <s:t>Trường hợp</s:t>
        </s:is>
      </s:c>
      <s:c r="B8684" s="115" t="inlineStr">
        <s:is>
          <s:t>Dữ liệu / thao tác riêng</s:t>
        </s:is>
      </s:c>
      <s:c r="C8684" s="115" t="inlineStr">
        <s:is>
          <s:t>Kết quả mong đợi</s:t>
        </s:is>
      </s:c>
      <s:c r="D8684" s="115" t="inlineStr">
        <s:is>
          <s:t>Kết quả thực tế</s:t>
        </s:is>
      </s:c>
      <s:c r="E8684" s="115" t="inlineStr">
        <s:is>
          <s:t>Đánh giá</s:t>
        </s:is>
      </s:c>
    </s:row>
    <s:row r="8685" ht="3" customHeight="1">
      <s:c r="A8685" s="102" t="inlineStr"/>
      <s:c r="B8685" s="99" t="n"/>
      <s:c r="C8685" s="99" t="n"/>
      <s:c r="D8685" s="116" t="n"/>
      <s:c r="E8685" s="116" t="n"/>
    </s:row>
    <s:row r="8686" ht="34" customHeight="1">
      <s:c r="A8686" s="83" t="inlineStr">
        <s:is>
          <s:t>Điểm 0, nhỏ hơn (zero-lt)</s:t>
        </s:is>
      </s:c>
      <s:c r="B8686" s="83" t="inlineStr">
        <s:is>
          <s:r>
            <s:rPr>
              <s:b val="1"/>
            </s:rPr>
            <s:t>A=15</s:t>
          </s:r>
          <s:r>
            <s:t xml:space="preserve">, công thức A−20 → T=−5; mục thường </s:t>
          </s:r>
          <s:r>
            <s:rPr>
              <s:b val="1"/>
            </s:rPr>
            <s:t>S=0</s:t>
          </s:r>
          <s:r>
            <s:t>, dấu &lt;.</s:t>
          </s:r>
        </s:is>
      </s:c>
      <s:c r="C8686" s="83" t="inlineStr">
        <s:is>
          <s:r>
            <s:t xml:space="preserve">0&lt;−5 Sai → </s:t>
          </s:r>
          <s:r>
            <s:rPr>
              <s:b val="1"/>
            </s:rPr>
            <s:t>Không đỏ</s:t>
          </s:r>
          <s:r>
            <s:t>; T giữ −5, không ép về 0.</s:t>
          </s:r>
        </s:is>
      </s:c>
      <s:c r="D8686" s="117" t="inlineStr"/>
      <s:c r="E8686" s="118" t="inlineStr">
        <s:is>
          <s:t>Chưa thực hiện</s:t>
        </s:is>
      </s:c>
    </s:row>
    <s:row r="8687" ht="3" customHeight="1">
      <s:c r="A8687" s="102" t="inlineStr"/>
      <s:c r="B8687" s="99" t="n"/>
      <s:c r="C8687" s="99" t="n"/>
      <s:c r="D8687" s="116" t="n"/>
      <s:c r="E8687" s="116" t="n"/>
    </s:row>
    <s:row r="8688" ht="34" customHeight="1">
      <s:c r="A8688" s="83" t="inlineStr">
        <s:is>
          <s:t>Điểm 0, nhỏ hơn hoặc bằng (zero-le)</s:t>
        </s:is>
      </s:c>
      <s:c r="B8688" s="83" t="inlineStr">
        <s:is>
          <s:r>
            <s:rPr>
              <s:b val="1"/>
            </s:rPr>
            <s:t>A=15</s:t>
          </s:r>
          <s:r>
            <s:t xml:space="preserve">, công thức A−20 → T=−5; mục thường </s:t>
          </s:r>
          <s:r>
            <s:rPr>
              <s:b val="1"/>
            </s:rPr>
            <s:t>S=0</s:t>
          </s:r>
          <s:r>
            <s:t>, dấu ≤.</s:t>
          </s:r>
        </s:is>
      </s:c>
      <s:c r="C8688" s="83" t="inlineStr">
        <s:is>
          <s:r>
            <s:t xml:space="preserve">0≤−5 Sai → </s:t>
          </s:r>
          <s:r>
            <s:rPr>
              <s:b val="1"/>
            </s:rPr>
            <s:t>Không đỏ</s:t>
          </s:r>
          <s:r>
            <s:t xml:space="preserve">; nếu ép T về 0 thì 0≤0 sẽ </s:t>
          </s:r>
          <s:r>
            <s:rPr>
              <s:b val="1"/>
            </s:rPr>
            <s:t>Đỏ</s:t>
          </s:r>
          <s:r>
            <s:t xml:space="preserve"> — sai.</s:t>
          </s:r>
        </s:is>
      </s:c>
      <s:c r="D8688" s="117" t="inlineStr"/>
      <s:c r="E8688" s="118" t="inlineStr">
        <s:is>
          <s:t>Chưa thực hiện</s:t>
        </s:is>
      </s:c>
    </s:row>
    <s:row r="8689" ht="3" customHeight="1">
      <s:c r="A8689" s="102" t="inlineStr"/>
      <s:c r="B8689" s="99" t="n"/>
      <s:c r="C8689" s="99" t="n"/>
      <s:c r="D8689" s="116" t="n"/>
      <s:c r="E8689" s="116" t="n"/>
    </s:row>
    <s:row r="8690" ht="34" customHeight="1">
      <s:c r="A8690" s="83" t="inlineStr">
        <s:is>
          <s:t>Điểm âm, nhỏ hơn (negative-lt)</s:t>
        </s:is>
      </s:c>
      <s:c r="B8690" s="83" t="inlineStr">
        <s:is>
          <s:r>
            <s:t xml:space="preserve">Mục cho phép điểm âm; </s:t>
          </s:r>
          <s:r>
            <s:rPr>
              <s:b val="1"/>
            </s:rPr>
            <s:t>A=15</s:t>
          </s:r>
          <s:r>
            <s:t>, T=−5, S=−6 và −5, dấu &lt;.</s:t>
          </s:r>
        </s:is>
      </s:c>
      <s:c r="C8690" s="83" t="inlineStr">
        <s:is>
          <s:r>
            <s:t xml:space="preserve">T=−5: −6 </s:t>
          </s:r>
          <s:r>
            <s:rPr>
              <s:b val="1"/>
            </s:rPr>
            <s:t>Đỏ</s:t>
          </s:r>
          <s:r>
            <s:t xml:space="preserve">, −5 </s:t>
          </s:r>
          <s:r>
            <s:rPr>
              <s:b val="1"/>
            </s:rPr>
            <s:t>Không đỏ</s:t>
          </s:r>
          <s:r>
            <s:t xml:space="preserve"> với dấu &lt;.</s:t>
          </s:r>
        </s:is>
      </s:c>
      <s:c r="D8690" s="117" t="inlineStr"/>
      <s:c r="E8690" s="118" t="inlineStr">
        <s:is>
          <s:t>Chưa thực hiện</s:t>
        </s:is>
      </s:c>
    </s:row>
    <s:row r="8691" ht="3" customHeight="1">
      <s:c r="A8691" s="102" t="inlineStr"/>
      <s:c r="B8691" s="99" t="n"/>
      <s:c r="C8691" s="99" t="n"/>
      <s:c r="D8691" s="116" t="n"/>
      <s:c r="E8691" s="116" t="n"/>
    </s:row>
    <s:row r="8692" ht="34" customHeight="1">
      <s:c r="A8692" s="83" t="inlineStr">
        <s:is>
          <s:t>Điểm âm, nhỏ hơn hoặc bằng (negative-le)</s:t>
        </s:is>
      </s:c>
      <s:c r="B8692" s="83" t="inlineStr">
        <s:is>
          <s:r>
            <s:t xml:space="preserve">Mục cho phép điểm âm; </s:t>
          </s:r>
          <s:r>
            <s:rPr>
              <s:b val="1"/>
            </s:rPr>
            <s:t>A=15</s:t>
          </s:r>
          <s:r>
            <s:t>, T=−5, S=−6 và −5, dấu ≤.</s:t>
          </s:r>
        </s:is>
      </s:c>
      <s:c r="C8692" s="83" t="inlineStr">
        <s:is>
          <s:r>
            <s:t xml:space="preserve">T=−5: −6 </s:t>
          </s:r>
          <s:r>
            <s:rPr>
              <s:b val="1"/>
            </s:rPr>
            <s:t>Đỏ</s:t>
          </s:r>
          <s:r>
            <s:t xml:space="preserve">, −5 </s:t>
          </s:r>
          <s:r>
            <s:rPr>
              <s:b val="1"/>
            </s:rPr>
            <s:t>Đỏ</s:t>
          </s:r>
          <s:r>
            <s:t xml:space="preserve"> với dấu ≤.</s:t>
          </s:r>
        </s:is>
      </s:c>
      <s:c r="D8692" s="117" t="inlineStr"/>
      <s:c r="E8692" s="118" t="inlineStr">
        <s:is>
          <s:t>Chưa thực hiện</s:t>
        </s:is>
      </s:c>
    </s:row>
    <s:row r="8693" ht="20" customHeight="1">
      <s:c r="A8693" s="119" t="inlineStr">
        <s:is>
          <s:t>Ảnh minh chứng — Chưa có ảnh</s:t>
        </s:is>
      </s:c>
      <s:c r="B8693" s="19" t="n"/>
      <s:c r="C8693" s="19" t="n"/>
      <s:c r="D8693" s="19" t="n"/>
      <s:c r="E8693" s="19" t="n"/>
    </s:row>
    <s:row r="8694" hidden="1" ht="1" customHeight="1">
      <s:c r="A8694" s="120" t="inlineStr"/>
      <s:c r="B8694" s="121" t="n"/>
      <s:c r="C8694" s="121" t="n"/>
      <s:c r="D8694" s="121" t="n"/>
      <s:c r="E8694" s="122" t="n"/>
    </s:row>
    <s:row r="8695" hidden="1" ht="1" customHeight="1">
      <s:c r="A8695" s="120" t="inlineStr"/>
      <s:c r="B8695" s="121" t="n"/>
      <s:c r="C8695" s="121" t="n"/>
      <s:c r="D8695" s="121" t="n"/>
      <s:c r="E8695" s="122" t="n"/>
    </s:row>
    <s:row r="8696" hidden="1" ht="1" customHeight="1">
      <s:c r="A8696" s="120" t="inlineStr"/>
      <s:c r="B8696" s="121" t="n"/>
      <s:c r="C8696" s="121" t="n"/>
      <s:c r="D8696" s="121" t="n"/>
      <s:c r="E8696" s="122" t="n"/>
    </s:row>
    <s:row r="8697" hidden="1" ht="1" customHeight="1">
      <s:c r="A8697" s="120" t="inlineStr"/>
      <s:c r="B8697" s="121" t="n"/>
      <s:c r="C8697" s="121" t="n"/>
      <s:c r="D8697" s="121" t="n"/>
      <s:c r="E8697" s="122" t="n"/>
    </s:row>
    <s:row r="8698" hidden="1" ht="1" customHeight="1">
      <s:c r="A8698" s="120" t="inlineStr"/>
      <s:c r="B8698" s="121" t="n"/>
      <s:c r="C8698" s="121" t="n"/>
      <s:c r="D8698" s="121" t="n"/>
      <s:c r="E8698" s="122" t="n"/>
    </s:row>
    <s:row r="8699" hidden="1" ht="1" customHeight="1">
      <s:c r="A8699" s="120" t="inlineStr"/>
      <s:c r="B8699" s="121" t="n"/>
      <s:c r="C8699" s="121" t="n"/>
      <s:c r="D8699" s="121" t="n"/>
      <s:c r="E8699" s="122" t="n"/>
    </s:row>
    <s:row r="8700" hidden="1" ht="1" customHeight="1">
      <s:c r="A8700" s="120" t="inlineStr"/>
      <s:c r="B8700" s="121" t="n"/>
      <s:c r="C8700" s="121" t="n"/>
      <s:c r="D8700" s="121" t="n"/>
      <s:c r="E8700" s="122" t="n"/>
    </s:row>
    <s:row r="8701" hidden="1" ht="1" customHeight="1">
      <s:c r="A8701" s="120" t="inlineStr"/>
      <s:c r="B8701" s="121" t="n"/>
      <s:c r="C8701" s="121" t="n"/>
      <s:c r="D8701" s="121" t="n"/>
      <s:c r="E8701" s="122" t="n"/>
    </s:row>
    <s:row r="8702" hidden="1" ht="1" customHeight="1">
      <s:c r="A8702" s="120" t="inlineStr"/>
      <s:c r="B8702" s="121" t="n"/>
      <s:c r="C8702" s="121" t="n"/>
      <s:c r="D8702" s="121" t="n"/>
      <s:c r="E8702" s="122" t="n"/>
    </s:row>
    <s:row r="8703" hidden="1" ht="1" customHeight="1">
      <s:c r="A8703" s="120" t="inlineStr"/>
      <s:c r="B8703" s="121" t="n"/>
      <s:c r="C8703" s="121" t="n"/>
      <s:c r="D8703" s="121" t="n"/>
      <s:c r="E8703" s="122" t="n"/>
    </s:row>
    <s:row r="8704" hidden="1" ht="1" customHeight="1">
      <s:c r="A8704" s="120" t="inlineStr"/>
      <s:c r="B8704" s="121" t="n"/>
      <s:c r="C8704" s="121" t="n"/>
      <s:c r="D8704" s="121" t="n"/>
      <s:c r="E8704" s="122" t="n"/>
    </s:row>
    <s:row r="8705" hidden="1" ht="1" customHeight="1">
      <s:c r="A8705" s="120" t="inlineStr"/>
      <s:c r="B8705" s="121" t="n"/>
      <s:c r="C8705" s="121" t="n"/>
      <s:c r="D8705" s="121" t="n"/>
      <s:c r="E8705" s="122" t="n"/>
    </s:row>
    <s:row r="8706" hidden="1" ht="1" customHeight="1">
      <s:c r="A8706" s="120" t="inlineStr"/>
      <s:c r="B8706" s="121" t="n"/>
      <s:c r="C8706" s="121" t="n"/>
      <s:c r="D8706" s="121" t="n"/>
      <s:c r="E8706" s="122" t="n"/>
    </s:row>
    <s:row r="8707" hidden="1" ht="1" customHeight="1">
      <s:c r="A8707" s="120" t="inlineStr"/>
      <s:c r="B8707" s="121" t="n"/>
      <s:c r="C8707" s="121" t="n"/>
      <s:c r="D8707" s="121" t="n"/>
      <s:c r="E8707" s="122" t="n"/>
    </s:row>
    <s:row r="8708" hidden="1" ht="1" customHeight="1">
      <s:c r="A8708" s="120" t="inlineStr"/>
      <s:c r="B8708" s="121" t="n"/>
      <s:c r="C8708" s="121" t="n"/>
      <s:c r="D8708" s="121" t="n"/>
      <s:c r="E8708" s="122" t="n"/>
    </s:row>
    <s:row r="8709" hidden="1" ht="1" customHeight="1">
      <s:c r="A8709" s="120" t="inlineStr"/>
      <s:c r="B8709" s="121" t="n"/>
      <s:c r="C8709" s="121" t="n"/>
      <s:c r="D8709" s="121" t="n"/>
      <s:c r="E8709" s="122" t="n"/>
    </s:row>
    <s:row r="8710" hidden="1" ht="1" customHeight="1">
      <s:c r="A8710" s="120" t="inlineStr"/>
      <s:c r="B8710" s="121" t="n"/>
      <s:c r="C8710" s="121" t="n"/>
      <s:c r="D8710" s="121" t="n"/>
      <s:c r="E8710" s="122" t="n"/>
    </s:row>
    <s:row r="8711" hidden="1" ht="1" customHeight="1">
      <s:c r="A8711" s="120" t="inlineStr"/>
      <s:c r="B8711" s="121" t="n"/>
      <s:c r="C8711" s="121" t="n"/>
      <s:c r="D8711" s="121" t="n"/>
      <s:c r="E8711" s="122" t="n"/>
    </s:row>
    <s:row r="8712" hidden="1" ht="1" customHeight="1">
      <s:c r="A8712" s="120" t="inlineStr"/>
      <s:c r="B8712" s="121" t="n"/>
      <s:c r="C8712" s="121" t="n"/>
      <s:c r="D8712" s="121" t="n"/>
      <s:c r="E8712" s="122" t="n"/>
    </s:row>
    <s:row r="8713" hidden="1" ht="1" customHeight="1">
      <s:c r="A8713" s="120" t="inlineStr"/>
      <s:c r="B8713" s="121" t="n"/>
      <s:c r="C8713" s="121" t="n"/>
      <s:c r="D8713" s="121" t="n"/>
      <s:c r="E8713" s="122" t="n"/>
    </s:row>
    <s:row r="8714" hidden="1" ht="1" customHeight="1">
      <s:c r="A8714" s="120" t="inlineStr"/>
      <s:c r="B8714" s="121" t="n"/>
      <s:c r="C8714" s="121" t="n"/>
      <s:c r="D8714" s="121" t="n"/>
      <s:c r="E8714" s="122" t="n"/>
    </s:row>
    <s:row r="8715" hidden="1" ht="1" customHeight="1">
      <s:c r="A8715" s="120" t="inlineStr"/>
      <s:c r="B8715" s="121" t="n"/>
      <s:c r="C8715" s="121" t="n"/>
      <s:c r="D8715" s="121" t="n"/>
      <s:c r="E8715" s="122" t="n"/>
    </s:row>
    <s:row r="8716" hidden="1" ht="1" customHeight="1">
      <s:c r="A8716" s="120" t="inlineStr"/>
      <s:c r="B8716" s="121" t="n"/>
      <s:c r="C8716" s="121" t="n"/>
      <s:c r="D8716" s="121" t="n"/>
      <s:c r="E8716" s="122" t="n"/>
    </s:row>
    <s:row r="8717" hidden="1" ht="1" customHeight="1">
      <s:c r="A8717" s="120" t="inlineStr"/>
      <s:c r="B8717" s="121" t="n"/>
      <s:c r="C8717" s="121" t="n"/>
      <s:c r="D8717" s="121" t="n"/>
      <s:c r="E8717" s="122" t="n"/>
    </s:row>
    <s:row r="8718" hidden="1" ht="1" customHeight="1">
      <s:c r="A8718" s="120" t="inlineStr"/>
      <s:c r="B8718" s="121" t="n"/>
      <s:c r="C8718" s="121" t="n"/>
      <s:c r="D8718" s="121" t="n"/>
      <s:c r="E8718" s="122" t="n"/>
    </s:row>
    <s:row r="8719" hidden="1" ht="1" customHeight="1">
      <s:c r="A8719" s="120" t="inlineStr"/>
      <s:c r="B8719" s="121" t="n"/>
      <s:c r="C8719" s="121" t="n"/>
      <s:c r="D8719" s="121" t="n"/>
      <s:c r="E8719" s="122" t="n"/>
    </s:row>
    <s:row r="8720" hidden="1" ht="1" customHeight="1">
      <s:c r="A8720" s="120" t="inlineStr"/>
      <s:c r="B8720" s="121" t="n"/>
      <s:c r="C8720" s="121" t="n"/>
      <s:c r="D8720" s="121" t="n"/>
      <s:c r="E8720" s="122" t="n"/>
    </s:row>
    <s:row r="8721" hidden="1" ht="1" customHeight="1">
      <s:c r="A8721" s="120" t="inlineStr"/>
      <s:c r="B8721" s="121" t="n"/>
      <s:c r="C8721" s="121" t="n"/>
      <s:c r="D8721" s="121" t="n"/>
      <s:c r="E8721" s="122" t="n"/>
    </s:row>
    <s:row r="8722" hidden="1" ht="1" customHeight="1">
      <s:c r="A8722" s="120" t="inlineStr"/>
      <s:c r="B8722" s="121" t="n"/>
      <s:c r="C8722" s="121" t="n"/>
      <s:c r="D8722" s="121" t="n"/>
      <s:c r="E8722" s="122" t="n"/>
    </s:row>
    <s:row r="8723" hidden="1" ht="1" customHeight="1">
      <s:c r="A8723" s="120" t="inlineStr"/>
      <s:c r="B8723" s="121" t="n"/>
      <s:c r="C8723" s="121" t="n"/>
      <s:c r="D8723" s="121" t="n"/>
      <s:c r="E8723" s="122" t="n"/>
    </s:row>
    <s:row r="8724" hidden="1" ht="1" customHeight="1">
      <s:c r="A8724" s="120" t="inlineStr"/>
      <s:c r="B8724" s="121" t="n"/>
      <s:c r="C8724" s="121" t="n"/>
      <s:c r="D8724" s="121" t="n"/>
      <s:c r="E8724" s="122" t="n"/>
    </s:row>
    <s:row r="8725" hidden="1" ht="1" customHeight="1">
      <s:c r="A8725" s="120" t="inlineStr"/>
      <s:c r="B8725" s="121" t="n"/>
      <s:c r="C8725" s="121" t="n"/>
      <s:c r="D8725" s="121" t="n"/>
      <s:c r="E8725" s="122" t="n"/>
    </s:row>
    <s:row r="8726" hidden="1" ht="1" customHeight="1">
      <s:c r="A8726" s="120" t="inlineStr"/>
      <s:c r="B8726" s="121" t="n"/>
      <s:c r="C8726" s="121" t="n"/>
      <s:c r="D8726" s="121" t="n"/>
      <s:c r="E8726" s="122" t="n"/>
    </s:row>
    <s:row r="8727" hidden="1" ht="1" customHeight="1">
      <s:c r="A8727" s="120" t="inlineStr"/>
      <s:c r="B8727" s="121" t="n"/>
      <s:c r="C8727" s="121" t="n"/>
      <s:c r="D8727" s="121" t="n"/>
      <s:c r="E8727" s="122" t="n"/>
    </s:row>
    <s:row r="8728" hidden="1" ht="1" customHeight="1">
      <s:c r="A8728" s="120" t="inlineStr"/>
      <s:c r="B8728" s="121" t="n"/>
      <s:c r="C8728" s="121" t="n"/>
      <s:c r="D8728" s="121" t="n"/>
      <s:c r="E8728" s="122" t="n"/>
    </s:row>
    <s:row r="8729" hidden="1" ht="1" customHeight="1">
      <s:c r="A8729" s="120" t="inlineStr"/>
      <s:c r="B8729" s="121" t="n"/>
      <s:c r="C8729" s="121" t="n"/>
      <s:c r="D8729" s="121" t="n"/>
      <s:c r="E8729" s="122" t="n"/>
    </s:row>
    <s:row r="8730" hidden="1" ht="1" customHeight="1">
      <s:c r="A8730" s="120" t="inlineStr"/>
      <s:c r="B8730" s="121" t="n"/>
      <s:c r="C8730" s="121" t="n"/>
      <s:c r="D8730" s="121" t="n"/>
      <s:c r="E8730" s="122" t="n"/>
    </s:row>
    <s:row r="8731" hidden="1" ht="1" customHeight="1">
      <s:c r="A8731" s="120" t="inlineStr"/>
      <s:c r="B8731" s="121" t="n"/>
      <s:c r="C8731" s="121" t="n"/>
      <s:c r="D8731" s="121" t="n"/>
      <s:c r="E8731" s="122" t="n"/>
    </s:row>
    <s:row r="8732" hidden="1" ht="1" customHeight="1">
      <s:c r="A8732" s="120" t="inlineStr"/>
      <s:c r="B8732" s="121" t="n"/>
      <s:c r="C8732" s="121" t="n"/>
      <s:c r="D8732" s="121" t="n"/>
      <s:c r="E8732" s="122" t="n"/>
    </s:row>
    <s:row r="8733" hidden="1" ht="1" customHeight="1">
      <s:c r="A8733" s="120" t="inlineStr"/>
      <s:c r="B8733" s="121" t="n"/>
      <s:c r="C8733" s="121" t="n"/>
      <s:c r="D8733" s="121" t="n"/>
      <s:c r="E8733" s="122" t="n"/>
    </s:row>
    <s:row r="8734" hidden="1" ht="1" customHeight="1">
      <s:c r="A8734" s="120" t="inlineStr"/>
      <s:c r="B8734" s="121" t="n"/>
      <s:c r="C8734" s="121" t="n"/>
      <s:c r="D8734" s="121" t="n"/>
      <s:c r="E8734" s="122" t="n"/>
    </s:row>
    <s:row r="8735" hidden="1" ht="1" customHeight="1">
      <s:c r="A8735" s="120" t="inlineStr"/>
      <s:c r="B8735" s="121" t="n"/>
      <s:c r="C8735" s="121" t="n"/>
      <s:c r="D8735" s="121" t="n"/>
      <s:c r="E8735" s="122" t="n"/>
    </s:row>
    <s:row r="8736" hidden="1" ht="1" customHeight="1">
      <s:c r="A8736" s="120" t="inlineStr"/>
      <s:c r="B8736" s="121" t="n"/>
      <s:c r="C8736" s="121" t="n"/>
      <s:c r="D8736" s="121" t="n"/>
      <s:c r="E8736" s="122" t="n"/>
    </s:row>
    <s:row r="8737" hidden="1" ht="1" customHeight="1">
      <s:c r="A8737" s="120" t="inlineStr"/>
      <s:c r="B8737" s="121" t="n"/>
      <s:c r="C8737" s="121" t="n"/>
      <s:c r="D8737" s="121" t="n"/>
      <s:c r="E8737" s="122" t="n"/>
    </s:row>
    <s:row r="8738" hidden="1" ht="1" customHeight="1">
      <s:c r="A8738" s="120" t="inlineStr"/>
      <s:c r="B8738" s="121" t="n"/>
      <s:c r="C8738" s="121" t="n"/>
      <s:c r="D8738" s="121" t="n"/>
      <s:c r="E8738" s="122" t="n"/>
    </s:row>
    <s:row r="8739" hidden="1" ht="1" customHeight="1">
      <s:c r="A8739" s="120" t="inlineStr"/>
      <s:c r="B8739" s="121" t="n"/>
      <s:c r="C8739" s="121" t="n"/>
      <s:c r="D8739" s="121" t="n"/>
      <s:c r="E8739" s="122" t="n"/>
    </s:row>
    <s:row r="8740" hidden="1" ht="1" customHeight="1">
      <s:c r="A8740" s="120" t="inlineStr"/>
      <s:c r="B8740" s="121" t="n"/>
      <s:c r="C8740" s="121" t="n"/>
      <s:c r="D8740" s="121" t="n"/>
      <s:c r="E8740" s="122" t="n"/>
    </s:row>
    <s:row r="8741" hidden="1" ht="1" customHeight="1">
      <s:c r="A8741" s="120" t="inlineStr"/>
      <s:c r="B8741" s="121" t="n"/>
      <s:c r="C8741" s="121" t="n"/>
      <s:c r="D8741" s="121" t="n"/>
      <s:c r="E8741" s="122" t="n"/>
    </s:row>
    <s:row r="8742" hidden="1" ht="1" customHeight="1">
      <s:c r="A8742" s="120" t="inlineStr"/>
      <s:c r="B8742" s="121" t="n"/>
      <s:c r="C8742" s="121" t="n"/>
      <s:c r="D8742" s="121" t="n"/>
      <s:c r="E8742" s="122" t="n"/>
    </s:row>
    <s:row r="8743" hidden="1" ht="1" customHeight="1">
      <s:c r="A8743" s="120" t="inlineStr"/>
      <s:c r="B8743" s="121" t="n"/>
      <s:c r="C8743" s="121" t="n"/>
      <s:c r="D8743" s="121" t="n"/>
      <s:c r="E8743" s="122" t="n"/>
    </s:row>
    <s:row r="8744" hidden="1" ht="1" customHeight="1">
      <s:c r="A8744" s="120" t="inlineStr"/>
      <s:c r="B8744" s="121" t="n"/>
      <s:c r="C8744" s="121" t="n"/>
      <s:c r="D8744" s="121" t="n"/>
      <s:c r="E8744" s="122" t="n"/>
    </s:row>
    <s:row r="8745" hidden="1" ht="1" customHeight="1">
      <s:c r="A8745" s="120" t="inlineStr"/>
      <s:c r="B8745" s="121" t="n"/>
      <s:c r="C8745" s="121" t="n"/>
      <s:c r="D8745" s="121" t="n"/>
      <s:c r="E8745" s="122" t="n"/>
    </s:row>
    <s:row r="8746" hidden="1" ht="1" customHeight="1">
      <s:c r="A8746" s="120" t="inlineStr"/>
      <s:c r="B8746" s="121" t="n"/>
      <s:c r="C8746" s="121" t="n"/>
      <s:c r="D8746" s="121" t="n"/>
      <s:c r="E8746" s="122" t="n"/>
    </s:row>
    <s:row r="8747" hidden="1" ht="1" customHeight="1">
      <s:c r="A8747" s="120" t="inlineStr"/>
      <s:c r="B8747" s="121" t="n"/>
      <s:c r="C8747" s="121" t="n"/>
      <s:c r="D8747" s="121" t="n"/>
      <s:c r="E8747" s="122" t="n"/>
    </s:row>
    <s:row r="8748" hidden="1" ht="1" customHeight="1">
      <s:c r="A8748" s="120" t="inlineStr"/>
      <s:c r="B8748" s="121" t="n"/>
      <s:c r="C8748" s="121" t="n"/>
      <s:c r="D8748" s="121" t="n"/>
      <s:c r="E8748" s="122" t="n"/>
    </s:row>
    <s:row r="8749" hidden="1" ht="1" customHeight="1">
      <s:c r="A8749" s="120" t="inlineStr"/>
      <s:c r="B8749" s="121" t="n"/>
      <s:c r="C8749" s="121" t="n"/>
      <s:c r="D8749" s="121" t="n"/>
      <s:c r="E8749" s="122" t="n"/>
    </s:row>
    <s:row r="8750" hidden="1" ht="1" customHeight="1">
      <s:c r="A8750" s="120" t="inlineStr"/>
      <s:c r="B8750" s="121" t="n"/>
      <s:c r="C8750" s="121" t="n"/>
      <s:c r="D8750" s="121" t="n"/>
      <s:c r="E8750" s="122" t="n"/>
    </s:row>
    <s:row r="8751" hidden="1" ht="1" customHeight="1">
      <s:c r="A8751" s="120" t="inlineStr"/>
      <s:c r="B8751" s="121" t="n"/>
      <s:c r="C8751" s="121" t="n"/>
      <s:c r="D8751" s="121" t="n"/>
      <s:c r="E8751" s="122" t="n"/>
    </s:row>
    <s:row r="8752" hidden="1" ht="1" customHeight="1">
      <s:c r="A8752" s="120" t="inlineStr"/>
      <s:c r="B8752" s="121" t="n"/>
      <s:c r="C8752" s="121" t="n"/>
      <s:c r="D8752" s="121" t="n"/>
      <s:c r="E8752" s="122" t="n"/>
    </s:row>
    <s:row r="8753" hidden="1" ht="1" customHeight="1">
      <s:c r="A8753" s="120" t="inlineStr"/>
      <s:c r="B8753" s="121" t="n"/>
      <s:c r="C8753" s="121" t="n"/>
      <s:c r="D8753" s="121" t="n"/>
      <s:c r="E8753" s="122" t="n"/>
    </s:row>
    <s:row r="8754" hidden="1" ht="1" customHeight="1">
      <s:c r="A8754" s="120" t="inlineStr"/>
      <s:c r="B8754" s="121" t="n"/>
      <s:c r="C8754" s="121" t="n"/>
      <s:c r="D8754" s="121" t="n"/>
      <s:c r="E8754" s="122" t="n"/>
    </s:row>
    <s:row r="8755" hidden="1" ht="1" customHeight="1">
      <s:c r="A8755" s="120" t="inlineStr"/>
      <s:c r="B8755" s="121" t="n"/>
      <s:c r="C8755" s="121" t="n"/>
      <s:c r="D8755" s="121" t="n"/>
      <s:c r="E8755" s="122" t="n"/>
    </s:row>
    <s:row r="8756" hidden="1" ht="1" customHeight="1">
      <s:c r="A8756" s="120" t="inlineStr"/>
      <s:c r="B8756" s="121" t="n"/>
      <s:c r="C8756" s="121" t="n"/>
      <s:c r="D8756" s="121" t="n"/>
      <s:c r="E8756" s="122" t="n"/>
    </s:row>
    <s:row r="8757" hidden="1" ht="1" customHeight="1">
      <s:c r="A8757" s="120" t="inlineStr"/>
      <s:c r="B8757" s="121" t="n"/>
      <s:c r="C8757" s="121" t="n"/>
      <s:c r="D8757" s="121" t="n"/>
      <s:c r="E8757" s="122" t="n"/>
    </s:row>
    <s:row r="8758" hidden="1" ht="1" customHeight="1">
      <s:c r="A8758" s="120" t="inlineStr"/>
      <s:c r="B8758" s="121" t="n"/>
      <s:c r="C8758" s="121" t="n"/>
      <s:c r="D8758" s="121" t="n"/>
      <s:c r="E8758" s="122" t="n"/>
    </s:row>
    <s:row r="8759" hidden="1" ht="1" customHeight="1">
      <s:c r="A8759" s="120" t="inlineStr"/>
      <s:c r="B8759" s="121" t="n"/>
      <s:c r="C8759" s="121" t="n"/>
      <s:c r="D8759" s="121" t="n"/>
      <s:c r="E8759" s="122" t="n"/>
    </s:row>
    <s:row r="8760" hidden="1" ht="1" customHeight="1">
      <s:c r="A8760" s="120" t="inlineStr"/>
      <s:c r="B8760" s="121" t="n"/>
      <s:c r="C8760" s="121" t="n"/>
      <s:c r="D8760" s="121" t="n"/>
      <s:c r="E8760" s="122" t="n"/>
    </s:row>
    <s:row r="8761" hidden="1" ht="1" customHeight="1">
      <s:c r="A8761" s="120" t="inlineStr"/>
      <s:c r="B8761" s="121" t="n"/>
      <s:c r="C8761" s="121" t="n"/>
      <s:c r="D8761" s="121" t="n"/>
      <s:c r="E8761" s="122" t="n"/>
    </s:row>
    <s:row r="8762" hidden="1" ht="1" customHeight="1">
      <s:c r="A8762" s="120" t="inlineStr"/>
      <s:c r="B8762" s="121" t="n"/>
      <s:c r="C8762" s="121" t="n"/>
      <s:c r="D8762" s="121" t="n"/>
      <s:c r="E8762" s="122" t="n"/>
    </s:row>
    <s:row r="8763" hidden="1" ht="1" customHeight="1">
      <s:c r="A8763" s="120" t="inlineStr"/>
      <s:c r="B8763" s="121" t="n"/>
      <s:c r="C8763" s="121" t="n"/>
      <s:c r="D8763" s="121" t="n"/>
      <s:c r="E8763" s="122" t="n"/>
    </s:row>
    <s:row r="8764" hidden="1" ht="1" customHeight="1">
      <s:c r="A8764" s="120" t="inlineStr"/>
      <s:c r="B8764" s="121" t="n"/>
      <s:c r="C8764" s="121" t="n"/>
      <s:c r="D8764" s="121" t="n"/>
      <s:c r="E8764" s="122" t="n"/>
    </s:row>
    <s:row r="8765" hidden="1" ht="1" customHeight="1">
      <s:c r="A8765" s="120" t="inlineStr"/>
      <s:c r="B8765" s="121" t="n"/>
      <s:c r="C8765" s="121" t="n"/>
      <s:c r="D8765" s="121" t="n"/>
      <s:c r="E8765" s="122" t="n"/>
    </s:row>
    <s:row r="8766" hidden="1" ht="1" customHeight="1">
      <s:c r="A8766" s="120" t="inlineStr"/>
      <s:c r="B8766" s="121" t="n"/>
      <s:c r="C8766" s="121" t="n"/>
      <s:c r="D8766" s="121" t="n"/>
      <s:c r="E8766" s="122" t="n"/>
    </s:row>
    <s:row r="8767" hidden="1" ht="1" customHeight="1">
      <s:c r="A8767" s="120" t="inlineStr"/>
      <s:c r="B8767" s="121" t="n"/>
      <s:c r="C8767" s="121" t="n"/>
      <s:c r="D8767" s="121" t="n"/>
      <s:c r="E8767" s="122" t="n"/>
    </s:row>
    <s:row r="8768" hidden="1" ht="1" customHeight="1">
      <s:c r="A8768" s="120" t="inlineStr"/>
      <s:c r="B8768" s="121" t="n"/>
      <s:c r="C8768" s="121" t="n"/>
      <s:c r="D8768" s="121" t="n"/>
      <s:c r="E8768" s="122" t="n"/>
    </s:row>
    <s:row r="8769" hidden="1" ht="1" customHeight="1">
      <s:c r="A8769" s="120" t="inlineStr"/>
      <s:c r="B8769" s="121" t="n"/>
      <s:c r="C8769" s="121" t="n"/>
      <s:c r="D8769" s="121" t="n"/>
      <s:c r="E8769" s="122" t="n"/>
    </s:row>
    <s:row r="8770" hidden="1" ht="1" customHeight="1">
      <s:c r="A8770" s="120" t="inlineStr"/>
      <s:c r="B8770" s="121" t="n"/>
      <s:c r="C8770" s="121" t="n"/>
      <s:c r="D8770" s="121" t="n"/>
      <s:c r="E8770" s="122" t="n"/>
    </s:row>
    <s:row r="8771" hidden="1" ht="1" customHeight="1">
      <s:c r="A8771" s="120" t="inlineStr"/>
      <s:c r="B8771" s="121" t="n"/>
      <s:c r="C8771" s="121" t="n"/>
      <s:c r="D8771" s="121" t="n"/>
      <s:c r="E8771" s="122" t="n"/>
    </s:row>
    <s:row r="8772" hidden="1" ht="1" customHeight="1">
      <s:c r="A8772" s="120" t="inlineStr"/>
      <s:c r="B8772" s="121" t="n"/>
      <s:c r="C8772" s="121" t="n"/>
      <s:c r="D8772" s="121" t="n"/>
      <s:c r="E8772" s="122" t="n"/>
    </s:row>
    <s:row r="8773" hidden="1" ht="1" customHeight="1">
      <s:c r="A8773" s="120" t="inlineStr"/>
      <s:c r="B8773" s="121" t="n"/>
      <s:c r="C8773" s="121" t="n"/>
      <s:c r="D8773" s="121" t="n"/>
      <s:c r="E8773" s="122" t="n"/>
    </s:row>
    <s:row r="8774" hidden="1" ht="1" customHeight="1">
      <s:c r="A8774" s="120" t="inlineStr"/>
      <s:c r="B8774" s="121" t="n"/>
      <s:c r="C8774" s="121" t="n"/>
      <s:c r="D8774" s="121" t="n"/>
      <s:c r="E8774" s="122" t="n"/>
    </s:row>
    <s:row r="8775" hidden="1" ht="1" customHeight="1">
      <s:c r="A8775" s="120" t="inlineStr"/>
      <s:c r="B8775" s="121" t="n"/>
      <s:c r="C8775" s="121" t="n"/>
      <s:c r="D8775" s="121" t="n"/>
      <s:c r="E8775" s="122" t="n"/>
    </s:row>
    <s:row r="8776" hidden="1" ht="1" customHeight="1">
      <s:c r="A8776" s="120" t="inlineStr"/>
      <s:c r="B8776" s="121" t="n"/>
      <s:c r="C8776" s="121" t="n"/>
      <s:c r="D8776" s="121" t="n"/>
      <s:c r="E8776" s="122" t="n"/>
    </s:row>
    <s:row r="8777" hidden="1" ht="1" customHeight="1">
      <s:c r="A8777" s="120" t="inlineStr"/>
      <s:c r="B8777" s="121" t="n"/>
      <s:c r="C8777" s="121" t="n"/>
      <s:c r="D8777" s="121" t="n"/>
      <s:c r="E8777" s="122" t="n"/>
    </s:row>
    <s:row r="8778" hidden="1" ht="1" customHeight="1">
      <s:c r="A8778" s="120" t="inlineStr"/>
      <s:c r="B8778" s="121" t="n"/>
      <s:c r="C8778" s="121" t="n"/>
      <s:c r="D8778" s="121" t="n"/>
      <s:c r="E8778" s="122" t="n"/>
    </s:row>
    <s:row r="8779" hidden="1" ht="1" customHeight="1">
      <s:c r="A8779" s="120" t="inlineStr"/>
      <s:c r="B8779" s="121" t="n"/>
      <s:c r="C8779" s="121" t="n"/>
      <s:c r="D8779" s="121" t="n"/>
      <s:c r="E8779" s="122" t="n"/>
    </s:row>
    <s:row r="8780" hidden="1" ht="1" customHeight="1">
      <s:c r="A8780" s="120" t="inlineStr"/>
      <s:c r="B8780" s="121" t="n"/>
      <s:c r="C8780" s="121" t="n"/>
      <s:c r="D8780" s="121" t="n"/>
      <s:c r="E8780" s="122" t="n"/>
    </s:row>
    <s:row r="8781" hidden="1" ht="1" customHeight="1">
      <s:c r="A8781" s="120" t="inlineStr"/>
      <s:c r="B8781" s="121" t="n"/>
      <s:c r="C8781" s="121" t="n"/>
      <s:c r="D8781" s="121" t="n"/>
      <s:c r="E8781" s="122" t="n"/>
    </s:row>
    <s:row r="8782" hidden="1" ht="1" customHeight="1">
      <s:c r="A8782" s="120" t="inlineStr"/>
      <s:c r="B8782" s="121" t="n"/>
      <s:c r="C8782" s="121" t="n"/>
      <s:c r="D8782" s="121" t="n"/>
      <s:c r="E8782" s="122" t="n"/>
    </s:row>
    <s:row r="8783" hidden="1" ht="1" customHeight="1">
      <s:c r="A8783" s="120" t="inlineStr"/>
      <s:c r="B8783" s="121" t="n"/>
      <s:c r="C8783" s="121" t="n"/>
      <s:c r="D8783" s="121" t="n"/>
      <s:c r="E8783" s="122" t="n"/>
    </s:row>
    <s:row r="8784" hidden="1" ht="1" customHeight="1">
      <s:c r="A8784" s="120" t="inlineStr"/>
      <s:c r="B8784" s="121" t="n"/>
      <s:c r="C8784" s="121" t="n"/>
      <s:c r="D8784" s="121" t="n"/>
      <s:c r="E8784" s="122" t="n"/>
    </s:row>
    <s:row r="8785" hidden="1" ht="1" customHeight="1">
      <s:c r="A8785" s="120" t="inlineStr"/>
      <s:c r="B8785" s="121" t="n"/>
      <s:c r="C8785" s="121" t="n"/>
      <s:c r="D8785" s="121" t="n"/>
      <s:c r="E8785" s="122" t="n"/>
    </s:row>
    <s:row r="8786" hidden="1" ht="1" customHeight="1">
      <s:c r="A8786" s="120" t="inlineStr"/>
      <s:c r="B8786" s="121" t="n"/>
      <s:c r="C8786" s="121" t="n"/>
      <s:c r="D8786" s="121" t="n"/>
      <s:c r="E8786" s="122" t="n"/>
    </s:row>
    <s:row r="8787" hidden="1" ht="1" customHeight="1">
      <s:c r="A8787" s="120" t="inlineStr"/>
      <s:c r="B8787" s="121" t="n"/>
      <s:c r="C8787" s="121" t="n"/>
      <s:c r="D8787" s="121" t="n"/>
      <s:c r="E8787" s="122" t="n"/>
    </s:row>
    <s:row r="8788" hidden="1" ht="1" customHeight="1">
      <s:c r="A8788" s="120" t="inlineStr"/>
      <s:c r="B8788" s="121" t="n"/>
      <s:c r="C8788" s="121" t="n"/>
      <s:c r="D8788" s="121" t="n"/>
      <s:c r="E8788" s="122" t="n"/>
    </s:row>
    <s:row r="8789" hidden="1" ht="1" customHeight="1">
      <s:c r="A8789" s="120" t="inlineStr"/>
      <s:c r="B8789" s="121" t="n"/>
      <s:c r="C8789" s="121" t="n"/>
      <s:c r="D8789" s="121" t="n"/>
      <s:c r="E8789" s="122" t="n"/>
    </s:row>
    <s:row r="8790" hidden="1" ht="1" customHeight="1">
      <s:c r="A8790" s="120" t="inlineStr"/>
      <s:c r="B8790" s="121" t="n"/>
      <s:c r="C8790" s="121" t="n"/>
      <s:c r="D8790" s="121" t="n"/>
      <s:c r="E8790" s="122" t="n"/>
    </s:row>
    <s:row r="8791" hidden="1" ht="1" customHeight="1">
      <s:c r="A8791" s="120" t="inlineStr"/>
      <s:c r="B8791" s="121" t="n"/>
      <s:c r="C8791" s="121" t="n"/>
      <s:c r="D8791" s="121" t="n"/>
      <s:c r="E8791" s="122" t="n"/>
    </s:row>
    <s:row r="8792" hidden="1" ht="1" customHeight="1">
      <s:c r="A8792" s="120" t="inlineStr"/>
      <s:c r="B8792" s="121" t="n"/>
      <s:c r="C8792" s="121" t="n"/>
      <s:c r="D8792" s="121" t="n"/>
      <s:c r="E8792" s="122" t="n"/>
    </s:row>
    <s:row r="8793" hidden="1" ht="1" customHeight="1">
      <s:c r="A8793" s="120" t="inlineStr"/>
      <s:c r="B8793" s="121" t="n"/>
      <s:c r="C8793" s="121" t="n"/>
      <s:c r="D8793" s="121" t="n"/>
      <s:c r="E8793" s="122" t="n"/>
    </s:row>
    <s:row r="8794" hidden="1" ht="1" customHeight="1">
      <s:c r="A8794" s="120" t="inlineStr"/>
      <s:c r="B8794" s="121" t="n"/>
      <s:c r="C8794" s="121" t="n"/>
      <s:c r="D8794" s="121" t="n"/>
      <s:c r="E8794" s="122" t="n"/>
    </s:row>
    <s:row r="8795" hidden="1" ht="1" customHeight="1">
      <s:c r="A8795" s="120" t="inlineStr"/>
      <s:c r="B8795" s="121" t="n"/>
      <s:c r="C8795" s="121" t="n"/>
      <s:c r="D8795" s="121" t="n"/>
      <s:c r="E8795" s="122" t="n"/>
    </s:row>
    <s:row r="8796" hidden="1" ht="1" customHeight="1">
      <s:c r="A8796" s="120" t="inlineStr"/>
      <s:c r="B8796" s="121" t="n"/>
      <s:c r="C8796" s="121" t="n"/>
      <s:c r="D8796" s="121" t="n"/>
      <s:c r="E8796" s="122" t="n"/>
    </s:row>
    <s:row r="8797" hidden="1" ht="1" customHeight="1">
      <s:c r="A8797" s="120" t="inlineStr"/>
      <s:c r="B8797" s="121" t="n"/>
      <s:c r="C8797" s="121" t="n"/>
      <s:c r="D8797" s="121" t="n"/>
      <s:c r="E8797" s="122" t="n"/>
    </s:row>
    <s:row r="8798" hidden="1" ht="1" customHeight="1">
      <s:c r="A8798" s="120" t="inlineStr"/>
      <s:c r="B8798" s="121" t="n"/>
      <s:c r="C8798" s="121" t="n"/>
      <s:c r="D8798" s="121" t="n"/>
      <s:c r="E8798" s="122" t="n"/>
    </s:row>
    <s:row r="8799" hidden="1" ht="1" customHeight="1">
      <s:c r="A8799" s="120" t="inlineStr"/>
      <s:c r="B8799" s="121" t="n"/>
      <s:c r="C8799" s="121" t="n"/>
      <s:c r="D8799" s="121" t="n"/>
      <s:c r="E8799" s="122" t="n"/>
    </s:row>
    <s:row r="8800" hidden="1" ht="1" customHeight="1">
      <s:c r="A8800" s="120" t="inlineStr"/>
      <s:c r="B8800" s="121" t="n"/>
      <s:c r="C8800" s="121" t="n"/>
      <s:c r="D8800" s="121" t="n"/>
      <s:c r="E8800" s="122" t="n"/>
    </s:row>
    <s:row r="8801" hidden="1" ht="1" customHeight="1">
      <s:c r="A8801" s="120" t="inlineStr"/>
      <s:c r="B8801" s="121" t="n"/>
      <s:c r="C8801" s="121" t="n"/>
      <s:c r="D8801" s="121" t="n"/>
      <s:c r="E8801" s="122" t="n"/>
    </s:row>
    <s:row r="8802" hidden="1" ht="1" customHeight="1">
      <s:c r="A8802" s="120" t="inlineStr"/>
      <s:c r="B8802" s="121" t="n"/>
      <s:c r="C8802" s="121" t="n"/>
      <s:c r="D8802" s="121" t="n"/>
      <s:c r="E8802" s="122" t="n"/>
    </s:row>
    <s:row r="8803" hidden="1" ht="1" customHeight="1">
      <s:c r="A8803" s="120" t="inlineStr"/>
      <s:c r="B8803" s="121" t="n"/>
      <s:c r="C8803" s="121" t="n"/>
      <s:c r="D8803" s="121" t="n"/>
      <s:c r="E8803" s="122" t="n"/>
    </s:row>
    <s:row r="8804" hidden="1" ht="1" customHeight="1">
      <s:c r="A8804" s="120" t="inlineStr"/>
      <s:c r="B8804" s="121" t="n"/>
      <s:c r="C8804" s="121" t="n"/>
      <s:c r="D8804" s="121" t="n"/>
      <s:c r="E8804" s="122" t="n"/>
    </s:row>
    <s:row r="8805" hidden="1" ht="1" customHeight="1">
      <s:c r="A8805" s="120" t="inlineStr"/>
      <s:c r="B8805" s="121" t="n"/>
      <s:c r="C8805" s="121" t="n"/>
      <s:c r="D8805" s="121" t="n"/>
      <s:c r="E8805" s="122" t="n"/>
    </s:row>
    <s:row r="8806" hidden="1" ht="1" customHeight="1">
      <s:c r="A8806" s="120" t="inlineStr"/>
      <s:c r="B8806" s="121" t="n"/>
      <s:c r="C8806" s="121" t="n"/>
      <s:c r="D8806" s="121" t="n"/>
      <s:c r="E8806" s="122" t="n"/>
    </s:row>
    <s:row r="8807" hidden="1" ht="1" customHeight="1">
      <s:c r="A8807" s="120" t="inlineStr"/>
      <s:c r="B8807" s="121" t="n"/>
      <s:c r="C8807" s="121" t="n"/>
      <s:c r="D8807" s="121" t="n"/>
      <s:c r="E8807" s="122" t="n"/>
    </s:row>
    <s:row r="8808" hidden="1" ht="1" customHeight="1">
      <s:c r="A8808" s="120" t="inlineStr"/>
      <s:c r="B8808" s="121" t="n"/>
      <s:c r="C8808" s="121" t="n"/>
      <s:c r="D8808" s="121" t="n"/>
      <s:c r="E8808" s="122" t="n"/>
    </s:row>
    <s:row r="8809" hidden="1" ht="1" customHeight="1">
      <s:c r="A8809" s="120" t="inlineStr"/>
      <s:c r="B8809" s="121" t="n"/>
      <s:c r="C8809" s="121" t="n"/>
      <s:c r="D8809" s="121" t="n"/>
      <s:c r="E8809" s="122" t="n"/>
    </s:row>
    <s:row r="8810" hidden="1" ht="1" customHeight="1">
      <s:c r="A8810" s="120" t="inlineStr"/>
      <s:c r="B8810" s="121" t="n"/>
      <s:c r="C8810" s="121" t="n"/>
      <s:c r="D8810" s="121" t="n"/>
      <s:c r="E8810" s="122" t="n"/>
    </s:row>
    <s:row r="8811" hidden="1" ht="1" customHeight="1">
      <s:c r="A8811" s="120" t="inlineStr"/>
      <s:c r="B8811" s="121" t="n"/>
      <s:c r="C8811" s="121" t="n"/>
      <s:c r="D8811" s="121" t="n"/>
      <s:c r="E8811" s="122" t="n"/>
    </s:row>
    <s:row r="8812" hidden="1" ht="1" customHeight="1">
      <s:c r="A8812" s="120" t="inlineStr"/>
      <s:c r="B8812" s="121" t="n"/>
      <s:c r="C8812" s="121" t="n"/>
      <s:c r="D8812" s="121" t="n"/>
      <s:c r="E8812" s="122" t="n"/>
    </s:row>
    <s:row r="8813" hidden="1" ht="1" customHeight="1">
      <s:c r="A8813" s="120" t="inlineStr"/>
      <s:c r="B8813" s="121" t="n"/>
      <s:c r="C8813" s="121" t="n"/>
      <s:c r="D8813" s="121" t="n"/>
      <s:c r="E8813" s="122" t="n"/>
    </s:row>
    <s:row r="8814" hidden="1" ht="1" customHeight="1">
      <s:c r="A8814" s="120" t="inlineStr"/>
      <s:c r="B8814" s="121" t="n"/>
      <s:c r="C8814" s="121" t="n"/>
      <s:c r="D8814" s="121" t="n"/>
      <s:c r="E8814" s="122" t="n"/>
    </s:row>
    <s:row r="8815" hidden="1" ht="1" customHeight="1">
      <s:c r="A8815" s="120" t="inlineStr"/>
      <s:c r="B8815" s="121" t="n"/>
      <s:c r="C8815" s="121" t="n"/>
      <s:c r="D8815" s="121" t="n"/>
      <s:c r="E8815" s="122" t="n"/>
    </s:row>
    <s:row r="8816" hidden="1" ht="1" customHeight="1">
      <s:c r="A8816" s="120" t="inlineStr"/>
      <s:c r="B8816" s="121" t="n"/>
      <s:c r="C8816" s="121" t="n"/>
      <s:c r="D8816" s="121" t="n"/>
      <s:c r="E8816" s="122" t="n"/>
    </s:row>
    <s:row r="8817" hidden="1" ht="1" customHeight="1">
      <s:c r="A8817" s="120" t="inlineStr"/>
      <s:c r="B8817" s="121" t="n"/>
      <s:c r="C8817" s="121" t="n"/>
      <s:c r="D8817" s="121" t="n"/>
      <s:c r="E8817" s="122" t="n"/>
    </s:row>
    <s:row r="8818" hidden="1" ht="1" customHeight="1">
      <s:c r="A8818" s="120" t="inlineStr"/>
      <s:c r="B8818" s="121" t="n"/>
      <s:c r="C8818" s="121" t="n"/>
      <s:c r="D8818" s="121" t="n"/>
      <s:c r="E8818" s="122" t="n"/>
    </s:row>
    <s:row r="8819" hidden="1" ht="1" customHeight="1">
      <s:c r="A8819" s="120" t="inlineStr"/>
      <s:c r="B8819" s="121" t="n"/>
      <s:c r="C8819" s="121" t="n"/>
      <s:c r="D8819" s="121" t="n"/>
      <s:c r="E8819" s="122" t="n"/>
    </s:row>
    <s:row r="8820" hidden="1" ht="1" customHeight="1">
      <s:c r="A8820" s="120" t="inlineStr"/>
      <s:c r="B8820" s="121" t="n"/>
      <s:c r="C8820" s="121" t="n"/>
      <s:c r="D8820" s="121" t="n"/>
      <s:c r="E8820" s="122" t="n"/>
    </s:row>
    <s:row r="8821" hidden="1" ht="1" customHeight="1">
      <s:c r="A8821" s="120" t="inlineStr"/>
      <s:c r="B8821" s="121" t="n"/>
      <s:c r="C8821" s="121" t="n"/>
      <s:c r="D8821" s="121" t="n"/>
      <s:c r="E8821" s="122" t="n"/>
    </s:row>
    <s:row r="8822" hidden="1" ht="1" customHeight="1">
      <s:c r="A8822" s="120" t="inlineStr"/>
      <s:c r="B8822" s="121" t="n"/>
      <s:c r="C8822" s="121" t="n"/>
      <s:c r="D8822" s="121" t="n"/>
      <s:c r="E8822" s="122" t="n"/>
    </s:row>
    <s:row r="8823" hidden="1" ht="1" customHeight="1">
      <s:c r="A8823" s="120" t="inlineStr"/>
      <s:c r="B8823" s="121" t="n"/>
      <s:c r="C8823" s="121" t="n"/>
      <s:c r="D8823" s="121" t="n"/>
      <s:c r="E8823" s="122" t="n"/>
    </s:row>
    <s:row r="8824" hidden="1" ht="1" customHeight="1">
      <s:c r="A8824" s="120" t="inlineStr"/>
      <s:c r="B8824" s="121" t="n"/>
      <s:c r="C8824" s="121" t="n"/>
      <s:c r="D8824" s="121" t="n"/>
      <s:c r="E8824" s="122" t="n"/>
    </s:row>
    <s:row r="8825" hidden="1" ht="1" customHeight="1">
      <s:c r="A8825" s="120" t="inlineStr"/>
      <s:c r="B8825" s="121" t="n"/>
      <s:c r="C8825" s="121" t="n"/>
      <s:c r="D8825" s="121" t="n"/>
      <s:c r="E8825" s="122" t="n"/>
    </s:row>
    <s:row r="8826" hidden="1" ht="1" customHeight="1">
      <s:c r="A8826" s="120" t="inlineStr"/>
      <s:c r="B8826" s="121" t="n"/>
      <s:c r="C8826" s="121" t="n"/>
      <s:c r="D8826" s="121" t="n"/>
      <s:c r="E8826" s="122" t="n"/>
    </s:row>
    <s:row r="8827" hidden="1" ht="1" customHeight="1">
      <s:c r="A8827" s="120" t="inlineStr"/>
      <s:c r="B8827" s="121" t="n"/>
      <s:c r="C8827" s="121" t="n"/>
      <s:c r="D8827" s="121" t="n"/>
      <s:c r="E8827" s="122" t="n"/>
    </s:row>
    <s:row r="8828" hidden="1" ht="1" customHeight="1">
      <s:c r="A8828" s="120" t="inlineStr"/>
      <s:c r="B8828" s="121" t="n"/>
      <s:c r="C8828" s="121" t="n"/>
      <s:c r="D8828" s="121" t="n"/>
      <s:c r="E8828" s="122" t="n"/>
    </s:row>
    <s:row r="8829" hidden="1" ht="1" customHeight="1">
      <s:c r="A8829" s="120" t="inlineStr"/>
      <s:c r="B8829" s="121" t="n"/>
      <s:c r="C8829" s="121" t="n"/>
      <s:c r="D8829" s="121" t="n"/>
      <s:c r="E8829" s="122" t="n"/>
    </s:row>
    <s:row r="8830" hidden="1" ht="1" customHeight="1">
      <s:c r="A8830" s="120" t="inlineStr"/>
      <s:c r="B8830" s="121" t="n"/>
      <s:c r="C8830" s="121" t="n"/>
      <s:c r="D8830" s="121" t="n"/>
      <s:c r="E8830" s="122" t="n"/>
    </s:row>
    <s:row r="8831" hidden="1" ht="1" customHeight="1">
      <s:c r="A8831" s="120" t="inlineStr"/>
      <s:c r="B8831" s="121" t="n"/>
      <s:c r="C8831" s="121" t="n"/>
      <s:c r="D8831" s="121" t="n"/>
      <s:c r="E8831" s="122" t="n"/>
    </s:row>
    <s:row r="8832" hidden="1" ht="1" customHeight="1">
      <s:c r="A8832" s="120" t="inlineStr"/>
      <s:c r="B8832" s="121" t="n"/>
      <s:c r="C8832" s="121" t="n"/>
      <s:c r="D8832" s="121" t="n"/>
      <s:c r="E8832" s="122" t="n"/>
    </s:row>
    <s:row r="8833" hidden="1" ht="1" customHeight="1">
      <s:c r="A8833" s="120" t="inlineStr"/>
      <s:c r="B8833" s="121" t="n"/>
      <s:c r="C8833" s="121" t="n"/>
      <s:c r="D8833" s="121" t="n"/>
      <s:c r="E8833" s="122" t="n"/>
    </s:row>
    <s:row r="8834" hidden="1" ht="1" customHeight="1">
      <s:c r="A8834" s="120" t="inlineStr"/>
      <s:c r="B8834" s="121" t="n"/>
      <s:c r="C8834" s="121" t="n"/>
      <s:c r="D8834" s="121" t="n"/>
      <s:c r="E8834" s="122" t="n"/>
    </s:row>
    <s:row r="8835" hidden="1" ht="1" customHeight="1">
      <s:c r="A8835" s="120" t="inlineStr"/>
      <s:c r="B8835" s="121" t="n"/>
      <s:c r="C8835" s="121" t="n"/>
      <s:c r="D8835" s="121" t="n"/>
      <s:c r="E8835" s="122" t="n"/>
    </s:row>
    <s:row r="8836" hidden="1" ht="1" customHeight="1">
      <s:c r="A8836" s="120" t="inlineStr"/>
      <s:c r="B8836" s="121" t="n"/>
      <s:c r="C8836" s="121" t="n"/>
      <s:c r="D8836" s="121" t="n"/>
      <s:c r="E8836" s="122" t="n"/>
    </s:row>
    <s:row r="8837" hidden="1" ht="1" customHeight="1">
      <s:c r="A8837" s="120" t="inlineStr"/>
      <s:c r="B8837" s="121" t="n"/>
      <s:c r="C8837" s="121" t="n"/>
      <s:c r="D8837" s="121" t="n"/>
      <s:c r="E8837" s="122" t="n"/>
    </s:row>
    <s:row r="8838" hidden="1" ht="1" customHeight="1">
      <s:c r="A8838" s="120" t="inlineStr"/>
      <s:c r="B8838" s="121" t="n"/>
      <s:c r="C8838" s="121" t="n"/>
      <s:c r="D8838" s="121" t="n"/>
      <s:c r="E8838" s="122" t="n"/>
    </s:row>
    <s:row r="8839" hidden="1" ht="1" customHeight="1">
      <s:c r="A8839" s="120" t="inlineStr"/>
      <s:c r="B8839" s="121" t="n"/>
      <s:c r="C8839" s="121" t="n"/>
      <s:c r="D8839" s="121" t="n"/>
      <s:c r="E8839" s="122" t="n"/>
    </s:row>
    <s:row r="8840" hidden="1" ht="1" customHeight="1">
      <s:c r="A8840" s="120" t="inlineStr"/>
      <s:c r="B8840" s="121" t="n"/>
      <s:c r="C8840" s="121" t="n"/>
      <s:c r="D8840" s="121" t="n"/>
      <s:c r="E8840" s="122" t="n"/>
    </s:row>
    <s:row r="8841" hidden="1" ht="1" customHeight="1">
      <s:c r="A8841" s="120" t="inlineStr"/>
      <s:c r="B8841" s="121" t="n"/>
      <s:c r="C8841" s="121" t="n"/>
      <s:c r="D8841" s="121" t="n"/>
      <s:c r="E8841" s="122" t="n"/>
    </s:row>
    <s:row r="8842" hidden="1" ht="1" customHeight="1">
      <s:c r="A8842" s="120" t="inlineStr"/>
      <s:c r="B8842" s="121" t="n"/>
      <s:c r="C8842" s="121" t="n"/>
      <s:c r="D8842" s="121" t="n"/>
      <s:c r="E8842" s="122" t="n"/>
    </s:row>
    <s:row r="8843" hidden="1" ht="1" customHeight="1">
      <s:c r="A8843" s="120" t="inlineStr"/>
      <s:c r="B8843" s="121" t="n"/>
      <s:c r="C8843" s="121" t="n"/>
      <s:c r="D8843" s="121" t="n"/>
      <s:c r="E8843" s="122" t="n"/>
    </s:row>
    <s:row r="8844" hidden="1" ht="1" customHeight="1">
      <s:c r="A8844" s="120" t="inlineStr"/>
      <s:c r="B8844" s="121" t="n"/>
      <s:c r="C8844" s="121" t="n"/>
      <s:c r="D8844" s="121" t="n"/>
      <s:c r="E8844" s="122" t="n"/>
    </s:row>
    <s:row r="8845" hidden="1" ht="1" customHeight="1">
      <s:c r="A8845" s="120" t="inlineStr"/>
      <s:c r="B8845" s="121" t="n"/>
      <s:c r="C8845" s="121" t="n"/>
      <s:c r="D8845" s="121" t="n"/>
      <s:c r="E8845" s="122" t="n"/>
    </s:row>
    <s:row r="8846" hidden="1" ht="1" customHeight="1">
      <s:c r="A8846" s="120" t="inlineStr"/>
      <s:c r="B8846" s="121" t="n"/>
      <s:c r="C8846" s="121" t="n"/>
      <s:c r="D8846" s="121" t="n"/>
      <s:c r="E8846" s="122" t="n"/>
    </s:row>
    <s:row r="8847" hidden="1" ht="1" customHeight="1">
      <s:c r="A8847" s="120" t="inlineStr"/>
      <s:c r="B8847" s="121" t="n"/>
      <s:c r="C8847" s="121" t="n"/>
      <s:c r="D8847" s="121" t="n"/>
      <s:c r="E8847" s="122" t="n"/>
    </s:row>
    <s:row r="8848" hidden="1" ht="1" customHeight="1">
      <s:c r="A8848" s="120" t="inlineStr"/>
      <s:c r="B8848" s="121" t="n"/>
      <s:c r="C8848" s="121" t="n"/>
      <s:c r="D8848" s="121" t="n"/>
      <s:c r="E8848" s="122" t="n"/>
    </s:row>
    <s:row r="8849" hidden="1" ht="1" customHeight="1">
      <s:c r="A8849" s="120" t="inlineStr"/>
      <s:c r="B8849" s="121" t="n"/>
      <s:c r="C8849" s="121" t="n"/>
      <s:c r="D8849" s="121" t="n"/>
      <s:c r="E8849" s="122" t="n"/>
    </s:row>
    <s:row r="8850" hidden="1" ht="1" customHeight="1">
      <s:c r="A8850" s="120" t="inlineStr"/>
      <s:c r="B8850" s="121" t="n"/>
      <s:c r="C8850" s="121" t="n"/>
      <s:c r="D8850" s="121" t="n"/>
      <s:c r="E8850" s="122" t="n"/>
    </s:row>
    <s:row r="8851" hidden="1" ht="1" customHeight="1">
      <s:c r="A8851" s="120" t="inlineStr"/>
      <s:c r="B8851" s="121" t="n"/>
      <s:c r="C8851" s="121" t="n"/>
      <s:c r="D8851" s="121" t="n"/>
      <s:c r="E8851" s="122" t="n"/>
    </s:row>
    <s:row r="8852" hidden="1" ht="1" customHeight="1">
      <s:c r="A8852" s="120" t="inlineStr"/>
      <s:c r="B8852" s="121" t="n"/>
      <s:c r="C8852" s="121" t="n"/>
      <s:c r="D8852" s="121" t="n"/>
      <s:c r="E8852" s="122" t="n"/>
    </s:row>
    <s:row r="8853" hidden="1" ht="1" customHeight="1">
      <s:c r="A8853" s="120" t="inlineStr"/>
      <s:c r="B8853" s="121" t="n"/>
      <s:c r="C8853" s="121" t="n"/>
      <s:c r="D8853" s="121" t="n"/>
      <s:c r="E8853" s="122" t="n"/>
    </s:row>
    <s:row r="8854" hidden="1" ht="1" customHeight="1">
      <s:c r="A8854" s="120" t="inlineStr"/>
      <s:c r="B8854" s="121" t="n"/>
      <s:c r="C8854" s="121" t="n"/>
      <s:c r="D8854" s="121" t="n"/>
      <s:c r="E8854" s="122" t="n"/>
    </s:row>
    <s:row r="8855" hidden="1" ht="1" customHeight="1">
      <s:c r="A8855" s="120" t="inlineStr"/>
      <s:c r="B8855" s="121" t="n"/>
      <s:c r="C8855" s="121" t="n"/>
      <s:c r="D8855" s="121" t="n"/>
      <s:c r="E8855" s="122" t="n"/>
    </s:row>
    <s:row r="8856" hidden="1" ht="1" customHeight="1">
      <s:c r="A8856" s="120" t="inlineStr"/>
      <s:c r="B8856" s="121" t="n"/>
      <s:c r="C8856" s="121" t="n"/>
      <s:c r="D8856" s="121" t="n"/>
      <s:c r="E8856" s="122" t="n"/>
    </s:row>
    <s:row r="8857" hidden="1" ht="1" customHeight="1">
      <s:c r="A8857" s="120" t="inlineStr"/>
      <s:c r="B8857" s="121" t="n"/>
      <s:c r="C8857" s="121" t="n"/>
      <s:c r="D8857" s="121" t="n"/>
      <s:c r="E8857" s="122" t="n"/>
    </s:row>
    <s:row r="8858" hidden="1" ht="1" customHeight="1">
      <s:c r="A8858" s="120" t="inlineStr"/>
      <s:c r="B8858" s="121" t="n"/>
      <s:c r="C8858" s="121" t="n"/>
      <s:c r="D8858" s="121" t="n"/>
      <s:c r="E8858" s="122" t="n"/>
    </s:row>
    <s:row r="8859" hidden="1" ht="1" customHeight="1">
      <s:c r="A8859" s="120" t="inlineStr"/>
      <s:c r="B8859" s="121" t="n"/>
      <s:c r="C8859" s="121" t="n"/>
      <s:c r="D8859" s="121" t="n"/>
      <s:c r="E8859" s="122" t="n"/>
    </s:row>
    <s:row r="8860" hidden="1" ht="1" customHeight="1">
      <s:c r="A8860" s="120" t="inlineStr"/>
      <s:c r="B8860" s="121" t="n"/>
      <s:c r="C8860" s="121" t="n"/>
      <s:c r="D8860" s="121" t="n"/>
      <s:c r="E8860" s="122" t="n"/>
    </s:row>
    <s:row r="8861" hidden="1" ht="1" customHeight="1">
      <s:c r="A8861" s="120" t="inlineStr"/>
      <s:c r="B8861" s="121" t="n"/>
      <s:c r="C8861" s="121" t="n"/>
      <s:c r="D8861" s="121" t="n"/>
      <s:c r="E8861" s="122" t="n"/>
    </s:row>
    <s:row r="8862" hidden="1" ht="1" customHeight="1">
      <s:c r="A8862" s="120" t="inlineStr"/>
      <s:c r="B8862" s="121" t="n"/>
      <s:c r="C8862" s="121" t="n"/>
      <s:c r="D8862" s="121" t="n"/>
      <s:c r="E8862" s="122" t="n"/>
    </s:row>
    <s:row r="8863" hidden="1" ht="1" customHeight="1">
      <s:c r="A8863" s="120" t="inlineStr"/>
      <s:c r="B8863" s="121" t="n"/>
      <s:c r="C8863" s="121" t="n"/>
      <s:c r="D8863" s="121" t="n"/>
      <s:c r="E8863" s="122" t="n"/>
    </s:row>
    <s:row r="8864" hidden="1" ht="1" customHeight="1">
      <s:c r="A8864" s="120" t="inlineStr"/>
      <s:c r="B8864" s="121" t="n"/>
      <s:c r="C8864" s="121" t="n"/>
      <s:c r="D8864" s="121" t="n"/>
      <s:c r="E8864" s="122" t="n"/>
    </s:row>
    <s:row r="8865" hidden="1" ht="1" customHeight="1">
      <s:c r="A8865" s="120" t="inlineStr"/>
      <s:c r="B8865" s="121" t="n"/>
      <s:c r="C8865" s="121" t="n"/>
      <s:c r="D8865" s="121" t="n"/>
      <s:c r="E8865" s="122" t="n"/>
    </s:row>
    <s:row r="8866" hidden="1" ht="1" customHeight="1">
      <s:c r="A8866" s="120" t="inlineStr"/>
      <s:c r="B8866" s="121" t="n"/>
      <s:c r="C8866" s="121" t="n"/>
      <s:c r="D8866" s="121" t="n"/>
      <s:c r="E8866" s="122" t="n"/>
    </s:row>
    <s:row r="8867" hidden="1" ht="1" customHeight="1">
      <s:c r="A8867" s="120" t="inlineStr"/>
      <s:c r="B8867" s="121" t="n"/>
      <s:c r="C8867" s="121" t="n"/>
      <s:c r="D8867" s="121" t="n"/>
      <s:c r="E8867" s="122" t="n"/>
    </s:row>
    <s:row r="8868" hidden="1" ht="1" customHeight="1">
      <s:c r="A8868" s="120" t="inlineStr"/>
      <s:c r="B8868" s="121" t="n"/>
      <s:c r="C8868" s="121" t="n"/>
      <s:c r="D8868" s="121" t="n"/>
      <s:c r="E8868" s="122" t="n"/>
    </s:row>
    <s:row r="8869" hidden="1" ht="1" customHeight="1">
      <s:c r="A8869" s="120" t="inlineStr"/>
      <s:c r="B8869" s="121" t="n"/>
      <s:c r="C8869" s="121" t="n"/>
      <s:c r="D8869" s="121" t="n"/>
      <s:c r="E8869" s="122" t="n"/>
    </s:row>
    <s:row r="8870" hidden="1" ht="1" customHeight="1">
      <s:c r="A8870" s="120" t="inlineStr"/>
      <s:c r="B8870" s="121" t="n"/>
      <s:c r="C8870" s="121" t="n"/>
      <s:c r="D8870" s="121" t="n"/>
      <s:c r="E8870" s="122" t="n"/>
    </s:row>
    <s:row r="8871" hidden="1" ht="1" customHeight="1">
      <s:c r="A8871" s="120" t="inlineStr"/>
      <s:c r="B8871" s="121" t="n"/>
      <s:c r="C8871" s="121" t="n"/>
      <s:c r="D8871" s="121" t="n"/>
      <s:c r="E8871" s="122" t="n"/>
    </s:row>
    <s:row r="8872" hidden="1" ht="1" customHeight="1">
      <s:c r="A8872" s="120" t="inlineStr"/>
      <s:c r="B8872" s="121" t="n"/>
      <s:c r="C8872" s="121" t="n"/>
      <s:c r="D8872" s="121" t="n"/>
      <s:c r="E8872" s="122" t="n"/>
    </s:row>
    <s:row r="8873" hidden="1" ht="1" customHeight="1">
      <s:c r="A8873" s="120" t="inlineStr"/>
      <s:c r="B8873" s="121" t="n"/>
      <s:c r="C8873" s="121" t="n"/>
      <s:c r="D8873" s="121" t="n"/>
      <s:c r="E8873" s="122" t="n"/>
    </s:row>
    <s:row r="8874" hidden="1" ht="1" customHeight="1">
      <s:c r="A8874" s="120" t="inlineStr"/>
      <s:c r="B8874" s="121" t="n"/>
      <s:c r="C8874" s="121" t="n"/>
      <s:c r="D8874" s="121" t="n"/>
      <s:c r="E8874" s="122" t="n"/>
    </s:row>
    <s:row r="8875" hidden="1" ht="1" customHeight="1">
      <s:c r="A8875" s="120" t="inlineStr"/>
      <s:c r="B8875" s="121" t="n"/>
      <s:c r="C8875" s="121" t="n"/>
      <s:c r="D8875" s="121" t="n"/>
      <s:c r="E8875" s="122" t="n"/>
    </s:row>
    <s:row r="8876" hidden="1" ht="1" customHeight="1">
      <s:c r="A8876" s="120" t="inlineStr"/>
      <s:c r="B8876" s="121" t="n"/>
      <s:c r="C8876" s="121" t="n"/>
      <s:c r="D8876" s="121" t="n"/>
      <s:c r="E8876" s="122" t="n"/>
    </s:row>
    <s:row r="8877" hidden="1" ht="1" customHeight="1">
      <s:c r="A8877" s="120" t="inlineStr"/>
      <s:c r="B8877" s="121" t="n"/>
      <s:c r="C8877" s="121" t="n"/>
      <s:c r="D8877" s="121" t="n"/>
      <s:c r="E8877" s="122" t="n"/>
    </s:row>
    <s:row r="8878" hidden="1" ht="1" customHeight="1">
      <s:c r="A8878" s="120" t="inlineStr"/>
      <s:c r="B8878" s="121" t="n"/>
      <s:c r="C8878" s="121" t="n"/>
      <s:c r="D8878" s="121" t="n"/>
      <s:c r="E8878" s="122" t="n"/>
    </s:row>
    <s:row r="8879" hidden="1" ht="1" customHeight="1">
      <s:c r="A8879" s="120" t="inlineStr"/>
      <s:c r="B8879" s="121" t="n"/>
      <s:c r="C8879" s="121" t="n"/>
      <s:c r="D8879" s="121" t="n"/>
      <s:c r="E8879" s="122" t="n"/>
    </s:row>
    <s:row r="8880" hidden="1" ht="1" customHeight="1">
      <s:c r="A8880" s="120" t="inlineStr"/>
      <s:c r="B8880" s="121" t="n"/>
      <s:c r="C8880" s="121" t="n"/>
      <s:c r="D8880" s="121" t="n"/>
      <s:c r="E8880" s="122" t="n"/>
    </s:row>
    <s:row r="8881" hidden="1" ht="1" customHeight="1">
      <s:c r="A8881" s="120" t="inlineStr"/>
      <s:c r="B8881" s="121" t="n"/>
      <s:c r="C8881" s="121" t="n"/>
      <s:c r="D8881" s="121" t="n"/>
      <s:c r="E8881" s="122" t="n"/>
    </s:row>
    <s:row r="8882" hidden="1" ht="1" customHeight="1">
      <s:c r="A8882" s="120" t="inlineStr"/>
      <s:c r="B8882" s="121" t="n"/>
      <s:c r="C8882" s="121" t="n"/>
      <s:c r="D8882" s="121" t="n"/>
      <s:c r="E8882" s="122" t="n"/>
    </s:row>
    <s:row r="8883" hidden="1" ht="1" customHeight="1">
      <s:c r="A8883" s="120" t="inlineStr"/>
      <s:c r="B8883" s="121" t="n"/>
      <s:c r="C8883" s="121" t="n"/>
      <s:c r="D8883" s="121" t="n"/>
      <s:c r="E8883" s="122" t="n"/>
    </s:row>
    <s:row r="8884" hidden="1" ht="1" customHeight="1">
      <s:c r="A8884" s="120" t="inlineStr"/>
      <s:c r="B8884" s="121" t="n"/>
      <s:c r="C8884" s="121" t="n"/>
      <s:c r="D8884" s="121" t="n"/>
      <s:c r="E8884" s="122" t="n"/>
    </s:row>
    <s:row r="8885" hidden="1" ht="1" customHeight="1">
      <s:c r="A8885" s="120" t="inlineStr"/>
      <s:c r="B8885" s="121" t="n"/>
      <s:c r="C8885" s="121" t="n"/>
      <s:c r="D8885" s="121" t="n"/>
      <s:c r="E8885" s="122" t="n"/>
    </s:row>
    <s:row r="8886" hidden="1" ht="1" customHeight="1">
      <s:c r="A8886" s="83" t="inlineStr">
        <s:is>
          <s:t>PASS</s:t>
        </s:is>
      </s:c>
      <s:c r="B8886" s="83">
        <s:f>SUM(IF(EXACT('Kiểm thử'!E8686,"Đạt"),1,0),IF(EXACT('Kiểm thử'!E8688,"Đạt"),1,0),IF(EXACT('Kiểm thử'!E8690,"Đạt"),1,0),IF(EXACT('Kiểm thử'!E8692,"Đạt"),1,0))</s:f>
        <s:v/>
      </s:c>
      <s:c r="C8886" s="19" t="n"/>
      <s:c r="D8886" s="19" t="n"/>
      <s:c r="E8886" s="19" t="n"/>
    </s:row>
    <s:row r="8887" hidden="1" ht="1" customHeight="1">
      <s:c r="A8887" s="83" t="inlineStr">
        <s:is>
          <s:t>FAIL</s:t>
        </s:is>
      </s:c>
      <s:c r="B8887" s="83">
        <s:f>SUM(IF(EXACT('Kiểm thử'!E8686,"Không đạt"),1,0),IF(EXACT('Kiểm thử'!E8688,"Không đạt"),1,0),IF(EXACT('Kiểm thử'!E8690,"Không đạt"),1,0),IF(EXACT('Kiểm thử'!E8692,"Không đạt"),1,0))</s:f>
        <s:v/>
      </s:c>
      <s:c r="C8887" s="19" t="n"/>
      <s:c r="D8887" s="19" t="n"/>
      <s:c r="E8887" s="19" t="n"/>
    </s:row>
    <s:row r="8888" hidden="1" ht="1" customHeight="1">
      <s:c r="A8888" s="83" t="inlineStr">
        <s:is>
          <s:t>BLOCKED</s:t>
        </s:is>
      </s:c>
      <s:c r="B8888" s="83">
        <s:f>SUM(IF(EXACT('Kiểm thử'!E8686,"Bị chặn"),1,0),IF(EXACT('Kiểm thử'!E8688,"Bị chặn"),1,0),IF(EXACT('Kiểm thử'!E8690,"Bị chặn"),1,0),IF(EXACT('Kiểm thử'!E8692,"Bị chặn"),1,0))</s:f>
        <s:v/>
      </s:c>
      <s:c r="C8888" s="19" t="n"/>
      <s:c r="D8888" s="19" t="n"/>
      <s:c r="E8888" s="19" t="n"/>
    </s:row>
    <s:row r="8889" hidden="1" ht="1" customHeight="1">
      <s:c r="A8889" s="83" t="inlineStr">
        <s:is>
          <s:t>SKIPPED</s:t>
        </s:is>
      </s:c>
      <s:c r="B8889" s="83">
        <s:f>SUM(IF(EXACT('Kiểm thử'!E8686,"Không thực hiện"),1,0),IF(EXACT('Kiểm thử'!E8688,"Không thực hiện"),1,0),IF(EXACT('Kiểm thử'!E8690,"Không thực hiện"),1,0),IF(EXACT('Kiểm thử'!E8692,"Không thực hiện"),1,0))</s:f>
        <s:v/>
      </s:c>
      <s:c r="C8889" s="19" t="n"/>
      <s:c r="D8889" s="19" t="n"/>
      <s:c r="E8889" s="19" t="n"/>
    </s:row>
    <s:row r="8890" hidden="1" ht="1" customHeight="1">
      <s:c r="A8890" s="83" t="inlineStr">
        <s:is>
          <s:t>NOT RUN</s:t>
        </s:is>
      </s:c>
      <s:c r="B8890" s="83">
        <s:f>SUM(IF(EXACT('Kiểm thử'!E8686,"Chưa thực hiện"),1,0),IF(EXACT('Kiểm thử'!E8688,"Chưa thực hiện"),1,0),IF(EXACT('Kiểm thử'!E8690,"Chưa thực hiện"),1,0),IF(EXACT('Kiểm thử'!E8692,"Chưa thực hiện"),1,0))</s:f>
        <s:v/>
      </s:c>
      <s:c r="C8890" s="19" t="n"/>
      <s:c r="D8890" s="19" t="n"/>
      <s:c r="E8890" s="19" t="n"/>
    </s:row>
    <s:row r="8891" hidden="1" ht="6" customHeight="1">
      <s:c r="A8891" s="83" t="inlineStr"/>
      <s:c r="B8891" s="19" t="n"/>
      <s:c r="C8891" s="19" t="n"/>
      <s:c r="D8891" s="19" t="n"/>
      <s:c r="E8891" s="19" t="n"/>
    </s:row>
    <s:row r="8892" ht="28" customHeight="1">
      <s:c r="A8892" s="108" t="inlineStr">
        <s:is>
          <s:t>TC-RS-CALC-017 — Ngưỡng công thức vượt M vẫn hợp lệ</s:t>
        </s:is>
      </s:c>
      <s:c r="B8892" s="111" t="n"/>
      <s:c r="C8892" s="111" t="n"/>
      <s:c r="D8892" s="111" t="n"/>
      <s:c r="E8892" s="111" t="n"/>
    </s:row>
    <s:row r="8893" ht="20" customHeight="1">
      <s:c r="A8893" s="112" t="inlineStr">
        <s:is>
          <s:t>Kết quả tình huống</s:t>
        </s:is>
      </s:c>
      <s:c r="B8893" s="113">
        <s:f>IF(SUM(IF(EXACT('Kiểm thử'!E8900,"Không đạt"),1,0))&gt;0,"Không đạt",IF(SUM(IF(EXACT('Kiểm thử'!E8900,"Đạt"),1,0))=1,"Đạt",IF(SUM(IF(EXACT('Kiểm thử'!E8900,"Không thực hiện"),1,0))=1,"Không thực hiện",IF(SUM(IF(EXACT('Kiểm thử'!E8900,"Bị chặn"),1,0))&gt;0,"Bị chặn",IF(SUM(IF(EXACT('Kiểm thử'!E8900,"Chưa thực hiện"),1,0))=1,"Chưa thực hiện","Đang thực hiện")))))</s:f>
        <s:v/>
      </s:c>
      <s:c r="C8893" s="114" t="n"/>
      <s:c r="D8893" s="114" t="n"/>
      <s:c r="E8893" s="114" t="n"/>
    </s:row>
    <s:row r="8894" ht="20" customHeight="1">
      <s:c r="A8894" s="112" t="inlineStr">
        <s:is>
          <s:t>Màn hình / chức năng</s:t>
        </s:is>
      </s:c>
      <s:c r="B8894" s="113" t="inlineStr">
        <s:is>
          <s:r>
            <s:rPr>
              <s:b val="1"/>
            </s:rPr>
            <s:t>Thiết lập ngưỡng（基準設定）</s:t>
          </s:r>
        </s:is>
      </s:c>
      <s:c r="C8894" s="28" t="n"/>
      <s:c r="D8894" s="28" t="n"/>
      <s:c r="E8894" s="28" t="n"/>
    </s:row>
    <s:row r="8895" ht="48" customHeight="1">
      <s:c r="A8895" s="112" t="inlineStr">
        <s:is>
          <s:t>Cấu hình</s:t>
        </s:is>
      </s:c>
      <s:c r="B8895" s="113" t="inlineStr">
        <s:is>
          <s:r>
            <s:t>• Nguồn [</s:t>
          </s:r>
          <s:r>
            <s:rPr>
              <s:b val="1"/>
            </s:rPr>
            <s:t>A=80</s:t>
          </s:r>
          <s:r>
            <s:t>];
• Công thức [A×1.5];
• Mục số nguyên (</s:t>
          </s:r>
          <s:r>
            <s:rPr>
              <s:b val="1"/>
            </s:rPr>
            <s:t>M=100</s:t>
          </s:r>
          <s:r>
            <s:t>) (</s:t>
          </s:r>
          <s:r>
            <s:rPr>
              <s:b val="1"/>
            </s:rPr>
            <s:t>M=100</s:t>
          </s:r>
          <s:r>
            <s:t>).</s:t>
          </s:r>
        </s:is>
      </s:c>
      <s:c r="C8895" s="28" t="n"/>
      <s:c r="D8895" s="28" t="n"/>
      <s:c r="E8895" s="28" t="n"/>
    </s:row>
    <s:row r="8896" ht="34" customHeight="1">
      <s:c r="A8896" s="112" t="inlineStr">
        <s:is>
          <s:t>Dữ liệu test</s:t>
        </s:is>
      </s:c>
      <s:c r="B8896" s="113" t="inlineStr">
        <s:is>
          <s:r>
            <s:t>• Mục số nguyên (</s:t>
          </s:r>
          <s:r>
            <s:rPr>
              <s:b val="1"/>
            </s:rPr>
            <s:t>M=100</s:t>
          </s:r>
          <s:r>
            <s:t>);
• S = 100</s:t>
          </s:r>
        </s:is>
      </s:c>
      <s:c r="C8896" s="28" t="n"/>
      <s:c r="D8896" s="28" t="n"/>
      <s:c r="E8896" s="28" t="n"/>
    </s:row>
    <s:row r="8897" ht="20" customHeight="1">
      <s:c r="A8897" s="112" t="inlineStr">
        <s:is>
          <s:t>•</s:t>
        </s:is>
      </s:c>
      <s:c r="B8897" s="113" t="inlineStr">
        <s:is>
          <s:t>Chạy nút cam; xem kết quả.</s:t>
        </s:is>
      </s:c>
      <s:c r="C8897" s="28" t="n"/>
      <s:c r="D8897" s="28" t="n"/>
      <s:c r="E8897" s="28" t="n"/>
    </s:row>
    <s:row r="8898" ht="28" customHeight="1">
      <s:c r="A8898" s="115" t="inlineStr">
        <s:is>
          <s:t>Trường hợp</s:t>
        </s:is>
      </s:c>
      <s:c r="B8898" s="115" t="inlineStr">
        <s:is>
          <s:t>Dữ liệu / thao tác riêng</s:t>
        </s:is>
      </s:c>
      <s:c r="C8898" s="115" t="inlineStr">
        <s:is>
          <s:t>Kết quả mong đợi</s:t>
        </s:is>
      </s:c>
      <s:c r="D8898" s="115" t="inlineStr">
        <s:is>
          <s:t>Kết quả thực tế</s:t>
        </s:is>
      </s:c>
      <s:c r="E8898" s="115" t="inlineStr">
        <s:is>
          <s:t>Đánh giá</s:t>
        </s:is>
      </s:c>
    </s:row>
    <s:row r="8899" ht="3" customHeight="1">
      <s:c r="A8899" s="102" t="inlineStr"/>
      <s:c r="B8899" s="99" t="n"/>
      <s:c r="C8899" s="99" t="n"/>
      <s:c r="D8899" s="116" t="n"/>
      <s:c r="E8899" s="116" t="n"/>
    </s:row>
    <s:row r="8900" ht="62" customHeight="1">
      <s:c r="A8900" s="83" t="inlineStr">
        <s:is>
          <s:t>Trường hợp cơ bản (Base)</s:t>
        </s:is>
      </s:c>
      <s:c r="B8900" s="83" t="inlineStr">
        <s:is>
          <s:t>Toàn bộ tình huống: Thực hiện đủ các bước chung theo thứ tự; kiểm cả đối tượng đích và đối chứng cùng fixture, không bỏ bước.</s:t>
        </s:is>
      </s:c>
      <s:c r="C8900" s="83" t="inlineStr">
        <s:is>
          <s:r>
            <s:t>[</s:t>
          </s:r>
          <s:r>
            <s:rPr>
              <s:b val="1"/>
            </s:rPr>
            <s:t>T=120</s:t>
          </s:r>
          <s:r>
            <s:t xml:space="preserve">]; [100&lt;120] → </s:t>
          </s:r>
          <s:r>
            <s:rPr>
              <s:b val="1"/>
            </s:rPr>
            <s:t>Đỏ</s:t>
          </s:r>
          <s:r>
            <s:t>. Không bị Chưa xét được, không ép [T] về 100.</s:t>
          </s:r>
        </s:is>
      </s:c>
      <s:c r="D8900" s="117" t="inlineStr"/>
      <s:c r="E8900" s="118" t="inlineStr">
        <s:is>
          <s:t>Chưa thực hiện</s:t>
        </s:is>
      </s:c>
    </s:row>
    <s:row r="8901" ht="20" customHeight="1">
      <s:c r="A8901" s="119" t="inlineStr">
        <s:is>
          <s:t>Ảnh minh chứng — Chưa có ảnh</s:t>
        </s:is>
      </s:c>
      <s:c r="B8901" s="19" t="n"/>
      <s:c r="C8901" s="19" t="n"/>
      <s:c r="D8901" s="19" t="n"/>
      <s:c r="E8901" s="19" t="n"/>
    </s:row>
    <s:row r="8902" hidden="1" ht="1" customHeight="1">
      <s:c r="A8902" s="120" t="inlineStr"/>
      <s:c r="B8902" s="121" t="n"/>
      <s:c r="C8902" s="121" t="n"/>
      <s:c r="D8902" s="121" t="n"/>
      <s:c r="E8902" s="122" t="n"/>
    </s:row>
    <s:row r="8903" hidden="1" ht="1" customHeight="1">
      <s:c r="A8903" s="120" t="inlineStr"/>
      <s:c r="B8903" s="121" t="n"/>
      <s:c r="C8903" s="121" t="n"/>
      <s:c r="D8903" s="121" t="n"/>
      <s:c r="E8903" s="122" t="n"/>
    </s:row>
    <s:row r="8904" hidden="1" ht="1" customHeight="1">
      <s:c r="A8904" s="120" t="inlineStr"/>
      <s:c r="B8904" s="121" t="n"/>
      <s:c r="C8904" s="121" t="n"/>
      <s:c r="D8904" s="121" t="n"/>
      <s:c r="E8904" s="122" t="n"/>
    </s:row>
    <s:row r="8905" hidden="1" ht="1" customHeight="1">
      <s:c r="A8905" s="120" t="inlineStr"/>
      <s:c r="B8905" s="121" t="n"/>
      <s:c r="C8905" s="121" t="n"/>
      <s:c r="D8905" s="121" t="n"/>
      <s:c r="E8905" s="122" t="n"/>
    </s:row>
    <s:row r="8906" hidden="1" ht="1" customHeight="1">
      <s:c r="A8906" s="120" t="inlineStr"/>
      <s:c r="B8906" s="121" t="n"/>
      <s:c r="C8906" s="121" t="n"/>
      <s:c r="D8906" s="121" t="n"/>
      <s:c r="E8906" s="122" t="n"/>
    </s:row>
    <s:row r="8907" hidden="1" ht="1" customHeight="1">
      <s:c r="A8907" s="120" t="inlineStr"/>
      <s:c r="B8907" s="121" t="n"/>
      <s:c r="C8907" s="121" t="n"/>
      <s:c r="D8907" s="121" t="n"/>
      <s:c r="E8907" s="122" t="n"/>
    </s:row>
    <s:row r="8908" hidden="1" ht="1" customHeight="1">
      <s:c r="A8908" s="120" t="inlineStr"/>
      <s:c r="B8908" s="121" t="n"/>
      <s:c r="C8908" s="121" t="n"/>
      <s:c r="D8908" s="121" t="n"/>
      <s:c r="E8908" s="122" t="n"/>
    </s:row>
    <s:row r="8909" hidden="1" ht="1" customHeight="1">
      <s:c r="A8909" s="120" t="inlineStr"/>
      <s:c r="B8909" s="121" t="n"/>
      <s:c r="C8909" s="121" t="n"/>
      <s:c r="D8909" s="121" t="n"/>
      <s:c r="E8909" s="122" t="n"/>
    </s:row>
    <s:row r="8910" hidden="1" ht="1" customHeight="1">
      <s:c r="A8910" s="120" t="inlineStr"/>
      <s:c r="B8910" s="121" t="n"/>
      <s:c r="C8910" s="121" t="n"/>
      <s:c r="D8910" s="121" t="n"/>
      <s:c r="E8910" s="122" t="n"/>
    </s:row>
    <s:row r="8911" hidden="1" ht="1" customHeight="1">
      <s:c r="A8911" s="120" t="inlineStr"/>
      <s:c r="B8911" s="121" t="n"/>
      <s:c r="C8911" s="121" t="n"/>
      <s:c r="D8911" s="121" t="n"/>
      <s:c r="E8911" s="122" t="n"/>
    </s:row>
    <s:row r="8912" hidden="1" ht="1" customHeight="1">
      <s:c r="A8912" s="120" t="inlineStr"/>
      <s:c r="B8912" s="121" t="n"/>
      <s:c r="C8912" s="121" t="n"/>
      <s:c r="D8912" s="121" t="n"/>
      <s:c r="E8912" s="122" t="n"/>
    </s:row>
    <s:row r="8913" hidden="1" ht="1" customHeight="1">
      <s:c r="A8913" s="120" t="inlineStr"/>
      <s:c r="B8913" s="121" t="n"/>
      <s:c r="C8913" s="121" t="n"/>
      <s:c r="D8913" s="121" t="n"/>
      <s:c r="E8913" s="122" t="n"/>
    </s:row>
    <s:row r="8914" hidden="1" ht="1" customHeight="1">
      <s:c r="A8914" s="120" t="inlineStr"/>
      <s:c r="B8914" s="121" t="n"/>
      <s:c r="C8914" s="121" t="n"/>
      <s:c r="D8914" s="121" t="n"/>
      <s:c r="E8914" s="122" t="n"/>
    </s:row>
    <s:row r="8915" hidden="1" ht="1" customHeight="1">
      <s:c r="A8915" s="120" t="inlineStr"/>
      <s:c r="B8915" s="121" t="n"/>
      <s:c r="C8915" s="121" t="n"/>
      <s:c r="D8915" s="121" t="n"/>
      <s:c r="E8915" s="122" t="n"/>
    </s:row>
    <s:row r="8916" hidden="1" ht="1" customHeight="1">
      <s:c r="A8916" s="120" t="inlineStr"/>
      <s:c r="B8916" s="121" t="n"/>
      <s:c r="C8916" s="121" t="n"/>
      <s:c r="D8916" s="121" t="n"/>
      <s:c r="E8916" s="122" t="n"/>
    </s:row>
    <s:row r="8917" hidden="1" ht="1" customHeight="1">
      <s:c r="A8917" s="120" t="inlineStr"/>
      <s:c r="B8917" s="121" t="n"/>
      <s:c r="C8917" s="121" t="n"/>
      <s:c r="D8917" s="121" t="n"/>
      <s:c r="E8917" s="122" t="n"/>
    </s:row>
    <s:row r="8918" hidden="1" ht="1" customHeight="1">
      <s:c r="A8918" s="120" t="inlineStr"/>
      <s:c r="B8918" s="121" t="n"/>
      <s:c r="C8918" s="121" t="n"/>
      <s:c r="D8918" s="121" t="n"/>
      <s:c r="E8918" s="122" t="n"/>
    </s:row>
    <s:row r="8919" hidden="1" ht="1" customHeight="1">
      <s:c r="A8919" s="120" t="inlineStr"/>
      <s:c r="B8919" s="121" t="n"/>
      <s:c r="C8919" s="121" t="n"/>
      <s:c r="D8919" s="121" t="n"/>
      <s:c r="E8919" s="122" t="n"/>
    </s:row>
    <s:row r="8920" hidden="1" ht="1" customHeight="1">
      <s:c r="A8920" s="120" t="inlineStr"/>
      <s:c r="B8920" s="121" t="n"/>
      <s:c r="C8920" s="121" t="n"/>
      <s:c r="D8920" s="121" t="n"/>
      <s:c r="E8920" s="122" t="n"/>
    </s:row>
    <s:row r="8921" hidden="1" ht="1" customHeight="1">
      <s:c r="A8921" s="120" t="inlineStr"/>
      <s:c r="B8921" s="121" t="n"/>
      <s:c r="C8921" s="121" t="n"/>
      <s:c r="D8921" s="121" t="n"/>
      <s:c r="E8921" s="122" t="n"/>
    </s:row>
    <s:row r="8922" hidden="1" ht="1" customHeight="1">
      <s:c r="A8922" s="120" t="inlineStr"/>
      <s:c r="B8922" s="121" t="n"/>
      <s:c r="C8922" s="121" t="n"/>
      <s:c r="D8922" s="121" t="n"/>
      <s:c r="E8922" s="122" t="n"/>
    </s:row>
    <s:row r="8923" hidden="1" ht="1" customHeight="1">
      <s:c r="A8923" s="120" t="inlineStr"/>
      <s:c r="B8923" s="121" t="n"/>
      <s:c r="C8923" s="121" t="n"/>
      <s:c r="D8923" s="121" t="n"/>
      <s:c r="E8923" s="122" t="n"/>
    </s:row>
    <s:row r="8924" hidden="1" ht="1" customHeight="1">
      <s:c r="A8924" s="120" t="inlineStr"/>
      <s:c r="B8924" s="121" t="n"/>
      <s:c r="C8924" s="121" t="n"/>
      <s:c r="D8924" s="121" t="n"/>
      <s:c r="E8924" s="122" t="n"/>
    </s:row>
    <s:row r="8925" hidden="1" ht="1" customHeight="1">
      <s:c r="A8925" s="120" t="inlineStr"/>
      <s:c r="B8925" s="121" t="n"/>
      <s:c r="C8925" s="121" t="n"/>
      <s:c r="D8925" s="121" t="n"/>
      <s:c r="E8925" s="122" t="n"/>
    </s:row>
    <s:row r="8926" hidden="1" ht="1" customHeight="1">
      <s:c r="A8926" s="120" t="inlineStr"/>
      <s:c r="B8926" s="121" t="n"/>
      <s:c r="C8926" s="121" t="n"/>
      <s:c r="D8926" s="121" t="n"/>
      <s:c r="E8926" s="122" t="n"/>
    </s:row>
    <s:row r="8927" hidden="1" ht="1" customHeight="1">
      <s:c r="A8927" s="120" t="inlineStr"/>
      <s:c r="B8927" s="121" t="n"/>
      <s:c r="C8927" s="121" t="n"/>
      <s:c r="D8927" s="121" t="n"/>
      <s:c r="E8927" s="122" t="n"/>
    </s:row>
    <s:row r="8928" hidden="1" ht="1" customHeight="1">
      <s:c r="A8928" s="120" t="inlineStr"/>
      <s:c r="B8928" s="121" t="n"/>
      <s:c r="C8928" s="121" t="n"/>
      <s:c r="D8928" s="121" t="n"/>
      <s:c r="E8928" s="122" t="n"/>
    </s:row>
    <s:row r="8929" hidden="1" ht="1" customHeight="1">
      <s:c r="A8929" s="120" t="inlineStr"/>
      <s:c r="B8929" s="121" t="n"/>
      <s:c r="C8929" s="121" t="n"/>
      <s:c r="D8929" s="121" t="n"/>
      <s:c r="E8929" s="122" t="n"/>
    </s:row>
    <s:row r="8930" hidden="1" ht="1" customHeight="1">
      <s:c r="A8930" s="120" t="inlineStr"/>
      <s:c r="B8930" s="121" t="n"/>
      <s:c r="C8930" s="121" t="n"/>
      <s:c r="D8930" s="121" t="n"/>
      <s:c r="E8930" s="122" t="n"/>
    </s:row>
    <s:row r="8931" hidden="1" ht="1" customHeight="1">
      <s:c r="A8931" s="120" t="inlineStr"/>
      <s:c r="B8931" s="121" t="n"/>
      <s:c r="C8931" s="121" t="n"/>
      <s:c r="D8931" s="121" t="n"/>
      <s:c r="E8931" s="122" t="n"/>
    </s:row>
    <s:row r="8932" hidden="1" ht="1" customHeight="1">
      <s:c r="A8932" s="120" t="inlineStr"/>
      <s:c r="B8932" s="121" t="n"/>
      <s:c r="C8932" s="121" t="n"/>
      <s:c r="D8932" s="121" t="n"/>
      <s:c r="E8932" s="122" t="n"/>
    </s:row>
    <s:row r="8933" hidden="1" ht="1" customHeight="1">
      <s:c r="A8933" s="120" t="inlineStr"/>
      <s:c r="B8933" s="121" t="n"/>
      <s:c r="C8933" s="121" t="n"/>
      <s:c r="D8933" s="121" t="n"/>
      <s:c r="E8933" s="122" t="n"/>
    </s:row>
    <s:row r="8934" hidden="1" ht="1" customHeight="1">
      <s:c r="A8934" s="120" t="inlineStr"/>
      <s:c r="B8934" s="121" t="n"/>
      <s:c r="C8934" s="121" t="n"/>
      <s:c r="D8934" s="121" t="n"/>
      <s:c r="E8934" s="122" t="n"/>
    </s:row>
    <s:row r="8935" hidden="1" ht="1" customHeight="1">
      <s:c r="A8935" s="120" t="inlineStr"/>
      <s:c r="B8935" s="121" t="n"/>
      <s:c r="C8935" s="121" t="n"/>
      <s:c r="D8935" s="121" t="n"/>
      <s:c r="E8935" s="122" t="n"/>
    </s:row>
    <s:row r="8936" hidden="1" ht="1" customHeight="1">
      <s:c r="A8936" s="120" t="inlineStr"/>
      <s:c r="B8936" s="121" t="n"/>
      <s:c r="C8936" s="121" t="n"/>
      <s:c r="D8936" s="121" t="n"/>
      <s:c r="E8936" s="122" t="n"/>
    </s:row>
    <s:row r="8937" hidden="1" ht="1" customHeight="1">
      <s:c r="A8937" s="120" t="inlineStr"/>
      <s:c r="B8937" s="121" t="n"/>
      <s:c r="C8937" s="121" t="n"/>
      <s:c r="D8937" s="121" t="n"/>
      <s:c r="E8937" s="122" t="n"/>
    </s:row>
    <s:row r="8938" hidden="1" ht="1" customHeight="1">
      <s:c r="A8938" s="120" t="inlineStr"/>
      <s:c r="B8938" s="121" t="n"/>
      <s:c r="C8938" s="121" t="n"/>
      <s:c r="D8938" s="121" t="n"/>
      <s:c r="E8938" s="122" t="n"/>
    </s:row>
    <s:row r="8939" hidden="1" ht="1" customHeight="1">
      <s:c r="A8939" s="120" t="inlineStr"/>
      <s:c r="B8939" s="121" t="n"/>
      <s:c r="C8939" s="121" t="n"/>
      <s:c r="D8939" s="121" t="n"/>
      <s:c r="E8939" s="122" t="n"/>
    </s:row>
    <s:row r="8940" hidden="1" ht="1" customHeight="1">
      <s:c r="A8940" s="120" t="inlineStr"/>
      <s:c r="B8940" s="121" t="n"/>
      <s:c r="C8940" s="121" t="n"/>
      <s:c r="D8940" s="121" t="n"/>
      <s:c r="E8940" s="122" t="n"/>
    </s:row>
    <s:row r="8941" hidden="1" ht="1" customHeight="1">
      <s:c r="A8941" s="120" t="inlineStr"/>
      <s:c r="B8941" s="121" t="n"/>
      <s:c r="C8941" s="121" t="n"/>
      <s:c r="D8941" s="121" t="n"/>
      <s:c r="E8941" s="122" t="n"/>
    </s:row>
    <s:row r="8942" hidden="1" ht="1" customHeight="1">
      <s:c r="A8942" s="120" t="inlineStr"/>
      <s:c r="B8942" s="121" t="n"/>
      <s:c r="C8942" s="121" t="n"/>
      <s:c r="D8942" s="121" t="n"/>
      <s:c r="E8942" s="122" t="n"/>
    </s:row>
    <s:row r="8943" hidden="1" ht="1" customHeight="1">
      <s:c r="A8943" s="120" t="inlineStr"/>
      <s:c r="B8943" s="121" t="n"/>
      <s:c r="C8943" s="121" t="n"/>
      <s:c r="D8943" s="121" t="n"/>
      <s:c r="E8943" s="122" t="n"/>
    </s:row>
    <s:row r="8944" hidden="1" ht="1" customHeight="1">
      <s:c r="A8944" s="120" t="inlineStr"/>
      <s:c r="B8944" s="121" t="n"/>
      <s:c r="C8944" s="121" t="n"/>
      <s:c r="D8944" s="121" t="n"/>
      <s:c r="E8944" s="122" t="n"/>
    </s:row>
    <s:row r="8945" hidden="1" ht="1" customHeight="1">
      <s:c r="A8945" s="120" t="inlineStr"/>
      <s:c r="B8945" s="121" t="n"/>
      <s:c r="C8945" s="121" t="n"/>
      <s:c r="D8945" s="121" t="n"/>
      <s:c r="E8945" s="122" t="n"/>
    </s:row>
    <s:row r="8946" hidden="1" ht="1" customHeight="1">
      <s:c r="A8946" s="120" t="inlineStr"/>
      <s:c r="B8946" s="121" t="n"/>
      <s:c r="C8946" s="121" t="n"/>
      <s:c r="D8946" s="121" t="n"/>
      <s:c r="E8946" s="122" t="n"/>
    </s:row>
    <s:row r="8947" hidden="1" ht="1" customHeight="1">
      <s:c r="A8947" s="120" t="inlineStr"/>
      <s:c r="B8947" s="121" t="n"/>
      <s:c r="C8947" s="121" t="n"/>
      <s:c r="D8947" s="121" t="n"/>
      <s:c r="E8947" s="122" t="n"/>
    </s:row>
    <s:row r="8948" hidden="1" ht="1" customHeight="1">
      <s:c r="A8948" s="120" t="inlineStr"/>
      <s:c r="B8948" s="121" t="n"/>
      <s:c r="C8948" s="121" t="n"/>
      <s:c r="D8948" s="121" t="n"/>
      <s:c r="E8948" s="122" t="n"/>
    </s:row>
    <s:row r="8949" hidden="1" ht="1" customHeight="1">
      <s:c r="A8949" s="120" t="inlineStr"/>
      <s:c r="B8949" s="121" t="n"/>
      <s:c r="C8949" s="121" t="n"/>
      <s:c r="D8949" s="121" t="n"/>
      <s:c r="E8949" s="122" t="n"/>
    </s:row>
    <s:row r="8950" hidden="1" ht="1" customHeight="1">
      <s:c r="A8950" s="83" t="inlineStr">
        <s:is>
          <s:t>PASS</s:t>
        </s:is>
      </s:c>
      <s:c r="B8950" s="83">
        <s:f>SUM(IF(EXACT('Kiểm thử'!E8900,"Đạt"),1,0))</s:f>
        <s:v/>
      </s:c>
      <s:c r="C8950" s="19" t="n"/>
      <s:c r="D8950" s="19" t="n"/>
      <s:c r="E8950" s="19" t="n"/>
    </s:row>
    <s:row r="8951" hidden="1" ht="1" customHeight="1">
      <s:c r="A8951" s="83" t="inlineStr">
        <s:is>
          <s:t>FAIL</s:t>
        </s:is>
      </s:c>
      <s:c r="B8951" s="83">
        <s:f>SUM(IF(EXACT('Kiểm thử'!E8900,"Không đạt"),1,0))</s:f>
        <s:v/>
      </s:c>
      <s:c r="C8951" s="19" t="n"/>
      <s:c r="D8951" s="19" t="n"/>
      <s:c r="E8951" s="19" t="n"/>
    </s:row>
    <s:row r="8952" hidden="1" ht="1" customHeight="1">
      <s:c r="A8952" s="83" t="inlineStr">
        <s:is>
          <s:t>BLOCKED</s:t>
        </s:is>
      </s:c>
      <s:c r="B8952" s="83">
        <s:f>SUM(IF(EXACT('Kiểm thử'!E8900,"Bị chặn"),1,0))</s:f>
        <s:v/>
      </s:c>
      <s:c r="C8952" s="19" t="n"/>
      <s:c r="D8952" s="19" t="n"/>
      <s:c r="E8952" s="19" t="n"/>
    </s:row>
    <s:row r="8953" hidden="1" ht="1" customHeight="1">
      <s:c r="A8953" s="83" t="inlineStr">
        <s:is>
          <s:t>SKIPPED</s:t>
        </s:is>
      </s:c>
      <s:c r="B8953" s="83">
        <s:f>SUM(IF(EXACT('Kiểm thử'!E8900,"Không thực hiện"),1,0))</s:f>
        <s:v/>
      </s:c>
      <s:c r="C8953" s="19" t="n"/>
      <s:c r="D8953" s="19" t="n"/>
      <s:c r="E8953" s="19" t="n"/>
    </s:row>
    <s:row r="8954" hidden="1" ht="1" customHeight="1">
      <s:c r="A8954" s="83" t="inlineStr">
        <s:is>
          <s:t>NOT RUN</s:t>
        </s:is>
      </s:c>
      <s:c r="B8954" s="83">
        <s:f>SUM(IF(EXACT('Kiểm thử'!E8900,"Chưa thực hiện"),1,0))</s:f>
        <s:v/>
      </s:c>
      <s:c r="C8954" s="19" t="n"/>
      <s:c r="D8954" s="19" t="n"/>
      <s:c r="E8954" s="19" t="n"/>
    </s:row>
    <s:row r="8955" hidden="1" ht="6" customHeight="1">
      <s:c r="A8955" s="83" t="inlineStr"/>
      <s:c r="B8955" s="19" t="n"/>
      <s:c r="C8955" s="19" t="n"/>
      <s:c r="D8955" s="19" t="n"/>
      <s:c r="E8955" s="19" t="n"/>
    </s:row>
    <s:row r="8956" ht="28" customHeight="1">
      <s:c r="A8956" s="108" t="inlineStr">
        <s:is>
          <s:t>TC-RS-CALC-018 — Công thức A−0 cho ngưỡng bằng A</s:t>
        </s:is>
      </s:c>
      <s:c r="B8956" s="111" t="n"/>
      <s:c r="C8956" s="111" t="n"/>
      <s:c r="D8956" s="111" t="n"/>
      <s:c r="E8956" s="111" t="n"/>
    </s:row>
    <s:row r="8957" ht="20" customHeight="1">
      <s:c r="A8957" s="112" t="inlineStr">
        <s:is>
          <s:t>Kết quả tình huống</s:t>
        </s:is>
      </s:c>
      <s:c r="B8957" s="113">
        <s:f>IF(SUM(IF(EXACT('Kiểm thử'!E8965,"Không đạt"),1,0))&gt;0,"Không đạt",IF(SUM(IF(EXACT('Kiểm thử'!E8965,"Đạt"),1,0))=1,"Đạt",IF(SUM(IF(EXACT('Kiểm thử'!E8965,"Không thực hiện"),1,0))=1,"Không thực hiện",IF(SUM(IF(EXACT('Kiểm thử'!E8965,"Bị chặn"),1,0))&gt;0,"Bị chặn",IF(SUM(IF(EXACT('Kiểm thử'!E8965,"Chưa thực hiện"),1,0))=1,"Chưa thực hiện","Đang thực hiện")))))</s:f>
        <s:v/>
      </s:c>
      <s:c r="C8957" s="114" t="n"/>
      <s:c r="D8957" s="114" t="n"/>
      <s:c r="E8957" s="114" t="n"/>
    </s:row>
    <s:row r="8958" ht="20" customHeight="1">
      <s:c r="A8958" s="112" t="inlineStr">
        <s:is>
          <s:t>Màn hình / chức năng</s:t>
        </s:is>
      </s:c>
      <s:c r="B8958" s="113" t="inlineStr">
        <s:is>
          <s:r>
            <s:rPr>
              <s:b val="1"/>
            </s:rPr>
            <s:t>Thiết lập ngưỡng（基準設定）</s:t>
          </s:r>
        </s:is>
      </s:c>
      <s:c r="C8958" s="28" t="n"/>
      <s:c r="D8958" s="28" t="n"/>
      <s:c r="E8958" s="28" t="n"/>
    </s:row>
    <s:row r="8959" ht="34" customHeight="1">
      <s:c r="A8959" s="112" t="inlineStr">
        <s:is>
          <s:t>Cấu hình</s:t>
        </s:is>
      </s:c>
      <s:c r="B8959" s="113" t="inlineStr">
        <s:is>
          <s:r>
            <s:t>• Nguồn [</s:t>
          </s:r>
          <s:r>
            <s:rPr>
              <s:b val="1"/>
            </s:rPr>
            <s:t>A=50</s:t>
          </s:r>
          <s:r>
            <s:t>];
• Công thức [A−0], [&lt;].</s:t>
          </s:r>
        </s:is>
      </s:c>
      <s:c r="C8959" s="28" t="n"/>
      <s:c r="D8959" s="28" t="n"/>
      <s:c r="E8959" s="28" t="n"/>
    </s:row>
    <s:row r="8960" ht="20" customHeight="1">
      <s:c r="A8960" s="112" t="inlineStr">
        <s:is>
          <s:t>Dữ liệu test</s:t>
        </s:is>
      </s:c>
      <s:c r="B8960" s="113" t="inlineStr">
        <s:is>
          <s:t>• S = 49, 50</s:t>
        </s:is>
      </s:c>
      <s:c r="C8960" s="28" t="n"/>
      <s:c r="D8960" s="28" t="n"/>
      <s:c r="E8960" s="28" t="n"/>
    </s:row>
    <s:row r="8961" ht="20" customHeight="1">
      <s:c r="A8961" s="112" t="inlineStr">
        <s:is>
          <s:t>Bước 1</s:t>
        </s:is>
      </s:c>
      <s:c r="B8961" s="113" t="inlineStr">
        <s:is>
          <s:t>Lưu công thức (quan sát cảnh báo).</s:t>
        </s:is>
      </s:c>
      <s:c r="C8961" s="28" t="n"/>
      <s:c r="D8961" s="28" t="n"/>
      <s:c r="E8961" s="28" t="n"/>
    </s:row>
    <s:row r="8962" ht="20" customHeight="1">
      <s:c r="A8962" s="112" t="inlineStr">
        <s:is>
          <s:t>Bước 2</s:t>
        </s:is>
      </s:c>
      <s:c r="B8962" s="113" t="inlineStr">
        <s:is>
          <s:t>Chạy nút cam.</s:t>
        </s:is>
      </s:c>
      <s:c r="C8962" s="28" t="n"/>
      <s:c r="D8962" s="28" t="n"/>
      <s:c r="E8962" s="28" t="n"/>
    </s:row>
    <s:row r="8963" ht="28" customHeight="1">
      <s:c r="A8963" s="115" t="inlineStr">
        <s:is>
          <s:t>Trường hợp</s:t>
        </s:is>
      </s:c>
      <s:c r="B8963" s="115" t="inlineStr">
        <s:is>
          <s:t>Dữ liệu / thao tác riêng</s:t>
        </s:is>
      </s:c>
      <s:c r="C8963" s="115" t="inlineStr">
        <s:is>
          <s:t>Kết quả mong đợi</s:t>
        </s:is>
      </s:c>
      <s:c r="D8963" s="115" t="inlineStr">
        <s:is>
          <s:t>Kết quả thực tế</s:t>
        </s:is>
      </s:c>
      <s:c r="E8963" s="115" t="inlineStr">
        <s:is>
          <s:t>Đánh giá</s:t>
        </s:is>
      </s:c>
    </s:row>
    <s:row r="8964" ht="3" customHeight="1">
      <s:c r="A8964" s="102" t="inlineStr"/>
      <s:c r="B8964" s="99" t="n"/>
      <s:c r="C8964" s="99" t="n"/>
      <s:c r="D8964" s="116" t="n"/>
      <s:c r="E8964" s="116" t="n"/>
    </s:row>
    <s:row r="8965" ht="62" customHeight="1">
      <s:c r="A8965" s="83" t="inlineStr">
        <s:is>
          <s:t>Trường hợp cơ bản (Base)</s:t>
        </s:is>
      </s:c>
      <s:c r="B8965" s="83" t="inlineStr">
        <s:is>
          <s:t>Toàn bộ tình huống: Thực hiện đủ các bước chung theo thứ tự; kiểm cả đối tượng đích và đối chứng cùng fixture, không bỏ bước.</s:t>
        </s:is>
      </s:c>
      <s:c r="C8965" s="83" t="inlineStr">
        <s:is>
          <s:r>
            <s:t>1. Có cảnh báo giúp hiểu ngưỡng là A (câu chữ TBD), vẫn lưu được.
2. [</s:t>
          </s:r>
          <s:r>
            <s:rPr>
              <s:b val="1"/>
            </s:rPr>
            <s:t>T=50</s:t>
          </s:r>
          <s:r>
            <s:t xml:space="preserve">]: 49 </s:t>
          </s:r>
          <s:r>
            <s:rPr>
              <s:b val="1"/>
            </s:rPr>
            <s:t>Đỏ</s:t>
          </s:r>
          <s:r>
            <s:t xml:space="preserve">; 50 </s:t>
          </s:r>
          <s:r>
            <s:rPr>
              <s:b val="1"/>
            </s:rPr>
            <s:t>Không đỏ</s:t>
          </s:r>
          <s:r>
            <s:t>.</s:t>
          </s:r>
        </s:is>
      </s:c>
      <s:c r="D8965" s="117" t="inlineStr"/>
      <s:c r="E8965" s="118" t="inlineStr">
        <s:is>
          <s:t>Chưa thực hiện</s:t>
        </s:is>
      </s:c>
    </s:row>
    <s:row r="8966" ht="20" customHeight="1">
      <s:c r="A8966" s="119" t="inlineStr">
        <s:is>
          <s:t>Ảnh minh chứng — Chưa có ảnh</s:t>
        </s:is>
      </s:c>
      <s:c r="B8966" s="19" t="n"/>
      <s:c r="C8966" s="19" t="n"/>
      <s:c r="D8966" s="19" t="n"/>
      <s:c r="E8966" s="19" t="n"/>
    </s:row>
    <s:row r="8967" hidden="1" ht="1" customHeight="1">
      <s:c r="A8967" s="120" t="inlineStr"/>
      <s:c r="B8967" s="121" t="n"/>
      <s:c r="C8967" s="121" t="n"/>
      <s:c r="D8967" s="121" t="n"/>
      <s:c r="E8967" s="122" t="n"/>
    </s:row>
    <s:row r="8968" hidden="1" ht="1" customHeight="1">
      <s:c r="A8968" s="120" t="inlineStr"/>
      <s:c r="B8968" s="121" t="n"/>
      <s:c r="C8968" s="121" t="n"/>
      <s:c r="D8968" s="121" t="n"/>
      <s:c r="E8968" s="122" t="n"/>
    </s:row>
    <s:row r="8969" hidden="1" ht="1" customHeight="1">
      <s:c r="A8969" s="120" t="inlineStr"/>
      <s:c r="B8969" s="121" t="n"/>
      <s:c r="C8969" s="121" t="n"/>
      <s:c r="D8969" s="121" t="n"/>
      <s:c r="E8969" s="122" t="n"/>
    </s:row>
    <s:row r="8970" hidden="1" ht="1" customHeight="1">
      <s:c r="A8970" s="120" t="inlineStr"/>
      <s:c r="B8970" s="121" t="n"/>
      <s:c r="C8970" s="121" t="n"/>
      <s:c r="D8970" s="121" t="n"/>
      <s:c r="E8970" s="122" t="n"/>
    </s:row>
    <s:row r="8971" hidden="1" ht="1" customHeight="1">
      <s:c r="A8971" s="120" t="inlineStr"/>
      <s:c r="B8971" s="121" t="n"/>
      <s:c r="C8971" s="121" t="n"/>
      <s:c r="D8971" s="121" t="n"/>
      <s:c r="E8971" s="122" t="n"/>
    </s:row>
    <s:row r="8972" hidden="1" ht="1" customHeight="1">
      <s:c r="A8972" s="120" t="inlineStr"/>
      <s:c r="B8972" s="121" t="n"/>
      <s:c r="C8972" s="121" t="n"/>
      <s:c r="D8972" s="121" t="n"/>
      <s:c r="E8972" s="122" t="n"/>
    </s:row>
    <s:row r="8973" hidden="1" ht="1" customHeight="1">
      <s:c r="A8973" s="120" t="inlineStr"/>
      <s:c r="B8973" s="121" t="n"/>
      <s:c r="C8973" s="121" t="n"/>
      <s:c r="D8973" s="121" t="n"/>
      <s:c r="E8973" s="122" t="n"/>
    </s:row>
    <s:row r="8974" hidden="1" ht="1" customHeight="1">
      <s:c r="A8974" s="120" t="inlineStr"/>
      <s:c r="B8974" s="121" t="n"/>
      <s:c r="C8974" s="121" t="n"/>
      <s:c r="D8974" s="121" t="n"/>
      <s:c r="E8974" s="122" t="n"/>
    </s:row>
    <s:row r="8975" hidden="1" ht="1" customHeight="1">
      <s:c r="A8975" s="120" t="inlineStr"/>
      <s:c r="B8975" s="121" t="n"/>
      <s:c r="C8975" s="121" t="n"/>
      <s:c r="D8975" s="121" t="n"/>
      <s:c r="E8975" s="122" t="n"/>
    </s:row>
    <s:row r="8976" hidden="1" ht="1" customHeight="1">
      <s:c r="A8976" s="120" t="inlineStr"/>
      <s:c r="B8976" s="121" t="n"/>
      <s:c r="C8976" s="121" t="n"/>
      <s:c r="D8976" s="121" t="n"/>
      <s:c r="E8976" s="122" t="n"/>
    </s:row>
    <s:row r="8977" hidden="1" ht="1" customHeight="1">
      <s:c r="A8977" s="120" t="inlineStr"/>
      <s:c r="B8977" s="121" t="n"/>
      <s:c r="C8977" s="121" t="n"/>
      <s:c r="D8977" s="121" t="n"/>
      <s:c r="E8977" s="122" t="n"/>
    </s:row>
    <s:row r="8978" hidden="1" ht="1" customHeight="1">
      <s:c r="A8978" s="120" t="inlineStr"/>
      <s:c r="B8978" s="121" t="n"/>
      <s:c r="C8978" s="121" t="n"/>
      <s:c r="D8978" s="121" t="n"/>
      <s:c r="E8978" s="122" t="n"/>
    </s:row>
    <s:row r="8979" hidden="1" ht="1" customHeight="1">
      <s:c r="A8979" s="120" t="inlineStr"/>
      <s:c r="B8979" s="121" t="n"/>
      <s:c r="C8979" s="121" t="n"/>
      <s:c r="D8979" s="121" t="n"/>
      <s:c r="E8979" s="122" t="n"/>
    </s:row>
    <s:row r="8980" hidden="1" ht="1" customHeight="1">
      <s:c r="A8980" s="120" t="inlineStr"/>
      <s:c r="B8980" s="121" t="n"/>
      <s:c r="C8980" s="121" t="n"/>
      <s:c r="D8980" s="121" t="n"/>
      <s:c r="E8980" s="122" t="n"/>
    </s:row>
    <s:row r="8981" hidden="1" ht="1" customHeight="1">
      <s:c r="A8981" s="120" t="inlineStr"/>
      <s:c r="B8981" s="121" t="n"/>
      <s:c r="C8981" s="121" t="n"/>
      <s:c r="D8981" s="121" t="n"/>
      <s:c r="E8981" s="122" t="n"/>
    </s:row>
    <s:row r="8982" hidden="1" ht="1" customHeight="1">
      <s:c r="A8982" s="120" t="inlineStr"/>
      <s:c r="B8982" s="121" t="n"/>
      <s:c r="C8982" s="121" t="n"/>
      <s:c r="D8982" s="121" t="n"/>
      <s:c r="E8982" s="122" t="n"/>
    </s:row>
    <s:row r="8983" hidden="1" ht="1" customHeight="1">
      <s:c r="A8983" s="120" t="inlineStr"/>
      <s:c r="B8983" s="121" t="n"/>
      <s:c r="C8983" s="121" t="n"/>
      <s:c r="D8983" s="121" t="n"/>
      <s:c r="E8983" s="122" t="n"/>
    </s:row>
    <s:row r="8984" hidden="1" ht="1" customHeight="1">
      <s:c r="A8984" s="120" t="inlineStr"/>
      <s:c r="B8984" s="121" t="n"/>
      <s:c r="C8984" s="121" t="n"/>
      <s:c r="D8984" s="121" t="n"/>
      <s:c r="E8984" s="122" t="n"/>
    </s:row>
    <s:row r="8985" hidden="1" ht="1" customHeight="1">
      <s:c r="A8985" s="120" t="inlineStr"/>
      <s:c r="B8985" s="121" t="n"/>
      <s:c r="C8985" s="121" t="n"/>
      <s:c r="D8985" s="121" t="n"/>
      <s:c r="E8985" s="122" t="n"/>
    </s:row>
    <s:row r="8986" hidden="1" ht="1" customHeight="1">
      <s:c r="A8986" s="120" t="inlineStr"/>
      <s:c r="B8986" s="121" t="n"/>
      <s:c r="C8986" s="121" t="n"/>
      <s:c r="D8986" s="121" t="n"/>
      <s:c r="E8986" s="122" t="n"/>
    </s:row>
    <s:row r="8987" hidden="1" ht="1" customHeight="1">
      <s:c r="A8987" s="120" t="inlineStr"/>
      <s:c r="B8987" s="121" t="n"/>
      <s:c r="C8987" s="121" t="n"/>
      <s:c r="D8987" s="121" t="n"/>
      <s:c r="E8987" s="122" t="n"/>
    </s:row>
    <s:row r="8988" hidden="1" ht="1" customHeight="1">
      <s:c r="A8988" s="120" t="inlineStr"/>
      <s:c r="B8988" s="121" t="n"/>
      <s:c r="C8988" s="121" t="n"/>
      <s:c r="D8988" s="121" t="n"/>
      <s:c r="E8988" s="122" t="n"/>
    </s:row>
    <s:row r="8989" hidden="1" ht="1" customHeight="1">
      <s:c r="A8989" s="120" t="inlineStr"/>
      <s:c r="B8989" s="121" t="n"/>
      <s:c r="C8989" s="121" t="n"/>
      <s:c r="D8989" s="121" t="n"/>
      <s:c r="E8989" s="122" t="n"/>
    </s:row>
    <s:row r="8990" hidden="1" ht="1" customHeight="1">
      <s:c r="A8990" s="120" t="inlineStr"/>
      <s:c r="B8990" s="121" t="n"/>
      <s:c r="C8990" s="121" t="n"/>
      <s:c r="D8990" s="121" t="n"/>
      <s:c r="E8990" s="122" t="n"/>
    </s:row>
    <s:row r="8991" hidden="1" ht="1" customHeight="1">
      <s:c r="A8991" s="120" t="inlineStr"/>
      <s:c r="B8991" s="121" t="n"/>
      <s:c r="C8991" s="121" t="n"/>
      <s:c r="D8991" s="121" t="n"/>
      <s:c r="E8991" s="122" t="n"/>
    </s:row>
    <s:row r="8992" hidden="1" ht="1" customHeight="1">
      <s:c r="A8992" s="120" t="inlineStr"/>
      <s:c r="B8992" s="121" t="n"/>
      <s:c r="C8992" s="121" t="n"/>
      <s:c r="D8992" s="121" t="n"/>
      <s:c r="E8992" s="122" t="n"/>
    </s:row>
    <s:row r="8993" hidden="1" ht="1" customHeight="1">
      <s:c r="A8993" s="120" t="inlineStr"/>
      <s:c r="B8993" s="121" t="n"/>
      <s:c r="C8993" s="121" t="n"/>
      <s:c r="D8993" s="121" t="n"/>
      <s:c r="E8993" s="122" t="n"/>
    </s:row>
    <s:row r="8994" hidden="1" ht="1" customHeight="1">
      <s:c r="A8994" s="120" t="inlineStr"/>
      <s:c r="B8994" s="121" t="n"/>
      <s:c r="C8994" s="121" t="n"/>
      <s:c r="D8994" s="121" t="n"/>
      <s:c r="E8994" s="122" t="n"/>
    </s:row>
    <s:row r="8995" hidden="1" ht="1" customHeight="1">
      <s:c r="A8995" s="120" t="inlineStr"/>
      <s:c r="B8995" s="121" t="n"/>
      <s:c r="C8995" s="121" t="n"/>
      <s:c r="D8995" s="121" t="n"/>
      <s:c r="E8995" s="122" t="n"/>
    </s:row>
    <s:row r="8996" hidden="1" ht="1" customHeight="1">
      <s:c r="A8996" s="120" t="inlineStr"/>
      <s:c r="B8996" s="121" t="n"/>
      <s:c r="C8996" s="121" t="n"/>
      <s:c r="D8996" s="121" t="n"/>
      <s:c r="E8996" s="122" t="n"/>
    </s:row>
    <s:row r="8997" hidden="1" ht="1" customHeight="1">
      <s:c r="A8997" s="120" t="inlineStr"/>
      <s:c r="B8997" s="121" t="n"/>
      <s:c r="C8997" s="121" t="n"/>
      <s:c r="D8997" s="121" t="n"/>
      <s:c r="E8997" s="122" t="n"/>
    </s:row>
    <s:row r="8998" hidden="1" ht="1" customHeight="1">
      <s:c r="A8998" s="120" t="inlineStr"/>
      <s:c r="B8998" s="121" t="n"/>
      <s:c r="C8998" s="121" t="n"/>
      <s:c r="D8998" s="121" t="n"/>
      <s:c r="E8998" s="122" t="n"/>
    </s:row>
    <s:row r="8999" hidden="1" ht="1" customHeight="1">
      <s:c r="A8999" s="120" t="inlineStr"/>
      <s:c r="B8999" s="121" t="n"/>
      <s:c r="C8999" s="121" t="n"/>
      <s:c r="D8999" s="121" t="n"/>
      <s:c r="E8999" s="122" t="n"/>
    </s:row>
    <s:row r="9000" hidden="1" ht="1" customHeight="1">
      <s:c r="A9000" s="120" t="inlineStr"/>
      <s:c r="B9000" s="121" t="n"/>
      <s:c r="C9000" s="121" t="n"/>
      <s:c r="D9000" s="121" t="n"/>
      <s:c r="E9000" s="122" t="n"/>
    </s:row>
    <s:row r="9001" hidden="1" ht="1" customHeight="1">
      <s:c r="A9001" s="120" t="inlineStr"/>
      <s:c r="B9001" s="121" t="n"/>
      <s:c r="C9001" s="121" t="n"/>
      <s:c r="D9001" s="121" t="n"/>
      <s:c r="E9001" s="122" t="n"/>
    </s:row>
    <s:row r="9002" hidden="1" ht="1" customHeight="1">
      <s:c r="A9002" s="120" t="inlineStr"/>
      <s:c r="B9002" s="121" t="n"/>
      <s:c r="C9002" s="121" t="n"/>
      <s:c r="D9002" s="121" t="n"/>
      <s:c r="E9002" s="122" t="n"/>
    </s:row>
    <s:row r="9003" hidden="1" ht="1" customHeight="1">
      <s:c r="A9003" s="120" t="inlineStr"/>
      <s:c r="B9003" s="121" t="n"/>
      <s:c r="C9003" s="121" t="n"/>
      <s:c r="D9003" s="121" t="n"/>
      <s:c r="E9003" s="122" t="n"/>
    </s:row>
    <s:row r="9004" hidden="1" ht="1" customHeight="1">
      <s:c r="A9004" s="120" t="inlineStr"/>
      <s:c r="B9004" s="121" t="n"/>
      <s:c r="C9004" s="121" t="n"/>
      <s:c r="D9004" s="121" t="n"/>
      <s:c r="E9004" s="122" t="n"/>
    </s:row>
    <s:row r="9005" hidden="1" ht="1" customHeight="1">
      <s:c r="A9005" s="120" t="inlineStr"/>
      <s:c r="B9005" s="121" t="n"/>
      <s:c r="C9005" s="121" t="n"/>
      <s:c r="D9005" s="121" t="n"/>
      <s:c r="E9005" s="122" t="n"/>
    </s:row>
    <s:row r="9006" hidden="1" ht="1" customHeight="1">
      <s:c r="A9006" s="120" t="inlineStr"/>
      <s:c r="B9006" s="121" t="n"/>
      <s:c r="C9006" s="121" t="n"/>
      <s:c r="D9006" s="121" t="n"/>
      <s:c r="E9006" s="122" t="n"/>
    </s:row>
    <s:row r="9007" hidden="1" ht="1" customHeight="1">
      <s:c r="A9007" s="120" t="inlineStr"/>
      <s:c r="B9007" s="121" t="n"/>
      <s:c r="C9007" s="121" t="n"/>
      <s:c r="D9007" s="121" t="n"/>
      <s:c r="E9007" s="122" t="n"/>
    </s:row>
    <s:row r="9008" hidden="1" ht="1" customHeight="1">
      <s:c r="A9008" s="120" t="inlineStr"/>
      <s:c r="B9008" s="121" t="n"/>
      <s:c r="C9008" s="121" t="n"/>
      <s:c r="D9008" s="121" t="n"/>
      <s:c r="E9008" s="122" t="n"/>
    </s:row>
    <s:row r="9009" hidden="1" ht="1" customHeight="1">
      <s:c r="A9009" s="120" t="inlineStr"/>
      <s:c r="B9009" s="121" t="n"/>
      <s:c r="C9009" s="121" t="n"/>
      <s:c r="D9009" s="121" t="n"/>
      <s:c r="E9009" s="122" t="n"/>
    </s:row>
    <s:row r="9010" hidden="1" ht="1" customHeight="1">
      <s:c r="A9010" s="120" t="inlineStr"/>
      <s:c r="B9010" s="121" t="n"/>
      <s:c r="C9010" s="121" t="n"/>
      <s:c r="D9010" s="121" t="n"/>
      <s:c r="E9010" s="122" t="n"/>
    </s:row>
    <s:row r="9011" hidden="1" ht="1" customHeight="1">
      <s:c r="A9011" s="120" t="inlineStr"/>
      <s:c r="B9011" s="121" t="n"/>
      <s:c r="C9011" s="121" t="n"/>
      <s:c r="D9011" s="121" t="n"/>
      <s:c r="E9011" s="122" t="n"/>
    </s:row>
    <s:row r="9012" hidden="1" ht="1" customHeight="1">
      <s:c r="A9012" s="120" t="inlineStr"/>
      <s:c r="B9012" s="121" t="n"/>
      <s:c r="C9012" s="121" t="n"/>
      <s:c r="D9012" s="121" t="n"/>
      <s:c r="E9012" s="122" t="n"/>
    </s:row>
    <s:row r="9013" hidden="1" ht="1" customHeight="1">
      <s:c r="A9013" s="120" t="inlineStr"/>
      <s:c r="B9013" s="121" t="n"/>
      <s:c r="C9013" s="121" t="n"/>
      <s:c r="D9013" s="121" t="n"/>
      <s:c r="E9013" s="122" t="n"/>
    </s:row>
    <s:row r="9014" hidden="1" ht="1" customHeight="1">
      <s:c r="A9014" s="120" t="inlineStr"/>
      <s:c r="B9014" s="121" t="n"/>
      <s:c r="C9014" s="121" t="n"/>
      <s:c r="D9014" s="121" t="n"/>
      <s:c r="E9014" s="122" t="n"/>
    </s:row>
    <s:row r="9015" hidden="1" ht="1" customHeight="1">
      <s:c r="A9015" s="83" t="inlineStr">
        <s:is>
          <s:t>PASS</s:t>
        </s:is>
      </s:c>
      <s:c r="B9015" s="83">
        <s:f>SUM(IF(EXACT('Kiểm thử'!E8965,"Đạt"),1,0))</s:f>
        <s:v/>
      </s:c>
      <s:c r="C9015" s="19" t="n"/>
      <s:c r="D9015" s="19" t="n"/>
      <s:c r="E9015" s="19" t="n"/>
    </s:row>
    <s:row r="9016" hidden="1" ht="1" customHeight="1">
      <s:c r="A9016" s="83" t="inlineStr">
        <s:is>
          <s:t>FAIL</s:t>
        </s:is>
      </s:c>
      <s:c r="B9016" s="83">
        <s:f>SUM(IF(EXACT('Kiểm thử'!E8965,"Không đạt"),1,0))</s:f>
        <s:v/>
      </s:c>
      <s:c r="C9016" s="19" t="n"/>
      <s:c r="D9016" s="19" t="n"/>
      <s:c r="E9016" s="19" t="n"/>
    </s:row>
    <s:row r="9017" hidden="1" ht="1" customHeight="1">
      <s:c r="A9017" s="83" t="inlineStr">
        <s:is>
          <s:t>BLOCKED</s:t>
        </s:is>
      </s:c>
      <s:c r="B9017" s="83">
        <s:f>SUM(IF(EXACT('Kiểm thử'!E8965,"Bị chặn"),1,0))</s:f>
        <s:v/>
      </s:c>
      <s:c r="C9017" s="19" t="n"/>
      <s:c r="D9017" s="19" t="n"/>
      <s:c r="E9017" s="19" t="n"/>
    </s:row>
    <s:row r="9018" hidden="1" ht="1" customHeight="1">
      <s:c r="A9018" s="83" t="inlineStr">
        <s:is>
          <s:t>SKIPPED</s:t>
        </s:is>
      </s:c>
      <s:c r="B9018" s="83">
        <s:f>SUM(IF(EXACT('Kiểm thử'!E8965,"Không thực hiện"),1,0))</s:f>
        <s:v/>
      </s:c>
      <s:c r="C9018" s="19" t="n"/>
      <s:c r="D9018" s="19" t="n"/>
      <s:c r="E9018" s="19" t="n"/>
    </s:row>
    <s:row r="9019" hidden="1" ht="1" customHeight="1">
      <s:c r="A9019" s="83" t="inlineStr">
        <s:is>
          <s:t>NOT RUN</s:t>
        </s:is>
      </s:c>
      <s:c r="B9019" s="83">
        <s:f>SUM(IF(EXACT('Kiểm thử'!E8965,"Chưa thực hiện"),1,0))</s:f>
        <s:v/>
      </s:c>
      <s:c r="C9019" s="19" t="n"/>
      <s:c r="D9019" s="19" t="n"/>
      <s:c r="E9019" s="19" t="n"/>
    </s:row>
    <s:row r="9020" hidden="1" ht="6" customHeight="1">
      <s:c r="A9020" s="83" t="inlineStr"/>
      <s:c r="B9020" s="19" t="n"/>
      <s:c r="C9020" s="19" t="n"/>
      <s:c r="D9020" s="19" t="n"/>
      <s:c r="E9020" s="19" t="n"/>
    </s:row>
    <s:row r="9021" ht="28" customHeight="1">
      <s:c r="A9021" s="108" t="inlineStr">
        <s:is>
          <s:t>TC-RS-CALC-019 — Định nghĩa phương thức làm tròn, số âm và p=9</s:t>
        </s:is>
      </s:c>
      <s:c r="B9021" s="111" t="n"/>
      <s:c r="C9021" s="111" t="n"/>
      <s:c r="D9021" s="111" t="n"/>
      <s:c r="E9021" s="111" t="n"/>
    </s:row>
    <s:row r="9022" ht="20" customHeight="1">
      <s:c r="A9022" s="112" t="inlineStr">
        <s:is>
          <s:t>Kết quả tình huống</s:t>
        </s:is>
      </s:c>
      <s:c r="B9022" s="113">
        <s:f>IF(SUM(IF(EXACT('Kiểm thử'!E9032,"Không đạt"),1,0),IF(EXACT('Kiểm thử'!E9034,"Không đạt"),1,0),IF(EXACT('Kiểm thử'!E9036,"Không đạt"),1,0),IF(EXACT('Kiểm thử'!E9038,"Không đạt"),1,0),IF(EXACT('Kiểm thử'!E9040,"Không đạt"),1,0),IF(EXACT('Kiểm thử'!E9042,"Không đạt"),1,0),IF(EXACT('Kiểm thử'!E9044,"Không đạt"),1,0),IF(EXACT('Kiểm thử'!E9046,"Không đạt"),1,0),IF(EXACT('Kiểm thử'!E9048,"Không đạt"),1,0),IF(EXACT('Kiểm thử'!E9050,"Không đạt"),1,0),IF(EXACT('Kiểm thử'!E9052,"Không đạt"),1,0),IF(EXACT('Kiểm thử'!E9054,"Không đạt"),1,0),IF(EXACT('Kiểm thử'!E9056,"Không đạt"),1,0),IF(EXACT('Kiểm thử'!E9058,"Không đạt"),1,0),IF(EXACT('Kiểm thử'!E9060,"Không đạt"),1,0))&gt;0,"Không đạt",IF(SUM(IF(EXACT('Kiểm thử'!E9032,"Đạt"),1,0),IF(EXACT('Kiểm thử'!E9034,"Đạt"),1,0),IF(EXACT('Kiểm thử'!E9036,"Đạt"),1,0),IF(EXACT('Kiểm thử'!E9038,"Đạt"),1,0),IF(EXACT('Kiểm thử'!E9040,"Đạt"),1,0),IF(EXACT('Kiểm thử'!E9042,"Đạt"),1,0),IF(EXACT('Kiểm thử'!E9044,"Đạt"),1,0),IF(EXACT('Kiểm thử'!E9046,"Đạt"),1,0),IF(EXACT('Kiểm thử'!E9048,"Đạt"),1,0),IF(EXACT('Kiểm thử'!E9050,"Đạt"),1,0),IF(EXACT('Kiểm thử'!E9052,"Đạt"),1,0),IF(EXACT('Kiểm thử'!E9054,"Đạt"),1,0),IF(EXACT('Kiểm thử'!E9056,"Đạt"),1,0),IF(EXACT('Kiểm thử'!E9058,"Đạt"),1,0),IF(EXACT('Kiểm thử'!E9060,"Đạt"),1,0))=15,"Đạt",IF(SUM(IF(EXACT('Kiểm thử'!E9032,"Không thực hiện"),1,0),IF(EXACT('Kiểm thử'!E9034,"Không thực hiện"),1,0),IF(EXACT('Kiểm thử'!E9036,"Không thực hiện"),1,0),IF(EXACT('Kiểm thử'!E9038,"Không thực hiện"),1,0),IF(EXACT('Kiểm thử'!E9040,"Không thực hiện"),1,0),IF(EXACT('Kiểm thử'!E9042,"Không thực hiện"),1,0),IF(EXACT('Kiểm thử'!E9044,"Không thực hiện"),1,0),IF(EXACT('Kiểm thử'!E9046,"Không thực hiện"),1,0),IF(EXACT('Kiểm thử'!E9048,"Không thực hiện"),1,0),IF(EXACT('Kiểm thử'!E9050,"Không thực hiện"),1,0),IF(EXACT('Kiểm thử'!E9052,"Không thực hiện"),1,0),IF(EXACT('Kiểm thử'!E9054,"Không thực hiện"),1,0),IF(EXACT('Kiểm thử'!E9056,"Không thực hiện"),1,0),IF(EXACT('Kiểm thử'!E9058,"Không thực hiện"),1,0),IF(EXACT('Kiểm thử'!E9060,"Không thực hiện"),1,0))=15,"Không thực hiện",IF(SUM(IF(EXACT('Kiểm thử'!E9032,"Bị chặn"),1,0),IF(EXACT('Kiểm thử'!E9034,"Bị chặn"),1,0),IF(EXACT('Kiểm thử'!E9036,"Bị chặn"),1,0),IF(EXACT('Kiểm thử'!E9038,"Bị chặn"),1,0),IF(EXACT('Kiểm thử'!E9040,"Bị chặn"),1,0),IF(EXACT('Kiểm thử'!E9042,"Bị chặn"),1,0),IF(EXACT('Kiểm thử'!E9044,"Bị chặn"),1,0),IF(EXACT('Kiểm thử'!E9046,"Bị chặn"),1,0),IF(EXACT('Kiểm thử'!E9048,"Bị chặn"),1,0),IF(EXACT('Kiểm thử'!E9050,"Bị chặn"),1,0),IF(EXACT('Kiểm thử'!E9052,"Bị chặn"),1,0),IF(EXACT('Kiểm thử'!E9054,"Bị chặn"),1,0),IF(EXACT('Kiểm thử'!E9056,"Bị chặn"),1,0),IF(EXACT('Kiểm thử'!E9058,"Bị chặn"),1,0),IF(EXACT('Kiểm thử'!E9060,"Bị chặn"),1,0))&gt;0,"Bị chặn",IF(SUM(IF(EXACT('Kiểm thử'!E9032,"Chưa thực hiện"),1,0),IF(EXACT('Kiểm thử'!E9034,"Chưa thực hiện"),1,0),IF(EXACT('Kiểm thử'!E9036,"Chưa thực hiện"),1,0),IF(EXACT('Kiểm thử'!E9038,"Chưa thực hiện"),1,0),IF(EXACT('Kiểm thử'!E9040,"Chưa thực hiện"),1,0),IF(EXACT('Kiểm thử'!E9042,"Chưa thực hiện"),1,0),IF(EXACT('Kiểm thử'!E9044,"Chưa thực hiện"),1,0),IF(EXACT('Kiểm thử'!E9046,"Chưa thực hiện"),1,0),IF(EXACT('Kiểm thử'!E9048,"Chưa thực hiện"),1,0),IF(EXACT('Kiểm thử'!E9050,"Chưa thực hiện"),1,0),IF(EXACT('Kiểm thử'!E9052,"Chưa thực hiện"),1,0),IF(EXACT('Kiểm thử'!E9054,"Chưa thực hiện"),1,0),IF(EXACT('Kiểm thử'!E9056,"Chưa thực hiện"),1,0),IF(EXACT('Kiểm thử'!E9058,"Chưa thực hiện"),1,0),IF(EXACT('Kiểm thử'!E9060,"Chưa thực hiện"),1,0))=15,"Chưa thực hiện","Đang thực hiện")))))</s:f>
        <s:v/>
      </s:c>
      <s:c r="C9022" s="114" t="n"/>
      <s:c r="D9022" s="114" t="n"/>
      <s:c r="E9022" s="114" t="n"/>
    </s:row>
    <s:row r="9023" ht="20" customHeight="1">
      <s:c r="A9023" s="112" t="inlineStr">
        <s:is>
          <s:t>Màn hình / chức năng</s:t>
        </s:is>
      </s:c>
      <s:c r="B9023" s="113" t="inlineStr">
        <s:is>
          <s:r>
            <s:rPr>
              <s:b val="1"/>
            </s:rPr>
            <s:t>Thiết lập ngưỡng（基準設定）</s:t>
          </s:r>
        </s:is>
      </s:c>
      <s:c r="C9023" s="28" t="n"/>
      <s:c r="D9023" s="28" t="n"/>
      <s:c r="E9023" s="28" t="n"/>
    </s:row>
    <s:row r="9024" ht="34" customHeight="1">
      <s:c r="A9024" s="112" t="inlineStr">
        <s:is>
          <s:t>Cấu hình</s:t>
        </s:is>
      </s:c>
      <s:c r="B9024" s="113" t="inlineStr">
        <s:is>
          <s:t>• Dùng công thức một dòng [A+0] hoặc [A×1] để đưa giá trị vào bước làm tròn (nguồn dummy có [A] bằng giá trị cần thử).</s:t>
        </s:is>
      </s:c>
      <s:c r="C9024" s="28" t="n"/>
      <s:c r="D9024" s="28" t="n"/>
      <s:c r="E9024" s="28" t="n"/>
    </s:row>
    <s:row r="9025" ht="20" customHeight="1">
      <s:c r="A9025" s="112" t="inlineStr">
        <s:is>
          <s:t>Dữ liệu test</s:t>
        </s:is>
      </s:c>
      <s:c r="B9025" s="113" t="inlineStr">
        <s:is>
          <s:t>• Bảng ở Expected Result</s:t>
        </s:is>
      </s:c>
      <s:c r="C9025" s="28" t="n"/>
      <s:c r="D9025" s="28" t="n"/>
      <s:c r="E9025" s="28" t="n"/>
    </s:row>
    <s:row r="9026" ht="258" customHeight="1">
      <s:c r="A9026" s="112" t="inlineStr">
        <s:is>
          <s:t>Điều kiện còn thiếu</s:t>
        </s:is>
      </s:c>
      <s:c r="B9026" s="113" t="inlineStr">
        <s:is>
          <s:t>• Phần kỳ vọng chưa chốt trong bản nguồn: Các phép thử có fixture/source được quan sát dùng expected dưới đây. Giới hạn [p=9], miền âm và quy tắc làm tròn âm là PROPOSED/TBD nếu đợt phát hành chưa chốt;
• Thiếu seam thì BLOCKED, không đánh PASS/FAIL.
• 29.7 Không xử lý → 29.7.
• 29.7 Xuống p1 → 29.
• 29.75 Gần nhất p2 → 29.8.
• −5.2 Lên p1 → −5.
• −5.2 Xuống p1 → −6.
• −5.5 Gần nhất p1 → −6.
• 12.5 Gần nhất p1 → 13;
• −12.5 Gần nhất p1 → −13;
• −12.5 Lên p1 → −12;
• −12.5 Xuống p1 → −13.
• 12.345 Gần nhất p2 → 12.3;
• Lên p2 → 12.4.
• 2.675 Gần nhất p3 → 2.68.
• 1.123456789 Gần nhất p9 → 1.12345679;
• Xuống p9 → 1.12345678.</s:t>
        </s:is>
      </s:c>
      <s:c r="C9026" s="28" t="n"/>
      <s:c r="D9026" s="28" t="n"/>
      <s:c r="E9026" s="28" t="n"/>
    </s:row>
    <s:row r="9027" ht="34" customHeight="1">
      <s:c r="A9027" s="112" t="inlineStr">
        <s:is>
          <s:t>Bước 1</s:t>
        </s:is>
      </s:c>
      <s:c r="B9027" s="113" t="inlineStr">
        <s:is>
          <s:t>Với từng dòng của Expected Result: đặt [A] (nguồn dummy, dữ liệu giả cho bản tổng hợp đã chốt), chọn xử lý phần lẻ.</s:t>
        </s:is>
      </s:c>
      <s:c r="C9027" s="28" t="n"/>
      <s:c r="D9027" s="28" t="n"/>
      <s:c r="E9027" s="28" t="n"/>
    </s:row>
    <s:row r="9028" ht="20" customHeight="1">
      <s:c r="A9028" s="112" t="inlineStr">
        <s:is>
          <s:t>Bước 2</s:t>
        </s:is>
      </s:c>
      <s:c r="B9028" s="113" t="inlineStr">
        <s:is>
          <s:t>Chạy lại (nút cam).</s:t>
        </s:is>
      </s:c>
      <s:c r="C9028" s="28" t="n"/>
      <s:c r="D9028" s="28" t="n"/>
      <s:c r="E9028" s="28" t="n"/>
    </s:row>
    <s:row r="9029" ht="34" customHeight="1">
      <s:c r="A9029" s="112" t="inlineStr">
        <s:is>
          <s:t>Bước 3</s:t>
        </s:is>
      </s:c>
      <s:c r="B9029" s="113" t="inlineStr">
        <s:is>
          <s:t>Đọc [T] qua thông tin giải thích (case “Lưu thông tin giải thích kết quả”) hoặc qua kết quả xét với S sát ngưỡng.</s:t>
        </s:is>
      </s:c>
      <s:c r="C9029" s="28" t="n"/>
      <s:c r="D9029" s="28" t="n"/>
      <s:c r="E9029" s="28" t="n"/>
    </s:row>
    <s:row r="9030" ht="28" customHeight="1">
      <s:c r="A9030" s="115" t="inlineStr">
        <s:is>
          <s:t>Trường hợp</s:t>
        </s:is>
      </s:c>
      <s:c r="B9030" s="115" t="inlineStr">
        <s:is>
          <s:t>Dữ liệu / thao tác riêng</s:t>
        </s:is>
      </s:c>
      <s:c r="C9030" s="115" t="inlineStr">
        <s:is>
          <s:t>Kết quả mong đợi</s:t>
        </s:is>
      </s:c>
      <s:c r="D9030" s="115" t="inlineStr">
        <s:is>
          <s:t>Kết quả thực tế</s:t>
        </s:is>
      </s:c>
      <s:c r="E9030" s="115" t="inlineStr">
        <s:is>
          <s:t>Đánh giá</s:t>
        </s:is>
      </s:c>
    </s:row>
    <s:row r="9031" ht="3" customHeight="1">
      <s:c r="A9031" s="102" t="inlineStr"/>
      <s:c r="B9031" s="99" t="n"/>
      <s:c r="C9031" s="99" t="n"/>
      <s:c r="D9031" s="116" t="n"/>
      <s:c r="E9031" s="116" t="n"/>
    </s:row>
    <s:row r="9032" ht="104" customHeight="1">
      <s:c r="A9032" s="83" t="inlineStr">
        <s:is>
          <s:t>Giữ phần lẻ dương (positive-none)</s:t>
        </s:is>
      </s:c>
      <s:c r="B9032" s="83" t="inlineStr">
        <s:is>
          <s:r>
            <s:t xml:space="preserve">Nguồn dummy </s:t>
          </s:r>
          <s:r>
            <s:rPr>
              <s:b val="1"/>
            </s:rPr>
            <s:t>A=29.7</s:t>
          </s:r>
          <s:r>
            <s:t xml:space="preserve"> qua công thức A+0 hoặc A×1; chọn không xử lý, chạy nút cam và đọc T qua giải thích hoặc S sát ngưỡng. Miền âm/p9 hoặc cách làm tròn âm còn PROPOSED/TBD theo phạm vi; thiếu seam thì BLOCKED.</s:t>
          </s:r>
        </s:is>
      </s:c>
      <s:c r="C9032" s="83" t="inlineStr">
        <s:is>
          <s:t>Các phép thử có fixture/source được quan sát dùng expected dưới đây. Giới hạn [p=9], miền âm và quy tắc làm tròn âm là PROPOSED/TBD nếu đợt phát hành chưa chốt; thiếu seam thì BLOCKED, không đánh PASS/FAIL.
29.7 không xử lý → 29.7.</s:t>
        </s:is>
      </s:c>
      <s:c r="D9032" s="117" t="inlineStr"/>
      <s:c r="E9032" s="118" t="inlineStr">
        <s:is>
          <s:t>Chưa thực hiện</s:t>
        </s:is>
      </s:c>
    </s:row>
    <s:row r="9033" ht="3" customHeight="1">
      <s:c r="A9033" s="102" t="inlineStr"/>
      <s:c r="B9033" s="99" t="n"/>
      <s:c r="C9033" s="99" t="n"/>
      <s:c r="D9033" s="116" t="n"/>
      <s:c r="E9033" s="116" t="n"/>
    </s:row>
    <s:row r="9034" ht="104" customHeight="1">
      <s:c r="A9034" s="83" t="inlineStr">
        <s:is>
          <s:t>Làm tròn xuống số dương (positive-down)</s:t>
        </s:is>
      </s:c>
      <s:c r="B9034" s="83" t="inlineStr">
        <s:is>
          <s:r>
            <s:t xml:space="preserve">Nguồn dummy </s:t>
          </s:r>
          <s:r>
            <s:rPr>
              <s:b val="1"/>
            </s:rPr>
            <s:t>A=29.7</s:t>
          </s:r>
          <s:r>
            <s:t xml:space="preserve"> qua công thức A+0 hoặc A×1; chọn xuống p1, chạy nút cam và đọc T qua giải thích hoặc S sát ngưỡng. Miền âm/p9 hoặc cách làm tròn âm còn PROPOSED/TBD theo phạm vi; thiếu seam thì BLOCKED.</s:t>
          </s:r>
        </s:is>
      </s:c>
      <s:c r="C9034" s="83" t="inlineStr">
        <s:is>
          <s:t>Các phép thử có fixture/source được quan sát dùng expected dưới đây. Giới hạn [p=9], miền âm và quy tắc làm tròn âm là PROPOSED/TBD nếu đợt phát hành chưa chốt; thiếu seam thì BLOCKED, không đánh PASS/FAIL.
29.7 xuống p1 → 29.</s:t>
        </s:is>
      </s:c>
      <s:c r="D9034" s="117" t="inlineStr"/>
      <s:c r="E9034" s="118" t="inlineStr">
        <s:is>
          <s:t>Chưa thực hiện</s:t>
        </s:is>
      </s:c>
    </s:row>
    <s:row r="9035" ht="3" customHeight="1">
      <s:c r="A9035" s="102" t="inlineStr"/>
      <s:c r="B9035" s="99" t="n"/>
      <s:c r="C9035" s="99" t="n"/>
      <s:c r="D9035" s="116" t="n"/>
      <s:c r="E9035" s="116" t="n"/>
    </s:row>
    <s:row r="9036" ht="104" customHeight="1">
      <s:c r="A9036" s="83" t="inlineStr">
        <s:is>
          <s:t>Làm tròn gần nhất số dương (positive-nearest)</s:t>
        </s:is>
      </s:c>
      <s:c r="B9036" s="83" t="inlineStr">
        <s:is>
          <s:r>
            <s:t xml:space="preserve">Nguồn dummy </s:t>
          </s:r>
          <s:r>
            <s:rPr>
              <s:b val="1"/>
            </s:rPr>
            <s:t>A=29.75</s:t>
          </s:r>
          <s:r>
            <s:t xml:space="preserve"> qua công thức A+0 hoặc A×1; chọn gần nhất p2, chạy nút cam và đọc T qua giải thích hoặc S sát ngưỡng. Miền âm/p9 hoặc cách làm tròn âm còn PROPOSED/TBD theo phạm vi; thiếu seam thì BLOCKED.</s:t>
          </s:r>
        </s:is>
      </s:c>
      <s:c r="C9036" s="83" t="inlineStr">
        <s:is>
          <s:t>Các phép thử có fixture/source được quan sát dùng expected dưới đây. Giới hạn [p=9], miền âm và quy tắc làm tròn âm là PROPOSED/TBD nếu đợt phát hành chưa chốt; thiếu seam thì BLOCKED, không đánh PASS/FAIL.
29.75 gần nhất p2 → 29.8.</s:t>
        </s:is>
      </s:c>
      <s:c r="D9036" s="117" t="inlineStr"/>
      <s:c r="E9036" s="118" t="inlineStr">
        <s:is>
          <s:t>Chưa thực hiện</s:t>
        </s:is>
      </s:c>
    </s:row>
    <s:row r="9037" ht="3" customHeight="1">
      <s:c r="A9037" s="102" t="inlineStr"/>
      <s:c r="B9037" s="99" t="n"/>
      <s:c r="C9037" s="99" t="n"/>
      <s:c r="D9037" s="116" t="n"/>
      <s:c r="E9037" s="116" t="n"/>
    </s:row>
    <s:row r="9038" ht="104" customHeight="1">
      <s:c r="A9038" s="83" t="inlineStr">
        <s:is>
          <s:t>Làm tròn lên số âm (negative-up)</s:t>
        </s:is>
      </s:c>
      <s:c r="B9038" s="83" t="inlineStr">
        <s:is>
          <s:r>
            <s:t xml:space="preserve">Nguồn dummy </s:t>
          </s:r>
          <s:r>
            <s:rPr>
              <s:b val="1"/>
            </s:rPr>
            <s:t>A=-5.2</s:t>
          </s:r>
          <s:r>
            <s:t xml:space="preserve"> qua công thức A+0 hoặc A×1; chọn lên p1, chạy nút cam và đọc T qua giải thích hoặc S sát ngưỡng. Miền âm/p9 hoặc cách làm tròn âm còn PROPOSED/TBD theo phạm vi; thiếu seam thì BLOCKED.</s:t>
          </s:r>
        </s:is>
      </s:c>
      <s:c r="C9038" s="83" t="inlineStr">
        <s:is>
          <s:t>Các phép thử có fixture/source được quan sát dùng expected dưới đây. Giới hạn [p=9], miền âm và quy tắc làm tròn âm là PROPOSED/TBD nếu đợt phát hành chưa chốt; thiếu seam thì BLOCKED, không đánh PASS/FAIL.
−5.2 lên p1 → −5.</s:t>
        </s:is>
      </s:c>
      <s:c r="D9038" s="117" t="inlineStr"/>
      <s:c r="E9038" s="118" t="inlineStr">
        <s:is>
          <s:t>Chưa thực hiện</s:t>
        </s:is>
      </s:c>
    </s:row>
    <s:row r="9039" ht="3" customHeight="1">
      <s:c r="A9039" s="102" t="inlineStr"/>
      <s:c r="B9039" s="99" t="n"/>
      <s:c r="C9039" s="99" t="n"/>
      <s:c r="D9039" s="116" t="n"/>
      <s:c r="E9039" s="116" t="n"/>
    </s:row>
    <s:row r="9040" ht="104" customHeight="1">
      <s:c r="A9040" s="83" t="inlineStr">
        <s:is>
          <s:t>Làm tròn xuống số âm (negative-down)</s:t>
        </s:is>
      </s:c>
      <s:c r="B9040" s="83" t="inlineStr">
        <s:is>
          <s:r>
            <s:t xml:space="preserve">Nguồn dummy </s:t>
          </s:r>
          <s:r>
            <s:rPr>
              <s:b val="1"/>
            </s:rPr>
            <s:t>A=-5.2</s:t>
          </s:r>
          <s:r>
            <s:t xml:space="preserve"> qua công thức A+0 hoặc A×1; chọn xuống p1, chạy nút cam và đọc T qua giải thích hoặc S sát ngưỡng. Miền âm/p9 hoặc cách làm tròn âm còn PROPOSED/TBD theo phạm vi; thiếu seam thì BLOCKED.</s:t>
          </s:r>
        </s:is>
      </s:c>
      <s:c r="C9040" s="83" t="inlineStr">
        <s:is>
          <s:t>Các phép thử có fixture/source được quan sát dùng expected dưới đây. Giới hạn [p=9], miền âm và quy tắc làm tròn âm là PROPOSED/TBD nếu đợt phát hành chưa chốt; thiếu seam thì BLOCKED, không đánh PASS/FAIL.
−5.2 xuống p1 → −6.</s:t>
        </s:is>
      </s:c>
      <s:c r="D9040" s="117" t="inlineStr"/>
      <s:c r="E9040" s="118" t="inlineStr">
        <s:is>
          <s:t>Chưa thực hiện</s:t>
        </s:is>
      </s:c>
    </s:row>
    <s:row r="9041" ht="3" customHeight="1">
      <s:c r="A9041" s="102" t="inlineStr"/>
      <s:c r="B9041" s="99" t="n"/>
      <s:c r="C9041" s="99" t="n"/>
      <s:c r="D9041" s="116" t="n"/>
      <s:c r="E9041" s="116" t="n"/>
    </s:row>
    <s:row r="9042" ht="104" customHeight="1">
      <s:c r="A9042" s="83" t="inlineStr">
        <s:is>
          <s:t>Làm tròn gần nhất số âm (negative-nearest)</s:t>
        </s:is>
      </s:c>
      <s:c r="B9042" s="83" t="inlineStr">
        <s:is>
          <s:r>
            <s:t xml:space="preserve">Nguồn dummy </s:t>
          </s:r>
          <s:r>
            <s:rPr>
              <s:b val="1"/>
            </s:rPr>
            <s:t>A=-5.5</s:t>
          </s:r>
          <s:r>
            <s:t xml:space="preserve"> qua công thức A+0 hoặc A×1; chọn gần nhất p1, chạy nút cam và đọc T qua giải thích hoặc S sát ngưỡng. Miền âm/p9 hoặc cách làm tròn âm còn PROPOSED/TBD theo phạm vi; thiếu seam thì BLOCKED.</s:t>
          </s:r>
        </s:is>
      </s:c>
      <s:c r="C9042" s="83" t="inlineStr">
        <s:is>
          <s:t>Các phép thử có fixture/source được quan sát dùng expected dưới đây. Giới hạn [p=9], miền âm và quy tắc làm tròn âm là PROPOSED/TBD nếu đợt phát hành chưa chốt; thiếu seam thì BLOCKED, không đánh PASS/FAIL.
−5.5 gần nhất p1 → −6.</s:t>
        </s:is>
      </s:c>
      <s:c r="D9042" s="117" t="inlineStr"/>
      <s:c r="E9042" s="118" t="inlineStr">
        <s:is>
          <s:t>Chưa thực hiện</s:t>
        </s:is>
      </s:c>
    </s:row>
    <s:row r="9043" ht="3" customHeight="1">
      <s:c r="A9043" s="102" t="inlineStr"/>
      <s:c r="B9043" s="99" t="n"/>
      <s:c r="C9043" s="99" t="n"/>
      <s:c r="D9043" s="116" t="n"/>
      <s:c r="E9043" s="116" t="n"/>
    </s:row>
    <s:row r="9044" ht="104" customHeight="1">
      <s:c r="A9044" s="83" t="inlineStr">
        <s:is>
          <s:t>Giữa hai số nguyên dương (half-positive)</s:t>
        </s:is>
      </s:c>
      <s:c r="B9044" s="83" t="inlineStr">
        <s:is>
          <s:r>
            <s:t xml:space="preserve">Nguồn dummy </s:t>
          </s:r>
          <s:r>
            <s:rPr>
              <s:b val="1"/>
            </s:rPr>
            <s:t>A=12.5</s:t>
          </s:r>
          <s:r>
            <s:t xml:space="preserve"> qua công thức A+0 hoặc A×1; chọn gần nhất p1, chạy nút cam và đọc T qua giải thích hoặc S sát ngưỡng. Miền âm/p9 hoặc cách làm tròn âm còn PROPOSED/TBD theo phạm vi; thiếu seam thì BLOCKED.</s:t>
          </s:r>
        </s:is>
      </s:c>
      <s:c r="C9044" s="83" t="inlineStr">
        <s:is>
          <s:t>Các phép thử có fixture/source được quan sát dùng expected dưới đây. Giới hạn [p=9], miền âm và quy tắc làm tròn âm là PROPOSED/TBD nếu đợt phát hành chưa chốt; thiếu seam thì BLOCKED, không đánh PASS/FAIL.
12.5 gần nhất p1 → 13</s:t>
        </s:is>
      </s:c>
      <s:c r="D9044" s="117" t="inlineStr"/>
      <s:c r="E9044" s="118" t="inlineStr">
        <s:is>
          <s:t>Chưa thực hiện</s:t>
        </s:is>
      </s:c>
    </s:row>
    <s:row r="9045" ht="3" customHeight="1">
      <s:c r="A9045" s="102" t="inlineStr"/>
      <s:c r="B9045" s="99" t="n"/>
      <s:c r="C9045" s="99" t="n"/>
      <s:c r="D9045" s="116" t="n"/>
      <s:c r="E9045" s="116" t="n"/>
    </s:row>
    <s:row r="9046" ht="104" customHeight="1">
      <s:c r="A9046" s="83" t="inlineStr">
        <s:is>
          <s:t>Giữa hai số nguyên âm (half-negative)</s:t>
        </s:is>
      </s:c>
      <s:c r="B9046" s="83" t="inlineStr">
        <s:is>
          <s:r>
            <s:t xml:space="preserve">Nguồn dummy </s:t>
          </s:r>
          <s:r>
            <s:rPr>
              <s:b val="1"/>
            </s:rPr>
            <s:t>A=-12.5</s:t>
          </s:r>
          <s:r>
            <s:t xml:space="preserve"> qua công thức A+0 hoặc A×1; chọn gần nhất p1, chạy nút cam và đọc T qua giải thích hoặc S sát ngưỡng. Miền âm/p9 hoặc cách làm tròn âm còn PROPOSED/TBD theo phạm vi; thiếu seam thì BLOCKED.</s:t>
          </s:r>
        </s:is>
      </s:c>
      <s:c r="C9046" s="83" t="inlineStr">
        <s:is>
          <s:t>Các phép thử có fixture/source được quan sát dùng expected dưới đây. Giới hạn [p=9], miền âm và quy tắc làm tròn âm là PROPOSED/TBD nếu đợt phát hành chưa chốt; thiếu seam thì BLOCKED, không đánh PASS/FAIL.
−12.5 gần nhất p1 → −13</s:t>
        </s:is>
      </s:c>
      <s:c r="D9046" s="117" t="inlineStr"/>
      <s:c r="E9046" s="118" t="inlineStr">
        <s:is>
          <s:t>Chưa thực hiện</s:t>
        </s:is>
      </s:c>
    </s:row>
    <s:row r="9047" ht="3" customHeight="1">
      <s:c r="A9047" s="102" t="inlineStr"/>
      <s:c r="B9047" s="99" t="n"/>
      <s:c r="C9047" s="99" t="n"/>
      <s:c r="D9047" s="116" t="n"/>
      <s:c r="E9047" s="116" t="n"/>
    </s:row>
    <s:row r="9048" ht="104" customHeight="1">
      <s:c r="A9048" s="83" t="inlineStr">
        <s:is>
          <s:t>Lên tại số âm giữa hai mức (half-up)</s:t>
        </s:is>
      </s:c>
      <s:c r="B9048" s="83" t="inlineStr">
        <s:is>
          <s:r>
            <s:t xml:space="preserve">Nguồn dummy </s:t>
          </s:r>
          <s:r>
            <s:rPr>
              <s:b val="1"/>
            </s:rPr>
            <s:t>A=-12.5</s:t>
          </s:r>
          <s:r>
            <s:t xml:space="preserve"> qua công thức A+0 hoặc A×1; chọn lên p1, chạy nút cam và đọc T qua giải thích hoặc S sát ngưỡng. Miền âm/p9 hoặc cách làm tròn âm còn PROPOSED/TBD theo phạm vi; thiếu seam thì BLOCKED.</s:t>
          </s:r>
        </s:is>
      </s:c>
      <s:c r="C9048" s="83" t="inlineStr">
        <s:is>
          <s:t>Các phép thử có fixture/source được quan sát dùng expected dưới đây. Giới hạn [p=9], miền âm và quy tắc làm tròn âm là PROPOSED/TBD nếu đợt phát hành chưa chốt; thiếu seam thì BLOCKED, không đánh PASS/FAIL.
−12.5 lên p1 → −12</s:t>
        </s:is>
      </s:c>
      <s:c r="D9048" s="117" t="inlineStr"/>
      <s:c r="E9048" s="118" t="inlineStr">
        <s:is>
          <s:t>Chưa thực hiện</s:t>
        </s:is>
      </s:c>
    </s:row>
    <s:row r="9049" ht="3" customHeight="1">
      <s:c r="A9049" s="102" t="inlineStr"/>
      <s:c r="B9049" s="99" t="n"/>
      <s:c r="C9049" s="99" t="n"/>
      <s:c r="D9049" s="116" t="n"/>
      <s:c r="E9049" s="116" t="n"/>
    </s:row>
    <s:row r="9050" ht="104" customHeight="1">
      <s:c r="A9050" s="83" t="inlineStr">
        <s:is>
          <s:t>Xuống tại số âm giữa hai mức (half-down)</s:t>
        </s:is>
      </s:c>
      <s:c r="B9050" s="83" t="inlineStr">
        <s:is>
          <s:r>
            <s:t xml:space="preserve">Nguồn dummy </s:t>
          </s:r>
          <s:r>
            <s:rPr>
              <s:b val="1"/>
            </s:rPr>
            <s:t>A=-12.5</s:t>
          </s:r>
          <s:r>
            <s:t xml:space="preserve"> qua công thức A+0 hoặc A×1; chọn xuống p1, chạy nút cam và đọc T qua giải thích hoặc S sát ngưỡng. Miền âm/p9 hoặc cách làm tròn âm còn PROPOSED/TBD theo phạm vi; thiếu seam thì BLOCKED.</s:t>
          </s:r>
        </s:is>
      </s:c>
      <s:c r="C9050" s="83" t="inlineStr">
        <s:is>
          <s:t>Các phép thử có fixture/source được quan sát dùng expected dưới đây. Giới hạn [p=9], miền âm và quy tắc làm tròn âm là PROPOSED/TBD nếu đợt phát hành chưa chốt; thiếu seam thì BLOCKED, không đánh PASS/FAIL.
−12.5 xuống p1 → −13.</s:t>
        </s:is>
      </s:c>
      <s:c r="D9050" s="117" t="inlineStr"/>
      <s:c r="E9050" s="118" t="inlineStr">
        <s:is>
          <s:t>Chưa thực hiện</s:t>
        </s:is>
      </s:c>
    </s:row>
    <s:row r="9051" ht="3" customHeight="1">
      <s:c r="A9051" s="102" t="inlineStr"/>
      <s:c r="B9051" s="99" t="n"/>
      <s:c r="C9051" s="99" t="n"/>
      <s:c r="D9051" s="116" t="n"/>
      <s:c r="E9051" s="116" t="n"/>
    </s:row>
    <s:row r="9052" ht="104" customHeight="1">
      <s:c r="A9052" s="83" t="inlineStr">
        <s:is>
          <s:t>Gần nhất tại p2 (decimal-nearest)</s:t>
        </s:is>
      </s:c>
      <s:c r="B9052" s="83" t="inlineStr">
        <s:is>
          <s:r>
            <s:t xml:space="preserve">Nguồn dummy </s:t>
          </s:r>
          <s:r>
            <s:rPr>
              <s:b val="1"/>
            </s:rPr>
            <s:t>A=12.345</s:t>
          </s:r>
          <s:r>
            <s:t xml:space="preserve"> qua công thức A+0 hoặc A×1; chọn gần nhất p2, chạy nút cam và đọc T qua giải thích hoặc S sát ngưỡng. Miền âm/p9 hoặc cách làm tròn âm còn PROPOSED/TBD theo phạm vi; thiếu seam thì BLOCKED.</s:t>
          </s:r>
        </s:is>
      </s:c>
      <s:c r="C9052" s="83" t="inlineStr">
        <s:is>
          <s:t>Các phép thử có fixture/source được quan sát dùng expected dưới đây. Giới hạn [p=9], miền âm và quy tắc làm tròn âm là PROPOSED/TBD nếu đợt phát hành chưa chốt; thiếu seam thì BLOCKED, không đánh PASS/FAIL.
12.345 gần nhất p2 → 12.3</s:t>
        </s:is>
      </s:c>
      <s:c r="D9052" s="117" t="inlineStr"/>
      <s:c r="E9052" s="118" t="inlineStr">
        <s:is>
          <s:t>Chưa thực hiện</s:t>
        </s:is>
      </s:c>
    </s:row>
    <s:row r="9053" ht="3" customHeight="1">
      <s:c r="A9053" s="102" t="inlineStr"/>
      <s:c r="B9053" s="99" t="n"/>
      <s:c r="C9053" s="99" t="n"/>
      <s:c r="D9053" s="116" t="n"/>
      <s:c r="E9053" s="116" t="n"/>
    </s:row>
    <s:row r="9054" ht="104" customHeight="1">
      <s:c r="A9054" s="83" t="inlineStr">
        <s:is>
          <s:t>Lên tại p2 (decimal-up)</s:t>
        </s:is>
      </s:c>
      <s:c r="B9054" s="83" t="inlineStr">
        <s:is>
          <s:r>
            <s:t xml:space="preserve">Nguồn dummy </s:t>
          </s:r>
          <s:r>
            <s:rPr>
              <s:b val="1"/>
            </s:rPr>
            <s:t>A=12.345</s:t>
          </s:r>
          <s:r>
            <s:t xml:space="preserve"> qua công thức A+0 hoặc A×1; chọn lên p2, chạy nút cam và đọc T qua giải thích hoặc S sát ngưỡng. Miền âm/p9 hoặc cách làm tròn âm còn PROPOSED/TBD theo phạm vi; thiếu seam thì BLOCKED.</s:t>
          </s:r>
        </s:is>
      </s:c>
      <s:c r="C9054" s="83" t="inlineStr">
        <s:is>
          <s:t>Các phép thử có fixture/source được quan sát dùng expected dưới đây. Giới hạn [p=9], miền âm và quy tắc làm tròn âm là PROPOSED/TBD nếu đợt phát hành chưa chốt; thiếu seam thì BLOCKED, không đánh PASS/FAIL.
lên p2 → 12.4.</s:t>
        </s:is>
      </s:c>
      <s:c r="D9054" s="117" t="inlineStr"/>
      <s:c r="E9054" s="118" t="inlineStr">
        <s:is>
          <s:t>Chưa thực hiện</s:t>
        </s:is>
      </s:c>
    </s:row>
    <s:row r="9055" ht="3" customHeight="1">
      <s:c r="A9055" s="102" t="inlineStr"/>
      <s:c r="B9055" s="99" t="n"/>
      <s:c r="C9055" s="99" t="n"/>
      <s:c r="D9055" s="116" t="n"/>
      <s:c r="E9055" s="116" t="n"/>
    </s:row>
    <s:row r="9056" ht="104" customHeight="1">
      <s:c r="A9056" s="83" t="inlineStr">
        <s:is>
          <s:t>Gần nhất tại p3 (p3)</s:t>
        </s:is>
      </s:c>
      <s:c r="B9056" s="83" t="inlineStr">
        <s:is>
          <s:r>
            <s:t xml:space="preserve">Nguồn dummy </s:t>
          </s:r>
          <s:r>
            <s:rPr>
              <s:b val="1"/>
            </s:rPr>
            <s:t>A=2.675</s:t>
          </s:r>
          <s:r>
            <s:t xml:space="preserve"> qua công thức A+0 hoặc A×1; chọn gần nhất p3, chạy nút cam và đọc T qua giải thích hoặc S sát ngưỡng. Miền âm/p9 hoặc cách làm tròn âm còn PROPOSED/TBD theo phạm vi; thiếu seam thì BLOCKED.</s:t>
          </s:r>
        </s:is>
      </s:c>
      <s:c r="C9056" s="83" t="inlineStr">
        <s:is>
          <s:t>Các phép thử có fixture/source được quan sát dùng expected dưới đây. Giới hạn [p=9], miền âm và quy tắc làm tròn âm là PROPOSED/TBD nếu đợt phát hành chưa chốt; thiếu seam thì BLOCKED, không đánh PASS/FAIL.
2.675 gần nhất p3 → 2.68.</s:t>
        </s:is>
      </s:c>
      <s:c r="D9056" s="117" t="inlineStr"/>
      <s:c r="E9056" s="118" t="inlineStr">
        <s:is>
          <s:t>Chưa thực hiện</s:t>
        </s:is>
      </s:c>
    </s:row>
    <s:row r="9057" ht="3" customHeight="1">
      <s:c r="A9057" s="102" t="inlineStr"/>
      <s:c r="B9057" s="99" t="n"/>
      <s:c r="C9057" s="99" t="n"/>
      <s:c r="D9057" s="116" t="n"/>
      <s:c r="E9057" s="116" t="n"/>
    </s:row>
    <s:row r="9058" ht="104" customHeight="1">
      <s:c r="A9058" s="83" t="inlineStr">
        <s:is>
          <s:t>Gần nhất tại p9 (p9-nearest)</s:t>
        </s:is>
      </s:c>
      <s:c r="B9058" s="83" t="inlineStr">
        <s:is>
          <s:r>
            <s:t xml:space="preserve">Nguồn dummy </s:t>
          </s:r>
          <s:r>
            <s:rPr>
              <s:b val="1"/>
            </s:rPr>
            <s:t>A=1.123456789</s:t>
          </s:r>
          <s:r>
            <s:t xml:space="preserve"> qua công thức A+0 hoặc A×1; chọn gần nhất p9, chạy nút cam và đọc T qua giải thích hoặc S sát ngưỡng. Miền âm/p9 hoặc cách làm tròn âm còn PROPOSED/TBD theo phạm vi; thiếu seam thì BLOCKED.</s:t>
          </s:r>
        </s:is>
      </s:c>
      <s:c r="C9058" s="83" t="inlineStr">
        <s:is>
          <s:t>Các phép thử có fixture/source được quan sát dùng expected dưới đây. Giới hạn [p=9], miền âm và quy tắc làm tròn âm là PROPOSED/TBD nếu đợt phát hành chưa chốt; thiếu seam thì BLOCKED, không đánh PASS/FAIL.
1.123456789 gần nhất p9 → 1.12345679</s:t>
        </s:is>
      </s:c>
      <s:c r="D9058" s="117" t="inlineStr"/>
      <s:c r="E9058" s="118" t="inlineStr">
        <s:is>
          <s:t>Chưa thực hiện</s:t>
        </s:is>
      </s:c>
    </s:row>
    <s:row r="9059" ht="3" customHeight="1">
      <s:c r="A9059" s="102" t="inlineStr"/>
      <s:c r="B9059" s="99" t="n"/>
      <s:c r="C9059" s="99" t="n"/>
      <s:c r="D9059" s="116" t="n"/>
      <s:c r="E9059" s="116" t="n"/>
    </s:row>
    <s:row r="9060" ht="104" customHeight="1">
      <s:c r="A9060" s="83" t="inlineStr">
        <s:is>
          <s:t>Xuống tại p9 (p9-down)</s:t>
        </s:is>
      </s:c>
      <s:c r="B9060" s="83" t="inlineStr">
        <s:is>
          <s:r>
            <s:t xml:space="preserve">Nguồn dummy </s:t>
          </s:r>
          <s:r>
            <s:rPr>
              <s:b val="1"/>
            </s:rPr>
            <s:t>A=1.123456789</s:t>
          </s:r>
          <s:r>
            <s:t xml:space="preserve"> qua công thức A+0 hoặc A×1; chọn xuống p9, chạy nút cam và đọc T qua giải thích hoặc S sát ngưỡng. Miền âm/p9 hoặc cách làm tròn âm còn PROPOSED/TBD theo phạm vi; thiếu seam thì BLOCKED.</s:t>
          </s:r>
        </s:is>
      </s:c>
      <s:c r="C9060" s="83" t="inlineStr">
        <s:is>
          <s:t>Các phép thử có fixture/source được quan sát dùng expected dưới đây. Giới hạn [p=9], miền âm và quy tắc làm tròn âm là PROPOSED/TBD nếu đợt phát hành chưa chốt; thiếu seam thì BLOCKED, không đánh PASS/FAIL.
xuống p9 → 1.12345678.</s:t>
        </s:is>
      </s:c>
      <s:c r="D9060" s="117" t="inlineStr"/>
      <s:c r="E9060" s="118" t="inlineStr">
        <s:is>
          <s:t>Chưa thực hiện</s:t>
        </s:is>
      </s:c>
    </s:row>
    <s:row r="9061" ht="20" customHeight="1">
      <s:c r="A9061" s="119" t="inlineStr">
        <s:is>
          <s:t>Ảnh minh chứng — Chưa có ảnh</s:t>
        </s:is>
      </s:c>
      <s:c r="B9061" s="19" t="n"/>
      <s:c r="C9061" s="19" t="n"/>
      <s:c r="D9061" s="19" t="n"/>
      <s:c r="E9061" s="19" t="n"/>
    </s:row>
    <s:row r="9062" hidden="1" ht="1" customHeight="1">
      <s:c r="A9062" s="120" t="inlineStr"/>
      <s:c r="B9062" s="121" t="n"/>
      <s:c r="C9062" s="121" t="n"/>
      <s:c r="D9062" s="121" t="n"/>
      <s:c r="E9062" s="122" t="n"/>
    </s:row>
    <s:row r="9063" hidden="1" ht="1" customHeight="1">
      <s:c r="A9063" s="120" t="inlineStr"/>
      <s:c r="B9063" s="121" t="n"/>
      <s:c r="C9063" s="121" t="n"/>
      <s:c r="D9063" s="121" t="n"/>
      <s:c r="E9063" s="122" t="n"/>
    </s:row>
    <s:row r="9064" hidden="1" ht="1" customHeight="1">
      <s:c r="A9064" s="120" t="inlineStr"/>
      <s:c r="B9064" s="121" t="n"/>
      <s:c r="C9064" s="121" t="n"/>
      <s:c r="D9064" s="121" t="n"/>
      <s:c r="E9064" s="122" t="n"/>
    </s:row>
    <s:row r="9065" hidden="1" ht="1" customHeight="1">
      <s:c r="A9065" s="120" t="inlineStr"/>
      <s:c r="B9065" s="121" t="n"/>
      <s:c r="C9065" s="121" t="n"/>
      <s:c r="D9065" s="121" t="n"/>
      <s:c r="E9065" s="122" t="n"/>
    </s:row>
    <s:row r="9066" hidden="1" ht="1" customHeight="1">
      <s:c r="A9066" s="120" t="inlineStr"/>
      <s:c r="B9066" s="121" t="n"/>
      <s:c r="C9066" s="121" t="n"/>
      <s:c r="D9066" s="121" t="n"/>
      <s:c r="E9066" s="122" t="n"/>
    </s:row>
    <s:row r="9067" hidden="1" ht="1" customHeight="1">
      <s:c r="A9067" s="120" t="inlineStr"/>
      <s:c r="B9067" s="121" t="n"/>
      <s:c r="C9067" s="121" t="n"/>
      <s:c r="D9067" s="121" t="n"/>
      <s:c r="E9067" s="122" t="n"/>
    </s:row>
    <s:row r="9068" hidden="1" ht="1" customHeight="1">
      <s:c r="A9068" s="120" t="inlineStr"/>
      <s:c r="B9068" s="121" t="n"/>
      <s:c r="C9068" s="121" t="n"/>
      <s:c r="D9068" s="121" t="n"/>
      <s:c r="E9068" s="122" t="n"/>
    </s:row>
    <s:row r="9069" hidden="1" ht="1" customHeight="1">
      <s:c r="A9069" s="120" t="inlineStr"/>
      <s:c r="B9069" s="121" t="n"/>
      <s:c r="C9069" s="121" t="n"/>
      <s:c r="D9069" s="121" t="n"/>
      <s:c r="E9069" s="122" t="n"/>
    </s:row>
    <s:row r="9070" hidden="1" ht="1" customHeight="1">
      <s:c r="A9070" s="120" t="inlineStr"/>
      <s:c r="B9070" s="121" t="n"/>
      <s:c r="C9070" s="121" t="n"/>
      <s:c r="D9070" s="121" t="n"/>
      <s:c r="E9070" s="122" t="n"/>
    </s:row>
    <s:row r="9071" hidden="1" ht="1" customHeight="1">
      <s:c r="A9071" s="120" t="inlineStr"/>
      <s:c r="B9071" s="121" t="n"/>
      <s:c r="C9071" s="121" t="n"/>
      <s:c r="D9071" s="121" t="n"/>
      <s:c r="E9071" s="122" t="n"/>
    </s:row>
    <s:row r="9072" hidden="1" ht="1" customHeight="1">
      <s:c r="A9072" s="120" t="inlineStr"/>
      <s:c r="B9072" s="121" t="n"/>
      <s:c r="C9072" s="121" t="n"/>
      <s:c r="D9072" s="121" t="n"/>
      <s:c r="E9072" s="122" t="n"/>
    </s:row>
    <s:row r="9073" hidden="1" ht="1" customHeight="1">
      <s:c r="A9073" s="120" t="inlineStr"/>
      <s:c r="B9073" s="121" t="n"/>
      <s:c r="C9073" s="121" t="n"/>
      <s:c r="D9073" s="121" t="n"/>
      <s:c r="E9073" s="122" t="n"/>
    </s:row>
    <s:row r="9074" hidden="1" ht="1" customHeight="1">
      <s:c r="A9074" s="120" t="inlineStr"/>
      <s:c r="B9074" s="121" t="n"/>
      <s:c r="C9074" s="121" t="n"/>
      <s:c r="D9074" s="121" t="n"/>
      <s:c r="E9074" s="122" t="n"/>
    </s:row>
    <s:row r="9075" hidden="1" ht="1" customHeight="1">
      <s:c r="A9075" s="120" t="inlineStr"/>
      <s:c r="B9075" s="121" t="n"/>
      <s:c r="C9075" s="121" t="n"/>
      <s:c r="D9075" s="121" t="n"/>
      <s:c r="E9075" s="122" t="n"/>
    </s:row>
    <s:row r="9076" hidden="1" ht="1" customHeight="1">
      <s:c r="A9076" s="120" t="inlineStr"/>
      <s:c r="B9076" s="121" t="n"/>
      <s:c r="C9076" s="121" t="n"/>
      <s:c r="D9076" s="121" t="n"/>
      <s:c r="E9076" s="122" t="n"/>
    </s:row>
    <s:row r="9077" hidden="1" ht="1" customHeight="1">
      <s:c r="A9077" s="120" t="inlineStr"/>
      <s:c r="B9077" s="121" t="n"/>
      <s:c r="C9077" s="121" t="n"/>
      <s:c r="D9077" s="121" t="n"/>
      <s:c r="E9077" s="122" t="n"/>
    </s:row>
    <s:row r="9078" hidden="1" ht="1" customHeight="1">
      <s:c r="A9078" s="120" t="inlineStr"/>
      <s:c r="B9078" s="121" t="n"/>
      <s:c r="C9078" s="121" t="n"/>
      <s:c r="D9078" s="121" t="n"/>
      <s:c r="E9078" s="122" t="n"/>
    </s:row>
    <s:row r="9079" hidden="1" ht="1" customHeight="1">
      <s:c r="A9079" s="120" t="inlineStr"/>
      <s:c r="B9079" s="121" t="n"/>
      <s:c r="C9079" s="121" t="n"/>
      <s:c r="D9079" s="121" t="n"/>
      <s:c r="E9079" s="122" t="n"/>
    </s:row>
    <s:row r="9080" hidden="1" ht="1" customHeight="1">
      <s:c r="A9080" s="120" t="inlineStr"/>
      <s:c r="B9080" s="121" t="n"/>
      <s:c r="C9080" s="121" t="n"/>
      <s:c r="D9080" s="121" t="n"/>
      <s:c r="E9080" s="122" t="n"/>
    </s:row>
    <s:row r="9081" hidden="1" ht="1" customHeight="1">
      <s:c r="A9081" s="120" t="inlineStr"/>
      <s:c r="B9081" s="121" t="n"/>
      <s:c r="C9081" s="121" t="n"/>
      <s:c r="D9081" s="121" t="n"/>
      <s:c r="E9081" s="122" t="n"/>
    </s:row>
    <s:row r="9082" hidden="1" ht="1" customHeight="1">
      <s:c r="A9082" s="120" t="inlineStr"/>
      <s:c r="B9082" s="121" t="n"/>
      <s:c r="C9082" s="121" t="n"/>
      <s:c r="D9082" s="121" t="n"/>
      <s:c r="E9082" s="122" t="n"/>
    </s:row>
    <s:row r="9083" hidden="1" ht="1" customHeight="1">
      <s:c r="A9083" s="120" t="inlineStr"/>
      <s:c r="B9083" s="121" t="n"/>
      <s:c r="C9083" s="121" t="n"/>
      <s:c r="D9083" s="121" t="n"/>
      <s:c r="E9083" s="122" t="n"/>
    </s:row>
    <s:row r="9084" hidden="1" ht="1" customHeight="1">
      <s:c r="A9084" s="120" t="inlineStr"/>
      <s:c r="B9084" s="121" t="n"/>
      <s:c r="C9084" s="121" t="n"/>
      <s:c r="D9084" s="121" t="n"/>
      <s:c r="E9084" s="122" t="n"/>
    </s:row>
    <s:row r="9085" hidden="1" ht="1" customHeight="1">
      <s:c r="A9085" s="120" t="inlineStr"/>
      <s:c r="B9085" s="121" t="n"/>
      <s:c r="C9085" s="121" t="n"/>
      <s:c r="D9085" s="121" t="n"/>
      <s:c r="E9085" s="122" t="n"/>
    </s:row>
    <s:row r="9086" hidden="1" ht="1" customHeight="1">
      <s:c r="A9086" s="120" t="inlineStr"/>
      <s:c r="B9086" s="121" t="n"/>
      <s:c r="C9086" s="121" t="n"/>
      <s:c r="D9086" s="121" t="n"/>
      <s:c r="E9086" s="122" t="n"/>
    </s:row>
    <s:row r="9087" hidden="1" ht="1" customHeight="1">
      <s:c r="A9087" s="120" t="inlineStr"/>
      <s:c r="B9087" s="121" t="n"/>
      <s:c r="C9087" s="121" t="n"/>
      <s:c r="D9087" s="121" t="n"/>
      <s:c r="E9087" s="122" t="n"/>
    </s:row>
    <s:row r="9088" hidden="1" ht="1" customHeight="1">
      <s:c r="A9088" s="120" t="inlineStr"/>
      <s:c r="B9088" s="121" t="n"/>
      <s:c r="C9088" s="121" t="n"/>
      <s:c r="D9088" s="121" t="n"/>
      <s:c r="E9088" s="122" t="n"/>
    </s:row>
    <s:row r="9089" hidden="1" ht="1" customHeight="1">
      <s:c r="A9089" s="120" t="inlineStr"/>
      <s:c r="B9089" s="121" t="n"/>
      <s:c r="C9089" s="121" t="n"/>
      <s:c r="D9089" s="121" t="n"/>
      <s:c r="E9089" s="122" t="n"/>
    </s:row>
    <s:row r="9090" hidden="1" ht="1" customHeight="1">
      <s:c r="A9090" s="120" t="inlineStr"/>
      <s:c r="B9090" s="121" t="n"/>
      <s:c r="C9090" s="121" t="n"/>
      <s:c r="D9090" s="121" t="n"/>
      <s:c r="E9090" s="122" t="n"/>
    </s:row>
    <s:row r="9091" hidden="1" ht="1" customHeight="1">
      <s:c r="A9091" s="120" t="inlineStr"/>
      <s:c r="B9091" s="121" t="n"/>
      <s:c r="C9091" s="121" t="n"/>
      <s:c r="D9091" s="121" t="n"/>
      <s:c r="E9091" s="122" t="n"/>
    </s:row>
    <s:row r="9092" hidden="1" ht="1" customHeight="1">
      <s:c r="A9092" s="120" t="inlineStr"/>
      <s:c r="B9092" s="121" t="n"/>
      <s:c r="C9092" s="121" t="n"/>
      <s:c r="D9092" s="121" t="n"/>
      <s:c r="E9092" s="122" t="n"/>
    </s:row>
    <s:row r="9093" hidden="1" ht="1" customHeight="1">
      <s:c r="A9093" s="120" t="inlineStr"/>
      <s:c r="B9093" s="121" t="n"/>
      <s:c r="C9093" s="121" t="n"/>
      <s:c r="D9093" s="121" t="n"/>
      <s:c r="E9093" s="122" t="n"/>
    </s:row>
    <s:row r="9094" hidden="1" ht="1" customHeight="1">
      <s:c r="A9094" s="120" t="inlineStr"/>
      <s:c r="B9094" s="121" t="n"/>
      <s:c r="C9094" s="121" t="n"/>
      <s:c r="D9094" s="121" t="n"/>
      <s:c r="E9094" s="122" t="n"/>
    </s:row>
    <s:row r="9095" hidden="1" ht="1" customHeight="1">
      <s:c r="A9095" s="120" t="inlineStr"/>
      <s:c r="B9095" s="121" t="n"/>
      <s:c r="C9095" s="121" t="n"/>
      <s:c r="D9095" s="121" t="n"/>
      <s:c r="E9095" s="122" t="n"/>
    </s:row>
    <s:row r="9096" hidden="1" ht="1" customHeight="1">
      <s:c r="A9096" s="120" t="inlineStr"/>
      <s:c r="B9096" s="121" t="n"/>
      <s:c r="C9096" s="121" t="n"/>
      <s:c r="D9096" s="121" t="n"/>
      <s:c r="E9096" s="122" t="n"/>
    </s:row>
    <s:row r="9097" hidden="1" ht="1" customHeight="1">
      <s:c r="A9097" s="120" t="inlineStr"/>
      <s:c r="B9097" s="121" t="n"/>
      <s:c r="C9097" s="121" t="n"/>
      <s:c r="D9097" s="121" t="n"/>
      <s:c r="E9097" s="122" t="n"/>
    </s:row>
    <s:row r="9098" hidden="1" ht="1" customHeight="1">
      <s:c r="A9098" s="120" t="inlineStr"/>
      <s:c r="B9098" s="121" t="n"/>
      <s:c r="C9098" s="121" t="n"/>
      <s:c r="D9098" s="121" t="n"/>
      <s:c r="E9098" s="122" t="n"/>
    </s:row>
    <s:row r="9099" hidden="1" ht="1" customHeight="1">
      <s:c r="A9099" s="120" t="inlineStr"/>
      <s:c r="B9099" s="121" t="n"/>
      <s:c r="C9099" s="121" t="n"/>
      <s:c r="D9099" s="121" t="n"/>
      <s:c r="E9099" s="122" t="n"/>
    </s:row>
    <s:row r="9100" hidden="1" ht="1" customHeight="1">
      <s:c r="A9100" s="120" t="inlineStr"/>
      <s:c r="B9100" s="121" t="n"/>
      <s:c r="C9100" s="121" t="n"/>
      <s:c r="D9100" s="121" t="n"/>
      <s:c r="E9100" s="122" t="n"/>
    </s:row>
    <s:row r="9101" hidden="1" ht="1" customHeight="1">
      <s:c r="A9101" s="120" t="inlineStr"/>
      <s:c r="B9101" s="121" t="n"/>
      <s:c r="C9101" s="121" t="n"/>
      <s:c r="D9101" s="121" t="n"/>
      <s:c r="E9101" s="122" t="n"/>
    </s:row>
    <s:row r="9102" hidden="1" ht="1" customHeight="1">
      <s:c r="A9102" s="120" t="inlineStr"/>
      <s:c r="B9102" s="121" t="n"/>
      <s:c r="C9102" s="121" t="n"/>
      <s:c r="D9102" s="121" t="n"/>
      <s:c r="E9102" s="122" t="n"/>
    </s:row>
    <s:row r="9103" hidden="1" ht="1" customHeight="1">
      <s:c r="A9103" s="120" t="inlineStr"/>
      <s:c r="B9103" s="121" t="n"/>
      <s:c r="C9103" s="121" t="n"/>
      <s:c r="D9103" s="121" t="n"/>
      <s:c r="E9103" s="122" t="n"/>
    </s:row>
    <s:row r="9104" hidden="1" ht="1" customHeight="1">
      <s:c r="A9104" s="120" t="inlineStr"/>
      <s:c r="B9104" s="121" t="n"/>
      <s:c r="C9104" s="121" t="n"/>
      <s:c r="D9104" s="121" t="n"/>
      <s:c r="E9104" s="122" t="n"/>
    </s:row>
    <s:row r="9105" hidden="1" ht="1" customHeight="1">
      <s:c r="A9105" s="120" t="inlineStr"/>
      <s:c r="B9105" s="121" t="n"/>
      <s:c r="C9105" s="121" t="n"/>
      <s:c r="D9105" s="121" t="n"/>
      <s:c r="E9105" s="122" t="n"/>
    </s:row>
    <s:row r="9106" hidden="1" ht="1" customHeight="1">
      <s:c r="A9106" s="120" t="inlineStr"/>
      <s:c r="B9106" s="121" t="n"/>
      <s:c r="C9106" s="121" t="n"/>
      <s:c r="D9106" s="121" t="n"/>
      <s:c r="E9106" s="122" t="n"/>
    </s:row>
    <s:row r="9107" hidden="1" ht="1" customHeight="1">
      <s:c r="A9107" s="120" t="inlineStr"/>
      <s:c r="B9107" s="121" t="n"/>
      <s:c r="C9107" s="121" t="n"/>
      <s:c r="D9107" s="121" t="n"/>
      <s:c r="E9107" s="122" t="n"/>
    </s:row>
    <s:row r="9108" hidden="1" ht="1" customHeight="1">
      <s:c r="A9108" s="120" t="inlineStr"/>
      <s:c r="B9108" s="121" t="n"/>
      <s:c r="C9108" s="121" t="n"/>
      <s:c r="D9108" s="121" t="n"/>
      <s:c r="E9108" s="122" t="n"/>
    </s:row>
    <s:row r="9109" hidden="1" ht="1" customHeight="1">
      <s:c r="A9109" s="120" t="inlineStr"/>
      <s:c r="B9109" s="121" t="n"/>
      <s:c r="C9109" s="121" t="n"/>
      <s:c r="D9109" s="121" t="n"/>
      <s:c r="E9109" s="122" t="n"/>
    </s:row>
    <s:row r="9110" hidden="1" ht="1" customHeight="1">
      <s:c r="A9110" s="120" t="inlineStr"/>
      <s:c r="B9110" s="121" t="n"/>
      <s:c r="C9110" s="121" t="n"/>
      <s:c r="D9110" s="121" t="n"/>
      <s:c r="E9110" s="122" t="n"/>
    </s:row>
    <s:row r="9111" hidden="1" ht="1" customHeight="1">
      <s:c r="A9111" s="120" t="inlineStr"/>
      <s:c r="B9111" s="121" t="n"/>
      <s:c r="C9111" s="121" t="n"/>
      <s:c r="D9111" s="121" t="n"/>
      <s:c r="E9111" s="122" t="n"/>
    </s:row>
    <s:row r="9112" hidden="1" ht="1" customHeight="1">
      <s:c r="A9112" s="120" t="inlineStr"/>
      <s:c r="B9112" s="121" t="n"/>
      <s:c r="C9112" s="121" t="n"/>
      <s:c r="D9112" s="121" t="n"/>
      <s:c r="E9112" s="122" t="n"/>
    </s:row>
    <s:row r="9113" hidden="1" ht="1" customHeight="1">
      <s:c r="A9113" s="120" t="inlineStr"/>
      <s:c r="B9113" s="121" t="n"/>
      <s:c r="C9113" s="121" t="n"/>
      <s:c r="D9113" s="121" t="n"/>
      <s:c r="E9113" s="122" t="n"/>
    </s:row>
    <s:row r="9114" hidden="1" ht="1" customHeight="1">
      <s:c r="A9114" s="120" t="inlineStr"/>
      <s:c r="B9114" s="121" t="n"/>
      <s:c r="C9114" s="121" t="n"/>
      <s:c r="D9114" s="121" t="n"/>
      <s:c r="E9114" s="122" t="n"/>
    </s:row>
    <s:row r="9115" hidden="1" ht="1" customHeight="1">
      <s:c r="A9115" s="120" t="inlineStr"/>
      <s:c r="B9115" s="121" t="n"/>
      <s:c r="C9115" s="121" t="n"/>
      <s:c r="D9115" s="121" t="n"/>
      <s:c r="E9115" s="122" t="n"/>
    </s:row>
    <s:row r="9116" hidden="1" ht="1" customHeight="1">
      <s:c r="A9116" s="120" t="inlineStr"/>
      <s:c r="B9116" s="121" t="n"/>
      <s:c r="C9116" s="121" t="n"/>
      <s:c r="D9116" s="121" t="n"/>
      <s:c r="E9116" s="122" t="n"/>
    </s:row>
    <s:row r="9117" hidden="1" ht="1" customHeight="1">
      <s:c r="A9117" s="120" t="inlineStr"/>
      <s:c r="B9117" s="121" t="n"/>
      <s:c r="C9117" s="121" t="n"/>
      <s:c r="D9117" s="121" t="n"/>
      <s:c r="E9117" s="122" t="n"/>
    </s:row>
    <s:row r="9118" hidden="1" ht="1" customHeight="1">
      <s:c r="A9118" s="120" t="inlineStr"/>
      <s:c r="B9118" s="121" t="n"/>
      <s:c r="C9118" s="121" t="n"/>
      <s:c r="D9118" s="121" t="n"/>
      <s:c r="E9118" s="122" t="n"/>
    </s:row>
    <s:row r="9119" hidden="1" ht="1" customHeight="1">
      <s:c r="A9119" s="120" t="inlineStr"/>
      <s:c r="B9119" s="121" t="n"/>
      <s:c r="C9119" s="121" t="n"/>
      <s:c r="D9119" s="121" t="n"/>
      <s:c r="E9119" s="122" t="n"/>
    </s:row>
    <s:row r="9120" hidden="1" ht="1" customHeight="1">
      <s:c r="A9120" s="120" t="inlineStr"/>
      <s:c r="B9120" s="121" t="n"/>
      <s:c r="C9120" s="121" t="n"/>
      <s:c r="D9120" s="121" t="n"/>
      <s:c r="E9120" s="122" t="n"/>
    </s:row>
    <s:row r="9121" hidden="1" ht="1" customHeight="1">
      <s:c r="A9121" s="120" t="inlineStr"/>
      <s:c r="B9121" s="121" t="n"/>
      <s:c r="C9121" s="121" t="n"/>
      <s:c r="D9121" s="121" t="n"/>
      <s:c r="E9121" s="122" t="n"/>
    </s:row>
    <s:row r="9122" hidden="1" ht="1" customHeight="1">
      <s:c r="A9122" s="120" t="inlineStr"/>
      <s:c r="B9122" s="121" t="n"/>
      <s:c r="C9122" s="121" t="n"/>
      <s:c r="D9122" s="121" t="n"/>
      <s:c r="E9122" s="122" t="n"/>
    </s:row>
    <s:row r="9123" hidden="1" ht="1" customHeight="1">
      <s:c r="A9123" s="120" t="inlineStr"/>
      <s:c r="B9123" s="121" t="n"/>
      <s:c r="C9123" s="121" t="n"/>
      <s:c r="D9123" s="121" t="n"/>
      <s:c r="E9123" s="122" t="n"/>
    </s:row>
    <s:row r="9124" hidden="1" ht="1" customHeight="1">
      <s:c r="A9124" s="120" t="inlineStr"/>
      <s:c r="B9124" s="121" t="n"/>
      <s:c r="C9124" s="121" t="n"/>
      <s:c r="D9124" s="121" t="n"/>
      <s:c r="E9124" s="122" t="n"/>
    </s:row>
    <s:row r="9125" hidden="1" ht="1" customHeight="1">
      <s:c r="A9125" s="120" t="inlineStr"/>
      <s:c r="B9125" s="121" t="n"/>
      <s:c r="C9125" s="121" t="n"/>
      <s:c r="D9125" s="121" t="n"/>
      <s:c r="E9125" s="122" t="n"/>
    </s:row>
    <s:row r="9126" hidden="1" ht="1" customHeight="1">
      <s:c r="A9126" s="120" t="inlineStr"/>
      <s:c r="B9126" s="121" t="n"/>
      <s:c r="C9126" s="121" t="n"/>
      <s:c r="D9126" s="121" t="n"/>
      <s:c r="E9126" s="122" t="n"/>
    </s:row>
    <s:row r="9127" hidden="1" ht="1" customHeight="1">
      <s:c r="A9127" s="120" t="inlineStr"/>
      <s:c r="B9127" s="121" t="n"/>
      <s:c r="C9127" s="121" t="n"/>
      <s:c r="D9127" s="121" t="n"/>
      <s:c r="E9127" s="122" t="n"/>
    </s:row>
    <s:row r="9128" hidden="1" ht="1" customHeight="1">
      <s:c r="A9128" s="120" t="inlineStr"/>
      <s:c r="B9128" s="121" t="n"/>
      <s:c r="C9128" s="121" t="n"/>
      <s:c r="D9128" s="121" t="n"/>
      <s:c r="E9128" s="122" t="n"/>
    </s:row>
    <s:row r="9129" hidden="1" ht="1" customHeight="1">
      <s:c r="A9129" s="120" t="inlineStr"/>
      <s:c r="B9129" s="121" t="n"/>
      <s:c r="C9129" s="121" t="n"/>
      <s:c r="D9129" s="121" t="n"/>
      <s:c r="E9129" s="122" t="n"/>
    </s:row>
    <s:row r="9130" hidden="1" ht="1" customHeight="1">
      <s:c r="A9130" s="120" t="inlineStr"/>
      <s:c r="B9130" s="121" t="n"/>
      <s:c r="C9130" s="121" t="n"/>
      <s:c r="D9130" s="121" t="n"/>
      <s:c r="E9130" s="122" t="n"/>
    </s:row>
    <s:row r="9131" hidden="1" ht="1" customHeight="1">
      <s:c r="A9131" s="120" t="inlineStr"/>
      <s:c r="B9131" s="121" t="n"/>
      <s:c r="C9131" s="121" t="n"/>
      <s:c r="D9131" s="121" t="n"/>
      <s:c r="E9131" s="122" t="n"/>
    </s:row>
    <s:row r="9132" hidden="1" ht="1" customHeight="1">
      <s:c r="A9132" s="120" t="inlineStr"/>
      <s:c r="B9132" s="121" t="n"/>
      <s:c r="C9132" s="121" t="n"/>
      <s:c r="D9132" s="121" t="n"/>
      <s:c r="E9132" s="122" t="n"/>
    </s:row>
    <s:row r="9133" hidden="1" ht="1" customHeight="1">
      <s:c r="A9133" s="120" t="inlineStr"/>
      <s:c r="B9133" s="121" t="n"/>
      <s:c r="C9133" s="121" t="n"/>
      <s:c r="D9133" s="121" t="n"/>
      <s:c r="E9133" s="122" t="n"/>
    </s:row>
    <s:row r="9134" hidden="1" ht="1" customHeight="1">
      <s:c r="A9134" s="120" t="inlineStr"/>
      <s:c r="B9134" s="121" t="n"/>
      <s:c r="C9134" s="121" t="n"/>
      <s:c r="D9134" s="121" t="n"/>
      <s:c r="E9134" s="122" t="n"/>
    </s:row>
    <s:row r="9135" hidden="1" ht="1" customHeight="1">
      <s:c r="A9135" s="120" t="inlineStr"/>
      <s:c r="B9135" s="121" t="n"/>
      <s:c r="C9135" s="121" t="n"/>
      <s:c r="D9135" s="121" t="n"/>
      <s:c r="E9135" s="122" t="n"/>
    </s:row>
    <s:row r="9136" hidden="1" ht="1" customHeight="1">
      <s:c r="A9136" s="120" t="inlineStr"/>
      <s:c r="B9136" s="121" t="n"/>
      <s:c r="C9136" s="121" t="n"/>
      <s:c r="D9136" s="121" t="n"/>
      <s:c r="E9136" s="122" t="n"/>
    </s:row>
    <s:row r="9137" hidden="1" ht="1" customHeight="1">
      <s:c r="A9137" s="120" t="inlineStr"/>
      <s:c r="B9137" s="121" t="n"/>
      <s:c r="C9137" s="121" t="n"/>
      <s:c r="D9137" s="121" t="n"/>
      <s:c r="E9137" s="122" t="n"/>
    </s:row>
    <s:row r="9138" hidden="1" ht="1" customHeight="1">
      <s:c r="A9138" s="120" t="inlineStr"/>
      <s:c r="B9138" s="121" t="n"/>
      <s:c r="C9138" s="121" t="n"/>
      <s:c r="D9138" s="121" t="n"/>
      <s:c r="E9138" s="122" t="n"/>
    </s:row>
    <s:row r="9139" hidden="1" ht="1" customHeight="1">
      <s:c r="A9139" s="120" t="inlineStr"/>
      <s:c r="B9139" s="121" t="n"/>
      <s:c r="C9139" s="121" t="n"/>
      <s:c r="D9139" s="121" t="n"/>
      <s:c r="E9139" s="122" t="n"/>
    </s:row>
    <s:row r="9140" hidden="1" ht="1" customHeight="1">
      <s:c r="A9140" s="120" t="inlineStr"/>
      <s:c r="B9140" s="121" t="n"/>
      <s:c r="C9140" s="121" t="n"/>
      <s:c r="D9140" s="121" t="n"/>
      <s:c r="E9140" s="122" t="n"/>
    </s:row>
    <s:row r="9141" hidden="1" ht="1" customHeight="1">
      <s:c r="A9141" s="120" t="inlineStr"/>
      <s:c r="B9141" s="121" t="n"/>
      <s:c r="C9141" s="121" t="n"/>
      <s:c r="D9141" s="121" t="n"/>
      <s:c r="E9141" s="122" t="n"/>
    </s:row>
    <s:row r="9142" hidden="1" ht="1" customHeight="1">
      <s:c r="A9142" s="120" t="inlineStr"/>
      <s:c r="B9142" s="121" t="n"/>
      <s:c r="C9142" s="121" t="n"/>
      <s:c r="D9142" s="121" t="n"/>
      <s:c r="E9142" s="122" t="n"/>
    </s:row>
    <s:row r="9143" hidden="1" ht="1" customHeight="1">
      <s:c r="A9143" s="120" t="inlineStr"/>
      <s:c r="B9143" s="121" t="n"/>
      <s:c r="C9143" s="121" t="n"/>
      <s:c r="D9143" s="121" t="n"/>
      <s:c r="E9143" s="122" t="n"/>
    </s:row>
    <s:row r="9144" hidden="1" ht="1" customHeight="1">
      <s:c r="A9144" s="120" t="inlineStr"/>
      <s:c r="B9144" s="121" t="n"/>
      <s:c r="C9144" s="121" t="n"/>
      <s:c r="D9144" s="121" t="n"/>
      <s:c r="E9144" s="122" t="n"/>
    </s:row>
    <s:row r="9145" hidden="1" ht="1" customHeight="1">
      <s:c r="A9145" s="120" t="inlineStr"/>
      <s:c r="B9145" s="121" t="n"/>
      <s:c r="C9145" s="121" t="n"/>
      <s:c r="D9145" s="121" t="n"/>
      <s:c r="E9145" s="122" t="n"/>
    </s:row>
    <s:row r="9146" hidden="1" ht="1" customHeight="1">
      <s:c r="A9146" s="120" t="inlineStr"/>
      <s:c r="B9146" s="121" t="n"/>
      <s:c r="C9146" s="121" t="n"/>
      <s:c r="D9146" s="121" t="n"/>
      <s:c r="E9146" s="122" t="n"/>
    </s:row>
    <s:row r="9147" hidden="1" ht="1" customHeight="1">
      <s:c r="A9147" s="120" t="inlineStr"/>
      <s:c r="B9147" s="121" t="n"/>
      <s:c r="C9147" s="121" t="n"/>
      <s:c r="D9147" s="121" t="n"/>
      <s:c r="E9147" s="122" t="n"/>
    </s:row>
    <s:row r="9148" hidden="1" ht="1" customHeight="1">
      <s:c r="A9148" s="120" t="inlineStr"/>
      <s:c r="B9148" s="121" t="n"/>
      <s:c r="C9148" s="121" t="n"/>
      <s:c r="D9148" s="121" t="n"/>
      <s:c r="E9148" s="122" t="n"/>
    </s:row>
    <s:row r="9149" hidden="1" ht="1" customHeight="1">
      <s:c r="A9149" s="120" t="inlineStr"/>
      <s:c r="B9149" s="121" t="n"/>
      <s:c r="C9149" s="121" t="n"/>
      <s:c r="D9149" s="121" t="n"/>
      <s:c r="E9149" s="122" t="n"/>
    </s:row>
    <s:row r="9150" hidden="1" ht="1" customHeight="1">
      <s:c r="A9150" s="120" t="inlineStr"/>
      <s:c r="B9150" s="121" t="n"/>
      <s:c r="C9150" s="121" t="n"/>
      <s:c r="D9150" s="121" t="n"/>
      <s:c r="E9150" s="122" t="n"/>
    </s:row>
    <s:row r="9151" hidden="1" ht="1" customHeight="1">
      <s:c r="A9151" s="120" t="inlineStr"/>
      <s:c r="B9151" s="121" t="n"/>
      <s:c r="C9151" s="121" t="n"/>
      <s:c r="D9151" s="121" t="n"/>
      <s:c r="E9151" s="122" t="n"/>
    </s:row>
    <s:row r="9152" hidden="1" ht="1" customHeight="1">
      <s:c r="A9152" s="120" t="inlineStr"/>
      <s:c r="B9152" s="121" t="n"/>
      <s:c r="C9152" s="121" t="n"/>
      <s:c r="D9152" s="121" t="n"/>
      <s:c r="E9152" s="122" t="n"/>
    </s:row>
    <s:row r="9153" hidden="1" ht="1" customHeight="1">
      <s:c r="A9153" s="120" t="inlineStr"/>
      <s:c r="B9153" s="121" t="n"/>
      <s:c r="C9153" s="121" t="n"/>
      <s:c r="D9153" s="121" t="n"/>
      <s:c r="E9153" s="122" t="n"/>
    </s:row>
    <s:row r="9154" hidden="1" ht="1" customHeight="1">
      <s:c r="A9154" s="120" t="inlineStr"/>
      <s:c r="B9154" s="121" t="n"/>
      <s:c r="C9154" s="121" t="n"/>
      <s:c r="D9154" s="121" t="n"/>
      <s:c r="E9154" s="122" t="n"/>
    </s:row>
    <s:row r="9155" hidden="1" ht="1" customHeight="1">
      <s:c r="A9155" s="120" t="inlineStr"/>
      <s:c r="B9155" s="121" t="n"/>
      <s:c r="C9155" s="121" t="n"/>
      <s:c r="D9155" s="121" t="n"/>
      <s:c r="E9155" s="122" t="n"/>
    </s:row>
    <s:row r="9156" hidden="1" ht="1" customHeight="1">
      <s:c r="A9156" s="120" t="inlineStr"/>
      <s:c r="B9156" s="121" t="n"/>
      <s:c r="C9156" s="121" t="n"/>
      <s:c r="D9156" s="121" t="n"/>
      <s:c r="E9156" s="122" t="n"/>
    </s:row>
    <s:row r="9157" hidden="1" ht="1" customHeight="1">
      <s:c r="A9157" s="120" t="inlineStr"/>
      <s:c r="B9157" s="121" t="n"/>
      <s:c r="C9157" s="121" t="n"/>
      <s:c r="D9157" s="121" t="n"/>
      <s:c r="E9157" s="122" t="n"/>
    </s:row>
    <s:row r="9158" hidden="1" ht="1" customHeight="1">
      <s:c r="A9158" s="120" t="inlineStr"/>
      <s:c r="B9158" s="121" t="n"/>
      <s:c r="C9158" s="121" t="n"/>
      <s:c r="D9158" s="121" t="n"/>
      <s:c r="E9158" s="122" t="n"/>
    </s:row>
    <s:row r="9159" hidden="1" ht="1" customHeight="1">
      <s:c r="A9159" s="120" t="inlineStr"/>
      <s:c r="B9159" s="121" t="n"/>
      <s:c r="C9159" s="121" t="n"/>
      <s:c r="D9159" s="121" t="n"/>
      <s:c r="E9159" s="122" t="n"/>
    </s:row>
    <s:row r="9160" hidden="1" ht="1" customHeight="1">
      <s:c r="A9160" s="120" t="inlineStr"/>
      <s:c r="B9160" s="121" t="n"/>
      <s:c r="C9160" s="121" t="n"/>
      <s:c r="D9160" s="121" t="n"/>
      <s:c r="E9160" s="122" t="n"/>
    </s:row>
    <s:row r="9161" hidden="1" ht="1" customHeight="1">
      <s:c r="A9161" s="120" t="inlineStr"/>
      <s:c r="B9161" s="121" t="n"/>
      <s:c r="C9161" s="121" t="n"/>
      <s:c r="D9161" s="121" t="n"/>
      <s:c r="E9161" s="122" t="n"/>
    </s:row>
    <s:row r="9162" hidden="1" ht="1" customHeight="1">
      <s:c r="A9162" s="120" t="inlineStr"/>
      <s:c r="B9162" s="121" t="n"/>
      <s:c r="C9162" s="121" t="n"/>
      <s:c r="D9162" s="121" t="n"/>
      <s:c r="E9162" s="122" t="n"/>
    </s:row>
    <s:row r="9163" hidden="1" ht="1" customHeight="1">
      <s:c r="A9163" s="120" t="inlineStr"/>
      <s:c r="B9163" s="121" t="n"/>
      <s:c r="C9163" s="121" t="n"/>
      <s:c r="D9163" s="121" t="n"/>
      <s:c r="E9163" s="122" t="n"/>
    </s:row>
    <s:row r="9164" hidden="1" ht="1" customHeight="1">
      <s:c r="A9164" s="120" t="inlineStr"/>
      <s:c r="B9164" s="121" t="n"/>
      <s:c r="C9164" s="121" t="n"/>
      <s:c r="D9164" s="121" t="n"/>
      <s:c r="E9164" s="122" t="n"/>
    </s:row>
    <s:row r="9165" hidden="1" ht="1" customHeight="1">
      <s:c r="A9165" s="120" t="inlineStr"/>
      <s:c r="B9165" s="121" t="n"/>
      <s:c r="C9165" s="121" t="n"/>
      <s:c r="D9165" s="121" t="n"/>
      <s:c r="E9165" s="122" t="n"/>
    </s:row>
    <s:row r="9166" hidden="1" ht="1" customHeight="1">
      <s:c r="A9166" s="120" t="inlineStr"/>
      <s:c r="B9166" s="121" t="n"/>
      <s:c r="C9166" s="121" t="n"/>
      <s:c r="D9166" s="121" t="n"/>
      <s:c r="E9166" s="122" t="n"/>
    </s:row>
    <s:row r="9167" hidden="1" ht="1" customHeight="1">
      <s:c r="A9167" s="120" t="inlineStr"/>
      <s:c r="B9167" s="121" t="n"/>
      <s:c r="C9167" s="121" t="n"/>
      <s:c r="D9167" s="121" t="n"/>
      <s:c r="E9167" s="122" t="n"/>
    </s:row>
    <s:row r="9168" hidden="1" ht="1" customHeight="1">
      <s:c r="A9168" s="120" t="inlineStr"/>
      <s:c r="B9168" s="121" t="n"/>
      <s:c r="C9168" s="121" t="n"/>
      <s:c r="D9168" s="121" t="n"/>
      <s:c r="E9168" s="122" t="n"/>
    </s:row>
    <s:row r="9169" hidden="1" ht="1" customHeight="1">
      <s:c r="A9169" s="120" t="inlineStr"/>
      <s:c r="B9169" s="121" t="n"/>
      <s:c r="C9169" s="121" t="n"/>
      <s:c r="D9169" s="121" t="n"/>
      <s:c r="E9169" s="122" t="n"/>
    </s:row>
    <s:row r="9170" hidden="1" ht="1" customHeight="1">
      <s:c r="A9170" s="120" t="inlineStr"/>
      <s:c r="B9170" s="121" t="n"/>
      <s:c r="C9170" s="121" t="n"/>
      <s:c r="D9170" s="121" t="n"/>
      <s:c r="E9170" s="122" t="n"/>
    </s:row>
    <s:row r="9171" hidden="1" ht="1" customHeight="1">
      <s:c r="A9171" s="120" t="inlineStr"/>
      <s:c r="B9171" s="121" t="n"/>
      <s:c r="C9171" s="121" t="n"/>
      <s:c r="D9171" s="121" t="n"/>
      <s:c r="E9171" s="122" t="n"/>
    </s:row>
    <s:row r="9172" hidden="1" ht="1" customHeight="1">
      <s:c r="A9172" s="120" t="inlineStr"/>
      <s:c r="B9172" s="121" t="n"/>
      <s:c r="C9172" s="121" t="n"/>
      <s:c r="D9172" s="121" t="n"/>
      <s:c r="E9172" s="122" t="n"/>
    </s:row>
    <s:row r="9173" hidden="1" ht="1" customHeight="1">
      <s:c r="A9173" s="120" t="inlineStr"/>
      <s:c r="B9173" s="121" t="n"/>
      <s:c r="C9173" s="121" t="n"/>
      <s:c r="D9173" s="121" t="n"/>
      <s:c r="E9173" s="122" t="n"/>
    </s:row>
    <s:row r="9174" hidden="1" ht="1" customHeight="1">
      <s:c r="A9174" s="120" t="inlineStr"/>
      <s:c r="B9174" s="121" t="n"/>
      <s:c r="C9174" s="121" t="n"/>
      <s:c r="D9174" s="121" t="n"/>
      <s:c r="E9174" s="122" t="n"/>
    </s:row>
    <s:row r="9175" hidden="1" ht="1" customHeight="1">
      <s:c r="A9175" s="120" t="inlineStr"/>
      <s:c r="B9175" s="121" t="n"/>
      <s:c r="C9175" s="121" t="n"/>
      <s:c r="D9175" s="121" t="n"/>
      <s:c r="E9175" s="122" t="n"/>
    </s:row>
    <s:row r="9176" hidden="1" ht="1" customHeight="1">
      <s:c r="A9176" s="120" t="inlineStr"/>
      <s:c r="B9176" s="121" t="n"/>
      <s:c r="C9176" s="121" t="n"/>
      <s:c r="D9176" s="121" t="n"/>
      <s:c r="E9176" s="122" t="n"/>
    </s:row>
    <s:row r="9177" hidden="1" ht="1" customHeight="1">
      <s:c r="A9177" s="120" t="inlineStr"/>
      <s:c r="B9177" s="121" t="n"/>
      <s:c r="C9177" s="121" t="n"/>
      <s:c r="D9177" s="121" t="n"/>
      <s:c r="E9177" s="122" t="n"/>
    </s:row>
    <s:row r="9178" hidden="1" ht="1" customHeight="1">
      <s:c r="A9178" s="120" t="inlineStr"/>
      <s:c r="B9178" s="121" t="n"/>
      <s:c r="C9178" s="121" t="n"/>
      <s:c r="D9178" s="121" t="n"/>
      <s:c r="E9178" s="122" t="n"/>
    </s:row>
    <s:row r="9179" hidden="1" ht="1" customHeight="1">
      <s:c r="A9179" s="120" t="inlineStr"/>
      <s:c r="B9179" s="121" t="n"/>
      <s:c r="C9179" s="121" t="n"/>
      <s:c r="D9179" s="121" t="n"/>
      <s:c r="E9179" s="122" t="n"/>
    </s:row>
    <s:row r="9180" hidden="1" ht="1" customHeight="1">
      <s:c r="A9180" s="120" t="inlineStr"/>
      <s:c r="B9180" s="121" t="n"/>
      <s:c r="C9180" s="121" t="n"/>
      <s:c r="D9180" s="121" t="n"/>
      <s:c r="E9180" s="122" t="n"/>
    </s:row>
    <s:row r="9181" hidden="1" ht="1" customHeight="1">
      <s:c r="A9181" s="120" t="inlineStr"/>
      <s:c r="B9181" s="121" t="n"/>
      <s:c r="C9181" s="121" t="n"/>
      <s:c r="D9181" s="121" t="n"/>
      <s:c r="E9181" s="122" t="n"/>
    </s:row>
    <s:row r="9182" hidden="1" ht="1" customHeight="1">
      <s:c r="A9182" s="120" t="inlineStr"/>
      <s:c r="B9182" s="121" t="n"/>
      <s:c r="C9182" s="121" t="n"/>
      <s:c r="D9182" s="121" t="n"/>
      <s:c r="E9182" s="122" t="n"/>
    </s:row>
    <s:row r="9183" hidden="1" ht="1" customHeight="1">
      <s:c r="A9183" s="120" t="inlineStr"/>
      <s:c r="B9183" s="121" t="n"/>
      <s:c r="C9183" s="121" t="n"/>
      <s:c r="D9183" s="121" t="n"/>
      <s:c r="E9183" s="122" t="n"/>
    </s:row>
    <s:row r="9184" hidden="1" ht="1" customHeight="1">
      <s:c r="A9184" s="120" t="inlineStr"/>
      <s:c r="B9184" s="121" t="n"/>
      <s:c r="C9184" s="121" t="n"/>
      <s:c r="D9184" s="121" t="n"/>
      <s:c r="E9184" s="122" t="n"/>
    </s:row>
    <s:row r="9185" hidden="1" ht="1" customHeight="1">
      <s:c r="A9185" s="120" t="inlineStr"/>
      <s:c r="B9185" s="121" t="n"/>
      <s:c r="C9185" s="121" t="n"/>
      <s:c r="D9185" s="121" t="n"/>
      <s:c r="E9185" s="122" t="n"/>
    </s:row>
    <s:row r="9186" hidden="1" ht="1" customHeight="1">
      <s:c r="A9186" s="120" t="inlineStr"/>
      <s:c r="B9186" s="121" t="n"/>
      <s:c r="C9186" s="121" t="n"/>
      <s:c r="D9186" s="121" t="n"/>
      <s:c r="E9186" s="122" t="n"/>
    </s:row>
    <s:row r="9187" hidden="1" ht="1" customHeight="1">
      <s:c r="A9187" s="120" t="inlineStr"/>
      <s:c r="B9187" s="121" t="n"/>
      <s:c r="C9187" s="121" t="n"/>
      <s:c r="D9187" s="121" t="n"/>
      <s:c r="E9187" s="122" t="n"/>
    </s:row>
    <s:row r="9188" hidden="1" ht="1" customHeight="1">
      <s:c r="A9188" s="120" t="inlineStr"/>
      <s:c r="B9188" s="121" t="n"/>
      <s:c r="C9188" s="121" t="n"/>
      <s:c r="D9188" s="121" t="n"/>
      <s:c r="E9188" s="122" t="n"/>
    </s:row>
    <s:row r="9189" hidden="1" ht="1" customHeight="1">
      <s:c r="A9189" s="120" t="inlineStr"/>
      <s:c r="B9189" s="121" t="n"/>
      <s:c r="C9189" s="121" t="n"/>
      <s:c r="D9189" s="121" t="n"/>
      <s:c r="E9189" s="122" t="n"/>
    </s:row>
    <s:row r="9190" hidden="1" ht="1" customHeight="1">
      <s:c r="A9190" s="120" t="inlineStr"/>
      <s:c r="B9190" s="121" t="n"/>
      <s:c r="C9190" s="121" t="n"/>
      <s:c r="D9190" s="121" t="n"/>
      <s:c r="E9190" s="122" t="n"/>
    </s:row>
    <s:row r="9191" hidden="1" ht="1" customHeight="1">
      <s:c r="A9191" s="120" t="inlineStr"/>
      <s:c r="B9191" s="121" t="n"/>
      <s:c r="C9191" s="121" t="n"/>
      <s:c r="D9191" s="121" t="n"/>
      <s:c r="E9191" s="122" t="n"/>
    </s:row>
    <s:row r="9192" hidden="1" ht="1" customHeight="1">
      <s:c r="A9192" s="120" t="inlineStr"/>
      <s:c r="B9192" s="121" t="n"/>
      <s:c r="C9192" s="121" t="n"/>
      <s:c r="D9192" s="121" t="n"/>
      <s:c r="E9192" s="122" t="n"/>
    </s:row>
    <s:row r="9193" hidden="1" ht="1" customHeight="1">
      <s:c r="A9193" s="120" t="inlineStr"/>
      <s:c r="B9193" s="121" t="n"/>
      <s:c r="C9193" s="121" t="n"/>
      <s:c r="D9193" s="121" t="n"/>
      <s:c r="E9193" s="122" t="n"/>
    </s:row>
    <s:row r="9194" hidden="1" ht="1" customHeight="1">
      <s:c r="A9194" s="120" t="inlineStr"/>
      <s:c r="B9194" s="121" t="n"/>
      <s:c r="C9194" s="121" t="n"/>
      <s:c r="D9194" s="121" t="n"/>
      <s:c r="E9194" s="122" t="n"/>
    </s:row>
    <s:row r="9195" hidden="1" ht="1" customHeight="1">
      <s:c r="A9195" s="120" t="inlineStr"/>
      <s:c r="B9195" s="121" t="n"/>
      <s:c r="C9195" s="121" t="n"/>
      <s:c r="D9195" s="121" t="n"/>
      <s:c r="E9195" s="122" t="n"/>
    </s:row>
    <s:row r="9196" hidden="1" ht="1" customHeight="1">
      <s:c r="A9196" s="120" t="inlineStr"/>
      <s:c r="B9196" s="121" t="n"/>
      <s:c r="C9196" s="121" t="n"/>
      <s:c r="D9196" s="121" t="n"/>
      <s:c r="E9196" s="122" t="n"/>
    </s:row>
    <s:row r="9197" hidden="1" ht="1" customHeight="1">
      <s:c r="A9197" s="120" t="inlineStr"/>
      <s:c r="B9197" s="121" t="n"/>
      <s:c r="C9197" s="121" t="n"/>
      <s:c r="D9197" s="121" t="n"/>
      <s:c r="E9197" s="122" t="n"/>
    </s:row>
    <s:row r="9198" hidden="1" ht="1" customHeight="1">
      <s:c r="A9198" s="120" t="inlineStr"/>
      <s:c r="B9198" s="121" t="n"/>
      <s:c r="C9198" s="121" t="n"/>
      <s:c r="D9198" s="121" t="n"/>
      <s:c r="E9198" s="122" t="n"/>
    </s:row>
    <s:row r="9199" hidden="1" ht="1" customHeight="1">
      <s:c r="A9199" s="120" t="inlineStr"/>
      <s:c r="B9199" s="121" t="n"/>
      <s:c r="C9199" s="121" t="n"/>
      <s:c r="D9199" s="121" t="n"/>
      <s:c r="E9199" s="122" t="n"/>
    </s:row>
    <s:row r="9200" hidden="1" ht="1" customHeight="1">
      <s:c r="A9200" s="120" t="inlineStr"/>
      <s:c r="B9200" s="121" t="n"/>
      <s:c r="C9200" s="121" t="n"/>
      <s:c r="D9200" s="121" t="n"/>
      <s:c r="E9200" s="122" t="n"/>
    </s:row>
    <s:row r="9201" hidden="1" ht="1" customHeight="1">
      <s:c r="A9201" s="120" t="inlineStr"/>
      <s:c r="B9201" s="121" t="n"/>
      <s:c r="C9201" s="121" t="n"/>
      <s:c r="D9201" s="121" t="n"/>
      <s:c r="E9201" s="122" t="n"/>
    </s:row>
    <s:row r="9202" hidden="1" ht="1" customHeight="1">
      <s:c r="A9202" s="120" t="inlineStr"/>
      <s:c r="B9202" s="121" t="n"/>
      <s:c r="C9202" s="121" t="n"/>
      <s:c r="D9202" s="121" t="n"/>
      <s:c r="E9202" s="122" t="n"/>
    </s:row>
    <s:row r="9203" hidden="1" ht="1" customHeight="1">
      <s:c r="A9203" s="120" t="inlineStr"/>
      <s:c r="B9203" s="121" t="n"/>
      <s:c r="C9203" s="121" t="n"/>
      <s:c r="D9203" s="121" t="n"/>
      <s:c r="E9203" s="122" t="n"/>
    </s:row>
    <s:row r="9204" hidden="1" ht="1" customHeight="1">
      <s:c r="A9204" s="120" t="inlineStr"/>
      <s:c r="B9204" s="121" t="n"/>
      <s:c r="C9204" s="121" t="n"/>
      <s:c r="D9204" s="121" t="n"/>
      <s:c r="E9204" s="122" t="n"/>
    </s:row>
    <s:row r="9205" hidden="1" ht="1" customHeight="1">
      <s:c r="A9205" s="120" t="inlineStr"/>
      <s:c r="B9205" s="121" t="n"/>
      <s:c r="C9205" s="121" t="n"/>
      <s:c r="D9205" s="121" t="n"/>
      <s:c r="E9205" s="122" t="n"/>
    </s:row>
    <s:row r="9206" hidden="1" ht="1" customHeight="1">
      <s:c r="A9206" s="120" t="inlineStr"/>
      <s:c r="B9206" s="121" t="n"/>
      <s:c r="C9206" s="121" t="n"/>
      <s:c r="D9206" s="121" t="n"/>
      <s:c r="E9206" s="122" t="n"/>
    </s:row>
    <s:row r="9207" hidden="1" ht="1" customHeight="1">
      <s:c r="A9207" s="120" t="inlineStr"/>
      <s:c r="B9207" s="121" t="n"/>
      <s:c r="C9207" s="121" t="n"/>
      <s:c r="D9207" s="121" t="n"/>
      <s:c r="E9207" s="122" t="n"/>
    </s:row>
    <s:row r="9208" hidden="1" ht="1" customHeight="1">
      <s:c r="A9208" s="120" t="inlineStr"/>
      <s:c r="B9208" s="121" t="n"/>
      <s:c r="C9208" s="121" t="n"/>
      <s:c r="D9208" s="121" t="n"/>
      <s:c r="E9208" s="122" t="n"/>
    </s:row>
    <s:row r="9209" hidden="1" ht="1" customHeight="1">
      <s:c r="A9209" s="120" t="inlineStr"/>
      <s:c r="B9209" s="121" t="n"/>
      <s:c r="C9209" s="121" t="n"/>
      <s:c r="D9209" s="121" t="n"/>
      <s:c r="E9209" s="122" t="n"/>
    </s:row>
    <s:row r="9210" hidden="1" ht="1" customHeight="1">
      <s:c r="A9210" s="120" t="inlineStr"/>
      <s:c r="B9210" s="121" t="n"/>
      <s:c r="C9210" s="121" t="n"/>
      <s:c r="D9210" s="121" t="n"/>
      <s:c r="E9210" s="122" t="n"/>
    </s:row>
    <s:row r="9211" hidden="1" ht="1" customHeight="1">
      <s:c r="A9211" s="120" t="inlineStr"/>
      <s:c r="B9211" s="121" t="n"/>
      <s:c r="C9211" s="121" t="n"/>
      <s:c r="D9211" s="121" t="n"/>
      <s:c r="E9211" s="122" t="n"/>
    </s:row>
    <s:row r="9212" hidden="1" ht="1" customHeight="1">
      <s:c r="A9212" s="120" t="inlineStr"/>
      <s:c r="B9212" s="121" t="n"/>
      <s:c r="C9212" s="121" t="n"/>
      <s:c r="D9212" s="121" t="n"/>
      <s:c r="E9212" s="122" t="n"/>
    </s:row>
    <s:row r="9213" hidden="1" ht="1" customHeight="1">
      <s:c r="A9213" s="120" t="inlineStr"/>
      <s:c r="B9213" s="121" t="n"/>
      <s:c r="C9213" s="121" t="n"/>
      <s:c r="D9213" s="121" t="n"/>
      <s:c r="E9213" s="122" t="n"/>
    </s:row>
    <s:row r="9214" hidden="1" ht="1" customHeight="1">
      <s:c r="A9214" s="120" t="inlineStr"/>
      <s:c r="B9214" s="121" t="n"/>
      <s:c r="C9214" s="121" t="n"/>
      <s:c r="D9214" s="121" t="n"/>
      <s:c r="E9214" s="122" t="n"/>
    </s:row>
    <s:row r="9215" hidden="1" ht="1" customHeight="1">
      <s:c r="A9215" s="120" t="inlineStr"/>
      <s:c r="B9215" s="121" t="n"/>
      <s:c r="C9215" s="121" t="n"/>
      <s:c r="D9215" s="121" t="n"/>
      <s:c r="E9215" s="122" t="n"/>
    </s:row>
    <s:row r="9216" hidden="1" ht="1" customHeight="1">
      <s:c r="A9216" s="120" t="inlineStr"/>
      <s:c r="B9216" s="121" t="n"/>
      <s:c r="C9216" s="121" t="n"/>
      <s:c r="D9216" s="121" t="n"/>
      <s:c r="E9216" s="122" t="n"/>
    </s:row>
    <s:row r="9217" hidden="1" ht="1" customHeight="1">
      <s:c r="A9217" s="120" t="inlineStr"/>
      <s:c r="B9217" s="121" t="n"/>
      <s:c r="C9217" s="121" t="n"/>
      <s:c r="D9217" s="121" t="n"/>
      <s:c r="E9217" s="122" t="n"/>
    </s:row>
    <s:row r="9218" hidden="1" ht="1" customHeight="1">
      <s:c r="A9218" s="120" t="inlineStr"/>
      <s:c r="B9218" s="121" t="n"/>
      <s:c r="C9218" s="121" t="n"/>
      <s:c r="D9218" s="121" t="n"/>
      <s:c r="E9218" s="122" t="n"/>
    </s:row>
    <s:row r="9219" hidden="1" ht="1" customHeight="1">
      <s:c r="A9219" s="120" t="inlineStr"/>
      <s:c r="B9219" s="121" t="n"/>
      <s:c r="C9219" s="121" t="n"/>
      <s:c r="D9219" s="121" t="n"/>
      <s:c r="E9219" s="122" t="n"/>
    </s:row>
    <s:row r="9220" hidden="1" ht="1" customHeight="1">
      <s:c r="A9220" s="120" t="inlineStr"/>
      <s:c r="B9220" s="121" t="n"/>
      <s:c r="C9220" s="121" t="n"/>
      <s:c r="D9220" s="121" t="n"/>
      <s:c r="E9220" s="122" t="n"/>
    </s:row>
    <s:row r="9221" hidden="1" ht="1" customHeight="1">
      <s:c r="A9221" s="120" t="inlineStr"/>
      <s:c r="B9221" s="121" t="n"/>
      <s:c r="C9221" s="121" t="n"/>
      <s:c r="D9221" s="121" t="n"/>
      <s:c r="E9221" s="122" t="n"/>
    </s:row>
    <s:row r="9222" hidden="1" ht="1" customHeight="1">
      <s:c r="A9222" s="120" t="inlineStr"/>
      <s:c r="B9222" s="121" t="n"/>
      <s:c r="C9222" s="121" t="n"/>
      <s:c r="D9222" s="121" t="n"/>
      <s:c r="E9222" s="122" t="n"/>
    </s:row>
    <s:row r="9223" hidden="1" ht="1" customHeight="1">
      <s:c r="A9223" s="120" t="inlineStr"/>
      <s:c r="B9223" s="121" t="n"/>
      <s:c r="C9223" s="121" t="n"/>
      <s:c r="D9223" s="121" t="n"/>
      <s:c r="E9223" s="122" t="n"/>
    </s:row>
    <s:row r="9224" hidden="1" ht="1" customHeight="1">
      <s:c r="A9224" s="120" t="inlineStr"/>
      <s:c r="B9224" s="121" t="n"/>
      <s:c r="C9224" s="121" t="n"/>
      <s:c r="D9224" s="121" t="n"/>
      <s:c r="E9224" s="122" t="n"/>
    </s:row>
    <s:row r="9225" hidden="1" ht="1" customHeight="1">
      <s:c r="A9225" s="120" t="inlineStr"/>
      <s:c r="B9225" s="121" t="n"/>
      <s:c r="C9225" s="121" t="n"/>
      <s:c r="D9225" s="121" t="n"/>
      <s:c r="E9225" s="122" t="n"/>
    </s:row>
    <s:row r="9226" hidden="1" ht="1" customHeight="1">
      <s:c r="A9226" s="120" t="inlineStr"/>
      <s:c r="B9226" s="121" t="n"/>
      <s:c r="C9226" s="121" t="n"/>
      <s:c r="D9226" s="121" t="n"/>
      <s:c r="E9226" s="122" t="n"/>
    </s:row>
    <s:row r="9227" hidden="1" ht="1" customHeight="1">
      <s:c r="A9227" s="120" t="inlineStr"/>
      <s:c r="B9227" s="121" t="n"/>
      <s:c r="C9227" s="121" t="n"/>
      <s:c r="D9227" s="121" t="n"/>
      <s:c r="E9227" s="122" t="n"/>
    </s:row>
    <s:row r="9228" hidden="1" ht="1" customHeight="1">
      <s:c r="A9228" s="120" t="inlineStr"/>
      <s:c r="B9228" s="121" t="n"/>
      <s:c r="C9228" s="121" t="n"/>
      <s:c r="D9228" s="121" t="n"/>
      <s:c r="E9228" s="122" t="n"/>
    </s:row>
    <s:row r="9229" hidden="1" ht="1" customHeight="1">
      <s:c r="A9229" s="120" t="inlineStr"/>
      <s:c r="B9229" s="121" t="n"/>
      <s:c r="C9229" s="121" t="n"/>
      <s:c r="D9229" s="121" t="n"/>
      <s:c r="E9229" s="122" t="n"/>
    </s:row>
    <s:row r="9230" hidden="1" ht="1" customHeight="1">
      <s:c r="A9230" s="120" t="inlineStr"/>
      <s:c r="B9230" s="121" t="n"/>
      <s:c r="C9230" s="121" t="n"/>
      <s:c r="D9230" s="121" t="n"/>
      <s:c r="E9230" s="122" t="n"/>
    </s:row>
    <s:row r="9231" hidden="1" ht="1" customHeight="1">
      <s:c r="A9231" s="120" t="inlineStr"/>
      <s:c r="B9231" s="121" t="n"/>
      <s:c r="C9231" s="121" t="n"/>
      <s:c r="D9231" s="121" t="n"/>
      <s:c r="E9231" s="122" t="n"/>
    </s:row>
    <s:row r="9232" hidden="1" ht="1" customHeight="1">
      <s:c r="A9232" s="120" t="inlineStr"/>
      <s:c r="B9232" s="121" t="n"/>
      <s:c r="C9232" s="121" t="n"/>
      <s:c r="D9232" s="121" t="n"/>
      <s:c r="E9232" s="122" t="n"/>
    </s:row>
    <s:row r="9233" hidden="1" ht="1" customHeight="1">
      <s:c r="A9233" s="120" t="inlineStr"/>
      <s:c r="B9233" s="121" t="n"/>
      <s:c r="C9233" s="121" t="n"/>
      <s:c r="D9233" s="121" t="n"/>
      <s:c r="E9233" s="122" t="n"/>
    </s:row>
    <s:row r="9234" hidden="1" ht="1" customHeight="1">
      <s:c r="A9234" s="120" t="inlineStr"/>
      <s:c r="B9234" s="121" t="n"/>
      <s:c r="C9234" s="121" t="n"/>
      <s:c r="D9234" s="121" t="n"/>
      <s:c r="E9234" s="122" t="n"/>
    </s:row>
    <s:row r="9235" hidden="1" ht="1" customHeight="1">
      <s:c r="A9235" s="120" t="inlineStr"/>
      <s:c r="B9235" s="121" t="n"/>
      <s:c r="C9235" s="121" t="n"/>
      <s:c r="D9235" s="121" t="n"/>
      <s:c r="E9235" s="122" t="n"/>
    </s:row>
    <s:row r="9236" hidden="1" ht="1" customHeight="1">
      <s:c r="A9236" s="120" t="inlineStr"/>
      <s:c r="B9236" s="121" t="n"/>
      <s:c r="C9236" s="121" t="n"/>
      <s:c r="D9236" s="121" t="n"/>
      <s:c r="E9236" s="122" t="n"/>
    </s:row>
    <s:row r="9237" hidden="1" ht="1" customHeight="1">
      <s:c r="A9237" s="120" t="inlineStr"/>
      <s:c r="B9237" s="121" t="n"/>
      <s:c r="C9237" s="121" t="n"/>
      <s:c r="D9237" s="121" t="n"/>
      <s:c r="E9237" s="122" t="n"/>
    </s:row>
    <s:row r="9238" hidden="1" ht="1" customHeight="1">
      <s:c r="A9238" s="120" t="inlineStr"/>
      <s:c r="B9238" s="121" t="n"/>
      <s:c r="C9238" s="121" t="n"/>
      <s:c r="D9238" s="121" t="n"/>
      <s:c r="E9238" s="122" t="n"/>
    </s:row>
    <s:row r="9239" hidden="1" ht="1" customHeight="1">
      <s:c r="A9239" s="120" t="inlineStr"/>
      <s:c r="B9239" s="121" t="n"/>
      <s:c r="C9239" s="121" t="n"/>
      <s:c r="D9239" s="121" t="n"/>
      <s:c r="E9239" s="122" t="n"/>
    </s:row>
    <s:row r="9240" hidden="1" ht="1" customHeight="1">
      <s:c r="A9240" s="120" t="inlineStr"/>
      <s:c r="B9240" s="121" t="n"/>
      <s:c r="C9240" s="121" t="n"/>
      <s:c r="D9240" s="121" t="n"/>
      <s:c r="E9240" s="122" t="n"/>
    </s:row>
    <s:row r="9241" hidden="1" ht="1" customHeight="1">
      <s:c r="A9241" s="120" t="inlineStr"/>
      <s:c r="B9241" s="121" t="n"/>
      <s:c r="C9241" s="121" t="n"/>
      <s:c r="D9241" s="121" t="n"/>
      <s:c r="E9241" s="122" t="n"/>
    </s:row>
    <s:row r="9242" hidden="1" ht="1" customHeight="1">
      <s:c r="A9242" s="120" t="inlineStr"/>
      <s:c r="B9242" s="121" t="n"/>
      <s:c r="C9242" s="121" t="n"/>
      <s:c r="D9242" s="121" t="n"/>
      <s:c r="E9242" s="122" t="n"/>
    </s:row>
    <s:row r="9243" hidden="1" ht="1" customHeight="1">
      <s:c r="A9243" s="120" t="inlineStr"/>
      <s:c r="B9243" s="121" t="n"/>
      <s:c r="C9243" s="121" t="n"/>
      <s:c r="D9243" s="121" t="n"/>
      <s:c r="E9243" s="122" t="n"/>
    </s:row>
    <s:row r="9244" hidden="1" ht="1" customHeight="1">
      <s:c r="A9244" s="120" t="inlineStr"/>
      <s:c r="B9244" s="121" t="n"/>
      <s:c r="C9244" s="121" t="n"/>
      <s:c r="D9244" s="121" t="n"/>
      <s:c r="E9244" s="122" t="n"/>
    </s:row>
    <s:row r="9245" hidden="1" ht="1" customHeight="1">
      <s:c r="A9245" s="120" t="inlineStr"/>
      <s:c r="B9245" s="121" t="n"/>
      <s:c r="C9245" s="121" t="n"/>
      <s:c r="D9245" s="121" t="n"/>
      <s:c r="E9245" s="122" t="n"/>
    </s:row>
    <s:row r="9246" hidden="1" ht="1" customHeight="1">
      <s:c r="A9246" s="120" t="inlineStr"/>
      <s:c r="B9246" s="121" t="n"/>
      <s:c r="C9246" s="121" t="n"/>
      <s:c r="D9246" s="121" t="n"/>
      <s:c r="E9246" s="122" t="n"/>
    </s:row>
    <s:row r="9247" hidden="1" ht="1" customHeight="1">
      <s:c r="A9247" s="120" t="inlineStr"/>
      <s:c r="B9247" s="121" t="n"/>
      <s:c r="C9247" s="121" t="n"/>
      <s:c r="D9247" s="121" t="n"/>
      <s:c r="E9247" s="122" t="n"/>
    </s:row>
    <s:row r="9248" hidden="1" ht="1" customHeight="1">
      <s:c r="A9248" s="120" t="inlineStr"/>
      <s:c r="B9248" s="121" t="n"/>
      <s:c r="C9248" s="121" t="n"/>
      <s:c r="D9248" s="121" t="n"/>
      <s:c r="E9248" s="122" t="n"/>
    </s:row>
    <s:row r="9249" hidden="1" ht="1" customHeight="1">
      <s:c r="A9249" s="120" t="inlineStr"/>
      <s:c r="B9249" s="121" t="n"/>
      <s:c r="C9249" s="121" t="n"/>
      <s:c r="D9249" s="121" t="n"/>
      <s:c r="E9249" s="122" t="n"/>
    </s:row>
    <s:row r="9250" hidden="1" ht="1" customHeight="1">
      <s:c r="A9250" s="120" t="inlineStr"/>
      <s:c r="B9250" s="121" t="n"/>
      <s:c r="C9250" s="121" t="n"/>
      <s:c r="D9250" s="121" t="n"/>
      <s:c r="E9250" s="122" t="n"/>
    </s:row>
    <s:row r="9251" hidden="1" ht="1" customHeight="1">
      <s:c r="A9251" s="120" t="inlineStr"/>
      <s:c r="B9251" s="121" t="n"/>
      <s:c r="C9251" s="121" t="n"/>
      <s:c r="D9251" s="121" t="n"/>
      <s:c r="E9251" s="122" t="n"/>
    </s:row>
    <s:row r="9252" hidden="1" ht="1" customHeight="1">
      <s:c r="A9252" s="120" t="inlineStr"/>
      <s:c r="B9252" s="121" t="n"/>
      <s:c r="C9252" s="121" t="n"/>
      <s:c r="D9252" s="121" t="n"/>
      <s:c r="E9252" s="122" t="n"/>
    </s:row>
    <s:row r="9253" hidden="1" ht="1" customHeight="1">
      <s:c r="A9253" s="120" t="inlineStr"/>
      <s:c r="B9253" s="121" t="n"/>
      <s:c r="C9253" s="121" t="n"/>
      <s:c r="D9253" s="121" t="n"/>
      <s:c r="E9253" s="122" t="n"/>
    </s:row>
    <s:row r="9254" hidden="1" ht="1" customHeight="1">
      <s:c r="A9254" s="120" t="inlineStr"/>
      <s:c r="B9254" s="121" t="n"/>
      <s:c r="C9254" s="121" t="n"/>
      <s:c r="D9254" s="121" t="n"/>
      <s:c r="E9254" s="122" t="n"/>
    </s:row>
    <s:row r="9255" hidden="1" ht="1" customHeight="1">
      <s:c r="A9255" s="120" t="inlineStr"/>
      <s:c r="B9255" s="121" t="n"/>
      <s:c r="C9255" s="121" t="n"/>
      <s:c r="D9255" s="121" t="n"/>
      <s:c r="E9255" s="122" t="n"/>
    </s:row>
    <s:row r="9256" hidden="1" ht="1" customHeight="1">
      <s:c r="A9256" s="120" t="inlineStr"/>
      <s:c r="B9256" s="121" t="n"/>
      <s:c r="C9256" s="121" t="n"/>
      <s:c r="D9256" s="121" t="n"/>
      <s:c r="E9256" s="122" t="n"/>
    </s:row>
    <s:row r="9257" hidden="1" ht="1" customHeight="1">
      <s:c r="A9257" s="120" t="inlineStr"/>
      <s:c r="B9257" s="121" t="n"/>
      <s:c r="C9257" s="121" t="n"/>
      <s:c r="D9257" s="121" t="n"/>
      <s:c r="E9257" s="122" t="n"/>
    </s:row>
    <s:row r="9258" hidden="1" ht="1" customHeight="1">
      <s:c r="A9258" s="120" t="inlineStr"/>
      <s:c r="B9258" s="121" t="n"/>
      <s:c r="C9258" s="121" t="n"/>
      <s:c r="D9258" s="121" t="n"/>
      <s:c r="E9258" s="122" t="n"/>
    </s:row>
    <s:row r="9259" hidden="1" ht="1" customHeight="1">
      <s:c r="A9259" s="120" t="inlineStr"/>
      <s:c r="B9259" s="121" t="n"/>
      <s:c r="C9259" s="121" t="n"/>
      <s:c r="D9259" s="121" t="n"/>
      <s:c r="E9259" s="122" t="n"/>
    </s:row>
    <s:row r="9260" hidden="1" ht="1" customHeight="1">
      <s:c r="A9260" s="120" t="inlineStr"/>
      <s:c r="B9260" s="121" t="n"/>
      <s:c r="C9260" s="121" t="n"/>
      <s:c r="D9260" s="121" t="n"/>
      <s:c r="E9260" s="122" t="n"/>
    </s:row>
    <s:row r="9261" hidden="1" ht="1" customHeight="1">
      <s:c r="A9261" s="120" t="inlineStr"/>
      <s:c r="B9261" s="121" t="n"/>
      <s:c r="C9261" s="121" t="n"/>
      <s:c r="D9261" s="121" t="n"/>
      <s:c r="E9261" s="122" t="n"/>
    </s:row>
    <s:row r="9262" hidden="1" ht="1" customHeight="1">
      <s:c r="A9262" s="120" t="inlineStr"/>
      <s:c r="B9262" s="121" t="n"/>
      <s:c r="C9262" s="121" t="n"/>
      <s:c r="D9262" s="121" t="n"/>
      <s:c r="E9262" s="122" t="n"/>
    </s:row>
    <s:row r="9263" hidden="1" ht="1" customHeight="1">
      <s:c r="A9263" s="120" t="inlineStr"/>
      <s:c r="B9263" s="121" t="n"/>
      <s:c r="C9263" s="121" t="n"/>
      <s:c r="D9263" s="121" t="n"/>
      <s:c r="E9263" s="122" t="n"/>
    </s:row>
    <s:row r="9264" hidden="1" ht="1" customHeight="1">
      <s:c r="A9264" s="120" t="inlineStr"/>
      <s:c r="B9264" s="121" t="n"/>
      <s:c r="C9264" s="121" t="n"/>
      <s:c r="D9264" s="121" t="n"/>
      <s:c r="E9264" s="122" t="n"/>
    </s:row>
    <s:row r="9265" hidden="1" ht="1" customHeight="1">
      <s:c r="A9265" s="120" t="inlineStr"/>
      <s:c r="B9265" s="121" t="n"/>
      <s:c r="C9265" s="121" t="n"/>
      <s:c r="D9265" s="121" t="n"/>
      <s:c r="E9265" s="122" t="n"/>
    </s:row>
    <s:row r="9266" hidden="1" ht="1" customHeight="1">
      <s:c r="A9266" s="120" t="inlineStr"/>
      <s:c r="B9266" s="121" t="n"/>
      <s:c r="C9266" s="121" t="n"/>
      <s:c r="D9266" s="121" t="n"/>
      <s:c r="E9266" s="122" t="n"/>
    </s:row>
    <s:row r="9267" hidden="1" ht="1" customHeight="1">
      <s:c r="A9267" s="120" t="inlineStr"/>
      <s:c r="B9267" s="121" t="n"/>
      <s:c r="C9267" s="121" t="n"/>
      <s:c r="D9267" s="121" t="n"/>
      <s:c r="E9267" s="122" t="n"/>
    </s:row>
    <s:row r="9268" hidden="1" ht="1" customHeight="1">
      <s:c r="A9268" s="120" t="inlineStr"/>
      <s:c r="B9268" s="121" t="n"/>
      <s:c r="C9268" s="121" t="n"/>
      <s:c r="D9268" s="121" t="n"/>
      <s:c r="E9268" s="122" t="n"/>
    </s:row>
    <s:row r="9269" hidden="1" ht="1" customHeight="1">
      <s:c r="A9269" s="120" t="inlineStr"/>
      <s:c r="B9269" s="121" t="n"/>
      <s:c r="C9269" s="121" t="n"/>
      <s:c r="D9269" s="121" t="n"/>
      <s:c r="E9269" s="122" t="n"/>
    </s:row>
    <s:row r="9270" hidden="1" ht="1" customHeight="1">
      <s:c r="A9270" s="120" t="inlineStr"/>
      <s:c r="B9270" s="121" t="n"/>
      <s:c r="C9270" s="121" t="n"/>
      <s:c r="D9270" s="121" t="n"/>
      <s:c r="E9270" s="122" t="n"/>
    </s:row>
    <s:row r="9271" hidden="1" ht="1" customHeight="1">
      <s:c r="A9271" s="120" t="inlineStr"/>
      <s:c r="B9271" s="121" t="n"/>
      <s:c r="C9271" s="121" t="n"/>
      <s:c r="D9271" s="121" t="n"/>
      <s:c r="E9271" s="122" t="n"/>
    </s:row>
    <s:row r="9272" hidden="1" ht="1" customHeight="1">
      <s:c r="A9272" s="120" t="inlineStr"/>
      <s:c r="B9272" s="121" t="n"/>
      <s:c r="C9272" s="121" t="n"/>
      <s:c r="D9272" s="121" t="n"/>
      <s:c r="E9272" s="122" t="n"/>
    </s:row>
    <s:row r="9273" hidden="1" ht="1" customHeight="1">
      <s:c r="A9273" s="120" t="inlineStr"/>
      <s:c r="B9273" s="121" t="n"/>
      <s:c r="C9273" s="121" t="n"/>
      <s:c r="D9273" s="121" t="n"/>
      <s:c r="E9273" s="122" t="n"/>
    </s:row>
    <s:row r="9274" hidden="1" ht="1" customHeight="1">
      <s:c r="A9274" s="120" t="inlineStr"/>
      <s:c r="B9274" s="121" t="n"/>
      <s:c r="C9274" s="121" t="n"/>
      <s:c r="D9274" s="121" t="n"/>
      <s:c r="E9274" s="122" t="n"/>
    </s:row>
    <s:row r="9275" hidden="1" ht="1" customHeight="1">
      <s:c r="A9275" s="120" t="inlineStr"/>
      <s:c r="B9275" s="121" t="n"/>
      <s:c r="C9275" s="121" t="n"/>
      <s:c r="D9275" s="121" t="n"/>
      <s:c r="E9275" s="122" t="n"/>
    </s:row>
    <s:row r="9276" hidden="1" ht="1" customHeight="1">
      <s:c r="A9276" s="120" t="inlineStr"/>
      <s:c r="B9276" s="121" t="n"/>
      <s:c r="C9276" s="121" t="n"/>
      <s:c r="D9276" s="121" t="n"/>
      <s:c r="E9276" s="122" t="n"/>
    </s:row>
    <s:row r="9277" hidden="1" ht="1" customHeight="1">
      <s:c r="A9277" s="120" t="inlineStr"/>
      <s:c r="B9277" s="121" t="n"/>
      <s:c r="C9277" s="121" t="n"/>
      <s:c r="D9277" s="121" t="n"/>
      <s:c r="E9277" s="122" t="n"/>
    </s:row>
    <s:row r="9278" hidden="1" ht="1" customHeight="1">
      <s:c r="A9278" s="120" t="inlineStr"/>
      <s:c r="B9278" s="121" t="n"/>
      <s:c r="C9278" s="121" t="n"/>
      <s:c r="D9278" s="121" t="n"/>
      <s:c r="E9278" s="122" t="n"/>
    </s:row>
    <s:row r="9279" hidden="1" ht="1" customHeight="1">
      <s:c r="A9279" s="120" t="inlineStr"/>
      <s:c r="B9279" s="121" t="n"/>
      <s:c r="C9279" s="121" t="n"/>
      <s:c r="D9279" s="121" t="n"/>
      <s:c r="E9279" s="122" t="n"/>
    </s:row>
    <s:row r="9280" hidden="1" ht="1" customHeight="1">
      <s:c r="A9280" s="120" t="inlineStr"/>
      <s:c r="B9280" s="121" t="n"/>
      <s:c r="C9280" s="121" t="n"/>
      <s:c r="D9280" s="121" t="n"/>
      <s:c r="E9280" s="122" t="n"/>
    </s:row>
    <s:row r="9281" hidden="1" ht="1" customHeight="1">
      <s:c r="A9281" s="120" t="inlineStr"/>
      <s:c r="B9281" s="121" t="n"/>
      <s:c r="C9281" s="121" t="n"/>
      <s:c r="D9281" s="121" t="n"/>
      <s:c r="E9281" s="122" t="n"/>
    </s:row>
    <s:row r="9282" hidden="1" ht="1" customHeight="1">
      <s:c r="A9282" s="120" t="inlineStr"/>
      <s:c r="B9282" s="121" t="n"/>
      <s:c r="C9282" s="121" t="n"/>
      <s:c r="D9282" s="121" t="n"/>
      <s:c r="E9282" s="122" t="n"/>
    </s:row>
    <s:row r="9283" hidden="1" ht="1" customHeight="1">
      <s:c r="A9283" s="120" t="inlineStr"/>
      <s:c r="B9283" s="121" t="n"/>
      <s:c r="C9283" s="121" t="n"/>
      <s:c r="D9283" s="121" t="n"/>
      <s:c r="E9283" s="122" t="n"/>
    </s:row>
    <s:row r="9284" hidden="1" ht="1" customHeight="1">
      <s:c r="A9284" s="120" t="inlineStr"/>
      <s:c r="B9284" s="121" t="n"/>
      <s:c r="C9284" s="121" t="n"/>
      <s:c r="D9284" s="121" t="n"/>
      <s:c r="E9284" s="122" t="n"/>
    </s:row>
    <s:row r="9285" hidden="1" ht="1" customHeight="1">
      <s:c r="A9285" s="120" t="inlineStr"/>
      <s:c r="B9285" s="121" t="n"/>
      <s:c r="C9285" s="121" t="n"/>
      <s:c r="D9285" s="121" t="n"/>
      <s:c r="E9285" s="122" t="n"/>
    </s:row>
    <s:row r="9286" hidden="1" ht="1" customHeight="1">
      <s:c r="A9286" s="120" t="inlineStr"/>
      <s:c r="B9286" s="121" t="n"/>
      <s:c r="C9286" s="121" t="n"/>
      <s:c r="D9286" s="121" t="n"/>
      <s:c r="E9286" s="122" t="n"/>
    </s:row>
    <s:row r="9287" hidden="1" ht="1" customHeight="1">
      <s:c r="A9287" s="120" t="inlineStr"/>
      <s:c r="B9287" s="121" t="n"/>
      <s:c r="C9287" s="121" t="n"/>
      <s:c r="D9287" s="121" t="n"/>
      <s:c r="E9287" s="122" t="n"/>
    </s:row>
    <s:row r="9288" hidden="1" ht="1" customHeight="1">
      <s:c r="A9288" s="120" t="inlineStr"/>
      <s:c r="B9288" s="121" t="n"/>
      <s:c r="C9288" s="121" t="n"/>
      <s:c r="D9288" s="121" t="n"/>
      <s:c r="E9288" s="122" t="n"/>
    </s:row>
    <s:row r="9289" hidden="1" ht="1" customHeight="1">
      <s:c r="A9289" s="120" t="inlineStr"/>
      <s:c r="B9289" s="121" t="n"/>
      <s:c r="C9289" s="121" t="n"/>
      <s:c r="D9289" s="121" t="n"/>
      <s:c r="E9289" s="122" t="n"/>
    </s:row>
    <s:row r="9290" hidden="1" ht="1" customHeight="1">
      <s:c r="A9290" s="120" t="inlineStr"/>
      <s:c r="B9290" s="121" t="n"/>
      <s:c r="C9290" s="121" t="n"/>
      <s:c r="D9290" s="121" t="n"/>
      <s:c r="E9290" s="122" t="n"/>
    </s:row>
    <s:row r="9291" hidden="1" ht="1" customHeight="1">
      <s:c r="A9291" s="120" t="inlineStr"/>
      <s:c r="B9291" s="121" t="n"/>
      <s:c r="C9291" s="121" t="n"/>
      <s:c r="D9291" s="121" t="n"/>
      <s:c r="E9291" s="122" t="n"/>
    </s:row>
    <s:row r="9292" hidden="1" ht="1" customHeight="1">
      <s:c r="A9292" s="120" t="inlineStr"/>
      <s:c r="B9292" s="121" t="n"/>
      <s:c r="C9292" s="121" t="n"/>
      <s:c r="D9292" s="121" t="n"/>
      <s:c r="E9292" s="122" t="n"/>
    </s:row>
    <s:row r="9293" hidden="1" ht="1" customHeight="1">
      <s:c r="A9293" s="120" t="inlineStr"/>
      <s:c r="B9293" s="121" t="n"/>
      <s:c r="C9293" s="121" t="n"/>
      <s:c r="D9293" s="121" t="n"/>
      <s:c r="E9293" s="122" t="n"/>
    </s:row>
    <s:row r="9294" hidden="1" ht="1" customHeight="1">
      <s:c r="A9294" s="120" t="inlineStr"/>
      <s:c r="B9294" s="121" t="n"/>
      <s:c r="C9294" s="121" t="n"/>
      <s:c r="D9294" s="121" t="n"/>
      <s:c r="E9294" s="122" t="n"/>
    </s:row>
    <s:row r="9295" hidden="1" ht="1" customHeight="1">
      <s:c r="A9295" s="120" t="inlineStr"/>
      <s:c r="B9295" s="121" t="n"/>
      <s:c r="C9295" s="121" t="n"/>
      <s:c r="D9295" s="121" t="n"/>
      <s:c r="E9295" s="122" t="n"/>
    </s:row>
    <s:row r="9296" hidden="1" ht="1" customHeight="1">
      <s:c r="A9296" s="120" t="inlineStr"/>
      <s:c r="B9296" s="121" t="n"/>
      <s:c r="C9296" s="121" t="n"/>
      <s:c r="D9296" s="121" t="n"/>
      <s:c r="E9296" s="122" t="n"/>
    </s:row>
    <s:row r="9297" hidden="1" ht="1" customHeight="1">
      <s:c r="A9297" s="120" t="inlineStr"/>
      <s:c r="B9297" s="121" t="n"/>
      <s:c r="C9297" s="121" t="n"/>
      <s:c r="D9297" s="121" t="n"/>
      <s:c r="E9297" s="122" t="n"/>
    </s:row>
    <s:row r="9298" hidden="1" ht="1" customHeight="1">
      <s:c r="A9298" s="120" t="inlineStr"/>
      <s:c r="B9298" s="121" t="n"/>
      <s:c r="C9298" s="121" t="n"/>
      <s:c r="D9298" s="121" t="n"/>
      <s:c r="E9298" s="122" t="n"/>
    </s:row>
    <s:row r="9299" hidden="1" ht="1" customHeight="1">
      <s:c r="A9299" s="120" t="inlineStr"/>
      <s:c r="B9299" s="121" t="n"/>
      <s:c r="C9299" s="121" t="n"/>
      <s:c r="D9299" s="121" t="n"/>
      <s:c r="E9299" s="122" t="n"/>
    </s:row>
    <s:row r="9300" hidden="1" ht="1" customHeight="1">
      <s:c r="A9300" s="120" t="inlineStr"/>
      <s:c r="B9300" s="121" t="n"/>
      <s:c r="C9300" s="121" t="n"/>
      <s:c r="D9300" s="121" t="n"/>
      <s:c r="E9300" s="122" t="n"/>
    </s:row>
    <s:row r="9301" hidden="1" ht="1" customHeight="1">
      <s:c r="A9301" s="120" t="inlineStr"/>
      <s:c r="B9301" s="121" t="n"/>
      <s:c r="C9301" s="121" t="n"/>
      <s:c r="D9301" s="121" t="n"/>
      <s:c r="E9301" s="122" t="n"/>
    </s:row>
    <s:row r="9302" hidden="1" ht="1" customHeight="1">
      <s:c r="A9302" s="120" t="inlineStr"/>
      <s:c r="B9302" s="121" t="n"/>
      <s:c r="C9302" s="121" t="n"/>
      <s:c r="D9302" s="121" t="n"/>
      <s:c r="E9302" s="122" t="n"/>
    </s:row>
    <s:row r="9303" hidden="1" ht="1" customHeight="1">
      <s:c r="A9303" s="120" t="inlineStr"/>
      <s:c r="B9303" s="121" t="n"/>
      <s:c r="C9303" s="121" t="n"/>
      <s:c r="D9303" s="121" t="n"/>
      <s:c r="E9303" s="122" t="n"/>
    </s:row>
    <s:row r="9304" hidden="1" ht="1" customHeight="1">
      <s:c r="A9304" s="120" t="inlineStr"/>
      <s:c r="B9304" s="121" t="n"/>
      <s:c r="C9304" s="121" t="n"/>
      <s:c r="D9304" s="121" t="n"/>
      <s:c r="E9304" s="122" t="n"/>
    </s:row>
    <s:row r="9305" hidden="1" ht="1" customHeight="1">
      <s:c r="A9305" s="120" t="inlineStr"/>
      <s:c r="B9305" s="121" t="n"/>
      <s:c r="C9305" s="121" t="n"/>
      <s:c r="D9305" s="121" t="n"/>
      <s:c r="E9305" s="122" t="n"/>
    </s:row>
    <s:row r="9306" hidden="1" ht="1" customHeight="1">
      <s:c r="A9306" s="120" t="inlineStr"/>
      <s:c r="B9306" s="121" t="n"/>
      <s:c r="C9306" s="121" t="n"/>
      <s:c r="D9306" s="121" t="n"/>
      <s:c r="E9306" s="122" t="n"/>
    </s:row>
    <s:row r="9307" hidden="1" ht="1" customHeight="1">
      <s:c r="A9307" s="120" t="inlineStr"/>
      <s:c r="B9307" s="121" t="n"/>
      <s:c r="C9307" s="121" t="n"/>
      <s:c r="D9307" s="121" t="n"/>
      <s:c r="E9307" s="122" t="n"/>
    </s:row>
    <s:row r="9308" hidden="1" ht="1" customHeight="1">
      <s:c r="A9308" s="120" t="inlineStr"/>
      <s:c r="B9308" s="121" t="n"/>
      <s:c r="C9308" s="121" t="n"/>
      <s:c r="D9308" s="121" t="n"/>
      <s:c r="E9308" s="122" t="n"/>
    </s:row>
    <s:row r="9309" hidden="1" ht="1" customHeight="1">
      <s:c r="A9309" s="120" t="inlineStr"/>
      <s:c r="B9309" s="121" t="n"/>
      <s:c r="C9309" s="121" t="n"/>
      <s:c r="D9309" s="121" t="n"/>
      <s:c r="E9309" s="122" t="n"/>
    </s:row>
    <s:row r="9310" hidden="1" ht="1" customHeight="1">
      <s:c r="A9310" s="120" t="inlineStr"/>
      <s:c r="B9310" s="121" t="n"/>
      <s:c r="C9310" s="121" t="n"/>
      <s:c r="D9310" s="121" t="n"/>
      <s:c r="E9310" s="122" t="n"/>
    </s:row>
    <s:row r="9311" hidden="1" ht="1" customHeight="1">
      <s:c r="A9311" s="120" t="inlineStr"/>
      <s:c r="B9311" s="121" t="n"/>
      <s:c r="C9311" s="121" t="n"/>
      <s:c r="D9311" s="121" t="n"/>
      <s:c r="E9311" s="122" t="n"/>
    </s:row>
    <s:row r="9312" hidden="1" ht="1" customHeight="1">
      <s:c r="A9312" s="120" t="inlineStr"/>
      <s:c r="B9312" s="121" t="n"/>
      <s:c r="C9312" s="121" t="n"/>
      <s:c r="D9312" s="121" t="n"/>
      <s:c r="E9312" s="122" t="n"/>
    </s:row>
    <s:row r="9313" hidden="1" ht="1" customHeight="1">
      <s:c r="A9313" s="120" t="inlineStr"/>
      <s:c r="B9313" s="121" t="n"/>
      <s:c r="C9313" s="121" t="n"/>
      <s:c r="D9313" s="121" t="n"/>
      <s:c r="E9313" s="122" t="n"/>
    </s:row>
    <s:row r="9314" hidden="1" ht="1" customHeight="1">
      <s:c r="A9314" s="120" t="inlineStr"/>
      <s:c r="B9314" s="121" t="n"/>
      <s:c r="C9314" s="121" t="n"/>
      <s:c r="D9314" s="121" t="n"/>
      <s:c r="E9314" s="122" t="n"/>
    </s:row>
    <s:row r="9315" hidden="1" ht="1" customHeight="1">
      <s:c r="A9315" s="120" t="inlineStr"/>
      <s:c r="B9315" s="121" t="n"/>
      <s:c r="C9315" s="121" t="n"/>
      <s:c r="D9315" s="121" t="n"/>
      <s:c r="E9315" s="122" t="n"/>
    </s:row>
    <s:row r="9316" hidden="1" ht="1" customHeight="1">
      <s:c r="A9316" s="120" t="inlineStr"/>
      <s:c r="B9316" s="121" t="n"/>
      <s:c r="C9316" s="121" t="n"/>
      <s:c r="D9316" s="121" t="n"/>
      <s:c r="E9316" s="122" t="n"/>
    </s:row>
    <s:row r="9317" hidden="1" ht="1" customHeight="1">
      <s:c r="A9317" s="120" t="inlineStr"/>
      <s:c r="B9317" s="121" t="n"/>
      <s:c r="C9317" s="121" t="n"/>
      <s:c r="D9317" s="121" t="n"/>
      <s:c r="E9317" s="122" t="n"/>
    </s:row>
    <s:row r="9318" hidden="1" ht="1" customHeight="1">
      <s:c r="A9318" s="120" t="inlineStr"/>
      <s:c r="B9318" s="121" t="n"/>
      <s:c r="C9318" s="121" t="n"/>
      <s:c r="D9318" s="121" t="n"/>
      <s:c r="E9318" s="122" t="n"/>
    </s:row>
    <s:row r="9319" hidden="1" ht="1" customHeight="1">
      <s:c r="A9319" s="120" t="inlineStr"/>
      <s:c r="B9319" s="121" t="n"/>
      <s:c r="C9319" s="121" t="n"/>
      <s:c r="D9319" s="121" t="n"/>
      <s:c r="E9319" s="122" t="n"/>
    </s:row>
    <s:row r="9320" hidden="1" ht="1" customHeight="1">
      <s:c r="A9320" s="120" t="inlineStr"/>
      <s:c r="B9320" s="121" t="n"/>
      <s:c r="C9320" s="121" t="n"/>
      <s:c r="D9320" s="121" t="n"/>
      <s:c r="E9320" s="122" t="n"/>
    </s:row>
    <s:row r="9321" hidden="1" ht="1" customHeight="1">
      <s:c r="A9321" s="120" t="inlineStr"/>
      <s:c r="B9321" s="121" t="n"/>
      <s:c r="C9321" s="121" t="n"/>
      <s:c r="D9321" s="121" t="n"/>
      <s:c r="E9321" s="122" t="n"/>
    </s:row>
    <s:row r="9322" hidden="1" ht="1" customHeight="1">
      <s:c r="A9322" s="120" t="inlineStr"/>
      <s:c r="B9322" s="121" t="n"/>
      <s:c r="C9322" s="121" t="n"/>
      <s:c r="D9322" s="121" t="n"/>
      <s:c r="E9322" s="122" t="n"/>
    </s:row>
    <s:row r="9323" hidden="1" ht="1" customHeight="1">
      <s:c r="A9323" s="120" t="inlineStr"/>
      <s:c r="B9323" s="121" t="n"/>
      <s:c r="C9323" s="121" t="n"/>
      <s:c r="D9323" s="121" t="n"/>
      <s:c r="E9323" s="122" t="n"/>
    </s:row>
    <s:row r="9324" hidden="1" ht="1" customHeight="1">
      <s:c r="A9324" s="120" t="inlineStr"/>
      <s:c r="B9324" s="121" t="n"/>
      <s:c r="C9324" s="121" t="n"/>
      <s:c r="D9324" s="121" t="n"/>
      <s:c r="E9324" s="122" t="n"/>
    </s:row>
    <s:row r="9325" hidden="1" ht="1" customHeight="1">
      <s:c r="A9325" s="120" t="inlineStr"/>
      <s:c r="B9325" s="121" t="n"/>
      <s:c r="C9325" s="121" t="n"/>
      <s:c r="D9325" s="121" t="n"/>
      <s:c r="E9325" s="122" t="n"/>
    </s:row>
    <s:row r="9326" hidden="1" ht="1" customHeight="1">
      <s:c r="A9326" s="120" t="inlineStr"/>
      <s:c r="B9326" s="121" t="n"/>
      <s:c r="C9326" s="121" t="n"/>
      <s:c r="D9326" s="121" t="n"/>
      <s:c r="E9326" s="122" t="n"/>
    </s:row>
    <s:row r="9327" hidden="1" ht="1" customHeight="1">
      <s:c r="A9327" s="120" t="inlineStr"/>
      <s:c r="B9327" s="121" t="n"/>
      <s:c r="C9327" s="121" t="n"/>
      <s:c r="D9327" s="121" t="n"/>
      <s:c r="E9327" s="122" t="n"/>
    </s:row>
    <s:row r="9328" hidden="1" ht="1" customHeight="1">
      <s:c r="A9328" s="120" t="inlineStr"/>
      <s:c r="B9328" s="121" t="n"/>
      <s:c r="C9328" s="121" t="n"/>
      <s:c r="D9328" s="121" t="n"/>
      <s:c r="E9328" s="122" t="n"/>
    </s:row>
    <s:row r="9329" hidden="1" ht="1" customHeight="1">
      <s:c r="A9329" s="120" t="inlineStr"/>
      <s:c r="B9329" s="121" t="n"/>
      <s:c r="C9329" s="121" t="n"/>
      <s:c r="D9329" s="121" t="n"/>
      <s:c r="E9329" s="122" t="n"/>
    </s:row>
    <s:row r="9330" hidden="1" ht="1" customHeight="1">
      <s:c r="A9330" s="120" t="inlineStr"/>
      <s:c r="B9330" s="121" t="n"/>
      <s:c r="C9330" s="121" t="n"/>
      <s:c r="D9330" s="121" t="n"/>
      <s:c r="E9330" s="122" t="n"/>
    </s:row>
    <s:row r="9331" hidden="1" ht="1" customHeight="1">
      <s:c r="A9331" s="120" t="inlineStr"/>
      <s:c r="B9331" s="121" t="n"/>
      <s:c r="C9331" s="121" t="n"/>
      <s:c r="D9331" s="121" t="n"/>
      <s:c r="E9331" s="122" t="n"/>
    </s:row>
    <s:row r="9332" hidden="1" ht="1" customHeight="1">
      <s:c r="A9332" s="120" t="inlineStr"/>
      <s:c r="B9332" s="121" t="n"/>
      <s:c r="C9332" s="121" t="n"/>
      <s:c r="D9332" s="121" t="n"/>
      <s:c r="E9332" s="122" t="n"/>
    </s:row>
    <s:row r="9333" hidden="1" ht="1" customHeight="1">
      <s:c r="A9333" s="120" t="inlineStr"/>
      <s:c r="B9333" s="121" t="n"/>
      <s:c r="C9333" s="121" t="n"/>
      <s:c r="D9333" s="121" t="n"/>
      <s:c r="E9333" s="122" t="n"/>
    </s:row>
    <s:row r="9334" hidden="1" ht="1" customHeight="1">
      <s:c r="A9334" s="120" t="inlineStr"/>
      <s:c r="B9334" s="121" t="n"/>
      <s:c r="C9334" s="121" t="n"/>
      <s:c r="D9334" s="121" t="n"/>
      <s:c r="E9334" s="122" t="n"/>
    </s:row>
    <s:row r="9335" hidden="1" ht="1" customHeight="1">
      <s:c r="A9335" s="120" t="inlineStr"/>
      <s:c r="B9335" s="121" t="n"/>
      <s:c r="C9335" s="121" t="n"/>
      <s:c r="D9335" s="121" t="n"/>
      <s:c r="E9335" s="122" t="n"/>
    </s:row>
    <s:row r="9336" hidden="1" ht="1" customHeight="1">
      <s:c r="A9336" s="120" t="inlineStr"/>
      <s:c r="B9336" s="121" t="n"/>
      <s:c r="C9336" s="121" t="n"/>
      <s:c r="D9336" s="121" t="n"/>
      <s:c r="E9336" s="122" t="n"/>
    </s:row>
    <s:row r="9337" hidden="1" ht="1" customHeight="1">
      <s:c r="A9337" s="120" t="inlineStr"/>
      <s:c r="B9337" s="121" t="n"/>
      <s:c r="C9337" s="121" t="n"/>
      <s:c r="D9337" s="121" t="n"/>
      <s:c r="E9337" s="122" t="n"/>
    </s:row>
    <s:row r="9338" hidden="1" ht="1" customHeight="1">
      <s:c r="A9338" s="120" t="inlineStr"/>
      <s:c r="B9338" s="121" t="n"/>
      <s:c r="C9338" s="121" t="n"/>
      <s:c r="D9338" s="121" t="n"/>
      <s:c r="E9338" s="122" t="n"/>
    </s:row>
    <s:row r="9339" hidden="1" ht="1" customHeight="1">
      <s:c r="A9339" s="120" t="inlineStr"/>
      <s:c r="B9339" s="121" t="n"/>
      <s:c r="C9339" s="121" t="n"/>
      <s:c r="D9339" s="121" t="n"/>
      <s:c r="E9339" s="122" t="n"/>
    </s:row>
    <s:row r="9340" hidden="1" ht="1" customHeight="1">
      <s:c r="A9340" s="120" t="inlineStr"/>
      <s:c r="B9340" s="121" t="n"/>
      <s:c r="C9340" s="121" t="n"/>
      <s:c r="D9340" s="121" t="n"/>
      <s:c r="E9340" s="122" t="n"/>
    </s:row>
    <s:row r="9341" hidden="1" ht="1" customHeight="1">
      <s:c r="A9341" s="120" t="inlineStr"/>
      <s:c r="B9341" s="121" t="n"/>
      <s:c r="C9341" s="121" t="n"/>
      <s:c r="D9341" s="121" t="n"/>
      <s:c r="E9341" s="122" t="n"/>
    </s:row>
    <s:row r="9342" hidden="1" ht="1" customHeight="1">
      <s:c r="A9342" s="120" t="inlineStr"/>
      <s:c r="B9342" s="121" t="n"/>
      <s:c r="C9342" s="121" t="n"/>
      <s:c r="D9342" s="121" t="n"/>
      <s:c r="E9342" s="122" t="n"/>
    </s:row>
    <s:row r="9343" hidden="1" ht="1" customHeight="1">
      <s:c r="A9343" s="120" t="inlineStr"/>
      <s:c r="B9343" s="121" t="n"/>
      <s:c r="C9343" s="121" t="n"/>
      <s:c r="D9343" s="121" t="n"/>
      <s:c r="E9343" s="122" t="n"/>
    </s:row>
    <s:row r="9344" hidden="1" ht="1" customHeight="1">
      <s:c r="A9344" s="120" t="inlineStr"/>
      <s:c r="B9344" s="121" t="n"/>
      <s:c r="C9344" s="121" t="n"/>
      <s:c r="D9344" s="121" t="n"/>
      <s:c r="E9344" s="122" t="n"/>
    </s:row>
    <s:row r="9345" hidden="1" ht="1" customHeight="1">
      <s:c r="A9345" s="120" t="inlineStr"/>
      <s:c r="B9345" s="121" t="n"/>
      <s:c r="C9345" s="121" t="n"/>
      <s:c r="D9345" s="121" t="n"/>
      <s:c r="E9345" s="122" t="n"/>
    </s:row>
    <s:row r="9346" hidden="1" ht="1" customHeight="1">
      <s:c r="A9346" s="120" t="inlineStr"/>
      <s:c r="B9346" s="121" t="n"/>
      <s:c r="C9346" s="121" t="n"/>
      <s:c r="D9346" s="121" t="n"/>
      <s:c r="E9346" s="122" t="n"/>
    </s:row>
    <s:row r="9347" hidden="1" ht="1" customHeight="1">
      <s:c r="A9347" s="120" t="inlineStr"/>
      <s:c r="B9347" s="121" t="n"/>
      <s:c r="C9347" s="121" t="n"/>
      <s:c r="D9347" s="121" t="n"/>
      <s:c r="E9347" s="122" t="n"/>
    </s:row>
    <s:row r="9348" hidden="1" ht="1" customHeight="1">
      <s:c r="A9348" s="120" t="inlineStr"/>
      <s:c r="B9348" s="121" t="n"/>
      <s:c r="C9348" s="121" t="n"/>
      <s:c r="D9348" s="121" t="n"/>
      <s:c r="E9348" s="122" t="n"/>
    </s:row>
    <s:row r="9349" hidden="1" ht="1" customHeight="1">
      <s:c r="A9349" s="120" t="inlineStr"/>
      <s:c r="B9349" s="121" t="n"/>
      <s:c r="C9349" s="121" t="n"/>
      <s:c r="D9349" s="121" t="n"/>
      <s:c r="E9349" s="122" t="n"/>
    </s:row>
    <s:row r="9350" hidden="1" ht="1" customHeight="1">
      <s:c r="A9350" s="120" t="inlineStr"/>
      <s:c r="B9350" s="121" t="n"/>
      <s:c r="C9350" s="121" t="n"/>
      <s:c r="D9350" s="121" t="n"/>
      <s:c r="E9350" s="122" t="n"/>
    </s:row>
    <s:row r="9351" hidden="1" ht="1" customHeight="1">
      <s:c r="A9351" s="120" t="inlineStr"/>
      <s:c r="B9351" s="121" t="n"/>
      <s:c r="C9351" s="121" t="n"/>
      <s:c r="D9351" s="121" t="n"/>
      <s:c r="E9351" s="122" t="n"/>
    </s:row>
    <s:row r="9352" hidden="1" ht="1" customHeight="1">
      <s:c r="A9352" s="120" t="inlineStr"/>
      <s:c r="B9352" s="121" t="n"/>
      <s:c r="C9352" s="121" t="n"/>
      <s:c r="D9352" s="121" t="n"/>
      <s:c r="E9352" s="122" t="n"/>
    </s:row>
    <s:row r="9353" hidden="1" ht="1" customHeight="1">
      <s:c r="A9353" s="120" t="inlineStr"/>
      <s:c r="B9353" s="121" t="n"/>
      <s:c r="C9353" s="121" t="n"/>
      <s:c r="D9353" s="121" t="n"/>
      <s:c r="E9353" s="122" t="n"/>
    </s:row>
    <s:row r="9354" hidden="1" ht="1" customHeight="1">
      <s:c r="A9354" s="120" t="inlineStr"/>
      <s:c r="B9354" s="121" t="n"/>
      <s:c r="C9354" s="121" t="n"/>
      <s:c r="D9354" s="121" t="n"/>
      <s:c r="E9354" s="122" t="n"/>
    </s:row>
    <s:row r="9355" hidden="1" ht="1" customHeight="1">
      <s:c r="A9355" s="120" t="inlineStr"/>
      <s:c r="B9355" s="121" t="n"/>
      <s:c r="C9355" s="121" t="n"/>
      <s:c r="D9355" s="121" t="n"/>
      <s:c r="E9355" s="122" t="n"/>
    </s:row>
    <s:row r="9356" hidden="1" ht="1" customHeight="1">
      <s:c r="A9356" s="120" t="inlineStr"/>
      <s:c r="B9356" s="121" t="n"/>
      <s:c r="C9356" s="121" t="n"/>
      <s:c r="D9356" s="121" t="n"/>
      <s:c r="E9356" s="122" t="n"/>
    </s:row>
    <s:row r="9357" hidden="1" ht="1" customHeight="1">
      <s:c r="A9357" s="120" t="inlineStr"/>
      <s:c r="B9357" s="121" t="n"/>
      <s:c r="C9357" s="121" t="n"/>
      <s:c r="D9357" s="121" t="n"/>
      <s:c r="E9357" s="122" t="n"/>
    </s:row>
    <s:row r="9358" hidden="1" ht="1" customHeight="1">
      <s:c r="A9358" s="120" t="inlineStr"/>
      <s:c r="B9358" s="121" t="n"/>
      <s:c r="C9358" s="121" t="n"/>
      <s:c r="D9358" s="121" t="n"/>
      <s:c r="E9358" s="122" t="n"/>
    </s:row>
    <s:row r="9359" hidden="1" ht="1" customHeight="1">
      <s:c r="A9359" s="120" t="inlineStr"/>
      <s:c r="B9359" s="121" t="n"/>
      <s:c r="C9359" s="121" t="n"/>
      <s:c r="D9359" s="121" t="n"/>
      <s:c r="E9359" s="122" t="n"/>
    </s:row>
    <s:row r="9360" hidden="1" ht="1" customHeight="1">
      <s:c r="A9360" s="120" t="inlineStr"/>
      <s:c r="B9360" s="121" t="n"/>
      <s:c r="C9360" s="121" t="n"/>
      <s:c r="D9360" s="121" t="n"/>
      <s:c r="E9360" s="122" t="n"/>
    </s:row>
    <s:row r="9361" hidden="1" ht="1" customHeight="1">
      <s:c r="A9361" s="120" t="inlineStr"/>
      <s:c r="B9361" s="121" t="n"/>
      <s:c r="C9361" s="121" t="n"/>
      <s:c r="D9361" s="121" t="n"/>
      <s:c r="E9361" s="122" t="n"/>
    </s:row>
    <s:row r="9362" hidden="1" ht="1" customHeight="1">
      <s:c r="A9362" s="120" t="inlineStr"/>
      <s:c r="B9362" s="121" t="n"/>
      <s:c r="C9362" s="121" t="n"/>
      <s:c r="D9362" s="121" t="n"/>
      <s:c r="E9362" s="122" t="n"/>
    </s:row>
    <s:row r="9363" hidden="1" ht="1" customHeight="1">
      <s:c r="A9363" s="120" t="inlineStr"/>
      <s:c r="B9363" s="121" t="n"/>
      <s:c r="C9363" s="121" t="n"/>
      <s:c r="D9363" s="121" t="n"/>
      <s:c r="E9363" s="122" t="n"/>
    </s:row>
    <s:row r="9364" hidden="1" ht="1" customHeight="1">
      <s:c r="A9364" s="120" t="inlineStr"/>
      <s:c r="B9364" s="121" t="n"/>
      <s:c r="C9364" s="121" t="n"/>
      <s:c r="D9364" s="121" t="n"/>
      <s:c r="E9364" s="122" t="n"/>
    </s:row>
    <s:row r="9365" hidden="1" ht="1" customHeight="1">
      <s:c r="A9365" s="120" t="inlineStr"/>
      <s:c r="B9365" s="121" t="n"/>
      <s:c r="C9365" s="121" t="n"/>
      <s:c r="D9365" s="121" t="n"/>
      <s:c r="E9365" s="122" t="n"/>
    </s:row>
    <s:row r="9366" hidden="1" ht="1" customHeight="1">
      <s:c r="A9366" s="120" t="inlineStr"/>
      <s:c r="B9366" s="121" t="n"/>
      <s:c r="C9366" s="121" t="n"/>
      <s:c r="D9366" s="121" t="n"/>
      <s:c r="E9366" s="122" t="n"/>
    </s:row>
    <s:row r="9367" hidden="1" ht="1" customHeight="1">
      <s:c r="A9367" s="120" t="inlineStr"/>
      <s:c r="B9367" s="121" t="n"/>
      <s:c r="C9367" s="121" t="n"/>
      <s:c r="D9367" s="121" t="n"/>
      <s:c r="E9367" s="122" t="n"/>
    </s:row>
    <s:row r="9368" hidden="1" ht="1" customHeight="1">
      <s:c r="A9368" s="120" t="inlineStr"/>
      <s:c r="B9368" s="121" t="n"/>
      <s:c r="C9368" s="121" t="n"/>
      <s:c r="D9368" s="121" t="n"/>
      <s:c r="E9368" s="122" t="n"/>
    </s:row>
    <s:row r="9369" hidden="1" ht="1" customHeight="1">
      <s:c r="A9369" s="120" t="inlineStr"/>
      <s:c r="B9369" s="121" t="n"/>
      <s:c r="C9369" s="121" t="n"/>
      <s:c r="D9369" s="121" t="n"/>
      <s:c r="E9369" s="122" t="n"/>
    </s:row>
    <s:row r="9370" hidden="1" ht="1" customHeight="1">
      <s:c r="A9370" s="120" t="inlineStr"/>
      <s:c r="B9370" s="121" t="n"/>
      <s:c r="C9370" s="121" t="n"/>
      <s:c r="D9370" s="121" t="n"/>
      <s:c r="E9370" s="122" t="n"/>
    </s:row>
    <s:row r="9371" hidden="1" ht="1" customHeight="1">
      <s:c r="A9371" s="120" t="inlineStr"/>
      <s:c r="B9371" s="121" t="n"/>
      <s:c r="C9371" s="121" t="n"/>
      <s:c r="D9371" s="121" t="n"/>
      <s:c r="E9371" s="122" t="n"/>
    </s:row>
    <s:row r="9372" hidden="1" ht="1" customHeight="1">
      <s:c r="A9372" s="120" t="inlineStr"/>
      <s:c r="B9372" s="121" t="n"/>
      <s:c r="C9372" s="121" t="n"/>
      <s:c r="D9372" s="121" t="n"/>
      <s:c r="E9372" s="122" t="n"/>
    </s:row>
    <s:row r="9373" hidden="1" ht="1" customHeight="1">
      <s:c r="A9373" s="120" t="inlineStr"/>
      <s:c r="B9373" s="121" t="n"/>
      <s:c r="C9373" s="121" t="n"/>
      <s:c r="D9373" s="121" t="n"/>
      <s:c r="E9373" s="122" t="n"/>
    </s:row>
    <s:row r="9374" hidden="1" ht="1" customHeight="1">
      <s:c r="A9374" s="120" t="inlineStr"/>
      <s:c r="B9374" s="121" t="n"/>
      <s:c r="C9374" s="121" t="n"/>
      <s:c r="D9374" s="121" t="n"/>
      <s:c r="E9374" s="122" t="n"/>
    </s:row>
    <s:row r="9375" hidden="1" ht="1" customHeight="1">
      <s:c r="A9375" s="120" t="inlineStr"/>
      <s:c r="B9375" s="121" t="n"/>
      <s:c r="C9375" s="121" t="n"/>
      <s:c r="D9375" s="121" t="n"/>
      <s:c r="E9375" s="122" t="n"/>
    </s:row>
    <s:row r="9376" hidden="1" ht="1" customHeight="1">
      <s:c r="A9376" s="120" t="inlineStr"/>
      <s:c r="B9376" s="121" t="n"/>
      <s:c r="C9376" s="121" t="n"/>
      <s:c r="D9376" s="121" t="n"/>
      <s:c r="E9376" s="122" t="n"/>
    </s:row>
    <s:row r="9377" hidden="1" ht="1" customHeight="1">
      <s:c r="A9377" s="120" t="inlineStr"/>
      <s:c r="B9377" s="121" t="n"/>
      <s:c r="C9377" s="121" t="n"/>
      <s:c r="D9377" s="121" t="n"/>
      <s:c r="E9377" s="122" t="n"/>
    </s:row>
    <s:row r="9378" hidden="1" ht="1" customHeight="1">
      <s:c r="A9378" s="120" t="inlineStr"/>
      <s:c r="B9378" s="121" t="n"/>
      <s:c r="C9378" s="121" t="n"/>
      <s:c r="D9378" s="121" t="n"/>
      <s:c r="E9378" s="122" t="n"/>
    </s:row>
    <s:row r="9379" hidden="1" ht="1" customHeight="1">
      <s:c r="A9379" s="120" t="inlineStr"/>
      <s:c r="B9379" s="121" t="n"/>
      <s:c r="C9379" s="121" t="n"/>
      <s:c r="D9379" s="121" t="n"/>
      <s:c r="E9379" s="122" t="n"/>
    </s:row>
    <s:row r="9380" hidden="1" ht="1" customHeight="1">
      <s:c r="A9380" s="120" t="inlineStr"/>
      <s:c r="B9380" s="121" t="n"/>
      <s:c r="C9380" s="121" t="n"/>
      <s:c r="D9380" s="121" t="n"/>
      <s:c r="E9380" s="122" t="n"/>
    </s:row>
    <s:row r="9381" hidden="1" ht="1" customHeight="1">
      <s:c r="A9381" s="120" t="inlineStr"/>
      <s:c r="B9381" s="121" t="n"/>
      <s:c r="C9381" s="121" t="n"/>
      <s:c r="D9381" s="121" t="n"/>
      <s:c r="E9381" s="122" t="n"/>
    </s:row>
    <s:row r="9382" hidden="1" ht="1" customHeight="1">
      <s:c r="A9382" s="120" t="inlineStr"/>
      <s:c r="B9382" s="121" t="n"/>
      <s:c r="C9382" s="121" t="n"/>
      <s:c r="D9382" s="121" t="n"/>
      <s:c r="E9382" s="122" t="n"/>
    </s:row>
    <s:row r="9383" hidden="1" ht="1" customHeight="1">
      <s:c r="A9383" s="120" t="inlineStr"/>
      <s:c r="B9383" s="121" t="n"/>
      <s:c r="C9383" s="121" t="n"/>
      <s:c r="D9383" s="121" t="n"/>
      <s:c r="E9383" s="122" t="n"/>
    </s:row>
    <s:row r="9384" hidden="1" ht="1" customHeight="1">
      <s:c r="A9384" s="120" t="inlineStr"/>
      <s:c r="B9384" s="121" t="n"/>
      <s:c r="C9384" s="121" t="n"/>
      <s:c r="D9384" s="121" t="n"/>
      <s:c r="E9384" s="122" t="n"/>
    </s:row>
    <s:row r="9385" hidden="1" ht="1" customHeight="1">
      <s:c r="A9385" s="120" t="inlineStr"/>
      <s:c r="B9385" s="121" t="n"/>
      <s:c r="C9385" s="121" t="n"/>
      <s:c r="D9385" s="121" t="n"/>
      <s:c r="E9385" s="122" t="n"/>
    </s:row>
    <s:row r="9386" hidden="1" ht="1" customHeight="1">
      <s:c r="A9386" s="120" t="inlineStr"/>
      <s:c r="B9386" s="121" t="n"/>
      <s:c r="C9386" s="121" t="n"/>
      <s:c r="D9386" s="121" t="n"/>
      <s:c r="E9386" s="122" t="n"/>
    </s:row>
    <s:row r="9387" hidden="1" ht="1" customHeight="1">
      <s:c r="A9387" s="120" t="inlineStr"/>
      <s:c r="B9387" s="121" t="n"/>
      <s:c r="C9387" s="121" t="n"/>
      <s:c r="D9387" s="121" t="n"/>
      <s:c r="E9387" s="122" t="n"/>
    </s:row>
    <s:row r="9388" hidden="1" ht="1" customHeight="1">
      <s:c r="A9388" s="120" t="inlineStr"/>
      <s:c r="B9388" s="121" t="n"/>
      <s:c r="C9388" s="121" t="n"/>
      <s:c r="D9388" s="121" t="n"/>
      <s:c r="E9388" s="122" t="n"/>
    </s:row>
    <s:row r="9389" hidden="1" ht="1" customHeight="1">
      <s:c r="A9389" s="120" t="inlineStr"/>
      <s:c r="B9389" s="121" t="n"/>
      <s:c r="C9389" s="121" t="n"/>
      <s:c r="D9389" s="121" t="n"/>
      <s:c r="E9389" s="122" t="n"/>
    </s:row>
    <s:row r="9390" hidden="1" ht="1" customHeight="1">
      <s:c r="A9390" s="120" t="inlineStr"/>
      <s:c r="B9390" s="121" t="n"/>
      <s:c r="C9390" s="121" t="n"/>
      <s:c r="D9390" s="121" t="n"/>
      <s:c r="E9390" s="122" t="n"/>
    </s:row>
    <s:row r="9391" hidden="1" ht="1" customHeight="1">
      <s:c r="A9391" s="120" t="inlineStr"/>
      <s:c r="B9391" s="121" t="n"/>
      <s:c r="C9391" s="121" t="n"/>
      <s:c r="D9391" s="121" t="n"/>
      <s:c r="E9391" s="122" t="n"/>
    </s:row>
    <s:row r="9392" hidden="1" ht="1" customHeight="1">
      <s:c r="A9392" s="120" t="inlineStr"/>
      <s:c r="B9392" s="121" t="n"/>
      <s:c r="C9392" s="121" t="n"/>
      <s:c r="D9392" s="121" t="n"/>
      <s:c r="E9392" s="122" t="n"/>
    </s:row>
    <s:row r="9393" hidden="1" ht="1" customHeight="1">
      <s:c r="A9393" s="120" t="inlineStr"/>
      <s:c r="B9393" s="121" t="n"/>
      <s:c r="C9393" s="121" t="n"/>
      <s:c r="D9393" s="121" t="n"/>
      <s:c r="E9393" s="122" t="n"/>
    </s:row>
    <s:row r="9394" hidden="1" ht="1" customHeight="1">
      <s:c r="A9394" s="120" t="inlineStr"/>
      <s:c r="B9394" s="121" t="n"/>
      <s:c r="C9394" s="121" t="n"/>
      <s:c r="D9394" s="121" t="n"/>
      <s:c r="E9394" s="122" t="n"/>
    </s:row>
    <s:row r="9395" hidden="1" ht="1" customHeight="1">
      <s:c r="A9395" s="120" t="inlineStr"/>
      <s:c r="B9395" s="121" t="n"/>
      <s:c r="C9395" s="121" t="n"/>
      <s:c r="D9395" s="121" t="n"/>
      <s:c r="E9395" s="122" t="n"/>
    </s:row>
    <s:row r="9396" hidden="1" ht="1" customHeight="1">
      <s:c r="A9396" s="120" t="inlineStr"/>
      <s:c r="B9396" s="121" t="n"/>
      <s:c r="C9396" s="121" t="n"/>
      <s:c r="D9396" s="121" t="n"/>
      <s:c r="E9396" s="122" t="n"/>
    </s:row>
    <s:row r="9397" hidden="1" ht="1" customHeight="1">
      <s:c r="A9397" s="120" t="inlineStr"/>
      <s:c r="B9397" s="121" t="n"/>
      <s:c r="C9397" s="121" t="n"/>
      <s:c r="D9397" s="121" t="n"/>
      <s:c r="E9397" s="122" t="n"/>
    </s:row>
    <s:row r="9398" hidden="1" ht="1" customHeight="1">
      <s:c r="A9398" s="120" t="inlineStr"/>
      <s:c r="B9398" s="121" t="n"/>
      <s:c r="C9398" s="121" t="n"/>
      <s:c r="D9398" s="121" t="n"/>
      <s:c r="E9398" s="122" t="n"/>
    </s:row>
    <s:row r="9399" hidden="1" ht="1" customHeight="1">
      <s:c r="A9399" s="120" t="inlineStr"/>
      <s:c r="B9399" s="121" t="n"/>
      <s:c r="C9399" s="121" t="n"/>
      <s:c r="D9399" s="121" t="n"/>
      <s:c r="E9399" s="122" t="n"/>
    </s:row>
    <s:row r="9400" hidden="1" ht="1" customHeight="1">
      <s:c r="A9400" s="120" t="inlineStr"/>
      <s:c r="B9400" s="121" t="n"/>
      <s:c r="C9400" s="121" t="n"/>
      <s:c r="D9400" s="121" t="n"/>
      <s:c r="E9400" s="122" t="n"/>
    </s:row>
    <s:row r="9401" hidden="1" ht="1" customHeight="1">
      <s:c r="A9401" s="120" t="inlineStr"/>
      <s:c r="B9401" s="121" t="n"/>
      <s:c r="C9401" s="121" t="n"/>
      <s:c r="D9401" s="121" t="n"/>
      <s:c r="E9401" s="122" t="n"/>
    </s:row>
    <s:row r="9402" hidden="1" ht="1" customHeight="1">
      <s:c r="A9402" s="120" t="inlineStr"/>
      <s:c r="B9402" s="121" t="n"/>
      <s:c r="C9402" s="121" t="n"/>
      <s:c r="D9402" s="121" t="n"/>
      <s:c r="E9402" s="122" t="n"/>
    </s:row>
    <s:row r="9403" hidden="1" ht="1" customHeight="1">
      <s:c r="A9403" s="120" t="inlineStr"/>
      <s:c r="B9403" s="121" t="n"/>
      <s:c r="C9403" s="121" t="n"/>
      <s:c r="D9403" s="121" t="n"/>
      <s:c r="E9403" s="122" t="n"/>
    </s:row>
    <s:row r="9404" hidden="1" ht="1" customHeight="1">
      <s:c r="A9404" s="120" t="inlineStr"/>
      <s:c r="B9404" s="121" t="n"/>
      <s:c r="C9404" s="121" t="n"/>
      <s:c r="D9404" s="121" t="n"/>
      <s:c r="E9404" s="122" t="n"/>
    </s:row>
    <s:row r="9405" hidden="1" ht="1" customHeight="1">
      <s:c r="A9405" s="120" t="inlineStr"/>
      <s:c r="B9405" s="121" t="n"/>
      <s:c r="C9405" s="121" t="n"/>
      <s:c r="D9405" s="121" t="n"/>
      <s:c r="E9405" s="122" t="n"/>
    </s:row>
    <s:row r="9406" hidden="1" ht="1" customHeight="1">
      <s:c r="A9406" s="120" t="inlineStr"/>
      <s:c r="B9406" s="121" t="n"/>
      <s:c r="C9406" s="121" t="n"/>
      <s:c r="D9406" s="121" t="n"/>
      <s:c r="E9406" s="122" t="n"/>
    </s:row>
    <s:row r="9407" hidden="1" ht="1" customHeight="1">
      <s:c r="A9407" s="120" t="inlineStr"/>
      <s:c r="B9407" s="121" t="n"/>
      <s:c r="C9407" s="121" t="n"/>
      <s:c r="D9407" s="121" t="n"/>
      <s:c r="E9407" s="122" t="n"/>
    </s:row>
    <s:row r="9408" hidden="1" ht="1" customHeight="1">
      <s:c r="A9408" s="120" t="inlineStr"/>
      <s:c r="B9408" s="121" t="n"/>
      <s:c r="C9408" s="121" t="n"/>
      <s:c r="D9408" s="121" t="n"/>
      <s:c r="E9408" s="122" t="n"/>
    </s:row>
    <s:row r="9409" hidden="1" ht="1" customHeight="1">
      <s:c r="A9409" s="120" t="inlineStr"/>
      <s:c r="B9409" s="121" t="n"/>
      <s:c r="C9409" s="121" t="n"/>
      <s:c r="D9409" s="121" t="n"/>
      <s:c r="E9409" s="122" t="n"/>
    </s:row>
    <s:row r="9410" hidden="1" ht="1" customHeight="1">
      <s:c r="A9410" s="120" t="inlineStr"/>
      <s:c r="B9410" s="121" t="n"/>
      <s:c r="C9410" s="121" t="n"/>
      <s:c r="D9410" s="121" t="n"/>
      <s:c r="E9410" s="122" t="n"/>
    </s:row>
    <s:row r="9411" hidden="1" ht="1" customHeight="1">
      <s:c r="A9411" s="120" t="inlineStr"/>
      <s:c r="B9411" s="121" t="n"/>
      <s:c r="C9411" s="121" t="n"/>
      <s:c r="D9411" s="121" t="n"/>
      <s:c r="E9411" s="122" t="n"/>
    </s:row>
    <s:row r="9412" hidden="1" ht="1" customHeight="1">
      <s:c r="A9412" s="120" t="inlineStr"/>
      <s:c r="B9412" s="121" t="n"/>
      <s:c r="C9412" s="121" t="n"/>
      <s:c r="D9412" s="121" t="n"/>
      <s:c r="E9412" s="122" t="n"/>
    </s:row>
    <s:row r="9413" hidden="1" ht="1" customHeight="1">
      <s:c r="A9413" s="120" t="inlineStr"/>
      <s:c r="B9413" s="121" t="n"/>
      <s:c r="C9413" s="121" t="n"/>
      <s:c r="D9413" s="121" t="n"/>
      <s:c r="E9413" s="122" t="n"/>
    </s:row>
    <s:row r="9414" hidden="1" ht="1" customHeight="1">
      <s:c r="A9414" s="120" t="inlineStr"/>
      <s:c r="B9414" s="121" t="n"/>
      <s:c r="C9414" s="121" t="n"/>
      <s:c r="D9414" s="121" t="n"/>
      <s:c r="E9414" s="122" t="n"/>
    </s:row>
    <s:row r="9415" hidden="1" ht="1" customHeight="1">
      <s:c r="A9415" s="120" t="inlineStr"/>
      <s:c r="B9415" s="121" t="n"/>
      <s:c r="C9415" s="121" t="n"/>
      <s:c r="D9415" s="121" t="n"/>
      <s:c r="E9415" s="122" t="n"/>
    </s:row>
    <s:row r="9416" hidden="1" ht="1" customHeight="1">
      <s:c r="A9416" s="120" t="inlineStr"/>
      <s:c r="B9416" s="121" t="n"/>
      <s:c r="C9416" s="121" t="n"/>
      <s:c r="D9416" s="121" t="n"/>
      <s:c r="E9416" s="122" t="n"/>
    </s:row>
    <s:row r="9417" hidden="1" ht="1" customHeight="1">
      <s:c r="A9417" s="120" t="inlineStr"/>
      <s:c r="B9417" s="121" t="n"/>
      <s:c r="C9417" s="121" t="n"/>
      <s:c r="D9417" s="121" t="n"/>
      <s:c r="E9417" s="122" t="n"/>
    </s:row>
    <s:row r="9418" hidden="1" ht="1" customHeight="1">
      <s:c r="A9418" s="120" t="inlineStr"/>
      <s:c r="B9418" s="121" t="n"/>
      <s:c r="C9418" s="121" t="n"/>
      <s:c r="D9418" s="121" t="n"/>
      <s:c r="E9418" s="122" t="n"/>
    </s:row>
    <s:row r="9419" hidden="1" ht="1" customHeight="1">
      <s:c r="A9419" s="120" t="inlineStr"/>
      <s:c r="B9419" s="121" t="n"/>
      <s:c r="C9419" s="121" t="n"/>
      <s:c r="D9419" s="121" t="n"/>
      <s:c r="E9419" s="122" t="n"/>
    </s:row>
    <s:row r="9420" hidden="1" ht="1" customHeight="1">
      <s:c r="A9420" s="120" t="inlineStr"/>
      <s:c r="B9420" s="121" t="n"/>
      <s:c r="C9420" s="121" t="n"/>
      <s:c r="D9420" s="121" t="n"/>
      <s:c r="E9420" s="122" t="n"/>
    </s:row>
    <s:row r="9421" hidden="1" ht="1" customHeight="1">
      <s:c r="A9421" s="120" t="inlineStr"/>
      <s:c r="B9421" s="121" t="n"/>
      <s:c r="C9421" s="121" t="n"/>
      <s:c r="D9421" s="121" t="n"/>
      <s:c r="E9421" s="122" t="n"/>
    </s:row>
    <s:row r="9422" hidden="1" ht="1" customHeight="1">
      <s:c r="A9422" s="120" t="inlineStr"/>
      <s:c r="B9422" s="121" t="n"/>
      <s:c r="C9422" s="121" t="n"/>
      <s:c r="D9422" s="121" t="n"/>
      <s:c r="E9422" s="122" t="n"/>
    </s:row>
    <s:row r="9423" hidden="1" ht="1" customHeight="1">
      <s:c r="A9423" s="120" t="inlineStr"/>
      <s:c r="B9423" s="121" t="n"/>
      <s:c r="C9423" s="121" t="n"/>
      <s:c r="D9423" s="121" t="n"/>
      <s:c r="E9423" s="122" t="n"/>
    </s:row>
    <s:row r="9424" hidden="1" ht="1" customHeight="1">
      <s:c r="A9424" s="120" t="inlineStr"/>
      <s:c r="B9424" s="121" t="n"/>
      <s:c r="C9424" s="121" t="n"/>
      <s:c r="D9424" s="121" t="n"/>
      <s:c r="E9424" s="122" t="n"/>
    </s:row>
    <s:row r="9425" hidden="1" ht="1" customHeight="1">
      <s:c r="A9425" s="120" t="inlineStr"/>
      <s:c r="B9425" s="121" t="n"/>
      <s:c r="C9425" s="121" t="n"/>
      <s:c r="D9425" s="121" t="n"/>
      <s:c r="E9425" s="122" t="n"/>
    </s:row>
    <s:row r="9426" hidden="1" ht="1" customHeight="1">
      <s:c r="A9426" s="120" t="inlineStr"/>
      <s:c r="B9426" s="121" t="n"/>
      <s:c r="C9426" s="121" t="n"/>
      <s:c r="D9426" s="121" t="n"/>
      <s:c r="E9426" s="122" t="n"/>
    </s:row>
    <s:row r="9427" hidden="1" ht="1" customHeight="1">
      <s:c r="A9427" s="120" t="inlineStr"/>
      <s:c r="B9427" s="121" t="n"/>
      <s:c r="C9427" s="121" t="n"/>
      <s:c r="D9427" s="121" t="n"/>
      <s:c r="E9427" s="122" t="n"/>
    </s:row>
    <s:row r="9428" hidden="1" ht="1" customHeight="1">
      <s:c r="A9428" s="120" t="inlineStr"/>
      <s:c r="B9428" s="121" t="n"/>
      <s:c r="C9428" s="121" t="n"/>
      <s:c r="D9428" s="121" t="n"/>
      <s:c r="E9428" s="122" t="n"/>
    </s:row>
    <s:row r="9429" hidden="1" ht="1" customHeight="1">
      <s:c r="A9429" s="120" t="inlineStr"/>
      <s:c r="B9429" s="121" t="n"/>
      <s:c r="C9429" s="121" t="n"/>
      <s:c r="D9429" s="121" t="n"/>
      <s:c r="E9429" s="122" t="n"/>
    </s:row>
    <s:row r="9430" hidden="1" ht="1" customHeight="1">
      <s:c r="A9430" s="120" t="inlineStr"/>
      <s:c r="B9430" s="121" t="n"/>
      <s:c r="C9430" s="121" t="n"/>
      <s:c r="D9430" s="121" t="n"/>
      <s:c r="E9430" s="122" t="n"/>
    </s:row>
    <s:row r="9431" hidden="1" ht="1" customHeight="1">
      <s:c r="A9431" s="120" t="inlineStr"/>
      <s:c r="B9431" s="121" t="n"/>
      <s:c r="C9431" s="121" t="n"/>
      <s:c r="D9431" s="121" t="n"/>
      <s:c r="E9431" s="122" t="n"/>
    </s:row>
    <s:row r="9432" hidden="1" ht="1" customHeight="1">
      <s:c r="A9432" s="120" t="inlineStr"/>
      <s:c r="B9432" s="121" t="n"/>
      <s:c r="C9432" s="121" t="n"/>
      <s:c r="D9432" s="121" t="n"/>
      <s:c r="E9432" s="122" t="n"/>
    </s:row>
    <s:row r="9433" hidden="1" ht="1" customHeight="1">
      <s:c r="A9433" s="120" t="inlineStr"/>
      <s:c r="B9433" s="121" t="n"/>
      <s:c r="C9433" s="121" t="n"/>
      <s:c r="D9433" s="121" t="n"/>
      <s:c r="E9433" s="122" t="n"/>
    </s:row>
    <s:row r="9434" hidden="1" ht="1" customHeight="1">
      <s:c r="A9434" s="120" t="inlineStr"/>
      <s:c r="B9434" s="121" t="n"/>
      <s:c r="C9434" s="121" t="n"/>
      <s:c r="D9434" s="121" t="n"/>
      <s:c r="E9434" s="122" t="n"/>
    </s:row>
    <s:row r="9435" hidden="1" ht="1" customHeight="1">
      <s:c r="A9435" s="120" t="inlineStr"/>
      <s:c r="B9435" s="121" t="n"/>
      <s:c r="C9435" s="121" t="n"/>
      <s:c r="D9435" s="121" t="n"/>
      <s:c r="E9435" s="122" t="n"/>
    </s:row>
    <s:row r="9436" hidden="1" ht="1" customHeight="1">
      <s:c r="A9436" s="120" t="inlineStr"/>
      <s:c r="B9436" s="121" t="n"/>
      <s:c r="C9436" s="121" t="n"/>
      <s:c r="D9436" s="121" t="n"/>
      <s:c r="E9436" s="122" t="n"/>
    </s:row>
    <s:row r="9437" hidden="1" ht="1" customHeight="1">
      <s:c r="A9437" s="120" t="inlineStr"/>
      <s:c r="B9437" s="121" t="n"/>
      <s:c r="C9437" s="121" t="n"/>
      <s:c r="D9437" s="121" t="n"/>
      <s:c r="E9437" s="122" t="n"/>
    </s:row>
    <s:row r="9438" hidden="1" ht="1" customHeight="1">
      <s:c r="A9438" s="120" t="inlineStr"/>
      <s:c r="B9438" s="121" t="n"/>
      <s:c r="C9438" s="121" t="n"/>
      <s:c r="D9438" s="121" t="n"/>
      <s:c r="E9438" s="122" t="n"/>
    </s:row>
    <s:row r="9439" hidden="1" ht="1" customHeight="1">
      <s:c r="A9439" s="120" t="inlineStr"/>
      <s:c r="B9439" s="121" t="n"/>
      <s:c r="C9439" s="121" t="n"/>
      <s:c r="D9439" s="121" t="n"/>
      <s:c r="E9439" s="122" t="n"/>
    </s:row>
    <s:row r="9440" hidden="1" ht="1" customHeight="1">
      <s:c r="A9440" s="120" t="inlineStr"/>
      <s:c r="B9440" s="121" t="n"/>
      <s:c r="C9440" s="121" t="n"/>
      <s:c r="D9440" s="121" t="n"/>
      <s:c r="E9440" s="122" t="n"/>
    </s:row>
    <s:row r="9441" hidden="1" ht="1" customHeight="1">
      <s:c r="A9441" s="120" t="inlineStr"/>
      <s:c r="B9441" s="121" t="n"/>
      <s:c r="C9441" s="121" t="n"/>
      <s:c r="D9441" s="121" t="n"/>
      <s:c r="E9441" s="122" t="n"/>
    </s:row>
    <s:row r="9442" hidden="1" ht="1" customHeight="1">
      <s:c r="A9442" s="120" t="inlineStr"/>
      <s:c r="B9442" s="121" t="n"/>
      <s:c r="C9442" s="121" t="n"/>
      <s:c r="D9442" s="121" t="n"/>
      <s:c r="E9442" s="122" t="n"/>
    </s:row>
    <s:row r="9443" hidden="1" ht="1" customHeight="1">
      <s:c r="A9443" s="120" t="inlineStr"/>
      <s:c r="B9443" s="121" t="n"/>
      <s:c r="C9443" s="121" t="n"/>
      <s:c r="D9443" s="121" t="n"/>
      <s:c r="E9443" s="122" t="n"/>
    </s:row>
    <s:row r="9444" hidden="1" ht="1" customHeight="1">
      <s:c r="A9444" s="120" t="inlineStr"/>
      <s:c r="B9444" s="121" t="n"/>
      <s:c r="C9444" s="121" t="n"/>
      <s:c r="D9444" s="121" t="n"/>
      <s:c r="E9444" s="122" t="n"/>
    </s:row>
    <s:row r="9445" hidden="1" ht="1" customHeight="1">
      <s:c r="A9445" s="120" t="inlineStr"/>
      <s:c r="B9445" s="121" t="n"/>
      <s:c r="C9445" s="121" t="n"/>
      <s:c r="D9445" s="121" t="n"/>
      <s:c r="E9445" s="122" t="n"/>
    </s:row>
    <s:row r="9446" hidden="1" ht="1" customHeight="1">
      <s:c r="A9446" s="120" t="inlineStr"/>
      <s:c r="B9446" s="121" t="n"/>
      <s:c r="C9446" s="121" t="n"/>
      <s:c r="D9446" s="121" t="n"/>
      <s:c r="E9446" s="122" t="n"/>
    </s:row>
    <s:row r="9447" hidden="1" ht="1" customHeight="1">
      <s:c r="A9447" s="120" t="inlineStr"/>
      <s:c r="B9447" s="121" t="n"/>
      <s:c r="C9447" s="121" t="n"/>
      <s:c r="D9447" s="121" t="n"/>
      <s:c r="E9447" s="122" t="n"/>
    </s:row>
    <s:row r="9448" hidden="1" ht="1" customHeight="1">
      <s:c r="A9448" s="120" t="inlineStr"/>
      <s:c r="B9448" s="121" t="n"/>
      <s:c r="C9448" s="121" t="n"/>
      <s:c r="D9448" s="121" t="n"/>
      <s:c r="E9448" s="122" t="n"/>
    </s:row>
    <s:row r="9449" hidden="1" ht="1" customHeight="1">
      <s:c r="A9449" s="120" t="inlineStr"/>
      <s:c r="B9449" s="121" t="n"/>
      <s:c r="C9449" s="121" t="n"/>
      <s:c r="D9449" s="121" t="n"/>
      <s:c r="E9449" s="122" t="n"/>
    </s:row>
    <s:row r="9450" hidden="1" ht="1" customHeight="1">
      <s:c r="A9450" s="120" t="inlineStr"/>
      <s:c r="B9450" s="121" t="n"/>
      <s:c r="C9450" s="121" t="n"/>
      <s:c r="D9450" s="121" t="n"/>
      <s:c r="E9450" s="122" t="n"/>
    </s:row>
    <s:row r="9451" hidden="1" ht="1" customHeight="1">
      <s:c r="A9451" s="120" t="inlineStr"/>
      <s:c r="B9451" s="121" t="n"/>
      <s:c r="C9451" s="121" t="n"/>
      <s:c r="D9451" s="121" t="n"/>
      <s:c r="E9451" s="122" t="n"/>
    </s:row>
    <s:row r="9452" hidden="1" ht="1" customHeight="1">
      <s:c r="A9452" s="120" t="inlineStr"/>
      <s:c r="B9452" s="121" t="n"/>
      <s:c r="C9452" s="121" t="n"/>
      <s:c r="D9452" s="121" t="n"/>
      <s:c r="E9452" s="122" t="n"/>
    </s:row>
    <s:row r="9453" hidden="1" ht="1" customHeight="1">
      <s:c r="A9453" s="120" t="inlineStr"/>
      <s:c r="B9453" s="121" t="n"/>
      <s:c r="C9453" s="121" t="n"/>
      <s:c r="D9453" s="121" t="n"/>
      <s:c r="E9453" s="122" t="n"/>
    </s:row>
    <s:row r="9454" hidden="1" ht="1" customHeight="1">
      <s:c r="A9454" s="120" t="inlineStr"/>
      <s:c r="B9454" s="121" t="n"/>
      <s:c r="C9454" s="121" t="n"/>
      <s:c r="D9454" s="121" t="n"/>
      <s:c r="E9454" s="122" t="n"/>
    </s:row>
    <s:row r="9455" hidden="1" ht="1" customHeight="1">
      <s:c r="A9455" s="120" t="inlineStr"/>
      <s:c r="B9455" s="121" t="n"/>
      <s:c r="C9455" s="121" t="n"/>
      <s:c r="D9455" s="121" t="n"/>
      <s:c r="E9455" s="122" t="n"/>
    </s:row>
    <s:row r="9456" hidden="1" ht="1" customHeight="1">
      <s:c r="A9456" s="120" t="inlineStr"/>
      <s:c r="B9456" s="121" t="n"/>
      <s:c r="C9456" s="121" t="n"/>
      <s:c r="D9456" s="121" t="n"/>
      <s:c r="E9456" s="122" t="n"/>
    </s:row>
    <s:row r="9457" hidden="1" ht="1" customHeight="1">
      <s:c r="A9457" s="120" t="inlineStr"/>
      <s:c r="B9457" s="121" t="n"/>
      <s:c r="C9457" s="121" t="n"/>
      <s:c r="D9457" s="121" t="n"/>
      <s:c r="E9457" s="122" t="n"/>
    </s:row>
    <s:row r="9458" hidden="1" ht="1" customHeight="1">
      <s:c r="A9458" s="120" t="inlineStr"/>
      <s:c r="B9458" s="121" t="n"/>
      <s:c r="C9458" s="121" t="n"/>
      <s:c r="D9458" s="121" t="n"/>
      <s:c r="E9458" s="122" t="n"/>
    </s:row>
    <s:row r="9459" hidden="1" ht="1" customHeight="1">
      <s:c r="A9459" s="120" t="inlineStr"/>
      <s:c r="B9459" s="121" t="n"/>
      <s:c r="C9459" s="121" t="n"/>
      <s:c r="D9459" s="121" t="n"/>
      <s:c r="E9459" s="122" t="n"/>
    </s:row>
    <s:row r="9460" hidden="1" ht="1" customHeight="1">
      <s:c r="A9460" s="120" t="inlineStr"/>
      <s:c r="B9460" s="121" t="n"/>
      <s:c r="C9460" s="121" t="n"/>
      <s:c r="D9460" s="121" t="n"/>
      <s:c r="E9460" s="122" t="n"/>
    </s:row>
    <s:row r="9461" hidden="1" ht="1" customHeight="1">
      <s:c r="A9461" s="120" t="inlineStr"/>
      <s:c r="B9461" s="121" t="n"/>
      <s:c r="C9461" s="121" t="n"/>
      <s:c r="D9461" s="121" t="n"/>
      <s:c r="E9461" s="122" t="n"/>
    </s:row>
    <s:row r="9462" hidden="1" ht="1" customHeight="1">
      <s:c r="A9462" s="120" t="inlineStr"/>
      <s:c r="B9462" s="121" t="n"/>
      <s:c r="C9462" s="121" t="n"/>
      <s:c r="D9462" s="121" t="n"/>
      <s:c r="E9462" s="122" t="n"/>
    </s:row>
    <s:row r="9463" hidden="1" ht="1" customHeight="1">
      <s:c r="A9463" s="120" t="inlineStr"/>
      <s:c r="B9463" s="121" t="n"/>
      <s:c r="C9463" s="121" t="n"/>
      <s:c r="D9463" s="121" t="n"/>
      <s:c r="E9463" s="122" t="n"/>
    </s:row>
    <s:row r="9464" hidden="1" ht="1" customHeight="1">
      <s:c r="A9464" s="120" t="inlineStr"/>
      <s:c r="B9464" s="121" t="n"/>
      <s:c r="C9464" s="121" t="n"/>
      <s:c r="D9464" s="121" t="n"/>
      <s:c r="E9464" s="122" t="n"/>
    </s:row>
    <s:row r="9465" hidden="1" ht="1" customHeight="1">
      <s:c r="A9465" s="120" t="inlineStr"/>
      <s:c r="B9465" s="121" t="n"/>
      <s:c r="C9465" s="121" t="n"/>
      <s:c r="D9465" s="121" t="n"/>
      <s:c r="E9465" s="122" t="n"/>
    </s:row>
    <s:row r="9466" hidden="1" ht="1" customHeight="1">
      <s:c r="A9466" s="120" t="inlineStr"/>
      <s:c r="B9466" s="121" t="n"/>
      <s:c r="C9466" s="121" t="n"/>
      <s:c r="D9466" s="121" t="n"/>
      <s:c r="E9466" s="122" t="n"/>
    </s:row>
    <s:row r="9467" hidden="1" ht="1" customHeight="1">
      <s:c r="A9467" s="120" t="inlineStr"/>
      <s:c r="B9467" s="121" t="n"/>
      <s:c r="C9467" s="121" t="n"/>
      <s:c r="D9467" s="121" t="n"/>
      <s:c r="E9467" s="122" t="n"/>
    </s:row>
    <s:row r="9468" hidden="1" ht="1" customHeight="1">
      <s:c r="A9468" s="120" t="inlineStr"/>
      <s:c r="B9468" s="121" t="n"/>
      <s:c r="C9468" s="121" t="n"/>
      <s:c r="D9468" s="121" t="n"/>
      <s:c r="E9468" s="122" t="n"/>
    </s:row>
    <s:row r="9469" hidden="1" ht="1" customHeight="1">
      <s:c r="A9469" s="120" t="inlineStr"/>
      <s:c r="B9469" s="121" t="n"/>
      <s:c r="C9469" s="121" t="n"/>
      <s:c r="D9469" s="121" t="n"/>
      <s:c r="E9469" s="122" t="n"/>
    </s:row>
    <s:row r="9470" hidden="1" ht="1" customHeight="1">
      <s:c r="A9470" s="120" t="inlineStr"/>
      <s:c r="B9470" s="121" t="n"/>
      <s:c r="C9470" s="121" t="n"/>
      <s:c r="D9470" s="121" t="n"/>
      <s:c r="E9470" s="122" t="n"/>
    </s:row>
    <s:row r="9471" hidden="1" ht="1" customHeight="1">
      <s:c r="A9471" s="120" t="inlineStr"/>
      <s:c r="B9471" s="121" t="n"/>
      <s:c r="C9471" s="121" t="n"/>
      <s:c r="D9471" s="121" t="n"/>
      <s:c r="E9471" s="122" t="n"/>
    </s:row>
    <s:row r="9472" hidden="1" ht="1" customHeight="1">
      <s:c r="A9472" s="120" t="inlineStr"/>
      <s:c r="B9472" s="121" t="n"/>
      <s:c r="C9472" s="121" t="n"/>
      <s:c r="D9472" s="121" t="n"/>
      <s:c r="E9472" s="122" t="n"/>
    </s:row>
    <s:row r="9473" hidden="1" ht="1" customHeight="1">
      <s:c r="A9473" s="120" t="inlineStr"/>
      <s:c r="B9473" s="121" t="n"/>
      <s:c r="C9473" s="121" t="n"/>
      <s:c r="D9473" s="121" t="n"/>
      <s:c r="E9473" s="122" t="n"/>
    </s:row>
    <s:row r="9474" hidden="1" ht="1" customHeight="1">
      <s:c r="A9474" s="120" t="inlineStr"/>
      <s:c r="B9474" s="121" t="n"/>
      <s:c r="C9474" s="121" t="n"/>
      <s:c r="D9474" s="121" t="n"/>
      <s:c r="E9474" s="122" t="n"/>
    </s:row>
    <s:row r="9475" hidden="1" ht="1" customHeight="1">
      <s:c r="A9475" s="120" t="inlineStr"/>
      <s:c r="B9475" s="121" t="n"/>
      <s:c r="C9475" s="121" t="n"/>
      <s:c r="D9475" s="121" t="n"/>
      <s:c r="E9475" s="122" t="n"/>
    </s:row>
    <s:row r="9476" hidden="1" ht="1" customHeight="1">
      <s:c r="A9476" s="120" t="inlineStr"/>
      <s:c r="B9476" s="121" t="n"/>
      <s:c r="C9476" s="121" t="n"/>
      <s:c r="D9476" s="121" t="n"/>
      <s:c r="E9476" s="122" t="n"/>
    </s:row>
    <s:row r="9477" hidden="1" ht="1" customHeight="1">
      <s:c r="A9477" s="120" t="inlineStr"/>
      <s:c r="B9477" s="121" t="n"/>
      <s:c r="C9477" s="121" t="n"/>
      <s:c r="D9477" s="121" t="n"/>
      <s:c r="E9477" s="122" t="n"/>
    </s:row>
    <s:row r="9478" hidden="1" ht="1" customHeight="1">
      <s:c r="A9478" s="120" t="inlineStr"/>
      <s:c r="B9478" s="121" t="n"/>
      <s:c r="C9478" s="121" t="n"/>
      <s:c r="D9478" s="121" t="n"/>
      <s:c r="E9478" s="122" t="n"/>
    </s:row>
    <s:row r="9479" hidden="1" ht="1" customHeight="1">
      <s:c r="A9479" s="120" t="inlineStr"/>
      <s:c r="B9479" s="121" t="n"/>
      <s:c r="C9479" s="121" t="n"/>
      <s:c r="D9479" s="121" t="n"/>
      <s:c r="E9479" s="122" t="n"/>
    </s:row>
    <s:row r="9480" hidden="1" ht="1" customHeight="1">
      <s:c r="A9480" s="120" t="inlineStr"/>
      <s:c r="B9480" s="121" t="n"/>
      <s:c r="C9480" s="121" t="n"/>
      <s:c r="D9480" s="121" t="n"/>
      <s:c r="E9480" s="122" t="n"/>
    </s:row>
    <s:row r="9481" hidden="1" ht="1" customHeight="1">
      <s:c r="A9481" s="120" t="inlineStr"/>
      <s:c r="B9481" s="121" t="n"/>
      <s:c r="C9481" s="121" t="n"/>
      <s:c r="D9481" s="121" t="n"/>
      <s:c r="E9481" s="122" t="n"/>
    </s:row>
    <s:row r="9482" hidden="1" ht="1" customHeight="1">
      <s:c r="A9482" s="120" t="inlineStr"/>
      <s:c r="B9482" s="121" t="n"/>
      <s:c r="C9482" s="121" t="n"/>
      <s:c r="D9482" s="121" t="n"/>
      <s:c r="E9482" s="122" t="n"/>
    </s:row>
    <s:row r="9483" hidden="1" ht="1" customHeight="1">
      <s:c r="A9483" s="120" t="inlineStr"/>
      <s:c r="B9483" s="121" t="n"/>
      <s:c r="C9483" s="121" t="n"/>
      <s:c r="D9483" s="121" t="n"/>
      <s:c r="E9483" s="122" t="n"/>
    </s:row>
    <s:row r="9484" hidden="1" ht="1" customHeight="1">
      <s:c r="A9484" s="120" t="inlineStr"/>
      <s:c r="B9484" s="121" t="n"/>
      <s:c r="C9484" s="121" t="n"/>
      <s:c r="D9484" s="121" t="n"/>
      <s:c r="E9484" s="122" t="n"/>
    </s:row>
    <s:row r="9485" hidden="1" ht="1" customHeight="1">
      <s:c r="A9485" s="120" t="inlineStr"/>
      <s:c r="B9485" s="121" t="n"/>
      <s:c r="C9485" s="121" t="n"/>
      <s:c r="D9485" s="121" t="n"/>
      <s:c r="E9485" s="122" t="n"/>
    </s:row>
    <s:row r="9486" hidden="1" ht="1" customHeight="1">
      <s:c r="A9486" s="120" t="inlineStr"/>
      <s:c r="B9486" s="121" t="n"/>
      <s:c r="C9486" s="121" t="n"/>
      <s:c r="D9486" s="121" t="n"/>
      <s:c r="E9486" s="122" t="n"/>
    </s:row>
    <s:row r="9487" hidden="1" ht="1" customHeight="1">
      <s:c r="A9487" s="120" t="inlineStr"/>
      <s:c r="B9487" s="121" t="n"/>
      <s:c r="C9487" s="121" t="n"/>
      <s:c r="D9487" s="121" t="n"/>
      <s:c r="E9487" s="122" t="n"/>
    </s:row>
    <s:row r="9488" hidden="1" ht="1" customHeight="1">
      <s:c r="A9488" s="120" t="inlineStr"/>
      <s:c r="B9488" s="121" t="n"/>
      <s:c r="C9488" s="121" t="n"/>
      <s:c r="D9488" s="121" t="n"/>
      <s:c r="E9488" s="122" t="n"/>
    </s:row>
    <s:row r="9489" hidden="1" ht="1" customHeight="1">
      <s:c r="A9489" s="120" t="inlineStr"/>
      <s:c r="B9489" s="121" t="n"/>
      <s:c r="C9489" s="121" t="n"/>
      <s:c r="D9489" s="121" t="n"/>
      <s:c r="E9489" s="122" t="n"/>
    </s:row>
    <s:row r="9490" hidden="1" ht="1" customHeight="1">
      <s:c r="A9490" s="120" t="inlineStr"/>
      <s:c r="B9490" s="121" t="n"/>
      <s:c r="C9490" s="121" t="n"/>
      <s:c r="D9490" s="121" t="n"/>
      <s:c r="E9490" s="122" t="n"/>
    </s:row>
    <s:row r="9491" hidden="1" ht="1" customHeight="1">
      <s:c r="A9491" s="120" t="inlineStr"/>
      <s:c r="B9491" s="121" t="n"/>
      <s:c r="C9491" s="121" t="n"/>
      <s:c r="D9491" s="121" t="n"/>
      <s:c r="E9491" s="122" t="n"/>
    </s:row>
    <s:row r="9492" hidden="1" ht="1" customHeight="1">
      <s:c r="A9492" s="120" t="inlineStr"/>
      <s:c r="B9492" s="121" t="n"/>
      <s:c r="C9492" s="121" t="n"/>
      <s:c r="D9492" s="121" t="n"/>
      <s:c r="E9492" s="122" t="n"/>
    </s:row>
    <s:row r="9493" hidden="1" ht="1" customHeight="1">
      <s:c r="A9493" s="120" t="inlineStr"/>
      <s:c r="B9493" s="121" t="n"/>
      <s:c r="C9493" s="121" t="n"/>
      <s:c r="D9493" s="121" t="n"/>
      <s:c r="E9493" s="122" t="n"/>
    </s:row>
    <s:row r="9494" hidden="1" ht="1" customHeight="1">
      <s:c r="A9494" s="120" t="inlineStr"/>
      <s:c r="B9494" s="121" t="n"/>
      <s:c r="C9494" s="121" t="n"/>
      <s:c r="D9494" s="121" t="n"/>
      <s:c r="E9494" s="122" t="n"/>
    </s:row>
    <s:row r="9495" hidden="1" ht="1" customHeight="1">
      <s:c r="A9495" s="120" t="inlineStr"/>
      <s:c r="B9495" s="121" t="n"/>
      <s:c r="C9495" s="121" t="n"/>
      <s:c r="D9495" s="121" t="n"/>
      <s:c r="E9495" s="122" t="n"/>
    </s:row>
    <s:row r="9496" hidden="1" ht="1" customHeight="1">
      <s:c r="A9496" s="120" t="inlineStr"/>
      <s:c r="B9496" s="121" t="n"/>
      <s:c r="C9496" s="121" t="n"/>
      <s:c r="D9496" s="121" t="n"/>
      <s:c r="E9496" s="122" t="n"/>
    </s:row>
    <s:row r="9497" hidden="1" ht="1" customHeight="1">
      <s:c r="A9497" s="120" t="inlineStr"/>
      <s:c r="B9497" s="121" t="n"/>
      <s:c r="C9497" s="121" t="n"/>
      <s:c r="D9497" s="121" t="n"/>
      <s:c r="E9497" s="122" t="n"/>
    </s:row>
    <s:row r="9498" hidden="1" ht="1" customHeight="1">
      <s:c r="A9498" s="120" t="inlineStr"/>
      <s:c r="B9498" s="121" t="n"/>
      <s:c r="C9498" s="121" t="n"/>
      <s:c r="D9498" s="121" t="n"/>
      <s:c r="E9498" s="122" t="n"/>
    </s:row>
    <s:row r="9499" hidden="1" ht="1" customHeight="1">
      <s:c r="A9499" s="120" t="inlineStr"/>
      <s:c r="B9499" s="121" t="n"/>
      <s:c r="C9499" s="121" t="n"/>
      <s:c r="D9499" s="121" t="n"/>
      <s:c r="E9499" s="122" t="n"/>
    </s:row>
    <s:row r="9500" hidden="1" ht="1" customHeight="1">
      <s:c r="A9500" s="120" t="inlineStr"/>
      <s:c r="B9500" s="121" t="n"/>
      <s:c r="C9500" s="121" t="n"/>
      <s:c r="D9500" s="121" t="n"/>
      <s:c r="E9500" s="122" t="n"/>
    </s:row>
    <s:row r="9501" hidden="1" ht="1" customHeight="1">
      <s:c r="A9501" s="120" t="inlineStr"/>
      <s:c r="B9501" s="121" t="n"/>
      <s:c r="C9501" s="121" t="n"/>
      <s:c r="D9501" s="121" t="n"/>
      <s:c r="E9501" s="122" t="n"/>
    </s:row>
    <s:row r="9502" hidden="1" ht="1" customHeight="1">
      <s:c r="A9502" s="120" t="inlineStr"/>
      <s:c r="B9502" s="121" t="n"/>
      <s:c r="C9502" s="121" t="n"/>
      <s:c r="D9502" s="121" t="n"/>
      <s:c r="E9502" s="122" t="n"/>
    </s:row>
    <s:row r="9503" hidden="1" ht="1" customHeight="1">
      <s:c r="A9503" s="120" t="inlineStr"/>
      <s:c r="B9503" s="121" t="n"/>
      <s:c r="C9503" s="121" t="n"/>
      <s:c r="D9503" s="121" t="n"/>
      <s:c r="E9503" s="122" t="n"/>
    </s:row>
    <s:row r="9504" hidden="1" ht="1" customHeight="1">
      <s:c r="A9504" s="120" t="inlineStr"/>
      <s:c r="B9504" s="121" t="n"/>
      <s:c r="C9504" s="121" t="n"/>
      <s:c r="D9504" s="121" t="n"/>
      <s:c r="E9504" s="122" t="n"/>
    </s:row>
    <s:row r="9505" hidden="1" ht="1" customHeight="1">
      <s:c r="A9505" s="120" t="inlineStr"/>
      <s:c r="B9505" s="121" t="n"/>
      <s:c r="C9505" s="121" t="n"/>
      <s:c r="D9505" s="121" t="n"/>
      <s:c r="E9505" s="122" t="n"/>
    </s:row>
    <s:row r="9506" hidden="1" ht="1" customHeight="1">
      <s:c r="A9506" s="120" t="inlineStr"/>
      <s:c r="B9506" s="121" t="n"/>
      <s:c r="C9506" s="121" t="n"/>
      <s:c r="D9506" s="121" t="n"/>
      <s:c r="E9506" s="122" t="n"/>
    </s:row>
    <s:row r="9507" hidden="1" ht="1" customHeight="1">
      <s:c r="A9507" s="120" t="inlineStr"/>
      <s:c r="B9507" s="121" t="n"/>
      <s:c r="C9507" s="121" t="n"/>
      <s:c r="D9507" s="121" t="n"/>
      <s:c r="E9507" s="122" t="n"/>
    </s:row>
    <s:row r="9508" hidden="1" ht="1" customHeight="1">
      <s:c r="A9508" s="120" t="inlineStr"/>
      <s:c r="B9508" s="121" t="n"/>
      <s:c r="C9508" s="121" t="n"/>
      <s:c r="D9508" s="121" t="n"/>
      <s:c r="E9508" s="122" t="n"/>
    </s:row>
    <s:row r="9509" hidden="1" ht="1" customHeight="1">
      <s:c r="A9509" s="120" t="inlineStr"/>
      <s:c r="B9509" s="121" t="n"/>
      <s:c r="C9509" s="121" t="n"/>
      <s:c r="D9509" s="121" t="n"/>
      <s:c r="E9509" s="122" t="n"/>
    </s:row>
    <s:row r="9510" hidden="1" ht="1" customHeight="1">
      <s:c r="A9510" s="120" t="inlineStr"/>
      <s:c r="B9510" s="121" t="n"/>
      <s:c r="C9510" s="121" t="n"/>
      <s:c r="D9510" s="121" t="n"/>
      <s:c r="E9510" s="122" t="n"/>
    </s:row>
    <s:row r="9511" hidden="1" ht="1" customHeight="1">
      <s:c r="A9511" s="120" t="inlineStr"/>
      <s:c r="B9511" s="121" t="n"/>
      <s:c r="C9511" s="121" t="n"/>
      <s:c r="D9511" s="121" t="n"/>
      <s:c r="E9511" s="122" t="n"/>
    </s:row>
    <s:row r="9512" hidden="1" ht="1" customHeight="1">
      <s:c r="A9512" s="120" t="inlineStr"/>
      <s:c r="B9512" s="121" t="n"/>
      <s:c r="C9512" s="121" t="n"/>
      <s:c r="D9512" s="121" t="n"/>
      <s:c r="E9512" s="122" t="n"/>
    </s:row>
    <s:row r="9513" hidden="1" ht="1" customHeight="1">
      <s:c r="A9513" s="120" t="inlineStr"/>
      <s:c r="B9513" s="121" t="n"/>
      <s:c r="C9513" s="121" t="n"/>
      <s:c r="D9513" s="121" t="n"/>
      <s:c r="E9513" s="122" t="n"/>
    </s:row>
    <s:row r="9514" hidden="1" ht="1" customHeight="1">
      <s:c r="A9514" s="120" t="inlineStr"/>
      <s:c r="B9514" s="121" t="n"/>
      <s:c r="C9514" s="121" t="n"/>
      <s:c r="D9514" s="121" t="n"/>
      <s:c r="E9514" s="122" t="n"/>
    </s:row>
    <s:row r="9515" hidden="1" ht="1" customHeight="1">
      <s:c r="A9515" s="120" t="inlineStr"/>
      <s:c r="B9515" s="121" t="n"/>
      <s:c r="C9515" s="121" t="n"/>
      <s:c r="D9515" s="121" t="n"/>
      <s:c r="E9515" s="122" t="n"/>
    </s:row>
    <s:row r="9516" hidden="1" ht="1" customHeight="1">
      <s:c r="A9516" s="120" t="inlineStr"/>
      <s:c r="B9516" s="121" t="n"/>
      <s:c r="C9516" s="121" t="n"/>
      <s:c r="D9516" s="121" t="n"/>
      <s:c r="E9516" s="122" t="n"/>
    </s:row>
    <s:row r="9517" hidden="1" ht="1" customHeight="1">
      <s:c r="A9517" s="120" t="inlineStr"/>
      <s:c r="B9517" s="121" t="n"/>
      <s:c r="C9517" s="121" t="n"/>
      <s:c r="D9517" s="121" t="n"/>
      <s:c r="E9517" s="122" t="n"/>
    </s:row>
    <s:row r="9518" hidden="1" ht="1" customHeight="1">
      <s:c r="A9518" s="120" t="inlineStr"/>
      <s:c r="B9518" s="121" t="n"/>
      <s:c r="C9518" s="121" t="n"/>
      <s:c r="D9518" s="121" t="n"/>
      <s:c r="E9518" s="122" t="n"/>
    </s:row>
    <s:row r="9519" hidden="1" ht="1" customHeight="1">
      <s:c r="A9519" s="120" t="inlineStr"/>
      <s:c r="B9519" s="121" t="n"/>
      <s:c r="C9519" s="121" t="n"/>
      <s:c r="D9519" s="121" t="n"/>
      <s:c r="E9519" s="122" t="n"/>
    </s:row>
    <s:row r="9520" hidden="1" ht="1" customHeight="1">
      <s:c r="A9520" s="120" t="inlineStr"/>
      <s:c r="B9520" s="121" t="n"/>
      <s:c r="C9520" s="121" t="n"/>
      <s:c r="D9520" s="121" t="n"/>
      <s:c r="E9520" s="122" t="n"/>
    </s:row>
    <s:row r="9521" hidden="1" ht="1" customHeight="1">
      <s:c r="A9521" s="120" t="inlineStr"/>
      <s:c r="B9521" s="121" t="n"/>
      <s:c r="C9521" s="121" t="n"/>
      <s:c r="D9521" s="121" t="n"/>
      <s:c r="E9521" s="122" t="n"/>
    </s:row>
    <s:row r="9522" hidden="1" ht="1" customHeight="1">
      <s:c r="A9522" s="120" t="inlineStr"/>
      <s:c r="B9522" s="121" t="n"/>
      <s:c r="C9522" s="121" t="n"/>
      <s:c r="D9522" s="121" t="n"/>
      <s:c r="E9522" s="122" t="n"/>
    </s:row>
    <s:row r="9523" hidden="1" ht="1" customHeight="1">
      <s:c r="A9523" s="120" t="inlineStr"/>
      <s:c r="B9523" s="121" t="n"/>
      <s:c r="C9523" s="121" t="n"/>
      <s:c r="D9523" s="121" t="n"/>
      <s:c r="E9523" s="122" t="n"/>
    </s:row>
    <s:row r="9524" hidden="1" ht="1" customHeight="1">
      <s:c r="A9524" s="120" t="inlineStr"/>
      <s:c r="B9524" s="121" t="n"/>
      <s:c r="C9524" s="121" t="n"/>
      <s:c r="D9524" s="121" t="n"/>
      <s:c r="E9524" s="122" t="n"/>
    </s:row>
    <s:row r="9525" hidden="1" ht="1" customHeight="1">
      <s:c r="A9525" s="120" t="inlineStr"/>
      <s:c r="B9525" s="121" t="n"/>
      <s:c r="C9525" s="121" t="n"/>
      <s:c r="D9525" s="121" t="n"/>
      <s:c r="E9525" s="122" t="n"/>
    </s:row>
    <s:row r="9526" hidden="1" ht="1" customHeight="1">
      <s:c r="A9526" s="120" t="inlineStr"/>
      <s:c r="B9526" s="121" t="n"/>
      <s:c r="C9526" s="121" t="n"/>
      <s:c r="D9526" s="121" t="n"/>
      <s:c r="E9526" s="122" t="n"/>
    </s:row>
    <s:row r="9527" hidden="1" ht="1" customHeight="1">
      <s:c r="A9527" s="120" t="inlineStr"/>
      <s:c r="B9527" s="121" t="n"/>
      <s:c r="C9527" s="121" t="n"/>
      <s:c r="D9527" s="121" t="n"/>
      <s:c r="E9527" s="122" t="n"/>
    </s:row>
    <s:row r="9528" hidden="1" ht="1" customHeight="1">
      <s:c r="A9528" s="120" t="inlineStr"/>
      <s:c r="B9528" s="121" t="n"/>
      <s:c r="C9528" s="121" t="n"/>
      <s:c r="D9528" s="121" t="n"/>
      <s:c r="E9528" s="122" t="n"/>
    </s:row>
    <s:row r="9529" hidden="1" ht="1" customHeight="1">
      <s:c r="A9529" s="120" t="inlineStr"/>
      <s:c r="B9529" s="121" t="n"/>
      <s:c r="C9529" s="121" t="n"/>
      <s:c r="D9529" s="121" t="n"/>
      <s:c r="E9529" s="122" t="n"/>
    </s:row>
    <s:row r="9530" hidden="1" ht="1" customHeight="1">
      <s:c r="A9530" s="120" t="inlineStr"/>
      <s:c r="B9530" s="121" t="n"/>
      <s:c r="C9530" s="121" t="n"/>
      <s:c r="D9530" s="121" t="n"/>
      <s:c r="E9530" s="122" t="n"/>
    </s:row>
    <s:row r="9531" hidden="1" ht="1" customHeight="1">
      <s:c r="A9531" s="120" t="inlineStr"/>
      <s:c r="B9531" s="121" t="n"/>
      <s:c r="C9531" s="121" t="n"/>
      <s:c r="D9531" s="121" t="n"/>
      <s:c r="E9531" s="122" t="n"/>
    </s:row>
    <s:row r="9532" hidden="1" ht="1" customHeight="1">
      <s:c r="A9532" s="120" t="inlineStr"/>
      <s:c r="B9532" s="121" t="n"/>
      <s:c r="C9532" s="121" t="n"/>
      <s:c r="D9532" s="121" t="n"/>
      <s:c r="E9532" s="122" t="n"/>
    </s:row>
    <s:row r="9533" hidden="1" ht="1" customHeight="1">
      <s:c r="A9533" s="120" t="inlineStr"/>
      <s:c r="B9533" s="121" t="n"/>
      <s:c r="C9533" s="121" t="n"/>
      <s:c r="D9533" s="121" t="n"/>
      <s:c r="E9533" s="122" t="n"/>
    </s:row>
    <s:row r="9534" hidden="1" ht="1" customHeight="1">
      <s:c r="A9534" s="120" t="inlineStr"/>
      <s:c r="B9534" s="121" t="n"/>
      <s:c r="C9534" s="121" t="n"/>
      <s:c r="D9534" s="121" t="n"/>
      <s:c r="E9534" s="122" t="n"/>
    </s:row>
    <s:row r="9535" hidden="1" ht="1" customHeight="1">
      <s:c r="A9535" s="120" t="inlineStr"/>
      <s:c r="B9535" s="121" t="n"/>
      <s:c r="C9535" s="121" t="n"/>
      <s:c r="D9535" s="121" t="n"/>
      <s:c r="E9535" s="122" t="n"/>
    </s:row>
    <s:row r="9536" hidden="1" ht="1" customHeight="1">
      <s:c r="A9536" s="120" t="inlineStr"/>
      <s:c r="B9536" s="121" t="n"/>
      <s:c r="C9536" s="121" t="n"/>
      <s:c r="D9536" s="121" t="n"/>
      <s:c r="E9536" s="122" t="n"/>
    </s:row>
    <s:row r="9537" hidden="1" ht="1" customHeight="1">
      <s:c r="A9537" s="120" t="inlineStr"/>
      <s:c r="B9537" s="121" t="n"/>
      <s:c r="C9537" s="121" t="n"/>
      <s:c r="D9537" s="121" t="n"/>
      <s:c r="E9537" s="122" t="n"/>
    </s:row>
    <s:row r="9538" hidden="1" ht="1" customHeight="1">
      <s:c r="A9538" s="120" t="inlineStr"/>
      <s:c r="B9538" s="121" t="n"/>
      <s:c r="C9538" s="121" t="n"/>
      <s:c r="D9538" s="121" t="n"/>
      <s:c r="E9538" s="122" t="n"/>
    </s:row>
    <s:row r="9539" hidden="1" ht="1" customHeight="1">
      <s:c r="A9539" s="120" t="inlineStr"/>
      <s:c r="B9539" s="121" t="n"/>
      <s:c r="C9539" s="121" t="n"/>
      <s:c r="D9539" s="121" t="n"/>
      <s:c r="E9539" s="122" t="n"/>
    </s:row>
    <s:row r="9540" hidden="1" ht="1" customHeight="1">
      <s:c r="A9540" s="120" t="inlineStr"/>
      <s:c r="B9540" s="121" t="n"/>
      <s:c r="C9540" s="121" t="n"/>
      <s:c r="D9540" s="121" t="n"/>
      <s:c r="E9540" s="122" t="n"/>
    </s:row>
    <s:row r="9541" hidden="1" ht="1" customHeight="1">
      <s:c r="A9541" s="120" t="inlineStr"/>
      <s:c r="B9541" s="121" t="n"/>
      <s:c r="C9541" s="121" t="n"/>
      <s:c r="D9541" s="121" t="n"/>
      <s:c r="E9541" s="122" t="n"/>
    </s:row>
    <s:row r="9542" hidden="1" ht="1" customHeight="1">
      <s:c r="A9542" s="120" t="inlineStr"/>
      <s:c r="B9542" s="121" t="n"/>
      <s:c r="C9542" s="121" t="n"/>
      <s:c r="D9542" s="121" t="n"/>
      <s:c r="E9542" s="122" t="n"/>
    </s:row>
    <s:row r="9543" hidden="1" ht="1" customHeight="1">
      <s:c r="A9543" s="120" t="inlineStr"/>
      <s:c r="B9543" s="121" t="n"/>
      <s:c r="C9543" s="121" t="n"/>
      <s:c r="D9543" s="121" t="n"/>
      <s:c r="E9543" s="122" t="n"/>
    </s:row>
    <s:row r="9544" hidden="1" ht="1" customHeight="1">
      <s:c r="A9544" s="120" t="inlineStr"/>
      <s:c r="B9544" s="121" t="n"/>
      <s:c r="C9544" s="121" t="n"/>
      <s:c r="D9544" s="121" t="n"/>
      <s:c r="E9544" s="122" t="n"/>
    </s:row>
    <s:row r="9545" hidden="1" ht="1" customHeight="1">
      <s:c r="A9545" s="120" t="inlineStr"/>
      <s:c r="B9545" s="121" t="n"/>
      <s:c r="C9545" s="121" t="n"/>
      <s:c r="D9545" s="121" t="n"/>
      <s:c r="E9545" s="122" t="n"/>
    </s:row>
    <s:row r="9546" hidden="1" ht="1" customHeight="1">
      <s:c r="A9546" s="120" t="inlineStr"/>
      <s:c r="B9546" s="121" t="n"/>
      <s:c r="C9546" s="121" t="n"/>
      <s:c r="D9546" s="121" t="n"/>
      <s:c r="E9546" s="122" t="n"/>
    </s:row>
    <s:row r="9547" hidden="1" ht="1" customHeight="1">
      <s:c r="A9547" s="120" t="inlineStr"/>
      <s:c r="B9547" s="121" t="n"/>
      <s:c r="C9547" s="121" t="n"/>
      <s:c r="D9547" s="121" t="n"/>
      <s:c r="E9547" s="122" t="n"/>
    </s:row>
    <s:row r="9548" hidden="1" ht="1" customHeight="1">
      <s:c r="A9548" s="120" t="inlineStr"/>
      <s:c r="B9548" s="121" t="n"/>
      <s:c r="C9548" s="121" t="n"/>
      <s:c r="D9548" s="121" t="n"/>
      <s:c r="E9548" s="122" t="n"/>
    </s:row>
    <s:row r="9549" hidden="1" ht="1" customHeight="1">
      <s:c r="A9549" s="120" t="inlineStr"/>
      <s:c r="B9549" s="121" t="n"/>
      <s:c r="C9549" s="121" t="n"/>
      <s:c r="D9549" s="121" t="n"/>
      <s:c r="E9549" s="122" t="n"/>
    </s:row>
    <s:row r="9550" hidden="1" ht="1" customHeight="1">
      <s:c r="A9550" s="120" t="inlineStr"/>
      <s:c r="B9550" s="121" t="n"/>
      <s:c r="C9550" s="121" t="n"/>
      <s:c r="D9550" s="121" t="n"/>
      <s:c r="E9550" s="122" t="n"/>
    </s:row>
    <s:row r="9551" hidden="1" ht="1" customHeight="1">
      <s:c r="A9551" s="120" t="inlineStr"/>
      <s:c r="B9551" s="121" t="n"/>
      <s:c r="C9551" s="121" t="n"/>
      <s:c r="D9551" s="121" t="n"/>
      <s:c r="E9551" s="122" t="n"/>
    </s:row>
    <s:row r="9552" hidden="1" ht="1" customHeight="1">
      <s:c r="A9552" s="120" t="inlineStr"/>
      <s:c r="B9552" s="121" t="n"/>
      <s:c r="C9552" s="121" t="n"/>
      <s:c r="D9552" s="121" t="n"/>
      <s:c r="E9552" s="122" t="n"/>
    </s:row>
    <s:row r="9553" hidden="1" ht="1" customHeight="1">
      <s:c r="A9553" s="120" t="inlineStr"/>
      <s:c r="B9553" s="121" t="n"/>
      <s:c r="C9553" s="121" t="n"/>
      <s:c r="D9553" s="121" t="n"/>
      <s:c r="E9553" s="122" t="n"/>
    </s:row>
    <s:row r="9554" hidden="1" ht="1" customHeight="1">
      <s:c r="A9554" s="120" t="inlineStr"/>
      <s:c r="B9554" s="121" t="n"/>
      <s:c r="C9554" s="121" t="n"/>
      <s:c r="D9554" s="121" t="n"/>
      <s:c r="E9554" s="122" t="n"/>
    </s:row>
    <s:row r="9555" hidden="1" ht="1" customHeight="1">
      <s:c r="A9555" s="120" t="inlineStr"/>
      <s:c r="B9555" s="121" t="n"/>
      <s:c r="C9555" s="121" t="n"/>
      <s:c r="D9555" s="121" t="n"/>
      <s:c r="E9555" s="122" t="n"/>
    </s:row>
    <s:row r="9556" hidden="1" ht="1" customHeight="1">
      <s:c r="A9556" s="120" t="inlineStr"/>
      <s:c r="B9556" s="121" t="n"/>
      <s:c r="C9556" s="121" t="n"/>
      <s:c r="D9556" s="121" t="n"/>
      <s:c r="E9556" s="122" t="n"/>
    </s:row>
    <s:row r="9557" hidden="1" ht="1" customHeight="1">
      <s:c r="A9557" s="120" t="inlineStr"/>
      <s:c r="B9557" s="121" t="n"/>
      <s:c r="C9557" s="121" t="n"/>
      <s:c r="D9557" s="121" t="n"/>
      <s:c r="E9557" s="122" t="n"/>
    </s:row>
    <s:row r="9558" hidden="1" ht="1" customHeight="1">
      <s:c r="A9558" s="120" t="inlineStr"/>
      <s:c r="B9558" s="121" t="n"/>
      <s:c r="C9558" s="121" t="n"/>
      <s:c r="D9558" s="121" t="n"/>
      <s:c r="E9558" s="122" t="n"/>
    </s:row>
    <s:row r="9559" hidden="1" ht="1" customHeight="1">
      <s:c r="A9559" s="120" t="inlineStr"/>
      <s:c r="B9559" s="121" t="n"/>
      <s:c r="C9559" s="121" t="n"/>
      <s:c r="D9559" s="121" t="n"/>
      <s:c r="E9559" s="122" t="n"/>
    </s:row>
    <s:row r="9560" hidden="1" ht="1" customHeight="1">
      <s:c r="A9560" s="120" t="inlineStr"/>
      <s:c r="B9560" s="121" t="n"/>
      <s:c r="C9560" s="121" t="n"/>
      <s:c r="D9560" s="121" t="n"/>
      <s:c r="E9560" s="122" t="n"/>
    </s:row>
    <s:row r="9561" hidden="1" ht="1" customHeight="1">
      <s:c r="A9561" s="120" t="inlineStr"/>
      <s:c r="B9561" s="121" t="n"/>
      <s:c r="C9561" s="121" t="n"/>
      <s:c r="D9561" s="121" t="n"/>
      <s:c r="E9561" s="122" t="n"/>
    </s:row>
    <s:row r="9562" hidden="1" ht="1" customHeight="1">
      <s:c r="A9562" s="120" t="inlineStr"/>
      <s:c r="B9562" s="121" t="n"/>
      <s:c r="C9562" s="121" t="n"/>
      <s:c r="D9562" s="121" t="n"/>
      <s:c r="E9562" s="122" t="n"/>
    </s:row>
    <s:row r="9563" hidden="1" ht="1" customHeight="1">
      <s:c r="A9563" s="120" t="inlineStr"/>
      <s:c r="B9563" s="121" t="n"/>
      <s:c r="C9563" s="121" t="n"/>
      <s:c r="D9563" s="121" t="n"/>
      <s:c r="E9563" s="122" t="n"/>
    </s:row>
    <s:row r="9564" hidden="1" ht="1" customHeight="1">
      <s:c r="A9564" s="120" t="inlineStr"/>
      <s:c r="B9564" s="121" t="n"/>
      <s:c r="C9564" s="121" t="n"/>
      <s:c r="D9564" s="121" t="n"/>
      <s:c r="E9564" s="122" t="n"/>
    </s:row>
    <s:row r="9565" hidden="1" ht="1" customHeight="1">
      <s:c r="A9565" s="120" t="inlineStr"/>
      <s:c r="B9565" s="121" t="n"/>
      <s:c r="C9565" s="121" t="n"/>
      <s:c r="D9565" s="121" t="n"/>
      <s:c r="E9565" s="122" t="n"/>
    </s:row>
    <s:row r="9566" hidden="1" ht="1" customHeight="1">
      <s:c r="A9566" s="120" t="inlineStr"/>
      <s:c r="B9566" s="121" t="n"/>
      <s:c r="C9566" s="121" t="n"/>
      <s:c r="D9566" s="121" t="n"/>
      <s:c r="E9566" s="122" t="n"/>
    </s:row>
    <s:row r="9567" hidden="1" ht="1" customHeight="1">
      <s:c r="A9567" s="120" t="inlineStr"/>
      <s:c r="B9567" s="121" t="n"/>
      <s:c r="C9567" s="121" t="n"/>
      <s:c r="D9567" s="121" t="n"/>
      <s:c r="E9567" s="122" t="n"/>
    </s:row>
    <s:row r="9568" hidden="1" ht="1" customHeight="1">
      <s:c r="A9568" s="120" t="inlineStr"/>
      <s:c r="B9568" s="121" t="n"/>
      <s:c r="C9568" s="121" t="n"/>
      <s:c r="D9568" s="121" t="n"/>
      <s:c r="E9568" s="122" t="n"/>
    </s:row>
    <s:row r="9569" hidden="1" ht="1" customHeight="1">
      <s:c r="A9569" s="120" t="inlineStr"/>
      <s:c r="B9569" s="121" t="n"/>
      <s:c r="C9569" s="121" t="n"/>
      <s:c r="D9569" s="121" t="n"/>
      <s:c r="E9569" s="122" t="n"/>
    </s:row>
    <s:row r="9570" hidden="1" ht="1" customHeight="1">
      <s:c r="A9570" s="120" t="inlineStr"/>
      <s:c r="B9570" s="121" t="n"/>
      <s:c r="C9570" s="121" t="n"/>
      <s:c r="D9570" s="121" t="n"/>
      <s:c r="E9570" s="122" t="n"/>
    </s:row>
    <s:row r="9571" hidden="1" ht="1" customHeight="1">
      <s:c r="A9571" s="120" t="inlineStr"/>
      <s:c r="B9571" s="121" t="n"/>
      <s:c r="C9571" s="121" t="n"/>
      <s:c r="D9571" s="121" t="n"/>
      <s:c r="E9571" s="122" t="n"/>
    </s:row>
    <s:row r="9572" hidden="1" ht="1" customHeight="1">
      <s:c r="A9572" s="120" t="inlineStr"/>
      <s:c r="B9572" s="121" t="n"/>
      <s:c r="C9572" s="121" t="n"/>
      <s:c r="D9572" s="121" t="n"/>
      <s:c r="E9572" s="122" t="n"/>
    </s:row>
    <s:row r="9573" hidden="1" ht="1" customHeight="1">
      <s:c r="A9573" s="120" t="inlineStr"/>
      <s:c r="B9573" s="121" t="n"/>
      <s:c r="C9573" s="121" t="n"/>
      <s:c r="D9573" s="121" t="n"/>
      <s:c r="E9573" s="122" t="n"/>
    </s:row>
    <s:row r="9574" hidden="1" ht="1" customHeight="1">
      <s:c r="A9574" s="120" t="inlineStr"/>
      <s:c r="B9574" s="121" t="n"/>
      <s:c r="C9574" s="121" t="n"/>
      <s:c r="D9574" s="121" t="n"/>
      <s:c r="E9574" s="122" t="n"/>
    </s:row>
    <s:row r="9575" hidden="1" ht="1" customHeight="1">
      <s:c r="A9575" s="120" t="inlineStr"/>
      <s:c r="B9575" s="121" t="n"/>
      <s:c r="C9575" s="121" t="n"/>
      <s:c r="D9575" s="121" t="n"/>
      <s:c r="E9575" s="122" t="n"/>
    </s:row>
    <s:row r="9576" hidden="1" ht="1" customHeight="1">
      <s:c r="A9576" s="120" t="inlineStr"/>
      <s:c r="B9576" s="121" t="n"/>
      <s:c r="C9576" s="121" t="n"/>
      <s:c r="D9576" s="121" t="n"/>
      <s:c r="E9576" s="122" t="n"/>
    </s:row>
    <s:row r="9577" hidden="1" ht="1" customHeight="1">
      <s:c r="A9577" s="120" t="inlineStr"/>
      <s:c r="B9577" s="121" t="n"/>
      <s:c r="C9577" s="121" t="n"/>
      <s:c r="D9577" s="121" t="n"/>
      <s:c r="E9577" s="122" t="n"/>
    </s:row>
    <s:row r="9578" hidden="1" ht="1" customHeight="1">
      <s:c r="A9578" s="120" t="inlineStr"/>
      <s:c r="B9578" s="121" t="n"/>
      <s:c r="C9578" s="121" t="n"/>
      <s:c r="D9578" s="121" t="n"/>
      <s:c r="E9578" s="122" t="n"/>
    </s:row>
    <s:row r="9579" hidden="1" ht="1" customHeight="1">
      <s:c r="A9579" s="120" t="inlineStr"/>
      <s:c r="B9579" s="121" t="n"/>
      <s:c r="C9579" s="121" t="n"/>
      <s:c r="D9579" s="121" t="n"/>
      <s:c r="E9579" s="122" t="n"/>
    </s:row>
    <s:row r="9580" hidden="1" ht="1" customHeight="1">
      <s:c r="A9580" s="120" t="inlineStr"/>
      <s:c r="B9580" s="121" t="n"/>
      <s:c r="C9580" s="121" t="n"/>
      <s:c r="D9580" s="121" t="n"/>
      <s:c r="E9580" s="122" t="n"/>
    </s:row>
    <s:row r="9581" hidden="1" ht="1" customHeight="1">
      <s:c r="A9581" s="120" t="inlineStr"/>
      <s:c r="B9581" s="121" t="n"/>
      <s:c r="C9581" s="121" t="n"/>
      <s:c r="D9581" s="121" t="n"/>
      <s:c r="E9581" s="122" t="n"/>
    </s:row>
    <s:row r="9582" hidden="1" ht="1" customHeight="1">
      <s:c r="A9582" s="120" t="inlineStr"/>
      <s:c r="B9582" s="121" t="n"/>
      <s:c r="C9582" s="121" t="n"/>
      <s:c r="D9582" s="121" t="n"/>
      <s:c r="E9582" s="122" t="n"/>
    </s:row>
    <s:row r="9583" hidden="1" ht="1" customHeight="1">
      <s:c r="A9583" s="120" t="inlineStr"/>
      <s:c r="B9583" s="121" t="n"/>
      <s:c r="C9583" s="121" t="n"/>
      <s:c r="D9583" s="121" t="n"/>
      <s:c r="E9583" s="122" t="n"/>
    </s:row>
    <s:row r="9584" hidden="1" ht="1" customHeight="1">
      <s:c r="A9584" s="120" t="inlineStr"/>
      <s:c r="B9584" s="121" t="n"/>
      <s:c r="C9584" s="121" t="n"/>
      <s:c r="D9584" s="121" t="n"/>
      <s:c r="E9584" s="122" t="n"/>
    </s:row>
    <s:row r="9585" hidden="1" ht="1" customHeight="1">
      <s:c r="A9585" s="120" t="inlineStr"/>
      <s:c r="B9585" s="121" t="n"/>
      <s:c r="C9585" s="121" t="n"/>
      <s:c r="D9585" s="121" t="n"/>
      <s:c r="E9585" s="122" t="n"/>
    </s:row>
    <s:row r="9586" hidden="1" ht="1" customHeight="1">
      <s:c r="A9586" s="120" t="inlineStr"/>
      <s:c r="B9586" s="121" t="n"/>
      <s:c r="C9586" s="121" t="n"/>
      <s:c r="D9586" s="121" t="n"/>
      <s:c r="E9586" s="122" t="n"/>
    </s:row>
    <s:row r="9587" hidden="1" ht="1" customHeight="1">
      <s:c r="A9587" s="120" t="inlineStr"/>
      <s:c r="B9587" s="121" t="n"/>
      <s:c r="C9587" s="121" t="n"/>
      <s:c r="D9587" s="121" t="n"/>
      <s:c r="E9587" s="122" t="n"/>
    </s:row>
    <s:row r="9588" hidden="1" ht="1" customHeight="1">
      <s:c r="A9588" s="120" t="inlineStr"/>
      <s:c r="B9588" s="121" t="n"/>
      <s:c r="C9588" s="121" t="n"/>
      <s:c r="D9588" s="121" t="n"/>
      <s:c r="E9588" s="122" t="n"/>
    </s:row>
    <s:row r="9589" hidden="1" ht="1" customHeight="1">
      <s:c r="A9589" s="120" t="inlineStr"/>
      <s:c r="B9589" s="121" t="n"/>
      <s:c r="C9589" s="121" t="n"/>
      <s:c r="D9589" s="121" t="n"/>
      <s:c r="E9589" s="122" t="n"/>
    </s:row>
    <s:row r="9590" hidden="1" ht="1" customHeight="1">
      <s:c r="A9590" s="120" t="inlineStr"/>
      <s:c r="B9590" s="121" t="n"/>
      <s:c r="C9590" s="121" t="n"/>
      <s:c r="D9590" s="121" t="n"/>
      <s:c r="E9590" s="122" t="n"/>
    </s:row>
    <s:row r="9591" hidden="1" ht="1" customHeight="1">
      <s:c r="A9591" s="120" t="inlineStr"/>
      <s:c r="B9591" s="121" t="n"/>
      <s:c r="C9591" s="121" t="n"/>
      <s:c r="D9591" s="121" t="n"/>
      <s:c r="E9591" s="122" t="n"/>
    </s:row>
    <s:row r="9592" hidden="1" ht="1" customHeight="1">
      <s:c r="A9592" s="120" t="inlineStr"/>
      <s:c r="B9592" s="121" t="n"/>
      <s:c r="C9592" s="121" t="n"/>
      <s:c r="D9592" s="121" t="n"/>
      <s:c r="E9592" s="122" t="n"/>
    </s:row>
    <s:row r="9593" hidden="1" ht="1" customHeight="1">
      <s:c r="A9593" s="120" t="inlineStr"/>
      <s:c r="B9593" s="121" t="n"/>
      <s:c r="C9593" s="121" t="n"/>
      <s:c r="D9593" s="121" t="n"/>
      <s:c r="E9593" s="122" t="n"/>
    </s:row>
    <s:row r="9594" hidden="1" ht="1" customHeight="1">
      <s:c r="A9594" s="120" t="inlineStr"/>
      <s:c r="B9594" s="121" t="n"/>
      <s:c r="C9594" s="121" t="n"/>
      <s:c r="D9594" s="121" t="n"/>
      <s:c r="E9594" s="122" t="n"/>
    </s:row>
    <s:row r="9595" hidden="1" ht="1" customHeight="1">
      <s:c r="A9595" s="120" t="inlineStr"/>
      <s:c r="B9595" s="121" t="n"/>
      <s:c r="C9595" s="121" t="n"/>
      <s:c r="D9595" s="121" t="n"/>
      <s:c r="E9595" s="122" t="n"/>
    </s:row>
    <s:row r="9596" hidden="1" ht="1" customHeight="1">
      <s:c r="A9596" s="120" t="inlineStr"/>
      <s:c r="B9596" s="121" t="n"/>
      <s:c r="C9596" s="121" t="n"/>
      <s:c r="D9596" s="121" t="n"/>
      <s:c r="E9596" s="122" t="n"/>
    </s:row>
    <s:row r="9597" hidden="1" ht="1" customHeight="1">
      <s:c r="A9597" s="120" t="inlineStr"/>
      <s:c r="B9597" s="121" t="n"/>
      <s:c r="C9597" s="121" t="n"/>
      <s:c r="D9597" s="121" t="n"/>
      <s:c r="E9597" s="122" t="n"/>
    </s:row>
    <s:row r="9598" hidden="1" ht="1" customHeight="1">
      <s:c r="A9598" s="120" t="inlineStr"/>
      <s:c r="B9598" s="121" t="n"/>
      <s:c r="C9598" s="121" t="n"/>
      <s:c r="D9598" s="121" t="n"/>
      <s:c r="E9598" s="122" t="n"/>
    </s:row>
    <s:row r="9599" hidden="1" ht="1" customHeight="1">
      <s:c r="A9599" s="120" t="inlineStr"/>
      <s:c r="B9599" s="121" t="n"/>
      <s:c r="C9599" s="121" t="n"/>
      <s:c r="D9599" s="121" t="n"/>
      <s:c r="E9599" s="122" t="n"/>
    </s:row>
    <s:row r="9600" hidden="1" ht="1" customHeight="1">
      <s:c r="A9600" s="120" t="inlineStr"/>
      <s:c r="B9600" s="121" t="n"/>
      <s:c r="C9600" s="121" t="n"/>
      <s:c r="D9600" s="121" t="n"/>
      <s:c r="E9600" s="122" t="n"/>
    </s:row>
    <s:row r="9601" hidden="1" ht="1" customHeight="1">
      <s:c r="A9601" s="120" t="inlineStr"/>
      <s:c r="B9601" s="121" t="n"/>
      <s:c r="C9601" s="121" t="n"/>
      <s:c r="D9601" s="121" t="n"/>
      <s:c r="E9601" s="122" t="n"/>
    </s:row>
    <s:row r="9602" hidden="1" ht="1" customHeight="1">
      <s:c r="A9602" s="120" t="inlineStr"/>
      <s:c r="B9602" s="121" t="n"/>
      <s:c r="C9602" s="121" t="n"/>
      <s:c r="D9602" s="121" t="n"/>
      <s:c r="E9602" s="122" t="n"/>
    </s:row>
    <s:row r="9603" hidden="1" ht="1" customHeight="1">
      <s:c r="A9603" s="120" t="inlineStr"/>
      <s:c r="B9603" s="121" t="n"/>
      <s:c r="C9603" s="121" t="n"/>
      <s:c r="D9603" s="121" t="n"/>
      <s:c r="E9603" s="122" t="n"/>
    </s:row>
    <s:row r="9604" hidden="1" ht="1" customHeight="1">
      <s:c r="A9604" s="120" t="inlineStr"/>
      <s:c r="B9604" s="121" t="n"/>
      <s:c r="C9604" s="121" t="n"/>
      <s:c r="D9604" s="121" t="n"/>
      <s:c r="E9604" s="122" t="n"/>
    </s:row>
    <s:row r="9605" hidden="1" ht="1" customHeight="1">
      <s:c r="A9605" s="120" t="inlineStr"/>
      <s:c r="B9605" s="121" t="n"/>
      <s:c r="C9605" s="121" t="n"/>
      <s:c r="D9605" s="121" t="n"/>
      <s:c r="E9605" s="122" t="n"/>
    </s:row>
    <s:row r="9606" hidden="1" ht="1" customHeight="1">
      <s:c r="A9606" s="120" t="inlineStr"/>
      <s:c r="B9606" s="121" t="n"/>
      <s:c r="C9606" s="121" t="n"/>
      <s:c r="D9606" s="121" t="n"/>
      <s:c r="E9606" s="122" t="n"/>
    </s:row>
    <s:row r="9607" hidden="1" ht="1" customHeight="1">
      <s:c r="A9607" s="120" t="inlineStr"/>
      <s:c r="B9607" s="121" t="n"/>
      <s:c r="C9607" s="121" t="n"/>
      <s:c r="D9607" s="121" t="n"/>
      <s:c r="E9607" s="122" t="n"/>
    </s:row>
    <s:row r="9608" hidden="1" ht="1" customHeight="1">
      <s:c r="A9608" s="120" t="inlineStr"/>
      <s:c r="B9608" s="121" t="n"/>
      <s:c r="C9608" s="121" t="n"/>
      <s:c r="D9608" s="121" t="n"/>
      <s:c r="E9608" s="122" t="n"/>
    </s:row>
    <s:row r="9609" hidden="1" ht="1" customHeight="1">
      <s:c r="A9609" s="120" t="inlineStr"/>
      <s:c r="B9609" s="121" t="n"/>
      <s:c r="C9609" s="121" t="n"/>
      <s:c r="D9609" s="121" t="n"/>
      <s:c r="E9609" s="122" t="n"/>
    </s:row>
    <s:row r="9610" hidden="1" ht="1" customHeight="1">
      <s:c r="A9610" s="120" t="inlineStr"/>
      <s:c r="B9610" s="121" t="n"/>
      <s:c r="C9610" s="121" t="n"/>
      <s:c r="D9610" s="121" t="n"/>
      <s:c r="E9610" s="122" t="n"/>
    </s:row>
    <s:row r="9611" hidden="1" ht="1" customHeight="1">
      <s:c r="A9611" s="120" t="inlineStr"/>
      <s:c r="B9611" s="121" t="n"/>
      <s:c r="C9611" s="121" t="n"/>
      <s:c r="D9611" s="121" t="n"/>
      <s:c r="E9611" s="122" t="n"/>
    </s:row>
    <s:row r="9612" hidden="1" ht="1" customHeight="1">
      <s:c r="A9612" s="120" t="inlineStr"/>
      <s:c r="B9612" s="121" t="n"/>
      <s:c r="C9612" s="121" t="n"/>
      <s:c r="D9612" s="121" t="n"/>
      <s:c r="E9612" s="122" t="n"/>
    </s:row>
    <s:row r="9613" hidden="1" ht="1" customHeight="1">
      <s:c r="A9613" s="120" t="inlineStr"/>
      <s:c r="B9613" s="121" t="n"/>
      <s:c r="C9613" s="121" t="n"/>
      <s:c r="D9613" s="121" t="n"/>
      <s:c r="E9613" s="122" t="n"/>
    </s:row>
    <s:row r="9614" hidden="1" ht="1" customHeight="1">
      <s:c r="A9614" s="120" t="inlineStr"/>
      <s:c r="B9614" s="121" t="n"/>
      <s:c r="C9614" s="121" t="n"/>
      <s:c r="D9614" s="121" t="n"/>
      <s:c r="E9614" s="122" t="n"/>
    </s:row>
    <s:row r="9615" hidden="1" ht="1" customHeight="1">
      <s:c r="A9615" s="120" t="inlineStr"/>
      <s:c r="B9615" s="121" t="n"/>
      <s:c r="C9615" s="121" t="n"/>
      <s:c r="D9615" s="121" t="n"/>
      <s:c r="E9615" s="122" t="n"/>
    </s:row>
    <s:row r="9616" hidden="1" ht="1" customHeight="1">
      <s:c r="A9616" s="120" t="inlineStr"/>
      <s:c r="B9616" s="121" t="n"/>
      <s:c r="C9616" s="121" t="n"/>
      <s:c r="D9616" s="121" t="n"/>
      <s:c r="E9616" s="122" t="n"/>
    </s:row>
    <s:row r="9617" hidden="1" ht="1" customHeight="1">
      <s:c r="A9617" s="120" t="inlineStr"/>
      <s:c r="B9617" s="121" t="n"/>
      <s:c r="C9617" s="121" t="n"/>
      <s:c r="D9617" s="121" t="n"/>
      <s:c r="E9617" s="122" t="n"/>
    </s:row>
    <s:row r="9618" hidden="1" ht="1" customHeight="1">
      <s:c r="A9618" s="120" t="inlineStr"/>
      <s:c r="B9618" s="121" t="n"/>
      <s:c r="C9618" s="121" t="n"/>
      <s:c r="D9618" s="121" t="n"/>
      <s:c r="E9618" s="122" t="n"/>
    </s:row>
    <s:row r="9619" hidden="1" ht="1" customHeight="1">
      <s:c r="A9619" s="120" t="inlineStr"/>
      <s:c r="B9619" s="121" t="n"/>
      <s:c r="C9619" s="121" t="n"/>
      <s:c r="D9619" s="121" t="n"/>
      <s:c r="E9619" s="122" t="n"/>
    </s:row>
    <s:row r="9620" hidden="1" ht="1" customHeight="1">
      <s:c r="A9620" s="120" t="inlineStr"/>
      <s:c r="B9620" s="121" t="n"/>
      <s:c r="C9620" s="121" t="n"/>
      <s:c r="D9620" s="121" t="n"/>
      <s:c r="E9620" s="122" t="n"/>
    </s:row>
    <s:row r="9621" hidden="1" ht="1" customHeight="1">
      <s:c r="A9621" s="120" t="inlineStr"/>
      <s:c r="B9621" s="121" t="n"/>
      <s:c r="C9621" s="121" t="n"/>
      <s:c r="D9621" s="121" t="n"/>
      <s:c r="E9621" s="122" t="n"/>
    </s:row>
    <s:row r="9622" hidden="1" ht="1" customHeight="1">
      <s:c r="A9622" s="120" t="inlineStr"/>
      <s:c r="B9622" s="121" t="n"/>
      <s:c r="C9622" s="121" t="n"/>
      <s:c r="D9622" s="121" t="n"/>
      <s:c r="E9622" s="122" t="n"/>
    </s:row>
    <s:row r="9623" hidden="1" ht="1" customHeight="1">
      <s:c r="A9623" s="120" t="inlineStr"/>
      <s:c r="B9623" s="121" t="n"/>
      <s:c r="C9623" s="121" t="n"/>
      <s:c r="D9623" s="121" t="n"/>
      <s:c r="E9623" s="122" t="n"/>
    </s:row>
    <s:row r="9624" hidden="1" ht="1" customHeight="1">
      <s:c r="A9624" s="120" t="inlineStr"/>
      <s:c r="B9624" s="121" t="n"/>
      <s:c r="C9624" s="121" t="n"/>
      <s:c r="D9624" s="121" t="n"/>
      <s:c r="E9624" s="122" t="n"/>
    </s:row>
    <s:row r="9625" hidden="1" ht="1" customHeight="1">
      <s:c r="A9625" s="120" t="inlineStr"/>
      <s:c r="B9625" s="121" t="n"/>
      <s:c r="C9625" s="121" t="n"/>
      <s:c r="D9625" s="121" t="n"/>
      <s:c r="E9625" s="122" t="n"/>
    </s:row>
    <s:row r="9626" hidden="1" ht="1" customHeight="1">
      <s:c r="A9626" s="120" t="inlineStr"/>
      <s:c r="B9626" s="121" t="n"/>
      <s:c r="C9626" s="121" t="n"/>
      <s:c r="D9626" s="121" t="n"/>
      <s:c r="E9626" s="122" t="n"/>
    </s:row>
    <s:row r="9627" hidden="1" ht="1" customHeight="1">
      <s:c r="A9627" s="120" t="inlineStr"/>
      <s:c r="B9627" s="121" t="n"/>
      <s:c r="C9627" s="121" t="n"/>
      <s:c r="D9627" s="121" t="n"/>
      <s:c r="E9627" s="122" t="n"/>
    </s:row>
    <s:row r="9628" hidden="1" ht="1" customHeight="1">
      <s:c r="A9628" s="120" t="inlineStr"/>
      <s:c r="B9628" s="121" t="n"/>
      <s:c r="C9628" s="121" t="n"/>
      <s:c r="D9628" s="121" t="n"/>
      <s:c r="E9628" s="122" t="n"/>
    </s:row>
    <s:row r="9629" hidden="1" ht="1" customHeight="1">
      <s:c r="A9629" s="120" t="inlineStr"/>
      <s:c r="B9629" s="121" t="n"/>
      <s:c r="C9629" s="121" t="n"/>
      <s:c r="D9629" s="121" t="n"/>
      <s:c r="E9629" s="122" t="n"/>
    </s:row>
    <s:row r="9630" hidden="1" ht="1" customHeight="1">
      <s:c r="A9630" s="120" t="inlineStr"/>
      <s:c r="B9630" s="121" t="n"/>
      <s:c r="C9630" s="121" t="n"/>
      <s:c r="D9630" s="121" t="n"/>
      <s:c r="E9630" s="122" t="n"/>
    </s:row>
    <s:row r="9631" hidden="1" ht="1" customHeight="1">
      <s:c r="A9631" s="120" t="inlineStr"/>
      <s:c r="B9631" s="121" t="n"/>
      <s:c r="C9631" s="121" t="n"/>
      <s:c r="D9631" s="121" t="n"/>
      <s:c r="E9631" s="122" t="n"/>
    </s:row>
    <s:row r="9632" hidden="1" ht="1" customHeight="1">
      <s:c r="A9632" s="120" t="inlineStr"/>
      <s:c r="B9632" s="121" t="n"/>
      <s:c r="C9632" s="121" t="n"/>
      <s:c r="D9632" s="121" t="n"/>
      <s:c r="E9632" s="122" t="n"/>
    </s:row>
    <s:row r="9633" hidden="1" ht="1" customHeight="1">
      <s:c r="A9633" s="120" t="inlineStr"/>
      <s:c r="B9633" s="121" t="n"/>
      <s:c r="C9633" s="121" t="n"/>
      <s:c r="D9633" s="121" t="n"/>
      <s:c r="E9633" s="122" t="n"/>
    </s:row>
    <s:row r="9634" hidden="1" ht="1" customHeight="1">
      <s:c r="A9634" s="120" t="inlineStr"/>
      <s:c r="B9634" s="121" t="n"/>
      <s:c r="C9634" s="121" t="n"/>
      <s:c r="D9634" s="121" t="n"/>
      <s:c r="E9634" s="122" t="n"/>
    </s:row>
    <s:row r="9635" hidden="1" ht="1" customHeight="1">
      <s:c r="A9635" s="120" t="inlineStr"/>
      <s:c r="B9635" s="121" t="n"/>
      <s:c r="C9635" s="121" t="n"/>
      <s:c r="D9635" s="121" t="n"/>
      <s:c r="E9635" s="122" t="n"/>
    </s:row>
    <s:row r="9636" hidden="1" ht="1" customHeight="1">
      <s:c r="A9636" s="120" t="inlineStr"/>
      <s:c r="B9636" s="121" t="n"/>
      <s:c r="C9636" s="121" t="n"/>
      <s:c r="D9636" s="121" t="n"/>
      <s:c r="E9636" s="122" t="n"/>
    </s:row>
    <s:row r="9637" hidden="1" ht="1" customHeight="1">
      <s:c r="A9637" s="120" t="inlineStr"/>
      <s:c r="B9637" s="121" t="n"/>
      <s:c r="C9637" s="121" t="n"/>
      <s:c r="D9637" s="121" t="n"/>
      <s:c r="E9637" s="122" t="n"/>
    </s:row>
    <s:row r="9638" hidden="1" ht="1" customHeight="1">
      <s:c r="A9638" s="120" t="inlineStr"/>
      <s:c r="B9638" s="121" t="n"/>
      <s:c r="C9638" s="121" t="n"/>
      <s:c r="D9638" s="121" t="n"/>
      <s:c r="E9638" s="122" t="n"/>
    </s:row>
    <s:row r="9639" hidden="1" ht="1" customHeight="1">
      <s:c r="A9639" s="120" t="inlineStr"/>
      <s:c r="B9639" s="121" t="n"/>
      <s:c r="C9639" s="121" t="n"/>
      <s:c r="D9639" s="121" t="n"/>
      <s:c r="E9639" s="122" t="n"/>
    </s:row>
    <s:row r="9640" hidden="1" ht="1" customHeight="1">
      <s:c r="A9640" s="120" t="inlineStr"/>
      <s:c r="B9640" s="121" t="n"/>
      <s:c r="C9640" s="121" t="n"/>
      <s:c r="D9640" s="121" t="n"/>
      <s:c r="E9640" s="122" t="n"/>
    </s:row>
    <s:row r="9641" hidden="1" ht="1" customHeight="1">
      <s:c r="A9641" s="120" t="inlineStr"/>
      <s:c r="B9641" s="121" t="n"/>
      <s:c r="C9641" s="121" t="n"/>
      <s:c r="D9641" s="121" t="n"/>
      <s:c r="E9641" s="122" t="n"/>
    </s:row>
    <s:row r="9642" hidden="1" ht="1" customHeight="1">
      <s:c r="A9642" s="120" t="inlineStr"/>
      <s:c r="B9642" s="121" t="n"/>
      <s:c r="C9642" s="121" t="n"/>
      <s:c r="D9642" s="121" t="n"/>
      <s:c r="E9642" s="122" t="n"/>
    </s:row>
    <s:row r="9643" hidden="1" ht="1" customHeight="1">
      <s:c r="A9643" s="120" t="inlineStr"/>
      <s:c r="B9643" s="121" t="n"/>
      <s:c r="C9643" s="121" t="n"/>
      <s:c r="D9643" s="121" t="n"/>
      <s:c r="E9643" s="122" t="n"/>
    </s:row>
    <s:row r="9644" hidden="1" ht="1" customHeight="1">
      <s:c r="A9644" s="120" t="inlineStr"/>
      <s:c r="B9644" s="121" t="n"/>
      <s:c r="C9644" s="121" t="n"/>
      <s:c r="D9644" s="121" t="n"/>
      <s:c r="E9644" s="122" t="n"/>
    </s:row>
    <s:row r="9645" hidden="1" ht="1" customHeight="1">
      <s:c r="A9645" s="120" t="inlineStr"/>
      <s:c r="B9645" s="121" t="n"/>
      <s:c r="C9645" s="121" t="n"/>
      <s:c r="D9645" s="121" t="n"/>
      <s:c r="E9645" s="122" t="n"/>
    </s:row>
    <s:row r="9646" hidden="1" ht="1" customHeight="1">
      <s:c r="A9646" s="120" t="inlineStr"/>
      <s:c r="B9646" s="121" t="n"/>
      <s:c r="C9646" s="121" t="n"/>
      <s:c r="D9646" s="121" t="n"/>
      <s:c r="E9646" s="122" t="n"/>
    </s:row>
    <s:row r="9647" hidden="1" ht="1" customHeight="1">
      <s:c r="A9647" s="120" t="inlineStr"/>
      <s:c r="B9647" s="121" t="n"/>
      <s:c r="C9647" s="121" t="n"/>
      <s:c r="D9647" s="121" t="n"/>
      <s:c r="E9647" s="122" t="n"/>
    </s:row>
    <s:row r="9648" hidden="1" ht="1" customHeight="1">
      <s:c r="A9648" s="120" t="inlineStr"/>
      <s:c r="B9648" s="121" t="n"/>
      <s:c r="C9648" s="121" t="n"/>
      <s:c r="D9648" s="121" t="n"/>
      <s:c r="E9648" s="122" t="n"/>
    </s:row>
    <s:row r="9649" hidden="1" ht="1" customHeight="1">
      <s:c r="A9649" s="120" t="inlineStr"/>
      <s:c r="B9649" s="121" t="n"/>
      <s:c r="C9649" s="121" t="n"/>
      <s:c r="D9649" s="121" t="n"/>
      <s:c r="E9649" s="122" t="n"/>
    </s:row>
    <s:row r="9650" hidden="1" ht="1" customHeight="1">
      <s:c r="A9650" s="120" t="inlineStr"/>
      <s:c r="B9650" s="121" t="n"/>
      <s:c r="C9650" s="121" t="n"/>
      <s:c r="D9650" s="121" t="n"/>
      <s:c r="E9650" s="122" t="n"/>
    </s:row>
    <s:row r="9651" hidden="1" ht="1" customHeight="1">
      <s:c r="A9651" s="120" t="inlineStr"/>
      <s:c r="B9651" s="121" t="n"/>
      <s:c r="C9651" s="121" t="n"/>
      <s:c r="D9651" s="121" t="n"/>
      <s:c r="E9651" s="122" t="n"/>
    </s:row>
    <s:row r="9652" hidden="1" ht="1" customHeight="1">
      <s:c r="A9652" s="120" t="inlineStr"/>
      <s:c r="B9652" s="121" t="n"/>
      <s:c r="C9652" s="121" t="n"/>
      <s:c r="D9652" s="121" t="n"/>
      <s:c r="E9652" s="122" t="n"/>
    </s:row>
    <s:row r="9653" hidden="1" ht="1" customHeight="1">
      <s:c r="A9653" s="120" t="inlineStr"/>
      <s:c r="B9653" s="121" t="n"/>
      <s:c r="C9653" s="121" t="n"/>
      <s:c r="D9653" s="121" t="n"/>
      <s:c r="E9653" s="122" t="n"/>
    </s:row>
    <s:row r="9654" hidden="1" ht="1" customHeight="1">
      <s:c r="A9654" s="120" t="inlineStr"/>
      <s:c r="B9654" s="121" t="n"/>
      <s:c r="C9654" s="121" t="n"/>
      <s:c r="D9654" s="121" t="n"/>
      <s:c r="E9654" s="122" t="n"/>
    </s:row>
    <s:row r="9655" hidden="1" ht="1" customHeight="1">
      <s:c r="A9655" s="120" t="inlineStr"/>
      <s:c r="B9655" s="121" t="n"/>
      <s:c r="C9655" s="121" t="n"/>
      <s:c r="D9655" s="121" t="n"/>
      <s:c r="E9655" s="122" t="n"/>
    </s:row>
    <s:row r="9656" hidden="1" ht="1" customHeight="1">
      <s:c r="A9656" s="120" t="inlineStr"/>
      <s:c r="B9656" s="121" t="n"/>
      <s:c r="C9656" s="121" t="n"/>
      <s:c r="D9656" s="121" t="n"/>
      <s:c r="E9656" s="122" t="n"/>
    </s:row>
    <s:row r="9657" hidden="1" ht="1" customHeight="1">
      <s:c r="A9657" s="120" t="inlineStr"/>
      <s:c r="B9657" s="121" t="n"/>
      <s:c r="C9657" s="121" t="n"/>
      <s:c r="D9657" s="121" t="n"/>
      <s:c r="E9657" s="122" t="n"/>
    </s:row>
    <s:row r="9658" hidden="1" ht="1" customHeight="1">
      <s:c r="A9658" s="120" t="inlineStr"/>
      <s:c r="B9658" s="121" t="n"/>
      <s:c r="C9658" s="121" t="n"/>
      <s:c r="D9658" s="121" t="n"/>
      <s:c r="E9658" s="122" t="n"/>
    </s:row>
    <s:row r="9659" hidden="1" ht="1" customHeight="1">
      <s:c r="A9659" s="120" t="inlineStr"/>
      <s:c r="B9659" s="121" t="n"/>
      <s:c r="C9659" s="121" t="n"/>
      <s:c r="D9659" s="121" t="n"/>
      <s:c r="E9659" s="122" t="n"/>
    </s:row>
    <s:row r="9660" hidden="1" ht="1" customHeight="1">
      <s:c r="A9660" s="120" t="inlineStr"/>
      <s:c r="B9660" s="121" t="n"/>
      <s:c r="C9660" s="121" t="n"/>
      <s:c r="D9660" s="121" t="n"/>
      <s:c r="E9660" s="122" t="n"/>
    </s:row>
    <s:row r="9661" hidden="1" ht="1" customHeight="1">
      <s:c r="A9661" s="120" t="inlineStr"/>
      <s:c r="B9661" s="121" t="n"/>
      <s:c r="C9661" s="121" t="n"/>
      <s:c r="D9661" s="121" t="n"/>
      <s:c r="E9661" s="122" t="n"/>
    </s:row>
    <s:row r="9662" hidden="1" ht="1" customHeight="1">
      <s:c r="A9662" s="120" t="inlineStr"/>
      <s:c r="B9662" s="121" t="n"/>
      <s:c r="C9662" s="121" t="n"/>
      <s:c r="D9662" s="121" t="n"/>
      <s:c r="E9662" s="122" t="n"/>
    </s:row>
    <s:row r="9663" hidden="1" ht="1" customHeight="1">
      <s:c r="A9663" s="120" t="inlineStr"/>
      <s:c r="B9663" s="121" t="n"/>
      <s:c r="C9663" s="121" t="n"/>
      <s:c r="D9663" s="121" t="n"/>
      <s:c r="E9663" s="122" t="n"/>
    </s:row>
    <s:row r="9664" hidden="1" ht="1" customHeight="1">
      <s:c r="A9664" s="120" t="inlineStr"/>
      <s:c r="B9664" s="121" t="n"/>
      <s:c r="C9664" s="121" t="n"/>
      <s:c r="D9664" s="121" t="n"/>
      <s:c r="E9664" s="122" t="n"/>
    </s:row>
    <s:row r="9665" hidden="1" ht="1" customHeight="1">
      <s:c r="A9665" s="120" t="inlineStr"/>
      <s:c r="B9665" s="121" t="n"/>
      <s:c r="C9665" s="121" t="n"/>
      <s:c r="D9665" s="121" t="n"/>
      <s:c r="E9665" s="122" t="n"/>
    </s:row>
    <s:row r="9666" hidden="1" ht="1" customHeight="1">
      <s:c r="A9666" s="120" t="inlineStr"/>
      <s:c r="B9666" s="121" t="n"/>
      <s:c r="C9666" s="121" t="n"/>
      <s:c r="D9666" s="121" t="n"/>
      <s:c r="E9666" s="122" t="n"/>
    </s:row>
    <s:row r="9667" hidden="1" ht="1" customHeight="1">
      <s:c r="A9667" s="120" t="inlineStr"/>
      <s:c r="B9667" s="121" t="n"/>
      <s:c r="C9667" s="121" t="n"/>
      <s:c r="D9667" s="121" t="n"/>
      <s:c r="E9667" s="122" t="n"/>
    </s:row>
    <s:row r="9668" hidden="1" ht="1" customHeight="1">
      <s:c r="A9668" s="120" t="inlineStr"/>
      <s:c r="B9668" s="121" t="n"/>
      <s:c r="C9668" s="121" t="n"/>
      <s:c r="D9668" s="121" t="n"/>
      <s:c r="E9668" s="122" t="n"/>
    </s:row>
    <s:row r="9669" hidden="1" ht="1" customHeight="1">
      <s:c r="A9669" s="120" t="inlineStr"/>
      <s:c r="B9669" s="121" t="n"/>
      <s:c r="C9669" s="121" t="n"/>
      <s:c r="D9669" s="121" t="n"/>
      <s:c r="E9669" s="122" t="n"/>
    </s:row>
    <s:row r="9670" hidden="1" ht="1" customHeight="1">
      <s:c r="A9670" s="120" t="inlineStr"/>
      <s:c r="B9670" s="121" t="n"/>
      <s:c r="C9670" s="121" t="n"/>
      <s:c r="D9670" s="121" t="n"/>
      <s:c r="E9670" s="122" t="n"/>
    </s:row>
    <s:row r="9671" hidden="1" ht="1" customHeight="1">
      <s:c r="A9671" s="120" t="inlineStr"/>
      <s:c r="B9671" s="121" t="n"/>
      <s:c r="C9671" s="121" t="n"/>
      <s:c r="D9671" s="121" t="n"/>
      <s:c r="E9671" s="122" t="n"/>
    </s:row>
    <s:row r="9672" hidden="1" ht="1" customHeight="1">
      <s:c r="A9672" s="120" t="inlineStr"/>
      <s:c r="B9672" s="121" t="n"/>
      <s:c r="C9672" s="121" t="n"/>
      <s:c r="D9672" s="121" t="n"/>
      <s:c r="E9672" s="122" t="n"/>
    </s:row>
    <s:row r="9673" hidden="1" ht="1" customHeight="1">
      <s:c r="A9673" s="120" t="inlineStr"/>
      <s:c r="B9673" s="121" t="n"/>
      <s:c r="C9673" s="121" t="n"/>
      <s:c r="D9673" s="121" t="n"/>
      <s:c r="E9673" s="122" t="n"/>
    </s:row>
    <s:row r="9674" hidden="1" ht="1" customHeight="1">
      <s:c r="A9674" s="120" t="inlineStr"/>
      <s:c r="B9674" s="121" t="n"/>
      <s:c r="C9674" s="121" t="n"/>
      <s:c r="D9674" s="121" t="n"/>
      <s:c r="E9674" s="122" t="n"/>
    </s:row>
    <s:row r="9675" hidden="1" ht="1" customHeight="1">
      <s:c r="A9675" s="120" t="inlineStr"/>
      <s:c r="B9675" s="121" t="n"/>
      <s:c r="C9675" s="121" t="n"/>
      <s:c r="D9675" s="121" t="n"/>
      <s:c r="E9675" s="122" t="n"/>
    </s:row>
    <s:row r="9676" hidden="1" ht="1" customHeight="1">
      <s:c r="A9676" s="120" t="inlineStr"/>
      <s:c r="B9676" s="121" t="n"/>
      <s:c r="C9676" s="121" t="n"/>
      <s:c r="D9676" s="121" t="n"/>
      <s:c r="E9676" s="122" t="n"/>
    </s:row>
    <s:row r="9677" hidden="1" ht="1" customHeight="1">
      <s:c r="A9677" s="120" t="inlineStr"/>
      <s:c r="B9677" s="121" t="n"/>
      <s:c r="C9677" s="121" t="n"/>
      <s:c r="D9677" s="121" t="n"/>
      <s:c r="E9677" s="122" t="n"/>
    </s:row>
    <s:row r="9678" hidden="1" ht="1" customHeight="1">
      <s:c r="A9678" s="120" t="inlineStr"/>
      <s:c r="B9678" s="121" t="n"/>
      <s:c r="C9678" s="121" t="n"/>
      <s:c r="D9678" s="121" t="n"/>
      <s:c r="E9678" s="122" t="n"/>
    </s:row>
    <s:row r="9679" hidden="1" ht="1" customHeight="1">
      <s:c r="A9679" s="120" t="inlineStr"/>
      <s:c r="B9679" s="121" t="n"/>
      <s:c r="C9679" s="121" t="n"/>
      <s:c r="D9679" s="121" t="n"/>
      <s:c r="E9679" s="122" t="n"/>
    </s:row>
    <s:row r="9680" hidden="1" ht="1" customHeight="1">
      <s:c r="A9680" s="120" t="inlineStr"/>
      <s:c r="B9680" s="121" t="n"/>
      <s:c r="C9680" s="121" t="n"/>
      <s:c r="D9680" s="121" t="n"/>
      <s:c r="E9680" s="122" t="n"/>
    </s:row>
    <s:row r="9681" hidden="1" ht="1" customHeight="1">
      <s:c r="A9681" s="120" t="inlineStr"/>
      <s:c r="B9681" s="121" t="n"/>
      <s:c r="C9681" s="121" t="n"/>
      <s:c r="D9681" s="121" t="n"/>
      <s:c r="E9681" s="122" t="n"/>
    </s:row>
    <s:row r="9682" hidden="1" ht="1" customHeight="1">
      <s:c r="A9682" s="120" t="inlineStr"/>
      <s:c r="B9682" s="121" t="n"/>
      <s:c r="C9682" s="121" t="n"/>
      <s:c r="D9682" s="121" t="n"/>
      <s:c r="E9682" s="122" t="n"/>
    </s:row>
    <s:row r="9683" hidden="1" ht="1" customHeight="1">
      <s:c r="A9683" s="120" t="inlineStr"/>
      <s:c r="B9683" s="121" t="n"/>
      <s:c r="C9683" s="121" t="n"/>
      <s:c r="D9683" s="121" t="n"/>
      <s:c r="E9683" s="122" t="n"/>
    </s:row>
    <s:row r="9684" hidden="1" ht="1" customHeight="1">
      <s:c r="A9684" s="120" t="inlineStr"/>
      <s:c r="B9684" s="121" t="n"/>
      <s:c r="C9684" s="121" t="n"/>
      <s:c r="D9684" s="121" t="n"/>
      <s:c r="E9684" s="122" t="n"/>
    </s:row>
    <s:row r="9685" hidden="1" ht="1" customHeight="1">
      <s:c r="A9685" s="120" t="inlineStr"/>
      <s:c r="B9685" s="121" t="n"/>
      <s:c r="C9685" s="121" t="n"/>
      <s:c r="D9685" s="121" t="n"/>
      <s:c r="E9685" s="122" t="n"/>
    </s:row>
    <s:row r="9686" hidden="1" ht="1" customHeight="1">
      <s:c r="A9686" s="120" t="inlineStr"/>
      <s:c r="B9686" s="121" t="n"/>
      <s:c r="C9686" s="121" t="n"/>
      <s:c r="D9686" s="121" t="n"/>
      <s:c r="E9686" s="122" t="n"/>
    </s:row>
    <s:row r="9687" hidden="1" ht="1" customHeight="1">
      <s:c r="A9687" s="120" t="inlineStr"/>
      <s:c r="B9687" s="121" t="n"/>
      <s:c r="C9687" s="121" t="n"/>
      <s:c r="D9687" s="121" t="n"/>
      <s:c r="E9687" s="122" t="n"/>
    </s:row>
    <s:row r="9688" hidden="1" ht="1" customHeight="1">
      <s:c r="A9688" s="120" t="inlineStr"/>
      <s:c r="B9688" s="121" t="n"/>
      <s:c r="C9688" s="121" t="n"/>
      <s:c r="D9688" s="121" t="n"/>
      <s:c r="E9688" s="122" t="n"/>
    </s:row>
    <s:row r="9689" hidden="1" ht="1" customHeight="1">
      <s:c r="A9689" s="120" t="inlineStr"/>
      <s:c r="B9689" s="121" t="n"/>
      <s:c r="C9689" s="121" t="n"/>
      <s:c r="D9689" s="121" t="n"/>
      <s:c r="E9689" s="122" t="n"/>
    </s:row>
    <s:row r="9690" hidden="1" ht="1" customHeight="1">
      <s:c r="A9690" s="120" t="inlineStr"/>
      <s:c r="B9690" s="121" t="n"/>
      <s:c r="C9690" s="121" t="n"/>
      <s:c r="D9690" s="121" t="n"/>
      <s:c r="E9690" s="122" t="n"/>
    </s:row>
    <s:row r="9691" hidden="1" ht="1" customHeight="1">
      <s:c r="A9691" s="120" t="inlineStr"/>
      <s:c r="B9691" s="121" t="n"/>
      <s:c r="C9691" s="121" t="n"/>
      <s:c r="D9691" s="121" t="n"/>
      <s:c r="E9691" s="122" t="n"/>
    </s:row>
    <s:row r="9692" hidden="1" ht="1" customHeight="1">
      <s:c r="A9692" s="120" t="inlineStr"/>
      <s:c r="B9692" s="121" t="n"/>
      <s:c r="C9692" s="121" t="n"/>
      <s:c r="D9692" s="121" t="n"/>
      <s:c r="E9692" s="122" t="n"/>
    </s:row>
    <s:row r="9693" hidden="1" ht="1" customHeight="1">
      <s:c r="A9693" s="120" t="inlineStr"/>
      <s:c r="B9693" s="121" t="n"/>
      <s:c r="C9693" s="121" t="n"/>
      <s:c r="D9693" s="121" t="n"/>
      <s:c r="E9693" s="122" t="n"/>
    </s:row>
    <s:row r="9694" hidden="1" ht="1" customHeight="1">
      <s:c r="A9694" s="120" t="inlineStr"/>
      <s:c r="B9694" s="121" t="n"/>
      <s:c r="C9694" s="121" t="n"/>
      <s:c r="D9694" s="121" t="n"/>
      <s:c r="E9694" s="122" t="n"/>
    </s:row>
    <s:row r="9695" hidden="1" ht="1" customHeight="1">
      <s:c r="A9695" s="120" t="inlineStr"/>
      <s:c r="B9695" s="121" t="n"/>
      <s:c r="C9695" s="121" t="n"/>
      <s:c r="D9695" s="121" t="n"/>
      <s:c r="E9695" s="122" t="n"/>
    </s:row>
    <s:row r="9696" hidden="1" ht="1" customHeight="1">
      <s:c r="A9696" s="120" t="inlineStr"/>
      <s:c r="B9696" s="121" t="n"/>
      <s:c r="C9696" s="121" t="n"/>
      <s:c r="D9696" s="121" t="n"/>
      <s:c r="E9696" s="122" t="n"/>
    </s:row>
    <s:row r="9697" hidden="1" ht="1" customHeight="1">
      <s:c r="A9697" s="120" t="inlineStr"/>
      <s:c r="B9697" s="121" t="n"/>
      <s:c r="C9697" s="121" t="n"/>
      <s:c r="D9697" s="121" t="n"/>
      <s:c r="E9697" s="122" t="n"/>
    </s:row>
    <s:row r="9698" hidden="1" ht="1" customHeight="1">
      <s:c r="A9698" s="120" t="inlineStr"/>
      <s:c r="B9698" s="121" t="n"/>
      <s:c r="C9698" s="121" t="n"/>
      <s:c r="D9698" s="121" t="n"/>
      <s:c r="E9698" s="122" t="n"/>
    </s:row>
    <s:row r="9699" hidden="1" ht="1" customHeight="1">
      <s:c r="A9699" s="120" t="inlineStr"/>
      <s:c r="B9699" s="121" t="n"/>
      <s:c r="C9699" s="121" t="n"/>
      <s:c r="D9699" s="121" t="n"/>
      <s:c r="E9699" s="122" t="n"/>
    </s:row>
    <s:row r="9700" hidden="1" ht="1" customHeight="1">
      <s:c r="A9700" s="120" t="inlineStr"/>
      <s:c r="B9700" s="121" t="n"/>
      <s:c r="C9700" s="121" t="n"/>
      <s:c r="D9700" s="121" t="n"/>
      <s:c r="E9700" s="122" t="n"/>
    </s:row>
    <s:row r="9701" hidden="1" ht="1" customHeight="1">
      <s:c r="A9701" s="120" t="inlineStr"/>
      <s:c r="B9701" s="121" t="n"/>
      <s:c r="C9701" s="121" t="n"/>
      <s:c r="D9701" s="121" t="n"/>
      <s:c r="E9701" s="122" t="n"/>
    </s:row>
    <s:row r="9702" hidden="1" ht="1" customHeight="1">
      <s:c r="A9702" s="120" t="inlineStr"/>
      <s:c r="B9702" s="121" t="n"/>
      <s:c r="C9702" s="121" t="n"/>
      <s:c r="D9702" s="121" t="n"/>
      <s:c r="E9702" s="122" t="n"/>
    </s:row>
    <s:row r="9703" hidden="1" ht="1" customHeight="1">
      <s:c r="A9703" s="120" t="inlineStr"/>
      <s:c r="B9703" s="121" t="n"/>
      <s:c r="C9703" s="121" t="n"/>
      <s:c r="D9703" s="121" t="n"/>
      <s:c r="E9703" s="122" t="n"/>
    </s:row>
    <s:row r="9704" hidden="1" ht="1" customHeight="1">
      <s:c r="A9704" s="120" t="inlineStr"/>
      <s:c r="B9704" s="121" t="n"/>
      <s:c r="C9704" s="121" t="n"/>
      <s:c r="D9704" s="121" t="n"/>
      <s:c r="E9704" s="122" t="n"/>
    </s:row>
    <s:row r="9705" hidden="1" ht="1" customHeight="1">
      <s:c r="A9705" s="120" t="inlineStr"/>
      <s:c r="B9705" s="121" t="n"/>
      <s:c r="C9705" s="121" t="n"/>
      <s:c r="D9705" s="121" t="n"/>
      <s:c r="E9705" s="122" t="n"/>
    </s:row>
    <s:row r="9706" hidden="1" ht="1" customHeight="1">
      <s:c r="A9706" s="120" t="inlineStr"/>
      <s:c r="B9706" s="121" t="n"/>
      <s:c r="C9706" s="121" t="n"/>
      <s:c r="D9706" s="121" t="n"/>
      <s:c r="E9706" s="122" t="n"/>
    </s:row>
    <s:row r="9707" hidden="1" ht="1" customHeight="1">
      <s:c r="A9707" s="120" t="inlineStr"/>
      <s:c r="B9707" s="121" t="n"/>
      <s:c r="C9707" s="121" t="n"/>
      <s:c r="D9707" s="121" t="n"/>
      <s:c r="E9707" s="122" t="n"/>
    </s:row>
    <s:row r="9708" hidden="1" ht="1" customHeight="1">
      <s:c r="A9708" s="120" t="inlineStr"/>
      <s:c r="B9708" s="121" t="n"/>
      <s:c r="C9708" s="121" t="n"/>
      <s:c r="D9708" s="121" t="n"/>
      <s:c r="E9708" s="122" t="n"/>
    </s:row>
    <s:row r="9709" hidden="1" ht="1" customHeight="1">
      <s:c r="A9709" s="120" t="inlineStr"/>
      <s:c r="B9709" s="121" t="n"/>
      <s:c r="C9709" s="121" t="n"/>
      <s:c r="D9709" s="121" t="n"/>
      <s:c r="E9709" s="122" t="n"/>
    </s:row>
    <s:row r="9710" hidden="1" ht="1" customHeight="1">
      <s:c r="A9710" s="120" t="inlineStr"/>
      <s:c r="B9710" s="121" t="n"/>
      <s:c r="C9710" s="121" t="n"/>
      <s:c r="D9710" s="121" t="n"/>
      <s:c r="E9710" s="122" t="n"/>
    </s:row>
    <s:row r="9711" hidden="1" ht="1" customHeight="1">
      <s:c r="A9711" s="120" t="inlineStr"/>
      <s:c r="B9711" s="121" t="n"/>
      <s:c r="C9711" s="121" t="n"/>
      <s:c r="D9711" s="121" t="n"/>
      <s:c r="E9711" s="122" t="n"/>
    </s:row>
    <s:row r="9712" hidden="1" ht="1" customHeight="1">
      <s:c r="A9712" s="120" t="inlineStr"/>
      <s:c r="B9712" s="121" t="n"/>
      <s:c r="C9712" s="121" t="n"/>
      <s:c r="D9712" s="121" t="n"/>
      <s:c r="E9712" s="122" t="n"/>
    </s:row>
    <s:row r="9713" hidden="1" ht="1" customHeight="1">
      <s:c r="A9713" s="120" t="inlineStr"/>
      <s:c r="B9713" s="121" t="n"/>
      <s:c r="C9713" s="121" t="n"/>
      <s:c r="D9713" s="121" t="n"/>
      <s:c r="E9713" s="122" t="n"/>
    </s:row>
    <s:row r="9714" hidden="1" ht="1" customHeight="1">
      <s:c r="A9714" s="120" t="inlineStr"/>
      <s:c r="B9714" s="121" t="n"/>
      <s:c r="C9714" s="121" t="n"/>
      <s:c r="D9714" s="121" t="n"/>
      <s:c r="E9714" s="122" t="n"/>
    </s:row>
    <s:row r="9715" hidden="1" ht="1" customHeight="1">
      <s:c r="A9715" s="120" t="inlineStr"/>
      <s:c r="B9715" s="121" t="n"/>
      <s:c r="C9715" s="121" t="n"/>
      <s:c r="D9715" s="121" t="n"/>
      <s:c r="E9715" s="122" t="n"/>
    </s:row>
    <s:row r="9716" hidden="1" ht="1" customHeight="1">
      <s:c r="A9716" s="120" t="inlineStr"/>
      <s:c r="B9716" s="121" t="n"/>
      <s:c r="C9716" s="121" t="n"/>
      <s:c r="D9716" s="121" t="n"/>
      <s:c r="E9716" s="122" t="n"/>
    </s:row>
    <s:row r="9717" hidden="1" ht="1" customHeight="1">
      <s:c r="A9717" s="120" t="inlineStr"/>
      <s:c r="B9717" s="121" t="n"/>
      <s:c r="C9717" s="121" t="n"/>
      <s:c r="D9717" s="121" t="n"/>
      <s:c r="E9717" s="122" t="n"/>
    </s:row>
    <s:row r="9718" hidden="1" ht="1" customHeight="1">
      <s:c r="A9718" s="120" t="inlineStr"/>
      <s:c r="B9718" s="121" t="n"/>
      <s:c r="C9718" s="121" t="n"/>
      <s:c r="D9718" s="121" t="n"/>
      <s:c r="E9718" s="122" t="n"/>
    </s:row>
    <s:row r="9719" hidden="1" ht="1" customHeight="1">
      <s:c r="A9719" s="120" t="inlineStr"/>
      <s:c r="B9719" s="121" t="n"/>
      <s:c r="C9719" s="121" t="n"/>
      <s:c r="D9719" s="121" t="n"/>
      <s:c r="E9719" s="122" t="n"/>
    </s:row>
    <s:row r="9720" hidden="1" ht="1" customHeight="1">
      <s:c r="A9720" s="120" t="inlineStr"/>
      <s:c r="B9720" s="121" t="n"/>
      <s:c r="C9720" s="121" t="n"/>
      <s:c r="D9720" s="121" t="n"/>
      <s:c r="E9720" s="122" t="n"/>
    </s:row>
    <s:row r="9721" hidden="1" ht="1" customHeight="1">
      <s:c r="A9721" s="120" t="inlineStr"/>
      <s:c r="B9721" s="121" t="n"/>
      <s:c r="C9721" s="121" t="n"/>
      <s:c r="D9721" s="121" t="n"/>
      <s:c r="E9721" s="122" t="n"/>
    </s:row>
    <s:row r="9722" hidden="1" ht="1" customHeight="1">
      <s:c r="A9722" s="120" t="inlineStr"/>
      <s:c r="B9722" s="121" t="n"/>
      <s:c r="C9722" s="121" t="n"/>
      <s:c r="D9722" s="121" t="n"/>
      <s:c r="E9722" s="122" t="n"/>
    </s:row>
    <s:row r="9723" hidden="1" ht="1" customHeight="1">
      <s:c r="A9723" s="120" t="inlineStr"/>
      <s:c r="B9723" s="121" t="n"/>
      <s:c r="C9723" s="121" t="n"/>
      <s:c r="D9723" s="121" t="n"/>
      <s:c r="E9723" s="122" t="n"/>
    </s:row>
    <s:row r="9724" hidden="1" ht="1" customHeight="1">
      <s:c r="A9724" s="120" t="inlineStr"/>
      <s:c r="B9724" s="121" t="n"/>
      <s:c r="C9724" s="121" t="n"/>
      <s:c r="D9724" s="121" t="n"/>
      <s:c r="E9724" s="122" t="n"/>
    </s:row>
    <s:row r="9725" hidden="1" ht="1" customHeight="1">
      <s:c r="A9725" s="120" t="inlineStr"/>
      <s:c r="B9725" s="121" t="n"/>
      <s:c r="C9725" s="121" t="n"/>
      <s:c r="D9725" s="121" t="n"/>
      <s:c r="E9725" s="122" t="n"/>
    </s:row>
    <s:row r="9726" hidden="1" ht="1" customHeight="1">
      <s:c r="A9726" s="120" t="inlineStr"/>
      <s:c r="B9726" s="121" t="n"/>
      <s:c r="C9726" s="121" t="n"/>
      <s:c r="D9726" s="121" t="n"/>
      <s:c r="E9726" s="122" t="n"/>
    </s:row>
    <s:row r="9727" hidden="1" ht="1" customHeight="1">
      <s:c r="A9727" s="120" t="inlineStr"/>
      <s:c r="B9727" s="121" t="n"/>
      <s:c r="C9727" s="121" t="n"/>
      <s:c r="D9727" s="121" t="n"/>
      <s:c r="E9727" s="122" t="n"/>
    </s:row>
    <s:row r="9728" hidden="1" ht="1" customHeight="1">
      <s:c r="A9728" s="120" t="inlineStr"/>
      <s:c r="B9728" s="121" t="n"/>
      <s:c r="C9728" s="121" t="n"/>
      <s:c r="D9728" s="121" t="n"/>
      <s:c r="E9728" s="122" t="n"/>
    </s:row>
    <s:row r="9729" hidden="1" ht="1" customHeight="1">
      <s:c r="A9729" s="120" t="inlineStr"/>
      <s:c r="B9729" s="121" t="n"/>
      <s:c r="C9729" s="121" t="n"/>
      <s:c r="D9729" s="121" t="n"/>
      <s:c r="E9729" s="122" t="n"/>
    </s:row>
    <s:row r="9730" hidden="1" ht="1" customHeight="1">
      <s:c r="A9730" s="120" t="inlineStr"/>
      <s:c r="B9730" s="121" t="n"/>
      <s:c r="C9730" s="121" t="n"/>
      <s:c r="D9730" s="121" t="n"/>
      <s:c r="E9730" s="122" t="n"/>
    </s:row>
    <s:row r="9731" hidden="1" ht="1" customHeight="1">
      <s:c r="A9731" s="120" t="inlineStr"/>
      <s:c r="B9731" s="121" t="n"/>
      <s:c r="C9731" s="121" t="n"/>
      <s:c r="D9731" s="121" t="n"/>
      <s:c r="E9731" s="122" t="n"/>
    </s:row>
    <s:row r="9732" hidden="1" ht="1" customHeight="1">
      <s:c r="A9732" s="120" t="inlineStr"/>
      <s:c r="B9732" s="121" t="n"/>
      <s:c r="C9732" s="121" t="n"/>
      <s:c r="D9732" s="121" t="n"/>
      <s:c r="E9732" s="122" t="n"/>
    </s:row>
    <s:row r="9733" hidden="1" ht="1" customHeight="1">
      <s:c r="A9733" s="120" t="inlineStr"/>
      <s:c r="B9733" s="121" t="n"/>
      <s:c r="C9733" s="121" t="n"/>
      <s:c r="D9733" s="121" t="n"/>
      <s:c r="E9733" s="122" t="n"/>
    </s:row>
    <s:row r="9734" hidden="1" ht="1" customHeight="1">
      <s:c r="A9734" s="120" t="inlineStr"/>
      <s:c r="B9734" s="121" t="n"/>
      <s:c r="C9734" s="121" t="n"/>
      <s:c r="D9734" s="121" t="n"/>
      <s:c r="E9734" s="122" t="n"/>
    </s:row>
    <s:row r="9735" hidden="1" ht="1" customHeight="1">
      <s:c r="A9735" s="120" t="inlineStr"/>
      <s:c r="B9735" s="121" t="n"/>
      <s:c r="C9735" s="121" t="n"/>
      <s:c r="D9735" s="121" t="n"/>
      <s:c r="E9735" s="122" t="n"/>
    </s:row>
    <s:row r="9736" hidden="1" ht="1" customHeight="1">
      <s:c r="A9736" s="120" t="inlineStr"/>
      <s:c r="B9736" s="121" t="n"/>
      <s:c r="C9736" s="121" t="n"/>
      <s:c r="D9736" s="121" t="n"/>
      <s:c r="E9736" s="122" t="n"/>
    </s:row>
    <s:row r="9737" hidden="1" ht="1" customHeight="1">
      <s:c r="A9737" s="120" t="inlineStr"/>
      <s:c r="B9737" s="121" t="n"/>
      <s:c r="C9737" s="121" t="n"/>
      <s:c r="D9737" s="121" t="n"/>
      <s:c r="E9737" s="122" t="n"/>
    </s:row>
    <s:row r="9738" hidden="1" ht="1" customHeight="1">
      <s:c r="A9738" s="120" t="inlineStr"/>
      <s:c r="B9738" s="121" t="n"/>
      <s:c r="C9738" s="121" t="n"/>
      <s:c r="D9738" s="121" t="n"/>
      <s:c r="E9738" s="122" t="n"/>
    </s:row>
    <s:row r="9739" hidden="1" ht="1" customHeight="1">
      <s:c r="A9739" s="120" t="inlineStr"/>
      <s:c r="B9739" s="121" t="n"/>
      <s:c r="C9739" s="121" t="n"/>
      <s:c r="D9739" s="121" t="n"/>
      <s:c r="E9739" s="122" t="n"/>
    </s:row>
    <s:row r="9740" hidden="1" ht="1" customHeight="1">
      <s:c r="A9740" s="120" t="inlineStr"/>
      <s:c r="B9740" s="121" t="n"/>
      <s:c r="C9740" s="121" t="n"/>
      <s:c r="D9740" s="121" t="n"/>
      <s:c r="E9740" s="122" t="n"/>
    </s:row>
    <s:row r="9741" hidden="1" ht="1" customHeight="1">
      <s:c r="A9741" s="120" t="inlineStr"/>
      <s:c r="B9741" s="121" t="n"/>
      <s:c r="C9741" s="121" t="n"/>
      <s:c r="D9741" s="121" t="n"/>
      <s:c r="E9741" s="122" t="n"/>
    </s:row>
    <s:row r="9742" hidden="1" ht="1" customHeight="1">
      <s:c r="A9742" s="120" t="inlineStr"/>
      <s:c r="B9742" s="121" t="n"/>
      <s:c r="C9742" s="121" t="n"/>
      <s:c r="D9742" s="121" t="n"/>
      <s:c r="E9742" s="122" t="n"/>
    </s:row>
    <s:row r="9743" hidden="1" ht="1" customHeight="1">
      <s:c r="A9743" s="120" t="inlineStr"/>
      <s:c r="B9743" s="121" t="n"/>
      <s:c r="C9743" s="121" t="n"/>
      <s:c r="D9743" s="121" t="n"/>
      <s:c r="E9743" s="122" t="n"/>
    </s:row>
    <s:row r="9744" hidden="1" ht="1" customHeight="1">
      <s:c r="A9744" s="120" t="inlineStr"/>
      <s:c r="B9744" s="121" t="n"/>
      <s:c r="C9744" s="121" t="n"/>
      <s:c r="D9744" s="121" t="n"/>
      <s:c r="E9744" s="122" t="n"/>
    </s:row>
    <s:row r="9745" hidden="1" ht="1" customHeight="1">
      <s:c r="A9745" s="120" t="inlineStr"/>
      <s:c r="B9745" s="121" t="n"/>
      <s:c r="C9745" s="121" t="n"/>
      <s:c r="D9745" s="121" t="n"/>
      <s:c r="E9745" s="122" t="n"/>
    </s:row>
    <s:row r="9746" hidden="1" ht="1" customHeight="1">
      <s:c r="A9746" s="120" t="inlineStr"/>
      <s:c r="B9746" s="121" t="n"/>
      <s:c r="C9746" s="121" t="n"/>
      <s:c r="D9746" s="121" t="n"/>
      <s:c r="E9746" s="122" t="n"/>
    </s:row>
    <s:row r="9747" hidden="1" ht="1" customHeight="1">
      <s:c r="A9747" s="120" t="inlineStr"/>
      <s:c r="B9747" s="121" t="n"/>
      <s:c r="C9747" s="121" t="n"/>
      <s:c r="D9747" s="121" t="n"/>
      <s:c r="E9747" s="122" t="n"/>
    </s:row>
    <s:row r="9748" hidden="1" ht="1" customHeight="1">
      <s:c r="A9748" s="120" t="inlineStr"/>
      <s:c r="B9748" s="121" t="n"/>
      <s:c r="C9748" s="121" t="n"/>
      <s:c r="D9748" s="121" t="n"/>
      <s:c r="E9748" s="122" t="n"/>
    </s:row>
    <s:row r="9749" hidden="1" ht="1" customHeight="1">
      <s:c r="A9749" s="120" t="inlineStr"/>
      <s:c r="B9749" s="121" t="n"/>
      <s:c r="C9749" s="121" t="n"/>
      <s:c r="D9749" s="121" t="n"/>
      <s:c r="E9749" s="122" t="n"/>
    </s:row>
    <s:row r="9750" hidden="1" ht="1" customHeight="1">
      <s:c r="A9750" s="120" t="inlineStr"/>
      <s:c r="B9750" s="121" t="n"/>
      <s:c r="C9750" s="121" t="n"/>
      <s:c r="D9750" s="121" t="n"/>
      <s:c r="E9750" s="122" t="n"/>
    </s:row>
    <s:row r="9751" hidden="1" ht="1" customHeight="1">
      <s:c r="A9751" s="120" t="inlineStr"/>
      <s:c r="B9751" s="121" t="n"/>
      <s:c r="C9751" s="121" t="n"/>
      <s:c r="D9751" s="121" t="n"/>
      <s:c r="E9751" s="122" t="n"/>
    </s:row>
    <s:row r="9752" hidden="1" ht="1" customHeight="1">
      <s:c r="A9752" s="120" t="inlineStr"/>
      <s:c r="B9752" s="121" t="n"/>
      <s:c r="C9752" s="121" t="n"/>
      <s:c r="D9752" s="121" t="n"/>
      <s:c r="E9752" s="122" t="n"/>
    </s:row>
    <s:row r="9753" hidden="1" ht="1" customHeight="1">
      <s:c r="A9753" s="120" t="inlineStr"/>
      <s:c r="B9753" s="121" t="n"/>
      <s:c r="C9753" s="121" t="n"/>
      <s:c r="D9753" s="121" t="n"/>
      <s:c r="E9753" s="122" t="n"/>
    </s:row>
    <s:row r="9754" hidden="1" ht="1" customHeight="1">
      <s:c r="A9754" s="120" t="inlineStr"/>
      <s:c r="B9754" s="121" t="n"/>
      <s:c r="C9754" s="121" t="n"/>
      <s:c r="D9754" s="121" t="n"/>
      <s:c r="E9754" s="122" t="n"/>
    </s:row>
    <s:row r="9755" hidden="1" ht="1" customHeight="1">
      <s:c r="A9755" s="120" t="inlineStr"/>
      <s:c r="B9755" s="121" t="n"/>
      <s:c r="C9755" s="121" t="n"/>
      <s:c r="D9755" s="121" t="n"/>
      <s:c r="E9755" s="122" t="n"/>
    </s:row>
    <s:row r="9756" hidden="1" ht="1" customHeight="1">
      <s:c r="A9756" s="120" t="inlineStr"/>
      <s:c r="B9756" s="121" t="n"/>
      <s:c r="C9756" s="121" t="n"/>
      <s:c r="D9756" s="121" t="n"/>
      <s:c r="E9756" s="122" t="n"/>
    </s:row>
    <s:row r="9757" hidden="1" ht="1" customHeight="1">
      <s:c r="A9757" s="120" t="inlineStr"/>
      <s:c r="B9757" s="121" t="n"/>
      <s:c r="C9757" s="121" t="n"/>
      <s:c r="D9757" s="121" t="n"/>
      <s:c r="E9757" s="122" t="n"/>
    </s:row>
    <s:row r="9758" hidden="1" ht="1" customHeight="1">
      <s:c r="A9758" s="120" t="inlineStr"/>
      <s:c r="B9758" s="121" t="n"/>
      <s:c r="C9758" s="121" t="n"/>
      <s:c r="D9758" s="121" t="n"/>
      <s:c r="E9758" s="122" t="n"/>
    </s:row>
    <s:row r="9759" hidden="1" ht="1" customHeight="1">
      <s:c r="A9759" s="120" t="inlineStr"/>
      <s:c r="B9759" s="121" t="n"/>
      <s:c r="C9759" s="121" t="n"/>
      <s:c r="D9759" s="121" t="n"/>
      <s:c r="E9759" s="122" t="n"/>
    </s:row>
    <s:row r="9760" hidden="1" ht="1" customHeight="1">
      <s:c r="A9760" s="120" t="inlineStr"/>
      <s:c r="B9760" s="121" t="n"/>
      <s:c r="C9760" s="121" t="n"/>
      <s:c r="D9760" s="121" t="n"/>
      <s:c r="E9760" s="122" t="n"/>
    </s:row>
    <s:row r="9761" hidden="1" ht="1" customHeight="1">
      <s:c r="A9761" s="120" t="inlineStr"/>
      <s:c r="B9761" s="121" t="n"/>
      <s:c r="C9761" s="121" t="n"/>
      <s:c r="D9761" s="121" t="n"/>
      <s:c r="E9761" s="122" t="n"/>
    </s:row>
    <s:row r="9762" hidden="1" ht="1" customHeight="1">
      <s:c r="A9762" s="120" t="inlineStr"/>
      <s:c r="B9762" s="121" t="n"/>
      <s:c r="C9762" s="121" t="n"/>
      <s:c r="D9762" s="121" t="n"/>
      <s:c r="E9762" s="122" t="n"/>
    </s:row>
    <s:row r="9763" hidden="1" ht="1" customHeight="1">
      <s:c r="A9763" s="120" t="inlineStr"/>
      <s:c r="B9763" s="121" t="n"/>
      <s:c r="C9763" s="121" t="n"/>
      <s:c r="D9763" s="121" t="n"/>
      <s:c r="E9763" s="122" t="n"/>
    </s:row>
    <s:row r="9764" hidden="1" ht="1" customHeight="1">
      <s:c r="A9764" s="120" t="inlineStr"/>
      <s:c r="B9764" s="121" t="n"/>
      <s:c r="C9764" s="121" t="n"/>
      <s:c r="D9764" s="121" t="n"/>
      <s:c r="E9764" s="122" t="n"/>
    </s:row>
    <s:row r="9765" hidden="1" ht="1" customHeight="1">
      <s:c r="A9765" s="120" t="inlineStr"/>
      <s:c r="B9765" s="121" t="n"/>
      <s:c r="C9765" s="121" t="n"/>
      <s:c r="D9765" s="121" t="n"/>
      <s:c r="E9765" s="122" t="n"/>
    </s:row>
    <s:row r="9766" hidden="1" ht="1" customHeight="1">
      <s:c r="A9766" s="120" t="inlineStr"/>
      <s:c r="B9766" s="121" t="n"/>
      <s:c r="C9766" s="121" t="n"/>
      <s:c r="D9766" s="121" t="n"/>
      <s:c r="E9766" s="122" t="n"/>
    </s:row>
    <s:row r="9767" hidden="1" ht="1" customHeight="1">
      <s:c r="A9767" s="120" t="inlineStr"/>
      <s:c r="B9767" s="121" t="n"/>
      <s:c r="C9767" s="121" t="n"/>
      <s:c r="D9767" s="121" t="n"/>
      <s:c r="E9767" s="122" t="n"/>
    </s:row>
    <s:row r="9768" hidden="1" ht="1" customHeight="1">
      <s:c r="A9768" s="120" t="inlineStr"/>
      <s:c r="B9768" s="121" t="n"/>
      <s:c r="C9768" s="121" t="n"/>
      <s:c r="D9768" s="121" t="n"/>
      <s:c r="E9768" s="122" t="n"/>
    </s:row>
    <s:row r="9769" hidden="1" ht="1" customHeight="1">
      <s:c r="A9769" s="120" t="inlineStr"/>
      <s:c r="B9769" s="121" t="n"/>
      <s:c r="C9769" s="121" t="n"/>
      <s:c r="D9769" s="121" t="n"/>
      <s:c r="E9769" s="122" t="n"/>
    </s:row>
    <s:row r="9770" hidden="1" ht="1" customHeight="1">
      <s:c r="A9770" s="120" t="inlineStr"/>
      <s:c r="B9770" s="121" t="n"/>
      <s:c r="C9770" s="121" t="n"/>
      <s:c r="D9770" s="121" t="n"/>
      <s:c r="E9770" s="122" t="n"/>
    </s:row>
    <s:row r="9771" hidden="1" ht="1" customHeight="1">
      <s:c r="A9771" s="120" t="inlineStr"/>
      <s:c r="B9771" s="121" t="n"/>
      <s:c r="C9771" s="121" t="n"/>
      <s:c r="D9771" s="121" t="n"/>
      <s:c r="E9771" s="122" t="n"/>
    </s:row>
    <s:row r="9772" hidden="1" ht="1" customHeight="1">
      <s:c r="A9772" s="120" t="inlineStr"/>
      <s:c r="B9772" s="121" t="n"/>
      <s:c r="C9772" s="121" t="n"/>
      <s:c r="D9772" s="121" t="n"/>
      <s:c r="E9772" s="122" t="n"/>
    </s:row>
    <s:row r="9773" hidden="1" ht="1" customHeight="1">
      <s:c r="A9773" s="120" t="inlineStr"/>
      <s:c r="B9773" s="121" t="n"/>
      <s:c r="C9773" s="121" t="n"/>
      <s:c r="D9773" s="121" t="n"/>
      <s:c r="E9773" s="122" t="n"/>
    </s:row>
    <s:row r="9774" hidden="1" ht="1" customHeight="1">
      <s:c r="A9774" s="120" t="inlineStr"/>
      <s:c r="B9774" s="121" t="n"/>
      <s:c r="C9774" s="121" t="n"/>
      <s:c r="D9774" s="121" t="n"/>
      <s:c r="E9774" s="122" t="n"/>
    </s:row>
    <s:row r="9775" hidden="1" ht="1" customHeight="1">
      <s:c r="A9775" s="120" t="inlineStr"/>
      <s:c r="B9775" s="121" t="n"/>
      <s:c r="C9775" s="121" t="n"/>
      <s:c r="D9775" s="121" t="n"/>
      <s:c r="E9775" s="122" t="n"/>
    </s:row>
    <s:row r="9776" hidden="1" ht="1" customHeight="1">
      <s:c r="A9776" s="120" t="inlineStr"/>
      <s:c r="B9776" s="121" t="n"/>
      <s:c r="C9776" s="121" t="n"/>
      <s:c r="D9776" s="121" t="n"/>
      <s:c r="E9776" s="122" t="n"/>
    </s:row>
    <s:row r="9777" hidden="1" ht="1" customHeight="1">
      <s:c r="A9777" s="120" t="inlineStr"/>
      <s:c r="B9777" s="121" t="n"/>
      <s:c r="C9777" s="121" t="n"/>
      <s:c r="D9777" s="121" t="n"/>
      <s:c r="E9777" s="122" t="n"/>
    </s:row>
    <s:row r="9778" hidden="1" ht="1" customHeight="1">
      <s:c r="A9778" s="120" t="inlineStr"/>
      <s:c r="B9778" s="121" t="n"/>
      <s:c r="C9778" s="121" t="n"/>
      <s:c r="D9778" s="121" t="n"/>
      <s:c r="E9778" s="122" t="n"/>
    </s:row>
    <s:row r="9779" hidden="1" ht="1" customHeight="1">
      <s:c r="A9779" s="120" t="inlineStr"/>
      <s:c r="B9779" s="121" t="n"/>
      <s:c r="C9779" s="121" t="n"/>
      <s:c r="D9779" s="121" t="n"/>
      <s:c r="E9779" s="122" t="n"/>
    </s:row>
    <s:row r="9780" hidden="1" ht="1" customHeight="1">
      <s:c r="A9780" s="120" t="inlineStr"/>
      <s:c r="B9780" s="121" t="n"/>
      <s:c r="C9780" s="121" t="n"/>
      <s:c r="D9780" s="121" t="n"/>
      <s:c r="E9780" s="122" t="n"/>
    </s:row>
    <s:row r="9781" hidden="1" ht="1" customHeight="1">
      <s:c r="A9781" s="120" t="inlineStr"/>
      <s:c r="B9781" s="121" t="n"/>
      <s:c r="C9781" s="121" t="n"/>
      <s:c r="D9781" s="121" t="n"/>
      <s:c r="E9781" s="122" t="n"/>
    </s:row>
    <s:row r="9782" hidden="1" ht="1" customHeight="1">
      <s:c r="A9782" s="83" t="inlineStr">
        <s:is>
          <s:t>PASS</s:t>
        </s:is>
      </s:c>
      <s:c r="B9782" s="83">
        <s:f>SUM(IF(EXACT('Kiểm thử'!E9032,"Đạt"),1,0),IF(EXACT('Kiểm thử'!E9034,"Đạt"),1,0),IF(EXACT('Kiểm thử'!E9036,"Đạt"),1,0),IF(EXACT('Kiểm thử'!E9038,"Đạt"),1,0),IF(EXACT('Kiểm thử'!E9040,"Đạt"),1,0),IF(EXACT('Kiểm thử'!E9042,"Đạt"),1,0),IF(EXACT('Kiểm thử'!E9044,"Đạt"),1,0),IF(EXACT('Kiểm thử'!E9046,"Đạt"),1,0),IF(EXACT('Kiểm thử'!E9048,"Đạt"),1,0),IF(EXACT('Kiểm thử'!E9050,"Đạt"),1,0),IF(EXACT('Kiểm thử'!E9052,"Đạt"),1,0),IF(EXACT('Kiểm thử'!E9054,"Đạt"),1,0),IF(EXACT('Kiểm thử'!E9056,"Đạt"),1,0),IF(EXACT('Kiểm thử'!E9058,"Đạt"),1,0),IF(EXACT('Kiểm thử'!E9060,"Đạt"),1,0))</s:f>
        <s:v/>
      </s:c>
      <s:c r="C9782" s="19" t="n"/>
      <s:c r="D9782" s="19" t="n"/>
      <s:c r="E9782" s="19" t="n"/>
    </s:row>
    <s:row r="9783" hidden="1" ht="1" customHeight="1">
      <s:c r="A9783" s="83" t="inlineStr">
        <s:is>
          <s:t>FAIL</s:t>
        </s:is>
      </s:c>
      <s:c r="B9783" s="83">
        <s:f>SUM(IF(EXACT('Kiểm thử'!E9032,"Không đạt"),1,0),IF(EXACT('Kiểm thử'!E9034,"Không đạt"),1,0),IF(EXACT('Kiểm thử'!E9036,"Không đạt"),1,0),IF(EXACT('Kiểm thử'!E9038,"Không đạt"),1,0),IF(EXACT('Kiểm thử'!E9040,"Không đạt"),1,0),IF(EXACT('Kiểm thử'!E9042,"Không đạt"),1,0),IF(EXACT('Kiểm thử'!E9044,"Không đạt"),1,0),IF(EXACT('Kiểm thử'!E9046,"Không đạt"),1,0),IF(EXACT('Kiểm thử'!E9048,"Không đạt"),1,0),IF(EXACT('Kiểm thử'!E9050,"Không đạt"),1,0),IF(EXACT('Kiểm thử'!E9052,"Không đạt"),1,0),IF(EXACT('Kiểm thử'!E9054,"Không đạt"),1,0),IF(EXACT('Kiểm thử'!E9056,"Không đạt"),1,0),IF(EXACT('Kiểm thử'!E9058,"Không đạt"),1,0),IF(EXACT('Kiểm thử'!E9060,"Không đạt"),1,0))</s:f>
        <s:v/>
      </s:c>
      <s:c r="C9783" s="19" t="n"/>
      <s:c r="D9783" s="19" t="n"/>
      <s:c r="E9783" s="19" t="n"/>
    </s:row>
    <s:row r="9784" hidden="1" ht="1" customHeight="1">
      <s:c r="A9784" s="83" t="inlineStr">
        <s:is>
          <s:t>BLOCKED</s:t>
        </s:is>
      </s:c>
      <s:c r="B9784" s="83">
        <s:f>SUM(IF(EXACT('Kiểm thử'!E9032,"Bị chặn"),1,0),IF(EXACT('Kiểm thử'!E9034,"Bị chặn"),1,0),IF(EXACT('Kiểm thử'!E9036,"Bị chặn"),1,0),IF(EXACT('Kiểm thử'!E9038,"Bị chặn"),1,0),IF(EXACT('Kiểm thử'!E9040,"Bị chặn"),1,0),IF(EXACT('Kiểm thử'!E9042,"Bị chặn"),1,0),IF(EXACT('Kiểm thử'!E9044,"Bị chặn"),1,0),IF(EXACT('Kiểm thử'!E9046,"Bị chặn"),1,0),IF(EXACT('Kiểm thử'!E9048,"Bị chặn"),1,0),IF(EXACT('Kiểm thử'!E9050,"Bị chặn"),1,0),IF(EXACT('Kiểm thử'!E9052,"Bị chặn"),1,0),IF(EXACT('Kiểm thử'!E9054,"Bị chặn"),1,0),IF(EXACT('Kiểm thử'!E9056,"Bị chặn"),1,0),IF(EXACT('Kiểm thử'!E9058,"Bị chặn"),1,0),IF(EXACT('Kiểm thử'!E9060,"Bị chặn"),1,0))</s:f>
        <s:v/>
      </s:c>
      <s:c r="C9784" s="19" t="n"/>
      <s:c r="D9784" s="19" t="n"/>
      <s:c r="E9784" s="19" t="n"/>
    </s:row>
    <s:row r="9785" hidden="1" ht="1" customHeight="1">
      <s:c r="A9785" s="83" t="inlineStr">
        <s:is>
          <s:t>SKIPPED</s:t>
        </s:is>
      </s:c>
      <s:c r="B9785" s="83">
        <s:f>SUM(IF(EXACT('Kiểm thử'!E9032,"Không thực hiện"),1,0),IF(EXACT('Kiểm thử'!E9034,"Không thực hiện"),1,0),IF(EXACT('Kiểm thử'!E9036,"Không thực hiện"),1,0),IF(EXACT('Kiểm thử'!E9038,"Không thực hiện"),1,0),IF(EXACT('Kiểm thử'!E9040,"Không thực hiện"),1,0),IF(EXACT('Kiểm thử'!E9042,"Không thực hiện"),1,0),IF(EXACT('Kiểm thử'!E9044,"Không thực hiện"),1,0),IF(EXACT('Kiểm thử'!E9046,"Không thực hiện"),1,0),IF(EXACT('Kiểm thử'!E9048,"Không thực hiện"),1,0),IF(EXACT('Kiểm thử'!E9050,"Không thực hiện"),1,0),IF(EXACT('Kiểm thử'!E9052,"Không thực hiện"),1,0),IF(EXACT('Kiểm thử'!E9054,"Không thực hiện"),1,0),IF(EXACT('Kiểm thử'!E9056,"Không thực hiện"),1,0),IF(EXACT('Kiểm thử'!E9058,"Không thực hiện"),1,0),IF(EXACT('Kiểm thử'!E9060,"Không thực hiện"),1,0))</s:f>
        <s:v/>
      </s:c>
      <s:c r="C9785" s="19" t="n"/>
      <s:c r="D9785" s="19" t="n"/>
      <s:c r="E9785" s="19" t="n"/>
    </s:row>
    <s:row r="9786" hidden="1" ht="1" customHeight="1">
      <s:c r="A9786" s="83" t="inlineStr">
        <s:is>
          <s:t>NOT RUN</s:t>
        </s:is>
      </s:c>
      <s:c r="B9786" s="83">
        <s:f>SUM(IF(EXACT('Kiểm thử'!E9032,"Chưa thực hiện"),1,0),IF(EXACT('Kiểm thử'!E9034,"Chưa thực hiện"),1,0),IF(EXACT('Kiểm thử'!E9036,"Chưa thực hiện"),1,0),IF(EXACT('Kiểm thử'!E9038,"Chưa thực hiện"),1,0),IF(EXACT('Kiểm thử'!E9040,"Chưa thực hiện"),1,0),IF(EXACT('Kiểm thử'!E9042,"Chưa thực hiện"),1,0),IF(EXACT('Kiểm thử'!E9044,"Chưa thực hiện"),1,0),IF(EXACT('Kiểm thử'!E9046,"Chưa thực hiện"),1,0),IF(EXACT('Kiểm thử'!E9048,"Chưa thực hiện"),1,0),IF(EXACT('Kiểm thử'!E9050,"Chưa thực hiện"),1,0),IF(EXACT('Kiểm thử'!E9052,"Chưa thực hiện"),1,0),IF(EXACT('Kiểm thử'!E9054,"Chưa thực hiện"),1,0),IF(EXACT('Kiểm thử'!E9056,"Chưa thực hiện"),1,0),IF(EXACT('Kiểm thử'!E9058,"Chưa thực hiện"),1,0),IF(EXACT('Kiểm thử'!E9060,"Chưa thực hiện"),1,0))</s:f>
        <s:v/>
      </s:c>
      <s:c r="C9786" s="19" t="n"/>
      <s:c r="D9786" s="19" t="n"/>
      <s:c r="E9786" s="19" t="n"/>
    </s:row>
    <s:row r="9787" hidden="1" ht="6" customHeight="1">
      <s:c r="A9787" s="83" t="inlineStr"/>
      <s:c r="B9787" s="19" t="n"/>
      <s:c r="C9787" s="19" t="n"/>
      <s:c r="D9787" s="19" t="n"/>
      <s:c r="E9787" s="19" t="n"/>
    </s:row>
    <s:row r="9788" ht="28" customHeight="1">
      <s:c r="A9788" s="108" t="inlineStr">
        <s:is>
          <s:t>TC-RS-CALC-020 — Làm tròn ngưỡng, không làm tròn điểm học sinh</s:t>
        </s:is>
      </s:c>
      <s:c r="B9788" s="111" t="n"/>
      <s:c r="C9788" s="111" t="n"/>
      <s:c r="D9788" s="111" t="n"/>
      <s:c r="E9788" s="111" t="n"/>
    </s:row>
    <s:row r="9789" ht="20" customHeight="1">
      <s:c r="A9789" s="112" t="inlineStr">
        <s:is>
          <s:t>Kết quả tình huống</s:t>
        </s:is>
      </s:c>
      <s:c r="B9789" s="113">
        <s:f>IF(SUM(IF(EXACT('Kiểm thử'!E9797,"Không đạt"),1,0),IF(EXACT('Kiểm thử'!E9799,"Không đạt"),1,0))&gt;0,"Không đạt",IF(SUM(IF(EXACT('Kiểm thử'!E9797,"Đạt"),1,0),IF(EXACT('Kiểm thử'!E9799,"Đạt"),1,0))=2,"Đạt",IF(SUM(IF(EXACT('Kiểm thử'!E9797,"Không thực hiện"),1,0),IF(EXACT('Kiểm thử'!E9799,"Không thực hiện"),1,0))=2,"Không thực hiện",IF(SUM(IF(EXACT('Kiểm thử'!E9797,"Bị chặn"),1,0),IF(EXACT('Kiểm thử'!E9799,"Bị chặn"),1,0))&gt;0,"Bị chặn",IF(SUM(IF(EXACT('Kiểm thử'!E9797,"Chưa thực hiện"),1,0),IF(EXACT('Kiểm thử'!E9799,"Chưa thực hiện"),1,0))=2,"Chưa thực hiện","Đang thực hiện")))))</s:f>
        <s:v/>
      </s:c>
      <s:c r="C9789" s="114" t="n"/>
      <s:c r="D9789" s="114" t="n"/>
      <s:c r="E9789" s="114" t="n"/>
    </s:row>
    <s:row r="9790" ht="20" customHeight="1">
      <s:c r="A9790" s="112" t="inlineStr">
        <s:is>
          <s:t>Màn hình / chức năng</s:t>
        </s:is>
      </s:c>
      <s:c r="B9790" s="113" t="inlineStr">
        <s:is>
          <s:r>
            <s:rPr>
              <s:b val="1"/>
            </s:rPr>
            <s:t>Thiết lập ngưỡng（基準設定）</s:t>
          </s:r>
        </s:is>
      </s:c>
      <s:c r="C9790" s="28" t="n"/>
      <s:c r="D9790" s="28" t="n"/>
      <s:c r="E9790" s="28" t="n"/>
    </s:row>
    <s:row r="9791" ht="34" customHeight="1">
      <s:c r="A9791" s="112" t="inlineStr">
        <s:is>
          <s:t>Cấu hình</s:t>
        </s:is>
      </s:c>
      <s:c r="B9791" s="113" t="inlineStr">
        <s:is>
          <s:r>
            <s:t>• Mục số thập phân (</s:t>
          </s:r>
          <s:r>
            <s:rPr>
              <s:b val="1"/>
            </s:rPr>
            <s:t>M=100</s:t>
          </s:r>
          <s:r>
            <s:t xml:space="preserve">) với </s:t>
          </s:r>
          <s:r>
            <s:rPr>
              <s:b val="1"/>
            </s:rPr>
            <s:t>M=99</s:t>
          </s:r>
          <s:r>
            <s:t>;
• Tỷ lệ 30% ([T_thô=29.7]), [&lt;].</s:t>
          </s:r>
        </s:is>
      </s:c>
      <s:c r="C9791" s="28" t="n"/>
      <s:c r="D9791" s="28" t="n"/>
      <s:c r="E9791" s="28" t="n"/>
    </s:row>
    <s:row r="9792" ht="34" customHeight="1">
      <s:c r="A9792" s="112" t="inlineStr">
        <s:is>
          <s:t>Dữ liệu test</s:t>
        </s:is>
      </s:c>
      <s:c r="B9792" s="113" t="inlineStr">
        <s:is>
          <s:r>
            <s:t>• Mục số thập phân (</s:t>
          </s:r>
          <s:r>
            <s:rPr>
              <s:b val="1"/>
            </s:rPr>
            <s:t>M=100</s:t>
          </s:r>
          <s:r>
            <s:t>);
• S = 29.5</s:t>
          </s:r>
        </s:is>
      </s:c>
      <s:c r="C9792" s="28" t="n"/>
      <s:c r="D9792" s="28" t="n"/>
      <s:c r="E9792" s="28" t="n"/>
    </s:row>
    <s:row r="9793" ht="20" customHeight="1">
      <s:c r="A9793" s="112" t="inlineStr">
        <s:is>
          <s:t>•</s:t>
        </s:is>
      </s:c>
      <s:c r="B9793" s="113" t="inlineStr">
        <s:is>
          <s:t>(A) Xuống p1.</s:t>
        </s:is>
      </s:c>
      <s:c r="C9793" s="28" t="n"/>
      <s:c r="D9793" s="28" t="n"/>
      <s:c r="E9793" s="28" t="n"/>
    </s:row>
    <s:row r="9794" ht="20" customHeight="1">
      <s:c r="A9794" s="112" t="inlineStr">
        <s:is>
          <s:t>•</s:t>
        </s:is>
      </s:c>
      <s:c r="B9794" s="113" t="inlineStr">
        <s:is>
          <s:t>(B) Gần nhất p1.</s:t>
        </s:is>
      </s:c>
      <s:c r="C9794" s="28" t="n"/>
      <s:c r="D9794" s="28" t="n"/>
      <s:c r="E9794" s="28" t="n"/>
    </s:row>
    <s:row r="9795" ht="28" customHeight="1">
      <s:c r="A9795" s="115" t="inlineStr">
        <s:is>
          <s:t>Trường hợp</s:t>
        </s:is>
      </s:c>
      <s:c r="B9795" s="115" t="inlineStr">
        <s:is>
          <s:t>Dữ liệu / thao tác riêng</s:t>
        </s:is>
      </s:c>
      <s:c r="C9795" s="115" t="inlineStr">
        <s:is>
          <s:t>Kết quả mong đợi</s:t>
        </s:is>
      </s:c>
      <s:c r="D9795" s="115" t="inlineStr">
        <s:is>
          <s:t>Kết quả thực tế</s:t>
        </s:is>
      </s:c>
      <s:c r="E9795" s="115" t="inlineStr">
        <s:is>
          <s:t>Đánh giá</s:t>
        </s:is>
      </s:c>
    </s:row>
    <s:row r="9796" ht="3" customHeight="1">
      <s:c r="A9796" s="102" t="inlineStr"/>
      <s:c r="B9796" s="99" t="n"/>
      <s:c r="C9796" s="99" t="n"/>
      <s:c r="D9796" s="116" t="n"/>
      <s:c r="E9796" s="116" t="n"/>
    </s:row>
    <s:row r="9797" ht="62" customHeight="1">
      <s:c r="A9797" s="83" t="inlineStr">
        <s:is>
          <s:t>Làm tròn ngưỡng xuống (down)</s:t>
        </s:is>
      </s:c>
      <s:c r="B9797" s="83" t="inlineStr">
        <s:is>
          <s:r>
            <s:rPr>
              <s:b val="1"/>
            </s:rPr>
            <s:t>M=99</s:t>
          </s:r>
          <s:r>
            <s:t>,</s:t>
          </s:r>
          <s:r>
            <s:rPr>
              <s:b val="1"/>
            </s:rPr>
            <s:t>N=30%</s:t>
          </s:r>
          <s:r>
            <s:t>,T thô29.7,</s:t>
          </s:r>
          <s:r>
            <s:rPr>
              <s:b val="1"/>
            </s:rPr>
            <s:t>S=29.5</s:t>
          </s:r>
          <s:r>
            <s:t>,dấu &lt;; chọn Làm tròn xuống p=1, chạy xét và đọc điểm/ngưỡng.</s:t>
          </s:r>
        </s:is>
      </s:c>
      <s:c r="C9797" s="83" t="inlineStr">
        <s:is>
          <s:r>
            <s:t>(A) [</s:t>
          </s:r>
          <s:r>
            <s:rPr>
              <s:b val="1"/>
            </s:rPr>
            <s:t>T=29</s:t>
          </s:r>
          <s:r>
            <s:t xml:space="preserve">]; [29.5&lt;29] sai → </s:t>
          </s:r>
          <s:r>
            <s:rPr>
              <s:b val="1"/>
            </s:rPr>
            <s:t>Không đỏ</s:t>
          </s:r>
          <s:r>
            <s:t>. (Nếu làm tròn S thành 29 và giữ [</s:t>
          </s:r>
          <s:r>
            <s:rPr>
              <s:b val="1"/>
            </s:rPr>
            <s:t>T=29.7</s:t>
          </s:r>
          <s:r>
            <s:t xml:space="preserve">] → </s:t>
          </s:r>
          <s:r>
            <s:rPr>
              <s:b val="1"/>
            </s:rPr>
            <s:t>Đỏ</s:t>
          </s:r>
          <s:r>
            <s:t xml:space="preserve"> — sai.)
Điểm lưu vẫn 29.5.</s:t>
          </s:r>
        </s:is>
      </s:c>
      <s:c r="D9797" s="117" t="inlineStr"/>
      <s:c r="E9797" s="118" t="inlineStr">
        <s:is>
          <s:t>Chưa thực hiện</s:t>
        </s:is>
      </s:c>
    </s:row>
    <s:row r="9798" ht="3" customHeight="1">
      <s:c r="A9798" s="102" t="inlineStr"/>
      <s:c r="B9798" s="99" t="n"/>
      <s:c r="C9798" s="99" t="n"/>
      <s:c r="D9798" s="116" t="n"/>
      <s:c r="E9798" s="116" t="n"/>
    </s:row>
    <s:row r="9799" ht="48" customHeight="1">
      <s:c r="A9799" s="83" t="inlineStr">
        <s:is>
          <s:t>Làm tròn ngưỡng gần nhất (nearest)</s:t>
        </s:is>
      </s:c>
      <s:c r="B9799" s="83" t="inlineStr">
        <s:is>
          <s:r>
            <s:rPr>
              <s:b val="1"/>
            </s:rPr>
            <s:t>M=99</s:t>
          </s:r>
          <s:r>
            <s:t>,</s:t>
          </s:r>
          <s:r>
            <s:rPr>
              <s:b val="1"/>
            </s:rPr>
            <s:t>N=30%</s:t>
          </s:r>
          <s:r>
            <s:t>,T thô29.7,</s:t>
          </s:r>
          <s:r>
            <s:rPr>
              <s:b val="1"/>
            </s:rPr>
            <s:t>S=29.5</s:t>
          </s:r>
          <s:r>
            <s:t>,dấu &lt;; chọn Làm tròn gần nhất p=1, chạy xét và đọc điểm/ngưỡng.</s:t>
          </s:r>
        </s:is>
      </s:c>
      <s:c r="C9799" s="83" t="inlineStr">
        <s:is>
          <s:r>
            <s:t>(B) [</s:t>
          </s:r>
          <s:r>
            <s:rPr>
              <s:b val="1"/>
            </s:rPr>
            <s:t>T=30</s:t>
          </s:r>
          <s:r>
            <s:t xml:space="preserve">]; [29.5&lt;30] → </s:t>
          </s:r>
          <s:r>
            <s:rPr>
              <s:b val="1"/>
            </s:rPr>
            <s:t>Đỏ</s:t>
          </s:r>
          <s:r>
            <s:t xml:space="preserve">. (Nếu làm tròn S thành 30 → </s:t>
          </s:r>
          <s:r>
            <s:rPr>
              <s:b val="1"/>
            </s:rPr>
            <s:t>Không đỏ</s:t>
          </s:r>
          <s:r>
            <s:t xml:space="preserve"> — sai.)
Điểm lưu vẫn 29.5.</s:t>
          </s:r>
        </s:is>
      </s:c>
      <s:c r="D9799" s="117" t="inlineStr"/>
      <s:c r="E9799" s="118" t="inlineStr">
        <s:is>
          <s:t>Chưa thực hiện</s:t>
        </s:is>
      </s:c>
    </s:row>
    <s:row r="9800" ht="20" customHeight="1">
      <s:c r="A9800" s="119" t="inlineStr">
        <s:is>
          <s:t>Ảnh minh chứng — Chưa có ảnh</s:t>
        </s:is>
      </s:c>
      <s:c r="B9800" s="19" t="n"/>
      <s:c r="C9800" s="19" t="n"/>
      <s:c r="D9800" s="19" t="n"/>
      <s:c r="E9800" s="19" t="n"/>
    </s:row>
    <s:row r="9801" hidden="1" ht="1" customHeight="1">
      <s:c r="A9801" s="120" t="inlineStr"/>
      <s:c r="B9801" s="121" t="n"/>
      <s:c r="C9801" s="121" t="n"/>
      <s:c r="D9801" s="121" t="n"/>
      <s:c r="E9801" s="122" t="n"/>
    </s:row>
    <s:row r="9802" hidden="1" ht="1" customHeight="1">
      <s:c r="A9802" s="120" t="inlineStr"/>
      <s:c r="B9802" s="121" t="n"/>
      <s:c r="C9802" s="121" t="n"/>
      <s:c r="D9802" s="121" t="n"/>
      <s:c r="E9802" s="122" t="n"/>
    </s:row>
    <s:row r="9803" hidden="1" ht="1" customHeight="1">
      <s:c r="A9803" s="120" t="inlineStr"/>
      <s:c r="B9803" s="121" t="n"/>
      <s:c r="C9803" s="121" t="n"/>
      <s:c r="D9803" s="121" t="n"/>
      <s:c r="E9803" s="122" t="n"/>
    </s:row>
    <s:row r="9804" hidden="1" ht="1" customHeight="1">
      <s:c r="A9804" s="120" t="inlineStr"/>
      <s:c r="B9804" s="121" t="n"/>
      <s:c r="C9804" s="121" t="n"/>
      <s:c r="D9804" s="121" t="n"/>
      <s:c r="E9804" s="122" t="n"/>
    </s:row>
    <s:row r="9805" hidden="1" ht="1" customHeight="1">
      <s:c r="A9805" s="120" t="inlineStr"/>
      <s:c r="B9805" s="121" t="n"/>
      <s:c r="C9805" s="121" t="n"/>
      <s:c r="D9805" s="121" t="n"/>
      <s:c r="E9805" s="122" t="n"/>
    </s:row>
    <s:row r="9806" hidden="1" ht="1" customHeight="1">
      <s:c r="A9806" s="120" t="inlineStr"/>
      <s:c r="B9806" s="121" t="n"/>
      <s:c r="C9806" s="121" t="n"/>
      <s:c r="D9806" s="121" t="n"/>
      <s:c r="E9806" s="122" t="n"/>
    </s:row>
    <s:row r="9807" hidden="1" ht="1" customHeight="1">
      <s:c r="A9807" s="120" t="inlineStr"/>
      <s:c r="B9807" s="121" t="n"/>
      <s:c r="C9807" s="121" t="n"/>
      <s:c r="D9807" s="121" t="n"/>
      <s:c r="E9807" s="122" t="n"/>
    </s:row>
    <s:row r="9808" hidden="1" ht="1" customHeight="1">
      <s:c r="A9808" s="120" t="inlineStr"/>
      <s:c r="B9808" s="121" t="n"/>
      <s:c r="C9808" s="121" t="n"/>
      <s:c r="D9808" s="121" t="n"/>
      <s:c r="E9808" s="122" t="n"/>
    </s:row>
    <s:row r="9809" hidden="1" ht="1" customHeight="1">
      <s:c r="A9809" s="120" t="inlineStr"/>
      <s:c r="B9809" s="121" t="n"/>
      <s:c r="C9809" s="121" t="n"/>
      <s:c r="D9809" s="121" t="n"/>
      <s:c r="E9809" s="122" t="n"/>
    </s:row>
    <s:row r="9810" hidden="1" ht="1" customHeight="1">
      <s:c r="A9810" s="120" t="inlineStr"/>
      <s:c r="B9810" s="121" t="n"/>
      <s:c r="C9810" s="121" t="n"/>
      <s:c r="D9810" s="121" t="n"/>
      <s:c r="E9810" s="122" t="n"/>
    </s:row>
    <s:row r="9811" hidden="1" ht="1" customHeight="1">
      <s:c r="A9811" s="120" t="inlineStr"/>
      <s:c r="B9811" s="121" t="n"/>
      <s:c r="C9811" s="121" t="n"/>
      <s:c r="D9811" s="121" t="n"/>
      <s:c r="E9811" s="122" t="n"/>
    </s:row>
    <s:row r="9812" hidden="1" ht="1" customHeight="1">
      <s:c r="A9812" s="120" t="inlineStr"/>
      <s:c r="B9812" s="121" t="n"/>
      <s:c r="C9812" s="121" t="n"/>
      <s:c r="D9812" s="121" t="n"/>
      <s:c r="E9812" s="122" t="n"/>
    </s:row>
    <s:row r="9813" hidden="1" ht="1" customHeight="1">
      <s:c r="A9813" s="120" t="inlineStr"/>
      <s:c r="B9813" s="121" t="n"/>
      <s:c r="C9813" s="121" t="n"/>
      <s:c r="D9813" s="121" t="n"/>
      <s:c r="E9813" s="122" t="n"/>
    </s:row>
    <s:row r="9814" hidden="1" ht="1" customHeight="1">
      <s:c r="A9814" s="120" t="inlineStr"/>
      <s:c r="B9814" s="121" t="n"/>
      <s:c r="C9814" s="121" t="n"/>
      <s:c r="D9814" s="121" t="n"/>
      <s:c r="E9814" s="122" t="n"/>
    </s:row>
    <s:row r="9815" hidden="1" ht="1" customHeight="1">
      <s:c r="A9815" s="120" t="inlineStr"/>
      <s:c r="B9815" s="121" t="n"/>
      <s:c r="C9815" s="121" t="n"/>
      <s:c r="D9815" s="121" t="n"/>
      <s:c r="E9815" s="122" t="n"/>
    </s:row>
    <s:row r="9816" hidden="1" ht="1" customHeight="1">
      <s:c r="A9816" s="120" t="inlineStr"/>
      <s:c r="B9816" s="121" t="n"/>
      <s:c r="C9816" s="121" t="n"/>
      <s:c r="D9816" s="121" t="n"/>
      <s:c r="E9816" s="122" t="n"/>
    </s:row>
    <s:row r="9817" hidden="1" ht="1" customHeight="1">
      <s:c r="A9817" s="120" t="inlineStr"/>
      <s:c r="B9817" s="121" t="n"/>
      <s:c r="C9817" s="121" t="n"/>
      <s:c r="D9817" s="121" t="n"/>
      <s:c r="E9817" s="122" t="n"/>
    </s:row>
    <s:row r="9818" hidden="1" ht="1" customHeight="1">
      <s:c r="A9818" s="120" t="inlineStr"/>
      <s:c r="B9818" s="121" t="n"/>
      <s:c r="C9818" s="121" t="n"/>
      <s:c r="D9818" s="121" t="n"/>
      <s:c r="E9818" s="122" t="n"/>
    </s:row>
    <s:row r="9819" hidden="1" ht="1" customHeight="1">
      <s:c r="A9819" s="120" t="inlineStr"/>
      <s:c r="B9819" s="121" t="n"/>
      <s:c r="C9819" s="121" t="n"/>
      <s:c r="D9819" s="121" t="n"/>
      <s:c r="E9819" s="122" t="n"/>
    </s:row>
    <s:row r="9820" hidden="1" ht="1" customHeight="1">
      <s:c r="A9820" s="120" t="inlineStr"/>
      <s:c r="B9820" s="121" t="n"/>
      <s:c r="C9820" s="121" t="n"/>
      <s:c r="D9820" s="121" t="n"/>
      <s:c r="E9820" s="122" t="n"/>
    </s:row>
    <s:row r="9821" hidden="1" ht="1" customHeight="1">
      <s:c r="A9821" s="120" t="inlineStr"/>
      <s:c r="B9821" s="121" t="n"/>
      <s:c r="C9821" s="121" t="n"/>
      <s:c r="D9821" s="121" t="n"/>
      <s:c r="E9821" s="122" t="n"/>
    </s:row>
    <s:row r="9822" hidden="1" ht="1" customHeight="1">
      <s:c r="A9822" s="120" t="inlineStr"/>
      <s:c r="B9822" s="121" t="n"/>
      <s:c r="C9822" s="121" t="n"/>
      <s:c r="D9822" s="121" t="n"/>
      <s:c r="E9822" s="122" t="n"/>
    </s:row>
    <s:row r="9823" hidden="1" ht="1" customHeight="1">
      <s:c r="A9823" s="120" t="inlineStr"/>
      <s:c r="B9823" s="121" t="n"/>
      <s:c r="C9823" s="121" t="n"/>
      <s:c r="D9823" s="121" t="n"/>
      <s:c r="E9823" s="122" t="n"/>
    </s:row>
    <s:row r="9824" hidden="1" ht="1" customHeight="1">
      <s:c r="A9824" s="120" t="inlineStr"/>
      <s:c r="B9824" s="121" t="n"/>
      <s:c r="C9824" s="121" t="n"/>
      <s:c r="D9824" s="121" t="n"/>
      <s:c r="E9824" s="122" t="n"/>
    </s:row>
    <s:row r="9825" hidden="1" ht="1" customHeight="1">
      <s:c r="A9825" s="120" t="inlineStr"/>
      <s:c r="B9825" s="121" t="n"/>
      <s:c r="C9825" s="121" t="n"/>
      <s:c r="D9825" s="121" t="n"/>
      <s:c r="E9825" s="122" t="n"/>
    </s:row>
    <s:row r="9826" hidden="1" ht="1" customHeight="1">
      <s:c r="A9826" s="120" t="inlineStr"/>
      <s:c r="B9826" s="121" t="n"/>
      <s:c r="C9826" s="121" t="n"/>
      <s:c r="D9826" s="121" t="n"/>
      <s:c r="E9826" s="122" t="n"/>
    </s:row>
    <s:row r="9827" hidden="1" ht="1" customHeight="1">
      <s:c r="A9827" s="120" t="inlineStr"/>
      <s:c r="B9827" s="121" t="n"/>
      <s:c r="C9827" s="121" t="n"/>
      <s:c r="D9827" s="121" t="n"/>
      <s:c r="E9827" s="122" t="n"/>
    </s:row>
    <s:row r="9828" hidden="1" ht="1" customHeight="1">
      <s:c r="A9828" s="120" t="inlineStr"/>
      <s:c r="B9828" s="121" t="n"/>
      <s:c r="C9828" s="121" t="n"/>
      <s:c r="D9828" s="121" t="n"/>
      <s:c r="E9828" s="122" t="n"/>
    </s:row>
    <s:row r="9829" hidden="1" ht="1" customHeight="1">
      <s:c r="A9829" s="120" t="inlineStr"/>
      <s:c r="B9829" s="121" t="n"/>
      <s:c r="C9829" s="121" t="n"/>
      <s:c r="D9829" s="121" t="n"/>
      <s:c r="E9829" s="122" t="n"/>
    </s:row>
    <s:row r="9830" hidden="1" ht="1" customHeight="1">
      <s:c r="A9830" s="120" t="inlineStr"/>
      <s:c r="B9830" s="121" t="n"/>
      <s:c r="C9830" s="121" t="n"/>
      <s:c r="D9830" s="121" t="n"/>
      <s:c r="E9830" s="122" t="n"/>
    </s:row>
    <s:row r="9831" hidden="1" ht="1" customHeight="1">
      <s:c r="A9831" s="120" t="inlineStr"/>
      <s:c r="B9831" s="121" t="n"/>
      <s:c r="C9831" s="121" t="n"/>
      <s:c r="D9831" s="121" t="n"/>
      <s:c r="E9831" s="122" t="n"/>
    </s:row>
    <s:row r="9832" hidden="1" ht="1" customHeight="1">
      <s:c r="A9832" s="120" t="inlineStr"/>
      <s:c r="B9832" s="121" t="n"/>
      <s:c r="C9832" s="121" t="n"/>
      <s:c r="D9832" s="121" t="n"/>
      <s:c r="E9832" s="122" t="n"/>
    </s:row>
    <s:row r="9833" hidden="1" ht="1" customHeight="1">
      <s:c r="A9833" s="120" t="inlineStr"/>
      <s:c r="B9833" s="121" t="n"/>
      <s:c r="C9833" s="121" t="n"/>
      <s:c r="D9833" s="121" t="n"/>
      <s:c r="E9833" s="122" t="n"/>
    </s:row>
    <s:row r="9834" hidden="1" ht="1" customHeight="1">
      <s:c r="A9834" s="120" t="inlineStr"/>
      <s:c r="B9834" s="121" t="n"/>
      <s:c r="C9834" s="121" t="n"/>
      <s:c r="D9834" s="121" t="n"/>
      <s:c r="E9834" s="122" t="n"/>
    </s:row>
    <s:row r="9835" hidden="1" ht="1" customHeight="1">
      <s:c r="A9835" s="120" t="inlineStr"/>
      <s:c r="B9835" s="121" t="n"/>
      <s:c r="C9835" s="121" t="n"/>
      <s:c r="D9835" s="121" t="n"/>
      <s:c r="E9835" s="122" t="n"/>
    </s:row>
    <s:row r="9836" hidden="1" ht="1" customHeight="1">
      <s:c r="A9836" s="120" t="inlineStr"/>
      <s:c r="B9836" s="121" t="n"/>
      <s:c r="C9836" s="121" t="n"/>
      <s:c r="D9836" s="121" t="n"/>
      <s:c r="E9836" s="122" t="n"/>
    </s:row>
    <s:row r="9837" hidden="1" ht="1" customHeight="1">
      <s:c r="A9837" s="120" t="inlineStr"/>
      <s:c r="B9837" s="121" t="n"/>
      <s:c r="C9837" s="121" t="n"/>
      <s:c r="D9837" s="121" t="n"/>
      <s:c r="E9837" s="122" t="n"/>
    </s:row>
    <s:row r="9838" hidden="1" ht="1" customHeight="1">
      <s:c r="A9838" s="120" t="inlineStr"/>
      <s:c r="B9838" s="121" t="n"/>
      <s:c r="C9838" s="121" t="n"/>
      <s:c r="D9838" s="121" t="n"/>
      <s:c r="E9838" s="122" t="n"/>
    </s:row>
    <s:row r="9839" hidden="1" ht="1" customHeight="1">
      <s:c r="A9839" s="120" t="inlineStr"/>
      <s:c r="B9839" s="121" t="n"/>
      <s:c r="C9839" s="121" t="n"/>
      <s:c r="D9839" s="121" t="n"/>
      <s:c r="E9839" s="122" t="n"/>
    </s:row>
    <s:row r="9840" hidden="1" ht="1" customHeight="1">
      <s:c r="A9840" s="120" t="inlineStr"/>
      <s:c r="B9840" s="121" t="n"/>
      <s:c r="C9840" s="121" t="n"/>
      <s:c r="D9840" s="121" t="n"/>
      <s:c r="E9840" s="122" t="n"/>
    </s:row>
    <s:row r="9841" hidden="1" ht="1" customHeight="1">
      <s:c r="A9841" s="120" t="inlineStr"/>
      <s:c r="B9841" s="121" t="n"/>
      <s:c r="C9841" s="121" t="n"/>
      <s:c r="D9841" s="121" t="n"/>
      <s:c r="E9841" s="122" t="n"/>
    </s:row>
    <s:row r="9842" hidden="1" ht="1" customHeight="1">
      <s:c r="A9842" s="120" t="inlineStr"/>
      <s:c r="B9842" s="121" t="n"/>
      <s:c r="C9842" s="121" t="n"/>
      <s:c r="D9842" s="121" t="n"/>
      <s:c r="E9842" s="122" t="n"/>
    </s:row>
    <s:row r="9843" hidden="1" ht="1" customHeight="1">
      <s:c r="A9843" s="120" t="inlineStr"/>
      <s:c r="B9843" s="121" t="n"/>
      <s:c r="C9843" s="121" t="n"/>
      <s:c r="D9843" s="121" t="n"/>
      <s:c r="E9843" s="122" t="n"/>
    </s:row>
    <s:row r="9844" hidden="1" ht="1" customHeight="1">
      <s:c r="A9844" s="120" t="inlineStr"/>
      <s:c r="B9844" s="121" t="n"/>
      <s:c r="C9844" s="121" t="n"/>
      <s:c r="D9844" s="121" t="n"/>
      <s:c r="E9844" s="122" t="n"/>
    </s:row>
    <s:row r="9845" hidden="1" ht="1" customHeight="1">
      <s:c r="A9845" s="120" t="inlineStr"/>
      <s:c r="B9845" s="121" t="n"/>
      <s:c r="C9845" s="121" t="n"/>
      <s:c r="D9845" s="121" t="n"/>
      <s:c r="E9845" s="122" t="n"/>
    </s:row>
    <s:row r="9846" hidden="1" ht="1" customHeight="1">
      <s:c r="A9846" s="120" t="inlineStr"/>
      <s:c r="B9846" s="121" t="n"/>
      <s:c r="C9846" s="121" t="n"/>
      <s:c r="D9846" s="121" t="n"/>
      <s:c r="E9846" s="122" t="n"/>
    </s:row>
    <s:row r="9847" hidden="1" ht="1" customHeight="1">
      <s:c r="A9847" s="120" t="inlineStr"/>
      <s:c r="B9847" s="121" t="n"/>
      <s:c r="C9847" s="121" t="n"/>
      <s:c r="D9847" s="121" t="n"/>
      <s:c r="E9847" s="122" t="n"/>
    </s:row>
    <s:row r="9848" hidden="1" ht="1" customHeight="1">
      <s:c r="A9848" s="120" t="inlineStr"/>
      <s:c r="B9848" s="121" t="n"/>
      <s:c r="C9848" s="121" t="n"/>
      <s:c r="D9848" s="121" t="n"/>
      <s:c r="E9848" s="122" t="n"/>
    </s:row>
    <s:row r="9849" hidden="1" ht="1" customHeight="1">
      <s:c r="A9849" s="120" t="inlineStr"/>
      <s:c r="B9849" s="121" t="n"/>
      <s:c r="C9849" s="121" t="n"/>
      <s:c r="D9849" s="121" t="n"/>
      <s:c r="E9849" s="122" t="n"/>
    </s:row>
    <s:row r="9850" hidden="1" ht="1" customHeight="1">
      <s:c r="A9850" s="120" t="inlineStr"/>
      <s:c r="B9850" s="121" t="n"/>
      <s:c r="C9850" s="121" t="n"/>
      <s:c r="D9850" s="121" t="n"/>
      <s:c r="E9850" s="122" t="n"/>
    </s:row>
    <s:row r="9851" hidden="1" ht="1" customHeight="1">
      <s:c r="A9851" s="120" t="inlineStr"/>
      <s:c r="B9851" s="121" t="n"/>
      <s:c r="C9851" s="121" t="n"/>
      <s:c r="D9851" s="121" t="n"/>
      <s:c r="E9851" s="122" t="n"/>
    </s:row>
    <s:row r="9852" hidden="1" ht="1" customHeight="1">
      <s:c r="A9852" s="120" t="inlineStr"/>
      <s:c r="B9852" s="121" t="n"/>
      <s:c r="C9852" s="121" t="n"/>
      <s:c r="D9852" s="121" t="n"/>
      <s:c r="E9852" s="122" t="n"/>
    </s:row>
    <s:row r="9853" hidden="1" ht="1" customHeight="1">
      <s:c r="A9853" s="120" t="inlineStr"/>
      <s:c r="B9853" s="121" t="n"/>
      <s:c r="C9853" s="121" t="n"/>
      <s:c r="D9853" s="121" t="n"/>
      <s:c r="E9853" s="122" t="n"/>
    </s:row>
    <s:row r="9854" hidden="1" ht="1" customHeight="1">
      <s:c r="A9854" s="120" t="inlineStr"/>
      <s:c r="B9854" s="121" t="n"/>
      <s:c r="C9854" s="121" t="n"/>
      <s:c r="D9854" s="121" t="n"/>
      <s:c r="E9854" s="122" t="n"/>
    </s:row>
    <s:row r="9855" hidden="1" ht="1" customHeight="1">
      <s:c r="A9855" s="120" t="inlineStr"/>
      <s:c r="B9855" s="121" t="n"/>
      <s:c r="C9855" s="121" t="n"/>
      <s:c r="D9855" s="121" t="n"/>
      <s:c r="E9855" s="122" t="n"/>
    </s:row>
    <s:row r="9856" hidden="1" ht="1" customHeight="1">
      <s:c r="A9856" s="120" t="inlineStr"/>
      <s:c r="B9856" s="121" t="n"/>
      <s:c r="C9856" s="121" t="n"/>
      <s:c r="D9856" s="121" t="n"/>
      <s:c r="E9856" s="122" t="n"/>
    </s:row>
    <s:row r="9857" hidden="1" ht="1" customHeight="1">
      <s:c r="A9857" s="120" t="inlineStr"/>
      <s:c r="B9857" s="121" t="n"/>
      <s:c r="C9857" s="121" t="n"/>
      <s:c r="D9857" s="121" t="n"/>
      <s:c r="E9857" s="122" t="n"/>
    </s:row>
    <s:row r="9858" hidden="1" ht="1" customHeight="1">
      <s:c r="A9858" s="120" t="inlineStr"/>
      <s:c r="B9858" s="121" t="n"/>
      <s:c r="C9858" s="121" t="n"/>
      <s:c r="D9858" s="121" t="n"/>
      <s:c r="E9858" s="122" t="n"/>
    </s:row>
    <s:row r="9859" hidden="1" ht="1" customHeight="1">
      <s:c r="A9859" s="120" t="inlineStr"/>
      <s:c r="B9859" s="121" t="n"/>
      <s:c r="C9859" s="121" t="n"/>
      <s:c r="D9859" s="121" t="n"/>
      <s:c r="E9859" s="122" t="n"/>
    </s:row>
    <s:row r="9860" hidden="1" ht="1" customHeight="1">
      <s:c r="A9860" s="120" t="inlineStr"/>
      <s:c r="B9860" s="121" t="n"/>
      <s:c r="C9860" s="121" t="n"/>
      <s:c r="D9860" s="121" t="n"/>
      <s:c r="E9860" s="122" t="n"/>
    </s:row>
    <s:row r="9861" hidden="1" ht="1" customHeight="1">
      <s:c r="A9861" s="120" t="inlineStr"/>
      <s:c r="B9861" s="121" t="n"/>
      <s:c r="C9861" s="121" t="n"/>
      <s:c r="D9861" s="121" t="n"/>
      <s:c r="E9861" s="122" t="n"/>
    </s:row>
    <s:row r="9862" hidden="1" ht="1" customHeight="1">
      <s:c r="A9862" s="120" t="inlineStr"/>
      <s:c r="B9862" s="121" t="n"/>
      <s:c r="C9862" s="121" t="n"/>
      <s:c r="D9862" s="121" t="n"/>
      <s:c r="E9862" s="122" t="n"/>
    </s:row>
    <s:row r="9863" hidden="1" ht="1" customHeight="1">
      <s:c r="A9863" s="120" t="inlineStr"/>
      <s:c r="B9863" s="121" t="n"/>
      <s:c r="C9863" s="121" t="n"/>
      <s:c r="D9863" s="121" t="n"/>
      <s:c r="E9863" s="122" t="n"/>
    </s:row>
    <s:row r="9864" hidden="1" ht="1" customHeight="1">
      <s:c r="A9864" s="120" t="inlineStr"/>
      <s:c r="B9864" s="121" t="n"/>
      <s:c r="C9864" s="121" t="n"/>
      <s:c r="D9864" s="121" t="n"/>
      <s:c r="E9864" s="122" t="n"/>
    </s:row>
    <s:row r="9865" hidden="1" ht="1" customHeight="1">
      <s:c r="A9865" s="120" t="inlineStr"/>
      <s:c r="B9865" s="121" t="n"/>
      <s:c r="C9865" s="121" t="n"/>
      <s:c r="D9865" s="121" t="n"/>
      <s:c r="E9865" s="122" t="n"/>
    </s:row>
    <s:row r="9866" hidden="1" ht="1" customHeight="1">
      <s:c r="A9866" s="120" t="inlineStr"/>
      <s:c r="B9866" s="121" t="n"/>
      <s:c r="C9866" s="121" t="n"/>
      <s:c r="D9866" s="121" t="n"/>
      <s:c r="E9866" s="122" t="n"/>
    </s:row>
    <s:row r="9867" hidden="1" ht="1" customHeight="1">
      <s:c r="A9867" s="120" t="inlineStr"/>
      <s:c r="B9867" s="121" t="n"/>
      <s:c r="C9867" s="121" t="n"/>
      <s:c r="D9867" s="121" t="n"/>
      <s:c r="E9867" s="122" t="n"/>
    </s:row>
    <s:row r="9868" hidden="1" ht="1" customHeight="1">
      <s:c r="A9868" s="120" t="inlineStr"/>
      <s:c r="B9868" s="121" t="n"/>
      <s:c r="C9868" s="121" t="n"/>
      <s:c r="D9868" s="121" t="n"/>
      <s:c r="E9868" s="122" t="n"/>
    </s:row>
    <s:row r="9869" hidden="1" ht="1" customHeight="1">
      <s:c r="A9869" s="120" t="inlineStr"/>
      <s:c r="B9869" s="121" t="n"/>
      <s:c r="C9869" s="121" t="n"/>
      <s:c r="D9869" s="121" t="n"/>
      <s:c r="E9869" s="122" t="n"/>
    </s:row>
    <s:row r="9870" hidden="1" ht="1" customHeight="1">
      <s:c r="A9870" s="120" t="inlineStr"/>
      <s:c r="B9870" s="121" t="n"/>
      <s:c r="C9870" s="121" t="n"/>
      <s:c r="D9870" s="121" t="n"/>
      <s:c r="E9870" s="122" t="n"/>
    </s:row>
    <s:row r="9871" hidden="1" ht="1" customHeight="1">
      <s:c r="A9871" s="120" t="inlineStr"/>
      <s:c r="B9871" s="121" t="n"/>
      <s:c r="C9871" s="121" t="n"/>
      <s:c r="D9871" s="121" t="n"/>
      <s:c r="E9871" s="122" t="n"/>
    </s:row>
    <s:row r="9872" hidden="1" ht="1" customHeight="1">
      <s:c r="A9872" s="120" t="inlineStr"/>
      <s:c r="B9872" s="121" t="n"/>
      <s:c r="C9872" s="121" t="n"/>
      <s:c r="D9872" s="121" t="n"/>
      <s:c r="E9872" s="122" t="n"/>
    </s:row>
    <s:row r="9873" hidden="1" ht="1" customHeight="1">
      <s:c r="A9873" s="120" t="inlineStr"/>
      <s:c r="B9873" s="121" t="n"/>
      <s:c r="C9873" s="121" t="n"/>
      <s:c r="D9873" s="121" t="n"/>
      <s:c r="E9873" s="122" t="n"/>
    </s:row>
    <s:row r="9874" hidden="1" ht="1" customHeight="1">
      <s:c r="A9874" s="120" t="inlineStr"/>
      <s:c r="B9874" s="121" t="n"/>
      <s:c r="C9874" s="121" t="n"/>
      <s:c r="D9874" s="121" t="n"/>
      <s:c r="E9874" s="122" t="n"/>
    </s:row>
    <s:row r="9875" hidden="1" ht="1" customHeight="1">
      <s:c r="A9875" s="120" t="inlineStr"/>
      <s:c r="B9875" s="121" t="n"/>
      <s:c r="C9875" s="121" t="n"/>
      <s:c r="D9875" s="121" t="n"/>
      <s:c r="E9875" s="122" t="n"/>
    </s:row>
    <s:row r="9876" hidden="1" ht="1" customHeight="1">
      <s:c r="A9876" s="120" t="inlineStr"/>
      <s:c r="B9876" s="121" t="n"/>
      <s:c r="C9876" s="121" t="n"/>
      <s:c r="D9876" s="121" t="n"/>
      <s:c r="E9876" s="122" t="n"/>
    </s:row>
    <s:row r="9877" hidden="1" ht="1" customHeight="1">
      <s:c r="A9877" s="120" t="inlineStr"/>
      <s:c r="B9877" s="121" t="n"/>
      <s:c r="C9877" s="121" t="n"/>
      <s:c r="D9877" s="121" t="n"/>
      <s:c r="E9877" s="122" t="n"/>
    </s:row>
    <s:row r="9878" hidden="1" ht="1" customHeight="1">
      <s:c r="A9878" s="120" t="inlineStr"/>
      <s:c r="B9878" s="121" t="n"/>
      <s:c r="C9878" s="121" t="n"/>
      <s:c r="D9878" s="121" t="n"/>
      <s:c r="E9878" s="122" t="n"/>
    </s:row>
    <s:row r="9879" hidden="1" ht="1" customHeight="1">
      <s:c r="A9879" s="120" t="inlineStr"/>
      <s:c r="B9879" s="121" t="n"/>
      <s:c r="C9879" s="121" t="n"/>
      <s:c r="D9879" s="121" t="n"/>
      <s:c r="E9879" s="122" t="n"/>
    </s:row>
    <s:row r="9880" hidden="1" ht="1" customHeight="1">
      <s:c r="A9880" s="120" t="inlineStr"/>
      <s:c r="B9880" s="121" t="n"/>
      <s:c r="C9880" s="121" t="n"/>
      <s:c r="D9880" s="121" t="n"/>
      <s:c r="E9880" s="122" t="n"/>
    </s:row>
    <s:row r="9881" hidden="1" ht="1" customHeight="1">
      <s:c r="A9881" s="120" t="inlineStr"/>
      <s:c r="B9881" s="121" t="n"/>
      <s:c r="C9881" s="121" t="n"/>
      <s:c r="D9881" s="121" t="n"/>
      <s:c r="E9881" s="122" t="n"/>
    </s:row>
    <s:row r="9882" hidden="1" ht="1" customHeight="1">
      <s:c r="A9882" s="120" t="inlineStr"/>
      <s:c r="B9882" s="121" t="n"/>
      <s:c r="C9882" s="121" t="n"/>
      <s:c r="D9882" s="121" t="n"/>
      <s:c r="E9882" s="122" t="n"/>
    </s:row>
    <s:row r="9883" hidden="1" ht="1" customHeight="1">
      <s:c r="A9883" s="120" t="inlineStr"/>
      <s:c r="B9883" s="121" t="n"/>
      <s:c r="C9883" s="121" t="n"/>
      <s:c r="D9883" s="121" t="n"/>
      <s:c r="E9883" s="122" t="n"/>
    </s:row>
    <s:row r="9884" hidden="1" ht="1" customHeight="1">
      <s:c r="A9884" s="120" t="inlineStr"/>
      <s:c r="B9884" s="121" t="n"/>
      <s:c r="C9884" s="121" t="n"/>
      <s:c r="D9884" s="121" t="n"/>
      <s:c r="E9884" s="122" t="n"/>
    </s:row>
    <s:row r="9885" hidden="1" ht="1" customHeight="1">
      <s:c r="A9885" s="120" t="inlineStr"/>
      <s:c r="B9885" s="121" t="n"/>
      <s:c r="C9885" s="121" t="n"/>
      <s:c r="D9885" s="121" t="n"/>
      <s:c r="E9885" s="122" t="n"/>
    </s:row>
    <s:row r="9886" hidden="1" ht="1" customHeight="1">
      <s:c r="A9886" s="120" t="inlineStr"/>
      <s:c r="B9886" s="121" t="n"/>
      <s:c r="C9886" s="121" t="n"/>
      <s:c r="D9886" s="121" t="n"/>
      <s:c r="E9886" s="122" t="n"/>
    </s:row>
    <s:row r="9887" hidden="1" ht="1" customHeight="1">
      <s:c r="A9887" s="120" t="inlineStr"/>
      <s:c r="B9887" s="121" t="n"/>
      <s:c r="C9887" s="121" t="n"/>
      <s:c r="D9887" s="121" t="n"/>
      <s:c r="E9887" s="122" t="n"/>
    </s:row>
    <s:row r="9888" hidden="1" ht="1" customHeight="1">
      <s:c r="A9888" s="120" t="inlineStr"/>
      <s:c r="B9888" s="121" t="n"/>
      <s:c r="C9888" s="121" t="n"/>
      <s:c r="D9888" s="121" t="n"/>
      <s:c r="E9888" s="122" t="n"/>
    </s:row>
    <s:row r="9889" hidden="1" ht="1" customHeight="1">
      <s:c r="A9889" s="120" t="inlineStr"/>
      <s:c r="B9889" s="121" t="n"/>
      <s:c r="C9889" s="121" t="n"/>
      <s:c r="D9889" s="121" t="n"/>
      <s:c r="E9889" s="122" t="n"/>
    </s:row>
    <s:row r="9890" hidden="1" ht="1" customHeight="1">
      <s:c r="A9890" s="120" t="inlineStr"/>
      <s:c r="B9890" s="121" t="n"/>
      <s:c r="C9890" s="121" t="n"/>
      <s:c r="D9890" s="121" t="n"/>
      <s:c r="E9890" s="122" t="n"/>
    </s:row>
    <s:row r="9891" hidden="1" ht="1" customHeight="1">
      <s:c r="A9891" s="120" t="inlineStr"/>
      <s:c r="B9891" s="121" t="n"/>
      <s:c r="C9891" s="121" t="n"/>
      <s:c r="D9891" s="121" t="n"/>
      <s:c r="E9891" s="122" t="n"/>
    </s:row>
    <s:row r="9892" hidden="1" ht="1" customHeight="1">
      <s:c r="A9892" s="120" t="inlineStr"/>
      <s:c r="B9892" s="121" t="n"/>
      <s:c r="C9892" s="121" t="n"/>
      <s:c r="D9892" s="121" t="n"/>
      <s:c r="E9892" s="122" t="n"/>
    </s:row>
    <s:row r="9893" hidden="1" ht="1" customHeight="1">
      <s:c r="A9893" s="120" t="inlineStr"/>
      <s:c r="B9893" s="121" t="n"/>
      <s:c r="C9893" s="121" t="n"/>
      <s:c r="D9893" s="121" t="n"/>
      <s:c r="E9893" s="122" t="n"/>
    </s:row>
    <s:row r="9894" hidden="1" ht="1" customHeight="1">
      <s:c r="A9894" s="120" t="inlineStr"/>
      <s:c r="B9894" s="121" t="n"/>
      <s:c r="C9894" s="121" t="n"/>
      <s:c r="D9894" s="121" t="n"/>
      <s:c r="E9894" s="122" t="n"/>
    </s:row>
    <s:row r="9895" hidden="1" ht="1" customHeight="1">
      <s:c r="A9895" s="120" t="inlineStr"/>
      <s:c r="B9895" s="121" t="n"/>
      <s:c r="C9895" s="121" t="n"/>
      <s:c r="D9895" s="121" t="n"/>
      <s:c r="E9895" s="122" t="n"/>
    </s:row>
    <s:row r="9896" hidden="1" ht="1" customHeight="1">
      <s:c r="A9896" s="120" t="inlineStr"/>
      <s:c r="B9896" s="121" t="n"/>
      <s:c r="C9896" s="121" t="n"/>
      <s:c r="D9896" s="121" t="n"/>
      <s:c r="E9896" s="122" t="n"/>
    </s:row>
    <s:row r="9897" hidden="1" ht="1" customHeight="1">
      <s:c r="A9897" s="83" t="inlineStr">
        <s:is>
          <s:t>PASS</s:t>
        </s:is>
      </s:c>
      <s:c r="B9897" s="83">
        <s:f>SUM(IF(EXACT('Kiểm thử'!E9797,"Đạt"),1,0),IF(EXACT('Kiểm thử'!E9799,"Đạt"),1,0))</s:f>
        <s:v/>
      </s:c>
      <s:c r="C9897" s="19" t="n"/>
      <s:c r="D9897" s="19" t="n"/>
      <s:c r="E9897" s="19" t="n"/>
    </s:row>
    <s:row r="9898" hidden="1" ht="1" customHeight="1">
      <s:c r="A9898" s="83" t="inlineStr">
        <s:is>
          <s:t>FAIL</s:t>
        </s:is>
      </s:c>
      <s:c r="B9898" s="83">
        <s:f>SUM(IF(EXACT('Kiểm thử'!E9797,"Không đạt"),1,0),IF(EXACT('Kiểm thử'!E9799,"Không đạt"),1,0))</s:f>
        <s:v/>
      </s:c>
      <s:c r="C9898" s="19" t="n"/>
      <s:c r="D9898" s="19" t="n"/>
      <s:c r="E9898" s="19" t="n"/>
    </s:row>
    <s:row r="9899" hidden="1" ht="1" customHeight="1">
      <s:c r="A9899" s="83" t="inlineStr">
        <s:is>
          <s:t>BLOCKED</s:t>
        </s:is>
      </s:c>
      <s:c r="B9899" s="83">
        <s:f>SUM(IF(EXACT('Kiểm thử'!E9797,"Bị chặn"),1,0),IF(EXACT('Kiểm thử'!E9799,"Bị chặn"),1,0))</s:f>
        <s:v/>
      </s:c>
      <s:c r="C9899" s="19" t="n"/>
      <s:c r="D9899" s="19" t="n"/>
      <s:c r="E9899" s="19" t="n"/>
    </s:row>
    <s:row r="9900" hidden="1" ht="1" customHeight="1">
      <s:c r="A9900" s="83" t="inlineStr">
        <s:is>
          <s:t>SKIPPED</s:t>
        </s:is>
      </s:c>
      <s:c r="B9900" s="83">
        <s:f>SUM(IF(EXACT('Kiểm thử'!E9797,"Không thực hiện"),1,0),IF(EXACT('Kiểm thử'!E9799,"Không thực hiện"),1,0))</s:f>
        <s:v/>
      </s:c>
      <s:c r="C9900" s="19" t="n"/>
      <s:c r="D9900" s="19" t="n"/>
      <s:c r="E9900" s="19" t="n"/>
    </s:row>
    <s:row r="9901" hidden="1" ht="1" customHeight="1">
      <s:c r="A9901" s="83" t="inlineStr">
        <s:is>
          <s:t>NOT RUN</s:t>
        </s:is>
      </s:c>
      <s:c r="B9901" s="83">
        <s:f>SUM(IF(EXACT('Kiểm thử'!E9797,"Chưa thực hiện"),1,0),IF(EXACT('Kiểm thử'!E9799,"Chưa thực hiện"),1,0))</s:f>
        <s:v/>
      </s:c>
      <s:c r="C9901" s="19" t="n"/>
      <s:c r="D9901" s="19" t="n"/>
      <s:c r="E9901" s="19" t="n"/>
    </s:row>
    <s:row r="9902" hidden="1" ht="6" customHeight="1">
      <s:c r="A9902" s="83" t="inlineStr"/>
      <s:c r="B9902" s="19" t="n"/>
      <s:c r="C9902" s="19" t="n"/>
      <s:c r="D9902" s="19" t="n"/>
      <s:c r="E9902" s="19" t="n"/>
    </s:row>
    <s:row r="9903" ht="28" customHeight="1">
      <s:c r="A9903" s="108" t="inlineStr">
        <s:is>
          <s:t>TC-RS-CALC-021 — Chia 0 phát sinh khi chạy → Chưa xét được</s:t>
        </s:is>
      </s:c>
      <s:c r="B9903" s="111" t="n"/>
      <s:c r="C9903" s="111" t="n"/>
      <s:c r="D9903" s="111" t="n"/>
      <s:c r="E9903" s="111" t="n"/>
    </s:row>
    <s:row r="9904" ht="20" customHeight="1">
      <s:c r="A9904" s="112" t="inlineStr">
        <s:is>
          <s:t>Kết quả tình huống</s:t>
        </s:is>
      </s:c>
      <s:c r="B9904" s="113">
        <s:f>IF(SUM(IF(EXACT('Kiểm thử'!E9911,"Không đạt"),1,0),IF(EXACT('Kiểm thử'!E9913,"Không đạt"),1,0),IF(EXACT('Kiểm thử'!E9915,"Không đạt"),1,0))&gt;0,"Không đạt",IF(SUM(IF(EXACT('Kiểm thử'!E9911,"Đạt"),1,0),IF(EXACT('Kiểm thử'!E9913,"Đạt"),1,0),IF(EXACT('Kiểm thử'!E9915,"Đạt"),1,0))=3,"Đạt",IF(SUM(IF(EXACT('Kiểm thử'!E9911,"Không thực hiện"),1,0),IF(EXACT('Kiểm thử'!E9913,"Không thực hiện"),1,0),IF(EXACT('Kiểm thử'!E9915,"Không thực hiện"),1,0))=3,"Không thực hiện",IF(SUM(IF(EXACT('Kiểm thử'!E9911,"Bị chặn"),1,0),IF(EXACT('Kiểm thử'!E9913,"Bị chặn"),1,0),IF(EXACT('Kiểm thử'!E9915,"Bị chặn"),1,0))&gt;0,"Bị chặn",IF(SUM(IF(EXACT('Kiểm thử'!E9911,"Chưa thực hiện"),1,0),IF(EXACT('Kiểm thử'!E9913,"Chưa thực hiện"),1,0),IF(EXACT('Kiểm thử'!E9915,"Chưa thực hiện"),1,0))=3,"Chưa thực hiện","Đang thực hiện")))))</s:f>
        <s:v/>
      </s:c>
      <s:c r="C9904" s="114" t="n"/>
      <s:c r="D9904" s="114" t="n"/>
      <s:c r="E9904" s="114" t="n"/>
    </s:row>
    <s:row r="9905" ht="20" customHeight="1">
      <s:c r="A9905" s="112" t="inlineStr">
        <s:is>
          <s:t>Màn hình / chức năng</s:t>
        </s:is>
      </s:c>
      <s:c r="B9905" s="113" t="inlineStr">
        <s:is>
          <s:r>
            <s:rPr>
              <s:b val="1"/>
            </s:rPr>
            <s:t>Thiết lập ngưỡng（基準設定）</s:t>
          </s:r>
        </s:is>
      </s:c>
      <s:c r="C9905" s="28" t="n"/>
      <s:c r="D9905" s="28" t="n"/>
      <s:c r="E9905" s="28" t="n"/>
    </s:row>
    <s:row r="9906" ht="20" customHeight="1">
      <s:c r="A9906" s="112" t="inlineStr">
        <s:is>
          <s:t>Cấu hình</s:t>
        </s:is>
      </s:c>
      <s:c r="B9906" s="113" t="inlineStr">
        <s:is>
          <s:r>
            <s:t>• Quy tắc công thức 100 ÷ trung bình ([100÷A]), [&lt;], mục số thập phân (</s:t>
          </s:r>
          <s:r>
            <s:rPr>
              <s:b val="1"/>
            </s:rPr>
            <s:t>M=100</s:t>
          </s:r>
          <s:r>
            <s:t>).</s:t>
          </s:r>
        </s:is>
      </s:c>
      <s:c r="C9906" s="28" t="n"/>
      <s:c r="D9906" s="28" t="n"/>
      <s:c r="E9906" s="28" t="n"/>
    </s:row>
    <s:row r="9907" ht="62" customHeight="1">
      <s:c r="A9907" s="112" t="inlineStr">
        <s:is>
          <s:t>Dữ liệu test</s:t>
        </s:is>
      </s:c>
      <s:c r="B9907" s="113" t="inlineStr">
        <s:is>
          <s:r>
            <s:t>• Mục số thập phân (</s:t>
          </s:r>
          <s:r>
            <s:rPr>
              <s:b val="1"/>
            </s:rPr>
            <s:t>M=100</s:t>
          </s:r>
          <s:r>
            <s:t>), quy tắc công thức 100 ÷ trung bình;
• (A) nhóm có trung bình 0 [</s:t>
          </s:r>
          <s:r>
            <s:rPr>
              <s:b val="1"/>
            </s:rPr>
            <s:t>A=0</s:t>
          </s:r>
          <s:r>
            <s:t>];
• (B) [</s:t>
          </s:r>
          <s:r>
            <s:rPr>
              <s:b val="1"/>
            </s:rPr>
            <s:t>A=4</s:t>
          </s:r>
          <s:r>
            <s:t>], S = 24;
• (C) [</s:t>
          </s:r>
          <s:r>
            <s:rPr>
              <s:b val="1"/>
            </s:rPr>
            <s:t>A=3</s:t>
          </s:r>
          <s:r>
            <s:t>], S = 33.33, 33.34</s:t>
          </s:r>
        </s:is>
      </s:c>
      <s:c r="C9907" s="28" t="n"/>
      <s:c r="D9907" s="28" t="n"/>
      <s:c r="E9907" s="28" t="n"/>
    </s:row>
    <s:row r="9908" ht="20" customHeight="1">
      <s:c r="A9908" s="112" t="inlineStr">
        <s:is>
          <s:t>•</s:t>
        </s:is>
      </s:c>
      <s:c r="B9908" s="113" t="inlineStr">
        <s:is>
          <s:t>Chạy nút cam cho từng nguồn.</s:t>
        </s:is>
      </s:c>
      <s:c r="C9908" s="28" t="n"/>
      <s:c r="D9908" s="28" t="n"/>
      <s:c r="E9908" s="28" t="n"/>
    </s:row>
    <s:row r="9909" ht="28" customHeight="1">
      <s:c r="A9909" s="115" t="inlineStr">
        <s:is>
          <s:t>Trường hợp</s:t>
        </s:is>
      </s:c>
      <s:c r="B9909" s="115" t="inlineStr">
        <s:is>
          <s:t>Dữ liệu / thao tác riêng</s:t>
        </s:is>
      </s:c>
      <s:c r="C9909" s="115" t="inlineStr">
        <s:is>
          <s:t>Kết quả mong đợi</s:t>
        </s:is>
      </s:c>
      <s:c r="D9909" s="115" t="inlineStr">
        <s:is>
          <s:t>Kết quả thực tế</s:t>
        </s:is>
      </s:c>
      <s:c r="E9909" s="115" t="inlineStr">
        <s:is>
          <s:t>Đánh giá</s:t>
        </s:is>
      </s:c>
    </s:row>
    <s:row r="9910" ht="3" customHeight="1">
      <s:c r="A9910" s="102" t="inlineStr"/>
      <s:c r="B9910" s="99" t="n"/>
      <s:c r="C9910" s="99" t="n"/>
      <s:c r="D9910" s="116" t="n"/>
      <s:c r="E9910" s="116" t="n"/>
    </s:row>
    <s:row r="9911" ht="34" customHeight="1">
      <s:c r="A9911" s="83" t="inlineStr">
        <s:is>
          <s:t>Nguồn bằng 0 (a0)</s:t>
        </s:is>
      </s:c>
      <s:c r="B9911" s="83" t="inlineStr">
        <s:is>
          <s:r>
            <s:t xml:space="preserve">Công thức100÷A,dấu &lt;; reader </s:t>
          </s:r>
          <s:r>
            <s:rPr>
              <s:b val="1"/>
            </s:rPr>
            <s:t>A=0</s:t>
          </s:r>
          <s:r>
            <s:t>, chạy nút cam.</s:t>
          </s:r>
        </s:is>
      </s:c>
      <s:c r="C9911" s="83" t="inlineStr">
        <s:is>
          <s:t>(A) Chưa xét được; không dùng ưu tiên thấp hơn.</s:t>
        </s:is>
      </s:c>
      <s:c r="D9911" s="117" t="inlineStr"/>
      <s:c r="E9911" s="118" t="inlineStr">
        <s:is>
          <s:t>Chưa thực hiện</s:t>
        </s:is>
      </s:c>
    </s:row>
    <s:row r="9912" ht="3" customHeight="1">
      <s:c r="A9912" s="102" t="inlineStr"/>
      <s:c r="B9912" s="99" t="n"/>
      <s:c r="C9912" s="99" t="n"/>
      <s:c r="D9912" s="116" t="n"/>
      <s:c r="E9912" s="116" t="n"/>
    </s:row>
    <s:row r="9913" ht="34" customHeight="1">
      <s:c r="A9913" s="83" t="inlineStr">
        <s:is>
          <s:t>Nguồn tạo ngưỡng 25 (a4)</s:t>
        </s:is>
      </s:c>
      <s:c r="B9913" s="83" t="inlineStr">
        <s:is>
          <s:r>
            <s:t xml:space="preserve">Công thức100÷A,dấu &lt;; reader </s:t>
          </s:r>
          <s:r>
            <s:rPr>
              <s:b val="1"/>
            </s:rPr>
            <s:t>A=4</s:t>
          </s:r>
          <s:r>
            <s:t>,</s:t>
          </s:r>
          <s:r>
            <s:rPr>
              <s:b val="1"/>
            </s:rPr>
            <s:t>S=24</s:t>
          </s:r>
          <s:r>
            <s:t>, chạy nút cam.</s:t>
          </s:r>
        </s:is>
      </s:c>
      <s:c r="C9913" s="83" t="inlineStr">
        <s:is>
          <s:r>
            <s:t>(B) [</s:t>
          </s:r>
          <s:r>
            <s:rPr>
              <s:b val="1"/>
            </s:rPr>
            <s:t>T=25</s:t>
          </s:r>
          <s:r>
            <s:t xml:space="preserve">] → 24 </s:t>
          </s:r>
          <s:r>
            <s:rPr>
              <s:b val="1"/>
            </s:rPr>
            <s:t>Đỏ</s:t>
          </s:r>
          <s:r>
            <s:t>.</s:t>
          </s:r>
        </s:is>
      </s:c>
      <s:c r="D9913" s="117" t="inlineStr"/>
      <s:c r="E9913" s="118" t="inlineStr">
        <s:is>
          <s:t>Chưa thực hiện</s:t>
        </s:is>
      </s:c>
    </s:row>
    <s:row r="9914" ht="3" customHeight="1">
      <s:c r="A9914" s="102" t="inlineStr"/>
      <s:c r="B9914" s="99" t="n"/>
      <s:c r="C9914" s="99" t="n"/>
      <s:c r="D9914" s="116" t="n"/>
      <s:c r="E9914" s="116" t="n"/>
    </s:row>
    <s:row r="9915" ht="34" customHeight="1">
      <s:c r="A9915" s="83" t="inlineStr">
        <s:is>
          <s:t>Ngưỡng lặp vô hạn phần lẻ (a3)</s:t>
        </s:is>
      </s:c>
      <s:c r="B9915" s="83" t="inlineStr">
        <s:is>
          <s:r>
            <s:t xml:space="preserve">Công thức100÷A,dấu &lt;; reader </s:t>
          </s:r>
          <s:r>
            <s:rPr>
              <s:b val="1"/>
            </s:rPr>
            <s:t>A=3</s:t>
          </s:r>
          <s:r>
            <s:t>,</s:t>
          </s:r>
          <s:r>
            <s:rPr>
              <s:b val="1"/>
            </s:rPr>
            <s:t>S=33.33</s:t>
          </s:r>
          <s:r>
            <s:t xml:space="preserve"> và33.34, chạy nút cam.</s:t>
          </s:r>
        </s:is>
      </s:c>
      <s:c r="C9915" s="83" t="inlineStr">
        <s:is>
          <s:r>
            <s:t>(C) [</s:t>
          </s:r>
          <s:r>
            <s:rPr>
              <s:b val="1"/>
            </s:rPr>
            <s:t>T=33.333</s:t>
          </s:r>
          <s:r>
            <s:t xml:space="preserve">…] → 33.33 </s:t>
          </s:r>
          <s:r>
            <s:rPr>
              <s:b val="1"/>
            </s:rPr>
            <s:t>Đỏ</s:t>
          </s:r>
          <s:r>
            <s:t xml:space="preserve">; 33.34 </s:t>
          </s:r>
          <s:r>
            <s:rPr>
              <s:b val="1"/>
            </s:rPr>
            <s:t>Không đỏ</s:t>
          </s:r>
          <s:r>
            <s:t>.</s:t>
          </s:r>
        </s:is>
      </s:c>
      <s:c r="D9915" s="117" t="inlineStr"/>
      <s:c r="E9915" s="118" t="inlineStr">
        <s:is>
          <s:t>Chưa thực hiện</s:t>
        </s:is>
      </s:c>
    </s:row>
    <s:row r="9916" ht="20" customHeight="1">
      <s:c r="A9916" s="119" t="inlineStr">
        <s:is>
          <s:t>Ảnh minh chứng — Chưa có ảnh</s:t>
        </s:is>
      </s:c>
      <s:c r="B9916" s="19" t="n"/>
      <s:c r="C9916" s="19" t="n"/>
      <s:c r="D9916" s="19" t="n"/>
      <s:c r="E9916" s="19" t="n"/>
    </s:row>
    <s:row r="9917" hidden="1" ht="1" customHeight="1">
      <s:c r="A9917" s="120" t="inlineStr"/>
      <s:c r="B9917" s="121" t="n"/>
      <s:c r="C9917" s="121" t="n"/>
      <s:c r="D9917" s="121" t="n"/>
      <s:c r="E9917" s="122" t="n"/>
    </s:row>
    <s:row r="9918" hidden="1" ht="1" customHeight="1">
      <s:c r="A9918" s="120" t="inlineStr"/>
      <s:c r="B9918" s="121" t="n"/>
      <s:c r="C9918" s="121" t="n"/>
      <s:c r="D9918" s="121" t="n"/>
      <s:c r="E9918" s="122" t="n"/>
    </s:row>
    <s:row r="9919" hidden="1" ht="1" customHeight="1">
      <s:c r="A9919" s="120" t="inlineStr"/>
      <s:c r="B9919" s="121" t="n"/>
      <s:c r="C9919" s="121" t="n"/>
      <s:c r="D9919" s="121" t="n"/>
      <s:c r="E9919" s="122" t="n"/>
    </s:row>
    <s:row r="9920" hidden="1" ht="1" customHeight="1">
      <s:c r="A9920" s="120" t="inlineStr"/>
      <s:c r="B9920" s="121" t="n"/>
      <s:c r="C9920" s="121" t="n"/>
      <s:c r="D9920" s="121" t="n"/>
      <s:c r="E9920" s="122" t="n"/>
    </s:row>
    <s:row r="9921" hidden="1" ht="1" customHeight="1">
      <s:c r="A9921" s="120" t="inlineStr"/>
      <s:c r="B9921" s="121" t="n"/>
      <s:c r="C9921" s="121" t="n"/>
      <s:c r="D9921" s="121" t="n"/>
      <s:c r="E9921" s="122" t="n"/>
    </s:row>
    <s:row r="9922" hidden="1" ht="1" customHeight="1">
      <s:c r="A9922" s="120" t="inlineStr"/>
      <s:c r="B9922" s="121" t="n"/>
      <s:c r="C9922" s="121" t="n"/>
      <s:c r="D9922" s="121" t="n"/>
      <s:c r="E9922" s="122" t="n"/>
    </s:row>
    <s:row r="9923" hidden="1" ht="1" customHeight="1">
      <s:c r="A9923" s="120" t="inlineStr"/>
      <s:c r="B9923" s="121" t="n"/>
      <s:c r="C9923" s="121" t="n"/>
      <s:c r="D9923" s="121" t="n"/>
      <s:c r="E9923" s="122" t="n"/>
    </s:row>
    <s:row r="9924" hidden="1" ht="1" customHeight="1">
      <s:c r="A9924" s="120" t="inlineStr"/>
      <s:c r="B9924" s="121" t="n"/>
      <s:c r="C9924" s="121" t="n"/>
      <s:c r="D9924" s="121" t="n"/>
      <s:c r="E9924" s="122" t="n"/>
    </s:row>
    <s:row r="9925" hidden="1" ht="1" customHeight="1">
      <s:c r="A9925" s="120" t="inlineStr"/>
      <s:c r="B9925" s="121" t="n"/>
      <s:c r="C9925" s="121" t="n"/>
      <s:c r="D9925" s="121" t="n"/>
      <s:c r="E9925" s="122" t="n"/>
    </s:row>
    <s:row r="9926" hidden="1" ht="1" customHeight="1">
      <s:c r="A9926" s="120" t="inlineStr"/>
      <s:c r="B9926" s="121" t="n"/>
      <s:c r="C9926" s="121" t="n"/>
      <s:c r="D9926" s="121" t="n"/>
      <s:c r="E9926" s="122" t="n"/>
    </s:row>
    <s:row r="9927" hidden="1" ht="1" customHeight="1">
      <s:c r="A9927" s="120" t="inlineStr"/>
      <s:c r="B9927" s="121" t="n"/>
      <s:c r="C9927" s="121" t="n"/>
      <s:c r="D9927" s="121" t="n"/>
      <s:c r="E9927" s="122" t="n"/>
    </s:row>
    <s:row r="9928" hidden="1" ht="1" customHeight="1">
      <s:c r="A9928" s="120" t="inlineStr"/>
      <s:c r="B9928" s="121" t="n"/>
      <s:c r="C9928" s="121" t="n"/>
      <s:c r="D9928" s="121" t="n"/>
      <s:c r="E9928" s="122" t="n"/>
    </s:row>
    <s:row r="9929" hidden="1" ht="1" customHeight="1">
      <s:c r="A9929" s="120" t="inlineStr"/>
      <s:c r="B9929" s="121" t="n"/>
      <s:c r="C9929" s="121" t="n"/>
      <s:c r="D9929" s="121" t="n"/>
      <s:c r="E9929" s="122" t="n"/>
    </s:row>
    <s:row r="9930" hidden="1" ht="1" customHeight="1">
      <s:c r="A9930" s="120" t="inlineStr"/>
      <s:c r="B9930" s="121" t="n"/>
      <s:c r="C9930" s="121" t="n"/>
      <s:c r="D9930" s="121" t="n"/>
      <s:c r="E9930" s="122" t="n"/>
    </s:row>
    <s:row r="9931" hidden="1" ht="1" customHeight="1">
      <s:c r="A9931" s="120" t="inlineStr"/>
      <s:c r="B9931" s="121" t="n"/>
      <s:c r="C9931" s="121" t="n"/>
      <s:c r="D9931" s="121" t="n"/>
      <s:c r="E9931" s="122" t="n"/>
    </s:row>
    <s:row r="9932" hidden="1" ht="1" customHeight="1">
      <s:c r="A9932" s="120" t="inlineStr"/>
      <s:c r="B9932" s="121" t="n"/>
      <s:c r="C9932" s="121" t="n"/>
      <s:c r="D9932" s="121" t="n"/>
      <s:c r="E9932" s="122" t="n"/>
    </s:row>
    <s:row r="9933" hidden="1" ht="1" customHeight="1">
      <s:c r="A9933" s="120" t="inlineStr"/>
      <s:c r="B9933" s="121" t="n"/>
      <s:c r="C9933" s="121" t="n"/>
      <s:c r="D9933" s="121" t="n"/>
      <s:c r="E9933" s="122" t="n"/>
    </s:row>
    <s:row r="9934" hidden="1" ht="1" customHeight="1">
      <s:c r="A9934" s="120" t="inlineStr"/>
      <s:c r="B9934" s="121" t="n"/>
      <s:c r="C9934" s="121" t="n"/>
      <s:c r="D9934" s="121" t="n"/>
      <s:c r="E9934" s="122" t="n"/>
    </s:row>
    <s:row r="9935" hidden="1" ht="1" customHeight="1">
      <s:c r="A9935" s="120" t="inlineStr"/>
      <s:c r="B9935" s="121" t="n"/>
      <s:c r="C9935" s="121" t="n"/>
      <s:c r="D9935" s="121" t="n"/>
      <s:c r="E9935" s="122" t="n"/>
    </s:row>
    <s:row r="9936" hidden="1" ht="1" customHeight="1">
      <s:c r="A9936" s="120" t="inlineStr"/>
      <s:c r="B9936" s="121" t="n"/>
      <s:c r="C9936" s="121" t="n"/>
      <s:c r="D9936" s="121" t="n"/>
      <s:c r="E9936" s="122" t="n"/>
    </s:row>
    <s:row r="9937" hidden="1" ht="1" customHeight="1">
      <s:c r="A9937" s="120" t="inlineStr"/>
      <s:c r="B9937" s="121" t="n"/>
      <s:c r="C9937" s="121" t="n"/>
      <s:c r="D9937" s="121" t="n"/>
      <s:c r="E9937" s="122" t="n"/>
    </s:row>
    <s:row r="9938" hidden="1" ht="1" customHeight="1">
      <s:c r="A9938" s="120" t="inlineStr"/>
      <s:c r="B9938" s="121" t="n"/>
      <s:c r="C9938" s="121" t="n"/>
      <s:c r="D9938" s="121" t="n"/>
      <s:c r="E9938" s="122" t="n"/>
    </s:row>
    <s:row r="9939" hidden="1" ht="1" customHeight="1">
      <s:c r="A9939" s="120" t="inlineStr"/>
      <s:c r="B9939" s="121" t="n"/>
      <s:c r="C9939" s="121" t="n"/>
      <s:c r="D9939" s="121" t="n"/>
      <s:c r="E9939" s="122" t="n"/>
    </s:row>
    <s:row r="9940" hidden="1" ht="1" customHeight="1">
      <s:c r="A9940" s="120" t="inlineStr"/>
      <s:c r="B9940" s="121" t="n"/>
      <s:c r="C9940" s="121" t="n"/>
      <s:c r="D9940" s="121" t="n"/>
      <s:c r="E9940" s="122" t="n"/>
    </s:row>
    <s:row r="9941" hidden="1" ht="1" customHeight="1">
      <s:c r="A9941" s="120" t="inlineStr"/>
      <s:c r="B9941" s="121" t="n"/>
      <s:c r="C9941" s="121" t="n"/>
      <s:c r="D9941" s="121" t="n"/>
      <s:c r="E9941" s="122" t="n"/>
    </s:row>
    <s:row r="9942" hidden="1" ht="1" customHeight="1">
      <s:c r="A9942" s="120" t="inlineStr"/>
      <s:c r="B9942" s="121" t="n"/>
      <s:c r="C9942" s="121" t="n"/>
      <s:c r="D9942" s="121" t="n"/>
      <s:c r="E9942" s="122" t="n"/>
    </s:row>
    <s:row r="9943" hidden="1" ht="1" customHeight="1">
      <s:c r="A9943" s="120" t="inlineStr"/>
      <s:c r="B9943" s="121" t="n"/>
      <s:c r="C9943" s="121" t="n"/>
      <s:c r="D9943" s="121" t="n"/>
      <s:c r="E9943" s="122" t="n"/>
    </s:row>
    <s:row r="9944" hidden="1" ht="1" customHeight="1">
      <s:c r="A9944" s="120" t="inlineStr"/>
      <s:c r="B9944" s="121" t="n"/>
      <s:c r="C9944" s="121" t="n"/>
      <s:c r="D9944" s="121" t="n"/>
      <s:c r="E9944" s="122" t="n"/>
    </s:row>
    <s:row r="9945" hidden="1" ht="1" customHeight="1">
      <s:c r="A9945" s="120" t="inlineStr"/>
      <s:c r="B9945" s="121" t="n"/>
      <s:c r="C9945" s="121" t="n"/>
      <s:c r="D9945" s="121" t="n"/>
      <s:c r="E9945" s="122" t="n"/>
    </s:row>
    <s:row r="9946" hidden="1" ht="1" customHeight="1">
      <s:c r="A9946" s="120" t="inlineStr"/>
      <s:c r="B9946" s="121" t="n"/>
      <s:c r="C9946" s="121" t="n"/>
      <s:c r="D9946" s="121" t="n"/>
      <s:c r="E9946" s="122" t="n"/>
    </s:row>
    <s:row r="9947" hidden="1" ht="1" customHeight="1">
      <s:c r="A9947" s="120" t="inlineStr"/>
      <s:c r="B9947" s="121" t="n"/>
      <s:c r="C9947" s="121" t="n"/>
      <s:c r="D9947" s="121" t="n"/>
      <s:c r="E9947" s="122" t="n"/>
    </s:row>
    <s:row r="9948" hidden="1" ht="1" customHeight="1">
      <s:c r="A9948" s="120" t="inlineStr"/>
      <s:c r="B9948" s="121" t="n"/>
      <s:c r="C9948" s="121" t="n"/>
      <s:c r="D9948" s="121" t="n"/>
      <s:c r="E9948" s="122" t="n"/>
    </s:row>
    <s:row r="9949" hidden="1" ht="1" customHeight="1">
      <s:c r="A9949" s="120" t="inlineStr"/>
      <s:c r="B9949" s="121" t="n"/>
      <s:c r="C9949" s="121" t="n"/>
      <s:c r="D9949" s="121" t="n"/>
      <s:c r="E9949" s="122" t="n"/>
    </s:row>
    <s:row r="9950" hidden="1" ht="1" customHeight="1">
      <s:c r="A9950" s="120" t="inlineStr"/>
      <s:c r="B9950" s="121" t="n"/>
      <s:c r="C9950" s="121" t="n"/>
      <s:c r="D9950" s="121" t="n"/>
      <s:c r="E9950" s="122" t="n"/>
    </s:row>
    <s:row r="9951" hidden="1" ht="1" customHeight="1">
      <s:c r="A9951" s="120" t="inlineStr"/>
      <s:c r="B9951" s="121" t="n"/>
      <s:c r="C9951" s="121" t="n"/>
      <s:c r="D9951" s="121" t="n"/>
      <s:c r="E9951" s="122" t="n"/>
    </s:row>
    <s:row r="9952" hidden="1" ht="1" customHeight="1">
      <s:c r="A9952" s="120" t="inlineStr"/>
      <s:c r="B9952" s="121" t="n"/>
      <s:c r="C9952" s="121" t="n"/>
      <s:c r="D9952" s="121" t="n"/>
      <s:c r="E9952" s="122" t="n"/>
    </s:row>
    <s:row r="9953" hidden="1" ht="1" customHeight="1">
      <s:c r="A9953" s="120" t="inlineStr"/>
      <s:c r="B9953" s="121" t="n"/>
      <s:c r="C9953" s="121" t="n"/>
      <s:c r="D9953" s="121" t="n"/>
      <s:c r="E9953" s="122" t="n"/>
    </s:row>
    <s:row r="9954" hidden="1" ht="1" customHeight="1">
      <s:c r="A9954" s="120" t="inlineStr"/>
      <s:c r="B9954" s="121" t="n"/>
      <s:c r="C9954" s="121" t="n"/>
      <s:c r="D9954" s="121" t="n"/>
      <s:c r="E9954" s="122" t="n"/>
    </s:row>
    <s:row r="9955" hidden="1" ht="1" customHeight="1">
      <s:c r="A9955" s="120" t="inlineStr"/>
      <s:c r="B9955" s="121" t="n"/>
      <s:c r="C9955" s="121" t="n"/>
      <s:c r="D9955" s="121" t="n"/>
      <s:c r="E9955" s="122" t="n"/>
    </s:row>
    <s:row r="9956" hidden="1" ht="1" customHeight="1">
      <s:c r="A9956" s="120" t="inlineStr"/>
      <s:c r="B9956" s="121" t="n"/>
      <s:c r="C9956" s="121" t="n"/>
      <s:c r="D9956" s="121" t="n"/>
      <s:c r="E9956" s="122" t="n"/>
    </s:row>
    <s:row r="9957" hidden="1" ht="1" customHeight="1">
      <s:c r="A9957" s="120" t="inlineStr"/>
      <s:c r="B9957" s="121" t="n"/>
      <s:c r="C9957" s="121" t="n"/>
      <s:c r="D9957" s="121" t="n"/>
      <s:c r="E9957" s="122" t="n"/>
    </s:row>
    <s:row r="9958" hidden="1" ht="1" customHeight="1">
      <s:c r="A9958" s="120" t="inlineStr"/>
      <s:c r="B9958" s="121" t="n"/>
      <s:c r="C9958" s="121" t="n"/>
      <s:c r="D9958" s="121" t="n"/>
      <s:c r="E9958" s="122" t="n"/>
    </s:row>
    <s:row r="9959" hidden="1" ht="1" customHeight="1">
      <s:c r="A9959" s="120" t="inlineStr"/>
      <s:c r="B9959" s="121" t="n"/>
      <s:c r="C9959" s="121" t="n"/>
      <s:c r="D9959" s="121" t="n"/>
      <s:c r="E9959" s="122" t="n"/>
    </s:row>
    <s:row r="9960" hidden="1" ht="1" customHeight="1">
      <s:c r="A9960" s="120" t="inlineStr"/>
      <s:c r="B9960" s="121" t="n"/>
      <s:c r="C9960" s="121" t="n"/>
      <s:c r="D9960" s="121" t="n"/>
      <s:c r="E9960" s="122" t="n"/>
    </s:row>
    <s:row r="9961" hidden="1" ht="1" customHeight="1">
      <s:c r="A9961" s="120" t="inlineStr"/>
      <s:c r="B9961" s="121" t="n"/>
      <s:c r="C9961" s="121" t="n"/>
      <s:c r="D9961" s="121" t="n"/>
      <s:c r="E9961" s="122" t="n"/>
    </s:row>
    <s:row r="9962" hidden="1" ht="1" customHeight="1">
      <s:c r="A9962" s="120" t="inlineStr"/>
      <s:c r="B9962" s="121" t="n"/>
      <s:c r="C9962" s="121" t="n"/>
      <s:c r="D9962" s="121" t="n"/>
      <s:c r="E9962" s="122" t="n"/>
    </s:row>
    <s:row r="9963" hidden="1" ht="1" customHeight="1">
      <s:c r="A9963" s="120" t="inlineStr"/>
      <s:c r="B9963" s="121" t="n"/>
      <s:c r="C9963" s="121" t="n"/>
      <s:c r="D9963" s="121" t="n"/>
      <s:c r="E9963" s="122" t="n"/>
    </s:row>
    <s:row r="9964" hidden="1" ht="1" customHeight="1">
      <s:c r="A9964" s="120" t="inlineStr"/>
      <s:c r="B9964" s="121" t="n"/>
      <s:c r="C9964" s="121" t="n"/>
      <s:c r="D9964" s="121" t="n"/>
      <s:c r="E9964" s="122" t="n"/>
    </s:row>
    <s:row r="9965" hidden="1" ht="1" customHeight="1">
      <s:c r="A9965" s="120" t="inlineStr"/>
      <s:c r="B9965" s="121" t="n"/>
      <s:c r="C9965" s="121" t="n"/>
      <s:c r="D9965" s="121" t="n"/>
      <s:c r="E9965" s="122" t="n"/>
    </s:row>
    <s:row r="9966" hidden="1" ht="1" customHeight="1">
      <s:c r="A9966" s="120" t="inlineStr"/>
      <s:c r="B9966" s="121" t="n"/>
      <s:c r="C9966" s="121" t="n"/>
      <s:c r="D9966" s="121" t="n"/>
      <s:c r="E9966" s="122" t="n"/>
    </s:row>
    <s:row r="9967" hidden="1" ht="1" customHeight="1">
      <s:c r="A9967" s="120" t="inlineStr"/>
      <s:c r="B9967" s="121" t="n"/>
      <s:c r="C9967" s="121" t="n"/>
      <s:c r="D9967" s="121" t="n"/>
      <s:c r="E9967" s="122" t="n"/>
    </s:row>
    <s:row r="9968" hidden="1" ht="1" customHeight="1">
      <s:c r="A9968" s="120" t="inlineStr"/>
      <s:c r="B9968" s="121" t="n"/>
      <s:c r="C9968" s="121" t="n"/>
      <s:c r="D9968" s="121" t="n"/>
      <s:c r="E9968" s="122" t="n"/>
    </s:row>
    <s:row r="9969" hidden="1" ht="1" customHeight="1">
      <s:c r="A9969" s="120" t="inlineStr"/>
      <s:c r="B9969" s="121" t="n"/>
      <s:c r="C9969" s="121" t="n"/>
      <s:c r="D9969" s="121" t="n"/>
      <s:c r="E9969" s="122" t="n"/>
    </s:row>
    <s:row r="9970" hidden="1" ht="1" customHeight="1">
      <s:c r="A9970" s="120" t="inlineStr"/>
      <s:c r="B9970" s="121" t="n"/>
      <s:c r="C9970" s="121" t="n"/>
      <s:c r="D9970" s="121" t="n"/>
      <s:c r="E9970" s="122" t="n"/>
    </s:row>
    <s:row r="9971" hidden="1" ht="1" customHeight="1">
      <s:c r="A9971" s="120" t="inlineStr"/>
      <s:c r="B9971" s="121" t="n"/>
      <s:c r="C9971" s="121" t="n"/>
      <s:c r="D9971" s="121" t="n"/>
      <s:c r="E9971" s="122" t="n"/>
    </s:row>
    <s:row r="9972" hidden="1" ht="1" customHeight="1">
      <s:c r="A9972" s="120" t="inlineStr"/>
      <s:c r="B9972" s="121" t="n"/>
      <s:c r="C9972" s="121" t="n"/>
      <s:c r="D9972" s="121" t="n"/>
      <s:c r="E9972" s="122" t="n"/>
    </s:row>
    <s:row r="9973" hidden="1" ht="1" customHeight="1">
      <s:c r="A9973" s="120" t="inlineStr"/>
      <s:c r="B9973" s="121" t="n"/>
      <s:c r="C9973" s="121" t="n"/>
      <s:c r="D9973" s="121" t="n"/>
      <s:c r="E9973" s="122" t="n"/>
    </s:row>
    <s:row r="9974" hidden="1" ht="1" customHeight="1">
      <s:c r="A9974" s="120" t="inlineStr"/>
      <s:c r="B9974" s="121" t="n"/>
      <s:c r="C9974" s="121" t="n"/>
      <s:c r="D9974" s="121" t="n"/>
      <s:c r="E9974" s="122" t="n"/>
    </s:row>
    <s:row r="9975" hidden="1" ht="1" customHeight="1">
      <s:c r="A9975" s="120" t="inlineStr"/>
      <s:c r="B9975" s="121" t="n"/>
      <s:c r="C9975" s="121" t="n"/>
      <s:c r="D9975" s="121" t="n"/>
      <s:c r="E9975" s="122" t="n"/>
    </s:row>
    <s:row r="9976" hidden="1" ht="1" customHeight="1">
      <s:c r="A9976" s="120" t="inlineStr"/>
      <s:c r="B9976" s="121" t="n"/>
      <s:c r="C9976" s="121" t="n"/>
      <s:c r="D9976" s="121" t="n"/>
      <s:c r="E9976" s="122" t="n"/>
    </s:row>
    <s:row r="9977" hidden="1" ht="1" customHeight="1">
      <s:c r="A9977" s="120" t="inlineStr"/>
      <s:c r="B9977" s="121" t="n"/>
      <s:c r="C9977" s="121" t="n"/>
      <s:c r="D9977" s="121" t="n"/>
      <s:c r="E9977" s="122" t="n"/>
    </s:row>
    <s:row r="9978" hidden="1" ht="1" customHeight="1">
      <s:c r="A9978" s="120" t="inlineStr"/>
      <s:c r="B9978" s="121" t="n"/>
      <s:c r="C9978" s="121" t="n"/>
      <s:c r="D9978" s="121" t="n"/>
      <s:c r="E9978" s="122" t="n"/>
    </s:row>
    <s:row r="9979" hidden="1" ht="1" customHeight="1">
      <s:c r="A9979" s="120" t="inlineStr"/>
      <s:c r="B9979" s="121" t="n"/>
      <s:c r="C9979" s="121" t="n"/>
      <s:c r="D9979" s="121" t="n"/>
      <s:c r="E9979" s="122" t="n"/>
    </s:row>
    <s:row r="9980" hidden="1" ht="1" customHeight="1">
      <s:c r="A9980" s="120" t="inlineStr"/>
      <s:c r="B9980" s="121" t="n"/>
      <s:c r="C9980" s="121" t="n"/>
      <s:c r="D9980" s="121" t="n"/>
      <s:c r="E9980" s="122" t="n"/>
    </s:row>
    <s:row r="9981" hidden="1" ht="1" customHeight="1">
      <s:c r="A9981" s="120" t="inlineStr"/>
      <s:c r="B9981" s="121" t="n"/>
      <s:c r="C9981" s="121" t="n"/>
      <s:c r="D9981" s="121" t="n"/>
      <s:c r="E9981" s="122" t="n"/>
    </s:row>
    <s:row r="9982" hidden="1" ht="1" customHeight="1">
      <s:c r="A9982" s="120" t="inlineStr"/>
      <s:c r="B9982" s="121" t="n"/>
      <s:c r="C9982" s="121" t="n"/>
      <s:c r="D9982" s="121" t="n"/>
      <s:c r="E9982" s="122" t="n"/>
    </s:row>
    <s:row r="9983" hidden="1" ht="1" customHeight="1">
      <s:c r="A9983" s="120" t="inlineStr"/>
      <s:c r="B9983" s="121" t="n"/>
      <s:c r="C9983" s="121" t="n"/>
      <s:c r="D9983" s="121" t="n"/>
      <s:c r="E9983" s="122" t="n"/>
    </s:row>
    <s:row r="9984" hidden="1" ht="1" customHeight="1">
      <s:c r="A9984" s="120" t="inlineStr"/>
      <s:c r="B9984" s="121" t="n"/>
      <s:c r="C9984" s="121" t="n"/>
      <s:c r="D9984" s="121" t="n"/>
      <s:c r="E9984" s="122" t="n"/>
    </s:row>
    <s:row r="9985" hidden="1" ht="1" customHeight="1">
      <s:c r="A9985" s="120" t="inlineStr"/>
      <s:c r="B9985" s="121" t="n"/>
      <s:c r="C9985" s="121" t="n"/>
      <s:c r="D9985" s="121" t="n"/>
      <s:c r="E9985" s="122" t="n"/>
    </s:row>
    <s:row r="9986" hidden="1" ht="1" customHeight="1">
      <s:c r="A9986" s="120" t="inlineStr"/>
      <s:c r="B9986" s="121" t="n"/>
      <s:c r="C9986" s="121" t="n"/>
      <s:c r="D9986" s="121" t="n"/>
      <s:c r="E9986" s="122" t="n"/>
    </s:row>
    <s:row r="9987" hidden="1" ht="1" customHeight="1">
      <s:c r="A9987" s="120" t="inlineStr"/>
      <s:c r="B9987" s="121" t="n"/>
      <s:c r="C9987" s="121" t="n"/>
      <s:c r="D9987" s="121" t="n"/>
      <s:c r="E9987" s="122" t="n"/>
    </s:row>
    <s:row r="9988" hidden="1" ht="1" customHeight="1">
      <s:c r="A9988" s="120" t="inlineStr"/>
      <s:c r="B9988" s="121" t="n"/>
      <s:c r="C9988" s="121" t="n"/>
      <s:c r="D9988" s="121" t="n"/>
      <s:c r="E9988" s="122" t="n"/>
    </s:row>
    <s:row r="9989" hidden="1" ht="1" customHeight="1">
      <s:c r="A9989" s="120" t="inlineStr"/>
      <s:c r="B9989" s="121" t="n"/>
      <s:c r="C9989" s="121" t="n"/>
      <s:c r="D9989" s="121" t="n"/>
      <s:c r="E9989" s="122" t="n"/>
    </s:row>
    <s:row r="9990" hidden="1" ht="1" customHeight="1">
      <s:c r="A9990" s="120" t="inlineStr"/>
      <s:c r="B9990" s="121" t="n"/>
      <s:c r="C9990" s="121" t="n"/>
      <s:c r="D9990" s="121" t="n"/>
      <s:c r="E9990" s="122" t="n"/>
    </s:row>
    <s:row r="9991" hidden="1" ht="1" customHeight="1">
      <s:c r="A9991" s="120" t="inlineStr"/>
      <s:c r="B9991" s="121" t="n"/>
      <s:c r="C9991" s="121" t="n"/>
      <s:c r="D9991" s="121" t="n"/>
      <s:c r="E9991" s="122" t="n"/>
    </s:row>
    <s:row r="9992" hidden="1" ht="1" customHeight="1">
      <s:c r="A9992" s="120" t="inlineStr"/>
      <s:c r="B9992" s="121" t="n"/>
      <s:c r="C9992" s="121" t="n"/>
      <s:c r="D9992" s="121" t="n"/>
      <s:c r="E9992" s="122" t="n"/>
    </s:row>
    <s:row r="9993" hidden="1" ht="1" customHeight="1">
      <s:c r="A9993" s="120" t="inlineStr"/>
      <s:c r="B9993" s="121" t="n"/>
      <s:c r="C9993" s="121" t="n"/>
      <s:c r="D9993" s="121" t="n"/>
      <s:c r="E9993" s="122" t="n"/>
    </s:row>
    <s:row r="9994" hidden="1" ht="1" customHeight="1">
      <s:c r="A9994" s="120" t="inlineStr"/>
      <s:c r="B9994" s="121" t="n"/>
      <s:c r="C9994" s="121" t="n"/>
      <s:c r="D9994" s="121" t="n"/>
      <s:c r="E9994" s="122" t="n"/>
    </s:row>
    <s:row r="9995" hidden="1" ht="1" customHeight="1">
      <s:c r="A9995" s="120" t="inlineStr"/>
      <s:c r="B9995" s="121" t="n"/>
      <s:c r="C9995" s="121" t="n"/>
      <s:c r="D9995" s="121" t="n"/>
      <s:c r="E9995" s="122" t="n"/>
    </s:row>
    <s:row r="9996" hidden="1" ht="1" customHeight="1">
      <s:c r="A9996" s="120" t="inlineStr"/>
      <s:c r="B9996" s="121" t="n"/>
      <s:c r="C9996" s="121" t="n"/>
      <s:c r="D9996" s="121" t="n"/>
      <s:c r="E9996" s="122" t="n"/>
    </s:row>
    <s:row r="9997" hidden="1" ht="1" customHeight="1">
      <s:c r="A9997" s="120" t="inlineStr"/>
      <s:c r="B9997" s="121" t="n"/>
      <s:c r="C9997" s="121" t="n"/>
      <s:c r="D9997" s="121" t="n"/>
      <s:c r="E9997" s="122" t="n"/>
    </s:row>
    <s:row r="9998" hidden="1" ht="1" customHeight="1">
      <s:c r="A9998" s="120" t="inlineStr"/>
      <s:c r="B9998" s="121" t="n"/>
      <s:c r="C9998" s="121" t="n"/>
      <s:c r="D9998" s="121" t="n"/>
      <s:c r="E9998" s="122" t="n"/>
    </s:row>
    <s:row r="9999" hidden="1" ht="1" customHeight="1">
      <s:c r="A9999" s="120" t="inlineStr"/>
      <s:c r="B9999" s="121" t="n"/>
      <s:c r="C9999" s="121" t="n"/>
      <s:c r="D9999" s="121" t="n"/>
      <s:c r="E9999" s="122" t="n"/>
    </s:row>
    <s:row r="10000" hidden="1" ht="1" customHeight="1">
      <s:c r="A10000" s="120" t="inlineStr"/>
      <s:c r="B10000" s="121" t="n"/>
      <s:c r="C10000" s="121" t="n"/>
      <s:c r="D10000" s="121" t="n"/>
      <s:c r="E10000" s="122" t="n"/>
    </s:row>
    <s:row r="10001" hidden="1" ht="1" customHeight="1">
      <s:c r="A10001" s="120" t="inlineStr"/>
      <s:c r="B10001" s="121" t="n"/>
      <s:c r="C10001" s="121" t="n"/>
      <s:c r="D10001" s="121" t="n"/>
      <s:c r="E10001" s="122" t="n"/>
    </s:row>
    <s:row r="10002" hidden="1" ht="1" customHeight="1">
      <s:c r="A10002" s="120" t="inlineStr"/>
      <s:c r="B10002" s="121" t="n"/>
      <s:c r="C10002" s="121" t="n"/>
      <s:c r="D10002" s="121" t="n"/>
      <s:c r="E10002" s="122" t="n"/>
    </s:row>
    <s:row r="10003" hidden="1" ht="1" customHeight="1">
      <s:c r="A10003" s="120" t="inlineStr"/>
      <s:c r="B10003" s="121" t="n"/>
      <s:c r="C10003" s="121" t="n"/>
      <s:c r="D10003" s="121" t="n"/>
      <s:c r="E10003" s="122" t="n"/>
    </s:row>
    <s:row r="10004" hidden="1" ht="1" customHeight="1">
      <s:c r="A10004" s="120" t="inlineStr"/>
      <s:c r="B10004" s="121" t="n"/>
      <s:c r="C10004" s="121" t="n"/>
      <s:c r="D10004" s="121" t="n"/>
      <s:c r="E10004" s="122" t="n"/>
    </s:row>
    <s:row r="10005" hidden="1" ht="1" customHeight="1">
      <s:c r="A10005" s="120" t="inlineStr"/>
      <s:c r="B10005" s="121" t="n"/>
      <s:c r="C10005" s="121" t="n"/>
      <s:c r="D10005" s="121" t="n"/>
      <s:c r="E10005" s="122" t="n"/>
    </s:row>
    <s:row r="10006" hidden="1" ht="1" customHeight="1">
      <s:c r="A10006" s="120" t="inlineStr"/>
      <s:c r="B10006" s="121" t="n"/>
      <s:c r="C10006" s="121" t="n"/>
      <s:c r="D10006" s="121" t="n"/>
      <s:c r="E10006" s="122" t="n"/>
    </s:row>
    <s:row r="10007" hidden="1" ht="1" customHeight="1">
      <s:c r="A10007" s="120" t="inlineStr"/>
      <s:c r="B10007" s="121" t="n"/>
      <s:c r="C10007" s="121" t="n"/>
      <s:c r="D10007" s="121" t="n"/>
      <s:c r="E10007" s="122" t="n"/>
    </s:row>
    <s:row r="10008" hidden="1" ht="1" customHeight="1">
      <s:c r="A10008" s="120" t="inlineStr"/>
      <s:c r="B10008" s="121" t="n"/>
      <s:c r="C10008" s="121" t="n"/>
      <s:c r="D10008" s="121" t="n"/>
      <s:c r="E10008" s="122" t="n"/>
    </s:row>
    <s:row r="10009" hidden="1" ht="1" customHeight="1">
      <s:c r="A10009" s="120" t="inlineStr"/>
      <s:c r="B10009" s="121" t="n"/>
      <s:c r="C10009" s="121" t="n"/>
      <s:c r="D10009" s="121" t="n"/>
      <s:c r="E10009" s="122" t="n"/>
    </s:row>
    <s:row r="10010" hidden="1" ht="1" customHeight="1">
      <s:c r="A10010" s="120" t="inlineStr"/>
      <s:c r="B10010" s="121" t="n"/>
      <s:c r="C10010" s="121" t="n"/>
      <s:c r="D10010" s="121" t="n"/>
      <s:c r="E10010" s="122" t="n"/>
    </s:row>
    <s:row r="10011" hidden="1" ht="1" customHeight="1">
      <s:c r="A10011" s="120" t="inlineStr"/>
      <s:c r="B10011" s="121" t="n"/>
      <s:c r="C10011" s="121" t="n"/>
      <s:c r="D10011" s="121" t="n"/>
      <s:c r="E10011" s="122" t="n"/>
    </s:row>
    <s:row r="10012" hidden="1" ht="1" customHeight="1">
      <s:c r="A10012" s="120" t="inlineStr"/>
      <s:c r="B10012" s="121" t="n"/>
      <s:c r="C10012" s="121" t="n"/>
      <s:c r="D10012" s="121" t="n"/>
      <s:c r="E10012" s="122" t="n"/>
    </s:row>
    <s:row r="10013" hidden="1" ht="1" customHeight="1">
      <s:c r="A10013" s="120" t="inlineStr"/>
      <s:c r="B10013" s="121" t="n"/>
      <s:c r="C10013" s="121" t="n"/>
      <s:c r="D10013" s="121" t="n"/>
      <s:c r="E10013" s="122" t="n"/>
    </s:row>
    <s:row r="10014" hidden="1" ht="1" customHeight="1">
      <s:c r="A10014" s="120" t="inlineStr"/>
      <s:c r="B10014" s="121" t="n"/>
      <s:c r="C10014" s="121" t="n"/>
      <s:c r="D10014" s="121" t="n"/>
      <s:c r="E10014" s="122" t="n"/>
    </s:row>
    <s:row r="10015" hidden="1" ht="1" customHeight="1">
      <s:c r="A10015" s="120" t="inlineStr"/>
      <s:c r="B10015" s="121" t="n"/>
      <s:c r="C10015" s="121" t="n"/>
      <s:c r="D10015" s="121" t="n"/>
      <s:c r="E10015" s="122" t="n"/>
    </s:row>
    <s:row r="10016" hidden="1" ht="1" customHeight="1">
      <s:c r="A10016" s="120" t="inlineStr"/>
      <s:c r="B10016" s="121" t="n"/>
      <s:c r="C10016" s="121" t="n"/>
      <s:c r="D10016" s="121" t="n"/>
      <s:c r="E10016" s="122" t="n"/>
    </s:row>
    <s:row r="10017" hidden="1" ht="1" customHeight="1">
      <s:c r="A10017" s="120" t="inlineStr"/>
      <s:c r="B10017" s="121" t="n"/>
      <s:c r="C10017" s="121" t="n"/>
      <s:c r="D10017" s="121" t="n"/>
      <s:c r="E10017" s="122" t="n"/>
    </s:row>
    <s:row r="10018" hidden="1" ht="1" customHeight="1">
      <s:c r="A10018" s="120" t="inlineStr"/>
      <s:c r="B10018" s="121" t="n"/>
      <s:c r="C10018" s="121" t="n"/>
      <s:c r="D10018" s="121" t="n"/>
      <s:c r="E10018" s="122" t="n"/>
    </s:row>
    <s:row r="10019" hidden="1" ht="1" customHeight="1">
      <s:c r="A10019" s="120" t="inlineStr"/>
      <s:c r="B10019" s="121" t="n"/>
      <s:c r="C10019" s="121" t="n"/>
      <s:c r="D10019" s="121" t="n"/>
      <s:c r="E10019" s="122" t="n"/>
    </s:row>
    <s:row r="10020" hidden="1" ht="1" customHeight="1">
      <s:c r="A10020" s="120" t="inlineStr"/>
      <s:c r="B10020" s="121" t="n"/>
      <s:c r="C10020" s="121" t="n"/>
      <s:c r="D10020" s="121" t="n"/>
      <s:c r="E10020" s="122" t="n"/>
    </s:row>
    <s:row r="10021" hidden="1" ht="1" customHeight="1">
      <s:c r="A10021" s="120" t="inlineStr"/>
      <s:c r="B10021" s="121" t="n"/>
      <s:c r="C10021" s="121" t="n"/>
      <s:c r="D10021" s="121" t="n"/>
      <s:c r="E10021" s="122" t="n"/>
    </s:row>
    <s:row r="10022" hidden="1" ht="1" customHeight="1">
      <s:c r="A10022" s="120" t="inlineStr"/>
      <s:c r="B10022" s="121" t="n"/>
      <s:c r="C10022" s="121" t="n"/>
      <s:c r="D10022" s="121" t="n"/>
      <s:c r="E10022" s="122" t="n"/>
    </s:row>
    <s:row r="10023" hidden="1" ht="1" customHeight="1">
      <s:c r="A10023" s="120" t="inlineStr"/>
      <s:c r="B10023" s="121" t="n"/>
      <s:c r="C10023" s="121" t="n"/>
      <s:c r="D10023" s="121" t="n"/>
      <s:c r="E10023" s="122" t="n"/>
    </s:row>
    <s:row r="10024" hidden="1" ht="1" customHeight="1">
      <s:c r="A10024" s="120" t="inlineStr"/>
      <s:c r="B10024" s="121" t="n"/>
      <s:c r="C10024" s="121" t="n"/>
      <s:c r="D10024" s="121" t="n"/>
      <s:c r="E10024" s="122" t="n"/>
    </s:row>
    <s:row r="10025" hidden="1" ht="1" customHeight="1">
      <s:c r="A10025" s="120" t="inlineStr"/>
      <s:c r="B10025" s="121" t="n"/>
      <s:c r="C10025" s="121" t="n"/>
      <s:c r="D10025" s="121" t="n"/>
      <s:c r="E10025" s="122" t="n"/>
    </s:row>
    <s:row r="10026" hidden="1" ht="1" customHeight="1">
      <s:c r="A10026" s="120" t="inlineStr"/>
      <s:c r="B10026" s="121" t="n"/>
      <s:c r="C10026" s="121" t="n"/>
      <s:c r="D10026" s="121" t="n"/>
      <s:c r="E10026" s="122" t="n"/>
    </s:row>
    <s:row r="10027" hidden="1" ht="1" customHeight="1">
      <s:c r="A10027" s="120" t="inlineStr"/>
      <s:c r="B10027" s="121" t="n"/>
      <s:c r="C10027" s="121" t="n"/>
      <s:c r="D10027" s="121" t="n"/>
      <s:c r="E10027" s="122" t="n"/>
    </s:row>
    <s:row r="10028" hidden="1" ht="1" customHeight="1">
      <s:c r="A10028" s="120" t="inlineStr"/>
      <s:c r="B10028" s="121" t="n"/>
      <s:c r="C10028" s="121" t="n"/>
      <s:c r="D10028" s="121" t="n"/>
      <s:c r="E10028" s="122" t="n"/>
    </s:row>
    <s:row r="10029" hidden="1" ht="1" customHeight="1">
      <s:c r="A10029" s="120" t="inlineStr"/>
      <s:c r="B10029" s="121" t="n"/>
      <s:c r="C10029" s="121" t="n"/>
      <s:c r="D10029" s="121" t="n"/>
      <s:c r="E10029" s="122" t="n"/>
    </s:row>
    <s:row r="10030" hidden="1" ht="1" customHeight="1">
      <s:c r="A10030" s="120" t="inlineStr"/>
      <s:c r="B10030" s="121" t="n"/>
      <s:c r="C10030" s="121" t="n"/>
      <s:c r="D10030" s="121" t="n"/>
      <s:c r="E10030" s="122" t="n"/>
    </s:row>
    <s:row r="10031" hidden="1" ht="1" customHeight="1">
      <s:c r="A10031" s="120" t="inlineStr"/>
      <s:c r="B10031" s="121" t="n"/>
      <s:c r="C10031" s="121" t="n"/>
      <s:c r="D10031" s="121" t="n"/>
      <s:c r="E10031" s="122" t="n"/>
    </s:row>
    <s:row r="10032" hidden="1" ht="1" customHeight="1">
      <s:c r="A10032" s="120" t="inlineStr"/>
      <s:c r="B10032" s="121" t="n"/>
      <s:c r="C10032" s="121" t="n"/>
      <s:c r="D10032" s="121" t="n"/>
      <s:c r="E10032" s="122" t="n"/>
    </s:row>
    <s:row r="10033" hidden="1" ht="1" customHeight="1">
      <s:c r="A10033" s="120" t="inlineStr"/>
      <s:c r="B10033" s="121" t="n"/>
      <s:c r="C10033" s="121" t="n"/>
      <s:c r="D10033" s="121" t="n"/>
      <s:c r="E10033" s="122" t="n"/>
    </s:row>
    <s:row r="10034" hidden="1" ht="1" customHeight="1">
      <s:c r="A10034" s="120" t="inlineStr"/>
      <s:c r="B10034" s="121" t="n"/>
      <s:c r="C10034" s="121" t="n"/>
      <s:c r="D10034" s="121" t="n"/>
      <s:c r="E10034" s="122" t="n"/>
    </s:row>
    <s:row r="10035" hidden="1" ht="1" customHeight="1">
      <s:c r="A10035" s="120" t="inlineStr"/>
      <s:c r="B10035" s="121" t="n"/>
      <s:c r="C10035" s="121" t="n"/>
      <s:c r="D10035" s="121" t="n"/>
      <s:c r="E10035" s="122" t="n"/>
    </s:row>
    <s:row r="10036" hidden="1" ht="1" customHeight="1">
      <s:c r="A10036" s="120" t="inlineStr"/>
      <s:c r="B10036" s="121" t="n"/>
      <s:c r="C10036" s="121" t="n"/>
      <s:c r="D10036" s="121" t="n"/>
      <s:c r="E10036" s="122" t="n"/>
    </s:row>
    <s:row r="10037" hidden="1" ht="1" customHeight="1">
      <s:c r="A10037" s="120" t="inlineStr"/>
      <s:c r="B10037" s="121" t="n"/>
      <s:c r="C10037" s="121" t="n"/>
      <s:c r="D10037" s="121" t="n"/>
      <s:c r="E10037" s="122" t="n"/>
    </s:row>
    <s:row r="10038" hidden="1" ht="1" customHeight="1">
      <s:c r="A10038" s="120" t="inlineStr"/>
      <s:c r="B10038" s="121" t="n"/>
      <s:c r="C10038" s="121" t="n"/>
      <s:c r="D10038" s="121" t="n"/>
      <s:c r="E10038" s="122" t="n"/>
    </s:row>
    <s:row r="10039" hidden="1" ht="1" customHeight="1">
      <s:c r="A10039" s="120" t="inlineStr"/>
      <s:c r="B10039" s="121" t="n"/>
      <s:c r="C10039" s="121" t="n"/>
      <s:c r="D10039" s="121" t="n"/>
      <s:c r="E10039" s="122" t="n"/>
    </s:row>
    <s:row r="10040" hidden="1" ht="1" customHeight="1">
      <s:c r="A10040" s="120" t="inlineStr"/>
      <s:c r="B10040" s="121" t="n"/>
      <s:c r="C10040" s="121" t="n"/>
      <s:c r="D10040" s="121" t="n"/>
      <s:c r="E10040" s="122" t="n"/>
    </s:row>
    <s:row r="10041" hidden="1" ht="1" customHeight="1">
      <s:c r="A10041" s="120" t="inlineStr"/>
      <s:c r="B10041" s="121" t="n"/>
      <s:c r="C10041" s="121" t="n"/>
      <s:c r="D10041" s="121" t="n"/>
      <s:c r="E10041" s="122" t="n"/>
    </s:row>
    <s:row r="10042" hidden="1" ht="1" customHeight="1">
      <s:c r="A10042" s="120" t="inlineStr"/>
      <s:c r="B10042" s="121" t="n"/>
      <s:c r="C10042" s="121" t="n"/>
      <s:c r="D10042" s="121" t="n"/>
      <s:c r="E10042" s="122" t="n"/>
    </s:row>
    <s:row r="10043" hidden="1" ht="1" customHeight="1">
      <s:c r="A10043" s="120" t="inlineStr"/>
      <s:c r="B10043" s="121" t="n"/>
      <s:c r="C10043" s="121" t="n"/>
      <s:c r="D10043" s="121" t="n"/>
      <s:c r="E10043" s="122" t="n"/>
    </s:row>
    <s:row r="10044" hidden="1" ht="1" customHeight="1">
      <s:c r="A10044" s="120" t="inlineStr"/>
      <s:c r="B10044" s="121" t="n"/>
      <s:c r="C10044" s="121" t="n"/>
      <s:c r="D10044" s="121" t="n"/>
      <s:c r="E10044" s="122" t="n"/>
    </s:row>
    <s:row r="10045" hidden="1" ht="1" customHeight="1">
      <s:c r="A10045" s="120" t="inlineStr"/>
      <s:c r="B10045" s="121" t="n"/>
      <s:c r="C10045" s="121" t="n"/>
      <s:c r="D10045" s="121" t="n"/>
      <s:c r="E10045" s="122" t="n"/>
    </s:row>
    <s:row r="10046" hidden="1" ht="1" customHeight="1">
      <s:c r="A10046" s="120" t="inlineStr"/>
      <s:c r="B10046" s="121" t="n"/>
      <s:c r="C10046" s="121" t="n"/>
      <s:c r="D10046" s="121" t="n"/>
      <s:c r="E10046" s="122" t="n"/>
    </s:row>
    <s:row r="10047" hidden="1" ht="1" customHeight="1">
      <s:c r="A10047" s="120" t="inlineStr"/>
      <s:c r="B10047" s="121" t="n"/>
      <s:c r="C10047" s="121" t="n"/>
      <s:c r="D10047" s="121" t="n"/>
      <s:c r="E10047" s="122" t="n"/>
    </s:row>
    <s:row r="10048" hidden="1" ht="1" customHeight="1">
      <s:c r="A10048" s="120" t="inlineStr"/>
      <s:c r="B10048" s="121" t="n"/>
      <s:c r="C10048" s="121" t="n"/>
      <s:c r="D10048" s="121" t="n"/>
      <s:c r="E10048" s="122" t="n"/>
    </s:row>
    <s:row r="10049" hidden="1" ht="1" customHeight="1">
      <s:c r="A10049" s="120" t="inlineStr"/>
      <s:c r="B10049" s="121" t="n"/>
      <s:c r="C10049" s="121" t="n"/>
      <s:c r="D10049" s="121" t="n"/>
      <s:c r="E10049" s="122" t="n"/>
    </s:row>
    <s:row r="10050" hidden="1" ht="1" customHeight="1">
      <s:c r="A10050" s="120" t="inlineStr"/>
      <s:c r="B10050" s="121" t="n"/>
      <s:c r="C10050" s="121" t="n"/>
      <s:c r="D10050" s="121" t="n"/>
      <s:c r="E10050" s="122" t="n"/>
    </s:row>
    <s:row r="10051" hidden="1" ht="1" customHeight="1">
      <s:c r="A10051" s="120" t="inlineStr"/>
      <s:c r="B10051" s="121" t="n"/>
      <s:c r="C10051" s="121" t="n"/>
      <s:c r="D10051" s="121" t="n"/>
      <s:c r="E10051" s="122" t="n"/>
    </s:row>
    <s:row r="10052" hidden="1" ht="1" customHeight="1">
      <s:c r="A10052" s="120" t="inlineStr"/>
      <s:c r="B10052" s="121" t="n"/>
      <s:c r="C10052" s="121" t="n"/>
      <s:c r="D10052" s="121" t="n"/>
      <s:c r="E10052" s="122" t="n"/>
    </s:row>
    <s:row r="10053" hidden="1" ht="1" customHeight="1">
      <s:c r="A10053" s="120" t="inlineStr"/>
      <s:c r="B10053" s="121" t="n"/>
      <s:c r="C10053" s="121" t="n"/>
      <s:c r="D10053" s="121" t="n"/>
      <s:c r="E10053" s="122" t="n"/>
    </s:row>
    <s:row r="10054" hidden="1" ht="1" customHeight="1">
      <s:c r="A10054" s="120" t="inlineStr"/>
      <s:c r="B10054" s="121" t="n"/>
      <s:c r="C10054" s="121" t="n"/>
      <s:c r="D10054" s="121" t="n"/>
      <s:c r="E10054" s="122" t="n"/>
    </s:row>
    <s:row r="10055" hidden="1" ht="1" customHeight="1">
      <s:c r="A10055" s="120" t="inlineStr"/>
      <s:c r="B10055" s="121" t="n"/>
      <s:c r="C10055" s="121" t="n"/>
      <s:c r="D10055" s="121" t="n"/>
      <s:c r="E10055" s="122" t="n"/>
    </s:row>
    <s:row r="10056" hidden="1" ht="1" customHeight="1">
      <s:c r="A10056" s="120" t="inlineStr"/>
      <s:c r="B10056" s="121" t="n"/>
      <s:c r="C10056" s="121" t="n"/>
      <s:c r="D10056" s="121" t="n"/>
      <s:c r="E10056" s="122" t="n"/>
    </s:row>
    <s:row r="10057" hidden="1" ht="1" customHeight="1">
      <s:c r="A10057" s="120" t="inlineStr"/>
      <s:c r="B10057" s="121" t="n"/>
      <s:c r="C10057" s="121" t="n"/>
      <s:c r="D10057" s="121" t="n"/>
      <s:c r="E10057" s="122" t="n"/>
    </s:row>
    <s:row r="10058" hidden="1" ht="1" customHeight="1">
      <s:c r="A10058" s="120" t="inlineStr"/>
      <s:c r="B10058" s="121" t="n"/>
      <s:c r="C10058" s="121" t="n"/>
      <s:c r="D10058" s="121" t="n"/>
      <s:c r="E10058" s="122" t="n"/>
    </s:row>
    <s:row r="10059" hidden="1" ht="1" customHeight="1">
      <s:c r="A10059" s="120" t="inlineStr"/>
      <s:c r="B10059" s="121" t="n"/>
      <s:c r="C10059" s="121" t="n"/>
      <s:c r="D10059" s="121" t="n"/>
      <s:c r="E10059" s="122" t="n"/>
    </s:row>
    <s:row r="10060" hidden="1" ht="1" customHeight="1">
      <s:c r="A10060" s="120" t="inlineStr"/>
      <s:c r="B10060" s="121" t="n"/>
      <s:c r="C10060" s="121" t="n"/>
      <s:c r="D10060" s="121" t="n"/>
      <s:c r="E10060" s="122" t="n"/>
    </s:row>
    <s:row r="10061" hidden="1" ht="1" customHeight="1">
      <s:c r="A10061" s="83" t="inlineStr">
        <s:is>
          <s:t>PASS</s:t>
        </s:is>
      </s:c>
      <s:c r="B10061" s="83">
        <s:f>SUM(IF(EXACT('Kiểm thử'!E9911,"Đạt"),1,0),IF(EXACT('Kiểm thử'!E9913,"Đạt"),1,0),IF(EXACT('Kiểm thử'!E9915,"Đạt"),1,0))</s:f>
        <s:v/>
      </s:c>
      <s:c r="C10061" s="19" t="n"/>
      <s:c r="D10061" s="19" t="n"/>
      <s:c r="E10061" s="19" t="n"/>
    </s:row>
    <s:row r="10062" hidden="1" ht="1" customHeight="1">
      <s:c r="A10062" s="83" t="inlineStr">
        <s:is>
          <s:t>FAIL</s:t>
        </s:is>
      </s:c>
      <s:c r="B10062" s="83">
        <s:f>SUM(IF(EXACT('Kiểm thử'!E9911,"Không đạt"),1,0),IF(EXACT('Kiểm thử'!E9913,"Không đạt"),1,0),IF(EXACT('Kiểm thử'!E9915,"Không đạt"),1,0))</s:f>
        <s:v/>
      </s:c>
      <s:c r="C10062" s="19" t="n"/>
      <s:c r="D10062" s="19" t="n"/>
      <s:c r="E10062" s="19" t="n"/>
    </s:row>
    <s:row r="10063" hidden="1" ht="1" customHeight="1">
      <s:c r="A10063" s="83" t="inlineStr">
        <s:is>
          <s:t>BLOCKED</s:t>
        </s:is>
      </s:c>
      <s:c r="B10063" s="83">
        <s:f>SUM(IF(EXACT('Kiểm thử'!E9911,"Bị chặn"),1,0),IF(EXACT('Kiểm thử'!E9913,"Bị chặn"),1,0),IF(EXACT('Kiểm thử'!E9915,"Bị chặn"),1,0))</s:f>
        <s:v/>
      </s:c>
      <s:c r="C10063" s="19" t="n"/>
      <s:c r="D10063" s="19" t="n"/>
      <s:c r="E10063" s="19" t="n"/>
    </s:row>
    <s:row r="10064" hidden="1" ht="1" customHeight="1">
      <s:c r="A10064" s="83" t="inlineStr">
        <s:is>
          <s:t>SKIPPED</s:t>
        </s:is>
      </s:c>
      <s:c r="B10064" s="83">
        <s:f>SUM(IF(EXACT('Kiểm thử'!E9911,"Không thực hiện"),1,0),IF(EXACT('Kiểm thử'!E9913,"Không thực hiện"),1,0),IF(EXACT('Kiểm thử'!E9915,"Không thực hiện"),1,0))</s:f>
        <s:v/>
      </s:c>
      <s:c r="C10064" s="19" t="n"/>
      <s:c r="D10064" s="19" t="n"/>
      <s:c r="E10064" s="19" t="n"/>
    </s:row>
    <s:row r="10065" hidden="1" ht="1" customHeight="1">
      <s:c r="A10065" s="83" t="inlineStr">
        <s:is>
          <s:t>NOT RUN</s:t>
        </s:is>
      </s:c>
      <s:c r="B10065" s="83">
        <s:f>SUM(IF(EXACT('Kiểm thử'!E9911,"Chưa thực hiện"),1,0),IF(EXACT('Kiểm thử'!E9913,"Chưa thực hiện"),1,0),IF(EXACT('Kiểm thử'!E9915,"Chưa thực hiện"),1,0))</s:f>
        <s:v/>
      </s:c>
      <s:c r="C10065" s="19" t="n"/>
      <s:c r="D10065" s="19" t="n"/>
      <s:c r="E10065" s="19" t="n"/>
    </s:row>
    <s:row r="10066" hidden="1" ht="6" customHeight="1">
      <s:c r="A10066" s="83" t="inlineStr"/>
      <s:c r="B10066" s="19" t="n"/>
      <s:c r="C10066" s="19" t="n"/>
      <s:c r="D10066" s="19" t="n"/>
      <s:c r="E10066" s="19" t="n"/>
    </s:row>
    <s:row r="10067" ht="28" customHeight="1">
      <s:c r="A10067" s="108" t="inlineStr">
        <s:is>
          <s:t>TC-RS-CALC-028 — Không sai kết quả do sai số dấu phẩy động</s:t>
        </s:is>
      </s:c>
      <s:c r="B10067" s="111" t="n"/>
      <s:c r="C10067" s="111" t="n"/>
      <s:c r="D10067" s="111" t="n"/>
      <s:c r="E10067" s="111" t="n"/>
    </s:row>
    <s:row r="10068" ht="20" customHeight="1">
      <s:c r="A10068" s="112" t="inlineStr">
        <s:is>
          <s:t>Kết quả tình huống</s:t>
        </s:is>
      </s:c>
      <s:c r="B10068" s="113">
        <s:f>IF(SUM(IF(EXACT('Kiểm thử'!E10075,"Không đạt"),1,0),IF(EXACT('Kiểm thử'!E10077,"Không đạt"),1,0),IF(EXACT('Kiểm thử'!E10079,"Không đạt"),1,0),IF(EXACT('Kiểm thử'!E10081,"Không đạt"),1,0))&gt;0,"Không đạt",IF(SUM(IF(EXACT('Kiểm thử'!E10075,"Đạt"),1,0),IF(EXACT('Kiểm thử'!E10077,"Đạt"),1,0),IF(EXACT('Kiểm thử'!E10079,"Đạt"),1,0),IF(EXACT('Kiểm thử'!E10081,"Đạt"),1,0))=4,"Đạt",IF(SUM(IF(EXACT('Kiểm thử'!E10075,"Không thực hiện"),1,0),IF(EXACT('Kiểm thử'!E10077,"Không thực hiện"),1,0),IF(EXACT('Kiểm thử'!E10079,"Không thực hiện"),1,0),IF(EXACT('Kiểm thử'!E10081,"Không thực hiện"),1,0))=4,"Không thực hiện",IF(SUM(IF(EXACT('Kiểm thử'!E10075,"Bị chặn"),1,0),IF(EXACT('Kiểm thử'!E10077,"Bị chặn"),1,0),IF(EXACT('Kiểm thử'!E10079,"Bị chặn"),1,0),IF(EXACT('Kiểm thử'!E10081,"Bị chặn"),1,0))&gt;0,"Bị chặn",IF(SUM(IF(EXACT('Kiểm thử'!E10075,"Chưa thực hiện"),1,0),IF(EXACT('Kiểm thử'!E10077,"Chưa thực hiện"),1,0),IF(EXACT('Kiểm thử'!E10079,"Chưa thực hiện"),1,0),IF(EXACT('Kiểm thử'!E10081,"Chưa thực hiện"),1,0))=4,"Chưa thực hiện","Đang thực hiện")))))</s:f>
        <s:v/>
      </s:c>
      <s:c r="C10068" s="114" t="n"/>
      <s:c r="D10068" s="114" t="n"/>
      <s:c r="E10068" s="114" t="n"/>
    </s:row>
    <s:row r="10069" ht="20" customHeight="1">
      <s:c r="A10069" s="112" t="inlineStr">
        <s:is>
          <s:t>Màn hình / chức năng</s:t>
        </s:is>
      </s:c>
      <s:c r="B10069" s="113" t="inlineStr">
        <s:is>
          <s:r>
            <s:rPr>
              <s:b val="1"/>
            </s:rPr>
            <s:t>Thiết lập ngưỡng（基準設定）</s:t>
          </s:r>
        </s:is>
      </s:c>
      <s:c r="C10069" s="28" t="n"/>
      <s:c r="D10069" s="28" t="n"/>
      <s:c r="E10069" s="28" t="n"/>
    </s:row>
    <s:row r="10070" ht="34" customHeight="1">
      <s:c r="A10070" s="112" t="inlineStr">
        <s:is>
          <s:t>Cấu hình</s:t>
        </s:is>
      </s:c>
      <s:c r="B10070" s="113" t="inlineStr">
        <s:is>
          <s:r>
            <s:t>• Mục số thập phân (</s:t>
          </s:r>
          <s:r>
            <s:rPr>
              <s:b val="1"/>
            </s:rPr>
            <s:t>M=100</s:t>
          </s:r>
          <s:r>
            <s:t>);
• Nguồn dummy.</s:t>
          </s:r>
        </s:is>
      </s:c>
      <s:c r="C10070" s="28" t="n"/>
      <s:c r="D10070" s="28" t="n"/>
      <s:c r="E10070" s="28" t="n"/>
    </s:row>
    <s:row r="10071" ht="48" customHeight="1">
      <s:c r="A10071" s="112" t="inlineStr">
        <s:is>
          <s:t>Dữ liệu test</s:t>
        </s:is>
      </s:c>
      <s:c r="B10071" s="113" t="inlineStr">
        <s:is>
          <s:r>
            <s:t>• Mục số thập phân (</s:t>
          </s:r>
          <s:r>
            <s:rPr>
              <s:b val="1"/>
            </s:rPr>
            <s:t>M=100</s:t>
          </s:r>
          <s:r>
            <s:t>);
• (A) [</s:t>
          </s:r>
          <s:r>
            <s:rPr>
              <s:b val="1"/>
            </s:rPr>
            <s:t>A=1.1</s:t>
          </s:r>
          <s:r>
            <s:t>], công thức [A×3], S = 3.3;
• (B) [</s:t>
          </s:r>
          <s:r>
            <s:rPr>
              <s:b val="1"/>
            </s:rPr>
            <s:t>A=0.1</s:t>
          </s:r>
          <s:r>
            <s:t>], công thức [A+0.2], S = 0.3</s:t>
          </s:r>
        </s:is>
      </s:c>
      <s:c r="C10071" s="28" t="n"/>
      <s:c r="D10071" s="28" t="n"/>
      <s:c r="E10071" s="28" t="n"/>
    </s:row>
    <s:row r="10072" ht="20" customHeight="1">
      <s:c r="A10072" s="112" t="inlineStr">
        <s:is>
          <s:t>•</s:t>
        </s:is>
      </s:c>
      <s:c r="B10072" s="113" t="inlineStr">
        <s:is>
          <s:t>Xét với [&lt;] và [≤].</s:t>
        </s:is>
      </s:c>
      <s:c r="C10072" s="28" t="n"/>
      <s:c r="D10072" s="28" t="n"/>
      <s:c r="E10072" s="28" t="n"/>
    </s:row>
    <s:row r="10073" ht="28" customHeight="1">
      <s:c r="A10073" s="115" t="inlineStr">
        <s:is>
          <s:t>Trường hợp</s:t>
        </s:is>
      </s:c>
      <s:c r="B10073" s="115" t="inlineStr">
        <s:is>
          <s:t>Dữ liệu / thao tác riêng</s:t>
        </s:is>
      </s:c>
      <s:c r="C10073" s="115" t="inlineStr">
        <s:is>
          <s:t>Kết quả mong đợi</s:t>
        </s:is>
      </s:c>
      <s:c r="D10073" s="115" t="inlineStr">
        <s:is>
          <s:t>Kết quả thực tế</s:t>
        </s:is>
      </s:c>
      <s:c r="E10073" s="115" t="inlineStr">
        <s:is>
          <s:t>Đánh giá</s:t>
        </s:is>
      </s:c>
    </s:row>
    <s:row r="10074" ht="3" customHeight="1">
      <s:c r="A10074" s="102" t="inlineStr"/>
      <s:c r="B10074" s="99" t="n"/>
      <s:c r="C10074" s="99" t="n"/>
      <s:c r="D10074" s="116" t="n"/>
      <s:c r="E10074" s="116" t="n"/>
    </s:row>
    <s:row r="10075" ht="34" customHeight="1">
      <s:c r="A10075" s="83" t="inlineStr">
        <s:is>
          <s:t>Nhân tại điểm bằng ngưỡng (multiply-lt)</s:t>
        </s:is>
      </s:c>
      <s:c r="B10075" s="83" t="inlineStr">
        <s:is>
          <s:r>
            <s:rPr>
              <s:b val="1"/>
            </s:rPr>
            <s:t>A=1.1</s:t>
          </s:r>
          <s:r>
            <s:t xml:space="preserve">, A×3, </s:t>
          </s:r>
          <s:r>
            <s:rPr>
              <s:b val="1"/>
            </s:rPr>
            <s:t>S=3.3</s:t>
          </s:r>
          <s:r>
            <s:t>, dấu &lt;; chạy xét.</s:t>
          </s:r>
        </s:is>
      </s:c>
      <s:c r="C10075" s="83" t="inlineStr">
        <s:is>
          <s:r>
            <s:rPr>
              <s:b val="1"/>
            </s:rPr>
            <s:t>T=3.3</s:t>
          </s:r>
          <s:r>
            <s:t xml:space="preserve">, </s:t>
          </s:r>
          <s:r>
            <s:rPr>
              <s:b val="1"/>
            </s:rPr>
            <s:t>S=3.3</s:t>
          </s:r>
          <s:r>
            <s:t xml:space="preserve">, dấu &lt; → </s:t>
          </s:r>
          <s:r>
            <s:rPr>
              <s:b val="1"/>
            </s:rPr>
            <s:t>Không đỏ</s:t>
          </s:r>
          <s:r>
            <s:t>; không để sai số tính làm đổi kết luận.</s:t>
          </s:r>
        </s:is>
      </s:c>
      <s:c r="D10075" s="117" t="inlineStr"/>
      <s:c r="E10075" s="118" t="inlineStr">
        <s:is>
          <s:t>Chưa thực hiện</s:t>
        </s:is>
      </s:c>
    </s:row>
    <s:row r="10076" ht="3" customHeight="1">
      <s:c r="A10076" s="102" t="inlineStr"/>
      <s:c r="B10076" s="99" t="n"/>
      <s:c r="C10076" s="99" t="n"/>
      <s:c r="D10076" s="116" t="n"/>
      <s:c r="E10076" s="116" t="n"/>
    </s:row>
    <s:row r="10077" ht="34" customHeight="1">
      <s:c r="A10077" s="83" t="inlineStr">
        <s:is>
          <s:t>Nhân tại điểm bằng ngưỡng (multiply-le)</s:t>
        </s:is>
      </s:c>
      <s:c r="B10077" s="83" t="inlineStr">
        <s:is>
          <s:r>
            <s:rPr>
              <s:b val="1"/>
            </s:rPr>
            <s:t>A=1.1</s:t>
          </s:r>
          <s:r>
            <s:t xml:space="preserve">, A×3, </s:t>
          </s:r>
          <s:r>
            <s:rPr>
              <s:b val="1"/>
            </s:rPr>
            <s:t>S=3.3</s:t>
          </s:r>
          <s:r>
            <s:t>, dấu ≤; chạy xét.</s:t>
          </s:r>
        </s:is>
      </s:c>
      <s:c r="C10077" s="83" t="inlineStr">
        <s:is>
          <s:r>
            <s:rPr>
              <s:b val="1"/>
            </s:rPr>
            <s:t>T=3.3</s:t>
          </s:r>
          <s:r>
            <s:t xml:space="preserve">, </s:t>
          </s:r>
          <s:r>
            <s:rPr>
              <s:b val="1"/>
            </s:rPr>
            <s:t>S=3.3</s:t>
          </s:r>
          <s:r>
            <s:t xml:space="preserve">, dấu ≤ → </s:t>
          </s:r>
          <s:r>
            <s:rPr>
              <s:b val="1"/>
            </s:rPr>
            <s:t>Đỏ</s:t>
          </s:r>
          <s:r>
            <s:t>; không để sai số tính làm đổi kết luận.</s:t>
          </s:r>
        </s:is>
      </s:c>
      <s:c r="D10077" s="117" t="inlineStr"/>
      <s:c r="E10077" s="118" t="inlineStr">
        <s:is>
          <s:t>Chưa thực hiện</s:t>
        </s:is>
      </s:c>
    </s:row>
    <s:row r="10078" ht="3" customHeight="1">
      <s:c r="A10078" s="102" t="inlineStr"/>
      <s:c r="B10078" s="99" t="n"/>
      <s:c r="C10078" s="99" t="n"/>
      <s:c r="D10078" s="116" t="n"/>
      <s:c r="E10078" s="116" t="n"/>
    </s:row>
    <s:row r="10079" ht="34" customHeight="1">
      <s:c r="A10079" s="83" t="inlineStr">
        <s:is>
          <s:t>Cộng tại điểm bằng ngưỡng (add-lt)</s:t>
        </s:is>
      </s:c>
      <s:c r="B10079" s="83" t="inlineStr">
        <s:is>
          <s:r>
            <s:rPr>
              <s:b val="1"/>
            </s:rPr>
            <s:t>A=0.1</s:t>
          </s:r>
          <s:r>
            <s:t xml:space="preserve">, A+0.2, </s:t>
          </s:r>
          <s:r>
            <s:rPr>
              <s:b val="1"/>
            </s:rPr>
            <s:t>S=0.3</s:t>
          </s:r>
          <s:r>
            <s:t>, dấu &lt;; chạy xét.</s:t>
          </s:r>
        </s:is>
      </s:c>
      <s:c r="C10079" s="83" t="inlineStr">
        <s:is>
          <s:r>
            <s:rPr>
              <s:b val="1"/>
            </s:rPr>
            <s:t>T=0.3</s:t>
          </s:r>
          <s:r>
            <s:t xml:space="preserve">, </s:t>
          </s:r>
          <s:r>
            <s:rPr>
              <s:b val="1"/>
            </s:rPr>
            <s:t>S=0.3</s:t>
          </s:r>
          <s:r>
            <s:t xml:space="preserve">, dấu &lt; → </s:t>
          </s:r>
          <s:r>
            <s:rPr>
              <s:b val="1"/>
            </s:rPr>
            <s:t>Không đỏ</s:t>
          </s:r>
          <s:r>
            <s:t>; không để sai số tính làm đổi kết luận.</s:t>
          </s:r>
        </s:is>
      </s:c>
      <s:c r="D10079" s="117" t="inlineStr"/>
      <s:c r="E10079" s="118" t="inlineStr">
        <s:is>
          <s:t>Chưa thực hiện</s:t>
        </s:is>
      </s:c>
    </s:row>
    <s:row r="10080" ht="3" customHeight="1">
      <s:c r="A10080" s="102" t="inlineStr"/>
      <s:c r="B10080" s="99" t="n"/>
      <s:c r="C10080" s="99" t="n"/>
      <s:c r="D10080" s="116" t="n"/>
      <s:c r="E10080" s="116" t="n"/>
    </s:row>
    <s:row r="10081" ht="34" customHeight="1">
      <s:c r="A10081" s="83" t="inlineStr">
        <s:is>
          <s:t>Cộng tại điểm bằng ngưỡng (add-le)</s:t>
        </s:is>
      </s:c>
      <s:c r="B10081" s="83" t="inlineStr">
        <s:is>
          <s:r>
            <s:rPr>
              <s:b val="1"/>
            </s:rPr>
            <s:t>A=0.1</s:t>
          </s:r>
          <s:r>
            <s:t xml:space="preserve">, A+0.2, </s:t>
          </s:r>
          <s:r>
            <s:rPr>
              <s:b val="1"/>
            </s:rPr>
            <s:t>S=0.3</s:t>
          </s:r>
          <s:r>
            <s:t>, dấu ≤; chạy xét.</s:t>
          </s:r>
        </s:is>
      </s:c>
      <s:c r="C10081" s="83" t="inlineStr">
        <s:is>
          <s:r>
            <s:rPr>
              <s:b val="1"/>
            </s:rPr>
            <s:t>T=0.3</s:t>
          </s:r>
          <s:r>
            <s:t xml:space="preserve">, </s:t>
          </s:r>
          <s:r>
            <s:rPr>
              <s:b val="1"/>
            </s:rPr>
            <s:t>S=0.3</s:t>
          </s:r>
          <s:r>
            <s:t xml:space="preserve">, dấu ≤ → </s:t>
          </s:r>
          <s:r>
            <s:rPr>
              <s:b val="1"/>
            </s:rPr>
            <s:t>Đỏ</s:t>
          </s:r>
          <s:r>
            <s:t>; không để sai số tính làm đổi kết luận.</s:t>
          </s:r>
        </s:is>
      </s:c>
      <s:c r="D10081" s="117" t="inlineStr"/>
      <s:c r="E10081" s="118" t="inlineStr">
        <s:is>
          <s:t>Chưa thực hiện</s:t>
        </s:is>
      </s:c>
    </s:row>
    <s:row r="10082" ht="20" customHeight="1">
      <s:c r="A10082" s="119" t="inlineStr">
        <s:is>
          <s:t>Ảnh minh chứng — Chưa có ảnh</s:t>
        </s:is>
      </s:c>
      <s:c r="B10082" s="19" t="n"/>
      <s:c r="C10082" s="19" t="n"/>
      <s:c r="D10082" s="19" t="n"/>
      <s:c r="E10082" s="19" t="n"/>
    </s:row>
    <s:row r="10083" hidden="1" ht="1" customHeight="1">
      <s:c r="A10083" s="120" t="inlineStr"/>
      <s:c r="B10083" s="121" t="n"/>
      <s:c r="C10083" s="121" t="n"/>
      <s:c r="D10083" s="121" t="n"/>
      <s:c r="E10083" s="122" t="n"/>
    </s:row>
    <s:row r="10084" hidden="1" ht="1" customHeight="1">
      <s:c r="A10084" s="120" t="inlineStr"/>
      <s:c r="B10084" s="121" t="n"/>
      <s:c r="C10084" s="121" t="n"/>
      <s:c r="D10084" s="121" t="n"/>
      <s:c r="E10084" s="122" t="n"/>
    </s:row>
    <s:row r="10085" hidden="1" ht="1" customHeight="1">
      <s:c r="A10085" s="120" t="inlineStr"/>
      <s:c r="B10085" s="121" t="n"/>
      <s:c r="C10085" s="121" t="n"/>
      <s:c r="D10085" s="121" t="n"/>
      <s:c r="E10085" s="122" t="n"/>
    </s:row>
    <s:row r="10086" hidden="1" ht="1" customHeight="1">
      <s:c r="A10086" s="120" t="inlineStr"/>
      <s:c r="B10086" s="121" t="n"/>
      <s:c r="C10086" s="121" t="n"/>
      <s:c r="D10086" s="121" t="n"/>
      <s:c r="E10086" s="122" t="n"/>
    </s:row>
    <s:row r="10087" hidden="1" ht="1" customHeight="1">
      <s:c r="A10087" s="120" t="inlineStr"/>
      <s:c r="B10087" s="121" t="n"/>
      <s:c r="C10087" s="121" t="n"/>
      <s:c r="D10087" s="121" t="n"/>
      <s:c r="E10087" s="122" t="n"/>
    </s:row>
    <s:row r="10088" hidden="1" ht="1" customHeight="1">
      <s:c r="A10088" s="120" t="inlineStr"/>
      <s:c r="B10088" s="121" t="n"/>
      <s:c r="C10088" s="121" t="n"/>
      <s:c r="D10088" s="121" t="n"/>
      <s:c r="E10088" s="122" t="n"/>
    </s:row>
    <s:row r="10089" hidden="1" ht="1" customHeight="1">
      <s:c r="A10089" s="120" t="inlineStr"/>
      <s:c r="B10089" s="121" t="n"/>
      <s:c r="C10089" s="121" t="n"/>
      <s:c r="D10089" s="121" t="n"/>
      <s:c r="E10089" s="122" t="n"/>
    </s:row>
    <s:row r="10090" hidden="1" ht="1" customHeight="1">
      <s:c r="A10090" s="120" t="inlineStr"/>
      <s:c r="B10090" s="121" t="n"/>
      <s:c r="C10090" s="121" t="n"/>
      <s:c r="D10090" s="121" t="n"/>
      <s:c r="E10090" s="122" t="n"/>
    </s:row>
    <s:row r="10091" hidden="1" ht="1" customHeight="1">
      <s:c r="A10091" s="120" t="inlineStr"/>
      <s:c r="B10091" s="121" t="n"/>
      <s:c r="C10091" s="121" t="n"/>
      <s:c r="D10091" s="121" t="n"/>
      <s:c r="E10091" s="122" t="n"/>
    </s:row>
    <s:row r="10092" hidden="1" ht="1" customHeight="1">
      <s:c r="A10092" s="120" t="inlineStr"/>
      <s:c r="B10092" s="121" t="n"/>
      <s:c r="C10092" s="121" t="n"/>
      <s:c r="D10092" s="121" t="n"/>
      <s:c r="E10092" s="122" t="n"/>
    </s:row>
    <s:row r="10093" hidden="1" ht="1" customHeight="1">
      <s:c r="A10093" s="120" t="inlineStr"/>
      <s:c r="B10093" s="121" t="n"/>
      <s:c r="C10093" s="121" t="n"/>
      <s:c r="D10093" s="121" t="n"/>
      <s:c r="E10093" s="122" t="n"/>
    </s:row>
    <s:row r="10094" hidden="1" ht="1" customHeight="1">
      <s:c r="A10094" s="120" t="inlineStr"/>
      <s:c r="B10094" s="121" t="n"/>
      <s:c r="C10094" s="121" t="n"/>
      <s:c r="D10094" s="121" t="n"/>
      <s:c r="E10094" s="122" t="n"/>
    </s:row>
    <s:row r="10095" hidden="1" ht="1" customHeight="1">
      <s:c r="A10095" s="120" t="inlineStr"/>
      <s:c r="B10095" s="121" t="n"/>
      <s:c r="C10095" s="121" t="n"/>
      <s:c r="D10095" s="121" t="n"/>
      <s:c r="E10095" s="122" t="n"/>
    </s:row>
    <s:row r="10096" hidden="1" ht="1" customHeight="1">
      <s:c r="A10096" s="120" t="inlineStr"/>
      <s:c r="B10096" s="121" t="n"/>
      <s:c r="C10096" s="121" t="n"/>
      <s:c r="D10096" s="121" t="n"/>
      <s:c r="E10096" s="122" t="n"/>
    </s:row>
    <s:row r="10097" hidden="1" ht="1" customHeight="1">
      <s:c r="A10097" s="120" t="inlineStr"/>
      <s:c r="B10097" s="121" t="n"/>
      <s:c r="C10097" s="121" t="n"/>
      <s:c r="D10097" s="121" t="n"/>
      <s:c r="E10097" s="122" t="n"/>
    </s:row>
    <s:row r="10098" hidden="1" ht="1" customHeight="1">
      <s:c r="A10098" s="120" t="inlineStr"/>
      <s:c r="B10098" s="121" t="n"/>
      <s:c r="C10098" s="121" t="n"/>
      <s:c r="D10098" s="121" t="n"/>
      <s:c r="E10098" s="122" t="n"/>
    </s:row>
    <s:row r="10099" hidden="1" ht="1" customHeight="1">
      <s:c r="A10099" s="120" t="inlineStr"/>
      <s:c r="B10099" s="121" t="n"/>
      <s:c r="C10099" s="121" t="n"/>
      <s:c r="D10099" s="121" t="n"/>
      <s:c r="E10099" s="122" t="n"/>
    </s:row>
    <s:row r="10100" hidden="1" ht="1" customHeight="1">
      <s:c r="A10100" s="120" t="inlineStr"/>
      <s:c r="B10100" s="121" t="n"/>
      <s:c r="C10100" s="121" t="n"/>
      <s:c r="D10100" s="121" t="n"/>
      <s:c r="E10100" s="122" t="n"/>
    </s:row>
    <s:row r="10101" hidden="1" ht="1" customHeight="1">
      <s:c r="A10101" s="120" t="inlineStr"/>
      <s:c r="B10101" s="121" t="n"/>
      <s:c r="C10101" s="121" t="n"/>
      <s:c r="D10101" s="121" t="n"/>
      <s:c r="E10101" s="122" t="n"/>
    </s:row>
    <s:row r="10102" hidden="1" ht="1" customHeight="1">
      <s:c r="A10102" s="120" t="inlineStr"/>
      <s:c r="B10102" s="121" t="n"/>
      <s:c r="C10102" s="121" t="n"/>
      <s:c r="D10102" s="121" t="n"/>
      <s:c r="E10102" s="122" t="n"/>
    </s:row>
    <s:row r="10103" hidden="1" ht="1" customHeight="1">
      <s:c r="A10103" s="120" t="inlineStr"/>
      <s:c r="B10103" s="121" t="n"/>
      <s:c r="C10103" s="121" t="n"/>
      <s:c r="D10103" s="121" t="n"/>
      <s:c r="E10103" s="122" t="n"/>
    </s:row>
    <s:row r="10104" hidden="1" ht="1" customHeight="1">
      <s:c r="A10104" s="120" t="inlineStr"/>
      <s:c r="B10104" s="121" t="n"/>
      <s:c r="C10104" s="121" t="n"/>
      <s:c r="D10104" s="121" t="n"/>
      <s:c r="E10104" s="122" t="n"/>
    </s:row>
    <s:row r="10105" hidden="1" ht="1" customHeight="1">
      <s:c r="A10105" s="120" t="inlineStr"/>
      <s:c r="B10105" s="121" t="n"/>
      <s:c r="C10105" s="121" t="n"/>
      <s:c r="D10105" s="121" t="n"/>
      <s:c r="E10105" s="122" t="n"/>
    </s:row>
    <s:row r="10106" hidden="1" ht="1" customHeight="1">
      <s:c r="A10106" s="120" t="inlineStr"/>
      <s:c r="B10106" s="121" t="n"/>
      <s:c r="C10106" s="121" t="n"/>
      <s:c r="D10106" s="121" t="n"/>
      <s:c r="E10106" s="122" t="n"/>
    </s:row>
    <s:row r="10107" hidden="1" ht="1" customHeight="1">
      <s:c r="A10107" s="120" t="inlineStr"/>
      <s:c r="B10107" s="121" t="n"/>
      <s:c r="C10107" s="121" t="n"/>
      <s:c r="D10107" s="121" t="n"/>
      <s:c r="E10107" s="122" t="n"/>
    </s:row>
    <s:row r="10108" hidden="1" ht="1" customHeight="1">
      <s:c r="A10108" s="120" t="inlineStr"/>
      <s:c r="B10108" s="121" t="n"/>
      <s:c r="C10108" s="121" t="n"/>
      <s:c r="D10108" s="121" t="n"/>
      <s:c r="E10108" s="122" t="n"/>
    </s:row>
    <s:row r="10109" hidden="1" ht="1" customHeight="1">
      <s:c r="A10109" s="120" t="inlineStr"/>
      <s:c r="B10109" s="121" t="n"/>
      <s:c r="C10109" s="121" t="n"/>
      <s:c r="D10109" s="121" t="n"/>
      <s:c r="E10109" s="122" t="n"/>
    </s:row>
    <s:row r="10110" hidden="1" ht="1" customHeight="1">
      <s:c r="A10110" s="120" t="inlineStr"/>
      <s:c r="B10110" s="121" t="n"/>
      <s:c r="C10110" s="121" t="n"/>
      <s:c r="D10110" s="121" t="n"/>
      <s:c r="E10110" s="122" t="n"/>
    </s:row>
    <s:row r="10111" hidden="1" ht="1" customHeight="1">
      <s:c r="A10111" s="120" t="inlineStr"/>
      <s:c r="B10111" s="121" t="n"/>
      <s:c r="C10111" s="121" t="n"/>
      <s:c r="D10111" s="121" t="n"/>
      <s:c r="E10111" s="122" t="n"/>
    </s:row>
    <s:row r="10112" hidden="1" ht="1" customHeight="1">
      <s:c r="A10112" s="120" t="inlineStr"/>
      <s:c r="B10112" s="121" t="n"/>
      <s:c r="C10112" s="121" t="n"/>
      <s:c r="D10112" s="121" t="n"/>
      <s:c r="E10112" s="122" t="n"/>
    </s:row>
    <s:row r="10113" hidden="1" ht="1" customHeight="1">
      <s:c r="A10113" s="120" t="inlineStr"/>
      <s:c r="B10113" s="121" t="n"/>
      <s:c r="C10113" s="121" t="n"/>
      <s:c r="D10113" s="121" t="n"/>
      <s:c r="E10113" s="122" t="n"/>
    </s:row>
    <s:row r="10114" hidden="1" ht="1" customHeight="1">
      <s:c r="A10114" s="120" t="inlineStr"/>
      <s:c r="B10114" s="121" t="n"/>
      <s:c r="C10114" s="121" t="n"/>
      <s:c r="D10114" s="121" t="n"/>
      <s:c r="E10114" s="122" t="n"/>
    </s:row>
    <s:row r="10115" hidden="1" ht="1" customHeight="1">
      <s:c r="A10115" s="120" t="inlineStr"/>
      <s:c r="B10115" s="121" t="n"/>
      <s:c r="C10115" s="121" t="n"/>
      <s:c r="D10115" s="121" t="n"/>
      <s:c r="E10115" s="122" t="n"/>
    </s:row>
    <s:row r="10116" hidden="1" ht="1" customHeight="1">
      <s:c r="A10116" s="120" t="inlineStr"/>
      <s:c r="B10116" s="121" t="n"/>
      <s:c r="C10116" s="121" t="n"/>
      <s:c r="D10116" s="121" t="n"/>
      <s:c r="E10116" s="122" t="n"/>
    </s:row>
    <s:row r="10117" hidden="1" ht="1" customHeight="1">
      <s:c r="A10117" s="120" t="inlineStr"/>
      <s:c r="B10117" s="121" t="n"/>
      <s:c r="C10117" s="121" t="n"/>
      <s:c r="D10117" s="121" t="n"/>
      <s:c r="E10117" s="122" t="n"/>
    </s:row>
    <s:row r="10118" hidden="1" ht="1" customHeight="1">
      <s:c r="A10118" s="120" t="inlineStr"/>
      <s:c r="B10118" s="121" t="n"/>
      <s:c r="C10118" s="121" t="n"/>
      <s:c r="D10118" s="121" t="n"/>
      <s:c r="E10118" s="122" t="n"/>
    </s:row>
    <s:row r="10119" hidden="1" ht="1" customHeight="1">
      <s:c r="A10119" s="120" t="inlineStr"/>
      <s:c r="B10119" s="121" t="n"/>
      <s:c r="C10119" s="121" t="n"/>
      <s:c r="D10119" s="121" t="n"/>
      <s:c r="E10119" s="122" t="n"/>
    </s:row>
    <s:row r="10120" hidden="1" ht="1" customHeight="1">
      <s:c r="A10120" s="120" t="inlineStr"/>
      <s:c r="B10120" s="121" t="n"/>
      <s:c r="C10120" s="121" t="n"/>
      <s:c r="D10120" s="121" t="n"/>
      <s:c r="E10120" s="122" t="n"/>
    </s:row>
    <s:row r="10121" hidden="1" ht="1" customHeight="1">
      <s:c r="A10121" s="120" t="inlineStr"/>
      <s:c r="B10121" s="121" t="n"/>
      <s:c r="C10121" s="121" t="n"/>
      <s:c r="D10121" s="121" t="n"/>
      <s:c r="E10121" s="122" t="n"/>
    </s:row>
    <s:row r="10122" hidden="1" ht="1" customHeight="1">
      <s:c r="A10122" s="120" t="inlineStr"/>
      <s:c r="B10122" s="121" t="n"/>
      <s:c r="C10122" s="121" t="n"/>
      <s:c r="D10122" s="121" t="n"/>
      <s:c r="E10122" s="122" t="n"/>
    </s:row>
    <s:row r="10123" hidden="1" ht="1" customHeight="1">
      <s:c r="A10123" s="120" t="inlineStr"/>
      <s:c r="B10123" s="121" t="n"/>
      <s:c r="C10123" s="121" t="n"/>
      <s:c r="D10123" s="121" t="n"/>
      <s:c r="E10123" s="122" t="n"/>
    </s:row>
    <s:row r="10124" hidden="1" ht="1" customHeight="1">
      <s:c r="A10124" s="120" t="inlineStr"/>
      <s:c r="B10124" s="121" t="n"/>
      <s:c r="C10124" s="121" t="n"/>
      <s:c r="D10124" s="121" t="n"/>
      <s:c r="E10124" s="122" t="n"/>
    </s:row>
    <s:row r="10125" hidden="1" ht="1" customHeight="1">
      <s:c r="A10125" s="120" t="inlineStr"/>
      <s:c r="B10125" s="121" t="n"/>
      <s:c r="C10125" s="121" t="n"/>
      <s:c r="D10125" s="121" t="n"/>
      <s:c r="E10125" s="122" t="n"/>
    </s:row>
    <s:row r="10126" hidden="1" ht="1" customHeight="1">
      <s:c r="A10126" s="120" t="inlineStr"/>
      <s:c r="B10126" s="121" t="n"/>
      <s:c r="C10126" s="121" t="n"/>
      <s:c r="D10126" s="121" t="n"/>
      <s:c r="E10126" s="122" t="n"/>
    </s:row>
    <s:row r="10127" hidden="1" ht="1" customHeight="1">
      <s:c r="A10127" s="120" t="inlineStr"/>
      <s:c r="B10127" s="121" t="n"/>
      <s:c r="C10127" s="121" t="n"/>
      <s:c r="D10127" s="121" t="n"/>
      <s:c r="E10127" s="122" t="n"/>
    </s:row>
    <s:row r="10128" hidden="1" ht="1" customHeight="1">
      <s:c r="A10128" s="120" t="inlineStr"/>
      <s:c r="B10128" s="121" t="n"/>
      <s:c r="C10128" s="121" t="n"/>
      <s:c r="D10128" s="121" t="n"/>
      <s:c r="E10128" s="122" t="n"/>
    </s:row>
    <s:row r="10129" hidden="1" ht="1" customHeight="1">
      <s:c r="A10129" s="120" t="inlineStr"/>
      <s:c r="B10129" s="121" t="n"/>
      <s:c r="C10129" s="121" t="n"/>
      <s:c r="D10129" s="121" t="n"/>
      <s:c r="E10129" s="122" t="n"/>
    </s:row>
    <s:row r="10130" hidden="1" ht="1" customHeight="1">
      <s:c r="A10130" s="120" t="inlineStr"/>
      <s:c r="B10130" s="121" t="n"/>
      <s:c r="C10130" s="121" t="n"/>
      <s:c r="D10130" s="121" t="n"/>
      <s:c r="E10130" s="122" t="n"/>
    </s:row>
    <s:row r="10131" hidden="1" ht="1" customHeight="1">
      <s:c r="A10131" s="120" t="inlineStr"/>
      <s:c r="B10131" s="121" t="n"/>
      <s:c r="C10131" s="121" t="n"/>
      <s:c r="D10131" s="121" t="n"/>
      <s:c r="E10131" s="122" t="n"/>
    </s:row>
    <s:row r="10132" hidden="1" ht="1" customHeight="1">
      <s:c r="A10132" s="120" t="inlineStr"/>
      <s:c r="B10132" s="121" t="n"/>
      <s:c r="C10132" s="121" t="n"/>
      <s:c r="D10132" s="121" t="n"/>
      <s:c r="E10132" s="122" t="n"/>
    </s:row>
    <s:row r="10133" hidden="1" ht="1" customHeight="1">
      <s:c r="A10133" s="120" t="inlineStr"/>
      <s:c r="B10133" s="121" t="n"/>
      <s:c r="C10133" s="121" t="n"/>
      <s:c r="D10133" s="121" t="n"/>
      <s:c r="E10133" s="122" t="n"/>
    </s:row>
    <s:row r="10134" hidden="1" ht="1" customHeight="1">
      <s:c r="A10134" s="120" t="inlineStr"/>
      <s:c r="B10134" s="121" t="n"/>
      <s:c r="C10134" s="121" t="n"/>
      <s:c r="D10134" s="121" t="n"/>
      <s:c r="E10134" s="122" t="n"/>
    </s:row>
    <s:row r="10135" hidden="1" ht="1" customHeight="1">
      <s:c r="A10135" s="120" t="inlineStr"/>
      <s:c r="B10135" s="121" t="n"/>
      <s:c r="C10135" s="121" t="n"/>
      <s:c r="D10135" s="121" t="n"/>
      <s:c r="E10135" s="122" t="n"/>
    </s:row>
    <s:row r="10136" hidden="1" ht="1" customHeight="1">
      <s:c r="A10136" s="120" t="inlineStr"/>
      <s:c r="B10136" s="121" t="n"/>
      <s:c r="C10136" s="121" t="n"/>
      <s:c r="D10136" s="121" t="n"/>
      <s:c r="E10136" s="122" t="n"/>
    </s:row>
    <s:row r="10137" hidden="1" ht="1" customHeight="1">
      <s:c r="A10137" s="120" t="inlineStr"/>
      <s:c r="B10137" s="121" t="n"/>
      <s:c r="C10137" s="121" t="n"/>
      <s:c r="D10137" s="121" t="n"/>
      <s:c r="E10137" s="122" t="n"/>
    </s:row>
    <s:row r="10138" hidden="1" ht="1" customHeight="1">
      <s:c r="A10138" s="120" t="inlineStr"/>
      <s:c r="B10138" s="121" t="n"/>
      <s:c r="C10138" s="121" t="n"/>
      <s:c r="D10138" s="121" t="n"/>
      <s:c r="E10138" s="122" t="n"/>
    </s:row>
    <s:row r="10139" hidden="1" ht="1" customHeight="1">
      <s:c r="A10139" s="120" t="inlineStr"/>
      <s:c r="B10139" s="121" t="n"/>
      <s:c r="C10139" s="121" t="n"/>
      <s:c r="D10139" s="121" t="n"/>
      <s:c r="E10139" s="122" t="n"/>
    </s:row>
    <s:row r="10140" hidden="1" ht="1" customHeight="1">
      <s:c r="A10140" s="120" t="inlineStr"/>
      <s:c r="B10140" s="121" t="n"/>
      <s:c r="C10140" s="121" t="n"/>
      <s:c r="D10140" s="121" t="n"/>
      <s:c r="E10140" s="122" t="n"/>
    </s:row>
    <s:row r="10141" hidden="1" ht="1" customHeight="1">
      <s:c r="A10141" s="120" t="inlineStr"/>
      <s:c r="B10141" s="121" t="n"/>
      <s:c r="C10141" s="121" t="n"/>
      <s:c r="D10141" s="121" t="n"/>
      <s:c r="E10141" s="122" t="n"/>
    </s:row>
    <s:row r="10142" hidden="1" ht="1" customHeight="1">
      <s:c r="A10142" s="120" t="inlineStr"/>
      <s:c r="B10142" s="121" t="n"/>
      <s:c r="C10142" s="121" t="n"/>
      <s:c r="D10142" s="121" t="n"/>
      <s:c r="E10142" s="122" t="n"/>
    </s:row>
    <s:row r="10143" hidden="1" ht="1" customHeight="1">
      <s:c r="A10143" s="120" t="inlineStr"/>
      <s:c r="B10143" s="121" t="n"/>
      <s:c r="C10143" s="121" t="n"/>
      <s:c r="D10143" s="121" t="n"/>
      <s:c r="E10143" s="122" t="n"/>
    </s:row>
    <s:row r="10144" hidden="1" ht="1" customHeight="1">
      <s:c r="A10144" s="120" t="inlineStr"/>
      <s:c r="B10144" s="121" t="n"/>
      <s:c r="C10144" s="121" t="n"/>
      <s:c r="D10144" s="121" t="n"/>
      <s:c r="E10144" s="122" t="n"/>
    </s:row>
    <s:row r="10145" hidden="1" ht="1" customHeight="1">
      <s:c r="A10145" s="120" t="inlineStr"/>
      <s:c r="B10145" s="121" t="n"/>
      <s:c r="C10145" s="121" t="n"/>
      <s:c r="D10145" s="121" t="n"/>
      <s:c r="E10145" s="122" t="n"/>
    </s:row>
    <s:row r="10146" hidden="1" ht="1" customHeight="1">
      <s:c r="A10146" s="120" t="inlineStr"/>
      <s:c r="B10146" s="121" t="n"/>
      <s:c r="C10146" s="121" t="n"/>
      <s:c r="D10146" s="121" t="n"/>
      <s:c r="E10146" s="122" t="n"/>
    </s:row>
    <s:row r="10147" hidden="1" ht="1" customHeight="1">
      <s:c r="A10147" s="120" t="inlineStr"/>
      <s:c r="B10147" s="121" t="n"/>
      <s:c r="C10147" s="121" t="n"/>
      <s:c r="D10147" s="121" t="n"/>
      <s:c r="E10147" s="122" t="n"/>
    </s:row>
    <s:row r="10148" hidden="1" ht="1" customHeight="1">
      <s:c r="A10148" s="120" t="inlineStr"/>
      <s:c r="B10148" s="121" t="n"/>
      <s:c r="C10148" s="121" t="n"/>
      <s:c r="D10148" s="121" t="n"/>
      <s:c r="E10148" s="122" t="n"/>
    </s:row>
    <s:row r="10149" hidden="1" ht="1" customHeight="1">
      <s:c r="A10149" s="120" t="inlineStr"/>
      <s:c r="B10149" s="121" t="n"/>
      <s:c r="C10149" s="121" t="n"/>
      <s:c r="D10149" s="121" t="n"/>
      <s:c r="E10149" s="122" t="n"/>
    </s:row>
    <s:row r="10150" hidden="1" ht="1" customHeight="1">
      <s:c r="A10150" s="120" t="inlineStr"/>
      <s:c r="B10150" s="121" t="n"/>
      <s:c r="C10150" s="121" t="n"/>
      <s:c r="D10150" s="121" t="n"/>
      <s:c r="E10150" s="122" t="n"/>
    </s:row>
    <s:row r="10151" hidden="1" ht="1" customHeight="1">
      <s:c r="A10151" s="120" t="inlineStr"/>
      <s:c r="B10151" s="121" t="n"/>
      <s:c r="C10151" s="121" t="n"/>
      <s:c r="D10151" s="121" t="n"/>
      <s:c r="E10151" s="122" t="n"/>
    </s:row>
    <s:row r="10152" hidden="1" ht="1" customHeight="1">
      <s:c r="A10152" s="120" t="inlineStr"/>
      <s:c r="B10152" s="121" t="n"/>
      <s:c r="C10152" s="121" t="n"/>
      <s:c r="D10152" s="121" t="n"/>
      <s:c r="E10152" s="122" t="n"/>
    </s:row>
    <s:row r="10153" hidden="1" ht="1" customHeight="1">
      <s:c r="A10153" s="120" t="inlineStr"/>
      <s:c r="B10153" s="121" t="n"/>
      <s:c r="C10153" s="121" t="n"/>
      <s:c r="D10153" s="121" t="n"/>
      <s:c r="E10153" s="122" t="n"/>
    </s:row>
    <s:row r="10154" hidden="1" ht="1" customHeight="1">
      <s:c r="A10154" s="120" t="inlineStr"/>
      <s:c r="B10154" s="121" t="n"/>
      <s:c r="C10154" s="121" t="n"/>
      <s:c r="D10154" s="121" t="n"/>
      <s:c r="E10154" s="122" t="n"/>
    </s:row>
    <s:row r="10155" hidden="1" ht="1" customHeight="1">
      <s:c r="A10155" s="120" t="inlineStr"/>
      <s:c r="B10155" s="121" t="n"/>
      <s:c r="C10155" s="121" t="n"/>
      <s:c r="D10155" s="121" t="n"/>
      <s:c r="E10155" s="122" t="n"/>
    </s:row>
    <s:row r="10156" hidden="1" ht="1" customHeight="1">
      <s:c r="A10156" s="120" t="inlineStr"/>
      <s:c r="B10156" s="121" t="n"/>
      <s:c r="C10156" s="121" t="n"/>
      <s:c r="D10156" s="121" t="n"/>
      <s:c r="E10156" s="122" t="n"/>
    </s:row>
    <s:row r="10157" hidden="1" ht="1" customHeight="1">
      <s:c r="A10157" s="120" t="inlineStr"/>
      <s:c r="B10157" s="121" t="n"/>
      <s:c r="C10157" s="121" t="n"/>
      <s:c r="D10157" s="121" t="n"/>
      <s:c r="E10157" s="122" t="n"/>
    </s:row>
    <s:row r="10158" hidden="1" ht="1" customHeight="1">
      <s:c r="A10158" s="120" t="inlineStr"/>
      <s:c r="B10158" s="121" t="n"/>
      <s:c r="C10158" s="121" t="n"/>
      <s:c r="D10158" s="121" t="n"/>
      <s:c r="E10158" s="122" t="n"/>
    </s:row>
    <s:row r="10159" hidden="1" ht="1" customHeight="1">
      <s:c r="A10159" s="120" t="inlineStr"/>
      <s:c r="B10159" s="121" t="n"/>
      <s:c r="C10159" s="121" t="n"/>
      <s:c r="D10159" s="121" t="n"/>
      <s:c r="E10159" s="122" t="n"/>
    </s:row>
    <s:row r="10160" hidden="1" ht="1" customHeight="1">
      <s:c r="A10160" s="120" t="inlineStr"/>
      <s:c r="B10160" s="121" t="n"/>
      <s:c r="C10160" s="121" t="n"/>
      <s:c r="D10160" s="121" t="n"/>
      <s:c r="E10160" s="122" t="n"/>
    </s:row>
    <s:row r="10161" hidden="1" ht="1" customHeight="1">
      <s:c r="A10161" s="120" t="inlineStr"/>
      <s:c r="B10161" s="121" t="n"/>
      <s:c r="C10161" s="121" t="n"/>
      <s:c r="D10161" s="121" t="n"/>
      <s:c r="E10161" s="122" t="n"/>
    </s:row>
    <s:row r="10162" hidden="1" ht="1" customHeight="1">
      <s:c r="A10162" s="120" t="inlineStr"/>
      <s:c r="B10162" s="121" t="n"/>
      <s:c r="C10162" s="121" t="n"/>
      <s:c r="D10162" s="121" t="n"/>
      <s:c r="E10162" s="122" t="n"/>
    </s:row>
    <s:row r="10163" hidden="1" ht="1" customHeight="1">
      <s:c r="A10163" s="120" t="inlineStr"/>
      <s:c r="B10163" s="121" t="n"/>
      <s:c r="C10163" s="121" t="n"/>
      <s:c r="D10163" s="121" t="n"/>
      <s:c r="E10163" s="122" t="n"/>
    </s:row>
    <s:row r="10164" hidden="1" ht="1" customHeight="1">
      <s:c r="A10164" s="120" t="inlineStr"/>
      <s:c r="B10164" s="121" t="n"/>
      <s:c r="C10164" s="121" t="n"/>
      <s:c r="D10164" s="121" t="n"/>
      <s:c r="E10164" s="122" t="n"/>
    </s:row>
    <s:row r="10165" hidden="1" ht="1" customHeight="1">
      <s:c r="A10165" s="120" t="inlineStr"/>
      <s:c r="B10165" s="121" t="n"/>
      <s:c r="C10165" s="121" t="n"/>
      <s:c r="D10165" s="121" t="n"/>
      <s:c r="E10165" s="122" t="n"/>
    </s:row>
    <s:row r="10166" hidden="1" ht="1" customHeight="1">
      <s:c r="A10166" s="120" t="inlineStr"/>
      <s:c r="B10166" s="121" t="n"/>
      <s:c r="C10166" s="121" t="n"/>
      <s:c r="D10166" s="121" t="n"/>
      <s:c r="E10166" s="122" t="n"/>
    </s:row>
    <s:row r="10167" hidden="1" ht="1" customHeight="1">
      <s:c r="A10167" s="120" t="inlineStr"/>
      <s:c r="B10167" s="121" t="n"/>
      <s:c r="C10167" s="121" t="n"/>
      <s:c r="D10167" s="121" t="n"/>
      <s:c r="E10167" s="122" t="n"/>
    </s:row>
    <s:row r="10168" hidden="1" ht="1" customHeight="1">
      <s:c r="A10168" s="120" t="inlineStr"/>
      <s:c r="B10168" s="121" t="n"/>
      <s:c r="C10168" s="121" t="n"/>
      <s:c r="D10168" s="121" t="n"/>
      <s:c r="E10168" s="122" t="n"/>
    </s:row>
    <s:row r="10169" hidden="1" ht="1" customHeight="1">
      <s:c r="A10169" s="120" t="inlineStr"/>
      <s:c r="B10169" s="121" t="n"/>
      <s:c r="C10169" s="121" t="n"/>
      <s:c r="D10169" s="121" t="n"/>
      <s:c r="E10169" s="122" t="n"/>
    </s:row>
    <s:row r="10170" hidden="1" ht="1" customHeight="1">
      <s:c r="A10170" s="120" t="inlineStr"/>
      <s:c r="B10170" s="121" t="n"/>
      <s:c r="C10170" s="121" t="n"/>
      <s:c r="D10170" s="121" t="n"/>
      <s:c r="E10170" s="122" t="n"/>
    </s:row>
    <s:row r="10171" hidden="1" ht="1" customHeight="1">
      <s:c r="A10171" s="120" t="inlineStr"/>
      <s:c r="B10171" s="121" t="n"/>
      <s:c r="C10171" s="121" t="n"/>
      <s:c r="D10171" s="121" t="n"/>
      <s:c r="E10171" s="122" t="n"/>
    </s:row>
    <s:row r="10172" hidden="1" ht="1" customHeight="1">
      <s:c r="A10172" s="120" t="inlineStr"/>
      <s:c r="B10172" s="121" t="n"/>
      <s:c r="C10172" s="121" t="n"/>
      <s:c r="D10172" s="121" t="n"/>
      <s:c r="E10172" s="122" t="n"/>
    </s:row>
    <s:row r="10173" hidden="1" ht="1" customHeight="1">
      <s:c r="A10173" s="120" t="inlineStr"/>
      <s:c r="B10173" s="121" t="n"/>
      <s:c r="C10173" s="121" t="n"/>
      <s:c r="D10173" s="121" t="n"/>
      <s:c r="E10173" s="122" t="n"/>
    </s:row>
    <s:row r="10174" hidden="1" ht="1" customHeight="1">
      <s:c r="A10174" s="120" t="inlineStr"/>
      <s:c r="B10174" s="121" t="n"/>
      <s:c r="C10174" s="121" t="n"/>
      <s:c r="D10174" s="121" t="n"/>
      <s:c r="E10174" s="122" t="n"/>
    </s:row>
    <s:row r="10175" hidden="1" ht="1" customHeight="1">
      <s:c r="A10175" s="120" t="inlineStr"/>
      <s:c r="B10175" s="121" t="n"/>
      <s:c r="C10175" s="121" t="n"/>
      <s:c r="D10175" s="121" t="n"/>
      <s:c r="E10175" s="122" t="n"/>
    </s:row>
    <s:row r="10176" hidden="1" ht="1" customHeight="1">
      <s:c r="A10176" s="120" t="inlineStr"/>
      <s:c r="B10176" s="121" t="n"/>
      <s:c r="C10176" s="121" t="n"/>
      <s:c r="D10176" s="121" t="n"/>
      <s:c r="E10176" s="122" t="n"/>
    </s:row>
    <s:row r="10177" hidden="1" ht="1" customHeight="1">
      <s:c r="A10177" s="120" t="inlineStr"/>
      <s:c r="B10177" s="121" t="n"/>
      <s:c r="C10177" s="121" t="n"/>
      <s:c r="D10177" s="121" t="n"/>
      <s:c r="E10177" s="122" t="n"/>
    </s:row>
    <s:row r="10178" hidden="1" ht="1" customHeight="1">
      <s:c r="A10178" s="120" t="inlineStr"/>
      <s:c r="B10178" s="121" t="n"/>
      <s:c r="C10178" s="121" t="n"/>
      <s:c r="D10178" s="121" t="n"/>
      <s:c r="E10178" s="122" t="n"/>
    </s:row>
    <s:row r="10179" hidden="1" ht="1" customHeight="1">
      <s:c r="A10179" s="120" t="inlineStr"/>
      <s:c r="B10179" s="121" t="n"/>
      <s:c r="C10179" s="121" t="n"/>
      <s:c r="D10179" s="121" t="n"/>
      <s:c r="E10179" s="122" t="n"/>
    </s:row>
    <s:row r="10180" hidden="1" ht="1" customHeight="1">
      <s:c r="A10180" s="120" t="inlineStr"/>
      <s:c r="B10180" s="121" t="n"/>
      <s:c r="C10180" s="121" t="n"/>
      <s:c r="D10180" s="121" t="n"/>
      <s:c r="E10180" s="122" t="n"/>
    </s:row>
    <s:row r="10181" hidden="1" ht="1" customHeight="1">
      <s:c r="A10181" s="120" t="inlineStr"/>
      <s:c r="B10181" s="121" t="n"/>
      <s:c r="C10181" s="121" t="n"/>
      <s:c r="D10181" s="121" t="n"/>
      <s:c r="E10181" s="122" t="n"/>
    </s:row>
    <s:row r="10182" hidden="1" ht="1" customHeight="1">
      <s:c r="A10182" s="120" t="inlineStr"/>
      <s:c r="B10182" s="121" t="n"/>
      <s:c r="C10182" s="121" t="n"/>
      <s:c r="D10182" s="121" t="n"/>
      <s:c r="E10182" s="122" t="n"/>
    </s:row>
    <s:row r="10183" hidden="1" ht="1" customHeight="1">
      <s:c r="A10183" s="120" t="inlineStr"/>
      <s:c r="B10183" s="121" t="n"/>
      <s:c r="C10183" s="121" t="n"/>
      <s:c r="D10183" s="121" t="n"/>
      <s:c r="E10183" s="122" t="n"/>
    </s:row>
    <s:row r="10184" hidden="1" ht="1" customHeight="1">
      <s:c r="A10184" s="120" t="inlineStr"/>
      <s:c r="B10184" s="121" t="n"/>
      <s:c r="C10184" s="121" t="n"/>
      <s:c r="D10184" s="121" t="n"/>
      <s:c r="E10184" s="122" t="n"/>
    </s:row>
    <s:row r="10185" hidden="1" ht="1" customHeight="1">
      <s:c r="A10185" s="120" t="inlineStr"/>
      <s:c r="B10185" s="121" t="n"/>
      <s:c r="C10185" s="121" t="n"/>
      <s:c r="D10185" s="121" t="n"/>
      <s:c r="E10185" s="122" t="n"/>
    </s:row>
    <s:row r="10186" hidden="1" ht="1" customHeight="1">
      <s:c r="A10186" s="120" t="inlineStr"/>
      <s:c r="B10186" s="121" t="n"/>
      <s:c r="C10186" s="121" t="n"/>
      <s:c r="D10186" s="121" t="n"/>
      <s:c r="E10186" s="122" t="n"/>
    </s:row>
    <s:row r="10187" hidden="1" ht="1" customHeight="1">
      <s:c r="A10187" s="120" t="inlineStr"/>
      <s:c r="B10187" s="121" t="n"/>
      <s:c r="C10187" s="121" t="n"/>
      <s:c r="D10187" s="121" t="n"/>
      <s:c r="E10187" s="122" t="n"/>
    </s:row>
    <s:row r="10188" hidden="1" ht="1" customHeight="1">
      <s:c r="A10188" s="120" t="inlineStr"/>
      <s:c r="B10188" s="121" t="n"/>
      <s:c r="C10188" s="121" t="n"/>
      <s:c r="D10188" s="121" t="n"/>
      <s:c r="E10188" s="122" t="n"/>
    </s:row>
    <s:row r="10189" hidden="1" ht="1" customHeight="1">
      <s:c r="A10189" s="120" t="inlineStr"/>
      <s:c r="B10189" s="121" t="n"/>
      <s:c r="C10189" s="121" t="n"/>
      <s:c r="D10189" s="121" t="n"/>
      <s:c r="E10189" s="122" t="n"/>
    </s:row>
    <s:row r="10190" hidden="1" ht="1" customHeight="1">
      <s:c r="A10190" s="120" t="inlineStr"/>
      <s:c r="B10190" s="121" t="n"/>
      <s:c r="C10190" s="121" t="n"/>
      <s:c r="D10190" s="121" t="n"/>
      <s:c r="E10190" s="122" t="n"/>
    </s:row>
    <s:row r="10191" hidden="1" ht="1" customHeight="1">
      <s:c r="A10191" s="120" t="inlineStr"/>
      <s:c r="B10191" s="121" t="n"/>
      <s:c r="C10191" s="121" t="n"/>
      <s:c r="D10191" s="121" t="n"/>
      <s:c r="E10191" s="122" t="n"/>
    </s:row>
    <s:row r="10192" hidden="1" ht="1" customHeight="1">
      <s:c r="A10192" s="120" t="inlineStr"/>
      <s:c r="B10192" s="121" t="n"/>
      <s:c r="C10192" s="121" t="n"/>
      <s:c r="D10192" s="121" t="n"/>
      <s:c r="E10192" s="122" t="n"/>
    </s:row>
    <s:row r="10193" hidden="1" ht="1" customHeight="1">
      <s:c r="A10193" s="120" t="inlineStr"/>
      <s:c r="B10193" s="121" t="n"/>
      <s:c r="C10193" s="121" t="n"/>
      <s:c r="D10193" s="121" t="n"/>
      <s:c r="E10193" s="122" t="n"/>
    </s:row>
    <s:row r="10194" hidden="1" ht="1" customHeight="1">
      <s:c r="A10194" s="120" t="inlineStr"/>
      <s:c r="B10194" s="121" t="n"/>
      <s:c r="C10194" s="121" t="n"/>
      <s:c r="D10194" s="121" t="n"/>
      <s:c r="E10194" s="122" t="n"/>
    </s:row>
    <s:row r="10195" hidden="1" ht="1" customHeight="1">
      <s:c r="A10195" s="120" t="inlineStr"/>
      <s:c r="B10195" s="121" t="n"/>
      <s:c r="C10195" s="121" t="n"/>
      <s:c r="D10195" s="121" t="n"/>
      <s:c r="E10195" s="122" t="n"/>
    </s:row>
    <s:row r="10196" hidden="1" ht="1" customHeight="1">
      <s:c r="A10196" s="120" t="inlineStr"/>
      <s:c r="B10196" s="121" t="n"/>
      <s:c r="C10196" s="121" t="n"/>
      <s:c r="D10196" s="121" t="n"/>
      <s:c r="E10196" s="122" t="n"/>
    </s:row>
    <s:row r="10197" hidden="1" ht="1" customHeight="1">
      <s:c r="A10197" s="120" t="inlineStr"/>
      <s:c r="B10197" s="121" t="n"/>
      <s:c r="C10197" s="121" t="n"/>
      <s:c r="D10197" s="121" t="n"/>
      <s:c r="E10197" s="122" t="n"/>
    </s:row>
    <s:row r="10198" hidden="1" ht="1" customHeight="1">
      <s:c r="A10198" s="120" t="inlineStr"/>
      <s:c r="B10198" s="121" t="n"/>
      <s:c r="C10198" s="121" t="n"/>
      <s:c r="D10198" s="121" t="n"/>
      <s:c r="E10198" s="122" t="n"/>
    </s:row>
    <s:row r="10199" hidden="1" ht="1" customHeight="1">
      <s:c r="A10199" s="120" t="inlineStr"/>
      <s:c r="B10199" s="121" t="n"/>
      <s:c r="C10199" s="121" t="n"/>
      <s:c r="D10199" s="121" t="n"/>
      <s:c r="E10199" s="122" t="n"/>
    </s:row>
    <s:row r="10200" hidden="1" ht="1" customHeight="1">
      <s:c r="A10200" s="120" t="inlineStr"/>
      <s:c r="B10200" s="121" t="n"/>
      <s:c r="C10200" s="121" t="n"/>
      <s:c r="D10200" s="121" t="n"/>
      <s:c r="E10200" s="122" t="n"/>
    </s:row>
    <s:row r="10201" hidden="1" ht="1" customHeight="1">
      <s:c r="A10201" s="120" t="inlineStr"/>
      <s:c r="B10201" s="121" t="n"/>
      <s:c r="C10201" s="121" t="n"/>
      <s:c r="D10201" s="121" t="n"/>
      <s:c r="E10201" s="122" t="n"/>
    </s:row>
    <s:row r="10202" hidden="1" ht="1" customHeight="1">
      <s:c r="A10202" s="120" t="inlineStr"/>
      <s:c r="B10202" s="121" t="n"/>
      <s:c r="C10202" s="121" t="n"/>
      <s:c r="D10202" s="121" t="n"/>
      <s:c r="E10202" s="122" t="n"/>
    </s:row>
    <s:row r="10203" hidden="1" ht="1" customHeight="1">
      <s:c r="A10203" s="120" t="inlineStr"/>
      <s:c r="B10203" s="121" t="n"/>
      <s:c r="C10203" s="121" t="n"/>
      <s:c r="D10203" s="121" t="n"/>
      <s:c r="E10203" s="122" t="n"/>
    </s:row>
    <s:row r="10204" hidden="1" ht="1" customHeight="1">
      <s:c r="A10204" s="120" t="inlineStr"/>
      <s:c r="B10204" s="121" t="n"/>
      <s:c r="C10204" s="121" t="n"/>
      <s:c r="D10204" s="121" t="n"/>
      <s:c r="E10204" s="122" t="n"/>
    </s:row>
    <s:row r="10205" hidden="1" ht="1" customHeight="1">
      <s:c r="A10205" s="120" t="inlineStr"/>
      <s:c r="B10205" s="121" t="n"/>
      <s:c r="C10205" s="121" t="n"/>
      <s:c r="D10205" s="121" t="n"/>
      <s:c r="E10205" s="122" t="n"/>
    </s:row>
    <s:row r="10206" hidden="1" ht="1" customHeight="1">
      <s:c r="A10206" s="120" t="inlineStr"/>
      <s:c r="B10206" s="121" t="n"/>
      <s:c r="C10206" s="121" t="n"/>
      <s:c r="D10206" s="121" t="n"/>
      <s:c r="E10206" s="122" t="n"/>
    </s:row>
    <s:row r="10207" hidden="1" ht="1" customHeight="1">
      <s:c r="A10207" s="120" t="inlineStr"/>
      <s:c r="B10207" s="121" t="n"/>
      <s:c r="C10207" s="121" t="n"/>
      <s:c r="D10207" s="121" t="n"/>
      <s:c r="E10207" s="122" t="n"/>
    </s:row>
    <s:row r="10208" hidden="1" ht="1" customHeight="1">
      <s:c r="A10208" s="120" t="inlineStr"/>
      <s:c r="B10208" s="121" t="n"/>
      <s:c r="C10208" s="121" t="n"/>
      <s:c r="D10208" s="121" t="n"/>
      <s:c r="E10208" s="122" t="n"/>
    </s:row>
    <s:row r="10209" hidden="1" ht="1" customHeight="1">
      <s:c r="A10209" s="120" t="inlineStr"/>
      <s:c r="B10209" s="121" t="n"/>
      <s:c r="C10209" s="121" t="n"/>
      <s:c r="D10209" s="121" t="n"/>
      <s:c r="E10209" s="122" t="n"/>
    </s:row>
    <s:row r="10210" hidden="1" ht="1" customHeight="1">
      <s:c r="A10210" s="120" t="inlineStr"/>
      <s:c r="B10210" s="121" t="n"/>
      <s:c r="C10210" s="121" t="n"/>
      <s:c r="D10210" s="121" t="n"/>
      <s:c r="E10210" s="122" t="n"/>
    </s:row>
    <s:row r="10211" hidden="1" ht="1" customHeight="1">
      <s:c r="A10211" s="120" t="inlineStr"/>
      <s:c r="B10211" s="121" t="n"/>
      <s:c r="C10211" s="121" t="n"/>
      <s:c r="D10211" s="121" t="n"/>
      <s:c r="E10211" s="122" t="n"/>
    </s:row>
    <s:row r="10212" hidden="1" ht="1" customHeight="1">
      <s:c r="A10212" s="120" t="inlineStr"/>
      <s:c r="B10212" s="121" t="n"/>
      <s:c r="C10212" s="121" t="n"/>
      <s:c r="D10212" s="121" t="n"/>
      <s:c r="E10212" s="122" t="n"/>
    </s:row>
    <s:row r="10213" hidden="1" ht="1" customHeight="1">
      <s:c r="A10213" s="120" t="inlineStr"/>
      <s:c r="B10213" s="121" t="n"/>
      <s:c r="C10213" s="121" t="n"/>
      <s:c r="D10213" s="121" t="n"/>
      <s:c r="E10213" s="122" t="n"/>
    </s:row>
    <s:row r="10214" hidden="1" ht="1" customHeight="1">
      <s:c r="A10214" s="120" t="inlineStr"/>
      <s:c r="B10214" s="121" t="n"/>
      <s:c r="C10214" s="121" t="n"/>
      <s:c r="D10214" s="121" t="n"/>
      <s:c r="E10214" s="122" t="n"/>
    </s:row>
    <s:row r="10215" hidden="1" ht="1" customHeight="1">
      <s:c r="A10215" s="120" t="inlineStr"/>
      <s:c r="B10215" s="121" t="n"/>
      <s:c r="C10215" s="121" t="n"/>
      <s:c r="D10215" s="121" t="n"/>
      <s:c r="E10215" s="122" t="n"/>
    </s:row>
    <s:row r="10216" hidden="1" ht="1" customHeight="1">
      <s:c r="A10216" s="120" t="inlineStr"/>
      <s:c r="B10216" s="121" t="n"/>
      <s:c r="C10216" s="121" t="n"/>
      <s:c r="D10216" s="121" t="n"/>
      <s:c r="E10216" s="122" t="n"/>
    </s:row>
    <s:row r="10217" hidden="1" ht="1" customHeight="1">
      <s:c r="A10217" s="120" t="inlineStr"/>
      <s:c r="B10217" s="121" t="n"/>
      <s:c r="C10217" s="121" t="n"/>
      <s:c r="D10217" s="121" t="n"/>
      <s:c r="E10217" s="122" t="n"/>
    </s:row>
    <s:row r="10218" hidden="1" ht="1" customHeight="1">
      <s:c r="A10218" s="120" t="inlineStr"/>
      <s:c r="B10218" s="121" t="n"/>
      <s:c r="C10218" s="121" t="n"/>
      <s:c r="D10218" s="121" t="n"/>
      <s:c r="E10218" s="122" t="n"/>
    </s:row>
    <s:row r="10219" hidden="1" ht="1" customHeight="1">
      <s:c r="A10219" s="120" t="inlineStr"/>
      <s:c r="B10219" s="121" t="n"/>
      <s:c r="C10219" s="121" t="n"/>
      <s:c r="D10219" s="121" t="n"/>
      <s:c r="E10219" s="122" t="n"/>
    </s:row>
    <s:row r="10220" hidden="1" ht="1" customHeight="1">
      <s:c r="A10220" s="120" t="inlineStr"/>
      <s:c r="B10220" s="121" t="n"/>
      <s:c r="C10220" s="121" t="n"/>
      <s:c r="D10220" s="121" t="n"/>
      <s:c r="E10220" s="122" t="n"/>
    </s:row>
    <s:row r="10221" hidden="1" ht="1" customHeight="1">
      <s:c r="A10221" s="120" t="inlineStr"/>
      <s:c r="B10221" s="121" t="n"/>
      <s:c r="C10221" s="121" t="n"/>
      <s:c r="D10221" s="121" t="n"/>
      <s:c r="E10221" s="122" t="n"/>
    </s:row>
    <s:row r="10222" hidden="1" ht="1" customHeight="1">
      <s:c r="A10222" s="120" t="inlineStr"/>
      <s:c r="B10222" s="121" t="n"/>
      <s:c r="C10222" s="121" t="n"/>
      <s:c r="D10222" s="121" t="n"/>
      <s:c r="E10222" s="122" t="n"/>
    </s:row>
    <s:row r="10223" hidden="1" ht="1" customHeight="1">
      <s:c r="A10223" s="120" t="inlineStr"/>
      <s:c r="B10223" s="121" t="n"/>
      <s:c r="C10223" s="121" t="n"/>
      <s:c r="D10223" s="121" t="n"/>
      <s:c r="E10223" s="122" t="n"/>
    </s:row>
    <s:row r="10224" hidden="1" ht="1" customHeight="1">
      <s:c r="A10224" s="120" t="inlineStr"/>
      <s:c r="B10224" s="121" t="n"/>
      <s:c r="C10224" s="121" t="n"/>
      <s:c r="D10224" s="121" t="n"/>
      <s:c r="E10224" s="122" t="n"/>
    </s:row>
    <s:row r="10225" hidden="1" ht="1" customHeight="1">
      <s:c r="A10225" s="120" t="inlineStr"/>
      <s:c r="B10225" s="121" t="n"/>
      <s:c r="C10225" s="121" t="n"/>
      <s:c r="D10225" s="121" t="n"/>
      <s:c r="E10225" s="122" t="n"/>
    </s:row>
    <s:row r="10226" hidden="1" ht="1" customHeight="1">
      <s:c r="A10226" s="120" t="inlineStr"/>
      <s:c r="B10226" s="121" t="n"/>
      <s:c r="C10226" s="121" t="n"/>
      <s:c r="D10226" s="121" t="n"/>
      <s:c r="E10226" s="122" t="n"/>
    </s:row>
    <s:row r="10227" hidden="1" ht="1" customHeight="1">
      <s:c r="A10227" s="120" t="inlineStr"/>
      <s:c r="B10227" s="121" t="n"/>
      <s:c r="C10227" s="121" t="n"/>
      <s:c r="D10227" s="121" t="n"/>
      <s:c r="E10227" s="122" t="n"/>
    </s:row>
    <s:row r="10228" hidden="1" ht="1" customHeight="1">
      <s:c r="A10228" s="120" t="inlineStr"/>
      <s:c r="B10228" s="121" t="n"/>
      <s:c r="C10228" s="121" t="n"/>
      <s:c r="D10228" s="121" t="n"/>
      <s:c r="E10228" s="122" t="n"/>
    </s:row>
    <s:row r="10229" hidden="1" ht="1" customHeight="1">
      <s:c r="A10229" s="120" t="inlineStr"/>
      <s:c r="B10229" s="121" t="n"/>
      <s:c r="C10229" s="121" t="n"/>
      <s:c r="D10229" s="121" t="n"/>
      <s:c r="E10229" s="122" t="n"/>
    </s:row>
    <s:row r="10230" hidden="1" ht="1" customHeight="1">
      <s:c r="A10230" s="120" t="inlineStr"/>
      <s:c r="B10230" s="121" t="n"/>
      <s:c r="C10230" s="121" t="n"/>
      <s:c r="D10230" s="121" t="n"/>
      <s:c r="E10230" s="122" t="n"/>
    </s:row>
    <s:row r="10231" hidden="1" ht="1" customHeight="1">
      <s:c r="A10231" s="120" t="inlineStr"/>
      <s:c r="B10231" s="121" t="n"/>
      <s:c r="C10231" s="121" t="n"/>
      <s:c r="D10231" s="121" t="n"/>
      <s:c r="E10231" s="122" t="n"/>
    </s:row>
    <s:row r="10232" hidden="1" ht="1" customHeight="1">
      <s:c r="A10232" s="120" t="inlineStr"/>
      <s:c r="B10232" s="121" t="n"/>
      <s:c r="C10232" s="121" t="n"/>
      <s:c r="D10232" s="121" t="n"/>
      <s:c r="E10232" s="122" t="n"/>
    </s:row>
    <s:row r="10233" hidden="1" ht="1" customHeight="1">
      <s:c r="A10233" s="120" t="inlineStr"/>
      <s:c r="B10233" s="121" t="n"/>
      <s:c r="C10233" s="121" t="n"/>
      <s:c r="D10233" s="121" t="n"/>
      <s:c r="E10233" s="122" t="n"/>
    </s:row>
    <s:row r="10234" hidden="1" ht="1" customHeight="1">
      <s:c r="A10234" s="120" t="inlineStr"/>
      <s:c r="B10234" s="121" t="n"/>
      <s:c r="C10234" s="121" t="n"/>
      <s:c r="D10234" s="121" t="n"/>
      <s:c r="E10234" s="122" t="n"/>
    </s:row>
    <s:row r="10235" hidden="1" ht="1" customHeight="1">
      <s:c r="A10235" s="120" t="inlineStr"/>
      <s:c r="B10235" s="121" t="n"/>
      <s:c r="C10235" s="121" t="n"/>
      <s:c r="D10235" s="121" t="n"/>
      <s:c r="E10235" s="122" t="n"/>
    </s:row>
    <s:row r="10236" hidden="1" ht="1" customHeight="1">
      <s:c r="A10236" s="120" t="inlineStr"/>
      <s:c r="B10236" s="121" t="n"/>
      <s:c r="C10236" s="121" t="n"/>
      <s:c r="D10236" s="121" t="n"/>
      <s:c r="E10236" s="122" t="n"/>
    </s:row>
    <s:row r="10237" hidden="1" ht="1" customHeight="1">
      <s:c r="A10237" s="120" t="inlineStr"/>
      <s:c r="B10237" s="121" t="n"/>
      <s:c r="C10237" s="121" t="n"/>
      <s:c r="D10237" s="121" t="n"/>
      <s:c r="E10237" s="122" t="n"/>
    </s:row>
    <s:row r="10238" hidden="1" ht="1" customHeight="1">
      <s:c r="A10238" s="120" t="inlineStr"/>
      <s:c r="B10238" s="121" t="n"/>
      <s:c r="C10238" s="121" t="n"/>
      <s:c r="D10238" s="121" t="n"/>
      <s:c r="E10238" s="122" t="n"/>
    </s:row>
    <s:row r="10239" hidden="1" ht="1" customHeight="1">
      <s:c r="A10239" s="120" t="inlineStr"/>
      <s:c r="B10239" s="121" t="n"/>
      <s:c r="C10239" s="121" t="n"/>
      <s:c r="D10239" s="121" t="n"/>
      <s:c r="E10239" s="122" t="n"/>
    </s:row>
    <s:row r="10240" hidden="1" ht="1" customHeight="1">
      <s:c r="A10240" s="120" t="inlineStr"/>
      <s:c r="B10240" s="121" t="n"/>
      <s:c r="C10240" s="121" t="n"/>
      <s:c r="D10240" s="121" t="n"/>
      <s:c r="E10240" s="122" t="n"/>
    </s:row>
    <s:row r="10241" hidden="1" ht="1" customHeight="1">
      <s:c r="A10241" s="120" t="inlineStr"/>
      <s:c r="B10241" s="121" t="n"/>
      <s:c r="C10241" s="121" t="n"/>
      <s:c r="D10241" s="121" t="n"/>
      <s:c r="E10241" s="122" t="n"/>
    </s:row>
    <s:row r="10242" hidden="1" ht="1" customHeight="1">
      <s:c r="A10242" s="120" t="inlineStr"/>
      <s:c r="B10242" s="121" t="n"/>
      <s:c r="C10242" s="121" t="n"/>
      <s:c r="D10242" s="121" t="n"/>
      <s:c r="E10242" s="122" t="n"/>
    </s:row>
    <s:row r="10243" hidden="1" ht="1" customHeight="1">
      <s:c r="A10243" s="120" t="inlineStr"/>
      <s:c r="B10243" s="121" t="n"/>
      <s:c r="C10243" s="121" t="n"/>
      <s:c r="D10243" s="121" t="n"/>
      <s:c r="E10243" s="122" t="n"/>
    </s:row>
    <s:row r="10244" hidden="1" ht="1" customHeight="1">
      <s:c r="A10244" s="120" t="inlineStr"/>
      <s:c r="B10244" s="121" t="n"/>
      <s:c r="C10244" s="121" t="n"/>
      <s:c r="D10244" s="121" t="n"/>
      <s:c r="E10244" s="122" t="n"/>
    </s:row>
    <s:row r="10245" hidden="1" ht="1" customHeight="1">
      <s:c r="A10245" s="120" t="inlineStr"/>
      <s:c r="B10245" s="121" t="n"/>
      <s:c r="C10245" s="121" t="n"/>
      <s:c r="D10245" s="121" t="n"/>
      <s:c r="E10245" s="122" t="n"/>
    </s:row>
    <s:row r="10246" hidden="1" ht="1" customHeight="1">
      <s:c r="A10246" s="120" t="inlineStr"/>
      <s:c r="B10246" s="121" t="n"/>
      <s:c r="C10246" s="121" t="n"/>
      <s:c r="D10246" s="121" t="n"/>
      <s:c r="E10246" s="122" t="n"/>
    </s:row>
    <s:row r="10247" hidden="1" ht="1" customHeight="1">
      <s:c r="A10247" s="120" t="inlineStr"/>
      <s:c r="B10247" s="121" t="n"/>
      <s:c r="C10247" s="121" t="n"/>
      <s:c r="D10247" s="121" t="n"/>
      <s:c r="E10247" s="122" t="n"/>
    </s:row>
    <s:row r="10248" hidden="1" ht="1" customHeight="1">
      <s:c r="A10248" s="120" t="inlineStr"/>
      <s:c r="B10248" s="121" t="n"/>
      <s:c r="C10248" s="121" t="n"/>
      <s:c r="D10248" s="121" t="n"/>
      <s:c r="E10248" s="122" t="n"/>
    </s:row>
    <s:row r="10249" hidden="1" ht="1" customHeight="1">
      <s:c r="A10249" s="120" t="inlineStr"/>
      <s:c r="B10249" s="121" t="n"/>
      <s:c r="C10249" s="121" t="n"/>
      <s:c r="D10249" s="121" t="n"/>
      <s:c r="E10249" s="122" t="n"/>
    </s:row>
    <s:row r="10250" hidden="1" ht="1" customHeight="1">
      <s:c r="A10250" s="120" t="inlineStr"/>
      <s:c r="B10250" s="121" t="n"/>
      <s:c r="C10250" s="121" t="n"/>
      <s:c r="D10250" s="121" t="n"/>
      <s:c r="E10250" s="122" t="n"/>
    </s:row>
    <s:row r="10251" hidden="1" ht="1" customHeight="1">
      <s:c r="A10251" s="120" t="inlineStr"/>
      <s:c r="B10251" s="121" t="n"/>
      <s:c r="C10251" s="121" t="n"/>
      <s:c r="D10251" s="121" t="n"/>
      <s:c r="E10251" s="122" t="n"/>
    </s:row>
    <s:row r="10252" hidden="1" ht="1" customHeight="1">
      <s:c r="A10252" s="120" t="inlineStr"/>
      <s:c r="B10252" s="121" t="n"/>
      <s:c r="C10252" s="121" t="n"/>
      <s:c r="D10252" s="121" t="n"/>
      <s:c r="E10252" s="122" t="n"/>
    </s:row>
    <s:row r="10253" hidden="1" ht="1" customHeight="1">
      <s:c r="A10253" s="120" t="inlineStr"/>
      <s:c r="B10253" s="121" t="n"/>
      <s:c r="C10253" s="121" t="n"/>
      <s:c r="D10253" s="121" t="n"/>
      <s:c r="E10253" s="122" t="n"/>
    </s:row>
    <s:row r="10254" hidden="1" ht="1" customHeight="1">
      <s:c r="A10254" s="120" t="inlineStr"/>
      <s:c r="B10254" s="121" t="n"/>
      <s:c r="C10254" s="121" t="n"/>
      <s:c r="D10254" s="121" t="n"/>
      <s:c r="E10254" s="122" t="n"/>
    </s:row>
    <s:row r="10255" hidden="1" ht="1" customHeight="1">
      <s:c r="A10255" s="120" t="inlineStr"/>
      <s:c r="B10255" s="121" t="n"/>
      <s:c r="C10255" s="121" t="n"/>
      <s:c r="D10255" s="121" t="n"/>
      <s:c r="E10255" s="122" t="n"/>
    </s:row>
    <s:row r="10256" hidden="1" ht="1" customHeight="1">
      <s:c r="A10256" s="120" t="inlineStr"/>
      <s:c r="B10256" s="121" t="n"/>
      <s:c r="C10256" s="121" t="n"/>
      <s:c r="D10256" s="121" t="n"/>
      <s:c r="E10256" s="122" t="n"/>
    </s:row>
    <s:row r="10257" hidden="1" ht="1" customHeight="1">
      <s:c r="A10257" s="120" t="inlineStr"/>
      <s:c r="B10257" s="121" t="n"/>
      <s:c r="C10257" s="121" t="n"/>
      <s:c r="D10257" s="121" t="n"/>
      <s:c r="E10257" s="122" t="n"/>
    </s:row>
    <s:row r="10258" hidden="1" ht="1" customHeight="1">
      <s:c r="A10258" s="120" t="inlineStr"/>
      <s:c r="B10258" s="121" t="n"/>
      <s:c r="C10258" s="121" t="n"/>
      <s:c r="D10258" s="121" t="n"/>
      <s:c r="E10258" s="122" t="n"/>
    </s:row>
    <s:row r="10259" hidden="1" ht="1" customHeight="1">
      <s:c r="A10259" s="120" t="inlineStr"/>
      <s:c r="B10259" s="121" t="n"/>
      <s:c r="C10259" s="121" t="n"/>
      <s:c r="D10259" s="121" t="n"/>
      <s:c r="E10259" s="122" t="n"/>
    </s:row>
    <s:row r="10260" hidden="1" ht="1" customHeight="1">
      <s:c r="A10260" s="120" t="inlineStr"/>
      <s:c r="B10260" s="121" t="n"/>
      <s:c r="C10260" s="121" t="n"/>
      <s:c r="D10260" s="121" t="n"/>
      <s:c r="E10260" s="122" t="n"/>
    </s:row>
    <s:row r="10261" hidden="1" ht="1" customHeight="1">
      <s:c r="A10261" s="120" t="inlineStr"/>
      <s:c r="B10261" s="121" t="n"/>
      <s:c r="C10261" s="121" t="n"/>
      <s:c r="D10261" s="121" t="n"/>
      <s:c r="E10261" s="122" t="n"/>
    </s:row>
    <s:row r="10262" hidden="1" ht="1" customHeight="1">
      <s:c r="A10262" s="120" t="inlineStr"/>
      <s:c r="B10262" s="121" t="n"/>
      <s:c r="C10262" s="121" t="n"/>
      <s:c r="D10262" s="121" t="n"/>
      <s:c r="E10262" s="122" t="n"/>
    </s:row>
    <s:row r="10263" hidden="1" ht="1" customHeight="1">
      <s:c r="A10263" s="120" t="inlineStr"/>
      <s:c r="B10263" s="121" t="n"/>
      <s:c r="C10263" s="121" t="n"/>
      <s:c r="D10263" s="121" t="n"/>
      <s:c r="E10263" s="122" t="n"/>
    </s:row>
    <s:row r="10264" hidden="1" ht="1" customHeight="1">
      <s:c r="A10264" s="120" t="inlineStr"/>
      <s:c r="B10264" s="121" t="n"/>
      <s:c r="C10264" s="121" t="n"/>
      <s:c r="D10264" s="121" t="n"/>
      <s:c r="E10264" s="122" t="n"/>
    </s:row>
    <s:row r="10265" hidden="1" ht="1" customHeight="1">
      <s:c r="A10265" s="120" t="inlineStr"/>
      <s:c r="B10265" s="121" t="n"/>
      <s:c r="C10265" s="121" t="n"/>
      <s:c r="D10265" s="121" t="n"/>
      <s:c r="E10265" s="122" t="n"/>
    </s:row>
    <s:row r="10266" hidden="1" ht="1" customHeight="1">
      <s:c r="A10266" s="120" t="inlineStr"/>
      <s:c r="B10266" s="121" t="n"/>
      <s:c r="C10266" s="121" t="n"/>
      <s:c r="D10266" s="121" t="n"/>
      <s:c r="E10266" s="122" t="n"/>
    </s:row>
    <s:row r="10267" hidden="1" ht="1" customHeight="1">
      <s:c r="A10267" s="120" t="inlineStr"/>
      <s:c r="B10267" s="121" t="n"/>
      <s:c r="C10267" s="121" t="n"/>
      <s:c r="D10267" s="121" t="n"/>
      <s:c r="E10267" s="122" t="n"/>
    </s:row>
    <s:row r="10268" hidden="1" ht="1" customHeight="1">
      <s:c r="A10268" s="120" t="inlineStr"/>
      <s:c r="B10268" s="121" t="n"/>
      <s:c r="C10268" s="121" t="n"/>
      <s:c r="D10268" s="121" t="n"/>
      <s:c r="E10268" s="122" t="n"/>
    </s:row>
    <s:row r="10269" hidden="1" ht="1" customHeight="1">
      <s:c r="A10269" s="120" t="inlineStr"/>
      <s:c r="B10269" s="121" t="n"/>
      <s:c r="C10269" s="121" t="n"/>
      <s:c r="D10269" s="121" t="n"/>
      <s:c r="E10269" s="122" t="n"/>
    </s:row>
    <s:row r="10270" hidden="1" ht="1" customHeight="1">
      <s:c r="A10270" s="120" t="inlineStr"/>
      <s:c r="B10270" s="121" t="n"/>
      <s:c r="C10270" s="121" t="n"/>
      <s:c r="D10270" s="121" t="n"/>
      <s:c r="E10270" s="122" t="n"/>
    </s:row>
    <s:row r="10271" hidden="1" ht="1" customHeight="1">
      <s:c r="A10271" s="120" t="inlineStr"/>
      <s:c r="B10271" s="121" t="n"/>
      <s:c r="C10271" s="121" t="n"/>
      <s:c r="D10271" s="121" t="n"/>
      <s:c r="E10271" s="122" t="n"/>
    </s:row>
    <s:row r="10272" hidden="1" ht="1" customHeight="1">
      <s:c r="A10272" s="120" t="inlineStr"/>
      <s:c r="B10272" s="121" t="n"/>
      <s:c r="C10272" s="121" t="n"/>
      <s:c r="D10272" s="121" t="n"/>
      <s:c r="E10272" s="122" t="n"/>
    </s:row>
    <s:row r="10273" hidden="1" ht="1" customHeight="1">
      <s:c r="A10273" s="120" t="inlineStr"/>
      <s:c r="B10273" s="121" t="n"/>
      <s:c r="C10273" s="121" t="n"/>
      <s:c r="D10273" s="121" t="n"/>
      <s:c r="E10273" s="122" t="n"/>
    </s:row>
    <s:row r="10274" hidden="1" ht="1" customHeight="1">
      <s:c r="A10274" s="120" t="inlineStr"/>
      <s:c r="B10274" s="121" t="n"/>
      <s:c r="C10274" s="121" t="n"/>
      <s:c r="D10274" s="121" t="n"/>
      <s:c r="E10274" s="122" t="n"/>
    </s:row>
    <s:row r="10275" hidden="1" ht="1" customHeight="1">
      <s:c r="A10275" s="83" t="inlineStr">
        <s:is>
          <s:t>PASS</s:t>
        </s:is>
      </s:c>
      <s:c r="B10275" s="83">
        <s:f>SUM(IF(EXACT('Kiểm thử'!E10075,"Đạt"),1,0),IF(EXACT('Kiểm thử'!E10077,"Đạt"),1,0),IF(EXACT('Kiểm thử'!E10079,"Đạt"),1,0),IF(EXACT('Kiểm thử'!E10081,"Đạt"),1,0))</s:f>
        <s:v/>
      </s:c>
      <s:c r="C10275" s="19" t="n"/>
      <s:c r="D10275" s="19" t="n"/>
      <s:c r="E10275" s="19" t="n"/>
    </s:row>
    <s:row r="10276" hidden="1" ht="1" customHeight="1">
      <s:c r="A10276" s="83" t="inlineStr">
        <s:is>
          <s:t>FAIL</s:t>
        </s:is>
      </s:c>
      <s:c r="B10276" s="83">
        <s:f>SUM(IF(EXACT('Kiểm thử'!E10075,"Không đạt"),1,0),IF(EXACT('Kiểm thử'!E10077,"Không đạt"),1,0),IF(EXACT('Kiểm thử'!E10079,"Không đạt"),1,0),IF(EXACT('Kiểm thử'!E10081,"Không đạt"),1,0))</s:f>
        <s:v/>
      </s:c>
      <s:c r="C10276" s="19" t="n"/>
      <s:c r="D10276" s="19" t="n"/>
      <s:c r="E10276" s="19" t="n"/>
    </s:row>
    <s:row r="10277" hidden="1" ht="1" customHeight="1">
      <s:c r="A10277" s="83" t="inlineStr">
        <s:is>
          <s:t>BLOCKED</s:t>
        </s:is>
      </s:c>
      <s:c r="B10277" s="83">
        <s:f>SUM(IF(EXACT('Kiểm thử'!E10075,"Bị chặn"),1,0),IF(EXACT('Kiểm thử'!E10077,"Bị chặn"),1,0),IF(EXACT('Kiểm thử'!E10079,"Bị chặn"),1,0),IF(EXACT('Kiểm thử'!E10081,"Bị chặn"),1,0))</s:f>
        <s:v/>
      </s:c>
      <s:c r="C10277" s="19" t="n"/>
      <s:c r="D10277" s="19" t="n"/>
      <s:c r="E10277" s="19" t="n"/>
    </s:row>
    <s:row r="10278" hidden="1" ht="1" customHeight="1">
      <s:c r="A10278" s="83" t="inlineStr">
        <s:is>
          <s:t>SKIPPED</s:t>
        </s:is>
      </s:c>
      <s:c r="B10278" s="83">
        <s:f>SUM(IF(EXACT('Kiểm thử'!E10075,"Không thực hiện"),1,0),IF(EXACT('Kiểm thử'!E10077,"Không thực hiện"),1,0),IF(EXACT('Kiểm thử'!E10079,"Không thực hiện"),1,0),IF(EXACT('Kiểm thử'!E10081,"Không thực hiện"),1,0))</s:f>
        <s:v/>
      </s:c>
      <s:c r="C10278" s="19" t="n"/>
      <s:c r="D10278" s="19" t="n"/>
      <s:c r="E10278" s="19" t="n"/>
    </s:row>
    <s:row r="10279" hidden="1" ht="1" customHeight="1">
      <s:c r="A10279" s="83" t="inlineStr">
        <s:is>
          <s:t>NOT RUN</s:t>
        </s:is>
      </s:c>
      <s:c r="B10279" s="83">
        <s:f>SUM(IF(EXACT('Kiểm thử'!E10075,"Chưa thực hiện"),1,0),IF(EXACT('Kiểm thử'!E10077,"Chưa thực hiện"),1,0),IF(EXACT('Kiểm thử'!E10079,"Chưa thực hiện"),1,0),IF(EXACT('Kiểm thử'!E10081,"Chưa thực hiện"),1,0))</s:f>
        <s:v/>
      </s:c>
      <s:c r="C10279" s="19" t="n"/>
      <s:c r="D10279" s="19" t="n"/>
      <s:c r="E10279" s="19" t="n"/>
    </s:row>
    <s:row r="10280" hidden="1" ht="6" customHeight="1">
      <s:c r="A10280" s="83" t="inlineStr"/>
      <s:c r="B10280" s="19" t="n"/>
      <s:c r="C10280" s="19" t="n"/>
      <s:c r="D10280" s="19" t="n"/>
      <s:c r="E10280" s="19" t="n"/>
    </s:row>
    <s:row r="10281" ht="28" customHeight="1">
      <s:c r="A10281" s="108" t="inlineStr">
        <s:is>
          <s:t>TC-RS-CALC-029 — Tràn số không tạo kết luận đỏ/không đỏ</s:t>
        </s:is>
      </s:c>
      <s:c r="B10281" s="111" t="n"/>
      <s:c r="C10281" s="111" t="n"/>
      <s:c r="D10281" s="111" t="n"/>
      <s:c r="E10281" s="111" t="n"/>
    </s:row>
    <s:row r="10282" ht="20" customHeight="1">
      <s:c r="A10282" s="112" t="inlineStr">
        <s:is>
          <s:t>Kết quả tình huống</s:t>
        </s:is>
      </s:c>
      <s:c r="B10282" s="113">
        <s:f>IF(SUM(IF(EXACT('Kiểm thử'!E10290,"Không đạt"),1,0),IF(EXACT('Kiểm thử'!E10292,"Không đạt"),1,0),IF(EXACT('Kiểm thử'!E10294,"Không đạt"),1,0))&gt;0,"Không đạt",IF(SUM(IF(EXACT('Kiểm thử'!E10290,"Đạt"),1,0),IF(EXACT('Kiểm thử'!E10292,"Đạt"),1,0),IF(EXACT('Kiểm thử'!E10294,"Đạt"),1,0))=3,"Đạt",IF(SUM(IF(EXACT('Kiểm thử'!E10290,"Không thực hiện"),1,0),IF(EXACT('Kiểm thử'!E10292,"Không thực hiện"),1,0),IF(EXACT('Kiểm thử'!E10294,"Không thực hiện"),1,0))=3,"Không thực hiện",IF(SUM(IF(EXACT('Kiểm thử'!E10290,"Bị chặn"),1,0),IF(EXACT('Kiểm thử'!E10292,"Bị chặn"),1,0),IF(EXACT('Kiểm thử'!E10294,"Bị chặn"),1,0))&gt;0,"Bị chặn",IF(SUM(IF(EXACT('Kiểm thử'!E10290,"Chưa thực hiện"),1,0),IF(EXACT('Kiểm thử'!E10292,"Chưa thực hiện"),1,0),IF(EXACT('Kiểm thử'!E10294,"Chưa thực hiện"),1,0))=3,"Chưa thực hiện","Đang thực hiện")))))</s:f>
        <s:v/>
      </s:c>
      <s:c r="C10282" s="114" t="n"/>
      <s:c r="D10282" s="114" t="n"/>
      <s:c r="E10282" s="114" t="n"/>
    </s:row>
    <s:row r="10283" ht="20" customHeight="1">
      <s:c r="A10283" s="112" t="inlineStr">
        <s:is>
          <s:t>Màn hình / chức năng</s:t>
        </s:is>
      </s:c>
      <s:c r="B10283" s="113" t="inlineStr">
        <s:is>
          <s:r>
            <s:rPr>
              <s:b val="1"/>
            </s:rPr>
            <s:t>Thiết lập ngưỡng（基準設定）</s:t>
          </s:r>
        </s:is>
      </s:c>
      <s:c r="C10283" s="28" t="n"/>
      <s:c r="D10283" s="28" t="n"/>
      <s:c r="E10283" s="28" t="n"/>
    </s:row>
    <s:row r="10284" ht="20" customHeight="1">
      <s:c r="A10284" s="112" t="inlineStr">
        <s:is>
          <s:t>Cấu hình</s:t>
        </s:is>
      </s:c>
      <s:c r="B10284" s="113" t="inlineStr">
        <s:is>
          <s:t>• Công thức.</s:t>
        </s:is>
      </s:c>
      <s:c r="C10284" s="28" t="n"/>
      <s:c r="D10284" s="28" t="n"/>
      <s:c r="E10284" s="28" t="n"/>
    </s:row>
    <s:row r="10285" ht="62" customHeight="1">
      <s:c r="A10285" s="112" t="inlineStr">
        <s:is>
          <s:t>Dữ liệu test</s:t>
        </s:is>
      </s:c>
      <s:c r="B10285" s="113" t="inlineStr">
        <s:is>
          <s:r>
            <s:t>• (A) [A × 999999999999999999999] (21 chữ số);
• [A ÷ 0.000000001].&lt;br&gt;(b) 20 dòng, mỗi dòng [× 999999999.99999999] (dòng 1: [A × 999999999.99999999]), không xử lý phần lẻ;
• [</s:t>
          </s:r>
          <s:r>
            <s:rPr>
              <s:b val="1"/>
            </s:rPr>
            <s:t>A=50</s:t>
          </s:r>
          <s:r>
            <s:t>].</s:t>
          </s:r>
        </s:is>
      </s:c>
      <s:c r="C10285" s="28" t="n"/>
      <s:c r="D10285" s="28" t="n"/>
      <s:c r="E10285" s="28" t="n"/>
    </s:row>
    <s:row r="10286" ht="20" customHeight="1">
      <s:c r="A10286" s="112" t="inlineStr">
        <s:is>
          <s:t>Bước 1</s:t>
        </s:is>
      </s:c>
      <s:c r="B10286" s="113" t="inlineStr">
        <s:is>
          <s:t>Nhập (a), Lưu.</s:t>
        </s:is>
      </s:c>
      <s:c r="C10286" s="28" t="n"/>
      <s:c r="D10286" s="28" t="n"/>
      <s:c r="E10286" s="28" t="n"/>
    </s:row>
    <s:row r="10287" ht="20" customHeight="1">
      <s:c r="A10287" s="112" t="inlineStr">
        <s:is>
          <s:t>Bước 2</s:t>
        </s:is>
      </s:c>
      <s:c r="B10287" s="113" t="inlineStr">
        <s:is>
          <s:t>Nhập (b), Lưu, chạy nút cam.</s:t>
        </s:is>
      </s:c>
      <s:c r="C10287" s="28" t="n"/>
      <s:c r="D10287" s="28" t="n"/>
      <s:c r="E10287" s="28" t="n"/>
    </s:row>
    <s:row r="10288" ht="28" customHeight="1">
      <s:c r="A10288" s="115" t="inlineStr">
        <s:is>
          <s:t>Trường hợp</s:t>
        </s:is>
      </s:c>
      <s:c r="B10288" s="115" t="inlineStr">
        <s:is>
          <s:t>Dữ liệu / thao tác riêng</s:t>
        </s:is>
      </s:c>
      <s:c r="C10288" s="115" t="inlineStr">
        <s:is>
          <s:t>Kết quả mong đợi</s:t>
        </s:is>
      </s:c>
      <s:c r="D10288" s="115" t="inlineStr">
        <s:is>
          <s:t>Kết quả thực tế</s:t>
        </s:is>
      </s:c>
      <s:c r="E10288" s="115" t="inlineStr">
        <s:is>
          <s:t>Đánh giá</s:t>
        </s:is>
      </s:c>
    </s:row>
    <s:row r="10289" ht="3" customHeight="1">
      <s:c r="A10289" s="102" t="inlineStr"/>
      <s:c r="B10289" s="99" t="n"/>
      <s:c r="C10289" s="99" t="n"/>
      <s:c r="D10289" s="116" t="n"/>
      <s:c r="E10289" s="116" t="n"/>
    </s:row>
    <s:row r="10290" ht="48" customHeight="1">
      <s:c r="A10290" s="83" t="inlineStr">
        <s:is>
          <s:t>Hằng số cực lớn (constant)</s:t>
        </s:is>
      </s:c>
      <s:c r="B10290" s="83" t="inlineStr">
        <s:is>
          <s:t>Nhập A×999999999999999999999 (21 chữ số); lưu.</s:t>
        </s:is>
      </s:c>
      <s:c r="C10290" s="83" t="inlineStr">
        <s:is>
          <s:t>PROPOSED: Hằng số 21 chữ số vượt giới hạn nhập 9 chữ số nguyên, 8 chữ số lẻ → bị từ chối khi lưu; không tự cắt số.</s:t>
        </s:is>
      </s:c>
      <s:c r="D10290" s="117" t="inlineStr"/>
      <s:c r="E10290" s="118" t="inlineStr">
        <s:is>
          <s:t>Chưa thực hiện</s:t>
        </s:is>
      </s:c>
    </s:row>
    <s:row r="10291" ht="3" customHeight="1">
      <s:c r="A10291" s="102" t="inlineStr"/>
      <s:c r="B10291" s="99" t="n"/>
      <s:c r="C10291" s="99" t="n"/>
      <s:c r="D10291" s="116" t="n"/>
      <s:c r="E10291" s="116" t="n"/>
    </s:row>
    <s:row r="10292" ht="48" customHeight="1">
      <s:c r="A10292" s="83" t="inlineStr">
        <s:is>
          <s:t>Số chia cực nhỏ (divisor)</s:t>
        </s:is>
      </s:c>
      <s:c r="B10292" s="83" t="inlineStr">
        <s:is>
          <s:t>Nhập A÷0.000000001; lưu.</s:t>
        </s:is>
      </s:c>
      <s:c r="C10292" s="83" t="inlineStr">
        <s:is>
          <s:t>PROPOSED: Số chia 0.000000001 có 9 chữ số lẻ, vượt giới hạn 8 chữ số lẻ → bị từ chối khi lưu; không tự cắt số.</s:t>
        </s:is>
      </s:c>
      <s:c r="D10292" s="117" t="inlineStr"/>
      <s:c r="E10292" s="118" t="inlineStr">
        <s:is>
          <s:t>Chưa thực hiện</s:t>
        </s:is>
      </s:c>
    </s:row>
    <s:row r="10293" ht="3" customHeight="1">
      <s:c r="A10293" s="102" t="inlineStr"/>
      <s:c r="B10293" s="99" t="n"/>
      <s:c r="C10293" s="99" t="n"/>
      <s:c r="D10293" s="116" t="n"/>
      <s:c r="E10293" s="116" t="n"/>
    </s:row>
    <s:row r="10294" ht="90" customHeight="1">
      <s:c r="A10294" s="83" t="inlineStr">
        <s:is>
          <s:t>Tràn trong lúc tính (overflow)</s:t>
        </s:is>
      </s:c>
      <s:c r="B10294" s="83" t="inlineStr">
        <s:is>
          <s:r>
            <s:rPr>
              <s:b val="1"/>
            </s:rPr>
            <s:t>A=50</s:t>
          </s:r>
          <s:r>
            <s:t>;20 dòng nhân999999999.99999999, không xử lý phần lẻ; lưu rồi chạy nút cam.</s:t>
          </s:r>
        </s:is>
      </s:c>
      <s:c r="C10294" s="83" t="inlineStr">
        <s:is>
          <s:r>
            <s:t xml:space="preserve">20 Dòng nhân 999999999.99999999, </s:t>
          </s:r>
          <s:r>
            <s:rPr>
              <s:b val="1"/>
            </s:rPr>
            <s:t>A=50</s:t>
          </s:r>
          <s:r>
            <s:t xml:space="preserve">: nằm trong giới hạn nhập nên lưu được. Khi chạy, ngưỡng tràn miền số → Chưa xét được (reason_code=numeric_overflow là đề xuất) hoặc báo lỗi kỹ thuật; không có ô nào thành </s:t>
          </s:r>
          <s:r>
            <s:rPr>
              <s:b val="1"/>
            </s:rPr>
            <s:t>Đỏ</s:t>
          </s:r>
          <s:r>
            <s:t>/</s:t>
          </s:r>
          <s:r>
            <s:rPr>
              <s:b val="1"/>
            </s:rPr>
            <s:t>Không đỏ</s:t>
          </s:r>
          <s:r>
            <s:t xml:space="preserve"> từ giá trị tràn.</s:t>
          </s:r>
        </s:is>
      </s:c>
      <s:c r="D10294" s="117" t="inlineStr"/>
      <s:c r="E10294" s="118" t="inlineStr">
        <s:is>
          <s:t>Chưa thực hiện</s:t>
        </s:is>
      </s:c>
    </s:row>
    <s:row r="10295" ht="20" customHeight="1">
      <s:c r="A10295" s="119" t="inlineStr">
        <s:is>
          <s:t>Ảnh minh chứng — Chưa có ảnh</s:t>
        </s:is>
      </s:c>
      <s:c r="B10295" s="19" t="n"/>
      <s:c r="C10295" s="19" t="n"/>
      <s:c r="D10295" s="19" t="n"/>
      <s:c r="E10295" s="19" t="n"/>
    </s:row>
    <s:row r="10296" hidden="1" ht="1" customHeight="1">
      <s:c r="A10296" s="120" t="inlineStr"/>
      <s:c r="B10296" s="121" t="n"/>
      <s:c r="C10296" s="121" t="n"/>
      <s:c r="D10296" s="121" t="n"/>
      <s:c r="E10296" s="122" t="n"/>
    </s:row>
    <s:row r="10297" hidden="1" ht="1" customHeight="1">
      <s:c r="A10297" s="120" t="inlineStr"/>
      <s:c r="B10297" s="121" t="n"/>
      <s:c r="C10297" s="121" t="n"/>
      <s:c r="D10297" s="121" t="n"/>
      <s:c r="E10297" s="122" t="n"/>
    </s:row>
    <s:row r="10298" hidden="1" ht="1" customHeight="1">
      <s:c r="A10298" s="120" t="inlineStr"/>
      <s:c r="B10298" s="121" t="n"/>
      <s:c r="C10298" s="121" t="n"/>
      <s:c r="D10298" s="121" t="n"/>
      <s:c r="E10298" s="122" t="n"/>
    </s:row>
    <s:row r="10299" hidden="1" ht="1" customHeight="1">
      <s:c r="A10299" s="120" t="inlineStr"/>
      <s:c r="B10299" s="121" t="n"/>
      <s:c r="C10299" s="121" t="n"/>
      <s:c r="D10299" s="121" t="n"/>
      <s:c r="E10299" s="122" t="n"/>
    </s:row>
    <s:row r="10300" hidden="1" ht="1" customHeight="1">
      <s:c r="A10300" s="120" t="inlineStr"/>
      <s:c r="B10300" s="121" t="n"/>
      <s:c r="C10300" s="121" t="n"/>
      <s:c r="D10300" s="121" t="n"/>
      <s:c r="E10300" s="122" t="n"/>
    </s:row>
    <s:row r="10301" hidden="1" ht="1" customHeight="1">
      <s:c r="A10301" s="120" t="inlineStr"/>
      <s:c r="B10301" s="121" t="n"/>
      <s:c r="C10301" s="121" t="n"/>
      <s:c r="D10301" s="121" t="n"/>
      <s:c r="E10301" s="122" t="n"/>
    </s:row>
    <s:row r="10302" hidden="1" ht="1" customHeight="1">
      <s:c r="A10302" s="120" t="inlineStr"/>
      <s:c r="B10302" s="121" t="n"/>
      <s:c r="C10302" s="121" t="n"/>
      <s:c r="D10302" s="121" t="n"/>
      <s:c r="E10302" s="122" t="n"/>
    </s:row>
    <s:row r="10303" hidden="1" ht="1" customHeight="1">
      <s:c r="A10303" s="120" t="inlineStr"/>
      <s:c r="B10303" s="121" t="n"/>
      <s:c r="C10303" s="121" t="n"/>
      <s:c r="D10303" s="121" t="n"/>
      <s:c r="E10303" s="122" t="n"/>
    </s:row>
    <s:row r="10304" hidden="1" ht="1" customHeight="1">
      <s:c r="A10304" s="120" t="inlineStr"/>
      <s:c r="B10304" s="121" t="n"/>
      <s:c r="C10304" s="121" t="n"/>
      <s:c r="D10304" s="121" t="n"/>
      <s:c r="E10304" s="122" t="n"/>
    </s:row>
    <s:row r="10305" hidden="1" ht="1" customHeight="1">
      <s:c r="A10305" s="120" t="inlineStr"/>
      <s:c r="B10305" s="121" t="n"/>
      <s:c r="C10305" s="121" t="n"/>
      <s:c r="D10305" s="121" t="n"/>
      <s:c r="E10305" s="122" t="n"/>
    </s:row>
    <s:row r="10306" hidden="1" ht="1" customHeight="1">
      <s:c r="A10306" s="120" t="inlineStr"/>
      <s:c r="B10306" s="121" t="n"/>
      <s:c r="C10306" s="121" t="n"/>
      <s:c r="D10306" s="121" t="n"/>
      <s:c r="E10306" s="122" t="n"/>
    </s:row>
    <s:row r="10307" hidden="1" ht="1" customHeight="1">
      <s:c r="A10307" s="120" t="inlineStr"/>
      <s:c r="B10307" s="121" t="n"/>
      <s:c r="C10307" s="121" t="n"/>
      <s:c r="D10307" s="121" t="n"/>
      <s:c r="E10307" s="122" t="n"/>
    </s:row>
    <s:row r="10308" hidden="1" ht="1" customHeight="1">
      <s:c r="A10308" s="120" t="inlineStr"/>
      <s:c r="B10308" s="121" t="n"/>
      <s:c r="C10308" s="121" t="n"/>
      <s:c r="D10308" s="121" t="n"/>
      <s:c r="E10308" s="122" t="n"/>
    </s:row>
    <s:row r="10309" hidden="1" ht="1" customHeight="1">
      <s:c r="A10309" s="120" t="inlineStr"/>
      <s:c r="B10309" s="121" t="n"/>
      <s:c r="C10309" s="121" t="n"/>
      <s:c r="D10309" s="121" t="n"/>
      <s:c r="E10309" s="122" t="n"/>
    </s:row>
    <s:row r="10310" hidden="1" ht="1" customHeight="1">
      <s:c r="A10310" s="120" t="inlineStr"/>
      <s:c r="B10310" s="121" t="n"/>
      <s:c r="C10310" s="121" t="n"/>
      <s:c r="D10310" s="121" t="n"/>
      <s:c r="E10310" s="122" t="n"/>
    </s:row>
    <s:row r="10311" hidden="1" ht="1" customHeight="1">
      <s:c r="A10311" s="120" t="inlineStr"/>
      <s:c r="B10311" s="121" t="n"/>
      <s:c r="C10311" s="121" t="n"/>
      <s:c r="D10311" s="121" t="n"/>
      <s:c r="E10311" s="122" t="n"/>
    </s:row>
    <s:row r="10312" hidden="1" ht="1" customHeight="1">
      <s:c r="A10312" s="120" t="inlineStr"/>
      <s:c r="B10312" s="121" t="n"/>
      <s:c r="C10312" s="121" t="n"/>
      <s:c r="D10312" s="121" t="n"/>
      <s:c r="E10312" s="122" t="n"/>
    </s:row>
    <s:row r="10313" hidden="1" ht="1" customHeight="1">
      <s:c r="A10313" s="120" t="inlineStr"/>
      <s:c r="B10313" s="121" t="n"/>
      <s:c r="C10313" s="121" t="n"/>
      <s:c r="D10313" s="121" t="n"/>
      <s:c r="E10313" s="122" t="n"/>
    </s:row>
    <s:row r="10314" hidden="1" ht="1" customHeight="1">
      <s:c r="A10314" s="120" t="inlineStr"/>
      <s:c r="B10314" s="121" t="n"/>
      <s:c r="C10314" s="121" t="n"/>
      <s:c r="D10314" s="121" t="n"/>
      <s:c r="E10314" s="122" t="n"/>
    </s:row>
    <s:row r="10315" hidden="1" ht="1" customHeight="1">
      <s:c r="A10315" s="120" t="inlineStr"/>
      <s:c r="B10315" s="121" t="n"/>
      <s:c r="C10315" s="121" t="n"/>
      <s:c r="D10315" s="121" t="n"/>
      <s:c r="E10315" s="122" t="n"/>
    </s:row>
    <s:row r="10316" hidden="1" ht="1" customHeight="1">
      <s:c r="A10316" s="120" t="inlineStr"/>
      <s:c r="B10316" s="121" t="n"/>
      <s:c r="C10316" s="121" t="n"/>
      <s:c r="D10316" s="121" t="n"/>
      <s:c r="E10316" s="122" t="n"/>
    </s:row>
    <s:row r="10317" hidden="1" ht="1" customHeight="1">
      <s:c r="A10317" s="120" t="inlineStr"/>
      <s:c r="B10317" s="121" t="n"/>
      <s:c r="C10317" s="121" t="n"/>
      <s:c r="D10317" s="121" t="n"/>
      <s:c r="E10317" s="122" t="n"/>
    </s:row>
    <s:row r="10318" hidden="1" ht="1" customHeight="1">
      <s:c r="A10318" s="120" t="inlineStr"/>
      <s:c r="B10318" s="121" t="n"/>
      <s:c r="C10318" s="121" t="n"/>
      <s:c r="D10318" s="121" t="n"/>
      <s:c r="E10318" s="122" t="n"/>
    </s:row>
    <s:row r="10319" hidden="1" ht="1" customHeight="1">
      <s:c r="A10319" s="120" t="inlineStr"/>
      <s:c r="B10319" s="121" t="n"/>
      <s:c r="C10319" s="121" t="n"/>
      <s:c r="D10319" s="121" t="n"/>
      <s:c r="E10319" s="122" t="n"/>
    </s:row>
    <s:row r="10320" hidden="1" ht="1" customHeight="1">
      <s:c r="A10320" s="120" t="inlineStr"/>
      <s:c r="B10320" s="121" t="n"/>
      <s:c r="C10320" s="121" t="n"/>
      <s:c r="D10320" s="121" t="n"/>
      <s:c r="E10320" s="122" t="n"/>
    </s:row>
    <s:row r="10321" hidden="1" ht="1" customHeight="1">
      <s:c r="A10321" s="120" t="inlineStr"/>
      <s:c r="B10321" s="121" t="n"/>
      <s:c r="C10321" s="121" t="n"/>
      <s:c r="D10321" s="121" t="n"/>
      <s:c r="E10321" s="122" t="n"/>
    </s:row>
    <s:row r="10322" hidden="1" ht="1" customHeight="1">
      <s:c r="A10322" s="120" t="inlineStr"/>
      <s:c r="B10322" s="121" t="n"/>
      <s:c r="C10322" s="121" t="n"/>
      <s:c r="D10322" s="121" t="n"/>
      <s:c r="E10322" s="122" t="n"/>
    </s:row>
    <s:row r="10323" hidden="1" ht="1" customHeight="1">
      <s:c r="A10323" s="120" t="inlineStr"/>
      <s:c r="B10323" s="121" t="n"/>
      <s:c r="C10323" s="121" t="n"/>
      <s:c r="D10323" s="121" t="n"/>
      <s:c r="E10323" s="122" t="n"/>
    </s:row>
    <s:row r="10324" hidden="1" ht="1" customHeight="1">
      <s:c r="A10324" s="120" t="inlineStr"/>
      <s:c r="B10324" s="121" t="n"/>
      <s:c r="C10324" s="121" t="n"/>
      <s:c r="D10324" s="121" t="n"/>
      <s:c r="E10324" s="122" t="n"/>
    </s:row>
    <s:row r="10325" hidden="1" ht="1" customHeight="1">
      <s:c r="A10325" s="120" t="inlineStr"/>
      <s:c r="B10325" s="121" t="n"/>
      <s:c r="C10325" s="121" t="n"/>
      <s:c r="D10325" s="121" t="n"/>
      <s:c r="E10325" s="122" t="n"/>
    </s:row>
    <s:row r="10326" hidden="1" ht="1" customHeight="1">
      <s:c r="A10326" s="120" t="inlineStr"/>
      <s:c r="B10326" s="121" t="n"/>
      <s:c r="C10326" s="121" t="n"/>
      <s:c r="D10326" s="121" t="n"/>
      <s:c r="E10326" s="122" t="n"/>
    </s:row>
    <s:row r="10327" hidden="1" ht="1" customHeight="1">
      <s:c r="A10327" s="120" t="inlineStr"/>
      <s:c r="B10327" s="121" t="n"/>
      <s:c r="C10327" s="121" t="n"/>
      <s:c r="D10327" s="121" t="n"/>
      <s:c r="E10327" s="122" t="n"/>
    </s:row>
    <s:row r="10328" hidden="1" ht="1" customHeight="1">
      <s:c r="A10328" s="120" t="inlineStr"/>
      <s:c r="B10328" s="121" t="n"/>
      <s:c r="C10328" s="121" t="n"/>
      <s:c r="D10328" s="121" t="n"/>
      <s:c r="E10328" s="122" t="n"/>
    </s:row>
    <s:row r="10329" hidden="1" ht="1" customHeight="1">
      <s:c r="A10329" s="120" t="inlineStr"/>
      <s:c r="B10329" s="121" t="n"/>
      <s:c r="C10329" s="121" t="n"/>
      <s:c r="D10329" s="121" t="n"/>
      <s:c r="E10329" s="122" t="n"/>
    </s:row>
    <s:row r="10330" hidden="1" ht="1" customHeight="1">
      <s:c r="A10330" s="120" t="inlineStr"/>
      <s:c r="B10330" s="121" t="n"/>
      <s:c r="C10330" s="121" t="n"/>
      <s:c r="D10330" s="121" t="n"/>
      <s:c r="E10330" s="122" t="n"/>
    </s:row>
    <s:row r="10331" hidden="1" ht="1" customHeight="1">
      <s:c r="A10331" s="120" t="inlineStr"/>
      <s:c r="B10331" s="121" t="n"/>
      <s:c r="C10331" s="121" t="n"/>
      <s:c r="D10331" s="121" t="n"/>
      <s:c r="E10331" s="122" t="n"/>
    </s:row>
    <s:row r="10332" hidden="1" ht="1" customHeight="1">
      <s:c r="A10332" s="120" t="inlineStr"/>
      <s:c r="B10332" s="121" t="n"/>
      <s:c r="C10332" s="121" t="n"/>
      <s:c r="D10332" s="121" t="n"/>
      <s:c r="E10332" s="122" t="n"/>
    </s:row>
    <s:row r="10333" hidden="1" ht="1" customHeight="1">
      <s:c r="A10333" s="120" t="inlineStr"/>
      <s:c r="B10333" s="121" t="n"/>
      <s:c r="C10333" s="121" t="n"/>
      <s:c r="D10333" s="121" t="n"/>
      <s:c r="E10333" s="122" t="n"/>
    </s:row>
    <s:row r="10334" hidden="1" ht="1" customHeight="1">
      <s:c r="A10334" s="120" t="inlineStr"/>
      <s:c r="B10334" s="121" t="n"/>
      <s:c r="C10334" s="121" t="n"/>
      <s:c r="D10334" s="121" t="n"/>
      <s:c r="E10334" s="122" t="n"/>
    </s:row>
    <s:row r="10335" hidden="1" ht="1" customHeight="1">
      <s:c r="A10335" s="120" t="inlineStr"/>
      <s:c r="B10335" s="121" t="n"/>
      <s:c r="C10335" s="121" t="n"/>
      <s:c r="D10335" s="121" t="n"/>
      <s:c r="E10335" s="122" t="n"/>
    </s:row>
    <s:row r="10336" hidden="1" ht="1" customHeight="1">
      <s:c r="A10336" s="120" t="inlineStr"/>
      <s:c r="B10336" s="121" t="n"/>
      <s:c r="C10336" s="121" t="n"/>
      <s:c r="D10336" s="121" t="n"/>
      <s:c r="E10336" s="122" t="n"/>
    </s:row>
    <s:row r="10337" hidden="1" ht="1" customHeight="1">
      <s:c r="A10337" s="120" t="inlineStr"/>
      <s:c r="B10337" s="121" t="n"/>
      <s:c r="C10337" s="121" t="n"/>
      <s:c r="D10337" s="121" t="n"/>
      <s:c r="E10337" s="122" t="n"/>
    </s:row>
    <s:row r="10338" hidden="1" ht="1" customHeight="1">
      <s:c r="A10338" s="120" t="inlineStr"/>
      <s:c r="B10338" s="121" t="n"/>
      <s:c r="C10338" s="121" t="n"/>
      <s:c r="D10338" s="121" t="n"/>
      <s:c r="E10338" s="122" t="n"/>
    </s:row>
    <s:row r="10339" hidden="1" ht="1" customHeight="1">
      <s:c r="A10339" s="120" t="inlineStr"/>
      <s:c r="B10339" s="121" t="n"/>
      <s:c r="C10339" s="121" t="n"/>
      <s:c r="D10339" s="121" t="n"/>
      <s:c r="E10339" s="122" t="n"/>
    </s:row>
    <s:row r="10340" hidden="1" ht="1" customHeight="1">
      <s:c r="A10340" s="120" t="inlineStr"/>
      <s:c r="B10340" s="121" t="n"/>
      <s:c r="C10340" s="121" t="n"/>
      <s:c r="D10340" s="121" t="n"/>
      <s:c r="E10340" s="122" t="n"/>
    </s:row>
    <s:row r="10341" hidden="1" ht="1" customHeight="1">
      <s:c r="A10341" s="120" t="inlineStr"/>
      <s:c r="B10341" s="121" t="n"/>
      <s:c r="C10341" s="121" t="n"/>
      <s:c r="D10341" s="121" t="n"/>
      <s:c r="E10341" s="122" t="n"/>
    </s:row>
    <s:row r="10342" hidden="1" ht="1" customHeight="1">
      <s:c r="A10342" s="120" t="inlineStr"/>
      <s:c r="B10342" s="121" t="n"/>
      <s:c r="C10342" s="121" t="n"/>
      <s:c r="D10342" s="121" t="n"/>
      <s:c r="E10342" s="122" t="n"/>
    </s:row>
    <s:row r="10343" hidden="1" ht="1" customHeight="1">
      <s:c r="A10343" s="120" t="inlineStr"/>
      <s:c r="B10343" s="121" t="n"/>
      <s:c r="C10343" s="121" t="n"/>
      <s:c r="D10343" s="121" t="n"/>
      <s:c r="E10343" s="122" t="n"/>
    </s:row>
    <s:row r="10344" hidden="1" ht="1" customHeight="1">
      <s:c r="A10344" s="120" t="inlineStr"/>
      <s:c r="B10344" s="121" t="n"/>
      <s:c r="C10344" s="121" t="n"/>
      <s:c r="D10344" s="121" t="n"/>
      <s:c r="E10344" s="122" t="n"/>
    </s:row>
    <s:row r="10345" hidden="1" ht="1" customHeight="1">
      <s:c r="A10345" s="120" t="inlineStr"/>
      <s:c r="B10345" s="121" t="n"/>
      <s:c r="C10345" s="121" t="n"/>
      <s:c r="D10345" s="121" t="n"/>
      <s:c r="E10345" s="122" t="n"/>
    </s:row>
    <s:row r="10346" hidden="1" ht="1" customHeight="1">
      <s:c r="A10346" s="120" t="inlineStr"/>
      <s:c r="B10346" s="121" t="n"/>
      <s:c r="C10346" s="121" t="n"/>
      <s:c r="D10346" s="121" t="n"/>
      <s:c r="E10346" s="122" t="n"/>
    </s:row>
    <s:row r="10347" hidden="1" ht="1" customHeight="1">
      <s:c r="A10347" s="120" t="inlineStr"/>
      <s:c r="B10347" s="121" t="n"/>
      <s:c r="C10347" s="121" t="n"/>
      <s:c r="D10347" s="121" t="n"/>
      <s:c r="E10347" s="122" t="n"/>
    </s:row>
    <s:row r="10348" hidden="1" ht="1" customHeight="1">
      <s:c r="A10348" s="120" t="inlineStr"/>
      <s:c r="B10348" s="121" t="n"/>
      <s:c r="C10348" s="121" t="n"/>
      <s:c r="D10348" s="121" t="n"/>
      <s:c r="E10348" s="122" t="n"/>
    </s:row>
    <s:row r="10349" hidden="1" ht="1" customHeight="1">
      <s:c r="A10349" s="120" t="inlineStr"/>
      <s:c r="B10349" s="121" t="n"/>
      <s:c r="C10349" s="121" t="n"/>
      <s:c r="D10349" s="121" t="n"/>
      <s:c r="E10349" s="122" t="n"/>
    </s:row>
    <s:row r="10350" hidden="1" ht="1" customHeight="1">
      <s:c r="A10350" s="120" t="inlineStr"/>
      <s:c r="B10350" s="121" t="n"/>
      <s:c r="C10350" s="121" t="n"/>
      <s:c r="D10350" s="121" t="n"/>
      <s:c r="E10350" s="122" t="n"/>
    </s:row>
    <s:row r="10351" hidden="1" ht="1" customHeight="1">
      <s:c r="A10351" s="120" t="inlineStr"/>
      <s:c r="B10351" s="121" t="n"/>
      <s:c r="C10351" s="121" t="n"/>
      <s:c r="D10351" s="121" t="n"/>
      <s:c r="E10351" s="122" t="n"/>
    </s:row>
    <s:row r="10352" hidden="1" ht="1" customHeight="1">
      <s:c r="A10352" s="120" t="inlineStr"/>
      <s:c r="B10352" s="121" t="n"/>
      <s:c r="C10352" s="121" t="n"/>
      <s:c r="D10352" s="121" t="n"/>
      <s:c r="E10352" s="122" t="n"/>
    </s:row>
    <s:row r="10353" hidden="1" ht="1" customHeight="1">
      <s:c r="A10353" s="120" t="inlineStr"/>
      <s:c r="B10353" s="121" t="n"/>
      <s:c r="C10353" s="121" t="n"/>
      <s:c r="D10353" s="121" t="n"/>
      <s:c r="E10353" s="122" t="n"/>
    </s:row>
    <s:row r="10354" hidden="1" ht="1" customHeight="1">
      <s:c r="A10354" s="120" t="inlineStr"/>
      <s:c r="B10354" s="121" t="n"/>
      <s:c r="C10354" s="121" t="n"/>
      <s:c r="D10354" s="121" t="n"/>
      <s:c r="E10354" s="122" t="n"/>
    </s:row>
    <s:row r="10355" hidden="1" ht="1" customHeight="1">
      <s:c r="A10355" s="120" t="inlineStr"/>
      <s:c r="B10355" s="121" t="n"/>
      <s:c r="C10355" s="121" t="n"/>
      <s:c r="D10355" s="121" t="n"/>
      <s:c r="E10355" s="122" t="n"/>
    </s:row>
    <s:row r="10356" hidden="1" ht="1" customHeight="1">
      <s:c r="A10356" s="120" t="inlineStr"/>
      <s:c r="B10356" s="121" t="n"/>
      <s:c r="C10356" s="121" t="n"/>
      <s:c r="D10356" s="121" t="n"/>
      <s:c r="E10356" s="122" t="n"/>
    </s:row>
    <s:row r="10357" hidden="1" ht="1" customHeight="1">
      <s:c r="A10357" s="120" t="inlineStr"/>
      <s:c r="B10357" s="121" t="n"/>
      <s:c r="C10357" s="121" t="n"/>
      <s:c r="D10357" s="121" t="n"/>
      <s:c r="E10357" s="122" t="n"/>
    </s:row>
    <s:row r="10358" hidden="1" ht="1" customHeight="1">
      <s:c r="A10358" s="120" t="inlineStr"/>
      <s:c r="B10358" s="121" t="n"/>
      <s:c r="C10358" s="121" t="n"/>
      <s:c r="D10358" s="121" t="n"/>
      <s:c r="E10358" s="122" t="n"/>
    </s:row>
    <s:row r="10359" hidden="1" ht="1" customHeight="1">
      <s:c r="A10359" s="120" t="inlineStr"/>
      <s:c r="B10359" s="121" t="n"/>
      <s:c r="C10359" s="121" t="n"/>
      <s:c r="D10359" s="121" t="n"/>
      <s:c r="E10359" s="122" t="n"/>
    </s:row>
    <s:row r="10360" hidden="1" ht="1" customHeight="1">
      <s:c r="A10360" s="120" t="inlineStr"/>
      <s:c r="B10360" s="121" t="n"/>
      <s:c r="C10360" s="121" t="n"/>
      <s:c r="D10360" s="121" t="n"/>
      <s:c r="E10360" s="122" t="n"/>
    </s:row>
    <s:row r="10361" hidden="1" ht="1" customHeight="1">
      <s:c r="A10361" s="120" t="inlineStr"/>
      <s:c r="B10361" s="121" t="n"/>
      <s:c r="C10361" s="121" t="n"/>
      <s:c r="D10361" s="121" t="n"/>
      <s:c r="E10361" s="122" t="n"/>
    </s:row>
    <s:row r="10362" hidden="1" ht="1" customHeight="1">
      <s:c r="A10362" s="120" t="inlineStr"/>
      <s:c r="B10362" s="121" t="n"/>
      <s:c r="C10362" s="121" t="n"/>
      <s:c r="D10362" s="121" t="n"/>
      <s:c r="E10362" s="122" t="n"/>
    </s:row>
    <s:row r="10363" hidden="1" ht="1" customHeight="1">
      <s:c r="A10363" s="120" t="inlineStr"/>
      <s:c r="B10363" s="121" t="n"/>
      <s:c r="C10363" s="121" t="n"/>
      <s:c r="D10363" s="121" t="n"/>
      <s:c r="E10363" s="122" t="n"/>
    </s:row>
    <s:row r="10364" hidden="1" ht="1" customHeight="1">
      <s:c r="A10364" s="120" t="inlineStr"/>
      <s:c r="B10364" s="121" t="n"/>
      <s:c r="C10364" s="121" t="n"/>
      <s:c r="D10364" s="121" t="n"/>
      <s:c r="E10364" s="122" t="n"/>
    </s:row>
    <s:row r="10365" hidden="1" ht="1" customHeight="1">
      <s:c r="A10365" s="120" t="inlineStr"/>
      <s:c r="B10365" s="121" t="n"/>
      <s:c r="C10365" s="121" t="n"/>
      <s:c r="D10365" s="121" t="n"/>
      <s:c r="E10365" s="122" t="n"/>
    </s:row>
    <s:row r="10366" hidden="1" ht="1" customHeight="1">
      <s:c r="A10366" s="120" t="inlineStr"/>
      <s:c r="B10366" s="121" t="n"/>
      <s:c r="C10366" s="121" t="n"/>
      <s:c r="D10366" s="121" t="n"/>
      <s:c r="E10366" s="122" t="n"/>
    </s:row>
    <s:row r="10367" hidden="1" ht="1" customHeight="1">
      <s:c r="A10367" s="120" t="inlineStr"/>
      <s:c r="B10367" s="121" t="n"/>
      <s:c r="C10367" s="121" t="n"/>
      <s:c r="D10367" s="121" t="n"/>
      <s:c r="E10367" s="122" t="n"/>
    </s:row>
    <s:row r="10368" hidden="1" ht="1" customHeight="1">
      <s:c r="A10368" s="120" t="inlineStr"/>
      <s:c r="B10368" s="121" t="n"/>
      <s:c r="C10368" s="121" t="n"/>
      <s:c r="D10368" s="121" t="n"/>
      <s:c r="E10368" s="122" t="n"/>
    </s:row>
    <s:row r="10369" hidden="1" ht="1" customHeight="1">
      <s:c r="A10369" s="120" t="inlineStr"/>
      <s:c r="B10369" s="121" t="n"/>
      <s:c r="C10369" s="121" t="n"/>
      <s:c r="D10369" s="121" t="n"/>
      <s:c r="E10369" s="122" t="n"/>
    </s:row>
    <s:row r="10370" hidden="1" ht="1" customHeight="1">
      <s:c r="A10370" s="120" t="inlineStr"/>
      <s:c r="B10370" s="121" t="n"/>
      <s:c r="C10370" s="121" t="n"/>
      <s:c r="D10370" s="121" t="n"/>
      <s:c r="E10370" s="122" t="n"/>
    </s:row>
    <s:row r="10371" hidden="1" ht="1" customHeight="1">
      <s:c r="A10371" s="120" t="inlineStr"/>
      <s:c r="B10371" s="121" t="n"/>
      <s:c r="C10371" s="121" t="n"/>
      <s:c r="D10371" s="121" t="n"/>
      <s:c r="E10371" s="122" t="n"/>
    </s:row>
    <s:row r="10372" hidden="1" ht="1" customHeight="1">
      <s:c r="A10372" s="120" t="inlineStr"/>
      <s:c r="B10372" s="121" t="n"/>
      <s:c r="C10372" s="121" t="n"/>
      <s:c r="D10372" s="121" t="n"/>
      <s:c r="E10372" s="122" t="n"/>
    </s:row>
    <s:row r="10373" hidden="1" ht="1" customHeight="1">
      <s:c r="A10373" s="120" t="inlineStr"/>
      <s:c r="B10373" s="121" t="n"/>
      <s:c r="C10373" s="121" t="n"/>
      <s:c r="D10373" s="121" t="n"/>
      <s:c r="E10373" s="122" t="n"/>
    </s:row>
    <s:row r="10374" hidden="1" ht="1" customHeight="1">
      <s:c r="A10374" s="120" t="inlineStr"/>
      <s:c r="B10374" s="121" t="n"/>
      <s:c r="C10374" s="121" t="n"/>
      <s:c r="D10374" s="121" t="n"/>
      <s:c r="E10374" s="122" t="n"/>
    </s:row>
    <s:row r="10375" hidden="1" ht="1" customHeight="1">
      <s:c r="A10375" s="120" t="inlineStr"/>
      <s:c r="B10375" s="121" t="n"/>
      <s:c r="C10375" s="121" t="n"/>
      <s:c r="D10375" s="121" t="n"/>
      <s:c r="E10375" s="122" t="n"/>
    </s:row>
    <s:row r="10376" hidden="1" ht="1" customHeight="1">
      <s:c r="A10376" s="120" t="inlineStr"/>
      <s:c r="B10376" s="121" t="n"/>
      <s:c r="C10376" s="121" t="n"/>
      <s:c r="D10376" s="121" t="n"/>
      <s:c r="E10376" s="122" t="n"/>
    </s:row>
    <s:row r="10377" hidden="1" ht="1" customHeight="1">
      <s:c r="A10377" s="120" t="inlineStr"/>
      <s:c r="B10377" s="121" t="n"/>
      <s:c r="C10377" s="121" t="n"/>
      <s:c r="D10377" s="121" t="n"/>
      <s:c r="E10377" s="122" t="n"/>
    </s:row>
    <s:row r="10378" hidden="1" ht="1" customHeight="1">
      <s:c r="A10378" s="120" t="inlineStr"/>
      <s:c r="B10378" s="121" t="n"/>
      <s:c r="C10378" s="121" t="n"/>
      <s:c r="D10378" s="121" t="n"/>
      <s:c r="E10378" s="122" t="n"/>
    </s:row>
    <s:row r="10379" hidden="1" ht="1" customHeight="1">
      <s:c r="A10379" s="120" t="inlineStr"/>
      <s:c r="B10379" s="121" t="n"/>
      <s:c r="C10379" s="121" t="n"/>
      <s:c r="D10379" s="121" t="n"/>
      <s:c r="E10379" s="122" t="n"/>
    </s:row>
    <s:row r="10380" hidden="1" ht="1" customHeight="1">
      <s:c r="A10380" s="120" t="inlineStr"/>
      <s:c r="B10380" s="121" t="n"/>
      <s:c r="C10380" s="121" t="n"/>
      <s:c r="D10380" s="121" t="n"/>
      <s:c r="E10380" s="122" t="n"/>
    </s:row>
    <s:row r="10381" hidden="1" ht="1" customHeight="1">
      <s:c r="A10381" s="120" t="inlineStr"/>
      <s:c r="B10381" s="121" t="n"/>
      <s:c r="C10381" s="121" t="n"/>
      <s:c r="D10381" s="121" t="n"/>
      <s:c r="E10381" s="122" t="n"/>
    </s:row>
    <s:row r="10382" hidden="1" ht="1" customHeight="1">
      <s:c r="A10382" s="120" t="inlineStr"/>
      <s:c r="B10382" s="121" t="n"/>
      <s:c r="C10382" s="121" t="n"/>
      <s:c r="D10382" s="121" t="n"/>
      <s:c r="E10382" s="122" t="n"/>
    </s:row>
    <s:row r="10383" hidden="1" ht="1" customHeight="1">
      <s:c r="A10383" s="120" t="inlineStr"/>
      <s:c r="B10383" s="121" t="n"/>
      <s:c r="C10383" s="121" t="n"/>
      <s:c r="D10383" s="121" t="n"/>
      <s:c r="E10383" s="122" t="n"/>
    </s:row>
    <s:row r="10384" hidden="1" ht="1" customHeight="1">
      <s:c r="A10384" s="120" t="inlineStr"/>
      <s:c r="B10384" s="121" t="n"/>
      <s:c r="C10384" s="121" t="n"/>
      <s:c r="D10384" s="121" t="n"/>
      <s:c r="E10384" s="122" t="n"/>
    </s:row>
    <s:row r="10385" hidden="1" ht="1" customHeight="1">
      <s:c r="A10385" s="120" t="inlineStr"/>
      <s:c r="B10385" s="121" t="n"/>
      <s:c r="C10385" s="121" t="n"/>
      <s:c r="D10385" s="121" t="n"/>
      <s:c r="E10385" s="122" t="n"/>
    </s:row>
    <s:row r="10386" hidden="1" ht="1" customHeight="1">
      <s:c r="A10386" s="120" t="inlineStr"/>
      <s:c r="B10386" s="121" t="n"/>
      <s:c r="C10386" s="121" t="n"/>
      <s:c r="D10386" s="121" t="n"/>
      <s:c r="E10386" s="122" t="n"/>
    </s:row>
    <s:row r="10387" hidden="1" ht="1" customHeight="1">
      <s:c r="A10387" s="120" t="inlineStr"/>
      <s:c r="B10387" s="121" t="n"/>
      <s:c r="C10387" s="121" t="n"/>
      <s:c r="D10387" s="121" t="n"/>
      <s:c r="E10387" s="122" t="n"/>
    </s:row>
    <s:row r="10388" hidden="1" ht="1" customHeight="1">
      <s:c r="A10388" s="120" t="inlineStr"/>
      <s:c r="B10388" s="121" t="n"/>
      <s:c r="C10388" s="121" t="n"/>
      <s:c r="D10388" s="121" t="n"/>
      <s:c r="E10388" s="122" t="n"/>
    </s:row>
    <s:row r="10389" hidden="1" ht="1" customHeight="1">
      <s:c r="A10389" s="120" t="inlineStr"/>
      <s:c r="B10389" s="121" t="n"/>
      <s:c r="C10389" s="121" t="n"/>
      <s:c r="D10389" s="121" t="n"/>
      <s:c r="E10389" s="122" t="n"/>
    </s:row>
    <s:row r="10390" hidden="1" ht="1" customHeight="1">
      <s:c r="A10390" s="120" t="inlineStr"/>
      <s:c r="B10390" s="121" t="n"/>
      <s:c r="C10390" s="121" t="n"/>
      <s:c r="D10390" s="121" t="n"/>
      <s:c r="E10390" s="122" t="n"/>
    </s:row>
    <s:row r="10391" hidden="1" ht="1" customHeight="1">
      <s:c r="A10391" s="120" t="inlineStr"/>
      <s:c r="B10391" s="121" t="n"/>
      <s:c r="C10391" s="121" t="n"/>
      <s:c r="D10391" s="121" t="n"/>
      <s:c r="E10391" s="122" t="n"/>
    </s:row>
    <s:row r="10392" hidden="1" ht="1" customHeight="1">
      <s:c r="A10392" s="120" t="inlineStr"/>
      <s:c r="B10392" s="121" t="n"/>
      <s:c r="C10392" s="121" t="n"/>
      <s:c r="D10392" s="121" t="n"/>
      <s:c r="E10392" s="122" t="n"/>
    </s:row>
    <s:row r="10393" hidden="1" ht="1" customHeight="1">
      <s:c r="A10393" s="120" t="inlineStr"/>
      <s:c r="B10393" s="121" t="n"/>
      <s:c r="C10393" s="121" t="n"/>
      <s:c r="D10393" s="121" t="n"/>
      <s:c r="E10393" s="122" t="n"/>
    </s:row>
    <s:row r="10394" hidden="1" ht="1" customHeight="1">
      <s:c r="A10394" s="120" t="inlineStr"/>
      <s:c r="B10394" s="121" t="n"/>
      <s:c r="C10394" s="121" t="n"/>
      <s:c r="D10394" s="121" t="n"/>
      <s:c r="E10394" s="122" t="n"/>
    </s:row>
    <s:row r="10395" hidden="1" ht="1" customHeight="1">
      <s:c r="A10395" s="120" t="inlineStr"/>
      <s:c r="B10395" s="121" t="n"/>
      <s:c r="C10395" s="121" t="n"/>
      <s:c r="D10395" s="121" t="n"/>
      <s:c r="E10395" s="122" t="n"/>
    </s:row>
    <s:row r="10396" hidden="1" ht="1" customHeight="1">
      <s:c r="A10396" s="120" t="inlineStr"/>
      <s:c r="B10396" s="121" t="n"/>
      <s:c r="C10396" s="121" t="n"/>
      <s:c r="D10396" s="121" t="n"/>
      <s:c r="E10396" s="122" t="n"/>
    </s:row>
    <s:row r="10397" hidden="1" ht="1" customHeight="1">
      <s:c r="A10397" s="120" t="inlineStr"/>
      <s:c r="B10397" s="121" t="n"/>
      <s:c r="C10397" s="121" t="n"/>
      <s:c r="D10397" s="121" t="n"/>
      <s:c r="E10397" s="122" t="n"/>
    </s:row>
    <s:row r="10398" hidden="1" ht="1" customHeight="1">
      <s:c r="A10398" s="120" t="inlineStr"/>
      <s:c r="B10398" s="121" t="n"/>
      <s:c r="C10398" s="121" t="n"/>
      <s:c r="D10398" s="121" t="n"/>
      <s:c r="E10398" s="122" t="n"/>
    </s:row>
    <s:row r="10399" hidden="1" ht="1" customHeight="1">
      <s:c r="A10399" s="120" t="inlineStr"/>
      <s:c r="B10399" s="121" t="n"/>
      <s:c r="C10399" s="121" t="n"/>
      <s:c r="D10399" s="121" t="n"/>
      <s:c r="E10399" s="122" t="n"/>
    </s:row>
    <s:row r="10400" hidden="1" ht="1" customHeight="1">
      <s:c r="A10400" s="120" t="inlineStr"/>
      <s:c r="B10400" s="121" t="n"/>
      <s:c r="C10400" s="121" t="n"/>
      <s:c r="D10400" s="121" t="n"/>
      <s:c r="E10400" s="122" t="n"/>
    </s:row>
    <s:row r="10401" hidden="1" ht="1" customHeight="1">
      <s:c r="A10401" s="120" t="inlineStr"/>
      <s:c r="B10401" s="121" t="n"/>
      <s:c r="C10401" s="121" t="n"/>
      <s:c r="D10401" s="121" t="n"/>
      <s:c r="E10401" s="122" t="n"/>
    </s:row>
    <s:row r="10402" hidden="1" ht="1" customHeight="1">
      <s:c r="A10402" s="120" t="inlineStr"/>
      <s:c r="B10402" s="121" t="n"/>
      <s:c r="C10402" s="121" t="n"/>
      <s:c r="D10402" s="121" t="n"/>
      <s:c r="E10402" s="122" t="n"/>
    </s:row>
    <s:row r="10403" hidden="1" ht="1" customHeight="1">
      <s:c r="A10403" s="120" t="inlineStr"/>
      <s:c r="B10403" s="121" t="n"/>
      <s:c r="C10403" s="121" t="n"/>
      <s:c r="D10403" s="121" t="n"/>
      <s:c r="E10403" s="122" t="n"/>
    </s:row>
    <s:row r="10404" hidden="1" ht="1" customHeight="1">
      <s:c r="A10404" s="120" t="inlineStr"/>
      <s:c r="B10404" s="121" t="n"/>
      <s:c r="C10404" s="121" t="n"/>
      <s:c r="D10404" s="121" t="n"/>
      <s:c r="E10404" s="122" t="n"/>
    </s:row>
    <s:row r="10405" hidden="1" ht="1" customHeight="1">
      <s:c r="A10405" s="120" t="inlineStr"/>
      <s:c r="B10405" s="121" t="n"/>
      <s:c r="C10405" s="121" t="n"/>
      <s:c r="D10405" s="121" t="n"/>
      <s:c r="E10405" s="122" t="n"/>
    </s:row>
    <s:row r="10406" hidden="1" ht="1" customHeight="1">
      <s:c r="A10406" s="120" t="inlineStr"/>
      <s:c r="B10406" s="121" t="n"/>
      <s:c r="C10406" s="121" t="n"/>
      <s:c r="D10406" s="121" t="n"/>
      <s:c r="E10406" s="122" t="n"/>
    </s:row>
    <s:row r="10407" hidden="1" ht="1" customHeight="1">
      <s:c r="A10407" s="120" t="inlineStr"/>
      <s:c r="B10407" s="121" t="n"/>
      <s:c r="C10407" s="121" t="n"/>
      <s:c r="D10407" s="121" t="n"/>
      <s:c r="E10407" s="122" t="n"/>
    </s:row>
    <s:row r="10408" hidden="1" ht="1" customHeight="1">
      <s:c r="A10408" s="120" t="inlineStr"/>
      <s:c r="B10408" s="121" t="n"/>
      <s:c r="C10408" s="121" t="n"/>
      <s:c r="D10408" s="121" t="n"/>
      <s:c r="E10408" s="122" t="n"/>
    </s:row>
    <s:row r="10409" hidden="1" ht="1" customHeight="1">
      <s:c r="A10409" s="120" t="inlineStr"/>
      <s:c r="B10409" s="121" t="n"/>
      <s:c r="C10409" s="121" t="n"/>
      <s:c r="D10409" s="121" t="n"/>
      <s:c r="E10409" s="122" t="n"/>
    </s:row>
    <s:row r="10410" hidden="1" ht="1" customHeight="1">
      <s:c r="A10410" s="120" t="inlineStr"/>
      <s:c r="B10410" s="121" t="n"/>
      <s:c r="C10410" s="121" t="n"/>
      <s:c r="D10410" s="121" t="n"/>
      <s:c r="E10410" s="122" t="n"/>
    </s:row>
    <s:row r="10411" hidden="1" ht="1" customHeight="1">
      <s:c r="A10411" s="120" t="inlineStr"/>
      <s:c r="B10411" s="121" t="n"/>
      <s:c r="C10411" s="121" t="n"/>
      <s:c r="D10411" s="121" t="n"/>
      <s:c r="E10411" s="122" t="n"/>
    </s:row>
    <s:row r="10412" hidden="1" ht="1" customHeight="1">
      <s:c r="A10412" s="120" t="inlineStr"/>
      <s:c r="B10412" s="121" t="n"/>
      <s:c r="C10412" s="121" t="n"/>
      <s:c r="D10412" s="121" t="n"/>
      <s:c r="E10412" s="122" t="n"/>
    </s:row>
    <s:row r="10413" hidden="1" ht="1" customHeight="1">
      <s:c r="A10413" s="120" t="inlineStr"/>
      <s:c r="B10413" s="121" t="n"/>
      <s:c r="C10413" s="121" t="n"/>
      <s:c r="D10413" s="121" t="n"/>
      <s:c r="E10413" s="122" t="n"/>
    </s:row>
    <s:row r="10414" hidden="1" ht="1" customHeight="1">
      <s:c r="A10414" s="120" t="inlineStr"/>
      <s:c r="B10414" s="121" t="n"/>
      <s:c r="C10414" s="121" t="n"/>
      <s:c r="D10414" s="121" t="n"/>
      <s:c r="E10414" s="122" t="n"/>
    </s:row>
    <s:row r="10415" hidden="1" ht="1" customHeight="1">
      <s:c r="A10415" s="120" t="inlineStr"/>
      <s:c r="B10415" s="121" t="n"/>
      <s:c r="C10415" s="121" t="n"/>
      <s:c r="D10415" s="121" t="n"/>
      <s:c r="E10415" s="122" t="n"/>
    </s:row>
    <s:row r="10416" hidden="1" ht="1" customHeight="1">
      <s:c r="A10416" s="120" t="inlineStr"/>
      <s:c r="B10416" s="121" t="n"/>
      <s:c r="C10416" s="121" t="n"/>
      <s:c r="D10416" s="121" t="n"/>
      <s:c r="E10416" s="122" t="n"/>
    </s:row>
    <s:row r="10417" hidden="1" ht="1" customHeight="1">
      <s:c r="A10417" s="120" t="inlineStr"/>
      <s:c r="B10417" s="121" t="n"/>
      <s:c r="C10417" s="121" t="n"/>
      <s:c r="D10417" s="121" t="n"/>
      <s:c r="E10417" s="122" t="n"/>
    </s:row>
    <s:row r="10418" hidden="1" ht="1" customHeight="1">
      <s:c r="A10418" s="120" t="inlineStr"/>
      <s:c r="B10418" s="121" t="n"/>
      <s:c r="C10418" s="121" t="n"/>
      <s:c r="D10418" s="121" t="n"/>
      <s:c r="E10418" s="122" t="n"/>
    </s:row>
    <s:row r="10419" hidden="1" ht="1" customHeight="1">
      <s:c r="A10419" s="120" t="inlineStr"/>
      <s:c r="B10419" s="121" t="n"/>
      <s:c r="C10419" s="121" t="n"/>
      <s:c r="D10419" s="121" t="n"/>
      <s:c r="E10419" s="122" t="n"/>
    </s:row>
    <s:row r="10420" hidden="1" ht="1" customHeight="1">
      <s:c r="A10420" s="120" t="inlineStr"/>
      <s:c r="B10420" s="121" t="n"/>
      <s:c r="C10420" s="121" t="n"/>
      <s:c r="D10420" s="121" t="n"/>
      <s:c r="E10420" s="122" t="n"/>
    </s:row>
    <s:row r="10421" hidden="1" ht="1" customHeight="1">
      <s:c r="A10421" s="120" t="inlineStr"/>
      <s:c r="B10421" s="121" t="n"/>
      <s:c r="C10421" s="121" t="n"/>
      <s:c r="D10421" s="121" t="n"/>
      <s:c r="E10421" s="122" t="n"/>
    </s:row>
    <s:row r="10422" hidden="1" ht="1" customHeight="1">
      <s:c r="A10422" s="120" t="inlineStr"/>
      <s:c r="B10422" s="121" t="n"/>
      <s:c r="C10422" s="121" t="n"/>
      <s:c r="D10422" s="121" t="n"/>
      <s:c r="E10422" s="122" t="n"/>
    </s:row>
    <s:row r="10423" hidden="1" ht="1" customHeight="1">
      <s:c r="A10423" s="120" t="inlineStr"/>
      <s:c r="B10423" s="121" t="n"/>
      <s:c r="C10423" s="121" t="n"/>
      <s:c r="D10423" s="121" t="n"/>
      <s:c r="E10423" s="122" t="n"/>
    </s:row>
    <s:row r="10424" hidden="1" ht="1" customHeight="1">
      <s:c r="A10424" s="120" t="inlineStr"/>
      <s:c r="B10424" s="121" t="n"/>
      <s:c r="C10424" s="121" t="n"/>
      <s:c r="D10424" s="121" t="n"/>
      <s:c r="E10424" s="122" t="n"/>
    </s:row>
    <s:row r="10425" hidden="1" ht="1" customHeight="1">
      <s:c r="A10425" s="120" t="inlineStr"/>
      <s:c r="B10425" s="121" t="n"/>
      <s:c r="C10425" s="121" t="n"/>
      <s:c r="D10425" s="121" t="n"/>
      <s:c r="E10425" s="122" t="n"/>
    </s:row>
    <s:row r="10426" hidden="1" ht="1" customHeight="1">
      <s:c r="A10426" s="120" t="inlineStr"/>
      <s:c r="B10426" s="121" t="n"/>
      <s:c r="C10426" s="121" t="n"/>
      <s:c r="D10426" s="121" t="n"/>
      <s:c r="E10426" s="122" t="n"/>
    </s:row>
    <s:row r="10427" hidden="1" ht="1" customHeight="1">
      <s:c r="A10427" s="120" t="inlineStr"/>
      <s:c r="B10427" s="121" t="n"/>
      <s:c r="C10427" s="121" t="n"/>
      <s:c r="D10427" s="121" t="n"/>
      <s:c r="E10427" s="122" t="n"/>
    </s:row>
    <s:row r="10428" hidden="1" ht="1" customHeight="1">
      <s:c r="A10428" s="120" t="inlineStr"/>
      <s:c r="B10428" s="121" t="n"/>
      <s:c r="C10428" s="121" t="n"/>
      <s:c r="D10428" s="121" t="n"/>
      <s:c r="E10428" s="122" t="n"/>
    </s:row>
    <s:row r="10429" hidden="1" ht="1" customHeight="1">
      <s:c r="A10429" s="120" t="inlineStr"/>
      <s:c r="B10429" s="121" t="n"/>
      <s:c r="C10429" s="121" t="n"/>
      <s:c r="D10429" s="121" t="n"/>
      <s:c r="E10429" s="122" t="n"/>
    </s:row>
    <s:row r="10430" hidden="1" ht="1" customHeight="1">
      <s:c r="A10430" s="120" t="inlineStr"/>
      <s:c r="B10430" s="121" t="n"/>
      <s:c r="C10430" s="121" t="n"/>
      <s:c r="D10430" s="121" t="n"/>
      <s:c r="E10430" s="122" t="n"/>
    </s:row>
    <s:row r="10431" hidden="1" ht="1" customHeight="1">
      <s:c r="A10431" s="120" t="inlineStr"/>
      <s:c r="B10431" s="121" t="n"/>
      <s:c r="C10431" s="121" t="n"/>
      <s:c r="D10431" s="121" t="n"/>
      <s:c r="E10431" s="122" t="n"/>
    </s:row>
    <s:row r="10432" hidden="1" ht="1" customHeight="1">
      <s:c r="A10432" s="120" t="inlineStr"/>
      <s:c r="B10432" s="121" t="n"/>
      <s:c r="C10432" s="121" t="n"/>
      <s:c r="D10432" s="121" t="n"/>
      <s:c r="E10432" s="122" t="n"/>
    </s:row>
    <s:row r="10433" hidden="1" ht="1" customHeight="1">
      <s:c r="A10433" s="120" t="inlineStr"/>
      <s:c r="B10433" s="121" t="n"/>
      <s:c r="C10433" s="121" t="n"/>
      <s:c r="D10433" s="121" t="n"/>
      <s:c r="E10433" s="122" t="n"/>
    </s:row>
    <s:row r="10434" hidden="1" ht="1" customHeight="1">
      <s:c r="A10434" s="120" t="inlineStr"/>
      <s:c r="B10434" s="121" t="n"/>
      <s:c r="C10434" s="121" t="n"/>
      <s:c r="D10434" s="121" t="n"/>
      <s:c r="E10434" s="122" t="n"/>
    </s:row>
    <s:row r="10435" hidden="1" ht="1" customHeight="1">
      <s:c r="A10435" s="120" t="inlineStr"/>
      <s:c r="B10435" s="121" t="n"/>
      <s:c r="C10435" s="121" t="n"/>
      <s:c r="D10435" s="121" t="n"/>
      <s:c r="E10435" s="122" t="n"/>
    </s:row>
    <s:row r="10436" hidden="1" ht="1" customHeight="1">
      <s:c r="A10436" s="120" t="inlineStr"/>
      <s:c r="B10436" s="121" t="n"/>
      <s:c r="C10436" s="121" t="n"/>
      <s:c r="D10436" s="121" t="n"/>
      <s:c r="E10436" s="122" t="n"/>
    </s:row>
    <s:row r="10437" hidden="1" ht="1" customHeight="1">
      <s:c r="A10437" s="120" t="inlineStr"/>
      <s:c r="B10437" s="121" t="n"/>
      <s:c r="C10437" s="121" t="n"/>
      <s:c r="D10437" s="121" t="n"/>
      <s:c r="E10437" s="122" t="n"/>
    </s:row>
    <s:row r="10438" hidden="1" ht="1" customHeight="1">
      <s:c r="A10438" s="120" t="inlineStr"/>
      <s:c r="B10438" s="121" t="n"/>
      <s:c r="C10438" s="121" t="n"/>
      <s:c r="D10438" s="121" t="n"/>
      <s:c r="E10438" s="122" t="n"/>
    </s:row>
    <s:row r="10439" hidden="1" ht="1" customHeight="1">
      <s:c r="A10439" s="120" t="inlineStr"/>
      <s:c r="B10439" s="121" t="n"/>
      <s:c r="C10439" s="121" t="n"/>
      <s:c r="D10439" s="121" t="n"/>
      <s:c r="E10439" s="122" t="n"/>
    </s:row>
    <s:row r="10440" hidden="1" ht="1" customHeight="1">
      <s:c r="A10440" s="83" t="inlineStr">
        <s:is>
          <s:t>PASS</s:t>
        </s:is>
      </s:c>
      <s:c r="B10440" s="83">
        <s:f>SUM(IF(EXACT('Kiểm thử'!E10290,"Đạt"),1,0),IF(EXACT('Kiểm thử'!E10292,"Đạt"),1,0),IF(EXACT('Kiểm thử'!E10294,"Đạt"),1,0))</s:f>
        <s:v/>
      </s:c>
      <s:c r="C10440" s="19" t="n"/>
      <s:c r="D10440" s="19" t="n"/>
      <s:c r="E10440" s="19" t="n"/>
    </s:row>
    <s:row r="10441" hidden="1" ht="1" customHeight="1">
      <s:c r="A10441" s="83" t="inlineStr">
        <s:is>
          <s:t>FAIL</s:t>
        </s:is>
      </s:c>
      <s:c r="B10441" s="83">
        <s:f>SUM(IF(EXACT('Kiểm thử'!E10290,"Không đạt"),1,0),IF(EXACT('Kiểm thử'!E10292,"Không đạt"),1,0),IF(EXACT('Kiểm thử'!E10294,"Không đạt"),1,0))</s:f>
        <s:v/>
      </s:c>
      <s:c r="C10441" s="19" t="n"/>
      <s:c r="D10441" s="19" t="n"/>
      <s:c r="E10441" s="19" t="n"/>
    </s:row>
    <s:row r="10442" hidden="1" ht="1" customHeight="1">
      <s:c r="A10442" s="83" t="inlineStr">
        <s:is>
          <s:t>BLOCKED</s:t>
        </s:is>
      </s:c>
      <s:c r="B10442" s="83">
        <s:f>SUM(IF(EXACT('Kiểm thử'!E10290,"Bị chặn"),1,0),IF(EXACT('Kiểm thử'!E10292,"Bị chặn"),1,0),IF(EXACT('Kiểm thử'!E10294,"Bị chặn"),1,0))</s:f>
        <s:v/>
      </s:c>
      <s:c r="C10442" s="19" t="n"/>
      <s:c r="D10442" s="19" t="n"/>
      <s:c r="E10442" s="19" t="n"/>
    </s:row>
    <s:row r="10443" hidden="1" ht="1" customHeight="1">
      <s:c r="A10443" s="83" t="inlineStr">
        <s:is>
          <s:t>SKIPPED</s:t>
        </s:is>
      </s:c>
      <s:c r="B10443" s="83">
        <s:f>SUM(IF(EXACT('Kiểm thử'!E10290,"Không thực hiện"),1,0),IF(EXACT('Kiểm thử'!E10292,"Không thực hiện"),1,0),IF(EXACT('Kiểm thử'!E10294,"Không thực hiện"),1,0))</s:f>
        <s:v/>
      </s:c>
      <s:c r="C10443" s="19" t="n"/>
      <s:c r="D10443" s="19" t="n"/>
      <s:c r="E10443" s="19" t="n"/>
    </s:row>
    <s:row r="10444" hidden="1" ht="1" customHeight="1">
      <s:c r="A10444" s="83" t="inlineStr">
        <s:is>
          <s:t>NOT RUN</s:t>
        </s:is>
      </s:c>
      <s:c r="B10444" s="83">
        <s:f>SUM(IF(EXACT('Kiểm thử'!E10290,"Chưa thực hiện"),1,0),IF(EXACT('Kiểm thử'!E10292,"Chưa thực hiện"),1,0),IF(EXACT('Kiểm thử'!E10294,"Chưa thực hiện"),1,0))</s:f>
        <s:v/>
      </s:c>
      <s:c r="C10444" s="19" t="n"/>
      <s:c r="D10444" s="19" t="n"/>
      <s:c r="E10444" s="19" t="n"/>
    </s:row>
    <s:row r="10445" hidden="1" ht="6" customHeight="1">
      <s:c r="A10445" s="83" t="inlineStr"/>
      <s:c r="B10445" s="19" t="n"/>
      <s:c r="C10445" s="19" t="n"/>
      <s:c r="D10445" s="19" t="n"/>
      <s:c r="E10445" s="19" t="n"/>
    </s:row>
    <s:row r="10446" ht="28" customHeight="1">
      <s:c r="A10446" s="108" t="inlineStr">
        <s:is>
          <s:t>TC-RS-CALC-030 — Công thức cho T=0; ô trống vẫn là Không có điểm</s:t>
        </s:is>
      </s:c>
      <s:c r="B10446" s="111" t="n"/>
      <s:c r="C10446" s="111" t="n"/>
      <s:c r="D10446" s="111" t="n"/>
      <s:c r="E10446" s="111" t="n"/>
    </s:row>
    <s:row r="10447" ht="20" customHeight="1">
      <s:c r="A10447" s="112" t="inlineStr">
        <s:is>
          <s:t>Kết quả tình huống</s:t>
        </s:is>
      </s:c>
      <s:c r="B10447" s="113">
        <s:f>IF(SUM(IF(EXACT('Kiểm thử'!E10454,"Không đạt"),1,0),IF(EXACT('Kiểm thử'!E10456,"Không đạt"),1,0))&gt;0,"Không đạt",IF(SUM(IF(EXACT('Kiểm thử'!E10454,"Đạt"),1,0),IF(EXACT('Kiểm thử'!E10456,"Đạt"),1,0))=2,"Đạt",IF(SUM(IF(EXACT('Kiểm thử'!E10454,"Không thực hiện"),1,0),IF(EXACT('Kiểm thử'!E10456,"Không thực hiện"),1,0))=2,"Không thực hiện",IF(SUM(IF(EXACT('Kiểm thử'!E10454,"Bị chặn"),1,0),IF(EXACT('Kiểm thử'!E10456,"Bị chặn"),1,0))&gt;0,"Bị chặn",IF(SUM(IF(EXACT('Kiểm thử'!E10454,"Chưa thực hiện"),1,0),IF(EXACT('Kiểm thử'!E10456,"Chưa thực hiện"),1,0))=2,"Chưa thực hiện","Đang thực hiện")))))</s:f>
        <s:v/>
      </s:c>
      <s:c r="C10447" s="114" t="n"/>
      <s:c r="D10447" s="114" t="n"/>
      <s:c r="E10447" s="114" t="n"/>
    </s:row>
    <s:row r="10448" ht="20" customHeight="1">
      <s:c r="A10448" s="112" t="inlineStr">
        <s:is>
          <s:t>Màn hình / chức năng</s:t>
        </s:is>
      </s:c>
      <s:c r="B10448" s="113" t="inlineStr">
        <s:is>
          <s:r>
            <s:rPr>
              <s:b val="1"/>
            </s:rPr>
            <s:t>Thiết lập ngưỡng（基準設定）</s:t>
          </s:r>
        </s:is>
      </s:c>
      <s:c r="C10448" s="28" t="n"/>
      <s:c r="D10448" s="28" t="n"/>
      <s:c r="E10448" s="28" t="n"/>
    </s:row>
    <s:row r="10449" ht="34" customHeight="1">
      <s:c r="A10449" s="112" t="inlineStr">
        <s:is>
          <s:t>Cấu hình</s:t>
        </s:is>
      </s:c>
      <s:c r="B10449" s="113" t="inlineStr">
        <s:is>
          <s:r>
            <s:t>• Nguồn [</s:t>
          </s:r>
          <s:r>
            <s:rPr>
              <s:b val="1"/>
            </s:rPr>
            <s:t>A=20</s:t>
          </s:r>
          <s:r>
            <s:t>];
• Công thức [A−20].</s:t>
          </s:r>
        </s:is>
      </s:c>
      <s:c r="C10449" s="28" t="n"/>
      <s:c r="D10449" s="28" t="n"/>
      <s:c r="E10449" s="28" t="n"/>
    </s:row>
    <s:row r="10450" ht="20" customHeight="1">
      <s:c r="A10450" s="112" t="inlineStr">
        <s:is>
          <s:t>Dữ liệu test</s:t>
        </s:is>
      </s:c>
      <s:c r="B10450" s="113" t="inlineStr">
        <s:is>
          <s:t>• Học sinh S04 (điểm 0) (0), học sinh S05 (ô trống) (trống)</s:t>
        </s:is>
      </s:c>
      <s:c r="C10450" s="28" t="n"/>
      <s:c r="D10450" s="28" t="n"/>
      <s:c r="E10450" s="28" t="n"/>
    </s:row>
    <s:row r="10451" ht="20" customHeight="1">
      <s:c r="A10451" s="112" t="inlineStr">
        <s:is>
          <s:t>•</s:t>
        </s:is>
      </s:c>
      <s:c r="B10451" s="113" t="inlineStr">
        <s:is>
          <s:t>Xét với [&lt;] rồi [≤].</s:t>
        </s:is>
      </s:c>
      <s:c r="C10451" s="28" t="n"/>
      <s:c r="D10451" s="28" t="n"/>
      <s:c r="E10451" s="28" t="n"/>
    </s:row>
    <s:row r="10452" ht="28" customHeight="1">
      <s:c r="A10452" s="115" t="inlineStr">
        <s:is>
          <s:t>Trường hợp</s:t>
        </s:is>
      </s:c>
      <s:c r="B10452" s="115" t="inlineStr">
        <s:is>
          <s:t>Dữ liệu / thao tác riêng</s:t>
        </s:is>
      </s:c>
      <s:c r="C10452" s="115" t="inlineStr">
        <s:is>
          <s:t>Kết quả mong đợi</s:t>
        </s:is>
      </s:c>
      <s:c r="D10452" s="115" t="inlineStr">
        <s:is>
          <s:t>Kết quả thực tế</s:t>
        </s:is>
      </s:c>
      <s:c r="E10452" s="115" t="inlineStr">
        <s:is>
          <s:t>Đánh giá</s:t>
        </s:is>
      </s:c>
    </s:row>
    <s:row r="10453" ht="3" customHeight="1">
      <s:c r="A10453" s="102" t="inlineStr"/>
      <s:c r="B10453" s="99" t="n"/>
      <s:c r="C10453" s="99" t="n"/>
      <s:c r="D10453" s="116" t="n"/>
      <s:c r="E10453" s="116" t="n"/>
    </s:row>
    <s:row r="10454" ht="34" customHeight="1">
      <s:c r="A10454" s="83" t="inlineStr">
        <s:is>
          <s:t>Nhỏ hơn (lt)</s:t>
        </s:is>
      </s:c>
      <s:c r="B10454" s="83" t="inlineStr">
        <s:is>
          <s:t>Dấu nhỏ hơn</s:t>
        </s:is>
      </s:c>
      <s:c r="C10454" s="83" t="inlineStr">
        <s:is>
          <s:r>
            <s:t>[</s:t>
          </s:r>
          <s:r>
            <s:rPr>
              <s:b val="1"/>
            </s:rPr>
            <s:t>T=0</s:t>
          </s:r>
          <s:r>
            <s:t xml:space="preserve">]. [&lt;]: S04 </s:t>
          </s:r>
          <s:r>
            <s:rPr>
              <s:b val="1"/>
            </s:rPr>
            <s:t>Không đỏ</s:t>
          </s:r>
          <s:r>
            <s:t>. S05: Không có điểm (không bị coi là 0).</s:t>
          </s:r>
        </s:is>
      </s:c>
      <s:c r="D10454" s="117" t="inlineStr"/>
      <s:c r="E10454" s="118" t="inlineStr">
        <s:is>
          <s:t>Chưa thực hiện</s:t>
        </s:is>
      </s:c>
    </s:row>
    <s:row r="10455" ht="3" customHeight="1">
      <s:c r="A10455" s="102" t="inlineStr"/>
      <s:c r="B10455" s="99" t="n"/>
      <s:c r="C10455" s="99" t="n"/>
      <s:c r="D10455" s="116" t="n"/>
      <s:c r="E10455" s="116" t="n"/>
    </s:row>
    <s:row r="10456" ht="34" customHeight="1">
      <s:c r="A10456" s="83" t="inlineStr">
        <s:is>
          <s:t>Nhỏ hơn hoặc bằng (le)</s:t>
        </s:is>
      </s:c>
      <s:c r="B10456" s="83" t="inlineStr">
        <s:is>
          <s:t>Dấu nhỏ hơn hoặc bằng</s:t>
        </s:is>
      </s:c>
      <s:c r="C10456" s="83" t="inlineStr">
        <s:is>
          <s:r>
            <s:t>[</s:t>
          </s:r>
          <s:r>
            <s:rPr>
              <s:b val="1"/>
            </s:rPr>
            <s:t>T=0</s:t>
          </s:r>
          <s:r>
            <s:t xml:space="preserve">]. [≤]: S04 </s:t>
          </s:r>
          <s:r>
            <s:rPr>
              <s:b val="1"/>
            </s:rPr>
            <s:t>Đỏ</s:t>
          </s:r>
          <s:r>
            <s:t>. S05: Không có điểm (không bị coi là 0).</s:t>
          </s:r>
        </s:is>
      </s:c>
      <s:c r="D10456" s="117" t="inlineStr"/>
      <s:c r="E10456" s="118" t="inlineStr">
        <s:is>
          <s:t>Chưa thực hiện</s:t>
        </s:is>
      </s:c>
    </s:row>
    <s:row r="10457" ht="20" customHeight="1">
      <s:c r="A10457" s="119" t="inlineStr">
        <s:is>
          <s:t>Ảnh minh chứng — Chưa có ảnh</s:t>
        </s:is>
      </s:c>
      <s:c r="B10457" s="19" t="n"/>
      <s:c r="C10457" s="19" t="n"/>
      <s:c r="D10457" s="19" t="n"/>
      <s:c r="E10457" s="19" t="n"/>
    </s:row>
    <s:row r="10458" hidden="1" ht="1" customHeight="1">
      <s:c r="A10458" s="120" t="inlineStr"/>
      <s:c r="B10458" s="121" t="n"/>
      <s:c r="C10458" s="121" t="n"/>
      <s:c r="D10458" s="121" t="n"/>
      <s:c r="E10458" s="122" t="n"/>
    </s:row>
    <s:row r="10459" hidden="1" ht="1" customHeight="1">
      <s:c r="A10459" s="120" t="inlineStr"/>
      <s:c r="B10459" s="121" t="n"/>
      <s:c r="C10459" s="121" t="n"/>
      <s:c r="D10459" s="121" t="n"/>
      <s:c r="E10459" s="122" t="n"/>
    </s:row>
    <s:row r="10460" hidden="1" ht="1" customHeight="1">
      <s:c r="A10460" s="120" t="inlineStr"/>
      <s:c r="B10460" s="121" t="n"/>
      <s:c r="C10460" s="121" t="n"/>
      <s:c r="D10460" s="121" t="n"/>
      <s:c r="E10460" s="122" t="n"/>
    </s:row>
    <s:row r="10461" hidden="1" ht="1" customHeight="1">
      <s:c r="A10461" s="120" t="inlineStr"/>
      <s:c r="B10461" s="121" t="n"/>
      <s:c r="C10461" s="121" t="n"/>
      <s:c r="D10461" s="121" t="n"/>
      <s:c r="E10461" s="122" t="n"/>
    </s:row>
    <s:row r="10462" hidden="1" ht="1" customHeight="1">
      <s:c r="A10462" s="120" t="inlineStr"/>
      <s:c r="B10462" s="121" t="n"/>
      <s:c r="C10462" s="121" t="n"/>
      <s:c r="D10462" s="121" t="n"/>
      <s:c r="E10462" s="122" t="n"/>
    </s:row>
    <s:row r="10463" hidden="1" ht="1" customHeight="1">
      <s:c r="A10463" s="120" t="inlineStr"/>
      <s:c r="B10463" s="121" t="n"/>
      <s:c r="C10463" s="121" t="n"/>
      <s:c r="D10463" s="121" t="n"/>
      <s:c r="E10463" s="122" t="n"/>
    </s:row>
    <s:row r="10464" hidden="1" ht="1" customHeight="1">
      <s:c r="A10464" s="120" t="inlineStr"/>
      <s:c r="B10464" s="121" t="n"/>
      <s:c r="C10464" s="121" t="n"/>
      <s:c r="D10464" s="121" t="n"/>
      <s:c r="E10464" s="122" t="n"/>
    </s:row>
    <s:row r="10465" hidden="1" ht="1" customHeight="1">
      <s:c r="A10465" s="120" t="inlineStr"/>
      <s:c r="B10465" s="121" t="n"/>
      <s:c r="C10465" s="121" t="n"/>
      <s:c r="D10465" s="121" t="n"/>
      <s:c r="E10465" s="122" t="n"/>
    </s:row>
    <s:row r="10466" hidden="1" ht="1" customHeight="1">
      <s:c r="A10466" s="120" t="inlineStr"/>
      <s:c r="B10466" s="121" t="n"/>
      <s:c r="C10466" s="121" t="n"/>
      <s:c r="D10466" s="121" t="n"/>
      <s:c r="E10466" s="122" t="n"/>
    </s:row>
    <s:row r="10467" hidden="1" ht="1" customHeight="1">
      <s:c r="A10467" s="120" t="inlineStr"/>
      <s:c r="B10467" s="121" t="n"/>
      <s:c r="C10467" s="121" t="n"/>
      <s:c r="D10467" s="121" t="n"/>
      <s:c r="E10467" s="122" t="n"/>
    </s:row>
    <s:row r="10468" hidden="1" ht="1" customHeight="1">
      <s:c r="A10468" s="120" t="inlineStr"/>
      <s:c r="B10468" s="121" t="n"/>
      <s:c r="C10468" s="121" t="n"/>
      <s:c r="D10468" s="121" t="n"/>
      <s:c r="E10468" s="122" t="n"/>
    </s:row>
    <s:row r="10469" hidden="1" ht="1" customHeight="1">
      <s:c r="A10469" s="120" t="inlineStr"/>
      <s:c r="B10469" s="121" t="n"/>
      <s:c r="C10469" s="121" t="n"/>
      <s:c r="D10469" s="121" t="n"/>
      <s:c r="E10469" s="122" t="n"/>
    </s:row>
    <s:row r="10470" hidden="1" ht="1" customHeight="1">
      <s:c r="A10470" s="120" t="inlineStr"/>
      <s:c r="B10470" s="121" t="n"/>
      <s:c r="C10470" s="121" t="n"/>
      <s:c r="D10470" s="121" t="n"/>
      <s:c r="E10470" s="122" t="n"/>
    </s:row>
    <s:row r="10471" hidden="1" ht="1" customHeight="1">
      <s:c r="A10471" s="120" t="inlineStr"/>
      <s:c r="B10471" s="121" t="n"/>
      <s:c r="C10471" s="121" t="n"/>
      <s:c r="D10471" s="121" t="n"/>
      <s:c r="E10471" s="122" t="n"/>
    </s:row>
    <s:row r="10472" hidden="1" ht="1" customHeight="1">
      <s:c r="A10472" s="120" t="inlineStr"/>
      <s:c r="B10472" s="121" t="n"/>
      <s:c r="C10472" s="121" t="n"/>
      <s:c r="D10472" s="121" t="n"/>
      <s:c r="E10472" s="122" t="n"/>
    </s:row>
    <s:row r="10473" hidden="1" ht="1" customHeight="1">
      <s:c r="A10473" s="120" t="inlineStr"/>
      <s:c r="B10473" s="121" t="n"/>
      <s:c r="C10473" s="121" t="n"/>
      <s:c r="D10473" s="121" t="n"/>
      <s:c r="E10473" s="122" t="n"/>
    </s:row>
    <s:row r="10474" hidden="1" ht="1" customHeight="1">
      <s:c r="A10474" s="120" t="inlineStr"/>
      <s:c r="B10474" s="121" t="n"/>
      <s:c r="C10474" s="121" t="n"/>
      <s:c r="D10474" s="121" t="n"/>
      <s:c r="E10474" s="122" t="n"/>
    </s:row>
    <s:row r="10475" hidden="1" ht="1" customHeight="1">
      <s:c r="A10475" s="120" t="inlineStr"/>
      <s:c r="B10475" s="121" t="n"/>
      <s:c r="C10475" s="121" t="n"/>
      <s:c r="D10475" s="121" t="n"/>
      <s:c r="E10475" s="122" t="n"/>
    </s:row>
    <s:row r="10476" hidden="1" ht="1" customHeight="1">
      <s:c r="A10476" s="120" t="inlineStr"/>
      <s:c r="B10476" s="121" t="n"/>
      <s:c r="C10476" s="121" t="n"/>
      <s:c r="D10476" s="121" t="n"/>
      <s:c r="E10476" s="122" t="n"/>
    </s:row>
    <s:row r="10477" hidden="1" ht="1" customHeight="1">
      <s:c r="A10477" s="120" t="inlineStr"/>
      <s:c r="B10477" s="121" t="n"/>
      <s:c r="C10477" s="121" t="n"/>
      <s:c r="D10477" s="121" t="n"/>
      <s:c r="E10477" s="122" t="n"/>
    </s:row>
    <s:row r="10478" hidden="1" ht="1" customHeight="1">
      <s:c r="A10478" s="120" t="inlineStr"/>
      <s:c r="B10478" s="121" t="n"/>
      <s:c r="C10478" s="121" t="n"/>
      <s:c r="D10478" s="121" t="n"/>
      <s:c r="E10478" s="122" t="n"/>
    </s:row>
    <s:row r="10479" hidden="1" ht="1" customHeight="1">
      <s:c r="A10479" s="120" t="inlineStr"/>
      <s:c r="B10479" s="121" t="n"/>
      <s:c r="C10479" s="121" t="n"/>
      <s:c r="D10479" s="121" t="n"/>
      <s:c r="E10479" s="122" t="n"/>
    </s:row>
    <s:row r="10480" hidden="1" ht="1" customHeight="1">
      <s:c r="A10480" s="120" t="inlineStr"/>
      <s:c r="B10480" s="121" t="n"/>
      <s:c r="C10480" s="121" t="n"/>
      <s:c r="D10480" s="121" t="n"/>
      <s:c r="E10480" s="122" t="n"/>
    </s:row>
    <s:row r="10481" hidden="1" ht="1" customHeight="1">
      <s:c r="A10481" s="120" t="inlineStr"/>
      <s:c r="B10481" s="121" t="n"/>
      <s:c r="C10481" s="121" t="n"/>
      <s:c r="D10481" s="121" t="n"/>
      <s:c r="E10481" s="122" t="n"/>
    </s:row>
    <s:row r="10482" hidden="1" ht="1" customHeight="1">
      <s:c r="A10482" s="120" t="inlineStr"/>
      <s:c r="B10482" s="121" t="n"/>
      <s:c r="C10482" s="121" t="n"/>
      <s:c r="D10482" s="121" t="n"/>
      <s:c r="E10482" s="122" t="n"/>
    </s:row>
    <s:row r="10483" hidden="1" ht="1" customHeight="1">
      <s:c r="A10483" s="120" t="inlineStr"/>
      <s:c r="B10483" s="121" t="n"/>
      <s:c r="C10483" s="121" t="n"/>
      <s:c r="D10483" s="121" t="n"/>
      <s:c r="E10483" s="122" t="n"/>
    </s:row>
    <s:row r="10484" hidden="1" ht="1" customHeight="1">
      <s:c r="A10484" s="120" t="inlineStr"/>
      <s:c r="B10484" s="121" t="n"/>
      <s:c r="C10484" s="121" t="n"/>
      <s:c r="D10484" s="121" t="n"/>
      <s:c r="E10484" s="122" t="n"/>
    </s:row>
    <s:row r="10485" hidden="1" ht="1" customHeight="1">
      <s:c r="A10485" s="120" t="inlineStr"/>
      <s:c r="B10485" s="121" t="n"/>
      <s:c r="C10485" s="121" t="n"/>
      <s:c r="D10485" s="121" t="n"/>
      <s:c r="E10485" s="122" t="n"/>
    </s:row>
    <s:row r="10486" hidden="1" ht="1" customHeight="1">
      <s:c r="A10486" s="120" t="inlineStr"/>
      <s:c r="B10486" s="121" t="n"/>
      <s:c r="C10486" s="121" t="n"/>
      <s:c r="D10486" s="121" t="n"/>
      <s:c r="E10486" s="122" t="n"/>
    </s:row>
    <s:row r="10487" hidden="1" ht="1" customHeight="1">
      <s:c r="A10487" s="120" t="inlineStr"/>
      <s:c r="B10487" s="121" t="n"/>
      <s:c r="C10487" s="121" t="n"/>
      <s:c r="D10487" s="121" t="n"/>
      <s:c r="E10487" s="122" t="n"/>
    </s:row>
    <s:row r="10488" hidden="1" ht="1" customHeight="1">
      <s:c r="A10488" s="120" t="inlineStr"/>
      <s:c r="B10488" s="121" t="n"/>
      <s:c r="C10488" s="121" t="n"/>
      <s:c r="D10488" s="121" t="n"/>
      <s:c r="E10488" s="122" t="n"/>
    </s:row>
    <s:row r="10489" hidden="1" ht="1" customHeight="1">
      <s:c r="A10489" s="120" t="inlineStr"/>
      <s:c r="B10489" s="121" t="n"/>
      <s:c r="C10489" s="121" t="n"/>
      <s:c r="D10489" s="121" t="n"/>
      <s:c r="E10489" s="122" t="n"/>
    </s:row>
    <s:row r="10490" hidden="1" ht="1" customHeight="1">
      <s:c r="A10490" s="120" t="inlineStr"/>
      <s:c r="B10490" s="121" t="n"/>
      <s:c r="C10490" s="121" t="n"/>
      <s:c r="D10490" s="121" t="n"/>
      <s:c r="E10490" s="122" t="n"/>
    </s:row>
    <s:row r="10491" hidden="1" ht="1" customHeight="1">
      <s:c r="A10491" s="120" t="inlineStr"/>
      <s:c r="B10491" s="121" t="n"/>
      <s:c r="C10491" s="121" t="n"/>
      <s:c r="D10491" s="121" t="n"/>
      <s:c r="E10491" s="122" t="n"/>
    </s:row>
    <s:row r="10492" hidden="1" ht="1" customHeight="1">
      <s:c r="A10492" s="120" t="inlineStr"/>
      <s:c r="B10492" s="121" t="n"/>
      <s:c r="C10492" s="121" t="n"/>
      <s:c r="D10492" s="121" t="n"/>
      <s:c r="E10492" s="122" t="n"/>
    </s:row>
    <s:row r="10493" hidden="1" ht="1" customHeight="1">
      <s:c r="A10493" s="120" t="inlineStr"/>
      <s:c r="B10493" s="121" t="n"/>
      <s:c r="C10493" s="121" t="n"/>
      <s:c r="D10493" s="121" t="n"/>
      <s:c r="E10493" s="122" t="n"/>
    </s:row>
    <s:row r="10494" hidden="1" ht="1" customHeight="1">
      <s:c r="A10494" s="120" t="inlineStr"/>
      <s:c r="B10494" s="121" t="n"/>
      <s:c r="C10494" s="121" t="n"/>
      <s:c r="D10494" s="121" t="n"/>
      <s:c r="E10494" s="122" t="n"/>
    </s:row>
    <s:row r="10495" hidden="1" ht="1" customHeight="1">
      <s:c r="A10495" s="120" t="inlineStr"/>
      <s:c r="B10495" s="121" t="n"/>
      <s:c r="C10495" s="121" t="n"/>
      <s:c r="D10495" s="121" t="n"/>
      <s:c r="E10495" s="122" t="n"/>
    </s:row>
    <s:row r="10496" hidden="1" ht="1" customHeight="1">
      <s:c r="A10496" s="120" t="inlineStr"/>
      <s:c r="B10496" s="121" t="n"/>
      <s:c r="C10496" s="121" t="n"/>
      <s:c r="D10496" s="121" t="n"/>
      <s:c r="E10496" s="122" t="n"/>
    </s:row>
    <s:row r="10497" hidden="1" ht="1" customHeight="1">
      <s:c r="A10497" s="120" t="inlineStr"/>
      <s:c r="B10497" s="121" t="n"/>
      <s:c r="C10497" s="121" t="n"/>
      <s:c r="D10497" s="121" t="n"/>
      <s:c r="E10497" s="122" t="n"/>
    </s:row>
    <s:row r="10498" hidden="1" ht="1" customHeight="1">
      <s:c r="A10498" s="120" t="inlineStr"/>
      <s:c r="B10498" s="121" t="n"/>
      <s:c r="C10498" s="121" t="n"/>
      <s:c r="D10498" s="121" t="n"/>
      <s:c r="E10498" s="122" t="n"/>
    </s:row>
    <s:row r="10499" hidden="1" ht="1" customHeight="1">
      <s:c r="A10499" s="120" t="inlineStr"/>
      <s:c r="B10499" s="121" t="n"/>
      <s:c r="C10499" s="121" t="n"/>
      <s:c r="D10499" s="121" t="n"/>
      <s:c r="E10499" s="122" t="n"/>
    </s:row>
    <s:row r="10500" hidden="1" ht="1" customHeight="1">
      <s:c r="A10500" s="120" t="inlineStr"/>
      <s:c r="B10500" s="121" t="n"/>
      <s:c r="C10500" s="121" t="n"/>
      <s:c r="D10500" s="121" t="n"/>
      <s:c r="E10500" s="122" t="n"/>
    </s:row>
    <s:row r="10501" hidden="1" ht="1" customHeight="1">
      <s:c r="A10501" s="120" t="inlineStr"/>
      <s:c r="B10501" s="121" t="n"/>
      <s:c r="C10501" s="121" t="n"/>
      <s:c r="D10501" s="121" t="n"/>
      <s:c r="E10501" s="122" t="n"/>
    </s:row>
    <s:row r="10502" hidden="1" ht="1" customHeight="1">
      <s:c r="A10502" s="120" t="inlineStr"/>
      <s:c r="B10502" s="121" t="n"/>
      <s:c r="C10502" s="121" t="n"/>
      <s:c r="D10502" s="121" t="n"/>
      <s:c r="E10502" s="122" t="n"/>
    </s:row>
    <s:row r="10503" hidden="1" ht="1" customHeight="1">
      <s:c r="A10503" s="120" t="inlineStr"/>
      <s:c r="B10503" s="121" t="n"/>
      <s:c r="C10503" s="121" t="n"/>
      <s:c r="D10503" s="121" t="n"/>
      <s:c r="E10503" s="122" t="n"/>
    </s:row>
    <s:row r="10504" hidden="1" ht="1" customHeight="1">
      <s:c r="A10504" s="120" t="inlineStr"/>
      <s:c r="B10504" s="121" t="n"/>
      <s:c r="C10504" s="121" t="n"/>
      <s:c r="D10504" s="121" t="n"/>
      <s:c r="E10504" s="122" t="n"/>
    </s:row>
    <s:row r="10505" hidden="1" ht="1" customHeight="1">
      <s:c r="A10505" s="120" t="inlineStr"/>
      <s:c r="B10505" s="121" t="n"/>
      <s:c r="C10505" s="121" t="n"/>
      <s:c r="D10505" s="121" t="n"/>
      <s:c r="E10505" s="122" t="n"/>
    </s:row>
    <s:row r="10506" hidden="1" ht="1" customHeight="1">
      <s:c r="A10506" s="120" t="inlineStr"/>
      <s:c r="B10506" s="121" t="n"/>
      <s:c r="C10506" s="121" t="n"/>
      <s:c r="D10506" s="121" t="n"/>
      <s:c r="E10506" s="122" t="n"/>
    </s:row>
    <s:row r="10507" hidden="1" ht="1" customHeight="1">
      <s:c r="A10507" s="120" t="inlineStr"/>
      <s:c r="B10507" s="121" t="n"/>
      <s:c r="C10507" s="121" t="n"/>
      <s:c r="D10507" s="121" t="n"/>
      <s:c r="E10507" s="122" t="n"/>
    </s:row>
    <s:row r="10508" hidden="1" ht="1" customHeight="1">
      <s:c r="A10508" s="120" t="inlineStr"/>
      <s:c r="B10508" s="121" t="n"/>
      <s:c r="C10508" s="121" t="n"/>
      <s:c r="D10508" s="121" t="n"/>
      <s:c r="E10508" s="122" t="n"/>
    </s:row>
    <s:row r="10509" hidden="1" ht="1" customHeight="1">
      <s:c r="A10509" s="120" t="inlineStr"/>
      <s:c r="B10509" s="121" t="n"/>
      <s:c r="C10509" s="121" t="n"/>
      <s:c r="D10509" s="121" t="n"/>
      <s:c r="E10509" s="122" t="n"/>
    </s:row>
    <s:row r="10510" hidden="1" ht="1" customHeight="1">
      <s:c r="A10510" s="120" t="inlineStr"/>
      <s:c r="B10510" s="121" t="n"/>
      <s:c r="C10510" s="121" t="n"/>
      <s:c r="D10510" s="121" t="n"/>
      <s:c r="E10510" s="122" t="n"/>
    </s:row>
    <s:row r="10511" hidden="1" ht="1" customHeight="1">
      <s:c r="A10511" s="120" t="inlineStr"/>
      <s:c r="B10511" s="121" t="n"/>
      <s:c r="C10511" s="121" t="n"/>
      <s:c r="D10511" s="121" t="n"/>
      <s:c r="E10511" s="122" t="n"/>
    </s:row>
    <s:row r="10512" hidden="1" ht="1" customHeight="1">
      <s:c r="A10512" s="120" t="inlineStr"/>
      <s:c r="B10512" s="121" t="n"/>
      <s:c r="C10512" s="121" t="n"/>
      <s:c r="D10512" s="121" t="n"/>
      <s:c r="E10512" s="122" t="n"/>
    </s:row>
    <s:row r="10513" hidden="1" ht="1" customHeight="1">
      <s:c r="A10513" s="120" t="inlineStr"/>
      <s:c r="B10513" s="121" t="n"/>
      <s:c r="C10513" s="121" t="n"/>
      <s:c r="D10513" s="121" t="n"/>
      <s:c r="E10513" s="122" t="n"/>
    </s:row>
    <s:row r="10514" hidden="1" ht="1" customHeight="1">
      <s:c r="A10514" s="120" t="inlineStr"/>
      <s:c r="B10514" s="121" t="n"/>
      <s:c r="C10514" s="121" t="n"/>
      <s:c r="D10514" s="121" t="n"/>
      <s:c r="E10514" s="122" t="n"/>
    </s:row>
    <s:row r="10515" hidden="1" ht="1" customHeight="1">
      <s:c r="A10515" s="120" t="inlineStr"/>
      <s:c r="B10515" s="121" t="n"/>
      <s:c r="C10515" s="121" t="n"/>
      <s:c r="D10515" s="121" t="n"/>
      <s:c r="E10515" s="122" t="n"/>
    </s:row>
    <s:row r="10516" hidden="1" ht="1" customHeight="1">
      <s:c r="A10516" s="120" t="inlineStr"/>
      <s:c r="B10516" s="121" t="n"/>
      <s:c r="C10516" s="121" t="n"/>
      <s:c r="D10516" s="121" t="n"/>
      <s:c r="E10516" s="122" t="n"/>
    </s:row>
    <s:row r="10517" hidden="1" ht="1" customHeight="1">
      <s:c r="A10517" s="120" t="inlineStr"/>
      <s:c r="B10517" s="121" t="n"/>
      <s:c r="C10517" s="121" t="n"/>
      <s:c r="D10517" s="121" t="n"/>
      <s:c r="E10517" s="122" t="n"/>
    </s:row>
    <s:row r="10518" hidden="1" ht="1" customHeight="1">
      <s:c r="A10518" s="120" t="inlineStr"/>
      <s:c r="B10518" s="121" t="n"/>
      <s:c r="C10518" s="121" t="n"/>
      <s:c r="D10518" s="121" t="n"/>
      <s:c r="E10518" s="122" t="n"/>
    </s:row>
    <s:row r="10519" hidden="1" ht="1" customHeight="1">
      <s:c r="A10519" s="120" t="inlineStr"/>
      <s:c r="B10519" s="121" t="n"/>
      <s:c r="C10519" s="121" t="n"/>
      <s:c r="D10519" s="121" t="n"/>
      <s:c r="E10519" s="122" t="n"/>
    </s:row>
    <s:row r="10520" hidden="1" ht="1" customHeight="1">
      <s:c r="A10520" s="120" t="inlineStr"/>
      <s:c r="B10520" s="121" t="n"/>
      <s:c r="C10520" s="121" t="n"/>
      <s:c r="D10520" s="121" t="n"/>
      <s:c r="E10520" s="122" t="n"/>
    </s:row>
    <s:row r="10521" hidden="1" ht="1" customHeight="1">
      <s:c r="A10521" s="120" t="inlineStr"/>
      <s:c r="B10521" s="121" t="n"/>
      <s:c r="C10521" s="121" t="n"/>
      <s:c r="D10521" s="121" t="n"/>
      <s:c r="E10521" s="122" t="n"/>
    </s:row>
    <s:row r="10522" hidden="1" ht="1" customHeight="1">
      <s:c r="A10522" s="120" t="inlineStr"/>
      <s:c r="B10522" s="121" t="n"/>
      <s:c r="C10522" s="121" t="n"/>
      <s:c r="D10522" s="121" t="n"/>
      <s:c r="E10522" s="122" t="n"/>
    </s:row>
    <s:row r="10523" hidden="1" ht="1" customHeight="1">
      <s:c r="A10523" s="120" t="inlineStr"/>
      <s:c r="B10523" s="121" t="n"/>
      <s:c r="C10523" s="121" t="n"/>
      <s:c r="D10523" s="121" t="n"/>
      <s:c r="E10523" s="122" t="n"/>
    </s:row>
    <s:row r="10524" hidden="1" ht="1" customHeight="1">
      <s:c r="A10524" s="120" t="inlineStr"/>
      <s:c r="B10524" s="121" t="n"/>
      <s:c r="C10524" s="121" t="n"/>
      <s:c r="D10524" s="121" t="n"/>
      <s:c r="E10524" s="122" t="n"/>
    </s:row>
    <s:row r="10525" hidden="1" ht="1" customHeight="1">
      <s:c r="A10525" s="120" t="inlineStr"/>
      <s:c r="B10525" s="121" t="n"/>
      <s:c r="C10525" s="121" t="n"/>
      <s:c r="D10525" s="121" t="n"/>
      <s:c r="E10525" s="122" t="n"/>
    </s:row>
    <s:row r="10526" hidden="1" ht="1" customHeight="1">
      <s:c r="A10526" s="120" t="inlineStr"/>
      <s:c r="B10526" s="121" t="n"/>
      <s:c r="C10526" s="121" t="n"/>
      <s:c r="D10526" s="121" t="n"/>
      <s:c r="E10526" s="122" t="n"/>
    </s:row>
    <s:row r="10527" hidden="1" ht="1" customHeight="1">
      <s:c r="A10527" s="120" t="inlineStr"/>
      <s:c r="B10527" s="121" t="n"/>
      <s:c r="C10527" s="121" t="n"/>
      <s:c r="D10527" s="121" t="n"/>
      <s:c r="E10527" s="122" t="n"/>
    </s:row>
    <s:row r="10528" hidden="1" ht="1" customHeight="1">
      <s:c r="A10528" s="120" t="inlineStr"/>
      <s:c r="B10528" s="121" t="n"/>
      <s:c r="C10528" s="121" t="n"/>
      <s:c r="D10528" s="121" t="n"/>
      <s:c r="E10528" s="122" t="n"/>
    </s:row>
    <s:row r="10529" hidden="1" ht="1" customHeight="1">
      <s:c r="A10529" s="120" t="inlineStr"/>
      <s:c r="B10529" s="121" t="n"/>
      <s:c r="C10529" s="121" t="n"/>
      <s:c r="D10529" s="121" t="n"/>
      <s:c r="E10529" s="122" t="n"/>
    </s:row>
    <s:row r="10530" hidden="1" ht="1" customHeight="1">
      <s:c r="A10530" s="120" t="inlineStr"/>
      <s:c r="B10530" s="121" t="n"/>
      <s:c r="C10530" s="121" t="n"/>
      <s:c r="D10530" s="121" t="n"/>
      <s:c r="E10530" s="122" t="n"/>
    </s:row>
    <s:row r="10531" hidden="1" ht="1" customHeight="1">
      <s:c r="A10531" s="120" t="inlineStr"/>
      <s:c r="B10531" s="121" t="n"/>
      <s:c r="C10531" s="121" t="n"/>
      <s:c r="D10531" s="121" t="n"/>
      <s:c r="E10531" s="122" t="n"/>
    </s:row>
    <s:row r="10532" hidden="1" ht="1" customHeight="1">
      <s:c r="A10532" s="120" t="inlineStr"/>
      <s:c r="B10532" s="121" t="n"/>
      <s:c r="C10532" s="121" t="n"/>
      <s:c r="D10532" s="121" t="n"/>
      <s:c r="E10532" s="122" t="n"/>
    </s:row>
    <s:row r="10533" hidden="1" ht="1" customHeight="1">
      <s:c r="A10533" s="120" t="inlineStr"/>
      <s:c r="B10533" s="121" t="n"/>
      <s:c r="C10533" s="121" t="n"/>
      <s:c r="D10533" s="121" t="n"/>
      <s:c r="E10533" s="122" t="n"/>
    </s:row>
    <s:row r="10534" hidden="1" ht="1" customHeight="1">
      <s:c r="A10534" s="120" t="inlineStr"/>
      <s:c r="B10534" s="121" t="n"/>
      <s:c r="C10534" s="121" t="n"/>
      <s:c r="D10534" s="121" t="n"/>
      <s:c r="E10534" s="122" t="n"/>
    </s:row>
    <s:row r="10535" hidden="1" ht="1" customHeight="1">
      <s:c r="A10535" s="120" t="inlineStr"/>
      <s:c r="B10535" s="121" t="n"/>
      <s:c r="C10535" s="121" t="n"/>
      <s:c r="D10535" s="121" t="n"/>
      <s:c r="E10535" s="122" t="n"/>
    </s:row>
    <s:row r="10536" hidden="1" ht="1" customHeight="1">
      <s:c r="A10536" s="120" t="inlineStr"/>
      <s:c r="B10536" s="121" t="n"/>
      <s:c r="C10536" s="121" t="n"/>
      <s:c r="D10536" s="121" t="n"/>
      <s:c r="E10536" s="122" t="n"/>
    </s:row>
    <s:row r="10537" hidden="1" ht="1" customHeight="1">
      <s:c r="A10537" s="120" t="inlineStr"/>
      <s:c r="B10537" s="121" t="n"/>
      <s:c r="C10537" s="121" t="n"/>
      <s:c r="D10537" s="121" t="n"/>
      <s:c r="E10537" s="122" t="n"/>
    </s:row>
    <s:row r="10538" hidden="1" ht="1" customHeight="1">
      <s:c r="A10538" s="120" t="inlineStr"/>
      <s:c r="B10538" s="121" t="n"/>
      <s:c r="C10538" s="121" t="n"/>
      <s:c r="D10538" s="121" t="n"/>
      <s:c r="E10538" s="122" t="n"/>
    </s:row>
    <s:row r="10539" hidden="1" ht="1" customHeight="1">
      <s:c r="A10539" s="120" t="inlineStr"/>
      <s:c r="B10539" s="121" t="n"/>
      <s:c r="C10539" s="121" t="n"/>
      <s:c r="D10539" s="121" t="n"/>
      <s:c r="E10539" s="122" t="n"/>
    </s:row>
    <s:row r="10540" hidden="1" ht="1" customHeight="1">
      <s:c r="A10540" s="120" t="inlineStr"/>
      <s:c r="B10540" s="121" t="n"/>
      <s:c r="C10540" s="121" t="n"/>
      <s:c r="D10540" s="121" t="n"/>
      <s:c r="E10540" s="122" t="n"/>
    </s:row>
    <s:row r="10541" hidden="1" ht="1" customHeight="1">
      <s:c r="A10541" s="120" t="inlineStr"/>
      <s:c r="B10541" s="121" t="n"/>
      <s:c r="C10541" s="121" t="n"/>
      <s:c r="D10541" s="121" t="n"/>
      <s:c r="E10541" s="122" t="n"/>
    </s:row>
    <s:row r="10542" hidden="1" ht="1" customHeight="1">
      <s:c r="A10542" s="120" t="inlineStr"/>
      <s:c r="B10542" s="121" t="n"/>
      <s:c r="C10542" s="121" t="n"/>
      <s:c r="D10542" s="121" t="n"/>
      <s:c r="E10542" s="122" t="n"/>
    </s:row>
    <s:row r="10543" hidden="1" ht="1" customHeight="1">
      <s:c r="A10543" s="120" t="inlineStr"/>
      <s:c r="B10543" s="121" t="n"/>
      <s:c r="C10543" s="121" t="n"/>
      <s:c r="D10543" s="121" t="n"/>
      <s:c r="E10543" s="122" t="n"/>
    </s:row>
    <s:row r="10544" hidden="1" ht="1" customHeight="1">
      <s:c r="A10544" s="120" t="inlineStr"/>
      <s:c r="B10544" s="121" t="n"/>
      <s:c r="C10544" s="121" t="n"/>
      <s:c r="D10544" s="121" t="n"/>
      <s:c r="E10544" s="122" t="n"/>
    </s:row>
    <s:row r="10545" hidden="1" ht="1" customHeight="1">
      <s:c r="A10545" s="120" t="inlineStr"/>
      <s:c r="B10545" s="121" t="n"/>
      <s:c r="C10545" s="121" t="n"/>
      <s:c r="D10545" s="121" t="n"/>
      <s:c r="E10545" s="122" t="n"/>
    </s:row>
    <s:row r="10546" hidden="1" ht="1" customHeight="1">
      <s:c r="A10546" s="120" t="inlineStr"/>
      <s:c r="B10546" s="121" t="n"/>
      <s:c r="C10546" s="121" t="n"/>
      <s:c r="D10546" s="121" t="n"/>
      <s:c r="E10546" s="122" t="n"/>
    </s:row>
    <s:row r="10547" hidden="1" ht="1" customHeight="1">
      <s:c r="A10547" s="120" t="inlineStr"/>
      <s:c r="B10547" s="121" t="n"/>
      <s:c r="C10547" s="121" t="n"/>
      <s:c r="D10547" s="121" t="n"/>
      <s:c r="E10547" s="122" t="n"/>
    </s:row>
    <s:row r="10548" hidden="1" ht="1" customHeight="1">
      <s:c r="A10548" s="120" t="inlineStr"/>
      <s:c r="B10548" s="121" t="n"/>
      <s:c r="C10548" s="121" t="n"/>
      <s:c r="D10548" s="121" t="n"/>
      <s:c r="E10548" s="122" t="n"/>
    </s:row>
    <s:row r="10549" hidden="1" ht="1" customHeight="1">
      <s:c r="A10549" s="120" t="inlineStr"/>
      <s:c r="B10549" s="121" t="n"/>
      <s:c r="C10549" s="121" t="n"/>
      <s:c r="D10549" s="121" t="n"/>
      <s:c r="E10549" s="122" t="n"/>
    </s:row>
    <s:row r="10550" hidden="1" ht="1" customHeight="1">
      <s:c r="A10550" s="120" t="inlineStr"/>
      <s:c r="B10550" s="121" t="n"/>
      <s:c r="C10550" s="121" t="n"/>
      <s:c r="D10550" s="121" t="n"/>
      <s:c r="E10550" s="122" t="n"/>
    </s:row>
    <s:row r="10551" hidden="1" ht="1" customHeight="1">
      <s:c r="A10551" s="120" t="inlineStr"/>
      <s:c r="B10551" s="121" t="n"/>
      <s:c r="C10551" s="121" t="n"/>
      <s:c r="D10551" s="121" t="n"/>
      <s:c r="E10551" s="122" t="n"/>
    </s:row>
    <s:row r="10552" hidden="1" ht="1" customHeight="1">
      <s:c r="A10552" s="120" t="inlineStr"/>
      <s:c r="B10552" s="121" t="n"/>
      <s:c r="C10552" s="121" t="n"/>
      <s:c r="D10552" s="121" t="n"/>
      <s:c r="E10552" s="122" t="n"/>
    </s:row>
    <s:row r="10553" hidden="1" ht="1" customHeight="1">
      <s:c r="A10553" s="120" t="inlineStr"/>
      <s:c r="B10553" s="121" t="n"/>
      <s:c r="C10553" s="121" t="n"/>
      <s:c r="D10553" s="121" t="n"/>
      <s:c r="E10553" s="122" t="n"/>
    </s:row>
    <s:row r="10554" hidden="1" ht="1" customHeight="1">
      <s:c r="A10554" s="83" t="inlineStr">
        <s:is>
          <s:t>PASS</s:t>
        </s:is>
      </s:c>
      <s:c r="B10554" s="83">
        <s:f>SUM(IF(EXACT('Kiểm thử'!E10454,"Đạt"),1,0),IF(EXACT('Kiểm thử'!E10456,"Đạt"),1,0))</s:f>
        <s:v/>
      </s:c>
      <s:c r="C10554" s="19" t="n"/>
      <s:c r="D10554" s="19" t="n"/>
      <s:c r="E10554" s="19" t="n"/>
    </s:row>
    <s:row r="10555" hidden="1" ht="1" customHeight="1">
      <s:c r="A10555" s="83" t="inlineStr">
        <s:is>
          <s:t>FAIL</s:t>
        </s:is>
      </s:c>
      <s:c r="B10555" s="83">
        <s:f>SUM(IF(EXACT('Kiểm thử'!E10454,"Không đạt"),1,0),IF(EXACT('Kiểm thử'!E10456,"Không đạt"),1,0))</s:f>
        <s:v/>
      </s:c>
      <s:c r="C10555" s="19" t="n"/>
      <s:c r="D10555" s="19" t="n"/>
      <s:c r="E10555" s="19" t="n"/>
    </s:row>
    <s:row r="10556" hidden="1" ht="1" customHeight="1">
      <s:c r="A10556" s="83" t="inlineStr">
        <s:is>
          <s:t>BLOCKED</s:t>
        </s:is>
      </s:c>
      <s:c r="B10556" s="83">
        <s:f>SUM(IF(EXACT('Kiểm thử'!E10454,"Bị chặn"),1,0),IF(EXACT('Kiểm thử'!E10456,"Bị chặn"),1,0))</s:f>
        <s:v/>
      </s:c>
      <s:c r="C10556" s="19" t="n"/>
      <s:c r="D10556" s="19" t="n"/>
      <s:c r="E10556" s="19" t="n"/>
    </s:row>
    <s:row r="10557" hidden="1" ht="1" customHeight="1">
      <s:c r="A10557" s="83" t="inlineStr">
        <s:is>
          <s:t>SKIPPED</s:t>
        </s:is>
      </s:c>
      <s:c r="B10557" s="83">
        <s:f>SUM(IF(EXACT('Kiểm thử'!E10454,"Không thực hiện"),1,0),IF(EXACT('Kiểm thử'!E10456,"Không thực hiện"),1,0))</s:f>
        <s:v/>
      </s:c>
      <s:c r="C10557" s="19" t="n"/>
      <s:c r="D10557" s="19" t="n"/>
      <s:c r="E10557" s="19" t="n"/>
    </s:row>
    <s:row r="10558" hidden="1" ht="1" customHeight="1">
      <s:c r="A10558" s="83" t="inlineStr">
        <s:is>
          <s:t>NOT RUN</s:t>
        </s:is>
      </s:c>
      <s:c r="B10558" s="83">
        <s:f>SUM(IF(EXACT('Kiểm thử'!E10454,"Chưa thực hiện"),1,0),IF(EXACT('Kiểm thử'!E10456,"Chưa thực hiện"),1,0))</s:f>
        <s:v/>
      </s:c>
      <s:c r="C10558" s="19" t="n"/>
      <s:c r="D10558" s="19" t="n"/>
      <s:c r="E10558" s="19" t="n"/>
    </s:row>
    <s:row r="10559" hidden="1" ht="6" customHeight="1">
      <s:c r="A10559" s="83" t="inlineStr"/>
      <s:c r="B10559" s="19" t="n"/>
      <s:c r="C10559" s="19" t="n"/>
      <s:c r="D10559" s="19" t="n"/>
      <s:c r="E10559" s="19" t="n"/>
    </s:row>
    <s:row r="10560" ht="28" customHeight="1">
      <s:c r="A10560" s="108" t="inlineStr">
        <s:is>
          <s:t>TC-RS-UI-015 — Màn Công thức: thứ tự khối nguồn trung bình và dòng công thức</s:t>
        </s:is>
      </s:c>
      <s:c r="B10560" s="111" t="n"/>
      <s:c r="C10560" s="111" t="n"/>
      <s:c r="D10560" s="111" t="n"/>
      <s:c r="E10560" s="111" t="n"/>
    </s:row>
    <s:row r="10561" ht="20" customHeight="1">
      <s:c r="A10561" s="112" t="inlineStr">
        <s:is>
          <s:t>Kết quả tình huống</s:t>
        </s:is>
      </s:c>
      <s:c r="B10561" s="113">
        <s:f>IF(SUM(IF(EXACT('Kiểm thử'!E10568,"Không đạt"),1,0))&gt;0,"Không đạt",IF(SUM(IF(EXACT('Kiểm thử'!E10568,"Đạt"),1,0))=1,"Đạt",IF(SUM(IF(EXACT('Kiểm thử'!E10568,"Không thực hiện"),1,0))=1,"Không thực hiện",IF(SUM(IF(EXACT('Kiểm thử'!E10568,"Bị chặn"),1,0))&gt;0,"Bị chặn",IF(SUM(IF(EXACT('Kiểm thử'!E10568,"Chưa thực hiện"),1,0))=1,"Chưa thực hiện","Đang thực hiện")))))</s:f>
        <s:v/>
      </s:c>
      <s:c r="C10561" s="114" t="n"/>
      <s:c r="D10561" s="114" t="n"/>
      <s:c r="E10561" s="114" t="n"/>
    </s:row>
    <s:row r="10562" ht="20" customHeight="1">
      <s:c r="A10562" s="112" t="inlineStr">
        <s:is>
          <s:t>Màn hình / chức năng</s:t>
        </s:is>
      </s:c>
      <s:c r="B10562" s="113" t="inlineStr">
        <s:is>
          <s:r>
            <s:rPr>
              <s:b val="1"/>
            </s:rPr>
            <s:t>Thiết lập ngưỡng（基準設定）</s:t>
          </s:r>
        </s:is>
      </s:c>
      <s:c r="C10562" s="28" t="n"/>
      <s:c r="D10562" s="28" t="n"/>
      <s:c r="E10562" s="28" t="n"/>
    </s:row>
    <s:row r="10563" ht="20" customHeight="1">
      <s:c r="A10563" s="112" t="inlineStr">
        <s:is>
          <s:t>Cấu hình</s:t>
        </s:is>
      </s:c>
      <s:c r="B10563" s="113" t="inlineStr">
        <s:is>
          <s:r>
            <s:t xml:space="preserve">• Mở ngưỡng, </s:t>
          </s:r>
          <s:r>
            <s:rPr>
              <s:b val="1"/>
            </s:rPr>
            <s:t>chọn Công thức（計算式）</s:t>
          </s:r>
          <s:r>
            <s:t>.</s:t>
          </s:r>
        </s:is>
      </s:c>
      <s:c r="C10563" s="28" t="n"/>
      <s:c r="D10563" s="28" t="n"/>
      <s:c r="E10563" s="28" t="n"/>
    </s:row>
    <s:row r="10564" ht="20" customHeight="1">
      <s:c r="A10564" s="112" t="inlineStr">
        <s:is>
          <s:t>Dữ liệu test</s:t>
        </s:is>
      </s:c>
      <s:c r="B10564" s="113" t="inlineStr">
        <s:is>
          <s:t>• —</s:t>
        </s:is>
      </s:c>
      <s:c r="C10564" s="28" t="n"/>
      <s:c r="D10564" s="28" t="n"/>
      <s:c r="E10564" s="28" t="n"/>
    </s:row>
    <s:row r="10565" ht="20" customHeight="1">
      <s:c r="A10565" s="112" t="inlineStr">
        <s:is>
          <s:t>•</s:t>
        </s:is>
      </s:c>
      <s:c r="B10565" s="113" t="inlineStr">
        <s:is>
          <s:t>Ghi lại thứ tự các khối từ trên xuống.</s:t>
        </s:is>
      </s:c>
      <s:c r="C10565" s="28" t="n"/>
      <s:c r="D10565" s="28" t="n"/>
      <s:c r="E10565" s="28" t="n"/>
    </s:row>
    <s:row r="10566" ht="28" customHeight="1">
      <s:c r="A10566" s="115" t="inlineStr">
        <s:is>
          <s:t>Trường hợp</s:t>
        </s:is>
      </s:c>
      <s:c r="B10566" s="115" t="inlineStr">
        <s:is>
          <s:t>Dữ liệu / thao tác riêng</s:t>
        </s:is>
      </s:c>
      <s:c r="C10566" s="115" t="inlineStr">
        <s:is>
          <s:t>Kết quả mong đợi</s:t>
        </s:is>
      </s:c>
      <s:c r="D10566" s="115" t="inlineStr">
        <s:is>
          <s:t>Kết quả thực tế</s:t>
        </s:is>
      </s:c>
      <s:c r="E10566" s="115" t="inlineStr">
        <s:is>
          <s:t>Đánh giá</s:t>
        </s:is>
      </s:c>
    </s:row>
    <s:row r="10567" ht="3" customHeight="1">
      <s:c r="A10567" s="102" t="inlineStr"/>
      <s:c r="B10567" s="99" t="n"/>
      <s:c r="C10567" s="99" t="n"/>
      <s:c r="D10567" s="116" t="n"/>
      <s:c r="E10567" s="116" t="n"/>
    </s:row>
    <s:row r="10568" ht="132" customHeight="1">
      <s:c r="A10568" s="83" t="inlineStr">
        <s:is>
          <s:t>Trường hợp cơ bản (Base)</s:t>
        </s:is>
      </s:c>
      <s:c r="B10568" s="83" t="inlineStr">
        <s:is>
          <s:t>Toàn bộ tình huống: Thực hiện đủ các bước chung theo thứ tự; kiểm cả đối tượng đích và đối chứng cùng fixture, không bỏ bước.</s:t>
        </s:is>
      </s:c>
      <s:c r="C10568" s="83" t="inlineStr">
        <s:is>
          <s:r>
            <s:t xml:space="preserve">Khối nguồn chỉ hiện với Công thức, không hiện với cố định/tỷ lệ (đặc tả v2 mục 5.6 “Khi nào không cần nguồn?”).
Thứ tự khối theo Figma (PROPOSED): khối </s:t>
          </s:r>
          <s:r>
            <s:rPr>
              <s:b val="1"/>
            </s:rPr>
            <s:t>Trung bình tham chiếu（参照する平均点）</s:t>
          </s:r>
          <s:r>
            <s:t xml:space="preserve"> nằm trước bảng dòng công thức và </s:t>
          </s:r>
          <s:r>
            <s:rPr>
              <s:b val="1"/>
            </s:rPr>
            <s:t>trước Xét điểm đỏ（赤点の判定）</s:t>
          </s:r>
          <s:r>
            <s:t>. Đặc tả v2 không quy định thứ tự; lệch thì ghi Notes, không FAIL.</s:t>
          </s:r>
        </s:is>
      </s:c>
      <s:c r="D10568" s="117" t="inlineStr"/>
      <s:c r="E10568" s="118" t="inlineStr">
        <s:is>
          <s:t>Chưa thực hiện</s:t>
        </s:is>
      </s:c>
    </s:row>
    <s:row r="10569" ht="20" customHeight="1">
      <s:c r="A10569" s="119" t="inlineStr">
        <s:is>
          <s:t>Ảnh minh chứng — Chưa có ảnh</s:t>
        </s:is>
      </s:c>
      <s:c r="B10569" s="19" t="n"/>
      <s:c r="C10569" s="19" t="n"/>
      <s:c r="D10569" s="19" t="n"/>
      <s:c r="E10569" s="19" t="n"/>
    </s:row>
    <s:row r="10570" hidden="1" ht="1" customHeight="1">
      <s:c r="A10570" s="120" t="inlineStr"/>
      <s:c r="B10570" s="121" t="n"/>
      <s:c r="C10570" s="121" t="n"/>
      <s:c r="D10570" s="121" t="n"/>
      <s:c r="E10570" s="122" t="n"/>
    </s:row>
    <s:row r="10571" hidden="1" ht="1" customHeight="1">
      <s:c r="A10571" s="120" t="inlineStr"/>
      <s:c r="B10571" s="121" t="n"/>
      <s:c r="C10571" s="121" t="n"/>
      <s:c r="D10571" s="121" t="n"/>
      <s:c r="E10571" s="122" t="n"/>
    </s:row>
    <s:row r="10572" hidden="1" ht="1" customHeight="1">
      <s:c r="A10572" s="120" t="inlineStr"/>
      <s:c r="B10572" s="121" t="n"/>
      <s:c r="C10572" s="121" t="n"/>
      <s:c r="D10572" s="121" t="n"/>
      <s:c r="E10572" s="122" t="n"/>
    </s:row>
    <s:row r="10573" hidden="1" ht="1" customHeight="1">
      <s:c r="A10573" s="120" t="inlineStr"/>
      <s:c r="B10573" s="121" t="n"/>
      <s:c r="C10573" s="121" t="n"/>
      <s:c r="D10573" s="121" t="n"/>
      <s:c r="E10573" s="122" t="n"/>
    </s:row>
    <s:row r="10574" hidden="1" ht="1" customHeight="1">
      <s:c r="A10574" s="120" t="inlineStr"/>
      <s:c r="B10574" s="121" t="n"/>
      <s:c r="C10574" s="121" t="n"/>
      <s:c r="D10574" s="121" t="n"/>
      <s:c r="E10574" s="122" t="n"/>
    </s:row>
    <s:row r="10575" hidden="1" ht="1" customHeight="1">
      <s:c r="A10575" s="120" t="inlineStr"/>
      <s:c r="B10575" s="121" t="n"/>
      <s:c r="C10575" s="121" t="n"/>
      <s:c r="D10575" s="121" t="n"/>
      <s:c r="E10575" s="122" t="n"/>
    </s:row>
    <s:row r="10576" hidden="1" ht="1" customHeight="1">
      <s:c r="A10576" s="120" t="inlineStr"/>
      <s:c r="B10576" s="121" t="n"/>
      <s:c r="C10576" s="121" t="n"/>
      <s:c r="D10576" s="121" t="n"/>
      <s:c r="E10576" s="122" t="n"/>
    </s:row>
    <s:row r="10577" hidden="1" ht="1" customHeight="1">
      <s:c r="A10577" s="120" t="inlineStr"/>
      <s:c r="B10577" s="121" t="n"/>
      <s:c r="C10577" s="121" t="n"/>
      <s:c r="D10577" s="121" t="n"/>
      <s:c r="E10577" s="122" t="n"/>
    </s:row>
    <s:row r="10578" hidden="1" ht="1" customHeight="1">
      <s:c r="A10578" s="120" t="inlineStr"/>
      <s:c r="B10578" s="121" t="n"/>
      <s:c r="C10578" s="121" t="n"/>
      <s:c r="D10578" s="121" t="n"/>
      <s:c r="E10578" s="122" t="n"/>
    </s:row>
    <s:row r="10579" hidden="1" ht="1" customHeight="1">
      <s:c r="A10579" s="120" t="inlineStr"/>
      <s:c r="B10579" s="121" t="n"/>
      <s:c r="C10579" s="121" t="n"/>
      <s:c r="D10579" s="121" t="n"/>
      <s:c r="E10579" s="122" t="n"/>
    </s:row>
    <s:row r="10580" hidden="1" ht="1" customHeight="1">
      <s:c r="A10580" s="120" t="inlineStr"/>
      <s:c r="B10580" s="121" t="n"/>
      <s:c r="C10580" s="121" t="n"/>
      <s:c r="D10580" s="121" t="n"/>
      <s:c r="E10580" s="122" t="n"/>
    </s:row>
    <s:row r="10581" hidden="1" ht="1" customHeight="1">
      <s:c r="A10581" s="120" t="inlineStr"/>
      <s:c r="B10581" s="121" t="n"/>
      <s:c r="C10581" s="121" t="n"/>
      <s:c r="D10581" s="121" t="n"/>
      <s:c r="E10581" s="122" t="n"/>
    </s:row>
    <s:row r="10582" hidden="1" ht="1" customHeight="1">
      <s:c r="A10582" s="120" t="inlineStr"/>
      <s:c r="B10582" s="121" t="n"/>
      <s:c r="C10582" s="121" t="n"/>
      <s:c r="D10582" s="121" t="n"/>
      <s:c r="E10582" s="122" t="n"/>
    </s:row>
    <s:row r="10583" hidden="1" ht="1" customHeight="1">
      <s:c r="A10583" s="120" t="inlineStr"/>
      <s:c r="B10583" s="121" t="n"/>
      <s:c r="C10583" s="121" t="n"/>
      <s:c r="D10583" s="121" t="n"/>
      <s:c r="E10583" s="122" t="n"/>
    </s:row>
    <s:row r="10584" hidden="1" ht="1" customHeight="1">
      <s:c r="A10584" s="120" t="inlineStr"/>
      <s:c r="B10584" s="121" t="n"/>
      <s:c r="C10584" s="121" t="n"/>
      <s:c r="D10584" s="121" t="n"/>
      <s:c r="E10584" s="122" t="n"/>
    </s:row>
    <s:row r="10585" hidden="1" ht="1" customHeight="1">
      <s:c r="A10585" s="120" t="inlineStr"/>
      <s:c r="B10585" s="121" t="n"/>
      <s:c r="C10585" s="121" t="n"/>
      <s:c r="D10585" s="121" t="n"/>
      <s:c r="E10585" s="122" t="n"/>
    </s:row>
    <s:row r="10586" hidden="1" ht="1" customHeight="1">
      <s:c r="A10586" s="120" t="inlineStr"/>
      <s:c r="B10586" s="121" t="n"/>
      <s:c r="C10586" s="121" t="n"/>
      <s:c r="D10586" s="121" t="n"/>
      <s:c r="E10586" s="122" t="n"/>
    </s:row>
    <s:row r="10587" hidden="1" ht="1" customHeight="1">
      <s:c r="A10587" s="120" t="inlineStr"/>
      <s:c r="B10587" s="121" t="n"/>
      <s:c r="C10587" s="121" t="n"/>
      <s:c r="D10587" s="121" t="n"/>
      <s:c r="E10587" s="122" t="n"/>
    </s:row>
    <s:row r="10588" hidden="1" ht="1" customHeight="1">
      <s:c r="A10588" s="120" t="inlineStr"/>
      <s:c r="B10588" s="121" t="n"/>
      <s:c r="C10588" s="121" t="n"/>
      <s:c r="D10588" s="121" t="n"/>
      <s:c r="E10588" s="122" t="n"/>
    </s:row>
    <s:row r="10589" hidden="1" ht="1" customHeight="1">
      <s:c r="A10589" s="120" t="inlineStr"/>
      <s:c r="B10589" s="121" t="n"/>
      <s:c r="C10589" s="121" t="n"/>
      <s:c r="D10589" s="121" t="n"/>
      <s:c r="E10589" s="122" t="n"/>
    </s:row>
    <s:row r="10590" hidden="1" ht="1" customHeight="1">
      <s:c r="A10590" s="120" t="inlineStr"/>
      <s:c r="B10590" s="121" t="n"/>
      <s:c r="C10590" s="121" t="n"/>
      <s:c r="D10590" s="121" t="n"/>
      <s:c r="E10590" s="122" t="n"/>
    </s:row>
    <s:row r="10591" hidden="1" ht="1" customHeight="1">
      <s:c r="A10591" s="120" t="inlineStr"/>
      <s:c r="B10591" s="121" t="n"/>
      <s:c r="C10591" s="121" t="n"/>
      <s:c r="D10591" s="121" t="n"/>
      <s:c r="E10591" s="122" t="n"/>
    </s:row>
    <s:row r="10592" hidden="1" ht="1" customHeight="1">
      <s:c r="A10592" s="120" t="inlineStr"/>
      <s:c r="B10592" s="121" t="n"/>
      <s:c r="C10592" s="121" t="n"/>
      <s:c r="D10592" s="121" t="n"/>
      <s:c r="E10592" s="122" t="n"/>
    </s:row>
    <s:row r="10593" hidden="1" ht="1" customHeight="1">
      <s:c r="A10593" s="120" t="inlineStr"/>
      <s:c r="B10593" s="121" t="n"/>
      <s:c r="C10593" s="121" t="n"/>
      <s:c r="D10593" s="121" t="n"/>
      <s:c r="E10593" s="122" t="n"/>
    </s:row>
    <s:row r="10594" hidden="1" ht="1" customHeight="1">
      <s:c r="A10594" s="120" t="inlineStr"/>
      <s:c r="B10594" s="121" t="n"/>
      <s:c r="C10594" s="121" t="n"/>
      <s:c r="D10594" s="121" t="n"/>
      <s:c r="E10594" s="122" t="n"/>
    </s:row>
    <s:row r="10595" hidden="1" ht="1" customHeight="1">
      <s:c r="A10595" s="120" t="inlineStr"/>
      <s:c r="B10595" s="121" t="n"/>
      <s:c r="C10595" s="121" t="n"/>
      <s:c r="D10595" s="121" t="n"/>
      <s:c r="E10595" s="122" t="n"/>
    </s:row>
    <s:row r="10596" hidden="1" ht="1" customHeight="1">
      <s:c r="A10596" s="120" t="inlineStr"/>
      <s:c r="B10596" s="121" t="n"/>
      <s:c r="C10596" s="121" t="n"/>
      <s:c r="D10596" s="121" t="n"/>
      <s:c r="E10596" s="122" t="n"/>
    </s:row>
    <s:row r="10597" hidden="1" ht="1" customHeight="1">
      <s:c r="A10597" s="120" t="inlineStr"/>
      <s:c r="B10597" s="121" t="n"/>
      <s:c r="C10597" s="121" t="n"/>
      <s:c r="D10597" s="121" t="n"/>
      <s:c r="E10597" s="122" t="n"/>
    </s:row>
    <s:row r="10598" hidden="1" ht="1" customHeight="1">
      <s:c r="A10598" s="120" t="inlineStr"/>
      <s:c r="B10598" s="121" t="n"/>
      <s:c r="C10598" s="121" t="n"/>
      <s:c r="D10598" s="121" t="n"/>
      <s:c r="E10598" s="122" t="n"/>
    </s:row>
    <s:row r="10599" hidden="1" ht="1" customHeight="1">
      <s:c r="A10599" s="120" t="inlineStr"/>
      <s:c r="B10599" s="121" t="n"/>
      <s:c r="C10599" s="121" t="n"/>
      <s:c r="D10599" s="121" t="n"/>
      <s:c r="E10599" s="122" t="n"/>
    </s:row>
    <s:row r="10600" hidden="1" ht="1" customHeight="1">
      <s:c r="A10600" s="120" t="inlineStr"/>
      <s:c r="B10600" s="121" t="n"/>
      <s:c r="C10600" s="121" t="n"/>
      <s:c r="D10600" s="121" t="n"/>
      <s:c r="E10600" s="122" t="n"/>
    </s:row>
    <s:row r="10601" hidden="1" ht="1" customHeight="1">
      <s:c r="A10601" s="120" t="inlineStr"/>
      <s:c r="B10601" s="121" t="n"/>
      <s:c r="C10601" s="121" t="n"/>
      <s:c r="D10601" s="121" t="n"/>
      <s:c r="E10601" s="122" t="n"/>
    </s:row>
    <s:row r="10602" hidden="1" ht="1" customHeight="1">
      <s:c r="A10602" s="120" t="inlineStr"/>
      <s:c r="B10602" s="121" t="n"/>
      <s:c r="C10602" s="121" t="n"/>
      <s:c r="D10602" s="121" t="n"/>
      <s:c r="E10602" s="122" t="n"/>
    </s:row>
    <s:row r="10603" hidden="1" ht="1" customHeight="1">
      <s:c r="A10603" s="120" t="inlineStr"/>
      <s:c r="B10603" s="121" t="n"/>
      <s:c r="C10603" s="121" t="n"/>
      <s:c r="D10603" s="121" t="n"/>
      <s:c r="E10603" s="122" t="n"/>
    </s:row>
    <s:row r="10604" hidden="1" ht="1" customHeight="1">
      <s:c r="A10604" s="120" t="inlineStr"/>
      <s:c r="B10604" s="121" t="n"/>
      <s:c r="C10604" s="121" t="n"/>
      <s:c r="D10604" s="121" t="n"/>
      <s:c r="E10604" s="122" t="n"/>
    </s:row>
    <s:row r="10605" hidden="1" ht="1" customHeight="1">
      <s:c r="A10605" s="120" t="inlineStr"/>
      <s:c r="B10605" s="121" t="n"/>
      <s:c r="C10605" s="121" t="n"/>
      <s:c r="D10605" s="121" t="n"/>
      <s:c r="E10605" s="122" t="n"/>
    </s:row>
    <s:row r="10606" hidden="1" ht="1" customHeight="1">
      <s:c r="A10606" s="120" t="inlineStr"/>
      <s:c r="B10606" s="121" t="n"/>
      <s:c r="C10606" s="121" t="n"/>
      <s:c r="D10606" s="121" t="n"/>
      <s:c r="E10606" s="122" t="n"/>
    </s:row>
    <s:row r="10607" hidden="1" ht="1" customHeight="1">
      <s:c r="A10607" s="120" t="inlineStr"/>
      <s:c r="B10607" s="121" t="n"/>
      <s:c r="C10607" s="121" t="n"/>
      <s:c r="D10607" s="121" t="n"/>
      <s:c r="E10607" s="122" t="n"/>
    </s:row>
    <s:row r="10608" hidden="1" ht="1" customHeight="1">
      <s:c r="A10608" s="120" t="inlineStr"/>
      <s:c r="B10608" s="121" t="n"/>
      <s:c r="C10608" s="121" t="n"/>
      <s:c r="D10608" s="121" t="n"/>
      <s:c r="E10608" s="122" t="n"/>
    </s:row>
    <s:row r="10609" hidden="1" ht="1" customHeight="1">
      <s:c r="A10609" s="120" t="inlineStr"/>
      <s:c r="B10609" s="121" t="n"/>
      <s:c r="C10609" s="121" t="n"/>
      <s:c r="D10609" s="121" t="n"/>
      <s:c r="E10609" s="122" t="n"/>
    </s:row>
    <s:row r="10610" hidden="1" ht="1" customHeight="1">
      <s:c r="A10610" s="120" t="inlineStr"/>
      <s:c r="B10610" s="121" t="n"/>
      <s:c r="C10610" s="121" t="n"/>
      <s:c r="D10610" s="121" t="n"/>
      <s:c r="E10610" s="122" t="n"/>
    </s:row>
    <s:row r="10611" hidden="1" ht="1" customHeight="1">
      <s:c r="A10611" s="120" t="inlineStr"/>
      <s:c r="B10611" s="121" t="n"/>
      <s:c r="C10611" s="121" t="n"/>
      <s:c r="D10611" s="121" t="n"/>
      <s:c r="E10611" s="122" t="n"/>
    </s:row>
    <s:row r="10612" hidden="1" ht="1" customHeight="1">
      <s:c r="A10612" s="120" t="inlineStr"/>
      <s:c r="B10612" s="121" t="n"/>
      <s:c r="C10612" s="121" t="n"/>
      <s:c r="D10612" s="121" t="n"/>
      <s:c r="E10612" s="122" t="n"/>
    </s:row>
    <s:row r="10613" hidden="1" ht="1" customHeight="1">
      <s:c r="A10613" s="120" t="inlineStr"/>
      <s:c r="B10613" s="121" t="n"/>
      <s:c r="C10613" s="121" t="n"/>
      <s:c r="D10613" s="121" t="n"/>
      <s:c r="E10613" s="122" t="n"/>
    </s:row>
    <s:row r="10614" hidden="1" ht="1" customHeight="1">
      <s:c r="A10614" s="120" t="inlineStr"/>
      <s:c r="B10614" s="121" t="n"/>
      <s:c r="C10614" s="121" t="n"/>
      <s:c r="D10614" s="121" t="n"/>
      <s:c r="E10614" s="122" t="n"/>
    </s:row>
    <s:row r="10615" hidden="1" ht="1" customHeight="1">
      <s:c r="A10615" s="120" t="inlineStr"/>
      <s:c r="B10615" s="121" t="n"/>
      <s:c r="C10615" s="121" t="n"/>
      <s:c r="D10615" s="121" t="n"/>
      <s:c r="E10615" s="122" t="n"/>
    </s:row>
    <s:row r="10616" hidden="1" ht="1" customHeight="1">
      <s:c r="A10616" s="120" t="inlineStr"/>
      <s:c r="B10616" s="121" t="n"/>
      <s:c r="C10616" s="121" t="n"/>
      <s:c r="D10616" s="121" t="n"/>
      <s:c r="E10616" s="122" t="n"/>
    </s:row>
    <s:row r="10617" hidden="1" ht="1" customHeight="1">
      <s:c r="A10617" s="120" t="inlineStr"/>
      <s:c r="B10617" s="121" t="n"/>
      <s:c r="C10617" s="121" t="n"/>
      <s:c r="D10617" s="121" t="n"/>
      <s:c r="E10617" s="122" t="n"/>
    </s:row>
    <s:row r="10618" hidden="1" ht="1" customHeight="1">
      <s:c r="A10618" s="83" t="inlineStr">
        <s:is>
          <s:t>PASS</s:t>
        </s:is>
      </s:c>
      <s:c r="B10618" s="83">
        <s:f>SUM(IF(EXACT('Kiểm thử'!E10568,"Đạt"),1,0))</s:f>
        <s:v/>
      </s:c>
      <s:c r="C10618" s="19" t="n"/>
      <s:c r="D10618" s="19" t="n"/>
      <s:c r="E10618" s="19" t="n"/>
    </s:row>
    <s:row r="10619" hidden="1" ht="1" customHeight="1">
      <s:c r="A10619" s="83" t="inlineStr">
        <s:is>
          <s:t>FAIL</s:t>
        </s:is>
      </s:c>
      <s:c r="B10619" s="83">
        <s:f>SUM(IF(EXACT('Kiểm thử'!E10568,"Không đạt"),1,0))</s:f>
        <s:v/>
      </s:c>
      <s:c r="C10619" s="19" t="n"/>
      <s:c r="D10619" s="19" t="n"/>
      <s:c r="E10619" s="19" t="n"/>
    </s:row>
    <s:row r="10620" hidden="1" ht="1" customHeight="1">
      <s:c r="A10620" s="83" t="inlineStr">
        <s:is>
          <s:t>BLOCKED</s:t>
        </s:is>
      </s:c>
      <s:c r="B10620" s="83">
        <s:f>SUM(IF(EXACT('Kiểm thử'!E10568,"Bị chặn"),1,0))</s:f>
        <s:v/>
      </s:c>
      <s:c r="C10620" s="19" t="n"/>
      <s:c r="D10620" s="19" t="n"/>
      <s:c r="E10620" s="19" t="n"/>
    </s:row>
    <s:row r="10621" hidden="1" ht="1" customHeight="1">
      <s:c r="A10621" s="83" t="inlineStr">
        <s:is>
          <s:t>SKIPPED</s:t>
        </s:is>
      </s:c>
      <s:c r="B10621" s="83">
        <s:f>SUM(IF(EXACT('Kiểm thử'!E10568,"Không thực hiện"),1,0))</s:f>
        <s:v/>
      </s:c>
      <s:c r="C10621" s="19" t="n"/>
      <s:c r="D10621" s="19" t="n"/>
      <s:c r="E10621" s="19" t="n"/>
    </s:row>
    <s:row r="10622" hidden="1" ht="1" customHeight="1">
      <s:c r="A10622" s="83" t="inlineStr">
        <s:is>
          <s:t>NOT RUN</s:t>
        </s:is>
      </s:c>
      <s:c r="B10622" s="83">
        <s:f>SUM(IF(EXACT('Kiểm thử'!E10568,"Chưa thực hiện"),1,0))</s:f>
        <s:v/>
      </s:c>
      <s:c r="C10622" s="19" t="n"/>
      <s:c r="D10622" s="19" t="n"/>
      <s:c r="E10622" s="19" t="n"/>
    </s:row>
    <s:row r="10623" hidden="1" ht="6" customHeight="1">
      <s:c r="A10623" s="83" t="inlineStr"/>
      <s:c r="B10623" s="19" t="n"/>
      <s:c r="C10623" s="19" t="n"/>
      <s:c r="D10623" s="19" t="n"/>
      <s:c r="E10623" s="19" t="n"/>
    </s:row>
    <s:row r="10624" ht="28" customHeight="1">
      <s:c r="A10624" s="108" t="inlineStr">
        <s:is>
          <s:t>TC-RS-UI-016 — Bảng dòng công thức</s:t>
        </s:is>
      </s:c>
      <s:c r="B10624" s="111" t="n"/>
      <s:c r="C10624" s="111" t="n"/>
      <s:c r="D10624" s="111" t="n"/>
      <s:c r="E10624" s="111" t="n"/>
    </s:row>
    <s:row r="10625" ht="20" customHeight="1">
      <s:c r="A10625" s="112" t="inlineStr">
        <s:is>
          <s:t>Kết quả tình huống</s:t>
        </s:is>
      </s:c>
      <s:c r="B10625" s="113">
        <s:f>IF(SUM(IF(EXACT('Kiểm thử'!E10633,"Không đạt"),1,0))&gt;0,"Không đạt",IF(SUM(IF(EXACT('Kiểm thử'!E10633,"Đạt"),1,0))=1,"Đạt",IF(SUM(IF(EXACT('Kiểm thử'!E10633,"Không thực hiện"),1,0))=1,"Không thực hiện",IF(SUM(IF(EXACT('Kiểm thử'!E10633,"Bị chặn"),1,0))&gt;0,"Bị chặn",IF(SUM(IF(EXACT('Kiểm thử'!E10633,"Chưa thực hiện"),1,0))=1,"Chưa thực hiện","Đang thực hiện")))))</s:f>
        <s:v/>
      </s:c>
      <s:c r="C10625" s="114" t="n"/>
      <s:c r="D10625" s="114" t="n"/>
      <s:c r="E10625" s="114" t="n"/>
    </s:row>
    <s:row r="10626" ht="20" customHeight="1">
      <s:c r="A10626" s="112" t="inlineStr">
        <s:is>
          <s:t>Màn hình / chức năng</s:t>
        </s:is>
      </s:c>
      <s:c r="B10626" s="113" t="inlineStr">
        <s:is>
          <s:r>
            <s:rPr>
              <s:b val="1"/>
            </s:rPr>
            <s:t>Thiết lập ngưỡng（基準設定）</s:t>
          </s:r>
        </s:is>
      </s:c>
      <s:c r="C10626" s="28" t="n"/>
      <s:c r="D10626" s="28" t="n"/>
      <s:c r="E10626" s="28" t="n"/>
    </s:row>
    <s:row r="10627" ht="20" customHeight="1">
      <s:c r="A10627" s="112" t="inlineStr">
        <s:is>
          <s:t>Cấu hình</s:t>
        </s:is>
      </s:c>
      <s:c r="B10627" s="113" t="inlineStr">
        <s:is>
          <s:t>• Công thức.</s:t>
        </s:is>
      </s:c>
      <s:c r="C10627" s="28" t="n"/>
      <s:c r="D10627" s="28" t="n"/>
      <s:c r="E10627" s="28" t="n"/>
    </s:row>
    <s:row r="10628" ht="20" customHeight="1">
      <s:c r="A10628" s="112" t="inlineStr">
        <s:is>
          <s:t>Dữ liệu test</s:t>
        </s:is>
      </s:c>
      <s:c r="B10628" s="113" t="inlineStr">
        <s:is>
          <s:t>• Quy tắc công thức hai dòng (trung bình ÷ 2 × 0.8)</s:t>
        </s:is>
      </s:c>
      <s:c r="C10628" s="28" t="n"/>
      <s:c r="D10628" s="28" t="n"/>
      <s:c r="E10628" s="28" t="n"/>
    </s:row>
    <s:row r="10629" ht="20" customHeight="1">
      <s:c r="A10629" s="112" t="inlineStr">
        <s:is>
          <s:t>Bước 1</s:t>
        </s:is>
      </s:c>
      <s:c r="B10629" s="113" t="inlineStr">
        <s:is>
          <s:t>Nhập quy tắc công thức hai dòng (trung bình ÷ 2 × 0.8).</s:t>
        </s:is>
      </s:c>
      <s:c r="C10629" s="28" t="n"/>
      <s:c r="D10629" s="28" t="n"/>
      <s:c r="E10629" s="28" t="n"/>
    </s:row>
    <s:row r="10630" ht="20" customHeight="1">
      <s:c r="A10630" s="112" t="inlineStr">
        <s:is>
          <s:t>Bước 2</s:t>
        </s:is>
      </s:c>
      <s:c r="B10630" s="113" t="inlineStr">
        <s:is>
          <s:t>Thêm/xóa dòng.</s:t>
        </s:is>
      </s:c>
      <s:c r="C10630" s="28" t="n"/>
      <s:c r="D10630" s="28" t="n"/>
      <s:c r="E10630" s="28" t="n"/>
    </s:row>
    <s:row r="10631" ht="28" customHeight="1">
      <s:c r="A10631" s="115" t="inlineStr">
        <s:is>
          <s:t>Trường hợp</s:t>
        </s:is>
      </s:c>
      <s:c r="B10631" s="115" t="inlineStr">
        <s:is>
          <s:t>Dữ liệu / thao tác riêng</s:t>
        </s:is>
      </s:c>
      <s:c r="C10631" s="115" t="inlineStr">
        <s:is>
          <s:t>Kết quả mong đợi</s:t>
        </s:is>
      </s:c>
      <s:c r="D10631" s="115" t="inlineStr">
        <s:is>
          <s:t>Kết quả thực tế</s:t>
        </s:is>
      </s:c>
      <s:c r="E10631" s="115" t="inlineStr">
        <s:is>
          <s:t>Đánh giá</s:t>
        </s:is>
      </s:c>
    </s:row>
    <s:row r="10632" ht="3" customHeight="1">
      <s:c r="A10632" s="102" t="inlineStr"/>
      <s:c r="B10632" s="99" t="n"/>
      <s:c r="C10632" s="99" t="n"/>
      <s:c r="D10632" s="116" t="n"/>
      <s:c r="E10632" s="116" t="n"/>
    </s:row>
    <s:row r="10633" ht="62" customHeight="1">
      <s:c r="A10633" s="83" t="inlineStr">
        <s:is>
          <s:t>Trường hợp cơ bản (Base)</s:t>
        </s:is>
      </s:c>
      <s:c r="B10633" s="83" t="inlineStr">
        <s:is>
          <s:t>Toàn bộ tình huống: Thực hiện đủ các bước chung theo thứ tự; kiểm cả đối tượng đích và đối chứng cùng fixture, không bỏ bước.</s:t>
        </s:is>
      </s:c>
      <s:c r="C10633" s="83" t="inlineStr">
        <s:is>
          <s:r>
            <s:t xml:space="preserve">Có đủ cột; chọn </s:t>
          </s:r>
          <s:r>
            <s:rPr>
              <s:b val="1"/>
            </s:rPr>
            <s:t>Kết quả phép tính（式の結果）</s:t>
          </s:r>
          <s:r>
            <s:t xml:space="preserve"> thì hiện ô chọn dòng; mỗi dòng có Xử lý phần lẻ riêng; thêm/xóa dòng được; có câu dòng cuối là ngưỡng.</s:t>
          </s:r>
        </s:is>
      </s:c>
      <s:c r="D10633" s="117" t="inlineStr"/>
      <s:c r="E10633" s="118" t="inlineStr">
        <s:is>
          <s:t>Chưa thực hiện</s:t>
        </s:is>
      </s:c>
    </s:row>
    <s:row r="10634" ht="20" customHeight="1">
      <s:c r="A10634" s="119" t="inlineStr">
        <s:is>
          <s:t>Ảnh minh chứng — Chưa có ảnh</s:t>
        </s:is>
      </s:c>
      <s:c r="B10634" s="19" t="n"/>
      <s:c r="C10634" s="19" t="n"/>
      <s:c r="D10634" s="19" t="n"/>
      <s:c r="E10634" s="19" t="n"/>
    </s:row>
    <s:row r="10635" hidden="1" ht="1" customHeight="1">
      <s:c r="A10635" s="120" t="inlineStr"/>
      <s:c r="B10635" s="121" t="n"/>
      <s:c r="C10635" s="121" t="n"/>
      <s:c r="D10635" s="121" t="n"/>
      <s:c r="E10635" s="122" t="n"/>
    </s:row>
    <s:row r="10636" hidden="1" ht="1" customHeight="1">
      <s:c r="A10636" s="120" t="inlineStr"/>
      <s:c r="B10636" s="121" t="n"/>
      <s:c r="C10636" s="121" t="n"/>
      <s:c r="D10636" s="121" t="n"/>
      <s:c r="E10636" s="122" t="n"/>
    </s:row>
    <s:row r="10637" hidden="1" ht="1" customHeight="1">
      <s:c r="A10637" s="120" t="inlineStr"/>
      <s:c r="B10637" s="121" t="n"/>
      <s:c r="C10637" s="121" t="n"/>
      <s:c r="D10637" s="121" t="n"/>
      <s:c r="E10637" s="122" t="n"/>
    </s:row>
    <s:row r="10638" hidden="1" ht="1" customHeight="1">
      <s:c r="A10638" s="120" t="inlineStr"/>
      <s:c r="B10638" s="121" t="n"/>
      <s:c r="C10638" s="121" t="n"/>
      <s:c r="D10638" s="121" t="n"/>
      <s:c r="E10638" s="122" t="n"/>
    </s:row>
    <s:row r="10639" hidden="1" ht="1" customHeight="1">
      <s:c r="A10639" s="120" t="inlineStr"/>
      <s:c r="B10639" s="121" t="n"/>
      <s:c r="C10639" s="121" t="n"/>
      <s:c r="D10639" s="121" t="n"/>
      <s:c r="E10639" s="122" t="n"/>
    </s:row>
    <s:row r="10640" hidden="1" ht="1" customHeight="1">
      <s:c r="A10640" s="120" t="inlineStr"/>
      <s:c r="B10640" s="121" t="n"/>
      <s:c r="C10640" s="121" t="n"/>
      <s:c r="D10640" s="121" t="n"/>
      <s:c r="E10640" s="122" t="n"/>
    </s:row>
    <s:row r="10641" hidden="1" ht="1" customHeight="1">
      <s:c r="A10641" s="120" t="inlineStr"/>
      <s:c r="B10641" s="121" t="n"/>
      <s:c r="C10641" s="121" t="n"/>
      <s:c r="D10641" s="121" t="n"/>
      <s:c r="E10641" s="122" t="n"/>
    </s:row>
    <s:row r="10642" hidden="1" ht="1" customHeight="1">
      <s:c r="A10642" s="120" t="inlineStr"/>
      <s:c r="B10642" s="121" t="n"/>
      <s:c r="C10642" s="121" t="n"/>
      <s:c r="D10642" s="121" t="n"/>
      <s:c r="E10642" s="122" t="n"/>
    </s:row>
    <s:row r="10643" hidden="1" ht="1" customHeight="1">
      <s:c r="A10643" s="120" t="inlineStr"/>
      <s:c r="B10643" s="121" t="n"/>
      <s:c r="C10643" s="121" t="n"/>
      <s:c r="D10643" s="121" t="n"/>
      <s:c r="E10643" s="122" t="n"/>
    </s:row>
    <s:row r="10644" hidden="1" ht="1" customHeight="1">
      <s:c r="A10644" s="120" t="inlineStr"/>
      <s:c r="B10644" s="121" t="n"/>
      <s:c r="C10644" s="121" t="n"/>
      <s:c r="D10644" s="121" t="n"/>
      <s:c r="E10644" s="122" t="n"/>
    </s:row>
    <s:row r="10645" hidden="1" ht="1" customHeight="1">
      <s:c r="A10645" s="120" t="inlineStr"/>
      <s:c r="B10645" s="121" t="n"/>
      <s:c r="C10645" s="121" t="n"/>
      <s:c r="D10645" s="121" t="n"/>
      <s:c r="E10645" s="122" t="n"/>
    </s:row>
    <s:row r="10646" hidden="1" ht="1" customHeight="1">
      <s:c r="A10646" s="120" t="inlineStr"/>
      <s:c r="B10646" s="121" t="n"/>
      <s:c r="C10646" s="121" t="n"/>
      <s:c r="D10646" s="121" t="n"/>
      <s:c r="E10646" s="122" t="n"/>
    </s:row>
    <s:row r="10647" hidden="1" ht="1" customHeight="1">
      <s:c r="A10647" s="120" t="inlineStr"/>
      <s:c r="B10647" s="121" t="n"/>
      <s:c r="C10647" s="121" t="n"/>
      <s:c r="D10647" s="121" t="n"/>
      <s:c r="E10647" s="122" t="n"/>
    </s:row>
    <s:row r="10648" hidden="1" ht="1" customHeight="1">
      <s:c r="A10648" s="120" t="inlineStr"/>
      <s:c r="B10648" s="121" t="n"/>
      <s:c r="C10648" s="121" t="n"/>
      <s:c r="D10648" s="121" t="n"/>
      <s:c r="E10648" s="122" t="n"/>
    </s:row>
    <s:row r="10649" hidden="1" ht="1" customHeight="1">
      <s:c r="A10649" s="120" t="inlineStr"/>
      <s:c r="B10649" s="121" t="n"/>
      <s:c r="C10649" s="121" t="n"/>
      <s:c r="D10649" s="121" t="n"/>
      <s:c r="E10649" s="122" t="n"/>
    </s:row>
    <s:row r="10650" hidden="1" ht="1" customHeight="1">
      <s:c r="A10650" s="120" t="inlineStr"/>
      <s:c r="B10650" s="121" t="n"/>
      <s:c r="C10650" s="121" t="n"/>
      <s:c r="D10650" s="121" t="n"/>
      <s:c r="E10650" s="122" t="n"/>
    </s:row>
    <s:row r="10651" hidden="1" ht="1" customHeight="1">
      <s:c r="A10651" s="120" t="inlineStr"/>
      <s:c r="B10651" s="121" t="n"/>
      <s:c r="C10651" s="121" t="n"/>
      <s:c r="D10651" s="121" t="n"/>
      <s:c r="E10651" s="122" t="n"/>
    </s:row>
    <s:row r="10652" hidden="1" ht="1" customHeight="1">
      <s:c r="A10652" s="120" t="inlineStr"/>
      <s:c r="B10652" s="121" t="n"/>
      <s:c r="C10652" s="121" t="n"/>
      <s:c r="D10652" s="121" t="n"/>
      <s:c r="E10652" s="122" t="n"/>
    </s:row>
    <s:row r="10653" hidden="1" ht="1" customHeight="1">
      <s:c r="A10653" s="120" t="inlineStr"/>
      <s:c r="B10653" s="121" t="n"/>
      <s:c r="C10653" s="121" t="n"/>
      <s:c r="D10653" s="121" t="n"/>
      <s:c r="E10653" s="122" t="n"/>
    </s:row>
    <s:row r="10654" hidden="1" ht="1" customHeight="1">
      <s:c r="A10654" s="120" t="inlineStr"/>
      <s:c r="B10654" s="121" t="n"/>
      <s:c r="C10654" s="121" t="n"/>
      <s:c r="D10654" s="121" t="n"/>
      <s:c r="E10654" s="122" t="n"/>
    </s:row>
    <s:row r="10655" hidden="1" ht="1" customHeight="1">
      <s:c r="A10655" s="120" t="inlineStr"/>
      <s:c r="B10655" s="121" t="n"/>
      <s:c r="C10655" s="121" t="n"/>
      <s:c r="D10655" s="121" t="n"/>
      <s:c r="E10655" s="122" t="n"/>
    </s:row>
    <s:row r="10656" hidden="1" ht="1" customHeight="1">
      <s:c r="A10656" s="120" t="inlineStr"/>
      <s:c r="B10656" s="121" t="n"/>
      <s:c r="C10656" s="121" t="n"/>
      <s:c r="D10656" s="121" t="n"/>
      <s:c r="E10656" s="122" t="n"/>
    </s:row>
    <s:row r="10657" hidden="1" ht="1" customHeight="1">
      <s:c r="A10657" s="120" t="inlineStr"/>
      <s:c r="B10657" s="121" t="n"/>
      <s:c r="C10657" s="121" t="n"/>
      <s:c r="D10657" s="121" t="n"/>
      <s:c r="E10657" s="122" t="n"/>
    </s:row>
    <s:row r="10658" hidden="1" ht="1" customHeight="1">
      <s:c r="A10658" s="120" t="inlineStr"/>
      <s:c r="B10658" s="121" t="n"/>
      <s:c r="C10658" s="121" t="n"/>
      <s:c r="D10658" s="121" t="n"/>
      <s:c r="E10658" s="122" t="n"/>
    </s:row>
    <s:row r="10659" hidden="1" ht="1" customHeight="1">
      <s:c r="A10659" s="120" t="inlineStr"/>
      <s:c r="B10659" s="121" t="n"/>
      <s:c r="C10659" s="121" t="n"/>
      <s:c r="D10659" s="121" t="n"/>
      <s:c r="E10659" s="122" t="n"/>
    </s:row>
    <s:row r="10660" hidden="1" ht="1" customHeight="1">
      <s:c r="A10660" s="120" t="inlineStr"/>
      <s:c r="B10660" s="121" t="n"/>
      <s:c r="C10660" s="121" t="n"/>
      <s:c r="D10660" s="121" t="n"/>
      <s:c r="E10660" s="122" t="n"/>
    </s:row>
    <s:row r="10661" hidden="1" ht="1" customHeight="1">
      <s:c r="A10661" s="120" t="inlineStr"/>
      <s:c r="B10661" s="121" t="n"/>
      <s:c r="C10661" s="121" t="n"/>
      <s:c r="D10661" s="121" t="n"/>
      <s:c r="E10661" s="122" t="n"/>
    </s:row>
    <s:row r="10662" hidden="1" ht="1" customHeight="1">
      <s:c r="A10662" s="120" t="inlineStr"/>
      <s:c r="B10662" s="121" t="n"/>
      <s:c r="C10662" s="121" t="n"/>
      <s:c r="D10662" s="121" t="n"/>
      <s:c r="E10662" s="122" t="n"/>
    </s:row>
    <s:row r="10663" hidden="1" ht="1" customHeight="1">
      <s:c r="A10663" s="120" t="inlineStr"/>
      <s:c r="B10663" s="121" t="n"/>
      <s:c r="C10663" s="121" t="n"/>
      <s:c r="D10663" s="121" t="n"/>
      <s:c r="E10663" s="122" t="n"/>
    </s:row>
    <s:row r="10664" hidden="1" ht="1" customHeight="1">
      <s:c r="A10664" s="120" t="inlineStr"/>
      <s:c r="B10664" s="121" t="n"/>
      <s:c r="C10664" s="121" t="n"/>
      <s:c r="D10664" s="121" t="n"/>
      <s:c r="E10664" s="122" t="n"/>
    </s:row>
    <s:row r="10665" hidden="1" ht="1" customHeight="1">
      <s:c r="A10665" s="120" t="inlineStr"/>
      <s:c r="B10665" s="121" t="n"/>
      <s:c r="C10665" s="121" t="n"/>
      <s:c r="D10665" s="121" t="n"/>
      <s:c r="E10665" s="122" t="n"/>
    </s:row>
    <s:row r="10666" hidden="1" ht="1" customHeight="1">
      <s:c r="A10666" s="120" t="inlineStr"/>
      <s:c r="B10666" s="121" t="n"/>
      <s:c r="C10666" s="121" t="n"/>
      <s:c r="D10666" s="121" t="n"/>
      <s:c r="E10666" s="122" t="n"/>
    </s:row>
    <s:row r="10667" hidden="1" ht="1" customHeight="1">
      <s:c r="A10667" s="120" t="inlineStr"/>
      <s:c r="B10667" s="121" t="n"/>
      <s:c r="C10667" s="121" t="n"/>
      <s:c r="D10667" s="121" t="n"/>
      <s:c r="E10667" s="122" t="n"/>
    </s:row>
    <s:row r="10668" hidden="1" ht="1" customHeight="1">
      <s:c r="A10668" s="120" t="inlineStr"/>
      <s:c r="B10668" s="121" t="n"/>
      <s:c r="C10668" s="121" t="n"/>
      <s:c r="D10668" s="121" t="n"/>
      <s:c r="E10668" s="122" t="n"/>
    </s:row>
    <s:row r="10669" hidden="1" ht="1" customHeight="1">
      <s:c r="A10669" s="120" t="inlineStr"/>
      <s:c r="B10669" s="121" t="n"/>
      <s:c r="C10669" s="121" t="n"/>
      <s:c r="D10669" s="121" t="n"/>
      <s:c r="E10669" s="122" t="n"/>
    </s:row>
    <s:row r="10670" hidden="1" ht="1" customHeight="1">
      <s:c r="A10670" s="120" t="inlineStr"/>
      <s:c r="B10670" s="121" t="n"/>
      <s:c r="C10670" s="121" t="n"/>
      <s:c r="D10670" s="121" t="n"/>
      <s:c r="E10670" s="122" t="n"/>
    </s:row>
    <s:row r="10671" hidden="1" ht="1" customHeight="1">
      <s:c r="A10671" s="120" t="inlineStr"/>
      <s:c r="B10671" s="121" t="n"/>
      <s:c r="C10671" s="121" t="n"/>
      <s:c r="D10671" s="121" t="n"/>
      <s:c r="E10671" s="122" t="n"/>
    </s:row>
    <s:row r="10672" hidden="1" ht="1" customHeight="1">
      <s:c r="A10672" s="120" t="inlineStr"/>
      <s:c r="B10672" s="121" t="n"/>
      <s:c r="C10672" s="121" t="n"/>
      <s:c r="D10672" s="121" t="n"/>
      <s:c r="E10672" s="122" t="n"/>
    </s:row>
    <s:row r="10673" hidden="1" ht="1" customHeight="1">
      <s:c r="A10673" s="120" t="inlineStr"/>
      <s:c r="B10673" s="121" t="n"/>
      <s:c r="C10673" s="121" t="n"/>
      <s:c r="D10673" s="121" t="n"/>
      <s:c r="E10673" s="122" t="n"/>
    </s:row>
    <s:row r="10674" hidden="1" ht="1" customHeight="1">
      <s:c r="A10674" s="120" t="inlineStr"/>
      <s:c r="B10674" s="121" t="n"/>
      <s:c r="C10674" s="121" t="n"/>
      <s:c r="D10674" s="121" t="n"/>
      <s:c r="E10674" s="122" t="n"/>
    </s:row>
    <s:row r="10675" hidden="1" ht="1" customHeight="1">
      <s:c r="A10675" s="120" t="inlineStr"/>
      <s:c r="B10675" s="121" t="n"/>
      <s:c r="C10675" s="121" t="n"/>
      <s:c r="D10675" s="121" t="n"/>
      <s:c r="E10675" s="122" t="n"/>
    </s:row>
    <s:row r="10676" hidden="1" ht="1" customHeight="1">
      <s:c r="A10676" s="120" t="inlineStr"/>
      <s:c r="B10676" s="121" t="n"/>
      <s:c r="C10676" s="121" t="n"/>
      <s:c r="D10676" s="121" t="n"/>
      <s:c r="E10676" s="122" t="n"/>
    </s:row>
    <s:row r="10677" hidden="1" ht="1" customHeight="1">
      <s:c r="A10677" s="120" t="inlineStr"/>
      <s:c r="B10677" s="121" t="n"/>
      <s:c r="C10677" s="121" t="n"/>
      <s:c r="D10677" s="121" t="n"/>
      <s:c r="E10677" s="122" t="n"/>
    </s:row>
    <s:row r="10678" hidden="1" ht="1" customHeight="1">
      <s:c r="A10678" s="120" t="inlineStr"/>
      <s:c r="B10678" s="121" t="n"/>
      <s:c r="C10678" s="121" t="n"/>
      <s:c r="D10678" s="121" t="n"/>
      <s:c r="E10678" s="122" t="n"/>
    </s:row>
    <s:row r="10679" hidden="1" ht="1" customHeight="1">
      <s:c r="A10679" s="120" t="inlineStr"/>
      <s:c r="B10679" s="121" t="n"/>
      <s:c r="C10679" s="121" t="n"/>
      <s:c r="D10679" s="121" t="n"/>
      <s:c r="E10679" s="122" t="n"/>
    </s:row>
    <s:row r="10680" hidden="1" ht="1" customHeight="1">
      <s:c r="A10680" s="120" t="inlineStr"/>
      <s:c r="B10680" s="121" t="n"/>
      <s:c r="C10680" s="121" t="n"/>
      <s:c r="D10680" s="121" t="n"/>
      <s:c r="E10680" s="122" t="n"/>
    </s:row>
    <s:row r="10681" hidden="1" ht="1" customHeight="1">
      <s:c r="A10681" s="120" t="inlineStr"/>
      <s:c r="B10681" s="121" t="n"/>
      <s:c r="C10681" s="121" t="n"/>
      <s:c r="D10681" s="121" t="n"/>
      <s:c r="E10681" s="122" t="n"/>
    </s:row>
    <s:row r="10682" hidden="1" ht="1" customHeight="1">
      <s:c r="A10682" s="120" t="inlineStr"/>
      <s:c r="B10682" s="121" t="n"/>
      <s:c r="C10682" s="121" t="n"/>
      <s:c r="D10682" s="121" t="n"/>
      <s:c r="E10682" s="122" t="n"/>
    </s:row>
    <s:row r="10683" hidden="1" ht="1" customHeight="1">
      <s:c r="A10683" s="83" t="inlineStr">
        <s:is>
          <s:t>PASS</s:t>
        </s:is>
      </s:c>
      <s:c r="B10683" s="83">
        <s:f>SUM(IF(EXACT('Kiểm thử'!E10633,"Đạt"),1,0))</s:f>
        <s:v/>
      </s:c>
      <s:c r="C10683" s="19" t="n"/>
      <s:c r="D10683" s="19" t="n"/>
      <s:c r="E10683" s="19" t="n"/>
    </s:row>
    <s:row r="10684" hidden="1" ht="1" customHeight="1">
      <s:c r="A10684" s="83" t="inlineStr">
        <s:is>
          <s:t>FAIL</s:t>
        </s:is>
      </s:c>
      <s:c r="B10684" s="83">
        <s:f>SUM(IF(EXACT('Kiểm thử'!E10633,"Không đạt"),1,0))</s:f>
        <s:v/>
      </s:c>
      <s:c r="C10684" s="19" t="n"/>
      <s:c r="D10684" s="19" t="n"/>
      <s:c r="E10684" s="19" t="n"/>
    </s:row>
    <s:row r="10685" hidden="1" ht="1" customHeight="1">
      <s:c r="A10685" s="83" t="inlineStr">
        <s:is>
          <s:t>BLOCKED</s:t>
        </s:is>
      </s:c>
      <s:c r="B10685" s="83">
        <s:f>SUM(IF(EXACT('Kiểm thử'!E10633,"Bị chặn"),1,0))</s:f>
        <s:v/>
      </s:c>
      <s:c r="C10685" s="19" t="n"/>
      <s:c r="D10685" s="19" t="n"/>
      <s:c r="E10685" s="19" t="n"/>
    </s:row>
    <s:row r="10686" hidden="1" ht="1" customHeight="1">
      <s:c r="A10686" s="83" t="inlineStr">
        <s:is>
          <s:t>SKIPPED</s:t>
        </s:is>
      </s:c>
      <s:c r="B10686" s="83">
        <s:f>SUM(IF(EXACT('Kiểm thử'!E10633,"Không thực hiện"),1,0))</s:f>
        <s:v/>
      </s:c>
      <s:c r="C10686" s="19" t="n"/>
      <s:c r="D10686" s="19" t="n"/>
      <s:c r="E10686" s="19" t="n"/>
    </s:row>
    <s:row r="10687" hidden="1" ht="1" customHeight="1">
      <s:c r="A10687" s="83" t="inlineStr">
        <s:is>
          <s:t>NOT RUN</s:t>
        </s:is>
      </s:c>
      <s:c r="B10687" s="83">
        <s:f>SUM(IF(EXACT('Kiểm thử'!E10633,"Chưa thực hiện"),1,0))</s:f>
        <s:v/>
      </s:c>
      <s:c r="C10687" s="19" t="n"/>
      <s:c r="D10687" s="19" t="n"/>
      <s:c r="E10687" s="19" t="n"/>
    </s:row>
    <s:row r="10688" hidden="1" ht="6" customHeight="1">
      <s:c r="A10688" s="83" t="inlineStr"/>
      <s:c r="B10688" s="19" t="n"/>
      <s:c r="C10688" s="19" t="n"/>
      <s:c r="D10688" s="19" t="n"/>
      <s:c r="E10688" s="19" t="n"/>
    </s:row>
    <s:row r="10689" ht="28" customHeight="1">
      <s:c r="A10689" s="108" t="inlineStr">
        <s:is>
          <s:t>TC-RS-UI-017 — Thông báo lỗi vượt điểm tối đa và chia 0</s:t>
        </s:is>
      </s:c>
      <s:c r="B10689" s="111" t="n"/>
      <s:c r="C10689" s="111" t="n"/>
      <s:c r="D10689" s="111" t="n"/>
      <s:c r="E10689" s="111" t="n"/>
    </s:row>
    <s:row r="10690" ht="20" customHeight="1">
      <s:c r="A10690" s="112" t="inlineStr">
        <s:is>
          <s:t>Kết quả tình huống</s:t>
        </s:is>
      </s:c>
      <s:c r="B10690" s="113">
        <s:f>IF(SUM(IF(EXACT('Kiểm thử'!E10698,"Không đạt"),1,0),IF(EXACT('Kiểm thử'!E10700,"Không đạt"),1,0))&gt;0,"Không đạt",IF(SUM(IF(EXACT('Kiểm thử'!E10698,"Đạt"),1,0),IF(EXACT('Kiểm thử'!E10700,"Đạt"),1,0))=2,"Đạt",IF(SUM(IF(EXACT('Kiểm thử'!E10698,"Không thực hiện"),1,0),IF(EXACT('Kiểm thử'!E10700,"Không thực hiện"),1,0))=2,"Không thực hiện",IF(SUM(IF(EXACT('Kiểm thử'!E10698,"Bị chặn"),1,0),IF(EXACT('Kiểm thử'!E10700,"Bị chặn"),1,0))&gt;0,"Bị chặn",IF(SUM(IF(EXACT('Kiểm thử'!E10698,"Chưa thực hiện"),1,0),IF(EXACT('Kiểm thử'!E10700,"Chưa thực hiện"),1,0))=2,"Chưa thực hiện","Đang thực hiện")))))</s:f>
        <s:v/>
      </s:c>
      <s:c r="C10690" s="114" t="n"/>
      <s:c r="D10690" s="114" t="n"/>
      <s:c r="E10690" s="114" t="n"/>
    </s:row>
    <s:row r="10691" ht="20" customHeight="1">
      <s:c r="A10691" s="112" t="inlineStr">
        <s:is>
          <s:t>Màn hình / chức năng</s:t>
        </s:is>
      </s:c>
      <s:c r="B10691" s="113" t="inlineStr">
        <s:is>
          <s:r>
            <s:rPr>
              <s:b val="1"/>
            </s:rPr>
            <s:t>Thiết lập ngưỡng（基準設定）</s:t>
          </s:r>
        </s:is>
      </s:c>
      <s:c r="C10691" s="28" t="n"/>
      <s:c r="D10691" s="28" t="n"/>
      <s:c r="E10691" s="28" t="n"/>
    </s:row>
    <s:row r="10692" ht="20" customHeight="1">
      <s:c r="A10692" s="112" t="inlineStr">
        <s:is>
          <s:t>Cấu hình</s:t>
        </s:is>
      </s:c>
      <s:c r="B10692" s="113" t="inlineStr">
        <s:is>
          <s:r>
            <s:t>• Mục số nguyên (</s:t>
          </s:r>
          <s:r>
            <s:rPr>
              <s:b val="1"/>
            </s:rPr>
            <s:t>M=100</s:t>
          </s:r>
          <s:r>
            <s:t>).</s:t>
          </s:r>
        </s:is>
      </s:c>
      <s:c r="C10692" s="28" t="n"/>
      <s:c r="D10692" s="28" t="n"/>
      <s:c r="E10692" s="28" t="n"/>
    </s:row>
    <s:row r="10693" ht="48" customHeight="1">
      <s:c r="A10693" s="112" t="inlineStr">
        <s:is>
          <s:t>Dữ liệu test</s:t>
        </s:is>
      </s:c>
      <s:c r="B10693" s="113" t="inlineStr">
        <s:is>
          <s:r>
            <s:t>• Mục số nguyên (</s:t>
          </s:r>
          <s:r>
            <s:rPr>
              <s:b val="1"/>
            </s:rPr>
            <s:t>M=100</s:t>
          </s:r>
          <s:r>
            <s:t xml:space="preserve">);
• Cố định </s:t>
          </s:r>
          <s:r>
            <s:rPr>
              <s:b val="1"/>
            </s:rPr>
            <s:t>N=120</s:t>
          </s:r>
          <s:r>
            <s:t>;
• Công thức [A ÷ 0]</s:t>
          </s:r>
        </s:is>
      </s:c>
      <s:c r="C10693" s="28" t="n"/>
      <s:c r="D10693" s="28" t="n"/>
      <s:c r="E10693" s="28" t="n"/>
    </s:row>
    <s:row r="10694" ht="20" customHeight="1">
      <s:c r="A10694" s="112" t="inlineStr">
        <s:is>
          <s:t>Bước 1</s:t>
        </s:is>
      </s:c>
      <s:c r="B10694" s="113" t="inlineStr">
        <s:is>
          <s:r>
            <s:t xml:space="preserve">Lưu </s:t>
          </s:r>
          <s:r>
            <s:rPr>
              <s:b val="1"/>
            </s:rPr>
            <s:t>N=120</s:t>
          </s:r>
          <s:r>
            <s:t>.</s:t>
          </s:r>
        </s:is>
      </s:c>
      <s:c r="C10694" s="28" t="n"/>
      <s:c r="D10694" s="28" t="n"/>
      <s:c r="E10694" s="28" t="n"/>
    </s:row>
    <s:row r="10695" ht="20" customHeight="1">
      <s:c r="A10695" s="112" t="inlineStr">
        <s:is>
          <s:t>Bước 2</s:t>
        </s:is>
      </s:c>
      <s:c r="B10695" s="113" t="inlineStr">
        <s:is>
          <s:t>Lưu công thức chia 0.</s:t>
        </s:is>
      </s:c>
      <s:c r="C10695" s="28" t="n"/>
      <s:c r="D10695" s="28" t="n"/>
      <s:c r="E10695" s="28" t="n"/>
    </s:row>
    <s:row r="10696" ht="28" customHeight="1">
      <s:c r="A10696" s="115" t="inlineStr">
        <s:is>
          <s:t>Trường hợp</s:t>
        </s:is>
      </s:c>
      <s:c r="B10696" s="115" t="inlineStr">
        <s:is>
          <s:t>Dữ liệu / thao tác riêng</s:t>
        </s:is>
      </s:c>
      <s:c r="C10696" s="115" t="inlineStr">
        <s:is>
          <s:t>Kết quả mong đợi</s:t>
        </s:is>
      </s:c>
      <s:c r="D10696" s="115" t="inlineStr">
        <s:is>
          <s:t>Kết quả thực tế</s:t>
        </s:is>
      </s:c>
      <s:c r="E10696" s="115" t="inlineStr">
        <s:is>
          <s:t>Đánh giá</s:t>
        </s:is>
      </s:c>
    </s:row>
    <s:row r="10697" ht="3" customHeight="1">
      <s:c r="A10697" s="102" t="inlineStr"/>
      <s:c r="B10697" s="99" t="n"/>
      <s:c r="C10697" s="99" t="n"/>
      <s:c r="D10697" s="116" t="n"/>
      <s:c r="E10697" s="116" t="n"/>
    </s:row>
    <s:row r="10698" ht="132" customHeight="1">
      <s:c r="A10698" s="83" t="inlineStr">
        <s:is>
          <s:t>Thông báo vượt điểm tối đa (maximum)</s:t>
        </s:is>
      </s:c>
      <s:c r="B10698" s="83" t="inlineStr">
        <s:is>
          <s:r>
            <s:rPr>
              <s:b val="1"/>
            </s:rPr>
            <s:t>M=100</s:t>
          </s:r>
          <s:r>
            <s:t xml:space="preserve">; nhập điểm cố định </s:t>
          </s:r>
          <s:r>
            <s:rPr>
              <s:b val="1"/>
            </s:rPr>
            <s:t>N=120</s:t>
          </s:r>
          <s:r>
            <s:t>, bấm Lưu; đọc thông báo đầu vùng nhập/tại ô và giá trị còn giữ.</s:t>
          </s:r>
        </s:is>
      </s:c>
      <s:c r="C10698" s="83" t="inlineStr">
        <s:is>
          <s:r>
            <s:t xml:space="preserve">1. Không lưu được. Đầu vùng nhập có 「基準点が対象の満点を超えています。対象の満点以下の値を入力してください。」 (điểm chuẩn vượt điểm tối đa của đối tượng; hãy nhập giá trị không vượt điểm tối đa); </s:t>
          </s:r>
          <s:r>
            <s:rPr>
              <s:b val="1"/>
            </s:rPr>
            <s:t>tại ô Điểm chuẩn（基準点）</s:t>
          </s:r>
          <s:r>
            <s:t xml:space="preserve"> </s:t>
          </s:r>
          <s:r>
            <s:rPr>
              <s:b val="1"/>
            </s:rPr>
            <s:t>có 「対象の満点（100点）</s:t>
          </s:r>
          <s:r>
            <s:t>以下の値を入力してください。」 và dòng 「対象の満点：100点」 (điểm tối đa của đối tượng: 100); giá trị 120 còn giữ.</s:t>
          </s:r>
        </s:is>
      </s:c>
      <s:c r="D10698" s="117" t="inlineStr"/>
      <s:c r="E10698" s="118" t="inlineStr">
        <s:is>
          <s:t>Chưa thực hiện</s:t>
        </s:is>
      </s:c>
    </s:row>
    <s:row r="10699" ht="3" customHeight="1">
      <s:c r="A10699" s="102" t="inlineStr"/>
      <s:c r="B10699" s="99" t="n"/>
      <s:c r="C10699" s="99" t="n"/>
      <s:c r="D10699" s="116" t="n"/>
      <s:c r="E10699" s="116" t="n"/>
    </s:row>
    <s:row r="10700" ht="104" customHeight="1">
      <s:c r="A10700" s="83" t="inlineStr">
        <s:is>
          <s:t>Thông báo chia cho 0 (divide-zero)</s:t>
        </s:is>
      </s:c>
      <s:c r="B10700" s="83" t="inlineStr">
        <s:is>
          <s:t>Nhập công thức dòng1 A÷0, bấm Lưu; đọc thông báo đầu vùng nhập/tại dòng và giá trị còn giữ.</s:t>
        </s:is>
      </s:c>
      <s:c r="C10700" s="83" t="inlineStr">
        <s:is>
          <s:t>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s:t>
        </s:is>
      </s:c>
      <s:c r="D10700" s="117" t="inlineStr"/>
      <s:c r="E10700" s="118" t="inlineStr">
        <s:is>
          <s:t>Chưa thực hiện</s:t>
        </s:is>
      </s:c>
    </s:row>
    <s:row r="10701" ht="20" customHeight="1">
      <s:c r="A10701" s="119" t="inlineStr">
        <s:is>
          <s:t>Ảnh minh chứng — Chưa có ảnh</s:t>
        </s:is>
      </s:c>
      <s:c r="B10701" s="19" t="n"/>
      <s:c r="C10701" s="19" t="n"/>
      <s:c r="D10701" s="19" t="n"/>
      <s:c r="E10701" s="19" t="n"/>
    </s:row>
    <s:row r="10702" hidden="1" ht="1" customHeight="1">
      <s:c r="A10702" s="120" t="inlineStr"/>
      <s:c r="B10702" s="121" t="n"/>
      <s:c r="C10702" s="121" t="n"/>
      <s:c r="D10702" s="121" t="n"/>
      <s:c r="E10702" s="122" t="n"/>
    </s:row>
    <s:row r="10703" hidden="1" ht="1" customHeight="1">
      <s:c r="A10703" s="120" t="inlineStr"/>
      <s:c r="B10703" s="121" t="n"/>
      <s:c r="C10703" s="121" t="n"/>
      <s:c r="D10703" s="121" t="n"/>
      <s:c r="E10703" s="122" t="n"/>
    </s:row>
    <s:row r="10704" hidden="1" ht="1" customHeight="1">
      <s:c r="A10704" s="120" t="inlineStr"/>
      <s:c r="B10704" s="121" t="n"/>
      <s:c r="C10704" s="121" t="n"/>
      <s:c r="D10704" s="121" t="n"/>
      <s:c r="E10704" s="122" t="n"/>
    </s:row>
    <s:row r="10705" hidden="1" ht="1" customHeight="1">
      <s:c r="A10705" s="120" t="inlineStr"/>
      <s:c r="B10705" s="121" t="n"/>
      <s:c r="C10705" s="121" t="n"/>
      <s:c r="D10705" s="121" t="n"/>
      <s:c r="E10705" s="122" t="n"/>
    </s:row>
    <s:row r="10706" hidden="1" ht="1" customHeight="1">
      <s:c r="A10706" s="120" t="inlineStr"/>
      <s:c r="B10706" s="121" t="n"/>
      <s:c r="C10706" s="121" t="n"/>
      <s:c r="D10706" s="121" t="n"/>
      <s:c r="E10706" s="122" t="n"/>
    </s:row>
    <s:row r="10707" hidden="1" ht="1" customHeight="1">
      <s:c r="A10707" s="120" t="inlineStr"/>
      <s:c r="B10707" s="121" t="n"/>
      <s:c r="C10707" s="121" t="n"/>
      <s:c r="D10707" s="121" t="n"/>
      <s:c r="E10707" s="122" t="n"/>
    </s:row>
    <s:row r="10708" hidden="1" ht="1" customHeight="1">
      <s:c r="A10708" s="120" t="inlineStr"/>
      <s:c r="B10708" s="121" t="n"/>
      <s:c r="C10708" s="121" t="n"/>
      <s:c r="D10708" s="121" t="n"/>
      <s:c r="E10708" s="122" t="n"/>
    </s:row>
    <s:row r="10709" hidden="1" ht="1" customHeight="1">
      <s:c r="A10709" s="120" t="inlineStr"/>
      <s:c r="B10709" s="121" t="n"/>
      <s:c r="C10709" s="121" t="n"/>
      <s:c r="D10709" s="121" t="n"/>
      <s:c r="E10709" s="122" t="n"/>
    </s:row>
    <s:row r="10710" hidden="1" ht="1" customHeight="1">
      <s:c r="A10710" s="120" t="inlineStr"/>
      <s:c r="B10710" s="121" t="n"/>
      <s:c r="C10710" s="121" t="n"/>
      <s:c r="D10710" s="121" t="n"/>
      <s:c r="E10710" s="122" t="n"/>
    </s:row>
    <s:row r="10711" hidden="1" ht="1" customHeight="1">
      <s:c r="A10711" s="120" t="inlineStr"/>
      <s:c r="B10711" s="121" t="n"/>
      <s:c r="C10711" s="121" t="n"/>
      <s:c r="D10711" s="121" t="n"/>
      <s:c r="E10711" s="122" t="n"/>
    </s:row>
    <s:row r="10712" hidden="1" ht="1" customHeight="1">
      <s:c r="A10712" s="120" t="inlineStr"/>
      <s:c r="B10712" s="121" t="n"/>
      <s:c r="C10712" s="121" t="n"/>
      <s:c r="D10712" s="121" t="n"/>
      <s:c r="E10712" s="122" t="n"/>
    </s:row>
    <s:row r="10713" hidden="1" ht="1" customHeight="1">
      <s:c r="A10713" s="120" t="inlineStr"/>
      <s:c r="B10713" s="121" t="n"/>
      <s:c r="C10713" s="121" t="n"/>
      <s:c r="D10713" s="121" t="n"/>
      <s:c r="E10713" s="122" t="n"/>
    </s:row>
    <s:row r="10714" hidden="1" ht="1" customHeight="1">
      <s:c r="A10714" s="120" t="inlineStr"/>
      <s:c r="B10714" s="121" t="n"/>
      <s:c r="C10714" s="121" t="n"/>
      <s:c r="D10714" s="121" t="n"/>
      <s:c r="E10714" s="122" t="n"/>
    </s:row>
    <s:row r="10715" hidden="1" ht="1" customHeight="1">
      <s:c r="A10715" s="120" t="inlineStr"/>
      <s:c r="B10715" s="121" t="n"/>
      <s:c r="C10715" s="121" t="n"/>
      <s:c r="D10715" s="121" t="n"/>
      <s:c r="E10715" s="122" t="n"/>
    </s:row>
    <s:row r="10716" hidden="1" ht="1" customHeight="1">
      <s:c r="A10716" s="120" t="inlineStr"/>
      <s:c r="B10716" s="121" t="n"/>
      <s:c r="C10716" s="121" t="n"/>
      <s:c r="D10716" s="121" t="n"/>
      <s:c r="E10716" s="122" t="n"/>
    </s:row>
    <s:row r="10717" hidden="1" ht="1" customHeight="1">
      <s:c r="A10717" s="120" t="inlineStr"/>
      <s:c r="B10717" s="121" t="n"/>
      <s:c r="C10717" s="121" t="n"/>
      <s:c r="D10717" s="121" t="n"/>
      <s:c r="E10717" s="122" t="n"/>
    </s:row>
    <s:row r="10718" hidden="1" ht="1" customHeight="1">
      <s:c r="A10718" s="120" t="inlineStr"/>
      <s:c r="B10718" s="121" t="n"/>
      <s:c r="C10718" s="121" t="n"/>
      <s:c r="D10718" s="121" t="n"/>
      <s:c r="E10718" s="122" t="n"/>
    </s:row>
    <s:row r="10719" hidden="1" ht="1" customHeight="1">
      <s:c r="A10719" s="120" t="inlineStr"/>
      <s:c r="B10719" s="121" t="n"/>
      <s:c r="C10719" s="121" t="n"/>
      <s:c r="D10719" s="121" t="n"/>
      <s:c r="E10719" s="122" t="n"/>
    </s:row>
    <s:row r="10720" hidden="1" ht="1" customHeight="1">
      <s:c r="A10720" s="120" t="inlineStr"/>
      <s:c r="B10720" s="121" t="n"/>
      <s:c r="C10720" s="121" t="n"/>
      <s:c r="D10720" s="121" t="n"/>
      <s:c r="E10720" s="122" t="n"/>
    </s:row>
    <s:row r="10721" hidden="1" ht="1" customHeight="1">
      <s:c r="A10721" s="120" t="inlineStr"/>
      <s:c r="B10721" s="121" t="n"/>
      <s:c r="C10721" s="121" t="n"/>
      <s:c r="D10721" s="121" t="n"/>
      <s:c r="E10721" s="122" t="n"/>
    </s:row>
    <s:row r="10722" hidden="1" ht="1" customHeight="1">
      <s:c r="A10722" s="120" t="inlineStr"/>
      <s:c r="B10722" s="121" t="n"/>
      <s:c r="C10722" s="121" t="n"/>
      <s:c r="D10722" s="121" t="n"/>
      <s:c r="E10722" s="122" t="n"/>
    </s:row>
    <s:row r="10723" hidden="1" ht="1" customHeight="1">
      <s:c r="A10723" s="120" t="inlineStr"/>
      <s:c r="B10723" s="121" t="n"/>
      <s:c r="C10723" s="121" t="n"/>
      <s:c r="D10723" s="121" t="n"/>
      <s:c r="E10723" s="122" t="n"/>
    </s:row>
    <s:row r="10724" hidden="1" ht="1" customHeight="1">
      <s:c r="A10724" s="120" t="inlineStr"/>
      <s:c r="B10724" s="121" t="n"/>
      <s:c r="C10724" s="121" t="n"/>
      <s:c r="D10724" s="121" t="n"/>
      <s:c r="E10724" s="122" t="n"/>
    </s:row>
    <s:row r="10725" hidden="1" ht="1" customHeight="1">
      <s:c r="A10725" s="120" t="inlineStr"/>
      <s:c r="B10725" s="121" t="n"/>
      <s:c r="C10725" s="121" t="n"/>
      <s:c r="D10725" s="121" t="n"/>
      <s:c r="E10725" s="122" t="n"/>
    </s:row>
    <s:row r="10726" hidden="1" ht="1" customHeight="1">
      <s:c r="A10726" s="120" t="inlineStr"/>
      <s:c r="B10726" s="121" t="n"/>
      <s:c r="C10726" s="121" t="n"/>
      <s:c r="D10726" s="121" t="n"/>
      <s:c r="E10726" s="122" t="n"/>
    </s:row>
    <s:row r="10727" hidden="1" ht="1" customHeight="1">
      <s:c r="A10727" s="120" t="inlineStr"/>
      <s:c r="B10727" s="121" t="n"/>
      <s:c r="C10727" s="121" t="n"/>
      <s:c r="D10727" s="121" t="n"/>
      <s:c r="E10727" s="122" t="n"/>
    </s:row>
    <s:row r="10728" hidden="1" ht="1" customHeight="1">
      <s:c r="A10728" s="120" t="inlineStr"/>
      <s:c r="B10728" s="121" t="n"/>
      <s:c r="C10728" s="121" t="n"/>
      <s:c r="D10728" s="121" t="n"/>
      <s:c r="E10728" s="122" t="n"/>
    </s:row>
    <s:row r="10729" hidden="1" ht="1" customHeight="1">
      <s:c r="A10729" s="120" t="inlineStr"/>
      <s:c r="B10729" s="121" t="n"/>
      <s:c r="C10729" s="121" t="n"/>
      <s:c r="D10729" s="121" t="n"/>
      <s:c r="E10729" s="122" t="n"/>
    </s:row>
    <s:row r="10730" hidden="1" ht="1" customHeight="1">
      <s:c r="A10730" s="120" t="inlineStr"/>
      <s:c r="B10730" s="121" t="n"/>
      <s:c r="C10730" s="121" t="n"/>
      <s:c r="D10730" s="121" t="n"/>
      <s:c r="E10730" s="122" t="n"/>
    </s:row>
    <s:row r="10731" hidden="1" ht="1" customHeight="1">
      <s:c r="A10731" s="120" t="inlineStr"/>
      <s:c r="B10731" s="121" t="n"/>
      <s:c r="C10731" s="121" t="n"/>
      <s:c r="D10731" s="121" t="n"/>
      <s:c r="E10731" s="122" t="n"/>
    </s:row>
    <s:row r="10732" hidden="1" ht="1" customHeight="1">
      <s:c r="A10732" s="120" t="inlineStr"/>
      <s:c r="B10732" s="121" t="n"/>
      <s:c r="C10732" s="121" t="n"/>
      <s:c r="D10732" s="121" t="n"/>
      <s:c r="E10732" s="122" t="n"/>
    </s:row>
    <s:row r="10733" hidden="1" ht="1" customHeight="1">
      <s:c r="A10733" s="120" t="inlineStr"/>
      <s:c r="B10733" s="121" t="n"/>
      <s:c r="C10733" s="121" t="n"/>
      <s:c r="D10733" s="121" t="n"/>
      <s:c r="E10733" s="122" t="n"/>
    </s:row>
    <s:row r="10734" hidden="1" ht="1" customHeight="1">
      <s:c r="A10734" s="120" t="inlineStr"/>
      <s:c r="B10734" s="121" t="n"/>
      <s:c r="C10734" s="121" t="n"/>
      <s:c r="D10734" s="121" t="n"/>
      <s:c r="E10734" s="122" t="n"/>
    </s:row>
    <s:row r="10735" hidden="1" ht="1" customHeight="1">
      <s:c r="A10735" s="120" t="inlineStr"/>
      <s:c r="B10735" s="121" t="n"/>
      <s:c r="C10735" s="121" t="n"/>
      <s:c r="D10735" s="121" t="n"/>
      <s:c r="E10735" s="122" t="n"/>
    </s:row>
    <s:row r="10736" hidden="1" ht="1" customHeight="1">
      <s:c r="A10736" s="120" t="inlineStr"/>
      <s:c r="B10736" s="121" t="n"/>
      <s:c r="C10736" s="121" t="n"/>
      <s:c r="D10736" s="121" t="n"/>
      <s:c r="E10736" s="122" t="n"/>
    </s:row>
    <s:row r="10737" hidden="1" ht="1" customHeight="1">
      <s:c r="A10737" s="120" t="inlineStr"/>
      <s:c r="B10737" s="121" t="n"/>
      <s:c r="C10737" s="121" t="n"/>
      <s:c r="D10737" s="121" t="n"/>
      <s:c r="E10737" s="122" t="n"/>
    </s:row>
    <s:row r="10738" hidden="1" ht="1" customHeight="1">
      <s:c r="A10738" s="120" t="inlineStr"/>
      <s:c r="B10738" s="121" t="n"/>
      <s:c r="C10738" s="121" t="n"/>
      <s:c r="D10738" s="121" t="n"/>
      <s:c r="E10738" s="122" t="n"/>
    </s:row>
    <s:row r="10739" hidden="1" ht="1" customHeight="1">
      <s:c r="A10739" s="120" t="inlineStr"/>
      <s:c r="B10739" s="121" t="n"/>
      <s:c r="C10739" s="121" t="n"/>
      <s:c r="D10739" s="121" t="n"/>
      <s:c r="E10739" s="122" t="n"/>
    </s:row>
    <s:row r="10740" hidden="1" ht="1" customHeight="1">
      <s:c r="A10740" s="120" t="inlineStr"/>
      <s:c r="B10740" s="121" t="n"/>
      <s:c r="C10740" s="121" t="n"/>
      <s:c r="D10740" s="121" t="n"/>
      <s:c r="E10740" s="122" t="n"/>
    </s:row>
    <s:row r="10741" hidden="1" ht="1" customHeight="1">
      <s:c r="A10741" s="120" t="inlineStr"/>
      <s:c r="B10741" s="121" t="n"/>
      <s:c r="C10741" s="121" t="n"/>
      <s:c r="D10741" s="121" t="n"/>
      <s:c r="E10741" s="122" t="n"/>
    </s:row>
    <s:row r="10742" hidden="1" ht="1" customHeight="1">
      <s:c r="A10742" s="120" t="inlineStr"/>
      <s:c r="B10742" s="121" t="n"/>
      <s:c r="C10742" s="121" t="n"/>
      <s:c r="D10742" s="121" t="n"/>
      <s:c r="E10742" s="122" t="n"/>
    </s:row>
    <s:row r="10743" hidden="1" ht="1" customHeight="1">
      <s:c r="A10743" s="120" t="inlineStr"/>
      <s:c r="B10743" s="121" t="n"/>
      <s:c r="C10743" s="121" t="n"/>
      <s:c r="D10743" s="121" t="n"/>
      <s:c r="E10743" s="122" t="n"/>
    </s:row>
    <s:row r="10744" hidden="1" ht="1" customHeight="1">
      <s:c r="A10744" s="120" t="inlineStr"/>
      <s:c r="B10744" s="121" t="n"/>
      <s:c r="C10744" s="121" t="n"/>
      <s:c r="D10744" s="121" t="n"/>
      <s:c r="E10744" s="122" t="n"/>
    </s:row>
    <s:row r="10745" hidden="1" ht="1" customHeight="1">
      <s:c r="A10745" s="120" t="inlineStr"/>
      <s:c r="B10745" s="121" t="n"/>
      <s:c r="C10745" s="121" t="n"/>
      <s:c r="D10745" s="121" t="n"/>
      <s:c r="E10745" s="122" t="n"/>
    </s:row>
    <s:row r="10746" hidden="1" ht="1" customHeight="1">
      <s:c r="A10746" s="120" t="inlineStr"/>
      <s:c r="B10746" s="121" t="n"/>
      <s:c r="C10746" s="121" t="n"/>
      <s:c r="D10746" s="121" t="n"/>
      <s:c r="E10746" s="122" t="n"/>
    </s:row>
    <s:row r="10747" hidden="1" ht="1" customHeight="1">
      <s:c r="A10747" s="120" t="inlineStr"/>
      <s:c r="B10747" s="121" t="n"/>
      <s:c r="C10747" s="121" t="n"/>
      <s:c r="D10747" s="121" t="n"/>
      <s:c r="E10747" s="122" t="n"/>
    </s:row>
    <s:row r="10748" hidden="1" ht="1" customHeight="1">
      <s:c r="A10748" s="120" t="inlineStr"/>
      <s:c r="B10748" s="121" t="n"/>
      <s:c r="C10748" s="121" t="n"/>
      <s:c r="D10748" s="121" t="n"/>
      <s:c r="E10748" s="122" t="n"/>
    </s:row>
    <s:row r="10749" hidden="1" ht="1" customHeight="1">
      <s:c r="A10749" s="120" t="inlineStr"/>
      <s:c r="B10749" s="121" t="n"/>
      <s:c r="C10749" s="121" t="n"/>
      <s:c r="D10749" s="121" t="n"/>
      <s:c r="E10749" s="122" t="n"/>
    </s:row>
    <s:row r="10750" hidden="1" ht="1" customHeight="1">
      <s:c r="A10750" s="120" t="inlineStr"/>
      <s:c r="B10750" s="121" t="n"/>
      <s:c r="C10750" s="121" t="n"/>
      <s:c r="D10750" s="121" t="n"/>
      <s:c r="E10750" s="122" t="n"/>
    </s:row>
    <s:row r="10751" hidden="1" ht="1" customHeight="1">
      <s:c r="A10751" s="120" t="inlineStr"/>
      <s:c r="B10751" s="121" t="n"/>
      <s:c r="C10751" s="121" t="n"/>
      <s:c r="D10751" s="121" t="n"/>
      <s:c r="E10751" s="122" t="n"/>
    </s:row>
    <s:row r="10752" hidden="1" ht="1" customHeight="1">
      <s:c r="A10752" s="120" t="inlineStr"/>
      <s:c r="B10752" s="121" t="n"/>
      <s:c r="C10752" s="121" t="n"/>
      <s:c r="D10752" s="121" t="n"/>
      <s:c r="E10752" s="122" t="n"/>
    </s:row>
    <s:row r="10753" hidden="1" ht="1" customHeight="1">
      <s:c r="A10753" s="120" t="inlineStr"/>
      <s:c r="B10753" s="121" t="n"/>
      <s:c r="C10753" s="121" t="n"/>
      <s:c r="D10753" s="121" t="n"/>
      <s:c r="E10753" s="122" t="n"/>
    </s:row>
    <s:row r="10754" hidden="1" ht="1" customHeight="1">
      <s:c r="A10754" s="120" t="inlineStr"/>
      <s:c r="B10754" s="121" t="n"/>
      <s:c r="C10754" s="121" t="n"/>
      <s:c r="D10754" s="121" t="n"/>
      <s:c r="E10754" s="122" t="n"/>
    </s:row>
    <s:row r="10755" hidden="1" ht="1" customHeight="1">
      <s:c r="A10755" s="120" t="inlineStr"/>
      <s:c r="B10755" s="121" t="n"/>
      <s:c r="C10755" s="121" t="n"/>
      <s:c r="D10755" s="121" t="n"/>
      <s:c r="E10755" s="122" t="n"/>
    </s:row>
    <s:row r="10756" hidden="1" ht="1" customHeight="1">
      <s:c r="A10756" s="120" t="inlineStr"/>
      <s:c r="B10756" s="121" t="n"/>
      <s:c r="C10756" s="121" t="n"/>
      <s:c r="D10756" s="121" t="n"/>
      <s:c r="E10756" s="122" t="n"/>
    </s:row>
    <s:row r="10757" hidden="1" ht="1" customHeight="1">
      <s:c r="A10757" s="120" t="inlineStr"/>
      <s:c r="B10757" s="121" t="n"/>
      <s:c r="C10757" s="121" t="n"/>
      <s:c r="D10757" s="121" t="n"/>
      <s:c r="E10757" s="122" t="n"/>
    </s:row>
    <s:row r="10758" hidden="1" ht="1" customHeight="1">
      <s:c r="A10758" s="120" t="inlineStr"/>
      <s:c r="B10758" s="121" t="n"/>
      <s:c r="C10758" s="121" t="n"/>
      <s:c r="D10758" s="121" t="n"/>
      <s:c r="E10758" s="122" t="n"/>
    </s:row>
    <s:row r="10759" hidden="1" ht="1" customHeight="1">
      <s:c r="A10759" s="120" t="inlineStr"/>
      <s:c r="B10759" s="121" t="n"/>
      <s:c r="C10759" s="121" t="n"/>
      <s:c r="D10759" s="121" t="n"/>
      <s:c r="E10759" s="122" t="n"/>
    </s:row>
    <s:row r="10760" hidden="1" ht="1" customHeight="1">
      <s:c r="A10760" s="120" t="inlineStr"/>
      <s:c r="B10760" s="121" t="n"/>
      <s:c r="C10760" s="121" t="n"/>
      <s:c r="D10760" s="121" t="n"/>
      <s:c r="E10760" s="122" t="n"/>
    </s:row>
    <s:row r="10761" hidden="1" ht="1" customHeight="1">
      <s:c r="A10761" s="120" t="inlineStr"/>
      <s:c r="B10761" s="121" t="n"/>
      <s:c r="C10761" s="121" t="n"/>
      <s:c r="D10761" s="121" t="n"/>
      <s:c r="E10761" s="122" t="n"/>
    </s:row>
    <s:row r="10762" hidden="1" ht="1" customHeight="1">
      <s:c r="A10762" s="120" t="inlineStr"/>
      <s:c r="B10762" s="121" t="n"/>
      <s:c r="C10762" s="121" t="n"/>
      <s:c r="D10762" s="121" t="n"/>
      <s:c r="E10762" s="122" t="n"/>
    </s:row>
    <s:row r="10763" hidden="1" ht="1" customHeight="1">
      <s:c r="A10763" s="120" t="inlineStr"/>
      <s:c r="B10763" s="121" t="n"/>
      <s:c r="C10763" s="121" t="n"/>
      <s:c r="D10763" s="121" t="n"/>
      <s:c r="E10763" s="122" t="n"/>
    </s:row>
    <s:row r="10764" hidden="1" ht="1" customHeight="1">
      <s:c r="A10764" s="120" t="inlineStr"/>
      <s:c r="B10764" s="121" t="n"/>
      <s:c r="C10764" s="121" t="n"/>
      <s:c r="D10764" s="121" t="n"/>
      <s:c r="E10764" s="122" t="n"/>
    </s:row>
    <s:row r="10765" hidden="1" ht="1" customHeight="1">
      <s:c r="A10765" s="120" t="inlineStr"/>
      <s:c r="B10765" s="121" t="n"/>
      <s:c r="C10765" s="121" t="n"/>
      <s:c r="D10765" s="121" t="n"/>
      <s:c r="E10765" s="122" t="n"/>
    </s:row>
    <s:row r="10766" hidden="1" ht="1" customHeight="1">
      <s:c r="A10766" s="120" t="inlineStr"/>
      <s:c r="B10766" s="121" t="n"/>
      <s:c r="C10766" s="121" t="n"/>
      <s:c r="D10766" s="121" t="n"/>
      <s:c r="E10766" s="122" t="n"/>
    </s:row>
    <s:row r="10767" hidden="1" ht="1" customHeight="1">
      <s:c r="A10767" s="120" t="inlineStr"/>
      <s:c r="B10767" s="121" t="n"/>
      <s:c r="C10767" s="121" t="n"/>
      <s:c r="D10767" s="121" t="n"/>
      <s:c r="E10767" s="122" t="n"/>
    </s:row>
    <s:row r="10768" hidden="1" ht="1" customHeight="1">
      <s:c r="A10768" s="120" t="inlineStr"/>
      <s:c r="B10768" s="121" t="n"/>
      <s:c r="C10768" s="121" t="n"/>
      <s:c r="D10768" s="121" t="n"/>
      <s:c r="E10768" s="122" t="n"/>
    </s:row>
    <s:row r="10769" hidden="1" ht="1" customHeight="1">
      <s:c r="A10769" s="120" t="inlineStr"/>
      <s:c r="B10769" s="121" t="n"/>
      <s:c r="C10769" s="121" t="n"/>
      <s:c r="D10769" s="121" t="n"/>
      <s:c r="E10769" s="122" t="n"/>
    </s:row>
    <s:row r="10770" hidden="1" ht="1" customHeight="1">
      <s:c r="A10770" s="120" t="inlineStr"/>
      <s:c r="B10770" s="121" t="n"/>
      <s:c r="C10770" s="121" t="n"/>
      <s:c r="D10770" s="121" t="n"/>
      <s:c r="E10770" s="122" t="n"/>
    </s:row>
    <s:row r="10771" hidden="1" ht="1" customHeight="1">
      <s:c r="A10771" s="120" t="inlineStr"/>
      <s:c r="B10771" s="121" t="n"/>
      <s:c r="C10771" s="121" t="n"/>
      <s:c r="D10771" s="121" t="n"/>
      <s:c r="E10771" s="122" t="n"/>
    </s:row>
    <s:row r="10772" hidden="1" ht="1" customHeight="1">
      <s:c r="A10772" s="120" t="inlineStr"/>
      <s:c r="B10772" s="121" t="n"/>
      <s:c r="C10772" s="121" t="n"/>
      <s:c r="D10772" s="121" t="n"/>
      <s:c r="E10772" s="122" t="n"/>
    </s:row>
    <s:row r="10773" hidden="1" ht="1" customHeight="1">
      <s:c r="A10773" s="120" t="inlineStr"/>
      <s:c r="B10773" s="121" t="n"/>
      <s:c r="C10773" s="121" t="n"/>
      <s:c r="D10773" s="121" t="n"/>
      <s:c r="E10773" s="122" t="n"/>
    </s:row>
    <s:row r="10774" hidden="1" ht="1" customHeight="1">
      <s:c r="A10774" s="120" t="inlineStr"/>
      <s:c r="B10774" s="121" t="n"/>
      <s:c r="C10774" s="121" t="n"/>
      <s:c r="D10774" s="121" t="n"/>
      <s:c r="E10774" s="122" t="n"/>
    </s:row>
    <s:row r="10775" hidden="1" ht="1" customHeight="1">
      <s:c r="A10775" s="120" t="inlineStr"/>
      <s:c r="B10775" s="121" t="n"/>
      <s:c r="C10775" s="121" t="n"/>
      <s:c r="D10775" s="121" t="n"/>
      <s:c r="E10775" s="122" t="n"/>
    </s:row>
    <s:row r="10776" hidden="1" ht="1" customHeight="1">
      <s:c r="A10776" s="120" t="inlineStr"/>
      <s:c r="B10776" s="121" t="n"/>
      <s:c r="C10776" s="121" t="n"/>
      <s:c r="D10776" s="121" t="n"/>
      <s:c r="E10776" s="122" t="n"/>
    </s:row>
    <s:row r="10777" hidden="1" ht="1" customHeight="1">
      <s:c r="A10777" s="120" t="inlineStr"/>
      <s:c r="B10777" s="121" t="n"/>
      <s:c r="C10777" s="121" t="n"/>
      <s:c r="D10777" s="121" t="n"/>
      <s:c r="E10777" s="122" t="n"/>
    </s:row>
    <s:row r="10778" hidden="1" ht="1" customHeight="1">
      <s:c r="A10778" s="120" t="inlineStr"/>
      <s:c r="B10778" s="121" t="n"/>
      <s:c r="C10778" s="121" t="n"/>
      <s:c r="D10778" s="121" t="n"/>
      <s:c r="E10778" s="122" t="n"/>
    </s:row>
    <s:row r="10779" hidden="1" ht="1" customHeight="1">
      <s:c r="A10779" s="120" t="inlineStr"/>
      <s:c r="B10779" s="121" t="n"/>
      <s:c r="C10779" s="121" t="n"/>
      <s:c r="D10779" s="121" t="n"/>
      <s:c r="E10779" s="122" t="n"/>
    </s:row>
    <s:row r="10780" hidden="1" ht="1" customHeight="1">
      <s:c r="A10780" s="120" t="inlineStr"/>
      <s:c r="B10780" s="121" t="n"/>
      <s:c r="C10780" s="121" t="n"/>
      <s:c r="D10780" s="121" t="n"/>
      <s:c r="E10780" s="122" t="n"/>
    </s:row>
    <s:row r="10781" hidden="1" ht="1" customHeight="1">
      <s:c r="A10781" s="120" t="inlineStr"/>
      <s:c r="B10781" s="121" t="n"/>
      <s:c r="C10781" s="121" t="n"/>
      <s:c r="D10781" s="121" t="n"/>
      <s:c r="E10781" s="122" t="n"/>
    </s:row>
    <s:row r="10782" hidden="1" ht="1" customHeight="1">
      <s:c r="A10782" s="120" t="inlineStr"/>
      <s:c r="B10782" s="121" t="n"/>
      <s:c r="C10782" s="121" t="n"/>
      <s:c r="D10782" s="121" t="n"/>
      <s:c r="E10782" s="122" t="n"/>
    </s:row>
    <s:row r="10783" hidden="1" ht="1" customHeight="1">
      <s:c r="A10783" s="120" t="inlineStr"/>
      <s:c r="B10783" s="121" t="n"/>
      <s:c r="C10783" s="121" t="n"/>
      <s:c r="D10783" s="121" t="n"/>
      <s:c r="E10783" s="122" t="n"/>
    </s:row>
    <s:row r="10784" hidden="1" ht="1" customHeight="1">
      <s:c r="A10784" s="120" t="inlineStr"/>
      <s:c r="B10784" s="121" t="n"/>
      <s:c r="C10784" s="121" t="n"/>
      <s:c r="D10784" s="121" t="n"/>
      <s:c r="E10784" s="122" t="n"/>
    </s:row>
    <s:row r="10785" hidden="1" ht="1" customHeight="1">
      <s:c r="A10785" s="120" t="inlineStr"/>
      <s:c r="B10785" s="121" t="n"/>
      <s:c r="C10785" s="121" t="n"/>
      <s:c r="D10785" s="121" t="n"/>
      <s:c r="E10785" s="122" t="n"/>
    </s:row>
    <s:row r="10786" hidden="1" ht="1" customHeight="1">
      <s:c r="A10786" s="120" t="inlineStr"/>
      <s:c r="B10786" s="121" t="n"/>
      <s:c r="C10786" s="121" t="n"/>
      <s:c r="D10786" s="121" t="n"/>
      <s:c r="E10786" s="122" t="n"/>
    </s:row>
    <s:row r="10787" hidden="1" ht="1" customHeight="1">
      <s:c r="A10787" s="120" t="inlineStr"/>
      <s:c r="B10787" s="121" t="n"/>
      <s:c r="C10787" s="121" t="n"/>
      <s:c r="D10787" s="121" t="n"/>
      <s:c r="E10787" s="122" t="n"/>
    </s:row>
    <s:row r="10788" hidden="1" ht="1" customHeight="1">
      <s:c r="A10788" s="120" t="inlineStr"/>
      <s:c r="B10788" s="121" t="n"/>
      <s:c r="C10788" s="121" t="n"/>
      <s:c r="D10788" s="121" t="n"/>
      <s:c r="E10788" s="122" t="n"/>
    </s:row>
    <s:row r="10789" hidden="1" ht="1" customHeight="1">
      <s:c r="A10789" s="120" t="inlineStr"/>
      <s:c r="B10789" s="121" t="n"/>
      <s:c r="C10789" s="121" t="n"/>
      <s:c r="D10789" s="121" t="n"/>
      <s:c r="E10789" s="122" t="n"/>
    </s:row>
    <s:row r="10790" hidden="1" ht="1" customHeight="1">
      <s:c r="A10790" s="120" t="inlineStr"/>
      <s:c r="B10790" s="121" t="n"/>
      <s:c r="C10790" s="121" t="n"/>
      <s:c r="D10790" s="121" t="n"/>
      <s:c r="E10790" s="122" t="n"/>
    </s:row>
    <s:row r="10791" hidden="1" ht="1" customHeight="1">
      <s:c r="A10791" s="120" t="inlineStr"/>
      <s:c r="B10791" s="121" t="n"/>
      <s:c r="C10791" s="121" t="n"/>
      <s:c r="D10791" s="121" t="n"/>
      <s:c r="E10791" s="122" t="n"/>
    </s:row>
    <s:row r="10792" hidden="1" ht="1" customHeight="1">
      <s:c r="A10792" s="120" t="inlineStr"/>
      <s:c r="B10792" s="121" t="n"/>
      <s:c r="C10792" s="121" t="n"/>
      <s:c r="D10792" s="121" t="n"/>
      <s:c r="E10792" s="122" t="n"/>
    </s:row>
    <s:row r="10793" hidden="1" ht="1" customHeight="1">
      <s:c r="A10793" s="120" t="inlineStr"/>
      <s:c r="B10793" s="121" t="n"/>
      <s:c r="C10793" s="121" t="n"/>
      <s:c r="D10793" s="121" t="n"/>
      <s:c r="E10793" s="122" t="n"/>
    </s:row>
    <s:row r="10794" hidden="1" ht="1" customHeight="1">
      <s:c r="A10794" s="120" t="inlineStr"/>
      <s:c r="B10794" s="121" t="n"/>
      <s:c r="C10794" s="121" t="n"/>
      <s:c r="D10794" s="121" t="n"/>
      <s:c r="E10794" s="122" t="n"/>
    </s:row>
    <s:row r="10795" hidden="1" ht="1" customHeight="1">
      <s:c r="A10795" s="120" t="inlineStr"/>
      <s:c r="B10795" s="121" t="n"/>
      <s:c r="C10795" s="121" t="n"/>
      <s:c r="D10795" s="121" t="n"/>
      <s:c r="E10795" s="122" t="n"/>
    </s:row>
    <s:row r="10796" hidden="1" ht="1" customHeight="1">
      <s:c r="A10796" s="120" t="inlineStr"/>
      <s:c r="B10796" s="121" t="n"/>
      <s:c r="C10796" s="121" t="n"/>
      <s:c r="D10796" s="121" t="n"/>
      <s:c r="E10796" s="122" t="n"/>
    </s:row>
    <s:row r="10797" hidden="1" ht="1" customHeight="1">
      <s:c r="A10797" s="120" t="inlineStr"/>
      <s:c r="B10797" s="121" t="n"/>
      <s:c r="C10797" s="121" t="n"/>
      <s:c r="D10797" s="121" t="n"/>
      <s:c r="E10797" s="122" t="n"/>
    </s:row>
    <s:row r="10798" hidden="1" ht="1" customHeight="1">
      <s:c r="A10798" s="83" t="inlineStr">
        <s:is>
          <s:t>PASS</s:t>
        </s:is>
      </s:c>
      <s:c r="B10798" s="83">
        <s:f>SUM(IF(EXACT('Kiểm thử'!E10698,"Đạt"),1,0),IF(EXACT('Kiểm thử'!E10700,"Đạt"),1,0))</s:f>
        <s:v/>
      </s:c>
      <s:c r="C10798" s="19" t="n"/>
      <s:c r="D10798" s="19" t="n"/>
      <s:c r="E10798" s="19" t="n"/>
    </s:row>
    <s:row r="10799" hidden="1" ht="1" customHeight="1">
      <s:c r="A10799" s="83" t="inlineStr">
        <s:is>
          <s:t>FAIL</s:t>
        </s:is>
      </s:c>
      <s:c r="B10799" s="83">
        <s:f>SUM(IF(EXACT('Kiểm thử'!E10698,"Không đạt"),1,0),IF(EXACT('Kiểm thử'!E10700,"Không đạt"),1,0))</s:f>
        <s:v/>
      </s:c>
      <s:c r="C10799" s="19" t="n"/>
      <s:c r="D10799" s="19" t="n"/>
      <s:c r="E10799" s="19" t="n"/>
    </s:row>
    <s:row r="10800" hidden="1" ht="1" customHeight="1">
      <s:c r="A10800" s="83" t="inlineStr">
        <s:is>
          <s:t>BLOCKED</s:t>
        </s:is>
      </s:c>
      <s:c r="B10800" s="83">
        <s:f>SUM(IF(EXACT('Kiểm thử'!E10698,"Bị chặn"),1,0),IF(EXACT('Kiểm thử'!E10700,"Bị chặn"),1,0))</s:f>
        <s:v/>
      </s:c>
      <s:c r="C10800" s="19" t="n"/>
      <s:c r="D10800" s="19" t="n"/>
      <s:c r="E10800" s="19" t="n"/>
    </s:row>
    <s:row r="10801" hidden="1" ht="1" customHeight="1">
      <s:c r="A10801" s="83" t="inlineStr">
        <s:is>
          <s:t>SKIPPED</s:t>
        </s:is>
      </s:c>
      <s:c r="B10801" s="83">
        <s:f>SUM(IF(EXACT('Kiểm thử'!E10698,"Không thực hiện"),1,0),IF(EXACT('Kiểm thử'!E10700,"Không thực hiện"),1,0))</s:f>
        <s:v/>
      </s:c>
      <s:c r="C10801" s="19" t="n"/>
      <s:c r="D10801" s="19" t="n"/>
      <s:c r="E10801" s="19" t="n"/>
    </s:row>
    <s:row r="10802" hidden="1" ht="1" customHeight="1">
      <s:c r="A10802" s="83" t="inlineStr">
        <s:is>
          <s:t>NOT RUN</s:t>
        </s:is>
      </s:c>
      <s:c r="B10802" s="83">
        <s:f>SUM(IF(EXACT('Kiểm thử'!E10698,"Chưa thực hiện"),1,0),IF(EXACT('Kiểm thử'!E10700,"Chưa thực hiện"),1,0))</s:f>
        <s:v/>
      </s:c>
      <s:c r="C10802" s="19" t="n"/>
      <s:c r="D10802" s="19" t="n"/>
      <s:c r="E10802" s="19" t="n"/>
    </s:row>
    <s:row r="10803" hidden="1" ht="6" customHeight="1">
      <s:c r="A10803" s="83" t="inlineStr"/>
      <s:c r="B10803" s="19" t="n"/>
      <s:c r="C10803" s="19" t="n"/>
      <s:c r="D10803" s="19" t="n"/>
      <s:c r="E10803" s="19" t="n"/>
    </s:row>
    <s:row r="10804" ht="28" customHeight="1">
      <s:c r="A10804" s="108" t="inlineStr">
        <s:is>
          <s:t>TC-RS-FUNC-015 — Quy trình vận hành dùng trung bình: tắt tự tổng hợp → nút xanh → nút cam</s:t>
        </s:is>
      </s:c>
      <s:c r="B10804" s="111" t="n"/>
      <s:c r="C10804" s="111" t="n"/>
      <s:c r="D10804" s="111" t="n"/>
      <s:c r="E10804" s="111" t="n"/>
    </s:row>
    <s:row r="10805" ht="20" customHeight="1">
      <s:c r="A10805" s="112" t="inlineStr">
        <s:is>
          <s:t>Kết quả tình huống</s:t>
        </s:is>
      </s:c>
      <s:c r="B10805" s="113">
        <s:f>IF(SUM(IF(EXACT('Kiểm thử'!E10816,"Không đạt"),1,0))&gt;0,"Không đạt",IF(SUM(IF(EXACT('Kiểm thử'!E10816,"Đạt"),1,0))=1,"Đạt",IF(SUM(IF(EXACT('Kiểm thử'!E10816,"Không thực hiện"),1,0))=1,"Không thực hiện",IF(SUM(IF(EXACT('Kiểm thử'!E10816,"Bị chặn"),1,0))&gt;0,"Bị chặn",IF(SUM(IF(EXACT('Kiểm thử'!E10816,"Chưa thực hiện"),1,0))=1,"Chưa thực hiện","Đang thực hiện")))))</s:f>
        <s:v/>
      </s:c>
      <s:c r="C10805" s="114" t="n"/>
      <s:c r="D10805" s="114" t="n"/>
      <s:c r="E10805" s="114" t="n"/>
    </s:row>
    <s:row r="10806" ht="20" customHeight="1">
      <s:c r="A10806" s="112" t="inlineStr">
        <s:is>
          <s:t>Màn hình / chức năng</s:t>
        </s:is>
      </s:c>
      <s:c r="B10806" s="113" t="inlineStr">
        <s:is>
          <s:t>Nguồn tổng hợp</s:t>
        </s:is>
      </s:c>
      <s:c r="C10806" s="28" t="n"/>
      <s:c r="D10806" s="28" t="n"/>
      <s:c r="E10806" s="28" t="n"/>
    </s:row>
    <s:row r="10807" ht="34" customHeight="1">
      <s:c r="A10807" s="112" t="inlineStr">
        <s:is>
          <s:t>Cấu hình</s:t>
        </s:is>
      </s:c>
      <s:c r="B10807" s="113" t="inlineStr">
        <s:is>
          <s:r>
            <s:t>• Mục số nguyên (</s:t>
          </s:r>
          <s:r>
            <s:rPr>
              <s:b val="1"/>
            </s:rPr>
            <s:t>M=100</s:t>
          </s:r>
          <s:r>
            <s:t>) có cặp quy tắc phân nhánh theo trung bình 60. Điểm của nhóm HR1 đã đầy đủ. Không có bản chốt cho nguồn mặc định. Đăng nhập tài khoản có quyền chạy hàng loạt.</s:t>
          </s:r>
        </s:is>
      </s:c>
      <s:c r="C10807" s="28" t="n"/>
      <s:c r="D10807" s="28" t="n"/>
      <s:c r="E10807" s="28" t="n"/>
    </s:row>
    <s:row r="10808" ht="34" customHeight="1">
      <s:c r="A10808" s="112" t="inlineStr">
        <s:is>
          <s:t>Dữ liệu test</s:t>
        </s:is>
      </s:c>
      <s:c r="B10808" s="113" t="inlineStr">
        <s:is>
          <s:r>
            <s:t>• Mục số nguyên (</s:t>
          </s:r>
          <s:r>
            <s:rPr>
              <s:b val="1"/>
            </s:rPr>
            <s:t>M=100</s:t>
          </s:r>
          <s:r>
            <s:t>);
• Cặp quy tắc phân nhánh theo trung bình 60, các lớp chủ nhiệm HR1, HR2, học sinh S01–S05</s:t>
          </s:r>
        </s:is>
      </s:c>
      <s:c r="C10808" s="28" t="n"/>
      <s:c r="D10808" s="28" t="n"/>
      <s:c r="E10808" s="28" t="n"/>
    </s:row>
    <s:row r="10809" ht="34" customHeight="1">
      <s:c r="A10809" s="112" t="inlineStr">
        <s:is>
          <s:t>Bước 1</s:t>
        </s:is>
      </s:c>
      <s:c r="B10809" s="113" t="inlineStr">
        <s:is>
          <s:r>
            <s:t xml:space="preserve">Thiết lập </s:t>
          </s:r>
          <s:r>
            <s:rPr>
              <s:b val="1"/>
            </s:rPr>
            <s:t>tổng hợp thứ hạng（順位集計設定）</s:t>
          </s:r>
          <s:r>
            <s:t xml:space="preserve">→ </s:t>
          </s:r>
          <s:r>
            <s:rPr>
              <s:b val="1"/>
            </s:rPr>
            <s:t>Thiết lập chi tiết（詳細設定）</s:t>
          </s:r>
          <s:r>
            <s:t xml:space="preserve">: đặt tự tổng hợp khi đăng ký điểm </s:t>
          </s:r>
          <s:r>
            <s:rPr>
              <s:b val="1"/>
            </s:rPr>
            <s:t>là Không thực hiện（実行しない）</s:t>
          </s:r>
          <s:r>
            <s:t>.</s:t>
          </s:r>
        </s:is>
      </s:c>
      <s:c r="C10809" s="28" t="n"/>
      <s:c r="D10809" s="28" t="n"/>
      <s:c r="E10809" s="28" t="n"/>
    </s:row>
    <s:row r="10810" ht="34" customHeight="1">
      <s:c r="A10810" s="112" t="inlineStr">
        <s:is>
          <s:t>Bước 2</s:t>
        </s:is>
      </s:c>
      <s:c r="B10810" s="113" t="inlineStr">
        <s:is>
          <s:r>
            <s:t xml:space="preserve">Ở </s:t>
          </s:r>
          <s:r>
            <s:rPr>
              <s:b val="1"/>
            </s:rPr>
            <s:t>Tổng hợp thành tích（成績集計）</s:t>
          </s:r>
          <s:r>
            <s:t xml:space="preserve">, chọn Khối 1, kỳ 1学期期末 (cuối kỳ học kỳ 1), bấm </s:t>
          </s:r>
          <s:r>
            <s:rPr>
              <s:b val="1"/>
            </s:rPr>
            <s:t>Thực hiện tổng hợp（集計実行）</s:t>
          </s:r>
          <s:r>
            <s:t>, chờ hoàn tất.</s:t>
          </s:r>
        </s:is>
      </s:c>
      <s:c r="C10810" s="28" t="n"/>
      <s:c r="D10810" s="28" t="n"/>
      <s:c r="E10810" s="28" t="n"/>
    </s:row>
    <s:row r="10811" ht="20" customHeight="1">
      <s:c r="A10811" s="112" t="inlineStr">
        <s:is>
          <s:t>Bước 3</s:t>
        </s:is>
      </s:c>
      <s:c r="B10811" s="113" t="inlineStr">
        <s:is>
          <s:r>
            <s:t xml:space="preserve">Bấm Thực hiện </s:t>
          </s:r>
          <s:r>
            <s:rPr>
              <s:b val="1"/>
            </s:rPr>
            <s:t>tính toán tự động（自動算出実行）</s:t>
          </s:r>
          <s:r>
            <s:t>, chờ hoàn tất.</s:t>
          </s:r>
        </s:is>
      </s:c>
      <s:c r="C10811" s="28" t="n"/>
      <s:c r="D10811" s="28" t="n"/>
      <s:c r="E10811" s="28" t="n"/>
    </s:row>
    <s:row r="10812" ht="20" customHeight="1">
      <s:c r="A10812" s="112" t="inlineStr">
        <s:is>
          <s:t>Bước 4</s:t>
        </s:is>
      </s:c>
      <s:c r="B10812" s="113" t="inlineStr">
        <s:is>
          <s:t>Xem kết quả ở ba đầu ra.</s:t>
        </s:is>
      </s:c>
      <s:c r="C10812" s="28" t="n"/>
      <s:c r="D10812" s="28" t="n"/>
      <s:c r="E10812" s="28" t="n"/>
    </s:row>
    <s:row r="10813" ht="20" customHeight="1">
      <s:c r="A10813" s="112" t="inlineStr">
        <s:is>
          <s:t>Bước 5</s:t>
        </s:is>
      </s:c>
      <s:c r="B10813" s="113" t="inlineStr">
        <s:is>
          <s:r>
            <s:t xml:space="preserve">Sau bước 3, xem lần chạy tổng hợp gần nhất hiển thị ở </s:t>
          </s:r>
          <s:r>
            <s:rPr>
              <s:b val="1"/>
            </s:rPr>
            <s:t>Tổng hợp thành tích（成績集計）</s:t>
          </s:r>
          <s:r>
            <s:t>.</s:t>
          </s:r>
        </s:is>
      </s:c>
      <s:c r="C10813" s="28" t="n"/>
      <s:c r="D10813" s="28" t="n"/>
      <s:c r="E10813" s="28" t="n"/>
    </s:row>
    <s:row r="10814" ht="28" customHeight="1">
      <s:c r="A10814" s="115" t="inlineStr">
        <s:is>
          <s:t>Trường hợp</s:t>
        </s:is>
      </s:c>
      <s:c r="B10814" s="115" t="inlineStr">
        <s:is>
          <s:t>Dữ liệu / thao tác riêng</s:t>
        </s:is>
      </s:c>
      <s:c r="C10814" s="115" t="inlineStr">
        <s:is>
          <s:t>Kết quả mong đợi</s:t>
        </s:is>
      </s:c>
      <s:c r="D10814" s="115" t="inlineStr">
        <s:is>
          <s:t>Kết quả thực tế</s:t>
        </s:is>
      </s:c>
      <s:c r="E10814" s="115" t="inlineStr">
        <s:is>
          <s:t>Đánh giá</s:t>
        </s:is>
      </s:c>
    </s:row>
    <s:row r="10815" ht="3" customHeight="1">
      <s:c r="A10815" s="102" t="inlineStr"/>
      <s:c r="B10815" s="99" t="n"/>
      <s:c r="C10815" s="99" t="n"/>
      <s:c r="D10815" s="116" t="n"/>
      <s:c r="E10815" s="116" t="n"/>
    </s:row>
    <s:row r="10816" ht="202" customHeight="1">
      <s:c r="A10816" s="83" t="inlineStr">
        <s:is>
          <s:t>Trường hợp cơ bản (Base)</s:t>
        </s:is>
      </s:c>
      <s:c r="B10816" s="83" t="inlineStr">
        <s:is>
          <s:t>Toàn bộ tình huống: Thực hiện đủ các bước chung theo thứ tự; kiểm cả đối tượng đích và đối chứng cùng fixture, không bỏ bước.</s:t>
        </s:is>
      </s:c>
      <s:c r="C10816" s="83" t="inlineStr">
        <s:is>
          <s:r>
            <s:t xml:space="preserve">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s:t>
          </s:r>
          <s:r>
            <s:rPr>
              <s:b val="1"/>
            </s:rPr>
            <s:t>Thực hiện tổng hợp（集計実行）</s:t>
          </s:r>
          <s:r>
            <s:t xml:space="preserve"> hay thêm lượt xét thứ hai, kể cả khi tính tự động làm đổi điểm dùng cho trung bình: lần chạy tổng hợp gần nhất vẫn là lần ở bước 2. Muốn dùng trung bình mới thì người dùng chạy lại quy trình.</s:t>
          </s:r>
        </s:is>
      </s:c>
      <s:c r="D10816" s="117" t="inlineStr"/>
      <s:c r="E10816" s="118" t="inlineStr">
        <s:is>
          <s:t>Chưa thực hiện</s:t>
        </s:is>
      </s:c>
    </s:row>
    <s:row r="10817" ht="20" customHeight="1">
      <s:c r="A10817" s="119" t="inlineStr">
        <s:is>
          <s:t>Ảnh minh chứng — Chưa có ảnh</s:t>
        </s:is>
      </s:c>
      <s:c r="B10817" s="19" t="n"/>
      <s:c r="C10817" s="19" t="n"/>
      <s:c r="D10817" s="19" t="n"/>
      <s:c r="E10817" s="19" t="n"/>
    </s:row>
    <s:row r="10818" hidden="1" ht="1" customHeight="1">
      <s:c r="A10818" s="120" t="inlineStr"/>
      <s:c r="B10818" s="121" t="n"/>
      <s:c r="C10818" s="121" t="n"/>
      <s:c r="D10818" s="121" t="n"/>
      <s:c r="E10818" s="122" t="n"/>
    </s:row>
    <s:row r="10819" hidden="1" ht="1" customHeight="1">
      <s:c r="A10819" s="120" t="inlineStr"/>
      <s:c r="B10819" s="121" t="n"/>
      <s:c r="C10819" s="121" t="n"/>
      <s:c r="D10819" s="121" t="n"/>
      <s:c r="E10819" s="122" t="n"/>
    </s:row>
    <s:row r="10820" hidden="1" ht="1" customHeight="1">
      <s:c r="A10820" s="120" t="inlineStr"/>
      <s:c r="B10820" s="121" t="n"/>
      <s:c r="C10820" s="121" t="n"/>
      <s:c r="D10820" s="121" t="n"/>
      <s:c r="E10820" s="122" t="n"/>
    </s:row>
    <s:row r="10821" hidden="1" ht="1" customHeight="1">
      <s:c r="A10821" s="120" t="inlineStr"/>
      <s:c r="B10821" s="121" t="n"/>
      <s:c r="C10821" s="121" t="n"/>
      <s:c r="D10821" s="121" t="n"/>
      <s:c r="E10821" s="122" t="n"/>
    </s:row>
    <s:row r="10822" hidden="1" ht="1" customHeight="1">
      <s:c r="A10822" s="120" t="inlineStr"/>
      <s:c r="B10822" s="121" t="n"/>
      <s:c r="C10822" s="121" t="n"/>
      <s:c r="D10822" s="121" t="n"/>
      <s:c r="E10822" s="122" t="n"/>
    </s:row>
    <s:row r="10823" hidden="1" ht="1" customHeight="1">
      <s:c r="A10823" s="120" t="inlineStr"/>
      <s:c r="B10823" s="121" t="n"/>
      <s:c r="C10823" s="121" t="n"/>
      <s:c r="D10823" s="121" t="n"/>
      <s:c r="E10823" s="122" t="n"/>
    </s:row>
    <s:row r="10824" hidden="1" ht="1" customHeight="1">
      <s:c r="A10824" s="120" t="inlineStr"/>
      <s:c r="B10824" s="121" t="n"/>
      <s:c r="C10824" s="121" t="n"/>
      <s:c r="D10824" s="121" t="n"/>
      <s:c r="E10824" s="122" t="n"/>
    </s:row>
    <s:row r="10825" hidden="1" ht="1" customHeight="1">
      <s:c r="A10825" s="120" t="inlineStr"/>
      <s:c r="B10825" s="121" t="n"/>
      <s:c r="C10825" s="121" t="n"/>
      <s:c r="D10825" s="121" t="n"/>
      <s:c r="E10825" s="122" t="n"/>
    </s:row>
    <s:row r="10826" hidden="1" ht="1" customHeight="1">
      <s:c r="A10826" s="120" t="inlineStr"/>
      <s:c r="B10826" s="121" t="n"/>
      <s:c r="C10826" s="121" t="n"/>
      <s:c r="D10826" s="121" t="n"/>
      <s:c r="E10826" s="122" t="n"/>
    </s:row>
    <s:row r="10827" hidden="1" ht="1" customHeight="1">
      <s:c r="A10827" s="120" t="inlineStr"/>
      <s:c r="B10827" s="121" t="n"/>
      <s:c r="C10827" s="121" t="n"/>
      <s:c r="D10827" s="121" t="n"/>
      <s:c r="E10827" s="122" t="n"/>
    </s:row>
    <s:row r="10828" hidden="1" ht="1" customHeight="1">
      <s:c r="A10828" s="120" t="inlineStr"/>
      <s:c r="B10828" s="121" t="n"/>
      <s:c r="C10828" s="121" t="n"/>
      <s:c r="D10828" s="121" t="n"/>
      <s:c r="E10828" s="122" t="n"/>
    </s:row>
    <s:row r="10829" hidden="1" ht="1" customHeight="1">
      <s:c r="A10829" s="120" t="inlineStr"/>
      <s:c r="B10829" s="121" t="n"/>
      <s:c r="C10829" s="121" t="n"/>
      <s:c r="D10829" s="121" t="n"/>
      <s:c r="E10829" s="122" t="n"/>
    </s:row>
    <s:row r="10830" hidden="1" ht="1" customHeight="1">
      <s:c r="A10830" s="120" t="inlineStr"/>
      <s:c r="B10830" s="121" t="n"/>
      <s:c r="C10830" s="121" t="n"/>
      <s:c r="D10830" s="121" t="n"/>
      <s:c r="E10830" s="122" t="n"/>
    </s:row>
    <s:row r="10831" hidden="1" ht="1" customHeight="1">
      <s:c r="A10831" s="120" t="inlineStr"/>
      <s:c r="B10831" s="121" t="n"/>
      <s:c r="C10831" s="121" t="n"/>
      <s:c r="D10831" s="121" t="n"/>
      <s:c r="E10831" s="122" t="n"/>
    </s:row>
    <s:row r="10832" hidden="1" ht="1" customHeight="1">
      <s:c r="A10832" s="120" t="inlineStr"/>
      <s:c r="B10832" s="121" t="n"/>
      <s:c r="C10832" s="121" t="n"/>
      <s:c r="D10832" s="121" t="n"/>
      <s:c r="E10832" s="122" t="n"/>
    </s:row>
    <s:row r="10833" hidden="1" ht="1" customHeight="1">
      <s:c r="A10833" s="120" t="inlineStr"/>
      <s:c r="B10833" s="121" t="n"/>
      <s:c r="C10833" s="121" t="n"/>
      <s:c r="D10833" s="121" t="n"/>
      <s:c r="E10833" s="122" t="n"/>
    </s:row>
    <s:row r="10834" hidden="1" ht="1" customHeight="1">
      <s:c r="A10834" s="120" t="inlineStr"/>
      <s:c r="B10834" s="121" t="n"/>
      <s:c r="C10834" s="121" t="n"/>
      <s:c r="D10834" s="121" t="n"/>
      <s:c r="E10834" s="122" t="n"/>
    </s:row>
    <s:row r="10835" hidden="1" ht="1" customHeight="1">
      <s:c r="A10835" s="120" t="inlineStr"/>
      <s:c r="B10835" s="121" t="n"/>
      <s:c r="C10835" s="121" t="n"/>
      <s:c r="D10835" s="121" t="n"/>
      <s:c r="E10835" s="122" t="n"/>
    </s:row>
    <s:row r="10836" hidden="1" ht="1" customHeight="1">
      <s:c r="A10836" s="120" t="inlineStr"/>
      <s:c r="B10836" s="121" t="n"/>
      <s:c r="C10836" s="121" t="n"/>
      <s:c r="D10836" s="121" t="n"/>
      <s:c r="E10836" s="122" t="n"/>
    </s:row>
    <s:row r="10837" hidden="1" ht="1" customHeight="1">
      <s:c r="A10837" s="120" t="inlineStr"/>
      <s:c r="B10837" s="121" t="n"/>
      <s:c r="C10837" s="121" t="n"/>
      <s:c r="D10837" s="121" t="n"/>
      <s:c r="E10837" s="122" t="n"/>
    </s:row>
    <s:row r="10838" hidden="1" ht="1" customHeight="1">
      <s:c r="A10838" s="120" t="inlineStr"/>
      <s:c r="B10838" s="121" t="n"/>
      <s:c r="C10838" s="121" t="n"/>
      <s:c r="D10838" s="121" t="n"/>
      <s:c r="E10838" s="122" t="n"/>
    </s:row>
    <s:row r="10839" hidden="1" ht="1" customHeight="1">
      <s:c r="A10839" s="120" t="inlineStr"/>
      <s:c r="B10839" s="121" t="n"/>
      <s:c r="C10839" s="121" t="n"/>
      <s:c r="D10839" s="121" t="n"/>
      <s:c r="E10839" s="122" t="n"/>
    </s:row>
    <s:row r="10840" hidden="1" ht="1" customHeight="1">
      <s:c r="A10840" s="120" t="inlineStr"/>
      <s:c r="B10840" s="121" t="n"/>
      <s:c r="C10840" s="121" t="n"/>
      <s:c r="D10840" s="121" t="n"/>
      <s:c r="E10840" s="122" t="n"/>
    </s:row>
    <s:row r="10841" hidden="1" ht="1" customHeight="1">
      <s:c r="A10841" s="120" t="inlineStr"/>
      <s:c r="B10841" s="121" t="n"/>
      <s:c r="C10841" s="121" t="n"/>
      <s:c r="D10841" s="121" t="n"/>
      <s:c r="E10841" s="122" t="n"/>
    </s:row>
    <s:row r="10842" hidden="1" ht="1" customHeight="1">
      <s:c r="A10842" s="120" t="inlineStr"/>
      <s:c r="B10842" s="121" t="n"/>
      <s:c r="C10842" s="121" t="n"/>
      <s:c r="D10842" s="121" t="n"/>
      <s:c r="E10842" s="122" t="n"/>
    </s:row>
    <s:row r="10843" hidden="1" ht="1" customHeight="1">
      <s:c r="A10843" s="120" t="inlineStr"/>
      <s:c r="B10843" s="121" t="n"/>
      <s:c r="C10843" s="121" t="n"/>
      <s:c r="D10843" s="121" t="n"/>
      <s:c r="E10843" s="122" t="n"/>
    </s:row>
    <s:row r="10844" hidden="1" ht="1" customHeight="1">
      <s:c r="A10844" s="120" t="inlineStr"/>
      <s:c r="B10844" s="121" t="n"/>
      <s:c r="C10844" s="121" t="n"/>
      <s:c r="D10844" s="121" t="n"/>
      <s:c r="E10844" s="122" t="n"/>
    </s:row>
    <s:row r="10845" hidden="1" ht="1" customHeight="1">
      <s:c r="A10845" s="120" t="inlineStr"/>
      <s:c r="B10845" s="121" t="n"/>
      <s:c r="C10845" s="121" t="n"/>
      <s:c r="D10845" s="121" t="n"/>
      <s:c r="E10845" s="122" t="n"/>
    </s:row>
    <s:row r="10846" hidden="1" ht="1" customHeight="1">
      <s:c r="A10846" s="120" t="inlineStr"/>
      <s:c r="B10846" s="121" t="n"/>
      <s:c r="C10846" s="121" t="n"/>
      <s:c r="D10846" s="121" t="n"/>
      <s:c r="E10846" s="122" t="n"/>
    </s:row>
    <s:row r="10847" hidden="1" ht="1" customHeight="1">
      <s:c r="A10847" s="120" t="inlineStr"/>
      <s:c r="B10847" s="121" t="n"/>
      <s:c r="C10847" s="121" t="n"/>
      <s:c r="D10847" s="121" t="n"/>
      <s:c r="E10847" s="122" t="n"/>
    </s:row>
    <s:row r="10848" hidden="1" ht="1" customHeight="1">
      <s:c r="A10848" s="120" t="inlineStr"/>
      <s:c r="B10848" s="121" t="n"/>
      <s:c r="C10848" s="121" t="n"/>
      <s:c r="D10848" s="121" t="n"/>
      <s:c r="E10848" s="122" t="n"/>
    </s:row>
    <s:row r="10849" hidden="1" ht="1" customHeight="1">
      <s:c r="A10849" s="120" t="inlineStr"/>
      <s:c r="B10849" s="121" t="n"/>
      <s:c r="C10849" s="121" t="n"/>
      <s:c r="D10849" s="121" t="n"/>
      <s:c r="E10849" s="122" t="n"/>
    </s:row>
    <s:row r="10850" hidden="1" ht="1" customHeight="1">
      <s:c r="A10850" s="120" t="inlineStr"/>
      <s:c r="B10850" s="121" t="n"/>
      <s:c r="C10850" s="121" t="n"/>
      <s:c r="D10850" s="121" t="n"/>
      <s:c r="E10850" s="122" t="n"/>
    </s:row>
    <s:row r="10851" hidden="1" ht="1" customHeight="1">
      <s:c r="A10851" s="120" t="inlineStr"/>
      <s:c r="B10851" s="121" t="n"/>
      <s:c r="C10851" s="121" t="n"/>
      <s:c r="D10851" s="121" t="n"/>
      <s:c r="E10851" s="122" t="n"/>
    </s:row>
    <s:row r="10852" hidden="1" ht="1" customHeight="1">
      <s:c r="A10852" s="120" t="inlineStr"/>
      <s:c r="B10852" s="121" t="n"/>
      <s:c r="C10852" s="121" t="n"/>
      <s:c r="D10852" s="121" t="n"/>
      <s:c r="E10852" s="122" t="n"/>
    </s:row>
    <s:row r="10853" hidden="1" ht="1" customHeight="1">
      <s:c r="A10853" s="120" t="inlineStr"/>
      <s:c r="B10853" s="121" t="n"/>
      <s:c r="C10853" s="121" t="n"/>
      <s:c r="D10853" s="121" t="n"/>
      <s:c r="E10853" s="122" t="n"/>
    </s:row>
    <s:row r="10854" hidden="1" ht="1" customHeight="1">
      <s:c r="A10854" s="120" t="inlineStr"/>
      <s:c r="B10854" s="121" t="n"/>
      <s:c r="C10854" s="121" t="n"/>
      <s:c r="D10854" s="121" t="n"/>
      <s:c r="E10854" s="122" t="n"/>
    </s:row>
    <s:row r="10855" hidden="1" ht="1" customHeight="1">
      <s:c r="A10855" s="120" t="inlineStr"/>
      <s:c r="B10855" s="121" t="n"/>
      <s:c r="C10855" s="121" t="n"/>
      <s:c r="D10855" s="121" t="n"/>
      <s:c r="E10855" s="122" t="n"/>
    </s:row>
    <s:row r="10856" hidden="1" ht="1" customHeight="1">
      <s:c r="A10856" s="120" t="inlineStr"/>
      <s:c r="B10856" s="121" t="n"/>
      <s:c r="C10856" s="121" t="n"/>
      <s:c r="D10856" s="121" t="n"/>
      <s:c r="E10856" s="122" t="n"/>
    </s:row>
    <s:row r="10857" hidden="1" ht="1" customHeight="1">
      <s:c r="A10857" s="120" t="inlineStr"/>
      <s:c r="B10857" s="121" t="n"/>
      <s:c r="C10857" s="121" t="n"/>
      <s:c r="D10857" s="121" t="n"/>
      <s:c r="E10857" s="122" t="n"/>
    </s:row>
    <s:row r="10858" hidden="1" ht="1" customHeight="1">
      <s:c r="A10858" s="120" t="inlineStr"/>
      <s:c r="B10858" s="121" t="n"/>
      <s:c r="C10858" s="121" t="n"/>
      <s:c r="D10858" s="121" t="n"/>
      <s:c r="E10858" s="122" t="n"/>
    </s:row>
    <s:row r="10859" hidden="1" ht="1" customHeight="1">
      <s:c r="A10859" s="120" t="inlineStr"/>
      <s:c r="B10859" s="121" t="n"/>
      <s:c r="C10859" s="121" t="n"/>
      <s:c r="D10859" s="121" t="n"/>
      <s:c r="E10859" s="122" t="n"/>
    </s:row>
    <s:row r="10860" hidden="1" ht="1" customHeight="1">
      <s:c r="A10860" s="120" t="inlineStr"/>
      <s:c r="B10860" s="121" t="n"/>
      <s:c r="C10860" s="121" t="n"/>
      <s:c r="D10860" s="121" t="n"/>
      <s:c r="E10860" s="122" t="n"/>
    </s:row>
    <s:row r="10861" hidden="1" ht="1" customHeight="1">
      <s:c r="A10861" s="120" t="inlineStr"/>
      <s:c r="B10861" s="121" t="n"/>
      <s:c r="C10861" s="121" t="n"/>
      <s:c r="D10861" s="121" t="n"/>
      <s:c r="E10861" s="122" t="n"/>
    </s:row>
    <s:row r="10862" hidden="1" ht="1" customHeight="1">
      <s:c r="A10862" s="120" t="inlineStr"/>
      <s:c r="B10862" s="121" t="n"/>
      <s:c r="C10862" s="121" t="n"/>
      <s:c r="D10862" s="121" t="n"/>
      <s:c r="E10862" s="122" t="n"/>
    </s:row>
    <s:row r="10863" hidden="1" ht="1" customHeight="1">
      <s:c r="A10863" s="120" t="inlineStr"/>
      <s:c r="B10863" s="121" t="n"/>
      <s:c r="C10863" s="121" t="n"/>
      <s:c r="D10863" s="121" t="n"/>
      <s:c r="E10863" s="122" t="n"/>
    </s:row>
    <s:row r="10864" hidden="1" ht="1" customHeight="1">
      <s:c r="A10864" s="120" t="inlineStr"/>
      <s:c r="B10864" s="121" t="n"/>
      <s:c r="C10864" s="121" t="n"/>
      <s:c r="D10864" s="121" t="n"/>
      <s:c r="E10864" s="122" t="n"/>
    </s:row>
    <s:row r="10865" hidden="1" ht="1" customHeight="1">
      <s:c r="A10865" s="120" t="inlineStr"/>
      <s:c r="B10865" s="121" t="n"/>
      <s:c r="C10865" s="121" t="n"/>
      <s:c r="D10865" s="121" t="n"/>
      <s:c r="E10865" s="122" t="n"/>
    </s:row>
    <s:row r="10866" hidden="1" ht="1" customHeight="1">
      <s:c r="A10866" s="83" t="inlineStr">
        <s:is>
          <s:t>PASS</s:t>
        </s:is>
      </s:c>
      <s:c r="B10866" s="83">
        <s:f>SUM(IF(EXACT('Kiểm thử'!E10816,"Đạt"),1,0))</s:f>
        <s:v/>
      </s:c>
      <s:c r="C10866" s="19" t="n"/>
      <s:c r="D10866" s="19" t="n"/>
      <s:c r="E10866" s="19" t="n"/>
    </s:row>
    <s:row r="10867" hidden="1" ht="1" customHeight="1">
      <s:c r="A10867" s="83" t="inlineStr">
        <s:is>
          <s:t>FAIL</s:t>
        </s:is>
      </s:c>
      <s:c r="B10867" s="83">
        <s:f>SUM(IF(EXACT('Kiểm thử'!E10816,"Không đạt"),1,0))</s:f>
        <s:v/>
      </s:c>
      <s:c r="C10867" s="19" t="n"/>
      <s:c r="D10867" s="19" t="n"/>
      <s:c r="E10867" s="19" t="n"/>
    </s:row>
    <s:row r="10868" hidden="1" ht="1" customHeight="1">
      <s:c r="A10868" s="83" t="inlineStr">
        <s:is>
          <s:t>BLOCKED</s:t>
        </s:is>
      </s:c>
      <s:c r="B10868" s="83">
        <s:f>SUM(IF(EXACT('Kiểm thử'!E10816,"Bị chặn"),1,0))</s:f>
        <s:v/>
      </s:c>
      <s:c r="C10868" s="19" t="n"/>
      <s:c r="D10868" s="19" t="n"/>
      <s:c r="E10868" s="19" t="n"/>
    </s:row>
    <s:row r="10869" hidden="1" ht="1" customHeight="1">
      <s:c r="A10869" s="83" t="inlineStr">
        <s:is>
          <s:t>SKIPPED</s:t>
        </s:is>
      </s:c>
      <s:c r="B10869" s="83">
        <s:f>SUM(IF(EXACT('Kiểm thử'!E10816,"Không thực hiện"),1,0))</s:f>
        <s:v/>
      </s:c>
      <s:c r="C10869" s="19" t="n"/>
      <s:c r="D10869" s="19" t="n"/>
      <s:c r="E10869" s="19" t="n"/>
    </s:row>
    <s:row r="10870" hidden="1" ht="1" customHeight="1">
      <s:c r="A10870" s="83" t="inlineStr">
        <s:is>
          <s:t>NOT RUN</s:t>
        </s:is>
      </s:c>
      <s:c r="B10870" s="83">
        <s:f>SUM(IF(EXACT('Kiểm thử'!E10816,"Chưa thực hiện"),1,0))</s:f>
        <s:v/>
      </s:c>
      <s:c r="C10870" s="19" t="n"/>
      <s:c r="D10870" s="19" t="n"/>
      <s:c r="E10870" s="19" t="n"/>
    </s:row>
    <s:row r="10871" hidden="1" ht="6" customHeight="1">
      <s:c r="A10871" s="83" t="inlineStr"/>
      <s:c r="B10871" s="19" t="n"/>
      <s:c r="C10871" s="19" t="n"/>
      <s:c r="D10871" s="19" t="n"/>
      <s:c r="E10871" s="19" t="n"/>
    </s:row>
    <s:row r="10872" ht="28" customHeight="1">
      <s:c r="A10872" s="108" t="inlineStr">
        <s:is>
          <s:t>TC-RS-FUNC-034 — Nguồn của điều kiện áp dụng và nguồn của công thức lưu độc lập</s:t>
        </s:is>
      </s:c>
      <s:c r="B10872" s="111" t="n"/>
      <s:c r="C10872" s="111" t="n"/>
      <s:c r="D10872" s="111" t="n"/>
      <s:c r="E10872" s="111" t="n"/>
    </s:row>
    <s:row r="10873" ht="20" customHeight="1">
      <s:c r="A10873" s="112" t="inlineStr">
        <s:is>
          <s:t>Kết quả tình huống</s:t>
        </s:is>
      </s:c>
      <s:c r="B10873" s="113">
        <s:f>IF(SUM(IF(EXACT('Kiểm thử'!E10883,"Không đạt"),1,0))&gt;0,"Không đạt",IF(SUM(IF(EXACT('Kiểm thử'!E10883,"Đạt"),1,0))=1,"Đạt",IF(SUM(IF(EXACT('Kiểm thử'!E10883,"Không thực hiện"),1,0))=1,"Không thực hiện",IF(SUM(IF(EXACT('Kiểm thử'!E10883,"Bị chặn"),1,0))&gt;0,"Bị chặn",IF(SUM(IF(EXACT('Kiểm thử'!E10883,"Chưa thực hiện"),1,0))=1,"Chưa thực hiện","Đang thực hiện")))))</s:f>
        <s:v/>
      </s:c>
      <s:c r="C10873" s="114" t="n"/>
      <s:c r="D10873" s="114" t="n"/>
      <s:c r="E10873" s="114" t="n"/>
    </s:row>
    <s:row r="10874" ht="20" customHeight="1">
      <s:c r="A10874" s="112" t="inlineStr">
        <s:is>
          <s:t>Màn hình / chức năng</s:t>
        </s:is>
      </s:c>
      <s:c r="B10874" s="113" t="inlineStr">
        <s:is>
          <s:t>Nguồn tổng hợp</s:t>
        </s:is>
      </s:c>
      <s:c r="C10874" s="28" t="n"/>
      <s:c r="D10874" s="28" t="n"/>
      <s:c r="E10874" s="28" t="n"/>
    </s:row>
    <s:row r="10875" ht="62" customHeight="1">
      <s:c r="A10875" s="112" t="inlineStr">
        <s:is>
          <s:t>Cấu hình</s:t>
        </s:is>
      </s:c>
      <s:c r="B10875" s="113" t="inlineStr">
        <s:is>
          <s:r>
            <s:t xml:space="preserve">• Ba nguồn cùng Thiết lập </s:t>
          </s:r>
          <s:r>
            <s:rPr>
              <s:b val="1"/>
            </s:rPr>
            <s:t>tổng hợp thứ hạng（順位集計設定）</s:t>
          </s:r>
          <s:r>
            <s:t xml:space="preserve"> và nhóm ホームルーム (lớp chủ nhiệm), khác </s:t>
          </s:r>
          <s:r>
            <s:rPr>
              <s:b val="1"/>
            </s:rPr>
            <s:t>Thời kỳ tổng hợp（集計対象時期）</s:t>
          </s:r>
          <s:r>
            <s:t>: P [</s:t>
          </s:r>
          <s:r>
            <s:rPr>
              <s:b val="1"/>
            </s:rPr>
            <s:t>A=60</s:t>
          </s:r>
          <s:r>
            <s:t>];
• P2 [</s:t>
          </s:r>
          <s:r>
            <s:rPr>
              <s:b val="1"/>
            </s:rPr>
            <s:t>A=70</s:t>
          </s:r>
          <s:r>
            <s:t>];
• Q [</s:t>
          </s:r>
          <s:r>
            <s:rPr>
              <s:b val="1"/>
            </s:rPr>
            <s:t>A=40</s:t>
          </s:r>
          <s:r>
            <s:t>].</s:t>
          </s:r>
        </s:is>
      </s:c>
      <s:c r="C10875" s="28" t="n"/>
      <s:c r="D10875" s="28" t="n"/>
      <s:c r="E10875" s="28" t="n"/>
    </s:row>
    <s:row r="10876" ht="48" customHeight="1">
      <s:c r="A10876" s="112" t="inlineStr">
        <s:is>
          <s:t>Dữ liệu test</s:t>
        </s:is>
      </s:c>
      <s:c r="B10876" s="113" t="inlineStr">
        <s:is>
          <s:r>
            <s:t xml:space="preserve">• Quy tắc: </s:t>
          </s:r>
          <s:r>
            <s:rPr>
              <s:b val="1"/>
            </s:rPr>
            <s:t>điều kiện Trung bình（平均点）</s:t>
          </s:r>
          <s:r>
            <s:t xml:space="preserve"> [≥50] dùng nguồn P;
</s:t>
          </s:r>
          <s:r>
            <s:rPr>
              <s:b val="1"/>
            </s:rPr>
            <s:t>• Ngưỡng Công thức（計算式）</s:t>
          </s:r>
          <s:r>
            <s:t xml:space="preserve"> [A×0.5] dùng nguồn Q;
• [&lt;]. S = 25</s:t>
          </s:r>
        </s:is>
      </s:c>
      <s:c r="C10876" s="28" t="n"/>
      <s:c r="D10876" s="28" t="n"/>
      <s:c r="E10876" s="28" t="n"/>
    </s:row>
    <s:row r="10877" ht="20" customHeight="1">
      <s:c r="A10877" s="112" t="inlineStr">
        <s:is>
          <s:t>Bước 1</s:t>
        </s:is>
      </s:c>
      <s:c r="B10877" s="113" t="inlineStr">
        <s:is>
          <s:t>Lưu quy tắc, mở lại.</s:t>
        </s:is>
      </s:c>
      <s:c r="C10877" s="28" t="n"/>
      <s:c r="D10877" s="28" t="n"/>
      <s:c r="E10877" s="28" t="n"/>
    </s:row>
    <s:row r="10878" ht="20" customHeight="1">
      <s:c r="A10878" s="112" t="inlineStr">
        <s:is>
          <s:t>Bước 2</s:t>
        </s:is>
      </s:c>
      <s:c r="B10878" s="113" t="inlineStr">
        <s:is>
          <s:t>Chỉ đổi nguồn của điều kiện từ P sang P2, Lưu, mở lại.</s:t>
        </s:is>
      </s:c>
      <s:c r="C10878" s="28" t="n"/>
      <s:c r="D10878" s="28" t="n"/>
      <s:c r="E10878" s="28" t="n"/>
    </s:row>
    <s:row r="10879" ht="20" customHeight="1">
      <s:c r="A10879" s="112" t="inlineStr">
        <s:is>
          <s:t>Bước 3</s:t>
        </s:is>
      </s:c>
      <s:c r="B10879" s="113" t="inlineStr">
        <s:is>
          <s:t>Chạy nút cam.</s:t>
        </s:is>
      </s:c>
      <s:c r="C10879" s="28" t="n"/>
      <s:c r="D10879" s="28" t="n"/>
      <s:c r="E10879" s="28" t="n"/>
    </s:row>
    <s:row r="10880" ht="48" customHeight="1">
      <s:c r="A10880" s="112" t="inlineStr">
        <s:is>
          <s:t>Bước 4</s:t>
        </s:is>
      </s:c>
      <s:c r="B10880" s="113" t="inlineStr">
        <s:is>
          <s:r>
            <s:t xml:space="preserve">Trên form, đổi </s:t>
          </s:r>
          <s:r>
            <s:rPr>
              <s:b val="1"/>
            </s:rPr>
            <s:t>Thời kỳ tổng hợp（集計対象時期）</s:t>
          </s:r>
          <s:r>
            <s:t xml:space="preserve"> của nguồn điều kiện sang kỳ mà Thiết lập </s:t>
          </s:r>
          <s:r>
            <s:rPr>
              <s:b val="1"/>
            </s:rPr>
            <s:t>tổng hợp thứ hạng（順位集計設定）</s:t>
          </s:r>
          <s:r>
            <s:t xml:space="preserve"> đang chọn vẫn hợp lệ; rồi đổi sang kỳ mà thiết lập đó không còn hợp lệ. Xem các ô chọn phụ thuộc sau mỗi lần đổi.</s:t>
          </s:r>
        </s:is>
      </s:c>
      <s:c r="C10880" s="28" t="n"/>
      <s:c r="D10880" s="28" t="n"/>
      <s:c r="E10880" s="28" t="n"/>
    </s:row>
    <s:row r="10881" ht="28" customHeight="1">
      <s:c r="A10881" s="115" t="inlineStr">
        <s:is>
          <s:t>Trường hợp</s:t>
        </s:is>
      </s:c>
      <s:c r="B10881" s="115" t="inlineStr">
        <s:is>
          <s:t>Dữ liệu / thao tác riêng</s:t>
        </s:is>
      </s:c>
      <s:c r="C10881" s="115" t="inlineStr">
        <s:is>
          <s:t>Kết quả mong đợi</s:t>
        </s:is>
      </s:c>
      <s:c r="D10881" s="115" t="inlineStr">
        <s:is>
          <s:t>Kết quả thực tế</s:t>
        </s:is>
      </s:c>
      <s:c r="E10881" s="115" t="inlineStr">
        <s:is>
          <s:t>Đánh giá</s:t>
        </s:is>
      </s:c>
    </s:row>
    <s:row r="10882" ht="3" customHeight="1">
      <s:c r="A10882" s="102" t="inlineStr"/>
      <s:c r="B10882" s="99" t="n"/>
      <s:c r="C10882" s="99" t="n"/>
      <s:c r="D10882" s="116" t="n"/>
      <s:c r="E10882" s="116" t="n"/>
    </s:row>
    <s:row r="10883" ht="160" customHeight="1">
      <s:c r="A10883" s="83" t="inlineStr">
        <s:is>
          <s:t>Trường hợp cơ bản (Base)</s:t>
        </s:is>
      </s:c>
      <s:c r="B10883" s="83" t="inlineStr">
        <s:is>
          <s:t>Toàn bộ tình huống: Thực hiện đủ các bước chung theo thứ tự; kiểm cả đối tượng đích và đối chứng cùng fixture, không bỏ bước.</s:t>
        </s:is>
      </s:c>
      <s:c r="C10883" s="83" t="inlineStr">
        <s:is>
          <s:r>
            <s:t>1. Mỗi phần hiện đúng nguồn của mình (điều kiện: P; công thức: Q).
2. Điều kiện dùng P2; công thức vẫn dùng Q.
3. [70≥50] khớp; [</s:t>
          </s:r>
          <s:r>
            <s:rPr>
              <s:b val="1"/>
            </s:rPr>
            <s:t>T=40</s:t>
          </s:r>
          <s:r>
            <s:t xml:space="preserve">×0.5=20] → </s:t>
          </s:r>
          <s:r>
            <s:rPr>
              <s:b val="1"/>
            </s:rPr>
            <s:t>S=25</s:t>
          </s:r>
          <s:r>
            <s:t xml:space="preserve"> </s:t>
          </s:r>
          <s:r>
            <s:rPr>
              <s:b val="1"/>
            </s:rPr>
            <s:t>Không đỏ</s:t>
          </s:r>
          <s:r>
            <s:t>. Nếu công thức bị đổi theo P2 ([</s:t>
          </s:r>
          <s:r>
            <s:rPr>
              <s:b val="1"/>
            </s:rPr>
            <s:t>T=35</s:t>
          </s:r>
          <s:r>
            <s:t>]) hoặc dùng P ([</s:t>
          </s:r>
          <s:r>
            <s:rPr>
              <s:b val="1"/>
            </s:rPr>
            <s:t>T=30</s:t>
          </s:r>
          <s:r>
            <s:t xml:space="preserve">]) thì </s:t>
          </s:r>
          <s:r>
            <s:rPr>
              <s:b val="1"/>
            </s:rPr>
            <s:t>S=25</s:t>
          </s:r>
          <s:r>
            <s:t xml:space="preserve"> thành </s:t>
          </s:r>
          <s:r>
            <s:rPr>
              <s:b val="1"/>
            </s:rPr>
            <s:t>Đỏ</s:t>
          </s:r>
          <s:r>
            <s:t xml:space="preserve"> — sai.
4. (PROPOSED) Chỉ lựa chọn phụ thuộc không còn hợp lệ bị xóa; lựa chọn còn hợp lệ được giữ; nguồn của công thức không đổi.</s:t>
          </s:r>
        </s:is>
      </s:c>
      <s:c r="D10883" s="117" t="inlineStr"/>
      <s:c r="E10883" s="118" t="inlineStr">
        <s:is>
          <s:t>Chưa thực hiện</s:t>
        </s:is>
      </s:c>
    </s:row>
    <s:row r="10884" ht="20" customHeight="1">
      <s:c r="A10884" s="119" t="inlineStr">
        <s:is>
          <s:t>Ảnh minh chứng — Chưa có ảnh</s:t>
        </s:is>
      </s:c>
      <s:c r="B10884" s="19" t="n"/>
      <s:c r="C10884" s="19" t="n"/>
      <s:c r="D10884" s="19" t="n"/>
      <s:c r="E10884" s="19" t="n"/>
    </s:row>
    <s:row r="10885" hidden="1" ht="1" customHeight="1">
      <s:c r="A10885" s="120" t="inlineStr"/>
      <s:c r="B10885" s="121" t="n"/>
      <s:c r="C10885" s="121" t="n"/>
      <s:c r="D10885" s="121" t="n"/>
      <s:c r="E10885" s="122" t="n"/>
    </s:row>
    <s:row r="10886" hidden="1" ht="1" customHeight="1">
      <s:c r="A10886" s="120" t="inlineStr"/>
      <s:c r="B10886" s="121" t="n"/>
      <s:c r="C10886" s="121" t="n"/>
      <s:c r="D10886" s="121" t="n"/>
      <s:c r="E10886" s="122" t="n"/>
    </s:row>
    <s:row r="10887" hidden="1" ht="1" customHeight="1">
      <s:c r="A10887" s="120" t="inlineStr"/>
      <s:c r="B10887" s="121" t="n"/>
      <s:c r="C10887" s="121" t="n"/>
      <s:c r="D10887" s="121" t="n"/>
      <s:c r="E10887" s="122" t="n"/>
    </s:row>
    <s:row r="10888" hidden="1" ht="1" customHeight="1">
      <s:c r="A10888" s="120" t="inlineStr"/>
      <s:c r="B10888" s="121" t="n"/>
      <s:c r="C10888" s="121" t="n"/>
      <s:c r="D10888" s="121" t="n"/>
      <s:c r="E10888" s="122" t="n"/>
    </s:row>
    <s:row r="10889" hidden="1" ht="1" customHeight="1">
      <s:c r="A10889" s="120" t="inlineStr"/>
      <s:c r="B10889" s="121" t="n"/>
      <s:c r="C10889" s="121" t="n"/>
      <s:c r="D10889" s="121" t="n"/>
      <s:c r="E10889" s="122" t="n"/>
    </s:row>
    <s:row r="10890" hidden="1" ht="1" customHeight="1">
      <s:c r="A10890" s="120" t="inlineStr"/>
      <s:c r="B10890" s="121" t="n"/>
      <s:c r="C10890" s="121" t="n"/>
      <s:c r="D10890" s="121" t="n"/>
      <s:c r="E10890" s="122" t="n"/>
    </s:row>
    <s:row r="10891" hidden="1" ht="1" customHeight="1">
      <s:c r="A10891" s="120" t="inlineStr"/>
      <s:c r="B10891" s="121" t="n"/>
      <s:c r="C10891" s="121" t="n"/>
      <s:c r="D10891" s="121" t="n"/>
      <s:c r="E10891" s="122" t="n"/>
    </s:row>
    <s:row r="10892" hidden="1" ht="1" customHeight="1">
      <s:c r="A10892" s="120" t="inlineStr"/>
      <s:c r="B10892" s="121" t="n"/>
      <s:c r="C10892" s="121" t="n"/>
      <s:c r="D10892" s="121" t="n"/>
      <s:c r="E10892" s="122" t="n"/>
    </s:row>
    <s:row r="10893" hidden="1" ht="1" customHeight="1">
      <s:c r="A10893" s="120" t="inlineStr"/>
      <s:c r="B10893" s="121" t="n"/>
      <s:c r="C10893" s="121" t="n"/>
      <s:c r="D10893" s="121" t="n"/>
      <s:c r="E10893" s="122" t="n"/>
    </s:row>
    <s:row r="10894" hidden="1" ht="1" customHeight="1">
      <s:c r="A10894" s="120" t="inlineStr"/>
      <s:c r="B10894" s="121" t="n"/>
      <s:c r="C10894" s="121" t="n"/>
      <s:c r="D10894" s="121" t="n"/>
      <s:c r="E10894" s="122" t="n"/>
    </s:row>
    <s:row r="10895" hidden="1" ht="1" customHeight="1">
      <s:c r="A10895" s="120" t="inlineStr"/>
      <s:c r="B10895" s="121" t="n"/>
      <s:c r="C10895" s="121" t="n"/>
      <s:c r="D10895" s="121" t="n"/>
      <s:c r="E10895" s="122" t="n"/>
    </s:row>
    <s:row r="10896" hidden="1" ht="1" customHeight="1">
      <s:c r="A10896" s="120" t="inlineStr"/>
      <s:c r="B10896" s="121" t="n"/>
      <s:c r="C10896" s="121" t="n"/>
      <s:c r="D10896" s="121" t="n"/>
      <s:c r="E10896" s="122" t="n"/>
    </s:row>
    <s:row r="10897" hidden="1" ht="1" customHeight="1">
      <s:c r="A10897" s="120" t="inlineStr"/>
      <s:c r="B10897" s="121" t="n"/>
      <s:c r="C10897" s="121" t="n"/>
      <s:c r="D10897" s="121" t="n"/>
      <s:c r="E10897" s="122" t="n"/>
    </s:row>
    <s:row r="10898" hidden="1" ht="1" customHeight="1">
      <s:c r="A10898" s="120" t="inlineStr"/>
      <s:c r="B10898" s="121" t="n"/>
      <s:c r="C10898" s="121" t="n"/>
      <s:c r="D10898" s="121" t="n"/>
      <s:c r="E10898" s="122" t="n"/>
    </s:row>
    <s:row r="10899" hidden="1" ht="1" customHeight="1">
      <s:c r="A10899" s="120" t="inlineStr"/>
      <s:c r="B10899" s="121" t="n"/>
      <s:c r="C10899" s="121" t="n"/>
      <s:c r="D10899" s="121" t="n"/>
      <s:c r="E10899" s="122" t="n"/>
    </s:row>
    <s:row r="10900" hidden="1" ht="1" customHeight="1">
      <s:c r="A10900" s="120" t="inlineStr"/>
      <s:c r="B10900" s="121" t="n"/>
      <s:c r="C10900" s="121" t="n"/>
      <s:c r="D10900" s="121" t="n"/>
      <s:c r="E10900" s="122" t="n"/>
    </s:row>
    <s:row r="10901" hidden="1" ht="1" customHeight="1">
      <s:c r="A10901" s="120" t="inlineStr"/>
      <s:c r="B10901" s="121" t="n"/>
      <s:c r="C10901" s="121" t="n"/>
      <s:c r="D10901" s="121" t="n"/>
      <s:c r="E10901" s="122" t="n"/>
    </s:row>
    <s:row r="10902" hidden="1" ht="1" customHeight="1">
      <s:c r="A10902" s="120" t="inlineStr"/>
      <s:c r="B10902" s="121" t="n"/>
      <s:c r="C10902" s="121" t="n"/>
      <s:c r="D10902" s="121" t="n"/>
      <s:c r="E10902" s="122" t="n"/>
    </s:row>
    <s:row r="10903" hidden="1" ht="1" customHeight="1">
      <s:c r="A10903" s="120" t="inlineStr"/>
      <s:c r="B10903" s="121" t="n"/>
      <s:c r="C10903" s="121" t="n"/>
      <s:c r="D10903" s="121" t="n"/>
      <s:c r="E10903" s="122" t="n"/>
    </s:row>
    <s:row r="10904" hidden="1" ht="1" customHeight="1">
      <s:c r="A10904" s="120" t="inlineStr"/>
      <s:c r="B10904" s="121" t="n"/>
      <s:c r="C10904" s="121" t="n"/>
      <s:c r="D10904" s="121" t="n"/>
      <s:c r="E10904" s="122" t="n"/>
    </s:row>
    <s:row r="10905" hidden="1" ht="1" customHeight="1">
      <s:c r="A10905" s="120" t="inlineStr"/>
      <s:c r="B10905" s="121" t="n"/>
      <s:c r="C10905" s="121" t="n"/>
      <s:c r="D10905" s="121" t="n"/>
      <s:c r="E10905" s="122" t="n"/>
    </s:row>
    <s:row r="10906" hidden="1" ht="1" customHeight="1">
      <s:c r="A10906" s="120" t="inlineStr"/>
      <s:c r="B10906" s="121" t="n"/>
      <s:c r="C10906" s="121" t="n"/>
      <s:c r="D10906" s="121" t="n"/>
      <s:c r="E10906" s="122" t="n"/>
    </s:row>
    <s:row r="10907" hidden="1" ht="1" customHeight="1">
      <s:c r="A10907" s="120" t="inlineStr"/>
      <s:c r="B10907" s="121" t="n"/>
      <s:c r="C10907" s="121" t="n"/>
      <s:c r="D10907" s="121" t="n"/>
      <s:c r="E10907" s="122" t="n"/>
    </s:row>
    <s:row r="10908" hidden="1" ht="1" customHeight="1">
      <s:c r="A10908" s="120" t="inlineStr"/>
      <s:c r="B10908" s="121" t="n"/>
      <s:c r="C10908" s="121" t="n"/>
      <s:c r="D10908" s="121" t="n"/>
      <s:c r="E10908" s="122" t="n"/>
    </s:row>
    <s:row r="10909" hidden="1" ht="1" customHeight="1">
      <s:c r="A10909" s="120" t="inlineStr"/>
      <s:c r="B10909" s="121" t="n"/>
      <s:c r="C10909" s="121" t="n"/>
      <s:c r="D10909" s="121" t="n"/>
      <s:c r="E10909" s="122" t="n"/>
    </s:row>
    <s:row r="10910" hidden="1" ht="1" customHeight="1">
      <s:c r="A10910" s="120" t="inlineStr"/>
      <s:c r="B10910" s="121" t="n"/>
      <s:c r="C10910" s="121" t="n"/>
      <s:c r="D10910" s="121" t="n"/>
      <s:c r="E10910" s="122" t="n"/>
    </s:row>
    <s:row r="10911" hidden="1" ht="1" customHeight="1">
      <s:c r="A10911" s="120" t="inlineStr"/>
      <s:c r="B10911" s="121" t="n"/>
      <s:c r="C10911" s="121" t="n"/>
      <s:c r="D10911" s="121" t="n"/>
      <s:c r="E10911" s="122" t="n"/>
    </s:row>
    <s:row r="10912" hidden="1" ht="1" customHeight="1">
      <s:c r="A10912" s="120" t="inlineStr"/>
      <s:c r="B10912" s="121" t="n"/>
      <s:c r="C10912" s="121" t="n"/>
      <s:c r="D10912" s="121" t="n"/>
      <s:c r="E10912" s="122" t="n"/>
    </s:row>
    <s:row r="10913" hidden="1" ht="1" customHeight="1">
      <s:c r="A10913" s="120" t="inlineStr"/>
      <s:c r="B10913" s="121" t="n"/>
      <s:c r="C10913" s="121" t="n"/>
      <s:c r="D10913" s="121" t="n"/>
      <s:c r="E10913" s="122" t="n"/>
    </s:row>
    <s:row r="10914" hidden="1" ht="1" customHeight="1">
      <s:c r="A10914" s="120" t="inlineStr"/>
      <s:c r="B10914" s="121" t="n"/>
      <s:c r="C10914" s="121" t="n"/>
      <s:c r="D10914" s="121" t="n"/>
      <s:c r="E10914" s="122" t="n"/>
    </s:row>
    <s:row r="10915" hidden="1" ht="1" customHeight="1">
      <s:c r="A10915" s="120" t="inlineStr"/>
      <s:c r="B10915" s="121" t="n"/>
      <s:c r="C10915" s="121" t="n"/>
      <s:c r="D10915" s="121" t="n"/>
      <s:c r="E10915" s="122" t="n"/>
    </s:row>
    <s:row r="10916" hidden="1" ht="1" customHeight="1">
      <s:c r="A10916" s="120" t="inlineStr"/>
      <s:c r="B10916" s="121" t="n"/>
      <s:c r="C10916" s="121" t="n"/>
      <s:c r="D10916" s="121" t="n"/>
      <s:c r="E10916" s="122" t="n"/>
    </s:row>
    <s:row r="10917" hidden="1" ht="1" customHeight="1">
      <s:c r="A10917" s="120" t="inlineStr"/>
      <s:c r="B10917" s="121" t="n"/>
      <s:c r="C10917" s="121" t="n"/>
      <s:c r="D10917" s="121" t="n"/>
      <s:c r="E10917" s="122" t="n"/>
    </s:row>
    <s:row r="10918" hidden="1" ht="1" customHeight="1">
      <s:c r="A10918" s="120" t="inlineStr"/>
      <s:c r="B10918" s="121" t="n"/>
      <s:c r="C10918" s="121" t="n"/>
      <s:c r="D10918" s="121" t="n"/>
      <s:c r="E10918" s="122" t="n"/>
    </s:row>
    <s:row r="10919" hidden="1" ht="1" customHeight="1">
      <s:c r="A10919" s="120" t="inlineStr"/>
      <s:c r="B10919" s="121" t="n"/>
      <s:c r="C10919" s="121" t="n"/>
      <s:c r="D10919" s="121" t="n"/>
      <s:c r="E10919" s="122" t="n"/>
    </s:row>
    <s:row r="10920" hidden="1" ht="1" customHeight="1">
      <s:c r="A10920" s="120" t="inlineStr"/>
      <s:c r="B10920" s="121" t="n"/>
      <s:c r="C10920" s="121" t="n"/>
      <s:c r="D10920" s="121" t="n"/>
      <s:c r="E10920" s="122" t="n"/>
    </s:row>
    <s:row r="10921" hidden="1" ht="1" customHeight="1">
      <s:c r="A10921" s="120" t="inlineStr"/>
      <s:c r="B10921" s="121" t="n"/>
      <s:c r="C10921" s="121" t="n"/>
      <s:c r="D10921" s="121" t="n"/>
      <s:c r="E10921" s="122" t="n"/>
    </s:row>
    <s:row r="10922" hidden="1" ht="1" customHeight="1">
      <s:c r="A10922" s="120" t="inlineStr"/>
      <s:c r="B10922" s="121" t="n"/>
      <s:c r="C10922" s="121" t="n"/>
      <s:c r="D10922" s="121" t="n"/>
      <s:c r="E10922" s="122" t="n"/>
    </s:row>
    <s:row r="10923" hidden="1" ht="1" customHeight="1">
      <s:c r="A10923" s="120" t="inlineStr"/>
      <s:c r="B10923" s="121" t="n"/>
      <s:c r="C10923" s="121" t="n"/>
      <s:c r="D10923" s="121" t="n"/>
      <s:c r="E10923" s="122" t="n"/>
    </s:row>
    <s:row r="10924" hidden="1" ht="1" customHeight="1">
      <s:c r="A10924" s="120" t="inlineStr"/>
      <s:c r="B10924" s="121" t="n"/>
      <s:c r="C10924" s="121" t="n"/>
      <s:c r="D10924" s="121" t="n"/>
      <s:c r="E10924" s="122" t="n"/>
    </s:row>
    <s:row r="10925" hidden="1" ht="1" customHeight="1">
      <s:c r="A10925" s="120" t="inlineStr"/>
      <s:c r="B10925" s="121" t="n"/>
      <s:c r="C10925" s="121" t="n"/>
      <s:c r="D10925" s="121" t="n"/>
      <s:c r="E10925" s="122" t="n"/>
    </s:row>
    <s:row r="10926" hidden="1" ht="1" customHeight="1">
      <s:c r="A10926" s="120" t="inlineStr"/>
      <s:c r="B10926" s="121" t="n"/>
      <s:c r="C10926" s="121" t="n"/>
      <s:c r="D10926" s="121" t="n"/>
      <s:c r="E10926" s="122" t="n"/>
    </s:row>
    <s:row r="10927" hidden="1" ht="1" customHeight="1">
      <s:c r="A10927" s="120" t="inlineStr"/>
      <s:c r="B10927" s="121" t="n"/>
      <s:c r="C10927" s="121" t="n"/>
      <s:c r="D10927" s="121" t="n"/>
      <s:c r="E10927" s="122" t="n"/>
    </s:row>
    <s:row r="10928" hidden="1" ht="1" customHeight="1">
      <s:c r="A10928" s="120" t="inlineStr"/>
      <s:c r="B10928" s="121" t="n"/>
      <s:c r="C10928" s="121" t="n"/>
      <s:c r="D10928" s="121" t="n"/>
      <s:c r="E10928" s="122" t="n"/>
    </s:row>
    <s:row r="10929" hidden="1" ht="1" customHeight="1">
      <s:c r="A10929" s="120" t="inlineStr"/>
      <s:c r="B10929" s="121" t="n"/>
      <s:c r="C10929" s="121" t="n"/>
      <s:c r="D10929" s="121" t="n"/>
      <s:c r="E10929" s="122" t="n"/>
    </s:row>
    <s:row r="10930" hidden="1" ht="1" customHeight="1">
      <s:c r="A10930" s="120" t="inlineStr"/>
      <s:c r="B10930" s="121" t="n"/>
      <s:c r="C10930" s="121" t="n"/>
      <s:c r="D10930" s="121" t="n"/>
      <s:c r="E10930" s="122" t="n"/>
    </s:row>
    <s:row r="10931" hidden="1" ht="1" customHeight="1">
      <s:c r="A10931" s="120" t="inlineStr"/>
      <s:c r="B10931" s="121" t="n"/>
      <s:c r="C10931" s="121" t="n"/>
      <s:c r="D10931" s="121" t="n"/>
      <s:c r="E10931" s="122" t="n"/>
    </s:row>
    <s:row r="10932" hidden="1" ht="1" customHeight="1">
      <s:c r="A10932" s="120" t="inlineStr"/>
      <s:c r="B10932" s="121" t="n"/>
      <s:c r="C10932" s="121" t="n"/>
      <s:c r="D10932" s="121" t="n"/>
      <s:c r="E10932" s="122" t="n"/>
    </s:row>
    <s:row r="10933" hidden="1" ht="1" customHeight="1">
      <s:c r="A10933" s="83" t="inlineStr">
        <s:is>
          <s:t>PASS</s:t>
        </s:is>
      </s:c>
      <s:c r="B10933" s="83">
        <s:f>SUM(IF(EXACT('Kiểm thử'!E10883,"Đạt"),1,0))</s:f>
        <s:v/>
      </s:c>
      <s:c r="C10933" s="19" t="n"/>
      <s:c r="D10933" s="19" t="n"/>
      <s:c r="E10933" s="19" t="n"/>
    </s:row>
    <s:row r="10934" hidden="1" ht="1" customHeight="1">
      <s:c r="A10934" s="83" t="inlineStr">
        <s:is>
          <s:t>FAIL</s:t>
        </s:is>
      </s:c>
      <s:c r="B10934" s="83">
        <s:f>SUM(IF(EXACT('Kiểm thử'!E10883,"Không đạt"),1,0))</s:f>
        <s:v/>
      </s:c>
      <s:c r="C10934" s="19" t="n"/>
      <s:c r="D10934" s="19" t="n"/>
      <s:c r="E10934" s="19" t="n"/>
    </s:row>
    <s:row r="10935" hidden="1" ht="1" customHeight="1">
      <s:c r="A10935" s="83" t="inlineStr">
        <s:is>
          <s:t>BLOCKED</s:t>
        </s:is>
      </s:c>
      <s:c r="B10935" s="83">
        <s:f>SUM(IF(EXACT('Kiểm thử'!E10883,"Bị chặn"),1,0))</s:f>
        <s:v/>
      </s:c>
      <s:c r="C10935" s="19" t="n"/>
      <s:c r="D10935" s="19" t="n"/>
      <s:c r="E10935" s="19" t="n"/>
    </s:row>
    <s:row r="10936" hidden="1" ht="1" customHeight="1">
      <s:c r="A10936" s="83" t="inlineStr">
        <s:is>
          <s:t>SKIPPED</s:t>
        </s:is>
      </s:c>
      <s:c r="B10936" s="83">
        <s:f>SUM(IF(EXACT('Kiểm thử'!E10883,"Không thực hiện"),1,0))</s:f>
        <s:v/>
      </s:c>
      <s:c r="C10936" s="19" t="n"/>
      <s:c r="D10936" s="19" t="n"/>
      <s:c r="E10936" s="19" t="n"/>
    </s:row>
    <s:row r="10937" hidden="1" ht="1" customHeight="1">
      <s:c r="A10937" s="83" t="inlineStr">
        <s:is>
          <s:t>NOT RUN</s:t>
        </s:is>
      </s:c>
      <s:c r="B10937" s="83">
        <s:f>SUM(IF(EXACT('Kiểm thử'!E10883,"Chưa thực hiện"),1,0))</s:f>
        <s:v/>
      </s:c>
      <s:c r="C10937" s="19" t="n"/>
      <s:c r="D10937" s="19" t="n"/>
      <s:c r="E10937" s="19" t="n"/>
    </s:row>
    <s:row r="10938" hidden="1" ht="6" customHeight="1">
      <s:c r="A10938" s="83" t="inlineStr"/>
      <s:c r="B10938" s="19" t="n"/>
      <s:c r="C10938" s="19" t="n"/>
      <s:c r="D10938" s="19" t="n"/>
      <s:c r="E10938" s="19" t="n"/>
    </s:row>
    <s:row r="10939" ht="28" customHeight="1">
      <s:c r="A10939" s="108" t="inlineStr">
        <s:is>
          <s:t>TC-RS-FUNC-036 — Danh sách nhóm tham chiếu theo thiết lập tổng hợp hiện hữu</s:t>
        </s:is>
      </s:c>
      <s:c r="B10939" s="111" t="n"/>
      <s:c r="C10939" s="111" t="n"/>
      <s:c r="D10939" s="111" t="n"/>
      <s:c r="E10939" s="111" t="n"/>
    </s:row>
    <s:row r="10940" ht="20" customHeight="1">
      <s:c r="A10940" s="112" t="inlineStr">
        <s:is>
          <s:t>Kết quả tình huống</s:t>
        </s:is>
      </s:c>
      <s:c r="B10940" s="113">
        <s:f>IF(SUM(IF(EXACT('Kiểm thử'!E10949,"Không đạt"),1,0),IF(EXACT('Kiểm thử'!E10951,"Không đạt"),1,0),IF(EXACT('Kiểm thử'!E10953,"Không đạt"),1,0))&gt;0,"Không đạt",IF(SUM(IF(EXACT('Kiểm thử'!E10949,"Đạt"),1,0),IF(EXACT('Kiểm thử'!E10951,"Đạt"),1,0),IF(EXACT('Kiểm thử'!E10953,"Đạt"),1,0))=3,"Đạt",IF(SUM(IF(EXACT('Kiểm thử'!E10949,"Không thực hiện"),1,0),IF(EXACT('Kiểm thử'!E10951,"Không thực hiện"),1,0),IF(EXACT('Kiểm thử'!E10953,"Không thực hiện"),1,0))=3,"Không thực hiện",IF(SUM(IF(EXACT('Kiểm thử'!E10949,"Bị chặn"),1,0),IF(EXACT('Kiểm thử'!E10951,"Bị chặn"),1,0),IF(EXACT('Kiểm thử'!E10953,"Bị chặn"),1,0))&gt;0,"Bị chặn",IF(SUM(IF(EXACT('Kiểm thử'!E10949,"Chưa thực hiện"),1,0),IF(EXACT('Kiểm thử'!E10951,"Chưa thực hiện"),1,0),IF(EXACT('Kiểm thử'!E10953,"Chưa thực hiện"),1,0))=3,"Chưa thực hiện","Đang thực hiện")))))</s:f>
        <s:v/>
      </s:c>
      <s:c r="C10940" s="114" t="n"/>
      <s:c r="D10940" s="114" t="n"/>
      <s:c r="E10940" s="114" t="n"/>
    </s:row>
    <s:row r="10941" ht="20" customHeight="1">
      <s:c r="A10941" s="112" t="inlineStr">
        <s:is>
          <s:t>Màn hình / chức năng</s:t>
        </s:is>
      </s:c>
      <s:c r="B10941" s="113" t="inlineStr">
        <s:is>
          <s:t>Nguồn tổng hợp</s:t>
        </s:is>
      </s:c>
      <s:c r="C10941" s="28" t="n"/>
      <s:c r="D10941" s="28" t="n"/>
      <s:c r="E10941" s="28" t="n"/>
    </s:row>
    <s:row r="10942" ht="62" customHeight="1">
      <s:c r="A10942" s="112" t="inlineStr">
        <s:is>
          <s:t>Cấu hình</s:t>
        </s:is>
      </s:c>
      <s:c r="B10942" s="113" t="inlineStr">
        <s:is>
          <s:r>
            <s:t xml:space="preserve">• Trường A/2026 có thiết </s:t>
          </s:r>
          <s:r>
            <s:rPr>
              <s:b val="1"/>
            </s:rPr>
            <s:t>lập tổng hợp X（評点集計）</s:t>
          </s:r>
          <s:r>
            <s:t xml:space="preserve"> (khối, lớp chủ nhiệm bật;
• Lớp học tắt), nhóm tổng hợp thứ hạng “Toán I khối 1+2”, nhóm tổ hợp “Tổ hợp Toán”, nhóm môn học “Nhóm môn Toán”. Mở form thêm quy tắc của mục số nguyên (</s:t>
          </s:r>
          <s:r>
            <s:rPr>
              <s:b val="1"/>
            </s:rPr>
            <s:t>M=100</s:t>
          </s:r>
          <s:r>
            <s:t xml:space="preserve">) với </s:t>
          </s:r>
          <s:r>
            <s:rPr>
              <s:b val="1"/>
            </s:rPr>
            <s:t>điều kiện Trung bình（平均点）</s:t>
          </s:r>
          <s:r>
            <s:t xml:space="preserve"> </s:t>
          </s:r>
          <s:r>
            <s:rPr>
              <s:b val="1"/>
            </s:rPr>
            <s:t>và ngưỡng Công thức（計算式）</s:t>
          </s:r>
          <s:r>
            <s:t xml:space="preserve"> dùng trung bình.</s:t>
          </s:r>
        </s:is>
      </s:c>
      <s:c r="C10942" s="28" t="n"/>
      <s:c r="D10942" s="28" t="n"/>
      <s:c r="E10942" s="28" t="n"/>
    </s:row>
    <s:row r="10943" ht="62" customHeight="1">
      <s:c r="A10943" s="112" t="inlineStr">
        <s:is>
          <s:t>Dữ liệu test</s:t>
        </s:is>
      </s:c>
      <s:c r="B10943" s="113" t="inlineStr">
        <s:is>
          <s:r>
            <s:t xml:space="preserve">• Thiết </s:t>
          </s:r>
          <s:r>
            <s:rPr>
              <s:b val="1"/>
            </s:rPr>
            <s:t>lập tổng hợp X（評点集計）</s:t>
          </s:r>
          <s:r>
            <s:t xml:space="preserve">, thiết lập tổng hợp X đã </s:t>
          </s:r>
          <s:r>
            <s:rPr>
              <s:b val="1"/>
            </s:rPr>
            <s:t>bật thêm Lớp học（授業）</s:t>
          </s:r>
          <s:r>
            <s:t>, nhóm tổng hợp thứ hạng “Toán I khối 1+2”, nhóm tổ hợp “Tổ hợp Toán”, nhóm môn học “Nhóm môn Toán”;
• Mục số nguyên (</s:t>
          </s:r>
          <s:r>
            <s:rPr>
              <s:b val="1"/>
            </s:rPr>
            <s:t>M=100</s:t>
          </s:r>
          <s:r>
            <s:t>);
• Tài khoản giáo viên có quyền sửa mục, tài khoản có quyền chạy hàng loạt</s:t>
          </s:r>
        </s:is>
      </s:c>
      <s:c r="C10943" s="28" t="n"/>
      <s:c r="D10943" s="28" t="n"/>
      <s:c r="E10943" s="28" t="n"/>
    </s:row>
    <s:row r="10944" ht="34" customHeight="1">
      <s:c r="A10944" s="112" t="inlineStr">
        <s:is>
          <s:t>Bước 1</s:t>
        </s:is>
      </s:c>
      <s:c r="B10944" s="113" t="inlineStr">
        <s:is>
          <s:r>
            <s:t xml:space="preserve">Mở form thêm rule cho mục số nguyên </s:t>
          </s:r>
          <s:r>
            <s:rPr>
              <s:b val="1"/>
            </s:rPr>
            <s:t>M=100</s:t>
          </s:r>
          <s:r>
            <s:t xml:space="preserve">, có </s:t>
          </s:r>
          <s:r>
            <s:rPr>
              <s:b val="1"/>
            </s:rPr>
            <s:t>điều kiện Trung bình（平均点）</s:t>
          </s:r>
          <s:r>
            <s:t xml:space="preserve"> </s:t>
          </s:r>
          <s:r>
            <s:rPr>
              <s:b val="1"/>
            </s:rPr>
            <s:t>và ngưỡng Công thức（計算式）</s:t>
          </s:r>
          <s:r>
            <s:t>.</s:t>
          </s:r>
        </s:is>
      </s:c>
      <s:c r="C10944" s="28" t="n"/>
      <s:c r="D10944" s="28" t="n"/>
      <s:c r="E10944" s="28" t="n"/>
    </s:row>
    <s:row r="10945" ht="20" customHeight="1">
      <s:c r="A10945" s="112" t="inlineStr">
        <s:is>
          <s:t>Bước 2</s:t>
        </s:is>
      </s:c>
      <s:c r="B10945" s="113" t="inlineStr">
        <s:is>
          <s:t>Dùng công tắc/nguồn riêng theo trường hợp, chọn kỳ và thiết lập tổng hợp trước khi mở danh sách nhóm.</s:t>
        </s:is>
      </s:c>
      <s:c r="C10945" s="28" t="n"/>
      <s:c r="D10945" s="28" t="n"/>
      <s:c r="E10945" s="28" t="n"/>
    </s:row>
    <s:row r="10946" ht="20" customHeight="1">
      <s:c r="A10946" s="112" t="inlineStr">
        <s:is>
          <s:t>Bước 3</s:t>
        </s:is>
      </s:c>
      <s:c r="B10946" s="113" t="inlineStr">
        <s:is>
          <s:t>Ghi các lựa chọn, lưu/mở lại và đối chiếu tên/ID của đúng nhóm nguồn.</s:t>
        </s:is>
      </s:c>
      <s:c r="C10946" s="28" t="n"/>
      <s:c r="D10946" s="28" t="n"/>
      <s:c r="E10946" s="28" t="n"/>
    </s:row>
    <s:row r="10947" ht="28" customHeight="1">
      <s:c r="A10947" s="115" t="inlineStr">
        <s:is>
          <s:t>Trường hợp</s:t>
        </s:is>
      </s:c>
      <s:c r="B10947" s="115" t="inlineStr">
        <s:is>
          <s:t>Dữ liệu / thao tác riêng</s:t>
        </s:is>
      </s:c>
      <s:c r="C10947" s="115" t="inlineStr">
        <s:is>
          <s:t>Kết quả mong đợi</s:t>
        </s:is>
      </s:c>
      <s:c r="D10947" s="115" t="inlineStr">
        <s:is>
          <s:t>Kết quả thực tế</s:t>
        </s:is>
      </s:c>
      <s:c r="E10947" s="115" t="inlineStr">
        <s:is>
          <s:t>Đánh giá</s:t>
        </s:is>
      </s:c>
    </s:row>
    <s:row r="10948" ht="3" customHeight="1">
      <s:c r="A10948" s="102" t="inlineStr"/>
      <s:c r="B10948" s="99" t="n"/>
      <s:c r="C10948" s="99" t="n"/>
      <s:c r="D10948" s="116" t="n"/>
      <s:c r="E10948" s="116" t="n"/>
    </s:row>
    <s:row r="10949" ht="272" customHeight="1">
      <s:c r="A10949" s="83" t="inlineStr">
        <s:is>
          <s:t>Danh sách thay đổi theo công tắc của X (switch-sequence)</s:t>
        </s:is>
      </s:c>
      <s:c r="B10949" s="83" t="inlineStr">
        <s:is>
          <s:r>
            <s:t xml:space="preserve">Cùng X theo thứ tự: nguồn điều kiện chọn kỳ → Thiết lập </s:t>
          </s:r>
          <s:r>
            <s:rPr>
              <s:b val="1"/>
            </s:rPr>
            <s:t>tổng hợp thứ hạng（順位集計設定）</s:t>
          </s:r>
          <s:r>
            <s:t xml:space="preserve"> X → </s:t>
          </s:r>
          <s:r>
            <s:rPr>
              <s:b val="1"/>
            </s:rPr>
            <s:t>Đối tượng tổng hợp（集計対象）</s:t>
          </s:r>
          <s:r>
            <s:t xml:space="preserve">. Ghi lựa chọn khi khối/lớp chủ nhiệm bật, lớp học tắt. </s:t>
          </s:r>
          <s:r>
            <s:rPr>
              <s:b val="1"/>
            </s:rPr>
            <s:t>Bật Lớp học（授業）</s:t>
          </s:r>
          <s:r>
            <s:t>, tổng hợp lại X và đọc danh sách. Sau đó tắt cả ba công tắc, chọn nhóm Toán I khối1+2, lưu/mở lại.</s:t>
          </s:r>
        </s:is>
      </s:c>
      <s:c r="C10949" s="83" t="inlineStr">
        <s:is>
          <s:r>
            <s:t xml:space="preserve">1. Trong ba loại cơ </s:t>
          </s:r>
          <s:r>
            <s:rPr>
              <s:b val="1"/>
            </s:rPr>
            <s:t>bản chỉ có Khối（学年）</s:t>
          </s:r>
          <s:r>
            <s:t xml:space="preserve"> </s:t>
          </s:r>
          <s:r>
            <s:rPr>
              <s:b val="1"/>
            </s:rPr>
            <s:t>và Lớp chủ nhiệm（ホームルーム）</s:t>
          </s:r>
          <s:r>
            <s:t xml:space="preserve">; </s:t>
          </s:r>
          <s:r>
            <s:rPr>
              <s:b val="1"/>
            </s:rPr>
            <s:t>không có Lớp học（授業）</s:t>
          </s:r>
          <s:r>
            <s:t xml:space="preserve">. Có nhóm tổng hợp thứ hạng “Toán I khối 1+2”, nhóm tổ hợp “Tổ hợp Toán”, nhóm môn học “Nhóm môn Toán”, hiển thị bằng tên đã đặt.
2. Có thêm </s:t>
          </s:r>
          <s:r>
            <s:rPr>
              <s:b val="1"/>
            </s:rPr>
            <s:t>lựa chọn Lớp học（授業）</s:t>
          </s:r>
          <s:r>
            <s:t xml:space="preserve">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s:t>
          </s:r>
        </s:is>
      </s:c>
      <s:c r="D10949" s="117" t="inlineStr"/>
      <s:c r="E10949" s="118" t="inlineStr">
        <s:is>
          <s:t>Chưa thực hiện</s:t>
        </s:is>
      </s:c>
    </s:row>
    <s:row r="10950" ht="3" customHeight="1">
      <s:c r="A10950" s="102" t="inlineStr"/>
      <s:c r="B10950" s="99" t="n"/>
      <s:c r="C10950" s="99" t="n"/>
      <s:c r="D10950" s="116" t="n"/>
      <s:c r="E10950" s="116" t="n"/>
    </s:row>
    <s:row r="10951" ht="132" customHeight="1">
      <s:c r="A10951" s="83" t="inlineStr">
        <s:is>
          <s:t>Chỉ có loại khối (grade-only)</s:t>
        </s:is>
      </s:c>
      <s:c r="B10951" s="83" t="inlineStr">
        <s:is>
          <s:t>Fixture trường/năm không có nhóm tổng hợp/tổ hợp/nhóm môn đã cấu hình, chỉ bật khối; chọn kỳ/thiết lập tổng hợp rồi mở danh sách Đối tượng tổng hợp.</s:t>
        </s:is>
      </s:c>
      <s:c r="C10951" s="83" t="inlineStr">
        <s:is>
          <s:r>
            <s:t xml:space="preserve">4. </s:t>
          </s:r>
          <s:r>
            <s:rPr>
              <s:b val="1"/>
            </s:rPr>
            <s:t>Chỉ có Khối（学年）</s:t>
          </s:r>
          <s:r>
            <s:t>;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s:t>
          </s:r>
        </s:is>
      </s:c>
      <s:c r="D10951" s="117" t="inlineStr"/>
      <s:c r="E10951" s="118" t="inlineStr">
        <s:is>
          <s:t>Chưa thực hiện</s:t>
        </s:is>
      </s:c>
    </s:row>
    <s:row r="10952" ht="3" customHeight="1">
      <s:c r="A10952" s="102" t="inlineStr"/>
      <s:c r="B10952" s="99" t="n"/>
      <s:c r="C10952" s="99" t="n"/>
      <s:c r="D10952" s="116" t="n"/>
      <s:c r="E10952" s="116" t="n"/>
    </s:row>
    <s:row r="10953" ht="90" customHeight="1">
      <s:c r="A10953" s="83" t="inlineStr">
        <s:is>
          <s:t>Nguồn công thức khác nguồn điều kiện (formula-source)</s:t>
        </s:is>
      </s:c>
      <s:c r="B10953" s="83" t="inlineStr">
        <s:is>
          <s:t>Chuẩn bị/lưu nguồn điều kiện trước; ở nguồn công thức chọn Thiết lập tổng hợp thứ hạng → Đối tượng tổng hợp, chọn nhóm khác nguồn điều kiện; lưu/mở lại cả hai phần.</s:t>
        </s:is>
      </s:c>
      <s:c r="C10953" s="83" t="inlineStr">
        <s:is>
          <s:t>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s:t>
        </s:is>
      </s:c>
      <s:c r="D10953" s="117" t="inlineStr"/>
      <s:c r="E10953" s="118" t="inlineStr">
        <s:is>
          <s:t>Chưa thực hiện</s:t>
        </s:is>
      </s:c>
    </s:row>
    <s:row r="10954" ht="20" customHeight="1">
      <s:c r="A10954" s="119" t="inlineStr">
        <s:is>
          <s:t>Ảnh minh chứng — Chưa có ảnh</s:t>
        </s:is>
      </s:c>
      <s:c r="B10954" s="19" t="n"/>
      <s:c r="C10954" s="19" t="n"/>
      <s:c r="D10954" s="19" t="n"/>
      <s:c r="E10954" s="19" t="n"/>
    </s:row>
    <s:row r="10955" hidden="1" ht="1" customHeight="1">
      <s:c r="A10955" s="120" t="inlineStr"/>
      <s:c r="B10955" s="121" t="n"/>
      <s:c r="C10955" s="121" t="n"/>
      <s:c r="D10955" s="121" t="n"/>
      <s:c r="E10955" s="122" t="n"/>
    </s:row>
    <s:row r="10956" hidden="1" ht="1" customHeight="1">
      <s:c r="A10956" s="120" t="inlineStr"/>
      <s:c r="B10956" s="121" t="n"/>
      <s:c r="C10956" s="121" t="n"/>
      <s:c r="D10956" s="121" t="n"/>
      <s:c r="E10956" s="122" t="n"/>
    </s:row>
    <s:row r="10957" hidden="1" ht="1" customHeight="1">
      <s:c r="A10957" s="120" t="inlineStr"/>
      <s:c r="B10957" s="121" t="n"/>
      <s:c r="C10957" s="121" t="n"/>
      <s:c r="D10957" s="121" t="n"/>
      <s:c r="E10957" s="122" t="n"/>
    </s:row>
    <s:row r="10958" hidden="1" ht="1" customHeight="1">
      <s:c r="A10958" s="120" t="inlineStr"/>
      <s:c r="B10958" s="121" t="n"/>
      <s:c r="C10958" s="121" t="n"/>
      <s:c r="D10958" s="121" t="n"/>
      <s:c r="E10958" s="122" t="n"/>
    </s:row>
    <s:row r="10959" hidden="1" ht="1" customHeight="1">
      <s:c r="A10959" s="120" t="inlineStr"/>
      <s:c r="B10959" s="121" t="n"/>
      <s:c r="C10959" s="121" t="n"/>
      <s:c r="D10959" s="121" t="n"/>
      <s:c r="E10959" s="122" t="n"/>
    </s:row>
    <s:row r="10960" hidden="1" ht="1" customHeight="1">
      <s:c r="A10960" s="120" t="inlineStr"/>
      <s:c r="B10960" s="121" t="n"/>
      <s:c r="C10960" s="121" t="n"/>
      <s:c r="D10960" s="121" t="n"/>
      <s:c r="E10960" s="122" t="n"/>
    </s:row>
    <s:row r="10961" hidden="1" ht="1" customHeight="1">
      <s:c r="A10961" s="120" t="inlineStr"/>
      <s:c r="B10961" s="121" t="n"/>
      <s:c r="C10961" s="121" t="n"/>
      <s:c r="D10961" s="121" t="n"/>
      <s:c r="E10961" s="122" t="n"/>
    </s:row>
    <s:row r="10962" hidden="1" ht="1" customHeight="1">
      <s:c r="A10962" s="120" t="inlineStr"/>
      <s:c r="B10962" s="121" t="n"/>
      <s:c r="C10962" s="121" t="n"/>
      <s:c r="D10962" s="121" t="n"/>
      <s:c r="E10962" s="122" t="n"/>
    </s:row>
    <s:row r="10963" hidden="1" ht="1" customHeight="1">
      <s:c r="A10963" s="120" t="inlineStr"/>
      <s:c r="B10963" s="121" t="n"/>
      <s:c r="C10963" s="121" t="n"/>
      <s:c r="D10963" s="121" t="n"/>
      <s:c r="E10963" s="122" t="n"/>
    </s:row>
    <s:row r="10964" hidden="1" ht="1" customHeight="1">
      <s:c r="A10964" s="120" t="inlineStr"/>
      <s:c r="B10964" s="121" t="n"/>
      <s:c r="C10964" s="121" t="n"/>
      <s:c r="D10964" s="121" t="n"/>
      <s:c r="E10964" s="122" t="n"/>
    </s:row>
    <s:row r="10965" hidden="1" ht="1" customHeight="1">
      <s:c r="A10965" s="120" t="inlineStr"/>
      <s:c r="B10965" s="121" t="n"/>
      <s:c r="C10965" s="121" t="n"/>
      <s:c r="D10965" s="121" t="n"/>
      <s:c r="E10965" s="122" t="n"/>
    </s:row>
    <s:row r="10966" hidden="1" ht="1" customHeight="1">
      <s:c r="A10966" s="120" t="inlineStr"/>
      <s:c r="B10966" s="121" t="n"/>
      <s:c r="C10966" s="121" t="n"/>
      <s:c r="D10966" s="121" t="n"/>
      <s:c r="E10966" s="122" t="n"/>
    </s:row>
    <s:row r="10967" hidden="1" ht="1" customHeight="1">
      <s:c r="A10967" s="120" t="inlineStr"/>
      <s:c r="B10967" s="121" t="n"/>
      <s:c r="C10967" s="121" t="n"/>
      <s:c r="D10967" s="121" t="n"/>
      <s:c r="E10967" s="122" t="n"/>
    </s:row>
    <s:row r="10968" hidden="1" ht="1" customHeight="1">
      <s:c r="A10968" s="120" t="inlineStr"/>
      <s:c r="B10968" s="121" t="n"/>
      <s:c r="C10968" s="121" t="n"/>
      <s:c r="D10968" s="121" t="n"/>
      <s:c r="E10968" s="122" t="n"/>
    </s:row>
    <s:row r="10969" hidden="1" ht="1" customHeight="1">
      <s:c r="A10969" s="120" t="inlineStr"/>
      <s:c r="B10969" s="121" t="n"/>
      <s:c r="C10969" s="121" t="n"/>
      <s:c r="D10969" s="121" t="n"/>
      <s:c r="E10969" s="122" t="n"/>
    </s:row>
    <s:row r="10970" hidden="1" ht="1" customHeight="1">
      <s:c r="A10970" s="120" t="inlineStr"/>
      <s:c r="B10970" s="121" t="n"/>
      <s:c r="C10970" s="121" t="n"/>
      <s:c r="D10970" s="121" t="n"/>
      <s:c r="E10970" s="122" t="n"/>
    </s:row>
    <s:row r="10971" hidden="1" ht="1" customHeight="1">
      <s:c r="A10971" s="120" t="inlineStr"/>
      <s:c r="B10971" s="121" t="n"/>
      <s:c r="C10971" s="121" t="n"/>
      <s:c r="D10971" s="121" t="n"/>
      <s:c r="E10971" s="122" t="n"/>
    </s:row>
    <s:row r="10972" hidden="1" ht="1" customHeight="1">
      <s:c r="A10972" s="120" t="inlineStr"/>
      <s:c r="B10972" s="121" t="n"/>
      <s:c r="C10972" s="121" t="n"/>
      <s:c r="D10972" s="121" t="n"/>
      <s:c r="E10972" s="122" t="n"/>
    </s:row>
    <s:row r="10973" hidden="1" ht="1" customHeight="1">
      <s:c r="A10973" s="120" t="inlineStr"/>
      <s:c r="B10973" s="121" t="n"/>
      <s:c r="C10973" s="121" t="n"/>
      <s:c r="D10973" s="121" t="n"/>
      <s:c r="E10973" s="122" t="n"/>
    </s:row>
    <s:row r="10974" hidden="1" ht="1" customHeight="1">
      <s:c r="A10974" s="120" t="inlineStr"/>
      <s:c r="B10974" s="121" t="n"/>
      <s:c r="C10974" s="121" t="n"/>
      <s:c r="D10974" s="121" t="n"/>
      <s:c r="E10974" s="122" t="n"/>
    </s:row>
    <s:row r="10975" hidden="1" ht="1" customHeight="1">
      <s:c r="A10975" s="120" t="inlineStr"/>
      <s:c r="B10975" s="121" t="n"/>
      <s:c r="C10975" s="121" t="n"/>
      <s:c r="D10975" s="121" t="n"/>
      <s:c r="E10975" s="122" t="n"/>
    </s:row>
    <s:row r="10976" hidden="1" ht="1" customHeight="1">
      <s:c r="A10976" s="120" t="inlineStr"/>
      <s:c r="B10976" s="121" t="n"/>
      <s:c r="C10976" s="121" t="n"/>
      <s:c r="D10976" s="121" t="n"/>
      <s:c r="E10976" s="122" t="n"/>
    </s:row>
    <s:row r="10977" hidden="1" ht="1" customHeight="1">
      <s:c r="A10977" s="120" t="inlineStr"/>
      <s:c r="B10977" s="121" t="n"/>
      <s:c r="C10977" s="121" t="n"/>
      <s:c r="D10977" s="121" t="n"/>
      <s:c r="E10977" s="122" t="n"/>
    </s:row>
    <s:row r="10978" hidden="1" ht="1" customHeight="1">
      <s:c r="A10978" s="120" t="inlineStr"/>
      <s:c r="B10978" s="121" t="n"/>
      <s:c r="C10978" s="121" t="n"/>
      <s:c r="D10978" s="121" t="n"/>
      <s:c r="E10978" s="122" t="n"/>
    </s:row>
    <s:row r="10979" hidden="1" ht="1" customHeight="1">
      <s:c r="A10979" s="120" t="inlineStr"/>
      <s:c r="B10979" s="121" t="n"/>
      <s:c r="C10979" s="121" t="n"/>
      <s:c r="D10979" s="121" t="n"/>
      <s:c r="E10979" s="122" t="n"/>
    </s:row>
    <s:row r="10980" hidden="1" ht="1" customHeight="1">
      <s:c r="A10980" s="120" t="inlineStr"/>
      <s:c r="B10980" s="121" t="n"/>
      <s:c r="C10980" s="121" t="n"/>
      <s:c r="D10980" s="121" t="n"/>
      <s:c r="E10980" s="122" t="n"/>
    </s:row>
    <s:row r="10981" hidden="1" ht="1" customHeight="1">
      <s:c r="A10981" s="120" t="inlineStr"/>
      <s:c r="B10981" s="121" t="n"/>
      <s:c r="C10981" s="121" t="n"/>
      <s:c r="D10981" s="121" t="n"/>
      <s:c r="E10981" s="122" t="n"/>
    </s:row>
    <s:row r="10982" hidden="1" ht="1" customHeight="1">
      <s:c r="A10982" s="120" t="inlineStr"/>
      <s:c r="B10982" s="121" t="n"/>
      <s:c r="C10982" s="121" t="n"/>
      <s:c r="D10982" s="121" t="n"/>
      <s:c r="E10982" s="122" t="n"/>
    </s:row>
    <s:row r="10983" hidden="1" ht="1" customHeight="1">
      <s:c r="A10983" s="120" t="inlineStr"/>
      <s:c r="B10983" s="121" t="n"/>
      <s:c r="C10983" s="121" t="n"/>
      <s:c r="D10983" s="121" t="n"/>
      <s:c r="E10983" s="122" t="n"/>
    </s:row>
    <s:row r="10984" hidden="1" ht="1" customHeight="1">
      <s:c r="A10984" s="120" t="inlineStr"/>
      <s:c r="B10984" s="121" t="n"/>
      <s:c r="C10984" s="121" t="n"/>
      <s:c r="D10984" s="121" t="n"/>
      <s:c r="E10984" s="122" t="n"/>
    </s:row>
    <s:row r="10985" hidden="1" ht="1" customHeight="1">
      <s:c r="A10985" s="120" t="inlineStr"/>
      <s:c r="B10985" s="121" t="n"/>
      <s:c r="C10985" s="121" t="n"/>
      <s:c r="D10985" s="121" t="n"/>
      <s:c r="E10985" s="122" t="n"/>
    </s:row>
    <s:row r="10986" hidden="1" ht="1" customHeight="1">
      <s:c r="A10986" s="120" t="inlineStr"/>
      <s:c r="B10986" s="121" t="n"/>
      <s:c r="C10986" s="121" t="n"/>
      <s:c r="D10986" s="121" t="n"/>
      <s:c r="E10986" s="122" t="n"/>
    </s:row>
    <s:row r="10987" hidden="1" ht="1" customHeight="1">
      <s:c r="A10987" s="120" t="inlineStr"/>
      <s:c r="B10987" s="121" t="n"/>
      <s:c r="C10987" s="121" t="n"/>
      <s:c r="D10987" s="121" t="n"/>
      <s:c r="E10987" s="122" t="n"/>
    </s:row>
    <s:row r="10988" hidden="1" ht="1" customHeight="1">
      <s:c r="A10988" s="120" t="inlineStr"/>
      <s:c r="B10988" s="121" t="n"/>
      <s:c r="C10988" s="121" t="n"/>
      <s:c r="D10988" s="121" t="n"/>
      <s:c r="E10988" s="122" t="n"/>
    </s:row>
    <s:row r="10989" hidden="1" ht="1" customHeight="1">
      <s:c r="A10989" s="120" t="inlineStr"/>
      <s:c r="B10989" s="121" t="n"/>
      <s:c r="C10989" s="121" t="n"/>
      <s:c r="D10989" s="121" t="n"/>
      <s:c r="E10989" s="122" t="n"/>
    </s:row>
    <s:row r="10990" hidden="1" ht="1" customHeight="1">
      <s:c r="A10990" s="120" t="inlineStr"/>
      <s:c r="B10990" s="121" t="n"/>
      <s:c r="C10990" s="121" t="n"/>
      <s:c r="D10990" s="121" t="n"/>
      <s:c r="E10990" s="122" t="n"/>
    </s:row>
    <s:row r="10991" hidden="1" ht="1" customHeight="1">
      <s:c r="A10991" s="120" t="inlineStr"/>
      <s:c r="B10991" s="121" t="n"/>
      <s:c r="C10991" s="121" t="n"/>
      <s:c r="D10991" s="121" t="n"/>
      <s:c r="E10991" s="122" t="n"/>
    </s:row>
    <s:row r="10992" hidden="1" ht="1" customHeight="1">
      <s:c r="A10992" s="120" t="inlineStr"/>
      <s:c r="B10992" s="121" t="n"/>
      <s:c r="C10992" s="121" t="n"/>
      <s:c r="D10992" s="121" t="n"/>
      <s:c r="E10992" s="122" t="n"/>
    </s:row>
    <s:row r="10993" hidden="1" ht="1" customHeight="1">
      <s:c r="A10993" s="120" t="inlineStr"/>
      <s:c r="B10993" s="121" t="n"/>
      <s:c r="C10993" s="121" t="n"/>
      <s:c r="D10993" s="121" t="n"/>
      <s:c r="E10993" s="122" t="n"/>
    </s:row>
    <s:row r="10994" hidden="1" ht="1" customHeight="1">
      <s:c r="A10994" s="120" t="inlineStr"/>
      <s:c r="B10994" s="121" t="n"/>
      <s:c r="C10994" s="121" t="n"/>
      <s:c r="D10994" s="121" t="n"/>
      <s:c r="E10994" s="122" t="n"/>
    </s:row>
    <s:row r="10995" hidden="1" ht="1" customHeight="1">
      <s:c r="A10995" s="120" t="inlineStr"/>
      <s:c r="B10995" s="121" t="n"/>
      <s:c r="C10995" s="121" t="n"/>
      <s:c r="D10995" s="121" t="n"/>
      <s:c r="E10995" s="122" t="n"/>
    </s:row>
    <s:row r="10996" hidden="1" ht="1" customHeight="1">
      <s:c r="A10996" s="120" t="inlineStr"/>
      <s:c r="B10996" s="121" t="n"/>
      <s:c r="C10996" s="121" t="n"/>
      <s:c r="D10996" s="121" t="n"/>
      <s:c r="E10996" s="122" t="n"/>
    </s:row>
    <s:row r="10997" hidden="1" ht="1" customHeight="1">
      <s:c r="A10997" s="120" t="inlineStr"/>
      <s:c r="B10997" s="121" t="n"/>
      <s:c r="C10997" s="121" t="n"/>
      <s:c r="D10997" s="121" t="n"/>
      <s:c r="E10997" s="122" t="n"/>
    </s:row>
    <s:row r="10998" hidden="1" ht="1" customHeight="1">
      <s:c r="A10998" s="120" t="inlineStr"/>
      <s:c r="B10998" s="121" t="n"/>
      <s:c r="C10998" s="121" t="n"/>
      <s:c r="D10998" s="121" t="n"/>
      <s:c r="E10998" s="122" t="n"/>
    </s:row>
    <s:row r="10999" hidden="1" ht="1" customHeight="1">
      <s:c r="A10999" s="120" t="inlineStr"/>
      <s:c r="B10999" s="121" t="n"/>
      <s:c r="C10999" s="121" t="n"/>
      <s:c r="D10999" s="121" t="n"/>
      <s:c r="E10999" s="122" t="n"/>
    </s:row>
    <s:row r="11000" hidden="1" ht="1" customHeight="1">
      <s:c r="A11000" s="120" t="inlineStr"/>
      <s:c r="B11000" s="121" t="n"/>
      <s:c r="C11000" s="121" t="n"/>
      <s:c r="D11000" s="121" t="n"/>
      <s:c r="E11000" s="122" t="n"/>
    </s:row>
    <s:row r="11001" hidden="1" ht="1" customHeight="1">
      <s:c r="A11001" s="120" t="inlineStr"/>
      <s:c r="B11001" s="121" t="n"/>
      <s:c r="C11001" s="121" t="n"/>
      <s:c r="D11001" s="121" t="n"/>
      <s:c r="E11001" s="122" t="n"/>
    </s:row>
    <s:row r="11002" hidden="1" ht="1" customHeight="1">
      <s:c r="A11002" s="120" t="inlineStr"/>
      <s:c r="B11002" s="121" t="n"/>
      <s:c r="C11002" s="121" t="n"/>
      <s:c r="D11002" s="121" t="n"/>
      <s:c r="E11002" s="122" t="n"/>
    </s:row>
    <s:row r="11003" hidden="1" ht="1" customHeight="1">
      <s:c r="A11003" s="120" t="inlineStr"/>
      <s:c r="B11003" s="121" t="n"/>
      <s:c r="C11003" s="121" t="n"/>
      <s:c r="D11003" s="121" t="n"/>
      <s:c r="E11003" s="122" t="n"/>
    </s:row>
    <s:row r="11004" hidden="1" ht="1" customHeight="1">
      <s:c r="A11004" s="120" t="inlineStr"/>
      <s:c r="B11004" s="121" t="n"/>
      <s:c r="C11004" s="121" t="n"/>
      <s:c r="D11004" s="121" t="n"/>
      <s:c r="E11004" s="122" t="n"/>
    </s:row>
    <s:row r="11005" hidden="1" ht="1" customHeight="1">
      <s:c r="A11005" s="120" t="inlineStr"/>
      <s:c r="B11005" s="121" t="n"/>
      <s:c r="C11005" s="121" t="n"/>
      <s:c r="D11005" s="121" t="n"/>
      <s:c r="E11005" s="122" t="n"/>
    </s:row>
    <s:row r="11006" hidden="1" ht="1" customHeight="1">
      <s:c r="A11006" s="120" t="inlineStr"/>
      <s:c r="B11006" s="121" t="n"/>
      <s:c r="C11006" s="121" t="n"/>
      <s:c r="D11006" s="121" t="n"/>
      <s:c r="E11006" s="122" t="n"/>
    </s:row>
    <s:row r="11007" hidden="1" ht="1" customHeight="1">
      <s:c r="A11007" s="120" t="inlineStr"/>
      <s:c r="B11007" s="121" t="n"/>
      <s:c r="C11007" s="121" t="n"/>
      <s:c r="D11007" s="121" t="n"/>
      <s:c r="E11007" s="122" t="n"/>
    </s:row>
    <s:row r="11008" hidden="1" ht="1" customHeight="1">
      <s:c r="A11008" s="120" t="inlineStr"/>
      <s:c r="B11008" s="121" t="n"/>
      <s:c r="C11008" s="121" t="n"/>
      <s:c r="D11008" s="121" t="n"/>
      <s:c r="E11008" s="122" t="n"/>
    </s:row>
    <s:row r="11009" hidden="1" ht="1" customHeight="1">
      <s:c r="A11009" s="120" t="inlineStr"/>
      <s:c r="B11009" s="121" t="n"/>
      <s:c r="C11009" s="121" t="n"/>
      <s:c r="D11009" s="121" t="n"/>
      <s:c r="E11009" s="122" t="n"/>
    </s:row>
    <s:row r="11010" hidden="1" ht="1" customHeight="1">
      <s:c r="A11010" s="120" t="inlineStr"/>
      <s:c r="B11010" s="121" t="n"/>
      <s:c r="C11010" s="121" t="n"/>
      <s:c r="D11010" s="121" t="n"/>
      <s:c r="E11010" s="122" t="n"/>
    </s:row>
    <s:row r="11011" hidden="1" ht="1" customHeight="1">
      <s:c r="A11011" s="120" t="inlineStr"/>
      <s:c r="B11011" s="121" t="n"/>
      <s:c r="C11011" s="121" t="n"/>
      <s:c r="D11011" s="121" t="n"/>
      <s:c r="E11011" s="122" t="n"/>
    </s:row>
    <s:row r="11012" hidden="1" ht="1" customHeight="1">
      <s:c r="A11012" s="120" t="inlineStr"/>
      <s:c r="B11012" s="121" t="n"/>
      <s:c r="C11012" s="121" t="n"/>
      <s:c r="D11012" s="121" t="n"/>
      <s:c r="E11012" s="122" t="n"/>
    </s:row>
    <s:row r="11013" hidden="1" ht="1" customHeight="1">
      <s:c r="A11013" s="120" t="inlineStr"/>
      <s:c r="B11013" s="121" t="n"/>
      <s:c r="C11013" s="121" t="n"/>
      <s:c r="D11013" s="121" t="n"/>
      <s:c r="E11013" s="122" t="n"/>
    </s:row>
    <s:row r="11014" hidden="1" ht="1" customHeight="1">
      <s:c r="A11014" s="120" t="inlineStr"/>
      <s:c r="B11014" s="121" t="n"/>
      <s:c r="C11014" s="121" t="n"/>
      <s:c r="D11014" s="121" t="n"/>
      <s:c r="E11014" s="122" t="n"/>
    </s:row>
    <s:row r="11015" hidden="1" ht="1" customHeight="1">
      <s:c r="A11015" s="120" t="inlineStr"/>
      <s:c r="B11015" s="121" t="n"/>
      <s:c r="C11015" s="121" t="n"/>
      <s:c r="D11015" s="121" t="n"/>
      <s:c r="E11015" s="122" t="n"/>
    </s:row>
    <s:row r="11016" hidden="1" ht="1" customHeight="1">
      <s:c r="A11016" s="120" t="inlineStr"/>
      <s:c r="B11016" s="121" t="n"/>
      <s:c r="C11016" s="121" t="n"/>
      <s:c r="D11016" s="121" t="n"/>
      <s:c r="E11016" s="122" t="n"/>
    </s:row>
    <s:row r="11017" hidden="1" ht="1" customHeight="1">
      <s:c r="A11017" s="120" t="inlineStr"/>
      <s:c r="B11017" s="121" t="n"/>
      <s:c r="C11017" s="121" t="n"/>
      <s:c r="D11017" s="121" t="n"/>
      <s:c r="E11017" s="122" t="n"/>
    </s:row>
    <s:row r="11018" hidden="1" ht="1" customHeight="1">
      <s:c r="A11018" s="120" t="inlineStr"/>
      <s:c r="B11018" s="121" t="n"/>
      <s:c r="C11018" s="121" t="n"/>
      <s:c r="D11018" s="121" t="n"/>
      <s:c r="E11018" s="122" t="n"/>
    </s:row>
    <s:row r="11019" hidden="1" ht="1" customHeight="1">
      <s:c r="A11019" s="120" t="inlineStr"/>
      <s:c r="B11019" s="121" t="n"/>
      <s:c r="C11019" s="121" t="n"/>
      <s:c r="D11019" s="121" t="n"/>
      <s:c r="E11019" s="122" t="n"/>
    </s:row>
    <s:row r="11020" hidden="1" ht="1" customHeight="1">
      <s:c r="A11020" s="120" t="inlineStr"/>
      <s:c r="B11020" s="121" t="n"/>
      <s:c r="C11020" s="121" t="n"/>
      <s:c r="D11020" s="121" t="n"/>
      <s:c r="E11020" s="122" t="n"/>
    </s:row>
    <s:row r="11021" hidden="1" ht="1" customHeight="1">
      <s:c r="A11021" s="120" t="inlineStr"/>
      <s:c r="B11021" s="121" t="n"/>
      <s:c r="C11021" s="121" t="n"/>
      <s:c r="D11021" s="121" t="n"/>
      <s:c r="E11021" s="122" t="n"/>
    </s:row>
    <s:row r="11022" hidden="1" ht="1" customHeight="1">
      <s:c r="A11022" s="120" t="inlineStr"/>
      <s:c r="B11022" s="121" t="n"/>
      <s:c r="C11022" s="121" t="n"/>
      <s:c r="D11022" s="121" t="n"/>
      <s:c r="E11022" s="122" t="n"/>
    </s:row>
    <s:row r="11023" hidden="1" ht="1" customHeight="1">
      <s:c r="A11023" s="120" t="inlineStr"/>
      <s:c r="B11023" s="121" t="n"/>
      <s:c r="C11023" s="121" t="n"/>
      <s:c r="D11023" s="121" t="n"/>
      <s:c r="E11023" s="122" t="n"/>
    </s:row>
    <s:row r="11024" hidden="1" ht="1" customHeight="1">
      <s:c r="A11024" s="120" t="inlineStr"/>
      <s:c r="B11024" s="121" t="n"/>
      <s:c r="C11024" s="121" t="n"/>
      <s:c r="D11024" s="121" t="n"/>
      <s:c r="E11024" s="122" t="n"/>
    </s:row>
    <s:row r="11025" hidden="1" ht="1" customHeight="1">
      <s:c r="A11025" s="120" t="inlineStr"/>
      <s:c r="B11025" s="121" t="n"/>
      <s:c r="C11025" s="121" t="n"/>
      <s:c r="D11025" s="121" t="n"/>
      <s:c r="E11025" s="122" t="n"/>
    </s:row>
    <s:row r="11026" hidden="1" ht="1" customHeight="1">
      <s:c r="A11026" s="120" t="inlineStr"/>
      <s:c r="B11026" s="121" t="n"/>
      <s:c r="C11026" s="121" t="n"/>
      <s:c r="D11026" s="121" t="n"/>
      <s:c r="E11026" s="122" t="n"/>
    </s:row>
    <s:row r="11027" hidden="1" ht="1" customHeight="1">
      <s:c r="A11027" s="120" t="inlineStr"/>
      <s:c r="B11027" s="121" t="n"/>
      <s:c r="C11027" s="121" t="n"/>
      <s:c r="D11027" s="121" t="n"/>
      <s:c r="E11027" s="122" t="n"/>
    </s:row>
    <s:row r="11028" hidden="1" ht="1" customHeight="1">
      <s:c r="A11028" s="120" t="inlineStr"/>
      <s:c r="B11028" s="121" t="n"/>
      <s:c r="C11028" s="121" t="n"/>
      <s:c r="D11028" s="121" t="n"/>
      <s:c r="E11028" s="122" t="n"/>
    </s:row>
    <s:row r="11029" hidden="1" ht="1" customHeight="1">
      <s:c r="A11029" s="120" t="inlineStr"/>
      <s:c r="B11029" s="121" t="n"/>
      <s:c r="C11029" s="121" t="n"/>
      <s:c r="D11029" s="121" t="n"/>
      <s:c r="E11029" s="122" t="n"/>
    </s:row>
    <s:row r="11030" hidden="1" ht="1" customHeight="1">
      <s:c r="A11030" s="120" t="inlineStr"/>
      <s:c r="B11030" s="121" t="n"/>
      <s:c r="C11030" s="121" t="n"/>
      <s:c r="D11030" s="121" t="n"/>
      <s:c r="E11030" s="122" t="n"/>
    </s:row>
    <s:row r="11031" hidden="1" ht="1" customHeight="1">
      <s:c r="A11031" s="120" t="inlineStr"/>
      <s:c r="B11031" s="121" t="n"/>
      <s:c r="C11031" s="121" t="n"/>
      <s:c r="D11031" s="121" t="n"/>
      <s:c r="E11031" s="122" t="n"/>
    </s:row>
    <s:row r="11032" hidden="1" ht="1" customHeight="1">
      <s:c r="A11032" s="120" t="inlineStr"/>
      <s:c r="B11032" s="121" t="n"/>
      <s:c r="C11032" s="121" t="n"/>
      <s:c r="D11032" s="121" t="n"/>
      <s:c r="E11032" s="122" t="n"/>
    </s:row>
    <s:row r="11033" hidden="1" ht="1" customHeight="1">
      <s:c r="A11033" s="120" t="inlineStr"/>
      <s:c r="B11033" s="121" t="n"/>
      <s:c r="C11033" s="121" t="n"/>
      <s:c r="D11033" s="121" t="n"/>
      <s:c r="E11033" s="122" t="n"/>
    </s:row>
    <s:row r="11034" hidden="1" ht="1" customHeight="1">
      <s:c r="A11034" s="120" t="inlineStr"/>
      <s:c r="B11034" s="121" t="n"/>
      <s:c r="C11034" s="121" t="n"/>
      <s:c r="D11034" s="121" t="n"/>
      <s:c r="E11034" s="122" t="n"/>
    </s:row>
    <s:row r="11035" hidden="1" ht="1" customHeight="1">
      <s:c r="A11035" s="120" t="inlineStr"/>
      <s:c r="B11035" s="121" t="n"/>
      <s:c r="C11035" s="121" t="n"/>
      <s:c r="D11035" s="121" t="n"/>
      <s:c r="E11035" s="122" t="n"/>
    </s:row>
    <s:row r="11036" hidden="1" ht="1" customHeight="1">
      <s:c r="A11036" s="120" t="inlineStr"/>
      <s:c r="B11036" s="121" t="n"/>
      <s:c r="C11036" s="121" t="n"/>
      <s:c r="D11036" s="121" t="n"/>
      <s:c r="E11036" s="122" t="n"/>
    </s:row>
    <s:row r="11037" hidden="1" ht="1" customHeight="1">
      <s:c r="A11037" s="120" t="inlineStr"/>
      <s:c r="B11037" s="121" t="n"/>
      <s:c r="C11037" s="121" t="n"/>
      <s:c r="D11037" s="121" t="n"/>
      <s:c r="E11037" s="122" t="n"/>
    </s:row>
    <s:row r="11038" hidden="1" ht="1" customHeight="1">
      <s:c r="A11038" s="120" t="inlineStr"/>
      <s:c r="B11038" s="121" t="n"/>
      <s:c r="C11038" s="121" t="n"/>
      <s:c r="D11038" s="121" t="n"/>
      <s:c r="E11038" s="122" t="n"/>
    </s:row>
    <s:row r="11039" hidden="1" ht="1" customHeight="1">
      <s:c r="A11039" s="120" t="inlineStr"/>
      <s:c r="B11039" s="121" t="n"/>
      <s:c r="C11039" s="121" t="n"/>
      <s:c r="D11039" s="121" t="n"/>
      <s:c r="E11039" s="122" t="n"/>
    </s:row>
    <s:row r="11040" hidden="1" ht="1" customHeight="1">
      <s:c r="A11040" s="120" t="inlineStr"/>
      <s:c r="B11040" s="121" t="n"/>
      <s:c r="C11040" s="121" t="n"/>
      <s:c r="D11040" s="121" t="n"/>
      <s:c r="E11040" s="122" t="n"/>
    </s:row>
    <s:row r="11041" hidden="1" ht="1" customHeight="1">
      <s:c r="A11041" s="120" t="inlineStr"/>
      <s:c r="B11041" s="121" t="n"/>
      <s:c r="C11041" s="121" t="n"/>
      <s:c r="D11041" s="121" t="n"/>
      <s:c r="E11041" s="122" t="n"/>
    </s:row>
    <s:row r="11042" hidden="1" ht="1" customHeight="1">
      <s:c r="A11042" s="120" t="inlineStr"/>
      <s:c r="B11042" s="121" t="n"/>
      <s:c r="C11042" s="121" t="n"/>
      <s:c r="D11042" s="121" t="n"/>
      <s:c r="E11042" s="122" t="n"/>
    </s:row>
    <s:row r="11043" hidden="1" ht="1" customHeight="1">
      <s:c r="A11043" s="120" t="inlineStr"/>
      <s:c r="B11043" s="121" t="n"/>
      <s:c r="C11043" s="121" t="n"/>
      <s:c r="D11043" s="121" t="n"/>
      <s:c r="E11043" s="122" t="n"/>
    </s:row>
    <s:row r="11044" hidden="1" ht="1" customHeight="1">
      <s:c r="A11044" s="120" t="inlineStr"/>
      <s:c r="B11044" s="121" t="n"/>
      <s:c r="C11044" s="121" t="n"/>
      <s:c r="D11044" s="121" t="n"/>
      <s:c r="E11044" s="122" t="n"/>
    </s:row>
    <s:row r="11045" hidden="1" ht="1" customHeight="1">
      <s:c r="A11045" s="120" t="inlineStr"/>
      <s:c r="B11045" s="121" t="n"/>
      <s:c r="C11045" s="121" t="n"/>
      <s:c r="D11045" s="121" t="n"/>
      <s:c r="E11045" s="122" t="n"/>
    </s:row>
    <s:row r="11046" hidden="1" ht="1" customHeight="1">
      <s:c r="A11046" s="120" t="inlineStr"/>
      <s:c r="B11046" s="121" t="n"/>
      <s:c r="C11046" s="121" t="n"/>
      <s:c r="D11046" s="121" t="n"/>
      <s:c r="E11046" s="122" t="n"/>
    </s:row>
    <s:row r="11047" hidden="1" ht="1" customHeight="1">
      <s:c r="A11047" s="120" t="inlineStr"/>
      <s:c r="B11047" s="121" t="n"/>
      <s:c r="C11047" s="121" t="n"/>
      <s:c r="D11047" s="121" t="n"/>
      <s:c r="E11047" s="122" t="n"/>
    </s:row>
    <s:row r="11048" hidden="1" ht="1" customHeight="1">
      <s:c r="A11048" s="120" t="inlineStr"/>
      <s:c r="B11048" s="121" t="n"/>
      <s:c r="C11048" s="121" t="n"/>
      <s:c r="D11048" s="121" t="n"/>
      <s:c r="E11048" s="122" t="n"/>
    </s:row>
    <s:row r="11049" hidden="1" ht="1" customHeight="1">
      <s:c r="A11049" s="120" t="inlineStr"/>
      <s:c r="B11049" s="121" t="n"/>
      <s:c r="C11049" s="121" t="n"/>
      <s:c r="D11049" s="121" t="n"/>
      <s:c r="E11049" s="122" t="n"/>
    </s:row>
    <s:row r="11050" hidden="1" ht="1" customHeight="1">
      <s:c r="A11050" s="120" t="inlineStr"/>
      <s:c r="B11050" s="121" t="n"/>
      <s:c r="C11050" s="121" t="n"/>
      <s:c r="D11050" s="121" t="n"/>
      <s:c r="E11050" s="122" t="n"/>
    </s:row>
    <s:row r="11051" hidden="1" ht="1" customHeight="1">
      <s:c r="A11051" s="120" t="inlineStr"/>
      <s:c r="B11051" s="121" t="n"/>
      <s:c r="C11051" s="121" t="n"/>
      <s:c r="D11051" s="121" t="n"/>
      <s:c r="E11051" s="122" t="n"/>
    </s:row>
    <s:row r="11052" hidden="1" ht="1" customHeight="1">
      <s:c r="A11052" s="120" t="inlineStr"/>
      <s:c r="B11052" s="121" t="n"/>
      <s:c r="C11052" s="121" t="n"/>
      <s:c r="D11052" s="121" t="n"/>
      <s:c r="E11052" s="122" t="n"/>
    </s:row>
    <s:row r="11053" hidden="1" ht="1" customHeight="1">
      <s:c r="A11053" s="120" t="inlineStr"/>
      <s:c r="B11053" s="121" t="n"/>
      <s:c r="C11053" s="121" t="n"/>
      <s:c r="D11053" s="121" t="n"/>
      <s:c r="E11053" s="122" t="n"/>
    </s:row>
    <s:row r="11054" hidden="1" ht="1" customHeight="1">
      <s:c r="A11054" s="120" t="inlineStr"/>
      <s:c r="B11054" s="121" t="n"/>
      <s:c r="C11054" s="121" t="n"/>
      <s:c r="D11054" s="121" t="n"/>
      <s:c r="E11054" s="122" t="n"/>
    </s:row>
    <s:row r="11055" hidden="1" ht="1" customHeight="1">
      <s:c r="A11055" s="120" t="inlineStr"/>
      <s:c r="B11055" s="121" t="n"/>
      <s:c r="C11055" s="121" t="n"/>
      <s:c r="D11055" s="121" t="n"/>
      <s:c r="E11055" s="122" t="n"/>
    </s:row>
    <s:row r="11056" hidden="1" ht="1" customHeight="1">
      <s:c r="A11056" s="120" t="inlineStr"/>
      <s:c r="B11056" s="121" t="n"/>
      <s:c r="C11056" s="121" t="n"/>
      <s:c r="D11056" s="121" t="n"/>
      <s:c r="E11056" s="122" t="n"/>
    </s:row>
    <s:row r="11057" hidden="1" ht="1" customHeight="1">
      <s:c r="A11057" s="120" t="inlineStr"/>
      <s:c r="B11057" s="121" t="n"/>
      <s:c r="C11057" s="121" t="n"/>
      <s:c r="D11057" s="121" t="n"/>
      <s:c r="E11057" s="122" t="n"/>
    </s:row>
    <s:row r="11058" hidden="1" ht="1" customHeight="1">
      <s:c r="A11058" s="120" t="inlineStr"/>
      <s:c r="B11058" s="121" t="n"/>
      <s:c r="C11058" s="121" t="n"/>
      <s:c r="D11058" s="121" t="n"/>
      <s:c r="E11058" s="122" t="n"/>
    </s:row>
    <s:row r="11059" hidden="1" ht="1" customHeight="1">
      <s:c r="A11059" s="120" t="inlineStr"/>
      <s:c r="B11059" s="121" t="n"/>
      <s:c r="C11059" s="121" t="n"/>
      <s:c r="D11059" s="121" t="n"/>
      <s:c r="E11059" s="122" t="n"/>
    </s:row>
    <s:row r="11060" hidden="1" ht="1" customHeight="1">
      <s:c r="A11060" s="120" t="inlineStr"/>
      <s:c r="B11060" s="121" t="n"/>
      <s:c r="C11060" s="121" t="n"/>
      <s:c r="D11060" s="121" t="n"/>
      <s:c r="E11060" s="122" t="n"/>
    </s:row>
    <s:row r="11061" hidden="1" ht="1" customHeight="1">
      <s:c r="A11061" s="120" t="inlineStr"/>
      <s:c r="B11061" s="121" t="n"/>
      <s:c r="C11061" s="121" t="n"/>
      <s:c r="D11061" s="121" t="n"/>
      <s:c r="E11061" s="122" t="n"/>
    </s:row>
    <s:row r="11062" hidden="1" ht="1" customHeight="1">
      <s:c r="A11062" s="120" t="inlineStr"/>
      <s:c r="B11062" s="121" t="n"/>
      <s:c r="C11062" s="121" t="n"/>
      <s:c r="D11062" s="121" t="n"/>
      <s:c r="E11062" s="122" t="n"/>
    </s:row>
    <s:row r="11063" hidden="1" ht="1" customHeight="1">
      <s:c r="A11063" s="120" t="inlineStr"/>
      <s:c r="B11063" s="121" t="n"/>
      <s:c r="C11063" s="121" t="n"/>
      <s:c r="D11063" s="121" t="n"/>
      <s:c r="E11063" s="122" t="n"/>
    </s:row>
    <s:row r="11064" hidden="1" ht="1" customHeight="1">
      <s:c r="A11064" s="120" t="inlineStr"/>
      <s:c r="B11064" s="121" t="n"/>
      <s:c r="C11064" s="121" t="n"/>
      <s:c r="D11064" s="121" t="n"/>
      <s:c r="E11064" s="122" t="n"/>
    </s:row>
    <s:row r="11065" hidden="1" ht="1" customHeight="1">
      <s:c r="A11065" s="120" t="inlineStr"/>
      <s:c r="B11065" s="121" t="n"/>
      <s:c r="C11065" s="121" t="n"/>
      <s:c r="D11065" s="121" t="n"/>
      <s:c r="E11065" s="122" t="n"/>
    </s:row>
    <s:row r="11066" hidden="1" ht="1" customHeight="1">
      <s:c r="A11066" s="120" t="inlineStr"/>
      <s:c r="B11066" s="121" t="n"/>
      <s:c r="C11066" s="121" t="n"/>
      <s:c r="D11066" s="121" t="n"/>
      <s:c r="E11066" s="122" t="n"/>
    </s:row>
    <s:row r="11067" hidden="1" ht="1" customHeight="1">
      <s:c r="A11067" s="120" t="inlineStr"/>
      <s:c r="B11067" s="121" t="n"/>
      <s:c r="C11067" s="121" t="n"/>
      <s:c r="D11067" s="121" t="n"/>
      <s:c r="E11067" s="122" t="n"/>
    </s:row>
    <s:row r="11068" hidden="1" ht="1" customHeight="1">
      <s:c r="A11068" s="120" t="inlineStr"/>
      <s:c r="B11068" s="121" t="n"/>
      <s:c r="C11068" s="121" t="n"/>
      <s:c r="D11068" s="121" t="n"/>
      <s:c r="E11068" s="122" t="n"/>
    </s:row>
    <s:row r="11069" hidden="1" ht="1" customHeight="1">
      <s:c r="A11069" s="120" t="inlineStr"/>
      <s:c r="B11069" s="121" t="n"/>
      <s:c r="C11069" s="121" t="n"/>
      <s:c r="D11069" s="121" t="n"/>
      <s:c r="E11069" s="122" t="n"/>
    </s:row>
    <s:row r="11070" hidden="1" ht="1" customHeight="1">
      <s:c r="A11070" s="120" t="inlineStr"/>
      <s:c r="B11070" s="121" t="n"/>
      <s:c r="C11070" s="121" t="n"/>
      <s:c r="D11070" s="121" t="n"/>
      <s:c r="E11070" s="122" t="n"/>
    </s:row>
    <s:row r="11071" hidden="1" ht="1" customHeight="1">
      <s:c r="A11071" s="120" t="inlineStr"/>
      <s:c r="B11071" s="121" t="n"/>
      <s:c r="C11071" s="121" t="n"/>
      <s:c r="D11071" s="121" t="n"/>
      <s:c r="E11071" s="122" t="n"/>
    </s:row>
    <s:row r="11072" hidden="1" ht="1" customHeight="1">
      <s:c r="A11072" s="120" t="inlineStr"/>
      <s:c r="B11072" s="121" t="n"/>
      <s:c r="C11072" s="121" t="n"/>
      <s:c r="D11072" s="121" t="n"/>
      <s:c r="E11072" s="122" t="n"/>
    </s:row>
    <s:row r="11073" hidden="1" ht="1" customHeight="1">
      <s:c r="A11073" s="120" t="inlineStr"/>
      <s:c r="B11073" s="121" t="n"/>
      <s:c r="C11073" s="121" t="n"/>
      <s:c r="D11073" s="121" t="n"/>
      <s:c r="E11073" s="122" t="n"/>
    </s:row>
    <s:row r="11074" hidden="1" ht="1" customHeight="1">
      <s:c r="A11074" s="120" t="inlineStr"/>
      <s:c r="B11074" s="121" t="n"/>
      <s:c r="C11074" s="121" t="n"/>
      <s:c r="D11074" s="121" t="n"/>
      <s:c r="E11074" s="122" t="n"/>
    </s:row>
    <s:row r="11075" hidden="1" ht="1" customHeight="1">
      <s:c r="A11075" s="120" t="inlineStr"/>
      <s:c r="B11075" s="121" t="n"/>
      <s:c r="C11075" s="121" t="n"/>
      <s:c r="D11075" s="121" t="n"/>
      <s:c r="E11075" s="122" t="n"/>
    </s:row>
    <s:row r="11076" hidden="1" ht="1" customHeight="1">
      <s:c r="A11076" s="120" t="inlineStr"/>
      <s:c r="B11076" s="121" t="n"/>
      <s:c r="C11076" s="121" t="n"/>
      <s:c r="D11076" s="121" t="n"/>
      <s:c r="E11076" s="122" t="n"/>
    </s:row>
    <s:row r="11077" hidden="1" ht="1" customHeight="1">
      <s:c r="A11077" s="120" t="inlineStr"/>
      <s:c r="B11077" s="121" t="n"/>
      <s:c r="C11077" s="121" t="n"/>
      <s:c r="D11077" s="121" t="n"/>
      <s:c r="E11077" s="122" t="n"/>
    </s:row>
    <s:row r="11078" hidden="1" ht="1" customHeight="1">
      <s:c r="A11078" s="120" t="inlineStr"/>
      <s:c r="B11078" s="121" t="n"/>
      <s:c r="C11078" s="121" t="n"/>
      <s:c r="D11078" s="121" t="n"/>
      <s:c r="E11078" s="122" t="n"/>
    </s:row>
    <s:row r="11079" hidden="1" ht="1" customHeight="1">
      <s:c r="A11079" s="120" t="inlineStr"/>
      <s:c r="B11079" s="121" t="n"/>
      <s:c r="C11079" s="121" t="n"/>
      <s:c r="D11079" s="121" t="n"/>
      <s:c r="E11079" s="122" t="n"/>
    </s:row>
    <s:row r="11080" hidden="1" ht="1" customHeight="1">
      <s:c r="A11080" s="120" t="inlineStr"/>
      <s:c r="B11080" s="121" t="n"/>
      <s:c r="C11080" s="121" t="n"/>
      <s:c r="D11080" s="121" t="n"/>
      <s:c r="E11080" s="122" t="n"/>
    </s:row>
    <s:row r="11081" hidden="1" ht="1" customHeight="1">
      <s:c r="A11081" s="120" t="inlineStr"/>
      <s:c r="B11081" s="121" t="n"/>
      <s:c r="C11081" s="121" t="n"/>
      <s:c r="D11081" s="121" t="n"/>
      <s:c r="E11081" s="122" t="n"/>
    </s:row>
    <s:row r="11082" hidden="1" ht="1" customHeight="1">
      <s:c r="A11082" s="120" t="inlineStr"/>
      <s:c r="B11082" s="121" t="n"/>
      <s:c r="C11082" s="121" t="n"/>
      <s:c r="D11082" s="121" t="n"/>
      <s:c r="E11082" s="122" t="n"/>
    </s:row>
    <s:row r="11083" hidden="1" ht="1" customHeight="1">
      <s:c r="A11083" s="120" t="inlineStr"/>
      <s:c r="B11083" s="121" t="n"/>
      <s:c r="C11083" s="121" t="n"/>
      <s:c r="D11083" s="121" t="n"/>
      <s:c r="E11083" s="122" t="n"/>
    </s:row>
    <s:row r="11084" hidden="1" ht="1" customHeight="1">
      <s:c r="A11084" s="120" t="inlineStr"/>
      <s:c r="B11084" s="121" t="n"/>
      <s:c r="C11084" s="121" t="n"/>
      <s:c r="D11084" s="121" t="n"/>
      <s:c r="E11084" s="122" t="n"/>
    </s:row>
    <s:row r="11085" hidden="1" ht="1" customHeight="1">
      <s:c r="A11085" s="120" t="inlineStr"/>
      <s:c r="B11085" s="121" t="n"/>
      <s:c r="C11085" s="121" t="n"/>
      <s:c r="D11085" s="121" t="n"/>
      <s:c r="E11085" s="122" t="n"/>
    </s:row>
    <s:row r="11086" hidden="1" ht="1" customHeight="1">
      <s:c r="A11086" s="120" t="inlineStr"/>
      <s:c r="B11086" s="121" t="n"/>
      <s:c r="C11086" s="121" t="n"/>
      <s:c r="D11086" s="121" t="n"/>
      <s:c r="E11086" s="122" t="n"/>
    </s:row>
    <s:row r="11087" hidden="1" ht="1" customHeight="1">
      <s:c r="A11087" s="120" t="inlineStr"/>
      <s:c r="B11087" s="121" t="n"/>
      <s:c r="C11087" s="121" t="n"/>
      <s:c r="D11087" s="121" t="n"/>
      <s:c r="E11087" s="122" t="n"/>
    </s:row>
    <s:row r="11088" hidden="1" ht="1" customHeight="1">
      <s:c r="A11088" s="120" t="inlineStr"/>
      <s:c r="B11088" s="121" t="n"/>
      <s:c r="C11088" s="121" t="n"/>
      <s:c r="D11088" s="121" t="n"/>
      <s:c r="E11088" s="122" t="n"/>
    </s:row>
    <s:row r="11089" hidden="1" ht="1" customHeight="1">
      <s:c r="A11089" s="120" t="inlineStr"/>
      <s:c r="B11089" s="121" t="n"/>
      <s:c r="C11089" s="121" t="n"/>
      <s:c r="D11089" s="121" t="n"/>
      <s:c r="E11089" s="122" t="n"/>
    </s:row>
    <s:row r="11090" hidden="1" ht="1" customHeight="1">
      <s:c r="A11090" s="120" t="inlineStr"/>
      <s:c r="B11090" s="121" t="n"/>
      <s:c r="C11090" s="121" t="n"/>
      <s:c r="D11090" s="121" t="n"/>
      <s:c r="E11090" s="122" t="n"/>
    </s:row>
    <s:row r="11091" hidden="1" ht="1" customHeight="1">
      <s:c r="A11091" s="120" t="inlineStr"/>
      <s:c r="B11091" s="121" t="n"/>
      <s:c r="C11091" s="121" t="n"/>
      <s:c r="D11091" s="121" t="n"/>
      <s:c r="E11091" s="122" t="n"/>
    </s:row>
    <s:row r="11092" hidden="1" ht="1" customHeight="1">
      <s:c r="A11092" s="120" t="inlineStr"/>
      <s:c r="B11092" s="121" t="n"/>
      <s:c r="C11092" s="121" t="n"/>
      <s:c r="D11092" s="121" t="n"/>
      <s:c r="E11092" s="122" t="n"/>
    </s:row>
    <s:row r="11093" hidden="1" ht="1" customHeight="1">
      <s:c r="A11093" s="120" t="inlineStr"/>
      <s:c r="B11093" s="121" t="n"/>
      <s:c r="C11093" s="121" t="n"/>
      <s:c r="D11093" s="121" t="n"/>
      <s:c r="E11093" s="122" t="n"/>
    </s:row>
    <s:row r="11094" hidden="1" ht="1" customHeight="1">
      <s:c r="A11094" s="120" t="inlineStr"/>
      <s:c r="B11094" s="121" t="n"/>
      <s:c r="C11094" s="121" t="n"/>
      <s:c r="D11094" s="121" t="n"/>
      <s:c r="E11094" s="122" t="n"/>
    </s:row>
    <s:row r="11095" hidden="1" ht="1" customHeight="1">
      <s:c r="A11095" s="120" t="inlineStr"/>
      <s:c r="B11095" s="121" t="n"/>
      <s:c r="C11095" s="121" t="n"/>
      <s:c r="D11095" s="121" t="n"/>
      <s:c r="E11095" s="122" t="n"/>
    </s:row>
    <s:row r="11096" hidden="1" ht="1" customHeight="1">
      <s:c r="A11096" s="120" t="inlineStr"/>
      <s:c r="B11096" s="121" t="n"/>
      <s:c r="C11096" s="121" t="n"/>
      <s:c r="D11096" s="121" t="n"/>
      <s:c r="E11096" s="122" t="n"/>
    </s:row>
    <s:row r="11097" hidden="1" ht="1" customHeight="1">
      <s:c r="A11097" s="120" t="inlineStr"/>
      <s:c r="B11097" s="121" t="n"/>
      <s:c r="C11097" s="121" t="n"/>
      <s:c r="D11097" s="121" t="n"/>
      <s:c r="E11097" s="122" t="n"/>
    </s:row>
    <s:row r="11098" hidden="1" ht="1" customHeight="1">
      <s:c r="A11098" s="120" t="inlineStr"/>
      <s:c r="B11098" s="121" t="n"/>
      <s:c r="C11098" s="121" t="n"/>
      <s:c r="D11098" s="121" t="n"/>
      <s:c r="E11098" s="122" t="n"/>
    </s:row>
    <s:row r="11099" hidden="1" ht="1" customHeight="1">
      <s:c r="A11099" s="83" t="inlineStr">
        <s:is>
          <s:t>PASS</s:t>
        </s:is>
      </s:c>
      <s:c r="B11099" s="83">
        <s:f>SUM(IF(EXACT('Kiểm thử'!E10949,"Đạt"),1,0),IF(EXACT('Kiểm thử'!E10951,"Đạt"),1,0),IF(EXACT('Kiểm thử'!E10953,"Đạt"),1,0))</s:f>
        <s:v/>
      </s:c>
      <s:c r="C11099" s="19" t="n"/>
      <s:c r="D11099" s="19" t="n"/>
      <s:c r="E11099" s="19" t="n"/>
    </s:row>
    <s:row r="11100" hidden="1" ht="1" customHeight="1">
      <s:c r="A11100" s="83" t="inlineStr">
        <s:is>
          <s:t>FAIL</s:t>
        </s:is>
      </s:c>
      <s:c r="B11100" s="83">
        <s:f>SUM(IF(EXACT('Kiểm thử'!E10949,"Không đạt"),1,0),IF(EXACT('Kiểm thử'!E10951,"Không đạt"),1,0),IF(EXACT('Kiểm thử'!E10953,"Không đạt"),1,0))</s:f>
        <s:v/>
      </s:c>
      <s:c r="C11100" s="19" t="n"/>
      <s:c r="D11100" s="19" t="n"/>
      <s:c r="E11100" s="19" t="n"/>
    </s:row>
    <s:row r="11101" hidden="1" ht="1" customHeight="1">
      <s:c r="A11101" s="83" t="inlineStr">
        <s:is>
          <s:t>BLOCKED</s:t>
        </s:is>
      </s:c>
      <s:c r="B11101" s="83">
        <s:f>SUM(IF(EXACT('Kiểm thử'!E10949,"Bị chặn"),1,0),IF(EXACT('Kiểm thử'!E10951,"Bị chặn"),1,0),IF(EXACT('Kiểm thử'!E10953,"Bị chặn"),1,0))</s:f>
        <s:v/>
      </s:c>
      <s:c r="C11101" s="19" t="n"/>
      <s:c r="D11101" s="19" t="n"/>
      <s:c r="E11101" s="19" t="n"/>
    </s:row>
    <s:row r="11102" hidden="1" ht="1" customHeight="1">
      <s:c r="A11102" s="83" t="inlineStr">
        <s:is>
          <s:t>SKIPPED</s:t>
        </s:is>
      </s:c>
      <s:c r="B11102" s="83">
        <s:f>SUM(IF(EXACT('Kiểm thử'!E10949,"Không thực hiện"),1,0),IF(EXACT('Kiểm thử'!E10951,"Không thực hiện"),1,0),IF(EXACT('Kiểm thử'!E10953,"Không thực hiện"),1,0))</s:f>
        <s:v/>
      </s:c>
      <s:c r="C11102" s="19" t="n"/>
      <s:c r="D11102" s="19" t="n"/>
      <s:c r="E11102" s="19" t="n"/>
    </s:row>
    <s:row r="11103" hidden="1" ht="1" customHeight="1">
      <s:c r="A11103" s="83" t="inlineStr">
        <s:is>
          <s:t>NOT RUN</s:t>
        </s:is>
      </s:c>
      <s:c r="B11103" s="83">
        <s:f>SUM(IF(EXACT('Kiểm thử'!E10949,"Chưa thực hiện"),1,0),IF(EXACT('Kiểm thử'!E10951,"Chưa thực hiện"),1,0),IF(EXACT('Kiểm thử'!E10953,"Chưa thực hiện"),1,0))</s:f>
        <s:v/>
      </s:c>
      <s:c r="C11103" s="19" t="n"/>
      <s:c r="D11103" s="19" t="n"/>
      <s:c r="E11103" s="19" t="n"/>
    </s:row>
    <s:row r="11104" hidden="1" ht="6" customHeight="1">
      <s:c r="A11104" s="83" t="inlineStr"/>
      <s:c r="B11104" s="19" t="n"/>
      <s:c r="C11104" s="19" t="n"/>
      <s:c r="D11104" s="19" t="n"/>
      <s:c r="E11104" s="19" t="n"/>
    </s:row>
    <s:row r="11105" ht="28" customHeight="1">
      <s:c r="A11105" s="108" t="inlineStr">
        <s:is>
          <s:t>TC-RS-BR-006 — Nhóm tham chiếu tách khỏi đối tượng áp dụng và danh sách đang lọc ở đầu ra</s:t>
        </s:is>
      </s:c>
      <s:c r="B11105" s="111" t="n"/>
      <s:c r="C11105" s="111" t="n"/>
      <s:c r="D11105" s="111" t="n"/>
      <s:c r="E11105" s="111" t="n"/>
    </s:row>
    <s:row r="11106" ht="20" customHeight="1">
      <s:c r="A11106" s="112" t="inlineStr">
        <s:is>
          <s:t>Kết quả tình huống</s:t>
        </s:is>
      </s:c>
      <s:c r="B11106" s="113">
        <s:f>IF(SUM(IF(EXACT('Kiểm thử'!E11115,"Không đạt"),1,0))&gt;0,"Không đạt",IF(SUM(IF(EXACT('Kiểm thử'!E11115,"Đạt"),1,0))=1,"Đạt",IF(SUM(IF(EXACT('Kiểm thử'!E11115,"Không thực hiện"),1,0))=1,"Không thực hiện",IF(SUM(IF(EXACT('Kiểm thử'!E11115,"Bị chặn"),1,0))&gt;0,"Bị chặn",IF(SUM(IF(EXACT('Kiểm thử'!E11115,"Chưa thực hiện"),1,0))=1,"Chưa thực hiện","Đang thực hiện")))))</s:f>
        <s:v/>
      </s:c>
      <s:c r="C11106" s="114" t="n"/>
      <s:c r="D11106" s="114" t="n"/>
      <s:c r="E11106" s="114" t="n"/>
    </s:row>
    <s:row r="11107" ht="20" customHeight="1">
      <s:c r="A11107" s="112" t="inlineStr">
        <s:is>
          <s:t>Màn hình / chức năng</s:t>
        </s:is>
      </s:c>
      <s:c r="B11107" s="113" t="inlineStr">
        <s:is>
          <s:t>Nguồn tổng hợp</s:t>
        </s:is>
      </s:c>
      <s:c r="C11107" s="28" t="n"/>
      <s:c r="D11107" s="28" t="n"/>
      <s:c r="E11107" s="28" t="n"/>
    </s:row>
    <s:row r="11108" ht="34" customHeight="1">
      <s:c r="A11108" s="112" t="inlineStr">
        <s:is>
          <s:t>Cấu hình</s:t>
        </s:is>
      </s:c>
      <s:c r="B11108" s="113" t="inlineStr">
        <s:is>
          <s:r>
            <s:t>• Quy tắc chỉ áp dụng cho lớp G-A (bộ lọc lớp), công thức [A×0.5], nguồn có nhóm tham chiếu là một nhóm tổng hợp chứa cả G-A và G-B, [</s:t>
          </s:r>
          <s:r>
            <s:rPr>
              <s:b val="1"/>
            </s:rPr>
            <s:t>A=50</s:t>
          </s:r>
          <s:r>
            <s:t>] (G-A riêng có trung bình 40). Đã xét: [</s:t>
          </s:r>
          <s:r>
            <s:rPr>
              <s:b val="1"/>
            </s:rPr>
            <s:t>T=25</s:t>
          </s:r>
          <s:r>
            <s:t>].</s:t>
          </s:r>
        </s:is>
      </s:c>
      <s:c r="C11108" s="28" t="n"/>
      <s:c r="D11108" s="28" t="n"/>
      <s:c r="E11108" s="28" t="n"/>
    </s:row>
    <s:row r="11109" ht="48" customHeight="1">
      <s:c r="A11109" s="112" t="inlineStr">
        <s:is>
          <s:t>Dữ liệu test</s:t>
        </s:is>
      </s:c>
      <s:c r="B11109" s="113" t="inlineStr">
        <s:is>
          <s:t>• Nguồn theo nhóm tổng hợp chứa G-A và G-B (không dùng nhóm theo khối vì G-A thuộc khối 1, G-B thuộc khối 2);
• Các lớp học phần G-A, G-B, G-C</s:t>
        </s:is>
      </s:c>
      <s:c r="C11109" s="28" t="n"/>
      <s:c r="D11109" s="28" t="n"/>
      <s:c r="E11109" s="28" t="n"/>
    </s:row>
    <s:row r="11110" ht="20" customHeight="1">
      <s:c r="A11110" s="112" t="inlineStr">
        <s:is>
          <s:t>Bước 1</s:t>
        </s:is>
      </s:c>
      <s:c r="B11110" s="113" t="inlineStr">
        <s:is>
          <s:t>Xem kết quả của học sinh G-A điểm 24 (Đỏ) và 26 (Không đỏ).</s:t>
        </s:is>
      </s:c>
      <s:c r="C11110" s="28" t="n"/>
      <s:c r="D11110" s="28" t="n"/>
      <s:c r="E11110" s="28" t="n"/>
    </s:row>
    <s:row r="11111" ht="20" customHeight="1">
      <s:c r="A11111" s="112" t="inlineStr">
        <s:is>
          <s:t>Bước 2</s:t>
        </s:is>
      </s:c>
      <s:c r="B11111" s="113" t="inlineStr">
        <s:is>
          <s:t>Chạy trích xuất chỉ lọc lớp G-A.</s:t>
        </s:is>
      </s:c>
      <s:c r="C11111" s="28" t="n"/>
      <s:c r="D11111" s="28" t="n"/>
      <s:c r="E11111" s="28" t="n"/>
    </s:row>
    <s:row r="11112" ht="20" customHeight="1">
      <s:c r="A11112" s="112" t="inlineStr">
        <s:is>
          <s:t>Bước 3</s:t>
        </s:is>
      </s:c>
      <s:c r="B11112" s="113" t="inlineStr">
        <s:is>
          <s:t>Chạy lại xét.</s:t>
        </s:is>
      </s:c>
      <s:c r="C11112" s="28" t="n"/>
      <s:c r="D11112" s="28" t="n"/>
      <s:c r="E11112" s="28" t="n"/>
    </s:row>
    <s:row r="11113" ht="28" customHeight="1">
      <s:c r="A11113" s="115" t="inlineStr">
        <s:is>
          <s:t>Trường hợp</s:t>
        </s:is>
      </s:c>
      <s:c r="B11113" s="115" t="inlineStr">
        <s:is>
          <s:t>Dữ liệu / thao tác riêng</s:t>
        </s:is>
      </s:c>
      <s:c r="C11113" s="115" t="inlineStr">
        <s:is>
          <s:t>Kết quả mong đợi</s:t>
        </s:is>
      </s:c>
      <s:c r="D11113" s="115" t="inlineStr">
        <s:is>
          <s:t>Kết quả thực tế</s:t>
        </s:is>
      </s:c>
      <s:c r="E11113" s="115" t="inlineStr">
        <s:is>
          <s:t>Đánh giá</s:t>
        </s:is>
      </s:c>
    </s:row>
    <s:row r="11114" ht="3" customHeight="1">
      <s:c r="A11114" s="102" t="inlineStr"/>
      <s:c r="B11114" s="99" t="n"/>
      <s:c r="C11114" s="99" t="n"/>
      <s:c r="D11114" s="116" t="n"/>
      <s:c r="E11114" s="116" t="n"/>
    </s:row>
    <s:row r="11115" ht="62" customHeight="1">
      <s:c r="A11115" s="83" t="inlineStr">
        <s:is>
          <s:t>Trường hợp cơ bản (Base)</s:t>
        </s:is>
      </s:c>
      <s:c r="B11115" s="83" t="inlineStr">
        <s:is>
          <s:t>Toàn bộ tình huống: Thực hiện đủ các bước chung theo thứ tự; kiểm cả đối tượng đích và đối chứng cùng fixture, không bỏ bước.</s:t>
        </s:is>
      </s:c>
      <s:c r="C11115" s="83" t="inlineStr">
        <s:is>
          <s:r>
            <s:t>Kết quả vẫn dùng [</s:t>
          </s:r>
          <s:r>
            <s:rPr>
              <s:b val="1"/>
            </s:rPr>
            <s:t>T=25</s:t>
          </s:r>
          <s:r>
            <s:t>] (từ [</s:t>
          </s:r>
          <s:r>
            <s:rPr>
              <s:b val="1"/>
            </s:rPr>
            <s:t>A=50</s:t>
          </s:r>
          <s:r>
            <s:t>] của cả nhóm). Lọc lớp ở đầu ra hoặc đối tượng chỉ G-A không làm trung bình thành 40 ([</s:t>
          </s:r>
          <s:r>
            <s:rPr>
              <s:b val="1"/>
            </s:rPr>
            <s:t>T=20</s:t>
          </s:r>
          <s:r>
            <s:t>]).</s:t>
          </s:r>
        </s:is>
      </s:c>
      <s:c r="D11115" s="117" t="inlineStr"/>
      <s:c r="E11115" s="118" t="inlineStr">
        <s:is>
          <s:t>Chưa thực hiện</s:t>
        </s:is>
      </s:c>
    </s:row>
    <s:row r="11116" ht="20" customHeight="1">
      <s:c r="A11116" s="119" t="inlineStr">
        <s:is>
          <s:t>Ảnh minh chứng — Chưa có ảnh</s:t>
        </s:is>
      </s:c>
      <s:c r="B11116" s="19" t="n"/>
      <s:c r="C11116" s="19" t="n"/>
      <s:c r="D11116" s="19" t="n"/>
      <s:c r="E11116" s="19" t="n"/>
    </s:row>
    <s:row r="11117" hidden="1" ht="1" customHeight="1">
      <s:c r="A11117" s="120" t="inlineStr"/>
      <s:c r="B11117" s="121" t="n"/>
      <s:c r="C11117" s="121" t="n"/>
      <s:c r="D11117" s="121" t="n"/>
      <s:c r="E11117" s="122" t="n"/>
    </s:row>
    <s:row r="11118" hidden="1" ht="1" customHeight="1">
      <s:c r="A11118" s="120" t="inlineStr"/>
      <s:c r="B11118" s="121" t="n"/>
      <s:c r="C11118" s="121" t="n"/>
      <s:c r="D11118" s="121" t="n"/>
      <s:c r="E11118" s="122" t="n"/>
    </s:row>
    <s:row r="11119" hidden="1" ht="1" customHeight="1">
      <s:c r="A11119" s="120" t="inlineStr"/>
      <s:c r="B11119" s="121" t="n"/>
      <s:c r="C11119" s="121" t="n"/>
      <s:c r="D11119" s="121" t="n"/>
      <s:c r="E11119" s="122" t="n"/>
    </s:row>
    <s:row r="11120" hidden="1" ht="1" customHeight="1">
      <s:c r="A11120" s="120" t="inlineStr"/>
      <s:c r="B11120" s="121" t="n"/>
      <s:c r="C11120" s="121" t="n"/>
      <s:c r="D11120" s="121" t="n"/>
      <s:c r="E11120" s="122" t="n"/>
    </s:row>
    <s:row r="11121" hidden="1" ht="1" customHeight="1">
      <s:c r="A11121" s="120" t="inlineStr"/>
      <s:c r="B11121" s="121" t="n"/>
      <s:c r="C11121" s="121" t="n"/>
      <s:c r="D11121" s="121" t="n"/>
      <s:c r="E11121" s="122" t="n"/>
    </s:row>
    <s:row r="11122" hidden="1" ht="1" customHeight="1">
      <s:c r="A11122" s="120" t="inlineStr"/>
      <s:c r="B11122" s="121" t="n"/>
      <s:c r="C11122" s="121" t="n"/>
      <s:c r="D11122" s="121" t="n"/>
      <s:c r="E11122" s="122" t="n"/>
    </s:row>
    <s:row r="11123" hidden="1" ht="1" customHeight="1">
      <s:c r="A11123" s="120" t="inlineStr"/>
      <s:c r="B11123" s="121" t="n"/>
      <s:c r="C11123" s="121" t="n"/>
      <s:c r="D11123" s="121" t="n"/>
      <s:c r="E11123" s="122" t="n"/>
    </s:row>
    <s:row r="11124" hidden="1" ht="1" customHeight="1">
      <s:c r="A11124" s="120" t="inlineStr"/>
      <s:c r="B11124" s="121" t="n"/>
      <s:c r="C11124" s="121" t="n"/>
      <s:c r="D11124" s="121" t="n"/>
      <s:c r="E11124" s="122" t="n"/>
    </s:row>
    <s:row r="11125" hidden="1" ht="1" customHeight="1">
      <s:c r="A11125" s="120" t="inlineStr"/>
      <s:c r="B11125" s="121" t="n"/>
      <s:c r="C11125" s="121" t="n"/>
      <s:c r="D11125" s="121" t="n"/>
      <s:c r="E11125" s="122" t="n"/>
    </s:row>
    <s:row r="11126" hidden="1" ht="1" customHeight="1">
      <s:c r="A11126" s="120" t="inlineStr"/>
      <s:c r="B11126" s="121" t="n"/>
      <s:c r="C11126" s="121" t="n"/>
      <s:c r="D11126" s="121" t="n"/>
      <s:c r="E11126" s="122" t="n"/>
    </s:row>
    <s:row r="11127" hidden="1" ht="1" customHeight="1">
      <s:c r="A11127" s="120" t="inlineStr"/>
      <s:c r="B11127" s="121" t="n"/>
      <s:c r="C11127" s="121" t="n"/>
      <s:c r="D11127" s="121" t="n"/>
      <s:c r="E11127" s="122" t="n"/>
    </s:row>
    <s:row r="11128" hidden="1" ht="1" customHeight="1">
      <s:c r="A11128" s="120" t="inlineStr"/>
      <s:c r="B11128" s="121" t="n"/>
      <s:c r="C11128" s="121" t="n"/>
      <s:c r="D11128" s="121" t="n"/>
      <s:c r="E11128" s="122" t="n"/>
    </s:row>
    <s:row r="11129" hidden="1" ht="1" customHeight="1">
      <s:c r="A11129" s="120" t="inlineStr"/>
      <s:c r="B11129" s="121" t="n"/>
      <s:c r="C11129" s="121" t="n"/>
      <s:c r="D11129" s="121" t="n"/>
      <s:c r="E11129" s="122" t="n"/>
    </s:row>
    <s:row r="11130" hidden="1" ht="1" customHeight="1">
      <s:c r="A11130" s="120" t="inlineStr"/>
      <s:c r="B11130" s="121" t="n"/>
      <s:c r="C11130" s="121" t="n"/>
      <s:c r="D11130" s="121" t="n"/>
      <s:c r="E11130" s="122" t="n"/>
    </s:row>
    <s:row r="11131" hidden="1" ht="1" customHeight="1">
      <s:c r="A11131" s="120" t="inlineStr"/>
      <s:c r="B11131" s="121" t="n"/>
      <s:c r="C11131" s="121" t="n"/>
      <s:c r="D11131" s="121" t="n"/>
      <s:c r="E11131" s="122" t="n"/>
    </s:row>
    <s:row r="11132" hidden="1" ht="1" customHeight="1">
      <s:c r="A11132" s="120" t="inlineStr"/>
      <s:c r="B11132" s="121" t="n"/>
      <s:c r="C11132" s="121" t="n"/>
      <s:c r="D11132" s="121" t="n"/>
      <s:c r="E11132" s="122" t="n"/>
    </s:row>
    <s:row r="11133" hidden="1" ht="1" customHeight="1">
      <s:c r="A11133" s="120" t="inlineStr"/>
      <s:c r="B11133" s="121" t="n"/>
      <s:c r="C11133" s="121" t="n"/>
      <s:c r="D11133" s="121" t="n"/>
      <s:c r="E11133" s="122" t="n"/>
    </s:row>
    <s:row r="11134" hidden="1" ht="1" customHeight="1">
      <s:c r="A11134" s="120" t="inlineStr"/>
      <s:c r="B11134" s="121" t="n"/>
      <s:c r="C11134" s="121" t="n"/>
      <s:c r="D11134" s="121" t="n"/>
      <s:c r="E11134" s="122" t="n"/>
    </s:row>
    <s:row r="11135" hidden="1" ht="1" customHeight="1">
      <s:c r="A11135" s="120" t="inlineStr"/>
      <s:c r="B11135" s="121" t="n"/>
      <s:c r="C11135" s="121" t="n"/>
      <s:c r="D11135" s="121" t="n"/>
      <s:c r="E11135" s="122" t="n"/>
    </s:row>
    <s:row r="11136" hidden="1" ht="1" customHeight="1">
      <s:c r="A11136" s="120" t="inlineStr"/>
      <s:c r="B11136" s="121" t="n"/>
      <s:c r="C11136" s="121" t="n"/>
      <s:c r="D11136" s="121" t="n"/>
      <s:c r="E11136" s="122" t="n"/>
    </s:row>
    <s:row r="11137" hidden="1" ht="1" customHeight="1">
      <s:c r="A11137" s="120" t="inlineStr"/>
      <s:c r="B11137" s="121" t="n"/>
      <s:c r="C11137" s="121" t="n"/>
      <s:c r="D11137" s="121" t="n"/>
      <s:c r="E11137" s="122" t="n"/>
    </s:row>
    <s:row r="11138" hidden="1" ht="1" customHeight="1">
      <s:c r="A11138" s="120" t="inlineStr"/>
      <s:c r="B11138" s="121" t="n"/>
      <s:c r="C11138" s="121" t="n"/>
      <s:c r="D11138" s="121" t="n"/>
      <s:c r="E11138" s="122" t="n"/>
    </s:row>
    <s:row r="11139" hidden="1" ht="1" customHeight="1">
      <s:c r="A11139" s="120" t="inlineStr"/>
      <s:c r="B11139" s="121" t="n"/>
      <s:c r="C11139" s="121" t="n"/>
      <s:c r="D11139" s="121" t="n"/>
      <s:c r="E11139" s="122" t="n"/>
    </s:row>
    <s:row r="11140" hidden="1" ht="1" customHeight="1">
      <s:c r="A11140" s="120" t="inlineStr"/>
      <s:c r="B11140" s="121" t="n"/>
      <s:c r="C11140" s="121" t="n"/>
      <s:c r="D11140" s="121" t="n"/>
      <s:c r="E11140" s="122" t="n"/>
    </s:row>
    <s:row r="11141" hidden="1" ht="1" customHeight="1">
      <s:c r="A11141" s="120" t="inlineStr"/>
      <s:c r="B11141" s="121" t="n"/>
      <s:c r="C11141" s="121" t="n"/>
      <s:c r="D11141" s="121" t="n"/>
      <s:c r="E11141" s="122" t="n"/>
    </s:row>
    <s:row r="11142" hidden="1" ht="1" customHeight="1">
      <s:c r="A11142" s="120" t="inlineStr"/>
      <s:c r="B11142" s="121" t="n"/>
      <s:c r="C11142" s="121" t="n"/>
      <s:c r="D11142" s="121" t="n"/>
      <s:c r="E11142" s="122" t="n"/>
    </s:row>
    <s:row r="11143" hidden="1" ht="1" customHeight="1">
      <s:c r="A11143" s="120" t="inlineStr"/>
      <s:c r="B11143" s="121" t="n"/>
      <s:c r="C11143" s="121" t="n"/>
      <s:c r="D11143" s="121" t="n"/>
      <s:c r="E11143" s="122" t="n"/>
    </s:row>
    <s:row r="11144" hidden="1" ht="1" customHeight="1">
      <s:c r="A11144" s="120" t="inlineStr"/>
      <s:c r="B11144" s="121" t="n"/>
      <s:c r="C11144" s="121" t="n"/>
      <s:c r="D11144" s="121" t="n"/>
      <s:c r="E11144" s="122" t="n"/>
    </s:row>
    <s:row r="11145" hidden="1" ht="1" customHeight="1">
      <s:c r="A11145" s="120" t="inlineStr"/>
      <s:c r="B11145" s="121" t="n"/>
      <s:c r="C11145" s="121" t="n"/>
      <s:c r="D11145" s="121" t="n"/>
      <s:c r="E11145" s="122" t="n"/>
    </s:row>
    <s:row r="11146" hidden="1" ht="1" customHeight="1">
      <s:c r="A11146" s="120" t="inlineStr"/>
      <s:c r="B11146" s="121" t="n"/>
      <s:c r="C11146" s="121" t="n"/>
      <s:c r="D11146" s="121" t="n"/>
      <s:c r="E11146" s="122" t="n"/>
    </s:row>
    <s:row r="11147" hidden="1" ht="1" customHeight="1">
      <s:c r="A11147" s="120" t="inlineStr"/>
      <s:c r="B11147" s="121" t="n"/>
      <s:c r="C11147" s="121" t="n"/>
      <s:c r="D11147" s="121" t="n"/>
      <s:c r="E11147" s="122" t="n"/>
    </s:row>
    <s:row r="11148" hidden="1" ht="1" customHeight="1">
      <s:c r="A11148" s="120" t="inlineStr"/>
      <s:c r="B11148" s="121" t="n"/>
      <s:c r="C11148" s="121" t="n"/>
      <s:c r="D11148" s="121" t="n"/>
      <s:c r="E11148" s="122" t="n"/>
    </s:row>
    <s:row r="11149" hidden="1" ht="1" customHeight="1">
      <s:c r="A11149" s="120" t="inlineStr"/>
      <s:c r="B11149" s="121" t="n"/>
      <s:c r="C11149" s="121" t="n"/>
      <s:c r="D11149" s="121" t="n"/>
      <s:c r="E11149" s="122" t="n"/>
    </s:row>
    <s:row r="11150" hidden="1" ht="1" customHeight="1">
      <s:c r="A11150" s="120" t="inlineStr"/>
      <s:c r="B11150" s="121" t="n"/>
      <s:c r="C11150" s="121" t="n"/>
      <s:c r="D11150" s="121" t="n"/>
      <s:c r="E11150" s="122" t="n"/>
    </s:row>
    <s:row r="11151" hidden="1" ht="1" customHeight="1">
      <s:c r="A11151" s="120" t="inlineStr"/>
      <s:c r="B11151" s="121" t="n"/>
      <s:c r="C11151" s="121" t="n"/>
      <s:c r="D11151" s="121" t="n"/>
      <s:c r="E11151" s="122" t="n"/>
    </s:row>
    <s:row r="11152" hidden="1" ht="1" customHeight="1">
      <s:c r="A11152" s="120" t="inlineStr"/>
      <s:c r="B11152" s="121" t="n"/>
      <s:c r="C11152" s="121" t="n"/>
      <s:c r="D11152" s="121" t="n"/>
      <s:c r="E11152" s="122" t="n"/>
    </s:row>
    <s:row r="11153" hidden="1" ht="1" customHeight="1">
      <s:c r="A11153" s="120" t="inlineStr"/>
      <s:c r="B11153" s="121" t="n"/>
      <s:c r="C11153" s="121" t="n"/>
      <s:c r="D11153" s="121" t="n"/>
      <s:c r="E11153" s="122" t="n"/>
    </s:row>
    <s:row r="11154" hidden="1" ht="1" customHeight="1">
      <s:c r="A11154" s="120" t="inlineStr"/>
      <s:c r="B11154" s="121" t="n"/>
      <s:c r="C11154" s="121" t="n"/>
      <s:c r="D11154" s="121" t="n"/>
      <s:c r="E11154" s="122" t="n"/>
    </s:row>
    <s:row r="11155" hidden="1" ht="1" customHeight="1">
      <s:c r="A11155" s="120" t="inlineStr"/>
      <s:c r="B11155" s="121" t="n"/>
      <s:c r="C11155" s="121" t="n"/>
      <s:c r="D11155" s="121" t="n"/>
      <s:c r="E11155" s="122" t="n"/>
    </s:row>
    <s:row r="11156" hidden="1" ht="1" customHeight="1">
      <s:c r="A11156" s="120" t="inlineStr"/>
      <s:c r="B11156" s="121" t="n"/>
      <s:c r="C11156" s="121" t="n"/>
      <s:c r="D11156" s="121" t="n"/>
      <s:c r="E11156" s="122" t="n"/>
    </s:row>
    <s:row r="11157" hidden="1" ht="1" customHeight="1">
      <s:c r="A11157" s="120" t="inlineStr"/>
      <s:c r="B11157" s="121" t="n"/>
      <s:c r="C11157" s="121" t="n"/>
      <s:c r="D11157" s="121" t="n"/>
      <s:c r="E11157" s="122" t="n"/>
    </s:row>
    <s:row r="11158" hidden="1" ht="1" customHeight="1">
      <s:c r="A11158" s="120" t="inlineStr"/>
      <s:c r="B11158" s="121" t="n"/>
      <s:c r="C11158" s="121" t="n"/>
      <s:c r="D11158" s="121" t="n"/>
      <s:c r="E11158" s="122" t="n"/>
    </s:row>
    <s:row r="11159" hidden="1" ht="1" customHeight="1">
      <s:c r="A11159" s="120" t="inlineStr"/>
      <s:c r="B11159" s="121" t="n"/>
      <s:c r="C11159" s="121" t="n"/>
      <s:c r="D11159" s="121" t="n"/>
      <s:c r="E11159" s="122" t="n"/>
    </s:row>
    <s:row r="11160" hidden="1" ht="1" customHeight="1">
      <s:c r="A11160" s="120" t="inlineStr"/>
      <s:c r="B11160" s="121" t="n"/>
      <s:c r="C11160" s="121" t="n"/>
      <s:c r="D11160" s="121" t="n"/>
      <s:c r="E11160" s="122" t="n"/>
    </s:row>
    <s:row r="11161" hidden="1" ht="1" customHeight="1">
      <s:c r="A11161" s="120" t="inlineStr"/>
      <s:c r="B11161" s="121" t="n"/>
      <s:c r="C11161" s="121" t="n"/>
      <s:c r="D11161" s="121" t="n"/>
      <s:c r="E11161" s="122" t="n"/>
    </s:row>
    <s:row r="11162" hidden="1" ht="1" customHeight="1">
      <s:c r="A11162" s="120" t="inlineStr"/>
      <s:c r="B11162" s="121" t="n"/>
      <s:c r="C11162" s="121" t="n"/>
      <s:c r="D11162" s="121" t="n"/>
      <s:c r="E11162" s="122" t="n"/>
    </s:row>
    <s:row r="11163" hidden="1" ht="1" customHeight="1">
      <s:c r="A11163" s="120" t="inlineStr"/>
      <s:c r="B11163" s="121" t="n"/>
      <s:c r="C11163" s="121" t="n"/>
      <s:c r="D11163" s="121" t="n"/>
      <s:c r="E11163" s="122" t="n"/>
    </s:row>
    <s:row r="11164" hidden="1" ht="1" customHeight="1">
      <s:c r="A11164" s="120" t="inlineStr"/>
      <s:c r="B11164" s="121" t="n"/>
      <s:c r="C11164" s="121" t="n"/>
      <s:c r="D11164" s="121" t="n"/>
      <s:c r="E11164" s="122" t="n"/>
    </s:row>
    <s:row r="11165" hidden="1" ht="1" customHeight="1">
      <s:c r="A11165" s="83" t="inlineStr">
        <s:is>
          <s:t>PASS</s:t>
        </s:is>
      </s:c>
      <s:c r="B11165" s="83">
        <s:f>SUM(IF(EXACT('Kiểm thử'!E11115,"Đạt"),1,0))</s:f>
        <s:v/>
      </s:c>
      <s:c r="C11165" s="19" t="n"/>
      <s:c r="D11165" s="19" t="n"/>
      <s:c r="E11165" s="19" t="n"/>
    </s:row>
    <s:row r="11166" hidden="1" ht="1" customHeight="1">
      <s:c r="A11166" s="83" t="inlineStr">
        <s:is>
          <s:t>FAIL</s:t>
        </s:is>
      </s:c>
      <s:c r="B11166" s="83">
        <s:f>SUM(IF(EXACT('Kiểm thử'!E11115,"Không đạt"),1,0))</s:f>
        <s:v/>
      </s:c>
      <s:c r="C11166" s="19" t="n"/>
      <s:c r="D11166" s="19" t="n"/>
      <s:c r="E11166" s="19" t="n"/>
    </s:row>
    <s:row r="11167" hidden="1" ht="1" customHeight="1">
      <s:c r="A11167" s="83" t="inlineStr">
        <s:is>
          <s:t>BLOCKED</s:t>
        </s:is>
      </s:c>
      <s:c r="B11167" s="83">
        <s:f>SUM(IF(EXACT('Kiểm thử'!E11115,"Bị chặn"),1,0))</s:f>
        <s:v/>
      </s:c>
      <s:c r="C11167" s="19" t="n"/>
      <s:c r="D11167" s="19" t="n"/>
      <s:c r="E11167" s="19" t="n"/>
    </s:row>
    <s:row r="11168" hidden="1" ht="1" customHeight="1">
      <s:c r="A11168" s="83" t="inlineStr">
        <s:is>
          <s:t>SKIPPED</s:t>
        </s:is>
      </s:c>
      <s:c r="B11168" s="83">
        <s:f>SUM(IF(EXACT('Kiểm thử'!E11115,"Không thực hiện"),1,0))</s:f>
        <s:v/>
      </s:c>
      <s:c r="C11168" s="19" t="n"/>
      <s:c r="D11168" s="19" t="n"/>
      <s:c r="E11168" s="19" t="n"/>
    </s:row>
    <s:row r="11169" hidden="1" ht="1" customHeight="1">
      <s:c r="A11169" s="83" t="inlineStr">
        <s:is>
          <s:t>NOT RUN</s:t>
        </s:is>
      </s:c>
      <s:c r="B11169" s="83">
        <s:f>SUM(IF(EXACT('Kiểm thử'!E11115,"Chưa thực hiện"),1,0))</s:f>
        <s:v/>
      </s:c>
      <s:c r="C11169" s="19" t="n"/>
      <s:c r="D11169" s="19" t="n"/>
      <s:c r="E11169" s="19" t="n"/>
    </s:row>
    <s:row r="11170" hidden="1" ht="6" customHeight="1">
      <s:c r="A11170" s="83" t="inlineStr"/>
      <s:c r="B11170" s="19" t="n"/>
      <s:c r="C11170" s="19" t="n"/>
      <s:c r="D11170" s="19" t="n"/>
      <s:c r="E11170" s="19" t="n"/>
    </s:row>
    <s:row r="11171" ht="28" customHeight="1">
      <s:c r="A11171" s="108" t="inlineStr">
        <s:is>
          <s:t>TC-RS-BR-007 — Nguồn: bản đã chốt được ưu tiên hơn tổng hợp mới hơn</s:t>
        </s:is>
      </s:c>
      <s:c r="B11171" s="111" t="n"/>
      <s:c r="C11171" s="111" t="n"/>
      <s:c r="D11171" s="111" t="n"/>
      <s:c r="E11171" s="111" t="n"/>
    </s:row>
    <s:row r="11172" ht="20" customHeight="1">
      <s:c r="A11172" s="112" t="inlineStr">
        <s:is>
          <s:t>Kết quả tình huống</s:t>
        </s:is>
      </s:c>
      <s:c r="B11172" s="113">
        <s:f>IF(SUM(IF(EXACT('Kiểm thử'!E11180,"Không đạt"),1,0))&gt;0,"Không đạt",IF(SUM(IF(EXACT('Kiểm thử'!E11180,"Đạt"),1,0))=1,"Đạt",IF(SUM(IF(EXACT('Kiểm thử'!E11180,"Không thực hiện"),1,0))=1,"Không thực hiện",IF(SUM(IF(EXACT('Kiểm thử'!E11180,"Bị chặn"),1,0))&gt;0,"Bị chặn",IF(SUM(IF(EXACT('Kiểm thử'!E11180,"Chưa thực hiện"),1,0))=1,"Chưa thực hiện","Đang thực hiện")))))</s:f>
        <s:v/>
      </s:c>
      <s:c r="C11172" s="114" t="n"/>
      <s:c r="D11172" s="114" t="n"/>
      <s:c r="E11172" s="114" t="n"/>
    </s:row>
    <s:row r="11173" ht="20" customHeight="1">
      <s:c r="A11173" s="112" t="inlineStr">
        <s:is>
          <s:t>Màn hình / chức năng</s:t>
        </s:is>
      </s:c>
      <s:c r="B11173" s="113" t="inlineStr">
        <s:is>
          <s:t>Nguồn tổng hợp</s:t>
        </s:is>
      </s:c>
      <s:c r="C11173" s="28" t="n"/>
      <s:c r="D11173" s="28" t="n"/>
      <s:c r="E11173" s="28" t="n"/>
    </s:row>
    <s:row r="11174" ht="48" customHeight="1">
      <s:c r="A11174" s="112" t="inlineStr">
        <s:is>
          <s:t>Cấu hình</s:t>
        </s:is>
      </s:c>
      <s:c r="B11174" s="113" t="inlineStr">
        <s:is>
          <s:r>
            <s:t>• Có bản tổng hợp đã chốt (trung bình 49.99) (chốt, [</s:t>
          </s:r>
          <s:r>
            <s:rPr>
              <s:b val="1"/>
            </s:rPr>
            <s:t>A=49.99</s:t>
          </s:r>
          <s:r>
            <s:t>]) và bản tổng hợp mới nhất chưa chốt (trung bình 62) (mới hơn, [</s:t>
          </s:r>
          <s:r>
            <s:rPr>
              <s:b val="1"/>
            </s:rPr>
            <s:t>A=62</s:t>
          </s:r>
          <s:r>
            <s:t>]) cùng phạm vi. mục số nguyên (</s:t>
          </s:r>
          <s:r>
            <s:rPr>
              <s:b val="1"/>
            </s:rPr>
            <s:t>M=100</s:t>
          </s:r>
          <s:r>
            <s:t>) có cặp quy tắc phân nhánh theo trung bình 60. Dummy data (dữ liệu giả cho bản tổng hợp đã chốt).</s:t>
          </s:r>
        </s:is>
      </s:c>
      <s:c r="C11174" s="28" t="n"/>
      <s:c r="D11174" s="28" t="n"/>
      <s:c r="E11174" s="28" t="n"/>
    </s:row>
    <s:row r="11175" ht="62" customHeight="1">
      <s:c r="A11175" s="112" t="inlineStr">
        <s:is>
          <s:t>Dữ liệu test</s:t>
        </s:is>
      </s:c>
      <s:c r="B11175" s="113" t="inlineStr">
        <s:is>
          <s:r>
            <s:t>• Mục số nguyên (</s:t>
          </s:r>
          <s:r>
            <s:rPr>
              <s:b val="1"/>
            </s:rPr>
            <s:t>M=100</s:t>
          </s:r>
          <s:r>
            <s:t>);
• Bản tổng hợp đã chốt (trung bình 49.99), bản tổng hợp mới nhất chưa chốt (trung bình 62), cặp quy tắc phân nhánh theo trung bình 60;
• Học sinh điểm 24 và 26</s:t>
          </s:r>
        </s:is>
      </s:c>
      <s:c r="C11175" s="28" t="n"/>
      <s:c r="D11175" s="28" t="n"/>
      <s:c r="E11175" s="28" t="n"/>
    </s:row>
    <s:row r="11176" ht="20" customHeight="1">
      <s:c r="A11176" s="112" t="inlineStr">
        <s:is>
          <s:t>Bước 1</s:t>
        </s:is>
      </s:c>
      <s:c r="B11176" s="113" t="inlineStr">
        <s:is>
          <s:t>Chạy nút cam.</s:t>
        </s:is>
      </s:c>
      <s:c r="C11176" s="28" t="n"/>
      <s:c r="D11176" s="28" t="n"/>
      <s:c r="E11176" s="28" t="n"/>
    </s:row>
    <s:row r="11177" ht="20" customHeight="1">
      <s:c r="A11177" s="112" t="inlineStr">
        <s:is>
          <s:t>Bước 2</s:t>
        </s:is>
      </s:c>
      <s:c r="B11177" s="113" t="inlineStr">
        <s:is>
          <s:t>Xem kết quả.</s:t>
        </s:is>
      </s:c>
      <s:c r="C11177" s="28" t="n"/>
      <s:c r="D11177" s="28" t="n"/>
      <s:c r="E11177" s="28" t="n"/>
    </s:row>
    <s:row r="11178" ht="28" customHeight="1">
      <s:c r="A11178" s="115" t="inlineStr">
        <s:is>
          <s:t>Trường hợp</s:t>
        </s:is>
      </s:c>
      <s:c r="B11178" s="115" t="inlineStr">
        <s:is>
          <s:t>Dữ liệu / thao tác riêng</s:t>
        </s:is>
      </s:c>
      <s:c r="C11178" s="115" t="inlineStr">
        <s:is>
          <s:t>Kết quả mong đợi</s:t>
        </s:is>
      </s:c>
      <s:c r="D11178" s="115" t="inlineStr">
        <s:is>
          <s:t>Kết quả thực tế</s:t>
        </s:is>
      </s:c>
      <s:c r="E11178" s="115" t="inlineStr">
        <s:is>
          <s:t>Đánh giá</s:t>
        </s:is>
      </s:c>
    </s:row>
    <s:row r="11179" ht="3" customHeight="1">
      <s:c r="A11179" s="102" t="inlineStr"/>
      <s:c r="B11179" s="99" t="n"/>
      <s:c r="C11179" s="99" t="n"/>
      <s:c r="D11179" s="116" t="n"/>
      <s:c r="E11179" s="116" t="n"/>
    </s:row>
    <s:row r="11180" ht="62" customHeight="1">
      <s:c r="A11180" s="83" t="inlineStr">
        <s:is>
          <s:t>Trường hợp cơ bản (Base)</s:t>
        </s:is>
      </s:c>
      <s:c r="B11180" s="83" t="inlineStr">
        <s:is>
          <s:t>Toàn bộ tình huống: Thực hiện đủ các bước chung theo thứ tự; kiểm cả đối tượng đích và đối chứng cùng fixture, không bỏ bước.</s:t>
        </s:is>
      </s:c>
      <s:c r="C11180" s="83" t="inlineStr">
        <s:is>
          <s:r>
            <s:t>Dùng [</s:t>
          </s:r>
          <s:r>
            <s:rPr>
              <s:b val="1"/>
            </s:rPr>
            <s:t>A=49.99</s:t>
          </s:r>
          <s:r>
            <s:t>] → nhánh ưu tiên 2 ([</s:t>
          </s:r>
          <s:r>
            <s:rPr>
              <s:b val="1"/>
            </s:rPr>
            <s:t>A&lt;60</s:t>
          </s:r>
          <s:r>
            <s:t>]), [</s:t>
          </s:r>
          <s:r>
            <s:rPr>
              <s:b val="1"/>
            </s:rPr>
            <s:t>T=24.995</s:t>
          </s:r>
          <s:r>
            <s:t xml:space="preserve">] → điểm 24 </s:t>
          </s:r>
          <s:r>
            <s:rPr>
              <s:b val="1"/>
            </s:rPr>
            <s:t>Đỏ</s:t>
          </s:r>
          <s:r>
            <s:t xml:space="preserve">, điểm 26 </s:t>
          </s:r>
          <s:r>
            <s:rPr>
              <s:b val="1"/>
            </s:rPr>
            <s:t>Không đỏ</s:t>
          </s:r>
          <s:r>
            <s:t>. Không dùng [</s:t>
          </s:r>
          <s:r>
            <s:rPr>
              <s:b val="1"/>
            </s:rPr>
            <s:t>A=62</s:t>
          </s:r>
          <s:r>
            <s:t>] (sẽ vào nhánh [</s:t>
          </s:r>
          <s:r>
            <s:rPr>
              <s:b val="1"/>
            </s:rPr>
            <s:t>A≥60</s:t>
          </s:r>
          <s:r>
            <s:t>], [</s:t>
          </s:r>
          <s:r>
            <s:rPr>
              <s:b val="1"/>
            </s:rPr>
            <s:t>T=30</s:t>
          </s:r>
          <s:r>
            <s:t xml:space="preserve">], điểm 26 </s:t>
          </s:r>
          <s:r>
            <s:rPr>
              <s:b val="1"/>
            </s:rPr>
            <s:t>Đỏ</s:t>
          </s:r>
          <s:r>
            <s:t>).</s:t>
          </s:r>
        </s:is>
      </s:c>
      <s:c r="D11180" s="117" t="inlineStr"/>
      <s:c r="E11180" s="118" t="inlineStr">
        <s:is>
          <s:t>Chưa thực hiện</s:t>
        </s:is>
      </s:c>
    </s:row>
    <s:row r="11181" ht="20" customHeight="1">
      <s:c r="A11181" s="119" t="inlineStr">
        <s:is>
          <s:t>Ảnh minh chứng — Chưa có ảnh</s:t>
        </s:is>
      </s:c>
      <s:c r="B11181" s="19" t="n"/>
      <s:c r="C11181" s="19" t="n"/>
      <s:c r="D11181" s="19" t="n"/>
      <s:c r="E11181" s="19" t="n"/>
    </s:row>
    <s:row r="11182" hidden="1" ht="1" customHeight="1">
      <s:c r="A11182" s="120" t="inlineStr"/>
      <s:c r="B11182" s="121" t="n"/>
      <s:c r="C11182" s="121" t="n"/>
      <s:c r="D11182" s="121" t="n"/>
      <s:c r="E11182" s="122" t="n"/>
    </s:row>
    <s:row r="11183" hidden="1" ht="1" customHeight="1">
      <s:c r="A11183" s="120" t="inlineStr"/>
      <s:c r="B11183" s="121" t="n"/>
      <s:c r="C11183" s="121" t="n"/>
      <s:c r="D11183" s="121" t="n"/>
      <s:c r="E11183" s="122" t="n"/>
    </s:row>
    <s:row r="11184" hidden="1" ht="1" customHeight="1">
      <s:c r="A11184" s="120" t="inlineStr"/>
      <s:c r="B11184" s="121" t="n"/>
      <s:c r="C11184" s="121" t="n"/>
      <s:c r="D11184" s="121" t="n"/>
      <s:c r="E11184" s="122" t="n"/>
    </s:row>
    <s:row r="11185" hidden="1" ht="1" customHeight="1">
      <s:c r="A11185" s="120" t="inlineStr"/>
      <s:c r="B11185" s="121" t="n"/>
      <s:c r="C11185" s="121" t="n"/>
      <s:c r="D11185" s="121" t="n"/>
      <s:c r="E11185" s="122" t="n"/>
    </s:row>
    <s:row r="11186" hidden="1" ht="1" customHeight="1">
      <s:c r="A11186" s="120" t="inlineStr"/>
      <s:c r="B11186" s="121" t="n"/>
      <s:c r="C11186" s="121" t="n"/>
      <s:c r="D11186" s="121" t="n"/>
      <s:c r="E11186" s="122" t="n"/>
    </s:row>
    <s:row r="11187" hidden="1" ht="1" customHeight="1">
      <s:c r="A11187" s="120" t="inlineStr"/>
      <s:c r="B11187" s="121" t="n"/>
      <s:c r="C11187" s="121" t="n"/>
      <s:c r="D11187" s="121" t="n"/>
      <s:c r="E11187" s="122" t="n"/>
    </s:row>
    <s:row r="11188" hidden="1" ht="1" customHeight="1">
      <s:c r="A11188" s="120" t="inlineStr"/>
      <s:c r="B11188" s="121" t="n"/>
      <s:c r="C11188" s="121" t="n"/>
      <s:c r="D11188" s="121" t="n"/>
      <s:c r="E11188" s="122" t="n"/>
    </s:row>
    <s:row r="11189" hidden="1" ht="1" customHeight="1">
      <s:c r="A11189" s="120" t="inlineStr"/>
      <s:c r="B11189" s="121" t="n"/>
      <s:c r="C11189" s="121" t="n"/>
      <s:c r="D11189" s="121" t="n"/>
      <s:c r="E11189" s="122" t="n"/>
    </s:row>
    <s:row r="11190" hidden="1" ht="1" customHeight="1">
      <s:c r="A11190" s="120" t="inlineStr"/>
      <s:c r="B11190" s="121" t="n"/>
      <s:c r="C11190" s="121" t="n"/>
      <s:c r="D11190" s="121" t="n"/>
      <s:c r="E11190" s="122" t="n"/>
    </s:row>
    <s:row r="11191" hidden="1" ht="1" customHeight="1">
      <s:c r="A11191" s="120" t="inlineStr"/>
      <s:c r="B11191" s="121" t="n"/>
      <s:c r="C11191" s="121" t="n"/>
      <s:c r="D11191" s="121" t="n"/>
      <s:c r="E11191" s="122" t="n"/>
    </s:row>
    <s:row r="11192" hidden="1" ht="1" customHeight="1">
      <s:c r="A11192" s="120" t="inlineStr"/>
      <s:c r="B11192" s="121" t="n"/>
      <s:c r="C11192" s="121" t="n"/>
      <s:c r="D11192" s="121" t="n"/>
      <s:c r="E11192" s="122" t="n"/>
    </s:row>
    <s:row r="11193" hidden="1" ht="1" customHeight="1">
      <s:c r="A11193" s="120" t="inlineStr"/>
      <s:c r="B11193" s="121" t="n"/>
      <s:c r="C11193" s="121" t="n"/>
      <s:c r="D11193" s="121" t="n"/>
      <s:c r="E11193" s="122" t="n"/>
    </s:row>
    <s:row r="11194" hidden="1" ht="1" customHeight="1">
      <s:c r="A11194" s="120" t="inlineStr"/>
      <s:c r="B11194" s="121" t="n"/>
      <s:c r="C11194" s="121" t="n"/>
      <s:c r="D11194" s="121" t="n"/>
      <s:c r="E11194" s="122" t="n"/>
    </s:row>
    <s:row r="11195" hidden="1" ht="1" customHeight="1">
      <s:c r="A11195" s="120" t="inlineStr"/>
      <s:c r="B11195" s="121" t="n"/>
      <s:c r="C11195" s="121" t="n"/>
      <s:c r="D11195" s="121" t="n"/>
      <s:c r="E11195" s="122" t="n"/>
    </s:row>
    <s:row r="11196" hidden="1" ht="1" customHeight="1">
      <s:c r="A11196" s="120" t="inlineStr"/>
      <s:c r="B11196" s="121" t="n"/>
      <s:c r="C11196" s="121" t="n"/>
      <s:c r="D11196" s="121" t="n"/>
      <s:c r="E11196" s="122" t="n"/>
    </s:row>
    <s:row r="11197" hidden="1" ht="1" customHeight="1">
      <s:c r="A11197" s="120" t="inlineStr"/>
      <s:c r="B11197" s="121" t="n"/>
      <s:c r="C11197" s="121" t="n"/>
      <s:c r="D11197" s="121" t="n"/>
      <s:c r="E11197" s="122" t="n"/>
    </s:row>
    <s:row r="11198" hidden="1" ht="1" customHeight="1">
      <s:c r="A11198" s="120" t="inlineStr"/>
      <s:c r="B11198" s="121" t="n"/>
      <s:c r="C11198" s="121" t="n"/>
      <s:c r="D11198" s="121" t="n"/>
      <s:c r="E11198" s="122" t="n"/>
    </s:row>
    <s:row r="11199" hidden="1" ht="1" customHeight="1">
      <s:c r="A11199" s="120" t="inlineStr"/>
      <s:c r="B11199" s="121" t="n"/>
      <s:c r="C11199" s="121" t="n"/>
      <s:c r="D11199" s="121" t="n"/>
      <s:c r="E11199" s="122" t="n"/>
    </s:row>
    <s:row r="11200" hidden="1" ht="1" customHeight="1">
      <s:c r="A11200" s="120" t="inlineStr"/>
      <s:c r="B11200" s="121" t="n"/>
      <s:c r="C11200" s="121" t="n"/>
      <s:c r="D11200" s="121" t="n"/>
      <s:c r="E11200" s="122" t="n"/>
    </s:row>
    <s:row r="11201" hidden="1" ht="1" customHeight="1">
      <s:c r="A11201" s="120" t="inlineStr"/>
      <s:c r="B11201" s="121" t="n"/>
      <s:c r="C11201" s="121" t="n"/>
      <s:c r="D11201" s="121" t="n"/>
      <s:c r="E11201" s="122" t="n"/>
    </s:row>
    <s:row r="11202" hidden="1" ht="1" customHeight="1">
      <s:c r="A11202" s="120" t="inlineStr"/>
      <s:c r="B11202" s="121" t="n"/>
      <s:c r="C11202" s="121" t="n"/>
      <s:c r="D11202" s="121" t="n"/>
      <s:c r="E11202" s="122" t="n"/>
    </s:row>
    <s:row r="11203" hidden="1" ht="1" customHeight="1">
      <s:c r="A11203" s="120" t="inlineStr"/>
      <s:c r="B11203" s="121" t="n"/>
      <s:c r="C11203" s="121" t="n"/>
      <s:c r="D11203" s="121" t="n"/>
      <s:c r="E11203" s="122" t="n"/>
    </s:row>
    <s:row r="11204" hidden="1" ht="1" customHeight="1">
      <s:c r="A11204" s="120" t="inlineStr"/>
      <s:c r="B11204" s="121" t="n"/>
      <s:c r="C11204" s="121" t="n"/>
      <s:c r="D11204" s="121" t="n"/>
      <s:c r="E11204" s="122" t="n"/>
    </s:row>
    <s:row r="11205" hidden="1" ht="1" customHeight="1">
      <s:c r="A11205" s="120" t="inlineStr"/>
      <s:c r="B11205" s="121" t="n"/>
      <s:c r="C11205" s="121" t="n"/>
      <s:c r="D11205" s="121" t="n"/>
      <s:c r="E11205" s="122" t="n"/>
    </s:row>
    <s:row r="11206" hidden="1" ht="1" customHeight="1">
      <s:c r="A11206" s="120" t="inlineStr"/>
      <s:c r="B11206" s="121" t="n"/>
      <s:c r="C11206" s="121" t="n"/>
      <s:c r="D11206" s="121" t="n"/>
      <s:c r="E11206" s="122" t="n"/>
    </s:row>
    <s:row r="11207" hidden="1" ht="1" customHeight="1">
      <s:c r="A11207" s="120" t="inlineStr"/>
      <s:c r="B11207" s="121" t="n"/>
      <s:c r="C11207" s="121" t="n"/>
      <s:c r="D11207" s="121" t="n"/>
      <s:c r="E11207" s="122" t="n"/>
    </s:row>
    <s:row r="11208" hidden="1" ht="1" customHeight="1">
      <s:c r="A11208" s="120" t="inlineStr"/>
      <s:c r="B11208" s="121" t="n"/>
      <s:c r="C11208" s="121" t="n"/>
      <s:c r="D11208" s="121" t="n"/>
      <s:c r="E11208" s="122" t="n"/>
    </s:row>
    <s:row r="11209" hidden="1" ht="1" customHeight="1">
      <s:c r="A11209" s="120" t="inlineStr"/>
      <s:c r="B11209" s="121" t="n"/>
      <s:c r="C11209" s="121" t="n"/>
      <s:c r="D11209" s="121" t="n"/>
      <s:c r="E11209" s="122" t="n"/>
    </s:row>
    <s:row r="11210" hidden="1" ht="1" customHeight="1">
      <s:c r="A11210" s="120" t="inlineStr"/>
      <s:c r="B11210" s="121" t="n"/>
      <s:c r="C11210" s="121" t="n"/>
      <s:c r="D11210" s="121" t="n"/>
      <s:c r="E11210" s="122" t="n"/>
    </s:row>
    <s:row r="11211" hidden="1" ht="1" customHeight="1">
      <s:c r="A11211" s="120" t="inlineStr"/>
      <s:c r="B11211" s="121" t="n"/>
      <s:c r="C11211" s="121" t="n"/>
      <s:c r="D11211" s="121" t="n"/>
      <s:c r="E11211" s="122" t="n"/>
    </s:row>
    <s:row r="11212" hidden="1" ht="1" customHeight="1">
      <s:c r="A11212" s="120" t="inlineStr"/>
      <s:c r="B11212" s="121" t="n"/>
      <s:c r="C11212" s="121" t="n"/>
      <s:c r="D11212" s="121" t="n"/>
      <s:c r="E11212" s="122" t="n"/>
    </s:row>
    <s:row r="11213" hidden="1" ht="1" customHeight="1">
      <s:c r="A11213" s="120" t="inlineStr"/>
      <s:c r="B11213" s="121" t="n"/>
      <s:c r="C11213" s="121" t="n"/>
      <s:c r="D11213" s="121" t="n"/>
      <s:c r="E11213" s="122" t="n"/>
    </s:row>
    <s:row r="11214" hidden="1" ht="1" customHeight="1">
      <s:c r="A11214" s="120" t="inlineStr"/>
      <s:c r="B11214" s="121" t="n"/>
      <s:c r="C11214" s="121" t="n"/>
      <s:c r="D11214" s="121" t="n"/>
      <s:c r="E11214" s="122" t="n"/>
    </s:row>
    <s:row r="11215" hidden="1" ht="1" customHeight="1">
      <s:c r="A11215" s="120" t="inlineStr"/>
      <s:c r="B11215" s="121" t="n"/>
      <s:c r="C11215" s="121" t="n"/>
      <s:c r="D11215" s="121" t="n"/>
      <s:c r="E11215" s="122" t="n"/>
    </s:row>
    <s:row r="11216" hidden="1" ht="1" customHeight="1">
      <s:c r="A11216" s="120" t="inlineStr"/>
      <s:c r="B11216" s="121" t="n"/>
      <s:c r="C11216" s="121" t="n"/>
      <s:c r="D11216" s="121" t="n"/>
      <s:c r="E11216" s="122" t="n"/>
    </s:row>
    <s:row r="11217" hidden="1" ht="1" customHeight="1">
      <s:c r="A11217" s="120" t="inlineStr"/>
      <s:c r="B11217" s="121" t="n"/>
      <s:c r="C11217" s="121" t="n"/>
      <s:c r="D11217" s="121" t="n"/>
      <s:c r="E11217" s="122" t="n"/>
    </s:row>
    <s:row r="11218" hidden="1" ht="1" customHeight="1">
      <s:c r="A11218" s="120" t="inlineStr"/>
      <s:c r="B11218" s="121" t="n"/>
      <s:c r="C11218" s="121" t="n"/>
      <s:c r="D11218" s="121" t="n"/>
      <s:c r="E11218" s="122" t="n"/>
    </s:row>
    <s:row r="11219" hidden="1" ht="1" customHeight="1">
      <s:c r="A11219" s="120" t="inlineStr"/>
      <s:c r="B11219" s="121" t="n"/>
      <s:c r="C11219" s="121" t="n"/>
      <s:c r="D11219" s="121" t="n"/>
      <s:c r="E11219" s="122" t="n"/>
    </s:row>
    <s:row r="11220" hidden="1" ht="1" customHeight="1">
      <s:c r="A11220" s="120" t="inlineStr"/>
      <s:c r="B11220" s="121" t="n"/>
      <s:c r="C11220" s="121" t="n"/>
      <s:c r="D11220" s="121" t="n"/>
      <s:c r="E11220" s="122" t="n"/>
    </s:row>
    <s:row r="11221" hidden="1" ht="1" customHeight="1">
      <s:c r="A11221" s="120" t="inlineStr"/>
      <s:c r="B11221" s="121" t="n"/>
      <s:c r="C11221" s="121" t="n"/>
      <s:c r="D11221" s="121" t="n"/>
      <s:c r="E11221" s="122" t="n"/>
    </s:row>
    <s:row r="11222" hidden="1" ht="1" customHeight="1">
      <s:c r="A11222" s="120" t="inlineStr"/>
      <s:c r="B11222" s="121" t="n"/>
      <s:c r="C11222" s="121" t="n"/>
      <s:c r="D11222" s="121" t="n"/>
      <s:c r="E11222" s="122" t="n"/>
    </s:row>
    <s:row r="11223" hidden="1" ht="1" customHeight="1">
      <s:c r="A11223" s="120" t="inlineStr"/>
      <s:c r="B11223" s="121" t="n"/>
      <s:c r="C11223" s="121" t="n"/>
      <s:c r="D11223" s="121" t="n"/>
      <s:c r="E11223" s="122" t="n"/>
    </s:row>
    <s:row r="11224" hidden="1" ht="1" customHeight="1">
      <s:c r="A11224" s="120" t="inlineStr"/>
      <s:c r="B11224" s="121" t="n"/>
      <s:c r="C11224" s="121" t="n"/>
      <s:c r="D11224" s="121" t="n"/>
      <s:c r="E11224" s="122" t="n"/>
    </s:row>
    <s:row r="11225" hidden="1" ht="1" customHeight="1">
      <s:c r="A11225" s="120" t="inlineStr"/>
      <s:c r="B11225" s="121" t="n"/>
      <s:c r="C11225" s="121" t="n"/>
      <s:c r="D11225" s="121" t="n"/>
      <s:c r="E11225" s="122" t="n"/>
    </s:row>
    <s:row r="11226" hidden="1" ht="1" customHeight="1">
      <s:c r="A11226" s="120" t="inlineStr"/>
      <s:c r="B11226" s="121" t="n"/>
      <s:c r="C11226" s="121" t="n"/>
      <s:c r="D11226" s="121" t="n"/>
      <s:c r="E11226" s="122" t="n"/>
    </s:row>
    <s:row r="11227" hidden="1" ht="1" customHeight="1">
      <s:c r="A11227" s="120" t="inlineStr"/>
      <s:c r="B11227" s="121" t="n"/>
      <s:c r="C11227" s="121" t="n"/>
      <s:c r="D11227" s="121" t="n"/>
      <s:c r="E11227" s="122" t="n"/>
    </s:row>
    <s:row r="11228" hidden="1" ht="1" customHeight="1">
      <s:c r="A11228" s="120" t="inlineStr"/>
      <s:c r="B11228" s="121" t="n"/>
      <s:c r="C11228" s="121" t="n"/>
      <s:c r="D11228" s="121" t="n"/>
      <s:c r="E11228" s="122" t="n"/>
    </s:row>
    <s:row r="11229" hidden="1" ht="1" customHeight="1">
      <s:c r="A11229" s="120" t="inlineStr"/>
      <s:c r="B11229" s="121" t="n"/>
      <s:c r="C11229" s="121" t="n"/>
      <s:c r="D11229" s="121" t="n"/>
      <s:c r="E11229" s="122" t="n"/>
    </s:row>
    <s:row r="11230" hidden="1" ht="1" customHeight="1">
      <s:c r="A11230" s="83" t="inlineStr">
        <s:is>
          <s:t>PASS</s:t>
        </s:is>
      </s:c>
      <s:c r="B11230" s="83">
        <s:f>SUM(IF(EXACT('Kiểm thử'!E11180,"Đạt"),1,0))</s:f>
        <s:v/>
      </s:c>
      <s:c r="C11230" s="19" t="n"/>
      <s:c r="D11230" s="19" t="n"/>
      <s:c r="E11230" s="19" t="n"/>
    </s:row>
    <s:row r="11231" hidden="1" ht="1" customHeight="1">
      <s:c r="A11231" s="83" t="inlineStr">
        <s:is>
          <s:t>FAIL</s:t>
        </s:is>
      </s:c>
      <s:c r="B11231" s="83">
        <s:f>SUM(IF(EXACT('Kiểm thử'!E11180,"Không đạt"),1,0))</s:f>
        <s:v/>
      </s:c>
      <s:c r="C11231" s="19" t="n"/>
      <s:c r="D11231" s="19" t="n"/>
      <s:c r="E11231" s="19" t="n"/>
    </s:row>
    <s:row r="11232" hidden="1" ht="1" customHeight="1">
      <s:c r="A11232" s="83" t="inlineStr">
        <s:is>
          <s:t>BLOCKED</s:t>
        </s:is>
      </s:c>
      <s:c r="B11232" s="83">
        <s:f>SUM(IF(EXACT('Kiểm thử'!E11180,"Bị chặn"),1,0))</s:f>
        <s:v/>
      </s:c>
      <s:c r="C11232" s="19" t="n"/>
      <s:c r="D11232" s="19" t="n"/>
      <s:c r="E11232" s="19" t="n"/>
    </s:row>
    <s:row r="11233" hidden="1" ht="1" customHeight="1">
      <s:c r="A11233" s="83" t="inlineStr">
        <s:is>
          <s:t>SKIPPED</s:t>
        </s:is>
      </s:c>
      <s:c r="B11233" s="83">
        <s:f>SUM(IF(EXACT('Kiểm thử'!E11180,"Không thực hiện"),1,0))</s:f>
        <s:v/>
      </s:c>
      <s:c r="C11233" s="19" t="n"/>
      <s:c r="D11233" s="19" t="n"/>
      <s:c r="E11233" s="19" t="n"/>
    </s:row>
    <s:row r="11234" hidden="1" ht="1" customHeight="1">
      <s:c r="A11234" s="83" t="inlineStr">
        <s:is>
          <s:t>NOT RUN</s:t>
        </s:is>
      </s:c>
      <s:c r="B11234" s="83">
        <s:f>SUM(IF(EXACT('Kiểm thử'!E11180,"Chưa thực hiện"),1,0))</s:f>
        <s:v/>
      </s:c>
      <s:c r="C11234" s="19" t="n"/>
      <s:c r="D11234" s="19" t="n"/>
      <s:c r="E11234" s="19" t="n"/>
    </s:row>
    <s:row r="11235" hidden="1" ht="6" customHeight="1">
      <s:c r="A11235" s="83" t="inlineStr"/>
      <s:c r="B11235" s="19" t="n"/>
      <s:c r="C11235" s="19" t="n"/>
      <s:c r="D11235" s="19" t="n"/>
      <s:c r="E11235" s="19" t="n"/>
    </s:row>
    <s:row r="11236" ht="28" customHeight="1">
      <s:c r="A11236" s="108" t="inlineStr">
        <s:is>
          <s:t>TC-RS-BR-008 — Nguồn: chưa có bản chốt → dùng tổng hợp hoàn tất mới nhất cùng phạm vi</s:t>
        </s:is>
      </s:c>
      <s:c r="B11236" s="111" t="n"/>
      <s:c r="C11236" s="111" t="n"/>
      <s:c r="D11236" s="111" t="n"/>
      <s:c r="E11236" s="111" t="n"/>
    </s:row>
    <s:row r="11237" ht="20" customHeight="1">
      <s:c r="A11237" s="112" t="inlineStr">
        <s:is>
          <s:t>Kết quả tình huống</s:t>
        </s:is>
      </s:c>
      <s:c r="B11237" s="113">
        <s:f>IF(SUM(IF(EXACT('Kiểm thử'!E11246,"Không đạt"),1,0),IF(EXACT('Kiểm thử'!E11248,"Không đạt"),1,0),IF(EXACT('Kiểm thử'!E11250,"Không đạt"),1,0))&gt;0,"Không đạt",IF(SUM(IF(EXACT('Kiểm thử'!E11246,"Đạt"),1,0),IF(EXACT('Kiểm thử'!E11248,"Đạt"),1,0),IF(EXACT('Kiểm thử'!E11250,"Đạt"),1,0))=3,"Đạt",IF(SUM(IF(EXACT('Kiểm thử'!E11246,"Không thực hiện"),1,0),IF(EXACT('Kiểm thử'!E11248,"Không thực hiện"),1,0),IF(EXACT('Kiểm thử'!E11250,"Không thực hiện"),1,0))=3,"Không thực hiện",IF(SUM(IF(EXACT('Kiểm thử'!E11246,"Bị chặn"),1,0),IF(EXACT('Kiểm thử'!E11248,"Bị chặn"),1,0),IF(EXACT('Kiểm thử'!E11250,"Bị chặn"),1,0))&gt;0,"Bị chặn",IF(SUM(IF(EXACT('Kiểm thử'!E11246,"Chưa thực hiện"),1,0),IF(EXACT('Kiểm thử'!E11248,"Chưa thực hiện"),1,0),IF(EXACT('Kiểm thử'!E11250,"Chưa thực hiện"),1,0))=3,"Chưa thực hiện","Đang thực hiện")))))</s:f>
        <s:v/>
      </s:c>
      <s:c r="C11237" s="114" t="n"/>
      <s:c r="D11237" s="114" t="n"/>
      <s:c r="E11237" s="114" t="n"/>
    </s:row>
    <s:row r="11238" ht="20" customHeight="1">
      <s:c r="A11238" s="112" t="inlineStr">
        <s:is>
          <s:t>Màn hình / chức năng</s:t>
        </s:is>
      </s:c>
      <s:c r="B11238" s="113" t="inlineStr">
        <s:is>
          <s:t>Nguồn tổng hợp</s:t>
        </s:is>
      </s:c>
      <s:c r="C11238" s="28" t="n"/>
      <s:c r="D11238" s="28" t="n"/>
      <s:c r="E11238" s="28" t="n"/>
    </s:row>
    <s:row r="11239" ht="34" customHeight="1">
      <s:c r="A11239" s="112" t="inlineStr">
        <s:is>
          <s:t>Cấu hình</s:t>
        </s:is>
      </s:c>
      <s:c r="B11239" s="113" t="inlineStr">
        <s:is>
          <s:r>
            <s:t>• Chỉ có bản tổng hợp mới nhất chưa chốt (trung bình 62) ([</s:t>
          </s:r>
          <s:r>
            <s:rPr>
              <s:b val="1"/>
            </s:rPr>
            <s:t>A=62</s:t>
          </s:r>
          <s:r>
            <s:t>]), không có bản chốt;
• Có thêm một tổng hợp cũ hơn [</s:t>
          </s:r>
          <s:r>
            <s:rPr>
              <s:b val="1"/>
            </s:rPr>
            <s:t>A=55</s:t>
          </s:r>
          <s:r>
            <s:t>] và một tổng hợp khác kỳ mới hơn [</s:t>
          </s:r>
          <s:r>
            <s:rPr>
              <s:b val="1"/>
            </s:rPr>
            <s:t>A=40</s:t>
          </s:r>
          <s:r>
            <s:t>].</s:t>
          </s:r>
        </s:is>
      </s:c>
      <s:c r="C11239" s="28" t="n"/>
      <s:c r="D11239" s="28" t="n"/>
      <s:c r="E11239" s="28" t="n"/>
    </s:row>
    <s:row r="11240" ht="20" customHeight="1">
      <s:c r="A11240" s="112" t="inlineStr">
        <s:is>
          <s:t>Dữ liệu test</s:t>
        </s:is>
      </s:c>
      <s:c r="B11240" s="113" t="inlineStr">
        <s:is>
          <s:t>• Bản tổng hợp mới nhất chưa chốt (trung bình 62), cặp quy tắc phân nhánh theo trung bình 60</s:t>
        </s:is>
      </s:c>
      <s:c r="C11240" s="28" t="n"/>
      <s:c r="D11240" s="28" t="n"/>
      <s:c r="E11240" s="28" t="n"/>
    </s:row>
    <s:row r="11241" ht="20" customHeight="1">
      <s:c r="A11241" s="112" t="inlineStr">
        <s:is>
          <s:t>Bước 1</s:t>
        </s:is>
      </s:c>
      <s:c r="B11241" s="113" t="inlineStr">
        <s:is>
          <s:t>Chạy nút cam.</s:t>
        </s:is>
      </s:c>
      <s:c r="C11241" s="28" t="n"/>
      <s:c r="D11241" s="28" t="n"/>
      <s:c r="E11241" s="28" t="n"/>
    </s:row>
    <s:row r="11242" ht="20" customHeight="1">
      <s:c r="A11242" s="112" t="inlineStr">
        <s:is>
          <s:t>Bước 2</s:t>
        </s:is>
      </s:c>
      <s:c r="B11242" s="113" t="inlineStr">
        <s:is>
          <s:t>Xem kết quả học sinh điểm 26 và 29.</s:t>
        </s:is>
      </s:c>
      <s:c r="C11242" s="28" t="n"/>
      <s:c r="D11242" s="28" t="n"/>
      <s:c r="E11242" s="28" t="n"/>
    </s:row>
    <s:row r="11243" ht="34" customHeight="1">
      <s:c r="A11243" s="112" t="inlineStr">
        <s:is>
          <s:t>Bước 3</s:t>
        </s:is>
      </s:c>
      <s:c r="B11243" s="113" t="inlineStr">
        <s:is>
          <s:t>Bắt đầu một lượt tổng hợp mới cùng phạm vi sau bản tổng hợp mới nhất chưa chốt (trung bình 62) nhưng chưa hoàn tất (đang chạy hoặc thất bại); chạy lại nút cam.</s:t>
        </s:is>
      </s:c>
      <s:c r="C11243" s="28" t="n"/>
      <s:c r="D11243" s="28" t="n"/>
      <s:c r="E11243" s="28" t="n"/>
    </s:row>
    <s:row r="11244" ht="28" customHeight="1">
      <s:c r="A11244" s="115" t="inlineStr">
        <s:is>
          <s:t>Trường hợp</s:t>
        </s:is>
      </s:c>
      <s:c r="B11244" s="115" t="inlineStr">
        <s:is>
          <s:t>Dữ liệu / thao tác riêng</s:t>
        </s:is>
      </s:c>
      <s:c r="C11244" s="115" t="inlineStr">
        <s:is>
          <s:t>Kết quả mong đợi</s:t>
        </s:is>
      </s:c>
      <s:c r="D11244" s="115" t="inlineStr">
        <s:is>
          <s:t>Kết quả thực tế</s:t>
        </s:is>
      </s:c>
      <s:c r="E11244" s="115" t="inlineStr">
        <s:is>
          <s:t>Đánh giá</s:t>
        </s:is>
      </s:c>
    </s:row>
    <s:row r="11245" ht="3" customHeight="1">
      <s:c r="A11245" s="102" t="inlineStr"/>
      <s:c r="B11245" s="99" t="n"/>
      <s:c r="C11245" s="99" t="n"/>
      <s:c r="D11245" s="116" t="n"/>
      <s:c r="E11245" s="116" t="n"/>
    </s:row>
    <s:row r="11246" ht="48" customHeight="1">
      <s:c r="A11246" s="83" t="inlineStr">
        <s:is>
          <s:t>Bản mới nhất hoàn tất (completed)</s:t>
        </s:is>
      </s:c>
      <s:c r="B11246" s="83" t="inlineStr">
        <s:is>
          <s:r>
            <s:t xml:space="preserve">Dùng bản hoàn tất mới nhất cùng kỳ </s:t>
          </s:r>
          <s:r>
            <s:rPr>
              <s:b val="1"/>
            </s:rPr>
            <s:t>A=62</s:t>
          </s:r>
          <s:r>
            <s:t>; chạy nút cam, đọc điểm26/29.</s:t>
          </s:r>
        </s:is>
      </s:c>
      <s:c r="C11246" s="83" t="inlineStr">
        <s:is>
          <s:r>
            <s:t xml:space="preserve">Bản hoàn tất mới nhất cùng kỳ </s:t>
          </s:r>
          <s:r>
            <s:rPr>
              <s:b val="1"/>
            </s:rPr>
            <s:t>A=62</s:t>
          </s:r>
          <s:r>
            <s:t xml:space="preserve"> → nhánh </s:t>
          </s:r>
          <s:r>
            <s:rPr>
              <s:b val="1"/>
            </s:rPr>
            <s:t>A≥60</s:t>
          </s:r>
          <s:r>
            <s:t>,</s:t>
          </s:r>
          <s:r>
            <s:rPr>
              <s:b val="1"/>
            </s:rPr>
            <s:t>T=30</s:t>
          </s:r>
          <s:r>
            <s:t xml:space="preserve">: điểm 26 và 29 </s:t>
          </s:r>
          <s:r>
            <s:rPr>
              <s:b val="1"/>
            </s:rPr>
            <s:t>Đỏ</s:t>
          </s:r>
          <s:r>
            <s:t xml:space="preserve">. Không dùng bản cũ </s:t>
          </s:r>
          <s:r>
            <s:rPr>
              <s:b val="1"/>
            </s:rPr>
            <s:t>A=55</s:t>
          </s:r>
          <s:r>
            <s:t xml:space="preserve"> hoặc bản khác kỳ </s:t>
          </s:r>
          <s:r>
            <s:rPr>
              <s:b val="1"/>
            </s:rPr>
            <s:t>A=40</s:t>
          </s:r>
          <s:r>
            <s:t>.</s:t>
          </s:r>
        </s:is>
      </s:c>
      <s:c r="D11246" s="117" t="inlineStr"/>
      <s:c r="E11246" s="118" t="inlineStr">
        <s:is>
          <s:t>Chưa thực hiện</s:t>
        </s:is>
      </s:c>
    </s:row>
    <s:row r="11247" ht="3" customHeight="1">
      <s:c r="A11247" s="102" t="inlineStr"/>
      <s:c r="B11247" s="99" t="n"/>
      <s:c r="C11247" s="99" t="n"/>
      <s:c r="D11247" s="116" t="n"/>
      <s:c r="E11247" s="116" t="n"/>
    </s:row>
    <s:row r="11248" ht="62" customHeight="1">
      <s:c r="A11248" s="83" t="inlineStr">
        <s:is>
          <s:t>Bản mới đang chạy (running)</s:t>
        </s:is>
      </s:c>
      <s:c r="B11248" s="83" t="inlineStr">
        <s:is>
          <s:r>
            <s:t xml:space="preserve">Sau bản </s:t>
          </s:r>
          <s:r>
            <s:rPr>
              <s:b val="1"/>
            </s:rPr>
            <s:t>A=62</s:t>
          </s:r>
          <s:r>
            <s:t>, bắt đầu tổng hợp mới cùng scope nhưng còn đang chạy; chạy lại nút cam.</s:t>
          </s:r>
        </s:is>
      </s:c>
      <s:c r="C11248" s="83" t="inlineStr">
        <s:is>
          <s:r>
            <s:t xml:space="preserve">Khi lượt tổng hợp mới đang chạy, vẫn dùng bản hoàn tất mới nhất </s:t>
          </s:r>
          <s:r>
            <s:rPr>
              <s:b val="1"/>
            </s:rPr>
            <s:t>A=62</s:t>
          </s:r>
          <s:r>
            <s:t xml:space="preserve">, không đọc nguồn chưa hoàn tất → 26 và 29 </s:t>
          </s:r>
          <s:r>
            <s:rPr>
              <s:b val="1"/>
            </s:rPr>
            <s:t>Đỏ</s:t>
          </s:r>
          <s:r>
            <s:t xml:space="preserve"> theo </s:t>
          </s:r>
          <s:r>
            <s:rPr>
              <s:b val="1"/>
            </s:rPr>
            <s:t>T=30</s:t>
          </s:r>
          <s:r>
            <s:t>; không dùng bản cũ/khác kỳ.</s:t>
          </s:r>
        </s:is>
      </s:c>
      <s:c r="D11248" s="117" t="inlineStr"/>
      <s:c r="E11248" s="118" t="inlineStr">
        <s:is>
          <s:t>Chưa thực hiện</s:t>
        </s:is>
      </s:c>
    </s:row>
    <s:row r="11249" ht="3" customHeight="1">
      <s:c r="A11249" s="102" t="inlineStr"/>
      <s:c r="B11249" s="99" t="n"/>
      <s:c r="C11249" s="99" t="n"/>
      <s:c r="D11249" s="116" t="n"/>
      <s:c r="E11249" s="116" t="n"/>
    </s:row>
    <s:row r="11250" ht="62" customHeight="1">
      <s:c r="A11250" s="83" t="inlineStr">
        <s:is>
          <s:t>Bản mới thất bại (failed)</s:t>
        </s:is>
      </s:c>
      <s:c r="B11250" s="83" t="inlineStr">
        <s:is>
          <s:r>
            <s:t xml:space="preserve">Sau bản </s:t>
          </s:r>
          <s:r>
            <s:rPr>
              <s:b val="1"/>
            </s:rPr>
            <s:t>A=62</s:t>
          </s:r>
          <s:r>
            <s:t>, tổng hợp mới cùng scope thất bại; chạy lại nút cam.</s:t>
          </s:r>
        </s:is>
      </s:c>
      <s:c r="C11250" s="83" t="inlineStr">
        <s:is>
          <s:r>
            <s:t xml:space="preserve">Khi lượt tổng hợp mới thất bại, vẫn dùng bản hoàn tất mới nhất </s:t>
          </s:r>
          <s:r>
            <s:rPr>
              <s:b val="1"/>
            </s:rPr>
            <s:t>A=62</s:t>
          </s:r>
          <s:r>
            <s:t xml:space="preserve">, không đọc nguồn chưa hoàn tất → 26 và 29 </s:t>
          </s:r>
          <s:r>
            <s:rPr>
              <s:b val="1"/>
            </s:rPr>
            <s:t>Đỏ</s:t>
          </s:r>
          <s:r>
            <s:t xml:space="preserve"> theo </s:t>
          </s:r>
          <s:r>
            <s:rPr>
              <s:b val="1"/>
            </s:rPr>
            <s:t>T=30</s:t>
          </s:r>
          <s:r>
            <s:t>; không dùng bản cũ/khác kỳ.</s:t>
          </s:r>
        </s:is>
      </s:c>
      <s:c r="D11250" s="117" t="inlineStr"/>
      <s:c r="E11250" s="118" t="inlineStr">
        <s:is>
          <s:t>Chưa thực hiện</s:t>
        </s:is>
      </s:c>
    </s:row>
    <s:row r="11251" ht="20" customHeight="1">
      <s:c r="A11251" s="119" t="inlineStr">
        <s:is>
          <s:t>Ảnh minh chứng — Chưa có ảnh</s:t>
        </s:is>
      </s:c>
      <s:c r="B11251" s="19" t="n"/>
      <s:c r="C11251" s="19" t="n"/>
      <s:c r="D11251" s="19" t="n"/>
      <s:c r="E11251" s="19" t="n"/>
    </s:row>
    <s:row r="11252" hidden="1" ht="1" customHeight="1">
      <s:c r="A11252" s="120" t="inlineStr"/>
      <s:c r="B11252" s="121" t="n"/>
      <s:c r="C11252" s="121" t="n"/>
      <s:c r="D11252" s="121" t="n"/>
      <s:c r="E11252" s="122" t="n"/>
    </s:row>
    <s:row r="11253" hidden="1" ht="1" customHeight="1">
      <s:c r="A11253" s="120" t="inlineStr"/>
      <s:c r="B11253" s="121" t="n"/>
      <s:c r="C11253" s="121" t="n"/>
      <s:c r="D11253" s="121" t="n"/>
      <s:c r="E11253" s="122" t="n"/>
    </s:row>
    <s:row r="11254" hidden="1" ht="1" customHeight="1">
      <s:c r="A11254" s="120" t="inlineStr"/>
      <s:c r="B11254" s="121" t="n"/>
      <s:c r="C11254" s="121" t="n"/>
      <s:c r="D11254" s="121" t="n"/>
      <s:c r="E11254" s="122" t="n"/>
    </s:row>
    <s:row r="11255" hidden="1" ht="1" customHeight="1">
      <s:c r="A11255" s="120" t="inlineStr"/>
      <s:c r="B11255" s="121" t="n"/>
      <s:c r="C11255" s="121" t="n"/>
      <s:c r="D11255" s="121" t="n"/>
      <s:c r="E11255" s="122" t="n"/>
    </s:row>
    <s:row r="11256" hidden="1" ht="1" customHeight="1">
      <s:c r="A11256" s="120" t="inlineStr"/>
      <s:c r="B11256" s="121" t="n"/>
      <s:c r="C11256" s="121" t="n"/>
      <s:c r="D11256" s="121" t="n"/>
      <s:c r="E11256" s="122" t="n"/>
    </s:row>
    <s:row r="11257" hidden="1" ht="1" customHeight="1">
      <s:c r="A11257" s="120" t="inlineStr"/>
      <s:c r="B11257" s="121" t="n"/>
      <s:c r="C11257" s="121" t="n"/>
      <s:c r="D11257" s="121" t="n"/>
      <s:c r="E11257" s="122" t="n"/>
    </s:row>
    <s:row r="11258" hidden="1" ht="1" customHeight="1">
      <s:c r="A11258" s="120" t="inlineStr"/>
      <s:c r="B11258" s="121" t="n"/>
      <s:c r="C11258" s="121" t="n"/>
      <s:c r="D11258" s="121" t="n"/>
      <s:c r="E11258" s="122" t="n"/>
    </s:row>
    <s:row r="11259" hidden="1" ht="1" customHeight="1">
      <s:c r="A11259" s="120" t="inlineStr"/>
      <s:c r="B11259" s="121" t="n"/>
      <s:c r="C11259" s="121" t="n"/>
      <s:c r="D11259" s="121" t="n"/>
      <s:c r="E11259" s="122" t="n"/>
    </s:row>
    <s:row r="11260" hidden="1" ht="1" customHeight="1">
      <s:c r="A11260" s="120" t="inlineStr"/>
      <s:c r="B11260" s="121" t="n"/>
      <s:c r="C11260" s="121" t="n"/>
      <s:c r="D11260" s="121" t="n"/>
      <s:c r="E11260" s="122" t="n"/>
    </s:row>
    <s:row r="11261" hidden="1" ht="1" customHeight="1">
      <s:c r="A11261" s="120" t="inlineStr"/>
      <s:c r="B11261" s="121" t="n"/>
      <s:c r="C11261" s="121" t="n"/>
      <s:c r="D11261" s="121" t="n"/>
      <s:c r="E11261" s="122" t="n"/>
    </s:row>
    <s:row r="11262" hidden="1" ht="1" customHeight="1">
      <s:c r="A11262" s="120" t="inlineStr"/>
      <s:c r="B11262" s="121" t="n"/>
      <s:c r="C11262" s="121" t="n"/>
      <s:c r="D11262" s="121" t="n"/>
      <s:c r="E11262" s="122" t="n"/>
    </s:row>
    <s:row r="11263" hidden="1" ht="1" customHeight="1">
      <s:c r="A11263" s="120" t="inlineStr"/>
      <s:c r="B11263" s="121" t="n"/>
      <s:c r="C11263" s="121" t="n"/>
      <s:c r="D11263" s="121" t="n"/>
      <s:c r="E11263" s="122" t="n"/>
    </s:row>
    <s:row r="11264" hidden="1" ht="1" customHeight="1">
      <s:c r="A11264" s="120" t="inlineStr"/>
      <s:c r="B11264" s="121" t="n"/>
      <s:c r="C11264" s="121" t="n"/>
      <s:c r="D11264" s="121" t="n"/>
      <s:c r="E11264" s="122" t="n"/>
    </s:row>
    <s:row r="11265" hidden="1" ht="1" customHeight="1">
      <s:c r="A11265" s="120" t="inlineStr"/>
      <s:c r="B11265" s="121" t="n"/>
      <s:c r="C11265" s="121" t="n"/>
      <s:c r="D11265" s="121" t="n"/>
      <s:c r="E11265" s="122" t="n"/>
    </s:row>
    <s:row r="11266" hidden="1" ht="1" customHeight="1">
      <s:c r="A11266" s="120" t="inlineStr"/>
      <s:c r="B11266" s="121" t="n"/>
      <s:c r="C11266" s="121" t="n"/>
      <s:c r="D11266" s="121" t="n"/>
      <s:c r="E11266" s="122" t="n"/>
    </s:row>
    <s:row r="11267" hidden="1" ht="1" customHeight="1">
      <s:c r="A11267" s="120" t="inlineStr"/>
      <s:c r="B11267" s="121" t="n"/>
      <s:c r="C11267" s="121" t="n"/>
      <s:c r="D11267" s="121" t="n"/>
      <s:c r="E11267" s="122" t="n"/>
    </s:row>
    <s:row r="11268" hidden="1" ht="1" customHeight="1">
      <s:c r="A11268" s="120" t="inlineStr"/>
      <s:c r="B11268" s="121" t="n"/>
      <s:c r="C11268" s="121" t="n"/>
      <s:c r="D11268" s="121" t="n"/>
      <s:c r="E11268" s="122" t="n"/>
    </s:row>
    <s:row r="11269" hidden="1" ht="1" customHeight="1">
      <s:c r="A11269" s="120" t="inlineStr"/>
      <s:c r="B11269" s="121" t="n"/>
      <s:c r="C11269" s="121" t="n"/>
      <s:c r="D11269" s="121" t="n"/>
      <s:c r="E11269" s="122" t="n"/>
    </s:row>
    <s:row r="11270" hidden="1" ht="1" customHeight="1">
      <s:c r="A11270" s="120" t="inlineStr"/>
      <s:c r="B11270" s="121" t="n"/>
      <s:c r="C11270" s="121" t="n"/>
      <s:c r="D11270" s="121" t="n"/>
      <s:c r="E11270" s="122" t="n"/>
    </s:row>
    <s:row r="11271" hidden="1" ht="1" customHeight="1">
      <s:c r="A11271" s="120" t="inlineStr"/>
      <s:c r="B11271" s="121" t="n"/>
      <s:c r="C11271" s="121" t="n"/>
      <s:c r="D11271" s="121" t="n"/>
      <s:c r="E11271" s="122" t="n"/>
    </s:row>
    <s:row r="11272" hidden="1" ht="1" customHeight="1">
      <s:c r="A11272" s="120" t="inlineStr"/>
      <s:c r="B11272" s="121" t="n"/>
      <s:c r="C11272" s="121" t="n"/>
      <s:c r="D11272" s="121" t="n"/>
      <s:c r="E11272" s="122" t="n"/>
    </s:row>
    <s:row r="11273" hidden="1" ht="1" customHeight="1">
      <s:c r="A11273" s="120" t="inlineStr"/>
      <s:c r="B11273" s="121" t="n"/>
      <s:c r="C11273" s="121" t="n"/>
      <s:c r="D11273" s="121" t="n"/>
      <s:c r="E11273" s="122" t="n"/>
    </s:row>
    <s:row r="11274" hidden="1" ht="1" customHeight="1">
      <s:c r="A11274" s="120" t="inlineStr"/>
      <s:c r="B11274" s="121" t="n"/>
      <s:c r="C11274" s="121" t="n"/>
      <s:c r="D11274" s="121" t="n"/>
      <s:c r="E11274" s="122" t="n"/>
    </s:row>
    <s:row r="11275" hidden="1" ht="1" customHeight="1">
      <s:c r="A11275" s="120" t="inlineStr"/>
      <s:c r="B11275" s="121" t="n"/>
      <s:c r="C11275" s="121" t="n"/>
      <s:c r="D11275" s="121" t="n"/>
      <s:c r="E11275" s="122" t="n"/>
    </s:row>
    <s:row r="11276" hidden="1" ht="1" customHeight="1">
      <s:c r="A11276" s="120" t="inlineStr"/>
      <s:c r="B11276" s="121" t="n"/>
      <s:c r="C11276" s="121" t="n"/>
      <s:c r="D11276" s="121" t="n"/>
      <s:c r="E11276" s="122" t="n"/>
    </s:row>
    <s:row r="11277" hidden="1" ht="1" customHeight="1">
      <s:c r="A11277" s="120" t="inlineStr"/>
      <s:c r="B11277" s="121" t="n"/>
      <s:c r="C11277" s="121" t="n"/>
      <s:c r="D11277" s="121" t="n"/>
      <s:c r="E11277" s="122" t="n"/>
    </s:row>
    <s:row r="11278" hidden="1" ht="1" customHeight="1">
      <s:c r="A11278" s="120" t="inlineStr"/>
      <s:c r="B11278" s="121" t="n"/>
      <s:c r="C11278" s="121" t="n"/>
      <s:c r="D11278" s="121" t="n"/>
      <s:c r="E11278" s="122" t="n"/>
    </s:row>
    <s:row r="11279" hidden="1" ht="1" customHeight="1">
      <s:c r="A11279" s="120" t="inlineStr"/>
      <s:c r="B11279" s="121" t="n"/>
      <s:c r="C11279" s="121" t="n"/>
      <s:c r="D11279" s="121" t="n"/>
      <s:c r="E11279" s="122" t="n"/>
    </s:row>
    <s:row r="11280" hidden="1" ht="1" customHeight="1">
      <s:c r="A11280" s="120" t="inlineStr"/>
      <s:c r="B11280" s="121" t="n"/>
      <s:c r="C11280" s="121" t="n"/>
      <s:c r="D11280" s="121" t="n"/>
      <s:c r="E11280" s="122" t="n"/>
    </s:row>
    <s:row r="11281" hidden="1" ht="1" customHeight="1">
      <s:c r="A11281" s="120" t="inlineStr"/>
      <s:c r="B11281" s="121" t="n"/>
      <s:c r="C11281" s="121" t="n"/>
      <s:c r="D11281" s="121" t="n"/>
      <s:c r="E11281" s="122" t="n"/>
    </s:row>
    <s:row r="11282" hidden="1" ht="1" customHeight="1">
      <s:c r="A11282" s="120" t="inlineStr"/>
      <s:c r="B11282" s="121" t="n"/>
      <s:c r="C11282" s="121" t="n"/>
      <s:c r="D11282" s="121" t="n"/>
      <s:c r="E11282" s="122" t="n"/>
    </s:row>
    <s:row r="11283" hidden="1" ht="1" customHeight="1">
      <s:c r="A11283" s="120" t="inlineStr"/>
      <s:c r="B11283" s="121" t="n"/>
      <s:c r="C11283" s="121" t="n"/>
      <s:c r="D11283" s="121" t="n"/>
      <s:c r="E11283" s="122" t="n"/>
    </s:row>
    <s:row r="11284" hidden="1" ht="1" customHeight="1">
      <s:c r="A11284" s="120" t="inlineStr"/>
      <s:c r="B11284" s="121" t="n"/>
      <s:c r="C11284" s="121" t="n"/>
      <s:c r="D11284" s="121" t="n"/>
      <s:c r="E11284" s="122" t="n"/>
    </s:row>
    <s:row r="11285" hidden="1" ht="1" customHeight="1">
      <s:c r="A11285" s="120" t="inlineStr"/>
      <s:c r="B11285" s="121" t="n"/>
      <s:c r="C11285" s="121" t="n"/>
      <s:c r="D11285" s="121" t="n"/>
      <s:c r="E11285" s="122" t="n"/>
    </s:row>
    <s:row r="11286" hidden="1" ht="1" customHeight="1">
      <s:c r="A11286" s="120" t="inlineStr"/>
      <s:c r="B11286" s="121" t="n"/>
      <s:c r="C11286" s="121" t="n"/>
      <s:c r="D11286" s="121" t="n"/>
      <s:c r="E11286" s="122" t="n"/>
    </s:row>
    <s:row r="11287" hidden="1" ht="1" customHeight="1">
      <s:c r="A11287" s="120" t="inlineStr"/>
      <s:c r="B11287" s="121" t="n"/>
      <s:c r="C11287" s="121" t="n"/>
      <s:c r="D11287" s="121" t="n"/>
      <s:c r="E11287" s="122" t="n"/>
    </s:row>
    <s:row r="11288" hidden="1" ht="1" customHeight="1">
      <s:c r="A11288" s="120" t="inlineStr"/>
      <s:c r="B11288" s="121" t="n"/>
      <s:c r="C11288" s="121" t="n"/>
      <s:c r="D11288" s="121" t="n"/>
      <s:c r="E11288" s="122" t="n"/>
    </s:row>
    <s:row r="11289" hidden="1" ht="1" customHeight="1">
      <s:c r="A11289" s="120" t="inlineStr"/>
      <s:c r="B11289" s="121" t="n"/>
      <s:c r="C11289" s="121" t="n"/>
      <s:c r="D11289" s="121" t="n"/>
      <s:c r="E11289" s="122" t="n"/>
    </s:row>
    <s:row r="11290" hidden="1" ht="1" customHeight="1">
      <s:c r="A11290" s="120" t="inlineStr"/>
      <s:c r="B11290" s="121" t="n"/>
      <s:c r="C11290" s="121" t="n"/>
      <s:c r="D11290" s="121" t="n"/>
      <s:c r="E11290" s="122" t="n"/>
    </s:row>
    <s:row r="11291" hidden="1" ht="1" customHeight="1">
      <s:c r="A11291" s="120" t="inlineStr"/>
      <s:c r="B11291" s="121" t="n"/>
      <s:c r="C11291" s="121" t="n"/>
      <s:c r="D11291" s="121" t="n"/>
      <s:c r="E11291" s="122" t="n"/>
    </s:row>
    <s:row r="11292" hidden="1" ht="1" customHeight="1">
      <s:c r="A11292" s="120" t="inlineStr"/>
      <s:c r="B11292" s="121" t="n"/>
      <s:c r="C11292" s="121" t="n"/>
      <s:c r="D11292" s="121" t="n"/>
      <s:c r="E11292" s="122" t="n"/>
    </s:row>
    <s:row r="11293" hidden="1" ht="1" customHeight="1">
      <s:c r="A11293" s="120" t="inlineStr"/>
      <s:c r="B11293" s="121" t="n"/>
      <s:c r="C11293" s="121" t="n"/>
      <s:c r="D11293" s="121" t="n"/>
      <s:c r="E11293" s="122" t="n"/>
    </s:row>
    <s:row r="11294" hidden="1" ht="1" customHeight="1">
      <s:c r="A11294" s="120" t="inlineStr"/>
      <s:c r="B11294" s="121" t="n"/>
      <s:c r="C11294" s="121" t="n"/>
      <s:c r="D11294" s="121" t="n"/>
      <s:c r="E11294" s="122" t="n"/>
    </s:row>
    <s:row r="11295" hidden="1" ht="1" customHeight="1">
      <s:c r="A11295" s="120" t="inlineStr"/>
      <s:c r="B11295" s="121" t="n"/>
      <s:c r="C11295" s="121" t="n"/>
      <s:c r="D11295" s="121" t="n"/>
      <s:c r="E11295" s="122" t="n"/>
    </s:row>
    <s:row r="11296" hidden="1" ht="1" customHeight="1">
      <s:c r="A11296" s="120" t="inlineStr"/>
      <s:c r="B11296" s="121" t="n"/>
      <s:c r="C11296" s="121" t="n"/>
      <s:c r="D11296" s="121" t="n"/>
      <s:c r="E11296" s="122" t="n"/>
    </s:row>
    <s:row r="11297" hidden="1" ht="1" customHeight="1">
      <s:c r="A11297" s="120" t="inlineStr"/>
      <s:c r="B11297" s="121" t="n"/>
      <s:c r="C11297" s="121" t="n"/>
      <s:c r="D11297" s="121" t="n"/>
      <s:c r="E11297" s="122" t="n"/>
    </s:row>
    <s:row r="11298" hidden="1" ht="1" customHeight="1">
      <s:c r="A11298" s="120" t="inlineStr"/>
      <s:c r="B11298" s="121" t="n"/>
      <s:c r="C11298" s="121" t="n"/>
      <s:c r="D11298" s="121" t="n"/>
      <s:c r="E11298" s="122" t="n"/>
    </s:row>
    <s:row r="11299" hidden="1" ht="1" customHeight="1">
      <s:c r="A11299" s="120" t="inlineStr"/>
      <s:c r="B11299" s="121" t="n"/>
      <s:c r="C11299" s="121" t="n"/>
      <s:c r="D11299" s="121" t="n"/>
      <s:c r="E11299" s="122" t="n"/>
    </s:row>
    <s:row r="11300" hidden="1" ht="1" customHeight="1">
      <s:c r="A11300" s="120" t="inlineStr"/>
      <s:c r="B11300" s="121" t="n"/>
      <s:c r="C11300" s="121" t="n"/>
      <s:c r="D11300" s="121" t="n"/>
      <s:c r="E11300" s="122" t="n"/>
    </s:row>
    <s:row r="11301" hidden="1" ht="1" customHeight="1">
      <s:c r="A11301" s="120" t="inlineStr"/>
      <s:c r="B11301" s="121" t="n"/>
      <s:c r="C11301" s="121" t="n"/>
      <s:c r="D11301" s="121" t="n"/>
      <s:c r="E11301" s="122" t="n"/>
    </s:row>
    <s:row r="11302" hidden="1" ht="1" customHeight="1">
      <s:c r="A11302" s="120" t="inlineStr"/>
      <s:c r="B11302" s="121" t="n"/>
      <s:c r="C11302" s="121" t="n"/>
      <s:c r="D11302" s="121" t="n"/>
      <s:c r="E11302" s="122" t="n"/>
    </s:row>
    <s:row r="11303" hidden="1" ht="1" customHeight="1">
      <s:c r="A11303" s="120" t="inlineStr"/>
      <s:c r="B11303" s="121" t="n"/>
      <s:c r="C11303" s="121" t="n"/>
      <s:c r="D11303" s="121" t="n"/>
      <s:c r="E11303" s="122" t="n"/>
    </s:row>
    <s:row r="11304" hidden="1" ht="1" customHeight="1">
      <s:c r="A11304" s="120" t="inlineStr"/>
      <s:c r="B11304" s="121" t="n"/>
      <s:c r="C11304" s="121" t="n"/>
      <s:c r="D11304" s="121" t="n"/>
      <s:c r="E11304" s="122" t="n"/>
    </s:row>
    <s:row r="11305" hidden="1" ht="1" customHeight="1">
      <s:c r="A11305" s="120" t="inlineStr"/>
      <s:c r="B11305" s="121" t="n"/>
      <s:c r="C11305" s="121" t="n"/>
      <s:c r="D11305" s="121" t="n"/>
      <s:c r="E11305" s="122" t="n"/>
    </s:row>
    <s:row r="11306" hidden="1" ht="1" customHeight="1">
      <s:c r="A11306" s="120" t="inlineStr"/>
      <s:c r="B11306" s="121" t="n"/>
      <s:c r="C11306" s="121" t="n"/>
      <s:c r="D11306" s="121" t="n"/>
      <s:c r="E11306" s="122" t="n"/>
    </s:row>
    <s:row r="11307" hidden="1" ht="1" customHeight="1">
      <s:c r="A11307" s="120" t="inlineStr"/>
      <s:c r="B11307" s="121" t="n"/>
      <s:c r="C11307" s="121" t="n"/>
      <s:c r="D11307" s="121" t="n"/>
      <s:c r="E11307" s="122" t="n"/>
    </s:row>
    <s:row r="11308" hidden="1" ht="1" customHeight="1">
      <s:c r="A11308" s="120" t="inlineStr"/>
      <s:c r="B11308" s="121" t="n"/>
      <s:c r="C11308" s="121" t="n"/>
      <s:c r="D11308" s="121" t="n"/>
      <s:c r="E11308" s="122" t="n"/>
    </s:row>
    <s:row r="11309" hidden="1" ht="1" customHeight="1">
      <s:c r="A11309" s="120" t="inlineStr"/>
      <s:c r="B11309" s="121" t="n"/>
      <s:c r="C11309" s="121" t="n"/>
      <s:c r="D11309" s="121" t="n"/>
      <s:c r="E11309" s="122" t="n"/>
    </s:row>
    <s:row r="11310" hidden="1" ht="1" customHeight="1">
      <s:c r="A11310" s="120" t="inlineStr"/>
      <s:c r="B11310" s="121" t="n"/>
      <s:c r="C11310" s="121" t="n"/>
      <s:c r="D11310" s="121" t="n"/>
      <s:c r="E11310" s="122" t="n"/>
    </s:row>
    <s:row r="11311" hidden="1" ht="1" customHeight="1">
      <s:c r="A11311" s="120" t="inlineStr"/>
      <s:c r="B11311" s="121" t="n"/>
      <s:c r="C11311" s="121" t="n"/>
      <s:c r="D11311" s="121" t="n"/>
      <s:c r="E11311" s="122" t="n"/>
    </s:row>
    <s:row r="11312" hidden="1" ht="1" customHeight="1">
      <s:c r="A11312" s="120" t="inlineStr"/>
      <s:c r="B11312" s="121" t="n"/>
      <s:c r="C11312" s="121" t="n"/>
      <s:c r="D11312" s="121" t="n"/>
      <s:c r="E11312" s="122" t="n"/>
    </s:row>
    <s:row r="11313" hidden="1" ht="1" customHeight="1">
      <s:c r="A11313" s="120" t="inlineStr"/>
      <s:c r="B11313" s="121" t="n"/>
      <s:c r="C11313" s="121" t="n"/>
      <s:c r="D11313" s="121" t="n"/>
      <s:c r="E11313" s="122" t="n"/>
    </s:row>
    <s:row r="11314" hidden="1" ht="1" customHeight="1">
      <s:c r="A11314" s="120" t="inlineStr"/>
      <s:c r="B11314" s="121" t="n"/>
      <s:c r="C11314" s="121" t="n"/>
      <s:c r="D11314" s="121" t="n"/>
      <s:c r="E11314" s="122" t="n"/>
    </s:row>
    <s:row r="11315" hidden="1" ht="1" customHeight="1">
      <s:c r="A11315" s="120" t="inlineStr"/>
      <s:c r="B11315" s="121" t="n"/>
      <s:c r="C11315" s="121" t="n"/>
      <s:c r="D11315" s="121" t="n"/>
      <s:c r="E11315" s="122" t="n"/>
    </s:row>
    <s:row r="11316" hidden="1" ht="1" customHeight="1">
      <s:c r="A11316" s="120" t="inlineStr"/>
      <s:c r="B11316" s="121" t="n"/>
      <s:c r="C11316" s="121" t="n"/>
      <s:c r="D11316" s="121" t="n"/>
      <s:c r="E11316" s="122" t="n"/>
    </s:row>
    <s:row r="11317" hidden="1" ht="1" customHeight="1">
      <s:c r="A11317" s="120" t="inlineStr"/>
      <s:c r="B11317" s="121" t="n"/>
      <s:c r="C11317" s="121" t="n"/>
      <s:c r="D11317" s="121" t="n"/>
      <s:c r="E11317" s="122" t="n"/>
    </s:row>
    <s:row r="11318" hidden="1" ht="1" customHeight="1">
      <s:c r="A11318" s="120" t="inlineStr"/>
      <s:c r="B11318" s="121" t="n"/>
      <s:c r="C11318" s="121" t="n"/>
      <s:c r="D11318" s="121" t="n"/>
      <s:c r="E11318" s="122" t="n"/>
    </s:row>
    <s:row r="11319" hidden="1" ht="1" customHeight="1">
      <s:c r="A11319" s="120" t="inlineStr"/>
      <s:c r="B11319" s="121" t="n"/>
      <s:c r="C11319" s="121" t="n"/>
      <s:c r="D11319" s="121" t="n"/>
      <s:c r="E11319" s="122" t="n"/>
    </s:row>
    <s:row r="11320" hidden="1" ht="1" customHeight="1">
      <s:c r="A11320" s="120" t="inlineStr"/>
      <s:c r="B11320" s="121" t="n"/>
      <s:c r="C11320" s="121" t="n"/>
      <s:c r="D11320" s="121" t="n"/>
      <s:c r="E11320" s="122" t="n"/>
    </s:row>
    <s:row r="11321" hidden="1" ht="1" customHeight="1">
      <s:c r="A11321" s="120" t="inlineStr"/>
      <s:c r="B11321" s="121" t="n"/>
      <s:c r="C11321" s="121" t="n"/>
      <s:c r="D11321" s="121" t="n"/>
      <s:c r="E11321" s="122" t="n"/>
    </s:row>
    <s:row r="11322" hidden="1" ht="1" customHeight="1">
      <s:c r="A11322" s="120" t="inlineStr"/>
      <s:c r="B11322" s="121" t="n"/>
      <s:c r="C11322" s="121" t="n"/>
      <s:c r="D11322" s="121" t="n"/>
      <s:c r="E11322" s="122" t="n"/>
    </s:row>
    <s:row r="11323" hidden="1" ht="1" customHeight="1">
      <s:c r="A11323" s="120" t="inlineStr"/>
      <s:c r="B11323" s="121" t="n"/>
      <s:c r="C11323" s="121" t="n"/>
      <s:c r="D11323" s="121" t="n"/>
      <s:c r="E11323" s="122" t="n"/>
    </s:row>
    <s:row r="11324" hidden="1" ht="1" customHeight="1">
      <s:c r="A11324" s="120" t="inlineStr"/>
      <s:c r="B11324" s="121" t="n"/>
      <s:c r="C11324" s="121" t="n"/>
      <s:c r="D11324" s="121" t="n"/>
      <s:c r="E11324" s="122" t="n"/>
    </s:row>
    <s:row r="11325" hidden="1" ht="1" customHeight="1">
      <s:c r="A11325" s="120" t="inlineStr"/>
      <s:c r="B11325" s="121" t="n"/>
      <s:c r="C11325" s="121" t="n"/>
      <s:c r="D11325" s="121" t="n"/>
      <s:c r="E11325" s="122" t="n"/>
    </s:row>
    <s:row r="11326" hidden="1" ht="1" customHeight="1">
      <s:c r="A11326" s="120" t="inlineStr"/>
      <s:c r="B11326" s="121" t="n"/>
      <s:c r="C11326" s="121" t="n"/>
      <s:c r="D11326" s="121" t="n"/>
      <s:c r="E11326" s="122" t="n"/>
    </s:row>
    <s:row r="11327" hidden="1" ht="1" customHeight="1">
      <s:c r="A11327" s="120" t="inlineStr"/>
      <s:c r="B11327" s="121" t="n"/>
      <s:c r="C11327" s="121" t="n"/>
      <s:c r="D11327" s="121" t="n"/>
      <s:c r="E11327" s="122" t="n"/>
    </s:row>
    <s:row r="11328" hidden="1" ht="1" customHeight="1">
      <s:c r="A11328" s="120" t="inlineStr"/>
      <s:c r="B11328" s="121" t="n"/>
      <s:c r="C11328" s="121" t="n"/>
      <s:c r="D11328" s="121" t="n"/>
      <s:c r="E11328" s="122" t="n"/>
    </s:row>
    <s:row r="11329" hidden="1" ht="1" customHeight="1">
      <s:c r="A11329" s="120" t="inlineStr"/>
      <s:c r="B11329" s="121" t="n"/>
      <s:c r="C11329" s="121" t="n"/>
      <s:c r="D11329" s="121" t="n"/>
      <s:c r="E11329" s="122" t="n"/>
    </s:row>
    <s:row r="11330" hidden="1" ht="1" customHeight="1">
      <s:c r="A11330" s="120" t="inlineStr"/>
      <s:c r="B11330" s="121" t="n"/>
      <s:c r="C11330" s="121" t="n"/>
      <s:c r="D11330" s="121" t="n"/>
      <s:c r="E11330" s="122" t="n"/>
    </s:row>
    <s:row r="11331" hidden="1" ht="1" customHeight="1">
      <s:c r="A11331" s="120" t="inlineStr"/>
      <s:c r="B11331" s="121" t="n"/>
      <s:c r="C11331" s="121" t="n"/>
      <s:c r="D11331" s="121" t="n"/>
      <s:c r="E11331" s="122" t="n"/>
    </s:row>
    <s:row r="11332" hidden="1" ht="1" customHeight="1">
      <s:c r="A11332" s="120" t="inlineStr"/>
      <s:c r="B11332" s="121" t="n"/>
      <s:c r="C11332" s="121" t="n"/>
      <s:c r="D11332" s="121" t="n"/>
      <s:c r="E11332" s="122" t="n"/>
    </s:row>
    <s:row r="11333" hidden="1" ht="1" customHeight="1">
      <s:c r="A11333" s="120" t="inlineStr"/>
      <s:c r="B11333" s="121" t="n"/>
      <s:c r="C11333" s="121" t="n"/>
      <s:c r="D11333" s="121" t="n"/>
      <s:c r="E11333" s="122" t="n"/>
    </s:row>
    <s:row r="11334" hidden="1" ht="1" customHeight="1">
      <s:c r="A11334" s="120" t="inlineStr"/>
      <s:c r="B11334" s="121" t="n"/>
      <s:c r="C11334" s="121" t="n"/>
      <s:c r="D11334" s="121" t="n"/>
      <s:c r="E11334" s="122" t="n"/>
    </s:row>
    <s:row r="11335" hidden="1" ht="1" customHeight="1">
      <s:c r="A11335" s="120" t="inlineStr"/>
      <s:c r="B11335" s="121" t="n"/>
      <s:c r="C11335" s="121" t="n"/>
      <s:c r="D11335" s="121" t="n"/>
      <s:c r="E11335" s="122" t="n"/>
    </s:row>
    <s:row r="11336" hidden="1" ht="1" customHeight="1">
      <s:c r="A11336" s="120" t="inlineStr"/>
      <s:c r="B11336" s="121" t="n"/>
      <s:c r="C11336" s="121" t="n"/>
      <s:c r="D11336" s="121" t="n"/>
      <s:c r="E11336" s="122" t="n"/>
    </s:row>
    <s:row r="11337" hidden="1" ht="1" customHeight="1">
      <s:c r="A11337" s="120" t="inlineStr"/>
      <s:c r="B11337" s="121" t="n"/>
      <s:c r="C11337" s="121" t="n"/>
      <s:c r="D11337" s="121" t="n"/>
      <s:c r="E11337" s="122" t="n"/>
    </s:row>
    <s:row r="11338" hidden="1" ht="1" customHeight="1">
      <s:c r="A11338" s="120" t="inlineStr"/>
      <s:c r="B11338" s="121" t="n"/>
      <s:c r="C11338" s="121" t="n"/>
      <s:c r="D11338" s="121" t="n"/>
      <s:c r="E11338" s="122" t="n"/>
    </s:row>
    <s:row r="11339" hidden="1" ht="1" customHeight="1">
      <s:c r="A11339" s="120" t="inlineStr"/>
      <s:c r="B11339" s="121" t="n"/>
      <s:c r="C11339" s="121" t="n"/>
      <s:c r="D11339" s="121" t="n"/>
      <s:c r="E11339" s="122" t="n"/>
    </s:row>
    <s:row r="11340" hidden="1" ht="1" customHeight="1">
      <s:c r="A11340" s="120" t="inlineStr"/>
      <s:c r="B11340" s="121" t="n"/>
      <s:c r="C11340" s="121" t="n"/>
      <s:c r="D11340" s="121" t="n"/>
      <s:c r="E11340" s="122" t="n"/>
    </s:row>
    <s:row r="11341" hidden="1" ht="1" customHeight="1">
      <s:c r="A11341" s="120" t="inlineStr"/>
      <s:c r="B11341" s="121" t="n"/>
      <s:c r="C11341" s="121" t="n"/>
      <s:c r="D11341" s="121" t="n"/>
      <s:c r="E11341" s="122" t="n"/>
    </s:row>
    <s:row r="11342" hidden="1" ht="1" customHeight="1">
      <s:c r="A11342" s="120" t="inlineStr"/>
      <s:c r="B11342" s="121" t="n"/>
      <s:c r="C11342" s="121" t="n"/>
      <s:c r="D11342" s="121" t="n"/>
      <s:c r="E11342" s="122" t="n"/>
    </s:row>
    <s:row r="11343" hidden="1" ht="1" customHeight="1">
      <s:c r="A11343" s="120" t="inlineStr"/>
      <s:c r="B11343" s="121" t="n"/>
      <s:c r="C11343" s="121" t="n"/>
      <s:c r="D11343" s="121" t="n"/>
      <s:c r="E11343" s="122" t="n"/>
    </s:row>
    <s:row r="11344" hidden="1" ht="1" customHeight="1">
      <s:c r="A11344" s="120" t="inlineStr"/>
      <s:c r="B11344" s="121" t="n"/>
      <s:c r="C11344" s="121" t="n"/>
      <s:c r="D11344" s="121" t="n"/>
      <s:c r="E11344" s="122" t="n"/>
    </s:row>
    <s:row r="11345" hidden="1" ht="1" customHeight="1">
      <s:c r="A11345" s="120" t="inlineStr"/>
      <s:c r="B11345" s="121" t="n"/>
      <s:c r="C11345" s="121" t="n"/>
      <s:c r="D11345" s="121" t="n"/>
      <s:c r="E11345" s="122" t="n"/>
    </s:row>
    <s:row r="11346" hidden="1" ht="1" customHeight="1">
      <s:c r="A11346" s="120" t="inlineStr"/>
      <s:c r="B11346" s="121" t="n"/>
      <s:c r="C11346" s="121" t="n"/>
      <s:c r="D11346" s="121" t="n"/>
      <s:c r="E11346" s="122" t="n"/>
    </s:row>
    <s:row r="11347" hidden="1" ht="1" customHeight="1">
      <s:c r="A11347" s="120" t="inlineStr"/>
      <s:c r="B11347" s="121" t="n"/>
      <s:c r="C11347" s="121" t="n"/>
      <s:c r="D11347" s="121" t="n"/>
      <s:c r="E11347" s="122" t="n"/>
    </s:row>
    <s:row r="11348" hidden="1" ht="1" customHeight="1">
      <s:c r="A11348" s="120" t="inlineStr"/>
      <s:c r="B11348" s="121" t="n"/>
      <s:c r="C11348" s="121" t="n"/>
      <s:c r="D11348" s="121" t="n"/>
      <s:c r="E11348" s="122" t="n"/>
    </s:row>
    <s:row r="11349" hidden="1" ht="1" customHeight="1">
      <s:c r="A11349" s="120" t="inlineStr"/>
      <s:c r="B11349" s="121" t="n"/>
      <s:c r="C11349" s="121" t="n"/>
      <s:c r="D11349" s="121" t="n"/>
      <s:c r="E11349" s="122" t="n"/>
    </s:row>
    <s:row r="11350" hidden="1" ht="1" customHeight="1">
      <s:c r="A11350" s="120" t="inlineStr"/>
      <s:c r="B11350" s="121" t="n"/>
      <s:c r="C11350" s="121" t="n"/>
      <s:c r="D11350" s="121" t="n"/>
      <s:c r="E11350" s="122" t="n"/>
    </s:row>
    <s:row r="11351" hidden="1" ht="1" customHeight="1">
      <s:c r="A11351" s="120" t="inlineStr"/>
      <s:c r="B11351" s="121" t="n"/>
      <s:c r="C11351" s="121" t="n"/>
      <s:c r="D11351" s="121" t="n"/>
      <s:c r="E11351" s="122" t="n"/>
    </s:row>
    <s:row r="11352" hidden="1" ht="1" customHeight="1">
      <s:c r="A11352" s="120" t="inlineStr"/>
      <s:c r="B11352" s="121" t="n"/>
      <s:c r="C11352" s="121" t="n"/>
      <s:c r="D11352" s="121" t="n"/>
      <s:c r="E11352" s="122" t="n"/>
    </s:row>
    <s:row r="11353" hidden="1" ht="1" customHeight="1">
      <s:c r="A11353" s="120" t="inlineStr"/>
      <s:c r="B11353" s="121" t="n"/>
      <s:c r="C11353" s="121" t="n"/>
      <s:c r="D11353" s="121" t="n"/>
      <s:c r="E11353" s="122" t="n"/>
    </s:row>
    <s:row r="11354" hidden="1" ht="1" customHeight="1">
      <s:c r="A11354" s="120" t="inlineStr"/>
      <s:c r="B11354" s="121" t="n"/>
      <s:c r="C11354" s="121" t="n"/>
      <s:c r="D11354" s="121" t="n"/>
      <s:c r="E11354" s="122" t="n"/>
    </s:row>
    <s:row r="11355" hidden="1" ht="1" customHeight="1">
      <s:c r="A11355" s="120" t="inlineStr"/>
      <s:c r="B11355" s="121" t="n"/>
      <s:c r="C11355" s="121" t="n"/>
      <s:c r="D11355" s="121" t="n"/>
      <s:c r="E11355" s="122" t="n"/>
    </s:row>
    <s:row r="11356" hidden="1" ht="1" customHeight="1">
      <s:c r="A11356" s="120" t="inlineStr"/>
      <s:c r="B11356" s="121" t="n"/>
      <s:c r="C11356" s="121" t="n"/>
      <s:c r="D11356" s="121" t="n"/>
      <s:c r="E11356" s="122" t="n"/>
    </s:row>
    <s:row r="11357" hidden="1" ht="1" customHeight="1">
      <s:c r="A11357" s="120" t="inlineStr"/>
      <s:c r="B11357" s="121" t="n"/>
      <s:c r="C11357" s="121" t="n"/>
      <s:c r="D11357" s="121" t="n"/>
      <s:c r="E11357" s="122" t="n"/>
    </s:row>
    <s:row r="11358" hidden="1" ht="1" customHeight="1">
      <s:c r="A11358" s="120" t="inlineStr"/>
      <s:c r="B11358" s="121" t="n"/>
      <s:c r="C11358" s="121" t="n"/>
      <s:c r="D11358" s="121" t="n"/>
      <s:c r="E11358" s="122" t="n"/>
    </s:row>
    <s:row r="11359" hidden="1" ht="1" customHeight="1">
      <s:c r="A11359" s="120" t="inlineStr"/>
      <s:c r="B11359" s="121" t="n"/>
      <s:c r="C11359" s="121" t="n"/>
      <s:c r="D11359" s="121" t="n"/>
      <s:c r="E11359" s="122" t="n"/>
    </s:row>
    <s:row r="11360" hidden="1" ht="1" customHeight="1">
      <s:c r="A11360" s="120" t="inlineStr"/>
      <s:c r="B11360" s="121" t="n"/>
      <s:c r="C11360" s="121" t="n"/>
      <s:c r="D11360" s="121" t="n"/>
      <s:c r="E11360" s="122" t="n"/>
    </s:row>
    <s:row r="11361" hidden="1" ht="1" customHeight="1">
      <s:c r="A11361" s="120" t="inlineStr"/>
      <s:c r="B11361" s="121" t="n"/>
      <s:c r="C11361" s="121" t="n"/>
      <s:c r="D11361" s="121" t="n"/>
      <s:c r="E11361" s="122" t="n"/>
    </s:row>
    <s:row r="11362" hidden="1" ht="1" customHeight="1">
      <s:c r="A11362" s="120" t="inlineStr"/>
      <s:c r="B11362" s="121" t="n"/>
      <s:c r="C11362" s="121" t="n"/>
      <s:c r="D11362" s="121" t="n"/>
      <s:c r="E11362" s="122" t="n"/>
    </s:row>
    <s:row r="11363" hidden="1" ht="1" customHeight="1">
      <s:c r="A11363" s="120" t="inlineStr"/>
      <s:c r="B11363" s="121" t="n"/>
      <s:c r="C11363" s="121" t="n"/>
      <s:c r="D11363" s="121" t="n"/>
      <s:c r="E11363" s="122" t="n"/>
    </s:row>
    <s:row r="11364" hidden="1" ht="1" customHeight="1">
      <s:c r="A11364" s="120" t="inlineStr"/>
      <s:c r="B11364" s="121" t="n"/>
      <s:c r="C11364" s="121" t="n"/>
      <s:c r="D11364" s="121" t="n"/>
      <s:c r="E11364" s="122" t="n"/>
    </s:row>
    <s:row r="11365" hidden="1" ht="1" customHeight="1">
      <s:c r="A11365" s="120" t="inlineStr"/>
      <s:c r="B11365" s="121" t="n"/>
      <s:c r="C11365" s="121" t="n"/>
      <s:c r="D11365" s="121" t="n"/>
      <s:c r="E11365" s="122" t="n"/>
    </s:row>
    <s:row r="11366" hidden="1" ht="1" customHeight="1">
      <s:c r="A11366" s="120" t="inlineStr"/>
      <s:c r="B11366" s="121" t="n"/>
      <s:c r="C11366" s="121" t="n"/>
      <s:c r="D11366" s="121" t="n"/>
      <s:c r="E11366" s="122" t="n"/>
    </s:row>
    <s:row r="11367" hidden="1" ht="1" customHeight="1">
      <s:c r="A11367" s="120" t="inlineStr"/>
      <s:c r="B11367" s="121" t="n"/>
      <s:c r="C11367" s="121" t="n"/>
      <s:c r="D11367" s="121" t="n"/>
      <s:c r="E11367" s="122" t="n"/>
    </s:row>
    <s:row r="11368" hidden="1" ht="1" customHeight="1">
      <s:c r="A11368" s="120" t="inlineStr"/>
      <s:c r="B11368" s="121" t="n"/>
      <s:c r="C11368" s="121" t="n"/>
      <s:c r="D11368" s="121" t="n"/>
      <s:c r="E11368" s="122" t="n"/>
    </s:row>
    <s:row r="11369" hidden="1" ht="1" customHeight="1">
      <s:c r="A11369" s="120" t="inlineStr"/>
      <s:c r="B11369" s="121" t="n"/>
      <s:c r="C11369" s="121" t="n"/>
      <s:c r="D11369" s="121" t="n"/>
      <s:c r="E11369" s="122" t="n"/>
    </s:row>
    <s:row r="11370" hidden="1" ht="1" customHeight="1">
      <s:c r="A11370" s="120" t="inlineStr"/>
      <s:c r="B11370" s="121" t="n"/>
      <s:c r="C11370" s="121" t="n"/>
      <s:c r="D11370" s="121" t="n"/>
      <s:c r="E11370" s="122" t="n"/>
    </s:row>
    <s:row r="11371" hidden="1" ht="1" customHeight="1">
      <s:c r="A11371" s="120" t="inlineStr"/>
      <s:c r="B11371" s="121" t="n"/>
      <s:c r="C11371" s="121" t="n"/>
      <s:c r="D11371" s="121" t="n"/>
      <s:c r="E11371" s="122" t="n"/>
    </s:row>
    <s:row r="11372" hidden="1" ht="1" customHeight="1">
      <s:c r="A11372" s="120" t="inlineStr"/>
      <s:c r="B11372" s="121" t="n"/>
      <s:c r="C11372" s="121" t="n"/>
      <s:c r="D11372" s="121" t="n"/>
      <s:c r="E11372" s="122" t="n"/>
    </s:row>
    <s:row r="11373" hidden="1" ht="1" customHeight="1">
      <s:c r="A11373" s="120" t="inlineStr"/>
      <s:c r="B11373" s="121" t="n"/>
      <s:c r="C11373" s="121" t="n"/>
      <s:c r="D11373" s="121" t="n"/>
      <s:c r="E11373" s="122" t="n"/>
    </s:row>
    <s:row r="11374" hidden="1" ht="1" customHeight="1">
      <s:c r="A11374" s="120" t="inlineStr"/>
      <s:c r="B11374" s="121" t="n"/>
      <s:c r="C11374" s="121" t="n"/>
      <s:c r="D11374" s="121" t="n"/>
      <s:c r="E11374" s="122" t="n"/>
    </s:row>
    <s:row r="11375" hidden="1" ht="1" customHeight="1">
      <s:c r="A11375" s="120" t="inlineStr"/>
      <s:c r="B11375" s="121" t="n"/>
      <s:c r="C11375" s="121" t="n"/>
      <s:c r="D11375" s="121" t="n"/>
      <s:c r="E11375" s="122" t="n"/>
    </s:row>
    <s:row r="11376" hidden="1" ht="1" customHeight="1">
      <s:c r="A11376" s="120" t="inlineStr"/>
      <s:c r="B11376" s="121" t="n"/>
      <s:c r="C11376" s="121" t="n"/>
      <s:c r="D11376" s="121" t="n"/>
      <s:c r="E11376" s="122" t="n"/>
    </s:row>
    <s:row r="11377" hidden="1" ht="1" customHeight="1">
      <s:c r="A11377" s="120" t="inlineStr"/>
      <s:c r="B11377" s="121" t="n"/>
      <s:c r="C11377" s="121" t="n"/>
      <s:c r="D11377" s="121" t="n"/>
      <s:c r="E11377" s="122" t="n"/>
    </s:row>
    <s:row r="11378" hidden="1" ht="1" customHeight="1">
      <s:c r="A11378" s="120" t="inlineStr"/>
      <s:c r="B11378" s="121" t="n"/>
      <s:c r="C11378" s="121" t="n"/>
      <s:c r="D11378" s="121" t="n"/>
      <s:c r="E11378" s="122" t="n"/>
    </s:row>
    <s:row r="11379" hidden="1" ht="1" customHeight="1">
      <s:c r="A11379" s="120" t="inlineStr"/>
      <s:c r="B11379" s="121" t="n"/>
      <s:c r="C11379" s="121" t="n"/>
      <s:c r="D11379" s="121" t="n"/>
      <s:c r="E11379" s="122" t="n"/>
    </s:row>
    <s:row r="11380" hidden="1" ht="1" customHeight="1">
      <s:c r="A11380" s="120" t="inlineStr"/>
      <s:c r="B11380" s="121" t="n"/>
      <s:c r="C11380" s="121" t="n"/>
      <s:c r="D11380" s="121" t="n"/>
      <s:c r="E11380" s="122" t="n"/>
    </s:row>
    <s:row r="11381" hidden="1" ht="1" customHeight="1">
      <s:c r="A11381" s="120" t="inlineStr"/>
      <s:c r="B11381" s="121" t="n"/>
      <s:c r="C11381" s="121" t="n"/>
      <s:c r="D11381" s="121" t="n"/>
      <s:c r="E11381" s="122" t="n"/>
    </s:row>
    <s:row r="11382" hidden="1" ht="1" customHeight="1">
      <s:c r="A11382" s="120" t="inlineStr"/>
      <s:c r="B11382" s="121" t="n"/>
      <s:c r="C11382" s="121" t="n"/>
      <s:c r="D11382" s="121" t="n"/>
      <s:c r="E11382" s="122" t="n"/>
    </s:row>
    <s:row r="11383" hidden="1" ht="1" customHeight="1">
      <s:c r="A11383" s="120" t="inlineStr"/>
      <s:c r="B11383" s="121" t="n"/>
      <s:c r="C11383" s="121" t="n"/>
      <s:c r="D11383" s="121" t="n"/>
      <s:c r="E11383" s="122" t="n"/>
    </s:row>
    <s:row r="11384" hidden="1" ht="1" customHeight="1">
      <s:c r="A11384" s="120" t="inlineStr"/>
      <s:c r="B11384" s="121" t="n"/>
      <s:c r="C11384" s="121" t="n"/>
      <s:c r="D11384" s="121" t="n"/>
      <s:c r="E11384" s="122" t="n"/>
    </s:row>
    <s:row r="11385" hidden="1" ht="1" customHeight="1">
      <s:c r="A11385" s="120" t="inlineStr"/>
      <s:c r="B11385" s="121" t="n"/>
      <s:c r="C11385" s="121" t="n"/>
      <s:c r="D11385" s="121" t="n"/>
      <s:c r="E11385" s="122" t="n"/>
    </s:row>
    <s:row r="11386" hidden="1" ht="1" customHeight="1">
      <s:c r="A11386" s="120" t="inlineStr"/>
      <s:c r="B11386" s="121" t="n"/>
      <s:c r="C11386" s="121" t="n"/>
      <s:c r="D11386" s="121" t="n"/>
      <s:c r="E11386" s="122" t="n"/>
    </s:row>
    <s:row r="11387" hidden="1" ht="1" customHeight="1">
      <s:c r="A11387" s="120" t="inlineStr"/>
      <s:c r="B11387" s="121" t="n"/>
      <s:c r="C11387" s="121" t="n"/>
      <s:c r="D11387" s="121" t="n"/>
      <s:c r="E11387" s="122" t="n"/>
    </s:row>
    <s:row r="11388" hidden="1" ht="1" customHeight="1">
      <s:c r="A11388" s="120" t="inlineStr"/>
      <s:c r="B11388" s="121" t="n"/>
      <s:c r="C11388" s="121" t="n"/>
      <s:c r="D11388" s="121" t="n"/>
      <s:c r="E11388" s="122" t="n"/>
    </s:row>
    <s:row r="11389" hidden="1" ht="1" customHeight="1">
      <s:c r="A11389" s="120" t="inlineStr"/>
      <s:c r="B11389" s="121" t="n"/>
      <s:c r="C11389" s="121" t="n"/>
      <s:c r="D11389" s="121" t="n"/>
      <s:c r="E11389" s="122" t="n"/>
    </s:row>
    <s:row r="11390" hidden="1" ht="1" customHeight="1">
      <s:c r="A11390" s="120" t="inlineStr"/>
      <s:c r="B11390" s="121" t="n"/>
      <s:c r="C11390" s="121" t="n"/>
      <s:c r="D11390" s="121" t="n"/>
      <s:c r="E11390" s="122" t="n"/>
    </s:row>
    <s:row r="11391" hidden="1" ht="1" customHeight="1">
      <s:c r="A11391" s="120" t="inlineStr"/>
      <s:c r="B11391" s="121" t="n"/>
      <s:c r="C11391" s="121" t="n"/>
      <s:c r="D11391" s="121" t="n"/>
      <s:c r="E11391" s="122" t="n"/>
    </s:row>
    <s:row r="11392" hidden="1" ht="1" customHeight="1">
      <s:c r="A11392" s="120" t="inlineStr"/>
      <s:c r="B11392" s="121" t="n"/>
      <s:c r="C11392" s="121" t="n"/>
      <s:c r="D11392" s="121" t="n"/>
      <s:c r="E11392" s="122" t="n"/>
    </s:row>
    <s:row r="11393" hidden="1" ht="1" customHeight="1">
      <s:c r="A11393" s="120" t="inlineStr"/>
      <s:c r="B11393" s="121" t="n"/>
      <s:c r="C11393" s="121" t="n"/>
      <s:c r="D11393" s="121" t="n"/>
      <s:c r="E11393" s="122" t="n"/>
    </s:row>
    <s:row r="11394" hidden="1" ht="1" customHeight="1">
      <s:c r="A11394" s="120" t="inlineStr"/>
      <s:c r="B11394" s="121" t="n"/>
      <s:c r="C11394" s="121" t="n"/>
      <s:c r="D11394" s="121" t="n"/>
      <s:c r="E11394" s="122" t="n"/>
    </s:row>
    <s:row r="11395" hidden="1" ht="1" customHeight="1">
      <s:c r="A11395" s="120" t="inlineStr"/>
      <s:c r="B11395" s="121" t="n"/>
      <s:c r="C11395" s="121" t="n"/>
      <s:c r="D11395" s="121" t="n"/>
      <s:c r="E11395" s="122" t="n"/>
    </s:row>
    <s:row r="11396" hidden="1" ht="1" customHeight="1">
      <s:c r="A11396" s="83" t="inlineStr">
        <s:is>
          <s:t>PASS</s:t>
        </s:is>
      </s:c>
      <s:c r="B11396" s="83">
        <s:f>SUM(IF(EXACT('Kiểm thử'!E11246,"Đạt"),1,0),IF(EXACT('Kiểm thử'!E11248,"Đạt"),1,0),IF(EXACT('Kiểm thử'!E11250,"Đạt"),1,0))</s:f>
        <s:v/>
      </s:c>
      <s:c r="C11396" s="19" t="n"/>
      <s:c r="D11396" s="19" t="n"/>
      <s:c r="E11396" s="19" t="n"/>
    </s:row>
    <s:row r="11397" hidden="1" ht="1" customHeight="1">
      <s:c r="A11397" s="83" t="inlineStr">
        <s:is>
          <s:t>FAIL</s:t>
        </s:is>
      </s:c>
      <s:c r="B11397" s="83">
        <s:f>SUM(IF(EXACT('Kiểm thử'!E11246,"Không đạt"),1,0),IF(EXACT('Kiểm thử'!E11248,"Không đạt"),1,0),IF(EXACT('Kiểm thử'!E11250,"Không đạt"),1,0))</s:f>
        <s:v/>
      </s:c>
      <s:c r="C11397" s="19" t="n"/>
      <s:c r="D11397" s="19" t="n"/>
      <s:c r="E11397" s="19" t="n"/>
    </s:row>
    <s:row r="11398" hidden="1" ht="1" customHeight="1">
      <s:c r="A11398" s="83" t="inlineStr">
        <s:is>
          <s:t>BLOCKED</s:t>
        </s:is>
      </s:c>
      <s:c r="B11398" s="83">
        <s:f>SUM(IF(EXACT('Kiểm thử'!E11246,"Bị chặn"),1,0),IF(EXACT('Kiểm thử'!E11248,"Bị chặn"),1,0),IF(EXACT('Kiểm thử'!E11250,"Bị chặn"),1,0))</s:f>
        <s:v/>
      </s:c>
      <s:c r="C11398" s="19" t="n"/>
      <s:c r="D11398" s="19" t="n"/>
      <s:c r="E11398" s="19" t="n"/>
    </s:row>
    <s:row r="11399" hidden="1" ht="1" customHeight="1">
      <s:c r="A11399" s="83" t="inlineStr">
        <s:is>
          <s:t>SKIPPED</s:t>
        </s:is>
      </s:c>
      <s:c r="B11399" s="83">
        <s:f>SUM(IF(EXACT('Kiểm thử'!E11246,"Không thực hiện"),1,0),IF(EXACT('Kiểm thử'!E11248,"Không thực hiện"),1,0),IF(EXACT('Kiểm thử'!E11250,"Không thực hiện"),1,0))</s:f>
        <s:v/>
      </s:c>
      <s:c r="C11399" s="19" t="n"/>
      <s:c r="D11399" s="19" t="n"/>
      <s:c r="E11399" s="19" t="n"/>
    </s:row>
    <s:row r="11400" hidden="1" ht="1" customHeight="1">
      <s:c r="A11400" s="83" t="inlineStr">
        <s:is>
          <s:t>NOT RUN</s:t>
        </s:is>
      </s:c>
      <s:c r="B11400" s="83">
        <s:f>SUM(IF(EXACT('Kiểm thử'!E11246,"Chưa thực hiện"),1,0),IF(EXACT('Kiểm thử'!E11248,"Chưa thực hiện"),1,0),IF(EXACT('Kiểm thử'!E11250,"Chưa thực hiện"),1,0))</s:f>
        <s:v/>
      </s:c>
      <s:c r="C11400" s="19" t="n"/>
      <s:c r="D11400" s="19" t="n"/>
      <s:c r="E11400" s="19" t="n"/>
    </s:row>
    <s:row r="11401" hidden="1" ht="6" customHeight="1">
      <s:c r="A11401" s="83" t="inlineStr"/>
      <s:c r="B11401" s="19" t="n"/>
      <s:c r="C11401" s="19" t="n"/>
      <s:c r="D11401" s="19" t="n"/>
      <s:c r="E11401" s="19" t="n"/>
    </s:row>
    <s:row r="11402" ht="28" customHeight="1">
      <s:c r="A11402" s="108" t="inlineStr">
        <s:is>
          <s:t>TC-RS-BR-009 — Nguồn: bản đã chốt thiếu dữ liệu → Chưa xét được, không chuyển sang bản thường</s:t>
        </s:is>
      </s:c>
      <s:c r="B11402" s="111" t="n"/>
      <s:c r="C11402" s="111" t="n"/>
      <s:c r="D11402" s="111" t="n"/>
      <s:c r="E11402" s="111" t="n"/>
    </s:row>
    <s:row r="11403" ht="20" customHeight="1">
      <s:c r="A11403" s="112" t="inlineStr">
        <s:is>
          <s:t>Kết quả tình huống</s:t>
        </s:is>
      </s:c>
      <s:c r="B11403" s="113">
        <s:f>IF(SUM(IF(EXACT('Kiểm thử'!E11411,"Không đạt"),1,0))&gt;0,"Không đạt",IF(SUM(IF(EXACT('Kiểm thử'!E11411,"Đạt"),1,0))=1,"Đạt",IF(SUM(IF(EXACT('Kiểm thử'!E11411,"Không thực hiện"),1,0))=1,"Không thực hiện",IF(SUM(IF(EXACT('Kiểm thử'!E11411,"Bị chặn"),1,0))&gt;0,"Bị chặn",IF(SUM(IF(EXACT('Kiểm thử'!E11411,"Chưa thực hiện"),1,0))=1,"Chưa thực hiện","Đang thực hiện")))))</s:f>
        <s:v/>
      </s:c>
      <s:c r="C11403" s="114" t="n"/>
      <s:c r="D11403" s="114" t="n"/>
      <s:c r="E11403" s="114" t="n"/>
    </s:row>
    <s:row r="11404" ht="20" customHeight="1">
      <s:c r="A11404" s="112" t="inlineStr">
        <s:is>
          <s:t>Màn hình / chức năng</s:t>
        </s:is>
      </s:c>
      <s:c r="B11404" s="113" t="inlineStr">
        <s:is>
          <s:t>Nguồn tổng hợp</s:t>
        </s:is>
      </s:c>
      <s:c r="C11404" s="28" t="n"/>
      <s:c r="D11404" s="28" t="n"/>
      <s:c r="E11404" s="28" t="n"/>
    </s:row>
    <s:row r="11405" ht="34" customHeight="1">
      <s:c r="A11405" s="112" t="inlineStr">
        <s:is>
          <s:t>Cấu hình</s:t>
        </s:is>
      </s:c>
      <s:c r="B11405" s="113" t="inlineStr">
        <s:is>
          <s:t>• Có bản đã chốt thiếu dữ liệu của ô (chốt, thiếu dòng cho môn/mục) và bản tổng hợp mới nhất chưa chốt (trung bình 62) (thường, đầy đủ). cặp quy tắc phân nhánh theo trung bình 60. Ô trước đó Đỏ.</s:t>
        </s:is>
      </s:c>
      <s:c r="C11405" s="28" t="n"/>
      <s:c r="D11405" s="28" t="n"/>
      <s:c r="E11405" s="28" t="n"/>
    </s:row>
    <s:row r="11406" ht="34" customHeight="1">
      <s:c r="A11406" s="112" t="inlineStr">
        <s:is>
          <s:t>Dữ liệu test</s:t>
        </s:is>
      </s:c>
      <s:c r="B11406" s="113" t="inlineStr">
        <s:is>
          <s:t>• Bản đã chốt thiếu dữ liệu của ô, bản tổng hợp mới nhất chưa chốt (trung bình 62), cặp quy tắc phân nhánh theo trung bình 60</s:t>
        </s:is>
      </s:c>
      <s:c r="C11406" s="28" t="n"/>
      <s:c r="D11406" s="28" t="n"/>
      <s:c r="E11406" s="28" t="n"/>
    </s:row>
    <s:row r="11407" ht="20" customHeight="1">
      <s:c r="A11407" s="112" t="inlineStr">
        <s:is>
          <s:t>Bước 1</s:t>
        </s:is>
      </s:c>
      <s:c r="B11407" s="113" t="inlineStr">
        <s:is>
          <s:t>Chạy nút cam.</s:t>
        </s:is>
      </s:c>
      <s:c r="C11407" s="28" t="n"/>
      <s:c r="D11407" s="28" t="n"/>
      <s:c r="E11407" s="28" t="n"/>
    </s:row>
    <s:row r="11408" ht="20" customHeight="1">
      <s:c r="A11408" s="112" t="inlineStr">
        <s:is>
          <s:t>Bước 2</s:t>
        </s:is>
      </s:c>
      <s:c r="B11408" s="113" t="inlineStr">
        <s:is>
          <s:t>Xem kết quả và ba đầu ra.</s:t>
        </s:is>
      </s:c>
      <s:c r="C11408" s="28" t="n"/>
      <s:c r="D11408" s="28" t="n"/>
      <s:c r="E11408" s="28" t="n"/>
    </s:row>
    <s:row r="11409" ht="28" customHeight="1">
      <s:c r="A11409" s="115" t="inlineStr">
        <s:is>
          <s:t>Trường hợp</s:t>
        </s:is>
      </s:c>
      <s:c r="B11409" s="115" t="inlineStr">
        <s:is>
          <s:t>Dữ liệu / thao tác riêng</s:t>
        </s:is>
      </s:c>
      <s:c r="C11409" s="115" t="inlineStr">
        <s:is>
          <s:t>Kết quả mong đợi</s:t>
        </s:is>
      </s:c>
      <s:c r="D11409" s="115" t="inlineStr">
        <s:is>
          <s:t>Kết quả thực tế</s:t>
        </s:is>
      </s:c>
      <s:c r="E11409" s="115" t="inlineStr">
        <s:is>
          <s:t>Đánh giá</s:t>
        </s:is>
      </s:c>
    </s:row>
    <s:row r="11410" ht="3" customHeight="1">
      <s:c r="A11410" s="102" t="inlineStr"/>
      <s:c r="B11410" s="99" t="n"/>
      <s:c r="C11410" s="99" t="n"/>
      <s:c r="D11410" s="116" t="n"/>
      <s:c r="E11410" s="116" t="n"/>
    </s:row>
    <s:row r="11411" ht="62" customHeight="1">
      <s:c r="A11411" s="83" t="inlineStr">
        <s:is>
          <s:t>Trường hợp cơ bản (Base)</s:t>
        </s:is>
      </s:c>
      <s:c r="B11411" s="83" t="inlineStr">
        <s:is>
          <s:t>Toàn bộ tình huống: Thực hiện đủ các bước chung theo thứ tự; kiểm cả đối tượng đích và đối chứng cùng fixture, không bỏ bước.</s:t>
        </s:is>
      </s:c>
      <s:c r="C11411" s="83" t="inlineStr">
        <s:is>
          <s:t>Chưa xét được; ngừng dùng dấu/lọc đỏ cũ; điểm giữ nguyên. Không dùng bản tổng hợp mới nhất chưa chốt (trung bình 62) hay bản khác kỳ.</s:t>
        </s:is>
      </s:c>
      <s:c r="D11411" s="117" t="inlineStr"/>
      <s:c r="E11411" s="118" t="inlineStr">
        <s:is>
          <s:t>Chưa thực hiện</s:t>
        </s:is>
      </s:c>
    </s:row>
    <s:row r="11412" ht="20" customHeight="1">
      <s:c r="A11412" s="119" t="inlineStr">
        <s:is>
          <s:t>Ảnh minh chứng — Chưa có ảnh</s:t>
        </s:is>
      </s:c>
      <s:c r="B11412" s="19" t="n"/>
      <s:c r="C11412" s="19" t="n"/>
      <s:c r="D11412" s="19" t="n"/>
      <s:c r="E11412" s="19" t="n"/>
    </s:row>
    <s:row r="11413" hidden="1" ht="1" customHeight="1">
      <s:c r="A11413" s="120" t="inlineStr"/>
      <s:c r="B11413" s="121" t="n"/>
      <s:c r="C11413" s="121" t="n"/>
      <s:c r="D11413" s="121" t="n"/>
      <s:c r="E11413" s="122" t="n"/>
    </s:row>
    <s:row r="11414" hidden="1" ht="1" customHeight="1">
      <s:c r="A11414" s="120" t="inlineStr"/>
      <s:c r="B11414" s="121" t="n"/>
      <s:c r="C11414" s="121" t="n"/>
      <s:c r="D11414" s="121" t="n"/>
      <s:c r="E11414" s="122" t="n"/>
    </s:row>
    <s:row r="11415" hidden="1" ht="1" customHeight="1">
      <s:c r="A11415" s="120" t="inlineStr"/>
      <s:c r="B11415" s="121" t="n"/>
      <s:c r="C11415" s="121" t="n"/>
      <s:c r="D11415" s="121" t="n"/>
      <s:c r="E11415" s="122" t="n"/>
    </s:row>
    <s:row r="11416" hidden="1" ht="1" customHeight="1">
      <s:c r="A11416" s="120" t="inlineStr"/>
      <s:c r="B11416" s="121" t="n"/>
      <s:c r="C11416" s="121" t="n"/>
      <s:c r="D11416" s="121" t="n"/>
      <s:c r="E11416" s="122" t="n"/>
    </s:row>
    <s:row r="11417" hidden="1" ht="1" customHeight="1">
      <s:c r="A11417" s="120" t="inlineStr"/>
      <s:c r="B11417" s="121" t="n"/>
      <s:c r="C11417" s="121" t="n"/>
      <s:c r="D11417" s="121" t="n"/>
      <s:c r="E11417" s="122" t="n"/>
    </s:row>
    <s:row r="11418" hidden="1" ht="1" customHeight="1">
      <s:c r="A11418" s="120" t="inlineStr"/>
      <s:c r="B11418" s="121" t="n"/>
      <s:c r="C11418" s="121" t="n"/>
      <s:c r="D11418" s="121" t="n"/>
      <s:c r="E11418" s="122" t="n"/>
    </s:row>
    <s:row r="11419" hidden="1" ht="1" customHeight="1">
      <s:c r="A11419" s="120" t="inlineStr"/>
      <s:c r="B11419" s="121" t="n"/>
      <s:c r="C11419" s="121" t="n"/>
      <s:c r="D11419" s="121" t="n"/>
      <s:c r="E11419" s="122" t="n"/>
    </s:row>
    <s:row r="11420" hidden="1" ht="1" customHeight="1">
      <s:c r="A11420" s="120" t="inlineStr"/>
      <s:c r="B11420" s="121" t="n"/>
      <s:c r="C11420" s="121" t="n"/>
      <s:c r="D11420" s="121" t="n"/>
      <s:c r="E11420" s="122" t="n"/>
    </s:row>
    <s:row r="11421" hidden="1" ht="1" customHeight="1">
      <s:c r="A11421" s="120" t="inlineStr"/>
      <s:c r="B11421" s="121" t="n"/>
      <s:c r="C11421" s="121" t="n"/>
      <s:c r="D11421" s="121" t="n"/>
      <s:c r="E11421" s="122" t="n"/>
    </s:row>
    <s:row r="11422" hidden="1" ht="1" customHeight="1">
      <s:c r="A11422" s="120" t="inlineStr"/>
      <s:c r="B11422" s="121" t="n"/>
      <s:c r="C11422" s="121" t="n"/>
      <s:c r="D11422" s="121" t="n"/>
      <s:c r="E11422" s="122" t="n"/>
    </s:row>
    <s:row r="11423" hidden="1" ht="1" customHeight="1">
      <s:c r="A11423" s="120" t="inlineStr"/>
      <s:c r="B11423" s="121" t="n"/>
      <s:c r="C11423" s="121" t="n"/>
      <s:c r="D11423" s="121" t="n"/>
      <s:c r="E11423" s="122" t="n"/>
    </s:row>
    <s:row r="11424" hidden="1" ht="1" customHeight="1">
      <s:c r="A11424" s="120" t="inlineStr"/>
      <s:c r="B11424" s="121" t="n"/>
      <s:c r="C11424" s="121" t="n"/>
      <s:c r="D11424" s="121" t="n"/>
      <s:c r="E11424" s="122" t="n"/>
    </s:row>
    <s:row r="11425" hidden="1" ht="1" customHeight="1">
      <s:c r="A11425" s="120" t="inlineStr"/>
      <s:c r="B11425" s="121" t="n"/>
      <s:c r="C11425" s="121" t="n"/>
      <s:c r="D11425" s="121" t="n"/>
      <s:c r="E11425" s="122" t="n"/>
    </s:row>
    <s:row r="11426" hidden="1" ht="1" customHeight="1">
      <s:c r="A11426" s="120" t="inlineStr"/>
      <s:c r="B11426" s="121" t="n"/>
      <s:c r="C11426" s="121" t="n"/>
      <s:c r="D11426" s="121" t="n"/>
      <s:c r="E11426" s="122" t="n"/>
    </s:row>
    <s:row r="11427" hidden="1" ht="1" customHeight="1">
      <s:c r="A11427" s="120" t="inlineStr"/>
      <s:c r="B11427" s="121" t="n"/>
      <s:c r="C11427" s="121" t="n"/>
      <s:c r="D11427" s="121" t="n"/>
      <s:c r="E11427" s="122" t="n"/>
    </s:row>
    <s:row r="11428" hidden="1" ht="1" customHeight="1">
      <s:c r="A11428" s="120" t="inlineStr"/>
      <s:c r="B11428" s="121" t="n"/>
      <s:c r="C11428" s="121" t="n"/>
      <s:c r="D11428" s="121" t="n"/>
      <s:c r="E11428" s="122" t="n"/>
    </s:row>
    <s:row r="11429" hidden="1" ht="1" customHeight="1">
      <s:c r="A11429" s="120" t="inlineStr"/>
      <s:c r="B11429" s="121" t="n"/>
      <s:c r="C11429" s="121" t="n"/>
      <s:c r="D11429" s="121" t="n"/>
      <s:c r="E11429" s="122" t="n"/>
    </s:row>
    <s:row r="11430" hidden="1" ht="1" customHeight="1">
      <s:c r="A11430" s="120" t="inlineStr"/>
      <s:c r="B11430" s="121" t="n"/>
      <s:c r="C11430" s="121" t="n"/>
      <s:c r="D11430" s="121" t="n"/>
      <s:c r="E11430" s="122" t="n"/>
    </s:row>
    <s:row r="11431" hidden="1" ht="1" customHeight="1">
      <s:c r="A11431" s="120" t="inlineStr"/>
      <s:c r="B11431" s="121" t="n"/>
      <s:c r="C11431" s="121" t="n"/>
      <s:c r="D11431" s="121" t="n"/>
      <s:c r="E11431" s="122" t="n"/>
    </s:row>
    <s:row r="11432" hidden="1" ht="1" customHeight="1">
      <s:c r="A11432" s="120" t="inlineStr"/>
      <s:c r="B11432" s="121" t="n"/>
      <s:c r="C11432" s="121" t="n"/>
      <s:c r="D11432" s="121" t="n"/>
      <s:c r="E11432" s="122" t="n"/>
    </s:row>
    <s:row r="11433" hidden="1" ht="1" customHeight="1">
      <s:c r="A11433" s="120" t="inlineStr"/>
      <s:c r="B11433" s="121" t="n"/>
      <s:c r="C11433" s="121" t="n"/>
      <s:c r="D11433" s="121" t="n"/>
      <s:c r="E11433" s="122" t="n"/>
    </s:row>
    <s:row r="11434" hidden="1" ht="1" customHeight="1">
      <s:c r="A11434" s="120" t="inlineStr"/>
      <s:c r="B11434" s="121" t="n"/>
      <s:c r="C11434" s="121" t="n"/>
      <s:c r="D11434" s="121" t="n"/>
      <s:c r="E11434" s="122" t="n"/>
    </s:row>
    <s:row r="11435" hidden="1" ht="1" customHeight="1">
      <s:c r="A11435" s="120" t="inlineStr"/>
      <s:c r="B11435" s="121" t="n"/>
      <s:c r="C11435" s="121" t="n"/>
      <s:c r="D11435" s="121" t="n"/>
      <s:c r="E11435" s="122" t="n"/>
    </s:row>
    <s:row r="11436" hidden="1" ht="1" customHeight="1">
      <s:c r="A11436" s="120" t="inlineStr"/>
      <s:c r="B11436" s="121" t="n"/>
      <s:c r="C11436" s="121" t="n"/>
      <s:c r="D11436" s="121" t="n"/>
      <s:c r="E11436" s="122" t="n"/>
    </s:row>
    <s:row r="11437" hidden="1" ht="1" customHeight="1">
      <s:c r="A11437" s="120" t="inlineStr"/>
      <s:c r="B11437" s="121" t="n"/>
      <s:c r="C11437" s="121" t="n"/>
      <s:c r="D11437" s="121" t="n"/>
      <s:c r="E11437" s="122" t="n"/>
    </s:row>
    <s:row r="11438" hidden="1" ht="1" customHeight="1">
      <s:c r="A11438" s="120" t="inlineStr"/>
      <s:c r="B11438" s="121" t="n"/>
      <s:c r="C11438" s="121" t="n"/>
      <s:c r="D11438" s="121" t="n"/>
      <s:c r="E11438" s="122" t="n"/>
    </s:row>
    <s:row r="11439" hidden="1" ht="1" customHeight="1">
      <s:c r="A11439" s="120" t="inlineStr"/>
      <s:c r="B11439" s="121" t="n"/>
      <s:c r="C11439" s="121" t="n"/>
      <s:c r="D11439" s="121" t="n"/>
      <s:c r="E11439" s="122" t="n"/>
    </s:row>
    <s:row r="11440" hidden="1" ht="1" customHeight="1">
      <s:c r="A11440" s="120" t="inlineStr"/>
      <s:c r="B11440" s="121" t="n"/>
      <s:c r="C11440" s="121" t="n"/>
      <s:c r="D11440" s="121" t="n"/>
      <s:c r="E11440" s="122" t="n"/>
    </s:row>
    <s:row r="11441" hidden="1" ht="1" customHeight="1">
      <s:c r="A11441" s="120" t="inlineStr"/>
      <s:c r="B11441" s="121" t="n"/>
      <s:c r="C11441" s="121" t="n"/>
      <s:c r="D11441" s="121" t="n"/>
      <s:c r="E11441" s="122" t="n"/>
    </s:row>
    <s:row r="11442" hidden="1" ht="1" customHeight="1">
      <s:c r="A11442" s="120" t="inlineStr"/>
      <s:c r="B11442" s="121" t="n"/>
      <s:c r="C11442" s="121" t="n"/>
      <s:c r="D11442" s="121" t="n"/>
      <s:c r="E11442" s="122" t="n"/>
    </s:row>
    <s:row r="11443" hidden="1" ht="1" customHeight="1">
      <s:c r="A11443" s="120" t="inlineStr"/>
      <s:c r="B11443" s="121" t="n"/>
      <s:c r="C11443" s="121" t="n"/>
      <s:c r="D11443" s="121" t="n"/>
      <s:c r="E11443" s="122" t="n"/>
    </s:row>
    <s:row r="11444" hidden="1" ht="1" customHeight="1">
      <s:c r="A11444" s="120" t="inlineStr"/>
      <s:c r="B11444" s="121" t="n"/>
      <s:c r="C11444" s="121" t="n"/>
      <s:c r="D11444" s="121" t="n"/>
      <s:c r="E11444" s="122" t="n"/>
    </s:row>
    <s:row r="11445" hidden="1" ht="1" customHeight="1">
      <s:c r="A11445" s="120" t="inlineStr"/>
      <s:c r="B11445" s="121" t="n"/>
      <s:c r="C11445" s="121" t="n"/>
      <s:c r="D11445" s="121" t="n"/>
      <s:c r="E11445" s="122" t="n"/>
    </s:row>
    <s:row r="11446" hidden="1" ht="1" customHeight="1">
      <s:c r="A11446" s="120" t="inlineStr"/>
      <s:c r="B11446" s="121" t="n"/>
      <s:c r="C11446" s="121" t="n"/>
      <s:c r="D11446" s="121" t="n"/>
      <s:c r="E11446" s="122" t="n"/>
    </s:row>
    <s:row r="11447" hidden="1" ht="1" customHeight="1">
      <s:c r="A11447" s="120" t="inlineStr"/>
      <s:c r="B11447" s="121" t="n"/>
      <s:c r="C11447" s="121" t="n"/>
      <s:c r="D11447" s="121" t="n"/>
      <s:c r="E11447" s="122" t="n"/>
    </s:row>
    <s:row r="11448" hidden="1" ht="1" customHeight="1">
      <s:c r="A11448" s="120" t="inlineStr"/>
      <s:c r="B11448" s="121" t="n"/>
      <s:c r="C11448" s="121" t="n"/>
      <s:c r="D11448" s="121" t="n"/>
      <s:c r="E11448" s="122" t="n"/>
    </s:row>
    <s:row r="11449" hidden="1" ht="1" customHeight="1">
      <s:c r="A11449" s="120" t="inlineStr"/>
      <s:c r="B11449" s="121" t="n"/>
      <s:c r="C11449" s="121" t="n"/>
      <s:c r="D11449" s="121" t="n"/>
      <s:c r="E11449" s="122" t="n"/>
    </s:row>
    <s:row r="11450" hidden="1" ht="1" customHeight="1">
      <s:c r="A11450" s="120" t="inlineStr"/>
      <s:c r="B11450" s="121" t="n"/>
      <s:c r="C11450" s="121" t="n"/>
      <s:c r="D11450" s="121" t="n"/>
      <s:c r="E11450" s="122" t="n"/>
    </s:row>
    <s:row r="11451" hidden="1" ht="1" customHeight="1">
      <s:c r="A11451" s="120" t="inlineStr"/>
      <s:c r="B11451" s="121" t="n"/>
      <s:c r="C11451" s="121" t="n"/>
      <s:c r="D11451" s="121" t="n"/>
      <s:c r="E11451" s="122" t="n"/>
    </s:row>
    <s:row r="11452" hidden="1" ht="1" customHeight="1">
      <s:c r="A11452" s="120" t="inlineStr"/>
      <s:c r="B11452" s="121" t="n"/>
      <s:c r="C11452" s="121" t="n"/>
      <s:c r="D11452" s="121" t="n"/>
      <s:c r="E11452" s="122" t="n"/>
    </s:row>
    <s:row r="11453" hidden="1" ht="1" customHeight="1">
      <s:c r="A11453" s="120" t="inlineStr"/>
      <s:c r="B11453" s="121" t="n"/>
      <s:c r="C11453" s="121" t="n"/>
      <s:c r="D11453" s="121" t="n"/>
      <s:c r="E11453" s="122" t="n"/>
    </s:row>
    <s:row r="11454" hidden="1" ht="1" customHeight="1">
      <s:c r="A11454" s="120" t="inlineStr"/>
      <s:c r="B11454" s="121" t="n"/>
      <s:c r="C11454" s="121" t="n"/>
      <s:c r="D11454" s="121" t="n"/>
      <s:c r="E11454" s="122" t="n"/>
    </s:row>
    <s:row r="11455" hidden="1" ht="1" customHeight="1">
      <s:c r="A11455" s="120" t="inlineStr"/>
      <s:c r="B11455" s="121" t="n"/>
      <s:c r="C11455" s="121" t="n"/>
      <s:c r="D11455" s="121" t="n"/>
      <s:c r="E11455" s="122" t="n"/>
    </s:row>
    <s:row r="11456" hidden="1" ht="1" customHeight="1">
      <s:c r="A11456" s="120" t="inlineStr"/>
      <s:c r="B11456" s="121" t="n"/>
      <s:c r="C11456" s="121" t="n"/>
      <s:c r="D11456" s="121" t="n"/>
      <s:c r="E11456" s="122" t="n"/>
    </s:row>
    <s:row r="11457" hidden="1" ht="1" customHeight="1">
      <s:c r="A11457" s="120" t="inlineStr"/>
      <s:c r="B11457" s="121" t="n"/>
      <s:c r="C11457" s="121" t="n"/>
      <s:c r="D11457" s="121" t="n"/>
      <s:c r="E11457" s="122" t="n"/>
    </s:row>
    <s:row r="11458" hidden="1" ht="1" customHeight="1">
      <s:c r="A11458" s="120" t="inlineStr"/>
      <s:c r="B11458" s="121" t="n"/>
      <s:c r="C11458" s="121" t="n"/>
      <s:c r="D11458" s="121" t="n"/>
      <s:c r="E11458" s="122" t="n"/>
    </s:row>
    <s:row r="11459" hidden="1" ht="1" customHeight="1">
      <s:c r="A11459" s="120" t="inlineStr"/>
      <s:c r="B11459" s="121" t="n"/>
      <s:c r="C11459" s="121" t="n"/>
      <s:c r="D11459" s="121" t="n"/>
      <s:c r="E11459" s="122" t="n"/>
    </s:row>
    <s:row r="11460" hidden="1" ht="1" customHeight="1">
      <s:c r="A11460" s="120" t="inlineStr"/>
      <s:c r="B11460" s="121" t="n"/>
      <s:c r="C11460" s="121" t="n"/>
      <s:c r="D11460" s="121" t="n"/>
      <s:c r="E11460" s="122" t="n"/>
    </s:row>
    <s:row r="11461" hidden="1" ht="1" customHeight="1">
      <s:c r="A11461" s="83" t="inlineStr">
        <s:is>
          <s:t>PASS</s:t>
        </s:is>
      </s:c>
      <s:c r="B11461" s="83">
        <s:f>SUM(IF(EXACT('Kiểm thử'!E11411,"Đạt"),1,0))</s:f>
        <s:v/>
      </s:c>
      <s:c r="C11461" s="19" t="n"/>
      <s:c r="D11461" s="19" t="n"/>
      <s:c r="E11461" s="19" t="n"/>
    </s:row>
    <s:row r="11462" hidden="1" ht="1" customHeight="1">
      <s:c r="A11462" s="83" t="inlineStr">
        <s:is>
          <s:t>FAIL</s:t>
        </s:is>
      </s:c>
      <s:c r="B11462" s="83">
        <s:f>SUM(IF(EXACT('Kiểm thử'!E11411,"Không đạt"),1,0))</s:f>
        <s:v/>
      </s:c>
      <s:c r="C11462" s="19" t="n"/>
      <s:c r="D11462" s="19" t="n"/>
      <s:c r="E11462" s="19" t="n"/>
    </s:row>
    <s:row r="11463" hidden="1" ht="1" customHeight="1">
      <s:c r="A11463" s="83" t="inlineStr">
        <s:is>
          <s:t>BLOCKED</s:t>
        </s:is>
      </s:c>
      <s:c r="B11463" s="83">
        <s:f>SUM(IF(EXACT('Kiểm thử'!E11411,"Bị chặn"),1,0))</s:f>
        <s:v/>
      </s:c>
      <s:c r="C11463" s="19" t="n"/>
      <s:c r="D11463" s="19" t="n"/>
      <s:c r="E11463" s="19" t="n"/>
    </s:row>
    <s:row r="11464" hidden="1" ht="1" customHeight="1">
      <s:c r="A11464" s="83" t="inlineStr">
        <s:is>
          <s:t>SKIPPED</s:t>
        </s:is>
      </s:c>
      <s:c r="B11464" s="83">
        <s:f>SUM(IF(EXACT('Kiểm thử'!E11411,"Không thực hiện"),1,0))</s:f>
        <s:v/>
      </s:c>
      <s:c r="C11464" s="19" t="n"/>
      <s:c r="D11464" s="19" t="n"/>
      <s:c r="E11464" s="19" t="n"/>
    </s:row>
    <s:row r="11465" hidden="1" ht="1" customHeight="1">
      <s:c r="A11465" s="83" t="inlineStr">
        <s:is>
          <s:t>NOT RUN</s:t>
        </s:is>
      </s:c>
      <s:c r="B11465" s="83">
        <s:f>SUM(IF(EXACT('Kiểm thử'!E11411,"Chưa thực hiện"),1,0))</s:f>
        <s:v/>
      </s:c>
      <s:c r="C11465" s="19" t="n"/>
      <s:c r="D11465" s="19" t="n"/>
      <s:c r="E11465" s="19" t="n"/>
    </s:row>
    <s:row r="11466" hidden="1" ht="6" customHeight="1">
      <s:c r="A11466" s="83" t="inlineStr"/>
      <s:c r="B11466" s="19" t="n"/>
      <s:c r="C11466" s="19" t="n"/>
      <s:c r="D11466" s="19" t="n"/>
      <s:c r="E11466" s="19" t="n"/>
    </s:row>
    <s:row r="11467" ht="28" customHeight="1">
      <s:c r="A11467" s="108" t="inlineStr">
        <s:is>
          <s:t>TC-RS-BR-010 — Chưa có kết quả tổng hợp → Chưa xét được, không thay bằng 0 hay nhóm khác</s:t>
        </s:is>
      </s:c>
      <s:c r="B11467" s="111" t="n"/>
      <s:c r="C11467" s="111" t="n"/>
      <s:c r="D11467" s="111" t="n"/>
      <s:c r="E11467" s="111" t="n"/>
    </s:row>
    <s:row r="11468" ht="20" customHeight="1">
      <s:c r="A11468" s="112" t="inlineStr">
        <s:is>
          <s:t>Kết quả tình huống</s:t>
        </s:is>
      </s:c>
      <s:c r="B11468" s="113">
        <s:f>IF(SUM(IF(EXACT('Kiểm thử'!E11476,"Không đạt"),1,0))&gt;0,"Không đạt",IF(SUM(IF(EXACT('Kiểm thử'!E11476,"Đạt"),1,0))=1,"Đạt",IF(SUM(IF(EXACT('Kiểm thử'!E11476,"Không thực hiện"),1,0))=1,"Không thực hiện",IF(SUM(IF(EXACT('Kiểm thử'!E11476,"Bị chặn"),1,0))&gt;0,"Bị chặn",IF(SUM(IF(EXACT('Kiểm thử'!E11476,"Chưa thực hiện"),1,0))=1,"Chưa thực hiện","Đang thực hiện")))))</s:f>
        <s:v/>
      </s:c>
      <s:c r="C11468" s="114" t="n"/>
      <s:c r="D11468" s="114" t="n"/>
      <s:c r="E11468" s="114" t="n"/>
    </s:row>
    <s:row r="11469" ht="20" customHeight="1">
      <s:c r="A11469" s="112" t="inlineStr">
        <s:is>
          <s:t>Màn hình / chức năng</s:t>
        </s:is>
      </s:c>
      <s:c r="B11469" s="113" t="inlineStr">
        <s:is>
          <s:t>Nguồn tổng hợp</s:t>
        </s:is>
      </s:c>
      <s:c r="C11469" s="28" t="n"/>
      <s:c r="D11469" s="28" t="n"/>
      <s:c r="E11469" s="28" t="n"/>
    </s:row>
    <s:row r="11470" ht="20" customHeight="1">
      <s:c r="A11470" s="112" t="inlineStr">
        <s:is>
          <s:t>Cấu hình</s:t>
        </s:is>
      </s:c>
      <s:c r="B11470" s="113" t="inlineStr">
        <s:is>
          <s:t>• Công thức [A×0.5] với nguồn nguồn chưa có kết quả tổng hợp (chưa tổng hợp). Ô trước đó Đỏ.</s:t>
        </s:is>
      </s:c>
      <s:c r="C11470" s="28" t="n"/>
      <s:c r="D11470" s="28" t="n"/>
      <s:c r="E11470" s="28" t="n"/>
    </s:row>
    <s:row r="11471" ht="20" customHeight="1">
      <s:c r="A11471" s="112" t="inlineStr">
        <s:is>
          <s:t>Dữ liệu test</s:t>
        </s:is>
      </s:c>
      <s:c r="B11471" s="113" t="inlineStr">
        <s:is>
          <s:t>• Nguồn chưa có kết quả tổng hợp</s:t>
        </s:is>
      </s:c>
      <s:c r="C11471" s="28" t="n"/>
      <s:c r="D11471" s="28" t="n"/>
      <s:c r="E11471" s="28" t="n"/>
    </s:row>
    <s:row r="11472" ht="20" customHeight="1">
      <s:c r="A11472" s="112" t="inlineStr">
        <s:is>
          <s:t>Bước 1</s:t>
        </s:is>
      </s:c>
      <s:c r="B11472" s="113" t="inlineStr">
        <s:is>
          <s:t>Chạy nút cam.</s:t>
        </s:is>
      </s:c>
      <s:c r="C11472" s="28" t="n"/>
      <s:c r="D11472" s="28" t="n"/>
      <s:c r="E11472" s="28" t="n"/>
    </s:row>
    <s:row r="11473" ht="20" customHeight="1">
      <s:c r="A11473" s="112" t="inlineStr">
        <s:is>
          <s:t>Bước 2</s:t>
        </s:is>
      </s:c>
      <s:c r="B11473" s="113" t="inlineStr">
        <s:is>
          <s:t>Xem kết quả.</s:t>
        </s:is>
      </s:c>
      <s:c r="C11473" s="28" t="n"/>
      <s:c r="D11473" s="28" t="n"/>
      <s:c r="E11473" s="28" t="n"/>
    </s:row>
    <s:row r="11474" ht="28" customHeight="1">
      <s:c r="A11474" s="115" t="inlineStr">
        <s:is>
          <s:t>Trường hợp</s:t>
        </s:is>
      </s:c>
      <s:c r="B11474" s="115" t="inlineStr">
        <s:is>
          <s:t>Dữ liệu / thao tác riêng</s:t>
        </s:is>
      </s:c>
      <s:c r="C11474" s="115" t="inlineStr">
        <s:is>
          <s:t>Kết quả mong đợi</s:t>
        </s:is>
      </s:c>
      <s:c r="D11474" s="115" t="inlineStr">
        <s:is>
          <s:t>Kết quả thực tế</s:t>
        </s:is>
      </s:c>
      <s:c r="E11474" s="115" t="inlineStr">
        <s:is>
          <s:t>Đánh giá</s:t>
        </s:is>
      </s:c>
    </s:row>
    <s:row r="11475" ht="3" customHeight="1">
      <s:c r="A11475" s="102" t="inlineStr"/>
      <s:c r="B11475" s="99" t="n"/>
      <s:c r="C11475" s="99" t="n"/>
      <s:c r="D11475" s="116" t="n"/>
      <s:c r="E11475" s="116" t="n"/>
    </s:row>
    <s:row r="11476" ht="62" customHeight="1">
      <s:c r="A11476" s="83" t="inlineStr">
        <s:is>
          <s:t>Trường hợp cơ bản (Base)</s:t>
        </s:is>
      </s:c>
      <s:c r="B11476" s="83" t="inlineStr">
        <s:is>
          <s:t>Toàn bộ tình huống: Thực hiện đủ các bước chung theo thứ tự; kiểm cả đối tượng đích và đối chứng cùng fixture, không bỏ bước.</s:t>
        </s:is>
      </s:c>
      <s:c r="C11476" s="83" t="inlineStr">
        <s:is>
          <s:r>
            <s:t>Chưa xét được; [A] không bị coi là 0 (nếu coi 0 thì [</s:t>
          </s:r>
          <s:r>
            <s:rPr>
              <s:b val="1"/>
            </s:rPr>
            <s:t>T=0</s:t>
          </s:r>
          <s:r>
            <s:t xml:space="preserve">], mọi điểm dương </s:t>
          </s:r>
          <s:r>
            <s:rPr>
              <s:b val="1"/>
            </s:rPr>
            <s:t>Không đỏ</s:t>
          </s:r>
          <s:r>
            <s:t>); không dùng nhóm khác; ngừng dấu đỏ cũ.</s:t>
          </s:r>
        </s:is>
      </s:c>
      <s:c r="D11476" s="117" t="inlineStr"/>
      <s:c r="E11476" s="118" t="inlineStr">
        <s:is>
          <s:t>Chưa thực hiện</s:t>
        </s:is>
      </s:c>
    </s:row>
    <s:row r="11477" ht="20" customHeight="1">
      <s:c r="A11477" s="119" t="inlineStr">
        <s:is>
          <s:t>Ảnh minh chứng — Chưa có ảnh</s:t>
        </s:is>
      </s:c>
      <s:c r="B11477" s="19" t="n"/>
      <s:c r="C11477" s="19" t="n"/>
      <s:c r="D11477" s="19" t="n"/>
      <s:c r="E11477" s="19" t="n"/>
    </s:row>
    <s:row r="11478" hidden="1" ht="1" customHeight="1">
      <s:c r="A11478" s="120" t="inlineStr"/>
      <s:c r="B11478" s="121" t="n"/>
      <s:c r="C11478" s="121" t="n"/>
      <s:c r="D11478" s="121" t="n"/>
      <s:c r="E11478" s="122" t="n"/>
    </s:row>
    <s:row r="11479" hidden="1" ht="1" customHeight="1">
      <s:c r="A11479" s="120" t="inlineStr"/>
      <s:c r="B11479" s="121" t="n"/>
      <s:c r="C11479" s="121" t="n"/>
      <s:c r="D11479" s="121" t="n"/>
      <s:c r="E11479" s="122" t="n"/>
    </s:row>
    <s:row r="11480" hidden="1" ht="1" customHeight="1">
      <s:c r="A11480" s="120" t="inlineStr"/>
      <s:c r="B11480" s="121" t="n"/>
      <s:c r="C11480" s="121" t="n"/>
      <s:c r="D11480" s="121" t="n"/>
      <s:c r="E11480" s="122" t="n"/>
    </s:row>
    <s:row r="11481" hidden="1" ht="1" customHeight="1">
      <s:c r="A11481" s="120" t="inlineStr"/>
      <s:c r="B11481" s="121" t="n"/>
      <s:c r="C11481" s="121" t="n"/>
      <s:c r="D11481" s="121" t="n"/>
      <s:c r="E11481" s="122" t="n"/>
    </s:row>
    <s:row r="11482" hidden="1" ht="1" customHeight="1">
      <s:c r="A11482" s="120" t="inlineStr"/>
      <s:c r="B11482" s="121" t="n"/>
      <s:c r="C11482" s="121" t="n"/>
      <s:c r="D11482" s="121" t="n"/>
      <s:c r="E11482" s="122" t="n"/>
    </s:row>
    <s:row r="11483" hidden="1" ht="1" customHeight="1">
      <s:c r="A11483" s="120" t="inlineStr"/>
      <s:c r="B11483" s="121" t="n"/>
      <s:c r="C11483" s="121" t="n"/>
      <s:c r="D11483" s="121" t="n"/>
      <s:c r="E11483" s="122" t="n"/>
    </s:row>
    <s:row r="11484" hidden="1" ht="1" customHeight="1">
      <s:c r="A11484" s="120" t="inlineStr"/>
      <s:c r="B11484" s="121" t="n"/>
      <s:c r="C11484" s="121" t="n"/>
      <s:c r="D11484" s="121" t="n"/>
      <s:c r="E11484" s="122" t="n"/>
    </s:row>
    <s:row r="11485" hidden="1" ht="1" customHeight="1">
      <s:c r="A11485" s="120" t="inlineStr"/>
      <s:c r="B11485" s="121" t="n"/>
      <s:c r="C11485" s="121" t="n"/>
      <s:c r="D11485" s="121" t="n"/>
      <s:c r="E11485" s="122" t="n"/>
    </s:row>
    <s:row r="11486" hidden="1" ht="1" customHeight="1">
      <s:c r="A11486" s="120" t="inlineStr"/>
      <s:c r="B11486" s="121" t="n"/>
      <s:c r="C11486" s="121" t="n"/>
      <s:c r="D11486" s="121" t="n"/>
      <s:c r="E11486" s="122" t="n"/>
    </s:row>
    <s:row r="11487" hidden="1" ht="1" customHeight="1">
      <s:c r="A11487" s="120" t="inlineStr"/>
      <s:c r="B11487" s="121" t="n"/>
      <s:c r="C11487" s="121" t="n"/>
      <s:c r="D11487" s="121" t="n"/>
      <s:c r="E11487" s="122" t="n"/>
    </s:row>
    <s:row r="11488" hidden="1" ht="1" customHeight="1">
      <s:c r="A11488" s="120" t="inlineStr"/>
      <s:c r="B11488" s="121" t="n"/>
      <s:c r="C11488" s="121" t="n"/>
      <s:c r="D11488" s="121" t="n"/>
      <s:c r="E11488" s="122" t="n"/>
    </s:row>
    <s:row r="11489" hidden="1" ht="1" customHeight="1">
      <s:c r="A11489" s="120" t="inlineStr"/>
      <s:c r="B11489" s="121" t="n"/>
      <s:c r="C11489" s="121" t="n"/>
      <s:c r="D11489" s="121" t="n"/>
      <s:c r="E11489" s="122" t="n"/>
    </s:row>
    <s:row r="11490" hidden="1" ht="1" customHeight="1">
      <s:c r="A11490" s="120" t="inlineStr"/>
      <s:c r="B11490" s="121" t="n"/>
      <s:c r="C11490" s="121" t="n"/>
      <s:c r="D11490" s="121" t="n"/>
      <s:c r="E11490" s="122" t="n"/>
    </s:row>
    <s:row r="11491" hidden="1" ht="1" customHeight="1">
      <s:c r="A11491" s="120" t="inlineStr"/>
      <s:c r="B11491" s="121" t="n"/>
      <s:c r="C11491" s="121" t="n"/>
      <s:c r="D11491" s="121" t="n"/>
      <s:c r="E11491" s="122" t="n"/>
    </s:row>
    <s:row r="11492" hidden="1" ht="1" customHeight="1">
      <s:c r="A11492" s="120" t="inlineStr"/>
      <s:c r="B11492" s="121" t="n"/>
      <s:c r="C11492" s="121" t="n"/>
      <s:c r="D11492" s="121" t="n"/>
      <s:c r="E11492" s="122" t="n"/>
    </s:row>
    <s:row r="11493" hidden="1" ht="1" customHeight="1">
      <s:c r="A11493" s="120" t="inlineStr"/>
      <s:c r="B11493" s="121" t="n"/>
      <s:c r="C11493" s="121" t="n"/>
      <s:c r="D11493" s="121" t="n"/>
      <s:c r="E11493" s="122" t="n"/>
    </s:row>
    <s:row r="11494" hidden="1" ht="1" customHeight="1">
      <s:c r="A11494" s="120" t="inlineStr"/>
      <s:c r="B11494" s="121" t="n"/>
      <s:c r="C11494" s="121" t="n"/>
      <s:c r="D11494" s="121" t="n"/>
      <s:c r="E11494" s="122" t="n"/>
    </s:row>
    <s:row r="11495" hidden="1" ht="1" customHeight="1">
      <s:c r="A11495" s="120" t="inlineStr"/>
      <s:c r="B11495" s="121" t="n"/>
      <s:c r="C11495" s="121" t="n"/>
      <s:c r="D11495" s="121" t="n"/>
      <s:c r="E11495" s="122" t="n"/>
    </s:row>
    <s:row r="11496" hidden="1" ht="1" customHeight="1">
      <s:c r="A11496" s="120" t="inlineStr"/>
      <s:c r="B11496" s="121" t="n"/>
      <s:c r="C11496" s="121" t="n"/>
      <s:c r="D11496" s="121" t="n"/>
      <s:c r="E11496" s="122" t="n"/>
    </s:row>
    <s:row r="11497" hidden="1" ht="1" customHeight="1">
      <s:c r="A11497" s="120" t="inlineStr"/>
      <s:c r="B11497" s="121" t="n"/>
      <s:c r="C11497" s="121" t="n"/>
      <s:c r="D11497" s="121" t="n"/>
      <s:c r="E11497" s="122" t="n"/>
    </s:row>
    <s:row r="11498" hidden="1" ht="1" customHeight="1">
      <s:c r="A11498" s="120" t="inlineStr"/>
      <s:c r="B11498" s="121" t="n"/>
      <s:c r="C11498" s="121" t="n"/>
      <s:c r="D11498" s="121" t="n"/>
      <s:c r="E11498" s="122" t="n"/>
    </s:row>
    <s:row r="11499" hidden="1" ht="1" customHeight="1">
      <s:c r="A11499" s="120" t="inlineStr"/>
      <s:c r="B11499" s="121" t="n"/>
      <s:c r="C11499" s="121" t="n"/>
      <s:c r="D11499" s="121" t="n"/>
      <s:c r="E11499" s="122" t="n"/>
    </s:row>
    <s:row r="11500" hidden="1" ht="1" customHeight="1">
      <s:c r="A11500" s="120" t="inlineStr"/>
      <s:c r="B11500" s="121" t="n"/>
      <s:c r="C11500" s="121" t="n"/>
      <s:c r="D11500" s="121" t="n"/>
      <s:c r="E11500" s="122" t="n"/>
    </s:row>
    <s:row r="11501" hidden="1" ht="1" customHeight="1">
      <s:c r="A11501" s="120" t="inlineStr"/>
      <s:c r="B11501" s="121" t="n"/>
      <s:c r="C11501" s="121" t="n"/>
      <s:c r="D11501" s="121" t="n"/>
      <s:c r="E11501" s="122" t="n"/>
    </s:row>
    <s:row r="11502" hidden="1" ht="1" customHeight="1">
      <s:c r="A11502" s="120" t="inlineStr"/>
      <s:c r="B11502" s="121" t="n"/>
      <s:c r="C11502" s="121" t="n"/>
      <s:c r="D11502" s="121" t="n"/>
      <s:c r="E11502" s="122" t="n"/>
    </s:row>
    <s:row r="11503" hidden="1" ht="1" customHeight="1">
      <s:c r="A11503" s="120" t="inlineStr"/>
      <s:c r="B11503" s="121" t="n"/>
      <s:c r="C11503" s="121" t="n"/>
      <s:c r="D11503" s="121" t="n"/>
      <s:c r="E11503" s="122" t="n"/>
    </s:row>
    <s:row r="11504" hidden="1" ht="1" customHeight="1">
      <s:c r="A11504" s="120" t="inlineStr"/>
      <s:c r="B11504" s="121" t="n"/>
      <s:c r="C11504" s="121" t="n"/>
      <s:c r="D11504" s="121" t="n"/>
      <s:c r="E11504" s="122" t="n"/>
    </s:row>
    <s:row r="11505" hidden="1" ht="1" customHeight="1">
      <s:c r="A11505" s="120" t="inlineStr"/>
      <s:c r="B11505" s="121" t="n"/>
      <s:c r="C11505" s="121" t="n"/>
      <s:c r="D11505" s="121" t="n"/>
      <s:c r="E11505" s="122" t="n"/>
    </s:row>
    <s:row r="11506" hidden="1" ht="1" customHeight="1">
      <s:c r="A11506" s="120" t="inlineStr"/>
      <s:c r="B11506" s="121" t="n"/>
      <s:c r="C11506" s="121" t="n"/>
      <s:c r="D11506" s="121" t="n"/>
      <s:c r="E11506" s="122" t="n"/>
    </s:row>
    <s:row r="11507" hidden="1" ht="1" customHeight="1">
      <s:c r="A11507" s="120" t="inlineStr"/>
      <s:c r="B11507" s="121" t="n"/>
      <s:c r="C11507" s="121" t="n"/>
      <s:c r="D11507" s="121" t="n"/>
      <s:c r="E11507" s="122" t="n"/>
    </s:row>
    <s:row r="11508" hidden="1" ht="1" customHeight="1">
      <s:c r="A11508" s="120" t="inlineStr"/>
      <s:c r="B11508" s="121" t="n"/>
      <s:c r="C11508" s="121" t="n"/>
      <s:c r="D11508" s="121" t="n"/>
      <s:c r="E11508" s="122" t="n"/>
    </s:row>
    <s:row r="11509" hidden="1" ht="1" customHeight="1">
      <s:c r="A11509" s="120" t="inlineStr"/>
      <s:c r="B11509" s="121" t="n"/>
      <s:c r="C11509" s="121" t="n"/>
      <s:c r="D11509" s="121" t="n"/>
      <s:c r="E11509" s="122" t="n"/>
    </s:row>
    <s:row r="11510" hidden="1" ht="1" customHeight="1">
      <s:c r="A11510" s="120" t="inlineStr"/>
      <s:c r="B11510" s="121" t="n"/>
      <s:c r="C11510" s="121" t="n"/>
      <s:c r="D11510" s="121" t="n"/>
      <s:c r="E11510" s="122" t="n"/>
    </s:row>
    <s:row r="11511" hidden="1" ht="1" customHeight="1">
      <s:c r="A11511" s="120" t="inlineStr"/>
      <s:c r="B11511" s="121" t="n"/>
      <s:c r="C11511" s="121" t="n"/>
      <s:c r="D11511" s="121" t="n"/>
      <s:c r="E11511" s="122" t="n"/>
    </s:row>
    <s:row r="11512" hidden="1" ht="1" customHeight="1">
      <s:c r="A11512" s="120" t="inlineStr"/>
      <s:c r="B11512" s="121" t="n"/>
      <s:c r="C11512" s="121" t="n"/>
      <s:c r="D11512" s="121" t="n"/>
      <s:c r="E11512" s="122" t="n"/>
    </s:row>
    <s:row r="11513" hidden="1" ht="1" customHeight="1">
      <s:c r="A11513" s="120" t="inlineStr"/>
      <s:c r="B11513" s="121" t="n"/>
      <s:c r="C11513" s="121" t="n"/>
      <s:c r="D11513" s="121" t="n"/>
      <s:c r="E11513" s="122" t="n"/>
    </s:row>
    <s:row r="11514" hidden="1" ht="1" customHeight="1">
      <s:c r="A11514" s="120" t="inlineStr"/>
      <s:c r="B11514" s="121" t="n"/>
      <s:c r="C11514" s="121" t="n"/>
      <s:c r="D11514" s="121" t="n"/>
      <s:c r="E11514" s="122" t="n"/>
    </s:row>
    <s:row r="11515" hidden="1" ht="1" customHeight="1">
      <s:c r="A11515" s="120" t="inlineStr"/>
      <s:c r="B11515" s="121" t="n"/>
      <s:c r="C11515" s="121" t="n"/>
      <s:c r="D11515" s="121" t="n"/>
      <s:c r="E11515" s="122" t="n"/>
    </s:row>
    <s:row r="11516" hidden="1" ht="1" customHeight="1">
      <s:c r="A11516" s="120" t="inlineStr"/>
      <s:c r="B11516" s="121" t="n"/>
      <s:c r="C11516" s="121" t="n"/>
      <s:c r="D11516" s="121" t="n"/>
      <s:c r="E11516" s="122" t="n"/>
    </s:row>
    <s:row r="11517" hidden="1" ht="1" customHeight="1">
      <s:c r="A11517" s="120" t="inlineStr"/>
      <s:c r="B11517" s="121" t="n"/>
      <s:c r="C11517" s="121" t="n"/>
      <s:c r="D11517" s="121" t="n"/>
      <s:c r="E11517" s="122" t="n"/>
    </s:row>
    <s:row r="11518" hidden="1" ht="1" customHeight="1">
      <s:c r="A11518" s="120" t="inlineStr"/>
      <s:c r="B11518" s="121" t="n"/>
      <s:c r="C11518" s="121" t="n"/>
      <s:c r="D11518" s="121" t="n"/>
      <s:c r="E11518" s="122" t="n"/>
    </s:row>
    <s:row r="11519" hidden="1" ht="1" customHeight="1">
      <s:c r="A11519" s="120" t="inlineStr"/>
      <s:c r="B11519" s="121" t="n"/>
      <s:c r="C11519" s="121" t="n"/>
      <s:c r="D11519" s="121" t="n"/>
      <s:c r="E11519" s="122" t="n"/>
    </s:row>
    <s:row r="11520" hidden="1" ht="1" customHeight="1">
      <s:c r="A11520" s="120" t="inlineStr"/>
      <s:c r="B11520" s="121" t="n"/>
      <s:c r="C11520" s="121" t="n"/>
      <s:c r="D11520" s="121" t="n"/>
      <s:c r="E11520" s="122" t="n"/>
    </s:row>
    <s:row r="11521" hidden="1" ht="1" customHeight="1">
      <s:c r="A11521" s="120" t="inlineStr"/>
      <s:c r="B11521" s="121" t="n"/>
      <s:c r="C11521" s="121" t="n"/>
      <s:c r="D11521" s="121" t="n"/>
      <s:c r="E11521" s="122" t="n"/>
    </s:row>
    <s:row r="11522" hidden="1" ht="1" customHeight="1">
      <s:c r="A11522" s="120" t="inlineStr"/>
      <s:c r="B11522" s="121" t="n"/>
      <s:c r="C11522" s="121" t="n"/>
      <s:c r="D11522" s="121" t="n"/>
      <s:c r="E11522" s="122" t="n"/>
    </s:row>
    <s:row r="11523" hidden="1" ht="1" customHeight="1">
      <s:c r="A11523" s="120" t="inlineStr"/>
      <s:c r="B11523" s="121" t="n"/>
      <s:c r="C11523" s="121" t="n"/>
      <s:c r="D11523" s="121" t="n"/>
      <s:c r="E11523" s="122" t="n"/>
    </s:row>
    <s:row r="11524" hidden="1" ht="1" customHeight="1">
      <s:c r="A11524" s="120" t="inlineStr"/>
      <s:c r="B11524" s="121" t="n"/>
      <s:c r="C11524" s="121" t="n"/>
      <s:c r="D11524" s="121" t="n"/>
      <s:c r="E11524" s="122" t="n"/>
    </s:row>
    <s:row r="11525" hidden="1" ht="1" customHeight="1">
      <s:c r="A11525" s="120" t="inlineStr"/>
      <s:c r="B11525" s="121" t="n"/>
      <s:c r="C11525" s="121" t="n"/>
      <s:c r="D11525" s="121" t="n"/>
      <s:c r="E11525" s="122" t="n"/>
    </s:row>
    <s:row r="11526" hidden="1" ht="1" customHeight="1">
      <s:c r="A11526" s="83" t="inlineStr">
        <s:is>
          <s:t>PASS</s:t>
        </s:is>
      </s:c>
      <s:c r="B11526" s="83">
        <s:f>SUM(IF(EXACT('Kiểm thử'!E11476,"Đạt"),1,0))</s:f>
        <s:v/>
      </s:c>
      <s:c r="C11526" s="19" t="n"/>
      <s:c r="D11526" s="19" t="n"/>
      <s:c r="E11526" s="19" t="n"/>
    </s:row>
    <s:row r="11527" hidden="1" ht="1" customHeight="1">
      <s:c r="A11527" s="83" t="inlineStr">
        <s:is>
          <s:t>FAIL</s:t>
        </s:is>
      </s:c>
      <s:c r="B11527" s="83">
        <s:f>SUM(IF(EXACT('Kiểm thử'!E11476,"Không đạt"),1,0))</s:f>
        <s:v/>
      </s:c>
      <s:c r="C11527" s="19" t="n"/>
      <s:c r="D11527" s="19" t="n"/>
      <s:c r="E11527" s="19" t="n"/>
    </s:row>
    <s:row r="11528" hidden="1" ht="1" customHeight="1">
      <s:c r="A11528" s="83" t="inlineStr">
        <s:is>
          <s:t>BLOCKED</s:t>
        </s:is>
      </s:c>
      <s:c r="B11528" s="83">
        <s:f>SUM(IF(EXACT('Kiểm thử'!E11476,"Bị chặn"),1,0))</s:f>
        <s:v/>
      </s:c>
      <s:c r="C11528" s="19" t="n"/>
      <s:c r="D11528" s="19" t="n"/>
      <s:c r="E11528" s="19" t="n"/>
    </s:row>
    <s:row r="11529" hidden="1" ht="1" customHeight="1">
      <s:c r="A11529" s="83" t="inlineStr">
        <s:is>
          <s:t>SKIPPED</s:t>
        </s:is>
      </s:c>
      <s:c r="B11529" s="83">
        <s:f>SUM(IF(EXACT('Kiểm thử'!E11476,"Không thực hiện"),1,0))</s:f>
        <s:v/>
      </s:c>
      <s:c r="C11529" s="19" t="n"/>
      <s:c r="D11529" s="19" t="n"/>
      <s:c r="E11529" s="19" t="n"/>
    </s:row>
    <s:row r="11530" hidden="1" ht="1" customHeight="1">
      <s:c r="A11530" s="83" t="inlineStr">
        <s:is>
          <s:t>NOT RUN</s:t>
        </s:is>
      </s:c>
      <s:c r="B11530" s="83">
        <s:f>SUM(IF(EXACT('Kiểm thử'!E11476,"Chưa thực hiện"),1,0))</s:f>
        <s:v/>
      </s:c>
      <s:c r="C11530" s="19" t="n"/>
      <s:c r="D11530" s="19" t="n"/>
      <s:c r="E11530" s="19" t="n"/>
    </s:row>
    <s:row r="11531" hidden="1" ht="6" customHeight="1">
      <s:c r="A11531" s="83" t="inlineStr"/>
      <s:c r="B11531" s="19" t="n"/>
      <s:c r="C11531" s="19" t="n"/>
      <s:c r="D11531" s="19" t="n"/>
      <s:c r="E11531" s="19" t="n"/>
    </s:row>
    <s:row r="11532" ht="28" customHeight="1">
      <s:c r="A11532" s="108" t="inlineStr">
        <s:is>
          <s:t>TC-RS-BR-011 — Nguồn chỉ cần khi quy tắc đọc trung bình/tỷ lệ nhóm</s:t>
        </s:is>
      </s:c>
      <s:c r="B11532" s="111" t="n"/>
      <s:c r="C11532" s="111" t="n"/>
      <s:c r="D11532" s="111" t="n"/>
      <s:c r="E11532" s="111" t="n"/>
    </s:row>
    <s:row r="11533" ht="20" customHeight="1">
      <s:c r="A11533" s="112" t="inlineStr">
        <s:is>
          <s:t>Kết quả tình huống</s:t>
        </s:is>
      </s:c>
      <s:c r="B11533" s="113">
        <s:f>IF(SUM(IF(EXACT('Kiểm thử'!E11541,"Không đạt"),1,0),IF(EXACT('Kiểm thử'!E11543,"Không đạt"),1,0),IF(EXACT('Kiểm thử'!E11545,"Không đạt"),1,0))&gt;0,"Không đạt",IF(SUM(IF(EXACT('Kiểm thử'!E11541,"Đạt"),1,0),IF(EXACT('Kiểm thử'!E11543,"Đạt"),1,0),IF(EXACT('Kiểm thử'!E11545,"Đạt"),1,0))=3,"Đạt",IF(SUM(IF(EXACT('Kiểm thử'!E11541,"Không thực hiện"),1,0),IF(EXACT('Kiểm thử'!E11543,"Không thực hiện"),1,0),IF(EXACT('Kiểm thử'!E11545,"Không thực hiện"),1,0))=3,"Không thực hiện",IF(SUM(IF(EXACT('Kiểm thử'!E11541,"Bị chặn"),1,0),IF(EXACT('Kiểm thử'!E11543,"Bị chặn"),1,0),IF(EXACT('Kiểm thử'!E11545,"Bị chặn"),1,0))&gt;0,"Bị chặn",IF(SUM(IF(EXACT('Kiểm thử'!E11541,"Chưa thực hiện"),1,0),IF(EXACT('Kiểm thử'!E11543,"Chưa thực hiện"),1,0),IF(EXACT('Kiểm thử'!E11545,"Chưa thực hiện"),1,0))=3,"Chưa thực hiện","Đang thực hiện")))))</s:f>
        <s:v/>
      </s:c>
      <s:c r="C11533" s="114" t="n"/>
      <s:c r="D11533" s="114" t="n"/>
      <s:c r="E11533" s="114" t="n"/>
    </s:row>
    <s:row r="11534" ht="20" customHeight="1">
      <s:c r="A11534" s="112" t="inlineStr">
        <s:is>
          <s:t>Màn hình / chức năng</s:t>
        </s:is>
      </s:c>
      <s:c r="B11534" s="113" t="inlineStr">
        <s:is>
          <s:t>Nguồn tổng hợp</s:t>
        </s:is>
      </s:c>
      <s:c r="C11534" s="28" t="n"/>
      <s:c r="D11534" s="28" t="n"/>
      <s:c r="E11534" s="28" t="n"/>
    </s:row>
    <s:row r="11535" ht="20" customHeight="1">
      <s:c r="A11535" s="112" t="inlineStr">
        <s:is>
          <s:t>Cấu hình</s:t>
        </s:is>
      </s:c>
      <s:c r="B11535" s="113" t="inlineStr">
        <s:is>
          <s:t>• Không có kết quả tổng hợp nào (nguồn chưa có kết quả tổng hợp).</s:t>
        </s:is>
      </s:c>
      <s:c r="C11535" s="28" t="n"/>
      <s:c r="D11535" s="28" t="n"/>
      <s:c r="E11535" s="28" t="n"/>
    </s:row>
    <s:row r="11536" ht="34" customHeight="1">
      <s:c r="A11536" s="112" t="inlineStr">
        <s:is>
          <s:t>Dữ liệu test</s:t>
        </s:is>
      </s:c>
      <s:c r="B11536" s="113" t="inlineStr">
        <s:is>
          <s:t>• Quy tắc “Cố định 30” (dưới 30), quy tắc tỷ lệ 30%, nguồn chưa có kết quả tổng hợp, học sinh S01 (điểm 29)</s:t>
        </s:is>
      </s:c>
      <s:c r="C11536" s="28" t="n"/>
      <s:c r="D11536" s="28" t="n"/>
      <s:c r="E11536" s="28" t="n"/>
    </s:row>
    <s:row r="11537" ht="20" customHeight="1">
      <s:c r="A11537" s="112" t="inlineStr">
        <s:is>
          <s:t>Bước 1</s:t>
        </s:is>
      </s:c>
      <s:c r="B11537" s="113" t="inlineStr">
        <s:is>
          <s:t>Dùng nguồn chưa có kết quả tổng hợp; chỉ để một rule của trường hợp đang chạy.</s:t>
        </s:is>
      </s:c>
      <s:c r="C11537" s="28" t="n"/>
      <s:c r="D11537" s="28" t="n"/>
      <s:c r="E11537" s="28" t="n"/>
    </s:row>
    <s:row r="11538" ht="20" customHeight="1">
      <s:c r="A11538" s="112" t="inlineStr">
        <s:is>
          <s:t>Bước 2</s:t>
        </s:is>
      </s:c>
      <s:c r="B11538" s="113" t="inlineStr">
        <s:is>
          <s:t>Đăng ký S01=29 và đọc trạng thái, nguồn/ngưỡng đã dùng.</s:t>
        </s:is>
      </s:c>
      <s:c r="C11538" s="28" t="n"/>
      <s:c r="D11538" s="28" t="n"/>
      <s:c r="E11538" s="28" t="n"/>
    </s:row>
    <s:row r="11539" ht="28" customHeight="1">
      <s:c r="A11539" s="115" t="inlineStr">
        <s:is>
          <s:t>Trường hợp</s:t>
        </s:is>
      </s:c>
      <s:c r="B11539" s="115" t="inlineStr">
        <s:is>
          <s:t>Dữ liệu / thao tác riêng</s:t>
        </s:is>
      </s:c>
      <s:c r="C11539" s="115" t="inlineStr">
        <s:is>
          <s:t>Kết quả mong đợi</s:t>
        </s:is>
      </s:c>
      <s:c r="D11539" s="115" t="inlineStr">
        <s:is>
          <s:t>Kết quả thực tế</s:t>
        </s:is>
      </s:c>
      <s:c r="E11539" s="115" t="inlineStr">
        <s:is>
          <s:t>Đánh giá</s:t>
        </s:is>
      </s:c>
    </s:row>
    <s:row r="11540" ht="3" customHeight="1">
      <s:c r="A11540" s="102" t="inlineStr"/>
      <s:c r="B11540" s="99" t="n"/>
      <s:c r="C11540" s="99" t="n"/>
      <s:c r="D11540" s="116" t="n"/>
      <s:c r="E11540" s="116" t="n"/>
    </s:row>
    <s:row r="11541" ht="62" customHeight="1">
      <s:c r="A11541" s="83" t="inlineStr">
        <s:is>
          <s:t>Cố định không cần nguồn (fixed)</s:t>
        </s:is>
      </s:c>
      <s:c r="B11541" s="83" t="inlineStr">
        <s:is>
          <s:t>Chỉ có rule cố định30,&lt;,Toàn bộ/không điều kiện trung bình; nguồn chưa có tổng hợp; đăng ký S01=29.</s:t>
        </s:is>
      </s:c>
      <s:c r="C11541" s="83" t="inlineStr">
        <s:is>
          <s:r>
            <s:t xml:space="preserve">1. </s:t>
          </s:r>
          <s:r>
            <s:rPr>
              <s:b val="1"/>
            </s:rPr>
            <s:t>Đỏ</s:t>
          </s:r>
          <s:r>
            <s:t xml:space="preserve"> (không cần nguồn).</s:t>
          </s:r>
        </s:is>
      </s:c>
      <s:c r="D11541" s="117" t="inlineStr"/>
      <s:c r="E11541" s="118" t="inlineStr">
        <s:is>
          <s:t>Chưa thực hiện</s:t>
        </s:is>
      </s:c>
    </s:row>
    <s:row r="11542" ht="3" customHeight="1">
      <s:c r="A11542" s="102" t="inlineStr"/>
      <s:c r="B11542" s="99" t="n"/>
      <s:c r="C11542" s="99" t="n"/>
      <s:c r="D11542" s="116" t="n"/>
      <s:c r="E11542" s="116" t="n"/>
    </s:row>
    <s:row r="11543" ht="48" customHeight="1">
      <s:c r="A11543" s="83" t="inlineStr">
        <s:is>
          <s:t>Tỷ lệ không cần trung bình (ratio)</s:t>
        </s:is>
      </s:c>
      <s:c r="B11543" s="83" t="inlineStr">
        <s:is>
          <s:r>
            <s:t>Chỉ có rule tỷ lệ30%,</s:t>
          </s:r>
          <s:r>
            <s:rPr>
              <s:b val="1"/>
            </s:rPr>
            <s:t>M=100</s:t>
          </s:r>
          <s:r>
            <s:t>; nguồn chưa có tổng hợp; đăng ký S01=29.</s:t>
          </s:r>
        </s:is>
      </s:c>
      <s:c r="C11543" s="83" t="inlineStr">
        <s:is>
          <s:r>
            <s:t xml:space="preserve">2. </s:t>
          </s:r>
          <s:r>
            <s:rPr>
              <s:b val="1"/>
            </s:rPr>
            <s:t>Đỏ</s:t>
          </s:r>
          <s:r>
            <s:t xml:space="preserve"> ([</s:t>
          </s:r>
          <s:r>
            <s:rPr>
              <s:b val="1"/>
            </s:rPr>
            <s:t>M=100</s:t>
          </s:r>
          <s:r>
            <s:t>], [</s:t>
          </s:r>
          <s:r>
            <s:rPr>
              <s:b val="1"/>
            </s:rPr>
            <s:t>T=30</s:t>
          </s:r>
          <s:r>
            <s:t>]; không cần nguồn).</s:t>
          </s:r>
        </s:is>
      </s:c>
      <s:c r="D11543" s="117" t="inlineStr"/>
      <s:c r="E11543" s="118" t="inlineStr">
        <s:is>
          <s:t>Chưa thực hiện</s:t>
        </s:is>
      </s:c>
    </s:row>
    <s:row r="11544" ht="3" customHeight="1">
      <s:c r="A11544" s="102" t="inlineStr"/>
      <s:c r="B11544" s="99" t="n"/>
      <s:c r="C11544" s="99" t="n"/>
      <s:c r="D11544" s="116" t="n"/>
      <s:c r="E11544" s="116" t="n"/>
    </s:row>
    <s:row r="11545" ht="48" customHeight="1">
      <s:c r="A11545" s="83" t="inlineStr">
        <s:is>
          <s:t>Điều kiện cần trung bình (average-condition)</s:t>
        </s:is>
      </s:c>
      <s:c r="B11545" s="83" t="inlineStr">
        <s:is>
          <s:r>
            <s:t xml:space="preserve">Chỉ có rule cố định30,&lt;,điều kiện </s:t>
          </s:r>
          <s:r>
            <s:rPr>
              <s:b val="1"/>
            </s:rPr>
            <s:t>A≥60</s:t>
          </s:r>
          <s:r>
            <s:t>; nguồn chưa có tổng hợp; đăng ký S01=29.</s:t>
          </s:r>
        </s:is>
      </s:c>
      <s:c r="C11545" s="83" t="inlineStr">
        <s:is>
          <s:t>3. Chưa xét được; không bỏ điều kiện để áp 30 cho mọi học sinh.</s:t>
        </s:is>
      </s:c>
      <s:c r="D11545" s="117" t="inlineStr"/>
      <s:c r="E11545" s="118" t="inlineStr">
        <s:is>
          <s:t>Chưa thực hiện</s:t>
        </s:is>
      </s:c>
    </s:row>
    <s:row r="11546" ht="20" customHeight="1">
      <s:c r="A11546" s="119" t="inlineStr">
        <s:is>
          <s:t>Ảnh minh chứng — Chưa có ảnh</s:t>
        </s:is>
      </s:c>
      <s:c r="B11546" s="19" t="n"/>
      <s:c r="C11546" s="19" t="n"/>
      <s:c r="D11546" s="19" t="n"/>
      <s:c r="E11546" s="19" t="n"/>
    </s:row>
    <s:row r="11547" hidden="1" ht="1" customHeight="1">
      <s:c r="A11547" s="120" t="inlineStr"/>
      <s:c r="B11547" s="121" t="n"/>
      <s:c r="C11547" s="121" t="n"/>
      <s:c r="D11547" s="121" t="n"/>
      <s:c r="E11547" s="122" t="n"/>
    </s:row>
    <s:row r="11548" hidden="1" ht="1" customHeight="1">
      <s:c r="A11548" s="120" t="inlineStr"/>
      <s:c r="B11548" s="121" t="n"/>
      <s:c r="C11548" s="121" t="n"/>
      <s:c r="D11548" s="121" t="n"/>
      <s:c r="E11548" s="122" t="n"/>
    </s:row>
    <s:row r="11549" hidden="1" ht="1" customHeight="1">
      <s:c r="A11549" s="120" t="inlineStr"/>
      <s:c r="B11549" s="121" t="n"/>
      <s:c r="C11549" s="121" t="n"/>
      <s:c r="D11549" s="121" t="n"/>
      <s:c r="E11549" s="122" t="n"/>
    </s:row>
    <s:row r="11550" hidden="1" ht="1" customHeight="1">
      <s:c r="A11550" s="120" t="inlineStr"/>
      <s:c r="B11550" s="121" t="n"/>
      <s:c r="C11550" s="121" t="n"/>
      <s:c r="D11550" s="121" t="n"/>
      <s:c r="E11550" s="122" t="n"/>
    </s:row>
    <s:row r="11551" hidden="1" ht="1" customHeight="1">
      <s:c r="A11551" s="120" t="inlineStr"/>
      <s:c r="B11551" s="121" t="n"/>
      <s:c r="C11551" s="121" t="n"/>
      <s:c r="D11551" s="121" t="n"/>
      <s:c r="E11551" s="122" t="n"/>
    </s:row>
    <s:row r="11552" hidden="1" ht="1" customHeight="1">
      <s:c r="A11552" s="120" t="inlineStr"/>
      <s:c r="B11552" s="121" t="n"/>
      <s:c r="C11552" s="121" t="n"/>
      <s:c r="D11552" s="121" t="n"/>
      <s:c r="E11552" s="122" t="n"/>
    </s:row>
    <s:row r="11553" hidden="1" ht="1" customHeight="1">
      <s:c r="A11553" s="120" t="inlineStr"/>
      <s:c r="B11553" s="121" t="n"/>
      <s:c r="C11553" s="121" t="n"/>
      <s:c r="D11553" s="121" t="n"/>
      <s:c r="E11553" s="122" t="n"/>
    </s:row>
    <s:row r="11554" hidden="1" ht="1" customHeight="1">
      <s:c r="A11554" s="120" t="inlineStr"/>
      <s:c r="B11554" s="121" t="n"/>
      <s:c r="C11554" s="121" t="n"/>
      <s:c r="D11554" s="121" t="n"/>
      <s:c r="E11554" s="122" t="n"/>
    </s:row>
    <s:row r="11555" hidden="1" ht="1" customHeight="1">
      <s:c r="A11555" s="120" t="inlineStr"/>
      <s:c r="B11555" s="121" t="n"/>
      <s:c r="C11555" s="121" t="n"/>
      <s:c r="D11555" s="121" t="n"/>
      <s:c r="E11555" s="122" t="n"/>
    </s:row>
    <s:row r="11556" hidden="1" ht="1" customHeight="1">
      <s:c r="A11556" s="120" t="inlineStr"/>
      <s:c r="B11556" s="121" t="n"/>
      <s:c r="C11556" s="121" t="n"/>
      <s:c r="D11556" s="121" t="n"/>
      <s:c r="E11556" s="122" t="n"/>
    </s:row>
    <s:row r="11557" hidden="1" ht="1" customHeight="1">
      <s:c r="A11557" s="120" t="inlineStr"/>
      <s:c r="B11557" s="121" t="n"/>
      <s:c r="C11557" s="121" t="n"/>
      <s:c r="D11557" s="121" t="n"/>
      <s:c r="E11557" s="122" t="n"/>
    </s:row>
    <s:row r="11558" hidden="1" ht="1" customHeight="1">
      <s:c r="A11558" s="120" t="inlineStr"/>
      <s:c r="B11558" s="121" t="n"/>
      <s:c r="C11558" s="121" t="n"/>
      <s:c r="D11558" s="121" t="n"/>
      <s:c r="E11558" s="122" t="n"/>
    </s:row>
    <s:row r="11559" hidden="1" ht="1" customHeight="1">
      <s:c r="A11559" s="120" t="inlineStr"/>
      <s:c r="B11559" s="121" t="n"/>
      <s:c r="C11559" s="121" t="n"/>
      <s:c r="D11559" s="121" t="n"/>
      <s:c r="E11559" s="122" t="n"/>
    </s:row>
    <s:row r="11560" hidden="1" ht="1" customHeight="1">
      <s:c r="A11560" s="120" t="inlineStr"/>
      <s:c r="B11560" s="121" t="n"/>
      <s:c r="C11560" s="121" t="n"/>
      <s:c r="D11560" s="121" t="n"/>
      <s:c r="E11560" s="122" t="n"/>
    </s:row>
    <s:row r="11561" hidden="1" ht="1" customHeight="1">
      <s:c r="A11561" s="120" t="inlineStr"/>
      <s:c r="B11561" s="121" t="n"/>
      <s:c r="C11561" s="121" t="n"/>
      <s:c r="D11561" s="121" t="n"/>
      <s:c r="E11561" s="122" t="n"/>
    </s:row>
    <s:row r="11562" hidden="1" ht="1" customHeight="1">
      <s:c r="A11562" s="120" t="inlineStr"/>
      <s:c r="B11562" s="121" t="n"/>
      <s:c r="C11562" s="121" t="n"/>
      <s:c r="D11562" s="121" t="n"/>
      <s:c r="E11562" s="122" t="n"/>
    </s:row>
    <s:row r="11563" hidden="1" ht="1" customHeight="1">
      <s:c r="A11563" s="120" t="inlineStr"/>
      <s:c r="B11563" s="121" t="n"/>
      <s:c r="C11563" s="121" t="n"/>
      <s:c r="D11563" s="121" t="n"/>
      <s:c r="E11563" s="122" t="n"/>
    </s:row>
    <s:row r="11564" hidden="1" ht="1" customHeight="1">
      <s:c r="A11564" s="120" t="inlineStr"/>
      <s:c r="B11564" s="121" t="n"/>
      <s:c r="C11564" s="121" t="n"/>
      <s:c r="D11564" s="121" t="n"/>
      <s:c r="E11564" s="122" t="n"/>
    </s:row>
    <s:row r="11565" hidden="1" ht="1" customHeight="1">
      <s:c r="A11565" s="120" t="inlineStr"/>
      <s:c r="B11565" s="121" t="n"/>
      <s:c r="C11565" s="121" t="n"/>
      <s:c r="D11565" s="121" t="n"/>
      <s:c r="E11565" s="122" t="n"/>
    </s:row>
    <s:row r="11566" hidden="1" ht="1" customHeight="1">
      <s:c r="A11566" s="120" t="inlineStr"/>
      <s:c r="B11566" s="121" t="n"/>
      <s:c r="C11566" s="121" t="n"/>
      <s:c r="D11566" s="121" t="n"/>
      <s:c r="E11566" s="122" t="n"/>
    </s:row>
    <s:row r="11567" hidden="1" ht="1" customHeight="1">
      <s:c r="A11567" s="120" t="inlineStr"/>
      <s:c r="B11567" s="121" t="n"/>
      <s:c r="C11567" s="121" t="n"/>
      <s:c r="D11567" s="121" t="n"/>
      <s:c r="E11567" s="122" t="n"/>
    </s:row>
    <s:row r="11568" hidden="1" ht="1" customHeight="1">
      <s:c r="A11568" s="120" t="inlineStr"/>
      <s:c r="B11568" s="121" t="n"/>
      <s:c r="C11568" s="121" t="n"/>
      <s:c r="D11568" s="121" t="n"/>
      <s:c r="E11568" s="122" t="n"/>
    </s:row>
    <s:row r="11569" hidden="1" ht="1" customHeight="1">
      <s:c r="A11569" s="120" t="inlineStr"/>
      <s:c r="B11569" s="121" t="n"/>
      <s:c r="C11569" s="121" t="n"/>
      <s:c r="D11569" s="121" t="n"/>
      <s:c r="E11569" s="122" t="n"/>
    </s:row>
    <s:row r="11570" hidden="1" ht="1" customHeight="1">
      <s:c r="A11570" s="120" t="inlineStr"/>
      <s:c r="B11570" s="121" t="n"/>
      <s:c r="C11570" s="121" t="n"/>
      <s:c r="D11570" s="121" t="n"/>
      <s:c r="E11570" s="122" t="n"/>
    </s:row>
    <s:row r="11571" hidden="1" ht="1" customHeight="1">
      <s:c r="A11571" s="120" t="inlineStr"/>
      <s:c r="B11571" s="121" t="n"/>
      <s:c r="C11571" s="121" t="n"/>
      <s:c r="D11571" s="121" t="n"/>
      <s:c r="E11571" s="122" t="n"/>
    </s:row>
    <s:row r="11572" hidden="1" ht="1" customHeight="1">
      <s:c r="A11572" s="120" t="inlineStr"/>
      <s:c r="B11572" s="121" t="n"/>
      <s:c r="C11572" s="121" t="n"/>
      <s:c r="D11572" s="121" t="n"/>
      <s:c r="E11572" s="122" t="n"/>
    </s:row>
    <s:row r="11573" hidden="1" ht="1" customHeight="1">
      <s:c r="A11573" s="120" t="inlineStr"/>
      <s:c r="B11573" s="121" t="n"/>
      <s:c r="C11573" s="121" t="n"/>
      <s:c r="D11573" s="121" t="n"/>
      <s:c r="E11573" s="122" t="n"/>
    </s:row>
    <s:row r="11574" hidden="1" ht="1" customHeight="1">
      <s:c r="A11574" s="120" t="inlineStr"/>
      <s:c r="B11574" s="121" t="n"/>
      <s:c r="C11574" s="121" t="n"/>
      <s:c r="D11574" s="121" t="n"/>
      <s:c r="E11574" s="122" t="n"/>
    </s:row>
    <s:row r="11575" hidden="1" ht="1" customHeight="1">
      <s:c r="A11575" s="120" t="inlineStr"/>
      <s:c r="B11575" s="121" t="n"/>
      <s:c r="C11575" s="121" t="n"/>
      <s:c r="D11575" s="121" t="n"/>
      <s:c r="E11575" s="122" t="n"/>
    </s:row>
    <s:row r="11576" hidden="1" ht="1" customHeight="1">
      <s:c r="A11576" s="120" t="inlineStr"/>
      <s:c r="B11576" s="121" t="n"/>
      <s:c r="C11576" s="121" t="n"/>
      <s:c r="D11576" s="121" t="n"/>
      <s:c r="E11576" s="122" t="n"/>
    </s:row>
    <s:row r="11577" hidden="1" ht="1" customHeight="1">
      <s:c r="A11577" s="120" t="inlineStr"/>
      <s:c r="B11577" s="121" t="n"/>
      <s:c r="C11577" s="121" t="n"/>
      <s:c r="D11577" s="121" t="n"/>
      <s:c r="E11577" s="122" t="n"/>
    </s:row>
    <s:row r="11578" hidden="1" ht="1" customHeight="1">
      <s:c r="A11578" s="120" t="inlineStr"/>
      <s:c r="B11578" s="121" t="n"/>
      <s:c r="C11578" s="121" t="n"/>
      <s:c r="D11578" s="121" t="n"/>
      <s:c r="E11578" s="122" t="n"/>
    </s:row>
    <s:row r="11579" hidden="1" ht="1" customHeight="1">
      <s:c r="A11579" s="120" t="inlineStr"/>
      <s:c r="B11579" s="121" t="n"/>
      <s:c r="C11579" s="121" t="n"/>
      <s:c r="D11579" s="121" t="n"/>
      <s:c r="E11579" s="122" t="n"/>
    </s:row>
    <s:row r="11580" hidden="1" ht="1" customHeight="1">
      <s:c r="A11580" s="120" t="inlineStr"/>
      <s:c r="B11580" s="121" t="n"/>
      <s:c r="C11580" s="121" t="n"/>
      <s:c r="D11580" s="121" t="n"/>
      <s:c r="E11580" s="122" t="n"/>
    </s:row>
    <s:row r="11581" hidden="1" ht="1" customHeight="1">
      <s:c r="A11581" s="120" t="inlineStr"/>
      <s:c r="B11581" s="121" t="n"/>
      <s:c r="C11581" s="121" t="n"/>
      <s:c r="D11581" s="121" t="n"/>
      <s:c r="E11581" s="122" t="n"/>
    </s:row>
    <s:row r="11582" hidden="1" ht="1" customHeight="1">
      <s:c r="A11582" s="120" t="inlineStr"/>
      <s:c r="B11582" s="121" t="n"/>
      <s:c r="C11582" s="121" t="n"/>
      <s:c r="D11582" s="121" t="n"/>
      <s:c r="E11582" s="122" t="n"/>
    </s:row>
    <s:row r="11583" hidden="1" ht="1" customHeight="1">
      <s:c r="A11583" s="120" t="inlineStr"/>
      <s:c r="B11583" s="121" t="n"/>
      <s:c r="C11583" s="121" t="n"/>
      <s:c r="D11583" s="121" t="n"/>
      <s:c r="E11583" s="122" t="n"/>
    </s:row>
    <s:row r="11584" hidden="1" ht="1" customHeight="1">
      <s:c r="A11584" s="120" t="inlineStr"/>
      <s:c r="B11584" s="121" t="n"/>
      <s:c r="C11584" s="121" t="n"/>
      <s:c r="D11584" s="121" t="n"/>
      <s:c r="E11584" s="122" t="n"/>
    </s:row>
    <s:row r="11585" hidden="1" ht="1" customHeight="1">
      <s:c r="A11585" s="120" t="inlineStr"/>
      <s:c r="B11585" s="121" t="n"/>
      <s:c r="C11585" s="121" t="n"/>
      <s:c r="D11585" s="121" t="n"/>
      <s:c r="E11585" s="122" t="n"/>
    </s:row>
    <s:row r="11586" hidden="1" ht="1" customHeight="1">
      <s:c r="A11586" s="120" t="inlineStr"/>
      <s:c r="B11586" s="121" t="n"/>
      <s:c r="C11586" s="121" t="n"/>
      <s:c r="D11586" s="121" t="n"/>
      <s:c r="E11586" s="122" t="n"/>
    </s:row>
    <s:row r="11587" hidden="1" ht="1" customHeight="1">
      <s:c r="A11587" s="120" t="inlineStr"/>
      <s:c r="B11587" s="121" t="n"/>
      <s:c r="C11587" s="121" t="n"/>
      <s:c r="D11587" s="121" t="n"/>
      <s:c r="E11587" s="122" t="n"/>
    </s:row>
    <s:row r="11588" hidden="1" ht="1" customHeight="1">
      <s:c r="A11588" s="120" t="inlineStr"/>
      <s:c r="B11588" s="121" t="n"/>
      <s:c r="C11588" s="121" t="n"/>
      <s:c r="D11588" s="121" t="n"/>
      <s:c r="E11588" s="122" t="n"/>
    </s:row>
    <s:row r="11589" hidden="1" ht="1" customHeight="1">
      <s:c r="A11589" s="120" t="inlineStr"/>
      <s:c r="B11589" s="121" t="n"/>
      <s:c r="C11589" s="121" t="n"/>
      <s:c r="D11589" s="121" t="n"/>
      <s:c r="E11589" s="122" t="n"/>
    </s:row>
    <s:row r="11590" hidden="1" ht="1" customHeight="1">
      <s:c r="A11590" s="120" t="inlineStr"/>
      <s:c r="B11590" s="121" t="n"/>
      <s:c r="C11590" s="121" t="n"/>
      <s:c r="D11590" s="121" t="n"/>
      <s:c r="E11590" s="122" t="n"/>
    </s:row>
    <s:row r="11591" hidden="1" ht="1" customHeight="1">
      <s:c r="A11591" s="120" t="inlineStr"/>
      <s:c r="B11591" s="121" t="n"/>
      <s:c r="C11591" s="121" t="n"/>
      <s:c r="D11591" s="121" t="n"/>
      <s:c r="E11591" s="122" t="n"/>
    </s:row>
    <s:row r="11592" hidden="1" ht="1" customHeight="1">
      <s:c r="A11592" s="120" t="inlineStr"/>
      <s:c r="B11592" s="121" t="n"/>
      <s:c r="C11592" s="121" t="n"/>
      <s:c r="D11592" s="121" t="n"/>
      <s:c r="E11592" s="122" t="n"/>
    </s:row>
    <s:row r="11593" hidden="1" ht="1" customHeight="1">
      <s:c r="A11593" s="120" t="inlineStr"/>
      <s:c r="B11593" s="121" t="n"/>
      <s:c r="C11593" s="121" t="n"/>
      <s:c r="D11593" s="121" t="n"/>
      <s:c r="E11593" s="122" t="n"/>
    </s:row>
    <s:row r="11594" hidden="1" ht="1" customHeight="1">
      <s:c r="A11594" s="120" t="inlineStr"/>
      <s:c r="B11594" s="121" t="n"/>
      <s:c r="C11594" s="121" t="n"/>
      <s:c r="D11594" s="121" t="n"/>
      <s:c r="E11594" s="122" t="n"/>
    </s:row>
    <s:row r="11595" hidden="1" ht="1" customHeight="1">
      <s:c r="A11595" s="120" t="inlineStr"/>
      <s:c r="B11595" s="121" t="n"/>
      <s:c r="C11595" s="121" t="n"/>
      <s:c r="D11595" s="121" t="n"/>
      <s:c r="E11595" s="122" t="n"/>
    </s:row>
    <s:row r="11596" hidden="1" ht="1" customHeight="1">
      <s:c r="A11596" s="120" t="inlineStr"/>
      <s:c r="B11596" s="121" t="n"/>
      <s:c r="C11596" s="121" t="n"/>
      <s:c r="D11596" s="121" t="n"/>
      <s:c r="E11596" s="122" t="n"/>
    </s:row>
    <s:row r="11597" hidden="1" ht="1" customHeight="1">
      <s:c r="A11597" s="120" t="inlineStr"/>
      <s:c r="B11597" s="121" t="n"/>
      <s:c r="C11597" s="121" t="n"/>
      <s:c r="D11597" s="121" t="n"/>
      <s:c r="E11597" s="122" t="n"/>
    </s:row>
    <s:row r="11598" hidden="1" ht="1" customHeight="1">
      <s:c r="A11598" s="120" t="inlineStr"/>
      <s:c r="B11598" s="121" t="n"/>
      <s:c r="C11598" s="121" t="n"/>
      <s:c r="D11598" s="121" t="n"/>
      <s:c r="E11598" s="122" t="n"/>
    </s:row>
    <s:row r="11599" hidden="1" ht="1" customHeight="1">
      <s:c r="A11599" s="120" t="inlineStr"/>
      <s:c r="B11599" s="121" t="n"/>
      <s:c r="C11599" s="121" t="n"/>
      <s:c r="D11599" s="121" t="n"/>
      <s:c r="E11599" s="122" t="n"/>
    </s:row>
    <s:row r="11600" hidden="1" ht="1" customHeight="1">
      <s:c r="A11600" s="120" t="inlineStr"/>
      <s:c r="B11600" s="121" t="n"/>
      <s:c r="C11600" s="121" t="n"/>
      <s:c r="D11600" s="121" t="n"/>
      <s:c r="E11600" s="122" t="n"/>
    </s:row>
    <s:row r="11601" hidden="1" ht="1" customHeight="1">
      <s:c r="A11601" s="120" t="inlineStr"/>
      <s:c r="B11601" s="121" t="n"/>
      <s:c r="C11601" s="121" t="n"/>
      <s:c r="D11601" s="121" t="n"/>
      <s:c r="E11601" s="122" t="n"/>
    </s:row>
    <s:row r="11602" hidden="1" ht="1" customHeight="1">
      <s:c r="A11602" s="120" t="inlineStr"/>
      <s:c r="B11602" s="121" t="n"/>
      <s:c r="C11602" s="121" t="n"/>
      <s:c r="D11602" s="121" t="n"/>
      <s:c r="E11602" s="122" t="n"/>
    </s:row>
    <s:row r="11603" hidden="1" ht="1" customHeight="1">
      <s:c r="A11603" s="120" t="inlineStr"/>
      <s:c r="B11603" s="121" t="n"/>
      <s:c r="C11603" s="121" t="n"/>
      <s:c r="D11603" s="121" t="n"/>
      <s:c r="E11603" s="122" t="n"/>
    </s:row>
    <s:row r="11604" hidden="1" ht="1" customHeight="1">
      <s:c r="A11604" s="120" t="inlineStr"/>
      <s:c r="B11604" s="121" t="n"/>
      <s:c r="C11604" s="121" t="n"/>
      <s:c r="D11604" s="121" t="n"/>
      <s:c r="E11604" s="122" t="n"/>
    </s:row>
    <s:row r="11605" hidden="1" ht="1" customHeight="1">
      <s:c r="A11605" s="120" t="inlineStr"/>
      <s:c r="B11605" s="121" t="n"/>
      <s:c r="C11605" s="121" t="n"/>
      <s:c r="D11605" s="121" t="n"/>
      <s:c r="E11605" s="122" t="n"/>
    </s:row>
    <s:row r="11606" hidden="1" ht="1" customHeight="1">
      <s:c r="A11606" s="120" t="inlineStr"/>
      <s:c r="B11606" s="121" t="n"/>
      <s:c r="C11606" s="121" t="n"/>
      <s:c r="D11606" s="121" t="n"/>
      <s:c r="E11606" s="122" t="n"/>
    </s:row>
    <s:row r="11607" hidden="1" ht="1" customHeight="1">
      <s:c r="A11607" s="120" t="inlineStr"/>
      <s:c r="B11607" s="121" t="n"/>
      <s:c r="C11607" s="121" t="n"/>
      <s:c r="D11607" s="121" t="n"/>
      <s:c r="E11607" s="122" t="n"/>
    </s:row>
    <s:row r="11608" hidden="1" ht="1" customHeight="1">
      <s:c r="A11608" s="120" t="inlineStr"/>
      <s:c r="B11608" s="121" t="n"/>
      <s:c r="C11608" s="121" t="n"/>
      <s:c r="D11608" s="121" t="n"/>
      <s:c r="E11608" s="122" t="n"/>
    </s:row>
    <s:row r="11609" hidden="1" ht="1" customHeight="1">
      <s:c r="A11609" s="120" t="inlineStr"/>
      <s:c r="B11609" s="121" t="n"/>
      <s:c r="C11609" s="121" t="n"/>
      <s:c r="D11609" s="121" t="n"/>
      <s:c r="E11609" s="122" t="n"/>
    </s:row>
    <s:row r="11610" hidden="1" ht="1" customHeight="1">
      <s:c r="A11610" s="120" t="inlineStr"/>
      <s:c r="B11610" s="121" t="n"/>
      <s:c r="C11610" s="121" t="n"/>
      <s:c r="D11610" s="121" t="n"/>
      <s:c r="E11610" s="122" t="n"/>
    </s:row>
    <s:row r="11611" hidden="1" ht="1" customHeight="1">
      <s:c r="A11611" s="120" t="inlineStr"/>
      <s:c r="B11611" s="121" t="n"/>
      <s:c r="C11611" s="121" t="n"/>
      <s:c r="D11611" s="121" t="n"/>
      <s:c r="E11611" s="122" t="n"/>
    </s:row>
    <s:row r="11612" hidden="1" ht="1" customHeight="1">
      <s:c r="A11612" s="120" t="inlineStr"/>
      <s:c r="B11612" s="121" t="n"/>
      <s:c r="C11612" s="121" t="n"/>
      <s:c r="D11612" s="121" t="n"/>
      <s:c r="E11612" s="122" t="n"/>
    </s:row>
    <s:row r="11613" hidden="1" ht="1" customHeight="1">
      <s:c r="A11613" s="120" t="inlineStr"/>
      <s:c r="B11613" s="121" t="n"/>
      <s:c r="C11613" s="121" t="n"/>
      <s:c r="D11613" s="121" t="n"/>
      <s:c r="E11613" s="122" t="n"/>
    </s:row>
    <s:row r="11614" hidden="1" ht="1" customHeight="1">
      <s:c r="A11614" s="120" t="inlineStr"/>
      <s:c r="B11614" s="121" t="n"/>
      <s:c r="C11614" s="121" t="n"/>
      <s:c r="D11614" s="121" t="n"/>
      <s:c r="E11614" s="122" t="n"/>
    </s:row>
    <s:row r="11615" hidden="1" ht="1" customHeight="1">
      <s:c r="A11615" s="120" t="inlineStr"/>
      <s:c r="B11615" s="121" t="n"/>
      <s:c r="C11615" s="121" t="n"/>
      <s:c r="D11615" s="121" t="n"/>
      <s:c r="E11615" s="122" t="n"/>
    </s:row>
    <s:row r="11616" hidden="1" ht="1" customHeight="1">
      <s:c r="A11616" s="120" t="inlineStr"/>
      <s:c r="B11616" s="121" t="n"/>
      <s:c r="C11616" s="121" t="n"/>
      <s:c r="D11616" s="121" t="n"/>
      <s:c r="E11616" s="122" t="n"/>
    </s:row>
    <s:row r="11617" hidden="1" ht="1" customHeight="1">
      <s:c r="A11617" s="120" t="inlineStr"/>
      <s:c r="B11617" s="121" t="n"/>
      <s:c r="C11617" s="121" t="n"/>
      <s:c r="D11617" s="121" t="n"/>
      <s:c r="E11617" s="122" t="n"/>
    </s:row>
    <s:row r="11618" hidden="1" ht="1" customHeight="1">
      <s:c r="A11618" s="120" t="inlineStr"/>
      <s:c r="B11618" s="121" t="n"/>
      <s:c r="C11618" s="121" t="n"/>
      <s:c r="D11618" s="121" t="n"/>
      <s:c r="E11618" s="122" t="n"/>
    </s:row>
    <s:row r="11619" hidden="1" ht="1" customHeight="1">
      <s:c r="A11619" s="120" t="inlineStr"/>
      <s:c r="B11619" s="121" t="n"/>
      <s:c r="C11619" s="121" t="n"/>
      <s:c r="D11619" s="121" t="n"/>
      <s:c r="E11619" s="122" t="n"/>
    </s:row>
    <s:row r="11620" hidden="1" ht="1" customHeight="1">
      <s:c r="A11620" s="120" t="inlineStr"/>
      <s:c r="B11620" s="121" t="n"/>
      <s:c r="C11620" s="121" t="n"/>
      <s:c r="D11620" s="121" t="n"/>
      <s:c r="E11620" s="122" t="n"/>
    </s:row>
    <s:row r="11621" hidden="1" ht="1" customHeight="1">
      <s:c r="A11621" s="120" t="inlineStr"/>
      <s:c r="B11621" s="121" t="n"/>
      <s:c r="C11621" s="121" t="n"/>
      <s:c r="D11621" s="121" t="n"/>
      <s:c r="E11621" s="122" t="n"/>
    </s:row>
    <s:row r="11622" hidden="1" ht="1" customHeight="1">
      <s:c r="A11622" s="120" t="inlineStr"/>
      <s:c r="B11622" s="121" t="n"/>
      <s:c r="C11622" s="121" t="n"/>
      <s:c r="D11622" s="121" t="n"/>
      <s:c r="E11622" s="122" t="n"/>
    </s:row>
    <s:row r="11623" hidden="1" ht="1" customHeight="1">
      <s:c r="A11623" s="120" t="inlineStr"/>
      <s:c r="B11623" s="121" t="n"/>
      <s:c r="C11623" s="121" t="n"/>
      <s:c r="D11623" s="121" t="n"/>
      <s:c r="E11623" s="122" t="n"/>
    </s:row>
    <s:row r="11624" hidden="1" ht="1" customHeight="1">
      <s:c r="A11624" s="120" t="inlineStr"/>
      <s:c r="B11624" s="121" t="n"/>
      <s:c r="C11624" s="121" t="n"/>
      <s:c r="D11624" s="121" t="n"/>
      <s:c r="E11624" s="122" t="n"/>
    </s:row>
    <s:row r="11625" hidden="1" ht="1" customHeight="1">
      <s:c r="A11625" s="120" t="inlineStr"/>
      <s:c r="B11625" s="121" t="n"/>
      <s:c r="C11625" s="121" t="n"/>
      <s:c r="D11625" s="121" t="n"/>
      <s:c r="E11625" s="122" t="n"/>
    </s:row>
    <s:row r="11626" hidden="1" ht="1" customHeight="1">
      <s:c r="A11626" s="120" t="inlineStr"/>
      <s:c r="B11626" s="121" t="n"/>
      <s:c r="C11626" s="121" t="n"/>
      <s:c r="D11626" s="121" t="n"/>
      <s:c r="E11626" s="122" t="n"/>
    </s:row>
    <s:row r="11627" hidden="1" ht="1" customHeight="1">
      <s:c r="A11627" s="120" t="inlineStr"/>
      <s:c r="B11627" s="121" t="n"/>
      <s:c r="C11627" s="121" t="n"/>
      <s:c r="D11627" s="121" t="n"/>
      <s:c r="E11627" s="122" t="n"/>
    </s:row>
    <s:row r="11628" hidden="1" ht="1" customHeight="1">
      <s:c r="A11628" s="120" t="inlineStr"/>
      <s:c r="B11628" s="121" t="n"/>
      <s:c r="C11628" s="121" t="n"/>
      <s:c r="D11628" s="121" t="n"/>
      <s:c r="E11628" s="122" t="n"/>
    </s:row>
    <s:row r="11629" hidden="1" ht="1" customHeight="1">
      <s:c r="A11629" s="120" t="inlineStr"/>
      <s:c r="B11629" s="121" t="n"/>
      <s:c r="C11629" s="121" t="n"/>
      <s:c r="D11629" s="121" t="n"/>
      <s:c r="E11629" s="122" t="n"/>
    </s:row>
    <s:row r="11630" hidden="1" ht="1" customHeight="1">
      <s:c r="A11630" s="120" t="inlineStr"/>
      <s:c r="B11630" s="121" t="n"/>
      <s:c r="C11630" s="121" t="n"/>
      <s:c r="D11630" s="121" t="n"/>
      <s:c r="E11630" s="122" t="n"/>
    </s:row>
    <s:row r="11631" hidden="1" ht="1" customHeight="1">
      <s:c r="A11631" s="120" t="inlineStr"/>
      <s:c r="B11631" s="121" t="n"/>
      <s:c r="C11631" s="121" t="n"/>
      <s:c r="D11631" s="121" t="n"/>
      <s:c r="E11631" s="122" t="n"/>
    </s:row>
    <s:row r="11632" hidden="1" ht="1" customHeight="1">
      <s:c r="A11632" s="120" t="inlineStr"/>
      <s:c r="B11632" s="121" t="n"/>
      <s:c r="C11632" s="121" t="n"/>
      <s:c r="D11632" s="121" t="n"/>
      <s:c r="E11632" s="122" t="n"/>
    </s:row>
    <s:row r="11633" hidden="1" ht="1" customHeight="1">
      <s:c r="A11633" s="120" t="inlineStr"/>
      <s:c r="B11633" s="121" t="n"/>
      <s:c r="C11633" s="121" t="n"/>
      <s:c r="D11633" s="121" t="n"/>
      <s:c r="E11633" s="122" t="n"/>
    </s:row>
    <s:row r="11634" hidden="1" ht="1" customHeight="1">
      <s:c r="A11634" s="120" t="inlineStr"/>
      <s:c r="B11634" s="121" t="n"/>
      <s:c r="C11634" s="121" t="n"/>
      <s:c r="D11634" s="121" t="n"/>
      <s:c r="E11634" s="122" t="n"/>
    </s:row>
    <s:row r="11635" hidden="1" ht="1" customHeight="1">
      <s:c r="A11635" s="120" t="inlineStr"/>
      <s:c r="B11635" s="121" t="n"/>
      <s:c r="C11635" s="121" t="n"/>
      <s:c r="D11635" s="121" t="n"/>
      <s:c r="E11635" s="122" t="n"/>
    </s:row>
    <s:row r="11636" hidden="1" ht="1" customHeight="1">
      <s:c r="A11636" s="120" t="inlineStr"/>
      <s:c r="B11636" s="121" t="n"/>
      <s:c r="C11636" s="121" t="n"/>
      <s:c r="D11636" s="121" t="n"/>
      <s:c r="E11636" s="122" t="n"/>
    </s:row>
    <s:row r="11637" hidden="1" ht="1" customHeight="1">
      <s:c r="A11637" s="120" t="inlineStr"/>
      <s:c r="B11637" s="121" t="n"/>
      <s:c r="C11637" s="121" t="n"/>
      <s:c r="D11637" s="121" t="n"/>
      <s:c r="E11637" s="122" t="n"/>
    </s:row>
    <s:row r="11638" hidden="1" ht="1" customHeight="1">
      <s:c r="A11638" s="120" t="inlineStr"/>
      <s:c r="B11638" s="121" t="n"/>
      <s:c r="C11638" s="121" t="n"/>
      <s:c r="D11638" s="121" t="n"/>
      <s:c r="E11638" s="122" t="n"/>
    </s:row>
    <s:row r="11639" hidden="1" ht="1" customHeight="1">
      <s:c r="A11639" s="120" t="inlineStr"/>
      <s:c r="B11639" s="121" t="n"/>
      <s:c r="C11639" s="121" t="n"/>
      <s:c r="D11639" s="121" t="n"/>
      <s:c r="E11639" s="122" t="n"/>
    </s:row>
    <s:row r="11640" hidden="1" ht="1" customHeight="1">
      <s:c r="A11640" s="120" t="inlineStr"/>
      <s:c r="B11640" s="121" t="n"/>
      <s:c r="C11640" s="121" t="n"/>
      <s:c r="D11640" s="121" t="n"/>
      <s:c r="E11640" s="122" t="n"/>
    </s:row>
    <s:row r="11641" hidden="1" ht="1" customHeight="1">
      <s:c r="A11641" s="120" t="inlineStr"/>
      <s:c r="B11641" s="121" t="n"/>
      <s:c r="C11641" s="121" t="n"/>
      <s:c r="D11641" s="121" t="n"/>
      <s:c r="E11641" s="122" t="n"/>
    </s:row>
    <s:row r="11642" hidden="1" ht="1" customHeight="1">
      <s:c r="A11642" s="120" t="inlineStr"/>
      <s:c r="B11642" s="121" t="n"/>
      <s:c r="C11642" s="121" t="n"/>
      <s:c r="D11642" s="121" t="n"/>
      <s:c r="E11642" s="122" t="n"/>
    </s:row>
    <s:row r="11643" hidden="1" ht="1" customHeight="1">
      <s:c r="A11643" s="120" t="inlineStr"/>
      <s:c r="B11643" s="121" t="n"/>
      <s:c r="C11643" s="121" t="n"/>
      <s:c r="D11643" s="121" t="n"/>
      <s:c r="E11643" s="122" t="n"/>
    </s:row>
    <s:row r="11644" hidden="1" ht="1" customHeight="1">
      <s:c r="A11644" s="120" t="inlineStr"/>
      <s:c r="B11644" s="121" t="n"/>
      <s:c r="C11644" s="121" t="n"/>
      <s:c r="D11644" s="121" t="n"/>
      <s:c r="E11644" s="122" t="n"/>
    </s:row>
    <s:row r="11645" hidden="1" ht="1" customHeight="1">
      <s:c r="A11645" s="120" t="inlineStr"/>
      <s:c r="B11645" s="121" t="n"/>
      <s:c r="C11645" s="121" t="n"/>
      <s:c r="D11645" s="121" t="n"/>
      <s:c r="E11645" s="122" t="n"/>
    </s:row>
    <s:row r="11646" hidden="1" ht="1" customHeight="1">
      <s:c r="A11646" s="120" t="inlineStr"/>
      <s:c r="B11646" s="121" t="n"/>
      <s:c r="C11646" s="121" t="n"/>
      <s:c r="D11646" s="121" t="n"/>
      <s:c r="E11646" s="122" t="n"/>
    </s:row>
    <s:row r="11647" hidden="1" ht="1" customHeight="1">
      <s:c r="A11647" s="120" t="inlineStr"/>
      <s:c r="B11647" s="121" t="n"/>
      <s:c r="C11647" s="121" t="n"/>
      <s:c r="D11647" s="121" t="n"/>
      <s:c r="E11647" s="122" t="n"/>
    </s:row>
    <s:row r="11648" hidden="1" ht="1" customHeight="1">
      <s:c r="A11648" s="120" t="inlineStr"/>
      <s:c r="B11648" s="121" t="n"/>
      <s:c r="C11648" s="121" t="n"/>
      <s:c r="D11648" s="121" t="n"/>
      <s:c r="E11648" s="122" t="n"/>
    </s:row>
    <s:row r="11649" hidden="1" ht="1" customHeight="1">
      <s:c r="A11649" s="120" t="inlineStr"/>
      <s:c r="B11649" s="121" t="n"/>
      <s:c r="C11649" s="121" t="n"/>
      <s:c r="D11649" s="121" t="n"/>
      <s:c r="E11649" s="122" t="n"/>
    </s:row>
    <s:row r="11650" hidden="1" ht="1" customHeight="1">
      <s:c r="A11650" s="120" t="inlineStr"/>
      <s:c r="B11650" s="121" t="n"/>
      <s:c r="C11650" s="121" t="n"/>
      <s:c r="D11650" s="121" t="n"/>
      <s:c r="E11650" s="122" t="n"/>
    </s:row>
    <s:row r="11651" hidden="1" ht="1" customHeight="1">
      <s:c r="A11651" s="120" t="inlineStr"/>
      <s:c r="B11651" s="121" t="n"/>
      <s:c r="C11651" s="121" t="n"/>
      <s:c r="D11651" s="121" t="n"/>
      <s:c r="E11651" s="122" t="n"/>
    </s:row>
    <s:row r="11652" hidden="1" ht="1" customHeight="1">
      <s:c r="A11652" s="120" t="inlineStr"/>
      <s:c r="B11652" s="121" t="n"/>
      <s:c r="C11652" s="121" t="n"/>
      <s:c r="D11652" s="121" t="n"/>
      <s:c r="E11652" s="122" t="n"/>
    </s:row>
    <s:row r="11653" hidden="1" ht="1" customHeight="1">
      <s:c r="A11653" s="120" t="inlineStr"/>
      <s:c r="B11653" s="121" t="n"/>
      <s:c r="C11653" s="121" t="n"/>
      <s:c r="D11653" s="121" t="n"/>
      <s:c r="E11653" s="122" t="n"/>
    </s:row>
    <s:row r="11654" hidden="1" ht="1" customHeight="1">
      <s:c r="A11654" s="120" t="inlineStr"/>
      <s:c r="B11654" s="121" t="n"/>
      <s:c r="C11654" s="121" t="n"/>
      <s:c r="D11654" s="121" t="n"/>
      <s:c r="E11654" s="122" t="n"/>
    </s:row>
    <s:row r="11655" hidden="1" ht="1" customHeight="1">
      <s:c r="A11655" s="120" t="inlineStr"/>
      <s:c r="B11655" s="121" t="n"/>
      <s:c r="C11655" s="121" t="n"/>
      <s:c r="D11655" s="121" t="n"/>
      <s:c r="E11655" s="122" t="n"/>
    </s:row>
    <s:row r="11656" hidden="1" ht="1" customHeight="1">
      <s:c r="A11656" s="120" t="inlineStr"/>
      <s:c r="B11656" s="121" t="n"/>
      <s:c r="C11656" s="121" t="n"/>
      <s:c r="D11656" s="121" t="n"/>
      <s:c r="E11656" s="122" t="n"/>
    </s:row>
    <s:row r="11657" hidden="1" ht="1" customHeight="1">
      <s:c r="A11657" s="120" t="inlineStr"/>
      <s:c r="B11657" s="121" t="n"/>
      <s:c r="C11657" s="121" t="n"/>
      <s:c r="D11657" s="121" t="n"/>
      <s:c r="E11657" s="122" t="n"/>
    </s:row>
    <s:row r="11658" hidden="1" ht="1" customHeight="1">
      <s:c r="A11658" s="120" t="inlineStr"/>
      <s:c r="B11658" s="121" t="n"/>
      <s:c r="C11658" s="121" t="n"/>
      <s:c r="D11658" s="121" t="n"/>
      <s:c r="E11658" s="122" t="n"/>
    </s:row>
    <s:row r="11659" hidden="1" ht="1" customHeight="1">
      <s:c r="A11659" s="120" t="inlineStr"/>
      <s:c r="B11659" s="121" t="n"/>
      <s:c r="C11659" s="121" t="n"/>
      <s:c r="D11659" s="121" t="n"/>
      <s:c r="E11659" s="122" t="n"/>
    </s:row>
    <s:row r="11660" hidden="1" ht="1" customHeight="1">
      <s:c r="A11660" s="120" t="inlineStr"/>
      <s:c r="B11660" s="121" t="n"/>
      <s:c r="C11660" s="121" t="n"/>
      <s:c r="D11660" s="121" t="n"/>
      <s:c r="E11660" s="122" t="n"/>
    </s:row>
    <s:row r="11661" hidden="1" ht="1" customHeight="1">
      <s:c r="A11661" s="120" t="inlineStr"/>
      <s:c r="B11661" s="121" t="n"/>
      <s:c r="C11661" s="121" t="n"/>
      <s:c r="D11661" s="121" t="n"/>
      <s:c r="E11661" s="122" t="n"/>
    </s:row>
    <s:row r="11662" hidden="1" ht="1" customHeight="1">
      <s:c r="A11662" s="120" t="inlineStr"/>
      <s:c r="B11662" s="121" t="n"/>
      <s:c r="C11662" s="121" t="n"/>
      <s:c r="D11662" s="121" t="n"/>
      <s:c r="E11662" s="122" t="n"/>
    </s:row>
    <s:row r="11663" hidden="1" ht="1" customHeight="1">
      <s:c r="A11663" s="120" t="inlineStr"/>
      <s:c r="B11663" s="121" t="n"/>
      <s:c r="C11663" s="121" t="n"/>
      <s:c r="D11663" s="121" t="n"/>
      <s:c r="E11663" s="122" t="n"/>
    </s:row>
    <s:row r="11664" hidden="1" ht="1" customHeight="1">
      <s:c r="A11664" s="120" t="inlineStr"/>
      <s:c r="B11664" s="121" t="n"/>
      <s:c r="C11664" s="121" t="n"/>
      <s:c r="D11664" s="121" t="n"/>
      <s:c r="E11664" s="122" t="n"/>
    </s:row>
    <s:row r="11665" hidden="1" ht="1" customHeight="1">
      <s:c r="A11665" s="120" t="inlineStr"/>
      <s:c r="B11665" s="121" t="n"/>
      <s:c r="C11665" s="121" t="n"/>
      <s:c r="D11665" s="121" t="n"/>
      <s:c r="E11665" s="122" t="n"/>
    </s:row>
    <s:row r="11666" hidden="1" ht="1" customHeight="1">
      <s:c r="A11666" s="120" t="inlineStr"/>
      <s:c r="B11666" s="121" t="n"/>
      <s:c r="C11666" s="121" t="n"/>
      <s:c r="D11666" s="121" t="n"/>
      <s:c r="E11666" s="122" t="n"/>
    </s:row>
    <s:row r="11667" hidden="1" ht="1" customHeight="1">
      <s:c r="A11667" s="120" t="inlineStr"/>
      <s:c r="B11667" s="121" t="n"/>
      <s:c r="C11667" s="121" t="n"/>
      <s:c r="D11667" s="121" t="n"/>
      <s:c r="E11667" s="122" t="n"/>
    </s:row>
    <s:row r="11668" hidden="1" ht="1" customHeight="1">
      <s:c r="A11668" s="120" t="inlineStr"/>
      <s:c r="B11668" s="121" t="n"/>
      <s:c r="C11668" s="121" t="n"/>
      <s:c r="D11668" s="121" t="n"/>
      <s:c r="E11668" s="122" t="n"/>
    </s:row>
    <s:row r="11669" hidden="1" ht="1" customHeight="1">
      <s:c r="A11669" s="120" t="inlineStr"/>
      <s:c r="B11669" s="121" t="n"/>
      <s:c r="C11669" s="121" t="n"/>
      <s:c r="D11669" s="121" t="n"/>
      <s:c r="E11669" s="122" t="n"/>
    </s:row>
    <s:row r="11670" hidden="1" ht="1" customHeight="1">
      <s:c r="A11670" s="120" t="inlineStr"/>
      <s:c r="B11670" s="121" t="n"/>
      <s:c r="C11670" s="121" t="n"/>
      <s:c r="D11670" s="121" t="n"/>
      <s:c r="E11670" s="122" t="n"/>
    </s:row>
    <s:row r="11671" hidden="1" ht="1" customHeight="1">
      <s:c r="A11671" s="120" t="inlineStr"/>
      <s:c r="B11671" s="121" t="n"/>
      <s:c r="C11671" s="121" t="n"/>
      <s:c r="D11671" s="121" t="n"/>
      <s:c r="E11671" s="122" t="n"/>
    </s:row>
    <s:row r="11672" hidden="1" ht="1" customHeight="1">
      <s:c r="A11672" s="120" t="inlineStr"/>
      <s:c r="B11672" s="121" t="n"/>
      <s:c r="C11672" s="121" t="n"/>
      <s:c r="D11672" s="121" t="n"/>
      <s:c r="E11672" s="122" t="n"/>
    </s:row>
    <s:row r="11673" hidden="1" ht="1" customHeight="1">
      <s:c r="A11673" s="120" t="inlineStr"/>
      <s:c r="B11673" s="121" t="n"/>
      <s:c r="C11673" s="121" t="n"/>
      <s:c r="D11673" s="121" t="n"/>
      <s:c r="E11673" s="122" t="n"/>
    </s:row>
    <s:row r="11674" hidden="1" ht="1" customHeight="1">
      <s:c r="A11674" s="120" t="inlineStr"/>
      <s:c r="B11674" s="121" t="n"/>
      <s:c r="C11674" s="121" t="n"/>
      <s:c r="D11674" s="121" t="n"/>
      <s:c r="E11674" s="122" t="n"/>
    </s:row>
    <s:row r="11675" hidden="1" ht="1" customHeight="1">
      <s:c r="A11675" s="120" t="inlineStr"/>
      <s:c r="B11675" s="121" t="n"/>
      <s:c r="C11675" s="121" t="n"/>
      <s:c r="D11675" s="121" t="n"/>
      <s:c r="E11675" s="122" t="n"/>
    </s:row>
    <s:row r="11676" hidden="1" ht="1" customHeight="1">
      <s:c r="A11676" s="120" t="inlineStr"/>
      <s:c r="B11676" s="121" t="n"/>
      <s:c r="C11676" s="121" t="n"/>
      <s:c r="D11676" s="121" t="n"/>
      <s:c r="E11676" s="122" t="n"/>
    </s:row>
    <s:row r="11677" hidden="1" ht="1" customHeight="1">
      <s:c r="A11677" s="120" t="inlineStr"/>
      <s:c r="B11677" s="121" t="n"/>
      <s:c r="C11677" s="121" t="n"/>
      <s:c r="D11677" s="121" t="n"/>
      <s:c r="E11677" s="122" t="n"/>
    </s:row>
    <s:row r="11678" hidden="1" ht="1" customHeight="1">
      <s:c r="A11678" s="120" t="inlineStr"/>
      <s:c r="B11678" s="121" t="n"/>
      <s:c r="C11678" s="121" t="n"/>
      <s:c r="D11678" s="121" t="n"/>
      <s:c r="E11678" s="122" t="n"/>
    </s:row>
    <s:row r="11679" hidden="1" ht="1" customHeight="1">
      <s:c r="A11679" s="120" t="inlineStr"/>
      <s:c r="B11679" s="121" t="n"/>
      <s:c r="C11679" s="121" t="n"/>
      <s:c r="D11679" s="121" t="n"/>
      <s:c r="E11679" s="122" t="n"/>
    </s:row>
    <s:row r="11680" hidden="1" ht="1" customHeight="1">
      <s:c r="A11680" s="120" t="inlineStr"/>
      <s:c r="B11680" s="121" t="n"/>
      <s:c r="C11680" s="121" t="n"/>
      <s:c r="D11680" s="121" t="n"/>
      <s:c r="E11680" s="122" t="n"/>
    </s:row>
    <s:row r="11681" hidden="1" ht="1" customHeight="1">
      <s:c r="A11681" s="120" t="inlineStr"/>
      <s:c r="B11681" s="121" t="n"/>
      <s:c r="C11681" s="121" t="n"/>
      <s:c r="D11681" s="121" t="n"/>
      <s:c r="E11681" s="122" t="n"/>
    </s:row>
    <s:row r="11682" hidden="1" ht="1" customHeight="1">
      <s:c r="A11682" s="120" t="inlineStr"/>
      <s:c r="B11682" s="121" t="n"/>
      <s:c r="C11682" s="121" t="n"/>
      <s:c r="D11682" s="121" t="n"/>
      <s:c r="E11682" s="122" t="n"/>
    </s:row>
    <s:row r="11683" hidden="1" ht="1" customHeight="1">
      <s:c r="A11683" s="120" t="inlineStr"/>
      <s:c r="B11683" s="121" t="n"/>
      <s:c r="C11683" s="121" t="n"/>
      <s:c r="D11683" s="121" t="n"/>
      <s:c r="E11683" s="122" t="n"/>
    </s:row>
    <s:row r="11684" hidden="1" ht="1" customHeight="1">
      <s:c r="A11684" s="120" t="inlineStr"/>
      <s:c r="B11684" s="121" t="n"/>
      <s:c r="C11684" s="121" t="n"/>
      <s:c r="D11684" s="121" t="n"/>
      <s:c r="E11684" s="122" t="n"/>
    </s:row>
    <s:row r="11685" hidden="1" ht="1" customHeight="1">
      <s:c r="A11685" s="120" t="inlineStr"/>
      <s:c r="B11685" s="121" t="n"/>
      <s:c r="C11685" s="121" t="n"/>
      <s:c r="D11685" s="121" t="n"/>
      <s:c r="E11685" s="122" t="n"/>
    </s:row>
    <s:row r="11686" hidden="1" ht="1" customHeight="1">
      <s:c r="A11686" s="120" t="inlineStr"/>
      <s:c r="B11686" s="121" t="n"/>
      <s:c r="C11686" s="121" t="n"/>
      <s:c r="D11686" s="121" t="n"/>
      <s:c r="E11686" s="122" t="n"/>
    </s:row>
    <s:row r="11687" hidden="1" ht="1" customHeight="1">
      <s:c r="A11687" s="120" t="inlineStr"/>
      <s:c r="B11687" s="121" t="n"/>
      <s:c r="C11687" s="121" t="n"/>
      <s:c r="D11687" s="121" t="n"/>
      <s:c r="E11687" s="122" t="n"/>
    </s:row>
    <s:row r="11688" hidden="1" ht="1" customHeight="1">
      <s:c r="A11688" s="120" t="inlineStr"/>
      <s:c r="B11688" s="121" t="n"/>
      <s:c r="C11688" s="121" t="n"/>
      <s:c r="D11688" s="121" t="n"/>
      <s:c r="E11688" s="122" t="n"/>
    </s:row>
    <s:row r="11689" hidden="1" ht="1" customHeight="1">
      <s:c r="A11689" s="120" t="inlineStr"/>
      <s:c r="B11689" s="121" t="n"/>
      <s:c r="C11689" s="121" t="n"/>
      <s:c r="D11689" s="121" t="n"/>
      <s:c r="E11689" s="122" t="n"/>
    </s:row>
    <s:row r="11690" hidden="1" ht="1" customHeight="1">
      <s:c r="A11690" s="120" t="inlineStr"/>
      <s:c r="B11690" s="121" t="n"/>
      <s:c r="C11690" s="121" t="n"/>
      <s:c r="D11690" s="121" t="n"/>
      <s:c r="E11690" s="122" t="n"/>
    </s:row>
    <s:row r="11691" hidden="1" ht="1" customHeight="1">
      <s:c r="A11691" s="83" t="inlineStr">
        <s:is>
          <s:t>PASS</s:t>
        </s:is>
      </s:c>
      <s:c r="B11691" s="83">
        <s:f>SUM(IF(EXACT('Kiểm thử'!E11541,"Đạt"),1,0),IF(EXACT('Kiểm thử'!E11543,"Đạt"),1,0),IF(EXACT('Kiểm thử'!E11545,"Đạt"),1,0))</s:f>
        <s:v/>
      </s:c>
      <s:c r="C11691" s="19" t="n"/>
      <s:c r="D11691" s="19" t="n"/>
      <s:c r="E11691" s="19" t="n"/>
    </s:row>
    <s:row r="11692" hidden="1" ht="1" customHeight="1">
      <s:c r="A11692" s="83" t="inlineStr">
        <s:is>
          <s:t>FAIL</s:t>
        </s:is>
      </s:c>
      <s:c r="B11692" s="83">
        <s:f>SUM(IF(EXACT('Kiểm thử'!E11541,"Không đạt"),1,0),IF(EXACT('Kiểm thử'!E11543,"Không đạt"),1,0),IF(EXACT('Kiểm thử'!E11545,"Không đạt"),1,0))</s:f>
        <s:v/>
      </s:c>
      <s:c r="C11692" s="19" t="n"/>
      <s:c r="D11692" s="19" t="n"/>
      <s:c r="E11692" s="19" t="n"/>
    </s:row>
    <s:row r="11693" hidden="1" ht="1" customHeight="1">
      <s:c r="A11693" s="83" t="inlineStr">
        <s:is>
          <s:t>BLOCKED</s:t>
        </s:is>
      </s:c>
      <s:c r="B11693" s="83">
        <s:f>SUM(IF(EXACT('Kiểm thử'!E11541,"Bị chặn"),1,0),IF(EXACT('Kiểm thử'!E11543,"Bị chặn"),1,0),IF(EXACT('Kiểm thử'!E11545,"Bị chặn"),1,0))</s:f>
        <s:v/>
      </s:c>
      <s:c r="C11693" s="19" t="n"/>
      <s:c r="D11693" s="19" t="n"/>
      <s:c r="E11693" s="19" t="n"/>
    </s:row>
    <s:row r="11694" hidden="1" ht="1" customHeight="1">
      <s:c r="A11694" s="83" t="inlineStr">
        <s:is>
          <s:t>SKIPPED</s:t>
        </s:is>
      </s:c>
      <s:c r="B11694" s="83">
        <s:f>SUM(IF(EXACT('Kiểm thử'!E11541,"Không thực hiện"),1,0),IF(EXACT('Kiểm thử'!E11543,"Không thực hiện"),1,0),IF(EXACT('Kiểm thử'!E11545,"Không thực hiện"),1,0))</s:f>
        <s:v/>
      </s:c>
      <s:c r="C11694" s="19" t="n"/>
      <s:c r="D11694" s="19" t="n"/>
      <s:c r="E11694" s="19" t="n"/>
    </s:row>
    <s:row r="11695" hidden="1" ht="1" customHeight="1">
      <s:c r="A11695" s="83" t="inlineStr">
        <s:is>
          <s:t>NOT RUN</s:t>
        </s:is>
      </s:c>
      <s:c r="B11695" s="83">
        <s:f>SUM(IF(EXACT('Kiểm thử'!E11541,"Chưa thực hiện"),1,0),IF(EXACT('Kiểm thử'!E11543,"Chưa thực hiện"),1,0),IF(EXACT('Kiểm thử'!E11545,"Chưa thực hiện"),1,0))</s:f>
        <s:v/>
      </s:c>
      <s:c r="C11695" s="19" t="n"/>
      <s:c r="D11695" s="19" t="n"/>
      <s:c r="E11695" s="19" t="n"/>
    </s:row>
    <s:row r="11696" hidden="1" ht="6" customHeight="1">
      <s:c r="A11696" s="83" t="inlineStr"/>
      <s:c r="B11696" s="19" t="n"/>
      <s:c r="C11696" s="19" t="n"/>
      <s:c r="D11696" s="19" t="n"/>
      <s:c r="E11696" s="19" t="n"/>
    </s:row>
    <s:row r="11697" ht="28" customHeight="1">
      <s:c r="A11697" s="108" t="inlineStr">
        <s:is>
          <s:t>TC-RS-BR-028 — Nhóm tham chiếu có lớp khác M không gây lỗi dừng xử lý</s:t>
        </s:is>
      </s:c>
      <s:c r="B11697" s="111" t="n"/>
      <s:c r="C11697" s="111" t="n"/>
      <s:c r="D11697" s="111" t="n"/>
      <s:c r="E11697" s="111" t="n"/>
    </s:row>
    <s:row r="11698" ht="20" customHeight="1">
      <s:c r="A11698" s="112" t="inlineStr">
        <s:is>
          <s:t>Kết quả tình huống</s:t>
        </s:is>
      </s:c>
      <s:c r="B11698" s="113">
        <s:f>IF(SUM(IF(EXACT('Kiểm thử'!E11707,"Không đạt"),1,0))&gt;0,"Không đạt",IF(SUM(IF(EXACT('Kiểm thử'!E11707,"Đạt"),1,0))=1,"Đạt",IF(SUM(IF(EXACT('Kiểm thử'!E11707,"Không thực hiện"),1,0))=1,"Không thực hiện",IF(SUM(IF(EXACT('Kiểm thử'!E11707,"Bị chặn"),1,0))&gt;0,"Bị chặn",IF(SUM(IF(EXACT('Kiểm thử'!E11707,"Chưa thực hiện"),1,0))=1,"Chưa thực hiện","Đang thực hiện")))))</s:f>
        <s:v/>
      </s:c>
      <s:c r="C11698" s="114" t="n"/>
      <s:c r="D11698" s="114" t="n"/>
      <s:c r="E11698" s="114" t="n"/>
    </s:row>
    <s:row r="11699" ht="20" customHeight="1">
      <s:c r="A11699" s="112" t="inlineStr">
        <s:is>
          <s:t>Màn hình / chức năng</s:t>
        </s:is>
      </s:c>
      <s:c r="B11699" s="113" t="inlineStr">
        <s:is>
          <s:t>Nguồn tổng hợp</s:t>
        </s:is>
      </s:c>
      <s:c r="C11699" s="28" t="n"/>
      <s:c r="D11699" s="28" t="n"/>
      <s:c r="E11699" s="28" t="n"/>
    </s:row>
    <s:row r="11700" ht="48" customHeight="1">
      <s:c r="A11700" s="112" t="inlineStr">
        <s:is>
          <s:t>Cấu hình</s:t>
        </s:is>
      </s:c>
      <s:c r="B11700" s="113" t="inlineStr">
        <s:is>
          <s:r>
            <s:t>• Nhóm tham chiếu gồm G-A có [</s:t>
          </s:r>
          <s:r>
            <s:rPr>
              <s:b val="1"/>
            </s:rPr>
            <s:t>M=20</s:t>
          </s:r>
          <s:r>
            <s:t>] và G-B có [</s:t>
          </s:r>
          <s:r>
            <s:rPr>
              <s:b val="1"/>
            </s:rPr>
            <s:t>M=100</s:t>
          </s:r>
          <s:r>
            <s:t>];
• Rule dùng [R (tỷ lệ nhóm)] với điều kiện [</s:t>
          </s:r>
          <s:r>
            <s:rPr>
              <s:b val="1"/>
            </s:rPr>
            <s:t>R≥65%</s:t>
          </s:r>
          <s:r>
            <s:t>];
• P1 thuộc phạm vi được xét ở G-B ([</s:t>
          </s:r>
          <s:r>
            <s:rPr>
              <s:b val="1"/>
            </s:rPr>
            <s:t>M=100</s:t>
          </s:r>
          <s:r>
            <s:t>]).</s:t>
          </s:r>
        </s:is>
      </s:c>
      <s:c r="C11700" s="28" t="n"/>
      <s:c r="D11700" s="28" t="n"/>
      <s:c r="E11700" s="28" t="n"/>
    </s:row>
    <s:row r="11701" ht="62" customHeight="1">
      <s:c r="A11701" s="112" t="inlineStr">
        <s:is>
          <s:t>Dữ liệu test</s:t>
        </s:is>
      </s:c>
      <s:c r="B11701" s="113" t="inlineStr">
        <s:is>
          <s:r>
            <s:t>• G-A có [10/20], G-B có [80/100];
• Fixture nguồn đã chuẩn bị/quan sát phải ghi rõ giá trị [R] thực sự được reader sử dụng. Với nguồn tổng điểm/tổng M, fixture này cho [</s:t>
          </s:r>
          <s:r>
            <s:rPr>
              <s:b val="1"/>
            </s:rPr>
            <s:t>R=75%</s:t>
          </s:r>
          <s:r>
            <s:t>];
• P1 có [</s:t>
          </s:r>
          <s:r>
            <s:rPr>
              <s:b val="1"/>
            </s:rPr>
            <s:t>S=60</s:t>
          </s:r>
          <s:r>
            <s:t>], ngưỡng cố định [</s:t>
          </s:r>
          <s:r>
            <s:rPr>
              <s:b val="1"/>
            </s:rPr>
            <s:t>T=70</s:t>
          </s:r>
          <s:r>
            <s:t>] hợp lệ với [</s:t>
          </s:r>
          <s:r>
            <s:rPr>
              <s:b val="1"/>
            </s:rPr>
            <s:t>M=100</s:t>
          </s:r>
          <s:r>
            <s:t>].</s:t>
          </s:r>
        </s:is>
      </s:c>
      <s:c r="C11701" s="28" t="n"/>
      <s:c r="D11701" s="28" t="n"/>
      <s:c r="E11701" s="28" t="n"/>
    </s:row>
    <s:row r="11702" ht="34" customHeight="1">
      <s:c r="A11702" s="112" t="inlineStr">
        <s:is>
          <s:t>Bước 1</s:t>
        </s:is>
      </s:c>
      <s:c r="B11702" s="113" t="inlineStr">
        <s:is>
          <s:r>
            <s:t>Lưu quy tắc theo tỷ lệ điểm của nhóm từ 65% với nguồn là nhóm trên; ghi source snapshot/reader và xác nhận [</s:t>
          </s:r>
          <s:r>
            <s:rPr>
              <s:b val="1"/>
            </s:rPr>
            <s:t>R=75%</s:t>
          </s:r>
          <s:r>
            <s:t>] đã được chuẩn bị.</s:t>
          </s:r>
        </s:is>
      </s:c>
      <s:c r="C11702" s="28" t="n"/>
      <s:c r="D11702" s="28" t="n"/>
      <s:c r="E11702" s="28" t="n"/>
    </s:row>
    <s:row r="11703" ht="20" customHeight="1">
      <s:c r="A11703" s="112" t="inlineStr">
        <s:is>
          <s:t>Bước 2</s:t>
        </s:is>
      </s:c>
      <s:c r="B11703" s="113" t="inlineStr">
        <s:is>
          <s:t>Chạy nút xanh rồi nút cam cho phạm vi.</s:t>
        </s:is>
      </s:c>
      <s:c r="C11703" s="28" t="n"/>
      <s:c r="D11703" s="28" t="n"/>
      <s:c r="E11703" s="28" t="n"/>
    </s:row>
    <s:row r="11704" ht="20" customHeight="1">
      <s:c r="A11704" s="112" t="inlineStr">
        <s:is>
          <s:t>Bước 3</s:t>
        </s:is>
      </s:c>
      <s:c r="B11704" s="113" t="inlineStr">
        <s:is>
          <s:t>Xem màn kết quả xử lý và kết quả P1.</s:t>
        </s:is>
      </s:c>
      <s:c r="C11704" s="28" t="n"/>
      <s:c r="D11704" s="28" t="n"/>
      <s:c r="E11704" s="28" t="n"/>
    </s:row>
    <s:row r="11705" ht="28" customHeight="1">
      <s:c r="A11705" s="115" t="inlineStr">
        <s:is>
          <s:t>Trường hợp</s:t>
        </s:is>
      </s:c>
      <s:c r="B11705" s="115" t="inlineStr">
        <s:is>
          <s:t>Dữ liệu / thao tác riêng</s:t>
        </s:is>
      </s:c>
      <s:c r="C11705" s="115" t="inlineStr">
        <s:is>
          <s:t>Kết quả mong đợi</s:t>
        </s:is>
      </s:c>
      <s:c r="D11705" s="115" t="inlineStr">
        <s:is>
          <s:t>Kết quả thực tế</s:t>
        </s:is>
      </s:c>
      <s:c r="E11705" s="115" t="inlineStr">
        <s:is>
          <s:t>Đánh giá</s:t>
        </s:is>
      </s:c>
    </s:row>
    <s:row r="11706" ht="3" customHeight="1">
      <s:c r="A11706" s="102" t="inlineStr"/>
      <s:c r="B11706" s="99" t="n"/>
      <s:c r="C11706" s="99" t="n"/>
      <s:c r="D11706" s="116" t="n"/>
      <s:c r="E11706" s="116" t="n"/>
    </s:row>
    <s:row r="11707" ht="174" customHeight="1">
      <s:c r="A11707" s="83" t="inlineStr">
        <s:is>
          <s:t>Trường hợp cơ bản (Base)</s:t>
        </s:is>
      </s:c>
      <s:c r="B11707" s="83" t="inlineStr">
        <s:is>
          <s:t>Toàn bộ tình huống: Thực hiện đủ các bước chung theo thứ tự; kiểm cả đối tượng đích và đối chứng cùng fixture, không bỏ bước.</s:t>
        </s:is>
      </s:c>
      <s:c r="C11707" s="83" t="inlineStr">
        <s:is>
          <s:r>
            <s:t>1. Lưu được; không bị chặn vì nhóm có lớp khác M.
2–3. Xử lý hoàn tất, không lỗi dừng do khác M. Ghi lại trong evidence nguồn/bản snapshot và [R] thực sự được reader dùng; nếu reader dùng nguồn tổng điểm/tổng M thì fixture này cho [R=(10+80)/(20+100)×100=75%], khớp [≥65%], [</s:t>
          </s:r>
          <s:r>
            <s:rPr>
              <s:b val="1"/>
            </s:rPr>
            <s:t>T=70</s:t>
          </s:r>
          <s:r>
            <s:t xml:space="preserve">] và P1 </s:t>
          </s:r>
          <s:r>
            <s:rPr>
              <s:b val="1"/>
            </s:rPr>
            <s:t>Đỏ</s:t>
          </s:r>
          <s:r>
            <s:t>. Không dùng phép tính trong case để áp đặt một cách tổng hợp mới; không dùng trung bình tỷ lệ cá nhân làm oracle thay cho nguồn hiện hữu.</s:t>
          </s:r>
        </s:is>
      </s:c>
      <s:c r="D11707" s="117" t="inlineStr"/>
      <s:c r="E11707" s="118" t="inlineStr">
        <s:is>
          <s:t>Chưa thực hiện</s:t>
        </s:is>
      </s:c>
    </s:row>
    <s:row r="11708" ht="20" customHeight="1">
      <s:c r="A11708" s="119" t="inlineStr">
        <s:is>
          <s:t>Ảnh minh chứng — Chưa có ảnh</s:t>
        </s:is>
      </s:c>
      <s:c r="B11708" s="19" t="n"/>
      <s:c r="C11708" s="19" t="n"/>
      <s:c r="D11708" s="19" t="n"/>
      <s:c r="E11708" s="19" t="n"/>
    </s:row>
    <s:row r="11709" hidden="1" ht="1" customHeight="1">
      <s:c r="A11709" s="120" t="inlineStr"/>
      <s:c r="B11709" s="121" t="n"/>
      <s:c r="C11709" s="121" t="n"/>
      <s:c r="D11709" s="121" t="n"/>
      <s:c r="E11709" s="122" t="n"/>
    </s:row>
    <s:row r="11710" hidden="1" ht="1" customHeight="1">
      <s:c r="A11710" s="120" t="inlineStr"/>
      <s:c r="B11710" s="121" t="n"/>
      <s:c r="C11710" s="121" t="n"/>
      <s:c r="D11710" s="121" t="n"/>
      <s:c r="E11710" s="122" t="n"/>
    </s:row>
    <s:row r="11711" hidden="1" ht="1" customHeight="1">
      <s:c r="A11711" s="120" t="inlineStr"/>
      <s:c r="B11711" s="121" t="n"/>
      <s:c r="C11711" s="121" t="n"/>
      <s:c r="D11711" s="121" t="n"/>
      <s:c r="E11711" s="122" t="n"/>
    </s:row>
    <s:row r="11712" hidden="1" ht="1" customHeight="1">
      <s:c r="A11712" s="120" t="inlineStr"/>
      <s:c r="B11712" s="121" t="n"/>
      <s:c r="C11712" s="121" t="n"/>
      <s:c r="D11712" s="121" t="n"/>
      <s:c r="E11712" s="122" t="n"/>
    </s:row>
    <s:row r="11713" hidden="1" ht="1" customHeight="1">
      <s:c r="A11713" s="120" t="inlineStr"/>
      <s:c r="B11713" s="121" t="n"/>
      <s:c r="C11713" s="121" t="n"/>
      <s:c r="D11713" s="121" t="n"/>
      <s:c r="E11713" s="122" t="n"/>
    </s:row>
    <s:row r="11714" hidden="1" ht="1" customHeight="1">
      <s:c r="A11714" s="120" t="inlineStr"/>
      <s:c r="B11714" s="121" t="n"/>
      <s:c r="C11714" s="121" t="n"/>
      <s:c r="D11714" s="121" t="n"/>
      <s:c r="E11714" s="122" t="n"/>
    </s:row>
    <s:row r="11715" hidden="1" ht="1" customHeight="1">
      <s:c r="A11715" s="120" t="inlineStr"/>
      <s:c r="B11715" s="121" t="n"/>
      <s:c r="C11715" s="121" t="n"/>
      <s:c r="D11715" s="121" t="n"/>
      <s:c r="E11715" s="122" t="n"/>
    </s:row>
    <s:row r="11716" hidden="1" ht="1" customHeight="1">
      <s:c r="A11716" s="120" t="inlineStr"/>
      <s:c r="B11716" s="121" t="n"/>
      <s:c r="C11716" s="121" t="n"/>
      <s:c r="D11716" s="121" t="n"/>
      <s:c r="E11716" s="122" t="n"/>
    </s:row>
    <s:row r="11717" hidden="1" ht="1" customHeight="1">
      <s:c r="A11717" s="120" t="inlineStr"/>
      <s:c r="B11717" s="121" t="n"/>
      <s:c r="C11717" s="121" t="n"/>
      <s:c r="D11717" s="121" t="n"/>
      <s:c r="E11717" s="122" t="n"/>
    </s:row>
    <s:row r="11718" hidden="1" ht="1" customHeight="1">
      <s:c r="A11718" s="120" t="inlineStr"/>
      <s:c r="B11718" s="121" t="n"/>
      <s:c r="C11718" s="121" t="n"/>
      <s:c r="D11718" s="121" t="n"/>
      <s:c r="E11718" s="122" t="n"/>
    </s:row>
    <s:row r="11719" hidden="1" ht="1" customHeight="1">
      <s:c r="A11719" s="120" t="inlineStr"/>
      <s:c r="B11719" s="121" t="n"/>
      <s:c r="C11719" s="121" t="n"/>
      <s:c r="D11719" s="121" t="n"/>
      <s:c r="E11719" s="122" t="n"/>
    </s:row>
    <s:row r="11720" hidden="1" ht="1" customHeight="1">
      <s:c r="A11720" s="120" t="inlineStr"/>
      <s:c r="B11720" s="121" t="n"/>
      <s:c r="C11720" s="121" t="n"/>
      <s:c r="D11720" s="121" t="n"/>
      <s:c r="E11720" s="122" t="n"/>
    </s:row>
    <s:row r="11721" hidden="1" ht="1" customHeight="1">
      <s:c r="A11721" s="120" t="inlineStr"/>
      <s:c r="B11721" s="121" t="n"/>
      <s:c r="C11721" s="121" t="n"/>
      <s:c r="D11721" s="121" t="n"/>
      <s:c r="E11721" s="122" t="n"/>
    </s:row>
    <s:row r="11722" hidden="1" ht="1" customHeight="1">
      <s:c r="A11722" s="120" t="inlineStr"/>
      <s:c r="B11722" s="121" t="n"/>
      <s:c r="C11722" s="121" t="n"/>
      <s:c r="D11722" s="121" t="n"/>
      <s:c r="E11722" s="122" t="n"/>
    </s:row>
    <s:row r="11723" hidden="1" ht="1" customHeight="1">
      <s:c r="A11723" s="120" t="inlineStr"/>
      <s:c r="B11723" s="121" t="n"/>
      <s:c r="C11723" s="121" t="n"/>
      <s:c r="D11723" s="121" t="n"/>
      <s:c r="E11723" s="122" t="n"/>
    </s:row>
    <s:row r="11724" hidden="1" ht="1" customHeight="1">
      <s:c r="A11724" s="120" t="inlineStr"/>
      <s:c r="B11724" s="121" t="n"/>
      <s:c r="C11724" s="121" t="n"/>
      <s:c r="D11724" s="121" t="n"/>
      <s:c r="E11724" s="122" t="n"/>
    </s:row>
    <s:row r="11725" hidden="1" ht="1" customHeight="1">
      <s:c r="A11725" s="120" t="inlineStr"/>
      <s:c r="B11725" s="121" t="n"/>
      <s:c r="C11725" s="121" t="n"/>
      <s:c r="D11725" s="121" t="n"/>
      <s:c r="E11725" s="122" t="n"/>
    </s:row>
    <s:row r="11726" hidden="1" ht="1" customHeight="1">
      <s:c r="A11726" s="120" t="inlineStr"/>
      <s:c r="B11726" s="121" t="n"/>
      <s:c r="C11726" s="121" t="n"/>
      <s:c r="D11726" s="121" t="n"/>
      <s:c r="E11726" s="122" t="n"/>
    </s:row>
    <s:row r="11727" hidden="1" ht="1" customHeight="1">
      <s:c r="A11727" s="120" t="inlineStr"/>
      <s:c r="B11727" s="121" t="n"/>
      <s:c r="C11727" s="121" t="n"/>
      <s:c r="D11727" s="121" t="n"/>
      <s:c r="E11727" s="122" t="n"/>
    </s:row>
    <s:row r="11728" hidden="1" ht="1" customHeight="1">
      <s:c r="A11728" s="120" t="inlineStr"/>
      <s:c r="B11728" s="121" t="n"/>
      <s:c r="C11728" s="121" t="n"/>
      <s:c r="D11728" s="121" t="n"/>
      <s:c r="E11728" s="122" t="n"/>
    </s:row>
    <s:row r="11729" hidden="1" ht="1" customHeight="1">
      <s:c r="A11729" s="120" t="inlineStr"/>
      <s:c r="B11729" s="121" t="n"/>
      <s:c r="C11729" s="121" t="n"/>
      <s:c r="D11729" s="121" t="n"/>
      <s:c r="E11729" s="122" t="n"/>
    </s:row>
    <s:row r="11730" hidden="1" ht="1" customHeight="1">
      <s:c r="A11730" s="120" t="inlineStr"/>
      <s:c r="B11730" s="121" t="n"/>
      <s:c r="C11730" s="121" t="n"/>
      <s:c r="D11730" s="121" t="n"/>
      <s:c r="E11730" s="122" t="n"/>
    </s:row>
    <s:row r="11731" hidden="1" ht="1" customHeight="1">
      <s:c r="A11731" s="120" t="inlineStr"/>
      <s:c r="B11731" s="121" t="n"/>
      <s:c r="C11731" s="121" t="n"/>
      <s:c r="D11731" s="121" t="n"/>
      <s:c r="E11731" s="122" t="n"/>
    </s:row>
    <s:row r="11732" hidden="1" ht="1" customHeight="1">
      <s:c r="A11732" s="120" t="inlineStr"/>
      <s:c r="B11732" s="121" t="n"/>
      <s:c r="C11732" s="121" t="n"/>
      <s:c r="D11732" s="121" t="n"/>
      <s:c r="E11732" s="122" t="n"/>
    </s:row>
    <s:row r="11733" hidden="1" ht="1" customHeight="1">
      <s:c r="A11733" s="120" t="inlineStr"/>
      <s:c r="B11733" s="121" t="n"/>
      <s:c r="C11733" s="121" t="n"/>
      <s:c r="D11733" s="121" t="n"/>
      <s:c r="E11733" s="122" t="n"/>
    </s:row>
    <s:row r="11734" hidden="1" ht="1" customHeight="1">
      <s:c r="A11734" s="120" t="inlineStr"/>
      <s:c r="B11734" s="121" t="n"/>
      <s:c r="C11734" s="121" t="n"/>
      <s:c r="D11734" s="121" t="n"/>
      <s:c r="E11734" s="122" t="n"/>
    </s:row>
    <s:row r="11735" hidden="1" ht="1" customHeight="1">
      <s:c r="A11735" s="120" t="inlineStr"/>
      <s:c r="B11735" s="121" t="n"/>
      <s:c r="C11735" s="121" t="n"/>
      <s:c r="D11735" s="121" t="n"/>
      <s:c r="E11735" s="122" t="n"/>
    </s:row>
    <s:row r="11736" hidden="1" ht="1" customHeight="1">
      <s:c r="A11736" s="120" t="inlineStr"/>
      <s:c r="B11736" s="121" t="n"/>
      <s:c r="C11736" s="121" t="n"/>
      <s:c r="D11736" s="121" t="n"/>
      <s:c r="E11736" s="122" t="n"/>
    </s:row>
    <s:row r="11737" hidden="1" ht="1" customHeight="1">
      <s:c r="A11737" s="120" t="inlineStr"/>
      <s:c r="B11737" s="121" t="n"/>
      <s:c r="C11737" s="121" t="n"/>
      <s:c r="D11737" s="121" t="n"/>
      <s:c r="E11737" s="122" t="n"/>
    </s:row>
    <s:row r="11738" hidden="1" ht="1" customHeight="1">
      <s:c r="A11738" s="120" t="inlineStr"/>
      <s:c r="B11738" s="121" t="n"/>
      <s:c r="C11738" s="121" t="n"/>
      <s:c r="D11738" s="121" t="n"/>
      <s:c r="E11738" s="122" t="n"/>
    </s:row>
    <s:row r="11739" hidden="1" ht="1" customHeight="1">
      <s:c r="A11739" s="120" t="inlineStr"/>
      <s:c r="B11739" s="121" t="n"/>
      <s:c r="C11739" s="121" t="n"/>
      <s:c r="D11739" s="121" t="n"/>
      <s:c r="E11739" s="122" t="n"/>
    </s:row>
    <s:row r="11740" hidden="1" ht="1" customHeight="1">
      <s:c r="A11740" s="120" t="inlineStr"/>
      <s:c r="B11740" s="121" t="n"/>
      <s:c r="C11740" s="121" t="n"/>
      <s:c r="D11740" s="121" t="n"/>
      <s:c r="E11740" s="122" t="n"/>
    </s:row>
    <s:row r="11741" hidden="1" ht="1" customHeight="1">
      <s:c r="A11741" s="120" t="inlineStr"/>
      <s:c r="B11741" s="121" t="n"/>
      <s:c r="C11741" s="121" t="n"/>
      <s:c r="D11741" s="121" t="n"/>
      <s:c r="E11741" s="122" t="n"/>
    </s:row>
    <s:row r="11742" hidden="1" ht="1" customHeight="1">
      <s:c r="A11742" s="120" t="inlineStr"/>
      <s:c r="B11742" s="121" t="n"/>
      <s:c r="C11742" s="121" t="n"/>
      <s:c r="D11742" s="121" t="n"/>
      <s:c r="E11742" s="122" t="n"/>
    </s:row>
    <s:row r="11743" hidden="1" ht="1" customHeight="1">
      <s:c r="A11743" s="120" t="inlineStr"/>
      <s:c r="B11743" s="121" t="n"/>
      <s:c r="C11743" s="121" t="n"/>
      <s:c r="D11743" s="121" t="n"/>
      <s:c r="E11743" s="122" t="n"/>
    </s:row>
    <s:row r="11744" hidden="1" ht="1" customHeight="1">
      <s:c r="A11744" s="120" t="inlineStr"/>
      <s:c r="B11744" s="121" t="n"/>
      <s:c r="C11744" s="121" t="n"/>
      <s:c r="D11744" s="121" t="n"/>
      <s:c r="E11744" s="122" t="n"/>
    </s:row>
    <s:row r="11745" hidden="1" ht="1" customHeight="1">
      <s:c r="A11745" s="120" t="inlineStr"/>
      <s:c r="B11745" s="121" t="n"/>
      <s:c r="C11745" s="121" t="n"/>
      <s:c r="D11745" s="121" t="n"/>
      <s:c r="E11745" s="122" t="n"/>
    </s:row>
    <s:row r="11746" hidden="1" ht="1" customHeight="1">
      <s:c r="A11746" s="120" t="inlineStr"/>
      <s:c r="B11746" s="121" t="n"/>
      <s:c r="C11746" s="121" t="n"/>
      <s:c r="D11746" s="121" t="n"/>
      <s:c r="E11746" s="122" t="n"/>
    </s:row>
    <s:row r="11747" hidden="1" ht="1" customHeight="1">
      <s:c r="A11747" s="120" t="inlineStr"/>
      <s:c r="B11747" s="121" t="n"/>
      <s:c r="C11747" s="121" t="n"/>
      <s:c r="D11747" s="121" t="n"/>
      <s:c r="E11747" s="122" t="n"/>
    </s:row>
    <s:row r="11748" hidden="1" ht="1" customHeight="1">
      <s:c r="A11748" s="120" t="inlineStr"/>
      <s:c r="B11748" s="121" t="n"/>
      <s:c r="C11748" s="121" t="n"/>
      <s:c r="D11748" s="121" t="n"/>
      <s:c r="E11748" s="122" t="n"/>
    </s:row>
    <s:row r="11749" hidden="1" ht="1" customHeight="1">
      <s:c r="A11749" s="120" t="inlineStr"/>
      <s:c r="B11749" s="121" t="n"/>
      <s:c r="C11749" s="121" t="n"/>
      <s:c r="D11749" s="121" t="n"/>
      <s:c r="E11749" s="122" t="n"/>
    </s:row>
    <s:row r="11750" hidden="1" ht="1" customHeight="1">
      <s:c r="A11750" s="120" t="inlineStr"/>
      <s:c r="B11750" s="121" t="n"/>
      <s:c r="C11750" s="121" t="n"/>
      <s:c r="D11750" s="121" t="n"/>
      <s:c r="E11750" s="122" t="n"/>
    </s:row>
    <s:row r="11751" hidden="1" ht="1" customHeight="1">
      <s:c r="A11751" s="120" t="inlineStr"/>
      <s:c r="B11751" s="121" t="n"/>
      <s:c r="C11751" s="121" t="n"/>
      <s:c r="D11751" s="121" t="n"/>
      <s:c r="E11751" s="122" t="n"/>
    </s:row>
    <s:row r="11752" hidden="1" ht="1" customHeight="1">
      <s:c r="A11752" s="120" t="inlineStr"/>
      <s:c r="B11752" s="121" t="n"/>
      <s:c r="C11752" s="121" t="n"/>
      <s:c r="D11752" s="121" t="n"/>
      <s:c r="E11752" s="122" t="n"/>
    </s:row>
    <s:row r="11753" hidden="1" ht="1" customHeight="1">
      <s:c r="A11753" s="120" t="inlineStr"/>
      <s:c r="B11753" s="121" t="n"/>
      <s:c r="C11753" s="121" t="n"/>
      <s:c r="D11753" s="121" t="n"/>
      <s:c r="E11753" s="122" t="n"/>
    </s:row>
    <s:row r="11754" hidden="1" ht="1" customHeight="1">
      <s:c r="A11754" s="120" t="inlineStr"/>
      <s:c r="B11754" s="121" t="n"/>
      <s:c r="C11754" s="121" t="n"/>
      <s:c r="D11754" s="121" t="n"/>
      <s:c r="E11754" s="122" t="n"/>
    </s:row>
    <s:row r="11755" hidden="1" ht="1" customHeight="1">
      <s:c r="A11755" s="120" t="inlineStr"/>
      <s:c r="B11755" s="121" t="n"/>
      <s:c r="C11755" s="121" t="n"/>
      <s:c r="D11755" s="121" t="n"/>
      <s:c r="E11755" s="122" t="n"/>
    </s:row>
    <s:row r="11756" hidden="1" ht="1" customHeight="1">
      <s:c r="A11756" s="120" t="inlineStr"/>
      <s:c r="B11756" s="121" t="n"/>
      <s:c r="C11756" s="121" t="n"/>
      <s:c r="D11756" s="121" t="n"/>
      <s:c r="E11756" s="122" t="n"/>
    </s:row>
    <s:row r="11757" hidden="1" ht="1" customHeight="1">
      <s:c r="A11757" s="83" t="inlineStr">
        <s:is>
          <s:t>PASS</s:t>
        </s:is>
      </s:c>
      <s:c r="B11757" s="83">
        <s:f>SUM(IF(EXACT('Kiểm thử'!E11707,"Đạt"),1,0))</s:f>
        <s:v/>
      </s:c>
      <s:c r="C11757" s="19" t="n"/>
      <s:c r="D11757" s="19" t="n"/>
      <s:c r="E11757" s="19" t="n"/>
    </s:row>
    <s:row r="11758" hidden="1" ht="1" customHeight="1">
      <s:c r="A11758" s="83" t="inlineStr">
        <s:is>
          <s:t>FAIL</s:t>
        </s:is>
      </s:c>
      <s:c r="B11758" s="83">
        <s:f>SUM(IF(EXACT('Kiểm thử'!E11707,"Không đạt"),1,0))</s:f>
        <s:v/>
      </s:c>
      <s:c r="C11758" s="19" t="n"/>
      <s:c r="D11758" s="19" t="n"/>
      <s:c r="E11758" s="19" t="n"/>
    </s:row>
    <s:row r="11759" hidden="1" ht="1" customHeight="1">
      <s:c r="A11759" s="83" t="inlineStr">
        <s:is>
          <s:t>BLOCKED</s:t>
        </s:is>
      </s:c>
      <s:c r="B11759" s="83">
        <s:f>SUM(IF(EXACT('Kiểm thử'!E11707,"Bị chặn"),1,0))</s:f>
        <s:v/>
      </s:c>
      <s:c r="C11759" s="19" t="n"/>
      <s:c r="D11759" s="19" t="n"/>
      <s:c r="E11759" s="19" t="n"/>
    </s:row>
    <s:row r="11760" hidden="1" ht="1" customHeight="1">
      <s:c r="A11760" s="83" t="inlineStr">
        <s:is>
          <s:t>SKIPPED</s:t>
        </s:is>
      </s:c>
      <s:c r="B11760" s="83">
        <s:f>SUM(IF(EXACT('Kiểm thử'!E11707,"Không thực hiện"),1,0))</s:f>
        <s:v/>
      </s:c>
      <s:c r="C11760" s="19" t="n"/>
      <s:c r="D11760" s="19" t="n"/>
      <s:c r="E11760" s="19" t="n"/>
    </s:row>
    <s:row r="11761" hidden="1" ht="1" customHeight="1">
      <s:c r="A11761" s="83" t="inlineStr">
        <s:is>
          <s:t>NOT RUN</s:t>
        </s:is>
      </s:c>
      <s:c r="B11761" s="83">
        <s:f>SUM(IF(EXACT('Kiểm thử'!E11707,"Chưa thực hiện"),1,0))</s:f>
        <s:v/>
      </s:c>
      <s:c r="C11761" s="19" t="n"/>
      <s:c r="D11761" s="19" t="n"/>
      <s:c r="E11761" s="19" t="n"/>
    </s:row>
    <s:row r="11762" hidden="1" ht="6" customHeight="1">
      <s:c r="A11762" s="83" t="inlineStr"/>
      <s:c r="B11762" s="19" t="n"/>
      <s:c r="C11762" s="19" t="n"/>
      <s:c r="D11762" s="19" t="n"/>
      <s:c r="E11762" s="19" t="n"/>
    </s:row>
    <s:row r="11763" ht="28" customHeight="1">
      <s:c r="A11763" s="108" t="inlineStr">
        <s:is>
          <s:t>TC-RS-BR-034 — Bật tự tổng hợp khi đăng ký: hệ thống không chặn; quy tắc độc lập với trung bình vẫn xét</s:t>
        </s:is>
      </s:c>
      <s:c r="B11763" s="111" t="n"/>
      <s:c r="C11763" s="111" t="n"/>
      <s:c r="D11763" s="111" t="n"/>
      <s:c r="E11763" s="111" t="n"/>
    </s:row>
    <s:row r="11764" ht="20" customHeight="1">
      <s:c r="A11764" s="112" t="inlineStr">
        <s:is>
          <s:t>Kết quả tình huống</s:t>
        </s:is>
      </s:c>
      <s:c r="B11764" s="113">
        <s:f>IF(SUM(IF(EXACT('Kiểm thử'!E11772,"Không đạt"),1,0))&gt;0,"Không đạt",IF(SUM(IF(EXACT('Kiểm thử'!E11772,"Đạt"),1,0))=1,"Đạt",IF(SUM(IF(EXACT('Kiểm thử'!E11772,"Không thực hiện"),1,0))=1,"Không thực hiện",IF(SUM(IF(EXACT('Kiểm thử'!E11772,"Bị chặn"),1,0))&gt;0,"Bị chặn",IF(SUM(IF(EXACT('Kiểm thử'!E11772,"Chưa thực hiện"),1,0))=1,"Chưa thực hiện","Đang thực hiện")))))</s:f>
        <s:v/>
      </s:c>
      <s:c r="C11764" s="114" t="n"/>
      <s:c r="D11764" s="114" t="n"/>
      <s:c r="E11764" s="114" t="n"/>
    </s:row>
    <s:row r="11765" ht="20" customHeight="1">
      <s:c r="A11765" s="112" t="inlineStr">
        <s:is>
          <s:t>Màn hình / chức năng</s:t>
        </s:is>
      </s:c>
      <s:c r="B11765" s="113" t="inlineStr">
        <s:is>
          <s:t>Nguồn tổng hợp</s:t>
        </s:is>
      </s:c>
      <s:c r="C11765" s="28" t="n"/>
      <s:c r="D11765" s="28" t="n"/>
      <s:c r="E11765" s="28" t="n"/>
    </s:row>
    <s:row r="11766" ht="48" customHeight="1">
      <s:c r="A11766" s="112" t="inlineStr">
        <s:is>
          <s:t>Cấu hình</s:t>
        </s:is>
      </s:c>
      <s:c r="B11766" s="113" t="inlineStr">
        <s:is>
          <s:r>
            <s:t xml:space="preserve">• Tự tổng hợp khi đăng </s:t>
          </s:r>
          <s:r>
            <s:rPr>
              <s:b val="1"/>
            </s:rPr>
            <s:t>ký = Thực hiện（実行する）</s:t>
          </s:r>
          <s:r>
            <s:t>. mục số nguyên (</s:t>
          </s:r>
          <s:r>
            <s:rPr>
              <s:b val="1"/>
            </s:rPr>
            <s:t>M=100</s:t>
          </s:r>
          <s:r>
            <s:t>) có quy tắc “Cố định 30” (dưới 30);
• Mục số thập phân (</s:t>
          </s:r>
          <s:r>
            <s:rPr>
              <s:b val="1"/>
            </s:rPr>
            <s:t>M=100</s:t>
          </s:r>
          <s:r>
            <s:t>) có công thức [A×0.5].</s:t>
          </s:r>
        </s:is>
      </s:c>
      <s:c r="C11766" s="28" t="n"/>
      <s:c r="D11766" s="28" t="n"/>
      <s:c r="E11766" s="28" t="n"/>
    </s:row>
    <s:row r="11767" ht="34" customHeight="1">
      <s:c r="A11767" s="112" t="inlineStr">
        <s:is>
          <s:t>Dữ liệu test</s:t>
        </s:is>
      </s:c>
      <s:c r="B11767" s="113" t="inlineStr">
        <s:is>
          <s:r>
            <s:t>• Mục số nguyên (</s:t>
          </s:r>
          <s:r>
            <s:rPr>
              <s:b val="1"/>
            </s:rPr>
            <s:t>M=100</s:t>
          </s:r>
          <s:r>
            <s:t>), mục số thập phân (</s:t>
          </s:r>
          <s:r>
            <s:rPr>
              <s:b val="1"/>
            </s:rPr>
            <s:t>M=100</s:t>
          </s:r>
          <s:r>
            <s:t>);
• Quy tắc “Cố định 30” (dưới 30), học sinh S01 (điểm 29), học sinh S09 (mục số thập phân 29.5)</s:t>
          </s:r>
        </s:is>
      </s:c>
      <s:c r="C11767" s="28" t="n"/>
      <s:c r="D11767" s="28" t="n"/>
      <s:c r="E11767" s="28" t="n"/>
    </s:row>
    <s:row r="11768" ht="20" customHeight="1">
      <s:c r="A11768" s="112" t="inlineStr">
        <s:is>
          <s:t>Bước 1</s:t>
        </s:is>
      </s:c>
      <s:c r="B11768" s="113" t="inlineStr">
        <s:is>
          <s:t>Lưu quy tắc công thức (không bị chặn vì tự tổng hợp đang bật).</s:t>
        </s:is>
      </s:c>
      <s:c r="C11768" s="28" t="n"/>
      <s:c r="D11768" s="28" t="n"/>
      <s:c r="E11768" s="28" t="n"/>
    </s:row>
    <s:row r="11769" ht="20" customHeight="1">
      <s:c r="A11769" s="112" t="inlineStr">
        <s:is>
          <s:t>Bước 2</s:t>
        </s:is>
      </s:c>
      <s:c r="B11769" s="113" t="inlineStr">
        <s:is>
          <s:r>
            <s:t xml:space="preserve">Đặt tự tổng hợp </s:t>
          </s:r>
          <s:r>
            <s:rPr>
              <s:b val="1"/>
            </s:rPr>
            <s:t>= Không thực hiện（実行しない）</s:t>
          </s:r>
          <s:r>
            <s:t>, đăng ký S01=29.</s:t>
          </s:r>
        </s:is>
      </s:c>
      <s:c r="C11769" s="28" t="n"/>
      <s:c r="D11769" s="28" t="n"/>
      <s:c r="E11769" s="28" t="n"/>
    </s:row>
    <s:row r="11770" ht="28" customHeight="1">
      <s:c r="A11770" s="115" t="inlineStr">
        <s:is>
          <s:t>Trường hợp</s:t>
        </s:is>
      </s:c>
      <s:c r="B11770" s="115" t="inlineStr">
        <s:is>
          <s:t>Dữ liệu / thao tác riêng</s:t>
        </s:is>
      </s:c>
      <s:c r="C11770" s="115" t="inlineStr">
        <s:is>
          <s:t>Kết quả mong đợi</s:t>
        </s:is>
      </s:c>
      <s:c r="D11770" s="115" t="inlineStr">
        <s:is>
          <s:t>Kết quả thực tế</s:t>
        </s:is>
      </s:c>
      <s:c r="E11770" s="115" t="inlineStr">
        <s:is>
          <s:t>Đánh giá</s:t>
        </s:is>
      </s:c>
    </s:row>
    <s:row r="11771" ht="3" customHeight="1">
      <s:c r="A11771" s="102" t="inlineStr"/>
      <s:c r="B11771" s="99" t="n"/>
      <s:c r="C11771" s="99" t="n"/>
      <s:c r="D11771" s="116" t="n"/>
      <s:c r="E11771" s="116" t="n"/>
    </s:row>
    <s:row r="11772" ht="62" customHeight="1">
      <s:c r="A11772" s="83" t="inlineStr">
        <s:is>
          <s:t>Trường hợp cơ bản (Base)</s:t>
        </s:is>
      </s:c>
      <s:c r="B11772" s="83" t="inlineStr">
        <s:is>
          <s:t>Toàn bộ tình huống: Thực hiện đủ các bước chung theo thứ tự; kiểm cả đối tượng đích và đối chứng cùng fixture, không bỏ bước.</s:t>
        </s:is>
      </s:c>
      <s:c r="C11772" s="83" t="inlineStr">
        <s:is>
          <s:r>
            <s:t xml:space="preserve">1. Lưu được; không có ràng buộc hệ thống buộc tắt.
2. S01 vẫn được xét khi đăng ký → </s:t>
          </s:r>
          <s:r>
            <s:rPr>
              <s:b val="1"/>
            </s:rPr>
            <s:t>Đỏ</s:t>
          </s:r>
          <s:r>
            <s:t>.</s:t>
          </s:r>
        </s:is>
      </s:c>
      <s:c r="D11772" s="117" t="inlineStr"/>
      <s:c r="E11772" s="118" t="inlineStr">
        <s:is>
          <s:t>Chưa thực hiện</s:t>
        </s:is>
      </s:c>
    </s:row>
    <s:row r="11773" ht="20" customHeight="1">
      <s:c r="A11773" s="119" t="inlineStr">
        <s:is>
          <s:t>Ảnh minh chứng — Chưa có ảnh</s:t>
        </s:is>
      </s:c>
      <s:c r="B11773" s="19" t="n"/>
      <s:c r="C11773" s="19" t="n"/>
      <s:c r="D11773" s="19" t="n"/>
      <s:c r="E11773" s="19" t="n"/>
    </s:row>
    <s:row r="11774" hidden="1" ht="1" customHeight="1">
      <s:c r="A11774" s="120" t="inlineStr"/>
      <s:c r="B11774" s="121" t="n"/>
      <s:c r="C11774" s="121" t="n"/>
      <s:c r="D11774" s="121" t="n"/>
      <s:c r="E11774" s="122" t="n"/>
    </s:row>
    <s:row r="11775" hidden="1" ht="1" customHeight="1">
      <s:c r="A11775" s="120" t="inlineStr"/>
      <s:c r="B11775" s="121" t="n"/>
      <s:c r="C11775" s="121" t="n"/>
      <s:c r="D11775" s="121" t="n"/>
      <s:c r="E11775" s="122" t="n"/>
    </s:row>
    <s:row r="11776" hidden="1" ht="1" customHeight="1">
      <s:c r="A11776" s="120" t="inlineStr"/>
      <s:c r="B11776" s="121" t="n"/>
      <s:c r="C11776" s="121" t="n"/>
      <s:c r="D11776" s="121" t="n"/>
      <s:c r="E11776" s="122" t="n"/>
    </s:row>
    <s:row r="11777" hidden="1" ht="1" customHeight="1">
      <s:c r="A11777" s="120" t="inlineStr"/>
      <s:c r="B11777" s="121" t="n"/>
      <s:c r="C11777" s="121" t="n"/>
      <s:c r="D11777" s="121" t="n"/>
      <s:c r="E11777" s="122" t="n"/>
    </s:row>
    <s:row r="11778" hidden="1" ht="1" customHeight="1">
      <s:c r="A11778" s="120" t="inlineStr"/>
      <s:c r="B11778" s="121" t="n"/>
      <s:c r="C11778" s="121" t="n"/>
      <s:c r="D11778" s="121" t="n"/>
      <s:c r="E11778" s="122" t="n"/>
    </s:row>
    <s:row r="11779" hidden="1" ht="1" customHeight="1">
      <s:c r="A11779" s="120" t="inlineStr"/>
      <s:c r="B11779" s="121" t="n"/>
      <s:c r="C11779" s="121" t="n"/>
      <s:c r="D11779" s="121" t="n"/>
      <s:c r="E11779" s="122" t="n"/>
    </s:row>
    <s:row r="11780" hidden="1" ht="1" customHeight="1">
      <s:c r="A11780" s="120" t="inlineStr"/>
      <s:c r="B11780" s="121" t="n"/>
      <s:c r="C11780" s="121" t="n"/>
      <s:c r="D11780" s="121" t="n"/>
      <s:c r="E11780" s="122" t="n"/>
    </s:row>
    <s:row r="11781" hidden="1" ht="1" customHeight="1">
      <s:c r="A11781" s="120" t="inlineStr"/>
      <s:c r="B11781" s="121" t="n"/>
      <s:c r="C11781" s="121" t="n"/>
      <s:c r="D11781" s="121" t="n"/>
      <s:c r="E11781" s="122" t="n"/>
    </s:row>
    <s:row r="11782" hidden="1" ht="1" customHeight="1">
      <s:c r="A11782" s="120" t="inlineStr"/>
      <s:c r="B11782" s="121" t="n"/>
      <s:c r="C11782" s="121" t="n"/>
      <s:c r="D11782" s="121" t="n"/>
      <s:c r="E11782" s="122" t="n"/>
    </s:row>
    <s:row r="11783" hidden="1" ht="1" customHeight="1">
      <s:c r="A11783" s="120" t="inlineStr"/>
      <s:c r="B11783" s="121" t="n"/>
      <s:c r="C11783" s="121" t="n"/>
      <s:c r="D11783" s="121" t="n"/>
      <s:c r="E11783" s="122" t="n"/>
    </s:row>
    <s:row r="11784" hidden="1" ht="1" customHeight="1">
      <s:c r="A11784" s="120" t="inlineStr"/>
      <s:c r="B11784" s="121" t="n"/>
      <s:c r="C11784" s="121" t="n"/>
      <s:c r="D11784" s="121" t="n"/>
      <s:c r="E11784" s="122" t="n"/>
    </s:row>
    <s:row r="11785" hidden="1" ht="1" customHeight="1">
      <s:c r="A11785" s="120" t="inlineStr"/>
      <s:c r="B11785" s="121" t="n"/>
      <s:c r="C11785" s="121" t="n"/>
      <s:c r="D11785" s="121" t="n"/>
      <s:c r="E11785" s="122" t="n"/>
    </s:row>
    <s:row r="11786" hidden="1" ht="1" customHeight="1">
      <s:c r="A11786" s="120" t="inlineStr"/>
      <s:c r="B11786" s="121" t="n"/>
      <s:c r="C11786" s="121" t="n"/>
      <s:c r="D11786" s="121" t="n"/>
      <s:c r="E11786" s="122" t="n"/>
    </s:row>
    <s:row r="11787" hidden="1" ht="1" customHeight="1">
      <s:c r="A11787" s="120" t="inlineStr"/>
      <s:c r="B11787" s="121" t="n"/>
      <s:c r="C11787" s="121" t="n"/>
      <s:c r="D11787" s="121" t="n"/>
      <s:c r="E11787" s="122" t="n"/>
    </s:row>
    <s:row r="11788" hidden="1" ht="1" customHeight="1">
      <s:c r="A11788" s="120" t="inlineStr"/>
      <s:c r="B11788" s="121" t="n"/>
      <s:c r="C11788" s="121" t="n"/>
      <s:c r="D11788" s="121" t="n"/>
      <s:c r="E11788" s="122" t="n"/>
    </s:row>
    <s:row r="11789" hidden="1" ht="1" customHeight="1">
      <s:c r="A11789" s="120" t="inlineStr"/>
      <s:c r="B11789" s="121" t="n"/>
      <s:c r="C11789" s="121" t="n"/>
      <s:c r="D11789" s="121" t="n"/>
      <s:c r="E11789" s="122" t="n"/>
    </s:row>
    <s:row r="11790" hidden="1" ht="1" customHeight="1">
      <s:c r="A11790" s="120" t="inlineStr"/>
      <s:c r="B11790" s="121" t="n"/>
      <s:c r="C11790" s="121" t="n"/>
      <s:c r="D11790" s="121" t="n"/>
      <s:c r="E11790" s="122" t="n"/>
    </s:row>
    <s:row r="11791" hidden="1" ht="1" customHeight="1">
      <s:c r="A11791" s="120" t="inlineStr"/>
      <s:c r="B11791" s="121" t="n"/>
      <s:c r="C11791" s="121" t="n"/>
      <s:c r="D11791" s="121" t="n"/>
      <s:c r="E11791" s="122" t="n"/>
    </s:row>
    <s:row r="11792" hidden="1" ht="1" customHeight="1">
      <s:c r="A11792" s="120" t="inlineStr"/>
      <s:c r="B11792" s="121" t="n"/>
      <s:c r="C11792" s="121" t="n"/>
      <s:c r="D11792" s="121" t="n"/>
      <s:c r="E11792" s="122" t="n"/>
    </s:row>
    <s:row r="11793" hidden="1" ht="1" customHeight="1">
      <s:c r="A11793" s="120" t="inlineStr"/>
      <s:c r="B11793" s="121" t="n"/>
      <s:c r="C11793" s="121" t="n"/>
      <s:c r="D11793" s="121" t="n"/>
      <s:c r="E11793" s="122" t="n"/>
    </s:row>
    <s:row r="11794" hidden="1" ht="1" customHeight="1">
      <s:c r="A11794" s="120" t="inlineStr"/>
      <s:c r="B11794" s="121" t="n"/>
      <s:c r="C11794" s="121" t="n"/>
      <s:c r="D11794" s="121" t="n"/>
      <s:c r="E11794" s="122" t="n"/>
    </s:row>
    <s:row r="11795" hidden="1" ht="1" customHeight="1">
      <s:c r="A11795" s="120" t="inlineStr"/>
      <s:c r="B11795" s="121" t="n"/>
      <s:c r="C11795" s="121" t="n"/>
      <s:c r="D11795" s="121" t="n"/>
      <s:c r="E11795" s="122" t="n"/>
    </s:row>
    <s:row r="11796" hidden="1" ht="1" customHeight="1">
      <s:c r="A11796" s="120" t="inlineStr"/>
      <s:c r="B11796" s="121" t="n"/>
      <s:c r="C11796" s="121" t="n"/>
      <s:c r="D11796" s="121" t="n"/>
      <s:c r="E11796" s="122" t="n"/>
    </s:row>
    <s:row r="11797" hidden="1" ht="1" customHeight="1">
      <s:c r="A11797" s="120" t="inlineStr"/>
      <s:c r="B11797" s="121" t="n"/>
      <s:c r="C11797" s="121" t="n"/>
      <s:c r="D11797" s="121" t="n"/>
      <s:c r="E11797" s="122" t="n"/>
    </s:row>
    <s:row r="11798" hidden="1" ht="1" customHeight="1">
      <s:c r="A11798" s="120" t="inlineStr"/>
      <s:c r="B11798" s="121" t="n"/>
      <s:c r="C11798" s="121" t="n"/>
      <s:c r="D11798" s="121" t="n"/>
      <s:c r="E11798" s="122" t="n"/>
    </s:row>
    <s:row r="11799" hidden="1" ht="1" customHeight="1">
      <s:c r="A11799" s="120" t="inlineStr"/>
      <s:c r="B11799" s="121" t="n"/>
      <s:c r="C11799" s="121" t="n"/>
      <s:c r="D11799" s="121" t="n"/>
      <s:c r="E11799" s="122" t="n"/>
    </s:row>
    <s:row r="11800" hidden="1" ht="1" customHeight="1">
      <s:c r="A11800" s="120" t="inlineStr"/>
      <s:c r="B11800" s="121" t="n"/>
      <s:c r="C11800" s="121" t="n"/>
      <s:c r="D11800" s="121" t="n"/>
      <s:c r="E11800" s="122" t="n"/>
    </s:row>
    <s:row r="11801" hidden="1" ht="1" customHeight="1">
      <s:c r="A11801" s="120" t="inlineStr"/>
      <s:c r="B11801" s="121" t="n"/>
      <s:c r="C11801" s="121" t="n"/>
      <s:c r="D11801" s="121" t="n"/>
      <s:c r="E11801" s="122" t="n"/>
    </s:row>
    <s:row r="11802" hidden="1" ht="1" customHeight="1">
      <s:c r="A11802" s="120" t="inlineStr"/>
      <s:c r="B11802" s="121" t="n"/>
      <s:c r="C11802" s="121" t="n"/>
      <s:c r="D11802" s="121" t="n"/>
      <s:c r="E11802" s="122" t="n"/>
    </s:row>
    <s:row r="11803" hidden="1" ht="1" customHeight="1">
      <s:c r="A11803" s="120" t="inlineStr"/>
      <s:c r="B11803" s="121" t="n"/>
      <s:c r="C11803" s="121" t="n"/>
      <s:c r="D11803" s="121" t="n"/>
      <s:c r="E11803" s="122" t="n"/>
    </s:row>
    <s:row r="11804" hidden="1" ht="1" customHeight="1">
      <s:c r="A11804" s="120" t="inlineStr"/>
      <s:c r="B11804" s="121" t="n"/>
      <s:c r="C11804" s="121" t="n"/>
      <s:c r="D11804" s="121" t="n"/>
      <s:c r="E11804" s="122" t="n"/>
    </s:row>
    <s:row r="11805" hidden="1" ht="1" customHeight="1">
      <s:c r="A11805" s="120" t="inlineStr"/>
      <s:c r="B11805" s="121" t="n"/>
      <s:c r="C11805" s="121" t="n"/>
      <s:c r="D11805" s="121" t="n"/>
      <s:c r="E11805" s="122" t="n"/>
    </s:row>
    <s:row r="11806" hidden="1" ht="1" customHeight="1">
      <s:c r="A11806" s="120" t="inlineStr"/>
      <s:c r="B11806" s="121" t="n"/>
      <s:c r="C11806" s="121" t="n"/>
      <s:c r="D11806" s="121" t="n"/>
      <s:c r="E11806" s="122" t="n"/>
    </s:row>
    <s:row r="11807" hidden="1" ht="1" customHeight="1">
      <s:c r="A11807" s="120" t="inlineStr"/>
      <s:c r="B11807" s="121" t="n"/>
      <s:c r="C11807" s="121" t="n"/>
      <s:c r="D11807" s="121" t="n"/>
      <s:c r="E11807" s="122" t="n"/>
    </s:row>
    <s:row r="11808" hidden="1" ht="1" customHeight="1">
      <s:c r="A11808" s="120" t="inlineStr"/>
      <s:c r="B11808" s="121" t="n"/>
      <s:c r="C11808" s="121" t="n"/>
      <s:c r="D11808" s="121" t="n"/>
      <s:c r="E11808" s="122" t="n"/>
    </s:row>
    <s:row r="11809" hidden="1" ht="1" customHeight="1">
      <s:c r="A11809" s="120" t="inlineStr"/>
      <s:c r="B11809" s="121" t="n"/>
      <s:c r="C11809" s="121" t="n"/>
      <s:c r="D11809" s="121" t="n"/>
      <s:c r="E11809" s="122" t="n"/>
    </s:row>
    <s:row r="11810" hidden="1" ht="1" customHeight="1">
      <s:c r="A11810" s="120" t="inlineStr"/>
      <s:c r="B11810" s="121" t="n"/>
      <s:c r="C11810" s="121" t="n"/>
      <s:c r="D11810" s="121" t="n"/>
      <s:c r="E11810" s="122" t="n"/>
    </s:row>
    <s:row r="11811" hidden="1" ht="1" customHeight="1">
      <s:c r="A11811" s="120" t="inlineStr"/>
      <s:c r="B11811" s="121" t="n"/>
      <s:c r="C11811" s="121" t="n"/>
      <s:c r="D11811" s="121" t="n"/>
      <s:c r="E11811" s="122" t="n"/>
    </s:row>
    <s:row r="11812" hidden="1" ht="1" customHeight="1">
      <s:c r="A11812" s="120" t="inlineStr"/>
      <s:c r="B11812" s="121" t="n"/>
      <s:c r="C11812" s="121" t="n"/>
      <s:c r="D11812" s="121" t="n"/>
      <s:c r="E11812" s="122" t="n"/>
    </s:row>
    <s:row r="11813" hidden="1" ht="1" customHeight="1">
      <s:c r="A11813" s="120" t="inlineStr"/>
      <s:c r="B11813" s="121" t="n"/>
      <s:c r="C11813" s="121" t="n"/>
      <s:c r="D11813" s="121" t="n"/>
      <s:c r="E11813" s="122" t="n"/>
    </s:row>
    <s:row r="11814" hidden="1" ht="1" customHeight="1">
      <s:c r="A11814" s="120" t="inlineStr"/>
      <s:c r="B11814" s="121" t="n"/>
      <s:c r="C11814" s="121" t="n"/>
      <s:c r="D11814" s="121" t="n"/>
      <s:c r="E11814" s="122" t="n"/>
    </s:row>
    <s:row r="11815" hidden="1" ht="1" customHeight="1">
      <s:c r="A11815" s="120" t="inlineStr"/>
      <s:c r="B11815" s="121" t="n"/>
      <s:c r="C11815" s="121" t="n"/>
      <s:c r="D11815" s="121" t="n"/>
      <s:c r="E11815" s="122" t="n"/>
    </s:row>
    <s:row r="11816" hidden="1" ht="1" customHeight="1">
      <s:c r="A11816" s="120" t="inlineStr"/>
      <s:c r="B11816" s="121" t="n"/>
      <s:c r="C11816" s="121" t="n"/>
      <s:c r="D11816" s="121" t="n"/>
      <s:c r="E11816" s="122" t="n"/>
    </s:row>
    <s:row r="11817" hidden="1" ht="1" customHeight="1">
      <s:c r="A11817" s="120" t="inlineStr"/>
      <s:c r="B11817" s="121" t="n"/>
      <s:c r="C11817" s="121" t="n"/>
      <s:c r="D11817" s="121" t="n"/>
      <s:c r="E11817" s="122" t="n"/>
    </s:row>
    <s:row r="11818" hidden="1" ht="1" customHeight="1">
      <s:c r="A11818" s="120" t="inlineStr"/>
      <s:c r="B11818" s="121" t="n"/>
      <s:c r="C11818" s="121" t="n"/>
      <s:c r="D11818" s="121" t="n"/>
      <s:c r="E11818" s="122" t="n"/>
    </s:row>
    <s:row r="11819" hidden="1" ht="1" customHeight="1">
      <s:c r="A11819" s="120" t="inlineStr"/>
      <s:c r="B11819" s="121" t="n"/>
      <s:c r="C11819" s="121" t="n"/>
      <s:c r="D11819" s="121" t="n"/>
      <s:c r="E11819" s="122" t="n"/>
    </s:row>
    <s:row r="11820" hidden="1" ht="1" customHeight="1">
      <s:c r="A11820" s="120" t="inlineStr"/>
      <s:c r="B11820" s="121" t="n"/>
      <s:c r="C11820" s="121" t="n"/>
      <s:c r="D11820" s="121" t="n"/>
      <s:c r="E11820" s="122" t="n"/>
    </s:row>
    <s:row r="11821" hidden="1" ht="1" customHeight="1">
      <s:c r="A11821" s="120" t="inlineStr"/>
      <s:c r="B11821" s="121" t="n"/>
      <s:c r="C11821" s="121" t="n"/>
      <s:c r="D11821" s="121" t="n"/>
      <s:c r="E11821" s="122" t="n"/>
    </s:row>
    <s:row r="11822" hidden="1" ht="1" customHeight="1">
      <s:c r="A11822" s="83" t="inlineStr">
        <s:is>
          <s:t>PASS</s:t>
        </s:is>
      </s:c>
      <s:c r="B11822" s="83">
        <s:f>SUM(IF(EXACT('Kiểm thử'!E11772,"Đạt"),1,0))</s:f>
        <s:v/>
      </s:c>
      <s:c r="C11822" s="19" t="n"/>
      <s:c r="D11822" s="19" t="n"/>
      <s:c r="E11822" s="19" t="n"/>
    </s:row>
    <s:row r="11823" hidden="1" ht="1" customHeight="1">
      <s:c r="A11823" s="83" t="inlineStr">
        <s:is>
          <s:t>FAIL</s:t>
        </s:is>
      </s:c>
      <s:c r="B11823" s="83">
        <s:f>SUM(IF(EXACT('Kiểm thử'!E11772,"Không đạt"),1,0))</s:f>
        <s:v/>
      </s:c>
      <s:c r="C11823" s="19" t="n"/>
      <s:c r="D11823" s="19" t="n"/>
      <s:c r="E11823" s="19" t="n"/>
    </s:row>
    <s:row r="11824" hidden="1" ht="1" customHeight="1">
      <s:c r="A11824" s="83" t="inlineStr">
        <s:is>
          <s:t>BLOCKED</s:t>
        </s:is>
      </s:c>
      <s:c r="B11824" s="83">
        <s:f>SUM(IF(EXACT('Kiểm thử'!E11772,"Bị chặn"),1,0))</s:f>
        <s:v/>
      </s:c>
      <s:c r="C11824" s="19" t="n"/>
      <s:c r="D11824" s="19" t="n"/>
      <s:c r="E11824" s="19" t="n"/>
    </s:row>
    <s:row r="11825" hidden="1" ht="1" customHeight="1">
      <s:c r="A11825" s="83" t="inlineStr">
        <s:is>
          <s:t>SKIPPED</s:t>
        </s:is>
      </s:c>
      <s:c r="B11825" s="83">
        <s:f>SUM(IF(EXACT('Kiểm thử'!E11772,"Không thực hiện"),1,0))</s:f>
        <s:v/>
      </s:c>
      <s:c r="C11825" s="19" t="n"/>
      <s:c r="D11825" s="19" t="n"/>
      <s:c r="E11825" s="19" t="n"/>
    </s:row>
    <s:row r="11826" hidden="1" ht="1" customHeight="1">
      <s:c r="A11826" s="83" t="inlineStr">
        <s:is>
          <s:t>NOT RUN</s:t>
        </s:is>
      </s:c>
      <s:c r="B11826" s="83">
        <s:f>SUM(IF(EXACT('Kiểm thử'!E11772,"Chưa thực hiện"),1,0))</s:f>
        <s:v/>
      </s:c>
      <s:c r="C11826" s="19" t="n"/>
      <s:c r="D11826" s="19" t="n"/>
      <s:c r="E11826" s="19" t="n"/>
    </s:row>
    <s:row r="11827" hidden="1" ht="6" customHeight="1">
      <s:c r="A11827" s="83" t="inlineStr"/>
      <s:c r="B11827" s="19" t="n"/>
      <s:c r="C11827" s="19" t="n"/>
      <s:c r="D11827" s="19" t="n"/>
      <s:c r="E11827" s="19" t="n"/>
    </s:row>
    <s:row r="11828" ht="28" customHeight="1">
      <s:c r="A11828" s="108" t="inlineStr">
        <s:is>
          <s:t>TC-RS-BR-038 — Nhóm lớp học（授業）: dùng kết quả tổng hợp của đúng lớp chứa ô đang xét</s:t>
        </s:is>
      </s:c>
      <s:c r="B11828" s="111" t="n"/>
      <s:c r="C11828" s="111" t="n"/>
      <s:c r="D11828" s="111" t="n"/>
      <s:c r="E11828" s="111" t="n"/>
    </s:row>
    <s:row r="11829" ht="20" customHeight="1">
      <s:c r="A11829" s="112" t="inlineStr">
        <s:is>
          <s:t>Kết quả tình huống</s:t>
        </s:is>
      </s:c>
      <s:c r="B11829" s="113">
        <s:f>IF(SUM(IF(EXACT('Kiểm thử'!E11837,"Không đạt"),1,0))&gt;0,"Không đạt",IF(SUM(IF(EXACT('Kiểm thử'!E11837,"Đạt"),1,0))=1,"Đạt",IF(SUM(IF(EXACT('Kiểm thử'!E11837,"Không thực hiện"),1,0))=1,"Không thực hiện",IF(SUM(IF(EXACT('Kiểm thử'!E11837,"Bị chặn"),1,0))&gt;0,"Bị chặn",IF(SUM(IF(EXACT('Kiểm thử'!E11837,"Chưa thực hiện"),1,0))=1,"Chưa thực hiện","Đang thực hiện")))))</s:f>
        <s:v/>
      </s:c>
      <s:c r="C11829" s="114" t="n"/>
      <s:c r="D11829" s="114" t="n"/>
      <s:c r="E11829" s="114" t="n"/>
    </s:row>
    <s:row r="11830" ht="20" customHeight="1">
      <s:c r="A11830" s="112" t="inlineStr">
        <s:is>
          <s:t>Màn hình / chức năng</s:t>
        </s:is>
      </s:c>
      <s:c r="B11830" s="113" t="inlineStr">
        <s:is>
          <s:t>Nguồn tổng hợp</s:t>
        </s:is>
      </s:c>
      <s:c r="C11830" s="28" t="n"/>
      <s:c r="D11830" s="28" t="n"/>
      <s:c r="E11830" s="28" t="n"/>
    </s:row>
    <s:row r="11831" ht="76" customHeight="1">
      <s:c r="A11831" s="112" t="inlineStr">
        <s:is>
          <s:t>Cấu hình</s:t>
        </s:is>
      </s:c>
      <s:c r="B11831" s="113" t="inlineStr">
        <s:is>
          <s:r>
            <s:t xml:space="preserve">• Thiết lập tổng hợp X đã </s:t>
          </s:r>
          <s:r>
            <s:rPr>
              <s:b val="1"/>
            </s:rPr>
            <s:t>bật thêm Lớp học（授業）</s:t>
          </s:r>
          <s:r>
            <s:t xml:space="preserve"> (X đã bật lớp học và đã tổng hợp). S11 học cả G-A và G-D;
• Trong X trung bình lớp G-A = 40, G-D = 70. Quy tắc trên mục số nguyên (</s:t>
          </s:r>
          <s:r>
            <s:rPr>
              <s:b val="1"/>
            </s:rPr>
            <s:t>M=100</s:t>
          </s:r>
          <s:r>
            <s:t xml:space="preserve">): Toàn bộ đối tượng, </s:t>
          </s:r>
          <s:r>
            <s:rPr>
              <s:b val="1"/>
            </s:rPr>
            <s:t>ngưỡng Công thức（計算式）</s:t>
          </s:r>
          <s:r>
            <s:t xml:space="preserve"> [A×0.5], [&lt;];
• Nguồn công thức = </s:t>
          </s:r>
          <s:r>
            <s:rPr>
              <s:b val="1"/>
            </s:rPr>
            <s:t>X / Lớp học（授業）</s:t>
          </s:r>
          <s:r>
            <s:t>.</s:t>
          </s:r>
        </s:is>
      </s:c>
      <s:c r="C11831" s="28" t="n"/>
      <s:c r="D11831" s="28" t="n"/>
      <s:c r="E11831" s="28" t="n"/>
    </s:row>
    <s:row r="11832" ht="48" customHeight="1">
      <s:c r="A11832" s="112" t="inlineStr">
        <s:is>
          <s:t>Dữ liệu test</s:t>
        </s:is>
      </s:c>
      <s:c r="B11832" s="113" t="inlineStr">
        <s:is>
          <s:r>
            <s:t xml:space="preserve">• Thiết lập tổng hợp X đã </s:t>
          </s:r>
          <s:r>
            <s:rPr>
              <s:b val="1"/>
            </s:rPr>
            <s:t>bật thêm Lớp học（授業）</s:t>
          </s:r>
          <s:r>
            <s:t>, học sinh S11 học hai lớp Toán I (G-A, G-D);
• Mục số nguyên (</s:t>
          </s:r>
          <s:r>
            <s:rPr>
              <s:b val="1"/>
            </s:rPr>
            <s:t>M=100</s:t>
          </s:r>
          <s:r>
            <s:t>);
• S11 có điểm 25 ở cả G-A và G-D</s:t>
          </s:r>
        </s:is>
      </s:c>
      <s:c r="C11832" s="28" t="n"/>
      <s:c r="D11832" s="28" t="n"/>
      <s:c r="E11832" s="28" t="n"/>
    </s:row>
    <s:row r="11833" ht="20" customHeight="1">
      <s:c r="A11833" s="112" t="inlineStr">
        <s:is>
          <s:t>Bước 1</s:t>
        </s:is>
      </s:c>
      <s:c r="B11833" s="113" t="inlineStr">
        <s:is>
          <s:t>Chạy nút cam cho G-A và G-D.</s:t>
        </s:is>
      </s:c>
      <s:c r="C11833" s="28" t="n"/>
      <s:c r="D11833" s="28" t="n"/>
      <s:c r="E11833" s="28" t="n"/>
    </s:row>
    <s:row r="11834" ht="20" customHeight="1">
      <s:c r="A11834" s="112" t="inlineStr">
        <s:is>
          <s:t>Bước 2</s:t>
        </s:is>
      </s:c>
      <s:c r="B11834" s="113" t="inlineStr">
        <s:is>
          <s:t>Xem kết quả hai ô của S11 trên trích xuất.</s:t>
        </s:is>
      </s:c>
      <s:c r="C11834" s="28" t="n"/>
      <s:c r="D11834" s="28" t="n"/>
      <s:c r="E11834" s="28" t="n"/>
    </s:row>
    <s:row r="11835" ht="28" customHeight="1">
      <s:c r="A11835" s="115" t="inlineStr">
        <s:is>
          <s:t>Trường hợp</s:t>
        </s:is>
      </s:c>
      <s:c r="B11835" s="115" t="inlineStr">
        <s:is>
          <s:t>Dữ liệu / thao tác riêng</s:t>
        </s:is>
      </s:c>
      <s:c r="C11835" s="115" t="inlineStr">
        <s:is>
          <s:t>Kết quả mong đợi</s:t>
        </s:is>
      </s:c>
      <s:c r="D11835" s="115" t="inlineStr">
        <s:is>
          <s:t>Kết quả thực tế</s:t>
        </s:is>
      </s:c>
      <s:c r="E11835" s="115" t="inlineStr">
        <s:is>
          <s:t>Đánh giá</s:t>
        </s:is>
      </s:c>
    </s:row>
    <s:row r="11836" ht="3" customHeight="1">
      <s:c r="A11836" s="102" t="inlineStr"/>
      <s:c r="B11836" s="99" t="n"/>
      <s:c r="C11836" s="99" t="n"/>
      <s:c r="D11836" s="116" t="n"/>
      <s:c r="E11836" s="116" t="n"/>
    </s:row>
    <s:row r="11837" ht="76" customHeight="1">
      <s:c r="A11837" s="83" t="inlineStr">
        <s:is>
          <s:t>Trường hợp cơ bản (Base)</s:t>
        </s:is>
      </s:c>
      <s:c r="B11837" s="83" t="inlineStr">
        <s:is>
          <s:t>Toàn bộ tình huống: Thực hiện đủ các bước chung theo thứ tự; kiểm cả đối tượng đích và đối chứng cùng fixture, không bỏ bước.</s:t>
        </s:is>
      </s:c>
      <s:c r="C11837" s="83" t="inlineStr">
        <s:is>
          <s:r>
            <s:t>Ô ở G-A: [</s:t>
          </s:r>
          <s:r>
            <s:rPr>
              <s:b val="1"/>
            </s:rPr>
            <s:t>T=40</s:t>
          </s:r>
          <s:r>
            <s:t xml:space="preserve">×0.5=20] → 25 </s:t>
          </s:r>
          <s:r>
            <s:rPr>
              <s:b val="1"/>
            </s:rPr>
            <s:t>Không đỏ</s:t>
          </s:r>
          <s:r>
            <s:t>.
- Ô ở G-D: [</s:t>
          </s:r>
          <s:r>
            <s:rPr>
              <s:b val="1"/>
            </s:rPr>
            <s:t>T=70</s:t>
          </s:r>
          <s:r>
            <s:t xml:space="preserve">×0.5=35] → 25 </s:t>
          </s:r>
          <s:r>
            <s:rPr>
              <s:b val="1"/>
            </s:rPr>
            <s:t>Đỏ</s:t>
          </s:r>
          <s:r>
            <s:t>.
- Không ô nào dùng kết quả của lớp kia, của khối/lớp chủ nhiệm, hay trung bình chung của môn.</s:t>
          </s:r>
        </s:is>
      </s:c>
      <s:c r="D11837" s="117" t="inlineStr"/>
      <s:c r="E11837" s="118" t="inlineStr">
        <s:is>
          <s:t>Chưa thực hiện</s:t>
        </s:is>
      </s:c>
    </s:row>
    <s:row r="11838" ht="20" customHeight="1">
      <s:c r="A11838" s="119" t="inlineStr">
        <s:is>
          <s:t>Ảnh minh chứng — Chưa có ảnh</s:t>
        </s:is>
      </s:c>
      <s:c r="B11838" s="19" t="n"/>
      <s:c r="C11838" s="19" t="n"/>
      <s:c r="D11838" s="19" t="n"/>
      <s:c r="E11838" s="19" t="n"/>
    </s:row>
    <s:row r="11839" hidden="1" ht="1" customHeight="1">
      <s:c r="A11839" s="120" t="inlineStr"/>
      <s:c r="B11839" s="121" t="n"/>
      <s:c r="C11839" s="121" t="n"/>
      <s:c r="D11839" s="121" t="n"/>
      <s:c r="E11839" s="122" t="n"/>
    </s:row>
    <s:row r="11840" hidden="1" ht="1" customHeight="1">
      <s:c r="A11840" s="120" t="inlineStr"/>
      <s:c r="B11840" s="121" t="n"/>
      <s:c r="C11840" s="121" t="n"/>
      <s:c r="D11840" s="121" t="n"/>
      <s:c r="E11840" s="122" t="n"/>
    </s:row>
    <s:row r="11841" hidden="1" ht="1" customHeight="1">
      <s:c r="A11841" s="120" t="inlineStr"/>
      <s:c r="B11841" s="121" t="n"/>
      <s:c r="C11841" s="121" t="n"/>
      <s:c r="D11841" s="121" t="n"/>
      <s:c r="E11841" s="122" t="n"/>
    </s:row>
    <s:row r="11842" hidden="1" ht="1" customHeight="1">
      <s:c r="A11842" s="120" t="inlineStr"/>
      <s:c r="B11842" s="121" t="n"/>
      <s:c r="C11842" s="121" t="n"/>
      <s:c r="D11842" s="121" t="n"/>
      <s:c r="E11842" s="122" t="n"/>
    </s:row>
    <s:row r="11843" hidden="1" ht="1" customHeight="1">
      <s:c r="A11843" s="120" t="inlineStr"/>
      <s:c r="B11843" s="121" t="n"/>
      <s:c r="C11843" s="121" t="n"/>
      <s:c r="D11843" s="121" t="n"/>
      <s:c r="E11843" s="122" t="n"/>
    </s:row>
    <s:row r="11844" hidden="1" ht="1" customHeight="1">
      <s:c r="A11844" s="120" t="inlineStr"/>
      <s:c r="B11844" s="121" t="n"/>
      <s:c r="C11844" s="121" t="n"/>
      <s:c r="D11844" s="121" t="n"/>
      <s:c r="E11844" s="122" t="n"/>
    </s:row>
    <s:row r="11845" hidden="1" ht="1" customHeight="1">
      <s:c r="A11845" s="120" t="inlineStr"/>
      <s:c r="B11845" s="121" t="n"/>
      <s:c r="C11845" s="121" t="n"/>
      <s:c r="D11845" s="121" t="n"/>
      <s:c r="E11845" s="122" t="n"/>
    </s:row>
    <s:row r="11846" hidden="1" ht="1" customHeight="1">
      <s:c r="A11846" s="120" t="inlineStr"/>
      <s:c r="B11846" s="121" t="n"/>
      <s:c r="C11846" s="121" t="n"/>
      <s:c r="D11846" s="121" t="n"/>
      <s:c r="E11846" s="122" t="n"/>
    </s:row>
    <s:row r="11847" hidden="1" ht="1" customHeight="1">
      <s:c r="A11847" s="120" t="inlineStr"/>
      <s:c r="B11847" s="121" t="n"/>
      <s:c r="C11847" s="121" t="n"/>
      <s:c r="D11847" s="121" t="n"/>
      <s:c r="E11847" s="122" t="n"/>
    </s:row>
    <s:row r="11848" hidden="1" ht="1" customHeight="1">
      <s:c r="A11848" s="120" t="inlineStr"/>
      <s:c r="B11848" s="121" t="n"/>
      <s:c r="C11848" s="121" t="n"/>
      <s:c r="D11848" s="121" t="n"/>
      <s:c r="E11848" s="122" t="n"/>
    </s:row>
    <s:row r="11849" hidden="1" ht="1" customHeight="1">
      <s:c r="A11849" s="120" t="inlineStr"/>
      <s:c r="B11849" s="121" t="n"/>
      <s:c r="C11849" s="121" t="n"/>
      <s:c r="D11849" s="121" t="n"/>
      <s:c r="E11849" s="122" t="n"/>
    </s:row>
    <s:row r="11850" hidden="1" ht="1" customHeight="1">
      <s:c r="A11850" s="120" t="inlineStr"/>
      <s:c r="B11850" s="121" t="n"/>
      <s:c r="C11850" s="121" t="n"/>
      <s:c r="D11850" s="121" t="n"/>
      <s:c r="E11850" s="122" t="n"/>
    </s:row>
    <s:row r="11851" hidden="1" ht="1" customHeight="1">
      <s:c r="A11851" s="120" t="inlineStr"/>
      <s:c r="B11851" s="121" t="n"/>
      <s:c r="C11851" s="121" t="n"/>
      <s:c r="D11851" s="121" t="n"/>
      <s:c r="E11851" s="122" t="n"/>
    </s:row>
    <s:row r="11852" hidden="1" ht="1" customHeight="1">
      <s:c r="A11852" s="120" t="inlineStr"/>
      <s:c r="B11852" s="121" t="n"/>
      <s:c r="C11852" s="121" t="n"/>
      <s:c r="D11852" s="121" t="n"/>
      <s:c r="E11852" s="122" t="n"/>
    </s:row>
    <s:row r="11853" hidden="1" ht="1" customHeight="1">
      <s:c r="A11853" s="120" t="inlineStr"/>
      <s:c r="B11853" s="121" t="n"/>
      <s:c r="C11853" s="121" t="n"/>
      <s:c r="D11853" s="121" t="n"/>
      <s:c r="E11853" s="122" t="n"/>
    </s:row>
    <s:row r="11854" hidden="1" ht="1" customHeight="1">
      <s:c r="A11854" s="120" t="inlineStr"/>
      <s:c r="B11854" s="121" t="n"/>
      <s:c r="C11854" s="121" t="n"/>
      <s:c r="D11854" s="121" t="n"/>
      <s:c r="E11854" s="122" t="n"/>
    </s:row>
    <s:row r="11855" hidden="1" ht="1" customHeight="1">
      <s:c r="A11855" s="120" t="inlineStr"/>
      <s:c r="B11855" s="121" t="n"/>
      <s:c r="C11855" s="121" t="n"/>
      <s:c r="D11855" s="121" t="n"/>
      <s:c r="E11855" s="122" t="n"/>
    </s:row>
    <s:row r="11856" hidden="1" ht="1" customHeight="1">
      <s:c r="A11856" s="120" t="inlineStr"/>
      <s:c r="B11856" s="121" t="n"/>
      <s:c r="C11856" s="121" t="n"/>
      <s:c r="D11856" s="121" t="n"/>
      <s:c r="E11856" s="122" t="n"/>
    </s:row>
    <s:row r="11857" hidden="1" ht="1" customHeight="1">
      <s:c r="A11857" s="120" t="inlineStr"/>
      <s:c r="B11857" s="121" t="n"/>
      <s:c r="C11857" s="121" t="n"/>
      <s:c r="D11857" s="121" t="n"/>
      <s:c r="E11857" s="122" t="n"/>
    </s:row>
    <s:row r="11858" hidden="1" ht="1" customHeight="1">
      <s:c r="A11858" s="120" t="inlineStr"/>
      <s:c r="B11858" s="121" t="n"/>
      <s:c r="C11858" s="121" t="n"/>
      <s:c r="D11858" s="121" t="n"/>
      <s:c r="E11858" s="122" t="n"/>
    </s:row>
    <s:row r="11859" hidden="1" ht="1" customHeight="1">
      <s:c r="A11859" s="120" t="inlineStr"/>
      <s:c r="B11859" s="121" t="n"/>
      <s:c r="C11859" s="121" t="n"/>
      <s:c r="D11859" s="121" t="n"/>
      <s:c r="E11859" s="122" t="n"/>
    </s:row>
    <s:row r="11860" hidden="1" ht="1" customHeight="1">
      <s:c r="A11860" s="120" t="inlineStr"/>
      <s:c r="B11860" s="121" t="n"/>
      <s:c r="C11860" s="121" t="n"/>
      <s:c r="D11860" s="121" t="n"/>
      <s:c r="E11860" s="122" t="n"/>
    </s:row>
    <s:row r="11861" hidden="1" ht="1" customHeight="1">
      <s:c r="A11861" s="120" t="inlineStr"/>
      <s:c r="B11861" s="121" t="n"/>
      <s:c r="C11861" s="121" t="n"/>
      <s:c r="D11861" s="121" t="n"/>
      <s:c r="E11861" s="122" t="n"/>
    </s:row>
    <s:row r="11862" hidden="1" ht="1" customHeight="1">
      <s:c r="A11862" s="120" t="inlineStr"/>
      <s:c r="B11862" s="121" t="n"/>
      <s:c r="C11862" s="121" t="n"/>
      <s:c r="D11862" s="121" t="n"/>
      <s:c r="E11862" s="122" t="n"/>
    </s:row>
    <s:row r="11863" hidden="1" ht="1" customHeight="1">
      <s:c r="A11863" s="120" t="inlineStr"/>
      <s:c r="B11863" s="121" t="n"/>
      <s:c r="C11863" s="121" t="n"/>
      <s:c r="D11863" s="121" t="n"/>
      <s:c r="E11863" s="122" t="n"/>
    </s:row>
    <s:row r="11864" hidden="1" ht="1" customHeight="1">
      <s:c r="A11864" s="120" t="inlineStr"/>
      <s:c r="B11864" s="121" t="n"/>
      <s:c r="C11864" s="121" t="n"/>
      <s:c r="D11864" s="121" t="n"/>
      <s:c r="E11864" s="122" t="n"/>
    </s:row>
    <s:row r="11865" hidden="1" ht="1" customHeight="1">
      <s:c r="A11865" s="120" t="inlineStr"/>
      <s:c r="B11865" s="121" t="n"/>
      <s:c r="C11865" s="121" t="n"/>
      <s:c r="D11865" s="121" t="n"/>
      <s:c r="E11865" s="122" t="n"/>
    </s:row>
    <s:row r="11866" hidden="1" ht="1" customHeight="1">
      <s:c r="A11866" s="120" t="inlineStr"/>
      <s:c r="B11866" s="121" t="n"/>
      <s:c r="C11866" s="121" t="n"/>
      <s:c r="D11866" s="121" t="n"/>
      <s:c r="E11866" s="122" t="n"/>
    </s:row>
    <s:row r="11867" hidden="1" ht="1" customHeight="1">
      <s:c r="A11867" s="120" t="inlineStr"/>
      <s:c r="B11867" s="121" t="n"/>
      <s:c r="C11867" s="121" t="n"/>
      <s:c r="D11867" s="121" t="n"/>
      <s:c r="E11867" s="122" t="n"/>
    </s:row>
    <s:row r="11868" hidden="1" ht="1" customHeight="1">
      <s:c r="A11868" s="120" t="inlineStr"/>
      <s:c r="B11868" s="121" t="n"/>
      <s:c r="C11868" s="121" t="n"/>
      <s:c r="D11868" s="121" t="n"/>
      <s:c r="E11868" s="122" t="n"/>
    </s:row>
    <s:row r="11869" hidden="1" ht="1" customHeight="1">
      <s:c r="A11869" s="120" t="inlineStr"/>
      <s:c r="B11869" s="121" t="n"/>
      <s:c r="C11869" s="121" t="n"/>
      <s:c r="D11869" s="121" t="n"/>
      <s:c r="E11869" s="122" t="n"/>
    </s:row>
    <s:row r="11870" hidden="1" ht="1" customHeight="1">
      <s:c r="A11870" s="120" t="inlineStr"/>
      <s:c r="B11870" s="121" t="n"/>
      <s:c r="C11870" s="121" t="n"/>
      <s:c r="D11870" s="121" t="n"/>
      <s:c r="E11870" s="122" t="n"/>
    </s:row>
    <s:row r="11871" hidden="1" ht="1" customHeight="1">
      <s:c r="A11871" s="120" t="inlineStr"/>
      <s:c r="B11871" s="121" t="n"/>
      <s:c r="C11871" s="121" t="n"/>
      <s:c r="D11871" s="121" t="n"/>
      <s:c r="E11871" s="122" t="n"/>
    </s:row>
    <s:row r="11872" hidden="1" ht="1" customHeight="1">
      <s:c r="A11872" s="120" t="inlineStr"/>
      <s:c r="B11872" s="121" t="n"/>
      <s:c r="C11872" s="121" t="n"/>
      <s:c r="D11872" s="121" t="n"/>
      <s:c r="E11872" s="122" t="n"/>
    </s:row>
    <s:row r="11873" hidden="1" ht="1" customHeight="1">
      <s:c r="A11873" s="120" t="inlineStr"/>
      <s:c r="B11873" s="121" t="n"/>
      <s:c r="C11873" s="121" t="n"/>
      <s:c r="D11873" s="121" t="n"/>
      <s:c r="E11873" s="122" t="n"/>
    </s:row>
    <s:row r="11874" hidden="1" ht="1" customHeight="1">
      <s:c r="A11874" s="120" t="inlineStr"/>
      <s:c r="B11874" s="121" t="n"/>
      <s:c r="C11874" s="121" t="n"/>
      <s:c r="D11874" s="121" t="n"/>
      <s:c r="E11874" s="122" t="n"/>
    </s:row>
    <s:row r="11875" hidden="1" ht="1" customHeight="1">
      <s:c r="A11875" s="120" t="inlineStr"/>
      <s:c r="B11875" s="121" t="n"/>
      <s:c r="C11875" s="121" t="n"/>
      <s:c r="D11875" s="121" t="n"/>
      <s:c r="E11875" s="122" t="n"/>
    </s:row>
    <s:row r="11876" hidden="1" ht="1" customHeight="1">
      <s:c r="A11876" s="120" t="inlineStr"/>
      <s:c r="B11876" s="121" t="n"/>
      <s:c r="C11876" s="121" t="n"/>
      <s:c r="D11876" s="121" t="n"/>
      <s:c r="E11876" s="122" t="n"/>
    </s:row>
    <s:row r="11877" hidden="1" ht="1" customHeight="1">
      <s:c r="A11877" s="120" t="inlineStr"/>
      <s:c r="B11877" s="121" t="n"/>
      <s:c r="C11877" s="121" t="n"/>
      <s:c r="D11877" s="121" t="n"/>
      <s:c r="E11877" s="122" t="n"/>
    </s:row>
    <s:row r="11878" hidden="1" ht="1" customHeight="1">
      <s:c r="A11878" s="120" t="inlineStr"/>
      <s:c r="B11878" s="121" t="n"/>
      <s:c r="C11878" s="121" t="n"/>
      <s:c r="D11878" s="121" t="n"/>
      <s:c r="E11878" s="122" t="n"/>
    </s:row>
    <s:row r="11879" hidden="1" ht="1" customHeight="1">
      <s:c r="A11879" s="120" t="inlineStr"/>
      <s:c r="B11879" s="121" t="n"/>
      <s:c r="C11879" s="121" t="n"/>
      <s:c r="D11879" s="121" t="n"/>
      <s:c r="E11879" s="122" t="n"/>
    </s:row>
    <s:row r="11880" hidden="1" ht="1" customHeight="1">
      <s:c r="A11880" s="120" t="inlineStr"/>
      <s:c r="B11880" s="121" t="n"/>
      <s:c r="C11880" s="121" t="n"/>
      <s:c r="D11880" s="121" t="n"/>
      <s:c r="E11880" s="122" t="n"/>
    </s:row>
    <s:row r="11881" hidden="1" ht="1" customHeight="1">
      <s:c r="A11881" s="120" t="inlineStr"/>
      <s:c r="B11881" s="121" t="n"/>
      <s:c r="C11881" s="121" t="n"/>
      <s:c r="D11881" s="121" t="n"/>
      <s:c r="E11881" s="122" t="n"/>
    </s:row>
    <s:row r="11882" hidden="1" ht="1" customHeight="1">
      <s:c r="A11882" s="120" t="inlineStr"/>
      <s:c r="B11882" s="121" t="n"/>
      <s:c r="C11882" s="121" t="n"/>
      <s:c r="D11882" s="121" t="n"/>
      <s:c r="E11882" s="122" t="n"/>
    </s:row>
    <s:row r="11883" hidden="1" ht="1" customHeight="1">
      <s:c r="A11883" s="120" t="inlineStr"/>
      <s:c r="B11883" s="121" t="n"/>
      <s:c r="C11883" s="121" t="n"/>
      <s:c r="D11883" s="121" t="n"/>
      <s:c r="E11883" s="122" t="n"/>
    </s:row>
    <s:row r="11884" hidden="1" ht="1" customHeight="1">
      <s:c r="A11884" s="120" t="inlineStr"/>
      <s:c r="B11884" s="121" t="n"/>
      <s:c r="C11884" s="121" t="n"/>
      <s:c r="D11884" s="121" t="n"/>
      <s:c r="E11884" s="122" t="n"/>
    </s:row>
    <s:row r="11885" hidden="1" ht="1" customHeight="1">
      <s:c r="A11885" s="120" t="inlineStr"/>
      <s:c r="B11885" s="121" t="n"/>
      <s:c r="C11885" s="121" t="n"/>
      <s:c r="D11885" s="121" t="n"/>
      <s:c r="E11885" s="122" t="n"/>
    </s:row>
    <s:row r="11886" hidden="1" ht="1" customHeight="1">
      <s:c r="A11886" s="120" t="inlineStr"/>
      <s:c r="B11886" s="121" t="n"/>
      <s:c r="C11886" s="121" t="n"/>
      <s:c r="D11886" s="121" t="n"/>
      <s:c r="E11886" s="122" t="n"/>
    </s:row>
    <s:row r="11887" hidden="1" ht="1" customHeight="1">
      <s:c r="A11887" s="83" t="inlineStr">
        <s:is>
          <s:t>PASS</s:t>
        </s:is>
      </s:c>
      <s:c r="B11887" s="83">
        <s:f>SUM(IF(EXACT('Kiểm thử'!E11837,"Đạt"),1,0))</s:f>
        <s:v/>
      </s:c>
      <s:c r="C11887" s="19" t="n"/>
      <s:c r="D11887" s="19" t="n"/>
      <s:c r="E11887" s="19" t="n"/>
    </s:row>
    <s:row r="11888" hidden="1" ht="1" customHeight="1">
      <s:c r="A11888" s="83" t="inlineStr">
        <s:is>
          <s:t>FAIL</s:t>
        </s:is>
      </s:c>
      <s:c r="B11888" s="83">
        <s:f>SUM(IF(EXACT('Kiểm thử'!E11837,"Không đạt"),1,0))</s:f>
        <s:v/>
      </s:c>
      <s:c r="C11888" s="19" t="n"/>
      <s:c r="D11888" s="19" t="n"/>
      <s:c r="E11888" s="19" t="n"/>
    </s:row>
    <s:row r="11889" hidden="1" ht="1" customHeight="1">
      <s:c r="A11889" s="83" t="inlineStr">
        <s:is>
          <s:t>BLOCKED</s:t>
        </s:is>
      </s:c>
      <s:c r="B11889" s="83">
        <s:f>SUM(IF(EXACT('Kiểm thử'!E11837,"Bị chặn"),1,0))</s:f>
        <s:v/>
      </s:c>
      <s:c r="C11889" s="19" t="n"/>
      <s:c r="D11889" s="19" t="n"/>
      <s:c r="E11889" s="19" t="n"/>
    </s:row>
    <s:row r="11890" hidden="1" ht="1" customHeight="1">
      <s:c r="A11890" s="83" t="inlineStr">
        <s:is>
          <s:t>SKIPPED</s:t>
        </s:is>
      </s:c>
      <s:c r="B11890" s="83">
        <s:f>SUM(IF(EXACT('Kiểm thử'!E11837,"Không thực hiện"),1,0))</s:f>
        <s:v/>
      </s:c>
      <s:c r="C11890" s="19" t="n"/>
      <s:c r="D11890" s="19" t="n"/>
      <s:c r="E11890" s="19" t="n"/>
    </s:row>
    <s:row r="11891" hidden="1" ht="1" customHeight="1">
      <s:c r="A11891" s="83" t="inlineStr">
        <s:is>
          <s:t>NOT RUN</s:t>
        </s:is>
      </s:c>
      <s:c r="B11891" s="83">
        <s:f>SUM(IF(EXACT('Kiểm thử'!E11837,"Chưa thực hiện"),1,0))</s:f>
        <s:v/>
      </s:c>
      <s:c r="C11891" s="19" t="n"/>
      <s:c r="D11891" s="19" t="n"/>
      <s:c r="E11891" s="19" t="n"/>
    </s:row>
    <s:row r="11892" hidden="1" ht="6" customHeight="1">
      <s:c r="A11892" s="83" t="inlineStr"/>
      <s:c r="B11892" s="19" t="n"/>
      <s:c r="C11892" s="19" t="n"/>
      <s:c r="D11892" s="19" t="n"/>
      <s:c r="E11892" s="19" t="n"/>
    </s:row>
    <s:row r="11893" ht="34" customHeight="1">
      <s:c r="A11893" s="108" t="inlineStr">
        <s:is>
          <s:t>TC-RS-BR-039 — Nhóm môn học（科目グループ）: dùng cấu hình riêng của môn hoặc default đã lưu; thiếu/sai thì Chưa xét được</s:t>
        </s:is>
      </s:c>
      <s:c r="B11893" s="111" t="n"/>
      <s:c r="C11893" s="111" t="n"/>
      <s:c r="D11893" s="111" t="n"/>
      <s:c r="E11893" s="111" t="n"/>
    </s:row>
    <s:row r="11894" ht="20" customHeight="1">
      <s:c r="A11894" s="112" t="inlineStr">
        <s:is>
          <s:t>Kết quả tình huống</s:t>
        </s:is>
      </s:c>
      <s:c r="B11894" s="113">
        <s:f>IF(SUM(IF(EXACT('Kiểm thử'!E11903,"Không đạt"),1,0),IF(EXACT('Kiểm thử'!E11905,"Không đạt"),1,0),IF(EXACT('Kiểm thử'!E11907,"Không đạt"),1,0),IF(EXACT('Kiểm thử'!E11909,"Không đạt"),1,0))&gt;0,"Không đạt",IF(SUM(IF(EXACT('Kiểm thử'!E11903,"Đạt"),1,0),IF(EXACT('Kiểm thử'!E11905,"Đạt"),1,0),IF(EXACT('Kiểm thử'!E11907,"Đạt"),1,0),IF(EXACT('Kiểm thử'!E11909,"Đạt"),1,0))=4,"Đạt",IF(SUM(IF(EXACT('Kiểm thử'!E11903,"Không thực hiện"),1,0),IF(EXACT('Kiểm thử'!E11905,"Không thực hiện"),1,0),IF(EXACT('Kiểm thử'!E11907,"Không thực hiện"),1,0),IF(EXACT('Kiểm thử'!E11909,"Không thực hiện"),1,0))=4,"Không thực hiện",IF(SUM(IF(EXACT('Kiểm thử'!E11903,"Bị chặn"),1,0),IF(EXACT('Kiểm thử'!E11905,"Bị chặn"),1,0),IF(EXACT('Kiểm thử'!E11907,"Bị chặn"),1,0),IF(EXACT('Kiểm thử'!E11909,"Bị chặn"),1,0))&gt;0,"Bị chặn",IF(SUM(IF(EXACT('Kiểm thử'!E11903,"Chưa thực hiện"),1,0),IF(EXACT('Kiểm thử'!E11905,"Chưa thực hiện"),1,0),IF(EXACT('Kiểm thử'!E11907,"Chưa thực hiện"),1,0),IF(EXACT('Kiểm thử'!E11909,"Chưa thực hiện"),1,0))=4,"Chưa thực hiện","Đang thực hiện")))))</s:f>
        <s:v/>
      </s:c>
      <s:c r="C11894" s="114" t="n"/>
      <s:c r="D11894" s="114" t="n"/>
      <s:c r="E11894" s="114" t="n"/>
    </s:row>
    <s:row r="11895" ht="20" customHeight="1">
      <s:c r="A11895" s="112" t="inlineStr">
        <s:is>
          <s:t>Màn hình / chức năng</s:t>
        </s:is>
      </s:c>
      <s:c r="B11895" s="113" t="inlineStr">
        <s:is>
          <s:t>Nguồn tổng hợp</s:t>
        </s:is>
      </s:c>
      <s:c r="C11895" s="28" t="n"/>
      <s:c r="D11895" s="28" t="n"/>
      <s:c r="E11895" s="28" t="n"/>
    </s:row>
    <s:row r="11896" ht="34" customHeight="1">
      <s:c r="A11896" s="112" t="inlineStr">
        <s:is>
          <s:t>Cấu hình</s:t>
        </s:is>
      </s:c>
      <s:c r="B11896" s="113" t="inlineStr">
        <s:is>
          <s:r>
            <s:t xml:space="preserve">• Nhóm môn học “Nhóm môn Toán” có cấu hình </s:t>
          </s:r>
          <s:r>
            <s:rPr>
              <s:b val="1"/>
            </s:rPr>
            <s:t>riêng cho Toán I（数学Ⅰ）</s:t>
          </s:r>
          <s:r>
            <s:t xml:space="preserve"> và default. Quy tắc trên mục số nguyên (</s:t>
          </s:r>
          <s:r>
            <s:rPr>
              <s:b val="1"/>
            </s:rPr>
            <s:t>M=100</s:t>
          </s:r>
          <s:r>
            <s:t>) dùng nguồn công thức = X / nhóm môn học “Nhóm môn Toán”, ngưỡng [A×0.5], [&lt;].</s:t>
          </s:r>
        </s:is>
      </s:c>
      <s:c r="C11896" s="28" t="n"/>
      <s:c r="D11896" s="28" t="n"/>
      <s:c r="E11896" s="28" t="n"/>
    </s:row>
    <s:row r="11897" ht="48" customHeight="1">
      <s:c r="A11897" s="112" t="inlineStr">
        <s:is>
          <s:t>Dữ liệu test</s:t>
        </s:is>
      </s:c>
      <s:c r="B11897" s="113" t="inlineStr">
        <s:is>
          <s:r>
            <s:t>• Nhóm môn học “Nhóm môn Toán”;
• Mục số nguyên (</s:t>
          </s:r>
          <s:r>
            <s:rPr>
              <s:b val="1"/>
            </s:rPr>
            <s:t>M=100</s:t>
          </s:r>
          <s:r>
            <s:t>);
• S01 = 25</s:t>
          </s:r>
        </s:is>
      </s:c>
      <s:c r="C11897" s="28" t="n"/>
      <s:c r="D11897" s="28" t="n"/>
      <s:c r="E11897" s="28" t="n"/>
    </s:row>
    <s:row r="11898" ht="20" customHeight="1">
      <s:c r="A11898" s="112" t="inlineStr">
        <s:is>
          <s:t>Bước 1</s:t>
        </s:is>
      </s:c>
      <s:c r="B11898" s="113" t="inlineStr">
        <s:is>
          <s:t>Chạy nút cam; xem S01 và nhóm được dùng.</s:t>
        </s:is>
      </s:c>
      <s:c r="C11898" s="28" t="n"/>
      <s:c r="D11898" s="28" t="n"/>
      <s:c r="E11898" s="28" t="n"/>
    </s:row>
    <s:row r="11899" ht="20" customHeight="1">
      <s:c r="A11899" s="112" t="inlineStr">
        <s:is>
          <s:t>Bước 2</s:t>
        </s:is>
      </s:c>
      <s:c r="B11899" s="113" t="inlineStr">
        <s:is>
          <s:t>Xóa cấu hình riêng của Toán I (để môn rơi về default); chạy lại; xem.</s:t>
        </s:is>
      </s:c>
      <s:c r="C11899" s="28" t="n"/>
      <s:c r="D11899" s="28" t="n"/>
      <s:c r="E11899" s="28" t="n"/>
    </s:row>
    <s:row r="11900" ht="34" customHeight="1">
      <s:c r="A11900" s="112" t="inlineStr">
        <s:is>
          <s:t>Bước 3</s:t>
        </s:is>
      </s:c>
      <s:c r="B11900" s="113" t="inlineStr">
        <s:is>
          <s:t>Làm default thiếu hoặc trỏ tới cấu hình không hợp lệ (biến thể (b) của nhóm môn học “Nhóm môn Toán”); chạy lại; xem trạng thái và thông báo.</s:t>
        </s:is>
      </s:c>
      <s:c r="C11900" s="28" t="n"/>
      <s:c r="D11900" s="28" t="n"/>
      <s:c r="E11900" s="28" t="n"/>
    </s:row>
    <s:row r="11901" ht="28" customHeight="1">
      <s:c r="A11901" s="115" t="inlineStr">
        <s:is>
          <s:t>Trường hợp</s:t>
        </s:is>
      </s:c>
      <s:c r="B11901" s="115" t="inlineStr">
        <s:is>
          <s:t>Dữ liệu / thao tác riêng</s:t>
        </s:is>
      </s:c>
      <s:c r="C11901" s="115" t="inlineStr">
        <s:is>
          <s:t>Kết quả mong đợi</s:t>
        </s:is>
      </s:c>
      <s:c r="D11901" s="115" t="inlineStr">
        <s:is>
          <s:t>Kết quả thực tế</s:t>
        </s:is>
      </s:c>
      <s:c r="E11901" s="115" t="inlineStr">
        <s:is>
          <s:t>Đánh giá</s:t>
        </s:is>
      </s:c>
    </s:row>
    <s:row r="11902" ht="3" customHeight="1">
      <s:c r="A11902" s="102" t="inlineStr"/>
      <s:c r="B11902" s="99" t="n"/>
      <s:c r="C11902" s="99" t="n"/>
      <s:c r="D11902" s="116" t="n"/>
      <s:c r="E11902" s="116" t="n"/>
    </s:row>
    <s:row r="11903" ht="48" customHeight="1">
      <s:c r="A11903" s="83" t="inlineStr">
        <s:is>
          <s:t>Nguồn riêng (private)</s:t>
        </s:is>
      </s:c>
      <s:c r="B11903" s="83" t="inlineStr">
        <s:is>
          <s:t>Dùng cấu hình riêng Toán I trong Nhóm môn Toán; chạy nút cam và đọc nhóm được dùng.</s:t>
        </s:is>
      </s:c>
      <s:c r="C11903" s="83" t="inlineStr">
        <s:is>
          <s:t>1. Dùng kết quả của nhóm theo cấu hình riêng của Toán I.</s:t>
        </s:is>
      </s:c>
      <s:c r="D11903" s="117" t="inlineStr"/>
      <s:c r="E11903" s="118" t="inlineStr">
        <s:is>
          <s:t>Chưa thực hiện</s:t>
        </s:is>
      </s:c>
    </s:row>
    <s:row r="11904" ht="3" customHeight="1">
      <s:c r="A11904" s="102" t="inlineStr"/>
      <s:c r="B11904" s="99" t="n"/>
      <s:c r="C11904" s="99" t="n"/>
      <s:c r="D11904" s="116" t="n"/>
      <s:c r="E11904" s="116" t="n"/>
    </s:row>
    <s:row r="11905" ht="34" customHeight="1">
      <s:c r="A11905" s="83" t="inlineStr">
        <s:is>
          <s:t>Nguồn mặc định (default)</s:t>
        </s:is>
      </s:c>
      <s:c r="B11905" s="83" t="inlineStr">
        <s:is>
          <s:t>Xóa cấu hình riêng Toán I để rơi về default đã lưu; chạy lại.</s:t>
        </s:is>
      </s:c>
      <s:c r="C11905" s="83" t="inlineStr">
        <s:is>
          <s:t>2. Dùng kết quả của nhóm theo default đã lưu.</s:t>
        </s:is>
      </s:c>
      <s:c r="D11905" s="117" t="inlineStr"/>
      <s:c r="E11905" s="118" t="inlineStr">
        <s:is>
          <s:t>Chưa thực hiện</s:t>
        </s:is>
      </s:c>
    </s:row>
    <s:row r="11906" ht="3" customHeight="1">
      <s:c r="A11906" s="102" t="inlineStr"/>
      <s:c r="B11906" s="99" t="n"/>
      <s:c r="C11906" s="99" t="n"/>
      <s:c r="D11906" s="116" t="n"/>
      <s:c r="E11906" s="116" t="n"/>
    </s:row>
    <s:row r="11907" ht="48" customHeight="1">
      <s:c r="A11907" s="83" t="inlineStr">
        <s:is>
          <s:t>Nguồn mặc định thiếu (default-missing)</s:t>
        </s:is>
      </s:c>
      <s:c r="B11907" s="83" t="inlineStr">
        <s:is>
          <s:t>Dựng default thiếu theo fixture; chạy lại và đọc trạng thái/thông báo.</s:t>
        </s:is>
      </s:c>
      <s:c r="C11907" s="83" t="inlineStr">
        <s:is>
          <s:t>3. S01 Chưa xét được; không thay bằng nhóm khác, bằng 0 hay bằng kết quả trước; thông báo/tiến độ tách phần chưa xét được.</s:t>
        </s:is>
      </s:c>
      <s:c r="D11907" s="117" t="inlineStr"/>
      <s:c r="E11907" s="118" t="inlineStr">
        <s:is>
          <s:t>Chưa thực hiện</s:t>
        </s:is>
      </s:c>
    </s:row>
    <s:row r="11908" ht="3" customHeight="1">
      <s:c r="A11908" s="102" t="inlineStr"/>
      <s:c r="B11908" s="99" t="n"/>
      <s:c r="C11908" s="99" t="n"/>
      <s:c r="D11908" s="116" t="n"/>
      <s:c r="E11908" s="116" t="n"/>
    </s:row>
    <s:row r="11909" ht="48" customHeight="1">
      <s:c r="A11909" s="83" t="inlineStr">
        <s:is>
          <s:t>Nguồn mặc định không hợp lệ (default-invalid)</s:t>
        </s:is>
      </s:c>
      <s:c r="B11909" s="83" t="inlineStr">
        <s:is>
          <s:t>Dựng default không hợp lệ theo fixture; chạy lại và đọc trạng thái/thông báo.</s:t>
        </s:is>
      </s:c>
      <s:c r="C11909" s="83" t="inlineStr">
        <s:is>
          <s:t>3. S01 Chưa xét được; không thay bằng nhóm khác, bằng 0 hay bằng kết quả trước; thông báo/tiến độ tách phần chưa xét được.</s:t>
        </s:is>
      </s:c>
      <s:c r="D11909" s="117" t="inlineStr"/>
      <s:c r="E11909" s="118" t="inlineStr">
        <s:is>
          <s:t>Chưa thực hiện</s:t>
        </s:is>
      </s:c>
    </s:row>
    <s:row r="11910" ht="20" customHeight="1">
      <s:c r="A11910" s="119" t="inlineStr">
        <s:is>
          <s:t>Ảnh minh chứng — Chưa có ảnh</s:t>
        </s:is>
      </s:c>
      <s:c r="B11910" s="19" t="n"/>
      <s:c r="C11910" s="19" t="n"/>
      <s:c r="D11910" s="19" t="n"/>
      <s:c r="E11910" s="19" t="n"/>
    </s:row>
    <s:row r="11911" hidden="1" ht="1" customHeight="1">
      <s:c r="A11911" s="120" t="inlineStr"/>
      <s:c r="B11911" s="121" t="n"/>
      <s:c r="C11911" s="121" t="n"/>
      <s:c r="D11911" s="121" t="n"/>
      <s:c r="E11911" s="122" t="n"/>
    </s:row>
    <s:row r="11912" hidden="1" ht="1" customHeight="1">
      <s:c r="A11912" s="120" t="inlineStr"/>
      <s:c r="B11912" s="121" t="n"/>
      <s:c r="C11912" s="121" t="n"/>
      <s:c r="D11912" s="121" t="n"/>
      <s:c r="E11912" s="122" t="n"/>
    </s:row>
    <s:row r="11913" hidden="1" ht="1" customHeight="1">
      <s:c r="A11913" s="120" t="inlineStr"/>
      <s:c r="B11913" s="121" t="n"/>
      <s:c r="C11913" s="121" t="n"/>
      <s:c r="D11913" s="121" t="n"/>
      <s:c r="E11913" s="122" t="n"/>
    </s:row>
    <s:row r="11914" hidden="1" ht="1" customHeight="1">
      <s:c r="A11914" s="120" t="inlineStr"/>
      <s:c r="B11914" s="121" t="n"/>
      <s:c r="C11914" s="121" t="n"/>
      <s:c r="D11914" s="121" t="n"/>
      <s:c r="E11914" s="122" t="n"/>
    </s:row>
    <s:row r="11915" hidden="1" ht="1" customHeight="1">
      <s:c r="A11915" s="120" t="inlineStr"/>
      <s:c r="B11915" s="121" t="n"/>
      <s:c r="C11915" s="121" t="n"/>
      <s:c r="D11915" s="121" t="n"/>
      <s:c r="E11915" s="122" t="n"/>
    </s:row>
    <s:row r="11916" hidden="1" ht="1" customHeight="1">
      <s:c r="A11916" s="120" t="inlineStr"/>
      <s:c r="B11916" s="121" t="n"/>
      <s:c r="C11916" s="121" t="n"/>
      <s:c r="D11916" s="121" t="n"/>
      <s:c r="E11916" s="122" t="n"/>
    </s:row>
    <s:row r="11917" hidden="1" ht="1" customHeight="1">
      <s:c r="A11917" s="120" t="inlineStr"/>
      <s:c r="B11917" s="121" t="n"/>
      <s:c r="C11917" s="121" t="n"/>
      <s:c r="D11917" s="121" t="n"/>
      <s:c r="E11917" s="122" t="n"/>
    </s:row>
    <s:row r="11918" hidden="1" ht="1" customHeight="1">
      <s:c r="A11918" s="120" t="inlineStr"/>
      <s:c r="B11918" s="121" t="n"/>
      <s:c r="C11918" s="121" t="n"/>
      <s:c r="D11918" s="121" t="n"/>
      <s:c r="E11918" s="122" t="n"/>
    </s:row>
    <s:row r="11919" hidden="1" ht="1" customHeight="1">
      <s:c r="A11919" s="120" t="inlineStr"/>
      <s:c r="B11919" s="121" t="n"/>
      <s:c r="C11919" s="121" t="n"/>
      <s:c r="D11919" s="121" t="n"/>
      <s:c r="E11919" s="122" t="n"/>
    </s:row>
    <s:row r="11920" hidden="1" ht="1" customHeight="1">
      <s:c r="A11920" s="120" t="inlineStr"/>
      <s:c r="B11920" s="121" t="n"/>
      <s:c r="C11920" s="121" t="n"/>
      <s:c r="D11920" s="121" t="n"/>
      <s:c r="E11920" s="122" t="n"/>
    </s:row>
    <s:row r="11921" hidden="1" ht="1" customHeight="1">
      <s:c r="A11921" s="120" t="inlineStr"/>
      <s:c r="B11921" s="121" t="n"/>
      <s:c r="C11921" s="121" t="n"/>
      <s:c r="D11921" s="121" t="n"/>
      <s:c r="E11921" s="122" t="n"/>
    </s:row>
    <s:row r="11922" hidden="1" ht="1" customHeight="1">
      <s:c r="A11922" s="120" t="inlineStr"/>
      <s:c r="B11922" s="121" t="n"/>
      <s:c r="C11922" s="121" t="n"/>
      <s:c r="D11922" s="121" t="n"/>
      <s:c r="E11922" s="122" t="n"/>
    </s:row>
    <s:row r="11923" hidden="1" ht="1" customHeight="1">
      <s:c r="A11923" s="120" t="inlineStr"/>
      <s:c r="B11923" s="121" t="n"/>
      <s:c r="C11923" s="121" t="n"/>
      <s:c r="D11923" s="121" t="n"/>
      <s:c r="E11923" s="122" t="n"/>
    </s:row>
    <s:row r="11924" hidden="1" ht="1" customHeight="1">
      <s:c r="A11924" s="120" t="inlineStr"/>
      <s:c r="B11924" s="121" t="n"/>
      <s:c r="C11924" s="121" t="n"/>
      <s:c r="D11924" s="121" t="n"/>
      <s:c r="E11924" s="122" t="n"/>
    </s:row>
    <s:row r="11925" hidden="1" ht="1" customHeight="1">
      <s:c r="A11925" s="120" t="inlineStr"/>
      <s:c r="B11925" s="121" t="n"/>
      <s:c r="C11925" s="121" t="n"/>
      <s:c r="D11925" s="121" t="n"/>
      <s:c r="E11925" s="122" t="n"/>
    </s:row>
    <s:row r="11926" hidden="1" ht="1" customHeight="1">
      <s:c r="A11926" s="120" t="inlineStr"/>
      <s:c r="B11926" s="121" t="n"/>
      <s:c r="C11926" s="121" t="n"/>
      <s:c r="D11926" s="121" t="n"/>
      <s:c r="E11926" s="122" t="n"/>
    </s:row>
    <s:row r="11927" hidden="1" ht="1" customHeight="1">
      <s:c r="A11927" s="120" t="inlineStr"/>
      <s:c r="B11927" s="121" t="n"/>
      <s:c r="C11927" s="121" t="n"/>
      <s:c r="D11927" s="121" t="n"/>
      <s:c r="E11927" s="122" t="n"/>
    </s:row>
    <s:row r="11928" hidden="1" ht="1" customHeight="1">
      <s:c r="A11928" s="120" t="inlineStr"/>
      <s:c r="B11928" s="121" t="n"/>
      <s:c r="C11928" s="121" t="n"/>
      <s:c r="D11928" s="121" t="n"/>
      <s:c r="E11928" s="122" t="n"/>
    </s:row>
    <s:row r="11929" hidden="1" ht="1" customHeight="1">
      <s:c r="A11929" s="120" t="inlineStr"/>
      <s:c r="B11929" s="121" t="n"/>
      <s:c r="C11929" s="121" t="n"/>
      <s:c r="D11929" s="121" t="n"/>
      <s:c r="E11929" s="122" t="n"/>
    </s:row>
    <s:row r="11930" hidden="1" ht="1" customHeight="1">
      <s:c r="A11930" s="120" t="inlineStr"/>
      <s:c r="B11930" s="121" t="n"/>
      <s:c r="C11930" s="121" t="n"/>
      <s:c r="D11930" s="121" t="n"/>
      <s:c r="E11930" s="122" t="n"/>
    </s:row>
    <s:row r="11931" hidden="1" ht="1" customHeight="1">
      <s:c r="A11931" s="120" t="inlineStr"/>
      <s:c r="B11931" s="121" t="n"/>
      <s:c r="C11931" s="121" t="n"/>
      <s:c r="D11931" s="121" t="n"/>
      <s:c r="E11931" s="122" t="n"/>
    </s:row>
    <s:row r="11932" hidden="1" ht="1" customHeight="1">
      <s:c r="A11932" s="120" t="inlineStr"/>
      <s:c r="B11932" s="121" t="n"/>
      <s:c r="C11932" s="121" t="n"/>
      <s:c r="D11932" s="121" t="n"/>
      <s:c r="E11932" s="122" t="n"/>
    </s:row>
    <s:row r="11933" hidden="1" ht="1" customHeight="1">
      <s:c r="A11933" s="120" t="inlineStr"/>
      <s:c r="B11933" s="121" t="n"/>
      <s:c r="C11933" s="121" t="n"/>
      <s:c r="D11933" s="121" t="n"/>
      <s:c r="E11933" s="122" t="n"/>
    </s:row>
    <s:row r="11934" hidden="1" ht="1" customHeight="1">
      <s:c r="A11934" s="120" t="inlineStr"/>
      <s:c r="B11934" s="121" t="n"/>
      <s:c r="C11934" s="121" t="n"/>
      <s:c r="D11934" s="121" t="n"/>
      <s:c r="E11934" s="122" t="n"/>
    </s:row>
    <s:row r="11935" hidden="1" ht="1" customHeight="1">
      <s:c r="A11935" s="120" t="inlineStr"/>
      <s:c r="B11935" s="121" t="n"/>
      <s:c r="C11935" s="121" t="n"/>
      <s:c r="D11935" s="121" t="n"/>
      <s:c r="E11935" s="122" t="n"/>
    </s:row>
    <s:row r="11936" hidden="1" ht="1" customHeight="1">
      <s:c r="A11936" s="120" t="inlineStr"/>
      <s:c r="B11936" s="121" t="n"/>
      <s:c r="C11936" s="121" t="n"/>
      <s:c r="D11936" s="121" t="n"/>
      <s:c r="E11936" s="122" t="n"/>
    </s:row>
    <s:row r="11937" hidden="1" ht="1" customHeight="1">
      <s:c r="A11937" s="120" t="inlineStr"/>
      <s:c r="B11937" s="121" t="n"/>
      <s:c r="C11937" s="121" t="n"/>
      <s:c r="D11937" s="121" t="n"/>
      <s:c r="E11937" s="122" t="n"/>
    </s:row>
    <s:row r="11938" hidden="1" ht="1" customHeight="1">
      <s:c r="A11938" s="120" t="inlineStr"/>
      <s:c r="B11938" s="121" t="n"/>
      <s:c r="C11938" s="121" t="n"/>
      <s:c r="D11938" s="121" t="n"/>
      <s:c r="E11938" s="122" t="n"/>
    </s:row>
    <s:row r="11939" hidden="1" ht="1" customHeight="1">
      <s:c r="A11939" s="120" t="inlineStr"/>
      <s:c r="B11939" s="121" t="n"/>
      <s:c r="C11939" s="121" t="n"/>
      <s:c r="D11939" s="121" t="n"/>
      <s:c r="E11939" s="122" t="n"/>
    </s:row>
    <s:row r="11940" hidden="1" ht="1" customHeight="1">
      <s:c r="A11940" s="120" t="inlineStr"/>
      <s:c r="B11940" s="121" t="n"/>
      <s:c r="C11940" s="121" t="n"/>
      <s:c r="D11940" s="121" t="n"/>
      <s:c r="E11940" s="122" t="n"/>
    </s:row>
    <s:row r="11941" hidden="1" ht="1" customHeight="1">
      <s:c r="A11941" s="120" t="inlineStr"/>
      <s:c r="B11941" s="121" t="n"/>
      <s:c r="C11941" s="121" t="n"/>
      <s:c r="D11941" s="121" t="n"/>
      <s:c r="E11941" s="122" t="n"/>
    </s:row>
    <s:row r="11942" hidden="1" ht="1" customHeight="1">
      <s:c r="A11942" s="120" t="inlineStr"/>
      <s:c r="B11942" s="121" t="n"/>
      <s:c r="C11942" s="121" t="n"/>
      <s:c r="D11942" s="121" t="n"/>
      <s:c r="E11942" s="122" t="n"/>
    </s:row>
    <s:row r="11943" hidden="1" ht="1" customHeight="1">
      <s:c r="A11943" s="120" t="inlineStr"/>
      <s:c r="B11943" s="121" t="n"/>
      <s:c r="C11943" s="121" t="n"/>
      <s:c r="D11943" s="121" t="n"/>
      <s:c r="E11943" s="122" t="n"/>
    </s:row>
    <s:row r="11944" hidden="1" ht="1" customHeight="1">
      <s:c r="A11944" s="120" t="inlineStr"/>
      <s:c r="B11944" s="121" t="n"/>
      <s:c r="C11944" s="121" t="n"/>
      <s:c r="D11944" s="121" t="n"/>
      <s:c r="E11944" s="122" t="n"/>
    </s:row>
    <s:row r="11945" hidden="1" ht="1" customHeight="1">
      <s:c r="A11945" s="120" t="inlineStr"/>
      <s:c r="B11945" s="121" t="n"/>
      <s:c r="C11945" s="121" t="n"/>
      <s:c r="D11945" s="121" t="n"/>
      <s:c r="E11945" s="122" t="n"/>
    </s:row>
    <s:row r="11946" hidden="1" ht="1" customHeight="1">
      <s:c r="A11946" s="120" t="inlineStr"/>
      <s:c r="B11946" s="121" t="n"/>
      <s:c r="C11946" s="121" t="n"/>
      <s:c r="D11946" s="121" t="n"/>
      <s:c r="E11946" s="122" t="n"/>
    </s:row>
    <s:row r="11947" hidden="1" ht="1" customHeight="1">
      <s:c r="A11947" s="120" t="inlineStr"/>
      <s:c r="B11947" s="121" t="n"/>
      <s:c r="C11947" s="121" t="n"/>
      <s:c r="D11947" s="121" t="n"/>
      <s:c r="E11947" s="122" t="n"/>
    </s:row>
    <s:row r="11948" hidden="1" ht="1" customHeight="1">
      <s:c r="A11948" s="120" t="inlineStr"/>
      <s:c r="B11948" s="121" t="n"/>
      <s:c r="C11948" s="121" t="n"/>
      <s:c r="D11948" s="121" t="n"/>
      <s:c r="E11948" s="122" t="n"/>
    </s:row>
    <s:row r="11949" hidden="1" ht="1" customHeight="1">
      <s:c r="A11949" s="120" t="inlineStr"/>
      <s:c r="B11949" s="121" t="n"/>
      <s:c r="C11949" s="121" t="n"/>
      <s:c r="D11949" s="121" t="n"/>
      <s:c r="E11949" s="122" t="n"/>
    </s:row>
    <s:row r="11950" hidden="1" ht="1" customHeight="1">
      <s:c r="A11950" s="120" t="inlineStr"/>
      <s:c r="B11950" s="121" t="n"/>
      <s:c r="C11950" s="121" t="n"/>
      <s:c r="D11950" s="121" t="n"/>
      <s:c r="E11950" s="122" t="n"/>
    </s:row>
    <s:row r="11951" hidden="1" ht="1" customHeight="1">
      <s:c r="A11951" s="120" t="inlineStr"/>
      <s:c r="B11951" s="121" t="n"/>
      <s:c r="C11951" s="121" t="n"/>
      <s:c r="D11951" s="121" t="n"/>
      <s:c r="E11951" s="122" t="n"/>
    </s:row>
    <s:row r="11952" hidden="1" ht="1" customHeight="1">
      <s:c r="A11952" s="120" t="inlineStr"/>
      <s:c r="B11952" s="121" t="n"/>
      <s:c r="C11952" s="121" t="n"/>
      <s:c r="D11952" s="121" t="n"/>
      <s:c r="E11952" s="122" t="n"/>
    </s:row>
    <s:row r="11953" hidden="1" ht="1" customHeight="1">
      <s:c r="A11953" s="120" t="inlineStr"/>
      <s:c r="B11953" s="121" t="n"/>
      <s:c r="C11953" s="121" t="n"/>
      <s:c r="D11953" s="121" t="n"/>
      <s:c r="E11953" s="122" t="n"/>
    </s:row>
    <s:row r="11954" hidden="1" ht="1" customHeight="1">
      <s:c r="A11954" s="120" t="inlineStr"/>
      <s:c r="B11954" s="121" t="n"/>
      <s:c r="C11954" s="121" t="n"/>
      <s:c r="D11954" s="121" t="n"/>
      <s:c r="E11954" s="122" t="n"/>
    </s:row>
    <s:row r="11955" hidden="1" ht="1" customHeight="1">
      <s:c r="A11955" s="120" t="inlineStr"/>
      <s:c r="B11955" s="121" t="n"/>
      <s:c r="C11955" s="121" t="n"/>
      <s:c r="D11955" s="121" t="n"/>
      <s:c r="E11955" s="122" t="n"/>
    </s:row>
    <s:row r="11956" hidden="1" ht="1" customHeight="1">
      <s:c r="A11956" s="120" t="inlineStr"/>
      <s:c r="B11956" s="121" t="n"/>
      <s:c r="C11956" s="121" t="n"/>
      <s:c r="D11956" s="121" t="n"/>
      <s:c r="E11956" s="122" t="n"/>
    </s:row>
    <s:row r="11957" hidden="1" ht="1" customHeight="1">
      <s:c r="A11957" s="120" t="inlineStr"/>
      <s:c r="B11957" s="121" t="n"/>
      <s:c r="C11957" s="121" t="n"/>
      <s:c r="D11957" s="121" t="n"/>
      <s:c r="E11957" s="122" t="n"/>
    </s:row>
    <s:row r="11958" hidden="1" ht="1" customHeight="1">
      <s:c r="A11958" s="120" t="inlineStr"/>
      <s:c r="B11958" s="121" t="n"/>
      <s:c r="C11958" s="121" t="n"/>
      <s:c r="D11958" s="121" t="n"/>
      <s:c r="E11958" s="122" t="n"/>
    </s:row>
    <s:row r="11959" hidden="1" ht="1" customHeight="1">
      <s:c r="A11959" s="120" t="inlineStr"/>
      <s:c r="B11959" s="121" t="n"/>
      <s:c r="C11959" s="121" t="n"/>
      <s:c r="D11959" s="121" t="n"/>
      <s:c r="E11959" s="122" t="n"/>
    </s:row>
    <s:row r="11960" hidden="1" ht="1" customHeight="1">
      <s:c r="A11960" s="120" t="inlineStr"/>
      <s:c r="B11960" s="121" t="n"/>
      <s:c r="C11960" s="121" t="n"/>
      <s:c r="D11960" s="121" t="n"/>
      <s:c r="E11960" s="122" t="n"/>
    </s:row>
    <s:row r="11961" hidden="1" ht="1" customHeight="1">
      <s:c r="A11961" s="120" t="inlineStr"/>
      <s:c r="B11961" s="121" t="n"/>
      <s:c r="C11961" s="121" t="n"/>
      <s:c r="D11961" s="121" t="n"/>
      <s:c r="E11961" s="122" t="n"/>
    </s:row>
    <s:row r="11962" hidden="1" ht="1" customHeight="1">
      <s:c r="A11962" s="120" t="inlineStr"/>
      <s:c r="B11962" s="121" t="n"/>
      <s:c r="C11962" s="121" t="n"/>
      <s:c r="D11962" s="121" t="n"/>
      <s:c r="E11962" s="122" t="n"/>
    </s:row>
    <s:row r="11963" hidden="1" ht="1" customHeight="1">
      <s:c r="A11963" s="120" t="inlineStr"/>
      <s:c r="B11963" s="121" t="n"/>
      <s:c r="C11963" s="121" t="n"/>
      <s:c r="D11963" s="121" t="n"/>
      <s:c r="E11963" s="122" t="n"/>
    </s:row>
    <s:row r="11964" hidden="1" ht="1" customHeight="1">
      <s:c r="A11964" s="120" t="inlineStr"/>
      <s:c r="B11964" s="121" t="n"/>
      <s:c r="C11964" s="121" t="n"/>
      <s:c r="D11964" s="121" t="n"/>
      <s:c r="E11964" s="122" t="n"/>
    </s:row>
    <s:row r="11965" hidden="1" ht="1" customHeight="1">
      <s:c r="A11965" s="120" t="inlineStr"/>
      <s:c r="B11965" s="121" t="n"/>
      <s:c r="C11965" s="121" t="n"/>
      <s:c r="D11965" s="121" t="n"/>
      <s:c r="E11965" s="122" t="n"/>
    </s:row>
    <s:row r="11966" hidden="1" ht="1" customHeight="1">
      <s:c r="A11966" s="120" t="inlineStr"/>
      <s:c r="B11966" s="121" t="n"/>
      <s:c r="C11966" s="121" t="n"/>
      <s:c r="D11966" s="121" t="n"/>
      <s:c r="E11966" s="122" t="n"/>
    </s:row>
    <s:row r="11967" hidden="1" ht="1" customHeight="1">
      <s:c r="A11967" s="120" t="inlineStr"/>
      <s:c r="B11967" s="121" t="n"/>
      <s:c r="C11967" s="121" t="n"/>
      <s:c r="D11967" s="121" t="n"/>
      <s:c r="E11967" s="122" t="n"/>
    </s:row>
    <s:row r="11968" hidden="1" ht="1" customHeight="1">
      <s:c r="A11968" s="120" t="inlineStr"/>
      <s:c r="B11968" s="121" t="n"/>
      <s:c r="C11968" s="121" t="n"/>
      <s:c r="D11968" s="121" t="n"/>
      <s:c r="E11968" s="122" t="n"/>
    </s:row>
    <s:row r="11969" hidden="1" ht="1" customHeight="1">
      <s:c r="A11969" s="120" t="inlineStr"/>
      <s:c r="B11969" s="121" t="n"/>
      <s:c r="C11969" s="121" t="n"/>
      <s:c r="D11969" s="121" t="n"/>
      <s:c r="E11969" s="122" t="n"/>
    </s:row>
    <s:row r="11970" hidden="1" ht="1" customHeight="1">
      <s:c r="A11970" s="120" t="inlineStr"/>
      <s:c r="B11970" s="121" t="n"/>
      <s:c r="C11970" s="121" t="n"/>
      <s:c r="D11970" s="121" t="n"/>
      <s:c r="E11970" s="122" t="n"/>
    </s:row>
    <s:row r="11971" hidden="1" ht="1" customHeight="1">
      <s:c r="A11971" s="120" t="inlineStr"/>
      <s:c r="B11971" s="121" t="n"/>
      <s:c r="C11971" s="121" t="n"/>
      <s:c r="D11971" s="121" t="n"/>
      <s:c r="E11971" s="122" t="n"/>
    </s:row>
    <s:row r="11972" hidden="1" ht="1" customHeight="1">
      <s:c r="A11972" s="120" t="inlineStr"/>
      <s:c r="B11972" s="121" t="n"/>
      <s:c r="C11972" s="121" t="n"/>
      <s:c r="D11972" s="121" t="n"/>
      <s:c r="E11972" s="122" t="n"/>
    </s:row>
    <s:row r="11973" hidden="1" ht="1" customHeight="1">
      <s:c r="A11973" s="120" t="inlineStr"/>
      <s:c r="B11973" s="121" t="n"/>
      <s:c r="C11973" s="121" t="n"/>
      <s:c r="D11973" s="121" t="n"/>
      <s:c r="E11973" s="122" t="n"/>
    </s:row>
    <s:row r="11974" hidden="1" ht="1" customHeight="1">
      <s:c r="A11974" s="120" t="inlineStr"/>
      <s:c r="B11974" s="121" t="n"/>
      <s:c r="C11974" s="121" t="n"/>
      <s:c r="D11974" s="121" t="n"/>
      <s:c r="E11974" s="122" t="n"/>
    </s:row>
    <s:row r="11975" hidden="1" ht="1" customHeight="1">
      <s:c r="A11975" s="120" t="inlineStr"/>
      <s:c r="B11975" s="121" t="n"/>
      <s:c r="C11975" s="121" t="n"/>
      <s:c r="D11975" s="121" t="n"/>
      <s:c r="E11975" s="122" t="n"/>
    </s:row>
    <s:row r="11976" hidden="1" ht="1" customHeight="1">
      <s:c r="A11976" s="120" t="inlineStr"/>
      <s:c r="B11976" s="121" t="n"/>
      <s:c r="C11976" s="121" t="n"/>
      <s:c r="D11976" s="121" t="n"/>
      <s:c r="E11976" s="122" t="n"/>
    </s:row>
    <s:row r="11977" hidden="1" ht="1" customHeight="1">
      <s:c r="A11977" s="120" t="inlineStr"/>
      <s:c r="B11977" s="121" t="n"/>
      <s:c r="C11977" s="121" t="n"/>
      <s:c r="D11977" s="121" t="n"/>
      <s:c r="E11977" s="122" t="n"/>
    </s:row>
    <s:row r="11978" hidden="1" ht="1" customHeight="1">
      <s:c r="A11978" s="120" t="inlineStr"/>
      <s:c r="B11978" s="121" t="n"/>
      <s:c r="C11978" s="121" t="n"/>
      <s:c r="D11978" s="121" t="n"/>
      <s:c r="E11978" s="122" t="n"/>
    </s:row>
    <s:row r="11979" hidden="1" ht="1" customHeight="1">
      <s:c r="A11979" s="120" t="inlineStr"/>
      <s:c r="B11979" s="121" t="n"/>
      <s:c r="C11979" s="121" t="n"/>
      <s:c r="D11979" s="121" t="n"/>
      <s:c r="E11979" s="122" t="n"/>
    </s:row>
    <s:row r="11980" hidden="1" ht="1" customHeight="1">
      <s:c r="A11980" s="120" t="inlineStr"/>
      <s:c r="B11980" s="121" t="n"/>
      <s:c r="C11980" s="121" t="n"/>
      <s:c r="D11980" s="121" t="n"/>
      <s:c r="E11980" s="122" t="n"/>
    </s:row>
    <s:row r="11981" hidden="1" ht="1" customHeight="1">
      <s:c r="A11981" s="120" t="inlineStr"/>
      <s:c r="B11981" s="121" t="n"/>
      <s:c r="C11981" s="121" t="n"/>
      <s:c r="D11981" s="121" t="n"/>
      <s:c r="E11981" s="122" t="n"/>
    </s:row>
    <s:row r="11982" hidden="1" ht="1" customHeight="1">
      <s:c r="A11982" s="120" t="inlineStr"/>
      <s:c r="B11982" s="121" t="n"/>
      <s:c r="C11982" s="121" t="n"/>
      <s:c r="D11982" s="121" t="n"/>
      <s:c r="E11982" s="122" t="n"/>
    </s:row>
    <s:row r="11983" hidden="1" ht="1" customHeight="1">
      <s:c r="A11983" s="120" t="inlineStr"/>
      <s:c r="B11983" s="121" t="n"/>
      <s:c r="C11983" s="121" t="n"/>
      <s:c r="D11983" s="121" t="n"/>
      <s:c r="E11983" s="122" t="n"/>
    </s:row>
    <s:row r="11984" hidden="1" ht="1" customHeight="1">
      <s:c r="A11984" s="120" t="inlineStr"/>
      <s:c r="B11984" s="121" t="n"/>
      <s:c r="C11984" s="121" t="n"/>
      <s:c r="D11984" s="121" t="n"/>
      <s:c r="E11984" s="122" t="n"/>
    </s:row>
    <s:row r="11985" hidden="1" ht="1" customHeight="1">
      <s:c r="A11985" s="120" t="inlineStr"/>
      <s:c r="B11985" s="121" t="n"/>
      <s:c r="C11985" s="121" t="n"/>
      <s:c r="D11985" s="121" t="n"/>
      <s:c r="E11985" s="122" t="n"/>
    </s:row>
    <s:row r="11986" hidden="1" ht="1" customHeight="1">
      <s:c r="A11986" s="120" t="inlineStr"/>
      <s:c r="B11986" s="121" t="n"/>
      <s:c r="C11986" s="121" t="n"/>
      <s:c r="D11986" s="121" t="n"/>
      <s:c r="E11986" s="122" t="n"/>
    </s:row>
    <s:row r="11987" hidden="1" ht="1" customHeight="1">
      <s:c r="A11987" s="120" t="inlineStr"/>
      <s:c r="B11987" s="121" t="n"/>
      <s:c r="C11987" s="121" t="n"/>
      <s:c r="D11987" s="121" t="n"/>
      <s:c r="E11987" s="122" t="n"/>
    </s:row>
    <s:row r="11988" hidden="1" ht="1" customHeight="1">
      <s:c r="A11988" s="120" t="inlineStr"/>
      <s:c r="B11988" s="121" t="n"/>
      <s:c r="C11988" s="121" t="n"/>
      <s:c r="D11988" s="121" t="n"/>
      <s:c r="E11988" s="122" t="n"/>
    </s:row>
    <s:row r="11989" hidden="1" ht="1" customHeight="1">
      <s:c r="A11989" s="120" t="inlineStr"/>
      <s:c r="B11989" s="121" t="n"/>
      <s:c r="C11989" s="121" t="n"/>
      <s:c r="D11989" s="121" t="n"/>
      <s:c r="E11989" s="122" t="n"/>
    </s:row>
    <s:row r="11990" hidden="1" ht="1" customHeight="1">
      <s:c r="A11990" s="120" t="inlineStr"/>
      <s:c r="B11990" s="121" t="n"/>
      <s:c r="C11990" s="121" t="n"/>
      <s:c r="D11990" s="121" t="n"/>
      <s:c r="E11990" s="122" t="n"/>
    </s:row>
    <s:row r="11991" hidden="1" ht="1" customHeight="1">
      <s:c r="A11991" s="120" t="inlineStr"/>
      <s:c r="B11991" s="121" t="n"/>
      <s:c r="C11991" s="121" t="n"/>
      <s:c r="D11991" s="121" t="n"/>
      <s:c r="E11991" s="122" t="n"/>
    </s:row>
    <s:row r="11992" hidden="1" ht="1" customHeight="1">
      <s:c r="A11992" s="120" t="inlineStr"/>
      <s:c r="B11992" s="121" t="n"/>
      <s:c r="C11992" s="121" t="n"/>
      <s:c r="D11992" s="121" t="n"/>
      <s:c r="E11992" s="122" t="n"/>
    </s:row>
    <s:row r="11993" hidden="1" ht="1" customHeight="1">
      <s:c r="A11993" s="120" t="inlineStr"/>
      <s:c r="B11993" s="121" t="n"/>
      <s:c r="C11993" s="121" t="n"/>
      <s:c r="D11993" s="121" t="n"/>
      <s:c r="E11993" s="122" t="n"/>
    </s:row>
    <s:row r="11994" hidden="1" ht="1" customHeight="1">
      <s:c r="A11994" s="120" t="inlineStr"/>
      <s:c r="B11994" s="121" t="n"/>
      <s:c r="C11994" s="121" t="n"/>
      <s:c r="D11994" s="121" t="n"/>
      <s:c r="E11994" s="122" t="n"/>
    </s:row>
    <s:row r="11995" hidden="1" ht="1" customHeight="1">
      <s:c r="A11995" s="120" t="inlineStr"/>
      <s:c r="B11995" s="121" t="n"/>
      <s:c r="C11995" s="121" t="n"/>
      <s:c r="D11995" s="121" t="n"/>
      <s:c r="E11995" s="122" t="n"/>
    </s:row>
    <s:row r="11996" hidden="1" ht="1" customHeight="1">
      <s:c r="A11996" s="120" t="inlineStr"/>
      <s:c r="B11996" s="121" t="n"/>
      <s:c r="C11996" s="121" t="n"/>
      <s:c r="D11996" s="121" t="n"/>
      <s:c r="E11996" s="122" t="n"/>
    </s:row>
    <s:row r="11997" hidden="1" ht="1" customHeight="1">
      <s:c r="A11997" s="120" t="inlineStr"/>
      <s:c r="B11997" s="121" t="n"/>
      <s:c r="C11997" s="121" t="n"/>
      <s:c r="D11997" s="121" t="n"/>
      <s:c r="E11997" s="122" t="n"/>
    </s:row>
    <s:row r="11998" hidden="1" ht="1" customHeight="1">
      <s:c r="A11998" s="120" t="inlineStr"/>
      <s:c r="B11998" s="121" t="n"/>
      <s:c r="C11998" s="121" t="n"/>
      <s:c r="D11998" s="121" t="n"/>
      <s:c r="E11998" s="122" t="n"/>
    </s:row>
    <s:row r="11999" hidden="1" ht="1" customHeight="1">
      <s:c r="A11999" s="120" t="inlineStr"/>
      <s:c r="B11999" s="121" t="n"/>
      <s:c r="C11999" s="121" t="n"/>
      <s:c r="D11999" s="121" t="n"/>
      <s:c r="E11999" s="122" t="n"/>
    </s:row>
    <s:row r="12000" hidden="1" ht="1" customHeight="1">
      <s:c r="A12000" s="120" t="inlineStr"/>
      <s:c r="B12000" s="121" t="n"/>
      <s:c r="C12000" s="121" t="n"/>
      <s:c r="D12000" s="121" t="n"/>
      <s:c r="E12000" s="122" t="n"/>
    </s:row>
    <s:row r="12001" hidden="1" ht="1" customHeight="1">
      <s:c r="A12001" s="120" t="inlineStr"/>
      <s:c r="B12001" s="121" t="n"/>
      <s:c r="C12001" s="121" t="n"/>
      <s:c r="D12001" s="121" t="n"/>
      <s:c r="E12001" s="122" t="n"/>
    </s:row>
    <s:row r="12002" hidden="1" ht="1" customHeight="1">
      <s:c r="A12002" s="120" t="inlineStr"/>
      <s:c r="B12002" s="121" t="n"/>
      <s:c r="C12002" s="121" t="n"/>
      <s:c r="D12002" s="121" t="n"/>
      <s:c r="E12002" s="122" t="n"/>
    </s:row>
    <s:row r="12003" hidden="1" ht="1" customHeight="1">
      <s:c r="A12003" s="120" t="inlineStr"/>
      <s:c r="B12003" s="121" t="n"/>
      <s:c r="C12003" s="121" t="n"/>
      <s:c r="D12003" s="121" t="n"/>
      <s:c r="E12003" s="122" t="n"/>
    </s:row>
    <s:row r="12004" hidden="1" ht="1" customHeight="1">
      <s:c r="A12004" s="120" t="inlineStr"/>
      <s:c r="B12004" s="121" t="n"/>
      <s:c r="C12004" s="121" t="n"/>
      <s:c r="D12004" s="121" t="n"/>
      <s:c r="E12004" s="122" t="n"/>
    </s:row>
    <s:row r="12005" hidden="1" ht="1" customHeight="1">
      <s:c r="A12005" s="120" t="inlineStr"/>
      <s:c r="B12005" s="121" t="n"/>
      <s:c r="C12005" s="121" t="n"/>
      <s:c r="D12005" s="121" t="n"/>
      <s:c r="E12005" s="122" t="n"/>
    </s:row>
    <s:row r="12006" hidden="1" ht="1" customHeight="1">
      <s:c r="A12006" s="120" t="inlineStr"/>
      <s:c r="B12006" s="121" t="n"/>
      <s:c r="C12006" s="121" t="n"/>
      <s:c r="D12006" s="121" t="n"/>
      <s:c r="E12006" s="122" t="n"/>
    </s:row>
    <s:row r="12007" hidden="1" ht="1" customHeight="1">
      <s:c r="A12007" s="120" t="inlineStr"/>
      <s:c r="B12007" s="121" t="n"/>
      <s:c r="C12007" s="121" t="n"/>
      <s:c r="D12007" s="121" t="n"/>
      <s:c r="E12007" s="122" t="n"/>
    </s:row>
    <s:row r="12008" hidden="1" ht="1" customHeight="1">
      <s:c r="A12008" s="120" t="inlineStr"/>
      <s:c r="B12008" s="121" t="n"/>
      <s:c r="C12008" s="121" t="n"/>
      <s:c r="D12008" s="121" t="n"/>
      <s:c r="E12008" s="122" t="n"/>
    </s:row>
    <s:row r="12009" hidden="1" ht="1" customHeight="1">
      <s:c r="A12009" s="120" t="inlineStr"/>
      <s:c r="B12009" s="121" t="n"/>
      <s:c r="C12009" s="121" t="n"/>
      <s:c r="D12009" s="121" t="n"/>
      <s:c r="E12009" s="122" t="n"/>
    </s:row>
    <s:row r="12010" hidden="1" ht="1" customHeight="1">
      <s:c r="A12010" s="120" t="inlineStr"/>
      <s:c r="B12010" s="121" t="n"/>
      <s:c r="C12010" s="121" t="n"/>
      <s:c r="D12010" s="121" t="n"/>
      <s:c r="E12010" s="122" t="n"/>
    </s:row>
    <s:row r="12011" hidden="1" ht="1" customHeight="1">
      <s:c r="A12011" s="120" t="inlineStr"/>
      <s:c r="B12011" s="121" t="n"/>
      <s:c r="C12011" s="121" t="n"/>
      <s:c r="D12011" s="121" t="n"/>
      <s:c r="E12011" s="122" t="n"/>
    </s:row>
    <s:row r="12012" hidden="1" ht="1" customHeight="1">
      <s:c r="A12012" s="120" t="inlineStr"/>
      <s:c r="B12012" s="121" t="n"/>
      <s:c r="C12012" s="121" t="n"/>
      <s:c r="D12012" s="121" t="n"/>
      <s:c r="E12012" s="122" t="n"/>
    </s:row>
    <s:row r="12013" hidden="1" ht="1" customHeight="1">
      <s:c r="A12013" s="120" t="inlineStr"/>
      <s:c r="B12013" s="121" t="n"/>
      <s:c r="C12013" s="121" t="n"/>
      <s:c r="D12013" s="121" t="n"/>
      <s:c r="E12013" s="122" t="n"/>
    </s:row>
    <s:row r="12014" hidden="1" ht="1" customHeight="1">
      <s:c r="A12014" s="120" t="inlineStr"/>
      <s:c r="B12014" s="121" t="n"/>
      <s:c r="C12014" s="121" t="n"/>
      <s:c r="D12014" s="121" t="n"/>
      <s:c r="E12014" s="122" t="n"/>
    </s:row>
    <s:row r="12015" hidden="1" ht="1" customHeight="1">
      <s:c r="A12015" s="120" t="inlineStr"/>
      <s:c r="B12015" s="121" t="n"/>
      <s:c r="C12015" s="121" t="n"/>
      <s:c r="D12015" s="121" t="n"/>
      <s:c r="E12015" s="122" t="n"/>
    </s:row>
    <s:row r="12016" hidden="1" ht="1" customHeight="1">
      <s:c r="A12016" s="120" t="inlineStr"/>
      <s:c r="B12016" s="121" t="n"/>
      <s:c r="C12016" s="121" t="n"/>
      <s:c r="D12016" s="121" t="n"/>
      <s:c r="E12016" s="122" t="n"/>
    </s:row>
    <s:row r="12017" hidden="1" ht="1" customHeight="1">
      <s:c r="A12017" s="120" t="inlineStr"/>
      <s:c r="B12017" s="121" t="n"/>
      <s:c r="C12017" s="121" t="n"/>
      <s:c r="D12017" s="121" t="n"/>
      <s:c r="E12017" s="122" t="n"/>
    </s:row>
    <s:row r="12018" hidden="1" ht="1" customHeight="1">
      <s:c r="A12018" s="120" t="inlineStr"/>
      <s:c r="B12018" s="121" t="n"/>
      <s:c r="C12018" s="121" t="n"/>
      <s:c r="D12018" s="121" t="n"/>
      <s:c r="E12018" s="122" t="n"/>
    </s:row>
    <s:row r="12019" hidden="1" ht="1" customHeight="1">
      <s:c r="A12019" s="120" t="inlineStr"/>
      <s:c r="B12019" s="121" t="n"/>
      <s:c r="C12019" s="121" t="n"/>
      <s:c r="D12019" s="121" t="n"/>
      <s:c r="E12019" s="122" t="n"/>
    </s:row>
    <s:row r="12020" hidden="1" ht="1" customHeight="1">
      <s:c r="A12020" s="120" t="inlineStr"/>
      <s:c r="B12020" s="121" t="n"/>
      <s:c r="C12020" s="121" t="n"/>
      <s:c r="D12020" s="121" t="n"/>
      <s:c r="E12020" s="122" t="n"/>
    </s:row>
    <s:row r="12021" hidden="1" ht="1" customHeight="1">
      <s:c r="A12021" s="120" t="inlineStr"/>
      <s:c r="B12021" s="121" t="n"/>
      <s:c r="C12021" s="121" t="n"/>
      <s:c r="D12021" s="121" t="n"/>
      <s:c r="E12021" s="122" t="n"/>
    </s:row>
    <s:row r="12022" hidden="1" ht="1" customHeight="1">
      <s:c r="A12022" s="120" t="inlineStr"/>
      <s:c r="B12022" s="121" t="n"/>
      <s:c r="C12022" s="121" t="n"/>
      <s:c r="D12022" s="121" t="n"/>
      <s:c r="E12022" s="122" t="n"/>
    </s:row>
    <s:row r="12023" hidden="1" ht="1" customHeight="1">
      <s:c r="A12023" s="120" t="inlineStr"/>
      <s:c r="B12023" s="121" t="n"/>
      <s:c r="C12023" s="121" t="n"/>
      <s:c r="D12023" s="121" t="n"/>
      <s:c r="E12023" s="122" t="n"/>
    </s:row>
    <s:row r="12024" hidden="1" ht="1" customHeight="1">
      <s:c r="A12024" s="120" t="inlineStr"/>
      <s:c r="B12024" s="121" t="n"/>
      <s:c r="C12024" s="121" t="n"/>
      <s:c r="D12024" s="121" t="n"/>
      <s:c r="E12024" s="122" t="n"/>
    </s:row>
    <s:row r="12025" hidden="1" ht="1" customHeight="1">
      <s:c r="A12025" s="120" t="inlineStr"/>
      <s:c r="B12025" s="121" t="n"/>
      <s:c r="C12025" s="121" t="n"/>
      <s:c r="D12025" s="121" t="n"/>
      <s:c r="E12025" s="122" t="n"/>
    </s:row>
    <s:row r="12026" hidden="1" ht="1" customHeight="1">
      <s:c r="A12026" s="120" t="inlineStr"/>
      <s:c r="B12026" s="121" t="n"/>
      <s:c r="C12026" s="121" t="n"/>
      <s:c r="D12026" s="121" t="n"/>
      <s:c r="E12026" s="122" t="n"/>
    </s:row>
    <s:row r="12027" hidden="1" ht="1" customHeight="1">
      <s:c r="A12027" s="120" t="inlineStr"/>
      <s:c r="B12027" s="121" t="n"/>
      <s:c r="C12027" s="121" t="n"/>
      <s:c r="D12027" s="121" t="n"/>
      <s:c r="E12027" s="122" t="n"/>
    </s:row>
    <s:row r="12028" hidden="1" ht="1" customHeight="1">
      <s:c r="A12028" s="120" t="inlineStr"/>
      <s:c r="B12028" s="121" t="n"/>
      <s:c r="C12028" s="121" t="n"/>
      <s:c r="D12028" s="121" t="n"/>
      <s:c r="E12028" s="122" t="n"/>
    </s:row>
    <s:row r="12029" hidden="1" ht="1" customHeight="1">
      <s:c r="A12029" s="120" t="inlineStr"/>
      <s:c r="B12029" s="121" t="n"/>
      <s:c r="C12029" s="121" t="n"/>
      <s:c r="D12029" s="121" t="n"/>
      <s:c r="E12029" s="122" t="n"/>
    </s:row>
    <s:row r="12030" hidden="1" ht="1" customHeight="1">
      <s:c r="A12030" s="120" t="inlineStr"/>
      <s:c r="B12030" s="121" t="n"/>
      <s:c r="C12030" s="121" t="n"/>
      <s:c r="D12030" s="121" t="n"/>
      <s:c r="E12030" s="122" t="n"/>
    </s:row>
    <s:row r="12031" hidden="1" ht="1" customHeight="1">
      <s:c r="A12031" s="120" t="inlineStr"/>
      <s:c r="B12031" s="121" t="n"/>
      <s:c r="C12031" s="121" t="n"/>
      <s:c r="D12031" s="121" t="n"/>
      <s:c r="E12031" s="122" t="n"/>
    </s:row>
    <s:row r="12032" hidden="1" ht="1" customHeight="1">
      <s:c r="A12032" s="120" t="inlineStr"/>
      <s:c r="B12032" s="121" t="n"/>
      <s:c r="C12032" s="121" t="n"/>
      <s:c r="D12032" s="121" t="n"/>
      <s:c r="E12032" s="122" t="n"/>
    </s:row>
    <s:row r="12033" hidden="1" ht="1" customHeight="1">
      <s:c r="A12033" s="120" t="inlineStr"/>
      <s:c r="B12033" s="121" t="n"/>
      <s:c r="C12033" s="121" t="n"/>
      <s:c r="D12033" s="121" t="n"/>
      <s:c r="E12033" s="122" t="n"/>
    </s:row>
    <s:row r="12034" hidden="1" ht="1" customHeight="1">
      <s:c r="A12034" s="120" t="inlineStr"/>
      <s:c r="B12034" s="121" t="n"/>
      <s:c r="C12034" s="121" t="n"/>
      <s:c r="D12034" s="121" t="n"/>
      <s:c r="E12034" s="122" t="n"/>
    </s:row>
    <s:row r="12035" hidden="1" ht="1" customHeight="1">
      <s:c r="A12035" s="120" t="inlineStr"/>
      <s:c r="B12035" s="121" t="n"/>
      <s:c r="C12035" s="121" t="n"/>
      <s:c r="D12035" s="121" t="n"/>
      <s:c r="E12035" s="122" t="n"/>
    </s:row>
    <s:row r="12036" hidden="1" ht="1" customHeight="1">
      <s:c r="A12036" s="120" t="inlineStr"/>
      <s:c r="B12036" s="121" t="n"/>
      <s:c r="C12036" s="121" t="n"/>
      <s:c r="D12036" s="121" t="n"/>
      <s:c r="E12036" s="122" t="n"/>
    </s:row>
    <s:row r="12037" hidden="1" ht="1" customHeight="1">
      <s:c r="A12037" s="120" t="inlineStr"/>
      <s:c r="B12037" s="121" t="n"/>
      <s:c r="C12037" s="121" t="n"/>
      <s:c r="D12037" s="121" t="n"/>
      <s:c r="E12037" s="122" t="n"/>
    </s:row>
    <s:row r="12038" hidden="1" ht="1" customHeight="1">
      <s:c r="A12038" s="120" t="inlineStr"/>
      <s:c r="B12038" s="121" t="n"/>
      <s:c r="C12038" s="121" t="n"/>
      <s:c r="D12038" s="121" t="n"/>
      <s:c r="E12038" s="122" t="n"/>
    </s:row>
    <s:row r="12039" hidden="1" ht="1" customHeight="1">
      <s:c r="A12039" s="120" t="inlineStr"/>
      <s:c r="B12039" s="121" t="n"/>
      <s:c r="C12039" s="121" t="n"/>
      <s:c r="D12039" s="121" t="n"/>
      <s:c r="E12039" s="122" t="n"/>
    </s:row>
    <s:row r="12040" hidden="1" ht="1" customHeight="1">
      <s:c r="A12040" s="120" t="inlineStr"/>
      <s:c r="B12040" s="121" t="n"/>
      <s:c r="C12040" s="121" t="n"/>
      <s:c r="D12040" s="121" t="n"/>
      <s:c r="E12040" s="122" t="n"/>
    </s:row>
    <s:row r="12041" hidden="1" ht="1" customHeight="1">
      <s:c r="A12041" s="120" t="inlineStr"/>
      <s:c r="B12041" s="121" t="n"/>
      <s:c r="C12041" s="121" t="n"/>
      <s:c r="D12041" s="121" t="n"/>
      <s:c r="E12041" s="122" t="n"/>
    </s:row>
    <s:row r="12042" hidden="1" ht="1" customHeight="1">
      <s:c r="A12042" s="120" t="inlineStr"/>
      <s:c r="B12042" s="121" t="n"/>
      <s:c r="C12042" s="121" t="n"/>
      <s:c r="D12042" s="121" t="n"/>
      <s:c r="E12042" s="122" t="n"/>
    </s:row>
    <s:row r="12043" hidden="1" ht="1" customHeight="1">
      <s:c r="A12043" s="120" t="inlineStr"/>
      <s:c r="B12043" s="121" t="n"/>
      <s:c r="C12043" s="121" t="n"/>
      <s:c r="D12043" s="121" t="n"/>
      <s:c r="E12043" s="122" t="n"/>
    </s:row>
    <s:row r="12044" hidden="1" ht="1" customHeight="1">
      <s:c r="A12044" s="120" t="inlineStr"/>
      <s:c r="B12044" s="121" t="n"/>
      <s:c r="C12044" s="121" t="n"/>
      <s:c r="D12044" s="121" t="n"/>
      <s:c r="E12044" s="122" t="n"/>
    </s:row>
    <s:row r="12045" hidden="1" ht="1" customHeight="1">
      <s:c r="A12045" s="120" t="inlineStr"/>
      <s:c r="B12045" s="121" t="n"/>
      <s:c r="C12045" s="121" t="n"/>
      <s:c r="D12045" s="121" t="n"/>
      <s:c r="E12045" s="122" t="n"/>
    </s:row>
    <s:row r="12046" hidden="1" ht="1" customHeight="1">
      <s:c r="A12046" s="120" t="inlineStr"/>
      <s:c r="B12046" s="121" t="n"/>
      <s:c r="C12046" s="121" t="n"/>
      <s:c r="D12046" s="121" t="n"/>
      <s:c r="E12046" s="122" t="n"/>
    </s:row>
    <s:row r="12047" hidden="1" ht="1" customHeight="1">
      <s:c r="A12047" s="120" t="inlineStr"/>
      <s:c r="B12047" s="121" t="n"/>
      <s:c r="C12047" s="121" t="n"/>
      <s:c r="D12047" s="121" t="n"/>
      <s:c r="E12047" s="122" t="n"/>
    </s:row>
    <s:row r="12048" hidden="1" ht="1" customHeight="1">
      <s:c r="A12048" s="120" t="inlineStr"/>
      <s:c r="B12048" s="121" t="n"/>
      <s:c r="C12048" s="121" t="n"/>
      <s:c r="D12048" s="121" t="n"/>
      <s:c r="E12048" s="122" t="n"/>
    </s:row>
    <s:row r="12049" hidden="1" ht="1" customHeight="1">
      <s:c r="A12049" s="120" t="inlineStr"/>
      <s:c r="B12049" s="121" t="n"/>
      <s:c r="C12049" s="121" t="n"/>
      <s:c r="D12049" s="121" t="n"/>
      <s:c r="E12049" s="122" t="n"/>
    </s:row>
    <s:row r="12050" hidden="1" ht="1" customHeight="1">
      <s:c r="A12050" s="120" t="inlineStr"/>
      <s:c r="B12050" s="121" t="n"/>
      <s:c r="C12050" s="121" t="n"/>
      <s:c r="D12050" s="121" t="n"/>
      <s:c r="E12050" s="122" t="n"/>
    </s:row>
    <s:row r="12051" hidden="1" ht="1" customHeight="1">
      <s:c r="A12051" s="120" t="inlineStr"/>
      <s:c r="B12051" s="121" t="n"/>
      <s:c r="C12051" s="121" t="n"/>
      <s:c r="D12051" s="121" t="n"/>
      <s:c r="E12051" s="122" t="n"/>
    </s:row>
    <s:row r="12052" hidden="1" ht="1" customHeight="1">
      <s:c r="A12052" s="120" t="inlineStr"/>
      <s:c r="B12052" s="121" t="n"/>
      <s:c r="C12052" s="121" t="n"/>
      <s:c r="D12052" s="121" t="n"/>
      <s:c r="E12052" s="122" t="n"/>
    </s:row>
    <s:row r="12053" hidden="1" ht="1" customHeight="1">
      <s:c r="A12053" s="120" t="inlineStr"/>
      <s:c r="B12053" s="121" t="n"/>
      <s:c r="C12053" s="121" t="n"/>
      <s:c r="D12053" s="121" t="n"/>
      <s:c r="E12053" s="122" t="n"/>
    </s:row>
    <s:row r="12054" hidden="1" ht="1" customHeight="1">
      <s:c r="A12054" s="120" t="inlineStr"/>
      <s:c r="B12054" s="121" t="n"/>
      <s:c r="C12054" s="121" t="n"/>
      <s:c r="D12054" s="121" t="n"/>
      <s:c r="E12054" s="122" t="n"/>
    </s:row>
    <s:row r="12055" hidden="1" ht="1" customHeight="1">
      <s:c r="A12055" s="120" t="inlineStr"/>
      <s:c r="B12055" s="121" t="n"/>
      <s:c r="C12055" s="121" t="n"/>
      <s:c r="D12055" s="121" t="n"/>
      <s:c r="E12055" s="122" t="n"/>
    </s:row>
    <s:row r="12056" hidden="1" ht="1" customHeight="1">
      <s:c r="A12056" s="120" t="inlineStr"/>
      <s:c r="B12056" s="121" t="n"/>
      <s:c r="C12056" s="121" t="n"/>
      <s:c r="D12056" s="121" t="n"/>
      <s:c r="E12056" s="122" t="n"/>
    </s:row>
    <s:row r="12057" hidden="1" ht="1" customHeight="1">
      <s:c r="A12057" s="120" t="inlineStr"/>
      <s:c r="B12057" s="121" t="n"/>
      <s:c r="C12057" s="121" t="n"/>
      <s:c r="D12057" s="121" t="n"/>
      <s:c r="E12057" s="122" t="n"/>
    </s:row>
    <s:row r="12058" hidden="1" ht="1" customHeight="1">
      <s:c r="A12058" s="120" t="inlineStr"/>
      <s:c r="B12058" s="121" t="n"/>
      <s:c r="C12058" s="121" t="n"/>
      <s:c r="D12058" s="121" t="n"/>
      <s:c r="E12058" s="122" t="n"/>
    </s:row>
    <s:row r="12059" hidden="1" ht="1" customHeight="1">
      <s:c r="A12059" s="120" t="inlineStr"/>
      <s:c r="B12059" s="121" t="n"/>
      <s:c r="C12059" s="121" t="n"/>
      <s:c r="D12059" s="121" t="n"/>
      <s:c r="E12059" s="122" t="n"/>
    </s:row>
    <s:row r="12060" hidden="1" ht="1" customHeight="1">
      <s:c r="A12060" s="120" t="inlineStr"/>
      <s:c r="B12060" s="121" t="n"/>
      <s:c r="C12060" s="121" t="n"/>
      <s:c r="D12060" s="121" t="n"/>
      <s:c r="E12060" s="122" t="n"/>
    </s:row>
    <s:row r="12061" hidden="1" ht="1" customHeight="1">
      <s:c r="A12061" s="120" t="inlineStr"/>
      <s:c r="B12061" s="121" t="n"/>
      <s:c r="C12061" s="121" t="n"/>
      <s:c r="D12061" s="121" t="n"/>
      <s:c r="E12061" s="122" t="n"/>
    </s:row>
    <s:row r="12062" hidden="1" ht="1" customHeight="1">
      <s:c r="A12062" s="120" t="inlineStr"/>
      <s:c r="B12062" s="121" t="n"/>
      <s:c r="C12062" s="121" t="n"/>
      <s:c r="D12062" s="121" t="n"/>
      <s:c r="E12062" s="122" t="n"/>
    </s:row>
    <s:row r="12063" hidden="1" ht="1" customHeight="1">
      <s:c r="A12063" s="120" t="inlineStr"/>
      <s:c r="B12063" s="121" t="n"/>
      <s:c r="C12063" s="121" t="n"/>
      <s:c r="D12063" s="121" t="n"/>
      <s:c r="E12063" s="122" t="n"/>
    </s:row>
    <s:row r="12064" hidden="1" ht="1" customHeight="1">
      <s:c r="A12064" s="120" t="inlineStr"/>
      <s:c r="B12064" s="121" t="n"/>
      <s:c r="C12064" s="121" t="n"/>
      <s:c r="D12064" s="121" t="n"/>
      <s:c r="E12064" s="122" t="n"/>
    </s:row>
    <s:row r="12065" hidden="1" ht="1" customHeight="1">
      <s:c r="A12065" s="120" t="inlineStr"/>
      <s:c r="B12065" s="121" t="n"/>
      <s:c r="C12065" s="121" t="n"/>
      <s:c r="D12065" s="121" t="n"/>
      <s:c r="E12065" s="122" t="n"/>
    </s:row>
    <s:row r="12066" hidden="1" ht="1" customHeight="1">
      <s:c r="A12066" s="120" t="inlineStr"/>
      <s:c r="B12066" s="121" t="n"/>
      <s:c r="C12066" s="121" t="n"/>
      <s:c r="D12066" s="121" t="n"/>
      <s:c r="E12066" s="122" t="n"/>
    </s:row>
    <s:row r="12067" hidden="1" ht="1" customHeight="1">
      <s:c r="A12067" s="120" t="inlineStr"/>
      <s:c r="B12067" s="121" t="n"/>
      <s:c r="C12067" s="121" t="n"/>
      <s:c r="D12067" s="121" t="n"/>
      <s:c r="E12067" s="122" t="n"/>
    </s:row>
    <s:row r="12068" hidden="1" ht="1" customHeight="1">
      <s:c r="A12068" s="120" t="inlineStr"/>
      <s:c r="B12068" s="121" t="n"/>
      <s:c r="C12068" s="121" t="n"/>
      <s:c r="D12068" s="121" t="n"/>
      <s:c r="E12068" s="122" t="n"/>
    </s:row>
    <s:row r="12069" hidden="1" ht="1" customHeight="1">
      <s:c r="A12069" s="120" t="inlineStr"/>
      <s:c r="B12069" s="121" t="n"/>
      <s:c r="C12069" s="121" t="n"/>
      <s:c r="D12069" s="121" t="n"/>
      <s:c r="E12069" s="122" t="n"/>
    </s:row>
    <s:row r="12070" hidden="1" ht="1" customHeight="1">
      <s:c r="A12070" s="120" t="inlineStr"/>
      <s:c r="B12070" s="121" t="n"/>
      <s:c r="C12070" s="121" t="n"/>
      <s:c r="D12070" s="121" t="n"/>
      <s:c r="E12070" s="122" t="n"/>
    </s:row>
    <s:row r="12071" hidden="1" ht="1" customHeight="1">
      <s:c r="A12071" s="120" t="inlineStr"/>
      <s:c r="B12071" s="121" t="n"/>
      <s:c r="C12071" s="121" t="n"/>
      <s:c r="D12071" s="121" t="n"/>
      <s:c r="E12071" s="122" t="n"/>
    </s:row>
    <s:row r="12072" hidden="1" ht="1" customHeight="1">
      <s:c r="A12072" s="120" t="inlineStr"/>
      <s:c r="B12072" s="121" t="n"/>
      <s:c r="C12072" s="121" t="n"/>
      <s:c r="D12072" s="121" t="n"/>
      <s:c r="E12072" s="122" t="n"/>
    </s:row>
    <s:row r="12073" hidden="1" ht="1" customHeight="1">
      <s:c r="A12073" s="120" t="inlineStr"/>
      <s:c r="B12073" s="121" t="n"/>
      <s:c r="C12073" s="121" t="n"/>
      <s:c r="D12073" s="121" t="n"/>
      <s:c r="E12073" s="122" t="n"/>
    </s:row>
    <s:row r="12074" hidden="1" ht="1" customHeight="1">
      <s:c r="A12074" s="120" t="inlineStr"/>
      <s:c r="B12074" s="121" t="n"/>
      <s:c r="C12074" s="121" t="n"/>
      <s:c r="D12074" s="121" t="n"/>
      <s:c r="E12074" s="122" t="n"/>
    </s:row>
    <s:row r="12075" hidden="1" ht="1" customHeight="1">
      <s:c r="A12075" s="120" t="inlineStr"/>
      <s:c r="B12075" s="121" t="n"/>
      <s:c r="C12075" s="121" t="n"/>
      <s:c r="D12075" s="121" t="n"/>
      <s:c r="E12075" s="122" t="n"/>
    </s:row>
    <s:row r="12076" hidden="1" ht="1" customHeight="1">
      <s:c r="A12076" s="120" t="inlineStr"/>
      <s:c r="B12076" s="121" t="n"/>
      <s:c r="C12076" s="121" t="n"/>
      <s:c r="D12076" s="121" t="n"/>
      <s:c r="E12076" s="122" t="n"/>
    </s:row>
    <s:row r="12077" hidden="1" ht="1" customHeight="1">
      <s:c r="A12077" s="120" t="inlineStr"/>
      <s:c r="B12077" s="121" t="n"/>
      <s:c r="C12077" s="121" t="n"/>
      <s:c r="D12077" s="121" t="n"/>
      <s:c r="E12077" s="122" t="n"/>
    </s:row>
    <s:row r="12078" hidden="1" ht="1" customHeight="1">
      <s:c r="A12078" s="120" t="inlineStr"/>
      <s:c r="B12078" s="121" t="n"/>
      <s:c r="C12078" s="121" t="n"/>
      <s:c r="D12078" s="121" t="n"/>
      <s:c r="E12078" s="122" t="n"/>
    </s:row>
    <s:row r="12079" hidden="1" ht="1" customHeight="1">
      <s:c r="A12079" s="120" t="inlineStr"/>
      <s:c r="B12079" s="121" t="n"/>
      <s:c r="C12079" s="121" t="n"/>
      <s:c r="D12079" s="121" t="n"/>
      <s:c r="E12079" s="122" t="n"/>
    </s:row>
    <s:row r="12080" hidden="1" ht="1" customHeight="1">
      <s:c r="A12080" s="120" t="inlineStr"/>
      <s:c r="B12080" s="121" t="n"/>
      <s:c r="C12080" s="121" t="n"/>
      <s:c r="D12080" s="121" t="n"/>
      <s:c r="E12080" s="122" t="n"/>
    </s:row>
    <s:row r="12081" hidden="1" ht="1" customHeight="1">
      <s:c r="A12081" s="120" t="inlineStr"/>
      <s:c r="B12081" s="121" t="n"/>
      <s:c r="C12081" s="121" t="n"/>
      <s:c r="D12081" s="121" t="n"/>
      <s:c r="E12081" s="122" t="n"/>
    </s:row>
    <s:row r="12082" hidden="1" ht="1" customHeight="1">
      <s:c r="A12082" s="120" t="inlineStr"/>
      <s:c r="B12082" s="121" t="n"/>
      <s:c r="C12082" s="121" t="n"/>
      <s:c r="D12082" s="121" t="n"/>
      <s:c r="E12082" s="122" t="n"/>
    </s:row>
    <s:row r="12083" hidden="1" ht="1" customHeight="1">
      <s:c r="A12083" s="120" t="inlineStr"/>
      <s:c r="B12083" s="121" t="n"/>
      <s:c r="C12083" s="121" t="n"/>
      <s:c r="D12083" s="121" t="n"/>
      <s:c r="E12083" s="122" t="n"/>
    </s:row>
    <s:row r="12084" hidden="1" ht="1" customHeight="1">
      <s:c r="A12084" s="120" t="inlineStr"/>
      <s:c r="B12084" s="121" t="n"/>
      <s:c r="C12084" s="121" t="n"/>
      <s:c r="D12084" s="121" t="n"/>
      <s:c r="E12084" s="122" t="n"/>
    </s:row>
    <s:row r="12085" hidden="1" ht="1" customHeight="1">
      <s:c r="A12085" s="120" t="inlineStr"/>
      <s:c r="B12085" s="121" t="n"/>
      <s:c r="C12085" s="121" t="n"/>
      <s:c r="D12085" s="121" t="n"/>
      <s:c r="E12085" s="122" t="n"/>
    </s:row>
    <s:row r="12086" hidden="1" ht="1" customHeight="1">
      <s:c r="A12086" s="120" t="inlineStr"/>
      <s:c r="B12086" s="121" t="n"/>
      <s:c r="C12086" s="121" t="n"/>
      <s:c r="D12086" s="121" t="n"/>
      <s:c r="E12086" s="122" t="n"/>
    </s:row>
    <s:row r="12087" hidden="1" ht="1" customHeight="1">
      <s:c r="A12087" s="120" t="inlineStr"/>
      <s:c r="B12087" s="121" t="n"/>
      <s:c r="C12087" s="121" t="n"/>
      <s:c r="D12087" s="121" t="n"/>
      <s:c r="E12087" s="122" t="n"/>
    </s:row>
    <s:row r="12088" hidden="1" ht="1" customHeight="1">
      <s:c r="A12088" s="120" t="inlineStr"/>
      <s:c r="B12088" s="121" t="n"/>
      <s:c r="C12088" s="121" t="n"/>
      <s:c r="D12088" s="121" t="n"/>
      <s:c r="E12088" s="122" t="n"/>
    </s:row>
    <s:row r="12089" hidden="1" ht="1" customHeight="1">
      <s:c r="A12089" s="120" t="inlineStr"/>
      <s:c r="B12089" s="121" t="n"/>
      <s:c r="C12089" s="121" t="n"/>
      <s:c r="D12089" s="121" t="n"/>
      <s:c r="E12089" s="122" t="n"/>
    </s:row>
    <s:row r="12090" hidden="1" ht="1" customHeight="1">
      <s:c r="A12090" s="120" t="inlineStr"/>
      <s:c r="B12090" s="121" t="n"/>
      <s:c r="C12090" s="121" t="n"/>
      <s:c r="D12090" s="121" t="n"/>
      <s:c r="E12090" s="122" t="n"/>
    </s:row>
    <s:row r="12091" hidden="1" ht="1" customHeight="1">
      <s:c r="A12091" s="120" t="inlineStr"/>
      <s:c r="B12091" s="121" t="n"/>
      <s:c r="C12091" s="121" t="n"/>
      <s:c r="D12091" s="121" t="n"/>
      <s:c r="E12091" s="122" t="n"/>
    </s:row>
    <s:row r="12092" hidden="1" ht="1" customHeight="1">
      <s:c r="A12092" s="120" t="inlineStr"/>
      <s:c r="B12092" s="121" t="n"/>
      <s:c r="C12092" s="121" t="n"/>
      <s:c r="D12092" s="121" t="n"/>
      <s:c r="E12092" s="122" t="n"/>
    </s:row>
    <s:row r="12093" hidden="1" ht="1" customHeight="1">
      <s:c r="A12093" s="120" t="inlineStr"/>
      <s:c r="B12093" s="121" t="n"/>
      <s:c r="C12093" s="121" t="n"/>
      <s:c r="D12093" s="121" t="n"/>
      <s:c r="E12093" s="122" t="n"/>
    </s:row>
    <s:row r="12094" hidden="1" ht="1" customHeight="1">
      <s:c r="A12094" s="120" t="inlineStr"/>
      <s:c r="B12094" s="121" t="n"/>
      <s:c r="C12094" s="121" t="n"/>
      <s:c r="D12094" s="121" t="n"/>
      <s:c r="E12094" s="122" t="n"/>
    </s:row>
    <s:row r="12095" hidden="1" ht="1" customHeight="1">
      <s:c r="A12095" s="120" t="inlineStr"/>
      <s:c r="B12095" s="121" t="n"/>
      <s:c r="C12095" s="121" t="n"/>
      <s:c r="D12095" s="121" t="n"/>
      <s:c r="E12095" s="122" t="n"/>
    </s:row>
    <s:row r="12096" hidden="1" ht="1" customHeight="1">
      <s:c r="A12096" s="120" t="inlineStr"/>
      <s:c r="B12096" s="121" t="n"/>
      <s:c r="C12096" s="121" t="n"/>
      <s:c r="D12096" s="121" t="n"/>
      <s:c r="E12096" s="122" t="n"/>
    </s:row>
    <s:row r="12097" hidden="1" ht="1" customHeight="1">
      <s:c r="A12097" s="120" t="inlineStr"/>
      <s:c r="B12097" s="121" t="n"/>
      <s:c r="C12097" s="121" t="n"/>
      <s:c r="D12097" s="121" t="n"/>
      <s:c r="E12097" s="122" t="n"/>
    </s:row>
    <s:row r="12098" hidden="1" ht="1" customHeight="1">
      <s:c r="A12098" s="120" t="inlineStr"/>
      <s:c r="B12098" s="121" t="n"/>
      <s:c r="C12098" s="121" t="n"/>
      <s:c r="D12098" s="121" t="n"/>
      <s:c r="E12098" s="122" t="n"/>
    </s:row>
    <s:row r="12099" hidden="1" ht="1" customHeight="1">
      <s:c r="A12099" s="120" t="inlineStr"/>
      <s:c r="B12099" s="121" t="n"/>
      <s:c r="C12099" s="121" t="n"/>
      <s:c r="D12099" s="121" t="n"/>
      <s:c r="E12099" s="122" t="n"/>
    </s:row>
    <s:row r="12100" hidden="1" ht="1" customHeight="1">
      <s:c r="A12100" s="120" t="inlineStr"/>
      <s:c r="B12100" s="121" t="n"/>
      <s:c r="C12100" s="121" t="n"/>
      <s:c r="D12100" s="121" t="n"/>
      <s:c r="E12100" s="122" t="n"/>
    </s:row>
    <s:row r="12101" hidden="1" ht="1" customHeight="1">
      <s:c r="A12101" s="120" t="inlineStr"/>
      <s:c r="B12101" s="121" t="n"/>
      <s:c r="C12101" s="121" t="n"/>
      <s:c r="D12101" s="121" t="n"/>
      <s:c r="E12101" s="122" t="n"/>
    </s:row>
    <s:row r="12102" hidden="1" ht="1" customHeight="1">
      <s:c r="A12102" s="120" t="inlineStr"/>
      <s:c r="B12102" s="121" t="n"/>
      <s:c r="C12102" s="121" t="n"/>
      <s:c r="D12102" s="121" t="n"/>
      <s:c r="E12102" s="122" t="n"/>
    </s:row>
    <s:row r="12103" hidden="1" ht="1" customHeight="1">
      <s:c r="A12103" s="83" t="inlineStr">
        <s:is>
          <s:t>PASS</s:t>
        </s:is>
      </s:c>
      <s:c r="B12103" s="83">
        <s:f>SUM(IF(EXACT('Kiểm thử'!E11903,"Đạt"),1,0),IF(EXACT('Kiểm thử'!E11905,"Đạt"),1,0),IF(EXACT('Kiểm thử'!E11907,"Đạt"),1,0),IF(EXACT('Kiểm thử'!E11909,"Đạt"),1,0))</s:f>
        <s:v/>
      </s:c>
      <s:c r="C12103" s="19" t="n"/>
      <s:c r="D12103" s="19" t="n"/>
      <s:c r="E12103" s="19" t="n"/>
    </s:row>
    <s:row r="12104" hidden="1" ht="1" customHeight="1">
      <s:c r="A12104" s="83" t="inlineStr">
        <s:is>
          <s:t>FAIL</s:t>
        </s:is>
      </s:c>
      <s:c r="B12104" s="83">
        <s:f>SUM(IF(EXACT('Kiểm thử'!E11903,"Không đạt"),1,0),IF(EXACT('Kiểm thử'!E11905,"Không đạt"),1,0),IF(EXACT('Kiểm thử'!E11907,"Không đạt"),1,0),IF(EXACT('Kiểm thử'!E11909,"Không đạt"),1,0))</s:f>
        <s:v/>
      </s:c>
      <s:c r="C12104" s="19" t="n"/>
      <s:c r="D12104" s="19" t="n"/>
      <s:c r="E12104" s="19" t="n"/>
    </s:row>
    <s:row r="12105" hidden="1" ht="1" customHeight="1">
      <s:c r="A12105" s="83" t="inlineStr">
        <s:is>
          <s:t>BLOCKED</s:t>
        </s:is>
      </s:c>
      <s:c r="B12105" s="83">
        <s:f>SUM(IF(EXACT('Kiểm thử'!E11903,"Bị chặn"),1,0),IF(EXACT('Kiểm thử'!E11905,"Bị chặn"),1,0),IF(EXACT('Kiểm thử'!E11907,"Bị chặn"),1,0),IF(EXACT('Kiểm thử'!E11909,"Bị chặn"),1,0))</s:f>
        <s:v/>
      </s:c>
      <s:c r="C12105" s="19" t="n"/>
      <s:c r="D12105" s="19" t="n"/>
      <s:c r="E12105" s="19" t="n"/>
    </s:row>
    <s:row r="12106" hidden="1" ht="1" customHeight="1">
      <s:c r="A12106" s="83" t="inlineStr">
        <s:is>
          <s:t>SKIPPED</s:t>
        </s:is>
      </s:c>
      <s:c r="B12106" s="83">
        <s:f>SUM(IF(EXACT('Kiểm thử'!E11903,"Không thực hiện"),1,0),IF(EXACT('Kiểm thử'!E11905,"Không thực hiện"),1,0),IF(EXACT('Kiểm thử'!E11907,"Không thực hiện"),1,0),IF(EXACT('Kiểm thử'!E11909,"Không thực hiện"),1,0))</s:f>
        <s:v/>
      </s:c>
      <s:c r="C12106" s="19" t="n"/>
      <s:c r="D12106" s="19" t="n"/>
      <s:c r="E12106" s="19" t="n"/>
    </s:row>
    <s:row r="12107" hidden="1" ht="1" customHeight="1">
      <s:c r="A12107" s="83" t="inlineStr">
        <s:is>
          <s:t>NOT RUN</s:t>
        </s:is>
      </s:c>
      <s:c r="B12107" s="83">
        <s:f>SUM(IF(EXACT('Kiểm thử'!E11903,"Chưa thực hiện"),1,0),IF(EXACT('Kiểm thử'!E11905,"Chưa thực hiện"),1,0),IF(EXACT('Kiểm thử'!E11907,"Chưa thực hiện"),1,0),IF(EXACT('Kiểm thử'!E11909,"Chưa thực hiện"),1,0))</s:f>
        <s:v/>
      </s:c>
      <s:c r="C12107" s="19" t="n"/>
      <s:c r="D12107" s="19" t="n"/>
      <s:c r="E12107" s="19" t="n"/>
    </s:row>
    <s:row r="12108" hidden="1" ht="6" customHeight="1">
      <s:c r="A12108" s="83" t="inlineStr"/>
      <s:c r="B12108" s="19" t="n"/>
      <s:c r="C12108" s="19" t="n"/>
      <s:c r="D12108" s="19" t="n"/>
      <s:c r="E12108" s="19" t="n"/>
    </s:row>
    <s:row r="12109" ht="34" customHeight="1">
      <s:c r="A12109" s="108" t="inlineStr">
        <s:is>
          <s:t>TC-RS-BR-040 — Loại nhóm được bật nhưng chưa có kết quả, hoặc tham chiếu đã lưu không còn hợp lệ → Chưa xét được, không tự đổi nhóm</s:t>
        </s:is>
      </s:c>
      <s:c r="B12109" s="111" t="n"/>
      <s:c r="C12109" s="111" t="n"/>
      <s:c r="D12109" s="111" t="n"/>
      <s:c r="E12109" s="111" t="n"/>
    </s:row>
    <s:row r="12110" ht="20" customHeight="1">
      <s:c r="A12110" s="112" t="inlineStr">
        <s:is>
          <s:t>Kết quả tình huống</s:t>
        </s:is>
      </s:c>
      <s:c r="B12110" s="113">
        <s:f>IF(SUM(IF(EXACT('Kiểm thử'!E12120,"Không đạt"),1,0),IF(EXACT('Kiểm thử'!E12122,"Không đạt"),1,0),IF(EXACT('Kiểm thử'!E12124,"Không đạt"),1,0))&gt;0,"Không đạt",IF(SUM(IF(EXACT('Kiểm thử'!E12120,"Đạt"),1,0),IF(EXACT('Kiểm thử'!E12122,"Đạt"),1,0),IF(EXACT('Kiểm thử'!E12124,"Đạt"),1,0))=3,"Đạt",IF(SUM(IF(EXACT('Kiểm thử'!E12120,"Không thực hiện"),1,0),IF(EXACT('Kiểm thử'!E12122,"Không thực hiện"),1,0),IF(EXACT('Kiểm thử'!E12124,"Không thực hiện"),1,0))=3,"Không thực hiện",IF(SUM(IF(EXACT('Kiểm thử'!E12120,"Bị chặn"),1,0),IF(EXACT('Kiểm thử'!E12122,"Bị chặn"),1,0),IF(EXACT('Kiểm thử'!E12124,"Bị chặn"),1,0))&gt;0,"Bị chặn",IF(SUM(IF(EXACT('Kiểm thử'!E12120,"Chưa thực hiện"),1,0),IF(EXACT('Kiểm thử'!E12122,"Chưa thực hiện"),1,0),IF(EXACT('Kiểm thử'!E12124,"Chưa thực hiện"),1,0))=3,"Chưa thực hiện","Đang thực hiện")))))</s:f>
        <s:v/>
      </s:c>
      <s:c r="C12110" s="114" t="n"/>
      <s:c r="D12110" s="114" t="n"/>
      <s:c r="E12110" s="114" t="n"/>
    </s:row>
    <s:row r="12111" ht="20" customHeight="1">
      <s:c r="A12111" s="112" t="inlineStr">
        <s:is>
          <s:t>Màn hình / chức năng</s:t>
        </s:is>
      </s:c>
      <s:c r="B12111" s="113" t="inlineStr">
        <s:is>
          <s:t>Nguồn tổng hợp</s:t>
        </s:is>
      </s:c>
      <s:c r="C12111" s="28" t="n"/>
      <s:c r="D12111" s="28" t="n"/>
      <s:c r="E12111" s="28" t="n"/>
    </s:row>
    <s:row r="12112" ht="34" customHeight="1">
      <s:c r="A12112" s="112" t="inlineStr">
        <s:is>
          <s:t>Cấu hình</s:t>
        </s:is>
      </s:c>
      <s:c r="B12112" s="113" t="inlineStr">
        <s:is>
          <s:r>
            <s:t>• Quy tắc trên mục số nguyên (</s:t>
          </s:r>
          <s:r>
            <s:rPr>
              <s:b val="1"/>
            </s:rPr>
            <s:t>M=100</s:t>
          </s:r>
          <s:r>
            <s:t>) có điều kiện Trung bình [</s:t>
          </s:r>
          <s:r>
            <s:rPr>
              <s:b val="1"/>
            </s:rPr>
            <s:t>A≥50</s:t>
          </s:r>
          <s:r>
            <s:t xml:space="preserve">], cố định 30 [&lt;];
• S01 = 29, đang Đỏ theo nguồn </s:t>
          </s:r>
          <s:r>
            <s:rPr>
              <s:b val="1"/>
            </s:rPr>
            <s:t>X / Lớp học（授業）</s:t>
          </s:r>
          <s:r>
            <s:t xml:space="preserve"> đã tổng hợp.</s:t>
          </s:r>
        </s:is>
      </s:c>
      <s:c r="C12112" s="28" t="n"/>
      <s:c r="D12112" s="28" t="n"/>
      <s:c r="E12112" s="28" t="n"/>
    </s:row>
    <s:row r="12113" ht="48" customHeight="1">
      <s:c r="A12113" s="112" t="inlineStr">
        <s:is>
          <s:t>Dữ liệu test</s:t>
        </s:is>
      </s:c>
      <s:c r="B12113" s="113" t="inlineStr">
        <s:is>
          <s:r>
            <s:t xml:space="preserve">• Thiết lập tổng hợp X đã </s:t>
          </s:r>
          <s:r>
            <s:rPr>
              <s:b val="1"/>
            </s:rPr>
            <s:t>bật thêm Lớp học（授業）</s:t>
          </s:r>
          <s:r>
            <s:t>, nhóm tổng hợp thứ hạng “Toán I khối 1+2”;
• Mục số nguyên (</s:t>
          </s:r>
          <s:r>
            <s:rPr>
              <s:b val="1"/>
            </s:rPr>
            <s:t>M=100</s:t>
          </s:r>
          <s:r>
            <s:t>);
• Học sinh S01 (điểm 29)</s:t>
          </s:r>
        </s:is>
      </s:c>
      <s:c r="C12113" s="28" t="n"/>
      <s:c r="D12113" s="28" t="n"/>
      <s:c r="E12113" s="28" t="n"/>
    </s:row>
    <s:row r="12114" ht="34" customHeight="1">
      <s:c r="A12114" s="112" t="inlineStr">
        <s:is>
          <s:t>Bước 1</s:t>
        </s:is>
      </s:c>
      <s:c r="B12114" s="113" t="inlineStr">
        <s:is>
          <s:t>(A) Tạo quy tắc mới dùng nhóm tổng hợp nhóm tổng hợp thứ hạng “Toán I khối 1+2” nhưng X chưa chạy tổng hợp cho nhóm này; chạy nút cam; xem S01.</s:t>
        </s:is>
      </s:c>
      <s:c r="C12114" s="28" t="n"/>
      <s:c r="D12114" s="28" t="n"/>
      <s:c r="E12114" s="28" t="n"/>
    </s:row>
    <s:row r="12115" ht="34" customHeight="1">
      <s:c r="A12115" s="112" t="inlineStr">
        <s:is>
          <s:t>Bước 2</s:t>
        </s:is>
      </s:c>
      <s:c r="B12115" s="113" t="inlineStr">
        <s:is>
          <s:r>
            <s:t xml:space="preserve">(B) Quy tắc đang dùng X / Lớp học: tắt </s:t>
          </s:r>
          <s:r>
            <s:rPr>
              <s:b val="1"/>
            </s:rPr>
            <s:t>công tắc Lớp học（授業）</s:t>
          </s:r>
          <s:r>
            <s:t xml:space="preserve"> của trường/năm; mở danh sách quy tắc và xem S01 (chưa chạy).</s:t>
          </s:r>
        </s:is>
      </s:c>
      <s:c r="C12115" s="28" t="n"/>
      <s:c r="D12115" s="28" t="n"/>
      <s:c r="E12115" s="28" t="n"/>
    </s:row>
    <s:row r="12116" ht="20" customHeight="1">
      <s:c r="A12116" s="112" t="inlineStr">
        <s:is>
          <s:t>Bước 3</s:t>
        </s:is>
      </s:c>
      <s:c r="B12116" s="113" t="inlineStr">
        <s:is>
          <s:t>Chạy nút cam; xem S01.</s:t>
        </s:is>
      </s:c>
      <s:c r="C12116" s="28" t="n"/>
      <s:c r="D12116" s="28" t="n"/>
      <s:c r="E12116" s="28" t="n"/>
    </s:row>
    <s:row r="12117" ht="34" customHeight="1">
      <s:c r="A12117" s="112" t="inlineStr">
        <s:is>
          <s:t>Bước 4</s:t>
        </s:is>
      </s:c>
      <s:c r="B12117" s="113" t="inlineStr">
        <s:is>
          <s:t>(C) Xóa nhóm nhóm tổng hợp thứ hạng “Toán I khối 1+2” đang được quy tắc khác tham chiếu; chạy nút cam; xem ô dùng quy tắc đó.</s:t>
        </s:is>
      </s:c>
      <s:c r="C12117" s="28" t="n"/>
      <s:c r="D12117" s="28" t="n"/>
      <s:c r="E12117" s="28" t="n"/>
    </s:row>
    <s:row r="12118" ht="28" customHeight="1">
      <s:c r="A12118" s="115" t="inlineStr">
        <s:is>
          <s:t>Trường hợp</s:t>
        </s:is>
      </s:c>
      <s:c r="B12118" s="115" t="inlineStr">
        <s:is>
          <s:t>Dữ liệu / thao tác riêng</s:t>
        </s:is>
      </s:c>
      <s:c r="C12118" s="115" t="inlineStr">
        <s:is>
          <s:t>Kết quả mong đợi</s:t>
        </s:is>
      </s:c>
      <s:c r="D12118" s="115" t="inlineStr">
        <s:is>
          <s:t>Kết quả thực tế</s:t>
        </s:is>
      </s:c>
      <s:c r="E12118" s="115" t="inlineStr">
        <s:is>
          <s:t>Đánh giá</s:t>
        </s:is>
      </s:c>
    </s:row>
    <s:row r="12119" ht="3" customHeight="1">
      <s:c r="A12119" s="102" t="inlineStr"/>
      <s:c r="B12119" s="99" t="n"/>
      <s:c r="C12119" s="99" t="n"/>
      <s:c r="D12119" s="116" t="n"/>
      <s:c r="E12119" s="116" t="n"/>
    </s:row>
    <s:row r="12120" ht="48" customHeight="1">
      <s:c r="A12120" s="83" t="inlineStr">
        <s:is>
          <s:t>Nguồn mới thiếu (missing-source)</s:t>
        </s:is>
      </s:c>
      <s:c r="B12120" s="83" t="inlineStr">
        <s:is>
          <s:t>Chọn nhóm Toán I khối1+2 nhưng X chưa tổng hợp nhóm này; chạy nút cam.</s:t>
        </s:is>
      </s:c>
      <s:c r="C12120" s="83" t="inlineStr">
        <s:is>
          <s:t>Nhóm đã chọn tồn tại nhưng chưa có dữ liệu nguồn: S01 Chưa xét được; không coi lựa chọn nhóm là dữ liệu đã tổng hợp.</s:t>
        </s:is>
      </s:c>
      <s:c r="D12120" s="117" t="inlineStr"/>
      <s:c r="E12120" s="118" t="inlineStr">
        <s:is>
          <s:t>Chưa thực hiện</s:t>
        </s:is>
      </s:c>
    </s:row>
    <s:row r="12121" ht="3" customHeight="1">
      <s:c r="A12121" s="102" t="inlineStr"/>
      <s:c r="B12121" s="99" t="n"/>
      <s:c r="C12121" s="99" t="n"/>
      <s:c r="D12121" s="116" t="n"/>
      <s:c r="E12121" s="116" t="n"/>
    </s:row>
    <s:row r="12122" ht="76" customHeight="1">
      <s:c r="A12122" s="83" t="inlineStr">
        <s:is>
          <s:t>Nhóm bị tắt (disabled-group)</s:t>
        </s:is>
      </s:c>
      <s:c r="B12122" s="83" t="inlineStr">
        <s:is>
          <s:r>
            <s:t xml:space="preserve">Từ baseline S01=29 Đỏ, </s:t>
          </s:r>
          <s:r>
            <s:rPr>
              <s:b val="1"/>
            </s:rPr>
            <s:t>tắt Lớp học（授業）</s:t>
          </s:r>
          <s:r>
            <s:t>; đọc trước chạy, rồi chạy nút cam và đọc lại.</s:t>
          </s:r>
        </s:is>
      </s:c>
      <s:c r="C12122" s="83" t="inlineStr">
        <s:is>
          <s:r>
            <s:t xml:space="preserve">Sau khi </s:t>
          </s:r>
          <s:r>
            <s:rPr>
              <s:b val="1"/>
            </s:rPr>
            <s:t>chỉ tắt Lớp học（授業）</s:t>
          </s:r>
          <s:r>
            <s:t xml:space="preserve"> mà chưa chạy lại, S01 giữ </s:t>
          </s:r>
          <s:r>
            <s:rPr>
              <s:b val="1"/>
            </s:rPr>
            <s:t>Đỏ</s:t>
          </s:r>
          <s:r>
            <s:t xml:space="preserve"> trước đó. Sau nút cam: Chưa xét được; không chuyển sang khối/lớp chủ nhiệm/nhóm khác, không xuống rule thấp hơn hoặc dùng kết quả cũ làm hiện hành.</s:t>
          </s:r>
        </s:is>
      </s:c>
      <s:c r="D12122" s="117" t="inlineStr"/>
      <s:c r="E12122" s="118" t="inlineStr">
        <s:is>
          <s:t>Chưa thực hiện</s:t>
        </s:is>
      </s:c>
    </s:row>
    <s:row r="12123" ht="3" customHeight="1">
      <s:c r="A12123" s="102" t="inlineStr"/>
      <s:c r="B12123" s="99" t="n"/>
      <s:c r="C12123" s="99" t="n"/>
      <s:c r="D12123" s="116" t="n"/>
      <s:c r="E12123" s="116" t="n"/>
    </s:row>
    <s:row r="12124" ht="48" customHeight="1">
      <s:c r="A12124" s="83" t="inlineStr">
        <s:is>
          <s:t>Nhóm bị xóa (deleted-group)</s:t>
        </s:is>
      </s:c>
      <s:c r="B12124" s="83" t="inlineStr">
        <s:is>
          <s:t>Xóa nhóm Toán I khối1+2 đang được rule tham chiếu; chạy nút cam và đọc ô chịu ảnh hưởng.</s:t>
        </s:is>
      </s:c>
      <s:c r="C12124" s="83" t="inlineStr">
        <s:is>
          <s:t>Sau khi xóa nhóm được tham chiếu và chạy lại, ô chịu ảnh hưởng Chưa xét được; không âm thầm đổi loại/ID nhóm đã lưu.</s:t>
        </s:is>
      </s:c>
      <s:c r="D12124" s="117" t="inlineStr"/>
      <s:c r="E12124" s="118" t="inlineStr">
        <s:is>
          <s:t>Chưa thực hiện</s:t>
        </s:is>
      </s:c>
    </s:row>
    <s:row r="12125" ht="20" customHeight="1">
      <s:c r="A12125" s="119" t="inlineStr">
        <s:is>
          <s:t>Ảnh minh chứng — Chưa có ảnh</s:t>
        </s:is>
      </s:c>
      <s:c r="B12125" s="19" t="n"/>
      <s:c r="C12125" s="19" t="n"/>
      <s:c r="D12125" s="19" t="n"/>
      <s:c r="E12125" s="19" t="n"/>
    </s:row>
    <s:row r="12126" hidden="1" ht="1" customHeight="1">
      <s:c r="A12126" s="120" t="inlineStr"/>
      <s:c r="B12126" s="121" t="n"/>
      <s:c r="C12126" s="121" t="n"/>
      <s:c r="D12126" s="121" t="n"/>
      <s:c r="E12126" s="122" t="n"/>
    </s:row>
    <s:row r="12127" hidden="1" ht="1" customHeight="1">
      <s:c r="A12127" s="120" t="inlineStr"/>
      <s:c r="B12127" s="121" t="n"/>
      <s:c r="C12127" s="121" t="n"/>
      <s:c r="D12127" s="121" t="n"/>
      <s:c r="E12127" s="122" t="n"/>
    </s:row>
    <s:row r="12128" hidden="1" ht="1" customHeight="1">
      <s:c r="A12128" s="120" t="inlineStr"/>
      <s:c r="B12128" s="121" t="n"/>
      <s:c r="C12128" s="121" t="n"/>
      <s:c r="D12128" s="121" t="n"/>
      <s:c r="E12128" s="122" t="n"/>
    </s:row>
    <s:row r="12129" hidden="1" ht="1" customHeight="1">
      <s:c r="A12129" s="120" t="inlineStr"/>
      <s:c r="B12129" s="121" t="n"/>
      <s:c r="C12129" s="121" t="n"/>
      <s:c r="D12129" s="121" t="n"/>
      <s:c r="E12129" s="122" t="n"/>
    </s:row>
    <s:row r="12130" hidden="1" ht="1" customHeight="1">
      <s:c r="A12130" s="120" t="inlineStr"/>
      <s:c r="B12130" s="121" t="n"/>
      <s:c r="C12130" s="121" t="n"/>
      <s:c r="D12130" s="121" t="n"/>
      <s:c r="E12130" s="122" t="n"/>
    </s:row>
    <s:row r="12131" hidden="1" ht="1" customHeight="1">
      <s:c r="A12131" s="120" t="inlineStr"/>
      <s:c r="B12131" s="121" t="n"/>
      <s:c r="C12131" s="121" t="n"/>
      <s:c r="D12131" s="121" t="n"/>
      <s:c r="E12131" s="122" t="n"/>
    </s:row>
    <s:row r="12132" hidden="1" ht="1" customHeight="1">
      <s:c r="A12132" s="120" t="inlineStr"/>
      <s:c r="B12132" s="121" t="n"/>
      <s:c r="C12132" s="121" t="n"/>
      <s:c r="D12132" s="121" t="n"/>
      <s:c r="E12132" s="122" t="n"/>
    </s:row>
    <s:row r="12133" hidden="1" ht="1" customHeight="1">
      <s:c r="A12133" s="120" t="inlineStr"/>
      <s:c r="B12133" s="121" t="n"/>
      <s:c r="C12133" s="121" t="n"/>
      <s:c r="D12133" s="121" t="n"/>
      <s:c r="E12133" s="122" t="n"/>
    </s:row>
    <s:row r="12134" hidden="1" ht="1" customHeight="1">
      <s:c r="A12134" s="120" t="inlineStr"/>
      <s:c r="B12134" s="121" t="n"/>
      <s:c r="C12134" s="121" t="n"/>
      <s:c r="D12134" s="121" t="n"/>
      <s:c r="E12134" s="122" t="n"/>
    </s:row>
    <s:row r="12135" hidden="1" ht="1" customHeight="1">
      <s:c r="A12135" s="120" t="inlineStr"/>
      <s:c r="B12135" s="121" t="n"/>
      <s:c r="C12135" s="121" t="n"/>
      <s:c r="D12135" s="121" t="n"/>
      <s:c r="E12135" s="122" t="n"/>
    </s:row>
    <s:row r="12136" hidden="1" ht="1" customHeight="1">
      <s:c r="A12136" s="120" t="inlineStr"/>
      <s:c r="B12136" s="121" t="n"/>
      <s:c r="C12136" s="121" t="n"/>
      <s:c r="D12136" s="121" t="n"/>
      <s:c r="E12136" s="122" t="n"/>
    </s:row>
    <s:row r="12137" hidden="1" ht="1" customHeight="1">
      <s:c r="A12137" s="120" t="inlineStr"/>
      <s:c r="B12137" s="121" t="n"/>
      <s:c r="C12137" s="121" t="n"/>
      <s:c r="D12137" s="121" t="n"/>
      <s:c r="E12137" s="122" t="n"/>
    </s:row>
    <s:row r="12138" hidden="1" ht="1" customHeight="1">
      <s:c r="A12138" s="120" t="inlineStr"/>
      <s:c r="B12138" s="121" t="n"/>
      <s:c r="C12138" s="121" t="n"/>
      <s:c r="D12138" s="121" t="n"/>
      <s:c r="E12138" s="122" t="n"/>
    </s:row>
    <s:row r="12139" hidden="1" ht="1" customHeight="1">
      <s:c r="A12139" s="120" t="inlineStr"/>
      <s:c r="B12139" s="121" t="n"/>
      <s:c r="C12139" s="121" t="n"/>
      <s:c r="D12139" s="121" t="n"/>
      <s:c r="E12139" s="122" t="n"/>
    </s:row>
    <s:row r="12140" hidden="1" ht="1" customHeight="1">
      <s:c r="A12140" s="120" t="inlineStr"/>
      <s:c r="B12140" s="121" t="n"/>
      <s:c r="C12140" s="121" t="n"/>
      <s:c r="D12140" s="121" t="n"/>
      <s:c r="E12140" s="122" t="n"/>
    </s:row>
    <s:row r="12141" hidden="1" ht="1" customHeight="1">
      <s:c r="A12141" s="120" t="inlineStr"/>
      <s:c r="B12141" s="121" t="n"/>
      <s:c r="C12141" s="121" t="n"/>
      <s:c r="D12141" s="121" t="n"/>
      <s:c r="E12141" s="122" t="n"/>
    </s:row>
    <s:row r="12142" hidden="1" ht="1" customHeight="1">
      <s:c r="A12142" s="120" t="inlineStr"/>
      <s:c r="B12142" s="121" t="n"/>
      <s:c r="C12142" s="121" t="n"/>
      <s:c r="D12142" s="121" t="n"/>
      <s:c r="E12142" s="122" t="n"/>
    </s:row>
    <s:row r="12143" hidden="1" ht="1" customHeight="1">
      <s:c r="A12143" s="120" t="inlineStr"/>
      <s:c r="B12143" s="121" t="n"/>
      <s:c r="C12143" s="121" t="n"/>
      <s:c r="D12143" s="121" t="n"/>
      <s:c r="E12143" s="122" t="n"/>
    </s:row>
    <s:row r="12144" hidden="1" ht="1" customHeight="1">
      <s:c r="A12144" s="120" t="inlineStr"/>
      <s:c r="B12144" s="121" t="n"/>
      <s:c r="C12144" s="121" t="n"/>
      <s:c r="D12144" s="121" t="n"/>
      <s:c r="E12144" s="122" t="n"/>
    </s:row>
    <s:row r="12145" hidden="1" ht="1" customHeight="1">
      <s:c r="A12145" s="120" t="inlineStr"/>
      <s:c r="B12145" s="121" t="n"/>
      <s:c r="C12145" s="121" t="n"/>
      <s:c r="D12145" s="121" t="n"/>
      <s:c r="E12145" s="122" t="n"/>
    </s:row>
    <s:row r="12146" hidden="1" ht="1" customHeight="1">
      <s:c r="A12146" s="120" t="inlineStr"/>
      <s:c r="B12146" s="121" t="n"/>
      <s:c r="C12146" s="121" t="n"/>
      <s:c r="D12146" s="121" t="n"/>
      <s:c r="E12146" s="122" t="n"/>
    </s:row>
    <s:row r="12147" hidden="1" ht="1" customHeight="1">
      <s:c r="A12147" s="120" t="inlineStr"/>
      <s:c r="B12147" s="121" t="n"/>
      <s:c r="C12147" s="121" t="n"/>
      <s:c r="D12147" s="121" t="n"/>
      <s:c r="E12147" s="122" t="n"/>
    </s:row>
    <s:row r="12148" hidden="1" ht="1" customHeight="1">
      <s:c r="A12148" s="120" t="inlineStr"/>
      <s:c r="B12148" s="121" t="n"/>
      <s:c r="C12148" s="121" t="n"/>
      <s:c r="D12148" s="121" t="n"/>
      <s:c r="E12148" s="122" t="n"/>
    </s:row>
    <s:row r="12149" hidden="1" ht="1" customHeight="1">
      <s:c r="A12149" s="120" t="inlineStr"/>
      <s:c r="B12149" s="121" t="n"/>
      <s:c r="C12149" s="121" t="n"/>
      <s:c r="D12149" s="121" t="n"/>
      <s:c r="E12149" s="122" t="n"/>
    </s:row>
    <s:row r="12150" hidden="1" ht="1" customHeight="1">
      <s:c r="A12150" s="120" t="inlineStr"/>
      <s:c r="B12150" s="121" t="n"/>
      <s:c r="C12150" s="121" t="n"/>
      <s:c r="D12150" s="121" t="n"/>
      <s:c r="E12150" s="122" t="n"/>
    </s:row>
    <s:row r="12151" hidden="1" ht="1" customHeight="1">
      <s:c r="A12151" s="120" t="inlineStr"/>
      <s:c r="B12151" s="121" t="n"/>
      <s:c r="C12151" s="121" t="n"/>
      <s:c r="D12151" s="121" t="n"/>
      <s:c r="E12151" s="122" t="n"/>
    </s:row>
    <s:row r="12152" hidden="1" ht="1" customHeight="1">
      <s:c r="A12152" s="120" t="inlineStr"/>
      <s:c r="B12152" s="121" t="n"/>
      <s:c r="C12152" s="121" t="n"/>
      <s:c r="D12152" s="121" t="n"/>
      <s:c r="E12152" s="122" t="n"/>
    </s:row>
    <s:row r="12153" hidden="1" ht="1" customHeight="1">
      <s:c r="A12153" s="120" t="inlineStr"/>
      <s:c r="B12153" s="121" t="n"/>
      <s:c r="C12153" s="121" t="n"/>
      <s:c r="D12153" s="121" t="n"/>
      <s:c r="E12153" s="122" t="n"/>
    </s:row>
    <s:row r="12154" hidden="1" ht="1" customHeight="1">
      <s:c r="A12154" s="120" t="inlineStr"/>
      <s:c r="B12154" s="121" t="n"/>
      <s:c r="C12154" s="121" t="n"/>
      <s:c r="D12154" s="121" t="n"/>
      <s:c r="E12154" s="122" t="n"/>
    </s:row>
    <s:row r="12155" hidden="1" ht="1" customHeight="1">
      <s:c r="A12155" s="120" t="inlineStr"/>
      <s:c r="B12155" s="121" t="n"/>
      <s:c r="C12155" s="121" t="n"/>
      <s:c r="D12155" s="121" t="n"/>
      <s:c r="E12155" s="122" t="n"/>
    </s:row>
    <s:row r="12156" hidden="1" ht="1" customHeight="1">
      <s:c r="A12156" s="120" t="inlineStr"/>
      <s:c r="B12156" s="121" t="n"/>
      <s:c r="C12156" s="121" t="n"/>
      <s:c r="D12156" s="121" t="n"/>
      <s:c r="E12156" s="122" t="n"/>
    </s:row>
    <s:row r="12157" hidden="1" ht="1" customHeight="1">
      <s:c r="A12157" s="120" t="inlineStr"/>
      <s:c r="B12157" s="121" t="n"/>
      <s:c r="C12157" s="121" t="n"/>
      <s:c r="D12157" s="121" t="n"/>
      <s:c r="E12157" s="122" t="n"/>
    </s:row>
    <s:row r="12158" hidden="1" ht="1" customHeight="1">
      <s:c r="A12158" s="120" t="inlineStr"/>
      <s:c r="B12158" s="121" t="n"/>
      <s:c r="C12158" s="121" t="n"/>
      <s:c r="D12158" s="121" t="n"/>
      <s:c r="E12158" s="122" t="n"/>
    </s:row>
    <s:row r="12159" hidden="1" ht="1" customHeight="1">
      <s:c r="A12159" s="120" t="inlineStr"/>
      <s:c r="B12159" s="121" t="n"/>
      <s:c r="C12159" s="121" t="n"/>
      <s:c r="D12159" s="121" t="n"/>
      <s:c r="E12159" s="122" t="n"/>
    </s:row>
    <s:row r="12160" hidden="1" ht="1" customHeight="1">
      <s:c r="A12160" s="120" t="inlineStr"/>
      <s:c r="B12160" s="121" t="n"/>
      <s:c r="C12160" s="121" t="n"/>
      <s:c r="D12160" s="121" t="n"/>
      <s:c r="E12160" s="122" t="n"/>
    </s:row>
    <s:row r="12161" hidden="1" ht="1" customHeight="1">
      <s:c r="A12161" s="120" t="inlineStr"/>
      <s:c r="B12161" s="121" t="n"/>
      <s:c r="C12161" s="121" t="n"/>
      <s:c r="D12161" s="121" t="n"/>
      <s:c r="E12161" s="122" t="n"/>
    </s:row>
    <s:row r="12162" hidden="1" ht="1" customHeight="1">
      <s:c r="A12162" s="120" t="inlineStr"/>
      <s:c r="B12162" s="121" t="n"/>
      <s:c r="C12162" s="121" t="n"/>
      <s:c r="D12162" s="121" t="n"/>
      <s:c r="E12162" s="122" t="n"/>
    </s:row>
    <s:row r="12163" hidden="1" ht="1" customHeight="1">
      <s:c r="A12163" s="120" t="inlineStr"/>
      <s:c r="B12163" s="121" t="n"/>
      <s:c r="C12163" s="121" t="n"/>
      <s:c r="D12163" s="121" t="n"/>
      <s:c r="E12163" s="122" t="n"/>
    </s:row>
    <s:row r="12164" hidden="1" ht="1" customHeight="1">
      <s:c r="A12164" s="120" t="inlineStr"/>
      <s:c r="B12164" s="121" t="n"/>
      <s:c r="C12164" s="121" t="n"/>
      <s:c r="D12164" s="121" t="n"/>
      <s:c r="E12164" s="122" t="n"/>
    </s:row>
    <s:row r="12165" hidden="1" ht="1" customHeight="1">
      <s:c r="A12165" s="120" t="inlineStr"/>
      <s:c r="B12165" s="121" t="n"/>
      <s:c r="C12165" s="121" t="n"/>
      <s:c r="D12165" s="121" t="n"/>
      <s:c r="E12165" s="122" t="n"/>
    </s:row>
    <s:row r="12166" hidden="1" ht="1" customHeight="1">
      <s:c r="A12166" s="120" t="inlineStr"/>
      <s:c r="B12166" s="121" t="n"/>
      <s:c r="C12166" s="121" t="n"/>
      <s:c r="D12166" s="121" t="n"/>
      <s:c r="E12166" s="122" t="n"/>
    </s:row>
    <s:row r="12167" hidden="1" ht="1" customHeight="1">
      <s:c r="A12167" s="120" t="inlineStr"/>
      <s:c r="B12167" s="121" t="n"/>
      <s:c r="C12167" s="121" t="n"/>
      <s:c r="D12167" s="121" t="n"/>
      <s:c r="E12167" s="122" t="n"/>
    </s:row>
    <s:row r="12168" hidden="1" ht="1" customHeight="1">
      <s:c r="A12168" s="120" t="inlineStr"/>
      <s:c r="B12168" s="121" t="n"/>
      <s:c r="C12168" s="121" t="n"/>
      <s:c r="D12168" s="121" t="n"/>
      <s:c r="E12168" s="122" t="n"/>
    </s:row>
    <s:row r="12169" hidden="1" ht="1" customHeight="1">
      <s:c r="A12169" s="120" t="inlineStr"/>
      <s:c r="B12169" s="121" t="n"/>
      <s:c r="C12169" s="121" t="n"/>
      <s:c r="D12169" s="121" t="n"/>
      <s:c r="E12169" s="122" t="n"/>
    </s:row>
    <s:row r="12170" hidden="1" ht="1" customHeight="1">
      <s:c r="A12170" s="120" t="inlineStr"/>
      <s:c r="B12170" s="121" t="n"/>
      <s:c r="C12170" s="121" t="n"/>
      <s:c r="D12170" s="121" t="n"/>
      <s:c r="E12170" s="122" t="n"/>
    </s:row>
    <s:row r="12171" hidden="1" ht="1" customHeight="1">
      <s:c r="A12171" s="120" t="inlineStr"/>
      <s:c r="B12171" s="121" t="n"/>
      <s:c r="C12171" s="121" t="n"/>
      <s:c r="D12171" s="121" t="n"/>
      <s:c r="E12171" s="122" t="n"/>
    </s:row>
    <s:row r="12172" hidden="1" ht="1" customHeight="1">
      <s:c r="A12172" s="120" t="inlineStr"/>
      <s:c r="B12172" s="121" t="n"/>
      <s:c r="C12172" s="121" t="n"/>
      <s:c r="D12172" s="121" t="n"/>
      <s:c r="E12172" s="122" t="n"/>
    </s:row>
    <s:row r="12173" hidden="1" ht="1" customHeight="1">
      <s:c r="A12173" s="120" t="inlineStr"/>
      <s:c r="B12173" s="121" t="n"/>
      <s:c r="C12173" s="121" t="n"/>
      <s:c r="D12173" s="121" t="n"/>
      <s:c r="E12173" s="122" t="n"/>
    </s:row>
    <s:row r="12174" hidden="1" ht="1" customHeight="1">
      <s:c r="A12174" s="120" t="inlineStr"/>
      <s:c r="B12174" s="121" t="n"/>
      <s:c r="C12174" s="121" t="n"/>
      <s:c r="D12174" s="121" t="n"/>
      <s:c r="E12174" s="122" t="n"/>
    </s:row>
    <s:row r="12175" hidden="1" ht="1" customHeight="1">
      <s:c r="A12175" s="120" t="inlineStr"/>
      <s:c r="B12175" s="121" t="n"/>
      <s:c r="C12175" s="121" t="n"/>
      <s:c r="D12175" s="121" t="n"/>
      <s:c r="E12175" s="122" t="n"/>
    </s:row>
    <s:row r="12176" hidden="1" ht="1" customHeight="1">
      <s:c r="A12176" s="120" t="inlineStr"/>
      <s:c r="B12176" s="121" t="n"/>
      <s:c r="C12176" s="121" t="n"/>
      <s:c r="D12176" s="121" t="n"/>
      <s:c r="E12176" s="122" t="n"/>
    </s:row>
    <s:row r="12177" hidden="1" ht="1" customHeight="1">
      <s:c r="A12177" s="120" t="inlineStr"/>
      <s:c r="B12177" s="121" t="n"/>
      <s:c r="C12177" s="121" t="n"/>
      <s:c r="D12177" s="121" t="n"/>
      <s:c r="E12177" s="122" t="n"/>
    </s:row>
    <s:row r="12178" hidden="1" ht="1" customHeight="1">
      <s:c r="A12178" s="120" t="inlineStr"/>
      <s:c r="B12178" s="121" t="n"/>
      <s:c r="C12178" s="121" t="n"/>
      <s:c r="D12178" s="121" t="n"/>
      <s:c r="E12178" s="122" t="n"/>
    </s:row>
    <s:row r="12179" hidden="1" ht="1" customHeight="1">
      <s:c r="A12179" s="120" t="inlineStr"/>
      <s:c r="B12179" s="121" t="n"/>
      <s:c r="C12179" s="121" t="n"/>
      <s:c r="D12179" s="121" t="n"/>
      <s:c r="E12179" s="122" t="n"/>
    </s:row>
    <s:row r="12180" hidden="1" ht="1" customHeight="1">
      <s:c r="A12180" s="120" t="inlineStr"/>
      <s:c r="B12180" s="121" t="n"/>
      <s:c r="C12180" s="121" t="n"/>
      <s:c r="D12180" s="121" t="n"/>
      <s:c r="E12180" s="122" t="n"/>
    </s:row>
    <s:row r="12181" hidden="1" ht="1" customHeight="1">
      <s:c r="A12181" s="120" t="inlineStr"/>
      <s:c r="B12181" s="121" t="n"/>
      <s:c r="C12181" s="121" t="n"/>
      <s:c r="D12181" s="121" t="n"/>
      <s:c r="E12181" s="122" t="n"/>
    </s:row>
    <s:row r="12182" hidden="1" ht="1" customHeight="1">
      <s:c r="A12182" s="120" t="inlineStr"/>
      <s:c r="B12182" s="121" t="n"/>
      <s:c r="C12182" s="121" t="n"/>
      <s:c r="D12182" s="121" t="n"/>
      <s:c r="E12182" s="122" t="n"/>
    </s:row>
    <s:row r="12183" hidden="1" ht="1" customHeight="1">
      <s:c r="A12183" s="120" t="inlineStr"/>
      <s:c r="B12183" s="121" t="n"/>
      <s:c r="C12183" s="121" t="n"/>
      <s:c r="D12183" s="121" t="n"/>
      <s:c r="E12183" s="122" t="n"/>
    </s:row>
    <s:row r="12184" hidden="1" ht="1" customHeight="1">
      <s:c r="A12184" s="120" t="inlineStr"/>
      <s:c r="B12184" s="121" t="n"/>
      <s:c r="C12184" s="121" t="n"/>
      <s:c r="D12184" s="121" t="n"/>
      <s:c r="E12184" s="122" t="n"/>
    </s:row>
    <s:row r="12185" hidden="1" ht="1" customHeight="1">
      <s:c r="A12185" s="120" t="inlineStr"/>
      <s:c r="B12185" s="121" t="n"/>
      <s:c r="C12185" s="121" t="n"/>
      <s:c r="D12185" s="121" t="n"/>
      <s:c r="E12185" s="122" t="n"/>
    </s:row>
    <s:row r="12186" hidden="1" ht="1" customHeight="1">
      <s:c r="A12186" s="120" t="inlineStr"/>
      <s:c r="B12186" s="121" t="n"/>
      <s:c r="C12186" s="121" t="n"/>
      <s:c r="D12186" s="121" t="n"/>
      <s:c r="E12186" s="122" t="n"/>
    </s:row>
    <s:row r="12187" hidden="1" ht="1" customHeight="1">
      <s:c r="A12187" s="120" t="inlineStr"/>
      <s:c r="B12187" s="121" t="n"/>
      <s:c r="C12187" s="121" t="n"/>
      <s:c r="D12187" s="121" t="n"/>
      <s:c r="E12187" s="122" t="n"/>
    </s:row>
    <s:row r="12188" hidden="1" ht="1" customHeight="1">
      <s:c r="A12188" s="120" t="inlineStr"/>
      <s:c r="B12188" s="121" t="n"/>
      <s:c r="C12188" s="121" t="n"/>
      <s:c r="D12188" s="121" t="n"/>
      <s:c r="E12188" s="122" t="n"/>
    </s:row>
    <s:row r="12189" hidden="1" ht="1" customHeight="1">
      <s:c r="A12189" s="120" t="inlineStr"/>
      <s:c r="B12189" s="121" t="n"/>
      <s:c r="C12189" s="121" t="n"/>
      <s:c r="D12189" s="121" t="n"/>
      <s:c r="E12189" s="122" t="n"/>
    </s:row>
    <s:row r="12190" hidden="1" ht="1" customHeight="1">
      <s:c r="A12190" s="120" t="inlineStr"/>
      <s:c r="B12190" s="121" t="n"/>
      <s:c r="C12190" s="121" t="n"/>
      <s:c r="D12190" s="121" t="n"/>
      <s:c r="E12190" s="122" t="n"/>
    </s:row>
    <s:row r="12191" hidden="1" ht="1" customHeight="1">
      <s:c r="A12191" s="120" t="inlineStr"/>
      <s:c r="B12191" s="121" t="n"/>
      <s:c r="C12191" s="121" t="n"/>
      <s:c r="D12191" s="121" t="n"/>
      <s:c r="E12191" s="122" t="n"/>
    </s:row>
    <s:row r="12192" hidden="1" ht="1" customHeight="1">
      <s:c r="A12192" s="120" t="inlineStr"/>
      <s:c r="B12192" s="121" t="n"/>
      <s:c r="C12192" s="121" t="n"/>
      <s:c r="D12192" s="121" t="n"/>
      <s:c r="E12192" s="122" t="n"/>
    </s:row>
    <s:row r="12193" hidden="1" ht="1" customHeight="1">
      <s:c r="A12193" s="120" t="inlineStr"/>
      <s:c r="B12193" s="121" t="n"/>
      <s:c r="C12193" s="121" t="n"/>
      <s:c r="D12193" s="121" t="n"/>
      <s:c r="E12193" s="122" t="n"/>
    </s:row>
    <s:row r="12194" hidden="1" ht="1" customHeight="1">
      <s:c r="A12194" s="120" t="inlineStr"/>
      <s:c r="B12194" s="121" t="n"/>
      <s:c r="C12194" s="121" t="n"/>
      <s:c r="D12194" s="121" t="n"/>
      <s:c r="E12194" s="122" t="n"/>
    </s:row>
    <s:row r="12195" hidden="1" ht="1" customHeight="1">
      <s:c r="A12195" s="120" t="inlineStr"/>
      <s:c r="B12195" s="121" t="n"/>
      <s:c r="C12195" s="121" t="n"/>
      <s:c r="D12195" s="121" t="n"/>
      <s:c r="E12195" s="122" t="n"/>
    </s:row>
    <s:row r="12196" hidden="1" ht="1" customHeight="1">
      <s:c r="A12196" s="120" t="inlineStr"/>
      <s:c r="B12196" s="121" t="n"/>
      <s:c r="C12196" s="121" t="n"/>
      <s:c r="D12196" s="121" t="n"/>
      <s:c r="E12196" s="122" t="n"/>
    </s:row>
    <s:row r="12197" hidden="1" ht="1" customHeight="1">
      <s:c r="A12197" s="120" t="inlineStr"/>
      <s:c r="B12197" s="121" t="n"/>
      <s:c r="C12197" s="121" t="n"/>
      <s:c r="D12197" s="121" t="n"/>
      <s:c r="E12197" s="122" t="n"/>
    </s:row>
    <s:row r="12198" hidden="1" ht="1" customHeight="1">
      <s:c r="A12198" s="120" t="inlineStr"/>
      <s:c r="B12198" s="121" t="n"/>
      <s:c r="C12198" s="121" t="n"/>
      <s:c r="D12198" s="121" t="n"/>
      <s:c r="E12198" s="122" t="n"/>
    </s:row>
    <s:row r="12199" hidden="1" ht="1" customHeight="1">
      <s:c r="A12199" s="120" t="inlineStr"/>
      <s:c r="B12199" s="121" t="n"/>
      <s:c r="C12199" s="121" t="n"/>
      <s:c r="D12199" s="121" t="n"/>
      <s:c r="E12199" s="122" t="n"/>
    </s:row>
    <s:row r="12200" hidden="1" ht="1" customHeight="1">
      <s:c r="A12200" s="120" t="inlineStr"/>
      <s:c r="B12200" s="121" t="n"/>
      <s:c r="C12200" s="121" t="n"/>
      <s:c r="D12200" s="121" t="n"/>
      <s:c r="E12200" s="122" t="n"/>
    </s:row>
    <s:row r="12201" hidden="1" ht="1" customHeight="1">
      <s:c r="A12201" s="120" t="inlineStr"/>
      <s:c r="B12201" s="121" t="n"/>
      <s:c r="C12201" s="121" t="n"/>
      <s:c r="D12201" s="121" t="n"/>
      <s:c r="E12201" s="122" t="n"/>
    </s:row>
    <s:row r="12202" hidden="1" ht="1" customHeight="1">
      <s:c r="A12202" s="120" t="inlineStr"/>
      <s:c r="B12202" s="121" t="n"/>
      <s:c r="C12202" s="121" t="n"/>
      <s:c r="D12202" s="121" t="n"/>
      <s:c r="E12202" s="122" t="n"/>
    </s:row>
    <s:row r="12203" hidden="1" ht="1" customHeight="1">
      <s:c r="A12203" s="120" t="inlineStr"/>
      <s:c r="B12203" s="121" t="n"/>
      <s:c r="C12203" s="121" t="n"/>
      <s:c r="D12203" s="121" t="n"/>
      <s:c r="E12203" s="122" t="n"/>
    </s:row>
    <s:row r="12204" hidden="1" ht="1" customHeight="1">
      <s:c r="A12204" s="120" t="inlineStr"/>
      <s:c r="B12204" s="121" t="n"/>
      <s:c r="C12204" s="121" t="n"/>
      <s:c r="D12204" s="121" t="n"/>
      <s:c r="E12204" s="122" t="n"/>
    </s:row>
    <s:row r="12205" hidden="1" ht="1" customHeight="1">
      <s:c r="A12205" s="120" t="inlineStr"/>
      <s:c r="B12205" s="121" t="n"/>
      <s:c r="C12205" s="121" t="n"/>
      <s:c r="D12205" s="121" t="n"/>
      <s:c r="E12205" s="122" t="n"/>
    </s:row>
    <s:row r="12206" hidden="1" ht="1" customHeight="1">
      <s:c r="A12206" s="120" t="inlineStr"/>
      <s:c r="B12206" s="121" t="n"/>
      <s:c r="C12206" s="121" t="n"/>
      <s:c r="D12206" s="121" t="n"/>
      <s:c r="E12206" s="122" t="n"/>
    </s:row>
    <s:row r="12207" hidden="1" ht="1" customHeight="1">
      <s:c r="A12207" s="120" t="inlineStr"/>
      <s:c r="B12207" s="121" t="n"/>
      <s:c r="C12207" s="121" t="n"/>
      <s:c r="D12207" s="121" t="n"/>
      <s:c r="E12207" s="122" t="n"/>
    </s:row>
    <s:row r="12208" hidden="1" ht="1" customHeight="1">
      <s:c r="A12208" s="120" t="inlineStr"/>
      <s:c r="B12208" s="121" t="n"/>
      <s:c r="C12208" s="121" t="n"/>
      <s:c r="D12208" s="121" t="n"/>
      <s:c r="E12208" s="122" t="n"/>
    </s:row>
    <s:row r="12209" hidden="1" ht="1" customHeight="1">
      <s:c r="A12209" s="120" t="inlineStr"/>
      <s:c r="B12209" s="121" t="n"/>
      <s:c r="C12209" s="121" t="n"/>
      <s:c r="D12209" s="121" t="n"/>
      <s:c r="E12209" s="122" t="n"/>
    </s:row>
    <s:row r="12210" hidden="1" ht="1" customHeight="1">
      <s:c r="A12210" s="120" t="inlineStr"/>
      <s:c r="B12210" s="121" t="n"/>
      <s:c r="C12210" s="121" t="n"/>
      <s:c r="D12210" s="121" t="n"/>
      <s:c r="E12210" s="122" t="n"/>
    </s:row>
    <s:row r="12211" hidden="1" ht="1" customHeight="1">
      <s:c r="A12211" s="120" t="inlineStr"/>
      <s:c r="B12211" s="121" t="n"/>
      <s:c r="C12211" s="121" t="n"/>
      <s:c r="D12211" s="121" t="n"/>
      <s:c r="E12211" s="122" t="n"/>
    </s:row>
    <s:row r="12212" hidden="1" ht="1" customHeight="1">
      <s:c r="A12212" s="120" t="inlineStr"/>
      <s:c r="B12212" s="121" t="n"/>
      <s:c r="C12212" s="121" t="n"/>
      <s:c r="D12212" s="121" t="n"/>
      <s:c r="E12212" s="122" t="n"/>
    </s:row>
    <s:row r="12213" hidden="1" ht="1" customHeight="1">
      <s:c r="A12213" s="120" t="inlineStr"/>
      <s:c r="B12213" s="121" t="n"/>
      <s:c r="C12213" s="121" t="n"/>
      <s:c r="D12213" s="121" t="n"/>
      <s:c r="E12213" s="122" t="n"/>
    </s:row>
    <s:row r="12214" hidden="1" ht="1" customHeight="1">
      <s:c r="A12214" s="120" t="inlineStr"/>
      <s:c r="B12214" s="121" t="n"/>
      <s:c r="C12214" s="121" t="n"/>
      <s:c r="D12214" s="121" t="n"/>
      <s:c r="E12214" s="122" t="n"/>
    </s:row>
    <s:row r="12215" hidden="1" ht="1" customHeight="1">
      <s:c r="A12215" s="120" t="inlineStr"/>
      <s:c r="B12215" s="121" t="n"/>
      <s:c r="C12215" s="121" t="n"/>
      <s:c r="D12215" s="121" t="n"/>
      <s:c r="E12215" s="122" t="n"/>
    </s:row>
    <s:row r="12216" hidden="1" ht="1" customHeight="1">
      <s:c r="A12216" s="120" t="inlineStr"/>
      <s:c r="B12216" s="121" t="n"/>
      <s:c r="C12216" s="121" t="n"/>
      <s:c r="D12216" s="121" t="n"/>
      <s:c r="E12216" s="122" t="n"/>
    </s:row>
    <s:row r="12217" hidden="1" ht="1" customHeight="1">
      <s:c r="A12217" s="120" t="inlineStr"/>
      <s:c r="B12217" s="121" t="n"/>
      <s:c r="C12217" s="121" t="n"/>
      <s:c r="D12217" s="121" t="n"/>
      <s:c r="E12217" s="122" t="n"/>
    </s:row>
    <s:row r="12218" hidden="1" ht="1" customHeight="1">
      <s:c r="A12218" s="120" t="inlineStr"/>
      <s:c r="B12218" s="121" t="n"/>
      <s:c r="C12218" s="121" t="n"/>
      <s:c r="D12218" s="121" t="n"/>
      <s:c r="E12218" s="122" t="n"/>
    </s:row>
    <s:row r="12219" hidden="1" ht="1" customHeight="1">
      <s:c r="A12219" s="120" t="inlineStr"/>
      <s:c r="B12219" s="121" t="n"/>
      <s:c r="C12219" s="121" t="n"/>
      <s:c r="D12219" s="121" t="n"/>
      <s:c r="E12219" s="122" t="n"/>
    </s:row>
    <s:row r="12220" hidden="1" ht="1" customHeight="1">
      <s:c r="A12220" s="120" t="inlineStr"/>
      <s:c r="B12220" s="121" t="n"/>
      <s:c r="C12220" s="121" t="n"/>
      <s:c r="D12220" s="121" t="n"/>
      <s:c r="E12220" s="122" t="n"/>
    </s:row>
    <s:row r="12221" hidden="1" ht="1" customHeight="1">
      <s:c r="A12221" s="120" t="inlineStr"/>
      <s:c r="B12221" s="121" t="n"/>
      <s:c r="C12221" s="121" t="n"/>
      <s:c r="D12221" s="121" t="n"/>
      <s:c r="E12221" s="122" t="n"/>
    </s:row>
    <s:row r="12222" hidden="1" ht="1" customHeight="1">
      <s:c r="A12222" s="120" t="inlineStr"/>
      <s:c r="B12222" s="121" t="n"/>
      <s:c r="C12222" s="121" t="n"/>
      <s:c r="D12222" s="121" t="n"/>
      <s:c r="E12222" s="122" t="n"/>
    </s:row>
    <s:row r="12223" hidden="1" ht="1" customHeight="1">
      <s:c r="A12223" s="120" t="inlineStr"/>
      <s:c r="B12223" s="121" t="n"/>
      <s:c r="C12223" s="121" t="n"/>
      <s:c r="D12223" s="121" t="n"/>
      <s:c r="E12223" s="122" t="n"/>
    </s:row>
    <s:row r="12224" hidden="1" ht="1" customHeight="1">
      <s:c r="A12224" s="120" t="inlineStr"/>
      <s:c r="B12224" s="121" t="n"/>
      <s:c r="C12224" s="121" t="n"/>
      <s:c r="D12224" s="121" t="n"/>
      <s:c r="E12224" s="122" t="n"/>
    </s:row>
    <s:row r="12225" hidden="1" ht="1" customHeight="1">
      <s:c r="A12225" s="120" t="inlineStr"/>
      <s:c r="B12225" s="121" t="n"/>
      <s:c r="C12225" s="121" t="n"/>
      <s:c r="D12225" s="121" t="n"/>
      <s:c r="E12225" s="122" t="n"/>
    </s:row>
    <s:row r="12226" hidden="1" ht="1" customHeight="1">
      <s:c r="A12226" s="120" t="inlineStr"/>
      <s:c r="B12226" s="121" t="n"/>
      <s:c r="C12226" s="121" t="n"/>
      <s:c r="D12226" s="121" t="n"/>
      <s:c r="E12226" s="122" t="n"/>
    </s:row>
    <s:row r="12227" hidden="1" ht="1" customHeight="1">
      <s:c r="A12227" s="120" t="inlineStr"/>
      <s:c r="B12227" s="121" t="n"/>
      <s:c r="C12227" s="121" t="n"/>
      <s:c r="D12227" s="121" t="n"/>
      <s:c r="E12227" s="122" t="n"/>
    </s:row>
    <s:row r="12228" hidden="1" ht="1" customHeight="1">
      <s:c r="A12228" s="120" t="inlineStr"/>
      <s:c r="B12228" s="121" t="n"/>
      <s:c r="C12228" s="121" t="n"/>
      <s:c r="D12228" s="121" t="n"/>
      <s:c r="E12228" s="122" t="n"/>
    </s:row>
    <s:row r="12229" hidden="1" ht="1" customHeight="1">
      <s:c r="A12229" s="120" t="inlineStr"/>
      <s:c r="B12229" s="121" t="n"/>
      <s:c r="C12229" s="121" t="n"/>
      <s:c r="D12229" s="121" t="n"/>
      <s:c r="E12229" s="122" t="n"/>
    </s:row>
    <s:row r="12230" hidden="1" ht="1" customHeight="1">
      <s:c r="A12230" s="120" t="inlineStr"/>
      <s:c r="B12230" s="121" t="n"/>
      <s:c r="C12230" s="121" t="n"/>
      <s:c r="D12230" s="121" t="n"/>
      <s:c r="E12230" s="122" t="n"/>
    </s:row>
    <s:row r="12231" hidden="1" ht="1" customHeight="1">
      <s:c r="A12231" s="120" t="inlineStr"/>
      <s:c r="B12231" s="121" t="n"/>
      <s:c r="C12231" s="121" t="n"/>
      <s:c r="D12231" s="121" t="n"/>
      <s:c r="E12231" s="122" t="n"/>
    </s:row>
    <s:row r="12232" hidden="1" ht="1" customHeight="1">
      <s:c r="A12232" s="120" t="inlineStr"/>
      <s:c r="B12232" s="121" t="n"/>
      <s:c r="C12232" s="121" t="n"/>
      <s:c r="D12232" s="121" t="n"/>
      <s:c r="E12232" s="122" t="n"/>
    </s:row>
    <s:row r="12233" hidden="1" ht="1" customHeight="1">
      <s:c r="A12233" s="120" t="inlineStr"/>
      <s:c r="B12233" s="121" t="n"/>
      <s:c r="C12233" s="121" t="n"/>
      <s:c r="D12233" s="121" t="n"/>
      <s:c r="E12233" s="122" t="n"/>
    </s:row>
    <s:row r="12234" hidden="1" ht="1" customHeight="1">
      <s:c r="A12234" s="120" t="inlineStr"/>
      <s:c r="B12234" s="121" t="n"/>
      <s:c r="C12234" s="121" t="n"/>
      <s:c r="D12234" s="121" t="n"/>
      <s:c r="E12234" s="122" t="n"/>
    </s:row>
    <s:row r="12235" hidden="1" ht="1" customHeight="1">
      <s:c r="A12235" s="120" t="inlineStr"/>
      <s:c r="B12235" s="121" t="n"/>
      <s:c r="C12235" s="121" t="n"/>
      <s:c r="D12235" s="121" t="n"/>
      <s:c r="E12235" s="122" t="n"/>
    </s:row>
    <s:row r="12236" hidden="1" ht="1" customHeight="1">
      <s:c r="A12236" s="120" t="inlineStr"/>
      <s:c r="B12236" s="121" t="n"/>
      <s:c r="C12236" s="121" t="n"/>
      <s:c r="D12236" s="121" t="n"/>
      <s:c r="E12236" s="122" t="n"/>
    </s:row>
    <s:row r="12237" hidden="1" ht="1" customHeight="1">
      <s:c r="A12237" s="120" t="inlineStr"/>
      <s:c r="B12237" s="121" t="n"/>
      <s:c r="C12237" s="121" t="n"/>
      <s:c r="D12237" s="121" t="n"/>
      <s:c r="E12237" s="122" t="n"/>
    </s:row>
    <s:row r="12238" hidden="1" ht="1" customHeight="1">
      <s:c r="A12238" s="120" t="inlineStr"/>
      <s:c r="B12238" s="121" t="n"/>
      <s:c r="C12238" s="121" t="n"/>
      <s:c r="D12238" s="121" t="n"/>
      <s:c r="E12238" s="122" t="n"/>
    </s:row>
    <s:row r="12239" hidden="1" ht="1" customHeight="1">
      <s:c r="A12239" s="120" t="inlineStr"/>
      <s:c r="B12239" s="121" t="n"/>
      <s:c r="C12239" s="121" t="n"/>
      <s:c r="D12239" s="121" t="n"/>
      <s:c r="E12239" s="122" t="n"/>
    </s:row>
    <s:row r="12240" hidden="1" ht="1" customHeight="1">
      <s:c r="A12240" s="120" t="inlineStr"/>
      <s:c r="B12240" s="121" t="n"/>
      <s:c r="C12240" s="121" t="n"/>
      <s:c r="D12240" s="121" t="n"/>
      <s:c r="E12240" s="122" t="n"/>
    </s:row>
    <s:row r="12241" hidden="1" ht="1" customHeight="1">
      <s:c r="A12241" s="120" t="inlineStr"/>
      <s:c r="B12241" s="121" t="n"/>
      <s:c r="C12241" s="121" t="n"/>
      <s:c r="D12241" s="121" t="n"/>
      <s:c r="E12241" s="122" t="n"/>
    </s:row>
    <s:row r="12242" hidden="1" ht="1" customHeight="1">
      <s:c r="A12242" s="120" t="inlineStr"/>
      <s:c r="B12242" s="121" t="n"/>
      <s:c r="C12242" s="121" t="n"/>
      <s:c r="D12242" s="121" t="n"/>
      <s:c r="E12242" s="122" t="n"/>
    </s:row>
    <s:row r="12243" hidden="1" ht="1" customHeight="1">
      <s:c r="A12243" s="120" t="inlineStr"/>
      <s:c r="B12243" s="121" t="n"/>
      <s:c r="C12243" s="121" t="n"/>
      <s:c r="D12243" s="121" t="n"/>
      <s:c r="E12243" s="122" t="n"/>
    </s:row>
    <s:row r="12244" hidden="1" ht="1" customHeight="1">
      <s:c r="A12244" s="120" t="inlineStr"/>
      <s:c r="B12244" s="121" t="n"/>
      <s:c r="C12244" s="121" t="n"/>
      <s:c r="D12244" s="121" t="n"/>
      <s:c r="E12244" s="122" t="n"/>
    </s:row>
    <s:row r="12245" hidden="1" ht="1" customHeight="1">
      <s:c r="A12245" s="120" t="inlineStr"/>
      <s:c r="B12245" s="121" t="n"/>
      <s:c r="C12245" s="121" t="n"/>
      <s:c r="D12245" s="121" t="n"/>
      <s:c r="E12245" s="122" t="n"/>
    </s:row>
    <s:row r="12246" hidden="1" ht="1" customHeight="1">
      <s:c r="A12246" s="120" t="inlineStr"/>
      <s:c r="B12246" s="121" t="n"/>
      <s:c r="C12246" s="121" t="n"/>
      <s:c r="D12246" s="121" t="n"/>
      <s:c r="E12246" s="122" t="n"/>
    </s:row>
    <s:row r="12247" hidden="1" ht="1" customHeight="1">
      <s:c r="A12247" s="120" t="inlineStr"/>
      <s:c r="B12247" s="121" t="n"/>
      <s:c r="C12247" s="121" t="n"/>
      <s:c r="D12247" s="121" t="n"/>
      <s:c r="E12247" s="122" t="n"/>
    </s:row>
    <s:row r="12248" hidden="1" ht="1" customHeight="1">
      <s:c r="A12248" s="120" t="inlineStr"/>
      <s:c r="B12248" s="121" t="n"/>
      <s:c r="C12248" s="121" t="n"/>
      <s:c r="D12248" s="121" t="n"/>
      <s:c r="E12248" s="122" t="n"/>
    </s:row>
    <s:row r="12249" hidden="1" ht="1" customHeight="1">
      <s:c r="A12249" s="120" t="inlineStr"/>
      <s:c r="B12249" s="121" t="n"/>
      <s:c r="C12249" s="121" t="n"/>
      <s:c r="D12249" s="121" t="n"/>
      <s:c r="E12249" s="122" t="n"/>
    </s:row>
    <s:row r="12250" hidden="1" ht="1" customHeight="1">
      <s:c r="A12250" s="120" t="inlineStr"/>
      <s:c r="B12250" s="121" t="n"/>
      <s:c r="C12250" s="121" t="n"/>
      <s:c r="D12250" s="121" t="n"/>
      <s:c r="E12250" s="122" t="n"/>
    </s:row>
    <s:row r="12251" hidden="1" ht="1" customHeight="1">
      <s:c r="A12251" s="120" t="inlineStr"/>
      <s:c r="B12251" s="121" t="n"/>
      <s:c r="C12251" s="121" t="n"/>
      <s:c r="D12251" s="121" t="n"/>
      <s:c r="E12251" s="122" t="n"/>
    </s:row>
    <s:row r="12252" hidden="1" ht="1" customHeight="1">
      <s:c r="A12252" s="120" t="inlineStr"/>
      <s:c r="B12252" s="121" t="n"/>
      <s:c r="C12252" s="121" t="n"/>
      <s:c r="D12252" s="121" t="n"/>
      <s:c r="E12252" s="122" t="n"/>
    </s:row>
    <s:row r="12253" hidden="1" ht="1" customHeight="1">
      <s:c r="A12253" s="120" t="inlineStr"/>
      <s:c r="B12253" s="121" t="n"/>
      <s:c r="C12253" s="121" t="n"/>
      <s:c r="D12253" s="121" t="n"/>
      <s:c r="E12253" s="122" t="n"/>
    </s:row>
    <s:row r="12254" hidden="1" ht="1" customHeight="1">
      <s:c r="A12254" s="120" t="inlineStr"/>
      <s:c r="B12254" s="121" t="n"/>
      <s:c r="C12254" s="121" t="n"/>
      <s:c r="D12254" s="121" t="n"/>
      <s:c r="E12254" s="122" t="n"/>
    </s:row>
    <s:row r="12255" hidden="1" ht="1" customHeight="1">
      <s:c r="A12255" s="120" t="inlineStr"/>
      <s:c r="B12255" s="121" t="n"/>
      <s:c r="C12255" s="121" t="n"/>
      <s:c r="D12255" s="121" t="n"/>
      <s:c r="E12255" s="122" t="n"/>
    </s:row>
    <s:row r="12256" hidden="1" ht="1" customHeight="1">
      <s:c r="A12256" s="120" t="inlineStr"/>
      <s:c r="B12256" s="121" t="n"/>
      <s:c r="C12256" s="121" t="n"/>
      <s:c r="D12256" s="121" t="n"/>
      <s:c r="E12256" s="122" t="n"/>
    </s:row>
    <s:row r="12257" hidden="1" ht="1" customHeight="1">
      <s:c r="A12257" s="120" t="inlineStr"/>
      <s:c r="B12257" s="121" t="n"/>
      <s:c r="C12257" s="121" t="n"/>
      <s:c r="D12257" s="121" t="n"/>
      <s:c r="E12257" s="122" t="n"/>
    </s:row>
    <s:row r="12258" hidden="1" ht="1" customHeight="1">
      <s:c r="A12258" s="120" t="inlineStr"/>
      <s:c r="B12258" s="121" t="n"/>
      <s:c r="C12258" s="121" t="n"/>
      <s:c r="D12258" s="121" t="n"/>
      <s:c r="E12258" s="122" t="n"/>
    </s:row>
    <s:row r="12259" hidden="1" ht="1" customHeight="1">
      <s:c r="A12259" s="120" t="inlineStr"/>
      <s:c r="B12259" s="121" t="n"/>
      <s:c r="C12259" s="121" t="n"/>
      <s:c r="D12259" s="121" t="n"/>
      <s:c r="E12259" s="122" t="n"/>
    </s:row>
    <s:row r="12260" hidden="1" ht="1" customHeight="1">
      <s:c r="A12260" s="120" t="inlineStr"/>
      <s:c r="B12260" s="121" t="n"/>
      <s:c r="C12260" s="121" t="n"/>
      <s:c r="D12260" s="121" t="n"/>
      <s:c r="E12260" s="122" t="n"/>
    </s:row>
    <s:row r="12261" hidden="1" ht="1" customHeight="1">
      <s:c r="A12261" s="120" t="inlineStr"/>
      <s:c r="B12261" s="121" t="n"/>
      <s:c r="C12261" s="121" t="n"/>
      <s:c r="D12261" s="121" t="n"/>
      <s:c r="E12261" s="122" t="n"/>
    </s:row>
    <s:row r="12262" hidden="1" ht="1" customHeight="1">
      <s:c r="A12262" s="120" t="inlineStr"/>
      <s:c r="B12262" s="121" t="n"/>
      <s:c r="C12262" s="121" t="n"/>
      <s:c r="D12262" s="121" t="n"/>
      <s:c r="E12262" s="122" t="n"/>
    </s:row>
    <s:row r="12263" hidden="1" ht="1" customHeight="1">
      <s:c r="A12263" s="120" t="inlineStr"/>
      <s:c r="B12263" s="121" t="n"/>
      <s:c r="C12263" s="121" t="n"/>
      <s:c r="D12263" s="121" t="n"/>
      <s:c r="E12263" s="122" t="n"/>
    </s:row>
    <s:row r="12264" hidden="1" ht="1" customHeight="1">
      <s:c r="A12264" s="120" t="inlineStr"/>
      <s:c r="B12264" s="121" t="n"/>
      <s:c r="C12264" s="121" t="n"/>
      <s:c r="D12264" s="121" t="n"/>
      <s:c r="E12264" s="122" t="n"/>
    </s:row>
    <s:row r="12265" hidden="1" ht="1" customHeight="1">
      <s:c r="A12265" s="120" t="inlineStr"/>
      <s:c r="B12265" s="121" t="n"/>
      <s:c r="C12265" s="121" t="n"/>
      <s:c r="D12265" s="121" t="n"/>
      <s:c r="E12265" s="122" t="n"/>
    </s:row>
    <s:row r="12266" hidden="1" ht="1" customHeight="1">
      <s:c r="A12266" s="120" t="inlineStr"/>
      <s:c r="B12266" s="121" t="n"/>
      <s:c r="C12266" s="121" t="n"/>
      <s:c r="D12266" s="121" t="n"/>
      <s:c r="E12266" s="122" t="n"/>
    </s:row>
    <s:row r="12267" hidden="1" ht="1" customHeight="1">
      <s:c r="A12267" s="120" t="inlineStr"/>
      <s:c r="B12267" s="121" t="n"/>
      <s:c r="C12267" s="121" t="n"/>
      <s:c r="D12267" s="121" t="n"/>
      <s:c r="E12267" s="122" t="n"/>
    </s:row>
    <s:row r="12268" hidden="1" ht="1" customHeight="1">
      <s:c r="A12268" s="120" t="inlineStr"/>
      <s:c r="B12268" s="121" t="n"/>
      <s:c r="C12268" s="121" t="n"/>
      <s:c r="D12268" s="121" t="n"/>
      <s:c r="E12268" s="122" t="n"/>
    </s:row>
    <s:row r="12269" hidden="1" ht="1" customHeight="1">
      <s:c r="A12269" s="120" t="inlineStr"/>
      <s:c r="B12269" s="121" t="n"/>
      <s:c r="C12269" s="121" t="n"/>
      <s:c r="D12269" s="121" t="n"/>
      <s:c r="E12269" s="122" t="n"/>
    </s:row>
    <s:row r="12270" hidden="1" ht="1" customHeight="1">
      <s:c r="A12270" s="83" t="inlineStr">
        <s:is>
          <s:t>PASS</s:t>
        </s:is>
      </s:c>
      <s:c r="B12270" s="83">
        <s:f>SUM(IF(EXACT('Kiểm thử'!E12120,"Đạt"),1,0),IF(EXACT('Kiểm thử'!E12122,"Đạt"),1,0),IF(EXACT('Kiểm thử'!E12124,"Đạt"),1,0))</s:f>
        <s:v/>
      </s:c>
      <s:c r="C12270" s="19" t="n"/>
      <s:c r="D12270" s="19" t="n"/>
      <s:c r="E12270" s="19" t="n"/>
    </s:row>
    <s:row r="12271" hidden="1" ht="1" customHeight="1">
      <s:c r="A12271" s="83" t="inlineStr">
        <s:is>
          <s:t>FAIL</s:t>
        </s:is>
      </s:c>
      <s:c r="B12271" s="83">
        <s:f>SUM(IF(EXACT('Kiểm thử'!E12120,"Không đạt"),1,0),IF(EXACT('Kiểm thử'!E12122,"Không đạt"),1,0),IF(EXACT('Kiểm thử'!E12124,"Không đạt"),1,0))</s:f>
        <s:v/>
      </s:c>
      <s:c r="C12271" s="19" t="n"/>
      <s:c r="D12271" s="19" t="n"/>
      <s:c r="E12271" s="19" t="n"/>
    </s:row>
    <s:row r="12272" hidden="1" ht="1" customHeight="1">
      <s:c r="A12272" s="83" t="inlineStr">
        <s:is>
          <s:t>BLOCKED</s:t>
        </s:is>
      </s:c>
      <s:c r="B12272" s="83">
        <s:f>SUM(IF(EXACT('Kiểm thử'!E12120,"Bị chặn"),1,0),IF(EXACT('Kiểm thử'!E12122,"Bị chặn"),1,0),IF(EXACT('Kiểm thử'!E12124,"Bị chặn"),1,0))</s:f>
        <s:v/>
      </s:c>
      <s:c r="C12272" s="19" t="n"/>
      <s:c r="D12272" s="19" t="n"/>
      <s:c r="E12272" s="19" t="n"/>
    </s:row>
    <s:row r="12273" hidden="1" ht="1" customHeight="1">
      <s:c r="A12273" s="83" t="inlineStr">
        <s:is>
          <s:t>SKIPPED</s:t>
        </s:is>
      </s:c>
      <s:c r="B12273" s="83">
        <s:f>SUM(IF(EXACT('Kiểm thử'!E12120,"Không thực hiện"),1,0),IF(EXACT('Kiểm thử'!E12122,"Không thực hiện"),1,0),IF(EXACT('Kiểm thử'!E12124,"Không thực hiện"),1,0))</s:f>
        <s:v/>
      </s:c>
      <s:c r="C12273" s="19" t="n"/>
      <s:c r="D12273" s="19" t="n"/>
      <s:c r="E12273" s="19" t="n"/>
    </s:row>
    <s:row r="12274" hidden="1" ht="1" customHeight="1">
      <s:c r="A12274" s="83" t="inlineStr">
        <s:is>
          <s:t>NOT RUN</s:t>
        </s:is>
      </s:c>
      <s:c r="B12274" s="83">
        <s:f>SUM(IF(EXACT('Kiểm thử'!E12120,"Chưa thực hiện"),1,0),IF(EXACT('Kiểm thử'!E12122,"Chưa thực hiện"),1,0),IF(EXACT('Kiểm thử'!E12124,"Chưa thực hiện"),1,0))</s:f>
        <s:v/>
      </s:c>
      <s:c r="C12274" s="19" t="n"/>
      <s:c r="D12274" s="19" t="n"/>
      <s:c r="E12274" s="19" t="n"/>
    </s:row>
    <s:row r="12275" hidden="1" ht="6" customHeight="1">
      <s:c r="A12275" s="83" t="inlineStr"/>
      <s:c r="B12275" s="19" t="n"/>
      <s:c r="C12275" s="19" t="n"/>
      <s:c r="D12275" s="19" t="n"/>
      <s:c r="E12275" s="19" t="n"/>
    </s:row>
    <s:row r="12276" ht="28" customHeight="1">
      <s:c r="A12276" s="108" t="inlineStr">
        <s:is>
          <s:t>TC-RS-VAL-024 — Quy tắc dùng trung bình/tỷ lệ nhóm không lưu được khi thiếu nguồn</s:t>
        </s:is>
      </s:c>
      <s:c r="B12276" s="111" t="n"/>
      <s:c r="C12276" s="111" t="n"/>
      <s:c r="D12276" s="111" t="n"/>
      <s:c r="E12276" s="111" t="n"/>
    </s:row>
    <s:row r="12277" ht="20" customHeight="1">
      <s:c r="A12277" s="112" t="inlineStr">
        <s:is>
          <s:t>Kết quả tình huống</s:t>
        </s:is>
      </s:c>
      <s:c r="B12277" s="113">
        <s:f>IF(SUM(IF(EXACT('Kiểm thử'!E12286,"Không đạt"),1,0),IF(EXACT('Kiểm thử'!E12288,"Không đạt"),1,0),IF(EXACT('Kiểm thử'!E12290,"Không đạt"),1,0),IF(EXACT('Kiểm thử'!E12292,"Không đạt"),1,0),IF(EXACT('Kiểm thử'!E12294,"Không đạt"),1,0),IF(EXACT('Kiểm thử'!E12296,"Không đạt"),1,0))&gt;0,"Không đạt",IF(SUM(IF(EXACT('Kiểm thử'!E12286,"Đạt"),1,0),IF(EXACT('Kiểm thử'!E12288,"Đạt"),1,0),IF(EXACT('Kiểm thử'!E12290,"Đạt"),1,0),IF(EXACT('Kiểm thử'!E12292,"Đạt"),1,0),IF(EXACT('Kiểm thử'!E12294,"Đạt"),1,0),IF(EXACT('Kiểm thử'!E12296,"Đạt"),1,0))=6,"Đạt",IF(SUM(IF(EXACT('Kiểm thử'!E12286,"Không thực hiện"),1,0),IF(EXACT('Kiểm thử'!E12288,"Không thực hiện"),1,0),IF(EXACT('Kiểm thử'!E12290,"Không thực hiện"),1,0),IF(EXACT('Kiểm thử'!E12292,"Không thực hiện"),1,0),IF(EXACT('Kiểm thử'!E12294,"Không thực hiện"),1,0),IF(EXACT('Kiểm thử'!E12296,"Không thực hiện"),1,0))=6,"Không thực hiện",IF(SUM(IF(EXACT('Kiểm thử'!E12286,"Bị chặn"),1,0),IF(EXACT('Kiểm thử'!E12288,"Bị chặn"),1,0),IF(EXACT('Kiểm thử'!E12290,"Bị chặn"),1,0),IF(EXACT('Kiểm thử'!E12292,"Bị chặn"),1,0),IF(EXACT('Kiểm thử'!E12294,"Bị chặn"),1,0),IF(EXACT('Kiểm thử'!E12296,"Bị chặn"),1,0))&gt;0,"Bị chặn",IF(SUM(IF(EXACT('Kiểm thử'!E12286,"Chưa thực hiện"),1,0),IF(EXACT('Kiểm thử'!E12288,"Chưa thực hiện"),1,0),IF(EXACT('Kiểm thử'!E12290,"Chưa thực hiện"),1,0),IF(EXACT('Kiểm thử'!E12292,"Chưa thực hiện"),1,0),IF(EXACT('Kiểm thử'!E12294,"Chưa thực hiện"),1,0),IF(EXACT('Kiểm thử'!E12296,"Chưa thực hiện"),1,0))=6,"Chưa thực hiện","Đang thực hiện")))))</s:f>
        <s:v/>
      </s:c>
      <s:c r="C12277" s="114" t="n"/>
      <s:c r="D12277" s="114" t="n"/>
      <s:c r="E12277" s="114" t="n"/>
    </s:row>
    <s:row r="12278" ht="20" customHeight="1">
      <s:c r="A12278" s="112" t="inlineStr">
        <s:is>
          <s:t>Màn hình / chức năng</s:t>
        </s:is>
      </s:c>
      <s:c r="B12278" s="113" t="inlineStr">
        <s:is>
          <s:t>Nguồn tổng hợp</s:t>
        </s:is>
      </s:c>
      <s:c r="C12278" s="28" t="n"/>
      <s:c r="D12278" s="28" t="n"/>
      <s:c r="E12278" s="28" t="n"/>
    </s:row>
    <s:row r="12279" ht="20" customHeight="1">
      <s:c r="A12279" s="112" t="inlineStr">
        <s:is>
          <s:t>Cấu hình</s:t>
        </s:is>
      </s:c>
      <s:c r="B12279" s="113" t="inlineStr">
        <s:is>
          <s:r>
            <s:t>• Màn thêm quy tắc của mục số nguyên (</s:t>
          </s:r>
          <s:r>
            <s:rPr>
              <s:b val="1"/>
            </s:rPr>
            <s:t>M=100</s:t>
          </s:r>
          <s:r>
            <s:t>).</s:t>
          </s:r>
        </s:is>
      </s:c>
      <s:c r="C12279" s="28" t="n"/>
      <s:c r="D12279" s="28" t="n"/>
      <s:c r="E12279" s="28" t="n"/>
    </s:row>
    <s:row r="12280" ht="76" customHeight="1">
      <s:c r="A12280" s="112" t="inlineStr">
        <s:is>
          <s:t>Dữ liệu test</s:t>
        </s:is>
      </s:c>
      <s:c r="B12280" s="113" t="inlineStr">
        <s:is>
          <s:r>
            <s:t>• Mục số nguyên (</s:t>
          </s:r>
          <s:r>
            <s:rPr>
              <s:b val="1"/>
            </s:rPr>
            <s:t>M=100</s:t>
          </s:r>
          <s:r>
            <s:t>);
• (A) Điều kiện trung bình [</s:t>
          </s:r>
          <s:r>
            <s:rPr>
              <s:b val="1"/>
            </s:rPr>
            <s:t>A≥60</s:t>
          </s:r>
          <s:r>
            <s:t xml:space="preserve">], ngưỡng cố định 30, bỏ trống một phần hoặc toàn bộ nguồn (thời kỳ, thiết lập tổng hợp, nhóm tham chiếu);
• (B) điều kiện tỷ lệ nhóm ≥65%, nguồn bỏ trống;
• (C) Toàn bộ đối tượng, </s:t>
          </s:r>
          <s:r>
            <s:rPr>
              <s:b val="1"/>
            </s:rPr>
            <s:t>ngưỡng Công thức tính（計算式）</s:t>
          </s:r>
          <s:r>
            <s:t xml:space="preserve"> [A×0.5], nguồn của công thức bỏ trống</s:t>
          </s:r>
        </s:is>
      </s:c>
      <s:c r="C12280" s="28" t="n"/>
      <s:c r="D12280" s="28" t="n"/>
      <s:c r="E12280" s="28" t="n"/>
    </s:row>
    <s:row r="12281" ht="20" customHeight="1">
      <s:c r="A12281" s="112" t="inlineStr">
        <s:is>
          <s:t>Bước 1</s:t>
        </s:is>
      </s:c>
      <s:c r="B12281" s="113" t="inlineStr">
        <s:is>
          <s:r>
            <s:t xml:space="preserve">Mở form/request lưu quy tắc của mục số nguyên </s:t>
          </s:r>
          <s:r>
            <s:rPr>
              <s:b val="1"/>
            </s:rPr>
            <s:t>M=100</s:t>
          </s:r>
          <s:r>
            <s:t xml:space="preserve"> bằng tài khoản được sửa mục.</s:t>
          </s:r>
        </s:is>
      </s:c>
      <s:c r="C12281" s="28" t="n"/>
      <s:c r="D12281" s="28" t="n"/>
      <s:c r="E12281" s="28" t="n"/>
    </s:row>
    <s:row r="12282" ht="20" customHeight="1">
      <s:c r="A12282" s="112" t="inlineStr">
        <s:is>
          <s:t>Bước 2</s:t>
        </s:is>
      </s:c>
      <s:c r="B12282" s="113" t="inlineStr">
        <s:is>
          <s:t>Giữ các phần hợp lệ, chỉ thay phần nguồn nêu ở trường hợp đang chạy; gửi riêng từng lượt.</s:t>
        </s:is>
      </s:c>
      <s:c r="C12282" s="28" t="n"/>
      <s:c r="D12282" s="28" t="n"/>
      <s:c r="E12282" s="28" t="n"/>
    </s:row>
    <s:row r="12283" ht="20" customHeight="1">
      <s:c r="A12283" s="112" t="inlineStr">
        <s:is>
          <s:t>Bước 3</s:t>
        </s:is>
      </s:c>
      <s:c r="B12283" s="113" t="inlineStr">
        <s:is>
          <s:t>Đọc response và mở lại danh sách để kiểm cấu hình có bị đổi hay lộ dữ liệu ngoài quyền không.</s:t>
        </s:is>
      </s:c>
      <s:c r="C12283" s="28" t="n"/>
      <s:c r="D12283" s="28" t="n"/>
      <s:c r="E12283" s="28" t="n"/>
    </s:row>
    <s:row r="12284" ht="28" customHeight="1">
      <s:c r="A12284" s="115" t="inlineStr">
        <s:is>
          <s:t>Trường hợp</s:t>
        </s:is>
      </s:c>
      <s:c r="B12284" s="115" t="inlineStr">
        <s:is>
          <s:t>Dữ liệu / thao tác riêng</s:t>
        </s:is>
      </s:c>
      <s:c r="C12284" s="115" t="inlineStr">
        <s:is>
          <s:t>Kết quả mong đợi</s:t>
        </s:is>
      </s:c>
      <s:c r="D12284" s="115" t="inlineStr">
        <s:is>
          <s:t>Kết quả thực tế</s:t>
        </s:is>
      </s:c>
      <s:c r="E12284" s="115" t="inlineStr">
        <s:is>
          <s:t>Đánh giá</s:t>
        </s:is>
      </s:c>
    </s:row>
    <s:row r="12285" ht="3" customHeight="1">
      <s:c r="A12285" s="102" t="inlineStr"/>
      <s:c r="B12285" s="99" t="n"/>
      <s:c r="C12285" s="99" t="n"/>
      <s:c r="D12285" s="116" t="n"/>
      <s:c r="E12285" s="116" t="n"/>
    </s:row>
    <s:row r="12286" ht="90" customHeight="1">
      <s:c r="A12286" s="83" t="inlineStr">
        <s:is>
          <s:t>Điều kiện trung bình thiếu kỳ (condition-period)</s:t>
        </s:is>
      </s:c>
      <s:c r="B12286" s="83" t="inlineStr">
        <s:is>
          <s:r>
            <s:t xml:space="preserve">Điều kiện trung bình </s:t>
          </s:r>
          <s:r>
            <s:rPr>
              <s:b val="1"/>
            </s:rPr>
            <s:t>A≥60</s:t>
          </s:r>
          <s:r>
            <s:t xml:space="preserve">, cố định30; chỉ để trống </s:t>
          </s:r>
          <s:r>
            <s:rPr>
              <s:b val="1"/>
            </s:rPr>
            <s:t>Thời kỳ tổng hợp（集計対象時期）</s:t>
          </s:r>
          <s:r>
            <s:t>; bấm Lưu rồi đọc response/danh sách. Các phần còn lại dùng fixture của trường hợp.</s:t>
          </s:r>
        </s:is>
      </s:c>
      <s:c r="C12286" s="83" t="inlineStr">
        <s:is>
          <s:t>Không lưu được vì thiếu nguồn của trường hợp này; có thông báo thiếu nguồn. Không bỏ điều kiện để lưu hoặc lưu nguồn trống; danh sách rule không đổi.</s:t>
        </s:is>
      </s:c>
      <s:c r="D12286" s="117" t="inlineStr"/>
      <s:c r="E12286" s="118" t="inlineStr">
        <s:is>
          <s:t>Chưa thực hiện</s:t>
        </s:is>
      </s:c>
    </s:row>
    <s:row r="12287" ht="3" customHeight="1">
      <s:c r="A12287" s="102" t="inlineStr"/>
      <s:c r="B12287" s="99" t="n"/>
      <s:c r="C12287" s="99" t="n"/>
      <s:c r="D12287" s="116" t="n"/>
      <s:c r="E12287" s="116" t="n"/>
    </s:row>
    <s:row r="12288" ht="90" customHeight="1">
      <s:c r="A12288" s="83" t="inlineStr">
        <s:is>
          <s:t>Điều kiện trung bình thiếu thiết lập (condition-setting)</s:t>
        </s:is>
      </s:c>
      <s:c r="B12288" s="83" t="inlineStr">
        <s:is>
          <s:r>
            <s:t xml:space="preserve">Điều kiện trung bình </s:t>
          </s:r>
          <s:r>
            <s:rPr>
              <s:b val="1"/>
            </s:rPr>
            <s:t>A≥60</s:t>
          </s:r>
          <s:r>
            <s:t xml:space="preserve">, cố định30; chỉ để trống Thiết lập </s:t>
          </s:r>
          <s:r>
            <s:rPr>
              <s:b val="1"/>
            </s:rPr>
            <s:t>tổng hợp thứ hạng（順位集計設定）</s:t>
          </s:r>
          <s:r>
            <s:t>; bấm Lưu rồi đọc response/danh sách. Các phần còn lại dùng fixture của trường hợp.</s:t>
          </s:r>
        </s:is>
      </s:c>
      <s:c r="C12288" s="83" t="inlineStr">
        <s:is>
          <s:t>Không lưu được vì thiếu nguồn của trường hợp này; có thông báo thiếu nguồn. Không bỏ điều kiện để lưu hoặc lưu nguồn trống; danh sách rule không đổi.</s:t>
        </s:is>
      </s:c>
      <s:c r="D12288" s="117" t="inlineStr"/>
      <s:c r="E12288" s="118" t="inlineStr">
        <s:is>
          <s:t>Chưa thực hiện</s:t>
        </s:is>
      </s:c>
    </s:row>
    <s:row r="12289" ht="3" customHeight="1">
      <s:c r="A12289" s="102" t="inlineStr"/>
      <s:c r="B12289" s="99" t="n"/>
      <s:c r="C12289" s="99" t="n"/>
      <s:c r="D12289" s="116" t="n"/>
      <s:c r="E12289" s="116" t="n"/>
    </s:row>
    <s:row r="12290" ht="76" customHeight="1">
      <s:c r="A12290" s="83" t="inlineStr">
        <s:is>
          <s:t>Điều kiện trung bình thiếu nhóm (condition-group)</s:t>
        </s:is>
      </s:c>
      <s:c r="B12290" s="83" t="inlineStr">
        <s:is>
          <s:r>
            <s:t xml:space="preserve">Điều kiện trung bình </s:t>
          </s:r>
          <s:r>
            <s:rPr>
              <s:b val="1"/>
            </s:rPr>
            <s:t>A≥60</s:t>
          </s:r>
          <s:r>
            <s:t>, cố định30; chỉ để trống nhóm tham chiếu; bấm Lưu rồi đọc response/danh sách. Các phần còn lại dùng fixture của trường hợp.</s:t>
          </s:r>
        </s:is>
      </s:c>
      <s:c r="C12290" s="83" t="inlineStr">
        <s:is>
          <s:t>Không lưu được vì thiếu nguồn của trường hợp này; có thông báo thiếu nguồn. Không bỏ điều kiện để lưu hoặc lưu nguồn trống; danh sách rule không đổi.</s:t>
        </s:is>
      </s:c>
      <s:c r="D12290" s="117" t="inlineStr"/>
      <s:c r="E12290" s="118" t="inlineStr">
        <s:is>
          <s:t>Chưa thực hiện</s:t>
        </s:is>
      </s:c>
    </s:row>
    <s:row r="12291" ht="3" customHeight="1">
      <s:c r="A12291" s="102" t="inlineStr"/>
      <s:c r="B12291" s="99" t="n"/>
      <s:c r="C12291" s="99" t="n"/>
      <s:c r="D12291" s="116" t="n"/>
      <s:c r="E12291" s="116" t="n"/>
    </s:row>
    <s:row r="12292" ht="76" customHeight="1">
      <s:c r="A12292" s="83" t="inlineStr">
        <s:is>
          <s:t>Điều kiện trung bình thiếu toàn bộ (condition-all)</s:t>
        </s:is>
      </s:c>
      <s:c r="B12292" s="83" t="inlineStr">
        <s:is>
          <s:r>
            <s:t xml:space="preserve">Điều kiện trung bình </s:t>
          </s:r>
          <s:r>
            <s:rPr>
              <s:b val="1"/>
            </s:rPr>
            <s:t>A≥60</s:t>
          </s:r>
          <s:r>
            <s:t>, cố định30; để trống toàn bộ bộ nguồn; bấm Lưu rồi đọc response/danh sách. Các phần còn lại dùng fixture của trường hợp.</s:t>
          </s:r>
        </s:is>
      </s:c>
      <s:c r="C12292" s="83" t="inlineStr">
        <s:is>
          <s:t>Không lưu được vì thiếu nguồn của trường hợp này; có thông báo thiếu nguồn. Không bỏ điều kiện để lưu hoặc lưu nguồn trống; danh sách rule không đổi.</s:t>
        </s:is>
      </s:c>
      <s:c r="D12292" s="117" t="inlineStr"/>
      <s:c r="E12292" s="118" t="inlineStr">
        <s:is>
          <s:t>Chưa thực hiện</s:t>
        </s:is>
      </s:c>
    </s:row>
    <s:row r="12293" ht="3" customHeight="1">
      <s:c r="A12293" s="102" t="inlineStr"/>
      <s:c r="B12293" s="99" t="n"/>
      <s:c r="C12293" s="99" t="n"/>
      <s:c r="D12293" s="116" t="n"/>
      <s:c r="E12293" s="116" t="n"/>
    </s:row>
    <s:row r="12294" ht="76" customHeight="1">
      <s:c r="A12294" s="83" t="inlineStr">
        <s:is>
          <s:t>Điều kiện tỷ lệ thiếu nguồn (ratio-all)</s:t>
        </s:is>
      </s:c>
      <s:c r="B12294" s="83" t="inlineStr">
        <s:is>
          <s:t>Điều kiện tỷ lệ nhóm ≥65%; để trống bộ nguồn của điều kiện; bấm Lưu rồi đọc response/danh sách. Các phần còn lại dùng fixture của trường hợp.</s:t>
        </s:is>
      </s:c>
      <s:c r="C12294" s="83" t="inlineStr">
        <s:is>
          <s:t>Không lưu được vì thiếu nguồn của trường hợp này; có thông báo thiếu nguồn. Không bỏ điều kiện để lưu hoặc lưu nguồn trống; danh sách rule không đổi.</s:t>
        </s:is>
      </s:c>
      <s:c r="D12294" s="117" t="inlineStr"/>
      <s:c r="E12294" s="118" t="inlineStr">
        <s:is>
          <s:t>Chưa thực hiện</s:t>
        </s:is>
      </s:c>
    </s:row>
    <s:row r="12295" ht="3" customHeight="1">
      <s:c r="A12295" s="102" t="inlineStr"/>
      <s:c r="B12295" s="99" t="n"/>
      <s:c r="C12295" s="99" t="n"/>
      <s:c r="D12295" s="116" t="n"/>
      <s:c r="E12295" s="116" t="n"/>
    </s:row>
    <s:row r="12296" ht="76" customHeight="1">
      <s:c r="A12296" s="83" t="inlineStr">
        <s:is>
          <s:t>Công thức thiếu nguồn (formula-all)</s:t>
        </s:is>
      </s:c>
      <s:c r="B12296" s="83" t="inlineStr">
        <s:is>
          <s:t>Toàn bộ đối tượng; ngưỡng công thức A×0.5; để trống bộ nguồn của công thức; bấm Lưu rồi đọc response/danh sách. Các phần còn lại dùng fixture của trường hợp.</s:t>
        </s:is>
      </s:c>
      <s:c r="C12296" s="83" t="inlineStr">
        <s:is>
          <s:t>Không lưu được vì thiếu nguồn của trường hợp này; có thông báo thiếu nguồn. Không bỏ điều kiện để lưu hoặc lưu nguồn trống; danh sách rule không đổi.</s:t>
        </s:is>
      </s:c>
      <s:c r="D12296" s="117" t="inlineStr"/>
      <s:c r="E12296" s="118" t="inlineStr">
        <s:is>
          <s:t>Chưa thực hiện</s:t>
        </s:is>
      </s:c>
    </s:row>
    <s:row r="12297" ht="20" customHeight="1">
      <s:c r="A12297" s="119" t="inlineStr">
        <s:is>
          <s:t>Ảnh minh chứng — Chưa có ảnh</s:t>
        </s:is>
      </s:c>
      <s:c r="B12297" s="19" t="n"/>
      <s:c r="C12297" s="19" t="n"/>
      <s:c r="D12297" s="19" t="n"/>
      <s:c r="E12297" s="19" t="n"/>
    </s:row>
    <s:row r="12298" hidden="1" ht="1" customHeight="1">
      <s:c r="A12298" s="120" t="inlineStr"/>
      <s:c r="B12298" s="121" t="n"/>
      <s:c r="C12298" s="121" t="n"/>
      <s:c r="D12298" s="121" t="n"/>
      <s:c r="E12298" s="122" t="n"/>
    </s:row>
    <s:row r="12299" hidden="1" ht="1" customHeight="1">
      <s:c r="A12299" s="120" t="inlineStr"/>
      <s:c r="B12299" s="121" t="n"/>
      <s:c r="C12299" s="121" t="n"/>
      <s:c r="D12299" s="121" t="n"/>
      <s:c r="E12299" s="122" t="n"/>
    </s:row>
    <s:row r="12300" hidden="1" ht="1" customHeight="1">
      <s:c r="A12300" s="120" t="inlineStr"/>
      <s:c r="B12300" s="121" t="n"/>
      <s:c r="C12300" s="121" t="n"/>
      <s:c r="D12300" s="121" t="n"/>
      <s:c r="E12300" s="122" t="n"/>
    </s:row>
    <s:row r="12301" hidden="1" ht="1" customHeight="1">
      <s:c r="A12301" s="120" t="inlineStr"/>
      <s:c r="B12301" s="121" t="n"/>
      <s:c r="C12301" s="121" t="n"/>
      <s:c r="D12301" s="121" t="n"/>
      <s:c r="E12301" s="122" t="n"/>
    </s:row>
    <s:row r="12302" hidden="1" ht="1" customHeight="1">
      <s:c r="A12302" s="120" t="inlineStr"/>
      <s:c r="B12302" s="121" t="n"/>
      <s:c r="C12302" s="121" t="n"/>
      <s:c r="D12302" s="121" t="n"/>
      <s:c r="E12302" s="122" t="n"/>
    </s:row>
    <s:row r="12303" hidden="1" ht="1" customHeight="1">
      <s:c r="A12303" s="120" t="inlineStr"/>
      <s:c r="B12303" s="121" t="n"/>
      <s:c r="C12303" s="121" t="n"/>
      <s:c r="D12303" s="121" t="n"/>
      <s:c r="E12303" s="122" t="n"/>
    </s:row>
    <s:row r="12304" hidden="1" ht="1" customHeight="1">
      <s:c r="A12304" s="120" t="inlineStr"/>
      <s:c r="B12304" s="121" t="n"/>
      <s:c r="C12304" s="121" t="n"/>
      <s:c r="D12304" s="121" t="n"/>
      <s:c r="E12304" s="122" t="n"/>
    </s:row>
    <s:row r="12305" hidden="1" ht="1" customHeight="1">
      <s:c r="A12305" s="120" t="inlineStr"/>
      <s:c r="B12305" s="121" t="n"/>
      <s:c r="C12305" s="121" t="n"/>
      <s:c r="D12305" s="121" t="n"/>
      <s:c r="E12305" s="122" t="n"/>
    </s:row>
    <s:row r="12306" hidden="1" ht="1" customHeight="1">
      <s:c r="A12306" s="120" t="inlineStr"/>
      <s:c r="B12306" s="121" t="n"/>
      <s:c r="C12306" s="121" t="n"/>
      <s:c r="D12306" s="121" t="n"/>
      <s:c r="E12306" s="122" t="n"/>
    </s:row>
    <s:row r="12307" hidden="1" ht="1" customHeight="1">
      <s:c r="A12307" s="120" t="inlineStr"/>
      <s:c r="B12307" s="121" t="n"/>
      <s:c r="C12307" s="121" t="n"/>
      <s:c r="D12307" s="121" t="n"/>
      <s:c r="E12307" s="122" t="n"/>
    </s:row>
    <s:row r="12308" hidden="1" ht="1" customHeight="1">
      <s:c r="A12308" s="120" t="inlineStr"/>
      <s:c r="B12308" s="121" t="n"/>
      <s:c r="C12308" s="121" t="n"/>
      <s:c r="D12308" s="121" t="n"/>
      <s:c r="E12308" s="122" t="n"/>
    </s:row>
    <s:row r="12309" hidden="1" ht="1" customHeight="1">
      <s:c r="A12309" s="120" t="inlineStr"/>
      <s:c r="B12309" s="121" t="n"/>
      <s:c r="C12309" s="121" t="n"/>
      <s:c r="D12309" s="121" t="n"/>
      <s:c r="E12309" s="122" t="n"/>
    </s:row>
    <s:row r="12310" hidden="1" ht="1" customHeight="1">
      <s:c r="A12310" s="120" t="inlineStr"/>
      <s:c r="B12310" s="121" t="n"/>
      <s:c r="C12310" s="121" t="n"/>
      <s:c r="D12310" s="121" t="n"/>
      <s:c r="E12310" s="122" t="n"/>
    </s:row>
    <s:row r="12311" hidden="1" ht="1" customHeight="1">
      <s:c r="A12311" s="120" t="inlineStr"/>
      <s:c r="B12311" s="121" t="n"/>
      <s:c r="C12311" s="121" t="n"/>
      <s:c r="D12311" s="121" t="n"/>
      <s:c r="E12311" s="122" t="n"/>
    </s:row>
    <s:row r="12312" hidden="1" ht="1" customHeight="1">
      <s:c r="A12312" s="120" t="inlineStr"/>
      <s:c r="B12312" s="121" t="n"/>
      <s:c r="C12312" s="121" t="n"/>
      <s:c r="D12312" s="121" t="n"/>
      <s:c r="E12312" s="122" t="n"/>
    </s:row>
    <s:row r="12313" hidden="1" ht="1" customHeight="1">
      <s:c r="A12313" s="120" t="inlineStr"/>
      <s:c r="B12313" s="121" t="n"/>
      <s:c r="C12313" s="121" t="n"/>
      <s:c r="D12313" s="121" t="n"/>
      <s:c r="E12313" s="122" t="n"/>
    </s:row>
    <s:row r="12314" hidden="1" ht="1" customHeight="1">
      <s:c r="A12314" s="120" t="inlineStr"/>
      <s:c r="B12314" s="121" t="n"/>
      <s:c r="C12314" s="121" t="n"/>
      <s:c r="D12314" s="121" t="n"/>
      <s:c r="E12314" s="122" t="n"/>
    </s:row>
    <s:row r="12315" hidden="1" ht="1" customHeight="1">
      <s:c r="A12315" s="120" t="inlineStr"/>
      <s:c r="B12315" s="121" t="n"/>
      <s:c r="C12315" s="121" t="n"/>
      <s:c r="D12315" s="121" t="n"/>
      <s:c r="E12315" s="122" t="n"/>
    </s:row>
    <s:row r="12316" hidden="1" ht="1" customHeight="1">
      <s:c r="A12316" s="120" t="inlineStr"/>
      <s:c r="B12316" s="121" t="n"/>
      <s:c r="C12316" s="121" t="n"/>
      <s:c r="D12316" s="121" t="n"/>
      <s:c r="E12316" s="122" t="n"/>
    </s:row>
    <s:row r="12317" hidden="1" ht="1" customHeight="1">
      <s:c r="A12317" s="120" t="inlineStr"/>
      <s:c r="B12317" s="121" t="n"/>
      <s:c r="C12317" s="121" t="n"/>
      <s:c r="D12317" s="121" t="n"/>
      <s:c r="E12317" s="122" t="n"/>
    </s:row>
    <s:row r="12318" hidden="1" ht="1" customHeight="1">
      <s:c r="A12318" s="120" t="inlineStr"/>
      <s:c r="B12318" s="121" t="n"/>
      <s:c r="C12318" s="121" t="n"/>
      <s:c r="D12318" s="121" t="n"/>
      <s:c r="E12318" s="122" t="n"/>
    </s:row>
    <s:row r="12319" hidden="1" ht="1" customHeight="1">
      <s:c r="A12319" s="120" t="inlineStr"/>
      <s:c r="B12319" s="121" t="n"/>
      <s:c r="C12319" s="121" t="n"/>
      <s:c r="D12319" s="121" t="n"/>
      <s:c r="E12319" s="122" t="n"/>
    </s:row>
    <s:row r="12320" hidden="1" ht="1" customHeight="1">
      <s:c r="A12320" s="120" t="inlineStr"/>
      <s:c r="B12320" s="121" t="n"/>
      <s:c r="C12320" s="121" t="n"/>
      <s:c r="D12320" s="121" t="n"/>
      <s:c r="E12320" s="122" t="n"/>
    </s:row>
    <s:row r="12321" hidden="1" ht="1" customHeight="1">
      <s:c r="A12321" s="120" t="inlineStr"/>
      <s:c r="B12321" s="121" t="n"/>
      <s:c r="C12321" s="121" t="n"/>
      <s:c r="D12321" s="121" t="n"/>
      <s:c r="E12321" s="122" t="n"/>
    </s:row>
    <s:row r="12322" hidden="1" ht="1" customHeight="1">
      <s:c r="A12322" s="120" t="inlineStr"/>
      <s:c r="B12322" s="121" t="n"/>
      <s:c r="C12322" s="121" t="n"/>
      <s:c r="D12322" s="121" t="n"/>
      <s:c r="E12322" s="122" t="n"/>
    </s:row>
    <s:row r="12323" hidden="1" ht="1" customHeight="1">
      <s:c r="A12323" s="120" t="inlineStr"/>
      <s:c r="B12323" s="121" t="n"/>
      <s:c r="C12323" s="121" t="n"/>
      <s:c r="D12323" s="121" t="n"/>
      <s:c r="E12323" s="122" t="n"/>
    </s:row>
    <s:row r="12324" hidden="1" ht="1" customHeight="1">
      <s:c r="A12324" s="120" t="inlineStr"/>
      <s:c r="B12324" s="121" t="n"/>
      <s:c r="C12324" s="121" t="n"/>
      <s:c r="D12324" s="121" t="n"/>
      <s:c r="E12324" s="122" t="n"/>
    </s:row>
    <s:row r="12325" hidden="1" ht="1" customHeight="1">
      <s:c r="A12325" s="120" t="inlineStr"/>
      <s:c r="B12325" s="121" t="n"/>
      <s:c r="C12325" s="121" t="n"/>
      <s:c r="D12325" s="121" t="n"/>
      <s:c r="E12325" s="122" t="n"/>
    </s:row>
    <s:row r="12326" hidden="1" ht="1" customHeight="1">
      <s:c r="A12326" s="120" t="inlineStr"/>
      <s:c r="B12326" s="121" t="n"/>
      <s:c r="C12326" s="121" t="n"/>
      <s:c r="D12326" s="121" t="n"/>
      <s:c r="E12326" s="122" t="n"/>
    </s:row>
    <s:row r="12327" hidden="1" ht="1" customHeight="1">
      <s:c r="A12327" s="120" t="inlineStr"/>
      <s:c r="B12327" s="121" t="n"/>
      <s:c r="C12327" s="121" t="n"/>
      <s:c r="D12327" s="121" t="n"/>
      <s:c r="E12327" s="122" t="n"/>
    </s:row>
    <s:row r="12328" hidden="1" ht="1" customHeight="1">
      <s:c r="A12328" s="120" t="inlineStr"/>
      <s:c r="B12328" s="121" t="n"/>
      <s:c r="C12328" s="121" t="n"/>
      <s:c r="D12328" s="121" t="n"/>
      <s:c r="E12328" s="122" t="n"/>
    </s:row>
    <s:row r="12329" hidden="1" ht="1" customHeight="1">
      <s:c r="A12329" s="120" t="inlineStr"/>
      <s:c r="B12329" s="121" t="n"/>
      <s:c r="C12329" s="121" t="n"/>
      <s:c r="D12329" s="121" t="n"/>
      <s:c r="E12329" s="122" t="n"/>
    </s:row>
    <s:row r="12330" hidden="1" ht="1" customHeight="1">
      <s:c r="A12330" s="120" t="inlineStr"/>
      <s:c r="B12330" s="121" t="n"/>
      <s:c r="C12330" s="121" t="n"/>
      <s:c r="D12330" s="121" t="n"/>
      <s:c r="E12330" s="122" t="n"/>
    </s:row>
    <s:row r="12331" hidden="1" ht="1" customHeight="1">
      <s:c r="A12331" s="120" t="inlineStr"/>
      <s:c r="B12331" s="121" t="n"/>
      <s:c r="C12331" s="121" t="n"/>
      <s:c r="D12331" s="121" t="n"/>
      <s:c r="E12331" s="122" t="n"/>
    </s:row>
    <s:row r="12332" hidden="1" ht="1" customHeight="1">
      <s:c r="A12332" s="120" t="inlineStr"/>
      <s:c r="B12332" s="121" t="n"/>
      <s:c r="C12332" s="121" t="n"/>
      <s:c r="D12332" s="121" t="n"/>
      <s:c r="E12332" s="122" t="n"/>
    </s:row>
    <s:row r="12333" hidden="1" ht="1" customHeight="1">
      <s:c r="A12333" s="120" t="inlineStr"/>
      <s:c r="B12333" s="121" t="n"/>
      <s:c r="C12333" s="121" t="n"/>
      <s:c r="D12333" s="121" t="n"/>
      <s:c r="E12333" s="122" t="n"/>
    </s:row>
    <s:row r="12334" hidden="1" ht="1" customHeight="1">
      <s:c r="A12334" s="120" t="inlineStr"/>
      <s:c r="B12334" s="121" t="n"/>
      <s:c r="C12334" s="121" t="n"/>
      <s:c r="D12334" s="121" t="n"/>
      <s:c r="E12334" s="122" t="n"/>
    </s:row>
    <s:row r="12335" hidden="1" ht="1" customHeight="1">
      <s:c r="A12335" s="120" t="inlineStr"/>
      <s:c r="B12335" s="121" t="n"/>
      <s:c r="C12335" s="121" t="n"/>
      <s:c r="D12335" s="121" t="n"/>
      <s:c r="E12335" s="122" t="n"/>
    </s:row>
    <s:row r="12336" hidden="1" ht="1" customHeight="1">
      <s:c r="A12336" s="120" t="inlineStr"/>
      <s:c r="B12336" s="121" t="n"/>
      <s:c r="C12336" s="121" t="n"/>
      <s:c r="D12336" s="121" t="n"/>
      <s:c r="E12336" s="122" t="n"/>
    </s:row>
    <s:row r="12337" hidden="1" ht="1" customHeight="1">
      <s:c r="A12337" s="120" t="inlineStr"/>
      <s:c r="B12337" s="121" t="n"/>
      <s:c r="C12337" s="121" t="n"/>
      <s:c r="D12337" s="121" t="n"/>
      <s:c r="E12337" s="122" t="n"/>
    </s:row>
    <s:row r="12338" hidden="1" ht="1" customHeight="1">
      <s:c r="A12338" s="120" t="inlineStr"/>
      <s:c r="B12338" s="121" t="n"/>
      <s:c r="C12338" s="121" t="n"/>
      <s:c r="D12338" s="121" t="n"/>
      <s:c r="E12338" s="122" t="n"/>
    </s:row>
    <s:row r="12339" hidden="1" ht="1" customHeight="1">
      <s:c r="A12339" s="120" t="inlineStr"/>
      <s:c r="B12339" s="121" t="n"/>
      <s:c r="C12339" s="121" t="n"/>
      <s:c r="D12339" s="121" t="n"/>
      <s:c r="E12339" s="122" t="n"/>
    </s:row>
    <s:row r="12340" hidden="1" ht="1" customHeight="1">
      <s:c r="A12340" s="120" t="inlineStr"/>
      <s:c r="B12340" s="121" t="n"/>
      <s:c r="C12340" s="121" t="n"/>
      <s:c r="D12340" s="121" t="n"/>
      <s:c r="E12340" s="122" t="n"/>
    </s:row>
    <s:row r="12341" hidden="1" ht="1" customHeight="1">
      <s:c r="A12341" s="120" t="inlineStr"/>
      <s:c r="B12341" s="121" t="n"/>
      <s:c r="C12341" s="121" t="n"/>
      <s:c r="D12341" s="121" t="n"/>
      <s:c r="E12341" s="122" t="n"/>
    </s:row>
    <s:row r="12342" hidden="1" ht="1" customHeight="1">
      <s:c r="A12342" s="120" t="inlineStr"/>
      <s:c r="B12342" s="121" t="n"/>
      <s:c r="C12342" s="121" t="n"/>
      <s:c r="D12342" s="121" t="n"/>
      <s:c r="E12342" s="122" t="n"/>
    </s:row>
    <s:row r="12343" hidden="1" ht="1" customHeight="1">
      <s:c r="A12343" s="120" t="inlineStr"/>
      <s:c r="B12343" s="121" t="n"/>
      <s:c r="C12343" s="121" t="n"/>
      <s:c r="D12343" s="121" t="n"/>
      <s:c r="E12343" s="122" t="n"/>
    </s:row>
    <s:row r="12344" hidden="1" ht="1" customHeight="1">
      <s:c r="A12344" s="120" t="inlineStr"/>
      <s:c r="B12344" s="121" t="n"/>
      <s:c r="C12344" s="121" t="n"/>
      <s:c r="D12344" s="121" t="n"/>
      <s:c r="E12344" s="122" t="n"/>
    </s:row>
    <s:row r="12345" hidden="1" ht="1" customHeight="1">
      <s:c r="A12345" s="120" t="inlineStr"/>
      <s:c r="B12345" s="121" t="n"/>
      <s:c r="C12345" s="121" t="n"/>
      <s:c r="D12345" s="121" t="n"/>
      <s:c r="E12345" s="122" t="n"/>
    </s:row>
    <s:row r="12346" hidden="1" ht="1" customHeight="1">
      <s:c r="A12346" s="120" t="inlineStr"/>
      <s:c r="B12346" s="121" t="n"/>
      <s:c r="C12346" s="121" t="n"/>
      <s:c r="D12346" s="121" t="n"/>
      <s:c r="E12346" s="122" t="n"/>
    </s:row>
    <s:row r="12347" hidden="1" ht="1" customHeight="1">
      <s:c r="A12347" s="120" t="inlineStr"/>
      <s:c r="B12347" s="121" t="n"/>
      <s:c r="C12347" s="121" t="n"/>
      <s:c r="D12347" s="121" t="n"/>
      <s:c r="E12347" s="122" t="n"/>
    </s:row>
    <s:row r="12348" hidden="1" ht="1" customHeight="1">
      <s:c r="A12348" s="120" t="inlineStr"/>
      <s:c r="B12348" s="121" t="n"/>
      <s:c r="C12348" s="121" t="n"/>
      <s:c r="D12348" s="121" t="n"/>
      <s:c r="E12348" s="122" t="n"/>
    </s:row>
    <s:row r="12349" hidden="1" ht="1" customHeight="1">
      <s:c r="A12349" s="120" t="inlineStr"/>
      <s:c r="B12349" s="121" t="n"/>
      <s:c r="C12349" s="121" t="n"/>
      <s:c r="D12349" s="121" t="n"/>
      <s:c r="E12349" s="122" t="n"/>
    </s:row>
    <s:row r="12350" hidden="1" ht="1" customHeight="1">
      <s:c r="A12350" s="120" t="inlineStr"/>
      <s:c r="B12350" s="121" t="n"/>
      <s:c r="C12350" s="121" t="n"/>
      <s:c r="D12350" s="121" t="n"/>
      <s:c r="E12350" s="122" t="n"/>
    </s:row>
    <s:row r="12351" hidden="1" ht="1" customHeight="1">
      <s:c r="A12351" s="120" t="inlineStr"/>
      <s:c r="B12351" s="121" t="n"/>
      <s:c r="C12351" s="121" t="n"/>
      <s:c r="D12351" s="121" t="n"/>
      <s:c r="E12351" s="122" t="n"/>
    </s:row>
    <s:row r="12352" hidden="1" ht="1" customHeight="1">
      <s:c r="A12352" s="120" t="inlineStr"/>
      <s:c r="B12352" s="121" t="n"/>
      <s:c r="C12352" s="121" t="n"/>
      <s:c r="D12352" s="121" t="n"/>
      <s:c r="E12352" s="122" t="n"/>
    </s:row>
    <s:row r="12353" hidden="1" ht="1" customHeight="1">
      <s:c r="A12353" s="120" t="inlineStr"/>
      <s:c r="B12353" s="121" t="n"/>
      <s:c r="C12353" s="121" t="n"/>
      <s:c r="D12353" s="121" t="n"/>
      <s:c r="E12353" s="122" t="n"/>
    </s:row>
    <s:row r="12354" hidden="1" ht="1" customHeight="1">
      <s:c r="A12354" s="120" t="inlineStr"/>
      <s:c r="B12354" s="121" t="n"/>
      <s:c r="C12354" s="121" t="n"/>
      <s:c r="D12354" s="121" t="n"/>
      <s:c r="E12354" s="122" t="n"/>
    </s:row>
    <s:row r="12355" hidden="1" ht="1" customHeight="1">
      <s:c r="A12355" s="120" t="inlineStr"/>
      <s:c r="B12355" s="121" t="n"/>
      <s:c r="C12355" s="121" t="n"/>
      <s:c r="D12355" s="121" t="n"/>
      <s:c r="E12355" s="122" t="n"/>
    </s:row>
    <s:row r="12356" hidden="1" ht="1" customHeight="1">
      <s:c r="A12356" s="120" t="inlineStr"/>
      <s:c r="B12356" s="121" t="n"/>
      <s:c r="C12356" s="121" t="n"/>
      <s:c r="D12356" s="121" t="n"/>
      <s:c r="E12356" s="122" t="n"/>
    </s:row>
    <s:row r="12357" hidden="1" ht="1" customHeight="1">
      <s:c r="A12357" s="120" t="inlineStr"/>
      <s:c r="B12357" s="121" t="n"/>
      <s:c r="C12357" s="121" t="n"/>
      <s:c r="D12357" s="121" t="n"/>
      <s:c r="E12357" s="122" t="n"/>
    </s:row>
    <s:row r="12358" hidden="1" ht="1" customHeight="1">
      <s:c r="A12358" s="120" t="inlineStr"/>
      <s:c r="B12358" s="121" t="n"/>
      <s:c r="C12358" s="121" t="n"/>
      <s:c r="D12358" s="121" t="n"/>
      <s:c r="E12358" s="122" t="n"/>
    </s:row>
    <s:row r="12359" hidden="1" ht="1" customHeight="1">
      <s:c r="A12359" s="120" t="inlineStr"/>
      <s:c r="B12359" s="121" t="n"/>
      <s:c r="C12359" s="121" t="n"/>
      <s:c r="D12359" s="121" t="n"/>
      <s:c r="E12359" s="122" t="n"/>
    </s:row>
    <s:row r="12360" hidden="1" ht="1" customHeight="1">
      <s:c r="A12360" s="120" t="inlineStr"/>
      <s:c r="B12360" s="121" t="n"/>
      <s:c r="C12360" s="121" t="n"/>
      <s:c r="D12360" s="121" t="n"/>
      <s:c r="E12360" s="122" t="n"/>
    </s:row>
    <s:row r="12361" hidden="1" ht="1" customHeight="1">
      <s:c r="A12361" s="120" t="inlineStr"/>
      <s:c r="B12361" s="121" t="n"/>
      <s:c r="C12361" s="121" t="n"/>
      <s:c r="D12361" s="121" t="n"/>
      <s:c r="E12361" s="122" t="n"/>
    </s:row>
    <s:row r="12362" hidden="1" ht="1" customHeight="1">
      <s:c r="A12362" s="120" t="inlineStr"/>
      <s:c r="B12362" s="121" t="n"/>
      <s:c r="C12362" s="121" t="n"/>
      <s:c r="D12362" s="121" t="n"/>
      <s:c r="E12362" s="122" t="n"/>
    </s:row>
    <s:row r="12363" hidden="1" ht="1" customHeight="1">
      <s:c r="A12363" s="120" t="inlineStr"/>
      <s:c r="B12363" s="121" t="n"/>
      <s:c r="C12363" s="121" t="n"/>
      <s:c r="D12363" s="121" t="n"/>
      <s:c r="E12363" s="122" t="n"/>
    </s:row>
    <s:row r="12364" hidden="1" ht="1" customHeight="1">
      <s:c r="A12364" s="120" t="inlineStr"/>
      <s:c r="B12364" s="121" t="n"/>
      <s:c r="C12364" s="121" t="n"/>
      <s:c r="D12364" s="121" t="n"/>
      <s:c r="E12364" s="122" t="n"/>
    </s:row>
    <s:row r="12365" hidden="1" ht="1" customHeight="1">
      <s:c r="A12365" s="120" t="inlineStr"/>
      <s:c r="B12365" s="121" t="n"/>
      <s:c r="C12365" s="121" t="n"/>
      <s:c r="D12365" s="121" t="n"/>
      <s:c r="E12365" s="122" t="n"/>
    </s:row>
    <s:row r="12366" hidden="1" ht="1" customHeight="1">
      <s:c r="A12366" s="120" t="inlineStr"/>
      <s:c r="B12366" s="121" t="n"/>
      <s:c r="C12366" s="121" t="n"/>
      <s:c r="D12366" s="121" t="n"/>
      <s:c r="E12366" s="122" t="n"/>
    </s:row>
    <s:row r="12367" hidden="1" ht="1" customHeight="1">
      <s:c r="A12367" s="120" t="inlineStr"/>
      <s:c r="B12367" s="121" t="n"/>
      <s:c r="C12367" s="121" t="n"/>
      <s:c r="D12367" s="121" t="n"/>
      <s:c r="E12367" s="122" t="n"/>
    </s:row>
    <s:row r="12368" hidden="1" ht="1" customHeight="1">
      <s:c r="A12368" s="120" t="inlineStr"/>
      <s:c r="B12368" s="121" t="n"/>
      <s:c r="C12368" s="121" t="n"/>
      <s:c r="D12368" s="121" t="n"/>
      <s:c r="E12368" s="122" t="n"/>
    </s:row>
    <s:row r="12369" hidden="1" ht="1" customHeight="1">
      <s:c r="A12369" s="120" t="inlineStr"/>
      <s:c r="B12369" s="121" t="n"/>
      <s:c r="C12369" s="121" t="n"/>
      <s:c r="D12369" s="121" t="n"/>
      <s:c r="E12369" s="122" t="n"/>
    </s:row>
    <s:row r="12370" hidden="1" ht="1" customHeight="1">
      <s:c r="A12370" s="120" t="inlineStr"/>
      <s:c r="B12370" s="121" t="n"/>
      <s:c r="C12370" s="121" t="n"/>
      <s:c r="D12370" s="121" t="n"/>
      <s:c r="E12370" s="122" t="n"/>
    </s:row>
    <s:row r="12371" hidden="1" ht="1" customHeight="1">
      <s:c r="A12371" s="120" t="inlineStr"/>
      <s:c r="B12371" s="121" t="n"/>
      <s:c r="C12371" s="121" t="n"/>
      <s:c r="D12371" s="121" t="n"/>
      <s:c r="E12371" s="122" t="n"/>
    </s:row>
    <s:row r="12372" hidden="1" ht="1" customHeight="1">
      <s:c r="A12372" s="120" t="inlineStr"/>
      <s:c r="B12372" s="121" t="n"/>
      <s:c r="C12372" s="121" t="n"/>
      <s:c r="D12372" s="121" t="n"/>
      <s:c r="E12372" s="122" t="n"/>
    </s:row>
    <s:row r="12373" hidden="1" ht="1" customHeight="1">
      <s:c r="A12373" s="120" t="inlineStr"/>
      <s:c r="B12373" s="121" t="n"/>
      <s:c r="C12373" s="121" t="n"/>
      <s:c r="D12373" s="121" t="n"/>
      <s:c r="E12373" s="122" t="n"/>
    </s:row>
    <s:row r="12374" hidden="1" ht="1" customHeight="1">
      <s:c r="A12374" s="120" t="inlineStr"/>
      <s:c r="B12374" s="121" t="n"/>
      <s:c r="C12374" s="121" t="n"/>
      <s:c r="D12374" s="121" t="n"/>
      <s:c r="E12374" s="122" t="n"/>
    </s:row>
    <s:row r="12375" hidden="1" ht="1" customHeight="1">
      <s:c r="A12375" s="120" t="inlineStr"/>
      <s:c r="B12375" s="121" t="n"/>
      <s:c r="C12375" s="121" t="n"/>
      <s:c r="D12375" s="121" t="n"/>
      <s:c r="E12375" s="122" t="n"/>
    </s:row>
    <s:row r="12376" hidden="1" ht="1" customHeight="1">
      <s:c r="A12376" s="120" t="inlineStr"/>
      <s:c r="B12376" s="121" t="n"/>
      <s:c r="C12376" s="121" t="n"/>
      <s:c r="D12376" s="121" t="n"/>
      <s:c r="E12376" s="122" t="n"/>
    </s:row>
    <s:row r="12377" hidden="1" ht="1" customHeight="1">
      <s:c r="A12377" s="120" t="inlineStr"/>
      <s:c r="B12377" s="121" t="n"/>
      <s:c r="C12377" s="121" t="n"/>
      <s:c r="D12377" s="121" t="n"/>
      <s:c r="E12377" s="122" t="n"/>
    </s:row>
    <s:row r="12378" hidden="1" ht="1" customHeight="1">
      <s:c r="A12378" s="120" t="inlineStr"/>
      <s:c r="B12378" s="121" t="n"/>
      <s:c r="C12378" s="121" t="n"/>
      <s:c r="D12378" s="121" t="n"/>
      <s:c r="E12378" s="122" t="n"/>
    </s:row>
    <s:row r="12379" hidden="1" ht="1" customHeight="1">
      <s:c r="A12379" s="120" t="inlineStr"/>
      <s:c r="B12379" s="121" t="n"/>
      <s:c r="C12379" s="121" t="n"/>
      <s:c r="D12379" s="121" t="n"/>
      <s:c r="E12379" s="122" t="n"/>
    </s:row>
    <s:row r="12380" hidden="1" ht="1" customHeight="1">
      <s:c r="A12380" s="120" t="inlineStr"/>
      <s:c r="B12380" s="121" t="n"/>
      <s:c r="C12380" s="121" t="n"/>
      <s:c r="D12380" s="121" t="n"/>
      <s:c r="E12380" s="122" t="n"/>
    </s:row>
    <s:row r="12381" hidden="1" ht="1" customHeight="1">
      <s:c r="A12381" s="120" t="inlineStr"/>
      <s:c r="B12381" s="121" t="n"/>
      <s:c r="C12381" s="121" t="n"/>
      <s:c r="D12381" s="121" t="n"/>
      <s:c r="E12381" s="122" t="n"/>
    </s:row>
    <s:row r="12382" hidden="1" ht="1" customHeight="1">
      <s:c r="A12382" s="120" t="inlineStr"/>
      <s:c r="B12382" s="121" t="n"/>
      <s:c r="C12382" s="121" t="n"/>
      <s:c r="D12382" s="121" t="n"/>
      <s:c r="E12382" s="122" t="n"/>
    </s:row>
    <s:row r="12383" hidden="1" ht="1" customHeight="1">
      <s:c r="A12383" s="120" t="inlineStr"/>
      <s:c r="B12383" s="121" t="n"/>
      <s:c r="C12383" s="121" t="n"/>
      <s:c r="D12383" s="121" t="n"/>
      <s:c r="E12383" s="122" t="n"/>
    </s:row>
    <s:row r="12384" hidden="1" ht="1" customHeight="1">
      <s:c r="A12384" s="120" t="inlineStr"/>
      <s:c r="B12384" s="121" t="n"/>
      <s:c r="C12384" s="121" t="n"/>
      <s:c r="D12384" s="121" t="n"/>
      <s:c r="E12384" s="122" t="n"/>
    </s:row>
    <s:row r="12385" hidden="1" ht="1" customHeight="1">
      <s:c r="A12385" s="120" t="inlineStr"/>
      <s:c r="B12385" s="121" t="n"/>
      <s:c r="C12385" s="121" t="n"/>
      <s:c r="D12385" s="121" t="n"/>
      <s:c r="E12385" s="122" t="n"/>
    </s:row>
    <s:row r="12386" hidden="1" ht="1" customHeight="1">
      <s:c r="A12386" s="120" t="inlineStr"/>
      <s:c r="B12386" s="121" t="n"/>
      <s:c r="C12386" s="121" t="n"/>
      <s:c r="D12386" s="121" t="n"/>
      <s:c r="E12386" s="122" t="n"/>
    </s:row>
    <s:row r="12387" hidden="1" ht="1" customHeight="1">
      <s:c r="A12387" s="120" t="inlineStr"/>
      <s:c r="B12387" s="121" t="n"/>
      <s:c r="C12387" s="121" t="n"/>
      <s:c r="D12387" s="121" t="n"/>
      <s:c r="E12387" s="122" t="n"/>
    </s:row>
    <s:row r="12388" hidden="1" ht="1" customHeight="1">
      <s:c r="A12388" s="120" t="inlineStr"/>
      <s:c r="B12388" s="121" t="n"/>
      <s:c r="C12388" s="121" t="n"/>
      <s:c r="D12388" s="121" t="n"/>
      <s:c r="E12388" s="122" t="n"/>
    </s:row>
    <s:row r="12389" hidden="1" ht="1" customHeight="1">
      <s:c r="A12389" s="120" t="inlineStr"/>
      <s:c r="B12389" s="121" t="n"/>
      <s:c r="C12389" s="121" t="n"/>
      <s:c r="D12389" s="121" t="n"/>
      <s:c r="E12389" s="122" t="n"/>
    </s:row>
    <s:row r="12390" hidden="1" ht="1" customHeight="1">
      <s:c r="A12390" s="120" t="inlineStr"/>
      <s:c r="B12390" s="121" t="n"/>
      <s:c r="C12390" s="121" t="n"/>
      <s:c r="D12390" s="121" t="n"/>
      <s:c r="E12390" s="122" t="n"/>
    </s:row>
    <s:row r="12391" hidden="1" ht="1" customHeight="1">
      <s:c r="A12391" s="120" t="inlineStr"/>
      <s:c r="B12391" s="121" t="n"/>
      <s:c r="C12391" s="121" t="n"/>
      <s:c r="D12391" s="121" t="n"/>
      <s:c r="E12391" s="122" t="n"/>
    </s:row>
    <s:row r="12392" hidden="1" ht="1" customHeight="1">
      <s:c r="A12392" s="120" t="inlineStr"/>
      <s:c r="B12392" s="121" t="n"/>
      <s:c r="C12392" s="121" t="n"/>
      <s:c r="D12392" s="121" t="n"/>
      <s:c r="E12392" s="122" t="n"/>
    </s:row>
    <s:row r="12393" hidden="1" ht="1" customHeight="1">
      <s:c r="A12393" s="120" t="inlineStr"/>
      <s:c r="B12393" s="121" t="n"/>
      <s:c r="C12393" s="121" t="n"/>
      <s:c r="D12393" s="121" t="n"/>
      <s:c r="E12393" s="122" t="n"/>
    </s:row>
    <s:row r="12394" hidden="1" ht="1" customHeight="1">
      <s:c r="A12394" s="120" t="inlineStr"/>
      <s:c r="B12394" s="121" t="n"/>
      <s:c r="C12394" s="121" t="n"/>
      <s:c r="D12394" s="121" t="n"/>
      <s:c r="E12394" s="122" t="n"/>
    </s:row>
    <s:row r="12395" hidden="1" ht="1" customHeight="1">
      <s:c r="A12395" s="120" t="inlineStr"/>
      <s:c r="B12395" s="121" t="n"/>
      <s:c r="C12395" s="121" t="n"/>
      <s:c r="D12395" s="121" t="n"/>
      <s:c r="E12395" s="122" t="n"/>
    </s:row>
    <s:row r="12396" hidden="1" ht="1" customHeight="1">
      <s:c r="A12396" s="120" t="inlineStr"/>
      <s:c r="B12396" s="121" t="n"/>
      <s:c r="C12396" s="121" t="n"/>
      <s:c r="D12396" s="121" t="n"/>
      <s:c r="E12396" s="122" t="n"/>
    </s:row>
    <s:row r="12397" hidden="1" ht="1" customHeight="1">
      <s:c r="A12397" s="120" t="inlineStr"/>
      <s:c r="B12397" s="121" t="n"/>
      <s:c r="C12397" s="121" t="n"/>
      <s:c r="D12397" s="121" t="n"/>
      <s:c r="E12397" s="122" t="n"/>
    </s:row>
    <s:row r="12398" hidden="1" ht="1" customHeight="1">
      <s:c r="A12398" s="120" t="inlineStr"/>
      <s:c r="B12398" s="121" t="n"/>
      <s:c r="C12398" s="121" t="n"/>
      <s:c r="D12398" s="121" t="n"/>
      <s:c r="E12398" s="122" t="n"/>
    </s:row>
    <s:row r="12399" hidden="1" ht="1" customHeight="1">
      <s:c r="A12399" s="120" t="inlineStr"/>
      <s:c r="B12399" s="121" t="n"/>
      <s:c r="C12399" s="121" t="n"/>
      <s:c r="D12399" s="121" t="n"/>
      <s:c r="E12399" s="122" t="n"/>
    </s:row>
    <s:row r="12400" hidden="1" ht="1" customHeight="1">
      <s:c r="A12400" s="120" t="inlineStr"/>
      <s:c r="B12400" s="121" t="n"/>
      <s:c r="C12400" s="121" t="n"/>
      <s:c r="D12400" s="121" t="n"/>
      <s:c r="E12400" s="122" t="n"/>
    </s:row>
    <s:row r="12401" hidden="1" ht="1" customHeight="1">
      <s:c r="A12401" s="120" t="inlineStr"/>
      <s:c r="B12401" s="121" t="n"/>
      <s:c r="C12401" s="121" t="n"/>
      <s:c r="D12401" s="121" t="n"/>
      <s:c r="E12401" s="122" t="n"/>
    </s:row>
    <s:row r="12402" hidden="1" ht="1" customHeight="1">
      <s:c r="A12402" s="120" t="inlineStr"/>
      <s:c r="B12402" s="121" t="n"/>
      <s:c r="C12402" s="121" t="n"/>
      <s:c r="D12402" s="121" t="n"/>
      <s:c r="E12402" s="122" t="n"/>
    </s:row>
    <s:row r="12403" hidden="1" ht="1" customHeight="1">
      <s:c r="A12403" s="120" t="inlineStr"/>
      <s:c r="B12403" s="121" t="n"/>
      <s:c r="C12403" s="121" t="n"/>
      <s:c r="D12403" s="121" t="n"/>
      <s:c r="E12403" s="122" t="n"/>
    </s:row>
    <s:row r="12404" hidden="1" ht="1" customHeight="1">
      <s:c r="A12404" s="120" t="inlineStr"/>
      <s:c r="B12404" s="121" t="n"/>
      <s:c r="C12404" s="121" t="n"/>
      <s:c r="D12404" s="121" t="n"/>
      <s:c r="E12404" s="122" t="n"/>
    </s:row>
    <s:row r="12405" hidden="1" ht="1" customHeight="1">
      <s:c r="A12405" s="120" t="inlineStr"/>
      <s:c r="B12405" s="121" t="n"/>
      <s:c r="C12405" s="121" t="n"/>
      <s:c r="D12405" s="121" t="n"/>
      <s:c r="E12405" s="122" t="n"/>
    </s:row>
    <s:row r="12406" hidden="1" ht="1" customHeight="1">
      <s:c r="A12406" s="120" t="inlineStr"/>
      <s:c r="B12406" s="121" t="n"/>
      <s:c r="C12406" s="121" t="n"/>
      <s:c r="D12406" s="121" t="n"/>
      <s:c r="E12406" s="122" t="n"/>
    </s:row>
    <s:row r="12407" hidden="1" ht="1" customHeight="1">
      <s:c r="A12407" s="120" t="inlineStr"/>
      <s:c r="B12407" s="121" t="n"/>
      <s:c r="C12407" s="121" t="n"/>
      <s:c r="D12407" s="121" t="n"/>
      <s:c r="E12407" s="122" t="n"/>
    </s:row>
    <s:row r="12408" hidden="1" ht="1" customHeight="1">
      <s:c r="A12408" s="120" t="inlineStr"/>
      <s:c r="B12408" s="121" t="n"/>
      <s:c r="C12408" s="121" t="n"/>
      <s:c r="D12408" s="121" t="n"/>
      <s:c r="E12408" s="122" t="n"/>
    </s:row>
    <s:row r="12409" hidden="1" ht="1" customHeight="1">
      <s:c r="A12409" s="120" t="inlineStr"/>
      <s:c r="B12409" s="121" t="n"/>
      <s:c r="C12409" s="121" t="n"/>
      <s:c r="D12409" s="121" t="n"/>
      <s:c r="E12409" s="122" t="n"/>
    </s:row>
    <s:row r="12410" hidden="1" ht="1" customHeight="1">
      <s:c r="A12410" s="120" t="inlineStr"/>
      <s:c r="B12410" s="121" t="n"/>
      <s:c r="C12410" s="121" t="n"/>
      <s:c r="D12410" s="121" t="n"/>
      <s:c r="E12410" s="122" t="n"/>
    </s:row>
    <s:row r="12411" hidden="1" ht="1" customHeight="1">
      <s:c r="A12411" s="120" t="inlineStr"/>
      <s:c r="B12411" s="121" t="n"/>
      <s:c r="C12411" s="121" t="n"/>
      <s:c r="D12411" s="121" t="n"/>
      <s:c r="E12411" s="122" t="n"/>
    </s:row>
    <s:row r="12412" hidden="1" ht="1" customHeight="1">
      <s:c r="A12412" s="120" t="inlineStr"/>
      <s:c r="B12412" s="121" t="n"/>
      <s:c r="C12412" s="121" t="n"/>
      <s:c r="D12412" s="121" t="n"/>
      <s:c r="E12412" s="122" t="n"/>
    </s:row>
    <s:row r="12413" hidden="1" ht="1" customHeight="1">
      <s:c r="A12413" s="120" t="inlineStr"/>
      <s:c r="B12413" s="121" t="n"/>
      <s:c r="C12413" s="121" t="n"/>
      <s:c r="D12413" s="121" t="n"/>
      <s:c r="E12413" s="122" t="n"/>
    </s:row>
    <s:row r="12414" hidden="1" ht="1" customHeight="1">
      <s:c r="A12414" s="120" t="inlineStr"/>
      <s:c r="B12414" s="121" t="n"/>
      <s:c r="C12414" s="121" t="n"/>
      <s:c r="D12414" s="121" t="n"/>
      <s:c r="E12414" s="122" t="n"/>
    </s:row>
    <s:row r="12415" hidden="1" ht="1" customHeight="1">
      <s:c r="A12415" s="120" t="inlineStr"/>
      <s:c r="B12415" s="121" t="n"/>
      <s:c r="C12415" s="121" t="n"/>
      <s:c r="D12415" s="121" t="n"/>
      <s:c r="E12415" s="122" t="n"/>
    </s:row>
    <s:row r="12416" hidden="1" ht="1" customHeight="1">
      <s:c r="A12416" s="120" t="inlineStr"/>
      <s:c r="B12416" s="121" t="n"/>
      <s:c r="C12416" s="121" t="n"/>
      <s:c r="D12416" s="121" t="n"/>
      <s:c r="E12416" s="122" t="n"/>
    </s:row>
    <s:row r="12417" hidden="1" ht="1" customHeight="1">
      <s:c r="A12417" s="120" t="inlineStr"/>
      <s:c r="B12417" s="121" t="n"/>
      <s:c r="C12417" s="121" t="n"/>
      <s:c r="D12417" s="121" t="n"/>
      <s:c r="E12417" s="122" t="n"/>
    </s:row>
    <s:row r="12418" hidden="1" ht="1" customHeight="1">
      <s:c r="A12418" s="120" t="inlineStr"/>
      <s:c r="B12418" s="121" t="n"/>
      <s:c r="C12418" s="121" t="n"/>
      <s:c r="D12418" s="121" t="n"/>
      <s:c r="E12418" s="122" t="n"/>
    </s:row>
    <s:row r="12419" hidden="1" ht="1" customHeight="1">
      <s:c r="A12419" s="120" t="inlineStr"/>
      <s:c r="B12419" s="121" t="n"/>
      <s:c r="C12419" s="121" t="n"/>
      <s:c r="D12419" s="121" t="n"/>
      <s:c r="E12419" s="122" t="n"/>
    </s:row>
    <s:row r="12420" hidden="1" ht="1" customHeight="1">
      <s:c r="A12420" s="120" t="inlineStr"/>
      <s:c r="B12420" s="121" t="n"/>
      <s:c r="C12420" s="121" t="n"/>
      <s:c r="D12420" s="121" t="n"/>
      <s:c r="E12420" s="122" t="n"/>
    </s:row>
    <s:row r="12421" hidden="1" ht="1" customHeight="1">
      <s:c r="A12421" s="120" t="inlineStr"/>
      <s:c r="B12421" s="121" t="n"/>
      <s:c r="C12421" s="121" t="n"/>
      <s:c r="D12421" s="121" t="n"/>
      <s:c r="E12421" s="122" t="n"/>
    </s:row>
    <s:row r="12422" hidden="1" ht="1" customHeight="1">
      <s:c r="A12422" s="120" t="inlineStr"/>
      <s:c r="B12422" s="121" t="n"/>
      <s:c r="C12422" s="121" t="n"/>
      <s:c r="D12422" s="121" t="n"/>
      <s:c r="E12422" s="122" t="n"/>
    </s:row>
    <s:row r="12423" hidden="1" ht="1" customHeight="1">
      <s:c r="A12423" s="120" t="inlineStr"/>
      <s:c r="B12423" s="121" t="n"/>
      <s:c r="C12423" s="121" t="n"/>
      <s:c r="D12423" s="121" t="n"/>
      <s:c r="E12423" s="122" t="n"/>
    </s:row>
    <s:row r="12424" hidden="1" ht="1" customHeight="1">
      <s:c r="A12424" s="120" t="inlineStr"/>
      <s:c r="B12424" s="121" t="n"/>
      <s:c r="C12424" s="121" t="n"/>
      <s:c r="D12424" s="121" t="n"/>
      <s:c r="E12424" s="122" t="n"/>
    </s:row>
    <s:row r="12425" hidden="1" ht="1" customHeight="1">
      <s:c r="A12425" s="120" t="inlineStr"/>
      <s:c r="B12425" s="121" t="n"/>
      <s:c r="C12425" s="121" t="n"/>
      <s:c r="D12425" s="121" t="n"/>
      <s:c r="E12425" s="122" t="n"/>
    </s:row>
    <s:row r="12426" hidden="1" ht="1" customHeight="1">
      <s:c r="A12426" s="120" t="inlineStr"/>
      <s:c r="B12426" s="121" t="n"/>
      <s:c r="C12426" s="121" t="n"/>
      <s:c r="D12426" s="121" t="n"/>
      <s:c r="E12426" s="122" t="n"/>
    </s:row>
    <s:row r="12427" hidden="1" ht="1" customHeight="1">
      <s:c r="A12427" s="120" t="inlineStr"/>
      <s:c r="B12427" s="121" t="n"/>
      <s:c r="C12427" s="121" t="n"/>
      <s:c r="D12427" s="121" t="n"/>
      <s:c r="E12427" s="122" t="n"/>
    </s:row>
    <s:row r="12428" hidden="1" ht="1" customHeight="1">
      <s:c r="A12428" s="120" t="inlineStr"/>
      <s:c r="B12428" s="121" t="n"/>
      <s:c r="C12428" s="121" t="n"/>
      <s:c r="D12428" s="121" t="n"/>
      <s:c r="E12428" s="122" t="n"/>
    </s:row>
    <s:row r="12429" hidden="1" ht="1" customHeight="1">
      <s:c r="A12429" s="120" t="inlineStr"/>
      <s:c r="B12429" s="121" t="n"/>
      <s:c r="C12429" s="121" t="n"/>
      <s:c r="D12429" s="121" t="n"/>
      <s:c r="E12429" s="122" t="n"/>
    </s:row>
    <s:row r="12430" hidden="1" ht="1" customHeight="1">
      <s:c r="A12430" s="120" t="inlineStr"/>
      <s:c r="B12430" s="121" t="n"/>
      <s:c r="C12430" s="121" t="n"/>
      <s:c r="D12430" s="121" t="n"/>
      <s:c r="E12430" s="122" t="n"/>
    </s:row>
    <s:row r="12431" hidden="1" ht="1" customHeight="1">
      <s:c r="A12431" s="120" t="inlineStr"/>
      <s:c r="B12431" s="121" t="n"/>
      <s:c r="C12431" s="121" t="n"/>
      <s:c r="D12431" s="121" t="n"/>
      <s:c r="E12431" s="122" t="n"/>
    </s:row>
    <s:row r="12432" hidden="1" ht="1" customHeight="1">
      <s:c r="A12432" s="120" t="inlineStr"/>
      <s:c r="B12432" s="121" t="n"/>
      <s:c r="C12432" s="121" t="n"/>
      <s:c r="D12432" s="121" t="n"/>
      <s:c r="E12432" s="122" t="n"/>
    </s:row>
    <s:row r="12433" hidden="1" ht="1" customHeight="1">
      <s:c r="A12433" s="120" t="inlineStr"/>
      <s:c r="B12433" s="121" t="n"/>
      <s:c r="C12433" s="121" t="n"/>
      <s:c r="D12433" s="121" t="n"/>
      <s:c r="E12433" s="122" t="n"/>
    </s:row>
    <s:row r="12434" hidden="1" ht="1" customHeight="1">
      <s:c r="A12434" s="120" t="inlineStr"/>
      <s:c r="B12434" s="121" t="n"/>
      <s:c r="C12434" s="121" t="n"/>
      <s:c r="D12434" s="121" t="n"/>
      <s:c r="E12434" s="122" t="n"/>
    </s:row>
    <s:row r="12435" hidden="1" ht="1" customHeight="1">
      <s:c r="A12435" s="120" t="inlineStr"/>
      <s:c r="B12435" s="121" t="n"/>
      <s:c r="C12435" s="121" t="n"/>
      <s:c r="D12435" s="121" t="n"/>
      <s:c r="E12435" s="122" t="n"/>
    </s:row>
    <s:row r="12436" hidden="1" ht="1" customHeight="1">
      <s:c r="A12436" s="120" t="inlineStr"/>
      <s:c r="B12436" s="121" t="n"/>
      <s:c r="C12436" s="121" t="n"/>
      <s:c r="D12436" s="121" t="n"/>
      <s:c r="E12436" s="122" t="n"/>
    </s:row>
    <s:row r="12437" hidden="1" ht="1" customHeight="1">
      <s:c r="A12437" s="120" t="inlineStr"/>
      <s:c r="B12437" s="121" t="n"/>
      <s:c r="C12437" s="121" t="n"/>
      <s:c r="D12437" s="121" t="n"/>
      <s:c r="E12437" s="122" t="n"/>
    </s:row>
    <s:row r="12438" hidden="1" ht="1" customHeight="1">
      <s:c r="A12438" s="120" t="inlineStr"/>
      <s:c r="B12438" s="121" t="n"/>
      <s:c r="C12438" s="121" t="n"/>
      <s:c r="D12438" s="121" t="n"/>
      <s:c r="E12438" s="122" t="n"/>
    </s:row>
    <s:row r="12439" hidden="1" ht="1" customHeight="1">
      <s:c r="A12439" s="120" t="inlineStr"/>
      <s:c r="B12439" s="121" t="n"/>
      <s:c r="C12439" s="121" t="n"/>
      <s:c r="D12439" s="121" t="n"/>
      <s:c r="E12439" s="122" t="n"/>
    </s:row>
    <s:row r="12440" hidden="1" ht="1" customHeight="1">
      <s:c r="A12440" s="120" t="inlineStr"/>
      <s:c r="B12440" s="121" t="n"/>
      <s:c r="C12440" s="121" t="n"/>
      <s:c r="D12440" s="121" t="n"/>
      <s:c r="E12440" s="122" t="n"/>
    </s:row>
    <s:row r="12441" hidden="1" ht="1" customHeight="1">
      <s:c r="A12441" s="120" t="inlineStr"/>
      <s:c r="B12441" s="121" t="n"/>
      <s:c r="C12441" s="121" t="n"/>
      <s:c r="D12441" s="121" t="n"/>
      <s:c r="E12441" s="122" t="n"/>
    </s:row>
    <s:row r="12442" hidden="1" ht="1" customHeight="1">
      <s:c r="A12442" s="120" t="inlineStr"/>
      <s:c r="B12442" s="121" t="n"/>
      <s:c r="C12442" s="121" t="n"/>
      <s:c r="D12442" s="121" t="n"/>
      <s:c r="E12442" s="122" t="n"/>
    </s:row>
    <s:row r="12443" hidden="1" ht="1" customHeight="1">
      <s:c r="A12443" s="120" t="inlineStr"/>
      <s:c r="B12443" s="121" t="n"/>
      <s:c r="C12443" s="121" t="n"/>
      <s:c r="D12443" s="121" t="n"/>
      <s:c r="E12443" s="122" t="n"/>
    </s:row>
    <s:row r="12444" hidden="1" ht="1" customHeight="1">
      <s:c r="A12444" s="120" t="inlineStr"/>
      <s:c r="B12444" s="121" t="n"/>
      <s:c r="C12444" s="121" t="n"/>
      <s:c r="D12444" s="121" t="n"/>
      <s:c r="E12444" s="122" t="n"/>
    </s:row>
    <s:row r="12445" hidden="1" ht="1" customHeight="1">
      <s:c r="A12445" s="120" t="inlineStr"/>
      <s:c r="B12445" s="121" t="n"/>
      <s:c r="C12445" s="121" t="n"/>
      <s:c r="D12445" s="121" t="n"/>
      <s:c r="E12445" s="122" t="n"/>
    </s:row>
    <s:row r="12446" hidden="1" ht="1" customHeight="1">
      <s:c r="A12446" s="120" t="inlineStr"/>
      <s:c r="B12446" s="121" t="n"/>
      <s:c r="C12446" s="121" t="n"/>
      <s:c r="D12446" s="121" t="n"/>
      <s:c r="E12446" s="122" t="n"/>
    </s:row>
    <s:row r="12447" hidden="1" ht="1" customHeight="1">
      <s:c r="A12447" s="120" t="inlineStr"/>
      <s:c r="B12447" s="121" t="n"/>
      <s:c r="C12447" s="121" t="n"/>
      <s:c r="D12447" s="121" t="n"/>
      <s:c r="E12447" s="122" t="n"/>
    </s:row>
    <s:row r="12448" hidden="1" ht="1" customHeight="1">
      <s:c r="A12448" s="120" t="inlineStr"/>
      <s:c r="B12448" s="121" t="n"/>
      <s:c r="C12448" s="121" t="n"/>
      <s:c r="D12448" s="121" t="n"/>
      <s:c r="E12448" s="122" t="n"/>
    </s:row>
    <s:row r="12449" hidden="1" ht="1" customHeight="1">
      <s:c r="A12449" s="120" t="inlineStr"/>
      <s:c r="B12449" s="121" t="n"/>
      <s:c r="C12449" s="121" t="n"/>
      <s:c r="D12449" s="121" t="n"/>
      <s:c r="E12449" s="122" t="n"/>
    </s:row>
    <s:row r="12450" hidden="1" ht="1" customHeight="1">
      <s:c r="A12450" s="120" t="inlineStr"/>
      <s:c r="B12450" s="121" t="n"/>
      <s:c r="C12450" s="121" t="n"/>
      <s:c r="D12450" s="121" t="n"/>
      <s:c r="E12450" s="122" t="n"/>
    </s:row>
    <s:row r="12451" hidden="1" ht="1" customHeight="1">
      <s:c r="A12451" s="120" t="inlineStr"/>
      <s:c r="B12451" s="121" t="n"/>
      <s:c r="C12451" s="121" t="n"/>
      <s:c r="D12451" s="121" t="n"/>
      <s:c r="E12451" s="122" t="n"/>
    </s:row>
    <s:row r="12452" hidden="1" ht="1" customHeight="1">
      <s:c r="A12452" s="120" t="inlineStr"/>
      <s:c r="B12452" s="121" t="n"/>
      <s:c r="C12452" s="121" t="n"/>
      <s:c r="D12452" s="121" t="n"/>
      <s:c r="E12452" s="122" t="n"/>
    </s:row>
    <s:row r="12453" hidden="1" ht="1" customHeight="1">
      <s:c r="A12453" s="120" t="inlineStr"/>
      <s:c r="B12453" s="121" t="n"/>
      <s:c r="C12453" s="121" t="n"/>
      <s:c r="D12453" s="121" t="n"/>
      <s:c r="E12453" s="122" t="n"/>
    </s:row>
    <s:row r="12454" hidden="1" ht="1" customHeight="1">
      <s:c r="A12454" s="120" t="inlineStr"/>
      <s:c r="B12454" s="121" t="n"/>
      <s:c r="C12454" s="121" t="n"/>
      <s:c r="D12454" s="121" t="n"/>
      <s:c r="E12454" s="122" t="n"/>
    </s:row>
    <s:row r="12455" hidden="1" ht="1" customHeight="1">
      <s:c r="A12455" s="120" t="inlineStr"/>
      <s:c r="B12455" s="121" t="n"/>
      <s:c r="C12455" s="121" t="n"/>
      <s:c r="D12455" s="121" t="n"/>
      <s:c r="E12455" s="122" t="n"/>
    </s:row>
    <s:row r="12456" hidden="1" ht="1" customHeight="1">
      <s:c r="A12456" s="120" t="inlineStr"/>
      <s:c r="B12456" s="121" t="n"/>
      <s:c r="C12456" s="121" t="n"/>
      <s:c r="D12456" s="121" t="n"/>
      <s:c r="E12456" s="122" t="n"/>
    </s:row>
    <s:row r="12457" hidden="1" ht="1" customHeight="1">
      <s:c r="A12457" s="120" t="inlineStr"/>
      <s:c r="B12457" s="121" t="n"/>
      <s:c r="C12457" s="121" t="n"/>
      <s:c r="D12457" s="121" t="n"/>
      <s:c r="E12457" s="122" t="n"/>
    </s:row>
    <s:row r="12458" hidden="1" ht="1" customHeight="1">
      <s:c r="A12458" s="120" t="inlineStr"/>
      <s:c r="B12458" s="121" t="n"/>
      <s:c r="C12458" s="121" t="n"/>
      <s:c r="D12458" s="121" t="n"/>
      <s:c r="E12458" s="122" t="n"/>
    </s:row>
    <s:row r="12459" hidden="1" ht="1" customHeight="1">
      <s:c r="A12459" s="120" t="inlineStr"/>
      <s:c r="B12459" s="121" t="n"/>
      <s:c r="C12459" s="121" t="n"/>
      <s:c r="D12459" s="121" t="n"/>
      <s:c r="E12459" s="122" t="n"/>
    </s:row>
    <s:row r="12460" hidden="1" ht="1" customHeight="1">
      <s:c r="A12460" s="120" t="inlineStr"/>
      <s:c r="B12460" s="121" t="n"/>
      <s:c r="C12460" s="121" t="n"/>
      <s:c r="D12460" s="121" t="n"/>
      <s:c r="E12460" s="122" t="n"/>
    </s:row>
    <s:row r="12461" hidden="1" ht="1" customHeight="1">
      <s:c r="A12461" s="120" t="inlineStr"/>
      <s:c r="B12461" s="121" t="n"/>
      <s:c r="C12461" s="121" t="n"/>
      <s:c r="D12461" s="121" t="n"/>
      <s:c r="E12461" s="122" t="n"/>
    </s:row>
    <s:row r="12462" hidden="1" ht="1" customHeight="1">
      <s:c r="A12462" s="120" t="inlineStr"/>
      <s:c r="B12462" s="121" t="n"/>
      <s:c r="C12462" s="121" t="n"/>
      <s:c r="D12462" s="121" t="n"/>
      <s:c r="E12462" s="122" t="n"/>
    </s:row>
    <s:row r="12463" hidden="1" ht="1" customHeight="1">
      <s:c r="A12463" s="120" t="inlineStr"/>
      <s:c r="B12463" s="121" t="n"/>
      <s:c r="C12463" s="121" t="n"/>
      <s:c r="D12463" s="121" t="n"/>
      <s:c r="E12463" s="122" t="n"/>
    </s:row>
    <s:row r="12464" hidden="1" ht="1" customHeight="1">
      <s:c r="A12464" s="120" t="inlineStr"/>
      <s:c r="B12464" s="121" t="n"/>
      <s:c r="C12464" s="121" t="n"/>
      <s:c r="D12464" s="121" t="n"/>
      <s:c r="E12464" s="122" t="n"/>
    </s:row>
    <s:row r="12465" hidden="1" ht="1" customHeight="1">
      <s:c r="A12465" s="120" t="inlineStr"/>
      <s:c r="B12465" s="121" t="n"/>
      <s:c r="C12465" s="121" t="n"/>
      <s:c r="D12465" s="121" t="n"/>
      <s:c r="E12465" s="122" t="n"/>
    </s:row>
    <s:row r="12466" hidden="1" ht="1" customHeight="1">
      <s:c r="A12466" s="120" t="inlineStr"/>
      <s:c r="B12466" s="121" t="n"/>
      <s:c r="C12466" s="121" t="n"/>
      <s:c r="D12466" s="121" t="n"/>
      <s:c r="E12466" s="122" t="n"/>
    </s:row>
    <s:row r="12467" hidden="1" ht="1" customHeight="1">
      <s:c r="A12467" s="120" t="inlineStr"/>
      <s:c r="B12467" s="121" t="n"/>
      <s:c r="C12467" s="121" t="n"/>
      <s:c r="D12467" s="121" t="n"/>
      <s:c r="E12467" s="122" t="n"/>
    </s:row>
    <s:row r="12468" hidden="1" ht="1" customHeight="1">
      <s:c r="A12468" s="120" t="inlineStr"/>
      <s:c r="B12468" s="121" t="n"/>
      <s:c r="C12468" s="121" t="n"/>
      <s:c r="D12468" s="121" t="n"/>
      <s:c r="E12468" s="122" t="n"/>
    </s:row>
    <s:row r="12469" hidden="1" ht="1" customHeight="1">
      <s:c r="A12469" s="120" t="inlineStr"/>
      <s:c r="B12469" s="121" t="n"/>
      <s:c r="C12469" s="121" t="n"/>
      <s:c r="D12469" s="121" t="n"/>
      <s:c r="E12469" s="122" t="n"/>
    </s:row>
    <s:row r="12470" hidden="1" ht="1" customHeight="1">
      <s:c r="A12470" s="120" t="inlineStr"/>
      <s:c r="B12470" s="121" t="n"/>
      <s:c r="C12470" s="121" t="n"/>
      <s:c r="D12470" s="121" t="n"/>
      <s:c r="E12470" s="122" t="n"/>
    </s:row>
    <s:row r="12471" hidden="1" ht="1" customHeight="1">
      <s:c r="A12471" s="120" t="inlineStr"/>
      <s:c r="B12471" s="121" t="n"/>
      <s:c r="C12471" s="121" t="n"/>
      <s:c r="D12471" s="121" t="n"/>
      <s:c r="E12471" s="122" t="n"/>
    </s:row>
    <s:row r="12472" hidden="1" ht="1" customHeight="1">
      <s:c r="A12472" s="120" t="inlineStr"/>
      <s:c r="B12472" s="121" t="n"/>
      <s:c r="C12472" s="121" t="n"/>
      <s:c r="D12472" s="121" t="n"/>
      <s:c r="E12472" s="122" t="n"/>
    </s:row>
    <s:row r="12473" hidden="1" ht="1" customHeight="1">
      <s:c r="A12473" s="120" t="inlineStr"/>
      <s:c r="B12473" s="121" t="n"/>
      <s:c r="C12473" s="121" t="n"/>
      <s:c r="D12473" s="121" t="n"/>
      <s:c r="E12473" s="122" t="n"/>
    </s:row>
    <s:row r="12474" hidden="1" ht="1" customHeight="1">
      <s:c r="A12474" s="120" t="inlineStr"/>
      <s:c r="B12474" s="121" t="n"/>
      <s:c r="C12474" s="121" t="n"/>
      <s:c r="D12474" s="121" t="n"/>
      <s:c r="E12474" s="122" t="n"/>
    </s:row>
    <s:row r="12475" hidden="1" ht="1" customHeight="1">
      <s:c r="A12475" s="120" t="inlineStr"/>
      <s:c r="B12475" s="121" t="n"/>
      <s:c r="C12475" s="121" t="n"/>
      <s:c r="D12475" s="121" t="n"/>
      <s:c r="E12475" s="122" t="n"/>
    </s:row>
    <s:row r="12476" hidden="1" ht="1" customHeight="1">
      <s:c r="A12476" s="120" t="inlineStr"/>
      <s:c r="B12476" s="121" t="n"/>
      <s:c r="C12476" s="121" t="n"/>
      <s:c r="D12476" s="121" t="n"/>
      <s:c r="E12476" s="122" t="n"/>
    </s:row>
    <s:row r="12477" hidden="1" ht="1" customHeight="1">
      <s:c r="A12477" s="120" t="inlineStr"/>
      <s:c r="B12477" s="121" t="n"/>
      <s:c r="C12477" s="121" t="n"/>
      <s:c r="D12477" s="121" t="n"/>
      <s:c r="E12477" s="122" t="n"/>
    </s:row>
    <s:row r="12478" hidden="1" ht="1" customHeight="1">
      <s:c r="A12478" s="120" t="inlineStr"/>
      <s:c r="B12478" s="121" t="n"/>
      <s:c r="C12478" s="121" t="n"/>
      <s:c r="D12478" s="121" t="n"/>
      <s:c r="E12478" s="122" t="n"/>
    </s:row>
    <s:row r="12479" hidden="1" ht="1" customHeight="1">
      <s:c r="A12479" s="120" t="inlineStr"/>
      <s:c r="B12479" s="121" t="n"/>
      <s:c r="C12479" s="121" t="n"/>
      <s:c r="D12479" s="121" t="n"/>
      <s:c r="E12479" s="122" t="n"/>
    </s:row>
    <s:row r="12480" hidden="1" ht="1" customHeight="1">
      <s:c r="A12480" s="120" t="inlineStr"/>
      <s:c r="B12480" s="121" t="n"/>
      <s:c r="C12480" s="121" t="n"/>
      <s:c r="D12480" s="121" t="n"/>
      <s:c r="E12480" s="122" t="n"/>
    </s:row>
    <s:row r="12481" hidden="1" ht="1" customHeight="1">
      <s:c r="A12481" s="120" t="inlineStr"/>
      <s:c r="B12481" s="121" t="n"/>
      <s:c r="C12481" s="121" t="n"/>
      <s:c r="D12481" s="121" t="n"/>
      <s:c r="E12481" s="122" t="n"/>
    </s:row>
    <s:row r="12482" hidden="1" ht="1" customHeight="1">
      <s:c r="A12482" s="120" t="inlineStr"/>
      <s:c r="B12482" s="121" t="n"/>
      <s:c r="C12482" s="121" t="n"/>
      <s:c r="D12482" s="121" t="n"/>
      <s:c r="E12482" s="122" t="n"/>
    </s:row>
    <s:row r="12483" hidden="1" ht="1" customHeight="1">
      <s:c r="A12483" s="120" t="inlineStr"/>
      <s:c r="B12483" s="121" t="n"/>
      <s:c r="C12483" s="121" t="n"/>
      <s:c r="D12483" s="121" t="n"/>
      <s:c r="E12483" s="122" t="n"/>
    </s:row>
    <s:row r="12484" hidden="1" ht="1" customHeight="1">
      <s:c r="A12484" s="120" t="inlineStr"/>
      <s:c r="B12484" s="121" t="n"/>
      <s:c r="C12484" s="121" t="n"/>
      <s:c r="D12484" s="121" t="n"/>
      <s:c r="E12484" s="122" t="n"/>
    </s:row>
    <s:row r="12485" hidden="1" ht="1" customHeight="1">
      <s:c r="A12485" s="120" t="inlineStr"/>
      <s:c r="B12485" s="121" t="n"/>
      <s:c r="C12485" s="121" t="n"/>
      <s:c r="D12485" s="121" t="n"/>
      <s:c r="E12485" s="122" t="n"/>
    </s:row>
    <s:row r="12486" hidden="1" ht="1" customHeight="1">
      <s:c r="A12486" s="120" t="inlineStr"/>
      <s:c r="B12486" s="121" t="n"/>
      <s:c r="C12486" s="121" t="n"/>
      <s:c r="D12486" s="121" t="n"/>
      <s:c r="E12486" s="122" t="n"/>
    </s:row>
    <s:row r="12487" hidden="1" ht="1" customHeight="1">
      <s:c r="A12487" s="120" t="inlineStr"/>
      <s:c r="B12487" s="121" t="n"/>
      <s:c r="C12487" s="121" t="n"/>
      <s:c r="D12487" s="121" t="n"/>
      <s:c r="E12487" s="122" t="n"/>
    </s:row>
    <s:row r="12488" hidden="1" ht="1" customHeight="1">
      <s:c r="A12488" s="120" t="inlineStr"/>
      <s:c r="B12488" s="121" t="n"/>
      <s:c r="C12488" s="121" t="n"/>
      <s:c r="D12488" s="121" t="n"/>
      <s:c r="E12488" s="122" t="n"/>
    </s:row>
    <s:row r="12489" hidden="1" ht="1" customHeight="1">
      <s:c r="A12489" s="120" t="inlineStr"/>
      <s:c r="B12489" s="121" t="n"/>
      <s:c r="C12489" s="121" t="n"/>
      <s:c r="D12489" s="121" t="n"/>
      <s:c r="E12489" s="122" t="n"/>
    </s:row>
    <s:row r="12490" hidden="1" ht="1" customHeight="1">
      <s:c r="A12490" s="120" t="inlineStr"/>
      <s:c r="B12490" s="121" t="n"/>
      <s:c r="C12490" s="121" t="n"/>
      <s:c r="D12490" s="121" t="n"/>
      <s:c r="E12490" s="122" t="n"/>
    </s:row>
    <s:row r="12491" hidden="1" ht="1" customHeight="1">
      <s:c r="A12491" s="120" t="inlineStr"/>
      <s:c r="B12491" s="121" t="n"/>
      <s:c r="C12491" s="121" t="n"/>
      <s:c r="D12491" s="121" t="n"/>
      <s:c r="E12491" s="122" t="n"/>
    </s:row>
    <s:row r="12492" hidden="1" ht="1" customHeight="1">
      <s:c r="A12492" s="120" t="inlineStr"/>
      <s:c r="B12492" s="121" t="n"/>
      <s:c r="C12492" s="121" t="n"/>
      <s:c r="D12492" s="121" t="n"/>
      <s:c r="E12492" s="122" t="n"/>
    </s:row>
    <s:row r="12493" hidden="1" ht="1" customHeight="1">
      <s:c r="A12493" s="120" t="inlineStr"/>
      <s:c r="B12493" s="121" t="n"/>
      <s:c r="C12493" s="121" t="n"/>
      <s:c r="D12493" s="121" t="n"/>
      <s:c r="E12493" s="122" t="n"/>
    </s:row>
    <s:row r="12494" hidden="1" ht="1" customHeight="1">
      <s:c r="A12494" s="120" t="inlineStr"/>
      <s:c r="B12494" s="121" t="n"/>
      <s:c r="C12494" s="121" t="n"/>
      <s:c r="D12494" s="121" t="n"/>
      <s:c r="E12494" s="122" t="n"/>
    </s:row>
    <s:row r="12495" hidden="1" ht="1" customHeight="1">
      <s:c r="A12495" s="120" t="inlineStr"/>
      <s:c r="B12495" s="121" t="n"/>
      <s:c r="C12495" s="121" t="n"/>
      <s:c r="D12495" s="121" t="n"/>
      <s:c r="E12495" s="122" t="n"/>
    </s:row>
    <s:row r="12496" hidden="1" ht="1" customHeight="1">
      <s:c r="A12496" s="120" t="inlineStr"/>
      <s:c r="B12496" s="121" t="n"/>
      <s:c r="C12496" s="121" t="n"/>
      <s:c r="D12496" s="121" t="n"/>
      <s:c r="E12496" s="122" t="n"/>
    </s:row>
    <s:row r="12497" hidden="1" ht="1" customHeight="1">
      <s:c r="A12497" s="120" t="inlineStr"/>
      <s:c r="B12497" s="121" t="n"/>
      <s:c r="C12497" s="121" t="n"/>
      <s:c r="D12497" s="121" t="n"/>
      <s:c r="E12497" s="122" t="n"/>
    </s:row>
    <s:row r="12498" hidden="1" ht="1" customHeight="1">
      <s:c r="A12498" s="120" t="inlineStr"/>
      <s:c r="B12498" s="121" t="n"/>
      <s:c r="C12498" s="121" t="n"/>
      <s:c r="D12498" s="121" t="n"/>
      <s:c r="E12498" s="122" t="n"/>
    </s:row>
    <s:row r="12499" hidden="1" ht="1" customHeight="1">
      <s:c r="A12499" s="120" t="inlineStr"/>
      <s:c r="B12499" s="121" t="n"/>
      <s:c r="C12499" s="121" t="n"/>
      <s:c r="D12499" s="121" t="n"/>
      <s:c r="E12499" s="122" t="n"/>
    </s:row>
    <s:row r="12500" hidden="1" ht="1" customHeight="1">
      <s:c r="A12500" s="120" t="inlineStr"/>
      <s:c r="B12500" s="121" t="n"/>
      <s:c r="C12500" s="121" t="n"/>
      <s:c r="D12500" s="121" t="n"/>
      <s:c r="E12500" s="122" t="n"/>
    </s:row>
    <s:row r="12501" hidden="1" ht="1" customHeight="1">
      <s:c r="A12501" s="120" t="inlineStr"/>
      <s:c r="B12501" s="121" t="n"/>
      <s:c r="C12501" s="121" t="n"/>
      <s:c r="D12501" s="121" t="n"/>
      <s:c r="E12501" s="122" t="n"/>
    </s:row>
    <s:row r="12502" hidden="1" ht="1" customHeight="1">
      <s:c r="A12502" s="120" t="inlineStr"/>
      <s:c r="B12502" s="121" t="n"/>
      <s:c r="C12502" s="121" t="n"/>
      <s:c r="D12502" s="121" t="n"/>
      <s:c r="E12502" s="122" t="n"/>
    </s:row>
    <s:row r="12503" hidden="1" ht="1" customHeight="1">
      <s:c r="A12503" s="120" t="inlineStr"/>
      <s:c r="B12503" s="121" t="n"/>
      <s:c r="C12503" s="121" t="n"/>
      <s:c r="D12503" s="121" t="n"/>
      <s:c r="E12503" s="122" t="n"/>
    </s:row>
    <s:row r="12504" hidden="1" ht="1" customHeight="1">
      <s:c r="A12504" s="120" t="inlineStr"/>
      <s:c r="B12504" s="121" t="n"/>
      <s:c r="C12504" s="121" t="n"/>
      <s:c r="D12504" s="121" t="n"/>
      <s:c r="E12504" s="122" t="n"/>
    </s:row>
    <s:row r="12505" hidden="1" ht="1" customHeight="1">
      <s:c r="A12505" s="120" t="inlineStr"/>
      <s:c r="B12505" s="121" t="n"/>
      <s:c r="C12505" s="121" t="n"/>
      <s:c r="D12505" s="121" t="n"/>
      <s:c r="E12505" s="122" t="n"/>
    </s:row>
    <s:row r="12506" hidden="1" ht="1" customHeight="1">
      <s:c r="A12506" s="120" t="inlineStr"/>
      <s:c r="B12506" s="121" t="n"/>
      <s:c r="C12506" s="121" t="n"/>
      <s:c r="D12506" s="121" t="n"/>
      <s:c r="E12506" s="122" t="n"/>
    </s:row>
    <s:row r="12507" hidden="1" ht="1" customHeight="1">
      <s:c r="A12507" s="120" t="inlineStr"/>
      <s:c r="B12507" s="121" t="n"/>
      <s:c r="C12507" s="121" t="n"/>
      <s:c r="D12507" s="121" t="n"/>
      <s:c r="E12507" s="122" t="n"/>
    </s:row>
    <s:row r="12508" hidden="1" ht="1" customHeight="1">
      <s:c r="A12508" s="120" t="inlineStr"/>
      <s:c r="B12508" s="121" t="n"/>
      <s:c r="C12508" s="121" t="n"/>
      <s:c r="D12508" s="121" t="n"/>
      <s:c r="E12508" s="122" t="n"/>
    </s:row>
    <s:row r="12509" hidden="1" ht="1" customHeight="1">
      <s:c r="A12509" s="120" t="inlineStr"/>
      <s:c r="B12509" s="121" t="n"/>
      <s:c r="C12509" s="121" t="n"/>
      <s:c r="D12509" s="121" t="n"/>
      <s:c r="E12509" s="122" t="n"/>
    </s:row>
    <s:row r="12510" hidden="1" ht="1" customHeight="1">
      <s:c r="A12510" s="120" t="inlineStr"/>
      <s:c r="B12510" s="121" t="n"/>
      <s:c r="C12510" s="121" t="n"/>
      <s:c r="D12510" s="121" t="n"/>
      <s:c r="E12510" s="122" t="n"/>
    </s:row>
    <s:row r="12511" hidden="1" ht="1" customHeight="1">
      <s:c r="A12511" s="120" t="inlineStr"/>
      <s:c r="B12511" s="121" t="n"/>
      <s:c r="C12511" s="121" t="n"/>
      <s:c r="D12511" s="121" t="n"/>
      <s:c r="E12511" s="122" t="n"/>
    </s:row>
    <s:row r="12512" hidden="1" ht="1" customHeight="1">
      <s:c r="A12512" s="120" t="inlineStr"/>
      <s:c r="B12512" s="121" t="n"/>
      <s:c r="C12512" s="121" t="n"/>
      <s:c r="D12512" s="121" t="n"/>
      <s:c r="E12512" s="122" t="n"/>
    </s:row>
    <s:row r="12513" hidden="1" ht="1" customHeight="1">
      <s:c r="A12513" s="120" t="inlineStr"/>
      <s:c r="B12513" s="121" t="n"/>
      <s:c r="C12513" s="121" t="n"/>
      <s:c r="D12513" s="121" t="n"/>
      <s:c r="E12513" s="122" t="n"/>
    </s:row>
    <s:row r="12514" hidden="1" ht="1" customHeight="1">
      <s:c r="A12514" s="120" t="inlineStr"/>
      <s:c r="B12514" s="121" t="n"/>
      <s:c r="C12514" s="121" t="n"/>
      <s:c r="D12514" s="121" t="n"/>
      <s:c r="E12514" s="122" t="n"/>
    </s:row>
    <s:row r="12515" hidden="1" ht="1" customHeight="1">
      <s:c r="A12515" s="120" t="inlineStr"/>
      <s:c r="B12515" s="121" t="n"/>
      <s:c r="C12515" s="121" t="n"/>
      <s:c r="D12515" s="121" t="n"/>
      <s:c r="E12515" s="122" t="n"/>
    </s:row>
    <s:row r="12516" hidden="1" ht="1" customHeight="1">
      <s:c r="A12516" s="120" t="inlineStr"/>
      <s:c r="B12516" s="121" t="n"/>
      <s:c r="C12516" s="121" t="n"/>
      <s:c r="D12516" s="121" t="n"/>
      <s:c r="E12516" s="122" t="n"/>
    </s:row>
    <s:row r="12517" hidden="1" ht="1" customHeight="1">
      <s:c r="A12517" s="120" t="inlineStr"/>
      <s:c r="B12517" s="121" t="n"/>
      <s:c r="C12517" s="121" t="n"/>
      <s:c r="D12517" s="121" t="n"/>
      <s:c r="E12517" s="122" t="n"/>
    </s:row>
    <s:row r="12518" hidden="1" ht="1" customHeight="1">
      <s:c r="A12518" s="120" t="inlineStr"/>
      <s:c r="B12518" s="121" t="n"/>
      <s:c r="C12518" s="121" t="n"/>
      <s:c r="D12518" s="121" t="n"/>
      <s:c r="E12518" s="122" t="n"/>
    </s:row>
    <s:row r="12519" hidden="1" ht="1" customHeight="1">
      <s:c r="A12519" s="120" t="inlineStr"/>
      <s:c r="B12519" s="121" t="n"/>
      <s:c r="C12519" s="121" t="n"/>
      <s:c r="D12519" s="121" t="n"/>
      <s:c r="E12519" s="122" t="n"/>
    </s:row>
    <s:row r="12520" hidden="1" ht="1" customHeight="1">
      <s:c r="A12520" s="120" t="inlineStr"/>
      <s:c r="B12520" s="121" t="n"/>
      <s:c r="C12520" s="121" t="n"/>
      <s:c r="D12520" s="121" t="n"/>
      <s:c r="E12520" s="122" t="n"/>
    </s:row>
    <s:row r="12521" hidden="1" ht="1" customHeight="1">
      <s:c r="A12521" s="120" t="inlineStr"/>
      <s:c r="B12521" s="121" t="n"/>
      <s:c r="C12521" s="121" t="n"/>
      <s:c r="D12521" s="121" t="n"/>
      <s:c r="E12521" s="122" t="n"/>
    </s:row>
    <s:row r="12522" hidden="1" ht="1" customHeight="1">
      <s:c r="A12522" s="120" t="inlineStr"/>
      <s:c r="B12522" s="121" t="n"/>
      <s:c r="C12522" s="121" t="n"/>
      <s:c r="D12522" s="121" t="n"/>
      <s:c r="E12522" s="122" t="n"/>
    </s:row>
    <s:row r="12523" hidden="1" ht="1" customHeight="1">
      <s:c r="A12523" s="120" t="inlineStr"/>
      <s:c r="B12523" s="121" t="n"/>
      <s:c r="C12523" s="121" t="n"/>
      <s:c r="D12523" s="121" t="n"/>
      <s:c r="E12523" s="122" t="n"/>
    </s:row>
    <s:row r="12524" hidden="1" ht="1" customHeight="1">
      <s:c r="A12524" s="120" t="inlineStr"/>
      <s:c r="B12524" s="121" t="n"/>
      <s:c r="C12524" s="121" t="n"/>
      <s:c r="D12524" s="121" t="n"/>
      <s:c r="E12524" s="122" t="n"/>
    </s:row>
    <s:row r="12525" hidden="1" ht="1" customHeight="1">
      <s:c r="A12525" s="120" t="inlineStr"/>
      <s:c r="B12525" s="121" t="n"/>
      <s:c r="C12525" s="121" t="n"/>
      <s:c r="D12525" s="121" t="n"/>
      <s:c r="E12525" s="122" t="n"/>
    </s:row>
    <s:row r="12526" hidden="1" ht="1" customHeight="1">
      <s:c r="A12526" s="120" t="inlineStr"/>
      <s:c r="B12526" s="121" t="n"/>
      <s:c r="C12526" s="121" t="n"/>
      <s:c r="D12526" s="121" t="n"/>
      <s:c r="E12526" s="122" t="n"/>
    </s:row>
    <s:row r="12527" hidden="1" ht="1" customHeight="1">
      <s:c r="A12527" s="120" t="inlineStr"/>
      <s:c r="B12527" s="121" t="n"/>
      <s:c r="C12527" s="121" t="n"/>
      <s:c r="D12527" s="121" t="n"/>
      <s:c r="E12527" s="122" t="n"/>
    </s:row>
    <s:row r="12528" hidden="1" ht="1" customHeight="1">
      <s:c r="A12528" s="120" t="inlineStr"/>
      <s:c r="B12528" s="121" t="n"/>
      <s:c r="C12528" s="121" t="n"/>
      <s:c r="D12528" s="121" t="n"/>
      <s:c r="E12528" s="122" t="n"/>
    </s:row>
    <s:row r="12529" hidden="1" ht="1" customHeight="1">
      <s:c r="A12529" s="120" t="inlineStr"/>
      <s:c r="B12529" s="121" t="n"/>
      <s:c r="C12529" s="121" t="n"/>
      <s:c r="D12529" s="121" t="n"/>
      <s:c r="E12529" s="122" t="n"/>
    </s:row>
    <s:row r="12530" hidden="1" ht="1" customHeight="1">
      <s:c r="A12530" s="120" t="inlineStr"/>
      <s:c r="B12530" s="121" t="n"/>
      <s:c r="C12530" s="121" t="n"/>
      <s:c r="D12530" s="121" t="n"/>
      <s:c r="E12530" s="122" t="n"/>
    </s:row>
    <s:row r="12531" hidden="1" ht="1" customHeight="1">
      <s:c r="A12531" s="120" t="inlineStr"/>
      <s:c r="B12531" s="121" t="n"/>
      <s:c r="C12531" s="121" t="n"/>
      <s:c r="D12531" s="121" t="n"/>
      <s:c r="E12531" s="122" t="n"/>
    </s:row>
    <s:row r="12532" hidden="1" ht="1" customHeight="1">
      <s:c r="A12532" s="120" t="inlineStr"/>
      <s:c r="B12532" s="121" t="n"/>
      <s:c r="C12532" s="121" t="n"/>
      <s:c r="D12532" s="121" t="n"/>
      <s:c r="E12532" s="122" t="n"/>
    </s:row>
    <s:row r="12533" hidden="1" ht="1" customHeight="1">
      <s:c r="A12533" s="120" t="inlineStr"/>
      <s:c r="B12533" s="121" t="n"/>
      <s:c r="C12533" s="121" t="n"/>
      <s:c r="D12533" s="121" t="n"/>
      <s:c r="E12533" s="122" t="n"/>
    </s:row>
    <s:row r="12534" hidden="1" ht="1" customHeight="1">
      <s:c r="A12534" s="120" t="inlineStr"/>
      <s:c r="B12534" s="121" t="n"/>
      <s:c r="C12534" s="121" t="n"/>
      <s:c r="D12534" s="121" t="n"/>
      <s:c r="E12534" s="122" t="n"/>
    </s:row>
    <s:row r="12535" hidden="1" ht="1" customHeight="1">
      <s:c r="A12535" s="120" t="inlineStr"/>
      <s:c r="B12535" s="121" t="n"/>
      <s:c r="C12535" s="121" t="n"/>
      <s:c r="D12535" s="121" t="n"/>
      <s:c r="E12535" s="122" t="n"/>
    </s:row>
    <s:row r="12536" hidden="1" ht="1" customHeight="1">
      <s:c r="A12536" s="120" t="inlineStr"/>
      <s:c r="B12536" s="121" t="n"/>
      <s:c r="C12536" s="121" t="n"/>
      <s:c r="D12536" s="121" t="n"/>
      <s:c r="E12536" s="122" t="n"/>
    </s:row>
    <s:row r="12537" hidden="1" ht="1" customHeight="1">
      <s:c r="A12537" s="120" t="inlineStr"/>
      <s:c r="B12537" s="121" t="n"/>
      <s:c r="C12537" s="121" t="n"/>
      <s:c r="D12537" s="121" t="n"/>
      <s:c r="E12537" s="122" t="n"/>
    </s:row>
    <s:row r="12538" hidden="1" ht="1" customHeight="1">
      <s:c r="A12538" s="120" t="inlineStr"/>
      <s:c r="B12538" s="121" t="n"/>
      <s:c r="C12538" s="121" t="n"/>
      <s:c r="D12538" s="121" t="n"/>
      <s:c r="E12538" s="122" t="n"/>
    </s:row>
    <s:row r="12539" hidden="1" ht="1" customHeight="1">
      <s:c r="A12539" s="120" t="inlineStr"/>
      <s:c r="B12539" s="121" t="n"/>
      <s:c r="C12539" s="121" t="n"/>
      <s:c r="D12539" s="121" t="n"/>
      <s:c r="E12539" s="122" t="n"/>
    </s:row>
    <s:row r="12540" hidden="1" ht="1" customHeight="1">
      <s:c r="A12540" s="120" t="inlineStr"/>
      <s:c r="B12540" s="121" t="n"/>
      <s:c r="C12540" s="121" t="n"/>
      <s:c r="D12540" s="121" t="n"/>
      <s:c r="E12540" s="122" t="n"/>
    </s:row>
    <s:row r="12541" hidden="1" ht="1" customHeight="1">
      <s:c r="A12541" s="120" t="inlineStr"/>
      <s:c r="B12541" s="121" t="n"/>
      <s:c r="C12541" s="121" t="n"/>
      <s:c r="D12541" s="121" t="n"/>
      <s:c r="E12541" s="122" t="n"/>
    </s:row>
    <s:row r="12542" hidden="1" ht="1" customHeight="1">
      <s:c r="A12542" s="120" t="inlineStr"/>
      <s:c r="B12542" s="121" t="n"/>
      <s:c r="C12542" s="121" t="n"/>
      <s:c r="D12542" s="121" t="n"/>
      <s:c r="E12542" s="122" t="n"/>
    </s:row>
    <s:row r="12543" hidden="1" ht="1" customHeight="1">
      <s:c r="A12543" s="120" t="inlineStr"/>
      <s:c r="B12543" s="121" t="n"/>
      <s:c r="C12543" s="121" t="n"/>
      <s:c r="D12543" s="121" t="n"/>
      <s:c r="E12543" s="122" t="n"/>
    </s:row>
    <s:row r="12544" hidden="1" ht="1" customHeight="1">
      <s:c r="A12544" s="120" t="inlineStr"/>
      <s:c r="B12544" s="121" t="n"/>
      <s:c r="C12544" s="121" t="n"/>
      <s:c r="D12544" s="121" t="n"/>
      <s:c r="E12544" s="122" t="n"/>
    </s:row>
    <s:row r="12545" hidden="1" ht="1" customHeight="1">
      <s:c r="A12545" s="120" t="inlineStr"/>
      <s:c r="B12545" s="121" t="n"/>
      <s:c r="C12545" s="121" t="n"/>
      <s:c r="D12545" s="121" t="n"/>
      <s:c r="E12545" s="122" t="n"/>
    </s:row>
    <s:row r="12546" hidden="1" ht="1" customHeight="1">
      <s:c r="A12546" s="120" t="inlineStr"/>
      <s:c r="B12546" s="121" t="n"/>
      <s:c r="C12546" s="121" t="n"/>
      <s:c r="D12546" s="121" t="n"/>
      <s:c r="E12546" s="122" t="n"/>
    </s:row>
    <s:row r="12547" hidden="1" ht="1" customHeight="1">
      <s:c r="A12547" s="120" t="inlineStr"/>
      <s:c r="B12547" s="121" t="n"/>
      <s:c r="C12547" s="121" t="n"/>
      <s:c r="D12547" s="121" t="n"/>
      <s:c r="E12547" s="122" t="n"/>
    </s:row>
    <s:row r="12548" hidden="1" ht="1" customHeight="1">
      <s:c r="A12548" s="120" t="inlineStr"/>
      <s:c r="B12548" s="121" t="n"/>
      <s:c r="C12548" s="121" t="n"/>
      <s:c r="D12548" s="121" t="n"/>
      <s:c r="E12548" s="122" t="n"/>
    </s:row>
    <s:row r="12549" hidden="1" ht="1" customHeight="1">
      <s:c r="A12549" s="120" t="inlineStr"/>
      <s:c r="B12549" s="121" t="n"/>
      <s:c r="C12549" s="121" t="n"/>
      <s:c r="D12549" s="121" t="n"/>
      <s:c r="E12549" s="122" t="n"/>
    </s:row>
    <s:row r="12550" hidden="1" ht="1" customHeight="1">
      <s:c r="A12550" s="120" t="inlineStr"/>
      <s:c r="B12550" s="121" t="n"/>
      <s:c r="C12550" s="121" t="n"/>
      <s:c r="D12550" s="121" t="n"/>
      <s:c r="E12550" s="122" t="n"/>
    </s:row>
    <s:row r="12551" hidden="1" ht="1" customHeight="1">
      <s:c r="A12551" s="120" t="inlineStr"/>
      <s:c r="B12551" s="121" t="n"/>
      <s:c r="C12551" s="121" t="n"/>
      <s:c r="D12551" s="121" t="n"/>
      <s:c r="E12551" s="122" t="n"/>
    </s:row>
    <s:row r="12552" hidden="1" ht="1" customHeight="1">
      <s:c r="A12552" s="120" t="inlineStr"/>
      <s:c r="B12552" s="121" t="n"/>
      <s:c r="C12552" s="121" t="n"/>
      <s:c r="D12552" s="121" t="n"/>
      <s:c r="E12552" s="122" t="n"/>
    </s:row>
    <s:row r="12553" hidden="1" ht="1" customHeight="1">
      <s:c r="A12553" s="120" t="inlineStr"/>
      <s:c r="B12553" s="121" t="n"/>
      <s:c r="C12553" s="121" t="n"/>
      <s:c r="D12553" s="121" t="n"/>
      <s:c r="E12553" s="122" t="n"/>
    </s:row>
    <s:row r="12554" hidden="1" ht="1" customHeight="1">
      <s:c r="A12554" s="120" t="inlineStr"/>
      <s:c r="B12554" s="121" t="n"/>
      <s:c r="C12554" s="121" t="n"/>
      <s:c r="D12554" s="121" t="n"/>
      <s:c r="E12554" s="122" t="n"/>
    </s:row>
    <s:row r="12555" hidden="1" ht="1" customHeight="1">
      <s:c r="A12555" s="120" t="inlineStr"/>
      <s:c r="B12555" s="121" t="n"/>
      <s:c r="C12555" s="121" t="n"/>
      <s:c r="D12555" s="121" t="n"/>
      <s:c r="E12555" s="122" t="n"/>
    </s:row>
    <s:row r="12556" hidden="1" ht="1" customHeight="1">
      <s:c r="A12556" s="120" t="inlineStr"/>
      <s:c r="B12556" s="121" t="n"/>
      <s:c r="C12556" s="121" t="n"/>
      <s:c r="D12556" s="121" t="n"/>
      <s:c r="E12556" s="122" t="n"/>
    </s:row>
    <s:row r="12557" hidden="1" ht="1" customHeight="1">
      <s:c r="A12557" s="120" t="inlineStr"/>
      <s:c r="B12557" s="121" t="n"/>
      <s:c r="C12557" s="121" t="n"/>
      <s:c r="D12557" s="121" t="n"/>
      <s:c r="E12557" s="122" t="n"/>
    </s:row>
    <s:row r="12558" hidden="1" ht="1" customHeight="1">
      <s:c r="A12558" s="120" t="inlineStr"/>
      <s:c r="B12558" s="121" t="n"/>
      <s:c r="C12558" s="121" t="n"/>
      <s:c r="D12558" s="121" t="n"/>
      <s:c r="E12558" s="122" t="n"/>
    </s:row>
    <s:row r="12559" hidden="1" ht="1" customHeight="1">
      <s:c r="A12559" s="120" t="inlineStr"/>
      <s:c r="B12559" s="121" t="n"/>
      <s:c r="C12559" s="121" t="n"/>
      <s:c r="D12559" s="121" t="n"/>
      <s:c r="E12559" s="122" t="n"/>
    </s:row>
    <s:row r="12560" hidden="1" ht="1" customHeight="1">
      <s:c r="A12560" s="120" t="inlineStr"/>
      <s:c r="B12560" s="121" t="n"/>
      <s:c r="C12560" s="121" t="n"/>
      <s:c r="D12560" s="121" t="n"/>
      <s:c r="E12560" s="122" t="n"/>
    </s:row>
    <s:row r="12561" hidden="1" ht="1" customHeight="1">
      <s:c r="A12561" s="120" t="inlineStr"/>
      <s:c r="B12561" s="121" t="n"/>
      <s:c r="C12561" s="121" t="n"/>
      <s:c r="D12561" s="121" t="n"/>
      <s:c r="E12561" s="122" t="n"/>
    </s:row>
    <s:row r="12562" hidden="1" ht="1" customHeight="1">
      <s:c r="A12562" s="120" t="inlineStr"/>
      <s:c r="B12562" s="121" t="n"/>
      <s:c r="C12562" s="121" t="n"/>
      <s:c r="D12562" s="121" t="n"/>
      <s:c r="E12562" s="122" t="n"/>
    </s:row>
    <s:row r="12563" hidden="1" ht="1" customHeight="1">
      <s:c r="A12563" s="120" t="inlineStr"/>
      <s:c r="B12563" s="121" t="n"/>
      <s:c r="C12563" s="121" t="n"/>
      <s:c r="D12563" s="121" t="n"/>
      <s:c r="E12563" s="122" t="n"/>
    </s:row>
    <s:row r="12564" hidden="1" ht="1" customHeight="1">
      <s:c r="A12564" s="120" t="inlineStr"/>
      <s:c r="B12564" s="121" t="n"/>
      <s:c r="C12564" s="121" t="n"/>
      <s:c r="D12564" s="121" t="n"/>
      <s:c r="E12564" s="122" t="n"/>
    </s:row>
    <s:row r="12565" hidden="1" ht="1" customHeight="1">
      <s:c r="A12565" s="120" t="inlineStr"/>
      <s:c r="B12565" s="121" t="n"/>
      <s:c r="C12565" s="121" t="n"/>
      <s:c r="D12565" s="121" t="n"/>
      <s:c r="E12565" s="122" t="n"/>
    </s:row>
    <s:row r="12566" hidden="1" ht="1" customHeight="1">
      <s:c r="A12566" s="120" t="inlineStr"/>
      <s:c r="B12566" s="121" t="n"/>
      <s:c r="C12566" s="121" t="n"/>
      <s:c r="D12566" s="121" t="n"/>
      <s:c r="E12566" s="122" t="n"/>
    </s:row>
    <s:row r="12567" hidden="1" ht="1" customHeight="1">
      <s:c r="A12567" s="120" t="inlineStr"/>
      <s:c r="B12567" s="121" t="n"/>
      <s:c r="C12567" s="121" t="n"/>
      <s:c r="D12567" s="121" t="n"/>
      <s:c r="E12567" s="122" t="n"/>
    </s:row>
    <s:row r="12568" hidden="1" ht="1" customHeight="1">
      <s:c r="A12568" s="120" t="inlineStr"/>
      <s:c r="B12568" s="121" t="n"/>
      <s:c r="C12568" s="121" t="n"/>
      <s:c r="D12568" s="121" t="n"/>
      <s:c r="E12568" s="122" t="n"/>
    </s:row>
    <s:row r="12569" hidden="1" ht="1" customHeight="1">
      <s:c r="A12569" s="120" t="inlineStr"/>
      <s:c r="B12569" s="121" t="n"/>
      <s:c r="C12569" s="121" t="n"/>
      <s:c r="D12569" s="121" t="n"/>
      <s:c r="E12569" s="122" t="n"/>
    </s:row>
    <s:row r="12570" hidden="1" ht="1" customHeight="1">
      <s:c r="A12570" s="120" t="inlineStr"/>
      <s:c r="B12570" s="121" t="n"/>
      <s:c r="C12570" s="121" t="n"/>
      <s:c r="D12570" s="121" t="n"/>
      <s:c r="E12570" s="122" t="n"/>
    </s:row>
    <s:row r="12571" hidden="1" ht="1" customHeight="1">
      <s:c r="A12571" s="120" t="inlineStr"/>
      <s:c r="B12571" s="121" t="n"/>
      <s:c r="C12571" s="121" t="n"/>
      <s:c r="D12571" s="121" t="n"/>
      <s:c r="E12571" s="122" t="n"/>
    </s:row>
    <s:row r="12572" hidden="1" ht="1" customHeight="1">
      <s:c r="A12572" s="120" t="inlineStr"/>
      <s:c r="B12572" s="121" t="n"/>
      <s:c r="C12572" s="121" t="n"/>
      <s:c r="D12572" s="121" t="n"/>
      <s:c r="E12572" s="122" t="n"/>
    </s:row>
    <s:row r="12573" hidden="1" ht="1" customHeight="1">
      <s:c r="A12573" s="120" t="inlineStr"/>
      <s:c r="B12573" s="121" t="n"/>
      <s:c r="C12573" s="121" t="n"/>
      <s:c r="D12573" s="121" t="n"/>
      <s:c r="E12573" s="122" t="n"/>
    </s:row>
    <s:row r="12574" hidden="1" ht="1" customHeight="1">
      <s:c r="A12574" s="120" t="inlineStr"/>
      <s:c r="B12574" s="121" t="n"/>
      <s:c r="C12574" s="121" t="n"/>
      <s:c r="D12574" s="121" t="n"/>
      <s:c r="E12574" s="122" t="n"/>
    </s:row>
    <s:row r="12575" hidden="1" ht="1" customHeight="1">
      <s:c r="A12575" s="120" t="inlineStr"/>
      <s:c r="B12575" s="121" t="n"/>
      <s:c r="C12575" s="121" t="n"/>
      <s:c r="D12575" s="121" t="n"/>
      <s:c r="E12575" s="122" t="n"/>
    </s:row>
    <s:row r="12576" hidden="1" ht="1" customHeight="1">
      <s:c r="A12576" s="120" t="inlineStr"/>
      <s:c r="B12576" s="121" t="n"/>
      <s:c r="C12576" s="121" t="n"/>
      <s:c r="D12576" s="121" t="n"/>
      <s:c r="E12576" s="122" t="n"/>
    </s:row>
    <s:row r="12577" hidden="1" ht="1" customHeight="1">
      <s:c r="A12577" s="120" t="inlineStr"/>
      <s:c r="B12577" s="121" t="n"/>
      <s:c r="C12577" s="121" t="n"/>
      <s:c r="D12577" s="121" t="n"/>
      <s:c r="E12577" s="122" t="n"/>
    </s:row>
    <s:row r="12578" hidden="1" ht="1" customHeight="1">
      <s:c r="A12578" s="120" t="inlineStr"/>
      <s:c r="B12578" s="121" t="n"/>
      <s:c r="C12578" s="121" t="n"/>
      <s:c r="D12578" s="121" t="n"/>
      <s:c r="E12578" s="122" t="n"/>
    </s:row>
    <s:row r="12579" hidden="1" ht="1" customHeight="1">
      <s:c r="A12579" s="120" t="inlineStr"/>
      <s:c r="B12579" s="121" t="n"/>
      <s:c r="C12579" s="121" t="n"/>
      <s:c r="D12579" s="121" t="n"/>
      <s:c r="E12579" s="122" t="n"/>
    </s:row>
    <s:row r="12580" hidden="1" ht="1" customHeight="1">
      <s:c r="A12580" s="120" t="inlineStr"/>
      <s:c r="B12580" s="121" t="n"/>
      <s:c r="C12580" s="121" t="n"/>
      <s:c r="D12580" s="121" t="n"/>
      <s:c r="E12580" s="122" t="n"/>
    </s:row>
    <s:row r="12581" hidden="1" ht="1" customHeight="1">
      <s:c r="A12581" s="120" t="inlineStr"/>
      <s:c r="B12581" s="121" t="n"/>
      <s:c r="C12581" s="121" t="n"/>
      <s:c r="D12581" s="121" t="n"/>
      <s:c r="E12581" s="122" t="n"/>
    </s:row>
    <s:row r="12582" hidden="1" ht="1" customHeight="1">
      <s:c r="A12582" s="120" t="inlineStr"/>
      <s:c r="B12582" s="121" t="n"/>
      <s:c r="C12582" s="121" t="n"/>
      <s:c r="D12582" s="121" t="n"/>
      <s:c r="E12582" s="122" t="n"/>
    </s:row>
    <s:row r="12583" hidden="1" ht="1" customHeight="1">
      <s:c r="A12583" s="120" t="inlineStr"/>
      <s:c r="B12583" s="121" t="n"/>
      <s:c r="C12583" s="121" t="n"/>
      <s:c r="D12583" s="121" t="n"/>
      <s:c r="E12583" s="122" t="n"/>
    </s:row>
    <s:row r="12584" hidden="1" ht="1" customHeight="1">
      <s:c r="A12584" s="120" t="inlineStr"/>
      <s:c r="B12584" s="121" t="n"/>
      <s:c r="C12584" s="121" t="n"/>
      <s:c r="D12584" s="121" t="n"/>
      <s:c r="E12584" s="122" t="n"/>
    </s:row>
    <s:row r="12585" hidden="1" ht="1" customHeight="1">
      <s:c r="A12585" s="120" t="inlineStr"/>
      <s:c r="B12585" s="121" t="n"/>
      <s:c r="C12585" s="121" t="n"/>
      <s:c r="D12585" s="121" t="n"/>
      <s:c r="E12585" s="122" t="n"/>
    </s:row>
    <s:row r="12586" hidden="1" ht="1" customHeight="1">
      <s:c r="A12586" s="83" t="inlineStr">
        <s:is>
          <s:t>PASS</s:t>
        </s:is>
      </s:c>
      <s:c r="B12586" s="83">
        <s:f>SUM(IF(EXACT('Kiểm thử'!E12286,"Đạt"),1,0),IF(EXACT('Kiểm thử'!E12288,"Đạt"),1,0),IF(EXACT('Kiểm thử'!E12290,"Đạt"),1,0),IF(EXACT('Kiểm thử'!E12292,"Đạt"),1,0),IF(EXACT('Kiểm thử'!E12294,"Đạt"),1,0),IF(EXACT('Kiểm thử'!E12296,"Đạt"),1,0))</s:f>
        <s:v/>
      </s:c>
      <s:c r="C12586" s="19" t="n"/>
      <s:c r="D12586" s="19" t="n"/>
      <s:c r="E12586" s="19" t="n"/>
    </s:row>
    <s:row r="12587" hidden="1" ht="1" customHeight="1">
      <s:c r="A12587" s="83" t="inlineStr">
        <s:is>
          <s:t>FAIL</s:t>
        </s:is>
      </s:c>
      <s:c r="B12587" s="83">
        <s:f>SUM(IF(EXACT('Kiểm thử'!E12286,"Không đạt"),1,0),IF(EXACT('Kiểm thử'!E12288,"Không đạt"),1,0),IF(EXACT('Kiểm thử'!E12290,"Không đạt"),1,0),IF(EXACT('Kiểm thử'!E12292,"Không đạt"),1,0),IF(EXACT('Kiểm thử'!E12294,"Không đạt"),1,0),IF(EXACT('Kiểm thử'!E12296,"Không đạt"),1,0))</s:f>
        <s:v/>
      </s:c>
      <s:c r="C12587" s="19" t="n"/>
      <s:c r="D12587" s="19" t="n"/>
      <s:c r="E12587" s="19" t="n"/>
    </s:row>
    <s:row r="12588" hidden="1" ht="1" customHeight="1">
      <s:c r="A12588" s="83" t="inlineStr">
        <s:is>
          <s:t>BLOCKED</s:t>
        </s:is>
      </s:c>
      <s:c r="B12588" s="83">
        <s:f>SUM(IF(EXACT('Kiểm thử'!E12286,"Bị chặn"),1,0),IF(EXACT('Kiểm thử'!E12288,"Bị chặn"),1,0),IF(EXACT('Kiểm thử'!E12290,"Bị chặn"),1,0),IF(EXACT('Kiểm thử'!E12292,"Bị chặn"),1,0),IF(EXACT('Kiểm thử'!E12294,"Bị chặn"),1,0),IF(EXACT('Kiểm thử'!E12296,"Bị chặn"),1,0))</s:f>
        <s:v/>
      </s:c>
      <s:c r="C12588" s="19" t="n"/>
      <s:c r="D12588" s="19" t="n"/>
      <s:c r="E12588" s="19" t="n"/>
    </s:row>
    <s:row r="12589" hidden="1" ht="1" customHeight="1">
      <s:c r="A12589" s="83" t="inlineStr">
        <s:is>
          <s:t>SKIPPED</s:t>
        </s:is>
      </s:c>
      <s:c r="B12589" s="83">
        <s:f>SUM(IF(EXACT('Kiểm thử'!E12286,"Không thực hiện"),1,0),IF(EXACT('Kiểm thử'!E12288,"Không thực hiện"),1,0),IF(EXACT('Kiểm thử'!E12290,"Không thực hiện"),1,0),IF(EXACT('Kiểm thử'!E12292,"Không thực hiện"),1,0),IF(EXACT('Kiểm thử'!E12294,"Không thực hiện"),1,0),IF(EXACT('Kiểm thử'!E12296,"Không thực hiện"),1,0))</s:f>
        <s:v/>
      </s:c>
      <s:c r="C12589" s="19" t="n"/>
      <s:c r="D12589" s="19" t="n"/>
      <s:c r="E12589" s="19" t="n"/>
    </s:row>
    <s:row r="12590" hidden="1" ht="1" customHeight="1">
      <s:c r="A12590" s="83" t="inlineStr">
        <s:is>
          <s:t>NOT RUN</s:t>
        </s:is>
      </s:c>
      <s:c r="B12590" s="83">
        <s:f>SUM(IF(EXACT('Kiểm thử'!E12286,"Chưa thực hiện"),1,0),IF(EXACT('Kiểm thử'!E12288,"Chưa thực hiện"),1,0),IF(EXACT('Kiểm thử'!E12290,"Chưa thực hiện"),1,0),IF(EXACT('Kiểm thử'!E12292,"Chưa thực hiện"),1,0),IF(EXACT('Kiểm thử'!E12294,"Chưa thực hiện"),1,0),IF(EXACT('Kiểm thử'!E12296,"Chưa thực hiện"),1,0))</s:f>
        <s:v/>
      </s:c>
      <s:c r="C12590" s="19" t="n"/>
      <s:c r="D12590" s="19" t="n"/>
      <s:c r="E12590" s="19" t="n"/>
    </s:row>
    <s:row r="12591" hidden="1" ht="6" customHeight="1">
      <s:c r="A12591" s="83" t="inlineStr"/>
      <s:c r="B12591" s="19" t="n"/>
      <s:c r="C12591" s="19" t="n"/>
      <s:c r="D12591" s="19" t="n"/>
      <s:c r="E12591" s="19" t="n"/>
    </s:row>
    <s:row r="12592" ht="28" customHeight="1">
      <s:c r="A12592" s="108" t="inlineStr">
        <s:is>
          <s:t>TC-RS-VAL-025 — Server từ chối lưu nhóm tham chiếu không khả dụng hoặc ngoài trường/năm</s:t>
        </s:is>
      </s:c>
      <s:c r="B12592" s="111" t="n"/>
      <s:c r="C12592" s="111" t="n"/>
      <s:c r="D12592" s="111" t="n"/>
      <s:c r="E12592" s="111" t="n"/>
    </s:row>
    <s:row r="12593" ht="20" customHeight="1">
      <s:c r="A12593" s="112" t="inlineStr">
        <s:is>
          <s:t>Kết quả tình huống</s:t>
        </s:is>
      </s:c>
      <s:c r="B12593" s="113">
        <s:f>IF(SUM(IF(EXACT('Kiểm thử'!E12602,"Không đạt"),1,0),IF(EXACT('Kiểm thử'!E12604,"Không đạt"),1,0),IF(EXACT('Kiểm thử'!E12606,"Không đạt"),1,0),IF(EXACT('Kiểm thử'!E12608,"Không đạt"),1,0),IF(EXACT('Kiểm thử'!E12610,"Không đạt"),1,0),IF(EXACT('Kiểm thử'!E12612,"Không đạt"),1,0),IF(EXACT('Kiểm thử'!E12614,"Không đạt"),1,0),IF(EXACT('Kiểm thử'!E12616,"Không đạt"),1,0))&gt;0,"Không đạt",IF(SUM(IF(EXACT('Kiểm thử'!E12602,"Đạt"),1,0),IF(EXACT('Kiểm thử'!E12604,"Đạt"),1,0),IF(EXACT('Kiểm thử'!E12606,"Đạt"),1,0),IF(EXACT('Kiểm thử'!E12608,"Đạt"),1,0),IF(EXACT('Kiểm thử'!E12610,"Đạt"),1,0),IF(EXACT('Kiểm thử'!E12612,"Đạt"),1,0),IF(EXACT('Kiểm thử'!E12614,"Đạt"),1,0),IF(EXACT('Kiểm thử'!E12616,"Đạt"),1,0))=8,"Đạt",IF(SUM(IF(EXACT('Kiểm thử'!E12602,"Không thực hiện"),1,0),IF(EXACT('Kiểm thử'!E12604,"Không thực hiện"),1,0),IF(EXACT('Kiểm thử'!E12606,"Không thực hiện"),1,0),IF(EXACT('Kiểm thử'!E12608,"Không thực hiện"),1,0),IF(EXACT('Kiểm thử'!E12610,"Không thực hiện"),1,0),IF(EXACT('Kiểm thử'!E12612,"Không thực hiện"),1,0),IF(EXACT('Kiểm thử'!E12614,"Không thực hiện"),1,0),IF(EXACT('Kiểm thử'!E12616,"Không thực hiện"),1,0))=8,"Không thực hiện",IF(SUM(IF(EXACT('Kiểm thử'!E12602,"Bị chặn"),1,0),IF(EXACT('Kiểm thử'!E12604,"Bị chặn"),1,0),IF(EXACT('Kiểm thử'!E12606,"Bị chặn"),1,0),IF(EXACT('Kiểm thử'!E12608,"Bị chặn"),1,0),IF(EXACT('Kiểm thử'!E12610,"Bị chặn"),1,0),IF(EXACT('Kiểm thử'!E12612,"Bị chặn"),1,0),IF(EXACT('Kiểm thử'!E12614,"Bị chặn"),1,0),IF(EXACT('Kiểm thử'!E12616,"Bị chặn"),1,0))&gt;0,"Bị chặn",IF(SUM(IF(EXACT('Kiểm thử'!E12602,"Chưa thực hiện"),1,0),IF(EXACT('Kiểm thử'!E12604,"Chưa thực hiện"),1,0),IF(EXACT('Kiểm thử'!E12606,"Chưa thực hiện"),1,0),IF(EXACT('Kiểm thử'!E12608,"Chưa thực hiện"),1,0),IF(EXACT('Kiểm thử'!E12610,"Chưa thực hiện"),1,0),IF(EXACT('Kiểm thử'!E12612,"Chưa thực hiện"),1,0),IF(EXACT('Kiểm thử'!E12614,"Chưa thực hiện"),1,0),IF(EXACT('Kiểm thử'!E12616,"Chưa thực hiện"),1,0))=8,"Chưa thực hiện","Đang thực hiện")))))</s:f>
        <s:v/>
      </s:c>
      <s:c r="C12593" s="114" t="n"/>
      <s:c r="D12593" s="114" t="n"/>
      <s:c r="E12593" s="114" t="n"/>
    </s:row>
    <s:row r="12594" ht="20" customHeight="1">
      <s:c r="A12594" s="112" t="inlineStr">
        <s:is>
          <s:t>Màn hình / chức năng</s:t>
        </s:is>
      </s:c>
      <s:c r="B12594" s="113" t="inlineStr">
        <s:is>
          <s:t>Nguồn tổng hợp</s:t>
        </s:is>
      </s:c>
      <s:c r="C12594" s="28" t="n"/>
      <s:c r="D12594" s="28" t="n"/>
      <s:c r="E12594" s="28" t="n"/>
    </s:row>
    <s:row r="12595" ht="34" customHeight="1">
      <s:c r="A12595" s="112" t="inlineStr">
        <s:is>
          <s:t>Cấu hình</s:t>
        </s:is>
      </s:c>
      <s:c r="B12595" s="113" t="inlineStr">
        <s:is>
          <s:r>
            <s:t xml:space="preserve">• Thiết </s:t>
          </s:r>
          <s:r>
            <s:rPr>
              <s:b val="1"/>
            </s:rPr>
            <s:t>lập tổng hợp X（評点集計）</s:t>
          </s:r>
          <s:r>
            <s:t xml:space="preserve"> (lớp học tắt). Công cụ sửa request (DevTools/proxy) trên môi trường test.</s:t>
          </s:r>
        </s:is>
      </s:c>
      <s:c r="C12595" s="28" t="n"/>
      <s:c r="D12595" s="28" t="n"/>
      <s:c r="E12595" s="28" t="n"/>
    </s:row>
    <s:row r="12596" ht="76" customHeight="1">
      <s:c r="A12596" s="112" t="inlineStr">
        <s:is>
          <s:t>Dữ liệu test</s:t>
        </s:is>
      </s:c>
      <s:c r="B12596" s="113" t="inlineStr">
        <s:is>
          <s:r>
            <s:t xml:space="preserve">• Thiết </s:t>
          </s:r>
          <s:r>
            <s:rPr>
              <s:b val="1"/>
            </s:rPr>
            <s:t>lập tổng hợp X（評点集計）</s:t>
          </s:r>
          <s:r>
            <s:t>;
• ID nhóm tổng hợp của trường B (trường B (trường khác));
• ID nhóm tổng hợp của năm khác;
• Mục số nguyên (</s:t>
          </s:r>
          <s:r>
            <s:rPr>
              <s:b val="1"/>
            </s:rPr>
            <s:t>M=100</s:t>
          </s:r>
          <s:r>
            <s:t>);
• Tài khoản giáo viên có quyền sửa mục</s:t>
          </s:r>
        </s:is>
      </s:c>
      <s:c r="C12596" s="28" t="n"/>
      <s:c r="D12596" s="28" t="n"/>
      <s:c r="E12596" s="28" t="n"/>
    </s:row>
    <s:row r="12597" ht="20" customHeight="1">
      <s:c r="A12597" s="112" t="inlineStr">
        <s:is>
          <s:t>Bước 1</s:t>
        </s:is>
      </s:c>
      <s:c r="B12597" s="113" t="inlineStr">
        <s:is>
          <s:r>
            <s:t xml:space="preserve">Mở form/request lưu quy tắc của mục số nguyên </s:t>
          </s:r>
          <s:r>
            <s:rPr>
              <s:b val="1"/>
            </s:rPr>
            <s:t>M=100</s:t>
          </s:r>
          <s:r>
            <s:t xml:space="preserve"> bằng tài khoản được sửa mục.</s:t>
          </s:r>
        </s:is>
      </s:c>
      <s:c r="C12597" s="28" t="n"/>
      <s:c r="D12597" s="28" t="n"/>
      <s:c r="E12597" s="28" t="n"/>
    </s:row>
    <s:row r="12598" ht="20" customHeight="1">
      <s:c r="A12598" s="112" t="inlineStr">
        <s:is>
          <s:t>Bước 2</s:t>
        </s:is>
      </s:c>
      <s:c r="B12598" s="113" t="inlineStr">
        <s:is>
          <s:t>Giữ các phần hợp lệ, chỉ thay phần nguồn nêu ở trường hợp đang chạy; gửi riêng từng lượt.</s:t>
        </s:is>
      </s:c>
      <s:c r="C12598" s="28" t="n"/>
      <s:c r="D12598" s="28" t="n"/>
      <s:c r="E12598" s="28" t="n"/>
    </s:row>
    <s:row r="12599" ht="20" customHeight="1">
      <s:c r="A12599" s="112" t="inlineStr">
        <s:is>
          <s:t>Bước 3</s:t>
        </s:is>
      </s:c>
      <s:c r="B12599" s="113" t="inlineStr">
        <s:is>
          <s:t>Đọc response và mở lại danh sách để kiểm cấu hình có bị đổi hay lộ dữ liệu ngoài quyền không.</s:t>
        </s:is>
      </s:c>
      <s:c r="C12599" s="28" t="n"/>
      <s:c r="D12599" s="28" t="n"/>
      <s:c r="E12599" s="28" t="n"/>
    </s:row>
    <s:row r="12600" ht="28" customHeight="1">
      <s:c r="A12600" s="115" t="inlineStr">
        <s:is>
          <s:t>Trường hợp</s:t>
        </s:is>
      </s:c>
      <s:c r="B12600" s="115" t="inlineStr">
        <s:is>
          <s:t>Dữ liệu / thao tác riêng</s:t>
        </s:is>
      </s:c>
      <s:c r="C12600" s="115" t="inlineStr">
        <s:is>
          <s:t>Kết quả mong đợi</s:t>
        </s:is>
      </s:c>
      <s:c r="D12600" s="115" t="inlineStr">
        <s:is>
          <s:t>Kết quả thực tế</s:t>
        </s:is>
      </s:c>
      <s:c r="E12600" s="115" t="inlineStr">
        <s:is>
          <s:t>Đánh giá</s:t>
        </s:is>
      </s:c>
    </s:row>
    <s:row r="12601" ht="3" customHeight="1">
      <s:c r="A12601" s="102" t="inlineStr"/>
      <s:c r="B12601" s="99" t="n"/>
      <s:c r="C12601" s="99" t="n"/>
      <s:c r="D12601" s="116" t="n"/>
      <s:c r="E12601" s="116" t="n"/>
    </s:row>
    <s:row r="12602" ht="118" customHeight="1">
      <s:c r="A12602" s="83" t="inlineStr">
        <s:is>
          <s:t>Điều kiện nhóm tắt (condition-disabled)</s:t>
        </s:is>
      </s:c>
      <s:c r="B12602" s="83" t="inlineStr">
        <s:is>
          <s:r>
            <s:t xml:space="preserve">Tài khoản giáo viên có quyền sửa mục số nguyên </s:t>
          </s:r>
          <s:r>
            <s:rPr>
              <s:b val="1"/>
            </s:rPr>
            <s:t>M=100</s:t>
          </s:r>
          <s:r>
            <s:t xml:space="preserve"> của trường A; từ request lưu hợp lệ, sửa nguồn của điều kiện: chọn </s:t>
          </s:r>
          <s:r>
            <s:rPr>
              <s:b val="1"/>
            </s:rPr>
            <s:t>nguồn loại Lớp học（授業）</s:t>
          </s:r>
          <s:r>
            <s:t xml:space="preserve"> khi công tắc lớp học đang tắt. Gửi request riêng, đọc response và danh sách; không tự dựng endpoint/ID.</s:t>
          </s:r>
        </s:is>
      </s:c>
      <s:c r="C12602" s="83" t="inlineStr">
        <s:is>
          <s:t>Nguồn của trường hợp này bị từ chối; không lưu rule, danh sách rule không đổi; không trả tên/dữ liệu của trường hoặc năm khác.</s:t>
        </s:is>
      </s:c>
      <s:c r="D12602" s="117" t="inlineStr"/>
      <s:c r="E12602" s="118" t="inlineStr">
        <s:is>
          <s:t>Chưa thực hiện</s:t>
        </s:is>
      </s:c>
    </s:row>
    <s:row r="12603" ht="3" customHeight="1">
      <s:c r="A12603" s="102" t="inlineStr"/>
      <s:c r="B12603" s="99" t="n"/>
      <s:c r="C12603" s="99" t="n"/>
      <s:c r="D12603" s="116" t="n"/>
      <s:c r="E12603" s="116" t="n"/>
    </s:row>
    <s:row r="12604" ht="118" customHeight="1">
      <s:c r="A12604" s="83" t="inlineStr">
        <s:is>
          <s:t>Điều kiện sai trường (condition-school)</s:t>
        </s:is>
      </s:c>
      <s:c r="B12604" s="83" t="inlineStr">
        <s:is>
          <s:r>
            <s:t xml:space="preserve">Tài khoản giáo viên có quyền sửa mục số nguyên </s:t>
          </s:r>
          <s:r>
            <s:rPr>
              <s:b val="1"/>
            </s:rPr>
            <s:t>M=100</s:t>
          </s:r>
          <s:r>
            <s:t xml:space="preserve"> của trường A; từ request lưu hợp lệ, sửa nguồn của điều kiện: thay ID nhóm tổng hợp bằng ID thuộc trường B. Gửi request riêng, đọc response và danh sách; không tự dựng endpoint/ID.</s:t>
          </s:r>
        </s:is>
      </s:c>
      <s:c r="C12604" s="83" t="inlineStr">
        <s:is>
          <s:t>Nguồn của trường hợp này bị từ chối; không lưu rule, danh sách rule không đổi; không trả tên/dữ liệu của trường hoặc năm khác.</s:t>
        </s:is>
      </s:c>
      <s:c r="D12604" s="117" t="inlineStr"/>
      <s:c r="E12604" s="118" t="inlineStr">
        <s:is>
          <s:t>Chưa thực hiện</s:t>
        </s:is>
      </s:c>
    </s:row>
    <s:row r="12605" ht="3" customHeight="1">
      <s:c r="A12605" s="102" t="inlineStr"/>
      <s:c r="B12605" s="99" t="n"/>
      <s:c r="C12605" s="99" t="n"/>
      <s:c r="D12605" s="116" t="n"/>
      <s:c r="E12605" s="116" t="n"/>
    </s:row>
    <s:row r="12606" ht="118" customHeight="1">
      <s:c r="A12606" s="83" t="inlineStr">
        <s:is>
          <s:t>Điều kiện sai năm (condition-year)</s:t>
        </s:is>
      </s:c>
      <s:c r="B12606" s="83" t="inlineStr">
        <s:is>
          <s:r>
            <s:t xml:space="preserve">Tài khoản giáo viên có quyền sửa mục số nguyên </s:t>
          </s:r>
          <s:r>
            <s:rPr>
              <s:b val="1"/>
            </s:rPr>
            <s:t>M=100</s:t>
          </s:r>
          <s:r>
            <s:t xml:space="preserve"> của trường A; từ request lưu hợp lệ, sửa nguồn của điều kiện: thay ID nhóm tổng hợp bằng ID thuộc năm khác. Gửi request riêng, đọc response và danh sách; không tự dựng endpoint/ID.</s:t>
          </s:r>
        </s:is>
      </s:c>
      <s:c r="C12606" s="83" t="inlineStr">
        <s:is>
          <s:t>Nguồn của trường hợp này bị từ chối; không lưu rule, danh sách rule không đổi; không trả tên/dữ liệu của trường hoặc năm khác.</s:t>
        </s:is>
      </s:c>
      <s:c r="D12606" s="117" t="inlineStr"/>
      <s:c r="E12606" s="118" t="inlineStr">
        <s:is>
          <s:t>Chưa thực hiện</s:t>
        </s:is>
      </s:c>
    </s:row>
    <s:row r="12607" ht="3" customHeight="1">
      <s:c r="A12607" s="102" t="inlineStr"/>
      <s:c r="B12607" s="99" t="n"/>
      <s:c r="C12607" s="99" t="n"/>
      <s:c r="D12607" s="116" t="n"/>
      <s:c r="E12607" s="116" t="n"/>
    </s:row>
    <s:row r="12608" ht="118" customHeight="1">
      <s:c r="A12608" s="83" t="inlineStr">
        <s:is>
          <s:t>Điều kiện nhóm không tồn tại (condition-missing)</s:t>
        </s:is>
      </s:c>
      <s:c r="B12608" s="83" t="inlineStr">
        <s:is>
          <s:r>
            <s:t xml:space="preserve">Tài khoản giáo viên có quyền sửa mục số nguyên </s:t>
          </s:r>
          <s:r>
            <s:rPr>
              <s:b val="1"/>
            </s:rPr>
            <s:t>M=100</s:t>
          </s:r>
          <s:r>
            <s:t xml:space="preserve"> của trường A; từ request lưu hợp lệ, sửa nguồn của điều kiện: dùng </s:t>
          </s:r>
          <s:r>
            <s:rPr>
              <s:b val="1"/>
            </s:rPr>
            <s:t>ID Nhóm môn học（科目グループ）</s:t>
          </s:r>
          <s:r>
            <s:t xml:space="preserve"> không tồn tại. Gửi request riêng, đọc response và danh sách; không tự dựng endpoint/ID.</s:t>
          </s:r>
        </s:is>
      </s:c>
      <s:c r="C12608" s="83" t="inlineStr">
        <s:is>
          <s:t>Nguồn của trường hợp này bị từ chối; không lưu rule, danh sách rule không đổi; không trả tên/dữ liệu của trường hoặc năm khác.</s:t>
        </s:is>
      </s:c>
      <s:c r="D12608" s="117" t="inlineStr"/>
      <s:c r="E12608" s="118" t="inlineStr">
        <s:is>
          <s:t>Chưa thực hiện</s:t>
        </s:is>
      </s:c>
    </s:row>
    <s:row r="12609" ht="3" customHeight="1">
      <s:c r="A12609" s="102" t="inlineStr"/>
      <s:c r="B12609" s="99" t="n"/>
      <s:c r="C12609" s="99" t="n"/>
      <s:c r="D12609" s="116" t="n"/>
      <s:c r="E12609" s="116" t="n"/>
    </s:row>
    <s:row r="12610" ht="118" customHeight="1">
      <s:c r="A12610" s="83" t="inlineStr">
        <s:is>
          <s:t>Công thức nhóm tắt (formula-disabled)</s:t>
        </s:is>
      </s:c>
      <s:c r="B12610" s="83" t="inlineStr">
        <s:is>
          <s:r>
            <s:t xml:space="preserve">Tài khoản giáo viên có quyền sửa mục số nguyên </s:t>
          </s:r>
          <s:r>
            <s:rPr>
              <s:b val="1"/>
            </s:rPr>
            <s:t>M=100</s:t>
          </s:r>
          <s:r>
            <s:t xml:space="preserve"> của trường A; từ request lưu hợp lệ, sửa nguồn của công thức: chọn </s:t>
          </s:r>
          <s:r>
            <s:rPr>
              <s:b val="1"/>
            </s:rPr>
            <s:t>nguồn loại Lớp học（授業）</s:t>
          </s:r>
          <s:r>
            <s:t xml:space="preserve"> khi công tắc lớp học đang tắt. Gửi request riêng, đọc response và danh sách; không tự dựng endpoint/ID.</s:t>
          </s:r>
        </s:is>
      </s:c>
      <s:c r="C12610" s="83" t="inlineStr">
        <s:is>
          <s:t>Nguồn của trường hợp này bị từ chối; không lưu rule, danh sách rule không đổi; không trả tên/dữ liệu của trường hoặc năm khác.</s:t>
        </s:is>
      </s:c>
      <s:c r="D12610" s="117" t="inlineStr"/>
      <s:c r="E12610" s="118" t="inlineStr">
        <s:is>
          <s:t>Chưa thực hiện</s:t>
        </s:is>
      </s:c>
    </s:row>
    <s:row r="12611" ht="3" customHeight="1">
      <s:c r="A12611" s="102" t="inlineStr"/>
      <s:c r="B12611" s="99" t="n"/>
      <s:c r="C12611" s="99" t="n"/>
      <s:c r="D12611" s="116" t="n"/>
      <s:c r="E12611" s="116" t="n"/>
    </s:row>
    <s:row r="12612" ht="118" customHeight="1">
      <s:c r="A12612" s="83" t="inlineStr">
        <s:is>
          <s:t>Công thức sai trường (formula-school)</s:t>
        </s:is>
      </s:c>
      <s:c r="B12612" s="83" t="inlineStr">
        <s:is>
          <s:r>
            <s:t xml:space="preserve">Tài khoản giáo viên có quyền sửa mục số nguyên </s:t>
          </s:r>
          <s:r>
            <s:rPr>
              <s:b val="1"/>
            </s:rPr>
            <s:t>M=100</s:t>
          </s:r>
          <s:r>
            <s:t xml:space="preserve"> của trường A; từ request lưu hợp lệ, sửa nguồn của công thức: thay ID nhóm tổng hợp bằng ID thuộc trường B. Gửi request riêng, đọc response và danh sách; không tự dựng endpoint/ID.</s:t>
          </s:r>
        </s:is>
      </s:c>
      <s:c r="C12612" s="83" t="inlineStr">
        <s:is>
          <s:t>Nguồn của trường hợp này bị từ chối; không lưu rule, danh sách rule không đổi; không trả tên/dữ liệu của trường hoặc năm khác.</s:t>
        </s:is>
      </s:c>
      <s:c r="D12612" s="117" t="inlineStr"/>
      <s:c r="E12612" s="118" t="inlineStr">
        <s:is>
          <s:t>Chưa thực hiện</s:t>
        </s:is>
      </s:c>
    </s:row>
    <s:row r="12613" ht="3" customHeight="1">
      <s:c r="A12613" s="102" t="inlineStr"/>
      <s:c r="B12613" s="99" t="n"/>
      <s:c r="C12613" s="99" t="n"/>
      <s:c r="D12613" s="116" t="n"/>
      <s:c r="E12613" s="116" t="n"/>
    </s:row>
    <s:row r="12614" ht="118" customHeight="1">
      <s:c r="A12614" s="83" t="inlineStr">
        <s:is>
          <s:t>Công thức sai năm (formula-year)</s:t>
        </s:is>
      </s:c>
      <s:c r="B12614" s="83" t="inlineStr">
        <s:is>
          <s:r>
            <s:t xml:space="preserve">Tài khoản giáo viên có quyền sửa mục số nguyên </s:t>
          </s:r>
          <s:r>
            <s:rPr>
              <s:b val="1"/>
            </s:rPr>
            <s:t>M=100</s:t>
          </s:r>
          <s:r>
            <s:t xml:space="preserve"> của trường A; từ request lưu hợp lệ, sửa nguồn của công thức: thay ID nhóm tổng hợp bằng ID thuộc năm khác. Gửi request riêng, đọc response và danh sách; không tự dựng endpoint/ID.</s:t>
          </s:r>
        </s:is>
      </s:c>
      <s:c r="C12614" s="83" t="inlineStr">
        <s:is>
          <s:t>Nguồn của trường hợp này bị từ chối; không lưu rule, danh sách rule không đổi; không trả tên/dữ liệu của trường hoặc năm khác.</s:t>
        </s:is>
      </s:c>
      <s:c r="D12614" s="117" t="inlineStr"/>
      <s:c r="E12614" s="118" t="inlineStr">
        <s:is>
          <s:t>Chưa thực hiện</s:t>
        </s:is>
      </s:c>
    </s:row>
    <s:row r="12615" ht="3" customHeight="1">
      <s:c r="A12615" s="102" t="inlineStr"/>
      <s:c r="B12615" s="99" t="n"/>
      <s:c r="C12615" s="99" t="n"/>
      <s:c r="D12615" s="116" t="n"/>
      <s:c r="E12615" s="116" t="n"/>
    </s:row>
    <s:row r="12616" ht="118" customHeight="1">
      <s:c r="A12616" s="83" t="inlineStr">
        <s:is>
          <s:t>Công thức nhóm không tồn tại (formula-missing)</s:t>
        </s:is>
      </s:c>
      <s:c r="B12616" s="83" t="inlineStr">
        <s:is>
          <s:r>
            <s:t xml:space="preserve">Tài khoản giáo viên có quyền sửa mục số nguyên </s:t>
          </s:r>
          <s:r>
            <s:rPr>
              <s:b val="1"/>
            </s:rPr>
            <s:t>M=100</s:t>
          </s:r>
          <s:r>
            <s:t xml:space="preserve"> của trường A; từ request lưu hợp lệ, sửa nguồn của công thức: dùng </s:t>
          </s:r>
          <s:r>
            <s:rPr>
              <s:b val="1"/>
            </s:rPr>
            <s:t>ID Nhóm môn học（科目グループ）</s:t>
          </s:r>
          <s:r>
            <s:t xml:space="preserve"> không tồn tại. Gửi request riêng, đọc response và danh sách; không tự dựng endpoint/ID.</s:t>
          </s:r>
        </s:is>
      </s:c>
      <s:c r="C12616" s="83" t="inlineStr">
        <s:is>
          <s:t>Nguồn của trường hợp này bị từ chối; không lưu rule, danh sách rule không đổi; không trả tên/dữ liệu của trường hoặc năm khác.</s:t>
        </s:is>
      </s:c>
      <s:c r="D12616" s="117" t="inlineStr"/>
      <s:c r="E12616" s="118" t="inlineStr">
        <s:is>
          <s:t>Chưa thực hiện</s:t>
        </s:is>
      </s:c>
    </s:row>
    <s:row r="12617" ht="20" customHeight="1">
      <s:c r="A12617" s="119" t="inlineStr">
        <s:is>
          <s:t>Ảnh minh chứng — Chưa có ảnh</s:t>
        </s:is>
      </s:c>
      <s:c r="B12617" s="19" t="n"/>
      <s:c r="C12617" s="19" t="n"/>
      <s:c r="D12617" s="19" t="n"/>
      <s:c r="E12617" s="19" t="n"/>
    </s:row>
    <s:row r="12618" hidden="1" ht="1" customHeight="1">
      <s:c r="A12618" s="120" t="inlineStr"/>
      <s:c r="B12618" s="121" t="n"/>
      <s:c r="C12618" s="121" t="n"/>
      <s:c r="D12618" s="121" t="n"/>
      <s:c r="E12618" s="122" t="n"/>
    </s:row>
    <s:row r="12619" hidden="1" ht="1" customHeight="1">
      <s:c r="A12619" s="120" t="inlineStr"/>
      <s:c r="B12619" s="121" t="n"/>
      <s:c r="C12619" s="121" t="n"/>
      <s:c r="D12619" s="121" t="n"/>
      <s:c r="E12619" s="122" t="n"/>
    </s:row>
    <s:row r="12620" hidden="1" ht="1" customHeight="1">
      <s:c r="A12620" s="120" t="inlineStr"/>
      <s:c r="B12620" s="121" t="n"/>
      <s:c r="C12620" s="121" t="n"/>
      <s:c r="D12620" s="121" t="n"/>
      <s:c r="E12620" s="122" t="n"/>
    </s:row>
    <s:row r="12621" hidden="1" ht="1" customHeight="1">
      <s:c r="A12621" s="120" t="inlineStr"/>
      <s:c r="B12621" s="121" t="n"/>
      <s:c r="C12621" s="121" t="n"/>
      <s:c r="D12621" s="121" t="n"/>
      <s:c r="E12621" s="122" t="n"/>
    </s:row>
    <s:row r="12622" hidden="1" ht="1" customHeight="1">
      <s:c r="A12622" s="120" t="inlineStr"/>
      <s:c r="B12622" s="121" t="n"/>
      <s:c r="C12622" s="121" t="n"/>
      <s:c r="D12622" s="121" t="n"/>
      <s:c r="E12622" s="122" t="n"/>
    </s:row>
    <s:row r="12623" hidden="1" ht="1" customHeight="1">
      <s:c r="A12623" s="120" t="inlineStr"/>
      <s:c r="B12623" s="121" t="n"/>
      <s:c r="C12623" s="121" t="n"/>
      <s:c r="D12623" s="121" t="n"/>
      <s:c r="E12623" s="122" t="n"/>
    </s:row>
    <s:row r="12624" hidden="1" ht="1" customHeight="1">
      <s:c r="A12624" s="120" t="inlineStr"/>
      <s:c r="B12624" s="121" t="n"/>
      <s:c r="C12624" s="121" t="n"/>
      <s:c r="D12624" s="121" t="n"/>
      <s:c r="E12624" s="122" t="n"/>
    </s:row>
    <s:row r="12625" hidden="1" ht="1" customHeight="1">
      <s:c r="A12625" s="120" t="inlineStr"/>
      <s:c r="B12625" s="121" t="n"/>
      <s:c r="C12625" s="121" t="n"/>
      <s:c r="D12625" s="121" t="n"/>
      <s:c r="E12625" s="122" t="n"/>
    </s:row>
    <s:row r="12626" hidden="1" ht="1" customHeight="1">
      <s:c r="A12626" s="120" t="inlineStr"/>
      <s:c r="B12626" s="121" t="n"/>
      <s:c r="C12626" s="121" t="n"/>
      <s:c r="D12626" s="121" t="n"/>
      <s:c r="E12626" s="122" t="n"/>
    </s:row>
    <s:row r="12627" hidden="1" ht="1" customHeight="1">
      <s:c r="A12627" s="120" t="inlineStr"/>
      <s:c r="B12627" s="121" t="n"/>
      <s:c r="C12627" s="121" t="n"/>
      <s:c r="D12627" s="121" t="n"/>
      <s:c r="E12627" s="122" t="n"/>
    </s:row>
    <s:row r="12628" hidden="1" ht="1" customHeight="1">
      <s:c r="A12628" s="120" t="inlineStr"/>
      <s:c r="B12628" s="121" t="n"/>
      <s:c r="C12628" s="121" t="n"/>
      <s:c r="D12628" s="121" t="n"/>
      <s:c r="E12628" s="122" t="n"/>
    </s:row>
    <s:row r="12629" hidden="1" ht="1" customHeight="1">
      <s:c r="A12629" s="120" t="inlineStr"/>
      <s:c r="B12629" s="121" t="n"/>
      <s:c r="C12629" s="121" t="n"/>
      <s:c r="D12629" s="121" t="n"/>
      <s:c r="E12629" s="122" t="n"/>
    </s:row>
    <s:row r="12630" hidden="1" ht="1" customHeight="1">
      <s:c r="A12630" s="120" t="inlineStr"/>
      <s:c r="B12630" s="121" t="n"/>
      <s:c r="C12630" s="121" t="n"/>
      <s:c r="D12630" s="121" t="n"/>
      <s:c r="E12630" s="122" t="n"/>
    </s:row>
    <s:row r="12631" hidden="1" ht="1" customHeight="1">
      <s:c r="A12631" s="120" t="inlineStr"/>
      <s:c r="B12631" s="121" t="n"/>
      <s:c r="C12631" s="121" t="n"/>
      <s:c r="D12631" s="121" t="n"/>
      <s:c r="E12631" s="122" t="n"/>
    </s:row>
    <s:row r="12632" hidden="1" ht="1" customHeight="1">
      <s:c r="A12632" s="120" t="inlineStr"/>
      <s:c r="B12632" s="121" t="n"/>
      <s:c r="C12632" s="121" t="n"/>
      <s:c r="D12632" s="121" t="n"/>
      <s:c r="E12632" s="122" t="n"/>
    </s:row>
    <s:row r="12633" hidden="1" ht="1" customHeight="1">
      <s:c r="A12633" s="120" t="inlineStr"/>
      <s:c r="B12633" s="121" t="n"/>
      <s:c r="C12633" s="121" t="n"/>
      <s:c r="D12633" s="121" t="n"/>
      <s:c r="E12633" s="122" t="n"/>
    </s:row>
    <s:row r="12634" hidden="1" ht="1" customHeight="1">
      <s:c r="A12634" s="120" t="inlineStr"/>
      <s:c r="B12634" s="121" t="n"/>
      <s:c r="C12634" s="121" t="n"/>
      <s:c r="D12634" s="121" t="n"/>
      <s:c r="E12634" s="122" t="n"/>
    </s:row>
    <s:row r="12635" hidden="1" ht="1" customHeight="1">
      <s:c r="A12635" s="120" t="inlineStr"/>
      <s:c r="B12635" s="121" t="n"/>
      <s:c r="C12635" s="121" t="n"/>
      <s:c r="D12635" s="121" t="n"/>
      <s:c r="E12635" s="122" t="n"/>
    </s:row>
    <s:row r="12636" hidden="1" ht="1" customHeight="1">
      <s:c r="A12636" s="120" t="inlineStr"/>
      <s:c r="B12636" s="121" t="n"/>
      <s:c r="C12636" s="121" t="n"/>
      <s:c r="D12636" s="121" t="n"/>
      <s:c r="E12636" s="122" t="n"/>
    </s:row>
    <s:row r="12637" hidden="1" ht="1" customHeight="1">
      <s:c r="A12637" s="120" t="inlineStr"/>
      <s:c r="B12637" s="121" t="n"/>
      <s:c r="C12637" s="121" t="n"/>
      <s:c r="D12637" s="121" t="n"/>
      <s:c r="E12637" s="122" t="n"/>
    </s:row>
    <s:row r="12638" hidden="1" ht="1" customHeight="1">
      <s:c r="A12638" s="120" t="inlineStr"/>
      <s:c r="B12638" s="121" t="n"/>
      <s:c r="C12638" s="121" t="n"/>
      <s:c r="D12638" s="121" t="n"/>
      <s:c r="E12638" s="122" t="n"/>
    </s:row>
    <s:row r="12639" hidden="1" ht="1" customHeight="1">
      <s:c r="A12639" s="120" t="inlineStr"/>
      <s:c r="B12639" s="121" t="n"/>
      <s:c r="C12639" s="121" t="n"/>
      <s:c r="D12639" s="121" t="n"/>
      <s:c r="E12639" s="122" t="n"/>
    </s:row>
    <s:row r="12640" hidden="1" ht="1" customHeight="1">
      <s:c r="A12640" s="120" t="inlineStr"/>
      <s:c r="B12640" s="121" t="n"/>
      <s:c r="C12640" s="121" t="n"/>
      <s:c r="D12640" s="121" t="n"/>
      <s:c r="E12640" s="122" t="n"/>
    </s:row>
    <s:row r="12641" hidden="1" ht="1" customHeight="1">
      <s:c r="A12641" s="120" t="inlineStr"/>
      <s:c r="B12641" s="121" t="n"/>
      <s:c r="C12641" s="121" t="n"/>
      <s:c r="D12641" s="121" t="n"/>
      <s:c r="E12641" s="122" t="n"/>
    </s:row>
    <s:row r="12642" hidden="1" ht="1" customHeight="1">
      <s:c r="A12642" s="120" t="inlineStr"/>
      <s:c r="B12642" s="121" t="n"/>
      <s:c r="C12642" s="121" t="n"/>
      <s:c r="D12642" s="121" t="n"/>
      <s:c r="E12642" s="122" t="n"/>
    </s:row>
    <s:row r="12643" hidden="1" ht="1" customHeight="1">
      <s:c r="A12643" s="120" t="inlineStr"/>
      <s:c r="B12643" s="121" t="n"/>
      <s:c r="C12643" s="121" t="n"/>
      <s:c r="D12643" s="121" t="n"/>
      <s:c r="E12643" s="122" t="n"/>
    </s:row>
    <s:row r="12644" hidden="1" ht="1" customHeight="1">
      <s:c r="A12644" s="120" t="inlineStr"/>
      <s:c r="B12644" s="121" t="n"/>
      <s:c r="C12644" s="121" t="n"/>
      <s:c r="D12644" s="121" t="n"/>
      <s:c r="E12644" s="122" t="n"/>
    </s:row>
    <s:row r="12645" hidden="1" ht="1" customHeight="1">
      <s:c r="A12645" s="120" t="inlineStr"/>
      <s:c r="B12645" s="121" t="n"/>
      <s:c r="C12645" s="121" t="n"/>
      <s:c r="D12645" s="121" t="n"/>
      <s:c r="E12645" s="122" t="n"/>
    </s:row>
    <s:row r="12646" hidden="1" ht="1" customHeight="1">
      <s:c r="A12646" s="120" t="inlineStr"/>
      <s:c r="B12646" s="121" t="n"/>
      <s:c r="C12646" s="121" t="n"/>
      <s:c r="D12646" s="121" t="n"/>
      <s:c r="E12646" s="122" t="n"/>
    </s:row>
    <s:row r="12647" hidden="1" ht="1" customHeight="1">
      <s:c r="A12647" s="120" t="inlineStr"/>
      <s:c r="B12647" s="121" t="n"/>
      <s:c r="C12647" s="121" t="n"/>
      <s:c r="D12647" s="121" t="n"/>
      <s:c r="E12647" s="122" t="n"/>
    </s:row>
    <s:row r="12648" hidden="1" ht="1" customHeight="1">
      <s:c r="A12648" s="120" t="inlineStr"/>
      <s:c r="B12648" s="121" t="n"/>
      <s:c r="C12648" s="121" t="n"/>
      <s:c r="D12648" s="121" t="n"/>
      <s:c r="E12648" s="122" t="n"/>
    </s:row>
    <s:row r="12649" hidden="1" ht="1" customHeight="1">
      <s:c r="A12649" s="120" t="inlineStr"/>
      <s:c r="B12649" s="121" t="n"/>
      <s:c r="C12649" s="121" t="n"/>
      <s:c r="D12649" s="121" t="n"/>
      <s:c r="E12649" s="122" t="n"/>
    </s:row>
    <s:row r="12650" hidden="1" ht="1" customHeight="1">
      <s:c r="A12650" s="120" t="inlineStr"/>
      <s:c r="B12650" s="121" t="n"/>
      <s:c r="C12650" s="121" t="n"/>
      <s:c r="D12650" s="121" t="n"/>
      <s:c r="E12650" s="122" t="n"/>
    </s:row>
    <s:row r="12651" hidden="1" ht="1" customHeight="1">
      <s:c r="A12651" s="120" t="inlineStr"/>
      <s:c r="B12651" s="121" t="n"/>
      <s:c r="C12651" s="121" t="n"/>
      <s:c r="D12651" s="121" t="n"/>
      <s:c r="E12651" s="122" t="n"/>
    </s:row>
    <s:row r="12652" hidden="1" ht="1" customHeight="1">
      <s:c r="A12652" s="120" t="inlineStr"/>
      <s:c r="B12652" s="121" t="n"/>
      <s:c r="C12652" s="121" t="n"/>
      <s:c r="D12652" s="121" t="n"/>
      <s:c r="E12652" s="122" t="n"/>
    </s:row>
    <s:row r="12653" hidden="1" ht="1" customHeight="1">
      <s:c r="A12653" s="120" t="inlineStr"/>
      <s:c r="B12653" s="121" t="n"/>
      <s:c r="C12653" s="121" t="n"/>
      <s:c r="D12653" s="121" t="n"/>
      <s:c r="E12653" s="122" t="n"/>
    </s:row>
    <s:row r="12654" hidden="1" ht="1" customHeight="1">
      <s:c r="A12654" s="120" t="inlineStr"/>
      <s:c r="B12654" s="121" t="n"/>
      <s:c r="C12654" s="121" t="n"/>
      <s:c r="D12654" s="121" t="n"/>
      <s:c r="E12654" s="122" t="n"/>
    </s:row>
    <s:row r="12655" hidden="1" ht="1" customHeight="1">
      <s:c r="A12655" s="120" t="inlineStr"/>
      <s:c r="B12655" s="121" t="n"/>
      <s:c r="C12655" s="121" t="n"/>
      <s:c r="D12655" s="121" t="n"/>
      <s:c r="E12655" s="122" t="n"/>
    </s:row>
    <s:row r="12656" hidden="1" ht="1" customHeight="1">
      <s:c r="A12656" s="120" t="inlineStr"/>
      <s:c r="B12656" s="121" t="n"/>
      <s:c r="C12656" s="121" t="n"/>
      <s:c r="D12656" s="121" t="n"/>
      <s:c r="E12656" s="122" t="n"/>
    </s:row>
    <s:row r="12657" hidden="1" ht="1" customHeight="1">
      <s:c r="A12657" s="120" t="inlineStr"/>
      <s:c r="B12657" s="121" t="n"/>
      <s:c r="C12657" s="121" t="n"/>
      <s:c r="D12657" s="121" t="n"/>
      <s:c r="E12657" s="122" t="n"/>
    </s:row>
    <s:row r="12658" hidden="1" ht="1" customHeight="1">
      <s:c r="A12658" s="120" t="inlineStr"/>
      <s:c r="B12658" s="121" t="n"/>
      <s:c r="C12658" s="121" t="n"/>
      <s:c r="D12658" s="121" t="n"/>
      <s:c r="E12658" s="122" t="n"/>
    </s:row>
    <s:row r="12659" hidden="1" ht="1" customHeight="1">
      <s:c r="A12659" s="120" t="inlineStr"/>
      <s:c r="B12659" s="121" t="n"/>
      <s:c r="C12659" s="121" t="n"/>
      <s:c r="D12659" s="121" t="n"/>
      <s:c r="E12659" s="122" t="n"/>
    </s:row>
    <s:row r="12660" hidden="1" ht="1" customHeight="1">
      <s:c r="A12660" s="120" t="inlineStr"/>
      <s:c r="B12660" s="121" t="n"/>
      <s:c r="C12660" s="121" t="n"/>
      <s:c r="D12660" s="121" t="n"/>
      <s:c r="E12660" s="122" t="n"/>
    </s:row>
    <s:row r="12661" hidden="1" ht="1" customHeight="1">
      <s:c r="A12661" s="120" t="inlineStr"/>
      <s:c r="B12661" s="121" t="n"/>
      <s:c r="C12661" s="121" t="n"/>
      <s:c r="D12661" s="121" t="n"/>
      <s:c r="E12661" s="122" t="n"/>
    </s:row>
    <s:row r="12662" hidden="1" ht="1" customHeight="1">
      <s:c r="A12662" s="120" t="inlineStr"/>
      <s:c r="B12662" s="121" t="n"/>
      <s:c r="C12662" s="121" t="n"/>
      <s:c r="D12662" s="121" t="n"/>
      <s:c r="E12662" s="122" t="n"/>
    </s:row>
    <s:row r="12663" hidden="1" ht="1" customHeight="1">
      <s:c r="A12663" s="120" t="inlineStr"/>
      <s:c r="B12663" s="121" t="n"/>
      <s:c r="C12663" s="121" t="n"/>
      <s:c r="D12663" s="121" t="n"/>
      <s:c r="E12663" s="122" t="n"/>
    </s:row>
    <s:row r="12664" hidden="1" ht="1" customHeight="1">
      <s:c r="A12664" s="120" t="inlineStr"/>
      <s:c r="B12664" s="121" t="n"/>
      <s:c r="C12664" s="121" t="n"/>
      <s:c r="D12664" s="121" t="n"/>
      <s:c r="E12664" s="122" t="n"/>
    </s:row>
    <s:row r="12665" hidden="1" ht="1" customHeight="1">
      <s:c r="A12665" s="120" t="inlineStr"/>
      <s:c r="B12665" s="121" t="n"/>
      <s:c r="C12665" s="121" t="n"/>
      <s:c r="D12665" s="121" t="n"/>
      <s:c r="E12665" s="122" t="n"/>
    </s:row>
    <s:row r="12666" hidden="1" ht="1" customHeight="1">
      <s:c r="A12666" s="120" t="inlineStr"/>
      <s:c r="B12666" s="121" t="n"/>
      <s:c r="C12666" s="121" t="n"/>
      <s:c r="D12666" s="121" t="n"/>
      <s:c r="E12666" s="122" t="n"/>
    </s:row>
    <s:row r="12667" hidden="1" ht="1" customHeight="1">
      <s:c r="A12667" s="120" t="inlineStr"/>
      <s:c r="B12667" s="121" t="n"/>
      <s:c r="C12667" s="121" t="n"/>
      <s:c r="D12667" s="121" t="n"/>
      <s:c r="E12667" s="122" t="n"/>
    </s:row>
    <s:row r="12668" hidden="1" ht="1" customHeight="1">
      <s:c r="A12668" s="120" t="inlineStr"/>
      <s:c r="B12668" s="121" t="n"/>
      <s:c r="C12668" s="121" t="n"/>
      <s:c r="D12668" s="121" t="n"/>
      <s:c r="E12668" s="122" t="n"/>
    </s:row>
    <s:row r="12669" hidden="1" ht="1" customHeight="1">
      <s:c r="A12669" s="120" t="inlineStr"/>
      <s:c r="B12669" s="121" t="n"/>
      <s:c r="C12669" s="121" t="n"/>
      <s:c r="D12669" s="121" t="n"/>
      <s:c r="E12669" s="122" t="n"/>
    </s:row>
    <s:row r="12670" hidden="1" ht="1" customHeight="1">
      <s:c r="A12670" s="120" t="inlineStr"/>
      <s:c r="B12670" s="121" t="n"/>
      <s:c r="C12670" s="121" t="n"/>
      <s:c r="D12670" s="121" t="n"/>
      <s:c r="E12670" s="122" t="n"/>
    </s:row>
    <s:row r="12671" hidden="1" ht="1" customHeight="1">
      <s:c r="A12671" s="120" t="inlineStr"/>
      <s:c r="B12671" s="121" t="n"/>
      <s:c r="C12671" s="121" t="n"/>
      <s:c r="D12671" s="121" t="n"/>
      <s:c r="E12671" s="122" t="n"/>
    </s:row>
    <s:row r="12672" hidden="1" ht="1" customHeight="1">
      <s:c r="A12672" s="120" t="inlineStr"/>
      <s:c r="B12672" s="121" t="n"/>
      <s:c r="C12672" s="121" t="n"/>
      <s:c r="D12672" s="121" t="n"/>
      <s:c r="E12672" s="122" t="n"/>
    </s:row>
    <s:row r="12673" hidden="1" ht="1" customHeight="1">
      <s:c r="A12673" s="120" t="inlineStr"/>
      <s:c r="B12673" s="121" t="n"/>
      <s:c r="C12673" s="121" t="n"/>
      <s:c r="D12673" s="121" t="n"/>
      <s:c r="E12673" s="122" t="n"/>
    </s:row>
    <s:row r="12674" hidden="1" ht="1" customHeight="1">
      <s:c r="A12674" s="120" t="inlineStr"/>
      <s:c r="B12674" s="121" t="n"/>
      <s:c r="C12674" s="121" t="n"/>
      <s:c r="D12674" s="121" t="n"/>
      <s:c r="E12674" s="122" t="n"/>
    </s:row>
    <s:row r="12675" hidden="1" ht="1" customHeight="1">
      <s:c r="A12675" s="120" t="inlineStr"/>
      <s:c r="B12675" s="121" t="n"/>
      <s:c r="C12675" s="121" t="n"/>
      <s:c r="D12675" s="121" t="n"/>
      <s:c r="E12675" s="122" t="n"/>
    </s:row>
    <s:row r="12676" hidden="1" ht="1" customHeight="1">
      <s:c r="A12676" s="120" t="inlineStr"/>
      <s:c r="B12676" s="121" t="n"/>
      <s:c r="C12676" s="121" t="n"/>
      <s:c r="D12676" s="121" t="n"/>
      <s:c r="E12676" s="122" t="n"/>
    </s:row>
    <s:row r="12677" hidden="1" ht="1" customHeight="1">
      <s:c r="A12677" s="120" t="inlineStr"/>
      <s:c r="B12677" s="121" t="n"/>
      <s:c r="C12677" s="121" t="n"/>
      <s:c r="D12677" s="121" t="n"/>
      <s:c r="E12677" s="122" t="n"/>
    </s:row>
    <s:row r="12678" hidden="1" ht="1" customHeight="1">
      <s:c r="A12678" s="120" t="inlineStr"/>
      <s:c r="B12678" s="121" t="n"/>
      <s:c r="C12678" s="121" t="n"/>
      <s:c r="D12678" s="121" t="n"/>
      <s:c r="E12678" s="122" t="n"/>
    </s:row>
    <s:row r="12679" hidden="1" ht="1" customHeight="1">
      <s:c r="A12679" s="120" t="inlineStr"/>
      <s:c r="B12679" s="121" t="n"/>
      <s:c r="C12679" s="121" t="n"/>
      <s:c r="D12679" s="121" t="n"/>
      <s:c r="E12679" s="122" t="n"/>
    </s:row>
    <s:row r="12680" hidden="1" ht="1" customHeight="1">
      <s:c r="A12680" s="120" t="inlineStr"/>
      <s:c r="B12680" s="121" t="n"/>
      <s:c r="C12680" s="121" t="n"/>
      <s:c r="D12680" s="121" t="n"/>
      <s:c r="E12680" s="122" t="n"/>
    </s:row>
    <s:row r="12681" hidden="1" ht="1" customHeight="1">
      <s:c r="A12681" s="120" t="inlineStr"/>
      <s:c r="B12681" s="121" t="n"/>
      <s:c r="C12681" s="121" t="n"/>
      <s:c r="D12681" s="121" t="n"/>
      <s:c r="E12681" s="122" t="n"/>
    </s:row>
    <s:row r="12682" hidden="1" ht="1" customHeight="1">
      <s:c r="A12682" s="120" t="inlineStr"/>
      <s:c r="B12682" s="121" t="n"/>
      <s:c r="C12682" s="121" t="n"/>
      <s:c r="D12682" s="121" t="n"/>
      <s:c r="E12682" s="122" t="n"/>
    </s:row>
    <s:row r="12683" hidden="1" ht="1" customHeight="1">
      <s:c r="A12683" s="120" t="inlineStr"/>
      <s:c r="B12683" s="121" t="n"/>
      <s:c r="C12683" s="121" t="n"/>
      <s:c r="D12683" s="121" t="n"/>
      <s:c r="E12683" s="122" t="n"/>
    </s:row>
    <s:row r="12684" hidden="1" ht="1" customHeight="1">
      <s:c r="A12684" s="120" t="inlineStr"/>
      <s:c r="B12684" s="121" t="n"/>
      <s:c r="C12684" s="121" t="n"/>
      <s:c r="D12684" s="121" t="n"/>
      <s:c r="E12684" s="122" t="n"/>
    </s:row>
    <s:row r="12685" hidden="1" ht="1" customHeight="1">
      <s:c r="A12685" s="120" t="inlineStr"/>
      <s:c r="B12685" s="121" t="n"/>
      <s:c r="C12685" s="121" t="n"/>
      <s:c r="D12685" s="121" t="n"/>
      <s:c r="E12685" s="122" t="n"/>
    </s:row>
    <s:row r="12686" hidden="1" ht="1" customHeight="1">
      <s:c r="A12686" s="120" t="inlineStr"/>
      <s:c r="B12686" s="121" t="n"/>
      <s:c r="C12686" s="121" t="n"/>
      <s:c r="D12686" s="121" t="n"/>
      <s:c r="E12686" s="122" t="n"/>
    </s:row>
    <s:row r="12687" hidden="1" ht="1" customHeight="1">
      <s:c r="A12687" s="120" t="inlineStr"/>
      <s:c r="B12687" s="121" t="n"/>
      <s:c r="C12687" s="121" t="n"/>
      <s:c r="D12687" s="121" t="n"/>
      <s:c r="E12687" s="122" t="n"/>
    </s:row>
    <s:row r="12688" hidden="1" ht="1" customHeight="1">
      <s:c r="A12688" s="120" t="inlineStr"/>
      <s:c r="B12688" s="121" t="n"/>
      <s:c r="C12688" s="121" t="n"/>
      <s:c r="D12688" s="121" t="n"/>
      <s:c r="E12688" s="122" t="n"/>
    </s:row>
    <s:row r="12689" hidden="1" ht="1" customHeight="1">
      <s:c r="A12689" s="120" t="inlineStr"/>
      <s:c r="B12689" s="121" t="n"/>
      <s:c r="C12689" s="121" t="n"/>
      <s:c r="D12689" s="121" t="n"/>
      <s:c r="E12689" s="122" t="n"/>
    </s:row>
    <s:row r="12690" hidden="1" ht="1" customHeight="1">
      <s:c r="A12690" s="120" t="inlineStr"/>
      <s:c r="B12690" s="121" t="n"/>
      <s:c r="C12690" s="121" t="n"/>
      <s:c r="D12690" s="121" t="n"/>
      <s:c r="E12690" s="122" t="n"/>
    </s:row>
    <s:row r="12691" hidden="1" ht="1" customHeight="1">
      <s:c r="A12691" s="120" t="inlineStr"/>
      <s:c r="B12691" s="121" t="n"/>
      <s:c r="C12691" s="121" t="n"/>
      <s:c r="D12691" s="121" t="n"/>
      <s:c r="E12691" s="122" t="n"/>
    </s:row>
    <s:row r="12692" hidden="1" ht="1" customHeight="1">
      <s:c r="A12692" s="120" t="inlineStr"/>
      <s:c r="B12692" s="121" t="n"/>
      <s:c r="C12692" s="121" t="n"/>
      <s:c r="D12692" s="121" t="n"/>
      <s:c r="E12692" s="122" t="n"/>
    </s:row>
    <s:row r="12693" hidden="1" ht="1" customHeight="1">
      <s:c r="A12693" s="120" t="inlineStr"/>
      <s:c r="B12693" s="121" t="n"/>
      <s:c r="C12693" s="121" t="n"/>
      <s:c r="D12693" s="121" t="n"/>
      <s:c r="E12693" s="122" t="n"/>
    </s:row>
    <s:row r="12694" hidden="1" ht="1" customHeight="1">
      <s:c r="A12694" s="120" t="inlineStr"/>
      <s:c r="B12694" s="121" t="n"/>
      <s:c r="C12694" s="121" t="n"/>
      <s:c r="D12694" s="121" t="n"/>
      <s:c r="E12694" s="122" t="n"/>
    </s:row>
    <s:row r="12695" hidden="1" ht="1" customHeight="1">
      <s:c r="A12695" s="120" t="inlineStr"/>
      <s:c r="B12695" s="121" t="n"/>
      <s:c r="C12695" s="121" t="n"/>
      <s:c r="D12695" s="121" t="n"/>
      <s:c r="E12695" s="122" t="n"/>
    </s:row>
    <s:row r="12696" hidden="1" ht="1" customHeight="1">
      <s:c r="A12696" s="120" t="inlineStr"/>
      <s:c r="B12696" s="121" t="n"/>
      <s:c r="C12696" s="121" t="n"/>
      <s:c r="D12696" s="121" t="n"/>
      <s:c r="E12696" s="122" t="n"/>
    </s:row>
    <s:row r="12697" hidden="1" ht="1" customHeight="1">
      <s:c r="A12697" s="120" t="inlineStr"/>
      <s:c r="B12697" s="121" t="n"/>
      <s:c r="C12697" s="121" t="n"/>
      <s:c r="D12697" s="121" t="n"/>
      <s:c r="E12697" s="122" t="n"/>
    </s:row>
    <s:row r="12698" hidden="1" ht="1" customHeight="1">
      <s:c r="A12698" s="120" t="inlineStr"/>
      <s:c r="B12698" s="121" t="n"/>
      <s:c r="C12698" s="121" t="n"/>
      <s:c r="D12698" s="121" t="n"/>
      <s:c r="E12698" s="122" t="n"/>
    </s:row>
    <s:row r="12699" hidden="1" ht="1" customHeight="1">
      <s:c r="A12699" s="120" t="inlineStr"/>
      <s:c r="B12699" s="121" t="n"/>
      <s:c r="C12699" s="121" t="n"/>
      <s:c r="D12699" s="121" t="n"/>
      <s:c r="E12699" s="122" t="n"/>
    </s:row>
    <s:row r="12700" hidden="1" ht="1" customHeight="1">
      <s:c r="A12700" s="120" t="inlineStr"/>
      <s:c r="B12700" s="121" t="n"/>
      <s:c r="C12700" s="121" t="n"/>
      <s:c r="D12700" s="121" t="n"/>
      <s:c r="E12700" s="122" t="n"/>
    </s:row>
    <s:row r="12701" hidden="1" ht="1" customHeight="1">
      <s:c r="A12701" s="120" t="inlineStr"/>
      <s:c r="B12701" s="121" t="n"/>
      <s:c r="C12701" s="121" t="n"/>
      <s:c r="D12701" s="121" t="n"/>
      <s:c r="E12701" s="122" t="n"/>
    </s:row>
    <s:row r="12702" hidden="1" ht="1" customHeight="1">
      <s:c r="A12702" s="120" t="inlineStr"/>
      <s:c r="B12702" s="121" t="n"/>
      <s:c r="C12702" s="121" t="n"/>
      <s:c r="D12702" s="121" t="n"/>
      <s:c r="E12702" s="122" t="n"/>
    </s:row>
    <s:row r="12703" hidden="1" ht="1" customHeight="1">
      <s:c r="A12703" s="120" t="inlineStr"/>
      <s:c r="B12703" s="121" t="n"/>
      <s:c r="C12703" s="121" t="n"/>
      <s:c r="D12703" s="121" t="n"/>
      <s:c r="E12703" s="122" t="n"/>
    </s:row>
    <s:row r="12704" hidden="1" ht="1" customHeight="1">
      <s:c r="A12704" s="120" t="inlineStr"/>
      <s:c r="B12704" s="121" t="n"/>
      <s:c r="C12704" s="121" t="n"/>
      <s:c r="D12704" s="121" t="n"/>
      <s:c r="E12704" s="122" t="n"/>
    </s:row>
    <s:row r="12705" hidden="1" ht="1" customHeight="1">
      <s:c r="A12705" s="120" t="inlineStr"/>
      <s:c r="B12705" s="121" t="n"/>
      <s:c r="C12705" s="121" t="n"/>
      <s:c r="D12705" s="121" t="n"/>
      <s:c r="E12705" s="122" t="n"/>
    </s:row>
    <s:row r="12706" hidden="1" ht="1" customHeight="1">
      <s:c r="A12706" s="120" t="inlineStr"/>
      <s:c r="B12706" s="121" t="n"/>
      <s:c r="C12706" s="121" t="n"/>
      <s:c r="D12706" s="121" t="n"/>
      <s:c r="E12706" s="122" t="n"/>
    </s:row>
    <s:row r="12707" hidden="1" ht="1" customHeight="1">
      <s:c r="A12707" s="120" t="inlineStr"/>
      <s:c r="B12707" s="121" t="n"/>
      <s:c r="C12707" s="121" t="n"/>
      <s:c r="D12707" s="121" t="n"/>
      <s:c r="E12707" s="122" t="n"/>
    </s:row>
    <s:row r="12708" hidden="1" ht="1" customHeight="1">
      <s:c r="A12708" s="120" t="inlineStr"/>
      <s:c r="B12708" s="121" t="n"/>
      <s:c r="C12708" s="121" t="n"/>
      <s:c r="D12708" s="121" t="n"/>
      <s:c r="E12708" s="122" t="n"/>
    </s:row>
    <s:row r="12709" hidden="1" ht="1" customHeight="1">
      <s:c r="A12709" s="120" t="inlineStr"/>
      <s:c r="B12709" s="121" t="n"/>
      <s:c r="C12709" s="121" t="n"/>
      <s:c r="D12709" s="121" t="n"/>
      <s:c r="E12709" s="122" t="n"/>
    </s:row>
    <s:row r="12710" hidden="1" ht="1" customHeight="1">
      <s:c r="A12710" s="120" t="inlineStr"/>
      <s:c r="B12710" s="121" t="n"/>
      <s:c r="C12710" s="121" t="n"/>
      <s:c r="D12710" s="121" t="n"/>
      <s:c r="E12710" s="122" t="n"/>
    </s:row>
    <s:row r="12711" hidden="1" ht="1" customHeight="1">
      <s:c r="A12711" s="120" t="inlineStr"/>
      <s:c r="B12711" s="121" t="n"/>
      <s:c r="C12711" s="121" t="n"/>
      <s:c r="D12711" s="121" t="n"/>
      <s:c r="E12711" s="122" t="n"/>
    </s:row>
    <s:row r="12712" hidden="1" ht="1" customHeight="1">
      <s:c r="A12712" s="120" t="inlineStr"/>
      <s:c r="B12712" s="121" t="n"/>
      <s:c r="C12712" s="121" t="n"/>
      <s:c r="D12712" s="121" t="n"/>
      <s:c r="E12712" s="122" t="n"/>
    </s:row>
    <s:row r="12713" hidden="1" ht="1" customHeight="1">
      <s:c r="A12713" s="120" t="inlineStr"/>
      <s:c r="B12713" s="121" t="n"/>
      <s:c r="C12713" s="121" t="n"/>
      <s:c r="D12713" s="121" t="n"/>
      <s:c r="E12713" s="122" t="n"/>
    </s:row>
    <s:row r="12714" hidden="1" ht="1" customHeight="1">
      <s:c r="A12714" s="120" t="inlineStr"/>
      <s:c r="B12714" s="121" t="n"/>
      <s:c r="C12714" s="121" t="n"/>
      <s:c r="D12714" s="121" t="n"/>
      <s:c r="E12714" s="122" t="n"/>
    </s:row>
    <s:row r="12715" hidden="1" ht="1" customHeight="1">
      <s:c r="A12715" s="120" t="inlineStr"/>
      <s:c r="B12715" s="121" t="n"/>
      <s:c r="C12715" s="121" t="n"/>
      <s:c r="D12715" s="121" t="n"/>
      <s:c r="E12715" s="122" t="n"/>
    </s:row>
    <s:row r="12716" hidden="1" ht="1" customHeight="1">
      <s:c r="A12716" s="120" t="inlineStr"/>
      <s:c r="B12716" s="121" t="n"/>
      <s:c r="C12716" s="121" t="n"/>
      <s:c r="D12716" s="121" t="n"/>
      <s:c r="E12716" s="122" t="n"/>
    </s:row>
    <s:row r="12717" hidden="1" ht="1" customHeight="1">
      <s:c r="A12717" s="120" t="inlineStr"/>
      <s:c r="B12717" s="121" t="n"/>
      <s:c r="C12717" s="121" t="n"/>
      <s:c r="D12717" s="121" t="n"/>
      <s:c r="E12717" s="122" t="n"/>
    </s:row>
    <s:row r="12718" hidden="1" ht="1" customHeight="1">
      <s:c r="A12718" s="120" t="inlineStr"/>
      <s:c r="B12718" s="121" t="n"/>
      <s:c r="C12718" s="121" t="n"/>
      <s:c r="D12718" s="121" t="n"/>
      <s:c r="E12718" s="122" t="n"/>
    </s:row>
    <s:row r="12719" hidden="1" ht="1" customHeight="1">
      <s:c r="A12719" s="120" t="inlineStr"/>
      <s:c r="B12719" s="121" t="n"/>
      <s:c r="C12719" s="121" t="n"/>
      <s:c r="D12719" s="121" t="n"/>
      <s:c r="E12719" s="122" t="n"/>
    </s:row>
    <s:row r="12720" hidden="1" ht="1" customHeight="1">
      <s:c r="A12720" s="120" t="inlineStr"/>
      <s:c r="B12720" s="121" t="n"/>
      <s:c r="C12720" s="121" t="n"/>
      <s:c r="D12720" s="121" t="n"/>
      <s:c r="E12720" s="122" t="n"/>
    </s:row>
    <s:row r="12721" hidden="1" ht="1" customHeight="1">
      <s:c r="A12721" s="120" t="inlineStr"/>
      <s:c r="B12721" s="121" t="n"/>
      <s:c r="C12721" s="121" t="n"/>
      <s:c r="D12721" s="121" t="n"/>
      <s:c r="E12721" s="122" t="n"/>
    </s:row>
    <s:row r="12722" hidden="1" ht="1" customHeight="1">
      <s:c r="A12722" s="120" t="inlineStr"/>
      <s:c r="B12722" s="121" t="n"/>
      <s:c r="C12722" s="121" t="n"/>
      <s:c r="D12722" s="121" t="n"/>
      <s:c r="E12722" s="122" t="n"/>
    </s:row>
    <s:row r="12723" hidden="1" ht="1" customHeight="1">
      <s:c r="A12723" s="120" t="inlineStr"/>
      <s:c r="B12723" s="121" t="n"/>
      <s:c r="C12723" s="121" t="n"/>
      <s:c r="D12723" s="121" t="n"/>
      <s:c r="E12723" s="122" t="n"/>
    </s:row>
    <s:row r="12724" hidden="1" ht="1" customHeight="1">
      <s:c r="A12724" s="120" t="inlineStr"/>
      <s:c r="B12724" s="121" t="n"/>
      <s:c r="C12724" s="121" t="n"/>
      <s:c r="D12724" s="121" t="n"/>
      <s:c r="E12724" s="122" t="n"/>
    </s:row>
    <s:row r="12725" hidden="1" ht="1" customHeight="1">
      <s:c r="A12725" s="120" t="inlineStr"/>
      <s:c r="B12725" s="121" t="n"/>
      <s:c r="C12725" s="121" t="n"/>
      <s:c r="D12725" s="121" t="n"/>
      <s:c r="E12725" s="122" t="n"/>
    </s:row>
    <s:row r="12726" hidden="1" ht="1" customHeight="1">
      <s:c r="A12726" s="120" t="inlineStr"/>
      <s:c r="B12726" s="121" t="n"/>
      <s:c r="C12726" s="121" t="n"/>
      <s:c r="D12726" s="121" t="n"/>
      <s:c r="E12726" s="122" t="n"/>
    </s:row>
    <s:row r="12727" hidden="1" ht="1" customHeight="1">
      <s:c r="A12727" s="120" t="inlineStr"/>
      <s:c r="B12727" s="121" t="n"/>
      <s:c r="C12727" s="121" t="n"/>
      <s:c r="D12727" s="121" t="n"/>
      <s:c r="E12727" s="122" t="n"/>
    </s:row>
    <s:row r="12728" hidden="1" ht="1" customHeight="1">
      <s:c r="A12728" s="120" t="inlineStr"/>
      <s:c r="B12728" s="121" t="n"/>
      <s:c r="C12728" s="121" t="n"/>
      <s:c r="D12728" s="121" t="n"/>
      <s:c r="E12728" s="122" t="n"/>
    </s:row>
    <s:row r="12729" hidden="1" ht="1" customHeight="1">
      <s:c r="A12729" s="120" t="inlineStr"/>
      <s:c r="B12729" s="121" t="n"/>
      <s:c r="C12729" s="121" t="n"/>
      <s:c r="D12729" s="121" t="n"/>
      <s:c r="E12729" s="122" t="n"/>
    </s:row>
    <s:row r="12730" hidden="1" ht="1" customHeight="1">
      <s:c r="A12730" s="120" t="inlineStr"/>
      <s:c r="B12730" s="121" t="n"/>
      <s:c r="C12730" s="121" t="n"/>
      <s:c r="D12730" s="121" t="n"/>
      <s:c r="E12730" s="122" t="n"/>
    </s:row>
    <s:row r="12731" hidden="1" ht="1" customHeight="1">
      <s:c r="A12731" s="120" t="inlineStr"/>
      <s:c r="B12731" s="121" t="n"/>
      <s:c r="C12731" s="121" t="n"/>
      <s:c r="D12731" s="121" t="n"/>
      <s:c r="E12731" s="122" t="n"/>
    </s:row>
    <s:row r="12732" hidden="1" ht="1" customHeight="1">
      <s:c r="A12732" s="120" t="inlineStr"/>
      <s:c r="B12732" s="121" t="n"/>
      <s:c r="C12732" s="121" t="n"/>
      <s:c r="D12732" s="121" t="n"/>
      <s:c r="E12732" s="122" t="n"/>
    </s:row>
    <s:row r="12733" hidden="1" ht="1" customHeight="1">
      <s:c r="A12733" s="120" t="inlineStr"/>
      <s:c r="B12733" s="121" t="n"/>
      <s:c r="C12733" s="121" t="n"/>
      <s:c r="D12733" s="121" t="n"/>
      <s:c r="E12733" s="122" t="n"/>
    </s:row>
    <s:row r="12734" hidden="1" ht="1" customHeight="1">
      <s:c r="A12734" s="120" t="inlineStr"/>
      <s:c r="B12734" s="121" t="n"/>
      <s:c r="C12734" s="121" t="n"/>
      <s:c r="D12734" s="121" t="n"/>
      <s:c r="E12734" s="122" t="n"/>
    </s:row>
    <s:row r="12735" hidden="1" ht="1" customHeight="1">
      <s:c r="A12735" s="120" t="inlineStr"/>
      <s:c r="B12735" s="121" t="n"/>
      <s:c r="C12735" s="121" t="n"/>
      <s:c r="D12735" s="121" t="n"/>
      <s:c r="E12735" s="122" t="n"/>
    </s:row>
    <s:row r="12736" hidden="1" ht="1" customHeight="1">
      <s:c r="A12736" s="120" t="inlineStr"/>
      <s:c r="B12736" s="121" t="n"/>
      <s:c r="C12736" s="121" t="n"/>
      <s:c r="D12736" s="121" t="n"/>
      <s:c r="E12736" s="122" t="n"/>
    </s:row>
    <s:row r="12737" hidden="1" ht="1" customHeight="1">
      <s:c r="A12737" s="120" t="inlineStr"/>
      <s:c r="B12737" s="121" t="n"/>
      <s:c r="C12737" s="121" t="n"/>
      <s:c r="D12737" s="121" t="n"/>
      <s:c r="E12737" s="122" t="n"/>
    </s:row>
    <s:row r="12738" hidden="1" ht="1" customHeight="1">
      <s:c r="A12738" s="120" t="inlineStr"/>
      <s:c r="B12738" s="121" t="n"/>
      <s:c r="C12738" s="121" t="n"/>
      <s:c r="D12738" s="121" t="n"/>
      <s:c r="E12738" s="122" t="n"/>
    </s:row>
    <s:row r="12739" hidden="1" ht="1" customHeight="1">
      <s:c r="A12739" s="120" t="inlineStr"/>
      <s:c r="B12739" s="121" t="n"/>
      <s:c r="C12739" s="121" t="n"/>
      <s:c r="D12739" s="121" t="n"/>
      <s:c r="E12739" s="122" t="n"/>
    </s:row>
    <s:row r="12740" hidden="1" ht="1" customHeight="1">
      <s:c r="A12740" s="120" t="inlineStr"/>
      <s:c r="B12740" s="121" t="n"/>
      <s:c r="C12740" s="121" t="n"/>
      <s:c r="D12740" s="121" t="n"/>
      <s:c r="E12740" s="122" t="n"/>
    </s:row>
    <s:row r="12741" hidden="1" ht="1" customHeight="1">
      <s:c r="A12741" s="120" t="inlineStr"/>
      <s:c r="B12741" s="121" t="n"/>
      <s:c r="C12741" s="121" t="n"/>
      <s:c r="D12741" s="121" t="n"/>
      <s:c r="E12741" s="122" t="n"/>
    </s:row>
    <s:row r="12742" hidden="1" ht="1" customHeight="1">
      <s:c r="A12742" s="120" t="inlineStr"/>
      <s:c r="B12742" s="121" t="n"/>
      <s:c r="C12742" s="121" t="n"/>
      <s:c r="D12742" s="121" t="n"/>
      <s:c r="E12742" s="122" t="n"/>
    </s:row>
    <s:row r="12743" hidden="1" ht="1" customHeight="1">
      <s:c r="A12743" s="120" t="inlineStr"/>
      <s:c r="B12743" s="121" t="n"/>
      <s:c r="C12743" s="121" t="n"/>
      <s:c r="D12743" s="121" t="n"/>
      <s:c r="E12743" s="122" t="n"/>
    </s:row>
    <s:row r="12744" hidden="1" ht="1" customHeight="1">
      <s:c r="A12744" s="120" t="inlineStr"/>
      <s:c r="B12744" s="121" t="n"/>
      <s:c r="C12744" s="121" t="n"/>
      <s:c r="D12744" s="121" t="n"/>
      <s:c r="E12744" s="122" t="n"/>
    </s:row>
    <s:row r="12745" hidden="1" ht="1" customHeight="1">
      <s:c r="A12745" s="120" t="inlineStr"/>
      <s:c r="B12745" s="121" t="n"/>
      <s:c r="C12745" s="121" t="n"/>
      <s:c r="D12745" s="121" t="n"/>
      <s:c r="E12745" s="122" t="n"/>
    </s:row>
    <s:row r="12746" hidden="1" ht="1" customHeight="1">
      <s:c r="A12746" s="120" t="inlineStr"/>
      <s:c r="B12746" s="121" t="n"/>
      <s:c r="C12746" s="121" t="n"/>
      <s:c r="D12746" s="121" t="n"/>
      <s:c r="E12746" s="122" t="n"/>
    </s:row>
    <s:row r="12747" hidden="1" ht="1" customHeight="1">
      <s:c r="A12747" s="120" t="inlineStr"/>
      <s:c r="B12747" s="121" t="n"/>
      <s:c r="C12747" s="121" t="n"/>
      <s:c r="D12747" s="121" t="n"/>
      <s:c r="E12747" s="122" t="n"/>
    </s:row>
    <s:row r="12748" hidden="1" ht="1" customHeight="1">
      <s:c r="A12748" s="120" t="inlineStr"/>
      <s:c r="B12748" s="121" t="n"/>
      <s:c r="C12748" s="121" t="n"/>
      <s:c r="D12748" s="121" t="n"/>
      <s:c r="E12748" s="122" t="n"/>
    </s:row>
    <s:row r="12749" hidden="1" ht="1" customHeight="1">
      <s:c r="A12749" s="120" t="inlineStr"/>
      <s:c r="B12749" s="121" t="n"/>
      <s:c r="C12749" s="121" t="n"/>
      <s:c r="D12749" s="121" t="n"/>
      <s:c r="E12749" s="122" t="n"/>
    </s:row>
    <s:row r="12750" hidden="1" ht="1" customHeight="1">
      <s:c r="A12750" s="120" t="inlineStr"/>
      <s:c r="B12750" s="121" t="n"/>
      <s:c r="C12750" s="121" t="n"/>
      <s:c r="D12750" s="121" t="n"/>
      <s:c r="E12750" s="122" t="n"/>
    </s:row>
    <s:row r="12751" hidden="1" ht="1" customHeight="1">
      <s:c r="A12751" s="120" t="inlineStr"/>
      <s:c r="B12751" s="121" t="n"/>
      <s:c r="C12751" s="121" t="n"/>
      <s:c r="D12751" s="121" t="n"/>
      <s:c r="E12751" s="122" t="n"/>
    </s:row>
    <s:row r="12752" hidden="1" ht="1" customHeight="1">
      <s:c r="A12752" s="120" t="inlineStr"/>
      <s:c r="B12752" s="121" t="n"/>
      <s:c r="C12752" s="121" t="n"/>
      <s:c r="D12752" s="121" t="n"/>
      <s:c r="E12752" s="122" t="n"/>
    </s:row>
    <s:row r="12753" hidden="1" ht="1" customHeight="1">
      <s:c r="A12753" s="120" t="inlineStr"/>
      <s:c r="B12753" s="121" t="n"/>
      <s:c r="C12753" s="121" t="n"/>
      <s:c r="D12753" s="121" t="n"/>
      <s:c r="E12753" s="122" t="n"/>
    </s:row>
    <s:row r="12754" hidden="1" ht="1" customHeight="1">
      <s:c r="A12754" s="120" t="inlineStr"/>
      <s:c r="B12754" s="121" t="n"/>
      <s:c r="C12754" s="121" t="n"/>
      <s:c r="D12754" s="121" t="n"/>
      <s:c r="E12754" s="122" t="n"/>
    </s:row>
    <s:row r="12755" hidden="1" ht="1" customHeight="1">
      <s:c r="A12755" s="120" t="inlineStr"/>
      <s:c r="B12755" s="121" t="n"/>
      <s:c r="C12755" s="121" t="n"/>
      <s:c r="D12755" s="121" t="n"/>
      <s:c r="E12755" s="122" t="n"/>
    </s:row>
    <s:row r="12756" hidden="1" ht="1" customHeight="1">
      <s:c r="A12756" s="120" t="inlineStr"/>
      <s:c r="B12756" s="121" t="n"/>
      <s:c r="C12756" s="121" t="n"/>
      <s:c r="D12756" s="121" t="n"/>
      <s:c r="E12756" s="122" t="n"/>
    </s:row>
    <s:row r="12757" hidden="1" ht="1" customHeight="1">
      <s:c r="A12757" s="120" t="inlineStr"/>
      <s:c r="B12757" s="121" t="n"/>
      <s:c r="C12757" s="121" t="n"/>
      <s:c r="D12757" s="121" t="n"/>
      <s:c r="E12757" s="122" t="n"/>
    </s:row>
    <s:row r="12758" hidden="1" ht="1" customHeight="1">
      <s:c r="A12758" s="120" t="inlineStr"/>
      <s:c r="B12758" s="121" t="n"/>
      <s:c r="C12758" s="121" t="n"/>
      <s:c r="D12758" s="121" t="n"/>
      <s:c r="E12758" s="122" t="n"/>
    </s:row>
    <s:row r="12759" hidden="1" ht="1" customHeight="1">
      <s:c r="A12759" s="120" t="inlineStr"/>
      <s:c r="B12759" s="121" t="n"/>
      <s:c r="C12759" s="121" t="n"/>
      <s:c r="D12759" s="121" t="n"/>
      <s:c r="E12759" s="122" t="n"/>
    </s:row>
    <s:row r="12760" hidden="1" ht="1" customHeight="1">
      <s:c r="A12760" s="120" t="inlineStr"/>
      <s:c r="B12760" s="121" t="n"/>
      <s:c r="C12760" s="121" t="n"/>
      <s:c r="D12760" s="121" t="n"/>
      <s:c r="E12760" s="122" t="n"/>
    </s:row>
    <s:row r="12761" hidden="1" ht="1" customHeight="1">
      <s:c r="A12761" s="120" t="inlineStr"/>
      <s:c r="B12761" s="121" t="n"/>
      <s:c r="C12761" s="121" t="n"/>
      <s:c r="D12761" s="121" t="n"/>
      <s:c r="E12761" s="122" t="n"/>
    </s:row>
    <s:row r="12762" hidden="1" ht="1" customHeight="1">
      <s:c r="A12762" s="120" t="inlineStr"/>
      <s:c r="B12762" s="121" t="n"/>
      <s:c r="C12762" s="121" t="n"/>
      <s:c r="D12762" s="121" t="n"/>
      <s:c r="E12762" s="122" t="n"/>
    </s:row>
    <s:row r="12763" hidden="1" ht="1" customHeight="1">
      <s:c r="A12763" s="120" t="inlineStr"/>
      <s:c r="B12763" s="121" t="n"/>
      <s:c r="C12763" s="121" t="n"/>
      <s:c r="D12763" s="121" t="n"/>
      <s:c r="E12763" s="122" t="n"/>
    </s:row>
    <s:row r="12764" hidden="1" ht="1" customHeight="1">
      <s:c r="A12764" s="120" t="inlineStr"/>
      <s:c r="B12764" s="121" t="n"/>
      <s:c r="C12764" s="121" t="n"/>
      <s:c r="D12764" s="121" t="n"/>
      <s:c r="E12764" s="122" t="n"/>
    </s:row>
    <s:row r="12765" hidden="1" ht="1" customHeight="1">
      <s:c r="A12765" s="120" t="inlineStr"/>
      <s:c r="B12765" s="121" t="n"/>
      <s:c r="C12765" s="121" t="n"/>
      <s:c r="D12765" s="121" t="n"/>
      <s:c r="E12765" s="122" t="n"/>
    </s:row>
    <s:row r="12766" hidden="1" ht="1" customHeight="1">
      <s:c r="A12766" s="120" t="inlineStr"/>
      <s:c r="B12766" s="121" t="n"/>
      <s:c r="C12766" s="121" t="n"/>
      <s:c r="D12766" s="121" t="n"/>
      <s:c r="E12766" s="122" t="n"/>
    </s:row>
    <s:row r="12767" hidden="1" ht="1" customHeight="1">
      <s:c r="A12767" s="120" t="inlineStr"/>
      <s:c r="B12767" s="121" t="n"/>
      <s:c r="C12767" s="121" t="n"/>
      <s:c r="D12767" s="121" t="n"/>
      <s:c r="E12767" s="122" t="n"/>
    </s:row>
    <s:row r="12768" hidden="1" ht="1" customHeight="1">
      <s:c r="A12768" s="120" t="inlineStr"/>
      <s:c r="B12768" s="121" t="n"/>
      <s:c r="C12768" s="121" t="n"/>
      <s:c r="D12768" s="121" t="n"/>
      <s:c r="E12768" s="122" t="n"/>
    </s:row>
    <s:row r="12769" hidden="1" ht="1" customHeight="1">
      <s:c r="A12769" s="120" t="inlineStr"/>
      <s:c r="B12769" s="121" t="n"/>
      <s:c r="C12769" s="121" t="n"/>
      <s:c r="D12769" s="121" t="n"/>
      <s:c r="E12769" s="122" t="n"/>
    </s:row>
    <s:row r="12770" hidden="1" ht="1" customHeight="1">
      <s:c r="A12770" s="120" t="inlineStr"/>
      <s:c r="B12770" s="121" t="n"/>
      <s:c r="C12770" s="121" t="n"/>
      <s:c r="D12770" s="121" t="n"/>
      <s:c r="E12770" s="122" t="n"/>
    </s:row>
    <s:row r="12771" hidden="1" ht="1" customHeight="1">
      <s:c r="A12771" s="120" t="inlineStr"/>
      <s:c r="B12771" s="121" t="n"/>
      <s:c r="C12771" s="121" t="n"/>
      <s:c r="D12771" s="121" t="n"/>
      <s:c r="E12771" s="122" t="n"/>
    </s:row>
    <s:row r="12772" hidden="1" ht="1" customHeight="1">
      <s:c r="A12772" s="120" t="inlineStr"/>
      <s:c r="B12772" s="121" t="n"/>
      <s:c r="C12772" s="121" t="n"/>
      <s:c r="D12772" s="121" t="n"/>
      <s:c r="E12772" s="122" t="n"/>
    </s:row>
    <s:row r="12773" hidden="1" ht="1" customHeight="1">
      <s:c r="A12773" s="120" t="inlineStr"/>
      <s:c r="B12773" s="121" t="n"/>
      <s:c r="C12773" s="121" t="n"/>
      <s:c r="D12773" s="121" t="n"/>
      <s:c r="E12773" s="122" t="n"/>
    </s:row>
    <s:row r="12774" hidden="1" ht="1" customHeight="1">
      <s:c r="A12774" s="120" t="inlineStr"/>
      <s:c r="B12774" s="121" t="n"/>
      <s:c r="C12774" s="121" t="n"/>
      <s:c r="D12774" s="121" t="n"/>
      <s:c r="E12774" s="122" t="n"/>
    </s:row>
    <s:row r="12775" hidden="1" ht="1" customHeight="1">
      <s:c r="A12775" s="120" t="inlineStr"/>
      <s:c r="B12775" s="121" t="n"/>
      <s:c r="C12775" s="121" t="n"/>
      <s:c r="D12775" s="121" t="n"/>
      <s:c r="E12775" s="122" t="n"/>
    </s:row>
    <s:row r="12776" hidden="1" ht="1" customHeight="1">
      <s:c r="A12776" s="120" t="inlineStr"/>
      <s:c r="B12776" s="121" t="n"/>
      <s:c r="C12776" s="121" t="n"/>
      <s:c r="D12776" s="121" t="n"/>
      <s:c r="E12776" s="122" t="n"/>
    </s:row>
    <s:row r="12777" hidden="1" ht="1" customHeight="1">
      <s:c r="A12777" s="120" t="inlineStr"/>
      <s:c r="B12777" s="121" t="n"/>
      <s:c r="C12777" s="121" t="n"/>
      <s:c r="D12777" s="121" t="n"/>
      <s:c r="E12777" s="122" t="n"/>
    </s:row>
    <s:row r="12778" hidden="1" ht="1" customHeight="1">
      <s:c r="A12778" s="120" t="inlineStr"/>
      <s:c r="B12778" s="121" t="n"/>
      <s:c r="C12778" s="121" t="n"/>
      <s:c r="D12778" s="121" t="n"/>
      <s:c r="E12778" s="122" t="n"/>
    </s:row>
    <s:row r="12779" hidden="1" ht="1" customHeight="1">
      <s:c r="A12779" s="120" t="inlineStr"/>
      <s:c r="B12779" s="121" t="n"/>
      <s:c r="C12779" s="121" t="n"/>
      <s:c r="D12779" s="121" t="n"/>
      <s:c r="E12779" s="122" t="n"/>
    </s:row>
    <s:row r="12780" hidden="1" ht="1" customHeight="1">
      <s:c r="A12780" s="120" t="inlineStr"/>
      <s:c r="B12780" s="121" t="n"/>
      <s:c r="C12780" s="121" t="n"/>
      <s:c r="D12780" s="121" t="n"/>
      <s:c r="E12780" s="122" t="n"/>
    </s:row>
    <s:row r="12781" hidden="1" ht="1" customHeight="1">
      <s:c r="A12781" s="120" t="inlineStr"/>
      <s:c r="B12781" s="121" t="n"/>
      <s:c r="C12781" s="121" t="n"/>
      <s:c r="D12781" s="121" t="n"/>
      <s:c r="E12781" s="122" t="n"/>
    </s:row>
    <s:row r="12782" hidden="1" ht="1" customHeight="1">
      <s:c r="A12782" s="120" t="inlineStr"/>
      <s:c r="B12782" s="121" t="n"/>
      <s:c r="C12782" s="121" t="n"/>
      <s:c r="D12782" s="121" t="n"/>
      <s:c r="E12782" s="122" t="n"/>
    </s:row>
    <s:row r="12783" hidden="1" ht="1" customHeight="1">
      <s:c r="A12783" s="120" t="inlineStr"/>
      <s:c r="B12783" s="121" t="n"/>
      <s:c r="C12783" s="121" t="n"/>
      <s:c r="D12783" s="121" t="n"/>
      <s:c r="E12783" s="122" t="n"/>
    </s:row>
    <s:row r="12784" hidden="1" ht="1" customHeight="1">
      <s:c r="A12784" s="120" t="inlineStr"/>
      <s:c r="B12784" s="121" t="n"/>
      <s:c r="C12784" s="121" t="n"/>
      <s:c r="D12784" s="121" t="n"/>
      <s:c r="E12784" s="122" t="n"/>
    </s:row>
    <s:row r="12785" hidden="1" ht="1" customHeight="1">
      <s:c r="A12785" s="120" t="inlineStr"/>
      <s:c r="B12785" s="121" t="n"/>
      <s:c r="C12785" s="121" t="n"/>
      <s:c r="D12785" s="121" t="n"/>
      <s:c r="E12785" s="122" t="n"/>
    </s:row>
    <s:row r="12786" hidden="1" ht="1" customHeight="1">
      <s:c r="A12786" s="120" t="inlineStr"/>
      <s:c r="B12786" s="121" t="n"/>
      <s:c r="C12786" s="121" t="n"/>
      <s:c r="D12786" s="121" t="n"/>
      <s:c r="E12786" s="122" t="n"/>
    </s:row>
    <s:row r="12787" hidden="1" ht="1" customHeight="1">
      <s:c r="A12787" s="120" t="inlineStr"/>
      <s:c r="B12787" s="121" t="n"/>
      <s:c r="C12787" s="121" t="n"/>
      <s:c r="D12787" s="121" t="n"/>
      <s:c r="E12787" s="122" t="n"/>
    </s:row>
    <s:row r="12788" hidden="1" ht="1" customHeight="1">
      <s:c r="A12788" s="120" t="inlineStr"/>
      <s:c r="B12788" s="121" t="n"/>
      <s:c r="C12788" s="121" t="n"/>
      <s:c r="D12788" s="121" t="n"/>
      <s:c r="E12788" s="122" t="n"/>
    </s:row>
    <s:row r="12789" hidden="1" ht="1" customHeight="1">
      <s:c r="A12789" s="120" t="inlineStr"/>
      <s:c r="B12789" s="121" t="n"/>
      <s:c r="C12789" s="121" t="n"/>
      <s:c r="D12789" s="121" t="n"/>
      <s:c r="E12789" s="122" t="n"/>
    </s:row>
    <s:row r="12790" hidden="1" ht="1" customHeight="1">
      <s:c r="A12790" s="120" t="inlineStr"/>
      <s:c r="B12790" s="121" t="n"/>
      <s:c r="C12790" s="121" t="n"/>
      <s:c r="D12790" s="121" t="n"/>
      <s:c r="E12790" s="122" t="n"/>
    </s:row>
    <s:row r="12791" hidden="1" ht="1" customHeight="1">
      <s:c r="A12791" s="120" t="inlineStr"/>
      <s:c r="B12791" s="121" t="n"/>
      <s:c r="C12791" s="121" t="n"/>
      <s:c r="D12791" s="121" t="n"/>
      <s:c r="E12791" s="122" t="n"/>
    </s:row>
    <s:row r="12792" hidden="1" ht="1" customHeight="1">
      <s:c r="A12792" s="120" t="inlineStr"/>
      <s:c r="B12792" s="121" t="n"/>
      <s:c r="C12792" s="121" t="n"/>
      <s:c r="D12792" s="121" t="n"/>
      <s:c r="E12792" s="122" t="n"/>
    </s:row>
    <s:row r="12793" hidden="1" ht="1" customHeight="1">
      <s:c r="A12793" s="120" t="inlineStr"/>
      <s:c r="B12793" s="121" t="n"/>
      <s:c r="C12793" s="121" t="n"/>
      <s:c r="D12793" s="121" t="n"/>
      <s:c r="E12793" s="122" t="n"/>
    </s:row>
    <s:row r="12794" hidden="1" ht="1" customHeight="1">
      <s:c r="A12794" s="120" t="inlineStr"/>
      <s:c r="B12794" s="121" t="n"/>
      <s:c r="C12794" s="121" t="n"/>
      <s:c r="D12794" s="121" t="n"/>
      <s:c r="E12794" s="122" t="n"/>
    </s:row>
    <s:row r="12795" hidden="1" ht="1" customHeight="1">
      <s:c r="A12795" s="120" t="inlineStr"/>
      <s:c r="B12795" s="121" t="n"/>
      <s:c r="C12795" s="121" t="n"/>
      <s:c r="D12795" s="121" t="n"/>
      <s:c r="E12795" s="122" t="n"/>
    </s:row>
    <s:row r="12796" hidden="1" ht="1" customHeight="1">
      <s:c r="A12796" s="120" t="inlineStr"/>
      <s:c r="B12796" s="121" t="n"/>
      <s:c r="C12796" s="121" t="n"/>
      <s:c r="D12796" s="121" t="n"/>
      <s:c r="E12796" s="122" t="n"/>
    </s:row>
    <s:row r="12797" hidden="1" ht="1" customHeight="1">
      <s:c r="A12797" s="120" t="inlineStr"/>
      <s:c r="B12797" s="121" t="n"/>
      <s:c r="C12797" s="121" t="n"/>
      <s:c r="D12797" s="121" t="n"/>
      <s:c r="E12797" s="122" t="n"/>
    </s:row>
    <s:row r="12798" hidden="1" ht="1" customHeight="1">
      <s:c r="A12798" s="120" t="inlineStr"/>
      <s:c r="B12798" s="121" t="n"/>
      <s:c r="C12798" s="121" t="n"/>
      <s:c r="D12798" s="121" t="n"/>
      <s:c r="E12798" s="122" t="n"/>
    </s:row>
    <s:row r="12799" hidden="1" ht="1" customHeight="1">
      <s:c r="A12799" s="120" t="inlineStr"/>
      <s:c r="B12799" s="121" t="n"/>
      <s:c r="C12799" s="121" t="n"/>
      <s:c r="D12799" s="121" t="n"/>
      <s:c r="E12799" s="122" t="n"/>
    </s:row>
    <s:row r="12800" hidden="1" ht="1" customHeight="1">
      <s:c r="A12800" s="120" t="inlineStr"/>
      <s:c r="B12800" s="121" t="n"/>
      <s:c r="C12800" s="121" t="n"/>
      <s:c r="D12800" s="121" t="n"/>
      <s:c r="E12800" s="122" t="n"/>
    </s:row>
    <s:row r="12801" hidden="1" ht="1" customHeight="1">
      <s:c r="A12801" s="120" t="inlineStr"/>
      <s:c r="B12801" s="121" t="n"/>
      <s:c r="C12801" s="121" t="n"/>
      <s:c r="D12801" s="121" t="n"/>
      <s:c r="E12801" s="122" t="n"/>
    </s:row>
    <s:row r="12802" hidden="1" ht="1" customHeight="1">
      <s:c r="A12802" s="120" t="inlineStr"/>
      <s:c r="B12802" s="121" t="n"/>
      <s:c r="C12802" s="121" t="n"/>
      <s:c r="D12802" s="121" t="n"/>
      <s:c r="E12802" s="122" t="n"/>
    </s:row>
    <s:row r="12803" hidden="1" ht="1" customHeight="1">
      <s:c r="A12803" s="120" t="inlineStr"/>
      <s:c r="B12803" s="121" t="n"/>
      <s:c r="C12803" s="121" t="n"/>
      <s:c r="D12803" s="121" t="n"/>
      <s:c r="E12803" s="122" t="n"/>
    </s:row>
    <s:row r="12804" hidden="1" ht="1" customHeight="1">
      <s:c r="A12804" s="120" t="inlineStr"/>
      <s:c r="B12804" s="121" t="n"/>
      <s:c r="C12804" s="121" t="n"/>
      <s:c r="D12804" s="121" t="n"/>
      <s:c r="E12804" s="122" t="n"/>
    </s:row>
    <s:row r="12805" hidden="1" ht="1" customHeight="1">
      <s:c r="A12805" s="120" t="inlineStr"/>
      <s:c r="B12805" s="121" t="n"/>
      <s:c r="C12805" s="121" t="n"/>
      <s:c r="D12805" s="121" t="n"/>
      <s:c r="E12805" s="122" t="n"/>
    </s:row>
    <s:row r="12806" hidden="1" ht="1" customHeight="1">
      <s:c r="A12806" s="120" t="inlineStr"/>
      <s:c r="B12806" s="121" t="n"/>
      <s:c r="C12806" s="121" t="n"/>
      <s:c r="D12806" s="121" t="n"/>
      <s:c r="E12806" s="122" t="n"/>
    </s:row>
    <s:row r="12807" hidden="1" ht="1" customHeight="1">
      <s:c r="A12807" s="120" t="inlineStr"/>
      <s:c r="B12807" s="121" t="n"/>
      <s:c r="C12807" s="121" t="n"/>
      <s:c r="D12807" s="121" t="n"/>
      <s:c r="E12807" s="122" t="n"/>
    </s:row>
    <s:row r="12808" hidden="1" ht="1" customHeight="1">
      <s:c r="A12808" s="120" t="inlineStr"/>
      <s:c r="B12808" s="121" t="n"/>
      <s:c r="C12808" s="121" t="n"/>
      <s:c r="D12808" s="121" t="n"/>
      <s:c r="E12808" s="122" t="n"/>
    </s:row>
    <s:row r="12809" hidden="1" ht="1" customHeight="1">
      <s:c r="A12809" s="120" t="inlineStr"/>
      <s:c r="B12809" s="121" t="n"/>
      <s:c r="C12809" s="121" t="n"/>
      <s:c r="D12809" s="121" t="n"/>
      <s:c r="E12809" s="122" t="n"/>
    </s:row>
    <s:row r="12810" hidden="1" ht="1" customHeight="1">
      <s:c r="A12810" s="120" t="inlineStr"/>
      <s:c r="B12810" s="121" t="n"/>
      <s:c r="C12810" s="121" t="n"/>
      <s:c r="D12810" s="121" t="n"/>
      <s:c r="E12810" s="122" t="n"/>
    </s:row>
    <s:row r="12811" hidden="1" ht="1" customHeight="1">
      <s:c r="A12811" s="120" t="inlineStr"/>
      <s:c r="B12811" s="121" t="n"/>
      <s:c r="C12811" s="121" t="n"/>
      <s:c r="D12811" s="121" t="n"/>
      <s:c r="E12811" s="122" t="n"/>
    </s:row>
    <s:row r="12812" hidden="1" ht="1" customHeight="1">
      <s:c r="A12812" s="120" t="inlineStr"/>
      <s:c r="B12812" s="121" t="n"/>
      <s:c r="C12812" s="121" t="n"/>
      <s:c r="D12812" s="121" t="n"/>
      <s:c r="E12812" s="122" t="n"/>
    </s:row>
    <s:row r="12813" hidden="1" ht="1" customHeight="1">
      <s:c r="A12813" s="120" t="inlineStr"/>
      <s:c r="B12813" s="121" t="n"/>
      <s:c r="C12813" s="121" t="n"/>
      <s:c r="D12813" s="121" t="n"/>
      <s:c r="E12813" s="122" t="n"/>
    </s:row>
    <s:row r="12814" hidden="1" ht="1" customHeight="1">
      <s:c r="A12814" s="120" t="inlineStr"/>
      <s:c r="B12814" s="121" t="n"/>
      <s:c r="C12814" s="121" t="n"/>
      <s:c r="D12814" s="121" t="n"/>
      <s:c r="E12814" s="122" t="n"/>
    </s:row>
    <s:row r="12815" hidden="1" ht="1" customHeight="1">
      <s:c r="A12815" s="120" t="inlineStr"/>
      <s:c r="B12815" s="121" t="n"/>
      <s:c r="C12815" s="121" t="n"/>
      <s:c r="D12815" s="121" t="n"/>
      <s:c r="E12815" s="122" t="n"/>
    </s:row>
    <s:row r="12816" hidden="1" ht="1" customHeight="1">
      <s:c r="A12816" s="120" t="inlineStr"/>
      <s:c r="B12816" s="121" t="n"/>
      <s:c r="C12816" s="121" t="n"/>
      <s:c r="D12816" s="121" t="n"/>
      <s:c r="E12816" s="122" t="n"/>
    </s:row>
    <s:row r="12817" hidden="1" ht="1" customHeight="1">
      <s:c r="A12817" s="120" t="inlineStr"/>
      <s:c r="B12817" s="121" t="n"/>
      <s:c r="C12817" s="121" t="n"/>
      <s:c r="D12817" s="121" t="n"/>
      <s:c r="E12817" s="122" t="n"/>
    </s:row>
    <s:row r="12818" hidden="1" ht="1" customHeight="1">
      <s:c r="A12818" s="120" t="inlineStr"/>
      <s:c r="B12818" s="121" t="n"/>
      <s:c r="C12818" s="121" t="n"/>
      <s:c r="D12818" s="121" t="n"/>
      <s:c r="E12818" s="122" t="n"/>
    </s:row>
    <s:row r="12819" hidden="1" ht="1" customHeight="1">
      <s:c r="A12819" s="120" t="inlineStr"/>
      <s:c r="B12819" s="121" t="n"/>
      <s:c r="C12819" s="121" t="n"/>
      <s:c r="D12819" s="121" t="n"/>
      <s:c r="E12819" s="122" t="n"/>
    </s:row>
    <s:row r="12820" hidden="1" ht="1" customHeight="1">
      <s:c r="A12820" s="120" t="inlineStr"/>
      <s:c r="B12820" s="121" t="n"/>
      <s:c r="C12820" s="121" t="n"/>
      <s:c r="D12820" s="121" t="n"/>
      <s:c r="E12820" s="122" t="n"/>
    </s:row>
    <s:row r="12821" hidden="1" ht="1" customHeight="1">
      <s:c r="A12821" s="120" t="inlineStr"/>
      <s:c r="B12821" s="121" t="n"/>
      <s:c r="C12821" s="121" t="n"/>
      <s:c r="D12821" s="121" t="n"/>
      <s:c r="E12821" s="122" t="n"/>
    </s:row>
    <s:row r="12822" hidden="1" ht="1" customHeight="1">
      <s:c r="A12822" s="120" t="inlineStr"/>
      <s:c r="B12822" s="121" t="n"/>
      <s:c r="C12822" s="121" t="n"/>
      <s:c r="D12822" s="121" t="n"/>
      <s:c r="E12822" s="122" t="n"/>
    </s:row>
    <s:row r="12823" hidden="1" ht="1" customHeight="1">
      <s:c r="A12823" s="120" t="inlineStr"/>
      <s:c r="B12823" s="121" t="n"/>
      <s:c r="C12823" s="121" t="n"/>
      <s:c r="D12823" s="121" t="n"/>
      <s:c r="E12823" s="122" t="n"/>
    </s:row>
    <s:row r="12824" hidden="1" ht="1" customHeight="1">
      <s:c r="A12824" s="120" t="inlineStr"/>
      <s:c r="B12824" s="121" t="n"/>
      <s:c r="C12824" s="121" t="n"/>
      <s:c r="D12824" s="121" t="n"/>
      <s:c r="E12824" s="122" t="n"/>
    </s:row>
    <s:row r="12825" hidden="1" ht="1" customHeight="1">
      <s:c r="A12825" s="120" t="inlineStr"/>
      <s:c r="B12825" s="121" t="n"/>
      <s:c r="C12825" s="121" t="n"/>
      <s:c r="D12825" s="121" t="n"/>
      <s:c r="E12825" s="122" t="n"/>
    </s:row>
    <s:row r="12826" hidden="1" ht="1" customHeight="1">
      <s:c r="A12826" s="120" t="inlineStr"/>
      <s:c r="B12826" s="121" t="n"/>
      <s:c r="C12826" s="121" t="n"/>
      <s:c r="D12826" s="121" t="n"/>
      <s:c r="E12826" s="122" t="n"/>
    </s:row>
    <s:row r="12827" hidden="1" ht="1" customHeight="1">
      <s:c r="A12827" s="120" t="inlineStr"/>
      <s:c r="B12827" s="121" t="n"/>
      <s:c r="C12827" s="121" t="n"/>
      <s:c r="D12827" s="121" t="n"/>
      <s:c r="E12827" s="122" t="n"/>
    </s:row>
    <s:row r="12828" hidden="1" ht="1" customHeight="1">
      <s:c r="A12828" s="120" t="inlineStr"/>
      <s:c r="B12828" s="121" t="n"/>
      <s:c r="C12828" s="121" t="n"/>
      <s:c r="D12828" s="121" t="n"/>
      <s:c r="E12828" s="122" t="n"/>
    </s:row>
    <s:row r="12829" hidden="1" ht="1" customHeight="1">
      <s:c r="A12829" s="120" t="inlineStr"/>
      <s:c r="B12829" s="121" t="n"/>
      <s:c r="C12829" s="121" t="n"/>
      <s:c r="D12829" s="121" t="n"/>
      <s:c r="E12829" s="122" t="n"/>
    </s:row>
    <s:row r="12830" hidden="1" ht="1" customHeight="1">
      <s:c r="A12830" s="120" t="inlineStr"/>
      <s:c r="B12830" s="121" t="n"/>
      <s:c r="C12830" s="121" t="n"/>
      <s:c r="D12830" s="121" t="n"/>
      <s:c r="E12830" s="122" t="n"/>
    </s:row>
    <s:row r="12831" hidden="1" ht="1" customHeight="1">
      <s:c r="A12831" s="120" t="inlineStr"/>
      <s:c r="B12831" s="121" t="n"/>
      <s:c r="C12831" s="121" t="n"/>
      <s:c r="D12831" s="121" t="n"/>
      <s:c r="E12831" s="122" t="n"/>
    </s:row>
    <s:row r="12832" hidden="1" ht="1" customHeight="1">
      <s:c r="A12832" s="120" t="inlineStr"/>
      <s:c r="B12832" s="121" t="n"/>
      <s:c r="C12832" s="121" t="n"/>
      <s:c r="D12832" s="121" t="n"/>
      <s:c r="E12832" s="122" t="n"/>
    </s:row>
    <s:row r="12833" hidden="1" ht="1" customHeight="1">
      <s:c r="A12833" s="120" t="inlineStr"/>
      <s:c r="B12833" s="121" t="n"/>
      <s:c r="C12833" s="121" t="n"/>
      <s:c r="D12833" s="121" t="n"/>
      <s:c r="E12833" s="122" t="n"/>
    </s:row>
    <s:row r="12834" hidden="1" ht="1" customHeight="1">
      <s:c r="A12834" s="120" t="inlineStr"/>
      <s:c r="B12834" s="121" t="n"/>
      <s:c r="C12834" s="121" t="n"/>
      <s:c r="D12834" s="121" t="n"/>
      <s:c r="E12834" s="122" t="n"/>
    </s:row>
    <s:row r="12835" hidden="1" ht="1" customHeight="1">
      <s:c r="A12835" s="120" t="inlineStr"/>
      <s:c r="B12835" s="121" t="n"/>
      <s:c r="C12835" s="121" t="n"/>
      <s:c r="D12835" s="121" t="n"/>
      <s:c r="E12835" s="122" t="n"/>
    </s:row>
    <s:row r="12836" hidden="1" ht="1" customHeight="1">
      <s:c r="A12836" s="120" t="inlineStr"/>
      <s:c r="B12836" s="121" t="n"/>
      <s:c r="C12836" s="121" t="n"/>
      <s:c r="D12836" s="121" t="n"/>
      <s:c r="E12836" s="122" t="n"/>
    </s:row>
    <s:row r="12837" hidden="1" ht="1" customHeight="1">
      <s:c r="A12837" s="120" t="inlineStr"/>
      <s:c r="B12837" s="121" t="n"/>
      <s:c r="C12837" s="121" t="n"/>
      <s:c r="D12837" s="121" t="n"/>
      <s:c r="E12837" s="122" t="n"/>
    </s:row>
    <s:row r="12838" hidden="1" ht="1" customHeight="1">
      <s:c r="A12838" s="120" t="inlineStr"/>
      <s:c r="B12838" s="121" t="n"/>
      <s:c r="C12838" s="121" t="n"/>
      <s:c r="D12838" s="121" t="n"/>
      <s:c r="E12838" s="122" t="n"/>
    </s:row>
    <s:row r="12839" hidden="1" ht="1" customHeight="1">
      <s:c r="A12839" s="120" t="inlineStr"/>
      <s:c r="B12839" s="121" t="n"/>
      <s:c r="C12839" s="121" t="n"/>
      <s:c r="D12839" s="121" t="n"/>
      <s:c r="E12839" s="122" t="n"/>
    </s:row>
    <s:row r="12840" hidden="1" ht="1" customHeight="1">
      <s:c r="A12840" s="120" t="inlineStr"/>
      <s:c r="B12840" s="121" t="n"/>
      <s:c r="C12840" s="121" t="n"/>
      <s:c r="D12840" s="121" t="n"/>
      <s:c r="E12840" s="122" t="n"/>
    </s:row>
    <s:row r="12841" hidden="1" ht="1" customHeight="1">
      <s:c r="A12841" s="120" t="inlineStr"/>
      <s:c r="B12841" s="121" t="n"/>
      <s:c r="C12841" s="121" t="n"/>
      <s:c r="D12841" s="121" t="n"/>
      <s:c r="E12841" s="122" t="n"/>
    </s:row>
    <s:row r="12842" hidden="1" ht="1" customHeight="1">
      <s:c r="A12842" s="120" t="inlineStr"/>
      <s:c r="B12842" s="121" t="n"/>
      <s:c r="C12842" s="121" t="n"/>
      <s:c r="D12842" s="121" t="n"/>
      <s:c r="E12842" s="122" t="n"/>
    </s:row>
    <s:row r="12843" hidden="1" ht="1" customHeight="1">
      <s:c r="A12843" s="120" t="inlineStr"/>
      <s:c r="B12843" s="121" t="n"/>
      <s:c r="C12843" s="121" t="n"/>
      <s:c r="D12843" s="121" t="n"/>
      <s:c r="E12843" s="122" t="n"/>
    </s:row>
    <s:row r="12844" hidden="1" ht="1" customHeight="1">
      <s:c r="A12844" s="120" t="inlineStr"/>
      <s:c r="B12844" s="121" t="n"/>
      <s:c r="C12844" s="121" t="n"/>
      <s:c r="D12844" s="121" t="n"/>
      <s:c r="E12844" s="122" t="n"/>
    </s:row>
    <s:row r="12845" hidden="1" ht="1" customHeight="1">
      <s:c r="A12845" s="120" t="inlineStr"/>
      <s:c r="B12845" s="121" t="n"/>
      <s:c r="C12845" s="121" t="n"/>
      <s:c r="D12845" s="121" t="n"/>
      <s:c r="E12845" s="122" t="n"/>
    </s:row>
    <s:row r="12846" hidden="1" ht="1" customHeight="1">
      <s:c r="A12846" s="120" t="inlineStr"/>
      <s:c r="B12846" s="121" t="n"/>
      <s:c r="C12846" s="121" t="n"/>
      <s:c r="D12846" s="121" t="n"/>
      <s:c r="E12846" s="122" t="n"/>
    </s:row>
    <s:row r="12847" hidden="1" ht="1" customHeight="1">
      <s:c r="A12847" s="120" t="inlineStr"/>
      <s:c r="B12847" s="121" t="n"/>
      <s:c r="C12847" s="121" t="n"/>
      <s:c r="D12847" s="121" t="n"/>
      <s:c r="E12847" s="122" t="n"/>
    </s:row>
    <s:row r="12848" hidden="1" ht="1" customHeight="1">
      <s:c r="A12848" s="120" t="inlineStr"/>
      <s:c r="B12848" s="121" t="n"/>
      <s:c r="C12848" s="121" t="n"/>
      <s:c r="D12848" s="121" t="n"/>
      <s:c r="E12848" s="122" t="n"/>
    </s:row>
    <s:row r="12849" hidden="1" ht="1" customHeight="1">
      <s:c r="A12849" s="120" t="inlineStr"/>
      <s:c r="B12849" s="121" t="n"/>
      <s:c r="C12849" s="121" t="n"/>
      <s:c r="D12849" s="121" t="n"/>
      <s:c r="E12849" s="122" t="n"/>
    </s:row>
    <s:row r="12850" hidden="1" ht="1" customHeight="1">
      <s:c r="A12850" s="120" t="inlineStr"/>
      <s:c r="B12850" s="121" t="n"/>
      <s:c r="C12850" s="121" t="n"/>
      <s:c r="D12850" s="121" t="n"/>
      <s:c r="E12850" s="122" t="n"/>
    </s:row>
    <s:row r="12851" hidden="1" ht="1" customHeight="1">
      <s:c r="A12851" s="120" t="inlineStr"/>
      <s:c r="B12851" s="121" t="n"/>
      <s:c r="C12851" s="121" t="n"/>
      <s:c r="D12851" s="121" t="n"/>
      <s:c r="E12851" s="122" t="n"/>
    </s:row>
    <s:row r="12852" hidden="1" ht="1" customHeight="1">
      <s:c r="A12852" s="120" t="inlineStr"/>
      <s:c r="B12852" s="121" t="n"/>
      <s:c r="C12852" s="121" t="n"/>
      <s:c r="D12852" s="121" t="n"/>
      <s:c r="E12852" s="122" t="n"/>
    </s:row>
    <s:row r="12853" hidden="1" ht="1" customHeight="1">
      <s:c r="A12853" s="120" t="inlineStr"/>
      <s:c r="B12853" s="121" t="n"/>
      <s:c r="C12853" s="121" t="n"/>
      <s:c r="D12853" s="121" t="n"/>
      <s:c r="E12853" s="122" t="n"/>
    </s:row>
    <s:row r="12854" hidden="1" ht="1" customHeight="1">
      <s:c r="A12854" s="120" t="inlineStr"/>
      <s:c r="B12854" s="121" t="n"/>
      <s:c r="C12854" s="121" t="n"/>
      <s:c r="D12854" s="121" t="n"/>
      <s:c r="E12854" s="122" t="n"/>
    </s:row>
    <s:row r="12855" hidden="1" ht="1" customHeight="1">
      <s:c r="A12855" s="120" t="inlineStr"/>
      <s:c r="B12855" s="121" t="n"/>
      <s:c r="C12855" s="121" t="n"/>
      <s:c r="D12855" s="121" t="n"/>
      <s:c r="E12855" s="122" t="n"/>
    </s:row>
    <s:row r="12856" hidden="1" ht="1" customHeight="1">
      <s:c r="A12856" s="120" t="inlineStr"/>
      <s:c r="B12856" s="121" t="n"/>
      <s:c r="C12856" s="121" t="n"/>
      <s:c r="D12856" s="121" t="n"/>
      <s:c r="E12856" s="122" t="n"/>
    </s:row>
    <s:row r="12857" hidden="1" ht="1" customHeight="1">
      <s:c r="A12857" s="120" t="inlineStr"/>
      <s:c r="B12857" s="121" t="n"/>
      <s:c r="C12857" s="121" t="n"/>
      <s:c r="D12857" s="121" t="n"/>
      <s:c r="E12857" s="122" t="n"/>
    </s:row>
    <s:row r="12858" hidden="1" ht="1" customHeight="1">
      <s:c r="A12858" s="120" t="inlineStr"/>
      <s:c r="B12858" s="121" t="n"/>
      <s:c r="C12858" s="121" t="n"/>
      <s:c r="D12858" s="121" t="n"/>
      <s:c r="E12858" s="122" t="n"/>
    </s:row>
    <s:row r="12859" hidden="1" ht="1" customHeight="1">
      <s:c r="A12859" s="120" t="inlineStr"/>
      <s:c r="B12859" s="121" t="n"/>
      <s:c r="C12859" s="121" t="n"/>
      <s:c r="D12859" s="121" t="n"/>
      <s:c r="E12859" s="122" t="n"/>
    </s:row>
    <s:row r="12860" hidden="1" ht="1" customHeight="1">
      <s:c r="A12860" s="120" t="inlineStr"/>
      <s:c r="B12860" s="121" t="n"/>
      <s:c r="C12860" s="121" t="n"/>
      <s:c r="D12860" s="121" t="n"/>
      <s:c r="E12860" s="122" t="n"/>
    </s:row>
    <s:row r="12861" hidden="1" ht="1" customHeight="1">
      <s:c r="A12861" s="120" t="inlineStr"/>
      <s:c r="B12861" s="121" t="n"/>
      <s:c r="C12861" s="121" t="n"/>
      <s:c r="D12861" s="121" t="n"/>
      <s:c r="E12861" s="122" t="n"/>
    </s:row>
    <s:row r="12862" hidden="1" ht="1" customHeight="1">
      <s:c r="A12862" s="120" t="inlineStr"/>
      <s:c r="B12862" s="121" t="n"/>
      <s:c r="C12862" s="121" t="n"/>
      <s:c r="D12862" s="121" t="n"/>
      <s:c r="E12862" s="122" t="n"/>
    </s:row>
    <s:row r="12863" hidden="1" ht="1" customHeight="1">
      <s:c r="A12863" s="120" t="inlineStr"/>
      <s:c r="B12863" s="121" t="n"/>
      <s:c r="C12863" s="121" t="n"/>
      <s:c r="D12863" s="121" t="n"/>
      <s:c r="E12863" s="122" t="n"/>
    </s:row>
    <s:row r="12864" hidden="1" ht="1" customHeight="1">
      <s:c r="A12864" s="120" t="inlineStr"/>
      <s:c r="B12864" s="121" t="n"/>
      <s:c r="C12864" s="121" t="n"/>
      <s:c r="D12864" s="121" t="n"/>
      <s:c r="E12864" s="122" t="n"/>
    </s:row>
    <s:row r="12865" hidden="1" ht="1" customHeight="1">
      <s:c r="A12865" s="120" t="inlineStr"/>
      <s:c r="B12865" s="121" t="n"/>
      <s:c r="C12865" s="121" t="n"/>
      <s:c r="D12865" s="121" t="n"/>
      <s:c r="E12865" s="122" t="n"/>
    </s:row>
    <s:row r="12866" hidden="1" ht="1" customHeight="1">
      <s:c r="A12866" s="120" t="inlineStr"/>
      <s:c r="B12866" s="121" t="n"/>
      <s:c r="C12866" s="121" t="n"/>
      <s:c r="D12866" s="121" t="n"/>
      <s:c r="E12866" s="122" t="n"/>
    </s:row>
    <s:row r="12867" hidden="1" ht="1" customHeight="1">
      <s:c r="A12867" s="120" t="inlineStr"/>
      <s:c r="B12867" s="121" t="n"/>
      <s:c r="C12867" s="121" t="n"/>
      <s:c r="D12867" s="121" t="n"/>
      <s:c r="E12867" s="122" t="n"/>
    </s:row>
    <s:row r="12868" hidden="1" ht="1" customHeight="1">
      <s:c r="A12868" s="120" t="inlineStr"/>
      <s:c r="B12868" s="121" t="n"/>
      <s:c r="C12868" s="121" t="n"/>
      <s:c r="D12868" s="121" t="n"/>
      <s:c r="E12868" s="122" t="n"/>
    </s:row>
    <s:row r="12869" hidden="1" ht="1" customHeight="1">
      <s:c r="A12869" s="120" t="inlineStr"/>
      <s:c r="B12869" s="121" t="n"/>
      <s:c r="C12869" s="121" t="n"/>
      <s:c r="D12869" s="121" t="n"/>
      <s:c r="E12869" s="122" t="n"/>
    </s:row>
    <s:row r="12870" hidden="1" ht="1" customHeight="1">
      <s:c r="A12870" s="120" t="inlineStr"/>
      <s:c r="B12870" s="121" t="n"/>
      <s:c r="C12870" s="121" t="n"/>
      <s:c r="D12870" s="121" t="n"/>
      <s:c r="E12870" s="122" t="n"/>
    </s:row>
    <s:row r="12871" hidden="1" ht="1" customHeight="1">
      <s:c r="A12871" s="120" t="inlineStr"/>
      <s:c r="B12871" s="121" t="n"/>
      <s:c r="C12871" s="121" t="n"/>
      <s:c r="D12871" s="121" t="n"/>
      <s:c r="E12871" s="122" t="n"/>
    </s:row>
    <s:row r="12872" hidden="1" ht="1" customHeight="1">
      <s:c r="A12872" s="120" t="inlineStr"/>
      <s:c r="B12872" s="121" t="n"/>
      <s:c r="C12872" s="121" t="n"/>
      <s:c r="D12872" s="121" t="n"/>
      <s:c r="E12872" s="122" t="n"/>
    </s:row>
    <s:row r="12873" hidden="1" ht="1" customHeight="1">
      <s:c r="A12873" s="120" t="inlineStr"/>
      <s:c r="B12873" s="121" t="n"/>
      <s:c r="C12873" s="121" t="n"/>
      <s:c r="D12873" s="121" t="n"/>
      <s:c r="E12873" s="122" t="n"/>
    </s:row>
    <s:row r="12874" hidden="1" ht="1" customHeight="1">
      <s:c r="A12874" s="120" t="inlineStr"/>
      <s:c r="B12874" s="121" t="n"/>
      <s:c r="C12874" s="121" t="n"/>
      <s:c r="D12874" s="121" t="n"/>
      <s:c r="E12874" s="122" t="n"/>
    </s:row>
    <s:row r="12875" hidden="1" ht="1" customHeight="1">
      <s:c r="A12875" s="120" t="inlineStr"/>
      <s:c r="B12875" s="121" t="n"/>
      <s:c r="C12875" s="121" t="n"/>
      <s:c r="D12875" s="121" t="n"/>
      <s:c r="E12875" s="122" t="n"/>
    </s:row>
    <s:row r="12876" hidden="1" ht="1" customHeight="1">
      <s:c r="A12876" s="120" t="inlineStr"/>
      <s:c r="B12876" s="121" t="n"/>
      <s:c r="C12876" s="121" t="n"/>
      <s:c r="D12876" s="121" t="n"/>
      <s:c r="E12876" s="122" t="n"/>
    </s:row>
    <s:row r="12877" hidden="1" ht="1" customHeight="1">
      <s:c r="A12877" s="120" t="inlineStr"/>
      <s:c r="B12877" s="121" t="n"/>
      <s:c r="C12877" s="121" t="n"/>
      <s:c r="D12877" s="121" t="n"/>
      <s:c r="E12877" s="122" t="n"/>
    </s:row>
    <s:row r="12878" hidden="1" ht="1" customHeight="1">
      <s:c r="A12878" s="120" t="inlineStr"/>
      <s:c r="B12878" s="121" t="n"/>
      <s:c r="C12878" s="121" t="n"/>
      <s:c r="D12878" s="121" t="n"/>
      <s:c r="E12878" s="122" t="n"/>
    </s:row>
    <s:row r="12879" hidden="1" ht="1" customHeight="1">
      <s:c r="A12879" s="120" t="inlineStr"/>
      <s:c r="B12879" s="121" t="n"/>
      <s:c r="C12879" s="121" t="n"/>
      <s:c r="D12879" s="121" t="n"/>
      <s:c r="E12879" s="122" t="n"/>
    </s:row>
    <s:row r="12880" hidden="1" ht="1" customHeight="1">
      <s:c r="A12880" s="120" t="inlineStr"/>
      <s:c r="B12880" s="121" t="n"/>
      <s:c r="C12880" s="121" t="n"/>
      <s:c r="D12880" s="121" t="n"/>
      <s:c r="E12880" s="122" t="n"/>
    </s:row>
    <s:row r="12881" hidden="1" ht="1" customHeight="1">
      <s:c r="A12881" s="120" t="inlineStr"/>
      <s:c r="B12881" s="121" t="n"/>
      <s:c r="C12881" s="121" t="n"/>
      <s:c r="D12881" s="121" t="n"/>
      <s:c r="E12881" s="122" t="n"/>
    </s:row>
    <s:row r="12882" hidden="1" ht="1" customHeight="1">
      <s:c r="A12882" s="120" t="inlineStr"/>
      <s:c r="B12882" s="121" t="n"/>
      <s:c r="C12882" s="121" t="n"/>
      <s:c r="D12882" s="121" t="n"/>
      <s:c r="E12882" s="122" t="n"/>
    </s:row>
    <s:row r="12883" hidden="1" ht="1" customHeight="1">
      <s:c r="A12883" s="120" t="inlineStr"/>
      <s:c r="B12883" s="121" t="n"/>
      <s:c r="C12883" s="121" t="n"/>
      <s:c r="D12883" s="121" t="n"/>
      <s:c r="E12883" s="122" t="n"/>
    </s:row>
    <s:row r="12884" hidden="1" ht="1" customHeight="1">
      <s:c r="A12884" s="120" t="inlineStr"/>
      <s:c r="B12884" s="121" t="n"/>
      <s:c r="C12884" s="121" t="n"/>
      <s:c r="D12884" s="121" t="n"/>
      <s:c r="E12884" s="122" t="n"/>
    </s:row>
    <s:row r="12885" hidden="1" ht="1" customHeight="1">
      <s:c r="A12885" s="120" t="inlineStr"/>
      <s:c r="B12885" s="121" t="n"/>
      <s:c r="C12885" s="121" t="n"/>
      <s:c r="D12885" s="121" t="n"/>
      <s:c r="E12885" s="122" t="n"/>
    </s:row>
    <s:row r="12886" hidden="1" ht="1" customHeight="1">
      <s:c r="A12886" s="120" t="inlineStr"/>
      <s:c r="B12886" s="121" t="n"/>
      <s:c r="C12886" s="121" t="n"/>
      <s:c r="D12886" s="121" t="n"/>
      <s:c r="E12886" s="122" t="n"/>
    </s:row>
    <s:row r="12887" hidden="1" ht="1" customHeight="1">
      <s:c r="A12887" s="120" t="inlineStr"/>
      <s:c r="B12887" s="121" t="n"/>
      <s:c r="C12887" s="121" t="n"/>
      <s:c r="D12887" s="121" t="n"/>
      <s:c r="E12887" s="122" t="n"/>
    </s:row>
    <s:row r="12888" hidden="1" ht="1" customHeight="1">
      <s:c r="A12888" s="120" t="inlineStr"/>
      <s:c r="B12888" s="121" t="n"/>
      <s:c r="C12888" s="121" t="n"/>
      <s:c r="D12888" s="121" t="n"/>
      <s:c r="E12888" s="122" t="n"/>
    </s:row>
    <s:row r="12889" hidden="1" ht="1" customHeight="1">
      <s:c r="A12889" s="120" t="inlineStr"/>
      <s:c r="B12889" s="121" t="n"/>
      <s:c r="C12889" s="121" t="n"/>
      <s:c r="D12889" s="121" t="n"/>
      <s:c r="E12889" s="122" t="n"/>
    </s:row>
    <s:row r="12890" hidden="1" ht="1" customHeight="1">
      <s:c r="A12890" s="120" t="inlineStr"/>
      <s:c r="B12890" s="121" t="n"/>
      <s:c r="C12890" s="121" t="n"/>
      <s:c r="D12890" s="121" t="n"/>
      <s:c r="E12890" s="122" t="n"/>
    </s:row>
    <s:row r="12891" hidden="1" ht="1" customHeight="1">
      <s:c r="A12891" s="120" t="inlineStr"/>
      <s:c r="B12891" s="121" t="n"/>
      <s:c r="C12891" s="121" t="n"/>
      <s:c r="D12891" s="121" t="n"/>
      <s:c r="E12891" s="122" t="n"/>
    </s:row>
    <s:row r="12892" hidden="1" ht="1" customHeight="1">
      <s:c r="A12892" s="120" t="inlineStr"/>
      <s:c r="B12892" s="121" t="n"/>
      <s:c r="C12892" s="121" t="n"/>
      <s:c r="D12892" s="121" t="n"/>
      <s:c r="E12892" s="122" t="n"/>
    </s:row>
    <s:row r="12893" hidden="1" ht="1" customHeight="1">
      <s:c r="A12893" s="120" t="inlineStr"/>
      <s:c r="B12893" s="121" t="n"/>
      <s:c r="C12893" s="121" t="n"/>
      <s:c r="D12893" s="121" t="n"/>
      <s:c r="E12893" s="122" t="n"/>
    </s:row>
    <s:row r="12894" hidden="1" ht="1" customHeight="1">
      <s:c r="A12894" s="120" t="inlineStr"/>
      <s:c r="B12894" s="121" t="n"/>
      <s:c r="C12894" s="121" t="n"/>
      <s:c r="D12894" s="121" t="n"/>
      <s:c r="E12894" s="122" t="n"/>
    </s:row>
    <s:row r="12895" hidden="1" ht="1" customHeight="1">
      <s:c r="A12895" s="120" t="inlineStr"/>
      <s:c r="B12895" s="121" t="n"/>
      <s:c r="C12895" s="121" t="n"/>
      <s:c r="D12895" s="121" t="n"/>
      <s:c r="E12895" s="122" t="n"/>
    </s:row>
    <s:row r="12896" hidden="1" ht="1" customHeight="1">
      <s:c r="A12896" s="120" t="inlineStr"/>
      <s:c r="B12896" s="121" t="n"/>
      <s:c r="C12896" s="121" t="n"/>
      <s:c r="D12896" s="121" t="n"/>
      <s:c r="E12896" s="122" t="n"/>
    </s:row>
    <s:row r="12897" hidden="1" ht="1" customHeight="1">
      <s:c r="A12897" s="120" t="inlineStr"/>
      <s:c r="B12897" s="121" t="n"/>
      <s:c r="C12897" s="121" t="n"/>
      <s:c r="D12897" s="121" t="n"/>
      <s:c r="E12897" s="122" t="n"/>
    </s:row>
    <s:row r="12898" hidden="1" ht="1" customHeight="1">
      <s:c r="A12898" s="120" t="inlineStr"/>
      <s:c r="B12898" s="121" t="n"/>
      <s:c r="C12898" s="121" t="n"/>
      <s:c r="D12898" s="121" t="n"/>
      <s:c r="E12898" s="122" t="n"/>
    </s:row>
    <s:row r="12899" hidden="1" ht="1" customHeight="1">
      <s:c r="A12899" s="120" t="inlineStr"/>
      <s:c r="B12899" s="121" t="n"/>
      <s:c r="C12899" s="121" t="n"/>
      <s:c r="D12899" s="121" t="n"/>
      <s:c r="E12899" s="122" t="n"/>
    </s:row>
    <s:row r="12900" hidden="1" ht="1" customHeight="1">
      <s:c r="A12900" s="120" t="inlineStr"/>
      <s:c r="B12900" s="121" t="n"/>
      <s:c r="C12900" s="121" t="n"/>
      <s:c r="D12900" s="121" t="n"/>
      <s:c r="E12900" s="122" t="n"/>
    </s:row>
    <s:row r="12901" hidden="1" ht="1" customHeight="1">
      <s:c r="A12901" s="120" t="inlineStr"/>
      <s:c r="B12901" s="121" t="n"/>
      <s:c r="C12901" s="121" t="n"/>
      <s:c r="D12901" s="121" t="n"/>
      <s:c r="E12901" s="122" t="n"/>
    </s:row>
    <s:row r="12902" hidden="1" ht="1" customHeight="1">
      <s:c r="A12902" s="120" t="inlineStr"/>
      <s:c r="B12902" s="121" t="n"/>
      <s:c r="C12902" s="121" t="n"/>
      <s:c r="D12902" s="121" t="n"/>
      <s:c r="E12902" s="122" t="n"/>
    </s:row>
    <s:row r="12903" hidden="1" ht="1" customHeight="1">
      <s:c r="A12903" s="120" t="inlineStr"/>
      <s:c r="B12903" s="121" t="n"/>
      <s:c r="C12903" s="121" t="n"/>
      <s:c r="D12903" s="121" t="n"/>
      <s:c r="E12903" s="122" t="n"/>
    </s:row>
    <s:row r="12904" hidden="1" ht="1" customHeight="1">
      <s:c r="A12904" s="120" t="inlineStr"/>
      <s:c r="B12904" s="121" t="n"/>
      <s:c r="C12904" s="121" t="n"/>
      <s:c r="D12904" s="121" t="n"/>
      <s:c r="E12904" s="122" t="n"/>
    </s:row>
    <s:row r="12905" hidden="1" ht="1" customHeight="1">
      <s:c r="A12905" s="120" t="inlineStr"/>
      <s:c r="B12905" s="121" t="n"/>
      <s:c r="C12905" s="121" t="n"/>
      <s:c r="D12905" s="121" t="n"/>
      <s:c r="E12905" s="122" t="n"/>
    </s:row>
    <s:row r="12906" hidden="1" ht="1" customHeight="1">
      <s:c r="A12906" s="120" t="inlineStr"/>
      <s:c r="B12906" s="121" t="n"/>
      <s:c r="C12906" s="121" t="n"/>
      <s:c r="D12906" s="121" t="n"/>
      <s:c r="E12906" s="122" t="n"/>
    </s:row>
    <s:row r="12907" hidden="1" ht="1" customHeight="1">
      <s:c r="A12907" s="120" t="inlineStr"/>
      <s:c r="B12907" s="121" t="n"/>
      <s:c r="C12907" s="121" t="n"/>
      <s:c r="D12907" s="121" t="n"/>
      <s:c r="E12907" s="122" t="n"/>
    </s:row>
    <s:row r="12908" hidden="1" ht="1" customHeight="1">
      <s:c r="A12908" s="120" t="inlineStr"/>
      <s:c r="B12908" s="121" t="n"/>
      <s:c r="C12908" s="121" t="n"/>
      <s:c r="D12908" s="121" t="n"/>
      <s:c r="E12908" s="122" t="n"/>
    </s:row>
    <s:row r="12909" hidden="1" ht="1" customHeight="1">
      <s:c r="A12909" s="120" t="inlineStr"/>
      <s:c r="B12909" s="121" t="n"/>
      <s:c r="C12909" s="121" t="n"/>
      <s:c r="D12909" s="121" t="n"/>
      <s:c r="E12909" s="122" t="n"/>
    </s:row>
    <s:row r="12910" hidden="1" ht="1" customHeight="1">
      <s:c r="A12910" s="120" t="inlineStr"/>
      <s:c r="B12910" s="121" t="n"/>
      <s:c r="C12910" s="121" t="n"/>
      <s:c r="D12910" s="121" t="n"/>
      <s:c r="E12910" s="122" t="n"/>
    </s:row>
    <s:row r="12911" hidden="1" ht="1" customHeight="1">
      <s:c r="A12911" s="120" t="inlineStr"/>
      <s:c r="B12911" s="121" t="n"/>
      <s:c r="C12911" s="121" t="n"/>
      <s:c r="D12911" s="121" t="n"/>
      <s:c r="E12911" s="122" t="n"/>
    </s:row>
    <s:row r="12912" hidden="1" ht="1" customHeight="1">
      <s:c r="A12912" s="120" t="inlineStr"/>
      <s:c r="B12912" s="121" t="n"/>
      <s:c r="C12912" s="121" t="n"/>
      <s:c r="D12912" s="121" t="n"/>
      <s:c r="E12912" s="122" t="n"/>
    </s:row>
    <s:row r="12913" hidden="1" ht="1" customHeight="1">
      <s:c r="A12913" s="120" t="inlineStr"/>
      <s:c r="B12913" s="121" t="n"/>
      <s:c r="C12913" s="121" t="n"/>
      <s:c r="D12913" s="121" t="n"/>
      <s:c r="E12913" s="122" t="n"/>
    </s:row>
    <s:row r="12914" hidden="1" ht="1" customHeight="1">
      <s:c r="A12914" s="120" t="inlineStr"/>
      <s:c r="B12914" s="121" t="n"/>
      <s:c r="C12914" s="121" t="n"/>
      <s:c r="D12914" s="121" t="n"/>
      <s:c r="E12914" s="122" t="n"/>
    </s:row>
    <s:row r="12915" hidden="1" ht="1" customHeight="1">
      <s:c r="A12915" s="120" t="inlineStr"/>
      <s:c r="B12915" s="121" t="n"/>
      <s:c r="C12915" s="121" t="n"/>
      <s:c r="D12915" s="121" t="n"/>
      <s:c r="E12915" s="122" t="n"/>
    </s:row>
    <s:row r="12916" hidden="1" ht="1" customHeight="1">
      <s:c r="A12916" s="120" t="inlineStr"/>
      <s:c r="B12916" s="121" t="n"/>
      <s:c r="C12916" s="121" t="n"/>
      <s:c r="D12916" s="121" t="n"/>
      <s:c r="E12916" s="122" t="n"/>
    </s:row>
    <s:row r="12917" hidden="1" ht="1" customHeight="1">
      <s:c r="A12917" s="120" t="inlineStr"/>
      <s:c r="B12917" s="121" t="n"/>
      <s:c r="C12917" s="121" t="n"/>
      <s:c r="D12917" s="121" t="n"/>
      <s:c r="E12917" s="122" t="n"/>
    </s:row>
    <s:row r="12918" hidden="1" ht="1" customHeight="1">
      <s:c r="A12918" s="120" t="inlineStr"/>
      <s:c r="B12918" s="121" t="n"/>
      <s:c r="C12918" s="121" t="n"/>
      <s:c r="D12918" s="121" t="n"/>
      <s:c r="E12918" s="122" t="n"/>
    </s:row>
    <s:row r="12919" hidden="1" ht="1" customHeight="1">
      <s:c r="A12919" s="120" t="inlineStr"/>
      <s:c r="B12919" s="121" t="n"/>
      <s:c r="C12919" s="121" t="n"/>
      <s:c r="D12919" s="121" t="n"/>
      <s:c r="E12919" s="122" t="n"/>
    </s:row>
    <s:row r="12920" hidden="1" ht="1" customHeight="1">
      <s:c r="A12920" s="120" t="inlineStr"/>
      <s:c r="B12920" s="121" t="n"/>
      <s:c r="C12920" s="121" t="n"/>
      <s:c r="D12920" s="121" t="n"/>
      <s:c r="E12920" s="122" t="n"/>
    </s:row>
    <s:row r="12921" hidden="1" ht="1" customHeight="1">
      <s:c r="A12921" s="120" t="inlineStr"/>
      <s:c r="B12921" s="121" t="n"/>
      <s:c r="C12921" s="121" t="n"/>
      <s:c r="D12921" s="121" t="n"/>
      <s:c r="E12921" s="122" t="n"/>
    </s:row>
    <s:row r="12922" hidden="1" ht="1" customHeight="1">
      <s:c r="A12922" s="120" t="inlineStr"/>
      <s:c r="B12922" s="121" t="n"/>
      <s:c r="C12922" s="121" t="n"/>
      <s:c r="D12922" s="121" t="n"/>
      <s:c r="E12922" s="122" t="n"/>
    </s:row>
    <s:row r="12923" hidden="1" ht="1" customHeight="1">
      <s:c r="A12923" s="120" t="inlineStr"/>
      <s:c r="B12923" s="121" t="n"/>
      <s:c r="C12923" s="121" t="n"/>
      <s:c r="D12923" s="121" t="n"/>
      <s:c r="E12923" s="122" t="n"/>
    </s:row>
    <s:row r="12924" hidden="1" ht="1" customHeight="1">
      <s:c r="A12924" s="120" t="inlineStr"/>
      <s:c r="B12924" s="121" t="n"/>
      <s:c r="C12924" s="121" t="n"/>
      <s:c r="D12924" s="121" t="n"/>
      <s:c r="E12924" s="122" t="n"/>
    </s:row>
    <s:row r="12925" hidden="1" ht="1" customHeight="1">
      <s:c r="A12925" s="120" t="inlineStr"/>
      <s:c r="B12925" s="121" t="n"/>
      <s:c r="C12925" s="121" t="n"/>
      <s:c r="D12925" s="121" t="n"/>
      <s:c r="E12925" s="122" t="n"/>
    </s:row>
    <s:row r="12926" hidden="1" ht="1" customHeight="1">
      <s:c r="A12926" s="120" t="inlineStr"/>
      <s:c r="B12926" s="121" t="n"/>
      <s:c r="C12926" s="121" t="n"/>
      <s:c r="D12926" s="121" t="n"/>
      <s:c r="E12926" s="122" t="n"/>
    </s:row>
    <s:row r="12927" hidden="1" ht="1" customHeight="1">
      <s:c r="A12927" s="120" t="inlineStr"/>
      <s:c r="B12927" s="121" t="n"/>
      <s:c r="C12927" s="121" t="n"/>
      <s:c r="D12927" s="121" t="n"/>
      <s:c r="E12927" s="122" t="n"/>
    </s:row>
    <s:row r="12928" hidden="1" ht="1" customHeight="1">
      <s:c r="A12928" s="120" t="inlineStr"/>
      <s:c r="B12928" s="121" t="n"/>
      <s:c r="C12928" s="121" t="n"/>
      <s:c r="D12928" s="121" t="n"/>
      <s:c r="E12928" s="122" t="n"/>
    </s:row>
    <s:row r="12929" hidden="1" ht="1" customHeight="1">
      <s:c r="A12929" s="120" t="inlineStr"/>
      <s:c r="B12929" s="121" t="n"/>
      <s:c r="C12929" s="121" t="n"/>
      <s:c r="D12929" s="121" t="n"/>
      <s:c r="E12929" s="122" t="n"/>
    </s:row>
    <s:row r="12930" hidden="1" ht="1" customHeight="1">
      <s:c r="A12930" s="120" t="inlineStr"/>
      <s:c r="B12930" s="121" t="n"/>
      <s:c r="C12930" s="121" t="n"/>
      <s:c r="D12930" s="121" t="n"/>
      <s:c r="E12930" s="122" t="n"/>
    </s:row>
    <s:row r="12931" hidden="1" ht="1" customHeight="1">
      <s:c r="A12931" s="120" t="inlineStr"/>
      <s:c r="B12931" s="121" t="n"/>
      <s:c r="C12931" s="121" t="n"/>
      <s:c r="D12931" s="121" t="n"/>
      <s:c r="E12931" s="122" t="n"/>
    </s:row>
    <s:row r="12932" hidden="1" ht="1" customHeight="1">
      <s:c r="A12932" s="120" t="inlineStr"/>
      <s:c r="B12932" s="121" t="n"/>
      <s:c r="C12932" s="121" t="n"/>
      <s:c r="D12932" s="121" t="n"/>
      <s:c r="E12932" s="122" t="n"/>
    </s:row>
    <s:row r="12933" hidden="1" ht="1" customHeight="1">
      <s:c r="A12933" s="120" t="inlineStr"/>
      <s:c r="B12933" s="121" t="n"/>
      <s:c r="C12933" s="121" t="n"/>
      <s:c r="D12933" s="121" t="n"/>
      <s:c r="E12933" s="122" t="n"/>
    </s:row>
    <s:row r="12934" hidden="1" ht="1" customHeight="1">
      <s:c r="A12934" s="120" t="inlineStr"/>
      <s:c r="B12934" s="121" t="n"/>
      <s:c r="C12934" s="121" t="n"/>
      <s:c r="D12934" s="121" t="n"/>
      <s:c r="E12934" s="122" t="n"/>
    </s:row>
    <s:row r="12935" hidden="1" ht="1" customHeight="1">
      <s:c r="A12935" s="120" t="inlineStr"/>
      <s:c r="B12935" s="121" t="n"/>
      <s:c r="C12935" s="121" t="n"/>
      <s:c r="D12935" s="121" t="n"/>
      <s:c r="E12935" s="122" t="n"/>
    </s:row>
    <s:row r="12936" hidden="1" ht="1" customHeight="1">
      <s:c r="A12936" s="120" t="inlineStr"/>
      <s:c r="B12936" s="121" t="n"/>
      <s:c r="C12936" s="121" t="n"/>
      <s:c r="D12936" s="121" t="n"/>
      <s:c r="E12936" s="122" t="n"/>
    </s:row>
    <s:row r="12937" hidden="1" ht="1" customHeight="1">
      <s:c r="A12937" s="120" t="inlineStr"/>
      <s:c r="B12937" s="121" t="n"/>
      <s:c r="C12937" s="121" t="n"/>
      <s:c r="D12937" s="121" t="n"/>
      <s:c r="E12937" s="122" t="n"/>
    </s:row>
    <s:row r="12938" hidden="1" ht="1" customHeight="1">
      <s:c r="A12938" s="120" t="inlineStr"/>
      <s:c r="B12938" s="121" t="n"/>
      <s:c r="C12938" s="121" t="n"/>
      <s:c r="D12938" s="121" t="n"/>
      <s:c r="E12938" s="122" t="n"/>
    </s:row>
    <s:row r="12939" hidden="1" ht="1" customHeight="1">
      <s:c r="A12939" s="120" t="inlineStr"/>
      <s:c r="B12939" s="121" t="n"/>
      <s:c r="C12939" s="121" t="n"/>
      <s:c r="D12939" s="121" t="n"/>
      <s:c r="E12939" s="122" t="n"/>
    </s:row>
    <s:row r="12940" hidden="1" ht="1" customHeight="1">
      <s:c r="A12940" s="120" t="inlineStr"/>
      <s:c r="B12940" s="121" t="n"/>
      <s:c r="C12940" s="121" t="n"/>
      <s:c r="D12940" s="121" t="n"/>
      <s:c r="E12940" s="122" t="n"/>
    </s:row>
    <s:row r="12941" hidden="1" ht="1" customHeight="1">
      <s:c r="A12941" s="120" t="inlineStr"/>
      <s:c r="B12941" s="121" t="n"/>
      <s:c r="C12941" s="121" t="n"/>
      <s:c r="D12941" s="121" t="n"/>
      <s:c r="E12941" s="122" t="n"/>
    </s:row>
    <s:row r="12942" hidden="1" ht="1" customHeight="1">
      <s:c r="A12942" s="120" t="inlineStr"/>
      <s:c r="B12942" s="121" t="n"/>
      <s:c r="C12942" s="121" t="n"/>
      <s:c r="D12942" s="121" t="n"/>
      <s:c r="E12942" s="122" t="n"/>
    </s:row>
    <s:row r="12943" hidden="1" ht="1" customHeight="1">
      <s:c r="A12943" s="120" t="inlineStr"/>
      <s:c r="B12943" s="121" t="n"/>
      <s:c r="C12943" s="121" t="n"/>
      <s:c r="D12943" s="121" t="n"/>
      <s:c r="E12943" s="122" t="n"/>
    </s:row>
    <s:row r="12944" hidden="1" ht="1" customHeight="1">
      <s:c r="A12944" s="120" t="inlineStr"/>
      <s:c r="B12944" s="121" t="n"/>
      <s:c r="C12944" s="121" t="n"/>
      <s:c r="D12944" s="121" t="n"/>
      <s:c r="E12944" s="122" t="n"/>
    </s:row>
    <s:row r="12945" hidden="1" ht="1" customHeight="1">
      <s:c r="A12945" s="120" t="inlineStr"/>
      <s:c r="B12945" s="121" t="n"/>
      <s:c r="C12945" s="121" t="n"/>
      <s:c r="D12945" s="121" t="n"/>
      <s:c r="E12945" s="122" t="n"/>
    </s:row>
    <s:row r="12946" hidden="1" ht="1" customHeight="1">
      <s:c r="A12946" s="120" t="inlineStr"/>
      <s:c r="B12946" s="121" t="n"/>
      <s:c r="C12946" s="121" t="n"/>
      <s:c r="D12946" s="121" t="n"/>
      <s:c r="E12946" s="122" t="n"/>
    </s:row>
    <s:row r="12947" hidden="1" ht="1" customHeight="1">
      <s:c r="A12947" s="120" t="inlineStr"/>
      <s:c r="B12947" s="121" t="n"/>
      <s:c r="C12947" s="121" t="n"/>
      <s:c r="D12947" s="121" t="n"/>
      <s:c r="E12947" s="122" t="n"/>
    </s:row>
    <s:row r="12948" hidden="1" ht="1" customHeight="1">
      <s:c r="A12948" s="120" t="inlineStr"/>
      <s:c r="B12948" s="121" t="n"/>
      <s:c r="C12948" s="121" t="n"/>
      <s:c r="D12948" s="121" t="n"/>
      <s:c r="E12948" s="122" t="n"/>
    </s:row>
    <s:row r="12949" hidden="1" ht="1" customHeight="1">
      <s:c r="A12949" s="120" t="inlineStr"/>
      <s:c r="B12949" s="121" t="n"/>
      <s:c r="C12949" s="121" t="n"/>
      <s:c r="D12949" s="121" t="n"/>
      <s:c r="E12949" s="122" t="n"/>
    </s:row>
    <s:row r="12950" hidden="1" ht="1" customHeight="1">
      <s:c r="A12950" s="120" t="inlineStr"/>
      <s:c r="B12950" s="121" t="n"/>
      <s:c r="C12950" s="121" t="n"/>
      <s:c r="D12950" s="121" t="n"/>
      <s:c r="E12950" s="122" t="n"/>
    </s:row>
    <s:row r="12951" hidden="1" ht="1" customHeight="1">
      <s:c r="A12951" s="120" t="inlineStr"/>
      <s:c r="B12951" s="121" t="n"/>
      <s:c r="C12951" s="121" t="n"/>
      <s:c r="D12951" s="121" t="n"/>
      <s:c r="E12951" s="122" t="n"/>
    </s:row>
    <s:row r="12952" hidden="1" ht="1" customHeight="1">
      <s:c r="A12952" s="120" t="inlineStr"/>
      <s:c r="B12952" s="121" t="n"/>
      <s:c r="C12952" s="121" t="n"/>
      <s:c r="D12952" s="121" t="n"/>
      <s:c r="E12952" s="122" t="n"/>
    </s:row>
    <s:row r="12953" hidden="1" ht="1" customHeight="1">
      <s:c r="A12953" s="120" t="inlineStr"/>
      <s:c r="B12953" s="121" t="n"/>
      <s:c r="C12953" s="121" t="n"/>
      <s:c r="D12953" s="121" t="n"/>
      <s:c r="E12953" s="122" t="n"/>
    </s:row>
    <s:row r="12954" hidden="1" ht="1" customHeight="1">
      <s:c r="A12954" s="120" t="inlineStr"/>
      <s:c r="B12954" s="121" t="n"/>
      <s:c r="C12954" s="121" t="n"/>
      <s:c r="D12954" s="121" t="n"/>
      <s:c r="E12954" s="122" t="n"/>
    </s:row>
    <s:row r="12955" hidden="1" ht="1" customHeight="1">
      <s:c r="A12955" s="120" t="inlineStr"/>
      <s:c r="B12955" s="121" t="n"/>
      <s:c r="C12955" s="121" t="n"/>
      <s:c r="D12955" s="121" t="n"/>
      <s:c r="E12955" s="122" t="n"/>
    </s:row>
    <s:row r="12956" hidden="1" ht="1" customHeight="1">
      <s:c r="A12956" s="120" t="inlineStr"/>
      <s:c r="B12956" s="121" t="n"/>
      <s:c r="C12956" s="121" t="n"/>
      <s:c r="D12956" s="121" t="n"/>
      <s:c r="E12956" s="122" t="n"/>
    </s:row>
    <s:row r="12957" hidden="1" ht="1" customHeight="1">
      <s:c r="A12957" s="120" t="inlineStr"/>
      <s:c r="B12957" s="121" t="n"/>
      <s:c r="C12957" s="121" t="n"/>
      <s:c r="D12957" s="121" t="n"/>
      <s:c r="E12957" s="122" t="n"/>
    </s:row>
    <s:row r="12958" hidden="1" ht="1" customHeight="1">
      <s:c r="A12958" s="120" t="inlineStr"/>
      <s:c r="B12958" s="121" t="n"/>
      <s:c r="C12958" s="121" t="n"/>
      <s:c r="D12958" s="121" t="n"/>
      <s:c r="E12958" s="122" t="n"/>
    </s:row>
    <s:row r="12959" hidden="1" ht="1" customHeight="1">
      <s:c r="A12959" s="120" t="inlineStr"/>
      <s:c r="B12959" s="121" t="n"/>
      <s:c r="C12959" s="121" t="n"/>
      <s:c r="D12959" s="121" t="n"/>
      <s:c r="E12959" s="122" t="n"/>
    </s:row>
    <s:row r="12960" hidden="1" ht="1" customHeight="1">
      <s:c r="A12960" s="120" t="inlineStr"/>
      <s:c r="B12960" s="121" t="n"/>
      <s:c r="C12960" s="121" t="n"/>
      <s:c r="D12960" s="121" t="n"/>
      <s:c r="E12960" s="122" t="n"/>
    </s:row>
    <s:row r="12961" hidden="1" ht="1" customHeight="1">
      <s:c r="A12961" s="120" t="inlineStr"/>
      <s:c r="B12961" s="121" t="n"/>
      <s:c r="C12961" s="121" t="n"/>
      <s:c r="D12961" s="121" t="n"/>
      <s:c r="E12961" s="122" t="n"/>
    </s:row>
    <s:row r="12962" hidden="1" ht="1" customHeight="1">
      <s:c r="A12962" s="120" t="inlineStr"/>
      <s:c r="B12962" s="121" t="n"/>
      <s:c r="C12962" s="121" t="n"/>
      <s:c r="D12962" s="121" t="n"/>
      <s:c r="E12962" s="122" t="n"/>
    </s:row>
    <s:row r="12963" hidden="1" ht="1" customHeight="1">
      <s:c r="A12963" s="120" t="inlineStr"/>
      <s:c r="B12963" s="121" t="n"/>
      <s:c r="C12963" s="121" t="n"/>
      <s:c r="D12963" s="121" t="n"/>
      <s:c r="E12963" s="122" t="n"/>
    </s:row>
    <s:row r="12964" hidden="1" ht="1" customHeight="1">
      <s:c r="A12964" s="120" t="inlineStr"/>
      <s:c r="B12964" s="121" t="n"/>
      <s:c r="C12964" s="121" t="n"/>
      <s:c r="D12964" s="121" t="n"/>
      <s:c r="E12964" s="122" t="n"/>
    </s:row>
    <s:row r="12965" hidden="1" ht="1" customHeight="1">
      <s:c r="A12965" s="120" t="inlineStr"/>
      <s:c r="B12965" s="121" t="n"/>
      <s:c r="C12965" s="121" t="n"/>
      <s:c r="D12965" s="121" t="n"/>
      <s:c r="E12965" s="122" t="n"/>
    </s:row>
    <s:row r="12966" hidden="1" ht="1" customHeight="1">
      <s:c r="A12966" s="120" t="inlineStr"/>
      <s:c r="B12966" s="121" t="n"/>
      <s:c r="C12966" s="121" t="n"/>
      <s:c r="D12966" s="121" t="n"/>
      <s:c r="E12966" s="122" t="n"/>
    </s:row>
    <s:row r="12967" hidden="1" ht="1" customHeight="1">
      <s:c r="A12967" s="120" t="inlineStr"/>
      <s:c r="B12967" s="121" t="n"/>
      <s:c r="C12967" s="121" t="n"/>
      <s:c r="D12967" s="121" t="n"/>
      <s:c r="E12967" s="122" t="n"/>
    </s:row>
    <s:row r="12968" hidden="1" ht="1" customHeight="1">
      <s:c r="A12968" s="120" t="inlineStr"/>
      <s:c r="B12968" s="121" t="n"/>
      <s:c r="C12968" s="121" t="n"/>
      <s:c r="D12968" s="121" t="n"/>
      <s:c r="E12968" s="122" t="n"/>
    </s:row>
    <s:row r="12969" hidden="1" ht="1" customHeight="1">
      <s:c r="A12969" s="120" t="inlineStr"/>
      <s:c r="B12969" s="121" t="n"/>
      <s:c r="C12969" s="121" t="n"/>
      <s:c r="D12969" s="121" t="n"/>
      <s:c r="E12969" s="122" t="n"/>
    </s:row>
    <s:row r="12970" hidden="1" ht="1" customHeight="1">
      <s:c r="A12970" s="120" t="inlineStr"/>
      <s:c r="B12970" s="121" t="n"/>
      <s:c r="C12970" s="121" t="n"/>
      <s:c r="D12970" s="121" t="n"/>
      <s:c r="E12970" s="122" t="n"/>
    </s:row>
    <s:row r="12971" hidden="1" ht="1" customHeight="1">
      <s:c r="A12971" s="120" t="inlineStr"/>
      <s:c r="B12971" s="121" t="n"/>
      <s:c r="C12971" s="121" t="n"/>
      <s:c r="D12971" s="121" t="n"/>
      <s:c r="E12971" s="122" t="n"/>
    </s:row>
    <s:row r="12972" hidden="1" ht="1" customHeight="1">
      <s:c r="A12972" s="120" t="inlineStr"/>
      <s:c r="B12972" s="121" t="n"/>
      <s:c r="C12972" s="121" t="n"/>
      <s:c r="D12972" s="121" t="n"/>
      <s:c r="E12972" s="122" t="n"/>
    </s:row>
    <s:row r="12973" hidden="1" ht="1" customHeight="1">
      <s:c r="A12973" s="120" t="inlineStr"/>
      <s:c r="B12973" s="121" t="n"/>
      <s:c r="C12973" s="121" t="n"/>
      <s:c r="D12973" s="121" t="n"/>
      <s:c r="E12973" s="122" t="n"/>
    </s:row>
    <s:row r="12974" hidden="1" ht="1" customHeight="1">
      <s:c r="A12974" s="120" t="inlineStr"/>
      <s:c r="B12974" s="121" t="n"/>
      <s:c r="C12974" s="121" t="n"/>
      <s:c r="D12974" s="121" t="n"/>
      <s:c r="E12974" s="122" t="n"/>
    </s:row>
    <s:row r="12975" hidden="1" ht="1" customHeight="1">
      <s:c r="A12975" s="120" t="inlineStr"/>
      <s:c r="B12975" s="121" t="n"/>
      <s:c r="C12975" s="121" t="n"/>
      <s:c r="D12975" s="121" t="n"/>
      <s:c r="E12975" s="122" t="n"/>
    </s:row>
    <s:row r="12976" hidden="1" ht="1" customHeight="1">
      <s:c r="A12976" s="120" t="inlineStr"/>
      <s:c r="B12976" s="121" t="n"/>
      <s:c r="C12976" s="121" t="n"/>
      <s:c r="D12976" s="121" t="n"/>
      <s:c r="E12976" s="122" t="n"/>
    </s:row>
    <s:row r="12977" hidden="1" ht="1" customHeight="1">
      <s:c r="A12977" s="120" t="inlineStr"/>
      <s:c r="B12977" s="121" t="n"/>
      <s:c r="C12977" s="121" t="n"/>
      <s:c r="D12977" s="121" t="n"/>
      <s:c r="E12977" s="122" t="n"/>
    </s:row>
    <s:row r="12978" hidden="1" ht="1" customHeight="1">
      <s:c r="A12978" s="120" t="inlineStr"/>
      <s:c r="B12978" s="121" t="n"/>
      <s:c r="C12978" s="121" t="n"/>
      <s:c r="D12978" s="121" t="n"/>
      <s:c r="E12978" s="122" t="n"/>
    </s:row>
    <s:row r="12979" hidden="1" ht="1" customHeight="1">
      <s:c r="A12979" s="120" t="inlineStr"/>
      <s:c r="B12979" s="121" t="n"/>
      <s:c r="C12979" s="121" t="n"/>
      <s:c r="D12979" s="121" t="n"/>
      <s:c r="E12979" s="122" t="n"/>
    </s:row>
    <s:row r="12980" hidden="1" ht="1" customHeight="1">
      <s:c r="A12980" s="120" t="inlineStr"/>
      <s:c r="B12980" s="121" t="n"/>
      <s:c r="C12980" s="121" t="n"/>
      <s:c r="D12980" s="121" t="n"/>
      <s:c r="E12980" s="122" t="n"/>
    </s:row>
    <s:row r="12981" hidden="1" ht="1" customHeight="1">
      <s:c r="A12981" s="120" t="inlineStr"/>
      <s:c r="B12981" s="121" t="n"/>
      <s:c r="C12981" s="121" t="n"/>
      <s:c r="D12981" s="121" t="n"/>
      <s:c r="E12981" s="122" t="n"/>
    </s:row>
    <s:row r="12982" hidden="1" ht="1" customHeight="1">
      <s:c r="A12982" s="120" t="inlineStr"/>
      <s:c r="B12982" s="121" t="n"/>
      <s:c r="C12982" s="121" t="n"/>
      <s:c r="D12982" s="121" t="n"/>
      <s:c r="E12982" s="122" t="n"/>
    </s:row>
    <s:row r="12983" hidden="1" ht="1" customHeight="1">
      <s:c r="A12983" s="120" t="inlineStr"/>
      <s:c r="B12983" s="121" t="n"/>
      <s:c r="C12983" s="121" t="n"/>
      <s:c r="D12983" s="121" t="n"/>
      <s:c r="E12983" s="122" t="n"/>
    </s:row>
    <s:row r="12984" hidden="1" ht="1" customHeight="1">
      <s:c r="A12984" s="120" t="inlineStr"/>
      <s:c r="B12984" s="121" t="n"/>
      <s:c r="C12984" s="121" t="n"/>
      <s:c r="D12984" s="121" t="n"/>
      <s:c r="E12984" s="122" t="n"/>
    </s:row>
    <s:row r="12985" hidden="1" ht="1" customHeight="1">
      <s:c r="A12985" s="120" t="inlineStr"/>
      <s:c r="B12985" s="121" t="n"/>
      <s:c r="C12985" s="121" t="n"/>
      <s:c r="D12985" s="121" t="n"/>
      <s:c r="E12985" s="122" t="n"/>
    </s:row>
    <s:row r="12986" hidden="1" ht="1" customHeight="1">
      <s:c r="A12986" s="120" t="inlineStr"/>
      <s:c r="B12986" s="121" t="n"/>
      <s:c r="C12986" s="121" t="n"/>
      <s:c r="D12986" s="121" t="n"/>
      <s:c r="E12986" s="122" t="n"/>
    </s:row>
    <s:row r="12987" hidden="1" ht="1" customHeight="1">
      <s:c r="A12987" s="120" t="inlineStr"/>
      <s:c r="B12987" s="121" t="n"/>
      <s:c r="C12987" s="121" t="n"/>
      <s:c r="D12987" s="121" t="n"/>
      <s:c r="E12987" s="122" t="n"/>
    </s:row>
    <s:row r="12988" hidden="1" ht="1" customHeight="1">
      <s:c r="A12988" s="120" t="inlineStr"/>
      <s:c r="B12988" s="121" t="n"/>
      <s:c r="C12988" s="121" t="n"/>
      <s:c r="D12988" s="121" t="n"/>
      <s:c r="E12988" s="122" t="n"/>
    </s:row>
    <s:row r="12989" hidden="1" ht="1" customHeight="1">
      <s:c r="A12989" s="120" t="inlineStr"/>
      <s:c r="B12989" s="121" t="n"/>
      <s:c r="C12989" s="121" t="n"/>
      <s:c r="D12989" s="121" t="n"/>
      <s:c r="E12989" s="122" t="n"/>
    </s:row>
    <s:row r="12990" hidden="1" ht="1" customHeight="1">
      <s:c r="A12990" s="120" t="inlineStr"/>
      <s:c r="B12990" s="121" t="n"/>
      <s:c r="C12990" s="121" t="n"/>
      <s:c r="D12990" s="121" t="n"/>
      <s:c r="E12990" s="122" t="n"/>
    </s:row>
    <s:row r="12991" hidden="1" ht="1" customHeight="1">
      <s:c r="A12991" s="120" t="inlineStr"/>
      <s:c r="B12991" s="121" t="n"/>
      <s:c r="C12991" s="121" t="n"/>
      <s:c r="D12991" s="121" t="n"/>
      <s:c r="E12991" s="122" t="n"/>
    </s:row>
    <s:row r="12992" hidden="1" ht="1" customHeight="1">
      <s:c r="A12992" s="120" t="inlineStr"/>
      <s:c r="B12992" s="121" t="n"/>
      <s:c r="C12992" s="121" t="n"/>
      <s:c r="D12992" s="121" t="n"/>
      <s:c r="E12992" s="122" t="n"/>
    </s:row>
    <s:row r="12993" hidden="1" ht="1" customHeight="1">
      <s:c r="A12993" s="120" t="inlineStr"/>
      <s:c r="B12993" s="121" t="n"/>
      <s:c r="C12993" s="121" t="n"/>
      <s:c r="D12993" s="121" t="n"/>
      <s:c r="E12993" s="122" t="n"/>
    </s:row>
    <s:row r="12994" hidden="1" ht="1" customHeight="1">
      <s:c r="A12994" s="120" t="inlineStr"/>
      <s:c r="B12994" s="121" t="n"/>
      <s:c r="C12994" s="121" t="n"/>
      <s:c r="D12994" s="121" t="n"/>
      <s:c r="E12994" s="122" t="n"/>
    </s:row>
    <s:row r="12995" hidden="1" ht="1" customHeight="1">
      <s:c r="A12995" s="120" t="inlineStr"/>
      <s:c r="B12995" s="121" t="n"/>
      <s:c r="C12995" s="121" t="n"/>
      <s:c r="D12995" s="121" t="n"/>
      <s:c r="E12995" s="122" t="n"/>
    </s:row>
    <s:row r="12996" hidden="1" ht="1" customHeight="1">
      <s:c r="A12996" s="120" t="inlineStr"/>
      <s:c r="B12996" s="121" t="n"/>
      <s:c r="C12996" s="121" t="n"/>
      <s:c r="D12996" s="121" t="n"/>
      <s:c r="E12996" s="122" t="n"/>
    </s:row>
    <s:row r="12997" hidden="1" ht="1" customHeight="1">
      <s:c r="A12997" s="120" t="inlineStr"/>
      <s:c r="B12997" s="121" t="n"/>
      <s:c r="C12997" s="121" t="n"/>
      <s:c r="D12997" s="121" t="n"/>
      <s:c r="E12997" s="122" t="n"/>
    </s:row>
    <s:row r="12998" hidden="1" ht="1" customHeight="1">
      <s:c r="A12998" s="120" t="inlineStr"/>
      <s:c r="B12998" s="121" t="n"/>
      <s:c r="C12998" s="121" t="n"/>
      <s:c r="D12998" s="121" t="n"/>
      <s:c r="E12998" s="122" t="n"/>
    </s:row>
    <s:row r="12999" hidden="1" ht="1" customHeight="1">
      <s:c r="A12999" s="120" t="inlineStr"/>
      <s:c r="B12999" s="121" t="n"/>
      <s:c r="C12999" s="121" t="n"/>
      <s:c r="D12999" s="121" t="n"/>
      <s:c r="E12999" s="122" t="n"/>
    </s:row>
    <s:row r="13000" hidden="1" ht="1" customHeight="1">
      <s:c r="A13000" s="120" t="inlineStr"/>
      <s:c r="B13000" s="121" t="n"/>
      <s:c r="C13000" s="121" t="n"/>
      <s:c r="D13000" s="121" t="n"/>
      <s:c r="E13000" s="122" t="n"/>
    </s:row>
    <s:row r="13001" hidden="1" ht="1" customHeight="1">
      <s:c r="A13001" s="120" t="inlineStr"/>
      <s:c r="B13001" s="121" t="n"/>
      <s:c r="C13001" s="121" t="n"/>
      <s:c r="D13001" s="121" t="n"/>
      <s:c r="E13001" s="122" t="n"/>
    </s:row>
    <s:row r="13002" hidden="1" ht="1" customHeight="1">
      <s:c r="A13002" s="83" t="inlineStr">
        <s:is>
          <s:t>PASS</s:t>
        </s:is>
      </s:c>
      <s:c r="B13002" s="83">
        <s:f>SUM(IF(EXACT('Kiểm thử'!E12602,"Đạt"),1,0),IF(EXACT('Kiểm thử'!E12604,"Đạt"),1,0),IF(EXACT('Kiểm thử'!E12606,"Đạt"),1,0),IF(EXACT('Kiểm thử'!E12608,"Đạt"),1,0),IF(EXACT('Kiểm thử'!E12610,"Đạt"),1,0),IF(EXACT('Kiểm thử'!E12612,"Đạt"),1,0),IF(EXACT('Kiểm thử'!E12614,"Đạt"),1,0),IF(EXACT('Kiểm thử'!E12616,"Đạt"),1,0))</s:f>
        <s:v/>
      </s:c>
      <s:c r="C13002" s="19" t="n"/>
      <s:c r="D13002" s="19" t="n"/>
      <s:c r="E13002" s="19" t="n"/>
    </s:row>
    <s:row r="13003" hidden="1" ht="1" customHeight="1">
      <s:c r="A13003" s="83" t="inlineStr">
        <s:is>
          <s:t>FAIL</s:t>
        </s:is>
      </s:c>
      <s:c r="B13003" s="83">
        <s:f>SUM(IF(EXACT('Kiểm thử'!E12602,"Không đạt"),1,0),IF(EXACT('Kiểm thử'!E12604,"Không đạt"),1,0),IF(EXACT('Kiểm thử'!E12606,"Không đạt"),1,0),IF(EXACT('Kiểm thử'!E12608,"Không đạt"),1,0),IF(EXACT('Kiểm thử'!E12610,"Không đạt"),1,0),IF(EXACT('Kiểm thử'!E12612,"Không đạt"),1,0),IF(EXACT('Kiểm thử'!E12614,"Không đạt"),1,0),IF(EXACT('Kiểm thử'!E12616,"Không đạt"),1,0))</s:f>
        <s:v/>
      </s:c>
      <s:c r="C13003" s="19" t="n"/>
      <s:c r="D13003" s="19" t="n"/>
      <s:c r="E13003" s="19" t="n"/>
    </s:row>
    <s:row r="13004" hidden="1" ht="1" customHeight="1">
      <s:c r="A13004" s="83" t="inlineStr">
        <s:is>
          <s:t>BLOCKED</s:t>
        </s:is>
      </s:c>
      <s:c r="B13004" s="83">
        <s:f>SUM(IF(EXACT('Kiểm thử'!E12602,"Bị chặn"),1,0),IF(EXACT('Kiểm thử'!E12604,"Bị chặn"),1,0),IF(EXACT('Kiểm thử'!E12606,"Bị chặn"),1,0),IF(EXACT('Kiểm thử'!E12608,"Bị chặn"),1,0),IF(EXACT('Kiểm thử'!E12610,"Bị chặn"),1,0),IF(EXACT('Kiểm thử'!E12612,"Bị chặn"),1,0),IF(EXACT('Kiểm thử'!E12614,"Bị chặn"),1,0),IF(EXACT('Kiểm thử'!E12616,"Bị chặn"),1,0))</s:f>
        <s:v/>
      </s:c>
      <s:c r="C13004" s="19" t="n"/>
      <s:c r="D13004" s="19" t="n"/>
      <s:c r="E13004" s="19" t="n"/>
    </s:row>
    <s:row r="13005" hidden="1" ht="1" customHeight="1">
      <s:c r="A13005" s="83" t="inlineStr">
        <s:is>
          <s:t>SKIPPED</s:t>
        </s:is>
      </s:c>
      <s:c r="B13005" s="83">
        <s:f>SUM(IF(EXACT('Kiểm thử'!E12602,"Không thực hiện"),1,0),IF(EXACT('Kiểm thử'!E12604,"Không thực hiện"),1,0),IF(EXACT('Kiểm thử'!E12606,"Không thực hiện"),1,0),IF(EXACT('Kiểm thử'!E12608,"Không thực hiện"),1,0),IF(EXACT('Kiểm thử'!E12610,"Không thực hiện"),1,0),IF(EXACT('Kiểm thử'!E12612,"Không thực hiện"),1,0),IF(EXACT('Kiểm thử'!E12614,"Không thực hiện"),1,0),IF(EXACT('Kiểm thử'!E12616,"Không thực hiện"),1,0))</s:f>
        <s:v/>
      </s:c>
      <s:c r="C13005" s="19" t="n"/>
      <s:c r="D13005" s="19" t="n"/>
      <s:c r="E13005" s="19" t="n"/>
    </s:row>
    <s:row r="13006" hidden="1" ht="1" customHeight="1">
      <s:c r="A13006" s="83" t="inlineStr">
        <s:is>
          <s:t>NOT RUN</s:t>
        </s:is>
      </s:c>
      <s:c r="B13006" s="83">
        <s:f>SUM(IF(EXACT('Kiểm thử'!E12602,"Chưa thực hiện"),1,0),IF(EXACT('Kiểm thử'!E12604,"Chưa thực hiện"),1,0),IF(EXACT('Kiểm thử'!E12606,"Chưa thực hiện"),1,0),IF(EXACT('Kiểm thử'!E12608,"Chưa thực hiện"),1,0),IF(EXACT('Kiểm thử'!E12610,"Chưa thực hiện"),1,0),IF(EXACT('Kiểm thử'!E12612,"Chưa thực hiện"),1,0),IF(EXACT('Kiểm thử'!E12614,"Chưa thực hiện"),1,0),IF(EXACT('Kiểm thử'!E12616,"Chưa thực hiện"),1,0))</s:f>
        <s:v/>
      </s:c>
      <s:c r="C13006" s="19" t="n"/>
      <s:c r="D13006" s="19" t="n"/>
      <s:c r="E13006" s="19" t="n"/>
    </s:row>
    <s:row r="13007" hidden="1" ht="6" customHeight="1">
      <s:c r="A13007" s="83" t="inlineStr"/>
      <s:c r="B13007" s="19" t="n"/>
      <s:c r="C13007" s="19" t="n"/>
      <s:c r="D13007" s="19" t="n"/>
      <s:c r="E13007" s="19" t="n"/>
    </s:row>
    <s:row r="13008" ht="28" customHeight="1">
      <s:c r="A13008" s="108" t="inlineStr">
        <s:is>
          <s:t>TC-RS-CALC-026 — Mẫu số trung bình khi có học sinh bị loại khỏi xếp hạng</s:t>
        </s:is>
      </s:c>
      <s:c r="B13008" s="111" t="n"/>
      <s:c r="C13008" s="111" t="n"/>
      <s:c r="D13008" s="111" t="n"/>
      <s:c r="E13008" s="111" t="n"/>
    </s:row>
    <s:row r="13009" ht="20" customHeight="1">
      <s:c r="A13009" s="112" t="inlineStr">
        <s:is>
          <s:t>Kết quả tình huống</s:t>
        </s:is>
      </s:c>
      <s:c r="B13009" s="113">
        <s:f>IF(SUM(IF(EXACT('Kiểm thử'!E13016,"Không đạt"),1,0))&gt;0,"Không đạt",IF(SUM(IF(EXACT('Kiểm thử'!E13016,"Đạt"),1,0))=1,"Đạt",IF(SUM(IF(EXACT('Kiểm thử'!E13016,"Không thực hiện"),1,0))=1,"Không thực hiện",IF(SUM(IF(EXACT('Kiểm thử'!E13016,"Bị chặn"),1,0))&gt;0,"Bị chặn",IF(SUM(IF(EXACT('Kiểm thử'!E13016,"Chưa thực hiện"),1,0))=1,"Chưa thực hiện","Đang thực hiện")))))</s:f>
        <s:v/>
      </s:c>
      <s:c r="C13009" s="114" t="n"/>
      <s:c r="D13009" s="114" t="n"/>
      <s:c r="E13009" s="114" t="n"/>
    </s:row>
    <s:row r="13010" ht="20" customHeight="1">
      <s:c r="A13010" s="112" t="inlineStr">
        <s:is>
          <s:t>Màn hình / chức năng</s:t>
        </s:is>
      </s:c>
      <s:c r="B13010" s="113" t="inlineStr">
        <s:is>
          <s:t>Nguồn tổng hợp</s:t>
        </s:is>
      </s:c>
      <s:c r="C13010" s="28" t="n"/>
      <s:c r="D13010" s="28" t="n"/>
      <s:c r="E13010" s="28" t="n"/>
    </s:row>
    <s:row r="13011" ht="34" customHeight="1">
      <s:c r="A13011" s="112" t="inlineStr">
        <s:is>
          <s:t>Cấu hình</s:t>
        </s:is>
      </s:c>
      <s:c r="B13011" s="113" t="inlineStr">
        <s:is>
          <s:t>• Nhóm có học sinh bị loại khỏi xếp hạng;
• Công thức [A×0.5], [&lt;].</s:t>
        </s:is>
      </s:c>
      <s:c r="C13011" s="28" t="n"/>
      <s:c r="D13011" s="28" t="n"/>
      <s:c r="E13011" s="28" t="n"/>
    </s:row>
    <s:row r="13012" ht="34" customHeight="1">
      <s:c r="A13012" s="112" t="inlineStr">
        <s:is>
          <s:t>Dữ liệu test</s:t>
        </s:is>
      </s:c>
      <s:c r="B13012" s="113" t="inlineStr">
        <s:is>
          <s:t>• Nhóm có học sinh bị loại khỏi xếp hạng;
• S = 22</s:t>
        </s:is>
      </s:c>
      <s:c r="C13012" s="28" t="n"/>
      <s:c r="D13012" s="28" t="n"/>
      <s:c r="E13012" s="28" t="n"/>
    </s:row>
    <s:row r="13013" ht="20" customHeight="1">
      <s:c r="A13013" s="112" t="inlineStr">
        <s:is>
          <s:t>•</s:t>
        </s:is>
      </s:c>
      <s:c r="B13013" s="113" t="inlineStr">
        <s:is>
          <s:t>Chạy nút xanh rồi nút cam; ghi [A] đọc được.</s:t>
        </s:is>
      </s:c>
      <s:c r="C13013" s="28" t="n"/>
      <s:c r="D13013" s="28" t="n"/>
      <s:c r="E13013" s="28" t="n"/>
    </s:row>
    <s:row r="13014" ht="28" customHeight="1">
      <s:c r="A13014" s="115" t="inlineStr">
        <s:is>
          <s:t>Trường hợp</s:t>
        </s:is>
      </s:c>
      <s:c r="B13014" s="115" t="inlineStr">
        <s:is>
          <s:t>Dữ liệu / thao tác riêng</s:t>
        </s:is>
      </s:c>
      <s:c r="C13014" s="115" t="inlineStr">
        <s:is>
          <s:t>Kết quả mong đợi</s:t>
        </s:is>
      </s:c>
      <s:c r="D13014" s="115" t="inlineStr">
        <s:is>
          <s:t>Kết quả thực tế</s:t>
        </s:is>
      </s:c>
      <s:c r="E13014" s="115" t="inlineStr">
        <s:is>
          <s:t>Đánh giá</s:t>
        </s:is>
      </s:c>
    </s:row>
    <s:row r="13015" ht="3" customHeight="1">
      <s:c r="A13015" s="102" t="inlineStr"/>
      <s:c r="B13015" s="99" t="n"/>
      <s:c r="C13015" s="99" t="n"/>
      <s:c r="D13015" s="116" t="n"/>
      <s:c r="E13015" s="116" t="n"/>
    </s:row>
    <s:row r="13016" ht="76" customHeight="1">
      <s:c r="A13016" s="83" t="inlineStr">
        <s:is>
          <s:t>Trường hợp cơ bản (Base)</s:t>
        </s:is>
      </s:c>
      <s:c r="B13016" s="83" t="inlineStr">
        <s:is>
          <s:t>Toàn bộ tình huống: Thực hiện đủ các bước chung theo thứ tự; kiểm cả đối tượng đích và đối chứng cùng fixture, không bỏ bước.</s:t>
        </s:is>
      </s:c>
      <s:c r="C13016" s="83" t="inlineStr">
        <s:is>
          <s:r>
            <s:t>[A = (60+40+20)/3 = 40] (mẫu số là số người có điểm của cùng bản) → [</s:t>
          </s:r>
          <s:r>
            <s:rPr>
              <s:b val="1"/>
            </s:rPr>
            <s:t>T=20</s:t>
          </s:r>
          <s:r>
            <s:t xml:space="preserve">] → </s:t>
          </s:r>
          <s:r>
            <s:rPr>
              <s:b val="1"/>
            </s:rPr>
            <s:t>S=22</s:t>
          </s:r>
          <s:r>
            <s:t xml:space="preserve"> </s:t>
          </s:r>
          <s:r>
            <s:rPr>
              <s:b val="1"/>
            </s:rPr>
            <s:t>Không đỏ</s:t>
          </s:r>
          <s:r>
            <s:t>. Nếu hệ thống dùng số người thuộc xếp hạng ([</s:t>
          </s:r>
          <s:r>
            <s:rPr>
              <s:b val="1"/>
            </s:rPr>
            <s:t>A=100</s:t>
          </s:r>
          <s:r>
            <s:t>/2=50], [</s:t>
          </s:r>
          <s:r>
            <s:rPr>
              <s:b val="1"/>
            </s:rPr>
            <s:t>T=25</s:t>
          </s:r>
          <s:r>
            <s:t xml:space="preserve">] → </s:t>
          </s:r>
          <s:r>
            <s:rPr>
              <s:b val="1"/>
            </s:rPr>
            <s:t>Đỏ</s:t>
          </s:r>
          <s:r>
            <s:t>) là sai.</s:t>
          </s:r>
        </s:is>
      </s:c>
      <s:c r="D13016" s="117" t="inlineStr"/>
      <s:c r="E13016" s="118" t="inlineStr">
        <s:is>
          <s:t>Chưa thực hiện</s:t>
        </s:is>
      </s:c>
    </s:row>
    <s:row r="13017" ht="20" customHeight="1">
      <s:c r="A13017" s="119" t="inlineStr">
        <s:is>
          <s:t>Ảnh minh chứng — Chưa có ảnh</s:t>
        </s:is>
      </s:c>
      <s:c r="B13017" s="19" t="n"/>
      <s:c r="C13017" s="19" t="n"/>
      <s:c r="D13017" s="19" t="n"/>
      <s:c r="E13017" s="19" t="n"/>
    </s:row>
    <s:row r="13018" hidden="1" ht="1" customHeight="1">
      <s:c r="A13018" s="120" t="inlineStr"/>
      <s:c r="B13018" s="121" t="n"/>
      <s:c r="C13018" s="121" t="n"/>
      <s:c r="D13018" s="121" t="n"/>
      <s:c r="E13018" s="122" t="n"/>
    </s:row>
    <s:row r="13019" hidden="1" ht="1" customHeight="1">
      <s:c r="A13019" s="120" t="inlineStr"/>
      <s:c r="B13019" s="121" t="n"/>
      <s:c r="C13019" s="121" t="n"/>
      <s:c r="D13019" s="121" t="n"/>
      <s:c r="E13019" s="122" t="n"/>
    </s:row>
    <s:row r="13020" hidden="1" ht="1" customHeight="1">
      <s:c r="A13020" s="120" t="inlineStr"/>
      <s:c r="B13020" s="121" t="n"/>
      <s:c r="C13020" s="121" t="n"/>
      <s:c r="D13020" s="121" t="n"/>
      <s:c r="E13020" s="122" t="n"/>
    </s:row>
    <s:row r="13021" hidden="1" ht="1" customHeight="1">
      <s:c r="A13021" s="120" t="inlineStr"/>
      <s:c r="B13021" s="121" t="n"/>
      <s:c r="C13021" s="121" t="n"/>
      <s:c r="D13021" s="121" t="n"/>
      <s:c r="E13021" s="122" t="n"/>
    </s:row>
    <s:row r="13022" hidden="1" ht="1" customHeight="1">
      <s:c r="A13022" s="120" t="inlineStr"/>
      <s:c r="B13022" s="121" t="n"/>
      <s:c r="C13022" s="121" t="n"/>
      <s:c r="D13022" s="121" t="n"/>
      <s:c r="E13022" s="122" t="n"/>
    </s:row>
    <s:row r="13023" hidden="1" ht="1" customHeight="1">
      <s:c r="A13023" s="120" t="inlineStr"/>
      <s:c r="B13023" s="121" t="n"/>
      <s:c r="C13023" s="121" t="n"/>
      <s:c r="D13023" s="121" t="n"/>
      <s:c r="E13023" s="122" t="n"/>
    </s:row>
    <s:row r="13024" hidden="1" ht="1" customHeight="1">
      <s:c r="A13024" s="120" t="inlineStr"/>
      <s:c r="B13024" s="121" t="n"/>
      <s:c r="C13024" s="121" t="n"/>
      <s:c r="D13024" s="121" t="n"/>
      <s:c r="E13024" s="122" t="n"/>
    </s:row>
    <s:row r="13025" hidden="1" ht="1" customHeight="1">
      <s:c r="A13025" s="120" t="inlineStr"/>
      <s:c r="B13025" s="121" t="n"/>
      <s:c r="C13025" s="121" t="n"/>
      <s:c r="D13025" s="121" t="n"/>
      <s:c r="E13025" s="122" t="n"/>
    </s:row>
    <s:row r="13026" hidden="1" ht="1" customHeight="1">
      <s:c r="A13026" s="120" t="inlineStr"/>
      <s:c r="B13026" s="121" t="n"/>
      <s:c r="C13026" s="121" t="n"/>
      <s:c r="D13026" s="121" t="n"/>
      <s:c r="E13026" s="122" t="n"/>
    </s:row>
    <s:row r="13027" hidden="1" ht="1" customHeight="1">
      <s:c r="A13027" s="120" t="inlineStr"/>
      <s:c r="B13027" s="121" t="n"/>
      <s:c r="C13027" s="121" t="n"/>
      <s:c r="D13027" s="121" t="n"/>
      <s:c r="E13027" s="122" t="n"/>
    </s:row>
    <s:row r="13028" hidden="1" ht="1" customHeight="1">
      <s:c r="A13028" s="120" t="inlineStr"/>
      <s:c r="B13028" s="121" t="n"/>
      <s:c r="C13028" s="121" t="n"/>
      <s:c r="D13028" s="121" t="n"/>
      <s:c r="E13028" s="122" t="n"/>
    </s:row>
    <s:row r="13029" hidden="1" ht="1" customHeight="1">
      <s:c r="A13029" s="120" t="inlineStr"/>
      <s:c r="B13029" s="121" t="n"/>
      <s:c r="C13029" s="121" t="n"/>
      <s:c r="D13029" s="121" t="n"/>
      <s:c r="E13029" s="122" t="n"/>
    </s:row>
    <s:row r="13030" hidden="1" ht="1" customHeight="1">
      <s:c r="A13030" s="120" t="inlineStr"/>
      <s:c r="B13030" s="121" t="n"/>
      <s:c r="C13030" s="121" t="n"/>
      <s:c r="D13030" s="121" t="n"/>
      <s:c r="E13030" s="122" t="n"/>
    </s:row>
    <s:row r="13031" hidden="1" ht="1" customHeight="1">
      <s:c r="A13031" s="120" t="inlineStr"/>
      <s:c r="B13031" s="121" t="n"/>
      <s:c r="C13031" s="121" t="n"/>
      <s:c r="D13031" s="121" t="n"/>
      <s:c r="E13031" s="122" t="n"/>
    </s:row>
    <s:row r="13032" hidden="1" ht="1" customHeight="1">
      <s:c r="A13032" s="120" t="inlineStr"/>
      <s:c r="B13032" s="121" t="n"/>
      <s:c r="C13032" s="121" t="n"/>
      <s:c r="D13032" s="121" t="n"/>
      <s:c r="E13032" s="122" t="n"/>
    </s:row>
    <s:row r="13033" hidden="1" ht="1" customHeight="1">
      <s:c r="A13033" s="120" t="inlineStr"/>
      <s:c r="B13033" s="121" t="n"/>
      <s:c r="C13033" s="121" t="n"/>
      <s:c r="D13033" s="121" t="n"/>
      <s:c r="E13033" s="122" t="n"/>
    </s:row>
    <s:row r="13034" hidden="1" ht="1" customHeight="1">
      <s:c r="A13034" s="120" t="inlineStr"/>
      <s:c r="B13034" s="121" t="n"/>
      <s:c r="C13034" s="121" t="n"/>
      <s:c r="D13034" s="121" t="n"/>
      <s:c r="E13034" s="122" t="n"/>
    </s:row>
    <s:row r="13035" hidden="1" ht="1" customHeight="1">
      <s:c r="A13035" s="120" t="inlineStr"/>
      <s:c r="B13035" s="121" t="n"/>
      <s:c r="C13035" s="121" t="n"/>
      <s:c r="D13035" s="121" t="n"/>
      <s:c r="E13035" s="122" t="n"/>
    </s:row>
    <s:row r="13036" hidden="1" ht="1" customHeight="1">
      <s:c r="A13036" s="120" t="inlineStr"/>
      <s:c r="B13036" s="121" t="n"/>
      <s:c r="C13036" s="121" t="n"/>
      <s:c r="D13036" s="121" t="n"/>
      <s:c r="E13036" s="122" t="n"/>
    </s:row>
    <s:row r="13037" hidden="1" ht="1" customHeight="1">
      <s:c r="A13037" s="120" t="inlineStr"/>
      <s:c r="B13037" s="121" t="n"/>
      <s:c r="C13037" s="121" t="n"/>
      <s:c r="D13037" s="121" t="n"/>
      <s:c r="E13037" s="122" t="n"/>
    </s:row>
    <s:row r="13038" hidden="1" ht="1" customHeight="1">
      <s:c r="A13038" s="120" t="inlineStr"/>
      <s:c r="B13038" s="121" t="n"/>
      <s:c r="C13038" s="121" t="n"/>
      <s:c r="D13038" s="121" t="n"/>
      <s:c r="E13038" s="122" t="n"/>
    </s:row>
    <s:row r="13039" hidden="1" ht="1" customHeight="1">
      <s:c r="A13039" s="120" t="inlineStr"/>
      <s:c r="B13039" s="121" t="n"/>
      <s:c r="C13039" s="121" t="n"/>
      <s:c r="D13039" s="121" t="n"/>
      <s:c r="E13039" s="122" t="n"/>
    </s:row>
    <s:row r="13040" hidden="1" ht="1" customHeight="1">
      <s:c r="A13040" s="120" t="inlineStr"/>
      <s:c r="B13040" s="121" t="n"/>
      <s:c r="C13040" s="121" t="n"/>
      <s:c r="D13040" s="121" t="n"/>
      <s:c r="E13040" s="122" t="n"/>
    </s:row>
    <s:row r="13041" hidden="1" ht="1" customHeight="1">
      <s:c r="A13041" s="120" t="inlineStr"/>
      <s:c r="B13041" s="121" t="n"/>
      <s:c r="C13041" s="121" t="n"/>
      <s:c r="D13041" s="121" t="n"/>
      <s:c r="E13041" s="122" t="n"/>
    </s:row>
    <s:row r="13042" hidden="1" ht="1" customHeight="1">
      <s:c r="A13042" s="120" t="inlineStr"/>
      <s:c r="B13042" s="121" t="n"/>
      <s:c r="C13042" s="121" t="n"/>
      <s:c r="D13042" s="121" t="n"/>
      <s:c r="E13042" s="122" t="n"/>
    </s:row>
    <s:row r="13043" hidden="1" ht="1" customHeight="1">
      <s:c r="A13043" s="120" t="inlineStr"/>
      <s:c r="B13043" s="121" t="n"/>
      <s:c r="C13043" s="121" t="n"/>
      <s:c r="D13043" s="121" t="n"/>
      <s:c r="E13043" s="122" t="n"/>
    </s:row>
    <s:row r="13044" hidden="1" ht="1" customHeight="1">
      <s:c r="A13044" s="120" t="inlineStr"/>
      <s:c r="B13044" s="121" t="n"/>
      <s:c r="C13044" s="121" t="n"/>
      <s:c r="D13044" s="121" t="n"/>
      <s:c r="E13044" s="122" t="n"/>
    </s:row>
    <s:row r="13045" hidden="1" ht="1" customHeight="1">
      <s:c r="A13045" s="120" t="inlineStr"/>
      <s:c r="B13045" s="121" t="n"/>
      <s:c r="C13045" s="121" t="n"/>
      <s:c r="D13045" s="121" t="n"/>
      <s:c r="E13045" s="122" t="n"/>
    </s:row>
    <s:row r="13046" hidden="1" ht="1" customHeight="1">
      <s:c r="A13046" s="120" t="inlineStr"/>
      <s:c r="B13046" s="121" t="n"/>
      <s:c r="C13046" s="121" t="n"/>
      <s:c r="D13046" s="121" t="n"/>
      <s:c r="E13046" s="122" t="n"/>
    </s:row>
    <s:row r="13047" hidden="1" ht="1" customHeight="1">
      <s:c r="A13047" s="120" t="inlineStr"/>
      <s:c r="B13047" s="121" t="n"/>
      <s:c r="C13047" s="121" t="n"/>
      <s:c r="D13047" s="121" t="n"/>
      <s:c r="E13047" s="122" t="n"/>
    </s:row>
    <s:row r="13048" hidden="1" ht="1" customHeight="1">
      <s:c r="A13048" s="120" t="inlineStr"/>
      <s:c r="B13048" s="121" t="n"/>
      <s:c r="C13048" s="121" t="n"/>
      <s:c r="D13048" s="121" t="n"/>
      <s:c r="E13048" s="122" t="n"/>
    </s:row>
    <s:row r="13049" hidden="1" ht="1" customHeight="1">
      <s:c r="A13049" s="120" t="inlineStr"/>
      <s:c r="B13049" s="121" t="n"/>
      <s:c r="C13049" s="121" t="n"/>
      <s:c r="D13049" s="121" t="n"/>
      <s:c r="E13049" s="122" t="n"/>
    </s:row>
    <s:row r="13050" hidden="1" ht="1" customHeight="1">
      <s:c r="A13050" s="120" t="inlineStr"/>
      <s:c r="B13050" s="121" t="n"/>
      <s:c r="C13050" s="121" t="n"/>
      <s:c r="D13050" s="121" t="n"/>
      <s:c r="E13050" s="122" t="n"/>
    </s:row>
    <s:row r="13051" hidden="1" ht="1" customHeight="1">
      <s:c r="A13051" s="120" t="inlineStr"/>
      <s:c r="B13051" s="121" t="n"/>
      <s:c r="C13051" s="121" t="n"/>
      <s:c r="D13051" s="121" t="n"/>
      <s:c r="E13051" s="122" t="n"/>
    </s:row>
    <s:row r="13052" hidden="1" ht="1" customHeight="1">
      <s:c r="A13052" s="120" t="inlineStr"/>
      <s:c r="B13052" s="121" t="n"/>
      <s:c r="C13052" s="121" t="n"/>
      <s:c r="D13052" s="121" t="n"/>
      <s:c r="E13052" s="122" t="n"/>
    </s:row>
    <s:row r="13053" hidden="1" ht="1" customHeight="1">
      <s:c r="A13053" s="120" t="inlineStr"/>
      <s:c r="B13053" s="121" t="n"/>
      <s:c r="C13053" s="121" t="n"/>
      <s:c r="D13053" s="121" t="n"/>
      <s:c r="E13053" s="122" t="n"/>
    </s:row>
    <s:row r="13054" hidden="1" ht="1" customHeight="1">
      <s:c r="A13054" s="120" t="inlineStr"/>
      <s:c r="B13054" s="121" t="n"/>
      <s:c r="C13054" s="121" t="n"/>
      <s:c r="D13054" s="121" t="n"/>
      <s:c r="E13054" s="122" t="n"/>
    </s:row>
    <s:row r="13055" hidden="1" ht="1" customHeight="1">
      <s:c r="A13055" s="120" t="inlineStr"/>
      <s:c r="B13055" s="121" t="n"/>
      <s:c r="C13055" s="121" t="n"/>
      <s:c r="D13055" s="121" t="n"/>
      <s:c r="E13055" s="122" t="n"/>
    </s:row>
    <s:row r="13056" hidden="1" ht="1" customHeight="1">
      <s:c r="A13056" s="120" t="inlineStr"/>
      <s:c r="B13056" s="121" t="n"/>
      <s:c r="C13056" s="121" t="n"/>
      <s:c r="D13056" s="121" t="n"/>
      <s:c r="E13056" s="122" t="n"/>
    </s:row>
    <s:row r="13057" hidden="1" ht="1" customHeight="1">
      <s:c r="A13057" s="120" t="inlineStr"/>
      <s:c r="B13057" s="121" t="n"/>
      <s:c r="C13057" s="121" t="n"/>
      <s:c r="D13057" s="121" t="n"/>
      <s:c r="E13057" s="122" t="n"/>
    </s:row>
    <s:row r="13058" hidden="1" ht="1" customHeight="1">
      <s:c r="A13058" s="120" t="inlineStr"/>
      <s:c r="B13058" s="121" t="n"/>
      <s:c r="C13058" s="121" t="n"/>
      <s:c r="D13058" s="121" t="n"/>
      <s:c r="E13058" s="122" t="n"/>
    </s:row>
    <s:row r="13059" hidden="1" ht="1" customHeight="1">
      <s:c r="A13059" s="120" t="inlineStr"/>
      <s:c r="B13059" s="121" t="n"/>
      <s:c r="C13059" s="121" t="n"/>
      <s:c r="D13059" s="121" t="n"/>
      <s:c r="E13059" s="122" t="n"/>
    </s:row>
    <s:row r="13060" hidden="1" ht="1" customHeight="1">
      <s:c r="A13060" s="120" t="inlineStr"/>
      <s:c r="B13060" s="121" t="n"/>
      <s:c r="C13060" s="121" t="n"/>
      <s:c r="D13060" s="121" t="n"/>
      <s:c r="E13060" s="122" t="n"/>
    </s:row>
    <s:row r="13061" hidden="1" ht="1" customHeight="1">
      <s:c r="A13061" s="120" t="inlineStr"/>
      <s:c r="B13061" s="121" t="n"/>
      <s:c r="C13061" s="121" t="n"/>
      <s:c r="D13061" s="121" t="n"/>
      <s:c r="E13061" s="122" t="n"/>
    </s:row>
    <s:row r="13062" hidden="1" ht="1" customHeight="1">
      <s:c r="A13062" s="120" t="inlineStr"/>
      <s:c r="B13062" s="121" t="n"/>
      <s:c r="C13062" s="121" t="n"/>
      <s:c r="D13062" s="121" t="n"/>
      <s:c r="E13062" s="122" t="n"/>
    </s:row>
    <s:row r="13063" hidden="1" ht="1" customHeight="1">
      <s:c r="A13063" s="120" t="inlineStr"/>
      <s:c r="B13063" s="121" t="n"/>
      <s:c r="C13063" s="121" t="n"/>
      <s:c r="D13063" s="121" t="n"/>
      <s:c r="E13063" s="122" t="n"/>
    </s:row>
    <s:row r="13064" hidden="1" ht="1" customHeight="1">
      <s:c r="A13064" s="120" t="inlineStr"/>
      <s:c r="B13064" s="121" t="n"/>
      <s:c r="C13064" s="121" t="n"/>
      <s:c r="D13064" s="121" t="n"/>
      <s:c r="E13064" s="122" t="n"/>
    </s:row>
    <s:row r="13065" hidden="1" ht="1" customHeight="1">
      <s:c r="A13065" s="120" t="inlineStr"/>
      <s:c r="B13065" s="121" t="n"/>
      <s:c r="C13065" s="121" t="n"/>
      <s:c r="D13065" s="121" t="n"/>
      <s:c r="E13065" s="122" t="n"/>
    </s:row>
    <s:row r="13066" hidden="1" ht="1" customHeight="1">
      <s:c r="A13066" s="83" t="inlineStr">
        <s:is>
          <s:t>PASS</s:t>
        </s:is>
      </s:c>
      <s:c r="B13066" s="83">
        <s:f>SUM(IF(EXACT('Kiểm thử'!E13016,"Đạt"),1,0))</s:f>
        <s:v/>
      </s:c>
      <s:c r="C13066" s="19" t="n"/>
      <s:c r="D13066" s="19" t="n"/>
      <s:c r="E13066" s="19" t="n"/>
    </s:row>
    <s:row r="13067" hidden="1" ht="1" customHeight="1">
      <s:c r="A13067" s="83" t="inlineStr">
        <s:is>
          <s:t>FAIL</s:t>
        </s:is>
      </s:c>
      <s:c r="B13067" s="83">
        <s:f>SUM(IF(EXACT('Kiểm thử'!E13016,"Không đạt"),1,0))</s:f>
        <s:v/>
      </s:c>
      <s:c r="C13067" s="19" t="n"/>
      <s:c r="D13067" s="19" t="n"/>
      <s:c r="E13067" s="19" t="n"/>
    </s:row>
    <s:row r="13068" hidden="1" ht="1" customHeight="1">
      <s:c r="A13068" s="83" t="inlineStr">
        <s:is>
          <s:t>BLOCKED</s:t>
        </s:is>
      </s:c>
      <s:c r="B13068" s="83">
        <s:f>SUM(IF(EXACT('Kiểm thử'!E13016,"Bị chặn"),1,0))</s:f>
        <s:v/>
      </s:c>
      <s:c r="C13068" s="19" t="n"/>
      <s:c r="D13068" s="19" t="n"/>
      <s:c r="E13068" s="19" t="n"/>
    </s:row>
    <s:row r="13069" hidden="1" ht="1" customHeight="1">
      <s:c r="A13069" s="83" t="inlineStr">
        <s:is>
          <s:t>SKIPPED</s:t>
        </s:is>
      </s:c>
      <s:c r="B13069" s="83">
        <s:f>SUM(IF(EXACT('Kiểm thử'!E13016,"Không thực hiện"),1,0))</s:f>
        <s:v/>
      </s:c>
      <s:c r="C13069" s="19" t="n"/>
      <s:c r="D13069" s="19" t="n"/>
      <s:c r="E13069" s="19" t="n"/>
    </s:row>
    <s:row r="13070" hidden="1" ht="1" customHeight="1">
      <s:c r="A13070" s="83" t="inlineStr">
        <s:is>
          <s:t>NOT RUN</s:t>
        </s:is>
      </s:c>
      <s:c r="B13070" s="83">
        <s:f>SUM(IF(EXACT('Kiểm thử'!E13016,"Chưa thực hiện"),1,0))</s:f>
        <s:v/>
      </s:c>
      <s:c r="C13070" s="19" t="n"/>
      <s:c r="D13070" s="19" t="n"/>
      <s:c r="E13070" s="19" t="n"/>
    </s:row>
    <s:row r="13071" hidden="1" ht="6" customHeight="1">
      <s:c r="A13071" s="83" t="inlineStr"/>
      <s:c r="B13071" s="19" t="n"/>
      <s:c r="C13071" s="19" t="n"/>
      <s:c r="D13071" s="19" t="n"/>
      <s:c r="E13071" s="19" t="n"/>
    </s:row>
    <s:row r="13072" ht="28" customHeight="1">
      <s:c r="A13072" s="108" t="inlineStr">
        <s:is>
          <s:t>TC-RS-CALC-027 — Trung bình riêng cho từng đơn vị</s:t>
        </s:is>
      </s:c>
      <s:c r="B13072" s="111" t="n"/>
      <s:c r="C13072" s="111" t="n"/>
      <s:c r="D13072" s="111" t="n"/>
      <s:c r="E13072" s="111" t="n"/>
    </s:row>
    <s:row r="13073" ht="20" customHeight="1">
      <s:c r="A13073" s="112" t="inlineStr">
        <s:is>
          <s:t>Kết quả tình huống</s:t>
        </s:is>
      </s:c>
      <s:c r="B13073" s="113">
        <s:f>IF(SUM(IF(EXACT('Kiểm thử'!E13080,"Không đạt"),1,0))&gt;0,"Không đạt",IF(SUM(IF(EXACT('Kiểm thử'!E13080,"Đạt"),1,0))=1,"Đạt",IF(SUM(IF(EXACT('Kiểm thử'!E13080,"Không thực hiện"),1,0))=1,"Không thực hiện",IF(SUM(IF(EXACT('Kiểm thử'!E13080,"Bị chặn"),1,0))&gt;0,"Bị chặn",IF(SUM(IF(EXACT('Kiểm thử'!E13080,"Chưa thực hiện"),1,0))=1,"Chưa thực hiện","Đang thực hiện")))))</s:f>
        <s:v/>
      </s:c>
      <s:c r="C13073" s="114" t="n"/>
      <s:c r="D13073" s="114" t="n"/>
      <s:c r="E13073" s="114" t="n"/>
    </s:row>
    <s:row r="13074" ht="20" customHeight="1">
      <s:c r="A13074" s="112" t="inlineStr">
        <s:is>
          <s:t>Màn hình / chức năng</s:t>
        </s:is>
      </s:c>
      <s:c r="B13074" s="113" t="inlineStr">
        <s:is>
          <s:t>Nguồn tổng hợp</s:t>
        </s:is>
      </s:c>
      <s:c r="C13074" s="28" t="n"/>
      <s:c r="D13074" s="28" t="n"/>
      <s:c r="E13074" s="28" t="n"/>
    </s:row>
    <s:row r="13075" ht="20" customHeight="1">
      <s:c r="A13075" s="112" t="inlineStr">
        <s:is>
          <s:t>Cấu hình</s:t>
        </s:is>
      </s:c>
      <s:c r="B13075" s="113" t="inlineStr">
        <s:is>
          <s:t>• Mục điểm đơn vị (đơn vị U1 có M riêng 40) có công thức [A×0.5], [&lt;].</s:t>
        </s:is>
      </s:c>
      <s:c r="C13075" s="28" t="n"/>
      <s:c r="D13075" s="28" t="n"/>
      <s:c r="E13075" s="28" t="n"/>
    </s:row>
    <s:row r="13076" ht="48" customHeight="1">
      <s:c r="A13076" s="112" t="inlineStr">
        <s:is>
          <s:t>Dữ liệu test</s:t>
        </s:is>
      </s:c>
      <s:c r="B13076" s="113" t="inlineStr">
        <s:is>
          <s:r>
            <s:t>• Mục điểm đơn vị (đơn vị U1 có M riêng 40);
• Trung bình riêng theo đơn vị (U1=40, U2=70) (U1 [</s:t>
          </s:r>
          <s:r>
            <s:rPr>
              <s:b val="1"/>
            </s:rPr>
            <s:t>A=40</s:t>
          </s:r>
          <s:r>
            <s:t>], U2 [</s:t>
          </s:r>
          <s:r>
            <s:rPr>
              <s:b val="1"/>
            </s:rPr>
            <s:t>A=70</s:t>
          </s:r>
          <s:r>
            <s:t>]);
• S06 U1 = 25, U2 = 30</s:t>
          </s:r>
        </s:is>
      </s:c>
      <s:c r="C13076" s="28" t="n"/>
      <s:c r="D13076" s="28" t="n"/>
      <s:c r="E13076" s="28" t="n"/>
    </s:row>
    <s:row r="13077" ht="20" customHeight="1">
      <s:c r="A13077" s="112" t="inlineStr">
        <s:is>
          <s:t>•</s:t>
        </s:is>
      </s:c>
      <s:c r="B13077" s="113" t="inlineStr">
        <s:is>
          <s:t>Chạy nút xanh rồi nút cam.</s:t>
        </s:is>
      </s:c>
      <s:c r="C13077" s="28" t="n"/>
      <s:c r="D13077" s="28" t="n"/>
      <s:c r="E13077" s="28" t="n"/>
    </s:row>
    <s:row r="13078" ht="28" customHeight="1">
      <s:c r="A13078" s="115" t="inlineStr">
        <s:is>
          <s:t>Trường hợp</s:t>
        </s:is>
      </s:c>
      <s:c r="B13078" s="115" t="inlineStr">
        <s:is>
          <s:t>Dữ liệu / thao tác riêng</s:t>
        </s:is>
      </s:c>
      <s:c r="C13078" s="115" t="inlineStr">
        <s:is>
          <s:t>Kết quả mong đợi</s:t>
        </s:is>
      </s:c>
      <s:c r="D13078" s="115" t="inlineStr">
        <s:is>
          <s:t>Kết quả thực tế</s:t>
        </s:is>
      </s:c>
      <s:c r="E13078" s="115" t="inlineStr">
        <s:is>
          <s:t>Đánh giá</s:t>
        </s:is>
      </s:c>
    </s:row>
    <s:row r="13079" ht="3" customHeight="1">
      <s:c r="A13079" s="102" t="inlineStr"/>
      <s:c r="B13079" s="99" t="n"/>
      <s:c r="C13079" s="99" t="n"/>
      <s:c r="D13079" s="116" t="n"/>
      <s:c r="E13079" s="116" t="n"/>
    </s:row>
    <s:row r="13080" ht="76" customHeight="1">
      <s:c r="A13080" s="83" t="inlineStr">
        <s:is>
          <s:t>Trường hợp cơ bản (Base)</s:t>
        </s:is>
      </s:c>
      <s:c r="B13080" s="83" t="inlineStr">
        <s:is>
          <s:t>Toàn bộ tình huống: Thực hiện đủ các bước chung theo thứ tự; kiểm cả đối tượng đích và đối chứng cùng fixture, không bỏ bước.</s:t>
        </s:is>
      </s:c>
      <s:c r="C13080" s="83" t="inlineStr">
        <s:is>
          <s:r>
            <s:t>Kỳ vọng theo đặc tả v2: U1 [</s:t>
          </s:r>
          <s:r>
            <s:rPr>
              <s:b val="1"/>
            </s:rPr>
            <s:t>T=20</s:t>
          </s:r>
          <s:r>
            <s:t xml:space="preserve">] → 25 </s:t>
          </s:r>
          <s:r>
            <s:rPr>
              <s:b val="1"/>
            </s:rPr>
            <s:t>Không đỏ</s:t>
          </s:r>
          <s:r>
            <s:t>; U2 [</s:t>
          </s:r>
          <s:r>
            <s:rPr>
              <s:b val="1"/>
            </s:rPr>
            <s:t>T=35</s:t>
          </s:r>
          <s:r>
            <s:t xml:space="preserve">] → 30 </s:t>
          </s:r>
          <s:r>
            <s:rPr>
              <s:b val="1"/>
            </s:rPr>
            <s:t>Đỏ</s:t>
          </s:r>
          <s:r>
            <s:t>. Nguồn trung bình theo đơn vị chưa tích hợp (đặc tả v2 mục 13.1): nếu không tách được thì ghi nhận, không đánh PASS.</s:t>
          </s:r>
        </s:is>
      </s:c>
      <s:c r="D13080" s="117" t="inlineStr"/>
      <s:c r="E13080" s="118" t="inlineStr">
        <s:is>
          <s:t>Chưa thực hiện</s:t>
        </s:is>
      </s:c>
    </s:row>
    <s:row r="13081" ht="20" customHeight="1">
      <s:c r="A13081" s="119" t="inlineStr">
        <s:is>
          <s:t>Ảnh minh chứng — Chưa có ảnh</s:t>
        </s:is>
      </s:c>
      <s:c r="B13081" s="19" t="n"/>
      <s:c r="C13081" s="19" t="n"/>
      <s:c r="D13081" s="19" t="n"/>
      <s:c r="E13081" s="19" t="n"/>
    </s:row>
    <s:row r="13082" hidden="1" ht="1" customHeight="1">
      <s:c r="A13082" s="120" t="inlineStr"/>
      <s:c r="B13082" s="121" t="n"/>
      <s:c r="C13082" s="121" t="n"/>
      <s:c r="D13082" s="121" t="n"/>
      <s:c r="E13082" s="122" t="n"/>
    </s:row>
    <s:row r="13083" hidden="1" ht="1" customHeight="1">
      <s:c r="A13083" s="120" t="inlineStr"/>
      <s:c r="B13083" s="121" t="n"/>
      <s:c r="C13083" s="121" t="n"/>
      <s:c r="D13083" s="121" t="n"/>
      <s:c r="E13083" s="122" t="n"/>
    </s:row>
    <s:row r="13084" hidden="1" ht="1" customHeight="1">
      <s:c r="A13084" s="120" t="inlineStr"/>
      <s:c r="B13084" s="121" t="n"/>
      <s:c r="C13084" s="121" t="n"/>
      <s:c r="D13084" s="121" t="n"/>
      <s:c r="E13084" s="122" t="n"/>
    </s:row>
    <s:row r="13085" hidden="1" ht="1" customHeight="1">
      <s:c r="A13085" s="120" t="inlineStr"/>
      <s:c r="B13085" s="121" t="n"/>
      <s:c r="C13085" s="121" t="n"/>
      <s:c r="D13085" s="121" t="n"/>
      <s:c r="E13085" s="122" t="n"/>
    </s:row>
    <s:row r="13086" hidden="1" ht="1" customHeight="1">
      <s:c r="A13086" s="120" t="inlineStr"/>
      <s:c r="B13086" s="121" t="n"/>
      <s:c r="C13086" s="121" t="n"/>
      <s:c r="D13086" s="121" t="n"/>
      <s:c r="E13086" s="122" t="n"/>
    </s:row>
    <s:row r="13087" hidden="1" ht="1" customHeight="1">
      <s:c r="A13087" s="120" t="inlineStr"/>
      <s:c r="B13087" s="121" t="n"/>
      <s:c r="C13087" s="121" t="n"/>
      <s:c r="D13087" s="121" t="n"/>
      <s:c r="E13087" s="122" t="n"/>
    </s:row>
    <s:row r="13088" hidden="1" ht="1" customHeight="1">
      <s:c r="A13088" s="120" t="inlineStr"/>
      <s:c r="B13088" s="121" t="n"/>
      <s:c r="C13088" s="121" t="n"/>
      <s:c r="D13088" s="121" t="n"/>
      <s:c r="E13088" s="122" t="n"/>
    </s:row>
    <s:row r="13089" hidden="1" ht="1" customHeight="1">
      <s:c r="A13089" s="120" t="inlineStr"/>
      <s:c r="B13089" s="121" t="n"/>
      <s:c r="C13089" s="121" t="n"/>
      <s:c r="D13089" s="121" t="n"/>
      <s:c r="E13089" s="122" t="n"/>
    </s:row>
    <s:row r="13090" hidden="1" ht="1" customHeight="1">
      <s:c r="A13090" s="120" t="inlineStr"/>
      <s:c r="B13090" s="121" t="n"/>
      <s:c r="C13090" s="121" t="n"/>
      <s:c r="D13090" s="121" t="n"/>
      <s:c r="E13090" s="122" t="n"/>
    </s:row>
    <s:row r="13091" hidden="1" ht="1" customHeight="1">
      <s:c r="A13091" s="120" t="inlineStr"/>
      <s:c r="B13091" s="121" t="n"/>
      <s:c r="C13091" s="121" t="n"/>
      <s:c r="D13091" s="121" t="n"/>
      <s:c r="E13091" s="122" t="n"/>
    </s:row>
    <s:row r="13092" hidden="1" ht="1" customHeight="1">
      <s:c r="A13092" s="120" t="inlineStr"/>
      <s:c r="B13092" s="121" t="n"/>
      <s:c r="C13092" s="121" t="n"/>
      <s:c r="D13092" s="121" t="n"/>
      <s:c r="E13092" s="122" t="n"/>
    </s:row>
    <s:row r="13093" hidden="1" ht="1" customHeight="1">
      <s:c r="A13093" s="120" t="inlineStr"/>
      <s:c r="B13093" s="121" t="n"/>
      <s:c r="C13093" s="121" t="n"/>
      <s:c r="D13093" s="121" t="n"/>
      <s:c r="E13093" s="122" t="n"/>
    </s:row>
    <s:row r="13094" hidden="1" ht="1" customHeight="1">
      <s:c r="A13094" s="120" t="inlineStr"/>
      <s:c r="B13094" s="121" t="n"/>
      <s:c r="C13094" s="121" t="n"/>
      <s:c r="D13094" s="121" t="n"/>
      <s:c r="E13094" s="122" t="n"/>
    </s:row>
    <s:row r="13095" hidden="1" ht="1" customHeight="1">
      <s:c r="A13095" s="120" t="inlineStr"/>
      <s:c r="B13095" s="121" t="n"/>
      <s:c r="C13095" s="121" t="n"/>
      <s:c r="D13095" s="121" t="n"/>
      <s:c r="E13095" s="122" t="n"/>
    </s:row>
    <s:row r="13096" hidden="1" ht="1" customHeight="1">
      <s:c r="A13096" s="120" t="inlineStr"/>
      <s:c r="B13096" s="121" t="n"/>
      <s:c r="C13096" s="121" t="n"/>
      <s:c r="D13096" s="121" t="n"/>
      <s:c r="E13096" s="122" t="n"/>
    </s:row>
    <s:row r="13097" hidden="1" ht="1" customHeight="1">
      <s:c r="A13097" s="120" t="inlineStr"/>
      <s:c r="B13097" s="121" t="n"/>
      <s:c r="C13097" s="121" t="n"/>
      <s:c r="D13097" s="121" t="n"/>
      <s:c r="E13097" s="122" t="n"/>
    </s:row>
    <s:row r="13098" hidden="1" ht="1" customHeight="1">
      <s:c r="A13098" s="120" t="inlineStr"/>
      <s:c r="B13098" s="121" t="n"/>
      <s:c r="C13098" s="121" t="n"/>
      <s:c r="D13098" s="121" t="n"/>
      <s:c r="E13098" s="122" t="n"/>
    </s:row>
    <s:row r="13099" hidden="1" ht="1" customHeight="1">
      <s:c r="A13099" s="120" t="inlineStr"/>
      <s:c r="B13099" s="121" t="n"/>
      <s:c r="C13099" s="121" t="n"/>
      <s:c r="D13099" s="121" t="n"/>
      <s:c r="E13099" s="122" t="n"/>
    </s:row>
    <s:row r="13100" hidden="1" ht="1" customHeight="1">
      <s:c r="A13100" s="120" t="inlineStr"/>
      <s:c r="B13100" s="121" t="n"/>
      <s:c r="C13100" s="121" t="n"/>
      <s:c r="D13100" s="121" t="n"/>
      <s:c r="E13100" s="122" t="n"/>
    </s:row>
    <s:row r="13101" hidden="1" ht="1" customHeight="1">
      <s:c r="A13101" s="120" t="inlineStr"/>
      <s:c r="B13101" s="121" t="n"/>
      <s:c r="C13101" s="121" t="n"/>
      <s:c r="D13101" s="121" t="n"/>
      <s:c r="E13101" s="122" t="n"/>
    </s:row>
    <s:row r="13102" hidden="1" ht="1" customHeight="1">
      <s:c r="A13102" s="120" t="inlineStr"/>
      <s:c r="B13102" s="121" t="n"/>
      <s:c r="C13102" s="121" t="n"/>
      <s:c r="D13102" s="121" t="n"/>
      <s:c r="E13102" s="122" t="n"/>
    </s:row>
    <s:row r="13103" hidden="1" ht="1" customHeight="1">
      <s:c r="A13103" s="120" t="inlineStr"/>
      <s:c r="B13103" s="121" t="n"/>
      <s:c r="C13103" s="121" t="n"/>
      <s:c r="D13103" s="121" t="n"/>
      <s:c r="E13103" s="122" t="n"/>
    </s:row>
    <s:row r="13104" hidden="1" ht="1" customHeight="1">
      <s:c r="A13104" s="120" t="inlineStr"/>
      <s:c r="B13104" s="121" t="n"/>
      <s:c r="C13104" s="121" t="n"/>
      <s:c r="D13104" s="121" t="n"/>
      <s:c r="E13104" s="122" t="n"/>
    </s:row>
    <s:row r="13105" hidden="1" ht="1" customHeight="1">
      <s:c r="A13105" s="120" t="inlineStr"/>
      <s:c r="B13105" s="121" t="n"/>
      <s:c r="C13105" s="121" t="n"/>
      <s:c r="D13105" s="121" t="n"/>
      <s:c r="E13105" s="122" t="n"/>
    </s:row>
    <s:row r="13106" hidden="1" ht="1" customHeight="1">
      <s:c r="A13106" s="120" t="inlineStr"/>
      <s:c r="B13106" s="121" t="n"/>
      <s:c r="C13106" s="121" t="n"/>
      <s:c r="D13106" s="121" t="n"/>
      <s:c r="E13106" s="122" t="n"/>
    </s:row>
    <s:row r="13107" hidden="1" ht="1" customHeight="1">
      <s:c r="A13107" s="120" t="inlineStr"/>
      <s:c r="B13107" s="121" t="n"/>
      <s:c r="C13107" s="121" t="n"/>
      <s:c r="D13107" s="121" t="n"/>
      <s:c r="E13107" s="122" t="n"/>
    </s:row>
    <s:row r="13108" hidden="1" ht="1" customHeight="1">
      <s:c r="A13108" s="120" t="inlineStr"/>
      <s:c r="B13108" s="121" t="n"/>
      <s:c r="C13108" s="121" t="n"/>
      <s:c r="D13108" s="121" t="n"/>
      <s:c r="E13108" s="122" t="n"/>
    </s:row>
    <s:row r="13109" hidden="1" ht="1" customHeight="1">
      <s:c r="A13109" s="120" t="inlineStr"/>
      <s:c r="B13109" s="121" t="n"/>
      <s:c r="C13109" s="121" t="n"/>
      <s:c r="D13109" s="121" t="n"/>
      <s:c r="E13109" s="122" t="n"/>
    </s:row>
    <s:row r="13110" hidden="1" ht="1" customHeight="1">
      <s:c r="A13110" s="120" t="inlineStr"/>
      <s:c r="B13110" s="121" t="n"/>
      <s:c r="C13110" s="121" t="n"/>
      <s:c r="D13110" s="121" t="n"/>
      <s:c r="E13110" s="122" t="n"/>
    </s:row>
    <s:row r="13111" hidden="1" ht="1" customHeight="1">
      <s:c r="A13111" s="120" t="inlineStr"/>
      <s:c r="B13111" s="121" t="n"/>
      <s:c r="C13111" s="121" t="n"/>
      <s:c r="D13111" s="121" t="n"/>
      <s:c r="E13111" s="122" t="n"/>
    </s:row>
    <s:row r="13112" hidden="1" ht="1" customHeight="1">
      <s:c r="A13112" s="120" t="inlineStr"/>
      <s:c r="B13112" s="121" t="n"/>
      <s:c r="C13112" s="121" t="n"/>
      <s:c r="D13112" s="121" t="n"/>
      <s:c r="E13112" s="122" t="n"/>
    </s:row>
    <s:row r="13113" hidden="1" ht="1" customHeight="1">
      <s:c r="A13113" s="120" t="inlineStr"/>
      <s:c r="B13113" s="121" t="n"/>
      <s:c r="C13113" s="121" t="n"/>
      <s:c r="D13113" s="121" t="n"/>
      <s:c r="E13113" s="122" t="n"/>
    </s:row>
    <s:row r="13114" hidden="1" ht="1" customHeight="1">
      <s:c r="A13114" s="120" t="inlineStr"/>
      <s:c r="B13114" s="121" t="n"/>
      <s:c r="C13114" s="121" t="n"/>
      <s:c r="D13114" s="121" t="n"/>
      <s:c r="E13114" s="122" t="n"/>
    </s:row>
    <s:row r="13115" hidden="1" ht="1" customHeight="1">
      <s:c r="A13115" s="120" t="inlineStr"/>
      <s:c r="B13115" s="121" t="n"/>
      <s:c r="C13115" s="121" t="n"/>
      <s:c r="D13115" s="121" t="n"/>
      <s:c r="E13115" s="122" t="n"/>
    </s:row>
    <s:row r="13116" hidden="1" ht="1" customHeight="1">
      <s:c r="A13116" s="120" t="inlineStr"/>
      <s:c r="B13116" s="121" t="n"/>
      <s:c r="C13116" s="121" t="n"/>
      <s:c r="D13116" s="121" t="n"/>
      <s:c r="E13116" s="122" t="n"/>
    </s:row>
    <s:row r="13117" hidden="1" ht="1" customHeight="1">
      <s:c r="A13117" s="120" t="inlineStr"/>
      <s:c r="B13117" s="121" t="n"/>
      <s:c r="C13117" s="121" t="n"/>
      <s:c r="D13117" s="121" t="n"/>
      <s:c r="E13117" s="122" t="n"/>
    </s:row>
    <s:row r="13118" hidden="1" ht="1" customHeight="1">
      <s:c r="A13118" s="120" t="inlineStr"/>
      <s:c r="B13118" s="121" t="n"/>
      <s:c r="C13118" s="121" t="n"/>
      <s:c r="D13118" s="121" t="n"/>
      <s:c r="E13118" s="122" t="n"/>
    </s:row>
    <s:row r="13119" hidden="1" ht="1" customHeight="1">
      <s:c r="A13119" s="120" t="inlineStr"/>
      <s:c r="B13119" s="121" t="n"/>
      <s:c r="C13119" s="121" t="n"/>
      <s:c r="D13119" s="121" t="n"/>
      <s:c r="E13119" s="122" t="n"/>
    </s:row>
    <s:row r="13120" hidden="1" ht="1" customHeight="1">
      <s:c r="A13120" s="120" t="inlineStr"/>
      <s:c r="B13120" s="121" t="n"/>
      <s:c r="C13120" s="121" t="n"/>
      <s:c r="D13120" s="121" t="n"/>
      <s:c r="E13120" s="122" t="n"/>
    </s:row>
    <s:row r="13121" hidden="1" ht="1" customHeight="1">
      <s:c r="A13121" s="120" t="inlineStr"/>
      <s:c r="B13121" s="121" t="n"/>
      <s:c r="C13121" s="121" t="n"/>
      <s:c r="D13121" s="121" t="n"/>
      <s:c r="E13121" s="122" t="n"/>
    </s:row>
    <s:row r="13122" hidden="1" ht="1" customHeight="1">
      <s:c r="A13122" s="120" t="inlineStr"/>
      <s:c r="B13122" s="121" t="n"/>
      <s:c r="C13122" s="121" t="n"/>
      <s:c r="D13122" s="121" t="n"/>
      <s:c r="E13122" s="122" t="n"/>
    </s:row>
    <s:row r="13123" hidden="1" ht="1" customHeight="1">
      <s:c r="A13123" s="120" t="inlineStr"/>
      <s:c r="B13123" s="121" t="n"/>
      <s:c r="C13123" s="121" t="n"/>
      <s:c r="D13123" s="121" t="n"/>
      <s:c r="E13123" s="122" t="n"/>
    </s:row>
    <s:row r="13124" hidden="1" ht="1" customHeight="1">
      <s:c r="A13124" s="120" t="inlineStr"/>
      <s:c r="B13124" s="121" t="n"/>
      <s:c r="C13124" s="121" t="n"/>
      <s:c r="D13124" s="121" t="n"/>
      <s:c r="E13124" s="122" t="n"/>
    </s:row>
    <s:row r="13125" hidden="1" ht="1" customHeight="1">
      <s:c r="A13125" s="120" t="inlineStr"/>
      <s:c r="B13125" s="121" t="n"/>
      <s:c r="C13125" s="121" t="n"/>
      <s:c r="D13125" s="121" t="n"/>
      <s:c r="E13125" s="122" t="n"/>
    </s:row>
    <s:row r="13126" hidden="1" ht="1" customHeight="1">
      <s:c r="A13126" s="120" t="inlineStr"/>
      <s:c r="B13126" s="121" t="n"/>
      <s:c r="C13126" s="121" t="n"/>
      <s:c r="D13126" s="121" t="n"/>
      <s:c r="E13126" s="122" t="n"/>
    </s:row>
    <s:row r="13127" hidden="1" ht="1" customHeight="1">
      <s:c r="A13127" s="120" t="inlineStr"/>
      <s:c r="B13127" s="121" t="n"/>
      <s:c r="C13127" s="121" t="n"/>
      <s:c r="D13127" s="121" t="n"/>
      <s:c r="E13127" s="122" t="n"/>
    </s:row>
    <s:row r="13128" hidden="1" ht="1" customHeight="1">
      <s:c r="A13128" s="120" t="inlineStr"/>
      <s:c r="B13128" s="121" t="n"/>
      <s:c r="C13128" s="121" t="n"/>
      <s:c r="D13128" s="121" t="n"/>
      <s:c r="E13128" s="122" t="n"/>
    </s:row>
    <s:row r="13129" hidden="1" ht="1" customHeight="1">
      <s:c r="A13129" s="120" t="inlineStr"/>
      <s:c r="B13129" s="121" t="n"/>
      <s:c r="C13129" s="121" t="n"/>
      <s:c r="D13129" s="121" t="n"/>
      <s:c r="E13129" s="122" t="n"/>
    </s:row>
    <s:row r="13130" hidden="1" ht="1" customHeight="1">
      <s:c r="A13130" s="83" t="inlineStr">
        <s:is>
          <s:t>PASS</s:t>
        </s:is>
      </s:c>
      <s:c r="B13130" s="83">
        <s:f>SUM(IF(EXACT('Kiểm thử'!E13080,"Đạt"),1,0))</s:f>
        <s:v/>
      </s:c>
      <s:c r="C13130" s="19" t="n"/>
      <s:c r="D13130" s="19" t="n"/>
      <s:c r="E13130" s="19" t="n"/>
    </s:row>
    <s:row r="13131" hidden="1" ht="1" customHeight="1">
      <s:c r="A13131" s="83" t="inlineStr">
        <s:is>
          <s:t>FAIL</s:t>
        </s:is>
      </s:c>
      <s:c r="B13131" s="83">
        <s:f>SUM(IF(EXACT('Kiểm thử'!E13080,"Không đạt"),1,0))</s:f>
        <s:v/>
      </s:c>
      <s:c r="C13131" s="19" t="n"/>
      <s:c r="D13131" s="19" t="n"/>
      <s:c r="E13131" s="19" t="n"/>
    </s:row>
    <s:row r="13132" hidden="1" ht="1" customHeight="1">
      <s:c r="A13132" s="83" t="inlineStr">
        <s:is>
          <s:t>BLOCKED</s:t>
        </s:is>
      </s:c>
      <s:c r="B13132" s="83">
        <s:f>SUM(IF(EXACT('Kiểm thử'!E13080,"Bị chặn"),1,0))</s:f>
        <s:v/>
      </s:c>
      <s:c r="C13132" s="19" t="n"/>
      <s:c r="D13132" s="19" t="n"/>
      <s:c r="E13132" s="19" t="n"/>
    </s:row>
    <s:row r="13133" hidden="1" ht="1" customHeight="1">
      <s:c r="A13133" s="83" t="inlineStr">
        <s:is>
          <s:t>SKIPPED</s:t>
        </s:is>
      </s:c>
      <s:c r="B13133" s="83">
        <s:f>SUM(IF(EXACT('Kiểm thử'!E13080,"Không thực hiện"),1,0))</s:f>
        <s:v/>
      </s:c>
      <s:c r="C13133" s="19" t="n"/>
      <s:c r="D13133" s="19" t="n"/>
      <s:c r="E13133" s="19" t="n"/>
    </s:row>
    <s:row r="13134" hidden="1" ht="1" customHeight="1">
      <s:c r="A13134" s="83" t="inlineStr">
        <s:is>
          <s:t>NOT RUN</s:t>
        </s:is>
      </s:c>
      <s:c r="B13134" s="83">
        <s:f>SUM(IF(EXACT('Kiểm thử'!E13080,"Chưa thực hiện"),1,0))</s:f>
        <s:v/>
      </s:c>
      <s:c r="C13134" s="19" t="n"/>
      <s:c r="D13134" s="19" t="n"/>
      <s:c r="E13134" s="19" t="n"/>
    </s:row>
    <s:row r="13135" hidden="1" ht="6" customHeight="1">
      <s:c r="A13135" s="83" t="inlineStr"/>
      <s:c r="B13135" s="19" t="n"/>
      <s:c r="C13135" s="19" t="n"/>
      <s:c r="D13135" s="19" t="n"/>
      <s:c r="E13135" s="19" t="n"/>
    </s:row>
    <s:row r="13136" ht="28" customHeight="1">
      <s:c r="A13136" s="108" t="inlineStr">
        <s:is>
          <s:t>TC-RS-CALC-031 — Nguồn không có mẫu số hợp lệ (tổng điểm tối đa 0, số người có điểm 0) → Chưa xét được</s:t>
        </s:is>
      </s:c>
      <s:c r="B13136" s="111" t="n"/>
      <s:c r="C13136" s="111" t="n"/>
      <s:c r="D13136" s="111" t="n"/>
      <s:c r="E13136" s="111" t="n"/>
    </s:row>
    <s:row r="13137" ht="20" customHeight="1">
      <s:c r="A13137" s="112" t="inlineStr">
        <s:is>
          <s:t>Kết quả tình huống</s:t>
        </s:is>
      </s:c>
      <s:c r="B13137" s="113">
        <s:f>IF(SUM(IF(EXACT('Kiểm thử'!E13144,"Không đạt"),1,0),IF(EXACT('Kiểm thử'!E13146,"Không đạt"),1,0))&gt;0,"Không đạt",IF(SUM(IF(EXACT('Kiểm thử'!E13144,"Đạt"),1,0),IF(EXACT('Kiểm thử'!E13146,"Đạt"),1,0))=2,"Đạt",IF(SUM(IF(EXACT('Kiểm thử'!E13144,"Không thực hiện"),1,0),IF(EXACT('Kiểm thử'!E13146,"Không thực hiện"),1,0))=2,"Không thực hiện",IF(SUM(IF(EXACT('Kiểm thử'!E13144,"Bị chặn"),1,0),IF(EXACT('Kiểm thử'!E13146,"Bị chặn"),1,0))&gt;0,"Bị chặn",IF(SUM(IF(EXACT('Kiểm thử'!E13144,"Chưa thực hiện"),1,0),IF(EXACT('Kiểm thử'!E13146,"Chưa thực hiện"),1,0))=2,"Chưa thực hiện","Đang thực hiện")))))</s:f>
        <s:v/>
      </s:c>
      <s:c r="C13137" s="114" t="n"/>
      <s:c r="D13137" s="114" t="n"/>
      <s:c r="E13137" s="114" t="n"/>
    </s:row>
    <s:row r="13138" ht="20" customHeight="1">
      <s:c r="A13138" s="112" t="inlineStr">
        <s:is>
          <s:t>Màn hình / chức năng</s:t>
        </s:is>
      </s:c>
      <s:c r="B13138" s="113" t="inlineStr">
        <s:is>
          <s:t>Nguồn tổng hợp</s:t>
        </s:is>
      </s:c>
      <s:c r="C13138" s="28" t="n"/>
      <s:c r="D13138" s="28" t="n"/>
      <s:c r="E13138" s="28" t="n"/>
    </s:row>
    <s:row r="13139" ht="34" customHeight="1">
      <s:c r="A13139" s="112" t="inlineStr">
        <s:is>
          <s:t>Cấu hình</s:t>
        </s:is>
      </s:c>
      <s:c r="B13139" s="113" t="inlineStr">
        <s:is>
          <s:t>• Quy tắc 1: quy tắc theo tỷ lệ điểm của nhóm từ 65% (điều kiện tỷ lệ nhóm). Quy tắc 2 (mục khác): công thức [A×0.5]. Cách tạo dữ liệu: hỏi team dev khi chuẩn bị.</s:t>
        </s:is>
      </s:c>
      <s:c r="C13139" s="28" t="n"/>
      <s:c r="D13139" s="28" t="n"/>
      <s:c r="E13139" s="28" t="n"/>
    </s:row>
    <s:row r="13140" ht="62" customHeight="1">
      <s:c r="A13140" s="112" t="inlineStr">
        <s:is>
          <s:t>Dữ liệu test</s:t>
        </s:is>
      </s:c>
      <s:c r="B13140" s="113" t="inlineStr">
        <s:is>
          <s:t>• Quy tắc theo tỷ lệ điểm của nhóm từ 65%;
• (A) Bản tổng hợp của nhóm có tổng điểm tối đa = 0;
• (B) bản tổng hợp tồn tại nhưng không học sinh nào có điểm;
• S01 = 29</s:t>
        </s:is>
      </s:c>
      <s:c r="C13140" s="28" t="n"/>
      <s:c r="D13140" s="28" t="n"/>
      <s:c r="E13140" s="28" t="n"/>
    </s:row>
    <s:row r="13141" ht="20" customHeight="1">
      <s:c r="A13141" s="112" t="inlineStr">
        <s:is>
          <s:t>•</s:t>
        </s:is>
      </s:c>
      <s:c r="B13141" s="113" t="inlineStr">
        <s:is>
          <s:t>Với từng nguồn: chạy nút xanh (nếu cần) rồi nút cam; xem kết quả S01.</s:t>
        </s:is>
      </s:c>
      <s:c r="C13141" s="28" t="n"/>
      <s:c r="D13141" s="28" t="n"/>
      <s:c r="E13141" s="28" t="n"/>
    </s:row>
    <s:row r="13142" ht="28" customHeight="1">
      <s:c r="A13142" s="115" t="inlineStr">
        <s:is>
          <s:t>Trường hợp</s:t>
        </s:is>
      </s:c>
      <s:c r="B13142" s="115" t="inlineStr">
        <s:is>
          <s:t>Dữ liệu / thao tác riêng</s:t>
        </s:is>
      </s:c>
      <s:c r="C13142" s="115" t="inlineStr">
        <s:is>
          <s:t>Kết quả mong đợi</s:t>
        </s:is>
      </s:c>
      <s:c r="D13142" s="115" t="inlineStr">
        <s:is>
          <s:t>Kết quả thực tế</s:t>
        </s:is>
      </s:c>
      <s:c r="E13142" s="115" t="inlineStr">
        <s:is>
          <s:t>Đánh giá</s:t>
        </s:is>
      </s:c>
    </s:row>
    <s:row r="13143" ht="3" customHeight="1">
      <s:c r="A13143" s="102" t="inlineStr"/>
      <s:c r="B13143" s="99" t="n"/>
      <s:c r="C13143" s="99" t="n"/>
      <s:c r="D13143" s="116" t="n"/>
      <s:c r="E13143" s="116" t="n"/>
    </s:row>
    <s:row r="13144" ht="90" customHeight="1">
      <s:c r="A13144" s="83" t="inlineStr">
        <s:is>
          <s:t>Mẫu số tỷ lệ nhóm bằng 0 (zero-maximum)</s:t>
        </s:is>
      </s:c>
      <s:c r="B13144" s="83" t="inlineStr">
        <s:is>
          <s:t>Rule điều kiện tỷ lệ nhóm≥65%; bản tổng hợp có tổng điểm tối đa=0, S01=29. Chuẩn bị nguồn qua đường team xác minh; chạy xanh nếu cần rồi cam.</s:t>
        </s:is>
      </s:c>
      <s:c r="C13144" s="83" t="inlineStr">
        <s:is>
          <s:r>
            <s:t>(A) Điều kiện tỷ lệ nhóm không xác định được → Chưa xét được; không coi [</s:t>
          </s:r>
          <s:r>
            <s:rPr>
              <s:b val="1"/>
            </s:rPr>
            <s:t>R=0</s:t>
          </s:r>
          <s:r>
            <s:t xml:space="preserve">] là không khớp để thành </s:t>
          </s:r>
          <s:r>
            <s:rPr>
              <s:b val="1"/>
            </s:rPr>
            <s:t>Không áp dụng</s:t>
          </s:r>
          <s:r>
            <s:t xml:space="preserve"> hay chuyển xuống ưu tiên thấp hơn.
Cả hai: ngừng dấu đỏ cũ; không lấy nguồn khác.</s:t>
          </s:r>
        </s:is>
      </s:c>
      <s:c r="D13144" s="117" t="inlineStr"/>
      <s:c r="E13144" s="118" t="inlineStr">
        <s:is>
          <s:t>Chưa thực hiện</s:t>
        </s:is>
      </s:c>
    </s:row>
    <s:row r="13145" ht="3" customHeight="1">
      <s:c r="A13145" s="102" t="inlineStr"/>
      <s:c r="B13145" s="99" t="n"/>
      <s:c r="C13145" s="99" t="n"/>
      <s:c r="D13145" s="116" t="n"/>
      <s:c r="E13145" s="116" t="n"/>
    </s:row>
    <s:row r="13146" ht="76" customHeight="1">
      <s:c r="A13146" s="83" t="inlineStr">
        <s:is>
          <s:t>Không ai có điểm trong nguồn (zero-count)</s:t>
        </s:is>
      </s:c>
      <s:c r="B13146" s="83" t="inlineStr">
        <s:is>
          <s:t>Rule công thức A×0.5; bản tổng hợp tồn tại nhưng số học sinh có điểm=0, S01=29. Chuẩn bị nguồn qua đường team xác minh; chạy xanh nếu cần rồi cam.</s:t>
        </s:is>
      </s:c>
      <s:c r="C13146" s="83" t="inlineStr">
        <s:is>
          <s:r>
            <s:t>(B) [A] không xác định được → Chưa xét được; không coi [</s:t>
          </s:r>
          <s:r>
            <s:rPr>
              <s:b val="1"/>
            </s:rPr>
            <s:t>A=0</s:t>
          </s:r>
          <s:r>
            <s:t>] (nếu coi 0 thì [</s:t>
          </s:r>
          <s:r>
            <s:rPr>
              <s:b val="1"/>
            </s:rPr>
            <s:t>T=0</s:t>
          </s:r>
          <s:r>
            <s:t xml:space="preserve">], S01 </s:t>
          </s:r>
          <s:r>
            <s:rPr>
              <s:b val="1"/>
            </s:rPr>
            <s:t>Không đỏ</s:t>
          </s:r>
          <s:r>
            <s:t xml:space="preserve"> — sai).
Cả hai: ngừng dấu đỏ cũ; không lấy nguồn khác.</s:t>
          </s:r>
        </s:is>
      </s:c>
      <s:c r="D13146" s="117" t="inlineStr"/>
      <s:c r="E13146" s="118" t="inlineStr">
        <s:is>
          <s:t>Chưa thực hiện</s:t>
        </s:is>
      </s:c>
    </s:row>
    <s:row r="13147" ht="20" customHeight="1">
      <s:c r="A13147" s="119" t="inlineStr">
        <s:is>
          <s:t>Ảnh minh chứng — Chưa có ảnh</s:t>
        </s:is>
      </s:c>
      <s:c r="B13147" s="19" t="n"/>
      <s:c r="C13147" s="19" t="n"/>
      <s:c r="D13147" s="19" t="n"/>
      <s:c r="E13147" s="19" t="n"/>
    </s:row>
    <s:row r="13148" hidden="1" ht="1" customHeight="1">
      <s:c r="A13148" s="120" t="inlineStr"/>
      <s:c r="B13148" s="121" t="n"/>
      <s:c r="C13148" s="121" t="n"/>
      <s:c r="D13148" s="121" t="n"/>
      <s:c r="E13148" s="122" t="n"/>
    </s:row>
    <s:row r="13149" hidden="1" ht="1" customHeight="1">
      <s:c r="A13149" s="120" t="inlineStr"/>
      <s:c r="B13149" s="121" t="n"/>
      <s:c r="C13149" s="121" t="n"/>
      <s:c r="D13149" s="121" t="n"/>
      <s:c r="E13149" s="122" t="n"/>
    </s:row>
    <s:row r="13150" hidden="1" ht="1" customHeight="1">
      <s:c r="A13150" s="120" t="inlineStr"/>
      <s:c r="B13150" s="121" t="n"/>
      <s:c r="C13150" s="121" t="n"/>
      <s:c r="D13150" s="121" t="n"/>
      <s:c r="E13150" s="122" t="n"/>
    </s:row>
    <s:row r="13151" hidden="1" ht="1" customHeight="1">
      <s:c r="A13151" s="120" t="inlineStr"/>
      <s:c r="B13151" s="121" t="n"/>
      <s:c r="C13151" s="121" t="n"/>
      <s:c r="D13151" s="121" t="n"/>
      <s:c r="E13151" s="122" t="n"/>
    </s:row>
    <s:row r="13152" hidden="1" ht="1" customHeight="1">
      <s:c r="A13152" s="120" t="inlineStr"/>
      <s:c r="B13152" s="121" t="n"/>
      <s:c r="C13152" s="121" t="n"/>
      <s:c r="D13152" s="121" t="n"/>
      <s:c r="E13152" s="122" t="n"/>
    </s:row>
    <s:row r="13153" hidden="1" ht="1" customHeight="1">
      <s:c r="A13153" s="120" t="inlineStr"/>
      <s:c r="B13153" s="121" t="n"/>
      <s:c r="C13153" s="121" t="n"/>
      <s:c r="D13153" s="121" t="n"/>
      <s:c r="E13153" s="122" t="n"/>
    </s:row>
    <s:row r="13154" hidden="1" ht="1" customHeight="1">
      <s:c r="A13154" s="120" t="inlineStr"/>
      <s:c r="B13154" s="121" t="n"/>
      <s:c r="C13154" s="121" t="n"/>
      <s:c r="D13154" s="121" t="n"/>
      <s:c r="E13154" s="122" t="n"/>
    </s:row>
    <s:row r="13155" hidden="1" ht="1" customHeight="1">
      <s:c r="A13155" s="120" t="inlineStr"/>
      <s:c r="B13155" s="121" t="n"/>
      <s:c r="C13155" s="121" t="n"/>
      <s:c r="D13155" s="121" t="n"/>
      <s:c r="E13155" s="122" t="n"/>
    </s:row>
    <s:row r="13156" hidden="1" ht="1" customHeight="1">
      <s:c r="A13156" s="120" t="inlineStr"/>
      <s:c r="B13156" s="121" t="n"/>
      <s:c r="C13156" s="121" t="n"/>
      <s:c r="D13156" s="121" t="n"/>
      <s:c r="E13156" s="122" t="n"/>
    </s:row>
    <s:row r="13157" hidden="1" ht="1" customHeight="1">
      <s:c r="A13157" s="120" t="inlineStr"/>
      <s:c r="B13157" s="121" t="n"/>
      <s:c r="C13157" s="121" t="n"/>
      <s:c r="D13157" s="121" t="n"/>
      <s:c r="E13157" s="122" t="n"/>
    </s:row>
    <s:row r="13158" hidden="1" ht="1" customHeight="1">
      <s:c r="A13158" s="120" t="inlineStr"/>
      <s:c r="B13158" s="121" t="n"/>
      <s:c r="C13158" s="121" t="n"/>
      <s:c r="D13158" s="121" t="n"/>
      <s:c r="E13158" s="122" t="n"/>
    </s:row>
    <s:row r="13159" hidden="1" ht="1" customHeight="1">
      <s:c r="A13159" s="120" t="inlineStr"/>
      <s:c r="B13159" s="121" t="n"/>
      <s:c r="C13159" s="121" t="n"/>
      <s:c r="D13159" s="121" t="n"/>
      <s:c r="E13159" s="122" t="n"/>
    </s:row>
    <s:row r="13160" hidden="1" ht="1" customHeight="1">
      <s:c r="A13160" s="120" t="inlineStr"/>
      <s:c r="B13160" s="121" t="n"/>
      <s:c r="C13160" s="121" t="n"/>
      <s:c r="D13160" s="121" t="n"/>
      <s:c r="E13160" s="122" t="n"/>
    </s:row>
    <s:row r="13161" hidden="1" ht="1" customHeight="1">
      <s:c r="A13161" s="120" t="inlineStr"/>
      <s:c r="B13161" s="121" t="n"/>
      <s:c r="C13161" s="121" t="n"/>
      <s:c r="D13161" s="121" t="n"/>
      <s:c r="E13161" s="122" t="n"/>
    </s:row>
    <s:row r="13162" hidden="1" ht="1" customHeight="1">
      <s:c r="A13162" s="120" t="inlineStr"/>
      <s:c r="B13162" s="121" t="n"/>
      <s:c r="C13162" s="121" t="n"/>
      <s:c r="D13162" s="121" t="n"/>
      <s:c r="E13162" s="122" t="n"/>
    </s:row>
    <s:row r="13163" hidden="1" ht="1" customHeight="1">
      <s:c r="A13163" s="120" t="inlineStr"/>
      <s:c r="B13163" s="121" t="n"/>
      <s:c r="C13163" s="121" t="n"/>
      <s:c r="D13163" s="121" t="n"/>
      <s:c r="E13163" s="122" t="n"/>
    </s:row>
    <s:row r="13164" hidden="1" ht="1" customHeight="1">
      <s:c r="A13164" s="120" t="inlineStr"/>
      <s:c r="B13164" s="121" t="n"/>
      <s:c r="C13164" s="121" t="n"/>
      <s:c r="D13164" s="121" t="n"/>
      <s:c r="E13164" s="122" t="n"/>
    </s:row>
    <s:row r="13165" hidden="1" ht="1" customHeight="1">
      <s:c r="A13165" s="120" t="inlineStr"/>
      <s:c r="B13165" s="121" t="n"/>
      <s:c r="C13165" s="121" t="n"/>
      <s:c r="D13165" s="121" t="n"/>
      <s:c r="E13165" s="122" t="n"/>
    </s:row>
    <s:row r="13166" hidden="1" ht="1" customHeight="1">
      <s:c r="A13166" s="120" t="inlineStr"/>
      <s:c r="B13166" s="121" t="n"/>
      <s:c r="C13166" s="121" t="n"/>
      <s:c r="D13166" s="121" t="n"/>
      <s:c r="E13166" s="122" t="n"/>
    </s:row>
    <s:row r="13167" hidden="1" ht="1" customHeight="1">
      <s:c r="A13167" s="120" t="inlineStr"/>
      <s:c r="B13167" s="121" t="n"/>
      <s:c r="C13167" s="121" t="n"/>
      <s:c r="D13167" s="121" t="n"/>
      <s:c r="E13167" s="122" t="n"/>
    </s:row>
    <s:row r="13168" hidden="1" ht="1" customHeight="1">
      <s:c r="A13168" s="120" t="inlineStr"/>
      <s:c r="B13168" s="121" t="n"/>
      <s:c r="C13168" s="121" t="n"/>
      <s:c r="D13168" s="121" t="n"/>
      <s:c r="E13168" s="122" t="n"/>
    </s:row>
    <s:row r="13169" hidden="1" ht="1" customHeight="1">
      <s:c r="A13169" s="120" t="inlineStr"/>
      <s:c r="B13169" s="121" t="n"/>
      <s:c r="C13169" s="121" t="n"/>
      <s:c r="D13169" s="121" t="n"/>
      <s:c r="E13169" s="122" t="n"/>
    </s:row>
    <s:row r="13170" hidden="1" ht="1" customHeight="1">
      <s:c r="A13170" s="120" t="inlineStr"/>
      <s:c r="B13170" s="121" t="n"/>
      <s:c r="C13170" s="121" t="n"/>
      <s:c r="D13170" s="121" t="n"/>
      <s:c r="E13170" s="122" t="n"/>
    </s:row>
    <s:row r="13171" hidden="1" ht="1" customHeight="1">
      <s:c r="A13171" s="120" t="inlineStr"/>
      <s:c r="B13171" s="121" t="n"/>
      <s:c r="C13171" s="121" t="n"/>
      <s:c r="D13171" s="121" t="n"/>
      <s:c r="E13171" s="122" t="n"/>
    </s:row>
    <s:row r="13172" hidden="1" ht="1" customHeight="1">
      <s:c r="A13172" s="120" t="inlineStr"/>
      <s:c r="B13172" s="121" t="n"/>
      <s:c r="C13172" s="121" t="n"/>
      <s:c r="D13172" s="121" t="n"/>
      <s:c r="E13172" s="122" t="n"/>
    </s:row>
    <s:row r="13173" hidden="1" ht="1" customHeight="1">
      <s:c r="A13173" s="120" t="inlineStr"/>
      <s:c r="B13173" s="121" t="n"/>
      <s:c r="C13173" s="121" t="n"/>
      <s:c r="D13173" s="121" t="n"/>
      <s:c r="E13173" s="122" t="n"/>
    </s:row>
    <s:row r="13174" hidden="1" ht="1" customHeight="1">
      <s:c r="A13174" s="120" t="inlineStr"/>
      <s:c r="B13174" s="121" t="n"/>
      <s:c r="C13174" s="121" t="n"/>
      <s:c r="D13174" s="121" t="n"/>
      <s:c r="E13174" s="122" t="n"/>
    </s:row>
    <s:row r="13175" hidden="1" ht="1" customHeight="1">
      <s:c r="A13175" s="120" t="inlineStr"/>
      <s:c r="B13175" s="121" t="n"/>
      <s:c r="C13175" s="121" t="n"/>
      <s:c r="D13175" s="121" t="n"/>
      <s:c r="E13175" s="122" t="n"/>
    </s:row>
    <s:row r="13176" hidden="1" ht="1" customHeight="1">
      <s:c r="A13176" s="120" t="inlineStr"/>
      <s:c r="B13176" s="121" t="n"/>
      <s:c r="C13176" s="121" t="n"/>
      <s:c r="D13176" s="121" t="n"/>
      <s:c r="E13176" s="122" t="n"/>
    </s:row>
    <s:row r="13177" hidden="1" ht="1" customHeight="1">
      <s:c r="A13177" s="120" t="inlineStr"/>
      <s:c r="B13177" s="121" t="n"/>
      <s:c r="C13177" s="121" t="n"/>
      <s:c r="D13177" s="121" t="n"/>
      <s:c r="E13177" s="122" t="n"/>
    </s:row>
    <s:row r="13178" hidden="1" ht="1" customHeight="1">
      <s:c r="A13178" s="120" t="inlineStr"/>
      <s:c r="B13178" s="121" t="n"/>
      <s:c r="C13178" s="121" t="n"/>
      <s:c r="D13178" s="121" t="n"/>
      <s:c r="E13178" s="122" t="n"/>
    </s:row>
    <s:row r="13179" hidden="1" ht="1" customHeight="1">
      <s:c r="A13179" s="120" t="inlineStr"/>
      <s:c r="B13179" s="121" t="n"/>
      <s:c r="C13179" s="121" t="n"/>
      <s:c r="D13179" s="121" t="n"/>
      <s:c r="E13179" s="122" t="n"/>
    </s:row>
    <s:row r="13180" hidden="1" ht="1" customHeight="1">
      <s:c r="A13180" s="120" t="inlineStr"/>
      <s:c r="B13180" s="121" t="n"/>
      <s:c r="C13180" s="121" t="n"/>
      <s:c r="D13180" s="121" t="n"/>
      <s:c r="E13180" s="122" t="n"/>
    </s:row>
    <s:row r="13181" hidden="1" ht="1" customHeight="1">
      <s:c r="A13181" s="120" t="inlineStr"/>
      <s:c r="B13181" s="121" t="n"/>
      <s:c r="C13181" s="121" t="n"/>
      <s:c r="D13181" s="121" t="n"/>
      <s:c r="E13181" s="122" t="n"/>
    </s:row>
    <s:row r="13182" hidden="1" ht="1" customHeight="1">
      <s:c r="A13182" s="120" t="inlineStr"/>
      <s:c r="B13182" s="121" t="n"/>
      <s:c r="C13182" s="121" t="n"/>
      <s:c r="D13182" s="121" t="n"/>
      <s:c r="E13182" s="122" t="n"/>
    </s:row>
    <s:row r="13183" hidden="1" ht="1" customHeight="1">
      <s:c r="A13183" s="120" t="inlineStr"/>
      <s:c r="B13183" s="121" t="n"/>
      <s:c r="C13183" s="121" t="n"/>
      <s:c r="D13183" s="121" t="n"/>
      <s:c r="E13183" s="122" t="n"/>
    </s:row>
    <s:row r="13184" hidden="1" ht="1" customHeight="1">
      <s:c r="A13184" s="120" t="inlineStr"/>
      <s:c r="B13184" s="121" t="n"/>
      <s:c r="C13184" s="121" t="n"/>
      <s:c r="D13184" s="121" t="n"/>
      <s:c r="E13184" s="122" t="n"/>
    </s:row>
    <s:row r="13185" hidden="1" ht="1" customHeight="1">
      <s:c r="A13185" s="120" t="inlineStr"/>
      <s:c r="B13185" s="121" t="n"/>
      <s:c r="C13185" s="121" t="n"/>
      <s:c r="D13185" s="121" t="n"/>
      <s:c r="E13185" s="122" t="n"/>
    </s:row>
    <s:row r="13186" hidden="1" ht="1" customHeight="1">
      <s:c r="A13186" s="120" t="inlineStr"/>
      <s:c r="B13186" s="121" t="n"/>
      <s:c r="C13186" s="121" t="n"/>
      <s:c r="D13186" s="121" t="n"/>
      <s:c r="E13186" s="122" t="n"/>
    </s:row>
    <s:row r="13187" hidden="1" ht="1" customHeight="1">
      <s:c r="A13187" s="120" t="inlineStr"/>
      <s:c r="B13187" s="121" t="n"/>
      <s:c r="C13187" s="121" t="n"/>
      <s:c r="D13187" s="121" t="n"/>
      <s:c r="E13187" s="122" t="n"/>
    </s:row>
    <s:row r="13188" hidden="1" ht="1" customHeight="1">
      <s:c r="A13188" s="120" t="inlineStr"/>
      <s:c r="B13188" s="121" t="n"/>
      <s:c r="C13188" s="121" t="n"/>
      <s:c r="D13188" s="121" t="n"/>
      <s:c r="E13188" s="122" t="n"/>
    </s:row>
    <s:row r="13189" hidden="1" ht="1" customHeight="1">
      <s:c r="A13189" s="120" t="inlineStr"/>
      <s:c r="B13189" s="121" t="n"/>
      <s:c r="C13189" s="121" t="n"/>
      <s:c r="D13189" s="121" t="n"/>
      <s:c r="E13189" s="122" t="n"/>
    </s:row>
    <s:row r="13190" hidden="1" ht="1" customHeight="1">
      <s:c r="A13190" s="120" t="inlineStr"/>
      <s:c r="B13190" s="121" t="n"/>
      <s:c r="C13190" s="121" t="n"/>
      <s:c r="D13190" s="121" t="n"/>
      <s:c r="E13190" s="122" t="n"/>
    </s:row>
    <s:row r="13191" hidden="1" ht="1" customHeight="1">
      <s:c r="A13191" s="120" t="inlineStr"/>
      <s:c r="B13191" s="121" t="n"/>
      <s:c r="C13191" s="121" t="n"/>
      <s:c r="D13191" s="121" t="n"/>
      <s:c r="E13191" s="122" t="n"/>
    </s:row>
    <s:row r="13192" hidden="1" ht="1" customHeight="1">
      <s:c r="A13192" s="120" t="inlineStr"/>
      <s:c r="B13192" s="121" t="n"/>
      <s:c r="C13192" s="121" t="n"/>
      <s:c r="D13192" s="121" t="n"/>
      <s:c r="E13192" s="122" t="n"/>
    </s:row>
    <s:row r="13193" hidden="1" ht="1" customHeight="1">
      <s:c r="A13193" s="120" t="inlineStr"/>
      <s:c r="B13193" s="121" t="n"/>
      <s:c r="C13193" s="121" t="n"/>
      <s:c r="D13193" s="121" t="n"/>
      <s:c r="E13193" s="122" t="n"/>
    </s:row>
    <s:row r="13194" hidden="1" ht="1" customHeight="1">
      <s:c r="A13194" s="120" t="inlineStr"/>
      <s:c r="B13194" s="121" t="n"/>
      <s:c r="C13194" s="121" t="n"/>
      <s:c r="D13194" s="121" t="n"/>
      <s:c r="E13194" s="122" t="n"/>
    </s:row>
    <s:row r="13195" hidden="1" ht="1" customHeight="1">
      <s:c r="A13195" s="120" t="inlineStr"/>
      <s:c r="B13195" s="121" t="n"/>
      <s:c r="C13195" s="121" t="n"/>
      <s:c r="D13195" s="121" t="n"/>
      <s:c r="E13195" s="122" t="n"/>
    </s:row>
    <s:row r="13196" hidden="1" ht="1" customHeight="1">
      <s:c r="A13196" s="120" t="inlineStr"/>
      <s:c r="B13196" s="121" t="n"/>
      <s:c r="C13196" s="121" t="n"/>
      <s:c r="D13196" s="121" t="n"/>
      <s:c r="E13196" s="122" t="n"/>
    </s:row>
    <s:row r="13197" hidden="1" ht="1" customHeight="1">
      <s:c r="A13197" s="120" t="inlineStr"/>
      <s:c r="B13197" s="121" t="n"/>
      <s:c r="C13197" s="121" t="n"/>
      <s:c r="D13197" s="121" t="n"/>
      <s:c r="E13197" s="122" t="n"/>
    </s:row>
    <s:row r="13198" hidden="1" ht="1" customHeight="1">
      <s:c r="A13198" s="120" t="inlineStr"/>
      <s:c r="B13198" s="121" t="n"/>
      <s:c r="C13198" s="121" t="n"/>
      <s:c r="D13198" s="121" t="n"/>
      <s:c r="E13198" s="122" t="n"/>
    </s:row>
    <s:row r="13199" hidden="1" ht="1" customHeight="1">
      <s:c r="A13199" s="120" t="inlineStr"/>
      <s:c r="B13199" s="121" t="n"/>
      <s:c r="C13199" s="121" t="n"/>
      <s:c r="D13199" s="121" t="n"/>
      <s:c r="E13199" s="122" t="n"/>
    </s:row>
    <s:row r="13200" hidden="1" ht="1" customHeight="1">
      <s:c r="A13200" s="120" t="inlineStr"/>
      <s:c r="B13200" s="121" t="n"/>
      <s:c r="C13200" s="121" t="n"/>
      <s:c r="D13200" s="121" t="n"/>
      <s:c r="E13200" s="122" t="n"/>
    </s:row>
    <s:row r="13201" hidden="1" ht="1" customHeight="1">
      <s:c r="A13201" s="120" t="inlineStr"/>
      <s:c r="B13201" s="121" t="n"/>
      <s:c r="C13201" s="121" t="n"/>
      <s:c r="D13201" s="121" t="n"/>
      <s:c r="E13201" s="122" t="n"/>
    </s:row>
    <s:row r="13202" hidden="1" ht="1" customHeight="1">
      <s:c r="A13202" s="120" t="inlineStr"/>
      <s:c r="B13202" s="121" t="n"/>
      <s:c r="C13202" s="121" t="n"/>
      <s:c r="D13202" s="121" t="n"/>
      <s:c r="E13202" s="122" t="n"/>
    </s:row>
    <s:row r="13203" hidden="1" ht="1" customHeight="1">
      <s:c r="A13203" s="120" t="inlineStr"/>
      <s:c r="B13203" s="121" t="n"/>
      <s:c r="C13203" s="121" t="n"/>
      <s:c r="D13203" s="121" t="n"/>
      <s:c r="E13203" s="122" t="n"/>
    </s:row>
    <s:row r="13204" hidden="1" ht="1" customHeight="1">
      <s:c r="A13204" s="120" t="inlineStr"/>
      <s:c r="B13204" s="121" t="n"/>
      <s:c r="C13204" s="121" t="n"/>
      <s:c r="D13204" s="121" t="n"/>
      <s:c r="E13204" s="122" t="n"/>
    </s:row>
    <s:row r="13205" hidden="1" ht="1" customHeight="1">
      <s:c r="A13205" s="120" t="inlineStr"/>
      <s:c r="B13205" s="121" t="n"/>
      <s:c r="C13205" s="121" t="n"/>
      <s:c r="D13205" s="121" t="n"/>
      <s:c r="E13205" s="122" t="n"/>
    </s:row>
    <s:row r="13206" hidden="1" ht="1" customHeight="1">
      <s:c r="A13206" s="120" t="inlineStr"/>
      <s:c r="B13206" s="121" t="n"/>
      <s:c r="C13206" s="121" t="n"/>
      <s:c r="D13206" s="121" t="n"/>
      <s:c r="E13206" s="122" t="n"/>
    </s:row>
    <s:row r="13207" hidden="1" ht="1" customHeight="1">
      <s:c r="A13207" s="120" t="inlineStr"/>
      <s:c r="B13207" s="121" t="n"/>
      <s:c r="C13207" s="121" t="n"/>
      <s:c r="D13207" s="121" t="n"/>
      <s:c r="E13207" s="122" t="n"/>
    </s:row>
    <s:row r="13208" hidden="1" ht="1" customHeight="1">
      <s:c r="A13208" s="120" t="inlineStr"/>
      <s:c r="B13208" s="121" t="n"/>
      <s:c r="C13208" s="121" t="n"/>
      <s:c r="D13208" s="121" t="n"/>
      <s:c r="E13208" s="122" t="n"/>
    </s:row>
    <s:row r="13209" hidden="1" ht="1" customHeight="1">
      <s:c r="A13209" s="120" t="inlineStr"/>
      <s:c r="B13209" s="121" t="n"/>
      <s:c r="C13209" s="121" t="n"/>
      <s:c r="D13209" s="121" t="n"/>
      <s:c r="E13209" s="122" t="n"/>
    </s:row>
    <s:row r="13210" hidden="1" ht="1" customHeight="1">
      <s:c r="A13210" s="120" t="inlineStr"/>
      <s:c r="B13210" s="121" t="n"/>
      <s:c r="C13210" s="121" t="n"/>
      <s:c r="D13210" s="121" t="n"/>
      <s:c r="E13210" s="122" t="n"/>
    </s:row>
    <s:row r="13211" hidden="1" ht="1" customHeight="1">
      <s:c r="A13211" s="120" t="inlineStr"/>
      <s:c r="B13211" s="121" t="n"/>
      <s:c r="C13211" s="121" t="n"/>
      <s:c r="D13211" s="121" t="n"/>
      <s:c r="E13211" s="122" t="n"/>
    </s:row>
    <s:row r="13212" hidden="1" ht="1" customHeight="1">
      <s:c r="A13212" s="120" t="inlineStr"/>
      <s:c r="B13212" s="121" t="n"/>
      <s:c r="C13212" s="121" t="n"/>
      <s:c r="D13212" s="121" t="n"/>
      <s:c r="E13212" s="122" t="n"/>
    </s:row>
    <s:row r="13213" hidden="1" ht="1" customHeight="1">
      <s:c r="A13213" s="120" t="inlineStr"/>
      <s:c r="B13213" s="121" t="n"/>
      <s:c r="C13213" s="121" t="n"/>
      <s:c r="D13213" s="121" t="n"/>
      <s:c r="E13213" s="122" t="n"/>
    </s:row>
    <s:row r="13214" hidden="1" ht="1" customHeight="1">
      <s:c r="A13214" s="120" t="inlineStr"/>
      <s:c r="B13214" s="121" t="n"/>
      <s:c r="C13214" s="121" t="n"/>
      <s:c r="D13214" s="121" t="n"/>
      <s:c r="E13214" s="122" t="n"/>
    </s:row>
    <s:row r="13215" hidden="1" ht="1" customHeight="1">
      <s:c r="A13215" s="120" t="inlineStr"/>
      <s:c r="B13215" s="121" t="n"/>
      <s:c r="C13215" s="121" t="n"/>
      <s:c r="D13215" s="121" t="n"/>
      <s:c r="E13215" s="122" t="n"/>
    </s:row>
    <s:row r="13216" hidden="1" ht="1" customHeight="1">
      <s:c r="A13216" s="120" t="inlineStr"/>
      <s:c r="B13216" s="121" t="n"/>
      <s:c r="C13216" s="121" t="n"/>
      <s:c r="D13216" s="121" t="n"/>
      <s:c r="E13216" s="122" t="n"/>
    </s:row>
    <s:row r="13217" hidden="1" ht="1" customHeight="1">
      <s:c r="A13217" s="120" t="inlineStr"/>
      <s:c r="B13217" s="121" t="n"/>
      <s:c r="C13217" s="121" t="n"/>
      <s:c r="D13217" s="121" t="n"/>
      <s:c r="E13217" s="122" t="n"/>
    </s:row>
    <s:row r="13218" hidden="1" ht="1" customHeight="1">
      <s:c r="A13218" s="120" t="inlineStr"/>
      <s:c r="B13218" s="121" t="n"/>
      <s:c r="C13218" s="121" t="n"/>
      <s:c r="D13218" s="121" t="n"/>
      <s:c r="E13218" s="122" t="n"/>
    </s:row>
    <s:row r="13219" hidden="1" ht="1" customHeight="1">
      <s:c r="A13219" s="120" t="inlineStr"/>
      <s:c r="B13219" s="121" t="n"/>
      <s:c r="C13219" s="121" t="n"/>
      <s:c r="D13219" s="121" t="n"/>
      <s:c r="E13219" s="122" t="n"/>
    </s:row>
    <s:row r="13220" hidden="1" ht="1" customHeight="1">
      <s:c r="A13220" s="120" t="inlineStr"/>
      <s:c r="B13220" s="121" t="n"/>
      <s:c r="C13220" s="121" t="n"/>
      <s:c r="D13220" s="121" t="n"/>
      <s:c r="E13220" s="122" t="n"/>
    </s:row>
    <s:row r="13221" hidden="1" ht="1" customHeight="1">
      <s:c r="A13221" s="120" t="inlineStr"/>
      <s:c r="B13221" s="121" t="n"/>
      <s:c r="C13221" s="121" t="n"/>
      <s:c r="D13221" s="121" t="n"/>
      <s:c r="E13221" s="122" t="n"/>
    </s:row>
    <s:row r="13222" hidden="1" ht="1" customHeight="1">
      <s:c r="A13222" s="120" t="inlineStr"/>
      <s:c r="B13222" s="121" t="n"/>
      <s:c r="C13222" s="121" t="n"/>
      <s:c r="D13222" s="121" t="n"/>
      <s:c r="E13222" s="122" t="n"/>
    </s:row>
    <s:row r="13223" hidden="1" ht="1" customHeight="1">
      <s:c r="A13223" s="120" t="inlineStr"/>
      <s:c r="B13223" s="121" t="n"/>
      <s:c r="C13223" s="121" t="n"/>
      <s:c r="D13223" s="121" t="n"/>
      <s:c r="E13223" s="122" t="n"/>
    </s:row>
    <s:row r="13224" hidden="1" ht="1" customHeight="1">
      <s:c r="A13224" s="120" t="inlineStr"/>
      <s:c r="B13224" s="121" t="n"/>
      <s:c r="C13224" s="121" t="n"/>
      <s:c r="D13224" s="121" t="n"/>
      <s:c r="E13224" s="122" t="n"/>
    </s:row>
    <s:row r="13225" hidden="1" ht="1" customHeight="1">
      <s:c r="A13225" s="120" t="inlineStr"/>
      <s:c r="B13225" s="121" t="n"/>
      <s:c r="C13225" s="121" t="n"/>
      <s:c r="D13225" s="121" t="n"/>
      <s:c r="E13225" s="122" t="n"/>
    </s:row>
    <s:row r="13226" hidden="1" ht="1" customHeight="1">
      <s:c r="A13226" s="120" t="inlineStr"/>
      <s:c r="B13226" s="121" t="n"/>
      <s:c r="C13226" s="121" t="n"/>
      <s:c r="D13226" s="121" t="n"/>
      <s:c r="E13226" s="122" t="n"/>
    </s:row>
    <s:row r="13227" hidden="1" ht="1" customHeight="1">
      <s:c r="A13227" s="120" t="inlineStr"/>
      <s:c r="B13227" s="121" t="n"/>
      <s:c r="C13227" s="121" t="n"/>
      <s:c r="D13227" s="121" t="n"/>
      <s:c r="E13227" s="122" t="n"/>
    </s:row>
    <s:row r="13228" hidden="1" ht="1" customHeight="1">
      <s:c r="A13228" s="120" t="inlineStr"/>
      <s:c r="B13228" s="121" t="n"/>
      <s:c r="C13228" s="121" t="n"/>
      <s:c r="D13228" s="121" t="n"/>
      <s:c r="E13228" s="122" t="n"/>
    </s:row>
    <s:row r="13229" hidden="1" ht="1" customHeight="1">
      <s:c r="A13229" s="120" t="inlineStr"/>
      <s:c r="B13229" s="121" t="n"/>
      <s:c r="C13229" s="121" t="n"/>
      <s:c r="D13229" s="121" t="n"/>
      <s:c r="E13229" s="122" t="n"/>
    </s:row>
    <s:row r="13230" hidden="1" ht="1" customHeight="1">
      <s:c r="A13230" s="120" t="inlineStr"/>
      <s:c r="B13230" s="121" t="n"/>
      <s:c r="C13230" s="121" t="n"/>
      <s:c r="D13230" s="121" t="n"/>
      <s:c r="E13230" s="122" t="n"/>
    </s:row>
    <s:row r="13231" hidden="1" ht="1" customHeight="1">
      <s:c r="A13231" s="120" t="inlineStr"/>
      <s:c r="B13231" s="121" t="n"/>
      <s:c r="C13231" s="121" t="n"/>
      <s:c r="D13231" s="121" t="n"/>
      <s:c r="E13231" s="122" t="n"/>
    </s:row>
    <s:row r="13232" hidden="1" ht="1" customHeight="1">
      <s:c r="A13232" s="120" t="inlineStr"/>
      <s:c r="B13232" s="121" t="n"/>
      <s:c r="C13232" s="121" t="n"/>
      <s:c r="D13232" s="121" t="n"/>
      <s:c r="E13232" s="122" t="n"/>
    </s:row>
    <s:row r="13233" hidden="1" ht="1" customHeight="1">
      <s:c r="A13233" s="120" t="inlineStr"/>
      <s:c r="B13233" s="121" t="n"/>
      <s:c r="C13233" s="121" t="n"/>
      <s:c r="D13233" s="121" t="n"/>
      <s:c r="E13233" s="122" t="n"/>
    </s:row>
    <s:row r="13234" hidden="1" ht="1" customHeight="1">
      <s:c r="A13234" s="120" t="inlineStr"/>
      <s:c r="B13234" s="121" t="n"/>
      <s:c r="C13234" s="121" t="n"/>
      <s:c r="D13234" s="121" t="n"/>
      <s:c r="E13234" s="122" t="n"/>
    </s:row>
    <s:row r="13235" hidden="1" ht="1" customHeight="1">
      <s:c r="A13235" s="120" t="inlineStr"/>
      <s:c r="B13235" s="121" t="n"/>
      <s:c r="C13235" s="121" t="n"/>
      <s:c r="D13235" s="121" t="n"/>
      <s:c r="E13235" s="122" t="n"/>
    </s:row>
    <s:row r="13236" hidden="1" ht="1" customHeight="1">
      <s:c r="A13236" s="120" t="inlineStr"/>
      <s:c r="B13236" s="121" t="n"/>
      <s:c r="C13236" s="121" t="n"/>
      <s:c r="D13236" s="121" t="n"/>
      <s:c r="E13236" s="122" t="n"/>
    </s:row>
    <s:row r="13237" hidden="1" ht="1" customHeight="1">
      <s:c r="A13237" s="120" t="inlineStr"/>
      <s:c r="B13237" s="121" t="n"/>
      <s:c r="C13237" s="121" t="n"/>
      <s:c r="D13237" s="121" t="n"/>
      <s:c r="E13237" s="122" t="n"/>
    </s:row>
    <s:row r="13238" hidden="1" ht="1" customHeight="1">
      <s:c r="A13238" s="120" t="inlineStr"/>
      <s:c r="B13238" s="121" t="n"/>
      <s:c r="C13238" s="121" t="n"/>
      <s:c r="D13238" s="121" t="n"/>
      <s:c r="E13238" s="122" t="n"/>
    </s:row>
    <s:row r="13239" hidden="1" ht="1" customHeight="1">
      <s:c r="A13239" s="120" t="inlineStr"/>
      <s:c r="B13239" s="121" t="n"/>
      <s:c r="C13239" s="121" t="n"/>
      <s:c r="D13239" s="121" t="n"/>
      <s:c r="E13239" s="122" t="n"/>
    </s:row>
    <s:row r="13240" hidden="1" ht="1" customHeight="1">
      <s:c r="A13240" s="120" t="inlineStr"/>
      <s:c r="B13240" s="121" t="n"/>
      <s:c r="C13240" s="121" t="n"/>
      <s:c r="D13240" s="121" t="n"/>
      <s:c r="E13240" s="122" t="n"/>
    </s:row>
    <s:row r="13241" hidden="1" ht="1" customHeight="1">
      <s:c r="A13241" s="120" t="inlineStr"/>
      <s:c r="B13241" s="121" t="n"/>
      <s:c r="C13241" s="121" t="n"/>
      <s:c r="D13241" s="121" t="n"/>
      <s:c r="E13241" s="122" t="n"/>
    </s:row>
    <s:row r="13242" hidden="1" ht="1" customHeight="1">
      <s:c r="A13242" s="120" t="inlineStr"/>
      <s:c r="B13242" s="121" t="n"/>
      <s:c r="C13242" s="121" t="n"/>
      <s:c r="D13242" s="121" t="n"/>
      <s:c r="E13242" s="122" t="n"/>
    </s:row>
    <s:row r="13243" hidden="1" ht="1" customHeight="1">
      <s:c r="A13243" s="120" t="inlineStr"/>
      <s:c r="B13243" s="121" t="n"/>
      <s:c r="C13243" s="121" t="n"/>
      <s:c r="D13243" s="121" t="n"/>
      <s:c r="E13243" s="122" t="n"/>
    </s:row>
    <s:row r="13244" hidden="1" ht="1" customHeight="1">
      <s:c r="A13244" s="83" t="inlineStr">
        <s:is>
          <s:t>PASS</s:t>
        </s:is>
      </s:c>
      <s:c r="B13244" s="83">
        <s:f>SUM(IF(EXACT('Kiểm thử'!E13144,"Đạt"),1,0),IF(EXACT('Kiểm thử'!E13146,"Đạt"),1,0))</s:f>
        <s:v/>
      </s:c>
      <s:c r="C13244" s="19" t="n"/>
      <s:c r="D13244" s="19" t="n"/>
      <s:c r="E13244" s="19" t="n"/>
    </s:row>
    <s:row r="13245" hidden="1" ht="1" customHeight="1">
      <s:c r="A13245" s="83" t="inlineStr">
        <s:is>
          <s:t>FAIL</s:t>
        </s:is>
      </s:c>
      <s:c r="B13245" s="83">
        <s:f>SUM(IF(EXACT('Kiểm thử'!E13144,"Không đạt"),1,0),IF(EXACT('Kiểm thử'!E13146,"Không đạt"),1,0))</s:f>
        <s:v/>
      </s:c>
      <s:c r="C13245" s="19" t="n"/>
      <s:c r="D13245" s="19" t="n"/>
      <s:c r="E13245" s="19" t="n"/>
    </s:row>
    <s:row r="13246" hidden="1" ht="1" customHeight="1">
      <s:c r="A13246" s="83" t="inlineStr">
        <s:is>
          <s:t>BLOCKED</s:t>
        </s:is>
      </s:c>
      <s:c r="B13246" s="83">
        <s:f>SUM(IF(EXACT('Kiểm thử'!E13144,"Bị chặn"),1,0),IF(EXACT('Kiểm thử'!E13146,"Bị chặn"),1,0))</s:f>
        <s:v/>
      </s:c>
      <s:c r="C13246" s="19" t="n"/>
      <s:c r="D13246" s="19" t="n"/>
      <s:c r="E13246" s="19" t="n"/>
    </s:row>
    <s:row r="13247" hidden="1" ht="1" customHeight="1">
      <s:c r="A13247" s="83" t="inlineStr">
        <s:is>
          <s:t>SKIPPED</s:t>
        </s:is>
      </s:c>
      <s:c r="B13247" s="83">
        <s:f>SUM(IF(EXACT('Kiểm thử'!E13144,"Không thực hiện"),1,0),IF(EXACT('Kiểm thử'!E13146,"Không thực hiện"),1,0))</s:f>
        <s:v/>
      </s:c>
      <s:c r="C13247" s="19" t="n"/>
      <s:c r="D13247" s="19" t="n"/>
      <s:c r="E13247" s="19" t="n"/>
    </s:row>
    <s:row r="13248" hidden="1" ht="1" customHeight="1">
      <s:c r="A13248" s="83" t="inlineStr">
        <s:is>
          <s:t>NOT RUN</s:t>
        </s:is>
      </s:c>
      <s:c r="B13248" s="83">
        <s:f>SUM(IF(EXACT('Kiểm thử'!E13144,"Chưa thực hiện"),1,0),IF(EXACT('Kiểm thử'!E13146,"Chưa thực hiện"),1,0))</s:f>
        <s:v/>
      </s:c>
      <s:c r="C13248" s="19" t="n"/>
      <s:c r="D13248" s="19" t="n"/>
      <s:c r="E13248" s="19" t="n"/>
    </s:row>
    <s:row r="13249" hidden="1" ht="6" customHeight="1">
      <s:c r="A13249" s="83" t="inlineStr"/>
      <s:c r="B13249" s="19" t="n"/>
      <s:c r="C13249" s="19" t="n"/>
      <s:c r="D13249" s="19" t="n"/>
      <s:c r="E13249" s="19" t="n"/>
    </s:row>
    <s:row r="13250" ht="28" customHeight="1">
      <s:c r="A13250" s="108" t="inlineStr">
        <s:is>
          <s:t>TC-RS-CALC-032 — Tỷ lệ nhóm: tử số và mẫu số lấy cùng tập đóng góp</s:t>
        </s:is>
      </s:c>
      <s:c r="B13250" s="111" t="n"/>
      <s:c r="C13250" s="111" t="n"/>
      <s:c r="D13250" s="111" t="n"/>
      <s:c r="E13250" s="111" t="n"/>
    </s:row>
    <s:row r="13251" ht="20" customHeight="1">
      <s:c r="A13251" s="112" t="inlineStr">
        <s:is>
          <s:t>Kết quả tình huống</s:t>
        </s:is>
      </s:c>
      <s:c r="B13251" s="113">
        <s:f>IF(SUM(IF(EXACT('Kiểm thử'!E13259,"Không đạt"),1,0))&gt;0,"Không đạt",IF(SUM(IF(EXACT('Kiểm thử'!E13259,"Đạt"),1,0))=1,"Đạt",IF(SUM(IF(EXACT('Kiểm thử'!E13259,"Không thực hiện"),1,0))=1,"Không thực hiện",IF(SUM(IF(EXACT('Kiểm thử'!E13259,"Bị chặn"),1,0))&gt;0,"Bị chặn",IF(SUM(IF(EXACT('Kiểm thử'!E13259,"Chưa thực hiện"),1,0))=1,"Chưa thực hiện","Đang thực hiện")))))</s:f>
        <s:v/>
      </s:c>
      <s:c r="C13251" s="114" t="n"/>
      <s:c r="D13251" s="114" t="n"/>
      <s:c r="E13251" s="114" t="n"/>
    </s:row>
    <s:row r="13252" ht="20" customHeight="1">
      <s:c r="A13252" s="112" t="inlineStr">
        <s:is>
          <s:t>Màn hình / chức năng</s:t>
        </s:is>
      </s:c>
      <s:c r="B13252" s="113" t="inlineStr">
        <s:is>
          <s:t>Nguồn tổng hợp</s:t>
        </s:is>
      </s:c>
      <s:c r="C13252" s="28" t="n"/>
      <s:c r="D13252" s="28" t="n"/>
      <s:c r="E13252" s="28" t="n"/>
    </s:row>
    <s:row r="13253" ht="34" customHeight="1">
      <s:c r="A13253" s="112" t="inlineStr">
        <s:is>
          <s:t>Cấu hình</s:t>
        </s:is>
      </s:c>
      <s:c r="B13253" s="113" t="inlineStr">
        <s:is>
          <s:r>
            <s:t>• Quy tắc theo tỷ lệ điểm của nhóm từ 65% là quy tắc duy nhất. Nhóm tham chiếu có 3 học sinh: 60/100, 80/100 và một học sinh chưa có điểm (</s:t>
          </s:r>
          <s:r>
            <s:rPr>
              <s:b val="1"/>
            </s:rPr>
            <s:t>M=100</s:t>
          </s:r>
          <s:r>
            <s:t>).</s:t>
          </s:r>
        </s:is>
      </s:c>
      <s:c r="C13253" s="28" t="n"/>
      <s:c r="D13253" s="28" t="n"/>
      <s:c r="E13253" s="28" t="n"/>
    </s:row>
    <s:row r="13254" ht="34" customHeight="1">
      <s:c r="A13254" s="112" t="inlineStr">
        <s:is>
          <s:t>Dữ liệu test</s:t>
        </s:is>
      </s:c>
      <s:c r="B13254" s="113" t="inlineStr">
        <s:is>
          <s:t>• Quy tắc theo tỷ lệ điểm của nhóm từ 65%;
• S = 60</s:t>
        </s:is>
      </s:c>
      <s:c r="C13254" s="28" t="n"/>
      <s:c r="D13254" s="28" t="n"/>
      <s:c r="E13254" s="28" t="n"/>
    </s:row>
    <s:row r="13255" ht="20" customHeight="1">
      <s:c r="A13255" s="112" t="inlineStr">
        <s:is>
          <s:t>Bước 1</s:t>
        </s:is>
      </s:c>
      <s:c r="B13255" s="113" t="inlineStr">
        <s:is>
          <s:t>Chạy nút xanh; ghi tổng điểm và tổng điểm tối đa hiển thị ở kết quả tổng hợp.</s:t>
        </s:is>
      </s:c>
      <s:c r="C13255" s="28" t="n"/>
      <s:c r="D13255" s="28" t="n"/>
      <s:c r="E13255" s="28" t="n"/>
    </s:row>
    <s:row r="13256" ht="20" customHeight="1">
      <s:c r="A13256" s="112" t="inlineStr">
        <s:is>
          <s:t>Bước 2</s:t>
        </s:is>
      </s:c>
      <s:c r="B13256" s="113" t="inlineStr">
        <s:is>
          <s:r>
            <s:t xml:space="preserve">Chạy nút cam; xem kết quả </s:t>
          </s:r>
          <s:r>
            <s:rPr>
              <s:b val="1"/>
            </s:rPr>
            <s:t>S=60</s:t>
          </s:r>
          <s:r>
            <s:t>.</s:t>
          </s:r>
        </s:is>
      </s:c>
      <s:c r="C13256" s="28" t="n"/>
      <s:c r="D13256" s="28" t="n"/>
      <s:c r="E13256" s="28" t="n"/>
    </s:row>
    <s:row r="13257" ht="28" customHeight="1">
      <s:c r="A13257" s="115" t="inlineStr">
        <s:is>
          <s:t>Trường hợp</s:t>
        </s:is>
      </s:c>
      <s:c r="B13257" s="115" t="inlineStr">
        <s:is>
          <s:t>Dữ liệu / thao tác riêng</s:t>
        </s:is>
      </s:c>
      <s:c r="C13257" s="115" t="inlineStr">
        <s:is>
          <s:t>Kết quả mong đợi</s:t>
        </s:is>
      </s:c>
      <s:c r="D13257" s="115" t="inlineStr">
        <s:is>
          <s:t>Kết quả thực tế</s:t>
        </s:is>
      </s:c>
      <s:c r="E13257" s="115" t="inlineStr">
        <s:is>
          <s:t>Đánh giá</s:t>
        </s:is>
      </s:c>
    </s:row>
    <s:row r="13258" ht="3" customHeight="1">
      <s:c r="A13258" s="102" t="inlineStr"/>
      <s:c r="B13258" s="99" t="n"/>
      <s:c r="C13258" s="99" t="n"/>
      <s:c r="D13258" s="116" t="n"/>
      <s:c r="E13258" s="116" t="n"/>
    </s:row>
    <s:row r="13259" ht="118" customHeight="1">
      <s:c r="A13259" s="83" t="inlineStr">
        <s:is>
          <s:t>Trường hợp cơ bản (Base)</s:t>
        </s:is>
      </s:c>
      <s:c r="B13259" s="83" t="inlineStr">
        <s:is>
          <s:t>Toàn bộ tình huống: Thực hiện đủ các bước chung theo thứ tự; kiểm cả đối tượng đích và đối chứng cùng fixture, không bỏ bước.</s:t>
        </s:is>
      </s:c>
      <s:c r="C13259" s="83" t="inlineStr">
        <s:is>
          <s:r>
            <s:t>1. Tổng điểm và tổng điểm tối đa lấy cùng tập học sinh có điểm theo cấu hình tổng hợp.
2. Với cấu hình tổng hợp không tính học sinh chưa có điểm: [</s:t>
          </s:r>
          <s:r>
            <s:rPr>
              <s:b val="1"/>
            </s:rPr>
            <s:t>R=140</s:t>
          </s:r>
          <s:r>
            <s:t>/200×100=70%] → khớp [≥65%] → [</s:t>
          </s:r>
          <s:r>
            <s:rPr>
              <s:b val="1"/>
            </s:rPr>
            <s:t>T=70</s:t>
          </s:r>
          <s:r>
            <s:t xml:space="preserve">] → </s:t>
          </s:r>
          <s:r>
            <s:rPr>
              <s:b val="1"/>
            </s:rPr>
            <s:t>S=60</s:t>
          </s:r>
          <s:r>
            <s:t xml:space="preserve"> </s:t>
          </s:r>
          <s:r>
            <s:rPr>
              <s:b val="1"/>
            </s:rPr>
            <s:t>Đỏ</s:t>
          </s:r>
          <s:r>
            <s:t xml:space="preserve">. Ghép tổng điểm của 2 người với tổng tối đa của 3 người ([140/300=46.7%] → </s:t>
          </s:r>
          <s:r>
            <s:rPr>
              <s:b val="1"/>
            </s:rPr>
            <s:t>Không áp dụng</s:t>
          </s:r>
          <s:r>
            <s:t>) là sai.</s:t>
          </s:r>
        </s:is>
      </s:c>
      <s:c r="D13259" s="117" t="inlineStr"/>
      <s:c r="E13259" s="118" t="inlineStr">
        <s:is>
          <s:t>Chưa thực hiện</s:t>
        </s:is>
      </s:c>
    </s:row>
    <s:row r="13260" ht="20" customHeight="1">
      <s:c r="A13260" s="119" t="inlineStr">
        <s:is>
          <s:t>Ảnh minh chứng — Chưa có ảnh</s:t>
        </s:is>
      </s:c>
      <s:c r="B13260" s="19" t="n"/>
      <s:c r="C13260" s="19" t="n"/>
      <s:c r="D13260" s="19" t="n"/>
      <s:c r="E13260" s="19" t="n"/>
    </s:row>
    <s:row r="13261" hidden="1" ht="1" customHeight="1">
      <s:c r="A13261" s="120" t="inlineStr"/>
      <s:c r="B13261" s="121" t="n"/>
      <s:c r="C13261" s="121" t="n"/>
      <s:c r="D13261" s="121" t="n"/>
      <s:c r="E13261" s="122" t="n"/>
    </s:row>
    <s:row r="13262" hidden="1" ht="1" customHeight="1">
      <s:c r="A13262" s="120" t="inlineStr"/>
      <s:c r="B13262" s="121" t="n"/>
      <s:c r="C13262" s="121" t="n"/>
      <s:c r="D13262" s="121" t="n"/>
      <s:c r="E13262" s="122" t="n"/>
    </s:row>
    <s:row r="13263" hidden="1" ht="1" customHeight="1">
      <s:c r="A13263" s="120" t="inlineStr"/>
      <s:c r="B13263" s="121" t="n"/>
      <s:c r="C13263" s="121" t="n"/>
      <s:c r="D13263" s="121" t="n"/>
      <s:c r="E13263" s="122" t="n"/>
    </s:row>
    <s:row r="13264" hidden="1" ht="1" customHeight="1">
      <s:c r="A13264" s="120" t="inlineStr"/>
      <s:c r="B13264" s="121" t="n"/>
      <s:c r="C13264" s="121" t="n"/>
      <s:c r="D13264" s="121" t="n"/>
      <s:c r="E13264" s="122" t="n"/>
    </s:row>
    <s:row r="13265" hidden="1" ht="1" customHeight="1">
      <s:c r="A13265" s="120" t="inlineStr"/>
      <s:c r="B13265" s="121" t="n"/>
      <s:c r="C13265" s="121" t="n"/>
      <s:c r="D13265" s="121" t="n"/>
      <s:c r="E13265" s="122" t="n"/>
    </s:row>
    <s:row r="13266" hidden="1" ht="1" customHeight="1">
      <s:c r="A13266" s="120" t="inlineStr"/>
      <s:c r="B13266" s="121" t="n"/>
      <s:c r="C13266" s="121" t="n"/>
      <s:c r="D13266" s="121" t="n"/>
      <s:c r="E13266" s="122" t="n"/>
    </s:row>
    <s:row r="13267" hidden="1" ht="1" customHeight="1">
      <s:c r="A13267" s="120" t="inlineStr"/>
      <s:c r="B13267" s="121" t="n"/>
      <s:c r="C13267" s="121" t="n"/>
      <s:c r="D13267" s="121" t="n"/>
      <s:c r="E13267" s="122" t="n"/>
    </s:row>
    <s:row r="13268" hidden="1" ht="1" customHeight="1">
      <s:c r="A13268" s="120" t="inlineStr"/>
      <s:c r="B13268" s="121" t="n"/>
      <s:c r="C13268" s="121" t="n"/>
      <s:c r="D13268" s="121" t="n"/>
      <s:c r="E13268" s="122" t="n"/>
    </s:row>
    <s:row r="13269" hidden="1" ht="1" customHeight="1">
      <s:c r="A13269" s="120" t="inlineStr"/>
      <s:c r="B13269" s="121" t="n"/>
      <s:c r="C13269" s="121" t="n"/>
      <s:c r="D13269" s="121" t="n"/>
      <s:c r="E13269" s="122" t="n"/>
    </s:row>
    <s:row r="13270" hidden="1" ht="1" customHeight="1">
      <s:c r="A13270" s="120" t="inlineStr"/>
      <s:c r="B13270" s="121" t="n"/>
      <s:c r="C13270" s="121" t="n"/>
      <s:c r="D13270" s="121" t="n"/>
      <s:c r="E13270" s="122" t="n"/>
    </s:row>
    <s:row r="13271" hidden="1" ht="1" customHeight="1">
      <s:c r="A13271" s="120" t="inlineStr"/>
      <s:c r="B13271" s="121" t="n"/>
      <s:c r="C13271" s="121" t="n"/>
      <s:c r="D13271" s="121" t="n"/>
      <s:c r="E13271" s="122" t="n"/>
    </s:row>
    <s:row r="13272" hidden="1" ht="1" customHeight="1">
      <s:c r="A13272" s="120" t="inlineStr"/>
      <s:c r="B13272" s="121" t="n"/>
      <s:c r="C13272" s="121" t="n"/>
      <s:c r="D13272" s="121" t="n"/>
      <s:c r="E13272" s="122" t="n"/>
    </s:row>
    <s:row r="13273" hidden="1" ht="1" customHeight="1">
      <s:c r="A13273" s="120" t="inlineStr"/>
      <s:c r="B13273" s="121" t="n"/>
      <s:c r="C13273" s="121" t="n"/>
      <s:c r="D13273" s="121" t="n"/>
      <s:c r="E13273" s="122" t="n"/>
    </s:row>
    <s:row r="13274" hidden="1" ht="1" customHeight="1">
      <s:c r="A13274" s="120" t="inlineStr"/>
      <s:c r="B13274" s="121" t="n"/>
      <s:c r="C13274" s="121" t="n"/>
      <s:c r="D13274" s="121" t="n"/>
      <s:c r="E13274" s="122" t="n"/>
    </s:row>
    <s:row r="13275" hidden="1" ht="1" customHeight="1">
      <s:c r="A13275" s="120" t="inlineStr"/>
      <s:c r="B13275" s="121" t="n"/>
      <s:c r="C13275" s="121" t="n"/>
      <s:c r="D13275" s="121" t="n"/>
      <s:c r="E13275" s="122" t="n"/>
    </s:row>
    <s:row r="13276" hidden="1" ht="1" customHeight="1">
      <s:c r="A13276" s="120" t="inlineStr"/>
      <s:c r="B13276" s="121" t="n"/>
      <s:c r="C13276" s="121" t="n"/>
      <s:c r="D13276" s="121" t="n"/>
      <s:c r="E13276" s="122" t="n"/>
    </s:row>
    <s:row r="13277" hidden="1" ht="1" customHeight="1">
      <s:c r="A13277" s="120" t="inlineStr"/>
      <s:c r="B13277" s="121" t="n"/>
      <s:c r="C13277" s="121" t="n"/>
      <s:c r="D13277" s="121" t="n"/>
      <s:c r="E13277" s="122" t="n"/>
    </s:row>
    <s:row r="13278" hidden="1" ht="1" customHeight="1">
      <s:c r="A13278" s="120" t="inlineStr"/>
      <s:c r="B13278" s="121" t="n"/>
      <s:c r="C13278" s="121" t="n"/>
      <s:c r="D13278" s="121" t="n"/>
      <s:c r="E13278" s="122" t="n"/>
    </s:row>
    <s:row r="13279" hidden="1" ht="1" customHeight="1">
      <s:c r="A13279" s="120" t="inlineStr"/>
      <s:c r="B13279" s="121" t="n"/>
      <s:c r="C13279" s="121" t="n"/>
      <s:c r="D13279" s="121" t="n"/>
      <s:c r="E13279" s="122" t="n"/>
    </s:row>
    <s:row r="13280" hidden="1" ht="1" customHeight="1">
      <s:c r="A13280" s="120" t="inlineStr"/>
      <s:c r="B13280" s="121" t="n"/>
      <s:c r="C13280" s="121" t="n"/>
      <s:c r="D13280" s="121" t="n"/>
      <s:c r="E13280" s="122" t="n"/>
    </s:row>
    <s:row r="13281" hidden="1" ht="1" customHeight="1">
      <s:c r="A13281" s="120" t="inlineStr"/>
      <s:c r="B13281" s="121" t="n"/>
      <s:c r="C13281" s="121" t="n"/>
      <s:c r="D13281" s="121" t="n"/>
      <s:c r="E13281" s="122" t="n"/>
    </s:row>
    <s:row r="13282" hidden="1" ht="1" customHeight="1">
      <s:c r="A13282" s="120" t="inlineStr"/>
      <s:c r="B13282" s="121" t="n"/>
      <s:c r="C13282" s="121" t="n"/>
      <s:c r="D13282" s="121" t="n"/>
      <s:c r="E13282" s="122" t="n"/>
    </s:row>
    <s:row r="13283" hidden="1" ht="1" customHeight="1">
      <s:c r="A13283" s="120" t="inlineStr"/>
      <s:c r="B13283" s="121" t="n"/>
      <s:c r="C13283" s="121" t="n"/>
      <s:c r="D13283" s="121" t="n"/>
      <s:c r="E13283" s="122" t="n"/>
    </s:row>
    <s:row r="13284" hidden="1" ht="1" customHeight="1">
      <s:c r="A13284" s="120" t="inlineStr"/>
      <s:c r="B13284" s="121" t="n"/>
      <s:c r="C13284" s="121" t="n"/>
      <s:c r="D13284" s="121" t="n"/>
      <s:c r="E13284" s="122" t="n"/>
    </s:row>
    <s:row r="13285" hidden="1" ht="1" customHeight="1">
      <s:c r="A13285" s="120" t="inlineStr"/>
      <s:c r="B13285" s="121" t="n"/>
      <s:c r="C13285" s="121" t="n"/>
      <s:c r="D13285" s="121" t="n"/>
      <s:c r="E13285" s="122" t="n"/>
    </s:row>
    <s:row r="13286" hidden="1" ht="1" customHeight="1">
      <s:c r="A13286" s="120" t="inlineStr"/>
      <s:c r="B13286" s="121" t="n"/>
      <s:c r="C13286" s="121" t="n"/>
      <s:c r="D13286" s="121" t="n"/>
      <s:c r="E13286" s="122" t="n"/>
    </s:row>
    <s:row r="13287" hidden="1" ht="1" customHeight="1">
      <s:c r="A13287" s="120" t="inlineStr"/>
      <s:c r="B13287" s="121" t="n"/>
      <s:c r="C13287" s="121" t="n"/>
      <s:c r="D13287" s="121" t="n"/>
      <s:c r="E13287" s="122" t="n"/>
    </s:row>
    <s:row r="13288" hidden="1" ht="1" customHeight="1">
      <s:c r="A13288" s="120" t="inlineStr"/>
      <s:c r="B13288" s="121" t="n"/>
      <s:c r="C13288" s="121" t="n"/>
      <s:c r="D13288" s="121" t="n"/>
      <s:c r="E13288" s="122" t="n"/>
    </s:row>
    <s:row r="13289" hidden="1" ht="1" customHeight="1">
      <s:c r="A13289" s="120" t="inlineStr"/>
      <s:c r="B13289" s="121" t="n"/>
      <s:c r="C13289" s="121" t="n"/>
      <s:c r="D13289" s="121" t="n"/>
      <s:c r="E13289" s="122" t="n"/>
    </s:row>
    <s:row r="13290" hidden="1" ht="1" customHeight="1">
      <s:c r="A13290" s="120" t="inlineStr"/>
      <s:c r="B13290" s="121" t="n"/>
      <s:c r="C13290" s="121" t="n"/>
      <s:c r="D13290" s="121" t="n"/>
      <s:c r="E13290" s="122" t="n"/>
    </s:row>
    <s:row r="13291" hidden="1" ht="1" customHeight="1">
      <s:c r="A13291" s="120" t="inlineStr"/>
      <s:c r="B13291" s="121" t="n"/>
      <s:c r="C13291" s="121" t="n"/>
      <s:c r="D13291" s="121" t="n"/>
      <s:c r="E13291" s="122" t="n"/>
    </s:row>
    <s:row r="13292" hidden="1" ht="1" customHeight="1">
      <s:c r="A13292" s="120" t="inlineStr"/>
      <s:c r="B13292" s="121" t="n"/>
      <s:c r="C13292" s="121" t="n"/>
      <s:c r="D13292" s="121" t="n"/>
      <s:c r="E13292" s="122" t="n"/>
    </s:row>
    <s:row r="13293" hidden="1" ht="1" customHeight="1">
      <s:c r="A13293" s="120" t="inlineStr"/>
      <s:c r="B13293" s="121" t="n"/>
      <s:c r="C13293" s="121" t="n"/>
      <s:c r="D13293" s="121" t="n"/>
      <s:c r="E13293" s="122" t="n"/>
    </s:row>
    <s:row r="13294" hidden="1" ht="1" customHeight="1">
      <s:c r="A13294" s="120" t="inlineStr"/>
      <s:c r="B13294" s="121" t="n"/>
      <s:c r="C13294" s="121" t="n"/>
      <s:c r="D13294" s="121" t="n"/>
      <s:c r="E13294" s="122" t="n"/>
    </s:row>
    <s:row r="13295" hidden="1" ht="1" customHeight="1">
      <s:c r="A13295" s="120" t="inlineStr"/>
      <s:c r="B13295" s="121" t="n"/>
      <s:c r="C13295" s="121" t="n"/>
      <s:c r="D13295" s="121" t="n"/>
      <s:c r="E13295" s="122" t="n"/>
    </s:row>
    <s:row r="13296" hidden="1" ht="1" customHeight="1">
      <s:c r="A13296" s="120" t="inlineStr"/>
      <s:c r="B13296" s="121" t="n"/>
      <s:c r="C13296" s="121" t="n"/>
      <s:c r="D13296" s="121" t="n"/>
      <s:c r="E13296" s="122" t="n"/>
    </s:row>
    <s:row r="13297" hidden="1" ht="1" customHeight="1">
      <s:c r="A13297" s="120" t="inlineStr"/>
      <s:c r="B13297" s="121" t="n"/>
      <s:c r="C13297" s="121" t="n"/>
      <s:c r="D13297" s="121" t="n"/>
      <s:c r="E13297" s="122" t="n"/>
    </s:row>
    <s:row r="13298" hidden="1" ht="1" customHeight="1">
      <s:c r="A13298" s="120" t="inlineStr"/>
      <s:c r="B13298" s="121" t="n"/>
      <s:c r="C13298" s="121" t="n"/>
      <s:c r="D13298" s="121" t="n"/>
      <s:c r="E13298" s="122" t="n"/>
    </s:row>
    <s:row r="13299" hidden="1" ht="1" customHeight="1">
      <s:c r="A13299" s="120" t="inlineStr"/>
      <s:c r="B13299" s="121" t="n"/>
      <s:c r="C13299" s="121" t="n"/>
      <s:c r="D13299" s="121" t="n"/>
      <s:c r="E13299" s="122" t="n"/>
    </s:row>
    <s:row r="13300" hidden="1" ht="1" customHeight="1">
      <s:c r="A13300" s="120" t="inlineStr"/>
      <s:c r="B13300" s="121" t="n"/>
      <s:c r="C13300" s="121" t="n"/>
      <s:c r="D13300" s="121" t="n"/>
      <s:c r="E13300" s="122" t="n"/>
    </s:row>
    <s:row r="13301" hidden="1" ht="1" customHeight="1">
      <s:c r="A13301" s="120" t="inlineStr"/>
      <s:c r="B13301" s="121" t="n"/>
      <s:c r="C13301" s="121" t="n"/>
      <s:c r="D13301" s="121" t="n"/>
      <s:c r="E13301" s="122" t="n"/>
    </s:row>
    <s:row r="13302" hidden="1" ht="1" customHeight="1">
      <s:c r="A13302" s="120" t="inlineStr"/>
      <s:c r="B13302" s="121" t="n"/>
      <s:c r="C13302" s="121" t="n"/>
      <s:c r="D13302" s="121" t="n"/>
      <s:c r="E13302" s="122" t="n"/>
    </s:row>
    <s:row r="13303" hidden="1" ht="1" customHeight="1">
      <s:c r="A13303" s="120" t="inlineStr"/>
      <s:c r="B13303" s="121" t="n"/>
      <s:c r="C13303" s="121" t="n"/>
      <s:c r="D13303" s="121" t="n"/>
      <s:c r="E13303" s="122" t="n"/>
    </s:row>
    <s:row r="13304" hidden="1" ht="1" customHeight="1">
      <s:c r="A13304" s="120" t="inlineStr"/>
      <s:c r="B13304" s="121" t="n"/>
      <s:c r="C13304" s="121" t="n"/>
      <s:c r="D13304" s="121" t="n"/>
      <s:c r="E13304" s="122" t="n"/>
    </s:row>
    <s:row r="13305" hidden="1" ht="1" customHeight="1">
      <s:c r="A13305" s="120" t="inlineStr"/>
      <s:c r="B13305" s="121" t="n"/>
      <s:c r="C13305" s="121" t="n"/>
      <s:c r="D13305" s="121" t="n"/>
      <s:c r="E13305" s="122" t="n"/>
    </s:row>
    <s:row r="13306" hidden="1" ht="1" customHeight="1">
      <s:c r="A13306" s="120" t="inlineStr"/>
      <s:c r="B13306" s="121" t="n"/>
      <s:c r="C13306" s="121" t="n"/>
      <s:c r="D13306" s="121" t="n"/>
      <s:c r="E13306" s="122" t="n"/>
    </s:row>
    <s:row r="13307" hidden="1" ht="1" customHeight="1">
      <s:c r="A13307" s="120" t="inlineStr"/>
      <s:c r="B13307" s="121" t="n"/>
      <s:c r="C13307" s="121" t="n"/>
      <s:c r="D13307" s="121" t="n"/>
      <s:c r="E13307" s="122" t="n"/>
    </s:row>
    <s:row r="13308" hidden="1" ht="1" customHeight="1">
      <s:c r="A13308" s="120" t="inlineStr"/>
      <s:c r="B13308" s="121" t="n"/>
      <s:c r="C13308" s="121" t="n"/>
      <s:c r="D13308" s="121" t="n"/>
      <s:c r="E13308" s="122" t="n"/>
    </s:row>
    <s:row r="13309" hidden="1" ht="1" customHeight="1">
      <s:c r="A13309" s="83" t="inlineStr">
        <s:is>
          <s:t>PASS</s:t>
        </s:is>
      </s:c>
      <s:c r="B13309" s="83">
        <s:f>SUM(IF(EXACT('Kiểm thử'!E13259,"Đạt"),1,0))</s:f>
        <s:v/>
      </s:c>
      <s:c r="C13309" s="19" t="n"/>
      <s:c r="D13309" s="19" t="n"/>
      <s:c r="E13309" s="19" t="n"/>
    </s:row>
    <s:row r="13310" hidden="1" ht="1" customHeight="1">
      <s:c r="A13310" s="83" t="inlineStr">
        <s:is>
          <s:t>FAIL</s:t>
        </s:is>
      </s:c>
      <s:c r="B13310" s="83">
        <s:f>SUM(IF(EXACT('Kiểm thử'!E13259,"Không đạt"),1,0))</s:f>
        <s:v/>
      </s:c>
      <s:c r="C13310" s="19" t="n"/>
      <s:c r="D13310" s="19" t="n"/>
      <s:c r="E13310" s="19" t="n"/>
    </s:row>
    <s:row r="13311" hidden="1" ht="1" customHeight="1">
      <s:c r="A13311" s="83" t="inlineStr">
        <s:is>
          <s:t>BLOCKED</s:t>
        </s:is>
      </s:c>
      <s:c r="B13311" s="83">
        <s:f>SUM(IF(EXACT('Kiểm thử'!E13259,"Bị chặn"),1,0))</s:f>
        <s:v/>
      </s:c>
      <s:c r="C13311" s="19" t="n"/>
      <s:c r="D13311" s="19" t="n"/>
      <s:c r="E13311" s="19" t="n"/>
    </s:row>
    <s:row r="13312" hidden="1" ht="1" customHeight="1">
      <s:c r="A13312" s="83" t="inlineStr">
        <s:is>
          <s:t>SKIPPED</s:t>
        </s:is>
      </s:c>
      <s:c r="B13312" s="83">
        <s:f>SUM(IF(EXACT('Kiểm thử'!E13259,"Không thực hiện"),1,0))</s:f>
        <s:v/>
      </s:c>
      <s:c r="C13312" s="19" t="n"/>
      <s:c r="D13312" s="19" t="n"/>
      <s:c r="E13312" s="19" t="n"/>
    </s:row>
    <s:row r="13313" hidden="1" ht="1" customHeight="1">
      <s:c r="A13313" s="83" t="inlineStr">
        <s:is>
          <s:t>NOT RUN</s:t>
        </s:is>
      </s:c>
      <s:c r="B13313" s="83">
        <s:f>SUM(IF(EXACT('Kiểm thử'!E13259,"Chưa thực hiện"),1,0))</s:f>
        <s:v/>
      </s:c>
      <s:c r="C13313" s="19" t="n"/>
      <s:c r="D13313" s="19" t="n"/>
      <s:c r="E13313" s="19" t="n"/>
    </s:row>
    <s:row r="13314" hidden="1" ht="6" customHeight="1">
      <s:c r="A13314" s="83" t="inlineStr"/>
      <s:c r="B13314" s="19" t="n"/>
      <s:c r="C13314" s="19" t="n"/>
      <s:c r="D13314" s="19" t="n"/>
      <s:c r="E13314" s="19" t="n"/>
    </s:row>
    <s:row r="13315" ht="28" customHeight="1">
      <s:c r="A13315" s="108" t="inlineStr">
        <s:is>
          <s:t>TC-RS-ERR-016 — Chưa xét được: sửa nguồn nhưng chỉ lưu cấu hình vẫn chưa có kết luận; xét lại mới có</s:t>
        </s:is>
      </s:c>
      <s:c r="B13315" s="111" t="n"/>
      <s:c r="C13315" s="111" t="n"/>
      <s:c r="D13315" s="111" t="n"/>
      <s:c r="E13315" s="111" t="n"/>
    </s:row>
    <s:row r="13316" ht="20" customHeight="1">
      <s:c r="A13316" s="112" t="inlineStr">
        <s:is>
          <s:t>Kết quả tình huống</s:t>
        </s:is>
      </s:c>
      <s:c r="B13316" s="113">
        <s:f>IF(SUM(IF(EXACT('Kiểm thử'!E13324,"Không đạt"),1,0))&gt;0,"Không đạt",IF(SUM(IF(EXACT('Kiểm thử'!E13324,"Đạt"),1,0))=1,"Đạt",IF(SUM(IF(EXACT('Kiểm thử'!E13324,"Không thực hiện"),1,0))=1,"Không thực hiện",IF(SUM(IF(EXACT('Kiểm thử'!E13324,"Bị chặn"),1,0))&gt;0,"Bị chặn",IF(SUM(IF(EXACT('Kiểm thử'!E13324,"Chưa thực hiện"),1,0))=1,"Chưa thực hiện","Đang thực hiện")))))</s:f>
        <s:v/>
      </s:c>
      <s:c r="C13316" s="114" t="n"/>
      <s:c r="D13316" s="114" t="n"/>
      <s:c r="E13316" s="114" t="n"/>
    </s:row>
    <s:row r="13317" ht="20" customHeight="1">
      <s:c r="A13317" s="112" t="inlineStr">
        <s:is>
          <s:t>Màn hình / chức năng</s:t>
        </s:is>
      </s:c>
      <s:c r="B13317" s="113" t="inlineStr">
        <s:is>
          <s:t>Nguồn tổng hợp</s:t>
        </s:is>
      </s:c>
      <s:c r="C13317" s="28" t="n"/>
      <s:c r="D13317" s="28" t="n"/>
      <s:c r="E13317" s="28" t="n"/>
    </s:row>
    <s:row r="13318" ht="34" customHeight="1">
      <s:c r="A13318" s="112" t="inlineStr">
        <s:is>
          <s:t>Cấu hình</s:t>
        </s:is>
      </s:c>
      <s:c r="B13318" s="113" t="inlineStr">
        <s:is>
          <s:t>• Ô S01 Chưa xét được (như case “Chưa có kết quả tổng hợp → Chưa xét được, không thay bằng 0 hay nhóm khác”: công thức [A×0.5], nguồn chưa tổng hợp). Nguồn không có bản chốt.</s:t>
        </s:is>
      </s:c>
      <s:c r="C13318" s="28" t="n"/>
      <s:c r="D13318" s="28" t="n"/>
      <s:c r="E13318" s="28" t="n"/>
    </s:row>
    <s:row r="13319" ht="34" customHeight="1">
      <s:c r="A13319" s="112" t="inlineStr">
        <s:is>
          <s:t>Dữ liệu test</s:t>
        </s:is>
      </s:c>
      <s:c r="B13319" s="113" t="inlineStr">
        <s:is>
          <s:r>
            <s:t>• Học sinh S01 (điểm 29);
• Nguồn sau tổng hợp có [</s:t>
          </s:r>
          <s:r>
            <s:rPr>
              <s:b val="1"/>
            </s:rPr>
            <s:t>A=62</s:t>
          </s:r>
          <s:r>
            <s:t>] (giá trị như bản tổng hợp mới nhất chưa chốt (trung bình 62))</s:t>
          </s:r>
        </s:is>
      </s:c>
      <s:c r="C13319" s="28" t="n"/>
      <s:c r="D13319" s="28" t="n"/>
      <s:c r="E13319" s="28" t="n"/>
    </s:row>
    <s:row r="13320" ht="34" customHeight="1">
      <s:c r="A13320" s="112" t="inlineStr">
        <s:is>
          <s:t>Bước 1</s:t>
        </s:is>
      </s:c>
      <s:c r="B13320" s="113" t="inlineStr">
        <s:is>
          <s:r>
            <s:t xml:space="preserve">Chạy </s:t>
          </s:r>
          <s:r>
            <s:rPr>
              <s:b val="1"/>
            </s:rPr>
            <s:t>Thực hiện tổng hợp（集計実行）</s:t>
          </s:r>
          <s:r>
            <s:t xml:space="preserve"> cho nguồn để có [</s:t>
          </s:r>
          <s:r>
            <s:rPr>
              <s:b val="1"/>
            </s:rPr>
            <s:t>A=62</s:t>
          </s:r>
          <s:r>
            <s:t>]; mở lại và lưu thiết lập quy tắc (không đổi nội dung). Xem đầu ra.</s:t>
          </s:r>
        </s:is>
      </s:c>
      <s:c r="C13320" s="28" t="n"/>
      <s:c r="D13320" s="28" t="n"/>
      <s:c r="E13320" s="28" t="n"/>
    </s:row>
    <s:row r="13321" ht="20" customHeight="1">
      <s:c r="A13321" s="112" t="inlineStr">
        <s:is>
          <s:t>Bước 2</s:t>
        </s:is>
      </s:c>
      <s:c r="B13321" s="113" t="inlineStr">
        <s:is>
          <s:t>Chạy nút cam. Xem đầu ra.</s:t>
        </s:is>
      </s:c>
      <s:c r="C13321" s="28" t="n"/>
      <s:c r="D13321" s="28" t="n"/>
      <s:c r="E13321" s="28" t="n"/>
    </s:row>
    <s:row r="13322" ht="28" customHeight="1">
      <s:c r="A13322" s="115" t="inlineStr">
        <s:is>
          <s:t>Trường hợp</s:t>
        </s:is>
      </s:c>
      <s:c r="B13322" s="115" t="inlineStr">
        <s:is>
          <s:t>Dữ liệu / thao tác riêng</s:t>
        </s:is>
      </s:c>
      <s:c r="C13322" s="115" t="inlineStr">
        <s:is>
          <s:t>Kết quả mong đợi</s:t>
        </s:is>
      </s:c>
      <s:c r="D13322" s="115" t="inlineStr">
        <s:is>
          <s:t>Kết quả thực tế</s:t>
        </s:is>
      </s:c>
      <s:c r="E13322" s="115" t="inlineStr">
        <s:is>
          <s:t>Đánh giá</s:t>
        </s:is>
      </s:c>
    </s:row>
    <s:row r="13323" ht="3" customHeight="1">
      <s:c r="A13323" s="102" t="inlineStr"/>
      <s:c r="B13323" s="99" t="n"/>
      <s:c r="C13323" s="99" t="n"/>
      <s:c r="D13323" s="116" t="n"/>
      <s:c r="E13323" s="116" t="n"/>
    </s:row>
    <s:row r="13324" ht="62" customHeight="1">
      <s:c r="A13324" s="83" t="inlineStr">
        <s:is>
          <s:t>Trường hợp cơ bản (Base)</s:t>
        </s:is>
      </s:c>
      <s:c r="B13324" s="83" t="inlineStr">
        <s:is>
          <s:t>Toàn bộ tình huống: Thực hiện đủ các bước chung theo thứ tự; kiểm cả đối tượng đích và đối chứng cùng fixture, không bỏ bước.</s:t>
        </s:is>
      </s:c>
      <s:c r="C13324" s="83" t="inlineStr">
        <s:is>
          <s:r>
            <s:t>1. Vẫn Chưa xét được; không có dấu đỏ.
2. [</s:t>
          </s:r>
          <s:r>
            <s:rPr>
              <s:b val="1"/>
            </s:rPr>
            <s:t>T=62</s:t>
          </s:r>
          <s:r>
            <s:t xml:space="preserve">×0.5=31] → S01=29 </s:t>
          </s:r>
          <s:r>
            <s:rPr>
              <s:b val="1"/>
            </s:rPr>
            <s:t>Đỏ</s:t>
          </s:r>
          <s:r>
            <s:t>.</s:t>
          </s:r>
        </s:is>
      </s:c>
      <s:c r="D13324" s="117" t="inlineStr"/>
      <s:c r="E13324" s="118" t="inlineStr">
        <s:is>
          <s:t>Chưa thực hiện</s:t>
        </s:is>
      </s:c>
    </s:row>
    <s:row r="13325" ht="20" customHeight="1">
      <s:c r="A13325" s="119" t="inlineStr">
        <s:is>
          <s:t>Ảnh minh chứng — Chưa có ảnh</s:t>
        </s:is>
      </s:c>
      <s:c r="B13325" s="19" t="n"/>
      <s:c r="C13325" s="19" t="n"/>
      <s:c r="D13325" s="19" t="n"/>
      <s:c r="E13325" s="19" t="n"/>
    </s:row>
    <s:row r="13326" hidden="1" ht="1" customHeight="1">
      <s:c r="A13326" s="120" t="inlineStr"/>
      <s:c r="B13326" s="121" t="n"/>
      <s:c r="C13326" s="121" t="n"/>
      <s:c r="D13326" s="121" t="n"/>
      <s:c r="E13326" s="122" t="n"/>
    </s:row>
    <s:row r="13327" hidden="1" ht="1" customHeight="1">
      <s:c r="A13327" s="120" t="inlineStr"/>
      <s:c r="B13327" s="121" t="n"/>
      <s:c r="C13327" s="121" t="n"/>
      <s:c r="D13327" s="121" t="n"/>
      <s:c r="E13327" s="122" t="n"/>
    </s:row>
    <s:row r="13328" hidden="1" ht="1" customHeight="1">
      <s:c r="A13328" s="120" t="inlineStr"/>
      <s:c r="B13328" s="121" t="n"/>
      <s:c r="C13328" s="121" t="n"/>
      <s:c r="D13328" s="121" t="n"/>
      <s:c r="E13328" s="122" t="n"/>
    </s:row>
    <s:row r="13329" hidden="1" ht="1" customHeight="1">
      <s:c r="A13329" s="120" t="inlineStr"/>
      <s:c r="B13329" s="121" t="n"/>
      <s:c r="C13329" s="121" t="n"/>
      <s:c r="D13329" s="121" t="n"/>
      <s:c r="E13329" s="122" t="n"/>
    </s:row>
    <s:row r="13330" hidden="1" ht="1" customHeight="1">
      <s:c r="A13330" s="120" t="inlineStr"/>
      <s:c r="B13330" s="121" t="n"/>
      <s:c r="C13330" s="121" t="n"/>
      <s:c r="D13330" s="121" t="n"/>
      <s:c r="E13330" s="122" t="n"/>
    </s:row>
    <s:row r="13331" hidden="1" ht="1" customHeight="1">
      <s:c r="A13331" s="120" t="inlineStr"/>
      <s:c r="B13331" s="121" t="n"/>
      <s:c r="C13331" s="121" t="n"/>
      <s:c r="D13331" s="121" t="n"/>
      <s:c r="E13331" s="122" t="n"/>
    </s:row>
    <s:row r="13332" hidden="1" ht="1" customHeight="1">
      <s:c r="A13332" s="120" t="inlineStr"/>
      <s:c r="B13332" s="121" t="n"/>
      <s:c r="C13332" s="121" t="n"/>
      <s:c r="D13332" s="121" t="n"/>
      <s:c r="E13332" s="122" t="n"/>
    </s:row>
    <s:row r="13333" hidden="1" ht="1" customHeight="1">
      <s:c r="A13333" s="120" t="inlineStr"/>
      <s:c r="B13333" s="121" t="n"/>
      <s:c r="C13333" s="121" t="n"/>
      <s:c r="D13333" s="121" t="n"/>
      <s:c r="E13333" s="122" t="n"/>
    </s:row>
    <s:row r="13334" hidden="1" ht="1" customHeight="1">
      <s:c r="A13334" s="120" t="inlineStr"/>
      <s:c r="B13334" s="121" t="n"/>
      <s:c r="C13334" s="121" t="n"/>
      <s:c r="D13334" s="121" t="n"/>
      <s:c r="E13334" s="122" t="n"/>
    </s:row>
    <s:row r="13335" hidden="1" ht="1" customHeight="1">
      <s:c r="A13335" s="120" t="inlineStr"/>
      <s:c r="B13335" s="121" t="n"/>
      <s:c r="C13335" s="121" t="n"/>
      <s:c r="D13335" s="121" t="n"/>
      <s:c r="E13335" s="122" t="n"/>
    </s:row>
    <s:row r="13336" hidden="1" ht="1" customHeight="1">
      <s:c r="A13336" s="120" t="inlineStr"/>
      <s:c r="B13336" s="121" t="n"/>
      <s:c r="C13336" s="121" t="n"/>
      <s:c r="D13336" s="121" t="n"/>
      <s:c r="E13336" s="122" t="n"/>
    </s:row>
    <s:row r="13337" hidden="1" ht="1" customHeight="1">
      <s:c r="A13337" s="120" t="inlineStr"/>
      <s:c r="B13337" s="121" t="n"/>
      <s:c r="C13337" s="121" t="n"/>
      <s:c r="D13337" s="121" t="n"/>
      <s:c r="E13337" s="122" t="n"/>
    </s:row>
    <s:row r="13338" hidden="1" ht="1" customHeight="1">
      <s:c r="A13338" s="120" t="inlineStr"/>
      <s:c r="B13338" s="121" t="n"/>
      <s:c r="C13338" s="121" t="n"/>
      <s:c r="D13338" s="121" t="n"/>
      <s:c r="E13338" s="122" t="n"/>
    </s:row>
    <s:row r="13339" hidden="1" ht="1" customHeight="1">
      <s:c r="A13339" s="120" t="inlineStr"/>
      <s:c r="B13339" s="121" t="n"/>
      <s:c r="C13339" s="121" t="n"/>
      <s:c r="D13339" s="121" t="n"/>
      <s:c r="E13339" s="122" t="n"/>
    </s:row>
    <s:row r="13340" hidden="1" ht="1" customHeight="1">
      <s:c r="A13340" s="120" t="inlineStr"/>
      <s:c r="B13340" s="121" t="n"/>
      <s:c r="C13340" s="121" t="n"/>
      <s:c r="D13340" s="121" t="n"/>
      <s:c r="E13340" s="122" t="n"/>
    </s:row>
    <s:row r="13341" hidden="1" ht="1" customHeight="1">
      <s:c r="A13341" s="120" t="inlineStr"/>
      <s:c r="B13341" s="121" t="n"/>
      <s:c r="C13341" s="121" t="n"/>
      <s:c r="D13341" s="121" t="n"/>
      <s:c r="E13341" s="122" t="n"/>
    </s:row>
    <s:row r="13342" hidden="1" ht="1" customHeight="1">
      <s:c r="A13342" s="120" t="inlineStr"/>
      <s:c r="B13342" s="121" t="n"/>
      <s:c r="C13342" s="121" t="n"/>
      <s:c r="D13342" s="121" t="n"/>
      <s:c r="E13342" s="122" t="n"/>
    </s:row>
    <s:row r="13343" hidden="1" ht="1" customHeight="1">
      <s:c r="A13343" s="120" t="inlineStr"/>
      <s:c r="B13343" s="121" t="n"/>
      <s:c r="C13343" s="121" t="n"/>
      <s:c r="D13343" s="121" t="n"/>
      <s:c r="E13343" s="122" t="n"/>
    </s:row>
    <s:row r="13344" hidden="1" ht="1" customHeight="1">
      <s:c r="A13344" s="120" t="inlineStr"/>
      <s:c r="B13344" s="121" t="n"/>
      <s:c r="C13344" s="121" t="n"/>
      <s:c r="D13344" s="121" t="n"/>
      <s:c r="E13344" s="122" t="n"/>
    </s:row>
    <s:row r="13345" hidden="1" ht="1" customHeight="1">
      <s:c r="A13345" s="120" t="inlineStr"/>
      <s:c r="B13345" s="121" t="n"/>
      <s:c r="C13345" s="121" t="n"/>
      <s:c r="D13345" s="121" t="n"/>
      <s:c r="E13345" s="122" t="n"/>
    </s:row>
    <s:row r="13346" hidden="1" ht="1" customHeight="1">
      <s:c r="A13346" s="120" t="inlineStr"/>
      <s:c r="B13346" s="121" t="n"/>
      <s:c r="C13346" s="121" t="n"/>
      <s:c r="D13346" s="121" t="n"/>
      <s:c r="E13346" s="122" t="n"/>
    </s:row>
    <s:row r="13347" hidden="1" ht="1" customHeight="1">
      <s:c r="A13347" s="120" t="inlineStr"/>
      <s:c r="B13347" s="121" t="n"/>
      <s:c r="C13347" s="121" t="n"/>
      <s:c r="D13347" s="121" t="n"/>
      <s:c r="E13347" s="122" t="n"/>
    </s:row>
    <s:row r="13348" hidden="1" ht="1" customHeight="1">
      <s:c r="A13348" s="120" t="inlineStr"/>
      <s:c r="B13348" s="121" t="n"/>
      <s:c r="C13348" s="121" t="n"/>
      <s:c r="D13348" s="121" t="n"/>
      <s:c r="E13348" s="122" t="n"/>
    </s:row>
    <s:row r="13349" hidden="1" ht="1" customHeight="1">
      <s:c r="A13349" s="120" t="inlineStr"/>
      <s:c r="B13349" s="121" t="n"/>
      <s:c r="C13349" s="121" t="n"/>
      <s:c r="D13349" s="121" t="n"/>
      <s:c r="E13349" s="122" t="n"/>
    </s:row>
    <s:row r="13350" hidden="1" ht="1" customHeight="1">
      <s:c r="A13350" s="120" t="inlineStr"/>
      <s:c r="B13350" s="121" t="n"/>
      <s:c r="C13350" s="121" t="n"/>
      <s:c r="D13350" s="121" t="n"/>
      <s:c r="E13350" s="122" t="n"/>
    </s:row>
    <s:row r="13351" hidden="1" ht="1" customHeight="1">
      <s:c r="A13351" s="120" t="inlineStr"/>
      <s:c r="B13351" s="121" t="n"/>
      <s:c r="C13351" s="121" t="n"/>
      <s:c r="D13351" s="121" t="n"/>
      <s:c r="E13351" s="122" t="n"/>
    </s:row>
    <s:row r="13352" hidden="1" ht="1" customHeight="1">
      <s:c r="A13352" s="120" t="inlineStr"/>
      <s:c r="B13352" s="121" t="n"/>
      <s:c r="C13352" s="121" t="n"/>
      <s:c r="D13352" s="121" t="n"/>
      <s:c r="E13352" s="122" t="n"/>
    </s:row>
    <s:row r="13353" hidden="1" ht="1" customHeight="1">
      <s:c r="A13353" s="120" t="inlineStr"/>
      <s:c r="B13353" s="121" t="n"/>
      <s:c r="C13353" s="121" t="n"/>
      <s:c r="D13353" s="121" t="n"/>
      <s:c r="E13353" s="122" t="n"/>
    </s:row>
    <s:row r="13354" hidden="1" ht="1" customHeight="1">
      <s:c r="A13354" s="120" t="inlineStr"/>
      <s:c r="B13354" s="121" t="n"/>
      <s:c r="C13354" s="121" t="n"/>
      <s:c r="D13354" s="121" t="n"/>
      <s:c r="E13354" s="122" t="n"/>
    </s:row>
    <s:row r="13355" hidden="1" ht="1" customHeight="1">
      <s:c r="A13355" s="120" t="inlineStr"/>
      <s:c r="B13355" s="121" t="n"/>
      <s:c r="C13355" s="121" t="n"/>
      <s:c r="D13355" s="121" t="n"/>
      <s:c r="E13355" s="122" t="n"/>
    </s:row>
    <s:row r="13356" hidden="1" ht="1" customHeight="1">
      <s:c r="A13356" s="120" t="inlineStr"/>
      <s:c r="B13356" s="121" t="n"/>
      <s:c r="C13356" s="121" t="n"/>
      <s:c r="D13356" s="121" t="n"/>
      <s:c r="E13356" s="122" t="n"/>
    </s:row>
    <s:row r="13357" hidden="1" ht="1" customHeight="1">
      <s:c r="A13357" s="120" t="inlineStr"/>
      <s:c r="B13357" s="121" t="n"/>
      <s:c r="C13357" s="121" t="n"/>
      <s:c r="D13357" s="121" t="n"/>
      <s:c r="E13357" s="122" t="n"/>
    </s:row>
    <s:row r="13358" hidden="1" ht="1" customHeight="1">
      <s:c r="A13358" s="120" t="inlineStr"/>
      <s:c r="B13358" s="121" t="n"/>
      <s:c r="C13358" s="121" t="n"/>
      <s:c r="D13358" s="121" t="n"/>
      <s:c r="E13358" s="122" t="n"/>
    </s:row>
    <s:row r="13359" hidden="1" ht="1" customHeight="1">
      <s:c r="A13359" s="120" t="inlineStr"/>
      <s:c r="B13359" s="121" t="n"/>
      <s:c r="C13359" s="121" t="n"/>
      <s:c r="D13359" s="121" t="n"/>
      <s:c r="E13359" s="122" t="n"/>
    </s:row>
    <s:row r="13360" hidden="1" ht="1" customHeight="1">
      <s:c r="A13360" s="120" t="inlineStr"/>
      <s:c r="B13360" s="121" t="n"/>
      <s:c r="C13360" s="121" t="n"/>
      <s:c r="D13360" s="121" t="n"/>
      <s:c r="E13360" s="122" t="n"/>
    </s:row>
    <s:row r="13361" hidden="1" ht="1" customHeight="1">
      <s:c r="A13361" s="120" t="inlineStr"/>
      <s:c r="B13361" s="121" t="n"/>
      <s:c r="C13361" s="121" t="n"/>
      <s:c r="D13361" s="121" t="n"/>
      <s:c r="E13361" s="122" t="n"/>
    </s:row>
    <s:row r="13362" hidden="1" ht="1" customHeight="1">
      <s:c r="A13362" s="120" t="inlineStr"/>
      <s:c r="B13362" s="121" t="n"/>
      <s:c r="C13362" s="121" t="n"/>
      <s:c r="D13362" s="121" t="n"/>
      <s:c r="E13362" s="122" t="n"/>
    </s:row>
    <s:row r="13363" hidden="1" ht="1" customHeight="1">
      <s:c r="A13363" s="120" t="inlineStr"/>
      <s:c r="B13363" s="121" t="n"/>
      <s:c r="C13363" s="121" t="n"/>
      <s:c r="D13363" s="121" t="n"/>
      <s:c r="E13363" s="122" t="n"/>
    </s:row>
    <s:row r="13364" hidden="1" ht="1" customHeight="1">
      <s:c r="A13364" s="120" t="inlineStr"/>
      <s:c r="B13364" s="121" t="n"/>
      <s:c r="C13364" s="121" t="n"/>
      <s:c r="D13364" s="121" t="n"/>
      <s:c r="E13364" s="122" t="n"/>
    </s:row>
    <s:row r="13365" hidden="1" ht="1" customHeight="1">
      <s:c r="A13365" s="120" t="inlineStr"/>
      <s:c r="B13365" s="121" t="n"/>
      <s:c r="C13365" s="121" t="n"/>
      <s:c r="D13365" s="121" t="n"/>
      <s:c r="E13365" s="122" t="n"/>
    </s:row>
    <s:row r="13366" hidden="1" ht="1" customHeight="1">
      <s:c r="A13366" s="120" t="inlineStr"/>
      <s:c r="B13366" s="121" t="n"/>
      <s:c r="C13366" s="121" t="n"/>
      <s:c r="D13366" s="121" t="n"/>
      <s:c r="E13366" s="122" t="n"/>
    </s:row>
    <s:row r="13367" hidden="1" ht="1" customHeight="1">
      <s:c r="A13367" s="120" t="inlineStr"/>
      <s:c r="B13367" s="121" t="n"/>
      <s:c r="C13367" s="121" t="n"/>
      <s:c r="D13367" s="121" t="n"/>
      <s:c r="E13367" s="122" t="n"/>
    </s:row>
    <s:row r="13368" hidden="1" ht="1" customHeight="1">
      <s:c r="A13368" s="120" t="inlineStr"/>
      <s:c r="B13368" s="121" t="n"/>
      <s:c r="C13368" s="121" t="n"/>
      <s:c r="D13368" s="121" t="n"/>
      <s:c r="E13368" s="122" t="n"/>
    </s:row>
    <s:row r="13369" hidden="1" ht="1" customHeight="1">
      <s:c r="A13369" s="120" t="inlineStr"/>
      <s:c r="B13369" s="121" t="n"/>
      <s:c r="C13369" s="121" t="n"/>
      <s:c r="D13369" s="121" t="n"/>
      <s:c r="E13369" s="122" t="n"/>
    </s:row>
    <s:row r="13370" hidden="1" ht="1" customHeight="1">
      <s:c r="A13370" s="120" t="inlineStr"/>
      <s:c r="B13370" s="121" t="n"/>
      <s:c r="C13370" s="121" t="n"/>
      <s:c r="D13370" s="121" t="n"/>
      <s:c r="E13370" s="122" t="n"/>
    </s:row>
    <s:row r="13371" hidden="1" ht="1" customHeight="1">
      <s:c r="A13371" s="120" t="inlineStr"/>
      <s:c r="B13371" s="121" t="n"/>
      <s:c r="C13371" s="121" t="n"/>
      <s:c r="D13371" s="121" t="n"/>
      <s:c r="E13371" s="122" t="n"/>
    </s:row>
    <s:row r="13372" hidden="1" ht="1" customHeight="1">
      <s:c r="A13372" s="120" t="inlineStr"/>
      <s:c r="B13372" s="121" t="n"/>
      <s:c r="C13372" s="121" t="n"/>
      <s:c r="D13372" s="121" t="n"/>
      <s:c r="E13372" s="122" t="n"/>
    </s:row>
    <s:row r="13373" hidden="1" ht="1" customHeight="1">
      <s:c r="A13373" s="120" t="inlineStr"/>
      <s:c r="B13373" s="121" t="n"/>
      <s:c r="C13373" s="121" t="n"/>
      <s:c r="D13373" s="121" t="n"/>
      <s:c r="E13373" s="122" t="n"/>
    </s:row>
    <s:row r="13374" hidden="1" ht="1" customHeight="1">
      <s:c r="A13374" s="83" t="inlineStr">
        <s:is>
          <s:t>PASS</s:t>
        </s:is>
      </s:c>
      <s:c r="B13374" s="83">
        <s:f>SUM(IF(EXACT('Kiểm thử'!E13324,"Đạt"),1,0))</s:f>
        <s:v/>
      </s:c>
      <s:c r="C13374" s="19" t="n"/>
      <s:c r="D13374" s="19" t="n"/>
      <s:c r="E13374" s="19" t="n"/>
    </s:row>
    <s:row r="13375" hidden="1" ht="1" customHeight="1">
      <s:c r="A13375" s="83" t="inlineStr">
        <s:is>
          <s:t>FAIL</s:t>
        </s:is>
      </s:c>
      <s:c r="B13375" s="83">
        <s:f>SUM(IF(EXACT('Kiểm thử'!E13324,"Không đạt"),1,0))</s:f>
        <s:v/>
      </s:c>
      <s:c r="C13375" s="19" t="n"/>
      <s:c r="D13375" s="19" t="n"/>
      <s:c r="E13375" s="19" t="n"/>
    </s:row>
    <s:row r="13376" hidden="1" ht="1" customHeight="1">
      <s:c r="A13376" s="83" t="inlineStr">
        <s:is>
          <s:t>BLOCKED</s:t>
        </s:is>
      </s:c>
      <s:c r="B13376" s="83">
        <s:f>SUM(IF(EXACT('Kiểm thử'!E13324,"Bị chặn"),1,0))</s:f>
        <s:v/>
      </s:c>
      <s:c r="C13376" s="19" t="n"/>
      <s:c r="D13376" s="19" t="n"/>
      <s:c r="E13376" s="19" t="n"/>
    </s:row>
    <s:row r="13377" hidden="1" ht="1" customHeight="1">
      <s:c r="A13377" s="83" t="inlineStr">
        <s:is>
          <s:t>SKIPPED</s:t>
        </s:is>
      </s:c>
      <s:c r="B13377" s="83">
        <s:f>SUM(IF(EXACT('Kiểm thử'!E13324,"Không thực hiện"),1,0))</s:f>
        <s:v/>
      </s:c>
      <s:c r="C13377" s="19" t="n"/>
      <s:c r="D13377" s="19" t="n"/>
      <s:c r="E13377" s="19" t="n"/>
    </s:row>
    <s:row r="13378" hidden="1" ht="1" customHeight="1">
      <s:c r="A13378" s="83" t="inlineStr">
        <s:is>
          <s:t>NOT RUN</s:t>
        </s:is>
      </s:c>
      <s:c r="B13378" s="83">
        <s:f>SUM(IF(EXACT('Kiểm thử'!E13324,"Chưa thực hiện"),1,0))</s:f>
        <s:v/>
      </s:c>
      <s:c r="C13378" s="19" t="n"/>
      <s:c r="D13378" s="19" t="n"/>
      <s:c r="E13378" s="19" t="n"/>
    </s:row>
    <s:row r="13379" hidden="1" ht="6" customHeight="1">
      <s:c r="A13379" s="83" t="inlineStr"/>
      <s:c r="B13379" s="19" t="n"/>
      <s:c r="C13379" s="19" t="n"/>
      <s:c r="D13379" s="19" t="n"/>
      <s:c r="E13379" s="19" t="n"/>
    </s:row>
    <s:row r="13380" ht="28" customHeight="1">
      <s:c r="A13380" s="108" t="inlineStr">
        <s:is>
          <s:t>TC-RS-BR-026 — Không fallback sang legacy khi rule mới thiếu hoặc không khớp dữ liệu</s:t>
        </s:is>
      </s:c>
      <s:c r="B13380" s="111" t="n"/>
      <s:c r="C13380" s="111" t="n"/>
      <s:c r="D13380" s="111" t="n"/>
      <s:c r="E13380" s="111" t="n"/>
    </s:row>
    <s:row r="13381" ht="20" customHeight="1">
      <s:c r="A13381" s="112" t="inlineStr">
        <s:is>
          <s:t>Kết quả tình huống</s:t>
        </s:is>
      </s:c>
      <s:c r="B13381" s="113">
        <s:f>IF(SUM(IF(EXACT('Kiểm thử'!E13389,"Không đạt"),1,0),IF(EXACT('Kiểm thử'!E13391,"Không đạt"),1,0))&gt;0,"Không đạt",IF(SUM(IF(EXACT('Kiểm thử'!E13389,"Đạt"),1,0),IF(EXACT('Kiểm thử'!E13391,"Đạt"),1,0))=2,"Đạt",IF(SUM(IF(EXACT('Kiểm thử'!E13389,"Không thực hiện"),1,0),IF(EXACT('Kiểm thử'!E13391,"Không thực hiện"),1,0))=2,"Không thực hiện",IF(SUM(IF(EXACT('Kiểm thử'!E13389,"Bị chặn"),1,0),IF(EXACT('Kiểm thử'!E13391,"Bị chặn"),1,0))&gt;0,"Bị chặn",IF(SUM(IF(EXACT('Kiểm thử'!E13389,"Chưa thực hiện"),1,0),IF(EXACT('Kiểm thử'!E13391,"Chưa thực hiện"),1,0))=2,"Chưa thực hiện","Đang thực hiện")))))</s:f>
        <s:v/>
      </s:c>
      <s:c r="C13381" s="114" t="n"/>
      <s:c r="D13381" s="114" t="n"/>
      <s:c r="E13381" s="114" t="n"/>
    </s:row>
    <s:row r="13382" ht="20" customHeight="1">
      <s:c r="A13382" s="112" t="inlineStr">
        <s:is>
          <s:t>Màn hình / chức năng</s:t>
        </s:is>
      </s:c>
      <s:c r="B13382" s="113" t="inlineStr">
        <s:is>
          <s:t>Nguồn tổng hợp</s:t>
        </s:is>
      </s:c>
      <s:c r="C13382" s="28" t="n"/>
      <s:c r="D13382" s="28" t="n"/>
      <s:c r="E13382" s="28" t="n"/>
    </s:row>
    <s:row r="13383" ht="20" customHeight="1">
      <s:c r="A13383" s="112" t="inlineStr">
        <s:is>
          <s:t>Cấu hình</s:t>
        </s:is>
      </s:c>
      <s:c r="B13383" s="113" t="inlineStr">
        <s:is>
          <s:t>• Có rule mới thiếu nguồn/không khớp và kết quả legacy cũ của cùng ô.</s:t>
        </s:is>
      </s:c>
      <s:c r="C13383" s="28" t="n"/>
      <s:c r="D13383" s="28" t="n"/>
      <s:c r="E13383" s="28" t="n"/>
    </s:row>
    <s:row r="13384" ht="20" customHeight="1">
      <s:c r="A13384" s="112" t="inlineStr">
        <s:is>
          <s:t>Dữ liệu test</s:t>
        </s:is>
      </s:c>
      <s:c r="B13384" s="113" t="inlineStr">
        <s:is>
          <s:t>• Có rule mới thiếu nguồn/không khớp và kết quả legacy cũ của cùng ô.</s:t>
        </s:is>
      </s:c>
      <s:c r="C13384" s="28" t="n"/>
      <s:c r="D13384" s="28" t="n"/>
      <s:c r="E13384" s="28" t="n"/>
    </s:row>
    <s:row r="13385" ht="20" customHeight="1">
      <s:c r="A13385" s="112" t="inlineStr">
        <s:is>
          <s:t>Bước 1</s:t>
        </s:is>
      </s:c>
      <s:c r="B13385" s="113" t="inlineStr">
        <s:is>
          <s:t>Chạy nút cam.</s:t>
        </s:is>
      </s:c>
      <s:c r="C13385" s="28" t="n"/>
      <s:c r="D13385" s="28" t="n"/>
      <s:c r="E13385" s="28" t="n"/>
    </s:row>
    <s:row r="13386" ht="20" customHeight="1">
      <s:c r="A13386" s="112" t="inlineStr">
        <s:is>
          <s:t>Bước 2</s:t>
        </s:is>
      </s:c>
      <s:c r="B13386" s="113" t="inlineStr">
        <s:is>
          <s:t>Xem trạng thái ô và ba đầu ra.</s:t>
        </s:is>
      </s:c>
      <s:c r="C13386" s="28" t="n"/>
      <s:c r="D13386" s="28" t="n"/>
      <s:c r="E13386" s="28" t="n"/>
    </s:row>
    <s:row r="13387" ht="28" customHeight="1">
      <s:c r="A13387" s="115" t="inlineStr">
        <s:is>
          <s:t>Trường hợp</s:t>
        </s:is>
      </s:c>
      <s:c r="B13387" s="115" t="inlineStr">
        <s:is>
          <s:t>Dữ liệu / thao tác riêng</s:t>
        </s:is>
      </s:c>
      <s:c r="C13387" s="115" t="inlineStr">
        <s:is>
          <s:t>Kết quả mong đợi</s:t>
        </s:is>
      </s:c>
      <s:c r="D13387" s="115" t="inlineStr">
        <s:is>
          <s:t>Kết quả thực tế</s:t>
        </s:is>
      </s:c>
      <s:c r="E13387" s="115" t="inlineStr">
        <s:is>
          <s:t>Đánh giá</s:t>
        </s:is>
      </s:c>
    </s:row>
    <s:row r="13388" ht="3" customHeight="1">
      <s:c r="A13388" s="102" t="inlineStr"/>
      <s:c r="B13388" s="99" t="n"/>
      <s:c r="C13388" s="99" t="n"/>
      <s:c r="D13388" s="116" t="n"/>
      <s:c r="E13388" s="116" t="n"/>
    </s:row>
    <s:row r="13389" ht="62" customHeight="1">
      <s:c r="A13389" s="83" t="inlineStr">
        <s:is>
          <s:t>Không quy tắc khớp (no-match)</s:t>
        </s:is>
      </s:c>
      <s:c r="B13389" s="83" t="inlineStr">
        <s:is>
          <s:t>Có legacy cũ; rule mới không khớp dù đủ dữ liệu. Chạy nút cam, đọc trạng thái/ba đầu ra.</s:t>
        </s:is>
      </s:c>
      <s:c r="C13389" s="83" t="inlineStr">
        <s:is>
          <s:r>
            <s:t xml:space="preserve">Đủ dữ liệu nhưng không rule mới nào khớp: </s:t>
          </s:r>
          <s:r>
            <s:rPr>
              <s:b val="1"/>
            </s:rPr>
            <s:t>Không áp dụng</s:t>
          </s:r>
          <s:r>
            <s:t>; không dùng legacy làm fallback, không ghi đè kết quả cũ ngoài chính sách trạng thái đã xác nhận.</s:t>
          </s:r>
        </s:is>
      </s:c>
      <s:c r="D13389" s="117" t="inlineStr"/>
      <s:c r="E13389" s="118" t="inlineStr">
        <s:is>
          <s:t>Chưa thực hiện</s:t>
        </s:is>
      </s:c>
    </s:row>
    <s:row r="13390" ht="3" customHeight="1">
      <s:c r="A13390" s="102" t="inlineStr"/>
      <s:c r="B13390" s="99" t="n"/>
      <s:c r="C13390" s="99" t="n"/>
      <s:c r="D13390" s="116" t="n"/>
      <s:c r="E13390" s="116" t="n"/>
    </s:row>
    <s:row r="13391" ht="62" customHeight="1">
      <s:c r="A13391" s="83" t="inlineStr">
        <s:is>
          <s:t>Thiếu dữ liệu để xét (missing-input)</s:t>
        </s:is>
      </s:c>
      <s:c r="B13391" s="83" t="inlineStr">
        <s:is>
          <s:t>Có legacy cũ; rule mới thiếu dữ liệu cần xét. Chạy nút cam, đọc trạng thái/ba đầu ra.</s:t>
        </s:is>
      </s:c>
      <s:c r="C13391" s="83" t="inlineStr">
        <s:is>
          <s:t>Thiếu dữ liệu cần xét: Chưa xét được; không dùng legacy làm fallback, không ghi đè kết quả cũ ngoài chính sách trạng thái đã xác nhận.</s:t>
        </s:is>
      </s:c>
      <s:c r="D13391" s="117" t="inlineStr"/>
      <s:c r="E13391" s="118" t="inlineStr">
        <s:is>
          <s:t>Chưa thực hiện</s:t>
        </s:is>
      </s:c>
    </s:row>
    <s:row r="13392" ht="20" customHeight="1">
      <s:c r="A13392" s="119" t="inlineStr">
        <s:is>
          <s:t>Ảnh minh chứng — Chưa có ảnh</s:t>
        </s:is>
      </s:c>
      <s:c r="B13392" s="19" t="n"/>
      <s:c r="C13392" s="19" t="n"/>
      <s:c r="D13392" s="19" t="n"/>
      <s:c r="E13392" s="19" t="n"/>
    </s:row>
    <s:row r="13393" hidden="1" ht="1" customHeight="1">
      <s:c r="A13393" s="120" t="inlineStr"/>
      <s:c r="B13393" s="121" t="n"/>
      <s:c r="C13393" s="121" t="n"/>
      <s:c r="D13393" s="121" t="n"/>
      <s:c r="E13393" s="122" t="n"/>
    </s:row>
    <s:row r="13394" hidden="1" ht="1" customHeight="1">
      <s:c r="A13394" s="120" t="inlineStr"/>
      <s:c r="B13394" s="121" t="n"/>
      <s:c r="C13394" s="121" t="n"/>
      <s:c r="D13394" s="121" t="n"/>
      <s:c r="E13394" s="122" t="n"/>
    </s:row>
    <s:row r="13395" hidden="1" ht="1" customHeight="1">
      <s:c r="A13395" s="120" t="inlineStr"/>
      <s:c r="B13395" s="121" t="n"/>
      <s:c r="C13395" s="121" t="n"/>
      <s:c r="D13395" s="121" t="n"/>
      <s:c r="E13395" s="122" t="n"/>
    </s:row>
    <s:row r="13396" hidden="1" ht="1" customHeight="1">
      <s:c r="A13396" s="120" t="inlineStr"/>
      <s:c r="B13396" s="121" t="n"/>
      <s:c r="C13396" s="121" t="n"/>
      <s:c r="D13396" s="121" t="n"/>
      <s:c r="E13396" s="122" t="n"/>
    </s:row>
    <s:row r="13397" hidden="1" ht="1" customHeight="1">
      <s:c r="A13397" s="120" t="inlineStr"/>
      <s:c r="B13397" s="121" t="n"/>
      <s:c r="C13397" s="121" t="n"/>
      <s:c r="D13397" s="121" t="n"/>
      <s:c r="E13397" s="122" t="n"/>
    </s:row>
    <s:row r="13398" hidden="1" ht="1" customHeight="1">
      <s:c r="A13398" s="120" t="inlineStr"/>
      <s:c r="B13398" s="121" t="n"/>
      <s:c r="C13398" s="121" t="n"/>
      <s:c r="D13398" s="121" t="n"/>
      <s:c r="E13398" s="122" t="n"/>
    </s:row>
    <s:row r="13399" hidden="1" ht="1" customHeight="1">
      <s:c r="A13399" s="120" t="inlineStr"/>
      <s:c r="B13399" s="121" t="n"/>
      <s:c r="C13399" s="121" t="n"/>
      <s:c r="D13399" s="121" t="n"/>
      <s:c r="E13399" s="122" t="n"/>
    </s:row>
    <s:row r="13400" hidden="1" ht="1" customHeight="1">
      <s:c r="A13400" s="120" t="inlineStr"/>
      <s:c r="B13400" s="121" t="n"/>
      <s:c r="C13400" s="121" t="n"/>
      <s:c r="D13400" s="121" t="n"/>
      <s:c r="E13400" s="122" t="n"/>
    </s:row>
    <s:row r="13401" hidden="1" ht="1" customHeight="1">
      <s:c r="A13401" s="120" t="inlineStr"/>
      <s:c r="B13401" s="121" t="n"/>
      <s:c r="C13401" s="121" t="n"/>
      <s:c r="D13401" s="121" t="n"/>
      <s:c r="E13401" s="122" t="n"/>
    </s:row>
    <s:row r="13402" hidden="1" ht="1" customHeight="1">
      <s:c r="A13402" s="120" t="inlineStr"/>
      <s:c r="B13402" s="121" t="n"/>
      <s:c r="C13402" s="121" t="n"/>
      <s:c r="D13402" s="121" t="n"/>
      <s:c r="E13402" s="122" t="n"/>
    </s:row>
    <s:row r="13403" hidden="1" ht="1" customHeight="1">
      <s:c r="A13403" s="120" t="inlineStr"/>
      <s:c r="B13403" s="121" t="n"/>
      <s:c r="C13403" s="121" t="n"/>
      <s:c r="D13403" s="121" t="n"/>
      <s:c r="E13403" s="122" t="n"/>
    </s:row>
    <s:row r="13404" hidden="1" ht="1" customHeight="1">
      <s:c r="A13404" s="120" t="inlineStr"/>
      <s:c r="B13404" s="121" t="n"/>
      <s:c r="C13404" s="121" t="n"/>
      <s:c r="D13404" s="121" t="n"/>
      <s:c r="E13404" s="122" t="n"/>
    </s:row>
    <s:row r="13405" hidden="1" ht="1" customHeight="1">
      <s:c r="A13405" s="120" t="inlineStr"/>
      <s:c r="B13405" s="121" t="n"/>
      <s:c r="C13405" s="121" t="n"/>
      <s:c r="D13405" s="121" t="n"/>
      <s:c r="E13405" s="122" t="n"/>
    </s:row>
    <s:row r="13406" hidden="1" ht="1" customHeight="1">
      <s:c r="A13406" s="120" t="inlineStr"/>
      <s:c r="B13406" s="121" t="n"/>
      <s:c r="C13406" s="121" t="n"/>
      <s:c r="D13406" s="121" t="n"/>
      <s:c r="E13406" s="122" t="n"/>
    </s:row>
    <s:row r="13407" hidden="1" ht="1" customHeight="1">
      <s:c r="A13407" s="120" t="inlineStr"/>
      <s:c r="B13407" s="121" t="n"/>
      <s:c r="C13407" s="121" t="n"/>
      <s:c r="D13407" s="121" t="n"/>
      <s:c r="E13407" s="122" t="n"/>
    </s:row>
    <s:row r="13408" hidden="1" ht="1" customHeight="1">
      <s:c r="A13408" s="120" t="inlineStr"/>
      <s:c r="B13408" s="121" t="n"/>
      <s:c r="C13408" s="121" t="n"/>
      <s:c r="D13408" s="121" t="n"/>
      <s:c r="E13408" s="122" t="n"/>
    </s:row>
    <s:row r="13409" hidden="1" ht="1" customHeight="1">
      <s:c r="A13409" s="120" t="inlineStr"/>
      <s:c r="B13409" s="121" t="n"/>
      <s:c r="C13409" s="121" t="n"/>
      <s:c r="D13409" s="121" t="n"/>
      <s:c r="E13409" s="122" t="n"/>
    </s:row>
    <s:row r="13410" hidden="1" ht="1" customHeight="1">
      <s:c r="A13410" s="120" t="inlineStr"/>
      <s:c r="B13410" s="121" t="n"/>
      <s:c r="C13410" s="121" t="n"/>
      <s:c r="D13410" s="121" t="n"/>
      <s:c r="E13410" s="122" t="n"/>
    </s:row>
    <s:row r="13411" hidden="1" ht="1" customHeight="1">
      <s:c r="A13411" s="120" t="inlineStr"/>
      <s:c r="B13411" s="121" t="n"/>
      <s:c r="C13411" s="121" t="n"/>
      <s:c r="D13411" s="121" t="n"/>
      <s:c r="E13411" s="122" t="n"/>
    </s:row>
    <s:row r="13412" hidden="1" ht="1" customHeight="1">
      <s:c r="A13412" s="120" t="inlineStr"/>
      <s:c r="B13412" s="121" t="n"/>
      <s:c r="C13412" s="121" t="n"/>
      <s:c r="D13412" s="121" t="n"/>
      <s:c r="E13412" s="122" t="n"/>
    </s:row>
    <s:row r="13413" hidden="1" ht="1" customHeight="1">
      <s:c r="A13413" s="120" t="inlineStr"/>
      <s:c r="B13413" s="121" t="n"/>
      <s:c r="C13413" s="121" t="n"/>
      <s:c r="D13413" s="121" t="n"/>
      <s:c r="E13413" s="122" t="n"/>
    </s:row>
    <s:row r="13414" hidden="1" ht="1" customHeight="1">
      <s:c r="A13414" s="120" t="inlineStr"/>
      <s:c r="B13414" s="121" t="n"/>
      <s:c r="C13414" s="121" t="n"/>
      <s:c r="D13414" s="121" t="n"/>
      <s:c r="E13414" s="122" t="n"/>
    </s:row>
    <s:row r="13415" hidden="1" ht="1" customHeight="1">
      <s:c r="A13415" s="120" t="inlineStr"/>
      <s:c r="B13415" s="121" t="n"/>
      <s:c r="C13415" s="121" t="n"/>
      <s:c r="D13415" s="121" t="n"/>
      <s:c r="E13415" s="122" t="n"/>
    </s:row>
    <s:row r="13416" hidden="1" ht="1" customHeight="1">
      <s:c r="A13416" s="120" t="inlineStr"/>
      <s:c r="B13416" s="121" t="n"/>
      <s:c r="C13416" s="121" t="n"/>
      <s:c r="D13416" s="121" t="n"/>
      <s:c r="E13416" s="122" t="n"/>
    </s:row>
    <s:row r="13417" hidden="1" ht="1" customHeight="1">
      <s:c r="A13417" s="120" t="inlineStr"/>
      <s:c r="B13417" s="121" t="n"/>
      <s:c r="C13417" s="121" t="n"/>
      <s:c r="D13417" s="121" t="n"/>
      <s:c r="E13417" s="122" t="n"/>
    </s:row>
    <s:row r="13418" hidden="1" ht="1" customHeight="1">
      <s:c r="A13418" s="120" t="inlineStr"/>
      <s:c r="B13418" s="121" t="n"/>
      <s:c r="C13418" s="121" t="n"/>
      <s:c r="D13418" s="121" t="n"/>
      <s:c r="E13418" s="122" t="n"/>
    </s:row>
    <s:row r="13419" hidden="1" ht="1" customHeight="1">
      <s:c r="A13419" s="120" t="inlineStr"/>
      <s:c r="B13419" s="121" t="n"/>
      <s:c r="C13419" s="121" t="n"/>
      <s:c r="D13419" s="121" t="n"/>
      <s:c r="E13419" s="122" t="n"/>
    </s:row>
    <s:row r="13420" hidden="1" ht="1" customHeight="1">
      <s:c r="A13420" s="120" t="inlineStr"/>
      <s:c r="B13420" s="121" t="n"/>
      <s:c r="C13420" s="121" t="n"/>
      <s:c r="D13420" s="121" t="n"/>
      <s:c r="E13420" s="122" t="n"/>
    </s:row>
    <s:row r="13421" hidden="1" ht="1" customHeight="1">
      <s:c r="A13421" s="120" t="inlineStr"/>
      <s:c r="B13421" s="121" t="n"/>
      <s:c r="C13421" s="121" t="n"/>
      <s:c r="D13421" s="121" t="n"/>
      <s:c r="E13421" s="122" t="n"/>
    </s:row>
    <s:row r="13422" hidden="1" ht="1" customHeight="1">
      <s:c r="A13422" s="120" t="inlineStr"/>
      <s:c r="B13422" s="121" t="n"/>
      <s:c r="C13422" s="121" t="n"/>
      <s:c r="D13422" s="121" t="n"/>
      <s:c r="E13422" s="122" t="n"/>
    </s:row>
    <s:row r="13423" hidden="1" ht="1" customHeight="1">
      <s:c r="A13423" s="120" t="inlineStr"/>
      <s:c r="B13423" s="121" t="n"/>
      <s:c r="C13423" s="121" t="n"/>
      <s:c r="D13423" s="121" t="n"/>
      <s:c r="E13423" s="122" t="n"/>
    </s:row>
    <s:row r="13424" hidden="1" ht="1" customHeight="1">
      <s:c r="A13424" s="120" t="inlineStr"/>
      <s:c r="B13424" s="121" t="n"/>
      <s:c r="C13424" s="121" t="n"/>
      <s:c r="D13424" s="121" t="n"/>
      <s:c r="E13424" s="122" t="n"/>
    </s:row>
    <s:row r="13425" hidden="1" ht="1" customHeight="1">
      <s:c r="A13425" s="120" t="inlineStr"/>
      <s:c r="B13425" s="121" t="n"/>
      <s:c r="C13425" s="121" t="n"/>
      <s:c r="D13425" s="121" t="n"/>
      <s:c r="E13425" s="122" t="n"/>
    </s:row>
    <s:row r="13426" hidden="1" ht="1" customHeight="1">
      <s:c r="A13426" s="120" t="inlineStr"/>
      <s:c r="B13426" s="121" t="n"/>
      <s:c r="C13426" s="121" t="n"/>
      <s:c r="D13426" s="121" t="n"/>
      <s:c r="E13426" s="122" t="n"/>
    </s:row>
    <s:row r="13427" hidden="1" ht="1" customHeight="1">
      <s:c r="A13427" s="120" t="inlineStr"/>
      <s:c r="B13427" s="121" t="n"/>
      <s:c r="C13427" s="121" t="n"/>
      <s:c r="D13427" s="121" t="n"/>
      <s:c r="E13427" s="122" t="n"/>
    </s:row>
    <s:row r="13428" hidden="1" ht="1" customHeight="1">
      <s:c r="A13428" s="120" t="inlineStr"/>
      <s:c r="B13428" s="121" t="n"/>
      <s:c r="C13428" s="121" t="n"/>
      <s:c r="D13428" s="121" t="n"/>
      <s:c r="E13428" s="122" t="n"/>
    </s:row>
    <s:row r="13429" hidden="1" ht="1" customHeight="1">
      <s:c r="A13429" s="120" t="inlineStr"/>
      <s:c r="B13429" s="121" t="n"/>
      <s:c r="C13429" s="121" t="n"/>
      <s:c r="D13429" s="121" t="n"/>
      <s:c r="E13429" s="122" t="n"/>
    </s:row>
    <s:row r="13430" hidden="1" ht="1" customHeight="1">
      <s:c r="A13430" s="120" t="inlineStr"/>
      <s:c r="B13430" s="121" t="n"/>
      <s:c r="C13430" s="121" t="n"/>
      <s:c r="D13430" s="121" t="n"/>
      <s:c r="E13430" s="122" t="n"/>
    </s:row>
    <s:row r="13431" hidden="1" ht="1" customHeight="1">
      <s:c r="A13431" s="120" t="inlineStr"/>
      <s:c r="B13431" s="121" t="n"/>
      <s:c r="C13431" s="121" t="n"/>
      <s:c r="D13431" s="121" t="n"/>
      <s:c r="E13431" s="122" t="n"/>
    </s:row>
    <s:row r="13432" hidden="1" ht="1" customHeight="1">
      <s:c r="A13432" s="120" t="inlineStr"/>
      <s:c r="B13432" s="121" t="n"/>
      <s:c r="C13432" s="121" t="n"/>
      <s:c r="D13432" s="121" t="n"/>
      <s:c r="E13432" s="122" t="n"/>
    </s:row>
    <s:row r="13433" hidden="1" ht="1" customHeight="1">
      <s:c r="A13433" s="120" t="inlineStr"/>
      <s:c r="B13433" s="121" t="n"/>
      <s:c r="C13433" s="121" t="n"/>
      <s:c r="D13433" s="121" t="n"/>
      <s:c r="E13433" s="122" t="n"/>
    </s:row>
    <s:row r="13434" hidden="1" ht="1" customHeight="1">
      <s:c r="A13434" s="120" t="inlineStr"/>
      <s:c r="B13434" s="121" t="n"/>
      <s:c r="C13434" s="121" t="n"/>
      <s:c r="D13434" s="121" t="n"/>
      <s:c r="E13434" s="122" t="n"/>
    </s:row>
    <s:row r="13435" hidden="1" ht="1" customHeight="1">
      <s:c r="A13435" s="120" t="inlineStr"/>
      <s:c r="B13435" s="121" t="n"/>
      <s:c r="C13435" s="121" t="n"/>
      <s:c r="D13435" s="121" t="n"/>
      <s:c r="E13435" s="122" t="n"/>
    </s:row>
    <s:row r="13436" hidden="1" ht="1" customHeight="1">
      <s:c r="A13436" s="120" t="inlineStr"/>
      <s:c r="B13436" s="121" t="n"/>
      <s:c r="C13436" s="121" t="n"/>
      <s:c r="D13436" s="121" t="n"/>
      <s:c r="E13436" s="122" t="n"/>
    </s:row>
    <s:row r="13437" hidden="1" ht="1" customHeight="1">
      <s:c r="A13437" s="120" t="inlineStr"/>
      <s:c r="B13437" s="121" t="n"/>
      <s:c r="C13437" s="121" t="n"/>
      <s:c r="D13437" s="121" t="n"/>
      <s:c r="E13437" s="122" t="n"/>
    </s:row>
    <s:row r="13438" hidden="1" ht="1" customHeight="1">
      <s:c r="A13438" s="120" t="inlineStr"/>
      <s:c r="B13438" s="121" t="n"/>
      <s:c r="C13438" s="121" t="n"/>
      <s:c r="D13438" s="121" t="n"/>
      <s:c r="E13438" s="122" t="n"/>
    </s:row>
    <s:row r="13439" hidden="1" ht="1" customHeight="1">
      <s:c r="A13439" s="120" t="inlineStr"/>
      <s:c r="B13439" s="121" t="n"/>
      <s:c r="C13439" s="121" t="n"/>
      <s:c r="D13439" s="121" t="n"/>
      <s:c r="E13439" s="122" t="n"/>
    </s:row>
    <s:row r="13440" hidden="1" ht="1" customHeight="1">
      <s:c r="A13440" s="120" t="inlineStr"/>
      <s:c r="B13440" s="121" t="n"/>
      <s:c r="C13440" s="121" t="n"/>
      <s:c r="D13440" s="121" t="n"/>
      <s:c r="E13440" s="122" t="n"/>
    </s:row>
    <s:row r="13441" hidden="1" ht="1" customHeight="1">
      <s:c r="A13441" s="120" t="inlineStr"/>
      <s:c r="B13441" s="121" t="n"/>
      <s:c r="C13441" s="121" t="n"/>
      <s:c r="D13441" s="121" t="n"/>
      <s:c r="E13441" s="122" t="n"/>
    </s:row>
    <s:row r="13442" hidden="1" ht="1" customHeight="1">
      <s:c r="A13442" s="120" t="inlineStr"/>
      <s:c r="B13442" s="121" t="n"/>
      <s:c r="C13442" s="121" t="n"/>
      <s:c r="D13442" s="121" t="n"/>
      <s:c r="E13442" s="122" t="n"/>
    </s:row>
    <s:row r="13443" hidden="1" ht="1" customHeight="1">
      <s:c r="A13443" s="120" t="inlineStr"/>
      <s:c r="B13443" s="121" t="n"/>
      <s:c r="C13443" s="121" t="n"/>
      <s:c r="D13443" s="121" t="n"/>
      <s:c r="E13443" s="122" t="n"/>
    </s:row>
    <s:row r="13444" hidden="1" ht="1" customHeight="1">
      <s:c r="A13444" s="120" t="inlineStr"/>
      <s:c r="B13444" s="121" t="n"/>
      <s:c r="C13444" s="121" t="n"/>
      <s:c r="D13444" s="121" t="n"/>
      <s:c r="E13444" s="122" t="n"/>
    </s:row>
    <s:row r="13445" hidden="1" ht="1" customHeight="1">
      <s:c r="A13445" s="120" t="inlineStr"/>
      <s:c r="B13445" s="121" t="n"/>
      <s:c r="C13445" s="121" t="n"/>
      <s:c r="D13445" s="121" t="n"/>
      <s:c r="E13445" s="122" t="n"/>
    </s:row>
    <s:row r="13446" hidden="1" ht="1" customHeight="1">
      <s:c r="A13446" s="120" t="inlineStr"/>
      <s:c r="B13446" s="121" t="n"/>
      <s:c r="C13446" s="121" t="n"/>
      <s:c r="D13446" s="121" t="n"/>
      <s:c r="E13446" s="122" t="n"/>
    </s:row>
    <s:row r="13447" hidden="1" ht="1" customHeight="1">
      <s:c r="A13447" s="120" t="inlineStr"/>
      <s:c r="B13447" s="121" t="n"/>
      <s:c r="C13447" s="121" t="n"/>
      <s:c r="D13447" s="121" t="n"/>
      <s:c r="E13447" s="122" t="n"/>
    </s:row>
    <s:row r="13448" hidden="1" ht="1" customHeight="1">
      <s:c r="A13448" s="120" t="inlineStr"/>
      <s:c r="B13448" s="121" t="n"/>
      <s:c r="C13448" s="121" t="n"/>
      <s:c r="D13448" s="121" t="n"/>
      <s:c r="E13448" s="122" t="n"/>
    </s:row>
    <s:row r="13449" hidden="1" ht="1" customHeight="1">
      <s:c r="A13449" s="120" t="inlineStr"/>
      <s:c r="B13449" s="121" t="n"/>
      <s:c r="C13449" s="121" t="n"/>
      <s:c r="D13449" s="121" t="n"/>
      <s:c r="E13449" s="122" t="n"/>
    </s:row>
    <s:row r="13450" hidden="1" ht="1" customHeight="1">
      <s:c r="A13450" s="120" t="inlineStr"/>
      <s:c r="B13450" s="121" t="n"/>
      <s:c r="C13450" s="121" t="n"/>
      <s:c r="D13450" s="121" t="n"/>
      <s:c r="E13450" s="122" t="n"/>
    </s:row>
    <s:row r="13451" hidden="1" ht="1" customHeight="1">
      <s:c r="A13451" s="120" t="inlineStr"/>
      <s:c r="B13451" s="121" t="n"/>
      <s:c r="C13451" s="121" t="n"/>
      <s:c r="D13451" s="121" t="n"/>
      <s:c r="E13451" s="122" t="n"/>
    </s:row>
    <s:row r="13452" hidden="1" ht="1" customHeight="1">
      <s:c r="A13452" s="120" t="inlineStr"/>
      <s:c r="B13452" s="121" t="n"/>
      <s:c r="C13452" s="121" t="n"/>
      <s:c r="D13452" s="121" t="n"/>
      <s:c r="E13452" s="122" t="n"/>
    </s:row>
    <s:row r="13453" hidden="1" ht="1" customHeight="1">
      <s:c r="A13453" s="120" t="inlineStr"/>
      <s:c r="B13453" s="121" t="n"/>
      <s:c r="C13453" s="121" t="n"/>
      <s:c r="D13453" s="121" t="n"/>
      <s:c r="E13453" s="122" t="n"/>
    </s:row>
    <s:row r="13454" hidden="1" ht="1" customHeight="1">
      <s:c r="A13454" s="120" t="inlineStr"/>
      <s:c r="B13454" s="121" t="n"/>
      <s:c r="C13454" s="121" t="n"/>
      <s:c r="D13454" s="121" t="n"/>
      <s:c r="E13454" s="122" t="n"/>
    </s:row>
    <s:row r="13455" hidden="1" ht="1" customHeight="1">
      <s:c r="A13455" s="120" t="inlineStr"/>
      <s:c r="B13455" s="121" t="n"/>
      <s:c r="C13455" s="121" t="n"/>
      <s:c r="D13455" s="121" t="n"/>
      <s:c r="E13455" s="122" t="n"/>
    </s:row>
    <s:row r="13456" hidden="1" ht="1" customHeight="1">
      <s:c r="A13456" s="120" t="inlineStr"/>
      <s:c r="B13456" s="121" t="n"/>
      <s:c r="C13456" s="121" t="n"/>
      <s:c r="D13456" s="121" t="n"/>
      <s:c r="E13456" s="122" t="n"/>
    </s:row>
    <s:row r="13457" hidden="1" ht="1" customHeight="1">
      <s:c r="A13457" s="120" t="inlineStr"/>
      <s:c r="B13457" s="121" t="n"/>
      <s:c r="C13457" s="121" t="n"/>
      <s:c r="D13457" s="121" t="n"/>
      <s:c r="E13457" s="122" t="n"/>
    </s:row>
    <s:row r="13458" hidden="1" ht="1" customHeight="1">
      <s:c r="A13458" s="120" t="inlineStr"/>
      <s:c r="B13458" s="121" t="n"/>
      <s:c r="C13458" s="121" t="n"/>
      <s:c r="D13458" s="121" t="n"/>
      <s:c r="E13458" s="122" t="n"/>
    </s:row>
    <s:row r="13459" hidden="1" ht="1" customHeight="1">
      <s:c r="A13459" s="120" t="inlineStr"/>
      <s:c r="B13459" s="121" t="n"/>
      <s:c r="C13459" s="121" t="n"/>
      <s:c r="D13459" s="121" t="n"/>
      <s:c r="E13459" s="122" t="n"/>
    </s:row>
    <s:row r="13460" hidden="1" ht="1" customHeight="1">
      <s:c r="A13460" s="120" t="inlineStr"/>
      <s:c r="B13460" s="121" t="n"/>
      <s:c r="C13460" s="121" t="n"/>
      <s:c r="D13460" s="121" t="n"/>
      <s:c r="E13460" s="122" t="n"/>
    </s:row>
    <s:row r="13461" hidden="1" ht="1" customHeight="1">
      <s:c r="A13461" s="120" t="inlineStr"/>
      <s:c r="B13461" s="121" t="n"/>
      <s:c r="C13461" s="121" t="n"/>
      <s:c r="D13461" s="121" t="n"/>
      <s:c r="E13461" s="122" t="n"/>
    </s:row>
    <s:row r="13462" hidden="1" ht="1" customHeight="1">
      <s:c r="A13462" s="120" t="inlineStr"/>
      <s:c r="B13462" s="121" t="n"/>
      <s:c r="C13462" s="121" t="n"/>
      <s:c r="D13462" s="121" t="n"/>
      <s:c r="E13462" s="122" t="n"/>
    </s:row>
    <s:row r="13463" hidden="1" ht="1" customHeight="1">
      <s:c r="A13463" s="120" t="inlineStr"/>
      <s:c r="B13463" s="121" t="n"/>
      <s:c r="C13463" s="121" t="n"/>
      <s:c r="D13463" s="121" t="n"/>
      <s:c r="E13463" s="122" t="n"/>
    </s:row>
    <s:row r="13464" hidden="1" ht="1" customHeight="1">
      <s:c r="A13464" s="120" t="inlineStr"/>
      <s:c r="B13464" s="121" t="n"/>
      <s:c r="C13464" s="121" t="n"/>
      <s:c r="D13464" s="121" t="n"/>
      <s:c r="E13464" s="122" t="n"/>
    </s:row>
    <s:row r="13465" hidden="1" ht="1" customHeight="1">
      <s:c r="A13465" s="120" t="inlineStr"/>
      <s:c r="B13465" s="121" t="n"/>
      <s:c r="C13465" s="121" t="n"/>
      <s:c r="D13465" s="121" t="n"/>
      <s:c r="E13465" s="122" t="n"/>
    </s:row>
    <s:row r="13466" hidden="1" ht="1" customHeight="1">
      <s:c r="A13466" s="120" t="inlineStr"/>
      <s:c r="B13466" s="121" t="n"/>
      <s:c r="C13466" s="121" t="n"/>
      <s:c r="D13466" s="121" t="n"/>
      <s:c r="E13466" s="122" t="n"/>
    </s:row>
    <s:row r="13467" hidden="1" ht="1" customHeight="1">
      <s:c r="A13467" s="120" t="inlineStr"/>
      <s:c r="B13467" s="121" t="n"/>
      <s:c r="C13467" s="121" t="n"/>
      <s:c r="D13467" s="121" t="n"/>
      <s:c r="E13467" s="122" t="n"/>
    </s:row>
    <s:row r="13468" hidden="1" ht="1" customHeight="1">
      <s:c r="A13468" s="120" t="inlineStr"/>
      <s:c r="B13468" s="121" t="n"/>
      <s:c r="C13468" s="121" t="n"/>
      <s:c r="D13468" s="121" t="n"/>
      <s:c r="E13468" s="122" t="n"/>
    </s:row>
    <s:row r="13469" hidden="1" ht="1" customHeight="1">
      <s:c r="A13469" s="120" t="inlineStr"/>
      <s:c r="B13469" s="121" t="n"/>
      <s:c r="C13469" s="121" t="n"/>
      <s:c r="D13469" s="121" t="n"/>
      <s:c r="E13469" s="122" t="n"/>
    </s:row>
    <s:row r="13470" hidden="1" ht="1" customHeight="1">
      <s:c r="A13470" s="120" t="inlineStr"/>
      <s:c r="B13470" s="121" t="n"/>
      <s:c r="C13470" s="121" t="n"/>
      <s:c r="D13470" s="121" t="n"/>
      <s:c r="E13470" s="122" t="n"/>
    </s:row>
    <s:row r="13471" hidden="1" ht="1" customHeight="1">
      <s:c r="A13471" s="120" t="inlineStr"/>
      <s:c r="B13471" s="121" t="n"/>
      <s:c r="C13471" s="121" t="n"/>
      <s:c r="D13471" s="121" t="n"/>
      <s:c r="E13471" s="122" t="n"/>
    </s:row>
    <s:row r="13472" hidden="1" ht="1" customHeight="1">
      <s:c r="A13472" s="120" t="inlineStr"/>
      <s:c r="B13472" s="121" t="n"/>
      <s:c r="C13472" s="121" t="n"/>
      <s:c r="D13472" s="121" t="n"/>
      <s:c r="E13472" s="122" t="n"/>
    </s:row>
    <s:row r="13473" hidden="1" ht="1" customHeight="1">
      <s:c r="A13473" s="120" t="inlineStr"/>
      <s:c r="B13473" s="121" t="n"/>
      <s:c r="C13473" s="121" t="n"/>
      <s:c r="D13473" s="121" t="n"/>
      <s:c r="E13473" s="122" t="n"/>
    </s:row>
    <s:row r="13474" hidden="1" ht="1" customHeight="1">
      <s:c r="A13474" s="120" t="inlineStr"/>
      <s:c r="B13474" s="121" t="n"/>
      <s:c r="C13474" s="121" t="n"/>
      <s:c r="D13474" s="121" t="n"/>
      <s:c r="E13474" s="122" t="n"/>
    </s:row>
    <s:row r="13475" hidden="1" ht="1" customHeight="1">
      <s:c r="A13475" s="120" t="inlineStr"/>
      <s:c r="B13475" s="121" t="n"/>
      <s:c r="C13475" s="121" t="n"/>
      <s:c r="D13475" s="121" t="n"/>
      <s:c r="E13475" s="122" t="n"/>
    </s:row>
    <s:row r="13476" hidden="1" ht="1" customHeight="1">
      <s:c r="A13476" s="120" t="inlineStr"/>
      <s:c r="B13476" s="121" t="n"/>
      <s:c r="C13476" s="121" t="n"/>
      <s:c r="D13476" s="121" t="n"/>
      <s:c r="E13476" s="122" t="n"/>
    </s:row>
    <s:row r="13477" hidden="1" ht="1" customHeight="1">
      <s:c r="A13477" s="120" t="inlineStr"/>
      <s:c r="B13477" s="121" t="n"/>
      <s:c r="C13477" s="121" t="n"/>
      <s:c r="D13477" s="121" t="n"/>
      <s:c r="E13477" s="122" t="n"/>
    </s:row>
    <s:row r="13478" hidden="1" ht="1" customHeight="1">
      <s:c r="A13478" s="120" t="inlineStr"/>
      <s:c r="B13478" s="121" t="n"/>
      <s:c r="C13478" s="121" t="n"/>
      <s:c r="D13478" s="121" t="n"/>
      <s:c r="E13478" s="122" t="n"/>
    </s:row>
    <s:row r="13479" hidden="1" ht="1" customHeight="1">
      <s:c r="A13479" s="120" t="inlineStr"/>
      <s:c r="B13479" s="121" t="n"/>
      <s:c r="C13479" s="121" t="n"/>
      <s:c r="D13479" s="121" t="n"/>
      <s:c r="E13479" s="122" t="n"/>
    </s:row>
    <s:row r="13480" hidden="1" ht="1" customHeight="1">
      <s:c r="A13480" s="120" t="inlineStr"/>
      <s:c r="B13480" s="121" t="n"/>
      <s:c r="C13480" s="121" t="n"/>
      <s:c r="D13480" s="121" t="n"/>
      <s:c r="E13480" s="122" t="n"/>
    </s:row>
    <s:row r="13481" hidden="1" ht="1" customHeight="1">
      <s:c r="A13481" s="120" t="inlineStr"/>
      <s:c r="B13481" s="121" t="n"/>
      <s:c r="C13481" s="121" t="n"/>
      <s:c r="D13481" s="121" t="n"/>
      <s:c r="E13481" s="122" t="n"/>
    </s:row>
    <s:row r="13482" hidden="1" ht="1" customHeight="1">
      <s:c r="A13482" s="120" t="inlineStr"/>
      <s:c r="B13482" s="121" t="n"/>
      <s:c r="C13482" s="121" t="n"/>
      <s:c r="D13482" s="121" t="n"/>
      <s:c r="E13482" s="122" t="n"/>
    </s:row>
    <s:row r="13483" hidden="1" ht="1" customHeight="1">
      <s:c r="A13483" s="120" t="inlineStr"/>
      <s:c r="B13483" s="121" t="n"/>
      <s:c r="C13483" s="121" t="n"/>
      <s:c r="D13483" s="121" t="n"/>
      <s:c r="E13483" s="122" t="n"/>
    </s:row>
    <s:row r="13484" hidden="1" ht="1" customHeight="1">
      <s:c r="A13484" s="120" t="inlineStr"/>
      <s:c r="B13484" s="121" t="n"/>
      <s:c r="C13484" s="121" t="n"/>
      <s:c r="D13484" s="121" t="n"/>
      <s:c r="E13484" s="122" t="n"/>
    </s:row>
    <s:row r="13485" hidden="1" ht="1" customHeight="1">
      <s:c r="A13485" s="120" t="inlineStr"/>
      <s:c r="B13485" s="121" t="n"/>
      <s:c r="C13485" s="121" t="n"/>
      <s:c r="D13485" s="121" t="n"/>
      <s:c r="E13485" s="122" t="n"/>
    </s:row>
    <s:row r="13486" hidden="1" ht="1" customHeight="1">
      <s:c r="A13486" s="120" t="inlineStr"/>
      <s:c r="B13486" s="121" t="n"/>
      <s:c r="C13486" s="121" t="n"/>
      <s:c r="D13486" s="121" t="n"/>
      <s:c r="E13486" s="122" t="n"/>
    </s:row>
    <s:row r="13487" hidden="1" ht="1" customHeight="1">
      <s:c r="A13487" s="120" t="inlineStr"/>
      <s:c r="B13487" s="121" t="n"/>
      <s:c r="C13487" s="121" t="n"/>
      <s:c r="D13487" s="121" t="n"/>
      <s:c r="E13487" s="122" t="n"/>
    </s:row>
    <s:row r="13488" hidden="1" ht="1" customHeight="1">
      <s:c r="A13488" s="120" t="inlineStr"/>
      <s:c r="B13488" s="121" t="n"/>
      <s:c r="C13488" s="121" t="n"/>
      <s:c r="D13488" s="121" t="n"/>
      <s:c r="E13488" s="122" t="n"/>
    </s:row>
    <s:row r="13489" hidden="1" ht="1" customHeight="1">
      <s:c r="A13489" s="83" t="inlineStr">
        <s:is>
          <s:t>PASS</s:t>
        </s:is>
      </s:c>
      <s:c r="B13489" s="83">
        <s:f>SUM(IF(EXACT('Kiểm thử'!E13389,"Đạt"),1,0),IF(EXACT('Kiểm thử'!E13391,"Đạt"),1,0))</s:f>
        <s:v/>
      </s:c>
      <s:c r="C13489" s="19" t="n"/>
      <s:c r="D13489" s="19" t="n"/>
      <s:c r="E13489" s="19" t="n"/>
    </s:row>
    <s:row r="13490" hidden="1" ht="1" customHeight="1">
      <s:c r="A13490" s="83" t="inlineStr">
        <s:is>
          <s:t>FAIL</s:t>
        </s:is>
      </s:c>
      <s:c r="B13490" s="83">
        <s:f>SUM(IF(EXACT('Kiểm thử'!E13389,"Không đạt"),1,0),IF(EXACT('Kiểm thử'!E13391,"Không đạt"),1,0))</s:f>
        <s:v/>
      </s:c>
      <s:c r="C13490" s="19" t="n"/>
      <s:c r="D13490" s="19" t="n"/>
      <s:c r="E13490" s="19" t="n"/>
    </s:row>
    <s:row r="13491" hidden="1" ht="1" customHeight="1">
      <s:c r="A13491" s="83" t="inlineStr">
        <s:is>
          <s:t>BLOCKED</s:t>
        </s:is>
      </s:c>
      <s:c r="B13491" s="83">
        <s:f>SUM(IF(EXACT('Kiểm thử'!E13389,"Bị chặn"),1,0),IF(EXACT('Kiểm thử'!E13391,"Bị chặn"),1,0))</s:f>
        <s:v/>
      </s:c>
      <s:c r="C13491" s="19" t="n"/>
      <s:c r="D13491" s="19" t="n"/>
      <s:c r="E13491" s="19" t="n"/>
    </s:row>
    <s:row r="13492" hidden="1" ht="1" customHeight="1">
      <s:c r="A13492" s="83" t="inlineStr">
        <s:is>
          <s:t>SKIPPED</s:t>
        </s:is>
      </s:c>
      <s:c r="B13492" s="83">
        <s:f>SUM(IF(EXACT('Kiểm thử'!E13389,"Không thực hiện"),1,0),IF(EXACT('Kiểm thử'!E13391,"Không thực hiện"),1,0))</s:f>
        <s:v/>
      </s:c>
      <s:c r="C13492" s="19" t="n"/>
      <s:c r="D13492" s="19" t="n"/>
      <s:c r="E13492" s="19" t="n"/>
    </s:row>
    <s:row r="13493" hidden="1" ht="1" customHeight="1">
      <s:c r="A13493" s="83" t="inlineStr">
        <s:is>
          <s:t>NOT RUN</s:t>
        </s:is>
      </s:c>
      <s:c r="B13493" s="83">
        <s:f>SUM(IF(EXACT('Kiểm thử'!E13389,"Chưa thực hiện"),1,0),IF(EXACT('Kiểm thử'!E13391,"Chưa thực hiện"),1,0))</s:f>
        <s:v/>
      </s:c>
      <s:c r="C13493" s="19" t="n"/>
      <s:c r="D13493" s="19" t="n"/>
      <s:c r="E13493" s="19" t="n"/>
    </s:row>
    <s:row r="13494" hidden="1" ht="6" customHeight="1">
      <s:c r="A13494" s="83" t="inlineStr"/>
      <s:c r="B13494" s="19" t="n"/>
      <s:c r="C13494" s="19" t="n"/>
      <s:c r="D13494" s="19" t="n"/>
      <s:c r="E13494" s="19" t="n"/>
    </s:row>
    <s:row r="13495" ht="28" customHeight="1">
      <s:c r="A13495" s="108" t="inlineStr">
        <s:is>
          <s:t>TC-RS-FUNC-016 — Đăng ký/sửa điểm trực tiếp ở màn lớp kích hoạt xét</s:t>
        </s:is>
      </s:c>
      <s:c r="B13495" s="111" t="n"/>
      <s:c r="C13495" s="111" t="n"/>
      <s:c r="D13495" s="111" t="n"/>
      <s:c r="E13495" s="111" t="n"/>
    </s:row>
    <s:row r="13496" ht="20" customHeight="1">
      <s:c r="A13496" s="112" t="inlineStr">
        <s:is>
          <s:t>Kết quả tình huống</s:t>
        </s:is>
      </s:c>
      <s:c r="B13496" s="113">
        <s:f>IF(SUM(IF(EXACT('Kiểm thử'!E13504,"Không đạt"),1,0))&gt;0,"Không đạt",IF(SUM(IF(EXACT('Kiểm thử'!E13504,"Đạt"),1,0))=1,"Đạt",IF(SUM(IF(EXACT('Kiểm thử'!E13504,"Không thực hiện"),1,0))=1,"Không thực hiện",IF(SUM(IF(EXACT('Kiểm thử'!E13504,"Bị chặn"),1,0))&gt;0,"Bị chặn",IF(SUM(IF(EXACT('Kiểm thử'!E13504,"Chưa thực hiện"),1,0))=1,"Chưa thực hiện","Đang thực hiện")))))</s:f>
        <s:v/>
      </s:c>
      <s:c r="C13496" s="114" t="n"/>
      <s:c r="D13496" s="114" t="n"/>
      <s:c r="E13496" s="114" t="n"/>
    </s:row>
    <s:row r="13497" ht="20" customHeight="1">
      <s:c r="A13497" s="112" t="inlineStr">
        <s:is>
          <s:t>Màn hình / chức năng</s:t>
        </s:is>
      </s:c>
      <s:c r="B13497" s="113" t="inlineStr">
        <s:is>
          <s:t>Vòng đời kết quả</s:t>
        </s:is>
      </s:c>
      <s:c r="C13497" s="28" t="n"/>
      <s:c r="D13497" s="28" t="n"/>
      <s:c r="E13497" s="28" t="n"/>
    </s:row>
    <s:row r="13498" ht="34" customHeight="1">
      <s:c r="A13498" s="112" t="inlineStr">
        <s:is>
          <s:t>Cấu hình</s:t>
        </s:is>
      </s:c>
      <s:c r="B13498" s="113" t="inlineStr">
        <s:is>
          <s:r>
            <s:t>• Mục số nguyên (</s:t>
          </s:r>
          <s:r>
            <s:rPr>
              <s:b val="1"/>
            </s:rPr>
            <s:t>M=100</s:t>
          </s:r>
          <s:r>
            <s:t>) có quy tắc “Cố định 30” (dưới 30);
• Mục số nguyên (</s:t>
          </s:r>
          <s:r>
            <s:rPr>
              <s:b val="1"/>
            </s:rPr>
            <s:t>M=100</s:t>
          </s:r>
          <s:r>
            <s:t>) không có quy tắc tính tự động.</s:t>
          </s:r>
        </s:is>
      </s:c>
      <s:c r="C13498" s="28" t="n"/>
      <s:c r="D13498" s="28" t="n"/>
      <s:c r="E13498" s="28" t="n"/>
    </s:row>
    <s:row r="13499" ht="34" customHeight="1">
      <s:c r="A13499" s="112" t="inlineStr">
        <s:is>
          <s:t>Dữ liệu test</s:t>
        </s:is>
      </s:c>
      <s:c r="B13499" s="113" t="inlineStr">
        <s:is>
          <s:r>
            <s:t>• Mục số nguyên (</s:t>
          </s:r>
          <s:r>
            <s:rPr>
              <s:b val="1"/>
            </s:rPr>
            <s:t>M=100</s:t>
          </s:r>
          <s:r>
            <s:t>);
• Quy tắc “Cố định 30” (dưới 30), học sinh S01 (điểm 29), học sinh S03 (điểm 31)</s:t>
          </s:r>
        </s:is>
      </s:c>
      <s:c r="C13499" s="28" t="n"/>
      <s:c r="D13499" s="28" t="n"/>
      <s:c r="E13499" s="28" t="n"/>
    </s:row>
    <s:row r="13500" ht="20" customHeight="1">
      <s:c r="A13500" s="112" t="inlineStr">
        <s:is>
          <s:t>Bước 1</s:t>
        </s:is>
      </s:c>
      <s:c r="B13500" s="113" t="inlineStr">
        <s:is>
          <s:t>Ở màn đăng ký điểm của lớp G-A, nhập S01=29, S03=31, lưu.</s:t>
        </s:is>
      </s:c>
      <s:c r="C13500" s="28" t="n"/>
      <s:c r="D13500" s="28" t="n"/>
      <s:c r="E13500" s="28" t="n"/>
    </s:row>
    <s:row r="13501" ht="20" customHeight="1">
      <s:c r="A13501" s="112" t="inlineStr">
        <s:is>
          <s:t>Bước 2</s:t>
        </s:is>
      </s:c>
      <s:c r="B13501" s="113" t="inlineStr">
        <s:is>
          <s:t>Xem trích xuất.</s:t>
        </s:is>
      </s:c>
      <s:c r="C13501" s="28" t="n"/>
      <s:c r="D13501" s="28" t="n"/>
      <s:c r="E13501" s="28" t="n"/>
    </s:row>
    <s:row r="13502" ht="28" customHeight="1">
      <s:c r="A13502" s="115" t="inlineStr">
        <s:is>
          <s:t>Trường hợp</s:t>
        </s:is>
      </s:c>
      <s:c r="B13502" s="115" t="inlineStr">
        <s:is>
          <s:t>Dữ liệu / thao tác riêng</s:t>
        </s:is>
      </s:c>
      <s:c r="C13502" s="115" t="inlineStr">
        <s:is>
          <s:t>Kết quả mong đợi</s:t>
        </s:is>
      </s:c>
      <s:c r="D13502" s="115" t="inlineStr">
        <s:is>
          <s:t>Kết quả thực tế</s:t>
        </s:is>
      </s:c>
      <s:c r="E13502" s="115" t="inlineStr">
        <s:is>
          <s:t>Đánh giá</s:t>
        </s:is>
      </s:c>
    </s:row>
    <s:row r="13503" ht="3" customHeight="1">
      <s:c r="A13503" s="102" t="inlineStr"/>
      <s:c r="B13503" s="99" t="n"/>
      <s:c r="C13503" s="99" t="n"/>
      <s:c r="D13503" s="116" t="n"/>
      <s:c r="E13503" s="116" t="n"/>
    </s:row>
    <s:row r="13504" ht="90" customHeight="1">
      <s:c r="A13504" s="83" t="inlineStr">
        <s:is>
          <s:t>Trường hợp cơ bản (Base)</s:t>
        </s:is>
      </s:c>
      <s:c r="B13504" s="83" t="inlineStr">
        <s:is>
          <s:t>Toàn bộ tình huống: Thực hiện đủ các bước chung theo thứ tự; kiểm cả đối tượng đích và đối chứng cùng fixture, không bỏ bước.</s:t>
        </s:is>
      </s:c>
      <s:c r="C13504" s="83" t="inlineStr">
        <s:is>
          <s:r>
            <s:t xml:space="preserve">Sau khi lưu thành công: S01 </s:t>
          </s:r>
          <s:r>
            <s:rPr>
              <s:b val="1"/>
            </s:rPr>
            <s:t>Đỏ</s:t>
          </s:r>
          <s:r>
            <s:t xml:space="preserve">, S03 </s:t>
          </s:r>
          <s:r>
            <s:rPr>
              <s:b val="1"/>
            </s:rPr>
            <s:t>Không đỏ</s:t>
          </s:r>
          <s:r>
            <s:t>. Đây là đường đăng ký trực tiếp với quy tắc cố định, nên không yêu cầu nguồn trung bình hoặc nút cam; không suy rộng kết luận này cho case dùng trung bình/tỷ lệ nhóm.</s:t>
          </s:r>
        </s:is>
      </s:c>
      <s:c r="D13504" s="117" t="inlineStr"/>
      <s:c r="E13504" s="118" t="inlineStr">
        <s:is>
          <s:t>Chưa thực hiện</s:t>
        </s:is>
      </s:c>
    </s:row>
    <s:row r="13505" ht="20" customHeight="1">
      <s:c r="A13505" s="119" t="inlineStr">
        <s:is>
          <s:t>Ảnh minh chứng — Chưa có ảnh</s:t>
        </s:is>
      </s:c>
      <s:c r="B13505" s="19" t="n"/>
      <s:c r="C13505" s="19" t="n"/>
      <s:c r="D13505" s="19" t="n"/>
      <s:c r="E13505" s="19" t="n"/>
    </s:row>
    <s:row r="13506" hidden="1" ht="1" customHeight="1">
      <s:c r="A13506" s="120" t="inlineStr"/>
      <s:c r="B13506" s="121" t="n"/>
      <s:c r="C13506" s="121" t="n"/>
      <s:c r="D13506" s="121" t="n"/>
      <s:c r="E13506" s="122" t="n"/>
    </s:row>
    <s:row r="13507" hidden="1" ht="1" customHeight="1">
      <s:c r="A13507" s="120" t="inlineStr"/>
      <s:c r="B13507" s="121" t="n"/>
      <s:c r="C13507" s="121" t="n"/>
      <s:c r="D13507" s="121" t="n"/>
      <s:c r="E13507" s="122" t="n"/>
    </s:row>
    <s:row r="13508" hidden="1" ht="1" customHeight="1">
      <s:c r="A13508" s="120" t="inlineStr"/>
      <s:c r="B13508" s="121" t="n"/>
      <s:c r="C13508" s="121" t="n"/>
      <s:c r="D13508" s="121" t="n"/>
      <s:c r="E13508" s="122" t="n"/>
    </s:row>
    <s:row r="13509" hidden="1" ht="1" customHeight="1">
      <s:c r="A13509" s="120" t="inlineStr"/>
      <s:c r="B13509" s="121" t="n"/>
      <s:c r="C13509" s="121" t="n"/>
      <s:c r="D13509" s="121" t="n"/>
      <s:c r="E13509" s="122" t="n"/>
    </s:row>
    <s:row r="13510" hidden="1" ht="1" customHeight="1">
      <s:c r="A13510" s="120" t="inlineStr"/>
      <s:c r="B13510" s="121" t="n"/>
      <s:c r="C13510" s="121" t="n"/>
      <s:c r="D13510" s="121" t="n"/>
      <s:c r="E13510" s="122" t="n"/>
    </s:row>
    <s:row r="13511" hidden="1" ht="1" customHeight="1">
      <s:c r="A13511" s="120" t="inlineStr"/>
      <s:c r="B13511" s="121" t="n"/>
      <s:c r="C13511" s="121" t="n"/>
      <s:c r="D13511" s="121" t="n"/>
      <s:c r="E13511" s="122" t="n"/>
    </s:row>
    <s:row r="13512" hidden="1" ht="1" customHeight="1">
      <s:c r="A13512" s="120" t="inlineStr"/>
      <s:c r="B13512" s="121" t="n"/>
      <s:c r="C13512" s="121" t="n"/>
      <s:c r="D13512" s="121" t="n"/>
      <s:c r="E13512" s="122" t="n"/>
    </s:row>
    <s:row r="13513" hidden="1" ht="1" customHeight="1">
      <s:c r="A13513" s="120" t="inlineStr"/>
      <s:c r="B13513" s="121" t="n"/>
      <s:c r="C13513" s="121" t="n"/>
      <s:c r="D13513" s="121" t="n"/>
      <s:c r="E13513" s="122" t="n"/>
    </s:row>
    <s:row r="13514" hidden="1" ht="1" customHeight="1">
      <s:c r="A13514" s="120" t="inlineStr"/>
      <s:c r="B13514" s="121" t="n"/>
      <s:c r="C13514" s="121" t="n"/>
      <s:c r="D13514" s="121" t="n"/>
      <s:c r="E13514" s="122" t="n"/>
    </s:row>
    <s:row r="13515" hidden="1" ht="1" customHeight="1">
      <s:c r="A13515" s="120" t="inlineStr"/>
      <s:c r="B13515" s="121" t="n"/>
      <s:c r="C13515" s="121" t="n"/>
      <s:c r="D13515" s="121" t="n"/>
      <s:c r="E13515" s="122" t="n"/>
    </s:row>
    <s:row r="13516" hidden="1" ht="1" customHeight="1">
      <s:c r="A13516" s="120" t="inlineStr"/>
      <s:c r="B13516" s="121" t="n"/>
      <s:c r="C13516" s="121" t="n"/>
      <s:c r="D13516" s="121" t="n"/>
      <s:c r="E13516" s="122" t="n"/>
    </s:row>
    <s:row r="13517" hidden="1" ht="1" customHeight="1">
      <s:c r="A13517" s="120" t="inlineStr"/>
      <s:c r="B13517" s="121" t="n"/>
      <s:c r="C13517" s="121" t="n"/>
      <s:c r="D13517" s="121" t="n"/>
      <s:c r="E13517" s="122" t="n"/>
    </s:row>
    <s:row r="13518" hidden="1" ht="1" customHeight="1">
      <s:c r="A13518" s="120" t="inlineStr"/>
      <s:c r="B13518" s="121" t="n"/>
      <s:c r="C13518" s="121" t="n"/>
      <s:c r="D13518" s="121" t="n"/>
      <s:c r="E13518" s="122" t="n"/>
    </s:row>
    <s:row r="13519" hidden="1" ht="1" customHeight="1">
      <s:c r="A13519" s="120" t="inlineStr"/>
      <s:c r="B13519" s="121" t="n"/>
      <s:c r="C13519" s="121" t="n"/>
      <s:c r="D13519" s="121" t="n"/>
      <s:c r="E13519" s="122" t="n"/>
    </s:row>
    <s:row r="13520" hidden="1" ht="1" customHeight="1">
      <s:c r="A13520" s="120" t="inlineStr"/>
      <s:c r="B13520" s="121" t="n"/>
      <s:c r="C13520" s="121" t="n"/>
      <s:c r="D13520" s="121" t="n"/>
      <s:c r="E13520" s="122" t="n"/>
    </s:row>
    <s:row r="13521" hidden="1" ht="1" customHeight="1">
      <s:c r="A13521" s="120" t="inlineStr"/>
      <s:c r="B13521" s="121" t="n"/>
      <s:c r="C13521" s="121" t="n"/>
      <s:c r="D13521" s="121" t="n"/>
      <s:c r="E13521" s="122" t="n"/>
    </s:row>
    <s:row r="13522" hidden="1" ht="1" customHeight="1">
      <s:c r="A13522" s="120" t="inlineStr"/>
      <s:c r="B13522" s="121" t="n"/>
      <s:c r="C13522" s="121" t="n"/>
      <s:c r="D13522" s="121" t="n"/>
      <s:c r="E13522" s="122" t="n"/>
    </s:row>
    <s:row r="13523" hidden="1" ht="1" customHeight="1">
      <s:c r="A13523" s="120" t="inlineStr"/>
      <s:c r="B13523" s="121" t="n"/>
      <s:c r="C13523" s="121" t="n"/>
      <s:c r="D13523" s="121" t="n"/>
      <s:c r="E13523" s="122" t="n"/>
    </s:row>
    <s:row r="13524" hidden="1" ht="1" customHeight="1">
      <s:c r="A13524" s="120" t="inlineStr"/>
      <s:c r="B13524" s="121" t="n"/>
      <s:c r="C13524" s="121" t="n"/>
      <s:c r="D13524" s="121" t="n"/>
      <s:c r="E13524" s="122" t="n"/>
    </s:row>
    <s:row r="13525" hidden="1" ht="1" customHeight="1">
      <s:c r="A13525" s="120" t="inlineStr"/>
      <s:c r="B13525" s="121" t="n"/>
      <s:c r="C13525" s="121" t="n"/>
      <s:c r="D13525" s="121" t="n"/>
      <s:c r="E13525" s="122" t="n"/>
    </s:row>
    <s:row r="13526" hidden="1" ht="1" customHeight="1">
      <s:c r="A13526" s="120" t="inlineStr"/>
      <s:c r="B13526" s="121" t="n"/>
      <s:c r="C13526" s="121" t="n"/>
      <s:c r="D13526" s="121" t="n"/>
      <s:c r="E13526" s="122" t="n"/>
    </s:row>
    <s:row r="13527" hidden="1" ht="1" customHeight="1">
      <s:c r="A13527" s="120" t="inlineStr"/>
      <s:c r="B13527" s="121" t="n"/>
      <s:c r="C13527" s="121" t="n"/>
      <s:c r="D13527" s="121" t="n"/>
      <s:c r="E13527" s="122" t="n"/>
    </s:row>
    <s:row r="13528" hidden="1" ht="1" customHeight="1">
      <s:c r="A13528" s="120" t="inlineStr"/>
      <s:c r="B13528" s="121" t="n"/>
      <s:c r="C13528" s="121" t="n"/>
      <s:c r="D13528" s="121" t="n"/>
      <s:c r="E13528" s="122" t="n"/>
    </s:row>
    <s:row r="13529" hidden="1" ht="1" customHeight="1">
      <s:c r="A13529" s="120" t="inlineStr"/>
      <s:c r="B13529" s="121" t="n"/>
      <s:c r="C13529" s="121" t="n"/>
      <s:c r="D13529" s="121" t="n"/>
      <s:c r="E13529" s="122" t="n"/>
    </s:row>
    <s:row r="13530" hidden="1" ht="1" customHeight="1">
      <s:c r="A13530" s="120" t="inlineStr"/>
      <s:c r="B13530" s="121" t="n"/>
      <s:c r="C13530" s="121" t="n"/>
      <s:c r="D13530" s="121" t="n"/>
      <s:c r="E13530" s="122" t="n"/>
    </s:row>
    <s:row r="13531" hidden="1" ht="1" customHeight="1">
      <s:c r="A13531" s="120" t="inlineStr"/>
      <s:c r="B13531" s="121" t="n"/>
      <s:c r="C13531" s="121" t="n"/>
      <s:c r="D13531" s="121" t="n"/>
      <s:c r="E13531" s="122" t="n"/>
    </s:row>
    <s:row r="13532" hidden="1" ht="1" customHeight="1">
      <s:c r="A13532" s="120" t="inlineStr"/>
      <s:c r="B13532" s="121" t="n"/>
      <s:c r="C13532" s="121" t="n"/>
      <s:c r="D13532" s="121" t="n"/>
      <s:c r="E13532" s="122" t="n"/>
    </s:row>
    <s:row r="13533" hidden="1" ht="1" customHeight="1">
      <s:c r="A13533" s="120" t="inlineStr"/>
      <s:c r="B13533" s="121" t="n"/>
      <s:c r="C13533" s="121" t="n"/>
      <s:c r="D13533" s="121" t="n"/>
      <s:c r="E13533" s="122" t="n"/>
    </s:row>
    <s:row r="13534" hidden="1" ht="1" customHeight="1">
      <s:c r="A13534" s="120" t="inlineStr"/>
      <s:c r="B13534" s="121" t="n"/>
      <s:c r="C13534" s="121" t="n"/>
      <s:c r="D13534" s="121" t="n"/>
      <s:c r="E13534" s="122" t="n"/>
    </s:row>
    <s:row r="13535" hidden="1" ht="1" customHeight="1">
      <s:c r="A13535" s="120" t="inlineStr"/>
      <s:c r="B13535" s="121" t="n"/>
      <s:c r="C13535" s="121" t="n"/>
      <s:c r="D13535" s="121" t="n"/>
      <s:c r="E13535" s="122" t="n"/>
    </s:row>
    <s:row r="13536" hidden="1" ht="1" customHeight="1">
      <s:c r="A13536" s="120" t="inlineStr"/>
      <s:c r="B13536" s="121" t="n"/>
      <s:c r="C13536" s="121" t="n"/>
      <s:c r="D13536" s="121" t="n"/>
      <s:c r="E13536" s="122" t="n"/>
    </s:row>
    <s:row r="13537" hidden="1" ht="1" customHeight="1">
      <s:c r="A13537" s="120" t="inlineStr"/>
      <s:c r="B13537" s="121" t="n"/>
      <s:c r="C13537" s="121" t="n"/>
      <s:c r="D13537" s="121" t="n"/>
      <s:c r="E13537" s="122" t="n"/>
    </s:row>
    <s:row r="13538" hidden="1" ht="1" customHeight="1">
      <s:c r="A13538" s="120" t="inlineStr"/>
      <s:c r="B13538" s="121" t="n"/>
      <s:c r="C13538" s="121" t="n"/>
      <s:c r="D13538" s="121" t="n"/>
      <s:c r="E13538" s="122" t="n"/>
    </s:row>
    <s:row r="13539" hidden="1" ht="1" customHeight="1">
      <s:c r="A13539" s="120" t="inlineStr"/>
      <s:c r="B13539" s="121" t="n"/>
      <s:c r="C13539" s="121" t="n"/>
      <s:c r="D13539" s="121" t="n"/>
      <s:c r="E13539" s="122" t="n"/>
    </s:row>
    <s:row r="13540" hidden="1" ht="1" customHeight="1">
      <s:c r="A13540" s="120" t="inlineStr"/>
      <s:c r="B13540" s="121" t="n"/>
      <s:c r="C13540" s="121" t="n"/>
      <s:c r="D13540" s="121" t="n"/>
      <s:c r="E13540" s="122" t="n"/>
    </s:row>
    <s:row r="13541" hidden="1" ht="1" customHeight="1">
      <s:c r="A13541" s="120" t="inlineStr"/>
      <s:c r="B13541" s="121" t="n"/>
      <s:c r="C13541" s="121" t="n"/>
      <s:c r="D13541" s="121" t="n"/>
      <s:c r="E13541" s="122" t="n"/>
    </s:row>
    <s:row r="13542" hidden="1" ht="1" customHeight="1">
      <s:c r="A13542" s="120" t="inlineStr"/>
      <s:c r="B13542" s="121" t="n"/>
      <s:c r="C13542" s="121" t="n"/>
      <s:c r="D13542" s="121" t="n"/>
      <s:c r="E13542" s="122" t="n"/>
    </s:row>
    <s:row r="13543" hidden="1" ht="1" customHeight="1">
      <s:c r="A13543" s="120" t="inlineStr"/>
      <s:c r="B13543" s="121" t="n"/>
      <s:c r="C13543" s="121" t="n"/>
      <s:c r="D13543" s="121" t="n"/>
      <s:c r="E13543" s="122" t="n"/>
    </s:row>
    <s:row r="13544" hidden="1" ht="1" customHeight="1">
      <s:c r="A13544" s="120" t="inlineStr"/>
      <s:c r="B13544" s="121" t="n"/>
      <s:c r="C13544" s="121" t="n"/>
      <s:c r="D13544" s="121" t="n"/>
      <s:c r="E13544" s="122" t="n"/>
    </s:row>
    <s:row r="13545" hidden="1" ht="1" customHeight="1">
      <s:c r="A13545" s="120" t="inlineStr"/>
      <s:c r="B13545" s="121" t="n"/>
      <s:c r="C13545" s="121" t="n"/>
      <s:c r="D13545" s="121" t="n"/>
      <s:c r="E13545" s="122" t="n"/>
    </s:row>
    <s:row r="13546" hidden="1" ht="1" customHeight="1">
      <s:c r="A13546" s="120" t="inlineStr"/>
      <s:c r="B13546" s="121" t="n"/>
      <s:c r="C13546" s="121" t="n"/>
      <s:c r="D13546" s="121" t="n"/>
      <s:c r="E13546" s="122" t="n"/>
    </s:row>
    <s:row r="13547" hidden="1" ht="1" customHeight="1">
      <s:c r="A13547" s="120" t="inlineStr"/>
      <s:c r="B13547" s="121" t="n"/>
      <s:c r="C13547" s="121" t="n"/>
      <s:c r="D13547" s="121" t="n"/>
      <s:c r="E13547" s="122" t="n"/>
    </s:row>
    <s:row r="13548" hidden="1" ht="1" customHeight="1">
      <s:c r="A13548" s="120" t="inlineStr"/>
      <s:c r="B13548" s="121" t="n"/>
      <s:c r="C13548" s="121" t="n"/>
      <s:c r="D13548" s="121" t="n"/>
      <s:c r="E13548" s="122" t="n"/>
    </s:row>
    <s:row r="13549" hidden="1" ht="1" customHeight="1">
      <s:c r="A13549" s="120" t="inlineStr"/>
      <s:c r="B13549" s="121" t="n"/>
      <s:c r="C13549" s="121" t="n"/>
      <s:c r="D13549" s="121" t="n"/>
      <s:c r="E13549" s="122" t="n"/>
    </s:row>
    <s:row r="13550" hidden="1" ht="1" customHeight="1">
      <s:c r="A13550" s="120" t="inlineStr"/>
      <s:c r="B13550" s="121" t="n"/>
      <s:c r="C13550" s="121" t="n"/>
      <s:c r="D13550" s="121" t="n"/>
      <s:c r="E13550" s="122" t="n"/>
    </s:row>
    <s:row r="13551" hidden="1" ht="1" customHeight="1">
      <s:c r="A13551" s="120" t="inlineStr"/>
      <s:c r="B13551" s="121" t="n"/>
      <s:c r="C13551" s="121" t="n"/>
      <s:c r="D13551" s="121" t="n"/>
      <s:c r="E13551" s="122" t="n"/>
    </s:row>
    <s:row r="13552" hidden="1" ht="1" customHeight="1">
      <s:c r="A13552" s="120" t="inlineStr"/>
      <s:c r="B13552" s="121" t="n"/>
      <s:c r="C13552" s="121" t="n"/>
      <s:c r="D13552" s="121" t="n"/>
      <s:c r="E13552" s="122" t="n"/>
    </s:row>
    <s:row r="13553" hidden="1" ht="1" customHeight="1">
      <s:c r="A13553" s="120" t="inlineStr"/>
      <s:c r="B13553" s="121" t="n"/>
      <s:c r="C13553" s="121" t="n"/>
      <s:c r="D13553" s="121" t="n"/>
      <s:c r="E13553" s="122" t="n"/>
    </s:row>
    <s:row r="13554" hidden="1" ht="1" customHeight="1">
      <s:c r="A13554" s="83" t="inlineStr">
        <s:is>
          <s:t>PASS</s:t>
        </s:is>
      </s:c>
      <s:c r="B13554" s="83">
        <s:f>SUM(IF(EXACT('Kiểm thử'!E13504,"Đạt"),1,0))</s:f>
        <s:v/>
      </s:c>
      <s:c r="C13554" s="19" t="n"/>
      <s:c r="D13554" s="19" t="n"/>
      <s:c r="E13554" s="19" t="n"/>
    </s:row>
    <s:row r="13555" hidden="1" ht="1" customHeight="1">
      <s:c r="A13555" s="83" t="inlineStr">
        <s:is>
          <s:t>FAIL</s:t>
        </s:is>
      </s:c>
      <s:c r="B13555" s="83">
        <s:f>SUM(IF(EXACT('Kiểm thử'!E13504,"Không đạt"),1,0))</s:f>
        <s:v/>
      </s:c>
      <s:c r="C13555" s="19" t="n"/>
      <s:c r="D13555" s="19" t="n"/>
      <s:c r="E13555" s="19" t="n"/>
    </s:row>
    <s:row r="13556" hidden="1" ht="1" customHeight="1">
      <s:c r="A13556" s="83" t="inlineStr">
        <s:is>
          <s:t>BLOCKED</s:t>
        </s:is>
      </s:c>
      <s:c r="B13556" s="83">
        <s:f>SUM(IF(EXACT('Kiểm thử'!E13504,"Bị chặn"),1,0))</s:f>
        <s:v/>
      </s:c>
      <s:c r="C13556" s="19" t="n"/>
      <s:c r="D13556" s="19" t="n"/>
      <s:c r="E13556" s="19" t="n"/>
    </s:row>
    <s:row r="13557" hidden="1" ht="1" customHeight="1">
      <s:c r="A13557" s="83" t="inlineStr">
        <s:is>
          <s:t>SKIPPED</s:t>
        </s:is>
      </s:c>
      <s:c r="B13557" s="83">
        <s:f>SUM(IF(EXACT('Kiểm thử'!E13504,"Không thực hiện"),1,0))</s:f>
        <s:v/>
      </s:c>
      <s:c r="C13557" s="19" t="n"/>
      <s:c r="D13557" s="19" t="n"/>
      <s:c r="E13557" s="19" t="n"/>
    </s:row>
    <s:row r="13558" hidden="1" ht="1" customHeight="1">
      <s:c r="A13558" s="83" t="inlineStr">
        <s:is>
          <s:t>NOT RUN</s:t>
        </s:is>
      </s:c>
      <s:c r="B13558" s="83">
        <s:f>SUM(IF(EXACT('Kiểm thử'!E13504,"Chưa thực hiện"),1,0))</s:f>
        <s:v/>
      </s:c>
      <s:c r="C13558" s="19" t="n"/>
      <s:c r="D13558" s="19" t="n"/>
      <s:c r="E13558" s="19" t="n"/>
    </s:row>
    <s:row r="13559" hidden="1" ht="6" customHeight="1">
      <s:c r="A13559" s="83" t="inlineStr"/>
      <s:c r="B13559" s="19" t="n"/>
      <s:c r="C13559" s="19" t="n"/>
      <s:c r="D13559" s="19" t="n"/>
      <s:c r="E13559" s="19" t="n"/>
    </s:row>
    <s:row r="13560" ht="28" customHeight="1">
      <s:c r="A13560" s="108" t="inlineStr">
        <s:is>
          <s:t>TC-RS-FUNC-017 — Nhập CSV điểm lớp học phần (NB) kích hoạt xét</s:t>
        </s:is>
      </s:c>
      <s:c r="B13560" s="111" t="n"/>
      <s:c r="C13560" s="111" t="n"/>
      <s:c r="D13560" s="111" t="n"/>
      <s:c r="E13560" s="111" t="n"/>
    </s:row>
    <s:row r="13561" ht="20" customHeight="1">
      <s:c r="A13561" s="112" t="inlineStr">
        <s:is>
          <s:t>Kết quả tình huống</s:t>
        </s:is>
      </s:c>
      <s:c r="B13561" s="113">
        <s:f>IF(SUM(IF(EXACT('Kiểm thử'!E13570,"Không đạt"),1,0),IF(EXACT('Kiểm thử'!E13572,"Không đạt"),1,0))&gt;0,"Không đạt",IF(SUM(IF(EXACT('Kiểm thử'!E13570,"Đạt"),1,0),IF(EXACT('Kiểm thử'!E13572,"Đạt"),1,0))=2,"Đạt",IF(SUM(IF(EXACT('Kiểm thử'!E13570,"Không thực hiện"),1,0),IF(EXACT('Kiểm thử'!E13572,"Không thực hiện"),1,0))=2,"Không thực hiện",IF(SUM(IF(EXACT('Kiểm thử'!E13570,"Bị chặn"),1,0),IF(EXACT('Kiểm thử'!E13572,"Bị chặn"),1,0))&gt;0,"Bị chặn",IF(SUM(IF(EXACT('Kiểm thử'!E13570,"Chưa thực hiện"),1,0),IF(EXACT('Kiểm thử'!E13572,"Chưa thực hiện"),1,0))=2,"Chưa thực hiện","Đang thực hiện")))))</s:f>
        <s:v/>
      </s:c>
      <s:c r="C13561" s="114" t="n"/>
      <s:c r="D13561" s="114" t="n"/>
      <s:c r="E13561" s="114" t="n"/>
    </s:row>
    <s:row r="13562" ht="20" customHeight="1">
      <s:c r="A13562" s="112" t="inlineStr">
        <s:is>
          <s:t>Màn hình / chức năng</s:t>
        </s:is>
      </s:c>
      <s:c r="B13562" s="113" t="inlineStr">
        <s:is>
          <s:t>Vòng đời kết quả</s:t>
        </s:is>
      </s:c>
      <s:c r="C13562" s="28" t="n"/>
      <s:c r="D13562" s="28" t="n"/>
      <s:c r="E13562" s="28" t="n"/>
    </s:row>
    <s:row r="13563" ht="34" customHeight="1">
      <s:c r="A13563" s="112" t="inlineStr">
        <s:is>
          <s:t>Cấu hình</s:t>
        </s:is>
      </s:c>
      <s:c r="B13563" s="113" t="inlineStr">
        <s:is>
          <s:r>
            <s:t>• Mục số nguyên (</s:t>
          </s:r>
          <s:r>
            <s:rPr>
              <s:b val="1"/>
            </s:rPr>
            <s:t>M=100</s:t>
          </s:r>
          <s:r>
            <s:t>) có quy tắc “Cố định 30” (dưới 30). Chạy hai lần: (a) trường có tính tự động, (b) trường không có tính tự động.</s:t>
          </s:r>
        </s:is>
      </s:c>
      <s:c r="C13563" s="28" t="n"/>
      <s:c r="D13563" s="28" t="n"/>
      <s:c r="E13563" s="28" t="n"/>
    </s:row>
    <s:row r="13564" ht="34" customHeight="1">
      <s:c r="A13564" s="112" t="inlineStr">
        <s:is>
          <s:t>Dữ liệu test</s:t>
        </s:is>
      </s:c>
      <s:c r="B13564" s="113" t="inlineStr">
        <s:is>
          <s:r>
            <s:t>• Mục số nguyên (</s:t>
          </s:r>
          <s:r>
            <s:rPr>
              <s:b val="1"/>
            </s:rPr>
            <s:t>M=100</s:t>
          </s:r>
          <s:r>
            <s:t>);
• Quy tắc “Cố định 30” (dưới 30), học sinh S01 (điểm 29)</s:t>
          </s:r>
        </s:is>
      </s:c>
      <s:c r="C13564" s="28" t="n"/>
      <s:c r="D13564" s="28" t="n"/>
      <s:c r="E13564" s="28" t="n"/>
    </s:row>
    <s:row r="13565" ht="20" customHeight="1">
      <s:c r="A13565" s="112" t="inlineStr">
        <s:is>
          <s:t>Bước 1</s:t>
        </s:is>
      </s:c>
      <s:c r="B13565" s="113" t="inlineStr">
        <s:is>
          <s:r>
            <s:t xml:space="preserve">Mở Đăng ký </s:t>
          </s:r>
          <s:r>
            <s:rPr>
              <s:b val="1"/>
            </s:rPr>
            <s:t>thành tích bằng CSV（成績CSV登録）</s:t>
          </s:r>
          <s:r>
            <s:t xml:space="preserve"> của lớp G-A, nhập CSV với S01=29.</s:t>
          </s:r>
        </s:is>
      </s:c>
      <s:c r="C13565" s="28" t="n"/>
      <s:c r="D13565" s="28" t="n"/>
      <s:c r="E13565" s="28" t="n"/>
    </s:row>
    <s:row r="13566" ht="20" customHeight="1">
      <s:c r="A13566" s="112" t="inlineStr">
        <s:is>
          <s:t>Bước 2</s:t>
        </s:is>
      </s:c>
      <s:c r="B13566" s="113" t="inlineStr">
        <s:is>
          <s:t>Xem kết quả ở trích xuất.</s:t>
        </s:is>
      </s:c>
      <s:c r="C13566" s="28" t="n"/>
      <s:c r="D13566" s="28" t="n"/>
      <s:c r="E13566" s="28" t="n"/>
    </s:row>
    <s:row r="13567" ht="20" customHeight="1">
      <s:c r="A13567" s="112" t="inlineStr">
        <s:is>
          <s:t>Bước 3</s:t>
        </s:is>
      </s:c>
      <s:c r="B13567" s="113" t="inlineStr">
        <s:is>
          <s:t>Nhập lại CSV với S01=31, xem kết quả.</s:t>
        </s:is>
      </s:c>
      <s:c r="C13567" s="28" t="n"/>
      <s:c r="D13567" s="28" t="n"/>
      <s:c r="E13567" s="28" t="n"/>
    </s:row>
    <s:row r="13568" ht="28" customHeight="1">
      <s:c r="A13568" s="115" t="inlineStr">
        <s:is>
          <s:t>Trường hợp</s:t>
        </s:is>
      </s:c>
      <s:c r="B13568" s="115" t="inlineStr">
        <s:is>
          <s:t>Dữ liệu / thao tác riêng</s:t>
        </s:is>
      </s:c>
      <s:c r="C13568" s="115" t="inlineStr">
        <s:is>
          <s:t>Kết quả mong đợi</s:t>
        </s:is>
      </s:c>
      <s:c r="D13568" s="115" t="inlineStr">
        <s:is>
          <s:t>Kết quả thực tế</s:t>
        </s:is>
      </s:c>
      <s:c r="E13568" s="115" t="inlineStr">
        <s:is>
          <s:t>Đánh giá</s:t>
        </s:is>
      </s:c>
    </s:row>
    <s:row r="13569" ht="3" customHeight="1">
      <s:c r="A13569" s="102" t="inlineStr"/>
      <s:c r="B13569" s="99" t="n"/>
      <s:c r="C13569" s="99" t="n"/>
      <s:c r="D13569" s="116" t="n"/>
      <s:c r="E13569" s="116" t="n"/>
    </s:row>
    <s:row r="13570" ht="132" customHeight="1">
      <s:c r="A13570" s="83" t="inlineStr">
        <s:is>
          <s:t>Trường có tính tự động, thực hiện toàn bộ chuỗi CSV (auto-on)</s:t>
        </s:is>
      </s:c>
      <s:c r="B13570" s="83" t="inlineStr">
        <s:is>
          <s:t>Trường có tính tự động; CSV G-A/S01=29 rồi31, đọc kết quả sau mỗi lần.</s:t>
        </s:is>
      </s:c>
      <s:c r="C13570" s="83" t="inlineStr">
        <s:is>
          <s:r>
            <s:t xml:space="preserve">1–2. Nhập thành công → S01 được xét: </s:t>
          </s:r>
          <s:r>
            <s:rPr>
              <s:b val="1"/>
            </s:rPr>
            <s:t>Đỏ</s:t>
          </s:r>
          <s:r>
            <s:t xml:space="preserve">, ở cả (a) và (b) (không phụ thuộc việc trường có tính tự động).
3. S01 </s:t>
          </s:r>
          <s:r>
            <s:rPr>
              <s:b val="1"/>
            </s:rPr>
            <s:t>Không đỏ</s:t>
          </s:r>
          <s:r>
            <s:t>; không còn dấu đỏ cũ.
Điểm và kết quả nhất quán theo ranh giới giao dịch hiện có (tiêu chí nghiệm thu “Lưu thành công và thông báo an toàn”).</s:t>
          </s:r>
        </s:is>
      </s:c>
      <s:c r="D13570" s="117" t="inlineStr"/>
      <s:c r="E13570" s="118" t="inlineStr">
        <s:is>
          <s:t>Chưa thực hiện</s:t>
        </s:is>
      </s:c>
    </s:row>
    <s:row r="13571" ht="3" customHeight="1">
      <s:c r="A13571" s="102" t="inlineStr"/>
      <s:c r="B13571" s="99" t="n"/>
      <s:c r="C13571" s="99" t="n"/>
      <s:c r="D13571" s="116" t="n"/>
      <s:c r="E13571" s="116" t="n"/>
    </s:row>
    <s:row r="13572" ht="132" customHeight="1">
      <s:c r="A13572" s="83" t="inlineStr">
        <s:is>
          <s:t>Trường không có tính tự động, cùng chuỗi CSV (auto-off)</s:t>
        </s:is>
      </s:c>
      <s:c r="B13572" s="83" t="inlineStr">
        <s:is>
          <s:t>Trường không có tính tự động; CSV G-A/S01=29 rồi31, đọc kết quả sau mỗi lần.</s:t>
        </s:is>
      </s:c>
      <s:c r="C13572" s="83" t="inlineStr">
        <s:is>
          <s:r>
            <s:t xml:space="preserve">1–2. Nhập thành công → S01 được xét: </s:t>
          </s:r>
          <s:r>
            <s:rPr>
              <s:b val="1"/>
            </s:rPr>
            <s:t>Đỏ</s:t>
          </s:r>
          <s:r>
            <s:t xml:space="preserve">, ở cả (a) và (b) (không phụ thuộc việc trường có tính tự động).
3. S01 </s:t>
          </s:r>
          <s:r>
            <s:rPr>
              <s:b val="1"/>
            </s:rPr>
            <s:t>Không đỏ</s:t>
          </s:r>
          <s:r>
            <s:t>; không còn dấu đỏ cũ.
Điểm và kết quả nhất quán theo ranh giới giao dịch hiện có (tiêu chí nghiệm thu “Lưu thành công và thông báo an toàn”).</s:t>
          </s:r>
        </s:is>
      </s:c>
      <s:c r="D13572" s="117" t="inlineStr"/>
      <s:c r="E13572" s="118" t="inlineStr">
        <s:is>
          <s:t>Chưa thực hiện</s:t>
        </s:is>
      </s:c>
    </s:row>
    <s:row r="13573" ht="20" customHeight="1">
      <s:c r="A13573" s="119" t="inlineStr">
        <s:is>
          <s:t>Ảnh minh chứng — Chưa có ảnh</s:t>
        </s:is>
      </s:c>
      <s:c r="B13573" s="19" t="n"/>
      <s:c r="C13573" s="19" t="n"/>
      <s:c r="D13573" s="19" t="n"/>
      <s:c r="E13573" s="19" t="n"/>
    </s:row>
    <s:row r="13574" hidden="1" ht="1" customHeight="1">
      <s:c r="A13574" s="120" t="inlineStr"/>
      <s:c r="B13574" s="121" t="n"/>
      <s:c r="C13574" s="121" t="n"/>
      <s:c r="D13574" s="121" t="n"/>
      <s:c r="E13574" s="122" t="n"/>
    </s:row>
    <s:row r="13575" hidden="1" ht="1" customHeight="1">
      <s:c r="A13575" s="120" t="inlineStr"/>
      <s:c r="B13575" s="121" t="n"/>
      <s:c r="C13575" s="121" t="n"/>
      <s:c r="D13575" s="121" t="n"/>
      <s:c r="E13575" s="122" t="n"/>
    </s:row>
    <s:row r="13576" hidden="1" ht="1" customHeight="1">
      <s:c r="A13576" s="120" t="inlineStr"/>
      <s:c r="B13576" s="121" t="n"/>
      <s:c r="C13576" s="121" t="n"/>
      <s:c r="D13576" s="121" t="n"/>
      <s:c r="E13576" s="122" t="n"/>
    </s:row>
    <s:row r="13577" hidden="1" ht="1" customHeight="1">
      <s:c r="A13577" s="120" t="inlineStr"/>
      <s:c r="B13577" s="121" t="n"/>
      <s:c r="C13577" s="121" t="n"/>
      <s:c r="D13577" s="121" t="n"/>
      <s:c r="E13577" s="122" t="n"/>
    </s:row>
    <s:row r="13578" hidden="1" ht="1" customHeight="1">
      <s:c r="A13578" s="120" t="inlineStr"/>
      <s:c r="B13578" s="121" t="n"/>
      <s:c r="C13578" s="121" t="n"/>
      <s:c r="D13578" s="121" t="n"/>
      <s:c r="E13578" s="122" t="n"/>
    </s:row>
    <s:row r="13579" hidden="1" ht="1" customHeight="1">
      <s:c r="A13579" s="120" t="inlineStr"/>
      <s:c r="B13579" s="121" t="n"/>
      <s:c r="C13579" s="121" t="n"/>
      <s:c r="D13579" s="121" t="n"/>
      <s:c r="E13579" s="122" t="n"/>
    </s:row>
    <s:row r="13580" hidden="1" ht="1" customHeight="1">
      <s:c r="A13580" s="120" t="inlineStr"/>
      <s:c r="B13580" s="121" t="n"/>
      <s:c r="C13580" s="121" t="n"/>
      <s:c r="D13580" s="121" t="n"/>
      <s:c r="E13580" s="122" t="n"/>
    </s:row>
    <s:row r="13581" hidden="1" ht="1" customHeight="1">
      <s:c r="A13581" s="120" t="inlineStr"/>
      <s:c r="B13581" s="121" t="n"/>
      <s:c r="C13581" s="121" t="n"/>
      <s:c r="D13581" s="121" t="n"/>
      <s:c r="E13581" s="122" t="n"/>
    </s:row>
    <s:row r="13582" hidden="1" ht="1" customHeight="1">
      <s:c r="A13582" s="120" t="inlineStr"/>
      <s:c r="B13582" s="121" t="n"/>
      <s:c r="C13582" s="121" t="n"/>
      <s:c r="D13582" s="121" t="n"/>
      <s:c r="E13582" s="122" t="n"/>
    </s:row>
    <s:row r="13583" hidden="1" ht="1" customHeight="1">
      <s:c r="A13583" s="120" t="inlineStr"/>
      <s:c r="B13583" s="121" t="n"/>
      <s:c r="C13583" s="121" t="n"/>
      <s:c r="D13583" s="121" t="n"/>
      <s:c r="E13583" s="122" t="n"/>
    </s:row>
    <s:row r="13584" hidden="1" ht="1" customHeight="1">
      <s:c r="A13584" s="120" t="inlineStr"/>
      <s:c r="B13584" s="121" t="n"/>
      <s:c r="C13584" s="121" t="n"/>
      <s:c r="D13584" s="121" t="n"/>
      <s:c r="E13584" s="122" t="n"/>
    </s:row>
    <s:row r="13585" hidden="1" ht="1" customHeight="1">
      <s:c r="A13585" s="120" t="inlineStr"/>
      <s:c r="B13585" s="121" t="n"/>
      <s:c r="C13585" s="121" t="n"/>
      <s:c r="D13585" s="121" t="n"/>
      <s:c r="E13585" s="122" t="n"/>
    </s:row>
    <s:row r="13586" hidden="1" ht="1" customHeight="1">
      <s:c r="A13586" s="120" t="inlineStr"/>
      <s:c r="B13586" s="121" t="n"/>
      <s:c r="C13586" s="121" t="n"/>
      <s:c r="D13586" s="121" t="n"/>
      <s:c r="E13586" s="122" t="n"/>
    </s:row>
    <s:row r="13587" hidden="1" ht="1" customHeight="1">
      <s:c r="A13587" s="120" t="inlineStr"/>
      <s:c r="B13587" s="121" t="n"/>
      <s:c r="C13587" s="121" t="n"/>
      <s:c r="D13587" s="121" t="n"/>
      <s:c r="E13587" s="122" t="n"/>
    </s:row>
    <s:row r="13588" hidden="1" ht="1" customHeight="1">
      <s:c r="A13588" s="120" t="inlineStr"/>
      <s:c r="B13588" s="121" t="n"/>
      <s:c r="C13588" s="121" t="n"/>
      <s:c r="D13588" s="121" t="n"/>
      <s:c r="E13588" s="122" t="n"/>
    </s:row>
    <s:row r="13589" hidden="1" ht="1" customHeight="1">
      <s:c r="A13589" s="120" t="inlineStr"/>
      <s:c r="B13589" s="121" t="n"/>
      <s:c r="C13589" s="121" t="n"/>
      <s:c r="D13589" s="121" t="n"/>
      <s:c r="E13589" s="122" t="n"/>
    </s:row>
    <s:row r="13590" hidden="1" ht="1" customHeight="1">
      <s:c r="A13590" s="120" t="inlineStr"/>
      <s:c r="B13590" s="121" t="n"/>
      <s:c r="C13590" s="121" t="n"/>
      <s:c r="D13590" s="121" t="n"/>
      <s:c r="E13590" s="122" t="n"/>
    </s:row>
    <s:row r="13591" hidden="1" ht="1" customHeight="1">
      <s:c r="A13591" s="120" t="inlineStr"/>
      <s:c r="B13591" s="121" t="n"/>
      <s:c r="C13591" s="121" t="n"/>
      <s:c r="D13591" s="121" t="n"/>
      <s:c r="E13591" s="122" t="n"/>
    </s:row>
    <s:row r="13592" hidden="1" ht="1" customHeight="1">
      <s:c r="A13592" s="120" t="inlineStr"/>
      <s:c r="B13592" s="121" t="n"/>
      <s:c r="C13592" s="121" t="n"/>
      <s:c r="D13592" s="121" t="n"/>
      <s:c r="E13592" s="122" t="n"/>
    </s:row>
    <s:row r="13593" hidden="1" ht="1" customHeight="1">
      <s:c r="A13593" s="120" t="inlineStr"/>
      <s:c r="B13593" s="121" t="n"/>
      <s:c r="C13593" s="121" t="n"/>
      <s:c r="D13593" s="121" t="n"/>
      <s:c r="E13593" s="122" t="n"/>
    </s:row>
    <s:row r="13594" hidden="1" ht="1" customHeight="1">
      <s:c r="A13594" s="120" t="inlineStr"/>
      <s:c r="B13594" s="121" t="n"/>
      <s:c r="C13594" s="121" t="n"/>
      <s:c r="D13594" s="121" t="n"/>
      <s:c r="E13594" s="122" t="n"/>
    </s:row>
    <s:row r="13595" hidden="1" ht="1" customHeight="1">
      <s:c r="A13595" s="120" t="inlineStr"/>
      <s:c r="B13595" s="121" t="n"/>
      <s:c r="C13595" s="121" t="n"/>
      <s:c r="D13595" s="121" t="n"/>
      <s:c r="E13595" s="122" t="n"/>
    </s:row>
    <s:row r="13596" hidden="1" ht="1" customHeight="1">
      <s:c r="A13596" s="120" t="inlineStr"/>
      <s:c r="B13596" s="121" t="n"/>
      <s:c r="C13596" s="121" t="n"/>
      <s:c r="D13596" s="121" t="n"/>
      <s:c r="E13596" s="122" t="n"/>
    </s:row>
    <s:row r="13597" hidden="1" ht="1" customHeight="1">
      <s:c r="A13597" s="120" t="inlineStr"/>
      <s:c r="B13597" s="121" t="n"/>
      <s:c r="C13597" s="121" t="n"/>
      <s:c r="D13597" s="121" t="n"/>
      <s:c r="E13597" s="122" t="n"/>
    </s:row>
    <s:row r="13598" hidden="1" ht="1" customHeight="1">
      <s:c r="A13598" s="120" t="inlineStr"/>
      <s:c r="B13598" s="121" t="n"/>
      <s:c r="C13598" s="121" t="n"/>
      <s:c r="D13598" s="121" t="n"/>
      <s:c r="E13598" s="122" t="n"/>
    </s:row>
    <s:row r="13599" hidden="1" ht="1" customHeight="1">
      <s:c r="A13599" s="120" t="inlineStr"/>
      <s:c r="B13599" s="121" t="n"/>
      <s:c r="C13599" s="121" t="n"/>
      <s:c r="D13599" s="121" t="n"/>
      <s:c r="E13599" s="122" t="n"/>
    </s:row>
    <s:row r="13600" hidden="1" ht="1" customHeight="1">
      <s:c r="A13600" s="120" t="inlineStr"/>
      <s:c r="B13600" s="121" t="n"/>
      <s:c r="C13600" s="121" t="n"/>
      <s:c r="D13600" s="121" t="n"/>
      <s:c r="E13600" s="122" t="n"/>
    </s:row>
    <s:row r="13601" hidden="1" ht="1" customHeight="1">
      <s:c r="A13601" s="120" t="inlineStr"/>
      <s:c r="B13601" s="121" t="n"/>
      <s:c r="C13601" s="121" t="n"/>
      <s:c r="D13601" s="121" t="n"/>
      <s:c r="E13601" s="122" t="n"/>
    </s:row>
    <s:row r="13602" hidden="1" ht="1" customHeight="1">
      <s:c r="A13602" s="120" t="inlineStr"/>
      <s:c r="B13602" s="121" t="n"/>
      <s:c r="C13602" s="121" t="n"/>
      <s:c r="D13602" s="121" t="n"/>
      <s:c r="E13602" s="122" t="n"/>
    </s:row>
    <s:row r="13603" hidden="1" ht="1" customHeight="1">
      <s:c r="A13603" s="120" t="inlineStr"/>
      <s:c r="B13603" s="121" t="n"/>
      <s:c r="C13603" s="121" t="n"/>
      <s:c r="D13603" s="121" t="n"/>
      <s:c r="E13603" s="122" t="n"/>
    </s:row>
    <s:row r="13604" hidden="1" ht="1" customHeight="1">
      <s:c r="A13604" s="120" t="inlineStr"/>
      <s:c r="B13604" s="121" t="n"/>
      <s:c r="C13604" s="121" t="n"/>
      <s:c r="D13604" s="121" t="n"/>
      <s:c r="E13604" s="122" t="n"/>
    </s:row>
    <s:row r="13605" hidden="1" ht="1" customHeight="1">
      <s:c r="A13605" s="120" t="inlineStr"/>
      <s:c r="B13605" s="121" t="n"/>
      <s:c r="C13605" s="121" t="n"/>
      <s:c r="D13605" s="121" t="n"/>
      <s:c r="E13605" s="122" t="n"/>
    </s:row>
    <s:row r="13606" hidden="1" ht="1" customHeight="1">
      <s:c r="A13606" s="120" t="inlineStr"/>
      <s:c r="B13606" s="121" t="n"/>
      <s:c r="C13606" s="121" t="n"/>
      <s:c r="D13606" s="121" t="n"/>
      <s:c r="E13606" s="122" t="n"/>
    </s:row>
    <s:row r="13607" hidden="1" ht="1" customHeight="1">
      <s:c r="A13607" s="120" t="inlineStr"/>
      <s:c r="B13607" s="121" t="n"/>
      <s:c r="C13607" s="121" t="n"/>
      <s:c r="D13607" s="121" t="n"/>
      <s:c r="E13607" s="122" t="n"/>
    </s:row>
    <s:row r="13608" hidden="1" ht="1" customHeight="1">
      <s:c r="A13608" s="120" t="inlineStr"/>
      <s:c r="B13608" s="121" t="n"/>
      <s:c r="C13608" s="121" t="n"/>
      <s:c r="D13608" s="121" t="n"/>
      <s:c r="E13608" s="122" t="n"/>
    </s:row>
    <s:row r="13609" hidden="1" ht="1" customHeight="1">
      <s:c r="A13609" s="120" t="inlineStr"/>
      <s:c r="B13609" s="121" t="n"/>
      <s:c r="C13609" s="121" t="n"/>
      <s:c r="D13609" s="121" t="n"/>
      <s:c r="E13609" s="122" t="n"/>
    </s:row>
    <s:row r="13610" hidden="1" ht="1" customHeight="1">
      <s:c r="A13610" s="120" t="inlineStr"/>
      <s:c r="B13610" s="121" t="n"/>
      <s:c r="C13610" s="121" t="n"/>
      <s:c r="D13610" s="121" t="n"/>
      <s:c r="E13610" s="122" t="n"/>
    </s:row>
    <s:row r="13611" hidden="1" ht="1" customHeight="1">
      <s:c r="A13611" s="120" t="inlineStr"/>
      <s:c r="B13611" s="121" t="n"/>
      <s:c r="C13611" s="121" t="n"/>
      <s:c r="D13611" s="121" t="n"/>
      <s:c r="E13611" s="122" t="n"/>
    </s:row>
    <s:row r="13612" hidden="1" ht="1" customHeight="1">
      <s:c r="A13612" s="120" t="inlineStr"/>
      <s:c r="B13612" s="121" t="n"/>
      <s:c r="C13612" s="121" t="n"/>
      <s:c r="D13612" s="121" t="n"/>
      <s:c r="E13612" s="122" t="n"/>
    </s:row>
    <s:row r="13613" hidden="1" ht="1" customHeight="1">
      <s:c r="A13613" s="120" t="inlineStr"/>
      <s:c r="B13613" s="121" t="n"/>
      <s:c r="C13613" s="121" t="n"/>
      <s:c r="D13613" s="121" t="n"/>
      <s:c r="E13613" s="122" t="n"/>
    </s:row>
    <s:row r="13614" hidden="1" ht="1" customHeight="1">
      <s:c r="A13614" s="120" t="inlineStr"/>
      <s:c r="B13614" s="121" t="n"/>
      <s:c r="C13614" s="121" t="n"/>
      <s:c r="D13614" s="121" t="n"/>
      <s:c r="E13614" s="122" t="n"/>
    </s:row>
    <s:row r="13615" hidden="1" ht="1" customHeight="1">
      <s:c r="A13615" s="120" t="inlineStr"/>
      <s:c r="B13615" s="121" t="n"/>
      <s:c r="C13615" s="121" t="n"/>
      <s:c r="D13615" s="121" t="n"/>
      <s:c r="E13615" s="122" t="n"/>
    </s:row>
    <s:row r="13616" hidden="1" ht="1" customHeight="1">
      <s:c r="A13616" s="120" t="inlineStr"/>
      <s:c r="B13616" s="121" t="n"/>
      <s:c r="C13616" s="121" t="n"/>
      <s:c r="D13616" s="121" t="n"/>
      <s:c r="E13616" s="122" t="n"/>
    </s:row>
    <s:row r="13617" hidden="1" ht="1" customHeight="1">
      <s:c r="A13617" s="120" t="inlineStr"/>
      <s:c r="B13617" s="121" t="n"/>
      <s:c r="C13617" s="121" t="n"/>
      <s:c r="D13617" s="121" t="n"/>
      <s:c r="E13617" s="122" t="n"/>
    </s:row>
    <s:row r="13618" hidden="1" ht="1" customHeight="1">
      <s:c r="A13618" s="120" t="inlineStr"/>
      <s:c r="B13618" s="121" t="n"/>
      <s:c r="C13618" s="121" t="n"/>
      <s:c r="D13618" s="121" t="n"/>
      <s:c r="E13618" s="122" t="n"/>
    </s:row>
    <s:row r="13619" hidden="1" ht="1" customHeight="1">
      <s:c r="A13619" s="120" t="inlineStr"/>
      <s:c r="B13619" s="121" t="n"/>
      <s:c r="C13619" s="121" t="n"/>
      <s:c r="D13619" s="121" t="n"/>
      <s:c r="E13619" s="122" t="n"/>
    </s:row>
    <s:row r="13620" hidden="1" ht="1" customHeight="1">
      <s:c r="A13620" s="120" t="inlineStr"/>
      <s:c r="B13620" s="121" t="n"/>
      <s:c r="C13620" s="121" t="n"/>
      <s:c r="D13620" s="121" t="n"/>
      <s:c r="E13620" s="122" t="n"/>
    </s:row>
    <s:row r="13621" hidden="1" ht="1" customHeight="1">
      <s:c r="A13621" s="120" t="inlineStr"/>
      <s:c r="B13621" s="121" t="n"/>
      <s:c r="C13621" s="121" t="n"/>
      <s:c r="D13621" s="121" t="n"/>
      <s:c r="E13621" s="122" t="n"/>
    </s:row>
    <s:row r="13622" hidden="1" ht="1" customHeight="1">
      <s:c r="A13622" s="120" t="inlineStr"/>
      <s:c r="B13622" s="121" t="n"/>
      <s:c r="C13622" s="121" t="n"/>
      <s:c r="D13622" s="121" t="n"/>
      <s:c r="E13622" s="122" t="n"/>
    </s:row>
    <s:row r="13623" hidden="1" ht="1" customHeight="1">
      <s:c r="A13623" s="120" t="inlineStr"/>
      <s:c r="B13623" s="121" t="n"/>
      <s:c r="C13623" s="121" t="n"/>
      <s:c r="D13623" s="121" t="n"/>
      <s:c r="E13623" s="122" t="n"/>
    </s:row>
    <s:row r="13624" hidden="1" ht="1" customHeight="1">
      <s:c r="A13624" s="120" t="inlineStr"/>
      <s:c r="B13624" s="121" t="n"/>
      <s:c r="C13624" s="121" t="n"/>
      <s:c r="D13624" s="121" t="n"/>
      <s:c r="E13624" s="122" t="n"/>
    </s:row>
    <s:row r="13625" hidden="1" ht="1" customHeight="1">
      <s:c r="A13625" s="120" t="inlineStr"/>
      <s:c r="B13625" s="121" t="n"/>
      <s:c r="C13625" s="121" t="n"/>
      <s:c r="D13625" s="121" t="n"/>
      <s:c r="E13625" s="122" t="n"/>
    </s:row>
    <s:row r="13626" hidden="1" ht="1" customHeight="1">
      <s:c r="A13626" s="120" t="inlineStr"/>
      <s:c r="B13626" s="121" t="n"/>
      <s:c r="C13626" s="121" t="n"/>
      <s:c r="D13626" s="121" t="n"/>
      <s:c r="E13626" s="122" t="n"/>
    </s:row>
    <s:row r="13627" hidden="1" ht="1" customHeight="1">
      <s:c r="A13627" s="120" t="inlineStr"/>
      <s:c r="B13627" s="121" t="n"/>
      <s:c r="C13627" s="121" t="n"/>
      <s:c r="D13627" s="121" t="n"/>
      <s:c r="E13627" s="122" t="n"/>
    </s:row>
    <s:row r="13628" hidden="1" ht="1" customHeight="1">
      <s:c r="A13628" s="120" t="inlineStr"/>
      <s:c r="B13628" s="121" t="n"/>
      <s:c r="C13628" s="121" t="n"/>
      <s:c r="D13628" s="121" t="n"/>
      <s:c r="E13628" s="122" t="n"/>
    </s:row>
    <s:row r="13629" hidden="1" ht="1" customHeight="1">
      <s:c r="A13629" s="120" t="inlineStr"/>
      <s:c r="B13629" s="121" t="n"/>
      <s:c r="C13629" s="121" t="n"/>
      <s:c r="D13629" s="121" t="n"/>
      <s:c r="E13629" s="122" t="n"/>
    </s:row>
    <s:row r="13630" hidden="1" ht="1" customHeight="1">
      <s:c r="A13630" s="120" t="inlineStr"/>
      <s:c r="B13630" s="121" t="n"/>
      <s:c r="C13630" s="121" t="n"/>
      <s:c r="D13630" s="121" t="n"/>
      <s:c r="E13630" s="122" t="n"/>
    </s:row>
    <s:row r="13631" hidden="1" ht="1" customHeight="1">
      <s:c r="A13631" s="120" t="inlineStr"/>
      <s:c r="B13631" s="121" t="n"/>
      <s:c r="C13631" s="121" t="n"/>
      <s:c r="D13631" s="121" t="n"/>
      <s:c r="E13631" s="122" t="n"/>
    </s:row>
    <s:row r="13632" hidden="1" ht="1" customHeight="1">
      <s:c r="A13632" s="120" t="inlineStr"/>
      <s:c r="B13632" s="121" t="n"/>
      <s:c r="C13632" s="121" t="n"/>
      <s:c r="D13632" s="121" t="n"/>
      <s:c r="E13632" s="122" t="n"/>
    </s:row>
    <s:row r="13633" hidden="1" ht="1" customHeight="1">
      <s:c r="A13633" s="120" t="inlineStr"/>
      <s:c r="B13633" s="121" t="n"/>
      <s:c r="C13633" s="121" t="n"/>
      <s:c r="D13633" s="121" t="n"/>
      <s:c r="E13633" s="122" t="n"/>
    </s:row>
    <s:row r="13634" hidden="1" ht="1" customHeight="1">
      <s:c r="A13634" s="120" t="inlineStr"/>
      <s:c r="B13634" s="121" t="n"/>
      <s:c r="C13634" s="121" t="n"/>
      <s:c r="D13634" s="121" t="n"/>
      <s:c r="E13634" s="122" t="n"/>
    </s:row>
    <s:row r="13635" hidden="1" ht="1" customHeight="1">
      <s:c r="A13635" s="120" t="inlineStr"/>
      <s:c r="B13635" s="121" t="n"/>
      <s:c r="C13635" s="121" t="n"/>
      <s:c r="D13635" s="121" t="n"/>
      <s:c r="E13635" s="122" t="n"/>
    </s:row>
    <s:row r="13636" hidden="1" ht="1" customHeight="1">
      <s:c r="A13636" s="120" t="inlineStr"/>
      <s:c r="B13636" s="121" t="n"/>
      <s:c r="C13636" s="121" t="n"/>
      <s:c r="D13636" s="121" t="n"/>
      <s:c r="E13636" s="122" t="n"/>
    </s:row>
    <s:row r="13637" hidden="1" ht="1" customHeight="1">
      <s:c r="A13637" s="120" t="inlineStr"/>
      <s:c r="B13637" s="121" t="n"/>
      <s:c r="C13637" s="121" t="n"/>
      <s:c r="D13637" s="121" t="n"/>
      <s:c r="E13637" s="122" t="n"/>
    </s:row>
    <s:row r="13638" hidden="1" ht="1" customHeight="1">
      <s:c r="A13638" s="120" t="inlineStr"/>
      <s:c r="B13638" s="121" t="n"/>
      <s:c r="C13638" s="121" t="n"/>
      <s:c r="D13638" s="121" t="n"/>
      <s:c r="E13638" s="122" t="n"/>
    </s:row>
    <s:row r="13639" hidden="1" ht="1" customHeight="1">
      <s:c r="A13639" s="120" t="inlineStr"/>
      <s:c r="B13639" s="121" t="n"/>
      <s:c r="C13639" s="121" t="n"/>
      <s:c r="D13639" s="121" t="n"/>
      <s:c r="E13639" s="122" t="n"/>
    </s:row>
    <s:row r="13640" hidden="1" ht="1" customHeight="1">
      <s:c r="A13640" s="120" t="inlineStr"/>
      <s:c r="B13640" s="121" t="n"/>
      <s:c r="C13640" s="121" t="n"/>
      <s:c r="D13640" s="121" t="n"/>
      <s:c r="E13640" s="122" t="n"/>
    </s:row>
    <s:row r="13641" hidden="1" ht="1" customHeight="1">
      <s:c r="A13641" s="120" t="inlineStr"/>
      <s:c r="B13641" s="121" t="n"/>
      <s:c r="C13641" s="121" t="n"/>
      <s:c r="D13641" s="121" t="n"/>
      <s:c r="E13641" s="122" t="n"/>
    </s:row>
    <s:row r="13642" hidden="1" ht="1" customHeight="1">
      <s:c r="A13642" s="120" t="inlineStr"/>
      <s:c r="B13642" s="121" t="n"/>
      <s:c r="C13642" s="121" t="n"/>
      <s:c r="D13642" s="121" t="n"/>
      <s:c r="E13642" s="122" t="n"/>
    </s:row>
    <s:row r="13643" hidden="1" ht="1" customHeight="1">
      <s:c r="A13643" s="120" t="inlineStr"/>
      <s:c r="B13643" s="121" t="n"/>
      <s:c r="C13643" s="121" t="n"/>
      <s:c r="D13643" s="121" t="n"/>
      <s:c r="E13643" s="122" t="n"/>
    </s:row>
    <s:row r="13644" hidden="1" ht="1" customHeight="1">
      <s:c r="A13644" s="120" t="inlineStr"/>
      <s:c r="B13644" s="121" t="n"/>
      <s:c r="C13644" s="121" t="n"/>
      <s:c r="D13644" s="121" t="n"/>
      <s:c r="E13644" s="122" t="n"/>
    </s:row>
    <s:row r="13645" hidden="1" ht="1" customHeight="1">
      <s:c r="A13645" s="120" t="inlineStr"/>
      <s:c r="B13645" s="121" t="n"/>
      <s:c r="C13645" s="121" t="n"/>
      <s:c r="D13645" s="121" t="n"/>
      <s:c r="E13645" s="122" t="n"/>
    </s:row>
    <s:row r="13646" hidden="1" ht="1" customHeight="1">
      <s:c r="A13646" s="120" t="inlineStr"/>
      <s:c r="B13646" s="121" t="n"/>
      <s:c r="C13646" s="121" t="n"/>
      <s:c r="D13646" s="121" t="n"/>
      <s:c r="E13646" s="122" t="n"/>
    </s:row>
    <s:row r="13647" hidden="1" ht="1" customHeight="1">
      <s:c r="A13647" s="120" t="inlineStr"/>
      <s:c r="B13647" s="121" t="n"/>
      <s:c r="C13647" s="121" t="n"/>
      <s:c r="D13647" s="121" t="n"/>
      <s:c r="E13647" s="122" t="n"/>
    </s:row>
    <s:row r="13648" hidden="1" ht="1" customHeight="1">
      <s:c r="A13648" s="120" t="inlineStr"/>
      <s:c r="B13648" s="121" t="n"/>
      <s:c r="C13648" s="121" t="n"/>
      <s:c r="D13648" s="121" t="n"/>
      <s:c r="E13648" s="122" t="n"/>
    </s:row>
    <s:row r="13649" hidden="1" ht="1" customHeight="1">
      <s:c r="A13649" s="120" t="inlineStr"/>
      <s:c r="B13649" s="121" t="n"/>
      <s:c r="C13649" s="121" t="n"/>
      <s:c r="D13649" s="121" t="n"/>
      <s:c r="E13649" s="122" t="n"/>
    </s:row>
    <s:row r="13650" hidden="1" ht="1" customHeight="1">
      <s:c r="A13650" s="120" t="inlineStr"/>
      <s:c r="B13650" s="121" t="n"/>
      <s:c r="C13650" s="121" t="n"/>
      <s:c r="D13650" s="121" t="n"/>
      <s:c r="E13650" s="122" t="n"/>
    </s:row>
    <s:row r="13651" hidden="1" ht="1" customHeight="1">
      <s:c r="A13651" s="120" t="inlineStr"/>
      <s:c r="B13651" s="121" t="n"/>
      <s:c r="C13651" s="121" t="n"/>
      <s:c r="D13651" s="121" t="n"/>
      <s:c r="E13651" s="122" t="n"/>
    </s:row>
    <s:row r="13652" hidden="1" ht="1" customHeight="1">
      <s:c r="A13652" s="120" t="inlineStr"/>
      <s:c r="B13652" s="121" t="n"/>
      <s:c r="C13652" s="121" t="n"/>
      <s:c r="D13652" s="121" t="n"/>
      <s:c r="E13652" s="122" t="n"/>
    </s:row>
    <s:row r="13653" hidden="1" ht="1" customHeight="1">
      <s:c r="A13653" s="120" t="inlineStr"/>
      <s:c r="B13653" s="121" t="n"/>
      <s:c r="C13653" s="121" t="n"/>
      <s:c r="D13653" s="121" t="n"/>
      <s:c r="E13653" s="122" t="n"/>
    </s:row>
    <s:row r="13654" hidden="1" ht="1" customHeight="1">
      <s:c r="A13654" s="120" t="inlineStr"/>
      <s:c r="B13654" s="121" t="n"/>
      <s:c r="C13654" s="121" t="n"/>
      <s:c r="D13654" s="121" t="n"/>
      <s:c r="E13654" s="122" t="n"/>
    </s:row>
    <s:row r="13655" hidden="1" ht="1" customHeight="1">
      <s:c r="A13655" s="120" t="inlineStr"/>
      <s:c r="B13655" s="121" t="n"/>
      <s:c r="C13655" s="121" t="n"/>
      <s:c r="D13655" s="121" t="n"/>
      <s:c r="E13655" s="122" t="n"/>
    </s:row>
    <s:row r="13656" hidden="1" ht="1" customHeight="1">
      <s:c r="A13656" s="120" t="inlineStr"/>
      <s:c r="B13656" s="121" t="n"/>
      <s:c r="C13656" s="121" t="n"/>
      <s:c r="D13656" s="121" t="n"/>
      <s:c r="E13656" s="122" t="n"/>
    </s:row>
    <s:row r="13657" hidden="1" ht="1" customHeight="1">
      <s:c r="A13657" s="120" t="inlineStr"/>
      <s:c r="B13657" s="121" t="n"/>
      <s:c r="C13657" s="121" t="n"/>
      <s:c r="D13657" s="121" t="n"/>
      <s:c r="E13657" s="122" t="n"/>
    </s:row>
    <s:row r="13658" hidden="1" ht="1" customHeight="1">
      <s:c r="A13658" s="120" t="inlineStr"/>
      <s:c r="B13658" s="121" t="n"/>
      <s:c r="C13658" s="121" t="n"/>
      <s:c r="D13658" s="121" t="n"/>
      <s:c r="E13658" s="122" t="n"/>
    </s:row>
    <s:row r="13659" hidden="1" ht="1" customHeight="1">
      <s:c r="A13659" s="120" t="inlineStr"/>
      <s:c r="B13659" s="121" t="n"/>
      <s:c r="C13659" s="121" t="n"/>
      <s:c r="D13659" s="121" t="n"/>
      <s:c r="E13659" s="122" t="n"/>
    </s:row>
    <s:row r="13660" hidden="1" ht="1" customHeight="1">
      <s:c r="A13660" s="120" t="inlineStr"/>
      <s:c r="B13660" s="121" t="n"/>
      <s:c r="C13660" s="121" t="n"/>
      <s:c r="D13660" s="121" t="n"/>
      <s:c r="E13660" s="122" t="n"/>
    </s:row>
    <s:row r="13661" hidden="1" ht="1" customHeight="1">
      <s:c r="A13661" s="120" t="inlineStr"/>
      <s:c r="B13661" s="121" t="n"/>
      <s:c r="C13661" s="121" t="n"/>
      <s:c r="D13661" s="121" t="n"/>
      <s:c r="E13661" s="122" t="n"/>
    </s:row>
    <s:row r="13662" hidden="1" ht="1" customHeight="1">
      <s:c r="A13662" s="120" t="inlineStr"/>
      <s:c r="B13662" s="121" t="n"/>
      <s:c r="C13662" s="121" t="n"/>
      <s:c r="D13662" s="121" t="n"/>
      <s:c r="E13662" s="122" t="n"/>
    </s:row>
    <s:row r="13663" hidden="1" ht="1" customHeight="1">
      <s:c r="A13663" s="120" t="inlineStr"/>
      <s:c r="B13663" s="121" t="n"/>
      <s:c r="C13663" s="121" t="n"/>
      <s:c r="D13663" s="121" t="n"/>
      <s:c r="E13663" s="122" t="n"/>
    </s:row>
    <s:row r="13664" hidden="1" ht="1" customHeight="1">
      <s:c r="A13664" s="120" t="inlineStr"/>
      <s:c r="B13664" s="121" t="n"/>
      <s:c r="C13664" s="121" t="n"/>
      <s:c r="D13664" s="121" t="n"/>
      <s:c r="E13664" s="122" t="n"/>
    </s:row>
    <s:row r="13665" hidden="1" ht="1" customHeight="1">
      <s:c r="A13665" s="120" t="inlineStr"/>
      <s:c r="B13665" s="121" t="n"/>
      <s:c r="C13665" s="121" t="n"/>
      <s:c r="D13665" s="121" t="n"/>
      <s:c r="E13665" s="122" t="n"/>
    </s:row>
    <s:row r="13666" hidden="1" ht="1" customHeight="1">
      <s:c r="A13666" s="120" t="inlineStr"/>
      <s:c r="B13666" s="121" t="n"/>
      <s:c r="C13666" s="121" t="n"/>
      <s:c r="D13666" s="121" t="n"/>
      <s:c r="E13666" s="122" t="n"/>
    </s:row>
    <s:row r="13667" hidden="1" ht="1" customHeight="1">
      <s:c r="A13667" s="120" t="inlineStr"/>
      <s:c r="B13667" s="121" t="n"/>
      <s:c r="C13667" s="121" t="n"/>
      <s:c r="D13667" s="121" t="n"/>
      <s:c r="E13667" s="122" t="n"/>
    </s:row>
    <s:row r="13668" hidden="1" ht="1" customHeight="1">
      <s:c r="A13668" s="120" t="inlineStr"/>
      <s:c r="B13668" s="121" t="n"/>
      <s:c r="C13668" s="121" t="n"/>
      <s:c r="D13668" s="121" t="n"/>
      <s:c r="E13668" s="122" t="n"/>
    </s:row>
    <s:row r="13669" hidden="1" ht="1" customHeight="1">
      <s:c r="A13669" s="120" t="inlineStr"/>
      <s:c r="B13669" s="121" t="n"/>
      <s:c r="C13669" s="121" t="n"/>
      <s:c r="D13669" s="121" t="n"/>
      <s:c r="E13669" s="122" t="n"/>
    </s:row>
    <s:row r="13670" hidden="1" ht="1" customHeight="1">
      <s:c r="A13670" s="83" t="inlineStr">
        <s:is>
          <s:t>PASS</s:t>
        </s:is>
      </s:c>
      <s:c r="B13670" s="83">
        <s:f>SUM(IF(EXACT('Kiểm thử'!E13570,"Đạt"),1,0),IF(EXACT('Kiểm thử'!E13572,"Đạt"),1,0))</s:f>
        <s:v/>
      </s:c>
      <s:c r="C13670" s="19" t="n"/>
      <s:c r="D13670" s="19" t="n"/>
      <s:c r="E13670" s="19" t="n"/>
    </s:row>
    <s:row r="13671" hidden="1" ht="1" customHeight="1">
      <s:c r="A13671" s="83" t="inlineStr">
        <s:is>
          <s:t>FAIL</s:t>
        </s:is>
      </s:c>
      <s:c r="B13671" s="83">
        <s:f>SUM(IF(EXACT('Kiểm thử'!E13570,"Không đạt"),1,0),IF(EXACT('Kiểm thử'!E13572,"Không đạt"),1,0))</s:f>
        <s:v/>
      </s:c>
      <s:c r="C13671" s="19" t="n"/>
      <s:c r="D13671" s="19" t="n"/>
      <s:c r="E13671" s="19" t="n"/>
    </s:row>
    <s:row r="13672" hidden="1" ht="1" customHeight="1">
      <s:c r="A13672" s="83" t="inlineStr">
        <s:is>
          <s:t>BLOCKED</s:t>
        </s:is>
      </s:c>
      <s:c r="B13672" s="83">
        <s:f>SUM(IF(EXACT('Kiểm thử'!E13570,"Bị chặn"),1,0),IF(EXACT('Kiểm thử'!E13572,"Bị chặn"),1,0))</s:f>
        <s:v/>
      </s:c>
      <s:c r="C13672" s="19" t="n"/>
      <s:c r="D13672" s="19" t="n"/>
      <s:c r="E13672" s="19" t="n"/>
    </s:row>
    <s:row r="13673" hidden="1" ht="1" customHeight="1">
      <s:c r="A13673" s="83" t="inlineStr">
        <s:is>
          <s:t>SKIPPED</s:t>
        </s:is>
      </s:c>
      <s:c r="B13673" s="83">
        <s:f>SUM(IF(EXACT('Kiểm thử'!E13570,"Không thực hiện"),1,0),IF(EXACT('Kiểm thử'!E13572,"Không thực hiện"),1,0))</s:f>
        <s:v/>
      </s:c>
      <s:c r="C13673" s="19" t="n"/>
      <s:c r="D13673" s="19" t="n"/>
      <s:c r="E13673" s="19" t="n"/>
    </s:row>
    <s:row r="13674" hidden="1" ht="1" customHeight="1">
      <s:c r="A13674" s="83" t="inlineStr">
        <s:is>
          <s:t>NOT RUN</s:t>
        </s:is>
      </s:c>
      <s:c r="B13674" s="83">
        <s:f>SUM(IF(EXACT('Kiểm thử'!E13570,"Chưa thực hiện"),1,0),IF(EXACT('Kiểm thử'!E13572,"Chưa thực hiện"),1,0))</s:f>
        <s:v/>
      </s:c>
      <s:c r="C13674" s="19" t="n"/>
      <s:c r="D13674" s="19" t="n"/>
      <s:c r="E13674" s="19" t="n"/>
    </s:row>
    <s:row r="13675" hidden="1" ht="6" customHeight="1">
      <s:c r="A13675" s="83" t="inlineStr"/>
      <s:c r="B13675" s="19" t="n"/>
      <s:c r="C13675" s="19" t="n"/>
      <s:c r="D13675" s="19" t="n"/>
      <s:c r="E13675" s="19" t="n"/>
    </s:row>
    <s:row r="13676" ht="28" customHeight="1">
      <s:c r="A13676" s="108" t="inlineStr">
        <s:is>
          <s:t>TC-RS-FUNC-018 — Liên kết kết quả chấm bài thi kích hoạt xét</s:t>
        </s:is>
      </s:c>
      <s:c r="B13676" s="111" t="n"/>
      <s:c r="C13676" s="111" t="n"/>
      <s:c r="D13676" s="111" t="n"/>
      <s:c r="E13676" s="111" t="n"/>
    </s:row>
    <s:row r="13677" ht="20" customHeight="1">
      <s:c r="A13677" s="112" t="inlineStr">
        <s:is>
          <s:t>Kết quả tình huống</s:t>
        </s:is>
      </s:c>
      <s:c r="B13677" s="113">
        <s:f>IF(SUM(IF(EXACT('Kiểm thử'!E13686,"Không đạt"),1,0),IF(EXACT('Kiểm thử'!E13688,"Không đạt"),1,0))&gt;0,"Không đạt",IF(SUM(IF(EXACT('Kiểm thử'!E13686,"Đạt"),1,0),IF(EXACT('Kiểm thử'!E13688,"Đạt"),1,0))=2,"Đạt",IF(SUM(IF(EXACT('Kiểm thử'!E13686,"Không thực hiện"),1,0),IF(EXACT('Kiểm thử'!E13688,"Không thực hiện"),1,0))=2,"Không thực hiện",IF(SUM(IF(EXACT('Kiểm thử'!E13686,"Bị chặn"),1,0),IF(EXACT('Kiểm thử'!E13688,"Bị chặn"),1,0))&gt;0,"Bị chặn",IF(SUM(IF(EXACT('Kiểm thử'!E13686,"Chưa thực hiện"),1,0),IF(EXACT('Kiểm thử'!E13688,"Chưa thực hiện"),1,0))=2,"Chưa thực hiện","Đang thực hiện")))))</s:f>
        <s:v/>
      </s:c>
      <s:c r="C13677" s="114" t="n"/>
      <s:c r="D13677" s="114" t="n"/>
      <s:c r="E13677" s="114" t="n"/>
    </s:row>
    <s:row r="13678" ht="20" customHeight="1">
      <s:c r="A13678" s="112" t="inlineStr">
        <s:is>
          <s:t>Màn hình / chức năng</s:t>
        </s:is>
      </s:c>
      <s:c r="B13678" s="113" t="inlineStr">
        <s:is>
          <s:t>Vòng đời kết quả</s:t>
        </s:is>
      </s:c>
      <s:c r="C13678" s="28" t="n"/>
      <s:c r="D13678" s="28" t="n"/>
      <s:c r="E13678" s="28" t="n"/>
    </s:row>
    <s:row r="13679" ht="62" customHeight="1">
      <s:c r="A13679" s="112" t="inlineStr">
        <s:is>
          <s:t>Cấu hình</s:t>
        </s:is>
      </s:c>
      <s:c r="B13679" s="113" t="inlineStr">
        <s:is>
          <s:r>
            <s:t>• Có bài thi đã chấm liên kết tới mục số nguyên (</s:t>
          </s:r>
          <s:r>
            <s:rPr>
              <s:b val="1"/>
            </s:rPr>
            <s:t>M=100</s:t>
          </s:r>
          <s:r>
            <s:t>) cho lớp G-A và lớp G-C;
• Quy tắc “Cố định 30” (dưới 30) trên mục số nguyên (</s:t>
          </s:r>
          <s:r>
            <s:rPr>
              <s:b val="1"/>
            </s:rPr>
            <s:t>M=100</s:t>
          </s:r>
          <s:r>
            <s:t xml:space="preserve">). G-A đủ thiết lập để AutoRating chạy. G-C được chuẩn bị để [createArgument] không trả lớp này (ví dụ chưa đăng ký thiết lập </s:t>
          </s:r>
          <s:r>
            <s:rPr>
              <s:b val="1"/>
            </s:rPr>
            <s:t>lớp học bắt buộc（入力必須の授業設定）</s:t>
          </s:r>
          <s:r>
            <s:t>), nên AutoRating bị bỏ qua.</s:t>
          </s:r>
        </s:is>
      </s:c>
      <s:c r="C13679" s="28" t="n"/>
      <s:c r="D13679" s="28" t="n"/>
      <s:c r="E13679" s="28" t="n"/>
    </s:row>
    <s:row r="13680" ht="34" customHeight="1">
      <s:c r="A13680" s="112" t="inlineStr">
        <s:is>
          <s:t>Dữ liệu test</s:t>
        </s:is>
      </s:c>
      <s:c r="B13680" s="113" t="inlineStr">
        <s:is>
          <s:r>
            <s:t>• Mục số nguyên (</s:t>
          </s:r>
          <s:r>
            <s:rPr>
              <s:b val="1"/>
            </s:rPr>
            <s:t>M=100</s:t>
          </s:r>
          <s:r>
            <s:t>);
• Quy tắc “Cố định 30” (dưới 30), các lớp học phần G-A, G-B, G-C, học sinh S01 (điểm 29)</s:t>
          </s:r>
        </s:is>
      </s:c>
      <s:c r="C13680" s="28" t="n"/>
      <s:c r="D13680" s="28" t="n"/>
      <s:c r="E13680" s="28" t="n"/>
    </s:row>
    <s:row r="13681" ht="20" customHeight="1">
      <s:c r="A13681" s="112" t="inlineStr">
        <s:is>
          <s:t>Bước 1</s:t>
        </s:is>
      </s:c>
      <s:c r="B13681" s="113" t="inlineStr">
        <s:is>
          <s:t>Xác minh đúng bài thi đã chấm và identity lớp/mục/ô đích của trường hợp.</s:t>
        </s:is>
      </s:c>
      <s:c r="C13681" s="28" t="n"/>
      <s:c r="D13681" s="28" t="n"/>
      <s:c r="E13681" s="28" t="n"/>
    </s:row>
    <s:row r="13682" ht="20" customHeight="1">
      <s:c r="A13682" s="112" t="inlineStr">
        <s:is>
          <s:t>Bước 2</s:t>
        </s:is>
      </s:c>
      <s:c r="B13682" s="113" t="inlineStr">
        <s:is>
          <s:t>Liên kết và đọc điểm cuối đã ghi/kết quả đỏ; không bỏ qua ô đã ghi khi AutoRating không chạy.</s:t>
        </s:is>
      </s:c>
      <s:c r="C13682" s="28" t="n"/>
      <s:c r="D13682" s="28" t="n"/>
      <s:c r="E13682" s="28" t="n"/>
    </s:row>
    <s:row r="13683" ht="34" customHeight="1">
      <s:c r="A13683" s="112" t="inlineStr">
        <s:is>
          <s:t>Bước 3</s:t>
        </s:is>
      </s:c>
      <s:c r="B13683" s="113" t="inlineStr">
        <s:is>
          <s:t>Nếu kiểm phần tùy chọn cần trung bình, ghi giới hạn nguồn cũ còn TBD, không kết luận PASS/FAIL phần đó.</s:t>
        </s:is>
      </s:c>
      <s:c r="C13683" s="28" t="n"/>
      <s:c r="D13683" s="28" t="n"/>
      <s:c r="E13683" s="28" t="n"/>
    </s:row>
    <s:row r="13684" ht="28" customHeight="1">
      <s:c r="A13684" s="115" t="inlineStr">
        <s:is>
          <s:t>Trường hợp</s:t>
        </s:is>
      </s:c>
      <s:c r="B13684" s="115" t="inlineStr">
        <s:is>
          <s:t>Dữ liệu / thao tác riêng</s:t>
        </s:is>
      </s:c>
      <s:c r="C13684" s="115" t="inlineStr">
        <s:is>
          <s:t>Kết quả mong đợi</s:t>
        </s:is>
      </s:c>
      <s:c r="D13684" s="115" t="inlineStr">
        <s:is>
          <s:t>Kết quả thực tế</s:t>
        </s:is>
      </s:c>
      <s:c r="E13684" s="115" t="inlineStr">
        <s:is>
          <s:t>Đánh giá</s:t>
        </s:is>
      </s:c>
    </s:row>
    <s:row r="13685" ht="3" customHeight="1">
      <s:c r="A13685" s="102" t="inlineStr"/>
      <s:c r="B13685" s="99" t="n"/>
      <s:c r="C13685" s="99" t="n"/>
      <s:c r="D13685" s="116" t="n"/>
      <s:c r="E13685" s="116" t="n"/>
    </s:row>
    <s:row r="13686" ht="90" customHeight="1">
      <s:c r="A13686" s="83" t="inlineStr">
        <s:is>
          <s:t>Liên kết điểm ở G-A (linked)</s:t>
        </s:is>
      </s:c>
      <s:c r="B13686" s="83" t="inlineStr">
        <s:is>
          <s:t>Liên kết bài thi đã chấm G-A/S01=29; đọc điểm/kết quả. Phần trung bình tùy chọn còn TBD.</s:t>
        </s:is>
      </s:c>
      <s:c r="C13686" s="83" t="inlineStr">
        <s:is>
          <s:r>
            <s:t xml:space="preserve">Liên kết điểm S01=29 ở G-A → </s:t>
          </s:r>
          <s:r>
            <s:rPr>
              <s:b val="1"/>
            </s:rPr>
            <s:t>Đỏ</s:t>
          </s:r>
          <s:r>
            <s:t>, gồm trường hợp không có rule tính tự động. Phần tùy chọn cần trung bình: liên kết không chạy tổng hợp thứ hạng nên nguồn có thể cũ; việc chấp nhận nguồn cũ còn TBD, không đánh PASS/FAIL cho phần đó.</s:t>
          </s:r>
        </s:is>
      </s:c>
      <s:c r="D13686" s="117" t="inlineStr"/>
      <s:c r="E13686" s="118" t="inlineStr">
        <s:is>
          <s:t>Chưa thực hiện</s:t>
        </s:is>
      </s:c>
    </s:row>
    <s:row r="13687" ht="3" customHeight="1">
      <s:c r="A13687" s="102" t="inlineStr"/>
      <s:c r="B13687" s="99" t="n"/>
      <s:c r="C13687" s="99" t="n"/>
      <s:c r="D13687" s="116" t="n"/>
      <s:c r="E13687" s="116" t="n"/>
    </s:row>
    <s:row r="13688" ht="76" customHeight="1">
      <s:c r="A13688" s="83" t="inlineStr">
        <s:is>
          <s:t>Nhánh AutoRating bỏ qua ở G-C (auto-skipped)</s:t>
        </s:is>
      </s:c>
      <s:c r="B13688" s="83" t="inlineStr">
        <s:is>
          <s:t>G-C bị createArgument/AutoRating bỏ qua; liên kết điểm28 của G-C và đọc mọi ô đã ghi.</s:t>
        </s:is>
      </s:c>
      <s:c r="C13688" s="83" t="inlineStr">
        <s:is>
          <s:r>
            <s:t xml:space="preserve">G-C bị AutoRating bỏ qua nhưng đã ghi điểm 28 → ô đó phải được xét </s:t>
          </s:r>
          <s:r>
            <s:rPr>
              <s:b val="1"/>
            </s:rPr>
            <s:t>Đỏ</s:t>
          </s:r>
          <s:r>
            <s:t>; không có ô đã ghi ở G-C bị để lại không có kết quả. Phần tùy chọn cần trung bình còn TBD, không đánh PASS/FAIL cho việc chấp nhận nguồn cũ.</s:t>
          </s:r>
        </s:is>
      </s:c>
      <s:c r="D13688" s="117" t="inlineStr"/>
      <s:c r="E13688" s="118" t="inlineStr">
        <s:is>
          <s:t>Chưa thực hiện</s:t>
        </s:is>
      </s:c>
    </s:row>
    <s:row r="13689" ht="20" customHeight="1">
      <s:c r="A13689" s="119" t="inlineStr">
        <s:is>
          <s:t>Ảnh minh chứng — Chưa có ảnh</s:t>
        </s:is>
      </s:c>
      <s:c r="B13689" s="19" t="n"/>
      <s:c r="C13689" s="19" t="n"/>
      <s:c r="D13689" s="19" t="n"/>
      <s:c r="E13689" s="19" t="n"/>
    </s:row>
    <s:row r="13690" hidden="1" ht="1" customHeight="1">
      <s:c r="A13690" s="120" t="inlineStr"/>
      <s:c r="B13690" s="121" t="n"/>
      <s:c r="C13690" s="121" t="n"/>
      <s:c r="D13690" s="121" t="n"/>
      <s:c r="E13690" s="122" t="n"/>
    </s:row>
    <s:row r="13691" hidden="1" ht="1" customHeight="1">
      <s:c r="A13691" s="120" t="inlineStr"/>
      <s:c r="B13691" s="121" t="n"/>
      <s:c r="C13691" s="121" t="n"/>
      <s:c r="D13691" s="121" t="n"/>
      <s:c r="E13691" s="122" t="n"/>
    </s:row>
    <s:row r="13692" hidden="1" ht="1" customHeight="1">
      <s:c r="A13692" s="120" t="inlineStr"/>
      <s:c r="B13692" s="121" t="n"/>
      <s:c r="C13692" s="121" t="n"/>
      <s:c r="D13692" s="121" t="n"/>
      <s:c r="E13692" s="122" t="n"/>
    </s:row>
    <s:row r="13693" hidden="1" ht="1" customHeight="1">
      <s:c r="A13693" s="120" t="inlineStr"/>
      <s:c r="B13693" s="121" t="n"/>
      <s:c r="C13693" s="121" t="n"/>
      <s:c r="D13693" s="121" t="n"/>
      <s:c r="E13693" s="122" t="n"/>
    </s:row>
    <s:row r="13694" hidden="1" ht="1" customHeight="1">
      <s:c r="A13694" s="120" t="inlineStr"/>
      <s:c r="B13694" s="121" t="n"/>
      <s:c r="C13694" s="121" t="n"/>
      <s:c r="D13694" s="121" t="n"/>
      <s:c r="E13694" s="122" t="n"/>
    </s:row>
    <s:row r="13695" hidden="1" ht="1" customHeight="1">
      <s:c r="A13695" s="120" t="inlineStr"/>
      <s:c r="B13695" s="121" t="n"/>
      <s:c r="C13695" s="121" t="n"/>
      <s:c r="D13695" s="121" t="n"/>
      <s:c r="E13695" s="122" t="n"/>
    </s:row>
    <s:row r="13696" hidden="1" ht="1" customHeight="1">
      <s:c r="A13696" s="120" t="inlineStr"/>
      <s:c r="B13696" s="121" t="n"/>
      <s:c r="C13696" s="121" t="n"/>
      <s:c r="D13696" s="121" t="n"/>
      <s:c r="E13696" s="122" t="n"/>
    </s:row>
    <s:row r="13697" hidden="1" ht="1" customHeight="1">
      <s:c r="A13697" s="120" t="inlineStr"/>
      <s:c r="B13697" s="121" t="n"/>
      <s:c r="C13697" s="121" t="n"/>
      <s:c r="D13697" s="121" t="n"/>
      <s:c r="E13697" s="122" t="n"/>
    </s:row>
    <s:row r="13698" hidden="1" ht="1" customHeight="1">
      <s:c r="A13698" s="120" t="inlineStr"/>
      <s:c r="B13698" s="121" t="n"/>
      <s:c r="C13698" s="121" t="n"/>
      <s:c r="D13698" s="121" t="n"/>
      <s:c r="E13698" s="122" t="n"/>
    </s:row>
    <s:row r="13699" hidden="1" ht="1" customHeight="1">
      <s:c r="A13699" s="120" t="inlineStr"/>
      <s:c r="B13699" s="121" t="n"/>
      <s:c r="C13699" s="121" t="n"/>
      <s:c r="D13699" s="121" t="n"/>
      <s:c r="E13699" s="122" t="n"/>
    </s:row>
    <s:row r="13700" hidden="1" ht="1" customHeight="1">
      <s:c r="A13700" s="120" t="inlineStr"/>
      <s:c r="B13700" s="121" t="n"/>
      <s:c r="C13700" s="121" t="n"/>
      <s:c r="D13700" s="121" t="n"/>
      <s:c r="E13700" s="122" t="n"/>
    </s:row>
    <s:row r="13701" hidden="1" ht="1" customHeight="1">
      <s:c r="A13701" s="120" t="inlineStr"/>
      <s:c r="B13701" s="121" t="n"/>
      <s:c r="C13701" s="121" t="n"/>
      <s:c r="D13701" s="121" t="n"/>
      <s:c r="E13701" s="122" t="n"/>
    </s:row>
    <s:row r="13702" hidden="1" ht="1" customHeight="1">
      <s:c r="A13702" s="120" t="inlineStr"/>
      <s:c r="B13702" s="121" t="n"/>
      <s:c r="C13702" s="121" t="n"/>
      <s:c r="D13702" s="121" t="n"/>
      <s:c r="E13702" s="122" t="n"/>
    </s:row>
    <s:row r="13703" hidden="1" ht="1" customHeight="1">
      <s:c r="A13703" s="120" t="inlineStr"/>
      <s:c r="B13703" s="121" t="n"/>
      <s:c r="C13703" s="121" t="n"/>
      <s:c r="D13703" s="121" t="n"/>
      <s:c r="E13703" s="122" t="n"/>
    </s:row>
    <s:row r="13704" hidden="1" ht="1" customHeight="1">
      <s:c r="A13704" s="120" t="inlineStr"/>
      <s:c r="B13704" s="121" t="n"/>
      <s:c r="C13704" s="121" t="n"/>
      <s:c r="D13704" s="121" t="n"/>
      <s:c r="E13704" s="122" t="n"/>
    </s:row>
    <s:row r="13705" hidden="1" ht="1" customHeight="1">
      <s:c r="A13705" s="120" t="inlineStr"/>
      <s:c r="B13705" s="121" t="n"/>
      <s:c r="C13705" s="121" t="n"/>
      <s:c r="D13705" s="121" t="n"/>
      <s:c r="E13705" s="122" t="n"/>
    </s:row>
    <s:row r="13706" hidden="1" ht="1" customHeight="1">
      <s:c r="A13706" s="120" t="inlineStr"/>
      <s:c r="B13706" s="121" t="n"/>
      <s:c r="C13706" s="121" t="n"/>
      <s:c r="D13706" s="121" t="n"/>
      <s:c r="E13706" s="122" t="n"/>
    </s:row>
    <s:row r="13707" hidden="1" ht="1" customHeight="1">
      <s:c r="A13707" s="120" t="inlineStr"/>
      <s:c r="B13707" s="121" t="n"/>
      <s:c r="C13707" s="121" t="n"/>
      <s:c r="D13707" s="121" t="n"/>
      <s:c r="E13707" s="122" t="n"/>
    </s:row>
    <s:row r="13708" hidden="1" ht="1" customHeight="1">
      <s:c r="A13708" s="120" t="inlineStr"/>
      <s:c r="B13708" s="121" t="n"/>
      <s:c r="C13708" s="121" t="n"/>
      <s:c r="D13708" s="121" t="n"/>
      <s:c r="E13708" s="122" t="n"/>
    </s:row>
    <s:row r="13709" hidden="1" ht="1" customHeight="1">
      <s:c r="A13709" s="120" t="inlineStr"/>
      <s:c r="B13709" s="121" t="n"/>
      <s:c r="C13709" s="121" t="n"/>
      <s:c r="D13709" s="121" t="n"/>
      <s:c r="E13709" s="122" t="n"/>
    </s:row>
    <s:row r="13710" hidden="1" ht="1" customHeight="1">
      <s:c r="A13710" s="120" t="inlineStr"/>
      <s:c r="B13710" s="121" t="n"/>
      <s:c r="C13710" s="121" t="n"/>
      <s:c r="D13710" s="121" t="n"/>
      <s:c r="E13710" s="122" t="n"/>
    </s:row>
    <s:row r="13711" hidden="1" ht="1" customHeight="1">
      <s:c r="A13711" s="120" t="inlineStr"/>
      <s:c r="B13711" s="121" t="n"/>
      <s:c r="C13711" s="121" t="n"/>
      <s:c r="D13711" s="121" t="n"/>
      <s:c r="E13711" s="122" t="n"/>
    </s:row>
    <s:row r="13712" hidden="1" ht="1" customHeight="1">
      <s:c r="A13712" s="120" t="inlineStr"/>
      <s:c r="B13712" s="121" t="n"/>
      <s:c r="C13712" s="121" t="n"/>
      <s:c r="D13712" s="121" t="n"/>
      <s:c r="E13712" s="122" t="n"/>
    </s:row>
    <s:row r="13713" hidden="1" ht="1" customHeight="1">
      <s:c r="A13713" s="120" t="inlineStr"/>
      <s:c r="B13713" s="121" t="n"/>
      <s:c r="C13713" s="121" t="n"/>
      <s:c r="D13713" s="121" t="n"/>
      <s:c r="E13713" s="122" t="n"/>
    </s:row>
    <s:row r="13714" hidden="1" ht="1" customHeight="1">
      <s:c r="A13714" s="120" t="inlineStr"/>
      <s:c r="B13714" s="121" t="n"/>
      <s:c r="C13714" s="121" t="n"/>
      <s:c r="D13714" s="121" t="n"/>
      <s:c r="E13714" s="122" t="n"/>
    </s:row>
    <s:row r="13715" hidden="1" ht="1" customHeight="1">
      <s:c r="A13715" s="120" t="inlineStr"/>
      <s:c r="B13715" s="121" t="n"/>
      <s:c r="C13715" s="121" t="n"/>
      <s:c r="D13715" s="121" t="n"/>
      <s:c r="E13715" s="122" t="n"/>
    </s:row>
    <s:row r="13716" hidden="1" ht="1" customHeight="1">
      <s:c r="A13716" s="120" t="inlineStr"/>
      <s:c r="B13716" s="121" t="n"/>
      <s:c r="C13716" s="121" t="n"/>
      <s:c r="D13716" s="121" t="n"/>
      <s:c r="E13716" s="122" t="n"/>
    </s:row>
    <s:row r="13717" hidden="1" ht="1" customHeight="1">
      <s:c r="A13717" s="120" t="inlineStr"/>
      <s:c r="B13717" s="121" t="n"/>
      <s:c r="C13717" s="121" t="n"/>
      <s:c r="D13717" s="121" t="n"/>
      <s:c r="E13717" s="122" t="n"/>
    </s:row>
    <s:row r="13718" hidden="1" ht="1" customHeight="1">
      <s:c r="A13718" s="120" t="inlineStr"/>
      <s:c r="B13718" s="121" t="n"/>
      <s:c r="C13718" s="121" t="n"/>
      <s:c r="D13718" s="121" t="n"/>
      <s:c r="E13718" s="122" t="n"/>
    </s:row>
    <s:row r="13719" hidden="1" ht="1" customHeight="1">
      <s:c r="A13719" s="120" t="inlineStr"/>
      <s:c r="B13719" s="121" t="n"/>
      <s:c r="C13719" s="121" t="n"/>
      <s:c r="D13719" s="121" t="n"/>
      <s:c r="E13719" s="122" t="n"/>
    </s:row>
    <s:row r="13720" hidden="1" ht="1" customHeight="1">
      <s:c r="A13720" s="120" t="inlineStr"/>
      <s:c r="B13720" s="121" t="n"/>
      <s:c r="C13720" s="121" t="n"/>
      <s:c r="D13720" s="121" t="n"/>
      <s:c r="E13720" s="122" t="n"/>
    </s:row>
    <s:row r="13721" hidden="1" ht="1" customHeight="1">
      <s:c r="A13721" s="120" t="inlineStr"/>
      <s:c r="B13721" s="121" t="n"/>
      <s:c r="C13721" s="121" t="n"/>
      <s:c r="D13721" s="121" t="n"/>
      <s:c r="E13721" s="122" t="n"/>
    </s:row>
    <s:row r="13722" hidden="1" ht="1" customHeight="1">
      <s:c r="A13722" s="120" t="inlineStr"/>
      <s:c r="B13722" s="121" t="n"/>
      <s:c r="C13722" s="121" t="n"/>
      <s:c r="D13722" s="121" t="n"/>
      <s:c r="E13722" s="122" t="n"/>
    </s:row>
    <s:row r="13723" hidden="1" ht="1" customHeight="1">
      <s:c r="A13723" s="120" t="inlineStr"/>
      <s:c r="B13723" s="121" t="n"/>
      <s:c r="C13723" s="121" t="n"/>
      <s:c r="D13723" s="121" t="n"/>
      <s:c r="E13723" s="122" t="n"/>
    </s:row>
    <s:row r="13724" hidden="1" ht="1" customHeight="1">
      <s:c r="A13724" s="120" t="inlineStr"/>
      <s:c r="B13724" s="121" t="n"/>
      <s:c r="C13724" s="121" t="n"/>
      <s:c r="D13724" s="121" t="n"/>
      <s:c r="E13724" s="122" t="n"/>
    </s:row>
    <s:row r="13725" hidden="1" ht="1" customHeight="1">
      <s:c r="A13725" s="120" t="inlineStr"/>
      <s:c r="B13725" s="121" t="n"/>
      <s:c r="C13725" s="121" t="n"/>
      <s:c r="D13725" s="121" t="n"/>
      <s:c r="E13725" s="122" t="n"/>
    </s:row>
    <s:row r="13726" hidden="1" ht="1" customHeight="1">
      <s:c r="A13726" s="120" t="inlineStr"/>
      <s:c r="B13726" s="121" t="n"/>
      <s:c r="C13726" s="121" t="n"/>
      <s:c r="D13726" s="121" t="n"/>
      <s:c r="E13726" s="122" t="n"/>
    </s:row>
    <s:row r="13727" hidden="1" ht="1" customHeight="1">
      <s:c r="A13727" s="120" t="inlineStr"/>
      <s:c r="B13727" s="121" t="n"/>
      <s:c r="C13727" s="121" t="n"/>
      <s:c r="D13727" s="121" t="n"/>
      <s:c r="E13727" s="122" t="n"/>
    </s:row>
    <s:row r="13728" hidden="1" ht="1" customHeight="1">
      <s:c r="A13728" s="120" t="inlineStr"/>
      <s:c r="B13728" s="121" t="n"/>
      <s:c r="C13728" s="121" t="n"/>
      <s:c r="D13728" s="121" t="n"/>
      <s:c r="E13728" s="122" t="n"/>
    </s:row>
    <s:row r="13729" hidden="1" ht="1" customHeight="1">
      <s:c r="A13729" s="120" t="inlineStr"/>
      <s:c r="B13729" s="121" t="n"/>
      <s:c r="C13729" s="121" t="n"/>
      <s:c r="D13729" s="121" t="n"/>
      <s:c r="E13729" s="122" t="n"/>
    </s:row>
    <s:row r="13730" hidden="1" ht="1" customHeight="1">
      <s:c r="A13730" s="120" t="inlineStr"/>
      <s:c r="B13730" s="121" t="n"/>
      <s:c r="C13730" s="121" t="n"/>
      <s:c r="D13730" s="121" t="n"/>
      <s:c r="E13730" s="122" t="n"/>
    </s:row>
    <s:row r="13731" hidden="1" ht="1" customHeight="1">
      <s:c r="A13731" s="120" t="inlineStr"/>
      <s:c r="B13731" s="121" t="n"/>
      <s:c r="C13731" s="121" t="n"/>
      <s:c r="D13731" s="121" t="n"/>
      <s:c r="E13731" s="122" t="n"/>
    </s:row>
    <s:row r="13732" hidden="1" ht="1" customHeight="1">
      <s:c r="A13732" s="120" t="inlineStr"/>
      <s:c r="B13732" s="121" t="n"/>
      <s:c r="C13732" s="121" t="n"/>
      <s:c r="D13732" s="121" t="n"/>
      <s:c r="E13732" s="122" t="n"/>
    </s:row>
    <s:row r="13733" hidden="1" ht="1" customHeight="1">
      <s:c r="A13733" s="120" t="inlineStr"/>
      <s:c r="B13733" s="121" t="n"/>
      <s:c r="C13733" s="121" t="n"/>
      <s:c r="D13733" s="121" t="n"/>
      <s:c r="E13733" s="122" t="n"/>
    </s:row>
    <s:row r="13734" hidden="1" ht="1" customHeight="1">
      <s:c r="A13734" s="120" t="inlineStr"/>
      <s:c r="B13734" s="121" t="n"/>
      <s:c r="C13734" s="121" t="n"/>
      <s:c r="D13734" s="121" t="n"/>
      <s:c r="E13734" s="122" t="n"/>
    </s:row>
    <s:row r="13735" hidden="1" ht="1" customHeight="1">
      <s:c r="A13735" s="120" t="inlineStr"/>
      <s:c r="B13735" s="121" t="n"/>
      <s:c r="C13735" s="121" t="n"/>
      <s:c r="D13735" s="121" t="n"/>
      <s:c r="E13735" s="122" t="n"/>
    </s:row>
    <s:row r="13736" hidden="1" ht="1" customHeight="1">
      <s:c r="A13736" s="120" t="inlineStr"/>
      <s:c r="B13736" s="121" t="n"/>
      <s:c r="C13736" s="121" t="n"/>
      <s:c r="D13736" s="121" t="n"/>
      <s:c r="E13736" s="122" t="n"/>
    </s:row>
    <s:row r="13737" hidden="1" ht="1" customHeight="1">
      <s:c r="A13737" s="120" t="inlineStr"/>
      <s:c r="B13737" s="121" t="n"/>
      <s:c r="C13737" s="121" t="n"/>
      <s:c r="D13737" s="121" t="n"/>
      <s:c r="E13737" s="122" t="n"/>
    </s:row>
    <s:row r="13738" hidden="1" ht="1" customHeight="1">
      <s:c r="A13738" s="120" t="inlineStr"/>
      <s:c r="B13738" s="121" t="n"/>
      <s:c r="C13738" s="121" t="n"/>
      <s:c r="D13738" s="121" t="n"/>
      <s:c r="E13738" s="122" t="n"/>
    </s:row>
    <s:row r="13739" hidden="1" ht="1" customHeight="1">
      <s:c r="A13739" s="120" t="inlineStr"/>
      <s:c r="B13739" s="121" t="n"/>
      <s:c r="C13739" s="121" t="n"/>
      <s:c r="D13739" s="121" t="n"/>
      <s:c r="E13739" s="122" t="n"/>
    </s:row>
    <s:row r="13740" hidden="1" ht="1" customHeight="1">
      <s:c r="A13740" s="120" t="inlineStr"/>
      <s:c r="B13740" s="121" t="n"/>
      <s:c r="C13740" s="121" t="n"/>
      <s:c r="D13740" s="121" t="n"/>
      <s:c r="E13740" s="122" t="n"/>
    </s:row>
    <s:row r="13741" hidden="1" ht="1" customHeight="1">
      <s:c r="A13741" s="120" t="inlineStr"/>
      <s:c r="B13741" s="121" t="n"/>
      <s:c r="C13741" s="121" t="n"/>
      <s:c r="D13741" s="121" t="n"/>
      <s:c r="E13741" s="122" t="n"/>
    </s:row>
    <s:row r="13742" hidden="1" ht="1" customHeight="1">
      <s:c r="A13742" s="120" t="inlineStr"/>
      <s:c r="B13742" s="121" t="n"/>
      <s:c r="C13742" s="121" t="n"/>
      <s:c r="D13742" s="121" t="n"/>
      <s:c r="E13742" s="122" t="n"/>
    </s:row>
    <s:row r="13743" hidden="1" ht="1" customHeight="1">
      <s:c r="A13743" s="120" t="inlineStr"/>
      <s:c r="B13743" s="121" t="n"/>
      <s:c r="C13743" s="121" t="n"/>
      <s:c r="D13743" s="121" t="n"/>
      <s:c r="E13743" s="122" t="n"/>
    </s:row>
    <s:row r="13744" hidden="1" ht="1" customHeight="1">
      <s:c r="A13744" s="120" t="inlineStr"/>
      <s:c r="B13744" s="121" t="n"/>
      <s:c r="C13744" s="121" t="n"/>
      <s:c r="D13744" s="121" t="n"/>
      <s:c r="E13744" s="122" t="n"/>
    </s:row>
    <s:row r="13745" hidden="1" ht="1" customHeight="1">
      <s:c r="A13745" s="120" t="inlineStr"/>
      <s:c r="B13745" s="121" t="n"/>
      <s:c r="C13745" s="121" t="n"/>
      <s:c r="D13745" s="121" t="n"/>
      <s:c r="E13745" s="122" t="n"/>
    </s:row>
    <s:row r="13746" hidden="1" ht="1" customHeight="1">
      <s:c r="A13746" s="120" t="inlineStr"/>
      <s:c r="B13746" s="121" t="n"/>
      <s:c r="C13746" s="121" t="n"/>
      <s:c r="D13746" s="121" t="n"/>
      <s:c r="E13746" s="122" t="n"/>
    </s:row>
    <s:row r="13747" hidden="1" ht="1" customHeight="1">
      <s:c r="A13747" s="120" t="inlineStr"/>
      <s:c r="B13747" s="121" t="n"/>
      <s:c r="C13747" s="121" t="n"/>
      <s:c r="D13747" s="121" t="n"/>
      <s:c r="E13747" s="122" t="n"/>
    </s:row>
    <s:row r="13748" hidden="1" ht="1" customHeight="1">
      <s:c r="A13748" s="120" t="inlineStr"/>
      <s:c r="B13748" s="121" t="n"/>
      <s:c r="C13748" s="121" t="n"/>
      <s:c r="D13748" s="121" t="n"/>
      <s:c r="E13748" s="122" t="n"/>
    </s:row>
    <s:row r="13749" hidden="1" ht="1" customHeight="1">
      <s:c r="A13749" s="120" t="inlineStr"/>
      <s:c r="B13749" s="121" t="n"/>
      <s:c r="C13749" s="121" t="n"/>
      <s:c r="D13749" s="121" t="n"/>
      <s:c r="E13749" s="122" t="n"/>
    </s:row>
    <s:row r="13750" hidden="1" ht="1" customHeight="1">
      <s:c r="A13750" s="120" t="inlineStr"/>
      <s:c r="B13750" s="121" t="n"/>
      <s:c r="C13750" s="121" t="n"/>
      <s:c r="D13750" s="121" t="n"/>
      <s:c r="E13750" s="122" t="n"/>
    </s:row>
    <s:row r="13751" hidden="1" ht="1" customHeight="1">
      <s:c r="A13751" s="120" t="inlineStr"/>
      <s:c r="B13751" s="121" t="n"/>
      <s:c r="C13751" s="121" t="n"/>
      <s:c r="D13751" s="121" t="n"/>
      <s:c r="E13751" s="122" t="n"/>
    </s:row>
    <s:row r="13752" hidden="1" ht="1" customHeight="1">
      <s:c r="A13752" s="120" t="inlineStr"/>
      <s:c r="B13752" s="121" t="n"/>
      <s:c r="C13752" s="121" t="n"/>
      <s:c r="D13752" s="121" t="n"/>
      <s:c r="E13752" s="122" t="n"/>
    </s:row>
    <s:row r="13753" hidden="1" ht="1" customHeight="1">
      <s:c r="A13753" s="120" t="inlineStr"/>
      <s:c r="B13753" s="121" t="n"/>
      <s:c r="C13753" s="121" t="n"/>
      <s:c r="D13753" s="121" t="n"/>
      <s:c r="E13753" s="122" t="n"/>
    </s:row>
    <s:row r="13754" hidden="1" ht="1" customHeight="1">
      <s:c r="A13754" s="120" t="inlineStr"/>
      <s:c r="B13754" s="121" t="n"/>
      <s:c r="C13754" s="121" t="n"/>
      <s:c r="D13754" s="121" t="n"/>
      <s:c r="E13754" s="122" t="n"/>
    </s:row>
    <s:row r="13755" hidden="1" ht="1" customHeight="1">
      <s:c r="A13755" s="120" t="inlineStr"/>
      <s:c r="B13755" s="121" t="n"/>
      <s:c r="C13755" s="121" t="n"/>
      <s:c r="D13755" s="121" t="n"/>
      <s:c r="E13755" s="122" t="n"/>
    </s:row>
    <s:row r="13756" hidden="1" ht="1" customHeight="1">
      <s:c r="A13756" s="120" t="inlineStr"/>
      <s:c r="B13756" s="121" t="n"/>
      <s:c r="C13756" s="121" t="n"/>
      <s:c r="D13756" s="121" t="n"/>
      <s:c r="E13756" s="122" t="n"/>
    </s:row>
    <s:row r="13757" hidden="1" ht="1" customHeight="1">
      <s:c r="A13757" s="120" t="inlineStr"/>
      <s:c r="B13757" s="121" t="n"/>
      <s:c r="C13757" s="121" t="n"/>
      <s:c r="D13757" s="121" t="n"/>
      <s:c r="E13757" s="122" t="n"/>
    </s:row>
    <s:row r="13758" hidden="1" ht="1" customHeight="1">
      <s:c r="A13758" s="120" t="inlineStr"/>
      <s:c r="B13758" s="121" t="n"/>
      <s:c r="C13758" s="121" t="n"/>
      <s:c r="D13758" s="121" t="n"/>
      <s:c r="E13758" s="122" t="n"/>
    </s:row>
    <s:row r="13759" hidden="1" ht="1" customHeight="1">
      <s:c r="A13759" s="120" t="inlineStr"/>
      <s:c r="B13759" s="121" t="n"/>
      <s:c r="C13759" s="121" t="n"/>
      <s:c r="D13759" s="121" t="n"/>
      <s:c r="E13759" s="122" t="n"/>
    </s:row>
    <s:row r="13760" hidden="1" ht="1" customHeight="1">
      <s:c r="A13760" s="120" t="inlineStr"/>
      <s:c r="B13760" s="121" t="n"/>
      <s:c r="C13760" s="121" t="n"/>
      <s:c r="D13760" s="121" t="n"/>
      <s:c r="E13760" s="122" t="n"/>
    </s:row>
    <s:row r="13761" hidden="1" ht="1" customHeight="1">
      <s:c r="A13761" s="120" t="inlineStr"/>
      <s:c r="B13761" s="121" t="n"/>
      <s:c r="C13761" s="121" t="n"/>
      <s:c r="D13761" s="121" t="n"/>
      <s:c r="E13761" s="122" t="n"/>
    </s:row>
    <s:row r="13762" hidden="1" ht="1" customHeight="1">
      <s:c r="A13762" s="120" t="inlineStr"/>
      <s:c r="B13762" s="121" t="n"/>
      <s:c r="C13762" s="121" t="n"/>
      <s:c r="D13762" s="121" t="n"/>
      <s:c r="E13762" s="122" t="n"/>
    </s:row>
    <s:row r="13763" hidden="1" ht="1" customHeight="1">
      <s:c r="A13763" s="120" t="inlineStr"/>
      <s:c r="B13763" s="121" t="n"/>
      <s:c r="C13763" s="121" t="n"/>
      <s:c r="D13763" s="121" t="n"/>
      <s:c r="E13763" s="122" t="n"/>
    </s:row>
    <s:row r="13764" hidden="1" ht="1" customHeight="1">
      <s:c r="A13764" s="120" t="inlineStr"/>
      <s:c r="B13764" s="121" t="n"/>
      <s:c r="C13764" s="121" t="n"/>
      <s:c r="D13764" s="121" t="n"/>
      <s:c r="E13764" s="122" t="n"/>
    </s:row>
    <s:row r="13765" hidden="1" ht="1" customHeight="1">
      <s:c r="A13765" s="120" t="inlineStr"/>
      <s:c r="B13765" s="121" t="n"/>
      <s:c r="C13765" s="121" t="n"/>
      <s:c r="D13765" s="121" t="n"/>
      <s:c r="E13765" s="122" t="n"/>
    </s:row>
    <s:row r="13766" hidden="1" ht="1" customHeight="1">
      <s:c r="A13766" s="120" t="inlineStr"/>
      <s:c r="B13766" s="121" t="n"/>
      <s:c r="C13766" s="121" t="n"/>
      <s:c r="D13766" s="121" t="n"/>
      <s:c r="E13766" s="122" t="n"/>
    </s:row>
    <s:row r="13767" hidden="1" ht="1" customHeight="1">
      <s:c r="A13767" s="120" t="inlineStr"/>
      <s:c r="B13767" s="121" t="n"/>
      <s:c r="C13767" s="121" t="n"/>
      <s:c r="D13767" s="121" t="n"/>
      <s:c r="E13767" s="122" t="n"/>
    </s:row>
    <s:row r="13768" hidden="1" ht="1" customHeight="1">
      <s:c r="A13768" s="120" t="inlineStr"/>
      <s:c r="B13768" s="121" t="n"/>
      <s:c r="C13768" s="121" t="n"/>
      <s:c r="D13768" s="121" t="n"/>
      <s:c r="E13768" s="122" t="n"/>
    </s:row>
    <s:row r="13769" hidden="1" ht="1" customHeight="1">
      <s:c r="A13769" s="120" t="inlineStr"/>
      <s:c r="B13769" s="121" t="n"/>
      <s:c r="C13769" s="121" t="n"/>
      <s:c r="D13769" s="121" t="n"/>
      <s:c r="E13769" s="122" t="n"/>
    </s:row>
    <s:row r="13770" hidden="1" ht="1" customHeight="1">
      <s:c r="A13770" s="120" t="inlineStr"/>
      <s:c r="B13770" s="121" t="n"/>
      <s:c r="C13770" s="121" t="n"/>
      <s:c r="D13770" s="121" t="n"/>
      <s:c r="E13770" s="122" t="n"/>
    </s:row>
    <s:row r="13771" hidden="1" ht="1" customHeight="1">
      <s:c r="A13771" s="120" t="inlineStr"/>
      <s:c r="B13771" s="121" t="n"/>
      <s:c r="C13771" s="121" t="n"/>
      <s:c r="D13771" s="121" t="n"/>
      <s:c r="E13771" s="122" t="n"/>
    </s:row>
    <s:row r="13772" hidden="1" ht="1" customHeight="1">
      <s:c r="A13772" s="120" t="inlineStr"/>
      <s:c r="B13772" s="121" t="n"/>
      <s:c r="C13772" s="121" t="n"/>
      <s:c r="D13772" s="121" t="n"/>
      <s:c r="E13772" s="122" t="n"/>
    </s:row>
    <s:row r="13773" hidden="1" ht="1" customHeight="1">
      <s:c r="A13773" s="120" t="inlineStr"/>
      <s:c r="B13773" s="121" t="n"/>
      <s:c r="C13773" s="121" t="n"/>
      <s:c r="D13773" s="121" t="n"/>
      <s:c r="E13773" s="122" t="n"/>
    </s:row>
    <s:row r="13774" hidden="1" ht="1" customHeight="1">
      <s:c r="A13774" s="120" t="inlineStr"/>
      <s:c r="B13774" s="121" t="n"/>
      <s:c r="C13774" s="121" t="n"/>
      <s:c r="D13774" s="121" t="n"/>
      <s:c r="E13774" s="122" t="n"/>
    </s:row>
    <s:row r="13775" hidden="1" ht="1" customHeight="1">
      <s:c r="A13775" s="120" t="inlineStr"/>
      <s:c r="B13775" s="121" t="n"/>
      <s:c r="C13775" s="121" t="n"/>
      <s:c r="D13775" s="121" t="n"/>
      <s:c r="E13775" s="122" t="n"/>
    </s:row>
    <s:row r="13776" hidden="1" ht="1" customHeight="1">
      <s:c r="A13776" s="120" t="inlineStr"/>
      <s:c r="B13776" s="121" t="n"/>
      <s:c r="C13776" s="121" t="n"/>
      <s:c r="D13776" s="121" t="n"/>
      <s:c r="E13776" s="122" t="n"/>
    </s:row>
    <s:row r="13777" hidden="1" ht="1" customHeight="1">
      <s:c r="A13777" s="120" t="inlineStr"/>
      <s:c r="B13777" s="121" t="n"/>
      <s:c r="C13777" s="121" t="n"/>
      <s:c r="D13777" s="121" t="n"/>
      <s:c r="E13777" s="122" t="n"/>
    </s:row>
    <s:row r="13778" hidden="1" ht="1" customHeight="1">
      <s:c r="A13778" s="120" t="inlineStr"/>
      <s:c r="B13778" s="121" t="n"/>
      <s:c r="C13778" s="121" t="n"/>
      <s:c r="D13778" s="121" t="n"/>
      <s:c r="E13778" s="122" t="n"/>
    </s:row>
    <s:row r="13779" hidden="1" ht="1" customHeight="1">
      <s:c r="A13779" s="120" t="inlineStr"/>
      <s:c r="B13779" s="121" t="n"/>
      <s:c r="C13779" s="121" t="n"/>
      <s:c r="D13779" s="121" t="n"/>
      <s:c r="E13779" s="122" t="n"/>
    </s:row>
    <s:row r="13780" hidden="1" ht="1" customHeight="1">
      <s:c r="A13780" s="120" t="inlineStr"/>
      <s:c r="B13780" s="121" t="n"/>
      <s:c r="C13780" s="121" t="n"/>
      <s:c r="D13780" s="121" t="n"/>
      <s:c r="E13780" s="122" t="n"/>
    </s:row>
    <s:row r="13781" hidden="1" ht="1" customHeight="1">
      <s:c r="A13781" s="120" t="inlineStr"/>
      <s:c r="B13781" s="121" t="n"/>
      <s:c r="C13781" s="121" t="n"/>
      <s:c r="D13781" s="121" t="n"/>
      <s:c r="E13781" s="122" t="n"/>
    </s:row>
    <s:row r="13782" hidden="1" ht="1" customHeight="1">
      <s:c r="A13782" s="120" t="inlineStr"/>
      <s:c r="B13782" s="121" t="n"/>
      <s:c r="C13782" s="121" t="n"/>
      <s:c r="D13782" s="121" t="n"/>
      <s:c r="E13782" s="122" t="n"/>
    </s:row>
    <s:row r="13783" hidden="1" ht="1" customHeight="1">
      <s:c r="A13783" s="120" t="inlineStr"/>
      <s:c r="B13783" s="121" t="n"/>
      <s:c r="C13783" s="121" t="n"/>
      <s:c r="D13783" s="121" t="n"/>
      <s:c r="E13783" s="122" t="n"/>
    </s:row>
    <s:row r="13784" hidden="1" ht="1" customHeight="1">
      <s:c r="A13784" s="120" t="inlineStr"/>
      <s:c r="B13784" s="121" t="n"/>
      <s:c r="C13784" s="121" t="n"/>
      <s:c r="D13784" s="121" t="n"/>
      <s:c r="E13784" s="122" t="n"/>
    </s:row>
    <s:row r="13785" hidden="1" ht="1" customHeight="1">
      <s:c r="A13785" s="120" t="inlineStr"/>
      <s:c r="B13785" s="121" t="n"/>
      <s:c r="C13785" s="121" t="n"/>
      <s:c r="D13785" s="121" t="n"/>
      <s:c r="E13785" s="122" t="n"/>
    </s:row>
    <s:row r="13786" hidden="1" ht="1" customHeight="1">
      <s:c r="A13786" s="83" t="inlineStr">
        <s:is>
          <s:t>PASS</s:t>
        </s:is>
      </s:c>
      <s:c r="B13786" s="83">
        <s:f>SUM(IF(EXACT('Kiểm thử'!E13686,"Đạt"),1,0),IF(EXACT('Kiểm thử'!E13688,"Đạt"),1,0))</s:f>
        <s:v/>
      </s:c>
      <s:c r="C13786" s="19" t="n"/>
      <s:c r="D13786" s="19" t="n"/>
      <s:c r="E13786" s="19" t="n"/>
    </s:row>
    <s:row r="13787" hidden="1" ht="1" customHeight="1">
      <s:c r="A13787" s="83" t="inlineStr">
        <s:is>
          <s:t>FAIL</s:t>
        </s:is>
      </s:c>
      <s:c r="B13787" s="83">
        <s:f>SUM(IF(EXACT('Kiểm thử'!E13686,"Không đạt"),1,0),IF(EXACT('Kiểm thử'!E13688,"Không đạt"),1,0))</s:f>
        <s:v/>
      </s:c>
      <s:c r="C13787" s="19" t="n"/>
      <s:c r="D13787" s="19" t="n"/>
      <s:c r="E13787" s="19" t="n"/>
    </s:row>
    <s:row r="13788" hidden="1" ht="1" customHeight="1">
      <s:c r="A13788" s="83" t="inlineStr">
        <s:is>
          <s:t>BLOCKED</s:t>
        </s:is>
      </s:c>
      <s:c r="B13788" s="83">
        <s:f>SUM(IF(EXACT('Kiểm thử'!E13686,"Bị chặn"),1,0),IF(EXACT('Kiểm thử'!E13688,"Bị chặn"),1,0))</s:f>
        <s:v/>
      </s:c>
      <s:c r="C13788" s="19" t="n"/>
      <s:c r="D13788" s="19" t="n"/>
      <s:c r="E13788" s="19" t="n"/>
    </s:row>
    <s:row r="13789" hidden="1" ht="1" customHeight="1">
      <s:c r="A13789" s="83" t="inlineStr">
        <s:is>
          <s:t>SKIPPED</s:t>
        </s:is>
      </s:c>
      <s:c r="B13789" s="83">
        <s:f>SUM(IF(EXACT('Kiểm thử'!E13686,"Không thực hiện"),1,0),IF(EXACT('Kiểm thử'!E13688,"Không thực hiện"),1,0))</s:f>
        <s:v/>
      </s:c>
      <s:c r="C13789" s="19" t="n"/>
      <s:c r="D13789" s="19" t="n"/>
      <s:c r="E13789" s="19" t="n"/>
    </s:row>
    <s:row r="13790" hidden="1" ht="1" customHeight="1">
      <s:c r="A13790" s="83" t="inlineStr">
        <s:is>
          <s:t>NOT RUN</s:t>
        </s:is>
      </s:c>
      <s:c r="B13790" s="83">
        <s:f>SUM(IF(EXACT('Kiểm thử'!E13686,"Chưa thực hiện"),1,0),IF(EXACT('Kiểm thử'!E13688,"Chưa thực hiện"),1,0))</s:f>
        <s:v/>
      </s:c>
      <s:c r="C13790" s="19" t="n"/>
      <s:c r="D13790" s="19" t="n"/>
      <s:c r="E13790" s="19" t="n"/>
    </s:row>
    <s:row r="13791" hidden="1" ht="6" customHeight="1">
      <s:c r="A13791" s="83" t="inlineStr"/>
      <s:c r="B13791" s="19" t="n"/>
      <s:c r="C13791" s="19" t="n"/>
      <s:c r="D13791" s="19" t="n"/>
      <s:c r="E13791" s="19" t="n"/>
    </s:row>
    <s:row r="13792" ht="28" customHeight="1">
      <s:c r="A13792" s="108" t="inlineStr">
        <s:is>
          <s:t>TC-RS-FUNC-019 — Lưu lựa chọn điểm tối đa của lớp khi đăng ký điểm kích hoạt xét</s:t>
        </s:is>
      </s:c>
      <s:c r="B13792" s="111" t="n"/>
      <s:c r="C13792" s="111" t="n"/>
      <s:c r="D13792" s="111" t="n"/>
      <s:c r="E13792" s="111" t="n"/>
    </s:row>
    <s:row r="13793" ht="20" customHeight="1">
      <s:c r="A13793" s="112" t="inlineStr">
        <s:is>
          <s:t>Kết quả tình huống</s:t>
        </s:is>
      </s:c>
      <s:c r="B13793" s="113">
        <s:f>IF(SUM(IF(EXACT('Kiểm thử'!E13801,"Không đạt"),1,0))&gt;0,"Không đạt",IF(SUM(IF(EXACT('Kiểm thử'!E13801,"Đạt"),1,0))=1,"Đạt",IF(SUM(IF(EXACT('Kiểm thử'!E13801,"Không thực hiện"),1,0))=1,"Không thực hiện",IF(SUM(IF(EXACT('Kiểm thử'!E13801,"Bị chặn"),1,0))&gt;0,"Bị chặn",IF(SUM(IF(EXACT('Kiểm thử'!E13801,"Chưa thực hiện"),1,0))=1,"Chưa thực hiện","Đang thực hiện")))))</s:f>
        <s:v/>
      </s:c>
      <s:c r="C13793" s="114" t="n"/>
      <s:c r="D13793" s="114" t="n"/>
      <s:c r="E13793" s="114" t="n"/>
    </s:row>
    <s:row r="13794" ht="20" customHeight="1">
      <s:c r="A13794" s="112" t="inlineStr">
        <s:is>
          <s:t>Màn hình / chức năng</s:t>
        </s:is>
      </s:c>
      <s:c r="B13794" s="113" t="inlineStr">
        <s:is>
          <s:t>Vòng đời kết quả</s:t>
        </s:is>
      </s:c>
      <s:c r="C13794" s="28" t="n"/>
      <s:c r="D13794" s="28" t="n"/>
      <s:c r="E13794" s="28" t="n"/>
    </s:row>
    <s:row r="13795" ht="48" customHeight="1">
      <s:c r="A13795" s="112" t="inlineStr">
        <s:is>
          <s:t>Cấu hình</s:t>
        </s:is>
      </s:c>
      <s:c r="B13795" s="113" t="inlineStr">
        <s:is>
          <s:r>
            <s:t>• Mục điểm đơn vị (đơn vị U1 có M riêng 40) có quy tắc tỷ lệ 30% (30%). Lớp G-B chưa dùng lựa chọn lớp;
• S06 có điểm U1 = 14 (</s:t>
          </s:r>
          <s:r>
            <s:rPr>
              <s:b val="1"/>
            </s:rPr>
            <s:t>M=40</s:t>
          </s:r>
          <s:r>
            <s:t xml:space="preserve"> → </s:t>
          </s:r>
          <s:r>
            <s:rPr>
              <s:b val="1"/>
            </s:rPr>
            <s:t>T=12</s:t>
          </s:r>
          <s:r>
            <s:t xml:space="preserve"> → Không đỏ).</s:t>
          </s:r>
        </s:is>
      </s:c>
      <s:c r="C13795" s="28" t="n"/>
      <s:c r="D13795" s="28" t="n"/>
      <s:c r="E13795" s="28" t="n"/>
    </s:row>
    <s:row r="13796" ht="20" customHeight="1">
      <s:c r="A13796" s="112" t="inlineStr">
        <s:is>
          <s:t>Dữ liệu test</s:t>
        </s:is>
      </s:c>
      <s:c r="B13796" s="113" t="inlineStr">
        <s:is>
          <s:t>• Mục điểm đơn vị (đơn vị U1 có M riêng 40), quy tắc tỷ lệ 30%</s:t>
        </s:is>
      </s:c>
      <s:c r="C13796" s="28" t="n"/>
      <s:c r="D13796" s="28" t="n"/>
      <s:c r="E13796" s="28" t="n"/>
    </s:row>
    <s:row r="13797" ht="20" customHeight="1">
      <s:c r="A13797" s="112" t="inlineStr">
        <s:is>
          <s:t>Bước 1</s:t>
        </s:is>
      </s:c>
      <s:c r="B13797" s="113" t="inlineStr">
        <s:is>
          <s:r>
            <s:t xml:space="preserve">Ở màn đăng ký điểm lớp G-B, chọn lựa chọn lớp </s:t>
          </s:r>
          <s:r>
            <s:rPr>
              <s:b val="1"/>
            </s:rPr>
            <s:t>M=50</s:t>
          </s:r>
          <s:r>
            <s:t xml:space="preserve"> cho U1, lưu.</s:t>
          </s:r>
        </s:is>
      </s:c>
      <s:c r="C13797" s="28" t="n"/>
      <s:c r="D13797" s="28" t="n"/>
      <s:c r="E13797" s="28" t="n"/>
    </s:row>
    <s:row r="13798" ht="20" customHeight="1">
      <s:c r="A13798" s="112" t="inlineStr">
        <s:is>
          <s:t>Bước 2</s:t>
        </s:is>
      </s:c>
      <s:c r="B13798" s="113" t="inlineStr">
        <s:is>
          <s:t>Xem kết quả S06.</s:t>
        </s:is>
      </s:c>
      <s:c r="C13798" s="28" t="n"/>
      <s:c r="D13798" s="28" t="n"/>
      <s:c r="E13798" s="28" t="n"/>
    </s:row>
    <s:row r="13799" ht="28" customHeight="1">
      <s:c r="A13799" s="115" t="inlineStr">
        <s:is>
          <s:t>Trường hợp</s:t>
        </s:is>
      </s:c>
      <s:c r="B13799" s="115" t="inlineStr">
        <s:is>
          <s:t>Dữ liệu / thao tác riêng</s:t>
        </s:is>
      </s:c>
      <s:c r="C13799" s="115" t="inlineStr">
        <s:is>
          <s:t>Kết quả mong đợi</s:t>
        </s:is>
      </s:c>
      <s:c r="D13799" s="115" t="inlineStr">
        <s:is>
          <s:t>Kết quả thực tế</s:t>
        </s:is>
      </s:c>
      <s:c r="E13799" s="115" t="inlineStr">
        <s:is>
          <s:t>Đánh giá</s:t>
        </s:is>
      </s:c>
    </s:row>
    <s:row r="13800" ht="3" customHeight="1">
      <s:c r="A13800" s="102" t="inlineStr"/>
      <s:c r="B13800" s="99" t="n"/>
      <s:c r="C13800" s="99" t="n"/>
      <s:c r="D13800" s="116" t="n"/>
      <s:c r="E13800" s="116" t="n"/>
    </s:row>
    <s:row r="13801" ht="62" customHeight="1">
      <s:c r="A13801" s="83" t="inlineStr">
        <s:is>
          <s:t>Trường hợp cơ bản (Base)</s:t>
        </s:is>
      </s:c>
      <s:c r="B13801" s="83" t="inlineStr">
        <s:is>
          <s:t>Toàn bộ tình huống: Thực hiện đủ các bước chung theo thứ tự; kiểm cả đối tượng đích và đối chứng cùng fixture, không bỏ bước.</s:t>
        </s:is>
      </s:c>
      <s:c r="C13801" s="83" t="inlineStr">
        <s:is>
          <s:r>
            <s:t xml:space="preserve">Sau khi lưu thành công: </s:t>
          </s:r>
          <s:r>
            <s:rPr>
              <s:b val="1"/>
            </s:rPr>
            <s:t>M=50</s:t>
          </s:r>
          <s:r>
            <s:t xml:space="preserve"> → </s:t>
          </s:r>
          <s:r>
            <s:rPr>
              <s:b val="1"/>
            </s:rPr>
            <s:t>T=15</s:t>
          </s:r>
          <s:r>
            <s:t xml:space="preserve"> → S06=14 </s:t>
          </s:r>
          <s:r>
            <s:rPr>
              <s:b val="1"/>
            </s:rPr>
            <s:t>Đỏ</s:t>
          </s:r>
          <s:r>
            <s:t>.</s:t>
          </s:r>
        </s:is>
      </s:c>
      <s:c r="D13801" s="117" t="inlineStr"/>
      <s:c r="E13801" s="118" t="inlineStr">
        <s:is>
          <s:t>Chưa thực hiện</s:t>
        </s:is>
      </s:c>
    </s:row>
    <s:row r="13802" ht="20" customHeight="1">
      <s:c r="A13802" s="119" t="inlineStr">
        <s:is>
          <s:t>Ảnh minh chứng — Chưa có ảnh</s:t>
        </s:is>
      </s:c>
      <s:c r="B13802" s="19" t="n"/>
      <s:c r="C13802" s="19" t="n"/>
      <s:c r="D13802" s="19" t="n"/>
      <s:c r="E13802" s="19" t="n"/>
    </s:row>
    <s:row r="13803" hidden="1" ht="1" customHeight="1">
      <s:c r="A13803" s="120" t="inlineStr"/>
      <s:c r="B13803" s="121" t="n"/>
      <s:c r="C13803" s="121" t="n"/>
      <s:c r="D13803" s="121" t="n"/>
      <s:c r="E13803" s="122" t="n"/>
    </s:row>
    <s:row r="13804" hidden="1" ht="1" customHeight="1">
      <s:c r="A13804" s="120" t="inlineStr"/>
      <s:c r="B13804" s="121" t="n"/>
      <s:c r="C13804" s="121" t="n"/>
      <s:c r="D13804" s="121" t="n"/>
      <s:c r="E13804" s="122" t="n"/>
    </s:row>
    <s:row r="13805" hidden="1" ht="1" customHeight="1">
      <s:c r="A13805" s="120" t="inlineStr"/>
      <s:c r="B13805" s="121" t="n"/>
      <s:c r="C13805" s="121" t="n"/>
      <s:c r="D13805" s="121" t="n"/>
      <s:c r="E13805" s="122" t="n"/>
    </s:row>
    <s:row r="13806" hidden="1" ht="1" customHeight="1">
      <s:c r="A13806" s="120" t="inlineStr"/>
      <s:c r="B13806" s="121" t="n"/>
      <s:c r="C13806" s="121" t="n"/>
      <s:c r="D13806" s="121" t="n"/>
      <s:c r="E13806" s="122" t="n"/>
    </s:row>
    <s:row r="13807" hidden="1" ht="1" customHeight="1">
      <s:c r="A13807" s="120" t="inlineStr"/>
      <s:c r="B13807" s="121" t="n"/>
      <s:c r="C13807" s="121" t="n"/>
      <s:c r="D13807" s="121" t="n"/>
      <s:c r="E13807" s="122" t="n"/>
    </s:row>
    <s:row r="13808" hidden="1" ht="1" customHeight="1">
      <s:c r="A13808" s="120" t="inlineStr"/>
      <s:c r="B13808" s="121" t="n"/>
      <s:c r="C13808" s="121" t="n"/>
      <s:c r="D13808" s="121" t="n"/>
      <s:c r="E13808" s="122" t="n"/>
    </s:row>
    <s:row r="13809" hidden="1" ht="1" customHeight="1">
      <s:c r="A13809" s="120" t="inlineStr"/>
      <s:c r="B13809" s="121" t="n"/>
      <s:c r="C13809" s="121" t="n"/>
      <s:c r="D13809" s="121" t="n"/>
      <s:c r="E13809" s="122" t="n"/>
    </s:row>
    <s:row r="13810" hidden="1" ht="1" customHeight="1">
      <s:c r="A13810" s="120" t="inlineStr"/>
      <s:c r="B13810" s="121" t="n"/>
      <s:c r="C13810" s="121" t="n"/>
      <s:c r="D13810" s="121" t="n"/>
      <s:c r="E13810" s="122" t="n"/>
    </s:row>
    <s:row r="13811" hidden="1" ht="1" customHeight="1">
      <s:c r="A13811" s="120" t="inlineStr"/>
      <s:c r="B13811" s="121" t="n"/>
      <s:c r="C13811" s="121" t="n"/>
      <s:c r="D13811" s="121" t="n"/>
      <s:c r="E13811" s="122" t="n"/>
    </s:row>
    <s:row r="13812" hidden="1" ht="1" customHeight="1">
      <s:c r="A13812" s="120" t="inlineStr"/>
      <s:c r="B13812" s="121" t="n"/>
      <s:c r="C13812" s="121" t="n"/>
      <s:c r="D13812" s="121" t="n"/>
      <s:c r="E13812" s="122" t="n"/>
    </s:row>
    <s:row r="13813" hidden="1" ht="1" customHeight="1">
      <s:c r="A13813" s="120" t="inlineStr"/>
      <s:c r="B13813" s="121" t="n"/>
      <s:c r="C13813" s="121" t="n"/>
      <s:c r="D13813" s="121" t="n"/>
      <s:c r="E13813" s="122" t="n"/>
    </s:row>
    <s:row r="13814" hidden="1" ht="1" customHeight="1">
      <s:c r="A13814" s="120" t="inlineStr"/>
      <s:c r="B13814" s="121" t="n"/>
      <s:c r="C13814" s="121" t="n"/>
      <s:c r="D13814" s="121" t="n"/>
      <s:c r="E13814" s="122" t="n"/>
    </s:row>
    <s:row r="13815" hidden="1" ht="1" customHeight="1">
      <s:c r="A13815" s="120" t="inlineStr"/>
      <s:c r="B13815" s="121" t="n"/>
      <s:c r="C13815" s="121" t="n"/>
      <s:c r="D13815" s="121" t="n"/>
      <s:c r="E13815" s="122" t="n"/>
    </s:row>
    <s:row r="13816" hidden="1" ht="1" customHeight="1">
      <s:c r="A13816" s="120" t="inlineStr"/>
      <s:c r="B13816" s="121" t="n"/>
      <s:c r="C13816" s="121" t="n"/>
      <s:c r="D13816" s="121" t="n"/>
      <s:c r="E13816" s="122" t="n"/>
    </s:row>
    <s:row r="13817" hidden="1" ht="1" customHeight="1">
      <s:c r="A13817" s="120" t="inlineStr"/>
      <s:c r="B13817" s="121" t="n"/>
      <s:c r="C13817" s="121" t="n"/>
      <s:c r="D13817" s="121" t="n"/>
      <s:c r="E13817" s="122" t="n"/>
    </s:row>
    <s:row r="13818" hidden="1" ht="1" customHeight="1">
      <s:c r="A13818" s="120" t="inlineStr"/>
      <s:c r="B13818" s="121" t="n"/>
      <s:c r="C13818" s="121" t="n"/>
      <s:c r="D13818" s="121" t="n"/>
      <s:c r="E13818" s="122" t="n"/>
    </s:row>
    <s:row r="13819" hidden="1" ht="1" customHeight="1">
      <s:c r="A13819" s="120" t="inlineStr"/>
      <s:c r="B13819" s="121" t="n"/>
      <s:c r="C13819" s="121" t="n"/>
      <s:c r="D13819" s="121" t="n"/>
      <s:c r="E13819" s="122" t="n"/>
    </s:row>
    <s:row r="13820" hidden="1" ht="1" customHeight="1">
      <s:c r="A13820" s="120" t="inlineStr"/>
      <s:c r="B13820" s="121" t="n"/>
      <s:c r="C13820" s="121" t="n"/>
      <s:c r="D13820" s="121" t="n"/>
      <s:c r="E13820" s="122" t="n"/>
    </s:row>
    <s:row r="13821" hidden="1" ht="1" customHeight="1">
      <s:c r="A13821" s="120" t="inlineStr"/>
      <s:c r="B13821" s="121" t="n"/>
      <s:c r="C13821" s="121" t="n"/>
      <s:c r="D13821" s="121" t="n"/>
      <s:c r="E13821" s="122" t="n"/>
    </s:row>
    <s:row r="13822" hidden="1" ht="1" customHeight="1">
      <s:c r="A13822" s="120" t="inlineStr"/>
      <s:c r="B13822" s="121" t="n"/>
      <s:c r="C13822" s="121" t="n"/>
      <s:c r="D13822" s="121" t="n"/>
      <s:c r="E13822" s="122" t="n"/>
    </s:row>
    <s:row r="13823" hidden="1" ht="1" customHeight="1">
      <s:c r="A13823" s="120" t="inlineStr"/>
      <s:c r="B13823" s="121" t="n"/>
      <s:c r="C13823" s="121" t="n"/>
      <s:c r="D13823" s="121" t="n"/>
      <s:c r="E13823" s="122" t="n"/>
    </s:row>
    <s:row r="13824" hidden="1" ht="1" customHeight="1">
      <s:c r="A13824" s="120" t="inlineStr"/>
      <s:c r="B13824" s="121" t="n"/>
      <s:c r="C13824" s="121" t="n"/>
      <s:c r="D13824" s="121" t="n"/>
      <s:c r="E13824" s="122" t="n"/>
    </s:row>
    <s:row r="13825" hidden="1" ht="1" customHeight="1">
      <s:c r="A13825" s="120" t="inlineStr"/>
      <s:c r="B13825" s="121" t="n"/>
      <s:c r="C13825" s="121" t="n"/>
      <s:c r="D13825" s="121" t="n"/>
      <s:c r="E13825" s="122" t="n"/>
    </s:row>
    <s:row r="13826" hidden="1" ht="1" customHeight="1">
      <s:c r="A13826" s="120" t="inlineStr"/>
      <s:c r="B13826" s="121" t="n"/>
      <s:c r="C13826" s="121" t="n"/>
      <s:c r="D13826" s="121" t="n"/>
      <s:c r="E13826" s="122" t="n"/>
    </s:row>
    <s:row r="13827" hidden="1" ht="1" customHeight="1">
      <s:c r="A13827" s="120" t="inlineStr"/>
      <s:c r="B13827" s="121" t="n"/>
      <s:c r="C13827" s="121" t="n"/>
      <s:c r="D13827" s="121" t="n"/>
      <s:c r="E13827" s="122" t="n"/>
    </s:row>
    <s:row r="13828" hidden="1" ht="1" customHeight="1">
      <s:c r="A13828" s="120" t="inlineStr"/>
      <s:c r="B13828" s="121" t="n"/>
      <s:c r="C13828" s="121" t="n"/>
      <s:c r="D13828" s="121" t="n"/>
      <s:c r="E13828" s="122" t="n"/>
    </s:row>
    <s:row r="13829" hidden="1" ht="1" customHeight="1">
      <s:c r="A13829" s="120" t="inlineStr"/>
      <s:c r="B13829" s="121" t="n"/>
      <s:c r="C13829" s="121" t="n"/>
      <s:c r="D13829" s="121" t="n"/>
      <s:c r="E13829" s="122" t="n"/>
    </s:row>
    <s:row r="13830" hidden="1" ht="1" customHeight="1">
      <s:c r="A13830" s="120" t="inlineStr"/>
      <s:c r="B13830" s="121" t="n"/>
      <s:c r="C13830" s="121" t="n"/>
      <s:c r="D13830" s="121" t="n"/>
      <s:c r="E13830" s="122" t="n"/>
    </s:row>
    <s:row r="13831" hidden="1" ht="1" customHeight="1">
      <s:c r="A13831" s="120" t="inlineStr"/>
      <s:c r="B13831" s="121" t="n"/>
      <s:c r="C13831" s="121" t="n"/>
      <s:c r="D13831" s="121" t="n"/>
      <s:c r="E13831" s="122" t="n"/>
    </s:row>
    <s:row r="13832" hidden="1" ht="1" customHeight="1">
      <s:c r="A13832" s="120" t="inlineStr"/>
      <s:c r="B13832" s="121" t="n"/>
      <s:c r="C13832" s="121" t="n"/>
      <s:c r="D13832" s="121" t="n"/>
      <s:c r="E13832" s="122" t="n"/>
    </s:row>
    <s:row r="13833" hidden="1" ht="1" customHeight="1">
      <s:c r="A13833" s="120" t="inlineStr"/>
      <s:c r="B13833" s="121" t="n"/>
      <s:c r="C13833" s="121" t="n"/>
      <s:c r="D13833" s="121" t="n"/>
      <s:c r="E13833" s="122" t="n"/>
    </s:row>
    <s:row r="13834" hidden="1" ht="1" customHeight="1">
      <s:c r="A13834" s="120" t="inlineStr"/>
      <s:c r="B13834" s="121" t="n"/>
      <s:c r="C13834" s="121" t="n"/>
      <s:c r="D13834" s="121" t="n"/>
      <s:c r="E13834" s="122" t="n"/>
    </s:row>
    <s:row r="13835" hidden="1" ht="1" customHeight="1">
      <s:c r="A13835" s="120" t="inlineStr"/>
      <s:c r="B13835" s="121" t="n"/>
      <s:c r="C13835" s="121" t="n"/>
      <s:c r="D13835" s="121" t="n"/>
      <s:c r="E13835" s="122" t="n"/>
    </s:row>
    <s:row r="13836" hidden="1" ht="1" customHeight="1">
      <s:c r="A13836" s="120" t="inlineStr"/>
      <s:c r="B13836" s="121" t="n"/>
      <s:c r="C13836" s="121" t="n"/>
      <s:c r="D13836" s="121" t="n"/>
      <s:c r="E13836" s="122" t="n"/>
    </s:row>
    <s:row r="13837" hidden="1" ht="1" customHeight="1">
      <s:c r="A13837" s="120" t="inlineStr"/>
      <s:c r="B13837" s="121" t="n"/>
      <s:c r="C13837" s="121" t="n"/>
      <s:c r="D13837" s="121" t="n"/>
      <s:c r="E13837" s="122" t="n"/>
    </s:row>
    <s:row r="13838" hidden="1" ht="1" customHeight="1">
      <s:c r="A13838" s="120" t="inlineStr"/>
      <s:c r="B13838" s="121" t="n"/>
      <s:c r="C13838" s="121" t="n"/>
      <s:c r="D13838" s="121" t="n"/>
      <s:c r="E13838" s="122" t="n"/>
    </s:row>
    <s:row r="13839" hidden="1" ht="1" customHeight="1">
      <s:c r="A13839" s="120" t="inlineStr"/>
      <s:c r="B13839" s="121" t="n"/>
      <s:c r="C13839" s="121" t="n"/>
      <s:c r="D13839" s="121" t="n"/>
      <s:c r="E13839" s="122" t="n"/>
    </s:row>
    <s:row r="13840" hidden="1" ht="1" customHeight="1">
      <s:c r="A13840" s="120" t="inlineStr"/>
      <s:c r="B13840" s="121" t="n"/>
      <s:c r="C13840" s="121" t="n"/>
      <s:c r="D13840" s="121" t="n"/>
      <s:c r="E13840" s="122" t="n"/>
    </s:row>
    <s:row r="13841" hidden="1" ht="1" customHeight="1">
      <s:c r="A13841" s="120" t="inlineStr"/>
      <s:c r="B13841" s="121" t="n"/>
      <s:c r="C13841" s="121" t="n"/>
      <s:c r="D13841" s="121" t="n"/>
      <s:c r="E13841" s="122" t="n"/>
    </s:row>
    <s:row r="13842" hidden="1" ht="1" customHeight="1">
      <s:c r="A13842" s="120" t="inlineStr"/>
      <s:c r="B13842" s="121" t="n"/>
      <s:c r="C13842" s="121" t="n"/>
      <s:c r="D13842" s="121" t="n"/>
      <s:c r="E13842" s="122" t="n"/>
    </s:row>
    <s:row r="13843" hidden="1" ht="1" customHeight="1">
      <s:c r="A13843" s="120" t="inlineStr"/>
      <s:c r="B13843" s="121" t="n"/>
      <s:c r="C13843" s="121" t="n"/>
      <s:c r="D13843" s="121" t="n"/>
      <s:c r="E13843" s="122" t="n"/>
    </s:row>
    <s:row r="13844" hidden="1" ht="1" customHeight="1">
      <s:c r="A13844" s="120" t="inlineStr"/>
      <s:c r="B13844" s="121" t="n"/>
      <s:c r="C13844" s="121" t="n"/>
      <s:c r="D13844" s="121" t="n"/>
      <s:c r="E13844" s="122" t="n"/>
    </s:row>
    <s:row r="13845" hidden="1" ht="1" customHeight="1">
      <s:c r="A13845" s="120" t="inlineStr"/>
      <s:c r="B13845" s="121" t="n"/>
      <s:c r="C13845" s="121" t="n"/>
      <s:c r="D13845" s="121" t="n"/>
      <s:c r="E13845" s="122" t="n"/>
    </s:row>
    <s:row r="13846" hidden="1" ht="1" customHeight="1">
      <s:c r="A13846" s="120" t="inlineStr"/>
      <s:c r="B13846" s="121" t="n"/>
      <s:c r="C13846" s="121" t="n"/>
      <s:c r="D13846" s="121" t="n"/>
      <s:c r="E13846" s="122" t="n"/>
    </s:row>
    <s:row r="13847" hidden="1" ht="1" customHeight="1">
      <s:c r="A13847" s="120" t="inlineStr"/>
      <s:c r="B13847" s="121" t="n"/>
      <s:c r="C13847" s="121" t="n"/>
      <s:c r="D13847" s="121" t="n"/>
      <s:c r="E13847" s="122" t="n"/>
    </s:row>
    <s:row r="13848" hidden="1" ht="1" customHeight="1">
      <s:c r="A13848" s="120" t="inlineStr"/>
      <s:c r="B13848" s="121" t="n"/>
      <s:c r="C13848" s="121" t="n"/>
      <s:c r="D13848" s="121" t="n"/>
      <s:c r="E13848" s="122" t="n"/>
    </s:row>
    <s:row r="13849" hidden="1" ht="1" customHeight="1">
      <s:c r="A13849" s="120" t="inlineStr"/>
      <s:c r="B13849" s="121" t="n"/>
      <s:c r="C13849" s="121" t="n"/>
      <s:c r="D13849" s="121" t="n"/>
      <s:c r="E13849" s="122" t="n"/>
    </s:row>
    <s:row r="13850" hidden="1" ht="1" customHeight="1">
      <s:c r="A13850" s="120" t="inlineStr"/>
      <s:c r="B13850" s="121" t="n"/>
      <s:c r="C13850" s="121" t="n"/>
      <s:c r="D13850" s="121" t="n"/>
      <s:c r="E13850" s="122" t="n"/>
    </s:row>
    <s:row r="13851" hidden="1" ht="1" customHeight="1">
      <s:c r="A13851" s="83" t="inlineStr">
        <s:is>
          <s:t>PASS</s:t>
        </s:is>
      </s:c>
      <s:c r="B13851" s="83">
        <s:f>SUM(IF(EXACT('Kiểm thử'!E13801,"Đạt"),1,0))</s:f>
        <s:v/>
      </s:c>
      <s:c r="C13851" s="19" t="n"/>
      <s:c r="D13851" s="19" t="n"/>
      <s:c r="E13851" s="19" t="n"/>
    </s:row>
    <s:row r="13852" hidden="1" ht="1" customHeight="1">
      <s:c r="A13852" s="83" t="inlineStr">
        <s:is>
          <s:t>FAIL</s:t>
        </s:is>
      </s:c>
      <s:c r="B13852" s="83">
        <s:f>SUM(IF(EXACT('Kiểm thử'!E13801,"Không đạt"),1,0))</s:f>
        <s:v/>
      </s:c>
      <s:c r="C13852" s="19" t="n"/>
      <s:c r="D13852" s="19" t="n"/>
      <s:c r="E13852" s="19" t="n"/>
    </s:row>
    <s:row r="13853" hidden="1" ht="1" customHeight="1">
      <s:c r="A13853" s="83" t="inlineStr">
        <s:is>
          <s:t>BLOCKED</s:t>
        </s:is>
      </s:c>
      <s:c r="B13853" s="83">
        <s:f>SUM(IF(EXACT('Kiểm thử'!E13801,"Bị chặn"),1,0))</s:f>
        <s:v/>
      </s:c>
      <s:c r="C13853" s="19" t="n"/>
      <s:c r="D13853" s="19" t="n"/>
      <s:c r="E13853" s="19" t="n"/>
    </s:row>
    <s:row r="13854" hidden="1" ht="1" customHeight="1">
      <s:c r="A13854" s="83" t="inlineStr">
        <s:is>
          <s:t>SKIPPED</s:t>
        </s:is>
      </s:c>
      <s:c r="B13854" s="83">
        <s:f>SUM(IF(EXACT('Kiểm thử'!E13801,"Không thực hiện"),1,0))</s:f>
        <s:v/>
      </s:c>
      <s:c r="C13854" s="19" t="n"/>
      <s:c r="D13854" s="19" t="n"/>
      <s:c r="E13854" s="19" t="n"/>
    </s:row>
    <s:row r="13855" hidden="1" ht="1" customHeight="1">
      <s:c r="A13855" s="83" t="inlineStr">
        <s:is>
          <s:t>NOT RUN</s:t>
        </s:is>
      </s:c>
      <s:c r="B13855" s="83">
        <s:f>SUM(IF(EXACT('Kiểm thử'!E13801,"Chưa thực hiện"),1,0))</s:f>
        <s:v/>
      </s:c>
      <s:c r="C13855" s="19" t="n"/>
      <s:c r="D13855" s="19" t="n"/>
      <s:c r="E13855" s="19" t="n"/>
    </s:row>
    <s:row r="13856" hidden="1" ht="6" customHeight="1">
      <s:c r="A13856" s="83" t="inlineStr"/>
      <s:c r="B13856" s="19" t="n"/>
      <s:c r="C13856" s="19" t="n"/>
      <s:c r="D13856" s="19" t="n"/>
      <s:c r="E13856" s="19" t="n"/>
    </s:row>
    <s:row r="13857" ht="34" customHeight="1">
      <s:c r="A13857" s="108" t="inlineStr">
        <s:is>
          <s:t>TC-RS-FUNC-020 — Lưu Thiết lập điểm tối đa hàng loạt（満点一括設定） xếp hàng tính toán rồi mới có kết quả mới</s:t>
        </s:is>
      </s:c>
      <s:c r="B13857" s="111" t="n"/>
      <s:c r="C13857" s="111" t="n"/>
      <s:c r="D13857" s="111" t="n"/>
      <s:c r="E13857" s="111" t="n"/>
    </s:row>
    <s:row r="13858" ht="20" customHeight="1">
      <s:c r="A13858" s="112" t="inlineStr">
        <s:is>
          <s:t>Kết quả tình huống</s:t>
        </s:is>
      </s:c>
      <s:c r="B13858" s="113">
        <s:f>IF(SUM(IF(EXACT('Kiểm thử'!E13867,"Không đạt"),1,0))&gt;0,"Không đạt",IF(SUM(IF(EXACT('Kiểm thử'!E13867,"Đạt"),1,0))=1,"Đạt",IF(SUM(IF(EXACT('Kiểm thử'!E13867,"Không thực hiện"),1,0))=1,"Không thực hiện",IF(SUM(IF(EXACT('Kiểm thử'!E13867,"Bị chặn"),1,0))&gt;0,"Bị chặn",IF(SUM(IF(EXACT('Kiểm thử'!E13867,"Chưa thực hiện"),1,0))=1,"Chưa thực hiện","Đang thực hiện")))))</s:f>
        <s:v/>
      </s:c>
      <s:c r="C13858" s="114" t="n"/>
      <s:c r="D13858" s="114" t="n"/>
      <s:c r="E13858" s="114" t="n"/>
    </s:row>
    <s:row r="13859" ht="20" customHeight="1">
      <s:c r="A13859" s="112" t="inlineStr">
        <s:is>
          <s:t>Màn hình / chức năng</s:t>
        </s:is>
      </s:c>
      <s:c r="B13859" s="113" t="inlineStr">
        <s:is>
          <s:t>Vòng đời kết quả</s:t>
        </s:is>
      </s:c>
      <s:c r="C13859" s="28" t="n"/>
      <s:c r="D13859" s="28" t="n"/>
      <s:c r="E13859" s="28" t="n"/>
    </s:row>
    <s:row r="13860" ht="62" customHeight="1">
      <s:c r="A13860" s="112" t="inlineStr">
        <s:is>
          <s:t>Cấu hình</s:t>
        </s:is>
      </s:c>
      <s:c r="B13860" s="113" t="inlineStr">
        <s:is>
          <s:r>
            <s:t xml:space="preserve">• Trường có chức năng Thiết lập điểm </s:t>
          </s:r>
          <s:r>
            <s:rPr>
              <s:b val="1"/>
            </s:rPr>
            <s:t>tối đa hàng loạt（満点一括設定）</s:t>
          </s:r>
          <s:r>
            <s:t xml:space="preserve"> ([/admin/grade/lesson_group/setting?setting_type=change_max_score]);
• Tài khoản có quyền chạy hàng loạt;
• Quy tắc tỷ lệ 30% trên mục điểm đơn vị (đơn vị U1 có M riêng 40).</s:t>
          </s:r>
        </s:is>
      </s:c>
      <s:c r="C13860" s="28" t="n"/>
      <s:c r="D13860" s="28" t="n"/>
      <s:c r="E13860" s="28" t="n"/>
    </s:row>
    <s:row r="13861" ht="20" customHeight="1">
      <s:c r="A13861" s="112" t="inlineStr">
        <s:is>
          <s:t>Dữ liệu test</s:t>
        </s:is>
      </s:c>
      <s:c r="B13861" s="113" t="inlineStr">
        <s:is>
          <s:t>• Mục điểm đơn vị (đơn vị U1 có M riêng 40), quy tắc tỷ lệ 30%</s:t>
        </s:is>
      </s:c>
      <s:c r="C13861" s="28" t="n"/>
      <s:c r="D13861" s="28" t="n"/>
      <s:c r="E13861" s="28" t="n"/>
    </s:row>
    <s:row r="13862" ht="20" customHeight="1">
      <s:c r="A13862" s="112" t="inlineStr">
        <s:is>
          <s:t>Bước 1</s:t>
        </s:is>
      </s:c>
      <s:c r="B13862" s="113" t="inlineStr">
        <s:is>
          <s:r>
            <s:t xml:space="preserve">Lưu </s:t>
          </s:r>
          <s:r>
            <s:rPr>
              <s:b val="1"/>
            </s:rPr>
            <s:t>M=50</s:t>
          </s:r>
          <s:r>
            <s:t xml:space="preserve"> cho các lớp/kỳ được phép.</s:t>
          </s:r>
        </s:is>
      </s:c>
      <s:c r="C13862" s="28" t="n"/>
      <s:c r="D13862" s="28" t="n"/>
      <s:c r="E13862" s="28" t="n"/>
    </s:row>
    <s:row r="13863" ht="20" customHeight="1">
      <s:c r="A13863" s="112" t="inlineStr">
        <s:is>
          <s:t>Bước 2</s:t>
        </s:is>
      </s:c>
      <s:c r="B13863" s="113" t="inlineStr">
        <s:is>
          <s:t>Ngay sau khi lưu (trước khi batch xong), xem kết quả.</s:t>
        </s:is>
      </s:c>
      <s:c r="C13863" s="28" t="n"/>
      <s:c r="D13863" s="28" t="n"/>
      <s:c r="E13863" s="28" t="n"/>
    </s:row>
    <s:row r="13864" ht="20" customHeight="1">
      <s:c r="A13864" s="112" t="inlineStr">
        <s:is>
          <s:t>Bước 3</s:t>
        </s:is>
      </s:c>
      <s:c r="B13864" s="113" t="inlineStr">
        <s:is>
          <s:t>Chờ batch hoàn tất, xem lại.</s:t>
        </s:is>
      </s:c>
      <s:c r="C13864" s="28" t="n"/>
      <s:c r="D13864" s="28" t="n"/>
      <s:c r="E13864" s="28" t="n"/>
    </s:row>
    <s:row r="13865" ht="28" customHeight="1">
      <s:c r="A13865" s="115" t="inlineStr">
        <s:is>
          <s:t>Trường hợp</s:t>
        </s:is>
      </s:c>
      <s:c r="B13865" s="115" t="inlineStr">
        <s:is>
          <s:t>Dữ liệu / thao tác riêng</s:t>
        </s:is>
      </s:c>
      <s:c r="C13865" s="115" t="inlineStr">
        <s:is>
          <s:t>Kết quả mong đợi</s:t>
        </s:is>
      </s:c>
      <s:c r="D13865" s="115" t="inlineStr">
        <s:is>
          <s:t>Kết quả thực tế</s:t>
        </s:is>
      </s:c>
      <s:c r="E13865" s="115" t="inlineStr">
        <s:is>
          <s:t>Đánh giá</s:t>
        </s:is>
      </s:c>
    </s:row>
    <s:row r="13866" ht="3" customHeight="1">
      <s:c r="A13866" s="102" t="inlineStr"/>
      <s:c r="B13866" s="99" t="n"/>
      <s:c r="C13866" s="99" t="n"/>
      <s:c r="D13866" s="116" t="n"/>
      <s:c r="E13866" s="116" t="n"/>
    </s:row>
    <s:row r="13867" ht="62" customHeight="1">
      <s:c r="A13867" s="83" t="inlineStr">
        <s:is>
          <s:t>Trường hợp cơ bản (Base)</s:t>
        </s:is>
      </s:c>
      <s:c r="B13867" s="83" t="inlineStr">
        <s:is>
          <s:t>Toàn bộ tình huống: Thực hiện đủ các bước chung theo thứ tự; kiểm cả đối tượng đích và đối chứng cùng fixture, không bỏ bước.</s:t>
        </s:is>
      </s:c>
      <s:c r="C13867" s="83" t="inlineStr">
        <s:is>
          <s:r>
            <s:t xml:space="preserve">1. Ngay sau khi lưu: kết quả cũ vẫn hiện; không báo "hoàn tất" khi mới xếp hàng.
2. Sau batch thành công: kết quả theo </s:t>
          </s:r>
          <s:r>
            <s:rPr>
              <s:b val="1"/>
            </s:rPr>
            <s:t>M=50</s:t>
          </s:r>
          <s:r>
            <s:t>.</s:t>
          </s:r>
        </s:is>
      </s:c>
      <s:c r="D13867" s="117" t="inlineStr"/>
      <s:c r="E13867" s="118" t="inlineStr">
        <s:is>
          <s:t>Chưa thực hiện</s:t>
        </s:is>
      </s:c>
    </s:row>
    <s:row r="13868" ht="20" customHeight="1">
      <s:c r="A13868" s="119" t="inlineStr">
        <s:is>
          <s:t>Ảnh minh chứng — Chưa có ảnh</s:t>
        </s:is>
      </s:c>
      <s:c r="B13868" s="19" t="n"/>
      <s:c r="C13868" s="19" t="n"/>
      <s:c r="D13868" s="19" t="n"/>
      <s:c r="E13868" s="19" t="n"/>
    </s:row>
    <s:row r="13869" hidden="1" ht="1" customHeight="1">
      <s:c r="A13869" s="120" t="inlineStr"/>
      <s:c r="B13869" s="121" t="n"/>
      <s:c r="C13869" s="121" t="n"/>
      <s:c r="D13869" s="121" t="n"/>
      <s:c r="E13869" s="122" t="n"/>
    </s:row>
    <s:row r="13870" hidden="1" ht="1" customHeight="1">
      <s:c r="A13870" s="120" t="inlineStr"/>
      <s:c r="B13870" s="121" t="n"/>
      <s:c r="C13870" s="121" t="n"/>
      <s:c r="D13870" s="121" t="n"/>
      <s:c r="E13870" s="122" t="n"/>
    </s:row>
    <s:row r="13871" hidden="1" ht="1" customHeight="1">
      <s:c r="A13871" s="120" t="inlineStr"/>
      <s:c r="B13871" s="121" t="n"/>
      <s:c r="C13871" s="121" t="n"/>
      <s:c r="D13871" s="121" t="n"/>
      <s:c r="E13871" s="122" t="n"/>
    </s:row>
    <s:row r="13872" hidden="1" ht="1" customHeight="1">
      <s:c r="A13872" s="120" t="inlineStr"/>
      <s:c r="B13872" s="121" t="n"/>
      <s:c r="C13872" s="121" t="n"/>
      <s:c r="D13872" s="121" t="n"/>
      <s:c r="E13872" s="122" t="n"/>
    </s:row>
    <s:row r="13873" hidden="1" ht="1" customHeight="1">
      <s:c r="A13873" s="120" t="inlineStr"/>
      <s:c r="B13873" s="121" t="n"/>
      <s:c r="C13873" s="121" t="n"/>
      <s:c r="D13873" s="121" t="n"/>
      <s:c r="E13873" s="122" t="n"/>
    </s:row>
    <s:row r="13874" hidden="1" ht="1" customHeight="1">
      <s:c r="A13874" s="120" t="inlineStr"/>
      <s:c r="B13874" s="121" t="n"/>
      <s:c r="C13874" s="121" t="n"/>
      <s:c r="D13874" s="121" t="n"/>
      <s:c r="E13874" s="122" t="n"/>
    </s:row>
    <s:row r="13875" hidden="1" ht="1" customHeight="1">
      <s:c r="A13875" s="120" t="inlineStr"/>
      <s:c r="B13875" s="121" t="n"/>
      <s:c r="C13875" s="121" t="n"/>
      <s:c r="D13875" s="121" t="n"/>
      <s:c r="E13875" s="122" t="n"/>
    </s:row>
    <s:row r="13876" hidden="1" ht="1" customHeight="1">
      <s:c r="A13876" s="120" t="inlineStr"/>
      <s:c r="B13876" s="121" t="n"/>
      <s:c r="C13876" s="121" t="n"/>
      <s:c r="D13876" s="121" t="n"/>
      <s:c r="E13876" s="122" t="n"/>
    </s:row>
    <s:row r="13877" hidden="1" ht="1" customHeight="1">
      <s:c r="A13877" s="120" t="inlineStr"/>
      <s:c r="B13877" s="121" t="n"/>
      <s:c r="C13877" s="121" t="n"/>
      <s:c r="D13877" s="121" t="n"/>
      <s:c r="E13877" s="122" t="n"/>
    </s:row>
    <s:row r="13878" hidden="1" ht="1" customHeight="1">
      <s:c r="A13878" s="120" t="inlineStr"/>
      <s:c r="B13878" s="121" t="n"/>
      <s:c r="C13878" s="121" t="n"/>
      <s:c r="D13878" s="121" t="n"/>
      <s:c r="E13878" s="122" t="n"/>
    </s:row>
    <s:row r="13879" hidden="1" ht="1" customHeight="1">
      <s:c r="A13879" s="120" t="inlineStr"/>
      <s:c r="B13879" s="121" t="n"/>
      <s:c r="C13879" s="121" t="n"/>
      <s:c r="D13879" s="121" t="n"/>
      <s:c r="E13879" s="122" t="n"/>
    </s:row>
    <s:row r="13880" hidden="1" ht="1" customHeight="1">
      <s:c r="A13880" s="120" t="inlineStr"/>
      <s:c r="B13880" s="121" t="n"/>
      <s:c r="C13880" s="121" t="n"/>
      <s:c r="D13880" s="121" t="n"/>
      <s:c r="E13880" s="122" t="n"/>
    </s:row>
    <s:row r="13881" hidden="1" ht="1" customHeight="1">
      <s:c r="A13881" s="120" t="inlineStr"/>
      <s:c r="B13881" s="121" t="n"/>
      <s:c r="C13881" s="121" t="n"/>
      <s:c r="D13881" s="121" t="n"/>
      <s:c r="E13881" s="122" t="n"/>
    </s:row>
    <s:row r="13882" hidden="1" ht="1" customHeight="1">
      <s:c r="A13882" s="120" t="inlineStr"/>
      <s:c r="B13882" s="121" t="n"/>
      <s:c r="C13882" s="121" t="n"/>
      <s:c r="D13882" s="121" t="n"/>
      <s:c r="E13882" s="122" t="n"/>
    </s:row>
    <s:row r="13883" hidden="1" ht="1" customHeight="1">
      <s:c r="A13883" s="120" t="inlineStr"/>
      <s:c r="B13883" s="121" t="n"/>
      <s:c r="C13883" s="121" t="n"/>
      <s:c r="D13883" s="121" t="n"/>
      <s:c r="E13883" s="122" t="n"/>
    </s:row>
    <s:row r="13884" hidden="1" ht="1" customHeight="1">
      <s:c r="A13884" s="120" t="inlineStr"/>
      <s:c r="B13884" s="121" t="n"/>
      <s:c r="C13884" s="121" t="n"/>
      <s:c r="D13884" s="121" t="n"/>
      <s:c r="E13884" s="122" t="n"/>
    </s:row>
    <s:row r="13885" hidden="1" ht="1" customHeight="1">
      <s:c r="A13885" s="120" t="inlineStr"/>
      <s:c r="B13885" s="121" t="n"/>
      <s:c r="C13885" s="121" t="n"/>
      <s:c r="D13885" s="121" t="n"/>
      <s:c r="E13885" s="122" t="n"/>
    </s:row>
    <s:row r="13886" hidden="1" ht="1" customHeight="1">
      <s:c r="A13886" s="120" t="inlineStr"/>
      <s:c r="B13886" s="121" t="n"/>
      <s:c r="C13886" s="121" t="n"/>
      <s:c r="D13886" s="121" t="n"/>
      <s:c r="E13886" s="122" t="n"/>
    </s:row>
    <s:row r="13887" hidden="1" ht="1" customHeight="1">
      <s:c r="A13887" s="120" t="inlineStr"/>
      <s:c r="B13887" s="121" t="n"/>
      <s:c r="C13887" s="121" t="n"/>
      <s:c r="D13887" s="121" t="n"/>
      <s:c r="E13887" s="122" t="n"/>
    </s:row>
    <s:row r="13888" hidden="1" ht="1" customHeight="1">
      <s:c r="A13888" s="120" t="inlineStr"/>
      <s:c r="B13888" s="121" t="n"/>
      <s:c r="C13888" s="121" t="n"/>
      <s:c r="D13888" s="121" t="n"/>
      <s:c r="E13888" s="122" t="n"/>
    </s:row>
    <s:row r="13889" hidden="1" ht="1" customHeight="1">
      <s:c r="A13889" s="120" t="inlineStr"/>
      <s:c r="B13889" s="121" t="n"/>
      <s:c r="C13889" s="121" t="n"/>
      <s:c r="D13889" s="121" t="n"/>
      <s:c r="E13889" s="122" t="n"/>
    </s:row>
    <s:row r="13890" hidden="1" ht="1" customHeight="1">
      <s:c r="A13890" s="120" t="inlineStr"/>
      <s:c r="B13890" s="121" t="n"/>
      <s:c r="C13890" s="121" t="n"/>
      <s:c r="D13890" s="121" t="n"/>
      <s:c r="E13890" s="122" t="n"/>
    </s:row>
    <s:row r="13891" hidden="1" ht="1" customHeight="1">
      <s:c r="A13891" s="120" t="inlineStr"/>
      <s:c r="B13891" s="121" t="n"/>
      <s:c r="C13891" s="121" t="n"/>
      <s:c r="D13891" s="121" t="n"/>
      <s:c r="E13891" s="122" t="n"/>
    </s:row>
    <s:row r="13892" hidden="1" ht="1" customHeight="1">
      <s:c r="A13892" s="120" t="inlineStr"/>
      <s:c r="B13892" s="121" t="n"/>
      <s:c r="C13892" s="121" t="n"/>
      <s:c r="D13892" s="121" t="n"/>
      <s:c r="E13892" s="122" t="n"/>
    </s:row>
    <s:row r="13893" hidden="1" ht="1" customHeight="1">
      <s:c r="A13893" s="120" t="inlineStr"/>
      <s:c r="B13893" s="121" t="n"/>
      <s:c r="C13893" s="121" t="n"/>
      <s:c r="D13893" s="121" t="n"/>
      <s:c r="E13893" s="122" t="n"/>
    </s:row>
    <s:row r="13894" hidden="1" ht="1" customHeight="1">
      <s:c r="A13894" s="120" t="inlineStr"/>
      <s:c r="B13894" s="121" t="n"/>
      <s:c r="C13894" s="121" t="n"/>
      <s:c r="D13894" s="121" t="n"/>
      <s:c r="E13894" s="122" t="n"/>
    </s:row>
    <s:row r="13895" hidden="1" ht="1" customHeight="1">
      <s:c r="A13895" s="120" t="inlineStr"/>
      <s:c r="B13895" s="121" t="n"/>
      <s:c r="C13895" s="121" t="n"/>
      <s:c r="D13895" s="121" t="n"/>
      <s:c r="E13895" s="122" t="n"/>
    </s:row>
    <s:row r="13896" hidden="1" ht="1" customHeight="1">
      <s:c r="A13896" s="120" t="inlineStr"/>
      <s:c r="B13896" s="121" t="n"/>
      <s:c r="C13896" s="121" t="n"/>
      <s:c r="D13896" s="121" t="n"/>
      <s:c r="E13896" s="122" t="n"/>
    </s:row>
    <s:row r="13897" hidden="1" ht="1" customHeight="1">
      <s:c r="A13897" s="120" t="inlineStr"/>
      <s:c r="B13897" s="121" t="n"/>
      <s:c r="C13897" s="121" t="n"/>
      <s:c r="D13897" s="121" t="n"/>
      <s:c r="E13897" s="122" t="n"/>
    </s:row>
    <s:row r="13898" hidden="1" ht="1" customHeight="1">
      <s:c r="A13898" s="120" t="inlineStr"/>
      <s:c r="B13898" s="121" t="n"/>
      <s:c r="C13898" s="121" t="n"/>
      <s:c r="D13898" s="121" t="n"/>
      <s:c r="E13898" s="122" t="n"/>
    </s:row>
    <s:row r="13899" hidden="1" ht="1" customHeight="1">
      <s:c r="A13899" s="120" t="inlineStr"/>
      <s:c r="B13899" s="121" t="n"/>
      <s:c r="C13899" s="121" t="n"/>
      <s:c r="D13899" s="121" t="n"/>
      <s:c r="E13899" s="122" t="n"/>
    </s:row>
    <s:row r="13900" hidden="1" ht="1" customHeight="1">
      <s:c r="A13900" s="120" t="inlineStr"/>
      <s:c r="B13900" s="121" t="n"/>
      <s:c r="C13900" s="121" t="n"/>
      <s:c r="D13900" s="121" t="n"/>
      <s:c r="E13900" s="122" t="n"/>
    </s:row>
    <s:row r="13901" hidden="1" ht="1" customHeight="1">
      <s:c r="A13901" s="120" t="inlineStr"/>
      <s:c r="B13901" s="121" t="n"/>
      <s:c r="C13901" s="121" t="n"/>
      <s:c r="D13901" s="121" t="n"/>
      <s:c r="E13901" s="122" t="n"/>
    </s:row>
    <s:row r="13902" hidden="1" ht="1" customHeight="1">
      <s:c r="A13902" s="120" t="inlineStr"/>
      <s:c r="B13902" s="121" t="n"/>
      <s:c r="C13902" s="121" t="n"/>
      <s:c r="D13902" s="121" t="n"/>
      <s:c r="E13902" s="122" t="n"/>
    </s:row>
    <s:row r="13903" hidden="1" ht="1" customHeight="1">
      <s:c r="A13903" s="120" t="inlineStr"/>
      <s:c r="B13903" s="121" t="n"/>
      <s:c r="C13903" s="121" t="n"/>
      <s:c r="D13903" s="121" t="n"/>
      <s:c r="E13903" s="122" t="n"/>
    </s:row>
    <s:row r="13904" hidden="1" ht="1" customHeight="1">
      <s:c r="A13904" s="120" t="inlineStr"/>
      <s:c r="B13904" s="121" t="n"/>
      <s:c r="C13904" s="121" t="n"/>
      <s:c r="D13904" s="121" t="n"/>
      <s:c r="E13904" s="122" t="n"/>
    </s:row>
    <s:row r="13905" hidden="1" ht="1" customHeight="1">
      <s:c r="A13905" s="120" t="inlineStr"/>
      <s:c r="B13905" s="121" t="n"/>
      <s:c r="C13905" s="121" t="n"/>
      <s:c r="D13905" s="121" t="n"/>
      <s:c r="E13905" s="122" t="n"/>
    </s:row>
    <s:row r="13906" hidden="1" ht="1" customHeight="1">
      <s:c r="A13906" s="120" t="inlineStr"/>
      <s:c r="B13906" s="121" t="n"/>
      <s:c r="C13906" s="121" t="n"/>
      <s:c r="D13906" s="121" t="n"/>
      <s:c r="E13906" s="122" t="n"/>
    </s:row>
    <s:row r="13907" hidden="1" ht="1" customHeight="1">
      <s:c r="A13907" s="120" t="inlineStr"/>
      <s:c r="B13907" s="121" t="n"/>
      <s:c r="C13907" s="121" t="n"/>
      <s:c r="D13907" s="121" t="n"/>
      <s:c r="E13907" s="122" t="n"/>
    </s:row>
    <s:row r="13908" hidden="1" ht="1" customHeight="1">
      <s:c r="A13908" s="120" t="inlineStr"/>
      <s:c r="B13908" s="121" t="n"/>
      <s:c r="C13908" s="121" t="n"/>
      <s:c r="D13908" s="121" t="n"/>
      <s:c r="E13908" s="122" t="n"/>
    </s:row>
    <s:row r="13909" hidden="1" ht="1" customHeight="1">
      <s:c r="A13909" s="120" t="inlineStr"/>
      <s:c r="B13909" s="121" t="n"/>
      <s:c r="C13909" s="121" t="n"/>
      <s:c r="D13909" s="121" t="n"/>
      <s:c r="E13909" s="122" t="n"/>
    </s:row>
    <s:row r="13910" hidden="1" ht="1" customHeight="1">
      <s:c r="A13910" s="120" t="inlineStr"/>
      <s:c r="B13910" s="121" t="n"/>
      <s:c r="C13910" s="121" t="n"/>
      <s:c r="D13910" s="121" t="n"/>
      <s:c r="E13910" s="122" t="n"/>
    </s:row>
    <s:row r="13911" hidden="1" ht="1" customHeight="1">
      <s:c r="A13911" s="120" t="inlineStr"/>
      <s:c r="B13911" s="121" t="n"/>
      <s:c r="C13911" s="121" t="n"/>
      <s:c r="D13911" s="121" t="n"/>
      <s:c r="E13911" s="122" t="n"/>
    </s:row>
    <s:row r="13912" hidden="1" ht="1" customHeight="1">
      <s:c r="A13912" s="120" t="inlineStr"/>
      <s:c r="B13912" s="121" t="n"/>
      <s:c r="C13912" s="121" t="n"/>
      <s:c r="D13912" s="121" t="n"/>
      <s:c r="E13912" s="122" t="n"/>
    </s:row>
    <s:row r="13913" hidden="1" ht="1" customHeight="1">
      <s:c r="A13913" s="120" t="inlineStr"/>
      <s:c r="B13913" s="121" t="n"/>
      <s:c r="C13913" s="121" t="n"/>
      <s:c r="D13913" s="121" t="n"/>
      <s:c r="E13913" s="122" t="n"/>
    </s:row>
    <s:row r="13914" hidden="1" ht="1" customHeight="1">
      <s:c r="A13914" s="120" t="inlineStr"/>
      <s:c r="B13914" s="121" t="n"/>
      <s:c r="C13914" s="121" t="n"/>
      <s:c r="D13914" s="121" t="n"/>
      <s:c r="E13914" s="122" t="n"/>
    </s:row>
    <s:row r="13915" hidden="1" ht="1" customHeight="1">
      <s:c r="A13915" s="120" t="inlineStr"/>
      <s:c r="B13915" s="121" t="n"/>
      <s:c r="C13915" s="121" t="n"/>
      <s:c r="D13915" s="121" t="n"/>
      <s:c r="E13915" s="122" t="n"/>
    </s:row>
    <s:row r="13916" hidden="1" ht="1" customHeight="1">
      <s:c r="A13916" s="120" t="inlineStr"/>
      <s:c r="B13916" s="121" t="n"/>
      <s:c r="C13916" s="121" t="n"/>
      <s:c r="D13916" s="121" t="n"/>
      <s:c r="E13916" s="122" t="n"/>
    </s:row>
    <s:row r="13917" hidden="1" ht="1" customHeight="1">
      <s:c r="A13917" s="83" t="inlineStr">
        <s:is>
          <s:t>PASS</s:t>
        </s:is>
      </s:c>
      <s:c r="B13917" s="83">
        <s:f>SUM(IF(EXACT('Kiểm thử'!E13867,"Đạt"),1,0))</s:f>
        <s:v/>
      </s:c>
      <s:c r="C13917" s="19" t="n"/>
      <s:c r="D13917" s="19" t="n"/>
      <s:c r="E13917" s="19" t="n"/>
    </s:row>
    <s:row r="13918" hidden="1" ht="1" customHeight="1">
      <s:c r="A13918" s="83" t="inlineStr">
        <s:is>
          <s:t>FAIL</s:t>
        </s:is>
      </s:c>
      <s:c r="B13918" s="83">
        <s:f>SUM(IF(EXACT('Kiểm thử'!E13867,"Không đạt"),1,0))</s:f>
        <s:v/>
      </s:c>
      <s:c r="C13918" s="19" t="n"/>
      <s:c r="D13918" s="19" t="n"/>
      <s:c r="E13918" s="19" t="n"/>
    </s:row>
    <s:row r="13919" hidden="1" ht="1" customHeight="1">
      <s:c r="A13919" s="83" t="inlineStr">
        <s:is>
          <s:t>BLOCKED</s:t>
        </s:is>
      </s:c>
      <s:c r="B13919" s="83">
        <s:f>SUM(IF(EXACT('Kiểm thử'!E13867,"Bị chặn"),1,0))</s:f>
        <s:v/>
      </s:c>
      <s:c r="C13919" s="19" t="n"/>
      <s:c r="D13919" s="19" t="n"/>
      <s:c r="E13919" s="19" t="n"/>
    </s:row>
    <s:row r="13920" hidden="1" ht="1" customHeight="1">
      <s:c r="A13920" s="83" t="inlineStr">
        <s:is>
          <s:t>SKIPPED</s:t>
        </s:is>
      </s:c>
      <s:c r="B13920" s="83">
        <s:f>SUM(IF(EXACT('Kiểm thử'!E13867,"Không thực hiện"),1,0))</s:f>
        <s:v/>
      </s:c>
      <s:c r="C13920" s="19" t="n"/>
      <s:c r="D13920" s="19" t="n"/>
      <s:c r="E13920" s="19" t="n"/>
    </s:row>
    <s:row r="13921" hidden="1" ht="1" customHeight="1">
      <s:c r="A13921" s="83" t="inlineStr">
        <s:is>
          <s:t>NOT RUN</s:t>
        </s:is>
      </s:c>
      <s:c r="B13921" s="83">
        <s:f>SUM(IF(EXACT('Kiểm thử'!E13867,"Chưa thực hiện"),1,0))</s:f>
        <s:v/>
      </s:c>
      <s:c r="C13921" s="19" t="n"/>
      <s:c r="D13921" s="19" t="n"/>
      <s:c r="E13921" s="19" t="n"/>
    </s:row>
    <s:row r="13922" hidden="1" ht="6" customHeight="1">
      <s:c r="A13922" s="83" t="inlineStr"/>
      <s:c r="B13922" s="19" t="n"/>
      <s:c r="C13922" s="19" t="n"/>
      <s:c r="D13922" s="19" t="n"/>
      <s:c r="E13922" s="19" t="n"/>
    </s:row>
    <s:row r="13923" ht="28" customHeight="1">
      <s:c r="A13923" s="108" t="inlineStr">
        <s:is>
          <s:t>TC-RS-FUNC-021 — Trường chỉ có quy tắc đỏ (không có tính tự động) vẫn có đường chạy hàng loạt</s:t>
        </s:is>
      </s:c>
      <s:c r="B13923" s="111" t="n"/>
      <s:c r="C13923" s="111" t="n"/>
      <s:c r="D13923" s="111" t="n"/>
      <s:c r="E13923" s="111" t="n"/>
    </s:row>
    <s:row r="13924" ht="20" customHeight="1">
      <s:c r="A13924" s="112" t="inlineStr">
        <s:is>
          <s:t>Kết quả tình huống</s:t>
        </s:is>
      </s:c>
      <s:c r="B13924" s="113">
        <s:f>IF(SUM(IF(EXACT('Kiểm thử'!E13933,"Không đạt"),1,0))&gt;0,"Không đạt",IF(SUM(IF(EXACT('Kiểm thử'!E13933,"Đạt"),1,0))=1,"Đạt",IF(SUM(IF(EXACT('Kiểm thử'!E13933,"Không thực hiện"),1,0))=1,"Không thực hiện",IF(SUM(IF(EXACT('Kiểm thử'!E13933,"Bị chặn"),1,0))&gt;0,"Bị chặn",IF(SUM(IF(EXACT('Kiểm thử'!E13933,"Chưa thực hiện"),1,0))=1,"Chưa thực hiện","Đang thực hiện")))))</s:f>
        <s:v/>
      </s:c>
      <s:c r="C13924" s="114" t="n"/>
      <s:c r="D13924" s="114" t="n"/>
      <s:c r="E13924" s="114" t="n"/>
    </s:row>
    <s:row r="13925" ht="20" customHeight="1">
      <s:c r="A13925" s="112" t="inlineStr">
        <s:is>
          <s:t>Màn hình / chức năng</s:t>
        </s:is>
      </s:c>
      <s:c r="B13925" s="113" t="inlineStr">
        <s:is>
          <s:t>Vòng đời kết quả</s:t>
        </s:is>
      </s:c>
      <s:c r="C13925" s="28" t="n"/>
      <s:c r="D13925" s="28" t="n"/>
      <s:c r="E13925" s="28" t="n"/>
    </s:row>
    <s:row r="13926" ht="34" customHeight="1">
      <s:c r="A13926" s="112" t="inlineStr">
        <s:is>
          <s:t>Cấu hình</s:t>
        </s:is>
      </s:c>
      <s:c r="B13926" s="113" t="inlineStr">
        <s:is>
          <s:r>
            <s:t>• Trường không có quy tắc tính tự động nào đang hoạt động;
• Mục số nguyên (</s:t>
          </s:r>
          <s:r>
            <s:rPr>
              <s:b val="1"/>
            </s:rPr>
            <s:t>M=100</s:t>
          </s:r>
          <s:r>
            <s:t>) có quy tắc “Cố định 30” (dưới 30).</s:t>
          </s:r>
        </s:is>
      </s:c>
      <s:c r="C13926" s="28" t="n"/>
      <s:c r="D13926" s="28" t="n"/>
      <s:c r="E13926" s="28" t="n"/>
    </s:row>
    <s:row r="13927" ht="34" customHeight="1">
      <s:c r="A13927" s="112" t="inlineStr">
        <s:is>
          <s:t>Dữ liệu test</s:t>
        </s:is>
      </s:c>
      <s:c r="B13927" s="113" t="inlineStr">
        <s:is>
          <s:r>
            <s:t>• Mục số nguyên (</s:t>
          </s:r>
          <s:r>
            <s:rPr>
              <s:b val="1"/>
            </s:rPr>
            <s:t>M=100</s:t>
          </s:r>
          <s:r>
            <s:t>);
• Quy tắc “Cố định 30” (dưới 30), tài khoản có quyền chạy hàng loạt</s:t>
          </s:r>
        </s:is>
      </s:c>
      <s:c r="C13927" s="28" t="n"/>
      <s:c r="D13927" s="28" t="n"/>
      <s:c r="E13927" s="28" t="n"/>
    </s:row>
    <s:row r="13928" ht="20" customHeight="1">
      <s:c r="A13928" s="112" t="inlineStr">
        <s:is>
          <s:t>Bước 1</s:t>
        </s:is>
      </s:c>
      <s:c r="B13928" s="113" t="inlineStr">
        <s:is>
          <s:r>
            <s:t xml:space="preserve">Mở </s:t>
          </s:r>
          <s:r>
            <s:rPr>
              <s:b val="1"/>
            </s:rPr>
            <s:t>Tổng hợp thành tích（成績集計）</s:t>
          </s:r>
          <s:r>
            <s:t xml:space="preserve"> ([/admin/grade/grade_setting_system/grade_calc]).</s:t>
          </s:r>
        </s:is>
      </s:c>
      <s:c r="C13928" s="28" t="n"/>
      <s:c r="D13928" s="28" t="n"/>
      <s:c r="E13928" s="28" t="n"/>
    </s:row>
    <s:row r="13929" ht="20" customHeight="1">
      <s:c r="A13929" s="112" t="inlineStr">
        <s:is>
          <s:t>Bước 2</s:t>
        </s:is>
      </s:c>
      <s:c r="B13929" s="113" t="inlineStr">
        <s:is>
          <s:r>
            <s:t xml:space="preserve">Tìm thao tác Thực hiện </s:t>
          </s:r>
          <s:r>
            <s:rPr>
              <s:b val="1"/>
            </s:rPr>
            <s:t>tính toán tự động（自動算出実行）</s:t>
          </s:r>
          <s:r>
            <s:t xml:space="preserve"> cho Khối 1, kỳ 1学期期末 (cuối kỳ học kỳ 1).</s:t>
          </s:r>
        </s:is>
      </s:c>
      <s:c r="C13929" s="28" t="n"/>
      <s:c r="D13929" s="28" t="n"/>
      <s:c r="E13929" s="28" t="n"/>
    </s:row>
    <s:row r="13930" ht="20" customHeight="1">
      <s:c r="A13930" s="112" t="inlineStr">
        <s:is>
          <s:t>Bước 3</s:t>
        </s:is>
      </s:c>
      <s:c r="B13930" s="113" t="inlineStr">
        <s:is>
          <s:t>Chạy, chờ hoàn tất, xem kết quả.</s:t>
        </s:is>
      </s:c>
      <s:c r="C13930" s="28" t="n"/>
      <s:c r="D13930" s="28" t="n"/>
      <s:c r="E13930" s="28" t="n"/>
    </s:row>
    <s:row r="13931" ht="28" customHeight="1">
      <s:c r="A13931" s="115" t="inlineStr">
        <s:is>
          <s:t>Trường hợp</s:t>
        </s:is>
      </s:c>
      <s:c r="B13931" s="115" t="inlineStr">
        <s:is>
          <s:t>Dữ liệu / thao tác riêng</s:t>
        </s:is>
      </s:c>
      <s:c r="C13931" s="115" t="inlineStr">
        <s:is>
          <s:t>Kết quả mong đợi</s:t>
        </s:is>
      </s:c>
      <s:c r="D13931" s="115" t="inlineStr">
        <s:is>
          <s:t>Kết quả thực tế</s:t>
        </s:is>
      </s:c>
      <s:c r="E13931" s="115" t="inlineStr">
        <s:is>
          <s:t>Đánh giá</s:t>
        </s:is>
      </s:c>
    </s:row>
    <s:row r="13932" ht="3" customHeight="1">
      <s:c r="A13932" s="102" t="inlineStr"/>
      <s:c r="B13932" s="99" t="n"/>
      <s:c r="C13932" s="99" t="n"/>
      <s:c r="D13932" s="116" t="n"/>
      <s:c r="E13932" s="116" t="n"/>
    </s:row>
    <s:row r="13933" ht="90" customHeight="1">
      <s:c r="A13933" s="83" t="inlineStr">
        <s:is>
          <s:t>Trường hợp cơ bản (Base)</s:t>
        </s:is>
      </s:c>
      <s:c r="B13933" s="83" t="inlineStr">
        <s:is>
          <s:t>Toàn bộ tình huống: Thực hiện đủ các bước chung theo thứ tự; kiểm cả đối tượng đích và đối chứng cùng fixture, không bỏ bước.</s:t>
        </s:is>
      </s:c>
      <s:c r="C13933" s="83" t="inlineStr">
        <s:is>
          <s: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s:t>
        </s:is>
      </s:c>
      <s:c r="D13933" s="117" t="inlineStr"/>
      <s:c r="E13933" s="118" t="inlineStr">
        <s:is>
          <s:t>Chưa thực hiện</s:t>
        </s:is>
      </s:c>
    </s:row>
    <s:row r="13934" ht="20" customHeight="1">
      <s:c r="A13934" s="119" t="inlineStr">
        <s:is>
          <s:t>Ảnh minh chứng — Chưa có ảnh</s:t>
        </s:is>
      </s:c>
      <s:c r="B13934" s="19" t="n"/>
      <s:c r="C13934" s="19" t="n"/>
      <s:c r="D13934" s="19" t="n"/>
      <s:c r="E13934" s="19" t="n"/>
    </s:row>
    <s:row r="13935" hidden="1" ht="1" customHeight="1">
      <s:c r="A13935" s="120" t="inlineStr"/>
      <s:c r="B13935" s="121" t="n"/>
      <s:c r="C13935" s="121" t="n"/>
      <s:c r="D13935" s="121" t="n"/>
      <s:c r="E13935" s="122" t="n"/>
    </s:row>
    <s:row r="13936" hidden="1" ht="1" customHeight="1">
      <s:c r="A13936" s="120" t="inlineStr"/>
      <s:c r="B13936" s="121" t="n"/>
      <s:c r="C13936" s="121" t="n"/>
      <s:c r="D13936" s="121" t="n"/>
      <s:c r="E13936" s="122" t="n"/>
    </s:row>
    <s:row r="13937" hidden="1" ht="1" customHeight="1">
      <s:c r="A13937" s="120" t="inlineStr"/>
      <s:c r="B13937" s="121" t="n"/>
      <s:c r="C13937" s="121" t="n"/>
      <s:c r="D13937" s="121" t="n"/>
      <s:c r="E13937" s="122" t="n"/>
    </s:row>
    <s:row r="13938" hidden="1" ht="1" customHeight="1">
      <s:c r="A13938" s="120" t="inlineStr"/>
      <s:c r="B13938" s="121" t="n"/>
      <s:c r="C13938" s="121" t="n"/>
      <s:c r="D13938" s="121" t="n"/>
      <s:c r="E13938" s="122" t="n"/>
    </s:row>
    <s:row r="13939" hidden="1" ht="1" customHeight="1">
      <s:c r="A13939" s="120" t="inlineStr"/>
      <s:c r="B13939" s="121" t="n"/>
      <s:c r="C13939" s="121" t="n"/>
      <s:c r="D13939" s="121" t="n"/>
      <s:c r="E13939" s="122" t="n"/>
    </s:row>
    <s:row r="13940" hidden="1" ht="1" customHeight="1">
      <s:c r="A13940" s="120" t="inlineStr"/>
      <s:c r="B13940" s="121" t="n"/>
      <s:c r="C13940" s="121" t="n"/>
      <s:c r="D13940" s="121" t="n"/>
      <s:c r="E13940" s="122" t="n"/>
    </s:row>
    <s:row r="13941" hidden="1" ht="1" customHeight="1">
      <s:c r="A13941" s="120" t="inlineStr"/>
      <s:c r="B13941" s="121" t="n"/>
      <s:c r="C13941" s="121" t="n"/>
      <s:c r="D13941" s="121" t="n"/>
      <s:c r="E13941" s="122" t="n"/>
    </s:row>
    <s:row r="13942" hidden="1" ht="1" customHeight="1">
      <s:c r="A13942" s="120" t="inlineStr"/>
      <s:c r="B13942" s="121" t="n"/>
      <s:c r="C13942" s="121" t="n"/>
      <s:c r="D13942" s="121" t="n"/>
      <s:c r="E13942" s="122" t="n"/>
    </s:row>
    <s:row r="13943" hidden="1" ht="1" customHeight="1">
      <s:c r="A13943" s="120" t="inlineStr"/>
      <s:c r="B13943" s="121" t="n"/>
      <s:c r="C13943" s="121" t="n"/>
      <s:c r="D13943" s="121" t="n"/>
      <s:c r="E13943" s="122" t="n"/>
    </s:row>
    <s:row r="13944" hidden="1" ht="1" customHeight="1">
      <s:c r="A13944" s="120" t="inlineStr"/>
      <s:c r="B13944" s="121" t="n"/>
      <s:c r="C13944" s="121" t="n"/>
      <s:c r="D13944" s="121" t="n"/>
      <s:c r="E13944" s="122" t="n"/>
    </s:row>
    <s:row r="13945" hidden="1" ht="1" customHeight="1">
      <s:c r="A13945" s="120" t="inlineStr"/>
      <s:c r="B13945" s="121" t="n"/>
      <s:c r="C13945" s="121" t="n"/>
      <s:c r="D13945" s="121" t="n"/>
      <s:c r="E13945" s="122" t="n"/>
    </s:row>
    <s:row r="13946" hidden="1" ht="1" customHeight="1">
      <s:c r="A13946" s="120" t="inlineStr"/>
      <s:c r="B13946" s="121" t="n"/>
      <s:c r="C13946" s="121" t="n"/>
      <s:c r="D13946" s="121" t="n"/>
      <s:c r="E13946" s="122" t="n"/>
    </s:row>
    <s:row r="13947" hidden="1" ht="1" customHeight="1">
      <s:c r="A13947" s="120" t="inlineStr"/>
      <s:c r="B13947" s="121" t="n"/>
      <s:c r="C13947" s="121" t="n"/>
      <s:c r="D13947" s="121" t="n"/>
      <s:c r="E13947" s="122" t="n"/>
    </s:row>
    <s:row r="13948" hidden="1" ht="1" customHeight="1">
      <s:c r="A13948" s="120" t="inlineStr"/>
      <s:c r="B13948" s="121" t="n"/>
      <s:c r="C13948" s="121" t="n"/>
      <s:c r="D13948" s="121" t="n"/>
      <s:c r="E13948" s="122" t="n"/>
    </s:row>
    <s:row r="13949" hidden="1" ht="1" customHeight="1">
      <s:c r="A13949" s="120" t="inlineStr"/>
      <s:c r="B13949" s="121" t="n"/>
      <s:c r="C13949" s="121" t="n"/>
      <s:c r="D13949" s="121" t="n"/>
      <s:c r="E13949" s="122" t="n"/>
    </s:row>
    <s:row r="13950" hidden="1" ht="1" customHeight="1">
      <s:c r="A13950" s="120" t="inlineStr"/>
      <s:c r="B13950" s="121" t="n"/>
      <s:c r="C13950" s="121" t="n"/>
      <s:c r="D13950" s="121" t="n"/>
      <s:c r="E13950" s="122" t="n"/>
    </s:row>
    <s:row r="13951" hidden="1" ht="1" customHeight="1">
      <s:c r="A13951" s="120" t="inlineStr"/>
      <s:c r="B13951" s="121" t="n"/>
      <s:c r="C13951" s="121" t="n"/>
      <s:c r="D13951" s="121" t="n"/>
      <s:c r="E13951" s="122" t="n"/>
    </s:row>
    <s:row r="13952" hidden="1" ht="1" customHeight="1">
      <s:c r="A13952" s="120" t="inlineStr"/>
      <s:c r="B13952" s="121" t="n"/>
      <s:c r="C13952" s="121" t="n"/>
      <s:c r="D13952" s="121" t="n"/>
      <s:c r="E13952" s="122" t="n"/>
    </s:row>
    <s:row r="13953" hidden="1" ht="1" customHeight="1">
      <s:c r="A13953" s="120" t="inlineStr"/>
      <s:c r="B13953" s="121" t="n"/>
      <s:c r="C13953" s="121" t="n"/>
      <s:c r="D13953" s="121" t="n"/>
      <s:c r="E13953" s="122" t="n"/>
    </s:row>
    <s:row r="13954" hidden="1" ht="1" customHeight="1">
      <s:c r="A13954" s="120" t="inlineStr"/>
      <s:c r="B13954" s="121" t="n"/>
      <s:c r="C13954" s="121" t="n"/>
      <s:c r="D13954" s="121" t="n"/>
      <s:c r="E13954" s="122" t="n"/>
    </s:row>
    <s:row r="13955" hidden="1" ht="1" customHeight="1">
      <s:c r="A13955" s="120" t="inlineStr"/>
      <s:c r="B13955" s="121" t="n"/>
      <s:c r="C13955" s="121" t="n"/>
      <s:c r="D13955" s="121" t="n"/>
      <s:c r="E13955" s="122" t="n"/>
    </s:row>
    <s:row r="13956" hidden="1" ht="1" customHeight="1">
      <s:c r="A13956" s="120" t="inlineStr"/>
      <s:c r="B13956" s="121" t="n"/>
      <s:c r="C13956" s="121" t="n"/>
      <s:c r="D13956" s="121" t="n"/>
      <s:c r="E13956" s="122" t="n"/>
    </s:row>
    <s:row r="13957" hidden="1" ht="1" customHeight="1">
      <s:c r="A13957" s="120" t="inlineStr"/>
      <s:c r="B13957" s="121" t="n"/>
      <s:c r="C13957" s="121" t="n"/>
      <s:c r="D13957" s="121" t="n"/>
      <s:c r="E13957" s="122" t="n"/>
    </s:row>
    <s:row r="13958" hidden="1" ht="1" customHeight="1">
      <s:c r="A13958" s="120" t="inlineStr"/>
      <s:c r="B13958" s="121" t="n"/>
      <s:c r="C13958" s="121" t="n"/>
      <s:c r="D13958" s="121" t="n"/>
      <s:c r="E13958" s="122" t="n"/>
    </s:row>
    <s:row r="13959" hidden="1" ht="1" customHeight="1">
      <s:c r="A13959" s="120" t="inlineStr"/>
      <s:c r="B13959" s="121" t="n"/>
      <s:c r="C13959" s="121" t="n"/>
      <s:c r="D13959" s="121" t="n"/>
      <s:c r="E13959" s="122" t="n"/>
    </s:row>
    <s:row r="13960" hidden="1" ht="1" customHeight="1">
      <s:c r="A13960" s="120" t="inlineStr"/>
      <s:c r="B13960" s="121" t="n"/>
      <s:c r="C13960" s="121" t="n"/>
      <s:c r="D13960" s="121" t="n"/>
      <s:c r="E13960" s="122" t="n"/>
    </s:row>
    <s:row r="13961" hidden="1" ht="1" customHeight="1">
      <s:c r="A13961" s="120" t="inlineStr"/>
      <s:c r="B13961" s="121" t="n"/>
      <s:c r="C13961" s="121" t="n"/>
      <s:c r="D13961" s="121" t="n"/>
      <s:c r="E13961" s="122" t="n"/>
    </s:row>
    <s:row r="13962" hidden="1" ht="1" customHeight="1">
      <s:c r="A13962" s="120" t="inlineStr"/>
      <s:c r="B13962" s="121" t="n"/>
      <s:c r="C13962" s="121" t="n"/>
      <s:c r="D13962" s="121" t="n"/>
      <s:c r="E13962" s="122" t="n"/>
    </s:row>
    <s:row r="13963" hidden="1" ht="1" customHeight="1">
      <s:c r="A13963" s="120" t="inlineStr"/>
      <s:c r="B13963" s="121" t="n"/>
      <s:c r="C13963" s="121" t="n"/>
      <s:c r="D13963" s="121" t="n"/>
      <s:c r="E13963" s="122" t="n"/>
    </s:row>
    <s:row r="13964" hidden="1" ht="1" customHeight="1">
      <s:c r="A13964" s="120" t="inlineStr"/>
      <s:c r="B13964" s="121" t="n"/>
      <s:c r="C13964" s="121" t="n"/>
      <s:c r="D13964" s="121" t="n"/>
      <s:c r="E13964" s="122" t="n"/>
    </s:row>
    <s:row r="13965" hidden="1" ht="1" customHeight="1">
      <s:c r="A13965" s="120" t="inlineStr"/>
      <s:c r="B13965" s="121" t="n"/>
      <s:c r="C13965" s="121" t="n"/>
      <s:c r="D13965" s="121" t="n"/>
      <s:c r="E13965" s="122" t="n"/>
    </s:row>
    <s:row r="13966" hidden="1" ht="1" customHeight="1">
      <s:c r="A13966" s="120" t="inlineStr"/>
      <s:c r="B13966" s="121" t="n"/>
      <s:c r="C13966" s="121" t="n"/>
      <s:c r="D13966" s="121" t="n"/>
      <s:c r="E13966" s="122" t="n"/>
    </s:row>
    <s:row r="13967" hidden="1" ht="1" customHeight="1">
      <s:c r="A13967" s="120" t="inlineStr"/>
      <s:c r="B13967" s="121" t="n"/>
      <s:c r="C13967" s="121" t="n"/>
      <s:c r="D13967" s="121" t="n"/>
      <s:c r="E13967" s="122" t="n"/>
    </s:row>
    <s:row r="13968" hidden="1" ht="1" customHeight="1">
      <s:c r="A13968" s="120" t="inlineStr"/>
      <s:c r="B13968" s="121" t="n"/>
      <s:c r="C13968" s="121" t="n"/>
      <s:c r="D13968" s="121" t="n"/>
      <s:c r="E13968" s="122" t="n"/>
    </s:row>
    <s:row r="13969" hidden="1" ht="1" customHeight="1">
      <s:c r="A13969" s="120" t="inlineStr"/>
      <s:c r="B13969" s="121" t="n"/>
      <s:c r="C13969" s="121" t="n"/>
      <s:c r="D13969" s="121" t="n"/>
      <s:c r="E13969" s="122" t="n"/>
    </s:row>
    <s:row r="13970" hidden="1" ht="1" customHeight="1">
      <s:c r="A13970" s="120" t="inlineStr"/>
      <s:c r="B13970" s="121" t="n"/>
      <s:c r="C13970" s="121" t="n"/>
      <s:c r="D13970" s="121" t="n"/>
      <s:c r="E13970" s="122" t="n"/>
    </s:row>
    <s:row r="13971" hidden="1" ht="1" customHeight="1">
      <s:c r="A13971" s="120" t="inlineStr"/>
      <s:c r="B13971" s="121" t="n"/>
      <s:c r="C13971" s="121" t="n"/>
      <s:c r="D13971" s="121" t="n"/>
      <s:c r="E13971" s="122" t="n"/>
    </s:row>
    <s:row r="13972" hidden="1" ht="1" customHeight="1">
      <s:c r="A13972" s="120" t="inlineStr"/>
      <s:c r="B13972" s="121" t="n"/>
      <s:c r="C13972" s="121" t="n"/>
      <s:c r="D13972" s="121" t="n"/>
      <s:c r="E13972" s="122" t="n"/>
    </s:row>
    <s:row r="13973" hidden="1" ht="1" customHeight="1">
      <s:c r="A13973" s="120" t="inlineStr"/>
      <s:c r="B13973" s="121" t="n"/>
      <s:c r="C13973" s="121" t="n"/>
      <s:c r="D13973" s="121" t="n"/>
      <s:c r="E13973" s="122" t="n"/>
    </s:row>
    <s:row r="13974" hidden="1" ht="1" customHeight="1">
      <s:c r="A13974" s="120" t="inlineStr"/>
      <s:c r="B13974" s="121" t="n"/>
      <s:c r="C13974" s="121" t="n"/>
      <s:c r="D13974" s="121" t="n"/>
      <s:c r="E13974" s="122" t="n"/>
    </s:row>
    <s:row r="13975" hidden="1" ht="1" customHeight="1">
      <s:c r="A13975" s="120" t="inlineStr"/>
      <s:c r="B13975" s="121" t="n"/>
      <s:c r="C13975" s="121" t="n"/>
      <s:c r="D13975" s="121" t="n"/>
      <s:c r="E13975" s="122" t="n"/>
    </s:row>
    <s:row r="13976" hidden="1" ht="1" customHeight="1">
      <s:c r="A13976" s="120" t="inlineStr"/>
      <s:c r="B13976" s="121" t="n"/>
      <s:c r="C13976" s="121" t="n"/>
      <s:c r="D13976" s="121" t="n"/>
      <s:c r="E13976" s="122" t="n"/>
    </s:row>
    <s:row r="13977" hidden="1" ht="1" customHeight="1">
      <s:c r="A13977" s="120" t="inlineStr"/>
      <s:c r="B13977" s="121" t="n"/>
      <s:c r="C13977" s="121" t="n"/>
      <s:c r="D13977" s="121" t="n"/>
      <s:c r="E13977" s="122" t="n"/>
    </s:row>
    <s:row r="13978" hidden="1" ht="1" customHeight="1">
      <s:c r="A13978" s="120" t="inlineStr"/>
      <s:c r="B13978" s="121" t="n"/>
      <s:c r="C13978" s="121" t="n"/>
      <s:c r="D13978" s="121" t="n"/>
      <s:c r="E13978" s="122" t="n"/>
    </s:row>
    <s:row r="13979" hidden="1" ht="1" customHeight="1">
      <s:c r="A13979" s="120" t="inlineStr"/>
      <s:c r="B13979" s="121" t="n"/>
      <s:c r="C13979" s="121" t="n"/>
      <s:c r="D13979" s="121" t="n"/>
      <s:c r="E13979" s="122" t="n"/>
    </s:row>
    <s:row r="13980" hidden="1" ht="1" customHeight="1">
      <s:c r="A13980" s="120" t="inlineStr"/>
      <s:c r="B13980" s="121" t="n"/>
      <s:c r="C13980" s="121" t="n"/>
      <s:c r="D13980" s="121" t="n"/>
      <s:c r="E13980" s="122" t="n"/>
    </s:row>
    <s:row r="13981" hidden="1" ht="1" customHeight="1">
      <s:c r="A13981" s="120" t="inlineStr"/>
      <s:c r="B13981" s="121" t="n"/>
      <s:c r="C13981" s="121" t="n"/>
      <s:c r="D13981" s="121" t="n"/>
      <s:c r="E13981" s="122" t="n"/>
    </s:row>
    <s:row r="13982" hidden="1" ht="1" customHeight="1">
      <s:c r="A13982" s="120" t="inlineStr"/>
      <s:c r="B13982" s="121" t="n"/>
      <s:c r="C13982" s="121" t="n"/>
      <s:c r="D13982" s="121" t="n"/>
      <s:c r="E13982" s="122" t="n"/>
    </s:row>
    <s:row r="13983" hidden="1" ht="1" customHeight="1">
      <s:c r="A13983" s="83" t="inlineStr">
        <s:is>
          <s:t>PASS</s:t>
        </s:is>
      </s:c>
      <s:c r="B13983" s="83">
        <s:f>SUM(IF(EXACT('Kiểm thử'!E13933,"Đạt"),1,0))</s:f>
        <s:v/>
      </s:c>
      <s:c r="C13983" s="19" t="n"/>
      <s:c r="D13983" s="19" t="n"/>
      <s:c r="E13983" s="19" t="n"/>
    </s:row>
    <s:row r="13984" hidden="1" ht="1" customHeight="1">
      <s:c r="A13984" s="83" t="inlineStr">
        <s:is>
          <s:t>FAIL</s:t>
        </s:is>
      </s:c>
      <s:c r="B13984" s="83">
        <s:f>SUM(IF(EXACT('Kiểm thử'!E13933,"Không đạt"),1,0))</s:f>
        <s:v/>
      </s:c>
      <s:c r="C13984" s="19" t="n"/>
      <s:c r="D13984" s="19" t="n"/>
      <s:c r="E13984" s="19" t="n"/>
    </s:row>
    <s:row r="13985" hidden="1" ht="1" customHeight="1">
      <s:c r="A13985" s="83" t="inlineStr">
        <s:is>
          <s:t>BLOCKED</s:t>
        </s:is>
      </s:c>
      <s:c r="B13985" s="83">
        <s:f>SUM(IF(EXACT('Kiểm thử'!E13933,"Bị chặn"),1,0))</s:f>
        <s:v/>
      </s:c>
      <s:c r="C13985" s="19" t="n"/>
      <s:c r="D13985" s="19" t="n"/>
      <s:c r="E13985" s="19" t="n"/>
    </s:row>
    <s:row r="13986" hidden="1" ht="1" customHeight="1">
      <s:c r="A13986" s="83" t="inlineStr">
        <s:is>
          <s:t>SKIPPED</s:t>
        </s:is>
      </s:c>
      <s:c r="B13986" s="83">
        <s:f>SUM(IF(EXACT('Kiểm thử'!E13933,"Không thực hiện"),1,0))</s:f>
        <s:v/>
      </s:c>
      <s:c r="C13986" s="19" t="n"/>
      <s:c r="D13986" s="19" t="n"/>
      <s:c r="E13986" s="19" t="n"/>
    </s:row>
    <s:row r="13987" hidden="1" ht="1" customHeight="1">
      <s:c r="A13987" s="83" t="inlineStr">
        <s:is>
          <s:t>NOT RUN</s:t>
        </s:is>
      </s:c>
      <s:c r="B13987" s="83">
        <s:f>SUM(IF(EXACT('Kiểm thử'!E13933,"Chưa thực hiện"),1,0))</s:f>
        <s:v/>
      </s:c>
      <s:c r="C13987" s="19" t="n"/>
      <s:c r="D13987" s="19" t="n"/>
      <s:c r="E13987" s="19" t="n"/>
    </s:row>
    <s:row r="13988" hidden="1" ht="6" customHeight="1">
      <s:c r="A13988" s="83" t="inlineStr"/>
      <s:c r="B13988" s="19" t="n"/>
      <s:c r="C13988" s="19" t="n"/>
      <s:c r="D13988" s="19" t="n"/>
      <s:c r="E13988" s="19" t="n"/>
    </s:row>
    <s:row r="13989" ht="28" customHeight="1">
      <s:c r="A13989" s="108" t="inlineStr">
        <s:is>
          <s:t>TC-RS-FUNC-035 — Nhập CSV đăng ký điểm lớp chủ nhiệm hàng loạt（HR成績CSV一括登録） kích hoạt xét</s:t>
        </s:is>
      </s:c>
      <s:c r="B13989" s="111" t="n"/>
      <s:c r="C13989" s="111" t="n"/>
      <s:c r="D13989" s="111" t="n"/>
      <s:c r="E13989" s="111" t="n"/>
    </s:row>
    <s:row r="13990" ht="20" customHeight="1">
      <s:c r="A13990" s="112" t="inlineStr">
        <s:is>
          <s:t>Kết quả tình huống</s:t>
        </s:is>
      </s:c>
      <s:c r="B13990" s="113">
        <s:f>IF(SUM(IF(EXACT('Kiểm thử'!E13999,"Không đạt"),1,0),IF(EXACT('Kiểm thử'!E14001,"Không đạt"),1,0))&gt;0,"Không đạt",IF(SUM(IF(EXACT('Kiểm thử'!E13999,"Đạt"),1,0),IF(EXACT('Kiểm thử'!E14001,"Đạt"),1,0))=2,"Đạt",IF(SUM(IF(EXACT('Kiểm thử'!E13999,"Không thực hiện"),1,0),IF(EXACT('Kiểm thử'!E14001,"Không thực hiện"),1,0))=2,"Không thực hiện",IF(SUM(IF(EXACT('Kiểm thử'!E13999,"Bị chặn"),1,0),IF(EXACT('Kiểm thử'!E14001,"Bị chặn"),1,0))&gt;0,"Bị chặn",IF(SUM(IF(EXACT('Kiểm thử'!E13999,"Chưa thực hiện"),1,0),IF(EXACT('Kiểm thử'!E14001,"Chưa thực hiện"),1,0))=2,"Chưa thực hiện","Đang thực hiện")))))</s:f>
        <s:v/>
      </s:c>
      <s:c r="C13990" s="114" t="n"/>
      <s:c r="D13990" s="114" t="n"/>
      <s:c r="E13990" s="114" t="n"/>
    </s:row>
    <s:row r="13991" ht="20" customHeight="1">
      <s:c r="A13991" s="112" t="inlineStr">
        <s:is>
          <s:t>Màn hình / chức năng</s:t>
        </s:is>
      </s:c>
      <s:c r="B13991" s="113" t="inlineStr">
        <s:is>
          <s:t>Vòng đời kết quả</s:t>
        </s:is>
      </s:c>
      <s:c r="C13991" s="28" t="n"/>
      <s:c r="D13991" s="28" t="n"/>
      <s:c r="E13991" s="28" t="n"/>
    </s:row>
    <s:row r="13992" ht="34" customHeight="1">
      <s:c r="A13992" s="112" t="inlineStr">
        <s:is>
          <s:t>Cấu hình</s:t>
        </s:is>
      </s:c>
      <s:c r="B13992" s="113" t="inlineStr">
        <s:is>
          <s:r>
            <s:t>• Mục số nguyên (</s:t>
          </s:r>
          <s:r>
            <s:rPr>
              <s:b val="1"/>
            </s:rPr>
            <s:t>M=100</s:t>
          </s:r>
          <s:r>
            <s:t>) có quy tắc “Cố định 30” (dưới 30). Chạy hai lần: (a) trường có tính tự động, (b) trường không có tính tự động.</s:t>
          </s:r>
        </s:is>
      </s:c>
      <s:c r="C13992" s="28" t="n"/>
      <s:c r="D13992" s="28" t="n"/>
      <s:c r="E13992" s="28" t="n"/>
    </s:row>
    <s:row r="13993" ht="34" customHeight="1">
      <s:c r="A13993" s="112" t="inlineStr">
        <s:is>
          <s:t>Dữ liệu test</s:t>
        </s:is>
      </s:c>
      <s:c r="B13993" s="113" t="inlineStr">
        <s:is>
          <s:r>
            <s:t>• Mục số nguyên (</s:t>
          </s:r>
          <s:r>
            <s:rPr>
              <s:b val="1"/>
            </s:rPr>
            <s:t>M=100</s:t>
          </s:r>
          <s:r>
            <s:t>);
• Quy tắc “Cố định 30” (dưới 30), học sinh S01 (điểm 29)</s:t>
          </s:r>
        </s:is>
      </s:c>
      <s:c r="C13993" s="28" t="n"/>
      <s:c r="D13993" s="28" t="n"/>
      <s:c r="E13993" s="28" t="n"/>
    </s:row>
    <s:row r="13994" ht="90" customHeight="1">
      <s:c r="A13994" s="112" t="inlineStr">
        <s:is>
          <s:t>Điều kiện còn thiếu</s:t>
        </s:is>
      </s:c>
      <s:c r="B13994" s="113" t="inlineStr">
        <s:is>
          <s:t>• Phần kỳ vọng chưa chốt trong bản nguồn: Theo đặc tả v2 mục 7.2 “Bảng sự kiện”: nhập thành công → S01 Đỏ. tài liệu chia công việc v2 chưa đưa đường ghi điểm “HR成績CSV一括登録 (đăng ký điểm hàng loạt bằng CSV)” vào đường được hỗ trợ;
•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s:t>
        </s:is>
      </s:c>
      <s:c r="C13994" s="28" t="n"/>
      <s:c r="D13994" s="28" t="n"/>
      <s:c r="E13994" s="28" t="n"/>
    </s:row>
    <s:row r="13995" ht="20" customHeight="1">
      <s:c r="A13995" s="112" t="inlineStr">
        <s:is>
          <s:t>Bước 1</s:t>
        </s:is>
      </s:c>
      <s:c r="B13995" s="113" t="inlineStr">
        <s:is>
          <s:r>
            <s:t xml:space="preserve">Nhập CSV đăng ký điểm lớp </s:t>
          </s:r>
          <s:r>
            <s:rPr>
              <s:b val="1"/>
            </s:rPr>
            <s:t>chủ nhiệm hàng loạt（HR成績CSV一括登録）</s:t>
          </s:r>
          <s:r>
            <s:t xml:space="preserve"> với S01=28.</s:t>
          </s:r>
        </s:is>
      </s:c>
      <s:c r="C13995" s="28" t="n"/>
      <s:c r="D13995" s="28" t="n"/>
      <s:c r="E13995" s="28" t="n"/>
    </s:row>
    <s:row r="13996" ht="20" customHeight="1">
      <s:c r="A13996" s="112" t="inlineStr">
        <s:is>
          <s:t>Bước 2</s:t>
        </s:is>
      </s:c>
      <s:c r="B13996" s="113" t="inlineStr">
        <s:is>
          <s:t>Xem kết quả.</s:t>
        </s:is>
      </s:c>
      <s:c r="C13996" s="28" t="n"/>
      <s:c r="D13996" s="28" t="n"/>
      <s:c r="E13996" s="28" t="n"/>
    </s:row>
    <s:row r="13997" ht="28" customHeight="1">
      <s:c r="A13997" s="115" t="inlineStr">
        <s:is>
          <s:t>Trường hợp</s:t>
        </s:is>
      </s:c>
      <s:c r="B13997" s="115" t="inlineStr">
        <s:is>
          <s:t>Dữ liệu / thao tác riêng</s:t>
        </s:is>
      </s:c>
      <s:c r="C13997" s="115" t="inlineStr">
        <s:is>
          <s:t>Kết quả mong đợi</s:t>
        </s:is>
      </s:c>
      <s:c r="D13997" s="115" t="inlineStr">
        <s:is>
          <s:t>Kết quả thực tế</s:t>
        </s:is>
      </s:c>
      <s:c r="E13997" s="115" t="inlineStr">
        <s:is>
          <s:t>Đánh giá</s:t>
        </s:is>
      </s:c>
    </s:row>
    <s:row r="13998" ht="3" customHeight="1">
      <s:c r="A13998" s="102" t="inlineStr"/>
      <s:c r="B13998" s="99" t="n"/>
      <s:c r="C13998" s="99" t="n"/>
      <s:c r="D13998" s="116" t="n"/>
      <s:c r="E13998" s="116" t="n"/>
    </s:row>
    <s:row r="13999" ht="174" customHeight="1">
      <s:c r="A13999" s="83" t="inlineStr">
        <s:is>
          <s:t>Trường có tính tự động (auto-on)</s:t>
        </s:is>
      </s:c>
      <s:c r="B13999" s="83" t="inlineStr">
        <s:is>
          <s:t>Trường có tính tự động; CSV đăng ký điểm lớp chủ nhiệm hàng loạt S01=28; đọc kết quả.</s:t>
        </s:is>
      </s:c>
      <s:c r="C13999" s="83" t="inlineStr">
        <s:is>
          <s:r>
            <s:t xml:space="preserve">Theo đặc tả v2 mục 7.2 “Bảng sự kiện”: nhập thành công → S01 </s:t>
          </s:r>
          <s:r>
            <s:rPr>
              <s:b val="1"/>
            </s:rPr>
            <s:t>Đỏ</s:t>
          </s:r>
          <s:r>
            <s:t>.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s:t>
          </s:r>
        </s:is>
      </s:c>
      <s:c r="D13999" s="117" t="inlineStr"/>
      <s:c r="E13999" s="118" t="inlineStr">
        <s:is>
          <s:t>Chưa thực hiện</s:t>
        </s:is>
      </s:c>
    </s:row>
    <s:row r="14000" ht="3" customHeight="1">
      <s:c r="A14000" s="102" t="inlineStr"/>
      <s:c r="B14000" s="99" t="n"/>
      <s:c r="C14000" s="99" t="n"/>
      <s:c r="D14000" s="116" t="n"/>
      <s:c r="E14000" s="116" t="n"/>
    </s:row>
    <s:row r="14001" ht="174" customHeight="1">
      <s:c r="A14001" s="83" t="inlineStr">
        <s:is>
          <s:t>Trường không có tính tự động (auto-off)</s:t>
        </s:is>
      </s:c>
      <s:c r="B14001" s="83" t="inlineStr">
        <s:is>
          <s:t>Trường không có tính tự động; cùng CSV đăng ký điểm lớp chủ nhiệm hàng loạt S01=28; đọc kết quả.</s:t>
        </s:is>
      </s:c>
      <s:c r="C14001" s="83" t="inlineStr">
        <s:is>
          <s:r>
            <s:t xml:space="preserve">Theo đặc tả v2 mục 7.2 “Bảng sự kiện”: nhập thành công → S01 </s:t>
          </s:r>
          <s:r>
            <s:rPr>
              <s:b val="1"/>
            </s:rPr>
            <s:t>Đỏ</s:t>
          </s:r>
          <s:r>
            <s:t>.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s:t>
          </s:r>
        </s:is>
      </s:c>
      <s:c r="D14001" s="117" t="inlineStr"/>
      <s:c r="E14001" s="118" t="inlineStr">
        <s:is>
          <s:t>Chưa thực hiện</s:t>
        </s:is>
      </s:c>
    </s:row>
    <s:row r="14002" ht="20" customHeight="1">
      <s:c r="A14002" s="119" t="inlineStr">
        <s:is>
          <s:t>Ảnh minh chứng — Chưa có ảnh</s:t>
        </s:is>
      </s:c>
      <s:c r="B14002" s="19" t="n"/>
      <s:c r="C14002" s="19" t="n"/>
      <s:c r="D14002" s="19" t="n"/>
      <s:c r="E14002" s="19" t="n"/>
    </s:row>
    <s:row r="14003" hidden="1" ht="1" customHeight="1">
      <s:c r="A14003" s="120" t="inlineStr"/>
      <s:c r="B14003" s="121" t="n"/>
      <s:c r="C14003" s="121" t="n"/>
      <s:c r="D14003" s="121" t="n"/>
      <s:c r="E14003" s="122" t="n"/>
    </s:row>
    <s:row r="14004" hidden="1" ht="1" customHeight="1">
      <s:c r="A14004" s="120" t="inlineStr"/>
      <s:c r="B14004" s="121" t="n"/>
      <s:c r="C14004" s="121" t="n"/>
      <s:c r="D14004" s="121" t="n"/>
      <s:c r="E14004" s="122" t="n"/>
    </s:row>
    <s:row r="14005" hidden="1" ht="1" customHeight="1">
      <s:c r="A14005" s="120" t="inlineStr"/>
      <s:c r="B14005" s="121" t="n"/>
      <s:c r="C14005" s="121" t="n"/>
      <s:c r="D14005" s="121" t="n"/>
      <s:c r="E14005" s="122" t="n"/>
    </s:row>
    <s:row r="14006" hidden="1" ht="1" customHeight="1">
      <s:c r="A14006" s="120" t="inlineStr"/>
      <s:c r="B14006" s="121" t="n"/>
      <s:c r="C14006" s="121" t="n"/>
      <s:c r="D14006" s="121" t="n"/>
      <s:c r="E14006" s="122" t="n"/>
    </s:row>
    <s:row r="14007" hidden="1" ht="1" customHeight="1">
      <s:c r="A14007" s="120" t="inlineStr"/>
      <s:c r="B14007" s="121" t="n"/>
      <s:c r="C14007" s="121" t="n"/>
      <s:c r="D14007" s="121" t="n"/>
      <s:c r="E14007" s="122" t="n"/>
    </s:row>
    <s:row r="14008" hidden="1" ht="1" customHeight="1">
      <s:c r="A14008" s="120" t="inlineStr"/>
      <s:c r="B14008" s="121" t="n"/>
      <s:c r="C14008" s="121" t="n"/>
      <s:c r="D14008" s="121" t="n"/>
      <s:c r="E14008" s="122" t="n"/>
    </s:row>
    <s:row r="14009" hidden="1" ht="1" customHeight="1">
      <s:c r="A14009" s="120" t="inlineStr"/>
      <s:c r="B14009" s="121" t="n"/>
      <s:c r="C14009" s="121" t="n"/>
      <s:c r="D14009" s="121" t="n"/>
      <s:c r="E14009" s="122" t="n"/>
    </s:row>
    <s:row r="14010" hidden="1" ht="1" customHeight="1">
      <s:c r="A14010" s="120" t="inlineStr"/>
      <s:c r="B14010" s="121" t="n"/>
      <s:c r="C14010" s="121" t="n"/>
      <s:c r="D14010" s="121" t="n"/>
      <s:c r="E14010" s="122" t="n"/>
    </s:row>
    <s:row r="14011" hidden="1" ht="1" customHeight="1">
      <s:c r="A14011" s="120" t="inlineStr"/>
      <s:c r="B14011" s="121" t="n"/>
      <s:c r="C14011" s="121" t="n"/>
      <s:c r="D14011" s="121" t="n"/>
      <s:c r="E14011" s="122" t="n"/>
    </s:row>
    <s:row r="14012" hidden="1" ht="1" customHeight="1">
      <s:c r="A14012" s="120" t="inlineStr"/>
      <s:c r="B14012" s="121" t="n"/>
      <s:c r="C14012" s="121" t="n"/>
      <s:c r="D14012" s="121" t="n"/>
      <s:c r="E14012" s="122" t="n"/>
    </s:row>
    <s:row r="14013" hidden="1" ht="1" customHeight="1">
      <s:c r="A14013" s="120" t="inlineStr"/>
      <s:c r="B14013" s="121" t="n"/>
      <s:c r="C14013" s="121" t="n"/>
      <s:c r="D14013" s="121" t="n"/>
      <s:c r="E14013" s="122" t="n"/>
    </s:row>
    <s:row r="14014" hidden="1" ht="1" customHeight="1">
      <s:c r="A14014" s="120" t="inlineStr"/>
      <s:c r="B14014" s="121" t="n"/>
      <s:c r="C14014" s="121" t="n"/>
      <s:c r="D14014" s="121" t="n"/>
      <s:c r="E14014" s="122" t="n"/>
    </s:row>
    <s:row r="14015" hidden="1" ht="1" customHeight="1">
      <s:c r="A14015" s="120" t="inlineStr"/>
      <s:c r="B14015" s="121" t="n"/>
      <s:c r="C14015" s="121" t="n"/>
      <s:c r="D14015" s="121" t="n"/>
      <s:c r="E14015" s="122" t="n"/>
    </s:row>
    <s:row r="14016" hidden="1" ht="1" customHeight="1">
      <s:c r="A14016" s="120" t="inlineStr"/>
      <s:c r="B14016" s="121" t="n"/>
      <s:c r="C14016" s="121" t="n"/>
      <s:c r="D14016" s="121" t="n"/>
      <s:c r="E14016" s="122" t="n"/>
    </s:row>
    <s:row r="14017" hidden="1" ht="1" customHeight="1">
      <s:c r="A14017" s="120" t="inlineStr"/>
      <s:c r="B14017" s="121" t="n"/>
      <s:c r="C14017" s="121" t="n"/>
      <s:c r="D14017" s="121" t="n"/>
      <s:c r="E14017" s="122" t="n"/>
    </s:row>
    <s:row r="14018" hidden="1" ht="1" customHeight="1">
      <s:c r="A14018" s="120" t="inlineStr"/>
      <s:c r="B14018" s="121" t="n"/>
      <s:c r="C14018" s="121" t="n"/>
      <s:c r="D14018" s="121" t="n"/>
      <s:c r="E14018" s="122" t="n"/>
    </s:row>
    <s:row r="14019" hidden="1" ht="1" customHeight="1">
      <s:c r="A14019" s="120" t="inlineStr"/>
      <s:c r="B14019" s="121" t="n"/>
      <s:c r="C14019" s="121" t="n"/>
      <s:c r="D14019" s="121" t="n"/>
      <s:c r="E14019" s="122" t="n"/>
    </s:row>
    <s:row r="14020" hidden="1" ht="1" customHeight="1">
      <s:c r="A14020" s="120" t="inlineStr"/>
      <s:c r="B14020" s="121" t="n"/>
      <s:c r="C14020" s="121" t="n"/>
      <s:c r="D14020" s="121" t="n"/>
      <s:c r="E14020" s="122" t="n"/>
    </s:row>
    <s:row r="14021" hidden="1" ht="1" customHeight="1">
      <s:c r="A14021" s="120" t="inlineStr"/>
      <s:c r="B14021" s="121" t="n"/>
      <s:c r="C14021" s="121" t="n"/>
      <s:c r="D14021" s="121" t="n"/>
      <s:c r="E14021" s="122" t="n"/>
    </s:row>
    <s:row r="14022" hidden="1" ht="1" customHeight="1">
      <s:c r="A14022" s="120" t="inlineStr"/>
      <s:c r="B14022" s="121" t="n"/>
      <s:c r="C14022" s="121" t="n"/>
      <s:c r="D14022" s="121" t="n"/>
      <s:c r="E14022" s="122" t="n"/>
    </s:row>
    <s:row r="14023" hidden="1" ht="1" customHeight="1">
      <s:c r="A14023" s="120" t="inlineStr"/>
      <s:c r="B14023" s="121" t="n"/>
      <s:c r="C14023" s="121" t="n"/>
      <s:c r="D14023" s="121" t="n"/>
      <s:c r="E14023" s="122" t="n"/>
    </s:row>
    <s:row r="14024" hidden="1" ht="1" customHeight="1">
      <s:c r="A14024" s="120" t="inlineStr"/>
      <s:c r="B14024" s="121" t="n"/>
      <s:c r="C14024" s="121" t="n"/>
      <s:c r="D14024" s="121" t="n"/>
      <s:c r="E14024" s="122" t="n"/>
    </s:row>
    <s:row r="14025" hidden="1" ht="1" customHeight="1">
      <s:c r="A14025" s="120" t="inlineStr"/>
      <s:c r="B14025" s="121" t="n"/>
      <s:c r="C14025" s="121" t="n"/>
      <s:c r="D14025" s="121" t="n"/>
      <s:c r="E14025" s="122" t="n"/>
    </s:row>
    <s:row r="14026" hidden="1" ht="1" customHeight="1">
      <s:c r="A14026" s="120" t="inlineStr"/>
      <s:c r="B14026" s="121" t="n"/>
      <s:c r="C14026" s="121" t="n"/>
      <s:c r="D14026" s="121" t="n"/>
      <s:c r="E14026" s="122" t="n"/>
    </s:row>
    <s:row r="14027" hidden="1" ht="1" customHeight="1">
      <s:c r="A14027" s="120" t="inlineStr"/>
      <s:c r="B14027" s="121" t="n"/>
      <s:c r="C14027" s="121" t="n"/>
      <s:c r="D14027" s="121" t="n"/>
      <s:c r="E14027" s="122" t="n"/>
    </s:row>
    <s:row r="14028" hidden="1" ht="1" customHeight="1">
      <s:c r="A14028" s="120" t="inlineStr"/>
      <s:c r="B14028" s="121" t="n"/>
      <s:c r="C14028" s="121" t="n"/>
      <s:c r="D14028" s="121" t="n"/>
      <s:c r="E14028" s="122" t="n"/>
    </s:row>
    <s:row r="14029" hidden="1" ht="1" customHeight="1">
      <s:c r="A14029" s="120" t="inlineStr"/>
      <s:c r="B14029" s="121" t="n"/>
      <s:c r="C14029" s="121" t="n"/>
      <s:c r="D14029" s="121" t="n"/>
      <s:c r="E14029" s="122" t="n"/>
    </s:row>
    <s:row r="14030" hidden="1" ht="1" customHeight="1">
      <s:c r="A14030" s="120" t="inlineStr"/>
      <s:c r="B14030" s="121" t="n"/>
      <s:c r="C14030" s="121" t="n"/>
      <s:c r="D14030" s="121" t="n"/>
      <s:c r="E14030" s="122" t="n"/>
    </s:row>
    <s:row r="14031" hidden="1" ht="1" customHeight="1">
      <s:c r="A14031" s="120" t="inlineStr"/>
      <s:c r="B14031" s="121" t="n"/>
      <s:c r="C14031" s="121" t="n"/>
      <s:c r="D14031" s="121" t="n"/>
      <s:c r="E14031" s="122" t="n"/>
    </s:row>
    <s:row r="14032" hidden="1" ht="1" customHeight="1">
      <s:c r="A14032" s="120" t="inlineStr"/>
      <s:c r="B14032" s="121" t="n"/>
      <s:c r="C14032" s="121" t="n"/>
      <s:c r="D14032" s="121" t="n"/>
      <s:c r="E14032" s="122" t="n"/>
    </s:row>
    <s:row r="14033" hidden="1" ht="1" customHeight="1">
      <s:c r="A14033" s="120" t="inlineStr"/>
      <s:c r="B14033" s="121" t="n"/>
      <s:c r="C14033" s="121" t="n"/>
      <s:c r="D14033" s="121" t="n"/>
      <s:c r="E14033" s="122" t="n"/>
    </s:row>
    <s:row r="14034" hidden="1" ht="1" customHeight="1">
      <s:c r="A14034" s="120" t="inlineStr"/>
      <s:c r="B14034" s="121" t="n"/>
      <s:c r="C14034" s="121" t="n"/>
      <s:c r="D14034" s="121" t="n"/>
      <s:c r="E14034" s="122" t="n"/>
    </s:row>
    <s:row r="14035" hidden="1" ht="1" customHeight="1">
      <s:c r="A14035" s="120" t="inlineStr"/>
      <s:c r="B14035" s="121" t="n"/>
      <s:c r="C14035" s="121" t="n"/>
      <s:c r="D14035" s="121" t="n"/>
      <s:c r="E14035" s="122" t="n"/>
    </s:row>
    <s:row r="14036" hidden="1" ht="1" customHeight="1">
      <s:c r="A14036" s="120" t="inlineStr"/>
      <s:c r="B14036" s="121" t="n"/>
      <s:c r="C14036" s="121" t="n"/>
      <s:c r="D14036" s="121" t="n"/>
      <s:c r="E14036" s="122" t="n"/>
    </s:row>
    <s:row r="14037" hidden="1" ht="1" customHeight="1">
      <s:c r="A14037" s="120" t="inlineStr"/>
      <s:c r="B14037" s="121" t="n"/>
      <s:c r="C14037" s="121" t="n"/>
      <s:c r="D14037" s="121" t="n"/>
      <s:c r="E14037" s="122" t="n"/>
    </s:row>
    <s:row r="14038" hidden="1" ht="1" customHeight="1">
      <s:c r="A14038" s="120" t="inlineStr"/>
      <s:c r="B14038" s="121" t="n"/>
      <s:c r="C14038" s="121" t="n"/>
      <s:c r="D14038" s="121" t="n"/>
      <s:c r="E14038" s="122" t="n"/>
    </s:row>
    <s:row r="14039" hidden="1" ht="1" customHeight="1">
      <s:c r="A14039" s="120" t="inlineStr"/>
      <s:c r="B14039" s="121" t="n"/>
      <s:c r="C14039" s="121" t="n"/>
      <s:c r="D14039" s="121" t="n"/>
      <s:c r="E14039" s="122" t="n"/>
    </s:row>
    <s:row r="14040" hidden="1" ht="1" customHeight="1">
      <s:c r="A14040" s="120" t="inlineStr"/>
      <s:c r="B14040" s="121" t="n"/>
      <s:c r="C14040" s="121" t="n"/>
      <s:c r="D14040" s="121" t="n"/>
      <s:c r="E14040" s="122" t="n"/>
    </s:row>
    <s:row r="14041" hidden="1" ht="1" customHeight="1">
      <s:c r="A14041" s="120" t="inlineStr"/>
      <s:c r="B14041" s="121" t="n"/>
      <s:c r="C14041" s="121" t="n"/>
      <s:c r="D14041" s="121" t="n"/>
      <s:c r="E14041" s="122" t="n"/>
    </s:row>
    <s:row r="14042" hidden="1" ht="1" customHeight="1">
      <s:c r="A14042" s="120" t="inlineStr"/>
      <s:c r="B14042" s="121" t="n"/>
      <s:c r="C14042" s="121" t="n"/>
      <s:c r="D14042" s="121" t="n"/>
      <s:c r="E14042" s="122" t="n"/>
    </s:row>
    <s:row r="14043" hidden="1" ht="1" customHeight="1">
      <s:c r="A14043" s="120" t="inlineStr"/>
      <s:c r="B14043" s="121" t="n"/>
      <s:c r="C14043" s="121" t="n"/>
      <s:c r="D14043" s="121" t="n"/>
      <s:c r="E14043" s="122" t="n"/>
    </s:row>
    <s:row r="14044" hidden="1" ht="1" customHeight="1">
      <s:c r="A14044" s="120" t="inlineStr"/>
      <s:c r="B14044" s="121" t="n"/>
      <s:c r="C14044" s="121" t="n"/>
      <s:c r="D14044" s="121" t="n"/>
      <s:c r="E14044" s="122" t="n"/>
    </s:row>
    <s:row r="14045" hidden="1" ht="1" customHeight="1">
      <s:c r="A14045" s="120" t="inlineStr"/>
      <s:c r="B14045" s="121" t="n"/>
      <s:c r="C14045" s="121" t="n"/>
      <s:c r="D14045" s="121" t="n"/>
      <s:c r="E14045" s="122" t="n"/>
    </s:row>
    <s:row r="14046" hidden="1" ht="1" customHeight="1">
      <s:c r="A14046" s="120" t="inlineStr"/>
      <s:c r="B14046" s="121" t="n"/>
      <s:c r="C14046" s="121" t="n"/>
      <s:c r="D14046" s="121" t="n"/>
      <s:c r="E14046" s="122" t="n"/>
    </s:row>
    <s:row r="14047" hidden="1" ht="1" customHeight="1">
      <s:c r="A14047" s="120" t="inlineStr"/>
      <s:c r="B14047" s="121" t="n"/>
      <s:c r="C14047" s="121" t="n"/>
      <s:c r="D14047" s="121" t="n"/>
      <s:c r="E14047" s="122" t="n"/>
    </s:row>
    <s:row r="14048" hidden="1" ht="1" customHeight="1">
      <s:c r="A14048" s="120" t="inlineStr"/>
      <s:c r="B14048" s="121" t="n"/>
      <s:c r="C14048" s="121" t="n"/>
      <s:c r="D14048" s="121" t="n"/>
      <s:c r="E14048" s="122" t="n"/>
    </s:row>
    <s:row r="14049" hidden="1" ht="1" customHeight="1">
      <s:c r="A14049" s="120" t="inlineStr"/>
      <s:c r="B14049" s="121" t="n"/>
      <s:c r="C14049" s="121" t="n"/>
      <s:c r="D14049" s="121" t="n"/>
      <s:c r="E14049" s="122" t="n"/>
    </s:row>
    <s:row r="14050" hidden="1" ht="1" customHeight="1">
      <s:c r="A14050" s="120" t="inlineStr"/>
      <s:c r="B14050" s="121" t="n"/>
      <s:c r="C14050" s="121" t="n"/>
      <s:c r="D14050" s="121" t="n"/>
      <s:c r="E14050" s="122" t="n"/>
    </s:row>
    <s:row r="14051" hidden="1" ht="1" customHeight="1">
      <s:c r="A14051" s="120" t="inlineStr"/>
      <s:c r="B14051" s="121" t="n"/>
      <s:c r="C14051" s="121" t="n"/>
      <s:c r="D14051" s="121" t="n"/>
      <s:c r="E14051" s="122" t="n"/>
    </s:row>
    <s:row r="14052" hidden="1" ht="1" customHeight="1">
      <s:c r="A14052" s="120" t="inlineStr"/>
      <s:c r="B14052" s="121" t="n"/>
      <s:c r="C14052" s="121" t="n"/>
      <s:c r="D14052" s="121" t="n"/>
      <s:c r="E14052" s="122" t="n"/>
    </s:row>
    <s:row r="14053" hidden="1" ht="1" customHeight="1">
      <s:c r="A14053" s="120" t="inlineStr"/>
      <s:c r="B14053" s="121" t="n"/>
      <s:c r="C14053" s="121" t="n"/>
      <s:c r="D14053" s="121" t="n"/>
      <s:c r="E14053" s="122" t="n"/>
    </s:row>
    <s:row r="14054" hidden="1" ht="1" customHeight="1">
      <s:c r="A14054" s="120" t="inlineStr"/>
      <s:c r="B14054" s="121" t="n"/>
      <s:c r="C14054" s="121" t="n"/>
      <s:c r="D14054" s="121" t="n"/>
      <s:c r="E14054" s="122" t="n"/>
    </s:row>
    <s:row r="14055" hidden="1" ht="1" customHeight="1">
      <s:c r="A14055" s="120" t="inlineStr"/>
      <s:c r="B14055" s="121" t="n"/>
      <s:c r="C14055" s="121" t="n"/>
      <s:c r="D14055" s="121" t="n"/>
      <s:c r="E14055" s="122" t="n"/>
    </s:row>
    <s:row r="14056" hidden="1" ht="1" customHeight="1">
      <s:c r="A14056" s="120" t="inlineStr"/>
      <s:c r="B14056" s="121" t="n"/>
      <s:c r="C14056" s="121" t="n"/>
      <s:c r="D14056" s="121" t="n"/>
      <s:c r="E14056" s="122" t="n"/>
    </s:row>
    <s:row r="14057" hidden="1" ht="1" customHeight="1">
      <s:c r="A14057" s="120" t="inlineStr"/>
      <s:c r="B14057" s="121" t="n"/>
      <s:c r="C14057" s="121" t="n"/>
      <s:c r="D14057" s="121" t="n"/>
      <s:c r="E14057" s="122" t="n"/>
    </s:row>
    <s:row r="14058" hidden="1" ht="1" customHeight="1">
      <s:c r="A14058" s="120" t="inlineStr"/>
      <s:c r="B14058" s="121" t="n"/>
      <s:c r="C14058" s="121" t="n"/>
      <s:c r="D14058" s="121" t="n"/>
      <s:c r="E14058" s="122" t="n"/>
    </s:row>
    <s:row r="14059" hidden="1" ht="1" customHeight="1">
      <s:c r="A14059" s="120" t="inlineStr"/>
      <s:c r="B14059" s="121" t="n"/>
      <s:c r="C14059" s="121" t="n"/>
      <s:c r="D14059" s="121" t="n"/>
      <s:c r="E14059" s="122" t="n"/>
    </s:row>
    <s:row r="14060" hidden="1" ht="1" customHeight="1">
      <s:c r="A14060" s="120" t="inlineStr"/>
      <s:c r="B14060" s="121" t="n"/>
      <s:c r="C14060" s="121" t="n"/>
      <s:c r="D14060" s="121" t="n"/>
      <s:c r="E14060" s="122" t="n"/>
    </s:row>
    <s:row r="14061" hidden="1" ht="1" customHeight="1">
      <s:c r="A14061" s="120" t="inlineStr"/>
      <s:c r="B14061" s="121" t="n"/>
      <s:c r="C14061" s="121" t="n"/>
      <s:c r="D14061" s="121" t="n"/>
      <s:c r="E14061" s="122" t="n"/>
    </s:row>
    <s:row r="14062" hidden="1" ht="1" customHeight="1">
      <s:c r="A14062" s="120" t="inlineStr"/>
      <s:c r="B14062" s="121" t="n"/>
      <s:c r="C14062" s="121" t="n"/>
      <s:c r="D14062" s="121" t="n"/>
      <s:c r="E14062" s="122" t="n"/>
    </s:row>
    <s:row r="14063" hidden="1" ht="1" customHeight="1">
      <s:c r="A14063" s="120" t="inlineStr"/>
      <s:c r="B14063" s="121" t="n"/>
      <s:c r="C14063" s="121" t="n"/>
      <s:c r="D14063" s="121" t="n"/>
      <s:c r="E14063" s="122" t="n"/>
    </s:row>
    <s:row r="14064" hidden="1" ht="1" customHeight="1">
      <s:c r="A14064" s="120" t="inlineStr"/>
      <s:c r="B14064" s="121" t="n"/>
      <s:c r="C14064" s="121" t="n"/>
      <s:c r="D14064" s="121" t="n"/>
      <s:c r="E14064" s="122" t="n"/>
    </s:row>
    <s:row r="14065" hidden="1" ht="1" customHeight="1">
      <s:c r="A14065" s="120" t="inlineStr"/>
      <s:c r="B14065" s="121" t="n"/>
      <s:c r="C14065" s="121" t="n"/>
      <s:c r="D14065" s="121" t="n"/>
      <s:c r="E14065" s="122" t="n"/>
    </s:row>
    <s:row r="14066" hidden="1" ht="1" customHeight="1">
      <s:c r="A14066" s="120" t="inlineStr"/>
      <s:c r="B14066" s="121" t="n"/>
      <s:c r="C14066" s="121" t="n"/>
      <s:c r="D14066" s="121" t="n"/>
      <s:c r="E14066" s="122" t="n"/>
    </s:row>
    <s:row r="14067" hidden="1" ht="1" customHeight="1">
      <s:c r="A14067" s="120" t="inlineStr"/>
      <s:c r="B14067" s="121" t="n"/>
      <s:c r="C14067" s="121" t="n"/>
      <s:c r="D14067" s="121" t="n"/>
      <s:c r="E14067" s="122" t="n"/>
    </s:row>
    <s:row r="14068" hidden="1" ht="1" customHeight="1">
      <s:c r="A14068" s="120" t="inlineStr"/>
      <s:c r="B14068" s="121" t="n"/>
      <s:c r="C14068" s="121" t="n"/>
      <s:c r="D14068" s="121" t="n"/>
      <s:c r="E14068" s="122" t="n"/>
    </s:row>
    <s:row r="14069" hidden="1" ht="1" customHeight="1">
      <s:c r="A14069" s="120" t="inlineStr"/>
      <s:c r="B14069" s="121" t="n"/>
      <s:c r="C14069" s="121" t="n"/>
      <s:c r="D14069" s="121" t="n"/>
      <s:c r="E14069" s="122" t="n"/>
    </s:row>
    <s:row r="14070" hidden="1" ht="1" customHeight="1">
      <s:c r="A14070" s="120" t="inlineStr"/>
      <s:c r="B14070" s="121" t="n"/>
      <s:c r="C14070" s="121" t="n"/>
      <s:c r="D14070" s="121" t="n"/>
      <s:c r="E14070" s="122" t="n"/>
    </s:row>
    <s:row r="14071" hidden="1" ht="1" customHeight="1">
      <s:c r="A14071" s="120" t="inlineStr"/>
      <s:c r="B14071" s="121" t="n"/>
      <s:c r="C14071" s="121" t="n"/>
      <s:c r="D14071" s="121" t="n"/>
      <s:c r="E14071" s="122" t="n"/>
    </s:row>
    <s:row r="14072" hidden="1" ht="1" customHeight="1">
      <s:c r="A14072" s="120" t="inlineStr"/>
      <s:c r="B14072" s="121" t="n"/>
      <s:c r="C14072" s="121" t="n"/>
      <s:c r="D14072" s="121" t="n"/>
      <s:c r="E14072" s="122" t="n"/>
    </s:row>
    <s:row r="14073" hidden="1" ht="1" customHeight="1">
      <s:c r="A14073" s="120" t="inlineStr"/>
      <s:c r="B14073" s="121" t="n"/>
      <s:c r="C14073" s="121" t="n"/>
      <s:c r="D14073" s="121" t="n"/>
      <s:c r="E14073" s="122" t="n"/>
    </s:row>
    <s:row r="14074" hidden="1" ht="1" customHeight="1">
      <s:c r="A14074" s="120" t="inlineStr"/>
      <s:c r="B14074" s="121" t="n"/>
      <s:c r="C14074" s="121" t="n"/>
      <s:c r="D14074" s="121" t="n"/>
      <s:c r="E14074" s="122" t="n"/>
    </s:row>
    <s:row r="14075" hidden="1" ht="1" customHeight="1">
      <s:c r="A14075" s="120" t="inlineStr"/>
      <s:c r="B14075" s="121" t="n"/>
      <s:c r="C14075" s="121" t="n"/>
      <s:c r="D14075" s="121" t="n"/>
      <s:c r="E14075" s="122" t="n"/>
    </s:row>
    <s:row r="14076" hidden="1" ht="1" customHeight="1">
      <s:c r="A14076" s="120" t="inlineStr"/>
      <s:c r="B14076" s="121" t="n"/>
      <s:c r="C14076" s="121" t="n"/>
      <s:c r="D14076" s="121" t="n"/>
      <s:c r="E14076" s="122" t="n"/>
    </s:row>
    <s:row r="14077" hidden="1" ht="1" customHeight="1">
      <s:c r="A14077" s="120" t="inlineStr"/>
      <s:c r="B14077" s="121" t="n"/>
      <s:c r="C14077" s="121" t="n"/>
      <s:c r="D14077" s="121" t="n"/>
      <s:c r="E14077" s="122" t="n"/>
    </s:row>
    <s:row r="14078" hidden="1" ht="1" customHeight="1">
      <s:c r="A14078" s="120" t="inlineStr"/>
      <s:c r="B14078" s="121" t="n"/>
      <s:c r="C14078" s="121" t="n"/>
      <s:c r="D14078" s="121" t="n"/>
      <s:c r="E14078" s="122" t="n"/>
    </s:row>
    <s:row r="14079" hidden="1" ht="1" customHeight="1">
      <s:c r="A14079" s="120" t="inlineStr"/>
      <s:c r="B14079" s="121" t="n"/>
      <s:c r="C14079" s="121" t="n"/>
      <s:c r="D14079" s="121" t="n"/>
      <s:c r="E14079" s="122" t="n"/>
    </s:row>
    <s:row r="14080" hidden="1" ht="1" customHeight="1">
      <s:c r="A14080" s="120" t="inlineStr"/>
      <s:c r="B14080" s="121" t="n"/>
      <s:c r="C14080" s="121" t="n"/>
      <s:c r="D14080" s="121" t="n"/>
      <s:c r="E14080" s="122" t="n"/>
    </s:row>
    <s:row r="14081" hidden="1" ht="1" customHeight="1">
      <s:c r="A14081" s="120" t="inlineStr"/>
      <s:c r="B14081" s="121" t="n"/>
      <s:c r="C14081" s="121" t="n"/>
      <s:c r="D14081" s="121" t="n"/>
      <s:c r="E14081" s="122" t="n"/>
    </s:row>
    <s:row r="14082" hidden="1" ht="1" customHeight="1">
      <s:c r="A14082" s="120" t="inlineStr"/>
      <s:c r="B14082" s="121" t="n"/>
      <s:c r="C14082" s="121" t="n"/>
      <s:c r="D14082" s="121" t="n"/>
      <s:c r="E14082" s="122" t="n"/>
    </s:row>
    <s:row r="14083" hidden="1" ht="1" customHeight="1">
      <s:c r="A14083" s="120" t="inlineStr"/>
      <s:c r="B14083" s="121" t="n"/>
      <s:c r="C14083" s="121" t="n"/>
      <s:c r="D14083" s="121" t="n"/>
      <s:c r="E14083" s="122" t="n"/>
    </s:row>
    <s:row r="14084" hidden="1" ht="1" customHeight="1">
      <s:c r="A14084" s="120" t="inlineStr"/>
      <s:c r="B14084" s="121" t="n"/>
      <s:c r="C14084" s="121" t="n"/>
      <s:c r="D14084" s="121" t="n"/>
      <s:c r="E14084" s="122" t="n"/>
    </s:row>
    <s:row r="14085" hidden="1" ht="1" customHeight="1">
      <s:c r="A14085" s="120" t="inlineStr"/>
      <s:c r="B14085" s="121" t="n"/>
      <s:c r="C14085" s="121" t="n"/>
      <s:c r="D14085" s="121" t="n"/>
      <s:c r="E14085" s="122" t="n"/>
    </s:row>
    <s:row r="14086" hidden="1" ht="1" customHeight="1">
      <s:c r="A14086" s="120" t="inlineStr"/>
      <s:c r="B14086" s="121" t="n"/>
      <s:c r="C14086" s="121" t="n"/>
      <s:c r="D14086" s="121" t="n"/>
      <s:c r="E14086" s="122" t="n"/>
    </s:row>
    <s:row r="14087" hidden="1" ht="1" customHeight="1">
      <s:c r="A14087" s="120" t="inlineStr"/>
      <s:c r="B14087" s="121" t="n"/>
      <s:c r="C14087" s="121" t="n"/>
      <s:c r="D14087" s="121" t="n"/>
      <s:c r="E14087" s="122" t="n"/>
    </s:row>
    <s:row r="14088" hidden="1" ht="1" customHeight="1">
      <s:c r="A14088" s="120" t="inlineStr"/>
      <s:c r="B14088" s="121" t="n"/>
      <s:c r="C14088" s="121" t="n"/>
      <s:c r="D14088" s="121" t="n"/>
      <s:c r="E14088" s="122" t="n"/>
    </s:row>
    <s:row r="14089" hidden="1" ht="1" customHeight="1">
      <s:c r="A14089" s="120" t="inlineStr"/>
      <s:c r="B14089" s="121" t="n"/>
      <s:c r="C14089" s="121" t="n"/>
      <s:c r="D14089" s="121" t="n"/>
      <s:c r="E14089" s="122" t="n"/>
    </s:row>
    <s:row r="14090" hidden="1" ht="1" customHeight="1">
      <s:c r="A14090" s="120" t="inlineStr"/>
      <s:c r="B14090" s="121" t="n"/>
      <s:c r="C14090" s="121" t="n"/>
      <s:c r="D14090" s="121" t="n"/>
      <s:c r="E14090" s="122" t="n"/>
    </s:row>
    <s:row r="14091" hidden="1" ht="1" customHeight="1">
      <s:c r="A14091" s="120" t="inlineStr"/>
      <s:c r="B14091" s="121" t="n"/>
      <s:c r="C14091" s="121" t="n"/>
      <s:c r="D14091" s="121" t="n"/>
      <s:c r="E14091" s="122" t="n"/>
    </s:row>
    <s:row r="14092" hidden="1" ht="1" customHeight="1">
      <s:c r="A14092" s="120" t="inlineStr"/>
      <s:c r="B14092" s="121" t="n"/>
      <s:c r="C14092" s="121" t="n"/>
      <s:c r="D14092" s="121" t="n"/>
      <s:c r="E14092" s="122" t="n"/>
    </s:row>
    <s:row r="14093" hidden="1" ht="1" customHeight="1">
      <s:c r="A14093" s="120" t="inlineStr"/>
      <s:c r="B14093" s="121" t="n"/>
      <s:c r="C14093" s="121" t="n"/>
      <s:c r="D14093" s="121" t="n"/>
      <s:c r="E14093" s="122" t="n"/>
    </s:row>
    <s:row r="14094" hidden="1" ht="1" customHeight="1">
      <s:c r="A14094" s="120" t="inlineStr"/>
      <s:c r="B14094" s="121" t="n"/>
      <s:c r="C14094" s="121" t="n"/>
      <s:c r="D14094" s="121" t="n"/>
      <s:c r="E14094" s="122" t="n"/>
    </s:row>
    <s:row r="14095" hidden="1" ht="1" customHeight="1">
      <s:c r="A14095" s="120" t="inlineStr"/>
      <s:c r="B14095" s="121" t="n"/>
      <s:c r="C14095" s="121" t="n"/>
      <s:c r="D14095" s="121" t="n"/>
      <s:c r="E14095" s="122" t="n"/>
    </s:row>
    <s:row r="14096" hidden="1" ht="1" customHeight="1">
      <s:c r="A14096" s="120" t="inlineStr"/>
      <s:c r="B14096" s="121" t="n"/>
      <s:c r="C14096" s="121" t="n"/>
      <s:c r="D14096" s="121" t="n"/>
      <s:c r="E14096" s="122" t="n"/>
    </s:row>
    <s:row r="14097" hidden="1" ht="1" customHeight="1">
      <s:c r="A14097" s="120" t="inlineStr"/>
      <s:c r="B14097" s="121" t="n"/>
      <s:c r="C14097" s="121" t="n"/>
      <s:c r="D14097" s="121" t="n"/>
      <s:c r="E14097" s="122" t="n"/>
    </s:row>
    <s:row r="14098" hidden="1" ht="1" customHeight="1">
      <s:c r="A14098" s="120" t="inlineStr"/>
      <s:c r="B14098" s="121" t="n"/>
      <s:c r="C14098" s="121" t="n"/>
      <s:c r="D14098" s="121" t="n"/>
      <s:c r="E14098" s="122" t="n"/>
    </s:row>
    <s:row r="14099" hidden="1" ht="1" customHeight="1">
      <s:c r="A14099" s="83" t="inlineStr">
        <s:is>
          <s:t>PASS</s:t>
        </s:is>
      </s:c>
      <s:c r="B14099" s="83">
        <s:f>SUM(IF(EXACT('Kiểm thử'!E13999,"Đạt"),1,0),IF(EXACT('Kiểm thử'!E14001,"Đạt"),1,0))</s:f>
        <s:v/>
      </s:c>
      <s:c r="C14099" s="19" t="n"/>
      <s:c r="D14099" s="19" t="n"/>
      <s:c r="E14099" s="19" t="n"/>
    </s:row>
    <s:row r="14100" hidden="1" ht="1" customHeight="1">
      <s:c r="A14100" s="83" t="inlineStr">
        <s:is>
          <s:t>FAIL</s:t>
        </s:is>
      </s:c>
      <s:c r="B14100" s="83">
        <s:f>SUM(IF(EXACT('Kiểm thử'!E13999,"Không đạt"),1,0),IF(EXACT('Kiểm thử'!E14001,"Không đạt"),1,0))</s:f>
        <s:v/>
      </s:c>
      <s:c r="C14100" s="19" t="n"/>
      <s:c r="D14100" s="19" t="n"/>
      <s:c r="E14100" s="19" t="n"/>
    </s:row>
    <s:row r="14101" hidden="1" ht="1" customHeight="1">
      <s:c r="A14101" s="83" t="inlineStr">
        <s:is>
          <s:t>BLOCKED</s:t>
        </s:is>
      </s:c>
      <s:c r="B14101" s="83">
        <s:f>SUM(IF(EXACT('Kiểm thử'!E13999,"Bị chặn"),1,0),IF(EXACT('Kiểm thử'!E14001,"Bị chặn"),1,0))</s:f>
        <s:v/>
      </s:c>
      <s:c r="C14101" s="19" t="n"/>
      <s:c r="D14101" s="19" t="n"/>
      <s:c r="E14101" s="19" t="n"/>
    </s:row>
    <s:row r="14102" hidden="1" ht="1" customHeight="1">
      <s:c r="A14102" s="83" t="inlineStr">
        <s:is>
          <s:t>SKIPPED</s:t>
        </s:is>
      </s:c>
      <s:c r="B14102" s="83">
        <s:f>SUM(IF(EXACT('Kiểm thử'!E13999,"Không thực hiện"),1,0),IF(EXACT('Kiểm thử'!E14001,"Không thực hiện"),1,0))</s:f>
        <s:v/>
      </s:c>
      <s:c r="C14102" s="19" t="n"/>
      <s:c r="D14102" s="19" t="n"/>
      <s:c r="E14102" s="19" t="n"/>
    </s:row>
    <s:row r="14103" hidden="1" ht="1" customHeight="1">
      <s:c r="A14103" s="83" t="inlineStr">
        <s:is>
          <s:t>NOT RUN</s:t>
        </s:is>
      </s:c>
      <s:c r="B14103" s="83">
        <s:f>SUM(IF(EXACT('Kiểm thử'!E13999,"Chưa thực hiện"),1,0),IF(EXACT('Kiểm thử'!E14001,"Chưa thực hiện"),1,0))</s:f>
        <s:v/>
      </s:c>
      <s:c r="C14103" s="19" t="n"/>
      <s:c r="D14103" s="19" t="n"/>
      <s:c r="E14103" s="19" t="n"/>
    </s:row>
    <s:row r="14104" hidden="1" ht="6" customHeight="1">
      <s:c r="A14104" s="83" t="inlineStr"/>
      <s:c r="B14104" s="19" t="n"/>
      <s:c r="C14104" s="19" t="n"/>
      <s:c r="D14104" s="19" t="n"/>
      <s:c r="E14104" s="19" t="n"/>
    </s:row>
    <s:row r="14105" ht="28" customHeight="1">
      <s:c r="A14105" s="108" t="inlineStr">
        <s:is>
          <s:t>TC-RS-BR-015 — Lưu cấu hình không xét; kết quả trước giữ tới lần chạy lại</s:t>
        </s:is>
      </s:c>
      <s:c r="B14105" s="111" t="n"/>
      <s:c r="C14105" s="111" t="n"/>
      <s:c r="D14105" s="111" t="n"/>
      <s:c r="E14105" s="111" t="n"/>
    </s:row>
    <s:row r="14106" ht="20" customHeight="1">
      <s:c r="A14106" s="112" t="inlineStr">
        <s:is>
          <s:t>Kết quả tình huống</s:t>
        </s:is>
      </s:c>
      <s:c r="B14106" s="113">
        <s:f>IF(SUM(IF(EXACT('Kiểm thử'!E14117,"Không đạt"),1,0))&gt;0,"Không đạt",IF(SUM(IF(EXACT('Kiểm thử'!E14117,"Đạt"),1,0))=1,"Đạt",IF(SUM(IF(EXACT('Kiểm thử'!E14117,"Không thực hiện"),1,0))=1,"Không thực hiện",IF(SUM(IF(EXACT('Kiểm thử'!E14117,"Bị chặn"),1,0))&gt;0,"Bị chặn",IF(SUM(IF(EXACT('Kiểm thử'!E14117,"Chưa thực hiện"),1,0))=1,"Chưa thực hiện","Đang thực hiện")))))</s:f>
        <s:v/>
      </s:c>
      <s:c r="C14106" s="114" t="n"/>
      <s:c r="D14106" s="114" t="n"/>
      <s:c r="E14106" s="114" t="n"/>
    </s:row>
    <s:row r="14107" ht="20" customHeight="1">
      <s:c r="A14107" s="112" t="inlineStr">
        <s:is>
          <s:t>Màn hình / chức năng</s:t>
        </s:is>
      </s:c>
      <s:c r="B14107" s="113" t="inlineStr">
        <s:is>
          <s:t>Vòng đời kết quả</s:t>
        </s:is>
      </s:c>
      <s:c r="C14107" s="28" t="n"/>
      <s:c r="D14107" s="28" t="n"/>
      <s:c r="E14107" s="28" t="n"/>
    </s:row>
    <s:row r="14108" ht="34" customHeight="1">
      <s:c r="A14108" s="112" t="inlineStr">
        <s:is>
          <s:t>Cấu hình</s:t>
        </s:is>
      </s:c>
      <s:c r="B14108" s="113" t="inlineStr">
        <s:is>
          <s:t>• Quy tắc “Cố định 30” (dưới 30);
• S03 sửa thành 32 và đã xét → Không đỏ.</s:t>
        </s:is>
      </s:c>
      <s:c r="C14108" s="28" t="n"/>
      <s:c r="D14108" s="28" t="n"/>
      <s:c r="E14108" s="28" t="n"/>
    </s:row>
    <s:row r="14109" ht="20" customHeight="1">
      <s:c r="A14109" s="112" t="inlineStr">
        <s:is>
          <s:t>Dữ liệu test</s:t>
        </s:is>
      </s:c>
      <s:c r="B14109" s="113" t="inlineStr">
        <s:is>
          <s:t>• Quy tắc “Cố định 30” (dưới 30)</s:t>
        </s:is>
      </s:c>
      <s:c r="C14109" s="28" t="n"/>
      <s:c r="D14109" s="28" t="n"/>
      <s:c r="E14109" s="28" t="n"/>
    </s:row>
    <s:row r="14110" ht="20" customHeight="1">
      <s:c r="A14110" s="112" t="inlineStr">
        <s:is>
          <s:t>Bước 1</s:t>
        </s:is>
      </s:c>
      <s:c r="B14110" s="113" t="inlineStr">
        <s:is>
          <s:t>Đổi ngưỡng thành 35 [&lt;], lưu.</s:t>
        </s:is>
      </s:c>
      <s:c r="C14110" s="28" t="n"/>
      <s:c r="D14110" s="28" t="n"/>
      <s:c r="E14110" s="28" t="n"/>
    </s:row>
    <s:row r="14111" ht="20" customHeight="1">
      <s:c r="A14111" s="112" t="inlineStr">
        <s:is>
          <s:t>Bước 2</s:t>
        </s:is>
      </s:c>
      <s:c r="B14111" s="113" t="inlineStr">
        <s:is>
          <s:t>Xem ba đầu ra.</s:t>
        </s:is>
      </s:c>
      <s:c r="C14111" s="28" t="n"/>
      <s:c r="D14111" s="28" t="n"/>
      <s:c r="E14111" s="28" t="n"/>
    </s:row>
    <s:row r="14112" ht="20" customHeight="1">
      <s:c r="A14112" s="112" t="inlineStr">
        <s:is>
          <s:t>Bước 3</s:t>
        </s:is>
      </s:c>
      <s:c r="B14112" s="113" t="inlineStr">
        <s:is>
          <s:t>Đổi thứ tự quy tắc/đổi nguồn (nếu có), lưu, xem lại.</s:t>
        </s:is>
      </s:c>
      <s:c r="C14112" s="28" t="n"/>
      <s:c r="D14112" s="28" t="n"/>
      <s:c r="E14112" s="28" t="n"/>
    </s:row>
    <s:row r="14113" ht="34" customHeight="1">
      <s:c r="A14113" s="112" t="inlineStr">
        <s:is>
          <s:t>Bước 4</s:t>
        </s:is>
      </s:c>
      <s:c r="B14113" s="113" t="inlineStr">
        <s:is>
          <s:t>Chỉ đổi dấu ([&lt;35] → [≤35]), lưu, xem lại. Nếu công thức thuộc đợt phát hành: chỉ đổi công thức của một quy tắc công thức, lưu, xem lại.</s:t>
        </s:is>
      </s:c>
      <s:c r="C14113" s="28" t="n"/>
      <s:c r="D14113" s="28" t="n"/>
      <s:c r="E14113" s="28" t="n"/>
    </s:row>
    <s:row r="14114" ht="20" customHeight="1">
      <s:c r="A14114" s="112" t="inlineStr">
        <s:is>
          <s:t>Bước 5</s:t>
        </s:is>
      </s:c>
      <s:c r="B14114" s="113" t="inlineStr">
        <s:is>
          <s:t>Chạy lại (đăng ký lại điểm S03 hoặc nút cam), xem ba đầu ra.</s:t>
        </s:is>
      </s:c>
      <s:c r="C14114" s="28" t="n"/>
      <s:c r="D14114" s="28" t="n"/>
      <s:c r="E14114" s="28" t="n"/>
    </s:row>
    <s:row r="14115" ht="28" customHeight="1">
      <s:c r="A14115" s="115" t="inlineStr">
        <s:is>
          <s:t>Trường hợp</s:t>
        </s:is>
      </s:c>
      <s:c r="B14115" s="115" t="inlineStr">
        <s:is>
          <s:t>Dữ liệu / thao tác riêng</s:t>
        </s:is>
      </s:c>
      <s:c r="C14115" s="115" t="inlineStr">
        <s:is>
          <s:t>Kết quả mong đợi</s:t>
        </s:is>
      </s:c>
      <s:c r="D14115" s="115" t="inlineStr">
        <s:is>
          <s:t>Kết quả thực tế</s:t>
        </s:is>
      </s:c>
      <s:c r="E14115" s="115" t="inlineStr">
        <s:is>
          <s:t>Đánh giá</s:t>
        </s:is>
      </s:c>
    </s:row>
    <s:row r="14116" ht="3" customHeight="1">
      <s:c r="A14116" s="102" t="inlineStr"/>
      <s:c r="B14116" s="99" t="n"/>
      <s:c r="C14116" s="99" t="n"/>
      <s:c r="D14116" s="116" t="n"/>
      <s:c r="E14116" s="116" t="n"/>
    </s:row>
    <s:row r="14117" ht="104" customHeight="1">
      <s:c r="A14117" s="83" t="inlineStr">
        <s:is>
          <s:t>Trường hợp cơ bản (Base)</s:t>
        </s:is>
      </s:c>
      <s:c r="B14117" s="83" t="inlineStr">
        <s:is>
          <s:t>Toàn bộ tình huống: Thực hiện đủ các bước chung theo thứ tự; kiểm cả đối tượng đích và đối chứng cùng fixture, không bỏ bước.</s:t>
        </s:is>
      </s:c>
      <s:c r="C14117" s="83" t="inlineStr">
        <s:is>
          <s:r>
            <s:t xml:space="preserve">1. Sau lưu: không báo "đã cập nhật điểm đỏ học sinh"; có hướng dẫn chạy lại.
2–4. S03 vẫn </s:t>
          </s:r>
          <s:r>
            <s:rPr>
              <s:b val="1"/>
            </s:rPr>
            <s:t>Không đỏ</s:t>
          </s:r>
          <s:r>
            <s:t xml:space="preserve"> theo kết quả trước; hiệu ứng hiển thị trước đó giữ nguyên.
5. Sau chạy lại thành công: S03 </s:t>
          </s:r>
          <s:r>
            <s:rPr>
              <s:b val="1"/>
            </s:rPr>
            <s:t>Đỏ</s:t>
          </s:r>
          <s:r>
            <s:t>.</s:t>
          </s:r>
        </s:is>
      </s:c>
      <s:c r="D14117" s="117" t="inlineStr"/>
      <s:c r="E14117" s="118" t="inlineStr">
        <s:is>
          <s:t>Chưa thực hiện</s:t>
        </s:is>
      </s:c>
    </s:row>
    <s:row r="14118" ht="20" customHeight="1">
      <s:c r="A14118" s="119" t="inlineStr">
        <s:is>
          <s:t>Ảnh minh chứng — Chưa có ảnh</s:t>
        </s:is>
      </s:c>
      <s:c r="B14118" s="19" t="n"/>
      <s:c r="C14118" s="19" t="n"/>
      <s:c r="D14118" s="19" t="n"/>
      <s:c r="E14118" s="19" t="n"/>
    </s:row>
    <s:row r="14119" hidden="1" ht="1" customHeight="1">
      <s:c r="A14119" s="120" t="inlineStr"/>
      <s:c r="B14119" s="121" t="n"/>
      <s:c r="C14119" s="121" t="n"/>
      <s:c r="D14119" s="121" t="n"/>
      <s:c r="E14119" s="122" t="n"/>
    </s:row>
    <s:row r="14120" hidden="1" ht="1" customHeight="1">
      <s:c r="A14120" s="120" t="inlineStr"/>
      <s:c r="B14120" s="121" t="n"/>
      <s:c r="C14120" s="121" t="n"/>
      <s:c r="D14120" s="121" t="n"/>
      <s:c r="E14120" s="122" t="n"/>
    </s:row>
    <s:row r="14121" hidden="1" ht="1" customHeight="1">
      <s:c r="A14121" s="120" t="inlineStr"/>
      <s:c r="B14121" s="121" t="n"/>
      <s:c r="C14121" s="121" t="n"/>
      <s:c r="D14121" s="121" t="n"/>
      <s:c r="E14121" s="122" t="n"/>
    </s:row>
    <s:row r="14122" hidden="1" ht="1" customHeight="1">
      <s:c r="A14122" s="120" t="inlineStr"/>
      <s:c r="B14122" s="121" t="n"/>
      <s:c r="C14122" s="121" t="n"/>
      <s:c r="D14122" s="121" t="n"/>
      <s:c r="E14122" s="122" t="n"/>
    </s:row>
    <s:row r="14123" hidden="1" ht="1" customHeight="1">
      <s:c r="A14123" s="120" t="inlineStr"/>
      <s:c r="B14123" s="121" t="n"/>
      <s:c r="C14123" s="121" t="n"/>
      <s:c r="D14123" s="121" t="n"/>
      <s:c r="E14123" s="122" t="n"/>
    </s:row>
    <s:row r="14124" hidden="1" ht="1" customHeight="1">
      <s:c r="A14124" s="120" t="inlineStr"/>
      <s:c r="B14124" s="121" t="n"/>
      <s:c r="C14124" s="121" t="n"/>
      <s:c r="D14124" s="121" t="n"/>
      <s:c r="E14124" s="122" t="n"/>
    </s:row>
    <s:row r="14125" hidden="1" ht="1" customHeight="1">
      <s:c r="A14125" s="120" t="inlineStr"/>
      <s:c r="B14125" s="121" t="n"/>
      <s:c r="C14125" s="121" t="n"/>
      <s:c r="D14125" s="121" t="n"/>
      <s:c r="E14125" s="122" t="n"/>
    </s:row>
    <s:row r="14126" hidden="1" ht="1" customHeight="1">
      <s:c r="A14126" s="120" t="inlineStr"/>
      <s:c r="B14126" s="121" t="n"/>
      <s:c r="C14126" s="121" t="n"/>
      <s:c r="D14126" s="121" t="n"/>
      <s:c r="E14126" s="122" t="n"/>
    </s:row>
    <s:row r="14127" hidden="1" ht="1" customHeight="1">
      <s:c r="A14127" s="120" t="inlineStr"/>
      <s:c r="B14127" s="121" t="n"/>
      <s:c r="C14127" s="121" t="n"/>
      <s:c r="D14127" s="121" t="n"/>
      <s:c r="E14127" s="122" t="n"/>
    </s:row>
    <s:row r="14128" hidden="1" ht="1" customHeight="1">
      <s:c r="A14128" s="120" t="inlineStr"/>
      <s:c r="B14128" s="121" t="n"/>
      <s:c r="C14128" s="121" t="n"/>
      <s:c r="D14128" s="121" t="n"/>
      <s:c r="E14128" s="122" t="n"/>
    </s:row>
    <s:row r="14129" hidden="1" ht="1" customHeight="1">
      <s:c r="A14129" s="120" t="inlineStr"/>
      <s:c r="B14129" s="121" t="n"/>
      <s:c r="C14129" s="121" t="n"/>
      <s:c r="D14129" s="121" t="n"/>
      <s:c r="E14129" s="122" t="n"/>
    </s:row>
    <s:row r="14130" hidden="1" ht="1" customHeight="1">
      <s:c r="A14130" s="120" t="inlineStr"/>
      <s:c r="B14130" s="121" t="n"/>
      <s:c r="C14130" s="121" t="n"/>
      <s:c r="D14130" s="121" t="n"/>
      <s:c r="E14130" s="122" t="n"/>
    </s:row>
    <s:row r="14131" hidden="1" ht="1" customHeight="1">
      <s:c r="A14131" s="120" t="inlineStr"/>
      <s:c r="B14131" s="121" t="n"/>
      <s:c r="C14131" s="121" t="n"/>
      <s:c r="D14131" s="121" t="n"/>
      <s:c r="E14131" s="122" t="n"/>
    </s:row>
    <s:row r="14132" hidden="1" ht="1" customHeight="1">
      <s:c r="A14132" s="120" t="inlineStr"/>
      <s:c r="B14132" s="121" t="n"/>
      <s:c r="C14132" s="121" t="n"/>
      <s:c r="D14132" s="121" t="n"/>
      <s:c r="E14132" s="122" t="n"/>
    </s:row>
    <s:row r="14133" hidden="1" ht="1" customHeight="1">
      <s:c r="A14133" s="120" t="inlineStr"/>
      <s:c r="B14133" s="121" t="n"/>
      <s:c r="C14133" s="121" t="n"/>
      <s:c r="D14133" s="121" t="n"/>
      <s:c r="E14133" s="122" t="n"/>
    </s:row>
    <s:row r="14134" hidden="1" ht="1" customHeight="1">
      <s:c r="A14134" s="120" t="inlineStr"/>
      <s:c r="B14134" s="121" t="n"/>
      <s:c r="C14134" s="121" t="n"/>
      <s:c r="D14134" s="121" t="n"/>
      <s:c r="E14134" s="122" t="n"/>
    </s:row>
    <s:row r="14135" hidden="1" ht="1" customHeight="1">
      <s:c r="A14135" s="120" t="inlineStr"/>
      <s:c r="B14135" s="121" t="n"/>
      <s:c r="C14135" s="121" t="n"/>
      <s:c r="D14135" s="121" t="n"/>
      <s:c r="E14135" s="122" t="n"/>
    </s:row>
    <s:row r="14136" hidden="1" ht="1" customHeight="1">
      <s:c r="A14136" s="120" t="inlineStr"/>
      <s:c r="B14136" s="121" t="n"/>
      <s:c r="C14136" s="121" t="n"/>
      <s:c r="D14136" s="121" t="n"/>
      <s:c r="E14136" s="122" t="n"/>
    </s:row>
    <s:row r="14137" hidden="1" ht="1" customHeight="1">
      <s:c r="A14137" s="120" t="inlineStr"/>
      <s:c r="B14137" s="121" t="n"/>
      <s:c r="C14137" s="121" t="n"/>
      <s:c r="D14137" s="121" t="n"/>
      <s:c r="E14137" s="122" t="n"/>
    </s:row>
    <s:row r="14138" hidden="1" ht="1" customHeight="1">
      <s:c r="A14138" s="120" t="inlineStr"/>
      <s:c r="B14138" s="121" t="n"/>
      <s:c r="C14138" s="121" t="n"/>
      <s:c r="D14138" s="121" t="n"/>
      <s:c r="E14138" s="122" t="n"/>
    </s:row>
    <s:row r="14139" hidden="1" ht="1" customHeight="1">
      <s:c r="A14139" s="120" t="inlineStr"/>
      <s:c r="B14139" s="121" t="n"/>
      <s:c r="C14139" s="121" t="n"/>
      <s:c r="D14139" s="121" t="n"/>
      <s:c r="E14139" s="122" t="n"/>
    </s:row>
    <s:row r="14140" hidden="1" ht="1" customHeight="1">
      <s:c r="A14140" s="120" t="inlineStr"/>
      <s:c r="B14140" s="121" t="n"/>
      <s:c r="C14140" s="121" t="n"/>
      <s:c r="D14140" s="121" t="n"/>
      <s:c r="E14140" s="122" t="n"/>
    </s:row>
    <s:row r="14141" hidden="1" ht="1" customHeight="1">
      <s:c r="A14141" s="120" t="inlineStr"/>
      <s:c r="B14141" s="121" t="n"/>
      <s:c r="C14141" s="121" t="n"/>
      <s:c r="D14141" s="121" t="n"/>
      <s:c r="E14141" s="122" t="n"/>
    </s:row>
    <s:row r="14142" hidden="1" ht="1" customHeight="1">
      <s:c r="A14142" s="120" t="inlineStr"/>
      <s:c r="B14142" s="121" t="n"/>
      <s:c r="C14142" s="121" t="n"/>
      <s:c r="D14142" s="121" t="n"/>
      <s:c r="E14142" s="122" t="n"/>
    </s:row>
    <s:row r="14143" hidden="1" ht="1" customHeight="1">
      <s:c r="A14143" s="120" t="inlineStr"/>
      <s:c r="B14143" s="121" t="n"/>
      <s:c r="C14143" s="121" t="n"/>
      <s:c r="D14143" s="121" t="n"/>
      <s:c r="E14143" s="122" t="n"/>
    </s:row>
    <s:row r="14144" hidden="1" ht="1" customHeight="1">
      <s:c r="A14144" s="120" t="inlineStr"/>
      <s:c r="B14144" s="121" t="n"/>
      <s:c r="C14144" s="121" t="n"/>
      <s:c r="D14144" s="121" t="n"/>
      <s:c r="E14144" s="122" t="n"/>
    </s:row>
    <s:row r="14145" hidden="1" ht="1" customHeight="1">
      <s:c r="A14145" s="120" t="inlineStr"/>
      <s:c r="B14145" s="121" t="n"/>
      <s:c r="C14145" s="121" t="n"/>
      <s:c r="D14145" s="121" t="n"/>
      <s:c r="E14145" s="122" t="n"/>
    </s:row>
    <s:row r="14146" hidden="1" ht="1" customHeight="1">
      <s:c r="A14146" s="120" t="inlineStr"/>
      <s:c r="B14146" s="121" t="n"/>
      <s:c r="C14146" s="121" t="n"/>
      <s:c r="D14146" s="121" t="n"/>
      <s:c r="E14146" s="122" t="n"/>
    </s:row>
    <s:row r="14147" hidden="1" ht="1" customHeight="1">
      <s:c r="A14147" s="120" t="inlineStr"/>
      <s:c r="B14147" s="121" t="n"/>
      <s:c r="C14147" s="121" t="n"/>
      <s:c r="D14147" s="121" t="n"/>
      <s:c r="E14147" s="122" t="n"/>
    </s:row>
    <s:row r="14148" hidden="1" ht="1" customHeight="1">
      <s:c r="A14148" s="120" t="inlineStr"/>
      <s:c r="B14148" s="121" t="n"/>
      <s:c r="C14148" s="121" t="n"/>
      <s:c r="D14148" s="121" t="n"/>
      <s:c r="E14148" s="122" t="n"/>
    </s:row>
    <s:row r="14149" hidden="1" ht="1" customHeight="1">
      <s:c r="A14149" s="120" t="inlineStr"/>
      <s:c r="B14149" s="121" t="n"/>
      <s:c r="C14149" s="121" t="n"/>
      <s:c r="D14149" s="121" t="n"/>
      <s:c r="E14149" s="122" t="n"/>
    </s:row>
    <s:row r="14150" hidden="1" ht="1" customHeight="1">
      <s:c r="A14150" s="120" t="inlineStr"/>
      <s:c r="B14150" s="121" t="n"/>
      <s:c r="C14150" s="121" t="n"/>
      <s:c r="D14150" s="121" t="n"/>
      <s:c r="E14150" s="122" t="n"/>
    </s:row>
    <s:row r="14151" hidden="1" ht="1" customHeight="1">
      <s:c r="A14151" s="120" t="inlineStr"/>
      <s:c r="B14151" s="121" t="n"/>
      <s:c r="C14151" s="121" t="n"/>
      <s:c r="D14151" s="121" t="n"/>
      <s:c r="E14151" s="122" t="n"/>
    </s:row>
    <s:row r="14152" hidden="1" ht="1" customHeight="1">
      <s:c r="A14152" s="120" t="inlineStr"/>
      <s:c r="B14152" s="121" t="n"/>
      <s:c r="C14152" s="121" t="n"/>
      <s:c r="D14152" s="121" t="n"/>
      <s:c r="E14152" s="122" t="n"/>
    </s:row>
    <s:row r="14153" hidden="1" ht="1" customHeight="1">
      <s:c r="A14153" s="120" t="inlineStr"/>
      <s:c r="B14153" s="121" t="n"/>
      <s:c r="C14153" s="121" t="n"/>
      <s:c r="D14153" s="121" t="n"/>
      <s:c r="E14153" s="122" t="n"/>
    </s:row>
    <s:row r="14154" hidden="1" ht="1" customHeight="1">
      <s:c r="A14154" s="120" t="inlineStr"/>
      <s:c r="B14154" s="121" t="n"/>
      <s:c r="C14154" s="121" t="n"/>
      <s:c r="D14154" s="121" t="n"/>
      <s:c r="E14154" s="122" t="n"/>
    </s:row>
    <s:row r="14155" hidden="1" ht="1" customHeight="1">
      <s:c r="A14155" s="120" t="inlineStr"/>
      <s:c r="B14155" s="121" t="n"/>
      <s:c r="C14155" s="121" t="n"/>
      <s:c r="D14155" s="121" t="n"/>
      <s:c r="E14155" s="122" t="n"/>
    </s:row>
    <s:row r="14156" hidden="1" ht="1" customHeight="1">
      <s:c r="A14156" s="120" t="inlineStr"/>
      <s:c r="B14156" s="121" t="n"/>
      <s:c r="C14156" s="121" t="n"/>
      <s:c r="D14156" s="121" t="n"/>
      <s:c r="E14156" s="122" t="n"/>
    </s:row>
    <s:row r="14157" hidden="1" ht="1" customHeight="1">
      <s:c r="A14157" s="120" t="inlineStr"/>
      <s:c r="B14157" s="121" t="n"/>
      <s:c r="C14157" s="121" t="n"/>
      <s:c r="D14157" s="121" t="n"/>
      <s:c r="E14157" s="122" t="n"/>
    </s:row>
    <s:row r="14158" hidden="1" ht="1" customHeight="1">
      <s:c r="A14158" s="120" t="inlineStr"/>
      <s:c r="B14158" s="121" t="n"/>
      <s:c r="C14158" s="121" t="n"/>
      <s:c r="D14158" s="121" t="n"/>
      <s:c r="E14158" s="122" t="n"/>
    </s:row>
    <s:row r="14159" hidden="1" ht="1" customHeight="1">
      <s:c r="A14159" s="120" t="inlineStr"/>
      <s:c r="B14159" s="121" t="n"/>
      <s:c r="C14159" s="121" t="n"/>
      <s:c r="D14159" s="121" t="n"/>
      <s:c r="E14159" s="122" t="n"/>
    </s:row>
    <s:row r="14160" hidden="1" ht="1" customHeight="1">
      <s:c r="A14160" s="120" t="inlineStr"/>
      <s:c r="B14160" s="121" t="n"/>
      <s:c r="C14160" s="121" t="n"/>
      <s:c r="D14160" s="121" t="n"/>
      <s:c r="E14160" s="122" t="n"/>
    </s:row>
    <s:row r="14161" hidden="1" ht="1" customHeight="1">
      <s:c r="A14161" s="120" t="inlineStr"/>
      <s:c r="B14161" s="121" t="n"/>
      <s:c r="C14161" s="121" t="n"/>
      <s:c r="D14161" s="121" t="n"/>
      <s:c r="E14161" s="122" t="n"/>
    </s:row>
    <s:row r="14162" hidden="1" ht="1" customHeight="1">
      <s:c r="A14162" s="120" t="inlineStr"/>
      <s:c r="B14162" s="121" t="n"/>
      <s:c r="C14162" s="121" t="n"/>
      <s:c r="D14162" s="121" t="n"/>
      <s:c r="E14162" s="122" t="n"/>
    </s:row>
    <s:row r="14163" hidden="1" ht="1" customHeight="1">
      <s:c r="A14163" s="120" t="inlineStr"/>
      <s:c r="B14163" s="121" t="n"/>
      <s:c r="C14163" s="121" t="n"/>
      <s:c r="D14163" s="121" t="n"/>
      <s:c r="E14163" s="122" t="n"/>
    </s:row>
    <s:row r="14164" hidden="1" ht="1" customHeight="1">
      <s:c r="A14164" s="120" t="inlineStr"/>
      <s:c r="B14164" s="121" t="n"/>
      <s:c r="C14164" s="121" t="n"/>
      <s:c r="D14164" s="121" t="n"/>
      <s:c r="E14164" s="122" t="n"/>
    </s:row>
    <s:row r="14165" hidden="1" ht="1" customHeight="1">
      <s:c r="A14165" s="120" t="inlineStr"/>
      <s:c r="B14165" s="121" t="n"/>
      <s:c r="C14165" s="121" t="n"/>
      <s:c r="D14165" s="121" t="n"/>
      <s:c r="E14165" s="122" t="n"/>
    </s:row>
    <s:row r="14166" hidden="1" ht="1" customHeight="1">
      <s:c r="A14166" s="120" t="inlineStr"/>
      <s:c r="B14166" s="121" t="n"/>
      <s:c r="C14166" s="121" t="n"/>
      <s:c r="D14166" s="121" t="n"/>
      <s:c r="E14166" s="122" t="n"/>
    </s:row>
    <s:row r="14167" hidden="1" ht="1" customHeight="1">
      <s:c r="A14167" s="83" t="inlineStr">
        <s:is>
          <s:t>PASS</s:t>
        </s:is>
      </s:c>
      <s:c r="B14167" s="83">
        <s:f>SUM(IF(EXACT('Kiểm thử'!E14117,"Đạt"),1,0))</s:f>
        <s:v/>
      </s:c>
      <s:c r="C14167" s="19" t="n"/>
      <s:c r="D14167" s="19" t="n"/>
      <s:c r="E14167" s="19" t="n"/>
    </s:row>
    <s:row r="14168" hidden="1" ht="1" customHeight="1">
      <s:c r="A14168" s="83" t="inlineStr">
        <s:is>
          <s:t>FAIL</s:t>
        </s:is>
      </s:c>
      <s:c r="B14168" s="83">
        <s:f>SUM(IF(EXACT('Kiểm thử'!E14117,"Không đạt"),1,0))</s:f>
        <s:v/>
      </s:c>
      <s:c r="C14168" s="19" t="n"/>
      <s:c r="D14168" s="19" t="n"/>
      <s:c r="E14168" s="19" t="n"/>
    </s:row>
    <s:row r="14169" hidden="1" ht="1" customHeight="1">
      <s:c r="A14169" s="83" t="inlineStr">
        <s:is>
          <s:t>BLOCKED</s:t>
        </s:is>
      </s:c>
      <s:c r="B14169" s="83">
        <s:f>SUM(IF(EXACT('Kiểm thử'!E14117,"Bị chặn"),1,0))</s:f>
        <s:v/>
      </s:c>
      <s:c r="C14169" s="19" t="n"/>
      <s:c r="D14169" s="19" t="n"/>
      <s:c r="E14169" s="19" t="n"/>
    </s:row>
    <s:row r="14170" hidden="1" ht="1" customHeight="1">
      <s:c r="A14170" s="83" t="inlineStr">
        <s:is>
          <s:t>SKIPPED</s:t>
        </s:is>
      </s:c>
      <s:c r="B14170" s="83">
        <s:f>SUM(IF(EXACT('Kiểm thử'!E14117,"Không thực hiện"),1,0))</s:f>
        <s:v/>
      </s:c>
      <s:c r="C14170" s="19" t="n"/>
      <s:c r="D14170" s="19" t="n"/>
      <s:c r="E14170" s="19" t="n"/>
    </s:row>
    <s:row r="14171" hidden="1" ht="1" customHeight="1">
      <s:c r="A14171" s="83" t="inlineStr">
        <s:is>
          <s:t>NOT RUN</s:t>
        </s:is>
      </s:c>
      <s:c r="B14171" s="83">
        <s:f>SUM(IF(EXACT('Kiểm thử'!E14117,"Chưa thực hiện"),1,0))</s:f>
        <s:v/>
      </s:c>
      <s:c r="C14171" s="19" t="n"/>
      <s:c r="D14171" s="19" t="n"/>
      <s:c r="E14171" s="19" t="n"/>
    </s:row>
    <s:row r="14172" hidden="1" ht="6" customHeight="1">
      <s:c r="A14172" s="83" t="inlineStr"/>
      <s:c r="B14172" s="19" t="n"/>
      <s:c r="C14172" s="19" t="n"/>
      <s:c r="D14172" s="19" t="n"/>
      <s:c r="E14172" s="19" t="n"/>
    </s:row>
    <s:row r="14173" ht="28" customHeight="1">
      <s:c r="A14173" s="108" t="inlineStr">
        <s:is>
          <s:t>TC-RS-BR-016 — Sửa điểm 29 → 40 được lưu và xét trong cùng lượt</s:t>
        </s:is>
      </s:c>
      <s:c r="B14173" s="111" t="n"/>
      <s:c r="C14173" s="111" t="n"/>
      <s:c r="D14173" s="111" t="n"/>
      <s:c r="E14173" s="111" t="n"/>
    </s:row>
    <s:row r="14174" ht="20" customHeight="1">
      <s:c r="A14174" s="112" t="inlineStr">
        <s:is>
          <s:t>Kết quả tình huống</s:t>
        </s:is>
      </s:c>
      <s:c r="B14174" s="113">
        <s:f>IF(SUM(IF(EXACT('Kiểm thử'!E14182,"Không đạt"),1,0))&gt;0,"Không đạt",IF(SUM(IF(EXACT('Kiểm thử'!E14182,"Đạt"),1,0))=1,"Đạt",IF(SUM(IF(EXACT('Kiểm thử'!E14182,"Không thực hiện"),1,0))=1,"Không thực hiện",IF(SUM(IF(EXACT('Kiểm thử'!E14182,"Bị chặn"),1,0))&gt;0,"Bị chặn",IF(SUM(IF(EXACT('Kiểm thử'!E14182,"Chưa thực hiện"),1,0))=1,"Chưa thực hiện","Đang thực hiện")))))</s:f>
        <s:v/>
      </s:c>
      <s:c r="C14174" s="114" t="n"/>
      <s:c r="D14174" s="114" t="n"/>
      <s:c r="E14174" s="114" t="n"/>
    </s:row>
    <s:row r="14175" ht="20" customHeight="1">
      <s:c r="A14175" s="112" t="inlineStr">
        <s:is>
          <s:t>Màn hình / chức năng</s:t>
        </s:is>
      </s:c>
      <s:c r="B14175" s="113" t="inlineStr">
        <s:is>
          <s:t>Vòng đời kết quả</s:t>
        </s:is>
      </s:c>
      <s:c r="C14175" s="28" t="n"/>
      <s:c r="D14175" s="28" t="n"/>
      <s:c r="E14175" s="28" t="n"/>
    </s:row>
    <s:row r="14176" ht="34" customHeight="1">
      <s:c r="A14176" s="112" t="inlineStr">
        <s:is>
          <s:t>Cấu hình</s:t>
        </s:is>
      </s:c>
      <s:c r="B14176" s="113" t="inlineStr">
        <s:is>
          <s:t>• Quy tắc “Cố định 30” (dưới 30);
• S01=29 Đỏ.</s:t>
        </s:is>
      </s:c>
      <s:c r="C14176" s="28" t="n"/>
      <s:c r="D14176" s="28" t="n"/>
      <s:c r="E14176" s="28" t="n"/>
    </s:row>
    <s:row r="14177" ht="34" customHeight="1">
      <s:c r="A14177" s="112" t="inlineStr">
        <s:is>
          <s:t>Dữ liệu test</s:t>
        </s:is>
      </s:c>
      <s:c r="B14177" s="113" t="inlineStr">
        <s:is>
          <s:t>• Quy tắc “Cố định 30” (dưới 30);
• Học sinh S01 (điểm 29)</s:t>
        </s:is>
      </s:c>
      <s:c r="C14177" s="28" t="n"/>
      <s:c r="D14177" s="28" t="n"/>
      <s:c r="E14177" s="28" t="n"/>
    </s:row>
    <s:row r="14178" ht="20" customHeight="1">
      <s:c r="A14178" s="112" t="inlineStr">
        <s:is>
          <s:t>Bước 1</s:t>
        </s:is>
      </s:c>
      <s:c r="B14178" s="113" t="inlineStr">
        <s:is>
          <s:t>Sửa S01 thành 40, lưu thành công.</s:t>
        </s:is>
      </s:c>
      <s:c r="C14178" s="28" t="n"/>
      <s:c r="D14178" s="28" t="n"/>
      <s:c r="E14178" s="28" t="n"/>
    </s:row>
    <s:row r="14179" ht="20" customHeight="1">
      <s:c r="A14179" s="112" t="inlineStr">
        <s:is>
          <s:t>Bước 2</s:t>
        </s:is>
      </s:c>
      <s:c r="B14179" s="113" t="inlineStr">
        <s:is>
          <s:t>Xem ba đầu ra ngay sau đó.</s:t>
        </s:is>
      </s:c>
      <s:c r="C14179" s="28" t="n"/>
      <s:c r="D14179" s="28" t="n"/>
      <s:c r="E14179" s="28" t="n"/>
    </s:row>
    <s:row r="14180" ht="28" customHeight="1">
      <s:c r="A14180" s="115" t="inlineStr">
        <s:is>
          <s:t>Trường hợp</s:t>
        </s:is>
      </s:c>
      <s:c r="B14180" s="115" t="inlineStr">
        <s:is>
          <s:t>Dữ liệu / thao tác riêng</s:t>
        </s:is>
      </s:c>
      <s:c r="C14180" s="115" t="inlineStr">
        <s:is>
          <s:t>Kết quả mong đợi</s:t>
        </s:is>
      </s:c>
      <s:c r="D14180" s="115" t="inlineStr">
        <s:is>
          <s:t>Kết quả thực tế</s:t>
        </s:is>
      </s:c>
      <s:c r="E14180" s="115" t="inlineStr">
        <s:is>
          <s:t>Đánh giá</s:t>
        </s:is>
      </s:c>
    </s:row>
    <s:row r="14181" ht="3" customHeight="1">
      <s:c r="A14181" s="102" t="inlineStr"/>
      <s:c r="B14181" s="99" t="n"/>
      <s:c r="C14181" s="99" t="n"/>
      <s:c r="D14181" s="116" t="n"/>
      <s:c r="E14181" s="116" t="n"/>
    </s:row>
    <s:row r="14182" ht="62" customHeight="1">
      <s:c r="A14182" s="83" t="inlineStr">
        <s:is>
          <s:t>Trường hợp cơ bản (Base)</s:t>
        </s:is>
      </s:c>
      <s:c r="B14182" s="83" t="inlineStr">
        <s:is>
          <s:t>Toàn bộ tình huống: Thực hiện đủ các bước chung theo thứ tự; kiểm cả đối tượng đích và đối chứng cùng fixture, không bỏ bước.</s:t>
        </s:is>
      </s:c>
      <s:c r="C14182" s="83" t="inlineStr">
        <s:is>
          <s:r>
            <s:t xml:space="preserve">S01 </s:t>
          </s:r>
          <s:r>
            <s:rPr>
              <s:b val="1"/>
            </s:rPr>
            <s:t>Không đỏ</s:t>
          </s:r>
          <s:r>
            <s:t>; không cần bật một chế độ thủ công/tự động riêng.</s:t>
          </s:r>
        </s:is>
      </s:c>
      <s:c r="D14182" s="117" t="inlineStr"/>
      <s:c r="E14182" s="118" t="inlineStr">
        <s:is>
          <s:t>Chưa thực hiện</s:t>
        </s:is>
      </s:c>
    </s:row>
    <s:row r="14183" ht="20" customHeight="1">
      <s:c r="A14183" s="119" t="inlineStr">
        <s:is>
          <s:t>Ảnh minh chứng — Chưa có ảnh</s:t>
        </s:is>
      </s:c>
      <s:c r="B14183" s="19" t="n"/>
      <s:c r="C14183" s="19" t="n"/>
      <s:c r="D14183" s="19" t="n"/>
      <s:c r="E14183" s="19" t="n"/>
    </s:row>
    <s:row r="14184" hidden="1" ht="1" customHeight="1">
      <s:c r="A14184" s="120" t="inlineStr"/>
      <s:c r="B14184" s="121" t="n"/>
      <s:c r="C14184" s="121" t="n"/>
      <s:c r="D14184" s="121" t="n"/>
      <s:c r="E14184" s="122" t="n"/>
    </s:row>
    <s:row r="14185" hidden="1" ht="1" customHeight="1">
      <s:c r="A14185" s="120" t="inlineStr"/>
      <s:c r="B14185" s="121" t="n"/>
      <s:c r="C14185" s="121" t="n"/>
      <s:c r="D14185" s="121" t="n"/>
      <s:c r="E14185" s="122" t="n"/>
    </s:row>
    <s:row r="14186" hidden="1" ht="1" customHeight="1">
      <s:c r="A14186" s="120" t="inlineStr"/>
      <s:c r="B14186" s="121" t="n"/>
      <s:c r="C14186" s="121" t="n"/>
      <s:c r="D14186" s="121" t="n"/>
      <s:c r="E14186" s="122" t="n"/>
    </s:row>
    <s:row r="14187" hidden="1" ht="1" customHeight="1">
      <s:c r="A14187" s="120" t="inlineStr"/>
      <s:c r="B14187" s="121" t="n"/>
      <s:c r="C14187" s="121" t="n"/>
      <s:c r="D14187" s="121" t="n"/>
      <s:c r="E14187" s="122" t="n"/>
    </s:row>
    <s:row r="14188" hidden="1" ht="1" customHeight="1">
      <s:c r="A14188" s="120" t="inlineStr"/>
      <s:c r="B14188" s="121" t="n"/>
      <s:c r="C14188" s="121" t="n"/>
      <s:c r="D14188" s="121" t="n"/>
      <s:c r="E14188" s="122" t="n"/>
    </s:row>
    <s:row r="14189" hidden="1" ht="1" customHeight="1">
      <s:c r="A14189" s="120" t="inlineStr"/>
      <s:c r="B14189" s="121" t="n"/>
      <s:c r="C14189" s="121" t="n"/>
      <s:c r="D14189" s="121" t="n"/>
      <s:c r="E14189" s="122" t="n"/>
    </s:row>
    <s:row r="14190" hidden="1" ht="1" customHeight="1">
      <s:c r="A14190" s="120" t="inlineStr"/>
      <s:c r="B14190" s="121" t="n"/>
      <s:c r="C14190" s="121" t="n"/>
      <s:c r="D14190" s="121" t="n"/>
      <s:c r="E14190" s="122" t="n"/>
    </s:row>
    <s:row r="14191" hidden="1" ht="1" customHeight="1">
      <s:c r="A14191" s="120" t="inlineStr"/>
      <s:c r="B14191" s="121" t="n"/>
      <s:c r="C14191" s="121" t="n"/>
      <s:c r="D14191" s="121" t="n"/>
      <s:c r="E14191" s="122" t="n"/>
    </s:row>
    <s:row r="14192" hidden="1" ht="1" customHeight="1">
      <s:c r="A14192" s="120" t="inlineStr"/>
      <s:c r="B14192" s="121" t="n"/>
      <s:c r="C14192" s="121" t="n"/>
      <s:c r="D14192" s="121" t="n"/>
      <s:c r="E14192" s="122" t="n"/>
    </s:row>
    <s:row r="14193" hidden="1" ht="1" customHeight="1">
      <s:c r="A14193" s="120" t="inlineStr"/>
      <s:c r="B14193" s="121" t="n"/>
      <s:c r="C14193" s="121" t="n"/>
      <s:c r="D14193" s="121" t="n"/>
      <s:c r="E14193" s="122" t="n"/>
    </s:row>
    <s:row r="14194" hidden="1" ht="1" customHeight="1">
      <s:c r="A14194" s="120" t="inlineStr"/>
      <s:c r="B14194" s="121" t="n"/>
      <s:c r="C14194" s="121" t="n"/>
      <s:c r="D14194" s="121" t="n"/>
      <s:c r="E14194" s="122" t="n"/>
    </s:row>
    <s:row r="14195" hidden="1" ht="1" customHeight="1">
      <s:c r="A14195" s="120" t="inlineStr"/>
      <s:c r="B14195" s="121" t="n"/>
      <s:c r="C14195" s="121" t="n"/>
      <s:c r="D14195" s="121" t="n"/>
      <s:c r="E14195" s="122" t="n"/>
    </s:row>
    <s:row r="14196" hidden="1" ht="1" customHeight="1">
      <s:c r="A14196" s="120" t="inlineStr"/>
      <s:c r="B14196" s="121" t="n"/>
      <s:c r="C14196" s="121" t="n"/>
      <s:c r="D14196" s="121" t="n"/>
      <s:c r="E14196" s="122" t="n"/>
    </s:row>
    <s:row r="14197" hidden="1" ht="1" customHeight="1">
      <s:c r="A14197" s="120" t="inlineStr"/>
      <s:c r="B14197" s="121" t="n"/>
      <s:c r="C14197" s="121" t="n"/>
      <s:c r="D14197" s="121" t="n"/>
      <s:c r="E14197" s="122" t="n"/>
    </s:row>
    <s:row r="14198" hidden="1" ht="1" customHeight="1">
      <s:c r="A14198" s="120" t="inlineStr"/>
      <s:c r="B14198" s="121" t="n"/>
      <s:c r="C14198" s="121" t="n"/>
      <s:c r="D14198" s="121" t="n"/>
      <s:c r="E14198" s="122" t="n"/>
    </s:row>
    <s:row r="14199" hidden="1" ht="1" customHeight="1">
      <s:c r="A14199" s="120" t="inlineStr"/>
      <s:c r="B14199" s="121" t="n"/>
      <s:c r="C14199" s="121" t="n"/>
      <s:c r="D14199" s="121" t="n"/>
      <s:c r="E14199" s="122" t="n"/>
    </s:row>
    <s:row r="14200" hidden="1" ht="1" customHeight="1">
      <s:c r="A14200" s="120" t="inlineStr"/>
      <s:c r="B14200" s="121" t="n"/>
      <s:c r="C14200" s="121" t="n"/>
      <s:c r="D14200" s="121" t="n"/>
      <s:c r="E14200" s="122" t="n"/>
    </s:row>
    <s:row r="14201" hidden="1" ht="1" customHeight="1">
      <s:c r="A14201" s="120" t="inlineStr"/>
      <s:c r="B14201" s="121" t="n"/>
      <s:c r="C14201" s="121" t="n"/>
      <s:c r="D14201" s="121" t="n"/>
      <s:c r="E14201" s="122" t="n"/>
    </s:row>
    <s:row r="14202" hidden="1" ht="1" customHeight="1">
      <s:c r="A14202" s="120" t="inlineStr"/>
      <s:c r="B14202" s="121" t="n"/>
      <s:c r="C14202" s="121" t="n"/>
      <s:c r="D14202" s="121" t="n"/>
      <s:c r="E14202" s="122" t="n"/>
    </s:row>
    <s:row r="14203" hidden="1" ht="1" customHeight="1">
      <s:c r="A14203" s="120" t="inlineStr"/>
      <s:c r="B14203" s="121" t="n"/>
      <s:c r="C14203" s="121" t="n"/>
      <s:c r="D14203" s="121" t="n"/>
      <s:c r="E14203" s="122" t="n"/>
    </s:row>
    <s:row r="14204" hidden="1" ht="1" customHeight="1">
      <s:c r="A14204" s="120" t="inlineStr"/>
      <s:c r="B14204" s="121" t="n"/>
      <s:c r="C14204" s="121" t="n"/>
      <s:c r="D14204" s="121" t="n"/>
      <s:c r="E14204" s="122" t="n"/>
    </s:row>
    <s:row r="14205" hidden="1" ht="1" customHeight="1">
      <s:c r="A14205" s="120" t="inlineStr"/>
      <s:c r="B14205" s="121" t="n"/>
      <s:c r="C14205" s="121" t="n"/>
      <s:c r="D14205" s="121" t="n"/>
      <s:c r="E14205" s="122" t="n"/>
    </s:row>
    <s:row r="14206" hidden="1" ht="1" customHeight="1">
      <s:c r="A14206" s="120" t="inlineStr"/>
      <s:c r="B14206" s="121" t="n"/>
      <s:c r="C14206" s="121" t="n"/>
      <s:c r="D14206" s="121" t="n"/>
      <s:c r="E14206" s="122" t="n"/>
    </s:row>
    <s:row r="14207" hidden="1" ht="1" customHeight="1">
      <s:c r="A14207" s="120" t="inlineStr"/>
      <s:c r="B14207" s="121" t="n"/>
      <s:c r="C14207" s="121" t="n"/>
      <s:c r="D14207" s="121" t="n"/>
      <s:c r="E14207" s="122" t="n"/>
    </s:row>
    <s:row r="14208" hidden="1" ht="1" customHeight="1">
      <s:c r="A14208" s="120" t="inlineStr"/>
      <s:c r="B14208" s="121" t="n"/>
      <s:c r="C14208" s="121" t="n"/>
      <s:c r="D14208" s="121" t="n"/>
      <s:c r="E14208" s="122" t="n"/>
    </s:row>
    <s:row r="14209" hidden="1" ht="1" customHeight="1">
      <s:c r="A14209" s="120" t="inlineStr"/>
      <s:c r="B14209" s="121" t="n"/>
      <s:c r="C14209" s="121" t="n"/>
      <s:c r="D14209" s="121" t="n"/>
      <s:c r="E14209" s="122" t="n"/>
    </s:row>
    <s:row r="14210" hidden="1" ht="1" customHeight="1">
      <s:c r="A14210" s="120" t="inlineStr"/>
      <s:c r="B14210" s="121" t="n"/>
      <s:c r="C14210" s="121" t="n"/>
      <s:c r="D14210" s="121" t="n"/>
      <s:c r="E14210" s="122" t="n"/>
    </s:row>
    <s:row r="14211" hidden="1" ht="1" customHeight="1">
      <s:c r="A14211" s="120" t="inlineStr"/>
      <s:c r="B14211" s="121" t="n"/>
      <s:c r="C14211" s="121" t="n"/>
      <s:c r="D14211" s="121" t="n"/>
      <s:c r="E14211" s="122" t="n"/>
    </s:row>
    <s:row r="14212" hidden="1" ht="1" customHeight="1">
      <s:c r="A14212" s="120" t="inlineStr"/>
      <s:c r="B14212" s="121" t="n"/>
      <s:c r="C14212" s="121" t="n"/>
      <s:c r="D14212" s="121" t="n"/>
      <s:c r="E14212" s="122" t="n"/>
    </s:row>
    <s:row r="14213" hidden="1" ht="1" customHeight="1">
      <s:c r="A14213" s="120" t="inlineStr"/>
      <s:c r="B14213" s="121" t="n"/>
      <s:c r="C14213" s="121" t="n"/>
      <s:c r="D14213" s="121" t="n"/>
      <s:c r="E14213" s="122" t="n"/>
    </s:row>
    <s:row r="14214" hidden="1" ht="1" customHeight="1">
      <s:c r="A14214" s="120" t="inlineStr"/>
      <s:c r="B14214" s="121" t="n"/>
      <s:c r="C14214" s="121" t="n"/>
      <s:c r="D14214" s="121" t="n"/>
      <s:c r="E14214" s="122" t="n"/>
    </s:row>
    <s:row r="14215" hidden="1" ht="1" customHeight="1">
      <s:c r="A14215" s="120" t="inlineStr"/>
      <s:c r="B14215" s="121" t="n"/>
      <s:c r="C14215" s="121" t="n"/>
      <s:c r="D14215" s="121" t="n"/>
      <s:c r="E14215" s="122" t="n"/>
    </s:row>
    <s:row r="14216" hidden="1" ht="1" customHeight="1">
      <s:c r="A14216" s="120" t="inlineStr"/>
      <s:c r="B14216" s="121" t="n"/>
      <s:c r="C14216" s="121" t="n"/>
      <s:c r="D14216" s="121" t="n"/>
      <s:c r="E14216" s="122" t="n"/>
    </s:row>
    <s:row r="14217" hidden="1" ht="1" customHeight="1">
      <s:c r="A14217" s="120" t="inlineStr"/>
      <s:c r="B14217" s="121" t="n"/>
      <s:c r="C14217" s="121" t="n"/>
      <s:c r="D14217" s="121" t="n"/>
      <s:c r="E14217" s="122" t="n"/>
    </s:row>
    <s:row r="14218" hidden="1" ht="1" customHeight="1">
      <s:c r="A14218" s="120" t="inlineStr"/>
      <s:c r="B14218" s="121" t="n"/>
      <s:c r="C14218" s="121" t="n"/>
      <s:c r="D14218" s="121" t="n"/>
      <s:c r="E14218" s="122" t="n"/>
    </s:row>
    <s:row r="14219" hidden="1" ht="1" customHeight="1">
      <s:c r="A14219" s="120" t="inlineStr"/>
      <s:c r="B14219" s="121" t="n"/>
      <s:c r="C14219" s="121" t="n"/>
      <s:c r="D14219" s="121" t="n"/>
      <s:c r="E14219" s="122" t="n"/>
    </s:row>
    <s:row r="14220" hidden="1" ht="1" customHeight="1">
      <s:c r="A14220" s="120" t="inlineStr"/>
      <s:c r="B14220" s="121" t="n"/>
      <s:c r="C14220" s="121" t="n"/>
      <s:c r="D14220" s="121" t="n"/>
      <s:c r="E14220" s="122" t="n"/>
    </s:row>
    <s:row r="14221" hidden="1" ht="1" customHeight="1">
      <s:c r="A14221" s="120" t="inlineStr"/>
      <s:c r="B14221" s="121" t="n"/>
      <s:c r="C14221" s="121" t="n"/>
      <s:c r="D14221" s="121" t="n"/>
      <s:c r="E14221" s="122" t="n"/>
    </s:row>
    <s:row r="14222" hidden="1" ht="1" customHeight="1">
      <s:c r="A14222" s="120" t="inlineStr"/>
      <s:c r="B14222" s="121" t="n"/>
      <s:c r="C14222" s="121" t="n"/>
      <s:c r="D14222" s="121" t="n"/>
      <s:c r="E14222" s="122" t="n"/>
    </s:row>
    <s:row r="14223" hidden="1" ht="1" customHeight="1">
      <s:c r="A14223" s="120" t="inlineStr"/>
      <s:c r="B14223" s="121" t="n"/>
      <s:c r="C14223" s="121" t="n"/>
      <s:c r="D14223" s="121" t="n"/>
      <s:c r="E14223" s="122" t="n"/>
    </s:row>
    <s:row r="14224" hidden="1" ht="1" customHeight="1">
      <s:c r="A14224" s="120" t="inlineStr"/>
      <s:c r="B14224" s="121" t="n"/>
      <s:c r="C14224" s="121" t="n"/>
      <s:c r="D14224" s="121" t="n"/>
      <s:c r="E14224" s="122" t="n"/>
    </s:row>
    <s:row r="14225" hidden="1" ht="1" customHeight="1">
      <s:c r="A14225" s="120" t="inlineStr"/>
      <s:c r="B14225" s="121" t="n"/>
      <s:c r="C14225" s="121" t="n"/>
      <s:c r="D14225" s="121" t="n"/>
      <s:c r="E14225" s="122" t="n"/>
    </s:row>
    <s:row r="14226" hidden="1" ht="1" customHeight="1">
      <s:c r="A14226" s="120" t="inlineStr"/>
      <s:c r="B14226" s="121" t="n"/>
      <s:c r="C14226" s="121" t="n"/>
      <s:c r="D14226" s="121" t="n"/>
      <s:c r="E14226" s="122" t="n"/>
    </s:row>
    <s:row r="14227" hidden="1" ht="1" customHeight="1">
      <s:c r="A14227" s="120" t="inlineStr"/>
      <s:c r="B14227" s="121" t="n"/>
      <s:c r="C14227" s="121" t="n"/>
      <s:c r="D14227" s="121" t="n"/>
      <s:c r="E14227" s="122" t="n"/>
    </s:row>
    <s:row r="14228" hidden="1" ht="1" customHeight="1">
      <s:c r="A14228" s="120" t="inlineStr"/>
      <s:c r="B14228" s="121" t="n"/>
      <s:c r="C14228" s="121" t="n"/>
      <s:c r="D14228" s="121" t="n"/>
      <s:c r="E14228" s="122" t="n"/>
    </s:row>
    <s:row r="14229" hidden="1" ht="1" customHeight="1">
      <s:c r="A14229" s="120" t="inlineStr"/>
      <s:c r="B14229" s="121" t="n"/>
      <s:c r="C14229" s="121" t="n"/>
      <s:c r="D14229" s="121" t="n"/>
      <s:c r="E14229" s="122" t="n"/>
    </s:row>
    <s:row r="14230" hidden="1" ht="1" customHeight="1">
      <s:c r="A14230" s="120" t="inlineStr"/>
      <s:c r="B14230" s="121" t="n"/>
      <s:c r="C14230" s="121" t="n"/>
      <s:c r="D14230" s="121" t="n"/>
      <s:c r="E14230" s="122" t="n"/>
    </s:row>
    <s:row r="14231" hidden="1" ht="1" customHeight="1">
      <s:c r="A14231" s="120" t="inlineStr"/>
      <s:c r="B14231" s="121" t="n"/>
      <s:c r="C14231" s="121" t="n"/>
      <s:c r="D14231" s="121" t="n"/>
      <s:c r="E14231" s="122" t="n"/>
    </s:row>
    <s:row r="14232" hidden="1" ht="1" customHeight="1">
      <s:c r="A14232" s="83" t="inlineStr">
        <s:is>
          <s:t>PASS</s:t>
        </s:is>
      </s:c>
      <s:c r="B14232" s="83">
        <s:f>SUM(IF(EXACT('Kiểm thử'!E14182,"Đạt"),1,0))</s:f>
        <s:v/>
      </s:c>
      <s:c r="C14232" s="19" t="n"/>
      <s:c r="D14232" s="19" t="n"/>
      <s:c r="E14232" s="19" t="n"/>
    </s:row>
    <s:row r="14233" hidden="1" ht="1" customHeight="1">
      <s:c r="A14233" s="83" t="inlineStr">
        <s:is>
          <s:t>FAIL</s:t>
        </s:is>
      </s:c>
      <s:c r="B14233" s="83">
        <s:f>SUM(IF(EXACT('Kiểm thử'!E14182,"Không đạt"),1,0))</s:f>
        <s:v/>
      </s:c>
      <s:c r="C14233" s="19" t="n"/>
      <s:c r="D14233" s="19" t="n"/>
      <s:c r="E14233" s="19" t="n"/>
    </s:row>
    <s:row r="14234" hidden="1" ht="1" customHeight="1">
      <s:c r="A14234" s="83" t="inlineStr">
        <s:is>
          <s:t>BLOCKED</s:t>
        </s:is>
      </s:c>
      <s:c r="B14234" s="83">
        <s:f>SUM(IF(EXACT('Kiểm thử'!E14182,"Bị chặn"),1,0))</s:f>
        <s:v/>
      </s:c>
      <s:c r="C14234" s="19" t="n"/>
      <s:c r="D14234" s="19" t="n"/>
      <s:c r="E14234" s="19" t="n"/>
    </s:row>
    <s:row r="14235" hidden="1" ht="1" customHeight="1">
      <s:c r="A14235" s="83" t="inlineStr">
        <s:is>
          <s:t>SKIPPED</s:t>
        </s:is>
      </s:c>
      <s:c r="B14235" s="83">
        <s:f>SUM(IF(EXACT('Kiểm thử'!E14182,"Không thực hiện"),1,0))</s:f>
        <s:v/>
      </s:c>
      <s:c r="C14235" s="19" t="n"/>
      <s:c r="D14235" s="19" t="n"/>
      <s:c r="E14235" s="19" t="n"/>
    </s:row>
    <s:row r="14236" hidden="1" ht="1" customHeight="1">
      <s:c r="A14236" s="83" t="inlineStr">
        <s:is>
          <s:t>NOT RUN</s:t>
        </s:is>
      </s:c>
      <s:c r="B14236" s="83">
        <s:f>SUM(IF(EXACT('Kiểm thử'!E14182,"Chưa thực hiện"),1,0))</s:f>
        <s:v/>
      </s:c>
      <s:c r="C14236" s="19" t="n"/>
      <s:c r="D14236" s="19" t="n"/>
      <s:c r="E14236" s="19" t="n"/>
    </s:row>
    <s:row r="14237" hidden="1" ht="6" customHeight="1">
      <s:c r="A14237" s="83" t="inlineStr"/>
      <s:c r="B14237" s="19" t="n"/>
      <s:c r="C14237" s="19" t="n"/>
      <s:c r="D14237" s="19" t="n"/>
      <s:c r="E14237" s="19" t="n"/>
    </s:row>
    <s:row r="14238" ht="28" customHeight="1">
      <s:c r="A14238" s="108" t="inlineStr">
        <s:is>
          <s:t>TC-RS-BR-017 — Chạy lại không tạo được ngưỡng hợp lệ → Chưa xét được, ngừng kết quả cũ, giữ điểm</s:t>
        </s:is>
      </s:c>
      <s:c r="B14238" s="111" t="n"/>
      <s:c r="C14238" s="111" t="n"/>
      <s:c r="D14238" s="111" t="n"/>
      <s:c r="E14238" s="111" t="n"/>
    </s:row>
    <s:row r="14239" ht="20" customHeight="1">
      <s:c r="A14239" s="112" t="inlineStr">
        <s:is>
          <s:t>Kết quả tình huống</s:t>
        </s:is>
      </s:c>
      <s:c r="B14239" s="113">
        <s:f>IF(SUM(IF(EXACT('Kiểm thử'!E14249,"Không đạt"),1,0),IF(EXACT('Kiểm thử'!E14251,"Không đạt"),1,0),IF(EXACT('Kiểm thử'!E14253,"Không đạt"),1,0))&gt;0,"Không đạt",IF(SUM(IF(EXACT('Kiểm thử'!E14249,"Đạt"),1,0),IF(EXACT('Kiểm thử'!E14251,"Đạt"),1,0),IF(EXACT('Kiểm thử'!E14253,"Đạt"),1,0))=3,"Đạt",IF(SUM(IF(EXACT('Kiểm thử'!E14249,"Không thực hiện"),1,0),IF(EXACT('Kiểm thử'!E14251,"Không thực hiện"),1,0),IF(EXACT('Kiểm thử'!E14253,"Không thực hiện"),1,0))=3,"Không thực hiện",IF(SUM(IF(EXACT('Kiểm thử'!E14249,"Bị chặn"),1,0),IF(EXACT('Kiểm thử'!E14251,"Bị chặn"),1,0),IF(EXACT('Kiểm thử'!E14253,"Bị chặn"),1,0))&gt;0,"Bị chặn",IF(SUM(IF(EXACT('Kiểm thử'!E14249,"Chưa thực hiện"),1,0),IF(EXACT('Kiểm thử'!E14251,"Chưa thực hiện"),1,0),IF(EXACT('Kiểm thử'!E14253,"Chưa thực hiện"),1,0))=3,"Chưa thực hiện","Đang thực hiện")))))</s:f>
        <s:v/>
      </s:c>
      <s:c r="C14239" s="114" t="n"/>
      <s:c r="D14239" s="114" t="n"/>
      <s:c r="E14239" s="114" t="n"/>
    </s:row>
    <s:row r="14240" ht="20" customHeight="1">
      <s:c r="A14240" s="112" t="inlineStr">
        <s:is>
          <s:t>Màn hình / chức năng</s:t>
        </s:is>
      </s:c>
      <s:c r="B14240" s="113" t="inlineStr">
        <s:is>
          <s:t>Vòng đời kết quả</s:t>
        </s:is>
      </s:c>
      <s:c r="C14240" s="28" t="n"/>
      <s:c r="D14240" s="28" t="n"/>
      <s:c r="E14240" s="28" t="n"/>
    </s:row>
    <s:row r="14241" ht="20" customHeight="1">
      <s:c r="A14241" s="112" t="inlineStr">
        <s:is>
          <s:t>Cấu hình</s:t>
        </s:is>
      </s:c>
      <s:c r="B14241" s="113" t="inlineStr">
        <s:is>
          <s:t>• Ô S01=29 Đỏ theo công thức [A×0.5] (nguồn bản tổng hợp mới nhất chưa chốt (trung bình 62)).</s:t>
        </s:is>
      </s:c>
      <s:c r="C14241" s="28" t="n"/>
      <s:c r="D14241" s="28" t="n"/>
      <s:c r="E14241" s="28" t="n"/>
    </s:row>
    <s:row r="14242" ht="48" customHeight="1">
      <s:c r="A14242" s="112" t="inlineStr">
        <s:is>
          <s:t>Dữ liệu test</s:t>
        </s:is>
      </s:c>
      <s:c r="B14242" s="113" t="inlineStr">
        <s:is>
          <s:t>• Mục có M không hợp lệ, quy tắc công thức 100 ÷ trung bình, bản tổng hợp mới nhất chưa chốt (trung bình 62);
• Học sinh S01 (điểm 29), nguồn chưa có kết quả tổng hợp</s:t>
        </s:is>
      </s:c>
      <s:c r="C14242" s="28" t="n"/>
      <s:c r="D14242" s="28" t="n"/>
      <s:c r="E14242" s="28" t="n"/>
    </s:row>
    <s:row r="14243" ht="34" customHeight="1">
      <s:c r="A14243" s="112" t="inlineStr">
        <s:is>
          <s:t>Bước 1</s:t>
        </s:is>
      </s:c>
      <s:c r="B14243" s="113" t="inlineStr">
        <s:is>
          <s:t>Từ baseline độc lập, xác nhận S01=29 đang Đỏ; tạo biến thể (a) bằng cách đổi nguồn sang nguồn chưa có kết quả tổng hợp (không có tổng hợp), lưu, chạy lại.</s:t>
        </s:is>
      </s:c>
      <s:c r="C14243" s="28" t="n"/>
      <s:c r="D14243" s="28" t="n"/>
      <s:c r="E14243" s="28" t="n"/>
    </s:row>
    <s:row r="14244" ht="34" customHeight="1">
      <s:c r="A14244" s="112" t="inlineStr">
        <s:is>
          <s:t>Bước 2</s:t>
        </s:is>
      </s:c>
      <s:c r="B14244" s="113" t="inlineStr">
        <s:is>
          <s:t>Khôi phục/rebuild baseline S01=29 Đỏ; tạo biến thể (b) bằng quy tắc tỷ lệ với M không hợp lệ (mục có M không hợp lệ), rồi chạy lại.</s:t>
        </s:is>
      </s:c>
      <s:c r="C14244" s="28" t="n"/>
      <s:c r="D14244" s="28" t="n"/>
      <s:c r="E14244" s="28" t="n"/>
    </s:row>
    <s:row r="14245" ht="34" customHeight="1">
      <s:c r="A14245" s="112" t="inlineStr">
        <s:is>
          <s:t>Bước 3</s:t>
        </s:is>
      </s:c>
      <s:c r="B14245" s="113" t="inlineStr">
        <s:is>
          <s:r>
            <s:t>Khôi phục/rebuild baseline S01=29 Đỏ; tạo biến thể (c) bằng quy tắc công thức 100 ÷ trung bình với [</s:t>
          </s:r>
          <s:r>
            <s:rPr>
              <s:b val="1"/>
            </s:rPr>
            <s:t>A=0</s:t>
          </s:r>
          <s:r>
            <s:t>], rồi chạy lại.</s:t>
          </s:r>
        </s:is>
      </s:c>
      <s:c r="C14245" s="28" t="n"/>
      <s:c r="D14245" s="28" t="n"/>
      <s:c r="E14245" s="28" t="n"/>
    </s:row>
    <s:row r="14246" ht="20" customHeight="1">
      <s:c r="A14246" s="112" t="inlineStr">
        <s:is>
          <s:t>Bước 4</s:t>
        </s:is>
      </s:c>
      <s:c r="B14246" s="113" t="inlineStr">
        <s:is>
          <s:t>Sau mỗi biến thể: xem ba đầu ra và điểm S01.</s:t>
        </s:is>
      </s:c>
      <s:c r="C14246" s="28" t="n"/>
      <s:c r="D14246" s="28" t="n"/>
      <s:c r="E14246" s="28" t="n"/>
    </s:row>
    <s:row r="14247" ht="28" customHeight="1">
      <s:c r="A14247" s="115" t="inlineStr">
        <s:is>
          <s:t>Trường hợp</s:t>
        </s:is>
      </s:c>
      <s:c r="B14247" s="115" t="inlineStr">
        <s:is>
          <s:t>Dữ liệu / thao tác riêng</s:t>
        </s:is>
      </s:c>
      <s:c r="C14247" s="115" t="inlineStr">
        <s:is>
          <s:t>Kết quả mong đợi</s:t>
        </s:is>
      </s:c>
      <s:c r="D14247" s="115" t="inlineStr">
        <s:is>
          <s:t>Kết quả thực tế</s:t>
        </s:is>
      </s:c>
      <s:c r="E14247" s="115" t="inlineStr">
        <s:is>
          <s:t>Đánh giá</s:t>
        </s:is>
      </s:c>
    </s:row>
    <s:row r="14248" ht="3" customHeight="1">
      <s:c r="A14248" s="102" t="inlineStr"/>
      <s:c r="B14248" s="99" t="n"/>
      <s:c r="C14248" s="99" t="n"/>
      <s:c r="D14248" s="116" t="n"/>
      <s:c r="E14248" s="116" t="n"/>
    </s:row>
    <s:row r="14249" ht="62" customHeight="1">
      <s:c r="A14249" s="83" t="inlineStr">
        <s:is>
          <s:t>Điểm tối đa không hợp lệ (invalid-M)</s:t>
        </s:is>
      </s:c>
      <s:c r="B14249" s="83" t="inlineStr">
        <s:is>
          <s:t>Reset S01=29 Đỏ, chuyển sang quy tắc tỷ lệ với M không hợp lệ rồi chạy lại; đối chiếu cả ba đầu ra.</s:t>
        </s:is>
      </s:c>
      <s:c r="C14249" s="83" t="inlineStr">
        <s:is>
          <s:t>Mỗi biến thể: trạng thái Chưa xét được; dấu/lọc đỏ cũ ngừng ở cả ba đầu ra; điểm S01 vẫn 29; không đi xuống quy tắc thấp hơn; không bật lại ngưỡng cũ [red_score].</s:t>
        </s:is>
      </s:c>
      <s:c r="D14249" s="117" t="inlineStr"/>
      <s:c r="E14249" s="118" t="inlineStr">
        <s:is>
          <s:t>Chưa thực hiện</s:t>
        </s:is>
      </s:c>
    </s:row>
    <s:row r="14250" ht="3" customHeight="1">
      <s:c r="A14250" s="102" t="inlineStr"/>
      <s:c r="B14250" s="99" t="n"/>
      <s:c r="C14250" s="99" t="n"/>
      <s:c r="D14250" s="116" t="n"/>
      <s:c r="E14250" s="116" t="n"/>
    </s:row>
    <s:row r="14251" ht="62" customHeight="1">
      <s:c r="A14251" s="83" t="inlineStr">
        <s:is>
          <s:t>Thiếu nguồn tổng hợp (missing-source)</s:t>
        </s:is>
      </s:c>
      <s:c r="B14251" s="83" t="inlineStr">
        <s:is>
          <s:t>Reset S01=29 Đỏ, đổi nguồn sang nguồn chưa có kết quả tổng hợp rồi lưu/chạy lại; đối chiếu cả ba đầu ra.</s:t>
        </s:is>
      </s:c>
      <s:c r="C14251" s="83" t="inlineStr">
        <s:is>
          <s:t>Mỗi biến thể: trạng thái Chưa xét được; dấu/lọc đỏ cũ ngừng ở cả ba đầu ra; điểm S01 vẫn 29; không đi xuống quy tắc thấp hơn; không bật lại ngưỡng cũ [red_score].</s:t>
        </s:is>
      </s:c>
      <s:c r="D14251" s="117" t="inlineStr"/>
      <s:c r="E14251" s="118" t="inlineStr">
        <s:is>
          <s:t>Chưa thực hiện</s:t>
        </s:is>
      </s:c>
    </s:row>
    <s:row r="14252" ht="3" customHeight="1">
      <s:c r="A14252" s="102" t="inlineStr"/>
      <s:c r="B14252" s="99" t="n"/>
      <s:c r="C14252" s="99" t="n"/>
      <s:c r="D14252" s="116" t="n"/>
      <s:c r="E14252" s="116" t="n"/>
    </s:row>
    <s:row r="14253" ht="62" customHeight="1">
      <s:c r="A14253" s="83" t="inlineStr">
        <s:is>
          <s:t>Công thức chia cho nguồn bằng 0 (invalid-formula)</s:t>
        </s:is>
      </s:c>
      <s:c r="B14253" s="83" t="inlineStr">
        <s:is>
          <s:r>
            <s:t xml:space="preserve">Reset S01=29 Đỏ, cấu hình 100÷A với </s:t>
          </s:r>
          <s:r>
            <s:rPr>
              <s:b val="1"/>
            </s:rPr>
            <s:t>A=0</s:t>
          </s:r>
          <s:r>
            <s:t xml:space="preserve"> rồi chạy lại; đối chiếu cả ba đầu ra.</s:t>
          </s:r>
        </s:is>
      </s:c>
      <s:c r="C14253" s="83" t="inlineStr">
        <s:is>
          <s:t>Mỗi biến thể: trạng thái Chưa xét được; dấu/lọc đỏ cũ ngừng ở cả ba đầu ra; điểm S01 vẫn 29; không đi xuống quy tắc thấp hơn; không bật lại ngưỡng cũ [red_score].</s:t>
        </s:is>
      </s:c>
      <s:c r="D14253" s="117" t="inlineStr"/>
      <s:c r="E14253" s="118" t="inlineStr">
        <s:is>
          <s:t>Chưa thực hiện</s:t>
        </s:is>
      </s:c>
    </s:row>
    <s:row r="14254" ht="20" customHeight="1">
      <s:c r="A14254" s="119" t="inlineStr">
        <s:is>
          <s:t>Ảnh minh chứng — Chưa có ảnh</s:t>
        </s:is>
      </s:c>
      <s:c r="B14254" s="19" t="n"/>
      <s:c r="C14254" s="19" t="n"/>
      <s:c r="D14254" s="19" t="n"/>
      <s:c r="E14254" s="19" t="n"/>
    </s:row>
    <s:row r="14255" hidden="1" ht="1" customHeight="1">
      <s:c r="A14255" s="120" t="inlineStr"/>
      <s:c r="B14255" s="121" t="n"/>
      <s:c r="C14255" s="121" t="n"/>
      <s:c r="D14255" s="121" t="n"/>
      <s:c r="E14255" s="122" t="n"/>
    </s:row>
    <s:row r="14256" hidden="1" ht="1" customHeight="1">
      <s:c r="A14256" s="120" t="inlineStr"/>
      <s:c r="B14256" s="121" t="n"/>
      <s:c r="C14256" s="121" t="n"/>
      <s:c r="D14256" s="121" t="n"/>
      <s:c r="E14256" s="122" t="n"/>
    </s:row>
    <s:row r="14257" hidden="1" ht="1" customHeight="1">
      <s:c r="A14257" s="120" t="inlineStr"/>
      <s:c r="B14257" s="121" t="n"/>
      <s:c r="C14257" s="121" t="n"/>
      <s:c r="D14257" s="121" t="n"/>
      <s:c r="E14257" s="122" t="n"/>
    </s:row>
    <s:row r="14258" hidden="1" ht="1" customHeight="1">
      <s:c r="A14258" s="120" t="inlineStr"/>
      <s:c r="B14258" s="121" t="n"/>
      <s:c r="C14258" s="121" t="n"/>
      <s:c r="D14258" s="121" t="n"/>
      <s:c r="E14258" s="122" t="n"/>
    </s:row>
    <s:row r="14259" hidden="1" ht="1" customHeight="1">
      <s:c r="A14259" s="120" t="inlineStr"/>
      <s:c r="B14259" s="121" t="n"/>
      <s:c r="C14259" s="121" t="n"/>
      <s:c r="D14259" s="121" t="n"/>
      <s:c r="E14259" s="122" t="n"/>
    </s:row>
    <s:row r="14260" hidden="1" ht="1" customHeight="1">
      <s:c r="A14260" s="120" t="inlineStr"/>
      <s:c r="B14260" s="121" t="n"/>
      <s:c r="C14260" s="121" t="n"/>
      <s:c r="D14260" s="121" t="n"/>
      <s:c r="E14260" s="122" t="n"/>
    </s:row>
    <s:row r="14261" hidden="1" ht="1" customHeight="1">
      <s:c r="A14261" s="120" t="inlineStr"/>
      <s:c r="B14261" s="121" t="n"/>
      <s:c r="C14261" s="121" t="n"/>
      <s:c r="D14261" s="121" t="n"/>
      <s:c r="E14261" s="122" t="n"/>
    </s:row>
    <s:row r="14262" hidden="1" ht="1" customHeight="1">
      <s:c r="A14262" s="120" t="inlineStr"/>
      <s:c r="B14262" s="121" t="n"/>
      <s:c r="C14262" s="121" t="n"/>
      <s:c r="D14262" s="121" t="n"/>
      <s:c r="E14262" s="122" t="n"/>
    </s:row>
    <s:row r="14263" hidden="1" ht="1" customHeight="1">
      <s:c r="A14263" s="120" t="inlineStr"/>
      <s:c r="B14263" s="121" t="n"/>
      <s:c r="C14263" s="121" t="n"/>
      <s:c r="D14263" s="121" t="n"/>
      <s:c r="E14263" s="122" t="n"/>
    </s:row>
    <s:row r="14264" hidden="1" ht="1" customHeight="1">
      <s:c r="A14264" s="120" t="inlineStr"/>
      <s:c r="B14264" s="121" t="n"/>
      <s:c r="C14264" s="121" t="n"/>
      <s:c r="D14264" s="121" t="n"/>
      <s:c r="E14264" s="122" t="n"/>
    </s:row>
    <s:row r="14265" hidden="1" ht="1" customHeight="1">
      <s:c r="A14265" s="120" t="inlineStr"/>
      <s:c r="B14265" s="121" t="n"/>
      <s:c r="C14265" s="121" t="n"/>
      <s:c r="D14265" s="121" t="n"/>
      <s:c r="E14265" s="122" t="n"/>
    </s:row>
    <s:row r="14266" hidden="1" ht="1" customHeight="1">
      <s:c r="A14266" s="120" t="inlineStr"/>
      <s:c r="B14266" s="121" t="n"/>
      <s:c r="C14266" s="121" t="n"/>
      <s:c r="D14266" s="121" t="n"/>
      <s:c r="E14266" s="122" t="n"/>
    </s:row>
    <s:row r="14267" hidden="1" ht="1" customHeight="1">
      <s:c r="A14267" s="120" t="inlineStr"/>
      <s:c r="B14267" s="121" t="n"/>
      <s:c r="C14267" s="121" t="n"/>
      <s:c r="D14267" s="121" t="n"/>
      <s:c r="E14267" s="122" t="n"/>
    </s:row>
    <s:row r="14268" hidden="1" ht="1" customHeight="1">
      <s:c r="A14268" s="120" t="inlineStr"/>
      <s:c r="B14268" s="121" t="n"/>
      <s:c r="C14268" s="121" t="n"/>
      <s:c r="D14268" s="121" t="n"/>
      <s:c r="E14268" s="122" t="n"/>
    </s:row>
    <s:row r="14269" hidden="1" ht="1" customHeight="1">
      <s:c r="A14269" s="120" t="inlineStr"/>
      <s:c r="B14269" s="121" t="n"/>
      <s:c r="C14269" s="121" t="n"/>
      <s:c r="D14269" s="121" t="n"/>
      <s:c r="E14269" s="122" t="n"/>
    </s:row>
    <s:row r="14270" hidden="1" ht="1" customHeight="1">
      <s:c r="A14270" s="120" t="inlineStr"/>
      <s:c r="B14270" s="121" t="n"/>
      <s:c r="C14270" s="121" t="n"/>
      <s:c r="D14270" s="121" t="n"/>
      <s:c r="E14270" s="122" t="n"/>
    </s:row>
    <s:row r="14271" hidden="1" ht="1" customHeight="1">
      <s:c r="A14271" s="120" t="inlineStr"/>
      <s:c r="B14271" s="121" t="n"/>
      <s:c r="C14271" s="121" t="n"/>
      <s:c r="D14271" s="121" t="n"/>
      <s:c r="E14271" s="122" t="n"/>
    </s:row>
    <s:row r="14272" hidden="1" ht="1" customHeight="1">
      <s:c r="A14272" s="120" t="inlineStr"/>
      <s:c r="B14272" s="121" t="n"/>
      <s:c r="C14272" s="121" t="n"/>
      <s:c r="D14272" s="121" t="n"/>
      <s:c r="E14272" s="122" t="n"/>
    </s:row>
    <s:row r="14273" hidden="1" ht="1" customHeight="1">
      <s:c r="A14273" s="120" t="inlineStr"/>
      <s:c r="B14273" s="121" t="n"/>
      <s:c r="C14273" s="121" t="n"/>
      <s:c r="D14273" s="121" t="n"/>
      <s:c r="E14273" s="122" t="n"/>
    </s:row>
    <s:row r="14274" hidden="1" ht="1" customHeight="1">
      <s:c r="A14274" s="120" t="inlineStr"/>
      <s:c r="B14274" s="121" t="n"/>
      <s:c r="C14274" s="121" t="n"/>
      <s:c r="D14274" s="121" t="n"/>
      <s:c r="E14274" s="122" t="n"/>
    </s:row>
    <s:row r="14275" hidden="1" ht="1" customHeight="1">
      <s:c r="A14275" s="120" t="inlineStr"/>
      <s:c r="B14275" s="121" t="n"/>
      <s:c r="C14275" s="121" t="n"/>
      <s:c r="D14275" s="121" t="n"/>
      <s:c r="E14275" s="122" t="n"/>
    </s:row>
    <s:row r="14276" hidden="1" ht="1" customHeight="1">
      <s:c r="A14276" s="120" t="inlineStr"/>
      <s:c r="B14276" s="121" t="n"/>
      <s:c r="C14276" s="121" t="n"/>
      <s:c r="D14276" s="121" t="n"/>
      <s:c r="E14276" s="122" t="n"/>
    </s:row>
    <s:row r="14277" hidden="1" ht="1" customHeight="1">
      <s:c r="A14277" s="120" t="inlineStr"/>
      <s:c r="B14277" s="121" t="n"/>
      <s:c r="C14277" s="121" t="n"/>
      <s:c r="D14277" s="121" t="n"/>
      <s:c r="E14277" s="122" t="n"/>
    </s:row>
    <s:row r="14278" hidden="1" ht="1" customHeight="1">
      <s:c r="A14278" s="120" t="inlineStr"/>
      <s:c r="B14278" s="121" t="n"/>
      <s:c r="C14278" s="121" t="n"/>
      <s:c r="D14278" s="121" t="n"/>
      <s:c r="E14278" s="122" t="n"/>
    </s:row>
    <s:row r="14279" hidden="1" ht="1" customHeight="1">
      <s:c r="A14279" s="120" t="inlineStr"/>
      <s:c r="B14279" s="121" t="n"/>
      <s:c r="C14279" s="121" t="n"/>
      <s:c r="D14279" s="121" t="n"/>
      <s:c r="E14279" s="122" t="n"/>
    </s:row>
    <s:row r="14280" hidden="1" ht="1" customHeight="1">
      <s:c r="A14280" s="120" t="inlineStr"/>
      <s:c r="B14280" s="121" t="n"/>
      <s:c r="C14280" s="121" t="n"/>
      <s:c r="D14280" s="121" t="n"/>
      <s:c r="E14280" s="122" t="n"/>
    </s:row>
    <s:row r="14281" hidden="1" ht="1" customHeight="1">
      <s:c r="A14281" s="120" t="inlineStr"/>
      <s:c r="B14281" s="121" t="n"/>
      <s:c r="C14281" s="121" t="n"/>
      <s:c r="D14281" s="121" t="n"/>
      <s:c r="E14281" s="122" t="n"/>
    </s:row>
    <s:row r="14282" hidden="1" ht="1" customHeight="1">
      <s:c r="A14282" s="120" t="inlineStr"/>
      <s:c r="B14282" s="121" t="n"/>
      <s:c r="C14282" s="121" t="n"/>
      <s:c r="D14282" s="121" t="n"/>
      <s:c r="E14282" s="122" t="n"/>
    </s:row>
    <s:row r="14283" hidden="1" ht="1" customHeight="1">
      <s:c r="A14283" s="120" t="inlineStr"/>
      <s:c r="B14283" s="121" t="n"/>
      <s:c r="C14283" s="121" t="n"/>
      <s:c r="D14283" s="121" t="n"/>
      <s:c r="E14283" s="122" t="n"/>
    </s:row>
    <s:row r="14284" hidden="1" ht="1" customHeight="1">
      <s:c r="A14284" s="120" t="inlineStr"/>
      <s:c r="B14284" s="121" t="n"/>
      <s:c r="C14284" s="121" t="n"/>
      <s:c r="D14284" s="121" t="n"/>
      <s:c r="E14284" s="122" t="n"/>
    </s:row>
    <s:row r="14285" hidden="1" ht="1" customHeight="1">
      <s:c r="A14285" s="120" t="inlineStr"/>
      <s:c r="B14285" s="121" t="n"/>
      <s:c r="C14285" s="121" t="n"/>
      <s:c r="D14285" s="121" t="n"/>
      <s:c r="E14285" s="122" t="n"/>
    </s:row>
    <s:row r="14286" hidden="1" ht="1" customHeight="1">
      <s:c r="A14286" s="120" t="inlineStr"/>
      <s:c r="B14286" s="121" t="n"/>
      <s:c r="C14286" s="121" t="n"/>
      <s:c r="D14286" s="121" t="n"/>
      <s:c r="E14286" s="122" t="n"/>
    </s:row>
    <s:row r="14287" hidden="1" ht="1" customHeight="1">
      <s:c r="A14287" s="120" t="inlineStr"/>
      <s:c r="B14287" s="121" t="n"/>
      <s:c r="C14287" s="121" t="n"/>
      <s:c r="D14287" s="121" t="n"/>
      <s:c r="E14287" s="122" t="n"/>
    </s:row>
    <s:row r="14288" hidden="1" ht="1" customHeight="1">
      <s:c r="A14288" s="120" t="inlineStr"/>
      <s:c r="B14288" s="121" t="n"/>
      <s:c r="C14288" s="121" t="n"/>
      <s:c r="D14288" s="121" t="n"/>
      <s:c r="E14288" s="122" t="n"/>
    </s:row>
    <s:row r="14289" hidden="1" ht="1" customHeight="1">
      <s:c r="A14289" s="120" t="inlineStr"/>
      <s:c r="B14289" s="121" t="n"/>
      <s:c r="C14289" s="121" t="n"/>
      <s:c r="D14289" s="121" t="n"/>
      <s:c r="E14289" s="122" t="n"/>
    </s:row>
    <s:row r="14290" hidden="1" ht="1" customHeight="1">
      <s:c r="A14290" s="120" t="inlineStr"/>
      <s:c r="B14290" s="121" t="n"/>
      <s:c r="C14290" s="121" t="n"/>
      <s:c r="D14290" s="121" t="n"/>
      <s:c r="E14290" s="122" t="n"/>
    </s:row>
    <s:row r="14291" hidden="1" ht="1" customHeight="1">
      <s:c r="A14291" s="120" t="inlineStr"/>
      <s:c r="B14291" s="121" t="n"/>
      <s:c r="C14291" s="121" t="n"/>
      <s:c r="D14291" s="121" t="n"/>
      <s:c r="E14291" s="122" t="n"/>
    </s:row>
    <s:row r="14292" hidden="1" ht="1" customHeight="1">
      <s:c r="A14292" s="120" t="inlineStr"/>
      <s:c r="B14292" s="121" t="n"/>
      <s:c r="C14292" s="121" t="n"/>
      <s:c r="D14292" s="121" t="n"/>
      <s:c r="E14292" s="122" t="n"/>
    </s:row>
    <s:row r="14293" hidden="1" ht="1" customHeight="1">
      <s:c r="A14293" s="120" t="inlineStr"/>
      <s:c r="B14293" s="121" t="n"/>
      <s:c r="C14293" s="121" t="n"/>
      <s:c r="D14293" s="121" t="n"/>
      <s:c r="E14293" s="122" t="n"/>
    </s:row>
    <s:row r="14294" hidden="1" ht="1" customHeight="1">
      <s:c r="A14294" s="120" t="inlineStr"/>
      <s:c r="B14294" s="121" t="n"/>
      <s:c r="C14294" s="121" t="n"/>
      <s:c r="D14294" s="121" t="n"/>
      <s:c r="E14294" s="122" t="n"/>
    </s:row>
    <s:row r="14295" hidden="1" ht="1" customHeight="1">
      <s:c r="A14295" s="120" t="inlineStr"/>
      <s:c r="B14295" s="121" t="n"/>
      <s:c r="C14295" s="121" t="n"/>
      <s:c r="D14295" s="121" t="n"/>
      <s:c r="E14295" s="122" t="n"/>
    </s:row>
    <s:row r="14296" hidden="1" ht="1" customHeight="1">
      <s:c r="A14296" s="120" t="inlineStr"/>
      <s:c r="B14296" s="121" t="n"/>
      <s:c r="C14296" s="121" t="n"/>
      <s:c r="D14296" s="121" t="n"/>
      <s:c r="E14296" s="122" t="n"/>
    </s:row>
    <s:row r="14297" hidden="1" ht="1" customHeight="1">
      <s:c r="A14297" s="120" t="inlineStr"/>
      <s:c r="B14297" s="121" t="n"/>
      <s:c r="C14297" s="121" t="n"/>
      <s:c r="D14297" s="121" t="n"/>
      <s:c r="E14297" s="122" t="n"/>
    </s:row>
    <s:row r="14298" hidden="1" ht="1" customHeight="1">
      <s:c r="A14298" s="120" t="inlineStr"/>
      <s:c r="B14298" s="121" t="n"/>
      <s:c r="C14298" s="121" t="n"/>
      <s:c r="D14298" s="121" t="n"/>
      <s:c r="E14298" s="122" t="n"/>
    </s:row>
    <s:row r="14299" hidden="1" ht="1" customHeight="1">
      <s:c r="A14299" s="120" t="inlineStr"/>
      <s:c r="B14299" s="121" t="n"/>
      <s:c r="C14299" s="121" t="n"/>
      <s:c r="D14299" s="121" t="n"/>
      <s:c r="E14299" s="122" t="n"/>
    </s:row>
    <s:row r="14300" hidden="1" ht="1" customHeight="1">
      <s:c r="A14300" s="120" t="inlineStr"/>
      <s:c r="B14300" s="121" t="n"/>
      <s:c r="C14300" s="121" t="n"/>
      <s:c r="D14300" s="121" t="n"/>
      <s:c r="E14300" s="122" t="n"/>
    </s:row>
    <s:row r="14301" hidden="1" ht="1" customHeight="1">
      <s:c r="A14301" s="120" t="inlineStr"/>
      <s:c r="B14301" s="121" t="n"/>
      <s:c r="C14301" s="121" t="n"/>
      <s:c r="D14301" s="121" t="n"/>
      <s:c r="E14301" s="122" t="n"/>
    </s:row>
    <s:row r="14302" hidden="1" ht="1" customHeight="1">
      <s:c r="A14302" s="120" t="inlineStr"/>
      <s:c r="B14302" s="121" t="n"/>
      <s:c r="C14302" s="121" t="n"/>
      <s:c r="D14302" s="121" t="n"/>
      <s:c r="E14302" s="122" t="n"/>
    </s:row>
    <s:row r="14303" hidden="1" ht="1" customHeight="1">
      <s:c r="A14303" s="120" t="inlineStr"/>
      <s:c r="B14303" s="121" t="n"/>
      <s:c r="C14303" s="121" t="n"/>
      <s:c r="D14303" s="121" t="n"/>
      <s:c r="E14303" s="122" t="n"/>
    </s:row>
    <s:row r="14304" hidden="1" ht="1" customHeight="1">
      <s:c r="A14304" s="120" t="inlineStr"/>
      <s:c r="B14304" s="121" t="n"/>
      <s:c r="C14304" s="121" t="n"/>
      <s:c r="D14304" s="121" t="n"/>
      <s:c r="E14304" s="122" t="n"/>
    </s:row>
    <s:row r="14305" hidden="1" ht="1" customHeight="1">
      <s:c r="A14305" s="120" t="inlineStr"/>
      <s:c r="B14305" s="121" t="n"/>
      <s:c r="C14305" s="121" t="n"/>
      <s:c r="D14305" s="121" t="n"/>
      <s:c r="E14305" s="122" t="n"/>
    </s:row>
    <s:row r="14306" hidden="1" ht="1" customHeight="1">
      <s:c r="A14306" s="120" t="inlineStr"/>
      <s:c r="B14306" s="121" t="n"/>
      <s:c r="C14306" s="121" t="n"/>
      <s:c r="D14306" s="121" t="n"/>
      <s:c r="E14306" s="122" t="n"/>
    </s:row>
    <s:row r="14307" hidden="1" ht="1" customHeight="1">
      <s:c r="A14307" s="120" t="inlineStr"/>
      <s:c r="B14307" s="121" t="n"/>
      <s:c r="C14307" s="121" t="n"/>
      <s:c r="D14307" s="121" t="n"/>
      <s:c r="E14307" s="122" t="n"/>
    </s:row>
    <s:row r="14308" hidden="1" ht="1" customHeight="1">
      <s:c r="A14308" s="120" t="inlineStr"/>
      <s:c r="B14308" s="121" t="n"/>
      <s:c r="C14308" s="121" t="n"/>
      <s:c r="D14308" s="121" t="n"/>
      <s:c r="E14308" s="122" t="n"/>
    </s:row>
    <s:row r="14309" hidden="1" ht="1" customHeight="1">
      <s:c r="A14309" s="120" t="inlineStr"/>
      <s:c r="B14309" s="121" t="n"/>
      <s:c r="C14309" s="121" t="n"/>
      <s:c r="D14309" s="121" t="n"/>
      <s:c r="E14309" s="122" t="n"/>
    </s:row>
    <s:row r="14310" hidden="1" ht="1" customHeight="1">
      <s:c r="A14310" s="120" t="inlineStr"/>
      <s:c r="B14310" s="121" t="n"/>
      <s:c r="C14310" s="121" t="n"/>
      <s:c r="D14310" s="121" t="n"/>
      <s:c r="E14310" s="122" t="n"/>
    </s:row>
    <s:row r="14311" hidden="1" ht="1" customHeight="1">
      <s:c r="A14311" s="120" t="inlineStr"/>
      <s:c r="B14311" s="121" t="n"/>
      <s:c r="C14311" s="121" t="n"/>
      <s:c r="D14311" s="121" t="n"/>
      <s:c r="E14311" s="122" t="n"/>
    </s:row>
    <s:row r="14312" hidden="1" ht="1" customHeight="1">
      <s:c r="A14312" s="120" t="inlineStr"/>
      <s:c r="B14312" s="121" t="n"/>
      <s:c r="C14312" s="121" t="n"/>
      <s:c r="D14312" s="121" t="n"/>
      <s:c r="E14312" s="122" t="n"/>
    </s:row>
    <s:row r="14313" hidden="1" ht="1" customHeight="1">
      <s:c r="A14313" s="120" t="inlineStr"/>
      <s:c r="B14313" s="121" t="n"/>
      <s:c r="C14313" s="121" t="n"/>
      <s:c r="D14313" s="121" t="n"/>
      <s:c r="E14313" s="122" t="n"/>
    </s:row>
    <s:row r="14314" hidden="1" ht="1" customHeight="1">
      <s:c r="A14314" s="120" t="inlineStr"/>
      <s:c r="B14314" s="121" t="n"/>
      <s:c r="C14314" s="121" t="n"/>
      <s:c r="D14314" s="121" t="n"/>
      <s:c r="E14314" s="122" t="n"/>
    </s:row>
    <s:row r="14315" hidden="1" ht="1" customHeight="1">
      <s:c r="A14315" s="120" t="inlineStr"/>
      <s:c r="B14315" s="121" t="n"/>
      <s:c r="C14315" s="121" t="n"/>
      <s:c r="D14315" s="121" t="n"/>
      <s:c r="E14315" s="122" t="n"/>
    </s:row>
    <s:row r="14316" hidden="1" ht="1" customHeight="1">
      <s:c r="A14316" s="120" t="inlineStr"/>
      <s:c r="B14316" s="121" t="n"/>
      <s:c r="C14316" s="121" t="n"/>
      <s:c r="D14316" s="121" t="n"/>
      <s:c r="E14316" s="122" t="n"/>
    </s:row>
    <s:row r="14317" hidden="1" ht="1" customHeight="1">
      <s:c r="A14317" s="120" t="inlineStr"/>
      <s:c r="B14317" s="121" t="n"/>
      <s:c r="C14317" s="121" t="n"/>
      <s:c r="D14317" s="121" t="n"/>
      <s:c r="E14317" s="122" t="n"/>
    </s:row>
    <s:row r="14318" hidden="1" ht="1" customHeight="1">
      <s:c r="A14318" s="120" t="inlineStr"/>
      <s:c r="B14318" s="121" t="n"/>
      <s:c r="C14318" s="121" t="n"/>
      <s:c r="D14318" s="121" t="n"/>
      <s:c r="E14318" s="122" t="n"/>
    </s:row>
    <s:row r="14319" hidden="1" ht="1" customHeight="1">
      <s:c r="A14319" s="120" t="inlineStr"/>
      <s:c r="B14319" s="121" t="n"/>
      <s:c r="C14319" s="121" t="n"/>
      <s:c r="D14319" s="121" t="n"/>
      <s:c r="E14319" s="122" t="n"/>
    </s:row>
    <s:row r="14320" hidden="1" ht="1" customHeight="1">
      <s:c r="A14320" s="120" t="inlineStr"/>
      <s:c r="B14320" s="121" t="n"/>
      <s:c r="C14320" s="121" t="n"/>
      <s:c r="D14320" s="121" t="n"/>
      <s:c r="E14320" s="122" t="n"/>
    </s:row>
    <s:row r="14321" hidden="1" ht="1" customHeight="1">
      <s:c r="A14321" s="120" t="inlineStr"/>
      <s:c r="B14321" s="121" t="n"/>
      <s:c r="C14321" s="121" t="n"/>
      <s:c r="D14321" s="121" t="n"/>
      <s:c r="E14321" s="122" t="n"/>
    </s:row>
    <s:row r="14322" hidden="1" ht="1" customHeight="1">
      <s:c r="A14322" s="120" t="inlineStr"/>
      <s:c r="B14322" s="121" t="n"/>
      <s:c r="C14322" s="121" t="n"/>
      <s:c r="D14322" s="121" t="n"/>
      <s:c r="E14322" s="122" t="n"/>
    </s:row>
    <s:row r="14323" hidden="1" ht="1" customHeight="1">
      <s:c r="A14323" s="120" t="inlineStr"/>
      <s:c r="B14323" s="121" t="n"/>
      <s:c r="C14323" s="121" t="n"/>
      <s:c r="D14323" s="121" t="n"/>
      <s:c r="E14323" s="122" t="n"/>
    </s:row>
    <s:row r="14324" hidden="1" ht="1" customHeight="1">
      <s:c r="A14324" s="120" t="inlineStr"/>
      <s:c r="B14324" s="121" t="n"/>
      <s:c r="C14324" s="121" t="n"/>
      <s:c r="D14324" s="121" t="n"/>
      <s:c r="E14324" s="122" t="n"/>
    </s:row>
    <s:row r="14325" hidden="1" ht="1" customHeight="1">
      <s:c r="A14325" s="120" t="inlineStr"/>
      <s:c r="B14325" s="121" t="n"/>
      <s:c r="C14325" s="121" t="n"/>
      <s:c r="D14325" s="121" t="n"/>
      <s:c r="E14325" s="122" t="n"/>
    </s:row>
    <s:row r="14326" hidden="1" ht="1" customHeight="1">
      <s:c r="A14326" s="120" t="inlineStr"/>
      <s:c r="B14326" s="121" t="n"/>
      <s:c r="C14326" s="121" t="n"/>
      <s:c r="D14326" s="121" t="n"/>
      <s:c r="E14326" s="122" t="n"/>
    </s:row>
    <s:row r="14327" hidden="1" ht="1" customHeight="1">
      <s:c r="A14327" s="120" t="inlineStr"/>
      <s:c r="B14327" s="121" t="n"/>
      <s:c r="C14327" s="121" t="n"/>
      <s:c r="D14327" s="121" t="n"/>
      <s:c r="E14327" s="122" t="n"/>
    </s:row>
    <s:row r="14328" hidden="1" ht="1" customHeight="1">
      <s:c r="A14328" s="120" t="inlineStr"/>
      <s:c r="B14328" s="121" t="n"/>
      <s:c r="C14328" s="121" t="n"/>
      <s:c r="D14328" s="121" t="n"/>
      <s:c r="E14328" s="122" t="n"/>
    </s:row>
    <s:row r="14329" hidden="1" ht="1" customHeight="1">
      <s:c r="A14329" s="120" t="inlineStr"/>
      <s:c r="B14329" s="121" t="n"/>
      <s:c r="C14329" s="121" t="n"/>
      <s:c r="D14329" s="121" t="n"/>
      <s:c r="E14329" s="122" t="n"/>
    </s:row>
    <s:row r="14330" hidden="1" ht="1" customHeight="1">
      <s:c r="A14330" s="120" t="inlineStr"/>
      <s:c r="B14330" s="121" t="n"/>
      <s:c r="C14330" s="121" t="n"/>
      <s:c r="D14330" s="121" t="n"/>
      <s:c r="E14330" s="122" t="n"/>
    </s:row>
    <s:row r="14331" hidden="1" ht="1" customHeight="1">
      <s:c r="A14331" s="120" t="inlineStr"/>
      <s:c r="B14331" s="121" t="n"/>
      <s:c r="C14331" s="121" t="n"/>
      <s:c r="D14331" s="121" t="n"/>
      <s:c r="E14331" s="122" t="n"/>
    </s:row>
    <s:row r="14332" hidden="1" ht="1" customHeight="1">
      <s:c r="A14332" s="120" t="inlineStr"/>
      <s:c r="B14332" s="121" t="n"/>
      <s:c r="C14332" s="121" t="n"/>
      <s:c r="D14332" s="121" t="n"/>
      <s:c r="E14332" s="122" t="n"/>
    </s:row>
    <s:row r="14333" hidden="1" ht="1" customHeight="1">
      <s:c r="A14333" s="120" t="inlineStr"/>
      <s:c r="B14333" s="121" t="n"/>
      <s:c r="C14333" s="121" t="n"/>
      <s:c r="D14333" s="121" t="n"/>
      <s:c r="E14333" s="122" t="n"/>
    </s:row>
    <s:row r="14334" hidden="1" ht="1" customHeight="1">
      <s:c r="A14334" s="120" t="inlineStr"/>
      <s:c r="B14334" s="121" t="n"/>
      <s:c r="C14334" s="121" t="n"/>
      <s:c r="D14334" s="121" t="n"/>
      <s:c r="E14334" s="122" t="n"/>
    </s:row>
    <s:row r="14335" hidden="1" ht="1" customHeight="1">
      <s:c r="A14335" s="120" t="inlineStr"/>
      <s:c r="B14335" s="121" t="n"/>
      <s:c r="C14335" s="121" t="n"/>
      <s:c r="D14335" s="121" t="n"/>
      <s:c r="E14335" s="122" t="n"/>
    </s:row>
    <s:row r="14336" hidden="1" ht="1" customHeight="1">
      <s:c r="A14336" s="120" t="inlineStr"/>
      <s:c r="B14336" s="121" t="n"/>
      <s:c r="C14336" s="121" t="n"/>
      <s:c r="D14336" s="121" t="n"/>
      <s:c r="E14336" s="122" t="n"/>
    </s:row>
    <s:row r="14337" hidden="1" ht="1" customHeight="1">
      <s:c r="A14337" s="120" t="inlineStr"/>
      <s:c r="B14337" s="121" t="n"/>
      <s:c r="C14337" s="121" t="n"/>
      <s:c r="D14337" s="121" t="n"/>
      <s:c r="E14337" s="122" t="n"/>
    </s:row>
    <s:row r="14338" hidden="1" ht="1" customHeight="1">
      <s:c r="A14338" s="120" t="inlineStr"/>
      <s:c r="B14338" s="121" t="n"/>
      <s:c r="C14338" s="121" t="n"/>
      <s:c r="D14338" s="121" t="n"/>
      <s:c r="E14338" s="122" t="n"/>
    </s:row>
    <s:row r="14339" hidden="1" ht="1" customHeight="1">
      <s:c r="A14339" s="120" t="inlineStr"/>
      <s:c r="B14339" s="121" t="n"/>
      <s:c r="C14339" s="121" t="n"/>
      <s:c r="D14339" s="121" t="n"/>
      <s:c r="E14339" s="122" t="n"/>
    </s:row>
    <s:row r="14340" hidden="1" ht="1" customHeight="1">
      <s:c r="A14340" s="120" t="inlineStr"/>
      <s:c r="B14340" s="121" t="n"/>
      <s:c r="C14340" s="121" t="n"/>
      <s:c r="D14340" s="121" t="n"/>
      <s:c r="E14340" s="122" t="n"/>
    </s:row>
    <s:row r="14341" hidden="1" ht="1" customHeight="1">
      <s:c r="A14341" s="120" t="inlineStr"/>
      <s:c r="B14341" s="121" t="n"/>
      <s:c r="C14341" s="121" t="n"/>
      <s:c r="D14341" s="121" t="n"/>
      <s:c r="E14341" s="122" t="n"/>
    </s:row>
    <s:row r="14342" hidden="1" ht="1" customHeight="1">
      <s:c r="A14342" s="120" t="inlineStr"/>
      <s:c r="B14342" s="121" t="n"/>
      <s:c r="C14342" s="121" t="n"/>
      <s:c r="D14342" s="121" t="n"/>
      <s:c r="E14342" s="122" t="n"/>
    </s:row>
    <s:row r="14343" hidden="1" ht="1" customHeight="1">
      <s:c r="A14343" s="120" t="inlineStr"/>
      <s:c r="B14343" s="121" t="n"/>
      <s:c r="C14343" s="121" t="n"/>
      <s:c r="D14343" s="121" t="n"/>
      <s:c r="E14343" s="122" t="n"/>
    </s:row>
    <s:row r="14344" hidden="1" ht="1" customHeight="1">
      <s:c r="A14344" s="120" t="inlineStr"/>
      <s:c r="B14344" s="121" t="n"/>
      <s:c r="C14344" s="121" t="n"/>
      <s:c r="D14344" s="121" t="n"/>
      <s:c r="E14344" s="122" t="n"/>
    </s:row>
    <s:row r="14345" hidden="1" ht="1" customHeight="1">
      <s:c r="A14345" s="120" t="inlineStr"/>
      <s:c r="B14345" s="121" t="n"/>
      <s:c r="C14345" s="121" t="n"/>
      <s:c r="D14345" s="121" t="n"/>
      <s:c r="E14345" s="122" t="n"/>
    </s:row>
    <s:row r="14346" hidden="1" ht="1" customHeight="1">
      <s:c r="A14346" s="120" t="inlineStr"/>
      <s:c r="B14346" s="121" t="n"/>
      <s:c r="C14346" s="121" t="n"/>
      <s:c r="D14346" s="121" t="n"/>
      <s:c r="E14346" s="122" t="n"/>
    </s:row>
    <s:row r="14347" hidden="1" ht="1" customHeight="1">
      <s:c r="A14347" s="120" t="inlineStr"/>
      <s:c r="B14347" s="121" t="n"/>
      <s:c r="C14347" s="121" t="n"/>
      <s:c r="D14347" s="121" t="n"/>
      <s:c r="E14347" s="122" t="n"/>
    </s:row>
    <s:row r="14348" hidden="1" ht="1" customHeight="1">
      <s:c r="A14348" s="120" t="inlineStr"/>
      <s:c r="B14348" s="121" t="n"/>
      <s:c r="C14348" s="121" t="n"/>
      <s:c r="D14348" s="121" t="n"/>
      <s:c r="E14348" s="122" t="n"/>
    </s:row>
    <s:row r="14349" hidden="1" ht="1" customHeight="1">
      <s:c r="A14349" s="120" t="inlineStr"/>
      <s:c r="B14349" s="121" t="n"/>
      <s:c r="C14349" s="121" t="n"/>
      <s:c r="D14349" s="121" t="n"/>
      <s:c r="E14349" s="122" t="n"/>
    </s:row>
    <s:row r="14350" hidden="1" ht="1" customHeight="1">
      <s:c r="A14350" s="120" t="inlineStr"/>
      <s:c r="B14350" s="121" t="n"/>
      <s:c r="C14350" s="121" t="n"/>
      <s:c r="D14350" s="121" t="n"/>
      <s:c r="E14350" s="122" t="n"/>
    </s:row>
    <s:row r="14351" hidden="1" ht="1" customHeight="1">
      <s:c r="A14351" s="120" t="inlineStr"/>
      <s:c r="B14351" s="121" t="n"/>
      <s:c r="C14351" s="121" t="n"/>
      <s:c r="D14351" s="121" t="n"/>
      <s:c r="E14351" s="122" t="n"/>
    </s:row>
    <s:row r="14352" hidden="1" ht="1" customHeight="1">
      <s:c r="A14352" s="120" t="inlineStr"/>
      <s:c r="B14352" s="121" t="n"/>
      <s:c r="C14352" s="121" t="n"/>
      <s:c r="D14352" s="121" t="n"/>
      <s:c r="E14352" s="122" t="n"/>
    </s:row>
    <s:row r="14353" hidden="1" ht="1" customHeight="1">
      <s:c r="A14353" s="120" t="inlineStr"/>
      <s:c r="B14353" s="121" t="n"/>
      <s:c r="C14353" s="121" t="n"/>
      <s:c r="D14353" s="121" t="n"/>
      <s:c r="E14353" s="122" t="n"/>
    </s:row>
    <s:row r="14354" hidden="1" ht="1" customHeight="1">
      <s:c r="A14354" s="120" t="inlineStr"/>
      <s:c r="B14354" s="121" t="n"/>
      <s:c r="C14354" s="121" t="n"/>
      <s:c r="D14354" s="121" t="n"/>
      <s:c r="E14354" s="122" t="n"/>
    </s:row>
    <s:row r="14355" hidden="1" ht="1" customHeight="1">
      <s:c r="A14355" s="120" t="inlineStr"/>
      <s:c r="B14355" s="121" t="n"/>
      <s:c r="C14355" s="121" t="n"/>
      <s:c r="D14355" s="121" t="n"/>
      <s:c r="E14355" s="122" t="n"/>
    </s:row>
    <s:row r="14356" hidden="1" ht="1" customHeight="1">
      <s:c r="A14356" s="120" t="inlineStr"/>
      <s:c r="B14356" s="121" t="n"/>
      <s:c r="C14356" s="121" t="n"/>
      <s:c r="D14356" s="121" t="n"/>
      <s:c r="E14356" s="122" t="n"/>
    </s:row>
    <s:row r="14357" hidden="1" ht="1" customHeight="1">
      <s:c r="A14357" s="120" t="inlineStr"/>
      <s:c r="B14357" s="121" t="n"/>
      <s:c r="C14357" s="121" t="n"/>
      <s:c r="D14357" s="121" t="n"/>
      <s:c r="E14357" s="122" t="n"/>
    </s:row>
    <s:row r="14358" hidden="1" ht="1" customHeight="1">
      <s:c r="A14358" s="120" t="inlineStr"/>
      <s:c r="B14358" s="121" t="n"/>
      <s:c r="C14358" s="121" t="n"/>
      <s:c r="D14358" s="121" t="n"/>
      <s:c r="E14358" s="122" t="n"/>
    </s:row>
    <s:row r="14359" hidden="1" ht="1" customHeight="1">
      <s:c r="A14359" s="120" t="inlineStr"/>
      <s:c r="B14359" s="121" t="n"/>
      <s:c r="C14359" s="121" t="n"/>
      <s:c r="D14359" s="121" t="n"/>
      <s:c r="E14359" s="122" t="n"/>
    </s:row>
    <s:row r="14360" hidden="1" ht="1" customHeight="1">
      <s:c r="A14360" s="120" t="inlineStr"/>
      <s:c r="B14360" s="121" t="n"/>
      <s:c r="C14360" s="121" t="n"/>
      <s:c r="D14360" s="121" t="n"/>
      <s:c r="E14360" s="122" t="n"/>
    </s:row>
    <s:row r="14361" hidden="1" ht="1" customHeight="1">
      <s:c r="A14361" s="120" t="inlineStr"/>
      <s:c r="B14361" s="121" t="n"/>
      <s:c r="C14361" s="121" t="n"/>
      <s:c r="D14361" s="121" t="n"/>
      <s:c r="E14361" s="122" t="n"/>
    </s:row>
    <s:row r="14362" hidden="1" ht="1" customHeight="1">
      <s:c r="A14362" s="120" t="inlineStr"/>
      <s:c r="B14362" s="121" t="n"/>
      <s:c r="C14362" s="121" t="n"/>
      <s:c r="D14362" s="121" t="n"/>
      <s:c r="E14362" s="122" t="n"/>
    </s:row>
    <s:row r="14363" hidden="1" ht="1" customHeight="1">
      <s:c r="A14363" s="120" t="inlineStr"/>
      <s:c r="B14363" s="121" t="n"/>
      <s:c r="C14363" s="121" t="n"/>
      <s:c r="D14363" s="121" t="n"/>
      <s:c r="E14363" s="122" t="n"/>
    </s:row>
    <s:row r="14364" hidden="1" ht="1" customHeight="1">
      <s:c r="A14364" s="120" t="inlineStr"/>
      <s:c r="B14364" s="121" t="n"/>
      <s:c r="C14364" s="121" t="n"/>
      <s:c r="D14364" s="121" t="n"/>
      <s:c r="E14364" s="122" t="n"/>
    </s:row>
    <s:row r="14365" hidden="1" ht="1" customHeight="1">
      <s:c r="A14365" s="120" t="inlineStr"/>
      <s:c r="B14365" s="121" t="n"/>
      <s:c r="C14365" s="121" t="n"/>
      <s:c r="D14365" s="121" t="n"/>
      <s:c r="E14365" s="122" t="n"/>
    </s:row>
    <s:row r="14366" hidden="1" ht="1" customHeight="1">
      <s:c r="A14366" s="120" t="inlineStr"/>
      <s:c r="B14366" s="121" t="n"/>
      <s:c r="C14366" s="121" t="n"/>
      <s:c r="D14366" s="121" t="n"/>
      <s:c r="E14366" s="122" t="n"/>
    </s:row>
    <s:row r="14367" hidden="1" ht="1" customHeight="1">
      <s:c r="A14367" s="120" t="inlineStr"/>
      <s:c r="B14367" s="121" t="n"/>
      <s:c r="C14367" s="121" t="n"/>
      <s:c r="D14367" s="121" t="n"/>
      <s:c r="E14367" s="122" t="n"/>
    </s:row>
    <s:row r="14368" hidden="1" ht="1" customHeight="1">
      <s:c r="A14368" s="120" t="inlineStr"/>
      <s:c r="B14368" s="121" t="n"/>
      <s:c r="C14368" s="121" t="n"/>
      <s:c r="D14368" s="121" t="n"/>
      <s:c r="E14368" s="122" t="n"/>
    </s:row>
    <s:row r="14369" hidden="1" ht="1" customHeight="1">
      <s:c r="A14369" s="120" t="inlineStr"/>
      <s:c r="B14369" s="121" t="n"/>
      <s:c r="C14369" s="121" t="n"/>
      <s:c r="D14369" s="121" t="n"/>
      <s:c r="E14369" s="122" t="n"/>
    </s:row>
    <s:row r="14370" hidden="1" ht="1" customHeight="1">
      <s:c r="A14370" s="120" t="inlineStr"/>
      <s:c r="B14370" s="121" t="n"/>
      <s:c r="C14370" s="121" t="n"/>
      <s:c r="D14370" s="121" t="n"/>
      <s:c r="E14370" s="122" t="n"/>
    </s:row>
    <s:row r="14371" hidden="1" ht="1" customHeight="1">
      <s:c r="A14371" s="120" t="inlineStr"/>
      <s:c r="B14371" s="121" t="n"/>
      <s:c r="C14371" s="121" t="n"/>
      <s:c r="D14371" s="121" t="n"/>
      <s:c r="E14371" s="122" t="n"/>
    </s:row>
    <s:row r="14372" hidden="1" ht="1" customHeight="1">
      <s:c r="A14372" s="120" t="inlineStr"/>
      <s:c r="B14372" s="121" t="n"/>
      <s:c r="C14372" s="121" t="n"/>
      <s:c r="D14372" s="121" t="n"/>
      <s:c r="E14372" s="122" t="n"/>
    </s:row>
    <s:row r="14373" hidden="1" ht="1" customHeight="1">
      <s:c r="A14373" s="120" t="inlineStr"/>
      <s:c r="B14373" s="121" t="n"/>
      <s:c r="C14373" s="121" t="n"/>
      <s:c r="D14373" s="121" t="n"/>
      <s:c r="E14373" s="122" t="n"/>
    </s:row>
    <s:row r="14374" hidden="1" ht="1" customHeight="1">
      <s:c r="A14374" s="120" t="inlineStr"/>
      <s:c r="B14374" s="121" t="n"/>
      <s:c r="C14374" s="121" t="n"/>
      <s:c r="D14374" s="121" t="n"/>
      <s:c r="E14374" s="122" t="n"/>
    </s:row>
    <s:row r="14375" hidden="1" ht="1" customHeight="1">
      <s:c r="A14375" s="120" t="inlineStr"/>
      <s:c r="B14375" s="121" t="n"/>
      <s:c r="C14375" s="121" t="n"/>
      <s:c r="D14375" s="121" t="n"/>
      <s:c r="E14375" s="122" t="n"/>
    </s:row>
    <s:row r="14376" hidden="1" ht="1" customHeight="1">
      <s:c r="A14376" s="120" t="inlineStr"/>
      <s:c r="B14376" s="121" t="n"/>
      <s:c r="C14376" s="121" t="n"/>
      <s:c r="D14376" s="121" t="n"/>
      <s:c r="E14376" s="122" t="n"/>
    </s:row>
    <s:row r="14377" hidden="1" ht="1" customHeight="1">
      <s:c r="A14377" s="120" t="inlineStr"/>
      <s:c r="B14377" s="121" t="n"/>
      <s:c r="C14377" s="121" t="n"/>
      <s:c r="D14377" s="121" t="n"/>
      <s:c r="E14377" s="122" t="n"/>
    </s:row>
    <s:row r="14378" hidden="1" ht="1" customHeight="1">
      <s:c r="A14378" s="120" t="inlineStr"/>
      <s:c r="B14378" s="121" t="n"/>
      <s:c r="C14378" s="121" t="n"/>
      <s:c r="D14378" s="121" t="n"/>
      <s:c r="E14378" s="122" t="n"/>
    </s:row>
    <s:row r="14379" hidden="1" ht="1" customHeight="1">
      <s:c r="A14379" s="120" t="inlineStr"/>
      <s:c r="B14379" s="121" t="n"/>
      <s:c r="C14379" s="121" t="n"/>
      <s:c r="D14379" s="121" t="n"/>
      <s:c r="E14379" s="122" t="n"/>
    </s:row>
    <s:row r="14380" hidden="1" ht="1" customHeight="1">
      <s:c r="A14380" s="120" t="inlineStr"/>
      <s:c r="B14380" s="121" t="n"/>
      <s:c r="C14380" s="121" t="n"/>
      <s:c r="D14380" s="121" t="n"/>
      <s:c r="E14380" s="122" t="n"/>
    </s:row>
    <s:row r="14381" hidden="1" ht="1" customHeight="1">
      <s:c r="A14381" s="120" t="inlineStr"/>
      <s:c r="B14381" s="121" t="n"/>
      <s:c r="C14381" s="121" t="n"/>
      <s:c r="D14381" s="121" t="n"/>
      <s:c r="E14381" s="122" t="n"/>
    </s:row>
    <s:row r="14382" hidden="1" ht="1" customHeight="1">
      <s:c r="A14382" s="120" t="inlineStr"/>
      <s:c r="B14382" s="121" t="n"/>
      <s:c r="C14382" s="121" t="n"/>
      <s:c r="D14382" s="121" t="n"/>
      <s:c r="E14382" s="122" t="n"/>
    </s:row>
    <s:row r="14383" hidden="1" ht="1" customHeight="1">
      <s:c r="A14383" s="120" t="inlineStr"/>
      <s:c r="B14383" s="121" t="n"/>
      <s:c r="C14383" s="121" t="n"/>
      <s:c r="D14383" s="121" t="n"/>
      <s:c r="E14383" s="122" t="n"/>
    </s:row>
    <s:row r="14384" hidden="1" ht="1" customHeight="1">
      <s:c r="A14384" s="120" t="inlineStr"/>
      <s:c r="B14384" s="121" t="n"/>
      <s:c r="C14384" s="121" t="n"/>
      <s:c r="D14384" s="121" t="n"/>
      <s:c r="E14384" s="122" t="n"/>
    </s:row>
    <s:row r="14385" hidden="1" ht="1" customHeight="1">
      <s:c r="A14385" s="120" t="inlineStr"/>
      <s:c r="B14385" s="121" t="n"/>
      <s:c r="C14385" s="121" t="n"/>
      <s:c r="D14385" s="121" t="n"/>
      <s:c r="E14385" s="122" t="n"/>
    </s:row>
    <s:row r="14386" hidden="1" ht="1" customHeight="1">
      <s:c r="A14386" s="120" t="inlineStr"/>
      <s:c r="B14386" s="121" t="n"/>
      <s:c r="C14386" s="121" t="n"/>
      <s:c r="D14386" s="121" t="n"/>
      <s:c r="E14386" s="122" t="n"/>
    </s:row>
    <s:row r="14387" hidden="1" ht="1" customHeight="1">
      <s:c r="A14387" s="120" t="inlineStr"/>
      <s:c r="B14387" s="121" t="n"/>
      <s:c r="C14387" s="121" t="n"/>
      <s:c r="D14387" s="121" t="n"/>
      <s:c r="E14387" s="122" t="n"/>
    </s:row>
    <s:row r="14388" hidden="1" ht="1" customHeight="1">
      <s:c r="A14388" s="120" t="inlineStr"/>
      <s:c r="B14388" s="121" t="n"/>
      <s:c r="C14388" s="121" t="n"/>
      <s:c r="D14388" s="121" t="n"/>
      <s:c r="E14388" s="122" t="n"/>
    </s:row>
    <s:row r="14389" hidden="1" ht="1" customHeight="1">
      <s:c r="A14389" s="120" t="inlineStr"/>
      <s:c r="B14389" s="121" t="n"/>
      <s:c r="C14389" s="121" t="n"/>
      <s:c r="D14389" s="121" t="n"/>
      <s:c r="E14389" s="122" t="n"/>
    </s:row>
    <s:row r="14390" hidden="1" ht="1" customHeight="1">
      <s:c r="A14390" s="120" t="inlineStr"/>
      <s:c r="B14390" s="121" t="n"/>
      <s:c r="C14390" s="121" t="n"/>
      <s:c r="D14390" s="121" t="n"/>
      <s:c r="E14390" s="122" t="n"/>
    </s:row>
    <s:row r="14391" hidden="1" ht="1" customHeight="1">
      <s:c r="A14391" s="120" t="inlineStr"/>
      <s:c r="B14391" s="121" t="n"/>
      <s:c r="C14391" s="121" t="n"/>
      <s:c r="D14391" s="121" t="n"/>
      <s:c r="E14391" s="122" t="n"/>
    </s:row>
    <s:row r="14392" hidden="1" ht="1" customHeight="1">
      <s:c r="A14392" s="120" t="inlineStr"/>
      <s:c r="B14392" s="121" t="n"/>
      <s:c r="C14392" s="121" t="n"/>
      <s:c r="D14392" s="121" t="n"/>
      <s:c r="E14392" s="122" t="n"/>
    </s:row>
    <s:row r="14393" hidden="1" ht="1" customHeight="1">
      <s:c r="A14393" s="120" t="inlineStr"/>
      <s:c r="B14393" s="121" t="n"/>
      <s:c r="C14393" s="121" t="n"/>
      <s:c r="D14393" s="121" t="n"/>
      <s:c r="E14393" s="122" t="n"/>
    </s:row>
    <s:row r="14394" hidden="1" ht="1" customHeight="1">
      <s:c r="A14394" s="120" t="inlineStr"/>
      <s:c r="B14394" s="121" t="n"/>
      <s:c r="C14394" s="121" t="n"/>
      <s:c r="D14394" s="121" t="n"/>
      <s:c r="E14394" s="122" t="n"/>
    </s:row>
    <s:row r="14395" hidden="1" ht="1" customHeight="1">
      <s:c r="A14395" s="120" t="inlineStr"/>
      <s:c r="B14395" s="121" t="n"/>
      <s:c r="C14395" s="121" t="n"/>
      <s:c r="D14395" s="121" t="n"/>
      <s:c r="E14395" s="122" t="n"/>
    </s:row>
    <s:row r="14396" hidden="1" ht="1" customHeight="1">
      <s:c r="A14396" s="120" t="inlineStr"/>
      <s:c r="B14396" s="121" t="n"/>
      <s:c r="C14396" s="121" t="n"/>
      <s:c r="D14396" s="121" t="n"/>
      <s:c r="E14396" s="122" t="n"/>
    </s:row>
    <s:row r="14397" hidden="1" ht="1" customHeight="1">
      <s:c r="A14397" s="120" t="inlineStr"/>
      <s:c r="B14397" s="121" t="n"/>
      <s:c r="C14397" s="121" t="n"/>
      <s:c r="D14397" s="121" t="n"/>
      <s:c r="E14397" s="122" t="n"/>
    </s:row>
    <s:row r="14398" hidden="1" ht="1" customHeight="1">
      <s:c r="A14398" s="120" t="inlineStr"/>
      <s:c r="B14398" s="121" t="n"/>
      <s:c r="C14398" s="121" t="n"/>
      <s:c r="D14398" s="121" t="n"/>
      <s:c r="E14398" s="122" t="n"/>
    </s:row>
    <s:row r="14399" hidden="1" ht="1" customHeight="1">
      <s:c r="A14399" s="83" t="inlineStr">
        <s:is>
          <s:t>PASS</s:t>
        </s:is>
      </s:c>
      <s:c r="B14399" s="83">
        <s:f>SUM(IF(EXACT('Kiểm thử'!E14249,"Đạt"),1,0),IF(EXACT('Kiểm thử'!E14251,"Đạt"),1,0),IF(EXACT('Kiểm thử'!E14253,"Đạt"),1,0))</s:f>
        <s:v/>
      </s:c>
      <s:c r="C14399" s="19" t="n"/>
      <s:c r="D14399" s="19" t="n"/>
      <s:c r="E14399" s="19" t="n"/>
    </s:row>
    <s:row r="14400" hidden="1" ht="1" customHeight="1">
      <s:c r="A14400" s="83" t="inlineStr">
        <s:is>
          <s:t>FAIL</s:t>
        </s:is>
      </s:c>
      <s:c r="B14400" s="83">
        <s:f>SUM(IF(EXACT('Kiểm thử'!E14249,"Không đạt"),1,0),IF(EXACT('Kiểm thử'!E14251,"Không đạt"),1,0),IF(EXACT('Kiểm thử'!E14253,"Không đạt"),1,0))</s:f>
        <s:v/>
      </s:c>
      <s:c r="C14400" s="19" t="n"/>
      <s:c r="D14400" s="19" t="n"/>
      <s:c r="E14400" s="19" t="n"/>
    </s:row>
    <s:row r="14401" hidden="1" ht="1" customHeight="1">
      <s:c r="A14401" s="83" t="inlineStr">
        <s:is>
          <s:t>BLOCKED</s:t>
        </s:is>
      </s:c>
      <s:c r="B14401" s="83">
        <s:f>SUM(IF(EXACT('Kiểm thử'!E14249,"Bị chặn"),1,0),IF(EXACT('Kiểm thử'!E14251,"Bị chặn"),1,0),IF(EXACT('Kiểm thử'!E14253,"Bị chặn"),1,0))</s:f>
        <s:v/>
      </s:c>
      <s:c r="C14401" s="19" t="n"/>
      <s:c r="D14401" s="19" t="n"/>
      <s:c r="E14401" s="19" t="n"/>
    </s:row>
    <s:row r="14402" hidden="1" ht="1" customHeight="1">
      <s:c r="A14402" s="83" t="inlineStr">
        <s:is>
          <s:t>SKIPPED</s:t>
        </s:is>
      </s:c>
      <s:c r="B14402" s="83">
        <s:f>SUM(IF(EXACT('Kiểm thử'!E14249,"Không thực hiện"),1,0),IF(EXACT('Kiểm thử'!E14251,"Không thực hiện"),1,0),IF(EXACT('Kiểm thử'!E14253,"Không thực hiện"),1,0))</s:f>
        <s:v/>
      </s:c>
      <s:c r="C14402" s="19" t="n"/>
      <s:c r="D14402" s="19" t="n"/>
      <s:c r="E14402" s="19" t="n"/>
    </s:row>
    <s:row r="14403" hidden="1" ht="1" customHeight="1">
      <s:c r="A14403" s="83" t="inlineStr">
        <s:is>
          <s:t>NOT RUN</s:t>
        </s:is>
      </s:c>
      <s:c r="B14403" s="83">
        <s:f>SUM(IF(EXACT('Kiểm thử'!E14249,"Chưa thực hiện"),1,0),IF(EXACT('Kiểm thử'!E14251,"Chưa thực hiện"),1,0),IF(EXACT('Kiểm thử'!E14253,"Chưa thực hiện"),1,0))</s:f>
        <s:v/>
      </s:c>
      <s:c r="C14403" s="19" t="n"/>
      <s:c r="D14403" s="19" t="n"/>
      <s:c r="E14403" s="19" t="n"/>
    </s:row>
    <s:row r="14404" hidden="1" ht="6" customHeight="1">
      <s:c r="A14404" s="83" t="inlineStr"/>
      <s:c r="B14404" s="19" t="n"/>
      <s:c r="C14404" s="19" t="n"/>
      <s:c r="D14404" s="19" t="n"/>
      <s:c r="E14404" s="19" t="n"/>
    </s:row>
    <s:row r="14405" ht="28" customHeight="1">
      <s:c r="A14405" s="108" t="inlineStr">
        <s:is>
          <s:t>TC-RS-BR-018 — Đổi phạm vi làm ô không còn quy tắc áp dụng: giữ khi chưa chạy; chạy lại → Không áp dụng</s:t>
        </s:is>
      </s:c>
      <s:c r="B14405" s="111" t="n"/>
      <s:c r="C14405" s="111" t="n"/>
      <s:c r="D14405" s="111" t="n"/>
      <s:c r="E14405" s="111" t="n"/>
    </s:row>
    <s:row r="14406" ht="20" customHeight="1">
      <s:c r="A14406" s="112" t="inlineStr">
        <s:is>
          <s:t>Kết quả tình huống</s:t>
        </s:is>
      </s:c>
      <s:c r="B14406" s="113">
        <s:f>IF(SUM(IF(EXACT('Kiểm thử'!E14414,"Không đạt"),1,0))&gt;0,"Không đạt",IF(SUM(IF(EXACT('Kiểm thử'!E14414,"Đạt"),1,0))=1,"Đạt",IF(SUM(IF(EXACT('Kiểm thử'!E14414,"Không thực hiện"),1,0))=1,"Không thực hiện",IF(SUM(IF(EXACT('Kiểm thử'!E14414,"Bị chặn"),1,0))&gt;0,"Bị chặn",IF(SUM(IF(EXACT('Kiểm thử'!E14414,"Chưa thực hiện"),1,0))=1,"Chưa thực hiện","Đang thực hiện")))))</s:f>
        <s:v/>
      </s:c>
      <s:c r="C14406" s="114" t="n"/>
      <s:c r="D14406" s="114" t="n"/>
      <s:c r="E14406" s="114" t="n"/>
    </s:row>
    <s:row r="14407" ht="20" customHeight="1">
      <s:c r="A14407" s="112" t="inlineStr">
        <s:is>
          <s:t>Màn hình / chức năng</s:t>
        </s:is>
      </s:c>
      <s:c r="B14407" s="113" t="inlineStr">
        <s:is>
          <s:t>Vòng đời kết quả</s:t>
        </s:is>
      </s:c>
      <s:c r="C14407" s="28" t="n"/>
      <s:c r="D14407" s="28" t="n"/>
      <s:c r="E14407" s="28" t="n"/>
    </s:row>
    <s:row r="14408" ht="34" customHeight="1">
      <s:c r="A14408" s="112" t="inlineStr">
        <s:is>
          <s:t>Cấu hình</s:t>
        </s:is>
      </s:c>
      <s:c r="B14408" s="113" t="inlineStr">
        <s:is>
          <s:t>• Quy tắc lọc lớp G-A;
• S01 (G-A) = 29 Đỏ.</s:t>
        </s:is>
      </s:c>
      <s:c r="C14408" s="28" t="n"/>
      <s:c r="D14408" s="28" t="n"/>
      <s:c r="E14408" s="28" t="n"/>
    </s:row>
    <s:row r="14409" ht="20" customHeight="1">
      <s:c r="A14409" s="112" t="inlineStr">
        <s:is>
          <s:t>Dữ liệu test</s:t>
        </s:is>
      </s:c>
      <s:c r="B14409" s="113" t="inlineStr">
        <s:is>
          <s:t>• Học sinh S01 (điểm 29)</s:t>
        </s:is>
      </s:c>
      <s:c r="C14409" s="28" t="n"/>
      <s:c r="D14409" s="28" t="n"/>
      <s:c r="E14409" s="28" t="n"/>
    </s:row>
    <s:row r="14410" ht="20" customHeight="1">
      <s:c r="A14410" s="112" t="inlineStr">
        <s:is>
          <s:t>Bước 1</s:t>
        </s:is>
      </s:c>
      <s:c r="B14410" s="113" t="inlineStr">
        <s:is>
          <s:t>Đổi bộ lọc sang lớp G-B, lưu. Xem đầu ra.</s:t>
        </s:is>
      </s:c>
      <s:c r="C14410" s="28" t="n"/>
      <s:c r="D14410" s="28" t="n"/>
      <s:c r="E14410" s="28" t="n"/>
    </s:row>
    <s:row r="14411" ht="20" customHeight="1">
      <s:c r="A14411" s="112" t="inlineStr">
        <s:is>
          <s:t>Bước 2</s:t>
        </s:is>
      </s:c>
      <s:c r="B14411" s="113" t="inlineStr">
        <s:is>
          <s:t>Chạy lại. Xem đầu ra.</s:t>
        </s:is>
      </s:c>
      <s:c r="C14411" s="28" t="n"/>
      <s:c r="D14411" s="28" t="n"/>
      <s:c r="E14411" s="28" t="n"/>
    </s:row>
    <s:row r="14412" ht="28" customHeight="1">
      <s:c r="A14412" s="115" t="inlineStr">
        <s:is>
          <s:t>Trường hợp</s:t>
        </s:is>
      </s:c>
      <s:c r="B14412" s="115" t="inlineStr">
        <s:is>
          <s:t>Dữ liệu / thao tác riêng</s:t>
        </s:is>
      </s:c>
      <s:c r="C14412" s="115" t="inlineStr">
        <s:is>
          <s:t>Kết quả mong đợi</s:t>
        </s:is>
      </s:c>
      <s:c r="D14412" s="115" t="inlineStr">
        <s:is>
          <s:t>Kết quả thực tế</s:t>
        </s:is>
      </s:c>
      <s:c r="E14412" s="115" t="inlineStr">
        <s:is>
          <s:t>Đánh giá</s:t>
        </s:is>
      </s:c>
    </s:row>
    <s:row r="14413" ht="3" customHeight="1">
      <s:c r="A14413" s="102" t="inlineStr"/>
      <s:c r="B14413" s="99" t="n"/>
      <s:c r="C14413" s="99" t="n"/>
      <s:c r="D14413" s="116" t="n"/>
      <s:c r="E14413" s="116" t="n"/>
    </s:row>
    <s:row r="14414" ht="62" customHeight="1">
      <s:c r="A14414" s="83" t="inlineStr">
        <s:is>
          <s:t>Trường hợp cơ bản (Base)</s:t>
        </s:is>
      </s:c>
      <s:c r="B14414" s="83" t="inlineStr">
        <s:is>
          <s:t>Toàn bộ tình huống: Thực hiện đủ các bước chung theo thứ tự; kiểm cả đối tượng đích và đối chứng cùng fixture, không bỏ bước.</s:t>
        </s:is>
      </s:c>
      <s:c r="C14414" s="83" t="inlineStr">
        <s:is>
          <s:r>
            <s:t xml:space="preserve">1. S01 vẫn </s:t>
          </s:r>
          <s:r>
            <s:rPr>
              <s:b val="1"/>
            </s:rPr>
            <s:t>Đỏ</s:t>
          </s:r>
          <s:r>
            <s:t xml:space="preserve"> (kết quả trước).
2. S01 </s:t>
          </s:r>
          <s:r>
            <s:rPr>
              <s:b val="1"/>
            </s:rPr>
            <s:t>Không áp dụng</s:t>
          </s:r>
          <s:r>
            <s:t>; ngừng dấu/lọc đỏ cũ; điểm giữ nguyên.</s:t>
          </s:r>
        </s:is>
      </s:c>
      <s:c r="D14414" s="117" t="inlineStr"/>
      <s:c r="E14414" s="118" t="inlineStr">
        <s:is>
          <s:t>Chưa thực hiện</s:t>
        </s:is>
      </s:c>
    </s:row>
    <s:row r="14415" ht="20" customHeight="1">
      <s:c r="A14415" s="119" t="inlineStr">
        <s:is>
          <s:t>Ảnh minh chứng — Chưa có ảnh</s:t>
        </s:is>
      </s:c>
      <s:c r="B14415" s="19" t="n"/>
      <s:c r="C14415" s="19" t="n"/>
      <s:c r="D14415" s="19" t="n"/>
      <s:c r="E14415" s="19" t="n"/>
    </s:row>
    <s:row r="14416" hidden="1" ht="1" customHeight="1">
      <s:c r="A14416" s="120" t="inlineStr"/>
      <s:c r="B14416" s="121" t="n"/>
      <s:c r="C14416" s="121" t="n"/>
      <s:c r="D14416" s="121" t="n"/>
      <s:c r="E14416" s="122" t="n"/>
    </s:row>
    <s:row r="14417" hidden="1" ht="1" customHeight="1">
      <s:c r="A14417" s="120" t="inlineStr"/>
      <s:c r="B14417" s="121" t="n"/>
      <s:c r="C14417" s="121" t="n"/>
      <s:c r="D14417" s="121" t="n"/>
      <s:c r="E14417" s="122" t="n"/>
    </s:row>
    <s:row r="14418" hidden="1" ht="1" customHeight="1">
      <s:c r="A14418" s="120" t="inlineStr"/>
      <s:c r="B14418" s="121" t="n"/>
      <s:c r="C14418" s="121" t="n"/>
      <s:c r="D14418" s="121" t="n"/>
      <s:c r="E14418" s="122" t="n"/>
    </s:row>
    <s:row r="14419" hidden="1" ht="1" customHeight="1">
      <s:c r="A14419" s="120" t="inlineStr"/>
      <s:c r="B14419" s="121" t="n"/>
      <s:c r="C14419" s="121" t="n"/>
      <s:c r="D14419" s="121" t="n"/>
      <s:c r="E14419" s="122" t="n"/>
    </s:row>
    <s:row r="14420" hidden="1" ht="1" customHeight="1">
      <s:c r="A14420" s="120" t="inlineStr"/>
      <s:c r="B14420" s="121" t="n"/>
      <s:c r="C14420" s="121" t="n"/>
      <s:c r="D14420" s="121" t="n"/>
      <s:c r="E14420" s="122" t="n"/>
    </s:row>
    <s:row r="14421" hidden="1" ht="1" customHeight="1">
      <s:c r="A14421" s="120" t="inlineStr"/>
      <s:c r="B14421" s="121" t="n"/>
      <s:c r="C14421" s="121" t="n"/>
      <s:c r="D14421" s="121" t="n"/>
      <s:c r="E14421" s="122" t="n"/>
    </s:row>
    <s:row r="14422" hidden="1" ht="1" customHeight="1">
      <s:c r="A14422" s="120" t="inlineStr"/>
      <s:c r="B14422" s="121" t="n"/>
      <s:c r="C14422" s="121" t="n"/>
      <s:c r="D14422" s="121" t="n"/>
      <s:c r="E14422" s="122" t="n"/>
    </s:row>
    <s:row r="14423" hidden="1" ht="1" customHeight="1">
      <s:c r="A14423" s="120" t="inlineStr"/>
      <s:c r="B14423" s="121" t="n"/>
      <s:c r="C14423" s="121" t="n"/>
      <s:c r="D14423" s="121" t="n"/>
      <s:c r="E14423" s="122" t="n"/>
    </s:row>
    <s:row r="14424" hidden="1" ht="1" customHeight="1">
      <s:c r="A14424" s="120" t="inlineStr"/>
      <s:c r="B14424" s="121" t="n"/>
      <s:c r="C14424" s="121" t="n"/>
      <s:c r="D14424" s="121" t="n"/>
      <s:c r="E14424" s="122" t="n"/>
    </s:row>
    <s:row r="14425" hidden="1" ht="1" customHeight="1">
      <s:c r="A14425" s="120" t="inlineStr"/>
      <s:c r="B14425" s="121" t="n"/>
      <s:c r="C14425" s="121" t="n"/>
      <s:c r="D14425" s="121" t="n"/>
      <s:c r="E14425" s="122" t="n"/>
    </s:row>
    <s:row r="14426" hidden="1" ht="1" customHeight="1">
      <s:c r="A14426" s="120" t="inlineStr"/>
      <s:c r="B14426" s="121" t="n"/>
      <s:c r="C14426" s="121" t="n"/>
      <s:c r="D14426" s="121" t="n"/>
      <s:c r="E14426" s="122" t="n"/>
    </s:row>
    <s:row r="14427" hidden="1" ht="1" customHeight="1">
      <s:c r="A14427" s="120" t="inlineStr"/>
      <s:c r="B14427" s="121" t="n"/>
      <s:c r="C14427" s="121" t="n"/>
      <s:c r="D14427" s="121" t="n"/>
      <s:c r="E14427" s="122" t="n"/>
    </s:row>
    <s:row r="14428" hidden="1" ht="1" customHeight="1">
      <s:c r="A14428" s="120" t="inlineStr"/>
      <s:c r="B14428" s="121" t="n"/>
      <s:c r="C14428" s="121" t="n"/>
      <s:c r="D14428" s="121" t="n"/>
      <s:c r="E14428" s="122" t="n"/>
    </s:row>
    <s:row r="14429" hidden="1" ht="1" customHeight="1">
      <s:c r="A14429" s="120" t="inlineStr"/>
      <s:c r="B14429" s="121" t="n"/>
      <s:c r="C14429" s="121" t="n"/>
      <s:c r="D14429" s="121" t="n"/>
      <s:c r="E14429" s="122" t="n"/>
    </s:row>
    <s:row r="14430" hidden="1" ht="1" customHeight="1">
      <s:c r="A14430" s="120" t="inlineStr"/>
      <s:c r="B14430" s="121" t="n"/>
      <s:c r="C14430" s="121" t="n"/>
      <s:c r="D14430" s="121" t="n"/>
      <s:c r="E14430" s="122" t="n"/>
    </s:row>
    <s:row r="14431" hidden="1" ht="1" customHeight="1">
      <s:c r="A14431" s="120" t="inlineStr"/>
      <s:c r="B14431" s="121" t="n"/>
      <s:c r="C14431" s="121" t="n"/>
      <s:c r="D14431" s="121" t="n"/>
      <s:c r="E14431" s="122" t="n"/>
    </s:row>
    <s:row r="14432" hidden="1" ht="1" customHeight="1">
      <s:c r="A14432" s="120" t="inlineStr"/>
      <s:c r="B14432" s="121" t="n"/>
      <s:c r="C14432" s="121" t="n"/>
      <s:c r="D14432" s="121" t="n"/>
      <s:c r="E14432" s="122" t="n"/>
    </s:row>
    <s:row r="14433" hidden="1" ht="1" customHeight="1">
      <s:c r="A14433" s="120" t="inlineStr"/>
      <s:c r="B14433" s="121" t="n"/>
      <s:c r="C14433" s="121" t="n"/>
      <s:c r="D14433" s="121" t="n"/>
      <s:c r="E14433" s="122" t="n"/>
    </s:row>
    <s:row r="14434" hidden="1" ht="1" customHeight="1">
      <s:c r="A14434" s="120" t="inlineStr"/>
      <s:c r="B14434" s="121" t="n"/>
      <s:c r="C14434" s="121" t="n"/>
      <s:c r="D14434" s="121" t="n"/>
      <s:c r="E14434" s="122" t="n"/>
    </s:row>
    <s:row r="14435" hidden="1" ht="1" customHeight="1">
      <s:c r="A14435" s="120" t="inlineStr"/>
      <s:c r="B14435" s="121" t="n"/>
      <s:c r="C14435" s="121" t="n"/>
      <s:c r="D14435" s="121" t="n"/>
      <s:c r="E14435" s="122" t="n"/>
    </s:row>
    <s:row r="14436" hidden="1" ht="1" customHeight="1">
      <s:c r="A14436" s="120" t="inlineStr"/>
      <s:c r="B14436" s="121" t="n"/>
      <s:c r="C14436" s="121" t="n"/>
      <s:c r="D14436" s="121" t="n"/>
      <s:c r="E14436" s="122" t="n"/>
    </s:row>
    <s:row r="14437" hidden="1" ht="1" customHeight="1">
      <s:c r="A14437" s="120" t="inlineStr"/>
      <s:c r="B14437" s="121" t="n"/>
      <s:c r="C14437" s="121" t="n"/>
      <s:c r="D14437" s="121" t="n"/>
      <s:c r="E14437" s="122" t="n"/>
    </s:row>
    <s:row r="14438" hidden="1" ht="1" customHeight="1">
      <s:c r="A14438" s="120" t="inlineStr"/>
      <s:c r="B14438" s="121" t="n"/>
      <s:c r="C14438" s="121" t="n"/>
      <s:c r="D14438" s="121" t="n"/>
      <s:c r="E14438" s="122" t="n"/>
    </s:row>
    <s:row r="14439" hidden="1" ht="1" customHeight="1">
      <s:c r="A14439" s="120" t="inlineStr"/>
      <s:c r="B14439" s="121" t="n"/>
      <s:c r="C14439" s="121" t="n"/>
      <s:c r="D14439" s="121" t="n"/>
      <s:c r="E14439" s="122" t="n"/>
    </s:row>
    <s:row r="14440" hidden="1" ht="1" customHeight="1">
      <s:c r="A14440" s="120" t="inlineStr"/>
      <s:c r="B14440" s="121" t="n"/>
      <s:c r="C14440" s="121" t="n"/>
      <s:c r="D14440" s="121" t="n"/>
      <s:c r="E14440" s="122" t="n"/>
    </s:row>
    <s:row r="14441" hidden="1" ht="1" customHeight="1">
      <s:c r="A14441" s="120" t="inlineStr"/>
      <s:c r="B14441" s="121" t="n"/>
      <s:c r="C14441" s="121" t="n"/>
      <s:c r="D14441" s="121" t="n"/>
      <s:c r="E14441" s="122" t="n"/>
    </s:row>
    <s:row r="14442" hidden="1" ht="1" customHeight="1">
      <s:c r="A14442" s="120" t="inlineStr"/>
      <s:c r="B14442" s="121" t="n"/>
      <s:c r="C14442" s="121" t="n"/>
      <s:c r="D14442" s="121" t="n"/>
      <s:c r="E14442" s="122" t="n"/>
    </s:row>
    <s:row r="14443" hidden="1" ht="1" customHeight="1">
      <s:c r="A14443" s="120" t="inlineStr"/>
      <s:c r="B14443" s="121" t="n"/>
      <s:c r="C14443" s="121" t="n"/>
      <s:c r="D14443" s="121" t="n"/>
      <s:c r="E14443" s="122" t="n"/>
    </s:row>
    <s:row r="14444" hidden="1" ht="1" customHeight="1">
      <s:c r="A14444" s="120" t="inlineStr"/>
      <s:c r="B14444" s="121" t="n"/>
      <s:c r="C14444" s="121" t="n"/>
      <s:c r="D14444" s="121" t="n"/>
      <s:c r="E14444" s="122" t="n"/>
    </s:row>
    <s:row r="14445" hidden="1" ht="1" customHeight="1">
      <s:c r="A14445" s="120" t="inlineStr"/>
      <s:c r="B14445" s="121" t="n"/>
      <s:c r="C14445" s="121" t="n"/>
      <s:c r="D14445" s="121" t="n"/>
      <s:c r="E14445" s="122" t="n"/>
    </s:row>
    <s:row r="14446" hidden="1" ht="1" customHeight="1">
      <s:c r="A14446" s="120" t="inlineStr"/>
      <s:c r="B14446" s="121" t="n"/>
      <s:c r="C14446" s="121" t="n"/>
      <s:c r="D14446" s="121" t="n"/>
      <s:c r="E14446" s="122" t="n"/>
    </s:row>
    <s:row r="14447" hidden="1" ht="1" customHeight="1">
      <s:c r="A14447" s="120" t="inlineStr"/>
      <s:c r="B14447" s="121" t="n"/>
      <s:c r="C14447" s="121" t="n"/>
      <s:c r="D14447" s="121" t="n"/>
      <s:c r="E14447" s="122" t="n"/>
    </s:row>
    <s:row r="14448" hidden="1" ht="1" customHeight="1">
      <s:c r="A14448" s="120" t="inlineStr"/>
      <s:c r="B14448" s="121" t="n"/>
      <s:c r="C14448" s="121" t="n"/>
      <s:c r="D14448" s="121" t="n"/>
      <s:c r="E14448" s="122" t="n"/>
    </s:row>
    <s:row r="14449" hidden="1" ht="1" customHeight="1">
      <s:c r="A14449" s="120" t="inlineStr"/>
      <s:c r="B14449" s="121" t="n"/>
      <s:c r="C14449" s="121" t="n"/>
      <s:c r="D14449" s="121" t="n"/>
      <s:c r="E14449" s="122" t="n"/>
    </s:row>
    <s:row r="14450" hidden="1" ht="1" customHeight="1">
      <s:c r="A14450" s="120" t="inlineStr"/>
      <s:c r="B14450" s="121" t="n"/>
      <s:c r="C14450" s="121" t="n"/>
      <s:c r="D14450" s="121" t="n"/>
      <s:c r="E14450" s="122" t="n"/>
    </s:row>
    <s:row r="14451" hidden="1" ht="1" customHeight="1">
      <s:c r="A14451" s="120" t="inlineStr"/>
      <s:c r="B14451" s="121" t="n"/>
      <s:c r="C14451" s="121" t="n"/>
      <s:c r="D14451" s="121" t="n"/>
      <s:c r="E14451" s="122" t="n"/>
    </s:row>
    <s:row r="14452" hidden="1" ht="1" customHeight="1">
      <s:c r="A14452" s="120" t="inlineStr"/>
      <s:c r="B14452" s="121" t="n"/>
      <s:c r="C14452" s="121" t="n"/>
      <s:c r="D14452" s="121" t="n"/>
      <s:c r="E14452" s="122" t="n"/>
    </s:row>
    <s:row r="14453" hidden="1" ht="1" customHeight="1">
      <s:c r="A14453" s="120" t="inlineStr"/>
      <s:c r="B14453" s="121" t="n"/>
      <s:c r="C14453" s="121" t="n"/>
      <s:c r="D14453" s="121" t="n"/>
      <s:c r="E14453" s="122" t="n"/>
    </s:row>
    <s:row r="14454" hidden="1" ht="1" customHeight="1">
      <s:c r="A14454" s="120" t="inlineStr"/>
      <s:c r="B14454" s="121" t="n"/>
      <s:c r="C14454" s="121" t="n"/>
      <s:c r="D14454" s="121" t="n"/>
      <s:c r="E14454" s="122" t="n"/>
    </s:row>
    <s:row r="14455" hidden="1" ht="1" customHeight="1">
      <s:c r="A14455" s="120" t="inlineStr"/>
      <s:c r="B14455" s="121" t="n"/>
      <s:c r="C14455" s="121" t="n"/>
      <s:c r="D14455" s="121" t="n"/>
      <s:c r="E14455" s="122" t="n"/>
    </s:row>
    <s:row r="14456" hidden="1" ht="1" customHeight="1">
      <s:c r="A14456" s="120" t="inlineStr"/>
      <s:c r="B14456" s="121" t="n"/>
      <s:c r="C14456" s="121" t="n"/>
      <s:c r="D14456" s="121" t="n"/>
      <s:c r="E14456" s="122" t="n"/>
    </s:row>
    <s:row r="14457" hidden="1" ht="1" customHeight="1">
      <s:c r="A14457" s="120" t="inlineStr"/>
      <s:c r="B14457" s="121" t="n"/>
      <s:c r="C14457" s="121" t="n"/>
      <s:c r="D14457" s="121" t="n"/>
      <s:c r="E14457" s="122" t="n"/>
    </s:row>
    <s:row r="14458" hidden="1" ht="1" customHeight="1">
      <s:c r="A14458" s="120" t="inlineStr"/>
      <s:c r="B14458" s="121" t="n"/>
      <s:c r="C14458" s="121" t="n"/>
      <s:c r="D14458" s="121" t="n"/>
      <s:c r="E14458" s="122" t="n"/>
    </s:row>
    <s:row r="14459" hidden="1" ht="1" customHeight="1">
      <s:c r="A14459" s="120" t="inlineStr"/>
      <s:c r="B14459" s="121" t="n"/>
      <s:c r="C14459" s="121" t="n"/>
      <s:c r="D14459" s="121" t="n"/>
      <s:c r="E14459" s="122" t="n"/>
    </s:row>
    <s:row r="14460" hidden="1" ht="1" customHeight="1">
      <s:c r="A14460" s="120" t="inlineStr"/>
      <s:c r="B14460" s="121" t="n"/>
      <s:c r="C14460" s="121" t="n"/>
      <s:c r="D14460" s="121" t="n"/>
      <s:c r="E14460" s="122" t="n"/>
    </s:row>
    <s:row r="14461" hidden="1" ht="1" customHeight="1">
      <s:c r="A14461" s="120" t="inlineStr"/>
      <s:c r="B14461" s="121" t="n"/>
      <s:c r="C14461" s="121" t="n"/>
      <s:c r="D14461" s="121" t="n"/>
      <s:c r="E14461" s="122" t="n"/>
    </s:row>
    <s:row r="14462" hidden="1" ht="1" customHeight="1">
      <s:c r="A14462" s="120" t="inlineStr"/>
      <s:c r="B14462" s="121" t="n"/>
      <s:c r="C14462" s="121" t="n"/>
      <s:c r="D14462" s="121" t="n"/>
      <s:c r="E14462" s="122" t="n"/>
    </s:row>
    <s:row r="14463" hidden="1" ht="1" customHeight="1">
      <s:c r="A14463" s="120" t="inlineStr"/>
      <s:c r="B14463" s="121" t="n"/>
      <s:c r="C14463" s="121" t="n"/>
      <s:c r="D14463" s="121" t="n"/>
      <s:c r="E14463" s="122" t="n"/>
    </s:row>
    <s:row r="14464" hidden="1" ht="1" customHeight="1">
      <s:c r="A14464" s="83" t="inlineStr">
        <s:is>
          <s:t>PASS</s:t>
        </s:is>
      </s:c>
      <s:c r="B14464" s="83">
        <s:f>SUM(IF(EXACT('Kiểm thử'!E14414,"Đạt"),1,0))</s:f>
        <s:v/>
      </s:c>
      <s:c r="C14464" s="19" t="n"/>
      <s:c r="D14464" s="19" t="n"/>
      <s:c r="E14464" s="19" t="n"/>
    </s:row>
    <s:row r="14465" hidden="1" ht="1" customHeight="1">
      <s:c r="A14465" s="83" t="inlineStr">
        <s:is>
          <s:t>FAIL</s:t>
        </s:is>
      </s:c>
      <s:c r="B14465" s="83">
        <s:f>SUM(IF(EXACT('Kiểm thử'!E14414,"Không đạt"),1,0))</s:f>
        <s:v/>
      </s:c>
      <s:c r="C14465" s="19" t="n"/>
      <s:c r="D14465" s="19" t="n"/>
      <s:c r="E14465" s="19" t="n"/>
    </s:row>
    <s:row r="14466" hidden="1" ht="1" customHeight="1">
      <s:c r="A14466" s="83" t="inlineStr">
        <s:is>
          <s:t>BLOCKED</s:t>
        </s:is>
      </s:c>
      <s:c r="B14466" s="83">
        <s:f>SUM(IF(EXACT('Kiểm thử'!E14414,"Bị chặn"),1,0))</s:f>
        <s:v/>
      </s:c>
      <s:c r="C14466" s="19" t="n"/>
      <s:c r="D14466" s="19" t="n"/>
      <s:c r="E14466" s="19" t="n"/>
    </s:row>
    <s:row r="14467" hidden="1" ht="1" customHeight="1">
      <s:c r="A14467" s="83" t="inlineStr">
        <s:is>
          <s:t>SKIPPED</s:t>
        </s:is>
      </s:c>
      <s:c r="B14467" s="83">
        <s:f>SUM(IF(EXACT('Kiểm thử'!E14414,"Không thực hiện"),1,0))</s:f>
        <s:v/>
      </s:c>
      <s:c r="C14467" s="19" t="n"/>
      <s:c r="D14467" s="19" t="n"/>
      <s:c r="E14467" s="19" t="n"/>
    </s:row>
    <s:row r="14468" hidden="1" ht="1" customHeight="1">
      <s:c r="A14468" s="83" t="inlineStr">
        <s:is>
          <s:t>NOT RUN</s:t>
        </s:is>
      </s:c>
      <s:c r="B14468" s="83">
        <s:f>SUM(IF(EXACT('Kiểm thử'!E14414,"Chưa thực hiện"),1,0))</s:f>
        <s:v/>
      </s:c>
      <s:c r="C14468" s="19" t="n"/>
      <s:c r="D14468" s="19" t="n"/>
      <s:c r="E14468" s="19" t="n"/>
    </s:row>
    <s:row r="14469" hidden="1" ht="6" customHeight="1">
      <s:c r="A14469" s="83" t="inlineStr"/>
      <s:c r="B14469" s="19" t="n"/>
      <s:c r="C14469" s="19" t="n"/>
      <s:c r="D14469" s="19" t="n"/>
      <s:c r="E14469" s="19" t="n"/>
    </s:row>
    <s:row r="14470" ht="28" customHeight="1">
      <s:c r="A14470" s="108" t="inlineStr">
        <s:is>
          <s:t>TC-RS-BR-019 — Xóa quy tắc cuối: giữ kết quả tới lần chạy lại; chạy lại → Không áp dụng</s:t>
        </s:is>
      </s:c>
      <s:c r="B14470" s="111" t="n"/>
      <s:c r="C14470" s="111" t="n"/>
      <s:c r="D14470" s="111" t="n"/>
      <s:c r="E14470" s="111" t="n"/>
    </s:row>
    <s:row r="14471" ht="20" customHeight="1">
      <s:c r="A14471" s="112" t="inlineStr">
        <s:is>
          <s:t>Kết quả tình huống</s:t>
        </s:is>
      </s:c>
      <s:c r="B14471" s="113">
        <s:f>IF(SUM(IF(EXACT('Kiểm thử'!E14481,"Không đạt"),1,0),IF(EXACT('Kiểm thử'!E14483,"Không đạt"),1,0))&gt;0,"Không đạt",IF(SUM(IF(EXACT('Kiểm thử'!E14481,"Đạt"),1,0),IF(EXACT('Kiểm thử'!E14483,"Đạt"),1,0))=2,"Đạt",IF(SUM(IF(EXACT('Kiểm thử'!E14481,"Không thực hiện"),1,0),IF(EXACT('Kiểm thử'!E14483,"Không thực hiện"),1,0))=2,"Không thực hiện",IF(SUM(IF(EXACT('Kiểm thử'!E14481,"Bị chặn"),1,0),IF(EXACT('Kiểm thử'!E14483,"Bị chặn"),1,0))&gt;0,"Bị chặn",IF(SUM(IF(EXACT('Kiểm thử'!E14481,"Chưa thực hiện"),1,0),IF(EXACT('Kiểm thử'!E14483,"Chưa thực hiện"),1,0))=2,"Chưa thực hiện","Đang thực hiện")))))</s:f>
        <s:v/>
      </s:c>
      <s:c r="C14471" s="114" t="n"/>
      <s:c r="D14471" s="114" t="n"/>
      <s:c r="E14471" s="114" t="n"/>
    </s:row>
    <s:row r="14472" ht="20" customHeight="1">
      <s:c r="A14472" s="112" t="inlineStr">
        <s:is>
          <s:t>Màn hình / chức năng</s:t>
        </s:is>
      </s:c>
      <s:c r="B14472" s="113" t="inlineStr">
        <s:is>
          <s:t>Vòng đời kết quả</s:t>
        </s:is>
      </s:c>
      <s:c r="C14472" s="28" t="n"/>
      <s:c r="D14472" s="28" t="n"/>
      <s:c r="E14472" s="28" t="n"/>
    </s:row>
    <s:row r="14473" ht="48" customHeight="1">
      <s:c r="A14473" s="112" t="inlineStr">
        <s:is>
          <s:t>Cấu hình</s:t>
        </s:is>
      </s:c>
      <s:c r="B14473" s="113" t="inlineStr">
        <s:is>
          <s:r>
            <s:t>• Mục số nguyên (</s:t>
          </s:r>
          <s:r>
            <s:rPr>
              <s:b val="1"/>
            </s:rPr>
            <s:t>M=100</s:t>
          </s:r>
          <s:r>
            <s:t>) chỉ có quy tắc “Cố định 30” (dưới 30);
• S01=29 Đỏ. Trích xuất cấu hình trích xuất: lọc, ký hiệu “*” phía trước, tô màu, công khai [*] trước, phiếu cấu hình phiếu điểm: ký tự “※” phía trước đã cấu hình.</s:t>
          </s:r>
        </s:is>
      </s:c>
      <s:c r="C14473" s="28" t="n"/>
      <s:c r="D14473" s="28" t="n"/>
      <s:c r="E14473" s="28" t="n"/>
    </s:row>
    <s:row r="14474" ht="48" customHeight="1">
      <s:c r="A14474" s="112" t="inlineStr">
        <s:is>
          <s:t>Dữ liệu test</s:t>
        </s:is>
      </s:c>
      <s:c r="B14474" s="113" t="inlineStr">
        <s:is>
          <s:r>
            <s:t>• Mục số nguyên (</s:t>
          </s:r>
          <s:r>
            <s:rPr>
              <s:b val="1"/>
            </s:rPr>
            <s:t>M=100</s:t>
          </s:r>
          <s:r>
            <s:t>), quy tắc “Cố định 30” (dưới 30);
• Học sinh S01 (điểm 29), cấu hình trích xuất: lọc, ký hiệu “*” phía trước, tô màu, cấu hình công khai: “*” phía trước, cấu hình phiếu điểm: ký tự “※” phía trước</s:t>
          </s:r>
        </s:is>
      </s:c>
      <s:c r="C14474" s="28" t="n"/>
      <s:c r="D14474" s="28" t="n"/>
      <s:c r="E14474" s="28" t="n"/>
    </s:row>
    <s:row r="14475" ht="20" customHeight="1">
      <s:c r="A14475" s="112" t="inlineStr">
        <s:is>
          <s:t>Bước 1</s:t>
        </s:is>
      </s:c>
      <s:c r="B14475" s="113" t="inlineStr">
        <s:is>
          <s:t>Xóa quy tắc “Cố định 30” (dưới 30) (quy tắc cuối).</s:t>
        </s:is>
      </s:c>
      <s:c r="C14475" s="28" t="n"/>
      <s:c r="D14475" s="28" t="n"/>
      <s:c r="E14475" s="28" t="n"/>
    </s:row>
    <s:row r="14476" ht="20" customHeight="1">
      <s:c r="A14476" s="112" t="inlineStr">
        <s:is>
          <s:t>Bước 2</s:t>
        </s:is>
      </s:c>
      <s:c r="B14476" s="113" t="inlineStr">
        <s:is>
          <s:t>Xem ba đầu ra.</s:t>
        </s:is>
      </s:c>
      <s:c r="C14476" s="28" t="n"/>
      <s:c r="D14476" s="28" t="n"/>
      <s:c r="E14476" s="28" t="n"/>
    </s:row>
    <s:row r="14477" ht="20" customHeight="1">
      <s:c r="A14477" s="112" t="inlineStr">
        <s:is>
          <s:t>Bước 3</s:t>
        </s:is>
      </s:c>
      <s:c r="B14477" s="113" t="inlineStr">
        <s:is>
          <s:t>Chạy lại bằng đăng ký điểm lớp G-A hoặc chạy hàng loạt.</s:t>
        </s:is>
      </s:c>
      <s:c r="C14477" s="28" t="n"/>
      <s:c r="D14477" s="28" t="n"/>
      <s:c r="E14477" s="28" t="n"/>
    </s:row>
    <s:row r="14478" ht="20" customHeight="1">
      <s:c r="A14478" s="112" t="inlineStr">
        <s:is>
          <s:t>Bước 4</s:t>
        </s:is>
      </s:c>
      <s:c r="B14478" s="113" t="inlineStr">
        <s:is>
          <s:t>Xem ba đầu ra và cấu hình trình bày đầu ra.</s:t>
        </s:is>
      </s:c>
      <s:c r="C14478" s="28" t="n"/>
      <s:c r="D14478" s="28" t="n"/>
      <s:c r="E14478" s="28" t="n"/>
    </s:row>
    <s:row r="14479" ht="28" customHeight="1">
      <s:c r="A14479" s="115" t="inlineStr">
        <s:is>
          <s:t>Trường hợp</s:t>
        </s:is>
      </s:c>
      <s:c r="B14479" s="115" t="inlineStr">
        <s:is>
          <s:t>Dữ liệu / thao tác riêng</s:t>
        </s:is>
      </s:c>
      <s:c r="C14479" s="115" t="inlineStr">
        <s:is>
          <s:t>Kết quả mong đợi</s:t>
        </s:is>
      </s:c>
      <s:c r="D14479" s="115" t="inlineStr">
        <s:is>
          <s:t>Kết quả thực tế</s:t>
        </s:is>
      </s:c>
      <s:c r="E14479" s="115" t="inlineStr">
        <s:is>
          <s:t>Đánh giá</s:t>
        </s:is>
      </s:c>
    </s:row>
    <s:row r="14480" ht="3" customHeight="1">
      <s:c r="A14480" s="102" t="inlineStr"/>
      <s:c r="B14480" s="99" t="n"/>
      <s:c r="C14480" s="99" t="n"/>
      <s:c r="D14480" s="116" t="n"/>
      <s:c r="E14480" s="116" t="n"/>
    </s:row>
    <s:row r="14481" ht="104" customHeight="1">
      <s:c r="A14481" s="83" t="inlineStr">
        <s:is>
          <s:t>Chạy lại bằng đăng ký điểm (registration)</s:t>
        </s:is>
      </s:c>
      <s:c r="B14481" s="83" t="inlineStr">
        <s:is>
          <s:r>
            <s:t>Reset S01=29 Đỏ và rule cuối/</s:t>
          </s:r>
          <s:r>
            <s:rPr>
              <s:b val="1"/>
            </s:rPr>
            <s:t>T=30</s:t>
          </s:r>
          <s:r>
            <s:t>; xóa rule, đọc trước chạy; đăng ký lại điểm G-A, đọc ba đầu ra/cấu hình.</s:t>
          </s:r>
        </s:is>
      </s:c>
      <s:c r="C14481" s="83" t="inlineStr">
        <s:is>
          <s:r>
            <s:t xml:space="preserve">1–2. Danh sách rỗng nhưng S01 vẫn hiện dấu đỏ/thỏa lọc ở ba đầu ra.
3–4. Lần chạy xét cả mục đã hết quy tắc: S01 </s:t>
          </s:r>
          <s:r>
            <s:rPr>
              <s:b val="1"/>
            </s:rPr>
            <s:t>Không áp dụng</s:t>
          </s:r>
          <s:r>
            <s:t>, ngừng dấu/lọc; điểm giữ nguyên. Cấu hình trình bày đỏ đã lưu ở đầu ra không bị xóa như tác dụng phụ.</s:t>
          </s:r>
        </s:is>
      </s:c>
      <s:c r="D14481" s="117" t="inlineStr"/>
      <s:c r="E14481" s="118" t="inlineStr">
        <s:is>
          <s:t>Chưa thực hiện</s:t>
        </s:is>
      </s:c>
    </s:row>
    <s:row r="14482" ht="3" customHeight="1">
      <s:c r="A14482" s="102" t="inlineStr"/>
      <s:c r="B14482" s="99" t="n"/>
      <s:c r="C14482" s="99" t="n"/>
      <s:c r="D14482" s="116" t="n"/>
      <s:c r="E14482" s="116" t="n"/>
    </s:row>
    <s:row r="14483" ht="104" customHeight="1">
      <s:c r="A14483" s="83" t="inlineStr">
        <s:is>
          <s:t>Chạy lại bằng nút cam, reset baseline trước lượt này (batch)</s:t>
        </s:is>
      </s:c>
      <s:c r="B14483" s="83" t="inlineStr">
        <s:is>
          <s:r>
            <s:t>Reset độc lập S01=29 Đỏ và rule cuối/</s:t>
          </s:r>
          <s:r>
            <s:rPr>
              <s:b val="1"/>
            </s:rPr>
            <s:t>T=30</s:t>
          </s:r>
          <s:r>
            <s:t>; xóa rule, đọc trước chạy; chạy nút cam, đọc ba đầu ra/cấu hình.</s:t>
          </s:r>
        </s:is>
      </s:c>
      <s:c r="C14483" s="83" t="inlineStr">
        <s:is>
          <s:r>
            <s:t xml:space="preserve">1–2. Danh sách rỗng nhưng S01 vẫn hiện dấu đỏ/thỏa lọc ở ba đầu ra.
3–4. Lần chạy xét cả mục đã hết quy tắc: S01 </s:t>
          </s:r>
          <s:r>
            <s:rPr>
              <s:b val="1"/>
            </s:rPr>
            <s:t>Không áp dụng</s:t>
          </s:r>
          <s:r>
            <s:t>, ngừng dấu/lọc; điểm giữ nguyên. Cấu hình trình bày đỏ đã lưu ở đầu ra không bị xóa như tác dụng phụ.</s:t>
          </s:r>
        </s:is>
      </s:c>
      <s:c r="D14483" s="117" t="inlineStr"/>
      <s:c r="E14483" s="118" t="inlineStr">
        <s:is>
          <s:t>Chưa thực hiện</s:t>
        </s:is>
      </s:c>
    </s:row>
    <s:row r="14484" ht="20" customHeight="1">
      <s:c r="A14484" s="119" t="inlineStr">
        <s:is>
          <s:t>Ảnh minh chứng — Chưa có ảnh</s:t>
        </s:is>
      </s:c>
      <s:c r="B14484" s="19" t="n"/>
      <s:c r="C14484" s="19" t="n"/>
      <s:c r="D14484" s="19" t="n"/>
      <s:c r="E14484" s="19" t="n"/>
    </s:row>
    <s:row r="14485" hidden="1" ht="1" customHeight="1">
      <s:c r="A14485" s="120" t="inlineStr"/>
      <s:c r="B14485" s="121" t="n"/>
      <s:c r="C14485" s="121" t="n"/>
      <s:c r="D14485" s="121" t="n"/>
      <s:c r="E14485" s="122" t="n"/>
    </s:row>
    <s:row r="14486" hidden="1" ht="1" customHeight="1">
      <s:c r="A14486" s="120" t="inlineStr"/>
      <s:c r="B14486" s="121" t="n"/>
      <s:c r="C14486" s="121" t="n"/>
      <s:c r="D14486" s="121" t="n"/>
      <s:c r="E14486" s="122" t="n"/>
    </s:row>
    <s:row r="14487" hidden="1" ht="1" customHeight="1">
      <s:c r="A14487" s="120" t="inlineStr"/>
      <s:c r="B14487" s="121" t="n"/>
      <s:c r="C14487" s="121" t="n"/>
      <s:c r="D14487" s="121" t="n"/>
      <s:c r="E14487" s="122" t="n"/>
    </s:row>
    <s:row r="14488" hidden="1" ht="1" customHeight="1">
      <s:c r="A14488" s="120" t="inlineStr"/>
      <s:c r="B14488" s="121" t="n"/>
      <s:c r="C14488" s="121" t="n"/>
      <s:c r="D14488" s="121" t="n"/>
      <s:c r="E14488" s="122" t="n"/>
    </s:row>
    <s:row r="14489" hidden="1" ht="1" customHeight="1">
      <s:c r="A14489" s="120" t="inlineStr"/>
      <s:c r="B14489" s="121" t="n"/>
      <s:c r="C14489" s="121" t="n"/>
      <s:c r="D14489" s="121" t="n"/>
      <s:c r="E14489" s="122" t="n"/>
    </s:row>
    <s:row r="14490" hidden="1" ht="1" customHeight="1">
      <s:c r="A14490" s="120" t="inlineStr"/>
      <s:c r="B14490" s="121" t="n"/>
      <s:c r="C14490" s="121" t="n"/>
      <s:c r="D14490" s="121" t="n"/>
      <s:c r="E14490" s="122" t="n"/>
    </s:row>
    <s:row r="14491" hidden="1" ht="1" customHeight="1">
      <s:c r="A14491" s="120" t="inlineStr"/>
      <s:c r="B14491" s="121" t="n"/>
      <s:c r="C14491" s="121" t="n"/>
      <s:c r="D14491" s="121" t="n"/>
      <s:c r="E14491" s="122" t="n"/>
    </s:row>
    <s:row r="14492" hidden="1" ht="1" customHeight="1">
      <s:c r="A14492" s="120" t="inlineStr"/>
      <s:c r="B14492" s="121" t="n"/>
      <s:c r="C14492" s="121" t="n"/>
      <s:c r="D14492" s="121" t="n"/>
      <s:c r="E14492" s="122" t="n"/>
    </s:row>
    <s:row r="14493" hidden="1" ht="1" customHeight="1">
      <s:c r="A14493" s="120" t="inlineStr"/>
      <s:c r="B14493" s="121" t="n"/>
      <s:c r="C14493" s="121" t="n"/>
      <s:c r="D14493" s="121" t="n"/>
      <s:c r="E14493" s="122" t="n"/>
    </s:row>
    <s:row r="14494" hidden="1" ht="1" customHeight="1">
      <s:c r="A14494" s="120" t="inlineStr"/>
      <s:c r="B14494" s="121" t="n"/>
      <s:c r="C14494" s="121" t="n"/>
      <s:c r="D14494" s="121" t="n"/>
      <s:c r="E14494" s="122" t="n"/>
    </s:row>
    <s:row r="14495" hidden="1" ht="1" customHeight="1">
      <s:c r="A14495" s="120" t="inlineStr"/>
      <s:c r="B14495" s="121" t="n"/>
      <s:c r="C14495" s="121" t="n"/>
      <s:c r="D14495" s="121" t="n"/>
      <s:c r="E14495" s="122" t="n"/>
    </s:row>
    <s:row r="14496" hidden="1" ht="1" customHeight="1">
      <s:c r="A14496" s="120" t="inlineStr"/>
      <s:c r="B14496" s="121" t="n"/>
      <s:c r="C14496" s="121" t="n"/>
      <s:c r="D14496" s="121" t="n"/>
      <s:c r="E14496" s="122" t="n"/>
    </s:row>
    <s:row r="14497" hidden="1" ht="1" customHeight="1">
      <s:c r="A14497" s="120" t="inlineStr"/>
      <s:c r="B14497" s="121" t="n"/>
      <s:c r="C14497" s="121" t="n"/>
      <s:c r="D14497" s="121" t="n"/>
      <s:c r="E14497" s="122" t="n"/>
    </s:row>
    <s:row r="14498" hidden="1" ht="1" customHeight="1">
      <s:c r="A14498" s="120" t="inlineStr"/>
      <s:c r="B14498" s="121" t="n"/>
      <s:c r="C14498" s="121" t="n"/>
      <s:c r="D14498" s="121" t="n"/>
      <s:c r="E14498" s="122" t="n"/>
    </s:row>
    <s:row r="14499" hidden="1" ht="1" customHeight="1">
      <s:c r="A14499" s="120" t="inlineStr"/>
      <s:c r="B14499" s="121" t="n"/>
      <s:c r="C14499" s="121" t="n"/>
      <s:c r="D14499" s="121" t="n"/>
      <s:c r="E14499" s="122" t="n"/>
    </s:row>
    <s:row r="14500" hidden="1" ht="1" customHeight="1">
      <s:c r="A14500" s="120" t="inlineStr"/>
      <s:c r="B14500" s="121" t="n"/>
      <s:c r="C14500" s="121" t="n"/>
      <s:c r="D14500" s="121" t="n"/>
      <s:c r="E14500" s="122" t="n"/>
    </s:row>
    <s:row r="14501" hidden="1" ht="1" customHeight="1">
      <s:c r="A14501" s="120" t="inlineStr"/>
      <s:c r="B14501" s="121" t="n"/>
      <s:c r="C14501" s="121" t="n"/>
      <s:c r="D14501" s="121" t="n"/>
      <s:c r="E14501" s="122" t="n"/>
    </s:row>
    <s:row r="14502" hidden="1" ht="1" customHeight="1">
      <s:c r="A14502" s="120" t="inlineStr"/>
      <s:c r="B14502" s="121" t="n"/>
      <s:c r="C14502" s="121" t="n"/>
      <s:c r="D14502" s="121" t="n"/>
      <s:c r="E14502" s="122" t="n"/>
    </s:row>
    <s:row r="14503" hidden="1" ht="1" customHeight="1">
      <s:c r="A14503" s="120" t="inlineStr"/>
      <s:c r="B14503" s="121" t="n"/>
      <s:c r="C14503" s="121" t="n"/>
      <s:c r="D14503" s="121" t="n"/>
      <s:c r="E14503" s="122" t="n"/>
    </s:row>
    <s:row r="14504" hidden="1" ht="1" customHeight="1">
      <s:c r="A14504" s="120" t="inlineStr"/>
      <s:c r="B14504" s="121" t="n"/>
      <s:c r="C14504" s="121" t="n"/>
      <s:c r="D14504" s="121" t="n"/>
      <s:c r="E14504" s="122" t="n"/>
    </s:row>
    <s:row r="14505" hidden="1" ht="1" customHeight="1">
      <s:c r="A14505" s="120" t="inlineStr"/>
      <s:c r="B14505" s="121" t="n"/>
      <s:c r="C14505" s="121" t="n"/>
      <s:c r="D14505" s="121" t="n"/>
      <s:c r="E14505" s="122" t="n"/>
    </s:row>
    <s:row r="14506" hidden="1" ht="1" customHeight="1">
      <s:c r="A14506" s="120" t="inlineStr"/>
      <s:c r="B14506" s="121" t="n"/>
      <s:c r="C14506" s="121" t="n"/>
      <s:c r="D14506" s="121" t="n"/>
      <s:c r="E14506" s="122" t="n"/>
    </s:row>
    <s:row r="14507" hidden="1" ht="1" customHeight="1">
      <s:c r="A14507" s="120" t="inlineStr"/>
      <s:c r="B14507" s="121" t="n"/>
      <s:c r="C14507" s="121" t="n"/>
      <s:c r="D14507" s="121" t="n"/>
      <s:c r="E14507" s="122" t="n"/>
    </s:row>
    <s:row r="14508" hidden="1" ht="1" customHeight="1">
      <s:c r="A14508" s="120" t="inlineStr"/>
      <s:c r="B14508" s="121" t="n"/>
      <s:c r="C14508" s="121" t="n"/>
      <s:c r="D14508" s="121" t="n"/>
      <s:c r="E14508" s="122" t="n"/>
    </s:row>
    <s:row r="14509" hidden="1" ht="1" customHeight="1">
      <s:c r="A14509" s="120" t="inlineStr"/>
      <s:c r="B14509" s="121" t="n"/>
      <s:c r="C14509" s="121" t="n"/>
      <s:c r="D14509" s="121" t="n"/>
      <s:c r="E14509" s="122" t="n"/>
    </s:row>
    <s:row r="14510" hidden="1" ht="1" customHeight="1">
      <s:c r="A14510" s="120" t="inlineStr"/>
      <s:c r="B14510" s="121" t="n"/>
      <s:c r="C14510" s="121" t="n"/>
      <s:c r="D14510" s="121" t="n"/>
      <s:c r="E14510" s="122" t="n"/>
    </s:row>
    <s:row r="14511" hidden="1" ht="1" customHeight="1">
      <s:c r="A14511" s="120" t="inlineStr"/>
      <s:c r="B14511" s="121" t="n"/>
      <s:c r="C14511" s="121" t="n"/>
      <s:c r="D14511" s="121" t="n"/>
      <s:c r="E14511" s="122" t="n"/>
    </s:row>
    <s:row r="14512" hidden="1" ht="1" customHeight="1">
      <s:c r="A14512" s="120" t="inlineStr"/>
      <s:c r="B14512" s="121" t="n"/>
      <s:c r="C14512" s="121" t="n"/>
      <s:c r="D14512" s="121" t="n"/>
      <s:c r="E14512" s="122" t="n"/>
    </s:row>
    <s:row r="14513" hidden="1" ht="1" customHeight="1">
      <s:c r="A14513" s="120" t="inlineStr"/>
      <s:c r="B14513" s="121" t="n"/>
      <s:c r="C14513" s="121" t="n"/>
      <s:c r="D14513" s="121" t="n"/>
      <s:c r="E14513" s="122" t="n"/>
    </s:row>
    <s:row r="14514" hidden="1" ht="1" customHeight="1">
      <s:c r="A14514" s="120" t="inlineStr"/>
      <s:c r="B14514" s="121" t="n"/>
      <s:c r="C14514" s="121" t="n"/>
      <s:c r="D14514" s="121" t="n"/>
      <s:c r="E14514" s="122" t="n"/>
    </s:row>
    <s:row r="14515" hidden="1" ht="1" customHeight="1">
      <s:c r="A14515" s="120" t="inlineStr"/>
      <s:c r="B14515" s="121" t="n"/>
      <s:c r="C14515" s="121" t="n"/>
      <s:c r="D14515" s="121" t="n"/>
      <s:c r="E14515" s="122" t="n"/>
    </s:row>
    <s:row r="14516" hidden="1" ht="1" customHeight="1">
      <s:c r="A14516" s="120" t="inlineStr"/>
      <s:c r="B14516" s="121" t="n"/>
      <s:c r="C14516" s="121" t="n"/>
      <s:c r="D14516" s="121" t="n"/>
      <s:c r="E14516" s="122" t="n"/>
    </s:row>
    <s:row r="14517" hidden="1" ht="1" customHeight="1">
      <s:c r="A14517" s="120" t="inlineStr"/>
      <s:c r="B14517" s="121" t="n"/>
      <s:c r="C14517" s="121" t="n"/>
      <s:c r="D14517" s="121" t="n"/>
      <s:c r="E14517" s="122" t="n"/>
    </s:row>
    <s:row r="14518" hidden="1" ht="1" customHeight="1">
      <s:c r="A14518" s="120" t="inlineStr"/>
      <s:c r="B14518" s="121" t="n"/>
      <s:c r="C14518" s="121" t="n"/>
      <s:c r="D14518" s="121" t="n"/>
      <s:c r="E14518" s="122" t="n"/>
    </s:row>
    <s:row r="14519" hidden="1" ht="1" customHeight="1">
      <s:c r="A14519" s="120" t="inlineStr"/>
      <s:c r="B14519" s="121" t="n"/>
      <s:c r="C14519" s="121" t="n"/>
      <s:c r="D14519" s="121" t="n"/>
      <s:c r="E14519" s="122" t="n"/>
    </s:row>
    <s:row r="14520" hidden="1" ht="1" customHeight="1">
      <s:c r="A14520" s="120" t="inlineStr"/>
      <s:c r="B14520" s="121" t="n"/>
      <s:c r="C14520" s="121" t="n"/>
      <s:c r="D14520" s="121" t="n"/>
      <s:c r="E14520" s="122" t="n"/>
    </s:row>
    <s:row r="14521" hidden="1" ht="1" customHeight="1">
      <s:c r="A14521" s="120" t="inlineStr"/>
      <s:c r="B14521" s="121" t="n"/>
      <s:c r="C14521" s="121" t="n"/>
      <s:c r="D14521" s="121" t="n"/>
      <s:c r="E14521" s="122" t="n"/>
    </s:row>
    <s:row r="14522" hidden="1" ht="1" customHeight="1">
      <s:c r="A14522" s="120" t="inlineStr"/>
      <s:c r="B14522" s="121" t="n"/>
      <s:c r="C14522" s="121" t="n"/>
      <s:c r="D14522" s="121" t="n"/>
      <s:c r="E14522" s="122" t="n"/>
    </s:row>
    <s:row r="14523" hidden="1" ht="1" customHeight="1">
      <s:c r="A14523" s="120" t="inlineStr"/>
      <s:c r="B14523" s="121" t="n"/>
      <s:c r="C14523" s="121" t="n"/>
      <s:c r="D14523" s="121" t="n"/>
      <s:c r="E14523" s="122" t="n"/>
    </s:row>
    <s:row r="14524" hidden="1" ht="1" customHeight="1">
      <s:c r="A14524" s="120" t="inlineStr"/>
      <s:c r="B14524" s="121" t="n"/>
      <s:c r="C14524" s="121" t="n"/>
      <s:c r="D14524" s="121" t="n"/>
      <s:c r="E14524" s="122" t="n"/>
    </s:row>
    <s:row r="14525" hidden="1" ht="1" customHeight="1">
      <s:c r="A14525" s="120" t="inlineStr"/>
      <s:c r="B14525" s="121" t="n"/>
      <s:c r="C14525" s="121" t="n"/>
      <s:c r="D14525" s="121" t="n"/>
      <s:c r="E14525" s="122" t="n"/>
    </s:row>
    <s:row r="14526" hidden="1" ht="1" customHeight="1">
      <s:c r="A14526" s="120" t="inlineStr"/>
      <s:c r="B14526" s="121" t="n"/>
      <s:c r="C14526" s="121" t="n"/>
      <s:c r="D14526" s="121" t="n"/>
      <s:c r="E14526" s="122" t="n"/>
    </s:row>
    <s:row r="14527" hidden="1" ht="1" customHeight="1">
      <s:c r="A14527" s="120" t="inlineStr"/>
      <s:c r="B14527" s="121" t="n"/>
      <s:c r="C14527" s="121" t="n"/>
      <s:c r="D14527" s="121" t="n"/>
      <s:c r="E14527" s="122" t="n"/>
    </s:row>
    <s:row r="14528" hidden="1" ht="1" customHeight="1">
      <s:c r="A14528" s="120" t="inlineStr"/>
      <s:c r="B14528" s="121" t="n"/>
      <s:c r="C14528" s="121" t="n"/>
      <s:c r="D14528" s="121" t="n"/>
      <s:c r="E14528" s="122" t="n"/>
    </s:row>
    <s:row r="14529" hidden="1" ht="1" customHeight="1">
      <s:c r="A14529" s="120" t="inlineStr"/>
      <s:c r="B14529" s="121" t="n"/>
      <s:c r="C14529" s="121" t="n"/>
      <s:c r="D14529" s="121" t="n"/>
      <s:c r="E14529" s="122" t="n"/>
    </s:row>
    <s:row r="14530" hidden="1" ht="1" customHeight="1">
      <s:c r="A14530" s="120" t="inlineStr"/>
      <s:c r="B14530" s="121" t="n"/>
      <s:c r="C14530" s="121" t="n"/>
      <s:c r="D14530" s="121" t="n"/>
      <s:c r="E14530" s="122" t="n"/>
    </s:row>
    <s:row r="14531" hidden="1" ht="1" customHeight="1">
      <s:c r="A14531" s="120" t="inlineStr"/>
      <s:c r="B14531" s="121" t="n"/>
      <s:c r="C14531" s="121" t="n"/>
      <s:c r="D14531" s="121" t="n"/>
      <s:c r="E14531" s="122" t="n"/>
    </s:row>
    <s:row r="14532" hidden="1" ht="1" customHeight="1">
      <s:c r="A14532" s="120" t="inlineStr"/>
      <s:c r="B14532" s="121" t="n"/>
      <s:c r="C14532" s="121" t="n"/>
      <s:c r="D14532" s="121" t="n"/>
      <s:c r="E14532" s="122" t="n"/>
    </s:row>
    <s:row r="14533" hidden="1" ht="1" customHeight="1">
      <s:c r="A14533" s="120" t="inlineStr"/>
      <s:c r="B14533" s="121" t="n"/>
      <s:c r="C14533" s="121" t="n"/>
      <s:c r="D14533" s="121" t="n"/>
      <s:c r="E14533" s="122" t="n"/>
    </s:row>
    <s:row r="14534" hidden="1" ht="1" customHeight="1">
      <s:c r="A14534" s="120" t="inlineStr"/>
      <s:c r="B14534" s="121" t="n"/>
      <s:c r="C14534" s="121" t="n"/>
      <s:c r="D14534" s="121" t="n"/>
      <s:c r="E14534" s="122" t="n"/>
    </s:row>
    <s:row r="14535" hidden="1" ht="1" customHeight="1">
      <s:c r="A14535" s="120" t="inlineStr"/>
      <s:c r="B14535" s="121" t="n"/>
      <s:c r="C14535" s="121" t="n"/>
      <s:c r="D14535" s="121" t="n"/>
      <s:c r="E14535" s="122" t="n"/>
    </s:row>
    <s:row r="14536" hidden="1" ht="1" customHeight="1">
      <s:c r="A14536" s="120" t="inlineStr"/>
      <s:c r="B14536" s="121" t="n"/>
      <s:c r="C14536" s="121" t="n"/>
      <s:c r="D14536" s="121" t="n"/>
      <s:c r="E14536" s="122" t="n"/>
    </s:row>
    <s:row r="14537" hidden="1" ht="1" customHeight="1">
      <s:c r="A14537" s="120" t="inlineStr"/>
      <s:c r="B14537" s="121" t="n"/>
      <s:c r="C14537" s="121" t="n"/>
      <s:c r="D14537" s="121" t="n"/>
      <s:c r="E14537" s="122" t="n"/>
    </s:row>
    <s:row r="14538" hidden="1" ht="1" customHeight="1">
      <s:c r="A14538" s="120" t="inlineStr"/>
      <s:c r="B14538" s="121" t="n"/>
      <s:c r="C14538" s="121" t="n"/>
      <s:c r="D14538" s="121" t="n"/>
      <s:c r="E14538" s="122" t="n"/>
    </s:row>
    <s:row r="14539" hidden="1" ht="1" customHeight="1">
      <s:c r="A14539" s="120" t="inlineStr"/>
      <s:c r="B14539" s="121" t="n"/>
      <s:c r="C14539" s="121" t="n"/>
      <s:c r="D14539" s="121" t="n"/>
      <s:c r="E14539" s="122" t="n"/>
    </s:row>
    <s:row r="14540" hidden="1" ht="1" customHeight="1">
      <s:c r="A14540" s="120" t="inlineStr"/>
      <s:c r="B14540" s="121" t="n"/>
      <s:c r="C14540" s="121" t="n"/>
      <s:c r="D14540" s="121" t="n"/>
      <s:c r="E14540" s="122" t="n"/>
    </s:row>
    <s:row r="14541" hidden="1" ht="1" customHeight="1">
      <s:c r="A14541" s="120" t="inlineStr"/>
      <s:c r="B14541" s="121" t="n"/>
      <s:c r="C14541" s="121" t="n"/>
      <s:c r="D14541" s="121" t="n"/>
      <s:c r="E14541" s="122" t="n"/>
    </s:row>
    <s:row r="14542" hidden="1" ht="1" customHeight="1">
      <s:c r="A14542" s="120" t="inlineStr"/>
      <s:c r="B14542" s="121" t="n"/>
      <s:c r="C14542" s="121" t="n"/>
      <s:c r="D14542" s="121" t="n"/>
      <s:c r="E14542" s="122" t="n"/>
    </s:row>
    <s:row r="14543" hidden="1" ht="1" customHeight="1">
      <s:c r="A14543" s="120" t="inlineStr"/>
      <s:c r="B14543" s="121" t="n"/>
      <s:c r="C14543" s="121" t="n"/>
      <s:c r="D14543" s="121" t="n"/>
      <s:c r="E14543" s="122" t="n"/>
    </s:row>
    <s:row r="14544" hidden="1" ht="1" customHeight="1">
      <s:c r="A14544" s="120" t="inlineStr"/>
      <s:c r="B14544" s="121" t="n"/>
      <s:c r="C14544" s="121" t="n"/>
      <s:c r="D14544" s="121" t="n"/>
      <s:c r="E14544" s="122" t="n"/>
    </s:row>
    <s:row r="14545" hidden="1" ht="1" customHeight="1">
      <s:c r="A14545" s="120" t="inlineStr"/>
      <s:c r="B14545" s="121" t="n"/>
      <s:c r="C14545" s="121" t="n"/>
      <s:c r="D14545" s="121" t="n"/>
      <s:c r="E14545" s="122" t="n"/>
    </s:row>
    <s:row r="14546" hidden="1" ht="1" customHeight="1">
      <s:c r="A14546" s="120" t="inlineStr"/>
      <s:c r="B14546" s="121" t="n"/>
      <s:c r="C14546" s="121" t="n"/>
      <s:c r="D14546" s="121" t="n"/>
      <s:c r="E14546" s="122" t="n"/>
    </s:row>
    <s:row r="14547" hidden="1" ht="1" customHeight="1">
      <s:c r="A14547" s="120" t="inlineStr"/>
      <s:c r="B14547" s="121" t="n"/>
      <s:c r="C14547" s="121" t="n"/>
      <s:c r="D14547" s="121" t="n"/>
      <s:c r="E14547" s="122" t="n"/>
    </s:row>
    <s:row r="14548" hidden="1" ht="1" customHeight="1">
      <s:c r="A14548" s="120" t="inlineStr"/>
      <s:c r="B14548" s="121" t="n"/>
      <s:c r="C14548" s="121" t="n"/>
      <s:c r="D14548" s="121" t="n"/>
      <s:c r="E14548" s="122" t="n"/>
    </s:row>
    <s:row r="14549" hidden="1" ht="1" customHeight="1">
      <s:c r="A14549" s="120" t="inlineStr"/>
      <s:c r="B14549" s="121" t="n"/>
      <s:c r="C14549" s="121" t="n"/>
      <s:c r="D14549" s="121" t="n"/>
      <s:c r="E14549" s="122" t="n"/>
    </s:row>
    <s:row r="14550" hidden="1" ht="1" customHeight="1">
      <s:c r="A14550" s="120" t="inlineStr"/>
      <s:c r="B14550" s="121" t="n"/>
      <s:c r="C14550" s="121" t="n"/>
      <s:c r="D14550" s="121" t="n"/>
      <s:c r="E14550" s="122" t="n"/>
    </s:row>
    <s:row r="14551" hidden="1" ht="1" customHeight="1">
      <s:c r="A14551" s="120" t="inlineStr"/>
      <s:c r="B14551" s="121" t="n"/>
      <s:c r="C14551" s="121" t="n"/>
      <s:c r="D14551" s="121" t="n"/>
      <s:c r="E14551" s="122" t="n"/>
    </s:row>
    <s:row r="14552" hidden="1" ht="1" customHeight="1">
      <s:c r="A14552" s="120" t="inlineStr"/>
      <s:c r="B14552" s="121" t="n"/>
      <s:c r="C14552" s="121" t="n"/>
      <s:c r="D14552" s="121" t="n"/>
      <s:c r="E14552" s="122" t="n"/>
    </s:row>
    <s:row r="14553" hidden="1" ht="1" customHeight="1">
      <s:c r="A14553" s="120" t="inlineStr"/>
      <s:c r="B14553" s="121" t="n"/>
      <s:c r="C14553" s="121" t="n"/>
      <s:c r="D14553" s="121" t="n"/>
      <s:c r="E14553" s="122" t="n"/>
    </s:row>
    <s:row r="14554" hidden="1" ht="1" customHeight="1">
      <s:c r="A14554" s="120" t="inlineStr"/>
      <s:c r="B14554" s="121" t="n"/>
      <s:c r="C14554" s="121" t="n"/>
      <s:c r="D14554" s="121" t="n"/>
      <s:c r="E14554" s="122" t="n"/>
    </s:row>
    <s:row r="14555" hidden="1" ht="1" customHeight="1">
      <s:c r="A14555" s="120" t="inlineStr"/>
      <s:c r="B14555" s="121" t="n"/>
      <s:c r="C14555" s="121" t="n"/>
      <s:c r="D14555" s="121" t="n"/>
      <s:c r="E14555" s="122" t="n"/>
    </s:row>
    <s:row r="14556" hidden="1" ht="1" customHeight="1">
      <s:c r="A14556" s="120" t="inlineStr"/>
      <s:c r="B14556" s="121" t="n"/>
      <s:c r="C14556" s="121" t="n"/>
      <s:c r="D14556" s="121" t="n"/>
      <s:c r="E14556" s="122" t="n"/>
    </s:row>
    <s:row r="14557" hidden="1" ht="1" customHeight="1">
      <s:c r="A14557" s="120" t="inlineStr"/>
      <s:c r="B14557" s="121" t="n"/>
      <s:c r="C14557" s="121" t="n"/>
      <s:c r="D14557" s="121" t="n"/>
      <s:c r="E14557" s="122" t="n"/>
    </s:row>
    <s:row r="14558" hidden="1" ht="1" customHeight="1">
      <s:c r="A14558" s="120" t="inlineStr"/>
      <s:c r="B14558" s="121" t="n"/>
      <s:c r="C14558" s="121" t="n"/>
      <s:c r="D14558" s="121" t="n"/>
      <s:c r="E14558" s="122" t="n"/>
    </s:row>
    <s:row r="14559" hidden="1" ht="1" customHeight="1">
      <s:c r="A14559" s="120" t="inlineStr"/>
      <s:c r="B14559" s="121" t="n"/>
      <s:c r="C14559" s="121" t="n"/>
      <s:c r="D14559" s="121" t="n"/>
      <s:c r="E14559" s="122" t="n"/>
    </s:row>
    <s:row r="14560" hidden="1" ht="1" customHeight="1">
      <s:c r="A14560" s="120" t="inlineStr"/>
      <s:c r="B14560" s="121" t="n"/>
      <s:c r="C14560" s="121" t="n"/>
      <s:c r="D14560" s="121" t="n"/>
      <s:c r="E14560" s="122" t="n"/>
    </s:row>
    <s:row r="14561" hidden="1" ht="1" customHeight="1">
      <s:c r="A14561" s="120" t="inlineStr"/>
      <s:c r="B14561" s="121" t="n"/>
      <s:c r="C14561" s="121" t="n"/>
      <s:c r="D14561" s="121" t="n"/>
      <s:c r="E14561" s="122" t="n"/>
    </s:row>
    <s:row r="14562" hidden="1" ht="1" customHeight="1">
      <s:c r="A14562" s="120" t="inlineStr"/>
      <s:c r="B14562" s="121" t="n"/>
      <s:c r="C14562" s="121" t="n"/>
      <s:c r="D14562" s="121" t="n"/>
      <s:c r="E14562" s="122" t="n"/>
    </s:row>
    <s:row r="14563" hidden="1" ht="1" customHeight="1">
      <s:c r="A14563" s="120" t="inlineStr"/>
      <s:c r="B14563" s="121" t="n"/>
      <s:c r="C14563" s="121" t="n"/>
      <s:c r="D14563" s="121" t="n"/>
      <s:c r="E14563" s="122" t="n"/>
    </s:row>
    <s:row r="14564" hidden="1" ht="1" customHeight="1">
      <s:c r="A14564" s="120" t="inlineStr"/>
      <s:c r="B14564" s="121" t="n"/>
      <s:c r="C14564" s="121" t="n"/>
      <s:c r="D14564" s="121" t="n"/>
      <s:c r="E14564" s="122" t="n"/>
    </s:row>
    <s:row r="14565" hidden="1" ht="1" customHeight="1">
      <s:c r="A14565" s="120" t="inlineStr"/>
      <s:c r="B14565" s="121" t="n"/>
      <s:c r="C14565" s="121" t="n"/>
      <s:c r="D14565" s="121" t="n"/>
      <s:c r="E14565" s="122" t="n"/>
    </s:row>
    <s:row r="14566" hidden="1" ht="1" customHeight="1">
      <s:c r="A14566" s="120" t="inlineStr"/>
      <s:c r="B14566" s="121" t="n"/>
      <s:c r="C14566" s="121" t="n"/>
      <s:c r="D14566" s="121" t="n"/>
      <s:c r="E14566" s="122" t="n"/>
    </s:row>
    <s:row r="14567" hidden="1" ht="1" customHeight="1">
      <s:c r="A14567" s="120" t="inlineStr"/>
      <s:c r="B14567" s="121" t="n"/>
      <s:c r="C14567" s="121" t="n"/>
      <s:c r="D14567" s="121" t="n"/>
      <s:c r="E14567" s="122" t="n"/>
    </s:row>
    <s:row r="14568" hidden="1" ht="1" customHeight="1">
      <s:c r="A14568" s="120" t="inlineStr"/>
      <s:c r="B14568" s="121" t="n"/>
      <s:c r="C14568" s="121" t="n"/>
      <s:c r="D14568" s="121" t="n"/>
      <s:c r="E14568" s="122" t="n"/>
    </s:row>
    <s:row r="14569" hidden="1" ht="1" customHeight="1">
      <s:c r="A14569" s="120" t="inlineStr"/>
      <s:c r="B14569" s="121" t="n"/>
      <s:c r="C14569" s="121" t="n"/>
      <s:c r="D14569" s="121" t="n"/>
      <s:c r="E14569" s="122" t="n"/>
    </s:row>
    <s:row r="14570" hidden="1" ht="1" customHeight="1">
      <s:c r="A14570" s="120" t="inlineStr"/>
      <s:c r="B14570" s="121" t="n"/>
      <s:c r="C14570" s="121" t="n"/>
      <s:c r="D14570" s="121" t="n"/>
      <s:c r="E14570" s="122" t="n"/>
    </s:row>
    <s:row r="14571" hidden="1" ht="1" customHeight="1">
      <s:c r="A14571" s="120" t="inlineStr"/>
      <s:c r="B14571" s="121" t="n"/>
      <s:c r="C14571" s="121" t="n"/>
      <s:c r="D14571" s="121" t="n"/>
      <s:c r="E14571" s="122" t="n"/>
    </s:row>
    <s:row r="14572" hidden="1" ht="1" customHeight="1">
      <s:c r="A14572" s="120" t="inlineStr"/>
      <s:c r="B14572" s="121" t="n"/>
      <s:c r="C14572" s="121" t="n"/>
      <s:c r="D14572" s="121" t="n"/>
      <s:c r="E14572" s="122" t="n"/>
    </s:row>
    <s:row r="14573" hidden="1" ht="1" customHeight="1">
      <s:c r="A14573" s="120" t="inlineStr"/>
      <s:c r="B14573" s="121" t="n"/>
      <s:c r="C14573" s="121" t="n"/>
      <s:c r="D14573" s="121" t="n"/>
      <s:c r="E14573" s="122" t="n"/>
    </s:row>
    <s:row r="14574" hidden="1" ht="1" customHeight="1">
      <s:c r="A14574" s="120" t="inlineStr"/>
      <s:c r="B14574" s="121" t="n"/>
      <s:c r="C14574" s="121" t="n"/>
      <s:c r="D14574" s="121" t="n"/>
      <s:c r="E14574" s="122" t="n"/>
    </s:row>
    <s:row r="14575" hidden="1" ht="1" customHeight="1">
      <s:c r="A14575" s="120" t="inlineStr"/>
      <s:c r="B14575" s="121" t="n"/>
      <s:c r="C14575" s="121" t="n"/>
      <s:c r="D14575" s="121" t="n"/>
      <s:c r="E14575" s="122" t="n"/>
    </s:row>
    <s:row r="14576" hidden="1" ht="1" customHeight="1">
      <s:c r="A14576" s="120" t="inlineStr"/>
      <s:c r="B14576" s="121" t="n"/>
      <s:c r="C14576" s="121" t="n"/>
      <s:c r="D14576" s="121" t="n"/>
      <s:c r="E14576" s="122" t="n"/>
    </s:row>
    <s:row r="14577" hidden="1" ht="1" customHeight="1">
      <s:c r="A14577" s="120" t="inlineStr"/>
      <s:c r="B14577" s="121" t="n"/>
      <s:c r="C14577" s="121" t="n"/>
      <s:c r="D14577" s="121" t="n"/>
      <s:c r="E14577" s="122" t="n"/>
    </s:row>
    <s:row r="14578" hidden="1" ht="1" customHeight="1">
      <s:c r="A14578" s="120" t="inlineStr"/>
      <s:c r="B14578" s="121" t="n"/>
      <s:c r="C14578" s="121" t="n"/>
      <s:c r="D14578" s="121" t="n"/>
      <s:c r="E14578" s="122" t="n"/>
    </s:row>
    <s:row r="14579" hidden="1" ht="1" customHeight="1">
      <s:c r="A14579" s="120" t="inlineStr"/>
      <s:c r="B14579" s="121" t="n"/>
      <s:c r="C14579" s="121" t="n"/>
      <s:c r="D14579" s="121" t="n"/>
      <s:c r="E14579" s="122" t="n"/>
    </s:row>
    <s:row r="14580" hidden="1" ht="1" customHeight="1">
      <s:c r="A14580" s="120" t="inlineStr"/>
      <s:c r="B14580" s="121" t="n"/>
      <s:c r="C14580" s="121" t="n"/>
      <s:c r="D14580" s="121" t="n"/>
      <s:c r="E14580" s="122" t="n"/>
    </s:row>
    <s:row r="14581" hidden="1" ht="1" customHeight="1">
      <s:c r="A14581" s="83" t="inlineStr">
        <s:is>
          <s:t>PASS</s:t>
        </s:is>
      </s:c>
      <s:c r="B14581" s="83">
        <s:f>SUM(IF(EXACT('Kiểm thử'!E14481,"Đạt"),1,0),IF(EXACT('Kiểm thử'!E14483,"Đạt"),1,0))</s:f>
        <s:v/>
      </s:c>
      <s:c r="C14581" s="19" t="n"/>
      <s:c r="D14581" s="19" t="n"/>
      <s:c r="E14581" s="19" t="n"/>
    </s:row>
    <s:row r="14582" hidden="1" ht="1" customHeight="1">
      <s:c r="A14582" s="83" t="inlineStr">
        <s:is>
          <s:t>FAIL</s:t>
        </s:is>
      </s:c>
      <s:c r="B14582" s="83">
        <s:f>SUM(IF(EXACT('Kiểm thử'!E14481,"Không đạt"),1,0),IF(EXACT('Kiểm thử'!E14483,"Không đạt"),1,0))</s:f>
        <s:v/>
      </s:c>
      <s:c r="C14582" s="19" t="n"/>
      <s:c r="D14582" s="19" t="n"/>
      <s:c r="E14582" s="19" t="n"/>
    </s:row>
    <s:row r="14583" hidden="1" ht="1" customHeight="1">
      <s:c r="A14583" s="83" t="inlineStr">
        <s:is>
          <s:t>BLOCKED</s:t>
        </s:is>
      </s:c>
      <s:c r="B14583" s="83">
        <s:f>SUM(IF(EXACT('Kiểm thử'!E14481,"Bị chặn"),1,0),IF(EXACT('Kiểm thử'!E14483,"Bị chặn"),1,0))</s:f>
        <s:v/>
      </s:c>
      <s:c r="C14583" s="19" t="n"/>
      <s:c r="D14583" s="19" t="n"/>
      <s:c r="E14583" s="19" t="n"/>
    </s:row>
    <s:row r="14584" hidden="1" ht="1" customHeight="1">
      <s:c r="A14584" s="83" t="inlineStr">
        <s:is>
          <s:t>SKIPPED</s:t>
        </s:is>
      </s:c>
      <s:c r="B14584" s="83">
        <s:f>SUM(IF(EXACT('Kiểm thử'!E14481,"Không thực hiện"),1,0),IF(EXACT('Kiểm thử'!E14483,"Không thực hiện"),1,0))</s:f>
        <s:v/>
      </s:c>
      <s:c r="C14584" s="19" t="n"/>
      <s:c r="D14584" s="19" t="n"/>
      <s:c r="E14584" s="19" t="n"/>
    </s:row>
    <s:row r="14585" hidden="1" ht="1" customHeight="1">
      <s:c r="A14585" s="83" t="inlineStr">
        <s:is>
          <s:t>NOT RUN</s:t>
        </s:is>
      </s:c>
      <s:c r="B14585" s="83">
        <s:f>SUM(IF(EXACT('Kiểm thử'!E14481,"Chưa thực hiện"),1,0),IF(EXACT('Kiểm thử'!E14483,"Chưa thực hiện"),1,0))</s:f>
        <s:v/>
      </s:c>
      <s:c r="C14585" s="19" t="n"/>
      <s:c r="D14585" s="19" t="n"/>
      <s:c r="E14585" s="19" t="n"/>
    </s:row>
    <s:row r="14586" hidden="1" ht="6" customHeight="1">
      <s:c r="A14586" s="83" t="inlineStr"/>
      <s:c r="B14586" s="19" t="n"/>
      <s:c r="C14586" s="19" t="n"/>
      <s:c r="D14586" s="19" t="n"/>
      <s:c r="E14586" s="19" t="n"/>
    </s:row>
    <s:row r="14587" ht="28" customHeight="1">
      <s:c r="A14587" s="108" t="inlineStr">
        <s:is>
          <s:t>TC-RS-BR-020 — Xóa điểm thành trống → Không có điểm, bỏ dấu đỏ cũ</s:t>
        </s:is>
      </s:c>
      <s:c r="B14587" s="111" t="n"/>
      <s:c r="C14587" s="111" t="n"/>
      <s:c r="D14587" s="111" t="n"/>
      <s:c r="E14587" s="111" t="n"/>
    </s:row>
    <s:row r="14588" ht="20" customHeight="1">
      <s:c r="A14588" s="112" t="inlineStr">
        <s:is>
          <s:t>Kết quả tình huống</s:t>
        </s:is>
      </s:c>
      <s:c r="B14588" s="113">
        <s:f>IF(SUM(IF(EXACT('Kiểm thử'!E14596,"Không đạt"),1,0))&gt;0,"Không đạt",IF(SUM(IF(EXACT('Kiểm thử'!E14596,"Đạt"),1,0))=1,"Đạt",IF(SUM(IF(EXACT('Kiểm thử'!E14596,"Không thực hiện"),1,0))=1,"Không thực hiện",IF(SUM(IF(EXACT('Kiểm thử'!E14596,"Bị chặn"),1,0))&gt;0,"Bị chặn",IF(SUM(IF(EXACT('Kiểm thử'!E14596,"Chưa thực hiện"),1,0))=1,"Chưa thực hiện","Đang thực hiện")))))</s:f>
        <s:v/>
      </s:c>
      <s:c r="C14588" s="114" t="n"/>
      <s:c r="D14588" s="114" t="n"/>
      <s:c r="E14588" s="114" t="n"/>
    </s:row>
    <s:row r="14589" ht="20" customHeight="1">
      <s:c r="A14589" s="112" t="inlineStr">
        <s:is>
          <s:t>Màn hình / chức năng</s:t>
        </s:is>
      </s:c>
      <s:c r="B14589" s="113" t="inlineStr">
        <s:is>
          <s:t>Vòng đời kết quả</s:t>
        </s:is>
      </s:c>
      <s:c r="C14589" s="28" t="n"/>
      <s:c r="D14589" s="28" t="n"/>
      <s:c r="E14589" s="28" t="n"/>
    </s:row>
    <s:row r="14590" ht="20" customHeight="1">
      <s:c r="A14590" s="112" t="inlineStr">
        <s:is>
          <s:t>Cấu hình</s:t>
        </s:is>
      </s:c>
      <s:c r="B14590" s="113" t="inlineStr">
        <s:is>
          <s:t>• S01=29 Đỏ.</s:t>
        </s:is>
      </s:c>
      <s:c r="C14590" s="28" t="n"/>
      <s:c r="D14590" s="28" t="n"/>
      <s:c r="E14590" s="28" t="n"/>
    </s:row>
    <s:row r="14591" ht="20" customHeight="1">
      <s:c r="A14591" s="112" t="inlineStr">
        <s:is>
          <s:t>Dữ liệu test</s:t>
        </s:is>
      </s:c>
      <s:c r="B14591" s="113" t="inlineStr">
        <s:is>
          <s:t>• Học sinh S01 (điểm 29), cấu hình trích xuất: lọc, ký hiệu “*” phía trước, tô màu</s:t>
        </s:is>
      </s:c>
      <s:c r="C14591" s="28" t="n"/>
      <s:c r="D14591" s="28" t="n"/>
      <s:c r="E14591" s="28" t="n"/>
    </s:row>
    <s:row r="14592" ht="20" customHeight="1">
      <s:c r="A14592" s="112" t="inlineStr">
        <s:is>
          <s:t>Bước 1</s:t>
        </s:is>
      </s:c>
      <s:c r="B14592" s="113" t="inlineStr">
        <s:is>
          <s:t>Xóa điểm S01 thành trống, lưu.</s:t>
        </s:is>
      </s:c>
      <s:c r="C14592" s="28" t="n"/>
      <s:c r="D14592" s="28" t="n"/>
      <s:c r="E14592" s="28" t="n"/>
    </s:row>
    <s:row r="14593" ht="20" customHeight="1">
      <s:c r="A14593" s="112" t="inlineStr">
        <s:is>
          <s:t>Bước 2</s:t>
        </s:is>
      </s:c>
      <s:c r="B14593" s="113" t="inlineStr">
        <s:is>
          <s:t>Xem ba đầu ra, chạy trích xuất có lọc đỏ.</s:t>
        </s:is>
      </s:c>
      <s:c r="C14593" s="28" t="n"/>
      <s:c r="D14593" s="28" t="n"/>
      <s:c r="E14593" s="28" t="n"/>
    </s:row>
    <s:row r="14594" ht="28" customHeight="1">
      <s:c r="A14594" s="115" t="inlineStr">
        <s:is>
          <s:t>Trường hợp</s:t>
        </s:is>
      </s:c>
      <s:c r="B14594" s="115" t="inlineStr">
        <s:is>
          <s:t>Dữ liệu / thao tác riêng</s:t>
        </s:is>
      </s:c>
      <s:c r="C14594" s="115" t="inlineStr">
        <s:is>
          <s:t>Kết quả mong đợi</s:t>
        </s:is>
      </s:c>
      <s:c r="D14594" s="115" t="inlineStr">
        <s:is>
          <s:t>Kết quả thực tế</s:t>
        </s:is>
      </s:c>
      <s:c r="E14594" s="115" t="inlineStr">
        <s:is>
          <s:t>Đánh giá</s:t>
        </s:is>
      </s:c>
    </s:row>
    <s:row r="14595" ht="3" customHeight="1">
      <s:c r="A14595" s="102" t="inlineStr"/>
      <s:c r="B14595" s="99" t="n"/>
      <s:c r="C14595" s="99" t="n"/>
      <s:c r="D14595" s="116" t="n"/>
      <s:c r="E14595" s="116" t="n"/>
    </s:row>
    <s:row r="14596" ht="62" customHeight="1">
      <s:c r="A14596" s="83" t="inlineStr">
        <s:is>
          <s:t>Trường hợp cơ bản (Base)</s:t>
        </s:is>
      </s:c>
      <s:c r="B14596" s="83" t="inlineStr">
        <s:is>
          <s:t>Toàn bộ tình huống: Thực hiện đủ các bước chung theo thứ tự; kiểm cả đối tượng đích và đối chứng cùng fixture, không bỏ bước.</s:t>
        </s:is>
      </s:c>
      <s:c r="C14596" s="83" t="inlineStr">
        <s:is>
          <s:t>S01 Không có điểm; không còn dấu đỏ; không thỏa lọc đỏ nhờ ô này. Không cần chờ chạy lại.</s:t>
        </s:is>
      </s:c>
      <s:c r="D14596" s="117" t="inlineStr"/>
      <s:c r="E14596" s="118" t="inlineStr">
        <s:is>
          <s:t>Chưa thực hiện</s:t>
        </s:is>
      </s:c>
    </s:row>
    <s:row r="14597" ht="20" customHeight="1">
      <s:c r="A14597" s="119" t="inlineStr">
        <s:is>
          <s:t>Ảnh minh chứng — Chưa có ảnh</s:t>
        </s:is>
      </s:c>
      <s:c r="B14597" s="19" t="n"/>
      <s:c r="C14597" s="19" t="n"/>
      <s:c r="D14597" s="19" t="n"/>
      <s:c r="E14597" s="19" t="n"/>
    </s:row>
    <s:row r="14598" hidden="1" ht="1" customHeight="1">
      <s:c r="A14598" s="120" t="inlineStr"/>
      <s:c r="B14598" s="121" t="n"/>
      <s:c r="C14598" s="121" t="n"/>
      <s:c r="D14598" s="121" t="n"/>
      <s:c r="E14598" s="122" t="n"/>
    </s:row>
    <s:row r="14599" hidden="1" ht="1" customHeight="1">
      <s:c r="A14599" s="120" t="inlineStr"/>
      <s:c r="B14599" s="121" t="n"/>
      <s:c r="C14599" s="121" t="n"/>
      <s:c r="D14599" s="121" t="n"/>
      <s:c r="E14599" s="122" t="n"/>
    </s:row>
    <s:row r="14600" hidden="1" ht="1" customHeight="1">
      <s:c r="A14600" s="120" t="inlineStr"/>
      <s:c r="B14600" s="121" t="n"/>
      <s:c r="C14600" s="121" t="n"/>
      <s:c r="D14600" s="121" t="n"/>
      <s:c r="E14600" s="122" t="n"/>
    </s:row>
    <s:row r="14601" hidden="1" ht="1" customHeight="1">
      <s:c r="A14601" s="120" t="inlineStr"/>
      <s:c r="B14601" s="121" t="n"/>
      <s:c r="C14601" s="121" t="n"/>
      <s:c r="D14601" s="121" t="n"/>
      <s:c r="E14601" s="122" t="n"/>
    </s:row>
    <s:row r="14602" hidden="1" ht="1" customHeight="1">
      <s:c r="A14602" s="120" t="inlineStr"/>
      <s:c r="B14602" s="121" t="n"/>
      <s:c r="C14602" s="121" t="n"/>
      <s:c r="D14602" s="121" t="n"/>
      <s:c r="E14602" s="122" t="n"/>
    </s:row>
    <s:row r="14603" hidden="1" ht="1" customHeight="1">
      <s:c r="A14603" s="120" t="inlineStr"/>
      <s:c r="B14603" s="121" t="n"/>
      <s:c r="C14603" s="121" t="n"/>
      <s:c r="D14603" s="121" t="n"/>
      <s:c r="E14603" s="122" t="n"/>
    </s:row>
    <s:row r="14604" hidden="1" ht="1" customHeight="1">
      <s:c r="A14604" s="120" t="inlineStr"/>
      <s:c r="B14604" s="121" t="n"/>
      <s:c r="C14604" s="121" t="n"/>
      <s:c r="D14604" s="121" t="n"/>
      <s:c r="E14604" s="122" t="n"/>
    </s:row>
    <s:row r="14605" hidden="1" ht="1" customHeight="1">
      <s:c r="A14605" s="120" t="inlineStr"/>
      <s:c r="B14605" s="121" t="n"/>
      <s:c r="C14605" s="121" t="n"/>
      <s:c r="D14605" s="121" t="n"/>
      <s:c r="E14605" s="122" t="n"/>
    </s:row>
    <s:row r="14606" hidden="1" ht="1" customHeight="1">
      <s:c r="A14606" s="120" t="inlineStr"/>
      <s:c r="B14606" s="121" t="n"/>
      <s:c r="C14606" s="121" t="n"/>
      <s:c r="D14606" s="121" t="n"/>
      <s:c r="E14606" s="122" t="n"/>
    </s:row>
    <s:row r="14607" hidden="1" ht="1" customHeight="1">
      <s:c r="A14607" s="120" t="inlineStr"/>
      <s:c r="B14607" s="121" t="n"/>
      <s:c r="C14607" s="121" t="n"/>
      <s:c r="D14607" s="121" t="n"/>
      <s:c r="E14607" s="122" t="n"/>
    </s:row>
    <s:row r="14608" hidden="1" ht="1" customHeight="1">
      <s:c r="A14608" s="120" t="inlineStr"/>
      <s:c r="B14608" s="121" t="n"/>
      <s:c r="C14608" s="121" t="n"/>
      <s:c r="D14608" s="121" t="n"/>
      <s:c r="E14608" s="122" t="n"/>
    </s:row>
    <s:row r="14609" hidden="1" ht="1" customHeight="1">
      <s:c r="A14609" s="120" t="inlineStr"/>
      <s:c r="B14609" s="121" t="n"/>
      <s:c r="C14609" s="121" t="n"/>
      <s:c r="D14609" s="121" t="n"/>
      <s:c r="E14609" s="122" t="n"/>
    </s:row>
    <s:row r="14610" hidden="1" ht="1" customHeight="1">
      <s:c r="A14610" s="120" t="inlineStr"/>
      <s:c r="B14610" s="121" t="n"/>
      <s:c r="C14610" s="121" t="n"/>
      <s:c r="D14610" s="121" t="n"/>
      <s:c r="E14610" s="122" t="n"/>
    </s:row>
    <s:row r="14611" hidden="1" ht="1" customHeight="1">
      <s:c r="A14611" s="120" t="inlineStr"/>
      <s:c r="B14611" s="121" t="n"/>
      <s:c r="C14611" s="121" t="n"/>
      <s:c r="D14611" s="121" t="n"/>
      <s:c r="E14611" s="122" t="n"/>
    </s:row>
    <s:row r="14612" hidden="1" ht="1" customHeight="1">
      <s:c r="A14612" s="120" t="inlineStr"/>
      <s:c r="B14612" s="121" t="n"/>
      <s:c r="C14612" s="121" t="n"/>
      <s:c r="D14612" s="121" t="n"/>
      <s:c r="E14612" s="122" t="n"/>
    </s:row>
    <s:row r="14613" hidden="1" ht="1" customHeight="1">
      <s:c r="A14613" s="120" t="inlineStr"/>
      <s:c r="B14613" s="121" t="n"/>
      <s:c r="C14613" s="121" t="n"/>
      <s:c r="D14613" s="121" t="n"/>
      <s:c r="E14613" s="122" t="n"/>
    </s:row>
    <s:row r="14614" hidden="1" ht="1" customHeight="1">
      <s:c r="A14614" s="120" t="inlineStr"/>
      <s:c r="B14614" s="121" t="n"/>
      <s:c r="C14614" s="121" t="n"/>
      <s:c r="D14614" s="121" t="n"/>
      <s:c r="E14614" s="122" t="n"/>
    </s:row>
    <s:row r="14615" hidden="1" ht="1" customHeight="1">
      <s:c r="A14615" s="120" t="inlineStr"/>
      <s:c r="B14615" s="121" t="n"/>
      <s:c r="C14615" s="121" t="n"/>
      <s:c r="D14615" s="121" t="n"/>
      <s:c r="E14615" s="122" t="n"/>
    </s:row>
    <s:row r="14616" hidden="1" ht="1" customHeight="1">
      <s:c r="A14616" s="120" t="inlineStr"/>
      <s:c r="B14616" s="121" t="n"/>
      <s:c r="C14616" s="121" t="n"/>
      <s:c r="D14616" s="121" t="n"/>
      <s:c r="E14616" s="122" t="n"/>
    </s:row>
    <s:row r="14617" hidden="1" ht="1" customHeight="1">
      <s:c r="A14617" s="120" t="inlineStr"/>
      <s:c r="B14617" s="121" t="n"/>
      <s:c r="C14617" s="121" t="n"/>
      <s:c r="D14617" s="121" t="n"/>
      <s:c r="E14617" s="122" t="n"/>
    </s:row>
    <s:row r="14618" hidden="1" ht="1" customHeight="1">
      <s:c r="A14618" s="120" t="inlineStr"/>
      <s:c r="B14618" s="121" t="n"/>
      <s:c r="C14618" s="121" t="n"/>
      <s:c r="D14618" s="121" t="n"/>
      <s:c r="E14618" s="122" t="n"/>
    </s:row>
    <s:row r="14619" hidden="1" ht="1" customHeight="1">
      <s:c r="A14619" s="120" t="inlineStr"/>
      <s:c r="B14619" s="121" t="n"/>
      <s:c r="C14619" s="121" t="n"/>
      <s:c r="D14619" s="121" t="n"/>
      <s:c r="E14619" s="122" t="n"/>
    </s:row>
    <s:row r="14620" hidden="1" ht="1" customHeight="1">
      <s:c r="A14620" s="120" t="inlineStr"/>
      <s:c r="B14620" s="121" t="n"/>
      <s:c r="C14620" s="121" t="n"/>
      <s:c r="D14620" s="121" t="n"/>
      <s:c r="E14620" s="122" t="n"/>
    </s:row>
    <s:row r="14621" hidden="1" ht="1" customHeight="1">
      <s:c r="A14621" s="120" t="inlineStr"/>
      <s:c r="B14621" s="121" t="n"/>
      <s:c r="C14621" s="121" t="n"/>
      <s:c r="D14621" s="121" t="n"/>
      <s:c r="E14621" s="122" t="n"/>
    </s:row>
    <s:row r="14622" hidden="1" ht="1" customHeight="1">
      <s:c r="A14622" s="120" t="inlineStr"/>
      <s:c r="B14622" s="121" t="n"/>
      <s:c r="C14622" s="121" t="n"/>
      <s:c r="D14622" s="121" t="n"/>
      <s:c r="E14622" s="122" t="n"/>
    </s:row>
    <s:row r="14623" hidden="1" ht="1" customHeight="1">
      <s:c r="A14623" s="120" t="inlineStr"/>
      <s:c r="B14623" s="121" t="n"/>
      <s:c r="C14623" s="121" t="n"/>
      <s:c r="D14623" s="121" t="n"/>
      <s:c r="E14623" s="122" t="n"/>
    </s:row>
    <s:row r="14624" hidden="1" ht="1" customHeight="1">
      <s:c r="A14624" s="120" t="inlineStr"/>
      <s:c r="B14624" s="121" t="n"/>
      <s:c r="C14624" s="121" t="n"/>
      <s:c r="D14624" s="121" t="n"/>
      <s:c r="E14624" s="122" t="n"/>
    </s:row>
    <s:row r="14625" hidden="1" ht="1" customHeight="1">
      <s:c r="A14625" s="120" t="inlineStr"/>
      <s:c r="B14625" s="121" t="n"/>
      <s:c r="C14625" s="121" t="n"/>
      <s:c r="D14625" s="121" t="n"/>
      <s:c r="E14625" s="122" t="n"/>
    </s:row>
    <s:row r="14626" hidden="1" ht="1" customHeight="1">
      <s:c r="A14626" s="120" t="inlineStr"/>
      <s:c r="B14626" s="121" t="n"/>
      <s:c r="C14626" s="121" t="n"/>
      <s:c r="D14626" s="121" t="n"/>
      <s:c r="E14626" s="122" t="n"/>
    </s:row>
    <s:row r="14627" hidden="1" ht="1" customHeight="1">
      <s:c r="A14627" s="120" t="inlineStr"/>
      <s:c r="B14627" s="121" t="n"/>
      <s:c r="C14627" s="121" t="n"/>
      <s:c r="D14627" s="121" t="n"/>
      <s:c r="E14627" s="122" t="n"/>
    </s:row>
    <s:row r="14628" hidden="1" ht="1" customHeight="1">
      <s:c r="A14628" s="120" t="inlineStr"/>
      <s:c r="B14628" s="121" t="n"/>
      <s:c r="C14628" s="121" t="n"/>
      <s:c r="D14628" s="121" t="n"/>
      <s:c r="E14628" s="122" t="n"/>
    </s:row>
    <s:row r="14629" hidden="1" ht="1" customHeight="1">
      <s:c r="A14629" s="120" t="inlineStr"/>
      <s:c r="B14629" s="121" t="n"/>
      <s:c r="C14629" s="121" t="n"/>
      <s:c r="D14629" s="121" t="n"/>
      <s:c r="E14629" s="122" t="n"/>
    </s:row>
    <s:row r="14630" hidden="1" ht="1" customHeight="1">
      <s:c r="A14630" s="120" t="inlineStr"/>
      <s:c r="B14630" s="121" t="n"/>
      <s:c r="C14630" s="121" t="n"/>
      <s:c r="D14630" s="121" t="n"/>
      <s:c r="E14630" s="122" t="n"/>
    </s:row>
    <s:row r="14631" hidden="1" ht="1" customHeight="1">
      <s:c r="A14631" s="120" t="inlineStr"/>
      <s:c r="B14631" s="121" t="n"/>
      <s:c r="C14631" s="121" t="n"/>
      <s:c r="D14631" s="121" t="n"/>
      <s:c r="E14631" s="122" t="n"/>
    </s:row>
    <s:row r="14632" hidden="1" ht="1" customHeight="1">
      <s:c r="A14632" s="120" t="inlineStr"/>
      <s:c r="B14632" s="121" t="n"/>
      <s:c r="C14632" s="121" t="n"/>
      <s:c r="D14632" s="121" t="n"/>
      <s:c r="E14632" s="122" t="n"/>
    </s:row>
    <s:row r="14633" hidden="1" ht="1" customHeight="1">
      <s:c r="A14633" s="120" t="inlineStr"/>
      <s:c r="B14633" s="121" t="n"/>
      <s:c r="C14633" s="121" t="n"/>
      <s:c r="D14633" s="121" t="n"/>
      <s:c r="E14633" s="122" t="n"/>
    </s:row>
    <s:row r="14634" hidden="1" ht="1" customHeight="1">
      <s:c r="A14634" s="120" t="inlineStr"/>
      <s:c r="B14634" s="121" t="n"/>
      <s:c r="C14634" s="121" t="n"/>
      <s:c r="D14634" s="121" t="n"/>
      <s:c r="E14634" s="122" t="n"/>
    </s:row>
    <s:row r="14635" hidden="1" ht="1" customHeight="1">
      <s:c r="A14635" s="120" t="inlineStr"/>
      <s:c r="B14635" s="121" t="n"/>
      <s:c r="C14635" s="121" t="n"/>
      <s:c r="D14635" s="121" t="n"/>
      <s:c r="E14635" s="122" t="n"/>
    </s:row>
    <s:row r="14636" hidden="1" ht="1" customHeight="1">
      <s:c r="A14636" s="120" t="inlineStr"/>
      <s:c r="B14636" s="121" t="n"/>
      <s:c r="C14636" s="121" t="n"/>
      <s:c r="D14636" s="121" t="n"/>
      <s:c r="E14636" s="122" t="n"/>
    </s:row>
    <s:row r="14637" hidden="1" ht="1" customHeight="1">
      <s:c r="A14637" s="120" t="inlineStr"/>
      <s:c r="B14637" s="121" t="n"/>
      <s:c r="C14637" s="121" t="n"/>
      <s:c r="D14637" s="121" t="n"/>
      <s:c r="E14637" s="122" t="n"/>
    </s:row>
    <s:row r="14638" hidden="1" ht="1" customHeight="1">
      <s:c r="A14638" s="120" t="inlineStr"/>
      <s:c r="B14638" s="121" t="n"/>
      <s:c r="C14638" s="121" t="n"/>
      <s:c r="D14638" s="121" t="n"/>
      <s:c r="E14638" s="122" t="n"/>
    </s:row>
    <s:row r="14639" hidden="1" ht="1" customHeight="1">
      <s:c r="A14639" s="120" t="inlineStr"/>
      <s:c r="B14639" s="121" t="n"/>
      <s:c r="C14639" s="121" t="n"/>
      <s:c r="D14639" s="121" t="n"/>
      <s:c r="E14639" s="122" t="n"/>
    </s:row>
    <s:row r="14640" hidden="1" ht="1" customHeight="1">
      <s:c r="A14640" s="120" t="inlineStr"/>
      <s:c r="B14640" s="121" t="n"/>
      <s:c r="C14640" s="121" t="n"/>
      <s:c r="D14640" s="121" t="n"/>
      <s:c r="E14640" s="122" t="n"/>
    </s:row>
    <s:row r="14641" hidden="1" ht="1" customHeight="1">
      <s:c r="A14641" s="120" t="inlineStr"/>
      <s:c r="B14641" s="121" t="n"/>
      <s:c r="C14641" s="121" t="n"/>
      <s:c r="D14641" s="121" t="n"/>
      <s:c r="E14641" s="122" t="n"/>
    </s:row>
    <s:row r="14642" hidden="1" ht="1" customHeight="1">
      <s:c r="A14642" s="120" t="inlineStr"/>
      <s:c r="B14642" s="121" t="n"/>
      <s:c r="C14642" s="121" t="n"/>
      <s:c r="D14642" s="121" t="n"/>
      <s:c r="E14642" s="122" t="n"/>
    </s:row>
    <s:row r="14643" hidden="1" ht="1" customHeight="1">
      <s:c r="A14643" s="120" t="inlineStr"/>
      <s:c r="B14643" s="121" t="n"/>
      <s:c r="C14643" s="121" t="n"/>
      <s:c r="D14643" s="121" t="n"/>
      <s:c r="E14643" s="122" t="n"/>
    </s:row>
    <s:row r="14644" hidden="1" ht="1" customHeight="1">
      <s:c r="A14644" s="120" t="inlineStr"/>
      <s:c r="B14644" s="121" t="n"/>
      <s:c r="C14644" s="121" t="n"/>
      <s:c r="D14644" s="121" t="n"/>
      <s:c r="E14644" s="122" t="n"/>
    </s:row>
    <s:row r="14645" hidden="1" ht="1" customHeight="1">
      <s:c r="A14645" s="120" t="inlineStr"/>
      <s:c r="B14645" s="121" t="n"/>
      <s:c r="C14645" s="121" t="n"/>
      <s:c r="D14645" s="121" t="n"/>
      <s:c r="E14645" s="122" t="n"/>
    </s:row>
    <s:row r="14646" hidden="1" ht="1" customHeight="1">
      <s:c r="A14646" s="83" t="inlineStr">
        <s:is>
          <s:t>PASS</s:t>
        </s:is>
      </s:c>
      <s:c r="B14646" s="83">
        <s:f>SUM(IF(EXACT('Kiểm thử'!E14596,"Đạt"),1,0))</s:f>
        <s:v/>
      </s:c>
      <s:c r="C14646" s="19" t="n"/>
      <s:c r="D14646" s="19" t="n"/>
      <s:c r="E14646" s="19" t="n"/>
    </s:row>
    <s:row r="14647" hidden="1" ht="1" customHeight="1">
      <s:c r="A14647" s="83" t="inlineStr">
        <s:is>
          <s:t>FAIL</s:t>
        </s:is>
      </s:c>
      <s:c r="B14647" s="83">
        <s:f>SUM(IF(EXACT('Kiểm thử'!E14596,"Không đạt"),1,0))</s:f>
        <s:v/>
      </s:c>
      <s:c r="C14647" s="19" t="n"/>
      <s:c r="D14647" s="19" t="n"/>
      <s:c r="E14647" s="19" t="n"/>
    </s:row>
    <s:row r="14648" hidden="1" ht="1" customHeight="1">
      <s:c r="A14648" s="83" t="inlineStr">
        <s:is>
          <s:t>BLOCKED</s:t>
        </s:is>
      </s:c>
      <s:c r="B14648" s="83">
        <s:f>SUM(IF(EXACT('Kiểm thử'!E14596,"Bị chặn"),1,0))</s:f>
        <s:v/>
      </s:c>
      <s:c r="C14648" s="19" t="n"/>
      <s:c r="D14648" s="19" t="n"/>
      <s:c r="E14648" s="19" t="n"/>
    </s:row>
    <s:row r="14649" hidden="1" ht="1" customHeight="1">
      <s:c r="A14649" s="83" t="inlineStr">
        <s:is>
          <s:t>SKIPPED</s:t>
        </s:is>
      </s:c>
      <s:c r="B14649" s="83">
        <s:f>SUM(IF(EXACT('Kiểm thử'!E14596,"Không thực hiện"),1,0))</s:f>
        <s:v/>
      </s:c>
      <s:c r="C14649" s="19" t="n"/>
      <s:c r="D14649" s="19" t="n"/>
      <s:c r="E14649" s="19" t="n"/>
    </s:row>
    <s:row r="14650" hidden="1" ht="1" customHeight="1">
      <s:c r="A14650" s="83" t="inlineStr">
        <s:is>
          <s:t>NOT RUN</s:t>
        </s:is>
      </s:c>
      <s:c r="B14650" s="83">
        <s:f>SUM(IF(EXACT('Kiểm thử'!E14596,"Chưa thực hiện"),1,0))</s:f>
        <s:v/>
      </s:c>
      <s:c r="C14650" s="19" t="n"/>
      <s:c r="D14650" s="19" t="n"/>
      <s:c r="E14650" s="19" t="n"/>
    </s:row>
    <s:row r="14651" hidden="1" ht="6" customHeight="1">
      <s:c r="A14651" s="83" t="inlineStr"/>
      <s:c r="B14651" s="19" t="n"/>
      <s:c r="C14651" s="19" t="n"/>
      <s:c r="D14651" s="19" t="n"/>
      <s:c r="E14651" s="19" t="n"/>
    </s:row>
    <s:row r="14652" ht="28" customHeight="1">
      <s:c r="A14652" s="108" t="inlineStr">
        <s:is>
          <s:t>TC-RS-BR-021 — Tổng hợp lại hoặc đổi nhóm tham chiếu không tự xét lại</s:t>
        </s:is>
      </s:c>
      <s:c r="B14652" s="111" t="n"/>
      <s:c r="C14652" s="111" t="n"/>
      <s:c r="D14652" s="111" t="n"/>
      <s:c r="E14652" s="111" t="n"/>
    </s:row>
    <s:row r="14653" ht="20" customHeight="1">
      <s:c r="A14653" s="112" t="inlineStr">
        <s:is>
          <s:t>Kết quả tình huống</s:t>
        </s:is>
      </s:c>
      <s:c r="B14653" s="113">
        <s:f>IF(SUM(IF(EXACT('Kiểm thử'!E14662,"Không đạt"),1,0))&gt;0,"Không đạt",IF(SUM(IF(EXACT('Kiểm thử'!E14662,"Đạt"),1,0))=1,"Đạt",IF(SUM(IF(EXACT('Kiểm thử'!E14662,"Không thực hiện"),1,0))=1,"Không thực hiện",IF(SUM(IF(EXACT('Kiểm thử'!E14662,"Bị chặn"),1,0))&gt;0,"Bị chặn",IF(SUM(IF(EXACT('Kiểm thử'!E14662,"Chưa thực hiện"),1,0))=1,"Chưa thực hiện","Đang thực hiện")))))</s:f>
        <s:v/>
      </s:c>
      <s:c r="C14653" s="114" t="n"/>
      <s:c r="D14653" s="114" t="n"/>
      <s:c r="E14653" s="114" t="n"/>
    </s:row>
    <s:row r="14654" ht="20" customHeight="1">
      <s:c r="A14654" s="112" t="inlineStr">
        <s:is>
          <s:t>Màn hình / chức năng</s:t>
        </s:is>
      </s:c>
      <s:c r="B14654" s="113" t="inlineStr">
        <s:is>
          <s:t>Vòng đời kết quả</s:t>
        </s:is>
      </s:c>
      <s:c r="C14654" s="28" t="n"/>
      <s:c r="D14654" s="28" t="n"/>
      <s:c r="E14654" s="28" t="n"/>
    </s:row>
    <s:row r="14655" ht="34" customHeight="1">
      <s:c r="A14655" s="112" t="inlineStr">
        <s:is>
          <s:t>Cấu hình</s:t>
        </s:is>
      </s:c>
      <s:c r="B14655" s="113" t="inlineStr">
        <s:is>
          <s:r>
            <s:t>• Công thức [A×0.5], [</s:t>
          </s:r>
          <s:r>
            <s:rPr>
              <s:b val="1"/>
            </s:rPr>
            <s:t>A=50</s:t>
          </s:r>
          <s:r>
            <s:t>] → [</s:t>
          </s:r>
          <s:r>
            <s:rPr>
              <s:b val="1"/>
            </s:rPr>
            <s:t>T=25</s:t>
          </s:r>
          <s:r>
            <s:t>];
• Học sinh điểm 24 Đỏ.</s:t>
          </s:r>
        </s:is>
      </s:c>
      <s:c r="C14655" s="28" t="n"/>
      <s:c r="D14655" s="28" t="n"/>
      <s:c r="E14655" s="28" t="n"/>
    </s:row>
    <s:row r="14656" ht="20" customHeight="1">
      <s:c r="A14656" s="112" t="inlineStr">
        <s:is>
          <s:t>Dữ liệu test</s:t>
        </s:is>
      </s:c>
      <s:c r="B14656" s="113" t="inlineStr">
        <s:is>
          <s:t>• Bản tổng hợp mới nhất chưa chốt (trung bình 62)</s:t>
        </s:is>
      </s:c>
      <s:c r="C14656" s="28" t="n"/>
      <s:c r="D14656" s="28" t="n"/>
      <s:c r="E14656" s="28" t="n"/>
    </s:row>
    <s:row r="14657" ht="20" customHeight="1">
      <s:c r="A14657" s="112" t="inlineStr">
        <s:is>
          <s:t>Bước 1</s:t>
        </s:is>
      </s:c>
      <s:c r="B14657" s="113" t="inlineStr">
        <s:is>
          <s:r>
            <s:t xml:space="preserve">Sửa điểm nhóm để trung bình mới là 40, bấm </s:t>
          </s:r>
          <s:r>
            <s:rPr>
              <s:b val="1"/>
            </s:rPr>
            <s:t>Thực hiện tổng hợp（集計実行）</s:t>
          </s:r>
          <s:r>
            <s:t>.</s:t>
          </s:r>
        </s:is>
      </s:c>
      <s:c r="C14657" s="28" t="n"/>
      <s:c r="D14657" s="28" t="n"/>
      <s:c r="E14657" s="28" t="n"/>
    </s:row>
    <s:row r="14658" ht="20" customHeight="1">
      <s:c r="A14658" s="112" t="inlineStr">
        <s:is>
          <s:t>Bước 2</s:t>
        </s:is>
      </s:c>
      <s:c r="B14658" s="113" t="inlineStr">
        <s:is>
          <s:t>Xem kết quả học sinh 24.</s:t>
        </s:is>
      </s:c>
      <s:c r="C14658" s="28" t="n"/>
      <s:c r="D14658" s="28" t="n"/>
      <s:c r="E14658" s="28" t="n"/>
    </s:row>
    <s:row r="14659" ht="20" customHeight="1">
      <s:c r="A14659" s="112" t="inlineStr">
        <s:is>
          <s:t>Bước 3</s:t>
        </s:is>
      </s:c>
      <s:c r="B14659" s="113" t="inlineStr">
        <s:is>
          <s:r>
            <s:t xml:space="preserve">Bấm Thực hiện </s:t>
          </s:r>
          <s:r>
            <s:rPr>
              <s:b val="1"/>
            </s:rPr>
            <s:t>tính toán tự động（自動算出実行）</s:t>
          </s:r>
          <s:r>
            <s:t>, xem lại.</s:t>
          </s:r>
        </s:is>
      </s:c>
      <s:c r="C14659" s="28" t="n"/>
      <s:c r="D14659" s="28" t="n"/>
      <s:c r="E14659" s="28" t="n"/>
    </s:row>
    <s:row r="14660" ht="28" customHeight="1">
      <s:c r="A14660" s="115" t="inlineStr">
        <s:is>
          <s:t>Trường hợp</s:t>
        </s:is>
      </s:c>
      <s:c r="B14660" s="115" t="inlineStr">
        <s:is>
          <s:t>Dữ liệu / thao tác riêng</s:t>
        </s:is>
      </s:c>
      <s:c r="C14660" s="115" t="inlineStr">
        <s:is>
          <s:t>Kết quả mong đợi</s:t>
        </s:is>
      </s:c>
      <s:c r="D14660" s="115" t="inlineStr">
        <s:is>
          <s:t>Kết quả thực tế</s:t>
        </s:is>
      </s:c>
      <s:c r="E14660" s="115" t="inlineStr">
        <s:is>
          <s:t>Đánh giá</s:t>
        </s:is>
      </s:c>
    </s:row>
    <s:row r="14661" ht="3" customHeight="1">
      <s:c r="A14661" s="102" t="inlineStr"/>
      <s:c r="B14661" s="99" t="n"/>
      <s:c r="C14661" s="99" t="n"/>
      <s:c r="D14661" s="116" t="n"/>
      <s:c r="E14661" s="116" t="n"/>
    </s:row>
    <s:row r="14662" ht="62" customHeight="1">
      <s:c r="A14662" s="83" t="inlineStr">
        <s:is>
          <s:t>Trường hợp cơ bản (Base)</s:t>
        </s:is>
      </s:c>
      <s:c r="B14662" s="83" t="inlineStr">
        <s:is>
          <s:t>Toàn bộ tình huống: Thực hiện đủ các bước chung theo thứ tự; kiểm cả đối tượng đích và đối chứng cùng fixture, không bỏ bước.</s:t>
        </s:is>
      </s:c>
      <s:c r="C14662" s="83" t="inlineStr">
        <s:is>
          <s:r>
            <s:t xml:space="preserve">1–2. Vẫn </s:t>
          </s:r>
          <s:r>
            <s:rPr>
              <s:b val="1"/>
            </s:rPr>
            <s:t>Đỏ</s:t>
          </s:r>
          <s:r>
            <s:t xml:space="preserve"> theo kết quả trước (không tự xét lại).
3. [</s:t>
          </s:r>
          <s:r>
            <s:rPr>
              <s:b val="1"/>
            </s:rPr>
            <s:t>A=40</s:t>
          </s:r>
          <s:r>
            <s:t>] → [</s:t>
          </s:r>
          <s:r>
            <s:rPr>
              <s:b val="1"/>
            </s:rPr>
            <s:t>T=20</s:t>
          </s:r>
          <s:r>
            <s:t xml:space="preserve">] → 24 </s:t>
          </s:r>
          <s:r>
            <s:rPr>
              <s:b val="1"/>
            </s:rPr>
            <s:t>Không đỏ</s:t>
          </s:r>
          <s:r>
            <s:t>.</s:t>
          </s:r>
        </s:is>
      </s:c>
      <s:c r="D14662" s="117" t="inlineStr"/>
      <s:c r="E14662" s="118" t="inlineStr">
        <s:is>
          <s:t>Chưa thực hiện</s:t>
        </s:is>
      </s:c>
    </s:row>
    <s:row r="14663" ht="20" customHeight="1">
      <s:c r="A14663" s="119" t="inlineStr">
        <s:is>
          <s:t>Ảnh minh chứng — Chưa có ảnh</s:t>
        </s:is>
      </s:c>
      <s:c r="B14663" s="19" t="n"/>
      <s:c r="C14663" s="19" t="n"/>
      <s:c r="D14663" s="19" t="n"/>
      <s:c r="E14663" s="19" t="n"/>
    </s:row>
    <s:row r="14664" hidden="1" ht="1" customHeight="1">
      <s:c r="A14664" s="120" t="inlineStr"/>
      <s:c r="B14664" s="121" t="n"/>
      <s:c r="C14664" s="121" t="n"/>
      <s:c r="D14664" s="121" t="n"/>
      <s:c r="E14664" s="122" t="n"/>
    </s:row>
    <s:row r="14665" hidden="1" ht="1" customHeight="1">
      <s:c r="A14665" s="120" t="inlineStr"/>
      <s:c r="B14665" s="121" t="n"/>
      <s:c r="C14665" s="121" t="n"/>
      <s:c r="D14665" s="121" t="n"/>
      <s:c r="E14665" s="122" t="n"/>
    </s:row>
    <s:row r="14666" hidden="1" ht="1" customHeight="1">
      <s:c r="A14666" s="120" t="inlineStr"/>
      <s:c r="B14666" s="121" t="n"/>
      <s:c r="C14666" s="121" t="n"/>
      <s:c r="D14666" s="121" t="n"/>
      <s:c r="E14666" s="122" t="n"/>
    </s:row>
    <s:row r="14667" hidden="1" ht="1" customHeight="1">
      <s:c r="A14667" s="120" t="inlineStr"/>
      <s:c r="B14667" s="121" t="n"/>
      <s:c r="C14667" s="121" t="n"/>
      <s:c r="D14667" s="121" t="n"/>
      <s:c r="E14667" s="122" t="n"/>
    </s:row>
    <s:row r="14668" hidden="1" ht="1" customHeight="1">
      <s:c r="A14668" s="120" t="inlineStr"/>
      <s:c r="B14668" s="121" t="n"/>
      <s:c r="C14668" s="121" t="n"/>
      <s:c r="D14668" s="121" t="n"/>
      <s:c r="E14668" s="122" t="n"/>
    </s:row>
    <s:row r="14669" hidden="1" ht="1" customHeight="1">
      <s:c r="A14669" s="120" t="inlineStr"/>
      <s:c r="B14669" s="121" t="n"/>
      <s:c r="C14669" s="121" t="n"/>
      <s:c r="D14669" s="121" t="n"/>
      <s:c r="E14669" s="122" t="n"/>
    </s:row>
    <s:row r="14670" hidden="1" ht="1" customHeight="1">
      <s:c r="A14670" s="120" t="inlineStr"/>
      <s:c r="B14670" s="121" t="n"/>
      <s:c r="C14670" s="121" t="n"/>
      <s:c r="D14670" s="121" t="n"/>
      <s:c r="E14670" s="122" t="n"/>
    </s:row>
    <s:row r="14671" hidden="1" ht="1" customHeight="1">
      <s:c r="A14671" s="120" t="inlineStr"/>
      <s:c r="B14671" s="121" t="n"/>
      <s:c r="C14671" s="121" t="n"/>
      <s:c r="D14671" s="121" t="n"/>
      <s:c r="E14671" s="122" t="n"/>
    </s:row>
    <s:row r="14672" hidden="1" ht="1" customHeight="1">
      <s:c r="A14672" s="120" t="inlineStr"/>
      <s:c r="B14672" s="121" t="n"/>
      <s:c r="C14672" s="121" t="n"/>
      <s:c r="D14672" s="121" t="n"/>
      <s:c r="E14672" s="122" t="n"/>
    </s:row>
    <s:row r="14673" hidden="1" ht="1" customHeight="1">
      <s:c r="A14673" s="120" t="inlineStr"/>
      <s:c r="B14673" s="121" t="n"/>
      <s:c r="C14673" s="121" t="n"/>
      <s:c r="D14673" s="121" t="n"/>
      <s:c r="E14673" s="122" t="n"/>
    </s:row>
    <s:row r="14674" hidden="1" ht="1" customHeight="1">
      <s:c r="A14674" s="120" t="inlineStr"/>
      <s:c r="B14674" s="121" t="n"/>
      <s:c r="C14674" s="121" t="n"/>
      <s:c r="D14674" s="121" t="n"/>
      <s:c r="E14674" s="122" t="n"/>
    </s:row>
    <s:row r="14675" hidden="1" ht="1" customHeight="1">
      <s:c r="A14675" s="120" t="inlineStr"/>
      <s:c r="B14675" s="121" t="n"/>
      <s:c r="C14675" s="121" t="n"/>
      <s:c r="D14675" s="121" t="n"/>
      <s:c r="E14675" s="122" t="n"/>
    </s:row>
    <s:row r="14676" hidden="1" ht="1" customHeight="1">
      <s:c r="A14676" s="120" t="inlineStr"/>
      <s:c r="B14676" s="121" t="n"/>
      <s:c r="C14676" s="121" t="n"/>
      <s:c r="D14676" s="121" t="n"/>
      <s:c r="E14676" s="122" t="n"/>
    </s:row>
    <s:row r="14677" hidden="1" ht="1" customHeight="1">
      <s:c r="A14677" s="120" t="inlineStr"/>
      <s:c r="B14677" s="121" t="n"/>
      <s:c r="C14677" s="121" t="n"/>
      <s:c r="D14677" s="121" t="n"/>
      <s:c r="E14677" s="122" t="n"/>
    </s:row>
    <s:row r="14678" hidden="1" ht="1" customHeight="1">
      <s:c r="A14678" s="120" t="inlineStr"/>
      <s:c r="B14678" s="121" t="n"/>
      <s:c r="C14678" s="121" t="n"/>
      <s:c r="D14678" s="121" t="n"/>
      <s:c r="E14678" s="122" t="n"/>
    </s:row>
    <s:row r="14679" hidden="1" ht="1" customHeight="1">
      <s:c r="A14679" s="120" t="inlineStr"/>
      <s:c r="B14679" s="121" t="n"/>
      <s:c r="C14679" s="121" t="n"/>
      <s:c r="D14679" s="121" t="n"/>
      <s:c r="E14679" s="122" t="n"/>
    </s:row>
    <s:row r="14680" hidden="1" ht="1" customHeight="1">
      <s:c r="A14680" s="120" t="inlineStr"/>
      <s:c r="B14680" s="121" t="n"/>
      <s:c r="C14680" s="121" t="n"/>
      <s:c r="D14680" s="121" t="n"/>
      <s:c r="E14680" s="122" t="n"/>
    </s:row>
    <s:row r="14681" hidden="1" ht="1" customHeight="1">
      <s:c r="A14681" s="120" t="inlineStr"/>
      <s:c r="B14681" s="121" t="n"/>
      <s:c r="C14681" s="121" t="n"/>
      <s:c r="D14681" s="121" t="n"/>
      <s:c r="E14681" s="122" t="n"/>
    </s:row>
    <s:row r="14682" hidden="1" ht="1" customHeight="1">
      <s:c r="A14682" s="120" t="inlineStr"/>
      <s:c r="B14682" s="121" t="n"/>
      <s:c r="C14682" s="121" t="n"/>
      <s:c r="D14682" s="121" t="n"/>
      <s:c r="E14682" s="122" t="n"/>
    </s:row>
    <s:row r="14683" hidden="1" ht="1" customHeight="1">
      <s:c r="A14683" s="120" t="inlineStr"/>
      <s:c r="B14683" s="121" t="n"/>
      <s:c r="C14683" s="121" t="n"/>
      <s:c r="D14683" s="121" t="n"/>
      <s:c r="E14683" s="122" t="n"/>
    </s:row>
    <s:row r="14684" hidden="1" ht="1" customHeight="1">
      <s:c r="A14684" s="120" t="inlineStr"/>
      <s:c r="B14684" s="121" t="n"/>
      <s:c r="C14684" s="121" t="n"/>
      <s:c r="D14684" s="121" t="n"/>
      <s:c r="E14684" s="122" t="n"/>
    </s:row>
    <s:row r="14685" hidden="1" ht="1" customHeight="1">
      <s:c r="A14685" s="120" t="inlineStr"/>
      <s:c r="B14685" s="121" t="n"/>
      <s:c r="C14685" s="121" t="n"/>
      <s:c r="D14685" s="121" t="n"/>
      <s:c r="E14685" s="122" t="n"/>
    </s:row>
    <s:row r="14686" hidden="1" ht="1" customHeight="1">
      <s:c r="A14686" s="120" t="inlineStr"/>
      <s:c r="B14686" s="121" t="n"/>
      <s:c r="C14686" s="121" t="n"/>
      <s:c r="D14686" s="121" t="n"/>
      <s:c r="E14686" s="122" t="n"/>
    </s:row>
    <s:row r="14687" hidden="1" ht="1" customHeight="1">
      <s:c r="A14687" s="120" t="inlineStr"/>
      <s:c r="B14687" s="121" t="n"/>
      <s:c r="C14687" s="121" t="n"/>
      <s:c r="D14687" s="121" t="n"/>
      <s:c r="E14687" s="122" t="n"/>
    </s:row>
    <s:row r="14688" hidden="1" ht="1" customHeight="1">
      <s:c r="A14688" s="120" t="inlineStr"/>
      <s:c r="B14688" s="121" t="n"/>
      <s:c r="C14688" s="121" t="n"/>
      <s:c r="D14688" s="121" t="n"/>
      <s:c r="E14688" s="122" t="n"/>
    </s:row>
    <s:row r="14689" hidden="1" ht="1" customHeight="1">
      <s:c r="A14689" s="120" t="inlineStr"/>
      <s:c r="B14689" s="121" t="n"/>
      <s:c r="C14689" s="121" t="n"/>
      <s:c r="D14689" s="121" t="n"/>
      <s:c r="E14689" s="122" t="n"/>
    </s:row>
    <s:row r="14690" hidden="1" ht="1" customHeight="1">
      <s:c r="A14690" s="120" t="inlineStr"/>
      <s:c r="B14690" s="121" t="n"/>
      <s:c r="C14690" s="121" t="n"/>
      <s:c r="D14690" s="121" t="n"/>
      <s:c r="E14690" s="122" t="n"/>
    </s:row>
    <s:row r="14691" hidden="1" ht="1" customHeight="1">
      <s:c r="A14691" s="120" t="inlineStr"/>
      <s:c r="B14691" s="121" t="n"/>
      <s:c r="C14691" s="121" t="n"/>
      <s:c r="D14691" s="121" t="n"/>
      <s:c r="E14691" s="122" t="n"/>
    </s:row>
    <s:row r="14692" hidden="1" ht="1" customHeight="1">
      <s:c r="A14692" s="120" t="inlineStr"/>
      <s:c r="B14692" s="121" t="n"/>
      <s:c r="C14692" s="121" t="n"/>
      <s:c r="D14692" s="121" t="n"/>
      <s:c r="E14692" s="122" t="n"/>
    </s:row>
    <s:row r="14693" hidden="1" ht="1" customHeight="1">
      <s:c r="A14693" s="120" t="inlineStr"/>
      <s:c r="B14693" s="121" t="n"/>
      <s:c r="C14693" s="121" t="n"/>
      <s:c r="D14693" s="121" t="n"/>
      <s:c r="E14693" s="122" t="n"/>
    </s:row>
    <s:row r="14694" hidden="1" ht="1" customHeight="1">
      <s:c r="A14694" s="120" t="inlineStr"/>
      <s:c r="B14694" s="121" t="n"/>
      <s:c r="C14694" s="121" t="n"/>
      <s:c r="D14694" s="121" t="n"/>
      <s:c r="E14694" s="122" t="n"/>
    </s:row>
    <s:row r="14695" hidden="1" ht="1" customHeight="1">
      <s:c r="A14695" s="120" t="inlineStr"/>
      <s:c r="B14695" s="121" t="n"/>
      <s:c r="C14695" s="121" t="n"/>
      <s:c r="D14695" s="121" t="n"/>
      <s:c r="E14695" s="122" t="n"/>
    </s:row>
    <s:row r="14696" hidden="1" ht="1" customHeight="1">
      <s:c r="A14696" s="120" t="inlineStr"/>
      <s:c r="B14696" s="121" t="n"/>
      <s:c r="C14696" s="121" t="n"/>
      <s:c r="D14696" s="121" t="n"/>
      <s:c r="E14696" s="122" t="n"/>
    </s:row>
    <s:row r="14697" hidden="1" ht="1" customHeight="1">
      <s:c r="A14697" s="120" t="inlineStr"/>
      <s:c r="B14697" s="121" t="n"/>
      <s:c r="C14697" s="121" t="n"/>
      <s:c r="D14697" s="121" t="n"/>
      <s:c r="E14697" s="122" t="n"/>
    </s:row>
    <s:row r="14698" hidden="1" ht="1" customHeight="1">
      <s:c r="A14698" s="120" t="inlineStr"/>
      <s:c r="B14698" s="121" t="n"/>
      <s:c r="C14698" s="121" t="n"/>
      <s:c r="D14698" s="121" t="n"/>
      <s:c r="E14698" s="122" t="n"/>
    </s:row>
    <s:row r="14699" hidden="1" ht="1" customHeight="1">
      <s:c r="A14699" s="120" t="inlineStr"/>
      <s:c r="B14699" s="121" t="n"/>
      <s:c r="C14699" s="121" t="n"/>
      <s:c r="D14699" s="121" t="n"/>
      <s:c r="E14699" s="122" t="n"/>
    </s:row>
    <s:row r="14700" hidden="1" ht="1" customHeight="1">
      <s:c r="A14700" s="120" t="inlineStr"/>
      <s:c r="B14700" s="121" t="n"/>
      <s:c r="C14700" s="121" t="n"/>
      <s:c r="D14700" s="121" t="n"/>
      <s:c r="E14700" s="122" t="n"/>
    </s:row>
    <s:row r="14701" hidden="1" ht="1" customHeight="1">
      <s:c r="A14701" s="120" t="inlineStr"/>
      <s:c r="B14701" s="121" t="n"/>
      <s:c r="C14701" s="121" t="n"/>
      <s:c r="D14701" s="121" t="n"/>
      <s:c r="E14701" s="122" t="n"/>
    </s:row>
    <s:row r="14702" hidden="1" ht="1" customHeight="1">
      <s:c r="A14702" s="120" t="inlineStr"/>
      <s:c r="B14702" s="121" t="n"/>
      <s:c r="C14702" s="121" t="n"/>
      <s:c r="D14702" s="121" t="n"/>
      <s:c r="E14702" s="122" t="n"/>
    </s:row>
    <s:row r="14703" hidden="1" ht="1" customHeight="1">
      <s:c r="A14703" s="120" t="inlineStr"/>
      <s:c r="B14703" s="121" t="n"/>
      <s:c r="C14703" s="121" t="n"/>
      <s:c r="D14703" s="121" t="n"/>
      <s:c r="E14703" s="122" t="n"/>
    </s:row>
    <s:row r="14704" hidden="1" ht="1" customHeight="1">
      <s:c r="A14704" s="120" t="inlineStr"/>
      <s:c r="B14704" s="121" t="n"/>
      <s:c r="C14704" s="121" t="n"/>
      <s:c r="D14704" s="121" t="n"/>
      <s:c r="E14704" s="122" t="n"/>
    </s:row>
    <s:row r="14705" hidden="1" ht="1" customHeight="1">
      <s:c r="A14705" s="120" t="inlineStr"/>
      <s:c r="B14705" s="121" t="n"/>
      <s:c r="C14705" s="121" t="n"/>
      <s:c r="D14705" s="121" t="n"/>
      <s:c r="E14705" s="122" t="n"/>
    </s:row>
    <s:row r="14706" hidden="1" ht="1" customHeight="1">
      <s:c r="A14706" s="120" t="inlineStr"/>
      <s:c r="B14706" s="121" t="n"/>
      <s:c r="C14706" s="121" t="n"/>
      <s:c r="D14706" s="121" t="n"/>
      <s:c r="E14706" s="122" t="n"/>
    </s:row>
    <s:row r="14707" hidden="1" ht="1" customHeight="1">
      <s:c r="A14707" s="120" t="inlineStr"/>
      <s:c r="B14707" s="121" t="n"/>
      <s:c r="C14707" s="121" t="n"/>
      <s:c r="D14707" s="121" t="n"/>
      <s:c r="E14707" s="122" t="n"/>
    </s:row>
    <s:row r="14708" hidden="1" ht="1" customHeight="1">
      <s:c r="A14708" s="120" t="inlineStr"/>
      <s:c r="B14708" s="121" t="n"/>
      <s:c r="C14708" s="121" t="n"/>
      <s:c r="D14708" s="121" t="n"/>
      <s:c r="E14708" s="122" t="n"/>
    </s:row>
    <s:row r="14709" hidden="1" ht="1" customHeight="1">
      <s:c r="A14709" s="120" t="inlineStr"/>
      <s:c r="B14709" s="121" t="n"/>
      <s:c r="C14709" s="121" t="n"/>
      <s:c r="D14709" s="121" t="n"/>
      <s:c r="E14709" s="122" t="n"/>
    </s:row>
    <s:row r="14710" hidden="1" ht="1" customHeight="1">
      <s:c r="A14710" s="120" t="inlineStr"/>
      <s:c r="B14710" s="121" t="n"/>
      <s:c r="C14710" s="121" t="n"/>
      <s:c r="D14710" s="121" t="n"/>
      <s:c r="E14710" s="122" t="n"/>
    </s:row>
    <s:row r="14711" hidden="1" ht="1" customHeight="1">
      <s:c r="A14711" s="120" t="inlineStr"/>
      <s:c r="B14711" s="121" t="n"/>
      <s:c r="C14711" s="121" t="n"/>
      <s:c r="D14711" s="121" t="n"/>
      <s:c r="E14711" s="122" t="n"/>
    </s:row>
    <s:row r="14712" hidden="1" ht="1" customHeight="1">
      <s:c r="A14712" s="83" t="inlineStr">
        <s:is>
          <s:t>PASS</s:t>
        </s:is>
      </s:c>
      <s:c r="B14712" s="83">
        <s:f>SUM(IF(EXACT('Kiểm thử'!E14662,"Đạt"),1,0))</s:f>
        <s:v/>
      </s:c>
      <s:c r="C14712" s="19" t="n"/>
      <s:c r="D14712" s="19" t="n"/>
      <s:c r="E14712" s="19" t="n"/>
    </s:row>
    <s:row r="14713" hidden="1" ht="1" customHeight="1">
      <s:c r="A14713" s="83" t="inlineStr">
        <s:is>
          <s:t>FAIL</s:t>
        </s:is>
      </s:c>
      <s:c r="B14713" s="83">
        <s:f>SUM(IF(EXACT('Kiểm thử'!E14662,"Không đạt"),1,0))</s:f>
        <s:v/>
      </s:c>
      <s:c r="C14713" s="19" t="n"/>
      <s:c r="D14713" s="19" t="n"/>
      <s:c r="E14713" s="19" t="n"/>
    </s:row>
    <s:row r="14714" hidden="1" ht="1" customHeight="1">
      <s:c r="A14714" s="83" t="inlineStr">
        <s:is>
          <s:t>BLOCKED</s:t>
        </s:is>
      </s:c>
      <s:c r="B14714" s="83">
        <s:f>SUM(IF(EXACT('Kiểm thử'!E14662,"Bị chặn"),1,0))</s:f>
        <s:v/>
      </s:c>
      <s:c r="C14714" s="19" t="n"/>
      <s:c r="D14714" s="19" t="n"/>
      <s:c r="E14714" s="19" t="n"/>
    </s:row>
    <s:row r="14715" hidden="1" ht="1" customHeight="1">
      <s:c r="A14715" s="83" t="inlineStr">
        <s:is>
          <s:t>SKIPPED</s:t>
        </s:is>
      </s:c>
      <s:c r="B14715" s="83">
        <s:f>SUM(IF(EXACT('Kiểm thử'!E14662,"Không thực hiện"),1,0))</s:f>
        <s:v/>
      </s:c>
      <s:c r="C14715" s="19" t="n"/>
      <s:c r="D14715" s="19" t="n"/>
      <s:c r="E14715" s="19" t="n"/>
    </s:row>
    <s:row r="14716" hidden="1" ht="1" customHeight="1">
      <s:c r="A14716" s="83" t="inlineStr">
        <s:is>
          <s:t>NOT RUN</s:t>
        </s:is>
      </s:c>
      <s:c r="B14716" s="83">
        <s:f>SUM(IF(EXACT('Kiểm thử'!E14662,"Chưa thực hiện"),1,0))</s:f>
        <s:v/>
      </s:c>
      <s:c r="C14716" s="19" t="n"/>
      <s:c r="D14716" s="19" t="n"/>
      <s:c r="E14716" s="19" t="n"/>
    </s:row>
    <s:row r="14717" hidden="1" ht="6" customHeight="1">
      <s:c r="A14717" s="83" t="inlineStr"/>
      <s:c r="B14717" s="19" t="n"/>
      <s:c r="C14717" s="19" t="n"/>
      <s:c r="D14717" s="19" t="n"/>
      <s:c r="E14717" s="19" t="n"/>
    </s:row>
    <s:row r="14718" ht="28" customHeight="1">
      <s:c r="A14718" s="108" t="inlineStr">
        <s:is>
          <s:t>TC-RS-BR-022 — Đổi M ở Thiết lập điểm tối đa（満点設定） hoặc Giá trị tối đa（最大値） không tự xét lại</s:t>
        </s:is>
      </s:c>
      <s:c r="B14718" s="111" t="n"/>
      <s:c r="C14718" s="111" t="n"/>
      <s:c r="D14718" s="111" t="n"/>
      <s:c r="E14718" s="111" t="n"/>
    </s:row>
    <s:row r="14719" ht="20" customHeight="1">
      <s:c r="A14719" s="112" t="inlineStr">
        <s:is>
          <s:t>Kết quả tình huống</s:t>
        </s:is>
      </s:c>
      <s:c r="B14719" s="113">
        <s:f>IF(SUM(IF(EXACT('Kiểm thử'!E14728,"Không đạt"),1,0))&gt;0,"Không đạt",IF(SUM(IF(EXACT('Kiểm thử'!E14728,"Đạt"),1,0))=1,"Đạt",IF(SUM(IF(EXACT('Kiểm thử'!E14728,"Không thực hiện"),1,0))=1,"Không thực hiện",IF(SUM(IF(EXACT('Kiểm thử'!E14728,"Bị chặn"),1,0))&gt;0,"Bị chặn",IF(SUM(IF(EXACT('Kiểm thử'!E14728,"Chưa thực hiện"),1,0))=1,"Chưa thực hiện","Đang thực hiện")))))</s:f>
        <s:v/>
      </s:c>
      <s:c r="C14719" s="114" t="n"/>
      <s:c r="D14719" s="114" t="n"/>
      <s:c r="E14719" s="114" t="n"/>
    </s:row>
    <s:row r="14720" ht="20" customHeight="1">
      <s:c r="A14720" s="112" t="inlineStr">
        <s:is>
          <s:t>Màn hình / chức năng</s:t>
        </s:is>
      </s:c>
      <s:c r="B14720" s="113" t="inlineStr">
        <s:is>
          <s:t>Vòng đời kết quả</s:t>
        </s:is>
      </s:c>
      <s:c r="C14720" s="28" t="n"/>
      <s:c r="D14720" s="28" t="n"/>
      <s:c r="E14720" s="28" t="n"/>
    </s:row>
    <s:row r="14721" ht="34" customHeight="1">
      <s:c r="A14721" s="112" t="inlineStr">
        <s:is>
          <s:t>Cấu hình</s:t>
        </s:is>
      </s:c>
      <s:c r="B14721" s="113" t="inlineStr">
        <s:is>
          <s:r>
            <s:t>• Mục số nguyên (</s:t>
          </s:r>
          <s:r>
            <s:rPr>
              <s:b val="1"/>
            </s:rPr>
            <s:t>M=100</s:t>
          </s:r>
          <s:r>
            <s:t>) có quy tắc tỷ lệ 30% (30%);
• S03 = 31, [</s:t>
          </s:r>
          <s:r>
            <s:rPr>
              <s:b val="1"/>
            </s:rPr>
            <s:t>M=100</s:t>
          </s:r>
          <s:r>
            <s:t>] → [</s:t>
          </s:r>
          <s:r>
            <s:rPr>
              <s:b val="1"/>
            </s:rPr>
            <s:t>T=30</s:t>
          </s:r>
          <s:r>
            <s:t>] → Không đỏ.</s:t>
          </s:r>
        </s:is>
      </s:c>
      <s:c r="C14721" s="28" t="n"/>
      <s:c r="D14721" s="28" t="n"/>
      <s:c r="E14721" s="28" t="n"/>
    </s:row>
    <s:row r="14722" ht="34" customHeight="1">
      <s:c r="A14722" s="112" t="inlineStr">
        <s:is>
          <s:t>Dữ liệu test</s:t>
        </s:is>
      </s:c>
      <s:c r="B14722" s="113" t="inlineStr">
        <s:is>
          <s:r>
            <s:t>• Mục số nguyên (</s:t>
          </s:r>
          <s:r>
            <s:rPr>
              <s:b val="1"/>
            </s:rPr>
            <s:t>M=100</s:t>
          </s:r>
          <s:r>
            <s:t>);
• Quy tắc tỷ lệ 30%</s:t>
          </s:r>
        </s:is>
      </s:c>
      <s:c r="C14722" s="28" t="n"/>
      <s:c r="D14722" s="28" t="n"/>
      <s:c r="E14722" s="28" t="n"/>
    </s:row>
    <s:row r="14723" ht="34" customHeight="1">
      <s:c r="A14723" s="112" t="inlineStr">
        <s:is>
          <s:t>Bước 1</s:t>
        </s:is>
      </s:c>
      <s:c r="B14723" s="113" t="inlineStr">
        <s:is>
          <s:r>
            <s:t xml:space="preserve">Sửa </s:t>
          </s:r>
          <s:r>
            <s:rPr>
              <s:b val="1"/>
            </s:rPr>
            <s:t>Giá trị tối đa（最大値）</s:t>
          </s:r>
          <s:r>
            <s:t xml:space="preserve"> của mục số nguyên (</s:t>
          </s:r>
          <s:r>
            <s:rPr>
              <s:b val="1"/>
            </s:rPr>
            <s:t>M=100</s:t>
          </s:r>
          <s:r>
            <s:t xml:space="preserve">) ở </s:t>
          </s:r>
          <s:r>
            <s:rPr>
              <s:b val="1"/>
            </s:rPr>
            <s:t>Thiết lập ô nhập（入力欄設定）</s:t>
          </s:r>
          <s:r>
            <s:t xml:space="preserve"> thành 200, lưu. Xem kết quả.</s:t>
          </s:r>
        </s:is>
      </s:c>
      <s:c r="C14723" s="28" t="n"/>
      <s:c r="D14723" s="28" t="n"/>
      <s:c r="E14723" s="28" t="n"/>
    </s:row>
    <s:row r="14724" ht="34" customHeight="1">
      <s:c r="A14724" s="112" t="inlineStr">
        <s:is>
          <s:t>Bước 2</s:t>
        </s:is>
      </s:c>
      <s:c r="B14724" s="113" t="inlineStr">
        <s:is>
          <s:r>
            <s:t xml:space="preserve">Lưu một định nghĩa lựa chọn ở Thiết </s:t>
          </s:r>
          <s:r>
            <s:rPr>
              <s:b val="1"/>
            </s:rPr>
            <s:t>lập điểm tối đa（満点設定）</s:t>
          </s:r>
          <s:r>
            <s:t xml:space="preserve"> ([/admin/grade_report_setting/manage/detail/option/register/change_max_score]) (chưa gán cho lớp). Xem kết quả.</s:t>
          </s:r>
        </s:is>
      </s:c>
      <s:c r="C14724" s="28" t="n"/>
      <s:c r="D14724" s="28" t="n"/>
      <s:c r="E14724" s="28" t="n"/>
    </s:row>
    <s:row r="14725" ht="20" customHeight="1">
      <s:c r="A14725" s="112" t="inlineStr">
        <s:is>
          <s:t>Bước 3</s:t>
        </s:is>
      </s:c>
      <s:c r="B14725" s="113" t="inlineStr">
        <s:is>
          <s:t>Đăng ký lại điểm S03. Xem kết quả.</s:t>
        </s:is>
      </s:c>
      <s:c r="C14725" s="28" t="n"/>
      <s:c r="D14725" s="28" t="n"/>
      <s:c r="E14725" s="28" t="n"/>
    </s:row>
    <s:row r="14726" ht="28" customHeight="1">
      <s:c r="A14726" s="115" t="inlineStr">
        <s:is>
          <s:t>Trường hợp</s:t>
        </s:is>
      </s:c>
      <s:c r="B14726" s="115" t="inlineStr">
        <s:is>
          <s:t>Dữ liệu / thao tác riêng</s:t>
        </s:is>
      </s:c>
      <s:c r="C14726" s="115" t="inlineStr">
        <s:is>
          <s:t>Kết quả mong đợi</s:t>
        </s:is>
      </s:c>
      <s:c r="D14726" s="115" t="inlineStr">
        <s:is>
          <s:t>Kết quả thực tế</s:t>
        </s:is>
      </s:c>
      <s:c r="E14726" s="115" t="inlineStr">
        <s:is>
          <s:t>Đánh giá</s:t>
        </s:is>
      </s:c>
    </s:row>
    <s:row r="14727" ht="3" customHeight="1">
      <s:c r="A14727" s="102" t="inlineStr"/>
      <s:c r="B14727" s="99" t="n"/>
      <s:c r="C14727" s="99" t="n"/>
      <s:c r="D14727" s="116" t="n"/>
      <s:c r="E14727" s="116" t="n"/>
    </s:row>
    <s:row r="14728" ht="62" customHeight="1">
      <s:c r="A14728" s="83" t="inlineStr">
        <s:is>
          <s:t>Trường hợp cơ bản (Base)</s:t>
        </s:is>
      </s:c>
      <s:c r="B14728" s="83" t="inlineStr">
        <s:is>
          <s:t>Toàn bộ tình huống: Thực hiện đủ các bước chung theo thứ tự; kiểm cả đối tượng đích và đối chứng cùng fixture, không bỏ bước.</s:t>
        </s:is>
      </s:c>
      <s:c r="C14728" s="83" t="inlineStr">
        <s:is>
          <s:r>
            <s:t xml:space="preserve">1–2. S03 vẫn </s:t>
          </s:r>
          <s:r>
            <s:rPr>
              <s:b val="1"/>
            </s:rPr>
            <s:t>Không đỏ</s:t>
          </s:r>
          <s:r>
            <s:t xml:space="preserve"> (kết quả trước).
3. [</s:t>
          </s:r>
          <s:r>
            <s:rPr>
              <s:b val="1"/>
            </s:rPr>
            <s:t>M=200</s:t>
          </s:r>
          <s:r>
            <s:t>] → [</s:t>
          </s:r>
          <s:r>
            <s:rPr>
              <s:b val="1"/>
            </s:rPr>
            <s:t>T=60</s:t>
          </s:r>
          <s:r>
            <s:t xml:space="preserve">] → S03=31 </s:t>
          </s:r>
          <s:r>
            <s:rPr>
              <s:b val="1"/>
            </s:rPr>
            <s:t>Đỏ</s:t>
          </s:r>
          <s:r>
            <s:t>.</s:t>
          </s:r>
        </s:is>
      </s:c>
      <s:c r="D14728" s="117" t="inlineStr"/>
      <s:c r="E14728" s="118" t="inlineStr">
        <s:is>
          <s:t>Chưa thực hiện</s:t>
        </s:is>
      </s:c>
    </s:row>
    <s:row r="14729" ht="20" customHeight="1">
      <s:c r="A14729" s="119" t="inlineStr">
        <s:is>
          <s:t>Ảnh minh chứng — Chưa có ảnh</s:t>
        </s:is>
      </s:c>
      <s:c r="B14729" s="19" t="n"/>
      <s:c r="C14729" s="19" t="n"/>
      <s:c r="D14729" s="19" t="n"/>
      <s:c r="E14729" s="19" t="n"/>
    </s:row>
    <s:row r="14730" hidden="1" ht="1" customHeight="1">
      <s:c r="A14730" s="120" t="inlineStr"/>
      <s:c r="B14730" s="121" t="n"/>
      <s:c r="C14730" s="121" t="n"/>
      <s:c r="D14730" s="121" t="n"/>
      <s:c r="E14730" s="122" t="n"/>
    </s:row>
    <s:row r="14731" hidden="1" ht="1" customHeight="1">
      <s:c r="A14731" s="120" t="inlineStr"/>
      <s:c r="B14731" s="121" t="n"/>
      <s:c r="C14731" s="121" t="n"/>
      <s:c r="D14731" s="121" t="n"/>
      <s:c r="E14731" s="122" t="n"/>
    </s:row>
    <s:row r="14732" hidden="1" ht="1" customHeight="1">
      <s:c r="A14732" s="120" t="inlineStr"/>
      <s:c r="B14732" s="121" t="n"/>
      <s:c r="C14732" s="121" t="n"/>
      <s:c r="D14732" s="121" t="n"/>
      <s:c r="E14732" s="122" t="n"/>
    </s:row>
    <s:row r="14733" hidden="1" ht="1" customHeight="1">
      <s:c r="A14733" s="120" t="inlineStr"/>
      <s:c r="B14733" s="121" t="n"/>
      <s:c r="C14733" s="121" t="n"/>
      <s:c r="D14733" s="121" t="n"/>
      <s:c r="E14733" s="122" t="n"/>
    </s:row>
    <s:row r="14734" hidden="1" ht="1" customHeight="1">
      <s:c r="A14734" s="120" t="inlineStr"/>
      <s:c r="B14734" s="121" t="n"/>
      <s:c r="C14734" s="121" t="n"/>
      <s:c r="D14734" s="121" t="n"/>
      <s:c r="E14734" s="122" t="n"/>
    </s:row>
    <s:row r="14735" hidden="1" ht="1" customHeight="1">
      <s:c r="A14735" s="120" t="inlineStr"/>
      <s:c r="B14735" s="121" t="n"/>
      <s:c r="C14735" s="121" t="n"/>
      <s:c r="D14735" s="121" t="n"/>
      <s:c r="E14735" s="122" t="n"/>
    </s:row>
    <s:row r="14736" hidden="1" ht="1" customHeight="1">
      <s:c r="A14736" s="120" t="inlineStr"/>
      <s:c r="B14736" s="121" t="n"/>
      <s:c r="C14736" s="121" t="n"/>
      <s:c r="D14736" s="121" t="n"/>
      <s:c r="E14736" s="122" t="n"/>
    </s:row>
    <s:row r="14737" hidden="1" ht="1" customHeight="1">
      <s:c r="A14737" s="120" t="inlineStr"/>
      <s:c r="B14737" s="121" t="n"/>
      <s:c r="C14737" s="121" t="n"/>
      <s:c r="D14737" s="121" t="n"/>
      <s:c r="E14737" s="122" t="n"/>
    </s:row>
    <s:row r="14738" hidden="1" ht="1" customHeight="1">
      <s:c r="A14738" s="120" t="inlineStr"/>
      <s:c r="B14738" s="121" t="n"/>
      <s:c r="C14738" s="121" t="n"/>
      <s:c r="D14738" s="121" t="n"/>
      <s:c r="E14738" s="122" t="n"/>
    </s:row>
    <s:row r="14739" hidden="1" ht="1" customHeight="1">
      <s:c r="A14739" s="120" t="inlineStr"/>
      <s:c r="B14739" s="121" t="n"/>
      <s:c r="C14739" s="121" t="n"/>
      <s:c r="D14739" s="121" t="n"/>
      <s:c r="E14739" s="122" t="n"/>
    </s:row>
    <s:row r="14740" hidden="1" ht="1" customHeight="1">
      <s:c r="A14740" s="120" t="inlineStr"/>
      <s:c r="B14740" s="121" t="n"/>
      <s:c r="C14740" s="121" t="n"/>
      <s:c r="D14740" s="121" t="n"/>
      <s:c r="E14740" s="122" t="n"/>
    </s:row>
    <s:row r="14741" hidden="1" ht="1" customHeight="1">
      <s:c r="A14741" s="120" t="inlineStr"/>
      <s:c r="B14741" s="121" t="n"/>
      <s:c r="C14741" s="121" t="n"/>
      <s:c r="D14741" s="121" t="n"/>
      <s:c r="E14741" s="122" t="n"/>
    </s:row>
    <s:row r="14742" hidden="1" ht="1" customHeight="1">
      <s:c r="A14742" s="120" t="inlineStr"/>
      <s:c r="B14742" s="121" t="n"/>
      <s:c r="C14742" s="121" t="n"/>
      <s:c r="D14742" s="121" t="n"/>
      <s:c r="E14742" s="122" t="n"/>
    </s:row>
    <s:row r="14743" hidden="1" ht="1" customHeight="1">
      <s:c r="A14743" s="120" t="inlineStr"/>
      <s:c r="B14743" s="121" t="n"/>
      <s:c r="C14743" s="121" t="n"/>
      <s:c r="D14743" s="121" t="n"/>
      <s:c r="E14743" s="122" t="n"/>
    </s:row>
    <s:row r="14744" hidden="1" ht="1" customHeight="1">
      <s:c r="A14744" s="120" t="inlineStr"/>
      <s:c r="B14744" s="121" t="n"/>
      <s:c r="C14744" s="121" t="n"/>
      <s:c r="D14744" s="121" t="n"/>
      <s:c r="E14744" s="122" t="n"/>
    </s:row>
    <s:row r="14745" hidden="1" ht="1" customHeight="1">
      <s:c r="A14745" s="120" t="inlineStr"/>
      <s:c r="B14745" s="121" t="n"/>
      <s:c r="C14745" s="121" t="n"/>
      <s:c r="D14745" s="121" t="n"/>
      <s:c r="E14745" s="122" t="n"/>
    </s:row>
    <s:row r="14746" hidden="1" ht="1" customHeight="1">
      <s:c r="A14746" s="120" t="inlineStr"/>
      <s:c r="B14746" s="121" t="n"/>
      <s:c r="C14746" s="121" t="n"/>
      <s:c r="D14746" s="121" t="n"/>
      <s:c r="E14746" s="122" t="n"/>
    </s:row>
    <s:row r="14747" hidden="1" ht="1" customHeight="1">
      <s:c r="A14747" s="120" t="inlineStr"/>
      <s:c r="B14747" s="121" t="n"/>
      <s:c r="C14747" s="121" t="n"/>
      <s:c r="D14747" s="121" t="n"/>
      <s:c r="E14747" s="122" t="n"/>
    </s:row>
    <s:row r="14748" hidden="1" ht="1" customHeight="1">
      <s:c r="A14748" s="120" t="inlineStr"/>
      <s:c r="B14748" s="121" t="n"/>
      <s:c r="C14748" s="121" t="n"/>
      <s:c r="D14748" s="121" t="n"/>
      <s:c r="E14748" s="122" t="n"/>
    </s:row>
    <s:row r="14749" hidden="1" ht="1" customHeight="1">
      <s:c r="A14749" s="120" t="inlineStr"/>
      <s:c r="B14749" s="121" t="n"/>
      <s:c r="C14749" s="121" t="n"/>
      <s:c r="D14749" s="121" t="n"/>
      <s:c r="E14749" s="122" t="n"/>
    </s:row>
    <s:row r="14750" hidden="1" ht="1" customHeight="1">
      <s:c r="A14750" s="120" t="inlineStr"/>
      <s:c r="B14750" s="121" t="n"/>
      <s:c r="C14750" s="121" t="n"/>
      <s:c r="D14750" s="121" t="n"/>
      <s:c r="E14750" s="122" t="n"/>
    </s:row>
    <s:row r="14751" hidden="1" ht="1" customHeight="1">
      <s:c r="A14751" s="120" t="inlineStr"/>
      <s:c r="B14751" s="121" t="n"/>
      <s:c r="C14751" s="121" t="n"/>
      <s:c r="D14751" s="121" t="n"/>
      <s:c r="E14751" s="122" t="n"/>
    </s:row>
    <s:row r="14752" hidden="1" ht="1" customHeight="1">
      <s:c r="A14752" s="120" t="inlineStr"/>
      <s:c r="B14752" s="121" t="n"/>
      <s:c r="C14752" s="121" t="n"/>
      <s:c r="D14752" s="121" t="n"/>
      <s:c r="E14752" s="122" t="n"/>
    </s:row>
    <s:row r="14753" hidden="1" ht="1" customHeight="1">
      <s:c r="A14753" s="120" t="inlineStr"/>
      <s:c r="B14753" s="121" t="n"/>
      <s:c r="C14753" s="121" t="n"/>
      <s:c r="D14753" s="121" t="n"/>
      <s:c r="E14753" s="122" t="n"/>
    </s:row>
    <s:row r="14754" hidden="1" ht="1" customHeight="1">
      <s:c r="A14754" s="120" t="inlineStr"/>
      <s:c r="B14754" s="121" t="n"/>
      <s:c r="C14754" s="121" t="n"/>
      <s:c r="D14754" s="121" t="n"/>
      <s:c r="E14754" s="122" t="n"/>
    </s:row>
    <s:row r="14755" hidden="1" ht="1" customHeight="1">
      <s:c r="A14755" s="120" t="inlineStr"/>
      <s:c r="B14755" s="121" t="n"/>
      <s:c r="C14755" s="121" t="n"/>
      <s:c r="D14755" s="121" t="n"/>
      <s:c r="E14755" s="122" t="n"/>
    </s:row>
    <s:row r="14756" hidden="1" ht="1" customHeight="1">
      <s:c r="A14756" s="120" t="inlineStr"/>
      <s:c r="B14756" s="121" t="n"/>
      <s:c r="C14756" s="121" t="n"/>
      <s:c r="D14756" s="121" t="n"/>
      <s:c r="E14756" s="122" t="n"/>
    </s:row>
    <s:row r="14757" hidden="1" ht="1" customHeight="1">
      <s:c r="A14757" s="120" t="inlineStr"/>
      <s:c r="B14757" s="121" t="n"/>
      <s:c r="C14757" s="121" t="n"/>
      <s:c r="D14757" s="121" t="n"/>
      <s:c r="E14757" s="122" t="n"/>
    </s:row>
    <s:row r="14758" hidden="1" ht="1" customHeight="1">
      <s:c r="A14758" s="120" t="inlineStr"/>
      <s:c r="B14758" s="121" t="n"/>
      <s:c r="C14758" s="121" t="n"/>
      <s:c r="D14758" s="121" t="n"/>
      <s:c r="E14758" s="122" t="n"/>
    </s:row>
    <s:row r="14759" hidden="1" ht="1" customHeight="1">
      <s:c r="A14759" s="120" t="inlineStr"/>
      <s:c r="B14759" s="121" t="n"/>
      <s:c r="C14759" s="121" t="n"/>
      <s:c r="D14759" s="121" t="n"/>
      <s:c r="E14759" s="122" t="n"/>
    </s:row>
    <s:row r="14760" hidden="1" ht="1" customHeight="1">
      <s:c r="A14760" s="120" t="inlineStr"/>
      <s:c r="B14760" s="121" t="n"/>
      <s:c r="C14760" s="121" t="n"/>
      <s:c r="D14760" s="121" t="n"/>
      <s:c r="E14760" s="122" t="n"/>
    </s:row>
    <s:row r="14761" hidden="1" ht="1" customHeight="1">
      <s:c r="A14761" s="120" t="inlineStr"/>
      <s:c r="B14761" s="121" t="n"/>
      <s:c r="C14761" s="121" t="n"/>
      <s:c r="D14761" s="121" t="n"/>
      <s:c r="E14761" s="122" t="n"/>
    </s:row>
    <s:row r="14762" hidden="1" ht="1" customHeight="1">
      <s:c r="A14762" s="120" t="inlineStr"/>
      <s:c r="B14762" s="121" t="n"/>
      <s:c r="C14762" s="121" t="n"/>
      <s:c r="D14762" s="121" t="n"/>
      <s:c r="E14762" s="122" t="n"/>
    </s:row>
    <s:row r="14763" hidden="1" ht="1" customHeight="1">
      <s:c r="A14763" s="120" t="inlineStr"/>
      <s:c r="B14763" s="121" t="n"/>
      <s:c r="C14763" s="121" t="n"/>
      <s:c r="D14763" s="121" t="n"/>
      <s:c r="E14763" s="122" t="n"/>
    </s:row>
    <s:row r="14764" hidden="1" ht="1" customHeight="1">
      <s:c r="A14764" s="120" t="inlineStr"/>
      <s:c r="B14764" s="121" t="n"/>
      <s:c r="C14764" s="121" t="n"/>
      <s:c r="D14764" s="121" t="n"/>
      <s:c r="E14764" s="122" t="n"/>
    </s:row>
    <s:row r="14765" hidden="1" ht="1" customHeight="1">
      <s:c r="A14765" s="120" t="inlineStr"/>
      <s:c r="B14765" s="121" t="n"/>
      <s:c r="C14765" s="121" t="n"/>
      <s:c r="D14765" s="121" t="n"/>
      <s:c r="E14765" s="122" t="n"/>
    </s:row>
    <s:row r="14766" hidden="1" ht="1" customHeight="1">
      <s:c r="A14766" s="120" t="inlineStr"/>
      <s:c r="B14766" s="121" t="n"/>
      <s:c r="C14766" s="121" t="n"/>
      <s:c r="D14766" s="121" t="n"/>
      <s:c r="E14766" s="122" t="n"/>
    </s:row>
    <s:row r="14767" hidden="1" ht="1" customHeight="1">
      <s:c r="A14767" s="120" t="inlineStr"/>
      <s:c r="B14767" s="121" t="n"/>
      <s:c r="C14767" s="121" t="n"/>
      <s:c r="D14767" s="121" t="n"/>
      <s:c r="E14767" s="122" t="n"/>
    </s:row>
    <s:row r="14768" hidden="1" ht="1" customHeight="1">
      <s:c r="A14768" s="120" t="inlineStr"/>
      <s:c r="B14768" s="121" t="n"/>
      <s:c r="C14768" s="121" t="n"/>
      <s:c r="D14768" s="121" t="n"/>
      <s:c r="E14768" s="122" t="n"/>
    </s:row>
    <s:row r="14769" hidden="1" ht="1" customHeight="1">
      <s:c r="A14769" s="120" t="inlineStr"/>
      <s:c r="B14769" s="121" t="n"/>
      <s:c r="C14769" s="121" t="n"/>
      <s:c r="D14769" s="121" t="n"/>
      <s:c r="E14769" s="122" t="n"/>
    </s:row>
    <s:row r="14770" hidden="1" ht="1" customHeight="1">
      <s:c r="A14770" s="120" t="inlineStr"/>
      <s:c r="B14770" s="121" t="n"/>
      <s:c r="C14770" s="121" t="n"/>
      <s:c r="D14770" s="121" t="n"/>
      <s:c r="E14770" s="122" t="n"/>
    </s:row>
    <s:row r="14771" hidden="1" ht="1" customHeight="1">
      <s:c r="A14771" s="120" t="inlineStr"/>
      <s:c r="B14771" s="121" t="n"/>
      <s:c r="C14771" s="121" t="n"/>
      <s:c r="D14771" s="121" t="n"/>
      <s:c r="E14771" s="122" t="n"/>
    </s:row>
    <s:row r="14772" hidden="1" ht="1" customHeight="1">
      <s:c r="A14772" s="120" t="inlineStr"/>
      <s:c r="B14772" s="121" t="n"/>
      <s:c r="C14772" s="121" t="n"/>
      <s:c r="D14772" s="121" t="n"/>
      <s:c r="E14772" s="122" t="n"/>
    </s:row>
    <s:row r="14773" hidden="1" ht="1" customHeight="1">
      <s:c r="A14773" s="120" t="inlineStr"/>
      <s:c r="B14773" s="121" t="n"/>
      <s:c r="C14773" s="121" t="n"/>
      <s:c r="D14773" s="121" t="n"/>
      <s:c r="E14773" s="122" t="n"/>
    </s:row>
    <s:row r="14774" hidden="1" ht="1" customHeight="1">
      <s:c r="A14774" s="120" t="inlineStr"/>
      <s:c r="B14774" s="121" t="n"/>
      <s:c r="C14774" s="121" t="n"/>
      <s:c r="D14774" s="121" t="n"/>
      <s:c r="E14774" s="122" t="n"/>
    </s:row>
    <s:row r="14775" hidden="1" ht="1" customHeight="1">
      <s:c r="A14775" s="120" t="inlineStr"/>
      <s:c r="B14775" s="121" t="n"/>
      <s:c r="C14775" s="121" t="n"/>
      <s:c r="D14775" s="121" t="n"/>
      <s:c r="E14775" s="122" t="n"/>
    </s:row>
    <s:row r="14776" hidden="1" ht="1" customHeight="1">
      <s:c r="A14776" s="120" t="inlineStr"/>
      <s:c r="B14776" s="121" t="n"/>
      <s:c r="C14776" s="121" t="n"/>
      <s:c r="D14776" s="121" t="n"/>
      <s:c r="E14776" s="122" t="n"/>
    </s:row>
    <s:row r="14777" hidden="1" ht="1" customHeight="1">
      <s:c r="A14777" s="120" t="inlineStr"/>
      <s:c r="B14777" s="121" t="n"/>
      <s:c r="C14777" s="121" t="n"/>
      <s:c r="D14777" s="121" t="n"/>
      <s:c r="E14777" s="122" t="n"/>
    </s:row>
    <s:row r="14778" hidden="1" ht="1" customHeight="1">
      <s:c r="A14778" s="83" t="inlineStr">
        <s:is>
          <s:t>PASS</s:t>
        </s:is>
      </s:c>
      <s:c r="B14778" s="83">
        <s:f>SUM(IF(EXACT('Kiểm thử'!E14728,"Đạt"),1,0))</s:f>
        <s:v/>
      </s:c>
      <s:c r="C14778" s="19" t="n"/>
      <s:c r="D14778" s="19" t="n"/>
      <s:c r="E14778" s="19" t="n"/>
    </s:row>
    <s:row r="14779" hidden="1" ht="1" customHeight="1">
      <s:c r="A14779" s="83" t="inlineStr">
        <s:is>
          <s:t>FAIL</s:t>
        </s:is>
      </s:c>
      <s:c r="B14779" s="83">
        <s:f>SUM(IF(EXACT('Kiểm thử'!E14728,"Không đạt"),1,0))</s:f>
        <s:v/>
      </s:c>
      <s:c r="C14779" s="19" t="n"/>
      <s:c r="D14779" s="19" t="n"/>
      <s:c r="E14779" s="19" t="n"/>
    </s:row>
    <s:row r="14780" hidden="1" ht="1" customHeight="1">
      <s:c r="A14780" s="83" t="inlineStr">
        <s:is>
          <s:t>BLOCKED</s:t>
        </s:is>
      </s:c>
      <s:c r="B14780" s="83">
        <s:f>SUM(IF(EXACT('Kiểm thử'!E14728,"Bị chặn"),1,0))</s:f>
        <s:v/>
      </s:c>
      <s:c r="C14780" s="19" t="n"/>
      <s:c r="D14780" s="19" t="n"/>
      <s:c r="E14780" s="19" t="n"/>
    </s:row>
    <s:row r="14781" hidden="1" ht="1" customHeight="1">
      <s:c r="A14781" s="83" t="inlineStr">
        <s:is>
          <s:t>SKIPPED</s:t>
        </s:is>
      </s:c>
      <s:c r="B14781" s="83">
        <s:f>SUM(IF(EXACT('Kiểm thử'!E14728,"Không thực hiện"),1,0))</s:f>
        <s:v/>
      </s:c>
      <s:c r="C14781" s="19" t="n"/>
      <s:c r="D14781" s="19" t="n"/>
      <s:c r="E14781" s="19" t="n"/>
    </s:row>
    <s:row r="14782" hidden="1" ht="1" customHeight="1">
      <s:c r="A14782" s="83" t="inlineStr">
        <s:is>
          <s:t>NOT RUN</s:t>
        </s:is>
      </s:c>
      <s:c r="B14782" s="83">
        <s:f>SUM(IF(EXACT('Kiểm thử'!E14728,"Chưa thực hiện"),1,0))</s:f>
        <s:v/>
      </s:c>
      <s:c r="C14782" s="19" t="n"/>
      <s:c r="D14782" s="19" t="n"/>
      <s:c r="E14782" s="19" t="n"/>
    </s:row>
    <s:row r="14783" hidden="1" ht="6" customHeight="1">
      <s:c r="A14783" s="83" t="inlineStr"/>
      <s:c r="B14783" s="19" t="n"/>
      <s:c r="C14783" s="19" t="n"/>
      <s:c r="D14783" s="19" t="n"/>
      <s:c r="E14783" s="19" t="n"/>
    </s:row>
    <s:row r="14784" ht="28" customHeight="1">
      <s:c r="A14784" s="108" t="inlineStr">
        <s:is>
          <s:t>TC-RS-BR-023 — Nút xanh Thực hiện tổng hợp（集計実行） không xét điểm đỏ</s:t>
        </s:is>
      </s:c>
      <s:c r="B14784" s="111" t="n"/>
      <s:c r="C14784" s="111" t="n"/>
      <s:c r="D14784" s="111" t="n"/>
      <s:c r="E14784" s="111" t="n"/>
    </s:row>
    <s:row r="14785" ht="20" customHeight="1">
      <s:c r="A14785" s="112" t="inlineStr">
        <s:is>
          <s:t>Kết quả tình huống</s:t>
        </s:is>
      </s:c>
      <s:c r="B14785" s="113">
        <s:f>IF(SUM(IF(EXACT('Kiểm thử'!E14793,"Không đạt"),1,0))&gt;0,"Không đạt",IF(SUM(IF(EXACT('Kiểm thử'!E14793,"Đạt"),1,0))=1,"Đạt",IF(SUM(IF(EXACT('Kiểm thử'!E14793,"Không thực hiện"),1,0))=1,"Không thực hiện",IF(SUM(IF(EXACT('Kiểm thử'!E14793,"Bị chặn"),1,0))&gt;0,"Bị chặn",IF(SUM(IF(EXACT('Kiểm thử'!E14793,"Chưa thực hiện"),1,0))=1,"Chưa thực hiện","Đang thực hiện")))))</s:f>
        <s:v/>
      </s:c>
      <s:c r="C14785" s="114" t="n"/>
      <s:c r="D14785" s="114" t="n"/>
      <s:c r="E14785" s="114" t="n"/>
    </s:row>
    <s:row r="14786" ht="20" customHeight="1">
      <s:c r="A14786" s="112" t="inlineStr">
        <s:is>
          <s:t>Màn hình / chức năng</s:t>
        </s:is>
      </s:c>
      <s:c r="B14786" s="113" t="inlineStr">
        <s:is>
          <s:t>Vòng đời kết quả</s:t>
        </s:is>
      </s:c>
      <s:c r="C14786" s="28" t="n"/>
      <s:c r="D14786" s="28" t="n"/>
      <s:c r="E14786" s="28" t="n"/>
    </s:row>
    <s:row r="14787" ht="34" customHeight="1">
      <s:c r="A14787" s="112" t="inlineStr">
        <s:is>
          <s:t>Cấu hình</s:t>
        </s:is>
      </s:c>
      <s:c r="B14787" s="113" t="inlineStr">
        <s:is>
          <s:t>• Quy tắc “Cố định 30” (dưới 30) vừa đổi từ 30 thành 35 và lưu;
• S03=32 Không đỏ (kết quả trước).</s:t>
        </s:is>
      </s:c>
      <s:c r="C14787" s="28" t="n"/>
      <s:c r="D14787" s="28" t="n"/>
      <s:c r="E14787" s="28" t="n"/>
    </s:row>
    <s:row r="14788" ht="20" customHeight="1">
      <s:c r="A14788" s="112" t="inlineStr">
        <s:is>
          <s:t>Dữ liệu test</s:t>
        </s:is>
      </s:c>
      <s:c r="B14788" s="113" t="inlineStr">
        <s:is>
          <s:t>• Quy tắc “Cố định 30” (dưới 30)</s:t>
        </s:is>
      </s:c>
      <s:c r="C14788" s="28" t="n"/>
      <s:c r="D14788" s="28" t="n"/>
      <s:c r="E14788" s="28" t="n"/>
    </s:row>
    <s:row r="14789" ht="20" customHeight="1">
      <s:c r="A14789" s="112" t="inlineStr">
        <s:is>
          <s:t>Bước 1</s:t>
        </s:is>
      </s:c>
      <s:c r="B14789" s="113" t="inlineStr">
        <s:is>
          <s:r>
            <s:t xml:space="preserve">Bấm </s:t>
          </s:r>
          <s:r>
            <s:rPr>
              <s:b val="1"/>
            </s:rPr>
            <s:t>Thực hiện tổng hợp（集計実行）</s:t>
          </s:r>
          <s:r>
            <s:t>, chờ hoàn tất.</s:t>
          </s:r>
        </s:is>
      </s:c>
      <s:c r="C14789" s="28" t="n"/>
      <s:c r="D14789" s="28" t="n"/>
      <s:c r="E14789" s="28" t="n"/>
    </s:row>
    <s:row r="14790" ht="20" customHeight="1">
      <s:c r="A14790" s="112" t="inlineStr">
        <s:is>
          <s:t>Bước 2</s:t>
        </s:is>
      </s:c>
      <s:c r="B14790" s="113" t="inlineStr">
        <s:is>
          <s:t>Xem kết quả S03.</s:t>
        </s:is>
      </s:c>
      <s:c r="C14790" s="28" t="n"/>
      <s:c r="D14790" s="28" t="n"/>
      <s:c r="E14790" s="28" t="n"/>
    </s:row>
    <s:row r="14791" ht="28" customHeight="1">
      <s:c r="A14791" s="115" t="inlineStr">
        <s:is>
          <s:t>Trường hợp</s:t>
        </s:is>
      </s:c>
      <s:c r="B14791" s="115" t="inlineStr">
        <s:is>
          <s:t>Dữ liệu / thao tác riêng</s:t>
        </s:is>
      </s:c>
      <s:c r="C14791" s="115" t="inlineStr">
        <s:is>
          <s:t>Kết quả mong đợi</s:t>
        </s:is>
      </s:c>
      <s:c r="D14791" s="115" t="inlineStr">
        <s:is>
          <s:t>Kết quả thực tế</s:t>
        </s:is>
      </s:c>
      <s:c r="E14791" s="115" t="inlineStr">
        <s:is>
          <s:t>Đánh giá</s:t>
        </s:is>
      </s:c>
    </s:row>
    <s:row r="14792" ht="3" customHeight="1">
      <s:c r="A14792" s="102" t="inlineStr"/>
      <s:c r="B14792" s="99" t="n"/>
      <s:c r="C14792" s="99" t="n"/>
      <s:c r="D14792" s="116" t="n"/>
      <s:c r="E14792" s="116" t="n"/>
    </s:row>
    <s:row r="14793" ht="62" customHeight="1">
      <s:c r="A14793" s="83" t="inlineStr">
        <s:is>
          <s:t>Trường hợp cơ bản (Base)</s:t>
        </s:is>
      </s:c>
      <s:c r="B14793" s="83" t="inlineStr">
        <s:is>
          <s:t>Toàn bộ tình huống: Thực hiện đủ các bước chung theo thứ tự; kiểm cả đối tượng đích và đối chứng cùng fixture, không bỏ bước.</s:t>
        </s:is>
      </s:c>
      <s:c r="C14793" s="83" t="inlineStr">
        <s:is>
          <s:r>
            <s:t xml:space="preserve">S03 vẫn </s:t>
          </s:r>
          <s:r>
            <s:rPr>
              <s:b val="1"/>
            </s:rPr>
            <s:t>Không đỏ</s:t>
          </s:r>
          <s:r>
            <s:t>.</s:t>
          </s:r>
        </s:is>
      </s:c>
      <s:c r="D14793" s="117" t="inlineStr"/>
      <s:c r="E14793" s="118" t="inlineStr">
        <s:is>
          <s:t>Chưa thực hiện</s:t>
        </s:is>
      </s:c>
    </s:row>
    <s:row r="14794" ht="20" customHeight="1">
      <s:c r="A14794" s="119" t="inlineStr">
        <s:is>
          <s:t>Ảnh minh chứng — Chưa có ảnh</s:t>
        </s:is>
      </s:c>
      <s:c r="B14794" s="19" t="n"/>
      <s:c r="C14794" s="19" t="n"/>
      <s:c r="D14794" s="19" t="n"/>
      <s:c r="E14794" s="19" t="n"/>
    </s:row>
    <s:row r="14795" hidden="1" ht="1" customHeight="1">
      <s:c r="A14795" s="120" t="inlineStr"/>
      <s:c r="B14795" s="121" t="n"/>
      <s:c r="C14795" s="121" t="n"/>
      <s:c r="D14795" s="121" t="n"/>
      <s:c r="E14795" s="122" t="n"/>
    </s:row>
    <s:row r="14796" hidden="1" ht="1" customHeight="1">
      <s:c r="A14796" s="120" t="inlineStr"/>
      <s:c r="B14796" s="121" t="n"/>
      <s:c r="C14796" s="121" t="n"/>
      <s:c r="D14796" s="121" t="n"/>
      <s:c r="E14796" s="122" t="n"/>
    </s:row>
    <s:row r="14797" hidden="1" ht="1" customHeight="1">
      <s:c r="A14797" s="120" t="inlineStr"/>
      <s:c r="B14797" s="121" t="n"/>
      <s:c r="C14797" s="121" t="n"/>
      <s:c r="D14797" s="121" t="n"/>
      <s:c r="E14797" s="122" t="n"/>
    </s:row>
    <s:row r="14798" hidden="1" ht="1" customHeight="1">
      <s:c r="A14798" s="120" t="inlineStr"/>
      <s:c r="B14798" s="121" t="n"/>
      <s:c r="C14798" s="121" t="n"/>
      <s:c r="D14798" s="121" t="n"/>
      <s:c r="E14798" s="122" t="n"/>
    </s:row>
    <s:row r="14799" hidden="1" ht="1" customHeight="1">
      <s:c r="A14799" s="120" t="inlineStr"/>
      <s:c r="B14799" s="121" t="n"/>
      <s:c r="C14799" s="121" t="n"/>
      <s:c r="D14799" s="121" t="n"/>
      <s:c r="E14799" s="122" t="n"/>
    </s:row>
    <s:row r="14800" hidden="1" ht="1" customHeight="1">
      <s:c r="A14800" s="120" t="inlineStr"/>
      <s:c r="B14800" s="121" t="n"/>
      <s:c r="C14800" s="121" t="n"/>
      <s:c r="D14800" s="121" t="n"/>
      <s:c r="E14800" s="122" t="n"/>
    </s:row>
    <s:row r="14801" hidden="1" ht="1" customHeight="1">
      <s:c r="A14801" s="120" t="inlineStr"/>
      <s:c r="B14801" s="121" t="n"/>
      <s:c r="C14801" s="121" t="n"/>
      <s:c r="D14801" s="121" t="n"/>
      <s:c r="E14801" s="122" t="n"/>
    </s:row>
    <s:row r="14802" hidden="1" ht="1" customHeight="1">
      <s:c r="A14802" s="120" t="inlineStr"/>
      <s:c r="B14802" s="121" t="n"/>
      <s:c r="C14802" s="121" t="n"/>
      <s:c r="D14802" s="121" t="n"/>
      <s:c r="E14802" s="122" t="n"/>
    </s:row>
    <s:row r="14803" hidden="1" ht="1" customHeight="1">
      <s:c r="A14803" s="120" t="inlineStr"/>
      <s:c r="B14803" s="121" t="n"/>
      <s:c r="C14803" s="121" t="n"/>
      <s:c r="D14803" s="121" t="n"/>
      <s:c r="E14803" s="122" t="n"/>
    </s:row>
    <s:row r="14804" hidden="1" ht="1" customHeight="1">
      <s:c r="A14804" s="120" t="inlineStr"/>
      <s:c r="B14804" s="121" t="n"/>
      <s:c r="C14804" s="121" t="n"/>
      <s:c r="D14804" s="121" t="n"/>
      <s:c r="E14804" s="122" t="n"/>
    </s:row>
    <s:row r="14805" hidden="1" ht="1" customHeight="1">
      <s:c r="A14805" s="120" t="inlineStr"/>
      <s:c r="B14805" s="121" t="n"/>
      <s:c r="C14805" s="121" t="n"/>
      <s:c r="D14805" s="121" t="n"/>
      <s:c r="E14805" s="122" t="n"/>
    </s:row>
    <s:row r="14806" hidden="1" ht="1" customHeight="1">
      <s:c r="A14806" s="120" t="inlineStr"/>
      <s:c r="B14806" s="121" t="n"/>
      <s:c r="C14806" s="121" t="n"/>
      <s:c r="D14806" s="121" t="n"/>
      <s:c r="E14806" s="122" t="n"/>
    </s:row>
    <s:row r="14807" hidden="1" ht="1" customHeight="1">
      <s:c r="A14807" s="120" t="inlineStr"/>
      <s:c r="B14807" s="121" t="n"/>
      <s:c r="C14807" s="121" t="n"/>
      <s:c r="D14807" s="121" t="n"/>
      <s:c r="E14807" s="122" t="n"/>
    </s:row>
    <s:row r="14808" hidden="1" ht="1" customHeight="1">
      <s:c r="A14808" s="120" t="inlineStr"/>
      <s:c r="B14808" s="121" t="n"/>
      <s:c r="C14808" s="121" t="n"/>
      <s:c r="D14808" s="121" t="n"/>
      <s:c r="E14808" s="122" t="n"/>
    </s:row>
    <s:row r="14809" hidden="1" ht="1" customHeight="1">
      <s:c r="A14809" s="120" t="inlineStr"/>
      <s:c r="B14809" s="121" t="n"/>
      <s:c r="C14809" s="121" t="n"/>
      <s:c r="D14809" s="121" t="n"/>
      <s:c r="E14809" s="122" t="n"/>
    </s:row>
    <s:row r="14810" hidden="1" ht="1" customHeight="1">
      <s:c r="A14810" s="120" t="inlineStr"/>
      <s:c r="B14810" s="121" t="n"/>
      <s:c r="C14810" s="121" t="n"/>
      <s:c r="D14810" s="121" t="n"/>
      <s:c r="E14810" s="122" t="n"/>
    </s:row>
    <s:row r="14811" hidden="1" ht="1" customHeight="1">
      <s:c r="A14811" s="120" t="inlineStr"/>
      <s:c r="B14811" s="121" t="n"/>
      <s:c r="C14811" s="121" t="n"/>
      <s:c r="D14811" s="121" t="n"/>
      <s:c r="E14811" s="122" t="n"/>
    </s:row>
    <s:row r="14812" hidden="1" ht="1" customHeight="1">
      <s:c r="A14812" s="120" t="inlineStr"/>
      <s:c r="B14812" s="121" t="n"/>
      <s:c r="C14812" s="121" t="n"/>
      <s:c r="D14812" s="121" t="n"/>
      <s:c r="E14812" s="122" t="n"/>
    </s:row>
    <s:row r="14813" hidden="1" ht="1" customHeight="1">
      <s:c r="A14813" s="120" t="inlineStr"/>
      <s:c r="B14813" s="121" t="n"/>
      <s:c r="C14813" s="121" t="n"/>
      <s:c r="D14813" s="121" t="n"/>
      <s:c r="E14813" s="122" t="n"/>
    </s:row>
    <s:row r="14814" hidden="1" ht="1" customHeight="1">
      <s:c r="A14814" s="120" t="inlineStr"/>
      <s:c r="B14814" s="121" t="n"/>
      <s:c r="C14814" s="121" t="n"/>
      <s:c r="D14814" s="121" t="n"/>
      <s:c r="E14814" s="122" t="n"/>
    </s:row>
    <s:row r="14815" hidden="1" ht="1" customHeight="1">
      <s:c r="A14815" s="120" t="inlineStr"/>
      <s:c r="B14815" s="121" t="n"/>
      <s:c r="C14815" s="121" t="n"/>
      <s:c r="D14815" s="121" t="n"/>
      <s:c r="E14815" s="122" t="n"/>
    </s:row>
    <s:row r="14816" hidden="1" ht="1" customHeight="1">
      <s:c r="A14816" s="120" t="inlineStr"/>
      <s:c r="B14816" s="121" t="n"/>
      <s:c r="C14816" s="121" t="n"/>
      <s:c r="D14816" s="121" t="n"/>
      <s:c r="E14816" s="122" t="n"/>
    </s:row>
    <s:row r="14817" hidden="1" ht="1" customHeight="1">
      <s:c r="A14817" s="120" t="inlineStr"/>
      <s:c r="B14817" s="121" t="n"/>
      <s:c r="C14817" s="121" t="n"/>
      <s:c r="D14817" s="121" t="n"/>
      <s:c r="E14817" s="122" t="n"/>
    </s:row>
    <s:row r="14818" hidden="1" ht="1" customHeight="1">
      <s:c r="A14818" s="120" t="inlineStr"/>
      <s:c r="B14818" s="121" t="n"/>
      <s:c r="C14818" s="121" t="n"/>
      <s:c r="D14818" s="121" t="n"/>
      <s:c r="E14818" s="122" t="n"/>
    </s:row>
    <s:row r="14819" hidden="1" ht="1" customHeight="1">
      <s:c r="A14819" s="120" t="inlineStr"/>
      <s:c r="B14819" s="121" t="n"/>
      <s:c r="C14819" s="121" t="n"/>
      <s:c r="D14819" s="121" t="n"/>
      <s:c r="E14819" s="122" t="n"/>
    </s:row>
    <s:row r="14820" hidden="1" ht="1" customHeight="1">
      <s:c r="A14820" s="120" t="inlineStr"/>
      <s:c r="B14820" s="121" t="n"/>
      <s:c r="C14820" s="121" t="n"/>
      <s:c r="D14820" s="121" t="n"/>
      <s:c r="E14820" s="122" t="n"/>
    </s:row>
    <s:row r="14821" hidden="1" ht="1" customHeight="1">
      <s:c r="A14821" s="120" t="inlineStr"/>
      <s:c r="B14821" s="121" t="n"/>
      <s:c r="C14821" s="121" t="n"/>
      <s:c r="D14821" s="121" t="n"/>
      <s:c r="E14821" s="122" t="n"/>
    </s:row>
    <s:row r="14822" hidden="1" ht="1" customHeight="1">
      <s:c r="A14822" s="120" t="inlineStr"/>
      <s:c r="B14822" s="121" t="n"/>
      <s:c r="C14822" s="121" t="n"/>
      <s:c r="D14822" s="121" t="n"/>
      <s:c r="E14822" s="122" t="n"/>
    </s:row>
    <s:row r="14823" hidden="1" ht="1" customHeight="1">
      <s:c r="A14823" s="120" t="inlineStr"/>
      <s:c r="B14823" s="121" t="n"/>
      <s:c r="C14823" s="121" t="n"/>
      <s:c r="D14823" s="121" t="n"/>
      <s:c r="E14823" s="122" t="n"/>
    </s:row>
    <s:row r="14824" hidden="1" ht="1" customHeight="1">
      <s:c r="A14824" s="120" t="inlineStr"/>
      <s:c r="B14824" s="121" t="n"/>
      <s:c r="C14824" s="121" t="n"/>
      <s:c r="D14824" s="121" t="n"/>
      <s:c r="E14824" s="122" t="n"/>
    </s:row>
    <s:row r="14825" hidden="1" ht="1" customHeight="1">
      <s:c r="A14825" s="120" t="inlineStr"/>
      <s:c r="B14825" s="121" t="n"/>
      <s:c r="C14825" s="121" t="n"/>
      <s:c r="D14825" s="121" t="n"/>
      <s:c r="E14825" s="122" t="n"/>
    </s:row>
    <s:row r="14826" hidden="1" ht="1" customHeight="1">
      <s:c r="A14826" s="120" t="inlineStr"/>
      <s:c r="B14826" s="121" t="n"/>
      <s:c r="C14826" s="121" t="n"/>
      <s:c r="D14826" s="121" t="n"/>
      <s:c r="E14826" s="122" t="n"/>
    </s:row>
    <s:row r="14827" hidden="1" ht="1" customHeight="1">
      <s:c r="A14827" s="120" t="inlineStr"/>
      <s:c r="B14827" s="121" t="n"/>
      <s:c r="C14827" s="121" t="n"/>
      <s:c r="D14827" s="121" t="n"/>
      <s:c r="E14827" s="122" t="n"/>
    </s:row>
    <s:row r="14828" hidden="1" ht="1" customHeight="1">
      <s:c r="A14828" s="120" t="inlineStr"/>
      <s:c r="B14828" s="121" t="n"/>
      <s:c r="C14828" s="121" t="n"/>
      <s:c r="D14828" s="121" t="n"/>
      <s:c r="E14828" s="122" t="n"/>
    </s:row>
    <s:row r="14829" hidden="1" ht="1" customHeight="1">
      <s:c r="A14829" s="120" t="inlineStr"/>
      <s:c r="B14829" s="121" t="n"/>
      <s:c r="C14829" s="121" t="n"/>
      <s:c r="D14829" s="121" t="n"/>
      <s:c r="E14829" s="122" t="n"/>
    </s:row>
    <s:row r="14830" hidden="1" ht="1" customHeight="1">
      <s:c r="A14830" s="120" t="inlineStr"/>
      <s:c r="B14830" s="121" t="n"/>
      <s:c r="C14830" s="121" t="n"/>
      <s:c r="D14830" s="121" t="n"/>
      <s:c r="E14830" s="122" t="n"/>
    </s:row>
    <s:row r="14831" hidden="1" ht="1" customHeight="1">
      <s:c r="A14831" s="120" t="inlineStr"/>
      <s:c r="B14831" s="121" t="n"/>
      <s:c r="C14831" s="121" t="n"/>
      <s:c r="D14831" s="121" t="n"/>
      <s:c r="E14831" s="122" t="n"/>
    </s:row>
    <s:row r="14832" hidden="1" ht="1" customHeight="1">
      <s:c r="A14832" s="120" t="inlineStr"/>
      <s:c r="B14832" s="121" t="n"/>
      <s:c r="C14832" s="121" t="n"/>
      <s:c r="D14832" s="121" t="n"/>
      <s:c r="E14832" s="122" t="n"/>
    </s:row>
    <s:row r="14833" hidden="1" ht="1" customHeight="1">
      <s:c r="A14833" s="120" t="inlineStr"/>
      <s:c r="B14833" s="121" t="n"/>
      <s:c r="C14833" s="121" t="n"/>
      <s:c r="D14833" s="121" t="n"/>
      <s:c r="E14833" s="122" t="n"/>
    </s:row>
    <s:row r="14834" hidden="1" ht="1" customHeight="1">
      <s:c r="A14834" s="120" t="inlineStr"/>
      <s:c r="B14834" s="121" t="n"/>
      <s:c r="C14834" s="121" t="n"/>
      <s:c r="D14834" s="121" t="n"/>
      <s:c r="E14834" s="122" t="n"/>
    </s:row>
    <s:row r="14835" hidden="1" ht="1" customHeight="1">
      <s:c r="A14835" s="120" t="inlineStr"/>
      <s:c r="B14835" s="121" t="n"/>
      <s:c r="C14835" s="121" t="n"/>
      <s:c r="D14835" s="121" t="n"/>
      <s:c r="E14835" s="122" t="n"/>
    </s:row>
    <s:row r="14836" hidden="1" ht="1" customHeight="1">
      <s:c r="A14836" s="120" t="inlineStr"/>
      <s:c r="B14836" s="121" t="n"/>
      <s:c r="C14836" s="121" t="n"/>
      <s:c r="D14836" s="121" t="n"/>
      <s:c r="E14836" s="122" t="n"/>
    </s:row>
    <s:row r="14837" hidden="1" ht="1" customHeight="1">
      <s:c r="A14837" s="120" t="inlineStr"/>
      <s:c r="B14837" s="121" t="n"/>
      <s:c r="C14837" s="121" t="n"/>
      <s:c r="D14837" s="121" t="n"/>
      <s:c r="E14837" s="122" t="n"/>
    </s:row>
    <s:row r="14838" hidden="1" ht="1" customHeight="1">
      <s:c r="A14838" s="120" t="inlineStr"/>
      <s:c r="B14838" s="121" t="n"/>
      <s:c r="C14838" s="121" t="n"/>
      <s:c r="D14838" s="121" t="n"/>
      <s:c r="E14838" s="122" t="n"/>
    </s:row>
    <s:row r="14839" hidden="1" ht="1" customHeight="1">
      <s:c r="A14839" s="120" t="inlineStr"/>
      <s:c r="B14839" s="121" t="n"/>
      <s:c r="C14839" s="121" t="n"/>
      <s:c r="D14839" s="121" t="n"/>
      <s:c r="E14839" s="122" t="n"/>
    </s:row>
    <s:row r="14840" hidden="1" ht="1" customHeight="1">
      <s:c r="A14840" s="120" t="inlineStr"/>
      <s:c r="B14840" s="121" t="n"/>
      <s:c r="C14840" s="121" t="n"/>
      <s:c r="D14840" s="121" t="n"/>
      <s:c r="E14840" s="122" t="n"/>
    </s:row>
    <s:row r="14841" hidden="1" ht="1" customHeight="1">
      <s:c r="A14841" s="120" t="inlineStr"/>
      <s:c r="B14841" s="121" t="n"/>
      <s:c r="C14841" s="121" t="n"/>
      <s:c r="D14841" s="121" t="n"/>
      <s:c r="E14841" s="122" t="n"/>
    </s:row>
    <s:row r="14842" hidden="1" ht="1" customHeight="1">
      <s:c r="A14842" s="120" t="inlineStr"/>
      <s:c r="B14842" s="121" t="n"/>
      <s:c r="C14842" s="121" t="n"/>
      <s:c r="D14842" s="121" t="n"/>
      <s:c r="E14842" s="122" t="n"/>
    </s:row>
    <s:row r="14843" hidden="1" ht="1" customHeight="1">
      <s:c r="A14843" s="83" t="inlineStr">
        <s:is>
          <s:t>PASS</s:t>
        </s:is>
      </s:c>
      <s:c r="B14843" s="83">
        <s:f>SUM(IF(EXACT('Kiểm thử'!E14793,"Đạt"),1,0))</s:f>
        <s:v/>
      </s:c>
      <s:c r="C14843" s="19" t="n"/>
      <s:c r="D14843" s="19" t="n"/>
      <s:c r="E14843" s="19" t="n"/>
    </s:row>
    <s:row r="14844" hidden="1" ht="1" customHeight="1">
      <s:c r="A14844" s="83" t="inlineStr">
        <s:is>
          <s:t>FAIL</s:t>
        </s:is>
      </s:c>
      <s:c r="B14844" s="83">
        <s:f>SUM(IF(EXACT('Kiểm thử'!E14793,"Không đạt"),1,0))</s:f>
        <s:v/>
      </s:c>
      <s:c r="C14844" s="19" t="n"/>
      <s:c r="D14844" s="19" t="n"/>
      <s:c r="E14844" s="19" t="n"/>
    </s:row>
    <s:row r="14845" hidden="1" ht="1" customHeight="1">
      <s:c r="A14845" s="83" t="inlineStr">
        <s:is>
          <s:t>BLOCKED</s:t>
        </s:is>
      </s:c>
      <s:c r="B14845" s="83">
        <s:f>SUM(IF(EXACT('Kiểm thử'!E14793,"Bị chặn"),1,0))</s:f>
        <s:v/>
      </s:c>
      <s:c r="C14845" s="19" t="n"/>
      <s:c r="D14845" s="19" t="n"/>
      <s:c r="E14845" s="19" t="n"/>
    </s:row>
    <s:row r="14846" hidden="1" ht="1" customHeight="1">
      <s:c r="A14846" s="83" t="inlineStr">
        <s:is>
          <s:t>SKIPPED</s:t>
        </s:is>
      </s:c>
      <s:c r="B14846" s="83">
        <s:f>SUM(IF(EXACT('Kiểm thử'!E14793,"Không thực hiện"),1,0))</s:f>
        <s:v/>
      </s:c>
      <s:c r="C14846" s="19" t="n"/>
      <s:c r="D14846" s="19" t="n"/>
      <s:c r="E14846" s="19" t="n"/>
    </s:row>
    <s:row r="14847" hidden="1" ht="1" customHeight="1">
      <s:c r="A14847" s="83" t="inlineStr">
        <s:is>
          <s:t>NOT RUN</s:t>
        </s:is>
      </s:c>
      <s:c r="B14847" s="83">
        <s:f>SUM(IF(EXACT('Kiểm thử'!E14793,"Chưa thực hiện"),1,0))</s:f>
        <s:v/>
      </s:c>
      <s:c r="C14847" s="19" t="n"/>
      <s:c r="D14847" s="19" t="n"/>
      <s:c r="E14847" s="19" t="n"/>
    </s:row>
    <s:row r="14848" hidden="1" ht="6" customHeight="1">
      <s:c r="A14848" s="83" t="inlineStr"/>
      <s:c r="B14848" s="19" t="n"/>
      <s:c r="C14848" s="19" t="n"/>
      <s:c r="D14848" s="19" t="n"/>
      <s:c r="E14848" s="19" t="n"/>
    </s:row>
    <s:row r="14849" ht="28" customHeight="1">
      <s:c r="A14849" s="108" t="inlineStr">
        <s:is>
          <s:t>TC-RS-BR-024 — Xem, xuất, công khai, in lại không kích hoạt xét</s:t>
        </s:is>
      </s:c>
      <s:c r="B14849" s="111" t="n"/>
      <s:c r="C14849" s="111" t="n"/>
      <s:c r="D14849" s="111" t="n"/>
      <s:c r="E14849" s="111" t="n"/>
    </s:row>
    <s:row r="14850" ht="20" customHeight="1">
      <s:c r="A14850" s="112" t="inlineStr">
        <s:is>
          <s:t>Kết quả tình huống</s:t>
        </s:is>
      </s:c>
      <s:c r="B14850" s="113">
        <s:f>IF(SUM(IF(EXACT('Kiểm thử'!E14859,"Không đạt"),1,0),IF(EXACT('Kiểm thử'!E14861,"Không đạt"),1,0),IF(EXACT('Kiểm thử'!E14863,"Không đạt"),1,0),IF(EXACT('Kiểm thử'!E14865,"Không đạt"),1,0),IF(EXACT('Kiểm thử'!E14867,"Không đạt"),1,0))&gt;0,"Không đạt",IF(SUM(IF(EXACT('Kiểm thử'!E14859,"Đạt"),1,0),IF(EXACT('Kiểm thử'!E14861,"Đạt"),1,0),IF(EXACT('Kiểm thử'!E14863,"Đạt"),1,0),IF(EXACT('Kiểm thử'!E14865,"Đạt"),1,0),IF(EXACT('Kiểm thử'!E14867,"Đạt"),1,0))=5,"Đạt",IF(SUM(IF(EXACT('Kiểm thử'!E14859,"Không thực hiện"),1,0),IF(EXACT('Kiểm thử'!E14861,"Không thực hiện"),1,0),IF(EXACT('Kiểm thử'!E14863,"Không thực hiện"),1,0),IF(EXACT('Kiểm thử'!E14865,"Không thực hiện"),1,0),IF(EXACT('Kiểm thử'!E14867,"Không thực hiện"),1,0))=5,"Không thực hiện",IF(SUM(IF(EXACT('Kiểm thử'!E14859,"Bị chặn"),1,0),IF(EXACT('Kiểm thử'!E14861,"Bị chặn"),1,0),IF(EXACT('Kiểm thử'!E14863,"Bị chặn"),1,0),IF(EXACT('Kiểm thử'!E14865,"Bị chặn"),1,0),IF(EXACT('Kiểm thử'!E14867,"Bị chặn"),1,0))&gt;0,"Bị chặn",IF(SUM(IF(EXACT('Kiểm thử'!E14859,"Chưa thực hiện"),1,0),IF(EXACT('Kiểm thử'!E14861,"Chưa thực hiện"),1,0),IF(EXACT('Kiểm thử'!E14863,"Chưa thực hiện"),1,0),IF(EXACT('Kiểm thử'!E14865,"Chưa thực hiện"),1,0),IF(EXACT('Kiểm thử'!E14867,"Chưa thực hiện"),1,0))=5,"Chưa thực hiện","Đang thực hiện")))))</s:f>
        <s:v/>
      </s:c>
      <s:c r="C14850" s="114" t="n"/>
      <s:c r="D14850" s="114" t="n"/>
      <s:c r="E14850" s="114" t="n"/>
    </s:row>
    <s:row r="14851" ht="20" customHeight="1">
      <s:c r="A14851" s="112" t="inlineStr">
        <s:is>
          <s:t>Màn hình / chức năng</s:t>
        </s:is>
      </s:c>
      <s:c r="B14851" s="113" t="inlineStr">
        <s:is>
          <s:t>Vòng đời kết quả</s:t>
        </s:is>
      </s:c>
      <s:c r="C14851" s="28" t="n"/>
      <s:c r="D14851" s="28" t="n"/>
      <s:c r="E14851" s="28" t="n"/>
    </s:row>
    <s:row r="14852" ht="48" customHeight="1">
      <s:c r="A14852" s="112" t="inlineStr">
        <s:is>
          <s:t>Cấu hình</s:t>
        </s:is>
      </s:c>
      <s:c r="B14852" s="113" t="inlineStr">
        <s:is>
          <s:t>• Như case “Lưu cấu hình không xét;
• Kết quả trước giữ tới lần chạy lại” bước 1 (đã lưu [&lt;35], chưa chạy lại;
• S03=32 Không đỏ).</s:t>
        </s:is>
      </s:c>
      <s:c r="C14852" s="28" t="n"/>
      <s:c r="D14852" s="28" t="n"/>
      <s:c r="E14852" s="28" t="n"/>
    </s:row>
    <s:row r="14853" ht="34" customHeight="1">
      <s:c r="A14853" s="112" t="inlineStr">
        <s:is>
          <s:t>Dữ liệu test</s:t>
        </s:is>
      </s:c>
      <s:c r="B14853" s="113" t="inlineStr">
        <s:is>
          <s:t>• Cấu hình trích xuất: lọc, ký hiệu “*” phía trước, tô màu, cấu hình công khai: “*” phía trước, cấu hình phiếu điểm: ký tự “※” phía trước</s:t>
        </s:is>
      </s:c>
      <s:c r="C14853" s="28" t="n"/>
      <s:c r="D14853" s="28" t="n"/>
      <s:c r="E14853" s="28" t="n"/>
    </s:row>
    <s:row r="14854" ht="20" customHeight="1">
      <s:c r="A14854" s="112" t="inlineStr">
        <s:is>
          <s:t>Bước 1</s:t>
        </s:is>
      </s:c>
      <s:c r="B14854" s="113" t="inlineStr">
        <s:is>
          <s:t>Chạy trích xuất, xuất Excel.</s:t>
        </s:is>
      </s:c>
      <s:c r="C14854" s="28" t="n"/>
      <s:c r="D14854" s="28" t="n"/>
      <s:c r="E14854" s="28" t="n"/>
    </s:row>
    <s:row r="14855" ht="20" customHeight="1">
      <s:c r="A14855" s="112" t="inlineStr">
        <s:is>
          <s:t>Bước 2</s:t>
        </s:is>
      </s:c>
      <s:c r="B14855" s="113" t="inlineStr">
        <s:is>
          <s:t>Mở màn công khai học sinh, tải PDF công khai.</s:t>
        </s:is>
      </s:c>
      <s:c r="C14855" s="28" t="n"/>
      <s:c r="D14855" s="28" t="n"/>
      <s:c r="E14855" s="28" t="n"/>
    </s:row>
    <s:row r="14856" ht="20" customHeight="1">
      <s:c r="A14856" s="112" t="inlineStr">
        <s:is>
          <s:t>Bước 3</s:t>
        </s:is>
      </s:c>
      <s:c r="B14856" s="113" t="inlineStr">
        <s:is>
          <s:t>Xuất PDF phiếu.</s:t>
        </s:is>
      </s:c>
      <s:c r="C14856" s="28" t="n"/>
      <s:c r="D14856" s="28" t="n"/>
      <s:c r="E14856" s="28" t="n"/>
    </s:row>
    <s:row r="14857" ht="28" customHeight="1">
      <s:c r="A14857" s="115" t="inlineStr">
        <s:is>
          <s:t>Trường hợp</s:t>
        </s:is>
      </s:c>
      <s:c r="B14857" s="115" t="inlineStr">
        <s:is>
          <s:t>Dữ liệu / thao tác riêng</s:t>
        </s:is>
      </s:c>
      <s:c r="C14857" s="115" t="inlineStr">
        <s:is>
          <s:t>Kết quả mong đợi</s:t>
        </s:is>
      </s:c>
      <s:c r="D14857" s="115" t="inlineStr">
        <s:is>
          <s:t>Kết quả thực tế</s:t>
        </s:is>
      </s:c>
      <s:c r="E14857" s="115" t="inlineStr">
        <s:is>
          <s:t>Đánh giá</s:t>
        </s:is>
      </s:c>
    </s:row>
    <s:row r="14858" ht="3" customHeight="1">
      <s:c r="A14858" s="102" t="inlineStr"/>
      <s:c r="B14858" s="99" t="n"/>
      <s:c r="C14858" s="99" t="n"/>
      <s:c r="D14858" s="116" t="n"/>
      <s:c r="E14858" s="116" t="n"/>
    </s:row>
    <s:row r="14859" ht="76" customHeight="1">
      <s:c r="A14859" s="83" t="inlineStr">
        <s:is>
          <s:t>Trích xuất (extract)</s:t>
        </s:is>
      </s:c>
      <s:c r="B14859" s="83" t="inlineStr">
        <s:is>
          <s:r>
            <s:t xml:space="preserve">S03 đã lưu Không đỏ; chỉ xem/xuất màn </s:t>
          </s:r>
          <s:r>
            <s:rPr>
              <s:b val="1"/>
            </s:rPr>
            <s:t>Trích xuất thành tích（成績抽出）</s:t>
          </s:r>
          <s:r>
            <s:t>, đọc thời điểm kết quả và lượt/thời điểm tổng hợp trước/sau để kiểm không phát sinh xét.</s:t>
          </s:r>
        </s:is>
      </s:c>
      <s:c r="C14859" s="83" t="inlineStr">
        <s:is>
          <s:r>
            <s:t xml:space="preserve">S03 vẫn </s:t>
          </s:r>
          <s:r>
            <s:rPr>
              <s:b val="1"/>
            </s:rPr>
            <s:t>Không đỏ</s:t>
          </s:r>
          <s:r>
            <s:t xml:space="preserve"> ở mọi đầu ra; không có lượt xét mới (thời điểm kết quả không đổi); không có lượt tổng hợp mới (lượt/thời điểm tổng hợp mới nhất không đổi).</s:t>
          </s:r>
        </s:is>
      </s:c>
      <s:c r="D14859" s="117" t="inlineStr"/>
      <s:c r="E14859" s="118" t="inlineStr">
        <s:is>
          <s:t>Chưa thực hiện</s:t>
        </s:is>
      </s:c>
    </s:row>
    <s:row r="14860" ht="3" customHeight="1">
      <s:c r="A14860" s="102" t="inlineStr"/>
      <s:c r="B14860" s="99" t="n"/>
      <s:c r="C14860" s="99" t="n"/>
      <s:c r="D14860" s="116" t="n"/>
      <s:c r="E14860" s="116" t="n"/>
    </s:row>
    <s:row r="14861" ht="90" customHeight="1">
      <s:c r="A14861" s="83" t="inlineStr">
        <s:is>
          <s:t>Excel trích xuất (excel)</s:t>
        </s:is>
      </s:c>
      <s:c r="B14861" s="83" t="inlineStr">
        <s:is>
          <s:r>
            <s:t xml:space="preserve">S03 đã lưu Không đỏ; chỉ xem/xuất file Excel sau </s:t>
          </s:r>
          <s:r>
            <s:rPr>
              <s:b val="1"/>
            </s:rPr>
            <s:t>Trích xuất thành tích（成績抽出）</s:t>
          </s:r>
          <s:r>
            <s:t>, đọc thời điểm kết quả và lượt/thời điểm tổng hợp trước/sau để kiểm không phát sinh xét.</s:t>
          </s:r>
        </s:is>
      </s:c>
      <s:c r="C14861" s="83" t="inlineStr">
        <s:is>
          <s:r>
            <s:t xml:space="preserve">S03 vẫn </s:t>
          </s:r>
          <s:r>
            <s:rPr>
              <s:b val="1"/>
            </s:rPr>
            <s:t>Không đỏ</s:t>
          </s:r>
          <s:r>
            <s:t xml:space="preserve"> ở mọi đầu ra; không có lượt xét mới (thời điểm kết quả không đổi); không có lượt tổng hợp mới (lượt/thời điểm tổng hợp mới nhất không đổi).</s:t>
          </s:r>
        </s:is>
      </s:c>
      <s:c r="D14861" s="117" t="inlineStr"/>
      <s:c r="E14861" s="118" t="inlineStr">
        <s:is>
          <s:t>Chưa thực hiện</s:t>
        </s:is>
      </s:c>
    </s:row>
    <s:row r="14862" ht="3" customHeight="1">
      <s:c r="A14862" s="102" t="inlineStr"/>
      <s:c r="B14862" s="99" t="n"/>
      <s:c r="C14862" s="99" t="n"/>
      <s:c r="D14862" s="116" t="n"/>
      <s:c r="E14862" s="116" t="n"/>
    </s:row>
    <s:row r="14863" ht="76" customHeight="1">
      <s:c r="A14863" s="83" t="inlineStr">
        <s:is>
          <s:t>Web công khai (publish-web)</s:t>
        </s:is>
      </s:c>
      <s:c r="B14863" s="83" t="inlineStr">
        <s:is>
          <s:r>
            <s:t xml:space="preserve">S03 đã lưu Không đỏ; chỉ xem/xuất màn </s:t>
          </s:r>
          <s:r>
            <s:rPr>
              <s:b val="1"/>
            </s:rPr>
            <s:t>Xác nhận thành tích（成績確認）</s:t>
          </s:r>
          <s:r>
            <s:t>, đọc thời điểm kết quả và lượt/thời điểm tổng hợp trước/sau để kiểm không phát sinh xét.</s:t>
          </s:r>
        </s:is>
      </s:c>
      <s:c r="C14863" s="83" t="inlineStr">
        <s:is>
          <s:r>
            <s:t xml:space="preserve">S03 vẫn </s:t>
          </s:r>
          <s:r>
            <s:rPr>
              <s:b val="1"/>
            </s:rPr>
            <s:t>Không đỏ</s:t>
          </s:r>
          <s:r>
            <s:t xml:space="preserve"> ở mọi đầu ra; không có lượt xét mới (thời điểm kết quả không đổi); không có lượt tổng hợp mới (lượt/thời điểm tổng hợp mới nhất không đổi).</s:t>
          </s:r>
        </s:is>
      </s:c>
      <s:c r="D14863" s="117" t="inlineStr"/>
      <s:c r="E14863" s="118" t="inlineStr">
        <s:is>
          <s:t>Chưa thực hiện</s:t>
        </s:is>
      </s:c>
    </s:row>
    <s:row r="14864" ht="3" customHeight="1">
      <s:c r="A14864" s="102" t="inlineStr"/>
      <s:c r="B14864" s="99" t="n"/>
      <s:c r="C14864" s="99" t="n"/>
      <s:c r="D14864" s="116" t="n"/>
      <s:c r="E14864" s="116" t="n"/>
    </s:row>
    <s:row r="14865" ht="76" customHeight="1">
      <s:c r="A14865" s="83" t="inlineStr">
        <s:is>
          <s:t>PDF công khai (publish-pdf)</s:t>
        </s:is>
      </s:c>
      <s:c r="B14865" s="83" t="inlineStr">
        <s:is>
          <s:r>
            <s:t xml:space="preserve">S03 đã lưu Không đỏ; chỉ xem/xuất PDF </s:t>
          </s:r>
          <s:r>
            <s:rPr>
              <s:b val="1"/>
            </s:rPr>
            <s:t>Công khai thành tích（成績公開）</s:t>
          </s:r>
          <s:r>
            <s:t>, đọc thời điểm kết quả và lượt/thời điểm tổng hợp trước/sau để kiểm không phát sinh xét.</s:t>
          </s:r>
        </s:is>
      </s:c>
      <s:c r="C14865" s="83" t="inlineStr">
        <s:is>
          <s:r>
            <s:t xml:space="preserve">S03 vẫn </s:t>
          </s:r>
          <s:r>
            <s:rPr>
              <s:b val="1"/>
            </s:rPr>
            <s:t>Không đỏ</s:t>
          </s:r>
          <s:r>
            <s:t xml:space="preserve"> ở mọi đầu ra; không có lượt xét mới (thời điểm kết quả không đổi); không có lượt tổng hợp mới (lượt/thời điểm tổng hợp mới nhất không đổi).</s:t>
          </s:r>
        </s:is>
      </s:c>
      <s:c r="D14865" s="117" t="inlineStr"/>
      <s:c r="E14865" s="118" t="inlineStr">
        <s:is>
          <s:t>Chưa thực hiện</s:t>
        </s:is>
      </s:c>
    </s:row>
    <s:row r="14866" ht="3" customHeight="1">
      <s:c r="A14866" s="102" t="inlineStr"/>
      <s:c r="B14866" s="99" t="n"/>
      <s:c r="C14866" s="99" t="n"/>
      <s:c r="D14866" s="116" t="n"/>
      <s:c r="E14866" s="116" t="n"/>
    </s:row>
    <s:row r="14867" ht="90" customHeight="1">
      <s:c r="A14867" s="83" t="inlineStr">
        <s:is>
          <s:t>Phiếu điểm (report)</s:t>
        </s:is>
      </s:c>
      <s:c r="B14867" s="83" t="inlineStr">
        <s:is>
          <s:r>
            <s:t xml:space="preserve">S03 đã lưu Không đỏ; chỉ xem/xuất PDF </s:t>
          </s:r>
          <s:r>
            <s:rPr>
              <s:b val="1"/>
            </s:rPr>
            <s:t>Công cụ phiếu điểm（通知表ツール）</s:t>
          </s:r>
          <s:r>
            <s:t>, đọc thời điểm kết quả và lượt/thời điểm tổng hợp trước/sau để kiểm không phát sinh xét.</s:t>
          </s:r>
        </s:is>
      </s:c>
      <s:c r="C14867" s="83" t="inlineStr">
        <s:is>
          <s:r>
            <s:t xml:space="preserve">S03 vẫn </s:t>
          </s:r>
          <s:r>
            <s:rPr>
              <s:b val="1"/>
            </s:rPr>
            <s:t>Không đỏ</s:t>
          </s:r>
          <s:r>
            <s:t xml:space="preserve"> ở mọi đầu ra; không có lượt xét mới (thời điểm kết quả không đổi); không có lượt tổng hợp mới (lượt/thời điểm tổng hợp mới nhất không đổi).</s:t>
          </s:r>
        </s:is>
      </s:c>
      <s:c r="D14867" s="117" t="inlineStr"/>
      <s:c r="E14867" s="118" t="inlineStr">
        <s:is>
          <s:t>Chưa thực hiện</s:t>
        </s:is>
      </s:c>
    </s:row>
    <s:row r="14868" ht="20" customHeight="1">
      <s:c r="A14868" s="119" t="inlineStr">
        <s:is>
          <s:t>Ảnh minh chứng — Chưa có ảnh</s:t>
        </s:is>
      </s:c>
      <s:c r="B14868" s="19" t="n"/>
      <s:c r="C14868" s="19" t="n"/>
      <s:c r="D14868" s="19" t="n"/>
      <s:c r="E14868" s="19" t="n"/>
    </s:row>
    <s:row r="14869" hidden="1" ht="1" customHeight="1">
      <s:c r="A14869" s="120" t="inlineStr"/>
      <s:c r="B14869" s="121" t="n"/>
      <s:c r="C14869" s="121" t="n"/>
      <s:c r="D14869" s="121" t="n"/>
      <s:c r="E14869" s="122" t="n"/>
    </s:row>
    <s:row r="14870" hidden="1" ht="1" customHeight="1">
      <s:c r="A14870" s="120" t="inlineStr"/>
      <s:c r="B14870" s="121" t="n"/>
      <s:c r="C14870" s="121" t="n"/>
      <s:c r="D14870" s="121" t="n"/>
      <s:c r="E14870" s="122" t="n"/>
    </s:row>
    <s:row r="14871" hidden="1" ht="1" customHeight="1">
      <s:c r="A14871" s="120" t="inlineStr"/>
      <s:c r="B14871" s="121" t="n"/>
      <s:c r="C14871" s="121" t="n"/>
      <s:c r="D14871" s="121" t="n"/>
      <s:c r="E14871" s="122" t="n"/>
    </s:row>
    <s:row r="14872" hidden="1" ht="1" customHeight="1">
      <s:c r="A14872" s="120" t="inlineStr"/>
      <s:c r="B14872" s="121" t="n"/>
      <s:c r="C14872" s="121" t="n"/>
      <s:c r="D14872" s="121" t="n"/>
      <s:c r="E14872" s="122" t="n"/>
    </s:row>
    <s:row r="14873" hidden="1" ht="1" customHeight="1">
      <s:c r="A14873" s="120" t="inlineStr"/>
      <s:c r="B14873" s="121" t="n"/>
      <s:c r="C14873" s="121" t="n"/>
      <s:c r="D14873" s="121" t="n"/>
      <s:c r="E14873" s="122" t="n"/>
    </s:row>
    <s:row r="14874" hidden="1" ht="1" customHeight="1">
      <s:c r="A14874" s="120" t="inlineStr"/>
      <s:c r="B14874" s="121" t="n"/>
      <s:c r="C14874" s="121" t="n"/>
      <s:c r="D14874" s="121" t="n"/>
      <s:c r="E14874" s="122" t="n"/>
    </s:row>
    <s:row r="14875" hidden="1" ht="1" customHeight="1">
      <s:c r="A14875" s="120" t="inlineStr"/>
      <s:c r="B14875" s="121" t="n"/>
      <s:c r="C14875" s="121" t="n"/>
      <s:c r="D14875" s="121" t="n"/>
      <s:c r="E14875" s="122" t="n"/>
    </s:row>
    <s:row r="14876" hidden="1" ht="1" customHeight="1">
      <s:c r="A14876" s="120" t="inlineStr"/>
      <s:c r="B14876" s="121" t="n"/>
      <s:c r="C14876" s="121" t="n"/>
      <s:c r="D14876" s="121" t="n"/>
      <s:c r="E14876" s="122" t="n"/>
    </s:row>
    <s:row r="14877" hidden="1" ht="1" customHeight="1">
      <s:c r="A14877" s="120" t="inlineStr"/>
      <s:c r="B14877" s="121" t="n"/>
      <s:c r="C14877" s="121" t="n"/>
      <s:c r="D14877" s="121" t="n"/>
      <s:c r="E14877" s="122" t="n"/>
    </s:row>
    <s:row r="14878" hidden="1" ht="1" customHeight="1">
      <s:c r="A14878" s="120" t="inlineStr"/>
      <s:c r="B14878" s="121" t="n"/>
      <s:c r="C14878" s="121" t="n"/>
      <s:c r="D14878" s="121" t="n"/>
      <s:c r="E14878" s="122" t="n"/>
    </s:row>
    <s:row r="14879" hidden="1" ht="1" customHeight="1">
      <s:c r="A14879" s="120" t="inlineStr"/>
      <s:c r="B14879" s="121" t="n"/>
      <s:c r="C14879" s="121" t="n"/>
      <s:c r="D14879" s="121" t="n"/>
      <s:c r="E14879" s="122" t="n"/>
    </s:row>
    <s:row r="14880" hidden="1" ht="1" customHeight="1">
      <s:c r="A14880" s="120" t="inlineStr"/>
      <s:c r="B14880" s="121" t="n"/>
      <s:c r="C14880" s="121" t="n"/>
      <s:c r="D14880" s="121" t="n"/>
      <s:c r="E14880" s="122" t="n"/>
    </s:row>
    <s:row r="14881" hidden="1" ht="1" customHeight="1">
      <s:c r="A14881" s="120" t="inlineStr"/>
      <s:c r="B14881" s="121" t="n"/>
      <s:c r="C14881" s="121" t="n"/>
      <s:c r="D14881" s="121" t="n"/>
      <s:c r="E14881" s="122" t="n"/>
    </s:row>
    <s:row r="14882" hidden="1" ht="1" customHeight="1">
      <s:c r="A14882" s="120" t="inlineStr"/>
      <s:c r="B14882" s="121" t="n"/>
      <s:c r="C14882" s="121" t="n"/>
      <s:c r="D14882" s="121" t="n"/>
      <s:c r="E14882" s="122" t="n"/>
    </s:row>
    <s:row r="14883" hidden="1" ht="1" customHeight="1">
      <s:c r="A14883" s="120" t="inlineStr"/>
      <s:c r="B14883" s="121" t="n"/>
      <s:c r="C14883" s="121" t="n"/>
      <s:c r="D14883" s="121" t="n"/>
      <s:c r="E14883" s="122" t="n"/>
    </s:row>
    <s:row r="14884" hidden="1" ht="1" customHeight="1">
      <s:c r="A14884" s="120" t="inlineStr"/>
      <s:c r="B14884" s="121" t="n"/>
      <s:c r="C14884" s="121" t="n"/>
      <s:c r="D14884" s="121" t="n"/>
      <s:c r="E14884" s="122" t="n"/>
    </s:row>
    <s:row r="14885" hidden="1" ht="1" customHeight="1">
      <s:c r="A14885" s="120" t="inlineStr"/>
      <s:c r="B14885" s="121" t="n"/>
      <s:c r="C14885" s="121" t="n"/>
      <s:c r="D14885" s="121" t="n"/>
      <s:c r="E14885" s="122" t="n"/>
    </s:row>
    <s:row r="14886" hidden="1" ht="1" customHeight="1">
      <s:c r="A14886" s="120" t="inlineStr"/>
      <s:c r="B14886" s="121" t="n"/>
      <s:c r="C14886" s="121" t="n"/>
      <s:c r="D14886" s="121" t="n"/>
      <s:c r="E14886" s="122" t="n"/>
    </s:row>
    <s:row r="14887" hidden="1" ht="1" customHeight="1">
      <s:c r="A14887" s="120" t="inlineStr"/>
      <s:c r="B14887" s="121" t="n"/>
      <s:c r="C14887" s="121" t="n"/>
      <s:c r="D14887" s="121" t="n"/>
      <s:c r="E14887" s="122" t="n"/>
    </s:row>
    <s:row r="14888" hidden="1" ht="1" customHeight="1">
      <s:c r="A14888" s="120" t="inlineStr"/>
      <s:c r="B14888" s="121" t="n"/>
      <s:c r="C14888" s="121" t="n"/>
      <s:c r="D14888" s="121" t="n"/>
      <s:c r="E14888" s="122" t="n"/>
    </s:row>
    <s:row r="14889" hidden="1" ht="1" customHeight="1">
      <s:c r="A14889" s="120" t="inlineStr"/>
      <s:c r="B14889" s="121" t="n"/>
      <s:c r="C14889" s="121" t="n"/>
      <s:c r="D14889" s="121" t="n"/>
      <s:c r="E14889" s="122" t="n"/>
    </s:row>
    <s:row r="14890" hidden="1" ht="1" customHeight="1">
      <s:c r="A14890" s="120" t="inlineStr"/>
      <s:c r="B14890" s="121" t="n"/>
      <s:c r="C14890" s="121" t="n"/>
      <s:c r="D14890" s="121" t="n"/>
      <s:c r="E14890" s="122" t="n"/>
    </s:row>
    <s:row r="14891" hidden="1" ht="1" customHeight="1">
      <s:c r="A14891" s="120" t="inlineStr"/>
      <s:c r="B14891" s="121" t="n"/>
      <s:c r="C14891" s="121" t="n"/>
      <s:c r="D14891" s="121" t="n"/>
      <s:c r="E14891" s="122" t="n"/>
    </s:row>
    <s:row r="14892" hidden="1" ht="1" customHeight="1">
      <s:c r="A14892" s="120" t="inlineStr"/>
      <s:c r="B14892" s="121" t="n"/>
      <s:c r="C14892" s="121" t="n"/>
      <s:c r="D14892" s="121" t="n"/>
      <s:c r="E14892" s="122" t="n"/>
    </s:row>
    <s:row r="14893" hidden="1" ht="1" customHeight="1">
      <s:c r="A14893" s="120" t="inlineStr"/>
      <s:c r="B14893" s="121" t="n"/>
      <s:c r="C14893" s="121" t="n"/>
      <s:c r="D14893" s="121" t="n"/>
      <s:c r="E14893" s="122" t="n"/>
    </s:row>
    <s:row r="14894" hidden="1" ht="1" customHeight="1">
      <s:c r="A14894" s="120" t="inlineStr"/>
      <s:c r="B14894" s="121" t="n"/>
      <s:c r="C14894" s="121" t="n"/>
      <s:c r="D14894" s="121" t="n"/>
      <s:c r="E14894" s="122" t="n"/>
    </s:row>
    <s:row r="14895" hidden="1" ht="1" customHeight="1">
      <s:c r="A14895" s="120" t="inlineStr"/>
      <s:c r="B14895" s="121" t="n"/>
      <s:c r="C14895" s="121" t="n"/>
      <s:c r="D14895" s="121" t="n"/>
      <s:c r="E14895" s="122" t="n"/>
    </s:row>
    <s:row r="14896" hidden="1" ht="1" customHeight="1">
      <s:c r="A14896" s="120" t="inlineStr"/>
      <s:c r="B14896" s="121" t="n"/>
      <s:c r="C14896" s="121" t="n"/>
      <s:c r="D14896" s="121" t="n"/>
      <s:c r="E14896" s="122" t="n"/>
    </s:row>
    <s:row r="14897" hidden="1" ht="1" customHeight="1">
      <s:c r="A14897" s="120" t="inlineStr"/>
      <s:c r="B14897" s="121" t="n"/>
      <s:c r="C14897" s="121" t="n"/>
      <s:c r="D14897" s="121" t="n"/>
      <s:c r="E14897" s="122" t="n"/>
    </s:row>
    <s:row r="14898" hidden="1" ht="1" customHeight="1">
      <s:c r="A14898" s="120" t="inlineStr"/>
      <s:c r="B14898" s="121" t="n"/>
      <s:c r="C14898" s="121" t="n"/>
      <s:c r="D14898" s="121" t="n"/>
      <s:c r="E14898" s="122" t="n"/>
    </s:row>
    <s:row r="14899" hidden="1" ht="1" customHeight="1">
      <s:c r="A14899" s="120" t="inlineStr"/>
      <s:c r="B14899" s="121" t="n"/>
      <s:c r="C14899" s="121" t="n"/>
      <s:c r="D14899" s="121" t="n"/>
      <s:c r="E14899" s="122" t="n"/>
    </s:row>
    <s:row r="14900" hidden="1" ht="1" customHeight="1">
      <s:c r="A14900" s="120" t="inlineStr"/>
      <s:c r="B14900" s="121" t="n"/>
      <s:c r="C14900" s="121" t="n"/>
      <s:c r="D14900" s="121" t="n"/>
      <s:c r="E14900" s="122" t="n"/>
    </s:row>
    <s:row r="14901" hidden="1" ht="1" customHeight="1">
      <s:c r="A14901" s="120" t="inlineStr"/>
      <s:c r="B14901" s="121" t="n"/>
      <s:c r="C14901" s="121" t="n"/>
      <s:c r="D14901" s="121" t="n"/>
      <s:c r="E14901" s="122" t="n"/>
    </s:row>
    <s:row r="14902" hidden="1" ht="1" customHeight="1">
      <s:c r="A14902" s="120" t="inlineStr"/>
      <s:c r="B14902" s="121" t="n"/>
      <s:c r="C14902" s="121" t="n"/>
      <s:c r="D14902" s="121" t="n"/>
      <s:c r="E14902" s="122" t="n"/>
    </s:row>
    <s:row r="14903" hidden="1" ht="1" customHeight="1">
      <s:c r="A14903" s="120" t="inlineStr"/>
      <s:c r="B14903" s="121" t="n"/>
      <s:c r="C14903" s="121" t="n"/>
      <s:c r="D14903" s="121" t="n"/>
      <s:c r="E14903" s="122" t="n"/>
    </s:row>
    <s:row r="14904" hidden="1" ht="1" customHeight="1">
      <s:c r="A14904" s="120" t="inlineStr"/>
      <s:c r="B14904" s="121" t="n"/>
      <s:c r="C14904" s="121" t="n"/>
      <s:c r="D14904" s="121" t="n"/>
      <s:c r="E14904" s="122" t="n"/>
    </s:row>
    <s:row r="14905" hidden="1" ht="1" customHeight="1">
      <s:c r="A14905" s="120" t="inlineStr"/>
      <s:c r="B14905" s="121" t="n"/>
      <s:c r="C14905" s="121" t="n"/>
      <s:c r="D14905" s="121" t="n"/>
      <s:c r="E14905" s="122" t="n"/>
    </s:row>
    <s:row r="14906" hidden="1" ht="1" customHeight="1">
      <s:c r="A14906" s="120" t="inlineStr"/>
      <s:c r="B14906" s="121" t="n"/>
      <s:c r="C14906" s="121" t="n"/>
      <s:c r="D14906" s="121" t="n"/>
      <s:c r="E14906" s="122" t="n"/>
    </s:row>
    <s:row r="14907" hidden="1" ht="1" customHeight="1">
      <s:c r="A14907" s="120" t="inlineStr"/>
      <s:c r="B14907" s="121" t="n"/>
      <s:c r="C14907" s="121" t="n"/>
      <s:c r="D14907" s="121" t="n"/>
      <s:c r="E14907" s="122" t="n"/>
    </s:row>
    <s:row r="14908" hidden="1" ht="1" customHeight="1">
      <s:c r="A14908" s="120" t="inlineStr"/>
      <s:c r="B14908" s="121" t="n"/>
      <s:c r="C14908" s="121" t="n"/>
      <s:c r="D14908" s="121" t="n"/>
      <s:c r="E14908" s="122" t="n"/>
    </s:row>
    <s:row r="14909" hidden="1" ht="1" customHeight="1">
      <s:c r="A14909" s="120" t="inlineStr"/>
      <s:c r="B14909" s="121" t="n"/>
      <s:c r="C14909" s="121" t="n"/>
      <s:c r="D14909" s="121" t="n"/>
      <s:c r="E14909" s="122" t="n"/>
    </s:row>
    <s:row r="14910" hidden="1" ht="1" customHeight="1">
      <s:c r="A14910" s="120" t="inlineStr"/>
      <s:c r="B14910" s="121" t="n"/>
      <s:c r="C14910" s="121" t="n"/>
      <s:c r="D14910" s="121" t="n"/>
      <s:c r="E14910" s="122" t="n"/>
    </s:row>
    <s:row r="14911" hidden="1" ht="1" customHeight="1">
      <s:c r="A14911" s="120" t="inlineStr"/>
      <s:c r="B14911" s="121" t="n"/>
      <s:c r="C14911" s="121" t="n"/>
      <s:c r="D14911" s="121" t="n"/>
      <s:c r="E14911" s="122" t="n"/>
    </s:row>
    <s:row r="14912" hidden="1" ht="1" customHeight="1">
      <s:c r="A14912" s="120" t="inlineStr"/>
      <s:c r="B14912" s="121" t="n"/>
      <s:c r="C14912" s="121" t="n"/>
      <s:c r="D14912" s="121" t="n"/>
      <s:c r="E14912" s="122" t="n"/>
    </s:row>
    <s:row r="14913" hidden="1" ht="1" customHeight="1">
      <s:c r="A14913" s="120" t="inlineStr"/>
      <s:c r="B14913" s="121" t="n"/>
      <s:c r="C14913" s="121" t="n"/>
      <s:c r="D14913" s="121" t="n"/>
      <s:c r="E14913" s="122" t="n"/>
    </s:row>
    <s:row r="14914" hidden="1" ht="1" customHeight="1">
      <s:c r="A14914" s="120" t="inlineStr"/>
      <s:c r="B14914" s="121" t="n"/>
      <s:c r="C14914" s="121" t="n"/>
      <s:c r="D14914" s="121" t="n"/>
      <s:c r="E14914" s="122" t="n"/>
    </s:row>
    <s:row r="14915" hidden="1" ht="1" customHeight="1">
      <s:c r="A14915" s="120" t="inlineStr"/>
      <s:c r="B14915" s="121" t="n"/>
      <s:c r="C14915" s="121" t="n"/>
      <s:c r="D14915" s="121" t="n"/>
      <s:c r="E14915" s="122" t="n"/>
    </s:row>
    <s:row r="14916" hidden="1" ht="1" customHeight="1">
      <s:c r="A14916" s="120" t="inlineStr"/>
      <s:c r="B14916" s="121" t="n"/>
      <s:c r="C14916" s="121" t="n"/>
      <s:c r="D14916" s="121" t="n"/>
      <s:c r="E14916" s="122" t="n"/>
    </s:row>
    <s:row r="14917" hidden="1" ht="1" customHeight="1">
      <s:c r="A14917" s="120" t="inlineStr"/>
      <s:c r="B14917" s="121" t="n"/>
      <s:c r="C14917" s="121" t="n"/>
      <s:c r="D14917" s="121" t="n"/>
      <s:c r="E14917" s="122" t="n"/>
    </s:row>
    <s:row r="14918" hidden="1" ht="1" customHeight="1">
      <s:c r="A14918" s="120" t="inlineStr"/>
      <s:c r="B14918" s="121" t="n"/>
      <s:c r="C14918" s="121" t="n"/>
      <s:c r="D14918" s="121" t="n"/>
      <s:c r="E14918" s="122" t="n"/>
    </s:row>
    <s:row r="14919" hidden="1" ht="1" customHeight="1">
      <s:c r="A14919" s="120" t="inlineStr"/>
      <s:c r="B14919" s="121" t="n"/>
      <s:c r="C14919" s="121" t="n"/>
      <s:c r="D14919" s="121" t="n"/>
      <s:c r="E14919" s="122" t="n"/>
    </s:row>
    <s:row r="14920" hidden="1" ht="1" customHeight="1">
      <s:c r="A14920" s="120" t="inlineStr"/>
      <s:c r="B14920" s="121" t="n"/>
      <s:c r="C14920" s="121" t="n"/>
      <s:c r="D14920" s="121" t="n"/>
      <s:c r="E14920" s="122" t="n"/>
    </s:row>
    <s:row r="14921" hidden="1" ht="1" customHeight="1">
      <s:c r="A14921" s="120" t="inlineStr"/>
      <s:c r="B14921" s="121" t="n"/>
      <s:c r="C14921" s="121" t="n"/>
      <s:c r="D14921" s="121" t="n"/>
      <s:c r="E14921" s="122" t="n"/>
    </s:row>
    <s:row r="14922" hidden="1" ht="1" customHeight="1">
      <s:c r="A14922" s="120" t="inlineStr"/>
      <s:c r="B14922" s="121" t="n"/>
      <s:c r="C14922" s="121" t="n"/>
      <s:c r="D14922" s="121" t="n"/>
      <s:c r="E14922" s="122" t="n"/>
    </s:row>
    <s:row r="14923" hidden="1" ht="1" customHeight="1">
      <s:c r="A14923" s="120" t="inlineStr"/>
      <s:c r="B14923" s="121" t="n"/>
      <s:c r="C14923" s="121" t="n"/>
      <s:c r="D14923" s="121" t="n"/>
      <s:c r="E14923" s="122" t="n"/>
    </s:row>
    <s:row r="14924" hidden="1" ht="1" customHeight="1">
      <s:c r="A14924" s="120" t="inlineStr"/>
      <s:c r="B14924" s="121" t="n"/>
      <s:c r="C14924" s="121" t="n"/>
      <s:c r="D14924" s="121" t="n"/>
      <s:c r="E14924" s="122" t="n"/>
    </s:row>
    <s:row r="14925" hidden="1" ht="1" customHeight="1">
      <s:c r="A14925" s="120" t="inlineStr"/>
      <s:c r="B14925" s="121" t="n"/>
      <s:c r="C14925" s="121" t="n"/>
      <s:c r="D14925" s="121" t="n"/>
      <s:c r="E14925" s="122" t="n"/>
    </s:row>
    <s:row r="14926" hidden="1" ht="1" customHeight="1">
      <s:c r="A14926" s="120" t="inlineStr"/>
      <s:c r="B14926" s="121" t="n"/>
      <s:c r="C14926" s="121" t="n"/>
      <s:c r="D14926" s="121" t="n"/>
      <s:c r="E14926" s="122" t="n"/>
    </s:row>
    <s:row r="14927" hidden="1" ht="1" customHeight="1">
      <s:c r="A14927" s="120" t="inlineStr"/>
      <s:c r="B14927" s="121" t="n"/>
      <s:c r="C14927" s="121" t="n"/>
      <s:c r="D14927" s="121" t="n"/>
      <s:c r="E14927" s="122" t="n"/>
    </s:row>
    <s:row r="14928" hidden="1" ht="1" customHeight="1">
      <s:c r="A14928" s="120" t="inlineStr"/>
      <s:c r="B14928" s="121" t="n"/>
      <s:c r="C14928" s="121" t="n"/>
      <s:c r="D14928" s="121" t="n"/>
      <s:c r="E14928" s="122" t="n"/>
    </s:row>
    <s:row r="14929" hidden="1" ht="1" customHeight="1">
      <s:c r="A14929" s="120" t="inlineStr"/>
      <s:c r="B14929" s="121" t="n"/>
      <s:c r="C14929" s="121" t="n"/>
      <s:c r="D14929" s="121" t="n"/>
      <s:c r="E14929" s="122" t="n"/>
    </s:row>
    <s:row r="14930" hidden="1" ht="1" customHeight="1">
      <s:c r="A14930" s="120" t="inlineStr"/>
      <s:c r="B14930" s="121" t="n"/>
      <s:c r="C14930" s="121" t="n"/>
      <s:c r="D14930" s="121" t="n"/>
      <s:c r="E14930" s="122" t="n"/>
    </s:row>
    <s:row r="14931" hidden="1" ht="1" customHeight="1">
      <s:c r="A14931" s="120" t="inlineStr"/>
      <s:c r="B14931" s="121" t="n"/>
      <s:c r="C14931" s="121" t="n"/>
      <s:c r="D14931" s="121" t="n"/>
      <s:c r="E14931" s="122" t="n"/>
    </s:row>
    <s:row r="14932" hidden="1" ht="1" customHeight="1">
      <s:c r="A14932" s="120" t="inlineStr"/>
      <s:c r="B14932" s="121" t="n"/>
      <s:c r="C14932" s="121" t="n"/>
      <s:c r="D14932" s="121" t="n"/>
      <s:c r="E14932" s="122" t="n"/>
    </s:row>
    <s:row r="14933" hidden="1" ht="1" customHeight="1">
      <s:c r="A14933" s="120" t="inlineStr"/>
      <s:c r="B14933" s="121" t="n"/>
      <s:c r="C14933" s="121" t="n"/>
      <s:c r="D14933" s="121" t="n"/>
      <s:c r="E14933" s="122" t="n"/>
    </s:row>
    <s:row r="14934" hidden="1" ht="1" customHeight="1">
      <s:c r="A14934" s="120" t="inlineStr"/>
      <s:c r="B14934" s="121" t="n"/>
      <s:c r="C14934" s="121" t="n"/>
      <s:c r="D14934" s="121" t="n"/>
      <s:c r="E14934" s="122" t="n"/>
    </s:row>
    <s:row r="14935" hidden="1" ht="1" customHeight="1">
      <s:c r="A14935" s="120" t="inlineStr"/>
      <s:c r="B14935" s="121" t="n"/>
      <s:c r="C14935" s="121" t="n"/>
      <s:c r="D14935" s="121" t="n"/>
      <s:c r="E14935" s="122" t="n"/>
    </s:row>
    <s:row r="14936" hidden="1" ht="1" customHeight="1">
      <s:c r="A14936" s="120" t="inlineStr"/>
      <s:c r="B14936" s="121" t="n"/>
      <s:c r="C14936" s="121" t="n"/>
      <s:c r="D14936" s="121" t="n"/>
      <s:c r="E14936" s="122" t="n"/>
    </s:row>
    <s:row r="14937" hidden="1" ht="1" customHeight="1">
      <s:c r="A14937" s="120" t="inlineStr"/>
      <s:c r="B14937" s="121" t="n"/>
      <s:c r="C14937" s="121" t="n"/>
      <s:c r="D14937" s="121" t="n"/>
      <s:c r="E14937" s="122" t="n"/>
    </s:row>
    <s:row r="14938" hidden="1" ht="1" customHeight="1">
      <s:c r="A14938" s="120" t="inlineStr"/>
      <s:c r="B14938" s="121" t="n"/>
      <s:c r="C14938" s="121" t="n"/>
      <s:c r="D14938" s="121" t="n"/>
      <s:c r="E14938" s="122" t="n"/>
    </s:row>
    <s:row r="14939" hidden="1" ht="1" customHeight="1">
      <s:c r="A14939" s="120" t="inlineStr"/>
      <s:c r="B14939" s="121" t="n"/>
      <s:c r="C14939" s="121" t="n"/>
      <s:c r="D14939" s="121" t="n"/>
      <s:c r="E14939" s="122" t="n"/>
    </s:row>
    <s:row r="14940" hidden="1" ht="1" customHeight="1">
      <s:c r="A14940" s="120" t="inlineStr"/>
      <s:c r="B14940" s="121" t="n"/>
      <s:c r="C14940" s="121" t="n"/>
      <s:c r="D14940" s="121" t="n"/>
      <s:c r="E14940" s="122" t="n"/>
    </s:row>
    <s:row r="14941" hidden="1" ht="1" customHeight="1">
      <s:c r="A14941" s="120" t="inlineStr"/>
      <s:c r="B14941" s="121" t="n"/>
      <s:c r="C14941" s="121" t="n"/>
      <s:c r="D14941" s="121" t="n"/>
      <s:c r="E14941" s="122" t="n"/>
    </s:row>
    <s:row r="14942" hidden="1" ht="1" customHeight="1">
      <s:c r="A14942" s="120" t="inlineStr"/>
      <s:c r="B14942" s="121" t="n"/>
      <s:c r="C14942" s="121" t="n"/>
      <s:c r="D14942" s="121" t="n"/>
      <s:c r="E14942" s="122" t="n"/>
    </s:row>
    <s:row r="14943" hidden="1" ht="1" customHeight="1">
      <s:c r="A14943" s="120" t="inlineStr"/>
      <s:c r="B14943" s="121" t="n"/>
      <s:c r="C14943" s="121" t="n"/>
      <s:c r="D14943" s="121" t="n"/>
      <s:c r="E14943" s="122" t="n"/>
    </s:row>
    <s:row r="14944" hidden="1" ht="1" customHeight="1">
      <s:c r="A14944" s="120" t="inlineStr"/>
      <s:c r="B14944" s="121" t="n"/>
      <s:c r="C14944" s="121" t="n"/>
      <s:c r="D14944" s="121" t="n"/>
      <s:c r="E14944" s="122" t="n"/>
    </s:row>
    <s:row r="14945" hidden="1" ht="1" customHeight="1">
      <s:c r="A14945" s="120" t="inlineStr"/>
      <s:c r="B14945" s="121" t="n"/>
      <s:c r="C14945" s="121" t="n"/>
      <s:c r="D14945" s="121" t="n"/>
      <s:c r="E14945" s="122" t="n"/>
    </s:row>
    <s:row r="14946" hidden="1" ht="1" customHeight="1">
      <s:c r="A14946" s="120" t="inlineStr"/>
      <s:c r="B14946" s="121" t="n"/>
      <s:c r="C14946" s="121" t="n"/>
      <s:c r="D14946" s="121" t="n"/>
      <s:c r="E14946" s="122" t="n"/>
    </s:row>
    <s:row r="14947" hidden="1" ht="1" customHeight="1">
      <s:c r="A14947" s="120" t="inlineStr"/>
      <s:c r="B14947" s="121" t="n"/>
      <s:c r="C14947" s="121" t="n"/>
      <s:c r="D14947" s="121" t="n"/>
      <s:c r="E14947" s="122" t="n"/>
    </s:row>
    <s:row r="14948" hidden="1" ht="1" customHeight="1">
      <s:c r="A14948" s="120" t="inlineStr"/>
      <s:c r="B14948" s="121" t="n"/>
      <s:c r="C14948" s="121" t="n"/>
      <s:c r="D14948" s="121" t="n"/>
      <s:c r="E14948" s="122" t="n"/>
    </s:row>
    <s:row r="14949" hidden="1" ht="1" customHeight="1">
      <s:c r="A14949" s="120" t="inlineStr"/>
      <s:c r="B14949" s="121" t="n"/>
      <s:c r="C14949" s="121" t="n"/>
      <s:c r="D14949" s="121" t="n"/>
      <s:c r="E14949" s="122" t="n"/>
    </s:row>
    <s:row r="14950" hidden="1" ht="1" customHeight="1">
      <s:c r="A14950" s="120" t="inlineStr"/>
      <s:c r="B14950" s="121" t="n"/>
      <s:c r="C14950" s="121" t="n"/>
      <s:c r="D14950" s="121" t="n"/>
      <s:c r="E14950" s="122" t="n"/>
    </s:row>
    <s:row r="14951" hidden="1" ht="1" customHeight="1">
      <s:c r="A14951" s="120" t="inlineStr"/>
      <s:c r="B14951" s="121" t="n"/>
      <s:c r="C14951" s="121" t="n"/>
      <s:c r="D14951" s="121" t="n"/>
      <s:c r="E14951" s="122" t="n"/>
    </s:row>
    <s:row r="14952" hidden="1" ht="1" customHeight="1">
      <s:c r="A14952" s="120" t="inlineStr"/>
      <s:c r="B14952" s="121" t="n"/>
      <s:c r="C14952" s="121" t="n"/>
      <s:c r="D14952" s="121" t="n"/>
      <s:c r="E14952" s="122" t="n"/>
    </s:row>
    <s:row r="14953" hidden="1" ht="1" customHeight="1">
      <s:c r="A14953" s="120" t="inlineStr"/>
      <s:c r="B14953" s="121" t="n"/>
      <s:c r="C14953" s="121" t="n"/>
      <s:c r="D14953" s="121" t="n"/>
      <s:c r="E14953" s="122" t="n"/>
    </s:row>
    <s:row r="14954" hidden="1" ht="1" customHeight="1">
      <s:c r="A14954" s="120" t="inlineStr"/>
      <s:c r="B14954" s="121" t="n"/>
      <s:c r="C14954" s="121" t="n"/>
      <s:c r="D14954" s="121" t="n"/>
      <s:c r="E14954" s="122" t="n"/>
    </s:row>
    <s:row r="14955" hidden="1" ht="1" customHeight="1">
      <s:c r="A14955" s="120" t="inlineStr"/>
      <s:c r="B14955" s="121" t="n"/>
      <s:c r="C14955" s="121" t="n"/>
      <s:c r="D14955" s="121" t="n"/>
      <s:c r="E14955" s="122" t="n"/>
    </s:row>
    <s:row r="14956" hidden="1" ht="1" customHeight="1">
      <s:c r="A14956" s="120" t="inlineStr"/>
      <s:c r="B14956" s="121" t="n"/>
      <s:c r="C14956" s="121" t="n"/>
      <s:c r="D14956" s="121" t="n"/>
      <s:c r="E14956" s="122" t="n"/>
    </s:row>
    <s:row r="14957" hidden="1" ht="1" customHeight="1">
      <s:c r="A14957" s="120" t="inlineStr"/>
      <s:c r="B14957" s="121" t="n"/>
      <s:c r="C14957" s="121" t="n"/>
      <s:c r="D14957" s="121" t="n"/>
      <s:c r="E14957" s="122" t="n"/>
    </s:row>
    <s:row r="14958" hidden="1" ht="1" customHeight="1">
      <s:c r="A14958" s="120" t="inlineStr"/>
      <s:c r="B14958" s="121" t="n"/>
      <s:c r="C14958" s="121" t="n"/>
      <s:c r="D14958" s="121" t="n"/>
      <s:c r="E14958" s="122" t="n"/>
    </s:row>
    <s:row r="14959" hidden="1" ht="1" customHeight="1">
      <s:c r="A14959" s="120" t="inlineStr"/>
      <s:c r="B14959" s="121" t="n"/>
      <s:c r="C14959" s="121" t="n"/>
      <s:c r="D14959" s="121" t="n"/>
      <s:c r="E14959" s="122" t="n"/>
    </s:row>
    <s:row r="14960" hidden="1" ht="1" customHeight="1">
      <s:c r="A14960" s="120" t="inlineStr"/>
      <s:c r="B14960" s="121" t="n"/>
      <s:c r="C14960" s="121" t="n"/>
      <s:c r="D14960" s="121" t="n"/>
      <s:c r="E14960" s="122" t="n"/>
    </s:row>
    <s:row r="14961" hidden="1" ht="1" customHeight="1">
      <s:c r="A14961" s="120" t="inlineStr"/>
      <s:c r="B14961" s="121" t="n"/>
      <s:c r="C14961" s="121" t="n"/>
      <s:c r="D14961" s="121" t="n"/>
      <s:c r="E14961" s="122" t="n"/>
    </s:row>
    <s:row r="14962" hidden="1" ht="1" customHeight="1">
      <s:c r="A14962" s="120" t="inlineStr"/>
      <s:c r="B14962" s="121" t="n"/>
      <s:c r="C14962" s="121" t="n"/>
      <s:c r="D14962" s="121" t="n"/>
      <s:c r="E14962" s="122" t="n"/>
    </s:row>
    <s:row r="14963" hidden="1" ht="1" customHeight="1">
      <s:c r="A14963" s="120" t="inlineStr"/>
      <s:c r="B14963" s="121" t="n"/>
      <s:c r="C14963" s="121" t="n"/>
      <s:c r="D14963" s="121" t="n"/>
      <s:c r="E14963" s="122" t="n"/>
    </s:row>
    <s:row r="14964" hidden="1" ht="1" customHeight="1">
      <s:c r="A14964" s="120" t="inlineStr"/>
      <s:c r="B14964" s="121" t="n"/>
      <s:c r="C14964" s="121" t="n"/>
      <s:c r="D14964" s="121" t="n"/>
      <s:c r="E14964" s="122" t="n"/>
    </s:row>
    <s:row r="14965" hidden="1" ht="1" customHeight="1">
      <s:c r="A14965" s="120" t="inlineStr"/>
      <s:c r="B14965" s="121" t="n"/>
      <s:c r="C14965" s="121" t="n"/>
      <s:c r="D14965" s="121" t="n"/>
      <s:c r="E14965" s="122" t="n"/>
    </s:row>
    <s:row r="14966" hidden="1" ht="1" customHeight="1">
      <s:c r="A14966" s="120" t="inlineStr"/>
      <s:c r="B14966" s="121" t="n"/>
      <s:c r="C14966" s="121" t="n"/>
      <s:c r="D14966" s="121" t="n"/>
      <s:c r="E14966" s="122" t="n"/>
    </s:row>
    <s:row r="14967" hidden="1" ht="1" customHeight="1">
      <s:c r="A14967" s="120" t="inlineStr"/>
      <s:c r="B14967" s="121" t="n"/>
      <s:c r="C14967" s="121" t="n"/>
      <s:c r="D14967" s="121" t="n"/>
      <s:c r="E14967" s="122" t="n"/>
    </s:row>
    <s:row r="14968" hidden="1" ht="1" customHeight="1">
      <s:c r="A14968" s="120" t="inlineStr"/>
      <s:c r="B14968" s="121" t="n"/>
      <s:c r="C14968" s="121" t="n"/>
      <s:c r="D14968" s="121" t="n"/>
      <s:c r="E14968" s="122" t="n"/>
    </s:row>
    <s:row r="14969" hidden="1" ht="1" customHeight="1">
      <s:c r="A14969" s="120" t="inlineStr"/>
      <s:c r="B14969" s="121" t="n"/>
      <s:c r="C14969" s="121" t="n"/>
      <s:c r="D14969" s="121" t="n"/>
      <s:c r="E14969" s="122" t="n"/>
    </s:row>
    <s:row r="14970" hidden="1" ht="1" customHeight="1">
      <s:c r="A14970" s="120" t="inlineStr"/>
      <s:c r="B14970" s="121" t="n"/>
      <s:c r="C14970" s="121" t="n"/>
      <s:c r="D14970" s="121" t="n"/>
      <s:c r="E14970" s="122" t="n"/>
    </s:row>
    <s:row r="14971" hidden="1" ht="1" customHeight="1">
      <s:c r="A14971" s="120" t="inlineStr"/>
      <s:c r="B14971" s="121" t="n"/>
      <s:c r="C14971" s="121" t="n"/>
      <s:c r="D14971" s="121" t="n"/>
      <s:c r="E14971" s="122" t="n"/>
    </s:row>
    <s:row r="14972" hidden="1" ht="1" customHeight="1">
      <s:c r="A14972" s="120" t="inlineStr"/>
      <s:c r="B14972" s="121" t="n"/>
      <s:c r="C14972" s="121" t="n"/>
      <s:c r="D14972" s="121" t="n"/>
      <s:c r="E14972" s="122" t="n"/>
    </s:row>
    <s:row r="14973" hidden="1" ht="1" customHeight="1">
      <s:c r="A14973" s="120" t="inlineStr"/>
      <s:c r="B14973" s="121" t="n"/>
      <s:c r="C14973" s="121" t="n"/>
      <s:c r="D14973" s="121" t="n"/>
      <s:c r="E14973" s="122" t="n"/>
    </s:row>
    <s:row r="14974" hidden="1" ht="1" customHeight="1">
      <s:c r="A14974" s="120" t="inlineStr"/>
      <s:c r="B14974" s="121" t="n"/>
      <s:c r="C14974" s="121" t="n"/>
      <s:c r="D14974" s="121" t="n"/>
      <s:c r="E14974" s="122" t="n"/>
    </s:row>
    <s:row r="14975" hidden="1" ht="1" customHeight="1">
      <s:c r="A14975" s="120" t="inlineStr"/>
      <s:c r="B14975" s="121" t="n"/>
      <s:c r="C14975" s="121" t="n"/>
      <s:c r="D14975" s="121" t="n"/>
      <s:c r="E14975" s="122" t="n"/>
    </s:row>
    <s:row r="14976" hidden="1" ht="1" customHeight="1">
      <s:c r="A14976" s="120" t="inlineStr"/>
      <s:c r="B14976" s="121" t="n"/>
      <s:c r="C14976" s="121" t="n"/>
      <s:c r="D14976" s="121" t="n"/>
      <s:c r="E14976" s="122" t="n"/>
    </s:row>
    <s:row r="14977" hidden="1" ht="1" customHeight="1">
      <s:c r="A14977" s="120" t="inlineStr"/>
      <s:c r="B14977" s="121" t="n"/>
      <s:c r="C14977" s="121" t="n"/>
      <s:c r="D14977" s="121" t="n"/>
      <s:c r="E14977" s="122" t="n"/>
    </s:row>
    <s:row r="14978" hidden="1" ht="1" customHeight="1">
      <s:c r="A14978" s="120" t="inlineStr"/>
      <s:c r="B14978" s="121" t="n"/>
      <s:c r="C14978" s="121" t="n"/>
      <s:c r="D14978" s="121" t="n"/>
      <s:c r="E14978" s="122" t="n"/>
    </s:row>
    <s:row r="14979" hidden="1" ht="1" customHeight="1">
      <s:c r="A14979" s="120" t="inlineStr"/>
      <s:c r="B14979" s="121" t="n"/>
      <s:c r="C14979" s="121" t="n"/>
      <s:c r="D14979" s="121" t="n"/>
      <s:c r="E14979" s="122" t="n"/>
    </s:row>
    <s:row r="14980" hidden="1" ht="1" customHeight="1">
      <s:c r="A14980" s="120" t="inlineStr"/>
      <s:c r="B14980" s="121" t="n"/>
      <s:c r="C14980" s="121" t="n"/>
      <s:c r="D14980" s="121" t="n"/>
      <s:c r="E14980" s="122" t="n"/>
    </s:row>
    <s:row r="14981" hidden="1" ht="1" customHeight="1">
      <s:c r="A14981" s="120" t="inlineStr"/>
      <s:c r="B14981" s="121" t="n"/>
      <s:c r="C14981" s="121" t="n"/>
      <s:c r="D14981" s="121" t="n"/>
      <s:c r="E14981" s="122" t="n"/>
    </s:row>
    <s:row r="14982" hidden="1" ht="1" customHeight="1">
      <s:c r="A14982" s="120" t="inlineStr"/>
      <s:c r="B14982" s="121" t="n"/>
      <s:c r="C14982" s="121" t="n"/>
      <s:c r="D14982" s="121" t="n"/>
      <s:c r="E14982" s="122" t="n"/>
    </s:row>
    <s:row r="14983" hidden="1" ht="1" customHeight="1">
      <s:c r="A14983" s="120" t="inlineStr"/>
      <s:c r="B14983" s="121" t="n"/>
      <s:c r="C14983" s="121" t="n"/>
      <s:c r="D14983" s="121" t="n"/>
      <s:c r="E14983" s="122" t="n"/>
    </s:row>
    <s:row r="14984" hidden="1" ht="1" customHeight="1">
      <s:c r="A14984" s="120" t="inlineStr"/>
      <s:c r="B14984" s="121" t="n"/>
      <s:c r="C14984" s="121" t="n"/>
      <s:c r="D14984" s="121" t="n"/>
      <s:c r="E14984" s="122" t="n"/>
    </s:row>
    <s:row r="14985" hidden="1" ht="1" customHeight="1">
      <s:c r="A14985" s="120" t="inlineStr"/>
      <s:c r="B14985" s="121" t="n"/>
      <s:c r="C14985" s="121" t="n"/>
      <s:c r="D14985" s="121" t="n"/>
      <s:c r="E14985" s="122" t="n"/>
    </s:row>
    <s:row r="14986" hidden="1" ht="1" customHeight="1">
      <s:c r="A14986" s="120" t="inlineStr"/>
      <s:c r="B14986" s="121" t="n"/>
      <s:c r="C14986" s="121" t="n"/>
      <s:c r="D14986" s="121" t="n"/>
      <s:c r="E14986" s="122" t="n"/>
    </s:row>
    <s:row r="14987" hidden="1" ht="1" customHeight="1">
      <s:c r="A14987" s="120" t="inlineStr"/>
      <s:c r="B14987" s="121" t="n"/>
      <s:c r="C14987" s="121" t="n"/>
      <s:c r="D14987" s="121" t="n"/>
      <s:c r="E14987" s="122" t="n"/>
    </s:row>
    <s:row r="14988" hidden="1" ht="1" customHeight="1">
      <s:c r="A14988" s="120" t="inlineStr"/>
      <s:c r="B14988" s="121" t="n"/>
      <s:c r="C14988" s="121" t="n"/>
      <s:c r="D14988" s="121" t="n"/>
      <s:c r="E14988" s="122" t="n"/>
    </s:row>
    <s:row r="14989" hidden="1" ht="1" customHeight="1">
      <s:c r="A14989" s="120" t="inlineStr"/>
      <s:c r="B14989" s="121" t="n"/>
      <s:c r="C14989" s="121" t="n"/>
      <s:c r="D14989" s="121" t="n"/>
      <s:c r="E14989" s="122" t="n"/>
    </s:row>
    <s:row r="14990" hidden="1" ht="1" customHeight="1">
      <s:c r="A14990" s="120" t="inlineStr"/>
      <s:c r="B14990" s="121" t="n"/>
      <s:c r="C14990" s="121" t="n"/>
      <s:c r="D14990" s="121" t="n"/>
      <s:c r="E14990" s="122" t="n"/>
    </s:row>
    <s:row r="14991" hidden="1" ht="1" customHeight="1">
      <s:c r="A14991" s="120" t="inlineStr"/>
      <s:c r="B14991" s="121" t="n"/>
      <s:c r="C14991" s="121" t="n"/>
      <s:c r="D14991" s="121" t="n"/>
      <s:c r="E14991" s="122" t="n"/>
    </s:row>
    <s:row r="14992" hidden="1" ht="1" customHeight="1">
      <s:c r="A14992" s="120" t="inlineStr"/>
      <s:c r="B14992" s="121" t="n"/>
      <s:c r="C14992" s="121" t="n"/>
      <s:c r="D14992" s="121" t="n"/>
      <s:c r="E14992" s="122" t="n"/>
    </s:row>
    <s:row r="14993" hidden="1" ht="1" customHeight="1">
      <s:c r="A14993" s="120" t="inlineStr"/>
      <s:c r="B14993" s="121" t="n"/>
      <s:c r="C14993" s="121" t="n"/>
      <s:c r="D14993" s="121" t="n"/>
      <s:c r="E14993" s="122" t="n"/>
    </s:row>
    <s:row r="14994" hidden="1" ht="1" customHeight="1">
      <s:c r="A14994" s="120" t="inlineStr"/>
      <s:c r="B14994" s="121" t="n"/>
      <s:c r="C14994" s="121" t="n"/>
      <s:c r="D14994" s="121" t="n"/>
      <s:c r="E14994" s="122" t="n"/>
    </s:row>
    <s:row r="14995" hidden="1" ht="1" customHeight="1">
      <s:c r="A14995" s="120" t="inlineStr"/>
      <s:c r="B14995" s="121" t="n"/>
      <s:c r="C14995" s="121" t="n"/>
      <s:c r="D14995" s="121" t="n"/>
      <s:c r="E14995" s="122" t="n"/>
    </s:row>
    <s:row r="14996" hidden="1" ht="1" customHeight="1">
      <s:c r="A14996" s="120" t="inlineStr"/>
      <s:c r="B14996" s="121" t="n"/>
      <s:c r="C14996" s="121" t="n"/>
      <s:c r="D14996" s="121" t="n"/>
      <s:c r="E14996" s="122" t="n"/>
    </s:row>
    <s:row r="14997" hidden="1" ht="1" customHeight="1">
      <s:c r="A14997" s="120" t="inlineStr"/>
      <s:c r="B14997" s="121" t="n"/>
      <s:c r="C14997" s="121" t="n"/>
      <s:c r="D14997" s="121" t="n"/>
      <s:c r="E14997" s="122" t="n"/>
    </s:row>
    <s:row r="14998" hidden="1" ht="1" customHeight="1">
      <s:c r="A14998" s="120" t="inlineStr"/>
      <s:c r="B14998" s="121" t="n"/>
      <s:c r="C14998" s="121" t="n"/>
      <s:c r="D14998" s="121" t="n"/>
      <s:c r="E14998" s="122" t="n"/>
    </s:row>
    <s:row r="14999" hidden="1" ht="1" customHeight="1">
      <s:c r="A14999" s="120" t="inlineStr"/>
      <s:c r="B14999" s="121" t="n"/>
      <s:c r="C14999" s="121" t="n"/>
      <s:c r="D14999" s="121" t="n"/>
      <s:c r="E14999" s="122" t="n"/>
    </s:row>
    <s:row r="15000" hidden="1" ht="1" customHeight="1">
      <s:c r="A15000" s="120" t="inlineStr"/>
      <s:c r="B15000" s="121" t="n"/>
      <s:c r="C15000" s="121" t="n"/>
      <s:c r="D15000" s="121" t="n"/>
      <s:c r="E15000" s="122" t="n"/>
    </s:row>
    <s:row r="15001" hidden="1" ht="1" customHeight="1">
      <s:c r="A15001" s="120" t="inlineStr"/>
      <s:c r="B15001" s="121" t="n"/>
      <s:c r="C15001" s="121" t="n"/>
      <s:c r="D15001" s="121" t="n"/>
      <s:c r="E15001" s="122" t="n"/>
    </s:row>
    <s:row r="15002" hidden="1" ht="1" customHeight="1">
      <s:c r="A15002" s="120" t="inlineStr"/>
      <s:c r="B15002" s="121" t="n"/>
      <s:c r="C15002" s="121" t="n"/>
      <s:c r="D15002" s="121" t="n"/>
      <s:c r="E15002" s="122" t="n"/>
    </s:row>
    <s:row r="15003" hidden="1" ht="1" customHeight="1">
      <s:c r="A15003" s="120" t="inlineStr"/>
      <s:c r="B15003" s="121" t="n"/>
      <s:c r="C15003" s="121" t="n"/>
      <s:c r="D15003" s="121" t="n"/>
      <s:c r="E15003" s="122" t="n"/>
    </s:row>
    <s:row r="15004" hidden="1" ht="1" customHeight="1">
      <s:c r="A15004" s="120" t="inlineStr"/>
      <s:c r="B15004" s="121" t="n"/>
      <s:c r="C15004" s="121" t="n"/>
      <s:c r="D15004" s="121" t="n"/>
      <s:c r="E15004" s="122" t="n"/>
    </s:row>
    <s:row r="15005" hidden="1" ht="1" customHeight="1">
      <s:c r="A15005" s="120" t="inlineStr"/>
      <s:c r="B15005" s="121" t="n"/>
      <s:c r="C15005" s="121" t="n"/>
      <s:c r="D15005" s="121" t="n"/>
      <s:c r="E15005" s="122" t="n"/>
    </s:row>
    <s:row r="15006" hidden="1" ht="1" customHeight="1">
      <s:c r="A15006" s="120" t="inlineStr"/>
      <s:c r="B15006" s="121" t="n"/>
      <s:c r="C15006" s="121" t="n"/>
      <s:c r="D15006" s="121" t="n"/>
      <s:c r="E15006" s="122" t="n"/>
    </s:row>
    <s:row r="15007" hidden="1" ht="1" customHeight="1">
      <s:c r="A15007" s="120" t="inlineStr"/>
      <s:c r="B15007" s="121" t="n"/>
      <s:c r="C15007" s="121" t="n"/>
      <s:c r="D15007" s="121" t="n"/>
      <s:c r="E15007" s="122" t="n"/>
    </s:row>
    <s:row r="15008" hidden="1" ht="1" customHeight="1">
      <s:c r="A15008" s="120" t="inlineStr"/>
      <s:c r="B15008" s="121" t="n"/>
      <s:c r="C15008" s="121" t="n"/>
      <s:c r="D15008" s="121" t="n"/>
      <s:c r="E15008" s="122" t="n"/>
    </s:row>
    <s:row r="15009" hidden="1" ht="1" customHeight="1">
      <s:c r="A15009" s="120" t="inlineStr"/>
      <s:c r="B15009" s="121" t="n"/>
      <s:c r="C15009" s="121" t="n"/>
      <s:c r="D15009" s="121" t="n"/>
      <s:c r="E15009" s="122" t="n"/>
    </s:row>
    <s:row r="15010" hidden="1" ht="1" customHeight="1">
      <s:c r="A15010" s="120" t="inlineStr"/>
      <s:c r="B15010" s="121" t="n"/>
      <s:c r="C15010" s="121" t="n"/>
      <s:c r="D15010" s="121" t="n"/>
      <s:c r="E15010" s="122" t="n"/>
    </s:row>
    <s:row r="15011" hidden="1" ht="1" customHeight="1">
      <s:c r="A15011" s="120" t="inlineStr"/>
      <s:c r="B15011" s="121" t="n"/>
      <s:c r="C15011" s="121" t="n"/>
      <s:c r="D15011" s="121" t="n"/>
      <s:c r="E15011" s="122" t="n"/>
    </s:row>
    <s:row r="15012" hidden="1" ht="1" customHeight="1">
      <s:c r="A15012" s="120" t="inlineStr"/>
      <s:c r="B15012" s="121" t="n"/>
      <s:c r="C15012" s="121" t="n"/>
      <s:c r="D15012" s="121" t="n"/>
      <s:c r="E15012" s="122" t="n"/>
    </s:row>
    <s:row r="15013" hidden="1" ht="1" customHeight="1">
      <s:c r="A15013" s="120" t="inlineStr"/>
      <s:c r="B15013" s="121" t="n"/>
      <s:c r="C15013" s="121" t="n"/>
      <s:c r="D15013" s="121" t="n"/>
      <s:c r="E15013" s="122" t="n"/>
    </s:row>
    <s:row r="15014" hidden="1" ht="1" customHeight="1">
      <s:c r="A15014" s="120" t="inlineStr"/>
      <s:c r="B15014" s="121" t="n"/>
      <s:c r="C15014" s="121" t="n"/>
      <s:c r="D15014" s="121" t="n"/>
      <s:c r="E15014" s="122" t="n"/>
    </s:row>
    <s:row r="15015" hidden="1" ht="1" customHeight="1">
      <s:c r="A15015" s="120" t="inlineStr"/>
      <s:c r="B15015" s="121" t="n"/>
      <s:c r="C15015" s="121" t="n"/>
      <s:c r="D15015" s="121" t="n"/>
      <s:c r="E15015" s="122" t="n"/>
    </s:row>
    <s:row r="15016" hidden="1" ht="1" customHeight="1">
      <s:c r="A15016" s="120" t="inlineStr"/>
      <s:c r="B15016" s="121" t="n"/>
      <s:c r="C15016" s="121" t="n"/>
      <s:c r="D15016" s="121" t="n"/>
      <s:c r="E15016" s="122" t="n"/>
    </s:row>
    <s:row r="15017" hidden="1" ht="1" customHeight="1">
      <s:c r="A15017" s="120" t="inlineStr"/>
      <s:c r="B15017" s="121" t="n"/>
      <s:c r="C15017" s="121" t="n"/>
      <s:c r="D15017" s="121" t="n"/>
      <s:c r="E15017" s="122" t="n"/>
    </s:row>
    <s:row r="15018" hidden="1" ht="1" customHeight="1">
      <s:c r="A15018" s="120" t="inlineStr"/>
      <s:c r="B15018" s="121" t="n"/>
      <s:c r="C15018" s="121" t="n"/>
      <s:c r="D15018" s="121" t="n"/>
      <s:c r="E15018" s="122" t="n"/>
    </s:row>
    <s:row r="15019" hidden="1" ht="1" customHeight="1">
      <s:c r="A15019" s="120" t="inlineStr"/>
      <s:c r="B15019" s="121" t="n"/>
      <s:c r="C15019" s="121" t="n"/>
      <s:c r="D15019" s="121" t="n"/>
      <s:c r="E15019" s="122" t="n"/>
    </s:row>
    <s:row r="15020" hidden="1" ht="1" customHeight="1">
      <s:c r="A15020" s="120" t="inlineStr"/>
      <s:c r="B15020" s="121" t="n"/>
      <s:c r="C15020" s="121" t="n"/>
      <s:c r="D15020" s="121" t="n"/>
      <s:c r="E15020" s="122" t="n"/>
    </s:row>
    <s:row r="15021" hidden="1" ht="1" customHeight="1">
      <s:c r="A15021" s="120" t="inlineStr"/>
      <s:c r="B15021" s="121" t="n"/>
      <s:c r="C15021" s="121" t="n"/>
      <s:c r="D15021" s="121" t="n"/>
      <s:c r="E15021" s="122" t="n"/>
    </s:row>
    <s:row r="15022" hidden="1" ht="1" customHeight="1">
      <s:c r="A15022" s="120" t="inlineStr"/>
      <s:c r="B15022" s="121" t="n"/>
      <s:c r="C15022" s="121" t="n"/>
      <s:c r="D15022" s="121" t="n"/>
      <s:c r="E15022" s="122" t="n"/>
    </s:row>
    <s:row r="15023" hidden="1" ht="1" customHeight="1">
      <s:c r="A15023" s="120" t="inlineStr"/>
      <s:c r="B15023" s="121" t="n"/>
      <s:c r="C15023" s="121" t="n"/>
      <s:c r="D15023" s="121" t="n"/>
      <s:c r="E15023" s="122" t="n"/>
    </s:row>
    <s:row r="15024" hidden="1" ht="1" customHeight="1">
      <s:c r="A15024" s="120" t="inlineStr"/>
      <s:c r="B15024" s="121" t="n"/>
      <s:c r="C15024" s="121" t="n"/>
      <s:c r="D15024" s="121" t="n"/>
      <s:c r="E15024" s="122" t="n"/>
    </s:row>
    <s:row r="15025" hidden="1" ht="1" customHeight="1">
      <s:c r="A15025" s="120" t="inlineStr"/>
      <s:c r="B15025" s="121" t="n"/>
      <s:c r="C15025" s="121" t="n"/>
      <s:c r="D15025" s="121" t="n"/>
      <s:c r="E15025" s="122" t="n"/>
    </s:row>
    <s:row r="15026" hidden="1" ht="1" customHeight="1">
      <s:c r="A15026" s="120" t="inlineStr"/>
      <s:c r="B15026" s="121" t="n"/>
      <s:c r="C15026" s="121" t="n"/>
      <s:c r="D15026" s="121" t="n"/>
      <s:c r="E15026" s="122" t="n"/>
    </s:row>
    <s:row r="15027" hidden="1" ht="1" customHeight="1">
      <s:c r="A15027" s="120" t="inlineStr"/>
      <s:c r="B15027" s="121" t="n"/>
      <s:c r="C15027" s="121" t="n"/>
      <s:c r="D15027" s="121" t="n"/>
      <s:c r="E15027" s="122" t="n"/>
    </s:row>
    <s:row r="15028" hidden="1" ht="1" customHeight="1">
      <s:c r="A15028" s="120" t="inlineStr"/>
      <s:c r="B15028" s="121" t="n"/>
      <s:c r="C15028" s="121" t="n"/>
      <s:c r="D15028" s="121" t="n"/>
      <s:c r="E15028" s="122" t="n"/>
    </s:row>
    <s:row r="15029" hidden="1" ht="1" customHeight="1">
      <s:c r="A15029" s="120" t="inlineStr"/>
      <s:c r="B15029" s="121" t="n"/>
      <s:c r="C15029" s="121" t="n"/>
      <s:c r="D15029" s="121" t="n"/>
      <s:c r="E15029" s="122" t="n"/>
    </s:row>
    <s:row r="15030" hidden="1" ht="1" customHeight="1">
      <s:c r="A15030" s="120" t="inlineStr"/>
      <s:c r="B15030" s="121" t="n"/>
      <s:c r="C15030" s="121" t="n"/>
      <s:c r="D15030" s="121" t="n"/>
      <s:c r="E15030" s="122" t="n"/>
    </s:row>
    <s:row r="15031" hidden="1" ht="1" customHeight="1">
      <s:c r="A15031" s="120" t="inlineStr"/>
      <s:c r="B15031" s="121" t="n"/>
      <s:c r="C15031" s="121" t="n"/>
      <s:c r="D15031" s="121" t="n"/>
      <s:c r="E15031" s="122" t="n"/>
    </s:row>
    <s:row r="15032" hidden="1" ht="1" customHeight="1">
      <s:c r="A15032" s="120" t="inlineStr"/>
      <s:c r="B15032" s="121" t="n"/>
      <s:c r="C15032" s="121" t="n"/>
      <s:c r="D15032" s="121" t="n"/>
      <s:c r="E15032" s="122" t="n"/>
    </s:row>
    <s:row r="15033" hidden="1" ht="1" customHeight="1">
      <s:c r="A15033" s="120" t="inlineStr"/>
      <s:c r="B15033" s="121" t="n"/>
      <s:c r="C15033" s="121" t="n"/>
      <s:c r="D15033" s="121" t="n"/>
      <s:c r="E15033" s="122" t="n"/>
    </s:row>
    <s:row r="15034" hidden="1" ht="1" customHeight="1">
      <s:c r="A15034" s="120" t="inlineStr"/>
      <s:c r="B15034" s="121" t="n"/>
      <s:c r="C15034" s="121" t="n"/>
      <s:c r="D15034" s="121" t="n"/>
      <s:c r="E15034" s="122" t="n"/>
    </s:row>
    <s:row r="15035" hidden="1" ht="1" customHeight="1">
      <s:c r="A15035" s="120" t="inlineStr"/>
      <s:c r="B15035" s="121" t="n"/>
      <s:c r="C15035" s="121" t="n"/>
      <s:c r="D15035" s="121" t="n"/>
      <s:c r="E15035" s="122" t="n"/>
    </s:row>
    <s:row r="15036" hidden="1" ht="1" customHeight="1">
      <s:c r="A15036" s="120" t="inlineStr"/>
      <s:c r="B15036" s="121" t="n"/>
      <s:c r="C15036" s="121" t="n"/>
      <s:c r="D15036" s="121" t="n"/>
      <s:c r="E15036" s="122" t="n"/>
    </s:row>
    <s:row r="15037" hidden="1" ht="1" customHeight="1">
      <s:c r="A15037" s="120" t="inlineStr"/>
      <s:c r="B15037" s="121" t="n"/>
      <s:c r="C15037" s="121" t="n"/>
      <s:c r="D15037" s="121" t="n"/>
      <s:c r="E15037" s="122" t="n"/>
    </s:row>
    <s:row r="15038" hidden="1" ht="1" customHeight="1">
      <s:c r="A15038" s="120" t="inlineStr"/>
      <s:c r="B15038" s="121" t="n"/>
      <s:c r="C15038" s="121" t="n"/>
      <s:c r="D15038" s="121" t="n"/>
      <s:c r="E15038" s="122" t="n"/>
    </s:row>
    <s:row r="15039" hidden="1" ht="1" customHeight="1">
      <s:c r="A15039" s="120" t="inlineStr"/>
      <s:c r="B15039" s="121" t="n"/>
      <s:c r="C15039" s="121" t="n"/>
      <s:c r="D15039" s="121" t="n"/>
      <s:c r="E15039" s="122" t="n"/>
    </s:row>
    <s:row r="15040" hidden="1" ht="1" customHeight="1">
      <s:c r="A15040" s="120" t="inlineStr"/>
      <s:c r="B15040" s="121" t="n"/>
      <s:c r="C15040" s="121" t="n"/>
      <s:c r="D15040" s="121" t="n"/>
      <s:c r="E15040" s="122" t="n"/>
    </s:row>
    <s:row r="15041" hidden="1" ht="1" customHeight="1">
      <s:c r="A15041" s="120" t="inlineStr"/>
      <s:c r="B15041" s="121" t="n"/>
      <s:c r="C15041" s="121" t="n"/>
      <s:c r="D15041" s="121" t="n"/>
      <s:c r="E15041" s="122" t="n"/>
    </s:row>
    <s:row r="15042" hidden="1" ht="1" customHeight="1">
      <s:c r="A15042" s="120" t="inlineStr"/>
      <s:c r="B15042" s="121" t="n"/>
      <s:c r="C15042" s="121" t="n"/>
      <s:c r="D15042" s="121" t="n"/>
      <s:c r="E15042" s="122" t="n"/>
    </s:row>
    <s:row r="15043" hidden="1" ht="1" customHeight="1">
      <s:c r="A15043" s="120" t="inlineStr"/>
      <s:c r="B15043" s="121" t="n"/>
      <s:c r="C15043" s="121" t="n"/>
      <s:c r="D15043" s="121" t="n"/>
      <s:c r="E15043" s="122" t="n"/>
    </s:row>
    <s:row r="15044" hidden="1" ht="1" customHeight="1">
      <s:c r="A15044" s="120" t="inlineStr"/>
      <s:c r="B15044" s="121" t="n"/>
      <s:c r="C15044" s="121" t="n"/>
      <s:c r="D15044" s="121" t="n"/>
      <s:c r="E15044" s="122" t="n"/>
    </s:row>
    <s:row r="15045" hidden="1" ht="1" customHeight="1">
      <s:c r="A15045" s="120" t="inlineStr"/>
      <s:c r="B15045" s="121" t="n"/>
      <s:c r="C15045" s="121" t="n"/>
      <s:c r="D15045" s="121" t="n"/>
      <s:c r="E15045" s="122" t="n"/>
    </s:row>
    <s:row r="15046" hidden="1" ht="1" customHeight="1">
      <s:c r="A15046" s="120" t="inlineStr"/>
      <s:c r="B15046" s="121" t="n"/>
      <s:c r="C15046" s="121" t="n"/>
      <s:c r="D15046" s="121" t="n"/>
      <s:c r="E15046" s="122" t="n"/>
    </s:row>
    <s:row r="15047" hidden="1" ht="1" customHeight="1">
      <s:c r="A15047" s="120" t="inlineStr"/>
      <s:c r="B15047" s="121" t="n"/>
      <s:c r="C15047" s="121" t="n"/>
      <s:c r="D15047" s="121" t="n"/>
      <s:c r="E15047" s="122" t="n"/>
    </s:row>
    <s:row r="15048" hidden="1" ht="1" customHeight="1">
      <s:c r="A15048" s="120" t="inlineStr"/>
      <s:c r="B15048" s="121" t="n"/>
      <s:c r="C15048" s="121" t="n"/>
      <s:c r="D15048" s="121" t="n"/>
      <s:c r="E15048" s="122" t="n"/>
    </s:row>
    <s:row r="15049" hidden="1" ht="1" customHeight="1">
      <s:c r="A15049" s="120" t="inlineStr"/>
      <s:c r="B15049" s="121" t="n"/>
      <s:c r="C15049" s="121" t="n"/>
      <s:c r="D15049" s="121" t="n"/>
      <s:c r="E15049" s="122" t="n"/>
    </s:row>
    <s:row r="15050" hidden="1" ht="1" customHeight="1">
      <s:c r="A15050" s="120" t="inlineStr"/>
      <s:c r="B15050" s="121" t="n"/>
      <s:c r="C15050" s="121" t="n"/>
      <s:c r="D15050" s="121" t="n"/>
      <s:c r="E15050" s="122" t="n"/>
    </s:row>
    <s:row r="15051" hidden="1" ht="1" customHeight="1">
      <s:c r="A15051" s="120" t="inlineStr"/>
      <s:c r="B15051" s="121" t="n"/>
      <s:c r="C15051" s="121" t="n"/>
      <s:c r="D15051" s="121" t="n"/>
      <s:c r="E15051" s="122" t="n"/>
    </s:row>
    <s:row r="15052" hidden="1" ht="1" customHeight="1">
      <s:c r="A15052" s="120" t="inlineStr"/>
      <s:c r="B15052" s="121" t="n"/>
      <s:c r="C15052" s="121" t="n"/>
      <s:c r="D15052" s="121" t="n"/>
      <s:c r="E15052" s="122" t="n"/>
    </s:row>
    <s:row r="15053" hidden="1" ht="1" customHeight="1">
      <s:c r="A15053" s="120" t="inlineStr"/>
      <s:c r="B15053" s="121" t="n"/>
      <s:c r="C15053" s="121" t="n"/>
      <s:c r="D15053" s="121" t="n"/>
      <s:c r="E15053" s="122" t="n"/>
    </s:row>
    <s:row r="15054" hidden="1" ht="1" customHeight="1">
      <s:c r="A15054" s="120" t="inlineStr"/>
      <s:c r="B15054" s="121" t="n"/>
      <s:c r="C15054" s="121" t="n"/>
      <s:c r="D15054" s="121" t="n"/>
      <s:c r="E15054" s="122" t="n"/>
    </s:row>
    <s:row r="15055" hidden="1" ht="1" customHeight="1">
      <s:c r="A15055" s="120" t="inlineStr"/>
      <s:c r="B15055" s="121" t="n"/>
      <s:c r="C15055" s="121" t="n"/>
      <s:c r="D15055" s="121" t="n"/>
      <s:c r="E15055" s="122" t="n"/>
    </s:row>
    <s:row r="15056" hidden="1" ht="1" customHeight="1">
      <s:c r="A15056" s="120" t="inlineStr"/>
      <s:c r="B15056" s="121" t="n"/>
      <s:c r="C15056" s="121" t="n"/>
      <s:c r="D15056" s="121" t="n"/>
      <s:c r="E15056" s="122" t="n"/>
    </s:row>
    <s:row r="15057" hidden="1" ht="1" customHeight="1">
      <s:c r="A15057" s="120" t="inlineStr"/>
      <s:c r="B15057" s="121" t="n"/>
      <s:c r="C15057" s="121" t="n"/>
      <s:c r="D15057" s="121" t="n"/>
      <s:c r="E15057" s="122" t="n"/>
    </s:row>
    <s:row r="15058" hidden="1" ht="1" customHeight="1">
      <s:c r="A15058" s="120" t="inlineStr"/>
      <s:c r="B15058" s="121" t="n"/>
      <s:c r="C15058" s="121" t="n"/>
      <s:c r="D15058" s="121" t="n"/>
      <s:c r="E15058" s="122" t="n"/>
    </s:row>
    <s:row r="15059" hidden="1" ht="1" customHeight="1">
      <s:c r="A15059" s="120" t="inlineStr"/>
      <s:c r="B15059" s="121" t="n"/>
      <s:c r="C15059" s="121" t="n"/>
      <s:c r="D15059" s="121" t="n"/>
      <s:c r="E15059" s="122" t="n"/>
    </s:row>
    <s:row r="15060" hidden="1" ht="1" customHeight="1">
      <s:c r="A15060" s="120" t="inlineStr"/>
      <s:c r="B15060" s="121" t="n"/>
      <s:c r="C15060" s="121" t="n"/>
      <s:c r="D15060" s="121" t="n"/>
      <s:c r="E15060" s="122" t="n"/>
    </s:row>
    <s:row r="15061" hidden="1" ht="1" customHeight="1">
      <s:c r="A15061" s="120" t="inlineStr"/>
      <s:c r="B15061" s="121" t="n"/>
      <s:c r="C15061" s="121" t="n"/>
      <s:c r="D15061" s="121" t="n"/>
      <s:c r="E15061" s="122" t="n"/>
    </s:row>
    <s:row r="15062" hidden="1" ht="1" customHeight="1">
      <s:c r="A15062" s="120" t="inlineStr"/>
      <s:c r="B15062" s="121" t="n"/>
      <s:c r="C15062" s="121" t="n"/>
      <s:c r="D15062" s="121" t="n"/>
      <s:c r="E15062" s="122" t="n"/>
    </s:row>
    <s:row r="15063" hidden="1" ht="1" customHeight="1">
      <s:c r="A15063" s="120" t="inlineStr"/>
      <s:c r="B15063" s="121" t="n"/>
      <s:c r="C15063" s="121" t="n"/>
      <s:c r="D15063" s="121" t="n"/>
      <s:c r="E15063" s="122" t="n"/>
    </s:row>
    <s:row r="15064" hidden="1" ht="1" customHeight="1">
      <s:c r="A15064" s="120" t="inlineStr"/>
      <s:c r="B15064" s="121" t="n"/>
      <s:c r="C15064" s="121" t="n"/>
      <s:c r="D15064" s="121" t="n"/>
      <s:c r="E15064" s="122" t="n"/>
    </s:row>
    <s:row r="15065" hidden="1" ht="1" customHeight="1">
      <s:c r="A15065" s="120" t="inlineStr"/>
      <s:c r="B15065" s="121" t="n"/>
      <s:c r="C15065" s="121" t="n"/>
      <s:c r="D15065" s="121" t="n"/>
      <s:c r="E15065" s="122" t="n"/>
    </s:row>
    <s:row r="15066" hidden="1" ht="1" customHeight="1">
      <s:c r="A15066" s="120" t="inlineStr"/>
      <s:c r="B15066" s="121" t="n"/>
      <s:c r="C15066" s="121" t="n"/>
      <s:c r="D15066" s="121" t="n"/>
      <s:c r="E15066" s="122" t="n"/>
    </s:row>
    <s:row r="15067" hidden="1" ht="1" customHeight="1">
      <s:c r="A15067" s="120" t="inlineStr"/>
      <s:c r="B15067" s="121" t="n"/>
      <s:c r="C15067" s="121" t="n"/>
      <s:c r="D15067" s="121" t="n"/>
      <s:c r="E15067" s="122" t="n"/>
    </s:row>
    <s:row r="15068" hidden="1" ht="1" customHeight="1">
      <s:c r="A15068" s="120" t="inlineStr"/>
      <s:c r="B15068" s="121" t="n"/>
      <s:c r="C15068" s="121" t="n"/>
      <s:c r="D15068" s="121" t="n"/>
      <s:c r="E15068" s="122" t="n"/>
    </s:row>
    <s:row r="15069" hidden="1" ht="1" customHeight="1">
      <s:c r="A15069" s="120" t="inlineStr"/>
      <s:c r="B15069" s="121" t="n"/>
      <s:c r="C15069" s="121" t="n"/>
      <s:c r="D15069" s="121" t="n"/>
      <s:c r="E15069" s="122" t="n"/>
    </s:row>
    <s:row r="15070" hidden="1" ht="1" customHeight="1">
      <s:c r="A15070" s="120" t="inlineStr"/>
      <s:c r="B15070" s="121" t="n"/>
      <s:c r="C15070" s="121" t="n"/>
      <s:c r="D15070" s="121" t="n"/>
      <s:c r="E15070" s="122" t="n"/>
    </s:row>
    <s:row r="15071" hidden="1" ht="1" customHeight="1">
      <s:c r="A15071" s="120" t="inlineStr"/>
      <s:c r="B15071" s="121" t="n"/>
      <s:c r="C15071" s="121" t="n"/>
      <s:c r="D15071" s="121" t="n"/>
      <s:c r="E15071" s="122" t="n"/>
    </s:row>
    <s:row r="15072" hidden="1" ht="1" customHeight="1">
      <s:c r="A15072" s="120" t="inlineStr"/>
      <s:c r="B15072" s="121" t="n"/>
      <s:c r="C15072" s="121" t="n"/>
      <s:c r="D15072" s="121" t="n"/>
      <s:c r="E15072" s="122" t="n"/>
    </s:row>
    <s:row r="15073" hidden="1" ht="1" customHeight="1">
      <s:c r="A15073" s="120" t="inlineStr"/>
      <s:c r="B15073" s="121" t="n"/>
      <s:c r="C15073" s="121" t="n"/>
      <s:c r="D15073" s="121" t="n"/>
      <s:c r="E15073" s="122" t="n"/>
    </s:row>
    <s:row r="15074" hidden="1" ht="1" customHeight="1">
      <s:c r="A15074" s="120" t="inlineStr"/>
      <s:c r="B15074" s="121" t="n"/>
      <s:c r="C15074" s="121" t="n"/>
      <s:c r="D15074" s="121" t="n"/>
      <s:c r="E15074" s="122" t="n"/>
    </s:row>
    <s:row r="15075" hidden="1" ht="1" customHeight="1">
      <s:c r="A15075" s="120" t="inlineStr"/>
      <s:c r="B15075" s="121" t="n"/>
      <s:c r="C15075" s="121" t="n"/>
      <s:c r="D15075" s="121" t="n"/>
      <s:c r="E15075" s="122" t="n"/>
    </s:row>
    <s:row r="15076" hidden="1" ht="1" customHeight="1">
      <s:c r="A15076" s="120" t="inlineStr"/>
      <s:c r="B15076" s="121" t="n"/>
      <s:c r="C15076" s="121" t="n"/>
      <s:c r="D15076" s="121" t="n"/>
      <s:c r="E15076" s="122" t="n"/>
    </s:row>
    <s:row r="15077" hidden="1" ht="1" customHeight="1">
      <s:c r="A15077" s="120" t="inlineStr"/>
      <s:c r="B15077" s="121" t="n"/>
      <s:c r="C15077" s="121" t="n"/>
      <s:c r="D15077" s="121" t="n"/>
      <s:c r="E15077" s="122" t="n"/>
    </s:row>
    <s:row r="15078" hidden="1" ht="1" customHeight="1">
      <s:c r="A15078" s="120" t="inlineStr"/>
      <s:c r="B15078" s="121" t="n"/>
      <s:c r="C15078" s="121" t="n"/>
      <s:c r="D15078" s="121" t="n"/>
      <s:c r="E15078" s="122" t="n"/>
    </s:row>
    <s:row r="15079" hidden="1" ht="1" customHeight="1">
      <s:c r="A15079" s="120" t="inlineStr"/>
      <s:c r="B15079" s="121" t="n"/>
      <s:c r="C15079" s="121" t="n"/>
      <s:c r="D15079" s="121" t="n"/>
      <s:c r="E15079" s="122" t="n"/>
    </s:row>
    <s:row r="15080" hidden="1" ht="1" customHeight="1">
      <s:c r="A15080" s="120" t="inlineStr"/>
      <s:c r="B15080" s="121" t="n"/>
      <s:c r="C15080" s="121" t="n"/>
      <s:c r="D15080" s="121" t="n"/>
      <s:c r="E15080" s="122" t="n"/>
    </s:row>
    <s:row r="15081" hidden="1" ht="1" customHeight="1">
      <s:c r="A15081" s="120" t="inlineStr"/>
      <s:c r="B15081" s="121" t="n"/>
      <s:c r="C15081" s="121" t="n"/>
      <s:c r="D15081" s="121" t="n"/>
      <s:c r="E15081" s="122" t="n"/>
    </s:row>
    <s:row r="15082" hidden="1" ht="1" customHeight="1">
      <s:c r="A15082" s="120" t="inlineStr"/>
      <s:c r="B15082" s="121" t="n"/>
      <s:c r="C15082" s="121" t="n"/>
      <s:c r="D15082" s="121" t="n"/>
      <s:c r="E15082" s="122" t="n"/>
    </s:row>
    <s:row r="15083" hidden="1" ht="1" customHeight="1">
      <s:c r="A15083" s="120" t="inlineStr"/>
      <s:c r="B15083" s="121" t="n"/>
      <s:c r="C15083" s="121" t="n"/>
      <s:c r="D15083" s="121" t="n"/>
      <s:c r="E15083" s="122" t="n"/>
    </s:row>
    <s:row r="15084" hidden="1" ht="1" customHeight="1">
      <s:c r="A15084" s="120" t="inlineStr"/>
      <s:c r="B15084" s="121" t="n"/>
      <s:c r="C15084" s="121" t="n"/>
      <s:c r="D15084" s="121" t="n"/>
      <s:c r="E15084" s="122" t="n"/>
    </s:row>
    <s:row r="15085" hidden="1" ht="1" customHeight="1">
      <s:c r="A15085" s="120" t="inlineStr"/>
      <s:c r="B15085" s="121" t="n"/>
      <s:c r="C15085" s="121" t="n"/>
      <s:c r="D15085" s="121" t="n"/>
      <s:c r="E15085" s="122" t="n"/>
    </s:row>
    <s:row r="15086" hidden="1" ht="1" customHeight="1">
      <s:c r="A15086" s="120" t="inlineStr"/>
      <s:c r="B15086" s="121" t="n"/>
      <s:c r="C15086" s="121" t="n"/>
      <s:c r="D15086" s="121" t="n"/>
      <s:c r="E15086" s="122" t="n"/>
    </s:row>
    <s:row r="15087" hidden="1" ht="1" customHeight="1">
      <s:c r="A15087" s="120" t="inlineStr"/>
      <s:c r="B15087" s="121" t="n"/>
      <s:c r="C15087" s="121" t="n"/>
      <s:c r="D15087" s="121" t="n"/>
      <s:c r="E15087" s="122" t="n"/>
    </s:row>
    <s:row r="15088" hidden="1" ht="1" customHeight="1">
      <s:c r="A15088" s="120" t="inlineStr"/>
      <s:c r="B15088" s="121" t="n"/>
      <s:c r="C15088" s="121" t="n"/>
      <s:c r="D15088" s="121" t="n"/>
      <s:c r="E15088" s="122" t="n"/>
    </s:row>
    <s:row r="15089" hidden="1" ht="1" customHeight="1">
      <s:c r="A15089" s="120" t="inlineStr"/>
      <s:c r="B15089" s="121" t="n"/>
      <s:c r="C15089" s="121" t="n"/>
      <s:c r="D15089" s="121" t="n"/>
      <s:c r="E15089" s="122" t="n"/>
    </s:row>
    <s:row r="15090" hidden="1" ht="1" customHeight="1">
      <s:c r="A15090" s="120" t="inlineStr"/>
      <s:c r="B15090" s="121" t="n"/>
      <s:c r="C15090" s="121" t="n"/>
      <s:c r="D15090" s="121" t="n"/>
      <s:c r="E15090" s="122" t="n"/>
    </s:row>
    <s:row r="15091" hidden="1" ht="1" customHeight="1">
      <s:c r="A15091" s="120" t="inlineStr"/>
      <s:c r="B15091" s="121" t="n"/>
      <s:c r="C15091" s="121" t="n"/>
      <s:c r="D15091" s="121" t="n"/>
      <s:c r="E15091" s="122" t="n"/>
    </s:row>
    <s:row r="15092" hidden="1" ht="1" customHeight="1">
      <s:c r="A15092" s="120" t="inlineStr"/>
      <s:c r="B15092" s="121" t="n"/>
      <s:c r="C15092" s="121" t="n"/>
      <s:c r="D15092" s="121" t="n"/>
      <s:c r="E15092" s="122" t="n"/>
    </s:row>
    <s:row r="15093" hidden="1" ht="1" customHeight="1">
      <s:c r="A15093" s="120" t="inlineStr"/>
      <s:c r="B15093" s="121" t="n"/>
      <s:c r="C15093" s="121" t="n"/>
      <s:c r="D15093" s="121" t="n"/>
      <s:c r="E15093" s="122" t="n"/>
    </s:row>
    <s:row r="15094" hidden="1" ht="1" customHeight="1">
      <s:c r="A15094" s="120" t="inlineStr"/>
      <s:c r="B15094" s="121" t="n"/>
      <s:c r="C15094" s="121" t="n"/>
      <s:c r="D15094" s="121" t="n"/>
      <s:c r="E15094" s="122" t="n"/>
    </s:row>
    <s:row r="15095" hidden="1" ht="1" customHeight="1">
      <s:c r="A15095" s="120" t="inlineStr"/>
      <s:c r="B15095" s="121" t="n"/>
      <s:c r="C15095" s="121" t="n"/>
      <s:c r="D15095" s="121" t="n"/>
      <s:c r="E15095" s="122" t="n"/>
    </s:row>
    <s:row r="15096" hidden="1" ht="1" customHeight="1">
      <s:c r="A15096" s="120" t="inlineStr"/>
      <s:c r="B15096" s="121" t="n"/>
      <s:c r="C15096" s="121" t="n"/>
      <s:c r="D15096" s="121" t="n"/>
      <s:c r="E15096" s="122" t="n"/>
    </s:row>
    <s:row r="15097" hidden="1" ht="1" customHeight="1">
      <s:c r="A15097" s="120" t="inlineStr"/>
      <s:c r="B15097" s="121" t="n"/>
      <s:c r="C15097" s="121" t="n"/>
      <s:c r="D15097" s="121" t="n"/>
      <s:c r="E15097" s="122" t="n"/>
    </s:row>
    <s:row r="15098" hidden="1" ht="1" customHeight="1">
      <s:c r="A15098" s="120" t="inlineStr"/>
      <s:c r="B15098" s="121" t="n"/>
      <s:c r="C15098" s="121" t="n"/>
      <s:c r="D15098" s="121" t="n"/>
      <s:c r="E15098" s="122" t="n"/>
    </s:row>
    <s:row r="15099" hidden="1" ht="1" customHeight="1">
      <s:c r="A15099" s="120" t="inlineStr"/>
      <s:c r="B15099" s="121" t="n"/>
      <s:c r="C15099" s="121" t="n"/>
      <s:c r="D15099" s="121" t="n"/>
      <s:c r="E15099" s="122" t="n"/>
    </s:row>
    <s:row r="15100" hidden="1" ht="1" customHeight="1">
      <s:c r="A15100" s="120" t="inlineStr"/>
      <s:c r="B15100" s="121" t="n"/>
      <s:c r="C15100" s="121" t="n"/>
      <s:c r="D15100" s="121" t="n"/>
      <s:c r="E15100" s="122" t="n"/>
    </s:row>
    <s:row r="15101" hidden="1" ht="1" customHeight="1">
      <s:c r="A15101" s="120" t="inlineStr"/>
      <s:c r="B15101" s="121" t="n"/>
      <s:c r="C15101" s="121" t="n"/>
      <s:c r="D15101" s="121" t="n"/>
      <s:c r="E15101" s="122" t="n"/>
    </s:row>
    <s:row r="15102" hidden="1" ht="1" customHeight="1">
      <s:c r="A15102" s="120" t="inlineStr"/>
      <s:c r="B15102" s="121" t="n"/>
      <s:c r="C15102" s="121" t="n"/>
      <s:c r="D15102" s="121" t="n"/>
      <s:c r="E15102" s="122" t="n"/>
    </s:row>
    <s:row r="15103" hidden="1" ht="1" customHeight="1">
      <s:c r="A15103" s="120" t="inlineStr"/>
      <s:c r="B15103" s="121" t="n"/>
      <s:c r="C15103" s="121" t="n"/>
      <s:c r="D15103" s="121" t="n"/>
      <s:c r="E15103" s="122" t="n"/>
    </s:row>
    <s:row r="15104" hidden="1" ht="1" customHeight="1">
      <s:c r="A15104" s="120" t="inlineStr"/>
      <s:c r="B15104" s="121" t="n"/>
      <s:c r="C15104" s="121" t="n"/>
      <s:c r="D15104" s="121" t="n"/>
      <s:c r="E15104" s="122" t="n"/>
    </s:row>
    <s:row r="15105" hidden="1" ht="1" customHeight="1">
      <s:c r="A15105" s="120" t="inlineStr"/>
      <s:c r="B15105" s="121" t="n"/>
      <s:c r="C15105" s="121" t="n"/>
      <s:c r="D15105" s="121" t="n"/>
      <s:c r="E15105" s="122" t="n"/>
    </s:row>
    <s:row r="15106" hidden="1" ht="1" customHeight="1">
      <s:c r="A15106" s="120" t="inlineStr"/>
      <s:c r="B15106" s="121" t="n"/>
      <s:c r="C15106" s="121" t="n"/>
      <s:c r="D15106" s="121" t="n"/>
      <s:c r="E15106" s="122" t="n"/>
    </s:row>
    <s:row r="15107" hidden="1" ht="1" customHeight="1">
      <s:c r="A15107" s="120" t="inlineStr"/>
      <s:c r="B15107" s="121" t="n"/>
      <s:c r="C15107" s="121" t="n"/>
      <s:c r="D15107" s="121" t="n"/>
      <s:c r="E15107" s="122" t="n"/>
    </s:row>
    <s:row r="15108" hidden="1" ht="1" customHeight="1">
      <s:c r="A15108" s="120" t="inlineStr"/>
      <s:c r="B15108" s="121" t="n"/>
      <s:c r="C15108" s="121" t="n"/>
      <s:c r="D15108" s="121" t="n"/>
      <s:c r="E15108" s="122" t="n"/>
    </s:row>
    <s:row r="15109" hidden="1" ht="1" customHeight="1">
      <s:c r="A15109" s="83" t="inlineStr">
        <s:is>
          <s:t>PASS</s:t>
        </s:is>
      </s:c>
      <s:c r="B15109" s="83">
        <s:f>SUM(IF(EXACT('Kiểm thử'!E14859,"Đạt"),1,0),IF(EXACT('Kiểm thử'!E14861,"Đạt"),1,0),IF(EXACT('Kiểm thử'!E14863,"Đạt"),1,0),IF(EXACT('Kiểm thử'!E14865,"Đạt"),1,0),IF(EXACT('Kiểm thử'!E14867,"Đạt"),1,0))</s:f>
        <s:v/>
      </s:c>
      <s:c r="C15109" s="19" t="n"/>
      <s:c r="D15109" s="19" t="n"/>
      <s:c r="E15109" s="19" t="n"/>
    </s:row>
    <s:row r="15110" hidden="1" ht="1" customHeight="1">
      <s:c r="A15110" s="83" t="inlineStr">
        <s:is>
          <s:t>FAIL</s:t>
        </s:is>
      </s:c>
      <s:c r="B15110" s="83">
        <s:f>SUM(IF(EXACT('Kiểm thử'!E14859,"Không đạt"),1,0),IF(EXACT('Kiểm thử'!E14861,"Không đạt"),1,0),IF(EXACT('Kiểm thử'!E14863,"Không đạt"),1,0),IF(EXACT('Kiểm thử'!E14865,"Không đạt"),1,0),IF(EXACT('Kiểm thử'!E14867,"Không đạt"),1,0))</s:f>
        <s:v/>
      </s:c>
      <s:c r="C15110" s="19" t="n"/>
      <s:c r="D15110" s="19" t="n"/>
      <s:c r="E15110" s="19" t="n"/>
    </s:row>
    <s:row r="15111" hidden="1" ht="1" customHeight="1">
      <s:c r="A15111" s="83" t="inlineStr">
        <s:is>
          <s:t>BLOCKED</s:t>
        </s:is>
      </s:c>
      <s:c r="B15111" s="83">
        <s:f>SUM(IF(EXACT('Kiểm thử'!E14859,"Bị chặn"),1,0),IF(EXACT('Kiểm thử'!E14861,"Bị chặn"),1,0),IF(EXACT('Kiểm thử'!E14863,"Bị chặn"),1,0),IF(EXACT('Kiểm thử'!E14865,"Bị chặn"),1,0),IF(EXACT('Kiểm thử'!E14867,"Bị chặn"),1,0))</s:f>
        <s:v/>
      </s:c>
      <s:c r="C15111" s="19" t="n"/>
      <s:c r="D15111" s="19" t="n"/>
      <s:c r="E15111" s="19" t="n"/>
    </s:row>
    <s:row r="15112" hidden="1" ht="1" customHeight="1">
      <s:c r="A15112" s="83" t="inlineStr">
        <s:is>
          <s:t>SKIPPED</s:t>
        </s:is>
      </s:c>
      <s:c r="B15112" s="83">
        <s:f>SUM(IF(EXACT('Kiểm thử'!E14859,"Không thực hiện"),1,0),IF(EXACT('Kiểm thử'!E14861,"Không thực hiện"),1,0),IF(EXACT('Kiểm thử'!E14863,"Không thực hiện"),1,0),IF(EXACT('Kiểm thử'!E14865,"Không thực hiện"),1,0),IF(EXACT('Kiểm thử'!E14867,"Không thực hiện"),1,0))</s:f>
        <s:v/>
      </s:c>
      <s:c r="C15112" s="19" t="n"/>
      <s:c r="D15112" s="19" t="n"/>
      <s:c r="E15112" s="19" t="n"/>
    </s:row>
    <s:row r="15113" hidden="1" ht="1" customHeight="1">
      <s:c r="A15113" s="83" t="inlineStr">
        <s:is>
          <s:t>NOT RUN</s:t>
        </s:is>
      </s:c>
      <s:c r="B15113" s="83">
        <s:f>SUM(IF(EXACT('Kiểm thử'!E14859,"Chưa thực hiện"),1,0),IF(EXACT('Kiểm thử'!E14861,"Chưa thực hiện"),1,0),IF(EXACT('Kiểm thử'!E14863,"Chưa thực hiện"),1,0),IF(EXACT('Kiểm thử'!E14865,"Chưa thực hiện"),1,0),IF(EXACT('Kiểm thử'!E14867,"Chưa thực hiện"),1,0))</s:f>
        <s:v/>
      </s:c>
      <s:c r="C15113" s="19" t="n"/>
      <s:c r="D15113" s="19" t="n"/>
      <s:c r="E15113" s="19" t="n"/>
    </s:row>
    <s:row r="15114" hidden="1" ht="6" customHeight="1">
      <s:c r="A15114" s="83" t="inlineStr"/>
      <s:c r="B15114" s="19" t="n"/>
      <s:c r="C15114" s="19" t="n"/>
      <s:c r="D15114" s="19" t="n"/>
      <s:c r="E15114" s="19" t="n"/>
    </s:row>
    <s:row r="15115" ht="28" customHeight="1">
      <s:c r="A15115" s="108" t="inlineStr">
        <s:is>
          <s:t>TC-RS-BR-027 — Chạy lại nhiều lần cho cùng kết quả, không nhân đôi dấu</s:t>
        </s:is>
      </s:c>
      <s:c r="B15115" s="111" t="n"/>
      <s:c r="C15115" s="111" t="n"/>
      <s:c r="D15115" s="111" t="n"/>
      <s:c r="E15115" s="111" t="n"/>
    </s:row>
    <s:row r="15116" ht="20" customHeight="1">
      <s:c r="A15116" s="112" t="inlineStr">
        <s:is>
          <s:t>Kết quả tình huống</s:t>
        </s:is>
      </s:c>
      <s:c r="B15116" s="113">
        <s:f>IF(SUM(IF(EXACT('Kiểm thử'!E15124,"Không đạt"),1,0))&gt;0,"Không đạt",IF(SUM(IF(EXACT('Kiểm thử'!E15124,"Đạt"),1,0))=1,"Đạt",IF(SUM(IF(EXACT('Kiểm thử'!E15124,"Không thực hiện"),1,0))=1,"Không thực hiện",IF(SUM(IF(EXACT('Kiểm thử'!E15124,"Bị chặn"),1,0))&gt;0,"Bị chặn",IF(SUM(IF(EXACT('Kiểm thử'!E15124,"Chưa thực hiện"),1,0))=1,"Chưa thực hiện","Đang thực hiện")))))</s:f>
        <s:v/>
      </s:c>
      <s:c r="C15116" s="114" t="n"/>
      <s:c r="D15116" s="114" t="n"/>
      <s:c r="E15116" s="114" t="n"/>
    </s:row>
    <s:row r="15117" ht="20" customHeight="1">
      <s:c r="A15117" s="112" t="inlineStr">
        <s:is>
          <s:t>Màn hình / chức năng</s:t>
        </s:is>
      </s:c>
      <s:c r="B15117" s="113" t="inlineStr">
        <s:is>
          <s:t>Vòng đời kết quả</s:t>
        </s:is>
      </s:c>
      <s:c r="C15117" s="28" t="n"/>
      <s:c r="D15117" s="28" t="n"/>
      <s:c r="E15117" s="28" t="n"/>
    </s:row>
    <s:row r="15118" ht="48" customHeight="1">
      <s:c r="A15118" s="112" t="inlineStr">
        <s:is>
          <s:t>Cấu hình</s:t>
        </s:is>
      </s:c>
      <s:c r="B15118" s="113" t="inlineStr">
        <s:is>
          <s:t>• Quy tắc “Cố định 30” (dưới 30);
• S01=29 Đỏ;
• Trích xuất cấu hình trích xuất chỉ ký hiệu (“※” trước, “!” sau) ([※], [!]).</s:t>
        </s:is>
      </s:c>
      <s:c r="C15118" s="28" t="n"/>
      <s:c r="D15118" s="28" t="n"/>
      <s:c r="E15118" s="28" t="n"/>
    </s:row>
    <s:row r="15119" ht="34" customHeight="1">
      <s:c r="A15119" s="112" t="inlineStr">
        <s:is>
          <s:t>Dữ liệu test</s:t>
        </s:is>
      </s:c>
      <s:c r="B15119" s="113" t="inlineStr">
        <s:is>
          <s:t>• Quy tắc “Cố định 30” (dưới 30);
• Học sinh S01 (điểm 29), cấu hình trích xuất chỉ ký hiệu (“※” trước, “!” sau)</s:t>
        </s:is>
      </s:c>
      <s:c r="C15119" s="28" t="n"/>
      <s:c r="D15119" s="28" t="n"/>
      <s:c r="E15119" s="28" t="n"/>
    </s:row>
    <s:row r="15120" ht="20" customHeight="1">
      <s:c r="A15120" s="112" t="inlineStr">
        <s:is>
          <s:t>Bước 1</s:t>
        </s:is>
      </s:c>
      <s:c r="B15120" s="113" t="inlineStr">
        <s:is>
          <s:t>Chạy nút cam 3 lần liên tiếp (chờ mỗi lần hoàn tất).</s:t>
        </s:is>
      </s:c>
      <s:c r="C15120" s="28" t="n"/>
      <s:c r="D15120" s="28" t="n"/>
      <s:c r="E15120" s="28" t="n"/>
    </s:row>
    <s:row r="15121" ht="20" customHeight="1">
      <s:c r="A15121" s="112" t="inlineStr">
        <s:is>
          <s:t>Bước 2</s:t>
        </s:is>
      </s:c>
      <s:c r="B15121" s="113" t="inlineStr">
        <s:is>
          <s:t>Xem trích xuất; SELECT số kết quả hiện hành của ô S01 (khi có schema).</s:t>
        </s:is>
      </s:c>
      <s:c r="C15121" s="28" t="n"/>
      <s:c r="D15121" s="28" t="n"/>
      <s:c r="E15121" s="28" t="n"/>
    </s:row>
    <s:row r="15122" ht="28" customHeight="1">
      <s:c r="A15122" s="115" t="inlineStr">
        <s:is>
          <s:t>Trường hợp</s:t>
        </s:is>
      </s:c>
      <s:c r="B15122" s="115" t="inlineStr">
        <s:is>
          <s:t>Dữ liệu / thao tác riêng</s:t>
        </s:is>
      </s:c>
      <s:c r="C15122" s="115" t="inlineStr">
        <s:is>
          <s:t>Kết quả mong đợi</s:t>
        </s:is>
      </s:c>
      <s:c r="D15122" s="115" t="inlineStr">
        <s:is>
          <s:t>Kết quả thực tế</s:t>
        </s:is>
      </s:c>
      <s:c r="E15122" s="115" t="inlineStr">
        <s:is>
          <s:t>Đánh giá</s:t>
        </s:is>
      </s:c>
    </s:row>
    <s:row r="15123" ht="3" customHeight="1">
      <s:c r="A15123" s="102" t="inlineStr"/>
      <s:c r="B15123" s="99" t="n"/>
      <s:c r="C15123" s="99" t="n"/>
      <s:c r="D15123" s="116" t="n"/>
      <s:c r="E15123" s="116" t="n"/>
    </s:row>
    <s:row r="15124" ht="62" customHeight="1">
      <s:c r="A15124" s="83" t="inlineStr">
        <s:is>
          <s:t>Trường hợp cơ bản (Base)</s:t>
        </s:is>
      </s:c>
      <s:c r="B15124" s="83" t="inlineStr">
        <s:is>
          <s:t>Toàn bộ tình huống: Thực hiện đủ các bước chung theo thứ tự; kiểm cả đối tượng đích và đối chứng cùng fixture, không bỏ bước.</s:t>
        </s:is>
      </s:c>
      <s:c r="C15124" s="83" t="inlineStr">
        <s:is>
          <s:t>Ô S01 hiện [※29!] (không [※※29!!]); chỉ một kết quả hiện hành cho ô.</s:t>
        </s:is>
      </s:c>
      <s:c r="D15124" s="117" t="inlineStr"/>
      <s:c r="E15124" s="118" t="inlineStr">
        <s:is>
          <s:t>Chưa thực hiện</s:t>
        </s:is>
      </s:c>
    </s:row>
    <s:row r="15125" ht="20" customHeight="1">
      <s:c r="A15125" s="119" t="inlineStr">
        <s:is>
          <s:t>Ảnh minh chứng — Chưa có ảnh</s:t>
        </s:is>
      </s:c>
      <s:c r="B15125" s="19" t="n"/>
      <s:c r="C15125" s="19" t="n"/>
      <s:c r="D15125" s="19" t="n"/>
      <s:c r="E15125" s="19" t="n"/>
    </s:row>
    <s:row r="15126" hidden="1" ht="1" customHeight="1">
      <s:c r="A15126" s="120" t="inlineStr"/>
      <s:c r="B15126" s="121" t="n"/>
      <s:c r="C15126" s="121" t="n"/>
      <s:c r="D15126" s="121" t="n"/>
      <s:c r="E15126" s="122" t="n"/>
    </s:row>
    <s:row r="15127" hidden="1" ht="1" customHeight="1">
      <s:c r="A15127" s="120" t="inlineStr"/>
      <s:c r="B15127" s="121" t="n"/>
      <s:c r="C15127" s="121" t="n"/>
      <s:c r="D15127" s="121" t="n"/>
      <s:c r="E15127" s="122" t="n"/>
    </s:row>
    <s:row r="15128" hidden="1" ht="1" customHeight="1">
      <s:c r="A15128" s="120" t="inlineStr"/>
      <s:c r="B15128" s="121" t="n"/>
      <s:c r="C15128" s="121" t="n"/>
      <s:c r="D15128" s="121" t="n"/>
      <s:c r="E15128" s="122" t="n"/>
    </s:row>
    <s:row r="15129" hidden="1" ht="1" customHeight="1">
      <s:c r="A15129" s="120" t="inlineStr"/>
      <s:c r="B15129" s="121" t="n"/>
      <s:c r="C15129" s="121" t="n"/>
      <s:c r="D15129" s="121" t="n"/>
      <s:c r="E15129" s="122" t="n"/>
    </s:row>
    <s:row r="15130" hidden="1" ht="1" customHeight="1">
      <s:c r="A15130" s="120" t="inlineStr"/>
      <s:c r="B15130" s="121" t="n"/>
      <s:c r="C15130" s="121" t="n"/>
      <s:c r="D15130" s="121" t="n"/>
      <s:c r="E15130" s="122" t="n"/>
    </s:row>
    <s:row r="15131" hidden="1" ht="1" customHeight="1">
      <s:c r="A15131" s="120" t="inlineStr"/>
      <s:c r="B15131" s="121" t="n"/>
      <s:c r="C15131" s="121" t="n"/>
      <s:c r="D15131" s="121" t="n"/>
      <s:c r="E15131" s="122" t="n"/>
    </s:row>
    <s:row r="15132" hidden="1" ht="1" customHeight="1">
      <s:c r="A15132" s="120" t="inlineStr"/>
      <s:c r="B15132" s="121" t="n"/>
      <s:c r="C15132" s="121" t="n"/>
      <s:c r="D15132" s="121" t="n"/>
      <s:c r="E15132" s="122" t="n"/>
    </s:row>
    <s:row r="15133" hidden="1" ht="1" customHeight="1">
      <s:c r="A15133" s="120" t="inlineStr"/>
      <s:c r="B15133" s="121" t="n"/>
      <s:c r="C15133" s="121" t="n"/>
      <s:c r="D15133" s="121" t="n"/>
      <s:c r="E15133" s="122" t="n"/>
    </s:row>
    <s:row r="15134" hidden="1" ht="1" customHeight="1">
      <s:c r="A15134" s="120" t="inlineStr"/>
      <s:c r="B15134" s="121" t="n"/>
      <s:c r="C15134" s="121" t="n"/>
      <s:c r="D15134" s="121" t="n"/>
      <s:c r="E15134" s="122" t="n"/>
    </s:row>
    <s:row r="15135" hidden="1" ht="1" customHeight="1">
      <s:c r="A15135" s="120" t="inlineStr"/>
      <s:c r="B15135" s="121" t="n"/>
      <s:c r="C15135" s="121" t="n"/>
      <s:c r="D15135" s="121" t="n"/>
      <s:c r="E15135" s="122" t="n"/>
    </s:row>
    <s:row r="15136" hidden="1" ht="1" customHeight="1">
      <s:c r="A15136" s="120" t="inlineStr"/>
      <s:c r="B15136" s="121" t="n"/>
      <s:c r="C15136" s="121" t="n"/>
      <s:c r="D15136" s="121" t="n"/>
      <s:c r="E15136" s="122" t="n"/>
    </s:row>
    <s:row r="15137" hidden="1" ht="1" customHeight="1">
      <s:c r="A15137" s="120" t="inlineStr"/>
      <s:c r="B15137" s="121" t="n"/>
      <s:c r="C15137" s="121" t="n"/>
      <s:c r="D15137" s="121" t="n"/>
      <s:c r="E15137" s="122" t="n"/>
    </s:row>
    <s:row r="15138" hidden="1" ht="1" customHeight="1">
      <s:c r="A15138" s="120" t="inlineStr"/>
      <s:c r="B15138" s="121" t="n"/>
      <s:c r="C15138" s="121" t="n"/>
      <s:c r="D15138" s="121" t="n"/>
      <s:c r="E15138" s="122" t="n"/>
    </s:row>
    <s:row r="15139" hidden="1" ht="1" customHeight="1">
      <s:c r="A15139" s="120" t="inlineStr"/>
      <s:c r="B15139" s="121" t="n"/>
      <s:c r="C15139" s="121" t="n"/>
      <s:c r="D15139" s="121" t="n"/>
      <s:c r="E15139" s="122" t="n"/>
    </s:row>
    <s:row r="15140" hidden="1" ht="1" customHeight="1">
      <s:c r="A15140" s="120" t="inlineStr"/>
      <s:c r="B15140" s="121" t="n"/>
      <s:c r="C15140" s="121" t="n"/>
      <s:c r="D15140" s="121" t="n"/>
      <s:c r="E15140" s="122" t="n"/>
    </s:row>
    <s:row r="15141" hidden="1" ht="1" customHeight="1">
      <s:c r="A15141" s="120" t="inlineStr"/>
      <s:c r="B15141" s="121" t="n"/>
      <s:c r="C15141" s="121" t="n"/>
      <s:c r="D15141" s="121" t="n"/>
      <s:c r="E15141" s="122" t="n"/>
    </s:row>
    <s:row r="15142" hidden="1" ht="1" customHeight="1">
      <s:c r="A15142" s="120" t="inlineStr"/>
      <s:c r="B15142" s="121" t="n"/>
      <s:c r="C15142" s="121" t="n"/>
      <s:c r="D15142" s="121" t="n"/>
      <s:c r="E15142" s="122" t="n"/>
    </s:row>
    <s:row r="15143" hidden="1" ht="1" customHeight="1">
      <s:c r="A15143" s="120" t="inlineStr"/>
      <s:c r="B15143" s="121" t="n"/>
      <s:c r="C15143" s="121" t="n"/>
      <s:c r="D15143" s="121" t="n"/>
      <s:c r="E15143" s="122" t="n"/>
    </s:row>
    <s:row r="15144" hidden="1" ht="1" customHeight="1">
      <s:c r="A15144" s="120" t="inlineStr"/>
      <s:c r="B15144" s="121" t="n"/>
      <s:c r="C15144" s="121" t="n"/>
      <s:c r="D15144" s="121" t="n"/>
      <s:c r="E15144" s="122" t="n"/>
    </s:row>
    <s:row r="15145" hidden="1" ht="1" customHeight="1">
      <s:c r="A15145" s="120" t="inlineStr"/>
      <s:c r="B15145" s="121" t="n"/>
      <s:c r="C15145" s="121" t="n"/>
      <s:c r="D15145" s="121" t="n"/>
      <s:c r="E15145" s="122" t="n"/>
    </s:row>
    <s:row r="15146" hidden="1" ht="1" customHeight="1">
      <s:c r="A15146" s="120" t="inlineStr"/>
      <s:c r="B15146" s="121" t="n"/>
      <s:c r="C15146" s="121" t="n"/>
      <s:c r="D15146" s="121" t="n"/>
      <s:c r="E15146" s="122" t="n"/>
    </s:row>
    <s:row r="15147" hidden="1" ht="1" customHeight="1">
      <s:c r="A15147" s="120" t="inlineStr"/>
      <s:c r="B15147" s="121" t="n"/>
      <s:c r="C15147" s="121" t="n"/>
      <s:c r="D15147" s="121" t="n"/>
      <s:c r="E15147" s="122" t="n"/>
    </s:row>
    <s:row r="15148" hidden="1" ht="1" customHeight="1">
      <s:c r="A15148" s="120" t="inlineStr"/>
      <s:c r="B15148" s="121" t="n"/>
      <s:c r="C15148" s="121" t="n"/>
      <s:c r="D15148" s="121" t="n"/>
      <s:c r="E15148" s="122" t="n"/>
    </s:row>
    <s:row r="15149" hidden="1" ht="1" customHeight="1">
      <s:c r="A15149" s="120" t="inlineStr"/>
      <s:c r="B15149" s="121" t="n"/>
      <s:c r="C15149" s="121" t="n"/>
      <s:c r="D15149" s="121" t="n"/>
      <s:c r="E15149" s="122" t="n"/>
    </s:row>
    <s:row r="15150" hidden="1" ht="1" customHeight="1">
      <s:c r="A15150" s="120" t="inlineStr"/>
      <s:c r="B15150" s="121" t="n"/>
      <s:c r="C15150" s="121" t="n"/>
      <s:c r="D15150" s="121" t="n"/>
      <s:c r="E15150" s="122" t="n"/>
    </s:row>
    <s:row r="15151" hidden="1" ht="1" customHeight="1">
      <s:c r="A15151" s="120" t="inlineStr"/>
      <s:c r="B15151" s="121" t="n"/>
      <s:c r="C15151" s="121" t="n"/>
      <s:c r="D15151" s="121" t="n"/>
      <s:c r="E15151" s="122" t="n"/>
    </s:row>
    <s:row r="15152" hidden="1" ht="1" customHeight="1">
      <s:c r="A15152" s="120" t="inlineStr"/>
      <s:c r="B15152" s="121" t="n"/>
      <s:c r="C15152" s="121" t="n"/>
      <s:c r="D15152" s="121" t="n"/>
      <s:c r="E15152" s="122" t="n"/>
    </s:row>
    <s:row r="15153" hidden="1" ht="1" customHeight="1">
      <s:c r="A15153" s="120" t="inlineStr"/>
      <s:c r="B15153" s="121" t="n"/>
      <s:c r="C15153" s="121" t="n"/>
      <s:c r="D15153" s="121" t="n"/>
      <s:c r="E15153" s="122" t="n"/>
    </s:row>
    <s:row r="15154" hidden="1" ht="1" customHeight="1">
      <s:c r="A15154" s="120" t="inlineStr"/>
      <s:c r="B15154" s="121" t="n"/>
      <s:c r="C15154" s="121" t="n"/>
      <s:c r="D15154" s="121" t="n"/>
      <s:c r="E15154" s="122" t="n"/>
    </s:row>
    <s:row r="15155" hidden="1" ht="1" customHeight="1">
      <s:c r="A15155" s="120" t="inlineStr"/>
      <s:c r="B15155" s="121" t="n"/>
      <s:c r="C15155" s="121" t="n"/>
      <s:c r="D15155" s="121" t="n"/>
      <s:c r="E15155" s="122" t="n"/>
    </s:row>
    <s:row r="15156" hidden="1" ht="1" customHeight="1">
      <s:c r="A15156" s="120" t="inlineStr"/>
      <s:c r="B15156" s="121" t="n"/>
      <s:c r="C15156" s="121" t="n"/>
      <s:c r="D15156" s="121" t="n"/>
      <s:c r="E15156" s="122" t="n"/>
    </s:row>
    <s:row r="15157" hidden="1" ht="1" customHeight="1">
      <s:c r="A15157" s="120" t="inlineStr"/>
      <s:c r="B15157" s="121" t="n"/>
      <s:c r="C15157" s="121" t="n"/>
      <s:c r="D15157" s="121" t="n"/>
      <s:c r="E15157" s="122" t="n"/>
    </s:row>
    <s:row r="15158" hidden="1" ht="1" customHeight="1">
      <s:c r="A15158" s="120" t="inlineStr"/>
      <s:c r="B15158" s="121" t="n"/>
      <s:c r="C15158" s="121" t="n"/>
      <s:c r="D15158" s="121" t="n"/>
      <s:c r="E15158" s="122" t="n"/>
    </s:row>
    <s:row r="15159" hidden="1" ht="1" customHeight="1">
      <s:c r="A15159" s="120" t="inlineStr"/>
      <s:c r="B15159" s="121" t="n"/>
      <s:c r="C15159" s="121" t="n"/>
      <s:c r="D15159" s="121" t="n"/>
      <s:c r="E15159" s="122" t="n"/>
    </s:row>
    <s:row r="15160" hidden="1" ht="1" customHeight="1">
      <s:c r="A15160" s="120" t="inlineStr"/>
      <s:c r="B15160" s="121" t="n"/>
      <s:c r="C15160" s="121" t="n"/>
      <s:c r="D15160" s="121" t="n"/>
      <s:c r="E15160" s="122" t="n"/>
    </s:row>
    <s:row r="15161" hidden="1" ht="1" customHeight="1">
      <s:c r="A15161" s="120" t="inlineStr"/>
      <s:c r="B15161" s="121" t="n"/>
      <s:c r="C15161" s="121" t="n"/>
      <s:c r="D15161" s="121" t="n"/>
      <s:c r="E15161" s="122" t="n"/>
    </s:row>
    <s:row r="15162" hidden="1" ht="1" customHeight="1">
      <s:c r="A15162" s="120" t="inlineStr"/>
      <s:c r="B15162" s="121" t="n"/>
      <s:c r="C15162" s="121" t="n"/>
      <s:c r="D15162" s="121" t="n"/>
      <s:c r="E15162" s="122" t="n"/>
    </s:row>
    <s:row r="15163" hidden="1" ht="1" customHeight="1">
      <s:c r="A15163" s="120" t="inlineStr"/>
      <s:c r="B15163" s="121" t="n"/>
      <s:c r="C15163" s="121" t="n"/>
      <s:c r="D15163" s="121" t="n"/>
      <s:c r="E15163" s="122" t="n"/>
    </s:row>
    <s:row r="15164" hidden="1" ht="1" customHeight="1">
      <s:c r="A15164" s="120" t="inlineStr"/>
      <s:c r="B15164" s="121" t="n"/>
      <s:c r="C15164" s="121" t="n"/>
      <s:c r="D15164" s="121" t="n"/>
      <s:c r="E15164" s="122" t="n"/>
    </s:row>
    <s:row r="15165" hidden="1" ht="1" customHeight="1">
      <s:c r="A15165" s="120" t="inlineStr"/>
      <s:c r="B15165" s="121" t="n"/>
      <s:c r="C15165" s="121" t="n"/>
      <s:c r="D15165" s="121" t="n"/>
      <s:c r="E15165" s="122" t="n"/>
    </s:row>
    <s:row r="15166" hidden="1" ht="1" customHeight="1">
      <s:c r="A15166" s="120" t="inlineStr"/>
      <s:c r="B15166" s="121" t="n"/>
      <s:c r="C15166" s="121" t="n"/>
      <s:c r="D15166" s="121" t="n"/>
      <s:c r="E15166" s="122" t="n"/>
    </s:row>
    <s:row r="15167" hidden="1" ht="1" customHeight="1">
      <s:c r="A15167" s="120" t="inlineStr"/>
      <s:c r="B15167" s="121" t="n"/>
      <s:c r="C15167" s="121" t="n"/>
      <s:c r="D15167" s="121" t="n"/>
      <s:c r="E15167" s="122" t="n"/>
    </s:row>
    <s:row r="15168" hidden="1" ht="1" customHeight="1">
      <s:c r="A15168" s="120" t="inlineStr"/>
      <s:c r="B15168" s="121" t="n"/>
      <s:c r="C15168" s="121" t="n"/>
      <s:c r="D15168" s="121" t="n"/>
      <s:c r="E15168" s="122" t="n"/>
    </s:row>
    <s:row r="15169" hidden="1" ht="1" customHeight="1">
      <s:c r="A15169" s="120" t="inlineStr"/>
      <s:c r="B15169" s="121" t="n"/>
      <s:c r="C15169" s="121" t="n"/>
      <s:c r="D15169" s="121" t="n"/>
      <s:c r="E15169" s="122" t="n"/>
    </s:row>
    <s:row r="15170" hidden="1" ht="1" customHeight="1">
      <s:c r="A15170" s="120" t="inlineStr"/>
      <s:c r="B15170" s="121" t="n"/>
      <s:c r="C15170" s="121" t="n"/>
      <s:c r="D15170" s="121" t="n"/>
      <s:c r="E15170" s="122" t="n"/>
    </s:row>
    <s:row r="15171" hidden="1" ht="1" customHeight="1">
      <s:c r="A15171" s="120" t="inlineStr"/>
      <s:c r="B15171" s="121" t="n"/>
      <s:c r="C15171" s="121" t="n"/>
      <s:c r="D15171" s="121" t="n"/>
      <s:c r="E15171" s="122" t="n"/>
    </s:row>
    <s:row r="15172" hidden="1" ht="1" customHeight="1">
      <s:c r="A15172" s="120" t="inlineStr"/>
      <s:c r="B15172" s="121" t="n"/>
      <s:c r="C15172" s="121" t="n"/>
      <s:c r="D15172" s="121" t="n"/>
      <s:c r="E15172" s="122" t="n"/>
    </s:row>
    <s:row r="15173" hidden="1" ht="1" customHeight="1">
      <s:c r="A15173" s="120" t="inlineStr"/>
      <s:c r="B15173" s="121" t="n"/>
      <s:c r="C15173" s="121" t="n"/>
      <s:c r="D15173" s="121" t="n"/>
      <s:c r="E15173" s="122" t="n"/>
    </s:row>
    <s:row r="15174" hidden="1" ht="1" customHeight="1">
      <s:c r="A15174" s="83" t="inlineStr">
        <s:is>
          <s:t>PASS</s:t>
        </s:is>
      </s:c>
      <s:c r="B15174" s="83">
        <s:f>SUM(IF(EXACT('Kiểm thử'!E15124,"Đạt"),1,0))</s:f>
        <s:v/>
      </s:c>
      <s:c r="C15174" s="19" t="n"/>
      <s:c r="D15174" s="19" t="n"/>
      <s:c r="E15174" s="19" t="n"/>
    </s:row>
    <s:row r="15175" hidden="1" ht="1" customHeight="1">
      <s:c r="A15175" s="83" t="inlineStr">
        <s:is>
          <s:t>FAIL</s:t>
        </s:is>
      </s:c>
      <s:c r="B15175" s="83">
        <s:f>SUM(IF(EXACT('Kiểm thử'!E15124,"Không đạt"),1,0))</s:f>
        <s:v/>
      </s:c>
      <s:c r="C15175" s="19" t="n"/>
      <s:c r="D15175" s="19" t="n"/>
      <s:c r="E15175" s="19" t="n"/>
    </s:row>
    <s:row r="15176" hidden="1" ht="1" customHeight="1">
      <s:c r="A15176" s="83" t="inlineStr">
        <s:is>
          <s:t>BLOCKED</s:t>
        </s:is>
      </s:c>
      <s:c r="B15176" s="83">
        <s:f>SUM(IF(EXACT('Kiểm thử'!E15124,"Bị chặn"),1,0))</s:f>
        <s:v/>
      </s:c>
      <s:c r="C15176" s="19" t="n"/>
      <s:c r="D15176" s="19" t="n"/>
      <s:c r="E15176" s="19" t="n"/>
    </s:row>
    <s:row r="15177" hidden="1" ht="1" customHeight="1">
      <s:c r="A15177" s="83" t="inlineStr">
        <s:is>
          <s:t>SKIPPED</s:t>
        </s:is>
      </s:c>
      <s:c r="B15177" s="83">
        <s:f>SUM(IF(EXACT('Kiểm thử'!E15124,"Không thực hiện"),1,0))</s:f>
        <s:v/>
      </s:c>
      <s:c r="C15177" s="19" t="n"/>
      <s:c r="D15177" s="19" t="n"/>
      <s:c r="E15177" s="19" t="n"/>
    </s:row>
    <s:row r="15178" hidden="1" ht="1" customHeight="1">
      <s:c r="A15178" s="83" t="inlineStr">
        <s:is>
          <s:t>NOT RUN</s:t>
        </s:is>
      </s:c>
      <s:c r="B15178" s="83">
        <s:f>SUM(IF(EXACT('Kiểm thử'!E15124,"Chưa thực hiện"),1,0))</s:f>
        <s:v/>
      </s:c>
      <s:c r="C15178" s="19" t="n"/>
      <s:c r="D15178" s="19" t="n"/>
      <s:c r="E15178" s="19" t="n"/>
    </s:row>
    <s:row r="15179" hidden="1" ht="6" customHeight="1">
      <s:c r="A15179" s="83" t="inlineStr"/>
      <s:c r="B15179" s="19" t="n"/>
      <s:c r="C15179" s="19" t="n"/>
      <s:c r="D15179" s="19" t="n"/>
      <s:c r="E15179" s="19" t="n"/>
    </s:row>
    <s:row r="15180" ht="28" customHeight="1">
      <s:c r="A15180" s="108" t="inlineStr">
        <s:is>
          <s:t>TC-RS-BR-037 — Xóa hoặc thôi dùng điểm đơn vị thì ngừng kết quả đỏ cũ của ô đó</s:t>
        </s:is>
      </s:c>
      <s:c r="B15180" s="111" t="n"/>
      <s:c r="C15180" s="111" t="n"/>
      <s:c r="D15180" s="111" t="n"/>
      <s:c r="E15180" s="111" t="n"/>
    </s:row>
    <s:row r="15181" ht="20" customHeight="1">
      <s:c r="A15181" s="112" t="inlineStr">
        <s:is>
          <s:t>Kết quả tình huống</s:t>
        </s:is>
      </s:c>
      <s:c r="B15181" s="113">
        <s:f>IF(SUM(IF(EXACT('Kiểm thử'!E15191,"Không đạt"),1,0),IF(EXACT('Kiểm thử'!E15193,"Không đạt"),1,0))&gt;0,"Không đạt",IF(SUM(IF(EXACT('Kiểm thử'!E15191,"Đạt"),1,0),IF(EXACT('Kiểm thử'!E15193,"Đạt"),1,0))=2,"Đạt",IF(SUM(IF(EXACT('Kiểm thử'!E15191,"Không thực hiện"),1,0),IF(EXACT('Kiểm thử'!E15193,"Không thực hiện"),1,0))=2,"Không thực hiện",IF(SUM(IF(EXACT('Kiểm thử'!E15191,"Bị chặn"),1,0),IF(EXACT('Kiểm thử'!E15193,"Bị chặn"),1,0))&gt;0,"Bị chặn",IF(SUM(IF(EXACT('Kiểm thử'!E15191,"Chưa thực hiện"),1,0),IF(EXACT('Kiểm thử'!E15193,"Chưa thực hiện"),1,0))=2,"Chưa thực hiện","Đang thực hiện")))))</s:f>
        <s:v/>
      </s:c>
      <s:c r="C15181" s="114" t="n"/>
      <s:c r="D15181" s="114" t="n"/>
      <s:c r="E15181" s="114" t="n"/>
    </s:row>
    <s:row r="15182" ht="20" customHeight="1">
      <s:c r="A15182" s="112" t="inlineStr">
        <s:is>
          <s:t>Màn hình / chức năng</s:t>
        </s:is>
      </s:c>
      <s:c r="B15182" s="113" t="inlineStr">
        <s:is>
          <s:t>Vòng đời kết quả</s:t>
        </s:is>
      </s:c>
      <s:c r="C15182" s="28" t="n"/>
      <s:c r="D15182" s="28" t="n"/>
      <s:c r="E15182" s="28" t="n"/>
    </s:row>
    <s:row r="15183" ht="48" customHeight="1">
      <s:c r="A15183" s="112" t="inlineStr">
        <s:is>
          <s:t>Cấu hình</s:t>
        </s:is>
      </s:c>
      <s:c r="B15183" s="113" t="inlineStr">
        <s:is>
          <s:t>• Mục điểm đơn vị (đơn vị U1 có M riêng 40) có quy tắc “Cố định 30” (dưới 30). S06 (G-B): U1 = 25, U2 = 35 đã đăng ký;
• U1 đang Đỏ, U2 Không đỏ (như case “Ô điểm đơn vị được xét riêng theo từng đơn vị”).</s:t>
        </s:is>
      </s:c>
      <s:c r="C15183" s="28" t="n"/>
      <s:c r="D15183" s="28" t="n"/>
      <s:c r="E15183" s="28" t="n"/>
    </s:row>
    <s:row r="15184" ht="62" customHeight="1">
      <s:c r="A15184" s="112" t="inlineStr">
        <s:is>
          <s:t>Dữ liệu test</s:t>
        </s:is>
      </s:c>
      <s:c r="B15184" s="113" t="inlineStr">
        <s:is>
          <s:t>• Mục điểm đơn vị (đơn vị U1 có M riêng 40);
• Quy tắc “Cố định 30” (dưới 30);
• Các lớp học phần G-A, G-B, G-C;
• Học sinh S06 (điểm dự kiến 24)</s:t>
        </s:is>
      </s:c>
      <s:c r="C15184" s="28" t="n"/>
      <s:c r="D15184" s="28" t="n"/>
      <s:c r="E15184" s="28" t="n"/>
    </s:row>
    <s:row r="15185" ht="20" customHeight="1">
      <s:c r="A15185" s="112" t="inlineStr">
        <s:is>
          <s:t>Bước 1</s:t>
        </s:is>
      </s:c>
      <s:c r="B15185" s="113" t="inlineStr">
        <s:is>
          <s:t>Xác nhận U1 Đỏ ở ba đầu ra.</s:t>
        </s:is>
      </s:c>
      <s:c r="C15185" s="28" t="n"/>
      <s:c r="D15185" s="28" t="n"/>
      <s:c r="E15185" s="28" t="n"/>
    </s:row>
    <s:row r="15186" ht="20" customHeight="1">
      <s:c r="A15186" s="112" t="inlineStr">
        <s:is>
          <s:t>Bước 2</s:t>
        </s:is>
      </s:c>
      <s:c r="B15186" s="113" t="inlineStr">
        <s:is>
          <s:t>Biến thể (a): xóa điểm U1 của S06 thành trống rồi lưu.</s:t>
        </s:is>
      </s:c>
      <s:c r="C15186" s="28" t="n"/>
      <s:c r="D15186" s="28" t="n"/>
      <s:c r="E15186" s="28" t="n"/>
    </s:row>
    <s:row r="15187" ht="34" customHeight="1">
      <s:c r="A15187" s="112" t="inlineStr">
        <s:is>
          <s:t>Bước 3</s:t>
        </s:is>
      </s:c>
      <s:c r="B15187" s="113" t="inlineStr">
        <s:is>
          <s:t>Khôi phục/rebuild fixture U1 Đỏ, U2 Không đỏ; biến thể (b): thôi dùng đơn vị U1 cho lớp G-B theo thao tác hiện có (nếu màn hỗ trợ), rồi đăng ký lại hoặc chạy nút cam cho G-B.</s:t>
        </s:is>
      </s:c>
      <s:c r="C15187" s="28" t="n"/>
      <s:c r="D15187" s="28" t="n"/>
      <s:c r="E15187" s="28" t="n"/>
    </s:row>
    <s:row r="15188" ht="20" customHeight="1">
      <s:c r="A15188" s="112" t="inlineStr">
        <s:is>
          <s:t>Bước 4</s:t>
        </s:is>
      </s:c>
      <s:c r="B15188" s="113" t="inlineStr">
        <s:is>
          <s:t>Xem ba đầu ra và bộ lọc đỏ của trích xuất.</s:t>
        </s:is>
      </s:c>
      <s:c r="C15188" s="28" t="n"/>
      <s:c r="D15188" s="28" t="n"/>
      <s:c r="E15188" s="28" t="n"/>
    </s:row>
    <s:row r="15189" ht="28" customHeight="1">
      <s:c r="A15189" s="115" t="inlineStr">
        <s:is>
          <s:t>Trường hợp</s:t>
        </s:is>
      </s:c>
      <s:c r="B15189" s="115" t="inlineStr">
        <s:is>
          <s:t>Dữ liệu / thao tác riêng</s:t>
        </s:is>
      </s:c>
      <s:c r="C15189" s="115" t="inlineStr">
        <s:is>
          <s:t>Kết quả mong đợi</s:t>
        </s:is>
      </s:c>
      <s:c r="D15189" s="115" t="inlineStr">
        <s:is>
          <s:t>Kết quả thực tế</s:t>
        </s:is>
      </s:c>
      <s:c r="E15189" s="115" t="inlineStr">
        <s:is>
          <s:t>Đánh giá</s:t>
        </s:is>
      </s:c>
    </s:row>
    <s:row r="15190" ht="3" customHeight="1">
      <s:c r="A15190" s="102" t="inlineStr"/>
      <s:c r="B15190" s="99" t="n"/>
      <s:c r="C15190" s="99" t="n"/>
      <s:c r="D15190" s="116" t="n"/>
      <s:c r="E15190" s="116" t="n"/>
    </s:row>
    <s:row r="15191" ht="90" customHeight="1">
      <s:c r="A15191" s="83" t="inlineStr">
        <s:is>
          <s:t>Xóa điểm đơn vị (delete-unit)</s:t>
        </s:is>
      </s:c>
      <s:c r="B15191" s="83" t="inlineStr">
        <s:is>
          <s:t>Reset S06/G-B U1=25 Đỏ, U2=35 Không đỏ; xóa trống điểm U1 và lưu, đọc ba đầu ra và bộ lọc đỏ.</s:t>
        </s:is>
      </s:c>
      <s:c r="C15191" s="83" t="inlineStr">
        <s:is>
          <s:r>
            <s:t xml:space="preserve">1. Mỗi biến thể dùng fixture độc lập. Sau (a) hoặc (b), ô U1 của S06 trong fixture tương ứng không còn dấu đỏ ở ba đầu ra; bộ lọc đỏ không giữ S06 chỉ vì U1 cũ.
2. U2 giữ kết quả </s:t>
          </s:r>
          <s:r>
            <s:rPr>
              <s:b val="1"/>
            </s:rPr>
            <s:t>Không đỏ</s:t>
          </s:r>
          <s:r>
            <s:t>; không bị gộp hay xét lại sai.</s:t>
          </s:r>
        </s:is>
      </s:c>
      <s:c r="D15191" s="117" t="inlineStr"/>
      <s:c r="E15191" s="118" t="inlineStr">
        <s:is>
          <s:t>Chưa thực hiện</s:t>
        </s:is>
      </s:c>
    </s:row>
    <s:row r="15192" ht="3" customHeight="1">
      <s:c r="A15192" s="102" t="inlineStr"/>
      <s:c r="B15192" s="99" t="n"/>
      <s:c r="C15192" s="99" t="n"/>
      <s:c r="D15192" s="116" t="n"/>
      <s:c r="E15192" s="116" t="n"/>
    </s:row>
    <s:row r="15193" ht="90" customHeight="1">
      <s:c r="A15193" s="83" t="inlineStr">
        <s:is>
          <s:t>Thôi sử dụng đơn vị (disable-unit)</s:t>
        </s:is>
      </s:c>
      <s:c r="B15193" s="83" t="inlineStr">
        <s:is>
          <s:t>Reset S06/G-B U1=25 Đỏ, U2=35 Không đỏ; thôi dùng U1 theo thao tác hiện có nếu hỗ trợ, rồi đăng ký lại hoặc chạy nút cam G-B; đọc ba đầu ra.</s:t>
        </s:is>
      </s:c>
      <s:c r="C15193" s="83" t="inlineStr">
        <s:is>
          <s:r>
            <s:t xml:space="preserve">1. Mỗi biến thể dùng fixture độc lập. Sau (a) hoặc (b), ô U1 của S06 trong fixture tương ứng không còn dấu đỏ ở ba đầu ra; bộ lọc đỏ không giữ S06 chỉ vì U1 cũ.
2. U2 giữ kết quả </s:t>
          </s:r>
          <s:r>
            <s:rPr>
              <s:b val="1"/>
            </s:rPr>
            <s:t>Không đỏ</s:t>
          </s:r>
          <s:r>
            <s:t>; không bị gộp hay xét lại sai.</s:t>
          </s:r>
        </s:is>
      </s:c>
      <s:c r="D15193" s="117" t="inlineStr"/>
      <s:c r="E15193" s="118" t="inlineStr">
        <s:is>
          <s:t>Chưa thực hiện</s:t>
        </s:is>
      </s:c>
    </s:row>
    <s:row r="15194" ht="20" customHeight="1">
      <s:c r="A15194" s="119" t="inlineStr">
        <s:is>
          <s:t>Ảnh minh chứng — Chưa có ảnh</s:t>
        </s:is>
      </s:c>
      <s:c r="B15194" s="19" t="n"/>
      <s:c r="C15194" s="19" t="n"/>
      <s:c r="D15194" s="19" t="n"/>
      <s:c r="E15194" s="19" t="n"/>
    </s:row>
    <s:row r="15195" hidden="1" ht="1" customHeight="1">
      <s:c r="A15195" s="120" t="inlineStr"/>
      <s:c r="B15195" s="121" t="n"/>
      <s:c r="C15195" s="121" t="n"/>
      <s:c r="D15195" s="121" t="n"/>
      <s:c r="E15195" s="122" t="n"/>
    </s:row>
    <s:row r="15196" hidden="1" ht="1" customHeight="1">
      <s:c r="A15196" s="120" t="inlineStr"/>
      <s:c r="B15196" s="121" t="n"/>
      <s:c r="C15196" s="121" t="n"/>
      <s:c r="D15196" s="121" t="n"/>
      <s:c r="E15196" s="122" t="n"/>
    </s:row>
    <s:row r="15197" hidden="1" ht="1" customHeight="1">
      <s:c r="A15197" s="120" t="inlineStr"/>
      <s:c r="B15197" s="121" t="n"/>
      <s:c r="C15197" s="121" t="n"/>
      <s:c r="D15197" s="121" t="n"/>
      <s:c r="E15197" s="122" t="n"/>
    </s:row>
    <s:row r="15198" hidden="1" ht="1" customHeight="1">
      <s:c r="A15198" s="120" t="inlineStr"/>
      <s:c r="B15198" s="121" t="n"/>
      <s:c r="C15198" s="121" t="n"/>
      <s:c r="D15198" s="121" t="n"/>
      <s:c r="E15198" s="122" t="n"/>
    </s:row>
    <s:row r="15199" hidden="1" ht="1" customHeight="1">
      <s:c r="A15199" s="120" t="inlineStr"/>
      <s:c r="B15199" s="121" t="n"/>
      <s:c r="C15199" s="121" t="n"/>
      <s:c r="D15199" s="121" t="n"/>
      <s:c r="E15199" s="122" t="n"/>
    </s:row>
    <s:row r="15200" hidden="1" ht="1" customHeight="1">
      <s:c r="A15200" s="120" t="inlineStr"/>
      <s:c r="B15200" s="121" t="n"/>
      <s:c r="C15200" s="121" t="n"/>
      <s:c r="D15200" s="121" t="n"/>
      <s:c r="E15200" s="122" t="n"/>
    </s:row>
    <s:row r="15201" hidden="1" ht="1" customHeight="1">
      <s:c r="A15201" s="120" t="inlineStr"/>
      <s:c r="B15201" s="121" t="n"/>
      <s:c r="C15201" s="121" t="n"/>
      <s:c r="D15201" s="121" t="n"/>
      <s:c r="E15201" s="122" t="n"/>
    </s:row>
    <s:row r="15202" hidden="1" ht="1" customHeight="1">
      <s:c r="A15202" s="120" t="inlineStr"/>
      <s:c r="B15202" s="121" t="n"/>
      <s:c r="C15202" s="121" t="n"/>
      <s:c r="D15202" s="121" t="n"/>
      <s:c r="E15202" s="122" t="n"/>
    </s:row>
    <s:row r="15203" hidden="1" ht="1" customHeight="1">
      <s:c r="A15203" s="120" t="inlineStr"/>
      <s:c r="B15203" s="121" t="n"/>
      <s:c r="C15203" s="121" t="n"/>
      <s:c r="D15203" s="121" t="n"/>
      <s:c r="E15203" s="122" t="n"/>
    </s:row>
    <s:row r="15204" hidden="1" ht="1" customHeight="1">
      <s:c r="A15204" s="120" t="inlineStr"/>
      <s:c r="B15204" s="121" t="n"/>
      <s:c r="C15204" s="121" t="n"/>
      <s:c r="D15204" s="121" t="n"/>
      <s:c r="E15204" s="122" t="n"/>
    </s:row>
    <s:row r="15205" hidden="1" ht="1" customHeight="1">
      <s:c r="A15205" s="120" t="inlineStr"/>
      <s:c r="B15205" s="121" t="n"/>
      <s:c r="C15205" s="121" t="n"/>
      <s:c r="D15205" s="121" t="n"/>
      <s:c r="E15205" s="122" t="n"/>
    </s:row>
    <s:row r="15206" hidden="1" ht="1" customHeight="1">
      <s:c r="A15206" s="120" t="inlineStr"/>
      <s:c r="B15206" s="121" t="n"/>
      <s:c r="C15206" s="121" t="n"/>
      <s:c r="D15206" s="121" t="n"/>
      <s:c r="E15206" s="122" t="n"/>
    </s:row>
    <s:row r="15207" hidden="1" ht="1" customHeight="1">
      <s:c r="A15207" s="120" t="inlineStr"/>
      <s:c r="B15207" s="121" t="n"/>
      <s:c r="C15207" s="121" t="n"/>
      <s:c r="D15207" s="121" t="n"/>
      <s:c r="E15207" s="122" t="n"/>
    </s:row>
    <s:row r="15208" hidden="1" ht="1" customHeight="1">
      <s:c r="A15208" s="120" t="inlineStr"/>
      <s:c r="B15208" s="121" t="n"/>
      <s:c r="C15208" s="121" t="n"/>
      <s:c r="D15208" s="121" t="n"/>
      <s:c r="E15208" s="122" t="n"/>
    </s:row>
    <s:row r="15209" hidden="1" ht="1" customHeight="1">
      <s:c r="A15209" s="120" t="inlineStr"/>
      <s:c r="B15209" s="121" t="n"/>
      <s:c r="C15209" s="121" t="n"/>
      <s:c r="D15209" s="121" t="n"/>
      <s:c r="E15209" s="122" t="n"/>
    </s:row>
    <s:row r="15210" hidden="1" ht="1" customHeight="1">
      <s:c r="A15210" s="120" t="inlineStr"/>
      <s:c r="B15210" s="121" t="n"/>
      <s:c r="C15210" s="121" t="n"/>
      <s:c r="D15210" s="121" t="n"/>
      <s:c r="E15210" s="122" t="n"/>
    </s:row>
    <s:row r="15211" hidden="1" ht="1" customHeight="1">
      <s:c r="A15211" s="120" t="inlineStr"/>
      <s:c r="B15211" s="121" t="n"/>
      <s:c r="C15211" s="121" t="n"/>
      <s:c r="D15211" s="121" t="n"/>
      <s:c r="E15211" s="122" t="n"/>
    </s:row>
    <s:row r="15212" hidden="1" ht="1" customHeight="1">
      <s:c r="A15212" s="120" t="inlineStr"/>
      <s:c r="B15212" s="121" t="n"/>
      <s:c r="C15212" s="121" t="n"/>
      <s:c r="D15212" s="121" t="n"/>
      <s:c r="E15212" s="122" t="n"/>
    </s:row>
    <s:row r="15213" hidden="1" ht="1" customHeight="1">
      <s:c r="A15213" s="120" t="inlineStr"/>
      <s:c r="B15213" s="121" t="n"/>
      <s:c r="C15213" s="121" t="n"/>
      <s:c r="D15213" s="121" t="n"/>
      <s:c r="E15213" s="122" t="n"/>
    </s:row>
    <s:row r="15214" hidden="1" ht="1" customHeight="1">
      <s:c r="A15214" s="120" t="inlineStr"/>
      <s:c r="B15214" s="121" t="n"/>
      <s:c r="C15214" s="121" t="n"/>
      <s:c r="D15214" s="121" t="n"/>
      <s:c r="E15214" s="122" t="n"/>
    </s:row>
    <s:row r="15215" hidden="1" ht="1" customHeight="1">
      <s:c r="A15215" s="120" t="inlineStr"/>
      <s:c r="B15215" s="121" t="n"/>
      <s:c r="C15215" s="121" t="n"/>
      <s:c r="D15215" s="121" t="n"/>
      <s:c r="E15215" s="122" t="n"/>
    </s:row>
    <s:row r="15216" hidden="1" ht="1" customHeight="1">
      <s:c r="A15216" s="120" t="inlineStr"/>
      <s:c r="B15216" s="121" t="n"/>
      <s:c r="C15216" s="121" t="n"/>
      <s:c r="D15216" s="121" t="n"/>
      <s:c r="E15216" s="122" t="n"/>
    </s:row>
    <s:row r="15217" hidden="1" ht="1" customHeight="1">
      <s:c r="A15217" s="120" t="inlineStr"/>
      <s:c r="B15217" s="121" t="n"/>
      <s:c r="C15217" s="121" t="n"/>
      <s:c r="D15217" s="121" t="n"/>
      <s:c r="E15217" s="122" t="n"/>
    </s:row>
    <s:row r="15218" hidden="1" ht="1" customHeight="1">
      <s:c r="A15218" s="120" t="inlineStr"/>
      <s:c r="B15218" s="121" t="n"/>
      <s:c r="C15218" s="121" t="n"/>
      <s:c r="D15218" s="121" t="n"/>
      <s:c r="E15218" s="122" t="n"/>
    </s:row>
    <s:row r="15219" hidden="1" ht="1" customHeight="1">
      <s:c r="A15219" s="120" t="inlineStr"/>
      <s:c r="B15219" s="121" t="n"/>
      <s:c r="C15219" s="121" t="n"/>
      <s:c r="D15219" s="121" t="n"/>
      <s:c r="E15219" s="122" t="n"/>
    </s:row>
    <s:row r="15220" hidden="1" ht="1" customHeight="1">
      <s:c r="A15220" s="120" t="inlineStr"/>
      <s:c r="B15220" s="121" t="n"/>
      <s:c r="C15220" s="121" t="n"/>
      <s:c r="D15220" s="121" t="n"/>
      <s:c r="E15220" s="122" t="n"/>
    </s:row>
    <s:row r="15221" hidden="1" ht="1" customHeight="1">
      <s:c r="A15221" s="120" t="inlineStr"/>
      <s:c r="B15221" s="121" t="n"/>
      <s:c r="C15221" s="121" t="n"/>
      <s:c r="D15221" s="121" t="n"/>
      <s:c r="E15221" s="122" t="n"/>
    </s:row>
    <s:row r="15222" hidden="1" ht="1" customHeight="1">
      <s:c r="A15222" s="120" t="inlineStr"/>
      <s:c r="B15222" s="121" t="n"/>
      <s:c r="C15222" s="121" t="n"/>
      <s:c r="D15222" s="121" t="n"/>
      <s:c r="E15222" s="122" t="n"/>
    </s:row>
    <s:row r="15223" hidden="1" ht="1" customHeight="1">
      <s:c r="A15223" s="120" t="inlineStr"/>
      <s:c r="B15223" s="121" t="n"/>
      <s:c r="C15223" s="121" t="n"/>
      <s:c r="D15223" s="121" t="n"/>
      <s:c r="E15223" s="122" t="n"/>
    </s:row>
    <s:row r="15224" hidden="1" ht="1" customHeight="1">
      <s:c r="A15224" s="120" t="inlineStr"/>
      <s:c r="B15224" s="121" t="n"/>
      <s:c r="C15224" s="121" t="n"/>
      <s:c r="D15224" s="121" t="n"/>
      <s:c r="E15224" s="122" t="n"/>
    </s:row>
    <s:row r="15225" hidden="1" ht="1" customHeight="1">
      <s:c r="A15225" s="120" t="inlineStr"/>
      <s:c r="B15225" s="121" t="n"/>
      <s:c r="C15225" s="121" t="n"/>
      <s:c r="D15225" s="121" t="n"/>
      <s:c r="E15225" s="122" t="n"/>
    </s:row>
    <s:row r="15226" hidden="1" ht="1" customHeight="1">
      <s:c r="A15226" s="120" t="inlineStr"/>
      <s:c r="B15226" s="121" t="n"/>
      <s:c r="C15226" s="121" t="n"/>
      <s:c r="D15226" s="121" t="n"/>
      <s:c r="E15226" s="122" t="n"/>
    </s:row>
    <s:row r="15227" hidden="1" ht="1" customHeight="1">
      <s:c r="A15227" s="120" t="inlineStr"/>
      <s:c r="B15227" s="121" t="n"/>
      <s:c r="C15227" s="121" t="n"/>
      <s:c r="D15227" s="121" t="n"/>
      <s:c r="E15227" s="122" t="n"/>
    </s:row>
    <s:row r="15228" hidden="1" ht="1" customHeight="1">
      <s:c r="A15228" s="120" t="inlineStr"/>
      <s:c r="B15228" s="121" t="n"/>
      <s:c r="C15228" s="121" t="n"/>
      <s:c r="D15228" s="121" t="n"/>
      <s:c r="E15228" s="122" t="n"/>
    </s:row>
    <s:row r="15229" hidden="1" ht="1" customHeight="1">
      <s:c r="A15229" s="120" t="inlineStr"/>
      <s:c r="B15229" s="121" t="n"/>
      <s:c r="C15229" s="121" t="n"/>
      <s:c r="D15229" s="121" t="n"/>
      <s:c r="E15229" s="122" t="n"/>
    </s:row>
    <s:row r="15230" hidden="1" ht="1" customHeight="1">
      <s:c r="A15230" s="120" t="inlineStr"/>
      <s:c r="B15230" s="121" t="n"/>
      <s:c r="C15230" s="121" t="n"/>
      <s:c r="D15230" s="121" t="n"/>
      <s:c r="E15230" s="122" t="n"/>
    </s:row>
    <s:row r="15231" hidden="1" ht="1" customHeight="1">
      <s:c r="A15231" s="120" t="inlineStr"/>
      <s:c r="B15231" s="121" t="n"/>
      <s:c r="C15231" s="121" t="n"/>
      <s:c r="D15231" s="121" t="n"/>
      <s:c r="E15231" s="122" t="n"/>
    </s:row>
    <s:row r="15232" hidden="1" ht="1" customHeight="1">
      <s:c r="A15232" s="120" t="inlineStr"/>
      <s:c r="B15232" s="121" t="n"/>
      <s:c r="C15232" s="121" t="n"/>
      <s:c r="D15232" s="121" t="n"/>
      <s:c r="E15232" s="122" t="n"/>
    </s:row>
    <s:row r="15233" hidden="1" ht="1" customHeight="1">
      <s:c r="A15233" s="120" t="inlineStr"/>
      <s:c r="B15233" s="121" t="n"/>
      <s:c r="C15233" s="121" t="n"/>
      <s:c r="D15233" s="121" t="n"/>
      <s:c r="E15233" s="122" t="n"/>
    </s:row>
    <s:row r="15234" hidden="1" ht="1" customHeight="1">
      <s:c r="A15234" s="120" t="inlineStr"/>
      <s:c r="B15234" s="121" t="n"/>
      <s:c r="C15234" s="121" t="n"/>
      <s:c r="D15234" s="121" t="n"/>
      <s:c r="E15234" s="122" t="n"/>
    </s:row>
    <s:row r="15235" hidden="1" ht="1" customHeight="1">
      <s:c r="A15235" s="120" t="inlineStr"/>
      <s:c r="B15235" s="121" t="n"/>
      <s:c r="C15235" s="121" t="n"/>
      <s:c r="D15235" s="121" t="n"/>
      <s:c r="E15235" s="122" t="n"/>
    </s:row>
    <s:row r="15236" hidden="1" ht="1" customHeight="1">
      <s:c r="A15236" s="120" t="inlineStr"/>
      <s:c r="B15236" s="121" t="n"/>
      <s:c r="C15236" s="121" t="n"/>
      <s:c r="D15236" s="121" t="n"/>
      <s:c r="E15236" s="122" t="n"/>
    </s:row>
    <s:row r="15237" hidden="1" ht="1" customHeight="1">
      <s:c r="A15237" s="120" t="inlineStr"/>
      <s:c r="B15237" s="121" t="n"/>
      <s:c r="C15237" s="121" t="n"/>
      <s:c r="D15237" s="121" t="n"/>
      <s:c r="E15237" s="122" t="n"/>
    </s:row>
    <s:row r="15238" hidden="1" ht="1" customHeight="1">
      <s:c r="A15238" s="120" t="inlineStr"/>
      <s:c r="B15238" s="121" t="n"/>
      <s:c r="C15238" s="121" t="n"/>
      <s:c r="D15238" s="121" t="n"/>
      <s:c r="E15238" s="122" t="n"/>
    </s:row>
    <s:row r="15239" hidden="1" ht="1" customHeight="1">
      <s:c r="A15239" s="120" t="inlineStr"/>
      <s:c r="B15239" s="121" t="n"/>
      <s:c r="C15239" s="121" t="n"/>
      <s:c r="D15239" s="121" t="n"/>
      <s:c r="E15239" s="122" t="n"/>
    </s:row>
    <s:row r="15240" hidden="1" ht="1" customHeight="1">
      <s:c r="A15240" s="120" t="inlineStr"/>
      <s:c r="B15240" s="121" t="n"/>
      <s:c r="C15240" s="121" t="n"/>
      <s:c r="D15240" s="121" t="n"/>
      <s:c r="E15240" s="122" t="n"/>
    </s:row>
    <s:row r="15241" hidden="1" ht="1" customHeight="1">
      <s:c r="A15241" s="120" t="inlineStr"/>
      <s:c r="B15241" s="121" t="n"/>
      <s:c r="C15241" s="121" t="n"/>
      <s:c r="D15241" s="121" t="n"/>
      <s:c r="E15241" s="122" t="n"/>
    </s:row>
    <s:row r="15242" hidden="1" ht="1" customHeight="1">
      <s:c r="A15242" s="120" t="inlineStr"/>
      <s:c r="B15242" s="121" t="n"/>
      <s:c r="C15242" s="121" t="n"/>
      <s:c r="D15242" s="121" t="n"/>
      <s:c r="E15242" s="122" t="n"/>
    </s:row>
    <s:row r="15243" hidden="1" ht="1" customHeight="1">
      <s:c r="A15243" s="120" t="inlineStr"/>
      <s:c r="B15243" s="121" t="n"/>
      <s:c r="C15243" s="121" t="n"/>
      <s:c r="D15243" s="121" t="n"/>
      <s:c r="E15243" s="122" t="n"/>
    </s:row>
    <s:row r="15244" hidden="1" ht="1" customHeight="1">
      <s:c r="A15244" s="120" t="inlineStr"/>
      <s:c r="B15244" s="121" t="n"/>
      <s:c r="C15244" s="121" t="n"/>
      <s:c r="D15244" s="121" t="n"/>
      <s:c r="E15244" s="122" t="n"/>
    </s:row>
    <s:row r="15245" hidden="1" ht="1" customHeight="1">
      <s:c r="A15245" s="120" t="inlineStr"/>
      <s:c r="B15245" s="121" t="n"/>
      <s:c r="C15245" s="121" t="n"/>
      <s:c r="D15245" s="121" t="n"/>
      <s:c r="E15245" s="122" t="n"/>
    </s:row>
    <s:row r="15246" hidden="1" ht="1" customHeight="1">
      <s:c r="A15246" s="120" t="inlineStr"/>
      <s:c r="B15246" s="121" t="n"/>
      <s:c r="C15246" s="121" t="n"/>
      <s:c r="D15246" s="121" t="n"/>
      <s:c r="E15246" s="122" t="n"/>
    </s:row>
    <s:row r="15247" hidden="1" ht="1" customHeight="1">
      <s:c r="A15247" s="120" t="inlineStr"/>
      <s:c r="B15247" s="121" t="n"/>
      <s:c r="C15247" s="121" t="n"/>
      <s:c r="D15247" s="121" t="n"/>
      <s:c r="E15247" s="122" t="n"/>
    </s:row>
    <s:row r="15248" hidden="1" ht="1" customHeight="1">
      <s:c r="A15248" s="120" t="inlineStr"/>
      <s:c r="B15248" s="121" t="n"/>
      <s:c r="C15248" s="121" t="n"/>
      <s:c r="D15248" s="121" t="n"/>
      <s:c r="E15248" s="122" t="n"/>
    </s:row>
    <s:row r="15249" hidden="1" ht="1" customHeight="1">
      <s:c r="A15249" s="120" t="inlineStr"/>
      <s:c r="B15249" s="121" t="n"/>
      <s:c r="C15249" s="121" t="n"/>
      <s:c r="D15249" s="121" t="n"/>
      <s:c r="E15249" s="122" t="n"/>
    </s:row>
    <s:row r="15250" hidden="1" ht="1" customHeight="1">
      <s:c r="A15250" s="120" t="inlineStr"/>
      <s:c r="B15250" s="121" t="n"/>
      <s:c r="C15250" s="121" t="n"/>
      <s:c r="D15250" s="121" t="n"/>
      <s:c r="E15250" s="122" t="n"/>
    </s:row>
    <s:row r="15251" hidden="1" ht="1" customHeight="1">
      <s:c r="A15251" s="120" t="inlineStr"/>
      <s:c r="B15251" s="121" t="n"/>
      <s:c r="C15251" s="121" t="n"/>
      <s:c r="D15251" s="121" t="n"/>
      <s:c r="E15251" s="122" t="n"/>
    </s:row>
    <s:row r="15252" hidden="1" ht="1" customHeight="1">
      <s:c r="A15252" s="120" t="inlineStr"/>
      <s:c r="B15252" s="121" t="n"/>
      <s:c r="C15252" s="121" t="n"/>
      <s:c r="D15252" s="121" t="n"/>
      <s:c r="E15252" s="122" t="n"/>
    </s:row>
    <s:row r="15253" hidden="1" ht="1" customHeight="1">
      <s:c r="A15253" s="120" t="inlineStr"/>
      <s:c r="B15253" s="121" t="n"/>
      <s:c r="C15253" s="121" t="n"/>
      <s:c r="D15253" s="121" t="n"/>
      <s:c r="E15253" s="122" t="n"/>
    </s:row>
    <s:row r="15254" hidden="1" ht="1" customHeight="1">
      <s:c r="A15254" s="120" t="inlineStr"/>
      <s:c r="B15254" s="121" t="n"/>
      <s:c r="C15254" s="121" t="n"/>
      <s:c r="D15254" s="121" t="n"/>
      <s:c r="E15254" s="122" t="n"/>
    </s:row>
    <s:row r="15255" hidden="1" ht="1" customHeight="1">
      <s:c r="A15255" s="120" t="inlineStr"/>
      <s:c r="B15255" s="121" t="n"/>
      <s:c r="C15255" s="121" t="n"/>
      <s:c r="D15255" s="121" t="n"/>
      <s:c r="E15255" s="122" t="n"/>
    </s:row>
    <s:row r="15256" hidden="1" ht="1" customHeight="1">
      <s:c r="A15256" s="120" t="inlineStr"/>
      <s:c r="B15256" s="121" t="n"/>
      <s:c r="C15256" s="121" t="n"/>
      <s:c r="D15256" s="121" t="n"/>
      <s:c r="E15256" s="122" t="n"/>
    </s:row>
    <s:row r="15257" hidden="1" ht="1" customHeight="1">
      <s:c r="A15257" s="120" t="inlineStr"/>
      <s:c r="B15257" s="121" t="n"/>
      <s:c r="C15257" s="121" t="n"/>
      <s:c r="D15257" s="121" t="n"/>
      <s:c r="E15257" s="122" t="n"/>
    </s:row>
    <s:row r="15258" hidden="1" ht="1" customHeight="1">
      <s:c r="A15258" s="120" t="inlineStr"/>
      <s:c r="B15258" s="121" t="n"/>
      <s:c r="C15258" s="121" t="n"/>
      <s:c r="D15258" s="121" t="n"/>
      <s:c r="E15258" s="122" t="n"/>
    </s:row>
    <s:row r="15259" hidden="1" ht="1" customHeight="1">
      <s:c r="A15259" s="120" t="inlineStr"/>
      <s:c r="B15259" s="121" t="n"/>
      <s:c r="C15259" s="121" t="n"/>
      <s:c r="D15259" s="121" t="n"/>
      <s:c r="E15259" s="122" t="n"/>
    </s:row>
    <s:row r="15260" hidden="1" ht="1" customHeight="1">
      <s:c r="A15260" s="120" t="inlineStr"/>
      <s:c r="B15260" s="121" t="n"/>
      <s:c r="C15260" s="121" t="n"/>
      <s:c r="D15260" s="121" t="n"/>
      <s:c r="E15260" s="122" t="n"/>
    </s:row>
    <s:row r="15261" hidden="1" ht="1" customHeight="1">
      <s:c r="A15261" s="120" t="inlineStr"/>
      <s:c r="B15261" s="121" t="n"/>
      <s:c r="C15261" s="121" t="n"/>
      <s:c r="D15261" s="121" t="n"/>
      <s:c r="E15261" s="122" t="n"/>
    </s:row>
    <s:row r="15262" hidden="1" ht="1" customHeight="1">
      <s:c r="A15262" s="120" t="inlineStr"/>
      <s:c r="B15262" s="121" t="n"/>
      <s:c r="C15262" s="121" t="n"/>
      <s:c r="D15262" s="121" t="n"/>
      <s:c r="E15262" s="122" t="n"/>
    </s:row>
    <s:row r="15263" hidden="1" ht="1" customHeight="1">
      <s:c r="A15263" s="120" t="inlineStr"/>
      <s:c r="B15263" s="121" t="n"/>
      <s:c r="C15263" s="121" t="n"/>
      <s:c r="D15263" s="121" t="n"/>
      <s:c r="E15263" s="122" t="n"/>
    </s:row>
    <s:row r="15264" hidden="1" ht="1" customHeight="1">
      <s:c r="A15264" s="120" t="inlineStr"/>
      <s:c r="B15264" s="121" t="n"/>
      <s:c r="C15264" s="121" t="n"/>
      <s:c r="D15264" s="121" t="n"/>
      <s:c r="E15264" s="122" t="n"/>
    </s:row>
    <s:row r="15265" hidden="1" ht="1" customHeight="1">
      <s:c r="A15265" s="120" t="inlineStr"/>
      <s:c r="B15265" s="121" t="n"/>
      <s:c r="C15265" s="121" t="n"/>
      <s:c r="D15265" s="121" t="n"/>
      <s:c r="E15265" s="122" t="n"/>
    </s:row>
    <s:row r="15266" hidden="1" ht="1" customHeight="1">
      <s:c r="A15266" s="120" t="inlineStr"/>
      <s:c r="B15266" s="121" t="n"/>
      <s:c r="C15266" s="121" t="n"/>
      <s:c r="D15266" s="121" t="n"/>
      <s:c r="E15266" s="122" t="n"/>
    </s:row>
    <s:row r="15267" hidden="1" ht="1" customHeight="1">
      <s:c r="A15267" s="120" t="inlineStr"/>
      <s:c r="B15267" s="121" t="n"/>
      <s:c r="C15267" s="121" t="n"/>
      <s:c r="D15267" s="121" t="n"/>
      <s:c r="E15267" s="122" t="n"/>
    </s:row>
    <s:row r="15268" hidden="1" ht="1" customHeight="1">
      <s:c r="A15268" s="120" t="inlineStr"/>
      <s:c r="B15268" s="121" t="n"/>
      <s:c r="C15268" s="121" t="n"/>
      <s:c r="D15268" s="121" t="n"/>
      <s:c r="E15268" s="122" t="n"/>
    </s:row>
    <s:row r="15269" hidden="1" ht="1" customHeight="1">
      <s:c r="A15269" s="120" t="inlineStr"/>
      <s:c r="B15269" s="121" t="n"/>
      <s:c r="C15269" s="121" t="n"/>
      <s:c r="D15269" s="121" t="n"/>
      <s:c r="E15269" s="122" t="n"/>
    </s:row>
    <s:row r="15270" hidden="1" ht="1" customHeight="1">
      <s:c r="A15270" s="120" t="inlineStr"/>
      <s:c r="B15270" s="121" t="n"/>
      <s:c r="C15270" s="121" t="n"/>
      <s:c r="D15270" s="121" t="n"/>
      <s:c r="E15270" s="122" t="n"/>
    </s:row>
    <s:row r="15271" hidden="1" ht="1" customHeight="1">
      <s:c r="A15271" s="120" t="inlineStr"/>
      <s:c r="B15271" s="121" t="n"/>
      <s:c r="C15271" s="121" t="n"/>
      <s:c r="D15271" s="121" t="n"/>
      <s:c r="E15271" s="122" t="n"/>
    </s:row>
    <s:row r="15272" hidden="1" ht="1" customHeight="1">
      <s:c r="A15272" s="120" t="inlineStr"/>
      <s:c r="B15272" s="121" t="n"/>
      <s:c r="C15272" s="121" t="n"/>
      <s:c r="D15272" s="121" t="n"/>
      <s:c r="E15272" s="122" t="n"/>
    </s:row>
    <s:row r="15273" hidden="1" ht="1" customHeight="1">
      <s:c r="A15273" s="120" t="inlineStr"/>
      <s:c r="B15273" s="121" t="n"/>
      <s:c r="C15273" s="121" t="n"/>
      <s:c r="D15273" s="121" t="n"/>
      <s:c r="E15273" s="122" t="n"/>
    </s:row>
    <s:row r="15274" hidden="1" ht="1" customHeight="1">
      <s:c r="A15274" s="120" t="inlineStr"/>
      <s:c r="B15274" s="121" t="n"/>
      <s:c r="C15274" s="121" t="n"/>
      <s:c r="D15274" s="121" t="n"/>
      <s:c r="E15274" s="122" t="n"/>
    </s:row>
    <s:row r="15275" hidden="1" ht="1" customHeight="1">
      <s:c r="A15275" s="120" t="inlineStr"/>
      <s:c r="B15275" s="121" t="n"/>
      <s:c r="C15275" s="121" t="n"/>
      <s:c r="D15275" s="121" t="n"/>
      <s:c r="E15275" s="122" t="n"/>
    </s:row>
    <s:row r="15276" hidden="1" ht="1" customHeight="1">
      <s:c r="A15276" s="120" t="inlineStr"/>
      <s:c r="B15276" s="121" t="n"/>
      <s:c r="C15276" s="121" t="n"/>
      <s:c r="D15276" s="121" t="n"/>
      <s:c r="E15276" s="122" t="n"/>
    </s:row>
    <s:row r="15277" hidden="1" ht="1" customHeight="1">
      <s:c r="A15277" s="120" t="inlineStr"/>
      <s:c r="B15277" s="121" t="n"/>
      <s:c r="C15277" s="121" t="n"/>
      <s:c r="D15277" s="121" t="n"/>
      <s:c r="E15277" s="122" t="n"/>
    </s:row>
    <s:row r="15278" hidden="1" ht="1" customHeight="1">
      <s:c r="A15278" s="120" t="inlineStr"/>
      <s:c r="B15278" s="121" t="n"/>
      <s:c r="C15278" s="121" t="n"/>
      <s:c r="D15278" s="121" t="n"/>
      <s:c r="E15278" s="122" t="n"/>
    </s:row>
    <s:row r="15279" hidden="1" ht="1" customHeight="1">
      <s:c r="A15279" s="120" t="inlineStr"/>
      <s:c r="B15279" s="121" t="n"/>
      <s:c r="C15279" s="121" t="n"/>
      <s:c r="D15279" s="121" t="n"/>
      <s:c r="E15279" s="122" t="n"/>
    </s:row>
    <s:row r="15280" hidden="1" ht="1" customHeight="1">
      <s:c r="A15280" s="120" t="inlineStr"/>
      <s:c r="B15280" s="121" t="n"/>
      <s:c r="C15280" s="121" t="n"/>
      <s:c r="D15280" s="121" t="n"/>
      <s:c r="E15280" s="122" t="n"/>
    </s:row>
    <s:row r="15281" hidden="1" ht="1" customHeight="1">
      <s:c r="A15281" s="120" t="inlineStr"/>
      <s:c r="B15281" s="121" t="n"/>
      <s:c r="C15281" s="121" t="n"/>
      <s:c r="D15281" s="121" t="n"/>
      <s:c r="E15281" s="122" t="n"/>
    </s:row>
    <s:row r="15282" hidden="1" ht="1" customHeight="1">
      <s:c r="A15282" s="120" t="inlineStr"/>
      <s:c r="B15282" s="121" t="n"/>
      <s:c r="C15282" s="121" t="n"/>
      <s:c r="D15282" s="121" t="n"/>
      <s:c r="E15282" s="122" t="n"/>
    </s:row>
    <s:row r="15283" hidden="1" ht="1" customHeight="1">
      <s:c r="A15283" s="120" t="inlineStr"/>
      <s:c r="B15283" s="121" t="n"/>
      <s:c r="C15283" s="121" t="n"/>
      <s:c r="D15283" s="121" t="n"/>
      <s:c r="E15283" s="122" t="n"/>
    </s:row>
    <s:row r="15284" hidden="1" ht="1" customHeight="1">
      <s:c r="A15284" s="120" t="inlineStr"/>
      <s:c r="B15284" s="121" t="n"/>
      <s:c r="C15284" s="121" t="n"/>
      <s:c r="D15284" s="121" t="n"/>
      <s:c r="E15284" s="122" t="n"/>
    </s:row>
    <s:row r="15285" hidden="1" ht="1" customHeight="1">
      <s:c r="A15285" s="120" t="inlineStr"/>
      <s:c r="B15285" s="121" t="n"/>
      <s:c r="C15285" s="121" t="n"/>
      <s:c r="D15285" s="121" t="n"/>
      <s:c r="E15285" s="122" t="n"/>
    </s:row>
    <s:row r="15286" hidden="1" ht="1" customHeight="1">
      <s:c r="A15286" s="120" t="inlineStr"/>
      <s:c r="B15286" s="121" t="n"/>
      <s:c r="C15286" s="121" t="n"/>
      <s:c r="D15286" s="121" t="n"/>
      <s:c r="E15286" s="122" t="n"/>
    </s:row>
    <s:row r="15287" hidden="1" ht="1" customHeight="1">
      <s:c r="A15287" s="120" t="inlineStr"/>
      <s:c r="B15287" s="121" t="n"/>
      <s:c r="C15287" s="121" t="n"/>
      <s:c r="D15287" s="121" t="n"/>
      <s:c r="E15287" s="122" t="n"/>
    </s:row>
    <s:row r="15288" hidden="1" ht="1" customHeight="1">
      <s:c r="A15288" s="120" t="inlineStr"/>
      <s:c r="B15288" s="121" t="n"/>
      <s:c r="C15288" s="121" t="n"/>
      <s:c r="D15288" s="121" t="n"/>
      <s:c r="E15288" s="122" t="n"/>
    </s:row>
    <s:row r="15289" hidden="1" ht="1" customHeight="1">
      <s:c r="A15289" s="120" t="inlineStr"/>
      <s:c r="B15289" s="121" t="n"/>
      <s:c r="C15289" s="121" t="n"/>
      <s:c r="D15289" s="121" t="n"/>
      <s:c r="E15289" s="122" t="n"/>
    </s:row>
    <s:row r="15290" hidden="1" ht="1" customHeight="1">
      <s:c r="A15290" s="120" t="inlineStr"/>
      <s:c r="B15290" s="121" t="n"/>
      <s:c r="C15290" s="121" t="n"/>
      <s:c r="D15290" s="121" t="n"/>
      <s:c r="E15290" s="122" t="n"/>
    </s:row>
    <s:row r="15291" hidden="1" ht="1" customHeight="1">
      <s:c r="A15291" s="83" t="inlineStr">
        <s:is>
          <s:t>PASS</s:t>
        </s:is>
      </s:c>
      <s:c r="B15291" s="83">
        <s:f>SUM(IF(EXACT('Kiểm thử'!E15191,"Đạt"),1,0),IF(EXACT('Kiểm thử'!E15193,"Đạt"),1,0))</s:f>
        <s:v/>
      </s:c>
      <s:c r="C15291" s="19" t="n"/>
      <s:c r="D15291" s="19" t="n"/>
      <s:c r="E15291" s="19" t="n"/>
    </s:row>
    <s:row r="15292" hidden="1" ht="1" customHeight="1">
      <s:c r="A15292" s="83" t="inlineStr">
        <s:is>
          <s:t>FAIL</s:t>
        </s:is>
      </s:c>
      <s:c r="B15292" s="83">
        <s:f>SUM(IF(EXACT('Kiểm thử'!E15191,"Không đạt"),1,0),IF(EXACT('Kiểm thử'!E15193,"Không đạt"),1,0))</s:f>
        <s:v/>
      </s:c>
      <s:c r="C15292" s="19" t="n"/>
      <s:c r="D15292" s="19" t="n"/>
      <s:c r="E15292" s="19" t="n"/>
    </s:row>
    <s:row r="15293" hidden="1" ht="1" customHeight="1">
      <s:c r="A15293" s="83" t="inlineStr">
        <s:is>
          <s:t>BLOCKED</s:t>
        </s:is>
      </s:c>
      <s:c r="B15293" s="83">
        <s:f>SUM(IF(EXACT('Kiểm thử'!E15191,"Bị chặn"),1,0),IF(EXACT('Kiểm thử'!E15193,"Bị chặn"),1,0))</s:f>
        <s:v/>
      </s:c>
      <s:c r="C15293" s="19" t="n"/>
      <s:c r="D15293" s="19" t="n"/>
      <s:c r="E15293" s="19" t="n"/>
    </s:row>
    <s:row r="15294" hidden="1" ht="1" customHeight="1">
      <s:c r="A15294" s="83" t="inlineStr">
        <s:is>
          <s:t>SKIPPED</s:t>
        </s:is>
      </s:c>
      <s:c r="B15294" s="83">
        <s:f>SUM(IF(EXACT('Kiểm thử'!E15191,"Không thực hiện"),1,0),IF(EXACT('Kiểm thử'!E15193,"Không thực hiện"),1,0))</s:f>
        <s:v/>
      </s:c>
      <s:c r="C15294" s="19" t="n"/>
      <s:c r="D15294" s="19" t="n"/>
      <s:c r="E15294" s="19" t="n"/>
    </s:row>
    <s:row r="15295" hidden="1" ht="1" customHeight="1">
      <s:c r="A15295" s="83" t="inlineStr">
        <s:is>
          <s:t>NOT RUN</s:t>
        </s:is>
      </s:c>
      <s:c r="B15295" s="83">
        <s:f>SUM(IF(EXACT('Kiểm thử'!E15191,"Chưa thực hiện"),1,0),IF(EXACT('Kiểm thử'!E15193,"Chưa thực hiện"),1,0))</s:f>
        <s:v/>
      </s:c>
      <s:c r="C15295" s="19" t="n"/>
      <s:c r="D15295" s="19" t="n"/>
      <s:c r="E15295" s="19" t="n"/>
    </s:row>
    <s:row r="15296" hidden="1" ht="6" customHeight="1">
      <s:c r="A15296" s="83" t="inlineStr"/>
      <s:c r="B15296" s="19" t="n"/>
      <s:c r="C15296" s="19" t="n"/>
      <s:c r="D15296" s="19" t="n"/>
      <s:c r="E15296" s="19" t="n"/>
    </s:row>
    <s:row r="15297" ht="28" customHeight="1">
      <s:c r="A15297" s="108" t="inlineStr">
        <s:is>
          <s:t>TC-RS-ERR-012 — Nhập CSV lựa chọn điểm tối đa của lớp</s:t>
        </s:is>
      </s:c>
      <s:c r="B15297" s="111" t="n"/>
      <s:c r="C15297" s="111" t="n"/>
      <s:c r="D15297" s="111" t="n"/>
      <s:c r="E15297" s="111" t="n"/>
    </s:row>
    <s:row r="15298" ht="20" customHeight="1">
      <s:c r="A15298" s="112" t="inlineStr">
        <s:is>
          <s:t>Kết quả tình huống</s:t>
        </s:is>
      </s:c>
      <s:c r="B15298" s="113">
        <s:f>IF(SUM(IF(EXACT('Kiểm thử'!E15307,"Không đạt"),1,0))&gt;0,"Không đạt",IF(SUM(IF(EXACT('Kiểm thử'!E15307,"Đạt"),1,0))=1,"Đạt",IF(SUM(IF(EXACT('Kiểm thử'!E15307,"Không thực hiện"),1,0))=1,"Không thực hiện",IF(SUM(IF(EXACT('Kiểm thử'!E15307,"Bị chặn"),1,0))&gt;0,"Bị chặn",IF(SUM(IF(EXACT('Kiểm thử'!E15307,"Chưa thực hiện"),1,0))=1,"Chưa thực hiện","Đang thực hiện")))))</s:f>
        <s:v/>
      </s:c>
      <s:c r="C15298" s="114" t="n"/>
      <s:c r="D15298" s="114" t="n"/>
      <s:c r="E15298" s="114" t="n"/>
    </s:row>
    <s:row r="15299" ht="20" customHeight="1">
      <s:c r="A15299" s="112" t="inlineStr">
        <s:is>
          <s:t>Màn hình / chức năng</s:t>
        </s:is>
      </s:c>
      <s:c r="B15299" s="113" t="inlineStr">
        <s:is>
          <s:t>Vòng đời kết quả</s:t>
        </s:is>
      </s:c>
      <s:c r="C15299" s="28" t="n"/>
      <s:c r="D15299" s="28" t="n"/>
      <s:c r="E15299" s="28" t="n"/>
    </s:row>
    <s:row r="15300" ht="34" customHeight="1">
      <s:c r="A15300" s="112" t="inlineStr">
        <s:is>
          <s:t>Cấu hình</s:t>
        </s:is>
      </s:c>
      <s:c r="B15300" s="113" t="inlineStr">
        <s:is>
          <s:r>
            <s:t xml:space="preserve">• Mục điểm đơn vị (đơn vị U1 có M riêng 40), quy tắc tỷ lệ 30% (30%);
• S06 U1=14 Không đỏ với </s:t>
          </s:r>
          <s:r>
            <s:rPr>
              <s:b val="1"/>
            </s:rPr>
            <s:t>M=40</s:t>
          </s:r>
          <s:r>
            <s:t>.</s:t>
          </s:r>
        </s:is>
      </s:c>
      <s:c r="C15300" s="28" t="n"/>
      <s:c r="D15300" s="28" t="n"/>
      <s:c r="E15300" s="28" t="n"/>
    </s:row>
    <s:row r="15301" ht="34" customHeight="1">
      <s:c r="A15301" s="112" t="inlineStr">
        <s:is>
          <s:t>Dữ liệu test</s:t>
        </s:is>
      </s:c>
      <s:c r="B15301" s="113" t="inlineStr">
        <s:is>
          <s:r>
            <s:t xml:space="preserve">• Mục điểm đơn vị (đơn vị U1 có M riêng 40), quy tắc tỷ lệ 30%;
• CSV gán lựa chọn </s:t>
          </s:r>
          <s:r>
            <s:rPr>
              <s:b val="1"/>
            </s:rPr>
            <s:t>M=50</s:t>
          </s:r>
          <s:r>
            <s:t xml:space="preserve"> cho lớp G-B</s:t>
          </s:r>
        </s:is>
      </s:c>
      <s:c r="C15301" s="28" t="n"/>
      <s:c r="D15301" s="28" t="n"/>
      <s:c r="E15301" s="28" t="n"/>
    </s:row>
    <s:row r="15302" ht="34" customHeight="1">
      <s:c r="A15302" s="112" t="inlineStr">
        <s:is>
          <s:t>Điều kiện còn thiếu</s:t>
        </s:is>
      </s:c>
      <s:c r="B15302" s="113" t="inlineStr">
        <s:is>
          <s:r>
            <s:t>• Phần kỳ vọng chưa chốt trong bản nguồn: TBD (chưa chốt): có cần xét lại ngay ([</s:t>
          </s:r>
          <s:r>
            <s:rPr>
              <s:b val="1"/>
            </s:rPr>
            <s:t>T=15</s:t>
          </s:r>
          <s:r>
            <s:t>] → Đỏ) hay giữ kết quả trước tới lần chạy lại. Ghi hành vi thực tế.</s:t>
          </s:r>
        </s:is>
      </s:c>
      <s:c r="C15302" s="28" t="n"/>
      <s:c r="D15302" s="28" t="n"/>
      <s:c r="E15302" s="28" t="n"/>
    </s:row>
    <s:row r="15303" ht="20" customHeight="1">
      <s:c r="A15303" s="112" t="inlineStr">
        <s:is>
          <s:t>Bước 1</s:t>
        </s:is>
      </s:c>
      <s:c r="B15303" s="113" t="inlineStr">
        <s:is>
          <s:t>Nhập CSV lựa chọn điểm tối đa.</s:t>
        </s:is>
      </s:c>
      <s:c r="C15303" s="28" t="n"/>
      <s:c r="D15303" s="28" t="n"/>
      <s:c r="E15303" s="28" t="n"/>
    </s:row>
    <s:row r="15304" ht="20" customHeight="1">
      <s:c r="A15304" s="112" t="inlineStr">
        <s:is>
          <s:t>Bước 2</s:t>
        </s:is>
      </s:c>
      <s:c r="B15304" s="113" t="inlineStr">
        <s:is>
          <s:t>Xem kết quả S06 U1.</s:t>
        </s:is>
      </s:c>
      <s:c r="C15304" s="28" t="n"/>
      <s:c r="D15304" s="28" t="n"/>
      <s:c r="E15304" s="28" t="n"/>
    </s:row>
    <s:row r="15305" ht="28" customHeight="1">
      <s:c r="A15305" s="115" t="inlineStr">
        <s:is>
          <s:t>Trường hợp</s:t>
        </s:is>
      </s:c>
      <s:c r="B15305" s="115" t="inlineStr">
        <s:is>
          <s:t>Dữ liệu / thao tác riêng</s:t>
        </s:is>
      </s:c>
      <s:c r="C15305" s="115" t="inlineStr">
        <s:is>
          <s:t>Kết quả mong đợi</s:t>
        </s:is>
      </s:c>
      <s:c r="D15305" s="115" t="inlineStr">
        <s:is>
          <s:t>Kết quả thực tế</s:t>
        </s:is>
      </s:c>
      <s:c r="E15305" s="115" t="inlineStr">
        <s:is>
          <s:t>Đánh giá</s:t>
        </s:is>
      </s:c>
    </s:row>
    <s:row r="15306" ht="3" customHeight="1">
      <s:c r="A15306" s="102" t="inlineStr"/>
      <s:c r="B15306" s="99" t="n"/>
      <s:c r="C15306" s="99" t="n"/>
      <s:c r="D15306" s="116" t="n"/>
      <s:c r="E15306" s="116" t="n"/>
    </s:row>
    <s:row r="15307" ht="62" customHeight="1">
      <s:c r="A15307" s="83" t="inlineStr">
        <s:is>
          <s:t>Trường hợp cơ bản (Base)</s:t>
        </s:is>
      </s:c>
      <s:c r="B15307" s="83" t="inlineStr">
        <s:is>
          <s:t>Toàn bộ tình huống: Thực hiện đủ các bước chung theo thứ tự; kiểm cả đối tượng đích và đối chứng cùng fixture, không bỏ bước.</s:t>
        </s:is>
      </s:c>
      <s:c r="C15307" s="83" t="inlineStr">
        <s:is>
          <s:r>
            <s:t>TBD (chưa chốt): có cần xét lại ngay ([</s:t>
          </s:r>
          <s:r>
            <s:rPr>
              <s:b val="1"/>
            </s:rPr>
            <s:t>T=15</s:t>
          </s:r>
          <s:r>
            <s:t xml:space="preserve">] → </s:t>
          </s:r>
          <s:r>
            <s:rPr>
              <s:b val="1"/>
            </s:rPr>
            <s:t>Đỏ</s:t>
          </s:r>
          <s:r>
            <s:t>) hay giữ kết quả trước tới lần chạy lại. Ghi hành vi thực tế.</s:t>
          </s:r>
        </s:is>
      </s:c>
      <s:c r="D15307" s="117" t="inlineStr"/>
      <s:c r="E15307" s="118" t="inlineStr">
        <s:is>
          <s:t>Chưa thực hiện</s:t>
        </s:is>
      </s:c>
    </s:row>
    <s:row r="15308" ht="20" customHeight="1">
      <s:c r="A15308" s="119" t="inlineStr">
        <s:is>
          <s:t>Ảnh minh chứng — Chưa có ảnh</s:t>
        </s:is>
      </s:c>
      <s:c r="B15308" s="19" t="n"/>
      <s:c r="C15308" s="19" t="n"/>
      <s:c r="D15308" s="19" t="n"/>
      <s:c r="E15308" s="19" t="n"/>
    </s:row>
    <s:row r="15309" hidden="1" ht="1" customHeight="1">
      <s:c r="A15309" s="120" t="inlineStr"/>
      <s:c r="B15309" s="121" t="n"/>
      <s:c r="C15309" s="121" t="n"/>
      <s:c r="D15309" s="121" t="n"/>
      <s:c r="E15309" s="122" t="n"/>
    </s:row>
    <s:row r="15310" hidden="1" ht="1" customHeight="1">
      <s:c r="A15310" s="120" t="inlineStr"/>
      <s:c r="B15310" s="121" t="n"/>
      <s:c r="C15310" s="121" t="n"/>
      <s:c r="D15310" s="121" t="n"/>
      <s:c r="E15310" s="122" t="n"/>
    </s:row>
    <s:row r="15311" hidden="1" ht="1" customHeight="1">
      <s:c r="A15311" s="120" t="inlineStr"/>
      <s:c r="B15311" s="121" t="n"/>
      <s:c r="C15311" s="121" t="n"/>
      <s:c r="D15311" s="121" t="n"/>
      <s:c r="E15311" s="122" t="n"/>
    </s:row>
    <s:row r="15312" hidden="1" ht="1" customHeight="1">
      <s:c r="A15312" s="120" t="inlineStr"/>
      <s:c r="B15312" s="121" t="n"/>
      <s:c r="C15312" s="121" t="n"/>
      <s:c r="D15312" s="121" t="n"/>
      <s:c r="E15312" s="122" t="n"/>
    </s:row>
    <s:row r="15313" hidden="1" ht="1" customHeight="1">
      <s:c r="A15313" s="120" t="inlineStr"/>
      <s:c r="B15313" s="121" t="n"/>
      <s:c r="C15313" s="121" t="n"/>
      <s:c r="D15313" s="121" t="n"/>
      <s:c r="E15313" s="122" t="n"/>
    </s:row>
    <s:row r="15314" hidden="1" ht="1" customHeight="1">
      <s:c r="A15314" s="120" t="inlineStr"/>
      <s:c r="B15314" s="121" t="n"/>
      <s:c r="C15314" s="121" t="n"/>
      <s:c r="D15314" s="121" t="n"/>
      <s:c r="E15314" s="122" t="n"/>
    </s:row>
    <s:row r="15315" hidden="1" ht="1" customHeight="1">
      <s:c r="A15315" s="120" t="inlineStr"/>
      <s:c r="B15315" s="121" t="n"/>
      <s:c r="C15315" s="121" t="n"/>
      <s:c r="D15315" s="121" t="n"/>
      <s:c r="E15315" s="122" t="n"/>
    </s:row>
    <s:row r="15316" hidden="1" ht="1" customHeight="1">
      <s:c r="A15316" s="120" t="inlineStr"/>
      <s:c r="B15316" s="121" t="n"/>
      <s:c r="C15316" s="121" t="n"/>
      <s:c r="D15316" s="121" t="n"/>
      <s:c r="E15316" s="122" t="n"/>
    </s:row>
    <s:row r="15317" hidden="1" ht="1" customHeight="1">
      <s:c r="A15317" s="120" t="inlineStr"/>
      <s:c r="B15317" s="121" t="n"/>
      <s:c r="C15317" s="121" t="n"/>
      <s:c r="D15317" s="121" t="n"/>
      <s:c r="E15317" s="122" t="n"/>
    </s:row>
    <s:row r="15318" hidden="1" ht="1" customHeight="1">
      <s:c r="A15318" s="120" t="inlineStr"/>
      <s:c r="B15318" s="121" t="n"/>
      <s:c r="C15318" s="121" t="n"/>
      <s:c r="D15318" s="121" t="n"/>
      <s:c r="E15318" s="122" t="n"/>
    </s:row>
    <s:row r="15319" hidden="1" ht="1" customHeight="1">
      <s:c r="A15319" s="120" t="inlineStr"/>
      <s:c r="B15319" s="121" t="n"/>
      <s:c r="C15319" s="121" t="n"/>
      <s:c r="D15319" s="121" t="n"/>
      <s:c r="E15319" s="122" t="n"/>
    </s:row>
    <s:row r="15320" hidden="1" ht="1" customHeight="1">
      <s:c r="A15320" s="120" t="inlineStr"/>
      <s:c r="B15320" s="121" t="n"/>
      <s:c r="C15320" s="121" t="n"/>
      <s:c r="D15320" s="121" t="n"/>
      <s:c r="E15320" s="122" t="n"/>
    </s:row>
    <s:row r="15321" hidden="1" ht="1" customHeight="1">
      <s:c r="A15321" s="120" t="inlineStr"/>
      <s:c r="B15321" s="121" t="n"/>
      <s:c r="C15321" s="121" t="n"/>
      <s:c r="D15321" s="121" t="n"/>
      <s:c r="E15321" s="122" t="n"/>
    </s:row>
    <s:row r="15322" hidden="1" ht="1" customHeight="1">
      <s:c r="A15322" s="120" t="inlineStr"/>
      <s:c r="B15322" s="121" t="n"/>
      <s:c r="C15322" s="121" t="n"/>
      <s:c r="D15322" s="121" t="n"/>
      <s:c r="E15322" s="122" t="n"/>
    </s:row>
    <s:row r="15323" hidden="1" ht="1" customHeight="1">
      <s:c r="A15323" s="120" t="inlineStr"/>
      <s:c r="B15323" s="121" t="n"/>
      <s:c r="C15323" s="121" t="n"/>
      <s:c r="D15323" s="121" t="n"/>
      <s:c r="E15323" s="122" t="n"/>
    </s:row>
    <s:row r="15324" hidden="1" ht="1" customHeight="1">
      <s:c r="A15324" s="120" t="inlineStr"/>
      <s:c r="B15324" s="121" t="n"/>
      <s:c r="C15324" s="121" t="n"/>
      <s:c r="D15324" s="121" t="n"/>
      <s:c r="E15324" s="122" t="n"/>
    </s:row>
    <s:row r="15325" hidden="1" ht="1" customHeight="1">
      <s:c r="A15325" s="120" t="inlineStr"/>
      <s:c r="B15325" s="121" t="n"/>
      <s:c r="C15325" s="121" t="n"/>
      <s:c r="D15325" s="121" t="n"/>
      <s:c r="E15325" s="122" t="n"/>
    </s:row>
    <s:row r="15326" hidden="1" ht="1" customHeight="1">
      <s:c r="A15326" s="120" t="inlineStr"/>
      <s:c r="B15326" s="121" t="n"/>
      <s:c r="C15326" s="121" t="n"/>
      <s:c r="D15326" s="121" t="n"/>
      <s:c r="E15326" s="122" t="n"/>
    </s:row>
    <s:row r="15327" hidden="1" ht="1" customHeight="1">
      <s:c r="A15327" s="120" t="inlineStr"/>
      <s:c r="B15327" s="121" t="n"/>
      <s:c r="C15327" s="121" t="n"/>
      <s:c r="D15327" s="121" t="n"/>
      <s:c r="E15327" s="122" t="n"/>
    </s:row>
    <s:row r="15328" hidden="1" ht="1" customHeight="1">
      <s:c r="A15328" s="120" t="inlineStr"/>
      <s:c r="B15328" s="121" t="n"/>
      <s:c r="C15328" s="121" t="n"/>
      <s:c r="D15328" s="121" t="n"/>
      <s:c r="E15328" s="122" t="n"/>
    </s:row>
    <s:row r="15329" hidden="1" ht="1" customHeight="1">
      <s:c r="A15329" s="120" t="inlineStr"/>
      <s:c r="B15329" s="121" t="n"/>
      <s:c r="C15329" s="121" t="n"/>
      <s:c r="D15329" s="121" t="n"/>
      <s:c r="E15329" s="122" t="n"/>
    </s:row>
    <s:row r="15330" hidden="1" ht="1" customHeight="1">
      <s:c r="A15330" s="120" t="inlineStr"/>
      <s:c r="B15330" s="121" t="n"/>
      <s:c r="C15330" s="121" t="n"/>
      <s:c r="D15330" s="121" t="n"/>
      <s:c r="E15330" s="122" t="n"/>
    </s:row>
    <s:row r="15331" hidden="1" ht="1" customHeight="1">
      <s:c r="A15331" s="120" t="inlineStr"/>
      <s:c r="B15331" s="121" t="n"/>
      <s:c r="C15331" s="121" t="n"/>
      <s:c r="D15331" s="121" t="n"/>
      <s:c r="E15331" s="122" t="n"/>
    </s:row>
    <s:row r="15332" hidden="1" ht="1" customHeight="1">
      <s:c r="A15332" s="120" t="inlineStr"/>
      <s:c r="B15332" s="121" t="n"/>
      <s:c r="C15332" s="121" t="n"/>
      <s:c r="D15332" s="121" t="n"/>
      <s:c r="E15332" s="122" t="n"/>
    </s:row>
    <s:row r="15333" hidden="1" ht="1" customHeight="1">
      <s:c r="A15333" s="120" t="inlineStr"/>
      <s:c r="B15333" s="121" t="n"/>
      <s:c r="C15333" s="121" t="n"/>
      <s:c r="D15333" s="121" t="n"/>
      <s:c r="E15333" s="122" t="n"/>
    </s:row>
    <s:row r="15334" hidden="1" ht="1" customHeight="1">
      <s:c r="A15334" s="120" t="inlineStr"/>
      <s:c r="B15334" s="121" t="n"/>
      <s:c r="C15334" s="121" t="n"/>
      <s:c r="D15334" s="121" t="n"/>
      <s:c r="E15334" s="122" t="n"/>
    </s:row>
    <s:row r="15335" hidden="1" ht="1" customHeight="1">
      <s:c r="A15335" s="120" t="inlineStr"/>
      <s:c r="B15335" s="121" t="n"/>
      <s:c r="C15335" s="121" t="n"/>
      <s:c r="D15335" s="121" t="n"/>
      <s:c r="E15335" s="122" t="n"/>
    </s:row>
    <s:row r="15336" hidden="1" ht="1" customHeight="1">
      <s:c r="A15336" s="120" t="inlineStr"/>
      <s:c r="B15336" s="121" t="n"/>
      <s:c r="C15336" s="121" t="n"/>
      <s:c r="D15336" s="121" t="n"/>
      <s:c r="E15336" s="122" t="n"/>
    </s:row>
    <s:row r="15337" hidden="1" ht="1" customHeight="1">
      <s:c r="A15337" s="120" t="inlineStr"/>
      <s:c r="B15337" s="121" t="n"/>
      <s:c r="C15337" s="121" t="n"/>
      <s:c r="D15337" s="121" t="n"/>
      <s:c r="E15337" s="122" t="n"/>
    </s:row>
    <s:row r="15338" hidden="1" ht="1" customHeight="1">
      <s:c r="A15338" s="120" t="inlineStr"/>
      <s:c r="B15338" s="121" t="n"/>
      <s:c r="C15338" s="121" t="n"/>
      <s:c r="D15338" s="121" t="n"/>
      <s:c r="E15338" s="122" t="n"/>
    </s:row>
    <s:row r="15339" hidden="1" ht="1" customHeight="1">
      <s:c r="A15339" s="120" t="inlineStr"/>
      <s:c r="B15339" s="121" t="n"/>
      <s:c r="C15339" s="121" t="n"/>
      <s:c r="D15339" s="121" t="n"/>
      <s:c r="E15339" s="122" t="n"/>
    </s:row>
    <s:row r="15340" hidden="1" ht="1" customHeight="1">
      <s:c r="A15340" s="120" t="inlineStr"/>
      <s:c r="B15340" s="121" t="n"/>
      <s:c r="C15340" s="121" t="n"/>
      <s:c r="D15340" s="121" t="n"/>
      <s:c r="E15340" s="122" t="n"/>
    </s:row>
    <s:row r="15341" hidden="1" ht="1" customHeight="1">
      <s:c r="A15341" s="120" t="inlineStr"/>
      <s:c r="B15341" s="121" t="n"/>
      <s:c r="C15341" s="121" t="n"/>
      <s:c r="D15341" s="121" t="n"/>
      <s:c r="E15341" s="122" t="n"/>
    </s:row>
    <s:row r="15342" hidden="1" ht="1" customHeight="1">
      <s:c r="A15342" s="120" t="inlineStr"/>
      <s:c r="B15342" s="121" t="n"/>
      <s:c r="C15342" s="121" t="n"/>
      <s:c r="D15342" s="121" t="n"/>
      <s:c r="E15342" s="122" t="n"/>
    </s:row>
    <s:row r="15343" hidden="1" ht="1" customHeight="1">
      <s:c r="A15343" s="120" t="inlineStr"/>
      <s:c r="B15343" s="121" t="n"/>
      <s:c r="C15343" s="121" t="n"/>
      <s:c r="D15343" s="121" t="n"/>
      <s:c r="E15343" s="122" t="n"/>
    </s:row>
    <s:row r="15344" hidden="1" ht="1" customHeight="1">
      <s:c r="A15344" s="120" t="inlineStr"/>
      <s:c r="B15344" s="121" t="n"/>
      <s:c r="C15344" s="121" t="n"/>
      <s:c r="D15344" s="121" t="n"/>
      <s:c r="E15344" s="122" t="n"/>
    </s:row>
    <s:row r="15345" hidden="1" ht="1" customHeight="1">
      <s:c r="A15345" s="120" t="inlineStr"/>
      <s:c r="B15345" s="121" t="n"/>
      <s:c r="C15345" s="121" t="n"/>
      <s:c r="D15345" s="121" t="n"/>
      <s:c r="E15345" s="122" t="n"/>
    </s:row>
    <s:row r="15346" hidden="1" ht="1" customHeight="1">
      <s:c r="A15346" s="120" t="inlineStr"/>
      <s:c r="B15346" s="121" t="n"/>
      <s:c r="C15346" s="121" t="n"/>
      <s:c r="D15346" s="121" t="n"/>
      <s:c r="E15346" s="122" t="n"/>
    </s:row>
    <s:row r="15347" hidden="1" ht="1" customHeight="1">
      <s:c r="A15347" s="120" t="inlineStr"/>
      <s:c r="B15347" s="121" t="n"/>
      <s:c r="C15347" s="121" t="n"/>
      <s:c r="D15347" s="121" t="n"/>
      <s:c r="E15347" s="122" t="n"/>
    </s:row>
    <s:row r="15348" hidden="1" ht="1" customHeight="1">
      <s:c r="A15348" s="120" t="inlineStr"/>
      <s:c r="B15348" s="121" t="n"/>
      <s:c r="C15348" s="121" t="n"/>
      <s:c r="D15348" s="121" t="n"/>
      <s:c r="E15348" s="122" t="n"/>
    </s:row>
    <s:row r="15349" hidden="1" ht="1" customHeight="1">
      <s:c r="A15349" s="120" t="inlineStr"/>
      <s:c r="B15349" s="121" t="n"/>
      <s:c r="C15349" s="121" t="n"/>
      <s:c r="D15349" s="121" t="n"/>
      <s:c r="E15349" s="122" t="n"/>
    </s:row>
    <s:row r="15350" hidden="1" ht="1" customHeight="1">
      <s:c r="A15350" s="120" t="inlineStr"/>
      <s:c r="B15350" s="121" t="n"/>
      <s:c r="C15350" s="121" t="n"/>
      <s:c r="D15350" s="121" t="n"/>
      <s:c r="E15350" s="122" t="n"/>
    </s:row>
    <s:row r="15351" hidden="1" ht="1" customHeight="1">
      <s:c r="A15351" s="120" t="inlineStr"/>
      <s:c r="B15351" s="121" t="n"/>
      <s:c r="C15351" s="121" t="n"/>
      <s:c r="D15351" s="121" t="n"/>
      <s:c r="E15351" s="122" t="n"/>
    </s:row>
    <s:row r="15352" hidden="1" ht="1" customHeight="1">
      <s:c r="A15352" s="120" t="inlineStr"/>
      <s:c r="B15352" s="121" t="n"/>
      <s:c r="C15352" s="121" t="n"/>
      <s:c r="D15352" s="121" t="n"/>
      <s:c r="E15352" s="122" t="n"/>
    </s:row>
    <s:row r="15353" hidden="1" ht="1" customHeight="1">
      <s:c r="A15353" s="120" t="inlineStr"/>
      <s:c r="B15353" s="121" t="n"/>
      <s:c r="C15353" s="121" t="n"/>
      <s:c r="D15353" s="121" t="n"/>
      <s:c r="E15353" s="122" t="n"/>
    </s:row>
    <s:row r="15354" hidden="1" ht="1" customHeight="1">
      <s:c r="A15354" s="120" t="inlineStr"/>
      <s:c r="B15354" s="121" t="n"/>
      <s:c r="C15354" s="121" t="n"/>
      <s:c r="D15354" s="121" t="n"/>
      <s:c r="E15354" s="122" t="n"/>
    </s:row>
    <s:row r="15355" hidden="1" ht="1" customHeight="1">
      <s:c r="A15355" s="120" t="inlineStr"/>
      <s:c r="B15355" s="121" t="n"/>
      <s:c r="C15355" s="121" t="n"/>
      <s:c r="D15355" s="121" t="n"/>
      <s:c r="E15355" s="122" t="n"/>
    </s:row>
    <s:row r="15356" hidden="1" ht="1" customHeight="1">
      <s:c r="A15356" s="120" t="inlineStr"/>
      <s:c r="B15356" s="121" t="n"/>
      <s:c r="C15356" s="121" t="n"/>
      <s:c r="D15356" s="121" t="n"/>
      <s:c r="E15356" s="122" t="n"/>
    </s:row>
    <s:row r="15357" hidden="1" ht="1" customHeight="1">
      <s:c r="A15357" s="83" t="inlineStr">
        <s:is>
          <s:t>PASS</s:t>
        </s:is>
      </s:c>
      <s:c r="B15357" s="83">
        <s:f>SUM(IF(EXACT('Kiểm thử'!E15307,"Đạt"),1,0))</s:f>
        <s:v/>
      </s:c>
      <s:c r="C15357" s="19" t="n"/>
      <s:c r="D15357" s="19" t="n"/>
      <s:c r="E15357" s="19" t="n"/>
    </s:row>
    <s:row r="15358" hidden="1" ht="1" customHeight="1">
      <s:c r="A15358" s="83" t="inlineStr">
        <s:is>
          <s:t>FAIL</s:t>
        </s:is>
      </s:c>
      <s:c r="B15358" s="83">
        <s:f>SUM(IF(EXACT('Kiểm thử'!E15307,"Không đạt"),1,0))</s:f>
        <s:v/>
      </s:c>
      <s:c r="C15358" s="19" t="n"/>
      <s:c r="D15358" s="19" t="n"/>
      <s:c r="E15358" s="19" t="n"/>
    </s:row>
    <s:row r="15359" hidden="1" ht="1" customHeight="1">
      <s:c r="A15359" s="83" t="inlineStr">
        <s:is>
          <s:t>BLOCKED</s:t>
        </s:is>
      </s:c>
      <s:c r="B15359" s="83">
        <s:f>SUM(IF(EXACT('Kiểm thử'!E15307,"Bị chặn"),1,0))</s:f>
        <s:v/>
      </s:c>
      <s:c r="C15359" s="19" t="n"/>
      <s:c r="D15359" s="19" t="n"/>
      <s:c r="E15359" s="19" t="n"/>
    </s:row>
    <s:row r="15360" hidden="1" ht="1" customHeight="1">
      <s:c r="A15360" s="83" t="inlineStr">
        <s:is>
          <s:t>SKIPPED</s:t>
        </s:is>
      </s:c>
      <s:c r="B15360" s="83">
        <s:f>SUM(IF(EXACT('Kiểm thử'!E15307,"Không thực hiện"),1,0))</s:f>
        <s:v/>
      </s:c>
      <s:c r="C15360" s="19" t="n"/>
      <s:c r="D15360" s="19" t="n"/>
      <s:c r="E15360" s="19" t="n"/>
    </s:row>
    <s:row r="15361" hidden="1" ht="1" customHeight="1">
      <s:c r="A15361" s="83" t="inlineStr">
        <s:is>
          <s:t>NOT RUN</s:t>
        </s:is>
      </s:c>
      <s:c r="B15361" s="83">
        <s:f>SUM(IF(EXACT('Kiểm thử'!E15307,"Chưa thực hiện"),1,0))</s:f>
        <s:v/>
      </s:c>
      <s:c r="C15361" s="19" t="n"/>
      <s:c r="D15361" s="19" t="n"/>
      <s:c r="E15361" s="19" t="n"/>
    </s:row>
    <s:row r="15362" hidden="1" ht="6" customHeight="1">
      <s:c r="A15362" s="83" t="inlineStr"/>
      <s:c r="B15362" s="19" t="n"/>
      <s:c r="C15362" s="19" t="n"/>
      <s:c r="D15362" s="19" t="n"/>
      <s:c r="E15362" s="19" t="n"/>
    </s:row>
    <s:row r="15363" ht="28" customHeight="1">
      <s:c r="A15363" s="108" t="inlineStr">
        <s:is>
          <s:t>TC-RS-ERR-015 — Bản ghi điểm bị xóa rồi tạo lại không kế thừa kết quả cũ</s:t>
        </s:is>
      </s:c>
      <s:c r="B15363" s="111" t="n"/>
      <s:c r="C15363" s="111" t="n"/>
      <s:c r="D15363" s="111" t="n"/>
      <s:c r="E15363" s="111" t="n"/>
    </s:row>
    <s:row r="15364" ht="20" customHeight="1">
      <s:c r="A15364" s="112" t="inlineStr">
        <s:is>
          <s:t>Kết quả tình huống</s:t>
        </s:is>
      </s:c>
      <s:c r="B15364" s="113">
        <s:f>IF(SUM(IF(EXACT('Kiểm thử'!E15373,"Không đạt"),1,0),IF(EXACT('Kiểm thử'!E15375,"Không đạt"),1,0),IF(EXACT('Kiểm thử'!E15377,"Không đạt"),1,0))&gt;0,"Không đạt",IF(SUM(IF(EXACT('Kiểm thử'!E15373,"Đạt"),1,0),IF(EXACT('Kiểm thử'!E15375,"Đạt"),1,0),IF(EXACT('Kiểm thử'!E15377,"Đạt"),1,0))=3,"Đạt",IF(SUM(IF(EXACT('Kiểm thử'!E15373,"Không thực hiện"),1,0),IF(EXACT('Kiểm thử'!E15375,"Không thực hiện"),1,0),IF(EXACT('Kiểm thử'!E15377,"Không thực hiện"),1,0))=3,"Không thực hiện",IF(SUM(IF(EXACT('Kiểm thử'!E15373,"Bị chặn"),1,0),IF(EXACT('Kiểm thử'!E15375,"Bị chặn"),1,0),IF(EXACT('Kiểm thử'!E15377,"Bị chặn"),1,0))&gt;0,"Bị chặn",IF(SUM(IF(EXACT('Kiểm thử'!E15373,"Chưa thực hiện"),1,0),IF(EXACT('Kiểm thử'!E15375,"Chưa thực hiện"),1,0),IF(EXACT('Kiểm thử'!E15377,"Chưa thực hiện"),1,0))=3,"Chưa thực hiện","Đang thực hiện")))))</s:f>
        <s:v/>
      </s:c>
      <s:c r="C15364" s="114" t="n"/>
      <s:c r="D15364" s="114" t="n"/>
      <s:c r="E15364" s="114" t="n"/>
    </s:row>
    <s:row r="15365" ht="20" customHeight="1">
      <s:c r="A15365" s="112" t="inlineStr">
        <s:is>
          <s:t>Màn hình / chức năng</s:t>
        </s:is>
      </s:c>
      <s:c r="B15365" s="113" t="inlineStr">
        <s:is>
          <s:t>Vòng đời kết quả</s:t>
        </s:is>
      </s:c>
      <s:c r="C15365" s="28" t="n"/>
      <s:c r="D15365" s="28" t="n"/>
      <s:c r="E15365" s="28" t="n"/>
    </s:row>
    <s:row r="15366" ht="20" customHeight="1">
      <s:c r="A15366" s="112" t="inlineStr">
        <s:is>
          <s:t>Cấu hình</s:t>
        </s:is>
      </s:c>
      <s:c r="B15366" s="113" t="inlineStr">
        <s:is>
          <s:t>• S01 Đỏ ở mục điểm đơn vị (đơn vị U1 có M riêng 40) U1.</s:t>
        </s:is>
      </s:c>
      <s:c r="C15366" s="28" t="n"/>
      <s:c r="D15366" s="28" t="n"/>
      <s:c r="E15366" s="28" t="n"/>
    </s:row>
    <s:row r="15367" ht="20" customHeight="1">
      <s:c r="A15367" s="112" t="inlineStr">
        <s:is>
          <s:t>Dữ liệu test</s:t>
        </s:is>
      </s:c>
      <s:c r="B15367" s="113" t="inlineStr">
        <s:is>
          <s:t>• Mục điểm đơn vị (đơn vị U1 có M riêng 40)</s:t>
        </s:is>
      </s:c>
      <s:c r="C15367" s="28" t="n"/>
      <s:c r="D15367" s="28" t="n"/>
      <s:c r="E15367" s="28" t="n"/>
    </s:row>
    <s:row r="15368" ht="34" customHeight="1">
      <s:c r="A15368" s="112" t="inlineStr">
        <s:is>
          <s:t>Bước 1</s:t>
        </s:is>
      </s:c>
      <s:c r="B15368" s="113" t="inlineStr">
        <s:is>
          <s:t>Dựng riêng baseline ô S01/U1 Đỏ, đúng identity/thế hệ và đường được phép; không dùng dữ liệu từ trường hợp trước.</s:t>
        </s:is>
      </s:c>
      <s:c r="C15368" s="28" t="n"/>
      <s:c r="D15368" s="28" t="n"/>
      <s:c r="E15368" s="28" t="n"/>
    </s:row>
    <s:row r="15369" ht="20" customHeight="1">
      <s:c r="A15369" s="112" t="inlineStr">
        <s:is>
          <s:t>Bước 2</s:t>
        </s:is>
      </s:c>
      <s:c r="B15369" s="113" t="inlineStr">
        <s:is>
          <s:t>Xóa/tạo lại hoặc cho batch chạy đồng thời theo chuỗi thao tác riêng của trường hợp.</s:t>
        </s:is>
      </s:c>
      <s:c r="C15369" s="28" t="n"/>
      <s:c r="D15369" s="28" t="n"/>
      <s:c r="E15369" s="28" t="n"/>
    </s:row>
    <s:row r="15370" ht="20" customHeight="1">
      <s:c r="A15370" s="112" t="inlineStr">
        <s:is>
          <s:t>Bước 3</s:t>
        </s:is>
      </s:c>
      <s:c r="B15370" s="113" t="inlineStr">
        <s:is>
          <s:t>Đọc đầu ra và dữ liệu hiện hành; đối chiếu trạng thái/thế hệ, không coi cùng giá trị là cùng ô cũ.</s:t>
        </s:is>
      </s:c>
      <s:c r="C15370" s="28" t="n"/>
      <s:c r="D15370" s="28" t="n"/>
      <s:c r="E15370" s="28" t="n"/>
    </s:row>
    <s:row r="15371" ht="28" customHeight="1">
      <s:c r="A15371" s="115" t="inlineStr">
        <s:is>
          <s:t>Trường hợp</s:t>
        </s:is>
      </s:c>
      <s:c r="B15371" s="115" t="inlineStr">
        <s:is>
          <s:t>Dữ liệu / thao tác riêng</s:t>
        </s:is>
      </s:c>
      <s:c r="C15371" s="115" t="inlineStr">
        <s:is>
          <s:t>Kết quả mong đợi</s:t>
        </s:is>
      </s:c>
      <s:c r="D15371" s="115" t="inlineStr">
        <s:is>
          <s:t>Kết quả thực tế</s:t>
        </s:is>
      </s:c>
      <s:c r="E15371" s="115" t="inlineStr">
        <s:is>
          <s:t>Đánh giá</s:t>
        </s:is>
      </s:c>
    </s:row>
    <s:row r="15372" ht="3" customHeight="1">
      <s:c r="A15372" s="102" t="inlineStr"/>
      <s:c r="B15372" s="99" t="n"/>
      <s:c r="C15372" s="99" t="n"/>
      <s:c r="D15372" s="116" t="n"/>
      <s:c r="E15372" s="116" t="n"/>
    </s:row>
    <s:row r="15373" ht="146" customHeight="1">
      <s:c r="A15373" s="83" t="inlineStr">
        <s:is>
          <s:t>Tạo lại ô với điểm khác (recreate35)</s:t>
        </s:is>
      </s:c>
      <s:c r="B15373" s="83" t="inlineStr">
        <s:is>
          <s:t>S01/U1 đang Đỏ; bỏ dùng U1/thay khung theo thao tác hiện có để ô xóa/ngừng hoạt động. Tạo lại ô, nhập 35, lưu và xem đầu ra.</s:t>
        </s:is>
      </s:c>
      <s:c r="C15373" s="83" t="inlineStr">
        <s:is>
          <s:r>
            <s:t xml:space="preserve">Sau xóa/ngừng ô: không còn dấu đỏ của ô cũ. Tạo lại và đăng ký 35 → </s:t>
          </s:r>
          <s:r>
            <s:rPr>
              <s:b val="1"/>
            </s:rPr>
            <s:t>Không đỏ</s:t>
          </s:r>
          <s:r>
            <s:t xml:space="preserve">, không mang </s:t>
          </s:r>
          <s:r>
            <s:rPr>
              <s:b val="1"/>
            </s:rPr>
            <s:t>Đỏ</s:t>
          </s:r>
          <s:r>
            <s:t xml:space="preserve"> cũ.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s:t>
          </s:r>
        </s:is>
      </s:c>
      <s:c r="D15373" s="117" t="inlineStr"/>
      <s:c r="E15373" s="118" t="inlineStr">
        <s:is>
          <s:t>Chưa thực hiện</s:t>
        </s:is>
      </s:c>
    </s:row>
    <s:row r="15374" ht="3" customHeight="1">
      <s:c r="A15374" s="102" t="inlineStr"/>
      <s:c r="B15374" s="99" t="n"/>
      <s:c r="C15374" s="99" t="n"/>
      <s:c r="D15374" s="116" t="n"/>
      <s:c r="E15374" s="116" t="n"/>
    </s:row>
    <s:row r="15375" ht="146" customHeight="1">
      <s:c r="A15375" s="83" t="inlineStr">
        <s:is>
          <s:t>Tạo lại cùng giá trị (same29)</s:t>
        </s:is>
      </s:c>
      <s:c r="B15375" s="83" t="inlineStr">
        <s:is>
          <s:t>Dựng ô 29 Đỏ, xóa/xóa mềm rồi kích hoạt/tạo lại cùng 29 không qua đường xét nếu có thao tác đó; xem đầu ra. Sau đó đăng ký lại điểm và đọc lại.</s:t>
        </s:is>
      </s:c>
      <s:c r="C15375" s="83" t="inlineStr">
        <s:is>
          <s:r>
            <s:t xml:space="preserve">Khôi phục/tạo lại cùng 29 không làm </s:t>
          </s:r>
          <s:r>
            <s:rPr>
              <s:b val="1"/>
            </s:rPr>
            <s:t>Đỏ</s:t>
          </s:r>
          <s:r>
            <s:t xml:space="preserve"> trước xóa sống lại; ô chỉ có kết quả từ lần xét sau khi tạo lại.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s:t>
          </s:r>
        </s:is>
      </s:c>
      <s:c r="D15375" s="117" t="inlineStr"/>
      <s:c r="E15375" s="118" t="inlineStr">
        <s:is>
          <s:t>Chưa thực hiện</s:t>
        </s:is>
      </s:c>
    </s:row>
    <s:row r="15376" ht="3" customHeight="1">
      <s:c r="A15376" s="102" t="inlineStr"/>
      <s:c r="B15376" s="99" t="n"/>
      <s:c r="C15376" s="99" t="n"/>
      <s:c r="D15376" s="116" t="n"/>
      <s:c r="E15376" s="116" t="n"/>
    </s:row>
    <s:row r="15377" ht="132" customHeight="1">
      <s:c r="A15377" s="83" t="inlineStr">
        <s:is>
          <s:t>Batch cũ sau khi tạo lại ô (old-batch)</s:t>
        </s:is>
      </s:c>
      <s:c r="B15377" s="83" t="inlineStr">
        <s:is>
          <s:t>Dựng ô Đỏ; bắt đầu batch lớp, khi chưa xong xóa ô rồi tạo lại và đăng ký 35. Chờ batch cũ, xem đầu ra và SELECT.</s:t>
        </s:is>
      </s:c>
      <s:c r="C15377" s="83" t="inlineStr">
        <s:is>
          <s:r>
            <s:t>Batch cũ không ghi vào ô đã tạo lại; giữ kết quả lần đăng ký 35/</s:t>
          </s:r>
          <s:r>
            <s:rPr>
              <s:b val="1"/>
            </s:rPr>
            <s:t>Không đỏ</s:t>
          </s:r>
          <s:r>
            <s:t>.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s:t>
          </s:r>
        </s:is>
      </s:c>
      <s:c r="D15377" s="117" t="inlineStr"/>
      <s:c r="E15377" s="118" t="inlineStr">
        <s:is>
          <s:t>Chưa thực hiện</s:t>
        </s:is>
      </s:c>
    </s:row>
    <s:row r="15378" ht="20" customHeight="1">
      <s:c r="A15378" s="119" t="inlineStr">
        <s:is>
          <s:t>Ảnh minh chứng — Chưa có ảnh</s:t>
        </s:is>
      </s:c>
      <s:c r="B15378" s="19" t="n"/>
      <s:c r="C15378" s="19" t="n"/>
      <s:c r="D15378" s="19" t="n"/>
      <s:c r="E15378" s="19" t="n"/>
    </s:row>
    <s:row r="15379" hidden="1" ht="1" customHeight="1">
      <s:c r="A15379" s="120" t="inlineStr"/>
      <s:c r="B15379" s="121" t="n"/>
      <s:c r="C15379" s="121" t="n"/>
      <s:c r="D15379" s="121" t="n"/>
      <s:c r="E15379" s="122" t="n"/>
    </s:row>
    <s:row r="15380" hidden="1" ht="1" customHeight="1">
      <s:c r="A15380" s="120" t="inlineStr"/>
      <s:c r="B15380" s="121" t="n"/>
      <s:c r="C15380" s="121" t="n"/>
      <s:c r="D15380" s="121" t="n"/>
      <s:c r="E15380" s="122" t="n"/>
    </s:row>
    <s:row r="15381" hidden="1" ht="1" customHeight="1">
      <s:c r="A15381" s="120" t="inlineStr"/>
      <s:c r="B15381" s="121" t="n"/>
      <s:c r="C15381" s="121" t="n"/>
      <s:c r="D15381" s="121" t="n"/>
      <s:c r="E15381" s="122" t="n"/>
    </s:row>
    <s:row r="15382" hidden="1" ht="1" customHeight="1">
      <s:c r="A15382" s="120" t="inlineStr"/>
      <s:c r="B15382" s="121" t="n"/>
      <s:c r="C15382" s="121" t="n"/>
      <s:c r="D15382" s="121" t="n"/>
      <s:c r="E15382" s="122" t="n"/>
    </s:row>
    <s:row r="15383" hidden="1" ht="1" customHeight="1">
      <s:c r="A15383" s="120" t="inlineStr"/>
      <s:c r="B15383" s="121" t="n"/>
      <s:c r="C15383" s="121" t="n"/>
      <s:c r="D15383" s="121" t="n"/>
      <s:c r="E15383" s="122" t="n"/>
    </s:row>
    <s:row r="15384" hidden="1" ht="1" customHeight="1">
      <s:c r="A15384" s="120" t="inlineStr"/>
      <s:c r="B15384" s="121" t="n"/>
      <s:c r="C15384" s="121" t="n"/>
      <s:c r="D15384" s="121" t="n"/>
      <s:c r="E15384" s="122" t="n"/>
    </s:row>
    <s:row r="15385" hidden="1" ht="1" customHeight="1">
      <s:c r="A15385" s="120" t="inlineStr"/>
      <s:c r="B15385" s="121" t="n"/>
      <s:c r="C15385" s="121" t="n"/>
      <s:c r="D15385" s="121" t="n"/>
      <s:c r="E15385" s="122" t="n"/>
    </s:row>
    <s:row r="15386" hidden="1" ht="1" customHeight="1">
      <s:c r="A15386" s="120" t="inlineStr"/>
      <s:c r="B15386" s="121" t="n"/>
      <s:c r="C15386" s="121" t="n"/>
      <s:c r="D15386" s="121" t="n"/>
      <s:c r="E15386" s="122" t="n"/>
    </s:row>
    <s:row r="15387" hidden="1" ht="1" customHeight="1">
      <s:c r="A15387" s="120" t="inlineStr"/>
      <s:c r="B15387" s="121" t="n"/>
      <s:c r="C15387" s="121" t="n"/>
      <s:c r="D15387" s="121" t="n"/>
      <s:c r="E15387" s="122" t="n"/>
    </s:row>
    <s:row r="15388" hidden="1" ht="1" customHeight="1">
      <s:c r="A15388" s="120" t="inlineStr"/>
      <s:c r="B15388" s="121" t="n"/>
      <s:c r="C15388" s="121" t="n"/>
      <s:c r="D15388" s="121" t="n"/>
      <s:c r="E15388" s="122" t="n"/>
    </s:row>
    <s:row r="15389" hidden="1" ht="1" customHeight="1">
      <s:c r="A15389" s="120" t="inlineStr"/>
      <s:c r="B15389" s="121" t="n"/>
      <s:c r="C15389" s="121" t="n"/>
      <s:c r="D15389" s="121" t="n"/>
      <s:c r="E15389" s="122" t="n"/>
    </s:row>
    <s:row r="15390" hidden="1" ht="1" customHeight="1">
      <s:c r="A15390" s="120" t="inlineStr"/>
      <s:c r="B15390" s="121" t="n"/>
      <s:c r="C15390" s="121" t="n"/>
      <s:c r="D15390" s="121" t="n"/>
      <s:c r="E15390" s="122" t="n"/>
    </s:row>
    <s:row r="15391" hidden="1" ht="1" customHeight="1">
      <s:c r="A15391" s="120" t="inlineStr"/>
      <s:c r="B15391" s="121" t="n"/>
      <s:c r="C15391" s="121" t="n"/>
      <s:c r="D15391" s="121" t="n"/>
      <s:c r="E15391" s="122" t="n"/>
    </s:row>
    <s:row r="15392" hidden="1" ht="1" customHeight="1">
      <s:c r="A15392" s="120" t="inlineStr"/>
      <s:c r="B15392" s="121" t="n"/>
      <s:c r="C15392" s="121" t="n"/>
      <s:c r="D15392" s="121" t="n"/>
      <s:c r="E15392" s="122" t="n"/>
    </s:row>
    <s:row r="15393" hidden="1" ht="1" customHeight="1">
      <s:c r="A15393" s="120" t="inlineStr"/>
      <s:c r="B15393" s="121" t="n"/>
      <s:c r="C15393" s="121" t="n"/>
      <s:c r="D15393" s="121" t="n"/>
      <s:c r="E15393" s="122" t="n"/>
    </s:row>
    <s:row r="15394" hidden="1" ht="1" customHeight="1">
      <s:c r="A15394" s="120" t="inlineStr"/>
      <s:c r="B15394" s="121" t="n"/>
      <s:c r="C15394" s="121" t="n"/>
      <s:c r="D15394" s="121" t="n"/>
      <s:c r="E15394" s="122" t="n"/>
    </s:row>
    <s:row r="15395" hidden="1" ht="1" customHeight="1">
      <s:c r="A15395" s="120" t="inlineStr"/>
      <s:c r="B15395" s="121" t="n"/>
      <s:c r="C15395" s="121" t="n"/>
      <s:c r="D15395" s="121" t="n"/>
      <s:c r="E15395" s="122" t="n"/>
    </s:row>
    <s:row r="15396" hidden="1" ht="1" customHeight="1">
      <s:c r="A15396" s="120" t="inlineStr"/>
      <s:c r="B15396" s="121" t="n"/>
      <s:c r="C15396" s="121" t="n"/>
      <s:c r="D15396" s="121" t="n"/>
      <s:c r="E15396" s="122" t="n"/>
    </s:row>
    <s:row r="15397" hidden="1" ht="1" customHeight="1">
      <s:c r="A15397" s="120" t="inlineStr"/>
      <s:c r="B15397" s="121" t="n"/>
      <s:c r="C15397" s="121" t="n"/>
      <s:c r="D15397" s="121" t="n"/>
      <s:c r="E15397" s="122" t="n"/>
    </s:row>
    <s:row r="15398" hidden="1" ht="1" customHeight="1">
      <s:c r="A15398" s="120" t="inlineStr"/>
      <s:c r="B15398" s="121" t="n"/>
      <s:c r="C15398" s="121" t="n"/>
      <s:c r="D15398" s="121" t="n"/>
      <s:c r="E15398" s="122" t="n"/>
    </s:row>
    <s:row r="15399" hidden="1" ht="1" customHeight="1">
      <s:c r="A15399" s="120" t="inlineStr"/>
      <s:c r="B15399" s="121" t="n"/>
      <s:c r="C15399" s="121" t="n"/>
      <s:c r="D15399" s="121" t="n"/>
      <s:c r="E15399" s="122" t="n"/>
    </s:row>
    <s:row r="15400" hidden="1" ht="1" customHeight="1">
      <s:c r="A15400" s="120" t="inlineStr"/>
      <s:c r="B15400" s="121" t="n"/>
      <s:c r="C15400" s="121" t="n"/>
      <s:c r="D15400" s="121" t="n"/>
      <s:c r="E15400" s="122" t="n"/>
    </s:row>
    <s:row r="15401" hidden="1" ht="1" customHeight="1">
      <s:c r="A15401" s="120" t="inlineStr"/>
      <s:c r="B15401" s="121" t="n"/>
      <s:c r="C15401" s="121" t="n"/>
      <s:c r="D15401" s="121" t="n"/>
      <s:c r="E15401" s="122" t="n"/>
    </s:row>
    <s:row r="15402" hidden="1" ht="1" customHeight="1">
      <s:c r="A15402" s="120" t="inlineStr"/>
      <s:c r="B15402" s="121" t="n"/>
      <s:c r="C15402" s="121" t="n"/>
      <s:c r="D15402" s="121" t="n"/>
      <s:c r="E15402" s="122" t="n"/>
    </s:row>
    <s:row r="15403" hidden="1" ht="1" customHeight="1">
      <s:c r="A15403" s="120" t="inlineStr"/>
      <s:c r="B15403" s="121" t="n"/>
      <s:c r="C15403" s="121" t="n"/>
      <s:c r="D15403" s="121" t="n"/>
      <s:c r="E15403" s="122" t="n"/>
    </s:row>
    <s:row r="15404" hidden="1" ht="1" customHeight="1">
      <s:c r="A15404" s="120" t="inlineStr"/>
      <s:c r="B15404" s="121" t="n"/>
      <s:c r="C15404" s="121" t="n"/>
      <s:c r="D15404" s="121" t="n"/>
      <s:c r="E15404" s="122" t="n"/>
    </s:row>
    <s:row r="15405" hidden="1" ht="1" customHeight="1">
      <s:c r="A15405" s="120" t="inlineStr"/>
      <s:c r="B15405" s="121" t="n"/>
      <s:c r="C15405" s="121" t="n"/>
      <s:c r="D15405" s="121" t="n"/>
      <s:c r="E15405" s="122" t="n"/>
    </s:row>
    <s:row r="15406" hidden="1" ht="1" customHeight="1">
      <s:c r="A15406" s="120" t="inlineStr"/>
      <s:c r="B15406" s="121" t="n"/>
      <s:c r="C15406" s="121" t="n"/>
      <s:c r="D15406" s="121" t="n"/>
      <s:c r="E15406" s="122" t="n"/>
    </s:row>
    <s:row r="15407" hidden="1" ht="1" customHeight="1">
      <s:c r="A15407" s="120" t="inlineStr"/>
      <s:c r="B15407" s="121" t="n"/>
      <s:c r="C15407" s="121" t="n"/>
      <s:c r="D15407" s="121" t="n"/>
      <s:c r="E15407" s="122" t="n"/>
    </s:row>
    <s:row r="15408" hidden="1" ht="1" customHeight="1">
      <s:c r="A15408" s="120" t="inlineStr"/>
      <s:c r="B15408" s="121" t="n"/>
      <s:c r="C15408" s="121" t="n"/>
      <s:c r="D15408" s="121" t="n"/>
      <s:c r="E15408" s="122" t="n"/>
    </s:row>
    <s:row r="15409" hidden="1" ht="1" customHeight="1">
      <s:c r="A15409" s="120" t="inlineStr"/>
      <s:c r="B15409" s="121" t="n"/>
      <s:c r="C15409" s="121" t="n"/>
      <s:c r="D15409" s="121" t="n"/>
      <s:c r="E15409" s="122" t="n"/>
    </s:row>
    <s:row r="15410" hidden="1" ht="1" customHeight="1">
      <s:c r="A15410" s="120" t="inlineStr"/>
      <s:c r="B15410" s="121" t="n"/>
      <s:c r="C15410" s="121" t="n"/>
      <s:c r="D15410" s="121" t="n"/>
      <s:c r="E15410" s="122" t="n"/>
    </s:row>
    <s:row r="15411" hidden="1" ht="1" customHeight="1">
      <s:c r="A15411" s="120" t="inlineStr"/>
      <s:c r="B15411" s="121" t="n"/>
      <s:c r="C15411" s="121" t="n"/>
      <s:c r="D15411" s="121" t="n"/>
      <s:c r="E15411" s="122" t="n"/>
    </s:row>
    <s:row r="15412" hidden="1" ht="1" customHeight="1">
      <s:c r="A15412" s="120" t="inlineStr"/>
      <s:c r="B15412" s="121" t="n"/>
      <s:c r="C15412" s="121" t="n"/>
      <s:c r="D15412" s="121" t="n"/>
      <s:c r="E15412" s="122" t="n"/>
    </s:row>
    <s:row r="15413" hidden="1" ht="1" customHeight="1">
      <s:c r="A15413" s="120" t="inlineStr"/>
      <s:c r="B15413" s="121" t="n"/>
      <s:c r="C15413" s="121" t="n"/>
      <s:c r="D15413" s="121" t="n"/>
      <s:c r="E15413" s="122" t="n"/>
    </s:row>
    <s:row r="15414" hidden="1" ht="1" customHeight="1">
      <s:c r="A15414" s="120" t="inlineStr"/>
      <s:c r="B15414" s="121" t="n"/>
      <s:c r="C15414" s="121" t="n"/>
      <s:c r="D15414" s="121" t="n"/>
      <s:c r="E15414" s="122" t="n"/>
    </s:row>
    <s:row r="15415" hidden="1" ht="1" customHeight="1">
      <s:c r="A15415" s="120" t="inlineStr"/>
      <s:c r="B15415" s="121" t="n"/>
      <s:c r="C15415" s="121" t="n"/>
      <s:c r="D15415" s="121" t="n"/>
      <s:c r="E15415" s="122" t="n"/>
    </s:row>
    <s:row r="15416" hidden="1" ht="1" customHeight="1">
      <s:c r="A15416" s="120" t="inlineStr"/>
      <s:c r="B15416" s="121" t="n"/>
      <s:c r="C15416" s="121" t="n"/>
      <s:c r="D15416" s="121" t="n"/>
      <s:c r="E15416" s="122" t="n"/>
    </s:row>
    <s:row r="15417" hidden="1" ht="1" customHeight="1">
      <s:c r="A15417" s="120" t="inlineStr"/>
      <s:c r="B15417" s="121" t="n"/>
      <s:c r="C15417" s="121" t="n"/>
      <s:c r="D15417" s="121" t="n"/>
      <s:c r="E15417" s="122" t="n"/>
    </s:row>
    <s:row r="15418" hidden="1" ht="1" customHeight="1">
      <s:c r="A15418" s="120" t="inlineStr"/>
      <s:c r="B15418" s="121" t="n"/>
      <s:c r="C15418" s="121" t="n"/>
      <s:c r="D15418" s="121" t="n"/>
      <s:c r="E15418" s="122" t="n"/>
    </s:row>
    <s:row r="15419" hidden="1" ht="1" customHeight="1">
      <s:c r="A15419" s="120" t="inlineStr"/>
      <s:c r="B15419" s="121" t="n"/>
      <s:c r="C15419" s="121" t="n"/>
      <s:c r="D15419" s="121" t="n"/>
      <s:c r="E15419" s="122" t="n"/>
    </s:row>
    <s:row r="15420" hidden="1" ht="1" customHeight="1">
      <s:c r="A15420" s="120" t="inlineStr"/>
      <s:c r="B15420" s="121" t="n"/>
      <s:c r="C15420" s="121" t="n"/>
      <s:c r="D15420" s="121" t="n"/>
      <s:c r="E15420" s="122" t="n"/>
    </s:row>
    <s:row r="15421" hidden="1" ht="1" customHeight="1">
      <s:c r="A15421" s="120" t="inlineStr"/>
      <s:c r="B15421" s="121" t="n"/>
      <s:c r="C15421" s="121" t="n"/>
      <s:c r="D15421" s="121" t="n"/>
      <s:c r="E15421" s="122" t="n"/>
    </s:row>
    <s:row r="15422" hidden="1" ht="1" customHeight="1">
      <s:c r="A15422" s="120" t="inlineStr"/>
      <s:c r="B15422" s="121" t="n"/>
      <s:c r="C15422" s="121" t="n"/>
      <s:c r="D15422" s="121" t="n"/>
      <s:c r="E15422" s="122" t="n"/>
    </s:row>
    <s:row r="15423" hidden="1" ht="1" customHeight="1">
      <s:c r="A15423" s="120" t="inlineStr"/>
      <s:c r="B15423" s="121" t="n"/>
      <s:c r="C15423" s="121" t="n"/>
      <s:c r="D15423" s="121" t="n"/>
      <s:c r="E15423" s="122" t="n"/>
    </s:row>
    <s:row r="15424" hidden="1" ht="1" customHeight="1">
      <s:c r="A15424" s="120" t="inlineStr"/>
      <s:c r="B15424" s="121" t="n"/>
      <s:c r="C15424" s="121" t="n"/>
      <s:c r="D15424" s="121" t="n"/>
      <s:c r="E15424" s="122" t="n"/>
    </s:row>
    <s:row r="15425" hidden="1" ht="1" customHeight="1">
      <s:c r="A15425" s="120" t="inlineStr"/>
      <s:c r="B15425" s="121" t="n"/>
      <s:c r="C15425" s="121" t="n"/>
      <s:c r="D15425" s="121" t="n"/>
      <s:c r="E15425" s="122" t="n"/>
    </s:row>
    <s:row r="15426" hidden="1" ht="1" customHeight="1">
      <s:c r="A15426" s="120" t="inlineStr"/>
      <s:c r="B15426" s="121" t="n"/>
      <s:c r="C15426" s="121" t="n"/>
      <s:c r="D15426" s="121" t="n"/>
      <s:c r="E15426" s="122" t="n"/>
    </s:row>
    <s:row r="15427" hidden="1" ht="1" customHeight="1">
      <s:c r="A15427" s="120" t="inlineStr"/>
      <s:c r="B15427" s="121" t="n"/>
      <s:c r="C15427" s="121" t="n"/>
      <s:c r="D15427" s="121" t="n"/>
      <s:c r="E15427" s="122" t="n"/>
    </s:row>
    <s:row r="15428" hidden="1" ht="1" customHeight="1">
      <s:c r="A15428" s="120" t="inlineStr"/>
      <s:c r="B15428" s="121" t="n"/>
      <s:c r="C15428" s="121" t="n"/>
      <s:c r="D15428" s="121" t="n"/>
      <s:c r="E15428" s="122" t="n"/>
    </s:row>
    <s:row r="15429" hidden="1" ht="1" customHeight="1">
      <s:c r="A15429" s="120" t="inlineStr"/>
      <s:c r="B15429" s="121" t="n"/>
      <s:c r="C15429" s="121" t="n"/>
      <s:c r="D15429" s="121" t="n"/>
      <s:c r="E15429" s="122" t="n"/>
    </s:row>
    <s:row r="15430" hidden="1" ht="1" customHeight="1">
      <s:c r="A15430" s="120" t="inlineStr"/>
      <s:c r="B15430" s="121" t="n"/>
      <s:c r="C15430" s="121" t="n"/>
      <s:c r="D15430" s="121" t="n"/>
      <s:c r="E15430" s="122" t="n"/>
    </s:row>
    <s:row r="15431" hidden="1" ht="1" customHeight="1">
      <s:c r="A15431" s="120" t="inlineStr"/>
      <s:c r="B15431" s="121" t="n"/>
      <s:c r="C15431" s="121" t="n"/>
      <s:c r="D15431" s="121" t="n"/>
      <s:c r="E15431" s="122" t="n"/>
    </s:row>
    <s:row r="15432" hidden="1" ht="1" customHeight="1">
      <s:c r="A15432" s="120" t="inlineStr"/>
      <s:c r="B15432" s="121" t="n"/>
      <s:c r="C15432" s="121" t="n"/>
      <s:c r="D15432" s="121" t="n"/>
      <s:c r="E15432" s="122" t="n"/>
    </s:row>
    <s:row r="15433" hidden="1" ht="1" customHeight="1">
      <s:c r="A15433" s="120" t="inlineStr"/>
      <s:c r="B15433" s="121" t="n"/>
      <s:c r="C15433" s="121" t="n"/>
      <s:c r="D15433" s="121" t="n"/>
      <s:c r="E15433" s="122" t="n"/>
    </s:row>
    <s:row r="15434" hidden="1" ht="1" customHeight="1">
      <s:c r="A15434" s="120" t="inlineStr"/>
      <s:c r="B15434" s="121" t="n"/>
      <s:c r="C15434" s="121" t="n"/>
      <s:c r="D15434" s="121" t="n"/>
      <s:c r="E15434" s="122" t="n"/>
    </s:row>
    <s:row r="15435" hidden="1" ht="1" customHeight="1">
      <s:c r="A15435" s="120" t="inlineStr"/>
      <s:c r="B15435" s="121" t="n"/>
      <s:c r="C15435" s="121" t="n"/>
      <s:c r="D15435" s="121" t="n"/>
      <s:c r="E15435" s="122" t="n"/>
    </s:row>
    <s:row r="15436" hidden="1" ht="1" customHeight="1">
      <s:c r="A15436" s="120" t="inlineStr"/>
      <s:c r="B15436" s="121" t="n"/>
      <s:c r="C15436" s="121" t="n"/>
      <s:c r="D15436" s="121" t="n"/>
      <s:c r="E15436" s="122" t="n"/>
    </s:row>
    <s:row r="15437" hidden="1" ht="1" customHeight="1">
      <s:c r="A15437" s="120" t="inlineStr"/>
      <s:c r="B15437" s="121" t="n"/>
      <s:c r="C15437" s="121" t="n"/>
      <s:c r="D15437" s="121" t="n"/>
      <s:c r="E15437" s="122" t="n"/>
    </s:row>
    <s:row r="15438" hidden="1" ht="1" customHeight="1">
      <s:c r="A15438" s="120" t="inlineStr"/>
      <s:c r="B15438" s="121" t="n"/>
      <s:c r="C15438" s="121" t="n"/>
      <s:c r="D15438" s="121" t="n"/>
      <s:c r="E15438" s="122" t="n"/>
    </s:row>
    <s:row r="15439" hidden="1" ht="1" customHeight="1">
      <s:c r="A15439" s="120" t="inlineStr"/>
      <s:c r="B15439" s="121" t="n"/>
      <s:c r="C15439" s="121" t="n"/>
      <s:c r="D15439" s="121" t="n"/>
      <s:c r="E15439" s="122" t="n"/>
    </s:row>
    <s:row r="15440" hidden="1" ht="1" customHeight="1">
      <s:c r="A15440" s="120" t="inlineStr"/>
      <s:c r="B15440" s="121" t="n"/>
      <s:c r="C15440" s="121" t="n"/>
      <s:c r="D15440" s="121" t="n"/>
      <s:c r="E15440" s="122" t="n"/>
    </s:row>
    <s:row r="15441" hidden="1" ht="1" customHeight="1">
      <s:c r="A15441" s="120" t="inlineStr"/>
      <s:c r="B15441" s="121" t="n"/>
      <s:c r="C15441" s="121" t="n"/>
      <s:c r="D15441" s="121" t="n"/>
      <s:c r="E15441" s="122" t="n"/>
    </s:row>
    <s:row r="15442" hidden="1" ht="1" customHeight="1">
      <s:c r="A15442" s="120" t="inlineStr"/>
      <s:c r="B15442" s="121" t="n"/>
      <s:c r="C15442" s="121" t="n"/>
      <s:c r="D15442" s="121" t="n"/>
      <s:c r="E15442" s="122" t="n"/>
    </s:row>
    <s:row r="15443" hidden="1" ht="1" customHeight="1">
      <s:c r="A15443" s="120" t="inlineStr"/>
      <s:c r="B15443" s="121" t="n"/>
      <s:c r="C15443" s="121" t="n"/>
      <s:c r="D15443" s="121" t="n"/>
      <s:c r="E15443" s="122" t="n"/>
    </s:row>
    <s:row r="15444" hidden="1" ht="1" customHeight="1">
      <s:c r="A15444" s="120" t="inlineStr"/>
      <s:c r="B15444" s="121" t="n"/>
      <s:c r="C15444" s="121" t="n"/>
      <s:c r="D15444" s="121" t="n"/>
      <s:c r="E15444" s="122" t="n"/>
    </s:row>
    <s:row r="15445" hidden="1" ht="1" customHeight="1">
      <s:c r="A15445" s="120" t="inlineStr"/>
      <s:c r="B15445" s="121" t="n"/>
      <s:c r="C15445" s="121" t="n"/>
      <s:c r="D15445" s="121" t="n"/>
      <s:c r="E15445" s="122" t="n"/>
    </s:row>
    <s:row r="15446" hidden="1" ht="1" customHeight="1">
      <s:c r="A15446" s="120" t="inlineStr"/>
      <s:c r="B15446" s="121" t="n"/>
      <s:c r="C15446" s="121" t="n"/>
      <s:c r="D15446" s="121" t="n"/>
      <s:c r="E15446" s="122" t="n"/>
    </s:row>
    <s:row r="15447" hidden="1" ht="1" customHeight="1">
      <s:c r="A15447" s="120" t="inlineStr"/>
      <s:c r="B15447" s="121" t="n"/>
      <s:c r="C15447" s="121" t="n"/>
      <s:c r="D15447" s="121" t="n"/>
      <s:c r="E15447" s="122" t="n"/>
    </s:row>
    <s:row r="15448" hidden="1" ht="1" customHeight="1">
      <s:c r="A15448" s="120" t="inlineStr"/>
      <s:c r="B15448" s="121" t="n"/>
      <s:c r="C15448" s="121" t="n"/>
      <s:c r="D15448" s="121" t="n"/>
      <s:c r="E15448" s="122" t="n"/>
    </s:row>
    <s:row r="15449" hidden="1" ht="1" customHeight="1">
      <s:c r="A15449" s="120" t="inlineStr"/>
      <s:c r="B15449" s="121" t="n"/>
      <s:c r="C15449" s="121" t="n"/>
      <s:c r="D15449" s="121" t="n"/>
      <s:c r="E15449" s="122" t="n"/>
    </s:row>
    <s:row r="15450" hidden="1" ht="1" customHeight="1">
      <s:c r="A15450" s="120" t="inlineStr"/>
      <s:c r="B15450" s="121" t="n"/>
      <s:c r="C15450" s="121" t="n"/>
      <s:c r="D15450" s="121" t="n"/>
      <s:c r="E15450" s="122" t="n"/>
    </s:row>
    <s:row r="15451" hidden="1" ht="1" customHeight="1">
      <s:c r="A15451" s="120" t="inlineStr"/>
      <s:c r="B15451" s="121" t="n"/>
      <s:c r="C15451" s="121" t="n"/>
      <s:c r="D15451" s="121" t="n"/>
      <s:c r="E15451" s="122" t="n"/>
    </s:row>
    <s:row r="15452" hidden="1" ht="1" customHeight="1">
      <s:c r="A15452" s="120" t="inlineStr"/>
      <s:c r="B15452" s="121" t="n"/>
      <s:c r="C15452" s="121" t="n"/>
      <s:c r="D15452" s="121" t="n"/>
      <s:c r="E15452" s="122" t="n"/>
    </s:row>
    <s:row r="15453" hidden="1" ht="1" customHeight="1">
      <s:c r="A15453" s="120" t="inlineStr"/>
      <s:c r="B15453" s="121" t="n"/>
      <s:c r="C15453" s="121" t="n"/>
      <s:c r="D15453" s="121" t="n"/>
      <s:c r="E15453" s="122" t="n"/>
    </s:row>
    <s:row r="15454" hidden="1" ht="1" customHeight="1">
      <s:c r="A15454" s="120" t="inlineStr"/>
      <s:c r="B15454" s="121" t="n"/>
      <s:c r="C15454" s="121" t="n"/>
      <s:c r="D15454" s="121" t="n"/>
      <s:c r="E15454" s="122" t="n"/>
    </s:row>
    <s:row r="15455" hidden="1" ht="1" customHeight="1">
      <s:c r="A15455" s="120" t="inlineStr"/>
      <s:c r="B15455" s="121" t="n"/>
      <s:c r="C15455" s="121" t="n"/>
      <s:c r="D15455" s="121" t="n"/>
      <s:c r="E15455" s="122" t="n"/>
    </s:row>
    <s:row r="15456" hidden="1" ht="1" customHeight="1">
      <s:c r="A15456" s="120" t="inlineStr"/>
      <s:c r="B15456" s="121" t="n"/>
      <s:c r="C15456" s="121" t="n"/>
      <s:c r="D15456" s="121" t="n"/>
      <s:c r="E15456" s="122" t="n"/>
    </s:row>
    <s:row r="15457" hidden="1" ht="1" customHeight="1">
      <s:c r="A15457" s="120" t="inlineStr"/>
      <s:c r="B15457" s="121" t="n"/>
      <s:c r="C15457" s="121" t="n"/>
      <s:c r="D15457" s="121" t="n"/>
      <s:c r="E15457" s="122" t="n"/>
    </s:row>
    <s:row r="15458" hidden="1" ht="1" customHeight="1">
      <s:c r="A15458" s="120" t="inlineStr"/>
      <s:c r="B15458" s="121" t="n"/>
      <s:c r="C15458" s="121" t="n"/>
      <s:c r="D15458" s="121" t="n"/>
      <s:c r="E15458" s="122" t="n"/>
    </s:row>
    <s:row r="15459" hidden="1" ht="1" customHeight="1">
      <s:c r="A15459" s="120" t="inlineStr"/>
      <s:c r="B15459" s="121" t="n"/>
      <s:c r="C15459" s="121" t="n"/>
      <s:c r="D15459" s="121" t="n"/>
      <s:c r="E15459" s="122" t="n"/>
    </s:row>
    <s:row r="15460" hidden="1" ht="1" customHeight="1">
      <s:c r="A15460" s="120" t="inlineStr"/>
      <s:c r="B15460" s="121" t="n"/>
      <s:c r="C15460" s="121" t="n"/>
      <s:c r="D15460" s="121" t="n"/>
      <s:c r="E15460" s="122" t="n"/>
    </s:row>
    <s:row r="15461" hidden="1" ht="1" customHeight="1">
      <s:c r="A15461" s="120" t="inlineStr"/>
      <s:c r="B15461" s="121" t="n"/>
      <s:c r="C15461" s="121" t="n"/>
      <s:c r="D15461" s="121" t="n"/>
      <s:c r="E15461" s="122" t="n"/>
    </s:row>
    <s:row r="15462" hidden="1" ht="1" customHeight="1">
      <s:c r="A15462" s="120" t="inlineStr"/>
      <s:c r="B15462" s="121" t="n"/>
      <s:c r="C15462" s="121" t="n"/>
      <s:c r="D15462" s="121" t="n"/>
      <s:c r="E15462" s="122" t="n"/>
    </s:row>
    <s:row r="15463" hidden="1" ht="1" customHeight="1">
      <s:c r="A15463" s="120" t="inlineStr"/>
      <s:c r="B15463" s="121" t="n"/>
      <s:c r="C15463" s="121" t="n"/>
      <s:c r="D15463" s="121" t="n"/>
      <s:c r="E15463" s="122" t="n"/>
    </s:row>
    <s:row r="15464" hidden="1" ht="1" customHeight="1">
      <s:c r="A15464" s="120" t="inlineStr"/>
      <s:c r="B15464" s="121" t="n"/>
      <s:c r="C15464" s="121" t="n"/>
      <s:c r="D15464" s="121" t="n"/>
      <s:c r="E15464" s="122" t="n"/>
    </s:row>
    <s:row r="15465" hidden="1" ht="1" customHeight="1">
      <s:c r="A15465" s="120" t="inlineStr"/>
      <s:c r="B15465" s="121" t="n"/>
      <s:c r="C15465" s="121" t="n"/>
      <s:c r="D15465" s="121" t="n"/>
      <s:c r="E15465" s="122" t="n"/>
    </s:row>
    <s:row r="15466" hidden="1" ht="1" customHeight="1">
      <s:c r="A15466" s="120" t="inlineStr"/>
      <s:c r="B15466" s="121" t="n"/>
      <s:c r="C15466" s="121" t="n"/>
      <s:c r="D15466" s="121" t="n"/>
      <s:c r="E15466" s="122" t="n"/>
    </s:row>
    <s:row r="15467" hidden="1" ht="1" customHeight="1">
      <s:c r="A15467" s="120" t="inlineStr"/>
      <s:c r="B15467" s="121" t="n"/>
      <s:c r="C15467" s="121" t="n"/>
      <s:c r="D15467" s="121" t="n"/>
      <s:c r="E15467" s="122" t="n"/>
    </s:row>
    <s:row r="15468" hidden="1" ht="1" customHeight="1">
      <s:c r="A15468" s="120" t="inlineStr"/>
      <s:c r="B15468" s="121" t="n"/>
      <s:c r="C15468" s="121" t="n"/>
      <s:c r="D15468" s="121" t="n"/>
      <s:c r="E15468" s="122" t="n"/>
    </s:row>
    <s:row r="15469" hidden="1" ht="1" customHeight="1">
      <s:c r="A15469" s="120" t="inlineStr"/>
      <s:c r="B15469" s="121" t="n"/>
      <s:c r="C15469" s="121" t="n"/>
      <s:c r="D15469" s="121" t="n"/>
      <s:c r="E15469" s="122" t="n"/>
    </s:row>
    <s:row r="15470" hidden="1" ht="1" customHeight="1">
      <s:c r="A15470" s="120" t="inlineStr"/>
      <s:c r="B15470" s="121" t="n"/>
      <s:c r="C15470" s="121" t="n"/>
      <s:c r="D15470" s="121" t="n"/>
      <s:c r="E15470" s="122" t="n"/>
    </s:row>
    <s:row r="15471" hidden="1" ht="1" customHeight="1">
      <s:c r="A15471" s="120" t="inlineStr"/>
      <s:c r="B15471" s="121" t="n"/>
      <s:c r="C15471" s="121" t="n"/>
      <s:c r="D15471" s="121" t="n"/>
      <s:c r="E15471" s="122" t="n"/>
    </s:row>
    <s:row r="15472" hidden="1" ht="1" customHeight="1">
      <s:c r="A15472" s="120" t="inlineStr"/>
      <s:c r="B15472" s="121" t="n"/>
      <s:c r="C15472" s="121" t="n"/>
      <s:c r="D15472" s="121" t="n"/>
      <s:c r="E15472" s="122" t="n"/>
    </s:row>
    <s:row r="15473" hidden="1" ht="1" customHeight="1">
      <s:c r="A15473" s="120" t="inlineStr"/>
      <s:c r="B15473" s="121" t="n"/>
      <s:c r="C15473" s="121" t="n"/>
      <s:c r="D15473" s="121" t="n"/>
      <s:c r="E15473" s="122" t="n"/>
    </s:row>
    <s:row r="15474" hidden="1" ht="1" customHeight="1">
      <s:c r="A15474" s="120" t="inlineStr"/>
      <s:c r="B15474" s="121" t="n"/>
      <s:c r="C15474" s="121" t="n"/>
      <s:c r="D15474" s="121" t="n"/>
      <s:c r="E15474" s="122" t="n"/>
    </s:row>
    <s:row r="15475" hidden="1" ht="1" customHeight="1">
      <s:c r="A15475" s="120" t="inlineStr"/>
      <s:c r="B15475" s="121" t="n"/>
      <s:c r="C15475" s="121" t="n"/>
      <s:c r="D15475" s="121" t="n"/>
      <s:c r="E15475" s="122" t="n"/>
    </s:row>
    <s:row r="15476" hidden="1" ht="1" customHeight="1">
      <s:c r="A15476" s="120" t="inlineStr"/>
      <s:c r="B15476" s="121" t="n"/>
      <s:c r="C15476" s="121" t="n"/>
      <s:c r="D15476" s="121" t="n"/>
      <s:c r="E15476" s="122" t="n"/>
    </s:row>
    <s:row r="15477" hidden="1" ht="1" customHeight="1">
      <s:c r="A15477" s="120" t="inlineStr"/>
      <s:c r="B15477" s="121" t="n"/>
      <s:c r="C15477" s="121" t="n"/>
      <s:c r="D15477" s="121" t="n"/>
      <s:c r="E15477" s="122" t="n"/>
    </s:row>
    <s:row r="15478" hidden="1" ht="1" customHeight="1">
      <s:c r="A15478" s="120" t="inlineStr"/>
      <s:c r="B15478" s="121" t="n"/>
      <s:c r="C15478" s="121" t="n"/>
      <s:c r="D15478" s="121" t="n"/>
      <s:c r="E15478" s="122" t="n"/>
    </s:row>
    <s:row r="15479" hidden="1" ht="1" customHeight="1">
      <s:c r="A15479" s="120" t="inlineStr"/>
      <s:c r="B15479" s="121" t="n"/>
      <s:c r="C15479" s="121" t="n"/>
      <s:c r="D15479" s="121" t="n"/>
      <s:c r="E15479" s="122" t="n"/>
    </s:row>
    <s:row r="15480" hidden="1" ht="1" customHeight="1">
      <s:c r="A15480" s="120" t="inlineStr"/>
      <s:c r="B15480" s="121" t="n"/>
      <s:c r="C15480" s="121" t="n"/>
      <s:c r="D15480" s="121" t="n"/>
      <s:c r="E15480" s="122" t="n"/>
    </s:row>
    <s:row r="15481" hidden="1" ht="1" customHeight="1">
      <s:c r="A15481" s="120" t="inlineStr"/>
      <s:c r="B15481" s="121" t="n"/>
      <s:c r="C15481" s="121" t="n"/>
      <s:c r="D15481" s="121" t="n"/>
      <s:c r="E15481" s="122" t="n"/>
    </s:row>
    <s:row r="15482" hidden="1" ht="1" customHeight="1">
      <s:c r="A15482" s="120" t="inlineStr"/>
      <s:c r="B15482" s="121" t="n"/>
      <s:c r="C15482" s="121" t="n"/>
      <s:c r="D15482" s="121" t="n"/>
      <s:c r="E15482" s="122" t="n"/>
    </s:row>
    <s:row r="15483" hidden="1" ht="1" customHeight="1">
      <s:c r="A15483" s="120" t="inlineStr"/>
      <s:c r="B15483" s="121" t="n"/>
      <s:c r="C15483" s="121" t="n"/>
      <s:c r="D15483" s="121" t="n"/>
      <s:c r="E15483" s="122" t="n"/>
    </s:row>
    <s:row r="15484" hidden="1" ht="1" customHeight="1">
      <s:c r="A15484" s="120" t="inlineStr"/>
      <s:c r="B15484" s="121" t="n"/>
      <s:c r="C15484" s="121" t="n"/>
      <s:c r="D15484" s="121" t="n"/>
      <s:c r="E15484" s="122" t="n"/>
    </s:row>
    <s:row r="15485" hidden="1" ht="1" customHeight="1">
      <s:c r="A15485" s="120" t="inlineStr"/>
      <s:c r="B15485" s="121" t="n"/>
      <s:c r="C15485" s="121" t="n"/>
      <s:c r="D15485" s="121" t="n"/>
      <s:c r="E15485" s="122" t="n"/>
    </s:row>
    <s:row r="15486" hidden="1" ht="1" customHeight="1">
      <s:c r="A15486" s="120" t="inlineStr"/>
      <s:c r="B15486" s="121" t="n"/>
      <s:c r="C15486" s="121" t="n"/>
      <s:c r="D15486" s="121" t="n"/>
      <s:c r="E15486" s="122" t="n"/>
    </s:row>
    <s:row r="15487" hidden="1" ht="1" customHeight="1">
      <s:c r="A15487" s="120" t="inlineStr"/>
      <s:c r="B15487" s="121" t="n"/>
      <s:c r="C15487" s="121" t="n"/>
      <s:c r="D15487" s="121" t="n"/>
      <s:c r="E15487" s="122" t="n"/>
    </s:row>
    <s:row r="15488" hidden="1" ht="1" customHeight="1">
      <s:c r="A15488" s="120" t="inlineStr"/>
      <s:c r="B15488" s="121" t="n"/>
      <s:c r="C15488" s="121" t="n"/>
      <s:c r="D15488" s="121" t="n"/>
      <s:c r="E15488" s="122" t="n"/>
    </s:row>
    <s:row r="15489" hidden="1" ht="1" customHeight="1">
      <s:c r="A15489" s="120" t="inlineStr"/>
      <s:c r="B15489" s="121" t="n"/>
      <s:c r="C15489" s="121" t="n"/>
      <s:c r="D15489" s="121" t="n"/>
      <s:c r="E15489" s="122" t="n"/>
    </s:row>
    <s:row r="15490" hidden="1" ht="1" customHeight="1">
      <s:c r="A15490" s="120" t="inlineStr"/>
      <s:c r="B15490" s="121" t="n"/>
      <s:c r="C15490" s="121" t="n"/>
      <s:c r="D15490" s="121" t="n"/>
      <s:c r="E15490" s="122" t="n"/>
    </s:row>
    <s:row r="15491" hidden="1" ht="1" customHeight="1">
      <s:c r="A15491" s="120" t="inlineStr"/>
      <s:c r="B15491" s="121" t="n"/>
      <s:c r="C15491" s="121" t="n"/>
      <s:c r="D15491" s="121" t="n"/>
      <s:c r="E15491" s="122" t="n"/>
    </s:row>
    <s:row r="15492" hidden="1" ht="1" customHeight="1">
      <s:c r="A15492" s="120" t="inlineStr"/>
      <s:c r="B15492" s="121" t="n"/>
      <s:c r="C15492" s="121" t="n"/>
      <s:c r="D15492" s="121" t="n"/>
      <s:c r="E15492" s="122" t="n"/>
    </s:row>
    <s:row r="15493" hidden="1" ht="1" customHeight="1">
      <s:c r="A15493" s="120" t="inlineStr"/>
      <s:c r="B15493" s="121" t="n"/>
      <s:c r="C15493" s="121" t="n"/>
      <s:c r="D15493" s="121" t="n"/>
      <s:c r="E15493" s="122" t="n"/>
    </s:row>
    <s:row r="15494" hidden="1" ht="1" customHeight="1">
      <s:c r="A15494" s="120" t="inlineStr"/>
      <s:c r="B15494" s="121" t="n"/>
      <s:c r="C15494" s="121" t="n"/>
      <s:c r="D15494" s="121" t="n"/>
      <s:c r="E15494" s="122" t="n"/>
    </s:row>
    <s:row r="15495" hidden="1" ht="1" customHeight="1">
      <s:c r="A15495" s="120" t="inlineStr"/>
      <s:c r="B15495" s="121" t="n"/>
      <s:c r="C15495" s="121" t="n"/>
      <s:c r="D15495" s="121" t="n"/>
      <s:c r="E15495" s="122" t="n"/>
    </s:row>
    <s:row r="15496" hidden="1" ht="1" customHeight="1">
      <s:c r="A15496" s="120" t="inlineStr"/>
      <s:c r="B15496" s="121" t="n"/>
      <s:c r="C15496" s="121" t="n"/>
      <s:c r="D15496" s="121" t="n"/>
      <s:c r="E15496" s="122" t="n"/>
    </s:row>
    <s:row r="15497" hidden="1" ht="1" customHeight="1">
      <s:c r="A15497" s="120" t="inlineStr"/>
      <s:c r="B15497" s="121" t="n"/>
      <s:c r="C15497" s="121" t="n"/>
      <s:c r="D15497" s="121" t="n"/>
      <s:c r="E15497" s="122" t="n"/>
    </s:row>
    <s:row r="15498" hidden="1" ht="1" customHeight="1">
      <s:c r="A15498" s="120" t="inlineStr"/>
      <s:c r="B15498" s="121" t="n"/>
      <s:c r="C15498" s="121" t="n"/>
      <s:c r="D15498" s="121" t="n"/>
      <s:c r="E15498" s="122" t="n"/>
    </s:row>
    <s:row r="15499" hidden="1" ht="1" customHeight="1">
      <s:c r="A15499" s="120" t="inlineStr"/>
      <s:c r="B15499" s="121" t="n"/>
      <s:c r="C15499" s="121" t="n"/>
      <s:c r="D15499" s="121" t="n"/>
      <s:c r="E15499" s="122" t="n"/>
    </s:row>
    <s:row r="15500" hidden="1" ht="1" customHeight="1">
      <s:c r="A15500" s="120" t="inlineStr"/>
      <s:c r="B15500" s="121" t="n"/>
      <s:c r="C15500" s="121" t="n"/>
      <s:c r="D15500" s="121" t="n"/>
      <s:c r="E15500" s="122" t="n"/>
    </s:row>
    <s:row r="15501" hidden="1" ht="1" customHeight="1">
      <s:c r="A15501" s="120" t="inlineStr"/>
      <s:c r="B15501" s="121" t="n"/>
      <s:c r="C15501" s="121" t="n"/>
      <s:c r="D15501" s="121" t="n"/>
      <s:c r="E15501" s="122" t="n"/>
    </s:row>
    <s:row r="15502" hidden="1" ht="1" customHeight="1">
      <s:c r="A15502" s="120" t="inlineStr"/>
      <s:c r="B15502" s="121" t="n"/>
      <s:c r="C15502" s="121" t="n"/>
      <s:c r="D15502" s="121" t="n"/>
      <s:c r="E15502" s="122" t="n"/>
    </s:row>
    <s:row r="15503" hidden="1" ht="1" customHeight="1">
      <s:c r="A15503" s="120" t="inlineStr"/>
      <s:c r="B15503" s="121" t="n"/>
      <s:c r="C15503" s="121" t="n"/>
      <s:c r="D15503" s="121" t="n"/>
      <s:c r="E15503" s="122" t="n"/>
    </s:row>
    <s:row r="15504" hidden="1" ht="1" customHeight="1">
      <s:c r="A15504" s="120" t="inlineStr"/>
      <s:c r="B15504" s="121" t="n"/>
      <s:c r="C15504" s="121" t="n"/>
      <s:c r="D15504" s="121" t="n"/>
      <s:c r="E15504" s="122" t="n"/>
    </s:row>
    <s:row r="15505" hidden="1" ht="1" customHeight="1">
      <s:c r="A15505" s="120" t="inlineStr"/>
      <s:c r="B15505" s="121" t="n"/>
      <s:c r="C15505" s="121" t="n"/>
      <s:c r="D15505" s="121" t="n"/>
      <s:c r="E15505" s="122" t="n"/>
    </s:row>
    <s:row r="15506" hidden="1" ht="1" customHeight="1">
      <s:c r="A15506" s="120" t="inlineStr"/>
      <s:c r="B15506" s="121" t="n"/>
      <s:c r="C15506" s="121" t="n"/>
      <s:c r="D15506" s="121" t="n"/>
      <s:c r="E15506" s="122" t="n"/>
    </s:row>
    <s:row r="15507" hidden="1" ht="1" customHeight="1">
      <s:c r="A15507" s="120" t="inlineStr"/>
      <s:c r="B15507" s="121" t="n"/>
      <s:c r="C15507" s="121" t="n"/>
      <s:c r="D15507" s="121" t="n"/>
      <s:c r="E15507" s="122" t="n"/>
    </s:row>
    <s:row r="15508" hidden="1" ht="1" customHeight="1">
      <s:c r="A15508" s="120" t="inlineStr"/>
      <s:c r="B15508" s="121" t="n"/>
      <s:c r="C15508" s="121" t="n"/>
      <s:c r="D15508" s="121" t="n"/>
      <s:c r="E15508" s="122" t="n"/>
    </s:row>
    <s:row r="15509" hidden="1" ht="1" customHeight="1">
      <s:c r="A15509" s="120" t="inlineStr"/>
      <s:c r="B15509" s="121" t="n"/>
      <s:c r="C15509" s="121" t="n"/>
      <s:c r="D15509" s="121" t="n"/>
      <s:c r="E15509" s="122" t="n"/>
    </s:row>
    <s:row r="15510" hidden="1" ht="1" customHeight="1">
      <s:c r="A15510" s="120" t="inlineStr"/>
      <s:c r="B15510" s="121" t="n"/>
      <s:c r="C15510" s="121" t="n"/>
      <s:c r="D15510" s="121" t="n"/>
      <s:c r="E15510" s="122" t="n"/>
    </s:row>
    <s:row r="15511" hidden="1" ht="1" customHeight="1">
      <s:c r="A15511" s="120" t="inlineStr"/>
      <s:c r="B15511" s="121" t="n"/>
      <s:c r="C15511" s="121" t="n"/>
      <s:c r="D15511" s="121" t="n"/>
      <s:c r="E15511" s="122" t="n"/>
    </s:row>
    <s:row r="15512" hidden="1" ht="1" customHeight="1">
      <s:c r="A15512" s="120" t="inlineStr"/>
      <s:c r="B15512" s="121" t="n"/>
      <s:c r="C15512" s="121" t="n"/>
      <s:c r="D15512" s="121" t="n"/>
      <s:c r="E15512" s="122" t="n"/>
    </s:row>
    <s:row r="15513" hidden="1" ht="1" customHeight="1">
      <s:c r="A15513" s="120" t="inlineStr"/>
      <s:c r="B15513" s="121" t="n"/>
      <s:c r="C15513" s="121" t="n"/>
      <s:c r="D15513" s="121" t="n"/>
      <s:c r="E15513" s="122" t="n"/>
    </s:row>
    <s:row r="15514" hidden="1" ht="1" customHeight="1">
      <s:c r="A15514" s="120" t="inlineStr"/>
      <s:c r="B15514" s="121" t="n"/>
      <s:c r="C15514" s="121" t="n"/>
      <s:c r="D15514" s="121" t="n"/>
      <s:c r="E15514" s="122" t="n"/>
    </s:row>
    <s:row r="15515" hidden="1" ht="1" customHeight="1">
      <s:c r="A15515" s="120" t="inlineStr"/>
      <s:c r="B15515" s="121" t="n"/>
      <s:c r="C15515" s="121" t="n"/>
      <s:c r="D15515" s="121" t="n"/>
      <s:c r="E15515" s="122" t="n"/>
    </s:row>
    <s:row r="15516" hidden="1" ht="1" customHeight="1">
      <s:c r="A15516" s="120" t="inlineStr"/>
      <s:c r="B15516" s="121" t="n"/>
      <s:c r="C15516" s="121" t="n"/>
      <s:c r="D15516" s="121" t="n"/>
      <s:c r="E15516" s="122" t="n"/>
    </s:row>
    <s:row r="15517" hidden="1" ht="1" customHeight="1">
      <s:c r="A15517" s="120" t="inlineStr"/>
      <s:c r="B15517" s="121" t="n"/>
      <s:c r="C15517" s="121" t="n"/>
      <s:c r="D15517" s="121" t="n"/>
      <s:c r="E15517" s="122" t="n"/>
    </s:row>
    <s:row r="15518" hidden="1" ht="1" customHeight="1">
      <s:c r="A15518" s="120" t="inlineStr"/>
      <s:c r="B15518" s="121" t="n"/>
      <s:c r="C15518" s="121" t="n"/>
      <s:c r="D15518" s="121" t="n"/>
      <s:c r="E15518" s="122" t="n"/>
    </s:row>
    <s:row r="15519" hidden="1" ht="1" customHeight="1">
      <s:c r="A15519" s="120" t="inlineStr"/>
      <s:c r="B15519" s="121" t="n"/>
      <s:c r="C15519" s="121" t="n"/>
      <s:c r="D15519" s="121" t="n"/>
      <s:c r="E15519" s="122" t="n"/>
    </s:row>
    <s:row r="15520" hidden="1" ht="1" customHeight="1">
      <s:c r="A15520" s="120" t="inlineStr"/>
      <s:c r="B15520" s="121" t="n"/>
      <s:c r="C15520" s="121" t="n"/>
      <s:c r="D15520" s="121" t="n"/>
      <s:c r="E15520" s="122" t="n"/>
    </s:row>
    <s:row r="15521" hidden="1" ht="1" customHeight="1">
      <s:c r="A15521" s="120" t="inlineStr"/>
      <s:c r="B15521" s="121" t="n"/>
      <s:c r="C15521" s="121" t="n"/>
      <s:c r="D15521" s="121" t="n"/>
      <s:c r="E15521" s="122" t="n"/>
    </s:row>
    <s:row r="15522" hidden="1" ht="1" customHeight="1">
      <s:c r="A15522" s="120" t="inlineStr"/>
      <s:c r="B15522" s="121" t="n"/>
      <s:c r="C15522" s="121" t="n"/>
      <s:c r="D15522" s="121" t="n"/>
      <s:c r="E15522" s="122" t="n"/>
    </s:row>
    <s:row r="15523" hidden="1" ht="1" customHeight="1">
      <s:c r="A15523" s="83" t="inlineStr">
        <s:is>
          <s:t>PASS</s:t>
        </s:is>
      </s:c>
      <s:c r="B15523" s="83">
        <s:f>SUM(IF(EXACT('Kiểm thử'!E15373,"Đạt"),1,0),IF(EXACT('Kiểm thử'!E15375,"Đạt"),1,0),IF(EXACT('Kiểm thử'!E15377,"Đạt"),1,0))</s:f>
        <s:v/>
      </s:c>
      <s:c r="C15523" s="19" t="n"/>
      <s:c r="D15523" s="19" t="n"/>
      <s:c r="E15523" s="19" t="n"/>
    </s:row>
    <s:row r="15524" hidden="1" ht="1" customHeight="1">
      <s:c r="A15524" s="83" t="inlineStr">
        <s:is>
          <s:t>FAIL</s:t>
        </s:is>
      </s:c>
      <s:c r="B15524" s="83">
        <s:f>SUM(IF(EXACT('Kiểm thử'!E15373,"Không đạt"),1,0),IF(EXACT('Kiểm thử'!E15375,"Không đạt"),1,0),IF(EXACT('Kiểm thử'!E15377,"Không đạt"),1,0))</s:f>
        <s:v/>
      </s:c>
      <s:c r="C15524" s="19" t="n"/>
      <s:c r="D15524" s="19" t="n"/>
      <s:c r="E15524" s="19" t="n"/>
    </s:row>
    <s:row r="15525" hidden="1" ht="1" customHeight="1">
      <s:c r="A15525" s="83" t="inlineStr">
        <s:is>
          <s:t>BLOCKED</s:t>
        </s:is>
      </s:c>
      <s:c r="B15525" s="83">
        <s:f>SUM(IF(EXACT('Kiểm thử'!E15373,"Bị chặn"),1,0),IF(EXACT('Kiểm thử'!E15375,"Bị chặn"),1,0),IF(EXACT('Kiểm thử'!E15377,"Bị chặn"),1,0))</s:f>
        <s:v/>
      </s:c>
      <s:c r="C15525" s="19" t="n"/>
      <s:c r="D15525" s="19" t="n"/>
      <s:c r="E15525" s="19" t="n"/>
    </s:row>
    <s:row r="15526" hidden="1" ht="1" customHeight="1">
      <s:c r="A15526" s="83" t="inlineStr">
        <s:is>
          <s:t>SKIPPED</s:t>
        </s:is>
      </s:c>
      <s:c r="B15526" s="83">
        <s:f>SUM(IF(EXACT('Kiểm thử'!E15373,"Không thực hiện"),1,0),IF(EXACT('Kiểm thử'!E15375,"Không thực hiện"),1,0),IF(EXACT('Kiểm thử'!E15377,"Không thực hiện"),1,0))</s:f>
        <s:v/>
      </s:c>
      <s:c r="C15526" s="19" t="n"/>
      <s:c r="D15526" s="19" t="n"/>
      <s:c r="E15526" s="19" t="n"/>
    </s:row>
    <s:row r="15527" hidden="1" ht="1" customHeight="1">
      <s:c r="A15527" s="83" t="inlineStr">
        <s:is>
          <s:t>NOT RUN</s:t>
        </s:is>
      </s:c>
      <s:c r="B15527" s="83">
        <s:f>SUM(IF(EXACT('Kiểm thử'!E15373,"Chưa thực hiện"),1,0),IF(EXACT('Kiểm thử'!E15375,"Chưa thực hiện"),1,0),IF(EXACT('Kiểm thử'!E15377,"Chưa thực hiện"),1,0))</s:f>
        <s:v/>
      </s:c>
      <s:c r="C15527" s="19" t="n"/>
      <s:c r="D15527" s="19" t="n"/>
      <s:c r="E15527" s="19" t="n"/>
    </s:row>
    <s:row r="15528" hidden="1" ht="6" customHeight="1">
      <s:c r="A15528" s="83" t="inlineStr"/>
      <s:c r="B15528" s="19" t="n"/>
      <s:c r="C15528" s="19" t="n"/>
      <s:c r="D15528" s="19" t="n"/>
      <s:c r="E15528" s="19" t="n"/>
    </s:row>
    <s:row r="15529" ht="28" customHeight="1">
      <s:c r="A15529" s="108" t="inlineStr">
        <s:is>
          <s:t>TC-RS-FUNC-022 — Trích xuất thành tích（成績抽出）: các tùy chọn đỏ được lưu và mở lại đúng</s:t>
        </s:is>
      </s:c>
      <s:c r="B15529" s="111" t="n"/>
      <s:c r="C15529" s="111" t="n"/>
      <s:c r="D15529" s="111" t="n"/>
      <s:c r="E15529" s="111" t="n"/>
    </s:row>
    <s:row r="15530" ht="20" customHeight="1">
      <s:c r="A15530" s="112" t="inlineStr">
        <s:is>
          <s:t>Kết quả tình huống</s:t>
        </s:is>
      </s:c>
      <s:c r="B15530" s="113">
        <s:f>IF(SUM(IF(EXACT('Kiểm thử'!E15541,"Không đạt"),1,0),IF(EXACT('Kiểm thử'!E15543,"Không đạt"),1,0),IF(EXACT('Kiểm thử'!E15545,"Không đạt"),1,0))&gt;0,"Không đạt",IF(SUM(IF(EXACT('Kiểm thử'!E15541,"Đạt"),1,0),IF(EXACT('Kiểm thử'!E15543,"Đạt"),1,0),IF(EXACT('Kiểm thử'!E15545,"Đạt"),1,0))=3,"Đạt",IF(SUM(IF(EXACT('Kiểm thử'!E15541,"Không thực hiện"),1,0),IF(EXACT('Kiểm thử'!E15543,"Không thực hiện"),1,0),IF(EXACT('Kiểm thử'!E15545,"Không thực hiện"),1,0))=3,"Không thực hiện",IF(SUM(IF(EXACT('Kiểm thử'!E15541,"Bị chặn"),1,0),IF(EXACT('Kiểm thử'!E15543,"Bị chặn"),1,0),IF(EXACT('Kiểm thử'!E15545,"Bị chặn"),1,0))&gt;0,"Bị chặn",IF(SUM(IF(EXACT('Kiểm thử'!E15541,"Chưa thực hiện"),1,0),IF(EXACT('Kiểm thử'!E15543,"Chưa thực hiện"),1,0),IF(EXACT('Kiểm thử'!E15545,"Chưa thực hiện"),1,0))=3,"Chưa thực hiện","Đang thực hiện")))))</s:f>
        <s:v/>
      </s:c>
      <s:c r="C15530" s="114" t="n"/>
      <s:c r="D15530" s="114" t="n"/>
      <s:c r="E15530" s="114" t="n"/>
    </s:row>
    <s:row r="15531" ht="20" customHeight="1">
      <s:c r="A15531" s="112" t="inlineStr">
        <s:is>
          <s:t>Màn hình / chức năng</s:t>
        </s:is>
      </s:c>
      <s:c r="B15531" s="113" t="inlineStr">
        <s:is>
          <s:r>
            <s:rPr>
              <s:b val="1"/>
            </s:rPr>
            <s:t>Trích xuất thành tích（成績抽出）</s:t>
          </s:r>
        </s:is>
      </s:c>
      <s:c r="C15531" s="28" t="n"/>
      <s:c r="D15531" s="28" t="n"/>
      <s:c r="E15531" s="28" t="n"/>
    </s:row>
    <s:row r="15532" ht="34" customHeight="1">
      <s:c r="A15532" s="112" t="inlineStr">
        <s:is>
          <s:t>Cấu hình</s:t>
        </s:is>
      </s:c>
      <s:c r="B15532" s="113" t="inlineStr">
        <s:is>
          <s:r>
            <s:t>• Mục số nguyên (</s:t>
          </s:r>
          <s:r>
            <s:rPr>
              <s:b val="1"/>
            </s:rPr>
            <s:t>M=100</s:t>
          </s:r>
          <s:r>
            <s:t>) có quy tắc “Cố định 30” (dưới 30). Đăng nhập tài khoản phụ trách đầu ra (trích xuất, công khai, phiếu điểm).</s:t>
          </s:r>
        </s:is>
      </s:c>
      <s:c r="C15532" s="28" t="n"/>
      <s:c r="D15532" s="28" t="n"/>
      <s:c r="E15532" s="28" t="n"/>
    </s:row>
    <s:row r="15533" ht="48" customHeight="1">
      <s:c r="A15533" s="112" t="inlineStr">
        <s:is>
          <s:t>Dữ liệu test</s:t>
        </s:is>
      </s:c>
      <s:c r="B15533" s="113" t="inlineStr">
        <s:is>
          <s:r>
            <s:t>• Mục số nguyên (</s:t>
          </s:r>
          <s:r>
            <s:rPr>
              <s:b val="1"/>
            </s:rPr>
            <s:t>M=100</s:t>
          </s:r>
          <s:r>
            <s:t>), quy tắc “Cố định 30” (dưới 30);
• Cấu hình trích xuất: lọc, ký hiệu “*” phía trước, tô màu, cấu hình trích xuất chỉ ký hiệu (“※” trước, “!” sau)</s:t>
          </s:r>
        </s:is>
      </s:c>
      <s:c r="C15533" s="28" t="n"/>
      <s:c r="D15533" s="28" t="n"/>
      <s:c r="E15533" s="28" t="n"/>
    </s:row>
    <s:row r="15534" ht="34" customHeight="1">
      <s:c r="A15534" s="112" t="inlineStr">
        <s:is>
          <s:t>Bước 1</s:t>
        </s:is>
      </s:c>
      <s:c r="B15534" s="113" t="inlineStr">
        <s:is>
          <s:r>
            <s:t xml:space="preserve">Mở thiết lập hiển thị của trích xuất, khung Thiết lập chi tiết </s:t>
          </s:r>
          <s:r>
            <s:rPr>
              <s:b val="1"/>
            </s:rPr>
            <s:t>thông tin lớp học（授業情報の詳細設定）</s:t>
          </s:r>
          <s:r>
            <s:t>, phần điều kiện đỏ.</s:t>
          </s:r>
        </s:is>
      </s:c>
      <s:c r="C15534" s="28" t="n"/>
      <s:c r="D15534" s="28" t="n"/>
      <s:c r="E15534" s="28" t="n"/>
    </s:row>
    <s:row r="15535" ht="20" customHeight="1">
      <s:c r="A15535" s="112" t="inlineStr">
        <s:is>
          <s:t>Bước 2</s:t>
        </s:is>
      </s:c>
      <s:c r="B15535" s="113" t="inlineStr">
        <s:is>
          <s:t>Cấu hình cấu hình trích xuất: lọc, ký hiệu “*” phía trước, tô màu, lưu, mở lại.</s:t>
        </s:is>
      </s:c>
      <s:c r="C15535" s="28" t="n"/>
      <s:c r="D15535" s="28" t="n"/>
      <s:c r="E15535" s="28" t="n"/>
    </s:row>
    <s:row r="15536" ht="20" customHeight="1">
      <s:c r="A15536" s="112" t="inlineStr">
        <s:is>
          <s:t>Bước 3</s:t>
        </s:is>
      </s:c>
      <s:c r="B15536" s="113" t="inlineStr">
        <s:is>
          <s:t>Cấu hình cấu hình trích xuất chỉ ký hiệu (“※” trước, “!” sau) (hai ký hiệu cùng bật), lưu, mở lại.</s:t>
        </s:is>
      </s:c>
      <s:c r="C15536" s="28" t="n"/>
      <s:c r="D15536" s="28" t="n"/>
      <s:c r="E15536" s="28" t="n"/>
    </s:row>
    <s:row r="15537" ht="34" customHeight="1">
      <s:c r="A15537" s="112" t="inlineStr">
        <s:is>
          <s:t>Bước 4</s:t>
        </s:is>
      </s:c>
      <s:c r="B15537" s="113" t="inlineStr">
        <s:is>
          <s:t>(PROPOSED) Chạy SELECT cột [extract_setting] của dòng [grade_extract_conf] tương ứng mẫu vừa lưu, lọc theo trường/năm test.</s:t>
        </s:is>
      </s:c>
      <s:c r="C15537" s="28" t="n"/>
      <s:c r="D15537" s="28" t="n"/>
      <s:c r="E15537" s="28" t="n"/>
    </s:row>
    <s:row r="15538" ht="34" customHeight="1">
      <s:c r="A15538" s="112" t="inlineStr">
        <s:is>
          <s:t>Bước 5</s:t>
        </s:is>
      </s:c>
      <s:c r="B15538" s="113" t="inlineStr">
        <s:is>
          <s:t>(PROPOSED) Nếu màn có chức năng sao chép thiết lập trích xuất hiện có: sao chép mẫu cấu hình trích xuất: lọc, ký hiệu “*” phía trước, tô màu, mở bản sao.</s:t>
        </s:is>
      </s:c>
      <s:c r="C15538" s="28" t="n"/>
      <s:c r="D15538" s="28" t="n"/>
      <s:c r="E15538" s="28" t="n"/>
    </s:row>
    <s:row r="15539" ht="28" customHeight="1">
      <s:c r="A15539" s="115" t="inlineStr">
        <s:is>
          <s:t>Trường hợp</s:t>
        </s:is>
      </s:c>
      <s:c r="B15539" s="115" t="inlineStr">
        <s:is>
          <s:t>Dữ liệu / thao tác riêng</s:t>
        </s:is>
      </s:c>
      <s:c r="C15539" s="115" t="inlineStr">
        <s:is>
          <s:t>Kết quả mong đợi</s:t>
        </s:is>
      </s:c>
      <s:c r="D15539" s="115" t="inlineStr">
        <s:is>
          <s:t>Kết quả thực tế</s:t>
        </s:is>
      </s:c>
      <s:c r="E15539" s="115" t="inlineStr">
        <s:is>
          <s:t>Đánh giá</s:t>
        </s:is>
      </s:c>
    </s:row>
    <s:row r="15540" ht="3" customHeight="1">
      <s:c r="A15540" s="102" t="inlineStr"/>
      <s:c r="B15540" s="99" t="n"/>
      <s:c r="C15540" s="99" t="n"/>
      <s:c r="D15540" s="116" t="n"/>
      <s:c r="E15540" s="116" t="n"/>
    </s:row>
    <s:row r="15541" ht="132" customHeight="1">
      <s:c r="A15541" s="83" t="inlineStr">
        <s:is>
          <s:t>Cấu hình lọc và màu (filter-color)</s:t>
        </s:is>
      </s:c>
      <s:c r="B15541" s="83" t="inlineStr">
        <s:is>
          <s:t>Lọc đỏ + [*] trước + màu từ bảng màu hiện có; lưu/mở lại và đối chiếu SELECT đề xuất.</s:t>
        </s:is>
      </s:c>
      <s:c r="C15541" s="83" t="inlineStr">
        <s:is>
          <s:t>Có bốn tùy chọn độc lập: lọc đỏ, ký hiệu trước, ký hiệu sau, màu ô. Cấu hình lọc, [*] trước và màu lưu/mở lại đúng; màu chỉ chọn từ bảng màu hiện có, không có bộ chọn tự do. PROPOSED: JSON extract_setting có use_target_extract, use_prefix_mark, prefix_mark, use_suffix_mark, suffix_mark, use_cell_coloring, cell_color khớp màn hình; không thêm cột/bảng cho thiết lập này.</s:t>
        </s:is>
      </s:c>
      <s:c r="D15541" s="117" t="inlineStr"/>
      <s:c r="E15541" s="118" t="inlineStr">
        <s:is>
          <s:t>Chưa thực hiện</s:t>
        </s:is>
      </s:c>
    </s:row>
    <s:row r="15542" ht="3" customHeight="1">
      <s:c r="A15542" s="102" t="inlineStr"/>
      <s:c r="B15542" s="99" t="n"/>
      <s:c r="C15542" s="99" t="n"/>
      <s:c r="D15542" s="116" t="n"/>
      <s:c r="E15542" s="116" t="n"/>
    </s:row>
    <s:row r="15543" ht="118" customHeight="1">
      <s:c r="A15543" s="83" t="inlineStr">
        <s:is>
          <s:t>Cấu hình ký hiệu trước/sau (prefix-suffix)</s:t>
        </s:is>
      </s:c>
      <s:c r="B15543" s="83" t="inlineStr">
        <s:is>
          <s:t>Bật đồng thời [※] trước và [!] sau; lưu/mở lại và đối chiếu SELECT đề xuất.</s:t>
        </s:is>
      </s:c>
      <s:c r="C15543" s="83" t="inlineStr">
        <s:is>
          <s:t>Ký hiệu trước [※] và sau [!] cùng bật được; lưu/mở lại đúng. Bốn tùy chọn độc lập; màu dùng bảng màu hiện có, không chọn tự do. PROPOSED: JSON extract_setting có use_target_extract, use_prefix_mark, prefix_mark, use_suffix_mark, suffix_mark, use_cell_coloring, cell_color khớp màn hình; không thêm cột/bảng cho thiết lập này.</s:t>
        </s:is>
      </s:c>
      <s:c r="D15543" s="117" t="inlineStr"/>
      <s:c r="E15543" s="118" t="inlineStr">
        <s:is>
          <s:t>Chưa thực hiện</s:t>
        </s:is>
      </s:c>
    </s:row>
    <s:row r="15544" ht="3" customHeight="1">
      <s:c r="A15544" s="102" t="inlineStr"/>
      <s:c r="B15544" s="99" t="n"/>
      <s:c r="C15544" s="99" t="n"/>
      <s:c r="D15544" s="116" t="n"/>
      <s:c r="E15544" s="116" t="n"/>
    </s:row>
    <s:row r="15545" ht="118" customHeight="1">
      <s:c r="A15545" s="83" t="inlineStr">
        <s:is>
          <s:t>Sao chép cấu hình theo phần đề xuất (copy)</s:t>
        </s:is>
      </s:c>
      <s:c r="B15545" s="83" t="inlineStr">
        <s:is>
          <s:t>Nếu có chức năng hiện hữu, sao chép cấu hình lọc+[*] trước+màu, mở bản sao; phần này PROPOSED.</s:t>
        </s:is>
      </s:c>
      <s:c r="C15545" s="83" t="inlineStr">
        <s:is>
          <s:t>PROPOSED: Khi có chức năng sao chép hiện hữu, bản sao giữ nguyên bốn tùy chọn, ký hiệu và màu đã lưu; mở lại đúng. PROPOSED: JSON extract_setting có use_target_extract, use_prefix_mark, prefix_mark, use_suffix_mark, suffix_mark, use_cell_coloring, cell_color khớp màn hình; không thêm cột/bảng cho thiết lập này.</s:t>
        </s:is>
      </s:c>
      <s:c r="D15545" s="117" t="inlineStr"/>
      <s:c r="E15545" s="118" t="inlineStr">
        <s:is>
          <s:t>Chưa thực hiện</s:t>
        </s:is>
      </s:c>
    </s:row>
    <s:row r="15546" ht="20" customHeight="1">
      <s:c r="A15546" s="119" t="inlineStr">
        <s:is>
          <s:t>Ảnh minh chứng — Chưa có ảnh</s:t>
        </s:is>
      </s:c>
      <s:c r="B15546" s="19" t="n"/>
      <s:c r="C15546" s="19" t="n"/>
      <s:c r="D15546" s="19" t="n"/>
      <s:c r="E15546" s="19" t="n"/>
    </s:row>
    <s:row r="15547" hidden="1" ht="1" customHeight="1">
      <s:c r="A15547" s="120" t="inlineStr"/>
      <s:c r="B15547" s="121" t="n"/>
      <s:c r="C15547" s="121" t="n"/>
      <s:c r="D15547" s="121" t="n"/>
      <s:c r="E15547" s="122" t="n"/>
    </s:row>
    <s:row r="15548" hidden="1" ht="1" customHeight="1">
      <s:c r="A15548" s="120" t="inlineStr"/>
      <s:c r="B15548" s="121" t="n"/>
      <s:c r="C15548" s="121" t="n"/>
      <s:c r="D15548" s="121" t="n"/>
      <s:c r="E15548" s="122" t="n"/>
    </s:row>
    <s:row r="15549" hidden="1" ht="1" customHeight="1">
      <s:c r="A15549" s="120" t="inlineStr"/>
      <s:c r="B15549" s="121" t="n"/>
      <s:c r="C15549" s="121" t="n"/>
      <s:c r="D15549" s="121" t="n"/>
      <s:c r="E15549" s="122" t="n"/>
    </s:row>
    <s:row r="15550" hidden="1" ht="1" customHeight="1">
      <s:c r="A15550" s="120" t="inlineStr"/>
      <s:c r="B15550" s="121" t="n"/>
      <s:c r="C15550" s="121" t="n"/>
      <s:c r="D15550" s="121" t="n"/>
      <s:c r="E15550" s="122" t="n"/>
    </s:row>
    <s:row r="15551" hidden="1" ht="1" customHeight="1">
      <s:c r="A15551" s="120" t="inlineStr"/>
      <s:c r="B15551" s="121" t="n"/>
      <s:c r="C15551" s="121" t="n"/>
      <s:c r="D15551" s="121" t="n"/>
      <s:c r="E15551" s="122" t="n"/>
    </s:row>
    <s:row r="15552" hidden="1" ht="1" customHeight="1">
      <s:c r="A15552" s="120" t="inlineStr"/>
      <s:c r="B15552" s="121" t="n"/>
      <s:c r="C15552" s="121" t="n"/>
      <s:c r="D15552" s="121" t="n"/>
      <s:c r="E15552" s="122" t="n"/>
    </s:row>
    <s:row r="15553" hidden="1" ht="1" customHeight="1">
      <s:c r="A15553" s="120" t="inlineStr"/>
      <s:c r="B15553" s="121" t="n"/>
      <s:c r="C15553" s="121" t="n"/>
      <s:c r="D15553" s="121" t="n"/>
      <s:c r="E15553" s="122" t="n"/>
    </s:row>
    <s:row r="15554" hidden="1" ht="1" customHeight="1">
      <s:c r="A15554" s="120" t="inlineStr"/>
      <s:c r="B15554" s="121" t="n"/>
      <s:c r="C15554" s="121" t="n"/>
      <s:c r="D15554" s="121" t="n"/>
      <s:c r="E15554" s="122" t="n"/>
    </s:row>
    <s:row r="15555" hidden="1" ht="1" customHeight="1">
      <s:c r="A15555" s="120" t="inlineStr"/>
      <s:c r="B15555" s="121" t="n"/>
      <s:c r="C15555" s="121" t="n"/>
      <s:c r="D15555" s="121" t="n"/>
      <s:c r="E15555" s="122" t="n"/>
    </s:row>
    <s:row r="15556" hidden="1" ht="1" customHeight="1">
      <s:c r="A15556" s="120" t="inlineStr"/>
      <s:c r="B15556" s="121" t="n"/>
      <s:c r="C15556" s="121" t="n"/>
      <s:c r="D15556" s="121" t="n"/>
      <s:c r="E15556" s="122" t="n"/>
    </s:row>
    <s:row r="15557" hidden="1" ht="1" customHeight="1">
      <s:c r="A15557" s="120" t="inlineStr"/>
      <s:c r="B15557" s="121" t="n"/>
      <s:c r="C15557" s="121" t="n"/>
      <s:c r="D15557" s="121" t="n"/>
      <s:c r="E15557" s="122" t="n"/>
    </s:row>
    <s:row r="15558" hidden="1" ht="1" customHeight="1">
      <s:c r="A15558" s="120" t="inlineStr"/>
      <s:c r="B15558" s="121" t="n"/>
      <s:c r="C15558" s="121" t="n"/>
      <s:c r="D15558" s="121" t="n"/>
      <s:c r="E15558" s="122" t="n"/>
    </s:row>
    <s:row r="15559" hidden="1" ht="1" customHeight="1">
      <s:c r="A15559" s="120" t="inlineStr"/>
      <s:c r="B15559" s="121" t="n"/>
      <s:c r="C15559" s="121" t="n"/>
      <s:c r="D15559" s="121" t="n"/>
      <s:c r="E15559" s="122" t="n"/>
    </s:row>
    <s:row r="15560" hidden="1" ht="1" customHeight="1">
      <s:c r="A15560" s="120" t="inlineStr"/>
      <s:c r="B15560" s="121" t="n"/>
      <s:c r="C15560" s="121" t="n"/>
      <s:c r="D15560" s="121" t="n"/>
      <s:c r="E15560" s="122" t="n"/>
    </s:row>
    <s:row r="15561" hidden="1" ht="1" customHeight="1">
      <s:c r="A15561" s="120" t="inlineStr"/>
      <s:c r="B15561" s="121" t="n"/>
      <s:c r="C15561" s="121" t="n"/>
      <s:c r="D15561" s="121" t="n"/>
      <s:c r="E15561" s="122" t="n"/>
    </s:row>
    <s:row r="15562" hidden="1" ht="1" customHeight="1">
      <s:c r="A15562" s="120" t="inlineStr"/>
      <s:c r="B15562" s="121" t="n"/>
      <s:c r="C15562" s="121" t="n"/>
      <s:c r="D15562" s="121" t="n"/>
      <s:c r="E15562" s="122" t="n"/>
    </s:row>
    <s:row r="15563" hidden="1" ht="1" customHeight="1">
      <s:c r="A15563" s="120" t="inlineStr"/>
      <s:c r="B15563" s="121" t="n"/>
      <s:c r="C15563" s="121" t="n"/>
      <s:c r="D15563" s="121" t="n"/>
      <s:c r="E15563" s="122" t="n"/>
    </s:row>
    <s:row r="15564" hidden="1" ht="1" customHeight="1">
      <s:c r="A15564" s="120" t="inlineStr"/>
      <s:c r="B15564" s="121" t="n"/>
      <s:c r="C15564" s="121" t="n"/>
      <s:c r="D15564" s="121" t="n"/>
      <s:c r="E15564" s="122" t="n"/>
    </s:row>
    <s:row r="15565" hidden="1" ht="1" customHeight="1">
      <s:c r="A15565" s="120" t="inlineStr"/>
      <s:c r="B15565" s="121" t="n"/>
      <s:c r="C15565" s="121" t="n"/>
      <s:c r="D15565" s="121" t="n"/>
      <s:c r="E15565" s="122" t="n"/>
    </s:row>
    <s:row r="15566" hidden="1" ht="1" customHeight="1">
      <s:c r="A15566" s="120" t="inlineStr"/>
      <s:c r="B15566" s="121" t="n"/>
      <s:c r="C15566" s="121" t="n"/>
      <s:c r="D15566" s="121" t="n"/>
      <s:c r="E15566" s="122" t="n"/>
    </s:row>
    <s:row r="15567" hidden="1" ht="1" customHeight="1">
      <s:c r="A15567" s="120" t="inlineStr"/>
      <s:c r="B15567" s="121" t="n"/>
      <s:c r="C15567" s="121" t="n"/>
      <s:c r="D15567" s="121" t="n"/>
      <s:c r="E15567" s="122" t="n"/>
    </s:row>
    <s:row r="15568" hidden="1" ht="1" customHeight="1">
      <s:c r="A15568" s="120" t="inlineStr"/>
      <s:c r="B15568" s="121" t="n"/>
      <s:c r="C15568" s="121" t="n"/>
      <s:c r="D15568" s="121" t="n"/>
      <s:c r="E15568" s="122" t="n"/>
    </s:row>
    <s:row r="15569" hidden="1" ht="1" customHeight="1">
      <s:c r="A15569" s="120" t="inlineStr"/>
      <s:c r="B15569" s="121" t="n"/>
      <s:c r="C15569" s="121" t="n"/>
      <s:c r="D15569" s="121" t="n"/>
      <s:c r="E15569" s="122" t="n"/>
    </s:row>
    <s:row r="15570" hidden="1" ht="1" customHeight="1">
      <s:c r="A15570" s="120" t="inlineStr"/>
      <s:c r="B15570" s="121" t="n"/>
      <s:c r="C15570" s="121" t="n"/>
      <s:c r="D15570" s="121" t="n"/>
      <s:c r="E15570" s="122" t="n"/>
    </s:row>
    <s:row r="15571" hidden="1" ht="1" customHeight="1">
      <s:c r="A15571" s="120" t="inlineStr"/>
      <s:c r="B15571" s="121" t="n"/>
      <s:c r="C15571" s="121" t="n"/>
      <s:c r="D15571" s="121" t="n"/>
      <s:c r="E15571" s="122" t="n"/>
    </s:row>
    <s:row r="15572" hidden="1" ht="1" customHeight="1">
      <s:c r="A15572" s="120" t="inlineStr"/>
      <s:c r="B15572" s="121" t="n"/>
      <s:c r="C15572" s="121" t="n"/>
      <s:c r="D15572" s="121" t="n"/>
      <s:c r="E15572" s="122" t="n"/>
    </s:row>
    <s:row r="15573" hidden="1" ht="1" customHeight="1">
      <s:c r="A15573" s="120" t="inlineStr"/>
      <s:c r="B15573" s="121" t="n"/>
      <s:c r="C15573" s="121" t="n"/>
      <s:c r="D15573" s="121" t="n"/>
      <s:c r="E15573" s="122" t="n"/>
    </s:row>
    <s:row r="15574" hidden="1" ht="1" customHeight="1">
      <s:c r="A15574" s="120" t="inlineStr"/>
      <s:c r="B15574" s="121" t="n"/>
      <s:c r="C15574" s="121" t="n"/>
      <s:c r="D15574" s="121" t="n"/>
      <s:c r="E15574" s="122" t="n"/>
    </s:row>
    <s:row r="15575" hidden="1" ht="1" customHeight="1">
      <s:c r="A15575" s="120" t="inlineStr"/>
      <s:c r="B15575" s="121" t="n"/>
      <s:c r="C15575" s="121" t="n"/>
      <s:c r="D15575" s="121" t="n"/>
      <s:c r="E15575" s="122" t="n"/>
    </s:row>
    <s:row r="15576" hidden="1" ht="1" customHeight="1">
      <s:c r="A15576" s="120" t="inlineStr"/>
      <s:c r="B15576" s="121" t="n"/>
      <s:c r="C15576" s="121" t="n"/>
      <s:c r="D15576" s="121" t="n"/>
      <s:c r="E15576" s="122" t="n"/>
    </s:row>
    <s:row r="15577" hidden="1" ht="1" customHeight="1">
      <s:c r="A15577" s="120" t="inlineStr"/>
      <s:c r="B15577" s="121" t="n"/>
      <s:c r="C15577" s="121" t="n"/>
      <s:c r="D15577" s="121" t="n"/>
      <s:c r="E15577" s="122" t="n"/>
    </s:row>
    <s:row r="15578" hidden="1" ht="1" customHeight="1">
      <s:c r="A15578" s="120" t="inlineStr"/>
      <s:c r="B15578" s="121" t="n"/>
      <s:c r="C15578" s="121" t="n"/>
      <s:c r="D15578" s="121" t="n"/>
      <s:c r="E15578" s="122" t="n"/>
    </s:row>
    <s:row r="15579" hidden="1" ht="1" customHeight="1">
      <s:c r="A15579" s="120" t="inlineStr"/>
      <s:c r="B15579" s="121" t="n"/>
      <s:c r="C15579" s="121" t="n"/>
      <s:c r="D15579" s="121" t="n"/>
      <s:c r="E15579" s="122" t="n"/>
    </s:row>
    <s:row r="15580" hidden="1" ht="1" customHeight="1">
      <s:c r="A15580" s="120" t="inlineStr"/>
      <s:c r="B15580" s="121" t="n"/>
      <s:c r="C15580" s="121" t="n"/>
      <s:c r="D15580" s="121" t="n"/>
      <s:c r="E15580" s="122" t="n"/>
    </s:row>
    <s:row r="15581" hidden="1" ht="1" customHeight="1">
      <s:c r="A15581" s="120" t="inlineStr"/>
      <s:c r="B15581" s="121" t="n"/>
      <s:c r="C15581" s="121" t="n"/>
      <s:c r="D15581" s="121" t="n"/>
      <s:c r="E15581" s="122" t="n"/>
    </s:row>
    <s:row r="15582" hidden="1" ht="1" customHeight="1">
      <s:c r="A15582" s="120" t="inlineStr"/>
      <s:c r="B15582" s="121" t="n"/>
      <s:c r="C15582" s="121" t="n"/>
      <s:c r="D15582" s="121" t="n"/>
      <s:c r="E15582" s="122" t="n"/>
    </s:row>
    <s:row r="15583" hidden="1" ht="1" customHeight="1">
      <s:c r="A15583" s="120" t="inlineStr"/>
      <s:c r="B15583" s="121" t="n"/>
      <s:c r="C15583" s="121" t="n"/>
      <s:c r="D15583" s="121" t="n"/>
      <s:c r="E15583" s="122" t="n"/>
    </s:row>
    <s:row r="15584" hidden="1" ht="1" customHeight="1">
      <s:c r="A15584" s="120" t="inlineStr"/>
      <s:c r="B15584" s="121" t="n"/>
      <s:c r="C15584" s="121" t="n"/>
      <s:c r="D15584" s="121" t="n"/>
      <s:c r="E15584" s="122" t="n"/>
    </s:row>
    <s:row r="15585" hidden="1" ht="1" customHeight="1">
      <s:c r="A15585" s="120" t="inlineStr"/>
      <s:c r="B15585" s="121" t="n"/>
      <s:c r="C15585" s="121" t="n"/>
      <s:c r="D15585" s="121" t="n"/>
      <s:c r="E15585" s="122" t="n"/>
    </s:row>
    <s:row r="15586" hidden="1" ht="1" customHeight="1">
      <s:c r="A15586" s="120" t="inlineStr"/>
      <s:c r="B15586" s="121" t="n"/>
      <s:c r="C15586" s="121" t="n"/>
      <s:c r="D15586" s="121" t="n"/>
      <s:c r="E15586" s="122" t="n"/>
    </s:row>
    <s:row r="15587" hidden="1" ht="1" customHeight="1">
      <s:c r="A15587" s="120" t="inlineStr"/>
      <s:c r="B15587" s="121" t="n"/>
      <s:c r="C15587" s="121" t="n"/>
      <s:c r="D15587" s="121" t="n"/>
      <s:c r="E15587" s="122" t="n"/>
    </s:row>
    <s:row r="15588" hidden="1" ht="1" customHeight="1">
      <s:c r="A15588" s="120" t="inlineStr"/>
      <s:c r="B15588" s="121" t="n"/>
      <s:c r="C15588" s="121" t="n"/>
      <s:c r="D15588" s="121" t="n"/>
      <s:c r="E15588" s="122" t="n"/>
    </s:row>
    <s:row r="15589" hidden="1" ht="1" customHeight="1">
      <s:c r="A15589" s="120" t="inlineStr"/>
      <s:c r="B15589" s="121" t="n"/>
      <s:c r="C15589" s="121" t="n"/>
      <s:c r="D15589" s="121" t="n"/>
      <s:c r="E15589" s="122" t="n"/>
    </s:row>
    <s:row r="15590" hidden="1" ht="1" customHeight="1">
      <s:c r="A15590" s="120" t="inlineStr"/>
      <s:c r="B15590" s="121" t="n"/>
      <s:c r="C15590" s="121" t="n"/>
      <s:c r="D15590" s="121" t="n"/>
      <s:c r="E15590" s="122" t="n"/>
    </s:row>
    <s:row r="15591" hidden="1" ht="1" customHeight="1">
      <s:c r="A15591" s="120" t="inlineStr"/>
      <s:c r="B15591" s="121" t="n"/>
      <s:c r="C15591" s="121" t="n"/>
      <s:c r="D15591" s="121" t="n"/>
      <s:c r="E15591" s="122" t="n"/>
    </s:row>
    <s:row r="15592" hidden="1" ht="1" customHeight="1">
      <s:c r="A15592" s="120" t="inlineStr"/>
      <s:c r="B15592" s="121" t="n"/>
      <s:c r="C15592" s="121" t="n"/>
      <s:c r="D15592" s="121" t="n"/>
      <s:c r="E15592" s="122" t="n"/>
    </s:row>
    <s:row r="15593" hidden="1" ht="1" customHeight="1">
      <s:c r="A15593" s="120" t="inlineStr"/>
      <s:c r="B15593" s="121" t="n"/>
      <s:c r="C15593" s="121" t="n"/>
      <s:c r="D15593" s="121" t="n"/>
      <s:c r="E15593" s="122" t="n"/>
    </s:row>
    <s:row r="15594" hidden="1" ht="1" customHeight="1">
      <s:c r="A15594" s="120" t="inlineStr"/>
      <s:c r="B15594" s="121" t="n"/>
      <s:c r="C15594" s="121" t="n"/>
      <s:c r="D15594" s="121" t="n"/>
      <s:c r="E15594" s="122" t="n"/>
    </s:row>
    <s:row r="15595" hidden="1" ht="1" customHeight="1">
      <s:c r="A15595" s="120" t="inlineStr"/>
      <s:c r="B15595" s="121" t="n"/>
      <s:c r="C15595" s="121" t="n"/>
      <s:c r="D15595" s="121" t="n"/>
      <s:c r="E15595" s="122" t="n"/>
    </s:row>
    <s:row r="15596" hidden="1" ht="1" customHeight="1">
      <s:c r="A15596" s="120" t="inlineStr"/>
      <s:c r="B15596" s="121" t="n"/>
      <s:c r="C15596" s="121" t="n"/>
      <s:c r="D15596" s="121" t="n"/>
      <s:c r="E15596" s="122" t="n"/>
    </s:row>
    <s:row r="15597" hidden="1" ht="1" customHeight="1">
      <s:c r="A15597" s="120" t="inlineStr"/>
      <s:c r="B15597" s="121" t="n"/>
      <s:c r="C15597" s="121" t="n"/>
      <s:c r="D15597" s="121" t="n"/>
      <s:c r="E15597" s="122" t="n"/>
    </s:row>
    <s:row r="15598" hidden="1" ht="1" customHeight="1">
      <s:c r="A15598" s="120" t="inlineStr"/>
      <s:c r="B15598" s="121" t="n"/>
      <s:c r="C15598" s="121" t="n"/>
      <s:c r="D15598" s="121" t="n"/>
      <s:c r="E15598" s="122" t="n"/>
    </s:row>
    <s:row r="15599" hidden="1" ht="1" customHeight="1">
      <s:c r="A15599" s="120" t="inlineStr"/>
      <s:c r="B15599" s="121" t="n"/>
      <s:c r="C15599" s="121" t="n"/>
      <s:c r="D15599" s="121" t="n"/>
      <s:c r="E15599" s="122" t="n"/>
    </s:row>
    <s:row r="15600" hidden="1" ht="1" customHeight="1">
      <s:c r="A15600" s="120" t="inlineStr"/>
      <s:c r="B15600" s="121" t="n"/>
      <s:c r="C15600" s="121" t="n"/>
      <s:c r="D15600" s="121" t="n"/>
      <s:c r="E15600" s="122" t="n"/>
    </s:row>
    <s:row r="15601" hidden="1" ht="1" customHeight="1">
      <s:c r="A15601" s="120" t="inlineStr"/>
      <s:c r="B15601" s="121" t="n"/>
      <s:c r="C15601" s="121" t="n"/>
      <s:c r="D15601" s="121" t="n"/>
      <s:c r="E15601" s="122" t="n"/>
    </s:row>
    <s:row r="15602" hidden="1" ht="1" customHeight="1">
      <s:c r="A15602" s="120" t="inlineStr"/>
      <s:c r="B15602" s="121" t="n"/>
      <s:c r="C15602" s="121" t="n"/>
      <s:c r="D15602" s="121" t="n"/>
      <s:c r="E15602" s="122" t="n"/>
    </s:row>
    <s:row r="15603" hidden="1" ht="1" customHeight="1">
      <s:c r="A15603" s="120" t="inlineStr"/>
      <s:c r="B15603" s="121" t="n"/>
      <s:c r="C15603" s="121" t="n"/>
      <s:c r="D15603" s="121" t="n"/>
      <s:c r="E15603" s="122" t="n"/>
    </s:row>
    <s:row r="15604" hidden="1" ht="1" customHeight="1">
      <s:c r="A15604" s="120" t="inlineStr"/>
      <s:c r="B15604" s="121" t="n"/>
      <s:c r="C15604" s="121" t="n"/>
      <s:c r="D15604" s="121" t="n"/>
      <s:c r="E15604" s="122" t="n"/>
    </s:row>
    <s:row r="15605" hidden="1" ht="1" customHeight="1">
      <s:c r="A15605" s="120" t="inlineStr"/>
      <s:c r="B15605" s="121" t="n"/>
      <s:c r="C15605" s="121" t="n"/>
      <s:c r="D15605" s="121" t="n"/>
      <s:c r="E15605" s="122" t="n"/>
    </s:row>
    <s:row r="15606" hidden="1" ht="1" customHeight="1">
      <s:c r="A15606" s="120" t="inlineStr"/>
      <s:c r="B15606" s="121" t="n"/>
      <s:c r="C15606" s="121" t="n"/>
      <s:c r="D15606" s="121" t="n"/>
      <s:c r="E15606" s="122" t="n"/>
    </s:row>
    <s:row r="15607" hidden="1" ht="1" customHeight="1">
      <s:c r="A15607" s="120" t="inlineStr"/>
      <s:c r="B15607" s="121" t="n"/>
      <s:c r="C15607" s="121" t="n"/>
      <s:c r="D15607" s="121" t="n"/>
      <s:c r="E15607" s="122" t="n"/>
    </s:row>
    <s:row r="15608" hidden="1" ht="1" customHeight="1">
      <s:c r="A15608" s="120" t="inlineStr"/>
      <s:c r="B15608" s="121" t="n"/>
      <s:c r="C15608" s="121" t="n"/>
      <s:c r="D15608" s="121" t="n"/>
      <s:c r="E15608" s="122" t="n"/>
    </s:row>
    <s:row r="15609" hidden="1" ht="1" customHeight="1">
      <s:c r="A15609" s="120" t="inlineStr"/>
      <s:c r="B15609" s="121" t="n"/>
      <s:c r="C15609" s="121" t="n"/>
      <s:c r="D15609" s="121" t="n"/>
      <s:c r="E15609" s="122" t="n"/>
    </s:row>
    <s:row r="15610" hidden="1" ht="1" customHeight="1">
      <s:c r="A15610" s="120" t="inlineStr"/>
      <s:c r="B15610" s="121" t="n"/>
      <s:c r="C15610" s="121" t="n"/>
      <s:c r="D15610" s="121" t="n"/>
      <s:c r="E15610" s="122" t="n"/>
    </s:row>
    <s:row r="15611" hidden="1" ht="1" customHeight="1">
      <s:c r="A15611" s="120" t="inlineStr"/>
      <s:c r="B15611" s="121" t="n"/>
      <s:c r="C15611" s="121" t="n"/>
      <s:c r="D15611" s="121" t="n"/>
      <s:c r="E15611" s="122" t="n"/>
    </s:row>
    <s:row r="15612" hidden="1" ht="1" customHeight="1">
      <s:c r="A15612" s="120" t="inlineStr"/>
      <s:c r="B15612" s="121" t="n"/>
      <s:c r="C15612" s="121" t="n"/>
      <s:c r="D15612" s="121" t="n"/>
      <s:c r="E15612" s="122" t="n"/>
    </s:row>
    <s:row r="15613" hidden="1" ht="1" customHeight="1">
      <s:c r="A15613" s="120" t="inlineStr"/>
      <s:c r="B15613" s="121" t="n"/>
      <s:c r="C15613" s="121" t="n"/>
      <s:c r="D15613" s="121" t="n"/>
      <s:c r="E15613" s="122" t="n"/>
    </s:row>
    <s:row r="15614" hidden="1" ht="1" customHeight="1">
      <s:c r="A15614" s="120" t="inlineStr"/>
      <s:c r="B15614" s="121" t="n"/>
      <s:c r="C15614" s="121" t="n"/>
      <s:c r="D15614" s="121" t="n"/>
      <s:c r="E15614" s="122" t="n"/>
    </s:row>
    <s:row r="15615" hidden="1" ht="1" customHeight="1">
      <s:c r="A15615" s="120" t="inlineStr"/>
      <s:c r="B15615" s="121" t="n"/>
      <s:c r="C15615" s="121" t="n"/>
      <s:c r="D15615" s="121" t="n"/>
      <s:c r="E15615" s="122" t="n"/>
    </s:row>
    <s:row r="15616" hidden="1" ht="1" customHeight="1">
      <s:c r="A15616" s="120" t="inlineStr"/>
      <s:c r="B15616" s="121" t="n"/>
      <s:c r="C15616" s="121" t="n"/>
      <s:c r="D15616" s="121" t="n"/>
      <s:c r="E15616" s="122" t="n"/>
    </s:row>
    <s:row r="15617" hidden="1" ht="1" customHeight="1">
      <s:c r="A15617" s="120" t="inlineStr"/>
      <s:c r="B15617" s="121" t="n"/>
      <s:c r="C15617" s="121" t="n"/>
      <s:c r="D15617" s="121" t="n"/>
      <s:c r="E15617" s="122" t="n"/>
    </s:row>
    <s:row r="15618" hidden="1" ht="1" customHeight="1">
      <s:c r="A15618" s="120" t="inlineStr"/>
      <s:c r="B15618" s="121" t="n"/>
      <s:c r="C15618" s="121" t="n"/>
      <s:c r="D15618" s="121" t="n"/>
      <s:c r="E15618" s="122" t="n"/>
    </s:row>
    <s:row r="15619" hidden="1" ht="1" customHeight="1">
      <s:c r="A15619" s="120" t="inlineStr"/>
      <s:c r="B15619" s="121" t="n"/>
      <s:c r="C15619" s="121" t="n"/>
      <s:c r="D15619" s="121" t="n"/>
      <s:c r="E15619" s="122" t="n"/>
    </s:row>
    <s:row r="15620" hidden="1" ht="1" customHeight="1">
      <s:c r="A15620" s="120" t="inlineStr"/>
      <s:c r="B15620" s="121" t="n"/>
      <s:c r="C15620" s="121" t="n"/>
      <s:c r="D15620" s="121" t="n"/>
      <s:c r="E15620" s="122" t="n"/>
    </s:row>
    <s:row r="15621" hidden="1" ht="1" customHeight="1">
      <s:c r="A15621" s="120" t="inlineStr"/>
      <s:c r="B15621" s="121" t="n"/>
      <s:c r="C15621" s="121" t="n"/>
      <s:c r="D15621" s="121" t="n"/>
      <s:c r="E15621" s="122" t="n"/>
    </s:row>
    <s:row r="15622" hidden="1" ht="1" customHeight="1">
      <s:c r="A15622" s="120" t="inlineStr"/>
      <s:c r="B15622" s="121" t="n"/>
      <s:c r="C15622" s="121" t="n"/>
      <s:c r="D15622" s="121" t="n"/>
      <s:c r="E15622" s="122" t="n"/>
    </s:row>
    <s:row r="15623" hidden="1" ht="1" customHeight="1">
      <s:c r="A15623" s="120" t="inlineStr"/>
      <s:c r="B15623" s="121" t="n"/>
      <s:c r="C15623" s="121" t="n"/>
      <s:c r="D15623" s="121" t="n"/>
      <s:c r="E15623" s="122" t="n"/>
    </s:row>
    <s:row r="15624" hidden="1" ht="1" customHeight="1">
      <s:c r="A15624" s="120" t="inlineStr"/>
      <s:c r="B15624" s="121" t="n"/>
      <s:c r="C15624" s="121" t="n"/>
      <s:c r="D15624" s="121" t="n"/>
      <s:c r="E15624" s="122" t="n"/>
    </s:row>
    <s:row r="15625" hidden="1" ht="1" customHeight="1">
      <s:c r="A15625" s="120" t="inlineStr"/>
      <s:c r="B15625" s="121" t="n"/>
      <s:c r="C15625" s="121" t="n"/>
      <s:c r="D15625" s="121" t="n"/>
      <s:c r="E15625" s="122" t="n"/>
    </s:row>
    <s:row r="15626" hidden="1" ht="1" customHeight="1">
      <s:c r="A15626" s="120" t="inlineStr"/>
      <s:c r="B15626" s="121" t="n"/>
      <s:c r="C15626" s="121" t="n"/>
      <s:c r="D15626" s="121" t="n"/>
      <s:c r="E15626" s="122" t="n"/>
    </s:row>
    <s:row r="15627" hidden="1" ht="1" customHeight="1">
      <s:c r="A15627" s="120" t="inlineStr"/>
      <s:c r="B15627" s="121" t="n"/>
      <s:c r="C15627" s="121" t="n"/>
      <s:c r="D15627" s="121" t="n"/>
      <s:c r="E15627" s="122" t="n"/>
    </s:row>
    <s:row r="15628" hidden="1" ht="1" customHeight="1">
      <s:c r="A15628" s="120" t="inlineStr"/>
      <s:c r="B15628" s="121" t="n"/>
      <s:c r="C15628" s="121" t="n"/>
      <s:c r="D15628" s="121" t="n"/>
      <s:c r="E15628" s="122" t="n"/>
    </s:row>
    <s:row r="15629" hidden="1" ht="1" customHeight="1">
      <s:c r="A15629" s="120" t="inlineStr"/>
      <s:c r="B15629" s="121" t="n"/>
      <s:c r="C15629" s="121" t="n"/>
      <s:c r="D15629" s="121" t="n"/>
      <s:c r="E15629" s="122" t="n"/>
    </s:row>
    <s:row r="15630" hidden="1" ht="1" customHeight="1">
      <s:c r="A15630" s="120" t="inlineStr"/>
      <s:c r="B15630" s="121" t="n"/>
      <s:c r="C15630" s="121" t="n"/>
      <s:c r="D15630" s="121" t="n"/>
      <s:c r="E15630" s="122" t="n"/>
    </s:row>
    <s:row r="15631" hidden="1" ht="1" customHeight="1">
      <s:c r="A15631" s="120" t="inlineStr"/>
      <s:c r="B15631" s="121" t="n"/>
      <s:c r="C15631" s="121" t="n"/>
      <s:c r="D15631" s="121" t="n"/>
      <s:c r="E15631" s="122" t="n"/>
    </s:row>
    <s:row r="15632" hidden="1" ht="1" customHeight="1">
      <s:c r="A15632" s="120" t="inlineStr"/>
      <s:c r="B15632" s="121" t="n"/>
      <s:c r="C15632" s="121" t="n"/>
      <s:c r="D15632" s="121" t="n"/>
      <s:c r="E15632" s="122" t="n"/>
    </s:row>
    <s:row r="15633" hidden="1" ht="1" customHeight="1">
      <s:c r="A15633" s="120" t="inlineStr"/>
      <s:c r="B15633" s="121" t="n"/>
      <s:c r="C15633" s="121" t="n"/>
      <s:c r="D15633" s="121" t="n"/>
      <s:c r="E15633" s="122" t="n"/>
    </s:row>
    <s:row r="15634" hidden="1" ht="1" customHeight="1">
      <s:c r="A15634" s="120" t="inlineStr"/>
      <s:c r="B15634" s="121" t="n"/>
      <s:c r="C15634" s="121" t="n"/>
      <s:c r="D15634" s="121" t="n"/>
      <s:c r="E15634" s="122" t="n"/>
    </s:row>
    <s:row r="15635" hidden="1" ht="1" customHeight="1">
      <s:c r="A15635" s="120" t="inlineStr"/>
      <s:c r="B15635" s="121" t="n"/>
      <s:c r="C15635" s="121" t="n"/>
      <s:c r="D15635" s="121" t="n"/>
      <s:c r="E15635" s="122" t="n"/>
    </s:row>
    <s:row r="15636" hidden="1" ht="1" customHeight="1">
      <s:c r="A15636" s="120" t="inlineStr"/>
      <s:c r="B15636" s="121" t="n"/>
      <s:c r="C15636" s="121" t="n"/>
      <s:c r="D15636" s="121" t="n"/>
      <s:c r="E15636" s="122" t="n"/>
    </s:row>
    <s:row r="15637" hidden="1" ht="1" customHeight="1">
      <s:c r="A15637" s="120" t="inlineStr"/>
      <s:c r="B15637" s="121" t="n"/>
      <s:c r="C15637" s="121" t="n"/>
      <s:c r="D15637" s="121" t="n"/>
      <s:c r="E15637" s="122" t="n"/>
    </s:row>
    <s:row r="15638" hidden="1" ht="1" customHeight="1">
      <s:c r="A15638" s="120" t="inlineStr"/>
      <s:c r="B15638" s="121" t="n"/>
      <s:c r="C15638" s="121" t="n"/>
      <s:c r="D15638" s="121" t="n"/>
      <s:c r="E15638" s="122" t="n"/>
    </s:row>
    <s:row r="15639" hidden="1" ht="1" customHeight="1">
      <s:c r="A15639" s="120" t="inlineStr"/>
      <s:c r="B15639" s="121" t="n"/>
      <s:c r="C15639" s="121" t="n"/>
      <s:c r="D15639" s="121" t="n"/>
      <s:c r="E15639" s="122" t="n"/>
    </s:row>
    <s:row r="15640" hidden="1" ht="1" customHeight="1">
      <s:c r="A15640" s="120" t="inlineStr"/>
      <s:c r="B15640" s="121" t="n"/>
      <s:c r="C15640" s="121" t="n"/>
      <s:c r="D15640" s="121" t="n"/>
      <s:c r="E15640" s="122" t="n"/>
    </s:row>
    <s:row r="15641" hidden="1" ht="1" customHeight="1">
      <s:c r="A15641" s="120" t="inlineStr"/>
      <s:c r="B15641" s="121" t="n"/>
      <s:c r="C15641" s="121" t="n"/>
      <s:c r="D15641" s="121" t="n"/>
      <s:c r="E15641" s="122" t="n"/>
    </s:row>
    <s:row r="15642" hidden="1" ht="1" customHeight="1">
      <s:c r="A15642" s="120" t="inlineStr"/>
      <s:c r="B15642" s="121" t="n"/>
      <s:c r="C15642" s="121" t="n"/>
      <s:c r="D15642" s="121" t="n"/>
      <s:c r="E15642" s="122" t="n"/>
    </s:row>
    <s:row r="15643" hidden="1" ht="1" customHeight="1">
      <s:c r="A15643" s="120" t="inlineStr"/>
      <s:c r="B15643" s="121" t="n"/>
      <s:c r="C15643" s="121" t="n"/>
      <s:c r="D15643" s="121" t="n"/>
      <s:c r="E15643" s="122" t="n"/>
    </s:row>
    <s:row r="15644" hidden="1" ht="1" customHeight="1">
      <s:c r="A15644" s="120" t="inlineStr"/>
      <s:c r="B15644" s="121" t="n"/>
      <s:c r="C15644" s="121" t="n"/>
      <s:c r="D15644" s="121" t="n"/>
      <s:c r="E15644" s="122" t="n"/>
    </s:row>
    <s:row r="15645" hidden="1" ht="1" customHeight="1">
      <s:c r="A15645" s="120" t="inlineStr"/>
      <s:c r="B15645" s="121" t="n"/>
      <s:c r="C15645" s="121" t="n"/>
      <s:c r="D15645" s="121" t="n"/>
      <s:c r="E15645" s="122" t="n"/>
    </s:row>
    <s:row r="15646" hidden="1" ht="1" customHeight="1">
      <s:c r="A15646" s="120" t="inlineStr"/>
      <s:c r="B15646" s="121" t="n"/>
      <s:c r="C15646" s="121" t="n"/>
      <s:c r="D15646" s="121" t="n"/>
      <s:c r="E15646" s="122" t="n"/>
    </s:row>
    <s:row r="15647" hidden="1" ht="1" customHeight="1">
      <s:c r="A15647" s="120" t="inlineStr"/>
      <s:c r="B15647" s="121" t="n"/>
      <s:c r="C15647" s="121" t="n"/>
      <s:c r="D15647" s="121" t="n"/>
      <s:c r="E15647" s="122" t="n"/>
    </s:row>
    <s:row r="15648" hidden="1" ht="1" customHeight="1">
      <s:c r="A15648" s="120" t="inlineStr"/>
      <s:c r="B15648" s="121" t="n"/>
      <s:c r="C15648" s="121" t="n"/>
      <s:c r="D15648" s="121" t="n"/>
      <s:c r="E15648" s="122" t="n"/>
    </s:row>
    <s:row r="15649" hidden="1" ht="1" customHeight="1">
      <s:c r="A15649" s="120" t="inlineStr"/>
      <s:c r="B15649" s="121" t="n"/>
      <s:c r="C15649" s="121" t="n"/>
      <s:c r="D15649" s="121" t="n"/>
      <s:c r="E15649" s="122" t="n"/>
    </s:row>
    <s:row r="15650" hidden="1" ht="1" customHeight="1">
      <s:c r="A15650" s="120" t="inlineStr"/>
      <s:c r="B15650" s="121" t="n"/>
      <s:c r="C15650" s="121" t="n"/>
      <s:c r="D15650" s="121" t="n"/>
      <s:c r="E15650" s="122" t="n"/>
    </s:row>
    <s:row r="15651" hidden="1" ht="1" customHeight="1">
      <s:c r="A15651" s="120" t="inlineStr"/>
      <s:c r="B15651" s="121" t="n"/>
      <s:c r="C15651" s="121" t="n"/>
      <s:c r="D15651" s="121" t="n"/>
      <s:c r="E15651" s="122" t="n"/>
    </s:row>
    <s:row r="15652" hidden="1" ht="1" customHeight="1">
      <s:c r="A15652" s="120" t="inlineStr"/>
      <s:c r="B15652" s="121" t="n"/>
      <s:c r="C15652" s="121" t="n"/>
      <s:c r="D15652" s="121" t="n"/>
      <s:c r="E15652" s="122" t="n"/>
    </s:row>
    <s:row r="15653" hidden="1" ht="1" customHeight="1">
      <s:c r="A15653" s="120" t="inlineStr"/>
      <s:c r="B15653" s="121" t="n"/>
      <s:c r="C15653" s="121" t="n"/>
      <s:c r="D15653" s="121" t="n"/>
      <s:c r="E15653" s="122" t="n"/>
    </s:row>
    <s:row r="15654" hidden="1" ht="1" customHeight="1">
      <s:c r="A15654" s="120" t="inlineStr"/>
      <s:c r="B15654" s="121" t="n"/>
      <s:c r="C15654" s="121" t="n"/>
      <s:c r="D15654" s="121" t="n"/>
      <s:c r="E15654" s="122" t="n"/>
    </s:row>
    <s:row r="15655" hidden="1" ht="1" customHeight="1">
      <s:c r="A15655" s="120" t="inlineStr"/>
      <s:c r="B15655" s="121" t="n"/>
      <s:c r="C15655" s="121" t="n"/>
      <s:c r="D15655" s="121" t="n"/>
      <s:c r="E15655" s="122" t="n"/>
    </s:row>
    <s:row r="15656" hidden="1" ht="1" customHeight="1">
      <s:c r="A15656" s="120" t="inlineStr"/>
      <s:c r="B15656" s="121" t="n"/>
      <s:c r="C15656" s="121" t="n"/>
      <s:c r="D15656" s="121" t="n"/>
      <s:c r="E15656" s="122" t="n"/>
    </s:row>
    <s:row r="15657" hidden="1" ht="1" customHeight="1">
      <s:c r="A15657" s="120" t="inlineStr"/>
      <s:c r="B15657" s="121" t="n"/>
      <s:c r="C15657" s="121" t="n"/>
      <s:c r="D15657" s="121" t="n"/>
      <s:c r="E15657" s="122" t="n"/>
    </s:row>
    <s:row r="15658" hidden="1" ht="1" customHeight="1">
      <s:c r="A15658" s="120" t="inlineStr"/>
      <s:c r="B15658" s="121" t="n"/>
      <s:c r="C15658" s="121" t="n"/>
      <s:c r="D15658" s="121" t="n"/>
      <s:c r="E15658" s="122" t="n"/>
    </s:row>
    <s:row r="15659" hidden="1" ht="1" customHeight="1">
      <s:c r="A15659" s="120" t="inlineStr"/>
      <s:c r="B15659" s="121" t="n"/>
      <s:c r="C15659" s="121" t="n"/>
      <s:c r="D15659" s="121" t="n"/>
      <s:c r="E15659" s="122" t="n"/>
    </s:row>
    <s:row r="15660" hidden="1" ht="1" customHeight="1">
      <s:c r="A15660" s="120" t="inlineStr"/>
      <s:c r="B15660" s="121" t="n"/>
      <s:c r="C15660" s="121" t="n"/>
      <s:c r="D15660" s="121" t="n"/>
      <s:c r="E15660" s="122" t="n"/>
    </s:row>
    <s:row r="15661" hidden="1" ht="1" customHeight="1">
      <s:c r="A15661" s="120" t="inlineStr"/>
      <s:c r="B15661" s="121" t="n"/>
      <s:c r="C15661" s="121" t="n"/>
      <s:c r="D15661" s="121" t="n"/>
      <s:c r="E15661" s="122" t="n"/>
    </s:row>
    <s:row r="15662" hidden="1" ht="1" customHeight="1">
      <s:c r="A15662" s="120" t="inlineStr"/>
      <s:c r="B15662" s="121" t="n"/>
      <s:c r="C15662" s="121" t="n"/>
      <s:c r="D15662" s="121" t="n"/>
      <s:c r="E15662" s="122" t="n"/>
    </s:row>
    <s:row r="15663" hidden="1" ht="1" customHeight="1">
      <s:c r="A15663" s="120" t="inlineStr"/>
      <s:c r="B15663" s="121" t="n"/>
      <s:c r="C15663" s="121" t="n"/>
      <s:c r="D15663" s="121" t="n"/>
      <s:c r="E15663" s="122" t="n"/>
    </s:row>
    <s:row r="15664" hidden="1" ht="1" customHeight="1">
      <s:c r="A15664" s="120" t="inlineStr"/>
      <s:c r="B15664" s="121" t="n"/>
      <s:c r="C15664" s="121" t="n"/>
      <s:c r="D15664" s="121" t="n"/>
      <s:c r="E15664" s="122" t="n"/>
    </s:row>
    <s:row r="15665" hidden="1" ht="1" customHeight="1">
      <s:c r="A15665" s="120" t="inlineStr"/>
      <s:c r="B15665" s="121" t="n"/>
      <s:c r="C15665" s="121" t="n"/>
      <s:c r="D15665" s="121" t="n"/>
      <s:c r="E15665" s="122" t="n"/>
    </s:row>
    <s:row r="15666" hidden="1" ht="1" customHeight="1">
      <s:c r="A15666" s="120" t="inlineStr"/>
      <s:c r="B15666" s="121" t="n"/>
      <s:c r="C15666" s="121" t="n"/>
      <s:c r="D15666" s="121" t="n"/>
      <s:c r="E15666" s="122" t="n"/>
    </s:row>
    <s:row r="15667" hidden="1" ht="1" customHeight="1">
      <s:c r="A15667" s="120" t="inlineStr"/>
      <s:c r="B15667" s="121" t="n"/>
      <s:c r="C15667" s="121" t="n"/>
      <s:c r="D15667" s="121" t="n"/>
      <s:c r="E15667" s="122" t="n"/>
    </s:row>
    <s:row r="15668" hidden="1" ht="1" customHeight="1">
      <s:c r="A15668" s="120" t="inlineStr"/>
      <s:c r="B15668" s="121" t="n"/>
      <s:c r="C15668" s="121" t="n"/>
      <s:c r="D15668" s="121" t="n"/>
      <s:c r="E15668" s="122" t="n"/>
    </s:row>
    <s:row r="15669" hidden="1" ht="1" customHeight="1">
      <s:c r="A15669" s="120" t="inlineStr"/>
      <s:c r="B15669" s="121" t="n"/>
      <s:c r="C15669" s="121" t="n"/>
      <s:c r="D15669" s="121" t="n"/>
      <s:c r="E15669" s="122" t="n"/>
    </s:row>
    <s:row r="15670" hidden="1" ht="1" customHeight="1">
      <s:c r="A15670" s="120" t="inlineStr"/>
      <s:c r="B15670" s="121" t="n"/>
      <s:c r="C15670" s="121" t="n"/>
      <s:c r="D15670" s="121" t="n"/>
      <s:c r="E15670" s="122" t="n"/>
    </s:row>
    <s:row r="15671" hidden="1" ht="1" customHeight="1">
      <s:c r="A15671" s="120" t="inlineStr"/>
      <s:c r="B15671" s="121" t="n"/>
      <s:c r="C15671" s="121" t="n"/>
      <s:c r="D15671" s="121" t="n"/>
      <s:c r="E15671" s="122" t="n"/>
    </s:row>
    <s:row r="15672" hidden="1" ht="1" customHeight="1">
      <s:c r="A15672" s="120" t="inlineStr"/>
      <s:c r="B15672" s="121" t="n"/>
      <s:c r="C15672" s="121" t="n"/>
      <s:c r="D15672" s="121" t="n"/>
      <s:c r="E15672" s="122" t="n"/>
    </s:row>
    <s:row r="15673" hidden="1" ht="1" customHeight="1">
      <s:c r="A15673" s="120" t="inlineStr"/>
      <s:c r="B15673" s="121" t="n"/>
      <s:c r="C15673" s="121" t="n"/>
      <s:c r="D15673" s="121" t="n"/>
      <s:c r="E15673" s="122" t="n"/>
    </s:row>
    <s:row r="15674" hidden="1" ht="1" customHeight="1">
      <s:c r="A15674" s="120" t="inlineStr"/>
      <s:c r="B15674" s="121" t="n"/>
      <s:c r="C15674" s="121" t="n"/>
      <s:c r="D15674" s="121" t="n"/>
      <s:c r="E15674" s="122" t="n"/>
    </s:row>
    <s:row r="15675" hidden="1" ht="1" customHeight="1">
      <s:c r="A15675" s="120" t="inlineStr"/>
      <s:c r="B15675" s="121" t="n"/>
      <s:c r="C15675" s="121" t="n"/>
      <s:c r="D15675" s="121" t="n"/>
      <s:c r="E15675" s="122" t="n"/>
    </s:row>
    <s:row r="15676" hidden="1" ht="1" customHeight="1">
      <s:c r="A15676" s="120" t="inlineStr"/>
      <s:c r="B15676" s="121" t="n"/>
      <s:c r="C15676" s="121" t="n"/>
      <s:c r="D15676" s="121" t="n"/>
      <s:c r="E15676" s="122" t="n"/>
    </s:row>
    <s:row r="15677" hidden="1" ht="1" customHeight="1">
      <s:c r="A15677" s="120" t="inlineStr"/>
      <s:c r="B15677" s="121" t="n"/>
      <s:c r="C15677" s="121" t="n"/>
      <s:c r="D15677" s="121" t="n"/>
      <s:c r="E15677" s="122" t="n"/>
    </s:row>
    <s:row r="15678" hidden="1" ht="1" customHeight="1">
      <s:c r="A15678" s="120" t="inlineStr"/>
      <s:c r="B15678" s="121" t="n"/>
      <s:c r="C15678" s="121" t="n"/>
      <s:c r="D15678" s="121" t="n"/>
      <s:c r="E15678" s="122" t="n"/>
    </s:row>
    <s:row r="15679" hidden="1" ht="1" customHeight="1">
      <s:c r="A15679" s="120" t="inlineStr"/>
      <s:c r="B15679" s="121" t="n"/>
      <s:c r="C15679" s="121" t="n"/>
      <s:c r="D15679" s="121" t="n"/>
      <s:c r="E15679" s="122" t="n"/>
    </s:row>
    <s:row r="15680" hidden="1" ht="1" customHeight="1">
      <s:c r="A15680" s="120" t="inlineStr"/>
      <s:c r="B15680" s="121" t="n"/>
      <s:c r="C15680" s="121" t="n"/>
      <s:c r="D15680" s="121" t="n"/>
      <s:c r="E15680" s="122" t="n"/>
    </s:row>
    <s:row r="15681" hidden="1" ht="1" customHeight="1">
      <s:c r="A15681" s="120" t="inlineStr"/>
      <s:c r="B15681" s="121" t="n"/>
      <s:c r="C15681" s="121" t="n"/>
      <s:c r="D15681" s="121" t="n"/>
      <s:c r="E15681" s="122" t="n"/>
    </s:row>
    <s:row r="15682" hidden="1" ht="1" customHeight="1">
      <s:c r="A15682" s="120" t="inlineStr"/>
      <s:c r="B15682" s="121" t="n"/>
      <s:c r="C15682" s="121" t="n"/>
      <s:c r="D15682" s="121" t="n"/>
      <s:c r="E15682" s="122" t="n"/>
    </s:row>
    <s:row r="15683" hidden="1" ht="1" customHeight="1">
      <s:c r="A15683" s="120" t="inlineStr"/>
      <s:c r="B15683" s="121" t="n"/>
      <s:c r="C15683" s="121" t="n"/>
      <s:c r="D15683" s="121" t="n"/>
      <s:c r="E15683" s="122" t="n"/>
    </s:row>
    <s:row r="15684" hidden="1" ht="1" customHeight="1">
      <s:c r="A15684" s="120" t="inlineStr"/>
      <s:c r="B15684" s="121" t="n"/>
      <s:c r="C15684" s="121" t="n"/>
      <s:c r="D15684" s="121" t="n"/>
      <s:c r="E15684" s="122" t="n"/>
    </s:row>
    <s:row r="15685" hidden="1" ht="1" customHeight="1">
      <s:c r="A15685" s="120" t="inlineStr"/>
      <s:c r="B15685" s="121" t="n"/>
      <s:c r="C15685" s="121" t="n"/>
      <s:c r="D15685" s="121" t="n"/>
      <s:c r="E15685" s="122" t="n"/>
    </s:row>
    <s:row r="15686" hidden="1" ht="1" customHeight="1">
      <s:c r="A15686" s="120" t="inlineStr"/>
      <s:c r="B15686" s="121" t="n"/>
      <s:c r="C15686" s="121" t="n"/>
      <s:c r="D15686" s="121" t="n"/>
      <s:c r="E15686" s="122" t="n"/>
    </s:row>
    <s:row r="15687" hidden="1" ht="1" customHeight="1">
      <s:c r="A15687" s="120" t="inlineStr"/>
      <s:c r="B15687" s="121" t="n"/>
      <s:c r="C15687" s="121" t="n"/>
      <s:c r="D15687" s="121" t="n"/>
      <s:c r="E15687" s="122" t="n"/>
    </s:row>
    <s:row r="15688" hidden="1" ht="1" customHeight="1">
      <s:c r="A15688" s="120" t="inlineStr"/>
      <s:c r="B15688" s="121" t="n"/>
      <s:c r="C15688" s="121" t="n"/>
      <s:c r="D15688" s="121" t="n"/>
      <s:c r="E15688" s="122" t="n"/>
    </s:row>
    <s:row r="15689" hidden="1" ht="1" customHeight="1">
      <s:c r="A15689" s="120" t="inlineStr"/>
      <s:c r="B15689" s="121" t="n"/>
      <s:c r="C15689" s="121" t="n"/>
      <s:c r="D15689" s="121" t="n"/>
      <s:c r="E15689" s="122" t="n"/>
    </s:row>
    <s:row r="15690" hidden="1" ht="1" customHeight="1">
      <s:c r="A15690" s="120" t="inlineStr"/>
      <s:c r="B15690" s="121" t="n"/>
      <s:c r="C15690" s="121" t="n"/>
      <s:c r="D15690" s="121" t="n"/>
      <s:c r="E15690" s="122" t="n"/>
    </s:row>
    <s:row r="15691" hidden="1" ht="1" customHeight="1">
      <s:c r="A15691" s="83" t="inlineStr">
        <s:is>
          <s:t>PASS</s:t>
        </s:is>
      </s:c>
      <s:c r="B15691" s="83">
        <s:f>SUM(IF(EXACT('Kiểm thử'!E15541,"Đạt"),1,0),IF(EXACT('Kiểm thử'!E15543,"Đạt"),1,0),IF(EXACT('Kiểm thử'!E15545,"Đạt"),1,0))</s:f>
        <s:v/>
      </s:c>
      <s:c r="C15691" s="19" t="n"/>
      <s:c r="D15691" s="19" t="n"/>
      <s:c r="E15691" s="19" t="n"/>
    </s:row>
    <s:row r="15692" hidden="1" ht="1" customHeight="1">
      <s:c r="A15692" s="83" t="inlineStr">
        <s:is>
          <s:t>FAIL</s:t>
        </s:is>
      </s:c>
      <s:c r="B15692" s="83">
        <s:f>SUM(IF(EXACT('Kiểm thử'!E15541,"Không đạt"),1,0),IF(EXACT('Kiểm thử'!E15543,"Không đạt"),1,0),IF(EXACT('Kiểm thử'!E15545,"Không đạt"),1,0))</s:f>
        <s:v/>
      </s:c>
      <s:c r="C15692" s="19" t="n"/>
      <s:c r="D15692" s="19" t="n"/>
      <s:c r="E15692" s="19" t="n"/>
    </s:row>
    <s:row r="15693" hidden="1" ht="1" customHeight="1">
      <s:c r="A15693" s="83" t="inlineStr">
        <s:is>
          <s:t>BLOCKED</s:t>
        </s:is>
      </s:c>
      <s:c r="B15693" s="83">
        <s:f>SUM(IF(EXACT('Kiểm thử'!E15541,"Bị chặn"),1,0),IF(EXACT('Kiểm thử'!E15543,"Bị chặn"),1,0),IF(EXACT('Kiểm thử'!E15545,"Bị chặn"),1,0))</s:f>
        <s:v/>
      </s:c>
      <s:c r="C15693" s="19" t="n"/>
      <s:c r="D15693" s="19" t="n"/>
      <s:c r="E15693" s="19" t="n"/>
    </s:row>
    <s:row r="15694" hidden="1" ht="1" customHeight="1">
      <s:c r="A15694" s="83" t="inlineStr">
        <s:is>
          <s:t>SKIPPED</s:t>
        </s:is>
      </s:c>
      <s:c r="B15694" s="83">
        <s:f>SUM(IF(EXACT('Kiểm thử'!E15541,"Không thực hiện"),1,0),IF(EXACT('Kiểm thử'!E15543,"Không thực hiện"),1,0),IF(EXACT('Kiểm thử'!E15545,"Không thực hiện"),1,0))</s:f>
        <s:v/>
      </s:c>
      <s:c r="C15694" s="19" t="n"/>
      <s:c r="D15694" s="19" t="n"/>
      <s:c r="E15694" s="19" t="n"/>
    </s:row>
    <s:row r="15695" hidden="1" ht="1" customHeight="1">
      <s:c r="A15695" s="83" t="inlineStr">
        <s:is>
          <s:t>NOT RUN</s:t>
        </s:is>
      </s:c>
      <s:c r="B15695" s="83">
        <s:f>SUM(IF(EXACT('Kiểm thử'!E15541,"Chưa thực hiện"),1,0),IF(EXACT('Kiểm thử'!E15543,"Chưa thực hiện"),1,0),IF(EXACT('Kiểm thử'!E15545,"Chưa thực hiện"),1,0))</s:f>
        <s:v/>
      </s:c>
      <s:c r="C15695" s="19" t="n"/>
      <s:c r="D15695" s="19" t="n"/>
      <s:c r="E15695" s="19" t="n"/>
    </s:row>
    <s:row r="15696" hidden="1" ht="6" customHeight="1">
      <s:c r="A15696" s="83" t="inlineStr"/>
      <s:c r="B15696" s="19" t="n"/>
      <s:c r="C15696" s="19" t="n"/>
      <s:c r="D15696" s="19" t="n"/>
      <s:c r="E15696" s="19" t="n"/>
    </s:row>
    <s:row r="15697" ht="28" customHeight="1">
      <s:c r="A15697" s="108" t="inlineStr">
        <s:is>
          <s:t>TC-RS-FUNC-023 — Trích xuất: lọc giữ học sinh có ít nhất một ô đỏ trong phạm vi đang xét</s:t>
        </s:is>
      </s:c>
      <s:c r="B15697" s="111" t="n"/>
      <s:c r="C15697" s="111" t="n"/>
      <s:c r="D15697" s="111" t="n"/>
      <s:c r="E15697" s="111" t="n"/>
    </s:row>
    <s:row r="15698" ht="20" customHeight="1">
      <s:c r="A15698" s="112" t="inlineStr">
        <s:is>
          <s:t>Kết quả tình huống</s:t>
        </s:is>
      </s:c>
      <s:c r="B15698" s="113">
        <s:f>IF(SUM(IF(EXACT('Kiểm thử'!E15707,"Không đạt"),1,0),IF(EXACT('Kiểm thử'!E15709,"Không đạt"),1,0),IF(EXACT('Kiểm thử'!E15711,"Không đạt"),1,0),IF(EXACT('Kiểm thử'!E15713,"Không đạt"),1,0),IF(EXACT('Kiểm thử'!E15715,"Không đạt"),1,0),IF(EXACT('Kiểm thử'!E15717,"Không đạt"),1,0),IF(EXACT('Kiểm thử'!E15719,"Không đạt"),1,0))&gt;0,"Không đạt",IF(SUM(IF(EXACT('Kiểm thử'!E15707,"Đạt"),1,0),IF(EXACT('Kiểm thử'!E15709,"Đạt"),1,0),IF(EXACT('Kiểm thử'!E15711,"Đạt"),1,0),IF(EXACT('Kiểm thử'!E15713,"Đạt"),1,0),IF(EXACT('Kiểm thử'!E15715,"Đạt"),1,0),IF(EXACT('Kiểm thử'!E15717,"Đạt"),1,0),IF(EXACT('Kiểm thử'!E15719,"Đạt"),1,0))=7,"Đạt",IF(SUM(IF(EXACT('Kiểm thử'!E15707,"Không thực hiện"),1,0),IF(EXACT('Kiểm thử'!E15709,"Không thực hiện"),1,0),IF(EXACT('Kiểm thử'!E15711,"Không thực hiện"),1,0),IF(EXACT('Kiểm thử'!E15713,"Không thực hiện"),1,0),IF(EXACT('Kiểm thử'!E15715,"Không thực hiện"),1,0),IF(EXACT('Kiểm thử'!E15717,"Không thực hiện"),1,0),IF(EXACT('Kiểm thử'!E15719,"Không thực hiện"),1,0))=7,"Không thực hiện",IF(SUM(IF(EXACT('Kiểm thử'!E15707,"Bị chặn"),1,0),IF(EXACT('Kiểm thử'!E15709,"Bị chặn"),1,0),IF(EXACT('Kiểm thử'!E15711,"Bị chặn"),1,0),IF(EXACT('Kiểm thử'!E15713,"Bị chặn"),1,0),IF(EXACT('Kiểm thử'!E15715,"Bị chặn"),1,0),IF(EXACT('Kiểm thử'!E15717,"Bị chặn"),1,0),IF(EXACT('Kiểm thử'!E15719,"Bị chặn"),1,0))&gt;0,"Bị chặn",IF(SUM(IF(EXACT('Kiểm thử'!E15707,"Chưa thực hiện"),1,0),IF(EXACT('Kiểm thử'!E15709,"Chưa thực hiện"),1,0),IF(EXACT('Kiểm thử'!E15711,"Chưa thực hiện"),1,0),IF(EXACT('Kiểm thử'!E15713,"Chưa thực hiện"),1,0),IF(EXACT('Kiểm thử'!E15715,"Chưa thực hiện"),1,0),IF(EXACT('Kiểm thử'!E15717,"Chưa thực hiện"),1,0),IF(EXACT('Kiểm thử'!E15719,"Chưa thực hiện"),1,0))=7,"Chưa thực hiện","Đang thực hiện")))))</s:f>
        <s:v/>
      </s:c>
      <s:c r="C15698" s="114" t="n"/>
      <s:c r="D15698" s="114" t="n"/>
      <s:c r="E15698" s="114" t="n"/>
    </s:row>
    <s:row r="15699" ht="20" customHeight="1">
      <s:c r="A15699" s="112" t="inlineStr">
        <s:is>
          <s:t>Màn hình / chức năng</s:t>
        </s:is>
      </s:c>
      <s:c r="B15699" s="113" t="inlineStr">
        <s:is>
          <s:r>
            <s:rPr>
              <s:b val="1"/>
            </s:rPr>
            <s:t>Trích xuất thành tích（成績抽出）</s:t>
          </s:r>
        </s:is>
      </s:c>
      <s:c r="C15699" s="28" t="n"/>
      <s:c r="D15699" s="28" t="n"/>
      <s:c r="E15699" s="28" t="n"/>
    </s:row>
    <s:row r="15700" ht="48" customHeight="1">
      <s:c r="A15700" s="112" t="inlineStr">
        <s:is>
          <s:t>Cấu hình</s:t>
        </s:is>
      </s:c>
      <s:c r="B15700" s="113" t="inlineStr">
        <s:is>
          <s:t>• Kết quả đã xét: S10 Toán 24 Đỏ và Ngữ văn 20 Đỏ trong cùng phạm vi;
• S03 Không đỏ ở mọi môn. S10 có thêm ô Toán ở một thời điểm khác, Không đỏ. S06 có mục điểm đơn vị (đơn vị U1 có M riêng 40) U1 = 25 Đỏ, U2 = 35 Không đỏ.</s:t>
        </s:is>
      </s:c>
      <s:c r="C15700" s="28" t="n"/>
      <s:c r="D15700" s="28" t="n"/>
      <s:c r="E15700" s="28" t="n"/>
    </s:row>
    <s:row r="15701" ht="48" customHeight="1">
      <s:c r="A15701" s="112" t="inlineStr">
        <s:is>
          <s:t>Dữ liệu test</s:t>
        </s:is>
      </s:c>
      <s:c r="B15701" s="113" t="inlineStr">
        <s:is>
          <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s:t>
        </s:is>
      </s:c>
      <s:c r="C15701" s="28" t="n"/>
      <s:c r="D15701" s="28" t="n"/>
      <s:c r="E15701" s="28" t="n"/>
    </s:row>
    <s:row r="15702" ht="34" customHeight="1">
      <s:c r="A15702" s="112" t="inlineStr">
        <s:is>
          <s:t>Bước 1</s:t>
        </s:is>
      </s:c>
      <s:c r="B15702" s="113" t="inlineStr">
        <s:is>
          <s:t>Dựng baseline có đúng điểm/kết quả đã xét và scope của trường hợp; không dùng ô đỏ ngoài thời điểm/đơn vị làm control.</s:t>
        </s:is>
      </s:c>
      <s:c r="C15702" s="28" t="n"/>
      <s:c r="D15702" s="28" t="n"/>
      <s:c r="E15702" s="28" t="n"/>
    </s:row>
    <s:row r="15703" ht="20" customHeight="1">
      <s:c r="A15703" s="112" t="inlineStr">
        <s:is>
          <s:t>Bước 2</s:t>
        </s:is>
      </s:c>
      <s:c r="B15703" s="113" t="inlineStr">
        <s:is>
          <s:r>
            <s:t xml:space="preserve">Chạy </s:t>
          </s:r>
          <s:r>
            <s:rPr>
              <s:b val="1"/>
            </s:rPr>
            <s:t>Trích xuất thành tích（成績抽出）</s:t>
          </s:r>
          <s:r>
            <s:t xml:space="preserve"> với scope và tùy chọn riêng của trường hợp.</s:t>
          </s:r>
        </s:is>
      </s:c>
      <s:c r="C15703" s="28" t="n"/>
      <s:c r="D15703" s="28" t="n"/>
      <s:c r="E15703" s="28" t="n"/>
    </s:row>
    <s:row r="15704" ht="20" customHeight="1">
      <s:c r="A15704" s="112" t="inlineStr">
        <s:is>
          <s:t>Bước 3</s:t>
        </s:is>
      </s:c>
      <s:c r="B15704" s="113" t="inlineStr">
        <s:is>
          <s:t>Đọc danh sách học sinh, điểm/dấu của cả đối tượng đích và đối chứng.</s:t>
        </s:is>
      </s:c>
      <s:c r="C15704" s="28" t="n"/>
      <s:c r="D15704" s="28" t="n"/>
      <s:c r="E15704" s="28" t="n"/>
    </s:row>
    <s:row r="15705" ht="28" customHeight="1">
      <s:c r="A15705" s="115" t="inlineStr">
        <s:is>
          <s:t>Trường hợp</s:t>
        </s:is>
      </s:c>
      <s:c r="B15705" s="115" t="inlineStr">
        <s:is>
          <s:t>Dữ liệu / thao tác riêng</s:t>
        </s:is>
      </s:c>
      <s:c r="C15705" s="115" t="inlineStr">
        <s:is>
          <s:t>Kết quả mong đợi</s:t>
        </s:is>
      </s:c>
      <s:c r="D15705" s="115" t="inlineStr">
        <s:is>
          <s:t>Kết quả thực tế</s:t>
        </s:is>
      </s:c>
      <s:c r="E15705" s="115" t="inlineStr">
        <s:is>
          <s:t>Đánh giá</s:t>
        </s:is>
      </s:c>
    </s:row>
    <s:row r="15706" ht="3" customHeight="1">
      <s:c r="A15706" s="102" t="inlineStr"/>
      <s:c r="B15706" s="99" t="n"/>
      <s:c r="C15706" s="99" t="n"/>
      <s:c r="D15706" s="116" t="n"/>
      <s:c r="E15706" s="116" t="n"/>
    </s:row>
    <s:row r="15707" ht="62" customHeight="1">
      <s:c r="A15707" s="83" t="inlineStr">
        <s:is>
          <s:t>Hai môn có ô đỏ (multi-red-scope)</s:t>
        </s:is>
      </s:c>
      <s:c r="B15707" s="83" t="inlineStr">
        <s:is>
          <s:t>Bật lọc+[*] trước+màu, scope Toán và Ngữ văn; S10 có Toán24/Ngữ văn20 Đỏ, S03 Không đỏ. Chạy trích xuất, đọc membership.</s:t>
        </s:is>
      </s:c>
      <s:c r="C15707" s="83" t="inlineStr">
        <s:is>
          <s:r>
            <s:t xml:space="preserve">Phạm vi Toán và Ngữ văn: S10 có trong danh sách nhờ các ô </s:t>
          </s:r>
          <s:r>
            <s:rPr>
              <s:b val="1"/>
            </s:rPr>
            <s:t>Đỏ</s:t>
          </s:r>
          <s:r>
            <s:t xml:space="preserve"> trong phạm vi; S03 </s:t>
          </s:r>
          <s:r>
            <s:rPr>
              <s:b val="1"/>
            </s:rPr>
            <s:t>Không đỏ</s:t>
          </s:r>
          <s:r>
            <s:t xml:space="preserve"> không có trong danh sách.</s:t>
          </s:r>
        </s:is>
      </s:c>
      <s:c r="D15707" s="117" t="inlineStr"/>
      <s:c r="E15707" s="118" t="inlineStr">
        <s:is>
          <s:t>Chưa thực hiện</s:t>
        </s:is>
      </s:c>
    </s:row>
    <s:row r="15708" ht="3" customHeight="1">
      <s:c r="A15708" s="102" t="inlineStr"/>
      <s:c r="B15708" s="99" t="n"/>
      <s:c r="C15708" s="99" t="n"/>
      <s:c r="D15708" s="116" t="n"/>
      <s:c r="E15708" s="116" t="n"/>
    </s:row>
    <s:row r="15709" ht="62" customHeight="1">
      <s:c r="A15709" s="83" t="inlineStr">
        <s:is>
          <s:t>Chỉ môn còn trong phạm vi (one-red-in-scope)</s:t>
        </s:is>
      </s:c>
      <s:c r="B15709" s="83" t="inlineStr">
        <s:is>
          <s:t>Bật lọc+[*] trước+màu, scope chỉ Ngữ văn; giữ Ngữ văn20 Đỏ của S10, Toán ngoài scope; chạy trích xuất.</s:t>
        </s:is>
      </s:c>
      <s:c r="C15709" s="83" t="inlineStr">
        <s:is>
          <s:r>
            <s:t xml:space="preserve">2. Bước 2: S10 vẫn có trong danh sách nhờ Ngữ văn 20 </s:t>
          </s:r>
          <s:r>
            <s:rPr>
              <s:b val="1"/>
            </s:rPr>
            <s:t>Đỏ</s:t>
          </s:r>
          <s:r>
            <s:t>; không được loại S10 chỉ vì ô Toán ngoài phạm vi.</s:t>
          </s:r>
        </s:is>
      </s:c>
      <s:c r="D15709" s="117" t="inlineStr"/>
      <s:c r="E15709" s="118" t="inlineStr">
        <s:is>
          <s:t>Chưa thực hiện</s:t>
        </s:is>
      </s:c>
    </s:row>
    <s:row r="15710" ht="3" customHeight="1">
      <s:c r="A15710" s="102" t="inlineStr"/>
      <s:c r="B15710" s="99" t="n"/>
      <s:c r="C15710" s="99" t="n"/>
      <s:c r="D15710" s="116" t="n"/>
      <s:c r="E15710" s="116" t="n"/>
    </s:row>
    <s:row r="15711" ht="48" customHeight="1">
      <s:c r="A15711" s="83" t="inlineStr">
        <s:is>
          <s:t>Đối chứng không có ô đỏ (no-red-in-scope)</s:t>
        </s:is>
      </s:c>
      <s:c r="B15711" s="83" t="inlineStr">
        <s:is>
          <s:t>Cùng scope Toán/Ngữ văn và lọc bật như lượt multi-red-scope; đọc riêng S03/Không đỏ ở mọi môn.</s:t>
        </s:is>
      </s:c>
      <s:c r="C15711" s="83" t="inlineStr">
        <s:is>
          <s:r>
            <s:t xml:space="preserve">Đối chứng S03 không có ô </s:t>
          </s:r>
          <s:r>
            <s:rPr>
              <s:b val="1"/>
            </s:rPr>
            <s:t>Đỏ</s:t>
          </s:r>
          <s:r>
            <s:t xml:space="preserve"> nào trong phạm vi → không có trong danh sách khi bật lọc đỏ.</s:t>
          </s:r>
        </s:is>
      </s:c>
      <s:c r="D15711" s="117" t="inlineStr"/>
      <s:c r="E15711" s="118" t="inlineStr">
        <s:is>
          <s:t>Chưa thực hiện</s:t>
        </s:is>
      </s:c>
    </s:row>
    <s:row r="15712" ht="3" customHeight="1">
      <s:c r="A15712" s="102" t="inlineStr"/>
      <s:c r="B15712" s="99" t="n"/>
      <s:c r="C15712" s="99" t="n"/>
      <s:c r="D15712" s="116" t="n"/>
      <s:c r="E15712" s="116" t="n"/>
    </s:row>
    <s:row r="15713" ht="48" customHeight="1">
      <s:c r="A15713" s="83" t="inlineStr">
        <s:is>
          <s:t>Ký hiệu không bật lọc (filter-off)</s:t>
        </s:is>
      </s:c>
      <s:c r="B15713" s="83" t="inlineStr">
        <s:is>
          <s:t>Chọn cấu hình chỉ [※] trước, [!] sau, lọc đỏ TẮT; chạy trích xuất và đọc danh sách.</s:t>
        </s:is>
      </s:c>
      <s:c r="C15713" s="83" t="inlineStr">
        <s:is>
          <s:t>3. Bước 3: danh sách không bị lọc theo đỏ (chỉ bật ký hiệu không giới hạn học sinh).</s:t>
        </s:is>
      </s:c>
      <s:c r="D15713" s="117" t="inlineStr"/>
      <s:c r="E15713" s="118" t="inlineStr">
        <s:is>
          <s:t>Chưa thực hiện</s:t>
        </s:is>
      </s:c>
    </s:row>
    <s:row r="15714" ht="3" customHeight="1">
      <s:c r="A15714" s="102" t="inlineStr"/>
      <s:c r="B15714" s="99" t="n"/>
      <s:c r="C15714" s="99" t="n"/>
      <s:c r="D15714" s="116" t="n"/>
      <s:c r="E15714" s="116" t="n"/>
    </s:row>
    <s:row r="15715" ht="76" customHeight="1">
      <s:c r="A15715" s="83" t="inlineStr">
        <s:is>
          <s:t>Ô đỏ ở thời điểm khác (another-period-only)</s:t>
        </s:is>
      </s:c>
      <s:c r="B15715" s="83" t="inlineStr">
        <s:is>
          <s:t>Bật lọc+[*] trước+màu; chọn thời điểm khác thời điểm ô Toán Đỏ của S10. Ô Toán của thời điểm đang chọn Không đỏ; chạy trích xuất.</s:t>
        </s:is>
      </s:c>
      <s:c r="C15715" s="83" t="inlineStr">
        <s:is>
          <s:t>4. Bước 4: S10 không có trong danh sách; ô đỏ ở thời điểm khác không giúp thỏa điều kiện.</s:t>
        </s:is>
      </s:c>
      <s:c r="D15715" s="117" t="inlineStr"/>
      <s:c r="E15715" s="118" t="inlineStr">
        <s:is>
          <s:t>Chưa thực hiện</s:t>
        </s:is>
      </s:c>
    </s:row>
    <s:row r="15716" ht="3" customHeight="1">
      <s:c r="A15716" s="102" t="inlineStr"/>
      <s:c r="B15716" s="99" t="n"/>
      <s:c r="C15716" s="99" t="n"/>
      <s:c r="D15716" s="116" t="n"/>
      <s:c r="E15716" s="116" t="n"/>
    </s:row>
    <s:row r="15717" ht="48" customHeight="1">
      <s:c r="A15717" s="83" t="inlineStr">
        <s:is>
          <s:t>Chỉ đơn vị không đỏ trong phạm vi (other-unit-only)</s:t>
        </s:is>
      </s:c>
      <s:c r="B15717" s="83" t="inlineStr">
        <s:is>
          <s:t>S06 U1=25 Đỏ, U2=35 Không đỏ; bật lọc+[*] trước+màu nhưng chọn phạm vi chỉ U2, chạy trích xuất.</s:t>
        </s:is>
      </s:c>
      <s:c r="C15717" s="83" t="inlineStr">
        <s:is>
          <s:t>5. Bước 5: S06 không có trong danh sách; ô đỏ của U1 ngoài phạm vi đơn vị.</s:t>
        </s:is>
      </s:c>
      <s:c r="D15717" s="117" t="inlineStr"/>
      <s:c r="E15717" s="118" t="inlineStr">
        <s:is>
          <s:t>Chưa thực hiện</s:t>
        </s:is>
      </s:c>
    </s:row>
    <s:row r="15718" ht="3" customHeight="1">
      <s:c r="A15718" s="102" t="inlineStr"/>
      <s:c r="B15718" s="99" t="n"/>
      <s:c r="C15718" s="99" t="n"/>
      <s:c r="D15718" s="116" t="n"/>
      <s:c r="E15718" s="116" t="n"/>
    </s:row>
    <s:row r="15719" ht="62" customHeight="1">
      <s:c r="A15719" s="83" t="inlineStr">
        <s:is>
          <s:t>Xóa một môn nhưng môn kia vẫn đỏ (after-delete)</s:t>
        </s:is>
      </s:c>
      <s:c r="B15719" s="83" t="inlineStr">
        <s:is>
          <s:t>Dựng baseline scope Toán/Ngữ văn như multi-red-scope; xóa thành công Toán của S10, giữ Ngữ văn20 Đỏ; chạy lại lọc cả hai môn.</s:t>
        </s:is>
      </s:c>
      <s:c r="C15719" s="83" t="inlineStr">
        <s:is>
          <s:r>
            <s:t xml:space="preserve">6. S10 vẫn có trong danh sách nhờ Ngữ văn 20 </s:t>
          </s:r>
          <s:r>
            <s:rPr>
              <s:b val="1"/>
            </s:rPr>
            <s:t>Đỏ</s:t>
          </s:r>
          <s:r>
            <s:t>; ô Toán đã xóa không còn dấu đỏ.</s:t>
          </s:r>
        </s:is>
      </s:c>
      <s:c r="D15719" s="117" t="inlineStr"/>
      <s:c r="E15719" s="118" t="inlineStr">
        <s:is>
          <s:t>Chưa thực hiện</s:t>
        </s:is>
      </s:c>
    </s:row>
    <s:row r="15720" ht="20" customHeight="1">
      <s:c r="A15720" s="119" t="inlineStr">
        <s:is>
          <s:t>Ảnh minh chứng — Chưa có ảnh</s:t>
        </s:is>
      </s:c>
      <s:c r="B15720" s="19" t="n"/>
      <s:c r="C15720" s="19" t="n"/>
      <s:c r="D15720" s="19" t="n"/>
      <s:c r="E15720" s="19" t="n"/>
    </s:row>
    <s:row r="15721" hidden="1" ht="1" customHeight="1">
      <s:c r="A15721" s="120" t="inlineStr"/>
      <s:c r="B15721" s="121" t="n"/>
      <s:c r="C15721" s="121" t="n"/>
      <s:c r="D15721" s="121" t="n"/>
      <s:c r="E15721" s="122" t="n"/>
    </s:row>
    <s:row r="15722" hidden="1" ht="1" customHeight="1">
      <s:c r="A15722" s="120" t="inlineStr"/>
      <s:c r="B15722" s="121" t="n"/>
      <s:c r="C15722" s="121" t="n"/>
      <s:c r="D15722" s="121" t="n"/>
      <s:c r="E15722" s="122" t="n"/>
    </s:row>
    <s:row r="15723" hidden="1" ht="1" customHeight="1">
      <s:c r="A15723" s="120" t="inlineStr"/>
      <s:c r="B15723" s="121" t="n"/>
      <s:c r="C15723" s="121" t="n"/>
      <s:c r="D15723" s="121" t="n"/>
      <s:c r="E15723" s="122" t="n"/>
    </s:row>
    <s:row r="15724" hidden="1" ht="1" customHeight="1">
      <s:c r="A15724" s="120" t="inlineStr"/>
      <s:c r="B15724" s="121" t="n"/>
      <s:c r="C15724" s="121" t="n"/>
      <s:c r="D15724" s="121" t="n"/>
      <s:c r="E15724" s="122" t="n"/>
    </s:row>
    <s:row r="15725" hidden="1" ht="1" customHeight="1">
      <s:c r="A15725" s="120" t="inlineStr"/>
      <s:c r="B15725" s="121" t="n"/>
      <s:c r="C15725" s="121" t="n"/>
      <s:c r="D15725" s="121" t="n"/>
      <s:c r="E15725" s="122" t="n"/>
    </s:row>
    <s:row r="15726" hidden="1" ht="1" customHeight="1">
      <s:c r="A15726" s="120" t="inlineStr"/>
      <s:c r="B15726" s="121" t="n"/>
      <s:c r="C15726" s="121" t="n"/>
      <s:c r="D15726" s="121" t="n"/>
      <s:c r="E15726" s="122" t="n"/>
    </s:row>
    <s:row r="15727" hidden="1" ht="1" customHeight="1">
      <s:c r="A15727" s="120" t="inlineStr"/>
      <s:c r="B15727" s="121" t="n"/>
      <s:c r="C15727" s="121" t="n"/>
      <s:c r="D15727" s="121" t="n"/>
      <s:c r="E15727" s="122" t="n"/>
    </s:row>
    <s:row r="15728" hidden="1" ht="1" customHeight="1">
      <s:c r="A15728" s="120" t="inlineStr"/>
      <s:c r="B15728" s="121" t="n"/>
      <s:c r="C15728" s="121" t="n"/>
      <s:c r="D15728" s="121" t="n"/>
      <s:c r="E15728" s="122" t="n"/>
    </s:row>
    <s:row r="15729" hidden="1" ht="1" customHeight="1">
      <s:c r="A15729" s="120" t="inlineStr"/>
      <s:c r="B15729" s="121" t="n"/>
      <s:c r="C15729" s="121" t="n"/>
      <s:c r="D15729" s="121" t="n"/>
      <s:c r="E15729" s="122" t="n"/>
    </s:row>
    <s:row r="15730" hidden="1" ht="1" customHeight="1">
      <s:c r="A15730" s="120" t="inlineStr"/>
      <s:c r="B15730" s="121" t="n"/>
      <s:c r="C15730" s="121" t="n"/>
      <s:c r="D15730" s="121" t="n"/>
      <s:c r="E15730" s="122" t="n"/>
    </s:row>
    <s:row r="15731" hidden="1" ht="1" customHeight="1">
      <s:c r="A15731" s="120" t="inlineStr"/>
      <s:c r="B15731" s="121" t="n"/>
      <s:c r="C15731" s="121" t="n"/>
      <s:c r="D15731" s="121" t="n"/>
      <s:c r="E15731" s="122" t="n"/>
    </s:row>
    <s:row r="15732" hidden="1" ht="1" customHeight="1">
      <s:c r="A15732" s="120" t="inlineStr"/>
      <s:c r="B15732" s="121" t="n"/>
      <s:c r="C15732" s="121" t="n"/>
      <s:c r="D15732" s="121" t="n"/>
      <s:c r="E15732" s="122" t="n"/>
    </s:row>
    <s:row r="15733" hidden="1" ht="1" customHeight="1">
      <s:c r="A15733" s="120" t="inlineStr"/>
      <s:c r="B15733" s="121" t="n"/>
      <s:c r="C15733" s="121" t="n"/>
      <s:c r="D15733" s="121" t="n"/>
      <s:c r="E15733" s="122" t="n"/>
    </s:row>
    <s:row r="15734" hidden="1" ht="1" customHeight="1">
      <s:c r="A15734" s="120" t="inlineStr"/>
      <s:c r="B15734" s="121" t="n"/>
      <s:c r="C15734" s="121" t="n"/>
      <s:c r="D15734" s="121" t="n"/>
      <s:c r="E15734" s="122" t="n"/>
    </s:row>
    <s:row r="15735" hidden="1" ht="1" customHeight="1">
      <s:c r="A15735" s="120" t="inlineStr"/>
      <s:c r="B15735" s="121" t="n"/>
      <s:c r="C15735" s="121" t="n"/>
      <s:c r="D15735" s="121" t="n"/>
      <s:c r="E15735" s="122" t="n"/>
    </s:row>
    <s:row r="15736" hidden="1" ht="1" customHeight="1">
      <s:c r="A15736" s="120" t="inlineStr"/>
      <s:c r="B15736" s="121" t="n"/>
      <s:c r="C15736" s="121" t="n"/>
      <s:c r="D15736" s="121" t="n"/>
      <s:c r="E15736" s="122" t="n"/>
    </s:row>
    <s:row r="15737" hidden="1" ht="1" customHeight="1">
      <s:c r="A15737" s="120" t="inlineStr"/>
      <s:c r="B15737" s="121" t="n"/>
      <s:c r="C15737" s="121" t="n"/>
      <s:c r="D15737" s="121" t="n"/>
      <s:c r="E15737" s="122" t="n"/>
    </s:row>
    <s:row r="15738" hidden="1" ht="1" customHeight="1">
      <s:c r="A15738" s="120" t="inlineStr"/>
      <s:c r="B15738" s="121" t="n"/>
      <s:c r="C15738" s="121" t="n"/>
      <s:c r="D15738" s="121" t="n"/>
      <s:c r="E15738" s="122" t="n"/>
    </s:row>
    <s:row r="15739" hidden="1" ht="1" customHeight="1">
      <s:c r="A15739" s="120" t="inlineStr"/>
      <s:c r="B15739" s="121" t="n"/>
      <s:c r="C15739" s="121" t="n"/>
      <s:c r="D15739" s="121" t="n"/>
      <s:c r="E15739" s="122" t="n"/>
    </s:row>
    <s:row r="15740" hidden="1" ht="1" customHeight="1">
      <s:c r="A15740" s="120" t="inlineStr"/>
      <s:c r="B15740" s="121" t="n"/>
      <s:c r="C15740" s="121" t="n"/>
      <s:c r="D15740" s="121" t="n"/>
      <s:c r="E15740" s="122" t="n"/>
    </s:row>
    <s:row r="15741" hidden="1" ht="1" customHeight="1">
      <s:c r="A15741" s="120" t="inlineStr"/>
      <s:c r="B15741" s="121" t="n"/>
      <s:c r="C15741" s="121" t="n"/>
      <s:c r="D15741" s="121" t="n"/>
      <s:c r="E15741" s="122" t="n"/>
    </s:row>
    <s:row r="15742" hidden="1" ht="1" customHeight="1">
      <s:c r="A15742" s="120" t="inlineStr"/>
      <s:c r="B15742" s="121" t="n"/>
      <s:c r="C15742" s="121" t="n"/>
      <s:c r="D15742" s="121" t="n"/>
      <s:c r="E15742" s="122" t="n"/>
    </s:row>
    <s:row r="15743" hidden="1" ht="1" customHeight="1">
      <s:c r="A15743" s="120" t="inlineStr"/>
      <s:c r="B15743" s="121" t="n"/>
      <s:c r="C15743" s="121" t="n"/>
      <s:c r="D15743" s="121" t="n"/>
      <s:c r="E15743" s="122" t="n"/>
    </s:row>
    <s:row r="15744" hidden="1" ht="1" customHeight="1">
      <s:c r="A15744" s="120" t="inlineStr"/>
      <s:c r="B15744" s="121" t="n"/>
      <s:c r="C15744" s="121" t="n"/>
      <s:c r="D15744" s="121" t="n"/>
      <s:c r="E15744" s="122" t="n"/>
    </s:row>
    <s:row r="15745" hidden="1" ht="1" customHeight="1">
      <s:c r="A15745" s="120" t="inlineStr"/>
      <s:c r="B15745" s="121" t="n"/>
      <s:c r="C15745" s="121" t="n"/>
      <s:c r="D15745" s="121" t="n"/>
      <s:c r="E15745" s="122" t="n"/>
    </s:row>
    <s:row r="15746" hidden="1" ht="1" customHeight="1">
      <s:c r="A15746" s="120" t="inlineStr"/>
      <s:c r="B15746" s="121" t="n"/>
      <s:c r="C15746" s="121" t="n"/>
      <s:c r="D15746" s="121" t="n"/>
      <s:c r="E15746" s="122" t="n"/>
    </s:row>
    <s:row r="15747" hidden="1" ht="1" customHeight="1">
      <s:c r="A15747" s="120" t="inlineStr"/>
      <s:c r="B15747" s="121" t="n"/>
      <s:c r="C15747" s="121" t="n"/>
      <s:c r="D15747" s="121" t="n"/>
      <s:c r="E15747" s="122" t="n"/>
    </s:row>
    <s:row r="15748" hidden="1" ht="1" customHeight="1">
      <s:c r="A15748" s="120" t="inlineStr"/>
      <s:c r="B15748" s="121" t="n"/>
      <s:c r="C15748" s="121" t="n"/>
      <s:c r="D15748" s="121" t="n"/>
      <s:c r="E15748" s="122" t="n"/>
    </s:row>
    <s:row r="15749" hidden="1" ht="1" customHeight="1">
      <s:c r="A15749" s="120" t="inlineStr"/>
      <s:c r="B15749" s="121" t="n"/>
      <s:c r="C15749" s="121" t="n"/>
      <s:c r="D15749" s="121" t="n"/>
      <s:c r="E15749" s="122" t="n"/>
    </s:row>
    <s:row r="15750" hidden="1" ht="1" customHeight="1">
      <s:c r="A15750" s="120" t="inlineStr"/>
      <s:c r="B15750" s="121" t="n"/>
      <s:c r="C15750" s="121" t="n"/>
      <s:c r="D15750" s="121" t="n"/>
      <s:c r="E15750" s="122" t="n"/>
    </s:row>
    <s:row r="15751" hidden="1" ht="1" customHeight="1">
      <s:c r="A15751" s="120" t="inlineStr"/>
      <s:c r="B15751" s="121" t="n"/>
      <s:c r="C15751" s="121" t="n"/>
      <s:c r="D15751" s="121" t="n"/>
      <s:c r="E15751" s="122" t="n"/>
    </s:row>
    <s:row r="15752" hidden="1" ht="1" customHeight="1">
      <s:c r="A15752" s="120" t="inlineStr"/>
      <s:c r="B15752" s="121" t="n"/>
      <s:c r="C15752" s="121" t="n"/>
      <s:c r="D15752" s="121" t="n"/>
      <s:c r="E15752" s="122" t="n"/>
    </s:row>
    <s:row r="15753" hidden="1" ht="1" customHeight="1">
      <s:c r="A15753" s="120" t="inlineStr"/>
      <s:c r="B15753" s="121" t="n"/>
      <s:c r="C15753" s="121" t="n"/>
      <s:c r="D15753" s="121" t="n"/>
      <s:c r="E15753" s="122" t="n"/>
    </s:row>
    <s:row r="15754" hidden="1" ht="1" customHeight="1">
      <s:c r="A15754" s="120" t="inlineStr"/>
      <s:c r="B15754" s="121" t="n"/>
      <s:c r="C15754" s="121" t="n"/>
      <s:c r="D15754" s="121" t="n"/>
      <s:c r="E15754" s="122" t="n"/>
    </s:row>
    <s:row r="15755" hidden="1" ht="1" customHeight="1">
      <s:c r="A15755" s="120" t="inlineStr"/>
      <s:c r="B15755" s="121" t="n"/>
      <s:c r="C15755" s="121" t="n"/>
      <s:c r="D15755" s="121" t="n"/>
      <s:c r="E15755" s="122" t="n"/>
    </s:row>
    <s:row r="15756" hidden="1" ht="1" customHeight="1">
      <s:c r="A15756" s="120" t="inlineStr"/>
      <s:c r="B15756" s="121" t="n"/>
      <s:c r="C15756" s="121" t="n"/>
      <s:c r="D15756" s="121" t="n"/>
      <s:c r="E15756" s="122" t="n"/>
    </s:row>
    <s:row r="15757" hidden="1" ht="1" customHeight="1">
      <s:c r="A15757" s="120" t="inlineStr"/>
      <s:c r="B15757" s="121" t="n"/>
      <s:c r="C15757" s="121" t="n"/>
      <s:c r="D15757" s="121" t="n"/>
      <s:c r="E15757" s="122" t="n"/>
    </s:row>
    <s:row r="15758" hidden="1" ht="1" customHeight="1">
      <s:c r="A15758" s="120" t="inlineStr"/>
      <s:c r="B15758" s="121" t="n"/>
      <s:c r="C15758" s="121" t="n"/>
      <s:c r="D15758" s="121" t="n"/>
      <s:c r="E15758" s="122" t="n"/>
    </s:row>
    <s:row r="15759" hidden="1" ht="1" customHeight="1">
      <s:c r="A15759" s="120" t="inlineStr"/>
      <s:c r="B15759" s="121" t="n"/>
      <s:c r="C15759" s="121" t="n"/>
      <s:c r="D15759" s="121" t="n"/>
      <s:c r="E15759" s="122" t="n"/>
    </s:row>
    <s:row r="15760" hidden="1" ht="1" customHeight="1">
      <s:c r="A15760" s="120" t="inlineStr"/>
      <s:c r="B15760" s="121" t="n"/>
      <s:c r="C15760" s="121" t="n"/>
      <s:c r="D15760" s="121" t="n"/>
      <s:c r="E15760" s="122" t="n"/>
    </s:row>
    <s:row r="15761" hidden="1" ht="1" customHeight="1">
      <s:c r="A15761" s="120" t="inlineStr"/>
      <s:c r="B15761" s="121" t="n"/>
      <s:c r="C15761" s="121" t="n"/>
      <s:c r="D15761" s="121" t="n"/>
      <s:c r="E15761" s="122" t="n"/>
    </s:row>
    <s:row r="15762" hidden="1" ht="1" customHeight="1">
      <s:c r="A15762" s="120" t="inlineStr"/>
      <s:c r="B15762" s="121" t="n"/>
      <s:c r="C15762" s="121" t="n"/>
      <s:c r="D15762" s="121" t="n"/>
      <s:c r="E15762" s="122" t="n"/>
    </s:row>
    <s:row r="15763" hidden="1" ht="1" customHeight="1">
      <s:c r="A15763" s="120" t="inlineStr"/>
      <s:c r="B15763" s="121" t="n"/>
      <s:c r="C15763" s="121" t="n"/>
      <s:c r="D15763" s="121" t="n"/>
      <s:c r="E15763" s="122" t="n"/>
    </s:row>
    <s:row r="15764" hidden="1" ht="1" customHeight="1">
      <s:c r="A15764" s="120" t="inlineStr"/>
      <s:c r="B15764" s="121" t="n"/>
      <s:c r="C15764" s="121" t="n"/>
      <s:c r="D15764" s="121" t="n"/>
      <s:c r="E15764" s="122" t="n"/>
    </s:row>
    <s:row r="15765" hidden="1" ht="1" customHeight="1">
      <s:c r="A15765" s="120" t="inlineStr"/>
      <s:c r="B15765" s="121" t="n"/>
      <s:c r="C15765" s="121" t="n"/>
      <s:c r="D15765" s="121" t="n"/>
      <s:c r="E15765" s="122" t="n"/>
    </s:row>
    <s:row r="15766" hidden="1" ht="1" customHeight="1">
      <s:c r="A15766" s="120" t="inlineStr"/>
      <s:c r="B15766" s="121" t="n"/>
      <s:c r="C15766" s="121" t="n"/>
      <s:c r="D15766" s="121" t="n"/>
      <s:c r="E15766" s="122" t="n"/>
    </s:row>
    <s:row r="15767" hidden="1" ht="1" customHeight="1">
      <s:c r="A15767" s="120" t="inlineStr"/>
      <s:c r="B15767" s="121" t="n"/>
      <s:c r="C15767" s="121" t="n"/>
      <s:c r="D15767" s="121" t="n"/>
      <s:c r="E15767" s="122" t="n"/>
    </s:row>
    <s:row r="15768" hidden="1" ht="1" customHeight="1">
      <s:c r="A15768" s="120" t="inlineStr"/>
      <s:c r="B15768" s="121" t="n"/>
      <s:c r="C15768" s="121" t="n"/>
      <s:c r="D15768" s="121" t="n"/>
      <s:c r="E15768" s="122" t="n"/>
    </s:row>
    <s:row r="15769" hidden="1" ht="1" customHeight="1">
      <s:c r="A15769" s="120" t="inlineStr"/>
      <s:c r="B15769" s="121" t="n"/>
      <s:c r="C15769" s="121" t="n"/>
      <s:c r="D15769" s="121" t="n"/>
      <s:c r="E15769" s="122" t="n"/>
    </s:row>
    <s:row r="15770" hidden="1" ht="1" customHeight="1">
      <s:c r="A15770" s="120" t="inlineStr"/>
      <s:c r="B15770" s="121" t="n"/>
      <s:c r="C15770" s="121" t="n"/>
      <s:c r="D15770" s="121" t="n"/>
      <s:c r="E15770" s="122" t="n"/>
    </s:row>
    <s:row r="15771" hidden="1" ht="1" customHeight="1">
      <s:c r="A15771" s="120" t="inlineStr"/>
      <s:c r="B15771" s="121" t="n"/>
      <s:c r="C15771" s="121" t="n"/>
      <s:c r="D15771" s="121" t="n"/>
      <s:c r="E15771" s="122" t="n"/>
    </s:row>
    <s:row r="15772" hidden="1" ht="1" customHeight="1">
      <s:c r="A15772" s="120" t="inlineStr"/>
      <s:c r="B15772" s="121" t="n"/>
      <s:c r="C15772" s="121" t="n"/>
      <s:c r="D15772" s="121" t="n"/>
      <s:c r="E15772" s="122" t="n"/>
    </s:row>
    <s:row r="15773" hidden="1" ht="1" customHeight="1">
      <s:c r="A15773" s="120" t="inlineStr"/>
      <s:c r="B15773" s="121" t="n"/>
      <s:c r="C15773" s="121" t="n"/>
      <s:c r="D15773" s="121" t="n"/>
      <s:c r="E15773" s="122" t="n"/>
    </s:row>
    <s:row r="15774" hidden="1" ht="1" customHeight="1">
      <s:c r="A15774" s="120" t="inlineStr"/>
      <s:c r="B15774" s="121" t="n"/>
      <s:c r="C15774" s="121" t="n"/>
      <s:c r="D15774" s="121" t="n"/>
      <s:c r="E15774" s="122" t="n"/>
    </s:row>
    <s:row r="15775" hidden="1" ht="1" customHeight="1">
      <s:c r="A15775" s="120" t="inlineStr"/>
      <s:c r="B15775" s="121" t="n"/>
      <s:c r="C15775" s="121" t="n"/>
      <s:c r="D15775" s="121" t="n"/>
      <s:c r="E15775" s="122" t="n"/>
    </s:row>
    <s:row r="15776" hidden="1" ht="1" customHeight="1">
      <s:c r="A15776" s="120" t="inlineStr"/>
      <s:c r="B15776" s="121" t="n"/>
      <s:c r="C15776" s="121" t="n"/>
      <s:c r="D15776" s="121" t="n"/>
      <s:c r="E15776" s="122" t="n"/>
    </s:row>
    <s:row r="15777" hidden="1" ht="1" customHeight="1">
      <s:c r="A15777" s="120" t="inlineStr"/>
      <s:c r="B15777" s="121" t="n"/>
      <s:c r="C15777" s="121" t="n"/>
      <s:c r="D15777" s="121" t="n"/>
      <s:c r="E15777" s="122" t="n"/>
    </s:row>
    <s:row r="15778" hidden="1" ht="1" customHeight="1">
      <s:c r="A15778" s="120" t="inlineStr"/>
      <s:c r="B15778" s="121" t="n"/>
      <s:c r="C15778" s="121" t="n"/>
      <s:c r="D15778" s="121" t="n"/>
      <s:c r="E15778" s="122" t="n"/>
    </s:row>
    <s:row r="15779" hidden="1" ht="1" customHeight="1">
      <s:c r="A15779" s="120" t="inlineStr"/>
      <s:c r="B15779" s="121" t="n"/>
      <s:c r="C15779" s="121" t="n"/>
      <s:c r="D15779" s="121" t="n"/>
      <s:c r="E15779" s="122" t="n"/>
    </s:row>
    <s:row r="15780" hidden="1" ht="1" customHeight="1">
      <s:c r="A15780" s="120" t="inlineStr"/>
      <s:c r="B15780" s="121" t="n"/>
      <s:c r="C15780" s="121" t="n"/>
      <s:c r="D15780" s="121" t="n"/>
      <s:c r="E15780" s="122" t="n"/>
    </s:row>
    <s:row r="15781" hidden="1" ht="1" customHeight="1">
      <s:c r="A15781" s="120" t="inlineStr"/>
      <s:c r="B15781" s="121" t="n"/>
      <s:c r="C15781" s="121" t="n"/>
      <s:c r="D15781" s="121" t="n"/>
      <s:c r="E15781" s="122" t="n"/>
    </s:row>
    <s:row r="15782" hidden="1" ht="1" customHeight="1">
      <s:c r="A15782" s="120" t="inlineStr"/>
      <s:c r="B15782" s="121" t="n"/>
      <s:c r="C15782" s="121" t="n"/>
      <s:c r="D15782" s="121" t="n"/>
      <s:c r="E15782" s="122" t="n"/>
    </s:row>
    <s:row r="15783" hidden="1" ht="1" customHeight="1">
      <s:c r="A15783" s="120" t="inlineStr"/>
      <s:c r="B15783" s="121" t="n"/>
      <s:c r="C15783" s="121" t="n"/>
      <s:c r="D15783" s="121" t="n"/>
      <s:c r="E15783" s="122" t="n"/>
    </s:row>
    <s:row r="15784" hidden="1" ht="1" customHeight="1">
      <s:c r="A15784" s="120" t="inlineStr"/>
      <s:c r="B15784" s="121" t="n"/>
      <s:c r="C15784" s="121" t="n"/>
      <s:c r="D15784" s="121" t="n"/>
      <s:c r="E15784" s="122" t="n"/>
    </s:row>
    <s:row r="15785" hidden="1" ht="1" customHeight="1">
      <s:c r="A15785" s="120" t="inlineStr"/>
      <s:c r="B15785" s="121" t="n"/>
      <s:c r="C15785" s="121" t="n"/>
      <s:c r="D15785" s="121" t="n"/>
      <s:c r="E15785" s="122" t="n"/>
    </s:row>
    <s:row r="15786" hidden="1" ht="1" customHeight="1">
      <s:c r="A15786" s="120" t="inlineStr"/>
      <s:c r="B15786" s="121" t="n"/>
      <s:c r="C15786" s="121" t="n"/>
      <s:c r="D15786" s="121" t="n"/>
      <s:c r="E15786" s="122" t="n"/>
    </s:row>
    <s:row r="15787" hidden="1" ht="1" customHeight="1">
      <s:c r="A15787" s="120" t="inlineStr"/>
      <s:c r="B15787" s="121" t="n"/>
      <s:c r="C15787" s="121" t="n"/>
      <s:c r="D15787" s="121" t="n"/>
      <s:c r="E15787" s="122" t="n"/>
    </s:row>
    <s:row r="15788" hidden="1" ht="1" customHeight="1">
      <s:c r="A15788" s="120" t="inlineStr"/>
      <s:c r="B15788" s="121" t="n"/>
      <s:c r="C15788" s="121" t="n"/>
      <s:c r="D15788" s="121" t="n"/>
      <s:c r="E15788" s="122" t="n"/>
    </s:row>
    <s:row r="15789" hidden="1" ht="1" customHeight="1">
      <s:c r="A15789" s="120" t="inlineStr"/>
      <s:c r="B15789" s="121" t="n"/>
      <s:c r="C15789" s="121" t="n"/>
      <s:c r="D15789" s="121" t="n"/>
      <s:c r="E15789" s="122" t="n"/>
    </s:row>
    <s:row r="15790" hidden="1" ht="1" customHeight="1">
      <s:c r="A15790" s="120" t="inlineStr"/>
      <s:c r="B15790" s="121" t="n"/>
      <s:c r="C15790" s="121" t="n"/>
      <s:c r="D15790" s="121" t="n"/>
      <s:c r="E15790" s="122" t="n"/>
    </s:row>
    <s:row r="15791" hidden="1" ht="1" customHeight="1">
      <s:c r="A15791" s="120" t="inlineStr"/>
      <s:c r="B15791" s="121" t="n"/>
      <s:c r="C15791" s="121" t="n"/>
      <s:c r="D15791" s="121" t="n"/>
      <s:c r="E15791" s="122" t="n"/>
    </s:row>
    <s:row r="15792" hidden="1" ht="1" customHeight="1">
      <s:c r="A15792" s="120" t="inlineStr"/>
      <s:c r="B15792" s="121" t="n"/>
      <s:c r="C15792" s="121" t="n"/>
      <s:c r="D15792" s="121" t="n"/>
      <s:c r="E15792" s="122" t="n"/>
    </s:row>
    <s:row r="15793" hidden="1" ht="1" customHeight="1">
      <s:c r="A15793" s="120" t="inlineStr"/>
      <s:c r="B15793" s="121" t="n"/>
      <s:c r="C15793" s="121" t="n"/>
      <s:c r="D15793" s="121" t="n"/>
      <s:c r="E15793" s="122" t="n"/>
    </s:row>
    <s:row r="15794" hidden="1" ht="1" customHeight="1">
      <s:c r="A15794" s="120" t="inlineStr"/>
      <s:c r="B15794" s="121" t="n"/>
      <s:c r="C15794" s="121" t="n"/>
      <s:c r="D15794" s="121" t="n"/>
      <s:c r="E15794" s="122" t="n"/>
    </s:row>
    <s:row r="15795" hidden="1" ht="1" customHeight="1">
      <s:c r="A15795" s="120" t="inlineStr"/>
      <s:c r="B15795" s="121" t="n"/>
      <s:c r="C15795" s="121" t="n"/>
      <s:c r="D15795" s="121" t="n"/>
      <s:c r="E15795" s="122" t="n"/>
    </s:row>
    <s:row r="15796" hidden="1" ht="1" customHeight="1">
      <s:c r="A15796" s="120" t="inlineStr"/>
      <s:c r="B15796" s="121" t="n"/>
      <s:c r="C15796" s="121" t="n"/>
      <s:c r="D15796" s="121" t="n"/>
      <s:c r="E15796" s="122" t="n"/>
    </s:row>
    <s:row r="15797" hidden="1" ht="1" customHeight="1">
      <s:c r="A15797" s="120" t="inlineStr"/>
      <s:c r="B15797" s="121" t="n"/>
      <s:c r="C15797" s="121" t="n"/>
      <s:c r="D15797" s="121" t="n"/>
      <s:c r="E15797" s="122" t="n"/>
    </s:row>
    <s:row r="15798" hidden="1" ht="1" customHeight="1">
      <s:c r="A15798" s="120" t="inlineStr"/>
      <s:c r="B15798" s="121" t="n"/>
      <s:c r="C15798" s="121" t="n"/>
      <s:c r="D15798" s="121" t="n"/>
      <s:c r="E15798" s="122" t="n"/>
    </s:row>
    <s:row r="15799" hidden="1" ht="1" customHeight="1">
      <s:c r="A15799" s="120" t="inlineStr"/>
      <s:c r="B15799" s="121" t="n"/>
      <s:c r="C15799" s="121" t="n"/>
      <s:c r="D15799" s="121" t="n"/>
      <s:c r="E15799" s="122" t="n"/>
    </s:row>
    <s:row r="15800" hidden="1" ht="1" customHeight="1">
      <s:c r="A15800" s="120" t="inlineStr"/>
      <s:c r="B15800" s="121" t="n"/>
      <s:c r="C15800" s="121" t="n"/>
      <s:c r="D15800" s="121" t="n"/>
      <s:c r="E15800" s="122" t="n"/>
    </s:row>
    <s:row r="15801" hidden="1" ht="1" customHeight="1">
      <s:c r="A15801" s="120" t="inlineStr"/>
      <s:c r="B15801" s="121" t="n"/>
      <s:c r="C15801" s="121" t="n"/>
      <s:c r="D15801" s="121" t="n"/>
      <s:c r="E15801" s="122" t="n"/>
    </s:row>
    <s:row r="15802" hidden="1" ht="1" customHeight="1">
      <s:c r="A15802" s="120" t="inlineStr"/>
      <s:c r="B15802" s="121" t="n"/>
      <s:c r="C15802" s="121" t="n"/>
      <s:c r="D15802" s="121" t="n"/>
      <s:c r="E15802" s="122" t="n"/>
    </s:row>
    <s:row r="15803" hidden="1" ht="1" customHeight="1">
      <s:c r="A15803" s="120" t="inlineStr"/>
      <s:c r="B15803" s="121" t="n"/>
      <s:c r="C15803" s="121" t="n"/>
      <s:c r="D15803" s="121" t="n"/>
      <s:c r="E15803" s="122" t="n"/>
    </s:row>
    <s:row r="15804" hidden="1" ht="1" customHeight="1">
      <s:c r="A15804" s="120" t="inlineStr"/>
      <s:c r="B15804" s="121" t="n"/>
      <s:c r="C15804" s="121" t="n"/>
      <s:c r="D15804" s="121" t="n"/>
      <s:c r="E15804" s="122" t="n"/>
    </s:row>
    <s:row r="15805" hidden="1" ht="1" customHeight="1">
      <s:c r="A15805" s="120" t="inlineStr"/>
      <s:c r="B15805" s="121" t="n"/>
      <s:c r="C15805" s="121" t="n"/>
      <s:c r="D15805" s="121" t="n"/>
      <s:c r="E15805" s="122" t="n"/>
    </s:row>
    <s:row r="15806" hidden="1" ht="1" customHeight="1">
      <s:c r="A15806" s="120" t="inlineStr"/>
      <s:c r="B15806" s="121" t="n"/>
      <s:c r="C15806" s="121" t="n"/>
      <s:c r="D15806" s="121" t="n"/>
      <s:c r="E15806" s="122" t="n"/>
    </s:row>
    <s:row r="15807" hidden="1" ht="1" customHeight="1">
      <s:c r="A15807" s="120" t="inlineStr"/>
      <s:c r="B15807" s="121" t="n"/>
      <s:c r="C15807" s="121" t="n"/>
      <s:c r="D15807" s="121" t="n"/>
      <s:c r="E15807" s="122" t="n"/>
    </s:row>
    <s:row r="15808" hidden="1" ht="1" customHeight="1">
      <s:c r="A15808" s="120" t="inlineStr"/>
      <s:c r="B15808" s="121" t="n"/>
      <s:c r="C15808" s="121" t="n"/>
      <s:c r="D15808" s="121" t="n"/>
      <s:c r="E15808" s="122" t="n"/>
    </s:row>
    <s:row r="15809" hidden="1" ht="1" customHeight="1">
      <s:c r="A15809" s="120" t="inlineStr"/>
      <s:c r="B15809" s="121" t="n"/>
      <s:c r="C15809" s="121" t="n"/>
      <s:c r="D15809" s="121" t="n"/>
      <s:c r="E15809" s="122" t="n"/>
    </s:row>
    <s:row r="15810" hidden="1" ht="1" customHeight="1">
      <s:c r="A15810" s="120" t="inlineStr"/>
      <s:c r="B15810" s="121" t="n"/>
      <s:c r="C15810" s="121" t="n"/>
      <s:c r="D15810" s="121" t="n"/>
      <s:c r="E15810" s="122" t="n"/>
    </s:row>
    <s:row r="15811" hidden="1" ht="1" customHeight="1">
      <s:c r="A15811" s="120" t="inlineStr"/>
      <s:c r="B15811" s="121" t="n"/>
      <s:c r="C15811" s="121" t="n"/>
      <s:c r="D15811" s="121" t="n"/>
      <s:c r="E15811" s="122" t="n"/>
    </s:row>
    <s:row r="15812" hidden="1" ht="1" customHeight="1">
      <s:c r="A15812" s="120" t="inlineStr"/>
      <s:c r="B15812" s="121" t="n"/>
      <s:c r="C15812" s="121" t="n"/>
      <s:c r="D15812" s="121" t="n"/>
      <s:c r="E15812" s="122" t="n"/>
    </s:row>
    <s:row r="15813" hidden="1" ht="1" customHeight="1">
      <s:c r="A15813" s="120" t="inlineStr"/>
      <s:c r="B15813" s="121" t="n"/>
      <s:c r="C15813" s="121" t="n"/>
      <s:c r="D15813" s="121" t="n"/>
      <s:c r="E15813" s="122" t="n"/>
    </s:row>
    <s:row r="15814" hidden="1" ht="1" customHeight="1">
      <s:c r="A15814" s="120" t="inlineStr"/>
      <s:c r="B15814" s="121" t="n"/>
      <s:c r="C15814" s="121" t="n"/>
      <s:c r="D15814" s="121" t="n"/>
      <s:c r="E15814" s="122" t="n"/>
    </s:row>
    <s:row r="15815" hidden="1" ht="1" customHeight="1">
      <s:c r="A15815" s="120" t="inlineStr"/>
      <s:c r="B15815" s="121" t="n"/>
      <s:c r="C15815" s="121" t="n"/>
      <s:c r="D15815" s="121" t="n"/>
      <s:c r="E15815" s="122" t="n"/>
    </s:row>
    <s:row r="15816" hidden="1" ht="1" customHeight="1">
      <s:c r="A15816" s="120" t="inlineStr"/>
      <s:c r="B15816" s="121" t="n"/>
      <s:c r="C15816" s="121" t="n"/>
      <s:c r="D15816" s="121" t="n"/>
      <s:c r="E15816" s="122" t="n"/>
    </s:row>
    <s:row r="15817" hidden="1" ht="1" customHeight="1">
      <s:c r="A15817" s="120" t="inlineStr"/>
      <s:c r="B15817" s="121" t="n"/>
      <s:c r="C15817" s="121" t="n"/>
      <s:c r="D15817" s="121" t="n"/>
      <s:c r="E15817" s="122" t="n"/>
    </s:row>
    <s:row r="15818" hidden="1" ht="1" customHeight="1">
      <s:c r="A15818" s="120" t="inlineStr"/>
      <s:c r="B15818" s="121" t="n"/>
      <s:c r="C15818" s="121" t="n"/>
      <s:c r="D15818" s="121" t="n"/>
      <s:c r="E15818" s="122" t="n"/>
    </s:row>
    <s:row r="15819" hidden="1" ht="1" customHeight="1">
      <s:c r="A15819" s="120" t="inlineStr"/>
      <s:c r="B15819" s="121" t="n"/>
      <s:c r="C15819" s="121" t="n"/>
      <s:c r="D15819" s="121" t="n"/>
      <s:c r="E15819" s="122" t="n"/>
    </s:row>
    <s:row r="15820" hidden="1" ht="1" customHeight="1">
      <s:c r="A15820" s="120" t="inlineStr"/>
      <s:c r="B15820" s="121" t="n"/>
      <s:c r="C15820" s="121" t="n"/>
      <s:c r="D15820" s="121" t="n"/>
      <s:c r="E15820" s="122" t="n"/>
    </s:row>
    <s:row r="15821" hidden="1" ht="1" customHeight="1">
      <s:c r="A15821" s="120" t="inlineStr"/>
      <s:c r="B15821" s="121" t="n"/>
      <s:c r="C15821" s="121" t="n"/>
      <s:c r="D15821" s="121" t="n"/>
      <s:c r="E15821" s="122" t="n"/>
    </s:row>
    <s:row r="15822" hidden="1" ht="1" customHeight="1">
      <s:c r="A15822" s="120" t="inlineStr"/>
      <s:c r="B15822" s="121" t="n"/>
      <s:c r="C15822" s="121" t="n"/>
      <s:c r="D15822" s="121" t="n"/>
      <s:c r="E15822" s="122" t="n"/>
    </s:row>
    <s:row r="15823" hidden="1" ht="1" customHeight="1">
      <s:c r="A15823" s="120" t="inlineStr"/>
      <s:c r="B15823" s="121" t="n"/>
      <s:c r="C15823" s="121" t="n"/>
      <s:c r="D15823" s="121" t="n"/>
      <s:c r="E15823" s="122" t="n"/>
    </s:row>
    <s:row r="15824" hidden="1" ht="1" customHeight="1">
      <s:c r="A15824" s="120" t="inlineStr"/>
      <s:c r="B15824" s="121" t="n"/>
      <s:c r="C15824" s="121" t="n"/>
      <s:c r="D15824" s="121" t="n"/>
      <s:c r="E15824" s="122" t="n"/>
    </s:row>
    <s:row r="15825" hidden="1" ht="1" customHeight="1">
      <s:c r="A15825" s="120" t="inlineStr"/>
      <s:c r="B15825" s="121" t="n"/>
      <s:c r="C15825" s="121" t="n"/>
      <s:c r="D15825" s="121" t="n"/>
      <s:c r="E15825" s="122" t="n"/>
    </s:row>
    <s:row r="15826" hidden="1" ht="1" customHeight="1">
      <s:c r="A15826" s="120" t="inlineStr"/>
      <s:c r="B15826" s="121" t="n"/>
      <s:c r="C15826" s="121" t="n"/>
      <s:c r="D15826" s="121" t="n"/>
      <s:c r="E15826" s="122" t="n"/>
    </s:row>
    <s:row r="15827" hidden="1" ht="1" customHeight="1">
      <s:c r="A15827" s="120" t="inlineStr"/>
      <s:c r="B15827" s="121" t="n"/>
      <s:c r="C15827" s="121" t="n"/>
      <s:c r="D15827" s="121" t="n"/>
      <s:c r="E15827" s="122" t="n"/>
    </s:row>
    <s:row r="15828" hidden="1" ht="1" customHeight="1">
      <s:c r="A15828" s="120" t="inlineStr"/>
      <s:c r="B15828" s="121" t="n"/>
      <s:c r="C15828" s="121" t="n"/>
      <s:c r="D15828" s="121" t="n"/>
      <s:c r="E15828" s="122" t="n"/>
    </s:row>
    <s:row r="15829" hidden="1" ht="1" customHeight="1">
      <s:c r="A15829" s="120" t="inlineStr"/>
      <s:c r="B15829" s="121" t="n"/>
      <s:c r="C15829" s="121" t="n"/>
      <s:c r="D15829" s="121" t="n"/>
      <s:c r="E15829" s="122" t="n"/>
    </s:row>
    <s:row r="15830" hidden="1" ht="1" customHeight="1">
      <s:c r="A15830" s="120" t="inlineStr"/>
      <s:c r="B15830" s="121" t="n"/>
      <s:c r="C15830" s="121" t="n"/>
      <s:c r="D15830" s="121" t="n"/>
      <s:c r="E15830" s="122" t="n"/>
    </s:row>
    <s:row r="15831" hidden="1" ht="1" customHeight="1">
      <s:c r="A15831" s="120" t="inlineStr"/>
      <s:c r="B15831" s="121" t="n"/>
      <s:c r="C15831" s="121" t="n"/>
      <s:c r="D15831" s="121" t="n"/>
      <s:c r="E15831" s="122" t="n"/>
    </s:row>
    <s:row r="15832" hidden="1" ht="1" customHeight="1">
      <s:c r="A15832" s="120" t="inlineStr"/>
      <s:c r="B15832" s="121" t="n"/>
      <s:c r="C15832" s="121" t="n"/>
      <s:c r="D15832" s="121" t="n"/>
      <s:c r="E15832" s="122" t="n"/>
    </s:row>
    <s:row r="15833" hidden="1" ht="1" customHeight="1">
      <s:c r="A15833" s="120" t="inlineStr"/>
      <s:c r="B15833" s="121" t="n"/>
      <s:c r="C15833" s="121" t="n"/>
      <s:c r="D15833" s="121" t="n"/>
      <s:c r="E15833" s="122" t="n"/>
    </s:row>
    <s:row r="15834" hidden="1" ht="1" customHeight="1">
      <s:c r="A15834" s="120" t="inlineStr"/>
      <s:c r="B15834" s="121" t="n"/>
      <s:c r="C15834" s="121" t="n"/>
      <s:c r="D15834" s="121" t="n"/>
      <s:c r="E15834" s="122" t="n"/>
    </s:row>
    <s:row r="15835" hidden="1" ht="1" customHeight="1">
      <s:c r="A15835" s="120" t="inlineStr"/>
      <s:c r="B15835" s="121" t="n"/>
      <s:c r="C15835" s="121" t="n"/>
      <s:c r="D15835" s="121" t="n"/>
      <s:c r="E15835" s="122" t="n"/>
    </s:row>
    <s:row r="15836" hidden="1" ht="1" customHeight="1">
      <s:c r="A15836" s="120" t="inlineStr"/>
      <s:c r="B15836" s="121" t="n"/>
      <s:c r="C15836" s="121" t="n"/>
      <s:c r="D15836" s="121" t="n"/>
      <s:c r="E15836" s="122" t="n"/>
    </s:row>
    <s:row r="15837" hidden="1" ht="1" customHeight="1">
      <s:c r="A15837" s="120" t="inlineStr"/>
      <s:c r="B15837" s="121" t="n"/>
      <s:c r="C15837" s="121" t="n"/>
      <s:c r="D15837" s="121" t="n"/>
      <s:c r="E15837" s="122" t="n"/>
    </s:row>
    <s:row r="15838" hidden="1" ht="1" customHeight="1">
      <s:c r="A15838" s="120" t="inlineStr"/>
      <s:c r="B15838" s="121" t="n"/>
      <s:c r="C15838" s="121" t="n"/>
      <s:c r="D15838" s="121" t="n"/>
      <s:c r="E15838" s="122" t="n"/>
    </s:row>
    <s:row r="15839" hidden="1" ht="1" customHeight="1">
      <s:c r="A15839" s="120" t="inlineStr"/>
      <s:c r="B15839" s="121" t="n"/>
      <s:c r="C15839" s="121" t="n"/>
      <s:c r="D15839" s="121" t="n"/>
      <s:c r="E15839" s="122" t="n"/>
    </s:row>
    <s:row r="15840" hidden="1" ht="1" customHeight="1">
      <s:c r="A15840" s="120" t="inlineStr"/>
      <s:c r="B15840" s="121" t="n"/>
      <s:c r="C15840" s="121" t="n"/>
      <s:c r="D15840" s="121" t="n"/>
      <s:c r="E15840" s="122" t="n"/>
    </s:row>
    <s:row r="15841" hidden="1" ht="1" customHeight="1">
      <s:c r="A15841" s="120" t="inlineStr"/>
      <s:c r="B15841" s="121" t="n"/>
      <s:c r="C15841" s="121" t="n"/>
      <s:c r="D15841" s="121" t="n"/>
      <s:c r="E15841" s="122" t="n"/>
    </s:row>
    <s:row r="15842" hidden="1" ht="1" customHeight="1">
      <s:c r="A15842" s="120" t="inlineStr"/>
      <s:c r="B15842" s="121" t="n"/>
      <s:c r="C15842" s="121" t="n"/>
      <s:c r="D15842" s="121" t="n"/>
      <s:c r="E15842" s="122" t="n"/>
    </s:row>
    <s:row r="15843" hidden="1" ht="1" customHeight="1">
      <s:c r="A15843" s="120" t="inlineStr"/>
      <s:c r="B15843" s="121" t="n"/>
      <s:c r="C15843" s="121" t="n"/>
      <s:c r="D15843" s="121" t="n"/>
      <s:c r="E15843" s="122" t="n"/>
    </s:row>
    <s:row r="15844" hidden="1" ht="1" customHeight="1">
      <s:c r="A15844" s="120" t="inlineStr"/>
      <s:c r="B15844" s="121" t="n"/>
      <s:c r="C15844" s="121" t="n"/>
      <s:c r="D15844" s="121" t="n"/>
      <s:c r="E15844" s="122" t="n"/>
    </s:row>
    <s:row r="15845" hidden="1" ht="1" customHeight="1">
      <s:c r="A15845" s="120" t="inlineStr"/>
      <s:c r="B15845" s="121" t="n"/>
      <s:c r="C15845" s="121" t="n"/>
      <s:c r="D15845" s="121" t="n"/>
      <s:c r="E15845" s="122" t="n"/>
    </s:row>
    <s:row r="15846" hidden="1" ht="1" customHeight="1">
      <s:c r="A15846" s="120" t="inlineStr"/>
      <s:c r="B15846" s="121" t="n"/>
      <s:c r="C15846" s="121" t="n"/>
      <s:c r="D15846" s="121" t="n"/>
      <s:c r="E15846" s="122" t="n"/>
    </s:row>
    <s:row r="15847" hidden="1" ht="1" customHeight="1">
      <s:c r="A15847" s="120" t="inlineStr"/>
      <s:c r="B15847" s="121" t="n"/>
      <s:c r="C15847" s="121" t="n"/>
      <s:c r="D15847" s="121" t="n"/>
      <s:c r="E15847" s="122" t="n"/>
    </s:row>
    <s:row r="15848" hidden="1" ht="1" customHeight="1">
      <s:c r="A15848" s="120" t="inlineStr"/>
      <s:c r="B15848" s="121" t="n"/>
      <s:c r="C15848" s="121" t="n"/>
      <s:c r="D15848" s="121" t="n"/>
      <s:c r="E15848" s="122" t="n"/>
    </s:row>
    <s:row r="15849" hidden="1" ht="1" customHeight="1">
      <s:c r="A15849" s="120" t="inlineStr"/>
      <s:c r="B15849" s="121" t="n"/>
      <s:c r="C15849" s="121" t="n"/>
      <s:c r="D15849" s="121" t="n"/>
      <s:c r="E15849" s="122" t="n"/>
    </s:row>
    <s:row r="15850" hidden="1" ht="1" customHeight="1">
      <s:c r="A15850" s="120" t="inlineStr"/>
      <s:c r="B15850" s="121" t="n"/>
      <s:c r="C15850" s="121" t="n"/>
      <s:c r="D15850" s="121" t="n"/>
      <s:c r="E15850" s="122" t="n"/>
    </s:row>
    <s:row r="15851" hidden="1" ht="1" customHeight="1">
      <s:c r="A15851" s="120" t="inlineStr"/>
      <s:c r="B15851" s="121" t="n"/>
      <s:c r="C15851" s="121" t="n"/>
      <s:c r="D15851" s="121" t="n"/>
      <s:c r="E15851" s="122" t="n"/>
    </s:row>
    <s:row r="15852" hidden="1" ht="1" customHeight="1">
      <s:c r="A15852" s="120" t="inlineStr"/>
      <s:c r="B15852" s="121" t="n"/>
      <s:c r="C15852" s="121" t="n"/>
      <s:c r="D15852" s="121" t="n"/>
      <s:c r="E15852" s="122" t="n"/>
    </s:row>
    <s:row r="15853" hidden="1" ht="1" customHeight="1">
      <s:c r="A15853" s="120" t="inlineStr"/>
      <s:c r="B15853" s="121" t="n"/>
      <s:c r="C15853" s="121" t="n"/>
      <s:c r="D15853" s="121" t="n"/>
      <s:c r="E15853" s="122" t="n"/>
    </s:row>
    <s:row r="15854" hidden="1" ht="1" customHeight="1">
      <s:c r="A15854" s="120" t="inlineStr"/>
      <s:c r="B15854" s="121" t="n"/>
      <s:c r="C15854" s="121" t="n"/>
      <s:c r="D15854" s="121" t="n"/>
      <s:c r="E15854" s="122" t="n"/>
    </s:row>
    <s:row r="15855" hidden="1" ht="1" customHeight="1">
      <s:c r="A15855" s="120" t="inlineStr"/>
      <s:c r="B15855" s="121" t="n"/>
      <s:c r="C15855" s="121" t="n"/>
      <s:c r="D15855" s="121" t="n"/>
      <s:c r="E15855" s="122" t="n"/>
    </s:row>
    <s:row r="15856" hidden="1" ht="1" customHeight="1">
      <s:c r="A15856" s="120" t="inlineStr"/>
      <s:c r="B15856" s="121" t="n"/>
      <s:c r="C15856" s="121" t="n"/>
      <s:c r="D15856" s="121" t="n"/>
      <s:c r="E15856" s="122" t="n"/>
    </s:row>
    <s:row r="15857" hidden="1" ht="1" customHeight="1">
      <s:c r="A15857" s="120" t="inlineStr"/>
      <s:c r="B15857" s="121" t="n"/>
      <s:c r="C15857" s="121" t="n"/>
      <s:c r="D15857" s="121" t="n"/>
      <s:c r="E15857" s="122" t="n"/>
    </s:row>
    <s:row r="15858" hidden="1" ht="1" customHeight="1">
      <s:c r="A15858" s="120" t="inlineStr"/>
      <s:c r="B15858" s="121" t="n"/>
      <s:c r="C15858" s="121" t="n"/>
      <s:c r="D15858" s="121" t="n"/>
      <s:c r="E15858" s="122" t="n"/>
    </s:row>
    <s:row r="15859" hidden="1" ht="1" customHeight="1">
      <s:c r="A15859" s="120" t="inlineStr"/>
      <s:c r="B15859" s="121" t="n"/>
      <s:c r="C15859" s="121" t="n"/>
      <s:c r="D15859" s="121" t="n"/>
      <s:c r="E15859" s="122" t="n"/>
    </s:row>
    <s:row r="15860" hidden="1" ht="1" customHeight="1">
      <s:c r="A15860" s="120" t="inlineStr"/>
      <s:c r="B15860" s="121" t="n"/>
      <s:c r="C15860" s="121" t="n"/>
      <s:c r="D15860" s="121" t="n"/>
      <s:c r="E15860" s="122" t="n"/>
    </s:row>
    <s:row r="15861" hidden="1" ht="1" customHeight="1">
      <s:c r="A15861" s="120" t="inlineStr"/>
      <s:c r="B15861" s="121" t="n"/>
      <s:c r="C15861" s="121" t="n"/>
      <s:c r="D15861" s="121" t="n"/>
      <s:c r="E15861" s="122" t="n"/>
    </s:row>
    <s:row r="15862" hidden="1" ht="1" customHeight="1">
      <s:c r="A15862" s="120" t="inlineStr"/>
      <s:c r="B15862" s="121" t="n"/>
      <s:c r="C15862" s="121" t="n"/>
      <s:c r="D15862" s="121" t="n"/>
      <s:c r="E15862" s="122" t="n"/>
    </s:row>
    <s:row r="15863" hidden="1" ht="1" customHeight="1">
      <s:c r="A15863" s="120" t="inlineStr"/>
      <s:c r="B15863" s="121" t="n"/>
      <s:c r="C15863" s="121" t="n"/>
      <s:c r="D15863" s="121" t="n"/>
      <s:c r="E15863" s="122" t="n"/>
    </s:row>
    <s:row r="15864" hidden="1" ht="1" customHeight="1">
      <s:c r="A15864" s="120" t="inlineStr"/>
      <s:c r="B15864" s="121" t="n"/>
      <s:c r="C15864" s="121" t="n"/>
      <s:c r="D15864" s="121" t="n"/>
      <s:c r="E15864" s="122" t="n"/>
    </s:row>
    <s:row r="15865" hidden="1" ht="1" customHeight="1">
      <s:c r="A15865" s="120" t="inlineStr"/>
      <s:c r="B15865" s="121" t="n"/>
      <s:c r="C15865" s="121" t="n"/>
      <s:c r="D15865" s="121" t="n"/>
      <s:c r="E15865" s="122" t="n"/>
    </s:row>
    <s:row r="15866" hidden="1" ht="1" customHeight="1">
      <s:c r="A15866" s="120" t="inlineStr"/>
      <s:c r="B15866" s="121" t="n"/>
      <s:c r="C15866" s="121" t="n"/>
      <s:c r="D15866" s="121" t="n"/>
      <s:c r="E15866" s="122" t="n"/>
    </s:row>
    <s:row r="15867" hidden="1" ht="1" customHeight="1">
      <s:c r="A15867" s="120" t="inlineStr"/>
      <s:c r="B15867" s="121" t="n"/>
      <s:c r="C15867" s="121" t="n"/>
      <s:c r="D15867" s="121" t="n"/>
      <s:c r="E15867" s="122" t="n"/>
    </s:row>
    <s:row r="15868" hidden="1" ht="1" customHeight="1">
      <s:c r="A15868" s="120" t="inlineStr"/>
      <s:c r="B15868" s="121" t="n"/>
      <s:c r="C15868" s="121" t="n"/>
      <s:c r="D15868" s="121" t="n"/>
      <s:c r="E15868" s="122" t="n"/>
    </s:row>
    <s:row r="15869" hidden="1" ht="1" customHeight="1">
      <s:c r="A15869" s="120" t="inlineStr"/>
      <s:c r="B15869" s="121" t="n"/>
      <s:c r="C15869" s="121" t="n"/>
      <s:c r="D15869" s="121" t="n"/>
      <s:c r="E15869" s="122" t="n"/>
    </s:row>
    <s:row r="15870" hidden="1" ht="1" customHeight="1">
      <s:c r="A15870" s="120" t="inlineStr"/>
      <s:c r="B15870" s="121" t="n"/>
      <s:c r="C15870" s="121" t="n"/>
      <s:c r="D15870" s="121" t="n"/>
      <s:c r="E15870" s="122" t="n"/>
    </s:row>
    <s:row r="15871" hidden="1" ht="1" customHeight="1">
      <s:c r="A15871" s="120" t="inlineStr"/>
      <s:c r="B15871" s="121" t="n"/>
      <s:c r="C15871" s="121" t="n"/>
      <s:c r="D15871" s="121" t="n"/>
      <s:c r="E15871" s="122" t="n"/>
    </s:row>
    <s:row r="15872" hidden="1" ht="1" customHeight="1">
      <s:c r="A15872" s="120" t="inlineStr"/>
      <s:c r="B15872" s="121" t="n"/>
      <s:c r="C15872" s="121" t="n"/>
      <s:c r="D15872" s="121" t="n"/>
      <s:c r="E15872" s="122" t="n"/>
    </s:row>
    <s:row r="15873" hidden="1" ht="1" customHeight="1">
      <s:c r="A15873" s="120" t="inlineStr"/>
      <s:c r="B15873" s="121" t="n"/>
      <s:c r="C15873" s="121" t="n"/>
      <s:c r="D15873" s="121" t="n"/>
      <s:c r="E15873" s="122" t="n"/>
    </s:row>
    <s:row r="15874" hidden="1" ht="1" customHeight="1">
      <s:c r="A15874" s="120" t="inlineStr"/>
      <s:c r="B15874" s="121" t="n"/>
      <s:c r="C15874" s="121" t="n"/>
      <s:c r="D15874" s="121" t="n"/>
      <s:c r="E15874" s="122" t="n"/>
    </s:row>
    <s:row r="15875" hidden="1" ht="1" customHeight="1">
      <s:c r="A15875" s="120" t="inlineStr"/>
      <s:c r="B15875" s="121" t="n"/>
      <s:c r="C15875" s="121" t="n"/>
      <s:c r="D15875" s="121" t="n"/>
      <s:c r="E15875" s="122" t="n"/>
    </s:row>
    <s:row r="15876" hidden="1" ht="1" customHeight="1">
      <s:c r="A15876" s="120" t="inlineStr"/>
      <s:c r="B15876" s="121" t="n"/>
      <s:c r="C15876" s="121" t="n"/>
      <s:c r="D15876" s="121" t="n"/>
      <s:c r="E15876" s="122" t="n"/>
    </s:row>
    <s:row r="15877" hidden="1" ht="1" customHeight="1">
      <s:c r="A15877" s="120" t="inlineStr"/>
      <s:c r="B15877" s="121" t="n"/>
      <s:c r="C15877" s="121" t="n"/>
      <s:c r="D15877" s="121" t="n"/>
      <s:c r="E15877" s="122" t="n"/>
    </s:row>
    <s:row r="15878" hidden="1" ht="1" customHeight="1">
      <s:c r="A15878" s="120" t="inlineStr"/>
      <s:c r="B15878" s="121" t="n"/>
      <s:c r="C15878" s="121" t="n"/>
      <s:c r="D15878" s="121" t="n"/>
      <s:c r="E15878" s="122" t="n"/>
    </s:row>
    <s:row r="15879" hidden="1" ht="1" customHeight="1">
      <s:c r="A15879" s="120" t="inlineStr"/>
      <s:c r="B15879" s="121" t="n"/>
      <s:c r="C15879" s="121" t="n"/>
      <s:c r="D15879" s="121" t="n"/>
      <s:c r="E15879" s="122" t="n"/>
    </s:row>
    <s:row r="15880" hidden="1" ht="1" customHeight="1">
      <s:c r="A15880" s="120" t="inlineStr"/>
      <s:c r="B15880" s="121" t="n"/>
      <s:c r="C15880" s="121" t="n"/>
      <s:c r="D15880" s="121" t="n"/>
      <s:c r="E15880" s="122" t="n"/>
    </s:row>
    <s:row r="15881" hidden="1" ht="1" customHeight="1">
      <s:c r="A15881" s="120" t="inlineStr"/>
      <s:c r="B15881" s="121" t="n"/>
      <s:c r="C15881" s="121" t="n"/>
      <s:c r="D15881" s="121" t="n"/>
      <s:c r="E15881" s="122" t="n"/>
    </s:row>
    <s:row r="15882" hidden="1" ht="1" customHeight="1">
      <s:c r="A15882" s="120" t="inlineStr"/>
      <s:c r="B15882" s="121" t="n"/>
      <s:c r="C15882" s="121" t="n"/>
      <s:c r="D15882" s="121" t="n"/>
      <s:c r="E15882" s="122" t="n"/>
    </s:row>
    <s:row r="15883" hidden="1" ht="1" customHeight="1">
      <s:c r="A15883" s="120" t="inlineStr"/>
      <s:c r="B15883" s="121" t="n"/>
      <s:c r="C15883" s="121" t="n"/>
      <s:c r="D15883" s="121" t="n"/>
      <s:c r="E15883" s="122" t="n"/>
    </s:row>
    <s:row r="15884" hidden="1" ht="1" customHeight="1">
      <s:c r="A15884" s="120" t="inlineStr"/>
      <s:c r="B15884" s="121" t="n"/>
      <s:c r="C15884" s="121" t="n"/>
      <s:c r="D15884" s="121" t="n"/>
      <s:c r="E15884" s="122" t="n"/>
    </s:row>
    <s:row r="15885" hidden="1" ht="1" customHeight="1">
      <s:c r="A15885" s="120" t="inlineStr"/>
      <s:c r="B15885" s="121" t="n"/>
      <s:c r="C15885" s="121" t="n"/>
      <s:c r="D15885" s="121" t="n"/>
      <s:c r="E15885" s="122" t="n"/>
    </s:row>
    <s:row r="15886" hidden="1" ht="1" customHeight="1">
      <s:c r="A15886" s="120" t="inlineStr"/>
      <s:c r="B15886" s="121" t="n"/>
      <s:c r="C15886" s="121" t="n"/>
      <s:c r="D15886" s="121" t="n"/>
      <s:c r="E15886" s="122" t="n"/>
    </s:row>
    <s:row r="15887" hidden="1" ht="1" customHeight="1">
      <s:c r="A15887" s="120" t="inlineStr"/>
      <s:c r="B15887" s="121" t="n"/>
      <s:c r="C15887" s="121" t="n"/>
      <s:c r="D15887" s="121" t="n"/>
      <s:c r="E15887" s="122" t="n"/>
    </s:row>
    <s:row r="15888" hidden="1" ht="1" customHeight="1">
      <s:c r="A15888" s="120" t="inlineStr"/>
      <s:c r="B15888" s="121" t="n"/>
      <s:c r="C15888" s="121" t="n"/>
      <s:c r="D15888" s="121" t="n"/>
      <s:c r="E15888" s="122" t="n"/>
    </s:row>
    <s:row r="15889" hidden="1" ht="1" customHeight="1">
      <s:c r="A15889" s="120" t="inlineStr"/>
      <s:c r="B15889" s="121" t="n"/>
      <s:c r="C15889" s="121" t="n"/>
      <s:c r="D15889" s="121" t="n"/>
      <s:c r="E15889" s="122" t="n"/>
    </s:row>
    <s:row r="15890" hidden="1" ht="1" customHeight="1">
      <s:c r="A15890" s="120" t="inlineStr"/>
      <s:c r="B15890" s="121" t="n"/>
      <s:c r="C15890" s="121" t="n"/>
      <s:c r="D15890" s="121" t="n"/>
      <s:c r="E15890" s="122" t="n"/>
    </s:row>
    <s:row r="15891" hidden="1" ht="1" customHeight="1">
      <s:c r="A15891" s="120" t="inlineStr"/>
      <s:c r="B15891" s="121" t="n"/>
      <s:c r="C15891" s="121" t="n"/>
      <s:c r="D15891" s="121" t="n"/>
      <s:c r="E15891" s="122" t="n"/>
    </s:row>
    <s:row r="15892" hidden="1" ht="1" customHeight="1">
      <s:c r="A15892" s="120" t="inlineStr"/>
      <s:c r="B15892" s="121" t="n"/>
      <s:c r="C15892" s="121" t="n"/>
      <s:c r="D15892" s="121" t="n"/>
      <s:c r="E15892" s="122" t="n"/>
    </s:row>
    <s:row r="15893" hidden="1" ht="1" customHeight="1">
      <s:c r="A15893" s="120" t="inlineStr"/>
      <s:c r="B15893" s="121" t="n"/>
      <s:c r="C15893" s="121" t="n"/>
      <s:c r="D15893" s="121" t="n"/>
      <s:c r="E15893" s="122" t="n"/>
    </s:row>
    <s:row r="15894" hidden="1" ht="1" customHeight="1">
      <s:c r="A15894" s="120" t="inlineStr"/>
      <s:c r="B15894" s="121" t="n"/>
      <s:c r="C15894" s="121" t="n"/>
      <s:c r="D15894" s="121" t="n"/>
      <s:c r="E15894" s="122" t="n"/>
    </s:row>
    <s:row r="15895" hidden="1" ht="1" customHeight="1">
      <s:c r="A15895" s="120" t="inlineStr"/>
      <s:c r="B15895" s="121" t="n"/>
      <s:c r="C15895" s="121" t="n"/>
      <s:c r="D15895" s="121" t="n"/>
      <s:c r="E15895" s="122" t="n"/>
    </s:row>
    <s:row r="15896" hidden="1" ht="1" customHeight="1">
      <s:c r="A15896" s="120" t="inlineStr"/>
      <s:c r="B15896" s="121" t="n"/>
      <s:c r="C15896" s="121" t="n"/>
      <s:c r="D15896" s="121" t="n"/>
      <s:c r="E15896" s="122" t="n"/>
    </s:row>
    <s:row r="15897" hidden="1" ht="1" customHeight="1">
      <s:c r="A15897" s="120" t="inlineStr"/>
      <s:c r="B15897" s="121" t="n"/>
      <s:c r="C15897" s="121" t="n"/>
      <s:c r="D15897" s="121" t="n"/>
      <s:c r="E15897" s="122" t="n"/>
    </s:row>
    <s:row r="15898" hidden="1" ht="1" customHeight="1">
      <s:c r="A15898" s="120" t="inlineStr"/>
      <s:c r="B15898" s="121" t="n"/>
      <s:c r="C15898" s="121" t="n"/>
      <s:c r="D15898" s="121" t="n"/>
      <s:c r="E15898" s="122" t="n"/>
    </s:row>
    <s:row r="15899" hidden="1" ht="1" customHeight="1">
      <s:c r="A15899" s="120" t="inlineStr"/>
      <s:c r="B15899" s="121" t="n"/>
      <s:c r="C15899" s="121" t="n"/>
      <s:c r="D15899" s="121" t="n"/>
      <s:c r="E15899" s="122" t="n"/>
    </s:row>
    <s:row r="15900" hidden="1" ht="1" customHeight="1">
      <s:c r="A15900" s="120" t="inlineStr"/>
      <s:c r="B15900" s="121" t="n"/>
      <s:c r="C15900" s="121" t="n"/>
      <s:c r="D15900" s="121" t="n"/>
      <s:c r="E15900" s="122" t="n"/>
    </s:row>
    <s:row r="15901" hidden="1" ht="1" customHeight="1">
      <s:c r="A15901" s="120" t="inlineStr"/>
      <s:c r="B15901" s="121" t="n"/>
      <s:c r="C15901" s="121" t="n"/>
      <s:c r="D15901" s="121" t="n"/>
      <s:c r="E15901" s="122" t="n"/>
    </s:row>
    <s:row r="15902" hidden="1" ht="1" customHeight="1">
      <s:c r="A15902" s="120" t="inlineStr"/>
      <s:c r="B15902" s="121" t="n"/>
      <s:c r="C15902" s="121" t="n"/>
      <s:c r="D15902" s="121" t="n"/>
      <s:c r="E15902" s="122" t="n"/>
    </s:row>
    <s:row r="15903" hidden="1" ht="1" customHeight="1">
      <s:c r="A15903" s="120" t="inlineStr"/>
      <s:c r="B15903" s="121" t="n"/>
      <s:c r="C15903" s="121" t="n"/>
      <s:c r="D15903" s="121" t="n"/>
      <s:c r="E15903" s="122" t="n"/>
    </s:row>
    <s:row r="15904" hidden="1" ht="1" customHeight="1">
      <s:c r="A15904" s="120" t="inlineStr"/>
      <s:c r="B15904" s="121" t="n"/>
      <s:c r="C15904" s="121" t="n"/>
      <s:c r="D15904" s="121" t="n"/>
      <s:c r="E15904" s="122" t="n"/>
    </s:row>
    <s:row r="15905" hidden="1" ht="1" customHeight="1">
      <s:c r="A15905" s="120" t="inlineStr"/>
      <s:c r="B15905" s="121" t="n"/>
      <s:c r="C15905" s="121" t="n"/>
      <s:c r="D15905" s="121" t="n"/>
      <s:c r="E15905" s="122" t="n"/>
    </s:row>
    <s:row r="15906" hidden="1" ht="1" customHeight="1">
      <s:c r="A15906" s="120" t="inlineStr"/>
      <s:c r="B15906" s="121" t="n"/>
      <s:c r="C15906" s="121" t="n"/>
      <s:c r="D15906" s="121" t="n"/>
      <s:c r="E15906" s="122" t="n"/>
    </s:row>
    <s:row r="15907" hidden="1" ht="1" customHeight="1">
      <s:c r="A15907" s="120" t="inlineStr"/>
      <s:c r="B15907" s="121" t="n"/>
      <s:c r="C15907" s="121" t="n"/>
      <s:c r="D15907" s="121" t="n"/>
      <s:c r="E15907" s="122" t="n"/>
    </s:row>
    <s:row r="15908" hidden="1" ht="1" customHeight="1">
      <s:c r="A15908" s="120" t="inlineStr"/>
      <s:c r="B15908" s="121" t="n"/>
      <s:c r="C15908" s="121" t="n"/>
      <s:c r="D15908" s="121" t="n"/>
      <s:c r="E15908" s="122" t="n"/>
    </s:row>
    <s:row r="15909" hidden="1" ht="1" customHeight="1">
      <s:c r="A15909" s="120" t="inlineStr"/>
      <s:c r="B15909" s="121" t="n"/>
      <s:c r="C15909" s="121" t="n"/>
      <s:c r="D15909" s="121" t="n"/>
      <s:c r="E15909" s="122" t="n"/>
    </s:row>
    <s:row r="15910" hidden="1" ht="1" customHeight="1">
      <s:c r="A15910" s="120" t="inlineStr"/>
      <s:c r="B15910" s="121" t="n"/>
      <s:c r="C15910" s="121" t="n"/>
      <s:c r="D15910" s="121" t="n"/>
      <s:c r="E15910" s="122" t="n"/>
    </s:row>
    <s:row r="15911" hidden="1" ht="1" customHeight="1">
      <s:c r="A15911" s="120" t="inlineStr"/>
      <s:c r="B15911" s="121" t="n"/>
      <s:c r="C15911" s="121" t="n"/>
      <s:c r="D15911" s="121" t="n"/>
      <s:c r="E15911" s="122" t="n"/>
    </s:row>
    <s:row r="15912" hidden="1" ht="1" customHeight="1">
      <s:c r="A15912" s="120" t="inlineStr"/>
      <s:c r="B15912" s="121" t="n"/>
      <s:c r="C15912" s="121" t="n"/>
      <s:c r="D15912" s="121" t="n"/>
      <s:c r="E15912" s="122" t="n"/>
    </s:row>
    <s:row r="15913" hidden="1" ht="1" customHeight="1">
      <s:c r="A15913" s="120" t="inlineStr"/>
      <s:c r="B15913" s="121" t="n"/>
      <s:c r="C15913" s="121" t="n"/>
      <s:c r="D15913" s="121" t="n"/>
      <s:c r="E15913" s="122" t="n"/>
    </s:row>
    <s:row r="15914" hidden="1" ht="1" customHeight="1">
      <s:c r="A15914" s="120" t="inlineStr"/>
      <s:c r="B15914" s="121" t="n"/>
      <s:c r="C15914" s="121" t="n"/>
      <s:c r="D15914" s="121" t="n"/>
      <s:c r="E15914" s="122" t="n"/>
    </s:row>
    <s:row r="15915" hidden="1" ht="1" customHeight="1">
      <s:c r="A15915" s="120" t="inlineStr"/>
      <s:c r="B15915" s="121" t="n"/>
      <s:c r="C15915" s="121" t="n"/>
      <s:c r="D15915" s="121" t="n"/>
      <s:c r="E15915" s="122" t="n"/>
    </s:row>
    <s:row r="15916" hidden="1" ht="1" customHeight="1">
      <s:c r="A15916" s="120" t="inlineStr"/>
      <s:c r="B15916" s="121" t="n"/>
      <s:c r="C15916" s="121" t="n"/>
      <s:c r="D15916" s="121" t="n"/>
      <s:c r="E15916" s="122" t="n"/>
    </s:row>
    <s:row r="15917" hidden="1" ht="1" customHeight="1">
      <s:c r="A15917" s="120" t="inlineStr"/>
      <s:c r="B15917" s="121" t="n"/>
      <s:c r="C15917" s="121" t="n"/>
      <s:c r="D15917" s="121" t="n"/>
      <s:c r="E15917" s="122" t="n"/>
    </s:row>
    <s:row r="15918" hidden="1" ht="1" customHeight="1">
      <s:c r="A15918" s="120" t="inlineStr"/>
      <s:c r="B15918" s="121" t="n"/>
      <s:c r="C15918" s="121" t="n"/>
      <s:c r="D15918" s="121" t="n"/>
      <s:c r="E15918" s="122" t="n"/>
    </s:row>
    <s:row r="15919" hidden="1" ht="1" customHeight="1">
      <s:c r="A15919" s="120" t="inlineStr"/>
      <s:c r="B15919" s="121" t="n"/>
      <s:c r="C15919" s="121" t="n"/>
      <s:c r="D15919" s="121" t="n"/>
      <s:c r="E15919" s="122" t="n"/>
    </s:row>
    <s:row r="15920" hidden="1" ht="1" customHeight="1">
      <s:c r="A15920" s="120" t="inlineStr"/>
      <s:c r="B15920" s="121" t="n"/>
      <s:c r="C15920" s="121" t="n"/>
      <s:c r="D15920" s="121" t="n"/>
      <s:c r="E15920" s="122" t="n"/>
    </s:row>
    <s:row r="15921" hidden="1" ht="1" customHeight="1">
      <s:c r="A15921" s="120" t="inlineStr"/>
      <s:c r="B15921" s="121" t="n"/>
      <s:c r="C15921" s="121" t="n"/>
      <s:c r="D15921" s="121" t="n"/>
      <s:c r="E15921" s="122" t="n"/>
    </s:row>
    <s:row r="15922" hidden="1" ht="1" customHeight="1">
      <s:c r="A15922" s="120" t="inlineStr"/>
      <s:c r="B15922" s="121" t="n"/>
      <s:c r="C15922" s="121" t="n"/>
      <s:c r="D15922" s="121" t="n"/>
      <s:c r="E15922" s="122" t="n"/>
    </s:row>
    <s:row r="15923" hidden="1" ht="1" customHeight="1">
      <s:c r="A15923" s="120" t="inlineStr"/>
      <s:c r="B15923" s="121" t="n"/>
      <s:c r="C15923" s="121" t="n"/>
      <s:c r="D15923" s="121" t="n"/>
      <s:c r="E15923" s="122" t="n"/>
    </s:row>
    <s:row r="15924" hidden="1" ht="1" customHeight="1">
      <s:c r="A15924" s="120" t="inlineStr"/>
      <s:c r="B15924" s="121" t="n"/>
      <s:c r="C15924" s="121" t="n"/>
      <s:c r="D15924" s="121" t="n"/>
      <s:c r="E15924" s="122" t="n"/>
    </s:row>
    <s:row r="15925" hidden="1" ht="1" customHeight="1">
      <s:c r="A15925" s="120" t="inlineStr"/>
      <s:c r="B15925" s="121" t="n"/>
      <s:c r="C15925" s="121" t="n"/>
      <s:c r="D15925" s="121" t="n"/>
      <s:c r="E15925" s="122" t="n"/>
    </s:row>
    <s:row r="15926" hidden="1" ht="1" customHeight="1">
      <s:c r="A15926" s="120" t="inlineStr"/>
      <s:c r="B15926" s="121" t="n"/>
      <s:c r="C15926" s="121" t="n"/>
      <s:c r="D15926" s="121" t="n"/>
      <s:c r="E15926" s="122" t="n"/>
    </s:row>
    <s:row r="15927" hidden="1" ht="1" customHeight="1">
      <s:c r="A15927" s="120" t="inlineStr"/>
      <s:c r="B15927" s="121" t="n"/>
      <s:c r="C15927" s="121" t="n"/>
      <s:c r="D15927" s="121" t="n"/>
      <s:c r="E15927" s="122" t="n"/>
    </s:row>
    <s:row r="15928" hidden="1" ht="1" customHeight="1">
      <s:c r="A15928" s="120" t="inlineStr"/>
      <s:c r="B15928" s="121" t="n"/>
      <s:c r="C15928" s="121" t="n"/>
      <s:c r="D15928" s="121" t="n"/>
      <s:c r="E15928" s="122" t="n"/>
    </s:row>
    <s:row r="15929" hidden="1" ht="1" customHeight="1">
      <s:c r="A15929" s="120" t="inlineStr"/>
      <s:c r="B15929" s="121" t="n"/>
      <s:c r="C15929" s="121" t="n"/>
      <s:c r="D15929" s="121" t="n"/>
      <s:c r="E15929" s="122" t="n"/>
    </s:row>
    <s:row r="15930" hidden="1" ht="1" customHeight="1">
      <s:c r="A15930" s="120" t="inlineStr"/>
      <s:c r="B15930" s="121" t="n"/>
      <s:c r="C15930" s="121" t="n"/>
      <s:c r="D15930" s="121" t="n"/>
      <s:c r="E15930" s="122" t="n"/>
    </s:row>
    <s:row r="15931" hidden="1" ht="1" customHeight="1">
      <s:c r="A15931" s="120" t="inlineStr"/>
      <s:c r="B15931" s="121" t="n"/>
      <s:c r="C15931" s="121" t="n"/>
      <s:c r="D15931" s="121" t="n"/>
      <s:c r="E15931" s="122" t="n"/>
    </s:row>
    <s:row r="15932" hidden="1" ht="1" customHeight="1">
      <s:c r="A15932" s="120" t="inlineStr"/>
      <s:c r="B15932" s="121" t="n"/>
      <s:c r="C15932" s="121" t="n"/>
      <s:c r="D15932" s="121" t="n"/>
      <s:c r="E15932" s="122" t="n"/>
    </s:row>
    <s:row r="15933" hidden="1" ht="1" customHeight="1">
      <s:c r="A15933" s="120" t="inlineStr"/>
      <s:c r="B15933" s="121" t="n"/>
      <s:c r="C15933" s="121" t="n"/>
      <s:c r="D15933" s="121" t="n"/>
      <s:c r="E15933" s="122" t="n"/>
    </s:row>
    <s:row r="15934" hidden="1" ht="1" customHeight="1">
      <s:c r="A15934" s="120" t="inlineStr"/>
      <s:c r="B15934" s="121" t="n"/>
      <s:c r="C15934" s="121" t="n"/>
      <s:c r="D15934" s="121" t="n"/>
      <s:c r="E15934" s="122" t="n"/>
    </s:row>
    <s:row r="15935" hidden="1" ht="1" customHeight="1">
      <s:c r="A15935" s="120" t="inlineStr"/>
      <s:c r="B15935" s="121" t="n"/>
      <s:c r="C15935" s="121" t="n"/>
      <s:c r="D15935" s="121" t="n"/>
      <s:c r="E15935" s="122" t="n"/>
    </s:row>
    <s:row r="15936" hidden="1" ht="1" customHeight="1">
      <s:c r="A15936" s="120" t="inlineStr"/>
      <s:c r="B15936" s="121" t="n"/>
      <s:c r="C15936" s="121" t="n"/>
      <s:c r="D15936" s="121" t="n"/>
      <s:c r="E15936" s="122" t="n"/>
    </s:row>
    <s:row r="15937" hidden="1" ht="1" customHeight="1">
      <s:c r="A15937" s="120" t="inlineStr"/>
      <s:c r="B15937" s="121" t="n"/>
      <s:c r="C15937" s="121" t="n"/>
      <s:c r="D15937" s="121" t="n"/>
      <s:c r="E15937" s="122" t="n"/>
    </s:row>
    <s:row r="15938" hidden="1" ht="1" customHeight="1">
      <s:c r="A15938" s="120" t="inlineStr"/>
      <s:c r="B15938" s="121" t="n"/>
      <s:c r="C15938" s="121" t="n"/>
      <s:c r="D15938" s="121" t="n"/>
      <s:c r="E15938" s="122" t="n"/>
    </s:row>
    <s:row r="15939" hidden="1" ht="1" customHeight="1">
      <s:c r="A15939" s="120" t="inlineStr"/>
      <s:c r="B15939" s="121" t="n"/>
      <s:c r="C15939" s="121" t="n"/>
      <s:c r="D15939" s="121" t="n"/>
      <s:c r="E15939" s="122" t="n"/>
    </s:row>
    <s:row r="15940" hidden="1" ht="1" customHeight="1">
      <s:c r="A15940" s="120" t="inlineStr"/>
      <s:c r="B15940" s="121" t="n"/>
      <s:c r="C15940" s="121" t="n"/>
      <s:c r="D15940" s="121" t="n"/>
      <s:c r="E15940" s="122" t="n"/>
    </s:row>
    <s:row r="15941" hidden="1" ht="1" customHeight="1">
      <s:c r="A15941" s="120" t="inlineStr"/>
      <s:c r="B15941" s="121" t="n"/>
      <s:c r="C15941" s="121" t="n"/>
      <s:c r="D15941" s="121" t="n"/>
      <s:c r="E15941" s="122" t="n"/>
    </s:row>
    <s:row r="15942" hidden="1" ht="1" customHeight="1">
      <s:c r="A15942" s="120" t="inlineStr"/>
      <s:c r="B15942" s="121" t="n"/>
      <s:c r="C15942" s="121" t="n"/>
      <s:c r="D15942" s="121" t="n"/>
      <s:c r="E15942" s="122" t="n"/>
    </s:row>
    <s:row r="15943" hidden="1" ht="1" customHeight="1">
      <s:c r="A15943" s="120" t="inlineStr"/>
      <s:c r="B15943" s="121" t="n"/>
      <s:c r="C15943" s="121" t="n"/>
      <s:c r="D15943" s="121" t="n"/>
      <s:c r="E15943" s="122" t="n"/>
    </s:row>
    <s:row r="15944" hidden="1" ht="1" customHeight="1">
      <s:c r="A15944" s="120" t="inlineStr"/>
      <s:c r="B15944" s="121" t="n"/>
      <s:c r="C15944" s="121" t="n"/>
      <s:c r="D15944" s="121" t="n"/>
      <s:c r="E15944" s="122" t="n"/>
    </s:row>
    <s:row r="15945" hidden="1" ht="1" customHeight="1">
      <s:c r="A15945" s="120" t="inlineStr"/>
      <s:c r="B15945" s="121" t="n"/>
      <s:c r="C15945" s="121" t="n"/>
      <s:c r="D15945" s="121" t="n"/>
      <s:c r="E15945" s="122" t="n"/>
    </s:row>
    <s:row r="15946" hidden="1" ht="1" customHeight="1">
      <s:c r="A15946" s="120" t="inlineStr"/>
      <s:c r="B15946" s="121" t="n"/>
      <s:c r="C15946" s="121" t="n"/>
      <s:c r="D15946" s="121" t="n"/>
      <s:c r="E15946" s="122" t="n"/>
    </s:row>
    <s:row r="15947" hidden="1" ht="1" customHeight="1">
      <s:c r="A15947" s="120" t="inlineStr"/>
      <s:c r="B15947" s="121" t="n"/>
      <s:c r="C15947" s="121" t="n"/>
      <s:c r="D15947" s="121" t="n"/>
      <s:c r="E15947" s="122" t="n"/>
    </s:row>
    <s:row r="15948" hidden="1" ht="1" customHeight="1">
      <s:c r="A15948" s="120" t="inlineStr"/>
      <s:c r="B15948" s="121" t="n"/>
      <s:c r="C15948" s="121" t="n"/>
      <s:c r="D15948" s="121" t="n"/>
      <s:c r="E15948" s="122" t="n"/>
    </s:row>
    <s:row r="15949" hidden="1" ht="1" customHeight="1">
      <s:c r="A15949" s="120" t="inlineStr"/>
      <s:c r="B15949" s="121" t="n"/>
      <s:c r="C15949" s="121" t="n"/>
      <s:c r="D15949" s="121" t="n"/>
      <s:c r="E15949" s="122" t="n"/>
    </s:row>
    <s:row r="15950" hidden="1" ht="1" customHeight="1">
      <s:c r="A15950" s="120" t="inlineStr"/>
      <s:c r="B15950" s="121" t="n"/>
      <s:c r="C15950" s="121" t="n"/>
      <s:c r="D15950" s="121" t="n"/>
      <s:c r="E15950" s="122" t="n"/>
    </s:row>
    <s:row r="15951" hidden="1" ht="1" customHeight="1">
      <s:c r="A15951" s="120" t="inlineStr"/>
      <s:c r="B15951" s="121" t="n"/>
      <s:c r="C15951" s="121" t="n"/>
      <s:c r="D15951" s="121" t="n"/>
      <s:c r="E15951" s="122" t="n"/>
    </s:row>
    <s:row r="15952" hidden="1" ht="1" customHeight="1">
      <s:c r="A15952" s="120" t="inlineStr"/>
      <s:c r="B15952" s="121" t="n"/>
      <s:c r="C15952" s="121" t="n"/>
      <s:c r="D15952" s="121" t="n"/>
      <s:c r="E15952" s="122" t="n"/>
    </s:row>
    <s:row r="15953" hidden="1" ht="1" customHeight="1">
      <s:c r="A15953" s="120" t="inlineStr"/>
      <s:c r="B15953" s="121" t="n"/>
      <s:c r="C15953" s="121" t="n"/>
      <s:c r="D15953" s="121" t="n"/>
      <s:c r="E15953" s="122" t="n"/>
    </s:row>
    <s:row r="15954" hidden="1" ht="1" customHeight="1">
      <s:c r="A15954" s="120" t="inlineStr"/>
      <s:c r="B15954" s="121" t="n"/>
      <s:c r="C15954" s="121" t="n"/>
      <s:c r="D15954" s="121" t="n"/>
      <s:c r="E15954" s="122" t="n"/>
    </s:row>
    <s:row r="15955" hidden="1" ht="1" customHeight="1">
      <s:c r="A15955" s="120" t="inlineStr"/>
      <s:c r="B15955" s="121" t="n"/>
      <s:c r="C15955" s="121" t="n"/>
      <s:c r="D15955" s="121" t="n"/>
      <s:c r="E15955" s="122" t="n"/>
    </s:row>
    <s:row r="15956" hidden="1" ht="1" customHeight="1">
      <s:c r="A15956" s="120" t="inlineStr"/>
      <s:c r="B15956" s="121" t="n"/>
      <s:c r="C15956" s="121" t="n"/>
      <s:c r="D15956" s="121" t="n"/>
      <s:c r="E15956" s="122" t="n"/>
    </s:row>
    <s:row r="15957" hidden="1" ht="1" customHeight="1">
      <s:c r="A15957" s="120" t="inlineStr"/>
      <s:c r="B15957" s="121" t="n"/>
      <s:c r="C15957" s="121" t="n"/>
      <s:c r="D15957" s="121" t="n"/>
      <s:c r="E15957" s="122" t="n"/>
    </s:row>
    <s:row r="15958" hidden="1" ht="1" customHeight="1">
      <s:c r="A15958" s="120" t="inlineStr"/>
      <s:c r="B15958" s="121" t="n"/>
      <s:c r="C15958" s="121" t="n"/>
      <s:c r="D15958" s="121" t="n"/>
      <s:c r="E15958" s="122" t="n"/>
    </s:row>
    <s:row r="15959" hidden="1" ht="1" customHeight="1">
      <s:c r="A15959" s="120" t="inlineStr"/>
      <s:c r="B15959" s="121" t="n"/>
      <s:c r="C15959" s="121" t="n"/>
      <s:c r="D15959" s="121" t="n"/>
      <s:c r="E15959" s="122" t="n"/>
    </s:row>
    <s:row r="15960" hidden="1" ht="1" customHeight="1">
      <s:c r="A15960" s="120" t="inlineStr"/>
      <s:c r="B15960" s="121" t="n"/>
      <s:c r="C15960" s="121" t="n"/>
      <s:c r="D15960" s="121" t="n"/>
      <s:c r="E15960" s="122" t="n"/>
    </s:row>
    <s:row r="15961" hidden="1" ht="1" customHeight="1">
      <s:c r="A15961" s="120" t="inlineStr"/>
      <s:c r="B15961" s="121" t="n"/>
      <s:c r="C15961" s="121" t="n"/>
      <s:c r="D15961" s="121" t="n"/>
      <s:c r="E15961" s="122" t="n"/>
    </s:row>
    <s:row r="15962" hidden="1" ht="1" customHeight="1">
      <s:c r="A15962" s="120" t="inlineStr"/>
      <s:c r="B15962" s="121" t="n"/>
      <s:c r="C15962" s="121" t="n"/>
      <s:c r="D15962" s="121" t="n"/>
      <s:c r="E15962" s="122" t="n"/>
    </s:row>
    <s:row r="15963" hidden="1" ht="1" customHeight="1">
      <s:c r="A15963" s="120" t="inlineStr"/>
      <s:c r="B15963" s="121" t="n"/>
      <s:c r="C15963" s="121" t="n"/>
      <s:c r="D15963" s="121" t="n"/>
      <s:c r="E15963" s="122" t="n"/>
    </s:row>
    <s:row r="15964" hidden="1" ht="1" customHeight="1">
      <s:c r="A15964" s="120" t="inlineStr"/>
      <s:c r="B15964" s="121" t="n"/>
      <s:c r="C15964" s="121" t="n"/>
      <s:c r="D15964" s="121" t="n"/>
      <s:c r="E15964" s="122" t="n"/>
    </s:row>
    <s:row r="15965" hidden="1" ht="1" customHeight="1">
      <s:c r="A15965" s="120" t="inlineStr"/>
      <s:c r="B15965" s="121" t="n"/>
      <s:c r="C15965" s="121" t="n"/>
      <s:c r="D15965" s="121" t="n"/>
      <s:c r="E15965" s="122" t="n"/>
    </s:row>
    <s:row r="15966" hidden="1" ht="1" customHeight="1">
      <s:c r="A15966" s="120" t="inlineStr"/>
      <s:c r="B15966" s="121" t="n"/>
      <s:c r="C15966" s="121" t="n"/>
      <s:c r="D15966" s="121" t="n"/>
      <s:c r="E15966" s="122" t="n"/>
    </s:row>
    <s:row r="15967" hidden="1" ht="1" customHeight="1">
      <s:c r="A15967" s="120" t="inlineStr"/>
      <s:c r="B15967" s="121" t="n"/>
      <s:c r="C15967" s="121" t="n"/>
      <s:c r="D15967" s="121" t="n"/>
      <s:c r="E15967" s="122" t="n"/>
    </s:row>
    <s:row r="15968" hidden="1" ht="1" customHeight="1">
      <s:c r="A15968" s="120" t="inlineStr"/>
      <s:c r="B15968" s="121" t="n"/>
      <s:c r="C15968" s="121" t="n"/>
      <s:c r="D15968" s="121" t="n"/>
      <s:c r="E15968" s="122" t="n"/>
    </s:row>
    <s:row r="15969" hidden="1" ht="1" customHeight="1">
      <s:c r="A15969" s="120" t="inlineStr"/>
      <s:c r="B15969" s="121" t="n"/>
      <s:c r="C15969" s="121" t="n"/>
      <s:c r="D15969" s="121" t="n"/>
      <s:c r="E15969" s="122" t="n"/>
    </s:row>
    <s:row r="15970" hidden="1" ht="1" customHeight="1">
      <s:c r="A15970" s="120" t="inlineStr"/>
      <s:c r="B15970" s="121" t="n"/>
      <s:c r="C15970" s="121" t="n"/>
      <s:c r="D15970" s="121" t="n"/>
      <s:c r="E15970" s="122" t="n"/>
    </s:row>
    <s:row r="15971" hidden="1" ht="1" customHeight="1">
      <s:c r="A15971" s="120" t="inlineStr"/>
      <s:c r="B15971" s="121" t="n"/>
      <s:c r="C15971" s="121" t="n"/>
      <s:c r="D15971" s="121" t="n"/>
      <s:c r="E15971" s="122" t="n"/>
    </s:row>
    <s:row r="15972" hidden="1" ht="1" customHeight="1">
      <s:c r="A15972" s="120" t="inlineStr"/>
      <s:c r="B15972" s="121" t="n"/>
      <s:c r="C15972" s="121" t="n"/>
      <s:c r="D15972" s="121" t="n"/>
      <s:c r="E15972" s="122" t="n"/>
    </s:row>
    <s:row r="15973" hidden="1" ht="1" customHeight="1">
      <s:c r="A15973" s="120" t="inlineStr"/>
      <s:c r="B15973" s="121" t="n"/>
      <s:c r="C15973" s="121" t="n"/>
      <s:c r="D15973" s="121" t="n"/>
      <s:c r="E15973" s="122" t="n"/>
    </s:row>
    <s:row r="15974" hidden="1" ht="1" customHeight="1">
      <s:c r="A15974" s="120" t="inlineStr"/>
      <s:c r="B15974" s="121" t="n"/>
      <s:c r="C15974" s="121" t="n"/>
      <s:c r="D15974" s="121" t="n"/>
      <s:c r="E15974" s="122" t="n"/>
    </s:row>
    <s:row r="15975" hidden="1" ht="1" customHeight="1">
      <s:c r="A15975" s="120" t="inlineStr"/>
      <s:c r="B15975" s="121" t="n"/>
      <s:c r="C15975" s="121" t="n"/>
      <s:c r="D15975" s="121" t="n"/>
      <s:c r="E15975" s="122" t="n"/>
    </s:row>
    <s:row r="15976" hidden="1" ht="1" customHeight="1">
      <s:c r="A15976" s="120" t="inlineStr"/>
      <s:c r="B15976" s="121" t="n"/>
      <s:c r="C15976" s="121" t="n"/>
      <s:c r="D15976" s="121" t="n"/>
      <s:c r="E15976" s="122" t="n"/>
    </s:row>
    <s:row r="15977" hidden="1" ht="1" customHeight="1">
      <s:c r="A15977" s="120" t="inlineStr"/>
      <s:c r="B15977" s="121" t="n"/>
      <s:c r="C15977" s="121" t="n"/>
      <s:c r="D15977" s="121" t="n"/>
      <s:c r="E15977" s="122" t="n"/>
    </s:row>
    <s:row r="15978" hidden="1" ht="1" customHeight="1">
      <s:c r="A15978" s="120" t="inlineStr"/>
      <s:c r="B15978" s="121" t="n"/>
      <s:c r="C15978" s="121" t="n"/>
      <s:c r="D15978" s="121" t="n"/>
      <s:c r="E15978" s="122" t="n"/>
    </s:row>
    <s:row r="15979" hidden="1" ht="1" customHeight="1">
      <s:c r="A15979" s="120" t="inlineStr"/>
      <s:c r="B15979" s="121" t="n"/>
      <s:c r="C15979" s="121" t="n"/>
      <s:c r="D15979" s="121" t="n"/>
      <s:c r="E15979" s="122" t="n"/>
    </s:row>
    <s:row r="15980" hidden="1" ht="1" customHeight="1">
      <s:c r="A15980" s="120" t="inlineStr"/>
      <s:c r="B15980" s="121" t="n"/>
      <s:c r="C15980" s="121" t="n"/>
      <s:c r="D15980" s="121" t="n"/>
      <s:c r="E15980" s="122" t="n"/>
    </s:row>
    <s:row r="15981" hidden="1" ht="1" customHeight="1">
      <s:c r="A15981" s="120" t="inlineStr"/>
      <s:c r="B15981" s="121" t="n"/>
      <s:c r="C15981" s="121" t="n"/>
      <s:c r="D15981" s="121" t="n"/>
      <s:c r="E15981" s="122" t="n"/>
    </s:row>
    <s:row r="15982" hidden="1" ht="1" customHeight="1">
      <s:c r="A15982" s="120" t="inlineStr"/>
      <s:c r="B15982" s="121" t="n"/>
      <s:c r="C15982" s="121" t="n"/>
      <s:c r="D15982" s="121" t="n"/>
      <s:c r="E15982" s="122" t="n"/>
    </s:row>
    <s:row r="15983" hidden="1" ht="1" customHeight="1">
      <s:c r="A15983" s="120" t="inlineStr"/>
      <s:c r="B15983" s="121" t="n"/>
      <s:c r="C15983" s="121" t="n"/>
      <s:c r="D15983" s="121" t="n"/>
      <s:c r="E15983" s="122" t="n"/>
    </s:row>
    <s:row r="15984" hidden="1" ht="1" customHeight="1">
      <s:c r="A15984" s="120" t="inlineStr"/>
      <s:c r="B15984" s="121" t="n"/>
      <s:c r="C15984" s="121" t="n"/>
      <s:c r="D15984" s="121" t="n"/>
      <s:c r="E15984" s="122" t="n"/>
    </s:row>
    <s:row r="15985" hidden="1" ht="1" customHeight="1">
      <s:c r="A15985" s="120" t="inlineStr"/>
      <s:c r="B15985" s="121" t="n"/>
      <s:c r="C15985" s="121" t="n"/>
      <s:c r="D15985" s="121" t="n"/>
      <s:c r="E15985" s="122" t="n"/>
    </s:row>
    <s:row r="15986" hidden="1" ht="1" customHeight="1">
      <s:c r="A15986" s="120" t="inlineStr"/>
      <s:c r="B15986" s="121" t="n"/>
      <s:c r="C15986" s="121" t="n"/>
      <s:c r="D15986" s="121" t="n"/>
      <s:c r="E15986" s="122" t="n"/>
    </s:row>
    <s:row r="15987" hidden="1" ht="1" customHeight="1">
      <s:c r="A15987" s="120" t="inlineStr"/>
      <s:c r="B15987" s="121" t="n"/>
      <s:c r="C15987" s="121" t="n"/>
      <s:c r="D15987" s="121" t="n"/>
      <s:c r="E15987" s="122" t="n"/>
    </s:row>
    <s:row r="15988" hidden="1" ht="1" customHeight="1">
      <s:c r="A15988" s="120" t="inlineStr"/>
      <s:c r="B15988" s="121" t="n"/>
      <s:c r="C15988" s="121" t="n"/>
      <s:c r="D15988" s="121" t="n"/>
      <s:c r="E15988" s="122" t="n"/>
    </s:row>
    <s:row r="15989" hidden="1" ht="1" customHeight="1">
      <s:c r="A15989" s="120" t="inlineStr"/>
      <s:c r="B15989" s="121" t="n"/>
      <s:c r="C15989" s="121" t="n"/>
      <s:c r="D15989" s="121" t="n"/>
      <s:c r="E15989" s="122" t="n"/>
    </s:row>
    <s:row r="15990" hidden="1" ht="1" customHeight="1">
      <s:c r="A15990" s="120" t="inlineStr"/>
      <s:c r="B15990" s="121" t="n"/>
      <s:c r="C15990" s="121" t="n"/>
      <s:c r="D15990" s="121" t="n"/>
      <s:c r="E15990" s="122" t="n"/>
    </s:row>
    <s:row r="15991" hidden="1" ht="1" customHeight="1">
      <s:c r="A15991" s="120" t="inlineStr"/>
      <s:c r="B15991" s="121" t="n"/>
      <s:c r="C15991" s="121" t="n"/>
      <s:c r="D15991" s="121" t="n"/>
      <s:c r="E15991" s="122" t="n"/>
    </s:row>
    <s:row r="15992" hidden="1" ht="1" customHeight="1">
      <s:c r="A15992" s="120" t="inlineStr"/>
      <s:c r="B15992" s="121" t="n"/>
      <s:c r="C15992" s="121" t="n"/>
      <s:c r="D15992" s="121" t="n"/>
      <s:c r="E15992" s="122" t="n"/>
    </s:row>
    <s:row r="15993" hidden="1" ht="1" customHeight="1">
      <s:c r="A15993" s="120" t="inlineStr"/>
      <s:c r="B15993" s="121" t="n"/>
      <s:c r="C15993" s="121" t="n"/>
      <s:c r="D15993" s="121" t="n"/>
      <s:c r="E15993" s="122" t="n"/>
    </s:row>
    <s:row r="15994" hidden="1" ht="1" customHeight="1">
      <s:c r="A15994" s="120" t="inlineStr"/>
      <s:c r="B15994" s="121" t="n"/>
      <s:c r="C15994" s="121" t="n"/>
      <s:c r="D15994" s="121" t="n"/>
      <s:c r="E15994" s="122" t="n"/>
    </s:row>
    <s:row r="15995" hidden="1" ht="1" customHeight="1">
      <s:c r="A15995" s="120" t="inlineStr"/>
      <s:c r="B15995" s="121" t="n"/>
      <s:c r="C15995" s="121" t="n"/>
      <s:c r="D15995" s="121" t="n"/>
      <s:c r="E15995" s="122" t="n"/>
    </s:row>
    <s:row r="15996" hidden="1" ht="1" customHeight="1">
      <s:c r="A15996" s="120" t="inlineStr"/>
      <s:c r="B15996" s="121" t="n"/>
      <s:c r="C15996" s="121" t="n"/>
      <s:c r="D15996" s="121" t="n"/>
      <s:c r="E15996" s="122" t="n"/>
    </s:row>
    <s:row r="15997" hidden="1" ht="1" customHeight="1">
      <s:c r="A15997" s="120" t="inlineStr"/>
      <s:c r="B15997" s="121" t="n"/>
      <s:c r="C15997" s="121" t="n"/>
      <s:c r="D15997" s="121" t="n"/>
      <s:c r="E15997" s="122" t="n"/>
    </s:row>
    <s:row r="15998" hidden="1" ht="1" customHeight="1">
      <s:c r="A15998" s="120" t="inlineStr"/>
      <s:c r="B15998" s="121" t="n"/>
      <s:c r="C15998" s="121" t="n"/>
      <s:c r="D15998" s="121" t="n"/>
      <s:c r="E15998" s="122" t="n"/>
    </s:row>
    <s:row r="15999" hidden="1" ht="1" customHeight="1">
      <s:c r="A15999" s="120" t="inlineStr"/>
      <s:c r="B15999" s="121" t="n"/>
      <s:c r="C15999" s="121" t="n"/>
      <s:c r="D15999" s="121" t="n"/>
      <s:c r="E15999" s="122" t="n"/>
    </s:row>
    <s:row r="16000" hidden="1" ht="1" customHeight="1">
      <s:c r="A16000" s="120" t="inlineStr"/>
      <s:c r="B16000" s="121" t="n"/>
      <s:c r="C16000" s="121" t="n"/>
      <s:c r="D16000" s="121" t="n"/>
      <s:c r="E16000" s="122" t="n"/>
    </s:row>
    <s:row r="16001" hidden="1" ht="1" customHeight="1">
      <s:c r="A16001" s="120" t="inlineStr"/>
      <s:c r="B16001" s="121" t="n"/>
      <s:c r="C16001" s="121" t="n"/>
      <s:c r="D16001" s="121" t="n"/>
      <s:c r="E16001" s="122" t="n"/>
    </s:row>
    <s:row r="16002" hidden="1" ht="1" customHeight="1">
      <s:c r="A16002" s="120" t="inlineStr"/>
      <s:c r="B16002" s="121" t="n"/>
      <s:c r="C16002" s="121" t="n"/>
      <s:c r="D16002" s="121" t="n"/>
      <s:c r="E16002" s="122" t="n"/>
    </s:row>
    <s:row r="16003" hidden="1" ht="1" customHeight="1">
      <s:c r="A16003" s="120" t="inlineStr"/>
      <s:c r="B16003" s="121" t="n"/>
      <s:c r="C16003" s="121" t="n"/>
      <s:c r="D16003" s="121" t="n"/>
      <s:c r="E16003" s="122" t="n"/>
    </s:row>
    <s:row r="16004" hidden="1" ht="1" customHeight="1">
      <s:c r="A16004" s="120" t="inlineStr"/>
      <s:c r="B16004" s="121" t="n"/>
      <s:c r="C16004" s="121" t="n"/>
      <s:c r="D16004" s="121" t="n"/>
      <s:c r="E16004" s="122" t="n"/>
    </s:row>
    <s:row r="16005" hidden="1" ht="1" customHeight="1">
      <s:c r="A16005" s="120" t="inlineStr"/>
      <s:c r="B16005" s="121" t="n"/>
      <s:c r="C16005" s="121" t="n"/>
      <s:c r="D16005" s="121" t="n"/>
      <s:c r="E16005" s="122" t="n"/>
    </s:row>
    <s:row r="16006" hidden="1" ht="1" customHeight="1">
      <s:c r="A16006" s="120" t="inlineStr"/>
      <s:c r="B16006" s="121" t="n"/>
      <s:c r="C16006" s="121" t="n"/>
      <s:c r="D16006" s="121" t="n"/>
      <s:c r="E16006" s="122" t="n"/>
    </s:row>
    <s:row r="16007" hidden="1" ht="1" customHeight="1">
      <s:c r="A16007" s="120" t="inlineStr"/>
      <s:c r="B16007" s="121" t="n"/>
      <s:c r="C16007" s="121" t="n"/>
      <s:c r="D16007" s="121" t="n"/>
      <s:c r="E16007" s="122" t="n"/>
    </s:row>
    <s:row r="16008" hidden="1" ht="1" customHeight="1">
      <s:c r="A16008" s="120" t="inlineStr"/>
      <s:c r="B16008" s="121" t="n"/>
      <s:c r="C16008" s="121" t="n"/>
      <s:c r="D16008" s="121" t="n"/>
      <s:c r="E16008" s="122" t="n"/>
    </s:row>
    <s:row r="16009" hidden="1" ht="1" customHeight="1">
      <s:c r="A16009" s="120" t="inlineStr"/>
      <s:c r="B16009" s="121" t="n"/>
      <s:c r="C16009" s="121" t="n"/>
      <s:c r="D16009" s="121" t="n"/>
      <s:c r="E16009" s="122" t="n"/>
    </s:row>
    <s:row r="16010" hidden="1" ht="1" customHeight="1">
      <s:c r="A16010" s="120" t="inlineStr"/>
      <s:c r="B16010" s="121" t="n"/>
      <s:c r="C16010" s="121" t="n"/>
      <s:c r="D16010" s="121" t="n"/>
      <s:c r="E16010" s="122" t="n"/>
    </s:row>
    <s:row r="16011" hidden="1" ht="1" customHeight="1">
      <s:c r="A16011" s="120" t="inlineStr"/>
      <s:c r="B16011" s="121" t="n"/>
      <s:c r="C16011" s="121" t="n"/>
      <s:c r="D16011" s="121" t="n"/>
      <s:c r="E16011" s="122" t="n"/>
    </s:row>
    <s:row r="16012" hidden="1" ht="1" customHeight="1">
      <s:c r="A16012" s="120" t="inlineStr"/>
      <s:c r="B16012" s="121" t="n"/>
      <s:c r="C16012" s="121" t="n"/>
      <s:c r="D16012" s="121" t="n"/>
      <s:c r="E16012" s="122" t="n"/>
    </s:row>
    <s:row r="16013" hidden="1" ht="1" customHeight="1">
      <s:c r="A16013" s="120" t="inlineStr"/>
      <s:c r="B16013" s="121" t="n"/>
      <s:c r="C16013" s="121" t="n"/>
      <s:c r="D16013" s="121" t="n"/>
      <s:c r="E16013" s="122" t="n"/>
    </s:row>
    <s:row r="16014" hidden="1" ht="1" customHeight="1">
      <s:c r="A16014" s="120" t="inlineStr"/>
      <s:c r="B16014" s="121" t="n"/>
      <s:c r="C16014" s="121" t="n"/>
      <s:c r="D16014" s="121" t="n"/>
      <s:c r="E16014" s="122" t="n"/>
    </s:row>
    <s:row r="16015" hidden="1" ht="1" customHeight="1">
      <s:c r="A16015" s="120" t="inlineStr"/>
      <s:c r="B16015" s="121" t="n"/>
      <s:c r="C16015" s="121" t="n"/>
      <s:c r="D16015" s="121" t="n"/>
      <s:c r="E16015" s="122" t="n"/>
    </s:row>
    <s:row r="16016" hidden="1" ht="1" customHeight="1">
      <s:c r="A16016" s="120" t="inlineStr"/>
      <s:c r="B16016" s="121" t="n"/>
      <s:c r="C16016" s="121" t="n"/>
      <s:c r="D16016" s="121" t="n"/>
      <s:c r="E16016" s="122" t="n"/>
    </s:row>
    <s:row r="16017" hidden="1" ht="1" customHeight="1">
      <s:c r="A16017" s="120" t="inlineStr"/>
      <s:c r="B16017" s="121" t="n"/>
      <s:c r="C16017" s="121" t="n"/>
      <s:c r="D16017" s="121" t="n"/>
      <s:c r="E16017" s="122" t="n"/>
    </s:row>
    <s:row r="16018" hidden="1" ht="1" customHeight="1">
      <s:c r="A16018" s="120" t="inlineStr"/>
      <s:c r="B16018" s="121" t="n"/>
      <s:c r="C16018" s="121" t="n"/>
      <s:c r="D16018" s="121" t="n"/>
      <s:c r="E16018" s="122" t="n"/>
    </s:row>
    <s:row r="16019" hidden="1" ht="1" customHeight="1">
      <s:c r="A16019" s="120" t="inlineStr"/>
      <s:c r="B16019" s="121" t="n"/>
      <s:c r="C16019" s="121" t="n"/>
      <s:c r="D16019" s="121" t="n"/>
      <s:c r="E16019" s="122" t="n"/>
    </s:row>
    <s:row r="16020" hidden="1" ht="1" customHeight="1">
      <s:c r="A16020" s="120" t="inlineStr"/>
      <s:c r="B16020" s="121" t="n"/>
      <s:c r="C16020" s="121" t="n"/>
      <s:c r="D16020" s="121" t="n"/>
      <s:c r="E16020" s="122" t="n"/>
    </s:row>
    <s:row r="16021" hidden="1" ht="1" customHeight="1">
      <s:c r="A16021" s="120" t="inlineStr"/>
      <s:c r="B16021" s="121" t="n"/>
      <s:c r="C16021" s="121" t="n"/>
      <s:c r="D16021" s="121" t="n"/>
      <s:c r="E16021" s="122" t="n"/>
    </s:row>
    <s:row r="16022" hidden="1" ht="1" customHeight="1">
      <s:c r="A16022" s="120" t="inlineStr"/>
      <s:c r="B16022" s="121" t="n"/>
      <s:c r="C16022" s="121" t="n"/>
      <s:c r="D16022" s="121" t="n"/>
      <s:c r="E16022" s="122" t="n"/>
    </s:row>
    <s:row r="16023" hidden="1" ht="1" customHeight="1">
      <s:c r="A16023" s="120" t="inlineStr"/>
      <s:c r="B16023" s="121" t="n"/>
      <s:c r="C16023" s="121" t="n"/>
      <s:c r="D16023" s="121" t="n"/>
      <s:c r="E16023" s="122" t="n"/>
    </s:row>
    <s:row r="16024" hidden="1" ht="1" customHeight="1">
      <s:c r="A16024" s="120" t="inlineStr"/>
      <s:c r="B16024" s="121" t="n"/>
      <s:c r="C16024" s="121" t="n"/>
      <s:c r="D16024" s="121" t="n"/>
      <s:c r="E16024" s="122" t="n"/>
    </s:row>
    <s:row r="16025" hidden="1" ht="1" customHeight="1">
      <s:c r="A16025" s="120" t="inlineStr"/>
      <s:c r="B16025" s="121" t="n"/>
      <s:c r="C16025" s="121" t="n"/>
      <s:c r="D16025" s="121" t="n"/>
      <s:c r="E16025" s="122" t="n"/>
    </s:row>
    <s:row r="16026" hidden="1" ht="1" customHeight="1">
      <s:c r="A16026" s="120" t="inlineStr"/>
      <s:c r="B16026" s="121" t="n"/>
      <s:c r="C16026" s="121" t="n"/>
      <s:c r="D16026" s="121" t="n"/>
      <s:c r="E16026" s="122" t="n"/>
    </s:row>
    <s:row r="16027" hidden="1" ht="1" customHeight="1">
      <s:c r="A16027" s="120" t="inlineStr"/>
      <s:c r="B16027" s="121" t="n"/>
      <s:c r="C16027" s="121" t="n"/>
      <s:c r="D16027" s="121" t="n"/>
      <s:c r="E16027" s="122" t="n"/>
    </s:row>
    <s:row r="16028" hidden="1" ht="1" customHeight="1">
      <s:c r="A16028" s="120" t="inlineStr"/>
      <s:c r="B16028" s="121" t="n"/>
      <s:c r="C16028" s="121" t="n"/>
      <s:c r="D16028" s="121" t="n"/>
      <s:c r="E16028" s="122" t="n"/>
    </s:row>
    <s:row r="16029" hidden="1" ht="1" customHeight="1">
      <s:c r="A16029" s="120" t="inlineStr"/>
      <s:c r="B16029" s="121" t="n"/>
      <s:c r="C16029" s="121" t="n"/>
      <s:c r="D16029" s="121" t="n"/>
      <s:c r="E16029" s="122" t="n"/>
    </s:row>
    <s:row r="16030" hidden="1" ht="1" customHeight="1">
      <s:c r="A16030" s="120" t="inlineStr"/>
      <s:c r="B16030" s="121" t="n"/>
      <s:c r="C16030" s="121" t="n"/>
      <s:c r="D16030" s="121" t="n"/>
      <s:c r="E16030" s="122" t="n"/>
    </s:row>
    <s:row r="16031" hidden="1" ht="1" customHeight="1">
      <s:c r="A16031" s="120" t="inlineStr"/>
      <s:c r="B16031" s="121" t="n"/>
      <s:c r="C16031" s="121" t="n"/>
      <s:c r="D16031" s="121" t="n"/>
      <s:c r="E16031" s="122" t="n"/>
    </s:row>
    <s:row r="16032" hidden="1" ht="1" customHeight="1">
      <s:c r="A16032" s="120" t="inlineStr"/>
      <s:c r="B16032" s="121" t="n"/>
      <s:c r="C16032" s="121" t="n"/>
      <s:c r="D16032" s="121" t="n"/>
      <s:c r="E16032" s="122" t="n"/>
    </s:row>
    <s:row r="16033" hidden="1" ht="1" customHeight="1">
      <s:c r="A16033" s="120" t="inlineStr"/>
      <s:c r="B16033" s="121" t="n"/>
      <s:c r="C16033" s="121" t="n"/>
      <s:c r="D16033" s="121" t="n"/>
      <s:c r="E16033" s="122" t="n"/>
    </s:row>
    <s:row r="16034" hidden="1" ht="1" customHeight="1">
      <s:c r="A16034" s="120" t="inlineStr"/>
      <s:c r="B16034" s="121" t="n"/>
      <s:c r="C16034" s="121" t="n"/>
      <s:c r="D16034" s="121" t="n"/>
      <s:c r="E16034" s="122" t="n"/>
    </s:row>
    <s:row r="16035" hidden="1" ht="1" customHeight="1">
      <s:c r="A16035" s="120" t="inlineStr"/>
      <s:c r="B16035" s="121" t="n"/>
      <s:c r="C16035" s="121" t="n"/>
      <s:c r="D16035" s="121" t="n"/>
      <s:c r="E16035" s="122" t="n"/>
    </s:row>
    <s:row r="16036" hidden="1" ht="1" customHeight="1">
      <s:c r="A16036" s="120" t="inlineStr"/>
      <s:c r="B16036" s="121" t="n"/>
      <s:c r="C16036" s="121" t="n"/>
      <s:c r="D16036" s="121" t="n"/>
      <s:c r="E16036" s="122" t="n"/>
    </s:row>
    <s:row r="16037" hidden="1" ht="1" customHeight="1">
      <s:c r="A16037" s="120" t="inlineStr"/>
      <s:c r="B16037" s="121" t="n"/>
      <s:c r="C16037" s="121" t="n"/>
      <s:c r="D16037" s="121" t="n"/>
      <s:c r="E16037" s="122" t="n"/>
    </s:row>
    <s:row r="16038" hidden="1" ht="1" customHeight="1">
      <s:c r="A16038" s="120" t="inlineStr"/>
      <s:c r="B16038" s="121" t="n"/>
      <s:c r="C16038" s="121" t="n"/>
      <s:c r="D16038" s="121" t="n"/>
      <s:c r="E16038" s="122" t="n"/>
    </s:row>
    <s:row r="16039" hidden="1" ht="1" customHeight="1">
      <s:c r="A16039" s="120" t="inlineStr"/>
      <s:c r="B16039" s="121" t="n"/>
      <s:c r="C16039" s="121" t="n"/>
      <s:c r="D16039" s="121" t="n"/>
      <s:c r="E16039" s="122" t="n"/>
    </s:row>
    <s:row r="16040" hidden="1" ht="1" customHeight="1">
      <s:c r="A16040" s="120" t="inlineStr"/>
      <s:c r="B16040" s="121" t="n"/>
      <s:c r="C16040" s="121" t="n"/>
      <s:c r="D16040" s="121" t="n"/>
      <s:c r="E16040" s="122" t="n"/>
    </s:row>
    <s:row r="16041" hidden="1" ht="1" customHeight="1">
      <s:c r="A16041" s="120" t="inlineStr"/>
      <s:c r="B16041" s="121" t="n"/>
      <s:c r="C16041" s="121" t="n"/>
      <s:c r="D16041" s="121" t="n"/>
      <s:c r="E16041" s="122" t="n"/>
    </s:row>
    <s:row r="16042" hidden="1" ht="1" customHeight="1">
      <s:c r="A16042" s="120" t="inlineStr"/>
      <s:c r="B16042" s="121" t="n"/>
      <s:c r="C16042" s="121" t="n"/>
      <s:c r="D16042" s="121" t="n"/>
      <s:c r="E16042" s="122" t="n"/>
    </s:row>
    <s:row r="16043" hidden="1" ht="1" customHeight="1">
      <s:c r="A16043" s="120" t="inlineStr"/>
      <s:c r="B16043" s="121" t="n"/>
      <s:c r="C16043" s="121" t="n"/>
      <s:c r="D16043" s="121" t="n"/>
      <s:c r="E16043" s="122" t="n"/>
    </s:row>
    <s:row r="16044" hidden="1" ht="1" customHeight="1">
      <s:c r="A16044" s="120" t="inlineStr"/>
      <s:c r="B16044" s="121" t="n"/>
      <s:c r="C16044" s="121" t="n"/>
      <s:c r="D16044" s="121" t="n"/>
      <s:c r="E16044" s="122" t="n"/>
    </s:row>
    <s:row r="16045" hidden="1" ht="1" customHeight="1">
      <s:c r="A16045" s="120" t="inlineStr"/>
      <s:c r="B16045" s="121" t="n"/>
      <s:c r="C16045" s="121" t="n"/>
      <s:c r="D16045" s="121" t="n"/>
      <s:c r="E16045" s="122" t="n"/>
    </s:row>
    <s:row r="16046" hidden="1" ht="1" customHeight="1">
      <s:c r="A16046" s="120" t="inlineStr"/>
      <s:c r="B16046" s="121" t="n"/>
      <s:c r="C16046" s="121" t="n"/>
      <s:c r="D16046" s="121" t="n"/>
      <s:c r="E16046" s="122" t="n"/>
    </s:row>
    <s:row r="16047" hidden="1" ht="1" customHeight="1">
      <s:c r="A16047" s="120" t="inlineStr"/>
      <s:c r="B16047" s="121" t="n"/>
      <s:c r="C16047" s="121" t="n"/>
      <s:c r="D16047" s="121" t="n"/>
      <s:c r="E16047" s="122" t="n"/>
    </s:row>
    <s:row r="16048" hidden="1" ht="1" customHeight="1">
      <s:c r="A16048" s="120" t="inlineStr"/>
      <s:c r="B16048" s="121" t="n"/>
      <s:c r="C16048" s="121" t="n"/>
      <s:c r="D16048" s="121" t="n"/>
      <s:c r="E16048" s="122" t="n"/>
    </s:row>
    <s:row r="16049" hidden="1" ht="1" customHeight="1">
      <s:c r="A16049" s="120" t="inlineStr"/>
      <s:c r="B16049" s="121" t="n"/>
      <s:c r="C16049" s="121" t="n"/>
      <s:c r="D16049" s="121" t="n"/>
      <s:c r="E16049" s="122" t="n"/>
    </s:row>
    <s:row r="16050" hidden="1" ht="1" customHeight="1">
      <s:c r="A16050" s="120" t="inlineStr"/>
      <s:c r="B16050" s="121" t="n"/>
      <s:c r="C16050" s="121" t="n"/>
      <s:c r="D16050" s="121" t="n"/>
      <s:c r="E16050" s="122" t="n"/>
    </s:row>
    <s:row r="16051" hidden="1" ht="1" customHeight="1">
      <s:c r="A16051" s="120" t="inlineStr"/>
      <s:c r="B16051" s="121" t="n"/>
      <s:c r="C16051" s="121" t="n"/>
      <s:c r="D16051" s="121" t="n"/>
      <s:c r="E16051" s="122" t="n"/>
    </s:row>
    <s:row r="16052" hidden="1" ht="1" customHeight="1">
      <s:c r="A16052" s="120" t="inlineStr"/>
      <s:c r="B16052" s="121" t="n"/>
      <s:c r="C16052" s="121" t="n"/>
      <s:c r="D16052" s="121" t="n"/>
      <s:c r="E16052" s="122" t="n"/>
    </s:row>
    <s:row r="16053" hidden="1" ht="1" customHeight="1">
      <s:c r="A16053" s="120" t="inlineStr"/>
      <s:c r="B16053" s="121" t="n"/>
      <s:c r="C16053" s="121" t="n"/>
      <s:c r="D16053" s="121" t="n"/>
      <s:c r="E16053" s="122" t="n"/>
    </s:row>
    <s:row r="16054" hidden="1" ht="1" customHeight="1">
      <s:c r="A16054" s="120" t="inlineStr"/>
      <s:c r="B16054" s="121" t="n"/>
      <s:c r="C16054" s="121" t="n"/>
      <s:c r="D16054" s="121" t="n"/>
      <s:c r="E16054" s="122" t="n"/>
    </s:row>
    <s:row r="16055" hidden="1" ht="1" customHeight="1">
      <s:c r="A16055" s="120" t="inlineStr"/>
      <s:c r="B16055" s="121" t="n"/>
      <s:c r="C16055" s="121" t="n"/>
      <s:c r="D16055" s="121" t="n"/>
      <s:c r="E16055" s="122" t="n"/>
    </s:row>
    <s:row r="16056" hidden="1" ht="1" customHeight="1">
      <s:c r="A16056" s="120" t="inlineStr"/>
      <s:c r="B16056" s="121" t="n"/>
      <s:c r="C16056" s="121" t="n"/>
      <s:c r="D16056" s="121" t="n"/>
      <s:c r="E16056" s="122" t="n"/>
    </s:row>
    <s:row r="16057" hidden="1" ht="1" customHeight="1">
      <s:c r="A16057" s="83" t="inlineStr">
        <s:is>
          <s:t>PASS</s:t>
        </s:is>
      </s:c>
      <s:c r="B16057" s="83">
        <s:f>SUM(IF(EXACT('Kiểm thử'!E15707,"Đạt"),1,0),IF(EXACT('Kiểm thử'!E15709,"Đạt"),1,0),IF(EXACT('Kiểm thử'!E15711,"Đạt"),1,0),IF(EXACT('Kiểm thử'!E15713,"Đạt"),1,0),IF(EXACT('Kiểm thử'!E15715,"Đạt"),1,0),IF(EXACT('Kiểm thử'!E15717,"Đạt"),1,0),IF(EXACT('Kiểm thử'!E15719,"Đạt"),1,0))</s:f>
        <s:v/>
      </s:c>
      <s:c r="C16057" s="19" t="n"/>
      <s:c r="D16057" s="19" t="n"/>
      <s:c r="E16057" s="19" t="n"/>
    </s:row>
    <s:row r="16058" hidden="1" ht="1" customHeight="1">
      <s:c r="A16058" s="83" t="inlineStr">
        <s:is>
          <s:t>FAIL</s:t>
        </s:is>
      </s:c>
      <s:c r="B16058" s="83">
        <s:f>SUM(IF(EXACT('Kiểm thử'!E15707,"Không đạt"),1,0),IF(EXACT('Kiểm thử'!E15709,"Không đạt"),1,0),IF(EXACT('Kiểm thử'!E15711,"Không đạt"),1,0),IF(EXACT('Kiểm thử'!E15713,"Không đạt"),1,0),IF(EXACT('Kiểm thử'!E15715,"Không đạt"),1,0),IF(EXACT('Kiểm thử'!E15717,"Không đạt"),1,0),IF(EXACT('Kiểm thử'!E15719,"Không đạt"),1,0))</s:f>
        <s:v/>
      </s:c>
      <s:c r="C16058" s="19" t="n"/>
      <s:c r="D16058" s="19" t="n"/>
      <s:c r="E16058" s="19" t="n"/>
    </s:row>
    <s:row r="16059" hidden="1" ht="1" customHeight="1">
      <s:c r="A16059" s="83" t="inlineStr">
        <s:is>
          <s:t>BLOCKED</s:t>
        </s:is>
      </s:c>
      <s:c r="B16059" s="83">
        <s:f>SUM(IF(EXACT('Kiểm thử'!E15707,"Bị chặn"),1,0),IF(EXACT('Kiểm thử'!E15709,"Bị chặn"),1,0),IF(EXACT('Kiểm thử'!E15711,"Bị chặn"),1,0),IF(EXACT('Kiểm thử'!E15713,"Bị chặn"),1,0),IF(EXACT('Kiểm thử'!E15715,"Bị chặn"),1,0),IF(EXACT('Kiểm thử'!E15717,"Bị chặn"),1,0),IF(EXACT('Kiểm thử'!E15719,"Bị chặn"),1,0))</s:f>
        <s:v/>
      </s:c>
      <s:c r="C16059" s="19" t="n"/>
      <s:c r="D16059" s="19" t="n"/>
      <s:c r="E16059" s="19" t="n"/>
    </s:row>
    <s:row r="16060" hidden="1" ht="1" customHeight="1">
      <s:c r="A16060" s="83" t="inlineStr">
        <s:is>
          <s:t>SKIPPED</s:t>
        </s:is>
      </s:c>
      <s:c r="B16060" s="83">
        <s:f>SUM(IF(EXACT('Kiểm thử'!E15707,"Không thực hiện"),1,0),IF(EXACT('Kiểm thử'!E15709,"Không thực hiện"),1,0),IF(EXACT('Kiểm thử'!E15711,"Không thực hiện"),1,0),IF(EXACT('Kiểm thử'!E15713,"Không thực hiện"),1,0),IF(EXACT('Kiểm thử'!E15715,"Không thực hiện"),1,0),IF(EXACT('Kiểm thử'!E15717,"Không thực hiện"),1,0),IF(EXACT('Kiểm thử'!E15719,"Không thực hiện"),1,0))</s:f>
        <s:v/>
      </s:c>
      <s:c r="C16060" s="19" t="n"/>
      <s:c r="D16060" s="19" t="n"/>
      <s:c r="E16060" s="19" t="n"/>
    </s:row>
    <s:row r="16061" hidden="1" ht="1" customHeight="1">
      <s:c r="A16061" s="83" t="inlineStr">
        <s:is>
          <s:t>NOT RUN</s:t>
        </s:is>
      </s:c>
      <s:c r="B16061" s="83">
        <s:f>SUM(IF(EXACT('Kiểm thử'!E15707,"Chưa thực hiện"),1,0),IF(EXACT('Kiểm thử'!E15709,"Chưa thực hiện"),1,0),IF(EXACT('Kiểm thử'!E15711,"Chưa thực hiện"),1,0),IF(EXACT('Kiểm thử'!E15713,"Chưa thực hiện"),1,0),IF(EXACT('Kiểm thử'!E15715,"Chưa thực hiện"),1,0),IF(EXACT('Kiểm thử'!E15717,"Chưa thực hiện"),1,0),IF(EXACT('Kiểm thử'!E15719,"Chưa thực hiện"),1,0))</s:f>
        <s:v/>
      </s:c>
      <s:c r="C16061" s="19" t="n"/>
      <s:c r="D16061" s="19" t="n"/>
      <s:c r="E16061" s="19" t="n"/>
    </s:row>
    <s:row r="16062" hidden="1" ht="6" customHeight="1">
      <s:c r="A16062" s="83" t="inlineStr"/>
      <s:c r="B16062" s="19" t="n"/>
      <s:c r="C16062" s="19" t="n"/>
      <s:c r="D16062" s="19" t="n"/>
      <s:c r="E16062" s="19" t="n"/>
    </s:row>
    <s:row r="16063" ht="28" customHeight="1">
      <s:c r="A16063" s="108" t="inlineStr">
        <s:is>
          <s:t>TC-RS-FUNC-024 — Trích xuất: chỉ ô đỏ được thêm ký hiệu/tô màu</s:t>
        </s:is>
      </s:c>
      <s:c r="B16063" s="111" t="n"/>
      <s:c r="C16063" s="111" t="n"/>
      <s:c r="D16063" s="111" t="n"/>
      <s:c r="E16063" s="111" t="n"/>
    </s:row>
    <s:row r="16064" ht="20" customHeight="1">
      <s:c r="A16064" s="112" t="inlineStr">
        <s:is>
          <s:t>Kết quả tình huống</s:t>
        </s:is>
      </s:c>
      <s:c r="B16064" s="113">
        <s:f>IF(SUM(IF(EXACT('Kiểm thử'!E16073,"Không đạt"),1,0),IF(EXACT('Kiểm thử'!E16075,"Không đạt"),1,0))&gt;0,"Không đạt",IF(SUM(IF(EXACT('Kiểm thử'!E16073,"Đạt"),1,0),IF(EXACT('Kiểm thử'!E16075,"Đạt"),1,0))=2,"Đạt",IF(SUM(IF(EXACT('Kiểm thử'!E16073,"Không thực hiện"),1,0),IF(EXACT('Kiểm thử'!E16075,"Không thực hiện"),1,0))=2,"Không thực hiện",IF(SUM(IF(EXACT('Kiểm thử'!E16073,"Bị chặn"),1,0),IF(EXACT('Kiểm thử'!E16075,"Bị chặn"),1,0))&gt;0,"Bị chặn",IF(SUM(IF(EXACT('Kiểm thử'!E16073,"Chưa thực hiện"),1,0),IF(EXACT('Kiểm thử'!E16075,"Chưa thực hiện"),1,0))=2,"Chưa thực hiện","Đang thực hiện")))))</s:f>
        <s:v/>
      </s:c>
      <s:c r="C16064" s="114" t="n"/>
      <s:c r="D16064" s="114" t="n"/>
      <s:c r="E16064" s="114" t="n"/>
    </s:row>
    <s:row r="16065" ht="20" customHeight="1">
      <s:c r="A16065" s="112" t="inlineStr">
        <s:is>
          <s:t>Màn hình / chức năng</s:t>
        </s:is>
      </s:c>
      <s:c r="B16065" s="113" t="inlineStr">
        <s:is>
          <s:r>
            <s:rPr>
              <s:b val="1"/>
            </s:rPr>
            <s:t>Trích xuất thành tích（成績抽出）</s:t>
          </s:r>
        </s:is>
      </s:c>
      <s:c r="C16065" s="28" t="n"/>
      <s:c r="D16065" s="28" t="n"/>
      <s:c r="E16065" s="28" t="n"/>
    </s:row>
    <s:row r="16066" ht="34" customHeight="1">
      <s:c r="A16066" s="112" t="inlineStr">
        <s:is>
          <s:t>Cấu hình</s:t>
        </s:is>
      </s:c>
      <s:c r="B16066" s="113" t="inlineStr">
        <s:is>
          <s:r>
            <s:t xml:space="preserve">• Fixture riêng S10, Toán=24 Đỏ và Ngữ văn=70 Không đỏ;
• Ngưỡng cố định 30, dấu nhỏ hơn, </s:t>
          </s:r>
          <s:r>
            <s:rPr>
              <s:b val="1"/>
            </s:rPr>
            <s:t>M=100</s:t>
          </s:r>
          <s:r>
            <s:t xml:space="preserve"> ở cả hai mục. Không kế thừa Ngữ văn=20 của FUNC-023.</s:t>
          </s:r>
        </s:is>
      </s:c>
      <s:c r="C16066" s="28" t="n"/>
      <s:c r="D16066" s="28" t="n"/>
      <s:c r="E16066" s="28" t="n"/>
    </s:row>
    <s:row r="16067" ht="34" customHeight="1">
      <s:c r="A16067" s="112" t="inlineStr">
        <s:is>
          <s:t>Dữ liệu test</s:t>
        </s:is>
      </s:c>
      <s:c r="B16067" s="113" t="inlineStr">
        <s:is>
          <s:t>• Học sinh S10 (học lớp G-B và G-C), cấu hình trích xuất: lọc, ký hiệu “*” phía trước, tô màu, cấu hình trích xuất chỉ ký hiệu (“※” trước, “!” sau)</s:t>
        </s:is>
      </s:c>
      <s:c r="C16067" s="28" t="n"/>
      <s:c r="D16067" s="28" t="n"/>
      <s:c r="E16067" s="28" t="n"/>
    </s:row>
    <s:row r="16068" ht="20" customHeight="1">
      <s:c r="A16068" s="112" t="inlineStr">
        <s:is>
          <s:t>Bước 1</s:t>
        </s:is>
      </s:c>
      <s:c r="B16068" s="113" t="inlineStr">
        <s:is>
          <s:t>Xác minh fixture riêng S10/Toán24 Đỏ/Ngữ văn70 Không đỏ.</s:t>
        </s:is>
      </s:c>
      <s:c r="C16068" s="28" t="n"/>
      <s:c r="D16068" s="28" t="n"/>
      <s:c r="E16068" s="28" t="n"/>
    </s:row>
    <s:row r="16069" ht="20" customHeight="1">
      <s:c r="A16069" s="112" t="inlineStr">
        <s:is>
          <s:t>Bước 2</s:t>
        </s:is>
      </s:c>
      <s:c r="B16069" s="113" t="inlineStr">
        <s:is>
          <s:t>Chạy trích xuất với tùy chọn riêng trong bảng trường hợp.</s:t>
        </s:is>
      </s:c>
      <s:c r="C16069" s="28" t="n"/>
      <s:c r="D16069" s="28" t="n"/>
      <s:c r="E16069" s="28" t="n"/>
    </s:row>
    <s:row r="16070" ht="20" customHeight="1">
      <s:c r="A16070" s="112" t="inlineStr">
        <s:is>
          <s:t>Bước 3</s:t>
        </s:is>
      </s:c>
      <s:c r="B16070" s="113" t="inlineStr">
        <s:is>
          <s:t>Đọc từng ô, không dùng màu cả dòng làm bằng chứng.</s:t>
        </s:is>
      </s:c>
      <s:c r="C16070" s="28" t="n"/>
      <s:c r="D16070" s="28" t="n"/>
      <s:c r="E16070" s="28" t="n"/>
    </s:row>
    <s:row r="16071" ht="28" customHeight="1">
      <s:c r="A16071" s="115" t="inlineStr">
        <s:is>
          <s:t>Trường hợp</s:t>
        </s:is>
      </s:c>
      <s:c r="B16071" s="115" t="inlineStr">
        <s:is>
          <s:t>Dữ liệu / thao tác riêng</s:t>
        </s:is>
      </s:c>
      <s:c r="C16071" s="115" t="inlineStr">
        <s:is>
          <s:t>Kết quả mong đợi</s:t>
        </s:is>
      </s:c>
      <s:c r="D16071" s="115" t="inlineStr">
        <s:is>
          <s:t>Kết quả thực tế</s:t>
        </s:is>
      </s:c>
      <s:c r="E16071" s="115" t="inlineStr">
        <s:is>
          <s:t>Đánh giá</s:t>
        </s:is>
      </s:c>
    </s:row>
    <s:row r="16072" ht="3" customHeight="1">
      <s:c r="A16072" s="102" t="inlineStr"/>
      <s:c r="B16072" s="99" t="n"/>
      <s:c r="C16072" s="99" t="n"/>
      <s:c r="D16072" s="116" t="n"/>
      <s:c r="E16072" s="116" t="n"/>
    </s:row>
    <s:row r="16073" ht="76" customHeight="1">
      <s:c r="A16073" s="83" t="inlineStr">
        <s:is>
          <s:t>Ký hiệu trước và màu ô (prefix-color)</s:t>
        </s:is>
      </s:c>
      <s:c r="B16073" s="83" t="inlineStr">
        <s:is>
          <s:t>Fixture riêng S10/Toán24 Đỏ, Ngữ văn70 Không đỏ; bật lọc+[*] trước+màu, chạy trích xuất và xem từng ô S10; không dùng Ngữ văn20 từ FUNC-023.</s:t>
        </s:is>
      </s:c>
      <s:c r="C16073" s="83" t="inlineStr">
        <s:is>
          <s:r>
            <s:t xml:space="preserve">1. Cấu hình trích xuất: lọc, ký hiệu “*” phía trước, tô màu: ô Toán hiện [*24] </s:t>
          </s:r>
          <s:r>
            <s:rPr>
              <s:b val="1"/>
            </s:rPr>
            <s:t>với nền màu Đỏ（赤）</s:t>
          </s:r>
          <s:r>
            <s:t xml:space="preserve"> của bảng màu; ô Ngữ văn [70] không ký hiệu, không màu; không tô cả dòng.</s:t>
          </s:r>
        </s:is>
      </s:c>
      <s:c r="D16073" s="117" t="inlineStr"/>
      <s:c r="E16073" s="118" t="inlineStr">
        <s:is>
          <s:t>Chưa thực hiện</s:t>
        </s:is>
      </s:c>
    </s:row>
    <s:row r="16074" ht="3" customHeight="1">
      <s:c r="A16074" s="102" t="inlineStr"/>
      <s:c r="B16074" s="99" t="n"/>
      <s:c r="C16074" s="99" t="n"/>
      <s:c r="D16074" s="116" t="n"/>
      <s:c r="E16074" s="116" t="n"/>
    </s:row>
    <s:row r="16075" ht="62" customHeight="1">
      <s:c r="A16075" s="83" t="inlineStr">
        <s:is>
          <s:t>Ký hiệu hai phía (prefix-suffix)</s:t>
        </s:is>
      </s:c>
      <s:c r="B16075" s="83" t="inlineStr">
        <s:is>
          <s:t>Cùng fixture riêng S10/Toán24 Đỏ, Ngữ văn70 Không đỏ; dùng chỉ [※] trước/[!] sau, chạy trích xuất và xem từng ô.</s:t>
        </s:is>
      </s:c>
      <s:c r="C16075" s="83" t="inlineStr">
        <s:is>
          <s:t>2. Cấu hình trích xuất chỉ ký hiệu (“※” trước, “!” sau): ô Toán [※24!]; ô Ngữ văn [70].</s:t>
        </s:is>
      </s:c>
      <s:c r="D16075" s="117" t="inlineStr"/>
      <s:c r="E16075" s="118" t="inlineStr">
        <s:is>
          <s:t>Chưa thực hiện</s:t>
        </s:is>
      </s:c>
    </s:row>
    <s:row r="16076" ht="20" customHeight="1">
      <s:c r="A16076" s="119" t="inlineStr">
        <s:is>
          <s:t>Ảnh minh chứng — Chưa có ảnh</s:t>
        </s:is>
      </s:c>
      <s:c r="B16076" s="19" t="n"/>
      <s:c r="C16076" s="19" t="n"/>
      <s:c r="D16076" s="19" t="n"/>
      <s:c r="E16076" s="19" t="n"/>
    </s:row>
    <s:row r="16077" hidden="1" ht="1" customHeight="1">
      <s:c r="A16077" s="120" t="inlineStr"/>
      <s:c r="B16077" s="121" t="n"/>
      <s:c r="C16077" s="121" t="n"/>
      <s:c r="D16077" s="121" t="n"/>
      <s:c r="E16077" s="122" t="n"/>
    </s:row>
    <s:row r="16078" hidden="1" ht="1" customHeight="1">
      <s:c r="A16078" s="120" t="inlineStr"/>
      <s:c r="B16078" s="121" t="n"/>
      <s:c r="C16078" s="121" t="n"/>
      <s:c r="D16078" s="121" t="n"/>
      <s:c r="E16078" s="122" t="n"/>
    </s:row>
    <s:row r="16079" hidden="1" ht="1" customHeight="1">
      <s:c r="A16079" s="120" t="inlineStr"/>
      <s:c r="B16079" s="121" t="n"/>
      <s:c r="C16079" s="121" t="n"/>
      <s:c r="D16079" s="121" t="n"/>
      <s:c r="E16079" s="122" t="n"/>
    </s:row>
    <s:row r="16080" hidden="1" ht="1" customHeight="1">
      <s:c r="A16080" s="120" t="inlineStr"/>
      <s:c r="B16080" s="121" t="n"/>
      <s:c r="C16080" s="121" t="n"/>
      <s:c r="D16080" s="121" t="n"/>
      <s:c r="E16080" s="122" t="n"/>
    </s:row>
    <s:row r="16081" hidden="1" ht="1" customHeight="1">
      <s:c r="A16081" s="120" t="inlineStr"/>
      <s:c r="B16081" s="121" t="n"/>
      <s:c r="C16081" s="121" t="n"/>
      <s:c r="D16081" s="121" t="n"/>
      <s:c r="E16081" s="122" t="n"/>
    </s:row>
    <s:row r="16082" hidden="1" ht="1" customHeight="1">
      <s:c r="A16082" s="120" t="inlineStr"/>
      <s:c r="B16082" s="121" t="n"/>
      <s:c r="C16082" s="121" t="n"/>
      <s:c r="D16082" s="121" t="n"/>
      <s:c r="E16082" s="122" t="n"/>
    </s:row>
    <s:row r="16083" hidden="1" ht="1" customHeight="1">
      <s:c r="A16083" s="120" t="inlineStr"/>
      <s:c r="B16083" s="121" t="n"/>
      <s:c r="C16083" s="121" t="n"/>
      <s:c r="D16083" s="121" t="n"/>
      <s:c r="E16083" s="122" t="n"/>
    </s:row>
    <s:row r="16084" hidden="1" ht="1" customHeight="1">
      <s:c r="A16084" s="120" t="inlineStr"/>
      <s:c r="B16084" s="121" t="n"/>
      <s:c r="C16084" s="121" t="n"/>
      <s:c r="D16084" s="121" t="n"/>
      <s:c r="E16084" s="122" t="n"/>
    </s:row>
    <s:row r="16085" hidden="1" ht="1" customHeight="1">
      <s:c r="A16085" s="120" t="inlineStr"/>
      <s:c r="B16085" s="121" t="n"/>
      <s:c r="C16085" s="121" t="n"/>
      <s:c r="D16085" s="121" t="n"/>
      <s:c r="E16085" s="122" t="n"/>
    </s:row>
    <s:row r="16086" hidden="1" ht="1" customHeight="1">
      <s:c r="A16086" s="120" t="inlineStr"/>
      <s:c r="B16086" s="121" t="n"/>
      <s:c r="C16086" s="121" t="n"/>
      <s:c r="D16086" s="121" t="n"/>
      <s:c r="E16086" s="122" t="n"/>
    </s:row>
    <s:row r="16087" hidden="1" ht="1" customHeight="1">
      <s:c r="A16087" s="120" t="inlineStr"/>
      <s:c r="B16087" s="121" t="n"/>
      <s:c r="C16087" s="121" t="n"/>
      <s:c r="D16087" s="121" t="n"/>
      <s:c r="E16087" s="122" t="n"/>
    </s:row>
    <s:row r="16088" hidden="1" ht="1" customHeight="1">
      <s:c r="A16088" s="120" t="inlineStr"/>
      <s:c r="B16088" s="121" t="n"/>
      <s:c r="C16088" s="121" t="n"/>
      <s:c r="D16088" s="121" t="n"/>
      <s:c r="E16088" s="122" t="n"/>
    </s:row>
    <s:row r="16089" hidden="1" ht="1" customHeight="1">
      <s:c r="A16089" s="120" t="inlineStr"/>
      <s:c r="B16089" s="121" t="n"/>
      <s:c r="C16089" s="121" t="n"/>
      <s:c r="D16089" s="121" t="n"/>
      <s:c r="E16089" s="122" t="n"/>
    </s:row>
    <s:row r="16090" hidden="1" ht="1" customHeight="1">
      <s:c r="A16090" s="120" t="inlineStr"/>
      <s:c r="B16090" s="121" t="n"/>
      <s:c r="C16090" s="121" t="n"/>
      <s:c r="D16090" s="121" t="n"/>
      <s:c r="E16090" s="122" t="n"/>
    </s:row>
    <s:row r="16091" hidden="1" ht="1" customHeight="1">
      <s:c r="A16091" s="120" t="inlineStr"/>
      <s:c r="B16091" s="121" t="n"/>
      <s:c r="C16091" s="121" t="n"/>
      <s:c r="D16091" s="121" t="n"/>
      <s:c r="E16091" s="122" t="n"/>
    </s:row>
    <s:row r="16092" hidden="1" ht="1" customHeight="1">
      <s:c r="A16092" s="120" t="inlineStr"/>
      <s:c r="B16092" s="121" t="n"/>
      <s:c r="C16092" s="121" t="n"/>
      <s:c r="D16092" s="121" t="n"/>
      <s:c r="E16092" s="122" t="n"/>
    </s:row>
    <s:row r="16093" hidden="1" ht="1" customHeight="1">
      <s:c r="A16093" s="120" t="inlineStr"/>
      <s:c r="B16093" s="121" t="n"/>
      <s:c r="C16093" s="121" t="n"/>
      <s:c r="D16093" s="121" t="n"/>
      <s:c r="E16093" s="122" t="n"/>
    </s:row>
    <s:row r="16094" hidden="1" ht="1" customHeight="1">
      <s:c r="A16094" s="120" t="inlineStr"/>
      <s:c r="B16094" s="121" t="n"/>
      <s:c r="C16094" s="121" t="n"/>
      <s:c r="D16094" s="121" t="n"/>
      <s:c r="E16094" s="122" t="n"/>
    </s:row>
    <s:row r="16095" hidden="1" ht="1" customHeight="1">
      <s:c r="A16095" s="120" t="inlineStr"/>
      <s:c r="B16095" s="121" t="n"/>
      <s:c r="C16095" s="121" t="n"/>
      <s:c r="D16095" s="121" t="n"/>
      <s:c r="E16095" s="122" t="n"/>
    </s:row>
    <s:row r="16096" hidden="1" ht="1" customHeight="1">
      <s:c r="A16096" s="120" t="inlineStr"/>
      <s:c r="B16096" s="121" t="n"/>
      <s:c r="C16096" s="121" t="n"/>
      <s:c r="D16096" s="121" t="n"/>
      <s:c r="E16096" s="122" t="n"/>
    </s:row>
    <s:row r="16097" hidden="1" ht="1" customHeight="1">
      <s:c r="A16097" s="120" t="inlineStr"/>
      <s:c r="B16097" s="121" t="n"/>
      <s:c r="C16097" s="121" t="n"/>
      <s:c r="D16097" s="121" t="n"/>
      <s:c r="E16097" s="122" t="n"/>
    </s:row>
    <s:row r="16098" hidden="1" ht="1" customHeight="1">
      <s:c r="A16098" s="120" t="inlineStr"/>
      <s:c r="B16098" s="121" t="n"/>
      <s:c r="C16098" s="121" t="n"/>
      <s:c r="D16098" s="121" t="n"/>
      <s:c r="E16098" s="122" t="n"/>
    </s:row>
    <s:row r="16099" hidden="1" ht="1" customHeight="1">
      <s:c r="A16099" s="120" t="inlineStr"/>
      <s:c r="B16099" s="121" t="n"/>
      <s:c r="C16099" s="121" t="n"/>
      <s:c r="D16099" s="121" t="n"/>
      <s:c r="E16099" s="122" t="n"/>
    </s:row>
    <s:row r="16100" hidden="1" ht="1" customHeight="1">
      <s:c r="A16100" s="120" t="inlineStr"/>
      <s:c r="B16100" s="121" t="n"/>
      <s:c r="C16100" s="121" t="n"/>
      <s:c r="D16100" s="121" t="n"/>
      <s:c r="E16100" s="122" t="n"/>
    </s:row>
    <s:row r="16101" hidden="1" ht="1" customHeight="1">
      <s:c r="A16101" s="120" t="inlineStr"/>
      <s:c r="B16101" s="121" t="n"/>
      <s:c r="C16101" s="121" t="n"/>
      <s:c r="D16101" s="121" t="n"/>
      <s:c r="E16101" s="122" t="n"/>
    </s:row>
    <s:row r="16102" hidden="1" ht="1" customHeight="1">
      <s:c r="A16102" s="120" t="inlineStr"/>
      <s:c r="B16102" s="121" t="n"/>
      <s:c r="C16102" s="121" t="n"/>
      <s:c r="D16102" s="121" t="n"/>
      <s:c r="E16102" s="122" t="n"/>
    </s:row>
    <s:row r="16103" hidden="1" ht="1" customHeight="1">
      <s:c r="A16103" s="120" t="inlineStr"/>
      <s:c r="B16103" s="121" t="n"/>
      <s:c r="C16103" s="121" t="n"/>
      <s:c r="D16103" s="121" t="n"/>
      <s:c r="E16103" s="122" t="n"/>
    </s:row>
    <s:row r="16104" hidden="1" ht="1" customHeight="1">
      <s:c r="A16104" s="120" t="inlineStr"/>
      <s:c r="B16104" s="121" t="n"/>
      <s:c r="C16104" s="121" t="n"/>
      <s:c r="D16104" s="121" t="n"/>
      <s:c r="E16104" s="122" t="n"/>
    </s:row>
    <s:row r="16105" hidden="1" ht="1" customHeight="1">
      <s:c r="A16105" s="120" t="inlineStr"/>
      <s:c r="B16105" s="121" t="n"/>
      <s:c r="C16105" s="121" t="n"/>
      <s:c r="D16105" s="121" t="n"/>
      <s:c r="E16105" s="122" t="n"/>
    </s:row>
    <s:row r="16106" hidden="1" ht="1" customHeight="1">
      <s:c r="A16106" s="120" t="inlineStr"/>
      <s:c r="B16106" s="121" t="n"/>
      <s:c r="C16106" s="121" t="n"/>
      <s:c r="D16106" s="121" t="n"/>
      <s:c r="E16106" s="122" t="n"/>
    </s:row>
    <s:row r="16107" hidden="1" ht="1" customHeight="1">
      <s:c r="A16107" s="120" t="inlineStr"/>
      <s:c r="B16107" s="121" t="n"/>
      <s:c r="C16107" s="121" t="n"/>
      <s:c r="D16107" s="121" t="n"/>
      <s:c r="E16107" s="122" t="n"/>
    </s:row>
    <s:row r="16108" hidden="1" ht="1" customHeight="1">
      <s:c r="A16108" s="120" t="inlineStr"/>
      <s:c r="B16108" s="121" t="n"/>
      <s:c r="C16108" s="121" t="n"/>
      <s:c r="D16108" s="121" t="n"/>
      <s:c r="E16108" s="122" t="n"/>
    </s:row>
    <s:row r="16109" hidden="1" ht="1" customHeight="1">
      <s:c r="A16109" s="120" t="inlineStr"/>
      <s:c r="B16109" s="121" t="n"/>
      <s:c r="C16109" s="121" t="n"/>
      <s:c r="D16109" s="121" t="n"/>
      <s:c r="E16109" s="122" t="n"/>
    </s:row>
    <s:row r="16110" hidden="1" ht="1" customHeight="1">
      <s:c r="A16110" s="120" t="inlineStr"/>
      <s:c r="B16110" s="121" t="n"/>
      <s:c r="C16110" s="121" t="n"/>
      <s:c r="D16110" s="121" t="n"/>
      <s:c r="E16110" s="122" t="n"/>
    </s:row>
    <s:row r="16111" hidden="1" ht="1" customHeight="1">
      <s:c r="A16111" s="120" t="inlineStr"/>
      <s:c r="B16111" s="121" t="n"/>
      <s:c r="C16111" s="121" t="n"/>
      <s:c r="D16111" s="121" t="n"/>
      <s:c r="E16111" s="122" t="n"/>
    </s:row>
    <s:row r="16112" hidden="1" ht="1" customHeight="1">
      <s:c r="A16112" s="120" t="inlineStr"/>
      <s:c r="B16112" s="121" t="n"/>
      <s:c r="C16112" s="121" t="n"/>
      <s:c r="D16112" s="121" t="n"/>
      <s:c r="E16112" s="122" t="n"/>
    </s:row>
    <s:row r="16113" hidden="1" ht="1" customHeight="1">
      <s:c r="A16113" s="120" t="inlineStr"/>
      <s:c r="B16113" s="121" t="n"/>
      <s:c r="C16113" s="121" t="n"/>
      <s:c r="D16113" s="121" t="n"/>
      <s:c r="E16113" s="122" t="n"/>
    </s:row>
    <s:row r="16114" hidden="1" ht="1" customHeight="1">
      <s:c r="A16114" s="120" t="inlineStr"/>
      <s:c r="B16114" s="121" t="n"/>
      <s:c r="C16114" s="121" t="n"/>
      <s:c r="D16114" s="121" t="n"/>
      <s:c r="E16114" s="122" t="n"/>
    </s:row>
    <s:row r="16115" hidden="1" ht="1" customHeight="1">
      <s:c r="A16115" s="120" t="inlineStr"/>
      <s:c r="B16115" s="121" t="n"/>
      <s:c r="C16115" s="121" t="n"/>
      <s:c r="D16115" s="121" t="n"/>
      <s:c r="E16115" s="122" t="n"/>
    </s:row>
    <s:row r="16116" hidden="1" ht="1" customHeight="1">
      <s:c r="A16116" s="120" t="inlineStr"/>
      <s:c r="B16116" s="121" t="n"/>
      <s:c r="C16116" s="121" t="n"/>
      <s:c r="D16116" s="121" t="n"/>
      <s:c r="E16116" s="122" t="n"/>
    </s:row>
    <s:row r="16117" hidden="1" ht="1" customHeight="1">
      <s:c r="A16117" s="120" t="inlineStr"/>
      <s:c r="B16117" s="121" t="n"/>
      <s:c r="C16117" s="121" t="n"/>
      <s:c r="D16117" s="121" t="n"/>
      <s:c r="E16117" s="122" t="n"/>
    </s:row>
    <s:row r="16118" hidden="1" ht="1" customHeight="1">
      <s:c r="A16118" s="120" t="inlineStr"/>
      <s:c r="B16118" s="121" t="n"/>
      <s:c r="C16118" s="121" t="n"/>
      <s:c r="D16118" s="121" t="n"/>
      <s:c r="E16118" s="122" t="n"/>
    </s:row>
    <s:row r="16119" hidden="1" ht="1" customHeight="1">
      <s:c r="A16119" s="120" t="inlineStr"/>
      <s:c r="B16119" s="121" t="n"/>
      <s:c r="C16119" s="121" t="n"/>
      <s:c r="D16119" s="121" t="n"/>
      <s:c r="E16119" s="122" t="n"/>
    </s:row>
    <s:row r="16120" hidden="1" ht="1" customHeight="1">
      <s:c r="A16120" s="120" t="inlineStr"/>
      <s:c r="B16120" s="121" t="n"/>
      <s:c r="C16120" s="121" t="n"/>
      <s:c r="D16120" s="121" t="n"/>
      <s:c r="E16120" s="122" t="n"/>
    </s:row>
    <s:row r="16121" hidden="1" ht="1" customHeight="1">
      <s:c r="A16121" s="120" t="inlineStr"/>
      <s:c r="B16121" s="121" t="n"/>
      <s:c r="C16121" s="121" t="n"/>
      <s:c r="D16121" s="121" t="n"/>
      <s:c r="E16121" s="122" t="n"/>
    </s:row>
    <s:row r="16122" hidden="1" ht="1" customHeight="1">
      <s:c r="A16122" s="120" t="inlineStr"/>
      <s:c r="B16122" s="121" t="n"/>
      <s:c r="C16122" s="121" t="n"/>
      <s:c r="D16122" s="121" t="n"/>
      <s:c r="E16122" s="122" t="n"/>
    </s:row>
    <s:row r="16123" hidden="1" ht="1" customHeight="1">
      <s:c r="A16123" s="120" t="inlineStr"/>
      <s:c r="B16123" s="121" t="n"/>
      <s:c r="C16123" s="121" t="n"/>
      <s:c r="D16123" s="121" t="n"/>
      <s:c r="E16123" s="122" t="n"/>
    </s:row>
    <s:row r="16124" hidden="1" ht="1" customHeight="1">
      <s:c r="A16124" s="120" t="inlineStr"/>
      <s:c r="B16124" s="121" t="n"/>
      <s:c r="C16124" s="121" t="n"/>
      <s:c r="D16124" s="121" t="n"/>
      <s:c r="E16124" s="122" t="n"/>
    </s:row>
    <s:row r="16125" hidden="1" ht="1" customHeight="1">
      <s:c r="A16125" s="120" t="inlineStr"/>
      <s:c r="B16125" s="121" t="n"/>
      <s:c r="C16125" s="121" t="n"/>
      <s:c r="D16125" s="121" t="n"/>
      <s:c r="E16125" s="122" t="n"/>
    </s:row>
    <s:row r="16126" hidden="1" ht="1" customHeight="1">
      <s:c r="A16126" s="120" t="inlineStr"/>
      <s:c r="B16126" s="121" t="n"/>
      <s:c r="C16126" s="121" t="n"/>
      <s:c r="D16126" s="121" t="n"/>
      <s:c r="E16126" s="122" t="n"/>
    </s:row>
    <s:row r="16127" hidden="1" ht="1" customHeight="1">
      <s:c r="A16127" s="120" t="inlineStr"/>
      <s:c r="B16127" s="121" t="n"/>
      <s:c r="C16127" s="121" t="n"/>
      <s:c r="D16127" s="121" t="n"/>
      <s:c r="E16127" s="122" t="n"/>
    </s:row>
    <s:row r="16128" hidden="1" ht="1" customHeight="1">
      <s:c r="A16128" s="120" t="inlineStr"/>
      <s:c r="B16128" s="121" t="n"/>
      <s:c r="C16128" s="121" t="n"/>
      <s:c r="D16128" s="121" t="n"/>
      <s:c r="E16128" s="122" t="n"/>
    </s:row>
    <s:row r="16129" hidden="1" ht="1" customHeight="1">
      <s:c r="A16129" s="120" t="inlineStr"/>
      <s:c r="B16129" s="121" t="n"/>
      <s:c r="C16129" s="121" t="n"/>
      <s:c r="D16129" s="121" t="n"/>
      <s:c r="E16129" s="122" t="n"/>
    </s:row>
    <s:row r="16130" hidden="1" ht="1" customHeight="1">
      <s:c r="A16130" s="120" t="inlineStr"/>
      <s:c r="B16130" s="121" t="n"/>
      <s:c r="C16130" s="121" t="n"/>
      <s:c r="D16130" s="121" t="n"/>
      <s:c r="E16130" s="122" t="n"/>
    </s:row>
    <s:row r="16131" hidden="1" ht="1" customHeight="1">
      <s:c r="A16131" s="120" t="inlineStr"/>
      <s:c r="B16131" s="121" t="n"/>
      <s:c r="C16131" s="121" t="n"/>
      <s:c r="D16131" s="121" t="n"/>
      <s:c r="E16131" s="122" t="n"/>
    </s:row>
    <s:row r="16132" hidden="1" ht="1" customHeight="1">
      <s:c r="A16132" s="120" t="inlineStr"/>
      <s:c r="B16132" s="121" t="n"/>
      <s:c r="C16132" s="121" t="n"/>
      <s:c r="D16132" s="121" t="n"/>
      <s:c r="E16132" s="122" t="n"/>
    </s:row>
    <s:row r="16133" hidden="1" ht="1" customHeight="1">
      <s:c r="A16133" s="120" t="inlineStr"/>
      <s:c r="B16133" s="121" t="n"/>
      <s:c r="C16133" s="121" t="n"/>
      <s:c r="D16133" s="121" t="n"/>
      <s:c r="E16133" s="122" t="n"/>
    </s:row>
    <s:row r="16134" hidden="1" ht="1" customHeight="1">
      <s:c r="A16134" s="120" t="inlineStr"/>
      <s:c r="B16134" s="121" t="n"/>
      <s:c r="C16134" s="121" t="n"/>
      <s:c r="D16134" s="121" t="n"/>
      <s:c r="E16134" s="122" t="n"/>
    </s:row>
    <s:row r="16135" hidden="1" ht="1" customHeight="1">
      <s:c r="A16135" s="120" t="inlineStr"/>
      <s:c r="B16135" s="121" t="n"/>
      <s:c r="C16135" s="121" t="n"/>
      <s:c r="D16135" s="121" t="n"/>
      <s:c r="E16135" s="122" t="n"/>
    </s:row>
    <s:row r="16136" hidden="1" ht="1" customHeight="1">
      <s:c r="A16136" s="120" t="inlineStr"/>
      <s:c r="B16136" s="121" t="n"/>
      <s:c r="C16136" s="121" t="n"/>
      <s:c r="D16136" s="121" t="n"/>
      <s:c r="E16136" s="122" t="n"/>
    </s:row>
    <s:row r="16137" hidden="1" ht="1" customHeight="1">
      <s:c r="A16137" s="120" t="inlineStr"/>
      <s:c r="B16137" s="121" t="n"/>
      <s:c r="C16137" s="121" t="n"/>
      <s:c r="D16137" s="121" t="n"/>
      <s:c r="E16137" s="122" t="n"/>
    </s:row>
    <s:row r="16138" hidden="1" ht="1" customHeight="1">
      <s:c r="A16138" s="120" t="inlineStr"/>
      <s:c r="B16138" s="121" t="n"/>
      <s:c r="C16138" s="121" t="n"/>
      <s:c r="D16138" s="121" t="n"/>
      <s:c r="E16138" s="122" t="n"/>
    </s:row>
    <s:row r="16139" hidden="1" ht="1" customHeight="1">
      <s:c r="A16139" s="120" t="inlineStr"/>
      <s:c r="B16139" s="121" t="n"/>
      <s:c r="C16139" s="121" t="n"/>
      <s:c r="D16139" s="121" t="n"/>
      <s:c r="E16139" s="122" t="n"/>
    </s:row>
    <s:row r="16140" hidden="1" ht="1" customHeight="1">
      <s:c r="A16140" s="120" t="inlineStr"/>
      <s:c r="B16140" s="121" t="n"/>
      <s:c r="C16140" s="121" t="n"/>
      <s:c r="D16140" s="121" t="n"/>
      <s:c r="E16140" s="122" t="n"/>
    </s:row>
    <s:row r="16141" hidden="1" ht="1" customHeight="1">
      <s:c r="A16141" s="120" t="inlineStr"/>
      <s:c r="B16141" s="121" t="n"/>
      <s:c r="C16141" s="121" t="n"/>
      <s:c r="D16141" s="121" t="n"/>
      <s:c r="E16141" s="122" t="n"/>
    </s:row>
    <s:row r="16142" hidden="1" ht="1" customHeight="1">
      <s:c r="A16142" s="120" t="inlineStr"/>
      <s:c r="B16142" s="121" t="n"/>
      <s:c r="C16142" s="121" t="n"/>
      <s:c r="D16142" s="121" t="n"/>
      <s:c r="E16142" s="122" t="n"/>
    </s:row>
    <s:row r="16143" hidden="1" ht="1" customHeight="1">
      <s:c r="A16143" s="120" t="inlineStr"/>
      <s:c r="B16143" s="121" t="n"/>
      <s:c r="C16143" s="121" t="n"/>
      <s:c r="D16143" s="121" t="n"/>
      <s:c r="E16143" s="122" t="n"/>
    </s:row>
    <s:row r="16144" hidden="1" ht="1" customHeight="1">
      <s:c r="A16144" s="120" t="inlineStr"/>
      <s:c r="B16144" s="121" t="n"/>
      <s:c r="C16144" s="121" t="n"/>
      <s:c r="D16144" s="121" t="n"/>
      <s:c r="E16144" s="122" t="n"/>
    </s:row>
    <s:row r="16145" hidden="1" ht="1" customHeight="1">
      <s:c r="A16145" s="120" t="inlineStr"/>
      <s:c r="B16145" s="121" t="n"/>
      <s:c r="C16145" s="121" t="n"/>
      <s:c r="D16145" s="121" t="n"/>
      <s:c r="E16145" s="122" t="n"/>
    </s:row>
    <s:row r="16146" hidden="1" ht="1" customHeight="1">
      <s:c r="A16146" s="120" t="inlineStr"/>
      <s:c r="B16146" s="121" t="n"/>
      <s:c r="C16146" s="121" t="n"/>
      <s:c r="D16146" s="121" t="n"/>
      <s:c r="E16146" s="122" t="n"/>
    </s:row>
    <s:row r="16147" hidden="1" ht="1" customHeight="1">
      <s:c r="A16147" s="120" t="inlineStr"/>
      <s:c r="B16147" s="121" t="n"/>
      <s:c r="C16147" s="121" t="n"/>
      <s:c r="D16147" s="121" t="n"/>
      <s:c r="E16147" s="122" t="n"/>
    </s:row>
    <s:row r="16148" hidden="1" ht="1" customHeight="1">
      <s:c r="A16148" s="120" t="inlineStr"/>
      <s:c r="B16148" s="121" t="n"/>
      <s:c r="C16148" s="121" t="n"/>
      <s:c r="D16148" s="121" t="n"/>
      <s:c r="E16148" s="122" t="n"/>
    </s:row>
    <s:row r="16149" hidden="1" ht="1" customHeight="1">
      <s:c r="A16149" s="120" t="inlineStr"/>
      <s:c r="B16149" s="121" t="n"/>
      <s:c r="C16149" s="121" t="n"/>
      <s:c r="D16149" s="121" t="n"/>
      <s:c r="E16149" s="122" t="n"/>
    </s:row>
    <s:row r="16150" hidden="1" ht="1" customHeight="1">
      <s:c r="A16150" s="120" t="inlineStr"/>
      <s:c r="B16150" s="121" t="n"/>
      <s:c r="C16150" s="121" t="n"/>
      <s:c r="D16150" s="121" t="n"/>
      <s:c r="E16150" s="122" t="n"/>
    </s:row>
    <s:row r="16151" hidden="1" ht="1" customHeight="1">
      <s:c r="A16151" s="120" t="inlineStr"/>
      <s:c r="B16151" s="121" t="n"/>
      <s:c r="C16151" s="121" t="n"/>
      <s:c r="D16151" s="121" t="n"/>
      <s:c r="E16151" s="122" t="n"/>
    </s:row>
    <s:row r="16152" hidden="1" ht="1" customHeight="1">
      <s:c r="A16152" s="120" t="inlineStr"/>
      <s:c r="B16152" s="121" t="n"/>
      <s:c r="C16152" s="121" t="n"/>
      <s:c r="D16152" s="121" t="n"/>
      <s:c r="E16152" s="122" t="n"/>
    </s:row>
    <s:row r="16153" hidden="1" ht="1" customHeight="1">
      <s:c r="A16153" s="120" t="inlineStr"/>
      <s:c r="B16153" s="121" t="n"/>
      <s:c r="C16153" s="121" t="n"/>
      <s:c r="D16153" s="121" t="n"/>
      <s:c r="E16153" s="122" t="n"/>
    </s:row>
    <s:row r="16154" hidden="1" ht="1" customHeight="1">
      <s:c r="A16154" s="120" t="inlineStr"/>
      <s:c r="B16154" s="121" t="n"/>
      <s:c r="C16154" s="121" t="n"/>
      <s:c r="D16154" s="121" t="n"/>
      <s:c r="E16154" s="122" t="n"/>
    </s:row>
    <s:row r="16155" hidden="1" ht="1" customHeight="1">
      <s:c r="A16155" s="120" t="inlineStr"/>
      <s:c r="B16155" s="121" t="n"/>
      <s:c r="C16155" s="121" t="n"/>
      <s:c r="D16155" s="121" t="n"/>
      <s:c r="E16155" s="122" t="n"/>
    </s:row>
    <s:row r="16156" hidden="1" ht="1" customHeight="1">
      <s:c r="A16156" s="120" t="inlineStr"/>
      <s:c r="B16156" s="121" t="n"/>
      <s:c r="C16156" s="121" t="n"/>
      <s:c r="D16156" s="121" t="n"/>
      <s:c r="E16156" s="122" t="n"/>
    </s:row>
    <s:row r="16157" hidden="1" ht="1" customHeight="1">
      <s:c r="A16157" s="120" t="inlineStr"/>
      <s:c r="B16157" s="121" t="n"/>
      <s:c r="C16157" s="121" t="n"/>
      <s:c r="D16157" s="121" t="n"/>
      <s:c r="E16157" s="122" t="n"/>
    </s:row>
    <s:row r="16158" hidden="1" ht="1" customHeight="1">
      <s:c r="A16158" s="120" t="inlineStr"/>
      <s:c r="B16158" s="121" t="n"/>
      <s:c r="C16158" s="121" t="n"/>
      <s:c r="D16158" s="121" t="n"/>
      <s:c r="E16158" s="122" t="n"/>
    </s:row>
    <s:row r="16159" hidden="1" ht="1" customHeight="1">
      <s:c r="A16159" s="120" t="inlineStr"/>
      <s:c r="B16159" s="121" t="n"/>
      <s:c r="C16159" s="121" t="n"/>
      <s:c r="D16159" s="121" t="n"/>
      <s:c r="E16159" s="122" t="n"/>
    </s:row>
    <s:row r="16160" hidden="1" ht="1" customHeight="1">
      <s:c r="A16160" s="120" t="inlineStr"/>
      <s:c r="B16160" s="121" t="n"/>
      <s:c r="C16160" s="121" t="n"/>
      <s:c r="D16160" s="121" t="n"/>
      <s:c r="E16160" s="122" t="n"/>
    </s:row>
    <s:row r="16161" hidden="1" ht="1" customHeight="1">
      <s:c r="A16161" s="120" t="inlineStr"/>
      <s:c r="B16161" s="121" t="n"/>
      <s:c r="C16161" s="121" t="n"/>
      <s:c r="D16161" s="121" t="n"/>
      <s:c r="E16161" s="122" t="n"/>
    </s:row>
    <s:row r="16162" hidden="1" ht="1" customHeight="1">
      <s:c r="A16162" s="120" t="inlineStr"/>
      <s:c r="B16162" s="121" t="n"/>
      <s:c r="C16162" s="121" t="n"/>
      <s:c r="D16162" s="121" t="n"/>
      <s:c r="E16162" s="122" t="n"/>
    </s:row>
    <s:row r="16163" hidden="1" ht="1" customHeight="1">
      <s:c r="A16163" s="120" t="inlineStr"/>
      <s:c r="B16163" s="121" t="n"/>
      <s:c r="C16163" s="121" t="n"/>
      <s:c r="D16163" s="121" t="n"/>
      <s:c r="E16163" s="122" t="n"/>
    </s:row>
    <s:row r="16164" hidden="1" ht="1" customHeight="1">
      <s:c r="A16164" s="120" t="inlineStr"/>
      <s:c r="B16164" s="121" t="n"/>
      <s:c r="C16164" s="121" t="n"/>
      <s:c r="D16164" s="121" t="n"/>
      <s:c r="E16164" s="122" t="n"/>
    </s:row>
    <s:row r="16165" hidden="1" ht="1" customHeight="1">
      <s:c r="A16165" s="120" t="inlineStr"/>
      <s:c r="B16165" s="121" t="n"/>
      <s:c r="C16165" s="121" t="n"/>
      <s:c r="D16165" s="121" t="n"/>
      <s:c r="E16165" s="122" t="n"/>
    </s:row>
    <s:row r="16166" hidden="1" ht="1" customHeight="1">
      <s:c r="A16166" s="120" t="inlineStr"/>
      <s:c r="B16166" s="121" t="n"/>
      <s:c r="C16166" s="121" t="n"/>
      <s:c r="D16166" s="121" t="n"/>
      <s:c r="E16166" s="122" t="n"/>
    </s:row>
    <s:row r="16167" hidden="1" ht="1" customHeight="1">
      <s:c r="A16167" s="120" t="inlineStr"/>
      <s:c r="B16167" s="121" t="n"/>
      <s:c r="C16167" s="121" t="n"/>
      <s:c r="D16167" s="121" t="n"/>
      <s:c r="E16167" s="122" t="n"/>
    </s:row>
    <s:row r="16168" hidden="1" ht="1" customHeight="1">
      <s:c r="A16168" s="120" t="inlineStr"/>
      <s:c r="B16168" s="121" t="n"/>
      <s:c r="C16168" s="121" t="n"/>
      <s:c r="D16168" s="121" t="n"/>
      <s:c r="E16168" s="122" t="n"/>
    </s:row>
    <s:row r="16169" hidden="1" ht="1" customHeight="1">
      <s:c r="A16169" s="120" t="inlineStr"/>
      <s:c r="B16169" s="121" t="n"/>
      <s:c r="C16169" s="121" t="n"/>
      <s:c r="D16169" s="121" t="n"/>
      <s:c r="E16169" s="122" t="n"/>
    </s:row>
    <s:row r="16170" hidden="1" ht="1" customHeight="1">
      <s:c r="A16170" s="120" t="inlineStr"/>
      <s:c r="B16170" s="121" t="n"/>
      <s:c r="C16170" s="121" t="n"/>
      <s:c r="D16170" s="121" t="n"/>
      <s:c r="E16170" s="122" t="n"/>
    </s:row>
    <s:row r="16171" hidden="1" ht="1" customHeight="1">
      <s:c r="A16171" s="120" t="inlineStr"/>
      <s:c r="B16171" s="121" t="n"/>
      <s:c r="C16171" s="121" t="n"/>
      <s:c r="D16171" s="121" t="n"/>
      <s:c r="E16171" s="122" t="n"/>
    </s:row>
    <s:row r="16172" hidden="1" ht="1" customHeight="1">
      <s:c r="A16172" s="120" t="inlineStr"/>
      <s:c r="B16172" s="121" t="n"/>
      <s:c r="C16172" s="121" t="n"/>
      <s:c r="D16172" s="121" t="n"/>
      <s:c r="E16172" s="122" t="n"/>
    </s:row>
    <s:row r="16173" hidden="1" ht="1" customHeight="1">
      <s:c r="A16173" s="83" t="inlineStr">
        <s:is>
          <s:t>PASS</s:t>
        </s:is>
      </s:c>
      <s:c r="B16173" s="83">
        <s:f>SUM(IF(EXACT('Kiểm thử'!E16073,"Đạt"),1,0),IF(EXACT('Kiểm thử'!E16075,"Đạt"),1,0))</s:f>
        <s:v/>
      </s:c>
      <s:c r="C16173" s="19" t="n"/>
      <s:c r="D16173" s="19" t="n"/>
      <s:c r="E16173" s="19" t="n"/>
    </s:row>
    <s:row r="16174" hidden="1" ht="1" customHeight="1">
      <s:c r="A16174" s="83" t="inlineStr">
        <s:is>
          <s:t>FAIL</s:t>
        </s:is>
      </s:c>
      <s:c r="B16174" s="83">
        <s:f>SUM(IF(EXACT('Kiểm thử'!E16073,"Không đạt"),1,0),IF(EXACT('Kiểm thử'!E16075,"Không đạt"),1,0))</s:f>
        <s:v/>
      </s:c>
      <s:c r="C16174" s="19" t="n"/>
      <s:c r="D16174" s="19" t="n"/>
      <s:c r="E16174" s="19" t="n"/>
    </s:row>
    <s:row r="16175" hidden="1" ht="1" customHeight="1">
      <s:c r="A16175" s="83" t="inlineStr">
        <s:is>
          <s:t>BLOCKED</s:t>
        </s:is>
      </s:c>
      <s:c r="B16175" s="83">
        <s:f>SUM(IF(EXACT('Kiểm thử'!E16073,"Bị chặn"),1,0),IF(EXACT('Kiểm thử'!E16075,"Bị chặn"),1,0))</s:f>
        <s:v/>
      </s:c>
      <s:c r="C16175" s="19" t="n"/>
      <s:c r="D16175" s="19" t="n"/>
      <s:c r="E16175" s="19" t="n"/>
    </s:row>
    <s:row r="16176" hidden="1" ht="1" customHeight="1">
      <s:c r="A16176" s="83" t="inlineStr">
        <s:is>
          <s:t>SKIPPED</s:t>
        </s:is>
      </s:c>
      <s:c r="B16176" s="83">
        <s:f>SUM(IF(EXACT('Kiểm thử'!E16073,"Không thực hiện"),1,0),IF(EXACT('Kiểm thử'!E16075,"Không thực hiện"),1,0))</s:f>
        <s:v/>
      </s:c>
      <s:c r="C16176" s="19" t="n"/>
      <s:c r="D16176" s="19" t="n"/>
      <s:c r="E16176" s="19" t="n"/>
    </s:row>
    <s:row r="16177" hidden="1" ht="1" customHeight="1">
      <s:c r="A16177" s="83" t="inlineStr">
        <s:is>
          <s:t>NOT RUN</s:t>
        </s:is>
      </s:c>
      <s:c r="B16177" s="83">
        <s:f>SUM(IF(EXACT('Kiểm thử'!E16073,"Chưa thực hiện"),1,0),IF(EXACT('Kiểm thử'!E16075,"Chưa thực hiện"),1,0))</s:f>
        <s:v/>
      </s:c>
      <s:c r="C16177" s="19" t="n"/>
      <s:c r="D16177" s="19" t="n"/>
      <s:c r="E16177" s="19" t="n"/>
    </s:row>
    <s:row r="16178" hidden="1" ht="6" customHeight="1">
      <s:c r="A16178" s="83" t="inlineStr"/>
      <s:c r="B16178" s="19" t="n"/>
      <s:c r="C16178" s="19" t="n"/>
      <s:c r="D16178" s="19" t="n"/>
      <s:c r="E16178" s="19" t="n"/>
    </s:row>
    <s:row r="16179" ht="28" customHeight="1">
      <s:c r="A16179" s="108" t="inlineStr">
        <s:is>
          <s:t>TC-RS-FUNC-025 — Trích xuất: file Excel khớp màn hình</s:t>
        </s:is>
      </s:c>
      <s:c r="B16179" s="111" t="n"/>
      <s:c r="C16179" s="111" t="n"/>
      <s:c r="D16179" s="111" t="n"/>
      <s:c r="E16179" s="111" t="n"/>
    </s:row>
    <s:row r="16180" ht="20" customHeight="1">
      <s:c r="A16180" s="112" t="inlineStr">
        <s:is>
          <s:t>Kết quả tình huống</s:t>
        </s:is>
      </s:c>
      <s:c r="B16180" s="113">
        <s:f>IF(SUM(IF(EXACT('Kiểm thử'!E16189,"Không đạt"),1,0),IF(EXACT('Kiểm thử'!E16191,"Không đạt"),1,0),IF(EXACT('Kiểm thử'!E16193,"Không đạt"),1,0),IF(EXACT('Kiểm thử'!E16195,"Không đạt"),1,0),IF(EXACT('Kiểm thử'!E16197,"Không đạt"),1,0))&gt;0,"Không đạt",IF(SUM(IF(EXACT('Kiểm thử'!E16189,"Đạt"),1,0),IF(EXACT('Kiểm thử'!E16191,"Đạt"),1,0),IF(EXACT('Kiểm thử'!E16193,"Đạt"),1,0),IF(EXACT('Kiểm thử'!E16195,"Đạt"),1,0),IF(EXACT('Kiểm thử'!E16197,"Đạt"),1,0))=5,"Đạt",IF(SUM(IF(EXACT('Kiểm thử'!E16189,"Không thực hiện"),1,0),IF(EXACT('Kiểm thử'!E16191,"Không thực hiện"),1,0),IF(EXACT('Kiểm thử'!E16193,"Không thực hiện"),1,0),IF(EXACT('Kiểm thử'!E16195,"Không thực hiện"),1,0),IF(EXACT('Kiểm thử'!E16197,"Không thực hiện"),1,0))=5,"Không thực hiện",IF(SUM(IF(EXACT('Kiểm thử'!E16189,"Bị chặn"),1,0),IF(EXACT('Kiểm thử'!E16191,"Bị chặn"),1,0),IF(EXACT('Kiểm thử'!E16193,"Bị chặn"),1,0),IF(EXACT('Kiểm thử'!E16195,"Bị chặn"),1,0),IF(EXACT('Kiểm thử'!E16197,"Bị chặn"),1,0))&gt;0,"Bị chặn",IF(SUM(IF(EXACT('Kiểm thử'!E16189,"Chưa thực hiện"),1,0),IF(EXACT('Kiểm thử'!E16191,"Chưa thực hiện"),1,0),IF(EXACT('Kiểm thử'!E16193,"Chưa thực hiện"),1,0),IF(EXACT('Kiểm thử'!E16195,"Chưa thực hiện"),1,0),IF(EXACT('Kiểm thử'!E16197,"Chưa thực hiện"),1,0))=5,"Chưa thực hiện","Đang thực hiện")))))</s:f>
        <s:v/>
      </s:c>
      <s:c r="C16180" s="114" t="n"/>
      <s:c r="D16180" s="114" t="n"/>
      <s:c r="E16180" s="114" t="n"/>
    </s:row>
    <s:row r="16181" ht="20" customHeight="1">
      <s:c r="A16181" s="112" t="inlineStr">
        <s:is>
          <s:t>Màn hình / chức năng</s:t>
        </s:is>
      </s:c>
      <s:c r="B16181" s="113" t="inlineStr">
        <s:is>
          <s:r>
            <s:rPr>
              <s:b val="1"/>
            </s:rPr>
            <s:t>Trích xuất thành tích（成績抽出）</s:t>
          </s:r>
        </s:is>
      </s:c>
      <s:c r="C16181" s="28" t="n"/>
      <s:c r="D16181" s="28" t="n"/>
      <s:c r="E16181" s="28" t="n"/>
    </s:row>
    <s:row r="16182" ht="34" customHeight="1">
      <s:c r="A16182" s="112" t="inlineStr">
        <s:is>
          <s:t>Cấu hình</s:t>
        </s:is>
      </s:c>
      <s:c r="B16182" s="113" t="inlineStr">
        <s:is>
          <s:t>• Như case “Trích xuất: chỉ ô đỏ được thêm ký hiệu/tô màu”;
• S05 có ô trống.</s:t>
        </s:is>
      </s:c>
      <s:c r="C16182" s="28" t="n"/>
      <s:c r="D16182" s="28" t="n"/>
      <s:c r="E16182" s="28" t="n"/>
    </s:row>
    <s:row r="16183" ht="34" customHeight="1">
      <s:c r="A16183" s="112" t="inlineStr">
        <s:is>
          <s:t>Dữ liệu test</s:t>
        </s:is>
      </s:c>
      <s:c r="B16183" s="113" t="inlineStr">
        <s:is>
          <s:t>• Cấu hình trích xuất: lọc, ký hiệu “*” phía trước, tô màu, cấu hình trích xuất chỉ ký hiệu (“※” trước, “!” sau), học sinh S05 (ô trống), học sinh S10 (học lớp G-B và G-C)</s:t>
        </s:is>
      </s:c>
      <s:c r="C16183" s="28" t="n"/>
      <s:c r="D16183" s="28" t="n"/>
      <s:c r="E16183" s="28" t="n"/>
    </s:row>
    <s:row r="16184" ht="20" customHeight="1">
      <s:c r="A16184" s="112" t="inlineStr">
        <s:is>
          <s:t>Bước 1</s:t>
        </s:is>
      </s:c>
      <s:c r="B16184" s="113" t="inlineStr">
        <s:is>
          <s:t>Dựng fixture/thiết lập của trường hợp, chạy trích xuất và chụp màn kết quả.</s:t>
        </s:is>
      </s:c>
      <s:c r="C16184" s="28" t="n"/>
      <s:c r="D16184" s="28" t="n"/>
      <s:c r="E16184" s="28" t="n"/>
    </s:row>
    <s:row r="16185" ht="20" customHeight="1">
      <s:c r="A16185" s="112" t="inlineStr">
        <s:is>
          <s:t>Bước 2</s:t>
        </s:is>
      </s:c>
      <s:c r="B16185" s="113" t="inlineStr">
        <s:is>
          <s:t>Xuất/mở Excel của chính lượt đó.</s:t>
        </s:is>
      </s:c>
      <s:c r="C16185" s="28" t="n"/>
      <s:c r="D16185" s="28" t="n"/>
      <s:c r="E16185" s="28" t="n"/>
    </s:row>
    <s:row r="16186" ht="34" customHeight="1">
      <s:c r="A16186" s="112" t="inlineStr">
        <s:is>
          <s:t>Bước 3</s:t>
        </s:is>
      </s:c>
      <s:c r="B16186" s="113" t="inlineStr">
        <s:is>
          <s:t>Đối chiếu học sinh, số liệu, ký hiệu, màu, ô trống và điểm ẩn; đọc dấu hiệu có phát sinh xét khi tải không.</s:t>
        </s:is>
      </s:c>
      <s:c r="C16186" s="28" t="n"/>
      <s:c r="D16186" s="28" t="n"/>
      <s:c r="E16186" s="28" t="n"/>
    </s:row>
    <s:row r="16187" ht="28" customHeight="1">
      <s:c r="A16187" s="115" t="inlineStr">
        <s:is>
          <s:t>Trường hợp</s:t>
        </s:is>
      </s:c>
      <s:c r="B16187" s="115" t="inlineStr">
        <s:is>
          <s:t>Dữ liệu / thao tác riêng</s:t>
        </s:is>
      </s:c>
      <s:c r="C16187" s="115" t="inlineStr">
        <s:is>
          <s:t>Kết quả mong đợi</s:t>
        </s:is>
      </s:c>
      <s:c r="D16187" s="115" t="inlineStr">
        <s:is>
          <s:t>Kết quả thực tế</s:t>
        </s:is>
      </s:c>
      <s:c r="E16187" s="115" t="inlineStr">
        <s:is>
          <s:t>Đánh giá</s:t>
        </s:is>
      </s:c>
    </s:row>
    <s:row r="16188" ht="3" customHeight="1">
      <s:c r="A16188" s="102" t="inlineStr"/>
      <s:c r="B16188" s="99" t="n"/>
      <s:c r="C16188" s="99" t="n"/>
      <s:c r="D16188" s="116" t="n"/>
      <s:c r="E16188" s="116" t="n"/>
    </s:row>
    <s:row r="16189" ht="76" customHeight="1">
      <s:c r="A16189" s="83" t="inlineStr">
        <s:is>
          <s:t>Xuất Excel có lọc (filter-on)</s:t>
        </s:is>
      </s:c>
      <s:c r="B16189" s="83" t="inlineStr">
        <s:is>
          <s:t>Chạy trích xuất lọc đỏ BẬT, chụp màn kết quả rồi tải/mở Excel cùng lượt.</s:t>
        </s:is>
      </s:c>
      <s:c r="C16189" s="83" t="inlineStr">
        <s:is>
          <s:r>
            <s:t xml:space="preserve">Lọc đỏ bật: danh sách Excel giống màn hình đã lọc; chỉ các ô </s:t>
          </s:r>
          <s:r>
            <s:rPr>
              <s:b val="1"/>
            </s:rPr>
            <s:t>Đỏ</s:t>
          </s:r>
          <s:r>
            <s:t xml:space="preserve"> có ký hiệu/màu. Excel khớp màn hình cùng lần về học sinh, điểm, ký hiệu, màu và ô trống; ô trống không thành 0. Tải Excel không kích hoạt xét.</s:t>
          </s:r>
        </s:is>
      </s:c>
      <s:c r="D16189" s="117" t="inlineStr"/>
      <s:c r="E16189" s="118" t="inlineStr">
        <s:is>
          <s:t>Chưa thực hiện</s:t>
        </s:is>
      </s:c>
    </s:row>
    <s:row r="16190" ht="3" customHeight="1">
      <s:c r="A16190" s="102" t="inlineStr"/>
      <s:c r="B16190" s="99" t="n"/>
      <s:c r="C16190" s="99" t="n"/>
      <s:c r="D16190" s="116" t="n"/>
      <s:c r="E16190" s="116" t="n"/>
    </s:row>
    <s:row r="16191" ht="76" customHeight="1">
      <s:c r="A16191" s="83" t="inlineStr">
        <s:is>
          <s:t>Xuất Excel không lọc (filter-off)</s:t>
        </s:is>
      </s:c>
      <s:c r="B16191" s="83" t="inlineStr">
        <s:is>
          <s:t>Cấu hình chỉ [※] trước/[!] sau, lọc đỏ TẮT; chụp màn rồi tải/mở Excel cùng lượt.</s:t>
        </s:is>
      </s:c>
      <s:c r="C16191" s="83" t="inlineStr">
        <s:is>
          <s:r>
            <s:t xml:space="preserve">Lọc đỏ tắt: đủ học sinh như màn hình, chỉ các ô </s:t>
          </s:r>
          <s:r>
            <s:rPr>
              <s:b val="1"/>
            </s:rPr>
            <s:t>Đỏ</s:t>
          </s:r>
          <s:r>
            <s:t xml:space="preserve"> có ký hiệu/màu. Excel khớp màn hình cùng lần về học sinh, điểm, ký hiệu, màu và ô trống; ô trống không thành 0. Tải Excel không kích hoạt xét.</s:t>
          </s:r>
        </s:is>
      </s:c>
      <s:c r="D16191" s="117" t="inlineStr"/>
      <s:c r="E16191" s="118" t="inlineStr">
        <s:is>
          <s:t>Chưa thực hiện</s:t>
        </s:is>
      </s:c>
    </s:row>
    <s:row r="16192" ht="3" customHeight="1">
      <s:c r="A16192" s="102" t="inlineStr"/>
      <s:c r="B16192" s="99" t="n"/>
      <s:c r="C16192" s="99" t="n"/>
      <s:c r="D16192" s="116" t="n"/>
      <s:c r="E16192" s="116" t="n"/>
    </s:row>
    <s:row r="16193" ht="76" customHeight="1">
      <s:c r="A16193" s="83" t="inlineStr">
        <s:is>
          <s:t>Excel không có học sinh khớp (empty)</s:t>
        </s:is>
      </s:c>
      <s:c r="B16193" s="83" t="inlineStr">
        <s:is>
          <s:t>Chọn phạm vi không có ô Đỏ; chụp màn 0kết quả rồi tải/mở Excel cùng lượt.</s:t>
        </s:is>
      </s:c>
      <s:c r="C16193" s="83" t="inlineStr">
        <s:is>
          <s:r>
            <s:t xml:space="preserve">Phạm vi không có ô </s:t>
          </s:r>
          <s:r>
            <s:rPr>
              <s:b val="1"/>
            </s:rPr>
            <s:t>Đỏ</s:t>
          </s:r>
          <s:r>
            <s:t>: Excel không có học sinh, giống màn hình. Excel khớp màn hình cùng lần về học sinh, điểm, ký hiệu, màu và ô trống; ô trống không thành 0. Tải Excel không kích hoạt xét.</s:t>
          </s:r>
        </s:is>
      </s:c>
      <s:c r="D16193" s="117" t="inlineStr"/>
      <s:c r="E16193" s="118" t="inlineStr">
        <s:is>
          <s:t>Chưa thực hiện</s:t>
        </s:is>
      </s:c>
    </s:row>
    <s:row r="16194" ht="3" customHeight="1">
      <s:c r="A16194" s="102" t="inlineStr"/>
      <s:c r="B16194" s="99" t="n"/>
      <s:c r="C16194" s="99" t="n"/>
      <s:c r="D16194" s="116" t="n"/>
      <s:c r="E16194" s="116" t="n"/>
    </s:row>
    <s:row r="16195" ht="90" customHeight="1">
      <s:c r="A16195" s="83" t="inlineStr">
        <s:is>
          <s:t>Excel khi kết quả cũ ngừng hiệu lực (stale)</s:t>
        </s:is>
      </s:c>
      <s:c r="B16195" s="83" t="inlineStr">
        <s:is>
          <s:t>Chuẩn bị ô trước Đỏ chuyển Chưa xét được như BR-010, kết quả cũ ngừng; chụp màn rồi tải/mở Excel cùng lượt.</s:t>
        </s:is>
      </s:c>
      <s:c r="C16195" s="83" t="inlineStr">
        <s:is>
          <s:t>Ô có kết quả cũ đã ngừng hiệu lực không còn ký hiệu/màu đỏ trong Excel hoặc màn hình. Excel khớp màn hình cùng lần về học sinh, điểm, ký hiệu, màu và ô trống; ô trống không thành 0. Tải Excel không kích hoạt xét.</s:t>
        </s:is>
      </s:c>
      <s:c r="D16195" s="117" t="inlineStr"/>
      <s:c r="E16195" s="118" t="inlineStr">
        <s:is>
          <s:t>Chưa thực hiện</s:t>
        </s:is>
      </s:c>
    </s:row>
    <s:row r="16196" ht="3" customHeight="1">
      <s:c r="A16196" s="102" t="inlineStr"/>
      <s:c r="B16196" s="99" t="n"/>
      <s:c r="C16196" s="99" t="n"/>
      <s:c r="D16196" s="116" t="n"/>
      <s:c r="E16196" s="116" t="n"/>
    </s:row>
    <s:row r="16197" ht="62" customHeight="1">
      <s:c r="A16197" s="83" t="inlineStr">
        <s:is>
          <s:t>Excel bảo toàn điểm ẩn (hidden)</s:t>
        </s:is>
      </s:c>
      <s:c r="B16197" s="83" t="inlineStr">
        <s:is>
          <s:t>Mục điểm bị ẩn theo thiết lập ẩn mục nhập, fixture ERR-014; chụp màn rồi tải/mở Excel cùng lượt.</s:t>
        </s:is>
      </s:c>
      <s:c r="C16197" s="83" t="inlineStr">
        <s:is>
          <s:t>Điểm bị ẩn không hiện lại trong Excel. Excel khớp màn hình cùng lần về học sinh, điểm, ký hiệu, màu và ô trống; ô trống không thành 0. Tải Excel không kích hoạt xét.</s:t>
        </s:is>
      </s:c>
      <s:c r="D16197" s="117" t="inlineStr"/>
      <s:c r="E16197" s="118" t="inlineStr">
        <s:is>
          <s:t>Chưa thực hiện</s:t>
        </s:is>
      </s:c>
    </s:row>
    <s:row r="16198" ht="20" customHeight="1">
      <s:c r="A16198" s="119" t="inlineStr">
        <s:is>
          <s:t>Ảnh minh chứng — Chưa có ảnh</s:t>
        </s:is>
      </s:c>
      <s:c r="B16198" s="19" t="n"/>
      <s:c r="C16198" s="19" t="n"/>
      <s:c r="D16198" s="19" t="n"/>
      <s:c r="E16198" s="19" t="n"/>
    </s:row>
    <s:row r="16199" hidden="1" ht="1" customHeight="1">
      <s:c r="A16199" s="120" t="inlineStr"/>
      <s:c r="B16199" s="121" t="n"/>
      <s:c r="C16199" s="121" t="n"/>
      <s:c r="D16199" s="121" t="n"/>
      <s:c r="E16199" s="122" t="n"/>
    </s:row>
    <s:row r="16200" hidden="1" ht="1" customHeight="1">
      <s:c r="A16200" s="120" t="inlineStr"/>
      <s:c r="B16200" s="121" t="n"/>
      <s:c r="C16200" s="121" t="n"/>
      <s:c r="D16200" s="121" t="n"/>
      <s:c r="E16200" s="122" t="n"/>
    </s:row>
    <s:row r="16201" hidden="1" ht="1" customHeight="1">
      <s:c r="A16201" s="120" t="inlineStr"/>
      <s:c r="B16201" s="121" t="n"/>
      <s:c r="C16201" s="121" t="n"/>
      <s:c r="D16201" s="121" t="n"/>
      <s:c r="E16201" s="122" t="n"/>
    </s:row>
    <s:row r="16202" hidden="1" ht="1" customHeight="1">
      <s:c r="A16202" s="120" t="inlineStr"/>
      <s:c r="B16202" s="121" t="n"/>
      <s:c r="C16202" s="121" t="n"/>
      <s:c r="D16202" s="121" t="n"/>
      <s:c r="E16202" s="122" t="n"/>
    </s:row>
    <s:row r="16203" hidden="1" ht="1" customHeight="1">
      <s:c r="A16203" s="120" t="inlineStr"/>
      <s:c r="B16203" s="121" t="n"/>
      <s:c r="C16203" s="121" t="n"/>
      <s:c r="D16203" s="121" t="n"/>
      <s:c r="E16203" s="122" t="n"/>
    </s:row>
    <s:row r="16204" hidden="1" ht="1" customHeight="1">
      <s:c r="A16204" s="120" t="inlineStr"/>
      <s:c r="B16204" s="121" t="n"/>
      <s:c r="C16204" s="121" t="n"/>
      <s:c r="D16204" s="121" t="n"/>
      <s:c r="E16204" s="122" t="n"/>
    </s:row>
    <s:row r="16205" hidden="1" ht="1" customHeight="1">
      <s:c r="A16205" s="120" t="inlineStr"/>
      <s:c r="B16205" s="121" t="n"/>
      <s:c r="C16205" s="121" t="n"/>
      <s:c r="D16205" s="121" t="n"/>
      <s:c r="E16205" s="122" t="n"/>
    </s:row>
    <s:row r="16206" hidden="1" ht="1" customHeight="1">
      <s:c r="A16206" s="120" t="inlineStr"/>
      <s:c r="B16206" s="121" t="n"/>
      <s:c r="C16206" s="121" t="n"/>
      <s:c r="D16206" s="121" t="n"/>
      <s:c r="E16206" s="122" t="n"/>
    </s:row>
    <s:row r="16207" hidden="1" ht="1" customHeight="1">
      <s:c r="A16207" s="120" t="inlineStr"/>
      <s:c r="B16207" s="121" t="n"/>
      <s:c r="C16207" s="121" t="n"/>
      <s:c r="D16207" s="121" t="n"/>
      <s:c r="E16207" s="122" t="n"/>
    </s:row>
    <s:row r="16208" hidden="1" ht="1" customHeight="1">
      <s:c r="A16208" s="120" t="inlineStr"/>
      <s:c r="B16208" s="121" t="n"/>
      <s:c r="C16208" s="121" t="n"/>
      <s:c r="D16208" s="121" t="n"/>
      <s:c r="E16208" s="122" t="n"/>
    </s:row>
    <s:row r="16209" hidden="1" ht="1" customHeight="1">
      <s:c r="A16209" s="120" t="inlineStr"/>
      <s:c r="B16209" s="121" t="n"/>
      <s:c r="C16209" s="121" t="n"/>
      <s:c r="D16209" s="121" t="n"/>
      <s:c r="E16209" s="122" t="n"/>
    </s:row>
    <s:row r="16210" hidden="1" ht="1" customHeight="1">
      <s:c r="A16210" s="120" t="inlineStr"/>
      <s:c r="B16210" s="121" t="n"/>
      <s:c r="C16210" s="121" t="n"/>
      <s:c r="D16210" s="121" t="n"/>
      <s:c r="E16210" s="122" t="n"/>
    </s:row>
    <s:row r="16211" hidden="1" ht="1" customHeight="1">
      <s:c r="A16211" s="120" t="inlineStr"/>
      <s:c r="B16211" s="121" t="n"/>
      <s:c r="C16211" s="121" t="n"/>
      <s:c r="D16211" s="121" t="n"/>
      <s:c r="E16211" s="122" t="n"/>
    </s:row>
    <s:row r="16212" hidden="1" ht="1" customHeight="1">
      <s:c r="A16212" s="120" t="inlineStr"/>
      <s:c r="B16212" s="121" t="n"/>
      <s:c r="C16212" s="121" t="n"/>
      <s:c r="D16212" s="121" t="n"/>
      <s:c r="E16212" s="122" t="n"/>
    </s:row>
    <s:row r="16213" hidden="1" ht="1" customHeight="1">
      <s:c r="A16213" s="120" t="inlineStr"/>
      <s:c r="B16213" s="121" t="n"/>
      <s:c r="C16213" s="121" t="n"/>
      <s:c r="D16213" s="121" t="n"/>
      <s:c r="E16213" s="122" t="n"/>
    </s:row>
    <s:row r="16214" hidden="1" ht="1" customHeight="1">
      <s:c r="A16214" s="120" t="inlineStr"/>
      <s:c r="B16214" s="121" t="n"/>
      <s:c r="C16214" s="121" t="n"/>
      <s:c r="D16214" s="121" t="n"/>
      <s:c r="E16214" s="122" t="n"/>
    </s:row>
    <s:row r="16215" hidden="1" ht="1" customHeight="1">
      <s:c r="A16215" s="120" t="inlineStr"/>
      <s:c r="B16215" s="121" t="n"/>
      <s:c r="C16215" s="121" t="n"/>
      <s:c r="D16215" s="121" t="n"/>
      <s:c r="E16215" s="122" t="n"/>
    </s:row>
    <s:row r="16216" hidden="1" ht="1" customHeight="1">
      <s:c r="A16216" s="120" t="inlineStr"/>
      <s:c r="B16216" s="121" t="n"/>
      <s:c r="C16216" s="121" t="n"/>
      <s:c r="D16216" s="121" t="n"/>
      <s:c r="E16216" s="122" t="n"/>
    </s:row>
    <s:row r="16217" hidden="1" ht="1" customHeight="1">
      <s:c r="A16217" s="120" t="inlineStr"/>
      <s:c r="B16217" s="121" t="n"/>
      <s:c r="C16217" s="121" t="n"/>
      <s:c r="D16217" s="121" t="n"/>
      <s:c r="E16217" s="122" t="n"/>
    </s:row>
    <s:row r="16218" hidden="1" ht="1" customHeight="1">
      <s:c r="A16218" s="120" t="inlineStr"/>
      <s:c r="B16218" s="121" t="n"/>
      <s:c r="C16218" s="121" t="n"/>
      <s:c r="D16218" s="121" t="n"/>
      <s:c r="E16218" s="122" t="n"/>
    </s:row>
    <s:row r="16219" hidden="1" ht="1" customHeight="1">
      <s:c r="A16219" s="120" t="inlineStr"/>
      <s:c r="B16219" s="121" t="n"/>
      <s:c r="C16219" s="121" t="n"/>
      <s:c r="D16219" s="121" t="n"/>
      <s:c r="E16219" s="122" t="n"/>
    </s:row>
    <s:row r="16220" hidden="1" ht="1" customHeight="1">
      <s:c r="A16220" s="120" t="inlineStr"/>
      <s:c r="B16220" s="121" t="n"/>
      <s:c r="C16220" s="121" t="n"/>
      <s:c r="D16220" s="121" t="n"/>
      <s:c r="E16220" s="122" t="n"/>
    </s:row>
    <s:row r="16221" hidden="1" ht="1" customHeight="1">
      <s:c r="A16221" s="120" t="inlineStr"/>
      <s:c r="B16221" s="121" t="n"/>
      <s:c r="C16221" s="121" t="n"/>
      <s:c r="D16221" s="121" t="n"/>
      <s:c r="E16221" s="122" t="n"/>
    </s:row>
    <s:row r="16222" hidden="1" ht="1" customHeight="1">
      <s:c r="A16222" s="120" t="inlineStr"/>
      <s:c r="B16222" s="121" t="n"/>
      <s:c r="C16222" s="121" t="n"/>
      <s:c r="D16222" s="121" t="n"/>
      <s:c r="E16222" s="122" t="n"/>
    </s:row>
    <s:row r="16223" hidden="1" ht="1" customHeight="1">
      <s:c r="A16223" s="120" t="inlineStr"/>
      <s:c r="B16223" s="121" t="n"/>
      <s:c r="C16223" s="121" t="n"/>
      <s:c r="D16223" s="121" t="n"/>
      <s:c r="E16223" s="122" t="n"/>
    </s:row>
    <s:row r="16224" hidden="1" ht="1" customHeight="1">
      <s:c r="A16224" s="120" t="inlineStr"/>
      <s:c r="B16224" s="121" t="n"/>
      <s:c r="C16224" s="121" t="n"/>
      <s:c r="D16224" s="121" t="n"/>
      <s:c r="E16224" s="122" t="n"/>
    </s:row>
    <s:row r="16225" hidden="1" ht="1" customHeight="1">
      <s:c r="A16225" s="120" t="inlineStr"/>
      <s:c r="B16225" s="121" t="n"/>
      <s:c r="C16225" s="121" t="n"/>
      <s:c r="D16225" s="121" t="n"/>
      <s:c r="E16225" s="122" t="n"/>
    </s:row>
    <s:row r="16226" hidden="1" ht="1" customHeight="1">
      <s:c r="A16226" s="120" t="inlineStr"/>
      <s:c r="B16226" s="121" t="n"/>
      <s:c r="C16226" s="121" t="n"/>
      <s:c r="D16226" s="121" t="n"/>
      <s:c r="E16226" s="122" t="n"/>
    </s:row>
    <s:row r="16227" hidden="1" ht="1" customHeight="1">
      <s:c r="A16227" s="120" t="inlineStr"/>
      <s:c r="B16227" s="121" t="n"/>
      <s:c r="C16227" s="121" t="n"/>
      <s:c r="D16227" s="121" t="n"/>
      <s:c r="E16227" s="122" t="n"/>
    </s:row>
    <s:row r="16228" hidden="1" ht="1" customHeight="1">
      <s:c r="A16228" s="120" t="inlineStr"/>
      <s:c r="B16228" s="121" t="n"/>
      <s:c r="C16228" s="121" t="n"/>
      <s:c r="D16228" s="121" t="n"/>
      <s:c r="E16228" s="122" t="n"/>
    </s:row>
    <s:row r="16229" hidden="1" ht="1" customHeight="1">
      <s:c r="A16229" s="120" t="inlineStr"/>
      <s:c r="B16229" s="121" t="n"/>
      <s:c r="C16229" s="121" t="n"/>
      <s:c r="D16229" s="121" t="n"/>
      <s:c r="E16229" s="122" t="n"/>
    </s:row>
    <s:row r="16230" hidden="1" ht="1" customHeight="1">
      <s:c r="A16230" s="120" t="inlineStr"/>
      <s:c r="B16230" s="121" t="n"/>
      <s:c r="C16230" s="121" t="n"/>
      <s:c r="D16230" s="121" t="n"/>
      <s:c r="E16230" s="122" t="n"/>
    </s:row>
    <s:row r="16231" hidden="1" ht="1" customHeight="1">
      <s:c r="A16231" s="120" t="inlineStr"/>
      <s:c r="B16231" s="121" t="n"/>
      <s:c r="C16231" s="121" t="n"/>
      <s:c r="D16231" s="121" t="n"/>
      <s:c r="E16231" s="122" t="n"/>
    </s:row>
    <s:row r="16232" hidden="1" ht="1" customHeight="1">
      <s:c r="A16232" s="120" t="inlineStr"/>
      <s:c r="B16232" s="121" t="n"/>
      <s:c r="C16232" s="121" t="n"/>
      <s:c r="D16232" s="121" t="n"/>
      <s:c r="E16232" s="122" t="n"/>
    </s:row>
    <s:row r="16233" hidden="1" ht="1" customHeight="1">
      <s:c r="A16233" s="120" t="inlineStr"/>
      <s:c r="B16233" s="121" t="n"/>
      <s:c r="C16233" s="121" t="n"/>
      <s:c r="D16233" s="121" t="n"/>
      <s:c r="E16233" s="122" t="n"/>
    </s:row>
    <s:row r="16234" hidden="1" ht="1" customHeight="1">
      <s:c r="A16234" s="120" t="inlineStr"/>
      <s:c r="B16234" s="121" t="n"/>
      <s:c r="C16234" s="121" t="n"/>
      <s:c r="D16234" s="121" t="n"/>
      <s:c r="E16234" s="122" t="n"/>
    </s:row>
    <s:row r="16235" hidden="1" ht="1" customHeight="1">
      <s:c r="A16235" s="120" t="inlineStr"/>
      <s:c r="B16235" s="121" t="n"/>
      <s:c r="C16235" s="121" t="n"/>
      <s:c r="D16235" s="121" t="n"/>
      <s:c r="E16235" s="122" t="n"/>
    </s:row>
    <s:row r="16236" hidden="1" ht="1" customHeight="1">
      <s:c r="A16236" s="120" t="inlineStr"/>
      <s:c r="B16236" s="121" t="n"/>
      <s:c r="C16236" s="121" t="n"/>
      <s:c r="D16236" s="121" t="n"/>
      <s:c r="E16236" s="122" t="n"/>
    </s:row>
    <s:row r="16237" hidden="1" ht="1" customHeight="1">
      <s:c r="A16237" s="120" t="inlineStr"/>
      <s:c r="B16237" s="121" t="n"/>
      <s:c r="C16237" s="121" t="n"/>
      <s:c r="D16237" s="121" t="n"/>
      <s:c r="E16237" s="122" t="n"/>
    </s:row>
    <s:row r="16238" hidden="1" ht="1" customHeight="1">
      <s:c r="A16238" s="120" t="inlineStr"/>
      <s:c r="B16238" s="121" t="n"/>
      <s:c r="C16238" s="121" t="n"/>
      <s:c r="D16238" s="121" t="n"/>
      <s:c r="E16238" s="122" t="n"/>
    </s:row>
    <s:row r="16239" hidden="1" ht="1" customHeight="1">
      <s:c r="A16239" s="120" t="inlineStr"/>
      <s:c r="B16239" s="121" t="n"/>
      <s:c r="C16239" s="121" t="n"/>
      <s:c r="D16239" s="121" t="n"/>
      <s:c r="E16239" s="122" t="n"/>
    </s:row>
    <s:row r="16240" hidden="1" ht="1" customHeight="1">
      <s:c r="A16240" s="120" t="inlineStr"/>
      <s:c r="B16240" s="121" t="n"/>
      <s:c r="C16240" s="121" t="n"/>
      <s:c r="D16240" s="121" t="n"/>
      <s:c r="E16240" s="122" t="n"/>
    </s:row>
    <s:row r="16241" hidden="1" ht="1" customHeight="1">
      <s:c r="A16241" s="120" t="inlineStr"/>
      <s:c r="B16241" s="121" t="n"/>
      <s:c r="C16241" s="121" t="n"/>
      <s:c r="D16241" s="121" t="n"/>
      <s:c r="E16241" s="122" t="n"/>
    </s:row>
    <s:row r="16242" hidden="1" ht="1" customHeight="1">
      <s:c r="A16242" s="120" t="inlineStr"/>
      <s:c r="B16242" s="121" t="n"/>
      <s:c r="C16242" s="121" t="n"/>
      <s:c r="D16242" s="121" t="n"/>
      <s:c r="E16242" s="122" t="n"/>
    </s:row>
    <s:row r="16243" hidden="1" ht="1" customHeight="1">
      <s:c r="A16243" s="120" t="inlineStr"/>
      <s:c r="B16243" s="121" t="n"/>
      <s:c r="C16243" s="121" t="n"/>
      <s:c r="D16243" s="121" t="n"/>
      <s:c r="E16243" s="122" t="n"/>
    </s:row>
    <s:row r="16244" hidden="1" ht="1" customHeight="1">
      <s:c r="A16244" s="120" t="inlineStr"/>
      <s:c r="B16244" s="121" t="n"/>
      <s:c r="C16244" s="121" t="n"/>
      <s:c r="D16244" s="121" t="n"/>
      <s:c r="E16244" s="122" t="n"/>
    </s:row>
    <s:row r="16245" hidden="1" ht="1" customHeight="1">
      <s:c r="A16245" s="120" t="inlineStr"/>
      <s:c r="B16245" s="121" t="n"/>
      <s:c r="C16245" s="121" t="n"/>
      <s:c r="D16245" s="121" t="n"/>
      <s:c r="E16245" s="122" t="n"/>
    </s:row>
    <s:row r="16246" hidden="1" ht="1" customHeight="1">
      <s:c r="A16246" s="120" t="inlineStr"/>
      <s:c r="B16246" s="121" t="n"/>
      <s:c r="C16246" s="121" t="n"/>
      <s:c r="D16246" s="121" t="n"/>
      <s:c r="E16246" s="122" t="n"/>
    </s:row>
    <s:row r="16247" hidden="1" ht="1" customHeight="1">
      <s:c r="A16247" s="120" t="inlineStr"/>
      <s:c r="B16247" s="121" t="n"/>
      <s:c r="C16247" s="121" t="n"/>
      <s:c r="D16247" s="121" t="n"/>
      <s:c r="E16247" s="122" t="n"/>
    </s:row>
    <s:row r="16248" hidden="1" ht="1" customHeight="1">
      <s:c r="A16248" s="120" t="inlineStr"/>
      <s:c r="B16248" s="121" t="n"/>
      <s:c r="C16248" s="121" t="n"/>
      <s:c r="D16248" s="121" t="n"/>
      <s:c r="E16248" s="122" t="n"/>
    </s:row>
    <s:row r="16249" hidden="1" ht="1" customHeight="1">
      <s:c r="A16249" s="120" t="inlineStr"/>
      <s:c r="B16249" s="121" t="n"/>
      <s:c r="C16249" s="121" t="n"/>
      <s:c r="D16249" s="121" t="n"/>
      <s:c r="E16249" s="122" t="n"/>
    </s:row>
    <s:row r="16250" hidden="1" ht="1" customHeight="1">
      <s:c r="A16250" s="120" t="inlineStr"/>
      <s:c r="B16250" s="121" t="n"/>
      <s:c r="C16250" s="121" t="n"/>
      <s:c r="D16250" s="121" t="n"/>
      <s:c r="E16250" s="122" t="n"/>
    </s:row>
    <s:row r="16251" hidden="1" ht="1" customHeight="1">
      <s:c r="A16251" s="120" t="inlineStr"/>
      <s:c r="B16251" s="121" t="n"/>
      <s:c r="C16251" s="121" t="n"/>
      <s:c r="D16251" s="121" t="n"/>
      <s:c r="E16251" s="122" t="n"/>
    </s:row>
    <s:row r="16252" hidden="1" ht="1" customHeight="1">
      <s:c r="A16252" s="120" t="inlineStr"/>
      <s:c r="B16252" s="121" t="n"/>
      <s:c r="C16252" s="121" t="n"/>
      <s:c r="D16252" s="121" t="n"/>
      <s:c r="E16252" s="122" t="n"/>
    </s:row>
    <s:row r="16253" hidden="1" ht="1" customHeight="1">
      <s:c r="A16253" s="120" t="inlineStr"/>
      <s:c r="B16253" s="121" t="n"/>
      <s:c r="C16253" s="121" t="n"/>
      <s:c r="D16253" s="121" t="n"/>
      <s:c r="E16253" s="122" t="n"/>
    </s:row>
    <s:row r="16254" hidden="1" ht="1" customHeight="1">
      <s:c r="A16254" s="120" t="inlineStr"/>
      <s:c r="B16254" s="121" t="n"/>
      <s:c r="C16254" s="121" t="n"/>
      <s:c r="D16254" s="121" t="n"/>
      <s:c r="E16254" s="122" t="n"/>
    </s:row>
    <s:row r="16255" hidden="1" ht="1" customHeight="1">
      <s:c r="A16255" s="120" t="inlineStr"/>
      <s:c r="B16255" s="121" t="n"/>
      <s:c r="C16255" s="121" t="n"/>
      <s:c r="D16255" s="121" t="n"/>
      <s:c r="E16255" s="122" t="n"/>
    </s:row>
    <s:row r="16256" hidden="1" ht="1" customHeight="1">
      <s:c r="A16256" s="120" t="inlineStr"/>
      <s:c r="B16256" s="121" t="n"/>
      <s:c r="C16256" s="121" t="n"/>
      <s:c r="D16256" s="121" t="n"/>
      <s:c r="E16256" s="122" t="n"/>
    </s:row>
    <s:row r="16257" hidden="1" ht="1" customHeight="1">
      <s:c r="A16257" s="120" t="inlineStr"/>
      <s:c r="B16257" s="121" t="n"/>
      <s:c r="C16257" s="121" t="n"/>
      <s:c r="D16257" s="121" t="n"/>
      <s:c r="E16257" s="122" t="n"/>
    </s:row>
    <s:row r="16258" hidden="1" ht="1" customHeight="1">
      <s:c r="A16258" s="120" t="inlineStr"/>
      <s:c r="B16258" s="121" t="n"/>
      <s:c r="C16258" s="121" t="n"/>
      <s:c r="D16258" s="121" t="n"/>
      <s:c r="E16258" s="122" t="n"/>
    </s:row>
    <s:row r="16259" hidden="1" ht="1" customHeight="1">
      <s:c r="A16259" s="120" t="inlineStr"/>
      <s:c r="B16259" s="121" t="n"/>
      <s:c r="C16259" s="121" t="n"/>
      <s:c r="D16259" s="121" t="n"/>
      <s:c r="E16259" s="122" t="n"/>
    </s:row>
    <s:row r="16260" hidden="1" ht="1" customHeight="1">
      <s:c r="A16260" s="120" t="inlineStr"/>
      <s:c r="B16260" s="121" t="n"/>
      <s:c r="C16260" s="121" t="n"/>
      <s:c r="D16260" s="121" t="n"/>
      <s:c r="E16260" s="122" t="n"/>
    </s:row>
    <s:row r="16261" hidden="1" ht="1" customHeight="1">
      <s:c r="A16261" s="120" t="inlineStr"/>
      <s:c r="B16261" s="121" t="n"/>
      <s:c r="C16261" s="121" t="n"/>
      <s:c r="D16261" s="121" t="n"/>
      <s:c r="E16261" s="122" t="n"/>
    </s:row>
    <s:row r="16262" hidden="1" ht="1" customHeight="1">
      <s:c r="A16262" s="120" t="inlineStr"/>
      <s:c r="B16262" s="121" t="n"/>
      <s:c r="C16262" s="121" t="n"/>
      <s:c r="D16262" s="121" t="n"/>
      <s:c r="E16262" s="122" t="n"/>
    </s:row>
    <s:row r="16263" hidden="1" ht="1" customHeight="1">
      <s:c r="A16263" s="120" t="inlineStr"/>
      <s:c r="B16263" s="121" t="n"/>
      <s:c r="C16263" s="121" t="n"/>
      <s:c r="D16263" s="121" t="n"/>
      <s:c r="E16263" s="122" t="n"/>
    </s:row>
    <s:row r="16264" hidden="1" ht="1" customHeight="1">
      <s:c r="A16264" s="120" t="inlineStr"/>
      <s:c r="B16264" s="121" t="n"/>
      <s:c r="C16264" s="121" t="n"/>
      <s:c r="D16264" s="121" t="n"/>
      <s:c r="E16264" s="122" t="n"/>
    </s:row>
    <s:row r="16265" hidden="1" ht="1" customHeight="1">
      <s:c r="A16265" s="120" t="inlineStr"/>
      <s:c r="B16265" s="121" t="n"/>
      <s:c r="C16265" s="121" t="n"/>
      <s:c r="D16265" s="121" t="n"/>
      <s:c r="E16265" s="122" t="n"/>
    </s:row>
    <s:row r="16266" hidden="1" ht="1" customHeight="1">
      <s:c r="A16266" s="120" t="inlineStr"/>
      <s:c r="B16266" s="121" t="n"/>
      <s:c r="C16266" s="121" t="n"/>
      <s:c r="D16266" s="121" t="n"/>
      <s:c r="E16266" s="122" t="n"/>
    </s:row>
    <s:row r="16267" hidden="1" ht="1" customHeight="1">
      <s:c r="A16267" s="120" t="inlineStr"/>
      <s:c r="B16267" s="121" t="n"/>
      <s:c r="C16267" s="121" t="n"/>
      <s:c r="D16267" s="121" t="n"/>
      <s:c r="E16267" s="122" t="n"/>
    </s:row>
    <s:row r="16268" hidden="1" ht="1" customHeight="1">
      <s:c r="A16268" s="120" t="inlineStr"/>
      <s:c r="B16268" s="121" t="n"/>
      <s:c r="C16268" s="121" t="n"/>
      <s:c r="D16268" s="121" t="n"/>
      <s:c r="E16268" s="122" t="n"/>
    </s:row>
    <s:row r="16269" hidden="1" ht="1" customHeight="1">
      <s:c r="A16269" s="120" t="inlineStr"/>
      <s:c r="B16269" s="121" t="n"/>
      <s:c r="C16269" s="121" t="n"/>
      <s:c r="D16269" s="121" t="n"/>
      <s:c r="E16269" s="122" t="n"/>
    </s:row>
    <s:row r="16270" hidden="1" ht="1" customHeight="1">
      <s:c r="A16270" s="120" t="inlineStr"/>
      <s:c r="B16270" s="121" t="n"/>
      <s:c r="C16270" s="121" t="n"/>
      <s:c r="D16270" s="121" t="n"/>
      <s:c r="E16270" s="122" t="n"/>
    </s:row>
    <s:row r="16271" hidden="1" ht="1" customHeight="1">
      <s:c r="A16271" s="120" t="inlineStr"/>
      <s:c r="B16271" s="121" t="n"/>
      <s:c r="C16271" s="121" t="n"/>
      <s:c r="D16271" s="121" t="n"/>
      <s:c r="E16271" s="122" t="n"/>
    </s:row>
    <s:row r="16272" hidden="1" ht="1" customHeight="1">
      <s:c r="A16272" s="120" t="inlineStr"/>
      <s:c r="B16272" s="121" t="n"/>
      <s:c r="C16272" s="121" t="n"/>
      <s:c r="D16272" s="121" t="n"/>
      <s:c r="E16272" s="122" t="n"/>
    </s:row>
    <s:row r="16273" hidden="1" ht="1" customHeight="1">
      <s:c r="A16273" s="120" t="inlineStr"/>
      <s:c r="B16273" s="121" t="n"/>
      <s:c r="C16273" s="121" t="n"/>
      <s:c r="D16273" s="121" t="n"/>
      <s:c r="E16273" s="122" t="n"/>
    </s:row>
    <s:row r="16274" hidden="1" ht="1" customHeight="1">
      <s:c r="A16274" s="120" t="inlineStr"/>
      <s:c r="B16274" s="121" t="n"/>
      <s:c r="C16274" s="121" t="n"/>
      <s:c r="D16274" s="121" t="n"/>
      <s:c r="E16274" s="122" t="n"/>
    </s:row>
    <s:row r="16275" hidden="1" ht="1" customHeight="1">
      <s:c r="A16275" s="120" t="inlineStr"/>
      <s:c r="B16275" s="121" t="n"/>
      <s:c r="C16275" s="121" t="n"/>
      <s:c r="D16275" s="121" t="n"/>
      <s:c r="E16275" s="122" t="n"/>
    </s:row>
    <s:row r="16276" hidden="1" ht="1" customHeight="1">
      <s:c r="A16276" s="120" t="inlineStr"/>
      <s:c r="B16276" s="121" t="n"/>
      <s:c r="C16276" s="121" t="n"/>
      <s:c r="D16276" s="121" t="n"/>
      <s:c r="E16276" s="122" t="n"/>
    </s:row>
    <s:row r="16277" hidden="1" ht="1" customHeight="1">
      <s:c r="A16277" s="120" t="inlineStr"/>
      <s:c r="B16277" s="121" t="n"/>
      <s:c r="C16277" s="121" t="n"/>
      <s:c r="D16277" s="121" t="n"/>
      <s:c r="E16277" s="122" t="n"/>
    </s:row>
    <s:row r="16278" hidden="1" ht="1" customHeight="1">
      <s:c r="A16278" s="120" t="inlineStr"/>
      <s:c r="B16278" s="121" t="n"/>
      <s:c r="C16278" s="121" t="n"/>
      <s:c r="D16278" s="121" t="n"/>
      <s:c r="E16278" s="122" t="n"/>
    </s:row>
    <s:row r="16279" hidden="1" ht="1" customHeight="1">
      <s:c r="A16279" s="120" t="inlineStr"/>
      <s:c r="B16279" s="121" t="n"/>
      <s:c r="C16279" s="121" t="n"/>
      <s:c r="D16279" s="121" t="n"/>
      <s:c r="E16279" s="122" t="n"/>
    </s:row>
    <s:row r="16280" hidden="1" ht="1" customHeight="1">
      <s:c r="A16280" s="120" t="inlineStr"/>
      <s:c r="B16280" s="121" t="n"/>
      <s:c r="C16280" s="121" t="n"/>
      <s:c r="D16280" s="121" t="n"/>
      <s:c r="E16280" s="122" t="n"/>
    </s:row>
    <s:row r="16281" hidden="1" ht="1" customHeight="1">
      <s:c r="A16281" s="120" t="inlineStr"/>
      <s:c r="B16281" s="121" t="n"/>
      <s:c r="C16281" s="121" t="n"/>
      <s:c r="D16281" s="121" t="n"/>
      <s:c r="E16281" s="122" t="n"/>
    </s:row>
    <s:row r="16282" hidden="1" ht="1" customHeight="1">
      <s:c r="A16282" s="120" t="inlineStr"/>
      <s:c r="B16282" s="121" t="n"/>
      <s:c r="C16282" s="121" t="n"/>
      <s:c r="D16282" s="121" t="n"/>
      <s:c r="E16282" s="122" t="n"/>
    </s:row>
    <s:row r="16283" hidden="1" ht="1" customHeight="1">
      <s:c r="A16283" s="120" t="inlineStr"/>
      <s:c r="B16283" s="121" t="n"/>
      <s:c r="C16283" s="121" t="n"/>
      <s:c r="D16283" s="121" t="n"/>
      <s:c r="E16283" s="122" t="n"/>
    </s:row>
    <s:row r="16284" hidden="1" ht="1" customHeight="1">
      <s:c r="A16284" s="120" t="inlineStr"/>
      <s:c r="B16284" s="121" t="n"/>
      <s:c r="C16284" s="121" t="n"/>
      <s:c r="D16284" s="121" t="n"/>
      <s:c r="E16284" s="122" t="n"/>
    </s:row>
    <s:row r="16285" hidden="1" ht="1" customHeight="1">
      <s:c r="A16285" s="120" t="inlineStr"/>
      <s:c r="B16285" s="121" t="n"/>
      <s:c r="C16285" s="121" t="n"/>
      <s:c r="D16285" s="121" t="n"/>
      <s:c r="E16285" s="122" t="n"/>
    </s:row>
    <s:row r="16286" hidden="1" ht="1" customHeight="1">
      <s:c r="A16286" s="120" t="inlineStr"/>
      <s:c r="B16286" s="121" t="n"/>
      <s:c r="C16286" s="121" t="n"/>
      <s:c r="D16286" s="121" t="n"/>
      <s:c r="E16286" s="122" t="n"/>
    </s:row>
    <s:row r="16287" hidden="1" ht="1" customHeight="1">
      <s:c r="A16287" s="120" t="inlineStr"/>
      <s:c r="B16287" s="121" t="n"/>
      <s:c r="C16287" s="121" t="n"/>
      <s:c r="D16287" s="121" t="n"/>
      <s:c r="E16287" s="122" t="n"/>
    </s:row>
    <s:row r="16288" hidden="1" ht="1" customHeight="1">
      <s:c r="A16288" s="120" t="inlineStr"/>
      <s:c r="B16288" s="121" t="n"/>
      <s:c r="C16288" s="121" t="n"/>
      <s:c r="D16288" s="121" t="n"/>
      <s:c r="E16288" s="122" t="n"/>
    </s:row>
    <s:row r="16289" hidden="1" ht="1" customHeight="1">
      <s:c r="A16289" s="120" t="inlineStr"/>
      <s:c r="B16289" s="121" t="n"/>
      <s:c r="C16289" s="121" t="n"/>
      <s:c r="D16289" s="121" t="n"/>
      <s:c r="E16289" s="122" t="n"/>
    </s:row>
    <s:row r="16290" hidden="1" ht="1" customHeight="1">
      <s:c r="A16290" s="120" t="inlineStr"/>
      <s:c r="B16290" s="121" t="n"/>
      <s:c r="C16290" s="121" t="n"/>
      <s:c r="D16290" s="121" t="n"/>
      <s:c r="E16290" s="122" t="n"/>
    </s:row>
    <s:row r="16291" hidden="1" ht="1" customHeight="1">
      <s:c r="A16291" s="120" t="inlineStr"/>
      <s:c r="B16291" s="121" t="n"/>
      <s:c r="C16291" s="121" t="n"/>
      <s:c r="D16291" s="121" t="n"/>
      <s:c r="E16291" s="122" t="n"/>
    </s:row>
    <s:row r="16292" hidden="1" ht="1" customHeight="1">
      <s:c r="A16292" s="120" t="inlineStr"/>
      <s:c r="B16292" s="121" t="n"/>
      <s:c r="C16292" s="121" t="n"/>
      <s:c r="D16292" s="121" t="n"/>
      <s:c r="E16292" s="122" t="n"/>
    </s:row>
    <s:row r="16293" hidden="1" ht="1" customHeight="1">
      <s:c r="A16293" s="120" t="inlineStr"/>
      <s:c r="B16293" s="121" t="n"/>
      <s:c r="C16293" s="121" t="n"/>
      <s:c r="D16293" s="121" t="n"/>
      <s:c r="E16293" s="122" t="n"/>
    </s:row>
    <s:row r="16294" hidden="1" ht="1" customHeight="1">
      <s:c r="A16294" s="120" t="inlineStr"/>
      <s:c r="B16294" s="121" t="n"/>
      <s:c r="C16294" s="121" t="n"/>
      <s:c r="D16294" s="121" t="n"/>
      <s:c r="E16294" s="122" t="n"/>
    </s:row>
    <s:row r="16295" hidden="1" ht="1" customHeight="1">
      <s:c r="A16295" s="120" t="inlineStr"/>
      <s:c r="B16295" s="121" t="n"/>
      <s:c r="C16295" s="121" t="n"/>
      <s:c r="D16295" s="121" t="n"/>
      <s:c r="E16295" s="122" t="n"/>
    </s:row>
    <s:row r="16296" hidden="1" ht="1" customHeight="1">
      <s:c r="A16296" s="120" t="inlineStr"/>
      <s:c r="B16296" s="121" t="n"/>
      <s:c r="C16296" s="121" t="n"/>
      <s:c r="D16296" s="121" t="n"/>
      <s:c r="E16296" s="122" t="n"/>
    </s:row>
    <s:row r="16297" hidden="1" ht="1" customHeight="1">
      <s:c r="A16297" s="120" t="inlineStr"/>
      <s:c r="B16297" s="121" t="n"/>
      <s:c r="C16297" s="121" t="n"/>
      <s:c r="D16297" s="121" t="n"/>
      <s:c r="E16297" s="122" t="n"/>
    </s:row>
    <s:row r="16298" hidden="1" ht="1" customHeight="1">
      <s:c r="A16298" s="120" t="inlineStr"/>
      <s:c r="B16298" s="121" t="n"/>
      <s:c r="C16298" s="121" t="n"/>
      <s:c r="D16298" s="121" t="n"/>
      <s:c r="E16298" s="122" t="n"/>
    </s:row>
    <s:row r="16299" hidden="1" ht="1" customHeight="1">
      <s:c r="A16299" s="120" t="inlineStr"/>
      <s:c r="B16299" s="121" t="n"/>
      <s:c r="C16299" s="121" t="n"/>
      <s:c r="D16299" s="121" t="n"/>
      <s:c r="E16299" s="122" t="n"/>
    </s:row>
    <s:row r="16300" hidden="1" ht="1" customHeight="1">
      <s:c r="A16300" s="120" t="inlineStr"/>
      <s:c r="B16300" s="121" t="n"/>
      <s:c r="C16300" s="121" t="n"/>
      <s:c r="D16300" s="121" t="n"/>
      <s:c r="E16300" s="122" t="n"/>
    </s:row>
    <s:row r="16301" hidden="1" ht="1" customHeight="1">
      <s:c r="A16301" s="120" t="inlineStr"/>
      <s:c r="B16301" s="121" t="n"/>
      <s:c r="C16301" s="121" t="n"/>
      <s:c r="D16301" s="121" t="n"/>
      <s:c r="E16301" s="122" t="n"/>
    </s:row>
    <s:row r="16302" hidden="1" ht="1" customHeight="1">
      <s:c r="A16302" s="120" t="inlineStr"/>
      <s:c r="B16302" s="121" t="n"/>
      <s:c r="C16302" s="121" t="n"/>
      <s:c r="D16302" s="121" t="n"/>
      <s:c r="E16302" s="122" t="n"/>
    </s:row>
    <s:row r="16303" hidden="1" ht="1" customHeight="1">
      <s:c r="A16303" s="120" t="inlineStr"/>
      <s:c r="B16303" s="121" t="n"/>
      <s:c r="C16303" s="121" t="n"/>
      <s:c r="D16303" s="121" t="n"/>
      <s:c r="E16303" s="122" t="n"/>
    </s:row>
    <s:row r="16304" hidden="1" ht="1" customHeight="1">
      <s:c r="A16304" s="120" t="inlineStr"/>
      <s:c r="B16304" s="121" t="n"/>
      <s:c r="C16304" s="121" t="n"/>
      <s:c r="D16304" s="121" t="n"/>
      <s:c r="E16304" s="122" t="n"/>
    </s:row>
    <s:row r="16305" hidden="1" ht="1" customHeight="1">
      <s:c r="A16305" s="120" t="inlineStr"/>
      <s:c r="B16305" s="121" t="n"/>
      <s:c r="C16305" s="121" t="n"/>
      <s:c r="D16305" s="121" t="n"/>
      <s:c r="E16305" s="122" t="n"/>
    </s:row>
    <s:row r="16306" hidden="1" ht="1" customHeight="1">
      <s:c r="A16306" s="120" t="inlineStr"/>
      <s:c r="B16306" s="121" t="n"/>
      <s:c r="C16306" s="121" t="n"/>
      <s:c r="D16306" s="121" t="n"/>
      <s:c r="E16306" s="122" t="n"/>
    </s:row>
    <s:row r="16307" hidden="1" ht="1" customHeight="1">
      <s:c r="A16307" s="120" t="inlineStr"/>
      <s:c r="B16307" s="121" t="n"/>
      <s:c r="C16307" s="121" t="n"/>
      <s:c r="D16307" s="121" t="n"/>
      <s:c r="E16307" s="122" t="n"/>
    </s:row>
    <s:row r="16308" hidden="1" ht="1" customHeight="1">
      <s:c r="A16308" s="120" t="inlineStr"/>
      <s:c r="B16308" s="121" t="n"/>
      <s:c r="C16308" s="121" t="n"/>
      <s:c r="D16308" s="121" t="n"/>
      <s:c r="E16308" s="122" t="n"/>
    </s:row>
    <s:row r="16309" hidden="1" ht="1" customHeight="1">
      <s:c r="A16309" s="120" t="inlineStr"/>
      <s:c r="B16309" s="121" t="n"/>
      <s:c r="C16309" s="121" t="n"/>
      <s:c r="D16309" s="121" t="n"/>
      <s:c r="E16309" s="122" t="n"/>
    </s:row>
    <s:row r="16310" hidden="1" ht="1" customHeight="1">
      <s:c r="A16310" s="120" t="inlineStr"/>
      <s:c r="B16310" s="121" t="n"/>
      <s:c r="C16310" s="121" t="n"/>
      <s:c r="D16310" s="121" t="n"/>
      <s:c r="E16310" s="122" t="n"/>
    </s:row>
    <s:row r="16311" hidden="1" ht="1" customHeight="1">
      <s:c r="A16311" s="120" t="inlineStr"/>
      <s:c r="B16311" s="121" t="n"/>
      <s:c r="C16311" s="121" t="n"/>
      <s:c r="D16311" s="121" t="n"/>
      <s:c r="E16311" s="122" t="n"/>
    </s:row>
    <s:row r="16312" hidden="1" ht="1" customHeight="1">
      <s:c r="A16312" s="120" t="inlineStr"/>
      <s:c r="B16312" s="121" t="n"/>
      <s:c r="C16312" s="121" t="n"/>
      <s:c r="D16312" s="121" t="n"/>
      <s:c r="E16312" s="122" t="n"/>
    </s:row>
    <s:row r="16313" hidden="1" ht="1" customHeight="1">
      <s:c r="A16313" s="120" t="inlineStr"/>
      <s:c r="B16313" s="121" t="n"/>
      <s:c r="C16313" s="121" t="n"/>
      <s:c r="D16313" s="121" t="n"/>
      <s:c r="E16313" s="122" t="n"/>
    </s:row>
    <s:row r="16314" hidden="1" ht="1" customHeight="1">
      <s:c r="A16314" s="120" t="inlineStr"/>
      <s:c r="B16314" s="121" t="n"/>
      <s:c r="C16314" s="121" t="n"/>
      <s:c r="D16314" s="121" t="n"/>
      <s:c r="E16314" s="122" t="n"/>
    </s:row>
    <s:row r="16315" hidden="1" ht="1" customHeight="1">
      <s:c r="A16315" s="120" t="inlineStr"/>
      <s:c r="B16315" s="121" t="n"/>
      <s:c r="C16315" s="121" t="n"/>
      <s:c r="D16315" s="121" t="n"/>
      <s:c r="E16315" s="122" t="n"/>
    </s:row>
    <s:row r="16316" hidden="1" ht="1" customHeight="1">
      <s:c r="A16316" s="120" t="inlineStr"/>
      <s:c r="B16316" s="121" t="n"/>
      <s:c r="C16316" s="121" t="n"/>
      <s:c r="D16316" s="121" t="n"/>
      <s:c r="E16316" s="122" t="n"/>
    </s:row>
    <s:row r="16317" hidden="1" ht="1" customHeight="1">
      <s:c r="A16317" s="120" t="inlineStr"/>
      <s:c r="B16317" s="121" t="n"/>
      <s:c r="C16317" s="121" t="n"/>
      <s:c r="D16317" s="121" t="n"/>
      <s:c r="E16317" s="122" t="n"/>
    </s:row>
    <s:row r="16318" hidden="1" ht="1" customHeight="1">
      <s:c r="A16318" s="120" t="inlineStr"/>
      <s:c r="B16318" s="121" t="n"/>
      <s:c r="C16318" s="121" t="n"/>
      <s:c r="D16318" s="121" t="n"/>
      <s:c r="E16318" s="122" t="n"/>
    </s:row>
    <s:row r="16319" hidden="1" ht="1" customHeight="1">
      <s:c r="A16319" s="120" t="inlineStr"/>
      <s:c r="B16319" s="121" t="n"/>
      <s:c r="C16319" s="121" t="n"/>
      <s:c r="D16319" s="121" t="n"/>
      <s:c r="E16319" s="122" t="n"/>
    </s:row>
    <s:row r="16320" hidden="1" ht="1" customHeight="1">
      <s:c r="A16320" s="120" t="inlineStr"/>
      <s:c r="B16320" s="121" t="n"/>
      <s:c r="C16320" s="121" t="n"/>
      <s:c r="D16320" s="121" t="n"/>
      <s:c r="E16320" s="122" t="n"/>
    </s:row>
    <s:row r="16321" hidden="1" ht="1" customHeight="1">
      <s:c r="A16321" s="120" t="inlineStr"/>
      <s:c r="B16321" s="121" t="n"/>
      <s:c r="C16321" s="121" t="n"/>
      <s:c r="D16321" s="121" t="n"/>
      <s:c r="E16321" s="122" t="n"/>
    </s:row>
    <s:row r="16322" hidden="1" ht="1" customHeight="1">
      <s:c r="A16322" s="120" t="inlineStr"/>
      <s:c r="B16322" s="121" t="n"/>
      <s:c r="C16322" s="121" t="n"/>
      <s:c r="D16322" s="121" t="n"/>
      <s:c r="E16322" s="122" t="n"/>
    </s:row>
    <s:row r="16323" hidden="1" ht="1" customHeight="1">
      <s:c r="A16323" s="120" t="inlineStr"/>
      <s:c r="B16323" s="121" t="n"/>
      <s:c r="C16323" s="121" t="n"/>
      <s:c r="D16323" s="121" t="n"/>
      <s:c r="E16323" s="122" t="n"/>
    </s:row>
    <s:row r="16324" hidden="1" ht="1" customHeight="1">
      <s:c r="A16324" s="120" t="inlineStr"/>
      <s:c r="B16324" s="121" t="n"/>
      <s:c r="C16324" s="121" t="n"/>
      <s:c r="D16324" s="121" t="n"/>
      <s:c r="E16324" s="122" t="n"/>
    </s:row>
    <s:row r="16325" hidden="1" ht="1" customHeight="1">
      <s:c r="A16325" s="120" t="inlineStr"/>
      <s:c r="B16325" s="121" t="n"/>
      <s:c r="C16325" s="121" t="n"/>
      <s:c r="D16325" s="121" t="n"/>
      <s:c r="E16325" s="122" t="n"/>
    </s:row>
    <s:row r="16326" hidden="1" ht="1" customHeight="1">
      <s:c r="A16326" s="120" t="inlineStr"/>
      <s:c r="B16326" s="121" t="n"/>
      <s:c r="C16326" s="121" t="n"/>
      <s:c r="D16326" s="121" t="n"/>
      <s:c r="E16326" s="122" t="n"/>
    </s:row>
    <s:row r="16327" hidden="1" ht="1" customHeight="1">
      <s:c r="A16327" s="120" t="inlineStr"/>
      <s:c r="B16327" s="121" t="n"/>
      <s:c r="C16327" s="121" t="n"/>
      <s:c r="D16327" s="121" t="n"/>
      <s:c r="E16327" s="122" t="n"/>
    </s:row>
    <s:row r="16328" hidden="1" ht="1" customHeight="1">
      <s:c r="A16328" s="120" t="inlineStr"/>
      <s:c r="B16328" s="121" t="n"/>
      <s:c r="C16328" s="121" t="n"/>
      <s:c r="D16328" s="121" t="n"/>
      <s:c r="E16328" s="122" t="n"/>
    </s:row>
    <s:row r="16329" hidden="1" ht="1" customHeight="1">
      <s:c r="A16329" s="120" t="inlineStr"/>
      <s:c r="B16329" s="121" t="n"/>
      <s:c r="C16329" s="121" t="n"/>
      <s:c r="D16329" s="121" t="n"/>
      <s:c r="E16329" s="122" t="n"/>
    </s:row>
    <s:row r="16330" hidden="1" ht="1" customHeight="1">
      <s:c r="A16330" s="120" t="inlineStr"/>
      <s:c r="B16330" s="121" t="n"/>
      <s:c r="C16330" s="121" t="n"/>
      <s:c r="D16330" s="121" t="n"/>
      <s:c r="E16330" s="122" t="n"/>
    </s:row>
    <s:row r="16331" hidden="1" ht="1" customHeight="1">
      <s:c r="A16331" s="120" t="inlineStr"/>
      <s:c r="B16331" s="121" t="n"/>
      <s:c r="C16331" s="121" t="n"/>
      <s:c r="D16331" s="121" t="n"/>
      <s:c r="E16331" s="122" t="n"/>
    </s:row>
    <s:row r="16332" hidden="1" ht="1" customHeight="1">
      <s:c r="A16332" s="120" t="inlineStr"/>
      <s:c r="B16332" s="121" t="n"/>
      <s:c r="C16332" s="121" t="n"/>
      <s:c r="D16332" s="121" t="n"/>
      <s:c r="E16332" s="122" t="n"/>
    </s:row>
    <s:row r="16333" hidden="1" ht="1" customHeight="1">
      <s:c r="A16333" s="120" t="inlineStr"/>
      <s:c r="B16333" s="121" t="n"/>
      <s:c r="C16333" s="121" t="n"/>
      <s:c r="D16333" s="121" t="n"/>
      <s:c r="E16333" s="122" t="n"/>
    </s:row>
    <s:row r="16334" hidden="1" ht="1" customHeight="1">
      <s:c r="A16334" s="120" t="inlineStr"/>
      <s:c r="B16334" s="121" t="n"/>
      <s:c r="C16334" s="121" t="n"/>
      <s:c r="D16334" s="121" t="n"/>
      <s:c r="E16334" s="122" t="n"/>
    </s:row>
    <s:row r="16335" hidden="1" ht="1" customHeight="1">
      <s:c r="A16335" s="120" t="inlineStr"/>
      <s:c r="B16335" s="121" t="n"/>
      <s:c r="C16335" s="121" t="n"/>
      <s:c r="D16335" s="121" t="n"/>
      <s:c r="E16335" s="122" t="n"/>
    </s:row>
    <s:row r="16336" hidden="1" ht="1" customHeight="1">
      <s:c r="A16336" s="120" t="inlineStr"/>
      <s:c r="B16336" s="121" t="n"/>
      <s:c r="C16336" s="121" t="n"/>
      <s:c r="D16336" s="121" t="n"/>
      <s:c r="E16336" s="122" t="n"/>
    </s:row>
    <s:row r="16337" hidden="1" ht="1" customHeight="1">
      <s:c r="A16337" s="120" t="inlineStr"/>
      <s:c r="B16337" s="121" t="n"/>
      <s:c r="C16337" s="121" t="n"/>
      <s:c r="D16337" s="121" t="n"/>
      <s:c r="E16337" s="122" t="n"/>
    </s:row>
    <s:row r="16338" hidden="1" ht="1" customHeight="1">
      <s:c r="A16338" s="120" t="inlineStr"/>
      <s:c r="B16338" s="121" t="n"/>
      <s:c r="C16338" s="121" t="n"/>
      <s:c r="D16338" s="121" t="n"/>
      <s:c r="E16338" s="122" t="n"/>
    </s:row>
    <s:row r="16339" hidden="1" ht="1" customHeight="1">
      <s:c r="A16339" s="120" t="inlineStr"/>
      <s:c r="B16339" s="121" t="n"/>
      <s:c r="C16339" s="121" t="n"/>
      <s:c r="D16339" s="121" t="n"/>
      <s:c r="E16339" s="122" t="n"/>
    </s:row>
    <s:row r="16340" hidden="1" ht="1" customHeight="1">
      <s:c r="A16340" s="120" t="inlineStr"/>
      <s:c r="B16340" s="121" t="n"/>
      <s:c r="C16340" s="121" t="n"/>
      <s:c r="D16340" s="121" t="n"/>
      <s:c r="E16340" s="122" t="n"/>
    </s:row>
    <s:row r="16341" hidden="1" ht="1" customHeight="1">
      <s:c r="A16341" s="120" t="inlineStr"/>
      <s:c r="B16341" s="121" t="n"/>
      <s:c r="C16341" s="121" t="n"/>
      <s:c r="D16341" s="121" t="n"/>
      <s:c r="E16341" s="122" t="n"/>
    </s:row>
    <s:row r="16342" hidden="1" ht="1" customHeight="1">
      <s:c r="A16342" s="120" t="inlineStr"/>
      <s:c r="B16342" s="121" t="n"/>
      <s:c r="C16342" s="121" t="n"/>
      <s:c r="D16342" s="121" t="n"/>
      <s:c r="E16342" s="122" t="n"/>
    </s:row>
    <s:row r="16343" hidden="1" ht="1" customHeight="1">
      <s:c r="A16343" s="120" t="inlineStr"/>
      <s:c r="B16343" s="121" t="n"/>
      <s:c r="C16343" s="121" t="n"/>
      <s:c r="D16343" s="121" t="n"/>
      <s:c r="E16343" s="122" t="n"/>
    </s:row>
    <s:row r="16344" hidden="1" ht="1" customHeight="1">
      <s:c r="A16344" s="120" t="inlineStr"/>
      <s:c r="B16344" s="121" t="n"/>
      <s:c r="C16344" s="121" t="n"/>
      <s:c r="D16344" s="121" t="n"/>
      <s:c r="E16344" s="122" t="n"/>
    </s:row>
    <s:row r="16345" hidden="1" ht="1" customHeight="1">
      <s:c r="A16345" s="120" t="inlineStr"/>
      <s:c r="B16345" s="121" t="n"/>
      <s:c r="C16345" s="121" t="n"/>
      <s:c r="D16345" s="121" t="n"/>
      <s:c r="E16345" s="122" t="n"/>
    </s:row>
    <s:row r="16346" hidden="1" ht="1" customHeight="1">
      <s:c r="A16346" s="120" t="inlineStr"/>
      <s:c r="B16346" s="121" t="n"/>
      <s:c r="C16346" s="121" t="n"/>
      <s:c r="D16346" s="121" t="n"/>
      <s:c r="E16346" s="122" t="n"/>
    </s:row>
    <s:row r="16347" hidden="1" ht="1" customHeight="1">
      <s:c r="A16347" s="120" t="inlineStr"/>
      <s:c r="B16347" s="121" t="n"/>
      <s:c r="C16347" s="121" t="n"/>
      <s:c r="D16347" s="121" t="n"/>
      <s:c r="E16347" s="122" t="n"/>
    </s:row>
    <s:row r="16348" hidden="1" ht="1" customHeight="1">
      <s:c r="A16348" s="120" t="inlineStr"/>
      <s:c r="B16348" s="121" t="n"/>
      <s:c r="C16348" s="121" t="n"/>
      <s:c r="D16348" s="121" t="n"/>
      <s:c r="E16348" s="122" t="n"/>
    </s:row>
    <s:row r="16349" hidden="1" ht="1" customHeight="1">
      <s:c r="A16349" s="120" t="inlineStr"/>
      <s:c r="B16349" s="121" t="n"/>
      <s:c r="C16349" s="121" t="n"/>
      <s:c r="D16349" s="121" t="n"/>
      <s:c r="E16349" s="122" t="n"/>
    </s:row>
    <s:row r="16350" hidden="1" ht="1" customHeight="1">
      <s:c r="A16350" s="120" t="inlineStr"/>
      <s:c r="B16350" s="121" t="n"/>
      <s:c r="C16350" s="121" t="n"/>
      <s:c r="D16350" s="121" t="n"/>
      <s:c r="E16350" s="122" t="n"/>
    </s:row>
    <s:row r="16351" hidden="1" ht="1" customHeight="1">
      <s:c r="A16351" s="120" t="inlineStr"/>
      <s:c r="B16351" s="121" t="n"/>
      <s:c r="C16351" s="121" t="n"/>
      <s:c r="D16351" s="121" t="n"/>
      <s:c r="E16351" s="122" t="n"/>
    </s:row>
    <s:row r="16352" hidden="1" ht="1" customHeight="1">
      <s:c r="A16352" s="120" t="inlineStr"/>
      <s:c r="B16352" s="121" t="n"/>
      <s:c r="C16352" s="121" t="n"/>
      <s:c r="D16352" s="121" t="n"/>
      <s:c r="E16352" s="122" t="n"/>
    </s:row>
    <s:row r="16353" hidden="1" ht="1" customHeight="1">
      <s:c r="A16353" s="120" t="inlineStr"/>
      <s:c r="B16353" s="121" t="n"/>
      <s:c r="C16353" s="121" t="n"/>
      <s:c r="D16353" s="121" t="n"/>
      <s:c r="E16353" s="122" t="n"/>
    </s:row>
    <s:row r="16354" hidden="1" ht="1" customHeight="1">
      <s:c r="A16354" s="120" t="inlineStr"/>
      <s:c r="B16354" s="121" t="n"/>
      <s:c r="C16354" s="121" t="n"/>
      <s:c r="D16354" s="121" t="n"/>
      <s:c r="E16354" s="122" t="n"/>
    </s:row>
    <s:row r="16355" hidden="1" ht="1" customHeight="1">
      <s:c r="A16355" s="120" t="inlineStr"/>
      <s:c r="B16355" s="121" t="n"/>
      <s:c r="C16355" s="121" t="n"/>
      <s:c r="D16355" s="121" t="n"/>
      <s:c r="E16355" s="122" t="n"/>
    </s:row>
    <s:row r="16356" hidden="1" ht="1" customHeight="1">
      <s:c r="A16356" s="120" t="inlineStr"/>
      <s:c r="B16356" s="121" t="n"/>
      <s:c r="C16356" s="121" t="n"/>
      <s:c r="D16356" s="121" t="n"/>
      <s:c r="E16356" s="122" t="n"/>
    </s:row>
    <s:row r="16357" hidden="1" ht="1" customHeight="1">
      <s:c r="A16357" s="120" t="inlineStr"/>
      <s:c r="B16357" s="121" t="n"/>
      <s:c r="C16357" s="121" t="n"/>
      <s:c r="D16357" s="121" t="n"/>
      <s:c r="E16357" s="122" t="n"/>
    </s:row>
    <s:row r="16358" hidden="1" ht="1" customHeight="1">
      <s:c r="A16358" s="120" t="inlineStr"/>
      <s:c r="B16358" s="121" t="n"/>
      <s:c r="C16358" s="121" t="n"/>
      <s:c r="D16358" s="121" t="n"/>
      <s:c r="E16358" s="122" t="n"/>
    </s:row>
    <s:row r="16359" hidden="1" ht="1" customHeight="1">
      <s:c r="A16359" s="120" t="inlineStr"/>
      <s:c r="B16359" s="121" t="n"/>
      <s:c r="C16359" s="121" t="n"/>
      <s:c r="D16359" s="121" t="n"/>
      <s:c r="E16359" s="122" t="n"/>
    </s:row>
    <s:row r="16360" hidden="1" ht="1" customHeight="1">
      <s:c r="A16360" s="120" t="inlineStr"/>
      <s:c r="B16360" s="121" t="n"/>
      <s:c r="C16360" s="121" t="n"/>
      <s:c r="D16360" s="121" t="n"/>
      <s:c r="E16360" s="122" t="n"/>
    </s:row>
    <s:row r="16361" hidden="1" ht="1" customHeight="1">
      <s:c r="A16361" s="120" t="inlineStr"/>
      <s:c r="B16361" s="121" t="n"/>
      <s:c r="C16361" s="121" t="n"/>
      <s:c r="D16361" s="121" t="n"/>
      <s:c r="E16361" s="122" t="n"/>
    </s:row>
    <s:row r="16362" hidden="1" ht="1" customHeight="1">
      <s:c r="A16362" s="120" t="inlineStr"/>
      <s:c r="B16362" s="121" t="n"/>
      <s:c r="C16362" s="121" t="n"/>
      <s:c r="D16362" s="121" t="n"/>
      <s:c r="E16362" s="122" t="n"/>
    </s:row>
    <s:row r="16363" hidden="1" ht="1" customHeight="1">
      <s:c r="A16363" s="120" t="inlineStr"/>
      <s:c r="B16363" s="121" t="n"/>
      <s:c r="C16363" s="121" t="n"/>
      <s:c r="D16363" s="121" t="n"/>
      <s:c r="E16363" s="122" t="n"/>
    </s:row>
    <s:row r="16364" hidden="1" ht="1" customHeight="1">
      <s:c r="A16364" s="120" t="inlineStr"/>
      <s:c r="B16364" s="121" t="n"/>
      <s:c r="C16364" s="121" t="n"/>
      <s:c r="D16364" s="121" t="n"/>
      <s:c r="E16364" s="122" t="n"/>
    </s:row>
    <s:row r="16365" hidden="1" ht="1" customHeight="1">
      <s:c r="A16365" s="120" t="inlineStr"/>
      <s:c r="B16365" s="121" t="n"/>
      <s:c r="C16365" s="121" t="n"/>
      <s:c r="D16365" s="121" t="n"/>
      <s:c r="E16365" s="122" t="n"/>
    </s:row>
    <s:row r="16366" hidden="1" ht="1" customHeight="1">
      <s:c r="A16366" s="120" t="inlineStr"/>
      <s:c r="B16366" s="121" t="n"/>
      <s:c r="C16366" s="121" t="n"/>
      <s:c r="D16366" s="121" t="n"/>
      <s:c r="E16366" s="122" t="n"/>
    </s:row>
    <s:row r="16367" hidden="1" ht="1" customHeight="1">
      <s:c r="A16367" s="120" t="inlineStr"/>
      <s:c r="B16367" s="121" t="n"/>
      <s:c r="C16367" s="121" t="n"/>
      <s:c r="D16367" s="121" t="n"/>
      <s:c r="E16367" s="122" t="n"/>
    </s:row>
    <s:row r="16368" hidden="1" ht="1" customHeight="1">
      <s:c r="A16368" s="120" t="inlineStr"/>
      <s:c r="B16368" s="121" t="n"/>
      <s:c r="C16368" s="121" t="n"/>
      <s:c r="D16368" s="121" t="n"/>
      <s:c r="E16368" s="122" t="n"/>
    </s:row>
    <s:row r="16369" hidden="1" ht="1" customHeight="1">
      <s:c r="A16369" s="120" t="inlineStr"/>
      <s:c r="B16369" s="121" t="n"/>
      <s:c r="C16369" s="121" t="n"/>
      <s:c r="D16369" s="121" t="n"/>
      <s:c r="E16369" s="122" t="n"/>
    </s:row>
    <s:row r="16370" hidden="1" ht="1" customHeight="1">
      <s:c r="A16370" s="120" t="inlineStr"/>
      <s:c r="B16370" s="121" t="n"/>
      <s:c r="C16370" s="121" t="n"/>
      <s:c r="D16370" s="121" t="n"/>
      <s:c r="E16370" s="122" t="n"/>
    </s:row>
    <s:row r="16371" hidden="1" ht="1" customHeight="1">
      <s:c r="A16371" s="120" t="inlineStr"/>
      <s:c r="B16371" s="121" t="n"/>
      <s:c r="C16371" s="121" t="n"/>
      <s:c r="D16371" s="121" t="n"/>
      <s:c r="E16371" s="122" t="n"/>
    </s:row>
    <s:row r="16372" hidden="1" ht="1" customHeight="1">
      <s:c r="A16372" s="120" t="inlineStr"/>
      <s:c r="B16372" s="121" t="n"/>
      <s:c r="C16372" s="121" t="n"/>
      <s:c r="D16372" s="121" t="n"/>
      <s:c r="E16372" s="122" t="n"/>
    </s:row>
    <s:row r="16373" hidden="1" ht="1" customHeight="1">
      <s:c r="A16373" s="120" t="inlineStr"/>
      <s:c r="B16373" s="121" t="n"/>
      <s:c r="C16373" s="121" t="n"/>
      <s:c r="D16373" s="121" t="n"/>
      <s:c r="E16373" s="122" t="n"/>
    </s:row>
    <s:row r="16374" hidden="1" ht="1" customHeight="1">
      <s:c r="A16374" s="120" t="inlineStr"/>
      <s:c r="B16374" s="121" t="n"/>
      <s:c r="C16374" s="121" t="n"/>
      <s:c r="D16374" s="121" t="n"/>
      <s:c r="E16374" s="122" t="n"/>
    </s:row>
    <s:row r="16375" hidden="1" ht="1" customHeight="1">
      <s:c r="A16375" s="120" t="inlineStr"/>
      <s:c r="B16375" s="121" t="n"/>
      <s:c r="C16375" s="121" t="n"/>
      <s:c r="D16375" s="121" t="n"/>
      <s:c r="E16375" s="122" t="n"/>
    </s:row>
    <s:row r="16376" hidden="1" ht="1" customHeight="1">
      <s:c r="A16376" s="120" t="inlineStr"/>
      <s:c r="B16376" s="121" t="n"/>
      <s:c r="C16376" s="121" t="n"/>
      <s:c r="D16376" s="121" t="n"/>
      <s:c r="E16376" s="122" t="n"/>
    </s:row>
    <s:row r="16377" hidden="1" ht="1" customHeight="1">
      <s:c r="A16377" s="120" t="inlineStr"/>
      <s:c r="B16377" s="121" t="n"/>
      <s:c r="C16377" s="121" t="n"/>
      <s:c r="D16377" s="121" t="n"/>
      <s:c r="E16377" s="122" t="n"/>
    </s:row>
    <s:row r="16378" hidden="1" ht="1" customHeight="1">
      <s:c r="A16378" s="120" t="inlineStr"/>
      <s:c r="B16378" s="121" t="n"/>
      <s:c r="C16378" s="121" t="n"/>
      <s:c r="D16378" s="121" t="n"/>
      <s:c r="E16378" s="122" t="n"/>
    </s:row>
    <s:row r="16379" hidden="1" ht="1" customHeight="1">
      <s:c r="A16379" s="120" t="inlineStr"/>
      <s:c r="B16379" s="121" t="n"/>
      <s:c r="C16379" s="121" t="n"/>
      <s:c r="D16379" s="121" t="n"/>
      <s:c r="E16379" s="122" t="n"/>
    </s:row>
    <s:row r="16380" hidden="1" ht="1" customHeight="1">
      <s:c r="A16380" s="120" t="inlineStr"/>
      <s:c r="B16380" s="121" t="n"/>
      <s:c r="C16380" s="121" t="n"/>
      <s:c r="D16380" s="121" t="n"/>
      <s:c r="E16380" s="122" t="n"/>
    </s:row>
    <s:row r="16381" hidden="1" ht="1" customHeight="1">
      <s:c r="A16381" s="120" t="inlineStr"/>
      <s:c r="B16381" s="121" t="n"/>
      <s:c r="C16381" s="121" t="n"/>
      <s:c r="D16381" s="121" t="n"/>
      <s:c r="E16381" s="122" t="n"/>
    </s:row>
    <s:row r="16382" hidden="1" ht="1" customHeight="1">
      <s:c r="A16382" s="120" t="inlineStr"/>
      <s:c r="B16382" s="121" t="n"/>
      <s:c r="C16382" s="121" t="n"/>
      <s:c r="D16382" s="121" t="n"/>
      <s:c r="E16382" s="122" t="n"/>
    </s:row>
    <s:row r="16383" hidden="1" ht="1" customHeight="1">
      <s:c r="A16383" s="120" t="inlineStr"/>
      <s:c r="B16383" s="121" t="n"/>
      <s:c r="C16383" s="121" t="n"/>
      <s:c r="D16383" s="121" t="n"/>
      <s:c r="E16383" s="122" t="n"/>
    </s:row>
    <s:row r="16384" hidden="1" ht="1" customHeight="1">
      <s:c r="A16384" s="120" t="inlineStr"/>
      <s:c r="B16384" s="121" t="n"/>
      <s:c r="C16384" s="121" t="n"/>
      <s:c r="D16384" s="121" t="n"/>
      <s:c r="E16384" s="122" t="n"/>
    </s:row>
    <s:row r="16385" hidden="1" ht="1" customHeight="1">
      <s:c r="A16385" s="120" t="inlineStr"/>
      <s:c r="B16385" s="121" t="n"/>
      <s:c r="C16385" s="121" t="n"/>
      <s:c r="D16385" s="121" t="n"/>
      <s:c r="E16385" s="122" t="n"/>
    </s:row>
    <s:row r="16386" hidden="1" ht="1" customHeight="1">
      <s:c r="A16386" s="120" t="inlineStr"/>
      <s:c r="B16386" s="121" t="n"/>
      <s:c r="C16386" s="121" t="n"/>
      <s:c r="D16386" s="121" t="n"/>
      <s:c r="E16386" s="122" t="n"/>
    </s:row>
    <s:row r="16387" hidden="1" ht="1" customHeight="1">
      <s:c r="A16387" s="120" t="inlineStr"/>
      <s:c r="B16387" s="121" t="n"/>
      <s:c r="C16387" s="121" t="n"/>
      <s:c r="D16387" s="121" t="n"/>
      <s:c r="E16387" s="122" t="n"/>
    </s:row>
    <s:row r="16388" hidden="1" ht="1" customHeight="1">
      <s:c r="A16388" s="120" t="inlineStr"/>
      <s:c r="B16388" s="121" t="n"/>
      <s:c r="C16388" s="121" t="n"/>
      <s:c r="D16388" s="121" t="n"/>
      <s:c r="E16388" s="122" t="n"/>
    </s:row>
    <s:row r="16389" hidden="1" ht="1" customHeight="1">
      <s:c r="A16389" s="120" t="inlineStr"/>
      <s:c r="B16389" s="121" t="n"/>
      <s:c r="C16389" s="121" t="n"/>
      <s:c r="D16389" s="121" t="n"/>
      <s:c r="E16389" s="122" t="n"/>
    </s:row>
    <s:row r="16390" hidden="1" ht="1" customHeight="1">
      <s:c r="A16390" s="120" t="inlineStr"/>
      <s:c r="B16390" s="121" t="n"/>
      <s:c r="C16390" s="121" t="n"/>
      <s:c r="D16390" s="121" t="n"/>
      <s:c r="E16390" s="122" t="n"/>
    </s:row>
    <s:row r="16391" hidden="1" ht="1" customHeight="1">
      <s:c r="A16391" s="120" t="inlineStr"/>
      <s:c r="B16391" s="121" t="n"/>
      <s:c r="C16391" s="121" t="n"/>
      <s:c r="D16391" s="121" t="n"/>
      <s:c r="E16391" s="122" t="n"/>
    </s:row>
    <s:row r="16392" hidden="1" ht="1" customHeight="1">
      <s:c r="A16392" s="120" t="inlineStr"/>
      <s:c r="B16392" s="121" t="n"/>
      <s:c r="C16392" s="121" t="n"/>
      <s:c r="D16392" s="121" t="n"/>
      <s:c r="E16392" s="122" t="n"/>
    </s:row>
    <s:row r="16393" hidden="1" ht="1" customHeight="1">
      <s:c r="A16393" s="120" t="inlineStr"/>
      <s:c r="B16393" s="121" t="n"/>
      <s:c r="C16393" s="121" t="n"/>
      <s:c r="D16393" s="121" t="n"/>
      <s:c r="E16393" s="122" t="n"/>
    </s:row>
    <s:row r="16394" hidden="1" ht="1" customHeight="1">
      <s:c r="A16394" s="120" t="inlineStr"/>
      <s:c r="B16394" s="121" t="n"/>
      <s:c r="C16394" s="121" t="n"/>
      <s:c r="D16394" s="121" t="n"/>
      <s:c r="E16394" s="122" t="n"/>
    </s:row>
    <s:row r="16395" hidden="1" ht="1" customHeight="1">
      <s:c r="A16395" s="120" t="inlineStr"/>
      <s:c r="B16395" s="121" t="n"/>
      <s:c r="C16395" s="121" t="n"/>
      <s:c r="D16395" s="121" t="n"/>
      <s:c r="E16395" s="122" t="n"/>
    </s:row>
    <s:row r="16396" hidden="1" ht="1" customHeight="1">
      <s:c r="A16396" s="120" t="inlineStr"/>
      <s:c r="B16396" s="121" t="n"/>
      <s:c r="C16396" s="121" t="n"/>
      <s:c r="D16396" s="121" t="n"/>
      <s:c r="E16396" s="122" t="n"/>
    </s:row>
    <s:row r="16397" hidden="1" ht="1" customHeight="1">
      <s:c r="A16397" s="120" t="inlineStr"/>
      <s:c r="B16397" s="121" t="n"/>
      <s:c r="C16397" s="121" t="n"/>
      <s:c r="D16397" s="121" t="n"/>
      <s:c r="E16397" s="122" t="n"/>
    </s:row>
    <s:row r="16398" hidden="1" ht="1" customHeight="1">
      <s:c r="A16398" s="120" t="inlineStr"/>
      <s:c r="B16398" s="121" t="n"/>
      <s:c r="C16398" s="121" t="n"/>
      <s:c r="D16398" s="121" t="n"/>
      <s:c r="E16398" s="122" t="n"/>
    </s:row>
    <s:row r="16399" hidden="1" ht="1" customHeight="1">
      <s:c r="A16399" s="120" t="inlineStr"/>
      <s:c r="B16399" s="121" t="n"/>
      <s:c r="C16399" s="121" t="n"/>
      <s:c r="D16399" s="121" t="n"/>
      <s:c r="E16399" s="122" t="n"/>
    </s:row>
    <s:row r="16400" hidden="1" ht="1" customHeight="1">
      <s:c r="A16400" s="120" t="inlineStr"/>
      <s:c r="B16400" s="121" t="n"/>
      <s:c r="C16400" s="121" t="n"/>
      <s:c r="D16400" s="121" t="n"/>
      <s:c r="E16400" s="122" t="n"/>
    </s:row>
    <s:row r="16401" hidden="1" ht="1" customHeight="1">
      <s:c r="A16401" s="120" t="inlineStr"/>
      <s:c r="B16401" s="121" t="n"/>
      <s:c r="C16401" s="121" t="n"/>
      <s:c r="D16401" s="121" t="n"/>
      <s:c r="E16401" s="122" t="n"/>
    </s:row>
    <s:row r="16402" hidden="1" ht="1" customHeight="1">
      <s:c r="A16402" s="120" t="inlineStr"/>
      <s:c r="B16402" s="121" t="n"/>
      <s:c r="C16402" s="121" t="n"/>
      <s:c r="D16402" s="121" t="n"/>
      <s:c r="E16402" s="122" t="n"/>
    </s:row>
    <s:row r="16403" hidden="1" ht="1" customHeight="1">
      <s:c r="A16403" s="120" t="inlineStr"/>
      <s:c r="B16403" s="121" t="n"/>
      <s:c r="C16403" s="121" t="n"/>
      <s:c r="D16403" s="121" t="n"/>
      <s:c r="E16403" s="122" t="n"/>
    </s:row>
    <s:row r="16404" hidden="1" ht="1" customHeight="1">
      <s:c r="A16404" s="120" t="inlineStr"/>
      <s:c r="B16404" s="121" t="n"/>
      <s:c r="C16404" s="121" t="n"/>
      <s:c r="D16404" s="121" t="n"/>
      <s:c r="E16404" s="122" t="n"/>
    </s:row>
    <s:row r="16405" hidden="1" ht="1" customHeight="1">
      <s:c r="A16405" s="120" t="inlineStr"/>
      <s:c r="B16405" s="121" t="n"/>
      <s:c r="C16405" s="121" t="n"/>
      <s:c r="D16405" s="121" t="n"/>
      <s:c r="E16405" s="122" t="n"/>
    </s:row>
    <s:row r="16406" hidden="1" ht="1" customHeight="1">
      <s:c r="A16406" s="120" t="inlineStr"/>
      <s:c r="B16406" s="121" t="n"/>
      <s:c r="C16406" s="121" t="n"/>
      <s:c r="D16406" s="121" t="n"/>
      <s:c r="E16406" s="122" t="n"/>
    </s:row>
    <s:row r="16407" hidden="1" ht="1" customHeight="1">
      <s:c r="A16407" s="120" t="inlineStr"/>
      <s:c r="B16407" s="121" t="n"/>
      <s:c r="C16407" s="121" t="n"/>
      <s:c r="D16407" s="121" t="n"/>
      <s:c r="E16407" s="122" t="n"/>
    </s:row>
    <s:row r="16408" hidden="1" ht="1" customHeight="1">
      <s:c r="A16408" s="120" t="inlineStr"/>
      <s:c r="B16408" s="121" t="n"/>
      <s:c r="C16408" s="121" t="n"/>
      <s:c r="D16408" s="121" t="n"/>
      <s:c r="E16408" s="122" t="n"/>
    </s:row>
    <s:row r="16409" hidden="1" ht="1" customHeight="1">
      <s:c r="A16409" s="120" t="inlineStr"/>
      <s:c r="B16409" s="121" t="n"/>
      <s:c r="C16409" s="121" t="n"/>
      <s:c r="D16409" s="121" t="n"/>
      <s:c r="E16409" s="122" t="n"/>
    </s:row>
    <s:row r="16410" hidden="1" ht="1" customHeight="1">
      <s:c r="A16410" s="120" t="inlineStr"/>
      <s:c r="B16410" s="121" t="n"/>
      <s:c r="C16410" s="121" t="n"/>
      <s:c r="D16410" s="121" t="n"/>
      <s:c r="E16410" s="122" t="n"/>
    </s:row>
    <s:row r="16411" hidden="1" ht="1" customHeight="1">
      <s:c r="A16411" s="120" t="inlineStr"/>
      <s:c r="B16411" s="121" t="n"/>
      <s:c r="C16411" s="121" t="n"/>
      <s:c r="D16411" s="121" t="n"/>
      <s:c r="E16411" s="122" t="n"/>
    </s:row>
    <s:row r="16412" hidden="1" ht="1" customHeight="1">
      <s:c r="A16412" s="120" t="inlineStr"/>
      <s:c r="B16412" s="121" t="n"/>
      <s:c r="C16412" s="121" t="n"/>
      <s:c r="D16412" s="121" t="n"/>
      <s:c r="E16412" s="122" t="n"/>
    </s:row>
    <s:row r="16413" hidden="1" ht="1" customHeight="1">
      <s:c r="A16413" s="120" t="inlineStr"/>
      <s:c r="B16413" s="121" t="n"/>
      <s:c r="C16413" s="121" t="n"/>
      <s:c r="D16413" s="121" t="n"/>
      <s:c r="E16413" s="122" t="n"/>
    </s:row>
    <s:row r="16414" hidden="1" ht="1" customHeight="1">
      <s:c r="A16414" s="120" t="inlineStr"/>
      <s:c r="B16414" s="121" t="n"/>
      <s:c r="C16414" s="121" t="n"/>
      <s:c r="D16414" s="121" t="n"/>
      <s:c r="E16414" s="122" t="n"/>
    </s:row>
    <s:row r="16415" hidden="1" ht="1" customHeight="1">
      <s:c r="A16415" s="120" t="inlineStr"/>
      <s:c r="B16415" s="121" t="n"/>
      <s:c r="C16415" s="121" t="n"/>
      <s:c r="D16415" s="121" t="n"/>
      <s:c r="E16415" s="122" t="n"/>
    </s:row>
    <s:row r="16416" hidden="1" ht="1" customHeight="1">
      <s:c r="A16416" s="120" t="inlineStr"/>
      <s:c r="B16416" s="121" t="n"/>
      <s:c r="C16416" s="121" t="n"/>
      <s:c r="D16416" s="121" t="n"/>
      <s:c r="E16416" s="122" t="n"/>
    </s:row>
    <s:row r="16417" hidden="1" ht="1" customHeight="1">
      <s:c r="A16417" s="120" t="inlineStr"/>
      <s:c r="B16417" s="121" t="n"/>
      <s:c r="C16417" s="121" t="n"/>
      <s:c r="D16417" s="121" t="n"/>
      <s:c r="E16417" s="122" t="n"/>
    </s:row>
    <s:row r="16418" hidden="1" ht="1" customHeight="1">
      <s:c r="A16418" s="120" t="inlineStr"/>
      <s:c r="B16418" s="121" t="n"/>
      <s:c r="C16418" s="121" t="n"/>
      <s:c r="D16418" s="121" t="n"/>
      <s:c r="E16418" s="122" t="n"/>
    </s:row>
    <s:row r="16419" hidden="1" ht="1" customHeight="1">
      <s:c r="A16419" s="120" t="inlineStr"/>
      <s:c r="B16419" s="121" t="n"/>
      <s:c r="C16419" s="121" t="n"/>
      <s:c r="D16419" s="121" t="n"/>
      <s:c r="E16419" s="122" t="n"/>
    </s:row>
    <s:row r="16420" hidden="1" ht="1" customHeight="1">
      <s:c r="A16420" s="120" t="inlineStr"/>
      <s:c r="B16420" s="121" t="n"/>
      <s:c r="C16420" s="121" t="n"/>
      <s:c r="D16420" s="121" t="n"/>
      <s:c r="E16420" s="122" t="n"/>
    </s:row>
    <s:row r="16421" hidden="1" ht="1" customHeight="1">
      <s:c r="A16421" s="120" t="inlineStr"/>
      <s:c r="B16421" s="121" t="n"/>
      <s:c r="C16421" s="121" t="n"/>
      <s:c r="D16421" s="121" t="n"/>
      <s:c r="E16421" s="122" t="n"/>
    </s:row>
    <s:row r="16422" hidden="1" ht="1" customHeight="1">
      <s:c r="A16422" s="120" t="inlineStr"/>
      <s:c r="B16422" s="121" t="n"/>
      <s:c r="C16422" s="121" t="n"/>
      <s:c r="D16422" s="121" t="n"/>
      <s:c r="E16422" s="122" t="n"/>
    </s:row>
    <s:row r="16423" hidden="1" ht="1" customHeight="1">
      <s:c r="A16423" s="120" t="inlineStr"/>
      <s:c r="B16423" s="121" t="n"/>
      <s:c r="C16423" s="121" t="n"/>
      <s:c r="D16423" s="121" t="n"/>
      <s:c r="E16423" s="122" t="n"/>
    </s:row>
    <s:row r="16424" hidden="1" ht="1" customHeight="1">
      <s:c r="A16424" s="120" t="inlineStr"/>
      <s:c r="B16424" s="121" t="n"/>
      <s:c r="C16424" s="121" t="n"/>
      <s:c r="D16424" s="121" t="n"/>
      <s:c r="E16424" s="122" t="n"/>
    </s:row>
    <s:row r="16425" hidden="1" ht="1" customHeight="1">
      <s:c r="A16425" s="120" t="inlineStr"/>
      <s:c r="B16425" s="121" t="n"/>
      <s:c r="C16425" s="121" t="n"/>
      <s:c r="D16425" s="121" t="n"/>
      <s:c r="E16425" s="122" t="n"/>
    </s:row>
    <s:row r="16426" hidden="1" ht="1" customHeight="1">
      <s:c r="A16426" s="120" t="inlineStr"/>
      <s:c r="B16426" s="121" t="n"/>
      <s:c r="C16426" s="121" t="n"/>
      <s:c r="D16426" s="121" t="n"/>
      <s:c r="E16426" s="122" t="n"/>
    </s:row>
    <s:row r="16427" hidden="1" ht="1" customHeight="1">
      <s:c r="A16427" s="120" t="inlineStr"/>
      <s:c r="B16427" s="121" t="n"/>
      <s:c r="C16427" s="121" t="n"/>
      <s:c r="D16427" s="121" t="n"/>
      <s:c r="E16427" s="122" t="n"/>
    </s:row>
    <s:row r="16428" hidden="1" ht="1" customHeight="1">
      <s:c r="A16428" s="120" t="inlineStr"/>
      <s:c r="B16428" s="121" t="n"/>
      <s:c r="C16428" s="121" t="n"/>
      <s:c r="D16428" s="121" t="n"/>
      <s:c r="E16428" s="122" t="n"/>
    </s:row>
    <s:row r="16429" hidden="1" ht="1" customHeight="1">
      <s:c r="A16429" s="120" t="inlineStr"/>
      <s:c r="B16429" s="121" t="n"/>
      <s:c r="C16429" s="121" t="n"/>
      <s:c r="D16429" s="121" t="n"/>
      <s:c r="E16429" s="122" t="n"/>
    </s:row>
    <s:row r="16430" hidden="1" ht="1" customHeight="1">
      <s:c r="A16430" s="120" t="inlineStr"/>
      <s:c r="B16430" s="121" t="n"/>
      <s:c r="C16430" s="121" t="n"/>
      <s:c r="D16430" s="121" t="n"/>
      <s:c r="E16430" s="122" t="n"/>
    </s:row>
    <s:row r="16431" hidden="1" ht="1" customHeight="1">
      <s:c r="A16431" s="120" t="inlineStr"/>
      <s:c r="B16431" s="121" t="n"/>
      <s:c r="C16431" s="121" t="n"/>
      <s:c r="D16431" s="121" t="n"/>
      <s:c r="E16431" s="122" t="n"/>
    </s:row>
    <s:row r="16432" hidden="1" ht="1" customHeight="1">
      <s:c r="A16432" s="120" t="inlineStr"/>
      <s:c r="B16432" s="121" t="n"/>
      <s:c r="C16432" s="121" t="n"/>
      <s:c r="D16432" s="121" t="n"/>
      <s:c r="E16432" s="122" t="n"/>
    </s:row>
    <s:row r="16433" hidden="1" ht="1" customHeight="1">
      <s:c r="A16433" s="120" t="inlineStr"/>
      <s:c r="B16433" s="121" t="n"/>
      <s:c r="C16433" s="121" t="n"/>
      <s:c r="D16433" s="121" t="n"/>
      <s:c r="E16433" s="122" t="n"/>
    </s:row>
    <s:row r="16434" hidden="1" ht="1" customHeight="1">
      <s:c r="A16434" s="120" t="inlineStr"/>
      <s:c r="B16434" s="121" t="n"/>
      <s:c r="C16434" s="121" t="n"/>
      <s:c r="D16434" s="121" t="n"/>
      <s:c r="E16434" s="122" t="n"/>
    </s:row>
    <s:row r="16435" hidden="1" ht="1" customHeight="1">
      <s:c r="A16435" s="120" t="inlineStr"/>
      <s:c r="B16435" s="121" t="n"/>
      <s:c r="C16435" s="121" t="n"/>
      <s:c r="D16435" s="121" t="n"/>
      <s:c r="E16435" s="122" t="n"/>
    </s:row>
    <s:row r="16436" hidden="1" ht="1" customHeight="1">
      <s:c r="A16436" s="120" t="inlineStr"/>
      <s:c r="B16436" s="121" t="n"/>
      <s:c r="C16436" s="121" t="n"/>
      <s:c r="D16436" s="121" t="n"/>
      <s:c r="E16436" s="122" t="n"/>
    </s:row>
    <s:row r="16437" hidden="1" ht="1" customHeight="1">
      <s:c r="A16437" s="120" t="inlineStr"/>
      <s:c r="B16437" s="121" t="n"/>
      <s:c r="C16437" s="121" t="n"/>
      <s:c r="D16437" s="121" t="n"/>
      <s:c r="E16437" s="122" t="n"/>
    </s:row>
    <s:row r="16438" hidden="1" ht="1" customHeight="1">
      <s:c r="A16438" s="120" t="inlineStr"/>
      <s:c r="B16438" s="121" t="n"/>
      <s:c r="C16438" s="121" t="n"/>
      <s:c r="D16438" s="121" t="n"/>
      <s:c r="E16438" s="122" t="n"/>
    </s:row>
    <s:row r="16439" hidden="1" ht="1" customHeight="1">
      <s:c r="A16439" s="83" t="inlineStr">
        <s:is>
          <s:t>PASS</s:t>
        </s:is>
      </s:c>
      <s:c r="B16439" s="83">
        <s:f>SUM(IF(EXACT('Kiểm thử'!E16189,"Đạt"),1,0),IF(EXACT('Kiểm thử'!E16191,"Đạt"),1,0),IF(EXACT('Kiểm thử'!E16193,"Đạt"),1,0),IF(EXACT('Kiểm thử'!E16195,"Đạt"),1,0),IF(EXACT('Kiểm thử'!E16197,"Đạt"),1,0))</s:f>
        <s:v/>
      </s:c>
      <s:c r="C16439" s="19" t="n"/>
      <s:c r="D16439" s="19" t="n"/>
      <s:c r="E16439" s="19" t="n"/>
    </s:row>
    <s:row r="16440" hidden="1" ht="1" customHeight="1">
      <s:c r="A16440" s="83" t="inlineStr">
        <s:is>
          <s:t>FAIL</s:t>
        </s:is>
      </s:c>
      <s:c r="B16440" s="83">
        <s:f>SUM(IF(EXACT('Kiểm thử'!E16189,"Không đạt"),1,0),IF(EXACT('Kiểm thử'!E16191,"Không đạt"),1,0),IF(EXACT('Kiểm thử'!E16193,"Không đạt"),1,0),IF(EXACT('Kiểm thử'!E16195,"Không đạt"),1,0),IF(EXACT('Kiểm thử'!E16197,"Không đạt"),1,0))</s:f>
        <s:v/>
      </s:c>
      <s:c r="C16440" s="19" t="n"/>
      <s:c r="D16440" s="19" t="n"/>
      <s:c r="E16440" s="19" t="n"/>
    </s:row>
    <s:row r="16441" hidden="1" ht="1" customHeight="1">
      <s:c r="A16441" s="83" t="inlineStr">
        <s:is>
          <s:t>BLOCKED</s:t>
        </s:is>
      </s:c>
      <s:c r="B16441" s="83">
        <s:f>SUM(IF(EXACT('Kiểm thử'!E16189,"Bị chặn"),1,0),IF(EXACT('Kiểm thử'!E16191,"Bị chặn"),1,0),IF(EXACT('Kiểm thử'!E16193,"Bị chặn"),1,0),IF(EXACT('Kiểm thử'!E16195,"Bị chặn"),1,0),IF(EXACT('Kiểm thử'!E16197,"Bị chặn"),1,0))</s:f>
        <s:v/>
      </s:c>
      <s:c r="C16441" s="19" t="n"/>
      <s:c r="D16441" s="19" t="n"/>
      <s:c r="E16441" s="19" t="n"/>
    </s:row>
    <s:row r="16442" hidden="1" ht="1" customHeight="1">
      <s:c r="A16442" s="83" t="inlineStr">
        <s:is>
          <s:t>SKIPPED</s:t>
        </s:is>
      </s:c>
      <s:c r="B16442" s="83">
        <s:f>SUM(IF(EXACT('Kiểm thử'!E16189,"Không thực hiện"),1,0),IF(EXACT('Kiểm thử'!E16191,"Không thực hiện"),1,0),IF(EXACT('Kiểm thử'!E16193,"Không thực hiện"),1,0),IF(EXACT('Kiểm thử'!E16195,"Không thực hiện"),1,0),IF(EXACT('Kiểm thử'!E16197,"Không thực hiện"),1,0))</s:f>
        <s:v/>
      </s:c>
      <s:c r="C16442" s="19" t="n"/>
      <s:c r="D16442" s="19" t="n"/>
      <s:c r="E16442" s="19" t="n"/>
    </s:row>
    <s:row r="16443" hidden="1" ht="1" customHeight="1">
      <s:c r="A16443" s="83" t="inlineStr">
        <s:is>
          <s:t>NOT RUN</s:t>
        </s:is>
      </s:c>
      <s:c r="B16443" s="83">
        <s:f>SUM(IF(EXACT('Kiểm thử'!E16189,"Chưa thực hiện"),1,0),IF(EXACT('Kiểm thử'!E16191,"Chưa thực hiện"),1,0),IF(EXACT('Kiểm thử'!E16193,"Chưa thực hiện"),1,0),IF(EXACT('Kiểm thử'!E16195,"Chưa thực hiện"),1,0),IF(EXACT('Kiểm thử'!E16197,"Chưa thực hiện"),1,0))</s:f>
        <s:v/>
      </s:c>
      <s:c r="C16443" s="19" t="n"/>
      <s:c r="D16443" s="19" t="n"/>
      <s:c r="E16443" s="19" t="n"/>
    </s:row>
    <s:row r="16444" hidden="1" ht="6" customHeight="1">
      <s:c r="A16444" s="83" t="inlineStr"/>
      <s:c r="B16444" s="19" t="n"/>
      <s:c r="C16444" s="19" t="n"/>
      <s:c r="D16444" s="19" t="n"/>
      <s:c r="E16444" s="19" t="n"/>
    </s:row>
    <s:row r="16445" ht="28" customHeight="1">
      <s:c r="A16445" s="108" t="inlineStr">
        <s:is>
          <s:t>TC-RS-VAL-017 — Trích xuất: bật ký hiệu thì bắt buộc nhập ký hiệu</s:t>
        </s:is>
      </s:c>
      <s:c r="B16445" s="111" t="n"/>
      <s:c r="C16445" s="111" t="n"/>
      <s:c r="D16445" s="111" t="n"/>
      <s:c r="E16445" s="111" t="n"/>
    </s:row>
    <s:row r="16446" ht="20" customHeight="1">
      <s:c r="A16446" s="112" t="inlineStr">
        <s:is>
          <s:t>Kết quả tình huống</s:t>
        </s:is>
      </s:c>
      <s:c r="B16446" s="113">
        <s:f>IF(SUM(IF(EXACT('Kiểm thử'!E16453,"Không đạt"),1,0),IF(EXACT('Kiểm thử'!E16455,"Không đạt"),1,0))&gt;0,"Không đạt",IF(SUM(IF(EXACT('Kiểm thử'!E16453,"Đạt"),1,0),IF(EXACT('Kiểm thử'!E16455,"Đạt"),1,0))=2,"Đạt",IF(SUM(IF(EXACT('Kiểm thử'!E16453,"Không thực hiện"),1,0),IF(EXACT('Kiểm thử'!E16455,"Không thực hiện"),1,0))=2,"Không thực hiện",IF(SUM(IF(EXACT('Kiểm thử'!E16453,"Bị chặn"),1,0),IF(EXACT('Kiểm thử'!E16455,"Bị chặn"),1,0))&gt;0,"Bị chặn",IF(SUM(IF(EXACT('Kiểm thử'!E16453,"Chưa thực hiện"),1,0),IF(EXACT('Kiểm thử'!E16455,"Chưa thực hiện"),1,0))=2,"Chưa thực hiện","Đang thực hiện")))))</s:f>
        <s:v/>
      </s:c>
      <s:c r="C16446" s="114" t="n"/>
      <s:c r="D16446" s="114" t="n"/>
      <s:c r="E16446" s="114" t="n"/>
    </s:row>
    <s:row r="16447" ht="20" customHeight="1">
      <s:c r="A16447" s="112" t="inlineStr">
        <s:is>
          <s:t>Màn hình / chức năng</s:t>
        </s:is>
      </s:c>
      <s:c r="B16447" s="113" t="inlineStr">
        <s:is>
          <s:r>
            <s:rPr>
              <s:b val="1"/>
            </s:rPr>
            <s:t>Trích xuất thành tích（成績抽出）</s:t>
          </s:r>
        </s:is>
      </s:c>
      <s:c r="C16447" s="28" t="n"/>
      <s:c r="D16447" s="28" t="n"/>
      <s:c r="E16447" s="28" t="n"/>
    </s:row>
    <s:row r="16448" ht="34" customHeight="1">
      <s:c r="A16448" s="112" t="inlineStr">
        <s:is>
          <s:t>Cấu hình</s:t>
        </s:is>
      </s:c>
      <s:c r="B16448" s="113" t="inlineStr">
        <s:is>
          <s:r>
            <s:t xml:space="preserve">• Mở </s:t>
          </s:r>
          <s:r>
            <s:rPr>
              <s:b val="1"/>
            </s:rPr>
            <s:t>Trích xuất thành tích（成績抽出）</s:t>
          </s:r>
          <s:r>
            <s:t>, tài khoản phụ trách đầu ra (trích xuất, công khai, phiếu điểm).</s:t>
          </s:r>
        </s:is>
      </s:c>
      <s:c r="C16448" s="28" t="n"/>
      <s:c r="D16448" s="28" t="n"/>
      <s:c r="E16448" s="28" t="n"/>
    </s:row>
    <s:row r="16449" ht="34" customHeight="1">
      <s:c r="A16449" s="112" t="inlineStr">
        <s:is>
          <s:t>Dữ liệu test</s:t>
        </s:is>
      </s:c>
      <s:c r="B16449" s="113" t="inlineStr">
        <s:is>
          <s:t>• Ký hiệu đầu BẬT, ô trống;
• Ký hiệu cuối BẬT, ô trống</s:t>
        </s:is>
      </s:c>
      <s:c r="C16449" s="28" t="n"/>
      <s:c r="D16449" s="28" t="n"/>
      <s:c r="E16449" s="28" t="n"/>
    </s:row>
    <s:row r="16450" ht="20" customHeight="1">
      <s:c r="A16450" s="112" t="inlineStr">
        <s:is>
          <s:t>•</s:t>
        </s:is>
      </s:c>
      <s:c r="B16450" s="113" t="inlineStr">
        <s:is>
          <s:t>Chạy trích xuất với từng biến thể.</s:t>
        </s:is>
      </s:c>
      <s:c r="C16450" s="28" t="n"/>
      <s:c r="D16450" s="28" t="n"/>
      <s:c r="E16450" s="28" t="n"/>
    </s:row>
    <s:row r="16451" ht="28" customHeight="1">
      <s:c r="A16451" s="115" t="inlineStr">
        <s:is>
          <s:t>Trường hợp</s:t>
        </s:is>
      </s:c>
      <s:c r="B16451" s="115" t="inlineStr">
        <s:is>
          <s:t>Dữ liệu / thao tác riêng</s:t>
        </s:is>
      </s:c>
      <s:c r="C16451" s="115" t="inlineStr">
        <s:is>
          <s:t>Kết quả mong đợi</s:t>
        </s:is>
      </s:c>
      <s:c r="D16451" s="115" t="inlineStr">
        <s:is>
          <s:t>Kết quả thực tế</s:t>
        </s:is>
      </s:c>
      <s:c r="E16451" s="115" t="inlineStr">
        <s:is>
          <s:t>Đánh giá</s:t>
        </s:is>
      </s:c>
    </s:row>
    <s:row r="16452" ht="3" customHeight="1">
      <s:c r="A16452" s="102" t="inlineStr"/>
      <s:c r="B16452" s="99" t="n"/>
      <s:c r="C16452" s="99" t="n"/>
      <s:c r="D16452" s="116" t="n"/>
      <s:c r="E16452" s="116" t="n"/>
    </s:row>
    <s:row r="16453" ht="48" customHeight="1">
      <s:c r="A16453" s="83" t="inlineStr">
        <s:is>
          <s:t>Ký hiệu trước để trống (prefix)</s:t>
        </s:is>
      </s:c>
      <s:c r="B16453" s="83" t="inlineStr">
        <s:is>
          <s:t>Bật tùy chọn ký hiệu phía trước, để ký hiệu trống; chạy trích xuất.</s:t>
        </s:is>
      </s:c>
      <s:c r="C16453" s="83" t="inlineStr">
        <s:is>
          <s:t>Có lỗi yêu cầu nhập ký hiệu; không chạy trích xuất.</s:t>
        </s:is>
      </s:c>
      <s:c r="D16453" s="117" t="inlineStr"/>
      <s:c r="E16453" s="118" t="inlineStr">
        <s:is>
          <s:t>Chưa thực hiện</s:t>
        </s:is>
      </s:c>
    </s:row>
    <s:row r="16454" ht="3" customHeight="1">
      <s:c r="A16454" s="102" t="inlineStr"/>
      <s:c r="B16454" s="99" t="n"/>
      <s:c r="C16454" s="99" t="n"/>
      <s:c r="D16454" s="116" t="n"/>
      <s:c r="E16454" s="116" t="n"/>
    </s:row>
    <s:row r="16455" ht="48" customHeight="1">
      <s:c r="A16455" s="83" t="inlineStr">
        <s:is>
          <s:t>Ký hiệu sau để trống (suffix)</s:t>
        </s:is>
      </s:c>
      <s:c r="B16455" s="83" t="inlineStr">
        <s:is>
          <s:t>Bật tùy chọn ký hiệu phía sau, để ký hiệu trống; chạy trích xuất.</s:t>
        </s:is>
      </s:c>
      <s:c r="C16455" s="83" t="inlineStr">
        <s:is>
          <s:t>Có lỗi yêu cầu nhập ký hiệu; không chạy trích xuất.</s:t>
        </s:is>
      </s:c>
      <s:c r="D16455" s="117" t="inlineStr"/>
      <s:c r="E16455" s="118" t="inlineStr">
        <s:is>
          <s:t>Chưa thực hiện</s:t>
        </s:is>
      </s:c>
    </s:row>
    <s:row r="16456" ht="20" customHeight="1">
      <s:c r="A16456" s="119" t="inlineStr">
        <s:is>
          <s:t>Ảnh minh chứng — Chưa có ảnh</s:t>
        </s:is>
      </s:c>
      <s:c r="B16456" s="19" t="n"/>
      <s:c r="C16456" s="19" t="n"/>
      <s:c r="D16456" s="19" t="n"/>
      <s:c r="E16456" s="19" t="n"/>
    </s:row>
    <s:row r="16457" hidden="1" ht="1" customHeight="1">
      <s:c r="A16457" s="120" t="inlineStr"/>
      <s:c r="B16457" s="121" t="n"/>
      <s:c r="C16457" s="121" t="n"/>
      <s:c r="D16457" s="121" t="n"/>
      <s:c r="E16457" s="122" t="n"/>
    </s:row>
    <s:row r="16458" hidden="1" ht="1" customHeight="1">
      <s:c r="A16458" s="120" t="inlineStr"/>
      <s:c r="B16458" s="121" t="n"/>
      <s:c r="C16458" s="121" t="n"/>
      <s:c r="D16458" s="121" t="n"/>
      <s:c r="E16458" s="122" t="n"/>
    </s:row>
    <s:row r="16459" hidden="1" ht="1" customHeight="1">
      <s:c r="A16459" s="120" t="inlineStr"/>
      <s:c r="B16459" s="121" t="n"/>
      <s:c r="C16459" s="121" t="n"/>
      <s:c r="D16459" s="121" t="n"/>
      <s:c r="E16459" s="122" t="n"/>
    </s:row>
    <s:row r="16460" hidden="1" ht="1" customHeight="1">
      <s:c r="A16460" s="120" t="inlineStr"/>
      <s:c r="B16460" s="121" t="n"/>
      <s:c r="C16460" s="121" t="n"/>
      <s:c r="D16460" s="121" t="n"/>
      <s:c r="E16460" s="122" t="n"/>
    </s:row>
    <s:row r="16461" hidden="1" ht="1" customHeight="1">
      <s:c r="A16461" s="120" t="inlineStr"/>
      <s:c r="B16461" s="121" t="n"/>
      <s:c r="C16461" s="121" t="n"/>
      <s:c r="D16461" s="121" t="n"/>
      <s:c r="E16461" s="122" t="n"/>
    </s:row>
    <s:row r="16462" hidden="1" ht="1" customHeight="1">
      <s:c r="A16462" s="120" t="inlineStr"/>
      <s:c r="B16462" s="121" t="n"/>
      <s:c r="C16462" s="121" t="n"/>
      <s:c r="D16462" s="121" t="n"/>
      <s:c r="E16462" s="122" t="n"/>
    </s:row>
    <s:row r="16463" hidden="1" ht="1" customHeight="1">
      <s:c r="A16463" s="120" t="inlineStr"/>
      <s:c r="B16463" s="121" t="n"/>
      <s:c r="C16463" s="121" t="n"/>
      <s:c r="D16463" s="121" t="n"/>
      <s:c r="E16463" s="122" t="n"/>
    </s:row>
    <s:row r="16464" hidden="1" ht="1" customHeight="1">
      <s:c r="A16464" s="120" t="inlineStr"/>
      <s:c r="B16464" s="121" t="n"/>
      <s:c r="C16464" s="121" t="n"/>
      <s:c r="D16464" s="121" t="n"/>
      <s:c r="E16464" s="122" t="n"/>
    </s:row>
    <s:row r="16465" hidden="1" ht="1" customHeight="1">
      <s:c r="A16465" s="120" t="inlineStr"/>
      <s:c r="B16465" s="121" t="n"/>
      <s:c r="C16465" s="121" t="n"/>
      <s:c r="D16465" s="121" t="n"/>
      <s:c r="E16465" s="122" t="n"/>
    </s:row>
    <s:row r="16466" hidden="1" ht="1" customHeight="1">
      <s:c r="A16466" s="120" t="inlineStr"/>
      <s:c r="B16466" s="121" t="n"/>
      <s:c r="C16466" s="121" t="n"/>
      <s:c r="D16466" s="121" t="n"/>
      <s:c r="E16466" s="122" t="n"/>
    </s:row>
    <s:row r="16467" hidden="1" ht="1" customHeight="1">
      <s:c r="A16467" s="120" t="inlineStr"/>
      <s:c r="B16467" s="121" t="n"/>
      <s:c r="C16467" s="121" t="n"/>
      <s:c r="D16467" s="121" t="n"/>
      <s:c r="E16467" s="122" t="n"/>
    </s:row>
    <s:row r="16468" hidden="1" ht="1" customHeight="1">
      <s:c r="A16468" s="120" t="inlineStr"/>
      <s:c r="B16468" s="121" t="n"/>
      <s:c r="C16468" s="121" t="n"/>
      <s:c r="D16468" s="121" t="n"/>
      <s:c r="E16468" s="122" t="n"/>
    </s:row>
    <s:row r="16469" hidden="1" ht="1" customHeight="1">
      <s:c r="A16469" s="120" t="inlineStr"/>
      <s:c r="B16469" s="121" t="n"/>
      <s:c r="C16469" s="121" t="n"/>
      <s:c r="D16469" s="121" t="n"/>
      <s:c r="E16469" s="122" t="n"/>
    </s:row>
    <s:row r="16470" hidden="1" ht="1" customHeight="1">
      <s:c r="A16470" s="120" t="inlineStr"/>
      <s:c r="B16470" s="121" t="n"/>
      <s:c r="C16470" s="121" t="n"/>
      <s:c r="D16470" s="121" t="n"/>
      <s:c r="E16470" s="122" t="n"/>
    </s:row>
    <s:row r="16471" hidden="1" ht="1" customHeight="1">
      <s:c r="A16471" s="120" t="inlineStr"/>
      <s:c r="B16471" s="121" t="n"/>
      <s:c r="C16471" s="121" t="n"/>
      <s:c r="D16471" s="121" t="n"/>
      <s:c r="E16471" s="122" t="n"/>
    </s:row>
    <s:row r="16472" hidden="1" ht="1" customHeight="1">
      <s:c r="A16472" s="120" t="inlineStr"/>
      <s:c r="B16472" s="121" t="n"/>
      <s:c r="C16472" s="121" t="n"/>
      <s:c r="D16472" s="121" t="n"/>
      <s:c r="E16472" s="122" t="n"/>
    </s:row>
    <s:row r="16473" hidden="1" ht="1" customHeight="1">
      <s:c r="A16473" s="120" t="inlineStr"/>
      <s:c r="B16473" s="121" t="n"/>
      <s:c r="C16473" s="121" t="n"/>
      <s:c r="D16473" s="121" t="n"/>
      <s:c r="E16473" s="122" t="n"/>
    </s:row>
    <s:row r="16474" hidden="1" ht="1" customHeight="1">
      <s:c r="A16474" s="120" t="inlineStr"/>
      <s:c r="B16474" s="121" t="n"/>
      <s:c r="C16474" s="121" t="n"/>
      <s:c r="D16474" s="121" t="n"/>
      <s:c r="E16474" s="122" t="n"/>
    </s:row>
    <s:row r="16475" hidden="1" ht="1" customHeight="1">
      <s:c r="A16475" s="120" t="inlineStr"/>
      <s:c r="B16475" s="121" t="n"/>
      <s:c r="C16475" s="121" t="n"/>
      <s:c r="D16475" s="121" t="n"/>
      <s:c r="E16475" s="122" t="n"/>
    </s:row>
    <s:row r="16476" hidden="1" ht="1" customHeight="1">
      <s:c r="A16476" s="120" t="inlineStr"/>
      <s:c r="B16476" s="121" t="n"/>
      <s:c r="C16476" s="121" t="n"/>
      <s:c r="D16476" s="121" t="n"/>
      <s:c r="E16476" s="122" t="n"/>
    </s:row>
    <s:row r="16477" hidden="1" ht="1" customHeight="1">
      <s:c r="A16477" s="120" t="inlineStr"/>
      <s:c r="B16477" s="121" t="n"/>
      <s:c r="C16477" s="121" t="n"/>
      <s:c r="D16477" s="121" t="n"/>
      <s:c r="E16477" s="122" t="n"/>
    </s:row>
    <s:row r="16478" hidden="1" ht="1" customHeight="1">
      <s:c r="A16478" s="120" t="inlineStr"/>
      <s:c r="B16478" s="121" t="n"/>
      <s:c r="C16478" s="121" t="n"/>
      <s:c r="D16478" s="121" t="n"/>
      <s:c r="E16478" s="122" t="n"/>
    </s:row>
    <s:row r="16479" hidden="1" ht="1" customHeight="1">
      <s:c r="A16479" s="120" t="inlineStr"/>
      <s:c r="B16479" s="121" t="n"/>
      <s:c r="C16479" s="121" t="n"/>
      <s:c r="D16479" s="121" t="n"/>
      <s:c r="E16479" s="122" t="n"/>
    </s:row>
    <s:row r="16480" hidden="1" ht="1" customHeight="1">
      <s:c r="A16480" s="120" t="inlineStr"/>
      <s:c r="B16480" s="121" t="n"/>
      <s:c r="C16480" s="121" t="n"/>
      <s:c r="D16480" s="121" t="n"/>
      <s:c r="E16480" s="122" t="n"/>
    </s:row>
    <s:row r="16481" hidden="1" ht="1" customHeight="1">
      <s:c r="A16481" s="120" t="inlineStr"/>
      <s:c r="B16481" s="121" t="n"/>
      <s:c r="C16481" s="121" t="n"/>
      <s:c r="D16481" s="121" t="n"/>
      <s:c r="E16481" s="122" t="n"/>
    </s:row>
    <s:row r="16482" hidden="1" ht="1" customHeight="1">
      <s:c r="A16482" s="120" t="inlineStr"/>
      <s:c r="B16482" s="121" t="n"/>
      <s:c r="C16482" s="121" t="n"/>
      <s:c r="D16482" s="121" t="n"/>
      <s:c r="E16482" s="122" t="n"/>
    </s:row>
    <s:row r="16483" hidden="1" ht="1" customHeight="1">
      <s:c r="A16483" s="120" t="inlineStr"/>
      <s:c r="B16483" s="121" t="n"/>
      <s:c r="C16483" s="121" t="n"/>
      <s:c r="D16483" s="121" t="n"/>
      <s:c r="E16483" s="122" t="n"/>
    </s:row>
    <s:row r="16484" hidden="1" ht="1" customHeight="1">
      <s:c r="A16484" s="120" t="inlineStr"/>
      <s:c r="B16484" s="121" t="n"/>
      <s:c r="C16484" s="121" t="n"/>
      <s:c r="D16484" s="121" t="n"/>
      <s:c r="E16484" s="122" t="n"/>
    </s:row>
    <s:row r="16485" hidden="1" ht="1" customHeight="1">
      <s:c r="A16485" s="120" t="inlineStr"/>
      <s:c r="B16485" s="121" t="n"/>
      <s:c r="C16485" s="121" t="n"/>
      <s:c r="D16485" s="121" t="n"/>
      <s:c r="E16485" s="122" t="n"/>
    </s:row>
    <s:row r="16486" hidden="1" ht="1" customHeight="1">
      <s:c r="A16486" s="120" t="inlineStr"/>
      <s:c r="B16486" s="121" t="n"/>
      <s:c r="C16486" s="121" t="n"/>
      <s:c r="D16486" s="121" t="n"/>
      <s:c r="E16486" s="122" t="n"/>
    </s:row>
    <s:row r="16487" hidden="1" ht="1" customHeight="1">
      <s:c r="A16487" s="120" t="inlineStr"/>
      <s:c r="B16487" s="121" t="n"/>
      <s:c r="C16487" s="121" t="n"/>
      <s:c r="D16487" s="121" t="n"/>
      <s:c r="E16487" s="122" t="n"/>
    </s:row>
    <s:row r="16488" hidden="1" ht="1" customHeight="1">
      <s:c r="A16488" s="120" t="inlineStr"/>
      <s:c r="B16488" s="121" t="n"/>
      <s:c r="C16488" s="121" t="n"/>
      <s:c r="D16488" s="121" t="n"/>
      <s:c r="E16488" s="122" t="n"/>
    </s:row>
    <s:row r="16489" hidden="1" ht="1" customHeight="1">
      <s:c r="A16489" s="120" t="inlineStr"/>
      <s:c r="B16489" s="121" t="n"/>
      <s:c r="C16489" s="121" t="n"/>
      <s:c r="D16489" s="121" t="n"/>
      <s:c r="E16489" s="122" t="n"/>
    </s:row>
    <s:row r="16490" hidden="1" ht="1" customHeight="1">
      <s:c r="A16490" s="120" t="inlineStr"/>
      <s:c r="B16490" s="121" t="n"/>
      <s:c r="C16490" s="121" t="n"/>
      <s:c r="D16490" s="121" t="n"/>
      <s:c r="E16490" s="122" t="n"/>
    </s:row>
    <s:row r="16491" hidden="1" ht="1" customHeight="1">
      <s:c r="A16491" s="120" t="inlineStr"/>
      <s:c r="B16491" s="121" t="n"/>
      <s:c r="C16491" s="121" t="n"/>
      <s:c r="D16491" s="121" t="n"/>
      <s:c r="E16491" s="122" t="n"/>
    </s:row>
    <s:row r="16492" hidden="1" ht="1" customHeight="1">
      <s:c r="A16492" s="120" t="inlineStr"/>
      <s:c r="B16492" s="121" t="n"/>
      <s:c r="C16492" s="121" t="n"/>
      <s:c r="D16492" s="121" t="n"/>
      <s:c r="E16492" s="122" t="n"/>
    </s:row>
    <s:row r="16493" hidden="1" ht="1" customHeight="1">
      <s:c r="A16493" s="120" t="inlineStr"/>
      <s:c r="B16493" s="121" t="n"/>
      <s:c r="C16493" s="121" t="n"/>
      <s:c r="D16493" s="121" t="n"/>
      <s:c r="E16493" s="122" t="n"/>
    </s:row>
    <s:row r="16494" hidden="1" ht="1" customHeight="1">
      <s:c r="A16494" s="120" t="inlineStr"/>
      <s:c r="B16494" s="121" t="n"/>
      <s:c r="C16494" s="121" t="n"/>
      <s:c r="D16494" s="121" t="n"/>
      <s:c r="E16494" s="122" t="n"/>
    </s:row>
    <s:row r="16495" hidden="1" ht="1" customHeight="1">
      <s:c r="A16495" s="120" t="inlineStr"/>
      <s:c r="B16495" s="121" t="n"/>
      <s:c r="C16495" s="121" t="n"/>
      <s:c r="D16495" s="121" t="n"/>
      <s:c r="E16495" s="122" t="n"/>
    </s:row>
    <s:row r="16496" hidden="1" ht="1" customHeight="1">
      <s:c r="A16496" s="120" t="inlineStr"/>
      <s:c r="B16496" s="121" t="n"/>
      <s:c r="C16496" s="121" t="n"/>
      <s:c r="D16496" s="121" t="n"/>
      <s:c r="E16496" s="122" t="n"/>
    </s:row>
    <s:row r="16497" hidden="1" ht="1" customHeight="1">
      <s:c r="A16497" s="120" t="inlineStr"/>
      <s:c r="B16497" s="121" t="n"/>
      <s:c r="C16497" s="121" t="n"/>
      <s:c r="D16497" s="121" t="n"/>
      <s:c r="E16497" s="122" t="n"/>
    </s:row>
    <s:row r="16498" hidden="1" ht="1" customHeight="1">
      <s:c r="A16498" s="120" t="inlineStr"/>
      <s:c r="B16498" s="121" t="n"/>
      <s:c r="C16498" s="121" t="n"/>
      <s:c r="D16498" s="121" t="n"/>
      <s:c r="E16498" s="122" t="n"/>
    </s:row>
    <s:row r="16499" hidden="1" ht="1" customHeight="1">
      <s:c r="A16499" s="120" t="inlineStr"/>
      <s:c r="B16499" s="121" t="n"/>
      <s:c r="C16499" s="121" t="n"/>
      <s:c r="D16499" s="121" t="n"/>
      <s:c r="E16499" s="122" t="n"/>
    </s:row>
    <s:row r="16500" hidden="1" ht="1" customHeight="1">
      <s:c r="A16500" s="120" t="inlineStr"/>
      <s:c r="B16500" s="121" t="n"/>
      <s:c r="C16500" s="121" t="n"/>
      <s:c r="D16500" s="121" t="n"/>
      <s:c r="E16500" s="122" t="n"/>
    </s:row>
    <s:row r="16501" hidden="1" ht="1" customHeight="1">
      <s:c r="A16501" s="120" t="inlineStr"/>
      <s:c r="B16501" s="121" t="n"/>
      <s:c r="C16501" s="121" t="n"/>
      <s:c r="D16501" s="121" t="n"/>
      <s:c r="E16501" s="122" t="n"/>
    </s:row>
    <s:row r="16502" hidden="1" ht="1" customHeight="1">
      <s:c r="A16502" s="120" t="inlineStr"/>
      <s:c r="B16502" s="121" t="n"/>
      <s:c r="C16502" s="121" t="n"/>
      <s:c r="D16502" s="121" t="n"/>
      <s:c r="E16502" s="122" t="n"/>
    </s:row>
    <s:row r="16503" hidden="1" ht="1" customHeight="1">
      <s:c r="A16503" s="120" t="inlineStr"/>
      <s:c r="B16503" s="121" t="n"/>
      <s:c r="C16503" s="121" t="n"/>
      <s:c r="D16503" s="121" t="n"/>
      <s:c r="E16503" s="122" t="n"/>
    </s:row>
    <s:row r="16504" hidden="1" ht="1" customHeight="1">
      <s:c r="A16504" s="120" t="inlineStr"/>
      <s:c r="B16504" s="121" t="n"/>
      <s:c r="C16504" s="121" t="n"/>
      <s:c r="D16504" s="121" t="n"/>
      <s:c r="E16504" s="122" t="n"/>
    </s:row>
    <s:row r="16505" hidden="1" ht="1" customHeight="1">
      <s:c r="A16505" s="120" t="inlineStr"/>
      <s:c r="B16505" s="121" t="n"/>
      <s:c r="C16505" s="121" t="n"/>
      <s:c r="D16505" s="121" t="n"/>
      <s:c r="E16505" s="122" t="n"/>
    </s:row>
    <s:row r="16506" hidden="1" ht="1" customHeight="1">
      <s:c r="A16506" s="120" t="inlineStr"/>
      <s:c r="B16506" s="121" t="n"/>
      <s:c r="C16506" s="121" t="n"/>
      <s:c r="D16506" s="121" t="n"/>
      <s:c r="E16506" s="122" t="n"/>
    </s:row>
    <s:row r="16507" hidden="1" ht="1" customHeight="1">
      <s:c r="A16507" s="120" t="inlineStr"/>
      <s:c r="B16507" s="121" t="n"/>
      <s:c r="C16507" s="121" t="n"/>
      <s:c r="D16507" s="121" t="n"/>
      <s:c r="E16507" s="122" t="n"/>
    </s:row>
    <s:row r="16508" hidden="1" ht="1" customHeight="1">
      <s:c r="A16508" s="120" t="inlineStr"/>
      <s:c r="B16508" s="121" t="n"/>
      <s:c r="C16508" s="121" t="n"/>
      <s:c r="D16508" s="121" t="n"/>
      <s:c r="E16508" s="122" t="n"/>
    </s:row>
    <s:row r="16509" hidden="1" ht="1" customHeight="1">
      <s:c r="A16509" s="120" t="inlineStr"/>
      <s:c r="B16509" s="121" t="n"/>
      <s:c r="C16509" s="121" t="n"/>
      <s:c r="D16509" s="121" t="n"/>
      <s:c r="E16509" s="122" t="n"/>
    </s:row>
    <s:row r="16510" hidden="1" ht="1" customHeight="1">
      <s:c r="A16510" s="120" t="inlineStr"/>
      <s:c r="B16510" s="121" t="n"/>
      <s:c r="C16510" s="121" t="n"/>
      <s:c r="D16510" s="121" t="n"/>
      <s:c r="E16510" s="122" t="n"/>
    </s:row>
    <s:row r="16511" hidden="1" ht="1" customHeight="1">
      <s:c r="A16511" s="120" t="inlineStr"/>
      <s:c r="B16511" s="121" t="n"/>
      <s:c r="C16511" s="121" t="n"/>
      <s:c r="D16511" s="121" t="n"/>
      <s:c r="E16511" s="122" t="n"/>
    </s:row>
    <s:row r="16512" hidden="1" ht="1" customHeight="1">
      <s:c r="A16512" s="120" t="inlineStr"/>
      <s:c r="B16512" s="121" t="n"/>
      <s:c r="C16512" s="121" t="n"/>
      <s:c r="D16512" s="121" t="n"/>
      <s:c r="E16512" s="122" t="n"/>
    </s:row>
    <s:row r="16513" hidden="1" ht="1" customHeight="1">
      <s:c r="A16513" s="120" t="inlineStr"/>
      <s:c r="B16513" s="121" t="n"/>
      <s:c r="C16513" s="121" t="n"/>
      <s:c r="D16513" s="121" t="n"/>
      <s:c r="E16513" s="122" t="n"/>
    </s:row>
    <s:row r="16514" hidden="1" ht="1" customHeight="1">
      <s:c r="A16514" s="120" t="inlineStr"/>
      <s:c r="B16514" s="121" t="n"/>
      <s:c r="C16514" s="121" t="n"/>
      <s:c r="D16514" s="121" t="n"/>
      <s:c r="E16514" s="122" t="n"/>
    </s:row>
    <s:row r="16515" hidden="1" ht="1" customHeight="1">
      <s:c r="A16515" s="120" t="inlineStr"/>
      <s:c r="B16515" s="121" t="n"/>
      <s:c r="C16515" s="121" t="n"/>
      <s:c r="D16515" s="121" t="n"/>
      <s:c r="E16515" s="122" t="n"/>
    </s:row>
    <s:row r="16516" hidden="1" ht="1" customHeight="1">
      <s:c r="A16516" s="120" t="inlineStr"/>
      <s:c r="B16516" s="121" t="n"/>
      <s:c r="C16516" s="121" t="n"/>
      <s:c r="D16516" s="121" t="n"/>
      <s:c r="E16516" s="122" t="n"/>
    </s:row>
    <s:row r="16517" hidden="1" ht="1" customHeight="1">
      <s:c r="A16517" s="120" t="inlineStr"/>
      <s:c r="B16517" s="121" t="n"/>
      <s:c r="C16517" s="121" t="n"/>
      <s:c r="D16517" s="121" t="n"/>
      <s:c r="E16517" s="122" t="n"/>
    </s:row>
    <s:row r="16518" hidden="1" ht="1" customHeight="1">
      <s:c r="A16518" s="120" t="inlineStr"/>
      <s:c r="B16518" s="121" t="n"/>
      <s:c r="C16518" s="121" t="n"/>
      <s:c r="D16518" s="121" t="n"/>
      <s:c r="E16518" s="122" t="n"/>
    </s:row>
    <s:row r="16519" hidden="1" ht="1" customHeight="1">
      <s:c r="A16519" s="120" t="inlineStr"/>
      <s:c r="B16519" s="121" t="n"/>
      <s:c r="C16519" s="121" t="n"/>
      <s:c r="D16519" s="121" t="n"/>
      <s:c r="E16519" s="122" t="n"/>
    </s:row>
    <s:row r="16520" hidden="1" ht="1" customHeight="1">
      <s:c r="A16520" s="120" t="inlineStr"/>
      <s:c r="B16520" s="121" t="n"/>
      <s:c r="C16520" s="121" t="n"/>
      <s:c r="D16520" s="121" t="n"/>
      <s:c r="E16520" s="122" t="n"/>
    </s:row>
    <s:row r="16521" hidden="1" ht="1" customHeight="1">
      <s:c r="A16521" s="120" t="inlineStr"/>
      <s:c r="B16521" s="121" t="n"/>
      <s:c r="C16521" s="121" t="n"/>
      <s:c r="D16521" s="121" t="n"/>
      <s:c r="E16521" s="122" t="n"/>
    </s:row>
    <s:row r="16522" hidden="1" ht="1" customHeight="1">
      <s:c r="A16522" s="120" t="inlineStr"/>
      <s:c r="B16522" s="121" t="n"/>
      <s:c r="C16522" s="121" t="n"/>
      <s:c r="D16522" s="121" t="n"/>
      <s:c r="E16522" s="122" t="n"/>
    </s:row>
    <s:row r="16523" hidden="1" ht="1" customHeight="1">
      <s:c r="A16523" s="120" t="inlineStr"/>
      <s:c r="B16523" s="121" t="n"/>
      <s:c r="C16523" s="121" t="n"/>
      <s:c r="D16523" s="121" t="n"/>
      <s:c r="E16523" s="122" t="n"/>
    </s:row>
    <s:row r="16524" hidden="1" ht="1" customHeight="1">
      <s:c r="A16524" s="120" t="inlineStr"/>
      <s:c r="B16524" s="121" t="n"/>
      <s:c r="C16524" s="121" t="n"/>
      <s:c r="D16524" s="121" t="n"/>
      <s:c r="E16524" s="122" t="n"/>
    </s:row>
    <s:row r="16525" hidden="1" ht="1" customHeight="1">
      <s:c r="A16525" s="120" t="inlineStr"/>
      <s:c r="B16525" s="121" t="n"/>
      <s:c r="C16525" s="121" t="n"/>
      <s:c r="D16525" s="121" t="n"/>
      <s:c r="E16525" s="122" t="n"/>
    </s:row>
    <s:row r="16526" hidden="1" ht="1" customHeight="1">
      <s:c r="A16526" s="120" t="inlineStr"/>
      <s:c r="B16526" s="121" t="n"/>
      <s:c r="C16526" s="121" t="n"/>
      <s:c r="D16526" s="121" t="n"/>
      <s:c r="E16526" s="122" t="n"/>
    </s:row>
    <s:row r="16527" hidden="1" ht="1" customHeight="1">
      <s:c r="A16527" s="120" t="inlineStr"/>
      <s:c r="B16527" s="121" t="n"/>
      <s:c r="C16527" s="121" t="n"/>
      <s:c r="D16527" s="121" t="n"/>
      <s:c r="E16527" s="122" t="n"/>
    </s:row>
    <s:row r="16528" hidden="1" ht="1" customHeight="1">
      <s:c r="A16528" s="120" t="inlineStr"/>
      <s:c r="B16528" s="121" t="n"/>
      <s:c r="C16528" s="121" t="n"/>
      <s:c r="D16528" s="121" t="n"/>
      <s:c r="E16528" s="122" t="n"/>
    </s:row>
    <s:row r="16529" hidden="1" ht="1" customHeight="1">
      <s:c r="A16529" s="120" t="inlineStr"/>
      <s:c r="B16529" s="121" t="n"/>
      <s:c r="C16529" s="121" t="n"/>
      <s:c r="D16529" s="121" t="n"/>
      <s:c r="E16529" s="122" t="n"/>
    </s:row>
    <s:row r="16530" hidden="1" ht="1" customHeight="1">
      <s:c r="A16530" s="120" t="inlineStr"/>
      <s:c r="B16530" s="121" t="n"/>
      <s:c r="C16530" s="121" t="n"/>
      <s:c r="D16530" s="121" t="n"/>
      <s:c r="E16530" s="122" t="n"/>
    </s:row>
    <s:row r="16531" hidden="1" ht="1" customHeight="1">
      <s:c r="A16531" s="120" t="inlineStr"/>
      <s:c r="B16531" s="121" t="n"/>
      <s:c r="C16531" s="121" t="n"/>
      <s:c r="D16531" s="121" t="n"/>
      <s:c r="E16531" s="122" t="n"/>
    </s:row>
    <s:row r="16532" hidden="1" ht="1" customHeight="1">
      <s:c r="A16532" s="120" t="inlineStr"/>
      <s:c r="B16532" s="121" t="n"/>
      <s:c r="C16532" s="121" t="n"/>
      <s:c r="D16532" s="121" t="n"/>
      <s:c r="E16532" s="122" t="n"/>
    </s:row>
    <s:row r="16533" hidden="1" ht="1" customHeight="1">
      <s:c r="A16533" s="120" t="inlineStr"/>
      <s:c r="B16533" s="121" t="n"/>
      <s:c r="C16533" s="121" t="n"/>
      <s:c r="D16533" s="121" t="n"/>
      <s:c r="E16533" s="122" t="n"/>
    </s:row>
    <s:row r="16534" hidden="1" ht="1" customHeight="1">
      <s:c r="A16534" s="120" t="inlineStr"/>
      <s:c r="B16534" s="121" t="n"/>
      <s:c r="C16534" s="121" t="n"/>
      <s:c r="D16534" s="121" t="n"/>
      <s:c r="E16534" s="122" t="n"/>
    </s:row>
    <s:row r="16535" hidden="1" ht="1" customHeight="1">
      <s:c r="A16535" s="120" t="inlineStr"/>
      <s:c r="B16535" s="121" t="n"/>
      <s:c r="C16535" s="121" t="n"/>
      <s:c r="D16535" s="121" t="n"/>
      <s:c r="E16535" s="122" t="n"/>
    </s:row>
    <s:row r="16536" hidden="1" ht="1" customHeight="1">
      <s:c r="A16536" s="120" t="inlineStr"/>
      <s:c r="B16536" s="121" t="n"/>
      <s:c r="C16536" s="121" t="n"/>
      <s:c r="D16536" s="121" t="n"/>
      <s:c r="E16536" s="122" t="n"/>
    </s:row>
    <s:row r="16537" hidden="1" ht="1" customHeight="1">
      <s:c r="A16537" s="120" t="inlineStr"/>
      <s:c r="B16537" s="121" t="n"/>
      <s:c r="C16537" s="121" t="n"/>
      <s:c r="D16537" s="121" t="n"/>
      <s:c r="E16537" s="122" t="n"/>
    </s:row>
    <s:row r="16538" hidden="1" ht="1" customHeight="1">
      <s:c r="A16538" s="120" t="inlineStr"/>
      <s:c r="B16538" s="121" t="n"/>
      <s:c r="C16538" s="121" t="n"/>
      <s:c r="D16538" s="121" t="n"/>
      <s:c r="E16538" s="122" t="n"/>
    </s:row>
    <s:row r="16539" hidden="1" ht="1" customHeight="1">
      <s:c r="A16539" s="120" t="inlineStr"/>
      <s:c r="B16539" s="121" t="n"/>
      <s:c r="C16539" s="121" t="n"/>
      <s:c r="D16539" s="121" t="n"/>
      <s:c r="E16539" s="122" t="n"/>
    </s:row>
    <s:row r="16540" hidden="1" ht="1" customHeight="1">
      <s:c r="A16540" s="120" t="inlineStr"/>
      <s:c r="B16540" s="121" t="n"/>
      <s:c r="C16540" s="121" t="n"/>
      <s:c r="D16540" s="121" t="n"/>
      <s:c r="E16540" s="122" t="n"/>
    </s:row>
    <s:row r="16541" hidden="1" ht="1" customHeight="1">
      <s:c r="A16541" s="120" t="inlineStr"/>
      <s:c r="B16541" s="121" t="n"/>
      <s:c r="C16541" s="121" t="n"/>
      <s:c r="D16541" s="121" t="n"/>
      <s:c r="E16541" s="122" t="n"/>
    </s:row>
    <s:row r="16542" hidden="1" ht="1" customHeight="1">
      <s:c r="A16542" s="120" t="inlineStr"/>
      <s:c r="B16542" s="121" t="n"/>
      <s:c r="C16542" s="121" t="n"/>
      <s:c r="D16542" s="121" t="n"/>
      <s:c r="E16542" s="122" t="n"/>
    </s:row>
    <s:row r="16543" hidden="1" ht="1" customHeight="1">
      <s:c r="A16543" s="120" t="inlineStr"/>
      <s:c r="B16543" s="121" t="n"/>
      <s:c r="C16543" s="121" t="n"/>
      <s:c r="D16543" s="121" t="n"/>
      <s:c r="E16543" s="122" t="n"/>
    </s:row>
    <s:row r="16544" hidden="1" ht="1" customHeight="1">
      <s:c r="A16544" s="120" t="inlineStr"/>
      <s:c r="B16544" s="121" t="n"/>
      <s:c r="C16544" s="121" t="n"/>
      <s:c r="D16544" s="121" t="n"/>
      <s:c r="E16544" s="122" t="n"/>
    </s:row>
    <s:row r="16545" hidden="1" ht="1" customHeight="1">
      <s:c r="A16545" s="120" t="inlineStr"/>
      <s:c r="B16545" s="121" t="n"/>
      <s:c r="C16545" s="121" t="n"/>
      <s:c r="D16545" s="121" t="n"/>
      <s:c r="E16545" s="122" t="n"/>
    </s:row>
    <s:row r="16546" hidden="1" ht="1" customHeight="1">
      <s:c r="A16546" s="120" t="inlineStr"/>
      <s:c r="B16546" s="121" t="n"/>
      <s:c r="C16546" s="121" t="n"/>
      <s:c r="D16546" s="121" t="n"/>
      <s:c r="E16546" s="122" t="n"/>
    </s:row>
    <s:row r="16547" hidden="1" ht="1" customHeight="1">
      <s:c r="A16547" s="120" t="inlineStr"/>
      <s:c r="B16547" s="121" t="n"/>
      <s:c r="C16547" s="121" t="n"/>
      <s:c r="D16547" s="121" t="n"/>
      <s:c r="E16547" s="122" t="n"/>
    </s:row>
    <s:row r="16548" hidden="1" ht="1" customHeight="1">
      <s:c r="A16548" s="120" t="inlineStr"/>
      <s:c r="B16548" s="121" t="n"/>
      <s:c r="C16548" s="121" t="n"/>
      <s:c r="D16548" s="121" t="n"/>
      <s:c r="E16548" s="122" t="n"/>
    </s:row>
    <s:row r="16549" hidden="1" ht="1" customHeight="1">
      <s:c r="A16549" s="120" t="inlineStr"/>
      <s:c r="B16549" s="121" t="n"/>
      <s:c r="C16549" s="121" t="n"/>
      <s:c r="D16549" s="121" t="n"/>
      <s:c r="E16549" s="122" t="n"/>
    </s:row>
    <s:row r="16550" hidden="1" ht="1" customHeight="1">
      <s:c r="A16550" s="120" t="inlineStr"/>
      <s:c r="B16550" s="121" t="n"/>
      <s:c r="C16550" s="121" t="n"/>
      <s:c r="D16550" s="121" t="n"/>
      <s:c r="E16550" s="122" t="n"/>
    </s:row>
    <s:row r="16551" hidden="1" ht="1" customHeight="1">
      <s:c r="A16551" s="120" t="inlineStr"/>
      <s:c r="B16551" s="121" t="n"/>
      <s:c r="C16551" s="121" t="n"/>
      <s:c r="D16551" s="121" t="n"/>
      <s:c r="E16551" s="122" t="n"/>
    </s:row>
    <s:row r="16552" hidden="1" ht="1" customHeight="1">
      <s:c r="A16552" s="120" t="inlineStr"/>
      <s:c r="B16552" s="121" t="n"/>
      <s:c r="C16552" s="121" t="n"/>
      <s:c r="D16552" s="121" t="n"/>
      <s:c r="E16552" s="122" t="n"/>
    </s:row>
    <s:row r="16553" hidden="1" ht="1" customHeight="1">
      <s:c r="A16553" s="83" t="inlineStr">
        <s:is>
          <s:t>PASS</s:t>
        </s:is>
      </s:c>
      <s:c r="B16553" s="83">
        <s:f>SUM(IF(EXACT('Kiểm thử'!E16453,"Đạt"),1,0),IF(EXACT('Kiểm thử'!E16455,"Đạt"),1,0))</s:f>
        <s:v/>
      </s:c>
      <s:c r="C16553" s="19" t="n"/>
      <s:c r="D16553" s="19" t="n"/>
      <s:c r="E16553" s="19" t="n"/>
    </s:row>
    <s:row r="16554" hidden="1" ht="1" customHeight="1">
      <s:c r="A16554" s="83" t="inlineStr">
        <s:is>
          <s:t>FAIL</s:t>
        </s:is>
      </s:c>
      <s:c r="B16554" s="83">
        <s:f>SUM(IF(EXACT('Kiểm thử'!E16453,"Không đạt"),1,0),IF(EXACT('Kiểm thử'!E16455,"Không đạt"),1,0))</s:f>
        <s:v/>
      </s:c>
      <s:c r="C16554" s="19" t="n"/>
      <s:c r="D16554" s="19" t="n"/>
      <s:c r="E16554" s="19" t="n"/>
    </s:row>
    <s:row r="16555" hidden="1" ht="1" customHeight="1">
      <s:c r="A16555" s="83" t="inlineStr">
        <s:is>
          <s:t>BLOCKED</s:t>
        </s:is>
      </s:c>
      <s:c r="B16555" s="83">
        <s:f>SUM(IF(EXACT('Kiểm thử'!E16453,"Bị chặn"),1,0),IF(EXACT('Kiểm thử'!E16455,"Bị chặn"),1,0))</s:f>
        <s:v/>
      </s:c>
      <s:c r="C16555" s="19" t="n"/>
      <s:c r="D16555" s="19" t="n"/>
      <s:c r="E16555" s="19" t="n"/>
    </s:row>
    <s:row r="16556" hidden="1" ht="1" customHeight="1">
      <s:c r="A16556" s="83" t="inlineStr">
        <s:is>
          <s:t>SKIPPED</s:t>
        </s:is>
      </s:c>
      <s:c r="B16556" s="83">
        <s:f>SUM(IF(EXACT('Kiểm thử'!E16453,"Không thực hiện"),1,0),IF(EXACT('Kiểm thử'!E16455,"Không thực hiện"),1,0))</s:f>
        <s:v/>
      </s:c>
      <s:c r="C16556" s="19" t="n"/>
      <s:c r="D16556" s="19" t="n"/>
      <s:c r="E16556" s="19" t="n"/>
    </s:row>
    <s:row r="16557" hidden="1" ht="1" customHeight="1">
      <s:c r="A16557" s="83" t="inlineStr">
        <s:is>
          <s:t>NOT RUN</s:t>
        </s:is>
      </s:c>
      <s:c r="B16557" s="83">
        <s:f>SUM(IF(EXACT('Kiểm thử'!E16453,"Chưa thực hiện"),1,0),IF(EXACT('Kiểm thử'!E16455,"Chưa thực hiện"),1,0))</s:f>
        <s:v/>
      </s:c>
      <s:c r="C16557" s="19" t="n"/>
      <s:c r="D16557" s="19" t="n"/>
      <s:c r="E16557" s="19" t="n"/>
    </s:row>
    <s:row r="16558" hidden="1" ht="6" customHeight="1">
      <s:c r="A16558" s="83" t="inlineStr"/>
      <s:c r="B16558" s="19" t="n"/>
      <s:c r="C16558" s="19" t="n"/>
      <s:c r="D16558" s="19" t="n"/>
      <s:c r="E16558" s="19" t="n"/>
    </s:row>
    <s:row r="16559" ht="28" customHeight="1">
      <s:c r="A16559" s="108" t="inlineStr">
        <s:is>
          <s:t>TC-RS-UI-020 — Trích xuất: vị trí và nhãn tùy chọn đỏ</s:t>
        </s:is>
      </s:c>
      <s:c r="B16559" s="111" t="n"/>
      <s:c r="C16559" s="111" t="n"/>
      <s:c r="D16559" s="111" t="n"/>
      <s:c r="E16559" s="111" t="n"/>
    </s:row>
    <s:row r="16560" ht="20" customHeight="1">
      <s:c r="A16560" s="112" t="inlineStr">
        <s:is>
          <s:t>Kết quả tình huống</s:t>
        </s:is>
      </s:c>
      <s:c r="B16560" s="113">
        <s:f>IF(SUM(IF(EXACT('Kiểm thử'!E16568,"Không đạt"),1,0))&gt;0,"Không đạt",IF(SUM(IF(EXACT('Kiểm thử'!E16568,"Đạt"),1,0))=1,"Đạt",IF(SUM(IF(EXACT('Kiểm thử'!E16568,"Không thực hiện"),1,0))=1,"Không thực hiện",IF(SUM(IF(EXACT('Kiểm thử'!E16568,"Bị chặn"),1,0))&gt;0,"Bị chặn",IF(SUM(IF(EXACT('Kiểm thử'!E16568,"Chưa thực hiện"),1,0))=1,"Chưa thực hiện","Đang thực hiện")))))</s:f>
        <s:v/>
      </s:c>
      <s:c r="C16560" s="114" t="n"/>
      <s:c r="D16560" s="114" t="n"/>
      <s:c r="E16560" s="114" t="n"/>
    </s:row>
    <s:row r="16561" ht="20" customHeight="1">
      <s:c r="A16561" s="112" t="inlineStr">
        <s:is>
          <s:t>Màn hình / chức năng</s:t>
        </s:is>
      </s:c>
      <s:c r="B16561" s="113" t="inlineStr">
        <s:is>
          <s:r>
            <s:rPr>
              <s:b val="1"/>
            </s:rPr>
            <s:t>Trích xuất thành tích（成績抽出）</s:t>
          </s:r>
        </s:is>
      </s:c>
      <s:c r="C16561" s="28" t="n"/>
      <s:c r="D16561" s="28" t="n"/>
      <s:c r="E16561" s="28" t="n"/>
    </s:row>
    <s:row r="16562" ht="34" customHeight="1">
      <s:c r="A16562" s="112" t="inlineStr">
        <s:is>
          <s:t>Cấu hình</s:t>
        </s:is>
      </s:c>
      <s:c r="B16562" s="113" t="inlineStr">
        <s:is>
          <s:r>
            <s:t>• Tài khoản phụ trách đầu ra (trích xuất, công khai, phiếu điểm);
• Mục số nguyên (</s:t>
          </s:r>
          <s:r>
            <s:rPr>
              <s:b val="1"/>
            </s:rPr>
            <s:t>M=100</s:t>
          </s:r>
          <s:r>
            <s:t>) có quy tắc.</s:t>
          </s:r>
        </s:is>
      </s:c>
      <s:c r="C16562" s="28" t="n"/>
      <s:c r="D16562" s="28" t="n"/>
      <s:c r="E16562" s="28" t="n"/>
    </s:row>
    <s:row r="16563" ht="34" customHeight="1">
      <s:c r="A16563" s="112" t="inlineStr">
        <s:is>
          <s:t>Dữ liệu test</s:t>
        </s:is>
      </s:c>
      <s:c r="B16563" s="113" t="inlineStr">
        <s:is>
          <s:r>
            <s:t>• Mục số nguyên (</s:t>
          </s:r>
          <s:r>
            <s:rPr>
              <s:b val="1"/>
            </s:rPr>
            <s:t>M=100</s:t>
          </s:r>
          <s:r>
            <s:t>);
• Cấu hình trích xuất: lọc, ký hiệu “*” phía trước, tô màu</s:t>
          </s:r>
        </s:is>
      </s:c>
      <s:c r="C16563" s="28" t="n"/>
      <s:c r="D16563" s="28" t="n"/>
      <s:c r="E16563" s="28" t="n"/>
    </s:row>
    <s:row r="16564" ht="34" customHeight="1">
      <s:c r="A16564" s="112" t="inlineStr">
        <s:is>
          <s:t>Bước 1</s:t>
        </s:is>
      </s:c>
      <s:c r="B16564" s="113" t="inlineStr">
        <s:is>
          <s:r>
            <s:t xml:space="preserve">Mở </s:t>
          </s:r>
          <s:r>
            <s:rPr>
              <s:b val="1"/>
            </s:rPr>
            <s:t>Trích xuất thành tích（成績抽出）</s:t>
          </s:r>
          <s:r>
            <s:t xml:space="preserve">→ Thiết </s:t>
          </s:r>
          <s:r>
            <s:rPr>
              <s:b val="1"/>
            </s:rPr>
            <s:t>lập mục hiển thị（表示項目設定）</s:t>
          </s:r>
          <s:r>
            <s:t xml:space="preserve">→ chi tiết </s:t>
          </s:r>
          <s:r>
            <s:rPr>
              <s:b val="1"/>
            </s:rPr>
            <s:t>mục Điểm đánh giá（評点）</s:t>
          </s:r>
          <s:r>
            <s:t xml:space="preserve"> kỳ Cuối </s:t>
          </s:r>
          <s:r>
            <s:rPr>
              <s:b val="1"/>
            </s:rPr>
            <s:t>kỳ học kỳ 1（1学期期末）</s:t>
          </s:r>
          <s:r>
            <s:t>.</s:t>
          </s:r>
        </s:is>
      </s:c>
      <s:c r="C16564" s="28" t="n"/>
      <s:c r="D16564" s="28" t="n"/>
      <s:c r="E16564" s="28" t="n"/>
    </s:row>
    <s:row r="16565" ht="20" customHeight="1">
      <s:c r="A16565" s="112" t="inlineStr">
        <s:is>
          <s:t>Bước 2</s:t>
        </s:is>
      </s:c>
      <s:c r="B16565" s="113" t="inlineStr">
        <s:is>
          <s:t>Ghi lại vị trí và nhãn các tùy chọn đỏ.</s:t>
        </s:is>
      </s:c>
      <s:c r="C16565" s="28" t="n"/>
      <s:c r="D16565" s="28" t="n"/>
      <s:c r="E16565" s="28" t="n"/>
    </s:row>
    <s:row r="16566" ht="28" customHeight="1">
      <s:c r="A16566" s="115" t="inlineStr">
        <s:is>
          <s:t>Trường hợp</s:t>
        </s:is>
      </s:c>
      <s:c r="B16566" s="115" t="inlineStr">
        <s:is>
          <s:t>Dữ liệu / thao tác riêng</s:t>
        </s:is>
      </s:c>
      <s:c r="C16566" s="115" t="inlineStr">
        <s:is>
          <s:t>Kết quả mong đợi</s:t>
        </s:is>
      </s:c>
      <s:c r="D16566" s="115" t="inlineStr">
        <s:is>
          <s:t>Kết quả thực tế</s:t>
        </s:is>
      </s:c>
      <s:c r="E16566" s="115" t="inlineStr">
        <s:is>
          <s:t>Đánh giá</s:t>
        </s:is>
      </s:c>
    </s:row>
    <s:row r="16567" ht="3" customHeight="1">
      <s:c r="A16567" s="102" t="inlineStr"/>
      <s:c r="B16567" s="99" t="n"/>
      <s:c r="C16567" s="99" t="n"/>
      <s:c r="D16567" s="116" t="n"/>
      <s:c r="E16567" s="116" t="n"/>
    </s:row>
    <s:row r="16568" ht="174" customHeight="1">
      <s:c r="A16568" s="83" t="inlineStr">
        <s:is>
          <s:t>Trường hợp cơ bản (Base)</s:t>
        </s:is>
      </s:c>
      <s:c r="B16568" s="83" t="inlineStr">
        <s:is>
          <s:t>Toàn bộ tình huống: Thực hiện đủ các bước chung theo thứ tự; kiểm cả đối tượng đích và đối chứng cùng fixture, không bỏ bước.</s:t>
        </s:is>
      </s:c>
      <s:c r="C16568" s="83" t="inlineStr">
        <s:is>
          <s: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
Không đánh giá nhãn/vị trí cụ thể của Figma như một oracle riêng; chỉ kiểm tra đủ bốn tùy chọn nghiệp vụ và việc lưu/mở lại đúng giá trị.</s:t>
        </s:is>
      </s:c>
      <s:c r="D16568" s="117" t="inlineStr"/>
      <s:c r="E16568" s="118" t="inlineStr">
        <s:is>
          <s:t>Chưa thực hiện</s:t>
        </s:is>
      </s:c>
    </s:row>
    <s:row r="16569" ht="20" customHeight="1">
      <s:c r="A16569" s="119" t="inlineStr">
        <s:is>
          <s:t>Ảnh minh chứng — Chưa có ảnh</s:t>
        </s:is>
      </s:c>
      <s:c r="B16569" s="19" t="n"/>
      <s:c r="C16569" s="19" t="n"/>
      <s:c r="D16569" s="19" t="n"/>
      <s:c r="E16569" s="19" t="n"/>
    </s:row>
    <s:row r="16570" hidden="1" ht="1" customHeight="1">
      <s:c r="A16570" s="120" t="inlineStr"/>
      <s:c r="B16570" s="121" t="n"/>
      <s:c r="C16570" s="121" t="n"/>
      <s:c r="D16570" s="121" t="n"/>
      <s:c r="E16570" s="122" t="n"/>
    </s:row>
    <s:row r="16571" hidden="1" ht="1" customHeight="1">
      <s:c r="A16571" s="120" t="inlineStr"/>
      <s:c r="B16571" s="121" t="n"/>
      <s:c r="C16571" s="121" t="n"/>
      <s:c r="D16571" s="121" t="n"/>
      <s:c r="E16571" s="122" t="n"/>
    </s:row>
    <s:row r="16572" hidden="1" ht="1" customHeight="1">
      <s:c r="A16572" s="120" t="inlineStr"/>
      <s:c r="B16572" s="121" t="n"/>
      <s:c r="C16572" s="121" t="n"/>
      <s:c r="D16572" s="121" t="n"/>
      <s:c r="E16572" s="122" t="n"/>
    </s:row>
    <s:row r="16573" hidden="1" ht="1" customHeight="1">
      <s:c r="A16573" s="120" t="inlineStr"/>
      <s:c r="B16573" s="121" t="n"/>
      <s:c r="C16573" s="121" t="n"/>
      <s:c r="D16573" s="121" t="n"/>
      <s:c r="E16573" s="122" t="n"/>
    </s:row>
    <s:row r="16574" hidden="1" ht="1" customHeight="1">
      <s:c r="A16574" s="120" t="inlineStr"/>
      <s:c r="B16574" s="121" t="n"/>
      <s:c r="C16574" s="121" t="n"/>
      <s:c r="D16574" s="121" t="n"/>
      <s:c r="E16574" s="122" t="n"/>
    </s:row>
    <s:row r="16575" hidden="1" ht="1" customHeight="1">
      <s:c r="A16575" s="120" t="inlineStr"/>
      <s:c r="B16575" s="121" t="n"/>
      <s:c r="C16575" s="121" t="n"/>
      <s:c r="D16575" s="121" t="n"/>
      <s:c r="E16575" s="122" t="n"/>
    </s:row>
    <s:row r="16576" hidden="1" ht="1" customHeight="1">
      <s:c r="A16576" s="120" t="inlineStr"/>
      <s:c r="B16576" s="121" t="n"/>
      <s:c r="C16576" s="121" t="n"/>
      <s:c r="D16576" s="121" t="n"/>
      <s:c r="E16576" s="122" t="n"/>
    </s:row>
    <s:row r="16577" hidden="1" ht="1" customHeight="1">
      <s:c r="A16577" s="120" t="inlineStr"/>
      <s:c r="B16577" s="121" t="n"/>
      <s:c r="C16577" s="121" t="n"/>
      <s:c r="D16577" s="121" t="n"/>
      <s:c r="E16577" s="122" t="n"/>
    </s:row>
    <s:row r="16578" hidden="1" ht="1" customHeight="1">
      <s:c r="A16578" s="120" t="inlineStr"/>
      <s:c r="B16578" s="121" t="n"/>
      <s:c r="C16578" s="121" t="n"/>
      <s:c r="D16578" s="121" t="n"/>
      <s:c r="E16578" s="122" t="n"/>
    </s:row>
    <s:row r="16579" hidden="1" ht="1" customHeight="1">
      <s:c r="A16579" s="120" t="inlineStr"/>
      <s:c r="B16579" s="121" t="n"/>
      <s:c r="C16579" s="121" t="n"/>
      <s:c r="D16579" s="121" t="n"/>
      <s:c r="E16579" s="122" t="n"/>
    </s:row>
    <s:row r="16580" hidden="1" ht="1" customHeight="1">
      <s:c r="A16580" s="120" t="inlineStr"/>
      <s:c r="B16580" s="121" t="n"/>
      <s:c r="C16580" s="121" t="n"/>
      <s:c r="D16580" s="121" t="n"/>
      <s:c r="E16580" s="122" t="n"/>
    </s:row>
    <s:row r="16581" hidden="1" ht="1" customHeight="1">
      <s:c r="A16581" s="120" t="inlineStr"/>
      <s:c r="B16581" s="121" t="n"/>
      <s:c r="C16581" s="121" t="n"/>
      <s:c r="D16581" s="121" t="n"/>
      <s:c r="E16581" s="122" t="n"/>
    </s:row>
    <s:row r="16582" hidden="1" ht="1" customHeight="1">
      <s:c r="A16582" s="120" t="inlineStr"/>
      <s:c r="B16582" s="121" t="n"/>
      <s:c r="C16582" s="121" t="n"/>
      <s:c r="D16582" s="121" t="n"/>
      <s:c r="E16582" s="122" t="n"/>
    </s:row>
    <s:row r="16583" hidden="1" ht="1" customHeight="1">
      <s:c r="A16583" s="120" t="inlineStr"/>
      <s:c r="B16583" s="121" t="n"/>
      <s:c r="C16583" s="121" t="n"/>
      <s:c r="D16583" s="121" t="n"/>
      <s:c r="E16583" s="122" t="n"/>
    </s:row>
    <s:row r="16584" hidden="1" ht="1" customHeight="1">
      <s:c r="A16584" s="120" t="inlineStr"/>
      <s:c r="B16584" s="121" t="n"/>
      <s:c r="C16584" s="121" t="n"/>
      <s:c r="D16584" s="121" t="n"/>
      <s:c r="E16584" s="122" t="n"/>
    </s:row>
    <s:row r="16585" hidden="1" ht="1" customHeight="1">
      <s:c r="A16585" s="120" t="inlineStr"/>
      <s:c r="B16585" s="121" t="n"/>
      <s:c r="C16585" s="121" t="n"/>
      <s:c r="D16585" s="121" t="n"/>
      <s:c r="E16585" s="122" t="n"/>
    </s:row>
    <s:row r="16586" hidden="1" ht="1" customHeight="1">
      <s:c r="A16586" s="120" t="inlineStr"/>
      <s:c r="B16586" s="121" t="n"/>
      <s:c r="C16586" s="121" t="n"/>
      <s:c r="D16586" s="121" t="n"/>
      <s:c r="E16586" s="122" t="n"/>
    </s:row>
    <s:row r="16587" hidden="1" ht="1" customHeight="1">
      <s:c r="A16587" s="120" t="inlineStr"/>
      <s:c r="B16587" s="121" t="n"/>
      <s:c r="C16587" s="121" t="n"/>
      <s:c r="D16587" s="121" t="n"/>
      <s:c r="E16587" s="122" t="n"/>
    </s:row>
    <s:row r="16588" hidden="1" ht="1" customHeight="1">
      <s:c r="A16588" s="120" t="inlineStr"/>
      <s:c r="B16588" s="121" t="n"/>
      <s:c r="C16588" s="121" t="n"/>
      <s:c r="D16588" s="121" t="n"/>
      <s:c r="E16588" s="122" t="n"/>
    </s:row>
    <s:row r="16589" hidden="1" ht="1" customHeight="1">
      <s:c r="A16589" s="120" t="inlineStr"/>
      <s:c r="B16589" s="121" t="n"/>
      <s:c r="C16589" s="121" t="n"/>
      <s:c r="D16589" s="121" t="n"/>
      <s:c r="E16589" s="122" t="n"/>
    </s:row>
    <s:row r="16590" hidden="1" ht="1" customHeight="1">
      <s:c r="A16590" s="120" t="inlineStr"/>
      <s:c r="B16590" s="121" t="n"/>
      <s:c r="C16590" s="121" t="n"/>
      <s:c r="D16590" s="121" t="n"/>
      <s:c r="E16590" s="122" t="n"/>
    </s:row>
    <s:row r="16591" hidden="1" ht="1" customHeight="1">
      <s:c r="A16591" s="120" t="inlineStr"/>
      <s:c r="B16591" s="121" t="n"/>
      <s:c r="C16591" s="121" t="n"/>
      <s:c r="D16591" s="121" t="n"/>
      <s:c r="E16591" s="122" t="n"/>
    </s:row>
    <s:row r="16592" hidden="1" ht="1" customHeight="1">
      <s:c r="A16592" s="120" t="inlineStr"/>
      <s:c r="B16592" s="121" t="n"/>
      <s:c r="C16592" s="121" t="n"/>
      <s:c r="D16592" s="121" t="n"/>
      <s:c r="E16592" s="122" t="n"/>
    </s:row>
    <s:row r="16593" hidden="1" ht="1" customHeight="1">
      <s:c r="A16593" s="120" t="inlineStr"/>
      <s:c r="B16593" s="121" t="n"/>
      <s:c r="C16593" s="121" t="n"/>
      <s:c r="D16593" s="121" t="n"/>
      <s:c r="E16593" s="122" t="n"/>
    </s:row>
    <s:row r="16594" hidden="1" ht="1" customHeight="1">
      <s:c r="A16594" s="120" t="inlineStr"/>
      <s:c r="B16594" s="121" t="n"/>
      <s:c r="C16594" s="121" t="n"/>
      <s:c r="D16594" s="121" t="n"/>
      <s:c r="E16594" s="122" t="n"/>
    </s:row>
    <s:row r="16595" hidden="1" ht="1" customHeight="1">
      <s:c r="A16595" s="120" t="inlineStr"/>
      <s:c r="B16595" s="121" t="n"/>
      <s:c r="C16595" s="121" t="n"/>
      <s:c r="D16595" s="121" t="n"/>
      <s:c r="E16595" s="122" t="n"/>
    </s:row>
    <s:row r="16596" hidden="1" ht="1" customHeight="1">
      <s:c r="A16596" s="120" t="inlineStr"/>
      <s:c r="B16596" s="121" t="n"/>
      <s:c r="C16596" s="121" t="n"/>
      <s:c r="D16596" s="121" t="n"/>
      <s:c r="E16596" s="122" t="n"/>
    </s:row>
    <s:row r="16597" hidden="1" ht="1" customHeight="1">
      <s:c r="A16597" s="120" t="inlineStr"/>
      <s:c r="B16597" s="121" t="n"/>
      <s:c r="C16597" s="121" t="n"/>
      <s:c r="D16597" s="121" t="n"/>
      <s:c r="E16597" s="122" t="n"/>
    </s:row>
    <s:row r="16598" hidden="1" ht="1" customHeight="1">
      <s:c r="A16598" s="120" t="inlineStr"/>
      <s:c r="B16598" s="121" t="n"/>
      <s:c r="C16598" s="121" t="n"/>
      <s:c r="D16598" s="121" t="n"/>
      <s:c r="E16598" s="122" t="n"/>
    </s:row>
    <s:row r="16599" hidden="1" ht="1" customHeight="1">
      <s:c r="A16599" s="120" t="inlineStr"/>
      <s:c r="B16599" s="121" t="n"/>
      <s:c r="C16599" s="121" t="n"/>
      <s:c r="D16599" s="121" t="n"/>
      <s:c r="E16599" s="122" t="n"/>
    </s:row>
    <s:row r="16600" hidden="1" ht="1" customHeight="1">
      <s:c r="A16600" s="120" t="inlineStr"/>
      <s:c r="B16600" s="121" t="n"/>
      <s:c r="C16600" s="121" t="n"/>
      <s:c r="D16600" s="121" t="n"/>
      <s:c r="E16600" s="122" t="n"/>
    </s:row>
    <s:row r="16601" hidden="1" ht="1" customHeight="1">
      <s:c r="A16601" s="120" t="inlineStr"/>
      <s:c r="B16601" s="121" t="n"/>
      <s:c r="C16601" s="121" t="n"/>
      <s:c r="D16601" s="121" t="n"/>
      <s:c r="E16601" s="122" t="n"/>
    </s:row>
    <s:row r="16602" hidden="1" ht="1" customHeight="1">
      <s:c r="A16602" s="120" t="inlineStr"/>
      <s:c r="B16602" s="121" t="n"/>
      <s:c r="C16602" s="121" t="n"/>
      <s:c r="D16602" s="121" t="n"/>
      <s:c r="E16602" s="122" t="n"/>
    </s:row>
    <s:row r="16603" hidden="1" ht="1" customHeight="1">
      <s:c r="A16603" s="120" t="inlineStr"/>
      <s:c r="B16603" s="121" t="n"/>
      <s:c r="C16603" s="121" t="n"/>
      <s:c r="D16603" s="121" t="n"/>
      <s:c r="E16603" s="122" t="n"/>
    </s:row>
    <s:row r="16604" hidden="1" ht="1" customHeight="1">
      <s:c r="A16604" s="120" t="inlineStr"/>
      <s:c r="B16604" s="121" t="n"/>
      <s:c r="C16604" s="121" t="n"/>
      <s:c r="D16604" s="121" t="n"/>
      <s:c r="E16604" s="122" t="n"/>
    </s:row>
    <s:row r="16605" hidden="1" ht="1" customHeight="1">
      <s:c r="A16605" s="120" t="inlineStr"/>
      <s:c r="B16605" s="121" t="n"/>
      <s:c r="C16605" s="121" t="n"/>
      <s:c r="D16605" s="121" t="n"/>
      <s:c r="E16605" s="122" t="n"/>
    </s:row>
    <s:row r="16606" hidden="1" ht="1" customHeight="1">
      <s:c r="A16606" s="120" t="inlineStr"/>
      <s:c r="B16606" s="121" t="n"/>
      <s:c r="C16606" s="121" t="n"/>
      <s:c r="D16606" s="121" t="n"/>
      <s:c r="E16606" s="122" t="n"/>
    </s:row>
    <s:row r="16607" hidden="1" ht="1" customHeight="1">
      <s:c r="A16607" s="120" t="inlineStr"/>
      <s:c r="B16607" s="121" t="n"/>
      <s:c r="C16607" s="121" t="n"/>
      <s:c r="D16607" s="121" t="n"/>
      <s:c r="E16607" s="122" t="n"/>
    </s:row>
    <s:row r="16608" hidden="1" ht="1" customHeight="1">
      <s:c r="A16608" s="120" t="inlineStr"/>
      <s:c r="B16608" s="121" t="n"/>
      <s:c r="C16608" s="121" t="n"/>
      <s:c r="D16608" s="121" t="n"/>
      <s:c r="E16608" s="122" t="n"/>
    </s:row>
    <s:row r="16609" hidden="1" ht="1" customHeight="1">
      <s:c r="A16609" s="120" t="inlineStr"/>
      <s:c r="B16609" s="121" t="n"/>
      <s:c r="C16609" s="121" t="n"/>
      <s:c r="D16609" s="121" t="n"/>
      <s:c r="E16609" s="122" t="n"/>
    </s:row>
    <s:row r="16610" hidden="1" ht="1" customHeight="1">
      <s:c r="A16610" s="120" t="inlineStr"/>
      <s:c r="B16610" s="121" t="n"/>
      <s:c r="C16610" s="121" t="n"/>
      <s:c r="D16610" s="121" t="n"/>
      <s:c r="E16610" s="122" t="n"/>
    </s:row>
    <s:row r="16611" hidden="1" ht="1" customHeight="1">
      <s:c r="A16611" s="120" t="inlineStr"/>
      <s:c r="B16611" s="121" t="n"/>
      <s:c r="C16611" s="121" t="n"/>
      <s:c r="D16611" s="121" t="n"/>
      <s:c r="E16611" s="122" t="n"/>
    </s:row>
    <s:row r="16612" hidden="1" ht="1" customHeight="1">
      <s:c r="A16612" s="120" t="inlineStr"/>
      <s:c r="B16612" s="121" t="n"/>
      <s:c r="C16612" s="121" t="n"/>
      <s:c r="D16612" s="121" t="n"/>
      <s:c r="E16612" s="122" t="n"/>
    </s:row>
    <s:row r="16613" hidden="1" ht="1" customHeight="1">
      <s:c r="A16613" s="120" t="inlineStr"/>
      <s:c r="B16613" s="121" t="n"/>
      <s:c r="C16613" s="121" t="n"/>
      <s:c r="D16613" s="121" t="n"/>
      <s:c r="E16613" s="122" t="n"/>
    </s:row>
    <s:row r="16614" hidden="1" ht="1" customHeight="1">
      <s:c r="A16614" s="120" t="inlineStr"/>
      <s:c r="B16614" s="121" t="n"/>
      <s:c r="C16614" s="121" t="n"/>
      <s:c r="D16614" s="121" t="n"/>
      <s:c r="E16614" s="122" t="n"/>
    </s:row>
    <s:row r="16615" hidden="1" ht="1" customHeight="1">
      <s:c r="A16615" s="120" t="inlineStr"/>
      <s:c r="B16615" s="121" t="n"/>
      <s:c r="C16615" s="121" t="n"/>
      <s:c r="D16615" s="121" t="n"/>
      <s:c r="E16615" s="122" t="n"/>
    </s:row>
    <s:row r="16616" hidden="1" ht="1" customHeight="1">
      <s:c r="A16616" s="120" t="inlineStr"/>
      <s:c r="B16616" s="121" t="n"/>
      <s:c r="C16616" s="121" t="n"/>
      <s:c r="D16616" s="121" t="n"/>
      <s:c r="E16616" s="122" t="n"/>
    </s:row>
    <s:row r="16617" hidden="1" ht="1" customHeight="1">
      <s:c r="A16617" s="120" t="inlineStr"/>
      <s:c r="B16617" s="121" t="n"/>
      <s:c r="C16617" s="121" t="n"/>
      <s:c r="D16617" s="121" t="n"/>
      <s:c r="E16617" s="122" t="n"/>
    </s:row>
    <s:row r="16618" hidden="1" ht="1" customHeight="1">
      <s:c r="A16618" s="83" t="inlineStr">
        <s:is>
          <s:t>PASS</s:t>
        </s:is>
      </s:c>
      <s:c r="B16618" s="83">
        <s:f>SUM(IF(EXACT('Kiểm thử'!E16568,"Đạt"),1,0))</s:f>
        <s:v/>
      </s:c>
      <s:c r="C16618" s="19" t="n"/>
      <s:c r="D16618" s="19" t="n"/>
      <s:c r="E16618" s="19" t="n"/>
    </s:row>
    <s:row r="16619" hidden="1" ht="1" customHeight="1">
      <s:c r="A16619" s="83" t="inlineStr">
        <s:is>
          <s:t>FAIL</s:t>
        </s:is>
      </s:c>
      <s:c r="B16619" s="83">
        <s:f>SUM(IF(EXACT('Kiểm thử'!E16568,"Không đạt"),1,0))</s:f>
        <s:v/>
      </s:c>
      <s:c r="C16619" s="19" t="n"/>
      <s:c r="D16619" s="19" t="n"/>
      <s:c r="E16619" s="19" t="n"/>
    </s:row>
    <s:row r="16620" hidden="1" ht="1" customHeight="1">
      <s:c r="A16620" s="83" t="inlineStr">
        <s:is>
          <s:t>BLOCKED</s:t>
        </s:is>
      </s:c>
      <s:c r="B16620" s="83">
        <s:f>SUM(IF(EXACT('Kiểm thử'!E16568,"Bị chặn"),1,0))</s:f>
        <s:v/>
      </s:c>
      <s:c r="C16620" s="19" t="n"/>
      <s:c r="D16620" s="19" t="n"/>
      <s:c r="E16620" s="19" t="n"/>
    </s:row>
    <s:row r="16621" hidden="1" ht="1" customHeight="1">
      <s:c r="A16621" s="83" t="inlineStr">
        <s:is>
          <s:t>SKIPPED</s:t>
        </s:is>
      </s:c>
      <s:c r="B16621" s="83">
        <s:f>SUM(IF(EXACT('Kiểm thử'!E16568,"Không thực hiện"),1,0))</s:f>
        <s:v/>
      </s:c>
      <s:c r="C16621" s="19" t="n"/>
      <s:c r="D16621" s="19" t="n"/>
      <s:c r="E16621" s="19" t="n"/>
    </s:row>
    <s:row r="16622" hidden="1" ht="1" customHeight="1">
      <s:c r="A16622" s="83" t="inlineStr">
        <s:is>
          <s:t>NOT RUN</s:t>
        </s:is>
      </s:c>
      <s:c r="B16622" s="83">
        <s:f>SUM(IF(EXACT('Kiểm thử'!E16568,"Chưa thực hiện"),1,0))</s:f>
        <s:v/>
      </s:c>
      <s:c r="C16622" s="19" t="n"/>
      <s:c r="D16622" s="19" t="n"/>
      <s:c r="E16622" s="19" t="n"/>
    </s:row>
    <s:row r="16623" hidden="1" ht="6" customHeight="1">
      <s:c r="A16623" s="83" t="inlineStr"/>
      <s:c r="B16623" s="19" t="n"/>
      <s:c r="C16623" s="19" t="n"/>
      <s:c r="D16623" s="19" t="n"/>
      <s:c r="E16623" s="19" t="n"/>
    </s:row>
    <s:row r="16624" ht="28" customHeight="1">
      <s:c r="A16624" s="108" t="inlineStr">
        <s:is>
          <s:t>TC-RS-UI-021 — Trích xuất: kết quả 0 học sinh và hiển thị ô đỏ số thập phân</s:t>
        </s:is>
      </s:c>
      <s:c r="B16624" s="111" t="n"/>
      <s:c r="C16624" s="111" t="n"/>
      <s:c r="D16624" s="111" t="n"/>
      <s:c r="E16624" s="111" t="n"/>
    </s:row>
    <s:row r="16625" ht="20" customHeight="1">
      <s:c r="A16625" s="112" t="inlineStr">
        <s:is>
          <s:t>Kết quả tình huống</s:t>
        </s:is>
      </s:c>
      <s:c r="B16625" s="113">
        <s:f>IF(SUM(IF(EXACT('Kiểm thử'!E16632,"Không đạt"),1,0),IF(EXACT('Kiểm thử'!E16634,"Không đạt"),1,0))&gt;0,"Không đạt",IF(SUM(IF(EXACT('Kiểm thử'!E16632,"Đạt"),1,0),IF(EXACT('Kiểm thử'!E16634,"Đạt"),1,0))=2,"Đạt",IF(SUM(IF(EXACT('Kiểm thử'!E16632,"Không thực hiện"),1,0),IF(EXACT('Kiểm thử'!E16634,"Không thực hiện"),1,0))=2,"Không thực hiện",IF(SUM(IF(EXACT('Kiểm thử'!E16632,"Bị chặn"),1,0),IF(EXACT('Kiểm thử'!E16634,"Bị chặn"),1,0))&gt;0,"Bị chặn",IF(SUM(IF(EXACT('Kiểm thử'!E16632,"Chưa thực hiện"),1,0),IF(EXACT('Kiểm thử'!E16634,"Chưa thực hiện"),1,0))=2,"Chưa thực hiện","Đang thực hiện")))))</s:f>
        <s:v/>
      </s:c>
      <s:c r="C16625" s="114" t="n"/>
      <s:c r="D16625" s="114" t="n"/>
      <s:c r="E16625" s="114" t="n"/>
    </s:row>
    <s:row r="16626" ht="20" customHeight="1">
      <s:c r="A16626" s="112" t="inlineStr">
        <s:is>
          <s:t>Màn hình / chức năng</s:t>
        </s:is>
      </s:c>
      <s:c r="B16626" s="113" t="inlineStr">
        <s:is>
          <s:r>
            <s:rPr>
              <s:b val="1"/>
            </s:rPr>
            <s:t>Trích xuất thành tích（成績抽出）</s:t>
          </s:r>
        </s:is>
      </s:c>
      <s:c r="C16626" s="28" t="n"/>
      <s:c r="D16626" s="28" t="n"/>
      <s:c r="E16626" s="28" t="n"/>
    </s:row>
    <s:row r="16627" ht="20" customHeight="1">
      <s:c r="A16627" s="112" t="inlineStr">
        <s:is>
          <s:t>Cấu hình</s:t>
        </s:is>
      </s:c>
      <s:c r="B16627" s="113" t="inlineStr">
        <s:is>
          <s:t>• Cấu hình trích xuất: lọc, ký hiệu “*” phía trước, tô màu.</s:t>
        </s:is>
      </s:c>
      <s:c r="C16627" s="28" t="n"/>
      <s:c r="D16627" s="28" t="n"/>
      <s:c r="E16627" s="28" t="n"/>
    </s:row>
    <s:row r="16628" ht="48" customHeight="1">
      <s:c r="A16628" s="112" t="inlineStr">
        <s:is>
          <s:t>Dữ liệu test</s:t>
        </s:is>
      </s:c>
      <s:c r="B16628" s="113" t="inlineStr">
        <s:is>
          <s:t>• Cấu hình trích xuất: lọc, ký hiệu “*” phía trước, tô màu;
• (A) Không ô đỏ nào;
• (B) học sinh điểm 23.9 Đỏ (mục thập phân)</s:t>
        </s:is>
      </s:c>
      <s:c r="C16628" s="28" t="n"/>
      <s:c r="D16628" s="28" t="n"/>
      <s:c r="E16628" s="28" t="n"/>
    </s:row>
    <s:row r="16629" ht="20" customHeight="1">
      <s:c r="A16629" s="112" t="inlineStr">
        <s:is>
          <s:t>•</s:t>
        </s:is>
      </s:c>
      <s:c r="B16629" s="113" t="inlineStr">
        <s:is>
          <s:t>Chạy trích xuất cho (a), (b).</s:t>
        </s:is>
      </s:c>
      <s:c r="C16629" s="28" t="n"/>
      <s:c r="D16629" s="28" t="n"/>
      <s:c r="E16629" s="28" t="n"/>
    </s:row>
    <s:row r="16630" ht="28" customHeight="1">
      <s:c r="A16630" s="115" t="inlineStr">
        <s:is>
          <s:t>Trường hợp</s:t>
        </s:is>
      </s:c>
      <s:c r="B16630" s="115" t="inlineStr">
        <s:is>
          <s:t>Dữ liệu / thao tác riêng</s:t>
        </s:is>
      </s:c>
      <s:c r="C16630" s="115" t="inlineStr">
        <s:is>
          <s:t>Kết quả mong đợi</s:t>
        </s:is>
      </s:c>
      <s:c r="D16630" s="115" t="inlineStr">
        <s:is>
          <s:t>Kết quả thực tế</s:t>
        </s:is>
      </s:c>
      <s:c r="E16630" s="115" t="inlineStr">
        <s:is>
          <s:t>Đánh giá</s:t>
        </s:is>
      </s:c>
    </s:row>
    <s:row r="16631" ht="3" customHeight="1">
      <s:c r="A16631" s="102" t="inlineStr"/>
      <s:c r="B16631" s="99" t="n"/>
      <s:c r="C16631" s="99" t="n"/>
      <s:c r="D16631" s="116" t="n"/>
      <s:c r="E16631" s="116" t="n"/>
    </s:row>
    <s:row r="16632" ht="48" customHeight="1">
      <s:c r="A16632" s="83" t="inlineStr">
        <s:is>
          <s:t>Không có học sinh đỏ (empty)</s:t>
        </s:is>
      </s:c>
      <s:c r="B16632" s="83" t="inlineStr">
        <s:is>
          <s:t>Fixture(a) không ô Đỏ; cấu hình lọc+[*] trước+màu; chạy trích xuất.</s:t>
        </s:is>
      </s:c>
      <s:c r="C16632" s="83" t="inlineStr">
        <s:is>
          <s:t>(A) Không lỗi; hiện thông báo không có học sinh khớp.</s:t>
        </s:is>
      </s:c>
      <s:c r="D16632" s="117" t="inlineStr"/>
      <s:c r="E16632" s="118" t="inlineStr">
        <s:is>
          <s:t>Chưa thực hiện</s:t>
        </s:is>
      </s:c>
    </s:row>
    <s:row r="16633" ht="3" customHeight="1">
      <s:c r="A16633" s="102" t="inlineStr"/>
      <s:c r="B16633" s="99" t="n"/>
      <s:c r="C16633" s="99" t="n"/>
      <s:c r="D16633" s="116" t="n"/>
      <s:c r="E16633" s="116" t="n"/>
    </s:row>
    <s:row r="16634" ht="62" customHeight="1">
      <s:c r="A16634" s="83" t="inlineStr">
        <s:is>
          <s:t>Hiển thị điểm thập phân (decimal)</s:t>
        </s:is>
      </s:c>
      <s:c r="B16634" s="83" t="inlineStr">
        <s:is>
          <s:t>Fixture(b) học sinh có điểm23.9 Đỏ ở mục thập phân; cùng cấu hình lọc+[*] trước+màu, chạy trích xuất.</s:t>
        </s:is>
      </s:c>
      <s:c r="C16634" s="83" t="inlineStr">
        <s:is>
          <s:t>(B) Ô hiện [*23.9] (giữ nguyên giá trị điểm).</s:t>
        </s:is>
      </s:c>
      <s:c r="D16634" s="117" t="inlineStr"/>
      <s:c r="E16634" s="118" t="inlineStr">
        <s:is>
          <s:t>Chưa thực hiện</s:t>
        </s:is>
      </s:c>
    </s:row>
    <s:row r="16635" ht="20" customHeight="1">
      <s:c r="A16635" s="119" t="inlineStr">
        <s:is>
          <s:t>Ảnh minh chứng — Chưa có ảnh</s:t>
        </s:is>
      </s:c>
      <s:c r="B16635" s="19" t="n"/>
      <s:c r="C16635" s="19" t="n"/>
      <s:c r="D16635" s="19" t="n"/>
      <s:c r="E16635" s="19" t="n"/>
    </s:row>
    <s:row r="16636" hidden="1" ht="1" customHeight="1">
      <s:c r="A16636" s="120" t="inlineStr"/>
      <s:c r="B16636" s="121" t="n"/>
      <s:c r="C16636" s="121" t="n"/>
      <s:c r="D16636" s="121" t="n"/>
      <s:c r="E16636" s="122" t="n"/>
    </s:row>
    <s:row r="16637" hidden="1" ht="1" customHeight="1">
      <s:c r="A16637" s="120" t="inlineStr"/>
      <s:c r="B16637" s="121" t="n"/>
      <s:c r="C16637" s="121" t="n"/>
      <s:c r="D16637" s="121" t="n"/>
      <s:c r="E16637" s="122" t="n"/>
    </s:row>
    <s:row r="16638" hidden="1" ht="1" customHeight="1">
      <s:c r="A16638" s="120" t="inlineStr"/>
      <s:c r="B16638" s="121" t="n"/>
      <s:c r="C16638" s="121" t="n"/>
      <s:c r="D16638" s="121" t="n"/>
      <s:c r="E16638" s="122" t="n"/>
    </s:row>
    <s:row r="16639" hidden="1" ht="1" customHeight="1">
      <s:c r="A16639" s="120" t="inlineStr"/>
      <s:c r="B16639" s="121" t="n"/>
      <s:c r="C16639" s="121" t="n"/>
      <s:c r="D16639" s="121" t="n"/>
      <s:c r="E16639" s="122" t="n"/>
    </s:row>
    <s:row r="16640" hidden="1" ht="1" customHeight="1">
      <s:c r="A16640" s="120" t="inlineStr"/>
      <s:c r="B16640" s="121" t="n"/>
      <s:c r="C16640" s="121" t="n"/>
      <s:c r="D16640" s="121" t="n"/>
      <s:c r="E16640" s="122" t="n"/>
    </s:row>
    <s:row r="16641" hidden="1" ht="1" customHeight="1">
      <s:c r="A16641" s="120" t="inlineStr"/>
      <s:c r="B16641" s="121" t="n"/>
      <s:c r="C16641" s="121" t="n"/>
      <s:c r="D16641" s="121" t="n"/>
      <s:c r="E16641" s="122" t="n"/>
    </s:row>
    <s:row r="16642" hidden="1" ht="1" customHeight="1">
      <s:c r="A16642" s="120" t="inlineStr"/>
      <s:c r="B16642" s="121" t="n"/>
      <s:c r="C16642" s="121" t="n"/>
      <s:c r="D16642" s="121" t="n"/>
      <s:c r="E16642" s="122" t="n"/>
    </s:row>
    <s:row r="16643" hidden="1" ht="1" customHeight="1">
      <s:c r="A16643" s="120" t="inlineStr"/>
      <s:c r="B16643" s="121" t="n"/>
      <s:c r="C16643" s="121" t="n"/>
      <s:c r="D16643" s="121" t="n"/>
      <s:c r="E16643" s="122" t="n"/>
    </s:row>
    <s:row r="16644" hidden="1" ht="1" customHeight="1">
      <s:c r="A16644" s="120" t="inlineStr"/>
      <s:c r="B16644" s="121" t="n"/>
      <s:c r="C16644" s="121" t="n"/>
      <s:c r="D16644" s="121" t="n"/>
      <s:c r="E16644" s="122" t="n"/>
    </s:row>
    <s:row r="16645" hidden="1" ht="1" customHeight="1">
      <s:c r="A16645" s="120" t="inlineStr"/>
      <s:c r="B16645" s="121" t="n"/>
      <s:c r="C16645" s="121" t="n"/>
      <s:c r="D16645" s="121" t="n"/>
      <s:c r="E16645" s="122" t="n"/>
    </s:row>
    <s:row r="16646" hidden="1" ht="1" customHeight="1">
      <s:c r="A16646" s="120" t="inlineStr"/>
      <s:c r="B16646" s="121" t="n"/>
      <s:c r="C16646" s="121" t="n"/>
      <s:c r="D16646" s="121" t="n"/>
      <s:c r="E16646" s="122" t="n"/>
    </s:row>
    <s:row r="16647" hidden="1" ht="1" customHeight="1">
      <s:c r="A16647" s="120" t="inlineStr"/>
      <s:c r="B16647" s="121" t="n"/>
      <s:c r="C16647" s="121" t="n"/>
      <s:c r="D16647" s="121" t="n"/>
      <s:c r="E16647" s="122" t="n"/>
    </s:row>
    <s:row r="16648" hidden="1" ht="1" customHeight="1">
      <s:c r="A16648" s="120" t="inlineStr"/>
      <s:c r="B16648" s="121" t="n"/>
      <s:c r="C16648" s="121" t="n"/>
      <s:c r="D16648" s="121" t="n"/>
      <s:c r="E16648" s="122" t="n"/>
    </s:row>
    <s:row r="16649" hidden="1" ht="1" customHeight="1">
      <s:c r="A16649" s="120" t="inlineStr"/>
      <s:c r="B16649" s="121" t="n"/>
      <s:c r="C16649" s="121" t="n"/>
      <s:c r="D16649" s="121" t="n"/>
      <s:c r="E16649" s="122" t="n"/>
    </s:row>
    <s:row r="16650" hidden="1" ht="1" customHeight="1">
      <s:c r="A16650" s="120" t="inlineStr"/>
      <s:c r="B16650" s="121" t="n"/>
      <s:c r="C16650" s="121" t="n"/>
      <s:c r="D16650" s="121" t="n"/>
      <s:c r="E16650" s="122" t="n"/>
    </s:row>
    <s:row r="16651" hidden="1" ht="1" customHeight="1">
      <s:c r="A16651" s="120" t="inlineStr"/>
      <s:c r="B16651" s="121" t="n"/>
      <s:c r="C16651" s="121" t="n"/>
      <s:c r="D16651" s="121" t="n"/>
      <s:c r="E16651" s="122" t="n"/>
    </s:row>
    <s:row r="16652" hidden="1" ht="1" customHeight="1">
      <s:c r="A16652" s="120" t="inlineStr"/>
      <s:c r="B16652" s="121" t="n"/>
      <s:c r="C16652" s="121" t="n"/>
      <s:c r="D16652" s="121" t="n"/>
      <s:c r="E16652" s="122" t="n"/>
    </s:row>
    <s:row r="16653" hidden="1" ht="1" customHeight="1">
      <s:c r="A16653" s="120" t="inlineStr"/>
      <s:c r="B16653" s="121" t="n"/>
      <s:c r="C16653" s="121" t="n"/>
      <s:c r="D16653" s="121" t="n"/>
      <s:c r="E16653" s="122" t="n"/>
    </s:row>
    <s:row r="16654" hidden="1" ht="1" customHeight="1">
      <s:c r="A16654" s="120" t="inlineStr"/>
      <s:c r="B16654" s="121" t="n"/>
      <s:c r="C16654" s="121" t="n"/>
      <s:c r="D16654" s="121" t="n"/>
      <s:c r="E16654" s="122" t="n"/>
    </s:row>
    <s:row r="16655" hidden="1" ht="1" customHeight="1">
      <s:c r="A16655" s="120" t="inlineStr"/>
      <s:c r="B16655" s="121" t="n"/>
      <s:c r="C16655" s="121" t="n"/>
      <s:c r="D16655" s="121" t="n"/>
      <s:c r="E16655" s="122" t="n"/>
    </s:row>
    <s:row r="16656" hidden="1" ht="1" customHeight="1">
      <s:c r="A16656" s="120" t="inlineStr"/>
      <s:c r="B16656" s="121" t="n"/>
      <s:c r="C16656" s="121" t="n"/>
      <s:c r="D16656" s="121" t="n"/>
      <s:c r="E16656" s="122" t="n"/>
    </s:row>
    <s:row r="16657" hidden="1" ht="1" customHeight="1">
      <s:c r="A16657" s="120" t="inlineStr"/>
      <s:c r="B16657" s="121" t="n"/>
      <s:c r="C16657" s="121" t="n"/>
      <s:c r="D16657" s="121" t="n"/>
      <s:c r="E16657" s="122" t="n"/>
    </s:row>
    <s:row r="16658" hidden="1" ht="1" customHeight="1">
      <s:c r="A16658" s="120" t="inlineStr"/>
      <s:c r="B16658" s="121" t="n"/>
      <s:c r="C16658" s="121" t="n"/>
      <s:c r="D16658" s="121" t="n"/>
      <s:c r="E16658" s="122" t="n"/>
    </s:row>
    <s:row r="16659" hidden="1" ht="1" customHeight="1">
      <s:c r="A16659" s="120" t="inlineStr"/>
      <s:c r="B16659" s="121" t="n"/>
      <s:c r="C16659" s="121" t="n"/>
      <s:c r="D16659" s="121" t="n"/>
      <s:c r="E16659" s="122" t="n"/>
    </s:row>
    <s:row r="16660" hidden="1" ht="1" customHeight="1">
      <s:c r="A16660" s="120" t="inlineStr"/>
      <s:c r="B16660" s="121" t="n"/>
      <s:c r="C16660" s="121" t="n"/>
      <s:c r="D16660" s="121" t="n"/>
      <s:c r="E16660" s="122" t="n"/>
    </s:row>
    <s:row r="16661" hidden="1" ht="1" customHeight="1">
      <s:c r="A16661" s="120" t="inlineStr"/>
      <s:c r="B16661" s="121" t="n"/>
      <s:c r="C16661" s="121" t="n"/>
      <s:c r="D16661" s="121" t="n"/>
      <s:c r="E16661" s="122" t="n"/>
    </s:row>
    <s:row r="16662" hidden="1" ht="1" customHeight="1">
      <s:c r="A16662" s="120" t="inlineStr"/>
      <s:c r="B16662" s="121" t="n"/>
      <s:c r="C16662" s="121" t="n"/>
      <s:c r="D16662" s="121" t="n"/>
      <s:c r="E16662" s="122" t="n"/>
    </s:row>
    <s:row r="16663" hidden="1" ht="1" customHeight="1">
      <s:c r="A16663" s="120" t="inlineStr"/>
      <s:c r="B16663" s="121" t="n"/>
      <s:c r="C16663" s="121" t="n"/>
      <s:c r="D16663" s="121" t="n"/>
      <s:c r="E16663" s="122" t="n"/>
    </s:row>
    <s:row r="16664" hidden="1" ht="1" customHeight="1">
      <s:c r="A16664" s="120" t="inlineStr"/>
      <s:c r="B16664" s="121" t="n"/>
      <s:c r="C16664" s="121" t="n"/>
      <s:c r="D16664" s="121" t="n"/>
      <s:c r="E16664" s="122" t="n"/>
    </s:row>
    <s:row r="16665" hidden="1" ht="1" customHeight="1">
      <s:c r="A16665" s="120" t="inlineStr"/>
      <s:c r="B16665" s="121" t="n"/>
      <s:c r="C16665" s="121" t="n"/>
      <s:c r="D16665" s="121" t="n"/>
      <s:c r="E16665" s="122" t="n"/>
    </s:row>
    <s:row r="16666" hidden="1" ht="1" customHeight="1">
      <s:c r="A16666" s="120" t="inlineStr"/>
      <s:c r="B16666" s="121" t="n"/>
      <s:c r="C16666" s="121" t="n"/>
      <s:c r="D16666" s="121" t="n"/>
      <s:c r="E16666" s="122" t="n"/>
    </s:row>
    <s:row r="16667" hidden="1" ht="1" customHeight="1">
      <s:c r="A16667" s="120" t="inlineStr"/>
      <s:c r="B16667" s="121" t="n"/>
      <s:c r="C16667" s="121" t="n"/>
      <s:c r="D16667" s="121" t="n"/>
      <s:c r="E16667" s="122" t="n"/>
    </s:row>
    <s:row r="16668" hidden="1" ht="1" customHeight="1">
      <s:c r="A16668" s="120" t="inlineStr"/>
      <s:c r="B16668" s="121" t="n"/>
      <s:c r="C16668" s="121" t="n"/>
      <s:c r="D16668" s="121" t="n"/>
      <s:c r="E16668" s="122" t="n"/>
    </s:row>
    <s:row r="16669" hidden="1" ht="1" customHeight="1">
      <s:c r="A16669" s="120" t="inlineStr"/>
      <s:c r="B16669" s="121" t="n"/>
      <s:c r="C16669" s="121" t="n"/>
      <s:c r="D16669" s="121" t="n"/>
      <s:c r="E16669" s="122" t="n"/>
    </s:row>
    <s:row r="16670" hidden="1" ht="1" customHeight="1">
      <s:c r="A16670" s="120" t="inlineStr"/>
      <s:c r="B16670" s="121" t="n"/>
      <s:c r="C16670" s="121" t="n"/>
      <s:c r="D16670" s="121" t="n"/>
      <s:c r="E16670" s="122" t="n"/>
    </s:row>
    <s:row r="16671" hidden="1" ht="1" customHeight="1">
      <s:c r="A16671" s="120" t="inlineStr"/>
      <s:c r="B16671" s="121" t="n"/>
      <s:c r="C16671" s="121" t="n"/>
      <s:c r="D16671" s="121" t="n"/>
      <s:c r="E16671" s="122" t="n"/>
    </s:row>
    <s:row r="16672" hidden="1" ht="1" customHeight="1">
      <s:c r="A16672" s="120" t="inlineStr"/>
      <s:c r="B16672" s="121" t="n"/>
      <s:c r="C16672" s="121" t="n"/>
      <s:c r="D16672" s="121" t="n"/>
      <s:c r="E16672" s="122" t="n"/>
    </s:row>
    <s:row r="16673" hidden="1" ht="1" customHeight="1">
      <s:c r="A16673" s="120" t="inlineStr"/>
      <s:c r="B16673" s="121" t="n"/>
      <s:c r="C16673" s="121" t="n"/>
      <s:c r="D16673" s="121" t="n"/>
      <s:c r="E16673" s="122" t="n"/>
    </s:row>
    <s:row r="16674" hidden="1" ht="1" customHeight="1">
      <s:c r="A16674" s="120" t="inlineStr"/>
      <s:c r="B16674" s="121" t="n"/>
      <s:c r="C16674" s="121" t="n"/>
      <s:c r="D16674" s="121" t="n"/>
      <s:c r="E16674" s="122" t="n"/>
    </s:row>
    <s:row r="16675" hidden="1" ht="1" customHeight="1">
      <s:c r="A16675" s="120" t="inlineStr"/>
      <s:c r="B16675" s="121" t="n"/>
      <s:c r="C16675" s="121" t="n"/>
      <s:c r="D16675" s="121" t="n"/>
      <s:c r="E16675" s="122" t="n"/>
    </s:row>
    <s:row r="16676" hidden="1" ht="1" customHeight="1">
      <s:c r="A16676" s="120" t="inlineStr"/>
      <s:c r="B16676" s="121" t="n"/>
      <s:c r="C16676" s="121" t="n"/>
      <s:c r="D16676" s="121" t="n"/>
      <s:c r="E16676" s="122" t="n"/>
    </s:row>
    <s:row r="16677" hidden="1" ht="1" customHeight="1">
      <s:c r="A16677" s="120" t="inlineStr"/>
      <s:c r="B16677" s="121" t="n"/>
      <s:c r="C16677" s="121" t="n"/>
      <s:c r="D16677" s="121" t="n"/>
      <s:c r="E16677" s="122" t="n"/>
    </s:row>
    <s:row r="16678" hidden="1" ht="1" customHeight="1">
      <s:c r="A16678" s="120" t="inlineStr"/>
      <s:c r="B16678" s="121" t="n"/>
      <s:c r="C16678" s="121" t="n"/>
      <s:c r="D16678" s="121" t="n"/>
      <s:c r="E16678" s="122" t="n"/>
    </s:row>
    <s:row r="16679" hidden="1" ht="1" customHeight="1">
      <s:c r="A16679" s="120" t="inlineStr"/>
      <s:c r="B16679" s="121" t="n"/>
      <s:c r="C16679" s="121" t="n"/>
      <s:c r="D16679" s="121" t="n"/>
      <s:c r="E16679" s="122" t="n"/>
    </s:row>
    <s:row r="16680" hidden="1" ht="1" customHeight="1">
      <s:c r="A16680" s="120" t="inlineStr"/>
      <s:c r="B16680" s="121" t="n"/>
      <s:c r="C16680" s="121" t="n"/>
      <s:c r="D16680" s="121" t="n"/>
      <s:c r="E16680" s="122" t="n"/>
    </s:row>
    <s:row r="16681" hidden="1" ht="1" customHeight="1">
      <s:c r="A16681" s="120" t="inlineStr"/>
      <s:c r="B16681" s="121" t="n"/>
      <s:c r="C16681" s="121" t="n"/>
      <s:c r="D16681" s="121" t="n"/>
      <s:c r="E16681" s="122" t="n"/>
    </s:row>
    <s:row r="16682" hidden="1" ht="1" customHeight="1">
      <s:c r="A16682" s="120" t="inlineStr"/>
      <s:c r="B16682" s="121" t="n"/>
      <s:c r="C16682" s="121" t="n"/>
      <s:c r="D16682" s="121" t="n"/>
      <s:c r="E16682" s="122" t="n"/>
    </s:row>
    <s:row r="16683" hidden="1" ht="1" customHeight="1">
      <s:c r="A16683" s="120" t="inlineStr"/>
      <s:c r="B16683" s="121" t="n"/>
      <s:c r="C16683" s="121" t="n"/>
      <s:c r="D16683" s="121" t="n"/>
      <s:c r="E16683" s="122" t="n"/>
    </s:row>
    <s:row r="16684" hidden="1" ht="1" customHeight="1">
      <s:c r="A16684" s="120" t="inlineStr"/>
      <s:c r="B16684" s="121" t="n"/>
      <s:c r="C16684" s="121" t="n"/>
      <s:c r="D16684" s="121" t="n"/>
      <s:c r="E16684" s="122" t="n"/>
    </s:row>
    <s:row r="16685" hidden="1" ht="1" customHeight="1">
      <s:c r="A16685" s="120" t="inlineStr"/>
      <s:c r="B16685" s="121" t="n"/>
      <s:c r="C16685" s="121" t="n"/>
      <s:c r="D16685" s="121" t="n"/>
      <s:c r="E16685" s="122" t="n"/>
    </s:row>
    <s:row r="16686" hidden="1" ht="1" customHeight="1">
      <s:c r="A16686" s="120" t="inlineStr"/>
      <s:c r="B16686" s="121" t="n"/>
      <s:c r="C16686" s="121" t="n"/>
      <s:c r="D16686" s="121" t="n"/>
      <s:c r="E16686" s="122" t="n"/>
    </s:row>
    <s:row r="16687" hidden="1" ht="1" customHeight="1">
      <s:c r="A16687" s="120" t="inlineStr"/>
      <s:c r="B16687" s="121" t="n"/>
      <s:c r="C16687" s="121" t="n"/>
      <s:c r="D16687" s="121" t="n"/>
      <s:c r="E16687" s="122" t="n"/>
    </s:row>
    <s:row r="16688" hidden="1" ht="1" customHeight="1">
      <s:c r="A16688" s="120" t="inlineStr"/>
      <s:c r="B16688" s="121" t="n"/>
      <s:c r="C16688" s="121" t="n"/>
      <s:c r="D16688" s="121" t="n"/>
      <s:c r="E16688" s="122" t="n"/>
    </s:row>
    <s:row r="16689" hidden="1" ht="1" customHeight="1">
      <s:c r="A16689" s="120" t="inlineStr"/>
      <s:c r="B16689" s="121" t="n"/>
      <s:c r="C16689" s="121" t="n"/>
      <s:c r="D16689" s="121" t="n"/>
      <s:c r="E16689" s="122" t="n"/>
    </s:row>
    <s:row r="16690" hidden="1" ht="1" customHeight="1">
      <s:c r="A16690" s="120" t="inlineStr"/>
      <s:c r="B16690" s="121" t="n"/>
      <s:c r="C16690" s="121" t="n"/>
      <s:c r="D16690" s="121" t="n"/>
      <s:c r="E16690" s="122" t="n"/>
    </s:row>
    <s:row r="16691" hidden="1" ht="1" customHeight="1">
      <s:c r="A16691" s="120" t="inlineStr"/>
      <s:c r="B16691" s="121" t="n"/>
      <s:c r="C16691" s="121" t="n"/>
      <s:c r="D16691" s="121" t="n"/>
      <s:c r="E16691" s="122" t="n"/>
    </s:row>
    <s:row r="16692" hidden="1" ht="1" customHeight="1">
      <s:c r="A16692" s="120" t="inlineStr"/>
      <s:c r="B16692" s="121" t="n"/>
      <s:c r="C16692" s="121" t="n"/>
      <s:c r="D16692" s="121" t="n"/>
      <s:c r="E16692" s="122" t="n"/>
    </s:row>
    <s:row r="16693" hidden="1" ht="1" customHeight="1">
      <s:c r="A16693" s="120" t="inlineStr"/>
      <s:c r="B16693" s="121" t="n"/>
      <s:c r="C16693" s="121" t="n"/>
      <s:c r="D16693" s="121" t="n"/>
      <s:c r="E16693" s="122" t="n"/>
    </s:row>
    <s:row r="16694" hidden="1" ht="1" customHeight="1">
      <s:c r="A16694" s="120" t="inlineStr"/>
      <s:c r="B16694" s="121" t="n"/>
      <s:c r="C16694" s="121" t="n"/>
      <s:c r="D16694" s="121" t="n"/>
      <s:c r="E16694" s="122" t="n"/>
    </s:row>
    <s:row r="16695" hidden="1" ht="1" customHeight="1">
      <s:c r="A16695" s="120" t="inlineStr"/>
      <s:c r="B16695" s="121" t="n"/>
      <s:c r="C16695" s="121" t="n"/>
      <s:c r="D16695" s="121" t="n"/>
      <s:c r="E16695" s="122" t="n"/>
    </s:row>
    <s:row r="16696" hidden="1" ht="1" customHeight="1">
      <s:c r="A16696" s="120" t="inlineStr"/>
      <s:c r="B16696" s="121" t="n"/>
      <s:c r="C16696" s="121" t="n"/>
      <s:c r="D16696" s="121" t="n"/>
      <s:c r="E16696" s="122" t="n"/>
    </s:row>
    <s:row r="16697" hidden="1" ht="1" customHeight="1">
      <s:c r="A16697" s="120" t="inlineStr"/>
      <s:c r="B16697" s="121" t="n"/>
      <s:c r="C16697" s="121" t="n"/>
      <s:c r="D16697" s="121" t="n"/>
      <s:c r="E16697" s="122" t="n"/>
    </s:row>
    <s:row r="16698" hidden="1" ht="1" customHeight="1">
      <s:c r="A16698" s="120" t="inlineStr"/>
      <s:c r="B16698" s="121" t="n"/>
      <s:c r="C16698" s="121" t="n"/>
      <s:c r="D16698" s="121" t="n"/>
      <s:c r="E16698" s="122" t="n"/>
    </s:row>
    <s:row r="16699" hidden="1" ht="1" customHeight="1">
      <s:c r="A16699" s="120" t="inlineStr"/>
      <s:c r="B16699" s="121" t="n"/>
      <s:c r="C16699" s="121" t="n"/>
      <s:c r="D16699" s="121" t="n"/>
      <s:c r="E16699" s="122" t="n"/>
    </s:row>
    <s:row r="16700" hidden="1" ht="1" customHeight="1">
      <s:c r="A16700" s="120" t="inlineStr"/>
      <s:c r="B16700" s="121" t="n"/>
      <s:c r="C16700" s="121" t="n"/>
      <s:c r="D16700" s="121" t="n"/>
      <s:c r="E16700" s="122" t="n"/>
    </s:row>
    <s:row r="16701" hidden="1" ht="1" customHeight="1">
      <s:c r="A16701" s="120" t="inlineStr"/>
      <s:c r="B16701" s="121" t="n"/>
      <s:c r="C16701" s="121" t="n"/>
      <s:c r="D16701" s="121" t="n"/>
      <s:c r="E16701" s="122" t="n"/>
    </s:row>
    <s:row r="16702" hidden="1" ht="1" customHeight="1">
      <s:c r="A16702" s="120" t="inlineStr"/>
      <s:c r="B16702" s="121" t="n"/>
      <s:c r="C16702" s="121" t="n"/>
      <s:c r="D16702" s="121" t="n"/>
      <s:c r="E16702" s="122" t="n"/>
    </s:row>
    <s:row r="16703" hidden="1" ht="1" customHeight="1">
      <s:c r="A16703" s="120" t="inlineStr"/>
      <s:c r="B16703" s="121" t="n"/>
      <s:c r="C16703" s="121" t="n"/>
      <s:c r="D16703" s="121" t="n"/>
      <s:c r="E16703" s="122" t="n"/>
    </s:row>
    <s:row r="16704" hidden="1" ht="1" customHeight="1">
      <s:c r="A16704" s="120" t="inlineStr"/>
      <s:c r="B16704" s="121" t="n"/>
      <s:c r="C16704" s="121" t="n"/>
      <s:c r="D16704" s="121" t="n"/>
      <s:c r="E16704" s="122" t="n"/>
    </s:row>
    <s:row r="16705" hidden="1" ht="1" customHeight="1">
      <s:c r="A16705" s="120" t="inlineStr"/>
      <s:c r="B16705" s="121" t="n"/>
      <s:c r="C16705" s="121" t="n"/>
      <s:c r="D16705" s="121" t="n"/>
      <s:c r="E16705" s="122" t="n"/>
    </s:row>
    <s:row r="16706" hidden="1" ht="1" customHeight="1">
      <s:c r="A16706" s="120" t="inlineStr"/>
      <s:c r="B16706" s="121" t="n"/>
      <s:c r="C16706" s="121" t="n"/>
      <s:c r="D16706" s="121" t="n"/>
      <s:c r="E16706" s="122" t="n"/>
    </s:row>
    <s:row r="16707" hidden="1" ht="1" customHeight="1">
      <s:c r="A16707" s="120" t="inlineStr"/>
      <s:c r="B16707" s="121" t="n"/>
      <s:c r="C16707" s="121" t="n"/>
      <s:c r="D16707" s="121" t="n"/>
      <s:c r="E16707" s="122" t="n"/>
    </s:row>
    <s:row r="16708" hidden="1" ht="1" customHeight="1">
      <s:c r="A16708" s="120" t="inlineStr"/>
      <s:c r="B16708" s="121" t="n"/>
      <s:c r="C16708" s="121" t="n"/>
      <s:c r="D16708" s="121" t="n"/>
      <s:c r="E16708" s="122" t="n"/>
    </s:row>
    <s:row r="16709" hidden="1" ht="1" customHeight="1">
      <s:c r="A16709" s="120" t="inlineStr"/>
      <s:c r="B16709" s="121" t="n"/>
      <s:c r="C16709" s="121" t="n"/>
      <s:c r="D16709" s="121" t="n"/>
      <s:c r="E16709" s="122" t="n"/>
    </s:row>
    <s:row r="16710" hidden="1" ht="1" customHeight="1">
      <s:c r="A16710" s="120" t="inlineStr"/>
      <s:c r="B16710" s="121" t="n"/>
      <s:c r="C16710" s="121" t="n"/>
      <s:c r="D16710" s="121" t="n"/>
      <s:c r="E16710" s="122" t="n"/>
    </s:row>
    <s:row r="16711" hidden="1" ht="1" customHeight="1">
      <s:c r="A16711" s="120" t="inlineStr"/>
      <s:c r="B16711" s="121" t="n"/>
      <s:c r="C16711" s="121" t="n"/>
      <s:c r="D16711" s="121" t="n"/>
      <s:c r="E16711" s="122" t="n"/>
    </s:row>
    <s:row r="16712" hidden="1" ht="1" customHeight="1">
      <s:c r="A16712" s="120" t="inlineStr"/>
      <s:c r="B16712" s="121" t="n"/>
      <s:c r="C16712" s="121" t="n"/>
      <s:c r="D16712" s="121" t="n"/>
      <s:c r="E16712" s="122" t="n"/>
    </s:row>
    <s:row r="16713" hidden="1" ht="1" customHeight="1">
      <s:c r="A16713" s="120" t="inlineStr"/>
      <s:c r="B16713" s="121" t="n"/>
      <s:c r="C16713" s="121" t="n"/>
      <s:c r="D16713" s="121" t="n"/>
      <s:c r="E16713" s="122" t="n"/>
    </s:row>
    <s:row r="16714" hidden="1" ht="1" customHeight="1">
      <s:c r="A16714" s="120" t="inlineStr"/>
      <s:c r="B16714" s="121" t="n"/>
      <s:c r="C16714" s="121" t="n"/>
      <s:c r="D16714" s="121" t="n"/>
      <s:c r="E16714" s="122" t="n"/>
    </s:row>
    <s:row r="16715" hidden="1" ht="1" customHeight="1">
      <s:c r="A16715" s="120" t="inlineStr"/>
      <s:c r="B16715" s="121" t="n"/>
      <s:c r="C16715" s="121" t="n"/>
      <s:c r="D16715" s="121" t="n"/>
      <s:c r="E16715" s="122" t="n"/>
    </s:row>
    <s:row r="16716" hidden="1" ht="1" customHeight="1">
      <s:c r="A16716" s="120" t="inlineStr"/>
      <s:c r="B16716" s="121" t="n"/>
      <s:c r="C16716" s="121" t="n"/>
      <s:c r="D16716" s="121" t="n"/>
      <s:c r="E16716" s="122" t="n"/>
    </s:row>
    <s:row r="16717" hidden="1" ht="1" customHeight="1">
      <s:c r="A16717" s="120" t="inlineStr"/>
      <s:c r="B16717" s="121" t="n"/>
      <s:c r="C16717" s="121" t="n"/>
      <s:c r="D16717" s="121" t="n"/>
      <s:c r="E16717" s="122" t="n"/>
    </s:row>
    <s:row r="16718" hidden="1" ht="1" customHeight="1">
      <s:c r="A16718" s="120" t="inlineStr"/>
      <s:c r="B16718" s="121" t="n"/>
      <s:c r="C16718" s="121" t="n"/>
      <s:c r="D16718" s="121" t="n"/>
      <s:c r="E16718" s="122" t="n"/>
    </s:row>
    <s:row r="16719" hidden="1" ht="1" customHeight="1">
      <s:c r="A16719" s="120" t="inlineStr"/>
      <s:c r="B16719" s="121" t="n"/>
      <s:c r="C16719" s="121" t="n"/>
      <s:c r="D16719" s="121" t="n"/>
      <s:c r="E16719" s="122" t="n"/>
    </s:row>
    <s:row r="16720" hidden="1" ht="1" customHeight="1">
      <s:c r="A16720" s="120" t="inlineStr"/>
      <s:c r="B16720" s="121" t="n"/>
      <s:c r="C16720" s="121" t="n"/>
      <s:c r="D16720" s="121" t="n"/>
      <s:c r="E16720" s="122" t="n"/>
    </s:row>
    <s:row r="16721" hidden="1" ht="1" customHeight="1">
      <s:c r="A16721" s="120" t="inlineStr"/>
      <s:c r="B16721" s="121" t="n"/>
      <s:c r="C16721" s="121" t="n"/>
      <s:c r="D16721" s="121" t="n"/>
      <s:c r="E16721" s="122" t="n"/>
    </s:row>
    <s:row r="16722" hidden="1" ht="1" customHeight="1">
      <s:c r="A16722" s="120" t="inlineStr"/>
      <s:c r="B16722" s="121" t="n"/>
      <s:c r="C16722" s="121" t="n"/>
      <s:c r="D16722" s="121" t="n"/>
      <s:c r="E16722" s="122" t="n"/>
    </s:row>
    <s:row r="16723" hidden="1" ht="1" customHeight="1">
      <s:c r="A16723" s="120" t="inlineStr"/>
      <s:c r="B16723" s="121" t="n"/>
      <s:c r="C16723" s="121" t="n"/>
      <s:c r="D16723" s="121" t="n"/>
      <s:c r="E16723" s="122" t="n"/>
    </s:row>
    <s:row r="16724" hidden="1" ht="1" customHeight="1">
      <s:c r="A16724" s="120" t="inlineStr"/>
      <s:c r="B16724" s="121" t="n"/>
      <s:c r="C16724" s="121" t="n"/>
      <s:c r="D16724" s="121" t="n"/>
      <s:c r="E16724" s="122" t="n"/>
    </s:row>
    <s:row r="16725" hidden="1" ht="1" customHeight="1">
      <s:c r="A16725" s="120" t="inlineStr"/>
      <s:c r="B16725" s="121" t="n"/>
      <s:c r="C16725" s="121" t="n"/>
      <s:c r="D16725" s="121" t="n"/>
      <s:c r="E16725" s="122" t="n"/>
    </s:row>
    <s:row r="16726" hidden="1" ht="1" customHeight="1">
      <s:c r="A16726" s="120" t="inlineStr"/>
      <s:c r="B16726" s="121" t="n"/>
      <s:c r="C16726" s="121" t="n"/>
      <s:c r="D16726" s="121" t="n"/>
      <s:c r="E16726" s="122" t="n"/>
    </s:row>
    <s:row r="16727" hidden="1" ht="1" customHeight="1">
      <s:c r="A16727" s="120" t="inlineStr"/>
      <s:c r="B16727" s="121" t="n"/>
      <s:c r="C16727" s="121" t="n"/>
      <s:c r="D16727" s="121" t="n"/>
      <s:c r="E16727" s="122" t="n"/>
    </s:row>
    <s:row r="16728" hidden="1" ht="1" customHeight="1">
      <s:c r="A16728" s="120" t="inlineStr"/>
      <s:c r="B16728" s="121" t="n"/>
      <s:c r="C16728" s="121" t="n"/>
      <s:c r="D16728" s="121" t="n"/>
      <s:c r="E16728" s="122" t="n"/>
    </s:row>
    <s:row r="16729" hidden="1" ht="1" customHeight="1">
      <s:c r="A16729" s="120" t="inlineStr"/>
      <s:c r="B16729" s="121" t="n"/>
      <s:c r="C16729" s="121" t="n"/>
      <s:c r="D16729" s="121" t="n"/>
      <s:c r="E16729" s="122" t="n"/>
    </s:row>
    <s:row r="16730" hidden="1" ht="1" customHeight="1">
      <s:c r="A16730" s="120" t="inlineStr"/>
      <s:c r="B16730" s="121" t="n"/>
      <s:c r="C16730" s="121" t="n"/>
      <s:c r="D16730" s="121" t="n"/>
      <s:c r="E16730" s="122" t="n"/>
    </s:row>
    <s:row r="16731" hidden="1" ht="1" customHeight="1">
      <s:c r="A16731" s="120" t="inlineStr"/>
      <s:c r="B16731" s="121" t="n"/>
      <s:c r="C16731" s="121" t="n"/>
      <s:c r="D16731" s="121" t="n"/>
      <s:c r="E16731" s="122" t="n"/>
    </s:row>
    <s:row r="16732" hidden="1" ht="1" customHeight="1">
      <s:c r="A16732" s="83" t="inlineStr">
        <s:is>
          <s:t>PASS</s:t>
        </s:is>
      </s:c>
      <s:c r="B16732" s="83">
        <s:f>SUM(IF(EXACT('Kiểm thử'!E16632,"Đạt"),1,0),IF(EXACT('Kiểm thử'!E16634,"Đạt"),1,0))</s:f>
        <s:v/>
      </s:c>
      <s:c r="C16732" s="19" t="n"/>
      <s:c r="D16732" s="19" t="n"/>
      <s:c r="E16732" s="19" t="n"/>
    </s:row>
    <s:row r="16733" hidden="1" ht="1" customHeight="1">
      <s:c r="A16733" s="83" t="inlineStr">
        <s:is>
          <s:t>FAIL</s:t>
        </s:is>
      </s:c>
      <s:c r="B16733" s="83">
        <s:f>SUM(IF(EXACT('Kiểm thử'!E16632,"Không đạt"),1,0),IF(EXACT('Kiểm thử'!E16634,"Không đạt"),1,0))</s:f>
        <s:v/>
      </s:c>
      <s:c r="C16733" s="19" t="n"/>
      <s:c r="D16733" s="19" t="n"/>
      <s:c r="E16733" s="19" t="n"/>
    </s:row>
    <s:row r="16734" hidden="1" ht="1" customHeight="1">
      <s:c r="A16734" s="83" t="inlineStr">
        <s:is>
          <s:t>BLOCKED</s:t>
        </s:is>
      </s:c>
      <s:c r="B16734" s="83">
        <s:f>SUM(IF(EXACT('Kiểm thử'!E16632,"Bị chặn"),1,0),IF(EXACT('Kiểm thử'!E16634,"Bị chặn"),1,0))</s:f>
        <s:v/>
      </s:c>
      <s:c r="C16734" s="19" t="n"/>
      <s:c r="D16734" s="19" t="n"/>
      <s:c r="E16734" s="19" t="n"/>
    </s:row>
    <s:row r="16735" hidden="1" ht="1" customHeight="1">
      <s:c r="A16735" s="83" t="inlineStr">
        <s:is>
          <s:t>SKIPPED</s:t>
        </s:is>
      </s:c>
      <s:c r="B16735" s="83">
        <s:f>SUM(IF(EXACT('Kiểm thử'!E16632,"Không thực hiện"),1,0),IF(EXACT('Kiểm thử'!E16634,"Không thực hiện"),1,0))</s:f>
        <s:v/>
      </s:c>
      <s:c r="C16735" s="19" t="n"/>
      <s:c r="D16735" s="19" t="n"/>
      <s:c r="E16735" s="19" t="n"/>
    </s:row>
    <s:row r="16736" hidden="1" ht="1" customHeight="1">
      <s:c r="A16736" s="83" t="inlineStr">
        <s:is>
          <s:t>NOT RUN</s:t>
        </s:is>
      </s:c>
      <s:c r="B16736" s="83">
        <s:f>SUM(IF(EXACT('Kiểm thử'!E16632,"Chưa thực hiện"),1,0),IF(EXACT('Kiểm thử'!E16634,"Chưa thực hiện"),1,0))</s:f>
        <s:v/>
      </s:c>
      <s:c r="C16736" s="19" t="n"/>
      <s:c r="D16736" s="19" t="n"/>
      <s:c r="E16736" s="19" t="n"/>
    </s:row>
    <s:row r="16737" hidden="1" ht="6" customHeight="1">
      <s:c r="A16737" s="83" t="inlineStr"/>
      <s:c r="B16737" s="19" t="n"/>
      <s:c r="C16737" s="19" t="n"/>
      <s:c r="D16737" s="19" t="n"/>
      <s:c r="E16737" s="19" t="n"/>
    </s:row>
    <s:row r="16738" ht="28" customHeight="1">
      <s:c r="A16738" s="108" t="inlineStr">
        <s:is>
          <s:t>TC-RS-ERR-013 — Trích xuất: ô vừa thỏa điều kiện màu khác vừa là ô đỏ</s:t>
        </s:is>
      </s:c>
      <s:c r="B16738" s="111" t="n"/>
      <s:c r="C16738" s="111" t="n"/>
      <s:c r="D16738" s="111" t="n"/>
      <s:c r="E16738" s="111" t="n"/>
    </s:row>
    <s:row r="16739" ht="20" customHeight="1">
      <s:c r="A16739" s="112" t="inlineStr">
        <s:is>
          <s:t>Kết quả tình huống</s:t>
        </s:is>
      </s:c>
      <s:c r="B16739" s="113">
        <s:f>IF(SUM(IF(EXACT('Kiểm thử'!E16747,"Không đạt"),1,0))&gt;0,"Không đạt",IF(SUM(IF(EXACT('Kiểm thử'!E16747,"Đạt"),1,0))=1,"Đạt",IF(SUM(IF(EXACT('Kiểm thử'!E16747,"Không thực hiện"),1,0))=1,"Không thực hiện",IF(SUM(IF(EXACT('Kiểm thử'!E16747,"Bị chặn"),1,0))&gt;0,"Bị chặn",IF(SUM(IF(EXACT('Kiểm thử'!E16747,"Chưa thực hiện"),1,0))=1,"Chưa thực hiện","Đang thực hiện")))))</s:f>
        <s:v/>
      </s:c>
      <s:c r="C16739" s="114" t="n"/>
      <s:c r="D16739" s="114" t="n"/>
      <s:c r="E16739" s="114" t="n"/>
    </s:row>
    <s:row r="16740" ht="20" customHeight="1">
      <s:c r="A16740" s="112" t="inlineStr">
        <s:is>
          <s:t>Màn hình / chức năng</s:t>
        </s:is>
      </s:c>
      <s:c r="B16740" s="113" t="inlineStr">
        <s:is>
          <s:r>
            <s:rPr>
              <s:b val="1"/>
            </s:rPr>
            <s:t>Trích xuất thành tích（成績抽出）</s:t>
          </s:r>
        </s:is>
      </s:c>
      <s:c r="C16740" s="28" t="n"/>
      <s:c r="D16740" s="28" t="n"/>
      <s:c r="E16740" s="28" t="n"/>
    </s:row>
    <s:row r="16741" ht="34" customHeight="1">
      <s:c r="A16741" s="112" t="inlineStr">
        <s:is>
          <s:t>Cấu hình</s:t>
        </s:is>
      </s:c>
      <s:c r="B16741" s="113" t="inlineStr">
        <s:is>
          <s:r>
            <s:t xml:space="preserve">• Mục có </s:t>
          </s:r>
          <s:r>
            <s:rPr>
              <s:b val="1"/>
            </s:rPr>
            <s:t>điều kiện Khoảng điểm（点数範囲）</s:t>
          </s:r>
          <s:r>
            <s:t xml:space="preserve"> </s:t>
          </s:r>
          <s:r>
            <s:rPr>
              <s:b val="1"/>
            </s:rPr>
            <s:t>0–30 tô Vàng（黄）</s:t>
          </s:r>
          <s:r>
            <s:t xml:space="preserve"> và điều </s:t>
          </s:r>
          <s:r>
            <s:rPr>
              <s:b val="1"/>
            </s:rPr>
            <s:t>kiện đỏ tô Đỏ（赤）</s:t>
          </s:r>
          <s:r>
            <s:t>, ký hiệu [*].</s:t>
          </s:r>
        </s:is>
      </s:c>
      <s:c r="C16741" s="28" t="n"/>
      <s:c r="D16741" s="28" t="n"/>
      <s:c r="E16741" s="28" t="n"/>
    </s:row>
    <s:row r="16742" ht="20" customHeight="1">
      <s:c r="A16742" s="112" t="inlineStr">
        <s:is>
          <s:t>Dữ liệu test</s:t>
        </s:is>
      </s:c>
      <s:c r="B16742" s="113" t="inlineStr">
        <s:is>
          <s:t>• Học sinh S01 (điểm 29) (29)</s:t>
        </s:is>
      </s:c>
      <s:c r="C16742" s="28" t="n"/>
      <s:c r="D16742" s="28" t="n"/>
      <s:c r="E16742" s="28" t="n"/>
    </s:row>
    <s:row r="16743" ht="48" customHeight="1">
      <s:c r="A16743" s="112" t="inlineStr">
        <s:is>
          <s:t>Điều kiện còn thiếu</s:t>
        </s:is>
      </s:c>
      <s:c r="B16743" s="113" t="inlineStr">
        <s:is>
          <s:t>• Phần kỳ vọng chưa chốt trong bản nguồn: TBD (chưa chốt) cho màu cuối. CONFIRMED phần không tranh chấp: điều kiện Khoảng điểm vẫn giữ nghĩa cũ;
• Màn hình và Excel cho cùng kết quả.</s:t>
        </s:is>
      </s:c>
      <s:c r="C16743" s="28" t="n"/>
      <s:c r="D16743" s="28" t="n"/>
      <s:c r="E16743" s="28" t="n"/>
    </s:row>
    <s:row r="16744" ht="20" customHeight="1">
      <s:c r="A16744" s="112" t="inlineStr">
        <s:is>
          <s:t>•</s:t>
        </s:is>
      </s:c>
      <s:c r="B16744" s="113" t="inlineStr">
        <s:is>
          <s:t>Chạy trích xuất, xuất Excel.</s:t>
        </s:is>
      </s:c>
      <s:c r="C16744" s="28" t="n"/>
      <s:c r="D16744" s="28" t="n"/>
      <s:c r="E16744" s="28" t="n"/>
    </s:row>
    <s:row r="16745" ht="28" customHeight="1">
      <s:c r="A16745" s="115" t="inlineStr">
        <s:is>
          <s:t>Trường hợp</s:t>
        </s:is>
      </s:c>
      <s:c r="B16745" s="115" t="inlineStr">
        <s:is>
          <s:t>Dữ liệu / thao tác riêng</s:t>
        </s:is>
      </s:c>
      <s:c r="C16745" s="115" t="inlineStr">
        <s:is>
          <s:t>Kết quả mong đợi</s:t>
        </s:is>
      </s:c>
      <s:c r="D16745" s="115" t="inlineStr">
        <s:is>
          <s:t>Kết quả thực tế</s:t>
        </s:is>
      </s:c>
      <s:c r="E16745" s="115" t="inlineStr">
        <s:is>
          <s:t>Đánh giá</s:t>
        </s:is>
      </s:c>
    </s:row>
    <s:row r="16746" ht="3" customHeight="1">
      <s:c r="A16746" s="102" t="inlineStr"/>
      <s:c r="B16746" s="99" t="n"/>
      <s:c r="C16746" s="99" t="n"/>
      <s:c r="D16746" s="116" t="n"/>
      <s:c r="E16746" s="116" t="n"/>
    </s:row>
    <s:row r="16747" ht="62" customHeight="1">
      <s:c r="A16747" s="83" t="inlineStr">
        <s:is>
          <s:t>Trường hợp cơ bản (Base)</s:t>
        </s:is>
      </s:c>
      <s:c r="B16747" s="83" t="inlineStr">
        <s:is>
          <s:t>Toàn bộ tình huống: Thực hiện đủ các bước chung theo thứ tự; kiểm cả đối tượng đích và đối chứng cùng fixture, không bỏ bước.</s:t>
        </s:is>
      </s:c>
      <s:c r="C16747" s="83" t="inlineStr">
        <s:is>
          <s:t>TBD (chưa chốt) cho màu cuối. CONFIRMED phần không tranh chấp: điều kiện Khoảng điểm vẫn giữ nghĩa cũ; màn hình và Excel cho cùng kết quả.</s:t>
        </s:is>
      </s:c>
      <s:c r="D16747" s="117" t="inlineStr"/>
      <s:c r="E16747" s="118" t="inlineStr">
        <s:is>
          <s:t>Chưa thực hiện</s:t>
        </s:is>
      </s:c>
    </s:row>
    <s:row r="16748" ht="20" customHeight="1">
      <s:c r="A16748" s="119" t="inlineStr">
        <s:is>
          <s:t>Ảnh minh chứng — Chưa có ảnh</s:t>
        </s:is>
      </s:c>
      <s:c r="B16748" s="19" t="n"/>
      <s:c r="C16748" s="19" t="n"/>
      <s:c r="D16748" s="19" t="n"/>
      <s:c r="E16748" s="19" t="n"/>
    </s:row>
    <s:row r="16749" hidden="1" ht="1" customHeight="1">
      <s:c r="A16749" s="120" t="inlineStr"/>
      <s:c r="B16749" s="121" t="n"/>
      <s:c r="C16749" s="121" t="n"/>
      <s:c r="D16749" s="121" t="n"/>
      <s:c r="E16749" s="122" t="n"/>
    </s:row>
    <s:row r="16750" hidden="1" ht="1" customHeight="1">
      <s:c r="A16750" s="120" t="inlineStr"/>
      <s:c r="B16750" s="121" t="n"/>
      <s:c r="C16750" s="121" t="n"/>
      <s:c r="D16750" s="121" t="n"/>
      <s:c r="E16750" s="122" t="n"/>
    </s:row>
    <s:row r="16751" hidden="1" ht="1" customHeight="1">
      <s:c r="A16751" s="120" t="inlineStr"/>
      <s:c r="B16751" s="121" t="n"/>
      <s:c r="C16751" s="121" t="n"/>
      <s:c r="D16751" s="121" t="n"/>
      <s:c r="E16751" s="122" t="n"/>
    </s:row>
    <s:row r="16752" hidden="1" ht="1" customHeight="1">
      <s:c r="A16752" s="120" t="inlineStr"/>
      <s:c r="B16752" s="121" t="n"/>
      <s:c r="C16752" s="121" t="n"/>
      <s:c r="D16752" s="121" t="n"/>
      <s:c r="E16752" s="122" t="n"/>
    </s:row>
    <s:row r="16753" hidden="1" ht="1" customHeight="1">
      <s:c r="A16753" s="120" t="inlineStr"/>
      <s:c r="B16753" s="121" t="n"/>
      <s:c r="C16753" s="121" t="n"/>
      <s:c r="D16753" s="121" t="n"/>
      <s:c r="E16753" s="122" t="n"/>
    </s:row>
    <s:row r="16754" hidden="1" ht="1" customHeight="1">
      <s:c r="A16754" s="120" t="inlineStr"/>
      <s:c r="B16754" s="121" t="n"/>
      <s:c r="C16754" s="121" t="n"/>
      <s:c r="D16754" s="121" t="n"/>
      <s:c r="E16754" s="122" t="n"/>
    </s:row>
    <s:row r="16755" hidden="1" ht="1" customHeight="1">
      <s:c r="A16755" s="120" t="inlineStr"/>
      <s:c r="B16755" s="121" t="n"/>
      <s:c r="C16755" s="121" t="n"/>
      <s:c r="D16755" s="121" t="n"/>
      <s:c r="E16755" s="122" t="n"/>
    </s:row>
    <s:row r="16756" hidden="1" ht="1" customHeight="1">
      <s:c r="A16756" s="120" t="inlineStr"/>
      <s:c r="B16756" s="121" t="n"/>
      <s:c r="C16756" s="121" t="n"/>
      <s:c r="D16756" s="121" t="n"/>
      <s:c r="E16756" s="122" t="n"/>
    </s:row>
    <s:row r="16757" hidden="1" ht="1" customHeight="1">
      <s:c r="A16757" s="120" t="inlineStr"/>
      <s:c r="B16757" s="121" t="n"/>
      <s:c r="C16757" s="121" t="n"/>
      <s:c r="D16757" s="121" t="n"/>
      <s:c r="E16757" s="122" t="n"/>
    </s:row>
    <s:row r="16758" hidden="1" ht="1" customHeight="1">
      <s:c r="A16758" s="120" t="inlineStr"/>
      <s:c r="B16758" s="121" t="n"/>
      <s:c r="C16758" s="121" t="n"/>
      <s:c r="D16758" s="121" t="n"/>
      <s:c r="E16758" s="122" t="n"/>
    </s:row>
    <s:row r="16759" hidden="1" ht="1" customHeight="1">
      <s:c r="A16759" s="120" t="inlineStr"/>
      <s:c r="B16759" s="121" t="n"/>
      <s:c r="C16759" s="121" t="n"/>
      <s:c r="D16759" s="121" t="n"/>
      <s:c r="E16759" s="122" t="n"/>
    </s:row>
    <s:row r="16760" hidden="1" ht="1" customHeight="1">
      <s:c r="A16760" s="120" t="inlineStr"/>
      <s:c r="B16760" s="121" t="n"/>
      <s:c r="C16760" s="121" t="n"/>
      <s:c r="D16760" s="121" t="n"/>
      <s:c r="E16760" s="122" t="n"/>
    </s:row>
    <s:row r="16761" hidden="1" ht="1" customHeight="1">
      <s:c r="A16761" s="120" t="inlineStr"/>
      <s:c r="B16761" s="121" t="n"/>
      <s:c r="C16761" s="121" t="n"/>
      <s:c r="D16761" s="121" t="n"/>
      <s:c r="E16761" s="122" t="n"/>
    </s:row>
    <s:row r="16762" hidden="1" ht="1" customHeight="1">
      <s:c r="A16762" s="120" t="inlineStr"/>
      <s:c r="B16762" s="121" t="n"/>
      <s:c r="C16762" s="121" t="n"/>
      <s:c r="D16762" s="121" t="n"/>
      <s:c r="E16762" s="122" t="n"/>
    </s:row>
    <s:row r="16763" hidden="1" ht="1" customHeight="1">
      <s:c r="A16763" s="120" t="inlineStr"/>
      <s:c r="B16763" s="121" t="n"/>
      <s:c r="C16763" s="121" t="n"/>
      <s:c r="D16763" s="121" t="n"/>
      <s:c r="E16763" s="122" t="n"/>
    </s:row>
    <s:row r="16764" hidden="1" ht="1" customHeight="1">
      <s:c r="A16764" s="120" t="inlineStr"/>
      <s:c r="B16764" s="121" t="n"/>
      <s:c r="C16764" s="121" t="n"/>
      <s:c r="D16764" s="121" t="n"/>
      <s:c r="E16764" s="122" t="n"/>
    </s:row>
    <s:row r="16765" hidden="1" ht="1" customHeight="1">
      <s:c r="A16765" s="120" t="inlineStr"/>
      <s:c r="B16765" s="121" t="n"/>
      <s:c r="C16765" s="121" t="n"/>
      <s:c r="D16765" s="121" t="n"/>
      <s:c r="E16765" s="122" t="n"/>
    </s:row>
    <s:row r="16766" hidden="1" ht="1" customHeight="1">
      <s:c r="A16766" s="120" t="inlineStr"/>
      <s:c r="B16766" s="121" t="n"/>
      <s:c r="C16766" s="121" t="n"/>
      <s:c r="D16766" s="121" t="n"/>
      <s:c r="E16766" s="122" t="n"/>
    </s:row>
    <s:row r="16767" hidden="1" ht="1" customHeight="1">
      <s:c r="A16767" s="120" t="inlineStr"/>
      <s:c r="B16767" s="121" t="n"/>
      <s:c r="C16767" s="121" t="n"/>
      <s:c r="D16767" s="121" t="n"/>
      <s:c r="E16767" s="122" t="n"/>
    </s:row>
    <s:row r="16768" hidden="1" ht="1" customHeight="1">
      <s:c r="A16768" s="120" t="inlineStr"/>
      <s:c r="B16768" s="121" t="n"/>
      <s:c r="C16768" s="121" t="n"/>
      <s:c r="D16768" s="121" t="n"/>
      <s:c r="E16768" s="122" t="n"/>
    </s:row>
    <s:row r="16769" hidden="1" ht="1" customHeight="1">
      <s:c r="A16769" s="120" t="inlineStr"/>
      <s:c r="B16769" s="121" t="n"/>
      <s:c r="C16769" s="121" t="n"/>
      <s:c r="D16769" s="121" t="n"/>
      <s:c r="E16769" s="122" t="n"/>
    </s:row>
    <s:row r="16770" hidden="1" ht="1" customHeight="1">
      <s:c r="A16770" s="120" t="inlineStr"/>
      <s:c r="B16770" s="121" t="n"/>
      <s:c r="C16770" s="121" t="n"/>
      <s:c r="D16770" s="121" t="n"/>
      <s:c r="E16770" s="122" t="n"/>
    </s:row>
    <s:row r="16771" hidden="1" ht="1" customHeight="1">
      <s:c r="A16771" s="120" t="inlineStr"/>
      <s:c r="B16771" s="121" t="n"/>
      <s:c r="C16771" s="121" t="n"/>
      <s:c r="D16771" s="121" t="n"/>
      <s:c r="E16771" s="122" t="n"/>
    </s:row>
    <s:row r="16772" hidden="1" ht="1" customHeight="1">
      <s:c r="A16772" s="120" t="inlineStr"/>
      <s:c r="B16772" s="121" t="n"/>
      <s:c r="C16772" s="121" t="n"/>
      <s:c r="D16772" s="121" t="n"/>
      <s:c r="E16772" s="122" t="n"/>
    </s:row>
    <s:row r="16773" hidden="1" ht="1" customHeight="1">
      <s:c r="A16773" s="120" t="inlineStr"/>
      <s:c r="B16773" s="121" t="n"/>
      <s:c r="C16773" s="121" t="n"/>
      <s:c r="D16773" s="121" t="n"/>
      <s:c r="E16773" s="122" t="n"/>
    </s:row>
    <s:row r="16774" hidden="1" ht="1" customHeight="1">
      <s:c r="A16774" s="120" t="inlineStr"/>
      <s:c r="B16774" s="121" t="n"/>
      <s:c r="C16774" s="121" t="n"/>
      <s:c r="D16774" s="121" t="n"/>
      <s:c r="E16774" s="122" t="n"/>
    </s:row>
    <s:row r="16775" hidden="1" ht="1" customHeight="1">
      <s:c r="A16775" s="120" t="inlineStr"/>
      <s:c r="B16775" s="121" t="n"/>
      <s:c r="C16775" s="121" t="n"/>
      <s:c r="D16775" s="121" t="n"/>
      <s:c r="E16775" s="122" t="n"/>
    </s:row>
    <s:row r="16776" hidden="1" ht="1" customHeight="1">
      <s:c r="A16776" s="120" t="inlineStr"/>
      <s:c r="B16776" s="121" t="n"/>
      <s:c r="C16776" s="121" t="n"/>
      <s:c r="D16776" s="121" t="n"/>
      <s:c r="E16776" s="122" t="n"/>
    </s:row>
    <s:row r="16777" hidden="1" ht="1" customHeight="1">
      <s:c r="A16777" s="120" t="inlineStr"/>
      <s:c r="B16777" s="121" t="n"/>
      <s:c r="C16777" s="121" t="n"/>
      <s:c r="D16777" s="121" t="n"/>
      <s:c r="E16777" s="122" t="n"/>
    </s:row>
    <s:row r="16778" hidden="1" ht="1" customHeight="1">
      <s:c r="A16778" s="120" t="inlineStr"/>
      <s:c r="B16778" s="121" t="n"/>
      <s:c r="C16778" s="121" t="n"/>
      <s:c r="D16778" s="121" t="n"/>
      <s:c r="E16778" s="122" t="n"/>
    </s:row>
    <s:row r="16779" hidden="1" ht="1" customHeight="1">
      <s:c r="A16779" s="120" t="inlineStr"/>
      <s:c r="B16779" s="121" t="n"/>
      <s:c r="C16779" s="121" t="n"/>
      <s:c r="D16779" s="121" t="n"/>
      <s:c r="E16779" s="122" t="n"/>
    </s:row>
    <s:row r="16780" hidden="1" ht="1" customHeight="1">
      <s:c r="A16780" s="120" t="inlineStr"/>
      <s:c r="B16780" s="121" t="n"/>
      <s:c r="C16780" s="121" t="n"/>
      <s:c r="D16780" s="121" t="n"/>
      <s:c r="E16780" s="122" t="n"/>
    </s:row>
    <s:row r="16781" hidden="1" ht="1" customHeight="1">
      <s:c r="A16781" s="120" t="inlineStr"/>
      <s:c r="B16781" s="121" t="n"/>
      <s:c r="C16781" s="121" t="n"/>
      <s:c r="D16781" s="121" t="n"/>
      <s:c r="E16781" s="122" t="n"/>
    </s:row>
    <s:row r="16782" hidden="1" ht="1" customHeight="1">
      <s:c r="A16782" s="120" t="inlineStr"/>
      <s:c r="B16782" s="121" t="n"/>
      <s:c r="C16782" s="121" t="n"/>
      <s:c r="D16782" s="121" t="n"/>
      <s:c r="E16782" s="122" t="n"/>
    </s:row>
    <s:row r="16783" hidden="1" ht="1" customHeight="1">
      <s:c r="A16783" s="120" t="inlineStr"/>
      <s:c r="B16783" s="121" t="n"/>
      <s:c r="C16783" s="121" t="n"/>
      <s:c r="D16783" s="121" t="n"/>
      <s:c r="E16783" s="122" t="n"/>
    </s:row>
    <s:row r="16784" hidden="1" ht="1" customHeight="1">
      <s:c r="A16784" s="120" t="inlineStr"/>
      <s:c r="B16784" s="121" t="n"/>
      <s:c r="C16784" s="121" t="n"/>
      <s:c r="D16784" s="121" t="n"/>
      <s:c r="E16784" s="122" t="n"/>
    </s:row>
    <s:row r="16785" hidden="1" ht="1" customHeight="1">
      <s:c r="A16785" s="120" t="inlineStr"/>
      <s:c r="B16785" s="121" t="n"/>
      <s:c r="C16785" s="121" t="n"/>
      <s:c r="D16785" s="121" t="n"/>
      <s:c r="E16785" s="122" t="n"/>
    </s:row>
    <s:row r="16786" hidden="1" ht="1" customHeight="1">
      <s:c r="A16786" s="120" t="inlineStr"/>
      <s:c r="B16786" s="121" t="n"/>
      <s:c r="C16786" s="121" t="n"/>
      <s:c r="D16786" s="121" t="n"/>
      <s:c r="E16786" s="122" t="n"/>
    </s:row>
    <s:row r="16787" hidden="1" ht="1" customHeight="1">
      <s:c r="A16787" s="120" t="inlineStr"/>
      <s:c r="B16787" s="121" t="n"/>
      <s:c r="C16787" s="121" t="n"/>
      <s:c r="D16787" s="121" t="n"/>
      <s:c r="E16787" s="122" t="n"/>
    </s:row>
    <s:row r="16788" hidden="1" ht="1" customHeight="1">
      <s:c r="A16788" s="120" t="inlineStr"/>
      <s:c r="B16788" s="121" t="n"/>
      <s:c r="C16788" s="121" t="n"/>
      <s:c r="D16788" s="121" t="n"/>
      <s:c r="E16788" s="122" t="n"/>
    </s:row>
    <s:row r="16789" hidden="1" ht="1" customHeight="1">
      <s:c r="A16789" s="120" t="inlineStr"/>
      <s:c r="B16789" s="121" t="n"/>
      <s:c r="C16789" s="121" t="n"/>
      <s:c r="D16789" s="121" t="n"/>
      <s:c r="E16789" s="122" t="n"/>
    </s:row>
    <s:row r="16790" hidden="1" ht="1" customHeight="1">
      <s:c r="A16790" s="120" t="inlineStr"/>
      <s:c r="B16790" s="121" t="n"/>
      <s:c r="C16790" s="121" t="n"/>
      <s:c r="D16790" s="121" t="n"/>
      <s:c r="E16790" s="122" t="n"/>
    </s:row>
    <s:row r="16791" hidden="1" ht="1" customHeight="1">
      <s:c r="A16791" s="120" t="inlineStr"/>
      <s:c r="B16791" s="121" t="n"/>
      <s:c r="C16791" s="121" t="n"/>
      <s:c r="D16791" s="121" t="n"/>
      <s:c r="E16791" s="122" t="n"/>
    </s:row>
    <s:row r="16792" hidden="1" ht="1" customHeight="1">
      <s:c r="A16792" s="120" t="inlineStr"/>
      <s:c r="B16792" s="121" t="n"/>
      <s:c r="C16792" s="121" t="n"/>
      <s:c r="D16792" s="121" t="n"/>
      <s:c r="E16792" s="122" t="n"/>
    </s:row>
    <s:row r="16793" hidden="1" ht="1" customHeight="1">
      <s:c r="A16793" s="120" t="inlineStr"/>
      <s:c r="B16793" s="121" t="n"/>
      <s:c r="C16793" s="121" t="n"/>
      <s:c r="D16793" s="121" t="n"/>
      <s:c r="E16793" s="122" t="n"/>
    </s:row>
    <s:row r="16794" hidden="1" ht="1" customHeight="1">
      <s:c r="A16794" s="120" t="inlineStr"/>
      <s:c r="B16794" s="121" t="n"/>
      <s:c r="C16794" s="121" t="n"/>
      <s:c r="D16794" s="121" t="n"/>
      <s:c r="E16794" s="122" t="n"/>
    </s:row>
    <s:row r="16795" hidden="1" ht="1" customHeight="1">
      <s:c r="A16795" s="120" t="inlineStr"/>
      <s:c r="B16795" s="121" t="n"/>
      <s:c r="C16795" s="121" t="n"/>
      <s:c r="D16795" s="121" t="n"/>
      <s:c r="E16795" s="122" t="n"/>
    </s:row>
    <s:row r="16796" hidden="1" ht="1" customHeight="1">
      <s:c r="A16796" s="120" t="inlineStr"/>
      <s:c r="B16796" s="121" t="n"/>
      <s:c r="C16796" s="121" t="n"/>
      <s:c r="D16796" s="121" t="n"/>
      <s:c r="E16796" s="122" t="n"/>
    </s:row>
    <s:row r="16797" hidden="1" ht="1" customHeight="1">
      <s:c r="A16797" s="83" t="inlineStr">
        <s:is>
          <s:t>PASS</s:t>
        </s:is>
      </s:c>
      <s:c r="B16797" s="83">
        <s:f>SUM(IF(EXACT('Kiểm thử'!E16747,"Đạt"),1,0))</s:f>
        <s:v/>
      </s:c>
      <s:c r="C16797" s="19" t="n"/>
      <s:c r="D16797" s="19" t="n"/>
      <s:c r="E16797" s="19" t="n"/>
    </s:row>
    <s:row r="16798" hidden="1" ht="1" customHeight="1">
      <s:c r="A16798" s="83" t="inlineStr">
        <s:is>
          <s:t>FAIL</s:t>
        </s:is>
      </s:c>
      <s:c r="B16798" s="83">
        <s:f>SUM(IF(EXACT('Kiểm thử'!E16747,"Không đạt"),1,0))</s:f>
        <s:v/>
      </s:c>
      <s:c r="C16798" s="19" t="n"/>
      <s:c r="D16798" s="19" t="n"/>
      <s:c r="E16798" s="19" t="n"/>
    </s:row>
    <s:row r="16799" hidden="1" ht="1" customHeight="1">
      <s:c r="A16799" s="83" t="inlineStr">
        <s:is>
          <s:t>BLOCKED</s:t>
        </s:is>
      </s:c>
      <s:c r="B16799" s="83">
        <s:f>SUM(IF(EXACT('Kiểm thử'!E16747,"Bị chặn"),1,0))</s:f>
        <s:v/>
      </s:c>
      <s:c r="C16799" s="19" t="n"/>
      <s:c r="D16799" s="19" t="n"/>
      <s:c r="E16799" s="19" t="n"/>
    </s:row>
    <s:row r="16800" hidden="1" ht="1" customHeight="1">
      <s:c r="A16800" s="83" t="inlineStr">
        <s:is>
          <s:t>SKIPPED</s:t>
        </s:is>
      </s:c>
      <s:c r="B16800" s="83">
        <s:f>SUM(IF(EXACT('Kiểm thử'!E16747,"Không thực hiện"),1,0))</s:f>
        <s:v/>
      </s:c>
      <s:c r="C16800" s="19" t="n"/>
      <s:c r="D16800" s="19" t="n"/>
      <s:c r="E16800" s="19" t="n"/>
    </s:row>
    <s:row r="16801" hidden="1" ht="1" customHeight="1">
      <s:c r="A16801" s="83" t="inlineStr">
        <s:is>
          <s:t>NOT RUN</s:t>
        </s:is>
      </s:c>
      <s:c r="B16801" s="83">
        <s:f>SUM(IF(EXACT('Kiểm thử'!E16747,"Chưa thực hiện"),1,0))</s:f>
        <s:v/>
      </s:c>
      <s:c r="C16801" s="19" t="n"/>
      <s:c r="D16801" s="19" t="n"/>
      <s:c r="E16801" s="19" t="n"/>
    </s:row>
    <s:row r="16802" hidden="1" ht="6" customHeight="1">
      <s:c r="A16802" s="83" t="inlineStr"/>
      <s:c r="B16802" s="19" t="n"/>
      <s:c r="C16802" s="19" t="n"/>
      <s:c r="D16802" s="19" t="n"/>
      <s:c r="E16802" s="19" t="n"/>
    </s:row>
    <s:row r="16803" ht="28" customHeight="1">
      <s:c r="A16803" s="108" t="inlineStr">
        <s:is>
          <s:t>TC-RS-REG-006 — Trích xuất: mẫu hiện có không cấu hình đỏ cho kết quả như trước</s:t>
        </s:is>
      </s:c>
      <s:c r="B16803" s="111" t="n"/>
      <s:c r="C16803" s="111" t="n"/>
      <s:c r="D16803" s="111" t="n"/>
      <s:c r="E16803" s="111" t="n"/>
    </s:row>
    <s:row r="16804" ht="20" customHeight="1">
      <s:c r="A16804" s="112" t="inlineStr">
        <s:is>
          <s:t>Kết quả tình huống</s:t>
        </s:is>
      </s:c>
      <s:c r="B16804" s="113">
        <s:f>IF(SUM(IF(EXACT('Kiểm thử'!E16812,"Không đạt"),1,0),IF(EXACT('Kiểm thử'!E16814,"Không đạt"),1,0),IF(EXACT('Kiểm thử'!E16816,"Không đạt"),1,0),IF(EXACT('Kiểm thử'!E16818,"Không đạt"),1,0))&gt;0,"Không đạt",IF(SUM(IF(EXACT('Kiểm thử'!E16812,"Đạt"),1,0),IF(EXACT('Kiểm thử'!E16814,"Đạt"),1,0),IF(EXACT('Kiểm thử'!E16816,"Đạt"),1,0),IF(EXACT('Kiểm thử'!E16818,"Đạt"),1,0))=4,"Đạt",IF(SUM(IF(EXACT('Kiểm thử'!E16812,"Không thực hiện"),1,0),IF(EXACT('Kiểm thử'!E16814,"Không thực hiện"),1,0),IF(EXACT('Kiểm thử'!E16816,"Không thực hiện"),1,0),IF(EXACT('Kiểm thử'!E16818,"Không thực hiện"),1,0))=4,"Không thực hiện",IF(SUM(IF(EXACT('Kiểm thử'!E16812,"Bị chặn"),1,0),IF(EXACT('Kiểm thử'!E16814,"Bị chặn"),1,0),IF(EXACT('Kiểm thử'!E16816,"Bị chặn"),1,0),IF(EXACT('Kiểm thử'!E16818,"Bị chặn"),1,0))&gt;0,"Bị chặn",IF(SUM(IF(EXACT('Kiểm thử'!E16812,"Chưa thực hiện"),1,0),IF(EXACT('Kiểm thử'!E16814,"Chưa thực hiện"),1,0),IF(EXACT('Kiểm thử'!E16816,"Chưa thực hiện"),1,0),IF(EXACT('Kiểm thử'!E16818,"Chưa thực hiện"),1,0))=4,"Chưa thực hiện","Đang thực hiện")))))</s:f>
        <s:v/>
      </s:c>
      <s:c r="C16804" s="114" t="n"/>
      <s:c r="D16804" s="114" t="n"/>
      <s:c r="E16804" s="114" t="n"/>
    </s:row>
    <s:row r="16805" ht="20" customHeight="1">
      <s:c r="A16805" s="112" t="inlineStr">
        <s:is>
          <s:t>Màn hình / chức năng</s:t>
        </s:is>
      </s:c>
      <s:c r="B16805" s="113" t="inlineStr">
        <s:is>
          <s:r>
            <s:rPr>
              <s:b val="1"/>
            </s:rPr>
            <s:t>Trích xuất thành tích（成績抽出）</s:t>
          </s:r>
        </s:is>
      </s:c>
      <s:c r="C16805" s="28" t="n"/>
      <s:c r="D16805" s="28" t="n"/>
      <s:c r="E16805" s="28" t="n"/>
    </s:row>
    <s:row r="16806" ht="34" customHeight="1">
      <s:c r="A16806" s="112" t="inlineStr">
        <s:is>
          <s:t>Cấu hình</s:t>
        </s:is>
      </s:c>
      <s:c r="B16806" s="113" t="inlineStr">
        <s:is>
          <s:r>
            <s:t>• Ba mẫu trích xuất hiện có (</s:t>
          </s:r>
          <s:r>
            <s:rPr>
              <s:b val="1"/>
            </s:rPr>
            <s:t>có Khoảng điểm（点数範囲）</s:t>
          </s:r>
          <s:r>
            <s:t xml:space="preserve"> tô màu, có lọc, có ký hiệu). Baseline màn và Excel. Mục có quy tắc “Cố định 30” (dưới 30).</s:t>
          </s:r>
        </s:is>
      </s:c>
      <s:c r="C16806" s="28" t="n"/>
      <s:c r="D16806" s="28" t="n"/>
      <s:c r="E16806" s="28" t="n"/>
    </s:row>
    <s:row r="16807" ht="34" customHeight="1">
      <s:c r="A16807" s="112" t="inlineStr">
        <s:is>
          <s:t>Dữ liệu test</s:t>
        </s:is>
      </s:c>
      <s:c r="B16807" s="113" t="inlineStr">
        <s:is>
          <s:t>• Quy tắc “Cố định 30” (dưới 30);
• Học sinh S01–S10</s:t>
        </s:is>
      </s:c>
      <s:c r="C16807" s="28" t="n"/>
      <s:c r="D16807" s="28" t="n"/>
      <s:c r="E16807" s="28" t="n"/>
    </s:row>
    <s:row r="16808" ht="20" customHeight="1">
      <s:c r="A16808" s="112" t="inlineStr">
        <s:is>
          <s:t>Bước 1</s:t>
        </s:is>
      </s:c>
      <s:c r="B16808" s="113" t="inlineStr">
        <s:is>
          <s:t>Chạy lại ba mẫu, xuất Excel, so với baseline.</s:t>
        </s:is>
      </s:c>
      <s:c r="C16808" s="28" t="n"/>
      <s:c r="D16808" s="28" t="n"/>
      <s:c r="E16808" s="28" t="n"/>
    </s:row>
    <s:row r="16809" ht="34" customHeight="1">
      <s:c r="A16809" s="112" t="inlineStr">
        <s:is>
          <s:t>Bước 2</s:t>
        </s:is>
      </s:c>
      <s:c r="B16809" s="113" t="inlineStr">
        <s:is>
          <s:r>
            <s:t xml:space="preserve">Mở màn tạo mẫu trích xuất mới, Thiết lập </s:t>
          </s:r>
          <s:r>
            <s:rPr>
              <s:b val="1"/>
            </s:rPr>
            <s:t>công khai thành tích（成績公開設定）</s:t>
          </s:r>
          <s:r>
            <s:t xml:space="preserve"> chưa từng lưu hiệu ứng đỏ, và dòng </s:t>
          </s:r>
          <s:r>
            <s:rPr>
              <s:b val="1"/>
            </s:rPr>
            <s:t>Thiết lập điểm đỏ（赤点設定）</s:t>
          </s:r>
          <s:r>
            <s:t xml:space="preserve"> của một bảng phiếu điểm mới.</s:t>
          </s:r>
        </s:is>
      </s:c>
      <s:c r="C16809" s="28" t="n"/>
      <s:c r="D16809" s="28" t="n"/>
      <s:c r="E16809" s="28" t="n"/>
    </s:row>
    <s:row r="16810" ht="28" customHeight="1">
      <s:c r="A16810" s="115" t="inlineStr">
        <s:is>
          <s:t>Trường hợp</s:t>
        </s:is>
      </s:c>
      <s:c r="B16810" s="115" t="inlineStr">
        <s:is>
          <s:t>Dữ liệu / thao tác riêng</s:t>
        </s:is>
      </s:c>
      <s:c r="C16810" s="115" t="inlineStr">
        <s:is>
          <s:t>Kết quả mong đợi</s:t>
        </s:is>
      </s:c>
      <s:c r="D16810" s="115" t="inlineStr">
        <s:is>
          <s:t>Kết quả thực tế</s:t>
        </s:is>
      </s:c>
      <s:c r="E16810" s="115" t="inlineStr">
        <s:is>
          <s:t>Đánh giá</s:t>
        </s:is>
      </s:c>
    </s:row>
    <s:row r="16811" ht="3" customHeight="1">
      <s:c r="A16811" s="102" t="inlineStr"/>
      <s:c r="B16811" s="99" t="n"/>
      <s:c r="C16811" s="99" t="n"/>
      <s:c r="D16811" s="116" t="n"/>
      <s:c r="E16811" s="116" t="n"/>
    </s:row>
    <s:row r="16812" ht="62" customHeight="1">
      <s:c r="A16812" s="83" t="inlineStr">
        <s:is>
          <s:t>Mẫu màu hiện hữu (color)</s:t>
        </s:is>
      </s:c>
      <s:c r="B16812" s="83" t="inlineStr">
        <s:is>
          <s:r>
            <s:t xml:space="preserve">Dùng mẫu </s:t>
          </s:r>
          <s:r>
            <s:rPr>
              <s:b val="1"/>
            </s:rPr>
            <s:t>hiện có Khoảng điểm（点数範囲）</s:t>
          </s:r>
          <s:r>
            <s:t xml:space="preserve"> tô màu, chưa bật tùy chọn đỏ; chạy/xuất Excel và so baseline của mẫu.</s:t>
          </s:r>
        </s:is>
      </s:c>
      <s:c r="C16812" s="83" t="inlineStr">
        <s:is>
          <s:t>Mẫu hiện có chưa bật tùy chọn đỏ: danh sách học sinh, giá trị, ký hiệu, màu và định dạng Excel bằng baseline của chính mẫu này.</s:t>
        </s:is>
      </s:c>
      <s:c r="D16812" s="117" t="inlineStr"/>
      <s:c r="E16812" s="118" t="inlineStr">
        <s:is>
          <s:t>Chưa thực hiện</s:t>
        </s:is>
      </s:c>
    </s:row>
    <s:row r="16813" ht="3" customHeight="1">
      <s:c r="A16813" s="102" t="inlineStr"/>
      <s:c r="B16813" s="99" t="n"/>
      <s:c r="C16813" s="99" t="n"/>
      <s:c r="D16813" s="116" t="n"/>
      <s:c r="E16813" s="116" t="n"/>
    </s:row>
    <s:row r="16814" ht="62" customHeight="1">
      <s:c r="A16814" s="83" t="inlineStr">
        <s:is>
          <s:t>Mẫu lọc hiện hữu (filter)</s:t>
        </s:is>
      </s:c>
      <s:c r="B16814" s="83" t="inlineStr">
        <s:is>
          <s:t>Dùng mẫu hiện có lọc, chưa bật tùy chọn đỏ; chạy/xuất Excel và so baseline của mẫu.</s:t>
        </s:is>
      </s:c>
      <s:c r="C16814" s="83" t="inlineStr">
        <s:is>
          <s:t>Mẫu hiện có chưa bật tùy chọn đỏ: danh sách học sinh, giá trị, ký hiệu, màu và định dạng Excel bằng baseline của chính mẫu này.</s:t>
        </s:is>
      </s:c>
      <s:c r="D16814" s="117" t="inlineStr"/>
      <s:c r="E16814" s="118" t="inlineStr">
        <s:is>
          <s:t>Chưa thực hiện</s:t>
        </s:is>
      </s:c>
    </s:row>
    <s:row r="16815" ht="3" customHeight="1">
      <s:c r="A16815" s="102" t="inlineStr"/>
      <s:c r="B16815" s="99" t="n"/>
      <s:c r="C16815" s="99" t="n"/>
      <s:c r="D16815" s="116" t="n"/>
      <s:c r="E16815" s="116" t="n"/>
    </s:row>
    <s:row r="16816" ht="62" customHeight="1">
      <s:c r="A16816" s="83" t="inlineStr">
        <s:is>
          <s:t>Mẫu ký hiệu hiện hữu (symbol)</s:t>
        </s:is>
      </s:c>
      <s:c r="B16816" s="83" t="inlineStr">
        <s:is>
          <s:t>Dùng mẫu hiện có ký hiệu, chưa bật tùy chọn đỏ; chạy/xuất Excel và so baseline của mẫu.</s:t>
        </s:is>
      </s:c>
      <s:c r="C16816" s="83" t="inlineStr">
        <s:is>
          <s:t>Mẫu hiện có chưa bật tùy chọn đỏ: danh sách học sinh, giá trị, ký hiệu, màu và định dạng Excel bằng baseline của chính mẫu này.</s:t>
        </s:is>
      </s:c>
      <s:c r="D16816" s="117" t="inlineStr"/>
      <s:c r="E16816" s="118" t="inlineStr">
        <s:is>
          <s:t>Chưa thực hiện</s:t>
        </s:is>
      </s:c>
    </s:row>
    <s:row r="16817" ht="3" customHeight="1">
      <s:c r="A16817" s="102" t="inlineStr"/>
      <s:c r="B16817" s="99" t="n"/>
      <s:c r="C16817" s="99" t="n"/>
      <s:c r="D16817" s="116" t="n"/>
      <s:c r="E16817" s="116" t="n"/>
    </s:row>
    <s:row r="16818" ht="76" customHeight="1">
      <s:c r="A16818" s="83" t="inlineStr">
        <s:is>
          <s:t>Mặc định cấu hình mới (defaults)</s:t>
        </s:is>
      </s:c>
      <s:c r="B16818" s="83" t="inlineStr">
        <s:is>
          <s:t>Mở tạo mẫu trích xuất mới, công khai chưa lưu hiệu ứng đỏ và dòng đỏ của bảng phiếu mới; quan sát mặc định, phần này PROPOSED.</s:t>
        </s:is>
      </s:c>
      <s:c r="C16818" s="83" t="inlineStr">
        <s:is>
          <s:r>
            <s:t xml:space="preserve">PROPOSED: Trích xuất mới mặc định TẮT lọc/hiệu ứng đỏ; công khai chưa chọn hiệu ứng đỏ và màn học sinh giữ hiển thị hiện có dù có ô </s:t>
          </s:r>
          <s:r>
            <s:rPr>
              <s:b val="1"/>
            </s:rPr>
            <s:t>Đỏ</s:t>
          </s:r>
          <s:r>
            <s:t xml:space="preserve">; phiếu điểm </s:t>
          </s:r>
          <s:r>
            <s:rPr>
              <s:b val="1"/>
            </s:rPr>
            <s:t>mặc định Nguyên trạng（そのまま表示）</s:t>
          </s:r>
          <s:r>
            <s:t>.</s:t>
          </s:r>
        </s:is>
      </s:c>
      <s:c r="D16818" s="117" t="inlineStr"/>
      <s:c r="E16818" s="118" t="inlineStr">
        <s:is>
          <s:t>Chưa thực hiện</s:t>
        </s:is>
      </s:c>
    </s:row>
    <s:row r="16819" ht="20" customHeight="1">
      <s:c r="A16819" s="119" t="inlineStr">
        <s:is>
          <s:t>Ảnh minh chứng — Chưa có ảnh</s:t>
        </s:is>
      </s:c>
      <s:c r="B16819" s="19" t="n"/>
      <s:c r="C16819" s="19" t="n"/>
      <s:c r="D16819" s="19" t="n"/>
      <s:c r="E16819" s="19" t="n"/>
    </s:row>
    <s:row r="16820" hidden="1" ht="1" customHeight="1">
      <s:c r="A16820" s="120" t="inlineStr"/>
      <s:c r="B16820" s="121" t="n"/>
      <s:c r="C16820" s="121" t="n"/>
      <s:c r="D16820" s="121" t="n"/>
      <s:c r="E16820" s="122" t="n"/>
    </s:row>
    <s:row r="16821" hidden="1" ht="1" customHeight="1">
      <s:c r="A16821" s="120" t="inlineStr"/>
      <s:c r="B16821" s="121" t="n"/>
      <s:c r="C16821" s="121" t="n"/>
      <s:c r="D16821" s="121" t="n"/>
      <s:c r="E16821" s="122" t="n"/>
    </s:row>
    <s:row r="16822" hidden="1" ht="1" customHeight="1">
      <s:c r="A16822" s="120" t="inlineStr"/>
      <s:c r="B16822" s="121" t="n"/>
      <s:c r="C16822" s="121" t="n"/>
      <s:c r="D16822" s="121" t="n"/>
      <s:c r="E16822" s="122" t="n"/>
    </s:row>
    <s:row r="16823" hidden="1" ht="1" customHeight="1">
      <s:c r="A16823" s="120" t="inlineStr"/>
      <s:c r="B16823" s="121" t="n"/>
      <s:c r="C16823" s="121" t="n"/>
      <s:c r="D16823" s="121" t="n"/>
      <s:c r="E16823" s="122" t="n"/>
    </s:row>
    <s:row r="16824" hidden="1" ht="1" customHeight="1">
      <s:c r="A16824" s="120" t="inlineStr"/>
      <s:c r="B16824" s="121" t="n"/>
      <s:c r="C16824" s="121" t="n"/>
      <s:c r="D16824" s="121" t="n"/>
      <s:c r="E16824" s="122" t="n"/>
    </s:row>
    <s:row r="16825" hidden="1" ht="1" customHeight="1">
      <s:c r="A16825" s="120" t="inlineStr"/>
      <s:c r="B16825" s="121" t="n"/>
      <s:c r="C16825" s="121" t="n"/>
      <s:c r="D16825" s="121" t="n"/>
      <s:c r="E16825" s="122" t="n"/>
    </s:row>
    <s:row r="16826" hidden="1" ht="1" customHeight="1">
      <s:c r="A16826" s="120" t="inlineStr"/>
      <s:c r="B16826" s="121" t="n"/>
      <s:c r="C16826" s="121" t="n"/>
      <s:c r="D16826" s="121" t="n"/>
      <s:c r="E16826" s="122" t="n"/>
    </s:row>
    <s:row r="16827" hidden="1" ht="1" customHeight="1">
      <s:c r="A16827" s="120" t="inlineStr"/>
      <s:c r="B16827" s="121" t="n"/>
      <s:c r="C16827" s="121" t="n"/>
      <s:c r="D16827" s="121" t="n"/>
      <s:c r="E16827" s="122" t="n"/>
    </s:row>
    <s:row r="16828" hidden="1" ht="1" customHeight="1">
      <s:c r="A16828" s="120" t="inlineStr"/>
      <s:c r="B16828" s="121" t="n"/>
      <s:c r="C16828" s="121" t="n"/>
      <s:c r="D16828" s="121" t="n"/>
      <s:c r="E16828" s="122" t="n"/>
    </s:row>
    <s:row r="16829" hidden="1" ht="1" customHeight="1">
      <s:c r="A16829" s="120" t="inlineStr"/>
      <s:c r="B16829" s="121" t="n"/>
      <s:c r="C16829" s="121" t="n"/>
      <s:c r="D16829" s="121" t="n"/>
      <s:c r="E16829" s="122" t="n"/>
    </s:row>
    <s:row r="16830" hidden="1" ht="1" customHeight="1">
      <s:c r="A16830" s="120" t="inlineStr"/>
      <s:c r="B16830" s="121" t="n"/>
      <s:c r="C16830" s="121" t="n"/>
      <s:c r="D16830" s="121" t="n"/>
      <s:c r="E16830" s="122" t="n"/>
    </s:row>
    <s:row r="16831" hidden="1" ht="1" customHeight="1">
      <s:c r="A16831" s="120" t="inlineStr"/>
      <s:c r="B16831" s="121" t="n"/>
      <s:c r="C16831" s="121" t="n"/>
      <s:c r="D16831" s="121" t="n"/>
      <s:c r="E16831" s="122" t="n"/>
    </s:row>
    <s:row r="16832" hidden="1" ht="1" customHeight="1">
      <s:c r="A16832" s="120" t="inlineStr"/>
      <s:c r="B16832" s="121" t="n"/>
      <s:c r="C16832" s="121" t="n"/>
      <s:c r="D16832" s="121" t="n"/>
      <s:c r="E16832" s="122" t="n"/>
    </s:row>
    <s:row r="16833" hidden="1" ht="1" customHeight="1">
      <s:c r="A16833" s="120" t="inlineStr"/>
      <s:c r="B16833" s="121" t="n"/>
      <s:c r="C16833" s="121" t="n"/>
      <s:c r="D16833" s="121" t="n"/>
      <s:c r="E16833" s="122" t="n"/>
    </s:row>
    <s:row r="16834" hidden="1" ht="1" customHeight="1">
      <s:c r="A16834" s="120" t="inlineStr"/>
      <s:c r="B16834" s="121" t="n"/>
      <s:c r="C16834" s="121" t="n"/>
      <s:c r="D16834" s="121" t="n"/>
      <s:c r="E16834" s="122" t="n"/>
    </s:row>
    <s:row r="16835" hidden="1" ht="1" customHeight="1">
      <s:c r="A16835" s="120" t="inlineStr"/>
      <s:c r="B16835" s="121" t="n"/>
      <s:c r="C16835" s="121" t="n"/>
      <s:c r="D16835" s="121" t="n"/>
      <s:c r="E16835" s="122" t="n"/>
    </s:row>
    <s:row r="16836" hidden="1" ht="1" customHeight="1">
      <s:c r="A16836" s="120" t="inlineStr"/>
      <s:c r="B16836" s="121" t="n"/>
      <s:c r="C16836" s="121" t="n"/>
      <s:c r="D16836" s="121" t="n"/>
      <s:c r="E16836" s="122" t="n"/>
    </s:row>
    <s:row r="16837" hidden="1" ht="1" customHeight="1">
      <s:c r="A16837" s="120" t="inlineStr"/>
      <s:c r="B16837" s="121" t="n"/>
      <s:c r="C16837" s="121" t="n"/>
      <s:c r="D16837" s="121" t="n"/>
      <s:c r="E16837" s="122" t="n"/>
    </s:row>
    <s:row r="16838" hidden="1" ht="1" customHeight="1">
      <s:c r="A16838" s="120" t="inlineStr"/>
      <s:c r="B16838" s="121" t="n"/>
      <s:c r="C16838" s="121" t="n"/>
      <s:c r="D16838" s="121" t="n"/>
      <s:c r="E16838" s="122" t="n"/>
    </s:row>
    <s:row r="16839" hidden="1" ht="1" customHeight="1">
      <s:c r="A16839" s="120" t="inlineStr"/>
      <s:c r="B16839" s="121" t="n"/>
      <s:c r="C16839" s="121" t="n"/>
      <s:c r="D16839" s="121" t="n"/>
      <s:c r="E16839" s="122" t="n"/>
    </s:row>
    <s:row r="16840" hidden="1" ht="1" customHeight="1">
      <s:c r="A16840" s="120" t="inlineStr"/>
      <s:c r="B16840" s="121" t="n"/>
      <s:c r="C16840" s="121" t="n"/>
      <s:c r="D16840" s="121" t="n"/>
      <s:c r="E16840" s="122" t="n"/>
    </s:row>
    <s:row r="16841" hidden="1" ht="1" customHeight="1">
      <s:c r="A16841" s="120" t="inlineStr"/>
      <s:c r="B16841" s="121" t="n"/>
      <s:c r="C16841" s="121" t="n"/>
      <s:c r="D16841" s="121" t="n"/>
      <s:c r="E16841" s="122" t="n"/>
    </s:row>
    <s:row r="16842" hidden="1" ht="1" customHeight="1">
      <s:c r="A16842" s="120" t="inlineStr"/>
      <s:c r="B16842" s="121" t="n"/>
      <s:c r="C16842" s="121" t="n"/>
      <s:c r="D16842" s="121" t="n"/>
      <s:c r="E16842" s="122" t="n"/>
    </s:row>
    <s:row r="16843" hidden="1" ht="1" customHeight="1">
      <s:c r="A16843" s="120" t="inlineStr"/>
      <s:c r="B16843" s="121" t="n"/>
      <s:c r="C16843" s="121" t="n"/>
      <s:c r="D16843" s="121" t="n"/>
      <s:c r="E16843" s="122" t="n"/>
    </s:row>
    <s:row r="16844" hidden="1" ht="1" customHeight="1">
      <s:c r="A16844" s="120" t="inlineStr"/>
      <s:c r="B16844" s="121" t="n"/>
      <s:c r="C16844" s="121" t="n"/>
      <s:c r="D16844" s="121" t="n"/>
      <s:c r="E16844" s="122" t="n"/>
    </s:row>
    <s:row r="16845" hidden="1" ht="1" customHeight="1">
      <s:c r="A16845" s="120" t="inlineStr"/>
      <s:c r="B16845" s="121" t="n"/>
      <s:c r="C16845" s="121" t="n"/>
      <s:c r="D16845" s="121" t="n"/>
      <s:c r="E16845" s="122" t="n"/>
    </s:row>
    <s:row r="16846" hidden="1" ht="1" customHeight="1">
      <s:c r="A16846" s="120" t="inlineStr"/>
      <s:c r="B16846" s="121" t="n"/>
      <s:c r="C16846" s="121" t="n"/>
      <s:c r="D16846" s="121" t="n"/>
      <s:c r="E16846" s="122" t="n"/>
    </s:row>
    <s:row r="16847" hidden="1" ht="1" customHeight="1">
      <s:c r="A16847" s="120" t="inlineStr"/>
      <s:c r="B16847" s="121" t="n"/>
      <s:c r="C16847" s="121" t="n"/>
      <s:c r="D16847" s="121" t="n"/>
      <s:c r="E16847" s="122" t="n"/>
    </s:row>
    <s:row r="16848" hidden="1" ht="1" customHeight="1">
      <s:c r="A16848" s="120" t="inlineStr"/>
      <s:c r="B16848" s="121" t="n"/>
      <s:c r="C16848" s="121" t="n"/>
      <s:c r="D16848" s="121" t="n"/>
      <s:c r="E16848" s="122" t="n"/>
    </s:row>
    <s:row r="16849" hidden="1" ht="1" customHeight="1">
      <s:c r="A16849" s="120" t="inlineStr"/>
      <s:c r="B16849" s="121" t="n"/>
      <s:c r="C16849" s="121" t="n"/>
      <s:c r="D16849" s="121" t="n"/>
      <s:c r="E16849" s="122" t="n"/>
    </s:row>
    <s:row r="16850" hidden="1" ht="1" customHeight="1">
      <s:c r="A16850" s="120" t="inlineStr"/>
      <s:c r="B16850" s="121" t="n"/>
      <s:c r="C16850" s="121" t="n"/>
      <s:c r="D16850" s="121" t="n"/>
      <s:c r="E16850" s="122" t="n"/>
    </s:row>
    <s:row r="16851" hidden="1" ht="1" customHeight="1">
      <s:c r="A16851" s="120" t="inlineStr"/>
      <s:c r="B16851" s="121" t="n"/>
      <s:c r="C16851" s="121" t="n"/>
      <s:c r="D16851" s="121" t="n"/>
      <s:c r="E16851" s="122" t="n"/>
    </s:row>
    <s:row r="16852" hidden="1" ht="1" customHeight="1">
      <s:c r="A16852" s="120" t="inlineStr"/>
      <s:c r="B16852" s="121" t="n"/>
      <s:c r="C16852" s="121" t="n"/>
      <s:c r="D16852" s="121" t="n"/>
      <s:c r="E16852" s="122" t="n"/>
    </s:row>
    <s:row r="16853" hidden="1" ht="1" customHeight="1">
      <s:c r="A16853" s="120" t="inlineStr"/>
      <s:c r="B16853" s="121" t="n"/>
      <s:c r="C16853" s="121" t="n"/>
      <s:c r="D16853" s="121" t="n"/>
      <s:c r="E16853" s="122" t="n"/>
    </s:row>
    <s:row r="16854" hidden="1" ht="1" customHeight="1">
      <s:c r="A16854" s="120" t="inlineStr"/>
      <s:c r="B16854" s="121" t="n"/>
      <s:c r="C16854" s="121" t="n"/>
      <s:c r="D16854" s="121" t="n"/>
      <s:c r="E16854" s="122" t="n"/>
    </s:row>
    <s:row r="16855" hidden="1" ht="1" customHeight="1">
      <s:c r="A16855" s="120" t="inlineStr"/>
      <s:c r="B16855" s="121" t="n"/>
      <s:c r="C16855" s="121" t="n"/>
      <s:c r="D16855" s="121" t="n"/>
      <s:c r="E16855" s="122" t="n"/>
    </s:row>
    <s:row r="16856" hidden="1" ht="1" customHeight="1">
      <s:c r="A16856" s="120" t="inlineStr"/>
      <s:c r="B16856" s="121" t="n"/>
      <s:c r="C16856" s="121" t="n"/>
      <s:c r="D16856" s="121" t="n"/>
      <s:c r="E16856" s="122" t="n"/>
    </s:row>
    <s:row r="16857" hidden="1" ht="1" customHeight="1">
      <s:c r="A16857" s="120" t="inlineStr"/>
      <s:c r="B16857" s="121" t="n"/>
      <s:c r="C16857" s="121" t="n"/>
      <s:c r="D16857" s="121" t="n"/>
      <s:c r="E16857" s="122" t="n"/>
    </s:row>
    <s:row r="16858" hidden="1" ht="1" customHeight="1">
      <s:c r="A16858" s="120" t="inlineStr"/>
      <s:c r="B16858" s="121" t="n"/>
      <s:c r="C16858" s="121" t="n"/>
      <s:c r="D16858" s="121" t="n"/>
      <s:c r="E16858" s="122" t="n"/>
    </s:row>
    <s:row r="16859" hidden="1" ht="1" customHeight="1">
      <s:c r="A16859" s="120" t="inlineStr"/>
      <s:c r="B16859" s="121" t="n"/>
      <s:c r="C16859" s="121" t="n"/>
      <s:c r="D16859" s="121" t="n"/>
      <s:c r="E16859" s="122" t="n"/>
    </s:row>
    <s:row r="16860" hidden="1" ht="1" customHeight="1">
      <s:c r="A16860" s="120" t="inlineStr"/>
      <s:c r="B16860" s="121" t="n"/>
      <s:c r="C16860" s="121" t="n"/>
      <s:c r="D16860" s="121" t="n"/>
      <s:c r="E16860" s="122" t="n"/>
    </s:row>
    <s:row r="16861" hidden="1" ht="1" customHeight="1">
      <s:c r="A16861" s="120" t="inlineStr"/>
      <s:c r="B16861" s="121" t="n"/>
      <s:c r="C16861" s="121" t="n"/>
      <s:c r="D16861" s="121" t="n"/>
      <s:c r="E16861" s="122" t="n"/>
    </s:row>
    <s:row r="16862" hidden="1" ht="1" customHeight="1">
      <s:c r="A16862" s="120" t="inlineStr"/>
      <s:c r="B16862" s="121" t="n"/>
      <s:c r="C16862" s="121" t="n"/>
      <s:c r="D16862" s="121" t="n"/>
      <s:c r="E16862" s="122" t="n"/>
    </s:row>
    <s:row r="16863" hidden="1" ht="1" customHeight="1">
      <s:c r="A16863" s="120" t="inlineStr"/>
      <s:c r="B16863" s="121" t="n"/>
      <s:c r="C16863" s="121" t="n"/>
      <s:c r="D16863" s="121" t="n"/>
      <s:c r="E16863" s="122" t="n"/>
    </s:row>
    <s:row r="16864" hidden="1" ht="1" customHeight="1">
      <s:c r="A16864" s="120" t="inlineStr"/>
      <s:c r="B16864" s="121" t="n"/>
      <s:c r="C16864" s="121" t="n"/>
      <s:c r="D16864" s="121" t="n"/>
      <s:c r="E16864" s="122" t="n"/>
    </s:row>
    <s:row r="16865" hidden="1" ht="1" customHeight="1">
      <s:c r="A16865" s="120" t="inlineStr"/>
      <s:c r="B16865" s="121" t="n"/>
      <s:c r="C16865" s="121" t="n"/>
      <s:c r="D16865" s="121" t="n"/>
      <s:c r="E16865" s="122" t="n"/>
    </s:row>
    <s:row r="16866" hidden="1" ht="1" customHeight="1">
      <s:c r="A16866" s="120" t="inlineStr"/>
      <s:c r="B16866" s="121" t="n"/>
      <s:c r="C16866" s="121" t="n"/>
      <s:c r="D16866" s="121" t="n"/>
      <s:c r="E16866" s="122" t="n"/>
    </s:row>
    <s:row r="16867" hidden="1" ht="1" customHeight="1">
      <s:c r="A16867" s="120" t="inlineStr"/>
      <s:c r="B16867" s="121" t="n"/>
      <s:c r="C16867" s="121" t="n"/>
      <s:c r="D16867" s="121" t="n"/>
      <s:c r="E16867" s="122" t="n"/>
    </s:row>
    <s:row r="16868" hidden="1" ht="1" customHeight="1">
      <s:c r="A16868" s="120" t="inlineStr"/>
      <s:c r="B16868" s="121" t="n"/>
      <s:c r="C16868" s="121" t="n"/>
      <s:c r="D16868" s="121" t="n"/>
      <s:c r="E16868" s="122" t="n"/>
    </s:row>
    <s:row r="16869" hidden="1" ht="1" customHeight="1">
      <s:c r="A16869" s="120" t="inlineStr"/>
      <s:c r="B16869" s="121" t="n"/>
      <s:c r="C16869" s="121" t="n"/>
      <s:c r="D16869" s="121" t="n"/>
      <s:c r="E16869" s="122" t="n"/>
    </s:row>
    <s:row r="16870" hidden="1" ht="1" customHeight="1">
      <s:c r="A16870" s="120" t="inlineStr"/>
      <s:c r="B16870" s="121" t="n"/>
      <s:c r="C16870" s="121" t="n"/>
      <s:c r="D16870" s="121" t="n"/>
      <s:c r="E16870" s="122" t="n"/>
    </s:row>
    <s:row r="16871" hidden="1" ht="1" customHeight="1">
      <s:c r="A16871" s="120" t="inlineStr"/>
      <s:c r="B16871" s="121" t="n"/>
      <s:c r="C16871" s="121" t="n"/>
      <s:c r="D16871" s="121" t="n"/>
      <s:c r="E16871" s="122" t="n"/>
    </s:row>
    <s:row r="16872" hidden="1" ht="1" customHeight="1">
      <s:c r="A16872" s="120" t="inlineStr"/>
      <s:c r="B16872" s="121" t="n"/>
      <s:c r="C16872" s="121" t="n"/>
      <s:c r="D16872" s="121" t="n"/>
      <s:c r="E16872" s="122" t="n"/>
    </s:row>
    <s:row r="16873" hidden="1" ht="1" customHeight="1">
      <s:c r="A16873" s="120" t="inlineStr"/>
      <s:c r="B16873" s="121" t="n"/>
      <s:c r="C16873" s="121" t="n"/>
      <s:c r="D16873" s="121" t="n"/>
      <s:c r="E16873" s="122" t="n"/>
    </s:row>
    <s:row r="16874" hidden="1" ht="1" customHeight="1">
      <s:c r="A16874" s="120" t="inlineStr"/>
      <s:c r="B16874" s="121" t="n"/>
      <s:c r="C16874" s="121" t="n"/>
      <s:c r="D16874" s="121" t="n"/>
      <s:c r="E16874" s="122" t="n"/>
    </s:row>
    <s:row r="16875" hidden="1" ht="1" customHeight="1">
      <s:c r="A16875" s="120" t="inlineStr"/>
      <s:c r="B16875" s="121" t="n"/>
      <s:c r="C16875" s="121" t="n"/>
      <s:c r="D16875" s="121" t="n"/>
      <s:c r="E16875" s="122" t="n"/>
    </s:row>
    <s:row r="16876" hidden="1" ht="1" customHeight="1">
      <s:c r="A16876" s="120" t="inlineStr"/>
      <s:c r="B16876" s="121" t="n"/>
      <s:c r="C16876" s="121" t="n"/>
      <s:c r="D16876" s="121" t="n"/>
      <s:c r="E16876" s="122" t="n"/>
    </s:row>
    <s:row r="16877" hidden="1" ht="1" customHeight="1">
      <s:c r="A16877" s="120" t="inlineStr"/>
      <s:c r="B16877" s="121" t="n"/>
      <s:c r="C16877" s="121" t="n"/>
      <s:c r="D16877" s="121" t="n"/>
      <s:c r="E16877" s="122" t="n"/>
    </s:row>
    <s:row r="16878" hidden="1" ht="1" customHeight="1">
      <s:c r="A16878" s="120" t="inlineStr"/>
      <s:c r="B16878" s="121" t="n"/>
      <s:c r="C16878" s="121" t="n"/>
      <s:c r="D16878" s="121" t="n"/>
      <s:c r="E16878" s="122" t="n"/>
    </s:row>
    <s:row r="16879" hidden="1" ht="1" customHeight="1">
      <s:c r="A16879" s="120" t="inlineStr"/>
      <s:c r="B16879" s="121" t="n"/>
      <s:c r="C16879" s="121" t="n"/>
      <s:c r="D16879" s="121" t="n"/>
      <s:c r="E16879" s="122" t="n"/>
    </s:row>
    <s:row r="16880" hidden="1" ht="1" customHeight="1">
      <s:c r="A16880" s="120" t="inlineStr"/>
      <s:c r="B16880" s="121" t="n"/>
      <s:c r="C16880" s="121" t="n"/>
      <s:c r="D16880" s="121" t="n"/>
      <s:c r="E16880" s="122" t="n"/>
    </s:row>
    <s:row r="16881" hidden="1" ht="1" customHeight="1">
      <s:c r="A16881" s="120" t="inlineStr"/>
      <s:c r="B16881" s="121" t="n"/>
      <s:c r="C16881" s="121" t="n"/>
      <s:c r="D16881" s="121" t="n"/>
      <s:c r="E16881" s="122" t="n"/>
    </s:row>
    <s:row r="16882" hidden="1" ht="1" customHeight="1">
      <s:c r="A16882" s="120" t="inlineStr"/>
      <s:c r="B16882" s="121" t="n"/>
      <s:c r="C16882" s="121" t="n"/>
      <s:c r="D16882" s="121" t="n"/>
      <s:c r="E16882" s="122" t="n"/>
    </s:row>
    <s:row r="16883" hidden="1" ht="1" customHeight="1">
      <s:c r="A16883" s="120" t="inlineStr"/>
      <s:c r="B16883" s="121" t="n"/>
      <s:c r="C16883" s="121" t="n"/>
      <s:c r="D16883" s="121" t="n"/>
      <s:c r="E16883" s="122" t="n"/>
    </s:row>
    <s:row r="16884" hidden="1" ht="1" customHeight="1">
      <s:c r="A16884" s="120" t="inlineStr"/>
      <s:c r="B16884" s="121" t="n"/>
      <s:c r="C16884" s="121" t="n"/>
      <s:c r="D16884" s="121" t="n"/>
      <s:c r="E16884" s="122" t="n"/>
    </s:row>
    <s:row r="16885" hidden="1" ht="1" customHeight="1">
      <s:c r="A16885" s="120" t="inlineStr"/>
      <s:c r="B16885" s="121" t="n"/>
      <s:c r="C16885" s="121" t="n"/>
      <s:c r="D16885" s="121" t="n"/>
      <s:c r="E16885" s="122" t="n"/>
    </s:row>
    <s:row r="16886" hidden="1" ht="1" customHeight="1">
      <s:c r="A16886" s="120" t="inlineStr"/>
      <s:c r="B16886" s="121" t="n"/>
      <s:c r="C16886" s="121" t="n"/>
      <s:c r="D16886" s="121" t="n"/>
      <s:c r="E16886" s="122" t="n"/>
    </s:row>
    <s:row r="16887" hidden="1" ht="1" customHeight="1">
      <s:c r="A16887" s="120" t="inlineStr"/>
      <s:c r="B16887" s="121" t="n"/>
      <s:c r="C16887" s="121" t="n"/>
      <s:c r="D16887" s="121" t="n"/>
      <s:c r="E16887" s="122" t="n"/>
    </s:row>
    <s:row r="16888" hidden="1" ht="1" customHeight="1">
      <s:c r="A16888" s="120" t="inlineStr"/>
      <s:c r="B16888" s="121" t="n"/>
      <s:c r="C16888" s="121" t="n"/>
      <s:c r="D16888" s="121" t="n"/>
      <s:c r="E16888" s="122" t="n"/>
    </s:row>
    <s:row r="16889" hidden="1" ht="1" customHeight="1">
      <s:c r="A16889" s="120" t="inlineStr"/>
      <s:c r="B16889" s="121" t="n"/>
      <s:c r="C16889" s="121" t="n"/>
      <s:c r="D16889" s="121" t="n"/>
      <s:c r="E16889" s="122" t="n"/>
    </s:row>
    <s:row r="16890" hidden="1" ht="1" customHeight="1">
      <s:c r="A16890" s="120" t="inlineStr"/>
      <s:c r="B16890" s="121" t="n"/>
      <s:c r="C16890" s="121" t="n"/>
      <s:c r="D16890" s="121" t="n"/>
      <s:c r="E16890" s="122" t="n"/>
    </s:row>
    <s:row r="16891" hidden="1" ht="1" customHeight="1">
      <s:c r="A16891" s="120" t="inlineStr"/>
      <s:c r="B16891" s="121" t="n"/>
      <s:c r="C16891" s="121" t="n"/>
      <s:c r="D16891" s="121" t="n"/>
      <s:c r="E16891" s="122" t="n"/>
    </s:row>
    <s:row r="16892" hidden="1" ht="1" customHeight="1">
      <s:c r="A16892" s="120" t="inlineStr"/>
      <s:c r="B16892" s="121" t="n"/>
      <s:c r="C16892" s="121" t="n"/>
      <s:c r="D16892" s="121" t="n"/>
      <s:c r="E16892" s="122" t="n"/>
    </s:row>
    <s:row r="16893" hidden="1" ht="1" customHeight="1">
      <s:c r="A16893" s="120" t="inlineStr"/>
      <s:c r="B16893" s="121" t="n"/>
      <s:c r="C16893" s="121" t="n"/>
      <s:c r="D16893" s="121" t="n"/>
      <s:c r="E16893" s="122" t="n"/>
    </s:row>
    <s:row r="16894" hidden="1" ht="1" customHeight="1">
      <s:c r="A16894" s="120" t="inlineStr"/>
      <s:c r="B16894" s="121" t="n"/>
      <s:c r="C16894" s="121" t="n"/>
      <s:c r="D16894" s="121" t="n"/>
      <s:c r="E16894" s="122" t="n"/>
    </s:row>
    <s:row r="16895" hidden="1" ht="1" customHeight="1">
      <s:c r="A16895" s="120" t="inlineStr"/>
      <s:c r="B16895" s="121" t="n"/>
      <s:c r="C16895" s="121" t="n"/>
      <s:c r="D16895" s="121" t="n"/>
      <s:c r="E16895" s="122" t="n"/>
    </s:row>
    <s:row r="16896" hidden="1" ht="1" customHeight="1">
      <s:c r="A16896" s="120" t="inlineStr"/>
      <s:c r="B16896" s="121" t="n"/>
      <s:c r="C16896" s="121" t="n"/>
      <s:c r="D16896" s="121" t="n"/>
      <s:c r="E16896" s="122" t="n"/>
    </s:row>
    <s:row r="16897" hidden="1" ht="1" customHeight="1">
      <s:c r="A16897" s="120" t="inlineStr"/>
      <s:c r="B16897" s="121" t="n"/>
      <s:c r="C16897" s="121" t="n"/>
      <s:c r="D16897" s="121" t="n"/>
      <s:c r="E16897" s="122" t="n"/>
    </s:row>
    <s:row r="16898" hidden="1" ht="1" customHeight="1">
      <s:c r="A16898" s="120" t="inlineStr"/>
      <s:c r="B16898" s="121" t="n"/>
      <s:c r="C16898" s="121" t="n"/>
      <s:c r="D16898" s="121" t="n"/>
      <s:c r="E16898" s="122" t="n"/>
    </s:row>
    <s:row r="16899" hidden="1" ht="1" customHeight="1">
      <s:c r="A16899" s="120" t="inlineStr"/>
      <s:c r="B16899" s="121" t="n"/>
      <s:c r="C16899" s="121" t="n"/>
      <s:c r="D16899" s="121" t="n"/>
      <s:c r="E16899" s="122" t="n"/>
    </s:row>
    <s:row r="16900" hidden="1" ht="1" customHeight="1">
      <s:c r="A16900" s="120" t="inlineStr"/>
      <s:c r="B16900" s="121" t="n"/>
      <s:c r="C16900" s="121" t="n"/>
      <s:c r="D16900" s="121" t="n"/>
      <s:c r="E16900" s="122" t="n"/>
    </s:row>
    <s:row r="16901" hidden="1" ht="1" customHeight="1">
      <s:c r="A16901" s="120" t="inlineStr"/>
      <s:c r="B16901" s="121" t="n"/>
      <s:c r="C16901" s="121" t="n"/>
      <s:c r="D16901" s="121" t="n"/>
      <s:c r="E16901" s="122" t="n"/>
    </s:row>
    <s:row r="16902" hidden="1" ht="1" customHeight="1">
      <s:c r="A16902" s="120" t="inlineStr"/>
      <s:c r="B16902" s="121" t="n"/>
      <s:c r="C16902" s="121" t="n"/>
      <s:c r="D16902" s="121" t="n"/>
      <s:c r="E16902" s="122" t="n"/>
    </s:row>
    <s:row r="16903" hidden="1" ht="1" customHeight="1">
      <s:c r="A16903" s="120" t="inlineStr"/>
      <s:c r="B16903" s="121" t="n"/>
      <s:c r="C16903" s="121" t="n"/>
      <s:c r="D16903" s="121" t="n"/>
      <s:c r="E16903" s="122" t="n"/>
    </s:row>
    <s:row r="16904" hidden="1" ht="1" customHeight="1">
      <s:c r="A16904" s="120" t="inlineStr"/>
      <s:c r="B16904" s="121" t="n"/>
      <s:c r="C16904" s="121" t="n"/>
      <s:c r="D16904" s="121" t="n"/>
      <s:c r="E16904" s="122" t="n"/>
    </s:row>
    <s:row r="16905" hidden="1" ht="1" customHeight="1">
      <s:c r="A16905" s="120" t="inlineStr"/>
      <s:c r="B16905" s="121" t="n"/>
      <s:c r="C16905" s="121" t="n"/>
      <s:c r="D16905" s="121" t="n"/>
      <s:c r="E16905" s="122" t="n"/>
    </s:row>
    <s:row r="16906" hidden="1" ht="1" customHeight="1">
      <s:c r="A16906" s="120" t="inlineStr"/>
      <s:c r="B16906" s="121" t="n"/>
      <s:c r="C16906" s="121" t="n"/>
      <s:c r="D16906" s="121" t="n"/>
      <s:c r="E16906" s="122" t="n"/>
    </s:row>
    <s:row r="16907" hidden="1" ht="1" customHeight="1">
      <s:c r="A16907" s="120" t="inlineStr"/>
      <s:c r="B16907" s="121" t="n"/>
      <s:c r="C16907" s="121" t="n"/>
      <s:c r="D16907" s="121" t="n"/>
      <s:c r="E16907" s="122" t="n"/>
    </s:row>
    <s:row r="16908" hidden="1" ht="1" customHeight="1">
      <s:c r="A16908" s="120" t="inlineStr"/>
      <s:c r="B16908" s="121" t="n"/>
      <s:c r="C16908" s="121" t="n"/>
      <s:c r="D16908" s="121" t="n"/>
      <s:c r="E16908" s="122" t="n"/>
    </s:row>
    <s:row r="16909" hidden="1" ht="1" customHeight="1">
      <s:c r="A16909" s="120" t="inlineStr"/>
      <s:c r="B16909" s="121" t="n"/>
      <s:c r="C16909" s="121" t="n"/>
      <s:c r="D16909" s="121" t="n"/>
      <s:c r="E16909" s="122" t="n"/>
    </s:row>
    <s:row r="16910" hidden="1" ht="1" customHeight="1">
      <s:c r="A16910" s="120" t="inlineStr"/>
      <s:c r="B16910" s="121" t="n"/>
      <s:c r="C16910" s="121" t="n"/>
      <s:c r="D16910" s="121" t="n"/>
      <s:c r="E16910" s="122" t="n"/>
    </s:row>
    <s:row r="16911" hidden="1" ht="1" customHeight="1">
      <s:c r="A16911" s="120" t="inlineStr"/>
      <s:c r="B16911" s="121" t="n"/>
      <s:c r="C16911" s="121" t="n"/>
      <s:c r="D16911" s="121" t="n"/>
      <s:c r="E16911" s="122" t="n"/>
    </s:row>
    <s:row r="16912" hidden="1" ht="1" customHeight="1">
      <s:c r="A16912" s="120" t="inlineStr"/>
      <s:c r="B16912" s="121" t="n"/>
      <s:c r="C16912" s="121" t="n"/>
      <s:c r="D16912" s="121" t="n"/>
      <s:c r="E16912" s="122" t="n"/>
    </s:row>
    <s:row r="16913" hidden="1" ht="1" customHeight="1">
      <s:c r="A16913" s="120" t="inlineStr"/>
      <s:c r="B16913" s="121" t="n"/>
      <s:c r="C16913" s="121" t="n"/>
      <s:c r="D16913" s="121" t="n"/>
      <s:c r="E16913" s="122" t="n"/>
    </s:row>
    <s:row r="16914" hidden="1" ht="1" customHeight="1">
      <s:c r="A16914" s="120" t="inlineStr"/>
      <s:c r="B16914" s="121" t="n"/>
      <s:c r="C16914" s="121" t="n"/>
      <s:c r="D16914" s="121" t="n"/>
      <s:c r="E16914" s="122" t="n"/>
    </s:row>
    <s:row r="16915" hidden="1" ht="1" customHeight="1">
      <s:c r="A16915" s="120" t="inlineStr"/>
      <s:c r="B16915" s="121" t="n"/>
      <s:c r="C16915" s="121" t="n"/>
      <s:c r="D16915" s="121" t="n"/>
      <s:c r="E16915" s="122" t="n"/>
    </s:row>
    <s:row r="16916" hidden="1" ht="1" customHeight="1">
      <s:c r="A16916" s="120" t="inlineStr"/>
      <s:c r="B16916" s="121" t="n"/>
      <s:c r="C16916" s="121" t="n"/>
      <s:c r="D16916" s="121" t="n"/>
      <s:c r="E16916" s="122" t="n"/>
    </s:row>
    <s:row r="16917" hidden="1" ht="1" customHeight="1">
      <s:c r="A16917" s="120" t="inlineStr"/>
      <s:c r="B16917" s="121" t="n"/>
      <s:c r="C16917" s="121" t="n"/>
      <s:c r="D16917" s="121" t="n"/>
      <s:c r="E16917" s="122" t="n"/>
    </s:row>
    <s:row r="16918" hidden="1" ht="1" customHeight="1">
      <s:c r="A16918" s="120" t="inlineStr"/>
      <s:c r="B16918" s="121" t="n"/>
      <s:c r="C16918" s="121" t="n"/>
      <s:c r="D16918" s="121" t="n"/>
      <s:c r="E16918" s="122" t="n"/>
    </s:row>
    <s:row r="16919" hidden="1" ht="1" customHeight="1">
      <s:c r="A16919" s="120" t="inlineStr"/>
      <s:c r="B16919" s="121" t="n"/>
      <s:c r="C16919" s="121" t="n"/>
      <s:c r="D16919" s="121" t="n"/>
      <s:c r="E16919" s="122" t="n"/>
    </s:row>
    <s:row r="16920" hidden="1" ht="1" customHeight="1">
      <s:c r="A16920" s="120" t="inlineStr"/>
      <s:c r="B16920" s="121" t="n"/>
      <s:c r="C16920" s="121" t="n"/>
      <s:c r="D16920" s="121" t="n"/>
      <s:c r="E16920" s="122" t="n"/>
    </s:row>
    <s:row r="16921" hidden="1" ht="1" customHeight="1">
      <s:c r="A16921" s="120" t="inlineStr"/>
      <s:c r="B16921" s="121" t="n"/>
      <s:c r="C16921" s="121" t="n"/>
      <s:c r="D16921" s="121" t="n"/>
      <s:c r="E16921" s="122" t="n"/>
    </s:row>
    <s:row r="16922" hidden="1" ht="1" customHeight="1">
      <s:c r="A16922" s="120" t="inlineStr"/>
      <s:c r="B16922" s="121" t="n"/>
      <s:c r="C16922" s="121" t="n"/>
      <s:c r="D16922" s="121" t="n"/>
      <s:c r="E16922" s="122" t="n"/>
    </s:row>
    <s:row r="16923" hidden="1" ht="1" customHeight="1">
      <s:c r="A16923" s="120" t="inlineStr"/>
      <s:c r="B16923" s="121" t="n"/>
      <s:c r="C16923" s="121" t="n"/>
      <s:c r="D16923" s="121" t="n"/>
      <s:c r="E16923" s="122" t="n"/>
    </s:row>
    <s:row r="16924" hidden="1" ht="1" customHeight="1">
      <s:c r="A16924" s="120" t="inlineStr"/>
      <s:c r="B16924" s="121" t="n"/>
      <s:c r="C16924" s="121" t="n"/>
      <s:c r="D16924" s="121" t="n"/>
      <s:c r="E16924" s="122" t="n"/>
    </s:row>
    <s:row r="16925" hidden="1" ht="1" customHeight="1">
      <s:c r="A16925" s="120" t="inlineStr"/>
      <s:c r="B16925" s="121" t="n"/>
      <s:c r="C16925" s="121" t="n"/>
      <s:c r="D16925" s="121" t="n"/>
      <s:c r="E16925" s="122" t="n"/>
    </s:row>
    <s:row r="16926" hidden="1" ht="1" customHeight="1">
      <s:c r="A16926" s="120" t="inlineStr"/>
      <s:c r="B16926" s="121" t="n"/>
      <s:c r="C16926" s="121" t="n"/>
      <s:c r="D16926" s="121" t="n"/>
      <s:c r="E16926" s="122" t="n"/>
    </s:row>
    <s:row r="16927" hidden="1" ht="1" customHeight="1">
      <s:c r="A16927" s="120" t="inlineStr"/>
      <s:c r="B16927" s="121" t="n"/>
      <s:c r="C16927" s="121" t="n"/>
      <s:c r="D16927" s="121" t="n"/>
      <s:c r="E16927" s="122" t="n"/>
    </s:row>
    <s:row r="16928" hidden="1" ht="1" customHeight="1">
      <s:c r="A16928" s="120" t="inlineStr"/>
      <s:c r="B16928" s="121" t="n"/>
      <s:c r="C16928" s="121" t="n"/>
      <s:c r="D16928" s="121" t="n"/>
      <s:c r="E16928" s="122" t="n"/>
    </s:row>
    <s:row r="16929" hidden="1" ht="1" customHeight="1">
      <s:c r="A16929" s="120" t="inlineStr"/>
      <s:c r="B16929" s="121" t="n"/>
      <s:c r="C16929" s="121" t="n"/>
      <s:c r="D16929" s="121" t="n"/>
      <s:c r="E16929" s="122" t="n"/>
    </s:row>
    <s:row r="16930" hidden="1" ht="1" customHeight="1">
      <s:c r="A16930" s="120" t="inlineStr"/>
      <s:c r="B16930" s="121" t="n"/>
      <s:c r="C16930" s="121" t="n"/>
      <s:c r="D16930" s="121" t="n"/>
      <s:c r="E16930" s="122" t="n"/>
    </s:row>
    <s:row r="16931" hidden="1" ht="1" customHeight="1">
      <s:c r="A16931" s="120" t="inlineStr"/>
      <s:c r="B16931" s="121" t="n"/>
      <s:c r="C16931" s="121" t="n"/>
      <s:c r="D16931" s="121" t="n"/>
      <s:c r="E16931" s="122" t="n"/>
    </s:row>
    <s:row r="16932" hidden="1" ht="1" customHeight="1">
      <s:c r="A16932" s="120" t="inlineStr"/>
      <s:c r="B16932" s="121" t="n"/>
      <s:c r="C16932" s="121" t="n"/>
      <s:c r="D16932" s="121" t="n"/>
      <s:c r="E16932" s="122" t="n"/>
    </s:row>
    <s:row r="16933" hidden="1" ht="1" customHeight="1">
      <s:c r="A16933" s="120" t="inlineStr"/>
      <s:c r="B16933" s="121" t="n"/>
      <s:c r="C16933" s="121" t="n"/>
      <s:c r="D16933" s="121" t="n"/>
      <s:c r="E16933" s="122" t="n"/>
    </s:row>
    <s:row r="16934" hidden="1" ht="1" customHeight="1">
      <s:c r="A16934" s="120" t="inlineStr"/>
      <s:c r="B16934" s="121" t="n"/>
      <s:c r="C16934" s="121" t="n"/>
      <s:c r="D16934" s="121" t="n"/>
      <s:c r="E16934" s="122" t="n"/>
    </s:row>
    <s:row r="16935" hidden="1" ht="1" customHeight="1">
      <s:c r="A16935" s="120" t="inlineStr"/>
      <s:c r="B16935" s="121" t="n"/>
      <s:c r="C16935" s="121" t="n"/>
      <s:c r="D16935" s="121" t="n"/>
      <s:c r="E16935" s="122" t="n"/>
    </s:row>
    <s:row r="16936" hidden="1" ht="1" customHeight="1">
      <s:c r="A16936" s="120" t="inlineStr"/>
      <s:c r="B16936" s="121" t="n"/>
      <s:c r="C16936" s="121" t="n"/>
      <s:c r="D16936" s="121" t="n"/>
      <s:c r="E16936" s="122" t="n"/>
    </s:row>
    <s:row r="16937" hidden="1" ht="1" customHeight="1">
      <s:c r="A16937" s="120" t="inlineStr"/>
      <s:c r="B16937" s="121" t="n"/>
      <s:c r="C16937" s="121" t="n"/>
      <s:c r="D16937" s="121" t="n"/>
      <s:c r="E16937" s="122" t="n"/>
    </s:row>
    <s:row r="16938" hidden="1" ht="1" customHeight="1">
      <s:c r="A16938" s="120" t="inlineStr"/>
      <s:c r="B16938" s="121" t="n"/>
      <s:c r="C16938" s="121" t="n"/>
      <s:c r="D16938" s="121" t="n"/>
      <s:c r="E16938" s="122" t="n"/>
    </s:row>
    <s:row r="16939" hidden="1" ht="1" customHeight="1">
      <s:c r="A16939" s="120" t="inlineStr"/>
      <s:c r="B16939" s="121" t="n"/>
      <s:c r="C16939" s="121" t="n"/>
      <s:c r="D16939" s="121" t="n"/>
      <s:c r="E16939" s="122" t="n"/>
    </s:row>
    <s:row r="16940" hidden="1" ht="1" customHeight="1">
      <s:c r="A16940" s="120" t="inlineStr"/>
      <s:c r="B16940" s="121" t="n"/>
      <s:c r="C16940" s="121" t="n"/>
      <s:c r="D16940" s="121" t="n"/>
      <s:c r="E16940" s="122" t="n"/>
    </s:row>
    <s:row r="16941" hidden="1" ht="1" customHeight="1">
      <s:c r="A16941" s="120" t="inlineStr"/>
      <s:c r="B16941" s="121" t="n"/>
      <s:c r="C16941" s="121" t="n"/>
      <s:c r="D16941" s="121" t="n"/>
      <s:c r="E16941" s="122" t="n"/>
    </s:row>
    <s:row r="16942" hidden="1" ht="1" customHeight="1">
      <s:c r="A16942" s="120" t="inlineStr"/>
      <s:c r="B16942" s="121" t="n"/>
      <s:c r="C16942" s="121" t="n"/>
      <s:c r="D16942" s="121" t="n"/>
      <s:c r="E16942" s="122" t="n"/>
    </s:row>
    <s:row r="16943" hidden="1" ht="1" customHeight="1">
      <s:c r="A16943" s="120" t="inlineStr"/>
      <s:c r="B16943" s="121" t="n"/>
      <s:c r="C16943" s="121" t="n"/>
      <s:c r="D16943" s="121" t="n"/>
      <s:c r="E16943" s="122" t="n"/>
    </s:row>
    <s:row r="16944" hidden="1" ht="1" customHeight="1">
      <s:c r="A16944" s="120" t="inlineStr"/>
      <s:c r="B16944" s="121" t="n"/>
      <s:c r="C16944" s="121" t="n"/>
      <s:c r="D16944" s="121" t="n"/>
      <s:c r="E16944" s="122" t="n"/>
    </s:row>
    <s:row r="16945" hidden="1" ht="1" customHeight="1">
      <s:c r="A16945" s="120" t="inlineStr"/>
      <s:c r="B16945" s="121" t="n"/>
      <s:c r="C16945" s="121" t="n"/>
      <s:c r="D16945" s="121" t="n"/>
      <s:c r="E16945" s="122" t="n"/>
    </s:row>
    <s:row r="16946" hidden="1" ht="1" customHeight="1">
      <s:c r="A16946" s="120" t="inlineStr"/>
      <s:c r="B16946" s="121" t="n"/>
      <s:c r="C16946" s="121" t="n"/>
      <s:c r="D16946" s="121" t="n"/>
      <s:c r="E16946" s="122" t="n"/>
    </s:row>
    <s:row r="16947" hidden="1" ht="1" customHeight="1">
      <s:c r="A16947" s="120" t="inlineStr"/>
      <s:c r="B16947" s="121" t="n"/>
      <s:c r="C16947" s="121" t="n"/>
      <s:c r="D16947" s="121" t="n"/>
      <s:c r="E16947" s="122" t="n"/>
    </s:row>
    <s:row r="16948" hidden="1" ht="1" customHeight="1">
      <s:c r="A16948" s="120" t="inlineStr"/>
      <s:c r="B16948" s="121" t="n"/>
      <s:c r="C16948" s="121" t="n"/>
      <s:c r="D16948" s="121" t="n"/>
      <s:c r="E16948" s="122" t="n"/>
    </s:row>
    <s:row r="16949" hidden="1" ht="1" customHeight="1">
      <s:c r="A16949" s="120" t="inlineStr"/>
      <s:c r="B16949" s="121" t="n"/>
      <s:c r="C16949" s="121" t="n"/>
      <s:c r="D16949" s="121" t="n"/>
      <s:c r="E16949" s="122" t="n"/>
    </s:row>
    <s:row r="16950" hidden="1" ht="1" customHeight="1">
      <s:c r="A16950" s="120" t="inlineStr"/>
      <s:c r="B16950" s="121" t="n"/>
      <s:c r="C16950" s="121" t="n"/>
      <s:c r="D16950" s="121" t="n"/>
      <s:c r="E16950" s="122" t="n"/>
    </s:row>
    <s:row r="16951" hidden="1" ht="1" customHeight="1">
      <s:c r="A16951" s="120" t="inlineStr"/>
      <s:c r="B16951" s="121" t="n"/>
      <s:c r="C16951" s="121" t="n"/>
      <s:c r="D16951" s="121" t="n"/>
      <s:c r="E16951" s="122" t="n"/>
    </s:row>
    <s:row r="16952" hidden="1" ht="1" customHeight="1">
      <s:c r="A16952" s="120" t="inlineStr"/>
      <s:c r="B16952" s="121" t="n"/>
      <s:c r="C16952" s="121" t="n"/>
      <s:c r="D16952" s="121" t="n"/>
      <s:c r="E16952" s="122" t="n"/>
    </s:row>
    <s:row r="16953" hidden="1" ht="1" customHeight="1">
      <s:c r="A16953" s="120" t="inlineStr"/>
      <s:c r="B16953" s="121" t="n"/>
      <s:c r="C16953" s="121" t="n"/>
      <s:c r="D16953" s="121" t="n"/>
      <s:c r="E16953" s="122" t="n"/>
    </s:row>
    <s:row r="16954" hidden="1" ht="1" customHeight="1">
      <s:c r="A16954" s="120" t="inlineStr"/>
      <s:c r="B16954" s="121" t="n"/>
      <s:c r="C16954" s="121" t="n"/>
      <s:c r="D16954" s="121" t="n"/>
      <s:c r="E16954" s="122" t="n"/>
    </s:row>
    <s:row r="16955" hidden="1" ht="1" customHeight="1">
      <s:c r="A16955" s="120" t="inlineStr"/>
      <s:c r="B16955" s="121" t="n"/>
      <s:c r="C16955" s="121" t="n"/>
      <s:c r="D16955" s="121" t="n"/>
      <s:c r="E16955" s="122" t="n"/>
    </s:row>
    <s:row r="16956" hidden="1" ht="1" customHeight="1">
      <s:c r="A16956" s="120" t="inlineStr"/>
      <s:c r="B16956" s="121" t="n"/>
      <s:c r="C16956" s="121" t="n"/>
      <s:c r="D16956" s="121" t="n"/>
      <s:c r="E16956" s="122" t="n"/>
    </s:row>
    <s:row r="16957" hidden="1" ht="1" customHeight="1">
      <s:c r="A16957" s="120" t="inlineStr"/>
      <s:c r="B16957" s="121" t="n"/>
      <s:c r="C16957" s="121" t="n"/>
      <s:c r="D16957" s="121" t="n"/>
      <s:c r="E16957" s="122" t="n"/>
    </s:row>
    <s:row r="16958" hidden="1" ht="1" customHeight="1">
      <s:c r="A16958" s="120" t="inlineStr"/>
      <s:c r="B16958" s="121" t="n"/>
      <s:c r="C16958" s="121" t="n"/>
      <s:c r="D16958" s="121" t="n"/>
      <s:c r="E16958" s="122" t="n"/>
    </s:row>
    <s:row r="16959" hidden="1" ht="1" customHeight="1">
      <s:c r="A16959" s="120" t="inlineStr"/>
      <s:c r="B16959" s="121" t="n"/>
      <s:c r="C16959" s="121" t="n"/>
      <s:c r="D16959" s="121" t="n"/>
      <s:c r="E16959" s="122" t="n"/>
    </s:row>
    <s:row r="16960" hidden="1" ht="1" customHeight="1">
      <s:c r="A16960" s="120" t="inlineStr"/>
      <s:c r="B16960" s="121" t="n"/>
      <s:c r="C16960" s="121" t="n"/>
      <s:c r="D16960" s="121" t="n"/>
      <s:c r="E16960" s="122" t="n"/>
    </s:row>
    <s:row r="16961" hidden="1" ht="1" customHeight="1">
      <s:c r="A16961" s="120" t="inlineStr"/>
      <s:c r="B16961" s="121" t="n"/>
      <s:c r="C16961" s="121" t="n"/>
      <s:c r="D16961" s="121" t="n"/>
      <s:c r="E16961" s="122" t="n"/>
    </s:row>
    <s:row r="16962" hidden="1" ht="1" customHeight="1">
      <s:c r="A16962" s="120" t="inlineStr"/>
      <s:c r="B16962" s="121" t="n"/>
      <s:c r="C16962" s="121" t="n"/>
      <s:c r="D16962" s="121" t="n"/>
      <s:c r="E16962" s="122" t="n"/>
    </s:row>
    <s:row r="16963" hidden="1" ht="1" customHeight="1">
      <s:c r="A16963" s="120" t="inlineStr"/>
      <s:c r="B16963" s="121" t="n"/>
      <s:c r="C16963" s="121" t="n"/>
      <s:c r="D16963" s="121" t="n"/>
      <s:c r="E16963" s="122" t="n"/>
    </s:row>
    <s:row r="16964" hidden="1" ht="1" customHeight="1">
      <s:c r="A16964" s="120" t="inlineStr"/>
      <s:c r="B16964" s="121" t="n"/>
      <s:c r="C16964" s="121" t="n"/>
      <s:c r="D16964" s="121" t="n"/>
      <s:c r="E16964" s="122" t="n"/>
    </s:row>
    <s:row r="16965" hidden="1" ht="1" customHeight="1">
      <s:c r="A16965" s="120" t="inlineStr"/>
      <s:c r="B16965" s="121" t="n"/>
      <s:c r="C16965" s="121" t="n"/>
      <s:c r="D16965" s="121" t="n"/>
      <s:c r="E16965" s="122" t="n"/>
    </s:row>
    <s:row r="16966" hidden="1" ht="1" customHeight="1">
      <s:c r="A16966" s="120" t="inlineStr"/>
      <s:c r="B16966" s="121" t="n"/>
      <s:c r="C16966" s="121" t="n"/>
      <s:c r="D16966" s="121" t="n"/>
      <s:c r="E16966" s="122" t="n"/>
    </s:row>
    <s:row r="16967" hidden="1" ht="1" customHeight="1">
      <s:c r="A16967" s="120" t="inlineStr"/>
      <s:c r="B16967" s="121" t="n"/>
      <s:c r="C16967" s="121" t="n"/>
      <s:c r="D16967" s="121" t="n"/>
      <s:c r="E16967" s="122" t="n"/>
    </s:row>
    <s:row r="16968" hidden="1" ht="1" customHeight="1">
      <s:c r="A16968" s="120" t="inlineStr"/>
      <s:c r="B16968" s="121" t="n"/>
      <s:c r="C16968" s="121" t="n"/>
      <s:c r="D16968" s="121" t="n"/>
      <s:c r="E16968" s="122" t="n"/>
    </s:row>
    <s:row r="16969" hidden="1" ht="1" customHeight="1">
      <s:c r="A16969" s="120" t="inlineStr"/>
      <s:c r="B16969" s="121" t="n"/>
      <s:c r="C16969" s="121" t="n"/>
      <s:c r="D16969" s="121" t="n"/>
      <s:c r="E16969" s="122" t="n"/>
    </s:row>
    <s:row r="16970" hidden="1" ht="1" customHeight="1">
      <s:c r="A16970" s="120" t="inlineStr"/>
      <s:c r="B16970" s="121" t="n"/>
      <s:c r="C16970" s="121" t="n"/>
      <s:c r="D16970" s="121" t="n"/>
      <s:c r="E16970" s="122" t="n"/>
    </s:row>
    <s:row r="16971" hidden="1" ht="1" customHeight="1">
      <s:c r="A16971" s="120" t="inlineStr"/>
      <s:c r="B16971" s="121" t="n"/>
      <s:c r="C16971" s="121" t="n"/>
      <s:c r="D16971" s="121" t="n"/>
      <s:c r="E16971" s="122" t="n"/>
    </s:row>
    <s:row r="16972" hidden="1" ht="1" customHeight="1">
      <s:c r="A16972" s="120" t="inlineStr"/>
      <s:c r="B16972" s="121" t="n"/>
      <s:c r="C16972" s="121" t="n"/>
      <s:c r="D16972" s="121" t="n"/>
      <s:c r="E16972" s="122" t="n"/>
    </s:row>
    <s:row r="16973" hidden="1" ht="1" customHeight="1">
      <s:c r="A16973" s="120" t="inlineStr"/>
      <s:c r="B16973" s="121" t="n"/>
      <s:c r="C16973" s="121" t="n"/>
      <s:c r="D16973" s="121" t="n"/>
      <s:c r="E16973" s="122" t="n"/>
    </s:row>
    <s:row r="16974" hidden="1" ht="1" customHeight="1">
      <s:c r="A16974" s="120" t="inlineStr"/>
      <s:c r="B16974" s="121" t="n"/>
      <s:c r="C16974" s="121" t="n"/>
      <s:c r="D16974" s="121" t="n"/>
      <s:c r="E16974" s="122" t="n"/>
    </s:row>
    <s:row r="16975" hidden="1" ht="1" customHeight="1">
      <s:c r="A16975" s="120" t="inlineStr"/>
      <s:c r="B16975" s="121" t="n"/>
      <s:c r="C16975" s="121" t="n"/>
      <s:c r="D16975" s="121" t="n"/>
      <s:c r="E16975" s="122" t="n"/>
    </s:row>
    <s:row r="16976" hidden="1" ht="1" customHeight="1">
      <s:c r="A16976" s="120" t="inlineStr"/>
      <s:c r="B16976" s="121" t="n"/>
      <s:c r="C16976" s="121" t="n"/>
      <s:c r="D16976" s="121" t="n"/>
      <s:c r="E16976" s="122" t="n"/>
    </s:row>
    <s:row r="16977" hidden="1" ht="1" customHeight="1">
      <s:c r="A16977" s="120" t="inlineStr"/>
      <s:c r="B16977" s="121" t="n"/>
      <s:c r="C16977" s="121" t="n"/>
      <s:c r="D16977" s="121" t="n"/>
      <s:c r="E16977" s="122" t="n"/>
    </s:row>
    <s:row r="16978" hidden="1" ht="1" customHeight="1">
      <s:c r="A16978" s="120" t="inlineStr"/>
      <s:c r="B16978" s="121" t="n"/>
      <s:c r="C16978" s="121" t="n"/>
      <s:c r="D16978" s="121" t="n"/>
      <s:c r="E16978" s="122" t="n"/>
    </s:row>
    <s:row r="16979" hidden="1" ht="1" customHeight="1">
      <s:c r="A16979" s="120" t="inlineStr"/>
      <s:c r="B16979" s="121" t="n"/>
      <s:c r="C16979" s="121" t="n"/>
      <s:c r="D16979" s="121" t="n"/>
      <s:c r="E16979" s="122" t="n"/>
    </s:row>
    <s:row r="16980" hidden="1" ht="1" customHeight="1">
      <s:c r="A16980" s="120" t="inlineStr"/>
      <s:c r="B16980" s="121" t="n"/>
      <s:c r="C16980" s="121" t="n"/>
      <s:c r="D16980" s="121" t="n"/>
      <s:c r="E16980" s="122" t="n"/>
    </s:row>
    <s:row r="16981" hidden="1" ht="1" customHeight="1">
      <s:c r="A16981" s="120" t="inlineStr"/>
      <s:c r="B16981" s="121" t="n"/>
      <s:c r="C16981" s="121" t="n"/>
      <s:c r="D16981" s="121" t="n"/>
      <s:c r="E16981" s="122" t="n"/>
    </s:row>
    <s:row r="16982" hidden="1" ht="1" customHeight="1">
      <s:c r="A16982" s="120" t="inlineStr"/>
      <s:c r="B16982" s="121" t="n"/>
      <s:c r="C16982" s="121" t="n"/>
      <s:c r="D16982" s="121" t="n"/>
      <s:c r="E16982" s="122" t="n"/>
    </s:row>
    <s:row r="16983" hidden="1" ht="1" customHeight="1">
      <s:c r="A16983" s="120" t="inlineStr"/>
      <s:c r="B16983" s="121" t="n"/>
      <s:c r="C16983" s="121" t="n"/>
      <s:c r="D16983" s="121" t="n"/>
      <s:c r="E16983" s="122" t="n"/>
    </s:row>
    <s:row r="16984" hidden="1" ht="1" customHeight="1">
      <s:c r="A16984" s="120" t="inlineStr"/>
      <s:c r="B16984" s="121" t="n"/>
      <s:c r="C16984" s="121" t="n"/>
      <s:c r="D16984" s="121" t="n"/>
      <s:c r="E16984" s="122" t="n"/>
    </s:row>
    <s:row r="16985" hidden="1" ht="1" customHeight="1">
      <s:c r="A16985" s="120" t="inlineStr"/>
      <s:c r="B16985" s="121" t="n"/>
      <s:c r="C16985" s="121" t="n"/>
      <s:c r="D16985" s="121" t="n"/>
      <s:c r="E16985" s="122" t="n"/>
    </s:row>
    <s:row r="16986" hidden="1" ht="1" customHeight="1">
      <s:c r="A16986" s="120" t="inlineStr"/>
      <s:c r="B16986" s="121" t="n"/>
      <s:c r="C16986" s="121" t="n"/>
      <s:c r="D16986" s="121" t="n"/>
      <s:c r="E16986" s="122" t="n"/>
    </s:row>
    <s:row r="16987" hidden="1" ht="1" customHeight="1">
      <s:c r="A16987" s="120" t="inlineStr"/>
      <s:c r="B16987" s="121" t="n"/>
      <s:c r="C16987" s="121" t="n"/>
      <s:c r="D16987" s="121" t="n"/>
      <s:c r="E16987" s="122" t="n"/>
    </s:row>
    <s:row r="16988" hidden="1" ht="1" customHeight="1">
      <s:c r="A16988" s="120" t="inlineStr"/>
      <s:c r="B16988" s="121" t="n"/>
      <s:c r="C16988" s="121" t="n"/>
      <s:c r="D16988" s="121" t="n"/>
      <s:c r="E16988" s="122" t="n"/>
    </s:row>
    <s:row r="16989" hidden="1" ht="1" customHeight="1">
      <s:c r="A16989" s="120" t="inlineStr"/>
      <s:c r="B16989" s="121" t="n"/>
      <s:c r="C16989" s="121" t="n"/>
      <s:c r="D16989" s="121" t="n"/>
      <s:c r="E16989" s="122" t="n"/>
    </s:row>
    <s:row r="16990" hidden="1" ht="1" customHeight="1">
      <s:c r="A16990" s="120" t="inlineStr"/>
      <s:c r="B16990" s="121" t="n"/>
      <s:c r="C16990" s="121" t="n"/>
      <s:c r="D16990" s="121" t="n"/>
      <s:c r="E16990" s="122" t="n"/>
    </s:row>
    <s:row r="16991" hidden="1" ht="1" customHeight="1">
      <s:c r="A16991" s="120" t="inlineStr"/>
      <s:c r="B16991" s="121" t="n"/>
      <s:c r="C16991" s="121" t="n"/>
      <s:c r="D16991" s="121" t="n"/>
      <s:c r="E16991" s="122" t="n"/>
    </s:row>
    <s:row r="16992" hidden="1" ht="1" customHeight="1">
      <s:c r="A16992" s="120" t="inlineStr"/>
      <s:c r="B16992" s="121" t="n"/>
      <s:c r="C16992" s="121" t="n"/>
      <s:c r="D16992" s="121" t="n"/>
      <s:c r="E16992" s="122" t="n"/>
    </s:row>
    <s:row r="16993" hidden="1" ht="1" customHeight="1">
      <s:c r="A16993" s="120" t="inlineStr"/>
      <s:c r="B16993" s="121" t="n"/>
      <s:c r="C16993" s="121" t="n"/>
      <s:c r="D16993" s="121" t="n"/>
      <s:c r="E16993" s="122" t="n"/>
    </s:row>
    <s:row r="16994" hidden="1" ht="1" customHeight="1">
      <s:c r="A16994" s="120" t="inlineStr"/>
      <s:c r="B16994" s="121" t="n"/>
      <s:c r="C16994" s="121" t="n"/>
      <s:c r="D16994" s="121" t="n"/>
      <s:c r="E16994" s="122" t="n"/>
    </s:row>
    <s:row r="16995" hidden="1" ht="1" customHeight="1">
      <s:c r="A16995" s="120" t="inlineStr"/>
      <s:c r="B16995" s="121" t="n"/>
      <s:c r="C16995" s="121" t="n"/>
      <s:c r="D16995" s="121" t="n"/>
      <s:c r="E16995" s="122" t="n"/>
    </s:row>
    <s:row r="16996" hidden="1" ht="1" customHeight="1">
      <s:c r="A16996" s="120" t="inlineStr"/>
      <s:c r="B16996" s="121" t="n"/>
      <s:c r="C16996" s="121" t="n"/>
      <s:c r="D16996" s="121" t="n"/>
      <s:c r="E16996" s="122" t="n"/>
    </s:row>
    <s:row r="16997" hidden="1" ht="1" customHeight="1">
      <s:c r="A16997" s="120" t="inlineStr"/>
      <s:c r="B16997" s="121" t="n"/>
      <s:c r="C16997" s="121" t="n"/>
      <s:c r="D16997" s="121" t="n"/>
      <s:c r="E16997" s="122" t="n"/>
    </s:row>
    <s:row r="16998" hidden="1" ht="1" customHeight="1">
      <s:c r="A16998" s="120" t="inlineStr"/>
      <s:c r="B16998" s="121" t="n"/>
      <s:c r="C16998" s="121" t="n"/>
      <s:c r="D16998" s="121" t="n"/>
      <s:c r="E16998" s="122" t="n"/>
    </s:row>
    <s:row r="16999" hidden="1" ht="1" customHeight="1">
      <s:c r="A16999" s="120" t="inlineStr"/>
      <s:c r="B16999" s="121" t="n"/>
      <s:c r="C16999" s="121" t="n"/>
      <s:c r="D16999" s="121" t="n"/>
      <s:c r="E16999" s="122" t="n"/>
    </s:row>
    <s:row r="17000" hidden="1" ht="1" customHeight="1">
      <s:c r="A17000" s="120" t="inlineStr"/>
      <s:c r="B17000" s="121" t="n"/>
      <s:c r="C17000" s="121" t="n"/>
      <s:c r="D17000" s="121" t="n"/>
      <s:c r="E17000" s="122" t="n"/>
    </s:row>
    <s:row r="17001" hidden="1" ht="1" customHeight="1">
      <s:c r="A17001" s="120" t="inlineStr"/>
      <s:c r="B17001" s="121" t="n"/>
      <s:c r="C17001" s="121" t="n"/>
      <s:c r="D17001" s="121" t="n"/>
      <s:c r="E17001" s="122" t="n"/>
    </s:row>
    <s:row r="17002" hidden="1" ht="1" customHeight="1">
      <s:c r="A17002" s="120" t="inlineStr"/>
      <s:c r="B17002" s="121" t="n"/>
      <s:c r="C17002" s="121" t="n"/>
      <s:c r="D17002" s="121" t="n"/>
      <s:c r="E17002" s="122" t="n"/>
    </s:row>
    <s:row r="17003" hidden="1" ht="1" customHeight="1">
      <s:c r="A17003" s="120" t="inlineStr"/>
      <s:c r="B17003" s="121" t="n"/>
      <s:c r="C17003" s="121" t="n"/>
      <s:c r="D17003" s="121" t="n"/>
      <s:c r="E17003" s="122" t="n"/>
    </s:row>
    <s:row r="17004" hidden="1" ht="1" customHeight="1">
      <s:c r="A17004" s="120" t="inlineStr"/>
      <s:c r="B17004" s="121" t="n"/>
      <s:c r="C17004" s="121" t="n"/>
      <s:c r="D17004" s="121" t="n"/>
      <s:c r="E17004" s="122" t="n"/>
    </s:row>
    <s:row r="17005" hidden="1" ht="1" customHeight="1">
      <s:c r="A17005" s="120" t="inlineStr"/>
      <s:c r="B17005" s="121" t="n"/>
      <s:c r="C17005" s="121" t="n"/>
      <s:c r="D17005" s="121" t="n"/>
      <s:c r="E17005" s="122" t="n"/>
    </s:row>
    <s:row r="17006" hidden="1" ht="1" customHeight="1">
      <s:c r="A17006" s="120" t="inlineStr"/>
      <s:c r="B17006" s="121" t="n"/>
      <s:c r="C17006" s="121" t="n"/>
      <s:c r="D17006" s="121" t="n"/>
      <s:c r="E17006" s="122" t="n"/>
    </s:row>
    <s:row r="17007" hidden="1" ht="1" customHeight="1">
      <s:c r="A17007" s="120" t="inlineStr"/>
      <s:c r="B17007" s="121" t="n"/>
      <s:c r="C17007" s="121" t="n"/>
      <s:c r="D17007" s="121" t="n"/>
      <s:c r="E17007" s="122" t="n"/>
    </s:row>
    <s:row r="17008" hidden="1" ht="1" customHeight="1">
      <s:c r="A17008" s="120" t="inlineStr"/>
      <s:c r="B17008" s="121" t="n"/>
      <s:c r="C17008" s="121" t="n"/>
      <s:c r="D17008" s="121" t="n"/>
      <s:c r="E17008" s="122" t="n"/>
    </s:row>
    <s:row r="17009" hidden="1" ht="1" customHeight="1">
      <s:c r="A17009" s="120" t="inlineStr"/>
      <s:c r="B17009" s="121" t="n"/>
      <s:c r="C17009" s="121" t="n"/>
      <s:c r="D17009" s="121" t="n"/>
      <s:c r="E17009" s="122" t="n"/>
    </s:row>
    <s:row r="17010" hidden="1" ht="1" customHeight="1">
      <s:c r="A17010" s="120" t="inlineStr"/>
      <s:c r="B17010" s="121" t="n"/>
      <s:c r="C17010" s="121" t="n"/>
      <s:c r="D17010" s="121" t="n"/>
      <s:c r="E17010" s="122" t="n"/>
    </s:row>
    <s:row r="17011" hidden="1" ht="1" customHeight="1">
      <s:c r="A17011" s="120" t="inlineStr"/>
      <s:c r="B17011" s="121" t="n"/>
      <s:c r="C17011" s="121" t="n"/>
      <s:c r="D17011" s="121" t="n"/>
      <s:c r="E17011" s="122" t="n"/>
    </s:row>
    <s:row r="17012" hidden="1" ht="1" customHeight="1">
      <s:c r="A17012" s="83" t="inlineStr">
        <s:is>
          <s:t>PASS</s:t>
        </s:is>
      </s:c>
      <s:c r="B17012" s="83">
        <s:f>SUM(IF(EXACT('Kiểm thử'!E16812,"Đạt"),1,0),IF(EXACT('Kiểm thử'!E16814,"Đạt"),1,0),IF(EXACT('Kiểm thử'!E16816,"Đạt"),1,0),IF(EXACT('Kiểm thử'!E16818,"Đạt"),1,0))</s:f>
        <s:v/>
      </s:c>
      <s:c r="C17012" s="19" t="n"/>
      <s:c r="D17012" s="19" t="n"/>
      <s:c r="E17012" s="19" t="n"/>
    </s:row>
    <s:row r="17013" hidden="1" ht="1" customHeight="1">
      <s:c r="A17013" s="83" t="inlineStr">
        <s:is>
          <s:t>FAIL</s:t>
        </s:is>
      </s:c>
      <s:c r="B17013" s="83">
        <s:f>SUM(IF(EXACT('Kiểm thử'!E16812,"Không đạt"),1,0),IF(EXACT('Kiểm thử'!E16814,"Không đạt"),1,0),IF(EXACT('Kiểm thử'!E16816,"Không đạt"),1,0),IF(EXACT('Kiểm thử'!E16818,"Không đạt"),1,0))</s:f>
        <s:v/>
      </s:c>
      <s:c r="C17013" s="19" t="n"/>
      <s:c r="D17013" s="19" t="n"/>
      <s:c r="E17013" s="19" t="n"/>
    </s:row>
    <s:row r="17014" hidden="1" ht="1" customHeight="1">
      <s:c r="A17014" s="83" t="inlineStr">
        <s:is>
          <s:t>BLOCKED</s:t>
        </s:is>
      </s:c>
      <s:c r="B17014" s="83">
        <s:f>SUM(IF(EXACT('Kiểm thử'!E16812,"Bị chặn"),1,0),IF(EXACT('Kiểm thử'!E16814,"Bị chặn"),1,0),IF(EXACT('Kiểm thử'!E16816,"Bị chặn"),1,0),IF(EXACT('Kiểm thử'!E16818,"Bị chặn"),1,0))</s:f>
        <s:v/>
      </s:c>
      <s:c r="C17014" s="19" t="n"/>
      <s:c r="D17014" s="19" t="n"/>
      <s:c r="E17014" s="19" t="n"/>
    </s:row>
    <s:row r="17015" hidden="1" ht="1" customHeight="1">
      <s:c r="A17015" s="83" t="inlineStr">
        <s:is>
          <s:t>SKIPPED</s:t>
        </s:is>
      </s:c>
      <s:c r="B17015" s="83">
        <s:f>SUM(IF(EXACT('Kiểm thử'!E16812,"Không thực hiện"),1,0),IF(EXACT('Kiểm thử'!E16814,"Không thực hiện"),1,0),IF(EXACT('Kiểm thử'!E16816,"Không thực hiện"),1,0),IF(EXACT('Kiểm thử'!E16818,"Không thực hiện"),1,0))</s:f>
        <s:v/>
      </s:c>
      <s:c r="C17015" s="19" t="n"/>
      <s:c r="D17015" s="19" t="n"/>
      <s:c r="E17015" s="19" t="n"/>
    </s:row>
    <s:row r="17016" hidden="1" ht="1" customHeight="1">
      <s:c r="A17016" s="83" t="inlineStr">
        <s:is>
          <s:t>NOT RUN</s:t>
        </s:is>
      </s:c>
      <s:c r="B17016" s="83">
        <s:f>SUM(IF(EXACT('Kiểm thử'!E16812,"Chưa thực hiện"),1,0),IF(EXACT('Kiểm thử'!E16814,"Chưa thực hiện"),1,0),IF(EXACT('Kiểm thử'!E16816,"Chưa thực hiện"),1,0),IF(EXACT('Kiểm thử'!E16818,"Chưa thực hiện"),1,0))</s:f>
        <s:v/>
      </s:c>
      <s:c r="C17016" s="19" t="n"/>
      <s:c r="D17016" s="19" t="n"/>
      <s:c r="E17016" s="19" t="n"/>
    </s:row>
    <s:row r="17017" hidden="1" ht="6" customHeight="1">
      <s:c r="A17017" s="83" t="inlineStr"/>
      <s:c r="B17017" s="19" t="n"/>
      <s:c r="C17017" s="19" t="n"/>
      <s:c r="D17017" s="19" t="n"/>
      <s:c r="E17017" s="19" t="n"/>
    </s:row>
    <s:row r="17018" ht="28" customHeight="1">
      <s:c r="A17018" s="108" t="inlineStr">
        <s:is>
          <s:t>TC-RS-FUNC-026 — Công khai thành tích（成績公開）: ba hiệu ứng đỏ hiển thị đúng ở màn học sinh</s:t>
        </s:is>
      </s:c>
      <s:c r="B17018" s="111" t="n"/>
      <s:c r="C17018" s="111" t="n"/>
      <s:c r="D17018" s="111" t="n"/>
      <s:c r="E17018" s="111" t="n"/>
    </s:row>
    <s:row r="17019" ht="20" customHeight="1">
      <s:c r="A17019" s="112" t="inlineStr">
        <s:is>
          <s:t>Kết quả tình huống</s:t>
        </s:is>
      </s:c>
      <s:c r="B17019" s="113">
        <s:f>IF(SUM(IF(EXACT('Kiểm thử'!E17028,"Không đạt"),1,0),IF(EXACT('Kiểm thử'!E17030,"Không đạt"),1,0),IF(EXACT('Kiểm thử'!E17032,"Không đạt"),1,0),IF(EXACT('Kiểm thử'!E17034,"Không đạt"),1,0))&gt;0,"Không đạt",IF(SUM(IF(EXACT('Kiểm thử'!E17028,"Đạt"),1,0),IF(EXACT('Kiểm thử'!E17030,"Đạt"),1,0),IF(EXACT('Kiểm thử'!E17032,"Đạt"),1,0),IF(EXACT('Kiểm thử'!E17034,"Đạt"),1,0))=4,"Đạt",IF(SUM(IF(EXACT('Kiểm thử'!E17028,"Không thực hiện"),1,0),IF(EXACT('Kiểm thử'!E17030,"Không thực hiện"),1,0),IF(EXACT('Kiểm thử'!E17032,"Không thực hiện"),1,0),IF(EXACT('Kiểm thử'!E17034,"Không thực hiện"),1,0))=4,"Không thực hiện",IF(SUM(IF(EXACT('Kiểm thử'!E17028,"Bị chặn"),1,0),IF(EXACT('Kiểm thử'!E17030,"Bị chặn"),1,0),IF(EXACT('Kiểm thử'!E17032,"Bị chặn"),1,0),IF(EXACT('Kiểm thử'!E17034,"Bị chặn"),1,0))&gt;0,"Bị chặn",IF(SUM(IF(EXACT('Kiểm thử'!E17028,"Chưa thực hiện"),1,0),IF(EXACT('Kiểm thử'!E17030,"Chưa thực hiện"),1,0),IF(EXACT('Kiểm thử'!E17032,"Chưa thực hiện"),1,0),IF(EXACT('Kiểm thử'!E17034,"Chưa thực hiện"),1,0))=4,"Chưa thực hiện","Đang thực hiện")))))</s:f>
        <s:v/>
      </s:c>
      <s:c r="C17019" s="114" t="n"/>
      <s:c r="D17019" s="114" t="n"/>
      <s:c r="E17019" s="114" t="n"/>
    </s:row>
    <s:row r="17020" ht="20" customHeight="1">
      <s:c r="A17020" s="112" t="inlineStr">
        <s:is>
          <s:t>Màn hình / chức năng</s:t>
        </s:is>
      </s:c>
      <s:c r="B17020" s="113" t="inlineStr">
        <s:is>
          <s:r>
            <s:rPr>
              <s:b val="1"/>
            </s:rPr>
            <s:t>Công khai thành tích（成績公開）</s:t>
          </s:r>
        </s:is>
      </s:c>
      <s:c r="C17020" s="28" t="n"/>
      <s:c r="D17020" s="28" t="n"/>
      <s:c r="E17020" s="28" t="n"/>
    </s:row>
    <s:row r="17021" ht="20" customHeight="1">
      <s:c r="A17021" s="112" t="inlineStr">
        <s:is>
          <s:t>Cấu hình</s:t>
        </s:is>
      </s:c>
      <s:c r="B17021" s="113" t="inlineStr">
        <s:is>
          <s:t>• S01 Đỏ (29), không phải điểm dự kiến. Lịch công khai đang mở.</s:t>
        </s:is>
      </s:c>
      <s:c r="C17021" s="28" t="n"/>
      <s:c r="D17021" s="28" t="n"/>
      <s:c r="E17021" s="28" t="n"/>
    </s:row>
    <s:row r="17022" ht="62" customHeight="1">
      <s:c r="A17022" s="112" t="inlineStr">
        <s:is>
          <s:t>Dữ liệu test</s:t>
        </s:is>
      </s:c>
      <s:c r="B17022" s="113" t="inlineStr">
        <s:is>
          <s:r>
            <s:t>• Mục số nguyên (</s:t>
          </s:r>
          <s:r>
            <s:rPr>
              <s:b val="1"/>
            </s:rPr>
            <s:t>M=100</s:t>
          </s:r>
          <s:r>
            <s:t>);
• Mục điểm đơn vị (đơn vị U1 có M riêng 40);
• Học sinh S01 (điểm 29), học sinh S06 (điểm dự kiến 24), tài khoản học sinh S01, tài khoản phụ trách đầu ra (trích xuất, công khai, phiếu điểm)</s:t>
          </s:r>
        </s:is>
      </s:c>
      <s:c r="C17022" s="28" t="n"/>
      <s:c r="D17022" s="28" t="n"/>
      <s:c r="E17022" s="28" t="n"/>
    </s:row>
    <s:row r="17023" ht="20" customHeight="1">
      <s:c r="A17023" s="112" t="inlineStr">
        <s:is>
          <s:t>Bước 1</s:t>
        </s:is>
      </s:c>
      <s:c r="B17023" s="113" t="inlineStr">
        <s:is>
          <s:t>Dựng đúng ô Đỏ và tài khoản học sinh của trường hợp, lịch công khai mở.</s:t>
        </s:is>
      </s:c>
      <s:c r="C17023" s="28" t="n"/>
      <s:c r="D17023" s="28" t="n"/>
      <s:c r="E17023" s="28" t="n"/>
    </s:row>
    <s:row r="17024" ht="20" customHeight="1">
      <s:c r="A17024" s="112" t="inlineStr">
        <s:is>
          <s:t>Bước 2</s:t>
        </s:is>
      </s:c>
      <s:c r="B17024" s="113" t="inlineStr">
        <s:is>
          <s:t>Lưu hiệu ứng riêng, xem màn học sinh và mở lại thiết lập khi trường hợp yêu cầu.</s:t>
        </s:is>
      </s:c>
      <s:c r="C17024" s="28" t="n"/>
      <s:c r="D17024" s="28" t="n"/>
      <s:c r="E17024" s="28" t="n"/>
    </s:row>
    <s:row r="17025" ht="20" customHeight="1">
      <s:c r="A17025" s="112" t="inlineStr">
        <s:is>
          <s:t>Bước 3</s:t>
        </s:is>
      </s:c>
      <s:c r="B17025" s="113" t="inlineStr">
        <s:is>
          <s:t>Đọc đúng ô/đơn vị, đối chiếu hiệu ứng và ô đối chứng.</s:t>
        </s:is>
      </s:c>
      <s:c r="C17025" s="28" t="n"/>
      <s:c r="D17025" s="28" t="n"/>
      <s:c r="E17025" s="28" t="n"/>
    </s:row>
    <s:row r="17026" ht="28" customHeight="1">
      <s:c r="A17026" s="115" t="inlineStr">
        <s:is>
          <s:t>Trường hợp</s:t>
        </s:is>
      </s:c>
      <s:c r="B17026" s="115" t="inlineStr">
        <s:is>
          <s:t>Dữ liệu / thao tác riêng</s:t>
        </s:is>
      </s:c>
      <s:c r="C17026" s="115" t="inlineStr">
        <s:is>
          <s:t>Kết quả mong đợi</s:t>
        </s:is>
      </s:c>
      <s:c r="D17026" s="115" t="inlineStr">
        <s:is>
          <s:t>Kết quả thực tế</s:t>
        </s:is>
      </s:c>
      <s:c r="E17026" s="115" t="inlineStr">
        <s:is>
          <s:t>Đánh giá</s:t>
        </s:is>
      </s:c>
    </s:row>
    <s:row r="17027" ht="3" customHeight="1">
      <s:c r="A17027" s="102" t="inlineStr"/>
      <s:c r="B17027" s="99" t="n"/>
      <s:c r="C17027" s="99" t="n"/>
      <s:c r="D17027" s="116" t="n"/>
      <s:c r="E17027" s="116" t="n"/>
    </s:row>
    <s:row r="17028" ht="48" customHeight="1">
      <s:c r="A17028" s="83" t="inlineStr">
        <s:is>
          <s:t>Hiệu ứng ngoặc (parentheses)</s:t>
        </s:is>
      </s:c>
      <s:c r="B17028" s="83" t="inlineStr">
        <s:is>
          <s:r>
            <s:t xml:space="preserve">S01=29 Đỏ; </s:t>
          </s:r>
          <s:r>
            <s:rPr>
              <s:b val="1"/>
            </s:rPr>
            <s:t>lưu Ngoặc（括弧）</s:t>
          </s:r>
          <s:r>
            <s:t xml:space="preserve">, xem </s:t>
          </s:r>
          <s:r>
            <s:rPr>
              <s:b val="1"/>
            </s:rPr>
            <s:t>Xác nhận thành tích（成績確認）</s:t>
          </s:r>
          <s:r>
            <s:t xml:space="preserve"> bằng S01.</s:t>
          </s:r>
        </s:is>
      </s:c>
      <s:c r="C17028" s="83" t="inlineStr">
        <s:is>
          <s:r>
            <s:t xml:space="preserve">Ô S01 </s:t>
          </s:r>
          <s:r>
            <s:rPr>
              <s:b val="1"/>
            </s:rPr>
            <s:t>Đỏ</s:t>
          </s:r>
          <s:r>
            <s:t xml:space="preserve"> hiển thị [(29)], không có nền màu riêng cho ô </s:t>
          </s:r>
          <s:r>
            <s:rPr>
              <s:b val="1"/>
            </s:rPr>
            <s:t>Đỏ</s:t>
          </s:r>
          <s:r>
            <s:t>.</s:t>
          </s:r>
        </s:is>
      </s:c>
      <s:c r="D17028" s="117" t="inlineStr"/>
      <s:c r="E17028" s="118" t="inlineStr">
        <s:is>
          <s:t>Chưa thực hiện</s:t>
        </s:is>
      </s:c>
    </s:row>
    <s:row r="17029" ht="3" customHeight="1">
      <s:c r="A17029" s="102" t="inlineStr"/>
      <s:c r="B17029" s="99" t="n"/>
      <s:c r="C17029" s="99" t="n"/>
      <s:c r="D17029" s="116" t="n"/>
      <s:c r="E17029" s="116" t="n"/>
    </s:row>
    <s:row r="17030" ht="34" customHeight="1">
      <s:c r="A17030" s="83" t="inlineStr">
        <s:is>
          <s:t>Hiệu ứng phía trước (prefix)</s:t>
        </s:is>
      </s:c>
      <s:c r="B17030" s="83" t="inlineStr">
        <s:is>
          <s:t>S01=29 Đỏ; lưu [*] phía trước, xem bằng S01.</s:t>
        </s:is>
      </s:c>
      <s:c r="C17030" s="83" t="inlineStr">
        <s:is>
          <s:r>
            <s:t xml:space="preserve">Ô S01 </s:t>
          </s:r>
          <s:r>
            <s:rPr>
              <s:b val="1"/>
            </s:rPr>
            <s:t>Đỏ</s:t>
          </s:r>
          <s:r>
            <s:t xml:space="preserve"> hiển thị [*29], không có nền màu riêng cho ô </s:t>
          </s:r>
          <s:r>
            <s:rPr>
              <s:b val="1"/>
            </s:rPr>
            <s:t>Đỏ</s:t>
          </s:r>
          <s:r>
            <s:t>.</s:t>
          </s:r>
        </s:is>
      </s:c>
      <s:c r="D17030" s="117" t="inlineStr"/>
      <s:c r="E17030" s="118" t="inlineStr">
        <s:is>
          <s:t>Chưa thực hiện</s:t>
        </s:is>
      </s:c>
    </s:row>
    <s:row r="17031" ht="3" customHeight="1">
      <s:c r="A17031" s="102" t="inlineStr"/>
      <s:c r="B17031" s="99" t="n"/>
      <s:c r="C17031" s="99" t="n"/>
      <s:c r="D17031" s="116" t="n"/>
      <s:c r="E17031" s="116" t="n"/>
    </s:row>
    <s:row r="17032" ht="48" customHeight="1">
      <s:c r="A17032" s="83" t="inlineStr">
        <s:is>
          <s:t>Hiệu ứng phía sau và mở lại (suffix-reopen)</s:t>
        </s:is>
      </s:c>
      <s:c r="B17032" s="83" t="inlineStr">
        <s:is>
          <s:t>S01=29 Đỏ; lưu [*] phía sau, xem bằng S01 rồi mở lại thiết lập.</s:t>
        </s:is>
      </s:c>
      <s:c r="C17032" s="83" t="inlineStr">
        <s:is>
          <s:r>
            <s:t xml:space="preserve">Ô S01 </s:t>
          </s:r>
          <s:r>
            <s:rPr>
              <s:b val="1"/>
            </s:rPr>
            <s:t>Đỏ</s:t>
          </s:r>
          <s:r>
            <s:t xml:space="preserve"> hiển thị [29*], không có nền màu riêng. Mở lại, hiệu ứng đã lưu gần nhất [*] phía sau được chọn sẵn.</s:t>
          </s:r>
        </s:is>
      </s:c>
      <s:c r="D17032" s="117" t="inlineStr"/>
      <s:c r="E17032" s="118" t="inlineStr">
        <s:is>
          <s:t>Chưa thực hiện</s:t>
        </s:is>
      </s:c>
    </s:row>
    <s:row r="17033" ht="3" customHeight="1">
      <s:c r="A17033" s="102" t="inlineStr"/>
      <s:c r="B17033" s="99" t="n"/>
      <s:c r="C17033" s="99" t="n"/>
      <s:c r="D17033" s="116" t="n"/>
      <s:c r="E17033" s="116" t="n"/>
    </s:row>
    <s:row r="17034" ht="48" customHeight="1">
      <s:c r="A17034" s="83" t="inlineStr">
        <s:is>
          <s:t>Điểm đơn vị với hiệu ứng phía trước (unit-prefix)</s:t>
        </s:is>
      </s:c>
      <s:c r="B17034" s="83" t="inlineStr">
        <s:is>
          <s:t>S06/U1=25 Đỏ; lưu [*] phía trước ở mục điểm đơn vị, xem bằng S06 và đối chiếu U2.</s:t>
        </s:is>
      </s:c>
      <s:c r="C17034" s="83" t="inlineStr">
        <s:is>
          <s:r>
            <s:t xml:space="preserve">Ô U1 </s:t>
          </s:r>
          <s:r>
            <s:rPr>
              <s:b val="1"/>
            </s:rPr>
            <s:t>Đỏ</s:t>
          </s:r>
          <s:r>
            <s:t xml:space="preserve"> của S06 hiển thị [*25]; U2 không ký hiệu, không có nền màu riêng cho ô </s:t>
          </s:r>
          <s:r>
            <s:rPr>
              <s:b val="1"/>
            </s:rPr>
            <s:t>Đỏ</s:t>
          </s:r>
          <s:r>
            <s:t>.</s:t>
          </s:r>
        </s:is>
      </s:c>
      <s:c r="D17034" s="117" t="inlineStr"/>
      <s:c r="E17034" s="118" t="inlineStr">
        <s:is>
          <s:t>Chưa thực hiện</s:t>
        </s:is>
      </s:c>
    </s:row>
    <s:row r="17035" ht="20" customHeight="1">
      <s:c r="A17035" s="119" t="inlineStr">
        <s:is>
          <s:t>Ảnh minh chứng — Chưa có ảnh</s:t>
        </s:is>
      </s:c>
      <s:c r="B17035" s="19" t="n"/>
      <s:c r="C17035" s="19" t="n"/>
      <s:c r="D17035" s="19" t="n"/>
      <s:c r="E17035" s="19" t="n"/>
    </s:row>
    <s:row r="17036" hidden="1" ht="1" customHeight="1">
      <s:c r="A17036" s="120" t="inlineStr"/>
      <s:c r="B17036" s="121" t="n"/>
      <s:c r="C17036" s="121" t="n"/>
      <s:c r="D17036" s="121" t="n"/>
      <s:c r="E17036" s="122" t="n"/>
    </s:row>
    <s:row r="17037" hidden="1" ht="1" customHeight="1">
      <s:c r="A17037" s="120" t="inlineStr"/>
      <s:c r="B17037" s="121" t="n"/>
      <s:c r="C17037" s="121" t="n"/>
      <s:c r="D17037" s="121" t="n"/>
      <s:c r="E17037" s="122" t="n"/>
    </s:row>
    <s:row r="17038" hidden="1" ht="1" customHeight="1">
      <s:c r="A17038" s="120" t="inlineStr"/>
      <s:c r="B17038" s="121" t="n"/>
      <s:c r="C17038" s="121" t="n"/>
      <s:c r="D17038" s="121" t="n"/>
      <s:c r="E17038" s="122" t="n"/>
    </s:row>
    <s:row r="17039" hidden="1" ht="1" customHeight="1">
      <s:c r="A17039" s="120" t="inlineStr"/>
      <s:c r="B17039" s="121" t="n"/>
      <s:c r="C17039" s="121" t="n"/>
      <s:c r="D17039" s="121" t="n"/>
      <s:c r="E17039" s="122" t="n"/>
    </s:row>
    <s:row r="17040" hidden="1" ht="1" customHeight="1">
      <s:c r="A17040" s="120" t="inlineStr"/>
      <s:c r="B17040" s="121" t="n"/>
      <s:c r="C17040" s="121" t="n"/>
      <s:c r="D17040" s="121" t="n"/>
      <s:c r="E17040" s="122" t="n"/>
    </s:row>
    <s:row r="17041" hidden="1" ht="1" customHeight="1">
      <s:c r="A17041" s="120" t="inlineStr"/>
      <s:c r="B17041" s="121" t="n"/>
      <s:c r="C17041" s="121" t="n"/>
      <s:c r="D17041" s="121" t="n"/>
      <s:c r="E17041" s="122" t="n"/>
    </s:row>
    <s:row r="17042" hidden="1" ht="1" customHeight="1">
      <s:c r="A17042" s="120" t="inlineStr"/>
      <s:c r="B17042" s="121" t="n"/>
      <s:c r="C17042" s="121" t="n"/>
      <s:c r="D17042" s="121" t="n"/>
      <s:c r="E17042" s="122" t="n"/>
    </s:row>
    <s:row r="17043" hidden="1" ht="1" customHeight="1">
      <s:c r="A17043" s="120" t="inlineStr"/>
      <s:c r="B17043" s="121" t="n"/>
      <s:c r="C17043" s="121" t="n"/>
      <s:c r="D17043" s="121" t="n"/>
      <s:c r="E17043" s="122" t="n"/>
    </s:row>
    <s:row r="17044" hidden="1" ht="1" customHeight="1">
      <s:c r="A17044" s="120" t="inlineStr"/>
      <s:c r="B17044" s="121" t="n"/>
      <s:c r="C17044" s="121" t="n"/>
      <s:c r="D17044" s="121" t="n"/>
      <s:c r="E17044" s="122" t="n"/>
    </s:row>
    <s:row r="17045" hidden="1" ht="1" customHeight="1">
      <s:c r="A17045" s="120" t="inlineStr"/>
      <s:c r="B17045" s="121" t="n"/>
      <s:c r="C17045" s="121" t="n"/>
      <s:c r="D17045" s="121" t="n"/>
      <s:c r="E17045" s="122" t="n"/>
    </s:row>
    <s:row r="17046" hidden="1" ht="1" customHeight="1">
      <s:c r="A17046" s="120" t="inlineStr"/>
      <s:c r="B17046" s="121" t="n"/>
      <s:c r="C17046" s="121" t="n"/>
      <s:c r="D17046" s="121" t="n"/>
      <s:c r="E17046" s="122" t="n"/>
    </s:row>
    <s:row r="17047" hidden="1" ht="1" customHeight="1">
      <s:c r="A17047" s="120" t="inlineStr"/>
      <s:c r="B17047" s="121" t="n"/>
      <s:c r="C17047" s="121" t="n"/>
      <s:c r="D17047" s="121" t="n"/>
      <s:c r="E17047" s="122" t="n"/>
    </s:row>
    <s:row r="17048" hidden="1" ht="1" customHeight="1">
      <s:c r="A17048" s="120" t="inlineStr"/>
      <s:c r="B17048" s="121" t="n"/>
      <s:c r="C17048" s="121" t="n"/>
      <s:c r="D17048" s="121" t="n"/>
      <s:c r="E17048" s="122" t="n"/>
    </s:row>
    <s:row r="17049" hidden="1" ht="1" customHeight="1">
      <s:c r="A17049" s="120" t="inlineStr"/>
      <s:c r="B17049" s="121" t="n"/>
      <s:c r="C17049" s="121" t="n"/>
      <s:c r="D17049" s="121" t="n"/>
      <s:c r="E17049" s="122" t="n"/>
    </s:row>
    <s:row r="17050" hidden="1" ht="1" customHeight="1">
      <s:c r="A17050" s="120" t="inlineStr"/>
      <s:c r="B17050" s="121" t="n"/>
      <s:c r="C17050" s="121" t="n"/>
      <s:c r="D17050" s="121" t="n"/>
      <s:c r="E17050" s="122" t="n"/>
    </s:row>
    <s:row r="17051" hidden="1" ht="1" customHeight="1">
      <s:c r="A17051" s="120" t="inlineStr"/>
      <s:c r="B17051" s="121" t="n"/>
      <s:c r="C17051" s="121" t="n"/>
      <s:c r="D17051" s="121" t="n"/>
      <s:c r="E17051" s="122" t="n"/>
    </s:row>
    <s:row r="17052" hidden="1" ht="1" customHeight="1">
      <s:c r="A17052" s="120" t="inlineStr"/>
      <s:c r="B17052" s="121" t="n"/>
      <s:c r="C17052" s="121" t="n"/>
      <s:c r="D17052" s="121" t="n"/>
      <s:c r="E17052" s="122" t="n"/>
    </s:row>
    <s:row r="17053" hidden="1" ht="1" customHeight="1">
      <s:c r="A17053" s="120" t="inlineStr"/>
      <s:c r="B17053" s="121" t="n"/>
      <s:c r="C17053" s="121" t="n"/>
      <s:c r="D17053" s="121" t="n"/>
      <s:c r="E17053" s="122" t="n"/>
    </s:row>
    <s:row r="17054" hidden="1" ht="1" customHeight="1">
      <s:c r="A17054" s="120" t="inlineStr"/>
      <s:c r="B17054" s="121" t="n"/>
      <s:c r="C17054" s="121" t="n"/>
      <s:c r="D17054" s="121" t="n"/>
      <s:c r="E17054" s="122" t="n"/>
    </s:row>
    <s:row r="17055" hidden="1" ht="1" customHeight="1">
      <s:c r="A17055" s="120" t="inlineStr"/>
      <s:c r="B17055" s="121" t="n"/>
      <s:c r="C17055" s="121" t="n"/>
      <s:c r="D17055" s="121" t="n"/>
      <s:c r="E17055" s="122" t="n"/>
    </s:row>
    <s:row r="17056" hidden="1" ht="1" customHeight="1">
      <s:c r="A17056" s="120" t="inlineStr"/>
      <s:c r="B17056" s="121" t="n"/>
      <s:c r="C17056" s="121" t="n"/>
      <s:c r="D17056" s="121" t="n"/>
      <s:c r="E17056" s="122" t="n"/>
    </s:row>
    <s:row r="17057" hidden="1" ht="1" customHeight="1">
      <s:c r="A17057" s="120" t="inlineStr"/>
      <s:c r="B17057" s="121" t="n"/>
      <s:c r="C17057" s="121" t="n"/>
      <s:c r="D17057" s="121" t="n"/>
      <s:c r="E17057" s="122" t="n"/>
    </s:row>
    <s:row r="17058" hidden="1" ht="1" customHeight="1">
      <s:c r="A17058" s="120" t="inlineStr"/>
      <s:c r="B17058" s="121" t="n"/>
      <s:c r="C17058" s="121" t="n"/>
      <s:c r="D17058" s="121" t="n"/>
      <s:c r="E17058" s="122" t="n"/>
    </s:row>
    <s:row r="17059" hidden="1" ht="1" customHeight="1">
      <s:c r="A17059" s="120" t="inlineStr"/>
      <s:c r="B17059" s="121" t="n"/>
      <s:c r="C17059" s="121" t="n"/>
      <s:c r="D17059" s="121" t="n"/>
      <s:c r="E17059" s="122" t="n"/>
    </s:row>
    <s:row r="17060" hidden="1" ht="1" customHeight="1">
      <s:c r="A17060" s="120" t="inlineStr"/>
      <s:c r="B17060" s="121" t="n"/>
      <s:c r="C17060" s="121" t="n"/>
      <s:c r="D17060" s="121" t="n"/>
      <s:c r="E17060" s="122" t="n"/>
    </s:row>
    <s:row r="17061" hidden="1" ht="1" customHeight="1">
      <s:c r="A17061" s="120" t="inlineStr"/>
      <s:c r="B17061" s="121" t="n"/>
      <s:c r="C17061" s="121" t="n"/>
      <s:c r="D17061" s="121" t="n"/>
      <s:c r="E17061" s="122" t="n"/>
    </s:row>
    <s:row r="17062" hidden="1" ht="1" customHeight="1">
      <s:c r="A17062" s="120" t="inlineStr"/>
      <s:c r="B17062" s="121" t="n"/>
      <s:c r="C17062" s="121" t="n"/>
      <s:c r="D17062" s="121" t="n"/>
      <s:c r="E17062" s="122" t="n"/>
    </s:row>
    <s:row r="17063" hidden="1" ht="1" customHeight="1">
      <s:c r="A17063" s="120" t="inlineStr"/>
      <s:c r="B17063" s="121" t="n"/>
      <s:c r="C17063" s="121" t="n"/>
      <s:c r="D17063" s="121" t="n"/>
      <s:c r="E17063" s="122" t="n"/>
    </s:row>
    <s:row r="17064" hidden="1" ht="1" customHeight="1">
      <s:c r="A17064" s="120" t="inlineStr"/>
      <s:c r="B17064" s="121" t="n"/>
      <s:c r="C17064" s="121" t="n"/>
      <s:c r="D17064" s="121" t="n"/>
      <s:c r="E17064" s="122" t="n"/>
    </s:row>
    <s:row r="17065" hidden="1" ht="1" customHeight="1">
      <s:c r="A17065" s="120" t="inlineStr"/>
      <s:c r="B17065" s="121" t="n"/>
      <s:c r="C17065" s="121" t="n"/>
      <s:c r="D17065" s="121" t="n"/>
      <s:c r="E17065" s="122" t="n"/>
    </s:row>
    <s:row r="17066" hidden="1" ht="1" customHeight="1">
      <s:c r="A17066" s="120" t="inlineStr"/>
      <s:c r="B17066" s="121" t="n"/>
      <s:c r="C17066" s="121" t="n"/>
      <s:c r="D17066" s="121" t="n"/>
      <s:c r="E17066" s="122" t="n"/>
    </s:row>
    <s:row r="17067" hidden="1" ht="1" customHeight="1">
      <s:c r="A17067" s="120" t="inlineStr"/>
      <s:c r="B17067" s="121" t="n"/>
      <s:c r="C17067" s="121" t="n"/>
      <s:c r="D17067" s="121" t="n"/>
      <s:c r="E17067" s="122" t="n"/>
    </s:row>
    <s:row r="17068" hidden="1" ht="1" customHeight="1">
      <s:c r="A17068" s="120" t="inlineStr"/>
      <s:c r="B17068" s="121" t="n"/>
      <s:c r="C17068" s="121" t="n"/>
      <s:c r="D17068" s="121" t="n"/>
      <s:c r="E17068" s="122" t="n"/>
    </s:row>
    <s:row r="17069" hidden="1" ht="1" customHeight="1">
      <s:c r="A17069" s="120" t="inlineStr"/>
      <s:c r="B17069" s="121" t="n"/>
      <s:c r="C17069" s="121" t="n"/>
      <s:c r="D17069" s="121" t="n"/>
      <s:c r="E17069" s="122" t="n"/>
    </s:row>
    <s:row r="17070" hidden="1" ht="1" customHeight="1">
      <s:c r="A17070" s="120" t="inlineStr"/>
      <s:c r="B17070" s="121" t="n"/>
      <s:c r="C17070" s="121" t="n"/>
      <s:c r="D17070" s="121" t="n"/>
      <s:c r="E17070" s="122" t="n"/>
    </s:row>
    <s:row r="17071" hidden="1" ht="1" customHeight="1">
      <s:c r="A17071" s="120" t="inlineStr"/>
      <s:c r="B17071" s="121" t="n"/>
      <s:c r="C17071" s="121" t="n"/>
      <s:c r="D17071" s="121" t="n"/>
      <s:c r="E17071" s="122" t="n"/>
    </s:row>
    <s:row r="17072" hidden="1" ht="1" customHeight="1">
      <s:c r="A17072" s="120" t="inlineStr"/>
      <s:c r="B17072" s="121" t="n"/>
      <s:c r="C17072" s="121" t="n"/>
      <s:c r="D17072" s="121" t="n"/>
      <s:c r="E17072" s="122" t="n"/>
    </s:row>
    <s:row r="17073" hidden="1" ht="1" customHeight="1">
      <s:c r="A17073" s="120" t="inlineStr"/>
      <s:c r="B17073" s="121" t="n"/>
      <s:c r="C17073" s="121" t="n"/>
      <s:c r="D17073" s="121" t="n"/>
      <s:c r="E17073" s="122" t="n"/>
    </s:row>
    <s:row r="17074" hidden="1" ht="1" customHeight="1">
      <s:c r="A17074" s="120" t="inlineStr"/>
      <s:c r="B17074" s="121" t="n"/>
      <s:c r="C17074" s="121" t="n"/>
      <s:c r="D17074" s="121" t="n"/>
      <s:c r="E17074" s="122" t="n"/>
    </s:row>
    <s:row r="17075" hidden="1" ht="1" customHeight="1">
      <s:c r="A17075" s="120" t="inlineStr"/>
      <s:c r="B17075" s="121" t="n"/>
      <s:c r="C17075" s="121" t="n"/>
      <s:c r="D17075" s="121" t="n"/>
      <s:c r="E17075" s="122" t="n"/>
    </s:row>
    <s:row r="17076" hidden="1" ht="1" customHeight="1">
      <s:c r="A17076" s="120" t="inlineStr"/>
      <s:c r="B17076" s="121" t="n"/>
      <s:c r="C17076" s="121" t="n"/>
      <s:c r="D17076" s="121" t="n"/>
      <s:c r="E17076" s="122" t="n"/>
    </s:row>
    <s:row r="17077" hidden="1" ht="1" customHeight="1">
      <s:c r="A17077" s="120" t="inlineStr"/>
      <s:c r="B17077" s="121" t="n"/>
      <s:c r="C17077" s="121" t="n"/>
      <s:c r="D17077" s="121" t="n"/>
      <s:c r="E17077" s="122" t="n"/>
    </s:row>
    <s:row r="17078" hidden="1" ht="1" customHeight="1">
      <s:c r="A17078" s="120" t="inlineStr"/>
      <s:c r="B17078" s="121" t="n"/>
      <s:c r="C17078" s="121" t="n"/>
      <s:c r="D17078" s="121" t="n"/>
      <s:c r="E17078" s="122" t="n"/>
    </s:row>
    <s:row r="17079" hidden="1" ht="1" customHeight="1">
      <s:c r="A17079" s="120" t="inlineStr"/>
      <s:c r="B17079" s="121" t="n"/>
      <s:c r="C17079" s="121" t="n"/>
      <s:c r="D17079" s="121" t="n"/>
      <s:c r="E17079" s="122" t="n"/>
    </s:row>
    <s:row r="17080" hidden="1" ht="1" customHeight="1">
      <s:c r="A17080" s="120" t="inlineStr"/>
      <s:c r="B17080" s="121" t="n"/>
      <s:c r="C17080" s="121" t="n"/>
      <s:c r="D17080" s="121" t="n"/>
      <s:c r="E17080" s="122" t="n"/>
    </s:row>
    <s:row r="17081" hidden="1" ht="1" customHeight="1">
      <s:c r="A17081" s="120" t="inlineStr"/>
      <s:c r="B17081" s="121" t="n"/>
      <s:c r="C17081" s="121" t="n"/>
      <s:c r="D17081" s="121" t="n"/>
      <s:c r="E17081" s="122" t="n"/>
    </s:row>
    <s:row r="17082" hidden="1" ht="1" customHeight="1">
      <s:c r="A17082" s="120" t="inlineStr"/>
      <s:c r="B17082" s="121" t="n"/>
      <s:c r="C17082" s="121" t="n"/>
      <s:c r="D17082" s="121" t="n"/>
      <s:c r="E17082" s="122" t="n"/>
    </s:row>
    <s:row r="17083" hidden="1" ht="1" customHeight="1">
      <s:c r="A17083" s="120" t="inlineStr"/>
      <s:c r="B17083" s="121" t="n"/>
      <s:c r="C17083" s="121" t="n"/>
      <s:c r="D17083" s="121" t="n"/>
      <s:c r="E17083" s="122" t="n"/>
    </s:row>
    <s:row r="17084" hidden="1" ht="1" customHeight="1">
      <s:c r="A17084" s="120" t="inlineStr"/>
      <s:c r="B17084" s="121" t="n"/>
      <s:c r="C17084" s="121" t="n"/>
      <s:c r="D17084" s="121" t="n"/>
      <s:c r="E17084" s="122" t="n"/>
    </s:row>
    <s:row r="17085" hidden="1" ht="1" customHeight="1">
      <s:c r="A17085" s="120" t="inlineStr"/>
      <s:c r="B17085" s="121" t="n"/>
      <s:c r="C17085" s="121" t="n"/>
      <s:c r="D17085" s="121" t="n"/>
      <s:c r="E17085" s="122" t="n"/>
    </s:row>
    <s:row r="17086" hidden="1" ht="1" customHeight="1">
      <s:c r="A17086" s="120" t="inlineStr"/>
      <s:c r="B17086" s="121" t="n"/>
      <s:c r="C17086" s="121" t="n"/>
      <s:c r="D17086" s="121" t="n"/>
      <s:c r="E17086" s="122" t="n"/>
    </s:row>
    <s:row r="17087" hidden="1" ht="1" customHeight="1">
      <s:c r="A17087" s="120" t="inlineStr"/>
      <s:c r="B17087" s="121" t="n"/>
      <s:c r="C17087" s="121" t="n"/>
      <s:c r="D17087" s="121" t="n"/>
      <s:c r="E17087" s="122" t="n"/>
    </s:row>
    <s:row r="17088" hidden="1" ht="1" customHeight="1">
      <s:c r="A17088" s="120" t="inlineStr"/>
      <s:c r="B17088" s="121" t="n"/>
      <s:c r="C17088" s="121" t="n"/>
      <s:c r="D17088" s="121" t="n"/>
      <s:c r="E17088" s="122" t="n"/>
    </s:row>
    <s:row r="17089" hidden="1" ht="1" customHeight="1">
      <s:c r="A17089" s="120" t="inlineStr"/>
      <s:c r="B17089" s="121" t="n"/>
      <s:c r="C17089" s="121" t="n"/>
      <s:c r="D17089" s="121" t="n"/>
      <s:c r="E17089" s="122" t="n"/>
    </s:row>
    <s:row r="17090" hidden="1" ht="1" customHeight="1">
      <s:c r="A17090" s="120" t="inlineStr"/>
      <s:c r="B17090" s="121" t="n"/>
      <s:c r="C17090" s="121" t="n"/>
      <s:c r="D17090" s="121" t="n"/>
      <s:c r="E17090" s="122" t="n"/>
    </s:row>
    <s:row r="17091" hidden="1" ht="1" customHeight="1">
      <s:c r="A17091" s="120" t="inlineStr"/>
      <s:c r="B17091" s="121" t="n"/>
      <s:c r="C17091" s="121" t="n"/>
      <s:c r="D17091" s="121" t="n"/>
      <s:c r="E17091" s="122" t="n"/>
    </s:row>
    <s:row r="17092" hidden="1" ht="1" customHeight="1">
      <s:c r="A17092" s="120" t="inlineStr"/>
      <s:c r="B17092" s="121" t="n"/>
      <s:c r="C17092" s="121" t="n"/>
      <s:c r="D17092" s="121" t="n"/>
      <s:c r="E17092" s="122" t="n"/>
    </s:row>
    <s:row r="17093" hidden="1" ht="1" customHeight="1">
      <s:c r="A17093" s="120" t="inlineStr"/>
      <s:c r="B17093" s="121" t="n"/>
      <s:c r="C17093" s="121" t="n"/>
      <s:c r="D17093" s="121" t="n"/>
      <s:c r="E17093" s="122" t="n"/>
    </s:row>
    <s:row r="17094" hidden="1" ht="1" customHeight="1">
      <s:c r="A17094" s="120" t="inlineStr"/>
      <s:c r="B17094" s="121" t="n"/>
      <s:c r="C17094" s="121" t="n"/>
      <s:c r="D17094" s="121" t="n"/>
      <s:c r="E17094" s="122" t="n"/>
    </s:row>
    <s:row r="17095" hidden="1" ht="1" customHeight="1">
      <s:c r="A17095" s="120" t="inlineStr"/>
      <s:c r="B17095" s="121" t="n"/>
      <s:c r="C17095" s="121" t="n"/>
      <s:c r="D17095" s="121" t="n"/>
      <s:c r="E17095" s="122" t="n"/>
    </s:row>
    <s:row r="17096" hidden="1" ht="1" customHeight="1">
      <s:c r="A17096" s="120" t="inlineStr"/>
      <s:c r="B17096" s="121" t="n"/>
      <s:c r="C17096" s="121" t="n"/>
      <s:c r="D17096" s="121" t="n"/>
      <s:c r="E17096" s="122" t="n"/>
    </s:row>
    <s:row r="17097" hidden="1" ht="1" customHeight="1">
      <s:c r="A17097" s="120" t="inlineStr"/>
      <s:c r="B17097" s="121" t="n"/>
      <s:c r="C17097" s="121" t="n"/>
      <s:c r="D17097" s="121" t="n"/>
      <s:c r="E17097" s="122" t="n"/>
    </s:row>
    <s:row r="17098" hidden="1" ht="1" customHeight="1">
      <s:c r="A17098" s="120" t="inlineStr"/>
      <s:c r="B17098" s="121" t="n"/>
      <s:c r="C17098" s="121" t="n"/>
      <s:c r="D17098" s="121" t="n"/>
      <s:c r="E17098" s="122" t="n"/>
    </s:row>
    <s:row r="17099" hidden="1" ht="1" customHeight="1">
      <s:c r="A17099" s="120" t="inlineStr"/>
      <s:c r="B17099" s="121" t="n"/>
      <s:c r="C17099" s="121" t="n"/>
      <s:c r="D17099" s="121" t="n"/>
      <s:c r="E17099" s="122" t="n"/>
    </s:row>
    <s:row r="17100" hidden="1" ht="1" customHeight="1">
      <s:c r="A17100" s="120" t="inlineStr"/>
      <s:c r="B17100" s="121" t="n"/>
      <s:c r="C17100" s="121" t="n"/>
      <s:c r="D17100" s="121" t="n"/>
      <s:c r="E17100" s="122" t="n"/>
    </s:row>
    <s:row r="17101" hidden="1" ht="1" customHeight="1">
      <s:c r="A17101" s="120" t="inlineStr"/>
      <s:c r="B17101" s="121" t="n"/>
      <s:c r="C17101" s="121" t="n"/>
      <s:c r="D17101" s="121" t="n"/>
      <s:c r="E17101" s="122" t="n"/>
    </s:row>
    <s:row r="17102" hidden="1" ht="1" customHeight="1">
      <s:c r="A17102" s="120" t="inlineStr"/>
      <s:c r="B17102" s="121" t="n"/>
      <s:c r="C17102" s="121" t="n"/>
      <s:c r="D17102" s="121" t="n"/>
      <s:c r="E17102" s="122" t="n"/>
    </s:row>
    <s:row r="17103" hidden="1" ht="1" customHeight="1">
      <s:c r="A17103" s="120" t="inlineStr"/>
      <s:c r="B17103" s="121" t="n"/>
      <s:c r="C17103" s="121" t="n"/>
      <s:c r="D17103" s="121" t="n"/>
      <s:c r="E17103" s="122" t="n"/>
    </s:row>
    <s:row r="17104" hidden="1" ht="1" customHeight="1">
      <s:c r="A17104" s="120" t="inlineStr"/>
      <s:c r="B17104" s="121" t="n"/>
      <s:c r="C17104" s="121" t="n"/>
      <s:c r="D17104" s="121" t="n"/>
      <s:c r="E17104" s="122" t="n"/>
    </s:row>
    <s:row r="17105" hidden="1" ht="1" customHeight="1">
      <s:c r="A17105" s="120" t="inlineStr"/>
      <s:c r="B17105" s="121" t="n"/>
      <s:c r="C17105" s="121" t="n"/>
      <s:c r="D17105" s="121" t="n"/>
      <s:c r="E17105" s="122" t="n"/>
    </s:row>
    <s:row r="17106" hidden="1" ht="1" customHeight="1">
      <s:c r="A17106" s="120" t="inlineStr"/>
      <s:c r="B17106" s="121" t="n"/>
      <s:c r="C17106" s="121" t="n"/>
      <s:c r="D17106" s="121" t="n"/>
      <s:c r="E17106" s="122" t="n"/>
    </s:row>
    <s:row r="17107" hidden="1" ht="1" customHeight="1">
      <s:c r="A17107" s="120" t="inlineStr"/>
      <s:c r="B17107" s="121" t="n"/>
      <s:c r="C17107" s="121" t="n"/>
      <s:c r="D17107" s="121" t="n"/>
      <s:c r="E17107" s="122" t="n"/>
    </s:row>
    <s:row r="17108" hidden="1" ht="1" customHeight="1">
      <s:c r="A17108" s="120" t="inlineStr"/>
      <s:c r="B17108" s="121" t="n"/>
      <s:c r="C17108" s="121" t="n"/>
      <s:c r="D17108" s="121" t="n"/>
      <s:c r="E17108" s="122" t="n"/>
    </s:row>
    <s:row r="17109" hidden="1" ht="1" customHeight="1">
      <s:c r="A17109" s="120" t="inlineStr"/>
      <s:c r="B17109" s="121" t="n"/>
      <s:c r="C17109" s="121" t="n"/>
      <s:c r="D17109" s="121" t="n"/>
      <s:c r="E17109" s="122" t="n"/>
    </s:row>
    <s:row r="17110" hidden="1" ht="1" customHeight="1">
      <s:c r="A17110" s="120" t="inlineStr"/>
      <s:c r="B17110" s="121" t="n"/>
      <s:c r="C17110" s="121" t="n"/>
      <s:c r="D17110" s="121" t="n"/>
      <s:c r="E17110" s="122" t="n"/>
    </s:row>
    <s:row r="17111" hidden="1" ht="1" customHeight="1">
      <s:c r="A17111" s="120" t="inlineStr"/>
      <s:c r="B17111" s="121" t="n"/>
      <s:c r="C17111" s="121" t="n"/>
      <s:c r="D17111" s="121" t="n"/>
      <s:c r="E17111" s="122" t="n"/>
    </s:row>
    <s:row r="17112" hidden="1" ht="1" customHeight="1">
      <s:c r="A17112" s="120" t="inlineStr"/>
      <s:c r="B17112" s="121" t="n"/>
      <s:c r="C17112" s="121" t="n"/>
      <s:c r="D17112" s="121" t="n"/>
      <s:c r="E17112" s="122" t="n"/>
    </s:row>
    <s:row r="17113" hidden="1" ht="1" customHeight="1">
      <s:c r="A17113" s="120" t="inlineStr"/>
      <s:c r="B17113" s="121" t="n"/>
      <s:c r="C17113" s="121" t="n"/>
      <s:c r="D17113" s="121" t="n"/>
      <s:c r="E17113" s="122" t="n"/>
    </s:row>
    <s:row r="17114" hidden="1" ht="1" customHeight="1">
      <s:c r="A17114" s="120" t="inlineStr"/>
      <s:c r="B17114" s="121" t="n"/>
      <s:c r="C17114" s="121" t="n"/>
      <s:c r="D17114" s="121" t="n"/>
      <s:c r="E17114" s="122" t="n"/>
    </s:row>
    <s:row r="17115" hidden="1" ht="1" customHeight="1">
      <s:c r="A17115" s="120" t="inlineStr"/>
      <s:c r="B17115" s="121" t="n"/>
      <s:c r="C17115" s="121" t="n"/>
      <s:c r="D17115" s="121" t="n"/>
      <s:c r="E17115" s="122" t="n"/>
    </s:row>
    <s:row r="17116" hidden="1" ht="1" customHeight="1">
      <s:c r="A17116" s="120" t="inlineStr"/>
      <s:c r="B17116" s="121" t="n"/>
      <s:c r="C17116" s="121" t="n"/>
      <s:c r="D17116" s="121" t="n"/>
      <s:c r="E17116" s="122" t="n"/>
    </s:row>
    <s:row r="17117" hidden="1" ht="1" customHeight="1">
      <s:c r="A17117" s="120" t="inlineStr"/>
      <s:c r="B17117" s="121" t="n"/>
      <s:c r="C17117" s="121" t="n"/>
      <s:c r="D17117" s="121" t="n"/>
      <s:c r="E17117" s="122" t="n"/>
    </s:row>
    <s:row r="17118" hidden="1" ht="1" customHeight="1">
      <s:c r="A17118" s="120" t="inlineStr"/>
      <s:c r="B17118" s="121" t="n"/>
      <s:c r="C17118" s="121" t="n"/>
      <s:c r="D17118" s="121" t="n"/>
      <s:c r="E17118" s="122" t="n"/>
    </s:row>
    <s:row r="17119" hidden="1" ht="1" customHeight="1">
      <s:c r="A17119" s="120" t="inlineStr"/>
      <s:c r="B17119" s="121" t="n"/>
      <s:c r="C17119" s="121" t="n"/>
      <s:c r="D17119" s="121" t="n"/>
      <s:c r="E17119" s="122" t="n"/>
    </s:row>
    <s:row r="17120" hidden="1" ht="1" customHeight="1">
      <s:c r="A17120" s="120" t="inlineStr"/>
      <s:c r="B17120" s="121" t="n"/>
      <s:c r="C17120" s="121" t="n"/>
      <s:c r="D17120" s="121" t="n"/>
      <s:c r="E17120" s="122" t="n"/>
    </s:row>
    <s:row r="17121" hidden="1" ht="1" customHeight="1">
      <s:c r="A17121" s="120" t="inlineStr"/>
      <s:c r="B17121" s="121" t="n"/>
      <s:c r="C17121" s="121" t="n"/>
      <s:c r="D17121" s="121" t="n"/>
      <s:c r="E17121" s="122" t="n"/>
    </s:row>
    <s:row r="17122" hidden="1" ht="1" customHeight="1">
      <s:c r="A17122" s="120" t="inlineStr"/>
      <s:c r="B17122" s="121" t="n"/>
      <s:c r="C17122" s="121" t="n"/>
      <s:c r="D17122" s="121" t="n"/>
      <s:c r="E17122" s="122" t="n"/>
    </s:row>
    <s:row r="17123" hidden="1" ht="1" customHeight="1">
      <s:c r="A17123" s="120" t="inlineStr"/>
      <s:c r="B17123" s="121" t="n"/>
      <s:c r="C17123" s="121" t="n"/>
      <s:c r="D17123" s="121" t="n"/>
      <s:c r="E17123" s="122" t="n"/>
    </s:row>
    <s:row r="17124" hidden="1" ht="1" customHeight="1">
      <s:c r="A17124" s="120" t="inlineStr"/>
      <s:c r="B17124" s="121" t="n"/>
      <s:c r="C17124" s="121" t="n"/>
      <s:c r="D17124" s="121" t="n"/>
      <s:c r="E17124" s="122" t="n"/>
    </s:row>
    <s:row r="17125" hidden="1" ht="1" customHeight="1">
      <s:c r="A17125" s="120" t="inlineStr"/>
      <s:c r="B17125" s="121" t="n"/>
      <s:c r="C17125" s="121" t="n"/>
      <s:c r="D17125" s="121" t="n"/>
      <s:c r="E17125" s="122" t="n"/>
    </s:row>
    <s:row r="17126" hidden="1" ht="1" customHeight="1">
      <s:c r="A17126" s="120" t="inlineStr"/>
      <s:c r="B17126" s="121" t="n"/>
      <s:c r="C17126" s="121" t="n"/>
      <s:c r="D17126" s="121" t="n"/>
      <s:c r="E17126" s="122" t="n"/>
    </s:row>
    <s:row r="17127" hidden="1" ht="1" customHeight="1">
      <s:c r="A17127" s="120" t="inlineStr"/>
      <s:c r="B17127" s="121" t="n"/>
      <s:c r="C17127" s="121" t="n"/>
      <s:c r="D17127" s="121" t="n"/>
      <s:c r="E17127" s="122" t="n"/>
    </s:row>
    <s:row r="17128" hidden="1" ht="1" customHeight="1">
      <s:c r="A17128" s="120" t="inlineStr"/>
      <s:c r="B17128" s="121" t="n"/>
      <s:c r="C17128" s="121" t="n"/>
      <s:c r="D17128" s="121" t="n"/>
      <s:c r="E17128" s="122" t="n"/>
    </s:row>
    <s:row r="17129" hidden="1" ht="1" customHeight="1">
      <s:c r="A17129" s="120" t="inlineStr"/>
      <s:c r="B17129" s="121" t="n"/>
      <s:c r="C17129" s="121" t="n"/>
      <s:c r="D17129" s="121" t="n"/>
      <s:c r="E17129" s="122" t="n"/>
    </s:row>
    <s:row r="17130" hidden="1" ht="1" customHeight="1">
      <s:c r="A17130" s="120" t="inlineStr"/>
      <s:c r="B17130" s="121" t="n"/>
      <s:c r="C17130" s="121" t="n"/>
      <s:c r="D17130" s="121" t="n"/>
      <s:c r="E17130" s="122" t="n"/>
    </s:row>
    <s:row r="17131" hidden="1" ht="1" customHeight="1">
      <s:c r="A17131" s="120" t="inlineStr"/>
      <s:c r="B17131" s="121" t="n"/>
      <s:c r="C17131" s="121" t="n"/>
      <s:c r="D17131" s="121" t="n"/>
      <s:c r="E17131" s="122" t="n"/>
    </s:row>
    <s:row r="17132" hidden="1" ht="1" customHeight="1">
      <s:c r="A17132" s="120" t="inlineStr"/>
      <s:c r="B17132" s="121" t="n"/>
      <s:c r="C17132" s="121" t="n"/>
      <s:c r="D17132" s="121" t="n"/>
      <s:c r="E17132" s="122" t="n"/>
    </s:row>
    <s:row r="17133" hidden="1" ht="1" customHeight="1">
      <s:c r="A17133" s="120" t="inlineStr"/>
      <s:c r="B17133" s="121" t="n"/>
      <s:c r="C17133" s="121" t="n"/>
      <s:c r="D17133" s="121" t="n"/>
      <s:c r="E17133" s="122" t="n"/>
    </s:row>
    <s:row r="17134" hidden="1" ht="1" customHeight="1">
      <s:c r="A17134" s="120" t="inlineStr"/>
      <s:c r="B17134" s="121" t="n"/>
      <s:c r="C17134" s="121" t="n"/>
      <s:c r="D17134" s="121" t="n"/>
      <s:c r="E17134" s="122" t="n"/>
    </s:row>
    <s:row r="17135" hidden="1" ht="1" customHeight="1">
      <s:c r="A17135" s="120" t="inlineStr"/>
      <s:c r="B17135" s="121" t="n"/>
      <s:c r="C17135" s="121" t="n"/>
      <s:c r="D17135" s="121" t="n"/>
      <s:c r="E17135" s="122" t="n"/>
    </s:row>
    <s:row r="17136" hidden="1" ht="1" customHeight="1">
      <s:c r="A17136" s="120" t="inlineStr"/>
      <s:c r="B17136" s="121" t="n"/>
      <s:c r="C17136" s="121" t="n"/>
      <s:c r="D17136" s="121" t="n"/>
      <s:c r="E17136" s="122" t="n"/>
    </s:row>
    <s:row r="17137" hidden="1" ht="1" customHeight="1">
      <s:c r="A17137" s="120" t="inlineStr"/>
      <s:c r="B17137" s="121" t="n"/>
      <s:c r="C17137" s="121" t="n"/>
      <s:c r="D17137" s="121" t="n"/>
      <s:c r="E17137" s="122" t="n"/>
    </s:row>
    <s:row r="17138" hidden="1" ht="1" customHeight="1">
      <s:c r="A17138" s="120" t="inlineStr"/>
      <s:c r="B17138" s="121" t="n"/>
      <s:c r="C17138" s="121" t="n"/>
      <s:c r="D17138" s="121" t="n"/>
      <s:c r="E17138" s="122" t="n"/>
    </s:row>
    <s:row r="17139" hidden="1" ht="1" customHeight="1">
      <s:c r="A17139" s="120" t="inlineStr"/>
      <s:c r="B17139" s="121" t="n"/>
      <s:c r="C17139" s="121" t="n"/>
      <s:c r="D17139" s="121" t="n"/>
      <s:c r="E17139" s="122" t="n"/>
    </s:row>
    <s:row r="17140" hidden="1" ht="1" customHeight="1">
      <s:c r="A17140" s="120" t="inlineStr"/>
      <s:c r="B17140" s="121" t="n"/>
      <s:c r="C17140" s="121" t="n"/>
      <s:c r="D17140" s="121" t="n"/>
      <s:c r="E17140" s="122" t="n"/>
    </s:row>
    <s:row r="17141" hidden="1" ht="1" customHeight="1">
      <s:c r="A17141" s="120" t="inlineStr"/>
      <s:c r="B17141" s="121" t="n"/>
      <s:c r="C17141" s="121" t="n"/>
      <s:c r="D17141" s="121" t="n"/>
      <s:c r="E17141" s="122" t="n"/>
    </s:row>
    <s:row r="17142" hidden="1" ht="1" customHeight="1">
      <s:c r="A17142" s="120" t="inlineStr"/>
      <s:c r="B17142" s="121" t="n"/>
      <s:c r="C17142" s="121" t="n"/>
      <s:c r="D17142" s="121" t="n"/>
      <s:c r="E17142" s="122" t="n"/>
    </s:row>
    <s:row r="17143" hidden="1" ht="1" customHeight="1">
      <s:c r="A17143" s="120" t="inlineStr"/>
      <s:c r="B17143" s="121" t="n"/>
      <s:c r="C17143" s="121" t="n"/>
      <s:c r="D17143" s="121" t="n"/>
      <s:c r="E17143" s="122" t="n"/>
    </s:row>
    <s:row r="17144" hidden="1" ht="1" customHeight="1">
      <s:c r="A17144" s="120" t="inlineStr"/>
      <s:c r="B17144" s="121" t="n"/>
      <s:c r="C17144" s="121" t="n"/>
      <s:c r="D17144" s="121" t="n"/>
      <s:c r="E17144" s="122" t="n"/>
    </s:row>
    <s:row r="17145" hidden="1" ht="1" customHeight="1">
      <s:c r="A17145" s="120" t="inlineStr"/>
      <s:c r="B17145" s="121" t="n"/>
      <s:c r="C17145" s="121" t="n"/>
      <s:c r="D17145" s="121" t="n"/>
      <s:c r="E17145" s="122" t="n"/>
    </s:row>
    <s:row r="17146" hidden="1" ht="1" customHeight="1">
      <s:c r="A17146" s="120" t="inlineStr"/>
      <s:c r="B17146" s="121" t="n"/>
      <s:c r="C17146" s="121" t="n"/>
      <s:c r="D17146" s="121" t="n"/>
      <s:c r="E17146" s="122" t="n"/>
    </s:row>
    <s:row r="17147" hidden="1" ht="1" customHeight="1">
      <s:c r="A17147" s="120" t="inlineStr"/>
      <s:c r="B17147" s="121" t="n"/>
      <s:c r="C17147" s="121" t="n"/>
      <s:c r="D17147" s="121" t="n"/>
      <s:c r="E17147" s="122" t="n"/>
    </s:row>
    <s:row r="17148" hidden="1" ht="1" customHeight="1">
      <s:c r="A17148" s="120" t="inlineStr"/>
      <s:c r="B17148" s="121" t="n"/>
      <s:c r="C17148" s="121" t="n"/>
      <s:c r="D17148" s="121" t="n"/>
      <s:c r="E17148" s="122" t="n"/>
    </s:row>
    <s:row r="17149" hidden="1" ht="1" customHeight="1">
      <s:c r="A17149" s="120" t="inlineStr"/>
      <s:c r="B17149" s="121" t="n"/>
      <s:c r="C17149" s="121" t="n"/>
      <s:c r="D17149" s="121" t="n"/>
      <s:c r="E17149" s="122" t="n"/>
    </s:row>
    <s:row r="17150" hidden="1" ht="1" customHeight="1">
      <s:c r="A17150" s="120" t="inlineStr"/>
      <s:c r="B17150" s="121" t="n"/>
      <s:c r="C17150" s="121" t="n"/>
      <s:c r="D17150" s="121" t="n"/>
      <s:c r="E17150" s="122" t="n"/>
    </s:row>
    <s:row r="17151" hidden="1" ht="1" customHeight="1">
      <s:c r="A17151" s="120" t="inlineStr"/>
      <s:c r="B17151" s="121" t="n"/>
      <s:c r="C17151" s="121" t="n"/>
      <s:c r="D17151" s="121" t="n"/>
      <s:c r="E17151" s="122" t="n"/>
    </s:row>
    <s:row r="17152" hidden="1" ht="1" customHeight="1">
      <s:c r="A17152" s="120" t="inlineStr"/>
      <s:c r="B17152" s="121" t="n"/>
      <s:c r="C17152" s="121" t="n"/>
      <s:c r="D17152" s="121" t="n"/>
      <s:c r="E17152" s="122" t="n"/>
    </s:row>
    <s:row r="17153" hidden="1" ht="1" customHeight="1">
      <s:c r="A17153" s="120" t="inlineStr"/>
      <s:c r="B17153" s="121" t="n"/>
      <s:c r="C17153" s="121" t="n"/>
      <s:c r="D17153" s="121" t="n"/>
      <s:c r="E17153" s="122" t="n"/>
    </s:row>
    <s:row r="17154" hidden="1" ht="1" customHeight="1">
      <s:c r="A17154" s="120" t="inlineStr"/>
      <s:c r="B17154" s="121" t="n"/>
      <s:c r="C17154" s="121" t="n"/>
      <s:c r="D17154" s="121" t="n"/>
      <s:c r="E17154" s="122" t="n"/>
    </s:row>
    <s:row r="17155" hidden="1" ht="1" customHeight="1">
      <s:c r="A17155" s="120" t="inlineStr"/>
      <s:c r="B17155" s="121" t="n"/>
      <s:c r="C17155" s="121" t="n"/>
      <s:c r="D17155" s="121" t="n"/>
      <s:c r="E17155" s="122" t="n"/>
    </s:row>
    <s:row r="17156" hidden="1" ht="1" customHeight="1">
      <s:c r="A17156" s="120" t="inlineStr"/>
      <s:c r="B17156" s="121" t="n"/>
      <s:c r="C17156" s="121" t="n"/>
      <s:c r="D17156" s="121" t="n"/>
      <s:c r="E17156" s="122" t="n"/>
    </s:row>
    <s:row r="17157" hidden="1" ht="1" customHeight="1">
      <s:c r="A17157" s="120" t="inlineStr"/>
      <s:c r="B17157" s="121" t="n"/>
      <s:c r="C17157" s="121" t="n"/>
      <s:c r="D17157" s="121" t="n"/>
      <s:c r="E17157" s="122" t="n"/>
    </s:row>
    <s:row r="17158" hidden="1" ht="1" customHeight="1">
      <s:c r="A17158" s="120" t="inlineStr"/>
      <s:c r="B17158" s="121" t="n"/>
      <s:c r="C17158" s="121" t="n"/>
      <s:c r="D17158" s="121" t="n"/>
      <s:c r="E17158" s="122" t="n"/>
    </s:row>
    <s:row r="17159" hidden="1" ht="1" customHeight="1">
      <s:c r="A17159" s="120" t="inlineStr"/>
      <s:c r="B17159" s="121" t="n"/>
      <s:c r="C17159" s="121" t="n"/>
      <s:c r="D17159" s="121" t="n"/>
      <s:c r="E17159" s="122" t="n"/>
    </s:row>
    <s:row r="17160" hidden="1" ht="1" customHeight="1">
      <s:c r="A17160" s="120" t="inlineStr"/>
      <s:c r="B17160" s="121" t="n"/>
      <s:c r="C17160" s="121" t="n"/>
      <s:c r="D17160" s="121" t="n"/>
      <s:c r="E17160" s="122" t="n"/>
    </s:row>
    <s:row r="17161" hidden="1" ht="1" customHeight="1">
      <s:c r="A17161" s="120" t="inlineStr"/>
      <s:c r="B17161" s="121" t="n"/>
      <s:c r="C17161" s="121" t="n"/>
      <s:c r="D17161" s="121" t="n"/>
      <s:c r="E17161" s="122" t="n"/>
    </s:row>
    <s:row r="17162" hidden="1" ht="1" customHeight="1">
      <s:c r="A17162" s="120" t="inlineStr"/>
      <s:c r="B17162" s="121" t="n"/>
      <s:c r="C17162" s="121" t="n"/>
      <s:c r="D17162" s="121" t="n"/>
      <s:c r="E17162" s="122" t="n"/>
    </s:row>
    <s:row r="17163" hidden="1" ht="1" customHeight="1">
      <s:c r="A17163" s="120" t="inlineStr"/>
      <s:c r="B17163" s="121" t="n"/>
      <s:c r="C17163" s="121" t="n"/>
      <s:c r="D17163" s="121" t="n"/>
      <s:c r="E17163" s="122" t="n"/>
    </s:row>
    <s:row r="17164" hidden="1" ht="1" customHeight="1">
      <s:c r="A17164" s="120" t="inlineStr"/>
      <s:c r="B17164" s="121" t="n"/>
      <s:c r="C17164" s="121" t="n"/>
      <s:c r="D17164" s="121" t="n"/>
      <s:c r="E17164" s="122" t="n"/>
    </s:row>
    <s:row r="17165" hidden="1" ht="1" customHeight="1">
      <s:c r="A17165" s="120" t="inlineStr"/>
      <s:c r="B17165" s="121" t="n"/>
      <s:c r="C17165" s="121" t="n"/>
      <s:c r="D17165" s="121" t="n"/>
      <s:c r="E17165" s="122" t="n"/>
    </s:row>
    <s:row r="17166" hidden="1" ht="1" customHeight="1">
      <s:c r="A17166" s="120" t="inlineStr"/>
      <s:c r="B17166" s="121" t="n"/>
      <s:c r="C17166" s="121" t="n"/>
      <s:c r="D17166" s="121" t="n"/>
      <s:c r="E17166" s="122" t="n"/>
    </s:row>
    <s:row r="17167" hidden="1" ht="1" customHeight="1">
      <s:c r="A17167" s="120" t="inlineStr"/>
      <s:c r="B17167" s="121" t="n"/>
      <s:c r="C17167" s="121" t="n"/>
      <s:c r="D17167" s="121" t="n"/>
      <s:c r="E17167" s="122" t="n"/>
    </s:row>
    <s:row r="17168" hidden="1" ht="1" customHeight="1">
      <s:c r="A17168" s="120" t="inlineStr"/>
      <s:c r="B17168" s="121" t="n"/>
      <s:c r="C17168" s="121" t="n"/>
      <s:c r="D17168" s="121" t="n"/>
      <s:c r="E17168" s="122" t="n"/>
    </s:row>
    <s:row r="17169" hidden="1" ht="1" customHeight="1">
      <s:c r="A17169" s="120" t="inlineStr"/>
      <s:c r="B17169" s="121" t="n"/>
      <s:c r="C17169" s="121" t="n"/>
      <s:c r="D17169" s="121" t="n"/>
      <s:c r="E17169" s="122" t="n"/>
    </s:row>
    <s:row r="17170" hidden="1" ht="1" customHeight="1">
      <s:c r="A17170" s="120" t="inlineStr"/>
      <s:c r="B17170" s="121" t="n"/>
      <s:c r="C17170" s="121" t="n"/>
      <s:c r="D17170" s="121" t="n"/>
      <s:c r="E17170" s="122" t="n"/>
    </s:row>
    <s:row r="17171" hidden="1" ht="1" customHeight="1">
      <s:c r="A17171" s="120" t="inlineStr"/>
      <s:c r="B17171" s="121" t="n"/>
      <s:c r="C17171" s="121" t="n"/>
      <s:c r="D17171" s="121" t="n"/>
      <s:c r="E17171" s="122" t="n"/>
    </s:row>
    <s:row r="17172" hidden="1" ht="1" customHeight="1">
      <s:c r="A17172" s="120" t="inlineStr"/>
      <s:c r="B17172" s="121" t="n"/>
      <s:c r="C17172" s="121" t="n"/>
      <s:c r="D17172" s="121" t="n"/>
      <s:c r="E17172" s="122" t="n"/>
    </s:row>
    <s:row r="17173" hidden="1" ht="1" customHeight="1">
      <s:c r="A17173" s="120" t="inlineStr"/>
      <s:c r="B17173" s="121" t="n"/>
      <s:c r="C17173" s="121" t="n"/>
      <s:c r="D17173" s="121" t="n"/>
      <s:c r="E17173" s="122" t="n"/>
    </s:row>
    <s:row r="17174" hidden="1" ht="1" customHeight="1">
      <s:c r="A17174" s="120" t="inlineStr"/>
      <s:c r="B17174" s="121" t="n"/>
      <s:c r="C17174" s="121" t="n"/>
      <s:c r="D17174" s="121" t="n"/>
      <s:c r="E17174" s="122" t="n"/>
    </s:row>
    <s:row r="17175" hidden="1" ht="1" customHeight="1">
      <s:c r="A17175" s="120" t="inlineStr"/>
      <s:c r="B17175" s="121" t="n"/>
      <s:c r="C17175" s="121" t="n"/>
      <s:c r="D17175" s="121" t="n"/>
      <s:c r="E17175" s="122" t="n"/>
    </s:row>
    <s:row r="17176" hidden="1" ht="1" customHeight="1">
      <s:c r="A17176" s="120" t="inlineStr"/>
      <s:c r="B17176" s="121" t="n"/>
      <s:c r="C17176" s="121" t="n"/>
      <s:c r="D17176" s="121" t="n"/>
      <s:c r="E17176" s="122" t="n"/>
    </s:row>
    <s:row r="17177" hidden="1" ht="1" customHeight="1">
      <s:c r="A17177" s="120" t="inlineStr"/>
      <s:c r="B17177" s="121" t="n"/>
      <s:c r="C17177" s="121" t="n"/>
      <s:c r="D17177" s="121" t="n"/>
      <s:c r="E17177" s="122" t="n"/>
    </s:row>
    <s:row r="17178" hidden="1" ht="1" customHeight="1">
      <s:c r="A17178" s="120" t="inlineStr"/>
      <s:c r="B17178" s="121" t="n"/>
      <s:c r="C17178" s="121" t="n"/>
      <s:c r="D17178" s="121" t="n"/>
      <s:c r="E17178" s="122" t="n"/>
    </s:row>
    <s:row r="17179" hidden="1" ht="1" customHeight="1">
      <s:c r="A17179" s="120" t="inlineStr"/>
      <s:c r="B17179" s="121" t="n"/>
      <s:c r="C17179" s="121" t="n"/>
      <s:c r="D17179" s="121" t="n"/>
      <s:c r="E17179" s="122" t="n"/>
    </s:row>
    <s:row r="17180" hidden="1" ht="1" customHeight="1">
      <s:c r="A17180" s="120" t="inlineStr"/>
      <s:c r="B17180" s="121" t="n"/>
      <s:c r="C17180" s="121" t="n"/>
      <s:c r="D17180" s="121" t="n"/>
      <s:c r="E17180" s="122" t="n"/>
    </s:row>
    <s:row r="17181" hidden="1" ht="1" customHeight="1">
      <s:c r="A17181" s="120" t="inlineStr"/>
      <s:c r="B17181" s="121" t="n"/>
      <s:c r="C17181" s="121" t="n"/>
      <s:c r="D17181" s="121" t="n"/>
      <s:c r="E17181" s="122" t="n"/>
    </s:row>
    <s:row r="17182" hidden="1" ht="1" customHeight="1">
      <s:c r="A17182" s="120" t="inlineStr"/>
      <s:c r="B17182" s="121" t="n"/>
      <s:c r="C17182" s="121" t="n"/>
      <s:c r="D17182" s="121" t="n"/>
      <s:c r="E17182" s="122" t="n"/>
    </s:row>
    <s:row r="17183" hidden="1" ht="1" customHeight="1">
      <s:c r="A17183" s="120" t="inlineStr"/>
      <s:c r="B17183" s="121" t="n"/>
      <s:c r="C17183" s="121" t="n"/>
      <s:c r="D17183" s="121" t="n"/>
      <s:c r="E17183" s="122" t="n"/>
    </s:row>
    <s:row r="17184" hidden="1" ht="1" customHeight="1">
      <s:c r="A17184" s="120" t="inlineStr"/>
      <s:c r="B17184" s="121" t="n"/>
      <s:c r="C17184" s="121" t="n"/>
      <s:c r="D17184" s="121" t="n"/>
      <s:c r="E17184" s="122" t="n"/>
    </s:row>
    <s:row r="17185" hidden="1" ht="1" customHeight="1">
      <s:c r="A17185" s="120" t="inlineStr"/>
      <s:c r="B17185" s="121" t="n"/>
      <s:c r="C17185" s="121" t="n"/>
      <s:c r="D17185" s="121" t="n"/>
      <s:c r="E17185" s="122" t="n"/>
    </s:row>
    <s:row r="17186" hidden="1" ht="1" customHeight="1">
      <s:c r="A17186" s="120" t="inlineStr"/>
      <s:c r="B17186" s="121" t="n"/>
      <s:c r="C17186" s="121" t="n"/>
      <s:c r="D17186" s="121" t="n"/>
      <s:c r="E17186" s="122" t="n"/>
    </s:row>
    <s:row r="17187" hidden="1" ht="1" customHeight="1">
      <s:c r="A17187" s="120" t="inlineStr"/>
      <s:c r="B17187" s="121" t="n"/>
      <s:c r="C17187" s="121" t="n"/>
      <s:c r="D17187" s="121" t="n"/>
      <s:c r="E17187" s="122" t="n"/>
    </s:row>
    <s:row r="17188" hidden="1" ht="1" customHeight="1">
      <s:c r="A17188" s="120" t="inlineStr"/>
      <s:c r="B17188" s="121" t="n"/>
      <s:c r="C17188" s="121" t="n"/>
      <s:c r="D17188" s="121" t="n"/>
      <s:c r="E17188" s="122" t="n"/>
    </s:row>
    <s:row r="17189" hidden="1" ht="1" customHeight="1">
      <s:c r="A17189" s="120" t="inlineStr"/>
      <s:c r="B17189" s="121" t="n"/>
      <s:c r="C17189" s="121" t="n"/>
      <s:c r="D17189" s="121" t="n"/>
      <s:c r="E17189" s="122" t="n"/>
    </s:row>
    <s:row r="17190" hidden="1" ht="1" customHeight="1">
      <s:c r="A17190" s="120" t="inlineStr"/>
      <s:c r="B17190" s="121" t="n"/>
      <s:c r="C17190" s="121" t="n"/>
      <s:c r="D17190" s="121" t="n"/>
      <s:c r="E17190" s="122" t="n"/>
    </s:row>
    <s:row r="17191" hidden="1" ht="1" customHeight="1">
      <s:c r="A17191" s="120" t="inlineStr"/>
      <s:c r="B17191" s="121" t="n"/>
      <s:c r="C17191" s="121" t="n"/>
      <s:c r="D17191" s="121" t="n"/>
      <s:c r="E17191" s="122" t="n"/>
    </s:row>
    <s:row r="17192" hidden="1" ht="1" customHeight="1">
      <s:c r="A17192" s="120" t="inlineStr"/>
      <s:c r="B17192" s="121" t="n"/>
      <s:c r="C17192" s="121" t="n"/>
      <s:c r="D17192" s="121" t="n"/>
      <s:c r="E17192" s="122" t="n"/>
    </s:row>
    <s:row r="17193" hidden="1" ht="1" customHeight="1">
      <s:c r="A17193" s="120" t="inlineStr"/>
      <s:c r="B17193" s="121" t="n"/>
      <s:c r="C17193" s="121" t="n"/>
      <s:c r="D17193" s="121" t="n"/>
      <s:c r="E17193" s="122" t="n"/>
    </s:row>
    <s:row r="17194" hidden="1" ht="1" customHeight="1">
      <s:c r="A17194" s="120" t="inlineStr"/>
      <s:c r="B17194" s="121" t="n"/>
      <s:c r="C17194" s="121" t="n"/>
      <s:c r="D17194" s="121" t="n"/>
      <s:c r="E17194" s="122" t="n"/>
    </s:row>
    <s:row r="17195" hidden="1" ht="1" customHeight="1">
      <s:c r="A17195" s="120" t="inlineStr"/>
      <s:c r="B17195" s="121" t="n"/>
      <s:c r="C17195" s="121" t="n"/>
      <s:c r="D17195" s="121" t="n"/>
      <s:c r="E17195" s="122" t="n"/>
    </s:row>
    <s:row r="17196" hidden="1" ht="1" customHeight="1">
      <s:c r="A17196" s="120" t="inlineStr"/>
      <s:c r="B17196" s="121" t="n"/>
      <s:c r="C17196" s="121" t="n"/>
      <s:c r="D17196" s="121" t="n"/>
      <s:c r="E17196" s="122" t="n"/>
    </s:row>
    <s:row r="17197" hidden="1" ht="1" customHeight="1">
      <s:c r="A17197" s="120" t="inlineStr"/>
      <s:c r="B17197" s="121" t="n"/>
      <s:c r="C17197" s="121" t="n"/>
      <s:c r="D17197" s="121" t="n"/>
      <s:c r="E17197" s="122" t="n"/>
    </s:row>
    <s:row r="17198" hidden="1" ht="1" customHeight="1">
      <s:c r="A17198" s="120" t="inlineStr"/>
      <s:c r="B17198" s="121" t="n"/>
      <s:c r="C17198" s="121" t="n"/>
      <s:c r="D17198" s="121" t="n"/>
      <s:c r="E17198" s="122" t="n"/>
    </s:row>
    <s:row r="17199" hidden="1" ht="1" customHeight="1">
      <s:c r="A17199" s="120" t="inlineStr"/>
      <s:c r="B17199" s="121" t="n"/>
      <s:c r="C17199" s="121" t="n"/>
      <s:c r="D17199" s="121" t="n"/>
      <s:c r="E17199" s="122" t="n"/>
    </s:row>
    <s:row r="17200" hidden="1" ht="1" customHeight="1">
      <s:c r="A17200" s="120" t="inlineStr"/>
      <s:c r="B17200" s="121" t="n"/>
      <s:c r="C17200" s="121" t="n"/>
      <s:c r="D17200" s="121" t="n"/>
      <s:c r="E17200" s="122" t="n"/>
    </s:row>
    <s:row r="17201" hidden="1" ht="1" customHeight="1">
      <s:c r="A17201" s="120" t="inlineStr"/>
      <s:c r="B17201" s="121" t="n"/>
      <s:c r="C17201" s="121" t="n"/>
      <s:c r="D17201" s="121" t="n"/>
      <s:c r="E17201" s="122" t="n"/>
    </s:row>
    <s:row r="17202" hidden="1" ht="1" customHeight="1">
      <s:c r="A17202" s="120" t="inlineStr"/>
      <s:c r="B17202" s="121" t="n"/>
      <s:c r="C17202" s="121" t="n"/>
      <s:c r="D17202" s="121" t="n"/>
      <s:c r="E17202" s="122" t="n"/>
    </s:row>
    <s:row r="17203" hidden="1" ht="1" customHeight="1">
      <s:c r="A17203" s="120" t="inlineStr"/>
      <s:c r="B17203" s="121" t="n"/>
      <s:c r="C17203" s="121" t="n"/>
      <s:c r="D17203" s="121" t="n"/>
      <s:c r="E17203" s="122" t="n"/>
    </s:row>
    <s:row r="17204" hidden="1" ht="1" customHeight="1">
      <s:c r="A17204" s="120" t="inlineStr"/>
      <s:c r="B17204" s="121" t="n"/>
      <s:c r="C17204" s="121" t="n"/>
      <s:c r="D17204" s="121" t="n"/>
      <s:c r="E17204" s="122" t="n"/>
    </s:row>
    <s:row r="17205" hidden="1" ht="1" customHeight="1">
      <s:c r="A17205" s="120" t="inlineStr"/>
      <s:c r="B17205" s="121" t="n"/>
      <s:c r="C17205" s="121" t="n"/>
      <s:c r="D17205" s="121" t="n"/>
      <s:c r="E17205" s="122" t="n"/>
    </s:row>
    <s:row r="17206" hidden="1" ht="1" customHeight="1">
      <s:c r="A17206" s="120" t="inlineStr"/>
      <s:c r="B17206" s="121" t="n"/>
      <s:c r="C17206" s="121" t="n"/>
      <s:c r="D17206" s="121" t="n"/>
      <s:c r="E17206" s="122" t="n"/>
    </s:row>
    <s:row r="17207" hidden="1" ht="1" customHeight="1">
      <s:c r="A17207" s="120" t="inlineStr"/>
      <s:c r="B17207" s="121" t="n"/>
      <s:c r="C17207" s="121" t="n"/>
      <s:c r="D17207" s="121" t="n"/>
      <s:c r="E17207" s="122" t="n"/>
    </s:row>
    <s:row r="17208" hidden="1" ht="1" customHeight="1">
      <s:c r="A17208" s="120" t="inlineStr"/>
      <s:c r="B17208" s="121" t="n"/>
      <s:c r="C17208" s="121" t="n"/>
      <s:c r="D17208" s="121" t="n"/>
      <s:c r="E17208" s="122" t="n"/>
    </s:row>
    <s:row r="17209" hidden="1" ht="1" customHeight="1">
      <s:c r="A17209" s="120" t="inlineStr"/>
      <s:c r="B17209" s="121" t="n"/>
      <s:c r="C17209" s="121" t="n"/>
      <s:c r="D17209" s="121" t="n"/>
      <s:c r="E17209" s="122" t="n"/>
    </s:row>
    <s:row r="17210" hidden="1" ht="1" customHeight="1">
      <s:c r="A17210" s="120" t="inlineStr"/>
      <s:c r="B17210" s="121" t="n"/>
      <s:c r="C17210" s="121" t="n"/>
      <s:c r="D17210" s="121" t="n"/>
      <s:c r="E17210" s="122" t="n"/>
    </s:row>
    <s:row r="17211" hidden="1" ht="1" customHeight="1">
      <s:c r="A17211" s="120" t="inlineStr"/>
      <s:c r="B17211" s="121" t="n"/>
      <s:c r="C17211" s="121" t="n"/>
      <s:c r="D17211" s="121" t="n"/>
      <s:c r="E17211" s="122" t="n"/>
    </s:row>
    <s:row r="17212" hidden="1" ht="1" customHeight="1">
      <s:c r="A17212" s="120" t="inlineStr"/>
      <s:c r="B17212" s="121" t="n"/>
      <s:c r="C17212" s="121" t="n"/>
      <s:c r="D17212" s="121" t="n"/>
      <s:c r="E17212" s="122" t="n"/>
    </s:row>
    <s:row r="17213" hidden="1" ht="1" customHeight="1">
      <s:c r="A17213" s="120" t="inlineStr"/>
      <s:c r="B17213" s="121" t="n"/>
      <s:c r="C17213" s="121" t="n"/>
      <s:c r="D17213" s="121" t="n"/>
      <s:c r="E17213" s="122" t="n"/>
    </s:row>
    <s:row r="17214" hidden="1" ht="1" customHeight="1">
      <s:c r="A17214" s="120" t="inlineStr"/>
      <s:c r="B17214" s="121" t="n"/>
      <s:c r="C17214" s="121" t="n"/>
      <s:c r="D17214" s="121" t="n"/>
      <s:c r="E17214" s="122" t="n"/>
    </s:row>
    <s:row r="17215" hidden="1" ht="1" customHeight="1">
      <s:c r="A17215" s="120" t="inlineStr"/>
      <s:c r="B17215" s="121" t="n"/>
      <s:c r="C17215" s="121" t="n"/>
      <s:c r="D17215" s="121" t="n"/>
      <s:c r="E17215" s="122" t="n"/>
    </s:row>
    <s:row r="17216" hidden="1" ht="1" customHeight="1">
      <s:c r="A17216" s="120" t="inlineStr"/>
      <s:c r="B17216" s="121" t="n"/>
      <s:c r="C17216" s="121" t="n"/>
      <s:c r="D17216" s="121" t="n"/>
      <s:c r="E17216" s="122" t="n"/>
    </s:row>
    <s:row r="17217" hidden="1" ht="1" customHeight="1">
      <s:c r="A17217" s="120" t="inlineStr"/>
      <s:c r="B17217" s="121" t="n"/>
      <s:c r="C17217" s="121" t="n"/>
      <s:c r="D17217" s="121" t="n"/>
      <s:c r="E17217" s="122" t="n"/>
    </s:row>
    <s:row r="17218" hidden="1" ht="1" customHeight="1">
      <s:c r="A17218" s="120" t="inlineStr"/>
      <s:c r="B17218" s="121" t="n"/>
      <s:c r="C17218" s="121" t="n"/>
      <s:c r="D17218" s="121" t="n"/>
      <s:c r="E17218" s="122" t="n"/>
    </s:row>
    <s:row r="17219" hidden="1" ht="1" customHeight="1">
      <s:c r="A17219" s="120" t="inlineStr"/>
      <s:c r="B17219" s="121" t="n"/>
      <s:c r="C17219" s="121" t="n"/>
      <s:c r="D17219" s="121" t="n"/>
      <s:c r="E17219" s="122" t="n"/>
    </s:row>
    <s:row r="17220" hidden="1" ht="1" customHeight="1">
      <s:c r="A17220" s="120" t="inlineStr"/>
      <s:c r="B17220" s="121" t="n"/>
      <s:c r="C17220" s="121" t="n"/>
      <s:c r="D17220" s="121" t="n"/>
      <s:c r="E17220" s="122" t="n"/>
    </s:row>
    <s:row r="17221" hidden="1" ht="1" customHeight="1">
      <s:c r="A17221" s="120" t="inlineStr"/>
      <s:c r="B17221" s="121" t="n"/>
      <s:c r="C17221" s="121" t="n"/>
      <s:c r="D17221" s="121" t="n"/>
      <s:c r="E17221" s="122" t="n"/>
    </s:row>
    <s:row r="17222" hidden="1" ht="1" customHeight="1">
      <s:c r="A17222" s="120" t="inlineStr"/>
      <s:c r="B17222" s="121" t="n"/>
      <s:c r="C17222" s="121" t="n"/>
      <s:c r="D17222" s="121" t="n"/>
      <s:c r="E17222" s="122" t="n"/>
    </s:row>
    <s:row r="17223" hidden="1" ht="1" customHeight="1">
      <s:c r="A17223" s="120" t="inlineStr"/>
      <s:c r="B17223" s="121" t="n"/>
      <s:c r="C17223" s="121" t="n"/>
      <s:c r="D17223" s="121" t="n"/>
      <s:c r="E17223" s="122" t="n"/>
    </s:row>
    <s:row r="17224" hidden="1" ht="1" customHeight="1">
      <s:c r="A17224" s="120" t="inlineStr"/>
      <s:c r="B17224" s="121" t="n"/>
      <s:c r="C17224" s="121" t="n"/>
      <s:c r="D17224" s="121" t="n"/>
      <s:c r="E17224" s="122" t="n"/>
    </s:row>
    <s:row r="17225" hidden="1" ht="1" customHeight="1">
      <s:c r="A17225" s="120" t="inlineStr"/>
      <s:c r="B17225" s="121" t="n"/>
      <s:c r="C17225" s="121" t="n"/>
      <s:c r="D17225" s="121" t="n"/>
      <s:c r="E17225" s="122" t="n"/>
    </s:row>
    <s:row r="17226" hidden="1" ht="1" customHeight="1">
      <s:c r="A17226" s="120" t="inlineStr"/>
      <s:c r="B17226" s="121" t="n"/>
      <s:c r="C17226" s="121" t="n"/>
      <s:c r="D17226" s="121" t="n"/>
      <s:c r="E17226" s="122" t="n"/>
    </s:row>
    <s:row r="17227" hidden="1" ht="1" customHeight="1">
      <s:c r="A17227" s="120" t="inlineStr"/>
      <s:c r="B17227" s="121" t="n"/>
      <s:c r="C17227" s="121" t="n"/>
      <s:c r="D17227" s="121" t="n"/>
      <s:c r="E17227" s="122" t="n"/>
    </s:row>
    <s:row r="17228" hidden="1" ht="1" customHeight="1">
      <s:c r="A17228" s="83" t="inlineStr">
        <s:is>
          <s:t>PASS</s:t>
        </s:is>
      </s:c>
      <s:c r="B17228" s="83">
        <s:f>SUM(IF(EXACT('Kiểm thử'!E17028,"Đạt"),1,0),IF(EXACT('Kiểm thử'!E17030,"Đạt"),1,0),IF(EXACT('Kiểm thử'!E17032,"Đạt"),1,0),IF(EXACT('Kiểm thử'!E17034,"Đạt"),1,0))</s:f>
        <s:v/>
      </s:c>
      <s:c r="C17228" s="19" t="n"/>
      <s:c r="D17228" s="19" t="n"/>
      <s:c r="E17228" s="19" t="n"/>
    </s:row>
    <s:row r="17229" hidden="1" ht="1" customHeight="1">
      <s:c r="A17229" s="83" t="inlineStr">
        <s:is>
          <s:t>FAIL</s:t>
        </s:is>
      </s:c>
      <s:c r="B17229" s="83">
        <s:f>SUM(IF(EXACT('Kiểm thử'!E17028,"Không đạt"),1,0),IF(EXACT('Kiểm thử'!E17030,"Không đạt"),1,0),IF(EXACT('Kiểm thử'!E17032,"Không đạt"),1,0),IF(EXACT('Kiểm thử'!E17034,"Không đạt"),1,0))</s:f>
        <s:v/>
      </s:c>
      <s:c r="C17229" s="19" t="n"/>
      <s:c r="D17229" s="19" t="n"/>
      <s:c r="E17229" s="19" t="n"/>
    </s:row>
    <s:row r="17230" hidden="1" ht="1" customHeight="1">
      <s:c r="A17230" s="83" t="inlineStr">
        <s:is>
          <s:t>BLOCKED</s:t>
        </s:is>
      </s:c>
      <s:c r="B17230" s="83">
        <s:f>SUM(IF(EXACT('Kiểm thử'!E17028,"Bị chặn"),1,0),IF(EXACT('Kiểm thử'!E17030,"Bị chặn"),1,0),IF(EXACT('Kiểm thử'!E17032,"Bị chặn"),1,0),IF(EXACT('Kiểm thử'!E17034,"Bị chặn"),1,0))</s:f>
        <s:v/>
      </s:c>
      <s:c r="C17230" s="19" t="n"/>
      <s:c r="D17230" s="19" t="n"/>
      <s:c r="E17230" s="19" t="n"/>
    </s:row>
    <s:row r="17231" hidden="1" ht="1" customHeight="1">
      <s:c r="A17231" s="83" t="inlineStr">
        <s:is>
          <s:t>SKIPPED</s:t>
        </s:is>
      </s:c>
      <s:c r="B17231" s="83">
        <s:f>SUM(IF(EXACT('Kiểm thử'!E17028,"Không thực hiện"),1,0),IF(EXACT('Kiểm thử'!E17030,"Không thực hiện"),1,0),IF(EXACT('Kiểm thử'!E17032,"Không thực hiện"),1,0),IF(EXACT('Kiểm thử'!E17034,"Không thực hiện"),1,0))</s:f>
        <s:v/>
      </s:c>
      <s:c r="C17231" s="19" t="n"/>
      <s:c r="D17231" s="19" t="n"/>
      <s:c r="E17231" s="19" t="n"/>
    </s:row>
    <s:row r="17232" hidden="1" ht="1" customHeight="1">
      <s:c r="A17232" s="83" t="inlineStr">
        <s:is>
          <s:t>NOT RUN</s:t>
        </s:is>
      </s:c>
      <s:c r="B17232" s="83">
        <s:f>SUM(IF(EXACT('Kiểm thử'!E17028,"Chưa thực hiện"),1,0),IF(EXACT('Kiểm thử'!E17030,"Chưa thực hiện"),1,0),IF(EXACT('Kiểm thử'!E17032,"Chưa thực hiện"),1,0),IF(EXACT('Kiểm thử'!E17034,"Chưa thực hiện"),1,0))</s:f>
        <s:v/>
      </s:c>
      <s:c r="C17232" s="19" t="n"/>
      <s:c r="D17232" s="19" t="n"/>
      <s:c r="E17232" s="19" t="n"/>
    </s:row>
    <s:row r="17233" hidden="1" ht="6" customHeight="1">
      <s:c r="A17233" s="83" t="inlineStr"/>
      <s:c r="B17233" s="19" t="n"/>
      <s:c r="C17233" s="19" t="n"/>
      <s:c r="D17233" s="19" t="n"/>
      <s:c r="E17233" s="19" t="n"/>
    </s:row>
    <s:row r="17234" ht="28" customHeight="1">
      <s:c r="A17234" s="108" t="inlineStr">
        <s:is>
          <s:t>TC-RS-FUNC-027 — Công khai: kết hợp hiệu ứng Điểm dự kiến（見込点） và điểm đỏ, khử trùng</s:t>
        </s:is>
      </s:c>
      <s:c r="B17234" s="111" t="n"/>
      <s:c r="C17234" s="111" t="n"/>
      <s:c r="D17234" s="111" t="n"/>
      <s:c r="E17234" s="111" t="n"/>
    </s:row>
    <s:row r="17235" ht="20" customHeight="1">
      <s:c r="A17235" s="112" t="inlineStr">
        <s:is>
          <s:t>Kết quả tình huống</s:t>
        </s:is>
      </s:c>
      <s:c r="B17235" s="113">
        <s:f>IF(SUM(IF(EXACT('Kiểm thử'!E17244,"Không đạt"),1,0),IF(EXACT('Kiểm thử'!E17246,"Không đạt"),1,0),IF(EXACT('Kiểm thử'!E17248,"Không đạt"),1,0),IF(EXACT('Kiểm thử'!E17250,"Không đạt"),1,0),IF(EXACT('Kiểm thử'!E17252,"Không đạt"),1,0),IF(EXACT('Kiểm thử'!E17254,"Không đạt"),1,0))&gt;0,"Không đạt",IF(SUM(IF(EXACT('Kiểm thử'!E17244,"Đạt"),1,0),IF(EXACT('Kiểm thử'!E17246,"Đạt"),1,0),IF(EXACT('Kiểm thử'!E17248,"Đạt"),1,0),IF(EXACT('Kiểm thử'!E17250,"Đạt"),1,0),IF(EXACT('Kiểm thử'!E17252,"Đạt"),1,0),IF(EXACT('Kiểm thử'!E17254,"Đạt"),1,0))=6,"Đạt",IF(SUM(IF(EXACT('Kiểm thử'!E17244,"Không thực hiện"),1,0),IF(EXACT('Kiểm thử'!E17246,"Không thực hiện"),1,0),IF(EXACT('Kiểm thử'!E17248,"Không thực hiện"),1,0),IF(EXACT('Kiểm thử'!E17250,"Không thực hiện"),1,0),IF(EXACT('Kiểm thử'!E17252,"Không thực hiện"),1,0),IF(EXACT('Kiểm thử'!E17254,"Không thực hiện"),1,0))=6,"Không thực hiện",IF(SUM(IF(EXACT('Kiểm thử'!E17244,"Bị chặn"),1,0),IF(EXACT('Kiểm thử'!E17246,"Bị chặn"),1,0),IF(EXACT('Kiểm thử'!E17248,"Bị chặn"),1,0),IF(EXACT('Kiểm thử'!E17250,"Bị chặn"),1,0),IF(EXACT('Kiểm thử'!E17252,"Bị chặn"),1,0),IF(EXACT('Kiểm thử'!E17254,"Bị chặn"),1,0))&gt;0,"Bị chặn",IF(SUM(IF(EXACT('Kiểm thử'!E17244,"Chưa thực hiện"),1,0),IF(EXACT('Kiểm thử'!E17246,"Chưa thực hiện"),1,0),IF(EXACT('Kiểm thử'!E17248,"Chưa thực hiện"),1,0),IF(EXACT('Kiểm thử'!E17250,"Chưa thực hiện"),1,0),IF(EXACT('Kiểm thử'!E17252,"Chưa thực hiện"),1,0),IF(EXACT('Kiểm thử'!E17254,"Chưa thực hiện"),1,0))=6,"Chưa thực hiện","Đang thực hiện")))))</s:f>
        <s:v/>
      </s:c>
      <s:c r="C17235" s="114" t="n"/>
      <s:c r="D17235" s="114" t="n"/>
      <s:c r="E17235" s="114" t="n"/>
    </s:row>
    <s:row r="17236" ht="20" customHeight="1">
      <s:c r="A17236" s="112" t="inlineStr">
        <s:is>
          <s:t>Màn hình / chức năng</s:t>
        </s:is>
      </s:c>
      <s:c r="B17236" s="113" t="inlineStr">
        <s:is>
          <s:r>
            <s:rPr>
              <s:b val="1"/>
            </s:rPr>
            <s:t>Công khai thành tích（成績公開）</s:t>
          </s:r>
        </s:is>
      </s:c>
      <s:c r="C17236" s="28" t="n"/>
      <s:c r="D17236" s="28" t="n"/>
      <s:c r="E17236" s="28" t="n"/>
    </s:row>
    <s:row r="17237" ht="20" customHeight="1">
      <s:c r="A17237" s="112" t="inlineStr">
        <s:is>
          <s:t>Cấu hình</s:t>
        </s:is>
      </s:c>
      <s:c r="B17237" s="113" t="inlineStr">
        <s:is>
          <s:r>
            <s:t xml:space="preserve">• S06 = 24, vừa </s:t>
          </s:r>
          <s:r>
            <s:rPr>
              <s:b val="1"/>
            </s:rPr>
            <s:t>là Điểm dự kiến（見込点）</s:t>
          </s:r>
          <s:r>
            <s:t xml:space="preserve"> vừa Đỏ.</s:t>
          </s:r>
        </s:is>
      </s:c>
      <s:c r="C17237" s="28" t="n"/>
      <s:c r="D17237" s="28" t="n"/>
      <s:c r="E17237" s="28" t="n"/>
    </s:row>
    <s:row r="17238" ht="34" customHeight="1">
      <s:c r="A17238" s="112" t="inlineStr">
        <s:is>
          <s:t>Vai trò / quyền</s:t>
        </s:is>
      </s:c>
      <s:c r="B17238" s="113" t="inlineStr">
        <s:is>
          <s:t>• Người có quyền cấu hình công khai;
• Xem bằng tài khoản học sinh S06 đúng trường/năm/lịch mở.</s:t>
        </s:is>
      </s:c>
      <s:c r="C17238" s="28" t="n"/>
      <s:c r="D17238" s="28" t="n"/>
      <s:c r="E17238" s="28" t="n"/>
    </s:row>
    <s:row r="17239" ht="34" customHeight="1">
      <s:c r="A17239" s="112" t="inlineStr">
        <s:is>
          <s:t>Dữ liệu test</s:t>
        </s:is>
      </s:c>
      <s:c r="B17239" s="113" t="inlineStr">
        <s:is>
          <s:t>• Học sinh S06 (điểm dự kiến 24), tài khoản học sinh S06;
• Fixture quyền phải map đúng học sinh S06, không dùng tài khoản S01 để xem dữ liệu S06.</s:t>
        </s:is>
      </s:c>
      <s:c r="C17239" s="28" t="n"/>
      <s:c r="D17239" s="28" t="n"/>
      <s:c r="E17239" s="28" t="n"/>
    </s:row>
    <s:row r="17240" ht="20" customHeight="1">
      <s:c r="A17240" s="112" t="inlineStr">
        <s:is>
          <s:t>•</s:t>
        </s:is>
      </s:c>
      <s:c r="B17240" s="113" t="inlineStr">
        <s:is>
          <s:t>Với mỗi dòng của bảng dưới, cấu hình hiệu ứng dự kiến và hiệu ứng đỏ, lưu, xem màn học sinh của S06.</s:t>
        </s:is>
      </s:c>
      <s:c r="C17240" s="28" t="n"/>
      <s:c r="D17240" s="28" t="n"/>
      <s:c r="E17240" s="28" t="n"/>
    </s:row>
    <s:row r="17241" ht="34" customHeight="1">
      <s:c r="A17241" s="112" t="inlineStr">
        <s:is>
          <s:t>•</s:t>
        </s:is>
      </s:c>
      <s:c r="B17241" s="113" t="inlineStr">
        <s:is>
          <s:r>
            <s:t xml:space="preserve">(A) Ngoặc + [*] trước; (b) [*] trước + [*] trước; (c) Ngoặc + Ngoặc; (d) [*] trước + [*] sau; (e) không trang trí + Ngoặc; (f) điểm bị ẩn theo </s:t>
          </s:r>
          <s:r>
            <s:rPr>
              <s:b val="1"/>
            </s:rPr>
            <s:t>thiết lập hiện có（表示しない）</s:t>
          </s:r>
          <s:r>
            <s:t xml:space="preserve"> + [*] trước.</s:t>
          </s:r>
        </s:is>
      </s:c>
      <s:c r="C17241" s="28" t="n"/>
      <s:c r="D17241" s="28" t="n"/>
      <s:c r="E17241" s="28" t="n"/>
    </s:row>
    <s:row r="17242" ht="28" customHeight="1">
      <s:c r="A17242" s="115" t="inlineStr">
        <s:is>
          <s:t>Trường hợp</s:t>
        </s:is>
      </s:c>
      <s:c r="B17242" s="115" t="inlineStr">
        <s:is>
          <s:t>Dữ liệu / thao tác riêng</s:t>
        </s:is>
      </s:c>
      <s:c r="C17242" s="115" t="inlineStr">
        <s:is>
          <s:t>Kết quả mong đợi</s:t>
        </s:is>
      </s:c>
      <s:c r="D17242" s="115" t="inlineStr">
        <s:is>
          <s:t>Kết quả thực tế</s:t>
        </s:is>
      </s:c>
      <s:c r="E17242" s="115" t="inlineStr">
        <s:is>
          <s:t>Đánh giá</s:t>
        </s:is>
      </s:c>
    </s:row>
    <s:row r="17243" ht="3" customHeight="1">
      <s:c r="A17243" s="102" t="inlineStr"/>
      <s:c r="B17243" s="99" t="n"/>
      <s:c r="C17243" s="99" t="n"/>
      <s:c r="D17243" s="116" t="n"/>
      <s:c r="E17243" s="116" t="n"/>
    </s:row>
    <s:row r="17244" ht="62" customHeight="1">
      <s:c r="A17244" s="83" t="inlineStr">
        <s:is>
          <s:t>Ngoặc dự kiến và ký hiệu đỏ phía trước (a)</s:t>
        </s:is>
      </s:c>
      <s:c r="B17244" s="83" t="inlineStr">
        <s:is>
          <s:r>
            <s:t xml:space="preserve">S06=24 </s:t>
          </s:r>
          <s:r>
            <s:rPr>
              <s:b val="1"/>
            </s:rPr>
            <s:t>vừa Điểm dự kiến（見込点）</s:t>
          </s:r>
          <s:r>
            <s:t xml:space="preserve"> vừa Đỏ; hiệu ứng Ngoặc + [*] trước. Lưu và xem bằng tài khoản S06.</s:t>
          </s:r>
        </s:is>
      </s:c>
      <s:c r="C17244" s="83" t="inlineStr">
        <s:is>
          <s:t>Hiển thị [(*24)]; giữ identity/quyền của S06, không dùng tài khoản S01 để xem S06.</s:t>
        </s:is>
      </s:c>
      <s:c r="D17244" s="117" t="inlineStr"/>
      <s:c r="E17244" s="118" t="inlineStr">
        <s:is>
          <s:t>Chưa thực hiện</s:t>
        </s:is>
      </s:c>
    </s:row>
    <s:row r="17245" ht="3" customHeight="1">
      <s:c r="A17245" s="102" t="inlineStr"/>
      <s:c r="B17245" s="99" t="n"/>
      <s:c r="C17245" s="99" t="n"/>
      <s:c r="D17245" s="116" t="n"/>
      <s:c r="E17245" s="116" t="n"/>
    </s:row>
    <s:row r="17246" ht="62" customHeight="1">
      <s:c r="A17246" s="83" t="inlineStr">
        <s:is>
          <s:t>Cùng ký hiệu phía trước (b)</s:t>
        </s:is>
      </s:c>
      <s:c r="B17246" s="83" t="inlineStr">
        <s:is>
          <s:r>
            <s:t xml:space="preserve">S06=24 </s:t>
          </s:r>
          <s:r>
            <s:rPr>
              <s:b val="1"/>
            </s:rPr>
            <s:t>vừa Điểm dự kiến（見込点）</s:t>
          </s:r>
          <s:r>
            <s:t xml:space="preserve"> vừa Đỏ; hiệu ứng [*] trước + [*] trước. Lưu và xem bằng tài khoản S06.</s:t>
          </s:r>
        </s:is>
      </s:c>
      <s:c r="C17246" s="83" t="inlineStr">
        <s:is>
          <s:t>Hiển thị [*24], không phải [**24]; giữ identity/quyền của S06, không dùng tài khoản S01 để xem S06.</s:t>
        </s:is>
      </s:c>
      <s:c r="D17246" s="117" t="inlineStr"/>
      <s:c r="E17246" s="118" t="inlineStr">
        <s:is>
          <s:t>Chưa thực hiện</s:t>
        </s:is>
      </s:c>
    </s:row>
    <s:row r="17247" ht="3" customHeight="1">
      <s:c r="A17247" s="102" t="inlineStr"/>
      <s:c r="B17247" s="99" t="n"/>
      <s:c r="C17247" s="99" t="n"/>
      <s:c r="D17247" s="116" t="n"/>
      <s:c r="E17247" s="116" t="n"/>
    </s:row>
    <s:row r="17248" ht="48" customHeight="1">
      <s:c r="A17248" s="83" t="inlineStr">
        <s:is>
          <s:t>Cùng hiệu ứng ngoặc (c)</s:t>
        </s:is>
      </s:c>
      <s:c r="B17248" s="83" t="inlineStr">
        <s:is>
          <s:r>
            <s:t xml:space="preserve">S06=24 </s:t>
          </s:r>
          <s:r>
            <s:rPr>
              <s:b val="1"/>
            </s:rPr>
            <s:t>vừa Điểm dự kiến（見込点）</s:t>
          </s:r>
          <s:r>
            <s:t xml:space="preserve"> vừa Đỏ; hiệu ứng Ngoặc + Ngoặc. Lưu và xem bằng tài khoản S06.</s:t>
          </s:r>
        </s:is>
      </s:c>
      <s:c r="C17248" s="83" t="inlineStr">
        <s:is>
          <s:t>Hiển thị [(24)], không phải [((24))]; giữ identity/quyền của S06, không dùng tài khoản S01 để xem S06.</s:t>
        </s:is>
      </s:c>
      <s:c r="D17248" s="117" t="inlineStr"/>
      <s:c r="E17248" s="118" t="inlineStr">
        <s:is>
          <s:t>Chưa thực hiện</s:t>
        </s:is>
      </s:c>
    </s:row>
    <s:row r="17249" ht="3" customHeight="1">
      <s:c r="A17249" s="102" t="inlineStr"/>
      <s:c r="B17249" s="99" t="n"/>
      <s:c r="C17249" s="99" t="n"/>
      <s:c r="D17249" s="116" t="n"/>
      <s:c r="E17249" s="116" t="n"/>
    </s:row>
    <s:row r="17250" ht="62" customHeight="1">
      <s:c r="A17250" s="83" t="inlineStr">
        <s:is>
          <s:t>Ký hiệu ở hai phía (d)</s:t>
        </s:is>
      </s:c>
      <s:c r="B17250" s="83" t="inlineStr">
        <s:is>
          <s:r>
            <s:t xml:space="preserve">S06=24 </s:t>
          </s:r>
          <s:r>
            <s:rPr>
              <s:b val="1"/>
            </s:rPr>
            <s:t>vừa Điểm dự kiến（見込点）</s:t>
          </s:r>
          <s:r>
            <s:t xml:space="preserve"> vừa Đỏ; hiệu ứng [*] trước + [*] sau. Lưu và xem bằng tài khoản S06.</s:t>
          </s:r>
        </s:is>
      </s:c>
      <s:c r="C17250" s="83" t="inlineStr">
        <s:is>
          <s:t>Hiển thị [*24*]; giữ identity/quyền của S06, không dùng tài khoản S01 để xem S06.</s:t>
        </s:is>
      </s:c>
      <s:c r="D17250" s="117" t="inlineStr"/>
      <s:c r="E17250" s="118" t="inlineStr">
        <s:is>
          <s:t>Chưa thực hiện</s:t>
        </s:is>
      </s:c>
    </s:row>
    <s:row r="17251" ht="3" customHeight="1">
      <s:c r="A17251" s="102" t="inlineStr"/>
      <s:c r="B17251" s="99" t="n"/>
      <s:c r="C17251" s="99" t="n"/>
      <s:c r="D17251" s="116" t="n"/>
      <s:c r="E17251" s="116" t="n"/>
    </s:row>
    <s:row r="17252" ht="62" customHeight="1">
      <s:c r="A17252" s="83" t="inlineStr">
        <s:is>
          <s:t>Chỉ ngoặc đỏ (e)</s:t>
        </s:is>
      </s:c>
      <s:c r="B17252" s="83" t="inlineStr">
        <s:is>
          <s:r>
            <s:t xml:space="preserve">S06=24 </s:t>
          </s:r>
          <s:r>
            <s:rPr>
              <s:b val="1"/>
            </s:rPr>
            <s:t>vừa Điểm dự kiến（見込点）</s:t>
          </s:r>
          <s:r>
            <s:t xml:space="preserve"> vừa Đỏ; hiệu ứng Dự kiến không trang trí + đỏ Ngoặc. Lưu và xem bằng tài khoản S06.</s:t>
          </s:r>
        </s:is>
      </s:c>
      <s:c r="C17252" s="83" t="inlineStr">
        <s:is>
          <s:t>Hiển thị [(24)]; giữ identity/quyền của S06, không dùng tài khoản S01 để xem S06.</s:t>
        </s:is>
      </s:c>
      <s:c r="D17252" s="117" t="inlineStr"/>
      <s:c r="E17252" s="118" t="inlineStr">
        <s:is>
          <s:t>Chưa thực hiện</s:t>
        </s:is>
      </s:c>
    </s:row>
    <s:row r="17253" ht="3" customHeight="1">
      <s:c r="A17253" s="102" t="inlineStr"/>
      <s:c r="B17253" s="99" t="n"/>
      <s:c r="C17253" s="99" t="n"/>
      <s:c r="D17253" s="116" t="n"/>
      <s:c r="E17253" s="116" t="n"/>
    </s:row>
    <s:row r="17254" ht="76" customHeight="1">
      <s:c r="A17254" s="83" t="inlineStr">
        <s:is>
          <s:t>Điểm ẩn (f)</s:t>
        </s:is>
      </s:c>
      <s:c r="B17254" s="83" t="inlineStr">
        <s:is>
          <s:r>
            <s:t xml:space="preserve">S06=24 </s:t>
          </s:r>
          <s:r>
            <s:rPr>
              <s:b val="1"/>
            </s:rPr>
            <s:t>vừa Điểm dự kiến（見込点）</s:t>
          </s:r>
          <s:r>
            <s:t xml:space="preserve"> vừa Đỏ; hiệu ứng Điểm bị ẩn theo </s:t>
          </s:r>
          <s:r>
            <s:rPr>
              <s:b val="1"/>
            </s:rPr>
            <s:t>thiết lập hiện có（表示しない）</s:t>
          </s:r>
          <s:r>
            <s:t xml:space="preserve"> + đỏ [*] trước. Lưu và xem bằng tài khoản S06.</s:t>
          </s:r>
        </s:is>
      </s:c>
      <s:c r="C17254" s="83" t="inlineStr">
        <s:is>
          <s:t>Hiển thị Điểm vẫn ẩn, không hiện số hoặc để riêng dấu [*]; giữ identity/quyền của S06, không dùng tài khoản S01 để xem S06.</s:t>
        </s:is>
      </s:c>
      <s:c r="D17254" s="117" t="inlineStr"/>
      <s:c r="E17254" s="118" t="inlineStr">
        <s:is>
          <s:t>Chưa thực hiện</s:t>
        </s:is>
      </s:c>
    </s:row>
    <s:row r="17255" ht="20" customHeight="1">
      <s:c r="A17255" s="119" t="inlineStr">
        <s:is>
          <s:t>Ảnh minh chứng — Chưa có ảnh</s:t>
        </s:is>
      </s:c>
      <s:c r="B17255" s="19" t="n"/>
      <s:c r="C17255" s="19" t="n"/>
      <s:c r="D17255" s="19" t="n"/>
      <s:c r="E17255" s="19" t="n"/>
    </s:row>
    <s:row r="17256" hidden="1" ht="1" customHeight="1">
      <s:c r="A17256" s="120" t="inlineStr"/>
      <s:c r="B17256" s="121" t="n"/>
      <s:c r="C17256" s="121" t="n"/>
      <s:c r="D17256" s="121" t="n"/>
      <s:c r="E17256" s="122" t="n"/>
    </s:row>
    <s:row r="17257" hidden="1" ht="1" customHeight="1">
      <s:c r="A17257" s="120" t="inlineStr"/>
      <s:c r="B17257" s="121" t="n"/>
      <s:c r="C17257" s="121" t="n"/>
      <s:c r="D17257" s="121" t="n"/>
      <s:c r="E17257" s="122" t="n"/>
    </s:row>
    <s:row r="17258" hidden="1" ht="1" customHeight="1">
      <s:c r="A17258" s="120" t="inlineStr"/>
      <s:c r="B17258" s="121" t="n"/>
      <s:c r="C17258" s="121" t="n"/>
      <s:c r="D17258" s="121" t="n"/>
      <s:c r="E17258" s="122" t="n"/>
    </s:row>
    <s:row r="17259" hidden="1" ht="1" customHeight="1">
      <s:c r="A17259" s="120" t="inlineStr"/>
      <s:c r="B17259" s="121" t="n"/>
      <s:c r="C17259" s="121" t="n"/>
      <s:c r="D17259" s="121" t="n"/>
      <s:c r="E17259" s="122" t="n"/>
    </s:row>
    <s:row r="17260" hidden="1" ht="1" customHeight="1">
      <s:c r="A17260" s="120" t="inlineStr"/>
      <s:c r="B17260" s="121" t="n"/>
      <s:c r="C17260" s="121" t="n"/>
      <s:c r="D17260" s="121" t="n"/>
      <s:c r="E17260" s="122" t="n"/>
    </s:row>
    <s:row r="17261" hidden="1" ht="1" customHeight="1">
      <s:c r="A17261" s="120" t="inlineStr"/>
      <s:c r="B17261" s="121" t="n"/>
      <s:c r="C17261" s="121" t="n"/>
      <s:c r="D17261" s="121" t="n"/>
      <s:c r="E17261" s="122" t="n"/>
    </s:row>
    <s:row r="17262" hidden="1" ht="1" customHeight="1">
      <s:c r="A17262" s="120" t="inlineStr"/>
      <s:c r="B17262" s="121" t="n"/>
      <s:c r="C17262" s="121" t="n"/>
      <s:c r="D17262" s="121" t="n"/>
      <s:c r="E17262" s="122" t="n"/>
    </s:row>
    <s:row r="17263" hidden="1" ht="1" customHeight="1">
      <s:c r="A17263" s="120" t="inlineStr"/>
      <s:c r="B17263" s="121" t="n"/>
      <s:c r="C17263" s="121" t="n"/>
      <s:c r="D17263" s="121" t="n"/>
      <s:c r="E17263" s="122" t="n"/>
    </s:row>
    <s:row r="17264" hidden="1" ht="1" customHeight="1">
      <s:c r="A17264" s="120" t="inlineStr"/>
      <s:c r="B17264" s="121" t="n"/>
      <s:c r="C17264" s="121" t="n"/>
      <s:c r="D17264" s="121" t="n"/>
      <s:c r="E17264" s="122" t="n"/>
    </s:row>
    <s:row r="17265" hidden="1" ht="1" customHeight="1">
      <s:c r="A17265" s="120" t="inlineStr"/>
      <s:c r="B17265" s="121" t="n"/>
      <s:c r="C17265" s="121" t="n"/>
      <s:c r="D17265" s="121" t="n"/>
      <s:c r="E17265" s="122" t="n"/>
    </s:row>
    <s:row r="17266" hidden="1" ht="1" customHeight="1">
      <s:c r="A17266" s="120" t="inlineStr"/>
      <s:c r="B17266" s="121" t="n"/>
      <s:c r="C17266" s="121" t="n"/>
      <s:c r="D17266" s="121" t="n"/>
      <s:c r="E17266" s="122" t="n"/>
    </s:row>
    <s:row r="17267" hidden="1" ht="1" customHeight="1">
      <s:c r="A17267" s="120" t="inlineStr"/>
      <s:c r="B17267" s="121" t="n"/>
      <s:c r="C17267" s="121" t="n"/>
      <s:c r="D17267" s="121" t="n"/>
      <s:c r="E17267" s="122" t="n"/>
    </s:row>
    <s:row r="17268" hidden="1" ht="1" customHeight="1">
      <s:c r="A17268" s="120" t="inlineStr"/>
      <s:c r="B17268" s="121" t="n"/>
      <s:c r="C17268" s="121" t="n"/>
      <s:c r="D17268" s="121" t="n"/>
      <s:c r="E17268" s="122" t="n"/>
    </s:row>
    <s:row r="17269" hidden="1" ht="1" customHeight="1">
      <s:c r="A17269" s="120" t="inlineStr"/>
      <s:c r="B17269" s="121" t="n"/>
      <s:c r="C17269" s="121" t="n"/>
      <s:c r="D17269" s="121" t="n"/>
      <s:c r="E17269" s="122" t="n"/>
    </s:row>
    <s:row r="17270" hidden="1" ht="1" customHeight="1">
      <s:c r="A17270" s="120" t="inlineStr"/>
      <s:c r="B17270" s="121" t="n"/>
      <s:c r="C17270" s="121" t="n"/>
      <s:c r="D17270" s="121" t="n"/>
      <s:c r="E17270" s="122" t="n"/>
    </s:row>
    <s:row r="17271" hidden="1" ht="1" customHeight="1">
      <s:c r="A17271" s="120" t="inlineStr"/>
      <s:c r="B17271" s="121" t="n"/>
      <s:c r="C17271" s="121" t="n"/>
      <s:c r="D17271" s="121" t="n"/>
      <s:c r="E17271" s="122" t="n"/>
    </s:row>
    <s:row r="17272" hidden="1" ht="1" customHeight="1">
      <s:c r="A17272" s="120" t="inlineStr"/>
      <s:c r="B17272" s="121" t="n"/>
      <s:c r="C17272" s="121" t="n"/>
      <s:c r="D17272" s="121" t="n"/>
      <s:c r="E17272" s="122" t="n"/>
    </s:row>
    <s:row r="17273" hidden="1" ht="1" customHeight="1">
      <s:c r="A17273" s="120" t="inlineStr"/>
      <s:c r="B17273" s="121" t="n"/>
      <s:c r="C17273" s="121" t="n"/>
      <s:c r="D17273" s="121" t="n"/>
      <s:c r="E17273" s="122" t="n"/>
    </s:row>
    <s:row r="17274" hidden="1" ht="1" customHeight="1">
      <s:c r="A17274" s="120" t="inlineStr"/>
      <s:c r="B17274" s="121" t="n"/>
      <s:c r="C17274" s="121" t="n"/>
      <s:c r="D17274" s="121" t="n"/>
      <s:c r="E17274" s="122" t="n"/>
    </s:row>
    <s:row r="17275" hidden="1" ht="1" customHeight="1">
      <s:c r="A17275" s="120" t="inlineStr"/>
      <s:c r="B17275" s="121" t="n"/>
      <s:c r="C17275" s="121" t="n"/>
      <s:c r="D17275" s="121" t="n"/>
      <s:c r="E17275" s="122" t="n"/>
    </s:row>
    <s:row r="17276" hidden="1" ht="1" customHeight="1">
      <s:c r="A17276" s="120" t="inlineStr"/>
      <s:c r="B17276" s="121" t="n"/>
      <s:c r="C17276" s="121" t="n"/>
      <s:c r="D17276" s="121" t="n"/>
      <s:c r="E17276" s="122" t="n"/>
    </s:row>
    <s:row r="17277" hidden="1" ht="1" customHeight="1">
      <s:c r="A17277" s="120" t="inlineStr"/>
      <s:c r="B17277" s="121" t="n"/>
      <s:c r="C17277" s="121" t="n"/>
      <s:c r="D17277" s="121" t="n"/>
      <s:c r="E17277" s="122" t="n"/>
    </s:row>
    <s:row r="17278" hidden="1" ht="1" customHeight="1">
      <s:c r="A17278" s="120" t="inlineStr"/>
      <s:c r="B17278" s="121" t="n"/>
      <s:c r="C17278" s="121" t="n"/>
      <s:c r="D17278" s="121" t="n"/>
      <s:c r="E17278" s="122" t="n"/>
    </s:row>
    <s:row r="17279" hidden="1" ht="1" customHeight="1">
      <s:c r="A17279" s="120" t="inlineStr"/>
      <s:c r="B17279" s="121" t="n"/>
      <s:c r="C17279" s="121" t="n"/>
      <s:c r="D17279" s="121" t="n"/>
      <s:c r="E17279" s="122" t="n"/>
    </s:row>
    <s:row r="17280" hidden="1" ht="1" customHeight="1">
      <s:c r="A17280" s="120" t="inlineStr"/>
      <s:c r="B17280" s="121" t="n"/>
      <s:c r="C17280" s="121" t="n"/>
      <s:c r="D17280" s="121" t="n"/>
      <s:c r="E17280" s="122" t="n"/>
    </s:row>
    <s:row r="17281" hidden="1" ht="1" customHeight="1">
      <s:c r="A17281" s="120" t="inlineStr"/>
      <s:c r="B17281" s="121" t="n"/>
      <s:c r="C17281" s="121" t="n"/>
      <s:c r="D17281" s="121" t="n"/>
      <s:c r="E17281" s="122" t="n"/>
    </s:row>
    <s:row r="17282" hidden="1" ht="1" customHeight="1">
      <s:c r="A17282" s="120" t="inlineStr"/>
      <s:c r="B17282" s="121" t="n"/>
      <s:c r="C17282" s="121" t="n"/>
      <s:c r="D17282" s="121" t="n"/>
      <s:c r="E17282" s="122" t="n"/>
    </s:row>
    <s:row r="17283" hidden="1" ht="1" customHeight="1">
      <s:c r="A17283" s="120" t="inlineStr"/>
      <s:c r="B17283" s="121" t="n"/>
      <s:c r="C17283" s="121" t="n"/>
      <s:c r="D17283" s="121" t="n"/>
      <s:c r="E17283" s="122" t="n"/>
    </s:row>
    <s:row r="17284" hidden="1" ht="1" customHeight="1">
      <s:c r="A17284" s="120" t="inlineStr"/>
      <s:c r="B17284" s="121" t="n"/>
      <s:c r="C17284" s="121" t="n"/>
      <s:c r="D17284" s="121" t="n"/>
      <s:c r="E17284" s="122" t="n"/>
    </s:row>
    <s:row r="17285" hidden="1" ht="1" customHeight="1">
      <s:c r="A17285" s="120" t="inlineStr"/>
      <s:c r="B17285" s="121" t="n"/>
      <s:c r="C17285" s="121" t="n"/>
      <s:c r="D17285" s="121" t="n"/>
      <s:c r="E17285" s="122" t="n"/>
    </s:row>
    <s:row r="17286" hidden="1" ht="1" customHeight="1">
      <s:c r="A17286" s="120" t="inlineStr"/>
      <s:c r="B17286" s="121" t="n"/>
      <s:c r="C17286" s="121" t="n"/>
      <s:c r="D17286" s="121" t="n"/>
      <s:c r="E17286" s="122" t="n"/>
    </s:row>
    <s:row r="17287" hidden="1" ht="1" customHeight="1">
      <s:c r="A17287" s="120" t="inlineStr"/>
      <s:c r="B17287" s="121" t="n"/>
      <s:c r="C17287" s="121" t="n"/>
      <s:c r="D17287" s="121" t="n"/>
      <s:c r="E17287" s="122" t="n"/>
    </s:row>
    <s:row r="17288" hidden="1" ht="1" customHeight="1">
      <s:c r="A17288" s="120" t="inlineStr"/>
      <s:c r="B17288" s="121" t="n"/>
      <s:c r="C17288" s="121" t="n"/>
      <s:c r="D17288" s="121" t="n"/>
      <s:c r="E17288" s="122" t="n"/>
    </s:row>
    <s:row r="17289" hidden="1" ht="1" customHeight="1">
      <s:c r="A17289" s="120" t="inlineStr"/>
      <s:c r="B17289" s="121" t="n"/>
      <s:c r="C17289" s="121" t="n"/>
      <s:c r="D17289" s="121" t="n"/>
      <s:c r="E17289" s="122" t="n"/>
    </s:row>
    <s:row r="17290" hidden="1" ht="1" customHeight="1">
      <s:c r="A17290" s="120" t="inlineStr"/>
      <s:c r="B17290" s="121" t="n"/>
      <s:c r="C17290" s="121" t="n"/>
      <s:c r="D17290" s="121" t="n"/>
      <s:c r="E17290" s="122" t="n"/>
    </s:row>
    <s:row r="17291" hidden="1" ht="1" customHeight="1">
      <s:c r="A17291" s="120" t="inlineStr"/>
      <s:c r="B17291" s="121" t="n"/>
      <s:c r="C17291" s="121" t="n"/>
      <s:c r="D17291" s="121" t="n"/>
      <s:c r="E17291" s="122" t="n"/>
    </s:row>
    <s:row r="17292" hidden="1" ht="1" customHeight="1">
      <s:c r="A17292" s="120" t="inlineStr"/>
      <s:c r="B17292" s="121" t="n"/>
      <s:c r="C17292" s="121" t="n"/>
      <s:c r="D17292" s="121" t="n"/>
      <s:c r="E17292" s="122" t="n"/>
    </s:row>
    <s:row r="17293" hidden="1" ht="1" customHeight="1">
      <s:c r="A17293" s="120" t="inlineStr"/>
      <s:c r="B17293" s="121" t="n"/>
      <s:c r="C17293" s="121" t="n"/>
      <s:c r="D17293" s="121" t="n"/>
      <s:c r="E17293" s="122" t="n"/>
    </s:row>
    <s:row r="17294" hidden="1" ht="1" customHeight="1">
      <s:c r="A17294" s="120" t="inlineStr"/>
      <s:c r="B17294" s="121" t="n"/>
      <s:c r="C17294" s="121" t="n"/>
      <s:c r="D17294" s="121" t="n"/>
      <s:c r="E17294" s="122" t="n"/>
    </s:row>
    <s:row r="17295" hidden="1" ht="1" customHeight="1">
      <s:c r="A17295" s="120" t="inlineStr"/>
      <s:c r="B17295" s="121" t="n"/>
      <s:c r="C17295" s="121" t="n"/>
      <s:c r="D17295" s="121" t="n"/>
      <s:c r="E17295" s="122" t="n"/>
    </s:row>
    <s:row r="17296" hidden="1" ht="1" customHeight="1">
      <s:c r="A17296" s="120" t="inlineStr"/>
      <s:c r="B17296" s="121" t="n"/>
      <s:c r="C17296" s="121" t="n"/>
      <s:c r="D17296" s="121" t="n"/>
      <s:c r="E17296" s="122" t="n"/>
    </s:row>
    <s:row r="17297" hidden="1" ht="1" customHeight="1">
      <s:c r="A17297" s="120" t="inlineStr"/>
      <s:c r="B17297" s="121" t="n"/>
      <s:c r="C17297" s="121" t="n"/>
      <s:c r="D17297" s="121" t="n"/>
      <s:c r="E17297" s="122" t="n"/>
    </s:row>
    <s:row r="17298" hidden="1" ht="1" customHeight="1">
      <s:c r="A17298" s="120" t="inlineStr"/>
      <s:c r="B17298" s="121" t="n"/>
      <s:c r="C17298" s="121" t="n"/>
      <s:c r="D17298" s="121" t="n"/>
      <s:c r="E17298" s="122" t="n"/>
    </s:row>
    <s:row r="17299" hidden="1" ht="1" customHeight="1">
      <s:c r="A17299" s="120" t="inlineStr"/>
      <s:c r="B17299" s="121" t="n"/>
      <s:c r="C17299" s="121" t="n"/>
      <s:c r="D17299" s="121" t="n"/>
      <s:c r="E17299" s="122" t="n"/>
    </s:row>
    <s:row r="17300" hidden="1" ht="1" customHeight="1">
      <s:c r="A17300" s="120" t="inlineStr"/>
      <s:c r="B17300" s="121" t="n"/>
      <s:c r="C17300" s="121" t="n"/>
      <s:c r="D17300" s="121" t="n"/>
      <s:c r="E17300" s="122" t="n"/>
    </s:row>
    <s:row r="17301" hidden="1" ht="1" customHeight="1">
      <s:c r="A17301" s="120" t="inlineStr"/>
      <s:c r="B17301" s="121" t="n"/>
      <s:c r="C17301" s="121" t="n"/>
      <s:c r="D17301" s="121" t="n"/>
      <s:c r="E17301" s="122" t="n"/>
    </s:row>
    <s:row r="17302" hidden="1" ht="1" customHeight="1">
      <s:c r="A17302" s="120" t="inlineStr"/>
      <s:c r="B17302" s="121" t="n"/>
      <s:c r="C17302" s="121" t="n"/>
      <s:c r="D17302" s="121" t="n"/>
      <s:c r="E17302" s="122" t="n"/>
    </s:row>
    <s:row r="17303" hidden="1" ht="1" customHeight="1">
      <s:c r="A17303" s="120" t="inlineStr"/>
      <s:c r="B17303" s="121" t="n"/>
      <s:c r="C17303" s="121" t="n"/>
      <s:c r="D17303" s="121" t="n"/>
      <s:c r="E17303" s="122" t="n"/>
    </s:row>
    <s:row r="17304" hidden="1" ht="1" customHeight="1">
      <s:c r="A17304" s="120" t="inlineStr"/>
      <s:c r="B17304" s="121" t="n"/>
      <s:c r="C17304" s="121" t="n"/>
      <s:c r="D17304" s="121" t="n"/>
      <s:c r="E17304" s="122" t="n"/>
    </s:row>
    <s:row r="17305" hidden="1" ht="1" customHeight="1">
      <s:c r="A17305" s="120" t="inlineStr"/>
      <s:c r="B17305" s="121" t="n"/>
      <s:c r="C17305" s="121" t="n"/>
      <s:c r="D17305" s="121" t="n"/>
      <s:c r="E17305" s="122" t="n"/>
    </s:row>
    <s:row r="17306" hidden="1" ht="1" customHeight="1">
      <s:c r="A17306" s="120" t="inlineStr"/>
      <s:c r="B17306" s="121" t="n"/>
      <s:c r="C17306" s="121" t="n"/>
      <s:c r="D17306" s="121" t="n"/>
      <s:c r="E17306" s="122" t="n"/>
    </s:row>
    <s:row r="17307" hidden="1" ht="1" customHeight="1">
      <s:c r="A17307" s="120" t="inlineStr"/>
      <s:c r="B17307" s="121" t="n"/>
      <s:c r="C17307" s="121" t="n"/>
      <s:c r="D17307" s="121" t="n"/>
      <s:c r="E17307" s="122" t="n"/>
    </s:row>
    <s:row r="17308" hidden="1" ht="1" customHeight="1">
      <s:c r="A17308" s="120" t="inlineStr"/>
      <s:c r="B17308" s="121" t="n"/>
      <s:c r="C17308" s="121" t="n"/>
      <s:c r="D17308" s="121" t="n"/>
      <s:c r="E17308" s="122" t="n"/>
    </s:row>
    <s:row r="17309" hidden="1" ht="1" customHeight="1">
      <s:c r="A17309" s="120" t="inlineStr"/>
      <s:c r="B17309" s="121" t="n"/>
      <s:c r="C17309" s="121" t="n"/>
      <s:c r="D17309" s="121" t="n"/>
      <s:c r="E17309" s="122" t="n"/>
    </s:row>
    <s:row r="17310" hidden="1" ht="1" customHeight="1">
      <s:c r="A17310" s="120" t="inlineStr"/>
      <s:c r="B17310" s="121" t="n"/>
      <s:c r="C17310" s="121" t="n"/>
      <s:c r="D17310" s="121" t="n"/>
      <s:c r="E17310" s="122" t="n"/>
    </s:row>
    <s:row r="17311" hidden="1" ht="1" customHeight="1">
      <s:c r="A17311" s="120" t="inlineStr"/>
      <s:c r="B17311" s="121" t="n"/>
      <s:c r="C17311" s="121" t="n"/>
      <s:c r="D17311" s="121" t="n"/>
      <s:c r="E17311" s="122" t="n"/>
    </s:row>
    <s:row r="17312" hidden="1" ht="1" customHeight="1">
      <s:c r="A17312" s="120" t="inlineStr"/>
      <s:c r="B17312" s="121" t="n"/>
      <s:c r="C17312" s="121" t="n"/>
      <s:c r="D17312" s="121" t="n"/>
      <s:c r="E17312" s="122" t="n"/>
    </s:row>
    <s:row r="17313" hidden="1" ht="1" customHeight="1">
      <s:c r="A17313" s="120" t="inlineStr"/>
      <s:c r="B17313" s="121" t="n"/>
      <s:c r="C17313" s="121" t="n"/>
      <s:c r="D17313" s="121" t="n"/>
      <s:c r="E17313" s="122" t="n"/>
    </s:row>
    <s:row r="17314" hidden="1" ht="1" customHeight="1">
      <s:c r="A17314" s="120" t="inlineStr"/>
      <s:c r="B17314" s="121" t="n"/>
      <s:c r="C17314" s="121" t="n"/>
      <s:c r="D17314" s="121" t="n"/>
      <s:c r="E17314" s="122" t="n"/>
    </s:row>
    <s:row r="17315" hidden="1" ht="1" customHeight="1">
      <s:c r="A17315" s="120" t="inlineStr"/>
      <s:c r="B17315" s="121" t="n"/>
      <s:c r="C17315" s="121" t="n"/>
      <s:c r="D17315" s="121" t="n"/>
      <s:c r="E17315" s="122" t="n"/>
    </s:row>
    <s:row r="17316" hidden="1" ht="1" customHeight="1">
      <s:c r="A17316" s="120" t="inlineStr"/>
      <s:c r="B17316" s="121" t="n"/>
      <s:c r="C17316" s="121" t="n"/>
      <s:c r="D17316" s="121" t="n"/>
      <s:c r="E17316" s="122" t="n"/>
    </s:row>
    <s:row r="17317" hidden="1" ht="1" customHeight="1">
      <s:c r="A17317" s="120" t="inlineStr"/>
      <s:c r="B17317" s="121" t="n"/>
      <s:c r="C17317" s="121" t="n"/>
      <s:c r="D17317" s="121" t="n"/>
      <s:c r="E17317" s="122" t="n"/>
    </s:row>
    <s:row r="17318" hidden="1" ht="1" customHeight="1">
      <s:c r="A17318" s="120" t="inlineStr"/>
      <s:c r="B17318" s="121" t="n"/>
      <s:c r="C17318" s="121" t="n"/>
      <s:c r="D17318" s="121" t="n"/>
      <s:c r="E17318" s="122" t="n"/>
    </s:row>
    <s:row r="17319" hidden="1" ht="1" customHeight="1">
      <s:c r="A17319" s="120" t="inlineStr"/>
      <s:c r="B17319" s="121" t="n"/>
      <s:c r="C17319" s="121" t="n"/>
      <s:c r="D17319" s="121" t="n"/>
      <s:c r="E17319" s="122" t="n"/>
    </s:row>
    <s:row r="17320" hidden="1" ht="1" customHeight="1">
      <s:c r="A17320" s="120" t="inlineStr"/>
      <s:c r="B17320" s="121" t="n"/>
      <s:c r="C17320" s="121" t="n"/>
      <s:c r="D17320" s="121" t="n"/>
      <s:c r="E17320" s="122" t="n"/>
    </s:row>
    <s:row r="17321" hidden="1" ht="1" customHeight="1">
      <s:c r="A17321" s="120" t="inlineStr"/>
      <s:c r="B17321" s="121" t="n"/>
      <s:c r="C17321" s="121" t="n"/>
      <s:c r="D17321" s="121" t="n"/>
      <s:c r="E17321" s="122" t="n"/>
    </s:row>
    <s:row r="17322" hidden="1" ht="1" customHeight="1">
      <s:c r="A17322" s="120" t="inlineStr"/>
      <s:c r="B17322" s="121" t="n"/>
      <s:c r="C17322" s="121" t="n"/>
      <s:c r="D17322" s="121" t="n"/>
      <s:c r="E17322" s="122" t="n"/>
    </s:row>
    <s:row r="17323" hidden="1" ht="1" customHeight="1">
      <s:c r="A17323" s="120" t="inlineStr"/>
      <s:c r="B17323" s="121" t="n"/>
      <s:c r="C17323" s="121" t="n"/>
      <s:c r="D17323" s="121" t="n"/>
      <s:c r="E17323" s="122" t="n"/>
    </s:row>
    <s:row r="17324" hidden="1" ht="1" customHeight="1">
      <s:c r="A17324" s="120" t="inlineStr"/>
      <s:c r="B17324" s="121" t="n"/>
      <s:c r="C17324" s="121" t="n"/>
      <s:c r="D17324" s="121" t="n"/>
      <s:c r="E17324" s="122" t="n"/>
    </s:row>
    <s:row r="17325" hidden="1" ht="1" customHeight="1">
      <s:c r="A17325" s="120" t="inlineStr"/>
      <s:c r="B17325" s="121" t="n"/>
      <s:c r="C17325" s="121" t="n"/>
      <s:c r="D17325" s="121" t="n"/>
      <s:c r="E17325" s="122" t="n"/>
    </s:row>
    <s:row r="17326" hidden="1" ht="1" customHeight="1">
      <s:c r="A17326" s="120" t="inlineStr"/>
      <s:c r="B17326" s="121" t="n"/>
      <s:c r="C17326" s="121" t="n"/>
      <s:c r="D17326" s="121" t="n"/>
      <s:c r="E17326" s="122" t="n"/>
    </s:row>
    <s:row r="17327" hidden="1" ht="1" customHeight="1">
      <s:c r="A17327" s="120" t="inlineStr"/>
      <s:c r="B17327" s="121" t="n"/>
      <s:c r="C17327" s="121" t="n"/>
      <s:c r="D17327" s="121" t="n"/>
      <s:c r="E17327" s="122" t="n"/>
    </s:row>
    <s:row r="17328" hidden="1" ht="1" customHeight="1">
      <s:c r="A17328" s="120" t="inlineStr"/>
      <s:c r="B17328" s="121" t="n"/>
      <s:c r="C17328" s="121" t="n"/>
      <s:c r="D17328" s="121" t="n"/>
      <s:c r="E17328" s="122" t="n"/>
    </s:row>
    <s:row r="17329" hidden="1" ht="1" customHeight="1">
      <s:c r="A17329" s="120" t="inlineStr"/>
      <s:c r="B17329" s="121" t="n"/>
      <s:c r="C17329" s="121" t="n"/>
      <s:c r="D17329" s="121" t="n"/>
      <s:c r="E17329" s="122" t="n"/>
    </s:row>
    <s:row r="17330" hidden="1" ht="1" customHeight="1">
      <s:c r="A17330" s="120" t="inlineStr"/>
      <s:c r="B17330" s="121" t="n"/>
      <s:c r="C17330" s="121" t="n"/>
      <s:c r="D17330" s="121" t="n"/>
      <s:c r="E17330" s="122" t="n"/>
    </s:row>
    <s:row r="17331" hidden="1" ht="1" customHeight="1">
      <s:c r="A17331" s="120" t="inlineStr"/>
      <s:c r="B17331" s="121" t="n"/>
      <s:c r="C17331" s="121" t="n"/>
      <s:c r="D17331" s="121" t="n"/>
      <s:c r="E17331" s="122" t="n"/>
    </s:row>
    <s:row r="17332" hidden="1" ht="1" customHeight="1">
      <s:c r="A17332" s="120" t="inlineStr"/>
      <s:c r="B17332" s="121" t="n"/>
      <s:c r="C17332" s="121" t="n"/>
      <s:c r="D17332" s="121" t="n"/>
      <s:c r="E17332" s="122" t="n"/>
    </s:row>
    <s:row r="17333" hidden="1" ht="1" customHeight="1">
      <s:c r="A17333" s="120" t="inlineStr"/>
      <s:c r="B17333" s="121" t="n"/>
      <s:c r="C17333" s="121" t="n"/>
      <s:c r="D17333" s="121" t="n"/>
      <s:c r="E17333" s="122" t="n"/>
    </s:row>
    <s:row r="17334" hidden="1" ht="1" customHeight="1">
      <s:c r="A17334" s="120" t="inlineStr"/>
      <s:c r="B17334" s="121" t="n"/>
      <s:c r="C17334" s="121" t="n"/>
      <s:c r="D17334" s="121" t="n"/>
      <s:c r="E17334" s="122" t="n"/>
    </s:row>
    <s:row r="17335" hidden="1" ht="1" customHeight="1">
      <s:c r="A17335" s="120" t="inlineStr"/>
      <s:c r="B17335" s="121" t="n"/>
      <s:c r="C17335" s="121" t="n"/>
      <s:c r="D17335" s="121" t="n"/>
      <s:c r="E17335" s="122" t="n"/>
    </s:row>
    <s:row r="17336" hidden="1" ht="1" customHeight="1">
      <s:c r="A17336" s="120" t="inlineStr"/>
      <s:c r="B17336" s="121" t="n"/>
      <s:c r="C17336" s="121" t="n"/>
      <s:c r="D17336" s="121" t="n"/>
      <s:c r="E17336" s="122" t="n"/>
    </s:row>
    <s:row r="17337" hidden="1" ht="1" customHeight="1">
      <s:c r="A17337" s="120" t="inlineStr"/>
      <s:c r="B17337" s="121" t="n"/>
      <s:c r="C17337" s="121" t="n"/>
      <s:c r="D17337" s="121" t="n"/>
      <s:c r="E17337" s="122" t="n"/>
    </s:row>
    <s:row r="17338" hidden="1" ht="1" customHeight="1">
      <s:c r="A17338" s="120" t="inlineStr"/>
      <s:c r="B17338" s="121" t="n"/>
      <s:c r="C17338" s="121" t="n"/>
      <s:c r="D17338" s="121" t="n"/>
      <s:c r="E17338" s="122" t="n"/>
    </s:row>
    <s:row r="17339" hidden="1" ht="1" customHeight="1">
      <s:c r="A17339" s="120" t="inlineStr"/>
      <s:c r="B17339" s="121" t="n"/>
      <s:c r="C17339" s="121" t="n"/>
      <s:c r="D17339" s="121" t="n"/>
      <s:c r="E17339" s="122" t="n"/>
    </s:row>
    <s:row r="17340" hidden="1" ht="1" customHeight="1">
      <s:c r="A17340" s="120" t="inlineStr"/>
      <s:c r="B17340" s="121" t="n"/>
      <s:c r="C17340" s="121" t="n"/>
      <s:c r="D17340" s="121" t="n"/>
      <s:c r="E17340" s="122" t="n"/>
    </s:row>
    <s:row r="17341" hidden="1" ht="1" customHeight="1">
      <s:c r="A17341" s="120" t="inlineStr"/>
      <s:c r="B17341" s="121" t="n"/>
      <s:c r="C17341" s="121" t="n"/>
      <s:c r="D17341" s="121" t="n"/>
      <s:c r="E17341" s="122" t="n"/>
    </s:row>
    <s:row r="17342" hidden="1" ht="1" customHeight="1">
      <s:c r="A17342" s="120" t="inlineStr"/>
      <s:c r="B17342" s="121" t="n"/>
      <s:c r="C17342" s="121" t="n"/>
      <s:c r="D17342" s="121" t="n"/>
      <s:c r="E17342" s="122" t="n"/>
    </s:row>
    <s:row r="17343" hidden="1" ht="1" customHeight="1">
      <s:c r="A17343" s="120" t="inlineStr"/>
      <s:c r="B17343" s="121" t="n"/>
      <s:c r="C17343" s="121" t="n"/>
      <s:c r="D17343" s="121" t="n"/>
      <s:c r="E17343" s="122" t="n"/>
    </s:row>
    <s:row r="17344" hidden="1" ht="1" customHeight="1">
      <s:c r="A17344" s="120" t="inlineStr"/>
      <s:c r="B17344" s="121" t="n"/>
      <s:c r="C17344" s="121" t="n"/>
      <s:c r="D17344" s="121" t="n"/>
      <s:c r="E17344" s="122" t="n"/>
    </s:row>
    <s:row r="17345" hidden="1" ht="1" customHeight="1">
      <s:c r="A17345" s="120" t="inlineStr"/>
      <s:c r="B17345" s="121" t="n"/>
      <s:c r="C17345" s="121" t="n"/>
      <s:c r="D17345" s="121" t="n"/>
      <s:c r="E17345" s="122" t="n"/>
    </s:row>
    <s:row r="17346" hidden="1" ht="1" customHeight="1">
      <s:c r="A17346" s="120" t="inlineStr"/>
      <s:c r="B17346" s="121" t="n"/>
      <s:c r="C17346" s="121" t="n"/>
      <s:c r="D17346" s="121" t="n"/>
      <s:c r="E17346" s="122" t="n"/>
    </s:row>
    <s:row r="17347" hidden="1" ht="1" customHeight="1">
      <s:c r="A17347" s="120" t="inlineStr"/>
      <s:c r="B17347" s="121" t="n"/>
      <s:c r="C17347" s="121" t="n"/>
      <s:c r="D17347" s="121" t="n"/>
      <s:c r="E17347" s="122" t="n"/>
    </s:row>
    <s:row r="17348" hidden="1" ht="1" customHeight="1">
      <s:c r="A17348" s="120" t="inlineStr"/>
      <s:c r="B17348" s="121" t="n"/>
      <s:c r="C17348" s="121" t="n"/>
      <s:c r="D17348" s="121" t="n"/>
      <s:c r="E17348" s="122" t="n"/>
    </s:row>
    <s:row r="17349" hidden="1" ht="1" customHeight="1">
      <s:c r="A17349" s="120" t="inlineStr"/>
      <s:c r="B17349" s="121" t="n"/>
      <s:c r="C17349" s="121" t="n"/>
      <s:c r="D17349" s="121" t="n"/>
      <s:c r="E17349" s="122" t="n"/>
    </s:row>
    <s:row r="17350" hidden="1" ht="1" customHeight="1">
      <s:c r="A17350" s="120" t="inlineStr"/>
      <s:c r="B17350" s="121" t="n"/>
      <s:c r="C17350" s="121" t="n"/>
      <s:c r="D17350" s="121" t="n"/>
      <s:c r="E17350" s="122" t="n"/>
    </s:row>
    <s:row r="17351" hidden="1" ht="1" customHeight="1">
      <s:c r="A17351" s="120" t="inlineStr"/>
      <s:c r="B17351" s="121" t="n"/>
      <s:c r="C17351" s="121" t="n"/>
      <s:c r="D17351" s="121" t="n"/>
      <s:c r="E17351" s="122" t="n"/>
    </s:row>
    <s:row r="17352" hidden="1" ht="1" customHeight="1">
      <s:c r="A17352" s="120" t="inlineStr"/>
      <s:c r="B17352" s="121" t="n"/>
      <s:c r="C17352" s="121" t="n"/>
      <s:c r="D17352" s="121" t="n"/>
      <s:c r="E17352" s="122" t="n"/>
    </s:row>
    <s:row r="17353" hidden="1" ht="1" customHeight="1">
      <s:c r="A17353" s="120" t="inlineStr"/>
      <s:c r="B17353" s="121" t="n"/>
      <s:c r="C17353" s="121" t="n"/>
      <s:c r="D17353" s="121" t="n"/>
      <s:c r="E17353" s="122" t="n"/>
    </s:row>
    <s:row r="17354" hidden="1" ht="1" customHeight="1">
      <s:c r="A17354" s="120" t="inlineStr"/>
      <s:c r="B17354" s="121" t="n"/>
      <s:c r="C17354" s="121" t="n"/>
      <s:c r="D17354" s="121" t="n"/>
      <s:c r="E17354" s="122" t="n"/>
    </s:row>
    <s:row r="17355" hidden="1" ht="1" customHeight="1">
      <s:c r="A17355" s="120" t="inlineStr"/>
      <s:c r="B17355" s="121" t="n"/>
      <s:c r="C17355" s="121" t="n"/>
      <s:c r="D17355" s="121" t="n"/>
      <s:c r="E17355" s="122" t="n"/>
    </s:row>
    <s:row r="17356" hidden="1" ht="1" customHeight="1">
      <s:c r="A17356" s="120" t="inlineStr"/>
      <s:c r="B17356" s="121" t="n"/>
      <s:c r="C17356" s="121" t="n"/>
      <s:c r="D17356" s="121" t="n"/>
      <s:c r="E17356" s="122" t="n"/>
    </s:row>
    <s:row r="17357" hidden="1" ht="1" customHeight="1">
      <s:c r="A17357" s="120" t="inlineStr"/>
      <s:c r="B17357" s="121" t="n"/>
      <s:c r="C17357" s="121" t="n"/>
      <s:c r="D17357" s="121" t="n"/>
      <s:c r="E17357" s="122" t="n"/>
    </s:row>
    <s:row r="17358" hidden="1" ht="1" customHeight="1">
      <s:c r="A17358" s="120" t="inlineStr"/>
      <s:c r="B17358" s="121" t="n"/>
      <s:c r="C17358" s="121" t="n"/>
      <s:c r="D17358" s="121" t="n"/>
      <s:c r="E17358" s="122" t="n"/>
    </s:row>
    <s:row r="17359" hidden="1" ht="1" customHeight="1">
      <s:c r="A17359" s="120" t="inlineStr"/>
      <s:c r="B17359" s="121" t="n"/>
      <s:c r="C17359" s="121" t="n"/>
      <s:c r="D17359" s="121" t="n"/>
      <s:c r="E17359" s="122" t="n"/>
    </s:row>
    <s:row r="17360" hidden="1" ht="1" customHeight="1">
      <s:c r="A17360" s="120" t="inlineStr"/>
      <s:c r="B17360" s="121" t="n"/>
      <s:c r="C17360" s="121" t="n"/>
      <s:c r="D17360" s="121" t="n"/>
      <s:c r="E17360" s="122" t="n"/>
    </s:row>
    <s:row r="17361" hidden="1" ht="1" customHeight="1">
      <s:c r="A17361" s="120" t="inlineStr"/>
      <s:c r="B17361" s="121" t="n"/>
      <s:c r="C17361" s="121" t="n"/>
      <s:c r="D17361" s="121" t="n"/>
      <s:c r="E17361" s="122" t="n"/>
    </s:row>
    <s:row r="17362" hidden="1" ht="1" customHeight="1">
      <s:c r="A17362" s="120" t="inlineStr"/>
      <s:c r="B17362" s="121" t="n"/>
      <s:c r="C17362" s="121" t="n"/>
      <s:c r="D17362" s="121" t="n"/>
      <s:c r="E17362" s="122" t="n"/>
    </s:row>
    <s:row r="17363" hidden="1" ht="1" customHeight="1">
      <s:c r="A17363" s="120" t="inlineStr"/>
      <s:c r="B17363" s="121" t="n"/>
      <s:c r="C17363" s="121" t="n"/>
      <s:c r="D17363" s="121" t="n"/>
      <s:c r="E17363" s="122" t="n"/>
    </s:row>
    <s:row r="17364" hidden="1" ht="1" customHeight="1">
      <s:c r="A17364" s="120" t="inlineStr"/>
      <s:c r="B17364" s="121" t="n"/>
      <s:c r="C17364" s="121" t="n"/>
      <s:c r="D17364" s="121" t="n"/>
      <s:c r="E17364" s="122" t="n"/>
    </s:row>
    <s:row r="17365" hidden="1" ht="1" customHeight="1">
      <s:c r="A17365" s="120" t="inlineStr"/>
      <s:c r="B17365" s="121" t="n"/>
      <s:c r="C17365" s="121" t="n"/>
      <s:c r="D17365" s="121" t="n"/>
      <s:c r="E17365" s="122" t="n"/>
    </s:row>
    <s:row r="17366" hidden="1" ht="1" customHeight="1">
      <s:c r="A17366" s="120" t="inlineStr"/>
      <s:c r="B17366" s="121" t="n"/>
      <s:c r="C17366" s="121" t="n"/>
      <s:c r="D17366" s="121" t="n"/>
      <s:c r="E17366" s="122" t="n"/>
    </s:row>
    <s:row r="17367" hidden="1" ht="1" customHeight="1">
      <s:c r="A17367" s="120" t="inlineStr"/>
      <s:c r="B17367" s="121" t="n"/>
      <s:c r="C17367" s="121" t="n"/>
      <s:c r="D17367" s="121" t="n"/>
      <s:c r="E17367" s="122" t="n"/>
    </s:row>
    <s:row r="17368" hidden="1" ht="1" customHeight="1">
      <s:c r="A17368" s="120" t="inlineStr"/>
      <s:c r="B17368" s="121" t="n"/>
      <s:c r="C17368" s="121" t="n"/>
      <s:c r="D17368" s="121" t="n"/>
      <s:c r="E17368" s="122" t="n"/>
    </s:row>
    <s:row r="17369" hidden="1" ht="1" customHeight="1">
      <s:c r="A17369" s="120" t="inlineStr"/>
      <s:c r="B17369" s="121" t="n"/>
      <s:c r="C17369" s="121" t="n"/>
      <s:c r="D17369" s="121" t="n"/>
      <s:c r="E17369" s="122" t="n"/>
    </s:row>
    <s:row r="17370" hidden="1" ht="1" customHeight="1">
      <s:c r="A17370" s="120" t="inlineStr"/>
      <s:c r="B17370" s="121" t="n"/>
      <s:c r="C17370" s="121" t="n"/>
      <s:c r="D17370" s="121" t="n"/>
      <s:c r="E17370" s="122" t="n"/>
    </s:row>
    <s:row r="17371" hidden="1" ht="1" customHeight="1">
      <s:c r="A17371" s="120" t="inlineStr"/>
      <s:c r="B17371" s="121" t="n"/>
      <s:c r="C17371" s="121" t="n"/>
      <s:c r="D17371" s="121" t="n"/>
      <s:c r="E17371" s="122" t="n"/>
    </s:row>
    <s:row r="17372" hidden="1" ht="1" customHeight="1">
      <s:c r="A17372" s="120" t="inlineStr"/>
      <s:c r="B17372" s="121" t="n"/>
      <s:c r="C17372" s="121" t="n"/>
      <s:c r="D17372" s="121" t="n"/>
      <s:c r="E17372" s="122" t="n"/>
    </s:row>
    <s:row r="17373" hidden="1" ht="1" customHeight="1">
      <s:c r="A17373" s="120" t="inlineStr"/>
      <s:c r="B17373" s="121" t="n"/>
      <s:c r="C17373" s="121" t="n"/>
      <s:c r="D17373" s="121" t="n"/>
      <s:c r="E17373" s="122" t="n"/>
    </s:row>
    <s:row r="17374" hidden="1" ht="1" customHeight="1">
      <s:c r="A17374" s="120" t="inlineStr"/>
      <s:c r="B17374" s="121" t="n"/>
      <s:c r="C17374" s="121" t="n"/>
      <s:c r="D17374" s="121" t="n"/>
      <s:c r="E17374" s="122" t="n"/>
    </s:row>
    <s:row r="17375" hidden="1" ht="1" customHeight="1">
      <s:c r="A17375" s="120" t="inlineStr"/>
      <s:c r="B17375" s="121" t="n"/>
      <s:c r="C17375" s="121" t="n"/>
      <s:c r="D17375" s="121" t="n"/>
      <s:c r="E17375" s="122" t="n"/>
    </s:row>
    <s:row r="17376" hidden="1" ht="1" customHeight="1">
      <s:c r="A17376" s="120" t="inlineStr"/>
      <s:c r="B17376" s="121" t="n"/>
      <s:c r="C17376" s="121" t="n"/>
      <s:c r="D17376" s="121" t="n"/>
      <s:c r="E17376" s="122" t="n"/>
    </s:row>
    <s:row r="17377" hidden="1" ht="1" customHeight="1">
      <s:c r="A17377" s="120" t="inlineStr"/>
      <s:c r="B17377" s="121" t="n"/>
      <s:c r="C17377" s="121" t="n"/>
      <s:c r="D17377" s="121" t="n"/>
      <s:c r="E17377" s="122" t="n"/>
    </s:row>
    <s:row r="17378" hidden="1" ht="1" customHeight="1">
      <s:c r="A17378" s="120" t="inlineStr"/>
      <s:c r="B17378" s="121" t="n"/>
      <s:c r="C17378" s="121" t="n"/>
      <s:c r="D17378" s="121" t="n"/>
      <s:c r="E17378" s="122" t="n"/>
    </s:row>
    <s:row r="17379" hidden="1" ht="1" customHeight="1">
      <s:c r="A17379" s="120" t="inlineStr"/>
      <s:c r="B17379" s="121" t="n"/>
      <s:c r="C17379" s="121" t="n"/>
      <s:c r="D17379" s="121" t="n"/>
      <s:c r="E17379" s="122" t="n"/>
    </s:row>
    <s:row r="17380" hidden="1" ht="1" customHeight="1">
      <s:c r="A17380" s="120" t="inlineStr"/>
      <s:c r="B17380" s="121" t="n"/>
      <s:c r="C17380" s="121" t="n"/>
      <s:c r="D17380" s="121" t="n"/>
      <s:c r="E17380" s="122" t="n"/>
    </s:row>
    <s:row r="17381" hidden="1" ht="1" customHeight="1">
      <s:c r="A17381" s="120" t="inlineStr"/>
      <s:c r="B17381" s="121" t="n"/>
      <s:c r="C17381" s="121" t="n"/>
      <s:c r="D17381" s="121" t="n"/>
      <s:c r="E17381" s="122" t="n"/>
    </s:row>
    <s:row r="17382" hidden="1" ht="1" customHeight="1">
      <s:c r="A17382" s="120" t="inlineStr"/>
      <s:c r="B17382" s="121" t="n"/>
      <s:c r="C17382" s="121" t="n"/>
      <s:c r="D17382" s="121" t="n"/>
      <s:c r="E17382" s="122" t="n"/>
    </s:row>
    <s:row r="17383" hidden="1" ht="1" customHeight="1">
      <s:c r="A17383" s="120" t="inlineStr"/>
      <s:c r="B17383" s="121" t="n"/>
      <s:c r="C17383" s="121" t="n"/>
      <s:c r="D17383" s="121" t="n"/>
      <s:c r="E17383" s="122" t="n"/>
    </s:row>
    <s:row r="17384" hidden="1" ht="1" customHeight="1">
      <s:c r="A17384" s="120" t="inlineStr"/>
      <s:c r="B17384" s="121" t="n"/>
      <s:c r="C17384" s="121" t="n"/>
      <s:c r="D17384" s="121" t="n"/>
      <s:c r="E17384" s="122" t="n"/>
    </s:row>
    <s:row r="17385" hidden="1" ht="1" customHeight="1">
      <s:c r="A17385" s="120" t="inlineStr"/>
      <s:c r="B17385" s="121" t="n"/>
      <s:c r="C17385" s="121" t="n"/>
      <s:c r="D17385" s="121" t="n"/>
      <s:c r="E17385" s="122" t="n"/>
    </s:row>
    <s:row r="17386" hidden="1" ht="1" customHeight="1">
      <s:c r="A17386" s="120" t="inlineStr"/>
      <s:c r="B17386" s="121" t="n"/>
      <s:c r="C17386" s="121" t="n"/>
      <s:c r="D17386" s="121" t="n"/>
      <s:c r="E17386" s="122" t="n"/>
    </s:row>
    <s:row r="17387" hidden="1" ht="1" customHeight="1">
      <s:c r="A17387" s="120" t="inlineStr"/>
      <s:c r="B17387" s="121" t="n"/>
      <s:c r="C17387" s="121" t="n"/>
      <s:c r="D17387" s="121" t="n"/>
      <s:c r="E17387" s="122" t="n"/>
    </s:row>
    <s:row r="17388" hidden="1" ht="1" customHeight="1">
      <s:c r="A17388" s="120" t="inlineStr"/>
      <s:c r="B17388" s="121" t="n"/>
      <s:c r="C17388" s="121" t="n"/>
      <s:c r="D17388" s="121" t="n"/>
      <s:c r="E17388" s="122" t="n"/>
    </s:row>
    <s:row r="17389" hidden="1" ht="1" customHeight="1">
      <s:c r="A17389" s="120" t="inlineStr"/>
      <s:c r="B17389" s="121" t="n"/>
      <s:c r="C17389" s="121" t="n"/>
      <s:c r="D17389" s="121" t="n"/>
      <s:c r="E17389" s="122" t="n"/>
    </s:row>
    <s:row r="17390" hidden="1" ht="1" customHeight="1">
      <s:c r="A17390" s="120" t="inlineStr"/>
      <s:c r="B17390" s="121" t="n"/>
      <s:c r="C17390" s="121" t="n"/>
      <s:c r="D17390" s="121" t="n"/>
      <s:c r="E17390" s="122" t="n"/>
    </s:row>
    <s:row r="17391" hidden="1" ht="1" customHeight="1">
      <s:c r="A17391" s="120" t="inlineStr"/>
      <s:c r="B17391" s="121" t="n"/>
      <s:c r="C17391" s="121" t="n"/>
      <s:c r="D17391" s="121" t="n"/>
      <s:c r="E17391" s="122" t="n"/>
    </s:row>
    <s:row r="17392" hidden="1" ht="1" customHeight="1">
      <s:c r="A17392" s="120" t="inlineStr"/>
      <s:c r="B17392" s="121" t="n"/>
      <s:c r="C17392" s="121" t="n"/>
      <s:c r="D17392" s="121" t="n"/>
      <s:c r="E17392" s="122" t="n"/>
    </s:row>
    <s:row r="17393" hidden="1" ht="1" customHeight="1">
      <s:c r="A17393" s="120" t="inlineStr"/>
      <s:c r="B17393" s="121" t="n"/>
      <s:c r="C17393" s="121" t="n"/>
      <s:c r="D17393" s="121" t="n"/>
      <s:c r="E17393" s="122" t="n"/>
    </s:row>
    <s:row r="17394" hidden="1" ht="1" customHeight="1">
      <s:c r="A17394" s="120" t="inlineStr"/>
      <s:c r="B17394" s="121" t="n"/>
      <s:c r="C17394" s="121" t="n"/>
      <s:c r="D17394" s="121" t="n"/>
      <s:c r="E17394" s="122" t="n"/>
    </s:row>
    <s:row r="17395" hidden="1" ht="1" customHeight="1">
      <s:c r="A17395" s="120" t="inlineStr"/>
      <s:c r="B17395" s="121" t="n"/>
      <s:c r="C17395" s="121" t="n"/>
      <s:c r="D17395" s="121" t="n"/>
      <s:c r="E17395" s="122" t="n"/>
    </s:row>
    <s:row r="17396" hidden="1" ht="1" customHeight="1">
      <s:c r="A17396" s="120" t="inlineStr"/>
      <s:c r="B17396" s="121" t="n"/>
      <s:c r="C17396" s="121" t="n"/>
      <s:c r="D17396" s="121" t="n"/>
      <s:c r="E17396" s="122" t="n"/>
    </s:row>
    <s:row r="17397" hidden="1" ht="1" customHeight="1">
      <s:c r="A17397" s="120" t="inlineStr"/>
      <s:c r="B17397" s="121" t="n"/>
      <s:c r="C17397" s="121" t="n"/>
      <s:c r="D17397" s="121" t="n"/>
      <s:c r="E17397" s="122" t="n"/>
    </s:row>
    <s:row r="17398" hidden="1" ht="1" customHeight="1">
      <s:c r="A17398" s="120" t="inlineStr"/>
      <s:c r="B17398" s="121" t="n"/>
      <s:c r="C17398" s="121" t="n"/>
      <s:c r="D17398" s="121" t="n"/>
      <s:c r="E17398" s="122" t="n"/>
    </s:row>
    <s:row r="17399" hidden="1" ht="1" customHeight="1">
      <s:c r="A17399" s="120" t="inlineStr"/>
      <s:c r="B17399" s="121" t="n"/>
      <s:c r="C17399" s="121" t="n"/>
      <s:c r="D17399" s="121" t="n"/>
      <s:c r="E17399" s="122" t="n"/>
    </s:row>
    <s:row r="17400" hidden="1" ht="1" customHeight="1">
      <s:c r="A17400" s="120" t="inlineStr"/>
      <s:c r="B17400" s="121" t="n"/>
      <s:c r="C17400" s="121" t="n"/>
      <s:c r="D17400" s="121" t="n"/>
      <s:c r="E17400" s="122" t="n"/>
    </s:row>
    <s:row r="17401" hidden="1" ht="1" customHeight="1">
      <s:c r="A17401" s="120" t="inlineStr"/>
      <s:c r="B17401" s="121" t="n"/>
      <s:c r="C17401" s="121" t="n"/>
      <s:c r="D17401" s="121" t="n"/>
      <s:c r="E17401" s="122" t="n"/>
    </s:row>
    <s:row r="17402" hidden="1" ht="1" customHeight="1">
      <s:c r="A17402" s="120" t="inlineStr"/>
      <s:c r="B17402" s="121" t="n"/>
      <s:c r="C17402" s="121" t="n"/>
      <s:c r="D17402" s="121" t="n"/>
      <s:c r="E17402" s="122" t="n"/>
    </s:row>
    <s:row r="17403" hidden="1" ht="1" customHeight="1">
      <s:c r="A17403" s="120" t="inlineStr"/>
      <s:c r="B17403" s="121" t="n"/>
      <s:c r="C17403" s="121" t="n"/>
      <s:c r="D17403" s="121" t="n"/>
      <s:c r="E17403" s="122" t="n"/>
    </s:row>
    <s:row r="17404" hidden="1" ht="1" customHeight="1">
      <s:c r="A17404" s="120" t="inlineStr"/>
      <s:c r="B17404" s="121" t="n"/>
      <s:c r="C17404" s="121" t="n"/>
      <s:c r="D17404" s="121" t="n"/>
      <s:c r="E17404" s="122" t="n"/>
    </s:row>
    <s:row r="17405" hidden="1" ht="1" customHeight="1">
      <s:c r="A17405" s="120" t="inlineStr"/>
      <s:c r="B17405" s="121" t="n"/>
      <s:c r="C17405" s="121" t="n"/>
      <s:c r="D17405" s="121" t="n"/>
      <s:c r="E17405" s="122" t="n"/>
    </s:row>
    <s:row r="17406" hidden="1" ht="1" customHeight="1">
      <s:c r="A17406" s="120" t="inlineStr"/>
      <s:c r="B17406" s="121" t="n"/>
      <s:c r="C17406" s="121" t="n"/>
      <s:c r="D17406" s="121" t="n"/>
      <s:c r="E17406" s="122" t="n"/>
    </s:row>
    <s:row r="17407" hidden="1" ht="1" customHeight="1">
      <s:c r="A17407" s="120" t="inlineStr"/>
      <s:c r="B17407" s="121" t="n"/>
      <s:c r="C17407" s="121" t="n"/>
      <s:c r="D17407" s="121" t="n"/>
      <s:c r="E17407" s="122" t="n"/>
    </s:row>
    <s:row r="17408" hidden="1" ht="1" customHeight="1">
      <s:c r="A17408" s="120" t="inlineStr"/>
      <s:c r="B17408" s="121" t="n"/>
      <s:c r="C17408" s="121" t="n"/>
      <s:c r="D17408" s="121" t="n"/>
      <s:c r="E17408" s="122" t="n"/>
    </s:row>
    <s:row r="17409" hidden="1" ht="1" customHeight="1">
      <s:c r="A17409" s="120" t="inlineStr"/>
      <s:c r="B17409" s="121" t="n"/>
      <s:c r="C17409" s="121" t="n"/>
      <s:c r="D17409" s="121" t="n"/>
      <s:c r="E17409" s="122" t="n"/>
    </s:row>
    <s:row r="17410" hidden="1" ht="1" customHeight="1">
      <s:c r="A17410" s="120" t="inlineStr"/>
      <s:c r="B17410" s="121" t="n"/>
      <s:c r="C17410" s="121" t="n"/>
      <s:c r="D17410" s="121" t="n"/>
      <s:c r="E17410" s="122" t="n"/>
    </s:row>
    <s:row r="17411" hidden="1" ht="1" customHeight="1">
      <s:c r="A17411" s="120" t="inlineStr"/>
      <s:c r="B17411" s="121" t="n"/>
      <s:c r="C17411" s="121" t="n"/>
      <s:c r="D17411" s="121" t="n"/>
      <s:c r="E17411" s="122" t="n"/>
    </s:row>
    <s:row r="17412" hidden="1" ht="1" customHeight="1">
      <s:c r="A17412" s="120" t="inlineStr"/>
      <s:c r="B17412" s="121" t="n"/>
      <s:c r="C17412" s="121" t="n"/>
      <s:c r="D17412" s="121" t="n"/>
      <s:c r="E17412" s="122" t="n"/>
    </s:row>
    <s:row r="17413" hidden="1" ht="1" customHeight="1">
      <s:c r="A17413" s="120" t="inlineStr"/>
      <s:c r="B17413" s="121" t="n"/>
      <s:c r="C17413" s="121" t="n"/>
      <s:c r="D17413" s="121" t="n"/>
      <s:c r="E17413" s="122" t="n"/>
    </s:row>
    <s:row r="17414" hidden="1" ht="1" customHeight="1">
      <s:c r="A17414" s="120" t="inlineStr"/>
      <s:c r="B17414" s="121" t="n"/>
      <s:c r="C17414" s="121" t="n"/>
      <s:c r="D17414" s="121" t="n"/>
      <s:c r="E17414" s="122" t="n"/>
    </s:row>
    <s:row r="17415" hidden="1" ht="1" customHeight="1">
      <s:c r="A17415" s="120" t="inlineStr"/>
      <s:c r="B17415" s="121" t="n"/>
      <s:c r="C17415" s="121" t="n"/>
      <s:c r="D17415" s="121" t="n"/>
      <s:c r="E17415" s="122" t="n"/>
    </s:row>
    <s:row r="17416" hidden="1" ht="1" customHeight="1">
      <s:c r="A17416" s="120" t="inlineStr"/>
      <s:c r="B17416" s="121" t="n"/>
      <s:c r="C17416" s="121" t="n"/>
      <s:c r="D17416" s="121" t="n"/>
      <s:c r="E17416" s="122" t="n"/>
    </s:row>
    <s:row r="17417" hidden="1" ht="1" customHeight="1">
      <s:c r="A17417" s="120" t="inlineStr"/>
      <s:c r="B17417" s="121" t="n"/>
      <s:c r="C17417" s="121" t="n"/>
      <s:c r="D17417" s="121" t="n"/>
      <s:c r="E17417" s="122" t="n"/>
    </s:row>
    <s:row r="17418" hidden="1" ht="1" customHeight="1">
      <s:c r="A17418" s="120" t="inlineStr"/>
      <s:c r="B17418" s="121" t="n"/>
      <s:c r="C17418" s="121" t="n"/>
      <s:c r="D17418" s="121" t="n"/>
      <s:c r="E17418" s="122" t="n"/>
    </s:row>
    <s:row r="17419" hidden="1" ht="1" customHeight="1">
      <s:c r="A17419" s="120" t="inlineStr"/>
      <s:c r="B17419" s="121" t="n"/>
      <s:c r="C17419" s="121" t="n"/>
      <s:c r="D17419" s="121" t="n"/>
      <s:c r="E17419" s="122" t="n"/>
    </s:row>
    <s:row r="17420" hidden="1" ht="1" customHeight="1">
      <s:c r="A17420" s="120" t="inlineStr"/>
      <s:c r="B17420" s="121" t="n"/>
      <s:c r="C17420" s="121" t="n"/>
      <s:c r="D17420" s="121" t="n"/>
      <s:c r="E17420" s="122" t="n"/>
    </s:row>
    <s:row r="17421" hidden="1" ht="1" customHeight="1">
      <s:c r="A17421" s="120" t="inlineStr"/>
      <s:c r="B17421" s="121" t="n"/>
      <s:c r="C17421" s="121" t="n"/>
      <s:c r="D17421" s="121" t="n"/>
      <s:c r="E17421" s="122" t="n"/>
    </s:row>
    <s:row r="17422" hidden="1" ht="1" customHeight="1">
      <s:c r="A17422" s="120" t="inlineStr"/>
      <s:c r="B17422" s="121" t="n"/>
      <s:c r="C17422" s="121" t="n"/>
      <s:c r="D17422" s="121" t="n"/>
      <s:c r="E17422" s="122" t="n"/>
    </s:row>
    <s:row r="17423" hidden="1" ht="1" customHeight="1">
      <s:c r="A17423" s="120" t="inlineStr"/>
      <s:c r="B17423" s="121" t="n"/>
      <s:c r="C17423" s="121" t="n"/>
      <s:c r="D17423" s="121" t="n"/>
      <s:c r="E17423" s="122" t="n"/>
    </s:row>
    <s:row r="17424" hidden="1" ht="1" customHeight="1">
      <s:c r="A17424" s="120" t="inlineStr"/>
      <s:c r="B17424" s="121" t="n"/>
      <s:c r="C17424" s="121" t="n"/>
      <s:c r="D17424" s="121" t="n"/>
      <s:c r="E17424" s="122" t="n"/>
    </s:row>
    <s:row r="17425" hidden="1" ht="1" customHeight="1">
      <s:c r="A17425" s="120" t="inlineStr"/>
      <s:c r="B17425" s="121" t="n"/>
      <s:c r="C17425" s="121" t="n"/>
      <s:c r="D17425" s="121" t="n"/>
      <s:c r="E17425" s="122" t="n"/>
    </s:row>
    <s:row r="17426" hidden="1" ht="1" customHeight="1">
      <s:c r="A17426" s="120" t="inlineStr"/>
      <s:c r="B17426" s="121" t="n"/>
      <s:c r="C17426" s="121" t="n"/>
      <s:c r="D17426" s="121" t="n"/>
      <s:c r="E17426" s="122" t="n"/>
    </s:row>
    <s:row r="17427" hidden="1" ht="1" customHeight="1">
      <s:c r="A17427" s="120" t="inlineStr"/>
      <s:c r="B17427" s="121" t="n"/>
      <s:c r="C17427" s="121" t="n"/>
      <s:c r="D17427" s="121" t="n"/>
      <s:c r="E17427" s="122" t="n"/>
    </s:row>
    <s:row r="17428" hidden="1" ht="1" customHeight="1">
      <s:c r="A17428" s="120" t="inlineStr"/>
      <s:c r="B17428" s="121" t="n"/>
      <s:c r="C17428" s="121" t="n"/>
      <s:c r="D17428" s="121" t="n"/>
      <s:c r="E17428" s="122" t="n"/>
    </s:row>
    <s:row r="17429" hidden="1" ht="1" customHeight="1">
      <s:c r="A17429" s="120" t="inlineStr"/>
      <s:c r="B17429" s="121" t="n"/>
      <s:c r="C17429" s="121" t="n"/>
      <s:c r="D17429" s="121" t="n"/>
      <s:c r="E17429" s="122" t="n"/>
    </s:row>
    <s:row r="17430" hidden="1" ht="1" customHeight="1">
      <s:c r="A17430" s="120" t="inlineStr"/>
      <s:c r="B17430" s="121" t="n"/>
      <s:c r="C17430" s="121" t="n"/>
      <s:c r="D17430" s="121" t="n"/>
      <s:c r="E17430" s="122" t="n"/>
    </s:row>
    <s:row r="17431" hidden="1" ht="1" customHeight="1">
      <s:c r="A17431" s="120" t="inlineStr"/>
      <s:c r="B17431" s="121" t="n"/>
      <s:c r="C17431" s="121" t="n"/>
      <s:c r="D17431" s="121" t="n"/>
      <s:c r="E17431" s="122" t="n"/>
    </s:row>
    <s:row r="17432" hidden="1" ht="1" customHeight="1">
      <s:c r="A17432" s="120" t="inlineStr"/>
      <s:c r="B17432" s="121" t="n"/>
      <s:c r="C17432" s="121" t="n"/>
      <s:c r="D17432" s="121" t="n"/>
      <s:c r="E17432" s="122" t="n"/>
    </s:row>
    <s:row r="17433" hidden="1" ht="1" customHeight="1">
      <s:c r="A17433" s="120" t="inlineStr"/>
      <s:c r="B17433" s="121" t="n"/>
      <s:c r="C17433" s="121" t="n"/>
      <s:c r="D17433" s="121" t="n"/>
      <s:c r="E17433" s="122" t="n"/>
    </s:row>
    <s:row r="17434" hidden="1" ht="1" customHeight="1">
      <s:c r="A17434" s="120" t="inlineStr"/>
      <s:c r="B17434" s="121" t="n"/>
      <s:c r="C17434" s="121" t="n"/>
      <s:c r="D17434" s="121" t="n"/>
      <s:c r="E17434" s="122" t="n"/>
    </s:row>
    <s:row r="17435" hidden="1" ht="1" customHeight="1">
      <s:c r="A17435" s="120" t="inlineStr"/>
      <s:c r="B17435" s="121" t="n"/>
      <s:c r="C17435" s="121" t="n"/>
      <s:c r="D17435" s="121" t="n"/>
      <s:c r="E17435" s="122" t="n"/>
    </s:row>
    <s:row r="17436" hidden="1" ht="1" customHeight="1">
      <s:c r="A17436" s="120" t="inlineStr"/>
      <s:c r="B17436" s="121" t="n"/>
      <s:c r="C17436" s="121" t="n"/>
      <s:c r="D17436" s="121" t="n"/>
      <s:c r="E17436" s="122" t="n"/>
    </s:row>
    <s:row r="17437" hidden="1" ht="1" customHeight="1">
      <s:c r="A17437" s="120" t="inlineStr"/>
      <s:c r="B17437" s="121" t="n"/>
      <s:c r="C17437" s="121" t="n"/>
      <s:c r="D17437" s="121" t="n"/>
      <s:c r="E17437" s="122" t="n"/>
    </s:row>
    <s:row r="17438" hidden="1" ht="1" customHeight="1">
      <s:c r="A17438" s="120" t="inlineStr"/>
      <s:c r="B17438" s="121" t="n"/>
      <s:c r="C17438" s="121" t="n"/>
      <s:c r="D17438" s="121" t="n"/>
      <s:c r="E17438" s="122" t="n"/>
    </s:row>
    <s:row r="17439" hidden="1" ht="1" customHeight="1">
      <s:c r="A17439" s="120" t="inlineStr"/>
      <s:c r="B17439" s="121" t="n"/>
      <s:c r="C17439" s="121" t="n"/>
      <s:c r="D17439" s="121" t="n"/>
      <s:c r="E17439" s="122" t="n"/>
    </s:row>
    <s:row r="17440" hidden="1" ht="1" customHeight="1">
      <s:c r="A17440" s="120" t="inlineStr"/>
      <s:c r="B17440" s="121" t="n"/>
      <s:c r="C17440" s="121" t="n"/>
      <s:c r="D17440" s="121" t="n"/>
      <s:c r="E17440" s="122" t="n"/>
    </s:row>
    <s:row r="17441" hidden="1" ht="1" customHeight="1">
      <s:c r="A17441" s="120" t="inlineStr"/>
      <s:c r="B17441" s="121" t="n"/>
      <s:c r="C17441" s="121" t="n"/>
      <s:c r="D17441" s="121" t="n"/>
      <s:c r="E17441" s="122" t="n"/>
    </s:row>
    <s:row r="17442" hidden="1" ht="1" customHeight="1">
      <s:c r="A17442" s="120" t="inlineStr"/>
      <s:c r="B17442" s="121" t="n"/>
      <s:c r="C17442" s="121" t="n"/>
      <s:c r="D17442" s="121" t="n"/>
      <s:c r="E17442" s="122" t="n"/>
    </s:row>
    <s:row r="17443" hidden="1" ht="1" customHeight="1">
      <s:c r="A17443" s="120" t="inlineStr"/>
      <s:c r="B17443" s="121" t="n"/>
      <s:c r="C17443" s="121" t="n"/>
      <s:c r="D17443" s="121" t="n"/>
      <s:c r="E17443" s="122" t="n"/>
    </s:row>
    <s:row r="17444" hidden="1" ht="1" customHeight="1">
      <s:c r="A17444" s="120" t="inlineStr"/>
      <s:c r="B17444" s="121" t="n"/>
      <s:c r="C17444" s="121" t="n"/>
      <s:c r="D17444" s="121" t="n"/>
      <s:c r="E17444" s="122" t="n"/>
    </s:row>
    <s:row r="17445" hidden="1" ht="1" customHeight="1">
      <s:c r="A17445" s="120" t="inlineStr"/>
      <s:c r="B17445" s="121" t="n"/>
      <s:c r="C17445" s="121" t="n"/>
      <s:c r="D17445" s="121" t="n"/>
      <s:c r="E17445" s="122" t="n"/>
    </s:row>
    <s:row r="17446" hidden="1" ht="1" customHeight="1">
      <s:c r="A17446" s="120" t="inlineStr"/>
      <s:c r="B17446" s="121" t="n"/>
      <s:c r="C17446" s="121" t="n"/>
      <s:c r="D17446" s="121" t="n"/>
      <s:c r="E17446" s="122" t="n"/>
    </s:row>
    <s:row r="17447" hidden="1" ht="1" customHeight="1">
      <s:c r="A17447" s="120" t="inlineStr"/>
      <s:c r="B17447" s="121" t="n"/>
      <s:c r="C17447" s="121" t="n"/>
      <s:c r="D17447" s="121" t="n"/>
      <s:c r="E17447" s="122" t="n"/>
    </s:row>
    <s:row r="17448" hidden="1" ht="1" customHeight="1">
      <s:c r="A17448" s="120" t="inlineStr"/>
      <s:c r="B17448" s="121" t="n"/>
      <s:c r="C17448" s="121" t="n"/>
      <s:c r="D17448" s="121" t="n"/>
      <s:c r="E17448" s="122" t="n"/>
    </s:row>
    <s:row r="17449" hidden="1" ht="1" customHeight="1">
      <s:c r="A17449" s="120" t="inlineStr"/>
      <s:c r="B17449" s="121" t="n"/>
      <s:c r="C17449" s="121" t="n"/>
      <s:c r="D17449" s="121" t="n"/>
      <s:c r="E17449" s="122" t="n"/>
    </s:row>
    <s:row r="17450" hidden="1" ht="1" customHeight="1">
      <s:c r="A17450" s="120" t="inlineStr"/>
      <s:c r="B17450" s="121" t="n"/>
      <s:c r="C17450" s="121" t="n"/>
      <s:c r="D17450" s="121" t="n"/>
      <s:c r="E17450" s="122" t="n"/>
    </s:row>
    <s:row r="17451" hidden="1" ht="1" customHeight="1">
      <s:c r="A17451" s="120" t="inlineStr"/>
      <s:c r="B17451" s="121" t="n"/>
      <s:c r="C17451" s="121" t="n"/>
      <s:c r="D17451" s="121" t="n"/>
      <s:c r="E17451" s="122" t="n"/>
    </s:row>
    <s:row r="17452" hidden="1" ht="1" customHeight="1">
      <s:c r="A17452" s="120" t="inlineStr"/>
      <s:c r="B17452" s="121" t="n"/>
      <s:c r="C17452" s="121" t="n"/>
      <s:c r="D17452" s="121" t="n"/>
      <s:c r="E17452" s="122" t="n"/>
    </s:row>
    <s:row r="17453" hidden="1" ht="1" customHeight="1">
      <s:c r="A17453" s="120" t="inlineStr"/>
      <s:c r="B17453" s="121" t="n"/>
      <s:c r="C17453" s="121" t="n"/>
      <s:c r="D17453" s="121" t="n"/>
      <s:c r="E17453" s="122" t="n"/>
    </s:row>
    <s:row r="17454" hidden="1" ht="1" customHeight="1">
      <s:c r="A17454" s="120" t="inlineStr"/>
      <s:c r="B17454" s="121" t="n"/>
      <s:c r="C17454" s="121" t="n"/>
      <s:c r="D17454" s="121" t="n"/>
      <s:c r="E17454" s="122" t="n"/>
    </s:row>
    <s:row r="17455" hidden="1" ht="1" customHeight="1">
      <s:c r="A17455" s="120" t="inlineStr"/>
      <s:c r="B17455" s="121" t="n"/>
      <s:c r="C17455" s="121" t="n"/>
      <s:c r="D17455" s="121" t="n"/>
      <s:c r="E17455" s="122" t="n"/>
    </s:row>
    <s:row r="17456" hidden="1" ht="1" customHeight="1">
      <s:c r="A17456" s="120" t="inlineStr"/>
      <s:c r="B17456" s="121" t="n"/>
      <s:c r="C17456" s="121" t="n"/>
      <s:c r="D17456" s="121" t="n"/>
      <s:c r="E17456" s="122" t="n"/>
    </s:row>
    <s:row r="17457" hidden="1" ht="1" customHeight="1">
      <s:c r="A17457" s="120" t="inlineStr"/>
      <s:c r="B17457" s="121" t="n"/>
      <s:c r="C17457" s="121" t="n"/>
      <s:c r="D17457" s="121" t="n"/>
      <s:c r="E17457" s="122" t="n"/>
    </s:row>
    <s:row r="17458" hidden="1" ht="1" customHeight="1">
      <s:c r="A17458" s="120" t="inlineStr"/>
      <s:c r="B17458" s="121" t="n"/>
      <s:c r="C17458" s="121" t="n"/>
      <s:c r="D17458" s="121" t="n"/>
      <s:c r="E17458" s="122" t="n"/>
    </s:row>
    <s:row r="17459" hidden="1" ht="1" customHeight="1">
      <s:c r="A17459" s="120" t="inlineStr"/>
      <s:c r="B17459" s="121" t="n"/>
      <s:c r="C17459" s="121" t="n"/>
      <s:c r="D17459" s="121" t="n"/>
      <s:c r="E17459" s="122" t="n"/>
    </s:row>
    <s:row r="17460" hidden="1" ht="1" customHeight="1">
      <s:c r="A17460" s="120" t="inlineStr"/>
      <s:c r="B17460" s="121" t="n"/>
      <s:c r="C17460" s="121" t="n"/>
      <s:c r="D17460" s="121" t="n"/>
      <s:c r="E17460" s="122" t="n"/>
    </s:row>
    <s:row r="17461" hidden="1" ht="1" customHeight="1">
      <s:c r="A17461" s="120" t="inlineStr"/>
      <s:c r="B17461" s="121" t="n"/>
      <s:c r="C17461" s="121" t="n"/>
      <s:c r="D17461" s="121" t="n"/>
      <s:c r="E17461" s="122" t="n"/>
    </s:row>
    <s:row r="17462" hidden="1" ht="1" customHeight="1">
      <s:c r="A17462" s="120" t="inlineStr"/>
      <s:c r="B17462" s="121" t="n"/>
      <s:c r="C17462" s="121" t="n"/>
      <s:c r="D17462" s="121" t="n"/>
      <s:c r="E17462" s="122" t="n"/>
    </s:row>
    <s:row r="17463" hidden="1" ht="1" customHeight="1">
      <s:c r="A17463" s="120" t="inlineStr"/>
      <s:c r="B17463" s="121" t="n"/>
      <s:c r="C17463" s="121" t="n"/>
      <s:c r="D17463" s="121" t="n"/>
      <s:c r="E17463" s="122" t="n"/>
    </s:row>
    <s:row r="17464" hidden="1" ht="1" customHeight="1">
      <s:c r="A17464" s="120" t="inlineStr"/>
      <s:c r="B17464" s="121" t="n"/>
      <s:c r="C17464" s="121" t="n"/>
      <s:c r="D17464" s="121" t="n"/>
      <s:c r="E17464" s="122" t="n"/>
    </s:row>
    <s:row r="17465" hidden="1" ht="1" customHeight="1">
      <s:c r="A17465" s="120" t="inlineStr"/>
      <s:c r="B17465" s="121" t="n"/>
      <s:c r="C17465" s="121" t="n"/>
      <s:c r="D17465" s="121" t="n"/>
      <s:c r="E17465" s="122" t="n"/>
    </s:row>
    <s:row r="17466" hidden="1" ht="1" customHeight="1">
      <s:c r="A17466" s="120" t="inlineStr"/>
      <s:c r="B17466" s="121" t="n"/>
      <s:c r="C17466" s="121" t="n"/>
      <s:c r="D17466" s="121" t="n"/>
      <s:c r="E17466" s="122" t="n"/>
    </s:row>
    <s:row r="17467" hidden="1" ht="1" customHeight="1">
      <s:c r="A17467" s="120" t="inlineStr"/>
      <s:c r="B17467" s="121" t="n"/>
      <s:c r="C17467" s="121" t="n"/>
      <s:c r="D17467" s="121" t="n"/>
      <s:c r="E17467" s="122" t="n"/>
    </s:row>
    <s:row r="17468" hidden="1" ht="1" customHeight="1">
      <s:c r="A17468" s="120" t="inlineStr"/>
      <s:c r="B17468" s="121" t="n"/>
      <s:c r="C17468" s="121" t="n"/>
      <s:c r="D17468" s="121" t="n"/>
      <s:c r="E17468" s="122" t="n"/>
    </s:row>
    <s:row r="17469" hidden="1" ht="1" customHeight="1">
      <s:c r="A17469" s="120" t="inlineStr"/>
      <s:c r="B17469" s="121" t="n"/>
      <s:c r="C17469" s="121" t="n"/>
      <s:c r="D17469" s="121" t="n"/>
      <s:c r="E17469" s="122" t="n"/>
    </s:row>
    <s:row r="17470" hidden="1" ht="1" customHeight="1">
      <s:c r="A17470" s="120" t="inlineStr"/>
      <s:c r="B17470" s="121" t="n"/>
      <s:c r="C17470" s="121" t="n"/>
      <s:c r="D17470" s="121" t="n"/>
      <s:c r="E17470" s="122" t="n"/>
    </s:row>
    <s:row r="17471" hidden="1" ht="1" customHeight="1">
      <s:c r="A17471" s="120" t="inlineStr"/>
      <s:c r="B17471" s="121" t="n"/>
      <s:c r="C17471" s="121" t="n"/>
      <s:c r="D17471" s="121" t="n"/>
      <s:c r="E17471" s="122" t="n"/>
    </s:row>
    <s:row r="17472" hidden="1" ht="1" customHeight="1">
      <s:c r="A17472" s="120" t="inlineStr"/>
      <s:c r="B17472" s="121" t="n"/>
      <s:c r="C17472" s="121" t="n"/>
      <s:c r="D17472" s="121" t="n"/>
      <s:c r="E17472" s="122" t="n"/>
    </s:row>
    <s:row r="17473" hidden="1" ht="1" customHeight="1">
      <s:c r="A17473" s="120" t="inlineStr"/>
      <s:c r="B17473" s="121" t="n"/>
      <s:c r="C17473" s="121" t="n"/>
      <s:c r="D17473" s="121" t="n"/>
      <s:c r="E17473" s="122" t="n"/>
    </s:row>
    <s:row r="17474" hidden="1" ht="1" customHeight="1">
      <s:c r="A17474" s="120" t="inlineStr"/>
      <s:c r="B17474" s="121" t="n"/>
      <s:c r="C17474" s="121" t="n"/>
      <s:c r="D17474" s="121" t="n"/>
      <s:c r="E17474" s="122" t="n"/>
    </s:row>
    <s:row r="17475" hidden="1" ht="1" customHeight="1">
      <s:c r="A17475" s="120" t="inlineStr"/>
      <s:c r="B17475" s="121" t="n"/>
      <s:c r="C17475" s="121" t="n"/>
      <s:c r="D17475" s="121" t="n"/>
      <s:c r="E17475" s="122" t="n"/>
    </s:row>
    <s:row r="17476" hidden="1" ht="1" customHeight="1">
      <s:c r="A17476" s="120" t="inlineStr"/>
      <s:c r="B17476" s="121" t="n"/>
      <s:c r="C17476" s="121" t="n"/>
      <s:c r="D17476" s="121" t="n"/>
      <s:c r="E17476" s="122" t="n"/>
    </s:row>
    <s:row r="17477" hidden="1" ht="1" customHeight="1">
      <s:c r="A17477" s="120" t="inlineStr"/>
      <s:c r="B17477" s="121" t="n"/>
      <s:c r="C17477" s="121" t="n"/>
      <s:c r="D17477" s="121" t="n"/>
      <s:c r="E17477" s="122" t="n"/>
    </s:row>
    <s:row r="17478" hidden="1" ht="1" customHeight="1">
      <s:c r="A17478" s="120" t="inlineStr"/>
      <s:c r="B17478" s="121" t="n"/>
      <s:c r="C17478" s="121" t="n"/>
      <s:c r="D17478" s="121" t="n"/>
      <s:c r="E17478" s="122" t="n"/>
    </s:row>
    <s:row r="17479" hidden="1" ht="1" customHeight="1">
      <s:c r="A17479" s="120" t="inlineStr"/>
      <s:c r="B17479" s="121" t="n"/>
      <s:c r="C17479" s="121" t="n"/>
      <s:c r="D17479" s="121" t="n"/>
      <s:c r="E17479" s="122" t="n"/>
    </s:row>
    <s:row r="17480" hidden="1" ht="1" customHeight="1">
      <s:c r="A17480" s="120" t="inlineStr"/>
      <s:c r="B17480" s="121" t="n"/>
      <s:c r="C17480" s="121" t="n"/>
      <s:c r="D17480" s="121" t="n"/>
      <s:c r="E17480" s="122" t="n"/>
    </s:row>
    <s:row r="17481" hidden="1" ht="1" customHeight="1">
      <s:c r="A17481" s="120" t="inlineStr"/>
      <s:c r="B17481" s="121" t="n"/>
      <s:c r="C17481" s="121" t="n"/>
      <s:c r="D17481" s="121" t="n"/>
      <s:c r="E17481" s="122" t="n"/>
    </s:row>
    <s:row r="17482" hidden="1" ht="1" customHeight="1">
      <s:c r="A17482" s="120" t="inlineStr"/>
      <s:c r="B17482" s="121" t="n"/>
      <s:c r="C17482" s="121" t="n"/>
      <s:c r="D17482" s="121" t="n"/>
      <s:c r="E17482" s="122" t="n"/>
    </s:row>
    <s:row r="17483" hidden="1" ht="1" customHeight="1">
      <s:c r="A17483" s="120" t="inlineStr"/>
      <s:c r="B17483" s="121" t="n"/>
      <s:c r="C17483" s="121" t="n"/>
      <s:c r="D17483" s="121" t="n"/>
      <s:c r="E17483" s="122" t="n"/>
    </s:row>
    <s:row r="17484" hidden="1" ht="1" customHeight="1">
      <s:c r="A17484" s="120" t="inlineStr"/>
      <s:c r="B17484" s="121" t="n"/>
      <s:c r="C17484" s="121" t="n"/>
      <s:c r="D17484" s="121" t="n"/>
      <s:c r="E17484" s="122" t="n"/>
    </s:row>
    <s:row r="17485" hidden="1" ht="1" customHeight="1">
      <s:c r="A17485" s="120" t="inlineStr"/>
      <s:c r="B17485" s="121" t="n"/>
      <s:c r="C17485" s="121" t="n"/>
      <s:c r="D17485" s="121" t="n"/>
      <s:c r="E17485" s="122" t="n"/>
    </s:row>
    <s:row r="17486" hidden="1" ht="1" customHeight="1">
      <s:c r="A17486" s="120" t="inlineStr"/>
      <s:c r="B17486" s="121" t="n"/>
      <s:c r="C17486" s="121" t="n"/>
      <s:c r="D17486" s="121" t="n"/>
      <s:c r="E17486" s="122" t="n"/>
    </s:row>
    <s:row r="17487" hidden="1" ht="1" customHeight="1">
      <s:c r="A17487" s="120" t="inlineStr"/>
      <s:c r="B17487" s="121" t="n"/>
      <s:c r="C17487" s="121" t="n"/>
      <s:c r="D17487" s="121" t="n"/>
      <s:c r="E17487" s="122" t="n"/>
    </s:row>
    <s:row r="17488" hidden="1" ht="1" customHeight="1">
      <s:c r="A17488" s="120" t="inlineStr"/>
      <s:c r="B17488" s="121" t="n"/>
      <s:c r="C17488" s="121" t="n"/>
      <s:c r="D17488" s="121" t="n"/>
      <s:c r="E17488" s="122" t="n"/>
    </s:row>
    <s:row r="17489" hidden="1" ht="1" customHeight="1">
      <s:c r="A17489" s="120" t="inlineStr"/>
      <s:c r="B17489" s="121" t="n"/>
      <s:c r="C17489" s="121" t="n"/>
      <s:c r="D17489" s="121" t="n"/>
      <s:c r="E17489" s="122" t="n"/>
    </s:row>
    <s:row r="17490" hidden="1" ht="1" customHeight="1">
      <s:c r="A17490" s="120" t="inlineStr"/>
      <s:c r="B17490" s="121" t="n"/>
      <s:c r="C17490" s="121" t="n"/>
      <s:c r="D17490" s="121" t="n"/>
      <s:c r="E17490" s="122" t="n"/>
    </s:row>
    <s:row r="17491" hidden="1" ht="1" customHeight="1">
      <s:c r="A17491" s="120" t="inlineStr"/>
      <s:c r="B17491" s="121" t="n"/>
      <s:c r="C17491" s="121" t="n"/>
      <s:c r="D17491" s="121" t="n"/>
      <s:c r="E17491" s="122" t="n"/>
    </s:row>
    <s:row r="17492" hidden="1" ht="1" customHeight="1">
      <s:c r="A17492" s="120" t="inlineStr"/>
      <s:c r="B17492" s="121" t="n"/>
      <s:c r="C17492" s="121" t="n"/>
      <s:c r="D17492" s="121" t="n"/>
      <s:c r="E17492" s="122" t="n"/>
    </s:row>
    <s:row r="17493" hidden="1" ht="1" customHeight="1">
      <s:c r="A17493" s="120" t="inlineStr"/>
      <s:c r="B17493" s="121" t="n"/>
      <s:c r="C17493" s="121" t="n"/>
      <s:c r="D17493" s="121" t="n"/>
      <s:c r="E17493" s="122" t="n"/>
    </s:row>
    <s:row r="17494" hidden="1" ht="1" customHeight="1">
      <s:c r="A17494" s="120" t="inlineStr"/>
      <s:c r="B17494" s="121" t="n"/>
      <s:c r="C17494" s="121" t="n"/>
      <s:c r="D17494" s="121" t="n"/>
      <s:c r="E17494" s="122" t="n"/>
    </s:row>
    <s:row r="17495" hidden="1" ht="1" customHeight="1">
      <s:c r="A17495" s="120" t="inlineStr"/>
      <s:c r="B17495" s="121" t="n"/>
      <s:c r="C17495" s="121" t="n"/>
      <s:c r="D17495" s="121" t="n"/>
      <s:c r="E17495" s="122" t="n"/>
    </s:row>
    <s:row r="17496" hidden="1" ht="1" customHeight="1">
      <s:c r="A17496" s="120" t="inlineStr"/>
      <s:c r="B17496" s="121" t="n"/>
      <s:c r="C17496" s="121" t="n"/>
      <s:c r="D17496" s="121" t="n"/>
      <s:c r="E17496" s="122" t="n"/>
    </s:row>
    <s:row r="17497" hidden="1" ht="1" customHeight="1">
      <s:c r="A17497" s="120" t="inlineStr"/>
      <s:c r="B17497" s="121" t="n"/>
      <s:c r="C17497" s="121" t="n"/>
      <s:c r="D17497" s="121" t="n"/>
      <s:c r="E17497" s="122" t="n"/>
    </s:row>
    <s:row r="17498" hidden="1" ht="1" customHeight="1">
      <s:c r="A17498" s="120" t="inlineStr"/>
      <s:c r="B17498" s="121" t="n"/>
      <s:c r="C17498" s="121" t="n"/>
      <s:c r="D17498" s="121" t="n"/>
      <s:c r="E17498" s="122" t="n"/>
    </s:row>
    <s:row r="17499" hidden="1" ht="1" customHeight="1">
      <s:c r="A17499" s="120" t="inlineStr"/>
      <s:c r="B17499" s="121" t="n"/>
      <s:c r="C17499" s="121" t="n"/>
      <s:c r="D17499" s="121" t="n"/>
      <s:c r="E17499" s="122" t="n"/>
    </s:row>
    <s:row r="17500" hidden="1" ht="1" customHeight="1">
      <s:c r="A17500" s="120" t="inlineStr"/>
      <s:c r="B17500" s="121" t="n"/>
      <s:c r="C17500" s="121" t="n"/>
      <s:c r="D17500" s="121" t="n"/>
      <s:c r="E17500" s="122" t="n"/>
    </s:row>
    <s:row r="17501" hidden="1" ht="1" customHeight="1">
      <s:c r="A17501" s="120" t="inlineStr"/>
      <s:c r="B17501" s="121" t="n"/>
      <s:c r="C17501" s="121" t="n"/>
      <s:c r="D17501" s="121" t="n"/>
      <s:c r="E17501" s="122" t="n"/>
    </s:row>
    <s:row r="17502" hidden="1" ht="1" customHeight="1">
      <s:c r="A17502" s="120" t="inlineStr"/>
      <s:c r="B17502" s="121" t="n"/>
      <s:c r="C17502" s="121" t="n"/>
      <s:c r="D17502" s="121" t="n"/>
      <s:c r="E17502" s="122" t="n"/>
    </s:row>
    <s:row r="17503" hidden="1" ht="1" customHeight="1">
      <s:c r="A17503" s="120" t="inlineStr"/>
      <s:c r="B17503" s="121" t="n"/>
      <s:c r="C17503" s="121" t="n"/>
      <s:c r="D17503" s="121" t="n"/>
      <s:c r="E17503" s="122" t="n"/>
    </s:row>
    <s:row r="17504" hidden="1" ht="1" customHeight="1">
      <s:c r="A17504" s="120" t="inlineStr"/>
      <s:c r="B17504" s="121" t="n"/>
      <s:c r="C17504" s="121" t="n"/>
      <s:c r="D17504" s="121" t="n"/>
      <s:c r="E17504" s="122" t="n"/>
    </s:row>
    <s:row r="17505" hidden="1" ht="1" customHeight="1">
      <s:c r="A17505" s="120" t="inlineStr"/>
      <s:c r="B17505" s="121" t="n"/>
      <s:c r="C17505" s="121" t="n"/>
      <s:c r="D17505" s="121" t="n"/>
      <s:c r="E17505" s="122" t="n"/>
    </s:row>
    <s:row r="17506" hidden="1" ht="1" customHeight="1">
      <s:c r="A17506" s="120" t="inlineStr"/>
      <s:c r="B17506" s="121" t="n"/>
      <s:c r="C17506" s="121" t="n"/>
      <s:c r="D17506" s="121" t="n"/>
      <s:c r="E17506" s="122" t="n"/>
    </s:row>
    <s:row r="17507" hidden="1" ht="1" customHeight="1">
      <s:c r="A17507" s="120" t="inlineStr"/>
      <s:c r="B17507" s="121" t="n"/>
      <s:c r="C17507" s="121" t="n"/>
      <s:c r="D17507" s="121" t="n"/>
      <s:c r="E17507" s="122" t="n"/>
    </s:row>
    <s:row r="17508" hidden="1" ht="1" customHeight="1">
      <s:c r="A17508" s="120" t="inlineStr"/>
      <s:c r="B17508" s="121" t="n"/>
      <s:c r="C17508" s="121" t="n"/>
      <s:c r="D17508" s="121" t="n"/>
      <s:c r="E17508" s="122" t="n"/>
    </s:row>
    <s:row r="17509" hidden="1" ht="1" customHeight="1">
      <s:c r="A17509" s="120" t="inlineStr"/>
      <s:c r="B17509" s="121" t="n"/>
      <s:c r="C17509" s="121" t="n"/>
      <s:c r="D17509" s="121" t="n"/>
      <s:c r="E17509" s="122" t="n"/>
    </s:row>
    <s:row r="17510" hidden="1" ht="1" customHeight="1">
      <s:c r="A17510" s="120" t="inlineStr"/>
      <s:c r="B17510" s="121" t="n"/>
      <s:c r="C17510" s="121" t="n"/>
      <s:c r="D17510" s="121" t="n"/>
      <s:c r="E17510" s="122" t="n"/>
    </s:row>
    <s:row r="17511" hidden="1" ht="1" customHeight="1">
      <s:c r="A17511" s="120" t="inlineStr"/>
      <s:c r="B17511" s="121" t="n"/>
      <s:c r="C17511" s="121" t="n"/>
      <s:c r="D17511" s="121" t="n"/>
      <s:c r="E17511" s="122" t="n"/>
    </s:row>
    <s:row r="17512" hidden="1" ht="1" customHeight="1">
      <s:c r="A17512" s="120" t="inlineStr"/>
      <s:c r="B17512" s="121" t="n"/>
      <s:c r="C17512" s="121" t="n"/>
      <s:c r="D17512" s="121" t="n"/>
      <s:c r="E17512" s="122" t="n"/>
    </s:row>
    <s:row r="17513" hidden="1" ht="1" customHeight="1">
      <s:c r="A17513" s="120" t="inlineStr"/>
      <s:c r="B17513" s="121" t="n"/>
      <s:c r="C17513" s="121" t="n"/>
      <s:c r="D17513" s="121" t="n"/>
      <s:c r="E17513" s="122" t="n"/>
    </s:row>
    <s:row r="17514" hidden="1" ht="1" customHeight="1">
      <s:c r="A17514" s="120" t="inlineStr"/>
      <s:c r="B17514" s="121" t="n"/>
      <s:c r="C17514" s="121" t="n"/>
      <s:c r="D17514" s="121" t="n"/>
      <s:c r="E17514" s="122" t="n"/>
    </s:row>
    <s:row r="17515" hidden="1" ht="1" customHeight="1">
      <s:c r="A17515" s="120" t="inlineStr"/>
      <s:c r="B17515" s="121" t="n"/>
      <s:c r="C17515" s="121" t="n"/>
      <s:c r="D17515" s="121" t="n"/>
      <s:c r="E17515" s="122" t="n"/>
    </s:row>
    <s:row r="17516" hidden="1" ht="1" customHeight="1">
      <s:c r="A17516" s="120" t="inlineStr"/>
      <s:c r="B17516" s="121" t="n"/>
      <s:c r="C17516" s="121" t="n"/>
      <s:c r="D17516" s="121" t="n"/>
      <s:c r="E17516" s="122" t="n"/>
    </s:row>
    <s:row r="17517" hidden="1" ht="1" customHeight="1">
      <s:c r="A17517" s="120" t="inlineStr"/>
      <s:c r="B17517" s="121" t="n"/>
      <s:c r="C17517" s="121" t="n"/>
      <s:c r="D17517" s="121" t="n"/>
      <s:c r="E17517" s="122" t="n"/>
    </s:row>
    <s:row r="17518" hidden="1" ht="1" customHeight="1">
      <s:c r="A17518" s="120" t="inlineStr"/>
      <s:c r="B17518" s="121" t="n"/>
      <s:c r="C17518" s="121" t="n"/>
      <s:c r="D17518" s="121" t="n"/>
      <s:c r="E17518" s="122" t="n"/>
    </s:row>
    <s:row r="17519" hidden="1" ht="1" customHeight="1">
      <s:c r="A17519" s="120" t="inlineStr"/>
      <s:c r="B17519" s="121" t="n"/>
      <s:c r="C17519" s="121" t="n"/>
      <s:c r="D17519" s="121" t="n"/>
      <s:c r="E17519" s="122" t="n"/>
    </s:row>
    <s:row r="17520" hidden="1" ht="1" customHeight="1">
      <s:c r="A17520" s="120" t="inlineStr"/>
      <s:c r="B17520" s="121" t="n"/>
      <s:c r="C17520" s="121" t="n"/>
      <s:c r="D17520" s="121" t="n"/>
      <s:c r="E17520" s="122" t="n"/>
    </s:row>
    <s:row r="17521" hidden="1" ht="1" customHeight="1">
      <s:c r="A17521" s="120" t="inlineStr"/>
      <s:c r="B17521" s="121" t="n"/>
      <s:c r="C17521" s="121" t="n"/>
      <s:c r="D17521" s="121" t="n"/>
      <s:c r="E17521" s="122" t="n"/>
    </s:row>
    <s:row r="17522" hidden="1" ht="1" customHeight="1">
      <s:c r="A17522" s="120" t="inlineStr"/>
      <s:c r="B17522" s="121" t="n"/>
      <s:c r="C17522" s="121" t="n"/>
      <s:c r="D17522" s="121" t="n"/>
      <s:c r="E17522" s="122" t="n"/>
    </s:row>
    <s:row r="17523" hidden="1" ht="1" customHeight="1">
      <s:c r="A17523" s="120" t="inlineStr"/>
      <s:c r="B17523" s="121" t="n"/>
      <s:c r="C17523" s="121" t="n"/>
      <s:c r="D17523" s="121" t="n"/>
      <s:c r="E17523" s="122" t="n"/>
    </s:row>
    <s:row r="17524" hidden="1" ht="1" customHeight="1">
      <s:c r="A17524" s="120" t="inlineStr"/>
      <s:c r="B17524" s="121" t="n"/>
      <s:c r="C17524" s="121" t="n"/>
      <s:c r="D17524" s="121" t="n"/>
      <s:c r="E17524" s="122" t="n"/>
    </s:row>
    <s:row r="17525" hidden="1" ht="1" customHeight="1">
      <s:c r="A17525" s="120" t="inlineStr"/>
      <s:c r="B17525" s="121" t="n"/>
      <s:c r="C17525" s="121" t="n"/>
      <s:c r="D17525" s="121" t="n"/>
      <s:c r="E17525" s="122" t="n"/>
    </s:row>
    <s:row r="17526" hidden="1" ht="1" customHeight="1">
      <s:c r="A17526" s="120" t="inlineStr"/>
      <s:c r="B17526" s="121" t="n"/>
      <s:c r="C17526" s="121" t="n"/>
      <s:c r="D17526" s="121" t="n"/>
      <s:c r="E17526" s="122" t="n"/>
    </s:row>
    <s:row r="17527" hidden="1" ht="1" customHeight="1">
      <s:c r="A17527" s="120" t="inlineStr"/>
      <s:c r="B17527" s="121" t="n"/>
      <s:c r="C17527" s="121" t="n"/>
      <s:c r="D17527" s="121" t="n"/>
      <s:c r="E17527" s="122" t="n"/>
    </s:row>
    <s:row r="17528" hidden="1" ht="1" customHeight="1">
      <s:c r="A17528" s="120" t="inlineStr"/>
      <s:c r="B17528" s="121" t="n"/>
      <s:c r="C17528" s="121" t="n"/>
      <s:c r="D17528" s="121" t="n"/>
      <s:c r="E17528" s="122" t="n"/>
    </s:row>
    <s:row r="17529" hidden="1" ht="1" customHeight="1">
      <s:c r="A17529" s="120" t="inlineStr"/>
      <s:c r="B17529" s="121" t="n"/>
      <s:c r="C17529" s="121" t="n"/>
      <s:c r="D17529" s="121" t="n"/>
      <s:c r="E17529" s="122" t="n"/>
    </s:row>
    <s:row r="17530" hidden="1" ht="1" customHeight="1">
      <s:c r="A17530" s="120" t="inlineStr"/>
      <s:c r="B17530" s="121" t="n"/>
      <s:c r="C17530" s="121" t="n"/>
      <s:c r="D17530" s="121" t="n"/>
      <s:c r="E17530" s="122" t="n"/>
    </s:row>
    <s:row r="17531" hidden="1" ht="1" customHeight="1">
      <s:c r="A17531" s="120" t="inlineStr"/>
      <s:c r="B17531" s="121" t="n"/>
      <s:c r="C17531" s="121" t="n"/>
      <s:c r="D17531" s="121" t="n"/>
      <s:c r="E17531" s="122" t="n"/>
    </s:row>
    <s:row r="17532" hidden="1" ht="1" customHeight="1">
      <s:c r="A17532" s="120" t="inlineStr"/>
      <s:c r="B17532" s="121" t="n"/>
      <s:c r="C17532" s="121" t="n"/>
      <s:c r="D17532" s="121" t="n"/>
      <s:c r="E17532" s="122" t="n"/>
    </s:row>
    <s:row r="17533" hidden="1" ht="1" customHeight="1">
      <s:c r="A17533" s="120" t="inlineStr"/>
      <s:c r="B17533" s="121" t="n"/>
      <s:c r="C17533" s="121" t="n"/>
      <s:c r="D17533" s="121" t="n"/>
      <s:c r="E17533" s="122" t="n"/>
    </s:row>
    <s:row r="17534" hidden="1" ht="1" customHeight="1">
      <s:c r="A17534" s="120" t="inlineStr"/>
      <s:c r="B17534" s="121" t="n"/>
      <s:c r="C17534" s="121" t="n"/>
      <s:c r="D17534" s="121" t="n"/>
      <s:c r="E17534" s="122" t="n"/>
    </s:row>
    <s:row r="17535" hidden="1" ht="1" customHeight="1">
      <s:c r="A17535" s="120" t="inlineStr"/>
      <s:c r="B17535" s="121" t="n"/>
      <s:c r="C17535" s="121" t="n"/>
      <s:c r="D17535" s="121" t="n"/>
      <s:c r="E17535" s="122" t="n"/>
    </s:row>
    <s:row r="17536" hidden="1" ht="1" customHeight="1">
      <s:c r="A17536" s="120" t="inlineStr"/>
      <s:c r="B17536" s="121" t="n"/>
      <s:c r="C17536" s="121" t="n"/>
      <s:c r="D17536" s="121" t="n"/>
      <s:c r="E17536" s="122" t="n"/>
    </s:row>
    <s:row r="17537" hidden="1" ht="1" customHeight="1">
      <s:c r="A17537" s="120" t="inlineStr"/>
      <s:c r="B17537" s="121" t="n"/>
      <s:c r="C17537" s="121" t="n"/>
      <s:c r="D17537" s="121" t="n"/>
      <s:c r="E17537" s="122" t="n"/>
    </s:row>
    <s:row r="17538" hidden="1" ht="1" customHeight="1">
      <s:c r="A17538" s="120" t="inlineStr"/>
      <s:c r="B17538" s="121" t="n"/>
      <s:c r="C17538" s="121" t="n"/>
      <s:c r="D17538" s="121" t="n"/>
      <s:c r="E17538" s="122" t="n"/>
    </s:row>
    <s:row r="17539" hidden="1" ht="1" customHeight="1">
      <s:c r="A17539" s="120" t="inlineStr"/>
      <s:c r="B17539" s="121" t="n"/>
      <s:c r="C17539" s="121" t="n"/>
      <s:c r="D17539" s="121" t="n"/>
      <s:c r="E17539" s="122" t="n"/>
    </s:row>
    <s:row r="17540" hidden="1" ht="1" customHeight="1">
      <s:c r="A17540" s="120" t="inlineStr"/>
      <s:c r="B17540" s="121" t="n"/>
      <s:c r="C17540" s="121" t="n"/>
      <s:c r="D17540" s="121" t="n"/>
      <s:c r="E17540" s="122" t="n"/>
    </s:row>
    <s:row r="17541" hidden="1" ht="1" customHeight="1">
      <s:c r="A17541" s="120" t="inlineStr"/>
      <s:c r="B17541" s="121" t="n"/>
      <s:c r="C17541" s="121" t="n"/>
      <s:c r="D17541" s="121" t="n"/>
      <s:c r="E17541" s="122" t="n"/>
    </s:row>
    <s:row r="17542" hidden="1" ht="1" customHeight="1">
      <s:c r="A17542" s="120" t="inlineStr"/>
      <s:c r="B17542" s="121" t="n"/>
      <s:c r="C17542" s="121" t="n"/>
      <s:c r="D17542" s="121" t="n"/>
      <s:c r="E17542" s="122" t="n"/>
    </s:row>
    <s:row r="17543" hidden="1" ht="1" customHeight="1">
      <s:c r="A17543" s="120" t="inlineStr"/>
      <s:c r="B17543" s="121" t="n"/>
      <s:c r="C17543" s="121" t="n"/>
      <s:c r="D17543" s="121" t="n"/>
      <s:c r="E17543" s="122" t="n"/>
    </s:row>
    <s:row r="17544" hidden="1" ht="1" customHeight="1">
      <s:c r="A17544" s="83" t="inlineStr">
        <s:is>
          <s:t>PASS</s:t>
        </s:is>
      </s:c>
      <s:c r="B17544" s="83">
        <s:f>SUM(IF(EXACT('Kiểm thử'!E17244,"Đạt"),1,0),IF(EXACT('Kiểm thử'!E17246,"Đạt"),1,0),IF(EXACT('Kiểm thử'!E17248,"Đạt"),1,0),IF(EXACT('Kiểm thử'!E17250,"Đạt"),1,0),IF(EXACT('Kiểm thử'!E17252,"Đạt"),1,0),IF(EXACT('Kiểm thử'!E17254,"Đạt"),1,0))</s:f>
        <s:v/>
      </s:c>
      <s:c r="C17544" s="19" t="n"/>
      <s:c r="D17544" s="19" t="n"/>
      <s:c r="E17544" s="19" t="n"/>
    </s:row>
    <s:row r="17545" hidden="1" ht="1" customHeight="1">
      <s:c r="A17545" s="83" t="inlineStr">
        <s:is>
          <s:t>FAIL</s:t>
        </s:is>
      </s:c>
      <s:c r="B17545" s="83">
        <s:f>SUM(IF(EXACT('Kiểm thử'!E17244,"Không đạt"),1,0),IF(EXACT('Kiểm thử'!E17246,"Không đạt"),1,0),IF(EXACT('Kiểm thử'!E17248,"Không đạt"),1,0),IF(EXACT('Kiểm thử'!E17250,"Không đạt"),1,0),IF(EXACT('Kiểm thử'!E17252,"Không đạt"),1,0),IF(EXACT('Kiểm thử'!E17254,"Không đạt"),1,0))</s:f>
        <s:v/>
      </s:c>
      <s:c r="C17545" s="19" t="n"/>
      <s:c r="D17545" s="19" t="n"/>
      <s:c r="E17545" s="19" t="n"/>
    </s:row>
    <s:row r="17546" hidden="1" ht="1" customHeight="1">
      <s:c r="A17546" s="83" t="inlineStr">
        <s:is>
          <s:t>BLOCKED</s:t>
        </s:is>
      </s:c>
      <s:c r="B17546" s="83">
        <s:f>SUM(IF(EXACT('Kiểm thử'!E17244,"Bị chặn"),1,0),IF(EXACT('Kiểm thử'!E17246,"Bị chặn"),1,0),IF(EXACT('Kiểm thử'!E17248,"Bị chặn"),1,0),IF(EXACT('Kiểm thử'!E17250,"Bị chặn"),1,0),IF(EXACT('Kiểm thử'!E17252,"Bị chặn"),1,0),IF(EXACT('Kiểm thử'!E17254,"Bị chặn"),1,0))</s:f>
        <s:v/>
      </s:c>
      <s:c r="C17546" s="19" t="n"/>
      <s:c r="D17546" s="19" t="n"/>
      <s:c r="E17546" s="19" t="n"/>
    </s:row>
    <s:row r="17547" hidden="1" ht="1" customHeight="1">
      <s:c r="A17547" s="83" t="inlineStr">
        <s:is>
          <s:t>SKIPPED</s:t>
        </s:is>
      </s:c>
      <s:c r="B17547" s="83">
        <s:f>SUM(IF(EXACT('Kiểm thử'!E17244,"Không thực hiện"),1,0),IF(EXACT('Kiểm thử'!E17246,"Không thực hiện"),1,0),IF(EXACT('Kiểm thử'!E17248,"Không thực hiện"),1,0),IF(EXACT('Kiểm thử'!E17250,"Không thực hiện"),1,0),IF(EXACT('Kiểm thử'!E17252,"Không thực hiện"),1,0),IF(EXACT('Kiểm thử'!E17254,"Không thực hiện"),1,0))</s:f>
        <s:v/>
      </s:c>
      <s:c r="C17547" s="19" t="n"/>
      <s:c r="D17547" s="19" t="n"/>
      <s:c r="E17547" s="19" t="n"/>
    </s:row>
    <s:row r="17548" hidden="1" ht="1" customHeight="1">
      <s:c r="A17548" s="83" t="inlineStr">
        <s:is>
          <s:t>NOT RUN</s:t>
        </s:is>
      </s:c>
      <s:c r="B17548" s="83">
        <s:f>SUM(IF(EXACT('Kiểm thử'!E17244,"Chưa thực hiện"),1,0),IF(EXACT('Kiểm thử'!E17246,"Chưa thực hiện"),1,0),IF(EXACT('Kiểm thử'!E17248,"Chưa thực hiện"),1,0),IF(EXACT('Kiểm thử'!E17250,"Chưa thực hiện"),1,0),IF(EXACT('Kiểm thử'!E17252,"Chưa thực hiện"),1,0),IF(EXACT('Kiểm thử'!E17254,"Chưa thực hiện"),1,0))</s:f>
        <s:v/>
      </s:c>
      <s:c r="C17548" s="19" t="n"/>
      <s:c r="D17548" s="19" t="n"/>
      <s:c r="E17548" s="19" t="n"/>
    </s:row>
    <s:row r="17549" hidden="1" ht="6" customHeight="1">
      <s:c r="A17549" s="83" t="inlineStr"/>
      <s:c r="B17549" s="19" t="n"/>
      <s:c r="C17549" s="19" t="n"/>
      <s:c r="D17549" s="19" t="n"/>
      <s:c r="E17549" s="19" t="n"/>
    </s:row>
    <s:row r="17550" ht="28" customHeight="1">
      <s:c r="A17550" s="108" t="inlineStr">
        <s:is>
          <s:t>TC-RS-FUNC-028 — Công khai: web, API và PDF học sinh dùng cùng kết quả và cùng hiệu ứng</s:t>
        </s:is>
      </s:c>
      <s:c r="B17550" s="111" t="n"/>
      <s:c r="C17550" s="111" t="n"/>
      <s:c r="D17550" s="111" t="n"/>
      <s:c r="E17550" s="111" t="n"/>
    </s:row>
    <s:row r="17551" ht="20" customHeight="1">
      <s:c r="A17551" s="112" t="inlineStr">
        <s:is>
          <s:t>Kết quả tình huống</s:t>
        </s:is>
      </s:c>
      <s:c r="B17551" s="113">
        <s:f>IF(SUM(IF(EXACT('Kiểm thử'!E17559,"Không đạt"),1,0),IF(EXACT('Kiểm thử'!E17561,"Không đạt"),1,0),IF(EXACT('Kiểm thử'!E17563,"Không đạt"),1,0))&gt;0,"Không đạt",IF(SUM(IF(EXACT('Kiểm thử'!E17559,"Đạt"),1,0),IF(EXACT('Kiểm thử'!E17561,"Đạt"),1,0),IF(EXACT('Kiểm thử'!E17563,"Đạt"),1,0))=3,"Đạt",IF(SUM(IF(EXACT('Kiểm thử'!E17559,"Không thực hiện"),1,0),IF(EXACT('Kiểm thử'!E17561,"Không thực hiện"),1,0),IF(EXACT('Kiểm thử'!E17563,"Không thực hiện"),1,0))=3,"Không thực hiện",IF(SUM(IF(EXACT('Kiểm thử'!E17559,"Bị chặn"),1,0),IF(EXACT('Kiểm thử'!E17561,"Bị chặn"),1,0),IF(EXACT('Kiểm thử'!E17563,"Bị chặn"),1,0))&gt;0,"Bị chặn",IF(SUM(IF(EXACT('Kiểm thử'!E17559,"Chưa thực hiện"),1,0),IF(EXACT('Kiểm thử'!E17561,"Chưa thực hiện"),1,0),IF(EXACT('Kiểm thử'!E17563,"Chưa thực hiện"),1,0))=3,"Chưa thực hiện","Đang thực hiện")))))</s:f>
        <s:v/>
      </s:c>
      <s:c r="C17551" s="114" t="n"/>
      <s:c r="D17551" s="114" t="n"/>
      <s:c r="E17551" s="114" t="n"/>
    </s:row>
    <s:row r="17552" ht="20" customHeight="1">
      <s:c r="A17552" s="112" t="inlineStr">
        <s:is>
          <s:t>Màn hình / chức năng</s:t>
        </s:is>
      </s:c>
      <s:c r="B17552" s="113" t="inlineStr">
        <s:is>
          <s:r>
            <s:rPr>
              <s:b val="1"/>
            </s:rPr>
            <s:t>Công khai thành tích（成績公開）</s:t>
          </s:r>
        </s:is>
      </s:c>
      <s:c r="C17552" s="28" t="n"/>
      <s:c r="D17552" s="28" t="n"/>
      <s:c r="E17552" s="28" t="n"/>
    </s:row>
    <s:row r="17553" ht="34" customHeight="1">
      <s:c r="A17553" s="112" t="inlineStr">
        <s:is>
          <s:t>Cấu hình</s:t>
        </s:is>
      </s:c>
      <s:c r="B17553" s="113" t="inlineStr">
        <s:is>
          <s:r>
            <s:t xml:space="preserve">• Như case </s:t>
          </s:r>
          <s:r>
            <s:rPr>
              <s:b val="1"/>
            </s:rPr>
            <s:t>“Công khai thành tích（成績公開）</s:t>
          </s:r>
          <s:r>
            <s:t>: ba hiệu ứng đỏ hiển thị đúng ở màn học sinh” với hiệu ứng [*] trước.</s:t>
          </s:r>
        </s:is>
      </s:c>
      <s:c r="C17553" s="28" t="n"/>
      <s:c r="D17553" s="28" t="n"/>
      <s:c r="E17553" s="28" t="n"/>
    </s:row>
    <s:row r="17554" ht="20" customHeight="1">
      <s:c r="A17554" s="112" t="inlineStr">
        <s:is>
          <s:t>Dữ liệu test</s:t>
        </s:is>
      </s:c>
      <s:c r="B17554" s="113" t="inlineStr">
        <s:is>
          <s:t>• Học sinh S01 (điểm 29), tài khoản học sinh S01</s:t>
        </s:is>
      </s:c>
      <s:c r="C17554" s="28" t="n"/>
      <s:c r="D17554" s="28" t="n"/>
      <s:c r="E17554" s="28" t="n"/>
    </s:row>
    <s:row r="17555" ht="20" customHeight="1">
      <s:c r="A17555" s="112" t="inlineStr">
        <s:is>
          <s:t>Bước 1</s:t>
        </s:is>
      </s:c>
      <s:c r="B17555" s="113" t="inlineStr">
        <s:is>
          <s:t>Xác minh S01=29 Đỏ và cấu hình công khai [*] trước, phiên học sinh đúng quyền.</s:t>
        </s:is>
      </s:c>
      <s:c r="C17555" s="28" t="n"/>
      <s:c r="D17555" s="28" t="n"/>
      <s:c r="E17555" s="28" t="n"/>
    </s:row>
    <s:row r="17556" ht="20" customHeight="1">
      <s:c r="A17556" s="112" t="inlineStr">
        <s:is>
          <s:t>Bước 2</s:t>
        </s:is>
      </s:c>
      <s:c r="B17556" s="113" t="inlineStr">
        <s:is>
          <s:t>Xem/tải kênh của trường hợp, đối chiếu cùng ô với các kênh còn lại.</s:t>
        </s:is>
      </s:c>
      <s:c r="C17556" s="28" t="n"/>
      <s:c r="D17556" s="28" t="n"/>
      <s:c r="E17556" s="28" t="n"/>
    </s:row>
    <s:row r="17557" ht="28" customHeight="1">
      <s:c r="A17557" s="115" t="inlineStr">
        <s:is>
          <s:t>Trường hợp</s:t>
        </s:is>
      </s:c>
      <s:c r="B17557" s="115" t="inlineStr">
        <s:is>
          <s:t>Dữ liệu / thao tác riêng</s:t>
        </s:is>
      </s:c>
      <s:c r="C17557" s="115" t="inlineStr">
        <s:is>
          <s:t>Kết quả mong đợi</s:t>
        </s:is>
      </s:c>
      <s:c r="D17557" s="115" t="inlineStr">
        <s:is>
          <s:t>Kết quả thực tế</s:t>
        </s:is>
      </s:c>
      <s:c r="E17557" s="115" t="inlineStr">
        <s:is>
          <s:t>Đánh giá</s:t>
        </s:is>
      </s:c>
    </s:row>
    <s:row r="17558" ht="3" customHeight="1">
      <s:c r="A17558" s="102" t="inlineStr"/>
      <s:c r="B17558" s="99" t="n"/>
      <s:c r="C17558" s="99" t="n"/>
      <s:c r="D17558" s="116" t="n"/>
      <s:c r="E17558" s="116" t="n"/>
    </s:row>
    <s:row r="17559" ht="62" customHeight="1">
      <s:c r="A17559" s="83" t="inlineStr">
        <s:is>
          <s:t>Web học sinh (web)</s:t>
        </s:is>
      </s:c>
      <s:c r="B17559" s="83" t="inlineStr">
        <s:is>
          <s:r>
            <s:t xml:space="preserve">S01=29 Đỏ, hiệu ứng [*] phía trước; dùng tài khoản S01 xem/tải màn </s:t>
          </s:r>
          <s:r>
            <s:rPr>
              <s:b val="1"/>
            </s:rPr>
            <s:t>Xác nhận thành tích（成績確認）</s:t>
          </s:r>
          <s:r>
            <s:t xml:space="preserve"> của cùng ô/kỳ.</s:t>
          </s:r>
        </s:is>
      </s:c>
      <s:c r="C17559" s="83" t="inlineStr">
        <s:is>
          <s:t>Cả ba hiển thị [*29] cho cùng ô; không nền màu.</s:t>
        </s:is>
      </s:c>
      <s:c r="D17559" s="117" t="inlineStr"/>
      <s:c r="E17559" s="118" t="inlineStr">
        <s:is>
          <s:t>Chưa thực hiện</s:t>
        </s:is>
      </s:c>
    </s:row>
    <s:row r="17560" ht="3" customHeight="1">
      <s:c r="A17560" s="102" t="inlineStr"/>
      <s:c r="B17560" s="99" t="n"/>
      <s:c r="C17560" s="99" t="n"/>
      <s:c r="D17560" s="116" t="n"/>
      <s:c r="E17560" s="116" t="n"/>
    </s:row>
    <s:row r="17561" ht="62" customHeight="1">
      <s:c r="A17561" s="83" t="inlineStr">
        <s:is>
          <s:t>API học sinh (api)</s:t>
        </s:is>
      </s:c>
      <s:c r="B17561" s="83" t="inlineStr">
        <s:is>
          <s:t>S01=29 Đỏ, hiệu ứng [*] phía trước; dùng tài khoản S01 xem/tải response API công khai bằng phiên học sinh của cùng ô/kỳ.</s:t>
        </s:is>
      </s:c>
      <s:c r="C17561" s="83" t="inlineStr">
        <s:is>
          <s:t>Cả ba hiển thị [*29] cho cùng ô; không nền màu.</s:t>
        </s:is>
      </s:c>
      <s:c r="D17561" s="117" t="inlineStr"/>
      <s:c r="E17561" s="118" t="inlineStr">
        <s:is>
          <s:t>Chưa thực hiện</s:t>
        </s:is>
      </s:c>
    </s:row>
    <s:row r="17562" ht="3" customHeight="1">
      <s:c r="A17562" s="102" t="inlineStr"/>
      <s:c r="B17562" s="99" t="n"/>
      <s:c r="C17562" s="99" t="n"/>
      <s:c r="D17562" s="116" t="n"/>
      <s:c r="E17562" s="116" t="n"/>
    </s:row>
    <s:row r="17563" ht="62" customHeight="1">
      <s:c r="A17563" s="83" t="inlineStr">
        <s:is>
          <s:t>PDF học sinh (pdf)</s:t>
        </s:is>
      </s:c>
      <s:c r="B17563" s="83" t="inlineStr">
        <s:is>
          <s:t>S01=29 Đỏ, hiệu ứng [*] phía trước; dùng tài khoản S01 xem/tải PDF công khai của đúng học sinh của cùng ô/kỳ.</s:t>
        </s:is>
      </s:c>
      <s:c r="C17563" s="83" t="inlineStr">
        <s:is>
          <s:t>Cả ba hiển thị [*29] cho cùng ô; không nền màu.</s:t>
        </s:is>
      </s:c>
      <s:c r="D17563" s="117" t="inlineStr"/>
      <s:c r="E17563" s="118" t="inlineStr">
        <s:is>
          <s:t>Chưa thực hiện</s:t>
        </s:is>
      </s:c>
    </s:row>
    <s:row r="17564" ht="20" customHeight="1">
      <s:c r="A17564" s="119" t="inlineStr">
        <s:is>
          <s:t>Ảnh minh chứng — Chưa có ảnh</s:t>
        </s:is>
      </s:c>
      <s:c r="B17564" s="19" t="n"/>
      <s:c r="C17564" s="19" t="n"/>
      <s:c r="D17564" s="19" t="n"/>
      <s:c r="E17564" s="19" t="n"/>
    </s:row>
    <s:row r="17565" hidden="1" ht="1" customHeight="1">
      <s:c r="A17565" s="120" t="inlineStr"/>
      <s:c r="B17565" s="121" t="n"/>
      <s:c r="C17565" s="121" t="n"/>
      <s:c r="D17565" s="121" t="n"/>
      <s:c r="E17565" s="122" t="n"/>
    </s:row>
    <s:row r="17566" hidden="1" ht="1" customHeight="1">
      <s:c r="A17566" s="120" t="inlineStr"/>
      <s:c r="B17566" s="121" t="n"/>
      <s:c r="C17566" s="121" t="n"/>
      <s:c r="D17566" s="121" t="n"/>
      <s:c r="E17566" s="122" t="n"/>
    </s:row>
    <s:row r="17567" hidden="1" ht="1" customHeight="1">
      <s:c r="A17567" s="120" t="inlineStr"/>
      <s:c r="B17567" s="121" t="n"/>
      <s:c r="C17567" s="121" t="n"/>
      <s:c r="D17567" s="121" t="n"/>
      <s:c r="E17567" s="122" t="n"/>
    </s:row>
    <s:row r="17568" hidden="1" ht="1" customHeight="1">
      <s:c r="A17568" s="120" t="inlineStr"/>
      <s:c r="B17568" s="121" t="n"/>
      <s:c r="C17568" s="121" t="n"/>
      <s:c r="D17568" s="121" t="n"/>
      <s:c r="E17568" s="122" t="n"/>
    </s:row>
    <s:row r="17569" hidden="1" ht="1" customHeight="1">
      <s:c r="A17569" s="120" t="inlineStr"/>
      <s:c r="B17569" s="121" t="n"/>
      <s:c r="C17569" s="121" t="n"/>
      <s:c r="D17569" s="121" t="n"/>
      <s:c r="E17569" s="122" t="n"/>
    </s:row>
    <s:row r="17570" hidden="1" ht="1" customHeight="1">
      <s:c r="A17570" s="120" t="inlineStr"/>
      <s:c r="B17570" s="121" t="n"/>
      <s:c r="C17570" s="121" t="n"/>
      <s:c r="D17570" s="121" t="n"/>
      <s:c r="E17570" s="122" t="n"/>
    </s:row>
    <s:row r="17571" hidden="1" ht="1" customHeight="1">
      <s:c r="A17571" s="120" t="inlineStr"/>
      <s:c r="B17571" s="121" t="n"/>
      <s:c r="C17571" s="121" t="n"/>
      <s:c r="D17571" s="121" t="n"/>
      <s:c r="E17571" s="122" t="n"/>
    </s:row>
    <s:row r="17572" hidden="1" ht="1" customHeight="1">
      <s:c r="A17572" s="120" t="inlineStr"/>
      <s:c r="B17572" s="121" t="n"/>
      <s:c r="C17572" s="121" t="n"/>
      <s:c r="D17572" s="121" t="n"/>
      <s:c r="E17572" s="122" t="n"/>
    </s:row>
    <s:row r="17573" hidden="1" ht="1" customHeight="1">
      <s:c r="A17573" s="120" t="inlineStr"/>
      <s:c r="B17573" s="121" t="n"/>
      <s:c r="C17573" s="121" t="n"/>
      <s:c r="D17573" s="121" t="n"/>
      <s:c r="E17573" s="122" t="n"/>
    </s:row>
    <s:row r="17574" hidden="1" ht="1" customHeight="1">
      <s:c r="A17574" s="120" t="inlineStr"/>
      <s:c r="B17574" s="121" t="n"/>
      <s:c r="C17574" s="121" t="n"/>
      <s:c r="D17574" s="121" t="n"/>
      <s:c r="E17574" s="122" t="n"/>
    </s:row>
    <s:row r="17575" hidden="1" ht="1" customHeight="1">
      <s:c r="A17575" s="120" t="inlineStr"/>
      <s:c r="B17575" s="121" t="n"/>
      <s:c r="C17575" s="121" t="n"/>
      <s:c r="D17575" s="121" t="n"/>
      <s:c r="E17575" s="122" t="n"/>
    </s:row>
    <s:row r="17576" hidden="1" ht="1" customHeight="1">
      <s:c r="A17576" s="120" t="inlineStr"/>
      <s:c r="B17576" s="121" t="n"/>
      <s:c r="C17576" s="121" t="n"/>
      <s:c r="D17576" s="121" t="n"/>
      <s:c r="E17576" s="122" t="n"/>
    </s:row>
    <s:row r="17577" hidden="1" ht="1" customHeight="1">
      <s:c r="A17577" s="120" t="inlineStr"/>
      <s:c r="B17577" s="121" t="n"/>
      <s:c r="C17577" s="121" t="n"/>
      <s:c r="D17577" s="121" t="n"/>
      <s:c r="E17577" s="122" t="n"/>
    </s:row>
    <s:row r="17578" hidden="1" ht="1" customHeight="1">
      <s:c r="A17578" s="120" t="inlineStr"/>
      <s:c r="B17578" s="121" t="n"/>
      <s:c r="C17578" s="121" t="n"/>
      <s:c r="D17578" s="121" t="n"/>
      <s:c r="E17578" s="122" t="n"/>
    </s:row>
    <s:row r="17579" hidden="1" ht="1" customHeight="1">
      <s:c r="A17579" s="120" t="inlineStr"/>
      <s:c r="B17579" s="121" t="n"/>
      <s:c r="C17579" s="121" t="n"/>
      <s:c r="D17579" s="121" t="n"/>
      <s:c r="E17579" s="122" t="n"/>
    </s:row>
    <s:row r="17580" hidden="1" ht="1" customHeight="1">
      <s:c r="A17580" s="120" t="inlineStr"/>
      <s:c r="B17580" s="121" t="n"/>
      <s:c r="C17580" s="121" t="n"/>
      <s:c r="D17580" s="121" t="n"/>
      <s:c r="E17580" s="122" t="n"/>
    </s:row>
    <s:row r="17581" hidden="1" ht="1" customHeight="1">
      <s:c r="A17581" s="120" t="inlineStr"/>
      <s:c r="B17581" s="121" t="n"/>
      <s:c r="C17581" s="121" t="n"/>
      <s:c r="D17581" s="121" t="n"/>
      <s:c r="E17581" s="122" t="n"/>
    </s:row>
    <s:row r="17582" hidden="1" ht="1" customHeight="1">
      <s:c r="A17582" s="120" t="inlineStr"/>
      <s:c r="B17582" s="121" t="n"/>
      <s:c r="C17582" s="121" t="n"/>
      <s:c r="D17582" s="121" t="n"/>
      <s:c r="E17582" s="122" t="n"/>
    </s:row>
    <s:row r="17583" hidden="1" ht="1" customHeight="1">
      <s:c r="A17583" s="120" t="inlineStr"/>
      <s:c r="B17583" s="121" t="n"/>
      <s:c r="C17583" s="121" t="n"/>
      <s:c r="D17583" s="121" t="n"/>
      <s:c r="E17583" s="122" t="n"/>
    </s:row>
    <s:row r="17584" hidden="1" ht="1" customHeight="1">
      <s:c r="A17584" s="120" t="inlineStr"/>
      <s:c r="B17584" s="121" t="n"/>
      <s:c r="C17584" s="121" t="n"/>
      <s:c r="D17584" s="121" t="n"/>
      <s:c r="E17584" s="122" t="n"/>
    </s:row>
    <s:row r="17585" hidden="1" ht="1" customHeight="1">
      <s:c r="A17585" s="120" t="inlineStr"/>
      <s:c r="B17585" s="121" t="n"/>
      <s:c r="C17585" s="121" t="n"/>
      <s:c r="D17585" s="121" t="n"/>
      <s:c r="E17585" s="122" t="n"/>
    </s:row>
    <s:row r="17586" hidden="1" ht="1" customHeight="1">
      <s:c r="A17586" s="120" t="inlineStr"/>
      <s:c r="B17586" s="121" t="n"/>
      <s:c r="C17586" s="121" t="n"/>
      <s:c r="D17586" s="121" t="n"/>
      <s:c r="E17586" s="122" t="n"/>
    </s:row>
    <s:row r="17587" hidden="1" ht="1" customHeight="1">
      <s:c r="A17587" s="120" t="inlineStr"/>
      <s:c r="B17587" s="121" t="n"/>
      <s:c r="C17587" s="121" t="n"/>
      <s:c r="D17587" s="121" t="n"/>
      <s:c r="E17587" s="122" t="n"/>
    </s:row>
    <s:row r="17588" hidden="1" ht="1" customHeight="1">
      <s:c r="A17588" s="120" t="inlineStr"/>
      <s:c r="B17588" s="121" t="n"/>
      <s:c r="C17588" s="121" t="n"/>
      <s:c r="D17588" s="121" t="n"/>
      <s:c r="E17588" s="122" t="n"/>
    </s:row>
    <s:row r="17589" hidden="1" ht="1" customHeight="1">
      <s:c r="A17589" s="120" t="inlineStr"/>
      <s:c r="B17589" s="121" t="n"/>
      <s:c r="C17589" s="121" t="n"/>
      <s:c r="D17589" s="121" t="n"/>
      <s:c r="E17589" s="122" t="n"/>
    </s:row>
    <s:row r="17590" hidden="1" ht="1" customHeight="1">
      <s:c r="A17590" s="120" t="inlineStr"/>
      <s:c r="B17590" s="121" t="n"/>
      <s:c r="C17590" s="121" t="n"/>
      <s:c r="D17590" s="121" t="n"/>
      <s:c r="E17590" s="122" t="n"/>
    </s:row>
    <s:row r="17591" hidden="1" ht="1" customHeight="1">
      <s:c r="A17591" s="120" t="inlineStr"/>
      <s:c r="B17591" s="121" t="n"/>
      <s:c r="C17591" s="121" t="n"/>
      <s:c r="D17591" s="121" t="n"/>
      <s:c r="E17591" s="122" t="n"/>
    </s:row>
    <s:row r="17592" hidden="1" ht="1" customHeight="1">
      <s:c r="A17592" s="120" t="inlineStr"/>
      <s:c r="B17592" s="121" t="n"/>
      <s:c r="C17592" s="121" t="n"/>
      <s:c r="D17592" s="121" t="n"/>
      <s:c r="E17592" s="122" t="n"/>
    </s:row>
    <s:row r="17593" hidden="1" ht="1" customHeight="1">
      <s:c r="A17593" s="120" t="inlineStr"/>
      <s:c r="B17593" s="121" t="n"/>
      <s:c r="C17593" s="121" t="n"/>
      <s:c r="D17593" s="121" t="n"/>
      <s:c r="E17593" s="122" t="n"/>
    </s:row>
    <s:row r="17594" hidden="1" ht="1" customHeight="1">
      <s:c r="A17594" s="120" t="inlineStr"/>
      <s:c r="B17594" s="121" t="n"/>
      <s:c r="C17594" s="121" t="n"/>
      <s:c r="D17594" s="121" t="n"/>
      <s:c r="E17594" s="122" t="n"/>
    </s:row>
    <s:row r="17595" hidden="1" ht="1" customHeight="1">
      <s:c r="A17595" s="120" t="inlineStr"/>
      <s:c r="B17595" s="121" t="n"/>
      <s:c r="C17595" s="121" t="n"/>
      <s:c r="D17595" s="121" t="n"/>
      <s:c r="E17595" s="122" t="n"/>
    </s:row>
    <s:row r="17596" hidden="1" ht="1" customHeight="1">
      <s:c r="A17596" s="120" t="inlineStr"/>
      <s:c r="B17596" s="121" t="n"/>
      <s:c r="C17596" s="121" t="n"/>
      <s:c r="D17596" s="121" t="n"/>
      <s:c r="E17596" s="122" t="n"/>
    </s:row>
    <s:row r="17597" hidden="1" ht="1" customHeight="1">
      <s:c r="A17597" s="120" t="inlineStr"/>
      <s:c r="B17597" s="121" t="n"/>
      <s:c r="C17597" s="121" t="n"/>
      <s:c r="D17597" s="121" t="n"/>
      <s:c r="E17597" s="122" t="n"/>
    </s:row>
    <s:row r="17598" hidden="1" ht="1" customHeight="1">
      <s:c r="A17598" s="120" t="inlineStr"/>
      <s:c r="B17598" s="121" t="n"/>
      <s:c r="C17598" s="121" t="n"/>
      <s:c r="D17598" s="121" t="n"/>
      <s:c r="E17598" s="122" t="n"/>
    </s:row>
    <s:row r="17599" hidden="1" ht="1" customHeight="1">
      <s:c r="A17599" s="120" t="inlineStr"/>
      <s:c r="B17599" s="121" t="n"/>
      <s:c r="C17599" s="121" t="n"/>
      <s:c r="D17599" s="121" t="n"/>
      <s:c r="E17599" s="122" t="n"/>
    </s:row>
    <s:row r="17600" hidden="1" ht="1" customHeight="1">
      <s:c r="A17600" s="120" t="inlineStr"/>
      <s:c r="B17600" s="121" t="n"/>
      <s:c r="C17600" s="121" t="n"/>
      <s:c r="D17600" s="121" t="n"/>
      <s:c r="E17600" s="122" t="n"/>
    </s:row>
    <s:row r="17601" hidden="1" ht="1" customHeight="1">
      <s:c r="A17601" s="120" t="inlineStr"/>
      <s:c r="B17601" s="121" t="n"/>
      <s:c r="C17601" s="121" t="n"/>
      <s:c r="D17601" s="121" t="n"/>
      <s:c r="E17601" s="122" t="n"/>
    </s:row>
    <s:row r="17602" hidden="1" ht="1" customHeight="1">
      <s:c r="A17602" s="120" t="inlineStr"/>
      <s:c r="B17602" s="121" t="n"/>
      <s:c r="C17602" s="121" t="n"/>
      <s:c r="D17602" s="121" t="n"/>
      <s:c r="E17602" s="122" t="n"/>
    </s:row>
    <s:row r="17603" hidden="1" ht="1" customHeight="1">
      <s:c r="A17603" s="120" t="inlineStr"/>
      <s:c r="B17603" s="121" t="n"/>
      <s:c r="C17603" s="121" t="n"/>
      <s:c r="D17603" s="121" t="n"/>
      <s:c r="E17603" s="122" t="n"/>
    </s:row>
    <s:row r="17604" hidden="1" ht="1" customHeight="1">
      <s:c r="A17604" s="120" t="inlineStr"/>
      <s:c r="B17604" s="121" t="n"/>
      <s:c r="C17604" s="121" t="n"/>
      <s:c r="D17604" s="121" t="n"/>
      <s:c r="E17604" s="122" t="n"/>
    </s:row>
    <s:row r="17605" hidden="1" ht="1" customHeight="1">
      <s:c r="A17605" s="120" t="inlineStr"/>
      <s:c r="B17605" s="121" t="n"/>
      <s:c r="C17605" s="121" t="n"/>
      <s:c r="D17605" s="121" t="n"/>
      <s:c r="E17605" s="122" t="n"/>
    </s:row>
    <s:row r="17606" hidden="1" ht="1" customHeight="1">
      <s:c r="A17606" s="120" t="inlineStr"/>
      <s:c r="B17606" s="121" t="n"/>
      <s:c r="C17606" s="121" t="n"/>
      <s:c r="D17606" s="121" t="n"/>
      <s:c r="E17606" s="122" t="n"/>
    </s:row>
    <s:row r="17607" hidden="1" ht="1" customHeight="1">
      <s:c r="A17607" s="120" t="inlineStr"/>
      <s:c r="B17607" s="121" t="n"/>
      <s:c r="C17607" s="121" t="n"/>
      <s:c r="D17607" s="121" t="n"/>
      <s:c r="E17607" s="122" t="n"/>
    </s:row>
    <s:row r="17608" hidden="1" ht="1" customHeight="1">
      <s:c r="A17608" s="120" t="inlineStr"/>
      <s:c r="B17608" s="121" t="n"/>
      <s:c r="C17608" s="121" t="n"/>
      <s:c r="D17608" s="121" t="n"/>
      <s:c r="E17608" s="122" t="n"/>
    </s:row>
    <s:row r="17609" hidden="1" ht="1" customHeight="1">
      <s:c r="A17609" s="120" t="inlineStr"/>
      <s:c r="B17609" s="121" t="n"/>
      <s:c r="C17609" s="121" t="n"/>
      <s:c r="D17609" s="121" t="n"/>
      <s:c r="E17609" s="122" t="n"/>
    </s:row>
    <s:row r="17610" hidden="1" ht="1" customHeight="1">
      <s:c r="A17610" s="120" t="inlineStr"/>
      <s:c r="B17610" s="121" t="n"/>
      <s:c r="C17610" s="121" t="n"/>
      <s:c r="D17610" s="121" t="n"/>
      <s:c r="E17610" s="122" t="n"/>
    </s:row>
    <s:row r="17611" hidden="1" ht="1" customHeight="1">
      <s:c r="A17611" s="120" t="inlineStr"/>
      <s:c r="B17611" s="121" t="n"/>
      <s:c r="C17611" s="121" t="n"/>
      <s:c r="D17611" s="121" t="n"/>
      <s:c r="E17611" s="122" t="n"/>
    </s:row>
    <s:row r="17612" hidden="1" ht="1" customHeight="1">
      <s:c r="A17612" s="120" t="inlineStr"/>
      <s:c r="B17612" s="121" t="n"/>
      <s:c r="C17612" s="121" t="n"/>
      <s:c r="D17612" s="121" t="n"/>
      <s:c r="E17612" s="122" t="n"/>
    </s:row>
    <s:row r="17613" hidden="1" ht="1" customHeight="1">
      <s:c r="A17613" s="120" t="inlineStr"/>
      <s:c r="B17613" s="121" t="n"/>
      <s:c r="C17613" s="121" t="n"/>
      <s:c r="D17613" s="121" t="n"/>
      <s:c r="E17613" s="122" t="n"/>
    </s:row>
    <s:row r="17614" hidden="1" ht="1" customHeight="1">
      <s:c r="A17614" s="120" t="inlineStr"/>
      <s:c r="B17614" s="121" t="n"/>
      <s:c r="C17614" s="121" t="n"/>
      <s:c r="D17614" s="121" t="n"/>
      <s:c r="E17614" s="122" t="n"/>
    </s:row>
    <s:row r="17615" hidden="1" ht="1" customHeight="1">
      <s:c r="A17615" s="120" t="inlineStr"/>
      <s:c r="B17615" s="121" t="n"/>
      <s:c r="C17615" s="121" t="n"/>
      <s:c r="D17615" s="121" t="n"/>
      <s:c r="E17615" s="122" t="n"/>
    </s:row>
    <s:row r="17616" hidden="1" ht="1" customHeight="1">
      <s:c r="A17616" s="120" t="inlineStr"/>
      <s:c r="B17616" s="121" t="n"/>
      <s:c r="C17616" s="121" t="n"/>
      <s:c r="D17616" s="121" t="n"/>
      <s:c r="E17616" s="122" t="n"/>
    </s:row>
    <s:row r="17617" hidden="1" ht="1" customHeight="1">
      <s:c r="A17617" s="120" t="inlineStr"/>
      <s:c r="B17617" s="121" t="n"/>
      <s:c r="C17617" s="121" t="n"/>
      <s:c r="D17617" s="121" t="n"/>
      <s:c r="E17617" s="122" t="n"/>
    </s:row>
    <s:row r="17618" hidden="1" ht="1" customHeight="1">
      <s:c r="A17618" s="120" t="inlineStr"/>
      <s:c r="B17618" s="121" t="n"/>
      <s:c r="C17618" s="121" t="n"/>
      <s:c r="D17618" s="121" t="n"/>
      <s:c r="E17618" s="122" t="n"/>
    </s:row>
    <s:row r="17619" hidden="1" ht="1" customHeight="1">
      <s:c r="A17619" s="120" t="inlineStr"/>
      <s:c r="B17619" s="121" t="n"/>
      <s:c r="C17619" s="121" t="n"/>
      <s:c r="D17619" s="121" t="n"/>
      <s:c r="E17619" s="122" t="n"/>
    </s:row>
    <s:row r="17620" hidden="1" ht="1" customHeight="1">
      <s:c r="A17620" s="120" t="inlineStr"/>
      <s:c r="B17620" s="121" t="n"/>
      <s:c r="C17620" s="121" t="n"/>
      <s:c r="D17620" s="121" t="n"/>
      <s:c r="E17620" s="122" t="n"/>
    </s:row>
    <s:row r="17621" hidden="1" ht="1" customHeight="1">
      <s:c r="A17621" s="120" t="inlineStr"/>
      <s:c r="B17621" s="121" t="n"/>
      <s:c r="C17621" s="121" t="n"/>
      <s:c r="D17621" s="121" t="n"/>
      <s:c r="E17621" s="122" t="n"/>
    </s:row>
    <s:row r="17622" hidden="1" ht="1" customHeight="1">
      <s:c r="A17622" s="120" t="inlineStr"/>
      <s:c r="B17622" s="121" t="n"/>
      <s:c r="C17622" s="121" t="n"/>
      <s:c r="D17622" s="121" t="n"/>
      <s:c r="E17622" s="122" t="n"/>
    </s:row>
    <s:row r="17623" hidden="1" ht="1" customHeight="1">
      <s:c r="A17623" s="120" t="inlineStr"/>
      <s:c r="B17623" s="121" t="n"/>
      <s:c r="C17623" s="121" t="n"/>
      <s:c r="D17623" s="121" t="n"/>
      <s:c r="E17623" s="122" t="n"/>
    </s:row>
    <s:row r="17624" hidden="1" ht="1" customHeight="1">
      <s:c r="A17624" s="120" t="inlineStr"/>
      <s:c r="B17624" s="121" t="n"/>
      <s:c r="C17624" s="121" t="n"/>
      <s:c r="D17624" s="121" t="n"/>
      <s:c r="E17624" s="122" t="n"/>
    </s:row>
    <s:row r="17625" hidden="1" ht="1" customHeight="1">
      <s:c r="A17625" s="120" t="inlineStr"/>
      <s:c r="B17625" s="121" t="n"/>
      <s:c r="C17625" s="121" t="n"/>
      <s:c r="D17625" s="121" t="n"/>
      <s:c r="E17625" s="122" t="n"/>
    </s:row>
    <s:row r="17626" hidden="1" ht="1" customHeight="1">
      <s:c r="A17626" s="120" t="inlineStr"/>
      <s:c r="B17626" s="121" t="n"/>
      <s:c r="C17626" s="121" t="n"/>
      <s:c r="D17626" s="121" t="n"/>
      <s:c r="E17626" s="122" t="n"/>
    </s:row>
    <s:row r="17627" hidden="1" ht="1" customHeight="1">
      <s:c r="A17627" s="120" t="inlineStr"/>
      <s:c r="B17627" s="121" t="n"/>
      <s:c r="C17627" s="121" t="n"/>
      <s:c r="D17627" s="121" t="n"/>
      <s:c r="E17627" s="122" t="n"/>
    </s:row>
    <s:row r="17628" hidden="1" ht="1" customHeight="1">
      <s:c r="A17628" s="120" t="inlineStr"/>
      <s:c r="B17628" s="121" t="n"/>
      <s:c r="C17628" s="121" t="n"/>
      <s:c r="D17628" s="121" t="n"/>
      <s:c r="E17628" s="122" t="n"/>
    </s:row>
    <s:row r="17629" hidden="1" ht="1" customHeight="1">
      <s:c r="A17629" s="120" t="inlineStr"/>
      <s:c r="B17629" s="121" t="n"/>
      <s:c r="C17629" s="121" t="n"/>
      <s:c r="D17629" s="121" t="n"/>
      <s:c r="E17629" s="122" t="n"/>
    </s:row>
    <s:row r="17630" hidden="1" ht="1" customHeight="1">
      <s:c r="A17630" s="120" t="inlineStr"/>
      <s:c r="B17630" s="121" t="n"/>
      <s:c r="C17630" s="121" t="n"/>
      <s:c r="D17630" s="121" t="n"/>
      <s:c r="E17630" s="122" t="n"/>
    </s:row>
    <s:row r="17631" hidden="1" ht="1" customHeight="1">
      <s:c r="A17631" s="120" t="inlineStr"/>
      <s:c r="B17631" s="121" t="n"/>
      <s:c r="C17631" s="121" t="n"/>
      <s:c r="D17631" s="121" t="n"/>
      <s:c r="E17631" s="122" t="n"/>
    </s:row>
    <s:row r="17632" hidden="1" ht="1" customHeight="1">
      <s:c r="A17632" s="120" t="inlineStr"/>
      <s:c r="B17632" s="121" t="n"/>
      <s:c r="C17632" s="121" t="n"/>
      <s:c r="D17632" s="121" t="n"/>
      <s:c r="E17632" s="122" t="n"/>
    </s:row>
    <s:row r="17633" hidden="1" ht="1" customHeight="1">
      <s:c r="A17633" s="120" t="inlineStr"/>
      <s:c r="B17633" s="121" t="n"/>
      <s:c r="C17633" s="121" t="n"/>
      <s:c r="D17633" s="121" t="n"/>
      <s:c r="E17633" s="122" t="n"/>
    </s:row>
    <s:row r="17634" hidden="1" ht="1" customHeight="1">
      <s:c r="A17634" s="120" t="inlineStr"/>
      <s:c r="B17634" s="121" t="n"/>
      <s:c r="C17634" s="121" t="n"/>
      <s:c r="D17634" s="121" t="n"/>
      <s:c r="E17634" s="122" t="n"/>
    </s:row>
    <s:row r="17635" hidden="1" ht="1" customHeight="1">
      <s:c r="A17635" s="120" t="inlineStr"/>
      <s:c r="B17635" s="121" t="n"/>
      <s:c r="C17635" s="121" t="n"/>
      <s:c r="D17635" s="121" t="n"/>
      <s:c r="E17635" s="122" t="n"/>
    </s:row>
    <s:row r="17636" hidden="1" ht="1" customHeight="1">
      <s:c r="A17636" s="120" t="inlineStr"/>
      <s:c r="B17636" s="121" t="n"/>
      <s:c r="C17636" s="121" t="n"/>
      <s:c r="D17636" s="121" t="n"/>
      <s:c r="E17636" s="122" t="n"/>
    </s:row>
    <s:row r="17637" hidden="1" ht="1" customHeight="1">
      <s:c r="A17637" s="120" t="inlineStr"/>
      <s:c r="B17637" s="121" t="n"/>
      <s:c r="C17637" s="121" t="n"/>
      <s:c r="D17637" s="121" t="n"/>
      <s:c r="E17637" s="122" t="n"/>
    </s:row>
    <s:row r="17638" hidden="1" ht="1" customHeight="1">
      <s:c r="A17638" s="120" t="inlineStr"/>
      <s:c r="B17638" s="121" t="n"/>
      <s:c r="C17638" s="121" t="n"/>
      <s:c r="D17638" s="121" t="n"/>
      <s:c r="E17638" s="122" t="n"/>
    </s:row>
    <s:row r="17639" hidden="1" ht="1" customHeight="1">
      <s:c r="A17639" s="120" t="inlineStr"/>
      <s:c r="B17639" s="121" t="n"/>
      <s:c r="C17639" s="121" t="n"/>
      <s:c r="D17639" s="121" t="n"/>
      <s:c r="E17639" s="122" t="n"/>
    </s:row>
    <s:row r="17640" hidden="1" ht="1" customHeight="1">
      <s:c r="A17640" s="120" t="inlineStr"/>
      <s:c r="B17640" s="121" t="n"/>
      <s:c r="C17640" s="121" t="n"/>
      <s:c r="D17640" s="121" t="n"/>
      <s:c r="E17640" s="122" t="n"/>
    </s:row>
    <s:row r="17641" hidden="1" ht="1" customHeight="1">
      <s:c r="A17641" s="120" t="inlineStr"/>
      <s:c r="B17641" s="121" t="n"/>
      <s:c r="C17641" s="121" t="n"/>
      <s:c r="D17641" s="121" t="n"/>
      <s:c r="E17641" s="122" t="n"/>
    </s:row>
    <s:row r="17642" hidden="1" ht="1" customHeight="1">
      <s:c r="A17642" s="120" t="inlineStr"/>
      <s:c r="B17642" s="121" t="n"/>
      <s:c r="C17642" s="121" t="n"/>
      <s:c r="D17642" s="121" t="n"/>
      <s:c r="E17642" s="122" t="n"/>
    </s:row>
    <s:row r="17643" hidden="1" ht="1" customHeight="1">
      <s:c r="A17643" s="120" t="inlineStr"/>
      <s:c r="B17643" s="121" t="n"/>
      <s:c r="C17643" s="121" t="n"/>
      <s:c r="D17643" s="121" t="n"/>
      <s:c r="E17643" s="122" t="n"/>
    </s:row>
    <s:row r="17644" hidden="1" ht="1" customHeight="1">
      <s:c r="A17644" s="120" t="inlineStr"/>
      <s:c r="B17644" s="121" t="n"/>
      <s:c r="C17644" s="121" t="n"/>
      <s:c r="D17644" s="121" t="n"/>
      <s:c r="E17644" s="122" t="n"/>
    </s:row>
    <s:row r="17645" hidden="1" ht="1" customHeight="1">
      <s:c r="A17645" s="120" t="inlineStr"/>
      <s:c r="B17645" s="121" t="n"/>
      <s:c r="C17645" s="121" t="n"/>
      <s:c r="D17645" s="121" t="n"/>
      <s:c r="E17645" s="122" t="n"/>
    </s:row>
    <s:row r="17646" hidden="1" ht="1" customHeight="1">
      <s:c r="A17646" s="120" t="inlineStr"/>
      <s:c r="B17646" s="121" t="n"/>
      <s:c r="C17646" s="121" t="n"/>
      <s:c r="D17646" s="121" t="n"/>
      <s:c r="E17646" s="122" t="n"/>
    </s:row>
    <s:row r="17647" hidden="1" ht="1" customHeight="1">
      <s:c r="A17647" s="120" t="inlineStr"/>
      <s:c r="B17647" s="121" t="n"/>
      <s:c r="C17647" s="121" t="n"/>
      <s:c r="D17647" s="121" t="n"/>
      <s:c r="E17647" s="122" t="n"/>
    </s:row>
    <s:row r="17648" hidden="1" ht="1" customHeight="1">
      <s:c r="A17648" s="120" t="inlineStr"/>
      <s:c r="B17648" s="121" t="n"/>
      <s:c r="C17648" s="121" t="n"/>
      <s:c r="D17648" s="121" t="n"/>
      <s:c r="E17648" s="122" t="n"/>
    </s:row>
    <s:row r="17649" hidden="1" ht="1" customHeight="1">
      <s:c r="A17649" s="120" t="inlineStr"/>
      <s:c r="B17649" s="121" t="n"/>
      <s:c r="C17649" s="121" t="n"/>
      <s:c r="D17649" s="121" t="n"/>
      <s:c r="E17649" s="122" t="n"/>
    </s:row>
    <s:row r="17650" hidden="1" ht="1" customHeight="1">
      <s:c r="A17650" s="120" t="inlineStr"/>
      <s:c r="B17650" s="121" t="n"/>
      <s:c r="C17650" s="121" t="n"/>
      <s:c r="D17650" s="121" t="n"/>
      <s:c r="E17650" s="122" t="n"/>
    </s:row>
    <s:row r="17651" hidden="1" ht="1" customHeight="1">
      <s:c r="A17651" s="120" t="inlineStr"/>
      <s:c r="B17651" s="121" t="n"/>
      <s:c r="C17651" s="121" t="n"/>
      <s:c r="D17651" s="121" t="n"/>
      <s:c r="E17651" s="122" t="n"/>
    </s:row>
    <s:row r="17652" hidden="1" ht="1" customHeight="1">
      <s:c r="A17652" s="120" t="inlineStr"/>
      <s:c r="B17652" s="121" t="n"/>
      <s:c r="C17652" s="121" t="n"/>
      <s:c r="D17652" s="121" t="n"/>
      <s:c r="E17652" s="122" t="n"/>
    </s:row>
    <s:row r="17653" hidden="1" ht="1" customHeight="1">
      <s:c r="A17653" s="120" t="inlineStr"/>
      <s:c r="B17653" s="121" t="n"/>
      <s:c r="C17653" s="121" t="n"/>
      <s:c r="D17653" s="121" t="n"/>
      <s:c r="E17653" s="122" t="n"/>
    </s:row>
    <s:row r="17654" hidden="1" ht="1" customHeight="1">
      <s:c r="A17654" s="120" t="inlineStr"/>
      <s:c r="B17654" s="121" t="n"/>
      <s:c r="C17654" s="121" t="n"/>
      <s:c r="D17654" s="121" t="n"/>
      <s:c r="E17654" s="122" t="n"/>
    </s:row>
    <s:row r="17655" hidden="1" ht="1" customHeight="1">
      <s:c r="A17655" s="120" t="inlineStr"/>
      <s:c r="B17655" s="121" t="n"/>
      <s:c r="C17655" s="121" t="n"/>
      <s:c r="D17655" s="121" t="n"/>
      <s:c r="E17655" s="122" t="n"/>
    </s:row>
    <s:row r="17656" hidden="1" ht="1" customHeight="1">
      <s:c r="A17656" s="120" t="inlineStr"/>
      <s:c r="B17656" s="121" t="n"/>
      <s:c r="C17656" s="121" t="n"/>
      <s:c r="D17656" s="121" t="n"/>
      <s:c r="E17656" s="122" t="n"/>
    </s:row>
    <s:row r="17657" hidden="1" ht="1" customHeight="1">
      <s:c r="A17657" s="120" t="inlineStr"/>
      <s:c r="B17657" s="121" t="n"/>
      <s:c r="C17657" s="121" t="n"/>
      <s:c r="D17657" s="121" t="n"/>
      <s:c r="E17657" s="122" t="n"/>
    </s:row>
    <s:row r="17658" hidden="1" ht="1" customHeight="1">
      <s:c r="A17658" s="120" t="inlineStr"/>
      <s:c r="B17658" s="121" t="n"/>
      <s:c r="C17658" s="121" t="n"/>
      <s:c r="D17658" s="121" t="n"/>
      <s:c r="E17658" s="122" t="n"/>
    </s:row>
    <s:row r="17659" hidden="1" ht="1" customHeight="1">
      <s:c r="A17659" s="120" t="inlineStr"/>
      <s:c r="B17659" s="121" t="n"/>
      <s:c r="C17659" s="121" t="n"/>
      <s:c r="D17659" s="121" t="n"/>
      <s:c r="E17659" s="122" t="n"/>
    </s:row>
    <s:row r="17660" hidden="1" ht="1" customHeight="1">
      <s:c r="A17660" s="120" t="inlineStr"/>
      <s:c r="B17660" s="121" t="n"/>
      <s:c r="C17660" s="121" t="n"/>
      <s:c r="D17660" s="121" t="n"/>
      <s:c r="E17660" s="122" t="n"/>
    </s:row>
    <s:row r="17661" hidden="1" ht="1" customHeight="1">
      <s:c r="A17661" s="120" t="inlineStr"/>
      <s:c r="B17661" s="121" t="n"/>
      <s:c r="C17661" s="121" t="n"/>
      <s:c r="D17661" s="121" t="n"/>
      <s:c r="E17661" s="122" t="n"/>
    </s:row>
    <s:row r="17662" hidden="1" ht="1" customHeight="1">
      <s:c r="A17662" s="120" t="inlineStr"/>
      <s:c r="B17662" s="121" t="n"/>
      <s:c r="C17662" s="121" t="n"/>
      <s:c r="D17662" s="121" t="n"/>
      <s:c r="E17662" s="122" t="n"/>
    </s:row>
    <s:row r="17663" hidden="1" ht="1" customHeight="1">
      <s:c r="A17663" s="120" t="inlineStr"/>
      <s:c r="B17663" s="121" t="n"/>
      <s:c r="C17663" s="121" t="n"/>
      <s:c r="D17663" s="121" t="n"/>
      <s:c r="E17663" s="122" t="n"/>
    </s:row>
    <s:row r="17664" hidden="1" ht="1" customHeight="1">
      <s:c r="A17664" s="120" t="inlineStr"/>
      <s:c r="B17664" s="121" t="n"/>
      <s:c r="C17664" s="121" t="n"/>
      <s:c r="D17664" s="121" t="n"/>
      <s:c r="E17664" s="122" t="n"/>
    </s:row>
    <s:row r="17665" hidden="1" ht="1" customHeight="1">
      <s:c r="A17665" s="120" t="inlineStr"/>
      <s:c r="B17665" s="121" t="n"/>
      <s:c r="C17665" s="121" t="n"/>
      <s:c r="D17665" s="121" t="n"/>
      <s:c r="E17665" s="122" t="n"/>
    </s:row>
    <s:row r="17666" hidden="1" ht="1" customHeight="1">
      <s:c r="A17666" s="120" t="inlineStr"/>
      <s:c r="B17666" s="121" t="n"/>
      <s:c r="C17666" s="121" t="n"/>
      <s:c r="D17666" s="121" t="n"/>
      <s:c r="E17666" s="122" t="n"/>
    </s:row>
    <s:row r="17667" hidden="1" ht="1" customHeight="1">
      <s:c r="A17667" s="120" t="inlineStr"/>
      <s:c r="B17667" s="121" t="n"/>
      <s:c r="C17667" s="121" t="n"/>
      <s:c r="D17667" s="121" t="n"/>
      <s:c r="E17667" s="122" t="n"/>
    </s:row>
    <s:row r="17668" hidden="1" ht="1" customHeight="1">
      <s:c r="A17668" s="120" t="inlineStr"/>
      <s:c r="B17668" s="121" t="n"/>
      <s:c r="C17668" s="121" t="n"/>
      <s:c r="D17668" s="121" t="n"/>
      <s:c r="E17668" s="122" t="n"/>
    </s:row>
    <s:row r="17669" hidden="1" ht="1" customHeight="1">
      <s:c r="A17669" s="120" t="inlineStr"/>
      <s:c r="B17669" s="121" t="n"/>
      <s:c r="C17669" s="121" t="n"/>
      <s:c r="D17669" s="121" t="n"/>
      <s:c r="E17669" s="122" t="n"/>
    </s:row>
    <s:row r="17670" hidden="1" ht="1" customHeight="1">
      <s:c r="A17670" s="120" t="inlineStr"/>
      <s:c r="B17670" s="121" t="n"/>
      <s:c r="C17670" s="121" t="n"/>
      <s:c r="D17670" s="121" t="n"/>
      <s:c r="E17670" s="122" t="n"/>
    </s:row>
    <s:row r="17671" hidden="1" ht="1" customHeight="1">
      <s:c r="A17671" s="120" t="inlineStr"/>
      <s:c r="B17671" s="121" t="n"/>
      <s:c r="C17671" s="121" t="n"/>
      <s:c r="D17671" s="121" t="n"/>
      <s:c r="E17671" s="122" t="n"/>
    </s:row>
    <s:row r="17672" hidden="1" ht="1" customHeight="1">
      <s:c r="A17672" s="120" t="inlineStr"/>
      <s:c r="B17672" s="121" t="n"/>
      <s:c r="C17672" s="121" t="n"/>
      <s:c r="D17672" s="121" t="n"/>
      <s:c r="E17672" s="122" t="n"/>
    </s:row>
    <s:row r="17673" hidden="1" ht="1" customHeight="1">
      <s:c r="A17673" s="120" t="inlineStr"/>
      <s:c r="B17673" s="121" t="n"/>
      <s:c r="C17673" s="121" t="n"/>
      <s:c r="D17673" s="121" t="n"/>
      <s:c r="E17673" s="122" t="n"/>
    </s:row>
    <s:row r="17674" hidden="1" ht="1" customHeight="1">
      <s:c r="A17674" s="120" t="inlineStr"/>
      <s:c r="B17674" s="121" t="n"/>
      <s:c r="C17674" s="121" t="n"/>
      <s:c r="D17674" s="121" t="n"/>
      <s:c r="E17674" s="122" t="n"/>
    </s:row>
    <s:row r="17675" hidden="1" ht="1" customHeight="1">
      <s:c r="A17675" s="120" t="inlineStr"/>
      <s:c r="B17675" s="121" t="n"/>
      <s:c r="C17675" s="121" t="n"/>
      <s:c r="D17675" s="121" t="n"/>
      <s:c r="E17675" s="122" t="n"/>
    </s:row>
    <s:row r="17676" hidden="1" ht="1" customHeight="1">
      <s:c r="A17676" s="120" t="inlineStr"/>
      <s:c r="B17676" s="121" t="n"/>
      <s:c r="C17676" s="121" t="n"/>
      <s:c r="D17676" s="121" t="n"/>
      <s:c r="E17676" s="122" t="n"/>
    </s:row>
    <s:row r="17677" hidden="1" ht="1" customHeight="1">
      <s:c r="A17677" s="120" t="inlineStr"/>
      <s:c r="B17677" s="121" t="n"/>
      <s:c r="C17677" s="121" t="n"/>
      <s:c r="D17677" s="121" t="n"/>
      <s:c r="E17677" s="122" t="n"/>
    </s:row>
    <s:row r="17678" hidden="1" ht="1" customHeight="1">
      <s:c r="A17678" s="120" t="inlineStr"/>
      <s:c r="B17678" s="121" t="n"/>
      <s:c r="C17678" s="121" t="n"/>
      <s:c r="D17678" s="121" t="n"/>
      <s:c r="E17678" s="122" t="n"/>
    </s:row>
    <s:row r="17679" hidden="1" ht="1" customHeight="1">
      <s:c r="A17679" s="120" t="inlineStr"/>
      <s:c r="B17679" s="121" t="n"/>
      <s:c r="C17679" s="121" t="n"/>
      <s:c r="D17679" s="121" t="n"/>
      <s:c r="E17679" s="122" t="n"/>
    </s:row>
    <s:row r="17680" hidden="1" ht="1" customHeight="1">
      <s:c r="A17680" s="120" t="inlineStr"/>
      <s:c r="B17680" s="121" t="n"/>
      <s:c r="C17680" s="121" t="n"/>
      <s:c r="D17680" s="121" t="n"/>
      <s:c r="E17680" s="122" t="n"/>
    </s:row>
    <s:row r="17681" hidden="1" ht="1" customHeight="1">
      <s:c r="A17681" s="120" t="inlineStr"/>
      <s:c r="B17681" s="121" t="n"/>
      <s:c r="C17681" s="121" t="n"/>
      <s:c r="D17681" s="121" t="n"/>
      <s:c r="E17681" s="122" t="n"/>
    </s:row>
    <s:row r="17682" hidden="1" ht="1" customHeight="1">
      <s:c r="A17682" s="120" t="inlineStr"/>
      <s:c r="B17682" s="121" t="n"/>
      <s:c r="C17682" s="121" t="n"/>
      <s:c r="D17682" s="121" t="n"/>
      <s:c r="E17682" s="122" t="n"/>
    </s:row>
    <s:row r="17683" hidden="1" ht="1" customHeight="1">
      <s:c r="A17683" s="120" t="inlineStr"/>
      <s:c r="B17683" s="121" t="n"/>
      <s:c r="C17683" s="121" t="n"/>
      <s:c r="D17683" s="121" t="n"/>
      <s:c r="E17683" s="122" t="n"/>
    </s:row>
    <s:row r="17684" hidden="1" ht="1" customHeight="1">
      <s:c r="A17684" s="120" t="inlineStr"/>
      <s:c r="B17684" s="121" t="n"/>
      <s:c r="C17684" s="121" t="n"/>
      <s:c r="D17684" s="121" t="n"/>
      <s:c r="E17684" s="122" t="n"/>
    </s:row>
    <s:row r="17685" hidden="1" ht="1" customHeight="1">
      <s:c r="A17685" s="120" t="inlineStr"/>
      <s:c r="B17685" s="121" t="n"/>
      <s:c r="C17685" s="121" t="n"/>
      <s:c r="D17685" s="121" t="n"/>
      <s:c r="E17685" s="122" t="n"/>
    </s:row>
    <s:row r="17686" hidden="1" ht="1" customHeight="1">
      <s:c r="A17686" s="120" t="inlineStr"/>
      <s:c r="B17686" s="121" t="n"/>
      <s:c r="C17686" s="121" t="n"/>
      <s:c r="D17686" s="121" t="n"/>
      <s:c r="E17686" s="122" t="n"/>
    </s:row>
    <s:row r="17687" hidden="1" ht="1" customHeight="1">
      <s:c r="A17687" s="120" t="inlineStr"/>
      <s:c r="B17687" s="121" t="n"/>
      <s:c r="C17687" s="121" t="n"/>
      <s:c r="D17687" s="121" t="n"/>
      <s:c r="E17687" s="122" t="n"/>
    </s:row>
    <s:row r="17688" hidden="1" ht="1" customHeight="1">
      <s:c r="A17688" s="120" t="inlineStr"/>
      <s:c r="B17688" s="121" t="n"/>
      <s:c r="C17688" s="121" t="n"/>
      <s:c r="D17688" s="121" t="n"/>
      <s:c r="E17688" s="122" t="n"/>
    </s:row>
    <s:row r="17689" hidden="1" ht="1" customHeight="1">
      <s:c r="A17689" s="120" t="inlineStr"/>
      <s:c r="B17689" s="121" t="n"/>
      <s:c r="C17689" s="121" t="n"/>
      <s:c r="D17689" s="121" t="n"/>
      <s:c r="E17689" s="122" t="n"/>
    </s:row>
    <s:row r="17690" hidden="1" ht="1" customHeight="1">
      <s:c r="A17690" s="120" t="inlineStr"/>
      <s:c r="B17690" s="121" t="n"/>
      <s:c r="C17690" s="121" t="n"/>
      <s:c r="D17690" s="121" t="n"/>
      <s:c r="E17690" s="122" t="n"/>
    </s:row>
    <s:row r="17691" hidden="1" ht="1" customHeight="1">
      <s:c r="A17691" s="120" t="inlineStr"/>
      <s:c r="B17691" s="121" t="n"/>
      <s:c r="C17691" s="121" t="n"/>
      <s:c r="D17691" s="121" t="n"/>
      <s:c r="E17691" s="122" t="n"/>
    </s:row>
    <s:row r="17692" hidden="1" ht="1" customHeight="1">
      <s:c r="A17692" s="120" t="inlineStr"/>
      <s:c r="B17692" s="121" t="n"/>
      <s:c r="C17692" s="121" t="n"/>
      <s:c r="D17692" s="121" t="n"/>
      <s:c r="E17692" s="122" t="n"/>
    </s:row>
    <s:row r="17693" hidden="1" ht="1" customHeight="1">
      <s:c r="A17693" s="120" t="inlineStr"/>
      <s:c r="B17693" s="121" t="n"/>
      <s:c r="C17693" s="121" t="n"/>
      <s:c r="D17693" s="121" t="n"/>
      <s:c r="E17693" s="122" t="n"/>
    </s:row>
    <s:row r="17694" hidden="1" ht="1" customHeight="1">
      <s:c r="A17694" s="120" t="inlineStr"/>
      <s:c r="B17694" s="121" t="n"/>
      <s:c r="C17694" s="121" t="n"/>
      <s:c r="D17694" s="121" t="n"/>
      <s:c r="E17694" s="122" t="n"/>
    </s:row>
    <s:row r="17695" hidden="1" ht="1" customHeight="1">
      <s:c r="A17695" s="120" t="inlineStr"/>
      <s:c r="B17695" s="121" t="n"/>
      <s:c r="C17695" s="121" t="n"/>
      <s:c r="D17695" s="121" t="n"/>
      <s:c r="E17695" s="122" t="n"/>
    </s:row>
    <s:row r="17696" hidden="1" ht="1" customHeight="1">
      <s:c r="A17696" s="120" t="inlineStr"/>
      <s:c r="B17696" s="121" t="n"/>
      <s:c r="C17696" s="121" t="n"/>
      <s:c r="D17696" s="121" t="n"/>
      <s:c r="E17696" s="122" t="n"/>
    </s:row>
    <s:row r="17697" hidden="1" ht="1" customHeight="1">
      <s:c r="A17697" s="120" t="inlineStr"/>
      <s:c r="B17697" s="121" t="n"/>
      <s:c r="C17697" s="121" t="n"/>
      <s:c r="D17697" s="121" t="n"/>
      <s:c r="E17697" s="122" t="n"/>
    </s:row>
    <s:row r="17698" hidden="1" ht="1" customHeight="1">
      <s:c r="A17698" s="120" t="inlineStr"/>
      <s:c r="B17698" s="121" t="n"/>
      <s:c r="C17698" s="121" t="n"/>
      <s:c r="D17698" s="121" t="n"/>
      <s:c r="E17698" s="122" t="n"/>
    </s:row>
    <s:row r="17699" hidden="1" ht="1" customHeight="1">
      <s:c r="A17699" s="120" t="inlineStr"/>
      <s:c r="B17699" s="121" t="n"/>
      <s:c r="C17699" s="121" t="n"/>
      <s:c r="D17699" s="121" t="n"/>
      <s:c r="E17699" s="122" t="n"/>
    </s:row>
    <s:row r="17700" hidden="1" ht="1" customHeight="1">
      <s:c r="A17700" s="120" t="inlineStr"/>
      <s:c r="B17700" s="121" t="n"/>
      <s:c r="C17700" s="121" t="n"/>
      <s:c r="D17700" s="121" t="n"/>
      <s:c r="E17700" s="122" t="n"/>
    </s:row>
    <s:row r="17701" hidden="1" ht="1" customHeight="1">
      <s:c r="A17701" s="120" t="inlineStr"/>
      <s:c r="B17701" s="121" t="n"/>
      <s:c r="C17701" s="121" t="n"/>
      <s:c r="D17701" s="121" t="n"/>
      <s:c r="E17701" s="122" t="n"/>
    </s:row>
    <s:row r="17702" hidden="1" ht="1" customHeight="1">
      <s:c r="A17702" s="120" t="inlineStr"/>
      <s:c r="B17702" s="121" t="n"/>
      <s:c r="C17702" s="121" t="n"/>
      <s:c r="D17702" s="121" t="n"/>
      <s:c r="E17702" s="122" t="n"/>
    </s:row>
    <s:row r="17703" hidden="1" ht="1" customHeight="1">
      <s:c r="A17703" s="120" t="inlineStr"/>
      <s:c r="B17703" s="121" t="n"/>
      <s:c r="C17703" s="121" t="n"/>
      <s:c r="D17703" s="121" t="n"/>
      <s:c r="E17703" s="122" t="n"/>
    </s:row>
    <s:row r="17704" hidden="1" ht="1" customHeight="1">
      <s:c r="A17704" s="120" t="inlineStr"/>
      <s:c r="B17704" s="121" t="n"/>
      <s:c r="C17704" s="121" t="n"/>
      <s:c r="D17704" s="121" t="n"/>
      <s:c r="E17704" s="122" t="n"/>
    </s:row>
    <s:row r="17705" hidden="1" ht="1" customHeight="1">
      <s:c r="A17705" s="120" t="inlineStr"/>
      <s:c r="B17705" s="121" t="n"/>
      <s:c r="C17705" s="121" t="n"/>
      <s:c r="D17705" s="121" t="n"/>
      <s:c r="E17705" s="122" t="n"/>
    </s:row>
    <s:row r="17706" hidden="1" ht="1" customHeight="1">
      <s:c r="A17706" s="120" t="inlineStr"/>
      <s:c r="B17706" s="121" t="n"/>
      <s:c r="C17706" s="121" t="n"/>
      <s:c r="D17706" s="121" t="n"/>
      <s:c r="E17706" s="122" t="n"/>
    </s:row>
    <s:row r="17707" hidden="1" ht="1" customHeight="1">
      <s:c r="A17707" s="120" t="inlineStr"/>
      <s:c r="B17707" s="121" t="n"/>
      <s:c r="C17707" s="121" t="n"/>
      <s:c r="D17707" s="121" t="n"/>
      <s:c r="E17707" s="122" t="n"/>
    </s:row>
    <s:row r="17708" hidden="1" ht="1" customHeight="1">
      <s:c r="A17708" s="120" t="inlineStr"/>
      <s:c r="B17708" s="121" t="n"/>
      <s:c r="C17708" s="121" t="n"/>
      <s:c r="D17708" s="121" t="n"/>
      <s:c r="E17708" s="122" t="n"/>
    </s:row>
    <s:row r="17709" hidden="1" ht="1" customHeight="1">
      <s:c r="A17709" s="83" t="inlineStr">
        <s:is>
          <s:t>PASS</s:t>
        </s:is>
      </s:c>
      <s:c r="B17709" s="83">
        <s:f>SUM(IF(EXACT('Kiểm thử'!E17559,"Đạt"),1,0),IF(EXACT('Kiểm thử'!E17561,"Đạt"),1,0),IF(EXACT('Kiểm thử'!E17563,"Đạt"),1,0))</s:f>
        <s:v/>
      </s:c>
      <s:c r="C17709" s="19" t="n"/>
      <s:c r="D17709" s="19" t="n"/>
      <s:c r="E17709" s="19" t="n"/>
    </s:row>
    <s:row r="17710" hidden="1" ht="1" customHeight="1">
      <s:c r="A17710" s="83" t="inlineStr">
        <s:is>
          <s:t>FAIL</s:t>
        </s:is>
      </s:c>
      <s:c r="B17710" s="83">
        <s:f>SUM(IF(EXACT('Kiểm thử'!E17559,"Không đạt"),1,0),IF(EXACT('Kiểm thử'!E17561,"Không đạt"),1,0),IF(EXACT('Kiểm thử'!E17563,"Không đạt"),1,0))</s:f>
        <s:v/>
      </s:c>
      <s:c r="C17710" s="19" t="n"/>
      <s:c r="D17710" s="19" t="n"/>
      <s:c r="E17710" s="19" t="n"/>
    </s:row>
    <s:row r="17711" hidden="1" ht="1" customHeight="1">
      <s:c r="A17711" s="83" t="inlineStr">
        <s:is>
          <s:t>BLOCKED</s:t>
        </s:is>
      </s:c>
      <s:c r="B17711" s="83">
        <s:f>SUM(IF(EXACT('Kiểm thử'!E17559,"Bị chặn"),1,0),IF(EXACT('Kiểm thử'!E17561,"Bị chặn"),1,0),IF(EXACT('Kiểm thử'!E17563,"Bị chặn"),1,0))</s:f>
        <s:v/>
      </s:c>
      <s:c r="C17711" s="19" t="n"/>
      <s:c r="D17711" s="19" t="n"/>
      <s:c r="E17711" s="19" t="n"/>
    </s:row>
    <s:row r="17712" hidden="1" ht="1" customHeight="1">
      <s:c r="A17712" s="83" t="inlineStr">
        <s:is>
          <s:t>SKIPPED</s:t>
        </s:is>
      </s:c>
      <s:c r="B17712" s="83">
        <s:f>SUM(IF(EXACT('Kiểm thử'!E17559,"Không thực hiện"),1,0),IF(EXACT('Kiểm thử'!E17561,"Không thực hiện"),1,0),IF(EXACT('Kiểm thử'!E17563,"Không thực hiện"),1,0))</s:f>
        <s:v/>
      </s:c>
      <s:c r="C17712" s="19" t="n"/>
      <s:c r="D17712" s="19" t="n"/>
      <s:c r="E17712" s="19" t="n"/>
    </s:row>
    <s:row r="17713" hidden="1" ht="1" customHeight="1">
      <s:c r="A17713" s="83" t="inlineStr">
        <s:is>
          <s:t>NOT RUN</s:t>
        </s:is>
      </s:c>
      <s:c r="B17713" s="83">
        <s:f>SUM(IF(EXACT('Kiểm thử'!E17559,"Chưa thực hiện"),1,0),IF(EXACT('Kiểm thử'!E17561,"Chưa thực hiện"),1,0),IF(EXACT('Kiểm thử'!E17563,"Chưa thực hiện"),1,0))</s:f>
        <s:v/>
      </s:c>
      <s:c r="C17713" s="19" t="n"/>
      <s:c r="D17713" s="19" t="n"/>
      <s:c r="E17713" s="19" t="n"/>
    </s:row>
    <s:row r="17714" hidden="1" ht="6" customHeight="1">
      <s:c r="A17714" s="83" t="inlineStr"/>
      <s:c r="B17714" s="19" t="n"/>
      <s:c r="C17714" s="19" t="n"/>
      <s:c r="D17714" s="19" t="n"/>
      <s:c r="E17714" s="19" t="n"/>
    </s:row>
    <s:row r="17715" ht="28" customHeight="1">
      <s:c r="A17715" s="108" t="inlineStr">
        <s:is>
          <s:t>TC-RS-FUNC-037 — Công khai: cùng mục dùng hiệu ứng đỏ khác nhau ở hai cấu hình công khai</s:t>
        </s:is>
      </s:c>
      <s:c r="B17715" s="111" t="n"/>
      <s:c r="C17715" s="111" t="n"/>
      <s:c r="D17715" s="111" t="n"/>
      <s:c r="E17715" s="111" t="n"/>
    </s:row>
    <s:row r="17716" ht="20" customHeight="1">
      <s:c r="A17716" s="112" t="inlineStr">
        <s:is>
          <s:t>Kết quả tình huống</s:t>
        </s:is>
      </s:c>
      <s:c r="B17716" s="113">
        <s:f>IF(SUM(IF(EXACT('Kiểm thử'!E17725,"Không đạt"),1,0),IF(EXACT('Kiểm thử'!E17727,"Không đạt"),1,0),IF(EXACT('Kiểm thử'!E17729,"Không đạt"),1,0),IF(EXACT('Kiểm thử'!E17731,"Không đạt"),1,0),IF(EXACT('Kiểm thử'!E17733,"Không đạt"),1,0),IF(EXACT('Kiểm thử'!E17735,"Không đạt"),1,0))&gt;0,"Không đạt",IF(SUM(IF(EXACT('Kiểm thử'!E17725,"Đạt"),1,0),IF(EXACT('Kiểm thử'!E17727,"Đạt"),1,0),IF(EXACT('Kiểm thử'!E17729,"Đạt"),1,0),IF(EXACT('Kiểm thử'!E17731,"Đạt"),1,0),IF(EXACT('Kiểm thử'!E17733,"Đạt"),1,0),IF(EXACT('Kiểm thử'!E17735,"Đạt"),1,0))=6,"Đạt",IF(SUM(IF(EXACT('Kiểm thử'!E17725,"Không thực hiện"),1,0),IF(EXACT('Kiểm thử'!E17727,"Không thực hiện"),1,0),IF(EXACT('Kiểm thử'!E17729,"Không thực hiện"),1,0),IF(EXACT('Kiểm thử'!E17731,"Không thực hiện"),1,0),IF(EXACT('Kiểm thử'!E17733,"Không thực hiện"),1,0),IF(EXACT('Kiểm thử'!E17735,"Không thực hiện"),1,0))=6,"Không thực hiện",IF(SUM(IF(EXACT('Kiểm thử'!E17725,"Bị chặn"),1,0),IF(EXACT('Kiểm thử'!E17727,"Bị chặn"),1,0),IF(EXACT('Kiểm thử'!E17729,"Bị chặn"),1,0),IF(EXACT('Kiểm thử'!E17731,"Bị chặn"),1,0),IF(EXACT('Kiểm thử'!E17733,"Bị chặn"),1,0),IF(EXACT('Kiểm thử'!E17735,"Bị chặn"),1,0))&gt;0,"Bị chặn",IF(SUM(IF(EXACT('Kiểm thử'!E17725,"Chưa thực hiện"),1,0),IF(EXACT('Kiểm thử'!E17727,"Chưa thực hiện"),1,0),IF(EXACT('Kiểm thử'!E17729,"Chưa thực hiện"),1,0),IF(EXACT('Kiểm thử'!E17731,"Chưa thực hiện"),1,0),IF(EXACT('Kiểm thử'!E17733,"Chưa thực hiện"),1,0),IF(EXACT('Kiểm thử'!E17735,"Chưa thực hiện"),1,0))=6,"Chưa thực hiện","Đang thực hiện")))))</s:f>
        <s:v/>
      </s:c>
      <s:c r="C17716" s="114" t="n"/>
      <s:c r="D17716" s="114" t="n"/>
      <s:c r="E17716" s="114" t="n"/>
    </s:row>
    <s:row r="17717" ht="20" customHeight="1">
      <s:c r="A17717" s="112" t="inlineStr">
        <s:is>
          <s:t>Màn hình / chức năng</s:t>
        </s:is>
      </s:c>
      <s:c r="B17717" s="113" t="inlineStr">
        <s:is>
          <s:r>
            <s:rPr>
              <s:b val="1"/>
            </s:rPr>
            <s:t>Công khai thành tích（成績公開）</s:t>
          </s:r>
        </s:is>
      </s:c>
      <s:c r="C17717" s="28" t="n"/>
      <s:c r="D17717" s="28" t="n"/>
      <s:c r="E17717" s="28" t="n"/>
    </s:row>
    <s:row r="17718" ht="48" customHeight="1">
      <s:c r="A17718" s="112" t="inlineStr">
        <s:is>
          <s:t>Cấu hình</s:t>
        </s:is>
      </s:c>
      <s:c r="B17718" s="113" t="inlineStr">
        <s:is>
          <s:r>
            <s:t xml:space="preserve">• Hai cấu hình Thiết lập </s:t>
          </s:r>
          <s:r>
            <s:rPr>
              <s:b val="1"/>
            </s:rPr>
            <s:t>công khai thành tích（成績公開設定）</s:t>
          </s:r>
          <s:r>
            <s:t xml:space="preserve"> X và Y cùng chứa mục số nguyên (</s:t>
          </s:r>
          <s:r>
            <s:rPr>
              <s:b val="1"/>
            </s:rPr>
            <s:t>M=100</s:t>
          </s:r>
          <s:r>
            <s:t>);
• S01 Đỏ (29), không phải điểm dự kiến;
• Lịch công khai của cả hai đang mở cho S01.</s:t>
          </s:r>
        </s:is>
      </s:c>
      <s:c r="C17718" s="28" t="n"/>
      <s:c r="D17718" s="28" t="n"/>
      <s:c r="E17718" s="28" t="n"/>
    </s:row>
    <s:row r="17719" ht="62" customHeight="1">
      <s:c r="A17719" s="112" t="inlineStr">
        <s:is>
          <s:t>Dữ liệu test</s:t>
        </s:is>
      </s:c>
      <s:c r="B17719" s="113" t="inlineStr">
        <s:is>
          <s:r>
            <s:t>• Hai cấu hình công khai cùng một mục, cấu hình công khai có mục điểm thường và mục điểm đơn vị;
• Mục số nguyên (</s:t>
          </s:r>
          <s:r>
            <s:rPr>
              <s:b val="1"/>
            </s:rPr>
            <s:t>M=100</s:t>
          </s:r>
          <s:r>
            <s:t>), mục điểm đơn vị (đơn vị U1 có M riêng 40);
• Học sinh S01 (điểm 29);
• Tài khoản học sinh S01, tài khoản phụ trách đầu ra (trích xuất, công khai, phiếu điểm)</s:t>
          </s:r>
        </s:is>
      </s:c>
      <s:c r="C17719" s="28" t="n"/>
      <s:c r="D17719" s="28" t="n"/>
      <s:c r="E17719" s="28" t="n"/>
    </s:row>
    <s:row r="17720" ht="34" customHeight="1">
      <s:c r="A17720" s="112" t="inlineStr">
        <s:is>
          <s:t>Bước 1</s:t>
        </s:is>
      </s:c>
      <s:c r="B17720" s="113" t="inlineStr">
        <s:is>
          <s:t>Dựng X/Y cùng mục S01=29 Đỏ, lịch công khai mở và đúng quyền S01; giữ cấu hình/baseline của trường hợp độc lập.</s:t>
        </s:is>
      </s:c>
      <s:c r="C17720" s="28" t="n"/>
      <s:c r="D17720" s="28" t="n"/>
      <s:c r="E17720" s="28" t="n"/>
    </s:row>
    <s:row r="17721" ht="20" customHeight="1">
      <s:c r="A17721" s="112" t="inlineStr">
        <s:is>
          <s:t>Bước 2</s:t>
        </s:is>
      </s:c>
      <s:c r="B17721" s="113" t="inlineStr">
        <s:is>
          <s:t>Thực hiện thao tác hoặc kênh đọc riêng trong bảng trường hợp; lưu/mở lại khi trường hợp yêu cầu.</s:t>
        </s:is>
      </s:c>
      <s:c r="C17721" s="28" t="n"/>
      <s:c r="D17721" s="28" t="n"/>
      <s:c r="E17721" s="28" t="n"/>
    </s:row>
    <s:row r="17722" ht="34" customHeight="1">
      <s:c r="A17722" s="112" t="inlineStr">
        <s:is>
          <s:t>Bước 3</s:t>
        </s:is>
      </s:c>
      <s:c r="B17722" s="113" t="inlineStr">
        <s:is>
          <s:t>Đối chiếu identity, cấu hình và kết quả; kiểm X/Y và phân loại thường/đơn vị không ảnh hưởng lẫn nhau.</s:t>
        </s:is>
      </s:c>
      <s:c r="C17722" s="28" t="n"/>
      <s:c r="D17722" s="28" t="n"/>
      <s:c r="E17722" s="28" t="n"/>
    </s:row>
    <s:row r="17723" ht="28" customHeight="1">
      <s:c r="A17723" s="115" t="inlineStr">
        <s:is>
          <s:t>Trường hợp</s:t>
        </s:is>
      </s:c>
      <s:c r="B17723" s="115" t="inlineStr">
        <s:is>
          <s:t>Dữ liệu / thao tác riêng</s:t>
        </s:is>
      </s:c>
      <s:c r="C17723" s="115" t="inlineStr">
        <s:is>
          <s:t>Kết quả mong đợi</s:t>
        </s:is>
      </s:c>
      <s:c r="D17723" s="115" t="inlineStr">
        <s:is>
          <s:t>Kết quả thực tế</s:t>
        </s:is>
      </s:c>
      <s:c r="E17723" s="115" t="inlineStr">
        <s:is>
          <s:t>Đánh giá</s:t>
        </s:is>
      </s:c>
    </s:row>
    <s:row r="17724" ht="3" customHeight="1">
      <s:c r="A17724" s="102" t="inlineStr"/>
      <s:c r="B17724" s="99" t="n"/>
      <s:c r="C17724" s="99" t="n"/>
      <s:c r="D17724" s="116" t="n"/>
      <s:c r="E17724" s="116" t="n"/>
    </s:row>
    <s:row r="17725" ht="76" customHeight="1">
      <s:c r="A17725" s="83" t="inlineStr">
        <s:is>
          <s:t>Đối chiếu X/Y trên web (web)</s:t>
        </s:is>
      </s:c>
      <s:c r="B17725" s="83" t="inlineStr">
        <s:is>
          <s:r>
            <s:rPr>
              <s:b val="1"/>
            </s:rPr>
            <s:t>Lưu X=Ngoặc（括弧）</s:t>
          </s:r>
          <s:r>
            <s:t xml:space="preserve">, Y=[*] phía trước, cùng mục S01=29 Đỏ; mở lại cả hai rồi đăng nhập S01 xem từng cấu hình trên </s:t>
          </s:r>
          <s:r>
            <s:rPr>
              <s:b val="1"/>
            </s:rPr>
            <s:t>Xác nhận thành tích（成績確認）</s:t>
          </s:r>
          <s:r>
            <s:t>.</s:t>
          </s:r>
        </s:is>
      </s:c>
      <s:c r="C17725" s="83" t="inlineStr">
        <s:is>
          <s:t>1–2. X giữ Ngoặc, Y giữ [*] phía trước; lưu cấu hình này không đổi cấu hình kia.
3. Theo X: [(29)]; theo Y: [*29]. Web, API và PDF của cùng cấu hình cho cùng cách hiển thị.</s:t>
        </s:is>
      </s:c>
      <s:c r="D17725" s="117" t="inlineStr"/>
      <s:c r="E17725" s="118" t="inlineStr">
        <s:is>
          <s:t>Chưa thực hiện</s:t>
        </s:is>
      </s:c>
    </s:row>
    <s:row r="17726" ht="3" customHeight="1">
      <s:c r="A17726" s="102" t="inlineStr"/>
      <s:c r="B17726" s="99" t="n"/>
      <s:c r="C17726" s="99" t="n"/>
      <s:c r="D17726" s="116" t="n"/>
      <s:c r="E17726" s="116" t="n"/>
    </s:row>
    <s:row r="17727" ht="76" customHeight="1">
      <s:c r="A17727" s="83" t="inlineStr">
        <s:is>
          <s:t>Đối chiếu X/Y qua API (api)</s:t>
        </s:is>
      </s:c>
      <s:c r="B17727" s="83" t="inlineStr">
        <s:is>
          <s:t>Dựng X=Ngoặc, Y=[*] trước như web; đọc API của từng cấu hình bằng quyền S01 nếu API có, đối chiếu cùng identity/kỳ.</s:t>
        </s:is>
      </s:c>
      <s:c r="C17727" s="83" t="inlineStr">
        <s:is>
          <s:t>1–2. X giữ Ngoặc, Y giữ [*] phía trước; lưu cấu hình này không đổi cấu hình kia.
3. Theo X: [(29)]; theo Y: [*29]. Web, API và PDF của cùng cấu hình cho cùng cách hiển thị.</s:t>
        </s:is>
      </s:c>
      <s:c r="D17727" s="117" t="inlineStr"/>
      <s:c r="E17727" s="118" t="inlineStr">
        <s:is>
          <s:t>Chưa thực hiện</s:t>
        </s:is>
      </s:c>
    </s:row>
    <s:row r="17728" ht="3" customHeight="1">
      <s:c r="A17728" s="102" t="inlineStr"/>
      <s:c r="B17728" s="99" t="n"/>
      <s:c r="C17728" s="99" t="n"/>
      <s:c r="D17728" s="116" t="n"/>
      <s:c r="E17728" s="116" t="n"/>
    </s:row>
    <s:row r="17729" ht="76" customHeight="1">
      <s:c r="A17729" s="83" t="inlineStr">
        <s:is>
          <s:t>Đối chiếu X/Y trên PDF (pdf)</s:t>
        </s:is>
      </s:c>
      <s:c r="B17729" s="83" t="inlineStr">
        <s:is>
          <s:t>Dựng X=Ngoặc, Y=[*] trước như web; xuất PDF của từng cấu hình nếu có, đối chiếu cùng S01/kỳ.</s:t>
        </s:is>
      </s:c>
      <s:c r="C17729" s="83" t="inlineStr">
        <s:is>
          <s:t>1–2. X giữ Ngoặc, Y giữ [*] phía trước; lưu cấu hình này không đổi cấu hình kia.
3. Theo X: [(29)]; theo Y: [*29]. Web, API và PDF của cùng cấu hình cho cùng cách hiển thị.</s:t>
        </s:is>
      </s:c>
      <s:c r="D17729" s="117" t="inlineStr"/>
      <s:c r="E17729" s="118" t="inlineStr">
        <s:is>
          <s:t>Chưa thực hiện</s:t>
        </s:is>
      </s:c>
    </s:row>
    <s:row r="17730" ht="3" customHeight="1">
      <s:c r="A17730" s="102" t="inlineStr"/>
      <s:c r="B17730" s="99" t="n"/>
      <s:c r="C17730" s="99" t="n"/>
      <s:c r="D17730" s="116" t="n"/>
      <s:c r="E17730" s="116" t="n"/>
    </s:row>
    <s:row r="17731" ht="76" customHeight="1">
      <s:c r="A17731" s="83" t="inlineStr">
        <s:is>
          <s:t>Sao chép cấu hình X (copy)</s:t>
        </s:is>
      </s:c>
      <s:c r="B17731" s="83" t="inlineStr">
        <s:is>
          <s:r>
            <s:t xml:space="preserve">Sau setup X=Ngoặc cho mục số nguyên </s:t>
          </s:r>
          <s:r>
            <s:rPr>
              <s:b val="1"/>
            </s:rPr>
            <s:t>M=100</s:t>
          </s:r>
          <s:r>
            <s:t>, dùng chức năng sao chép hiện hữu tạo X′ rồi mở bản sao; không dùng kết quả xét cá nhân làm dữ liệu copy.</s:t>
          </s:r>
        </s:is>
      </s:c>
      <s:c r="C17731" s="83" t="inlineStr">
        <s:is>
          <s:r>
            <s:t>4. X' giữ Ngoặc cho mục số nguyên (</s:t>
          </s:r>
          <s:r>
            <s:rPr>
              <s:b val="1"/>
            </s:rPr>
            <s:t>M=100</s:t>
          </s:r>
          <s:r>
            <s:t>); không sao chép kết quả xét của học sinh.</s:t>
          </s:r>
        </s:is>
      </s:c>
      <s:c r="D17731" s="117" t="inlineStr"/>
      <s:c r="E17731" s="118" t="inlineStr">
        <s:is>
          <s:t>Chưa thực hiện</s:t>
        </s:is>
      </s:c>
    </s:row>
    <s:row r="17732" ht="3" customHeight="1">
      <s:c r="A17732" s="102" t="inlineStr"/>
      <s:c r="B17732" s="99" t="n"/>
      <s:c r="C17732" s="99" t="n"/>
      <s:c r="D17732" s="116" t="n"/>
      <s:c r="E17732" s="116" t="n"/>
    </s:row>
    <s:row r="17733" ht="62" customHeight="1">
      <s:c r="A17733" s="83" t="inlineStr">
        <s:is>
          <s:t>Điểm thường và đơn vị độc lập (item-types)</s:t>
        </s:is>
      </s:c>
      <s:c r="B17733" s="83" t="inlineStr">
        <s:is>
          <s:r>
            <s:t xml:space="preserve">Ở X: mục </s:t>
          </s:r>
          <s:r>
            <s:rPr>
              <s:b val="1"/>
            </s:rPr>
            <s:t>số nguyên điểm thường（通常）</s:t>
          </s:r>
          <s:r>
            <s:t xml:space="preserve">=Ngoặc, mục điểm đơn vị </s:t>
          </s:r>
          <s:r>
            <s:rPr>
              <s:b val="1"/>
            </s:rPr>
            <s:t>U1/M40 điểm đơn vị（単元）</s:t>
          </s:r>
          <s:r>
            <s:t>=[*] phía sau; lưu/mở lại.</s:t>
          </s:r>
        </s:is>
      </s:c>
      <s:c r="C17733" s="83" t="inlineStr">
        <s:is>
          <s:t>5. Mỗi phân loại thường/đơn vị mở lại đúng lựa chọn của mình; không trộn.</s:t>
        </s:is>
      </s:c>
      <s:c r="D17733" s="117" t="inlineStr"/>
      <s:c r="E17733" s="118" t="inlineStr">
        <s:is>
          <s:t>Chưa thực hiện</s:t>
        </s:is>
      </s:c>
    </s:row>
    <s:row r="17734" ht="3" customHeight="1">
      <s:c r="A17734" s="102" t="inlineStr"/>
      <s:c r="B17734" s="99" t="n"/>
      <s:c r="C17734" s="99" t="n"/>
      <s:c r="D17734" s="116" t="n"/>
      <s:c r="E17734" s="116" t="n"/>
    </s:row>
    <s:row r="17735" ht="62" customHeight="1">
      <s:c r="A17735" s="83" t="inlineStr">
        <s:is>
          <s:t>Lỗi lưu không đổi Y (save-failure)</s:t>
        </s:is>
      </s:c>
      <s:c r="B17735" s="83" t="inlineStr">
        <s:is>
          <s:t>Dựng Y đang lưu [*] phía trước; đổi sang [*] phía sau và giả lập lỗi lưu được phép, mở lại Y và đọc thông báo.</s:t>
        </s:is>
      </s:c>
      <s:c r="C17735" s="83" t="inlineStr">
        <s:is>
          <s:t>6. Có thông báo lỗi; Y vẫn là [*] phía trước (cấu hình cũ được giữ).</s:t>
        </s:is>
      </s:c>
      <s:c r="D17735" s="117" t="inlineStr"/>
      <s:c r="E17735" s="118" t="inlineStr">
        <s:is>
          <s:t>Chưa thực hiện</s:t>
        </s:is>
      </s:c>
    </s:row>
    <s:row r="17736" ht="20" customHeight="1">
      <s:c r="A17736" s="119" t="inlineStr">
        <s:is>
          <s:t>Ảnh minh chứng — Chưa có ảnh</s:t>
        </s:is>
      </s:c>
      <s:c r="B17736" s="19" t="n"/>
      <s:c r="C17736" s="19" t="n"/>
      <s:c r="D17736" s="19" t="n"/>
      <s:c r="E17736" s="19" t="n"/>
    </s:row>
    <s:row r="17737" hidden="1" ht="1" customHeight="1">
      <s:c r="A17737" s="120" t="inlineStr"/>
      <s:c r="B17737" s="121" t="n"/>
      <s:c r="C17737" s="121" t="n"/>
      <s:c r="D17737" s="121" t="n"/>
      <s:c r="E17737" s="122" t="n"/>
    </s:row>
    <s:row r="17738" hidden="1" ht="1" customHeight="1">
      <s:c r="A17738" s="120" t="inlineStr"/>
      <s:c r="B17738" s="121" t="n"/>
      <s:c r="C17738" s="121" t="n"/>
      <s:c r="D17738" s="121" t="n"/>
      <s:c r="E17738" s="122" t="n"/>
    </s:row>
    <s:row r="17739" hidden="1" ht="1" customHeight="1">
      <s:c r="A17739" s="120" t="inlineStr"/>
      <s:c r="B17739" s="121" t="n"/>
      <s:c r="C17739" s="121" t="n"/>
      <s:c r="D17739" s="121" t="n"/>
      <s:c r="E17739" s="122" t="n"/>
    </s:row>
    <s:row r="17740" hidden="1" ht="1" customHeight="1">
      <s:c r="A17740" s="120" t="inlineStr"/>
      <s:c r="B17740" s="121" t="n"/>
      <s:c r="C17740" s="121" t="n"/>
      <s:c r="D17740" s="121" t="n"/>
      <s:c r="E17740" s="122" t="n"/>
    </s:row>
    <s:row r="17741" hidden="1" ht="1" customHeight="1">
      <s:c r="A17741" s="120" t="inlineStr"/>
      <s:c r="B17741" s="121" t="n"/>
      <s:c r="C17741" s="121" t="n"/>
      <s:c r="D17741" s="121" t="n"/>
      <s:c r="E17741" s="122" t="n"/>
    </s:row>
    <s:row r="17742" hidden="1" ht="1" customHeight="1">
      <s:c r="A17742" s="120" t="inlineStr"/>
      <s:c r="B17742" s="121" t="n"/>
      <s:c r="C17742" s="121" t="n"/>
      <s:c r="D17742" s="121" t="n"/>
      <s:c r="E17742" s="122" t="n"/>
    </s:row>
    <s:row r="17743" hidden="1" ht="1" customHeight="1">
      <s:c r="A17743" s="120" t="inlineStr"/>
      <s:c r="B17743" s="121" t="n"/>
      <s:c r="C17743" s="121" t="n"/>
      <s:c r="D17743" s="121" t="n"/>
      <s:c r="E17743" s="122" t="n"/>
    </s:row>
    <s:row r="17744" hidden="1" ht="1" customHeight="1">
      <s:c r="A17744" s="120" t="inlineStr"/>
      <s:c r="B17744" s="121" t="n"/>
      <s:c r="C17744" s="121" t="n"/>
      <s:c r="D17744" s="121" t="n"/>
      <s:c r="E17744" s="122" t="n"/>
    </s:row>
    <s:row r="17745" hidden="1" ht="1" customHeight="1">
      <s:c r="A17745" s="120" t="inlineStr"/>
      <s:c r="B17745" s="121" t="n"/>
      <s:c r="C17745" s="121" t="n"/>
      <s:c r="D17745" s="121" t="n"/>
      <s:c r="E17745" s="122" t="n"/>
    </s:row>
    <s:row r="17746" hidden="1" ht="1" customHeight="1">
      <s:c r="A17746" s="120" t="inlineStr"/>
      <s:c r="B17746" s="121" t="n"/>
      <s:c r="C17746" s="121" t="n"/>
      <s:c r="D17746" s="121" t="n"/>
      <s:c r="E17746" s="122" t="n"/>
    </s:row>
    <s:row r="17747" hidden="1" ht="1" customHeight="1">
      <s:c r="A17747" s="120" t="inlineStr"/>
      <s:c r="B17747" s="121" t="n"/>
      <s:c r="C17747" s="121" t="n"/>
      <s:c r="D17747" s="121" t="n"/>
      <s:c r="E17747" s="122" t="n"/>
    </s:row>
    <s:row r="17748" hidden="1" ht="1" customHeight="1">
      <s:c r="A17748" s="120" t="inlineStr"/>
      <s:c r="B17748" s="121" t="n"/>
      <s:c r="C17748" s="121" t="n"/>
      <s:c r="D17748" s="121" t="n"/>
      <s:c r="E17748" s="122" t="n"/>
    </s:row>
    <s:row r="17749" hidden="1" ht="1" customHeight="1">
      <s:c r="A17749" s="120" t="inlineStr"/>
      <s:c r="B17749" s="121" t="n"/>
      <s:c r="C17749" s="121" t="n"/>
      <s:c r="D17749" s="121" t="n"/>
      <s:c r="E17749" s="122" t="n"/>
    </s:row>
    <s:row r="17750" hidden="1" ht="1" customHeight="1">
      <s:c r="A17750" s="120" t="inlineStr"/>
      <s:c r="B17750" s="121" t="n"/>
      <s:c r="C17750" s="121" t="n"/>
      <s:c r="D17750" s="121" t="n"/>
      <s:c r="E17750" s="122" t="n"/>
    </s:row>
    <s:row r="17751" hidden="1" ht="1" customHeight="1">
      <s:c r="A17751" s="120" t="inlineStr"/>
      <s:c r="B17751" s="121" t="n"/>
      <s:c r="C17751" s="121" t="n"/>
      <s:c r="D17751" s="121" t="n"/>
      <s:c r="E17751" s="122" t="n"/>
    </s:row>
    <s:row r="17752" hidden="1" ht="1" customHeight="1">
      <s:c r="A17752" s="120" t="inlineStr"/>
      <s:c r="B17752" s="121" t="n"/>
      <s:c r="C17752" s="121" t="n"/>
      <s:c r="D17752" s="121" t="n"/>
      <s:c r="E17752" s="122" t="n"/>
    </s:row>
    <s:row r="17753" hidden="1" ht="1" customHeight="1">
      <s:c r="A17753" s="120" t="inlineStr"/>
      <s:c r="B17753" s="121" t="n"/>
      <s:c r="C17753" s="121" t="n"/>
      <s:c r="D17753" s="121" t="n"/>
      <s:c r="E17753" s="122" t="n"/>
    </s:row>
    <s:row r="17754" hidden="1" ht="1" customHeight="1">
      <s:c r="A17754" s="120" t="inlineStr"/>
      <s:c r="B17754" s="121" t="n"/>
      <s:c r="C17754" s="121" t="n"/>
      <s:c r="D17754" s="121" t="n"/>
      <s:c r="E17754" s="122" t="n"/>
    </s:row>
    <s:row r="17755" hidden="1" ht="1" customHeight="1">
      <s:c r="A17755" s="120" t="inlineStr"/>
      <s:c r="B17755" s="121" t="n"/>
      <s:c r="C17755" s="121" t="n"/>
      <s:c r="D17755" s="121" t="n"/>
      <s:c r="E17755" s="122" t="n"/>
    </s:row>
    <s:row r="17756" hidden="1" ht="1" customHeight="1">
      <s:c r="A17756" s="120" t="inlineStr"/>
      <s:c r="B17756" s="121" t="n"/>
      <s:c r="C17756" s="121" t="n"/>
      <s:c r="D17756" s="121" t="n"/>
      <s:c r="E17756" s="122" t="n"/>
    </s:row>
    <s:row r="17757" hidden="1" ht="1" customHeight="1">
      <s:c r="A17757" s="120" t="inlineStr"/>
      <s:c r="B17757" s="121" t="n"/>
      <s:c r="C17757" s="121" t="n"/>
      <s:c r="D17757" s="121" t="n"/>
      <s:c r="E17757" s="122" t="n"/>
    </s:row>
    <s:row r="17758" hidden="1" ht="1" customHeight="1">
      <s:c r="A17758" s="120" t="inlineStr"/>
      <s:c r="B17758" s="121" t="n"/>
      <s:c r="C17758" s="121" t="n"/>
      <s:c r="D17758" s="121" t="n"/>
      <s:c r="E17758" s="122" t="n"/>
    </s:row>
    <s:row r="17759" hidden="1" ht="1" customHeight="1">
      <s:c r="A17759" s="120" t="inlineStr"/>
      <s:c r="B17759" s="121" t="n"/>
      <s:c r="C17759" s="121" t="n"/>
      <s:c r="D17759" s="121" t="n"/>
      <s:c r="E17759" s="122" t="n"/>
    </s:row>
    <s:row r="17760" hidden="1" ht="1" customHeight="1">
      <s:c r="A17760" s="120" t="inlineStr"/>
      <s:c r="B17760" s="121" t="n"/>
      <s:c r="C17760" s="121" t="n"/>
      <s:c r="D17760" s="121" t="n"/>
      <s:c r="E17760" s="122" t="n"/>
    </s:row>
    <s:row r="17761" hidden="1" ht="1" customHeight="1">
      <s:c r="A17761" s="120" t="inlineStr"/>
      <s:c r="B17761" s="121" t="n"/>
      <s:c r="C17761" s="121" t="n"/>
      <s:c r="D17761" s="121" t="n"/>
      <s:c r="E17761" s="122" t="n"/>
    </s:row>
    <s:row r="17762" hidden="1" ht="1" customHeight="1">
      <s:c r="A17762" s="120" t="inlineStr"/>
      <s:c r="B17762" s="121" t="n"/>
      <s:c r="C17762" s="121" t="n"/>
      <s:c r="D17762" s="121" t="n"/>
      <s:c r="E17762" s="122" t="n"/>
    </s:row>
    <s:row r="17763" hidden="1" ht="1" customHeight="1">
      <s:c r="A17763" s="120" t="inlineStr"/>
      <s:c r="B17763" s="121" t="n"/>
      <s:c r="C17763" s="121" t="n"/>
      <s:c r="D17763" s="121" t="n"/>
      <s:c r="E17763" s="122" t="n"/>
    </s:row>
    <s:row r="17764" hidden="1" ht="1" customHeight="1">
      <s:c r="A17764" s="120" t="inlineStr"/>
      <s:c r="B17764" s="121" t="n"/>
      <s:c r="C17764" s="121" t="n"/>
      <s:c r="D17764" s="121" t="n"/>
      <s:c r="E17764" s="122" t="n"/>
    </s:row>
    <s:row r="17765" hidden="1" ht="1" customHeight="1">
      <s:c r="A17765" s="120" t="inlineStr"/>
      <s:c r="B17765" s="121" t="n"/>
      <s:c r="C17765" s="121" t="n"/>
      <s:c r="D17765" s="121" t="n"/>
      <s:c r="E17765" s="122" t="n"/>
    </s:row>
    <s:row r="17766" hidden="1" ht="1" customHeight="1">
      <s:c r="A17766" s="120" t="inlineStr"/>
      <s:c r="B17766" s="121" t="n"/>
      <s:c r="C17766" s="121" t="n"/>
      <s:c r="D17766" s="121" t="n"/>
      <s:c r="E17766" s="122" t="n"/>
    </s:row>
    <s:row r="17767" hidden="1" ht="1" customHeight="1">
      <s:c r="A17767" s="120" t="inlineStr"/>
      <s:c r="B17767" s="121" t="n"/>
      <s:c r="C17767" s="121" t="n"/>
      <s:c r="D17767" s="121" t="n"/>
      <s:c r="E17767" s="122" t="n"/>
    </s:row>
    <s:row r="17768" hidden="1" ht="1" customHeight="1">
      <s:c r="A17768" s="120" t="inlineStr"/>
      <s:c r="B17768" s="121" t="n"/>
      <s:c r="C17768" s="121" t="n"/>
      <s:c r="D17768" s="121" t="n"/>
      <s:c r="E17768" s="122" t="n"/>
    </s:row>
    <s:row r="17769" hidden="1" ht="1" customHeight="1">
      <s:c r="A17769" s="120" t="inlineStr"/>
      <s:c r="B17769" s="121" t="n"/>
      <s:c r="C17769" s="121" t="n"/>
      <s:c r="D17769" s="121" t="n"/>
      <s:c r="E17769" s="122" t="n"/>
    </s:row>
    <s:row r="17770" hidden="1" ht="1" customHeight="1">
      <s:c r="A17770" s="120" t="inlineStr"/>
      <s:c r="B17770" s="121" t="n"/>
      <s:c r="C17770" s="121" t="n"/>
      <s:c r="D17770" s="121" t="n"/>
      <s:c r="E17770" s="122" t="n"/>
    </s:row>
    <s:row r="17771" hidden="1" ht="1" customHeight="1">
      <s:c r="A17771" s="120" t="inlineStr"/>
      <s:c r="B17771" s="121" t="n"/>
      <s:c r="C17771" s="121" t="n"/>
      <s:c r="D17771" s="121" t="n"/>
      <s:c r="E17771" s="122" t="n"/>
    </s:row>
    <s:row r="17772" hidden="1" ht="1" customHeight="1">
      <s:c r="A17772" s="120" t="inlineStr"/>
      <s:c r="B17772" s="121" t="n"/>
      <s:c r="C17772" s="121" t="n"/>
      <s:c r="D17772" s="121" t="n"/>
      <s:c r="E17772" s="122" t="n"/>
    </s:row>
    <s:row r="17773" hidden="1" ht="1" customHeight="1">
      <s:c r="A17773" s="120" t="inlineStr"/>
      <s:c r="B17773" s="121" t="n"/>
      <s:c r="C17773" s="121" t="n"/>
      <s:c r="D17773" s="121" t="n"/>
      <s:c r="E17773" s="122" t="n"/>
    </s:row>
    <s:row r="17774" hidden="1" ht="1" customHeight="1">
      <s:c r="A17774" s="120" t="inlineStr"/>
      <s:c r="B17774" s="121" t="n"/>
      <s:c r="C17774" s="121" t="n"/>
      <s:c r="D17774" s="121" t="n"/>
      <s:c r="E17774" s="122" t="n"/>
    </s:row>
    <s:row r="17775" hidden="1" ht="1" customHeight="1">
      <s:c r="A17775" s="120" t="inlineStr"/>
      <s:c r="B17775" s="121" t="n"/>
      <s:c r="C17775" s="121" t="n"/>
      <s:c r="D17775" s="121" t="n"/>
      <s:c r="E17775" s="122" t="n"/>
    </s:row>
    <s:row r="17776" hidden="1" ht="1" customHeight="1">
      <s:c r="A17776" s="120" t="inlineStr"/>
      <s:c r="B17776" s="121" t="n"/>
      <s:c r="C17776" s="121" t="n"/>
      <s:c r="D17776" s="121" t="n"/>
      <s:c r="E17776" s="122" t="n"/>
    </s:row>
    <s:row r="17777" hidden="1" ht="1" customHeight="1">
      <s:c r="A17777" s="120" t="inlineStr"/>
      <s:c r="B17777" s="121" t="n"/>
      <s:c r="C17777" s="121" t="n"/>
      <s:c r="D17777" s="121" t="n"/>
      <s:c r="E17777" s="122" t="n"/>
    </s:row>
    <s:row r="17778" hidden="1" ht="1" customHeight="1">
      <s:c r="A17778" s="120" t="inlineStr"/>
      <s:c r="B17778" s="121" t="n"/>
      <s:c r="C17778" s="121" t="n"/>
      <s:c r="D17778" s="121" t="n"/>
      <s:c r="E17778" s="122" t="n"/>
    </s:row>
    <s:row r="17779" hidden="1" ht="1" customHeight="1">
      <s:c r="A17779" s="120" t="inlineStr"/>
      <s:c r="B17779" s="121" t="n"/>
      <s:c r="C17779" s="121" t="n"/>
      <s:c r="D17779" s="121" t="n"/>
      <s:c r="E17779" s="122" t="n"/>
    </s:row>
    <s:row r="17780" hidden="1" ht="1" customHeight="1">
      <s:c r="A17780" s="120" t="inlineStr"/>
      <s:c r="B17780" s="121" t="n"/>
      <s:c r="C17780" s="121" t="n"/>
      <s:c r="D17780" s="121" t="n"/>
      <s:c r="E17780" s="122" t="n"/>
    </s:row>
    <s:row r="17781" hidden="1" ht="1" customHeight="1">
      <s:c r="A17781" s="120" t="inlineStr"/>
      <s:c r="B17781" s="121" t="n"/>
      <s:c r="C17781" s="121" t="n"/>
      <s:c r="D17781" s="121" t="n"/>
      <s:c r="E17781" s="122" t="n"/>
    </s:row>
    <s:row r="17782" hidden="1" ht="1" customHeight="1">
      <s:c r="A17782" s="120" t="inlineStr"/>
      <s:c r="B17782" s="121" t="n"/>
      <s:c r="C17782" s="121" t="n"/>
      <s:c r="D17782" s="121" t="n"/>
      <s:c r="E17782" s="122" t="n"/>
    </s:row>
    <s:row r="17783" hidden="1" ht="1" customHeight="1">
      <s:c r="A17783" s="120" t="inlineStr"/>
      <s:c r="B17783" s="121" t="n"/>
      <s:c r="C17783" s="121" t="n"/>
      <s:c r="D17783" s="121" t="n"/>
      <s:c r="E17783" s="122" t="n"/>
    </s:row>
    <s:row r="17784" hidden="1" ht="1" customHeight="1">
      <s:c r="A17784" s="120" t="inlineStr"/>
      <s:c r="B17784" s="121" t="n"/>
      <s:c r="C17784" s="121" t="n"/>
      <s:c r="D17784" s="121" t="n"/>
      <s:c r="E17784" s="122" t="n"/>
    </s:row>
    <s:row r="17785" hidden="1" ht="1" customHeight="1">
      <s:c r="A17785" s="120" t="inlineStr"/>
      <s:c r="B17785" s="121" t="n"/>
      <s:c r="C17785" s="121" t="n"/>
      <s:c r="D17785" s="121" t="n"/>
      <s:c r="E17785" s="122" t="n"/>
    </s:row>
    <s:row r="17786" hidden="1" ht="1" customHeight="1">
      <s:c r="A17786" s="120" t="inlineStr"/>
      <s:c r="B17786" s="121" t="n"/>
      <s:c r="C17786" s="121" t="n"/>
      <s:c r="D17786" s="121" t="n"/>
      <s:c r="E17786" s="122" t="n"/>
    </s:row>
    <s:row r="17787" hidden="1" ht="1" customHeight="1">
      <s:c r="A17787" s="120" t="inlineStr"/>
      <s:c r="B17787" s="121" t="n"/>
      <s:c r="C17787" s="121" t="n"/>
      <s:c r="D17787" s="121" t="n"/>
      <s:c r="E17787" s="122" t="n"/>
    </s:row>
    <s:row r="17788" hidden="1" ht="1" customHeight="1">
      <s:c r="A17788" s="120" t="inlineStr"/>
      <s:c r="B17788" s="121" t="n"/>
      <s:c r="C17788" s="121" t="n"/>
      <s:c r="D17788" s="121" t="n"/>
      <s:c r="E17788" s="122" t="n"/>
    </s:row>
    <s:row r="17789" hidden="1" ht="1" customHeight="1">
      <s:c r="A17789" s="120" t="inlineStr"/>
      <s:c r="B17789" s="121" t="n"/>
      <s:c r="C17789" s="121" t="n"/>
      <s:c r="D17789" s="121" t="n"/>
      <s:c r="E17789" s="122" t="n"/>
    </s:row>
    <s:row r="17790" hidden="1" ht="1" customHeight="1">
      <s:c r="A17790" s="120" t="inlineStr"/>
      <s:c r="B17790" s="121" t="n"/>
      <s:c r="C17790" s="121" t="n"/>
      <s:c r="D17790" s="121" t="n"/>
      <s:c r="E17790" s="122" t="n"/>
    </s:row>
    <s:row r="17791" hidden="1" ht="1" customHeight="1">
      <s:c r="A17791" s="120" t="inlineStr"/>
      <s:c r="B17791" s="121" t="n"/>
      <s:c r="C17791" s="121" t="n"/>
      <s:c r="D17791" s="121" t="n"/>
      <s:c r="E17791" s="122" t="n"/>
    </s:row>
    <s:row r="17792" hidden="1" ht="1" customHeight="1">
      <s:c r="A17792" s="120" t="inlineStr"/>
      <s:c r="B17792" s="121" t="n"/>
      <s:c r="C17792" s="121" t="n"/>
      <s:c r="D17792" s="121" t="n"/>
      <s:c r="E17792" s="122" t="n"/>
    </s:row>
    <s:row r="17793" hidden="1" ht="1" customHeight="1">
      <s:c r="A17793" s="120" t="inlineStr"/>
      <s:c r="B17793" s="121" t="n"/>
      <s:c r="C17793" s="121" t="n"/>
      <s:c r="D17793" s="121" t="n"/>
      <s:c r="E17793" s="122" t="n"/>
    </s:row>
    <s:row r="17794" hidden="1" ht="1" customHeight="1">
      <s:c r="A17794" s="120" t="inlineStr"/>
      <s:c r="B17794" s="121" t="n"/>
      <s:c r="C17794" s="121" t="n"/>
      <s:c r="D17794" s="121" t="n"/>
      <s:c r="E17794" s="122" t="n"/>
    </s:row>
    <s:row r="17795" hidden="1" ht="1" customHeight="1">
      <s:c r="A17795" s="120" t="inlineStr"/>
      <s:c r="B17795" s="121" t="n"/>
      <s:c r="C17795" s="121" t="n"/>
      <s:c r="D17795" s="121" t="n"/>
      <s:c r="E17795" s="122" t="n"/>
    </s:row>
    <s:row r="17796" hidden="1" ht="1" customHeight="1">
      <s:c r="A17796" s="120" t="inlineStr"/>
      <s:c r="B17796" s="121" t="n"/>
      <s:c r="C17796" s="121" t="n"/>
      <s:c r="D17796" s="121" t="n"/>
      <s:c r="E17796" s="122" t="n"/>
    </s:row>
    <s:row r="17797" hidden="1" ht="1" customHeight="1">
      <s:c r="A17797" s="120" t="inlineStr"/>
      <s:c r="B17797" s="121" t="n"/>
      <s:c r="C17797" s="121" t="n"/>
      <s:c r="D17797" s="121" t="n"/>
      <s:c r="E17797" s="122" t="n"/>
    </s:row>
    <s:row r="17798" hidden="1" ht="1" customHeight="1">
      <s:c r="A17798" s="120" t="inlineStr"/>
      <s:c r="B17798" s="121" t="n"/>
      <s:c r="C17798" s="121" t="n"/>
      <s:c r="D17798" s="121" t="n"/>
      <s:c r="E17798" s="122" t="n"/>
    </s:row>
    <s:row r="17799" hidden="1" ht="1" customHeight="1">
      <s:c r="A17799" s="120" t="inlineStr"/>
      <s:c r="B17799" s="121" t="n"/>
      <s:c r="C17799" s="121" t="n"/>
      <s:c r="D17799" s="121" t="n"/>
      <s:c r="E17799" s="122" t="n"/>
    </s:row>
    <s:row r="17800" hidden="1" ht="1" customHeight="1">
      <s:c r="A17800" s="120" t="inlineStr"/>
      <s:c r="B17800" s="121" t="n"/>
      <s:c r="C17800" s="121" t="n"/>
      <s:c r="D17800" s="121" t="n"/>
      <s:c r="E17800" s="122" t="n"/>
    </s:row>
    <s:row r="17801" hidden="1" ht="1" customHeight="1">
      <s:c r="A17801" s="120" t="inlineStr"/>
      <s:c r="B17801" s="121" t="n"/>
      <s:c r="C17801" s="121" t="n"/>
      <s:c r="D17801" s="121" t="n"/>
      <s:c r="E17801" s="122" t="n"/>
    </s:row>
    <s:row r="17802" hidden="1" ht="1" customHeight="1">
      <s:c r="A17802" s="120" t="inlineStr"/>
      <s:c r="B17802" s="121" t="n"/>
      <s:c r="C17802" s="121" t="n"/>
      <s:c r="D17802" s="121" t="n"/>
      <s:c r="E17802" s="122" t="n"/>
    </s:row>
    <s:row r="17803" hidden="1" ht="1" customHeight="1">
      <s:c r="A17803" s="120" t="inlineStr"/>
      <s:c r="B17803" s="121" t="n"/>
      <s:c r="C17803" s="121" t="n"/>
      <s:c r="D17803" s="121" t="n"/>
      <s:c r="E17803" s="122" t="n"/>
    </s:row>
    <s:row r="17804" hidden="1" ht="1" customHeight="1">
      <s:c r="A17804" s="120" t="inlineStr"/>
      <s:c r="B17804" s="121" t="n"/>
      <s:c r="C17804" s="121" t="n"/>
      <s:c r="D17804" s="121" t="n"/>
      <s:c r="E17804" s="122" t="n"/>
    </s:row>
    <s:row r="17805" hidden="1" ht="1" customHeight="1">
      <s:c r="A17805" s="120" t="inlineStr"/>
      <s:c r="B17805" s="121" t="n"/>
      <s:c r="C17805" s="121" t="n"/>
      <s:c r="D17805" s="121" t="n"/>
      <s:c r="E17805" s="122" t="n"/>
    </s:row>
    <s:row r="17806" hidden="1" ht="1" customHeight="1">
      <s:c r="A17806" s="120" t="inlineStr"/>
      <s:c r="B17806" s="121" t="n"/>
      <s:c r="C17806" s="121" t="n"/>
      <s:c r="D17806" s="121" t="n"/>
      <s:c r="E17806" s="122" t="n"/>
    </s:row>
    <s:row r="17807" hidden="1" ht="1" customHeight="1">
      <s:c r="A17807" s="120" t="inlineStr"/>
      <s:c r="B17807" s="121" t="n"/>
      <s:c r="C17807" s="121" t="n"/>
      <s:c r="D17807" s="121" t="n"/>
      <s:c r="E17807" s="122" t="n"/>
    </s:row>
    <s:row r="17808" hidden="1" ht="1" customHeight="1">
      <s:c r="A17808" s="120" t="inlineStr"/>
      <s:c r="B17808" s="121" t="n"/>
      <s:c r="C17808" s="121" t="n"/>
      <s:c r="D17808" s="121" t="n"/>
      <s:c r="E17808" s="122" t="n"/>
    </s:row>
    <s:row r="17809" hidden="1" ht="1" customHeight="1">
      <s:c r="A17809" s="120" t="inlineStr"/>
      <s:c r="B17809" s="121" t="n"/>
      <s:c r="C17809" s="121" t="n"/>
      <s:c r="D17809" s="121" t="n"/>
      <s:c r="E17809" s="122" t="n"/>
    </s:row>
    <s:row r="17810" hidden="1" ht="1" customHeight="1">
      <s:c r="A17810" s="120" t="inlineStr"/>
      <s:c r="B17810" s="121" t="n"/>
      <s:c r="C17810" s="121" t="n"/>
      <s:c r="D17810" s="121" t="n"/>
      <s:c r="E17810" s="122" t="n"/>
    </s:row>
    <s:row r="17811" hidden="1" ht="1" customHeight="1">
      <s:c r="A17811" s="120" t="inlineStr"/>
      <s:c r="B17811" s="121" t="n"/>
      <s:c r="C17811" s="121" t="n"/>
      <s:c r="D17811" s="121" t="n"/>
      <s:c r="E17811" s="122" t="n"/>
    </s:row>
    <s:row r="17812" hidden="1" ht="1" customHeight="1">
      <s:c r="A17812" s="120" t="inlineStr"/>
      <s:c r="B17812" s="121" t="n"/>
      <s:c r="C17812" s="121" t="n"/>
      <s:c r="D17812" s="121" t="n"/>
      <s:c r="E17812" s="122" t="n"/>
    </s:row>
    <s:row r="17813" hidden="1" ht="1" customHeight="1">
      <s:c r="A17813" s="120" t="inlineStr"/>
      <s:c r="B17813" s="121" t="n"/>
      <s:c r="C17813" s="121" t="n"/>
      <s:c r="D17813" s="121" t="n"/>
      <s:c r="E17813" s="122" t="n"/>
    </s:row>
    <s:row r="17814" hidden="1" ht="1" customHeight="1">
      <s:c r="A17814" s="120" t="inlineStr"/>
      <s:c r="B17814" s="121" t="n"/>
      <s:c r="C17814" s="121" t="n"/>
      <s:c r="D17814" s="121" t="n"/>
      <s:c r="E17814" s="122" t="n"/>
    </s:row>
    <s:row r="17815" hidden="1" ht="1" customHeight="1">
      <s:c r="A17815" s="120" t="inlineStr"/>
      <s:c r="B17815" s="121" t="n"/>
      <s:c r="C17815" s="121" t="n"/>
      <s:c r="D17815" s="121" t="n"/>
      <s:c r="E17815" s="122" t="n"/>
    </s:row>
    <s:row r="17816" hidden="1" ht="1" customHeight="1">
      <s:c r="A17816" s="120" t="inlineStr"/>
      <s:c r="B17816" s="121" t="n"/>
      <s:c r="C17816" s="121" t="n"/>
      <s:c r="D17816" s="121" t="n"/>
      <s:c r="E17816" s="122" t="n"/>
    </s:row>
    <s:row r="17817" hidden="1" ht="1" customHeight="1">
      <s:c r="A17817" s="120" t="inlineStr"/>
      <s:c r="B17817" s="121" t="n"/>
      <s:c r="C17817" s="121" t="n"/>
      <s:c r="D17817" s="121" t="n"/>
      <s:c r="E17817" s="122" t="n"/>
    </s:row>
    <s:row r="17818" hidden="1" ht="1" customHeight="1">
      <s:c r="A17818" s="120" t="inlineStr"/>
      <s:c r="B17818" s="121" t="n"/>
      <s:c r="C17818" s="121" t="n"/>
      <s:c r="D17818" s="121" t="n"/>
      <s:c r="E17818" s="122" t="n"/>
    </s:row>
    <s:row r="17819" hidden="1" ht="1" customHeight="1">
      <s:c r="A17819" s="120" t="inlineStr"/>
      <s:c r="B17819" s="121" t="n"/>
      <s:c r="C17819" s="121" t="n"/>
      <s:c r="D17819" s="121" t="n"/>
      <s:c r="E17819" s="122" t="n"/>
    </s:row>
    <s:row r="17820" hidden="1" ht="1" customHeight="1">
      <s:c r="A17820" s="120" t="inlineStr"/>
      <s:c r="B17820" s="121" t="n"/>
      <s:c r="C17820" s="121" t="n"/>
      <s:c r="D17820" s="121" t="n"/>
      <s:c r="E17820" s="122" t="n"/>
    </s:row>
    <s:row r="17821" hidden="1" ht="1" customHeight="1">
      <s:c r="A17821" s="120" t="inlineStr"/>
      <s:c r="B17821" s="121" t="n"/>
      <s:c r="C17821" s="121" t="n"/>
      <s:c r="D17821" s="121" t="n"/>
      <s:c r="E17821" s="122" t="n"/>
    </s:row>
    <s:row r="17822" hidden="1" ht="1" customHeight="1">
      <s:c r="A17822" s="120" t="inlineStr"/>
      <s:c r="B17822" s="121" t="n"/>
      <s:c r="C17822" s="121" t="n"/>
      <s:c r="D17822" s="121" t="n"/>
      <s:c r="E17822" s="122" t="n"/>
    </s:row>
    <s:row r="17823" hidden="1" ht="1" customHeight="1">
      <s:c r="A17823" s="120" t="inlineStr"/>
      <s:c r="B17823" s="121" t="n"/>
      <s:c r="C17823" s="121" t="n"/>
      <s:c r="D17823" s="121" t="n"/>
      <s:c r="E17823" s="122" t="n"/>
    </s:row>
    <s:row r="17824" hidden="1" ht="1" customHeight="1">
      <s:c r="A17824" s="120" t="inlineStr"/>
      <s:c r="B17824" s="121" t="n"/>
      <s:c r="C17824" s="121" t="n"/>
      <s:c r="D17824" s="121" t="n"/>
      <s:c r="E17824" s="122" t="n"/>
    </s:row>
    <s:row r="17825" hidden="1" ht="1" customHeight="1">
      <s:c r="A17825" s="120" t="inlineStr"/>
      <s:c r="B17825" s="121" t="n"/>
      <s:c r="C17825" s="121" t="n"/>
      <s:c r="D17825" s="121" t="n"/>
      <s:c r="E17825" s="122" t="n"/>
    </s:row>
    <s:row r="17826" hidden="1" ht="1" customHeight="1">
      <s:c r="A17826" s="120" t="inlineStr"/>
      <s:c r="B17826" s="121" t="n"/>
      <s:c r="C17826" s="121" t="n"/>
      <s:c r="D17826" s="121" t="n"/>
      <s:c r="E17826" s="122" t="n"/>
    </s:row>
    <s:row r="17827" hidden="1" ht="1" customHeight="1">
      <s:c r="A17827" s="120" t="inlineStr"/>
      <s:c r="B17827" s="121" t="n"/>
      <s:c r="C17827" s="121" t="n"/>
      <s:c r="D17827" s="121" t="n"/>
      <s:c r="E17827" s="122" t="n"/>
    </s:row>
    <s:row r="17828" hidden="1" ht="1" customHeight="1">
      <s:c r="A17828" s="120" t="inlineStr"/>
      <s:c r="B17828" s="121" t="n"/>
      <s:c r="C17828" s="121" t="n"/>
      <s:c r="D17828" s="121" t="n"/>
      <s:c r="E17828" s="122" t="n"/>
    </s:row>
    <s:row r="17829" hidden="1" ht="1" customHeight="1">
      <s:c r="A17829" s="120" t="inlineStr"/>
      <s:c r="B17829" s="121" t="n"/>
      <s:c r="C17829" s="121" t="n"/>
      <s:c r="D17829" s="121" t="n"/>
      <s:c r="E17829" s="122" t="n"/>
    </s:row>
    <s:row r="17830" hidden="1" ht="1" customHeight="1">
      <s:c r="A17830" s="120" t="inlineStr"/>
      <s:c r="B17830" s="121" t="n"/>
      <s:c r="C17830" s="121" t="n"/>
      <s:c r="D17830" s="121" t="n"/>
      <s:c r="E17830" s="122" t="n"/>
    </s:row>
    <s:row r="17831" hidden="1" ht="1" customHeight="1">
      <s:c r="A17831" s="120" t="inlineStr"/>
      <s:c r="B17831" s="121" t="n"/>
      <s:c r="C17831" s="121" t="n"/>
      <s:c r="D17831" s="121" t="n"/>
      <s:c r="E17831" s="122" t="n"/>
    </s:row>
    <s:row r="17832" hidden="1" ht="1" customHeight="1">
      <s:c r="A17832" s="120" t="inlineStr"/>
      <s:c r="B17832" s="121" t="n"/>
      <s:c r="C17832" s="121" t="n"/>
      <s:c r="D17832" s="121" t="n"/>
      <s:c r="E17832" s="122" t="n"/>
    </s:row>
    <s:row r="17833" hidden="1" ht="1" customHeight="1">
      <s:c r="A17833" s="120" t="inlineStr"/>
      <s:c r="B17833" s="121" t="n"/>
      <s:c r="C17833" s="121" t="n"/>
      <s:c r="D17833" s="121" t="n"/>
      <s:c r="E17833" s="122" t="n"/>
    </s:row>
    <s:row r="17834" hidden="1" ht="1" customHeight="1">
      <s:c r="A17834" s="120" t="inlineStr"/>
      <s:c r="B17834" s="121" t="n"/>
      <s:c r="C17834" s="121" t="n"/>
      <s:c r="D17834" s="121" t="n"/>
      <s:c r="E17834" s="122" t="n"/>
    </s:row>
    <s:row r="17835" hidden="1" ht="1" customHeight="1">
      <s:c r="A17835" s="120" t="inlineStr"/>
      <s:c r="B17835" s="121" t="n"/>
      <s:c r="C17835" s="121" t="n"/>
      <s:c r="D17835" s="121" t="n"/>
      <s:c r="E17835" s="122" t="n"/>
    </s:row>
    <s:row r="17836" hidden="1" ht="1" customHeight="1">
      <s:c r="A17836" s="120" t="inlineStr"/>
      <s:c r="B17836" s="121" t="n"/>
      <s:c r="C17836" s="121" t="n"/>
      <s:c r="D17836" s="121" t="n"/>
      <s:c r="E17836" s="122" t="n"/>
    </s:row>
    <s:row r="17837" hidden="1" ht="1" customHeight="1">
      <s:c r="A17837" s="120" t="inlineStr"/>
      <s:c r="B17837" s="121" t="n"/>
      <s:c r="C17837" s="121" t="n"/>
      <s:c r="D17837" s="121" t="n"/>
      <s:c r="E17837" s="122" t="n"/>
    </s:row>
    <s:row r="17838" hidden="1" ht="1" customHeight="1">
      <s:c r="A17838" s="120" t="inlineStr"/>
      <s:c r="B17838" s="121" t="n"/>
      <s:c r="C17838" s="121" t="n"/>
      <s:c r="D17838" s="121" t="n"/>
      <s:c r="E17838" s="122" t="n"/>
    </s:row>
    <s:row r="17839" hidden="1" ht="1" customHeight="1">
      <s:c r="A17839" s="120" t="inlineStr"/>
      <s:c r="B17839" s="121" t="n"/>
      <s:c r="C17839" s="121" t="n"/>
      <s:c r="D17839" s="121" t="n"/>
      <s:c r="E17839" s="122" t="n"/>
    </s:row>
    <s:row r="17840" hidden="1" ht="1" customHeight="1">
      <s:c r="A17840" s="120" t="inlineStr"/>
      <s:c r="B17840" s="121" t="n"/>
      <s:c r="C17840" s="121" t="n"/>
      <s:c r="D17840" s="121" t="n"/>
      <s:c r="E17840" s="122" t="n"/>
    </s:row>
    <s:row r="17841" hidden="1" ht="1" customHeight="1">
      <s:c r="A17841" s="120" t="inlineStr"/>
      <s:c r="B17841" s="121" t="n"/>
      <s:c r="C17841" s="121" t="n"/>
      <s:c r="D17841" s="121" t="n"/>
      <s:c r="E17841" s="122" t="n"/>
    </s:row>
    <s:row r="17842" hidden="1" ht="1" customHeight="1">
      <s:c r="A17842" s="120" t="inlineStr"/>
      <s:c r="B17842" s="121" t="n"/>
      <s:c r="C17842" s="121" t="n"/>
      <s:c r="D17842" s="121" t="n"/>
      <s:c r="E17842" s="122" t="n"/>
    </s:row>
    <s:row r="17843" hidden="1" ht="1" customHeight="1">
      <s:c r="A17843" s="120" t="inlineStr"/>
      <s:c r="B17843" s="121" t="n"/>
      <s:c r="C17843" s="121" t="n"/>
      <s:c r="D17843" s="121" t="n"/>
      <s:c r="E17843" s="122" t="n"/>
    </s:row>
    <s:row r="17844" hidden="1" ht="1" customHeight="1">
      <s:c r="A17844" s="120" t="inlineStr"/>
      <s:c r="B17844" s="121" t="n"/>
      <s:c r="C17844" s="121" t="n"/>
      <s:c r="D17844" s="121" t="n"/>
      <s:c r="E17844" s="122" t="n"/>
    </s:row>
    <s:row r="17845" hidden="1" ht="1" customHeight="1">
      <s:c r="A17845" s="120" t="inlineStr"/>
      <s:c r="B17845" s="121" t="n"/>
      <s:c r="C17845" s="121" t="n"/>
      <s:c r="D17845" s="121" t="n"/>
      <s:c r="E17845" s="122" t="n"/>
    </s:row>
    <s:row r="17846" hidden="1" ht="1" customHeight="1">
      <s:c r="A17846" s="120" t="inlineStr"/>
      <s:c r="B17846" s="121" t="n"/>
      <s:c r="C17846" s="121" t="n"/>
      <s:c r="D17846" s="121" t="n"/>
      <s:c r="E17846" s="122" t="n"/>
    </s:row>
    <s:row r="17847" hidden="1" ht="1" customHeight="1">
      <s:c r="A17847" s="120" t="inlineStr"/>
      <s:c r="B17847" s="121" t="n"/>
      <s:c r="C17847" s="121" t="n"/>
      <s:c r="D17847" s="121" t="n"/>
      <s:c r="E17847" s="122" t="n"/>
    </s:row>
    <s:row r="17848" hidden="1" ht="1" customHeight="1">
      <s:c r="A17848" s="120" t="inlineStr"/>
      <s:c r="B17848" s="121" t="n"/>
      <s:c r="C17848" s="121" t="n"/>
      <s:c r="D17848" s="121" t="n"/>
      <s:c r="E17848" s="122" t="n"/>
    </s:row>
    <s:row r="17849" hidden="1" ht="1" customHeight="1">
      <s:c r="A17849" s="120" t="inlineStr"/>
      <s:c r="B17849" s="121" t="n"/>
      <s:c r="C17849" s="121" t="n"/>
      <s:c r="D17849" s="121" t="n"/>
      <s:c r="E17849" s="122" t="n"/>
    </s:row>
    <s:row r="17850" hidden="1" ht="1" customHeight="1">
      <s:c r="A17850" s="120" t="inlineStr"/>
      <s:c r="B17850" s="121" t="n"/>
      <s:c r="C17850" s="121" t="n"/>
      <s:c r="D17850" s="121" t="n"/>
      <s:c r="E17850" s="122" t="n"/>
    </s:row>
    <s:row r="17851" hidden="1" ht="1" customHeight="1">
      <s:c r="A17851" s="120" t="inlineStr"/>
      <s:c r="B17851" s="121" t="n"/>
      <s:c r="C17851" s="121" t="n"/>
      <s:c r="D17851" s="121" t="n"/>
      <s:c r="E17851" s="122" t="n"/>
    </s:row>
    <s:row r="17852" hidden="1" ht="1" customHeight="1">
      <s:c r="A17852" s="120" t="inlineStr"/>
      <s:c r="B17852" s="121" t="n"/>
      <s:c r="C17852" s="121" t="n"/>
      <s:c r="D17852" s="121" t="n"/>
      <s:c r="E17852" s="122" t="n"/>
    </s:row>
    <s:row r="17853" hidden="1" ht="1" customHeight="1">
      <s:c r="A17853" s="120" t="inlineStr"/>
      <s:c r="B17853" s="121" t="n"/>
      <s:c r="C17853" s="121" t="n"/>
      <s:c r="D17853" s="121" t="n"/>
      <s:c r="E17853" s="122" t="n"/>
    </s:row>
    <s:row r="17854" hidden="1" ht="1" customHeight="1">
      <s:c r="A17854" s="120" t="inlineStr"/>
      <s:c r="B17854" s="121" t="n"/>
      <s:c r="C17854" s="121" t="n"/>
      <s:c r="D17854" s="121" t="n"/>
      <s:c r="E17854" s="122" t="n"/>
    </s:row>
    <s:row r="17855" hidden="1" ht="1" customHeight="1">
      <s:c r="A17855" s="120" t="inlineStr"/>
      <s:c r="B17855" s="121" t="n"/>
      <s:c r="C17855" s="121" t="n"/>
      <s:c r="D17855" s="121" t="n"/>
      <s:c r="E17855" s="122" t="n"/>
    </s:row>
    <s:row r="17856" hidden="1" ht="1" customHeight="1">
      <s:c r="A17856" s="120" t="inlineStr"/>
      <s:c r="B17856" s="121" t="n"/>
      <s:c r="C17856" s="121" t="n"/>
      <s:c r="D17856" s="121" t="n"/>
      <s:c r="E17856" s="122" t="n"/>
    </s:row>
    <s:row r="17857" hidden="1" ht="1" customHeight="1">
      <s:c r="A17857" s="120" t="inlineStr"/>
      <s:c r="B17857" s="121" t="n"/>
      <s:c r="C17857" s="121" t="n"/>
      <s:c r="D17857" s="121" t="n"/>
      <s:c r="E17857" s="122" t="n"/>
    </s:row>
    <s:row r="17858" hidden="1" ht="1" customHeight="1">
      <s:c r="A17858" s="120" t="inlineStr"/>
      <s:c r="B17858" s="121" t="n"/>
      <s:c r="C17858" s="121" t="n"/>
      <s:c r="D17858" s="121" t="n"/>
      <s:c r="E17858" s="122" t="n"/>
    </s:row>
    <s:row r="17859" hidden="1" ht="1" customHeight="1">
      <s:c r="A17859" s="120" t="inlineStr"/>
      <s:c r="B17859" s="121" t="n"/>
      <s:c r="C17859" s="121" t="n"/>
      <s:c r="D17859" s="121" t="n"/>
      <s:c r="E17859" s="122" t="n"/>
    </s:row>
    <s:row r="17860" hidden="1" ht="1" customHeight="1">
      <s:c r="A17860" s="120" t="inlineStr"/>
      <s:c r="B17860" s="121" t="n"/>
      <s:c r="C17860" s="121" t="n"/>
      <s:c r="D17860" s="121" t="n"/>
      <s:c r="E17860" s="122" t="n"/>
    </s:row>
    <s:row r="17861" hidden="1" ht="1" customHeight="1">
      <s:c r="A17861" s="120" t="inlineStr"/>
      <s:c r="B17861" s="121" t="n"/>
      <s:c r="C17861" s="121" t="n"/>
      <s:c r="D17861" s="121" t="n"/>
      <s:c r="E17861" s="122" t="n"/>
    </s:row>
    <s:row r="17862" hidden="1" ht="1" customHeight="1">
      <s:c r="A17862" s="120" t="inlineStr"/>
      <s:c r="B17862" s="121" t="n"/>
      <s:c r="C17862" s="121" t="n"/>
      <s:c r="D17862" s="121" t="n"/>
      <s:c r="E17862" s="122" t="n"/>
    </s:row>
    <s:row r="17863" hidden="1" ht="1" customHeight="1">
      <s:c r="A17863" s="120" t="inlineStr"/>
      <s:c r="B17863" s="121" t="n"/>
      <s:c r="C17863" s="121" t="n"/>
      <s:c r="D17863" s="121" t="n"/>
      <s:c r="E17863" s="122" t="n"/>
    </s:row>
    <s:row r="17864" hidden="1" ht="1" customHeight="1">
      <s:c r="A17864" s="120" t="inlineStr"/>
      <s:c r="B17864" s="121" t="n"/>
      <s:c r="C17864" s="121" t="n"/>
      <s:c r="D17864" s="121" t="n"/>
      <s:c r="E17864" s="122" t="n"/>
    </s:row>
    <s:row r="17865" hidden="1" ht="1" customHeight="1">
      <s:c r="A17865" s="120" t="inlineStr"/>
      <s:c r="B17865" s="121" t="n"/>
      <s:c r="C17865" s="121" t="n"/>
      <s:c r="D17865" s="121" t="n"/>
      <s:c r="E17865" s="122" t="n"/>
    </s:row>
    <s:row r="17866" hidden="1" ht="1" customHeight="1">
      <s:c r="A17866" s="120" t="inlineStr"/>
      <s:c r="B17866" s="121" t="n"/>
      <s:c r="C17866" s="121" t="n"/>
      <s:c r="D17866" s="121" t="n"/>
      <s:c r="E17866" s="122" t="n"/>
    </s:row>
    <s:row r="17867" hidden="1" ht="1" customHeight="1">
      <s:c r="A17867" s="120" t="inlineStr"/>
      <s:c r="B17867" s="121" t="n"/>
      <s:c r="C17867" s="121" t="n"/>
      <s:c r="D17867" s="121" t="n"/>
      <s:c r="E17867" s="122" t="n"/>
    </s:row>
    <s:row r="17868" hidden="1" ht="1" customHeight="1">
      <s:c r="A17868" s="120" t="inlineStr"/>
      <s:c r="B17868" s="121" t="n"/>
      <s:c r="C17868" s="121" t="n"/>
      <s:c r="D17868" s="121" t="n"/>
      <s:c r="E17868" s="122" t="n"/>
    </s:row>
    <s:row r="17869" hidden="1" ht="1" customHeight="1">
      <s:c r="A17869" s="120" t="inlineStr"/>
      <s:c r="B17869" s="121" t="n"/>
      <s:c r="C17869" s="121" t="n"/>
      <s:c r="D17869" s="121" t="n"/>
      <s:c r="E17869" s="122" t="n"/>
    </s:row>
    <s:row r="17870" hidden="1" ht="1" customHeight="1">
      <s:c r="A17870" s="120" t="inlineStr"/>
      <s:c r="B17870" s="121" t="n"/>
      <s:c r="C17870" s="121" t="n"/>
      <s:c r="D17870" s="121" t="n"/>
      <s:c r="E17870" s="122" t="n"/>
    </s:row>
    <s:row r="17871" hidden="1" ht="1" customHeight="1">
      <s:c r="A17871" s="120" t="inlineStr"/>
      <s:c r="B17871" s="121" t="n"/>
      <s:c r="C17871" s="121" t="n"/>
      <s:c r="D17871" s="121" t="n"/>
      <s:c r="E17871" s="122" t="n"/>
    </s:row>
    <s:row r="17872" hidden="1" ht="1" customHeight="1">
      <s:c r="A17872" s="120" t="inlineStr"/>
      <s:c r="B17872" s="121" t="n"/>
      <s:c r="C17872" s="121" t="n"/>
      <s:c r="D17872" s="121" t="n"/>
      <s:c r="E17872" s="122" t="n"/>
    </s:row>
    <s:row r="17873" hidden="1" ht="1" customHeight="1">
      <s:c r="A17873" s="120" t="inlineStr"/>
      <s:c r="B17873" s="121" t="n"/>
      <s:c r="C17873" s="121" t="n"/>
      <s:c r="D17873" s="121" t="n"/>
      <s:c r="E17873" s="122" t="n"/>
    </s:row>
    <s:row r="17874" hidden="1" ht="1" customHeight="1">
      <s:c r="A17874" s="120" t="inlineStr"/>
      <s:c r="B17874" s="121" t="n"/>
      <s:c r="C17874" s="121" t="n"/>
      <s:c r="D17874" s="121" t="n"/>
      <s:c r="E17874" s="122" t="n"/>
    </s:row>
    <s:row r="17875" hidden="1" ht="1" customHeight="1">
      <s:c r="A17875" s="120" t="inlineStr"/>
      <s:c r="B17875" s="121" t="n"/>
      <s:c r="C17875" s="121" t="n"/>
      <s:c r="D17875" s="121" t="n"/>
      <s:c r="E17875" s="122" t="n"/>
    </s:row>
    <s:row r="17876" hidden="1" ht="1" customHeight="1">
      <s:c r="A17876" s="120" t="inlineStr"/>
      <s:c r="B17876" s="121" t="n"/>
      <s:c r="C17876" s="121" t="n"/>
      <s:c r="D17876" s="121" t="n"/>
      <s:c r="E17876" s="122" t="n"/>
    </s:row>
    <s:row r="17877" hidden="1" ht="1" customHeight="1">
      <s:c r="A17877" s="120" t="inlineStr"/>
      <s:c r="B17877" s="121" t="n"/>
      <s:c r="C17877" s="121" t="n"/>
      <s:c r="D17877" s="121" t="n"/>
      <s:c r="E17877" s="122" t="n"/>
    </s:row>
    <s:row r="17878" hidden="1" ht="1" customHeight="1">
      <s:c r="A17878" s="120" t="inlineStr"/>
      <s:c r="B17878" s="121" t="n"/>
      <s:c r="C17878" s="121" t="n"/>
      <s:c r="D17878" s="121" t="n"/>
      <s:c r="E17878" s="122" t="n"/>
    </s:row>
    <s:row r="17879" hidden="1" ht="1" customHeight="1">
      <s:c r="A17879" s="120" t="inlineStr"/>
      <s:c r="B17879" s="121" t="n"/>
      <s:c r="C17879" s="121" t="n"/>
      <s:c r="D17879" s="121" t="n"/>
      <s:c r="E17879" s="122" t="n"/>
    </s:row>
    <s:row r="17880" hidden="1" ht="1" customHeight="1">
      <s:c r="A17880" s="120" t="inlineStr"/>
      <s:c r="B17880" s="121" t="n"/>
      <s:c r="C17880" s="121" t="n"/>
      <s:c r="D17880" s="121" t="n"/>
      <s:c r="E17880" s="122" t="n"/>
    </s:row>
    <s:row r="17881" hidden="1" ht="1" customHeight="1">
      <s:c r="A17881" s="120" t="inlineStr"/>
      <s:c r="B17881" s="121" t="n"/>
      <s:c r="C17881" s="121" t="n"/>
      <s:c r="D17881" s="121" t="n"/>
      <s:c r="E17881" s="122" t="n"/>
    </s:row>
    <s:row r="17882" hidden="1" ht="1" customHeight="1">
      <s:c r="A17882" s="120" t="inlineStr"/>
      <s:c r="B17882" s="121" t="n"/>
      <s:c r="C17882" s="121" t="n"/>
      <s:c r="D17882" s="121" t="n"/>
      <s:c r="E17882" s="122" t="n"/>
    </s:row>
    <s:row r="17883" hidden="1" ht="1" customHeight="1">
      <s:c r="A17883" s="120" t="inlineStr"/>
      <s:c r="B17883" s="121" t="n"/>
      <s:c r="C17883" s="121" t="n"/>
      <s:c r="D17883" s="121" t="n"/>
      <s:c r="E17883" s="122" t="n"/>
    </s:row>
    <s:row r="17884" hidden="1" ht="1" customHeight="1">
      <s:c r="A17884" s="120" t="inlineStr"/>
      <s:c r="B17884" s="121" t="n"/>
      <s:c r="C17884" s="121" t="n"/>
      <s:c r="D17884" s="121" t="n"/>
      <s:c r="E17884" s="122" t="n"/>
    </s:row>
    <s:row r="17885" hidden="1" ht="1" customHeight="1">
      <s:c r="A17885" s="120" t="inlineStr"/>
      <s:c r="B17885" s="121" t="n"/>
      <s:c r="C17885" s="121" t="n"/>
      <s:c r="D17885" s="121" t="n"/>
      <s:c r="E17885" s="122" t="n"/>
    </s:row>
    <s:row r="17886" hidden="1" ht="1" customHeight="1">
      <s:c r="A17886" s="120" t="inlineStr"/>
      <s:c r="B17886" s="121" t="n"/>
      <s:c r="C17886" s="121" t="n"/>
      <s:c r="D17886" s="121" t="n"/>
      <s:c r="E17886" s="122" t="n"/>
    </s:row>
    <s:row r="17887" hidden="1" ht="1" customHeight="1">
      <s:c r="A17887" s="120" t="inlineStr"/>
      <s:c r="B17887" s="121" t="n"/>
      <s:c r="C17887" s="121" t="n"/>
      <s:c r="D17887" s="121" t="n"/>
      <s:c r="E17887" s="122" t="n"/>
    </s:row>
    <s:row r="17888" hidden="1" ht="1" customHeight="1">
      <s:c r="A17888" s="120" t="inlineStr"/>
      <s:c r="B17888" s="121" t="n"/>
      <s:c r="C17888" s="121" t="n"/>
      <s:c r="D17888" s="121" t="n"/>
      <s:c r="E17888" s="122" t="n"/>
    </s:row>
    <s:row r="17889" hidden="1" ht="1" customHeight="1">
      <s:c r="A17889" s="120" t="inlineStr"/>
      <s:c r="B17889" s="121" t="n"/>
      <s:c r="C17889" s="121" t="n"/>
      <s:c r="D17889" s="121" t="n"/>
      <s:c r="E17889" s="122" t="n"/>
    </s:row>
    <s:row r="17890" hidden="1" ht="1" customHeight="1">
      <s:c r="A17890" s="120" t="inlineStr"/>
      <s:c r="B17890" s="121" t="n"/>
      <s:c r="C17890" s="121" t="n"/>
      <s:c r="D17890" s="121" t="n"/>
      <s:c r="E17890" s="122" t="n"/>
    </s:row>
    <s:row r="17891" hidden="1" ht="1" customHeight="1">
      <s:c r="A17891" s="120" t="inlineStr"/>
      <s:c r="B17891" s="121" t="n"/>
      <s:c r="C17891" s="121" t="n"/>
      <s:c r="D17891" s="121" t="n"/>
      <s:c r="E17891" s="122" t="n"/>
    </s:row>
    <s:row r="17892" hidden="1" ht="1" customHeight="1">
      <s:c r="A17892" s="120" t="inlineStr"/>
      <s:c r="B17892" s="121" t="n"/>
      <s:c r="C17892" s="121" t="n"/>
      <s:c r="D17892" s="121" t="n"/>
      <s:c r="E17892" s="122" t="n"/>
    </s:row>
    <s:row r="17893" hidden="1" ht="1" customHeight="1">
      <s:c r="A17893" s="120" t="inlineStr"/>
      <s:c r="B17893" s="121" t="n"/>
      <s:c r="C17893" s="121" t="n"/>
      <s:c r="D17893" s="121" t="n"/>
      <s:c r="E17893" s="122" t="n"/>
    </s:row>
    <s:row r="17894" hidden="1" ht="1" customHeight="1">
      <s:c r="A17894" s="120" t="inlineStr"/>
      <s:c r="B17894" s="121" t="n"/>
      <s:c r="C17894" s="121" t="n"/>
      <s:c r="D17894" s="121" t="n"/>
      <s:c r="E17894" s="122" t="n"/>
    </s:row>
    <s:row r="17895" hidden="1" ht="1" customHeight="1">
      <s:c r="A17895" s="120" t="inlineStr"/>
      <s:c r="B17895" s="121" t="n"/>
      <s:c r="C17895" s="121" t="n"/>
      <s:c r="D17895" s="121" t="n"/>
      <s:c r="E17895" s="122" t="n"/>
    </s:row>
    <s:row r="17896" hidden="1" ht="1" customHeight="1">
      <s:c r="A17896" s="120" t="inlineStr"/>
      <s:c r="B17896" s="121" t="n"/>
      <s:c r="C17896" s="121" t="n"/>
      <s:c r="D17896" s="121" t="n"/>
      <s:c r="E17896" s="122" t="n"/>
    </s:row>
    <s:row r="17897" hidden="1" ht="1" customHeight="1">
      <s:c r="A17897" s="120" t="inlineStr"/>
      <s:c r="B17897" s="121" t="n"/>
      <s:c r="C17897" s="121" t="n"/>
      <s:c r="D17897" s="121" t="n"/>
      <s:c r="E17897" s="122" t="n"/>
    </s:row>
    <s:row r="17898" hidden="1" ht="1" customHeight="1">
      <s:c r="A17898" s="120" t="inlineStr"/>
      <s:c r="B17898" s="121" t="n"/>
      <s:c r="C17898" s="121" t="n"/>
      <s:c r="D17898" s="121" t="n"/>
      <s:c r="E17898" s="122" t="n"/>
    </s:row>
    <s:row r="17899" hidden="1" ht="1" customHeight="1">
      <s:c r="A17899" s="120" t="inlineStr"/>
      <s:c r="B17899" s="121" t="n"/>
      <s:c r="C17899" s="121" t="n"/>
      <s:c r="D17899" s="121" t="n"/>
      <s:c r="E17899" s="122" t="n"/>
    </s:row>
    <s:row r="17900" hidden="1" ht="1" customHeight="1">
      <s:c r="A17900" s="120" t="inlineStr"/>
      <s:c r="B17900" s="121" t="n"/>
      <s:c r="C17900" s="121" t="n"/>
      <s:c r="D17900" s="121" t="n"/>
      <s:c r="E17900" s="122" t="n"/>
    </s:row>
    <s:row r="17901" hidden="1" ht="1" customHeight="1">
      <s:c r="A17901" s="120" t="inlineStr"/>
      <s:c r="B17901" s="121" t="n"/>
      <s:c r="C17901" s="121" t="n"/>
      <s:c r="D17901" s="121" t="n"/>
      <s:c r="E17901" s="122" t="n"/>
    </s:row>
    <s:row r="17902" hidden="1" ht="1" customHeight="1">
      <s:c r="A17902" s="120" t="inlineStr"/>
      <s:c r="B17902" s="121" t="n"/>
      <s:c r="C17902" s="121" t="n"/>
      <s:c r="D17902" s="121" t="n"/>
      <s:c r="E17902" s="122" t="n"/>
    </s:row>
    <s:row r="17903" hidden="1" ht="1" customHeight="1">
      <s:c r="A17903" s="120" t="inlineStr"/>
      <s:c r="B17903" s="121" t="n"/>
      <s:c r="C17903" s="121" t="n"/>
      <s:c r="D17903" s="121" t="n"/>
      <s:c r="E17903" s="122" t="n"/>
    </s:row>
    <s:row r="17904" hidden="1" ht="1" customHeight="1">
      <s:c r="A17904" s="120" t="inlineStr"/>
      <s:c r="B17904" s="121" t="n"/>
      <s:c r="C17904" s="121" t="n"/>
      <s:c r="D17904" s="121" t="n"/>
      <s:c r="E17904" s="122" t="n"/>
    </s:row>
    <s:row r="17905" hidden="1" ht="1" customHeight="1">
      <s:c r="A17905" s="120" t="inlineStr"/>
      <s:c r="B17905" s="121" t="n"/>
      <s:c r="C17905" s="121" t="n"/>
      <s:c r="D17905" s="121" t="n"/>
      <s:c r="E17905" s="122" t="n"/>
    </s:row>
    <s:row r="17906" hidden="1" ht="1" customHeight="1">
      <s:c r="A17906" s="120" t="inlineStr"/>
      <s:c r="B17906" s="121" t="n"/>
      <s:c r="C17906" s="121" t="n"/>
      <s:c r="D17906" s="121" t="n"/>
      <s:c r="E17906" s="122" t="n"/>
    </s:row>
    <s:row r="17907" hidden="1" ht="1" customHeight="1">
      <s:c r="A17907" s="120" t="inlineStr"/>
      <s:c r="B17907" s="121" t="n"/>
      <s:c r="C17907" s="121" t="n"/>
      <s:c r="D17907" s="121" t="n"/>
      <s:c r="E17907" s="122" t="n"/>
    </s:row>
    <s:row r="17908" hidden="1" ht="1" customHeight="1">
      <s:c r="A17908" s="120" t="inlineStr"/>
      <s:c r="B17908" s="121" t="n"/>
      <s:c r="C17908" s="121" t="n"/>
      <s:c r="D17908" s="121" t="n"/>
      <s:c r="E17908" s="122" t="n"/>
    </s:row>
    <s:row r="17909" hidden="1" ht="1" customHeight="1">
      <s:c r="A17909" s="120" t="inlineStr"/>
      <s:c r="B17909" s="121" t="n"/>
      <s:c r="C17909" s="121" t="n"/>
      <s:c r="D17909" s="121" t="n"/>
      <s:c r="E17909" s="122" t="n"/>
    </s:row>
    <s:row r="17910" hidden="1" ht="1" customHeight="1">
      <s:c r="A17910" s="120" t="inlineStr"/>
      <s:c r="B17910" s="121" t="n"/>
      <s:c r="C17910" s="121" t="n"/>
      <s:c r="D17910" s="121" t="n"/>
      <s:c r="E17910" s="122" t="n"/>
    </s:row>
    <s:row r="17911" hidden="1" ht="1" customHeight="1">
      <s:c r="A17911" s="120" t="inlineStr"/>
      <s:c r="B17911" s="121" t="n"/>
      <s:c r="C17911" s="121" t="n"/>
      <s:c r="D17911" s="121" t="n"/>
      <s:c r="E17911" s="122" t="n"/>
    </s:row>
    <s:row r="17912" hidden="1" ht="1" customHeight="1">
      <s:c r="A17912" s="120" t="inlineStr"/>
      <s:c r="B17912" s="121" t="n"/>
      <s:c r="C17912" s="121" t="n"/>
      <s:c r="D17912" s="121" t="n"/>
      <s:c r="E17912" s="122" t="n"/>
    </s:row>
    <s:row r="17913" hidden="1" ht="1" customHeight="1">
      <s:c r="A17913" s="120" t="inlineStr"/>
      <s:c r="B17913" s="121" t="n"/>
      <s:c r="C17913" s="121" t="n"/>
      <s:c r="D17913" s="121" t="n"/>
      <s:c r="E17913" s="122" t="n"/>
    </s:row>
    <s:row r="17914" hidden="1" ht="1" customHeight="1">
      <s:c r="A17914" s="120" t="inlineStr"/>
      <s:c r="B17914" s="121" t="n"/>
      <s:c r="C17914" s="121" t="n"/>
      <s:c r="D17914" s="121" t="n"/>
      <s:c r="E17914" s="122" t="n"/>
    </s:row>
    <s:row r="17915" hidden="1" ht="1" customHeight="1">
      <s:c r="A17915" s="120" t="inlineStr"/>
      <s:c r="B17915" s="121" t="n"/>
      <s:c r="C17915" s="121" t="n"/>
      <s:c r="D17915" s="121" t="n"/>
      <s:c r="E17915" s="122" t="n"/>
    </s:row>
    <s:row r="17916" hidden="1" ht="1" customHeight="1">
      <s:c r="A17916" s="120" t="inlineStr"/>
      <s:c r="B17916" s="121" t="n"/>
      <s:c r="C17916" s="121" t="n"/>
      <s:c r="D17916" s="121" t="n"/>
      <s:c r="E17916" s="122" t="n"/>
    </s:row>
    <s:row r="17917" hidden="1" ht="1" customHeight="1">
      <s:c r="A17917" s="120" t="inlineStr"/>
      <s:c r="B17917" s="121" t="n"/>
      <s:c r="C17917" s="121" t="n"/>
      <s:c r="D17917" s="121" t="n"/>
      <s:c r="E17917" s="122" t="n"/>
    </s:row>
    <s:row r="17918" hidden="1" ht="1" customHeight="1">
      <s:c r="A17918" s="120" t="inlineStr"/>
      <s:c r="B17918" s="121" t="n"/>
      <s:c r="C17918" s="121" t="n"/>
      <s:c r="D17918" s="121" t="n"/>
      <s:c r="E17918" s="122" t="n"/>
    </s:row>
    <s:row r="17919" hidden="1" ht="1" customHeight="1">
      <s:c r="A17919" s="120" t="inlineStr"/>
      <s:c r="B17919" s="121" t="n"/>
      <s:c r="C17919" s="121" t="n"/>
      <s:c r="D17919" s="121" t="n"/>
      <s:c r="E17919" s="122" t="n"/>
    </s:row>
    <s:row r="17920" hidden="1" ht="1" customHeight="1">
      <s:c r="A17920" s="120" t="inlineStr"/>
      <s:c r="B17920" s="121" t="n"/>
      <s:c r="C17920" s="121" t="n"/>
      <s:c r="D17920" s="121" t="n"/>
      <s:c r="E17920" s="122" t="n"/>
    </s:row>
    <s:row r="17921" hidden="1" ht="1" customHeight="1">
      <s:c r="A17921" s="120" t="inlineStr"/>
      <s:c r="B17921" s="121" t="n"/>
      <s:c r="C17921" s="121" t="n"/>
      <s:c r="D17921" s="121" t="n"/>
      <s:c r="E17921" s="122" t="n"/>
    </s:row>
    <s:row r="17922" hidden="1" ht="1" customHeight="1">
      <s:c r="A17922" s="120" t="inlineStr"/>
      <s:c r="B17922" s="121" t="n"/>
      <s:c r="C17922" s="121" t="n"/>
      <s:c r="D17922" s="121" t="n"/>
      <s:c r="E17922" s="122" t="n"/>
    </s:row>
    <s:row r="17923" hidden="1" ht="1" customHeight="1">
      <s:c r="A17923" s="120" t="inlineStr"/>
      <s:c r="B17923" s="121" t="n"/>
      <s:c r="C17923" s="121" t="n"/>
      <s:c r="D17923" s="121" t="n"/>
      <s:c r="E17923" s="122" t="n"/>
    </s:row>
    <s:row r="17924" hidden="1" ht="1" customHeight="1">
      <s:c r="A17924" s="120" t="inlineStr"/>
      <s:c r="B17924" s="121" t="n"/>
      <s:c r="C17924" s="121" t="n"/>
      <s:c r="D17924" s="121" t="n"/>
      <s:c r="E17924" s="122" t="n"/>
    </s:row>
    <s:row r="17925" hidden="1" ht="1" customHeight="1">
      <s:c r="A17925" s="120" t="inlineStr"/>
      <s:c r="B17925" s="121" t="n"/>
      <s:c r="C17925" s="121" t="n"/>
      <s:c r="D17925" s="121" t="n"/>
      <s:c r="E17925" s="122" t="n"/>
    </s:row>
    <s:row r="17926" hidden="1" ht="1" customHeight="1">
      <s:c r="A17926" s="120" t="inlineStr"/>
      <s:c r="B17926" s="121" t="n"/>
      <s:c r="C17926" s="121" t="n"/>
      <s:c r="D17926" s="121" t="n"/>
      <s:c r="E17926" s="122" t="n"/>
    </s:row>
    <s:row r="17927" hidden="1" ht="1" customHeight="1">
      <s:c r="A17927" s="120" t="inlineStr"/>
      <s:c r="B17927" s="121" t="n"/>
      <s:c r="C17927" s="121" t="n"/>
      <s:c r="D17927" s="121" t="n"/>
      <s:c r="E17927" s="122" t="n"/>
    </s:row>
    <s:row r="17928" hidden="1" ht="1" customHeight="1">
      <s:c r="A17928" s="120" t="inlineStr"/>
      <s:c r="B17928" s="121" t="n"/>
      <s:c r="C17928" s="121" t="n"/>
      <s:c r="D17928" s="121" t="n"/>
      <s:c r="E17928" s="122" t="n"/>
    </s:row>
    <s:row r="17929" hidden="1" ht="1" customHeight="1">
      <s:c r="A17929" s="120" t="inlineStr"/>
      <s:c r="B17929" s="121" t="n"/>
      <s:c r="C17929" s="121" t="n"/>
      <s:c r="D17929" s="121" t="n"/>
      <s:c r="E17929" s="122" t="n"/>
    </s:row>
    <s:row r="17930" hidden="1" ht="1" customHeight="1">
      <s:c r="A17930" s="120" t="inlineStr"/>
      <s:c r="B17930" s="121" t="n"/>
      <s:c r="C17930" s="121" t="n"/>
      <s:c r="D17930" s="121" t="n"/>
      <s:c r="E17930" s="122" t="n"/>
    </s:row>
    <s:row r="17931" hidden="1" ht="1" customHeight="1">
      <s:c r="A17931" s="120" t="inlineStr"/>
      <s:c r="B17931" s="121" t="n"/>
      <s:c r="C17931" s="121" t="n"/>
      <s:c r="D17931" s="121" t="n"/>
      <s:c r="E17931" s="122" t="n"/>
    </s:row>
    <s:row r="17932" hidden="1" ht="1" customHeight="1">
      <s:c r="A17932" s="120" t="inlineStr"/>
      <s:c r="B17932" s="121" t="n"/>
      <s:c r="C17932" s="121" t="n"/>
      <s:c r="D17932" s="121" t="n"/>
      <s:c r="E17932" s="122" t="n"/>
    </s:row>
    <s:row r="17933" hidden="1" ht="1" customHeight="1">
      <s:c r="A17933" s="120" t="inlineStr"/>
      <s:c r="B17933" s="121" t="n"/>
      <s:c r="C17933" s="121" t="n"/>
      <s:c r="D17933" s="121" t="n"/>
      <s:c r="E17933" s="122" t="n"/>
    </s:row>
    <s:row r="17934" hidden="1" ht="1" customHeight="1">
      <s:c r="A17934" s="120" t="inlineStr"/>
      <s:c r="B17934" s="121" t="n"/>
      <s:c r="C17934" s="121" t="n"/>
      <s:c r="D17934" s="121" t="n"/>
      <s:c r="E17934" s="122" t="n"/>
    </s:row>
    <s:row r="17935" hidden="1" ht="1" customHeight="1">
      <s:c r="A17935" s="120" t="inlineStr"/>
      <s:c r="B17935" s="121" t="n"/>
      <s:c r="C17935" s="121" t="n"/>
      <s:c r="D17935" s="121" t="n"/>
      <s:c r="E17935" s="122" t="n"/>
    </s:row>
    <s:row r="17936" hidden="1" ht="1" customHeight="1">
      <s:c r="A17936" s="120" t="inlineStr"/>
      <s:c r="B17936" s="121" t="n"/>
      <s:c r="C17936" s="121" t="n"/>
      <s:c r="D17936" s="121" t="n"/>
      <s:c r="E17936" s="122" t="n"/>
    </s:row>
    <s:row r="17937" hidden="1" ht="1" customHeight="1">
      <s:c r="A17937" s="120" t="inlineStr"/>
      <s:c r="B17937" s="121" t="n"/>
      <s:c r="C17937" s="121" t="n"/>
      <s:c r="D17937" s="121" t="n"/>
      <s:c r="E17937" s="122" t="n"/>
    </s:row>
    <s:row r="17938" hidden="1" ht="1" customHeight="1">
      <s:c r="A17938" s="120" t="inlineStr"/>
      <s:c r="B17938" s="121" t="n"/>
      <s:c r="C17938" s="121" t="n"/>
      <s:c r="D17938" s="121" t="n"/>
      <s:c r="E17938" s="122" t="n"/>
    </s:row>
    <s:row r="17939" hidden="1" ht="1" customHeight="1">
      <s:c r="A17939" s="120" t="inlineStr"/>
      <s:c r="B17939" s="121" t="n"/>
      <s:c r="C17939" s="121" t="n"/>
      <s:c r="D17939" s="121" t="n"/>
      <s:c r="E17939" s="122" t="n"/>
    </s:row>
    <s:row r="17940" hidden="1" ht="1" customHeight="1">
      <s:c r="A17940" s="120" t="inlineStr"/>
      <s:c r="B17940" s="121" t="n"/>
      <s:c r="C17940" s="121" t="n"/>
      <s:c r="D17940" s="121" t="n"/>
      <s:c r="E17940" s="122" t="n"/>
    </s:row>
    <s:row r="17941" hidden="1" ht="1" customHeight="1">
      <s:c r="A17941" s="120" t="inlineStr"/>
      <s:c r="B17941" s="121" t="n"/>
      <s:c r="C17941" s="121" t="n"/>
      <s:c r="D17941" s="121" t="n"/>
      <s:c r="E17941" s="122" t="n"/>
    </s:row>
    <s:row r="17942" hidden="1" ht="1" customHeight="1">
      <s:c r="A17942" s="120" t="inlineStr"/>
      <s:c r="B17942" s="121" t="n"/>
      <s:c r="C17942" s="121" t="n"/>
      <s:c r="D17942" s="121" t="n"/>
      <s:c r="E17942" s="122" t="n"/>
    </s:row>
    <s:row r="17943" hidden="1" ht="1" customHeight="1">
      <s:c r="A17943" s="120" t="inlineStr"/>
      <s:c r="B17943" s="121" t="n"/>
      <s:c r="C17943" s="121" t="n"/>
      <s:c r="D17943" s="121" t="n"/>
      <s:c r="E17943" s="122" t="n"/>
    </s:row>
    <s:row r="17944" hidden="1" ht="1" customHeight="1">
      <s:c r="A17944" s="120" t="inlineStr"/>
      <s:c r="B17944" s="121" t="n"/>
      <s:c r="C17944" s="121" t="n"/>
      <s:c r="D17944" s="121" t="n"/>
      <s:c r="E17944" s="122" t="n"/>
    </s:row>
    <s:row r="17945" hidden="1" ht="1" customHeight="1">
      <s:c r="A17945" s="120" t="inlineStr"/>
      <s:c r="B17945" s="121" t="n"/>
      <s:c r="C17945" s="121" t="n"/>
      <s:c r="D17945" s="121" t="n"/>
      <s:c r="E17945" s="122" t="n"/>
    </s:row>
    <s:row r="17946" hidden="1" ht="1" customHeight="1">
      <s:c r="A17946" s="120" t="inlineStr"/>
      <s:c r="B17946" s="121" t="n"/>
      <s:c r="C17946" s="121" t="n"/>
      <s:c r="D17946" s="121" t="n"/>
      <s:c r="E17946" s="122" t="n"/>
    </s:row>
    <s:row r="17947" hidden="1" ht="1" customHeight="1">
      <s:c r="A17947" s="120" t="inlineStr"/>
      <s:c r="B17947" s="121" t="n"/>
      <s:c r="C17947" s="121" t="n"/>
      <s:c r="D17947" s="121" t="n"/>
      <s:c r="E17947" s="122" t="n"/>
    </s:row>
    <s:row r="17948" hidden="1" ht="1" customHeight="1">
      <s:c r="A17948" s="120" t="inlineStr"/>
      <s:c r="B17948" s="121" t="n"/>
      <s:c r="C17948" s="121" t="n"/>
      <s:c r="D17948" s="121" t="n"/>
      <s:c r="E17948" s="122" t="n"/>
    </s:row>
    <s:row r="17949" hidden="1" ht="1" customHeight="1">
      <s:c r="A17949" s="120" t="inlineStr"/>
      <s:c r="B17949" s="121" t="n"/>
      <s:c r="C17949" s="121" t="n"/>
      <s:c r="D17949" s="121" t="n"/>
      <s:c r="E17949" s="122" t="n"/>
    </s:row>
    <s:row r="17950" hidden="1" ht="1" customHeight="1">
      <s:c r="A17950" s="120" t="inlineStr"/>
      <s:c r="B17950" s="121" t="n"/>
      <s:c r="C17950" s="121" t="n"/>
      <s:c r="D17950" s="121" t="n"/>
      <s:c r="E17950" s="122" t="n"/>
    </s:row>
    <s:row r="17951" hidden="1" ht="1" customHeight="1">
      <s:c r="A17951" s="120" t="inlineStr"/>
      <s:c r="B17951" s="121" t="n"/>
      <s:c r="C17951" s="121" t="n"/>
      <s:c r="D17951" s="121" t="n"/>
      <s:c r="E17951" s="122" t="n"/>
    </s:row>
    <s:row r="17952" hidden="1" ht="1" customHeight="1">
      <s:c r="A17952" s="120" t="inlineStr"/>
      <s:c r="B17952" s="121" t="n"/>
      <s:c r="C17952" s="121" t="n"/>
      <s:c r="D17952" s="121" t="n"/>
      <s:c r="E17952" s="122" t="n"/>
    </s:row>
    <s:row r="17953" hidden="1" ht="1" customHeight="1">
      <s:c r="A17953" s="120" t="inlineStr"/>
      <s:c r="B17953" s="121" t="n"/>
      <s:c r="C17953" s="121" t="n"/>
      <s:c r="D17953" s="121" t="n"/>
      <s:c r="E17953" s="122" t="n"/>
    </s:row>
    <s:row r="17954" hidden="1" ht="1" customHeight="1">
      <s:c r="A17954" s="120" t="inlineStr"/>
      <s:c r="B17954" s="121" t="n"/>
      <s:c r="C17954" s="121" t="n"/>
      <s:c r="D17954" s="121" t="n"/>
      <s:c r="E17954" s="122" t="n"/>
    </s:row>
    <s:row r="17955" hidden="1" ht="1" customHeight="1">
      <s:c r="A17955" s="120" t="inlineStr"/>
      <s:c r="B17955" s="121" t="n"/>
      <s:c r="C17955" s="121" t="n"/>
      <s:c r="D17955" s="121" t="n"/>
      <s:c r="E17955" s="122" t="n"/>
    </s:row>
    <s:row r="17956" hidden="1" ht="1" customHeight="1">
      <s:c r="A17956" s="120" t="inlineStr"/>
      <s:c r="B17956" s="121" t="n"/>
      <s:c r="C17956" s="121" t="n"/>
      <s:c r="D17956" s="121" t="n"/>
      <s:c r="E17956" s="122" t="n"/>
    </s:row>
    <s:row r="17957" hidden="1" ht="1" customHeight="1">
      <s:c r="A17957" s="120" t="inlineStr"/>
      <s:c r="B17957" s="121" t="n"/>
      <s:c r="C17957" s="121" t="n"/>
      <s:c r="D17957" s="121" t="n"/>
      <s:c r="E17957" s="122" t="n"/>
    </s:row>
    <s:row r="17958" hidden="1" ht="1" customHeight="1">
      <s:c r="A17958" s="120" t="inlineStr"/>
      <s:c r="B17958" s="121" t="n"/>
      <s:c r="C17958" s="121" t="n"/>
      <s:c r="D17958" s="121" t="n"/>
      <s:c r="E17958" s="122" t="n"/>
    </s:row>
    <s:row r="17959" hidden="1" ht="1" customHeight="1">
      <s:c r="A17959" s="120" t="inlineStr"/>
      <s:c r="B17959" s="121" t="n"/>
      <s:c r="C17959" s="121" t="n"/>
      <s:c r="D17959" s="121" t="n"/>
      <s:c r="E17959" s="122" t="n"/>
    </s:row>
    <s:row r="17960" hidden="1" ht="1" customHeight="1">
      <s:c r="A17960" s="120" t="inlineStr"/>
      <s:c r="B17960" s="121" t="n"/>
      <s:c r="C17960" s="121" t="n"/>
      <s:c r="D17960" s="121" t="n"/>
      <s:c r="E17960" s="122" t="n"/>
    </s:row>
    <s:row r="17961" hidden="1" ht="1" customHeight="1">
      <s:c r="A17961" s="120" t="inlineStr"/>
      <s:c r="B17961" s="121" t="n"/>
      <s:c r="C17961" s="121" t="n"/>
      <s:c r="D17961" s="121" t="n"/>
      <s:c r="E17961" s="122" t="n"/>
    </s:row>
    <s:row r="17962" hidden="1" ht="1" customHeight="1">
      <s:c r="A17962" s="120" t="inlineStr"/>
      <s:c r="B17962" s="121" t="n"/>
      <s:c r="C17962" s="121" t="n"/>
      <s:c r="D17962" s="121" t="n"/>
      <s:c r="E17962" s="122" t="n"/>
    </s:row>
    <s:row r="17963" hidden="1" ht="1" customHeight="1">
      <s:c r="A17963" s="120" t="inlineStr"/>
      <s:c r="B17963" s="121" t="n"/>
      <s:c r="C17963" s="121" t="n"/>
      <s:c r="D17963" s="121" t="n"/>
      <s:c r="E17963" s="122" t="n"/>
    </s:row>
    <s:row r="17964" hidden="1" ht="1" customHeight="1">
      <s:c r="A17964" s="120" t="inlineStr"/>
      <s:c r="B17964" s="121" t="n"/>
      <s:c r="C17964" s="121" t="n"/>
      <s:c r="D17964" s="121" t="n"/>
      <s:c r="E17964" s="122" t="n"/>
    </s:row>
    <s:row r="17965" hidden="1" ht="1" customHeight="1">
      <s:c r="A17965" s="120" t="inlineStr"/>
      <s:c r="B17965" s="121" t="n"/>
      <s:c r="C17965" s="121" t="n"/>
      <s:c r="D17965" s="121" t="n"/>
      <s:c r="E17965" s="122" t="n"/>
    </s:row>
    <s:row r="17966" hidden="1" ht="1" customHeight="1">
      <s:c r="A17966" s="120" t="inlineStr"/>
      <s:c r="B17966" s="121" t="n"/>
      <s:c r="C17966" s="121" t="n"/>
      <s:c r="D17966" s="121" t="n"/>
      <s:c r="E17966" s="122" t="n"/>
    </s:row>
    <s:row r="17967" hidden="1" ht="1" customHeight="1">
      <s:c r="A17967" s="120" t="inlineStr"/>
      <s:c r="B17967" s="121" t="n"/>
      <s:c r="C17967" s="121" t="n"/>
      <s:c r="D17967" s="121" t="n"/>
      <s:c r="E17967" s="122" t="n"/>
    </s:row>
    <s:row r="17968" hidden="1" ht="1" customHeight="1">
      <s:c r="A17968" s="120" t="inlineStr"/>
      <s:c r="B17968" s="121" t="n"/>
      <s:c r="C17968" s="121" t="n"/>
      <s:c r="D17968" s="121" t="n"/>
      <s:c r="E17968" s="122" t="n"/>
    </s:row>
    <s:row r="17969" hidden="1" ht="1" customHeight="1">
      <s:c r="A17969" s="120" t="inlineStr"/>
      <s:c r="B17969" s="121" t="n"/>
      <s:c r="C17969" s="121" t="n"/>
      <s:c r="D17969" s="121" t="n"/>
      <s:c r="E17969" s="122" t="n"/>
    </s:row>
    <s:row r="17970" hidden="1" ht="1" customHeight="1">
      <s:c r="A17970" s="120" t="inlineStr"/>
      <s:c r="B17970" s="121" t="n"/>
      <s:c r="C17970" s="121" t="n"/>
      <s:c r="D17970" s="121" t="n"/>
      <s:c r="E17970" s="122" t="n"/>
    </s:row>
    <s:row r="17971" hidden="1" ht="1" customHeight="1">
      <s:c r="A17971" s="120" t="inlineStr"/>
      <s:c r="B17971" s="121" t="n"/>
      <s:c r="C17971" s="121" t="n"/>
      <s:c r="D17971" s="121" t="n"/>
      <s:c r="E17971" s="122" t="n"/>
    </s:row>
    <s:row r="17972" hidden="1" ht="1" customHeight="1">
      <s:c r="A17972" s="120" t="inlineStr"/>
      <s:c r="B17972" s="121" t="n"/>
      <s:c r="C17972" s="121" t="n"/>
      <s:c r="D17972" s="121" t="n"/>
      <s:c r="E17972" s="122" t="n"/>
    </s:row>
    <s:row r="17973" hidden="1" ht="1" customHeight="1">
      <s:c r="A17973" s="120" t="inlineStr"/>
      <s:c r="B17973" s="121" t="n"/>
      <s:c r="C17973" s="121" t="n"/>
      <s:c r="D17973" s="121" t="n"/>
      <s:c r="E17973" s="122" t="n"/>
    </s:row>
    <s:row r="17974" hidden="1" ht="1" customHeight="1">
      <s:c r="A17974" s="120" t="inlineStr"/>
      <s:c r="B17974" s="121" t="n"/>
      <s:c r="C17974" s="121" t="n"/>
      <s:c r="D17974" s="121" t="n"/>
      <s:c r="E17974" s="122" t="n"/>
    </s:row>
    <s:row r="17975" hidden="1" ht="1" customHeight="1">
      <s:c r="A17975" s="120" t="inlineStr"/>
      <s:c r="B17975" s="121" t="n"/>
      <s:c r="C17975" s="121" t="n"/>
      <s:c r="D17975" s="121" t="n"/>
      <s:c r="E17975" s="122" t="n"/>
    </s:row>
    <s:row r="17976" hidden="1" ht="1" customHeight="1">
      <s:c r="A17976" s="120" t="inlineStr"/>
      <s:c r="B17976" s="121" t="n"/>
      <s:c r="C17976" s="121" t="n"/>
      <s:c r="D17976" s="121" t="n"/>
      <s:c r="E17976" s="122" t="n"/>
    </s:row>
    <s:row r="17977" hidden="1" ht="1" customHeight="1">
      <s:c r="A17977" s="120" t="inlineStr"/>
      <s:c r="B17977" s="121" t="n"/>
      <s:c r="C17977" s="121" t="n"/>
      <s:c r="D17977" s="121" t="n"/>
      <s:c r="E17977" s="122" t="n"/>
    </s:row>
    <s:row r="17978" hidden="1" ht="1" customHeight="1">
      <s:c r="A17978" s="120" t="inlineStr"/>
      <s:c r="B17978" s="121" t="n"/>
      <s:c r="C17978" s="121" t="n"/>
      <s:c r="D17978" s="121" t="n"/>
      <s:c r="E17978" s="122" t="n"/>
    </s:row>
    <s:row r="17979" hidden="1" ht="1" customHeight="1">
      <s:c r="A17979" s="120" t="inlineStr"/>
      <s:c r="B17979" s="121" t="n"/>
      <s:c r="C17979" s="121" t="n"/>
      <s:c r="D17979" s="121" t="n"/>
      <s:c r="E17979" s="122" t="n"/>
    </s:row>
    <s:row r="17980" hidden="1" ht="1" customHeight="1">
      <s:c r="A17980" s="120" t="inlineStr"/>
      <s:c r="B17980" s="121" t="n"/>
      <s:c r="C17980" s="121" t="n"/>
      <s:c r="D17980" s="121" t="n"/>
      <s:c r="E17980" s="122" t="n"/>
    </s:row>
    <s:row r="17981" hidden="1" ht="1" customHeight="1">
      <s:c r="A17981" s="120" t="inlineStr"/>
      <s:c r="B17981" s="121" t="n"/>
      <s:c r="C17981" s="121" t="n"/>
      <s:c r="D17981" s="121" t="n"/>
      <s:c r="E17981" s="122" t="n"/>
    </s:row>
    <s:row r="17982" hidden="1" ht="1" customHeight="1">
      <s:c r="A17982" s="120" t="inlineStr"/>
      <s:c r="B17982" s="121" t="n"/>
      <s:c r="C17982" s="121" t="n"/>
      <s:c r="D17982" s="121" t="n"/>
      <s:c r="E17982" s="122" t="n"/>
    </s:row>
    <s:row r="17983" hidden="1" ht="1" customHeight="1">
      <s:c r="A17983" s="120" t="inlineStr"/>
      <s:c r="B17983" s="121" t="n"/>
      <s:c r="C17983" s="121" t="n"/>
      <s:c r="D17983" s="121" t="n"/>
      <s:c r="E17983" s="122" t="n"/>
    </s:row>
    <s:row r="17984" hidden="1" ht="1" customHeight="1">
      <s:c r="A17984" s="120" t="inlineStr"/>
      <s:c r="B17984" s="121" t="n"/>
      <s:c r="C17984" s="121" t="n"/>
      <s:c r="D17984" s="121" t="n"/>
      <s:c r="E17984" s="122" t="n"/>
    </s:row>
    <s:row r="17985" hidden="1" ht="1" customHeight="1">
      <s:c r="A17985" s="120" t="inlineStr"/>
      <s:c r="B17985" s="121" t="n"/>
      <s:c r="C17985" s="121" t="n"/>
      <s:c r="D17985" s="121" t="n"/>
      <s:c r="E17985" s="122" t="n"/>
    </s:row>
    <s:row r="17986" hidden="1" ht="1" customHeight="1">
      <s:c r="A17986" s="120" t="inlineStr"/>
      <s:c r="B17986" s="121" t="n"/>
      <s:c r="C17986" s="121" t="n"/>
      <s:c r="D17986" s="121" t="n"/>
      <s:c r="E17986" s="122" t="n"/>
    </s:row>
    <s:row r="17987" hidden="1" ht="1" customHeight="1">
      <s:c r="A17987" s="120" t="inlineStr"/>
      <s:c r="B17987" s="121" t="n"/>
      <s:c r="C17987" s="121" t="n"/>
      <s:c r="D17987" s="121" t="n"/>
      <s:c r="E17987" s="122" t="n"/>
    </s:row>
    <s:row r="17988" hidden="1" ht="1" customHeight="1">
      <s:c r="A17988" s="120" t="inlineStr"/>
      <s:c r="B17988" s="121" t="n"/>
      <s:c r="C17988" s="121" t="n"/>
      <s:c r="D17988" s="121" t="n"/>
      <s:c r="E17988" s="122" t="n"/>
    </s:row>
    <s:row r="17989" hidden="1" ht="1" customHeight="1">
      <s:c r="A17989" s="120" t="inlineStr"/>
      <s:c r="B17989" s="121" t="n"/>
      <s:c r="C17989" s="121" t="n"/>
      <s:c r="D17989" s="121" t="n"/>
      <s:c r="E17989" s="122" t="n"/>
    </s:row>
    <s:row r="17990" hidden="1" ht="1" customHeight="1">
      <s:c r="A17990" s="120" t="inlineStr"/>
      <s:c r="B17990" s="121" t="n"/>
      <s:c r="C17990" s="121" t="n"/>
      <s:c r="D17990" s="121" t="n"/>
      <s:c r="E17990" s="122" t="n"/>
    </s:row>
    <s:row r="17991" hidden="1" ht="1" customHeight="1">
      <s:c r="A17991" s="120" t="inlineStr"/>
      <s:c r="B17991" s="121" t="n"/>
      <s:c r="C17991" s="121" t="n"/>
      <s:c r="D17991" s="121" t="n"/>
      <s:c r="E17991" s="122" t="n"/>
    </s:row>
    <s:row r="17992" hidden="1" ht="1" customHeight="1">
      <s:c r="A17992" s="120" t="inlineStr"/>
      <s:c r="B17992" s="121" t="n"/>
      <s:c r="C17992" s="121" t="n"/>
      <s:c r="D17992" s="121" t="n"/>
      <s:c r="E17992" s="122" t="n"/>
    </s:row>
    <s:row r="17993" hidden="1" ht="1" customHeight="1">
      <s:c r="A17993" s="120" t="inlineStr"/>
      <s:c r="B17993" s="121" t="n"/>
      <s:c r="C17993" s="121" t="n"/>
      <s:c r="D17993" s="121" t="n"/>
      <s:c r="E17993" s="122" t="n"/>
    </s:row>
    <s:row r="17994" hidden="1" ht="1" customHeight="1">
      <s:c r="A17994" s="120" t="inlineStr"/>
      <s:c r="B17994" s="121" t="n"/>
      <s:c r="C17994" s="121" t="n"/>
      <s:c r="D17994" s="121" t="n"/>
      <s:c r="E17994" s="122" t="n"/>
    </s:row>
    <s:row r="17995" hidden="1" ht="1" customHeight="1">
      <s:c r="A17995" s="120" t="inlineStr"/>
      <s:c r="B17995" s="121" t="n"/>
      <s:c r="C17995" s="121" t="n"/>
      <s:c r="D17995" s="121" t="n"/>
      <s:c r="E17995" s="122" t="n"/>
    </s:row>
    <s:row r="17996" hidden="1" ht="1" customHeight="1">
      <s:c r="A17996" s="120" t="inlineStr"/>
      <s:c r="B17996" s="121" t="n"/>
      <s:c r="C17996" s="121" t="n"/>
      <s:c r="D17996" s="121" t="n"/>
      <s:c r="E17996" s="122" t="n"/>
    </s:row>
    <s:row r="17997" hidden="1" ht="1" customHeight="1">
      <s:c r="A17997" s="120" t="inlineStr"/>
      <s:c r="B17997" s="121" t="n"/>
      <s:c r="C17997" s="121" t="n"/>
      <s:c r="D17997" s="121" t="n"/>
      <s:c r="E17997" s="122" t="n"/>
    </s:row>
    <s:row r="17998" hidden="1" ht="1" customHeight="1">
      <s:c r="A17998" s="120" t="inlineStr"/>
      <s:c r="B17998" s="121" t="n"/>
      <s:c r="C17998" s="121" t="n"/>
      <s:c r="D17998" s="121" t="n"/>
      <s:c r="E17998" s="122" t="n"/>
    </s:row>
    <s:row r="17999" hidden="1" ht="1" customHeight="1">
      <s:c r="A17999" s="120" t="inlineStr"/>
      <s:c r="B17999" s="121" t="n"/>
      <s:c r="C17999" s="121" t="n"/>
      <s:c r="D17999" s="121" t="n"/>
      <s:c r="E17999" s="122" t="n"/>
    </s:row>
    <s:row r="18000" hidden="1" ht="1" customHeight="1">
      <s:c r="A18000" s="120" t="inlineStr"/>
      <s:c r="B18000" s="121" t="n"/>
      <s:c r="C18000" s="121" t="n"/>
      <s:c r="D18000" s="121" t="n"/>
      <s:c r="E18000" s="122" t="n"/>
    </s:row>
    <s:row r="18001" hidden="1" ht="1" customHeight="1">
      <s:c r="A18001" s="120" t="inlineStr"/>
      <s:c r="B18001" s="121" t="n"/>
      <s:c r="C18001" s="121" t="n"/>
      <s:c r="D18001" s="121" t="n"/>
      <s:c r="E18001" s="122" t="n"/>
    </s:row>
    <s:row r="18002" hidden="1" ht="1" customHeight="1">
      <s:c r="A18002" s="120" t="inlineStr"/>
      <s:c r="B18002" s="121" t="n"/>
      <s:c r="C18002" s="121" t="n"/>
      <s:c r="D18002" s="121" t="n"/>
      <s:c r="E18002" s="122" t="n"/>
    </s:row>
    <s:row r="18003" hidden="1" ht="1" customHeight="1">
      <s:c r="A18003" s="120" t="inlineStr"/>
      <s:c r="B18003" s="121" t="n"/>
      <s:c r="C18003" s="121" t="n"/>
      <s:c r="D18003" s="121" t="n"/>
      <s:c r="E18003" s="122" t="n"/>
    </s:row>
    <s:row r="18004" hidden="1" ht="1" customHeight="1">
      <s:c r="A18004" s="120" t="inlineStr"/>
      <s:c r="B18004" s="121" t="n"/>
      <s:c r="C18004" s="121" t="n"/>
      <s:c r="D18004" s="121" t="n"/>
      <s:c r="E18004" s="122" t="n"/>
    </s:row>
    <s:row r="18005" hidden="1" ht="1" customHeight="1">
      <s:c r="A18005" s="120" t="inlineStr"/>
      <s:c r="B18005" s="121" t="n"/>
      <s:c r="C18005" s="121" t="n"/>
      <s:c r="D18005" s="121" t="n"/>
      <s:c r="E18005" s="122" t="n"/>
    </s:row>
    <s:row r="18006" hidden="1" ht="1" customHeight="1">
      <s:c r="A18006" s="120" t="inlineStr"/>
      <s:c r="B18006" s="121" t="n"/>
      <s:c r="C18006" s="121" t="n"/>
      <s:c r="D18006" s="121" t="n"/>
      <s:c r="E18006" s="122" t="n"/>
    </s:row>
    <s:row r="18007" hidden="1" ht="1" customHeight="1">
      <s:c r="A18007" s="120" t="inlineStr"/>
      <s:c r="B18007" s="121" t="n"/>
      <s:c r="C18007" s="121" t="n"/>
      <s:c r="D18007" s="121" t="n"/>
      <s:c r="E18007" s="122" t="n"/>
    </s:row>
    <s:row r="18008" hidden="1" ht="1" customHeight="1">
      <s:c r="A18008" s="120" t="inlineStr"/>
      <s:c r="B18008" s="121" t="n"/>
      <s:c r="C18008" s="121" t="n"/>
      <s:c r="D18008" s="121" t="n"/>
      <s:c r="E18008" s="122" t="n"/>
    </s:row>
    <s:row r="18009" hidden="1" ht="1" customHeight="1">
      <s:c r="A18009" s="120" t="inlineStr"/>
      <s:c r="B18009" s="121" t="n"/>
      <s:c r="C18009" s="121" t="n"/>
      <s:c r="D18009" s="121" t="n"/>
      <s:c r="E18009" s="122" t="n"/>
    </s:row>
    <s:row r="18010" hidden="1" ht="1" customHeight="1">
      <s:c r="A18010" s="120" t="inlineStr"/>
      <s:c r="B18010" s="121" t="n"/>
      <s:c r="C18010" s="121" t="n"/>
      <s:c r="D18010" s="121" t="n"/>
      <s:c r="E18010" s="122" t="n"/>
    </s:row>
    <s:row r="18011" hidden="1" ht="1" customHeight="1">
      <s:c r="A18011" s="120" t="inlineStr"/>
      <s:c r="B18011" s="121" t="n"/>
      <s:c r="C18011" s="121" t="n"/>
      <s:c r="D18011" s="121" t="n"/>
      <s:c r="E18011" s="122" t="n"/>
    </s:row>
    <s:row r="18012" hidden="1" ht="1" customHeight="1">
      <s:c r="A18012" s="120" t="inlineStr"/>
      <s:c r="B18012" s="121" t="n"/>
      <s:c r="C18012" s="121" t="n"/>
      <s:c r="D18012" s="121" t="n"/>
      <s:c r="E18012" s="122" t="n"/>
    </s:row>
    <s:row r="18013" hidden="1" ht="1" customHeight="1">
      <s:c r="A18013" s="120" t="inlineStr"/>
      <s:c r="B18013" s="121" t="n"/>
      <s:c r="C18013" s="121" t="n"/>
      <s:c r="D18013" s="121" t="n"/>
      <s:c r="E18013" s="122" t="n"/>
    </s:row>
    <s:row r="18014" hidden="1" ht="1" customHeight="1">
      <s:c r="A18014" s="120" t="inlineStr"/>
      <s:c r="B18014" s="121" t="n"/>
      <s:c r="C18014" s="121" t="n"/>
      <s:c r="D18014" s="121" t="n"/>
      <s:c r="E18014" s="122" t="n"/>
    </s:row>
    <s:row r="18015" hidden="1" ht="1" customHeight="1">
      <s:c r="A18015" s="120" t="inlineStr"/>
      <s:c r="B18015" s="121" t="n"/>
      <s:c r="C18015" s="121" t="n"/>
      <s:c r="D18015" s="121" t="n"/>
      <s:c r="E18015" s="122" t="n"/>
    </s:row>
    <s:row r="18016" hidden="1" ht="1" customHeight="1">
      <s:c r="A18016" s="120" t="inlineStr"/>
      <s:c r="B18016" s="121" t="n"/>
      <s:c r="C18016" s="121" t="n"/>
      <s:c r="D18016" s="121" t="n"/>
      <s:c r="E18016" s="122" t="n"/>
    </s:row>
    <s:row r="18017" hidden="1" ht="1" customHeight="1">
      <s:c r="A18017" s="120" t="inlineStr"/>
      <s:c r="B18017" s="121" t="n"/>
      <s:c r="C18017" s="121" t="n"/>
      <s:c r="D18017" s="121" t="n"/>
      <s:c r="E18017" s="122" t="n"/>
    </s:row>
    <s:row r="18018" hidden="1" ht="1" customHeight="1">
      <s:c r="A18018" s="120" t="inlineStr"/>
      <s:c r="B18018" s="121" t="n"/>
      <s:c r="C18018" s="121" t="n"/>
      <s:c r="D18018" s="121" t="n"/>
      <s:c r="E18018" s="122" t="n"/>
    </s:row>
    <s:row r="18019" hidden="1" ht="1" customHeight="1">
      <s:c r="A18019" s="120" t="inlineStr"/>
      <s:c r="B18019" s="121" t="n"/>
      <s:c r="C18019" s="121" t="n"/>
      <s:c r="D18019" s="121" t="n"/>
      <s:c r="E18019" s="122" t="n"/>
    </s:row>
    <s:row r="18020" hidden="1" ht="1" customHeight="1">
      <s:c r="A18020" s="120" t="inlineStr"/>
      <s:c r="B18020" s="121" t="n"/>
      <s:c r="C18020" s="121" t="n"/>
      <s:c r="D18020" s="121" t="n"/>
      <s:c r="E18020" s="122" t="n"/>
    </s:row>
    <s:row r="18021" hidden="1" ht="1" customHeight="1">
      <s:c r="A18021" s="120" t="inlineStr"/>
      <s:c r="B18021" s="121" t="n"/>
      <s:c r="C18021" s="121" t="n"/>
      <s:c r="D18021" s="121" t="n"/>
      <s:c r="E18021" s="122" t="n"/>
    </s:row>
    <s:row r="18022" hidden="1" ht="1" customHeight="1">
      <s:c r="A18022" s="120" t="inlineStr"/>
      <s:c r="B18022" s="121" t="n"/>
      <s:c r="C18022" s="121" t="n"/>
      <s:c r="D18022" s="121" t="n"/>
      <s:c r="E18022" s="122" t="n"/>
    </s:row>
    <s:row r="18023" hidden="1" ht="1" customHeight="1">
      <s:c r="A18023" s="120" t="inlineStr"/>
      <s:c r="B18023" s="121" t="n"/>
      <s:c r="C18023" s="121" t="n"/>
      <s:c r="D18023" s="121" t="n"/>
      <s:c r="E18023" s="122" t="n"/>
    </s:row>
    <s:row r="18024" hidden="1" ht="1" customHeight="1">
      <s:c r="A18024" s="120" t="inlineStr"/>
      <s:c r="B18024" s="121" t="n"/>
      <s:c r="C18024" s="121" t="n"/>
      <s:c r="D18024" s="121" t="n"/>
      <s:c r="E18024" s="122" t="n"/>
    </s:row>
    <s:row r="18025" hidden="1" ht="1" customHeight="1">
      <s:c r="A18025" s="83" t="inlineStr">
        <s:is>
          <s:t>PASS</s:t>
        </s:is>
      </s:c>
      <s:c r="B18025" s="83">
        <s:f>SUM(IF(EXACT('Kiểm thử'!E17725,"Đạt"),1,0),IF(EXACT('Kiểm thử'!E17727,"Đạt"),1,0),IF(EXACT('Kiểm thử'!E17729,"Đạt"),1,0),IF(EXACT('Kiểm thử'!E17731,"Đạt"),1,0),IF(EXACT('Kiểm thử'!E17733,"Đạt"),1,0),IF(EXACT('Kiểm thử'!E17735,"Đạt"),1,0))</s:f>
        <s:v/>
      </s:c>
      <s:c r="C18025" s="19" t="n"/>
      <s:c r="D18025" s="19" t="n"/>
      <s:c r="E18025" s="19" t="n"/>
    </s:row>
    <s:row r="18026" hidden="1" ht="1" customHeight="1">
      <s:c r="A18026" s="83" t="inlineStr">
        <s:is>
          <s:t>FAIL</s:t>
        </s:is>
      </s:c>
      <s:c r="B18026" s="83">
        <s:f>SUM(IF(EXACT('Kiểm thử'!E17725,"Không đạt"),1,0),IF(EXACT('Kiểm thử'!E17727,"Không đạt"),1,0),IF(EXACT('Kiểm thử'!E17729,"Không đạt"),1,0),IF(EXACT('Kiểm thử'!E17731,"Không đạt"),1,0),IF(EXACT('Kiểm thử'!E17733,"Không đạt"),1,0),IF(EXACT('Kiểm thử'!E17735,"Không đạt"),1,0))</s:f>
        <s:v/>
      </s:c>
      <s:c r="C18026" s="19" t="n"/>
      <s:c r="D18026" s="19" t="n"/>
      <s:c r="E18026" s="19" t="n"/>
    </s:row>
    <s:row r="18027" hidden="1" ht="1" customHeight="1">
      <s:c r="A18027" s="83" t="inlineStr">
        <s:is>
          <s:t>BLOCKED</s:t>
        </s:is>
      </s:c>
      <s:c r="B18027" s="83">
        <s:f>SUM(IF(EXACT('Kiểm thử'!E17725,"Bị chặn"),1,0),IF(EXACT('Kiểm thử'!E17727,"Bị chặn"),1,0),IF(EXACT('Kiểm thử'!E17729,"Bị chặn"),1,0),IF(EXACT('Kiểm thử'!E17731,"Bị chặn"),1,0),IF(EXACT('Kiểm thử'!E17733,"Bị chặn"),1,0),IF(EXACT('Kiểm thử'!E17735,"Bị chặn"),1,0))</s:f>
        <s:v/>
      </s:c>
      <s:c r="C18027" s="19" t="n"/>
      <s:c r="D18027" s="19" t="n"/>
      <s:c r="E18027" s="19" t="n"/>
    </s:row>
    <s:row r="18028" hidden="1" ht="1" customHeight="1">
      <s:c r="A18028" s="83" t="inlineStr">
        <s:is>
          <s:t>SKIPPED</s:t>
        </s:is>
      </s:c>
      <s:c r="B18028" s="83">
        <s:f>SUM(IF(EXACT('Kiểm thử'!E17725,"Không thực hiện"),1,0),IF(EXACT('Kiểm thử'!E17727,"Không thực hiện"),1,0),IF(EXACT('Kiểm thử'!E17729,"Không thực hiện"),1,0),IF(EXACT('Kiểm thử'!E17731,"Không thực hiện"),1,0),IF(EXACT('Kiểm thử'!E17733,"Không thực hiện"),1,0),IF(EXACT('Kiểm thử'!E17735,"Không thực hiện"),1,0))</s:f>
        <s:v/>
      </s:c>
      <s:c r="C18028" s="19" t="n"/>
      <s:c r="D18028" s="19" t="n"/>
      <s:c r="E18028" s="19" t="n"/>
    </s:row>
    <s:row r="18029" hidden="1" ht="1" customHeight="1">
      <s:c r="A18029" s="83" t="inlineStr">
        <s:is>
          <s:t>NOT RUN</s:t>
        </s:is>
      </s:c>
      <s:c r="B18029" s="83">
        <s:f>SUM(IF(EXACT('Kiểm thử'!E17725,"Chưa thực hiện"),1,0),IF(EXACT('Kiểm thử'!E17727,"Chưa thực hiện"),1,0),IF(EXACT('Kiểm thử'!E17729,"Chưa thực hiện"),1,0),IF(EXACT('Kiểm thử'!E17731,"Chưa thực hiện"),1,0),IF(EXACT('Kiểm thử'!E17733,"Chưa thực hiện"),1,0),IF(EXACT('Kiểm thử'!E17735,"Chưa thực hiện"),1,0))</s:f>
        <s:v/>
      </s:c>
      <s:c r="C18029" s="19" t="n"/>
      <s:c r="D18029" s="19" t="n"/>
      <s:c r="E18029" s="19" t="n"/>
    </s:row>
    <s:row r="18030" hidden="1" ht="6" customHeight="1">
      <s:c r="A18030" s="83" t="inlineStr"/>
      <s:c r="B18030" s="19" t="n"/>
      <s:c r="C18030" s="19" t="n"/>
      <s:c r="D18030" s="19" t="n"/>
      <s:c r="E18030" s="19" t="n"/>
    </s:row>
    <s:row r="18031" ht="28" customHeight="1">
      <s:c r="A18031" s="108" t="inlineStr">
        <s:is>
          <s:t>TC-RS-BR-025 — Đầu ra không bị chặn vì chưa có hoặc chưa xét được kết quả đỏ</s:t>
        </s:is>
      </s:c>
      <s:c r="B18031" s="111" t="n"/>
      <s:c r="C18031" s="111" t="n"/>
      <s:c r="D18031" s="111" t="n"/>
      <s:c r="E18031" s="111" t="n"/>
    </s:row>
    <s:row r="18032" ht="20" customHeight="1">
      <s:c r="A18032" s="112" t="inlineStr">
        <s:is>
          <s:t>Kết quả tình huống</s:t>
        </s:is>
      </s:c>
      <s:c r="B18032" s="113">
        <s:f>IF(SUM(IF(EXACT('Kiểm thử'!E18040,"Không đạt"),1,0),IF(EXACT('Kiểm thử'!E18042,"Không đạt"),1,0),IF(EXACT('Kiểm thử'!E18044,"Không đạt"),1,0),IF(EXACT('Kiểm thử'!E18046,"Không đạt"),1,0))&gt;0,"Không đạt",IF(SUM(IF(EXACT('Kiểm thử'!E18040,"Đạt"),1,0),IF(EXACT('Kiểm thử'!E18042,"Đạt"),1,0),IF(EXACT('Kiểm thử'!E18044,"Đạt"),1,0),IF(EXACT('Kiểm thử'!E18046,"Đạt"),1,0))=4,"Đạt",IF(SUM(IF(EXACT('Kiểm thử'!E18040,"Không thực hiện"),1,0),IF(EXACT('Kiểm thử'!E18042,"Không thực hiện"),1,0),IF(EXACT('Kiểm thử'!E18044,"Không thực hiện"),1,0),IF(EXACT('Kiểm thử'!E18046,"Không thực hiện"),1,0))=4,"Không thực hiện",IF(SUM(IF(EXACT('Kiểm thử'!E18040,"Bị chặn"),1,0),IF(EXACT('Kiểm thử'!E18042,"Bị chặn"),1,0),IF(EXACT('Kiểm thử'!E18044,"Bị chặn"),1,0),IF(EXACT('Kiểm thử'!E18046,"Bị chặn"),1,0))&gt;0,"Bị chặn",IF(SUM(IF(EXACT('Kiểm thử'!E18040,"Chưa thực hiện"),1,0),IF(EXACT('Kiểm thử'!E18042,"Chưa thực hiện"),1,0),IF(EXACT('Kiểm thử'!E18044,"Chưa thực hiện"),1,0),IF(EXACT('Kiểm thử'!E18046,"Chưa thực hiện"),1,0))=4,"Chưa thực hiện","Đang thực hiện")))))</s:f>
        <s:v/>
      </s:c>
      <s:c r="C18032" s="114" t="n"/>
      <s:c r="D18032" s="114" t="n"/>
      <s:c r="E18032" s="114" t="n"/>
    </s:row>
    <s:row r="18033" ht="20" customHeight="1">
      <s:c r="A18033" s="112" t="inlineStr">
        <s:is>
          <s:t>Màn hình / chức năng</s:t>
        </s:is>
      </s:c>
      <s:c r="B18033" s="113" t="inlineStr">
        <s:is>
          <s:r>
            <s:rPr>
              <s:b val="1"/>
            </s:rPr>
            <s:t>Công khai thành tích（成績公開）</s:t>
          </s:r>
        </s:is>
      </s:c>
      <s:c r="C18033" s="28" t="n"/>
      <s:c r="D18033" s="28" t="n"/>
      <s:c r="E18033" s="28" t="n"/>
    </s:row>
    <s:row r="18034" ht="20" customHeight="1">
      <s:c r="A18034" s="112" t="inlineStr">
        <s:is>
          <s:t>Cấu hình</s:t>
        </s:is>
      </s:c>
      <s:c r="B18034" s="113" t="inlineStr">
        <s:is>
          <s:t>• Một số ô Chưa từng xét, một số Chưa xét được.</s:t>
        </s:is>
      </s:c>
      <s:c r="C18034" s="28" t="n"/>
      <s:c r="D18034" s="28" t="n"/>
      <s:c r="E18034" s="28" t="n"/>
    </s:row>
    <s:row r="18035" ht="34" customHeight="1">
      <s:c r="A18035" s="112" t="inlineStr">
        <s:is>
          <s:t>Dữ liệu test</s:t>
        </s:is>
      </s:c>
      <s:c r="B18035" s="113" t="inlineStr">
        <s:is>
          <s:t>• Cấu hình trích xuất: lọc, ký hiệu “*” phía trước, tô màu, cấu hình công khai: “*” phía trước, cấu hình phiếu điểm: ký tự “※” phía trước</s:t>
        </s:is>
      </s:c>
      <s:c r="C18035" s="28" t="n"/>
      <s:c r="D18035" s="28" t="n"/>
      <s:c r="E18035" s="28" t="n"/>
    </s:row>
    <s:row r="18036" ht="20" customHeight="1">
      <s:c r="A18036" s="112" t="inlineStr">
        <s:is>
          <s:t>Bước 1</s:t>
        </s:is>
      </s:c>
      <s:c r="B18036" s="113" t="inlineStr">
        <s:is>
          <s:t>Xác minh fixture có ô Chưa từng xét/Chưa xét được và quyền/lịch/ẩn hiện hữu.</s:t>
        </s:is>
      </s:c>
      <s:c r="C18036" s="28" t="n"/>
      <s:c r="D18036" s="28" t="n"/>
      <s:c r="E18036" s="28" t="n"/>
    </s:row>
    <s:row r="18037" ht="20" customHeight="1">
      <s:c r="A18037" s="112" t="inlineStr">
        <s:is>
          <s:t>Bước 2</s:t>
        </s:is>
      </s:c>
      <s:c r="B18037" s="113" t="inlineStr">
        <s:is>
          <s:t>Xem/xuất kênh của trường hợp, ghi khả năng hoàn tất và trạng thái hiển thị.</s:t>
        </s:is>
      </s:c>
      <s:c r="C18037" s="28" t="n"/>
      <s:c r="D18037" s="28" t="n"/>
      <s:c r="E18037" s="28" t="n"/>
    </s:row>
    <s:row r="18038" ht="28" customHeight="1">
      <s:c r="A18038" s="115" t="inlineStr">
        <s:is>
          <s:t>Trường hợp</s:t>
        </s:is>
      </s:c>
      <s:c r="B18038" s="115" t="inlineStr">
        <s:is>
          <s:t>Dữ liệu / thao tác riêng</s:t>
        </s:is>
      </s:c>
      <s:c r="C18038" s="115" t="inlineStr">
        <s:is>
          <s:t>Kết quả mong đợi</s:t>
        </s:is>
      </s:c>
      <s:c r="D18038" s="115" t="inlineStr">
        <s:is>
          <s:t>Kết quả thực tế</s:t>
        </s:is>
      </s:c>
      <s:c r="E18038" s="115" t="inlineStr">
        <s:is>
          <s:t>Đánh giá</s:t>
        </s:is>
      </s:c>
    </s:row>
    <s:row r="18039" ht="3" customHeight="1">
      <s:c r="A18039" s="102" t="inlineStr"/>
      <s:c r="B18039" s="99" t="n"/>
      <s:c r="C18039" s="99" t="n"/>
      <s:c r="D18039" s="116" t="n"/>
      <s:c r="E18039" s="116" t="n"/>
    </s:row>
    <s:row r="18040" ht="90" customHeight="1">
      <s:c r="A18040" s="83" t="inlineStr">
        <s:is>
          <s:t>Trích xuất (extract)</s:t>
        </s:is>
      </s:c>
      <s:c r="B18040" s="83" t="inlineStr">
        <s:is>
          <s:r>
            <s:t xml:space="preserve">Fixture có ô Chưa từng xét và Chưa xét được; xem/xuất màn </s:t>
          </s:r>
          <s:r>
            <s:rPr>
              <s:b val="1"/>
            </s:rPr>
            <s:t>Trích xuất thành tích（成績抽出）</s:t>
          </s:r>
          <s:r>
            <s:t xml:space="preserve"> theo quyền, lịch và thiết lập ẩn hiện hữu; đọc khả năng hoàn tất và dấu đỏ.</s:t>
          </s:r>
        </s:is>
      </s:c>
      <s:c r="C18040" s="83" t="inlineStr">
        <s:is>
          <s:t>Mọi thao tác hoàn tất bình thường; ô chưa có kết quả không có dấu đỏ và hiển thị theo thiết lập hiện hữu. Quyền, lịch công khai, điều kiện ẩn hiện có vẫn giữ.</s:t>
        </s:is>
      </s:c>
      <s:c r="D18040" s="117" t="inlineStr"/>
      <s:c r="E18040" s="118" t="inlineStr">
        <s:is>
          <s:t>Chưa thực hiện</s:t>
        </s:is>
      </s:c>
    </s:row>
    <s:row r="18041" ht="3" customHeight="1">
      <s:c r="A18041" s="102" t="inlineStr"/>
      <s:c r="B18041" s="99" t="n"/>
      <s:c r="C18041" s="99" t="n"/>
      <s:c r="D18041" s="116" t="n"/>
      <s:c r="E18041" s="116" t="n"/>
    </s:row>
    <s:row r="18042" ht="90" customHeight="1">
      <s:c r="A18042" s="83" t="inlineStr">
        <s:is>
          <s:t>Excel trích xuất (excel)</s:t>
        </s:is>
      </s:c>
      <s:c r="B18042" s="83" t="inlineStr">
        <s:is>
          <s:r>
            <s:t xml:space="preserve">Fixture có ô Chưa từng xét và Chưa xét được; xem/xuất file Excel sau </s:t>
          </s:r>
          <s:r>
            <s:rPr>
              <s:b val="1"/>
            </s:rPr>
            <s:t>Trích xuất thành tích（成績抽出）</s:t>
          </s:r>
          <s:r>
            <s:t xml:space="preserve"> theo quyền, lịch và thiết lập ẩn hiện hữu; đọc khả năng hoàn tất và dấu đỏ.</s:t>
          </s:r>
        </s:is>
      </s:c>
      <s:c r="C18042" s="83" t="inlineStr">
        <s:is>
          <s:t>Mọi thao tác hoàn tất bình thường; ô chưa có kết quả không có dấu đỏ và hiển thị theo thiết lập hiện hữu. Quyền, lịch công khai, điều kiện ẩn hiện có vẫn giữ.</s:t>
        </s:is>
      </s:c>
      <s:c r="D18042" s="117" t="inlineStr"/>
      <s:c r="E18042" s="118" t="inlineStr">
        <s:is>
          <s:t>Chưa thực hiện</s:t>
        </s:is>
      </s:c>
    </s:row>
    <s:row r="18043" ht="3" customHeight="1">
      <s:c r="A18043" s="102" t="inlineStr"/>
      <s:c r="B18043" s="99" t="n"/>
      <s:c r="C18043" s="99" t="n"/>
      <s:c r="D18043" s="116" t="n"/>
      <s:c r="E18043" s="116" t="n"/>
    </s:row>
    <s:row r="18044" ht="90" customHeight="1">
      <s:c r="A18044" s="83" t="inlineStr">
        <s:is>
          <s:t>Công khai (publish)</s:t>
        </s:is>
      </s:c>
      <s:c r="B18044" s="83" t="inlineStr">
        <s:is>
          <s:r>
            <s:t xml:space="preserve">Fixture có ô Chưa từng xét và Chưa xét được; xem/xuất màn </s:t>
          </s:r>
          <s:r>
            <s:rPr>
              <s:b val="1"/>
            </s:rPr>
            <s:t>Công khai thành tích（成績公開）</s:t>
          </s:r>
          <s:r>
            <s:t xml:space="preserve"> theo quyền, lịch và thiết lập ẩn hiện hữu; đọc khả năng hoàn tất và dấu đỏ.</s:t>
          </s:r>
        </s:is>
      </s:c>
      <s:c r="C18044" s="83" t="inlineStr">
        <s:is>
          <s:t>Mọi thao tác hoàn tất bình thường; ô chưa có kết quả không có dấu đỏ và hiển thị theo thiết lập hiện hữu. Quyền, lịch công khai, điều kiện ẩn hiện có vẫn giữ.</s:t>
        </s:is>
      </s:c>
      <s:c r="D18044" s="117" t="inlineStr"/>
      <s:c r="E18044" s="118" t="inlineStr">
        <s:is>
          <s:t>Chưa thực hiện</s:t>
        </s:is>
      </s:c>
    </s:row>
    <s:row r="18045" ht="3" customHeight="1">
      <s:c r="A18045" s="102" t="inlineStr"/>
      <s:c r="B18045" s="99" t="n"/>
      <s:c r="C18045" s="99" t="n"/>
      <s:c r="D18045" s="116" t="n"/>
      <s:c r="E18045" s="116" t="n"/>
    </s:row>
    <s:row r="18046" ht="90" customHeight="1">
      <s:c r="A18046" s="83" t="inlineStr">
        <s:is>
          <s:t>Phiếu điểm (report)</s:t>
        </s:is>
      </s:c>
      <s:c r="B18046" s="83" t="inlineStr">
        <s:is>
          <s:r>
            <s:t xml:space="preserve">Fixture có ô Chưa từng xét và Chưa xét được; xem/xuất PDF </s:t>
          </s:r>
          <s:r>
            <s:rPr>
              <s:b val="1"/>
            </s:rPr>
            <s:t>Công cụ phiếu điểm（通知表ツール）</s:t>
          </s:r>
          <s:r>
            <s:t xml:space="preserve"> theo quyền, lịch và thiết lập ẩn hiện hữu; đọc khả năng hoàn tất và dấu đỏ.</s:t>
          </s:r>
        </s:is>
      </s:c>
      <s:c r="C18046" s="83" t="inlineStr">
        <s:is>
          <s:t>Mọi thao tác hoàn tất bình thường; ô chưa có kết quả không có dấu đỏ và hiển thị theo thiết lập hiện hữu. Quyền, lịch công khai, điều kiện ẩn hiện có vẫn giữ.</s:t>
        </s:is>
      </s:c>
      <s:c r="D18046" s="117" t="inlineStr"/>
      <s:c r="E18046" s="118" t="inlineStr">
        <s:is>
          <s:t>Chưa thực hiện</s:t>
        </s:is>
      </s:c>
    </s:row>
    <s:row r="18047" ht="20" customHeight="1">
      <s:c r="A18047" s="119" t="inlineStr">
        <s:is>
          <s:t>Ảnh minh chứng — Chưa có ảnh</s:t>
        </s:is>
      </s:c>
      <s:c r="B18047" s="19" t="n"/>
      <s:c r="C18047" s="19" t="n"/>
      <s:c r="D18047" s="19" t="n"/>
      <s:c r="E18047" s="19" t="n"/>
    </s:row>
    <s:row r="18048" hidden="1" ht="1" customHeight="1">
      <s:c r="A18048" s="120" t="inlineStr"/>
      <s:c r="B18048" s="121" t="n"/>
      <s:c r="C18048" s="121" t="n"/>
      <s:c r="D18048" s="121" t="n"/>
      <s:c r="E18048" s="122" t="n"/>
    </s:row>
    <s:row r="18049" hidden="1" ht="1" customHeight="1">
      <s:c r="A18049" s="120" t="inlineStr"/>
      <s:c r="B18049" s="121" t="n"/>
      <s:c r="C18049" s="121" t="n"/>
      <s:c r="D18049" s="121" t="n"/>
      <s:c r="E18049" s="122" t="n"/>
    </s:row>
    <s:row r="18050" hidden="1" ht="1" customHeight="1">
      <s:c r="A18050" s="120" t="inlineStr"/>
      <s:c r="B18050" s="121" t="n"/>
      <s:c r="C18050" s="121" t="n"/>
      <s:c r="D18050" s="121" t="n"/>
      <s:c r="E18050" s="122" t="n"/>
    </s:row>
    <s:row r="18051" hidden="1" ht="1" customHeight="1">
      <s:c r="A18051" s="120" t="inlineStr"/>
      <s:c r="B18051" s="121" t="n"/>
      <s:c r="C18051" s="121" t="n"/>
      <s:c r="D18051" s="121" t="n"/>
      <s:c r="E18051" s="122" t="n"/>
    </s:row>
    <s:row r="18052" hidden="1" ht="1" customHeight="1">
      <s:c r="A18052" s="120" t="inlineStr"/>
      <s:c r="B18052" s="121" t="n"/>
      <s:c r="C18052" s="121" t="n"/>
      <s:c r="D18052" s="121" t="n"/>
      <s:c r="E18052" s="122" t="n"/>
    </s:row>
    <s:row r="18053" hidden="1" ht="1" customHeight="1">
      <s:c r="A18053" s="120" t="inlineStr"/>
      <s:c r="B18053" s="121" t="n"/>
      <s:c r="C18053" s="121" t="n"/>
      <s:c r="D18053" s="121" t="n"/>
      <s:c r="E18053" s="122" t="n"/>
    </s:row>
    <s:row r="18054" hidden="1" ht="1" customHeight="1">
      <s:c r="A18054" s="120" t="inlineStr"/>
      <s:c r="B18054" s="121" t="n"/>
      <s:c r="C18054" s="121" t="n"/>
      <s:c r="D18054" s="121" t="n"/>
      <s:c r="E18054" s="122" t="n"/>
    </s:row>
    <s:row r="18055" hidden="1" ht="1" customHeight="1">
      <s:c r="A18055" s="120" t="inlineStr"/>
      <s:c r="B18055" s="121" t="n"/>
      <s:c r="C18055" s="121" t="n"/>
      <s:c r="D18055" s="121" t="n"/>
      <s:c r="E18055" s="122" t="n"/>
    </s:row>
    <s:row r="18056" hidden="1" ht="1" customHeight="1">
      <s:c r="A18056" s="120" t="inlineStr"/>
      <s:c r="B18056" s="121" t="n"/>
      <s:c r="C18056" s="121" t="n"/>
      <s:c r="D18056" s="121" t="n"/>
      <s:c r="E18056" s="122" t="n"/>
    </s:row>
    <s:row r="18057" hidden="1" ht="1" customHeight="1">
      <s:c r="A18057" s="120" t="inlineStr"/>
      <s:c r="B18057" s="121" t="n"/>
      <s:c r="C18057" s="121" t="n"/>
      <s:c r="D18057" s="121" t="n"/>
      <s:c r="E18057" s="122" t="n"/>
    </s:row>
    <s:row r="18058" hidden="1" ht="1" customHeight="1">
      <s:c r="A18058" s="120" t="inlineStr"/>
      <s:c r="B18058" s="121" t="n"/>
      <s:c r="C18058" s="121" t="n"/>
      <s:c r="D18058" s="121" t="n"/>
      <s:c r="E18058" s="122" t="n"/>
    </s:row>
    <s:row r="18059" hidden="1" ht="1" customHeight="1">
      <s:c r="A18059" s="120" t="inlineStr"/>
      <s:c r="B18059" s="121" t="n"/>
      <s:c r="C18059" s="121" t="n"/>
      <s:c r="D18059" s="121" t="n"/>
      <s:c r="E18059" s="122" t="n"/>
    </s:row>
    <s:row r="18060" hidden="1" ht="1" customHeight="1">
      <s:c r="A18060" s="120" t="inlineStr"/>
      <s:c r="B18060" s="121" t="n"/>
      <s:c r="C18060" s="121" t="n"/>
      <s:c r="D18060" s="121" t="n"/>
      <s:c r="E18060" s="122" t="n"/>
    </s:row>
    <s:row r="18061" hidden="1" ht="1" customHeight="1">
      <s:c r="A18061" s="120" t="inlineStr"/>
      <s:c r="B18061" s="121" t="n"/>
      <s:c r="C18061" s="121" t="n"/>
      <s:c r="D18061" s="121" t="n"/>
      <s:c r="E18061" s="122" t="n"/>
    </s:row>
    <s:row r="18062" hidden="1" ht="1" customHeight="1">
      <s:c r="A18062" s="120" t="inlineStr"/>
      <s:c r="B18062" s="121" t="n"/>
      <s:c r="C18062" s="121" t="n"/>
      <s:c r="D18062" s="121" t="n"/>
      <s:c r="E18062" s="122" t="n"/>
    </s:row>
    <s:row r="18063" hidden="1" ht="1" customHeight="1">
      <s:c r="A18063" s="120" t="inlineStr"/>
      <s:c r="B18063" s="121" t="n"/>
      <s:c r="C18063" s="121" t="n"/>
      <s:c r="D18063" s="121" t="n"/>
      <s:c r="E18063" s="122" t="n"/>
    </s:row>
    <s:row r="18064" hidden="1" ht="1" customHeight="1">
      <s:c r="A18064" s="120" t="inlineStr"/>
      <s:c r="B18064" s="121" t="n"/>
      <s:c r="C18064" s="121" t="n"/>
      <s:c r="D18064" s="121" t="n"/>
      <s:c r="E18064" s="122" t="n"/>
    </s:row>
    <s:row r="18065" hidden="1" ht="1" customHeight="1">
      <s:c r="A18065" s="120" t="inlineStr"/>
      <s:c r="B18065" s="121" t="n"/>
      <s:c r="C18065" s="121" t="n"/>
      <s:c r="D18065" s="121" t="n"/>
      <s:c r="E18065" s="122" t="n"/>
    </s:row>
    <s:row r="18066" hidden="1" ht="1" customHeight="1">
      <s:c r="A18066" s="120" t="inlineStr"/>
      <s:c r="B18066" s="121" t="n"/>
      <s:c r="C18066" s="121" t="n"/>
      <s:c r="D18066" s="121" t="n"/>
      <s:c r="E18066" s="122" t="n"/>
    </s:row>
    <s:row r="18067" hidden="1" ht="1" customHeight="1">
      <s:c r="A18067" s="120" t="inlineStr"/>
      <s:c r="B18067" s="121" t="n"/>
      <s:c r="C18067" s="121" t="n"/>
      <s:c r="D18067" s="121" t="n"/>
      <s:c r="E18067" s="122" t="n"/>
    </s:row>
    <s:row r="18068" hidden="1" ht="1" customHeight="1">
      <s:c r="A18068" s="120" t="inlineStr"/>
      <s:c r="B18068" s="121" t="n"/>
      <s:c r="C18068" s="121" t="n"/>
      <s:c r="D18068" s="121" t="n"/>
      <s:c r="E18068" s="122" t="n"/>
    </s:row>
    <s:row r="18069" hidden="1" ht="1" customHeight="1">
      <s:c r="A18069" s="120" t="inlineStr"/>
      <s:c r="B18069" s="121" t="n"/>
      <s:c r="C18069" s="121" t="n"/>
      <s:c r="D18069" s="121" t="n"/>
      <s:c r="E18069" s="122" t="n"/>
    </s:row>
    <s:row r="18070" hidden="1" ht="1" customHeight="1">
      <s:c r="A18070" s="120" t="inlineStr"/>
      <s:c r="B18070" s="121" t="n"/>
      <s:c r="C18070" s="121" t="n"/>
      <s:c r="D18070" s="121" t="n"/>
      <s:c r="E18070" s="122" t="n"/>
    </s:row>
    <s:row r="18071" hidden="1" ht="1" customHeight="1">
      <s:c r="A18071" s="120" t="inlineStr"/>
      <s:c r="B18071" s="121" t="n"/>
      <s:c r="C18071" s="121" t="n"/>
      <s:c r="D18071" s="121" t="n"/>
      <s:c r="E18071" s="122" t="n"/>
    </s:row>
    <s:row r="18072" hidden="1" ht="1" customHeight="1">
      <s:c r="A18072" s="120" t="inlineStr"/>
      <s:c r="B18072" s="121" t="n"/>
      <s:c r="C18072" s="121" t="n"/>
      <s:c r="D18072" s="121" t="n"/>
      <s:c r="E18072" s="122" t="n"/>
    </s:row>
    <s:row r="18073" hidden="1" ht="1" customHeight="1">
      <s:c r="A18073" s="120" t="inlineStr"/>
      <s:c r="B18073" s="121" t="n"/>
      <s:c r="C18073" s="121" t="n"/>
      <s:c r="D18073" s="121" t="n"/>
      <s:c r="E18073" s="122" t="n"/>
    </s:row>
    <s:row r="18074" hidden="1" ht="1" customHeight="1">
      <s:c r="A18074" s="120" t="inlineStr"/>
      <s:c r="B18074" s="121" t="n"/>
      <s:c r="C18074" s="121" t="n"/>
      <s:c r="D18074" s="121" t="n"/>
      <s:c r="E18074" s="122" t="n"/>
    </s:row>
    <s:row r="18075" hidden="1" ht="1" customHeight="1">
      <s:c r="A18075" s="120" t="inlineStr"/>
      <s:c r="B18075" s="121" t="n"/>
      <s:c r="C18075" s="121" t="n"/>
      <s:c r="D18075" s="121" t="n"/>
      <s:c r="E18075" s="122" t="n"/>
    </s:row>
    <s:row r="18076" hidden="1" ht="1" customHeight="1">
      <s:c r="A18076" s="120" t="inlineStr"/>
      <s:c r="B18076" s="121" t="n"/>
      <s:c r="C18076" s="121" t="n"/>
      <s:c r="D18076" s="121" t="n"/>
      <s:c r="E18076" s="122" t="n"/>
    </s:row>
    <s:row r="18077" hidden="1" ht="1" customHeight="1">
      <s:c r="A18077" s="120" t="inlineStr"/>
      <s:c r="B18077" s="121" t="n"/>
      <s:c r="C18077" s="121" t="n"/>
      <s:c r="D18077" s="121" t="n"/>
      <s:c r="E18077" s="122" t="n"/>
    </s:row>
    <s:row r="18078" hidden="1" ht="1" customHeight="1">
      <s:c r="A18078" s="120" t="inlineStr"/>
      <s:c r="B18078" s="121" t="n"/>
      <s:c r="C18078" s="121" t="n"/>
      <s:c r="D18078" s="121" t="n"/>
      <s:c r="E18078" s="122" t="n"/>
    </s:row>
    <s:row r="18079" hidden="1" ht="1" customHeight="1">
      <s:c r="A18079" s="120" t="inlineStr"/>
      <s:c r="B18079" s="121" t="n"/>
      <s:c r="C18079" s="121" t="n"/>
      <s:c r="D18079" s="121" t="n"/>
      <s:c r="E18079" s="122" t="n"/>
    </s:row>
    <s:row r="18080" hidden="1" ht="1" customHeight="1">
      <s:c r="A18080" s="120" t="inlineStr"/>
      <s:c r="B18080" s="121" t="n"/>
      <s:c r="C18080" s="121" t="n"/>
      <s:c r="D18080" s="121" t="n"/>
      <s:c r="E18080" s="122" t="n"/>
    </s:row>
    <s:row r="18081" hidden="1" ht="1" customHeight="1">
      <s:c r="A18081" s="120" t="inlineStr"/>
      <s:c r="B18081" s="121" t="n"/>
      <s:c r="C18081" s="121" t="n"/>
      <s:c r="D18081" s="121" t="n"/>
      <s:c r="E18081" s="122" t="n"/>
    </s:row>
    <s:row r="18082" hidden="1" ht="1" customHeight="1">
      <s:c r="A18082" s="120" t="inlineStr"/>
      <s:c r="B18082" s="121" t="n"/>
      <s:c r="C18082" s="121" t="n"/>
      <s:c r="D18082" s="121" t="n"/>
      <s:c r="E18082" s="122" t="n"/>
    </s:row>
    <s:row r="18083" hidden="1" ht="1" customHeight="1">
      <s:c r="A18083" s="120" t="inlineStr"/>
      <s:c r="B18083" s="121" t="n"/>
      <s:c r="C18083" s="121" t="n"/>
      <s:c r="D18083" s="121" t="n"/>
      <s:c r="E18083" s="122" t="n"/>
    </s:row>
    <s:row r="18084" hidden="1" ht="1" customHeight="1">
      <s:c r="A18084" s="120" t="inlineStr"/>
      <s:c r="B18084" s="121" t="n"/>
      <s:c r="C18084" s="121" t="n"/>
      <s:c r="D18084" s="121" t="n"/>
      <s:c r="E18084" s="122" t="n"/>
    </s:row>
    <s:row r="18085" hidden="1" ht="1" customHeight="1">
      <s:c r="A18085" s="120" t="inlineStr"/>
      <s:c r="B18085" s="121" t="n"/>
      <s:c r="C18085" s="121" t="n"/>
      <s:c r="D18085" s="121" t="n"/>
      <s:c r="E18085" s="122" t="n"/>
    </s:row>
    <s:row r="18086" hidden="1" ht="1" customHeight="1">
      <s:c r="A18086" s="120" t="inlineStr"/>
      <s:c r="B18086" s="121" t="n"/>
      <s:c r="C18086" s="121" t="n"/>
      <s:c r="D18086" s="121" t="n"/>
      <s:c r="E18086" s="122" t="n"/>
    </s:row>
    <s:row r="18087" hidden="1" ht="1" customHeight="1">
      <s:c r="A18087" s="120" t="inlineStr"/>
      <s:c r="B18087" s="121" t="n"/>
      <s:c r="C18087" s="121" t="n"/>
      <s:c r="D18087" s="121" t="n"/>
      <s:c r="E18087" s="122" t="n"/>
    </s:row>
    <s:row r="18088" hidden="1" ht="1" customHeight="1">
      <s:c r="A18088" s="120" t="inlineStr"/>
      <s:c r="B18088" s="121" t="n"/>
      <s:c r="C18088" s="121" t="n"/>
      <s:c r="D18088" s="121" t="n"/>
      <s:c r="E18088" s="122" t="n"/>
    </s:row>
    <s:row r="18089" hidden="1" ht="1" customHeight="1">
      <s:c r="A18089" s="120" t="inlineStr"/>
      <s:c r="B18089" s="121" t="n"/>
      <s:c r="C18089" s="121" t="n"/>
      <s:c r="D18089" s="121" t="n"/>
      <s:c r="E18089" s="122" t="n"/>
    </s:row>
    <s:row r="18090" hidden="1" ht="1" customHeight="1">
      <s:c r="A18090" s="120" t="inlineStr"/>
      <s:c r="B18090" s="121" t="n"/>
      <s:c r="C18090" s="121" t="n"/>
      <s:c r="D18090" s="121" t="n"/>
      <s:c r="E18090" s="122" t="n"/>
    </s:row>
    <s:row r="18091" hidden="1" ht="1" customHeight="1">
      <s:c r="A18091" s="120" t="inlineStr"/>
      <s:c r="B18091" s="121" t="n"/>
      <s:c r="C18091" s="121" t="n"/>
      <s:c r="D18091" s="121" t="n"/>
      <s:c r="E18091" s="122" t="n"/>
    </s:row>
    <s:row r="18092" hidden="1" ht="1" customHeight="1">
      <s:c r="A18092" s="120" t="inlineStr"/>
      <s:c r="B18092" s="121" t="n"/>
      <s:c r="C18092" s="121" t="n"/>
      <s:c r="D18092" s="121" t="n"/>
      <s:c r="E18092" s="122" t="n"/>
    </s:row>
    <s:row r="18093" hidden="1" ht="1" customHeight="1">
      <s:c r="A18093" s="120" t="inlineStr"/>
      <s:c r="B18093" s="121" t="n"/>
      <s:c r="C18093" s="121" t="n"/>
      <s:c r="D18093" s="121" t="n"/>
      <s:c r="E18093" s="122" t="n"/>
    </s:row>
    <s:row r="18094" hidden="1" ht="1" customHeight="1">
      <s:c r="A18094" s="120" t="inlineStr"/>
      <s:c r="B18094" s="121" t="n"/>
      <s:c r="C18094" s="121" t="n"/>
      <s:c r="D18094" s="121" t="n"/>
      <s:c r="E18094" s="122" t="n"/>
    </s:row>
    <s:row r="18095" hidden="1" ht="1" customHeight="1">
      <s:c r="A18095" s="120" t="inlineStr"/>
      <s:c r="B18095" s="121" t="n"/>
      <s:c r="C18095" s="121" t="n"/>
      <s:c r="D18095" s="121" t="n"/>
      <s:c r="E18095" s="122" t="n"/>
    </s:row>
    <s:row r="18096" hidden="1" ht="1" customHeight="1">
      <s:c r="A18096" s="120" t="inlineStr"/>
      <s:c r="B18096" s="121" t="n"/>
      <s:c r="C18096" s="121" t="n"/>
      <s:c r="D18096" s="121" t="n"/>
      <s:c r="E18096" s="122" t="n"/>
    </s:row>
    <s:row r="18097" hidden="1" ht="1" customHeight="1">
      <s:c r="A18097" s="120" t="inlineStr"/>
      <s:c r="B18097" s="121" t="n"/>
      <s:c r="C18097" s="121" t="n"/>
      <s:c r="D18097" s="121" t="n"/>
      <s:c r="E18097" s="122" t="n"/>
    </s:row>
    <s:row r="18098" hidden="1" ht="1" customHeight="1">
      <s:c r="A18098" s="120" t="inlineStr"/>
      <s:c r="B18098" s="121" t="n"/>
      <s:c r="C18098" s="121" t="n"/>
      <s:c r="D18098" s="121" t="n"/>
      <s:c r="E18098" s="122" t="n"/>
    </s:row>
    <s:row r="18099" hidden="1" ht="1" customHeight="1">
      <s:c r="A18099" s="120" t="inlineStr"/>
      <s:c r="B18099" s="121" t="n"/>
      <s:c r="C18099" s="121" t="n"/>
      <s:c r="D18099" s="121" t="n"/>
      <s:c r="E18099" s="122" t="n"/>
    </s:row>
    <s:row r="18100" hidden="1" ht="1" customHeight="1">
      <s:c r="A18100" s="120" t="inlineStr"/>
      <s:c r="B18100" s="121" t="n"/>
      <s:c r="C18100" s="121" t="n"/>
      <s:c r="D18100" s="121" t="n"/>
      <s:c r="E18100" s="122" t="n"/>
    </s:row>
    <s:row r="18101" hidden="1" ht="1" customHeight="1">
      <s:c r="A18101" s="120" t="inlineStr"/>
      <s:c r="B18101" s="121" t="n"/>
      <s:c r="C18101" s="121" t="n"/>
      <s:c r="D18101" s="121" t="n"/>
      <s:c r="E18101" s="122" t="n"/>
    </s:row>
    <s:row r="18102" hidden="1" ht="1" customHeight="1">
      <s:c r="A18102" s="120" t="inlineStr"/>
      <s:c r="B18102" s="121" t="n"/>
      <s:c r="C18102" s="121" t="n"/>
      <s:c r="D18102" s="121" t="n"/>
      <s:c r="E18102" s="122" t="n"/>
    </s:row>
    <s:row r="18103" hidden="1" ht="1" customHeight="1">
      <s:c r="A18103" s="120" t="inlineStr"/>
      <s:c r="B18103" s="121" t="n"/>
      <s:c r="C18103" s="121" t="n"/>
      <s:c r="D18103" s="121" t="n"/>
      <s:c r="E18103" s="122" t="n"/>
    </s:row>
    <s:row r="18104" hidden="1" ht="1" customHeight="1">
      <s:c r="A18104" s="120" t="inlineStr"/>
      <s:c r="B18104" s="121" t="n"/>
      <s:c r="C18104" s="121" t="n"/>
      <s:c r="D18104" s="121" t="n"/>
      <s:c r="E18104" s="122" t="n"/>
    </s:row>
    <s:row r="18105" hidden="1" ht="1" customHeight="1">
      <s:c r="A18105" s="120" t="inlineStr"/>
      <s:c r="B18105" s="121" t="n"/>
      <s:c r="C18105" s="121" t="n"/>
      <s:c r="D18105" s="121" t="n"/>
      <s:c r="E18105" s="122" t="n"/>
    </s:row>
    <s:row r="18106" hidden="1" ht="1" customHeight="1">
      <s:c r="A18106" s="120" t="inlineStr"/>
      <s:c r="B18106" s="121" t="n"/>
      <s:c r="C18106" s="121" t="n"/>
      <s:c r="D18106" s="121" t="n"/>
      <s:c r="E18106" s="122" t="n"/>
    </s:row>
    <s:row r="18107" hidden="1" ht="1" customHeight="1">
      <s:c r="A18107" s="120" t="inlineStr"/>
      <s:c r="B18107" s="121" t="n"/>
      <s:c r="C18107" s="121" t="n"/>
      <s:c r="D18107" s="121" t="n"/>
      <s:c r="E18107" s="122" t="n"/>
    </s:row>
    <s:row r="18108" hidden="1" ht="1" customHeight="1">
      <s:c r="A18108" s="120" t="inlineStr"/>
      <s:c r="B18108" s="121" t="n"/>
      <s:c r="C18108" s="121" t="n"/>
      <s:c r="D18108" s="121" t="n"/>
      <s:c r="E18108" s="122" t="n"/>
    </s:row>
    <s:row r="18109" hidden="1" ht="1" customHeight="1">
      <s:c r="A18109" s="120" t="inlineStr"/>
      <s:c r="B18109" s="121" t="n"/>
      <s:c r="C18109" s="121" t="n"/>
      <s:c r="D18109" s="121" t="n"/>
      <s:c r="E18109" s="122" t="n"/>
    </s:row>
    <s:row r="18110" hidden="1" ht="1" customHeight="1">
      <s:c r="A18110" s="120" t="inlineStr"/>
      <s:c r="B18110" s="121" t="n"/>
      <s:c r="C18110" s="121" t="n"/>
      <s:c r="D18110" s="121" t="n"/>
      <s:c r="E18110" s="122" t="n"/>
    </s:row>
    <s:row r="18111" hidden="1" ht="1" customHeight="1">
      <s:c r="A18111" s="120" t="inlineStr"/>
      <s:c r="B18111" s="121" t="n"/>
      <s:c r="C18111" s="121" t="n"/>
      <s:c r="D18111" s="121" t="n"/>
      <s:c r="E18111" s="122" t="n"/>
    </s:row>
    <s:row r="18112" hidden="1" ht="1" customHeight="1">
      <s:c r="A18112" s="120" t="inlineStr"/>
      <s:c r="B18112" s="121" t="n"/>
      <s:c r="C18112" s="121" t="n"/>
      <s:c r="D18112" s="121" t="n"/>
      <s:c r="E18112" s="122" t="n"/>
    </s:row>
    <s:row r="18113" hidden="1" ht="1" customHeight="1">
      <s:c r="A18113" s="120" t="inlineStr"/>
      <s:c r="B18113" s="121" t="n"/>
      <s:c r="C18113" s="121" t="n"/>
      <s:c r="D18113" s="121" t="n"/>
      <s:c r="E18113" s="122" t="n"/>
    </s:row>
    <s:row r="18114" hidden="1" ht="1" customHeight="1">
      <s:c r="A18114" s="120" t="inlineStr"/>
      <s:c r="B18114" s="121" t="n"/>
      <s:c r="C18114" s="121" t="n"/>
      <s:c r="D18114" s="121" t="n"/>
      <s:c r="E18114" s="122" t="n"/>
    </s:row>
    <s:row r="18115" hidden="1" ht="1" customHeight="1">
      <s:c r="A18115" s="120" t="inlineStr"/>
      <s:c r="B18115" s="121" t="n"/>
      <s:c r="C18115" s="121" t="n"/>
      <s:c r="D18115" s="121" t="n"/>
      <s:c r="E18115" s="122" t="n"/>
    </s:row>
    <s:row r="18116" hidden="1" ht="1" customHeight="1">
      <s:c r="A18116" s="120" t="inlineStr"/>
      <s:c r="B18116" s="121" t="n"/>
      <s:c r="C18116" s="121" t="n"/>
      <s:c r="D18116" s="121" t="n"/>
      <s:c r="E18116" s="122" t="n"/>
    </s:row>
    <s:row r="18117" hidden="1" ht="1" customHeight="1">
      <s:c r="A18117" s="120" t="inlineStr"/>
      <s:c r="B18117" s="121" t="n"/>
      <s:c r="C18117" s="121" t="n"/>
      <s:c r="D18117" s="121" t="n"/>
      <s:c r="E18117" s="122" t="n"/>
    </s:row>
    <s:row r="18118" hidden="1" ht="1" customHeight="1">
      <s:c r="A18118" s="120" t="inlineStr"/>
      <s:c r="B18118" s="121" t="n"/>
      <s:c r="C18118" s="121" t="n"/>
      <s:c r="D18118" s="121" t="n"/>
      <s:c r="E18118" s="122" t="n"/>
    </s:row>
    <s:row r="18119" hidden="1" ht="1" customHeight="1">
      <s:c r="A18119" s="120" t="inlineStr"/>
      <s:c r="B18119" s="121" t="n"/>
      <s:c r="C18119" s="121" t="n"/>
      <s:c r="D18119" s="121" t="n"/>
      <s:c r="E18119" s="122" t="n"/>
    </s:row>
    <s:row r="18120" hidden="1" ht="1" customHeight="1">
      <s:c r="A18120" s="120" t="inlineStr"/>
      <s:c r="B18120" s="121" t="n"/>
      <s:c r="C18120" s="121" t="n"/>
      <s:c r="D18120" s="121" t="n"/>
      <s:c r="E18120" s="122" t="n"/>
    </s:row>
    <s:row r="18121" hidden="1" ht="1" customHeight="1">
      <s:c r="A18121" s="120" t="inlineStr"/>
      <s:c r="B18121" s="121" t="n"/>
      <s:c r="C18121" s="121" t="n"/>
      <s:c r="D18121" s="121" t="n"/>
      <s:c r="E18121" s="122" t="n"/>
    </s:row>
    <s:row r="18122" hidden="1" ht="1" customHeight="1">
      <s:c r="A18122" s="120" t="inlineStr"/>
      <s:c r="B18122" s="121" t="n"/>
      <s:c r="C18122" s="121" t="n"/>
      <s:c r="D18122" s="121" t="n"/>
      <s:c r="E18122" s="122" t="n"/>
    </s:row>
    <s:row r="18123" hidden="1" ht="1" customHeight="1">
      <s:c r="A18123" s="120" t="inlineStr"/>
      <s:c r="B18123" s="121" t="n"/>
      <s:c r="C18123" s="121" t="n"/>
      <s:c r="D18123" s="121" t="n"/>
      <s:c r="E18123" s="122" t="n"/>
    </s:row>
    <s:row r="18124" hidden="1" ht="1" customHeight="1">
      <s:c r="A18124" s="120" t="inlineStr"/>
      <s:c r="B18124" s="121" t="n"/>
      <s:c r="C18124" s="121" t="n"/>
      <s:c r="D18124" s="121" t="n"/>
      <s:c r="E18124" s="122" t="n"/>
    </s:row>
    <s:row r="18125" hidden="1" ht="1" customHeight="1">
      <s:c r="A18125" s="120" t="inlineStr"/>
      <s:c r="B18125" s="121" t="n"/>
      <s:c r="C18125" s="121" t="n"/>
      <s:c r="D18125" s="121" t="n"/>
      <s:c r="E18125" s="122" t="n"/>
    </s:row>
    <s:row r="18126" hidden="1" ht="1" customHeight="1">
      <s:c r="A18126" s="120" t="inlineStr"/>
      <s:c r="B18126" s="121" t="n"/>
      <s:c r="C18126" s="121" t="n"/>
      <s:c r="D18126" s="121" t="n"/>
      <s:c r="E18126" s="122" t="n"/>
    </s:row>
    <s:row r="18127" hidden="1" ht="1" customHeight="1">
      <s:c r="A18127" s="120" t="inlineStr"/>
      <s:c r="B18127" s="121" t="n"/>
      <s:c r="C18127" s="121" t="n"/>
      <s:c r="D18127" s="121" t="n"/>
      <s:c r="E18127" s="122" t="n"/>
    </s:row>
    <s:row r="18128" hidden="1" ht="1" customHeight="1">
      <s:c r="A18128" s="120" t="inlineStr"/>
      <s:c r="B18128" s="121" t="n"/>
      <s:c r="C18128" s="121" t="n"/>
      <s:c r="D18128" s="121" t="n"/>
      <s:c r="E18128" s="122" t="n"/>
    </s:row>
    <s:row r="18129" hidden="1" ht="1" customHeight="1">
      <s:c r="A18129" s="120" t="inlineStr"/>
      <s:c r="B18129" s="121" t="n"/>
      <s:c r="C18129" s="121" t="n"/>
      <s:c r="D18129" s="121" t="n"/>
      <s:c r="E18129" s="122" t="n"/>
    </s:row>
    <s:row r="18130" hidden="1" ht="1" customHeight="1">
      <s:c r="A18130" s="120" t="inlineStr"/>
      <s:c r="B18130" s="121" t="n"/>
      <s:c r="C18130" s="121" t="n"/>
      <s:c r="D18130" s="121" t="n"/>
      <s:c r="E18130" s="122" t="n"/>
    </s:row>
    <s:row r="18131" hidden="1" ht="1" customHeight="1">
      <s:c r="A18131" s="120" t="inlineStr"/>
      <s:c r="B18131" s="121" t="n"/>
      <s:c r="C18131" s="121" t="n"/>
      <s:c r="D18131" s="121" t="n"/>
      <s:c r="E18131" s="122" t="n"/>
    </s:row>
    <s:row r="18132" hidden="1" ht="1" customHeight="1">
      <s:c r="A18132" s="120" t="inlineStr"/>
      <s:c r="B18132" s="121" t="n"/>
      <s:c r="C18132" s="121" t="n"/>
      <s:c r="D18132" s="121" t="n"/>
      <s:c r="E18132" s="122" t="n"/>
    </s:row>
    <s:row r="18133" hidden="1" ht="1" customHeight="1">
      <s:c r="A18133" s="120" t="inlineStr"/>
      <s:c r="B18133" s="121" t="n"/>
      <s:c r="C18133" s="121" t="n"/>
      <s:c r="D18133" s="121" t="n"/>
      <s:c r="E18133" s="122" t="n"/>
    </s:row>
    <s:row r="18134" hidden="1" ht="1" customHeight="1">
      <s:c r="A18134" s="120" t="inlineStr"/>
      <s:c r="B18134" s="121" t="n"/>
      <s:c r="C18134" s="121" t="n"/>
      <s:c r="D18134" s="121" t="n"/>
      <s:c r="E18134" s="122" t="n"/>
    </s:row>
    <s:row r="18135" hidden="1" ht="1" customHeight="1">
      <s:c r="A18135" s="120" t="inlineStr"/>
      <s:c r="B18135" s="121" t="n"/>
      <s:c r="C18135" s="121" t="n"/>
      <s:c r="D18135" s="121" t="n"/>
      <s:c r="E18135" s="122" t="n"/>
    </s:row>
    <s:row r="18136" hidden="1" ht="1" customHeight="1">
      <s:c r="A18136" s="120" t="inlineStr"/>
      <s:c r="B18136" s="121" t="n"/>
      <s:c r="C18136" s="121" t="n"/>
      <s:c r="D18136" s="121" t="n"/>
      <s:c r="E18136" s="122" t="n"/>
    </s:row>
    <s:row r="18137" hidden="1" ht="1" customHeight="1">
      <s:c r="A18137" s="120" t="inlineStr"/>
      <s:c r="B18137" s="121" t="n"/>
      <s:c r="C18137" s="121" t="n"/>
      <s:c r="D18137" s="121" t="n"/>
      <s:c r="E18137" s="122" t="n"/>
    </s:row>
    <s:row r="18138" hidden="1" ht="1" customHeight="1">
      <s:c r="A18138" s="120" t="inlineStr"/>
      <s:c r="B18138" s="121" t="n"/>
      <s:c r="C18138" s="121" t="n"/>
      <s:c r="D18138" s="121" t="n"/>
      <s:c r="E18138" s="122" t="n"/>
    </s:row>
    <s:row r="18139" hidden="1" ht="1" customHeight="1">
      <s:c r="A18139" s="120" t="inlineStr"/>
      <s:c r="B18139" s="121" t="n"/>
      <s:c r="C18139" s="121" t="n"/>
      <s:c r="D18139" s="121" t="n"/>
      <s:c r="E18139" s="122" t="n"/>
    </s:row>
    <s:row r="18140" hidden="1" ht="1" customHeight="1">
      <s:c r="A18140" s="120" t="inlineStr"/>
      <s:c r="B18140" s="121" t="n"/>
      <s:c r="C18140" s="121" t="n"/>
      <s:c r="D18140" s="121" t="n"/>
      <s:c r="E18140" s="122" t="n"/>
    </s:row>
    <s:row r="18141" hidden="1" ht="1" customHeight="1">
      <s:c r="A18141" s="120" t="inlineStr"/>
      <s:c r="B18141" s="121" t="n"/>
      <s:c r="C18141" s="121" t="n"/>
      <s:c r="D18141" s="121" t="n"/>
      <s:c r="E18141" s="122" t="n"/>
    </s:row>
    <s:row r="18142" hidden="1" ht="1" customHeight="1">
      <s:c r="A18142" s="120" t="inlineStr"/>
      <s:c r="B18142" s="121" t="n"/>
      <s:c r="C18142" s="121" t="n"/>
      <s:c r="D18142" s="121" t="n"/>
      <s:c r="E18142" s="122" t="n"/>
    </s:row>
    <s:row r="18143" hidden="1" ht="1" customHeight="1">
      <s:c r="A18143" s="120" t="inlineStr"/>
      <s:c r="B18143" s="121" t="n"/>
      <s:c r="C18143" s="121" t="n"/>
      <s:c r="D18143" s="121" t="n"/>
      <s:c r="E18143" s="122" t="n"/>
    </s:row>
    <s:row r="18144" hidden="1" ht="1" customHeight="1">
      <s:c r="A18144" s="120" t="inlineStr"/>
      <s:c r="B18144" s="121" t="n"/>
      <s:c r="C18144" s="121" t="n"/>
      <s:c r="D18144" s="121" t="n"/>
      <s:c r="E18144" s="122" t="n"/>
    </s:row>
    <s:row r="18145" hidden="1" ht="1" customHeight="1">
      <s:c r="A18145" s="120" t="inlineStr"/>
      <s:c r="B18145" s="121" t="n"/>
      <s:c r="C18145" s="121" t="n"/>
      <s:c r="D18145" s="121" t="n"/>
      <s:c r="E18145" s="122" t="n"/>
    </s:row>
    <s:row r="18146" hidden="1" ht="1" customHeight="1">
      <s:c r="A18146" s="120" t="inlineStr"/>
      <s:c r="B18146" s="121" t="n"/>
      <s:c r="C18146" s="121" t="n"/>
      <s:c r="D18146" s="121" t="n"/>
      <s:c r="E18146" s="122" t="n"/>
    </s:row>
    <s:row r="18147" hidden="1" ht="1" customHeight="1">
      <s:c r="A18147" s="120" t="inlineStr"/>
      <s:c r="B18147" s="121" t="n"/>
      <s:c r="C18147" s="121" t="n"/>
      <s:c r="D18147" s="121" t="n"/>
      <s:c r="E18147" s="122" t="n"/>
    </s:row>
    <s:row r="18148" hidden="1" ht="1" customHeight="1">
      <s:c r="A18148" s="120" t="inlineStr"/>
      <s:c r="B18148" s="121" t="n"/>
      <s:c r="C18148" s="121" t="n"/>
      <s:c r="D18148" s="121" t="n"/>
      <s:c r="E18148" s="122" t="n"/>
    </s:row>
    <s:row r="18149" hidden="1" ht="1" customHeight="1">
      <s:c r="A18149" s="120" t="inlineStr"/>
      <s:c r="B18149" s="121" t="n"/>
      <s:c r="C18149" s="121" t="n"/>
      <s:c r="D18149" s="121" t="n"/>
      <s:c r="E18149" s="122" t="n"/>
    </s:row>
    <s:row r="18150" hidden="1" ht="1" customHeight="1">
      <s:c r="A18150" s="120" t="inlineStr"/>
      <s:c r="B18150" s="121" t="n"/>
      <s:c r="C18150" s="121" t="n"/>
      <s:c r="D18150" s="121" t="n"/>
      <s:c r="E18150" s="122" t="n"/>
    </s:row>
    <s:row r="18151" hidden="1" ht="1" customHeight="1">
      <s:c r="A18151" s="120" t="inlineStr"/>
      <s:c r="B18151" s="121" t="n"/>
      <s:c r="C18151" s="121" t="n"/>
      <s:c r="D18151" s="121" t="n"/>
      <s:c r="E18151" s="122" t="n"/>
    </s:row>
    <s:row r="18152" hidden="1" ht="1" customHeight="1">
      <s:c r="A18152" s="120" t="inlineStr"/>
      <s:c r="B18152" s="121" t="n"/>
      <s:c r="C18152" s="121" t="n"/>
      <s:c r="D18152" s="121" t="n"/>
      <s:c r="E18152" s="122" t="n"/>
    </s:row>
    <s:row r="18153" hidden="1" ht="1" customHeight="1">
      <s:c r="A18153" s="120" t="inlineStr"/>
      <s:c r="B18153" s="121" t="n"/>
      <s:c r="C18153" s="121" t="n"/>
      <s:c r="D18153" s="121" t="n"/>
      <s:c r="E18153" s="122" t="n"/>
    </s:row>
    <s:row r="18154" hidden="1" ht="1" customHeight="1">
      <s:c r="A18154" s="120" t="inlineStr"/>
      <s:c r="B18154" s="121" t="n"/>
      <s:c r="C18154" s="121" t="n"/>
      <s:c r="D18154" s="121" t="n"/>
      <s:c r="E18154" s="122" t="n"/>
    </s:row>
    <s:row r="18155" hidden="1" ht="1" customHeight="1">
      <s:c r="A18155" s="120" t="inlineStr"/>
      <s:c r="B18155" s="121" t="n"/>
      <s:c r="C18155" s="121" t="n"/>
      <s:c r="D18155" s="121" t="n"/>
      <s:c r="E18155" s="122" t="n"/>
    </s:row>
    <s:row r="18156" hidden="1" ht="1" customHeight="1">
      <s:c r="A18156" s="120" t="inlineStr"/>
      <s:c r="B18156" s="121" t="n"/>
      <s:c r="C18156" s="121" t="n"/>
      <s:c r="D18156" s="121" t="n"/>
      <s:c r="E18156" s="122" t="n"/>
    </s:row>
    <s:row r="18157" hidden="1" ht="1" customHeight="1">
      <s:c r="A18157" s="120" t="inlineStr"/>
      <s:c r="B18157" s="121" t="n"/>
      <s:c r="C18157" s="121" t="n"/>
      <s:c r="D18157" s="121" t="n"/>
      <s:c r="E18157" s="122" t="n"/>
    </s:row>
    <s:row r="18158" hidden="1" ht="1" customHeight="1">
      <s:c r="A18158" s="120" t="inlineStr"/>
      <s:c r="B18158" s="121" t="n"/>
      <s:c r="C18158" s="121" t="n"/>
      <s:c r="D18158" s="121" t="n"/>
      <s:c r="E18158" s="122" t="n"/>
    </s:row>
    <s:row r="18159" hidden="1" ht="1" customHeight="1">
      <s:c r="A18159" s="120" t="inlineStr"/>
      <s:c r="B18159" s="121" t="n"/>
      <s:c r="C18159" s="121" t="n"/>
      <s:c r="D18159" s="121" t="n"/>
      <s:c r="E18159" s="122" t="n"/>
    </s:row>
    <s:row r="18160" hidden="1" ht="1" customHeight="1">
      <s:c r="A18160" s="120" t="inlineStr"/>
      <s:c r="B18160" s="121" t="n"/>
      <s:c r="C18160" s="121" t="n"/>
      <s:c r="D18160" s="121" t="n"/>
      <s:c r="E18160" s="122" t="n"/>
    </s:row>
    <s:row r="18161" hidden="1" ht="1" customHeight="1">
      <s:c r="A18161" s="120" t="inlineStr"/>
      <s:c r="B18161" s="121" t="n"/>
      <s:c r="C18161" s="121" t="n"/>
      <s:c r="D18161" s="121" t="n"/>
      <s:c r="E18161" s="122" t="n"/>
    </s:row>
    <s:row r="18162" hidden="1" ht="1" customHeight="1">
      <s:c r="A18162" s="120" t="inlineStr"/>
      <s:c r="B18162" s="121" t="n"/>
      <s:c r="C18162" s="121" t="n"/>
      <s:c r="D18162" s="121" t="n"/>
      <s:c r="E18162" s="122" t="n"/>
    </s:row>
    <s:row r="18163" hidden="1" ht="1" customHeight="1">
      <s:c r="A18163" s="120" t="inlineStr"/>
      <s:c r="B18163" s="121" t="n"/>
      <s:c r="C18163" s="121" t="n"/>
      <s:c r="D18163" s="121" t="n"/>
      <s:c r="E18163" s="122" t="n"/>
    </s:row>
    <s:row r="18164" hidden="1" ht="1" customHeight="1">
      <s:c r="A18164" s="120" t="inlineStr"/>
      <s:c r="B18164" s="121" t="n"/>
      <s:c r="C18164" s="121" t="n"/>
      <s:c r="D18164" s="121" t="n"/>
      <s:c r="E18164" s="122" t="n"/>
    </s:row>
    <s:row r="18165" hidden="1" ht="1" customHeight="1">
      <s:c r="A18165" s="120" t="inlineStr"/>
      <s:c r="B18165" s="121" t="n"/>
      <s:c r="C18165" s="121" t="n"/>
      <s:c r="D18165" s="121" t="n"/>
      <s:c r="E18165" s="122" t="n"/>
    </s:row>
    <s:row r="18166" hidden="1" ht="1" customHeight="1">
      <s:c r="A18166" s="120" t="inlineStr"/>
      <s:c r="B18166" s="121" t="n"/>
      <s:c r="C18166" s="121" t="n"/>
      <s:c r="D18166" s="121" t="n"/>
      <s:c r="E18166" s="122" t="n"/>
    </s:row>
    <s:row r="18167" hidden="1" ht="1" customHeight="1">
      <s:c r="A18167" s="120" t="inlineStr"/>
      <s:c r="B18167" s="121" t="n"/>
      <s:c r="C18167" s="121" t="n"/>
      <s:c r="D18167" s="121" t="n"/>
      <s:c r="E18167" s="122" t="n"/>
    </s:row>
    <s:row r="18168" hidden="1" ht="1" customHeight="1">
      <s:c r="A18168" s="120" t="inlineStr"/>
      <s:c r="B18168" s="121" t="n"/>
      <s:c r="C18168" s="121" t="n"/>
      <s:c r="D18168" s="121" t="n"/>
      <s:c r="E18168" s="122" t="n"/>
    </s:row>
    <s:row r="18169" hidden="1" ht="1" customHeight="1">
      <s:c r="A18169" s="120" t="inlineStr"/>
      <s:c r="B18169" s="121" t="n"/>
      <s:c r="C18169" s="121" t="n"/>
      <s:c r="D18169" s="121" t="n"/>
      <s:c r="E18169" s="122" t="n"/>
    </s:row>
    <s:row r="18170" hidden="1" ht="1" customHeight="1">
      <s:c r="A18170" s="120" t="inlineStr"/>
      <s:c r="B18170" s="121" t="n"/>
      <s:c r="C18170" s="121" t="n"/>
      <s:c r="D18170" s="121" t="n"/>
      <s:c r="E18170" s="122" t="n"/>
    </s:row>
    <s:row r="18171" hidden="1" ht="1" customHeight="1">
      <s:c r="A18171" s="120" t="inlineStr"/>
      <s:c r="B18171" s="121" t="n"/>
      <s:c r="C18171" s="121" t="n"/>
      <s:c r="D18171" s="121" t="n"/>
      <s:c r="E18171" s="122" t="n"/>
    </s:row>
    <s:row r="18172" hidden="1" ht="1" customHeight="1">
      <s:c r="A18172" s="120" t="inlineStr"/>
      <s:c r="B18172" s="121" t="n"/>
      <s:c r="C18172" s="121" t="n"/>
      <s:c r="D18172" s="121" t="n"/>
      <s:c r="E18172" s="122" t="n"/>
    </s:row>
    <s:row r="18173" hidden="1" ht="1" customHeight="1">
      <s:c r="A18173" s="120" t="inlineStr"/>
      <s:c r="B18173" s="121" t="n"/>
      <s:c r="C18173" s="121" t="n"/>
      <s:c r="D18173" s="121" t="n"/>
      <s:c r="E18173" s="122" t="n"/>
    </s:row>
    <s:row r="18174" hidden="1" ht="1" customHeight="1">
      <s:c r="A18174" s="120" t="inlineStr"/>
      <s:c r="B18174" s="121" t="n"/>
      <s:c r="C18174" s="121" t="n"/>
      <s:c r="D18174" s="121" t="n"/>
      <s:c r="E18174" s="122" t="n"/>
    </s:row>
    <s:row r="18175" hidden="1" ht="1" customHeight="1">
      <s:c r="A18175" s="120" t="inlineStr"/>
      <s:c r="B18175" s="121" t="n"/>
      <s:c r="C18175" s="121" t="n"/>
      <s:c r="D18175" s="121" t="n"/>
      <s:c r="E18175" s="122" t="n"/>
    </s:row>
    <s:row r="18176" hidden="1" ht="1" customHeight="1">
      <s:c r="A18176" s="120" t="inlineStr"/>
      <s:c r="B18176" s="121" t="n"/>
      <s:c r="C18176" s="121" t="n"/>
      <s:c r="D18176" s="121" t="n"/>
      <s:c r="E18176" s="122" t="n"/>
    </s:row>
    <s:row r="18177" hidden="1" ht="1" customHeight="1">
      <s:c r="A18177" s="120" t="inlineStr"/>
      <s:c r="B18177" s="121" t="n"/>
      <s:c r="C18177" s="121" t="n"/>
      <s:c r="D18177" s="121" t="n"/>
      <s:c r="E18177" s="122" t="n"/>
    </s:row>
    <s:row r="18178" hidden="1" ht="1" customHeight="1">
      <s:c r="A18178" s="120" t="inlineStr"/>
      <s:c r="B18178" s="121" t="n"/>
      <s:c r="C18178" s="121" t="n"/>
      <s:c r="D18178" s="121" t="n"/>
      <s:c r="E18178" s="122" t="n"/>
    </s:row>
    <s:row r="18179" hidden="1" ht="1" customHeight="1">
      <s:c r="A18179" s="120" t="inlineStr"/>
      <s:c r="B18179" s="121" t="n"/>
      <s:c r="C18179" s="121" t="n"/>
      <s:c r="D18179" s="121" t="n"/>
      <s:c r="E18179" s="122" t="n"/>
    </s:row>
    <s:row r="18180" hidden="1" ht="1" customHeight="1">
      <s:c r="A18180" s="120" t="inlineStr"/>
      <s:c r="B18180" s="121" t="n"/>
      <s:c r="C18180" s="121" t="n"/>
      <s:c r="D18180" s="121" t="n"/>
      <s:c r="E18180" s="122" t="n"/>
    </s:row>
    <s:row r="18181" hidden="1" ht="1" customHeight="1">
      <s:c r="A18181" s="120" t="inlineStr"/>
      <s:c r="B18181" s="121" t="n"/>
      <s:c r="C18181" s="121" t="n"/>
      <s:c r="D18181" s="121" t="n"/>
      <s:c r="E18181" s="122" t="n"/>
    </s:row>
    <s:row r="18182" hidden="1" ht="1" customHeight="1">
      <s:c r="A18182" s="120" t="inlineStr"/>
      <s:c r="B18182" s="121" t="n"/>
      <s:c r="C18182" s="121" t="n"/>
      <s:c r="D18182" s="121" t="n"/>
      <s:c r="E18182" s="122" t="n"/>
    </s:row>
    <s:row r="18183" hidden="1" ht="1" customHeight="1">
      <s:c r="A18183" s="120" t="inlineStr"/>
      <s:c r="B18183" s="121" t="n"/>
      <s:c r="C18183" s="121" t="n"/>
      <s:c r="D18183" s="121" t="n"/>
      <s:c r="E18183" s="122" t="n"/>
    </s:row>
    <s:row r="18184" hidden="1" ht="1" customHeight="1">
      <s:c r="A18184" s="120" t="inlineStr"/>
      <s:c r="B18184" s="121" t="n"/>
      <s:c r="C18184" s="121" t="n"/>
      <s:c r="D18184" s="121" t="n"/>
      <s:c r="E18184" s="122" t="n"/>
    </s:row>
    <s:row r="18185" hidden="1" ht="1" customHeight="1">
      <s:c r="A18185" s="120" t="inlineStr"/>
      <s:c r="B18185" s="121" t="n"/>
      <s:c r="C18185" s="121" t="n"/>
      <s:c r="D18185" s="121" t="n"/>
      <s:c r="E18185" s="122" t="n"/>
    </s:row>
    <s:row r="18186" hidden="1" ht="1" customHeight="1">
      <s:c r="A18186" s="120" t="inlineStr"/>
      <s:c r="B18186" s="121" t="n"/>
      <s:c r="C18186" s="121" t="n"/>
      <s:c r="D18186" s="121" t="n"/>
      <s:c r="E18186" s="122" t="n"/>
    </s:row>
    <s:row r="18187" hidden="1" ht="1" customHeight="1">
      <s:c r="A18187" s="120" t="inlineStr"/>
      <s:c r="B18187" s="121" t="n"/>
      <s:c r="C18187" s="121" t="n"/>
      <s:c r="D18187" s="121" t="n"/>
      <s:c r="E18187" s="122" t="n"/>
    </s:row>
    <s:row r="18188" hidden="1" ht="1" customHeight="1">
      <s:c r="A18188" s="120" t="inlineStr"/>
      <s:c r="B18188" s="121" t="n"/>
      <s:c r="C18188" s="121" t="n"/>
      <s:c r="D18188" s="121" t="n"/>
      <s:c r="E18188" s="122" t="n"/>
    </s:row>
    <s:row r="18189" hidden="1" ht="1" customHeight="1">
      <s:c r="A18189" s="120" t="inlineStr"/>
      <s:c r="B18189" s="121" t="n"/>
      <s:c r="C18189" s="121" t="n"/>
      <s:c r="D18189" s="121" t="n"/>
      <s:c r="E18189" s="122" t="n"/>
    </s:row>
    <s:row r="18190" hidden="1" ht="1" customHeight="1">
      <s:c r="A18190" s="120" t="inlineStr"/>
      <s:c r="B18190" s="121" t="n"/>
      <s:c r="C18190" s="121" t="n"/>
      <s:c r="D18190" s="121" t="n"/>
      <s:c r="E18190" s="122" t="n"/>
    </s:row>
    <s:row r="18191" hidden="1" ht="1" customHeight="1">
      <s:c r="A18191" s="120" t="inlineStr"/>
      <s:c r="B18191" s="121" t="n"/>
      <s:c r="C18191" s="121" t="n"/>
      <s:c r="D18191" s="121" t="n"/>
      <s:c r="E18191" s="122" t="n"/>
    </s:row>
    <s:row r="18192" hidden="1" ht="1" customHeight="1">
      <s:c r="A18192" s="120" t="inlineStr"/>
      <s:c r="B18192" s="121" t="n"/>
      <s:c r="C18192" s="121" t="n"/>
      <s:c r="D18192" s="121" t="n"/>
      <s:c r="E18192" s="122" t="n"/>
    </s:row>
    <s:row r="18193" hidden="1" ht="1" customHeight="1">
      <s:c r="A18193" s="120" t="inlineStr"/>
      <s:c r="B18193" s="121" t="n"/>
      <s:c r="C18193" s="121" t="n"/>
      <s:c r="D18193" s="121" t="n"/>
      <s:c r="E18193" s="122" t="n"/>
    </s:row>
    <s:row r="18194" hidden="1" ht="1" customHeight="1">
      <s:c r="A18194" s="120" t="inlineStr"/>
      <s:c r="B18194" s="121" t="n"/>
      <s:c r="C18194" s="121" t="n"/>
      <s:c r="D18194" s="121" t="n"/>
      <s:c r="E18194" s="122" t="n"/>
    </s:row>
    <s:row r="18195" hidden="1" ht="1" customHeight="1">
      <s:c r="A18195" s="120" t="inlineStr"/>
      <s:c r="B18195" s="121" t="n"/>
      <s:c r="C18195" s="121" t="n"/>
      <s:c r="D18195" s="121" t="n"/>
      <s:c r="E18195" s="122" t="n"/>
    </s:row>
    <s:row r="18196" hidden="1" ht="1" customHeight="1">
      <s:c r="A18196" s="120" t="inlineStr"/>
      <s:c r="B18196" s="121" t="n"/>
      <s:c r="C18196" s="121" t="n"/>
      <s:c r="D18196" s="121" t="n"/>
      <s:c r="E18196" s="122" t="n"/>
    </s:row>
    <s:row r="18197" hidden="1" ht="1" customHeight="1">
      <s:c r="A18197" s="120" t="inlineStr"/>
      <s:c r="B18197" s="121" t="n"/>
      <s:c r="C18197" s="121" t="n"/>
      <s:c r="D18197" s="121" t="n"/>
      <s:c r="E18197" s="122" t="n"/>
    </s:row>
    <s:row r="18198" hidden="1" ht="1" customHeight="1">
      <s:c r="A18198" s="120" t="inlineStr"/>
      <s:c r="B18198" s="121" t="n"/>
      <s:c r="C18198" s="121" t="n"/>
      <s:c r="D18198" s="121" t="n"/>
      <s:c r="E18198" s="122" t="n"/>
    </s:row>
    <s:row r="18199" hidden="1" ht="1" customHeight="1">
      <s:c r="A18199" s="120" t="inlineStr"/>
      <s:c r="B18199" s="121" t="n"/>
      <s:c r="C18199" s="121" t="n"/>
      <s:c r="D18199" s="121" t="n"/>
      <s:c r="E18199" s="122" t="n"/>
    </s:row>
    <s:row r="18200" hidden="1" ht="1" customHeight="1">
      <s:c r="A18200" s="120" t="inlineStr"/>
      <s:c r="B18200" s="121" t="n"/>
      <s:c r="C18200" s="121" t="n"/>
      <s:c r="D18200" s="121" t="n"/>
      <s:c r="E18200" s="122" t="n"/>
    </s:row>
    <s:row r="18201" hidden="1" ht="1" customHeight="1">
      <s:c r="A18201" s="120" t="inlineStr"/>
      <s:c r="B18201" s="121" t="n"/>
      <s:c r="C18201" s="121" t="n"/>
      <s:c r="D18201" s="121" t="n"/>
      <s:c r="E18201" s="122" t="n"/>
    </s:row>
    <s:row r="18202" hidden="1" ht="1" customHeight="1">
      <s:c r="A18202" s="120" t="inlineStr"/>
      <s:c r="B18202" s="121" t="n"/>
      <s:c r="C18202" s="121" t="n"/>
      <s:c r="D18202" s="121" t="n"/>
      <s:c r="E18202" s="122" t="n"/>
    </s:row>
    <s:row r="18203" hidden="1" ht="1" customHeight="1">
      <s:c r="A18203" s="120" t="inlineStr"/>
      <s:c r="B18203" s="121" t="n"/>
      <s:c r="C18203" s="121" t="n"/>
      <s:c r="D18203" s="121" t="n"/>
      <s:c r="E18203" s="122" t="n"/>
    </s:row>
    <s:row r="18204" hidden="1" ht="1" customHeight="1">
      <s:c r="A18204" s="120" t="inlineStr"/>
      <s:c r="B18204" s="121" t="n"/>
      <s:c r="C18204" s="121" t="n"/>
      <s:c r="D18204" s="121" t="n"/>
      <s:c r="E18204" s="122" t="n"/>
    </s:row>
    <s:row r="18205" hidden="1" ht="1" customHeight="1">
      <s:c r="A18205" s="120" t="inlineStr"/>
      <s:c r="B18205" s="121" t="n"/>
      <s:c r="C18205" s="121" t="n"/>
      <s:c r="D18205" s="121" t="n"/>
      <s:c r="E18205" s="122" t="n"/>
    </s:row>
    <s:row r="18206" hidden="1" ht="1" customHeight="1">
      <s:c r="A18206" s="120" t="inlineStr"/>
      <s:c r="B18206" s="121" t="n"/>
      <s:c r="C18206" s="121" t="n"/>
      <s:c r="D18206" s="121" t="n"/>
      <s:c r="E18206" s="122" t="n"/>
    </s:row>
    <s:row r="18207" hidden="1" ht="1" customHeight="1">
      <s:c r="A18207" s="120" t="inlineStr"/>
      <s:c r="B18207" s="121" t="n"/>
      <s:c r="C18207" s="121" t="n"/>
      <s:c r="D18207" s="121" t="n"/>
      <s:c r="E18207" s="122" t="n"/>
    </s:row>
    <s:row r="18208" hidden="1" ht="1" customHeight="1">
      <s:c r="A18208" s="120" t="inlineStr"/>
      <s:c r="B18208" s="121" t="n"/>
      <s:c r="C18208" s="121" t="n"/>
      <s:c r="D18208" s="121" t="n"/>
      <s:c r="E18208" s="122" t="n"/>
    </s:row>
    <s:row r="18209" hidden="1" ht="1" customHeight="1">
      <s:c r="A18209" s="120" t="inlineStr"/>
      <s:c r="B18209" s="121" t="n"/>
      <s:c r="C18209" s="121" t="n"/>
      <s:c r="D18209" s="121" t="n"/>
      <s:c r="E18209" s="122" t="n"/>
    </s:row>
    <s:row r="18210" hidden="1" ht="1" customHeight="1">
      <s:c r="A18210" s="120" t="inlineStr"/>
      <s:c r="B18210" s="121" t="n"/>
      <s:c r="C18210" s="121" t="n"/>
      <s:c r="D18210" s="121" t="n"/>
      <s:c r="E18210" s="122" t="n"/>
    </s:row>
    <s:row r="18211" hidden="1" ht="1" customHeight="1">
      <s:c r="A18211" s="120" t="inlineStr"/>
      <s:c r="B18211" s="121" t="n"/>
      <s:c r="C18211" s="121" t="n"/>
      <s:c r="D18211" s="121" t="n"/>
      <s:c r="E18211" s="122" t="n"/>
    </s:row>
    <s:row r="18212" hidden="1" ht="1" customHeight="1">
      <s:c r="A18212" s="120" t="inlineStr"/>
      <s:c r="B18212" s="121" t="n"/>
      <s:c r="C18212" s="121" t="n"/>
      <s:c r="D18212" s="121" t="n"/>
      <s:c r="E18212" s="122" t="n"/>
    </s:row>
    <s:row r="18213" hidden="1" ht="1" customHeight="1">
      <s:c r="A18213" s="120" t="inlineStr"/>
      <s:c r="B18213" s="121" t="n"/>
      <s:c r="C18213" s="121" t="n"/>
      <s:c r="D18213" s="121" t="n"/>
      <s:c r="E18213" s="122" t="n"/>
    </s:row>
    <s:row r="18214" hidden="1" ht="1" customHeight="1">
      <s:c r="A18214" s="120" t="inlineStr"/>
      <s:c r="B18214" s="121" t="n"/>
      <s:c r="C18214" s="121" t="n"/>
      <s:c r="D18214" s="121" t="n"/>
      <s:c r="E18214" s="122" t="n"/>
    </s:row>
    <s:row r="18215" hidden="1" ht="1" customHeight="1">
      <s:c r="A18215" s="120" t="inlineStr"/>
      <s:c r="B18215" s="121" t="n"/>
      <s:c r="C18215" s="121" t="n"/>
      <s:c r="D18215" s="121" t="n"/>
      <s:c r="E18215" s="122" t="n"/>
    </s:row>
    <s:row r="18216" hidden="1" ht="1" customHeight="1">
      <s:c r="A18216" s="120" t="inlineStr"/>
      <s:c r="B18216" s="121" t="n"/>
      <s:c r="C18216" s="121" t="n"/>
      <s:c r="D18216" s="121" t="n"/>
      <s:c r="E18216" s="122" t="n"/>
    </s:row>
    <s:row r="18217" hidden="1" ht="1" customHeight="1">
      <s:c r="A18217" s="120" t="inlineStr"/>
      <s:c r="B18217" s="121" t="n"/>
      <s:c r="C18217" s="121" t="n"/>
      <s:c r="D18217" s="121" t="n"/>
      <s:c r="E18217" s="122" t="n"/>
    </s:row>
    <s:row r="18218" hidden="1" ht="1" customHeight="1">
      <s:c r="A18218" s="120" t="inlineStr"/>
      <s:c r="B18218" s="121" t="n"/>
      <s:c r="C18218" s="121" t="n"/>
      <s:c r="D18218" s="121" t="n"/>
      <s:c r="E18218" s="122" t="n"/>
    </s:row>
    <s:row r="18219" hidden="1" ht="1" customHeight="1">
      <s:c r="A18219" s="120" t="inlineStr"/>
      <s:c r="B18219" s="121" t="n"/>
      <s:c r="C18219" s="121" t="n"/>
      <s:c r="D18219" s="121" t="n"/>
      <s:c r="E18219" s="122" t="n"/>
    </s:row>
    <s:row r="18220" hidden="1" ht="1" customHeight="1">
      <s:c r="A18220" s="120" t="inlineStr"/>
      <s:c r="B18220" s="121" t="n"/>
      <s:c r="C18220" s="121" t="n"/>
      <s:c r="D18220" s="121" t="n"/>
      <s:c r="E18220" s="122" t="n"/>
    </s:row>
    <s:row r="18221" hidden="1" ht="1" customHeight="1">
      <s:c r="A18221" s="120" t="inlineStr"/>
      <s:c r="B18221" s="121" t="n"/>
      <s:c r="C18221" s="121" t="n"/>
      <s:c r="D18221" s="121" t="n"/>
      <s:c r="E18221" s="122" t="n"/>
    </s:row>
    <s:row r="18222" hidden="1" ht="1" customHeight="1">
      <s:c r="A18222" s="120" t="inlineStr"/>
      <s:c r="B18222" s="121" t="n"/>
      <s:c r="C18222" s="121" t="n"/>
      <s:c r="D18222" s="121" t="n"/>
      <s:c r="E18222" s="122" t="n"/>
    </s:row>
    <s:row r="18223" hidden="1" ht="1" customHeight="1">
      <s:c r="A18223" s="120" t="inlineStr"/>
      <s:c r="B18223" s="121" t="n"/>
      <s:c r="C18223" s="121" t="n"/>
      <s:c r="D18223" s="121" t="n"/>
      <s:c r="E18223" s="122" t="n"/>
    </s:row>
    <s:row r="18224" hidden="1" ht="1" customHeight="1">
      <s:c r="A18224" s="120" t="inlineStr"/>
      <s:c r="B18224" s="121" t="n"/>
      <s:c r="C18224" s="121" t="n"/>
      <s:c r="D18224" s="121" t="n"/>
      <s:c r="E18224" s="122" t="n"/>
    </s:row>
    <s:row r="18225" hidden="1" ht="1" customHeight="1">
      <s:c r="A18225" s="120" t="inlineStr"/>
      <s:c r="B18225" s="121" t="n"/>
      <s:c r="C18225" s="121" t="n"/>
      <s:c r="D18225" s="121" t="n"/>
      <s:c r="E18225" s="122" t="n"/>
    </s:row>
    <s:row r="18226" hidden="1" ht="1" customHeight="1">
      <s:c r="A18226" s="120" t="inlineStr"/>
      <s:c r="B18226" s="121" t="n"/>
      <s:c r="C18226" s="121" t="n"/>
      <s:c r="D18226" s="121" t="n"/>
      <s:c r="E18226" s="122" t="n"/>
    </s:row>
    <s:row r="18227" hidden="1" ht="1" customHeight="1">
      <s:c r="A18227" s="120" t="inlineStr"/>
      <s:c r="B18227" s="121" t="n"/>
      <s:c r="C18227" s="121" t="n"/>
      <s:c r="D18227" s="121" t="n"/>
      <s:c r="E18227" s="122" t="n"/>
    </s:row>
    <s:row r="18228" hidden="1" ht="1" customHeight="1">
      <s:c r="A18228" s="120" t="inlineStr"/>
      <s:c r="B18228" s="121" t="n"/>
      <s:c r="C18228" s="121" t="n"/>
      <s:c r="D18228" s="121" t="n"/>
      <s:c r="E18228" s="122" t="n"/>
    </s:row>
    <s:row r="18229" hidden="1" ht="1" customHeight="1">
      <s:c r="A18229" s="120" t="inlineStr"/>
      <s:c r="B18229" s="121" t="n"/>
      <s:c r="C18229" s="121" t="n"/>
      <s:c r="D18229" s="121" t="n"/>
      <s:c r="E18229" s="122" t="n"/>
    </s:row>
    <s:row r="18230" hidden="1" ht="1" customHeight="1">
      <s:c r="A18230" s="120" t="inlineStr"/>
      <s:c r="B18230" s="121" t="n"/>
      <s:c r="C18230" s="121" t="n"/>
      <s:c r="D18230" s="121" t="n"/>
      <s:c r="E18230" s="122" t="n"/>
    </s:row>
    <s:row r="18231" hidden="1" ht="1" customHeight="1">
      <s:c r="A18231" s="120" t="inlineStr"/>
      <s:c r="B18231" s="121" t="n"/>
      <s:c r="C18231" s="121" t="n"/>
      <s:c r="D18231" s="121" t="n"/>
      <s:c r="E18231" s="122" t="n"/>
    </s:row>
    <s:row r="18232" hidden="1" ht="1" customHeight="1">
      <s:c r="A18232" s="120" t="inlineStr"/>
      <s:c r="B18232" s="121" t="n"/>
      <s:c r="C18232" s="121" t="n"/>
      <s:c r="D18232" s="121" t="n"/>
      <s:c r="E18232" s="122" t="n"/>
    </s:row>
    <s:row r="18233" hidden="1" ht="1" customHeight="1">
      <s:c r="A18233" s="120" t="inlineStr"/>
      <s:c r="B18233" s="121" t="n"/>
      <s:c r="C18233" s="121" t="n"/>
      <s:c r="D18233" s="121" t="n"/>
      <s:c r="E18233" s="122" t="n"/>
    </s:row>
    <s:row r="18234" hidden="1" ht="1" customHeight="1">
      <s:c r="A18234" s="120" t="inlineStr"/>
      <s:c r="B18234" s="121" t="n"/>
      <s:c r="C18234" s="121" t="n"/>
      <s:c r="D18234" s="121" t="n"/>
      <s:c r="E18234" s="122" t="n"/>
    </s:row>
    <s:row r="18235" hidden="1" ht="1" customHeight="1">
      <s:c r="A18235" s="120" t="inlineStr"/>
      <s:c r="B18235" s="121" t="n"/>
      <s:c r="C18235" s="121" t="n"/>
      <s:c r="D18235" s="121" t="n"/>
      <s:c r="E18235" s="122" t="n"/>
    </s:row>
    <s:row r="18236" hidden="1" ht="1" customHeight="1">
      <s:c r="A18236" s="120" t="inlineStr"/>
      <s:c r="B18236" s="121" t="n"/>
      <s:c r="C18236" s="121" t="n"/>
      <s:c r="D18236" s="121" t="n"/>
      <s:c r="E18236" s="122" t="n"/>
    </s:row>
    <s:row r="18237" hidden="1" ht="1" customHeight="1">
      <s:c r="A18237" s="120" t="inlineStr"/>
      <s:c r="B18237" s="121" t="n"/>
      <s:c r="C18237" s="121" t="n"/>
      <s:c r="D18237" s="121" t="n"/>
      <s:c r="E18237" s="122" t="n"/>
    </s:row>
    <s:row r="18238" hidden="1" ht="1" customHeight="1">
      <s:c r="A18238" s="120" t="inlineStr"/>
      <s:c r="B18238" s="121" t="n"/>
      <s:c r="C18238" s="121" t="n"/>
      <s:c r="D18238" s="121" t="n"/>
      <s:c r="E18238" s="122" t="n"/>
    </s:row>
    <s:row r="18239" hidden="1" ht="1" customHeight="1">
      <s:c r="A18239" s="120" t="inlineStr"/>
      <s:c r="B18239" s="121" t="n"/>
      <s:c r="C18239" s="121" t="n"/>
      <s:c r="D18239" s="121" t="n"/>
      <s:c r="E18239" s="122" t="n"/>
    </s:row>
    <s:row r="18240" hidden="1" ht="1" customHeight="1">
      <s:c r="A18240" s="83" t="inlineStr">
        <s:is>
          <s:t>PASS</s:t>
        </s:is>
      </s:c>
      <s:c r="B18240" s="83">
        <s:f>SUM(IF(EXACT('Kiểm thử'!E18040,"Đạt"),1,0),IF(EXACT('Kiểm thử'!E18042,"Đạt"),1,0),IF(EXACT('Kiểm thử'!E18044,"Đạt"),1,0),IF(EXACT('Kiểm thử'!E18046,"Đạt"),1,0))</s:f>
        <s:v/>
      </s:c>
      <s:c r="C18240" s="19" t="n"/>
      <s:c r="D18240" s="19" t="n"/>
      <s:c r="E18240" s="19" t="n"/>
    </s:row>
    <s:row r="18241" hidden="1" ht="1" customHeight="1">
      <s:c r="A18241" s="83" t="inlineStr">
        <s:is>
          <s:t>FAIL</s:t>
        </s:is>
      </s:c>
      <s:c r="B18241" s="83">
        <s:f>SUM(IF(EXACT('Kiểm thử'!E18040,"Không đạt"),1,0),IF(EXACT('Kiểm thử'!E18042,"Không đạt"),1,0),IF(EXACT('Kiểm thử'!E18044,"Không đạt"),1,0),IF(EXACT('Kiểm thử'!E18046,"Không đạt"),1,0))</s:f>
        <s:v/>
      </s:c>
      <s:c r="C18241" s="19" t="n"/>
      <s:c r="D18241" s="19" t="n"/>
      <s:c r="E18241" s="19" t="n"/>
    </s:row>
    <s:row r="18242" hidden="1" ht="1" customHeight="1">
      <s:c r="A18242" s="83" t="inlineStr">
        <s:is>
          <s:t>BLOCKED</s:t>
        </s:is>
      </s:c>
      <s:c r="B18242" s="83">
        <s:f>SUM(IF(EXACT('Kiểm thử'!E18040,"Bị chặn"),1,0),IF(EXACT('Kiểm thử'!E18042,"Bị chặn"),1,0),IF(EXACT('Kiểm thử'!E18044,"Bị chặn"),1,0),IF(EXACT('Kiểm thử'!E18046,"Bị chặn"),1,0))</s:f>
        <s:v/>
      </s:c>
      <s:c r="C18242" s="19" t="n"/>
      <s:c r="D18242" s="19" t="n"/>
      <s:c r="E18242" s="19" t="n"/>
    </s:row>
    <s:row r="18243" hidden="1" ht="1" customHeight="1">
      <s:c r="A18243" s="83" t="inlineStr">
        <s:is>
          <s:t>SKIPPED</s:t>
        </s:is>
      </s:c>
      <s:c r="B18243" s="83">
        <s:f>SUM(IF(EXACT('Kiểm thử'!E18040,"Không thực hiện"),1,0),IF(EXACT('Kiểm thử'!E18042,"Không thực hiện"),1,0),IF(EXACT('Kiểm thử'!E18044,"Không thực hiện"),1,0),IF(EXACT('Kiểm thử'!E18046,"Không thực hiện"),1,0))</s:f>
        <s:v/>
      </s:c>
      <s:c r="C18243" s="19" t="n"/>
      <s:c r="D18243" s="19" t="n"/>
      <s:c r="E18243" s="19" t="n"/>
    </s:row>
    <s:row r="18244" hidden="1" ht="1" customHeight="1">
      <s:c r="A18244" s="83" t="inlineStr">
        <s:is>
          <s:t>NOT RUN</s:t>
        </s:is>
      </s:c>
      <s:c r="B18244" s="83">
        <s:f>SUM(IF(EXACT('Kiểm thử'!E18040,"Chưa thực hiện"),1,0),IF(EXACT('Kiểm thử'!E18042,"Chưa thực hiện"),1,0),IF(EXACT('Kiểm thử'!E18044,"Chưa thực hiện"),1,0),IF(EXACT('Kiểm thử'!E18046,"Chưa thực hiện"),1,0))</s:f>
        <s:v/>
      </s:c>
      <s:c r="C18244" s="19" t="n"/>
      <s:c r="D18244" s="19" t="n"/>
      <s:c r="E18244" s="19" t="n"/>
    </s:row>
    <s:row r="18245" hidden="1" ht="6" customHeight="1">
      <s:c r="A18245" s="83" t="inlineStr"/>
      <s:c r="B18245" s="19" t="n"/>
      <s:c r="C18245" s="19" t="n"/>
      <s:c r="D18245" s="19" t="n"/>
      <s:c r="E18245" s="19" t="n"/>
    </s:row>
    <s:row r="18246" ht="34" customHeight="1">
      <s:c r="A18246" s="108" t="inlineStr">
        <s:is>
          <s:t>TC-RS-UI-022 — Công khai: dòng cách hiển thị đỏ theo mục có thiết lập, kể cả khi 0 học sinh đỏ hoặc vừa xóa thiết lập cuối</s:t>
        </s:is>
      </s:c>
      <s:c r="B18246" s="111" t="n"/>
      <s:c r="C18246" s="111" t="n"/>
      <s:c r="D18246" s="111" t="n"/>
      <s:c r="E18246" s="111" t="n"/>
    </s:row>
    <s:row r="18247" ht="20" customHeight="1">
      <s:c r="A18247" s="112" t="inlineStr">
        <s:is>
          <s:t>Kết quả tình huống</s:t>
        </s:is>
      </s:c>
      <s:c r="B18247" s="113">
        <s:f>IF(SUM(IF(EXACT('Kiểm thử'!E18256,"Không đạt"),1,0))&gt;0,"Không đạt",IF(SUM(IF(EXACT('Kiểm thử'!E18256,"Đạt"),1,0))=1,"Đạt",IF(SUM(IF(EXACT('Kiểm thử'!E18256,"Không thực hiện"),1,0))=1,"Không thực hiện",IF(SUM(IF(EXACT('Kiểm thử'!E18256,"Bị chặn"),1,0))&gt;0,"Bị chặn",IF(SUM(IF(EXACT('Kiểm thử'!E18256,"Chưa thực hiện"),1,0))=1,"Chưa thực hiện","Đang thực hiện")))))</s:f>
        <s:v/>
      </s:c>
      <s:c r="C18247" s="114" t="n"/>
      <s:c r="D18247" s="114" t="n"/>
      <s:c r="E18247" s="114" t="n"/>
    </s:row>
    <s:row r="18248" ht="20" customHeight="1">
      <s:c r="A18248" s="112" t="inlineStr">
        <s:is>
          <s:t>Màn hình / chức năng</s:t>
        </s:is>
      </s:c>
      <s:c r="B18248" s="113" t="inlineStr">
        <s:is>
          <s:r>
            <s:rPr>
              <s:b val="1"/>
            </s:rPr>
            <s:t>Công khai thành tích（成績公開）</s:t>
          </s:r>
        </s:is>
      </s:c>
      <s:c r="C18248" s="28" t="n"/>
      <s:c r="D18248" s="28" t="n"/>
      <s:c r="E18248" s="28" t="n"/>
    </s:row>
    <s:row r="18249" ht="48" customHeight="1">
      <s:c r="A18249" s="112" t="inlineStr">
        <s:is>
          <s:t>Cấu hình</s:t>
        </s:is>
      </s:c>
      <s:c r="B18249" s="113" t="inlineStr">
        <s:is>
          <s:r>
            <s:t>• Mục số nguyên (</s:t>
          </s:r>
          <s:r>
            <s:rPr>
              <s:b val="1"/>
            </s:rPr>
            <s:t>M=100</s:t>
          </s:r>
          <s:r>
            <s:t xml:space="preserve">) có quy tắc nhưng không ô nào đỏ;
• Mục Tri </s:t>
          </s:r>
          <s:r>
            <s:rPr>
              <s:b val="1"/>
            </s:rPr>
            <s:t>thức – kỹ năng（知識・技能）</s:t>
          </s:r>
          <s:r>
            <s:t xml:space="preserve"> chưa từng có quy tắc và chưa từng đặt cách hiển thị đỏ. tài khoản phụ trách đầu ra (trích xuất, công khai, phiếu điểm).</s:t>
          </s:r>
        </s:is>
      </s:c>
      <s:c r="C18249" s="28" t="n"/>
      <s:c r="D18249" s="28" t="n"/>
      <s:c r="E18249" s="28" t="n"/>
    </s:row>
    <s:row r="18250" ht="34" customHeight="1">
      <s:c r="A18250" s="112" t="inlineStr">
        <s:is>
          <s:t>Dữ liệu test</s:t>
        </s:is>
      </s:c>
      <s:c r="B18250" s="113" t="inlineStr">
        <s:is>
          <s:r>
            <s:t>• Mục số nguyên (</s:t>
          </s:r>
          <s:r>
            <s:rPr>
              <s:b val="1"/>
            </s:rPr>
            <s:t>M=100</s:t>
          </s:r>
          <s:r>
            <s:t>);
• Quy tắc “Cố định 30” (dưới 30)</s:t>
          </s:r>
        </s:is>
      </s:c>
      <s:c r="C18250" s="28" t="n"/>
      <s:c r="D18250" s="28" t="n"/>
      <s:c r="E18250" s="28" t="n"/>
    </s:row>
    <s:row r="18251" ht="20" customHeight="1">
      <s:c r="A18251" s="112" t="inlineStr">
        <s:is>
          <s:t>Bước 1</s:t>
        </s:is>
      </s:c>
      <s:c r="B18251" s="113" t="inlineStr">
        <s:is>
          <s:r>
            <s:t xml:space="preserve">Mở Thiết lập </s:t>
          </s:r>
          <s:r>
            <s:rPr>
              <s:b val="1"/>
            </s:rPr>
            <s:t>công khai thành tích（成績公開設定）</s:t>
          </s:r>
          <s:r>
            <s:rPr>
              <s:b val="1"/>
            </s:rPr>
            <s:t>→ khung Thành tích（成績）</s:t>
          </s:r>
          <s:r>
            <s:t>.</s:t>
          </s:r>
        </s:is>
      </s:c>
      <s:c r="C18251" s="28" t="n"/>
      <s:c r="D18251" s="28" t="n"/>
      <s:c r="E18251" s="28" t="n"/>
    </s:row>
    <s:row r="18252" ht="20" customHeight="1">
      <s:c r="A18252" s="112" t="inlineStr">
        <s:is>
          <s:t>Bước 2</s:t>
        </s:is>
      </s:c>
      <s:c r="B18252" s="113" t="inlineStr">
        <s:is>
          <s:r>
            <s:t xml:space="preserve">Ở dòng </s:t>
          </s:r>
          <s:r>
            <s:rPr>
              <s:b val="1"/>
            </s:rPr>
            <s:t>của Điểm đánh giá（評点）</s:t>
          </s:r>
          <s:r>
            <s:t xml:space="preserve">, chọn [*] phía trước, </s:t>
          </s:r>
          <s:r>
            <s:rPr>
              <s:b val="1"/>
            </s:rPr>
            <s:t>bấm Đăng ký（登録する）</s:t>
          </s:r>
          <s:r>
            <s:t>.</s:t>
          </s:r>
        </s:is>
      </s:c>
      <s:c r="C18252" s="28" t="n"/>
      <s:c r="D18252" s="28" t="n"/>
      <s:c r="E18252" s="28" t="n"/>
    </s:row>
    <s:row r="18253" ht="34" customHeight="1">
      <s:c r="A18253" s="112" t="inlineStr">
        <s:is>
          <s:t>Bước 3</s:t>
        </s:is>
      </s:c>
      <s:c r="B18253" s="113" t="inlineStr">
        <s:is>
          <s:r>
            <s:t>Xóa quy tắc cuối của mục số nguyên (</s:t>
          </s:r>
          <s:r>
            <s:rPr>
              <s:b val="1"/>
            </s:rPr>
            <s:t>M=100</s:t>
          </s:r>
          <s:r>
            <s:t xml:space="preserve">) (chỉ còn quy tắc “Cố định 30” (dưới 30) thì xóa quy tắc “Cố định 30” (dưới 30)), không chạy lại; mở </s:t>
          </s:r>
          <s:r>
            <s:rPr>
              <s:b val="1"/>
            </s:rPr>
            <s:t>lại khung Thành tích（成績）</s:t>
          </s:r>
          <s:r>
            <s:t>.</s:t>
          </s:r>
        </s:is>
      </s:c>
      <s:c r="C18253" s="28" t="n"/>
      <s:c r="D18253" s="28" t="n"/>
      <s:c r="E18253" s="28" t="n"/>
    </s:row>
    <s:row r="18254" ht="28" customHeight="1">
      <s:c r="A18254" s="115" t="inlineStr">
        <s:is>
          <s:t>Trường hợp</s:t>
        </s:is>
      </s:c>
      <s:c r="B18254" s="115" t="inlineStr">
        <s:is>
          <s:t>Dữ liệu / thao tác riêng</s:t>
        </s:is>
      </s:c>
      <s:c r="C18254" s="115" t="inlineStr">
        <s:is>
          <s:t>Kết quả mong đợi</s:t>
        </s:is>
      </s:c>
      <s:c r="D18254" s="115" t="inlineStr">
        <s:is>
          <s:t>Kết quả thực tế</s:t>
        </s:is>
      </s:c>
      <s:c r="E18254" s="115" t="inlineStr">
        <s:is>
          <s:t>Đánh giá</s:t>
        </s:is>
      </s:c>
    </s:row>
    <s:row r="18255" ht="3" customHeight="1">
      <s:c r="A18255" s="102" t="inlineStr"/>
      <s:c r="B18255" s="99" t="n"/>
      <s:c r="C18255" s="99" t="n"/>
      <s:c r="D18255" s="116" t="n"/>
      <s:c r="E18255" s="116" t="n"/>
    </s:row>
    <s:row r="18256" ht="118" customHeight="1">
      <s:c r="A18256" s="83" t="inlineStr">
        <s:is>
          <s:t>Trường hợp cơ bản (Base)</s:t>
        </s:is>
      </s:c>
      <s:c r="B18256" s="83" t="inlineStr">
        <s:is>
          <s:t>Toàn bộ tình huống: Thực hiện đủ các bước chung theo thứ tự; kiểm cả đối tượng đích và đối chứng cùng fixture, không bỏ bước.</s:t>
        </s:is>
      </s:c>
      <s:c r="C18256" s="83" t="inlineStr">
        <s:is>
          <s:r>
            <s:t xml:space="preserve">1. </s:t>
          </s:r>
          <s:r>
            <s:rPr>
              <s:b val="1"/>
            </s:rPr>
            <s:t>Mục Điểm đánh giá（評点）</s:t>
          </s:r>
          <s:r>
            <s:t xml:space="preserve"> có dòng cách hiển thị đỏ dù 0 học sinh đỏ; mục Tri </s:t>
          </s:r>
          <s:r>
            <s:rPr>
              <s:b val="1"/>
            </s:rPr>
            <s:t>thức – kỹ năng（知識・技能）</s:t>
          </s:r>
          <s:r>
            <s:t xml:space="preserve"> không có dòng.
2. Lưu được; mở lại vẫn là [*] phía trước.
3. Dòng </s:t>
          </s:r>
          <s:r>
            <s:rPr>
              <s:b val="1"/>
            </s:rPr>
            <s:t>của Điểm đánh giá（評点）</s:t>
          </s:r>
          <s:r>
            <s:t xml:space="preserve"> vẫn hiện với lựa chọn [*] phía trước đã lưu; cấu hình trình bày không bị xóa theo thao tác xóa quy tắc.</s:t>
          </s:r>
        </s:is>
      </s:c>
      <s:c r="D18256" s="117" t="inlineStr"/>
      <s:c r="E18256" s="118" t="inlineStr">
        <s:is>
          <s:t>Chưa thực hiện</s:t>
        </s:is>
      </s:c>
    </s:row>
    <s:row r="18257" ht="20" customHeight="1">
      <s:c r="A18257" s="119" t="inlineStr">
        <s:is>
          <s:t>Ảnh minh chứng — Chưa có ảnh</s:t>
        </s:is>
      </s:c>
      <s:c r="B18257" s="19" t="n"/>
      <s:c r="C18257" s="19" t="n"/>
      <s:c r="D18257" s="19" t="n"/>
      <s:c r="E18257" s="19" t="n"/>
    </s:row>
    <s:row r="18258" hidden="1" ht="1" customHeight="1">
      <s:c r="A18258" s="120" t="inlineStr"/>
      <s:c r="B18258" s="121" t="n"/>
      <s:c r="C18258" s="121" t="n"/>
      <s:c r="D18258" s="121" t="n"/>
      <s:c r="E18258" s="122" t="n"/>
    </s:row>
    <s:row r="18259" hidden="1" ht="1" customHeight="1">
      <s:c r="A18259" s="120" t="inlineStr"/>
      <s:c r="B18259" s="121" t="n"/>
      <s:c r="C18259" s="121" t="n"/>
      <s:c r="D18259" s="121" t="n"/>
      <s:c r="E18259" s="122" t="n"/>
    </s:row>
    <s:row r="18260" hidden="1" ht="1" customHeight="1">
      <s:c r="A18260" s="120" t="inlineStr"/>
      <s:c r="B18260" s="121" t="n"/>
      <s:c r="C18260" s="121" t="n"/>
      <s:c r="D18260" s="121" t="n"/>
      <s:c r="E18260" s="122" t="n"/>
    </s:row>
    <s:row r="18261" hidden="1" ht="1" customHeight="1">
      <s:c r="A18261" s="120" t="inlineStr"/>
      <s:c r="B18261" s="121" t="n"/>
      <s:c r="C18261" s="121" t="n"/>
      <s:c r="D18261" s="121" t="n"/>
      <s:c r="E18261" s="122" t="n"/>
    </s:row>
    <s:row r="18262" hidden="1" ht="1" customHeight="1">
      <s:c r="A18262" s="120" t="inlineStr"/>
      <s:c r="B18262" s="121" t="n"/>
      <s:c r="C18262" s="121" t="n"/>
      <s:c r="D18262" s="121" t="n"/>
      <s:c r="E18262" s="122" t="n"/>
    </s:row>
    <s:row r="18263" hidden="1" ht="1" customHeight="1">
      <s:c r="A18263" s="120" t="inlineStr"/>
      <s:c r="B18263" s="121" t="n"/>
      <s:c r="C18263" s="121" t="n"/>
      <s:c r="D18263" s="121" t="n"/>
      <s:c r="E18263" s="122" t="n"/>
    </s:row>
    <s:row r="18264" hidden="1" ht="1" customHeight="1">
      <s:c r="A18264" s="120" t="inlineStr"/>
      <s:c r="B18264" s="121" t="n"/>
      <s:c r="C18264" s="121" t="n"/>
      <s:c r="D18264" s="121" t="n"/>
      <s:c r="E18264" s="122" t="n"/>
    </s:row>
    <s:row r="18265" hidden="1" ht="1" customHeight="1">
      <s:c r="A18265" s="120" t="inlineStr"/>
      <s:c r="B18265" s="121" t="n"/>
      <s:c r="C18265" s="121" t="n"/>
      <s:c r="D18265" s="121" t="n"/>
      <s:c r="E18265" s="122" t="n"/>
    </s:row>
    <s:row r="18266" hidden="1" ht="1" customHeight="1">
      <s:c r="A18266" s="120" t="inlineStr"/>
      <s:c r="B18266" s="121" t="n"/>
      <s:c r="C18266" s="121" t="n"/>
      <s:c r="D18266" s="121" t="n"/>
      <s:c r="E18266" s="122" t="n"/>
    </s:row>
    <s:row r="18267" hidden="1" ht="1" customHeight="1">
      <s:c r="A18267" s="120" t="inlineStr"/>
      <s:c r="B18267" s="121" t="n"/>
      <s:c r="C18267" s="121" t="n"/>
      <s:c r="D18267" s="121" t="n"/>
      <s:c r="E18267" s="122" t="n"/>
    </s:row>
    <s:row r="18268" hidden="1" ht="1" customHeight="1">
      <s:c r="A18268" s="120" t="inlineStr"/>
      <s:c r="B18268" s="121" t="n"/>
      <s:c r="C18268" s="121" t="n"/>
      <s:c r="D18268" s="121" t="n"/>
      <s:c r="E18268" s="122" t="n"/>
    </s:row>
    <s:row r="18269" hidden="1" ht="1" customHeight="1">
      <s:c r="A18269" s="120" t="inlineStr"/>
      <s:c r="B18269" s="121" t="n"/>
      <s:c r="C18269" s="121" t="n"/>
      <s:c r="D18269" s="121" t="n"/>
      <s:c r="E18269" s="122" t="n"/>
    </s:row>
    <s:row r="18270" hidden="1" ht="1" customHeight="1">
      <s:c r="A18270" s="120" t="inlineStr"/>
      <s:c r="B18270" s="121" t="n"/>
      <s:c r="C18270" s="121" t="n"/>
      <s:c r="D18270" s="121" t="n"/>
      <s:c r="E18270" s="122" t="n"/>
    </s:row>
    <s:row r="18271" hidden="1" ht="1" customHeight="1">
      <s:c r="A18271" s="120" t="inlineStr"/>
      <s:c r="B18271" s="121" t="n"/>
      <s:c r="C18271" s="121" t="n"/>
      <s:c r="D18271" s="121" t="n"/>
      <s:c r="E18271" s="122" t="n"/>
    </s:row>
    <s:row r="18272" hidden="1" ht="1" customHeight="1">
      <s:c r="A18272" s="120" t="inlineStr"/>
      <s:c r="B18272" s="121" t="n"/>
      <s:c r="C18272" s="121" t="n"/>
      <s:c r="D18272" s="121" t="n"/>
      <s:c r="E18272" s="122" t="n"/>
    </s:row>
    <s:row r="18273" hidden="1" ht="1" customHeight="1">
      <s:c r="A18273" s="120" t="inlineStr"/>
      <s:c r="B18273" s="121" t="n"/>
      <s:c r="C18273" s="121" t="n"/>
      <s:c r="D18273" s="121" t="n"/>
      <s:c r="E18273" s="122" t="n"/>
    </s:row>
    <s:row r="18274" hidden="1" ht="1" customHeight="1">
      <s:c r="A18274" s="120" t="inlineStr"/>
      <s:c r="B18274" s="121" t="n"/>
      <s:c r="C18274" s="121" t="n"/>
      <s:c r="D18274" s="121" t="n"/>
      <s:c r="E18274" s="122" t="n"/>
    </s:row>
    <s:row r="18275" hidden="1" ht="1" customHeight="1">
      <s:c r="A18275" s="120" t="inlineStr"/>
      <s:c r="B18275" s="121" t="n"/>
      <s:c r="C18275" s="121" t="n"/>
      <s:c r="D18275" s="121" t="n"/>
      <s:c r="E18275" s="122" t="n"/>
    </s:row>
    <s:row r="18276" hidden="1" ht="1" customHeight="1">
      <s:c r="A18276" s="120" t="inlineStr"/>
      <s:c r="B18276" s="121" t="n"/>
      <s:c r="C18276" s="121" t="n"/>
      <s:c r="D18276" s="121" t="n"/>
      <s:c r="E18276" s="122" t="n"/>
    </s:row>
    <s:row r="18277" hidden="1" ht="1" customHeight="1">
      <s:c r="A18277" s="120" t="inlineStr"/>
      <s:c r="B18277" s="121" t="n"/>
      <s:c r="C18277" s="121" t="n"/>
      <s:c r="D18277" s="121" t="n"/>
      <s:c r="E18277" s="122" t="n"/>
    </s:row>
    <s:row r="18278" hidden="1" ht="1" customHeight="1">
      <s:c r="A18278" s="120" t="inlineStr"/>
      <s:c r="B18278" s="121" t="n"/>
      <s:c r="C18278" s="121" t="n"/>
      <s:c r="D18278" s="121" t="n"/>
      <s:c r="E18278" s="122" t="n"/>
    </s:row>
    <s:row r="18279" hidden="1" ht="1" customHeight="1">
      <s:c r="A18279" s="120" t="inlineStr"/>
      <s:c r="B18279" s="121" t="n"/>
      <s:c r="C18279" s="121" t="n"/>
      <s:c r="D18279" s="121" t="n"/>
      <s:c r="E18279" s="122" t="n"/>
    </s:row>
    <s:row r="18280" hidden="1" ht="1" customHeight="1">
      <s:c r="A18280" s="120" t="inlineStr"/>
      <s:c r="B18280" s="121" t="n"/>
      <s:c r="C18280" s="121" t="n"/>
      <s:c r="D18280" s="121" t="n"/>
      <s:c r="E18280" s="122" t="n"/>
    </s:row>
    <s:row r="18281" hidden="1" ht="1" customHeight="1">
      <s:c r="A18281" s="120" t="inlineStr"/>
      <s:c r="B18281" s="121" t="n"/>
      <s:c r="C18281" s="121" t="n"/>
      <s:c r="D18281" s="121" t="n"/>
      <s:c r="E18281" s="122" t="n"/>
    </s:row>
    <s:row r="18282" hidden="1" ht="1" customHeight="1">
      <s:c r="A18282" s="120" t="inlineStr"/>
      <s:c r="B18282" s="121" t="n"/>
      <s:c r="C18282" s="121" t="n"/>
      <s:c r="D18282" s="121" t="n"/>
      <s:c r="E18282" s="122" t="n"/>
    </s:row>
    <s:row r="18283" hidden="1" ht="1" customHeight="1">
      <s:c r="A18283" s="120" t="inlineStr"/>
      <s:c r="B18283" s="121" t="n"/>
      <s:c r="C18283" s="121" t="n"/>
      <s:c r="D18283" s="121" t="n"/>
      <s:c r="E18283" s="122" t="n"/>
    </s:row>
    <s:row r="18284" hidden="1" ht="1" customHeight="1">
      <s:c r="A18284" s="120" t="inlineStr"/>
      <s:c r="B18284" s="121" t="n"/>
      <s:c r="C18284" s="121" t="n"/>
      <s:c r="D18284" s="121" t="n"/>
      <s:c r="E18284" s="122" t="n"/>
    </s:row>
    <s:row r="18285" hidden="1" ht="1" customHeight="1">
      <s:c r="A18285" s="120" t="inlineStr"/>
      <s:c r="B18285" s="121" t="n"/>
      <s:c r="C18285" s="121" t="n"/>
      <s:c r="D18285" s="121" t="n"/>
      <s:c r="E18285" s="122" t="n"/>
    </s:row>
    <s:row r="18286" hidden="1" ht="1" customHeight="1">
      <s:c r="A18286" s="120" t="inlineStr"/>
      <s:c r="B18286" s="121" t="n"/>
      <s:c r="C18286" s="121" t="n"/>
      <s:c r="D18286" s="121" t="n"/>
      <s:c r="E18286" s="122" t="n"/>
    </s:row>
    <s:row r="18287" hidden="1" ht="1" customHeight="1">
      <s:c r="A18287" s="120" t="inlineStr"/>
      <s:c r="B18287" s="121" t="n"/>
      <s:c r="C18287" s="121" t="n"/>
      <s:c r="D18287" s="121" t="n"/>
      <s:c r="E18287" s="122" t="n"/>
    </s:row>
    <s:row r="18288" hidden="1" ht="1" customHeight="1">
      <s:c r="A18288" s="120" t="inlineStr"/>
      <s:c r="B18288" s="121" t="n"/>
      <s:c r="C18288" s="121" t="n"/>
      <s:c r="D18288" s="121" t="n"/>
      <s:c r="E18288" s="122" t="n"/>
    </s:row>
    <s:row r="18289" hidden="1" ht="1" customHeight="1">
      <s:c r="A18289" s="120" t="inlineStr"/>
      <s:c r="B18289" s="121" t="n"/>
      <s:c r="C18289" s="121" t="n"/>
      <s:c r="D18289" s="121" t="n"/>
      <s:c r="E18289" s="122" t="n"/>
    </s:row>
    <s:row r="18290" hidden="1" ht="1" customHeight="1">
      <s:c r="A18290" s="120" t="inlineStr"/>
      <s:c r="B18290" s="121" t="n"/>
      <s:c r="C18290" s="121" t="n"/>
      <s:c r="D18290" s="121" t="n"/>
      <s:c r="E18290" s="122" t="n"/>
    </s:row>
    <s:row r="18291" hidden="1" ht="1" customHeight="1">
      <s:c r="A18291" s="120" t="inlineStr"/>
      <s:c r="B18291" s="121" t="n"/>
      <s:c r="C18291" s="121" t="n"/>
      <s:c r="D18291" s="121" t="n"/>
      <s:c r="E18291" s="122" t="n"/>
    </s:row>
    <s:row r="18292" hidden="1" ht="1" customHeight="1">
      <s:c r="A18292" s="120" t="inlineStr"/>
      <s:c r="B18292" s="121" t="n"/>
      <s:c r="C18292" s="121" t="n"/>
      <s:c r="D18292" s="121" t="n"/>
      <s:c r="E18292" s="122" t="n"/>
    </s:row>
    <s:row r="18293" hidden="1" ht="1" customHeight="1">
      <s:c r="A18293" s="120" t="inlineStr"/>
      <s:c r="B18293" s="121" t="n"/>
      <s:c r="C18293" s="121" t="n"/>
      <s:c r="D18293" s="121" t="n"/>
      <s:c r="E18293" s="122" t="n"/>
    </s:row>
    <s:row r="18294" hidden="1" ht="1" customHeight="1">
      <s:c r="A18294" s="120" t="inlineStr"/>
      <s:c r="B18294" s="121" t="n"/>
      <s:c r="C18294" s="121" t="n"/>
      <s:c r="D18294" s="121" t="n"/>
      <s:c r="E18294" s="122" t="n"/>
    </s:row>
    <s:row r="18295" hidden="1" ht="1" customHeight="1">
      <s:c r="A18295" s="120" t="inlineStr"/>
      <s:c r="B18295" s="121" t="n"/>
      <s:c r="C18295" s="121" t="n"/>
      <s:c r="D18295" s="121" t="n"/>
      <s:c r="E18295" s="122" t="n"/>
    </s:row>
    <s:row r="18296" hidden="1" ht="1" customHeight="1">
      <s:c r="A18296" s="120" t="inlineStr"/>
      <s:c r="B18296" s="121" t="n"/>
      <s:c r="C18296" s="121" t="n"/>
      <s:c r="D18296" s="121" t="n"/>
      <s:c r="E18296" s="122" t="n"/>
    </s:row>
    <s:row r="18297" hidden="1" ht="1" customHeight="1">
      <s:c r="A18297" s="120" t="inlineStr"/>
      <s:c r="B18297" s="121" t="n"/>
      <s:c r="C18297" s="121" t="n"/>
      <s:c r="D18297" s="121" t="n"/>
      <s:c r="E18297" s="122" t="n"/>
    </s:row>
    <s:row r="18298" hidden="1" ht="1" customHeight="1">
      <s:c r="A18298" s="120" t="inlineStr"/>
      <s:c r="B18298" s="121" t="n"/>
      <s:c r="C18298" s="121" t="n"/>
      <s:c r="D18298" s="121" t="n"/>
      <s:c r="E18298" s="122" t="n"/>
    </s:row>
    <s:row r="18299" hidden="1" ht="1" customHeight="1">
      <s:c r="A18299" s="120" t="inlineStr"/>
      <s:c r="B18299" s="121" t="n"/>
      <s:c r="C18299" s="121" t="n"/>
      <s:c r="D18299" s="121" t="n"/>
      <s:c r="E18299" s="122" t="n"/>
    </s:row>
    <s:row r="18300" hidden="1" ht="1" customHeight="1">
      <s:c r="A18300" s="120" t="inlineStr"/>
      <s:c r="B18300" s="121" t="n"/>
      <s:c r="C18300" s="121" t="n"/>
      <s:c r="D18300" s="121" t="n"/>
      <s:c r="E18300" s="122" t="n"/>
    </s:row>
    <s:row r="18301" hidden="1" ht="1" customHeight="1">
      <s:c r="A18301" s="120" t="inlineStr"/>
      <s:c r="B18301" s="121" t="n"/>
      <s:c r="C18301" s="121" t="n"/>
      <s:c r="D18301" s="121" t="n"/>
      <s:c r="E18301" s="122" t="n"/>
    </s:row>
    <s:row r="18302" hidden="1" ht="1" customHeight="1">
      <s:c r="A18302" s="120" t="inlineStr"/>
      <s:c r="B18302" s="121" t="n"/>
      <s:c r="C18302" s="121" t="n"/>
      <s:c r="D18302" s="121" t="n"/>
      <s:c r="E18302" s="122" t="n"/>
    </s:row>
    <s:row r="18303" hidden="1" ht="1" customHeight="1">
      <s:c r="A18303" s="120" t="inlineStr"/>
      <s:c r="B18303" s="121" t="n"/>
      <s:c r="C18303" s="121" t="n"/>
      <s:c r="D18303" s="121" t="n"/>
      <s:c r="E18303" s="122" t="n"/>
    </s:row>
    <s:row r="18304" hidden="1" ht="1" customHeight="1">
      <s:c r="A18304" s="120" t="inlineStr"/>
      <s:c r="B18304" s="121" t="n"/>
      <s:c r="C18304" s="121" t="n"/>
      <s:c r="D18304" s="121" t="n"/>
      <s:c r="E18304" s="122" t="n"/>
    </s:row>
    <s:row r="18305" hidden="1" ht="1" customHeight="1">
      <s:c r="A18305" s="120" t="inlineStr"/>
      <s:c r="B18305" s="121" t="n"/>
      <s:c r="C18305" s="121" t="n"/>
      <s:c r="D18305" s="121" t="n"/>
      <s:c r="E18305" s="122" t="n"/>
    </s:row>
    <s:row r="18306" hidden="1" ht="1" customHeight="1">
      <s:c r="A18306" s="83" t="inlineStr">
        <s:is>
          <s:t>PASS</s:t>
        </s:is>
      </s:c>
      <s:c r="B18306" s="83">
        <s:f>SUM(IF(EXACT('Kiểm thử'!E18256,"Đạt"),1,0))</s:f>
        <s:v/>
      </s:c>
      <s:c r="C18306" s="19" t="n"/>
      <s:c r="D18306" s="19" t="n"/>
      <s:c r="E18306" s="19" t="n"/>
    </s:row>
    <s:row r="18307" hidden="1" ht="1" customHeight="1">
      <s:c r="A18307" s="83" t="inlineStr">
        <s:is>
          <s:t>FAIL</s:t>
        </s:is>
      </s:c>
      <s:c r="B18307" s="83">
        <s:f>SUM(IF(EXACT('Kiểm thử'!E18256,"Không đạt"),1,0))</s:f>
        <s:v/>
      </s:c>
      <s:c r="C18307" s="19" t="n"/>
      <s:c r="D18307" s="19" t="n"/>
      <s:c r="E18307" s="19" t="n"/>
    </s:row>
    <s:row r="18308" hidden="1" ht="1" customHeight="1">
      <s:c r="A18308" s="83" t="inlineStr">
        <s:is>
          <s:t>BLOCKED</s:t>
        </s:is>
      </s:c>
      <s:c r="B18308" s="83">
        <s:f>SUM(IF(EXACT('Kiểm thử'!E18256,"Bị chặn"),1,0))</s:f>
        <s:v/>
      </s:c>
      <s:c r="C18308" s="19" t="n"/>
      <s:c r="D18308" s="19" t="n"/>
      <s:c r="E18308" s="19" t="n"/>
    </s:row>
    <s:row r="18309" hidden="1" ht="1" customHeight="1">
      <s:c r="A18309" s="83" t="inlineStr">
        <s:is>
          <s:t>SKIPPED</s:t>
        </s:is>
      </s:c>
      <s:c r="B18309" s="83">
        <s:f>SUM(IF(EXACT('Kiểm thử'!E18256,"Không thực hiện"),1,0))</s:f>
        <s:v/>
      </s:c>
      <s:c r="C18309" s="19" t="n"/>
      <s:c r="D18309" s="19" t="n"/>
      <s:c r="E18309" s="19" t="n"/>
    </s:row>
    <s:row r="18310" hidden="1" ht="1" customHeight="1">
      <s:c r="A18310" s="83" t="inlineStr">
        <s:is>
          <s:t>NOT RUN</s:t>
        </s:is>
      </s:c>
      <s:c r="B18310" s="83">
        <s:f>SUM(IF(EXACT('Kiểm thử'!E18256,"Chưa thực hiện"),1,0))</s:f>
        <s:v/>
      </s:c>
      <s:c r="C18310" s="19" t="n"/>
      <s:c r="D18310" s="19" t="n"/>
      <s:c r="E18310" s="19" t="n"/>
    </s:row>
    <s:row r="18311" hidden="1" ht="6" customHeight="1">
      <s:c r="A18311" s="83" t="inlineStr"/>
      <s:c r="B18311" s="19" t="n"/>
      <s:c r="C18311" s="19" t="n"/>
      <s:c r="D18311" s="19" t="n"/>
      <s:c r="E18311" s="19" t="n"/>
    </s:row>
    <s:row r="18312" ht="28" customHeight="1">
      <s:c r="A18312" s="108" t="inlineStr">
        <s:is>
          <s:t>TC-RS-UI-023 — Công khai: danh sách tùy chọn hiển thị đỏ</s:t>
        </s:is>
      </s:c>
      <s:c r="B18312" s="111" t="n"/>
      <s:c r="C18312" s="111" t="n"/>
      <s:c r="D18312" s="111" t="n"/>
      <s:c r="E18312" s="111" t="n"/>
    </s:row>
    <s:row r="18313" ht="20" customHeight="1">
      <s:c r="A18313" s="112" t="inlineStr">
        <s:is>
          <s:t>Kết quả tình huống</s:t>
        </s:is>
      </s:c>
      <s:c r="B18313" s="113">
        <s:f>IF(SUM(IF(EXACT('Kiểm thử'!E18320,"Không đạt"),1,0))&gt;0,"Không đạt",IF(SUM(IF(EXACT('Kiểm thử'!E18320,"Đạt"),1,0))=1,"Đạt",IF(SUM(IF(EXACT('Kiểm thử'!E18320,"Không thực hiện"),1,0))=1,"Không thực hiện",IF(SUM(IF(EXACT('Kiểm thử'!E18320,"Bị chặn"),1,0))&gt;0,"Bị chặn",IF(SUM(IF(EXACT('Kiểm thử'!E18320,"Chưa thực hiện"),1,0))=1,"Chưa thực hiện","Đang thực hiện")))))</s:f>
        <s:v/>
      </s:c>
      <s:c r="C18313" s="114" t="n"/>
      <s:c r="D18313" s="114" t="n"/>
      <s:c r="E18313" s="114" t="n"/>
    </s:row>
    <s:row r="18314" ht="20" customHeight="1">
      <s:c r="A18314" s="112" t="inlineStr">
        <s:is>
          <s:t>Màn hình / chức năng</s:t>
        </s:is>
      </s:c>
      <s:c r="B18314" s="113" t="inlineStr">
        <s:is>
          <s:r>
            <s:rPr>
              <s:b val="1"/>
            </s:rPr>
            <s:t>Công khai thành tích（成績公開）</s:t>
          </s:r>
        </s:is>
      </s:c>
      <s:c r="C18314" s="28" t="n"/>
      <s:c r="D18314" s="28" t="n"/>
      <s:c r="E18314" s="28" t="n"/>
    </s:row>
    <s:row r="18315" ht="20" customHeight="1">
      <s:c r="A18315" s="112" t="inlineStr">
        <s:is>
          <s:t>Cấu hình</s:t>
        </s:is>
      </s:c>
      <s:c r="B18315" s="113" t="inlineStr">
        <s:is>
          <s:t>• Như UI-022.</s:t>
        </s:is>
      </s:c>
      <s:c r="C18315" s="28" t="n"/>
      <s:c r="D18315" s="28" t="n"/>
      <s:c r="E18315" s="28" t="n"/>
    </s:row>
    <s:row r="18316" ht="20" customHeight="1">
      <s:c r="A18316" s="112" t="inlineStr">
        <s:is>
          <s:t>Dữ liệu test</s:t>
        </s:is>
      </s:c>
      <s:c r="B18316" s="113" t="inlineStr">
        <s:is>
          <s:t>• —</s:t>
        </s:is>
      </s:c>
      <s:c r="C18316" s="28" t="n"/>
      <s:c r="D18316" s="28" t="n"/>
      <s:c r="E18316" s="28" t="n"/>
    </s:row>
    <s:row r="18317" ht="20" customHeight="1">
      <s:c r="A18317" s="112" t="inlineStr">
        <s:is>
          <s:t>•</s:t>
        </s:is>
      </s:c>
      <s:c r="B18317" s="113" t="inlineStr">
        <s:is>
          <s:t>Mở danh sách chọn của dòng đỏ.</s:t>
        </s:is>
      </s:c>
      <s:c r="C18317" s="28" t="n"/>
      <s:c r="D18317" s="28" t="n"/>
      <s:c r="E18317" s="28" t="n"/>
    </s:row>
    <s:row r="18318" ht="28" customHeight="1">
      <s:c r="A18318" s="115" t="inlineStr">
        <s:is>
          <s:t>Trường hợp</s:t>
        </s:is>
      </s:c>
      <s:c r="B18318" s="115" t="inlineStr">
        <s:is>
          <s:t>Dữ liệu / thao tác riêng</s:t>
        </s:is>
      </s:c>
      <s:c r="C18318" s="115" t="inlineStr">
        <s:is>
          <s:t>Kết quả mong đợi</s:t>
        </s:is>
      </s:c>
      <s:c r="D18318" s="115" t="inlineStr">
        <s:is>
          <s:t>Kết quả thực tế</s:t>
        </s:is>
      </s:c>
      <s:c r="E18318" s="115" t="inlineStr">
        <s:is>
          <s:t>Đánh giá</s:t>
        </s:is>
      </s:c>
    </s:row>
    <s:row r="18319" ht="3" customHeight="1">
      <s:c r="A18319" s="102" t="inlineStr"/>
      <s:c r="B18319" s="99" t="n"/>
      <s:c r="C18319" s="99" t="n"/>
      <s:c r="D18319" s="116" t="n"/>
      <s:c r="E18319" s="116" t="n"/>
    </s:row>
    <s:row r="18320" ht="104" customHeight="1">
      <s:c r="A18320" s="83" t="inlineStr">
        <s:is>
          <s:t>Trường hợp cơ bản (Base)</s:t>
        </s:is>
      </s:c>
      <s:c r="B18320" s="83" t="inlineStr">
        <s:is>
          <s:t>Toàn bộ tình huống: Thực hiện đủ các bước chung theo thứ tự; kiểm cả đối tượng đích và đối chứng cùng fixture, không bỏ bước.</s:t>
        </s:is>
      </s:c>
      <s:c r="C18320" s="83" t="inlineStr">
        <s:is>
          <s:r>
            <s:t xml:space="preserve">Theo specification v2 mục 10.1 và Q&amp;A Q16, danh sách chỉ có Kèm ngoặc, [*] phía trước và [*] phía sau; không có ô chữ tự do và không có màu nền riêng. Không đưa </s:t>
          </s:r>
          <s:r>
            <s:rPr>
              <s:b val="1"/>
            </s:rPr>
            <s:t>tùy chọn Nguyên trạng（そのまま表示）</s:t>
          </s:r>
          <s:r>
            <s:t xml:space="preserve"> vào oracle vì không thuộc danh sách đã chốt trong specification/Q&amp;A.</s:t>
          </s:r>
        </s:is>
      </s:c>
      <s:c r="D18320" s="117" t="inlineStr"/>
      <s:c r="E18320" s="118" t="inlineStr">
        <s:is>
          <s:t>Chưa thực hiện</s:t>
        </s:is>
      </s:c>
    </s:row>
    <s:row r="18321" ht="20" customHeight="1">
      <s:c r="A18321" s="119" t="inlineStr">
        <s:is>
          <s:t>Ảnh minh chứng — Chưa có ảnh</s:t>
        </s:is>
      </s:c>
      <s:c r="B18321" s="19" t="n"/>
      <s:c r="C18321" s="19" t="n"/>
      <s:c r="D18321" s="19" t="n"/>
      <s:c r="E18321" s="19" t="n"/>
    </s:row>
    <s:row r="18322" hidden="1" ht="1" customHeight="1">
      <s:c r="A18322" s="120" t="inlineStr"/>
      <s:c r="B18322" s="121" t="n"/>
      <s:c r="C18322" s="121" t="n"/>
      <s:c r="D18322" s="121" t="n"/>
      <s:c r="E18322" s="122" t="n"/>
    </s:row>
    <s:row r="18323" hidden="1" ht="1" customHeight="1">
      <s:c r="A18323" s="120" t="inlineStr"/>
      <s:c r="B18323" s="121" t="n"/>
      <s:c r="C18323" s="121" t="n"/>
      <s:c r="D18323" s="121" t="n"/>
      <s:c r="E18323" s="122" t="n"/>
    </s:row>
    <s:row r="18324" hidden="1" ht="1" customHeight="1">
      <s:c r="A18324" s="120" t="inlineStr"/>
      <s:c r="B18324" s="121" t="n"/>
      <s:c r="C18324" s="121" t="n"/>
      <s:c r="D18324" s="121" t="n"/>
      <s:c r="E18324" s="122" t="n"/>
    </s:row>
    <s:row r="18325" hidden="1" ht="1" customHeight="1">
      <s:c r="A18325" s="120" t="inlineStr"/>
      <s:c r="B18325" s="121" t="n"/>
      <s:c r="C18325" s="121" t="n"/>
      <s:c r="D18325" s="121" t="n"/>
      <s:c r="E18325" s="122" t="n"/>
    </s:row>
    <s:row r="18326" hidden="1" ht="1" customHeight="1">
      <s:c r="A18326" s="120" t="inlineStr"/>
      <s:c r="B18326" s="121" t="n"/>
      <s:c r="C18326" s="121" t="n"/>
      <s:c r="D18326" s="121" t="n"/>
      <s:c r="E18326" s="122" t="n"/>
    </s:row>
    <s:row r="18327" hidden="1" ht="1" customHeight="1">
      <s:c r="A18327" s="120" t="inlineStr"/>
      <s:c r="B18327" s="121" t="n"/>
      <s:c r="C18327" s="121" t="n"/>
      <s:c r="D18327" s="121" t="n"/>
      <s:c r="E18327" s="122" t="n"/>
    </s:row>
    <s:row r="18328" hidden="1" ht="1" customHeight="1">
      <s:c r="A18328" s="120" t="inlineStr"/>
      <s:c r="B18328" s="121" t="n"/>
      <s:c r="C18328" s="121" t="n"/>
      <s:c r="D18328" s="121" t="n"/>
      <s:c r="E18328" s="122" t="n"/>
    </s:row>
    <s:row r="18329" hidden="1" ht="1" customHeight="1">
      <s:c r="A18329" s="120" t="inlineStr"/>
      <s:c r="B18329" s="121" t="n"/>
      <s:c r="C18329" s="121" t="n"/>
      <s:c r="D18329" s="121" t="n"/>
      <s:c r="E18329" s="122" t="n"/>
    </s:row>
    <s:row r="18330" hidden="1" ht="1" customHeight="1">
      <s:c r="A18330" s="120" t="inlineStr"/>
      <s:c r="B18330" s="121" t="n"/>
      <s:c r="C18330" s="121" t="n"/>
      <s:c r="D18330" s="121" t="n"/>
      <s:c r="E18330" s="122" t="n"/>
    </s:row>
    <s:row r="18331" hidden="1" ht="1" customHeight="1">
      <s:c r="A18331" s="120" t="inlineStr"/>
      <s:c r="B18331" s="121" t="n"/>
      <s:c r="C18331" s="121" t="n"/>
      <s:c r="D18331" s="121" t="n"/>
      <s:c r="E18331" s="122" t="n"/>
    </s:row>
    <s:row r="18332" hidden="1" ht="1" customHeight="1">
      <s:c r="A18332" s="120" t="inlineStr"/>
      <s:c r="B18332" s="121" t="n"/>
      <s:c r="C18332" s="121" t="n"/>
      <s:c r="D18332" s="121" t="n"/>
      <s:c r="E18332" s="122" t="n"/>
    </s:row>
    <s:row r="18333" hidden="1" ht="1" customHeight="1">
      <s:c r="A18333" s="120" t="inlineStr"/>
      <s:c r="B18333" s="121" t="n"/>
      <s:c r="C18333" s="121" t="n"/>
      <s:c r="D18333" s="121" t="n"/>
      <s:c r="E18333" s="122" t="n"/>
    </s:row>
    <s:row r="18334" hidden="1" ht="1" customHeight="1">
      <s:c r="A18334" s="120" t="inlineStr"/>
      <s:c r="B18334" s="121" t="n"/>
      <s:c r="C18334" s="121" t="n"/>
      <s:c r="D18334" s="121" t="n"/>
      <s:c r="E18334" s="122" t="n"/>
    </s:row>
    <s:row r="18335" hidden="1" ht="1" customHeight="1">
      <s:c r="A18335" s="120" t="inlineStr"/>
      <s:c r="B18335" s="121" t="n"/>
      <s:c r="C18335" s="121" t="n"/>
      <s:c r="D18335" s="121" t="n"/>
      <s:c r="E18335" s="122" t="n"/>
    </s:row>
    <s:row r="18336" hidden="1" ht="1" customHeight="1">
      <s:c r="A18336" s="120" t="inlineStr"/>
      <s:c r="B18336" s="121" t="n"/>
      <s:c r="C18336" s="121" t="n"/>
      <s:c r="D18336" s="121" t="n"/>
      <s:c r="E18336" s="122" t="n"/>
    </s:row>
    <s:row r="18337" hidden="1" ht="1" customHeight="1">
      <s:c r="A18337" s="120" t="inlineStr"/>
      <s:c r="B18337" s="121" t="n"/>
      <s:c r="C18337" s="121" t="n"/>
      <s:c r="D18337" s="121" t="n"/>
      <s:c r="E18337" s="122" t="n"/>
    </s:row>
    <s:row r="18338" hidden="1" ht="1" customHeight="1">
      <s:c r="A18338" s="120" t="inlineStr"/>
      <s:c r="B18338" s="121" t="n"/>
      <s:c r="C18338" s="121" t="n"/>
      <s:c r="D18338" s="121" t="n"/>
      <s:c r="E18338" s="122" t="n"/>
    </s:row>
    <s:row r="18339" hidden="1" ht="1" customHeight="1">
      <s:c r="A18339" s="120" t="inlineStr"/>
      <s:c r="B18339" s="121" t="n"/>
      <s:c r="C18339" s="121" t="n"/>
      <s:c r="D18339" s="121" t="n"/>
      <s:c r="E18339" s="122" t="n"/>
    </s:row>
    <s:row r="18340" hidden="1" ht="1" customHeight="1">
      <s:c r="A18340" s="120" t="inlineStr"/>
      <s:c r="B18340" s="121" t="n"/>
      <s:c r="C18340" s="121" t="n"/>
      <s:c r="D18340" s="121" t="n"/>
      <s:c r="E18340" s="122" t="n"/>
    </s:row>
    <s:row r="18341" hidden="1" ht="1" customHeight="1">
      <s:c r="A18341" s="120" t="inlineStr"/>
      <s:c r="B18341" s="121" t="n"/>
      <s:c r="C18341" s="121" t="n"/>
      <s:c r="D18341" s="121" t="n"/>
      <s:c r="E18341" s="122" t="n"/>
    </s:row>
    <s:row r="18342" hidden="1" ht="1" customHeight="1">
      <s:c r="A18342" s="120" t="inlineStr"/>
      <s:c r="B18342" s="121" t="n"/>
      <s:c r="C18342" s="121" t="n"/>
      <s:c r="D18342" s="121" t="n"/>
      <s:c r="E18342" s="122" t="n"/>
    </s:row>
    <s:row r="18343" hidden="1" ht="1" customHeight="1">
      <s:c r="A18343" s="120" t="inlineStr"/>
      <s:c r="B18343" s="121" t="n"/>
      <s:c r="C18343" s="121" t="n"/>
      <s:c r="D18343" s="121" t="n"/>
      <s:c r="E18343" s="122" t="n"/>
    </s:row>
    <s:row r="18344" hidden="1" ht="1" customHeight="1">
      <s:c r="A18344" s="120" t="inlineStr"/>
      <s:c r="B18344" s="121" t="n"/>
      <s:c r="C18344" s="121" t="n"/>
      <s:c r="D18344" s="121" t="n"/>
      <s:c r="E18344" s="122" t="n"/>
    </s:row>
    <s:row r="18345" hidden="1" ht="1" customHeight="1">
      <s:c r="A18345" s="120" t="inlineStr"/>
      <s:c r="B18345" s="121" t="n"/>
      <s:c r="C18345" s="121" t="n"/>
      <s:c r="D18345" s="121" t="n"/>
      <s:c r="E18345" s="122" t="n"/>
    </s:row>
    <s:row r="18346" hidden="1" ht="1" customHeight="1">
      <s:c r="A18346" s="120" t="inlineStr"/>
      <s:c r="B18346" s="121" t="n"/>
      <s:c r="C18346" s="121" t="n"/>
      <s:c r="D18346" s="121" t="n"/>
      <s:c r="E18346" s="122" t="n"/>
    </s:row>
    <s:row r="18347" hidden="1" ht="1" customHeight="1">
      <s:c r="A18347" s="120" t="inlineStr"/>
      <s:c r="B18347" s="121" t="n"/>
      <s:c r="C18347" s="121" t="n"/>
      <s:c r="D18347" s="121" t="n"/>
      <s:c r="E18347" s="122" t="n"/>
    </s:row>
    <s:row r="18348" hidden="1" ht="1" customHeight="1">
      <s:c r="A18348" s="120" t="inlineStr"/>
      <s:c r="B18348" s="121" t="n"/>
      <s:c r="C18348" s="121" t="n"/>
      <s:c r="D18348" s="121" t="n"/>
      <s:c r="E18348" s="122" t="n"/>
    </s:row>
    <s:row r="18349" hidden="1" ht="1" customHeight="1">
      <s:c r="A18349" s="120" t="inlineStr"/>
      <s:c r="B18349" s="121" t="n"/>
      <s:c r="C18349" s="121" t="n"/>
      <s:c r="D18349" s="121" t="n"/>
      <s:c r="E18349" s="122" t="n"/>
    </s:row>
    <s:row r="18350" hidden="1" ht="1" customHeight="1">
      <s:c r="A18350" s="120" t="inlineStr"/>
      <s:c r="B18350" s="121" t="n"/>
      <s:c r="C18350" s="121" t="n"/>
      <s:c r="D18350" s="121" t="n"/>
      <s:c r="E18350" s="122" t="n"/>
    </s:row>
    <s:row r="18351" hidden="1" ht="1" customHeight="1">
      <s:c r="A18351" s="120" t="inlineStr"/>
      <s:c r="B18351" s="121" t="n"/>
      <s:c r="C18351" s="121" t="n"/>
      <s:c r="D18351" s="121" t="n"/>
      <s:c r="E18351" s="122" t="n"/>
    </s:row>
    <s:row r="18352" hidden="1" ht="1" customHeight="1">
      <s:c r="A18352" s="120" t="inlineStr"/>
      <s:c r="B18352" s="121" t="n"/>
      <s:c r="C18352" s="121" t="n"/>
      <s:c r="D18352" s="121" t="n"/>
      <s:c r="E18352" s="122" t="n"/>
    </s:row>
    <s:row r="18353" hidden="1" ht="1" customHeight="1">
      <s:c r="A18353" s="120" t="inlineStr"/>
      <s:c r="B18353" s="121" t="n"/>
      <s:c r="C18353" s="121" t="n"/>
      <s:c r="D18353" s="121" t="n"/>
      <s:c r="E18353" s="122" t="n"/>
    </s:row>
    <s:row r="18354" hidden="1" ht="1" customHeight="1">
      <s:c r="A18354" s="120" t="inlineStr"/>
      <s:c r="B18354" s="121" t="n"/>
      <s:c r="C18354" s="121" t="n"/>
      <s:c r="D18354" s="121" t="n"/>
      <s:c r="E18354" s="122" t="n"/>
    </s:row>
    <s:row r="18355" hidden="1" ht="1" customHeight="1">
      <s:c r="A18355" s="120" t="inlineStr"/>
      <s:c r="B18355" s="121" t="n"/>
      <s:c r="C18355" s="121" t="n"/>
      <s:c r="D18355" s="121" t="n"/>
      <s:c r="E18355" s="122" t="n"/>
    </s:row>
    <s:row r="18356" hidden="1" ht="1" customHeight="1">
      <s:c r="A18356" s="120" t="inlineStr"/>
      <s:c r="B18356" s="121" t="n"/>
      <s:c r="C18356" s="121" t="n"/>
      <s:c r="D18356" s="121" t="n"/>
      <s:c r="E18356" s="122" t="n"/>
    </s:row>
    <s:row r="18357" hidden="1" ht="1" customHeight="1">
      <s:c r="A18357" s="120" t="inlineStr"/>
      <s:c r="B18357" s="121" t="n"/>
      <s:c r="C18357" s="121" t="n"/>
      <s:c r="D18357" s="121" t="n"/>
      <s:c r="E18357" s="122" t="n"/>
    </s:row>
    <s:row r="18358" hidden="1" ht="1" customHeight="1">
      <s:c r="A18358" s="120" t="inlineStr"/>
      <s:c r="B18358" s="121" t="n"/>
      <s:c r="C18358" s="121" t="n"/>
      <s:c r="D18358" s="121" t="n"/>
      <s:c r="E18358" s="122" t="n"/>
    </s:row>
    <s:row r="18359" hidden="1" ht="1" customHeight="1">
      <s:c r="A18359" s="120" t="inlineStr"/>
      <s:c r="B18359" s="121" t="n"/>
      <s:c r="C18359" s="121" t="n"/>
      <s:c r="D18359" s="121" t="n"/>
      <s:c r="E18359" s="122" t="n"/>
    </s:row>
    <s:row r="18360" hidden="1" ht="1" customHeight="1">
      <s:c r="A18360" s="120" t="inlineStr"/>
      <s:c r="B18360" s="121" t="n"/>
      <s:c r="C18360" s="121" t="n"/>
      <s:c r="D18360" s="121" t="n"/>
      <s:c r="E18360" s="122" t="n"/>
    </s:row>
    <s:row r="18361" hidden="1" ht="1" customHeight="1">
      <s:c r="A18361" s="120" t="inlineStr"/>
      <s:c r="B18361" s="121" t="n"/>
      <s:c r="C18361" s="121" t="n"/>
      <s:c r="D18361" s="121" t="n"/>
      <s:c r="E18361" s="122" t="n"/>
    </s:row>
    <s:row r="18362" hidden="1" ht="1" customHeight="1">
      <s:c r="A18362" s="120" t="inlineStr"/>
      <s:c r="B18362" s="121" t="n"/>
      <s:c r="C18362" s="121" t="n"/>
      <s:c r="D18362" s="121" t="n"/>
      <s:c r="E18362" s="122" t="n"/>
    </s:row>
    <s:row r="18363" hidden="1" ht="1" customHeight="1">
      <s:c r="A18363" s="120" t="inlineStr"/>
      <s:c r="B18363" s="121" t="n"/>
      <s:c r="C18363" s="121" t="n"/>
      <s:c r="D18363" s="121" t="n"/>
      <s:c r="E18363" s="122" t="n"/>
    </s:row>
    <s:row r="18364" hidden="1" ht="1" customHeight="1">
      <s:c r="A18364" s="120" t="inlineStr"/>
      <s:c r="B18364" s="121" t="n"/>
      <s:c r="C18364" s="121" t="n"/>
      <s:c r="D18364" s="121" t="n"/>
      <s:c r="E18364" s="122" t="n"/>
    </s:row>
    <s:row r="18365" hidden="1" ht="1" customHeight="1">
      <s:c r="A18365" s="120" t="inlineStr"/>
      <s:c r="B18365" s="121" t="n"/>
      <s:c r="C18365" s="121" t="n"/>
      <s:c r="D18365" s="121" t="n"/>
      <s:c r="E18365" s="122" t="n"/>
    </s:row>
    <s:row r="18366" hidden="1" ht="1" customHeight="1">
      <s:c r="A18366" s="120" t="inlineStr"/>
      <s:c r="B18366" s="121" t="n"/>
      <s:c r="C18366" s="121" t="n"/>
      <s:c r="D18366" s="121" t="n"/>
      <s:c r="E18366" s="122" t="n"/>
    </s:row>
    <s:row r="18367" hidden="1" ht="1" customHeight="1">
      <s:c r="A18367" s="120" t="inlineStr"/>
      <s:c r="B18367" s="121" t="n"/>
      <s:c r="C18367" s="121" t="n"/>
      <s:c r="D18367" s="121" t="n"/>
      <s:c r="E18367" s="122" t="n"/>
    </s:row>
    <s:row r="18368" hidden="1" ht="1" customHeight="1">
      <s:c r="A18368" s="120" t="inlineStr"/>
      <s:c r="B18368" s="121" t="n"/>
      <s:c r="C18368" s="121" t="n"/>
      <s:c r="D18368" s="121" t="n"/>
      <s:c r="E18368" s="122" t="n"/>
    </s:row>
    <s:row r="18369" hidden="1" ht="1" customHeight="1">
      <s:c r="A18369" s="120" t="inlineStr"/>
      <s:c r="B18369" s="121" t="n"/>
      <s:c r="C18369" s="121" t="n"/>
      <s:c r="D18369" s="121" t="n"/>
      <s:c r="E18369" s="122" t="n"/>
    </s:row>
    <s:row r="18370" hidden="1" ht="1" customHeight="1">
      <s:c r="A18370" s="83" t="inlineStr">
        <s:is>
          <s:t>PASS</s:t>
        </s:is>
      </s:c>
      <s:c r="B18370" s="83">
        <s:f>SUM(IF(EXACT('Kiểm thử'!E18320,"Đạt"),1,0))</s:f>
        <s:v/>
      </s:c>
      <s:c r="C18370" s="19" t="n"/>
      <s:c r="D18370" s="19" t="n"/>
      <s:c r="E18370" s="19" t="n"/>
    </s:row>
    <s:row r="18371" hidden="1" ht="1" customHeight="1">
      <s:c r="A18371" s="83" t="inlineStr">
        <s:is>
          <s:t>FAIL</s:t>
        </s:is>
      </s:c>
      <s:c r="B18371" s="83">
        <s:f>SUM(IF(EXACT('Kiểm thử'!E18320,"Không đạt"),1,0))</s:f>
        <s:v/>
      </s:c>
      <s:c r="C18371" s="19" t="n"/>
      <s:c r="D18371" s="19" t="n"/>
      <s:c r="E18371" s="19" t="n"/>
    </s:row>
    <s:row r="18372" hidden="1" ht="1" customHeight="1">
      <s:c r="A18372" s="83" t="inlineStr">
        <s:is>
          <s:t>BLOCKED</s:t>
        </s:is>
      </s:c>
      <s:c r="B18372" s="83">
        <s:f>SUM(IF(EXACT('Kiểm thử'!E18320,"Bị chặn"),1,0))</s:f>
        <s:v/>
      </s:c>
      <s:c r="C18372" s="19" t="n"/>
      <s:c r="D18372" s="19" t="n"/>
      <s:c r="E18372" s="19" t="n"/>
    </s:row>
    <s:row r="18373" hidden="1" ht="1" customHeight="1">
      <s:c r="A18373" s="83" t="inlineStr">
        <s:is>
          <s:t>SKIPPED</s:t>
        </s:is>
      </s:c>
      <s:c r="B18373" s="83">
        <s:f>SUM(IF(EXACT('Kiểm thử'!E18320,"Không thực hiện"),1,0))</s:f>
        <s:v/>
      </s:c>
      <s:c r="C18373" s="19" t="n"/>
      <s:c r="D18373" s="19" t="n"/>
      <s:c r="E18373" s="19" t="n"/>
    </s:row>
    <s:row r="18374" hidden="1" ht="1" customHeight="1">
      <s:c r="A18374" s="83" t="inlineStr">
        <s:is>
          <s:t>NOT RUN</s:t>
        </s:is>
      </s:c>
      <s:c r="B18374" s="83">
        <s:f>SUM(IF(EXACT('Kiểm thử'!E18320,"Chưa thực hiện"),1,0))</s:f>
        <s:v/>
      </s:c>
      <s:c r="C18374" s="19" t="n"/>
      <s:c r="D18374" s="19" t="n"/>
      <s:c r="E18374" s="19" t="n"/>
    </s:row>
    <s:row r="18375" hidden="1" ht="6" customHeight="1">
      <s:c r="A18375" s="83" t="inlineStr"/>
      <s:c r="B18375" s="19" t="n"/>
      <s:c r="C18375" s="19" t="n"/>
      <s:c r="D18375" s="19" t="n"/>
      <s:c r="E18375" s="19" t="n"/>
    </s:row>
    <s:row r="18376" ht="28" customHeight="1">
      <s:c r="A18376" s="108" t="inlineStr">
        <s:is>
          <s:t>TC-RS-UI-026 — Bộ chọn hiệu ứng đỏ của điểm thường và điểm đơn vị hiển thị độc lập</s:t>
        </s:is>
      </s:c>
      <s:c r="B18376" s="111" t="n"/>
      <s:c r="C18376" s="111" t="n"/>
      <s:c r="D18376" s="111" t="n"/>
      <s:c r="E18376" s="111" t="n"/>
    </s:row>
    <s:row r="18377" ht="20" customHeight="1">
      <s:c r="A18377" s="112" t="inlineStr">
        <s:is>
          <s:t>Kết quả tình huống</s:t>
        </s:is>
      </s:c>
      <s:c r="B18377" s="113">
        <s:f>IF(SUM(IF(EXACT('Kiểm thử'!E18386,"Không đạt"),1,0))&gt;0,"Không đạt",IF(SUM(IF(EXACT('Kiểm thử'!E18386,"Đạt"),1,0))=1,"Đạt",IF(SUM(IF(EXACT('Kiểm thử'!E18386,"Không thực hiện"),1,0))=1,"Không thực hiện",IF(SUM(IF(EXACT('Kiểm thử'!E18386,"Bị chặn"),1,0))&gt;0,"Bị chặn",IF(SUM(IF(EXACT('Kiểm thử'!E18386,"Chưa thực hiện"),1,0))=1,"Chưa thực hiện","Đang thực hiện")))))</s:f>
        <s:v/>
      </s:c>
      <s:c r="C18377" s="114" t="n"/>
      <s:c r="D18377" s="114" t="n"/>
      <s:c r="E18377" s="114" t="n"/>
    </s:row>
    <s:row r="18378" ht="20" customHeight="1">
      <s:c r="A18378" s="112" t="inlineStr">
        <s:is>
          <s:t>Màn hình / chức năng</s:t>
        </s:is>
      </s:c>
      <s:c r="B18378" s="113" t="inlineStr">
        <s:is>
          <s:r>
            <s:rPr>
              <s:b val="1"/>
            </s:rPr>
            <s:t>Công khai thành tích（成績公開）</s:t>
          </s:r>
        </s:is>
      </s:c>
      <s:c r="C18378" s="28" t="n"/>
      <s:c r="D18378" s="28" t="n"/>
      <s:c r="E18378" s="28" t="n"/>
    </s:row>
    <s:row r="18379" ht="34" customHeight="1">
      <s:c r="A18379" s="112" t="inlineStr">
        <s:is>
          <s:t>Cấu hình</s:t>
        </s:is>
      </s:c>
      <s:c r="B18379" s="113" t="inlineStr">
        <s:is>
          <s:t>• Có một cấu hình công khai chứa cả mục điểm thường và mục điểm đơn vị;
• Tài khoản có quyền sửa cấu hình công khai.</s:t>
        </s:is>
      </s:c>
      <s:c r="C18379" s="28" t="n"/>
      <s:c r="D18379" s="28" t="n"/>
      <s:c r="E18379" s="28" t="n"/>
    </s:row>
    <s:row r="18380" ht="34" customHeight="1">
      <s:c r="A18380" s="112" t="inlineStr">
        <s:is>
          <s:t>Dữ liệu test</s:t>
        </s:is>
      </s:c>
      <s:c r="B18380" s="113" t="inlineStr">
        <s:is>
          <s:t>• Mục thường và mục đơn vị cùng có kết quả đỏ;
• Lựa chọn hiển thị khác nhau cho hai loại.</s:t>
        </s:is>
      </s:c>
      <s:c r="C18380" s="28" t="n"/>
      <s:c r="D18380" s="28" t="n"/>
      <s:c r="E18380" s="28" t="n"/>
    </s:row>
    <s:row r="18381" ht="20" customHeight="1">
      <s:c r="A18381" s="112" t="inlineStr">
        <s:is>
          <s:t>Bước 1</s:t>
        </s:is>
      </s:c>
      <s:c r="B18381" s="113" t="inlineStr">
        <s:is>
          <s:t>Mở màn hình cấu hình công khai và đến khu vực hiển thị điểm đỏ.</s:t>
        </s:is>
      </s:c>
      <s:c r="C18381" s="28" t="n"/>
      <s:c r="D18381" s="28" t="n"/>
      <s:c r="E18381" s="28" t="n"/>
    </s:row>
    <s:row r="18382" ht="20" customHeight="1">
      <s:c r="A18382" s="112" t="inlineStr">
        <s:is>
          <s:t>Bước 2</s:t>
        </s:is>
      </s:c>
      <s:c r="B18382" s="113" t="inlineStr">
        <s:is>
          <s:t>Kiểm tra panel điểm thường và panel điểm đơn vị.</s:t>
        </s:is>
      </s:c>
      <s:c r="C18382" s="28" t="n"/>
      <s:c r="D18382" s="28" t="n"/>
      <s:c r="E18382" s="28" t="n"/>
    </s:row>
    <s:row r="18383" ht="20" customHeight="1">
      <s:c r="A18383" s="112" t="inlineStr">
        <s:is>
          <s:t>Bước 3</s:t>
        </s:is>
      </s:c>
      <s:c r="B18383" s="113" t="inlineStr">
        <s:is>
          <s:t>Chọn hiệu ứng khác nhau cho hai panel, lưu, đóng và mở lại.</s:t>
        </s:is>
      </s:c>
      <s:c r="C18383" s="28" t="n"/>
      <s:c r="D18383" s="28" t="n"/>
      <s:c r="E18383" s="28" t="n"/>
    </s:row>
    <s:row r="18384" ht="28" customHeight="1">
      <s:c r="A18384" s="115" t="inlineStr">
        <s:is>
          <s:t>Trường hợp</s:t>
        </s:is>
      </s:c>
      <s:c r="B18384" s="115" t="inlineStr">
        <s:is>
          <s:t>Dữ liệu / thao tác riêng</s:t>
        </s:is>
      </s:c>
      <s:c r="C18384" s="115" t="inlineStr">
        <s:is>
          <s:t>Kết quả mong đợi</s:t>
        </s:is>
      </s:c>
      <s:c r="D18384" s="115" t="inlineStr">
        <s:is>
          <s:t>Kết quả thực tế</s:t>
        </s:is>
      </s:c>
      <s:c r="E18384" s="115" t="inlineStr">
        <s:is>
          <s:t>Đánh giá</s:t>
        </s:is>
      </s:c>
    </s:row>
    <s:row r="18385" ht="3" customHeight="1">
      <s:c r="A18385" s="102" t="inlineStr"/>
      <s:c r="B18385" s="99" t="n"/>
      <s:c r="C18385" s="99" t="n"/>
      <s:c r="D18385" s="116" t="n"/>
      <s:c r="E18385" s="116" t="n"/>
    </s:row>
    <s:row r="18386" ht="104" customHeight="1">
      <s:c r="A18386" s="83" t="inlineStr">
        <s:is>
          <s:t>Trường hợp cơ bản (Base)</s:t>
        </s:is>
      </s:c>
      <s:c r="B18386" s="83" t="inlineStr">
        <s:is>
          <s:t>Toàn bộ tình huống: Thực hiện đủ các bước chung theo thứ tự; kiểm cả đối tượng đích và đối chứng cùng fixture, không bỏ bước.</s:t>
        </s:is>
      </s:c>
      <s:c r="C18386" s="83" t="inlineStr">
        <s:is>
          <s:t>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s:t>
        </s:is>
      </s:c>
      <s:c r="D18386" s="117" t="inlineStr"/>
      <s:c r="E18386" s="118" t="inlineStr">
        <s:is>
          <s:t>Chưa thực hiện</s:t>
        </s:is>
      </s:c>
    </s:row>
    <s:row r="18387" ht="20" customHeight="1">
      <s:c r="A18387" s="119" t="inlineStr">
        <s:is>
          <s:t>Ảnh minh chứng — Chưa có ảnh</s:t>
        </s:is>
      </s:c>
      <s:c r="B18387" s="19" t="n"/>
      <s:c r="C18387" s="19" t="n"/>
      <s:c r="D18387" s="19" t="n"/>
      <s:c r="E18387" s="19" t="n"/>
    </s:row>
    <s:row r="18388" hidden="1" ht="1" customHeight="1">
      <s:c r="A18388" s="120" t="inlineStr"/>
      <s:c r="B18388" s="121" t="n"/>
      <s:c r="C18388" s="121" t="n"/>
      <s:c r="D18388" s="121" t="n"/>
      <s:c r="E18388" s="122" t="n"/>
    </s:row>
    <s:row r="18389" hidden="1" ht="1" customHeight="1">
      <s:c r="A18389" s="120" t="inlineStr"/>
      <s:c r="B18389" s="121" t="n"/>
      <s:c r="C18389" s="121" t="n"/>
      <s:c r="D18389" s="121" t="n"/>
      <s:c r="E18389" s="122" t="n"/>
    </s:row>
    <s:row r="18390" hidden="1" ht="1" customHeight="1">
      <s:c r="A18390" s="120" t="inlineStr"/>
      <s:c r="B18390" s="121" t="n"/>
      <s:c r="C18390" s="121" t="n"/>
      <s:c r="D18390" s="121" t="n"/>
      <s:c r="E18390" s="122" t="n"/>
    </s:row>
    <s:row r="18391" hidden="1" ht="1" customHeight="1">
      <s:c r="A18391" s="120" t="inlineStr"/>
      <s:c r="B18391" s="121" t="n"/>
      <s:c r="C18391" s="121" t="n"/>
      <s:c r="D18391" s="121" t="n"/>
      <s:c r="E18391" s="122" t="n"/>
    </s:row>
    <s:row r="18392" hidden="1" ht="1" customHeight="1">
      <s:c r="A18392" s="120" t="inlineStr"/>
      <s:c r="B18392" s="121" t="n"/>
      <s:c r="C18392" s="121" t="n"/>
      <s:c r="D18392" s="121" t="n"/>
      <s:c r="E18392" s="122" t="n"/>
    </s:row>
    <s:row r="18393" hidden="1" ht="1" customHeight="1">
      <s:c r="A18393" s="120" t="inlineStr"/>
      <s:c r="B18393" s="121" t="n"/>
      <s:c r="C18393" s="121" t="n"/>
      <s:c r="D18393" s="121" t="n"/>
      <s:c r="E18393" s="122" t="n"/>
    </s:row>
    <s:row r="18394" hidden="1" ht="1" customHeight="1">
      <s:c r="A18394" s="120" t="inlineStr"/>
      <s:c r="B18394" s="121" t="n"/>
      <s:c r="C18394" s="121" t="n"/>
      <s:c r="D18394" s="121" t="n"/>
      <s:c r="E18394" s="122" t="n"/>
    </s:row>
    <s:row r="18395" hidden="1" ht="1" customHeight="1">
      <s:c r="A18395" s="120" t="inlineStr"/>
      <s:c r="B18395" s="121" t="n"/>
      <s:c r="C18395" s="121" t="n"/>
      <s:c r="D18395" s="121" t="n"/>
      <s:c r="E18395" s="122" t="n"/>
    </s:row>
    <s:row r="18396" hidden="1" ht="1" customHeight="1">
      <s:c r="A18396" s="120" t="inlineStr"/>
      <s:c r="B18396" s="121" t="n"/>
      <s:c r="C18396" s="121" t="n"/>
      <s:c r="D18396" s="121" t="n"/>
      <s:c r="E18396" s="122" t="n"/>
    </s:row>
    <s:row r="18397" hidden="1" ht="1" customHeight="1">
      <s:c r="A18397" s="120" t="inlineStr"/>
      <s:c r="B18397" s="121" t="n"/>
      <s:c r="C18397" s="121" t="n"/>
      <s:c r="D18397" s="121" t="n"/>
      <s:c r="E18397" s="122" t="n"/>
    </s:row>
    <s:row r="18398" hidden="1" ht="1" customHeight="1">
      <s:c r="A18398" s="120" t="inlineStr"/>
      <s:c r="B18398" s="121" t="n"/>
      <s:c r="C18398" s="121" t="n"/>
      <s:c r="D18398" s="121" t="n"/>
      <s:c r="E18398" s="122" t="n"/>
    </s:row>
    <s:row r="18399" hidden="1" ht="1" customHeight="1">
      <s:c r="A18399" s="120" t="inlineStr"/>
      <s:c r="B18399" s="121" t="n"/>
      <s:c r="C18399" s="121" t="n"/>
      <s:c r="D18399" s="121" t="n"/>
      <s:c r="E18399" s="122" t="n"/>
    </s:row>
    <s:row r="18400" hidden="1" ht="1" customHeight="1">
      <s:c r="A18400" s="120" t="inlineStr"/>
      <s:c r="B18400" s="121" t="n"/>
      <s:c r="C18400" s="121" t="n"/>
      <s:c r="D18400" s="121" t="n"/>
      <s:c r="E18400" s="122" t="n"/>
    </s:row>
    <s:row r="18401" hidden="1" ht="1" customHeight="1">
      <s:c r="A18401" s="120" t="inlineStr"/>
      <s:c r="B18401" s="121" t="n"/>
      <s:c r="C18401" s="121" t="n"/>
      <s:c r="D18401" s="121" t="n"/>
      <s:c r="E18401" s="122" t="n"/>
    </s:row>
    <s:row r="18402" hidden="1" ht="1" customHeight="1">
      <s:c r="A18402" s="120" t="inlineStr"/>
      <s:c r="B18402" s="121" t="n"/>
      <s:c r="C18402" s="121" t="n"/>
      <s:c r="D18402" s="121" t="n"/>
      <s:c r="E18402" s="122" t="n"/>
    </s:row>
    <s:row r="18403" hidden="1" ht="1" customHeight="1">
      <s:c r="A18403" s="120" t="inlineStr"/>
      <s:c r="B18403" s="121" t="n"/>
      <s:c r="C18403" s="121" t="n"/>
      <s:c r="D18403" s="121" t="n"/>
      <s:c r="E18403" s="122" t="n"/>
    </s:row>
    <s:row r="18404" hidden="1" ht="1" customHeight="1">
      <s:c r="A18404" s="120" t="inlineStr"/>
      <s:c r="B18404" s="121" t="n"/>
      <s:c r="C18404" s="121" t="n"/>
      <s:c r="D18404" s="121" t="n"/>
      <s:c r="E18404" s="122" t="n"/>
    </s:row>
    <s:row r="18405" hidden="1" ht="1" customHeight="1">
      <s:c r="A18405" s="120" t="inlineStr"/>
      <s:c r="B18405" s="121" t="n"/>
      <s:c r="C18405" s="121" t="n"/>
      <s:c r="D18405" s="121" t="n"/>
      <s:c r="E18405" s="122" t="n"/>
    </s:row>
    <s:row r="18406" hidden="1" ht="1" customHeight="1">
      <s:c r="A18406" s="120" t="inlineStr"/>
      <s:c r="B18406" s="121" t="n"/>
      <s:c r="C18406" s="121" t="n"/>
      <s:c r="D18406" s="121" t="n"/>
      <s:c r="E18406" s="122" t="n"/>
    </s:row>
    <s:row r="18407" hidden="1" ht="1" customHeight="1">
      <s:c r="A18407" s="120" t="inlineStr"/>
      <s:c r="B18407" s="121" t="n"/>
      <s:c r="C18407" s="121" t="n"/>
      <s:c r="D18407" s="121" t="n"/>
      <s:c r="E18407" s="122" t="n"/>
    </s:row>
    <s:row r="18408" hidden="1" ht="1" customHeight="1">
      <s:c r="A18408" s="120" t="inlineStr"/>
      <s:c r="B18408" s="121" t="n"/>
      <s:c r="C18408" s="121" t="n"/>
      <s:c r="D18408" s="121" t="n"/>
      <s:c r="E18408" s="122" t="n"/>
    </s:row>
    <s:row r="18409" hidden="1" ht="1" customHeight="1">
      <s:c r="A18409" s="120" t="inlineStr"/>
      <s:c r="B18409" s="121" t="n"/>
      <s:c r="C18409" s="121" t="n"/>
      <s:c r="D18409" s="121" t="n"/>
      <s:c r="E18409" s="122" t="n"/>
    </s:row>
    <s:row r="18410" hidden="1" ht="1" customHeight="1">
      <s:c r="A18410" s="120" t="inlineStr"/>
      <s:c r="B18410" s="121" t="n"/>
      <s:c r="C18410" s="121" t="n"/>
      <s:c r="D18410" s="121" t="n"/>
      <s:c r="E18410" s="122" t="n"/>
    </s:row>
    <s:row r="18411" hidden="1" ht="1" customHeight="1">
      <s:c r="A18411" s="120" t="inlineStr"/>
      <s:c r="B18411" s="121" t="n"/>
      <s:c r="C18411" s="121" t="n"/>
      <s:c r="D18411" s="121" t="n"/>
      <s:c r="E18411" s="122" t="n"/>
    </s:row>
    <s:row r="18412" hidden="1" ht="1" customHeight="1">
      <s:c r="A18412" s="120" t="inlineStr"/>
      <s:c r="B18412" s="121" t="n"/>
      <s:c r="C18412" s="121" t="n"/>
      <s:c r="D18412" s="121" t="n"/>
      <s:c r="E18412" s="122" t="n"/>
    </s:row>
    <s:row r="18413" hidden="1" ht="1" customHeight="1">
      <s:c r="A18413" s="120" t="inlineStr"/>
      <s:c r="B18413" s="121" t="n"/>
      <s:c r="C18413" s="121" t="n"/>
      <s:c r="D18413" s="121" t="n"/>
      <s:c r="E18413" s="122" t="n"/>
    </s:row>
    <s:row r="18414" hidden="1" ht="1" customHeight="1">
      <s:c r="A18414" s="120" t="inlineStr"/>
      <s:c r="B18414" s="121" t="n"/>
      <s:c r="C18414" s="121" t="n"/>
      <s:c r="D18414" s="121" t="n"/>
      <s:c r="E18414" s="122" t="n"/>
    </s:row>
    <s:row r="18415" hidden="1" ht="1" customHeight="1">
      <s:c r="A18415" s="120" t="inlineStr"/>
      <s:c r="B18415" s="121" t="n"/>
      <s:c r="C18415" s="121" t="n"/>
      <s:c r="D18415" s="121" t="n"/>
      <s:c r="E18415" s="122" t="n"/>
    </s:row>
    <s:row r="18416" hidden="1" ht="1" customHeight="1">
      <s:c r="A18416" s="120" t="inlineStr"/>
      <s:c r="B18416" s="121" t="n"/>
      <s:c r="C18416" s="121" t="n"/>
      <s:c r="D18416" s="121" t="n"/>
      <s:c r="E18416" s="122" t="n"/>
    </s:row>
    <s:row r="18417" hidden="1" ht="1" customHeight="1">
      <s:c r="A18417" s="120" t="inlineStr"/>
      <s:c r="B18417" s="121" t="n"/>
      <s:c r="C18417" s="121" t="n"/>
      <s:c r="D18417" s="121" t="n"/>
      <s:c r="E18417" s="122" t="n"/>
    </s:row>
    <s:row r="18418" hidden="1" ht="1" customHeight="1">
      <s:c r="A18418" s="120" t="inlineStr"/>
      <s:c r="B18418" s="121" t="n"/>
      <s:c r="C18418" s="121" t="n"/>
      <s:c r="D18418" s="121" t="n"/>
      <s:c r="E18418" s="122" t="n"/>
    </s:row>
    <s:row r="18419" hidden="1" ht="1" customHeight="1">
      <s:c r="A18419" s="120" t="inlineStr"/>
      <s:c r="B18419" s="121" t="n"/>
      <s:c r="C18419" s="121" t="n"/>
      <s:c r="D18419" s="121" t="n"/>
      <s:c r="E18419" s="122" t="n"/>
    </s:row>
    <s:row r="18420" hidden="1" ht="1" customHeight="1">
      <s:c r="A18420" s="120" t="inlineStr"/>
      <s:c r="B18420" s="121" t="n"/>
      <s:c r="C18420" s="121" t="n"/>
      <s:c r="D18420" s="121" t="n"/>
      <s:c r="E18420" s="122" t="n"/>
    </s:row>
    <s:row r="18421" hidden="1" ht="1" customHeight="1">
      <s:c r="A18421" s="120" t="inlineStr"/>
      <s:c r="B18421" s="121" t="n"/>
      <s:c r="C18421" s="121" t="n"/>
      <s:c r="D18421" s="121" t="n"/>
      <s:c r="E18421" s="122" t="n"/>
    </s:row>
    <s:row r="18422" hidden="1" ht="1" customHeight="1">
      <s:c r="A18422" s="120" t="inlineStr"/>
      <s:c r="B18422" s="121" t="n"/>
      <s:c r="C18422" s="121" t="n"/>
      <s:c r="D18422" s="121" t="n"/>
      <s:c r="E18422" s="122" t="n"/>
    </s:row>
    <s:row r="18423" hidden="1" ht="1" customHeight="1">
      <s:c r="A18423" s="120" t="inlineStr"/>
      <s:c r="B18423" s="121" t="n"/>
      <s:c r="C18423" s="121" t="n"/>
      <s:c r="D18423" s="121" t="n"/>
      <s:c r="E18423" s="122" t="n"/>
    </s:row>
    <s:row r="18424" hidden="1" ht="1" customHeight="1">
      <s:c r="A18424" s="120" t="inlineStr"/>
      <s:c r="B18424" s="121" t="n"/>
      <s:c r="C18424" s="121" t="n"/>
      <s:c r="D18424" s="121" t="n"/>
      <s:c r="E18424" s="122" t="n"/>
    </s:row>
    <s:row r="18425" hidden="1" ht="1" customHeight="1">
      <s:c r="A18425" s="120" t="inlineStr"/>
      <s:c r="B18425" s="121" t="n"/>
      <s:c r="C18425" s="121" t="n"/>
      <s:c r="D18425" s="121" t="n"/>
      <s:c r="E18425" s="122" t="n"/>
    </s:row>
    <s:row r="18426" hidden="1" ht="1" customHeight="1">
      <s:c r="A18426" s="120" t="inlineStr"/>
      <s:c r="B18426" s="121" t="n"/>
      <s:c r="C18426" s="121" t="n"/>
      <s:c r="D18426" s="121" t="n"/>
      <s:c r="E18426" s="122" t="n"/>
    </s:row>
    <s:row r="18427" hidden="1" ht="1" customHeight="1">
      <s:c r="A18427" s="120" t="inlineStr"/>
      <s:c r="B18427" s="121" t="n"/>
      <s:c r="C18427" s="121" t="n"/>
      <s:c r="D18427" s="121" t="n"/>
      <s:c r="E18427" s="122" t="n"/>
    </s:row>
    <s:row r="18428" hidden="1" ht="1" customHeight="1">
      <s:c r="A18428" s="120" t="inlineStr"/>
      <s:c r="B18428" s="121" t="n"/>
      <s:c r="C18428" s="121" t="n"/>
      <s:c r="D18428" s="121" t="n"/>
      <s:c r="E18428" s="122" t="n"/>
    </s:row>
    <s:row r="18429" hidden="1" ht="1" customHeight="1">
      <s:c r="A18429" s="120" t="inlineStr"/>
      <s:c r="B18429" s="121" t="n"/>
      <s:c r="C18429" s="121" t="n"/>
      <s:c r="D18429" s="121" t="n"/>
      <s:c r="E18429" s="122" t="n"/>
    </s:row>
    <s:row r="18430" hidden="1" ht="1" customHeight="1">
      <s:c r="A18430" s="120" t="inlineStr"/>
      <s:c r="B18430" s="121" t="n"/>
      <s:c r="C18430" s="121" t="n"/>
      <s:c r="D18430" s="121" t="n"/>
      <s:c r="E18430" s="122" t="n"/>
    </s:row>
    <s:row r="18431" hidden="1" ht="1" customHeight="1">
      <s:c r="A18431" s="120" t="inlineStr"/>
      <s:c r="B18431" s="121" t="n"/>
      <s:c r="C18431" s="121" t="n"/>
      <s:c r="D18431" s="121" t="n"/>
      <s:c r="E18431" s="122" t="n"/>
    </s:row>
    <s:row r="18432" hidden="1" ht="1" customHeight="1">
      <s:c r="A18432" s="120" t="inlineStr"/>
      <s:c r="B18432" s="121" t="n"/>
      <s:c r="C18432" s="121" t="n"/>
      <s:c r="D18432" s="121" t="n"/>
      <s:c r="E18432" s="122" t="n"/>
    </s:row>
    <s:row r="18433" hidden="1" ht="1" customHeight="1">
      <s:c r="A18433" s="120" t="inlineStr"/>
      <s:c r="B18433" s="121" t="n"/>
      <s:c r="C18433" s="121" t="n"/>
      <s:c r="D18433" s="121" t="n"/>
      <s:c r="E18433" s="122" t="n"/>
    </s:row>
    <s:row r="18434" hidden="1" ht="1" customHeight="1">
      <s:c r="A18434" s="120" t="inlineStr"/>
      <s:c r="B18434" s="121" t="n"/>
      <s:c r="C18434" s="121" t="n"/>
      <s:c r="D18434" s="121" t="n"/>
      <s:c r="E18434" s="122" t="n"/>
    </s:row>
    <s:row r="18435" hidden="1" ht="1" customHeight="1">
      <s:c r="A18435" s="120" t="inlineStr"/>
      <s:c r="B18435" s="121" t="n"/>
      <s:c r="C18435" s="121" t="n"/>
      <s:c r="D18435" s="121" t="n"/>
      <s:c r="E18435" s="122" t="n"/>
    </s:row>
    <s:row r="18436" hidden="1" ht="1" customHeight="1">
      <s:c r="A18436" s="83" t="inlineStr">
        <s:is>
          <s:t>PASS</s:t>
        </s:is>
      </s:c>
      <s:c r="B18436" s="83">
        <s:f>SUM(IF(EXACT('Kiểm thử'!E18386,"Đạt"),1,0))</s:f>
        <s:v/>
      </s:c>
      <s:c r="C18436" s="19" t="n"/>
      <s:c r="D18436" s="19" t="n"/>
      <s:c r="E18436" s="19" t="n"/>
    </s:row>
    <s:row r="18437" hidden="1" ht="1" customHeight="1">
      <s:c r="A18437" s="83" t="inlineStr">
        <s:is>
          <s:t>FAIL</s:t>
        </s:is>
      </s:c>
      <s:c r="B18437" s="83">
        <s:f>SUM(IF(EXACT('Kiểm thử'!E18386,"Không đạt"),1,0))</s:f>
        <s:v/>
      </s:c>
      <s:c r="C18437" s="19" t="n"/>
      <s:c r="D18437" s="19" t="n"/>
      <s:c r="E18437" s="19" t="n"/>
    </s:row>
    <s:row r="18438" hidden="1" ht="1" customHeight="1">
      <s:c r="A18438" s="83" t="inlineStr">
        <s:is>
          <s:t>BLOCKED</s:t>
        </s:is>
      </s:c>
      <s:c r="B18438" s="83">
        <s:f>SUM(IF(EXACT('Kiểm thử'!E18386,"Bị chặn"),1,0))</s:f>
        <s:v/>
      </s:c>
      <s:c r="C18438" s="19" t="n"/>
      <s:c r="D18438" s="19" t="n"/>
      <s:c r="E18438" s="19" t="n"/>
    </s:row>
    <s:row r="18439" hidden="1" ht="1" customHeight="1">
      <s:c r="A18439" s="83" t="inlineStr">
        <s:is>
          <s:t>SKIPPED</s:t>
        </s:is>
      </s:c>
      <s:c r="B18439" s="83">
        <s:f>SUM(IF(EXACT('Kiểm thử'!E18386,"Không thực hiện"),1,0))</s:f>
        <s:v/>
      </s:c>
      <s:c r="C18439" s="19" t="n"/>
      <s:c r="D18439" s="19" t="n"/>
      <s:c r="E18439" s="19" t="n"/>
    </s:row>
    <s:row r="18440" hidden="1" ht="1" customHeight="1">
      <s:c r="A18440" s="83" t="inlineStr">
        <s:is>
          <s:t>NOT RUN</s:t>
        </s:is>
      </s:c>
      <s:c r="B18440" s="83">
        <s:f>SUM(IF(EXACT('Kiểm thử'!E18386,"Chưa thực hiện"),1,0))</s:f>
        <s:v/>
      </s:c>
      <s:c r="C18440" s="19" t="n"/>
      <s:c r="D18440" s="19" t="n"/>
      <s:c r="E18440" s="19" t="n"/>
    </s:row>
    <s:row r="18441" hidden="1" ht="6" customHeight="1">
      <s:c r="A18441" s="83" t="inlineStr"/>
      <s:c r="B18441" s="19" t="n"/>
      <s:c r="C18441" s="19" t="n"/>
      <s:c r="D18441" s="19" t="n"/>
      <s:c r="E18441" s="19" t="n"/>
    </s:row>
    <s:row r="18442" ht="28" customHeight="1">
      <s:c r="A18442" s="108" t="inlineStr">
        <s:is>
          <s:t>TC-RS-REG-007 — Công khai: hiệu ứng Điểm dự kiến（見込点） và thiết lập khác được giữ</s:t>
        </s:is>
      </s:c>
      <s:c r="B18442" s="111" t="n"/>
      <s:c r="C18442" s="111" t="n"/>
      <s:c r="D18442" s="111" t="n"/>
      <s:c r="E18442" s="111" t="n"/>
    </s:row>
    <s:row r="18443" ht="20" customHeight="1">
      <s:c r="A18443" s="112" t="inlineStr">
        <s:is>
          <s:t>Kết quả tình huống</s:t>
        </s:is>
      </s:c>
      <s:c r="B18443" s="113">
        <s:f>IF(SUM(IF(EXACT('Kiểm thử'!E18452,"Không đạt"),1,0))&gt;0,"Không đạt",IF(SUM(IF(EXACT('Kiểm thử'!E18452,"Đạt"),1,0))=1,"Đạt",IF(SUM(IF(EXACT('Kiểm thử'!E18452,"Không thực hiện"),1,0))=1,"Không thực hiện",IF(SUM(IF(EXACT('Kiểm thử'!E18452,"Bị chặn"),1,0))&gt;0,"Bị chặn",IF(SUM(IF(EXACT('Kiểm thử'!E18452,"Chưa thực hiện"),1,0))=1,"Chưa thực hiện","Đang thực hiện")))))</s:f>
        <s:v/>
      </s:c>
      <s:c r="C18443" s="114" t="n"/>
      <s:c r="D18443" s="114" t="n"/>
      <s:c r="E18443" s="114" t="n"/>
    </s:row>
    <s:row r="18444" ht="20" customHeight="1">
      <s:c r="A18444" s="112" t="inlineStr">
        <s:is>
          <s:t>Màn hình / chức năng</s:t>
        </s:is>
      </s:c>
      <s:c r="B18444" s="113" t="inlineStr">
        <s:is>
          <s:r>
            <s:rPr>
              <s:b val="1"/>
            </s:rPr>
            <s:t>Công khai thành tích（成績公開）</s:t>
          </s:r>
        </s:is>
      </s:c>
      <s:c r="C18444" s="28" t="n"/>
      <s:c r="D18444" s="28" t="n"/>
      <s:c r="E18444" s="28" t="n"/>
    </s:row>
    <s:row r="18445" ht="34" customHeight="1">
      <s:c r="A18445" s="112" t="inlineStr">
        <s:is>
          <s:t>Cấu hình</s:t>
        </s:is>
      </s:c>
      <s:c r="B18445" s="113" t="inlineStr">
        <s:is>
          <s:t>• Cấu hình công khai: “*” phía trước. S06 (dự kiến, Đỏ). Một học sinh khác có điểm dự kiến, Không đỏ. Baseline màn học sinh.</s:t>
        </s:is>
      </s:c>
      <s:c r="C18445" s="28" t="n"/>
      <s:c r="D18445" s="28" t="n"/>
      <s:c r="E18445" s="28" t="n"/>
    </s:row>
    <s:row r="18446" ht="34" customHeight="1">
      <s:c r="A18446" s="112" t="inlineStr">
        <s:is>
          <s:t>Dữ liệu test</s:t>
        </s:is>
      </s:c>
      <s:c r="B18446" s="113" t="inlineStr">
        <s:is>
          <s:t>• Cấu hình công khai: “*” phía trước;
• Học sinh S06 (điểm dự kiến 24)</s:t>
        </s:is>
      </s:c>
      <s:c r="C18446" s="28" t="n"/>
      <s:c r="D18446" s="28" t="n"/>
      <s:c r="E18446" s="28" t="n"/>
    </s:row>
    <s:row r="18447" ht="20" customHeight="1">
      <s:c r="A18447" s="112" t="inlineStr">
        <s:is>
          <s:t>Bước 1</s:t>
        </s:is>
      </s:c>
      <s:c r="B18447" s="113" t="inlineStr">
        <s:is>
          <s:t>Xem màn học sinh.</s:t>
        </s:is>
      </s:c>
      <s:c r="C18447" s="28" t="n"/>
      <s:c r="D18447" s="28" t="n"/>
      <s:c r="E18447" s="28" t="n"/>
    </s:row>
    <s:row r="18448" ht="34" customHeight="1">
      <s:c r="A18448" s="112" t="inlineStr">
        <s:is>
          <s:t>Bước 2</s:t>
        </s:is>
      </s:c>
      <s:c r="B18448" s="113" t="inlineStr">
        <s:is>
          <s:t>Làm S06 chuyển Chưa xét được (như case “Chưa có kết quả tổng hợp → Chưa xét được, không thay bằng 0 hay nhóm khác”), xem lại.</s:t>
        </s:is>
      </s:c>
      <s:c r="C18448" s="28" t="n"/>
      <s:c r="D18448" s="28" t="n"/>
      <s:c r="E18448" s="28" t="n"/>
    </s:row>
    <s:row r="18449" ht="20" customHeight="1">
      <s:c r="A18449" s="112" t="inlineStr">
        <s:is>
          <s:t>Bước 3</s:t>
        </s:is>
      </s:c>
      <s:c r="B18449" s="113" t="inlineStr">
        <s:is>
          <s:r>
            <s:t xml:space="preserve">Xóa quy tắc cuối, mở Thiết lập </s:t>
          </s:r>
          <s:r>
            <s:rPr>
              <s:b val="1"/>
            </s:rPr>
            <s:t>công khai thành tích（成績公開設定）</s:t>
          </s:r>
          <s:r>
            <s:t>.</s:t>
          </s:r>
        </s:is>
      </s:c>
      <s:c r="C18449" s="28" t="n"/>
      <s:c r="D18449" s="28" t="n"/>
      <s:c r="E18449" s="28" t="n"/>
    </s:row>
    <s:row r="18450" ht="28" customHeight="1">
      <s:c r="A18450" s="115" t="inlineStr">
        <s:is>
          <s:t>Trường hợp</s:t>
        </s:is>
      </s:c>
      <s:c r="B18450" s="115" t="inlineStr">
        <s:is>
          <s:t>Dữ liệu / thao tác riêng</s:t>
        </s:is>
      </s:c>
      <s:c r="C18450" s="115" t="inlineStr">
        <s:is>
          <s:t>Kết quả mong đợi</s:t>
        </s:is>
      </s:c>
      <s:c r="D18450" s="115" t="inlineStr">
        <s:is>
          <s:t>Kết quả thực tế</s:t>
        </s:is>
      </s:c>
      <s:c r="E18450" s="115" t="inlineStr">
        <s:is>
          <s:t>Đánh giá</s:t>
        </s:is>
      </s:c>
    </s:row>
    <s:row r="18451" ht="3" customHeight="1">
      <s:c r="A18451" s="102" t="inlineStr"/>
      <s:c r="B18451" s="99" t="n"/>
      <s:c r="C18451" s="99" t="n"/>
      <s:c r="D18451" s="116" t="n"/>
      <s:c r="E18451" s="116" t="n"/>
    </s:row>
    <s:row r="18452" ht="90" customHeight="1">
      <s:c r="A18452" s="83" t="inlineStr">
        <s:is>
          <s:t>Trường hợp cơ bản (Base)</s:t>
        </s:is>
      </s:c>
      <s:c r="B18452" s="83" t="inlineStr">
        <s:is>
          <s:t>Toàn bộ tình huống: Thực hiện đủ các bước chung theo thứ tự; kiểm cả đối tượng đích và đối chứng cùng fixture, không bỏ bước.</s:t>
        </s:is>
      </s:c>
      <s:c r="C18452" s="83" t="inlineStr">
        <s:is>
          <s:r>
            <s:t xml:space="preserve">1. Học sinh </s:t>
          </s:r>
          <s:r>
            <s:rPr>
              <s:b val="1"/>
            </s:rPr>
            <s:t>Không đỏ</s:t>
          </s:r>
          <s:r>
            <s:t xml:space="preserve"> hiển thị như baseline (ngoặc dự kiến).
2. S06 bỏ [*] đỏ nhưng giữ ngoặc dự kiến: [(24)].
3. Cấu hình hiển thị đã lưu không bị xóa. Nền và định dạng khác như baseline.</s:t>
          </s:r>
        </s:is>
      </s:c>
      <s:c r="D18452" s="117" t="inlineStr"/>
      <s:c r="E18452" s="118" t="inlineStr">
        <s:is>
          <s:t>Chưa thực hiện</s:t>
        </s:is>
      </s:c>
    </s:row>
    <s:row r="18453" ht="20" customHeight="1">
      <s:c r="A18453" s="119" t="inlineStr">
        <s:is>
          <s:t>Ảnh minh chứng — Chưa có ảnh</s:t>
        </s:is>
      </s:c>
      <s:c r="B18453" s="19" t="n"/>
      <s:c r="C18453" s="19" t="n"/>
      <s:c r="D18453" s="19" t="n"/>
      <s:c r="E18453" s="19" t="n"/>
    </s:row>
    <s:row r="18454" hidden="1" ht="1" customHeight="1">
      <s:c r="A18454" s="120" t="inlineStr"/>
      <s:c r="B18454" s="121" t="n"/>
      <s:c r="C18454" s="121" t="n"/>
      <s:c r="D18454" s="121" t="n"/>
      <s:c r="E18454" s="122" t="n"/>
    </s:row>
    <s:row r="18455" hidden="1" ht="1" customHeight="1">
      <s:c r="A18455" s="120" t="inlineStr"/>
      <s:c r="B18455" s="121" t="n"/>
      <s:c r="C18455" s="121" t="n"/>
      <s:c r="D18455" s="121" t="n"/>
      <s:c r="E18455" s="122" t="n"/>
    </s:row>
    <s:row r="18456" hidden="1" ht="1" customHeight="1">
      <s:c r="A18456" s="120" t="inlineStr"/>
      <s:c r="B18456" s="121" t="n"/>
      <s:c r="C18456" s="121" t="n"/>
      <s:c r="D18456" s="121" t="n"/>
      <s:c r="E18456" s="122" t="n"/>
    </s:row>
    <s:row r="18457" hidden="1" ht="1" customHeight="1">
      <s:c r="A18457" s="120" t="inlineStr"/>
      <s:c r="B18457" s="121" t="n"/>
      <s:c r="C18457" s="121" t="n"/>
      <s:c r="D18457" s="121" t="n"/>
      <s:c r="E18457" s="122" t="n"/>
    </s:row>
    <s:row r="18458" hidden="1" ht="1" customHeight="1">
      <s:c r="A18458" s="120" t="inlineStr"/>
      <s:c r="B18458" s="121" t="n"/>
      <s:c r="C18458" s="121" t="n"/>
      <s:c r="D18458" s="121" t="n"/>
      <s:c r="E18458" s="122" t="n"/>
    </s:row>
    <s:row r="18459" hidden="1" ht="1" customHeight="1">
      <s:c r="A18459" s="120" t="inlineStr"/>
      <s:c r="B18459" s="121" t="n"/>
      <s:c r="C18459" s="121" t="n"/>
      <s:c r="D18459" s="121" t="n"/>
      <s:c r="E18459" s="122" t="n"/>
    </s:row>
    <s:row r="18460" hidden="1" ht="1" customHeight="1">
      <s:c r="A18460" s="120" t="inlineStr"/>
      <s:c r="B18460" s="121" t="n"/>
      <s:c r="C18460" s="121" t="n"/>
      <s:c r="D18460" s="121" t="n"/>
      <s:c r="E18460" s="122" t="n"/>
    </s:row>
    <s:row r="18461" hidden="1" ht="1" customHeight="1">
      <s:c r="A18461" s="120" t="inlineStr"/>
      <s:c r="B18461" s="121" t="n"/>
      <s:c r="C18461" s="121" t="n"/>
      <s:c r="D18461" s="121" t="n"/>
      <s:c r="E18461" s="122" t="n"/>
    </s:row>
    <s:row r="18462" hidden="1" ht="1" customHeight="1">
      <s:c r="A18462" s="120" t="inlineStr"/>
      <s:c r="B18462" s="121" t="n"/>
      <s:c r="C18462" s="121" t="n"/>
      <s:c r="D18462" s="121" t="n"/>
      <s:c r="E18462" s="122" t="n"/>
    </s:row>
    <s:row r="18463" hidden="1" ht="1" customHeight="1">
      <s:c r="A18463" s="120" t="inlineStr"/>
      <s:c r="B18463" s="121" t="n"/>
      <s:c r="C18463" s="121" t="n"/>
      <s:c r="D18463" s="121" t="n"/>
      <s:c r="E18463" s="122" t="n"/>
    </s:row>
    <s:row r="18464" hidden="1" ht="1" customHeight="1">
      <s:c r="A18464" s="120" t="inlineStr"/>
      <s:c r="B18464" s="121" t="n"/>
      <s:c r="C18464" s="121" t="n"/>
      <s:c r="D18464" s="121" t="n"/>
      <s:c r="E18464" s="122" t="n"/>
    </s:row>
    <s:row r="18465" hidden="1" ht="1" customHeight="1">
      <s:c r="A18465" s="120" t="inlineStr"/>
      <s:c r="B18465" s="121" t="n"/>
      <s:c r="C18465" s="121" t="n"/>
      <s:c r="D18465" s="121" t="n"/>
      <s:c r="E18465" s="122" t="n"/>
    </s:row>
    <s:row r="18466" hidden="1" ht="1" customHeight="1">
      <s:c r="A18466" s="120" t="inlineStr"/>
      <s:c r="B18466" s="121" t="n"/>
      <s:c r="C18466" s="121" t="n"/>
      <s:c r="D18466" s="121" t="n"/>
      <s:c r="E18466" s="122" t="n"/>
    </s:row>
    <s:row r="18467" hidden="1" ht="1" customHeight="1">
      <s:c r="A18467" s="120" t="inlineStr"/>
      <s:c r="B18467" s="121" t="n"/>
      <s:c r="C18467" s="121" t="n"/>
      <s:c r="D18467" s="121" t="n"/>
      <s:c r="E18467" s="122" t="n"/>
    </s:row>
    <s:row r="18468" hidden="1" ht="1" customHeight="1">
      <s:c r="A18468" s="120" t="inlineStr"/>
      <s:c r="B18468" s="121" t="n"/>
      <s:c r="C18468" s="121" t="n"/>
      <s:c r="D18468" s="121" t="n"/>
      <s:c r="E18468" s="122" t="n"/>
    </s:row>
    <s:row r="18469" hidden="1" ht="1" customHeight="1">
      <s:c r="A18469" s="120" t="inlineStr"/>
      <s:c r="B18469" s="121" t="n"/>
      <s:c r="C18469" s="121" t="n"/>
      <s:c r="D18469" s="121" t="n"/>
      <s:c r="E18469" s="122" t="n"/>
    </s:row>
    <s:row r="18470" hidden="1" ht="1" customHeight="1">
      <s:c r="A18470" s="120" t="inlineStr"/>
      <s:c r="B18470" s="121" t="n"/>
      <s:c r="C18470" s="121" t="n"/>
      <s:c r="D18470" s="121" t="n"/>
      <s:c r="E18470" s="122" t="n"/>
    </s:row>
    <s:row r="18471" hidden="1" ht="1" customHeight="1">
      <s:c r="A18471" s="120" t="inlineStr"/>
      <s:c r="B18471" s="121" t="n"/>
      <s:c r="C18471" s="121" t="n"/>
      <s:c r="D18471" s="121" t="n"/>
      <s:c r="E18471" s="122" t="n"/>
    </s:row>
    <s:row r="18472" hidden="1" ht="1" customHeight="1">
      <s:c r="A18472" s="120" t="inlineStr"/>
      <s:c r="B18472" s="121" t="n"/>
      <s:c r="C18472" s="121" t="n"/>
      <s:c r="D18472" s="121" t="n"/>
      <s:c r="E18472" s="122" t="n"/>
    </s:row>
    <s:row r="18473" hidden="1" ht="1" customHeight="1">
      <s:c r="A18473" s="120" t="inlineStr"/>
      <s:c r="B18473" s="121" t="n"/>
      <s:c r="C18473" s="121" t="n"/>
      <s:c r="D18473" s="121" t="n"/>
      <s:c r="E18473" s="122" t="n"/>
    </s:row>
    <s:row r="18474" hidden="1" ht="1" customHeight="1">
      <s:c r="A18474" s="120" t="inlineStr"/>
      <s:c r="B18474" s="121" t="n"/>
      <s:c r="C18474" s="121" t="n"/>
      <s:c r="D18474" s="121" t="n"/>
      <s:c r="E18474" s="122" t="n"/>
    </s:row>
    <s:row r="18475" hidden="1" ht="1" customHeight="1">
      <s:c r="A18475" s="120" t="inlineStr"/>
      <s:c r="B18475" s="121" t="n"/>
      <s:c r="C18475" s="121" t="n"/>
      <s:c r="D18475" s="121" t="n"/>
      <s:c r="E18475" s="122" t="n"/>
    </s:row>
    <s:row r="18476" hidden="1" ht="1" customHeight="1">
      <s:c r="A18476" s="120" t="inlineStr"/>
      <s:c r="B18476" s="121" t="n"/>
      <s:c r="C18476" s="121" t="n"/>
      <s:c r="D18476" s="121" t="n"/>
      <s:c r="E18476" s="122" t="n"/>
    </s:row>
    <s:row r="18477" hidden="1" ht="1" customHeight="1">
      <s:c r="A18477" s="120" t="inlineStr"/>
      <s:c r="B18477" s="121" t="n"/>
      <s:c r="C18477" s="121" t="n"/>
      <s:c r="D18477" s="121" t="n"/>
      <s:c r="E18477" s="122" t="n"/>
    </s:row>
    <s:row r="18478" hidden="1" ht="1" customHeight="1">
      <s:c r="A18478" s="120" t="inlineStr"/>
      <s:c r="B18478" s="121" t="n"/>
      <s:c r="C18478" s="121" t="n"/>
      <s:c r="D18478" s="121" t="n"/>
      <s:c r="E18478" s="122" t="n"/>
    </s:row>
    <s:row r="18479" hidden="1" ht="1" customHeight="1">
      <s:c r="A18479" s="120" t="inlineStr"/>
      <s:c r="B18479" s="121" t="n"/>
      <s:c r="C18479" s="121" t="n"/>
      <s:c r="D18479" s="121" t="n"/>
      <s:c r="E18479" s="122" t="n"/>
    </s:row>
    <s:row r="18480" hidden="1" ht="1" customHeight="1">
      <s:c r="A18480" s="120" t="inlineStr"/>
      <s:c r="B18480" s="121" t="n"/>
      <s:c r="C18480" s="121" t="n"/>
      <s:c r="D18480" s="121" t="n"/>
      <s:c r="E18480" s="122" t="n"/>
    </s:row>
    <s:row r="18481" hidden="1" ht="1" customHeight="1">
      <s:c r="A18481" s="120" t="inlineStr"/>
      <s:c r="B18481" s="121" t="n"/>
      <s:c r="C18481" s="121" t="n"/>
      <s:c r="D18481" s="121" t="n"/>
      <s:c r="E18481" s="122" t="n"/>
    </s:row>
    <s:row r="18482" hidden="1" ht="1" customHeight="1">
      <s:c r="A18482" s="120" t="inlineStr"/>
      <s:c r="B18482" s="121" t="n"/>
      <s:c r="C18482" s="121" t="n"/>
      <s:c r="D18482" s="121" t="n"/>
      <s:c r="E18482" s="122" t="n"/>
    </s:row>
    <s:row r="18483" hidden="1" ht="1" customHeight="1">
      <s:c r="A18483" s="120" t="inlineStr"/>
      <s:c r="B18483" s="121" t="n"/>
      <s:c r="C18483" s="121" t="n"/>
      <s:c r="D18483" s="121" t="n"/>
      <s:c r="E18483" s="122" t="n"/>
    </s:row>
    <s:row r="18484" hidden="1" ht="1" customHeight="1">
      <s:c r="A18484" s="120" t="inlineStr"/>
      <s:c r="B18484" s="121" t="n"/>
      <s:c r="C18484" s="121" t="n"/>
      <s:c r="D18484" s="121" t="n"/>
      <s:c r="E18484" s="122" t="n"/>
    </s:row>
    <s:row r="18485" hidden="1" ht="1" customHeight="1">
      <s:c r="A18485" s="120" t="inlineStr"/>
      <s:c r="B18485" s="121" t="n"/>
      <s:c r="C18485" s="121" t="n"/>
      <s:c r="D18485" s="121" t="n"/>
      <s:c r="E18485" s="122" t="n"/>
    </s:row>
    <s:row r="18486" hidden="1" ht="1" customHeight="1">
      <s:c r="A18486" s="120" t="inlineStr"/>
      <s:c r="B18486" s="121" t="n"/>
      <s:c r="C18486" s="121" t="n"/>
      <s:c r="D18486" s="121" t="n"/>
      <s:c r="E18486" s="122" t="n"/>
    </s:row>
    <s:row r="18487" hidden="1" ht="1" customHeight="1">
      <s:c r="A18487" s="120" t="inlineStr"/>
      <s:c r="B18487" s="121" t="n"/>
      <s:c r="C18487" s="121" t="n"/>
      <s:c r="D18487" s="121" t="n"/>
      <s:c r="E18487" s="122" t="n"/>
    </s:row>
    <s:row r="18488" hidden="1" ht="1" customHeight="1">
      <s:c r="A18488" s="120" t="inlineStr"/>
      <s:c r="B18488" s="121" t="n"/>
      <s:c r="C18488" s="121" t="n"/>
      <s:c r="D18488" s="121" t="n"/>
      <s:c r="E18488" s="122" t="n"/>
    </s:row>
    <s:row r="18489" hidden="1" ht="1" customHeight="1">
      <s:c r="A18489" s="120" t="inlineStr"/>
      <s:c r="B18489" s="121" t="n"/>
      <s:c r="C18489" s="121" t="n"/>
      <s:c r="D18489" s="121" t="n"/>
      <s:c r="E18489" s="122" t="n"/>
    </s:row>
    <s:row r="18490" hidden="1" ht="1" customHeight="1">
      <s:c r="A18490" s="120" t="inlineStr"/>
      <s:c r="B18490" s="121" t="n"/>
      <s:c r="C18490" s="121" t="n"/>
      <s:c r="D18490" s="121" t="n"/>
      <s:c r="E18490" s="122" t="n"/>
    </s:row>
    <s:row r="18491" hidden="1" ht="1" customHeight="1">
      <s:c r="A18491" s="120" t="inlineStr"/>
      <s:c r="B18491" s="121" t="n"/>
      <s:c r="C18491" s="121" t="n"/>
      <s:c r="D18491" s="121" t="n"/>
      <s:c r="E18491" s="122" t="n"/>
    </s:row>
    <s:row r="18492" hidden="1" ht="1" customHeight="1">
      <s:c r="A18492" s="120" t="inlineStr"/>
      <s:c r="B18492" s="121" t="n"/>
      <s:c r="C18492" s="121" t="n"/>
      <s:c r="D18492" s="121" t="n"/>
      <s:c r="E18492" s="122" t="n"/>
    </s:row>
    <s:row r="18493" hidden="1" ht="1" customHeight="1">
      <s:c r="A18493" s="120" t="inlineStr"/>
      <s:c r="B18493" s="121" t="n"/>
      <s:c r="C18493" s="121" t="n"/>
      <s:c r="D18493" s="121" t="n"/>
      <s:c r="E18493" s="122" t="n"/>
    </s:row>
    <s:row r="18494" hidden="1" ht="1" customHeight="1">
      <s:c r="A18494" s="120" t="inlineStr"/>
      <s:c r="B18494" s="121" t="n"/>
      <s:c r="C18494" s="121" t="n"/>
      <s:c r="D18494" s="121" t="n"/>
      <s:c r="E18494" s="122" t="n"/>
    </s:row>
    <s:row r="18495" hidden="1" ht="1" customHeight="1">
      <s:c r="A18495" s="120" t="inlineStr"/>
      <s:c r="B18495" s="121" t="n"/>
      <s:c r="C18495" s="121" t="n"/>
      <s:c r="D18495" s="121" t="n"/>
      <s:c r="E18495" s="122" t="n"/>
    </s:row>
    <s:row r="18496" hidden="1" ht="1" customHeight="1">
      <s:c r="A18496" s="120" t="inlineStr"/>
      <s:c r="B18496" s="121" t="n"/>
      <s:c r="C18496" s="121" t="n"/>
      <s:c r="D18496" s="121" t="n"/>
      <s:c r="E18496" s="122" t="n"/>
    </s:row>
    <s:row r="18497" hidden="1" ht="1" customHeight="1">
      <s:c r="A18497" s="120" t="inlineStr"/>
      <s:c r="B18497" s="121" t="n"/>
      <s:c r="C18497" s="121" t="n"/>
      <s:c r="D18497" s="121" t="n"/>
      <s:c r="E18497" s="122" t="n"/>
    </s:row>
    <s:row r="18498" hidden="1" ht="1" customHeight="1">
      <s:c r="A18498" s="120" t="inlineStr"/>
      <s:c r="B18498" s="121" t="n"/>
      <s:c r="C18498" s="121" t="n"/>
      <s:c r="D18498" s="121" t="n"/>
      <s:c r="E18498" s="122" t="n"/>
    </s:row>
    <s:row r="18499" hidden="1" ht="1" customHeight="1">
      <s:c r="A18499" s="120" t="inlineStr"/>
      <s:c r="B18499" s="121" t="n"/>
      <s:c r="C18499" s="121" t="n"/>
      <s:c r="D18499" s="121" t="n"/>
      <s:c r="E18499" s="122" t="n"/>
    </s:row>
    <s:row r="18500" hidden="1" ht="1" customHeight="1">
      <s:c r="A18500" s="120" t="inlineStr"/>
      <s:c r="B18500" s="121" t="n"/>
      <s:c r="C18500" s="121" t="n"/>
      <s:c r="D18500" s="121" t="n"/>
      <s:c r="E18500" s="122" t="n"/>
    </s:row>
    <s:row r="18501" hidden="1" ht="1" customHeight="1">
      <s:c r="A18501" s="120" t="inlineStr"/>
      <s:c r="B18501" s="121" t="n"/>
      <s:c r="C18501" s="121" t="n"/>
      <s:c r="D18501" s="121" t="n"/>
      <s:c r="E18501" s="122" t="n"/>
    </s:row>
    <s:row r="18502" hidden="1" ht="1" customHeight="1">
      <s:c r="A18502" s="83" t="inlineStr">
        <s:is>
          <s:t>PASS</s:t>
        </s:is>
      </s:c>
      <s:c r="B18502" s="83">
        <s:f>SUM(IF(EXACT('Kiểm thử'!E18452,"Đạt"),1,0))</s:f>
        <s:v/>
      </s:c>
      <s:c r="C18502" s="19" t="n"/>
      <s:c r="D18502" s="19" t="n"/>
      <s:c r="E18502" s="19" t="n"/>
    </s:row>
    <s:row r="18503" hidden="1" ht="1" customHeight="1">
      <s:c r="A18503" s="83" t="inlineStr">
        <s:is>
          <s:t>FAIL</s:t>
        </s:is>
      </s:c>
      <s:c r="B18503" s="83">
        <s:f>SUM(IF(EXACT('Kiểm thử'!E18452,"Không đạt"),1,0))</s:f>
        <s:v/>
      </s:c>
      <s:c r="C18503" s="19" t="n"/>
      <s:c r="D18503" s="19" t="n"/>
      <s:c r="E18503" s="19" t="n"/>
    </s:row>
    <s:row r="18504" hidden="1" ht="1" customHeight="1">
      <s:c r="A18504" s="83" t="inlineStr">
        <s:is>
          <s:t>BLOCKED</s:t>
        </s:is>
      </s:c>
      <s:c r="B18504" s="83">
        <s:f>SUM(IF(EXACT('Kiểm thử'!E18452,"Bị chặn"),1,0))</s:f>
        <s:v/>
      </s:c>
      <s:c r="C18504" s="19" t="n"/>
      <s:c r="D18504" s="19" t="n"/>
      <s:c r="E18504" s="19" t="n"/>
    </s:row>
    <s:row r="18505" hidden="1" ht="1" customHeight="1">
      <s:c r="A18505" s="83" t="inlineStr">
        <s:is>
          <s:t>SKIPPED</s:t>
        </s:is>
      </s:c>
      <s:c r="B18505" s="83">
        <s:f>SUM(IF(EXACT('Kiểm thử'!E18452,"Không thực hiện"),1,0))</s:f>
        <s:v/>
      </s:c>
      <s:c r="C18505" s="19" t="n"/>
      <s:c r="D18505" s="19" t="n"/>
      <s:c r="E18505" s="19" t="n"/>
    </s:row>
    <s:row r="18506" hidden="1" ht="1" customHeight="1">
      <s:c r="A18506" s="83" t="inlineStr">
        <s:is>
          <s:t>NOT RUN</s:t>
        </s:is>
      </s:c>
      <s:c r="B18506" s="83">
        <s:f>SUM(IF(EXACT('Kiểm thử'!E18452,"Chưa thực hiện"),1,0))</s:f>
        <s:v/>
      </s:c>
      <s:c r="C18506" s="19" t="n"/>
      <s:c r="D18506" s="19" t="n"/>
      <s:c r="E18506" s="19" t="n"/>
    </s:row>
    <s:row r="18507" hidden="1" ht="6" customHeight="1">
      <s:c r="A18507" s="83" t="inlineStr"/>
      <s:c r="B18507" s="19" t="n"/>
      <s:c r="C18507" s="19" t="n"/>
      <s:c r="D18507" s="19" t="n"/>
      <s:c r="E18507" s="19" t="n"/>
    </s:row>
    <s:row r="18508" ht="28" customHeight="1">
      <s:c r="A18508" s="108" t="inlineStr">
        <s:is>
          <s:t>TC-RS-REG-008 — Công khai: điểm ẩn, lịch và đối tượng công khai được giữ</s:t>
        </s:is>
      </s:c>
      <s:c r="B18508" s="111" t="n"/>
      <s:c r="C18508" s="111" t="n"/>
      <s:c r="D18508" s="111" t="n"/>
      <s:c r="E18508" s="111" t="n"/>
    </s:row>
    <s:row r="18509" ht="20" customHeight="1">
      <s:c r="A18509" s="112" t="inlineStr">
        <s:is>
          <s:t>Kết quả tình huống</s:t>
        </s:is>
      </s:c>
      <s:c r="B18509" s="113">
        <s:f>IF(SUM(IF(EXACT('Kiểm thử'!E18519,"Không đạt"),1,0),IF(EXACT('Kiểm thử'!E18521,"Không đạt"),1,0),IF(EXACT('Kiểm thử'!E18523,"Không đạt"),1,0),IF(EXACT('Kiểm thử'!E18525,"Không đạt"),1,0),IF(EXACT('Kiểm thử'!E18527,"Không đạt"),1,0),IF(EXACT('Kiểm thử'!E18529,"Không đạt"),1,0))&gt;0,"Không đạt",IF(SUM(IF(EXACT('Kiểm thử'!E18519,"Đạt"),1,0),IF(EXACT('Kiểm thử'!E18521,"Đạt"),1,0),IF(EXACT('Kiểm thử'!E18523,"Đạt"),1,0),IF(EXACT('Kiểm thử'!E18525,"Đạt"),1,0),IF(EXACT('Kiểm thử'!E18527,"Đạt"),1,0),IF(EXACT('Kiểm thử'!E18529,"Đạt"),1,0))=6,"Đạt",IF(SUM(IF(EXACT('Kiểm thử'!E18519,"Không thực hiện"),1,0),IF(EXACT('Kiểm thử'!E18521,"Không thực hiện"),1,0),IF(EXACT('Kiểm thử'!E18523,"Không thực hiện"),1,0),IF(EXACT('Kiểm thử'!E18525,"Không thực hiện"),1,0),IF(EXACT('Kiểm thử'!E18527,"Không thực hiện"),1,0),IF(EXACT('Kiểm thử'!E18529,"Không thực hiện"),1,0))=6,"Không thực hiện",IF(SUM(IF(EXACT('Kiểm thử'!E18519,"Bị chặn"),1,0),IF(EXACT('Kiểm thử'!E18521,"Bị chặn"),1,0),IF(EXACT('Kiểm thử'!E18523,"Bị chặn"),1,0),IF(EXACT('Kiểm thử'!E18525,"Bị chặn"),1,0),IF(EXACT('Kiểm thử'!E18527,"Bị chặn"),1,0),IF(EXACT('Kiểm thử'!E18529,"Bị chặn"),1,0))&gt;0,"Bị chặn",IF(SUM(IF(EXACT('Kiểm thử'!E18519,"Chưa thực hiện"),1,0),IF(EXACT('Kiểm thử'!E18521,"Chưa thực hiện"),1,0),IF(EXACT('Kiểm thử'!E18523,"Chưa thực hiện"),1,0),IF(EXACT('Kiểm thử'!E18525,"Chưa thực hiện"),1,0),IF(EXACT('Kiểm thử'!E18527,"Chưa thực hiện"),1,0),IF(EXACT('Kiểm thử'!E18529,"Chưa thực hiện"),1,0))=6,"Chưa thực hiện","Đang thực hiện")))))</s:f>
        <s:v/>
      </s:c>
      <s:c r="C18509" s="114" t="n"/>
      <s:c r="D18509" s="114" t="n"/>
      <s:c r="E18509" s="114" t="n"/>
    </s:row>
    <s:row r="18510" ht="20" customHeight="1">
      <s:c r="A18510" s="112" t="inlineStr">
        <s:is>
          <s:t>Màn hình / chức năng</s:t>
        </s:is>
      </s:c>
      <s:c r="B18510" s="113" t="inlineStr">
        <s:is>
          <s:r>
            <s:rPr>
              <s:b val="1"/>
            </s:rPr>
            <s:t>Công khai thành tích（成績公開）</s:t>
          </s:r>
        </s:is>
      </s:c>
      <s:c r="C18510" s="28" t="n"/>
      <s:c r="D18510" s="28" t="n"/>
      <s:c r="E18510" s="28" t="n"/>
    </s:row>
    <s:row r="18511" ht="48" customHeight="1">
      <s:c r="A18511" s="112" t="inlineStr">
        <s:is>
          <s:t>Cấu hình</s:t>
        </s:is>
      </s:c>
      <s:c r="B18511" s="113" t="inlineStr">
        <s:is>
          <s:r>
            <s:t xml:space="preserve">• S06 Đỏ, mục </s:t>
          </s:r>
          <s:r>
            <s:rPr>
              <s:b val="1"/>
            </s:rPr>
            <s:t>đặt Không hiển thị（表示しない）</s:t>
          </s:r>
          <s:r>
            <s:t xml:space="preserve"> cho điểm dự kiến;
• Lịch công khai đang mở cho HR2;
• Một lịch đã đóng.</s:t>
          </s:r>
        </s:is>
      </s:c>
      <s:c r="C18511" s="28" t="n"/>
      <s:c r="D18511" s="28" t="n"/>
      <s:c r="E18511" s="28" t="n"/>
    </s:row>
    <s:row r="18512" ht="34" customHeight="1">
      <s:c r="A18512" s="112" t="inlineStr">
        <s:is>
          <s:t>Vai trò / quyền</s:t>
        </s:is>
      </s:c>
      <s:c r="B18512" s="113" t="inlineStr">
        <s:is>
          <s:t>• Người có quyền cấu hình công khai;
• Xem bằng tài khoản học sinh S06 đúng trường/năm/lịch mở.</s:t>
        </s:is>
      </s:c>
      <s:c r="C18512" s="28" t="n"/>
      <s:c r="D18512" s="28" t="n"/>
      <s:c r="E18512" s="28" t="n"/>
    </s:row>
    <s:row r="18513" ht="34" customHeight="1">
      <s:c r="A18513" s="112" t="inlineStr">
        <s:is>
          <s:t>Dữ liệu test</s:t>
        </s:is>
      </s:c>
      <s:c r="B18513" s="113" t="inlineStr">
        <s:is>
          <s:t>• Học sinh S06 (điểm dự kiến 24), tài khoản học sinh S06 theo TD-ROLE-06;
• TD-ROLE-05 thuộc S01 và không dùng cho case này.</s:t>
        </s:is>
      </s:c>
      <s:c r="C18513" s="28" t="n"/>
      <s:c r="D18513" s="28" t="n"/>
      <s:c r="E18513" s="28" t="n"/>
    </s:row>
    <s:row r="18514" ht="20" customHeight="1">
      <s:c r="A18514" s="112" t="inlineStr">
        <s:is>
          <s:t>Bước 1</s:t>
        </s:is>
      </s:c>
      <s:c r="B18514" s="113" t="inlineStr">
        <s:is>
          <s:t>Xác minh S06/TD-ROLE-06, thiết lập ẩn điểm dự kiến và lịch của trường hợp.</s:t>
        </s:is>
      </s:c>
      <s:c r="C18514" s="28" t="n"/>
      <s:c r="D18514" s="28" t="n"/>
      <s:c r="E18514" s="28" t="n"/>
    </s:row>
    <s:row r="18515" ht="20" customHeight="1">
      <s:c r="A18515" s="112" t="inlineStr">
        <s:is>
          <s:t>Bước 2</s:t>
        </s:is>
      </s:c>
      <s:c r="B18515" s="113" t="inlineStr">
        <s:is>
          <s:t>Xem/tải đúng kênh và lịch mở/đóng trong bảng trường hợp.</s:t>
        </s:is>
      </s:c>
      <s:c r="C18515" s="28" t="n"/>
      <s:c r="D18515" s="28" t="n"/>
      <s:c r="E18515" s="28" t="n"/>
    </s:row>
    <s:row r="18516" ht="20" customHeight="1">
      <s:c r="A18516" s="112" t="inlineStr">
        <s:is>
          <s:t>Bước 3</s:t>
        </s:is>
      </s:c>
      <s:c r="B18516" s="113" t="inlineStr">
        <s:is>
          <s:t>Đối chiếu baseline quyền/ẩn, không dùng tài khoản S01 để kiểm S06.</s:t>
        </s:is>
      </s:c>
      <s:c r="C18516" s="28" t="n"/>
      <s:c r="D18516" s="28" t="n"/>
      <s:c r="E18516" s="28" t="n"/>
    </s:row>
    <s:row r="18517" ht="28" customHeight="1">
      <s:c r="A18517" s="115" t="inlineStr">
        <s:is>
          <s:t>Trường hợp</s:t>
        </s:is>
      </s:c>
      <s:c r="B18517" s="115" t="inlineStr">
        <s:is>
          <s:t>Dữ liệu / thao tác riêng</s:t>
        </s:is>
      </s:c>
      <s:c r="C18517" s="115" t="inlineStr">
        <s:is>
          <s:t>Kết quả mong đợi</s:t>
        </s:is>
      </s:c>
      <s:c r="D18517" s="115" t="inlineStr">
        <s:is>
          <s:t>Kết quả thực tế</s:t>
        </s:is>
      </s:c>
      <s:c r="E18517" s="115" t="inlineStr">
        <s:is>
          <s:t>Đánh giá</s:t>
        </s:is>
      </s:c>
    </s:row>
    <s:row r="18518" ht="3" customHeight="1">
      <s:c r="A18518" s="102" t="inlineStr"/>
      <s:c r="B18518" s="99" t="n"/>
      <s:c r="C18518" s="99" t="n"/>
      <s:c r="D18518" s="116" t="n"/>
      <s:c r="E18518" s="116" t="n"/>
    </s:row>
    <s:row r="18519" ht="104" customHeight="1">
      <s:c r="A18519" s="83" t="inlineStr">
        <s:is>
          <s:t>Web học sinh khi lịch mở (web-open)</s:t>
        </s:is>
      </s:c>
      <s:c r="B18519" s="83" t="inlineStr">
        <s:is>
          <s:r>
            <s:t xml:space="preserve">Tài khoản S06 theo TD-ROLE-06, không dùng S01/TD-ROLE-05; S06 có điểm dự kiến24/Đỏ, </s:t>
          </s:r>
          <s:r>
            <s:rPr>
              <s:b val="1"/>
            </s:rPr>
            <s:t>mục Không hiển thị（表示しない）</s:t>
          </s:r>
          <s:r>
            <s:t xml:space="preserve">. Lịch HR2 mở: xem/tải màn </s:t>
          </s:r>
          <s:r>
            <s:rPr>
              <s:b val="1"/>
            </s:rPr>
            <s:t>Xác nhận thành tích（成績確認）</s:t>
          </s:r>
          <s:r>
            <s:t xml:space="preserve"> của S06 và đối chiếu baseline quyền/ẩn.</s:t>
          </s:r>
        </s:is>
      </s:c>
      <s:c r="C18519" s="83" t="inlineStr">
        <s:is>
          <s:t>1. Điểm vẫn ẩn; không có dấu đỏ riêng lẻ.</s:t>
        </s:is>
      </s:c>
      <s:c r="D18519" s="117" t="inlineStr"/>
      <s:c r="E18519" s="118" t="inlineStr">
        <s:is>
          <s:t>Chưa thực hiện</s:t>
        </s:is>
      </s:c>
    </s:row>
    <s:row r="18520" ht="3" customHeight="1">
      <s:c r="A18520" s="102" t="inlineStr"/>
      <s:c r="B18520" s="99" t="n"/>
      <s:c r="C18520" s="99" t="n"/>
      <s:c r="D18520" s="116" t="n"/>
      <s:c r="E18520" s="116" t="n"/>
    </s:row>
    <s:row r="18521" ht="104" customHeight="1">
      <s:c r="A18521" s="83" t="inlineStr">
        <s:is>
          <s:t>API học sinh khi lịch mở (api-open)</s:t>
        </s:is>
      </s:c>
      <s:c r="B18521" s="83" t="inlineStr">
        <s:is>
          <s:r>
            <s:t xml:space="preserve">Tài khoản S06 theo TD-ROLE-06, không dùng S01/TD-ROLE-05; S06 có điểm dự kiến24/Đỏ, </s:t>
          </s:r>
          <s:r>
            <s:rPr>
              <s:b val="1"/>
            </s:rPr>
            <s:t>mục Không hiển thị（表示しない）</s:t>
          </s:r>
          <s:r>
            <s:t>. Lịch HR2 mở: xem/tải response API công khai bằng phiên học sinh của S06 và đối chiếu baseline quyền/ẩn.</s:t>
          </s:r>
        </s:is>
      </s:c>
      <s:c r="C18521" s="83" t="inlineStr">
        <s:is>
          <s:t>1. Điểm vẫn ẩn; không có dấu đỏ riêng lẻ.</s:t>
        </s:is>
      </s:c>
      <s:c r="D18521" s="117" t="inlineStr"/>
      <s:c r="E18521" s="118" t="inlineStr">
        <s:is>
          <s:t>Chưa thực hiện</s:t>
        </s:is>
      </s:c>
    </s:row>
    <s:row r="18522" ht="3" customHeight="1">
      <s:c r="A18522" s="102" t="inlineStr"/>
      <s:c r="B18522" s="99" t="n"/>
      <s:c r="C18522" s="99" t="n"/>
      <s:c r="D18522" s="116" t="n"/>
      <s:c r="E18522" s="116" t="n"/>
    </s:row>
    <s:row r="18523" ht="104" customHeight="1">
      <s:c r="A18523" s="83" t="inlineStr">
        <s:is>
          <s:t>PDF học sinh khi lịch mở (pdf-open)</s:t>
        </s:is>
      </s:c>
      <s:c r="B18523" s="83" t="inlineStr">
        <s:is>
          <s:r>
            <s:t xml:space="preserve">Tài khoản S06 theo TD-ROLE-06, không dùng S01/TD-ROLE-05; S06 có điểm dự kiến24/Đỏ, </s:t>
          </s:r>
          <s:r>
            <s:rPr>
              <s:b val="1"/>
            </s:rPr>
            <s:t>mục Không hiển thị（表示しない）</s:t>
          </s:r>
          <s:r>
            <s:t>. Lịch HR2 mở: xem/tải PDF công khai của đúng học sinh của S06 và đối chiếu baseline quyền/ẩn.</s:t>
          </s:r>
        </s:is>
      </s:c>
      <s:c r="C18523" s="83" t="inlineStr">
        <s:is>
          <s:t>1. Điểm vẫn ẩn; không có dấu đỏ riêng lẻ.</s:t>
        </s:is>
      </s:c>
      <s:c r="D18523" s="117" t="inlineStr"/>
      <s:c r="E18523" s="118" t="inlineStr">
        <s:is>
          <s:t>Chưa thực hiện</s:t>
        </s:is>
      </s:c>
    </s:row>
    <s:row r="18524" ht="3" customHeight="1">
      <s:c r="A18524" s="102" t="inlineStr"/>
      <s:c r="B18524" s="99" t="n"/>
      <s:c r="C18524" s="99" t="n"/>
      <s:c r="D18524" s="116" t="n"/>
      <s:c r="E18524" s="116" t="n"/>
    </s:row>
    <s:row r="18525" ht="104" customHeight="1">
      <s:c r="A18525" s="83" t="inlineStr">
        <s:is>
          <s:t>Web học sinh khi lịch đóng (web-closed)</s:t>
        </s:is>
      </s:c>
      <s:c r="B18525" s="83" t="inlineStr">
        <s:is>
          <s:r>
            <s:t xml:space="preserve">Tài khoản S06 theo TD-ROLE-06, không dùng S01/TD-ROLE-05; S06 có điểm dự kiến24/Đỏ, </s:t>
          </s:r>
          <s:r>
            <s:rPr>
              <s:b val="1"/>
            </s:rPr>
            <s:t>mục Không hiển thị（表示しない）</s:t>
          </s:r>
          <s:r>
            <s:t xml:space="preserve">. Lịch đóng: xem/tải màn </s:t>
          </s:r>
          <s:r>
            <s:rPr>
              <s:b val="1"/>
            </s:rPr>
            <s:t>Xác nhận thành tích（成績確認）</s:t>
          </s:r>
          <s:r>
            <s:t xml:space="preserve"> của S06 và đối chiếu baseline quyền/ẩn.</s:t>
          </s:r>
        </s:is>
      </s:c>
      <s:c r="C18525" s="83" t="inlineStr">
        <s:is>
          <s:t>2. Không xem được như baseline.</s:t>
        </s:is>
      </s:c>
      <s:c r="D18525" s="117" t="inlineStr"/>
      <s:c r="E18525" s="118" t="inlineStr">
        <s:is>
          <s:t>Chưa thực hiện</s:t>
        </s:is>
      </s:c>
    </s:row>
    <s:row r="18526" ht="3" customHeight="1">
      <s:c r="A18526" s="102" t="inlineStr"/>
      <s:c r="B18526" s="99" t="n"/>
      <s:c r="C18526" s="99" t="n"/>
      <s:c r="D18526" s="116" t="n"/>
      <s:c r="E18526" s="116" t="n"/>
    </s:row>
    <s:row r="18527" ht="104" customHeight="1">
      <s:c r="A18527" s="83" t="inlineStr">
        <s:is>
          <s:t>API học sinh khi lịch đóng (api-closed)</s:t>
        </s:is>
      </s:c>
      <s:c r="B18527" s="83" t="inlineStr">
        <s:is>
          <s:r>
            <s:t xml:space="preserve">Tài khoản S06 theo TD-ROLE-06, không dùng S01/TD-ROLE-05; S06 có điểm dự kiến24/Đỏ, </s:t>
          </s:r>
          <s:r>
            <s:rPr>
              <s:b val="1"/>
            </s:rPr>
            <s:t>mục Không hiển thị（表示しない）</s:t>
          </s:r>
          <s:r>
            <s:t>. Lịch đóng: xem/tải response API công khai bằng phiên học sinh của S06 và đối chiếu baseline quyền/ẩn.</s:t>
          </s:r>
        </s:is>
      </s:c>
      <s:c r="C18527" s="83" t="inlineStr">
        <s:is>
          <s:t>2. Không xem được như baseline.</s:t>
        </s:is>
      </s:c>
      <s:c r="D18527" s="117" t="inlineStr"/>
      <s:c r="E18527" s="118" t="inlineStr">
        <s:is>
          <s:t>Chưa thực hiện</s:t>
        </s:is>
      </s:c>
    </s:row>
    <s:row r="18528" ht="3" customHeight="1">
      <s:c r="A18528" s="102" t="inlineStr"/>
      <s:c r="B18528" s="99" t="n"/>
      <s:c r="C18528" s="99" t="n"/>
      <s:c r="D18528" s="116" t="n"/>
      <s:c r="E18528" s="116" t="n"/>
    </s:row>
    <s:row r="18529" ht="104" customHeight="1">
      <s:c r="A18529" s="83" t="inlineStr">
        <s:is>
          <s:t>PDF học sinh khi lịch đóng (pdf-closed)</s:t>
        </s:is>
      </s:c>
      <s:c r="B18529" s="83" t="inlineStr">
        <s:is>
          <s:r>
            <s:t xml:space="preserve">Tài khoản S06 theo TD-ROLE-06, không dùng S01/TD-ROLE-05; S06 có điểm dự kiến24/Đỏ, </s:t>
          </s:r>
          <s:r>
            <s:rPr>
              <s:b val="1"/>
            </s:rPr>
            <s:t>mục Không hiển thị（表示しない）</s:t>
          </s:r>
          <s:r>
            <s:t>. Lịch đóng: xem/tải PDF công khai của đúng học sinh của S06 và đối chiếu baseline quyền/ẩn.</s:t>
          </s:r>
        </s:is>
      </s:c>
      <s:c r="C18529" s="83" t="inlineStr">
        <s:is>
          <s:t>2. Không xem được như baseline.</s:t>
        </s:is>
      </s:c>
      <s:c r="D18529" s="117" t="inlineStr"/>
      <s:c r="E18529" s="118" t="inlineStr">
        <s:is>
          <s:t>Chưa thực hiện</s:t>
        </s:is>
      </s:c>
    </s:row>
    <s:row r="18530" ht="20" customHeight="1">
      <s:c r="A18530" s="119" t="inlineStr">
        <s:is>
          <s:t>Ảnh minh chứng — Chưa có ảnh</s:t>
        </s:is>
      </s:c>
      <s:c r="B18530" s="19" t="n"/>
      <s:c r="C18530" s="19" t="n"/>
      <s:c r="D18530" s="19" t="n"/>
      <s:c r="E18530" s="19" t="n"/>
    </s:row>
    <s:row r="18531" hidden="1" ht="1" customHeight="1">
      <s:c r="A18531" s="120" t="inlineStr"/>
      <s:c r="B18531" s="121" t="n"/>
      <s:c r="C18531" s="121" t="n"/>
      <s:c r="D18531" s="121" t="n"/>
      <s:c r="E18531" s="122" t="n"/>
    </s:row>
    <s:row r="18532" hidden="1" ht="1" customHeight="1">
      <s:c r="A18532" s="120" t="inlineStr"/>
      <s:c r="B18532" s="121" t="n"/>
      <s:c r="C18532" s="121" t="n"/>
      <s:c r="D18532" s="121" t="n"/>
      <s:c r="E18532" s="122" t="n"/>
    </s:row>
    <s:row r="18533" hidden="1" ht="1" customHeight="1">
      <s:c r="A18533" s="120" t="inlineStr"/>
      <s:c r="B18533" s="121" t="n"/>
      <s:c r="C18533" s="121" t="n"/>
      <s:c r="D18533" s="121" t="n"/>
      <s:c r="E18533" s="122" t="n"/>
    </s:row>
    <s:row r="18534" hidden="1" ht="1" customHeight="1">
      <s:c r="A18534" s="120" t="inlineStr"/>
      <s:c r="B18534" s="121" t="n"/>
      <s:c r="C18534" s="121" t="n"/>
      <s:c r="D18534" s="121" t="n"/>
      <s:c r="E18534" s="122" t="n"/>
    </s:row>
    <s:row r="18535" hidden="1" ht="1" customHeight="1">
      <s:c r="A18535" s="120" t="inlineStr"/>
      <s:c r="B18535" s="121" t="n"/>
      <s:c r="C18535" s="121" t="n"/>
      <s:c r="D18535" s="121" t="n"/>
      <s:c r="E18535" s="122" t="n"/>
    </s:row>
    <s:row r="18536" hidden="1" ht="1" customHeight="1">
      <s:c r="A18536" s="120" t="inlineStr"/>
      <s:c r="B18536" s="121" t="n"/>
      <s:c r="C18536" s="121" t="n"/>
      <s:c r="D18536" s="121" t="n"/>
      <s:c r="E18536" s="122" t="n"/>
    </s:row>
    <s:row r="18537" hidden="1" ht="1" customHeight="1">
      <s:c r="A18537" s="120" t="inlineStr"/>
      <s:c r="B18537" s="121" t="n"/>
      <s:c r="C18537" s="121" t="n"/>
      <s:c r="D18537" s="121" t="n"/>
      <s:c r="E18537" s="122" t="n"/>
    </s:row>
    <s:row r="18538" hidden="1" ht="1" customHeight="1">
      <s:c r="A18538" s="120" t="inlineStr"/>
      <s:c r="B18538" s="121" t="n"/>
      <s:c r="C18538" s="121" t="n"/>
      <s:c r="D18538" s="121" t="n"/>
      <s:c r="E18538" s="122" t="n"/>
    </s:row>
    <s:row r="18539" hidden="1" ht="1" customHeight="1">
      <s:c r="A18539" s="120" t="inlineStr"/>
      <s:c r="B18539" s="121" t="n"/>
      <s:c r="C18539" s="121" t="n"/>
      <s:c r="D18539" s="121" t="n"/>
      <s:c r="E18539" s="122" t="n"/>
    </s:row>
    <s:row r="18540" hidden="1" ht="1" customHeight="1">
      <s:c r="A18540" s="120" t="inlineStr"/>
      <s:c r="B18540" s="121" t="n"/>
      <s:c r="C18540" s="121" t="n"/>
      <s:c r="D18540" s="121" t="n"/>
      <s:c r="E18540" s="122" t="n"/>
    </s:row>
    <s:row r="18541" hidden="1" ht="1" customHeight="1">
      <s:c r="A18541" s="120" t="inlineStr"/>
      <s:c r="B18541" s="121" t="n"/>
      <s:c r="C18541" s="121" t="n"/>
      <s:c r="D18541" s="121" t="n"/>
      <s:c r="E18541" s="122" t="n"/>
    </s:row>
    <s:row r="18542" hidden="1" ht="1" customHeight="1">
      <s:c r="A18542" s="120" t="inlineStr"/>
      <s:c r="B18542" s="121" t="n"/>
      <s:c r="C18542" s="121" t="n"/>
      <s:c r="D18542" s="121" t="n"/>
      <s:c r="E18542" s="122" t="n"/>
    </s:row>
    <s:row r="18543" hidden="1" ht="1" customHeight="1">
      <s:c r="A18543" s="120" t="inlineStr"/>
      <s:c r="B18543" s="121" t="n"/>
      <s:c r="C18543" s="121" t="n"/>
      <s:c r="D18543" s="121" t="n"/>
      <s:c r="E18543" s="122" t="n"/>
    </s:row>
    <s:row r="18544" hidden="1" ht="1" customHeight="1">
      <s:c r="A18544" s="120" t="inlineStr"/>
      <s:c r="B18544" s="121" t="n"/>
      <s:c r="C18544" s="121" t="n"/>
      <s:c r="D18544" s="121" t="n"/>
      <s:c r="E18544" s="122" t="n"/>
    </s:row>
    <s:row r="18545" hidden="1" ht="1" customHeight="1">
      <s:c r="A18545" s="120" t="inlineStr"/>
      <s:c r="B18545" s="121" t="n"/>
      <s:c r="C18545" s="121" t="n"/>
      <s:c r="D18545" s="121" t="n"/>
      <s:c r="E18545" s="122" t="n"/>
    </s:row>
    <s:row r="18546" hidden="1" ht="1" customHeight="1">
      <s:c r="A18546" s="120" t="inlineStr"/>
      <s:c r="B18546" s="121" t="n"/>
      <s:c r="C18546" s="121" t="n"/>
      <s:c r="D18546" s="121" t="n"/>
      <s:c r="E18546" s="122" t="n"/>
    </s:row>
    <s:row r="18547" hidden="1" ht="1" customHeight="1">
      <s:c r="A18547" s="120" t="inlineStr"/>
      <s:c r="B18547" s="121" t="n"/>
      <s:c r="C18547" s="121" t="n"/>
      <s:c r="D18547" s="121" t="n"/>
      <s:c r="E18547" s="122" t="n"/>
    </s:row>
    <s:row r="18548" hidden="1" ht="1" customHeight="1">
      <s:c r="A18548" s="120" t="inlineStr"/>
      <s:c r="B18548" s="121" t="n"/>
      <s:c r="C18548" s="121" t="n"/>
      <s:c r="D18548" s="121" t="n"/>
      <s:c r="E18548" s="122" t="n"/>
    </s:row>
    <s:row r="18549" hidden="1" ht="1" customHeight="1">
      <s:c r="A18549" s="120" t="inlineStr"/>
      <s:c r="B18549" s="121" t="n"/>
      <s:c r="C18549" s="121" t="n"/>
      <s:c r="D18549" s="121" t="n"/>
      <s:c r="E18549" s="122" t="n"/>
    </s:row>
    <s:row r="18550" hidden="1" ht="1" customHeight="1">
      <s:c r="A18550" s="120" t="inlineStr"/>
      <s:c r="B18550" s="121" t="n"/>
      <s:c r="C18550" s="121" t="n"/>
      <s:c r="D18550" s="121" t="n"/>
      <s:c r="E18550" s="122" t="n"/>
    </s:row>
    <s:row r="18551" hidden="1" ht="1" customHeight="1">
      <s:c r="A18551" s="120" t="inlineStr"/>
      <s:c r="B18551" s="121" t="n"/>
      <s:c r="C18551" s="121" t="n"/>
      <s:c r="D18551" s="121" t="n"/>
      <s:c r="E18551" s="122" t="n"/>
    </s:row>
    <s:row r="18552" hidden="1" ht="1" customHeight="1">
      <s:c r="A18552" s="120" t="inlineStr"/>
      <s:c r="B18552" s="121" t="n"/>
      <s:c r="C18552" s="121" t="n"/>
      <s:c r="D18552" s="121" t="n"/>
      <s:c r="E18552" s="122" t="n"/>
    </s:row>
    <s:row r="18553" hidden="1" ht="1" customHeight="1">
      <s:c r="A18553" s="120" t="inlineStr"/>
      <s:c r="B18553" s="121" t="n"/>
      <s:c r="C18553" s="121" t="n"/>
      <s:c r="D18553" s="121" t="n"/>
      <s:c r="E18553" s="122" t="n"/>
    </s:row>
    <s:row r="18554" hidden="1" ht="1" customHeight="1">
      <s:c r="A18554" s="120" t="inlineStr"/>
      <s:c r="B18554" s="121" t="n"/>
      <s:c r="C18554" s="121" t="n"/>
      <s:c r="D18554" s="121" t="n"/>
      <s:c r="E18554" s="122" t="n"/>
    </s:row>
    <s:row r="18555" hidden="1" ht="1" customHeight="1">
      <s:c r="A18555" s="120" t="inlineStr"/>
      <s:c r="B18555" s="121" t="n"/>
      <s:c r="C18555" s="121" t="n"/>
      <s:c r="D18555" s="121" t="n"/>
      <s:c r="E18555" s="122" t="n"/>
    </s:row>
    <s:row r="18556" hidden="1" ht="1" customHeight="1">
      <s:c r="A18556" s="120" t="inlineStr"/>
      <s:c r="B18556" s="121" t="n"/>
      <s:c r="C18556" s="121" t="n"/>
      <s:c r="D18556" s="121" t="n"/>
      <s:c r="E18556" s="122" t="n"/>
    </s:row>
    <s:row r="18557" hidden="1" ht="1" customHeight="1">
      <s:c r="A18557" s="120" t="inlineStr"/>
      <s:c r="B18557" s="121" t="n"/>
      <s:c r="C18557" s="121" t="n"/>
      <s:c r="D18557" s="121" t="n"/>
      <s:c r="E18557" s="122" t="n"/>
    </s:row>
    <s:row r="18558" hidden="1" ht="1" customHeight="1">
      <s:c r="A18558" s="120" t="inlineStr"/>
      <s:c r="B18558" s="121" t="n"/>
      <s:c r="C18558" s="121" t="n"/>
      <s:c r="D18558" s="121" t="n"/>
      <s:c r="E18558" s="122" t="n"/>
    </s:row>
    <s:row r="18559" hidden="1" ht="1" customHeight="1">
      <s:c r="A18559" s="120" t="inlineStr"/>
      <s:c r="B18559" s="121" t="n"/>
      <s:c r="C18559" s="121" t="n"/>
      <s:c r="D18559" s="121" t="n"/>
      <s:c r="E18559" s="122" t="n"/>
    </s:row>
    <s:row r="18560" hidden="1" ht="1" customHeight="1">
      <s:c r="A18560" s="120" t="inlineStr"/>
      <s:c r="B18560" s="121" t="n"/>
      <s:c r="C18560" s="121" t="n"/>
      <s:c r="D18560" s="121" t="n"/>
      <s:c r="E18560" s="122" t="n"/>
    </s:row>
    <s:row r="18561" hidden="1" ht="1" customHeight="1">
      <s:c r="A18561" s="120" t="inlineStr"/>
      <s:c r="B18561" s="121" t="n"/>
      <s:c r="C18561" s="121" t="n"/>
      <s:c r="D18561" s="121" t="n"/>
      <s:c r="E18561" s="122" t="n"/>
    </s:row>
    <s:row r="18562" hidden="1" ht="1" customHeight="1">
      <s:c r="A18562" s="120" t="inlineStr"/>
      <s:c r="B18562" s="121" t="n"/>
      <s:c r="C18562" s="121" t="n"/>
      <s:c r="D18562" s="121" t="n"/>
      <s:c r="E18562" s="122" t="n"/>
    </s:row>
    <s:row r="18563" hidden="1" ht="1" customHeight="1">
      <s:c r="A18563" s="120" t="inlineStr"/>
      <s:c r="B18563" s="121" t="n"/>
      <s:c r="C18563" s="121" t="n"/>
      <s:c r="D18563" s="121" t="n"/>
      <s:c r="E18563" s="122" t="n"/>
    </s:row>
    <s:row r="18564" hidden="1" ht="1" customHeight="1">
      <s:c r="A18564" s="120" t="inlineStr"/>
      <s:c r="B18564" s="121" t="n"/>
      <s:c r="C18564" s="121" t="n"/>
      <s:c r="D18564" s="121" t="n"/>
      <s:c r="E18564" s="122" t="n"/>
    </s:row>
    <s:row r="18565" hidden="1" ht="1" customHeight="1">
      <s:c r="A18565" s="120" t="inlineStr"/>
      <s:c r="B18565" s="121" t="n"/>
      <s:c r="C18565" s="121" t="n"/>
      <s:c r="D18565" s="121" t="n"/>
      <s:c r="E18565" s="122" t="n"/>
    </s:row>
    <s:row r="18566" hidden="1" ht="1" customHeight="1">
      <s:c r="A18566" s="120" t="inlineStr"/>
      <s:c r="B18566" s="121" t="n"/>
      <s:c r="C18566" s="121" t="n"/>
      <s:c r="D18566" s="121" t="n"/>
      <s:c r="E18566" s="122" t="n"/>
    </s:row>
    <s:row r="18567" hidden="1" ht="1" customHeight="1">
      <s:c r="A18567" s="120" t="inlineStr"/>
      <s:c r="B18567" s="121" t="n"/>
      <s:c r="C18567" s="121" t="n"/>
      <s:c r="D18567" s="121" t="n"/>
      <s:c r="E18567" s="122" t="n"/>
    </s:row>
    <s:row r="18568" hidden="1" ht="1" customHeight="1">
      <s:c r="A18568" s="120" t="inlineStr"/>
      <s:c r="B18568" s="121" t="n"/>
      <s:c r="C18568" s="121" t="n"/>
      <s:c r="D18568" s="121" t="n"/>
      <s:c r="E18568" s="122" t="n"/>
    </s:row>
    <s:row r="18569" hidden="1" ht="1" customHeight="1">
      <s:c r="A18569" s="120" t="inlineStr"/>
      <s:c r="B18569" s="121" t="n"/>
      <s:c r="C18569" s="121" t="n"/>
      <s:c r="D18569" s="121" t="n"/>
      <s:c r="E18569" s="122" t="n"/>
    </s:row>
    <s:row r="18570" hidden="1" ht="1" customHeight="1">
      <s:c r="A18570" s="120" t="inlineStr"/>
      <s:c r="B18570" s="121" t="n"/>
      <s:c r="C18570" s="121" t="n"/>
      <s:c r="D18570" s="121" t="n"/>
      <s:c r="E18570" s="122" t="n"/>
    </s:row>
    <s:row r="18571" hidden="1" ht="1" customHeight="1">
      <s:c r="A18571" s="120" t="inlineStr"/>
      <s:c r="B18571" s="121" t="n"/>
      <s:c r="C18571" s="121" t="n"/>
      <s:c r="D18571" s="121" t="n"/>
      <s:c r="E18571" s="122" t="n"/>
    </s:row>
    <s:row r="18572" hidden="1" ht="1" customHeight="1">
      <s:c r="A18572" s="120" t="inlineStr"/>
      <s:c r="B18572" s="121" t="n"/>
      <s:c r="C18572" s="121" t="n"/>
      <s:c r="D18572" s="121" t="n"/>
      <s:c r="E18572" s="122" t="n"/>
    </s:row>
    <s:row r="18573" hidden="1" ht="1" customHeight="1">
      <s:c r="A18573" s="120" t="inlineStr"/>
      <s:c r="B18573" s="121" t="n"/>
      <s:c r="C18573" s="121" t="n"/>
      <s:c r="D18573" s="121" t="n"/>
      <s:c r="E18573" s="122" t="n"/>
    </s:row>
    <s:row r="18574" hidden="1" ht="1" customHeight="1">
      <s:c r="A18574" s="120" t="inlineStr"/>
      <s:c r="B18574" s="121" t="n"/>
      <s:c r="C18574" s="121" t="n"/>
      <s:c r="D18574" s="121" t="n"/>
      <s:c r="E18574" s="122" t="n"/>
    </s:row>
    <s:row r="18575" hidden="1" ht="1" customHeight="1">
      <s:c r="A18575" s="120" t="inlineStr"/>
      <s:c r="B18575" s="121" t="n"/>
      <s:c r="C18575" s="121" t="n"/>
      <s:c r="D18575" s="121" t="n"/>
      <s:c r="E18575" s="122" t="n"/>
    </s:row>
    <s:row r="18576" hidden="1" ht="1" customHeight="1">
      <s:c r="A18576" s="120" t="inlineStr"/>
      <s:c r="B18576" s="121" t="n"/>
      <s:c r="C18576" s="121" t="n"/>
      <s:c r="D18576" s="121" t="n"/>
      <s:c r="E18576" s="122" t="n"/>
    </s:row>
    <s:row r="18577" hidden="1" ht="1" customHeight="1">
      <s:c r="A18577" s="120" t="inlineStr"/>
      <s:c r="B18577" s="121" t="n"/>
      <s:c r="C18577" s="121" t="n"/>
      <s:c r="D18577" s="121" t="n"/>
      <s:c r="E18577" s="122" t="n"/>
    </s:row>
    <s:row r="18578" hidden="1" ht="1" customHeight="1">
      <s:c r="A18578" s="120" t="inlineStr"/>
      <s:c r="B18578" s="121" t="n"/>
      <s:c r="C18578" s="121" t="n"/>
      <s:c r="D18578" s="121" t="n"/>
      <s:c r="E18578" s="122" t="n"/>
    </s:row>
    <s:row r="18579" hidden="1" ht="1" customHeight="1">
      <s:c r="A18579" s="120" t="inlineStr"/>
      <s:c r="B18579" s="121" t="n"/>
      <s:c r="C18579" s="121" t="n"/>
      <s:c r="D18579" s="121" t="n"/>
      <s:c r="E18579" s="122" t="n"/>
    </s:row>
    <s:row r="18580" hidden="1" ht="1" customHeight="1">
      <s:c r="A18580" s="120" t="inlineStr"/>
      <s:c r="B18580" s="121" t="n"/>
      <s:c r="C18580" s="121" t="n"/>
      <s:c r="D18580" s="121" t="n"/>
      <s:c r="E18580" s="122" t="n"/>
    </s:row>
    <s:row r="18581" hidden="1" ht="1" customHeight="1">
      <s:c r="A18581" s="120" t="inlineStr"/>
      <s:c r="B18581" s="121" t="n"/>
      <s:c r="C18581" s="121" t="n"/>
      <s:c r="D18581" s="121" t="n"/>
      <s:c r="E18581" s="122" t="n"/>
    </s:row>
    <s:row r="18582" hidden="1" ht="1" customHeight="1">
      <s:c r="A18582" s="120" t="inlineStr"/>
      <s:c r="B18582" s="121" t="n"/>
      <s:c r="C18582" s="121" t="n"/>
      <s:c r="D18582" s="121" t="n"/>
      <s:c r="E18582" s="122" t="n"/>
    </s:row>
    <s:row r="18583" hidden="1" ht="1" customHeight="1">
      <s:c r="A18583" s="120" t="inlineStr"/>
      <s:c r="B18583" s="121" t="n"/>
      <s:c r="C18583" s="121" t="n"/>
      <s:c r="D18583" s="121" t="n"/>
      <s:c r="E18583" s="122" t="n"/>
    </s:row>
    <s:row r="18584" hidden="1" ht="1" customHeight="1">
      <s:c r="A18584" s="120" t="inlineStr"/>
      <s:c r="B18584" s="121" t="n"/>
      <s:c r="C18584" s="121" t="n"/>
      <s:c r="D18584" s="121" t="n"/>
      <s:c r="E18584" s="122" t="n"/>
    </s:row>
    <s:row r="18585" hidden="1" ht="1" customHeight="1">
      <s:c r="A18585" s="120" t="inlineStr"/>
      <s:c r="B18585" s="121" t="n"/>
      <s:c r="C18585" s="121" t="n"/>
      <s:c r="D18585" s="121" t="n"/>
      <s:c r="E18585" s="122" t="n"/>
    </s:row>
    <s:row r="18586" hidden="1" ht="1" customHeight="1">
      <s:c r="A18586" s="120" t="inlineStr"/>
      <s:c r="B18586" s="121" t="n"/>
      <s:c r="C18586" s="121" t="n"/>
      <s:c r="D18586" s="121" t="n"/>
      <s:c r="E18586" s="122" t="n"/>
    </s:row>
    <s:row r="18587" hidden="1" ht="1" customHeight="1">
      <s:c r="A18587" s="120" t="inlineStr"/>
      <s:c r="B18587" s="121" t="n"/>
      <s:c r="C18587" s="121" t="n"/>
      <s:c r="D18587" s="121" t="n"/>
      <s:c r="E18587" s="122" t="n"/>
    </s:row>
    <s:row r="18588" hidden="1" ht="1" customHeight="1">
      <s:c r="A18588" s="120" t="inlineStr"/>
      <s:c r="B18588" s="121" t="n"/>
      <s:c r="C18588" s="121" t="n"/>
      <s:c r="D18588" s="121" t="n"/>
      <s:c r="E18588" s="122" t="n"/>
    </s:row>
    <s:row r="18589" hidden="1" ht="1" customHeight="1">
      <s:c r="A18589" s="120" t="inlineStr"/>
      <s:c r="B18589" s="121" t="n"/>
      <s:c r="C18589" s="121" t="n"/>
      <s:c r="D18589" s="121" t="n"/>
      <s:c r="E18589" s="122" t="n"/>
    </s:row>
    <s:row r="18590" hidden="1" ht="1" customHeight="1">
      <s:c r="A18590" s="120" t="inlineStr"/>
      <s:c r="B18590" s="121" t="n"/>
      <s:c r="C18590" s="121" t="n"/>
      <s:c r="D18590" s="121" t="n"/>
      <s:c r="E18590" s="122" t="n"/>
    </s:row>
    <s:row r="18591" hidden="1" ht="1" customHeight="1">
      <s:c r="A18591" s="120" t="inlineStr"/>
      <s:c r="B18591" s="121" t="n"/>
      <s:c r="C18591" s="121" t="n"/>
      <s:c r="D18591" s="121" t="n"/>
      <s:c r="E18591" s="122" t="n"/>
    </s:row>
    <s:row r="18592" hidden="1" ht="1" customHeight="1">
      <s:c r="A18592" s="120" t="inlineStr"/>
      <s:c r="B18592" s="121" t="n"/>
      <s:c r="C18592" s="121" t="n"/>
      <s:c r="D18592" s="121" t="n"/>
      <s:c r="E18592" s="122" t="n"/>
    </s:row>
    <s:row r="18593" hidden="1" ht="1" customHeight="1">
      <s:c r="A18593" s="120" t="inlineStr"/>
      <s:c r="B18593" s="121" t="n"/>
      <s:c r="C18593" s="121" t="n"/>
      <s:c r="D18593" s="121" t="n"/>
      <s:c r="E18593" s="122" t="n"/>
    </s:row>
    <s:row r="18594" hidden="1" ht="1" customHeight="1">
      <s:c r="A18594" s="120" t="inlineStr"/>
      <s:c r="B18594" s="121" t="n"/>
      <s:c r="C18594" s="121" t="n"/>
      <s:c r="D18594" s="121" t="n"/>
      <s:c r="E18594" s="122" t="n"/>
    </s:row>
    <s:row r="18595" hidden="1" ht="1" customHeight="1">
      <s:c r="A18595" s="120" t="inlineStr"/>
      <s:c r="B18595" s="121" t="n"/>
      <s:c r="C18595" s="121" t="n"/>
      <s:c r="D18595" s="121" t="n"/>
      <s:c r="E18595" s="122" t="n"/>
    </s:row>
    <s:row r="18596" hidden="1" ht="1" customHeight="1">
      <s:c r="A18596" s="120" t="inlineStr"/>
      <s:c r="B18596" s="121" t="n"/>
      <s:c r="C18596" s="121" t="n"/>
      <s:c r="D18596" s="121" t="n"/>
      <s:c r="E18596" s="122" t="n"/>
    </s:row>
    <s:row r="18597" hidden="1" ht="1" customHeight="1">
      <s:c r="A18597" s="120" t="inlineStr"/>
      <s:c r="B18597" s="121" t="n"/>
      <s:c r="C18597" s="121" t="n"/>
      <s:c r="D18597" s="121" t="n"/>
      <s:c r="E18597" s="122" t="n"/>
    </s:row>
    <s:row r="18598" hidden="1" ht="1" customHeight="1">
      <s:c r="A18598" s="120" t="inlineStr"/>
      <s:c r="B18598" s="121" t="n"/>
      <s:c r="C18598" s="121" t="n"/>
      <s:c r="D18598" s="121" t="n"/>
      <s:c r="E18598" s="122" t="n"/>
    </s:row>
    <s:row r="18599" hidden="1" ht="1" customHeight="1">
      <s:c r="A18599" s="120" t="inlineStr"/>
      <s:c r="B18599" s="121" t="n"/>
      <s:c r="C18599" s="121" t="n"/>
      <s:c r="D18599" s="121" t="n"/>
      <s:c r="E18599" s="122" t="n"/>
    </s:row>
    <s:row r="18600" hidden="1" ht="1" customHeight="1">
      <s:c r="A18600" s="120" t="inlineStr"/>
      <s:c r="B18600" s="121" t="n"/>
      <s:c r="C18600" s="121" t="n"/>
      <s:c r="D18600" s="121" t="n"/>
      <s:c r="E18600" s="122" t="n"/>
    </s:row>
    <s:row r="18601" hidden="1" ht="1" customHeight="1">
      <s:c r="A18601" s="120" t="inlineStr"/>
      <s:c r="B18601" s="121" t="n"/>
      <s:c r="C18601" s="121" t="n"/>
      <s:c r="D18601" s="121" t="n"/>
      <s:c r="E18601" s="122" t="n"/>
    </s:row>
    <s:row r="18602" hidden="1" ht="1" customHeight="1">
      <s:c r="A18602" s="120" t="inlineStr"/>
      <s:c r="B18602" s="121" t="n"/>
      <s:c r="C18602" s="121" t="n"/>
      <s:c r="D18602" s="121" t="n"/>
      <s:c r="E18602" s="122" t="n"/>
    </s:row>
    <s:row r="18603" hidden="1" ht="1" customHeight="1">
      <s:c r="A18603" s="120" t="inlineStr"/>
      <s:c r="B18603" s="121" t="n"/>
      <s:c r="C18603" s="121" t="n"/>
      <s:c r="D18603" s="121" t="n"/>
      <s:c r="E18603" s="122" t="n"/>
    </s:row>
    <s:row r="18604" hidden="1" ht="1" customHeight="1">
      <s:c r="A18604" s="120" t="inlineStr"/>
      <s:c r="B18604" s="121" t="n"/>
      <s:c r="C18604" s="121" t="n"/>
      <s:c r="D18604" s="121" t="n"/>
      <s:c r="E18604" s="122" t="n"/>
    </s:row>
    <s:row r="18605" hidden="1" ht="1" customHeight="1">
      <s:c r="A18605" s="120" t="inlineStr"/>
      <s:c r="B18605" s="121" t="n"/>
      <s:c r="C18605" s="121" t="n"/>
      <s:c r="D18605" s="121" t="n"/>
      <s:c r="E18605" s="122" t="n"/>
    </s:row>
    <s:row r="18606" hidden="1" ht="1" customHeight="1">
      <s:c r="A18606" s="120" t="inlineStr"/>
      <s:c r="B18606" s="121" t="n"/>
      <s:c r="C18606" s="121" t="n"/>
      <s:c r="D18606" s="121" t="n"/>
      <s:c r="E18606" s="122" t="n"/>
    </s:row>
    <s:row r="18607" hidden="1" ht="1" customHeight="1">
      <s:c r="A18607" s="120" t="inlineStr"/>
      <s:c r="B18607" s="121" t="n"/>
      <s:c r="C18607" s="121" t="n"/>
      <s:c r="D18607" s="121" t="n"/>
      <s:c r="E18607" s="122" t="n"/>
    </s:row>
    <s:row r="18608" hidden="1" ht="1" customHeight="1">
      <s:c r="A18608" s="120" t="inlineStr"/>
      <s:c r="B18608" s="121" t="n"/>
      <s:c r="C18608" s="121" t="n"/>
      <s:c r="D18608" s="121" t="n"/>
      <s:c r="E18608" s="122" t="n"/>
    </s:row>
    <s:row r="18609" hidden="1" ht="1" customHeight="1">
      <s:c r="A18609" s="120" t="inlineStr"/>
      <s:c r="B18609" s="121" t="n"/>
      <s:c r="C18609" s="121" t="n"/>
      <s:c r="D18609" s="121" t="n"/>
      <s:c r="E18609" s="122" t="n"/>
    </s:row>
    <s:row r="18610" hidden="1" ht="1" customHeight="1">
      <s:c r="A18610" s="120" t="inlineStr"/>
      <s:c r="B18610" s="121" t="n"/>
      <s:c r="C18610" s="121" t="n"/>
      <s:c r="D18610" s="121" t="n"/>
      <s:c r="E18610" s="122" t="n"/>
    </s:row>
    <s:row r="18611" hidden="1" ht="1" customHeight="1">
      <s:c r="A18611" s="120" t="inlineStr"/>
      <s:c r="B18611" s="121" t="n"/>
      <s:c r="C18611" s="121" t="n"/>
      <s:c r="D18611" s="121" t="n"/>
      <s:c r="E18611" s="122" t="n"/>
    </s:row>
    <s:row r="18612" hidden="1" ht="1" customHeight="1">
      <s:c r="A18612" s="120" t="inlineStr"/>
      <s:c r="B18612" s="121" t="n"/>
      <s:c r="C18612" s="121" t="n"/>
      <s:c r="D18612" s="121" t="n"/>
      <s:c r="E18612" s="122" t="n"/>
    </s:row>
    <s:row r="18613" hidden="1" ht="1" customHeight="1">
      <s:c r="A18613" s="120" t="inlineStr"/>
      <s:c r="B18613" s="121" t="n"/>
      <s:c r="C18613" s="121" t="n"/>
      <s:c r="D18613" s="121" t="n"/>
      <s:c r="E18613" s="122" t="n"/>
    </s:row>
    <s:row r="18614" hidden="1" ht="1" customHeight="1">
      <s:c r="A18614" s="120" t="inlineStr"/>
      <s:c r="B18614" s="121" t="n"/>
      <s:c r="C18614" s="121" t="n"/>
      <s:c r="D18614" s="121" t="n"/>
      <s:c r="E18614" s="122" t="n"/>
    </s:row>
    <s:row r="18615" hidden="1" ht="1" customHeight="1">
      <s:c r="A18615" s="120" t="inlineStr"/>
      <s:c r="B18615" s="121" t="n"/>
      <s:c r="C18615" s="121" t="n"/>
      <s:c r="D18615" s="121" t="n"/>
      <s:c r="E18615" s="122" t="n"/>
    </s:row>
    <s:row r="18616" hidden="1" ht="1" customHeight="1">
      <s:c r="A18616" s="120" t="inlineStr"/>
      <s:c r="B18616" s="121" t="n"/>
      <s:c r="C18616" s="121" t="n"/>
      <s:c r="D18616" s="121" t="n"/>
      <s:c r="E18616" s="122" t="n"/>
    </s:row>
    <s:row r="18617" hidden="1" ht="1" customHeight="1">
      <s:c r="A18617" s="120" t="inlineStr"/>
      <s:c r="B18617" s="121" t="n"/>
      <s:c r="C18617" s="121" t="n"/>
      <s:c r="D18617" s="121" t="n"/>
      <s:c r="E18617" s="122" t="n"/>
    </s:row>
    <s:row r="18618" hidden="1" ht="1" customHeight="1">
      <s:c r="A18618" s="120" t="inlineStr"/>
      <s:c r="B18618" s="121" t="n"/>
      <s:c r="C18618" s="121" t="n"/>
      <s:c r="D18618" s="121" t="n"/>
      <s:c r="E18618" s="122" t="n"/>
    </s:row>
    <s:row r="18619" hidden="1" ht="1" customHeight="1">
      <s:c r="A18619" s="120" t="inlineStr"/>
      <s:c r="B18619" s="121" t="n"/>
      <s:c r="C18619" s="121" t="n"/>
      <s:c r="D18619" s="121" t="n"/>
      <s:c r="E18619" s="122" t="n"/>
    </s:row>
    <s:row r="18620" hidden="1" ht="1" customHeight="1">
      <s:c r="A18620" s="120" t="inlineStr"/>
      <s:c r="B18620" s="121" t="n"/>
      <s:c r="C18620" s="121" t="n"/>
      <s:c r="D18620" s="121" t="n"/>
      <s:c r="E18620" s="122" t="n"/>
    </s:row>
    <s:row r="18621" hidden="1" ht="1" customHeight="1">
      <s:c r="A18621" s="120" t="inlineStr"/>
      <s:c r="B18621" s="121" t="n"/>
      <s:c r="C18621" s="121" t="n"/>
      <s:c r="D18621" s="121" t="n"/>
      <s:c r="E18621" s="122" t="n"/>
    </s:row>
    <s:row r="18622" hidden="1" ht="1" customHeight="1">
      <s:c r="A18622" s="120" t="inlineStr"/>
      <s:c r="B18622" s="121" t="n"/>
      <s:c r="C18622" s="121" t="n"/>
      <s:c r="D18622" s="121" t="n"/>
      <s:c r="E18622" s="122" t="n"/>
    </s:row>
    <s:row r="18623" hidden="1" ht="1" customHeight="1">
      <s:c r="A18623" s="120" t="inlineStr"/>
      <s:c r="B18623" s="121" t="n"/>
      <s:c r="C18623" s="121" t="n"/>
      <s:c r="D18623" s="121" t="n"/>
      <s:c r="E18623" s="122" t="n"/>
    </s:row>
    <s:row r="18624" hidden="1" ht="1" customHeight="1">
      <s:c r="A18624" s="120" t="inlineStr"/>
      <s:c r="B18624" s="121" t="n"/>
      <s:c r="C18624" s="121" t="n"/>
      <s:c r="D18624" s="121" t="n"/>
      <s:c r="E18624" s="122" t="n"/>
    </s:row>
    <s:row r="18625" hidden="1" ht="1" customHeight="1">
      <s:c r="A18625" s="120" t="inlineStr"/>
      <s:c r="B18625" s="121" t="n"/>
      <s:c r="C18625" s="121" t="n"/>
      <s:c r="D18625" s="121" t="n"/>
      <s:c r="E18625" s="122" t="n"/>
    </s:row>
    <s:row r="18626" hidden="1" ht="1" customHeight="1">
      <s:c r="A18626" s="120" t="inlineStr"/>
      <s:c r="B18626" s="121" t="n"/>
      <s:c r="C18626" s="121" t="n"/>
      <s:c r="D18626" s="121" t="n"/>
      <s:c r="E18626" s="122" t="n"/>
    </s:row>
    <s:row r="18627" hidden="1" ht="1" customHeight="1">
      <s:c r="A18627" s="120" t="inlineStr"/>
      <s:c r="B18627" s="121" t="n"/>
      <s:c r="C18627" s="121" t="n"/>
      <s:c r="D18627" s="121" t="n"/>
      <s:c r="E18627" s="122" t="n"/>
    </s:row>
    <s:row r="18628" hidden="1" ht="1" customHeight="1">
      <s:c r="A18628" s="120" t="inlineStr"/>
      <s:c r="B18628" s="121" t="n"/>
      <s:c r="C18628" s="121" t="n"/>
      <s:c r="D18628" s="121" t="n"/>
      <s:c r="E18628" s="122" t="n"/>
    </s:row>
    <s:row r="18629" hidden="1" ht="1" customHeight="1">
      <s:c r="A18629" s="120" t="inlineStr"/>
      <s:c r="B18629" s="121" t="n"/>
      <s:c r="C18629" s="121" t="n"/>
      <s:c r="D18629" s="121" t="n"/>
      <s:c r="E18629" s="122" t="n"/>
    </s:row>
    <s:row r="18630" hidden="1" ht="1" customHeight="1">
      <s:c r="A18630" s="120" t="inlineStr"/>
      <s:c r="B18630" s="121" t="n"/>
      <s:c r="C18630" s="121" t="n"/>
      <s:c r="D18630" s="121" t="n"/>
      <s:c r="E18630" s="122" t="n"/>
    </s:row>
    <s:row r="18631" hidden="1" ht="1" customHeight="1">
      <s:c r="A18631" s="120" t="inlineStr"/>
      <s:c r="B18631" s="121" t="n"/>
      <s:c r="C18631" s="121" t="n"/>
      <s:c r="D18631" s="121" t="n"/>
      <s:c r="E18631" s="122" t="n"/>
    </s:row>
    <s:row r="18632" hidden="1" ht="1" customHeight="1">
      <s:c r="A18632" s="120" t="inlineStr"/>
      <s:c r="B18632" s="121" t="n"/>
      <s:c r="C18632" s="121" t="n"/>
      <s:c r="D18632" s="121" t="n"/>
      <s:c r="E18632" s="122" t="n"/>
    </s:row>
    <s:row r="18633" hidden="1" ht="1" customHeight="1">
      <s:c r="A18633" s="120" t="inlineStr"/>
      <s:c r="B18633" s="121" t="n"/>
      <s:c r="C18633" s="121" t="n"/>
      <s:c r="D18633" s="121" t="n"/>
      <s:c r="E18633" s="122" t="n"/>
    </s:row>
    <s:row r="18634" hidden="1" ht="1" customHeight="1">
      <s:c r="A18634" s="120" t="inlineStr"/>
      <s:c r="B18634" s="121" t="n"/>
      <s:c r="C18634" s="121" t="n"/>
      <s:c r="D18634" s="121" t="n"/>
      <s:c r="E18634" s="122" t="n"/>
    </s:row>
    <s:row r="18635" hidden="1" ht="1" customHeight="1">
      <s:c r="A18635" s="120" t="inlineStr"/>
      <s:c r="B18635" s="121" t="n"/>
      <s:c r="C18635" s="121" t="n"/>
      <s:c r="D18635" s="121" t="n"/>
      <s:c r="E18635" s="122" t="n"/>
    </s:row>
    <s:row r="18636" hidden="1" ht="1" customHeight="1">
      <s:c r="A18636" s="120" t="inlineStr"/>
      <s:c r="B18636" s="121" t="n"/>
      <s:c r="C18636" s="121" t="n"/>
      <s:c r="D18636" s="121" t="n"/>
      <s:c r="E18636" s="122" t="n"/>
    </s:row>
    <s:row r="18637" hidden="1" ht="1" customHeight="1">
      <s:c r="A18637" s="120" t="inlineStr"/>
      <s:c r="B18637" s="121" t="n"/>
      <s:c r="C18637" s="121" t="n"/>
      <s:c r="D18637" s="121" t="n"/>
      <s:c r="E18637" s="122" t="n"/>
    </s:row>
    <s:row r="18638" hidden="1" ht="1" customHeight="1">
      <s:c r="A18638" s="120" t="inlineStr"/>
      <s:c r="B18638" s="121" t="n"/>
      <s:c r="C18638" s="121" t="n"/>
      <s:c r="D18638" s="121" t="n"/>
      <s:c r="E18638" s="122" t="n"/>
    </s:row>
    <s:row r="18639" hidden="1" ht="1" customHeight="1">
      <s:c r="A18639" s="120" t="inlineStr"/>
      <s:c r="B18639" s="121" t="n"/>
      <s:c r="C18639" s="121" t="n"/>
      <s:c r="D18639" s="121" t="n"/>
      <s:c r="E18639" s="122" t="n"/>
    </s:row>
    <s:row r="18640" hidden="1" ht="1" customHeight="1">
      <s:c r="A18640" s="120" t="inlineStr"/>
      <s:c r="B18640" s="121" t="n"/>
      <s:c r="C18640" s="121" t="n"/>
      <s:c r="D18640" s="121" t="n"/>
      <s:c r="E18640" s="122" t="n"/>
    </s:row>
    <s:row r="18641" hidden="1" ht="1" customHeight="1">
      <s:c r="A18641" s="120" t="inlineStr"/>
      <s:c r="B18641" s="121" t="n"/>
      <s:c r="C18641" s="121" t="n"/>
      <s:c r="D18641" s="121" t="n"/>
      <s:c r="E18641" s="122" t="n"/>
    </s:row>
    <s:row r="18642" hidden="1" ht="1" customHeight="1">
      <s:c r="A18642" s="120" t="inlineStr"/>
      <s:c r="B18642" s="121" t="n"/>
      <s:c r="C18642" s="121" t="n"/>
      <s:c r="D18642" s="121" t="n"/>
      <s:c r="E18642" s="122" t="n"/>
    </s:row>
    <s:row r="18643" hidden="1" ht="1" customHeight="1">
      <s:c r="A18643" s="120" t="inlineStr"/>
      <s:c r="B18643" s="121" t="n"/>
      <s:c r="C18643" s="121" t="n"/>
      <s:c r="D18643" s="121" t="n"/>
      <s:c r="E18643" s="122" t="n"/>
    </s:row>
    <s:row r="18644" hidden="1" ht="1" customHeight="1">
      <s:c r="A18644" s="120" t="inlineStr"/>
      <s:c r="B18644" s="121" t="n"/>
      <s:c r="C18644" s="121" t="n"/>
      <s:c r="D18644" s="121" t="n"/>
      <s:c r="E18644" s="122" t="n"/>
    </s:row>
    <s:row r="18645" hidden="1" ht="1" customHeight="1">
      <s:c r="A18645" s="120" t="inlineStr"/>
      <s:c r="B18645" s="121" t="n"/>
      <s:c r="C18645" s="121" t="n"/>
      <s:c r="D18645" s="121" t="n"/>
      <s:c r="E18645" s="122" t="n"/>
    </s:row>
    <s:row r="18646" hidden="1" ht="1" customHeight="1">
      <s:c r="A18646" s="120" t="inlineStr"/>
      <s:c r="B18646" s="121" t="n"/>
      <s:c r="C18646" s="121" t="n"/>
      <s:c r="D18646" s="121" t="n"/>
      <s:c r="E18646" s="122" t="n"/>
    </s:row>
    <s:row r="18647" hidden="1" ht="1" customHeight="1">
      <s:c r="A18647" s="120" t="inlineStr"/>
      <s:c r="B18647" s="121" t="n"/>
      <s:c r="C18647" s="121" t="n"/>
      <s:c r="D18647" s="121" t="n"/>
      <s:c r="E18647" s="122" t="n"/>
    </s:row>
    <s:row r="18648" hidden="1" ht="1" customHeight="1">
      <s:c r="A18648" s="120" t="inlineStr"/>
      <s:c r="B18648" s="121" t="n"/>
      <s:c r="C18648" s="121" t="n"/>
      <s:c r="D18648" s="121" t="n"/>
      <s:c r="E18648" s="122" t="n"/>
    </s:row>
    <s:row r="18649" hidden="1" ht="1" customHeight="1">
      <s:c r="A18649" s="120" t="inlineStr"/>
      <s:c r="B18649" s="121" t="n"/>
      <s:c r="C18649" s="121" t="n"/>
      <s:c r="D18649" s="121" t="n"/>
      <s:c r="E18649" s="122" t="n"/>
    </s:row>
    <s:row r="18650" hidden="1" ht="1" customHeight="1">
      <s:c r="A18650" s="120" t="inlineStr"/>
      <s:c r="B18650" s="121" t="n"/>
      <s:c r="C18650" s="121" t="n"/>
      <s:c r="D18650" s="121" t="n"/>
      <s:c r="E18650" s="122" t="n"/>
    </s:row>
    <s:row r="18651" hidden="1" ht="1" customHeight="1">
      <s:c r="A18651" s="120" t="inlineStr"/>
      <s:c r="B18651" s="121" t="n"/>
      <s:c r="C18651" s="121" t="n"/>
      <s:c r="D18651" s="121" t="n"/>
      <s:c r="E18651" s="122" t="n"/>
    </s:row>
    <s:row r="18652" hidden="1" ht="1" customHeight="1">
      <s:c r="A18652" s="120" t="inlineStr"/>
      <s:c r="B18652" s="121" t="n"/>
      <s:c r="C18652" s="121" t="n"/>
      <s:c r="D18652" s="121" t="n"/>
      <s:c r="E18652" s="122" t="n"/>
    </s:row>
    <s:row r="18653" hidden="1" ht="1" customHeight="1">
      <s:c r="A18653" s="120" t="inlineStr"/>
      <s:c r="B18653" s="121" t="n"/>
      <s:c r="C18653" s="121" t="n"/>
      <s:c r="D18653" s="121" t="n"/>
      <s:c r="E18653" s="122" t="n"/>
    </s:row>
    <s:row r="18654" hidden="1" ht="1" customHeight="1">
      <s:c r="A18654" s="120" t="inlineStr"/>
      <s:c r="B18654" s="121" t="n"/>
      <s:c r="C18654" s="121" t="n"/>
      <s:c r="D18654" s="121" t="n"/>
      <s:c r="E18654" s="122" t="n"/>
    </s:row>
    <s:row r="18655" hidden="1" ht="1" customHeight="1">
      <s:c r="A18655" s="120" t="inlineStr"/>
      <s:c r="B18655" s="121" t="n"/>
      <s:c r="C18655" s="121" t="n"/>
      <s:c r="D18655" s="121" t="n"/>
      <s:c r="E18655" s="122" t="n"/>
    </s:row>
    <s:row r="18656" hidden="1" ht="1" customHeight="1">
      <s:c r="A18656" s="120" t="inlineStr"/>
      <s:c r="B18656" s="121" t="n"/>
      <s:c r="C18656" s="121" t="n"/>
      <s:c r="D18656" s="121" t="n"/>
      <s:c r="E18656" s="122" t="n"/>
    </s:row>
    <s:row r="18657" hidden="1" ht="1" customHeight="1">
      <s:c r="A18657" s="120" t="inlineStr"/>
      <s:c r="B18657" s="121" t="n"/>
      <s:c r="C18657" s="121" t="n"/>
      <s:c r="D18657" s="121" t="n"/>
      <s:c r="E18657" s="122" t="n"/>
    </s:row>
    <s:row r="18658" hidden="1" ht="1" customHeight="1">
      <s:c r="A18658" s="120" t="inlineStr"/>
      <s:c r="B18658" s="121" t="n"/>
      <s:c r="C18658" s="121" t="n"/>
      <s:c r="D18658" s="121" t="n"/>
      <s:c r="E18658" s="122" t="n"/>
    </s:row>
    <s:row r="18659" hidden="1" ht="1" customHeight="1">
      <s:c r="A18659" s="120" t="inlineStr"/>
      <s:c r="B18659" s="121" t="n"/>
      <s:c r="C18659" s="121" t="n"/>
      <s:c r="D18659" s="121" t="n"/>
      <s:c r="E18659" s="122" t="n"/>
    </s:row>
    <s:row r="18660" hidden="1" ht="1" customHeight="1">
      <s:c r="A18660" s="120" t="inlineStr"/>
      <s:c r="B18660" s="121" t="n"/>
      <s:c r="C18660" s="121" t="n"/>
      <s:c r="D18660" s="121" t="n"/>
      <s:c r="E18660" s="122" t="n"/>
    </s:row>
    <s:row r="18661" hidden="1" ht="1" customHeight="1">
      <s:c r="A18661" s="120" t="inlineStr"/>
      <s:c r="B18661" s="121" t="n"/>
      <s:c r="C18661" s="121" t="n"/>
      <s:c r="D18661" s="121" t="n"/>
      <s:c r="E18661" s="122" t="n"/>
    </s:row>
    <s:row r="18662" hidden="1" ht="1" customHeight="1">
      <s:c r="A18662" s="120" t="inlineStr"/>
      <s:c r="B18662" s="121" t="n"/>
      <s:c r="C18662" s="121" t="n"/>
      <s:c r="D18662" s="121" t="n"/>
      <s:c r="E18662" s="122" t="n"/>
    </s:row>
    <s:row r="18663" hidden="1" ht="1" customHeight="1">
      <s:c r="A18663" s="120" t="inlineStr"/>
      <s:c r="B18663" s="121" t="n"/>
      <s:c r="C18663" s="121" t="n"/>
      <s:c r="D18663" s="121" t="n"/>
      <s:c r="E18663" s="122" t="n"/>
    </s:row>
    <s:row r="18664" hidden="1" ht="1" customHeight="1">
      <s:c r="A18664" s="120" t="inlineStr"/>
      <s:c r="B18664" s="121" t="n"/>
      <s:c r="C18664" s="121" t="n"/>
      <s:c r="D18664" s="121" t="n"/>
      <s:c r="E18664" s="122" t="n"/>
    </s:row>
    <s:row r="18665" hidden="1" ht="1" customHeight="1">
      <s:c r="A18665" s="120" t="inlineStr"/>
      <s:c r="B18665" s="121" t="n"/>
      <s:c r="C18665" s="121" t="n"/>
      <s:c r="D18665" s="121" t="n"/>
      <s:c r="E18665" s="122" t="n"/>
    </s:row>
    <s:row r="18666" hidden="1" ht="1" customHeight="1">
      <s:c r="A18666" s="120" t="inlineStr"/>
      <s:c r="B18666" s="121" t="n"/>
      <s:c r="C18666" s="121" t="n"/>
      <s:c r="D18666" s="121" t="n"/>
      <s:c r="E18666" s="122" t="n"/>
    </s:row>
    <s:row r="18667" hidden="1" ht="1" customHeight="1">
      <s:c r="A18667" s="120" t="inlineStr"/>
      <s:c r="B18667" s="121" t="n"/>
      <s:c r="C18667" s="121" t="n"/>
      <s:c r="D18667" s="121" t="n"/>
      <s:c r="E18667" s="122" t="n"/>
    </s:row>
    <s:row r="18668" hidden="1" ht="1" customHeight="1">
      <s:c r="A18668" s="120" t="inlineStr"/>
      <s:c r="B18668" s="121" t="n"/>
      <s:c r="C18668" s="121" t="n"/>
      <s:c r="D18668" s="121" t="n"/>
      <s:c r="E18668" s="122" t="n"/>
    </s:row>
    <s:row r="18669" hidden="1" ht="1" customHeight="1">
      <s:c r="A18669" s="120" t="inlineStr"/>
      <s:c r="B18669" s="121" t="n"/>
      <s:c r="C18669" s="121" t="n"/>
      <s:c r="D18669" s="121" t="n"/>
      <s:c r="E18669" s="122" t="n"/>
    </s:row>
    <s:row r="18670" hidden="1" ht="1" customHeight="1">
      <s:c r="A18670" s="120" t="inlineStr"/>
      <s:c r="B18670" s="121" t="n"/>
      <s:c r="C18670" s="121" t="n"/>
      <s:c r="D18670" s="121" t="n"/>
      <s:c r="E18670" s="122" t="n"/>
    </s:row>
    <s:row r="18671" hidden="1" ht="1" customHeight="1">
      <s:c r="A18671" s="120" t="inlineStr"/>
      <s:c r="B18671" s="121" t="n"/>
      <s:c r="C18671" s="121" t="n"/>
      <s:c r="D18671" s="121" t="n"/>
      <s:c r="E18671" s="122" t="n"/>
    </s:row>
    <s:row r="18672" hidden="1" ht="1" customHeight="1">
      <s:c r="A18672" s="120" t="inlineStr"/>
      <s:c r="B18672" s="121" t="n"/>
      <s:c r="C18672" s="121" t="n"/>
      <s:c r="D18672" s="121" t="n"/>
      <s:c r="E18672" s="122" t="n"/>
    </s:row>
    <s:row r="18673" hidden="1" ht="1" customHeight="1">
      <s:c r="A18673" s="120" t="inlineStr"/>
      <s:c r="B18673" s="121" t="n"/>
      <s:c r="C18673" s="121" t="n"/>
      <s:c r="D18673" s="121" t="n"/>
      <s:c r="E18673" s="122" t="n"/>
    </s:row>
    <s:row r="18674" hidden="1" ht="1" customHeight="1">
      <s:c r="A18674" s="120" t="inlineStr"/>
      <s:c r="B18674" s="121" t="n"/>
      <s:c r="C18674" s="121" t="n"/>
      <s:c r="D18674" s="121" t="n"/>
      <s:c r="E18674" s="122" t="n"/>
    </s:row>
    <s:row r="18675" hidden="1" ht="1" customHeight="1">
      <s:c r="A18675" s="120" t="inlineStr"/>
      <s:c r="B18675" s="121" t="n"/>
      <s:c r="C18675" s="121" t="n"/>
      <s:c r="D18675" s="121" t="n"/>
      <s:c r="E18675" s="122" t="n"/>
    </s:row>
    <s:row r="18676" hidden="1" ht="1" customHeight="1">
      <s:c r="A18676" s="120" t="inlineStr"/>
      <s:c r="B18676" s="121" t="n"/>
      <s:c r="C18676" s="121" t="n"/>
      <s:c r="D18676" s="121" t="n"/>
      <s:c r="E18676" s="122" t="n"/>
    </s:row>
    <s:row r="18677" hidden="1" ht="1" customHeight="1">
      <s:c r="A18677" s="120" t="inlineStr"/>
      <s:c r="B18677" s="121" t="n"/>
      <s:c r="C18677" s="121" t="n"/>
      <s:c r="D18677" s="121" t="n"/>
      <s:c r="E18677" s="122" t="n"/>
    </s:row>
    <s:row r="18678" hidden="1" ht="1" customHeight="1">
      <s:c r="A18678" s="120" t="inlineStr"/>
      <s:c r="B18678" s="121" t="n"/>
      <s:c r="C18678" s="121" t="n"/>
      <s:c r="D18678" s="121" t="n"/>
      <s:c r="E18678" s="122" t="n"/>
    </s:row>
    <s:row r="18679" hidden="1" ht="1" customHeight="1">
      <s:c r="A18679" s="120" t="inlineStr"/>
      <s:c r="B18679" s="121" t="n"/>
      <s:c r="C18679" s="121" t="n"/>
      <s:c r="D18679" s="121" t="n"/>
      <s:c r="E18679" s="122" t="n"/>
    </s:row>
    <s:row r="18680" hidden="1" ht="1" customHeight="1">
      <s:c r="A18680" s="120" t="inlineStr"/>
      <s:c r="B18680" s="121" t="n"/>
      <s:c r="C18680" s="121" t="n"/>
      <s:c r="D18680" s="121" t="n"/>
      <s:c r="E18680" s="122" t="n"/>
    </s:row>
    <s:row r="18681" hidden="1" ht="1" customHeight="1">
      <s:c r="A18681" s="120" t="inlineStr"/>
      <s:c r="B18681" s="121" t="n"/>
      <s:c r="C18681" s="121" t="n"/>
      <s:c r="D18681" s="121" t="n"/>
      <s:c r="E18681" s="122" t="n"/>
    </s:row>
    <s:row r="18682" hidden="1" ht="1" customHeight="1">
      <s:c r="A18682" s="120" t="inlineStr"/>
      <s:c r="B18682" s="121" t="n"/>
      <s:c r="C18682" s="121" t="n"/>
      <s:c r="D18682" s="121" t="n"/>
      <s:c r="E18682" s="122" t="n"/>
    </s:row>
    <s:row r="18683" hidden="1" ht="1" customHeight="1">
      <s:c r="A18683" s="120" t="inlineStr"/>
      <s:c r="B18683" s="121" t="n"/>
      <s:c r="C18683" s="121" t="n"/>
      <s:c r="D18683" s="121" t="n"/>
      <s:c r="E18683" s="122" t="n"/>
    </s:row>
    <s:row r="18684" hidden="1" ht="1" customHeight="1">
      <s:c r="A18684" s="120" t="inlineStr"/>
      <s:c r="B18684" s="121" t="n"/>
      <s:c r="C18684" s="121" t="n"/>
      <s:c r="D18684" s="121" t="n"/>
      <s:c r="E18684" s="122" t="n"/>
    </s:row>
    <s:row r="18685" hidden="1" ht="1" customHeight="1">
      <s:c r="A18685" s="120" t="inlineStr"/>
      <s:c r="B18685" s="121" t="n"/>
      <s:c r="C18685" s="121" t="n"/>
      <s:c r="D18685" s="121" t="n"/>
      <s:c r="E18685" s="122" t="n"/>
    </s:row>
    <s:row r="18686" hidden="1" ht="1" customHeight="1">
      <s:c r="A18686" s="120" t="inlineStr"/>
      <s:c r="B18686" s="121" t="n"/>
      <s:c r="C18686" s="121" t="n"/>
      <s:c r="D18686" s="121" t="n"/>
      <s:c r="E18686" s="122" t="n"/>
    </s:row>
    <s:row r="18687" hidden="1" ht="1" customHeight="1">
      <s:c r="A18687" s="120" t="inlineStr"/>
      <s:c r="B18687" s="121" t="n"/>
      <s:c r="C18687" s="121" t="n"/>
      <s:c r="D18687" s="121" t="n"/>
      <s:c r="E18687" s="122" t="n"/>
    </s:row>
    <s:row r="18688" hidden="1" ht="1" customHeight="1">
      <s:c r="A18688" s="120" t="inlineStr"/>
      <s:c r="B18688" s="121" t="n"/>
      <s:c r="C18688" s="121" t="n"/>
      <s:c r="D18688" s="121" t="n"/>
      <s:c r="E18688" s="122" t="n"/>
    </s:row>
    <s:row r="18689" hidden="1" ht="1" customHeight="1">
      <s:c r="A18689" s="120" t="inlineStr"/>
      <s:c r="B18689" s="121" t="n"/>
      <s:c r="C18689" s="121" t="n"/>
      <s:c r="D18689" s="121" t="n"/>
      <s:c r="E18689" s="122" t="n"/>
    </s:row>
    <s:row r="18690" hidden="1" ht="1" customHeight="1">
      <s:c r="A18690" s="120" t="inlineStr"/>
      <s:c r="B18690" s="121" t="n"/>
      <s:c r="C18690" s="121" t="n"/>
      <s:c r="D18690" s="121" t="n"/>
      <s:c r="E18690" s="122" t="n"/>
    </s:row>
    <s:row r="18691" hidden="1" ht="1" customHeight="1">
      <s:c r="A18691" s="120" t="inlineStr"/>
      <s:c r="B18691" s="121" t="n"/>
      <s:c r="C18691" s="121" t="n"/>
      <s:c r="D18691" s="121" t="n"/>
      <s:c r="E18691" s="122" t="n"/>
    </s:row>
    <s:row r="18692" hidden="1" ht="1" customHeight="1">
      <s:c r="A18692" s="120" t="inlineStr"/>
      <s:c r="B18692" s="121" t="n"/>
      <s:c r="C18692" s="121" t="n"/>
      <s:c r="D18692" s="121" t="n"/>
      <s:c r="E18692" s="122" t="n"/>
    </s:row>
    <s:row r="18693" hidden="1" ht="1" customHeight="1">
      <s:c r="A18693" s="120" t="inlineStr"/>
      <s:c r="B18693" s="121" t="n"/>
      <s:c r="C18693" s="121" t="n"/>
      <s:c r="D18693" s="121" t="n"/>
      <s:c r="E18693" s="122" t="n"/>
    </s:row>
    <s:row r="18694" hidden="1" ht="1" customHeight="1">
      <s:c r="A18694" s="120" t="inlineStr"/>
      <s:c r="B18694" s="121" t="n"/>
      <s:c r="C18694" s="121" t="n"/>
      <s:c r="D18694" s="121" t="n"/>
      <s:c r="E18694" s="122" t="n"/>
    </s:row>
    <s:row r="18695" hidden="1" ht="1" customHeight="1">
      <s:c r="A18695" s="120" t="inlineStr"/>
      <s:c r="B18695" s="121" t="n"/>
      <s:c r="C18695" s="121" t="n"/>
      <s:c r="D18695" s="121" t="n"/>
      <s:c r="E18695" s="122" t="n"/>
    </s:row>
    <s:row r="18696" hidden="1" ht="1" customHeight="1">
      <s:c r="A18696" s="120" t="inlineStr"/>
      <s:c r="B18696" s="121" t="n"/>
      <s:c r="C18696" s="121" t="n"/>
      <s:c r="D18696" s="121" t="n"/>
      <s:c r="E18696" s="122" t="n"/>
    </s:row>
    <s:row r="18697" hidden="1" ht="1" customHeight="1">
      <s:c r="A18697" s="120" t="inlineStr"/>
      <s:c r="B18697" s="121" t="n"/>
      <s:c r="C18697" s="121" t="n"/>
      <s:c r="D18697" s="121" t="n"/>
      <s:c r="E18697" s="122" t="n"/>
    </s:row>
    <s:row r="18698" hidden="1" ht="1" customHeight="1">
      <s:c r="A18698" s="120" t="inlineStr"/>
      <s:c r="B18698" s="121" t="n"/>
      <s:c r="C18698" s="121" t="n"/>
      <s:c r="D18698" s="121" t="n"/>
      <s:c r="E18698" s="122" t="n"/>
    </s:row>
    <s:row r="18699" hidden="1" ht="1" customHeight="1">
      <s:c r="A18699" s="120" t="inlineStr"/>
      <s:c r="B18699" s="121" t="n"/>
      <s:c r="C18699" s="121" t="n"/>
      <s:c r="D18699" s="121" t="n"/>
      <s:c r="E18699" s="122" t="n"/>
    </s:row>
    <s:row r="18700" hidden="1" ht="1" customHeight="1">
      <s:c r="A18700" s="120" t="inlineStr"/>
      <s:c r="B18700" s="121" t="n"/>
      <s:c r="C18700" s="121" t="n"/>
      <s:c r="D18700" s="121" t="n"/>
      <s:c r="E18700" s="122" t="n"/>
    </s:row>
    <s:row r="18701" hidden="1" ht="1" customHeight="1">
      <s:c r="A18701" s="120" t="inlineStr"/>
      <s:c r="B18701" s="121" t="n"/>
      <s:c r="C18701" s="121" t="n"/>
      <s:c r="D18701" s="121" t="n"/>
      <s:c r="E18701" s="122" t="n"/>
    </s:row>
    <s:row r="18702" hidden="1" ht="1" customHeight="1">
      <s:c r="A18702" s="120" t="inlineStr"/>
      <s:c r="B18702" s="121" t="n"/>
      <s:c r="C18702" s="121" t="n"/>
      <s:c r="D18702" s="121" t="n"/>
      <s:c r="E18702" s="122" t="n"/>
    </s:row>
    <s:row r="18703" hidden="1" ht="1" customHeight="1">
      <s:c r="A18703" s="120" t="inlineStr"/>
      <s:c r="B18703" s="121" t="n"/>
      <s:c r="C18703" s="121" t="n"/>
      <s:c r="D18703" s="121" t="n"/>
      <s:c r="E18703" s="122" t="n"/>
    </s:row>
    <s:row r="18704" hidden="1" ht="1" customHeight="1">
      <s:c r="A18704" s="120" t="inlineStr"/>
      <s:c r="B18704" s="121" t="n"/>
      <s:c r="C18704" s="121" t="n"/>
      <s:c r="D18704" s="121" t="n"/>
      <s:c r="E18704" s="122" t="n"/>
    </s:row>
    <s:row r="18705" hidden="1" ht="1" customHeight="1">
      <s:c r="A18705" s="120" t="inlineStr"/>
      <s:c r="B18705" s="121" t="n"/>
      <s:c r="C18705" s="121" t="n"/>
      <s:c r="D18705" s="121" t="n"/>
      <s:c r="E18705" s="122" t="n"/>
    </s:row>
    <s:row r="18706" hidden="1" ht="1" customHeight="1">
      <s:c r="A18706" s="120" t="inlineStr"/>
      <s:c r="B18706" s="121" t="n"/>
      <s:c r="C18706" s="121" t="n"/>
      <s:c r="D18706" s="121" t="n"/>
      <s:c r="E18706" s="122" t="n"/>
    </s:row>
    <s:row r="18707" hidden="1" ht="1" customHeight="1">
      <s:c r="A18707" s="120" t="inlineStr"/>
      <s:c r="B18707" s="121" t="n"/>
      <s:c r="C18707" s="121" t="n"/>
      <s:c r="D18707" s="121" t="n"/>
      <s:c r="E18707" s="122" t="n"/>
    </s:row>
    <s:row r="18708" hidden="1" ht="1" customHeight="1">
      <s:c r="A18708" s="120" t="inlineStr"/>
      <s:c r="B18708" s="121" t="n"/>
      <s:c r="C18708" s="121" t="n"/>
      <s:c r="D18708" s="121" t="n"/>
      <s:c r="E18708" s="122" t="n"/>
    </s:row>
    <s:row r="18709" hidden="1" ht="1" customHeight="1">
      <s:c r="A18709" s="120" t="inlineStr"/>
      <s:c r="B18709" s="121" t="n"/>
      <s:c r="C18709" s="121" t="n"/>
      <s:c r="D18709" s="121" t="n"/>
      <s:c r="E18709" s="122" t="n"/>
    </s:row>
    <s:row r="18710" hidden="1" ht="1" customHeight="1">
      <s:c r="A18710" s="120" t="inlineStr"/>
      <s:c r="B18710" s="121" t="n"/>
      <s:c r="C18710" s="121" t="n"/>
      <s:c r="D18710" s="121" t="n"/>
      <s:c r="E18710" s="122" t="n"/>
    </s:row>
    <s:row r="18711" hidden="1" ht="1" customHeight="1">
      <s:c r="A18711" s="120" t="inlineStr"/>
      <s:c r="B18711" s="121" t="n"/>
      <s:c r="C18711" s="121" t="n"/>
      <s:c r="D18711" s="121" t="n"/>
      <s:c r="E18711" s="122" t="n"/>
    </s:row>
    <s:row r="18712" hidden="1" ht="1" customHeight="1">
      <s:c r="A18712" s="120" t="inlineStr"/>
      <s:c r="B18712" s="121" t="n"/>
      <s:c r="C18712" s="121" t="n"/>
      <s:c r="D18712" s="121" t="n"/>
      <s:c r="E18712" s="122" t="n"/>
    </s:row>
    <s:row r="18713" hidden="1" ht="1" customHeight="1">
      <s:c r="A18713" s="120" t="inlineStr"/>
      <s:c r="B18713" s="121" t="n"/>
      <s:c r="C18713" s="121" t="n"/>
      <s:c r="D18713" s="121" t="n"/>
      <s:c r="E18713" s="122" t="n"/>
    </s:row>
    <s:row r="18714" hidden="1" ht="1" customHeight="1">
      <s:c r="A18714" s="120" t="inlineStr"/>
      <s:c r="B18714" s="121" t="n"/>
      <s:c r="C18714" s="121" t="n"/>
      <s:c r="D18714" s="121" t="n"/>
      <s:c r="E18714" s="122" t="n"/>
    </s:row>
    <s:row r="18715" hidden="1" ht="1" customHeight="1">
      <s:c r="A18715" s="120" t="inlineStr"/>
      <s:c r="B18715" s="121" t="n"/>
      <s:c r="C18715" s="121" t="n"/>
      <s:c r="D18715" s="121" t="n"/>
      <s:c r="E18715" s="122" t="n"/>
    </s:row>
    <s:row r="18716" hidden="1" ht="1" customHeight="1">
      <s:c r="A18716" s="120" t="inlineStr"/>
      <s:c r="B18716" s="121" t="n"/>
      <s:c r="C18716" s="121" t="n"/>
      <s:c r="D18716" s="121" t="n"/>
      <s:c r="E18716" s="122" t="n"/>
    </s:row>
    <s:row r="18717" hidden="1" ht="1" customHeight="1">
      <s:c r="A18717" s="120" t="inlineStr"/>
      <s:c r="B18717" s="121" t="n"/>
      <s:c r="C18717" s="121" t="n"/>
      <s:c r="D18717" s="121" t="n"/>
      <s:c r="E18717" s="122" t="n"/>
    </s:row>
    <s:row r="18718" hidden="1" ht="1" customHeight="1">
      <s:c r="A18718" s="120" t="inlineStr"/>
      <s:c r="B18718" s="121" t="n"/>
      <s:c r="C18718" s="121" t="n"/>
      <s:c r="D18718" s="121" t="n"/>
      <s:c r="E18718" s="122" t="n"/>
    </s:row>
    <s:row r="18719" hidden="1" ht="1" customHeight="1">
      <s:c r="A18719" s="120" t="inlineStr"/>
      <s:c r="B18719" s="121" t="n"/>
      <s:c r="C18719" s="121" t="n"/>
      <s:c r="D18719" s="121" t="n"/>
      <s:c r="E18719" s="122" t="n"/>
    </s:row>
    <s:row r="18720" hidden="1" ht="1" customHeight="1">
      <s:c r="A18720" s="120" t="inlineStr"/>
      <s:c r="B18720" s="121" t="n"/>
      <s:c r="C18720" s="121" t="n"/>
      <s:c r="D18720" s="121" t="n"/>
      <s:c r="E18720" s="122" t="n"/>
    </s:row>
    <s:row r="18721" hidden="1" ht="1" customHeight="1">
      <s:c r="A18721" s="120" t="inlineStr"/>
      <s:c r="B18721" s="121" t="n"/>
      <s:c r="C18721" s="121" t="n"/>
      <s:c r="D18721" s="121" t="n"/>
      <s:c r="E18721" s="122" t="n"/>
    </s:row>
    <s:row r="18722" hidden="1" ht="1" customHeight="1">
      <s:c r="A18722" s="120" t="inlineStr"/>
      <s:c r="B18722" s="121" t="n"/>
      <s:c r="C18722" s="121" t="n"/>
      <s:c r="D18722" s="121" t="n"/>
      <s:c r="E18722" s="122" t="n"/>
    </s:row>
    <s:row r="18723" hidden="1" ht="1" customHeight="1">
      <s:c r="A18723" s="120" t="inlineStr"/>
      <s:c r="B18723" s="121" t="n"/>
      <s:c r="C18723" s="121" t="n"/>
      <s:c r="D18723" s="121" t="n"/>
      <s:c r="E18723" s="122" t="n"/>
    </s:row>
    <s:row r="18724" hidden="1" ht="1" customHeight="1">
      <s:c r="A18724" s="120" t="inlineStr"/>
      <s:c r="B18724" s="121" t="n"/>
      <s:c r="C18724" s="121" t="n"/>
      <s:c r="D18724" s="121" t="n"/>
      <s:c r="E18724" s="122" t="n"/>
    </s:row>
    <s:row r="18725" hidden="1" ht="1" customHeight="1">
      <s:c r="A18725" s="120" t="inlineStr"/>
      <s:c r="B18725" s="121" t="n"/>
      <s:c r="C18725" s="121" t="n"/>
      <s:c r="D18725" s="121" t="n"/>
      <s:c r="E18725" s="122" t="n"/>
    </s:row>
    <s:row r="18726" hidden="1" ht="1" customHeight="1">
      <s:c r="A18726" s="120" t="inlineStr"/>
      <s:c r="B18726" s="121" t="n"/>
      <s:c r="C18726" s="121" t="n"/>
      <s:c r="D18726" s="121" t="n"/>
      <s:c r="E18726" s="122" t="n"/>
    </s:row>
    <s:row r="18727" hidden="1" ht="1" customHeight="1">
      <s:c r="A18727" s="120" t="inlineStr"/>
      <s:c r="B18727" s="121" t="n"/>
      <s:c r="C18727" s="121" t="n"/>
      <s:c r="D18727" s="121" t="n"/>
      <s:c r="E18727" s="122" t="n"/>
    </s:row>
    <s:row r="18728" hidden="1" ht="1" customHeight="1">
      <s:c r="A18728" s="120" t="inlineStr"/>
      <s:c r="B18728" s="121" t="n"/>
      <s:c r="C18728" s="121" t="n"/>
      <s:c r="D18728" s="121" t="n"/>
      <s:c r="E18728" s="122" t="n"/>
    </s:row>
    <s:row r="18729" hidden="1" ht="1" customHeight="1">
      <s:c r="A18729" s="120" t="inlineStr"/>
      <s:c r="B18729" s="121" t="n"/>
      <s:c r="C18729" s="121" t="n"/>
      <s:c r="D18729" s="121" t="n"/>
      <s:c r="E18729" s="122" t="n"/>
    </s:row>
    <s:row r="18730" hidden="1" ht="1" customHeight="1">
      <s:c r="A18730" s="120" t="inlineStr"/>
      <s:c r="B18730" s="121" t="n"/>
      <s:c r="C18730" s="121" t="n"/>
      <s:c r="D18730" s="121" t="n"/>
      <s:c r="E18730" s="122" t="n"/>
    </s:row>
    <s:row r="18731" hidden="1" ht="1" customHeight="1">
      <s:c r="A18731" s="120" t="inlineStr"/>
      <s:c r="B18731" s="121" t="n"/>
      <s:c r="C18731" s="121" t="n"/>
      <s:c r="D18731" s="121" t="n"/>
      <s:c r="E18731" s="122" t="n"/>
    </s:row>
    <s:row r="18732" hidden="1" ht="1" customHeight="1">
      <s:c r="A18732" s="120" t="inlineStr"/>
      <s:c r="B18732" s="121" t="n"/>
      <s:c r="C18732" s="121" t="n"/>
      <s:c r="D18732" s="121" t="n"/>
      <s:c r="E18732" s="122" t="n"/>
    </s:row>
    <s:row r="18733" hidden="1" ht="1" customHeight="1">
      <s:c r="A18733" s="120" t="inlineStr"/>
      <s:c r="B18733" s="121" t="n"/>
      <s:c r="C18733" s="121" t="n"/>
      <s:c r="D18733" s="121" t="n"/>
      <s:c r="E18733" s="122" t="n"/>
    </s:row>
    <s:row r="18734" hidden="1" ht="1" customHeight="1">
      <s:c r="A18734" s="120" t="inlineStr"/>
      <s:c r="B18734" s="121" t="n"/>
      <s:c r="C18734" s="121" t="n"/>
      <s:c r="D18734" s="121" t="n"/>
      <s:c r="E18734" s="122" t="n"/>
    </s:row>
    <s:row r="18735" hidden="1" ht="1" customHeight="1">
      <s:c r="A18735" s="120" t="inlineStr"/>
      <s:c r="B18735" s="121" t="n"/>
      <s:c r="C18735" s="121" t="n"/>
      <s:c r="D18735" s="121" t="n"/>
      <s:c r="E18735" s="122" t="n"/>
    </s:row>
    <s:row r="18736" hidden="1" ht="1" customHeight="1">
      <s:c r="A18736" s="120" t="inlineStr"/>
      <s:c r="B18736" s="121" t="n"/>
      <s:c r="C18736" s="121" t="n"/>
      <s:c r="D18736" s="121" t="n"/>
      <s:c r="E18736" s="122" t="n"/>
    </s:row>
    <s:row r="18737" hidden="1" ht="1" customHeight="1">
      <s:c r="A18737" s="120" t="inlineStr"/>
      <s:c r="B18737" s="121" t="n"/>
      <s:c r="C18737" s="121" t="n"/>
      <s:c r="D18737" s="121" t="n"/>
      <s:c r="E18737" s="122" t="n"/>
    </s:row>
    <s:row r="18738" hidden="1" ht="1" customHeight="1">
      <s:c r="A18738" s="120" t="inlineStr"/>
      <s:c r="B18738" s="121" t="n"/>
      <s:c r="C18738" s="121" t="n"/>
      <s:c r="D18738" s="121" t="n"/>
      <s:c r="E18738" s="122" t="n"/>
    </s:row>
    <s:row r="18739" hidden="1" ht="1" customHeight="1">
      <s:c r="A18739" s="120" t="inlineStr"/>
      <s:c r="B18739" s="121" t="n"/>
      <s:c r="C18739" s="121" t="n"/>
      <s:c r="D18739" s="121" t="n"/>
      <s:c r="E18739" s="122" t="n"/>
    </s:row>
    <s:row r="18740" hidden="1" ht="1" customHeight="1">
      <s:c r="A18740" s="120" t="inlineStr"/>
      <s:c r="B18740" s="121" t="n"/>
      <s:c r="C18740" s="121" t="n"/>
      <s:c r="D18740" s="121" t="n"/>
      <s:c r="E18740" s="122" t="n"/>
    </s:row>
    <s:row r="18741" hidden="1" ht="1" customHeight="1">
      <s:c r="A18741" s="120" t="inlineStr"/>
      <s:c r="B18741" s="121" t="n"/>
      <s:c r="C18741" s="121" t="n"/>
      <s:c r="D18741" s="121" t="n"/>
      <s:c r="E18741" s="122" t="n"/>
    </s:row>
    <s:row r="18742" hidden="1" ht="1" customHeight="1">
      <s:c r="A18742" s="120" t="inlineStr"/>
      <s:c r="B18742" s="121" t="n"/>
      <s:c r="C18742" s="121" t="n"/>
      <s:c r="D18742" s="121" t="n"/>
      <s:c r="E18742" s="122" t="n"/>
    </s:row>
    <s:row r="18743" hidden="1" ht="1" customHeight="1">
      <s:c r="A18743" s="120" t="inlineStr"/>
      <s:c r="B18743" s="121" t="n"/>
      <s:c r="C18743" s="121" t="n"/>
      <s:c r="D18743" s="121" t="n"/>
      <s:c r="E18743" s="122" t="n"/>
    </s:row>
    <s:row r="18744" hidden="1" ht="1" customHeight="1">
      <s:c r="A18744" s="120" t="inlineStr"/>
      <s:c r="B18744" s="121" t="n"/>
      <s:c r="C18744" s="121" t="n"/>
      <s:c r="D18744" s="121" t="n"/>
      <s:c r="E18744" s="122" t="n"/>
    </s:row>
    <s:row r="18745" hidden="1" ht="1" customHeight="1">
      <s:c r="A18745" s="120" t="inlineStr"/>
      <s:c r="B18745" s="121" t="n"/>
      <s:c r="C18745" s="121" t="n"/>
      <s:c r="D18745" s="121" t="n"/>
      <s:c r="E18745" s="122" t="n"/>
    </s:row>
    <s:row r="18746" hidden="1" ht="1" customHeight="1">
      <s:c r="A18746" s="120" t="inlineStr"/>
      <s:c r="B18746" s="121" t="n"/>
      <s:c r="C18746" s="121" t="n"/>
      <s:c r="D18746" s="121" t="n"/>
      <s:c r="E18746" s="122" t="n"/>
    </s:row>
    <s:row r="18747" hidden="1" ht="1" customHeight="1">
      <s:c r="A18747" s="120" t="inlineStr"/>
      <s:c r="B18747" s="121" t="n"/>
      <s:c r="C18747" s="121" t="n"/>
      <s:c r="D18747" s="121" t="n"/>
      <s:c r="E18747" s="122" t="n"/>
    </s:row>
    <s:row r="18748" hidden="1" ht="1" customHeight="1">
      <s:c r="A18748" s="120" t="inlineStr"/>
      <s:c r="B18748" s="121" t="n"/>
      <s:c r="C18748" s="121" t="n"/>
      <s:c r="D18748" s="121" t="n"/>
      <s:c r="E18748" s="122" t="n"/>
    </s:row>
    <s:row r="18749" hidden="1" ht="1" customHeight="1">
      <s:c r="A18749" s="120" t="inlineStr"/>
      <s:c r="B18749" s="121" t="n"/>
      <s:c r="C18749" s="121" t="n"/>
      <s:c r="D18749" s="121" t="n"/>
      <s:c r="E18749" s="122" t="n"/>
    </s:row>
    <s:row r="18750" hidden="1" ht="1" customHeight="1">
      <s:c r="A18750" s="120" t="inlineStr"/>
      <s:c r="B18750" s="121" t="n"/>
      <s:c r="C18750" s="121" t="n"/>
      <s:c r="D18750" s="121" t="n"/>
      <s:c r="E18750" s="122" t="n"/>
    </s:row>
    <s:row r="18751" hidden="1" ht="1" customHeight="1">
      <s:c r="A18751" s="120" t="inlineStr"/>
      <s:c r="B18751" s="121" t="n"/>
      <s:c r="C18751" s="121" t="n"/>
      <s:c r="D18751" s="121" t="n"/>
      <s:c r="E18751" s="122" t="n"/>
    </s:row>
    <s:row r="18752" hidden="1" ht="1" customHeight="1">
      <s:c r="A18752" s="120" t="inlineStr"/>
      <s:c r="B18752" s="121" t="n"/>
      <s:c r="C18752" s="121" t="n"/>
      <s:c r="D18752" s="121" t="n"/>
      <s:c r="E18752" s="122" t="n"/>
    </s:row>
    <s:row r="18753" hidden="1" ht="1" customHeight="1">
      <s:c r="A18753" s="120" t="inlineStr"/>
      <s:c r="B18753" s="121" t="n"/>
      <s:c r="C18753" s="121" t="n"/>
      <s:c r="D18753" s="121" t="n"/>
      <s:c r="E18753" s="122" t="n"/>
    </s:row>
    <s:row r="18754" hidden="1" ht="1" customHeight="1">
      <s:c r="A18754" s="120" t="inlineStr"/>
      <s:c r="B18754" s="121" t="n"/>
      <s:c r="C18754" s="121" t="n"/>
      <s:c r="D18754" s="121" t="n"/>
      <s:c r="E18754" s="122" t="n"/>
    </s:row>
    <s:row r="18755" hidden="1" ht="1" customHeight="1">
      <s:c r="A18755" s="120" t="inlineStr"/>
      <s:c r="B18755" s="121" t="n"/>
      <s:c r="C18755" s="121" t="n"/>
      <s:c r="D18755" s="121" t="n"/>
      <s:c r="E18755" s="122" t="n"/>
    </s:row>
    <s:row r="18756" hidden="1" ht="1" customHeight="1">
      <s:c r="A18756" s="120" t="inlineStr"/>
      <s:c r="B18756" s="121" t="n"/>
      <s:c r="C18756" s="121" t="n"/>
      <s:c r="D18756" s="121" t="n"/>
      <s:c r="E18756" s="122" t="n"/>
    </s:row>
    <s:row r="18757" hidden="1" ht="1" customHeight="1">
      <s:c r="A18757" s="120" t="inlineStr"/>
      <s:c r="B18757" s="121" t="n"/>
      <s:c r="C18757" s="121" t="n"/>
      <s:c r="D18757" s="121" t="n"/>
      <s:c r="E18757" s="122" t="n"/>
    </s:row>
    <s:row r="18758" hidden="1" ht="1" customHeight="1">
      <s:c r="A18758" s="120" t="inlineStr"/>
      <s:c r="B18758" s="121" t="n"/>
      <s:c r="C18758" s="121" t="n"/>
      <s:c r="D18758" s="121" t="n"/>
      <s:c r="E18758" s="122" t="n"/>
    </s:row>
    <s:row r="18759" hidden="1" ht="1" customHeight="1">
      <s:c r="A18759" s="120" t="inlineStr"/>
      <s:c r="B18759" s="121" t="n"/>
      <s:c r="C18759" s="121" t="n"/>
      <s:c r="D18759" s="121" t="n"/>
      <s:c r="E18759" s="122" t="n"/>
    </s:row>
    <s:row r="18760" hidden="1" ht="1" customHeight="1">
      <s:c r="A18760" s="120" t="inlineStr"/>
      <s:c r="B18760" s="121" t="n"/>
      <s:c r="C18760" s="121" t="n"/>
      <s:c r="D18760" s="121" t="n"/>
      <s:c r="E18760" s="122" t="n"/>
    </s:row>
    <s:row r="18761" hidden="1" ht="1" customHeight="1">
      <s:c r="A18761" s="120" t="inlineStr"/>
      <s:c r="B18761" s="121" t="n"/>
      <s:c r="C18761" s="121" t="n"/>
      <s:c r="D18761" s="121" t="n"/>
      <s:c r="E18761" s="122" t="n"/>
    </s:row>
    <s:row r="18762" hidden="1" ht="1" customHeight="1">
      <s:c r="A18762" s="120" t="inlineStr"/>
      <s:c r="B18762" s="121" t="n"/>
      <s:c r="C18762" s="121" t="n"/>
      <s:c r="D18762" s="121" t="n"/>
      <s:c r="E18762" s="122" t="n"/>
    </s:row>
    <s:row r="18763" hidden="1" ht="1" customHeight="1">
      <s:c r="A18763" s="120" t="inlineStr"/>
      <s:c r="B18763" s="121" t="n"/>
      <s:c r="C18763" s="121" t="n"/>
      <s:c r="D18763" s="121" t="n"/>
      <s:c r="E18763" s="122" t="n"/>
    </s:row>
    <s:row r="18764" hidden="1" ht="1" customHeight="1">
      <s:c r="A18764" s="120" t="inlineStr"/>
      <s:c r="B18764" s="121" t="n"/>
      <s:c r="C18764" s="121" t="n"/>
      <s:c r="D18764" s="121" t="n"/>
      <s:c r="E18764" s="122" t="n"/>
    </s:row>
    <s:row r="18765" hidden="1" ht="1" customHeight="1">
      <s:c r="A18765" s="120" t="inlineStr"/>
      <s:c r="B18765" s="121" t="n"/>
      <s:c r="C18765" s="121" t="n"/>
      <s:c r="D18765" s="121" t="n"/>
      <s:c r="E18765" s="122" t="n"/>
    </s:row>
    <s:row r="18766" hidden="1" ht="1" customHeight="1">
      <s:c r="A18766" s="120" t="inlineStr"/>
      <s:c r="B18766" s="121" t="n"/>
      <s:c r="C18766" s="121" t="n"/>
      <s:c r="D18766" s="121" t="n"/>
      <s:c r="E18766" s="122" t="n"/>
    </s:row>
    <s:row r="18767" hidden="1" ht="1" customHeight="1">
      <s:c r="A18767" s="120" t="inlineStr"/>
      <s:c r="B18767" s="121" t="n"/>
      <s:c r="C18767" s="121" t="n"/>
      <s:c r="D18767" s="121" t="n"/>
      <s:c r="E18767" s="122" t="n"/>
    </s:row>
    <s:row r="18768" hidden="1" ht="1" customHeight="1">
      <s:c r="A18768" s="120" t="inlineStr"/>
      <s:c r="B18768" s="121" t="n"/>
      <s:c r="C18768" s="121" t="n"/>
      <s:c r="D18768" s="121" t="n"/>
      <s:c r="E18768" s="122" t="n"/>
    </s:row>
    <s:row r="18769" hidden="1" ht="1" customHeight="1">
      <s:c r="A18769" s="120" t="inlineStr"/>
      <s:c r="B18769" s="121" t="n"/>
      <s:c r="C18769" s="121" t="n"/>
      <s:c r="D18769" s="121" t="n"/>
      <s:c r="E18769" s="122" t="n"/>
    </s:row>
    <s:row r="18770" hidden="1" ht="1" customHeight="1">
      <s:c r="A18770" s="120" t="inlineStr"/>
      <s:c r="B18770" s="121" t="n"/>
      <s:c r="C18770" s="121" t="n"/>
      <s:c r="D18770" s="121" t="n"/>
      <s:c r="E18770" s="122" t="n"/>
    </s:row>
    <s:row r="18771" hidden="1" ht="1" customHeight="1">
      <s:c r="A18771" s="120" t="inlineStr"/>
      <s:c r="B18771" s="121" t="n"/>
      <s:c r="C18771" s="121" t="n"/>
      <s:c r="D18771" s="121" t="n"/>
      <s:c r="E18771" s="122" t="n"/>
    </s:row>
    <s:row r="18772" hidden="1" ht="1" customHeight="1">
      <s:c r="A18772" s="120" t="inlineStr"/>
      <s:c r="B18772" s="121" t="n"/>
      <s:c r="C18772" s="121" t="n"/>
      <s:c r="D18772" s="121" t="n"/>
      <s:c r="E18772" s="122" t="n"/>
    </s:row>
    <s:row r="18773" hidden="1" ht="1" customHeight="1">
      <s:c r="A18773" s="120" t="inlineStr"/>
      <s:c r="B18773" s="121" t="n"/>
      <s:c r="C18773" s="121" t="n"/>
      <s:c r="D18773" s="121" t="n"/>
      <s:c r="E18773" s="122" t="n"/>
    </s:row>
    <s:row r="18774" hidden="1" ht="1" customHeight="1">
      <s:c r="A18774" s="120" t="inlineStr"/>
      <s:c r="B18774" s="121" t="n"/>
      <s:c r="C18774" s="121" t="n"/>
      <s:c r="D18774" s="121" t="n"/>
      <s:c r="E18774" s="122" t="n"/>
    </s:row>
    <s:row r="18775" hidden="1" ht="1" customHeight="1">
      <s:c r="A18775" s="120" t="inlineStr"/>
      <s:c r="B18775" s="121" t="n"/>
      <s:c r="C18775" s="121" t="n"/>
      <s:c r="D18775" s="121" t="n"/>
      <s:c r="E18775" s="122" t="n"/>
    </s:row>
    <s:row r="18776" hidden="1" ht="1" customHeight="1">
      <s:c r="A18776" s="120" t="inlineStr"/>
      <s:c r="B18776" s="121" t="n"/>
      <s:c r="C18776" s="121" t="n"/>
      <s:c r="D18776" s="121" t="n"/>
      <s:c r="E18776" s="122" t="n"/>
    </s:row>
    <s:row r="18777" hidden="1" ht="1" customHeight="1">
      <s:c r="A18777" s="120" t="inlineStr"/>
      <s:c r="B18777" s="121" t="n"/>
      <s:c r="C18777" s="121" t="n"/>
      <s:c r="D18777" s="121" t="n"/>
      <s:c r="E18777" s="122" t="n"/>
    </s:row>
    <s:row r="18778" hidden="1" ht="1" customHeight="1">
      <s:c r="A18778" s="120" t="inlineStr"/>
      <s:c r="B18778" s="121" t="n"/>
      <s:c r="C18778" s="121" t="n"/>
      <s:c r="D18778" s="121" t="n"/>
      <s:c r="E18778" s="122" t="n"/>
    </s:row>
    <s:row r="18779" hidden="1" ht="1" customHeight="1">
      <s:c r="A18779" s="120" t="inlineStr"/>
      <s:c r="B18779" s="121" t="n"/>
      <s:c r="C18779" s="121" t="n"/>
      <s:c r="D18779" s="121" t="n"/>
      <s:c r="E18779" s="122" t="n"/>
    </s:row>
    <s:row r="18780" hidden="1" ht="1" customHeight="1">
      <s:c r="A18780" s="120" t="inlineStr"/>
      <s:c r="B18780" s="121" t="n"/>
      <s:c r="C18780" s="121" t="n"/>
      <s:c r="D18780" s="121" t="n"/>
      <s:c r="E18780" s="122" t="n"/>
    </s:row>
    <s:row r="18781" hidden="1" ht="1" customHeight="1">
      <s:c r="A18781" s="120" t="inlineStr"/>
      <s:c r="B18781" s="121" t="n"/>
      <s:c r="C18781" s="121" t="n"/>
      <s:c r="D18781" s="121" t="n"/>
      <s:c r="E18781" s="122" t="n"/>
    </s:row>
    <s:row r="18782" hidden="1" ht="1" customHeight="1">
      <s:c r="A18782" s="120" t="inlineStr"/>
      <s:c r="B18782" s="121" t="n"/>
      <s:c r="C18782" s="121" t="n"/>
      <s:c r="D18782" s="121" t="n"/>
      <s:c r="E18782" s="122" t="n"/>
    </s:row>
    <s:row r="18783" hidden="1" ht="1" customHeight="1">
      <s:c r="A18783" s="120" t="inlineStr"/>
      <s:c r="B18783" s="121" t="n"/>
      <s:c r="C18783" s="121" t="n"/>
      <s:c r="D18783" s="121" t="n"/>
      <s:c r="E18783" s="122" t="n"/>
    </s:row>
    <s:row r="18784" hidden="1" ht="1" customHeight="1">
      <s:c r="A18784" s="120" t="inlineStr"/>
      <s:c r="B18784" s="121" t="n"/>
      <s:c r="C18784" s="121" t="n"/>
      <s:c r="D18784" s="121" t="n"/>
      <s:c r="E18784" s="122" t="n"/>
    </s:row>
    <s:row r="18785" hidden="1" ht="1" customHeight="1">
      <s:c r="A18785" s="120" t="inlineStr"/>
      <s:c r="B18785" s="121" t="n"/>
      <s:c r="C18785" s="121" t="n"/>
      <s:c r="D18785" s="121" t="n"/>
      <s:c r="E18785" s="122" t="n"/>
    </s:row>
    <s:row r="18786" hidden="1" ht="1" customHeight="1">
      <s:c r="A18786" s="120" t="inlineStr"/>
      <s:c r="B18786" s="121" t="n"/>
      <s:c r="C18786" s="121" t="n"/>
      <s:c r="D18786" s="121" t="n"/>
      <s:c r="E18786" s="122" t="n"/>
    </s:row>
    <s:row r="18787" hidden="1" ht="1" customHeight="1">
      <s:c r="A18787" s="120" t="inlineStr"/>
      <s:c r="B18787" s="121" t="n"/>
      <s:c r="C18787" s="121" t="n"/>
      <s:c r="D18787" s="121" t="n"/>
      <s:c r="E18787" s="122" t="n"/>
    </s:row>
    <s:row r="18788" hidden="1" ht="1" customHeight="1">
      <s:c r="A18788" s="120" t="inlineStr"/>
      <s:c r="B18788" s="121" t="n"/>
      <s:c r="C18788" s="121" t="n"/>
      <s:c r="D18788" s="121" t="n"/>
      <s:c r="E18788" s="122" t="n"/>
    </s:row>
    <s:row r="18789" hidden="1" ht="1" customHeight="1">
      <s:c r="A18789" s="120" t="inlineStr"/>
      <s:c r="B18789" s="121" t="n"/>
      <s:c r="C18789" s="121" t="n"/>
      <s:c r="D18789" s="121" t="n"/>
      <s:c r="E18789" s="122" t="n"/>
    </s:row>
    <s:row r="18790" hidden="1" ht="1" customHeight="1">
      <s:c r="A18790" s="120" t="inlineStr"/>
      <s:c r="B18790" s="121" t="n"/>
      <s:c r="C18790" s="121" t="n"/>
      <s:c r="D18790" s="121" t="n"/>
      <s:c r="E18790" s="122" t="n"/>
    </s:row>
    <s:row r="18791" hidden="1" ht="1" customHeight="1">
      <s:c r="A18791" s="120" t="inlineStr"/>
      <s:c r="B18791" s="121" t="n"/>
      <s:c r="C18791" s="121" t="n"/>
      <s:c r="D18791" s="121" t="n"/>
      <s:c r="E18791" s="122" t="n"/>
    </s:row>
    <s:row r="18792" hidden="1" ht="1" customHeight="1">
      <s:c r="A18792" s="120" t="inlineStr"/>
      <s:c r="B18792" s="121" t="n"/>
      <s:c r="C18792" s="121" t="n"/>
      <s:c r="D18792" s="121" t="n"/>
      <s:c r="E18792" s="122" t="n"/>
    </s:row>
    <s:row r="18793" hidden="1" ht="1" customHeight="1">
      <s:c r="A18793" s="120" t="inlineStr"/>
      <s:c r="B18793" s="121" t="n"/>
      <s:c r="C18793" s="121" t="n"/>
      <s:c r="D18793" s="121" t="n"/>
      <s:c r="E18793" s="122" t="n"/>
    </s:row>
    <s:row r="18794" hidden="1" ht="1" customHeight="1">
      <s:c r="A18794" s="120" t="inlineStr"/>
      <s:c r="B18794" s="121" t="n"/>
      <s:c r="C18794" s="121" t="n"/>
      <s:c r="D18794" s="121" t="n"/>
      <s:c r="E18794" s="122" t="n"/>
    </s:row>
    <s:row r="18795" hidden="1" ht="1" customHeight="1">
      <s:c r="A18795" s="120" t="inlineStr"/>
      <s:c r="B18795" s="121" t="n"/>
      <s:c r="C18795" s="121" t="n"/>
      <s:c r="D18795" s="121" t="n"/>
      <s:c r="E18795" s="122" t="n"/>
    </s:row>
    <s:row r="18796" hidden="1" ht="1" customHeight="1">
      <s:c r="A18796" s="120" t="inlineStr"/>
      <s:c r="B18796" s="121" t="n"/>
      <s:c r="C18796" s="121" t="n"/>
      <s:c r="D18796" s="121" t="n"/>
      <s:c r="E18796" s="122" t="n"/>
    </s:row>
    <s:row r="18797" hidden="1" ht="1" customHeight="1">
      <s:c r="A18797" s="120" t="inlineStr"/>
      <s:c r="B18797" s="121" t="n"/>
      <s:c r="C18797" s="121" t="n"/>
      <s:c r="D18797" s="121" t="n"/>
      <s:c r="E18797" s="122" t="n"/>
    </s:row>
    <s:row r="18798" hidden="1" ht="1" customHeight="1">
      <s:c r="A18798" s="120" t="inlineStr"/>
      <s:c r="B18798" s="121" t="n"/>
      <s:c r="C18798" s="121" t="n"/>
      <s:c r="D18798" s="121" t="n"/>
      <s:c r="E18798" s="122" t="n"/>
    </s:row>
    <s:row r="18799" hidden="1" ht="1" customHeight="1">
      <s:c r="A18799" s="120" t="inlineStr"/>
      <s:c r="B18799" s="121" t="n"/>
      <s:c r="C18799" s="121" t="n"/>
      <s:c r="D18799" s="121" t="n"/>
      <s:c r="E18799" s="122" t="n"/>
    </s:row>
    <s:row r="18800" hidden="1" ht="1" customHeight="1">
      <s:c r="A18800" s="120" t="inlineStr"/>
      <s:c r="B18800" s="121" t="n"/>
      <s:c r="C18800" s="121" t="n"/>
      <s:c r="D18800" s="121" t="n"/>
      <s:c r="E18800" s="122" t="n"/>
    </s:row>
    <s:row r="18801" hidden="1" ht="1" customHeight="1">
      <s:c r="A18801" s="120" t="inlineStr"/>
      <s:c r="B18801" s="121" t="n"/>
      <s:c r="C18801" s="121" t="n"/>
      <s:c r="D18801" s="121" t="n"/>
      <s:c r="E18801" s="122" t="n"/>
    </s:row>
    <s:row r="18802" hidden="1" ht="1" customHeight="1">
      <s:c r="A18802" s="120" t="inlineStr"/>
      <s:c r="B18802" s="121" t="n"/>
      <s:c r="C18802" s="121" t="n"/>
      <s:c r="D18802" s="121" t="n"/>
      <s:c r="E18802" s="122" t="n"/>
    </s:row>
    <s:row r="18803" hidden="1" ht="1" customHeight="1">
      <s:c r="A18803" s="120" t="inlineStr"/>
      <s:c r="B18803" s="121" t="n"/>
      <s:c r="C18803" s="121" t="n"/>
      <s:c r="D18803" s="121" t="n"/>
      <s:c r="E18803" s="122" t="n"/>
    </s:row>
    <s:row r="18804" hidden="1" ht="1" customHeight="1">
      <s:c r="A18804" s="120" t="inlineStr"/>
      <s:c r="B18804" s="121" t="n"/>
      <s:c r="C18804" s="121" t="n"/>
      <s:c r="D18804" s="121" t="n"/>
      <s:c r="E18804" s="122" t="n"/>
    </s:row>
    <s:row r="18805" hidden="1" ht="1" customHeight="1">
      <s:c r="A18805" s="120" t="inlineStr"/>
      <s:c r="B18805" s="121" t="n"/>
      <s:c r="C18805" s="121" t="n"/>
      <s:c r="D18805" s="121" t="n"/>
      <s:c r="E18805" s="122" t="n"/>
    </s:row>
    <s:row r="18806" hidden="1" ht="1" customHeight="1">
      <s:c r="A18806" s="120" t="inlineStr"/>
      <s:c r="B18806" s="121" t="n"/>
      <s:c r="C18806" s="121" t="n"/>
      <s:c r="D18806" s="121" t="n"/>
      <s:c r="E18806" s="122" t="n"/>
    </s:row>
    <s:row r="18807" hidden="1" ht="1" customHeight="1">
      <s:c r="A18807" s="120" t="inlineStr"/>
      <s:c r="B18807" s="121" t="n"/>
      <s:c r="C18807" s="121" t="n"/>
      <s:c r="D18807" s="121" t="n"/>
      <s:c r="E18807" s="122" t="n"/>
    </s:row>
    <s:row r="18808" hidden="1" ht="1" customHeight="1">
      <s:c r="A18808" s="120" t="inlineStr"/>
      <s:c r="B18808" s="121" t="n"/>
      <s:c r="C18808" s="121" t="n"/>
      <s:c r="D18808" s="121" t="n"/>
      <s:c r="E18808" s="122" t="n"/>
    </s:row>
    <s:row r="18809" hidden="1" ht="1" customHeight="1">
      <s:c r="A18809" s="120" t="inlineStr"/>
      <s:c r="B18809" s="121" t="n"/>
      <s:c r="C18809" s="121" t="n"/>
      <s:c r="D18809" s="121" t="n"/>
      <s:c r="E18809" s="122" t="n"/>
    </s:row>
    <s:row r="18810" hidden="1" ht="1" customHeight="1">
      <s:c r="A18810" s="120" t="inlineStr"/>
      <s:c r="B18810" s="121" t="n"/>
      <s:c r="C18810" s="121" t="n"/>
      <s:c r="D18810" s="121" t="n"/>
      <s:c r="E18810" s="122" t="n"/>
    </s:row>
    <s:row r="18811" hidden="1" ht="1" customHeight="1">
      <s:c r="A18811" s="120" t="inlineStr"/>
      <s:c r="B18811" s="121" t="n"/>
      <s:c r="C18811" s="121" t="n"/>
      <s:c r="D18811" s="121" t="n"/>
      <s:c r="E18811" s="122" t="n"/>
    </s:row>
    <s:row r="18812" hidden="1" ht="1" customHeight="1">
      <s:c r="A18812" s="120" t="inlineStr"/>
      <s:c r="B18812" s="121" t="n"/>
      <s:c r="C18812" s="121" t="n"/>
      <s:c r="D18812" s="121" t="n"/>
      <s:c r="E18812" s="122" t="n"/>
    </s:row>
    <s:row r="18813" hidden="1" ht="1" customHeight="1">
      <s:c r="A18813" s="120" t="inlineStr"/>
      <s:c r="B18813" s="121" t="n"/>
      <s:c r="C18813" s="121" t="n"/>
      <s:c r="D18813" s="121" t="n"/>
      <s:c r="E18813" s="122" t="n"/>
    </s:row>
    <s:row r="18814" hidden="1" ht="1" customHeight="1">
      <s:c r="A18814" s="120" t="inlineStr"/>
      <s:c r="B18814" s="121" t="n"/>
      <s:c r="C18814" s="121" t="n"/>
      <s:c r="D18814" s="121" t="n"/>
      <s:c r="E18814" s="122" t="n"/>
    </s:row>
    <s:row r="18815" hidden="1" ht="1" customHeight="1">
      <s:c r="A18815" s="120" t="inlineStr"/>
      <s:c r="B18815" s="121" t="n"/>
      <s:c r="C18815" s="121" t="n"/>
      <s:c r="D18815" s="121" t="n"/>
      <s:c r="E18815" s="122" t="n"/>
    </s:row>
    <s:row r="18816" hidden="1" ht="1" customHeight="1">
      <s:c r="A18816" s="120" t="inlineStr"/>
      <s:c r="B18816" s="121" t="n"/>
      <s:c r="C18816" s="121" t="n"/>
      <s:c r="D18816" s="121" t="n"/>
      <s:c r="E18816" s="122" t="n"/>
    </s:row>
    <s:row r="18817" hidden="1" ht="1" customHeight="1">
      <s:c r="A18817" s="120" t="inlineStr"/>
      <s:c r="B18817" s="121" t="n"/>
      <s:c r="C18817" s="121" t="n"/>
      <s:c r="D18817" s="121" t="n"/>
      <s:c r="E18817" s="122" t="n"/>
    </s:row>
    <s:row r="18818" hidden="1" ht="1" customHeight="1">
      <s:c r="A18818" s="120" t="inlineStr"/>
      <s:c r="B18818" s="121" t="n"/>
      <s:c r="C18818" s="121" t="n"/>
      <s:c r="D18818" s="121" t="n"/>
      <s:c r="E18818" s="122" t="n"/>
    </s:row>
    <s:row r="18819" hidden="1" ht="1" customHeight="1">
      <s:c r="A18819" s="83" t="inlineStr">
        <s:is>
          <s:t>PASS</s:t>
        </s:is>
      </s:c>
      <s:c r="B18819" s="83">
        <s:f>SUM(IF(EXACT('Kiểm thử'!E18519,"Đạt"),1,0),IF(EXACT('Kiểm thử'!E18521,"Đạt"),1,0),IF(EXACT('Kiểm thử'!E18523,"Đạt"),1,0),IF(EXACT('Kiểm thử'!E18525,"Đạt"),1,0),IF(EXACT('Kiểm thử'!E18527,"Đạt"),1,0),IF(EXACT('Kiểm thử'!E18529,"Đạt"),1,0))</s:f>
        <s:v/>
      </s:c>
      <s:c r="C18819" s="19" t="n"/>
      <s:c r="D18819" s="19" t="n"/>
      <s:c r="E18819" s="19" t="n"/>
    </s:row>
    <s:row r="18820" hidden="1" ht="1" customHeight="1">
      <s:c r="A18820" s="83" t="inlineStr">
        <s:is>
          <s:t>FAIL</s:t>
        </s:is>
      </s:c>
      <s:c r="B18820" s="83">
        <s:f>SUM(IF(EXACT('Kiểm thử'!E18519,"Không đạt"),1,0),IF(EXACT('Kiểm thử'!E18521,"Không đạt"),1,0),IF(EXACT('Kiểm thử'!E18523,"Không đạt"),1,0),IF(EXACT('Kiểm thử'!E18525,"Không đạt"),1,0),IF(EXACT('Kiểm thử'!E18527,"Không đạt"),1,0),IF(EXACT('Kiểm thử'!E18529,"Không đạt"),1,0))</s:f>
        <s:v/>
      </s:c>
      <s:c r="C18820" s="19" t="n"/>
      <s:c r="D18820" s="19" t="n"/>
      <s:c r="E18820" s="19" t="n"/>
    </s:row>
    <s:row r="18821" hidden="1" ht="1" customHeight="1">
      <s:c r="A18821" s="83" t="inlineStr">
        <s:is>
          <s:t>BLOCKED</s:t>
        </s:is>
      </s:c>
      <s:c r="B18821" s="83">
        <s:f>SUM(IF(EXACT('Kiểm thử'!E18519,"Bị chặn"),1,0),IF(EXACT('Kiểm thử'!E18521,"Bị chặn"),1,0),IF(EXACT('Kiểm thử'!E18523,"Bị chặn"),1,0),IF(EXACT('Kiểm thử'!E18525,"Bị chặn"),1,0),IF(EXACT('Kiểm thử'!E18527,"Bị chặn"),1,0),IF(EXACT('Kiểm thử'!E18529,"Bị chặn"),1,0))</s:f>
        <s:v/>
      </s:c>
      <s:c r="C18821" s="19" t="n"/>
      <s:c r="D18821" s="19" t="n"/>
      <s:c r="E18821" s="19" t="n"/>
    </s:row>
    <s:row r="18822" hidden="1" ht="1" customHeight="1">
      <s:c r="A18822" s="83" t="inlineStr">
        <s:is>
          <s:t>SKIPPED</s:t>
        </s:is>
      </s:c>
      <s:c r="B18822" s="83">
        <s:f>SUM(IF(EXACT('Kiểm thử'!E18519,"Không thực hiện"),1,0),IF(EXACT('Kiểm thử'!E18521,"Không thực hiện"),1,0),IF(EXACT('Kiểm thử'!E18523,"Không thực hiện"),1,0),IF(EXACT('Kiểm thử'!E18525,"Không thực hiện"),1,0),IF(EXACT('Kiểm thử'!E18527,"Không thực hiện"),1,0),IF(EXACT('Kiểm thử'!E18529,"Không thực hiện"),1,0))</s:f>
        <s:v/>
      </s:c>
      <s:c r="C18822" s="19" t="n"/>
      <s:c r="D18822" s="19" t="n"/>
      <s:c r="E18822" s="19" t="n"/>
    </s:row>
    <s:row r="18823" hidden="1" ht="1" customHeight="1">
      <s:c r="A18823" s="83" t="inlineStr">
        <s:is>
          <s:t>NOT RUN</s:t>
        </s:is>
      </s:c>
      <s:c r="B18823" s="83">
        <s:f>SUM(IF(EXACT('Kiểm thử'!E18519,"Chưa thực hiện"),1,0),IF(EXACT('Kiểm thử'!E18521,"Chưa thực hiện"),1,0),IF(EXACT('Kiểm thử'!E18523,"Chưa thực hiện"),1,0),IF(EXACT('Kiểm thử'!E18525,"Chưa thực hiện"),1,0),IF(EXACT('Kiểm thử'!E18527,"Chưa thực hiện"),1,0),IF(EXACT('Kiểm thử'!E18529,"Chưa thực hiện"),1,0))</s:f>
        <s:v/>
      </s:c>
      <s:c r="C18823" s="19" t="n"/>
      <s:c r="D18823" s="19" t="n"/>
      <s:c r="E18823" s="19" t="n"/>
    </s:row>
    <s:row r="18824" hidden="1" ht="6" customHeight="1">
      <s:c r="A18824" s="83" t="inlineStr"/>
      <s:c r="B18824" s="19" t="n"/>
      <s:c r="C18824" s="19" t="n"/>
      <s:c r="D18824" s="19" t="n"/>
      <s:c r="E18824" s="19" t="n"/>
    </s:row>
    <s:row r="18825" ht="28" customHeight="1">
      <s:c r="A18825" s="108" t="inlineStr">
        <s:is>
          <s:t>TC-RS-FUNC-029 — Công cụ phiếu điểm（通知表ツール）: bốn cách hiển thị đỏ trên PDF</s:t>
        </s:is>
      </s:c>
      <s:c r="B18825" s="111" t="n"/>
      <s:c r="C18825" s="111" t="n"/>
      <s:c r="D18825" s="111" t="n"/>
      <s:c r="E18825" s="111" t="n"/>
    </s:row>
    <s:row r="18826" ht="20" customHeight="1">
      <s:c r="A18826" s="112" t="inlineStr">
        <s:is>
          <s:t>Kết quả tình huống</s:t>
        </s:is>
      </s:c>
      <s:c r="B18826" s="113">
        <s:f>IF(SUM(IF(EXACT('Kiểm thử'!E18834,"Không đạt"),1,0),IF(EXACT('Kiểm thử'!E18836,"Không đạt"),1,0),IF(EXACT('Kiểm thử'!E18838,"Không đạt"),1,0),IF(EXACT('Kiểm thử'!E18840,"Không đạt"),1,0))&gt;0,"Không đạt",IF(SUM(IF(EXACT('Kiểm thử'!E18834,"Đạt"),1,0),IF(EXACT('Kiểm thử'!E18836,"Đạt"),1,0),IF(EXACT('Kiểm thử'!E18838,"Đạt"),1,0),IF(EXACT('Kiểm thử'!E18840,"Đạt"),1,0))=4,"Đạt",IF(SUM(IF(EXACT('Kiểm thử'!E18834,"Không thực hiện"),1,0),IF(EXACT('Kiểm thử'!E18836,"Không thực hiện"),1,0),IF(EXACT('Kiểm thử'!E18838,"Không thực hiện"),1,0),IF(EXACT('Kiểm thử'!E18840,"Không thực hiện"),1,0))=4,"Không thực hiện",IF(SUM(IF(EXACT('Kiểm thử'!E18834,"Bị chặn"),1,0),IF(EXACT('Kiểm thử'!E18836,"Bị chặn"),1,0),IF(EXACT('Kiểm thử'!E18838,"Bị chặn"),1,0),IF(EXACT('Kiểm thử'!E18840,"Bị chặn"),1,0))&gt;0,"Bị chặn",IF(SUM(IF(EXACT('Kiểm thử'!E18834,"Chưa thực hiện"),1,0),IF(EXACT('Kiểm thử'!E18836,"Chưa thực hiện"),1,0),IF(EXACT('Kiểm thử'!E18838,"Chưa thực hiện"),1,0),IF(EXACT('Kiểm thử'!E18840,"Chưa thực hiện"),1,0))=4,"Chưa thực hiện","Đang thực hiện")))))</s:f>
        <s:v/>
      </s:c>
      <s:c r="C18826" s="114" t="n"/>
      <s:c r="D18826" s="114" t="n"/>
      <s:c r="E18826" s="114" t="n"/>
    </s:row>
    <s:row r="18827" ht="20" customHeight="1">
      <s:c r="A18827" s="112" t="inlineStr">
        <s:is>
          <s:t>Màn hình / chức năng</s:t>
        </s:is>
      </s:c>
      <s:c r="B18827" s="113" t="inlineStr">
        <s:is>
          <s:r>
            <s:rPr>
              <s:b val="1"/>
            </s:rPr>
            <s:t>Công cụ phiếu điểm（通知表ツール）</s:t>
          </s:r>
        </s:is>
      </s:c>
      <s:c r="C18827" s="28" t="n"/>
      <s:c r="D18827" s="28" t="n"/>
      <s:c r="E18827" s="28" t="n"/>
    </s:row>
    <s:row r="18828" ht="34" customHeight="1">
      <s:c r="A18828" s="112" t="inlineStr">
        <s:is>
          <s:t>Cấu hình</s:t>
        </s:is>
      </s:c>
      <s:c r="B18828" s="113" t="inlineStr">
        <s:is>
          <s:r>
            <s:t xml:space="preserve">• S01 Đỏ (29), không điểm dự kiến, không cờ nào. Các dòng khác của hộp tùy </s:t>
          </s:r>
          <s:r>
            <s:rPr>
              <s:b val="1"/>
            </s:rPr>
            <s:t>chọn chọn Nguyên trạng（そのまま表示）</s:t>
          </s:r>
          <s:r>
            <s:t>.</s:t>
          </s:r>
        </s:is>
      </s:c>
      <s:c r="C18828" s="28" t="n"/>
      <s:c r="D18828" s="28" t="n"/>
      <s:c r="E18828" s="28" t="n"/>
    </s:row>
    <s:row r="18829" ht="34" customHeight="1">
      <s:c r="A18829" s="112" t="inlineStr">
        <s:is>
          <s:t>Dữ liệu test</s:t>
        </s:is>
      </s:c>
      <s:c r="B18829" s="113" t="inlineStr">
        <s:is>
          <s:t>• Học sinh S01 (điểm 29), cấu hình phiếu điểm: ký tự “※” phía trước, tài khoản phụ trách đầu ra (trích xuất, công khai, phiếu điểm)</s:t>
        </s:is>
      </s:c>
      <s:c r="C18829" s="28" t="n"/>
      <s:c r="D18829" s="28" t="n"/>
      <s:c r="E18829" s="28" t="n"/>
    </s:row>
    <s:row r="18830" ht="34" customHeight="1">
      <s:c r="A18830" s="112" t="inlineStr">
        <s:is>
          <s:t>•</s:t>
        </s:is>
      </s:c>
      <s:c r="B18830" s="113" t="inlineStr">
        <s:is>
          <s:r>
            <s:t xml:space="preserve">Với từng cách hiển thị: chọn ở dòng </s:t>
          </s:r>
          <s:r>
            <s:rPr>
              <s:b val="1"/>
            </s:rPr>
            <s:t>Thiết lập điểm đỏ（赤点設定）</s:t>
          </s:r>
          <s:r>
            <s:t xml:space="preserve">, đóng hộp, </s:t>
          </s:r>
          <s:r>
            <s:rPr>
              <s:b val="1"/>
            </s:rPr>
            <s:t>bấm Cập nhật（更新する）</s:t>
          </s:r>
          <s:r>
            <s:t>, xuất PDF phiếu của S01.</s:t>
          </s:r>
        </s:is>
      </s:c>
      <s:c r="C18830" s="28" t="n"/>
      <s:c r="D18830" s="28" t="n"/>
      <s:c r="E18830" s="28" t="n"/>
    </s:row>
    <s:row r="18831" ht="34" customHeight="1">
      <s:c r="A18831" s="112" t="inlineStr">
        <s:is>
          <s:t>•</s:t>
        </s:is>
      </s:c>
      <s:c r="B18831" s="113" t="inlineStr">
        <s:is>
          <s:r>
            <s:t xml:space="preserve">(A) </s:t>
          </s:r>
          <s:r>
            <s:rPr>
              <s:b val="1"/>
            </s:rPr>
            <s:t>Nguyên trạng（そのまま表示）</s:t>
          </s:r>
          <s:r>
            <s:t xml:space="preserve">; (b) </s:t>
          </s:r>
          <s:r>
            <s:rPr>
              <s:b val="1"/>
            </s:rPr>
            <s:t>Kèm ngoặc（カッコ付き）</s:t>
          </s:r>
          <s:r>
            <s:t xml:space="preserve">; (c) </s:t>
          </s:r>
          <s:r>
            <s:rPr>
              <s:b val="1"/>
            </s:rPr>
            <s:t>Ký tự phía trước（前に任意の文字）</s:t>
          </s:r>
          <s:r>
            <s:t xml:space="preserve"> [※]; (d) </s:t>
          </s:r>
          <s:r>
            <s:rPr>
              <s:b val="1"/>
            </s:rPr>
            <s:t>Ký tự phía sau（後ろに任意の文字）</s:t>
          </s:r>
          <s:r>
            <s:t xml:space="preserve"> [※].</s:t>
          </s:r>
        </s:is>
      </s:c>
      <s:c r="C18831" s="28" t="n"/>
      <s:c r="D18831" s="28" t="n"/>
      <s:c r="E18831" s="28" t="n"/>
    </s:row>
    <s:row r="18832" ht="28" customHeight="1">
      <s:c r="A18832" s="115" t="inlineStr">
        <s:is>
          <s:t>Trường hợp</s:t>
        </s:is>
      </s:c>
      <s:c r="B18832" s="115" t="inlineStr">
        <s:is>
          <s:t>Dữ liệu / thao tác riêng</s:t>
        </s:is>
      </s:c>
      <s:c r="C18832" s="115" t="inlineStr">
        <s:is>
          <s:t>Kết quả mong đợi</s:t>
        </s:is>
      </s:c>
      <s:c r="D18832" s="115" t="inlineStr">
        <s:is>
          <s:t>Kết quả thực tế</s:t>
        </s:is>
      </s:c>
      <s:c r="E18832" s="115" t="inlineStr">
        <s:is>
          <s:t>Đánh giá</s:t>
        </s:is>
      </s:c>
    </s:row>
    <s:row r="18833" ht="3" customHeight="1">
      <s:c r="A18833" s="102" t="inlineStr"/>
      <s:c r="B18833" s="99" t="n"/>
      <s:c r="C18833" s="99" t="n"/>
      <s:c r="D18833" s="116" t="n"/>
      <s:c r="E18833" s="116" t="n"/>
    </s:row>
    <s:row r="18834" ht="48" customHeight="1">
      <s:c r="A18834" s="83" t="inlineStr">
        <s:is>
          <s:t>Nguyên trạng (unchanged)</s:t>
        </s:is>
      </s:c>
      <s:c r="B18834" s="83" t="inlineStr">
        <s:is>
          <s:r>
            <s:t xml:space="preserve">S01=29 Đỏ; </s:t>
          </s:r>
          <s:r>
            <s:rPr>
              <s:b val="1"/>
            </s:rPr>
            <s:t>chọn Nguyên trạng（そのまま表示）</s:t>
          </s:r>
          <s:r>
            <s:t>, Cập nhật rồi xuất PDF.</s:t>
          </s:r>
        </s:is>
      </s:c>
      <s:c r="C18834" s="83" t="inlineStr">
        <s:is>
          <s:t>PDF của S01 hiển thị [29]. Không nền màu; không tràn/mất ký tự và không đổi cấu trúc template.</s:t>
        </s:is>
      </s:c>
      <s:c r="D18834" s="117" t="inlineStr"/>
      <s:c r="E18834" s="118" t="inlineStr">
        <s:is>
          <s:t>Chưa thực hiện</s:t>
        </s:is>
      </s:c>
    </s:row>
    <s:row r="18835" ht="3" customHeight="1">
      <s:c r="A18835" s="102" t="inlineStr"/>
      <s:c r="B18835" s="99" t="n"/>
      <s:c r="C18835" s="99" t="n"/>
      <s:c r="D18835" s="116" t="n"/>
      <s:c r="E18835" s="116" t="n"/>
    </s:row>
    <s:row r="18836" ht="48" customHeight="1">
      <s:c r="A18836" s="83" t="inlineStr">
        <s:is>
          <s:t>Kèm ngoặc (parentheses)</s:t>
        </s:is>
      </s:c>
      <s:c r="B18836" s="83" t="inlineStr">
        <s:is>
          <s:r>
            <s:t xml:space="preserve">S01=29 Đỏ; </s:t>
          </s:r>
          <s:r>
            <s:rPr>
              <s:b val="1"/>
            </s:rPr>
            <s:t>chọn Kèm ngoặc（カッコ付き）</s:t>
          </s:r>
          <s:r>
            <s:t>, Cập nhật rồi xuất PDF.</s:t>
          </s:r>
        </s:is>
      </s:c>
      <s:c r="C18836" s="83" t="inlineStr">
        <s:is>
          <s:t>PDF của S01 hiển thị [(29)]. Không nền màu; không tràn/mất ký tự và không đổi cấu trúc template.</s:t>
        </s:is>
      </s:c>
      <s:c r="D18836" s="117" t="inlineStr"/>
      <s:c r="E18836" s="118" t="inlineStr">
        <s:is>
          <s:t>Chưa thực hiện</s:t>
        </s:is>
      </s:c>
    </s:row>
    <s:row r="18837" ht="3" customHeight="1">
      <s:c r="A18837" s="102" t="inlineStr"/>
      <s:c r="B18837" s="99" t="n"/>
      <s:c r="C18837" s="99" t="n"/>
      <s:c r="D18837" s="116" t="n"/>
      <s:c r="E18837" s="116" t="n"/>
    </s:row>
    <s:row r="18838" ht="48" customHeight="1">
      <s:c r="A18838" s="83" t="inlineStr">
        <s:is>
          <s:t>Ký tự phía trước (prefix)</s:t>
        </s:is>
      </s:c>
      <s:c r="B18838" s="83" t="inlineStr">
        <s:is>
          <s:r>
            <s:t xml:space="preserve">S01=29 Đỏ; chọn </s:t>
          </s:r>
          <s:r>
            <s:rPr>
              <s:b val="1"/>
            </s:rPr>
            <s:t>Ký tự phía trước（前に任意の文字）</s:t>
          </s:r>
          <s:r>
            <s:t>=[※], Cập nhật rồi xuất PDF.</s:t>
          </s:r>
        </s:is>
      </s:c>
      <s:c r="C18838" s="83" t="inlineStr">
        <s:is>
          <s:t>PDF của S01 hiển thị [※29]. Không nền màu; không tràn/mất ký tự và không đổi cấu trúc template.</s:t>
        </s:is>
      </s:c>
      <s:c r="D18838" s="117" t="inlineStr"/>
      <s:c r="E18838" s="118" t="inlineStr">
        <s:is>
          <s:t>Chưa thực hiện</s:t>
        </s:is>
      </s:c>
    </s:row>
    <s:row r="18839" ht="3" customHeight="1">
      <s:c r="A18839" s="102" t="inlineStr"/>
      <s:c r="B18839" s="99" t="n"/>
      <s:c r="C18839" s="99" t="n"/>
      <s:c r="D18839" s="116" t="n"/>
      <s:c r="E18839" s="116" t="n"/>
    </s:row>
    <s:row r="18840" ht="48" customHeight="1">
      <s:c r="A18840" s="83" t="inlineStr">
        <s:is>
          <s:t>Ký tự phía sau (suffix)</s:t>
        </s:is>
      </s:c>
      <s:c r="B18840" s="83" t="inlineStr">
        <s:is>
          <s:r>
            <s:t xml:space="preserve">S01=29 Đỏ; chọn </s:t>
          </s:r>
          <s:r>
            <s:rPr>
              <s:b val="1"/>
            </s:rPr>
            <s:t>Ký tự phía sau（後ろに任意の文字）</s:t>
          </s:r>
          <s:r>
            <s:t>=[※], Cập nhật rồi xuất PDF.</s:t>
          </s:r>
        </s:is>
      </s:c>
      <s:c r="C18840" s="83" t="inlineStr">
        <s:is>
          <s:t>PDF của S01 hiển thị [29※]. Không nền màu; không tràn/mất ký tự và không đổi cấu trúc template.</s:t>
        </s:is>
      </s:c>
      <s:c r="D18840" s="117" t="inlineStr"/>
      <s:c r="E18840" s="118" t="inlineStr">
        <s:is>
          <s:t>Chưa thực hiện</s:t>
        </s:is>
      </s:c>
    </s:row>
    <s:row r="18841" ht="20" customHeight="1">
      <s:c r="A18841" s="119" t="inlineStr">
        <s:is>
          <s:t>Ảnh minh chứng — Chưa có ảnh</s:t>
        </s:is>
      </s:c>
      <s:c r="B18841" s="19" t="n"/>
      <s:c r="C18841" s="19" t="n"/>
      <s:c r="D18841" s="19" t="n"/>
      <s:c r="E18841" s="19" t="n"/>
    </s:row>
    <s:row r="18842" hidden="1" ht="1" customHeight="1">
      <s:c r="A18842" s="120" t="inlineStr"/>
      <s:c r="B18842" s="121" t="n"/>
      <s:c r="C18842" s="121" t="n"/>
      <s:c r="D18842" s="121" t="n"/>
      <s:c r="E18842" s="122" t="n"/>
    </s:row>
    <s:row r="18843" hidden="1" ht="1" customHeight="1">
      <s:c r="A18843" s="120" t="inlineStr"/>
      <s:c r="B18843" s="121" t="n"/>
      <s:c r="C18843" s="121" t="n"/>
      <s:c r="D18843" s="121" t="n"/>
      <s:c r="E18843" s="122" t="n"/>
    </s:row>
    <s:row r="18844" hidden="1" ht="1" customHeight="1">
      <s:c r="A18844" s="120" t="inlineStr"/>
      <s:c r="B18844" s="121" t="n"/>
      <s:c r="C18844" s="121" t="n"/>
      <s:c r="D18844" s="121" t="n"/>
      <s:c r="E18844" s="122" t="n"/>
    </s:row>
    <s:row r="18845" hidden="1" ht="1" customHeight="1">
      <s:c r="A18845" s="120" t="inlineStr"/>
      <s:c r="B18845" s="121" t="n"/>
      <s:c r="C18845" s="121" t="n"/>
      <s:c r="D18845" s="121" t="n"/>
      <s:c r="E18845" s="122" t="n"/>
    </s:row>
    <s:row r="18846" hidden="1" ht="1" customHeight="1">
      <s:c r="A18846" s="120" t="inlineStr"/>
      <s:c r="B18846" s="121" t="n"/>
      <s:c r="C18846" s="121" t="n"/>
      <s:c r="D18846" s="121" t="n"/>
      <s:c r="E18846" s="122" t="n"/>
    </s:row>
    <s:row r="18847" hidden="1" ht="1" customHeight="1">
      <s:c r="A18847" s="120" t="inlineStr"/>
      <s:c r="B18847" s="121" t="n"/>
      <s:c r="C18847" s="121" t="n"/>
      <s:c r="D18847" s="121" t="n"/>
      <s:c r="E18847" s="122" t="n"/>
    </s:row>
    <s:row r="18848" hidden="1" ht="1" customHeight="1">
      <s:c r="A18848" s="120" t="inlineStr"/>
      <s:c r="B18848" s="121" t="n"/>
      <s:c r="C18848" s="121" t="n"/>
      <s:c r="D18848" s="121" t="n"/>
      <s:c r="E18848" s="122" t="n"/>
    </s:row>
    <s:row r="18849" hidden="1" ht="1" customHeight="1">
      <s:c r="A18849" s="120" t="inlineStr"/>
      <s:c r="B18849" s="121" t="n"/>
      <s:c r="C18849" s="121" t="n"/>
      <s:c r="D18849" s="121" t="n"/>
      <s:c r="E18849" s="122" t="n"/>
    </s:row>
    <s:row r="18850" hidden="1" ht="1" customHeight="1">
      <s:c r="A18850" s="120" t="inlineStr"/>
      <s:c r="B18850" s="121" t="n"/>
      <s:c r="C18850" s="121" t="n"/>
      <s:c r="D18850" s="121" t="n"/>
      <s:c r="E18850" s="122" t="n"/>
    </s:row>
    <s:row r="18851" hidden="1" ht="1" customHeight="1">
      <s:c r="A18851" s="120" t="inlineStr"/>
      <s:c r="B18851" s="121" t="n"/>
      <s:c r="C18851" s="121" t="n"/>
      <s:c r="D18851" s="121" t="n"/>
      <s:c r="E18851" s="122" t="n"/>
    </s:row>
    <s:row r="18852" hidden="1" ht="1" customHeight="1">
      <s:c r="A18852" s="120" t="inlineStr"/>
      <s:c r="B18852" s="121" t="n"/>
      <s:c r="C18852" s="121" t="n"/>
      <s:c r="D18852" s="121" t="n"/>
      <s:c r="E18852" s="122" t="n"/>
    </s:row>
    <s:row r="18853" hidden="1" ht="1" customHeight="1">
      <s:c r="A18853" s="120" t="inlineStr"/>
      <s:c r="B18853" s="121" t="n"/>
      <s:c r="C18853" s="121" t="n"/>
      <s:c r="D18853" s="121" t="n"/>
      <s:c r="E18853" s="122" t="n"/>
    </s:row>
    <s:row r="18854" hidden="1" ht="1" customHeight="1">
      <s:c r="A18854" s="120" t="inlineStr"/>
      <s:c r="B18854" s="121" t="n"/>
      <s:c r="C18854" s="121" t="n"/>
      <s:c r="D18854" s="121" t="n"/>
      <s:c r="E18854" s="122" t="n"/>
    </s:row>
    <s:row r="18855" hidden="1" ht="1" customHeight="1">
      <s:c r="A18855" s="120" t="inlineStr"/>
      <s:c r="B18855" s="121" t="n"/>
      <s:c r="C18855" s="121" t="n"/>
      <s:c r="D18855" s="121" t="n"/>
      <s:c r="E18855" s="122" t="n"/>
    </s:row>
    <s:row r="18856" hidden="1" ht="1" customHeight="1">
      <s:c r="A18856" s="120" t="inlineStr"/>
      <s:c r="B18856" s="121" t="n"/>
      <s:c r="C18856" s="121" t="n"/>
      <s:c r="D18856" s="121" t="n"/>
      <s:c r="E18856" s="122" t="n"/>
    </s:row>
    <s:row r="18857" hidden="1" ht="1" customHeight="1">
      <s:c r="A18857" s="120" t="inlineStr"/>
      <s:c r="B18857" s="121" t="n"/>
      <s:c r="C18857" s="121" t="n"/>
      <s:c r="D18857" s="121" t="n"/>
      <s:c r="E18857" s="122" t="n"/>
    </s:row>
    <s:row r="18858" hidden="1" ht="1" customHeight="1">
      <s:c r="A18858" s="120" t="inlineStr"/>
      <s:c r="B18858" s="121" t="n"/>
      <s:c r="C18858" s="121" t="n"/>
      <s:c r="D18858" s="121" t="n"/>
      <s:c r="E18858" s="122" t="n"/>
    </s:row>
    <s:row r="18859" hidden="1" ht="1" customHeight="1">
      <s:c r="A18859" s="120" t="inlineStr"/>
      <s:c r="B18859" s="121" t="n"/>
      <s:c r="C18859" s="121" t="n"/>
      <s:c r="D18859" s="121" t="n"/>
      <s:c r="E18859" s="122" t="n"/>
    </s:row>
    <s:row r="18860" hidden="1" ht="1" customHeight="1">
      <s:c r="A18860" s="120" t="inlineStr"/>
      <s:c r="B18860" s="121" t="n"/>
      <s:c r="C18860" s="121" t="n"/>
      <s:c r="D18860" s="121" t="n"/>
      <s:c r="E18860" s="122" t="n"/>
    </s:row>
    <s:row r="18861" hidden="1" ht="1" customHeight="1">
      <s:c r="A18861" s="120" t="inlineStr"/>
      <s:c r="B18861" s="121" t="n"/>
      <s:c r="C18861" s="121" t="n"/>
      <s:c r="D18861" s="121" t="n"/>
      <s:c r="E18861" s="122" t="n"/>
    </s:row>
    <s:row r="18862" hidden="1" ht="1" customHeight="1">
      <s:c r="A18862" s="120" t="inlineStr"/>
      <s:c r="B18862" s="121" t="n"/>
      <s:c r="C18862" s="121" t="n"/>
      <s:c r="D18862" s="121" t="n"/>
      <s:c r="E18862" s="122" t="n"/>
    </s:row>
    <s:row r="18863" hidden="1" ht="1" customHeight="1">
      <s:c r="A18863" s="120" t="inlineStr"/>
      <s:c r="B18863" s="121" t="n"/>
      <s:c r="C18863" s="121" t="n"/>
      <s:c r="D18863" s="121" t="n"/>
      <s:c r="E18863" s="122" t="n"/>
    </s:row>
    <s:row r="18864" hidden="1" ht="1" customHeight="1">
      <s:c r="A18864" s="120" t="inlineStr"/>
      <s:c r="B18864" s="121" t="n"/>
      <s:c r="C18864" s="121" t="n"/>
      <s:c r="D18864" s="121" t="n"/>
      <s:c r="E18864" s="122" t="n"/>
    </s:row>
    <s:row r="18865" hidden="1" ht="1" customHeight="1">
      <s:c r="A18865" s="120" t="inlineStr"/>
      <s:c r="B18865" s="121" t="n"/>
      <s:c r="C18865" s="121" t="n"/>
      <s:c r="D18865" s="121" t="n"/>
      <s:c r="E18865" s="122" t="n"/>
    </s:row>
    <s:row r="18866" hidden="1" ht="1" customHeight="1">
      <s:c r="A18866" s="120" t="inlineStr"/>
      <s:c r="B18866" s="121" t="n"/>
      <s:c r="C18866" s="121" t="n"/>
      <s:c r="D18866" s="121" t="n"/>
      <s:c r="E18866" s="122" t="n"/>
    </s:row>
    <s:row r="18867" hidden="1" ht="1" customHeight="1">
      <s:c r="A18867" s="120" t="inlineStr"/>
      <s:c r="B18867" s="121" t="n"/>
      <s:c r="C18867" s="121" t="n"/>
      <s:c r="D18867" s="121" t="n"/>
      <s:c r="E18867" s="122" t="n"/>
    </s:row>
    <s:row r="18868" hidden="1" ht="1" customHeight="1">
      <s:c r="A18868" s="120" t="inlineStr"/>
      <s:c r="B18868" s="121" t="n"/>
      <s:c r="C18868" s="121" t="n"/>
      <s:c r="D18868" s="121" t="n"/>
      <s:c r="E18868" s="122" t="n"/>
    </s:row>
    <s:row r="18869" hidden="1" ht="1" customHeight="1">
      <s:c r="A18869" s="120" t="inlineStr"/>
      <s:c r="B18869" s="121" t="n"/>
      <s:c r="C18869" s="121" t="n"/>
      <s:c r="D18869" s="121" t="n"/>
      <s:c r="E18869" s="122" t="n"/>
    </s:row>
    <s:row r="18870" hidden="1" ht="1" customHeight="1">
      <s:c r="A18870" s="120" t="inlineStr"/>
      <s:c r="B18870" s="121" t="n"/>
      <s:c r="C18870" s="121" t="n"/>
      <s:c r="D18870" s="121" t="n"/>
      <s:c r="E18870" s="122" t="n"/>
    </s:row>
    <s:row r="18871" hidden="1" ht="1" customHeight="1">
      <s:c r="A18871" s="120" t="inlineStr"/>
      <s:c r="B18871" s="121" t="n"/>
      <s:c r="C18871" s="121" t="n"/>
      <s:c r="D18871" s="121" t="n"/>
      <s:c r="E18871" s="122" t="n"/>
    </s:row>
    <s:row r="18872" hidden="1" ht="1" customHeight="1">
      <s:c r="A18872" s="120" t="inlineStr"/>
      <s:c r="B18872" s="121" t="n"/>
      <s:c r="C18872" s="121" t="n"/>
      <s:c r="D18872" s="121" t="n"/>
      <s:c r="E18872" s="122" t="n"/>
    </s:row>
    <s:row r="18873" hidden="1" ht="1" customHeight="1">
      <s:c r="A18873" s="120" t="inlineStr"/>
      <s:c r="B18873" s="121" t="n"/>
      <s:c r="C18873" s="121" t="n"/>
      <s:c r="D18873" s="121" t="n"/>
      <s:c r="E18873" s="122" t="n"/>
    </s:row>
    <s:row r="18874" hidden="1" ht="1" customHeight="1">
      <s:c r="A18874" s="120" t="inlineStr"/>
      <s:c r="B18874" s="121" t="n"/>
      <s:c r="C18874" s="121" t="n"/>
      <s:c r="D18874" s="121" t="n"/>
      <s:c r="E18874" s="122" t="n"/>
    </s:row>
    <s:row r="18875" hidden="1" ht="1" customHeight="1">
      <s:c r="A18875" s="120" t="inlineStr"/>
      <s:c r="B18875" s="121" t="n"/>
      <s:c r="C18875" s="121" t="n"/>
      <s:c r="D18875" s="121" t="n"/>
      <s:c r="E18875" s="122" t="n"/>
    </s:row>
    <s:row r="18876" hidden="1" ht="1" customHeight="1">
      <s:c r="A18876" s="120" t="inlineStr"/>
      <s:c r="B18876" s="121" t="n"/>
      <s:c r="C18876" s="121" t="n"/>
      <s:c r="D18876" s="121" t="n"/>
      <s:c r="E18876" s="122" t="n"/>
    </s:row>
    <s:row r="18877" hidden="1" ht="1" customHeight="1">
      <s:c r="A18877" s="120" t="inlineStr"/>
      <s:c r="B18877" s="121" t="n"/>
      <s:c r="C18877" s="121" t="n"/>
      <s:c r="D18877" s="121" t="n"/>
      <s:c r="E18877" s="122" t="n"/>
    </s:row>
    <s:row r="18878" hidden="1" ht="1" customHeight="1">
      <s:c r="A18878" s="120" t="inlineStr"/>
      <s:c r="B18878" s="121" t="n"/>
      <s:c r="C18878" s="121" t="n"/>
      <s:c r="D18878" s="121" t="n"/>
      <s:c r="E18878" s="122" t="n"/>
    </s:row>
    <s:row r="18879" hidden="1" ht="1" customHeight="1">
      <s:c r="A18879" s="120" t="inlineStr"/>
      <s:c r="B18879" s="121" t="n"/>
      <s:c r="C18879" s="121" t="n"/>
      <s:c r="D18879" s="121" t="n"/>
      <s:c r="E18879" s="122" t="n"/>
    </s:row>
    <s:row r="18880" hidden="1" ht="1" customHeight="1">
      <s:c r="A18880" s="120" t="inlineStr"/>
      <s:c r="B18880" s="121" t="n"/>
      <s:c r="C18880" s="121" t="n"/>
      <s:c r="D18880" s="121" t="n"/>
      <s:c r="E18880" s="122" t="n"/>
    </s:row>
    <s:row r="18881" hidden="1" ht="1" customHeight="1">
      <s:c r="A18881" s="120" t="inlineStr"/>
      <s:c r="B18881" s="121" t="n"/>
      <s:c r="C18881" s="121" t="n"/>
      <s:c r="D18881" s="121" t="n"/>
      <s:c r="E18881" s="122" t="n"/>
    </s:row>
    <s:row r="18882" hidden="1" ht="1" customHeight="1">
      <s:c r="A18882" s="120" t="inlineStr"/>
      <s:c r="B18882" s="121" t="n"/>
      <s:c r="C18882" s="121" t="n"/>
      <s:c r="D18882" s="121" t="n"/>
      <s:c r="E18882" s="122" t="n"/>
    </s:row>
    <s:row r="18883" hidden="1" ht="1" customHeight="1">
      <s:c r="A18883" s="120" t="inlineStr"/>
      <s:c r="B18883" s="121" t="n"/>
      <s:c r="C18883" s="121" t="n"/>
      <s:c r="D18883" s="121" t="n"/>
      <s:c r="E18883" s="122" t="n"/>
    </s:row>
    <s:row r="18884" hidden="1" ht="1" customHeight="1">
      <s:c r="A18884" s="120" t="inlineStr"/>
      <s:c r="B18884" s="121" t="n"/>
      <s:c r="C18884" s="121" t="n"/>
      <s:c r="D18884" s="121" t="n"/>
      <s:c r="E18884" s="122" t="n"/>
    </s:row>
    <s:row r="18885" hidden="1" ht="1" customHeight="1">
      <s:c r="A18885" s="120" t="inlineStr"/>
      <s:c r="B18885" s="121" t="n"/>
      <s:c r="C18885" s="121" t="n"/>
      <s:c r="D18885" s="121" t="n"/>
      <s:c r="E18885" s="122" t="n"/>
    </s:row>
    <s:row r="18886" hidden="1" ht="1" customHeight="1">
      <s:c r="A18886" s="120" t="inlineStr"/>
      <s:c r="B18886" s="121" t="n"/>
      <s:c r="C18886" s="121" t="n"/>
      <s:c r="D18886" s="121" t="n"/>
      <s:c r="E18886" s="122" t="n"/>
    </s:row>
    <s:row r="18887" hidden="1" ht="1" customHeight="1">
      <s:c r="A18887" s="120" t="inlineStr"/>
      <s:c r="B18887" s="121" t="n"/>
      <s:c r="C18887" s="121" t="n"/>
      <s:c r="D18887" s="121" t="n"/>
      <s:c r="E18887" s="122" t="n"/>
    </s:row>
    <s:row r="18888" hidden="1" ht="1" customHeight="1">
      <s:c r="A18888" s="120" t="inlineStr"/>
      <s:c r="B18888" s="121" t="n"/>
      <s:c r="C18888" s="121" t="n"/>
      <s:c r="D18888" s="121" t="n"/>
      <s:c r="E18888" s="122" t="n"/>
    </s:row>
    <s:row r="18889" hidden="1" ht="1" customHeight="1">
      <s:c r="A18889" s="120" t="inlineStr"/>
      <s:c r="B18889" s="121" t="n"/>
      <s:c r="C18889" s="121" t="n"/>
      <s:c r="D18889" s="121" t="n"/>
      <s:c r="E18889" s="122" t="n"/>
    </s:row>
    <s:row r="18890" hidden="1" ht="1" customHeight="1">
      <s:c r="A18890" s="120" t="inlineStr"/>
      <s:c r="B18890" s="121" t="n"/>
      <s:c r="C18890" s="121" t="n"/>
      <s:c r="D18890" s="121" t="n"/>
      <s:c r="E18890" s="122" t="n"/>
    </s:row>
    <s:row r="18891" hidden="1" ht="1" customHeight="1">
      <s:c r="A18891" s="120" t="inlineStr"/>
      <s:c r="B18891" s="121" t="n"/>
      <s:c r="C18891" s="121" t="n"/>
      <s:c r="D18891" s="121" t="n"/>
      <s:c r="E18891" s="122" t="n"/>
    </s:row>
    <s:row r="18892" hidden="1" ht="1" customHeight="1">
      <s:c r="A18892" s="120" t="inlineStr"/>
      <s:c r="B18892" s="121" t="n"/>
      <s:c r="C18892" s="121" t="n"/>
      <s:c r="D18892" s="121" t="n"/>
      <s:c r="E18892" s="122" t="n"/>
    </s:row>
    <s:row r="18893" hidden="1" ht="1" customHeight="1">
      <s:c r="A18893" s="120" t="inlineStr"/>
      <s:c r="B18893" s="121" t="n"/>
      <s:c r="C18893" s="121" t="n"/>
      <s:c r="D18893" s="121" t="n"/>
      <s:c r="E18893" s="122" t="n"/>
    </s:row>
    <s:row r="18894" hidden="1" ht="1" customHeight="1">
      <s:c r="A18894" s="120" t="inlineStr"/>
      <s:c r="B18894" s="121" t="n"/>
      <s:c r="C18894" s="121" t="n"/>
      <s:c r="D18894" s="121" t="n"/>
      <s:c r="E18894" s="122" t="n"/>
    </s:row>
    <s:row r="18895" hidden="1" ht="1" customHeight="1">
      <s:c r="A18895" s="120" t="inlineStr"/>
      <s:c r="B18895" s="121" t="n"/>
      <s:c r="C18895" s="121" t="n"/>
      <s:c r="D18895" s="121" t="n"/>
      <s:c r="E18895" s="122" t="n"/>
    </s:row>
    <s:row r="18896" hidden="1" ht="1" customHeight="1">
      <s:c r="A18896" s="120" t="inlineStr"/>
      <s:c r="B18896" s="121" t="n"/>
      <s:c r="C18896" s="121" t="n"/>
      <s:c r="D18896" s="121" t="n"/>
      <s:c r="E18896" s="122" t="n"/>
    </s:row>
    <s:row r="18897" hidden="1" ht="1" customHeight="1">
      <s:c r="A18897" s="120" t="inlineStr"/>
      <s:c r="B18897" s="121" t="n"/>
      <s:c r="C18897" s="121" t="n"/>
      <s:c r="D18897" s="121" t="n"/>
      <s:c r="E18897" s="122" t="n"/>
    </s:row>
    <s:row r="18898" hidden="1" ht="1" customHeight="1">
      <s:c r="A18898" s="120" t="inlineStr"/>
      <s:c r="B18898" s="121" t="n"/>
      <s:c r="C18898" s="121" t="n"/>
      <s:c r="D18898" s="121" t="n"/>
      <s:c r="E18898" s="122" t="n"/>
    </s:row>
    <s:row r="18899" hidden="1" ht="1" customHeight="1">
      <s:c r="A18899" s="120" t="inlineStr"/>
      <s:c r="B18899" s="121" t="n"/>
      <s:c r="C18899" s="121" t="n"/>
      <s:c r="D18899" s="121" t="n"/>
      <s:c r="E18899" s="122" t="n"/>
    </s:row>
    <s:row r="18900" hidden="1" ht="1" customHeight="1">
      <s:c r="A18900" s="120" t="inlineStr"/>
      <s:c r="B18900" s="121" t="n"/>
      <s:c r="C18900" s="121" t="n"/>
      <s:c r="D18900" s="121" t="n"/>
      <s:c r="E18900" s="122" t="n"/>
    </s:row>
    <s:row r="18901" hidden="1" ht="1" customHeight="1">
      <s:c r="A18901" s="120" t="inlineStr"/>
      <s:c r="B18901" s="121" t="n"/>
      <s:c r="C18901" s="121" t="n"/>
      <s:c r="D18901" s="121" t="n"/>
      <s:c r="E18901" s="122" t="n"/>
    </s:row>
    <s:row r="18902" hidden="1" ht="1" customHeight="1">
      <s:c r="A18902" s="120" t="inlineStr"/>
      <s:c r="B18902" s="121" t="n"/>
      <s:c r="C18902" s="121" t="n"/>
      <s:c r="D18902" s="121" t="n"/>
      <s:c r="E18902" s="122" t="n"/>
    </s:row>
    <s:row r="18903" hidden="1" ht="1" customHeight="1">
      <s:c r="A18903" s="120" t="inlineStr"/>
      <s:c r="B18903" s="121" t="n"/>
      <s:c r="C18903" s="121" t="n"/>
      <s:c r="D18903" s="121" t="n"/>
      <s:c r="E18903" s="122" t="n"/>
    </s:row>
    <s:row r="18904" hidden="1" ht="1" customHeight="1">
      <s:c r="A18904" s="120" t="inlineStr"/>
      <s:c r="B18904" s="121" t="n"/>
      <s:c r="C18904" s="121" t="n"/>
      <s:c r="D18904" s="121" t="n"/>
      <s:c r="E18904" s="122" t="n"/>
    </s:row>
    <s:row r="18905" hidden="1" ht="1" customHeight="1">
      <s:c r="A18905" s="120" t="inlineStr"/>
      <s:c r="B18905" s="121" t="n"/>
      <s:c r="C18905" s="121" t="n"/>
      <s:c r="D18905" s="121" t="n"/>
      <s:c r="E18905" s="122" t="n"/>
    </s:row>
    <s:row r="18906" hidden="1" ht="1" customHeight="1">
      <s:c r="A18906" s="120" t="inlineStr"/>
      <s:c r="B18906" s="121" t="n"/>
      <s:c r="C18906" s="121" t="n"/>
      <s:c r="D18906" s="121" t="n"/>
      <s:c r="E18906" s="122" t="n"/>
    </s:row>
    <s:row r="18907" hidden="1" ht="1" customHeight="1">
      <s:c r="A18907" s="120" t="inlineStr"/>
      <s:c r="B18907" s="121" t="n"/>
      <s:c r="C18907" s="121" t="n"/>
      <s:c r="D18907" s="121" t="n"/>
      <s:c r="E18907" s="122" t="n"/>
    </s:row>
    <s:row r="18908" hidden="1" ht="1" customHeight="1">
      <s:c r="A18908" s="120" t="inlineStr"/>
      <s:c r="B18908" s="121" t="n"/>
      <s:c r="C18908" s="121" t="n"/>
      <s:c r="D18908" s="121" t="n"/>
      <s:c r="E18908" s="122" t="n"/>
    </s:row>
    <s:row r="18909" hidden="1" ht="1" customHeight="1">
      <s:c r="A18909" s="120" t="inlineStr"/>
      <s:c r="B18909" s="121" t="n"/>
      <s:c r="C18909" s="121" t="n"/>
      <s:c r="D18909" s="121" t="n"/>
      <s:c r="E18909" s="122" t="n"/>
    </s:row>
    <s:row r="18910" hidden="1" ht="1" customHeight="1">
      <s:c r="A18910" s="120" t="inlineStr"/>
      <s:c r="B18910" s="121" t="n"/>
      <s:c r="C18910" s="121" t="n"/>
      <s:c r="D18910" s="121" t="n"/>
      <s:c r="E18910" s="122" t="n"/>
    </s:row>
    <s:row r="18911" hidden="1" ht="1" customHeight="1">
      <s:c r="A18911" s="120" t="inlineStr"/>
      <s:c r="B18911" s="121" t="n"/>
      <s:c r="C18911" s="121" t="n"/>
      <s:c r="D18911" s="121" t="n"/>
      <s:c r="E18911" s="122" t="n"/>
    </s:row>
    <s:row r="18912" hidden="1" ht="1" customHeight="1">
      <s:c r="A18912" s="120" t="inlineStr"/>
      <s:c r="B18912" s="121" t="n"/>
      <s:c r="C18912" s="121" t="n"/>
      <s:c r="D18912" s="121" t="n"/>
      <s:c r="E18912" s="122" t="n"/>
    </s:row>
    <s:row r="18913" hidden="1" ht="1" customHeight="1">
      <s:c r="A18913" s="120" t="inlineStr"/>
      <s:c r="B18913" s="121" t="n"/>
      <s:c r="C18913" s="121" t="n"/>
      <s:c r="D18913" s="121" t="n"/>
      <s:c r="E18913" s="122" t="n"/>
    </s:row>
    <s:row r="18914" hidden="1" ht="1" customHeight="1">
      <s:c r="A18914" s="120" t="inlineStr"/>
      <s:c r="B18914" s="121" t="n"/>
      <s:c r="C18914" s="121" t="n"/>
      <s:c r="D18914" s="121" t="n"/>
      <s:c r="E18914" s="122" t="n"/>
    </s:row>
    <s:row r="18915" hidden="1" ht="1" customHeight="1">
      <s:c r="A18915" s="120" t="inlineStr"/>
      <s:c r="B18915" s="121" t="n"/>
      <s:c r="C18915" s="121" t="n"/>
      <s:c r="D18915" s="121" t="n"/>
      <s:c r="E18915" s="122" t="n"/>
    </s:row>
    <s:row r="18916" hidden="1" ht="1" customHeight="1">
      <s:c r="A18916" s="120" t="inlineStr"/>
      <s:c r="B18916" s="121" t="n"/>
      <s:c r="C18916" s="121" t="n"/>
      <s:c r="D18916" s="121" t="n"/>
      <s:c r="E18916" s="122" t="n"/>
    </s:row>
    <s:row r="18917" hidden="1" ht="1" customHeight="1">
      <s:c r="A18917" s="120" t="inlineStr"/>
      <s:c r="B18917" s="121" t="n"/>
      <s:c r="C18917" s="121" t="n"/>
      <s:c r="D18917" s="121" t="n"/>
      <s:c r="E18917" s="122" t="n"/>
    </s:row>
    <s:row r="18918" hidden="1" ht="1" customHeight="1">
      <s:c r="A18918" s="120" t="inlineStr"/>
      <s:c r="B18918" s="121" t="n"/>
      <s:c r="C18918" s="121" t="n"/>
      <s:c r="D18918" s="121" t="n"/>
      <s:c r="E18918" s="122" t="n"/>
    </s:row>
    <s:row r="18919" hidden="1" ht="1" customHeight="1">
      <s:c r="A18919" s="120" t="inlineStr"/>
      <s:c r="B18919" s="121" t="n"/>
      <s:c r="C18919" s="121" t="n"/>
      <s:c r="D18919" s="121" t="n"/>
      <s:c r="E18919" s="122" t="n"/>
    </s:row>
    <s:row r="18920" hidden="1" ht="1" customHeight="1">
      <s:c r="A18920" s="120" t="inlineStr"/>
      <s:c r="B18920" s="121" t="n"/>
      <s:c r="C18920" s="121" t="n"/>
      <s:c r="D18920" s="121" t="n"/>
      <s:c r="E18920" s="122" t="n"/>
    </s:row>
    <s:row r="18921" hidden="1" ht="1" customHeight="1">
      <s:c r="A18921" s="120" t="inlineStr"/>
      <s:c r="B18921" s="121" t="n"/>
      <s:c r="C18921" s="121" t="n"/>
      <s:c r="D18921" s="121" t="n"/>
      <s:c r="E18921" s="122" t="n"/>
    </s:row>
    <s:row r="18922" hidden="1" ht="1" customHeight="1">
      <s:c r="A18922" s="120" t="inlineStr"/>
      <s:c r="B18922" s="121" t="n"/>
      <s:c r="C18922" s="121" t="n"/>
      <s:c r="D18922" s="121" t="n"/>
      <s:c r="E18922" s="122" t="n"/>
    </s:row>
    <s:row r="18923" hidden="1" ht="1" customHeight="1">
      <s:c r="A18923" s="120" t="inlineStr"/>
      <s:c r="B18923" s="121" t="n"/>
      <s:c r="C18923" s="121" t="n"/>
      <s:c r="D18923" s="121" t="n"/>
      <s:c r="E18923" s="122" t="n"/>
    </s:row>
    <s:row r="18924" hidden="1" ht="1" customHeight="1">
      <s:c r="A18924" s="120" t="inlineStr"/>
      <s:c r="B18924" s="121" t="n"/>
      <s:c r="C18924" s="121" t="n"/>
      <s:c r="D18924" s="121" t="n"/>
      <s:c r="E18924" s="122" t="n"/>
    </s:row>
    <s:row r="18925" hidden="1" ht="1" customHeight="1">
      <s:c r="A18925" s="120" t="inlineStr"/>
      <s:c r="B18925" s="121" t="n"/>
      <s:c r="C18925" s="121" t="n"/>
      <s:c r="D18925" s="121" t="n"/>
      <s:c r="E18925" s="122" t="n"/>
    </s:row>
    <s:row r="18926" hidden="1" ht="1" customHeight="1">
      <s:c r="A18926" s="120" t="inlineStr"/>
      <s:c r="B18926" s="121" t="n"/>
      <s:c r="C18926" s="121" t="n"/>
      <s:c r="D18926" s="121" t="n"/>
      <s:c r="E18926" s="122" t="n"/>
    </s:row>
    <s:row r="18927" hidden="1" ht="1" customHeight="1">
      <s:c r="A18927" s="120" t="inlineStr"/>
      <s:c r="B18927" s="121" t="n"/>
      <s:c r="C18927" s="121" t="n"/>
      <s:c r="D18927" s="121" t="n"/>
      <s:c r="E18927" s="122" t="n"/>
    </s:row>
    <s:row r="18928" hidden="1" ht="1" customHeight="1">
      <s:c r="A18928" s="120" t="inlineStr"/>
      <s:c r="B18928" s="121" t="n"/>
      <s:c r="C18928" s="121" t="n"/>
      <s:c r="D18928" s="121" t="n"/>
      <s:c r="E18928" s="122" t="n"/>
    </s:row>
    <s:row r="18929" hidden="1" ht="1" customHeight="1">
      <s:c r="A18929" s="120" t="inlineStr"/>
      <s:c r="B18929" s="121" t="n"/>
      <s:c r="C18929" s="121" t="n"/>
      <s:c r="D18929" s="121" t="n"/>
      <s:c r="E18929" s="122" t="n"/>
    </s:row>
    <s:row r="18930" hidden="1" ht="1" customHeight="1">
      <s:c r="A18930" s="120" t="inlineStr"/>
      <s:c r="B18930" s="121" t="n"/>
      <s:c r="C18930" s="121" t="n"/>
      <s:c r="D18930" s="121" t="n"/>
      <s:c r="E18930" s="122" t="n"/>
    </s:row>
    <s:row r="18931" hidden="1" ht="1" customHeight="1">
      <s:c r="A18931" s="120" t="inlineStr"/>
      <s:c r="B18931" s="121" t="n"/>
      <s:c r="C18931" s="121" t="n"/>
      <s:c r="D18931" s="121" t="n"/>
      <s:c r="E18931" s="122" t="n"/>
    </s:row>
    <s:row r="18932" hidden="1" ht="1" customHeight="1">
      <s:c r="A18932" s="120" t="inlineStr"/>
      <s:c r="B18932" s="121" t="n"/>
      <s:c r="C18932" s="121" t="n"/>
      <s:c r="D18932" s="121" t="n"/>
      <s:c r="E18932" s="122" t="n"/>
    </s:row>
    <s:row r="18933" hidden="1" ht="1" customHeight="1">
      <s:c r="A18933" s="120" t="inlineStr"/>
      <s:c r="B18933" s="121" t="n"/>
      <s:c r="C18933" s="121" t="n"/>
      <s:c r="D18933" s="121" t="n"/>
      <s:c r="E18933" s="122" t="n"/>
    </s:row>
    <s:row r="18934" hidden="1" ht="1" customHeight="1">
      <s:c r="A18934" s="120" t="inlineStr"/>
      <s:c r="B18934" s="121" t="n"/>
      <s:c r="C18934" s="121" t="n"/>
      <s:c r="D18934" s="121" t="n"/>
      <s:c r="E18934" s="122" t="n"/>
    </s:row>
    <s:row r="18935" hidden="1" ht="1" customHeight="1">
      <s:c r="A18935" s="120" t="inlineStr"/>
      <s:c r="B18935" s="121" t="n"/>
      <s:c r="C18935" s="121" t="n"/>
      <s:c r="D18935" s="121" t="n"/>
      <s:c r="E18935" s="122" t="n"/>
    </s:row>
    <s:row r="18936" hidden="1" ht="1" customHeight="1">
      <s:c r="A18936" s="120" t="inlineStr"/>
      <s:c r="B18936" s="121" t="n"/>
      <s:c r="C18936" s="121" t="n"/>
      <s:c r="D18936" s="121" t="n"/>
      <s:c r="E18936" s="122" t="n"/>
    </s:row>
    <s:row r="18937" hidden="1" ht="1" customHeight="1">
      <s:c r="A18937" s="120" t="inlineStr"/>
      <s:c r="B18937" s="121" t="n"/>
      <s:c r="C18937" s="121" t="n"/>
      <s:c r="D18937" s="121" t="n"/>
      <s:c r="E18937" s="122" t="n"/>
    </s:row>
    <s:row r="18938" hidden="1" ht="1" customHeight="1">
      <s:c r="A18938" s="120" t="inlineStr"/>
      <s:c r="B18938" s="121" t="n"/>
      <s:c r="C18938" s="121" t="n"/>
      <s:c r="D18938" s="121" t="n"/>
      <s:c r="E18938" s="122" t="n"/>
    </s:row>
    <s:row r="18939" hidden="1" ht="1" customHeight="1">
      <s:c r="A18939" s="120" t="inlineStr"/>
      <s:c r="B18939" s="121" t="n"/>
      <s:c r="C18939" s="121" t="n"/>
      <s:c r="D18939" s="121" t="n"/>
      <s:c r="E18939" s="122" t="n"/>
    </s:row>
    <s:row r="18940" hidden="1" ht="1" customHeight="1">
      <s:c r="A18940" s="120" t="inlineStr"/>
      <s:c r="B18940" s="121" t="n"/>
      <s:c r="C18940" s="121" t="n"/>
      <s:c r="D18940" s="121" t="n"/>
      <s:c r="E18940" s="122" t="n"/>
    </s:row>
    <s:row r="18941" hidden="1" ht="1" customHeight="1">
      <s:c r="A18941" s="120" t="inlineStr"/>
      <s:c r="B18941" s="121" t="n"/>
      <s:c r="C18941" s="121" t="n"/>
      <s:c r="D18941" s="121" t="n"/>
      <s:c r="E18941" s="122" t="n"/>
    </s:row>
    <s:row r="18942" hidden="1" ht="1" customHeight="1">
      <s:c r="A18942" s="120" t="inlineStr"/>
      <s:c r="B18942" s="121" t="n"/>
      <s:c r="C18942" s="121" t="n"/>
      <s:c r="D18942" s="121" t="n"/>
      <s:c r="E18942" s="122" t="n"/>
    </s:row>
    <s:row r="18943" hidden="1" ht="1" customHeight="1">
      <s:c r="A18943" s="120" t="inlineStr"/>
      <s:c r="B18943" s="121" t="n"/>
      <s:c r="C18943" s="121" t="n"/>
      <s:c r="D18943" s="121" t="n"/>
      <s:c r="E18943" s="122" t="n"/>
    </s:row>
    <s:row r="18944" hidden="1" ht="1" customHeight="1">
      <s:c r="A18944" s="120" t="inlineStr"/>
      <s:c r="B18944" s="121" t="n"/>
      <s:c r="C18944" s="121" t="n"/>
      <s:c r="D18944" s="121" t="n"/>
      <s:c r="E18944" s="122" t="n"/>
    </s:row>
    <s:row r="18945" hidden="1" ht="1" customHeight="1">
      <s:c r="A18945" s="120" t="inlineStr"/>
      <s:c r="B18945" s="121" t="n"/>
      <s:c r="C18945" s="121" t="n"/>
      <s:c r="D18945" s="121" t="n"/>
      <s:c r="E18945" s="122" t="n"/>
    </s:row>
    <s:row r="18946" hidden="1" ht="1" customHeight="1">
      <s:c r="A18946" s="120" t="inlineStr"/>
      <s:c r="B18946" s="121" t="n"/>
      <s:c r="C18946" s="121" t="n"/>
      <s:c r="D18946" s="121" t="n"/>
      <s:c r="E18946" s="122" t="n"/>
    </s:row>
    <s:row r="18947" hidden="1" ht="1" customHeight="1">
      <s:c r="A18947" s="120" t="inlineStr"/>
      <s:c r="B18947" s="121" t="n"/>
      <s:c r="C18947" s="121" t="n"/>
      <s:c r="D18947" s="121" t="n"/>
      <s:c r="E18947" s="122" t="n"/>
    </s:row>
    <s:row r="18948" hidden="1" ht="1" customHeight="1">
      <s:c r="A18948" s="120" t="inlineStr"/>
      <s:c r="B18948" s="121" t="n"/>
      <s:c r="C18948" s="121" t="n"/>
      <s:c r="D18948" s="121" t="n"/>
      <s:c r="E18948" s="122" t="n"/>
    </s:row>
    <s:row r="18949" hidden="1" ht="1" customHeight="1">
      <s:c r="A18949" s="120" t="inlineStr"/>
      <s:c r="B18949" s="121" t="n"/>
      <s:c r="C18949" s="121" t="n"/>
      <s:c r="D18949" s="121" t="n"/>
      <s:c r="E18949" s="122" t="n"/>
    </s:row>
    <s:row r="18950" hidden="1" ht="1" customHeight="1">
      <s:c r="A18950" s="120" t="inlineStr"/>
      <s:c r="B18950" s="121" t="n"/>
      <s:c r="C18950" s="121" t="n"/>
      <s:c r="D18950" s="121" t="n"/>
      <s:c r="E18950" s="122" t="n"/>
    </s:row>
    <s:row r="18951" hidden="1" ht="1" customHeight="1">
      <s:c r="A18951" s="120" t="inlineStr"/>
      <s:c r="B18951" s="121" t="n"/>
      <s:c r="C18951" s="121" t="n"/>
      <s:c r="D18951" s="121" t="n"/>
      <s:c r="E18951" s="122" t="n"/>
    </s:row>
    <s:row r="18952" hidden="1" ht="1" customHeight="1">
      <s:c r="A18952" s="120" t="inlineStr"/>
      <s:c r="B18952" s="121" t="n"/>
      <s:c r="C18952" s="121" t="n"/>
      <s:c r="D18952" s="121" t="n"/>
      <s:c r="E18952" s="122" t="n"/>
    </s:row>
    <s:row r="18953" hidden="1" ht="1" customHeight="1">
      <s:c r="A18953" s="120" t="inlineStr"/>
      <s:c r="B18953" s="121" t="n"/>
      <s:c r="C18953" s="121" t="n"/>
      <s:c r="D18953" s="121" t="n"/>
      <s:c r="E18953" s="122" t="n"/>
    </s:row>
    <s:row r="18954" hidden="1" ht="1" customHeight="1">
      <s:c r="A18954" s="120" t="inlineStr"/>
      <s:c r="B18954" s="121" t="n"/>
      <s:c r="C18954" s="121" t="n"/>
      <s:c r="D18954" s="121" t="n"/>
      <s:c r="E18954" s="122" t="n"/>
    </s:row>
    <s:row r="18955" hidden="1" ht="1" customHeight="1">
      <s:c r="A18955" s="120" t="inlineStr"/>
      <s:c r="B18955" s="121" t="n"/>
      <s:c r="C18955" s="121" t="n"/>
      <s:c r="D18955" s="121" t="n"/>
      <s:c r="E18955" s="122" t="n"/>
    </s:row>
    <s:row r="18956" hidden="1" ht="1" customHeight="1">
      <s:c r="A18956" s="120" t="inlineStr"/>
      <s:c r="B18956" s="121" t="n"/>
      <s:c r="C18956" s="121" t="n"/>
      <s:c r="D18956" s="121" t="n"/>
      <s:c r="E18956" s="122" t="n"/>
    </s:row>
    <s:row r="18957" hidden="1" ht="1" customHeight="1">
      <s:c r="A18957" s="120" t="inlineStr"/>
      <s:c r="B18957" s="121" t="n"/>
      <s:c r="C18957" s="121" t="n"/>
      <s:c r="D18957" s="121" t="n"/>
      <s:c r="E18957" s="122" t="n"/>
    </s:row>
    <s:row r="18958" hidden="1" ht="1" customHeight="1">
      <s:c r="A18958" s="120" t="inlineStr"/>
      <s:c r="B18958" s="121" t="n"/>
      <s:c r="C18958" s="121" t="n"/>
      <s:c r="D18958" s="121" t="n"/>
      <s:c r="E18958" s="122" t="n"/>
    </s:row>
    <s:row r="18959" hidden="1" ht="1" customHeight="1">
      <s:c r="A18959" s="120" t="inlineStr"/>
      <s:c r="B18959" s="121" t="n"/>
      <s:c r="C18959" s="121" t="n"/>
      <s:c r="D18959" s="121" t="n"/>
      <s:c r="E18959" s="122" t="n"/>
    </s:row>
    <s:row r="18960" hidden="1" ht="1" customHeight="1">
      <s:c r="A18960" s="120" t="inlineStr"/>
      <s:c r="B18960" s="121" t="n"/>
      <s:c r="C18960" s="121" t="n"/>
      <s:c r="D18960" s="121" t="n"/>
      <s:c r="E18960" s="122" t="n"/>
    </s:row>
    <s:row r="18961" hidden="1" ht="1" customHeight="1">
      <s:c r="A18961" s="120" t="inlineStr"/>
      <s:c r="B18961" s="121" t="n"/>
      <s:c r="C18961" s="121" t="n"/>
      <s:c r="D18961" s="121" t="n"/>
      <s:c r="E18961" s="122" t="n"/>
    </s:row>
    <s:row r="18962" hidden="1" ht="1" customHeight="1">
      <s:c r="A18962" s="120" t="inlineStr"/>
      <s:c r="B18962" s="121" t="n"/>
      <s:c r="C18962" s="121" t="n"/>
      <s:c r="D18962" s="121" t="n"/>
      <s:c r="E18962" s="122" t="n"/>
    </s:row>
    <s:row r="18963" hidden="1" ht="1" customHeight="1">
      <s:c r="A18963" s="120" t="inlineStr"/>
      <s:c r="B18963" s="121" t="n"/>
      <s:c r="C18963" s="121" t="n"/>
      <s:c r="D18963" s="121" t="n"/>
      <s:c r="E18963" s="122" t="n"/>
    </s:row>
    <s:row r="18964" hidden="1" ht="1" customHeight="1">
      <s:c r="A18964" s="120" t="inlineStr"/>
      <s:c r="B18964" s="121" t="n"/>
      <s:c r="C18964" s="121" t="n"/>
      <s:c r="D18964" s="121" t="n"/>
      <s:c r="E18964" s="122" t="n"/>
    </s:row>
    <s:row r="18965" hidden="1" ht="1" customHeight="1">
      <s:c r="A18965" s="120" t="inlineStr"/>
      <s:c r="B18965" s="121" t="n"/>
      <s:c r="C18965" s="121" t="n"/>
      <s:c r="D18965" s="121" t="n"/>
      <s:c r="E18965" s="122" t="n"/>
    </s:row>
    <s:row r="18966" hidden="1" ht="1" customHeight="1">
      <s:c r="A18966" s="120" t="inlineStr"/>
      <s:c r="B18966" s="121" t="n"/>
      <s:c r="C18966" s="121" t="n"/>
      <s:c r="D18966" s="121" t="n"/>
      <s:c r="E18966" s="122" t="n"/>
    </s:row>
    <s:row r="18967" hidden="1" ht="1" customHeight="1">
      <s:c r="A18967" s="120" t="inlineStr"/>
      <s:c r="B18967" s="121" t="n"/>
      <s:c r="C18967" s="121" t="n"/>
      <s:c r="D18967" s="121" t="n"/>
      <s:c r="E18967" s="122" t="n"/>
    </s:row>
    <s:row r="18968" hidden="1" ht="1" customHeight="1">
      <s:c r="A18968" s="120" t="inlineStr"/>
      <s:c r="B18968" s="121" t="n"/>
      <s:c r="C18968" s="121" t="n"/>
      <s:c r="D18968" s="121" t="n"/>
      <s:c r="E18968" s="122" t="n"/>
    </s:row>
    <s:row r="18969" hidden="1" ht="1" customHeight="1">
      <s:c r="A18969" s="120" t="inlineStr"/>
      <s:c r="B18969" s="121" t="n"/>
      <s:c r="C18969" s="121" t="n"/>
      <s:c r="D18969" s="121" t="n"/>
      <s:c r="E18969" s="122" t="n"/>
    </s:row>
    <s:row r="18970" hidden="1" ht="1" customHeight="1">
      <s:c r="A18970" s="120" t="inlineStr"/>
      <s:c r="B18970" s="121" t="n"/>
      <s:c r="C18970" s="121" t="n"/>
      <s:c r="D18970" s="121" t="n"/>
      <s:c r="E18970" s="122" t="n"/>
    </s:row>
    <s:row r="18971" hidden="1" ht="1" customHeight="1">
      <s:c r="A18971" s="120" t="inlineStr"/>
      <s:c r="B18971" s="121" t="n"/>
      <s:c r="C18971" s="121" t="n"/>
      <s:c r="D18971" s="121" t="n"/>
      <s:c r="E18971" s="122" t="n"/>
    </s:row>
    <s:row r="18972" hidden="1" ht="1" customHeight="1">
      <s:c r="A18972" s="120" t="inlineStr"/>
      <s:c r="B18972" s="121" t="n"/>
      <s:c r="C18972" s="121" t="n"/>
      <s:c r="D18972" s="121" t="n"/>
      <s:c r="E18972" s="122" t="n"/>
    </s:row>
    <s:row r="18973" hidden="1" ht="1" customHeight="1">
      <s:c r="A18973" s="120" t="inlineStr"/>
      <s:c r="B18973" s="121" t="n"/>
      <s:c r="C18973" s="121" t="n"/>
      <s:c r="D18973" s="121" t="n"/>
      <s:c r="E18973" s="122" t="n"/>
    </s:row>
    <s:row r="18974" hidden="1" ht="1" customHeight="1">
      <s:c r="A18974" s="120" t="inlineStr"/>
      <s:c r="B18974" s="121" t="n"/>
      <s:c r="C18974" s="121" t="n"/>
      <s:c r="D18974" s="121" t="n"/>
      <s:c r="E18974" s="122" t="n"/>
    </s:row>
    <s:row r="18975" hidden="1" ht="1" customHeight="1">
      <s:c r="A18975" s="120" t="inlineStr"/>
      <s:c r="B18975" s="121" t="n"/>
      <s:c r="C18975" s="121" t="n"/>
      <s:c r="D18975" s="121" t="n"/>
      <s:c r="E18975" s="122" t="n"/>
    </s:row>
    <s:row r="18976" hidden="1" ht="1" customHeight="1">
      <s:c r="A18976" s="120" t="inlineStr"/>
      <s:c r="B18976" s="121" t="n"/>
      <s:c r="C18976" s="121" t="n"/>
      <s:c r="D18976" s="121" t="n"/>
      <s:c r="E18976" s="122" t="n"/>
    </s:row>
    <s:row r="18977" hidden="1" ht="1" customHeight="1">
      <s:c r="A18977" s="120" t="inlineStr"/>
      <s:c r="B18977" s="121" t="n"/>
      <s:c r="C18977" s="121" t="n"/>
      <s:c r="D18977" s="121" t="n"/>
      <s:c r="E18977" s="122" t="n"/>
    </s:row>
    <s:row r="18978" hidden="1" ht="1" customHeight="1">
      <s:c r="A18978" s="120" t="inlineStr"/>
      <s:c r="B18978" s="121" t="n"/>
      <s:c r="C18978" s="121" t="n"/>
      <s:c r="D18978" s="121" t="n"/>
      <s:c r="E18978" s="122" t="n"/>
    </s:row>
    <s:row r="18979" hidden="1" ht="1" customHeight="1">
      <s:c r="A18979" s="120" t="inlineStr"/>
      <s:c r="B18979" s="121" t="n"/>
      <s:c r="C18979" s="121" t="n"/>
      <s:c r="D18979" s="121" t="n"/>
      <s:c r="E18979" s="122" t="n"/>
    </s:row>
    <s:row r="18980" hidden="1" ht="1" customHeight="1">
      <s:c r="A18980" s="120" t="inlineStr"/>
      <s:c r="B18980" s="121" t="n"/>
      <s:c r="C18980" s="121" t="n"/>
      <s:c r="D18980" s="121" t="n"/>
      <s:c r="E18980" s="122" t="n"/>
    </s:row>
    <s:row r="18981" hidden="1" ht="1" customHeight="1">
      <s:c r="A18981" s="120" t="inlineStr"/>
      <s:c r="B18981" s="121" t="n"/>
      <s:c r="C18981" s="121" t="n"/>
      <s:c r="D18981" s="121" t="n"/>
      <s:c r="E18981" s="122" t="n"/>
    </s:row>
    <s:row r="18982" hidden="1" ht="1" customHeight="1">
      <s:c r="A18982" s="120" t="inlineStr"/>
      <s:c r="B18982" s="121" t="n"/>
      <s:c r="C18982" s="121" t="n"/>
      <s:c r="D18982" s="121" t="n"/>
      <s:c r="E18982" s="122" t="n"/>
    </s:row>
    <s:row r="18983" hidden="1" ht="1" customHeight="1">
      <s:c r="A18983" s="120" t="inlineStr"/>
      <s:c r="B18983" s="121" t="n"/>
      <s:c r="C18983" s="121" t="n"/>
      <s:c r="D18983" s="121" t="n"/>
      <s:c r="E18983" s="122" t="n"/>
    </s:row>
    <s:row r="18984" hidden="1" ht="1" customHeight="1">
      <s:c r="A18984" s="120" t="inlineStr"/>
      <s:c r="B18984" s="121" t="n"/>
      <s:c r="C18984" s="121" t="n"/>
      <s:c r="D18984" s="121" t="n"/>
      <s:c r="E18984" s="122" t="n"/>
    </s:row>
    <s:row r="18985" hidden="1" ht="1" customHeight="1">
      <s:c r="A18985" s="120" t="inlineStr"/>
      <s:c r="B18985" s="121" t="n"/>
      <s:c r="C18985" s="121" t="n"/>
      <s:c r="D18985" s="121" t="n"/>
      <s:c r="E18985" s="122" t="n"/>
    </s:row>
    <s:row r="18986" hidden="1" ht="1" customHeight="1">
      <s:c r="A18986" s="120" t="inlineStr"/>
      <s:c r="B18986" s="121" t="n"/>
      <s:c r="C18986" s="121" t="n"/>
      <s:c r="D18986" s="121" t="n"/>
      <s:c r="E18986" s="122" t="n"/>
    </s:row>
    <s:row r="18987" hidden="1" ht="1" customHeight="1">
      <s:c r="A18987" s="120" t="inlineStr"/>
      <s:c r="B18987" s="121" t="n"/>
      <s:c r="C18987" s="121" t="n"/>
      <s:c r="D18987" s="121" t="n"/>
      <s:c r="E18987" s="122" t="n"/>
    </s:row>
    <s:row r="18988" hidden="1" ht="1" customHeight="1">
      <s:c r="A18988" s="120" t="inlineStr"/>
      <s:c r="B18988" s="121" t="n"/>
      <s:c r="C18988" s="121" t="n"/>
      <s:c r="D18988" s="121" t="n"/>
      <s:c r="E18988" s="122" t="n"/>
    </s:row>
    <s:row r="18989" hidden="1" ht="1" customHeight="1">
      <s:c r="A18989" s="120" t="inlineStr"/>
      <s:c r="B18989" s="121" t="n"/>
      <s:c r="C18989" s="121" t="n"/>
      <s:c r="D18989" s="121" t="n"/>
      <s:c r="E18989" s="122" t="n"/>
    </s:row>
    <s:row r="18990" hidden="1" ht="1" customHeight="1">
      <s:c r="A18990" s="120" t="inlineStr"/>
      <s:c r="B18990" s="121" t="n"/>
      <s:c r="C18990" s="121" t="n"/>
      <s:c r="D18990" s="121" t="n"/>
      <s:c r="E18990" s="122" t="n"/>
    </s:row>
    <s:row r="18991" hidden="1" ht="1" customHeight="1">
      <s:c r="A18991" s="120" t="inlineStr"/>
      <s:c r="B18991" s="121" t="n"/>
      <s:c r="C18991" s="121" t="n"/>
      <s:c r="D18991" s="121" t="n"/>
      <s:c r="E18991" s="122" t="n"/>
    </s:row>
    <s:row r="18992" hidden="1" ht="1" customHeight="1">
      <s:c r="A18992" s="120" t="inlineStr"/>
      <s:c r="B18992" s="121" t="n"/>
      <s:c r="C18992" s="121" t="n"/>
      <s:c r="D18992" s="121" t="n"/>
      <s:c r="E18992" s="122" t="n"/>
    </s:row>
    <s:row r="18993" hidden="1" ht="1" customHeight="1">
      <s:c r="A18993" s="120" t="inlineStr"/>
      <s:c r="B18993" s="121" t="n"/>
      <s:c r="C18993" s="121" t="n"/>
      <s:c r="D18993" s="121" t="n"/>
      <s:c r="E18993" s="122" t="n"/>
    </s:row>
    <s:row r="18994" hidden="1" ht="1" customHeight="1">
      <s:c r="A18994" s="120" t="inlineStr"/>
      <s:c r="B18994" s="121" t="n"/>
      <s:c r="C18994" s="121" t="n"/>
      <s:c r="D18994" s="121" t="n"/>
      <s:c r="E18994" s="122" t="n"/>
    </s:row>
    <s:row r="18995" hidden="1" ht="1" customHeight="1">
      <s:c r="A18995" s="120" t="inlineStr"/>
      <s:c r="B18995" s="121" t="n"/>
      <s:c r="C18995" s="121" t="n"/>
      <s:c r="D18995" s="121" t="n"/>
      <s:c r="E18995" s="122" t="n"/>
    </s:row>
    <s:row r="18996" hidden="1" ht="1" customHeight="1">
      <s:c r="A18996" s="120" t="inlineStr"/>
      <s:c r="B18996" s="121" t="n"/>
      <s:c r="C18996" s="121" t="n"/>
      <s:c r="D18996" s="121" t="n"/>
      <s:c r="E18996" s="122" t="n"/>
    </s:row>
    <s:row r="18997" hidden="1" ht="1" customHeight="1">
      <s:c r="A18997" s="120" t="inlineStr"/>
      <s:c r="B18997" s="121" t="n"/>
      <s:c r="C18997" s="121" t="n"/>
      <s:c r="D18997" s="121" t="n"/>
      <s:c r="E18997" s="122" t="n"/>
    </s:row>
    <s:row r="18998" hidden="1" ht="1" customHeight="1">
      <s:c r="A18998" s="120" t="inlineStr"/>
      <s:c r="B18998" s="121" t="n"/>
      <s:c r="C18998" s="121" t="n"/>
      <s:c r="D18998" s="121" t="n"/>
      <s:c r="E18998" s="122" t="n"/>
    </s:row>
    <s:row r="18999" hidden="1" ht="1" customHeight="1">
      <s:c r="A18999" s="120" t="inlineStr"/>
      <s:c r="B18999" s="121" t="n"/>
      <s:c r="C18999" s="121" t="n"/>
      <s:c r="D18999" s="121" t="n"/>
      <s:c r="E18999" s="122" t="n"/>
    </s:row>
    <s:row r="19000" hidden="1" ht="1" customHeight="1">
      <s:c r="A19000" s="120" t="inlineStr"/>
      <s:c r="B19000" s="121" t="n"/>
      <s:c r="C19000" s="121" t="n"/>
      <s:c r="D19000" s="121" t="n"/>
      <s:c r="E19000" s="122" t="n"/>
    </s:row>
    <s:row r="19001" hidden="1" ht="1" customHeight="1">
      <s:c r="A19001" s="120" t="inlineStr"/>
      <s:c r="B19001" s="121" t="n"/>
      <s:c r="C19001" s="121" t="n"/>
      <s:c r="D19001" s="121" t="n"/>
      <s:c r="E19001" s="122" t="n"/>
    </s:row>
    <s:row r="19002" hidden="1" ht="1" customHeight="1">
      <s:c r="A19002" s="120" t="inlineStr"/>
      <s:c r="B19002" s="121" t="n"/>
      <s:c r="C19002" s="121" t="n"/>
      <s:c r="D19002" s="121" t="n"/>
      <s:c r="E19002" s="122" t="n"/>
    </s:row>
    <s:row r="19003" hidden="1" ht="1" customHeight="1">
      <s:c r="A19003" s="120" t="inlineStr"/>
      <s:c r="B19003" s="121" t="n"/>
      <s:c r="C19003" s="121" t="n"/>
      <s:c r="D19003" s="121" t="n"/>
      <s:c r="E19003" s="122" t="n"/>
    </s:row>
    <s:row r="19004" hidden="1" ht="1" customHeight="1">
      <s:c r="A19004" s="120" t="inlineStr"/>
      <s:c r="B19004" s="121" t="n"/>
      <s:c r="C19004" s="121" t="n"/>
      <s:c r="D19004" s="121" t="n"/>
      <s:c r="E19004" s="122" t="n"/>
    </s:row>
    <s:row r="19005" hidden="1" ht="1" customHeight="1">
      <s:c r="A19005" s="120" t="inlineStr"/>
      <s:c r="B19005" s="121" t="n"/>
      <s:c r="C19005" s="121" t="n"/>
      <s:c r="D19005" s="121" t="n"/>
      <s:c r="E19005" s="122" t="n"/>
    </s:row>
    <s:row r="19006" hidden="1" ht="1" customHeight="1">
      <s:c r="A19006" s="120" t="inlineStr"/>
      <s:c r="B19006" s="121" t="n"/>
      <s:c r="C19006" s="121" t="n"/>
      <s:c r="D19006" s="121" t="n"/>
      <s:c r="E19006" s="122" t="n"/>
    </s:row>
    <s:row r="19007" hidden="1" ht="1" customHeight="1">
      <s:c r="A19007" s="120" t="inlineStr"/>
      <s:c r="B19007" s="121" t="n"/>
      <s:c r="C19007" s="121" t="n"/>
      <s:c r="D19007" s="121" t="n"/>
      <s:c r="E19007" s="122" t="n"/>
    </s:row>
    <s:row r="19008" hidden="1" ht="1" customHeight="1">
      <s:c r="A19008" s="120" t="inlineStr"/>
      <s:c r="B19008" s="121" t="n"/>
      <s:c r="C19008" s="121" t="n"/>
      <s:c r="D19008" s="121" t="n"/>
      <s:c r="E19008" s="122" t="n"/>
    </s:row>
    <s:row r="19009" hidden="1" ht="1" customHeight="1">
      <s:c r="A19009" s="120" t="inlineStr"/>
      <s:c r="B19009" s="121" t="n"/>
      <s:c r="C19009" s="121" t="n"/>
      <s:c r="D19009" s="121" t="n"/>
      <s:c r="E19009" s="122" t="n"/>
    </s:row>
    <s:row r="19010" hidden="1" ht="1" customHeight="1">
      <s:c r="A19010" s="120" t="inlineStr"/>
      <s:c r="B19010" s="121" t="n"/>
      <s:c r="C19010" s="121" t="n"/>
      <s:c r="D19010" s="121" t="n"/>
      <s:c r="E19010" s="122" t="n"/>
    </s:row>
    <s:row r="19011" hidden="1" ht="1" customHeight="1">
      <s:c r="A19011" s="120" t="inlineStr"/>
      <s:c r="B19011" s="121" t="n"/>
      <s:c r="C19011" s="121" t="n"/>
      <s:c r="D19011" s="121" t="n"/>
      <s:c r="E19011" s="122" t="n"/>
    </s:row>
    <s:row r="19012" hidden="1" ht="1" customHeight="1">
      <s:c r="A19012" s="120" t="inlineStr"/>
      <s:c r="B19012" s="121" t="n"/>
      <s:c r="C19012" s="121" t="n"/>
      <s:c r="D19012" s="121" t="n"/>
      <s:c r="E19012" s="122" t="n"/>
    </s:row>
    <s:row r="19013" hidden="1" ht="1" customHeight="1">
      <s:c r="A19013" s="120" t="inlineStr"/>
      <s:c r="B19013" s="121" t="n"/>
      <s:c r="C19013" s="121" t="n"/>
      <s:c r="D19013" s="121" t="n"/>
      <s:c r="E19013" s="122" t="n"/>
    </s:row>
    <s:row r="19014" hidden="1" ht="1" customHeight="1">
      <s:c r="A19014" s="120" t="inlineStr"/>
      <s:c r="B19014" s="121" t="n"/>
      <s:c r="C19014" s="121" t="n"/>
      <s:c r="D19014" s="121" t="n"/>
      <s:c r="E19014" s="122" t="n"/>
    </s:row>
    <s:row r="19015" hidden="1" ht="1" customHeight="1">
      <s:c r="A19015" s="120" t="inlineStr"/>
      <s:c r="B19015" s="121" t="n"/>
      <s:c r="C19015" s="121" t="n"/>
      <s:c r="D19015" s="121" t="n"/>
      <s:c r="E19015" s="122" t="n"/>
    </s:row>
    <s:row r="19016" hidden="1" ht="1" customHeight="1">
      <s:c r="A19016" s="120" t="inlineStr"/>
      <s:c r="B19016" s="121" t="n"/>
      <s:c r="C19016" s="121" t="n"/>
      <s:c r="D19016" s="121" t="n"/>
      <s:c r="E19016" s="122" t="n"/>
    </s:row>
    <s:row r="19017" hidden="1" ht="1" customHeight="1">
      <s:c r="A19017" s="120" t="inlineStr"/>
      <s:c r="B19017" s="121" t="n"/>
      <s:c r="C19017" s="121" t="n"/>
      <s:c r="D19017" s="121" t="n"/>
      <s:c r="E19017" s="122" t="n"/>
    </s:row>
    <s:row r="19018" hidden="1" ht="1" customHeight="1">
      <s:c r="A19018" s="120" t="inlineStr"/>
      <s:c r="B19018" s="121" t="n"/>
      <s:c r="C19018" s="121" t="n"/>
      <s:c r="D19018" s="121" t="n"/>
      <s:c r="E19018" s="122" t="n"/>
    </s:row>
    <s:row r="19019" hidden="1" ht="1" customHeight="1">
      <s:c r="A19019" s="120" t="inlineStr"/>
      <s:c r="B19019" s="121" t="n"/>
      <s:c r="C19019" s="121" t="n"/>
      <s:c r="D19019" s="121" t="n"/>
      <s:c r="E19019" s="122" t="n"/>
    </s:row>
    <s:row r="19020" hidden="1" ht="1" customHeight="1">
      <s:c r="A19020" s="120" t="inlineStr"/>
      <s:c r="B19020" s="121" t="n"/>
      <s:c r="C19020" s="121" t="n"/>
      <s:c r="D19020" s="121" t="n"/>
      <s:c r="E19020" s="122" t="n"/>
    </s:row>
    <s:row r="19021" hidden="1" ht="1" customHeight="1">
      <s:c r="A19021" s="120" t="inlineStr"/>
      <s:c r="B19021" s="121" t="n"/>
      <s:c r="C19021" s="121" t="n"/>
      <s:c r="D19021" s="121" t="n"/>
      <s:c r="E19021" s="122" t="n"/>
    </s:row>
    <s:row r="19022" hidden="1" ht="1" customHeight="1">
      <s:c r="A19022" s="120" t="inlineStr"/>
      <s:c r="B19022" s="121" t="n"/>
      <s:c r="C19022" s="121" t="n"/>
      <s:c r="D19022" s="121" t="n"/>
      <s:c r="E19022" s="122" t="n"/>
    </s:row>
    <s:row r="19023" hidden="1" ht="1" customHeight="1">
      <s:c r="A19023" s="120" t="inlineStr"/>
      <s:c r="B19023" s="121" t="n"/>
      <s:c r="C19023" s="121" t="n"/>
      <s:c r="D19023" s="121" t="n"/>
      <s:c r="E19023" s="122" t="n"/>
    </s:row>
    <s:row r="19024" hidden="1" ht="1" customHeight="1">
      <s:c r="A19024" s="120" t="inlineStr"/>
      <s:c r="B19024" s="121" t="n"/>
      <s:c r="C19024" s="121" t="n"/>
      <s:c r="D19024" s="121" t="n"/>
      <s:c r="E19024" s="122" t="n"/>
    </s:row>
    <s:row r="19025" hidden="1" ht="1" customHeight="1">
      <s:c r="A19025" s="120" t="inlineStr"/>
      <s:c r="B19025" s="121" t="n"/>
      <s:c r="C19025" s="121" t="n"/>
      <s:c r="D19025" s="121" t="n"/>
      <s:c r="E19025" s="122" t="n"/>
    </s:row>
    <s:row r="19026" hidden="1" ht="1" customHeight="1">
      <s:c r="A19026" s="120" t="inlineStr"/>
      <s:c r="B19026" s="121" t="n"/>
      <s:c r="C19026" s="121" t="n"/>
      <s:c r="D19026" s="121" t="n"/>
      <s:c r="E19026" s="122" t="n"/>
    </s:row>
    <s:row r="19027" hidden="1" ht="1" customHeight="1">
      <s:c r="A19027" s="120" t="inlineStr"/>
      <s:c r="B19027" s="121" t="n"/>
      <s:c r="C19027" s="121" t="n"/>
      <s:c r="D19027" s="121" t="n"/>
      <s:c r="E19027" s="122" t="n"/>
    </s:row>
    <s:row r="19028" hidden="1" ht="1" customHeight="1">
      <s:c r="A19028" s="120" t="inlineStr"/>
      <s:c r="B19028" s="121" t="n"/>
      <s:c r="C19028" s="121" t="n"/>
      <s:c r="D19028" s="121" t="n"/>
      <s:c r="E19028" s="122" t="n"/>
    </s:row>
    <s:row r="19029" hidden="1" ht="1" customHeight="1">
      <s:c r="A19029" s="120" t="inlineStr"/>
      <s:c r="B19029" s="121" t="n"/>
      <s:c r="C19029" s="121" t="n"/>
      <s:c r="D19029" s="121" t="n"/>
      <s:c r="E19029" s="122" t="n"/>
    </s:row>
    <s:row r="19030" hidden="1" ht="1" customHeight="1">
      <s:c r="A19030" s="120" t="inlineStr"/>
      <s:c r="B19030" s="121" t="n"/>
      <s:c r="C19030" s="121" t="n"/>
      <s:c r="D19030" s="121" t="n"/>
      <s:c r="E19030" s="122" t="n"/>
    </s:row>
    <s:row r="19031" hidden="1" ht="1" customHeight="1">
      <s:c r="A19031" s="120" t="inlineStr"/>
      <s:c r="B19031" s="121" t="n"/>
      <s:c r="C19031" s="121" t="n"/>
      <s:c r="D19031" s="121" t="n"/>
      <s:c r="E19031" s="122" t="n"/>
    </s:row>
    <s:row r="19032" hidden="1" ht="1" customHeight="1">
      <s:c r="A19032" s="120" t="inlineStr"/>
      <s:c r="B19032" s="121" t="n"/>
      <s:c r="C19032" s="121" t="n"/>
      <s:c r="D19032" s="121" t="n"/>
      <s:c r="E19032" s="122" t="n"/>
    </s:row>
    <s:row r="19033" hidden="1" ht="1" customHeight="1">
      <s:c r="A19033" s="120" t="inlineStr"/>
      <s:c r="B19033" s="121" t="n"/>
      <s:c r="C19033" s="121" t="n"/>
      <s:c r="D19033" s="121" t="n"/>
      <s:c r="E19033" s="122" t="n"/>
    </s:row>
    <s:row r="19034" hidden="1" ht="1" customHeight="1">
      <s:c r="A19034" s="83" t="inlineStr">
        <s:is>
          <s:t>PASS</s:t>
        </s:is>
      </s:c>
      <s:c r="B19034" s="83">
        <s:f>SUM(IF(EXACT('Kiểm thử'!E18834,"Đạt"),1,0),IF(EXACT('Kiểm thử'!E18836,"Đạt"),1,0),IF(EXACT('Kiểm thử'!E18838,"Đạt"),1,0),IF(EXACT('Kiểm thử'!E18840,"Đạt"),1,0))</s:f>
        <s:v/>
      </s:c>
      <s:c r="C19034" s="19" t="n"/>
      <s:c r="D19034" s="19" t="n"/>
      <s:c r="E19034" s="19" t="n"/>
    </s:row>
    <s:row r="19035" hidden="1" ht="1" customHeight="1">
      <s:c r="A19035" s="83" t="inlineStr">
        <s:is>
          <s:t>FAIL</s:t>
        </s:is>
      </s:c>
      <s:c r="B19035" s="83">
        <s:f>SUM(IF(EXACT('Kiểm thử'!E18834,"Không đạt"),1,0),IF(EXACT('Kiểm thử'!E18836,"Không đạt"),1,0),IF(EXACT('Kiểm thử'!E18838,"Không đạt"),1,0),IF(EXACT('Kiểm thử'!E18840,"Không đạt"),1,0))</s:f>
        <s:v/>
      </s:c>
      <s:c r="C19035" s="19" t="n"/>
      <s:c r="D19035" s="19" t="n"/>
      <s:c r="E19035" s="19" t="n"/>
    </s:row>
    <s:row r="19036" hidden="1" ht="1" customHeight="1">
      <s:c r="A19036" s="83" t="inlineStr">
        <s:is>
          <s:t>BLOCKED</s:t>
        </s:is>
      </s:c>
      <s:c r="B19036" s="83">
        <s:f>SUM(IF(EXACT('Kiểm thử'!E18834,"Bị chặn"),1,0),IF(EXACT('Kiểm thử'!E18836,"Bị chặn"),1,0),IF(EXACT('Kiểm thử'!E18838,"Bị chặn"),1,0),IF(EXACT('Kiểm thử'!E18840,"Bị chặn"),1,0))</s:f>
        <s:v/>
      </s:c>
      <s:c r="C19036" s="19" t="n"/>
      <s:c r="D19036" s="19" t="n"/>
      <s:c r="E19036" s="19" t="n"/>
    </s:row>
    <s:row r="19037" hidden="1" ht="1" customHeight="1">
      <s:c r="A19037" s="83" t="inlineStr">
        <s:is>
          <s:t>SKIPPED</s:t>
        </s:is>
      </s:c>
      <s:c r="B19037" s="83">
        <s:f>SUM(IF(EXACT('Kiểm thử'!E18834,"Không thực hiện"),1,0),IF(EXACT('Kiểm thử'!E18836,"Không thực hiện"),1,0),IF(EXACT('Kiểm thử'!E18838,"Không thực hiện"),1,0),IF(EXACT('Kiểm thử'!E18840,"Không thực hiện"),1,0))</s:f>
        <s:v/>
      </s:c>
      <s:c r="C19037" s="19" t="n"/>
      <s:c r="D19037" s="19" t="n"/>
      <s:c r="E19037" s="19" t="n"/>
    </s:row>
    <s:row r="19038" hidden="1" ht="1" customHeight="1">
      <s:c r="A19038" s="83" t="inlineStr">
        <s:is>
          <s:t>NOT RUN</s:t>
        </s:is>
      </s:c>
      <s:c r="B19038" s="83">
        <s:f>SUM(IF(EXACT('Kiểm thử'!E18834,"Chưa thực hiện"),1,0),IF(EXACT('Kiểm thử'!E18836,"Chưa thực hiện"),1,0),IF(EXACT('Kiểm thử'!E18838,"Chưa thực hiện"),1,0),IF(EXACT('Kiểm thử'!E18840,"Chưa thực hiện"),1,0))</s:f>
        <s:v/>
      </s:c>
      <s:c r="C19038" s="19" t="n"/>
      <s:c r="D19038" s="19" t="n"/>
      <s:c r="E19038" s="19" t="n"/>
    </s:row>
    <s:row r="19039" hidden="1" ht="6" customHeight="1">
      <s:c r="A19039" s="83" t="inlineStr"/>
      <s:c r="B19039" s="19" t="n"/>
      <s:c r="C19039" s="19" t="n"/>
      <s:c r="D19039" s="19" t="n"/>
      <s:c r="E19039" s="19" t="n"/>
    </s:row>
    <s:row r="19040" ht="28" customHeight="1">
      <s:c r="A19040" s="108" t="inlineStr">
        <s:is>
          <s:t>TC-RS-FUNC-030 — Phiếu điểm: thứ tự điều kiện và dừng ở điều kiện khớp đầu tiên</s:t>
        </s:is>
      </s:c>
      <s:c r="B19040" s="111" t="n"/>
      <s:c r="C19040" s="111" t="n"/>
      <s:c r="D19040" s="111" t="n"/>
      <s:c r="E19040" s="111" t="n"/>
    </s:row>
    <s:row r="19041" ht="20" customHeight="1">
      <s:c r="A19041" s="112" t="inlineStr">
        <s:is>
          <s:t>Kết quả tình huống</s:t>
        </s:is>
      </s:c>
      <s:c r="B19041" s="113">
        <s:f>IF(SUM(IF(EXACT('Kiểm thử'!E19055,"Không đạt"),1,0),IF(EXACT('Kiểm thử'!E19057,"Không đạt"),1,0),IF(EXACT('Kiểm thử'!E19059,"Không đạt"),1,0),IF(EXACT('Kiểm thử'!E19061,"Không đạt"),1,0),IF(EXACT('Kiểm thử'!E19063,"Không đạt"),1,0),IF(EXACT('Kiểm thử'!E19065,"Không đạt"),1,0),IF(EXACT('Kiểm thử'!E19067,"Không đạt"),1,0),IF(EXACT('Kiểm thử'!E19069,"Không đạt"),1,0))&gt;0,"Không đạt",IF(SUM(IF(EXACT('Kiểm thử'!E19055,"Đạt"),1,0),IF(EXACT('Kiểm thử'!E19057,"Đạt"),1,0),IF(EXACT('Kiểm thử'!E19059,"Đạt"),1,0),IF(EXACT('Kiểm thử'!E19061,"Đạt"),1,0),IF(EXACT('Kiểm thử'!E19063,"Đạt"),1,0),IF(EXACT('Kiểm thử'!E19065,"Đạt"),1,0),IF(EXACT('Kiểm thử'!E19067,"Đạt"),1,0),IF(EXACT('Kiểm thử'!E19069,"Đạt"),1,0))=8,"Đạt",IF(SUM(IF(EXACT('Kiểm thử'!E19055,"Không thực hiện"),1,0),IF(EXACT('Kiểm thử'!E19057,"Không thực hiện"),1,0),IF(EXACT('Kiểm thử'!E19059,"Không thực hiện"),1,0),IF(EXACT('Kiểm thử'!E19061,"Không thực hiện"),1,0),IF(EXACT('Kiểm thử'!E19063,"Không thực hiện"),1,0),IF(EXACT('Kiểm thử'!E19065,"Không thực hiện"),1,0),IF(EXACT('Kiểm thử'!E19067,"Không thực hiện"),1,0),IF(EXACT('Kiểm thử'!E19069,"Không thực hiện"),1,0))=8,"Không thực hiện",IF(SUM(IF(EXACT('Kiểm thử'!E19055,"Bị chặn"),1,0),IF(EXACT('Kiểm thử'!E19057,"Bị chặn"),1,0),IF(EXACT('Kiểm thử'!E19059,"Bị chặn"),1,0),IF(EXACT('Kiểm thử'!E19061,"Bị chặn"),1,0),IF(EXACT('Kiểm thử'!E19063,"Bị chặn"),1,0),IF(EXACT('Kiểm thử'!E19065,"Bị chặn"),1,0),IF(EXACT('Kiểm thử'!E19067,"Bị chặn"),1,0),IF(EXACT('Kiểm thử'!E19069,"Bị chặn"),1,0))&gt;0,"Bị chặn",IF(SUM(IF(EXACT('Kiểm thử'!E19055,"Chưa thực hiện"),1,0),IF(EXACT('Kiểm thử'!E19057,"Chưa thực hiện"),1,0),IF(EXACT('Kiểm thử'!E19059,"Chưa thực hiện"),1,0),IF(EXACT('Kiểm thử'!E19061,"Chưa thực hiện"),1,0),IF(EXACT('Kiểm thử'!E19063,"Chưa thực hiện"),1,0),IF(EXACT('Kiểm thử'!E19065,"Chưa thực hiện"),1,0),IF(EXACT('Kiểm thử'!E19067,"Chưa thực hiện"),1,0),IF(EXACT('Kiểm thử'!E19069,"Chưa thực hiện"),1,0))=8,"Chưa thực hiện","Đang thực hiện")))))</s:f>
        <s:v/>
      </s:c>
      <s:c r="C19041" s="114" t="n"/>
      <s:c r="D19041" s="114" t="n"/>
      <s:c r="E19041" s="114" t="n"/>
    </s:row>
    <s:row r="19042" ht="20" customHeight="1">
      <s:c r="A19042" s="112" t="inlineStr">
        <s:is>
          <s:t>Màn hình / chức năng</s:t>
        </s:is>
      </s:c>
      <s:c r="B19042" s="113" t="inlineStr">
        <s:is>
          <s:r>
            <s:rPr>
              <s:b val="1"/>
            </s:rPr>
            <s:t>Công cụ phiếu điểm（通知表ツール）</s:t>
          </s:r>
        </s:is>
      </s:c>
      <s:c r="C19042" s="28" t="n"/>
      <s:c r="D19042" s="28" t="n"/>
      <s:c r="E19042" s="28" t="n"/>
    </s:row>
    <s:row r="19043" ht="48" customHeight="1">
      <s:c r="A19043" s="112" t="inlineStr">
        <s:is>
          <s:t>Cấu hình</s:t>
        </s:is>
      </s:c>
      <s:c r="B19043" s="113" t="inlineStr">
        <s:is>
          <s:t>• S06 = 24 vừa dự kiến vừa Đỏ;
• S01 = 29 Đỏ, không cờ;
• S05 ô trống, trước đó từng Đỏ.</s:t>
        </s:is>
      </s:c>
      <s:c r="C19043" s="28" t="n"/>
      <s:c r="D19043" s="28" t="n"/>
      <s:c r="E19043" s="28" t="n"/>
    </s:row>
    <s:row r="19044" ht="34" customHeight="1">
      <s:c r="A19044" s="112" t="inlineStr">
        <s:is>
          <s:t>Dữ liệu test</s:t>
        </s:is>
      </s:c>
      <s:c r="B19044" s="113" t="inlineStr">
        <s:is>
          <s:t>• Học sinh S06 (điểm dự kiến 24), học sinh S01 (điểm 29), học sinh S05 (ô trống), cấu hình phiếu điểm: ký tự “※” phía trước</s:t>
        </s:is>
      </s:c>
      <s:c r="C19044" s="28" t="n"/>
      <s:c r="D19044" s="28" t="n"/>
      <s:c r="E19044" s="28" t="n"/>
    </s:row>
    <s:row r="19045" ht="20" customHeight="1">
      <s:c r="A19045" s="112" t="inlineStr">
        <s:is>
          <s:t>•</s:t>
        </s:is>
      </s:c>
      <s:c r="B19045" s="113" t="inlineStr">
        <s:is>
          <s:r>
            <s:t xml:space="preserve">Cấu hình hộp tùy chọn theo từng dòng, </s:t>
          </s:r>
          <s:r>
            <s:rPr>
              <s:b val="1"/>
            </s:rPr>
            <s:t>bấm Cập nhật（更新する）</s:t>
          </s:r>
          <s:r>
            <s:t>, xuất PDF.</s:t>
          </s:r>
        </s:is>
      </s:c>
      <s:c r="C19045" s="28" t="n"/>
      <s:c r="D19045" s="28" t="n"/>
      <s:c r="E19045" s="28" t="n"/>
    </s:row>
    <s:row r="19046" ht="20" customHeight="1">
      <s:c r="A19046" s="112" t="inlineStr">
        <s:is>
          <s:t>•</s:t>
        </s:is>
      </s:c>
      <s:c r="B19046" s="113" t="inlineStr">
        <s:is>
          <s:t>(A) Dự kiến = Kèm ngoặc; đỏ = [※] trước → xem S06.</s:t>
        </s:is>
      </s:c>
      <s:c r="C19046" s="28" t="n"/>
      <s:c r="D19046" s="28" t="n"/>
      <s:c r="E19046" s="28" t="n"/>
    </s:row>
    <s:row r="19047" ht="20" customHeight="1">
      <s:c r="A19047" s="112" t="inlineStr">
        <s:is>
          <s:t>•</s:t>
        </s:is>
      </s:c>
      <s:c r="B19047" s="113" t="inlineStr">
        <s:is>
          <s:t>(B) Dự kiến = Nguyên trạng; đỏ = [※] trước → xem S06.</s:t>
        </s:is>
      </s:c>
      <s:c r="C19047" s="28" t="n"/>
      <s:c r="D19047" s="28" t="n"/>
      <s:c r="E19047" s="28" t="n"/>
    </s:row>
    <s:row r="19048" ht="20" customHeight="1">
      <s:c r="A19048" s="112" t="inlineStr">
        <s:is>
          <s:t>•</s:t>
        </s:is>
      </s:c>
      <s:c r="B19048" s="113" t="inlineStr">
        <s:is>
          <s:r>
            <s:t xml:space="preserve">(C) </s:t>
          </s:r>
          <s:r>
            <s:rPr>
              <s:b val="1"/>
            </s:rPr>
            <s:t>Dự kiến = Ẩn（表示しない）</s:t>
          </s:r>
          <s:r>
            <s:t xml:space="preserve"> </s:t>
          </s:r>
          <s:r>
            <s:rPr>
              <s:b val="1"/>
            </s:rPr>
            <s:t>hoặc Gạch chéo（斜線）</s:t>
          </s:r>
          <s:r>
            <s:t>; đỏ = [※] trước → xem S06.</s:t>
          </s:r>
        </s:is>
      </s:c>
      <s:c r="C19048" s="28" t="n"/>
      <s:c r="D19048" s="28" t="n"/>
      <s:c r="E19048" s="28" t="n"/>
    </s:row>
    <s:row r="19049" ht="20" customHeight="1">
      <s:c r="A19049" s="112" t="inlineStr">
        <s:is>
          <s:t>•</s:t>
        </s:is>
      </s:c>
      <s:c r="B19049" s="113" t="inlineStr">
        <s:is>
          <s:t>(D) Không điều kiện phía trên khớp; đỏ = [※] trước → xem S01.</s:t>
        </s:is>
      </s:c>
      <s:c r="C19049" s="28" t="n"/>
      <s:c r="D19049" s="28" t="n"/>
      <s:c r="E19049" s="28" t="n"/>
    </s:row>
    <s:row r="19050" ht="20" customHeight="1">
      <s:c r="A19050" s="112" t="inlineStr">
        <s:is>
          <s:t>•</s:t>
        </s:is>
      </s:c>
      <s:c r="B19050" s="113" t="inlineStr">
        <s:is>
          <s:r>
            <s:t xml:space="preserve">(E) </s:t>
          </s:r>
          <s:r>
            <s:rPr>
              <s:b val="1"/>
            </s:rPr>
            <s:t>Ô trống（空欄の場合）</s:t>
          </s:r>
          <s:r>
            <s:t>= Kèm ngoặc; đỏ = [※] trước → xem S05.</s:t>
          </s:r>
        </s:is>
      </s:c>
      <s:c r="C19050" s="28" t="n"/>
      <s:c r="D19050" s="28" t="n"/>
      <s:c r="E19050" s="28" t="n"/>
    </s:row>
    <s:row r="19051" ht="20" customHeight="1">
      <s:c r="A19051" s="112" t="inlineStr">
        <s:is>
          <s:t>•</s:t>
        </s:is>
      </s:c>
      <s:c r="B19051" s="113" t="inlineStr">
        <s:is>
          <s:r>
            <s:t xml:space="preserve">(F) Trường </s:t>
          </s:r>
          <s:r>
            <s:rPr>
              <s:b val="1"/>
            </s:rPr>
            <s:t>hợp môn cụ thể（特定の科目の場合）</s:t>
          </s:r>
          <s:r>
            <s:t xml:space="preserve"> = Toán, Kèm ngoặc; đỏ = [※] trước → xem S01 (Toán, Đỏ).</s:t>
          </s:r>
        </s:is>
      </s:c>
      <s:c r="C19051" s="28" t="n"/>
      <s:c r="D19051" s="28" t="n"/>
      <s:c r="E19051" s="28" t="n"/>
    </s:row>
    <s:row r="19052" ht="34" customHeight="1">
      <s:c r="A19052" s="112" t="inlineStr">
        <s:is>
          <s:t>•</s:t>
        </s:is>
      </s:c>
      <s:c r="B19052" s="113" t="inlineStr">
        <s:is>
          <s:r>
            <s:t xml:space="preserve">(G) Tạm gắn thêm </s:t>
          </s:r>
          <s:r>
            <s:rPr>
              <s:b val="1"/>
            </s:rPr>
            <s:t>cờ Chưa dự thi（未受験）</s:t>
          </s:r>
          <s:r>
            <s:t xml:space="preserve"> cho S06; Dự kiến = Nguyên trạng, Chưa </s:t>
          </s:r>
          <s:r>
            <s:rPr>
              <s:b val="1"/>
            </s:rPr>
            <s:t>dự thi = Ẩn（表示しない）</s:t>
          </s:r>
          <s:r>
            <s:t>; đỏ = [※] trước → xem S06.</s:t>
          </s:r>
        </s:is>
      </s:c>
      <s:c r="C19052" s="28" t="n"/>
      <s:c r="D19052" s="28" t="n"/>
      <s:c r="E19052" s="28" t="n"/>
    </s:row>
    <s:row r="19053" ht="28" customHeight="1">
      <s:c r="A19053" s="115" t="inlineStr">
        <s:is>
          <s:t>Trường hợp</s:t>
        </s:is>
      </s:c>
      <s:c r="B19053" s="115" t="inlineStr">
        <s:is>
          <s:t>Dữ liệu / thao tác riêng</s:t>
        </s:is>
      </s:c>
      <s:c r="C19053" s="115" t="inlineStr">
        <s:is>
          <s:t>Kết quả mong đợi</s:t>
        </s:is>
      </s:c>
      <s:c r="D19053" s="115" t="inlineStr">
        <s:is>
          <s:t>Kết quả thực tế</s:t>
        </s:is>
      </s:c>
      <s:c r="E19053" s="115" t="inlineStr">
        <s:is>
          <s:t>Đánh giá</s:t>
        </s:is>
      </s:c>
    </s:row>
    <s:row r="19054" ht="3" customHeight="1">
      <s:c r="A19054" s="102" t="inlineStr"/>
      <s:c r="B19054" s="99" t="n"/>
      <s:c r="C19054" s="99" t="n"/>
      <s:c r="D19054" s="116" t="n"/>
      <s:c r="E19054" s="116" t="n"/>
    </s:row>
    <s:row r="19055" ht="48" customHeight="1">
      <s:c r="A19055" s="83" t="inlineStr">
        <s:is>
          <s:t>Dự kiến kèm ngoặc (a)</s:t>
        </s:is>
      </s:c>
      <s:c r="B19055" s="83" t="inlineStr">
        <s:is>
          <s:r>
            <s:t xml:space="preserve">S06=24; Dự kiến=Kèm ngoặc, đỏ=[※] trước. </s:t>
          </s:r>
          <s:r>
            <s:rPr>
              <s:b val="1"/>
            </s:rPr>
            <s:t>Bấm Cập nhật（更新する）</s:t>
          </s:r>
          <s:r>
            <s:t xml:space="preserve"> và xuất PDF.</s:t>
          </s:r>
        </s:is>
      </s:c>
      <s:c r="C19055" s="83" t="inlineStr">
        <s:is>
          <s:t>[(24)], không thêm [※].</s:t>
        </s:is>
      </s:c>
      <s:c r="D19055" s="117" t="inlineStr"/>
      <s:c r="E19055" s="118" t="inlineStr">
        <s:is>
          <s:t>Chưa thực hiện</s:t>
        </s:is>
      </s:c>
    </s:row>
    <s:row r="19056" ht="3" customHeight="1">
      <s:c r="A19056" s="102" t="inlineStr"/>
      <s:c r="B19056" s="99" t="n"/>
      <s:c r="C19056" s="99" t="n"/>
      <s:c r="D19056" s="116" t="n"/>
      <s:c r="E19056" s="116" t="n"/>
    </s:row>
    <s:row r="19057" ht="48" customHeight="1">
      <s:c r="A19057" s="83" t="inlineStr">
        <s:is>
          <s:t>Dự kiến giữ nguyên (b)</s:t>
        </s:is>
      </s:c>
      <s:c r="B19057" s="83" t="inlineStr">
        <s:is>
          <s:r>
            <s:t xml:space="preserve">S06=24; Dự kiến=Nguyên trạng, đỏ=[※] trước. </s:t>
          </s:r>
          <s:r>
            <s:rPr>
              <s:b val="1"/>
            </s:rPr>
            <s:t>Bấm Cập nhật（更新する）</s:t>
          </s:r>
          <s:r>
            <s:t xml:space="preserve"> và xuất PDF.</s:t>
          </s:r>
        </s:is>
      </s:c>
      <s:c r="C19057" s="83" t="inlineStr">
        <s:is>
          <s:t>[24]; không chuyển xuống điều kiện đỏ.</s:t>
        </s:is>
      </s:c>
      <s:c r="D19057" s="117" t="inlineStr"/>
      <s:c r="E19057" s="118" t="inlineStr">
        <s:is>
          <s:t>Chưa thực hiện</s:t>
        </s:is>
      </s:c>
    </s:row>
    <s:row r="19058" ht="3" customHeight="1">
      <s:c r="A19058" s="102" t="inlineStr"/>
      <s:c r="B19058" s="99" t="n"/>
      <s:c r="C19058" s="99" t="n"/>
      <s:c r="D19058" s="116" t="n"/>
      <s:c r="E19058" s="116" t="n"/>
    </s:row>
    <s:row r="19059" ht="48" customHeight="1">
      <s:c r="A19059" s="83" t="inlineStr">
        <s:is>
          <s:t>Dự kiến ẩn (c-hidden)</s:t>
        </s:is>
      </s:c>
      <s:c r="B19059" s="83" t="inlineStr">
        <s:is>
          <s:r>
            <s:t xml:space="preserve">S06=24; </s:t>
          </s:r>
          <s:r>
            <s:rPr>
              <s:b val="1"/>
            </s:rPr>
            <s:t>Dự kiến=Ẩn（表示しない）</s:t>
          </s:r>
          <s:r>
            <s:t xml:space="preserve">, đỏ=[※] trước. </s:t>
          </s:r>
          <s:r>
            <s:rPr>
              <s:b val="1"/>
            </s:rPr>
            <s:t>Bấm Cập nhật（更新する）</s:t>
          </s:r>
          <s:r>
            <s:t xml:space="preserve"> và xuất PDF.</s:t>
          </s:r>
        </s:is>
      </s:c>
      <s:c r="C19059" s="83" t="inlineStr">
        <s:is>
          <s:t>Giữ ẩn, điều kiện đỏ không làm hiện lại điểm.</s:t>
        </s:is>
      </s:c>
      <s:c r="D19059" s="117" t="inlineStr"/>
      <s:c r="E19059" s="118" t="inlineStr">
        <s:is>
          <s:t>Chưa thực hiện</s:t>
        </s:is>
      </s:c>
    </s:row>
    <s:row r="19060" ht="3" customHeight="1">
      <s:c r="A19060" s="102" t="inlineStr"/>
      <s:c r="B19060" s="99" t="n"/>
      <s:c r="C19060" s="99" t="n"/>
      <s:c r="D19060" s="116" t="n"/>
      <s:c r="E19060" s="116" t="n"/>
    </s:row>
    <s:row r="19061" ht="48" customHeight="1">
      <s:c r="A19061" s="83" t="inlineStr">
        <s:is>
          <s:t>Dự kiến gạch chéo (c-slash)</s:t>
        </s:is>
      </s:c>
      <s:c r="B19061" s="83" t="inlineStr">
        <s:is>
          <s:r>
            <s:t xml:space="preserve">S06=24; </s:t>
          </s:r>
          <s:r>
            <s:rPr>
              <s:b val="1"/>
            </s:rPr>
            <s:t>Dự kiến=Gạch chéo（斜線）</s:t>
          </s:r>
          <s:r>
            <s:t xml:space="preserve">, đỏ=[※] trước. </s:t>
          </s:r>
          <s:r>
            <s:rPr>
              <s:b val="1"/>
            </s:rPr>
            <s:t>Bấm Cập nhật（更新する）</s:t>
          </s:r>
          <s:r>
            <s:t xml:space="preserve"> và xuất PDF.</s:t>
          </s:r>
        </s:is>
      </s:c>
      <s:c r="C19061" s="83" t="inlineStr">
        <s:is>
          <s:t>Giữ gạch chéo, điều kiện đỏ không làm hiện lại điểm.</s:t>
        </s:is>
      </s:c>
      <s:c r="D19061" s="117" t="inlineStr"/>
      <s:c r="E19061" s="118" t="inlineStr">
        <s:is>
          <s:t>Chưa thực hiện</s:t>
        </s:is>
      </s:c>
    </s:row>
    <s:row r="19062" ht="3" customHeight="1">
      <s:c r="A19062" s="102" t="inlineStr"/>
      <s:c r="B19062" s="99" t="n"/>
      <s:c r="C19062" s="99" t="n"/>
      <s:c r="D19062" s="116" t="n"/>
      <s:c r="E19062" s="116" t="n"/>
    </s:row>
    <s:row r="19063" ht="48" customHeight="1">
      <s:c r="A19063" s="83" t="inlineStr">
        <s:is>
          <s:t>Chỉ điều kiện đỏ khớp (d)</s:t>
        </s:is>
      </s:c>
      <s:c r="B19063" s="83" t="inlineStr">
        <s:is>
          <s:r>
            <s:t xml:space="preserve">S01=29; không điều kiện phía trên khớp, đỏ=[※] trước. </s:t>
          </s:r>
          <s:r>
            <s:rPr>
              <s:b val="1"/>
            </s:rPr>
            <s:t>Bấm Cập nhật（更新する）</s:t>
          </s:r>
          <s:r>
            <s:t xml:space="preserve"> và xuất PDF.</s:t>
          </s:r>
        </s:is>
      </s:c>
      <s:c r="C19063" s="83" t="inlineStr">
        <s:is>
          <s:t>[※29].</s:t>
        </s:is>
      </s:c>
      <s:c r="D19063" s="117" t="inlineStr"/>
      <s:c r="E19063" s="118" t="inlineStr">
        <s:is>
          <s:t>Chưa thực hiện</s:t>
        </s:is>
      </s:c>
    </s:row>
    <s:row r="19064" ht="3" customHeight="1">
      <s:c r="A19064" s="102" t="inlineStr"/>
      <s:c r="B19064" s="99" t="n"/>
      <s:c r="C19064" s="99" t="n"/>
      <s:c r="D19064" s="116" t="n"/>
      <s:c r="E19064" s="116" t="n"/>
    </s:row>
    <s:row r="19065" ht="48" customHeight="1">
      <s:c r="A19065" s="83" t="inlineStr">
        <s:is>
          <s:t>Ô trống từng Đỏ (e)</s:t>
        </s:is>
      </s:c>
      <s:c r="B19065" s="83" t="inlineStr">
        <s:is>
          <s:r>
            <s:t xml:space="preserve">S05 trống; </s:t>
          </s:r>
          <s:r>
            <s:rPr>
              <s:b val="1"/>
            </s:rPr>
            <s:t>Ô trống（空欄の場合）</s:t>
          </s:r>
          <s:r>
            <s:t xml:space="preserve">=Kèm ngoặc, đỏ=[※] trước. </s:t>
          </s:r>
          <s:r>
            <s:rPr>
              <s:b val="1"/>
            </s:rPr>
            <s:t>Bấm Cập nhật（更新する）</s:t>
          </s:r>
          <s:r>
            <s:t xml:space="preserve"> và xuất PDF.</s:t>
          </s:r>
        </s:is>
      </s:c>
      <s:c r="C19065" s="83" t="inlineStr">
        <s:is>
          <s:t>Không áp dấu đỏ của kết quả cũ; ô trống hiển thị theo cấu hình ô trống.</s:t>
        </s:is>
      </s:c>
      <s:c r="D19065" s="117" t="inlineStr"/>
      <s:c r="E19065" s="118" t="inlineStr">
        <s:is>
          <s:t>Chưa thực hiện</s:t>
        </s:is>
      </s:c>
    </s:row>
    <s:row r="19066" ht="3" customHeight="1">
      <s:c r="A19066" s="102" t="inlineStr"/>
      <s:c r="B19066" s="99" t="n"/>
      <s:c r="C19066" s="99" t="n"/>
      <s:c r="D19066" s="116" t="n"/>
      <s:c r="E19066" s="116" t="n"/>
    </s:row>
    <s:row r="19067" ht="62" customHeight="1">
      <s:c r="A19067" s="83" t="inlineStr">
        <s:is>
          <s:t>Điều kiện môn cụ thể thắng (f)</s:t>
        </s:is>
      </s:c>
      <s:c r="B19067" s="83" t="inlineStr">
        <s:is>
          <s:r>
            <s:t xml:space="preserve">S01/Toán=29 Đỏ; Trường </s:t>
          </s:r>
          <s:r>
            <s:rPr>
              <s:b val="1"/>
            </s:rPr>
            <s:t>hợp môn cụ thể（特定の科目の場合）</s:t>
          </s:r>
          <s:r>
            <s:t xml:space="preserve">=Toán/Kèm ngoặc, đỏ=[※] trước. </s:t>
          </s:r>
          <s:r>
            <s:rPr>
              <s:b val="1"/>
            </s:rPr>
            <s:t>Bấm Cập nhật（更新する）</s:t>
          </s:r>
          <s:r>
            <s:t xml:space="preserve"> và xuất PDF.</s:t>
          </s:r>
        </s:is>
      </s:c>
      <s:c r="C19067" s="83" t="inlineStr">
        <s:is>
          <s:t>[(29)]; điều kiện môn cụ thể thắng, không thêm [※].</s:t>
        </s:is>
      </s:c>
      <s:c r="D19067" s="117" t="inlineStr"/>
      <s:c r="E19067" s="118" t="inlineStr">
        <s:is>
          <s:t>Chưa thực hiện</s:t>
        </s:is>
      </s:c>
    </s:row>
    <s:row r="19068" ht="3" customHeight="1">
      <s:c r="A19068" s="102" t="inlineStr"/>
      <s:c r="B19068" s="99" t="n"/>
      <s:c r="C19068" s="99" t="n"/>
      <s:c r="D19068" s="116" t="n"/>
      <s:c r="E19068" s="116" t="n"/>
    </s:row>
    <s:row r="19069" ht="76" customHeight="1">
      <s:c r="A19069" s="83" t="inlineStr">
        <s:is>
          <s:t>Nguyên trạng dừng xét điều kiện sau (g)</s:t>
        </s:is>
      </s:c>
      <s:c r="B19069" s="83" t="inlineStr">
        <s:is>
          <s:r>
            <s:t xml:space="preserve">S06=24, thêm </s:t>
          </s:r>
          <s:r>
            <s:rPr>
              <s:b val="1"/>
            </s:rPr>
            <s:t>cờ Chưa dự thi（未受験）</s:t>
          </s:r>
          <s:r>
            <s:t xml:space="preserve">; Dự kiến=Nguyên trạng, </s:t>
          </s:r>
          <s:r>
            <s:rPr>
              <s:b val="1"/>
            </s:rPr>
            <s:t>Chưa dự thi=Ẩn（表示しない）</s:t>
          </s:r>
          <s:r>
            <s:t xml:space="preserve">, đỏ=[※] trước. </s:t>
          </s:r>
          <s:r>
            <s:rPr>
              <s:b val="1"/>
            </s:rPr>
            <s:t>Bấm Cập nhật（更新する）</s:t>
          </s:r>
          <s:r>
            <s:t xml:space="preserve"> và xuất PDF.</s:t>
          </s:r>
        </s:is>
      </s:c>
      <s:c r="C19069" s="83" t="inlineStr">
        <s:is>
          <s:t>[24]; Nguyên trạng ở dòng dự kiến dừng xét, không áp Ẩn của dòng chưa dự thi phía sau.</s:t>
        </s:is>
      </s:c>
      <s:c r="D19069" s="117" t="inlineStr"/>
      <s:c r="E19069" s="118" t="inlineStr">
        <s:is>
          <s:t>Chưa thực hiện</s:t>
        </s:is>
      </s:c>
    </s:row>
    <s:row r="19070" ht="20" customHeight="1">
      <s:c r="A19070" s="119" t="inlineStr">
        <s:is>
          <s:t>Ảnh minh chứng — Chưa có ảnh</s:t>
        </s:is>
      </s:c>
      <s:c r="B19070" s="19" t="n"/>
      <s:c r="C19070" s="19" t="n"/>
      <s:c r="D19070" s="19" t="n"/>
      <s:c r="E19070" s="19" t="n"/>
    </s:row>
    <s:row r="19071" hidden="1" ht="1" customHeight="1">
      <s:c r="A19071" s="120" t="inlineStr"/>
      <s:c r="B19071" s="121" t="n"/>
      <s:c r="C19071" s="121" t="n"/>
      <s:c r="D19071" s="121" t="n"/>
      <s:c r="E19071" s="122" t="n"/>
    </s:row>
    <s:row r="19072" hidden="1" ht="1" customHeight="1">
      <s:c r="A19072" s="120" t="inlineStr"/>
      <s:c r="B19072" s="121" t="n"/>
      <s:c r="C19072" s="121" t="n"/>
      <s:c r="D19072" s="121" t="n"/>
      <s:c r="E19072" s="122" t="n"/>
    </s:row>
    <s:row r="19073" hidden="1" ht="1" customHeight="1">
      <s:c r="A19073" s="120" t="inlineStr"/>
      <s:c r="B19073" s="121" t="n"/>
      <s:c r="C19073" s="121" t="n"/>
      <s:c r="D19073" s="121" t="n"/>
      <s:c r="E19073" s="122" t="n"/>
    </s:row>
    <s:row r="19074" hidden="1" ht="1" customHeight="1">
      <s:c r="A19074" s="120" t="inlineStr"/>
      <s:c r="B19074" s="121" t="n"/>
      <s:c r="C19074" s="121" t="n"/>
      <s:c r="D19074" s="121" t="n"/>
      <s:c r="E19074" s="122" t="n"/>
    </s:row>
    <s:row r="19075" hidden="1" ht="1" customHeight="1">
      <s:c r="A19075" s="120" t="inlineStr"/>
      <s:c r="B19075" s="121" t="n"/>
      <s:c r="C19075" s="121" t="n"/>
      <s:c r="D19075" s="121" t="n"/>
      <s:c r="E19075" s="122" t="n"/>
    </s:row>
    <s:row r="19076" hidden="1" ht="1" customHeight="1">
      <s:c r="A19076" s="120" t="inlineStr"/>
      <s:c r="B19076" s="121" t="n"/>
      <s:c r="C19076" s="121" t="n"/>
      <s:c r="D19076" s="121" t="n"/>
      <s:c r="E19076" s="122" t="n"/>
    </s:row>
    <s:row r="19077" hidden="1" ht="1" customHeight="1">
      <s:c r="A19077" s="120" t="inlineStr"/>
      <s:c r="B19077" s="121" t="n"/>
      <s:c r="C19077" s="121" t="n"/>
      <s:c r="D19077" s="121" t="n"/>
      <s:c r="E19077" s="122" t="n"/>
    </s:row>
    <s:row r="19078" hidden="1" ht="1" customHeight="1">
      <s:c r="A19078" s="120" t="inlineStr"/>
      <s:c r="B19078" s="121" t="n"/>
      <s:c r="C19078" s="121" t="n"/>
      <s:c r="D19078" s="121" t="n"/>
      <s:c r="E19078" s="122" t="n"/>
    </s:row>
    <s:row r="19079" hidden="1" ht="1" customHeight="1">
      <s:c r="A19079" s="120" t="inlineStr"/>
      <s:c r="B19079" s="121" t="n"/>
      <s:c r="C19079" s="121" t="n"/>
      <s:c r="D19079" s="121" t="n"/>
      <s:c r="E19079" s="122" t="n"/>
    </s:row>
    <s:row r="19080" hidden="1" ht="1" customHeight="1">
      <s:c r="A19080" s="120" t="inlineStr"/>
      <s:c r="B19080" s="121" t="n"/>
      <s:c r="C19080" s="121" t="n"/>
      <s:c r="D19080" s="121" t="n"/>
      <s:c r="E19080" s="122" t="n"/>
    </s:row>
    <s:row r="19081" hidden="1" ht="1" customHeight="1">
      <s:c r="A19081" s="120" t="inlineStr"/>
      <s:c r="B19081" s="121" t="n"/>
      <s:c r="C19081" s="121" t="n"/>
      <s:c r="D19081" s="121" t="n"/>
      <s:c r="E19081" s="122" t="n"/>
    </s:row>
    <s:row r="19082" hidden="1" ht="1" customHeight="1">
      <s:c r="A19082" s="120" t="inlineStr"/>
      <s:c r="B19082" s="121" t="n"/>
      <s:c r="C19082" s="121" t="n"/>
      <s:c r="D19082" s="121" t="n"/>
      <s:c r="E19082" s="122" t="n"/>
    </s:row>
    <s:row r="19083" hidden="1" ht="1" customHeight="1">
      <s:c r="A19083" s="120" t="inlineStr"/>
      <s:c r="B19083" s="121" t="n"/>
      <s:c r="C19083" s="121" t="n"/>
      <s:c r="D19083" s="121" t="n"/>
      <s:c r="E19083" s="122" t="n"/>
    </s:row>
    <s:row r="19084" hidden="1" ht="1" customHeight="1">
      <s:c r="A19084" s="120" t="inlineStr"/>
      <s:c r="B19084" s="121" t="n"/>
      <s:c r="C19084" s="121" t="n"/>
      <s:c r="D19084" s="121" t="n"/>
      <s:c r="E19084" s="122" t="n"/>
    </s:row>
    <s:row r="19085" hidden="1" ht="1" customHeight="1">
      <s:c r="A19085" s="120" t="inlineStr"/>
      <s:c r="B19085" s="121" t="n"/>
      <s:c r="C19085" s="121" t="n"/>
      <s:c r="D19085" s="121" t="n"/>
      <s:c r="E19085" s="122" t="n"/>
    </s:row>
    <s:row r="19086" hidden="1" ht="1" customHeight="1">
      <s:c r="A19086" s="120" t="inlineStr"/>
      <s:c r="B19086" s="121" t="n"/>
      <s:c r="C19086" s="121" t="n"/>
      <s:c r="D19086" s="121" t="n"/>
      <s:c r="E19086" s="122" t="n"/>
    </s:row>
    <s:row r="19087" hidden="1" ht="1" customHeight="1">
      <s:c r="A19087" s="120" t="inlineStr"/>
      <s:c r="B19087" s="121" t="n"/>
      <s:c r="C19087" s="121" t="n"/>
      <s:c r="D19087" s="121" t="n"/>
      <s:c r="E19087" s="122" t="n"/>
    </s:row>
    <s:row r="19088" hidden="1" ht="1" customHeight="1">
      <s:c r="A19088" s="120" t="inlineStr"/>
      <s:c r="B19088" s="121" t="n"/>
      <s:c r="C19088" s="121" t="n"/>
      <s:c r="D19088" s="121" t="n"/>
      <s:c r="E19088" s="122" t="n"/>
    </s:row>
    <s:row r="19089" hidden="1" ht="1" customHeight="1">
      <s:c r="A19089" s="120" t="inlineStr"/>
      <s:c r="B19089" s="121" t="n"/>
      <s:c r="C19089" s="121" t="n"/>
      <s:c r="D19089" s="121" t="n"/>
      <s:c r="E19089" s="122" t="n"/>
    </s:row>
    <s:row r="19090" hidden="1" ht="1" customHeight="1">
      <s:c r="A19090" s="120" t="inlineStr"/>
      <s:c r="B19090" s="121" t="n"/>
      <s:c r="C19090" s="121" t="n"/>
      <s:c r="D19090" s="121" t="n"/>
      <s:c r="E19090" s="122" t="n"/>
    </s:row>
    <s:row r="19091" hidden="1" ht="1" customHeight="1">
      <s:c r="A19091" s="120" t="inlineStr"/>
      <s:c r="B19091" s="121" t="n"/>
      <s:c r="C19091" s="121" t="n"/>
      <s:c r="D19091" s="121" t="n"/>
      <s:c r="E19091" s="122" t="n"/>
    </s:row>
    <s:row r="19092" hidden="1" ht="1" customHeight="1">
      <s:c r="A19092" s="120" t="inlineStr"/>
      <s:c r="B19092" s="121" t="n"/>
      <s:c r="C19092" s="121" t="n"/>
      <s:c r="D19092" s="121" t="n"/>
      <s:c r="E19092" s="122" t="n"/>
    </s:row>
    <s:row r="19093" hidden="1" ht="1" customHeight="1">
      <s:c r="A19093" s="120" t="inlineStr"/>
      <s:c r="B19093" s="121" t="n"/>
      <s:c r="C19093" s="121" t="n"/>
      <s:c r="D19093" s="121" t="n"/>
      <s:c r="E19093" s="122" t="n"/>
    </s:row>
    <s:row r="19094" hidden="1" ht="1" customHeight="1">
      <s:c r="A19094" s="120" t="inlineStr"/>
      <s:c r="B19094" s="121" t="n"/>
      <s:c r="C19094" s="121" t="n"/>
      <s:c r="D19094" s="121" t="n"/>
      <s:c r="E19094" s="122" t="n"/>
    </s:row>
    <s:row r="19095" hidden="1" ht="1" customHeight="1">
      <s:c r="A19095" s="120" t="inlineStr"/>
      <s:c r="B19095" s="121" t="n"/>
      <s:c r="C19095" s="121" t="n"/>
      <s:c r="D19095" s="121" t="n"/>
      <s:c r="E19095" s="122" t="n"/>
    </s:row>
    <s:row r="19096" hidden="1" ht="1" customHeight="1">
      <s:c r="A19096" s="120" t="inlineStr"/>
      <s:c r="B19096" s="121" t="n"/>
      <s:c r="C19096" s="121" t="n"/>
      <s:c r="D19096" s="121" t="n"/>
      <s:c r="E19096" s="122" t="n"/>
    </s:row>
    <s:row r="19097" hidden="1" ht="1" customHeight="1">
      <s:c r="A19097" s="120" t="inlineStr"/>
      <s:c r="B19097" s="121" t="n"/>
      <s:c r="C19097" s="121" t="n"/>
      <s:c r="D19097" s="121" t="n"/>
      <s:c r="E19097" s="122" t="n"/>
    </s:row>
    <s:row r="19098" hidden="1" ht="1" customHeight="1">
      <s:c r="A19098" s="120" t="inlineStr"/>
      <s:c r="B19098" s="121" t="n"/>
      <s:c r="C19098" s="121" t="n"/>
      <s:c r="D19098" s="121" t="n"/>
      <s:c r="E19098" s="122" t="n"/>
    </s:row>
    <s:row r="19099" hidden="1" ht="1" customHeight="1">
      <s:c r="A19099" s="120" t="inlineStr"/>
      <s:c r="B19099" s="121" t="n"/>
      <s:c r="C19099" s="121" t="n"/>
      <s:c r="D19099" s="121" t="n"/>
      <s:c r="E19099" s="122" t="n"/>
    </s:row>
    <s:row r="19100" hidden="1" ht="1" customHeight="1">
      <s:c r="A19100" s="120" t="inlineStr"/>
      <s:c r="B19100" s="121" t="n"/>
      <s:c r="C19100" s="121" t="n"/>
      <s:c r="D19100" s="121" t="n"/>
      <s:c r="E19100" s="122" t="n"/>
    </s:row>
    <s:row r="19101" hidden="1" ht="1" customHeight="1">
      <s:c r="A19101" s="120" t="inlineStr"/>
      <s:c r="B19101" s="121" t="n"/>
      <s:c r="C19101" s="121" t="n"/>
      <s:c r="D19101" s="121" t="n"/>
      <s:c r="E19101" s="122" t="n"/>
    </s:row>
    <s:row r="19102" hidden="1" ht="1" customHeight="1">
      <s:c r="A19102" s="120" t="inlineStr"/>
      <s:c r="B19102" s="121" t="n"/>
      <s:c r="C19102" s="121" t="n"/>
      <s:c r="D19102" s="121" t="n"/>
      <s:c r="E19102" s="122" t="n"/>
    </s:row>
    <s:row r="19103" hidden="1" ht="1" customHeight="1">
      <s:c r="A19103" s="120" t="inlineStr"/>
      <s:c r="B19103" s="121" t="n"/>
      <s:c r="C19103" s="121" t="n"/>
      <s:c r="D19103" s="121" t="n"/>
      <s:c r="E19103" s="122" t="n"/>
    </s:row>
    <s:row r="19104" hidden="1" ht="1" customHeight="1">
      <s:c r="A19104" s="120" t="inlineStr"/>
      <s:c r="B19104" s="121" t="n"/>
      <s:c r="C19104" s="121" t="n"/>
      <s:c r="D19104" s="121" t="n"/>
      <s:c r="E19104" s="122" t="n"/>
    </s:row>
    <s:row r="19105" hidden="1" ht="1" customHeight="1">
      <s:c r="A19105" s="120" t="inlineStr"/>
      <s:c r="B19105" s="121" t="n"/>
      <s:c r="C19105" s="121" t="n"/>
      <s:c r="D19105" s="121" t="n"/>
      <s:c r="E19105" s="122" t="n"/>
    </s:row>
    <s:row r="19106" hidden="1" ht="1" customHeight="1">
      <s:c r="A19106" s="120" t="inlineStr"/>
      <s:c r="B19106" s="121" t="n"/>
      <s:c r="C19106" s="121" t="n"/>
      <s:c r="D19106" s="121" t="n"/>
      <s:c r="E19106" s="122" t="n"/>
    </s:row>
    <s:row r="19107" hidden="1" ht="1" customHeight="1">
      <s:c r="A19107" s="120" t="inlineStr"/>
      <s:c r="B19107" s="121" t="n"/>
      <s:c r="C19107" s="121" t="n"/>
      <s:c r="D19107" s="121" t="n"/>
      <s:c r="E19107" s="122" t="n"/>
    </s:row>
    <s:row r="19108" hidden="1" ht="1" customHeight="1">
      <s:c r="A19108" s="120" t="inlineStr"/>
      <s:c r="B19108" s="121" t="n"/>
      <s:c r="C19108" s="121" t="n"/>
      <s:c r="D19108" s="121" t="n"/>
      <s:c r="E19108" s="122" t="n"/>
    </s:row>
    <s:row r="19109" hidden="1" ht="1" customHeight="1">
      <s:c r="A19109" s="120" t="inlineStr"/>
      <s:c r="B19109" s="121" t="n"/>
      <s:c r="C19109" s="121" t="n"/>
      <s:c r="D19109" s="121" t="n"/>
      <s:c r="E19109" s="122" t="n"/>
    </s:row>
    <s:row r="19110" hidden="1" ht="1" customHeight="1">
      <s:c r="A19110" s="120" t="inlineStr"/>
      <s:c r="B19110" s="121" t="n"/>
      <s:c r="C19110" s="121" t="n"/>
      <s:c r="D19110" s="121" t="n"/>
      <s:c r="E19110" s="122" t="n"/>
    </s:row>
    <s:row r="19111" hidden="1" ht="1" customHeight="1">
      <s:c r="A19111" s="120" t="inlineStr"/>
      <s:c r="B19111" s="121" t="n"/>
      <s:c r="C19111" s="121" t="n"/>
      <s:c r="D19111" s="121" t="n"/>
      <s:c r="E19111" s="122" t="n"/>
    </s:row>
    <s:row r="19112" hidden="1" ht="1" customHeight="1">
      <s:c r="A19112" s="120" t="inlineStr"/>
      <s:c r="B19112" s="121" t="n"/>
      <s:c r="C19112" s="121" t="n"/>
      <s:c r="D19112" s="121" t="n"/>
      <s:c r="E19112" s="122" t="n"/>
    </s:row>
    <s:row r="19113" hidden="1" ht="1" customHeight="1">
      <s:c r="A19113" s="120" t="inlineStr"/>
      <s:c r="B19113" s="121" t="n"/>
      <s:c r="C19113" s="121" t="n"/>
      <s:c r="D19113" s="121" t="n"/>
      <s:c r="E19113" s="122" t="n"/>
    </s:row>
    <s:row r="19114" hidden="1" ht="1" customHeight="1">
      <s:c r="A19114" s="120" t="inlineStr"/>
      <s:c r="B19114" s="121" t="n"/>
      <s:c r="C19114" s="121" t="n"/>
      <s:c r="D19114" s="121" t="n"/>
      <s:c r="E19114" s="122" t="n"/>
    </s:row>
    <s:row r="19115" hidden="1" ht="1" customHeight="1">
      <s:c r="A19115" s="120" t="inlineStr"/>
      <s:c r="B19115" s="121" t="n"/>
      <s:c r="C19115" s="121" t="n"/>
      <s:c r="D19115" s="121" t="n"/>
      <s:c r="E19115" s="122" t="n"/>
    </s:row>
    <s:row r="19116" hidden="1" ht="1" customHeight="1">
      <s:c r="A19116" s="120" t="inlineStr"/>
      <s:c r="B19116" s="121" t="n"/>
      <s:c r="C19116" s="121" t="n"/>
      <s:c r="D19116" s="121" t="n"/>
      <s:c r="E19116" s="122" t="n"/>
    </s:row>
    <s:row r="19117" hidden="1" ht="1" customHeight="1">
      <s:c r="A19117" s="120" t="inlineStr"/>
      <s:c r="B19117" s="121" t="n"/>
      <s:c r="C19117" s="121" t="n"/>
      <s:c r="D19117" s="121" t="n"/>
      <s:c r="E19117" s="122" t="n"/>
    </s:row>
    <s:row r="19118" hidden="1" ht="1" customHeight="1">
      <s:c r="A19118" s="120" t="inlineStr"/>
      <s:c r="B19118" s="121" t="n"/>
      <s:c r="C19118" s="121" t="n"/>
      <s:c r="D19118" s="121" t="n"/>
      <s:c r="E19118" s="122" t="n"/>
    </s:row>
    <s:row r="19119" hidden="1" ht="1" customHeight="1">
      <s:c r="A19119" s="120" t="inlineStr"/>
      <s:c r="B19119" s="121" t="n"/>
      <s:c r="C19119" s="121" t="n"/>
      <s:c r="D19119" s="121" t="n"/>
      <s:c r="E19119" s="122" t="n"/>
    </s:row>
    <s:row r="19120" hidden="1" ht="1" customHeight="1">
      <s:c r="A19120" s="120" t="inlineStr"/>
      <s:c r="B19120" s="121" t="n"/>
      <s:c r="C19120" s="121" t="n"/>
      <s:c r="D19120" s="121" t="n"/>
      <s:c r="E19120" s="122" t="n"/>
    </s:row>
    <s:row r="19121" hidden="1" ht="1" customHeight="1">
      <s:c r="A19121" s="120" t="inlineStr"/>
      <s:c r="B19121" s="121" t="n"/>
      <s:c r="C19121" s="121" t="n"/>
      <s:c r="D19121" s="121" t="n"/>
      <s:c r="E19121" s="122" t="n"/>
    </s:row>
    <s:row r="19122" hidden="1" ht="1" customHeight="1">
      <s:c r="A19122" s="120" t="inlineStr"/>
      <s:c r="B19122" s="121" t="n"/>
      <s:c r="C19122" s="121" t="n"/>
      <s:c r="D19122" s="121" t="n"/>
      <s:c r="E19122" s="122" t="n"/>
    </s:row>
    <s:row r="19123" hidden="1" ht="1" customHeight="1">
      <s:c r="A19123" s="120" t="inlineStr"/>
      <s:c r="B19123" s="121" t="n"/>
      <s:c r="C19123" s="121" t="n"/>
      <s:c r="D19123" s="121" t="n"/>
      <s:c r="E19123" s="122" t="n"/>
    </s:row>
    <s:row r="19124" hidden="1" ht="1" customHeight="1">
      <s:c r="A19124" s="120" t="inlineStr"/>
      <s:c r="B19124" s="121" t="n"/>
      <s:c r="C19124" s="121" t="n"/>
      <s:c r="D19124" s="121" t="n"/>
      <s:c r="E19124" s="122" t="n"/>
    </s:row>
    <s:row r="19125" hidden="1" ht="1" customHeight="1">
      <s:c r="A19125" s="120" t="inlineStr"/>
      <s:c r="B19125" s="121" t="n"/>
      <s:c r="C19125" s="121" t="n"/>
      <s:c r="D19125" s="121" t="n"/>
      <s:c r="E19125" s="122" t="n"/>
    </s:row>
    <s:row r="19126" hidden="1" ht="1" customHeight="1">
      <s:c r="A19126" s="120" t="inlineStr"/>
      <s:c r="B19126" s="121" t="n"/>
      <s:c r="C19126" s="121" t="n"/>
      <s:c r="D19126" s="121" t="n"/>
      <s:c r="E19126" s="122" t="n"/>
    </s:row>
    <s:row r="19127" hidden="1" ht="1" customHeight="1">
      <s:c r="A19127" s="120" t="inlineStr"/>
      <s:c r="B19127" s="121" t="n"/>
      <s:c r="C19127" s="121" t="n"/>
      <s:c r="D19127" s="121" t="n"/>
      <s:c r="E19127" s="122" t="n"/>
    </s:row>
    <s:row r="19128" hidden="1" ht="1" customHeight="1">
      <s:c r="A19128" s="120" t="inlineStr"/>
      <s:c r="B19128" s="121" t="n"/>
      <s:c r="C19128" s="121" t="n"/>
      <s:c r="D19128" s="121" t="n"/>
      <s:c r="E19128" s="122" t="n"/>
    </s:row>
    <s:row r="19129" hidden="1" ht="1" customHeight="1">
      <s:c r="A19129" s="120" t="inlineStr"/>
      <s:c r="B19129" s="121" t="n"/>
      <s:c r="C19129" s="121" t="n"/>
      <s:c r="D19129" s="121" t="n"/>
      <s:c r="E19129" s="122" t="n"/>
    </s:row>
    <s:row r="19130" hidden="1" ht="1" customHeight="1">
      <s:c r="A19130" s="120" t="inlineStr"/>
      <s:c r="B19130" s="121" t="n"/>
      <s:c r="C19130" s="121" t="n"/>
      <s:c r="D19130" s="121" t="n"/>
      <s:c r="E19130" s="122" t="n"/>
    </s:row>
    <s:row r="19131" hidden="1" ht="1" customHeight="1">
      <s:c r="A19131" s="120" t="inlineStr"/>
      <s:c r="B19131" s="121" t="n"/>
      <s:c r="C19131" s="121" t="n"/>
      <s:c r="D19131" s="121" t="n"/>
      <s:c r="E19131" s="122" t="n"/>
    </s:row>
    <s:row r="19132" hidden="1" ht="1" customHeight="1">
      <s:c r="A19132" s="120" t="inlineStr"/>
      <s:c r="B19132" s="121" t="n"/>
      <s:c r="C19132" s="121" t="n"/>
      <s:c r="D19132" s="121" t="n"/>
      <s:c r="E19132" s="122" t="n"/>
    </s:row>
    <s:row r="19133" hidden="1" ht="1" customHeight="1">
      <s:c r="A19133" s="120" t="inlineStr"/>
      <s:c r="B19133" s="121" t="n"/>
      <s:c r="C19133" s="121" t="n"/>
      <s:c r="D19133" s="121" t="n"/>
      <s:c r="E19133" s="122" t="n"/>
    </s:row>
    <s:row r="19134" hidden="1" ht="1" customHeight="1">
      <s:c r="A19134" s="120" t="inlineStr"/>
      <s:c r="B19134" s="121" t="n"/>
      <s:c r="C19134" s="121" t="n"/>
      <s:c r="D19134" s="121" t="n"/>
      <s:c r="E19134" s="122" t="n"/>
    </s:row>
    <s:row r="19135" hidden="1" ht="1" customHeight="1">
      <s:c r="A19135" s="120" t="inlineStr"/>
      <s:c r="B19135" s="121" t="n"/>
      <s:c r="C19135" s="121" t="n"/>
      <s:c r="D19135" s="121" t="n"/>
      <s:c r="E19135" s="122" t="n"/>
    </s:row>
    <s:row r="19136" hidden="1" ht="1" customHeight="1">
      <s:c r="A19136" s="120" t="inlineStr"/>
      <s:c r="B19136" s="121" t="n"/>
      <s:c r="C19136" s="121" t="n"/>
      <s:c r="D19136" s="121" t="n"/>
      <s:c r="E19136" s="122" t="n"/>
    </s:row>
    <s:row r="19137" hidden="1" ht="1" customHeight="1">
      <s:c r="A19137" s="120" t="inlineStr"/>
      <s:c r="B19137" s="121" t="n"/>
      <s:c r="C19137" s="121" t="n"/>
      <s:c r="D19137" s="121" t="n"/>
      <s:c r="E19137" s="122" t="n"/>
    </s:row>
    <s:row r="19138" hidden="1" ht="1" customHeight="1">
      <s:c r="A19138" s="120" t="inlineStr"/>
      <s:c r="B19138" s="121" t="n"/>
      <s:c r="C19138" s="121" t="n"/>
      <s:c r="D19138" s="121" t="n"/>
      <s:c r="E19138" s="122" t="n"/>
    </s:row>
    <s:row r="19139" hidden="1" ht="1" customHeight="1">
      <s:c r="A19139" s="120" t="inlineStr"/>
      <s:c r="B19139" s="121" t="n"/>
      <s:c r="C19139" s="121" t="n"/>
      <s:c r="D19139" s="121" t="n"/>
      <s:c r="E19139" s="122" t="n"/>
    </s:row>
    <s:row r="19140" hidden="1" ht="1" customHeight="1">
      <s:c r="A19140" s="120" t="inlineStr"/>
      <s:c r="B19140" s="121" t="n"/>
      <s:c r="C19140" s="121" t="n"/>
      <s:c r="D19140" s="121" t="n"/>
      <s:c r="E19140" s="122" t="n"/>
    </s:row>
    <s:row r="19141" hidden="1" ht="1" customHeight="1">
      <s:c r="A19141" s="120" t="inlineStr"/>
      <s:c r="B19141" s="121" t="n"/>
      <s:c r="C19141" s="121" t="n"/>
      <s:c r="D19141" s="121" t="n"/>
      <s:c r="E19141" s="122" t="n"/>
    </s:row>
    <s:row r="19142" hidden="1" ht="1" customHeight="1">
      <s:c r="A19142" s="120" t="inlineStr"/>
      <s:c r="B19142" s="121" t="n"/>
      <s:c r="C19142" s="121" t="n"/>
      <s:c r="D19142" s="121" t="n"/>
      <s:c r="E19142" s="122" t="n"/>
    </s:row>
    <s:row r="19143" hidden="1" ht="1" customHeight="1">
      <s:c r="A19143" s="120" t="inlineStr"/>
      <s:c r="B19143" s="121" t="n"/>
      <s:c r="C19143" s="121" t="n"/>
      <s:c r="D19143" s="121" t="n"/>
      <s:c r="E19143" s="122" t="n"/>
    </s:row>
    <s:row r="19144" hidden="1" ht="1" customHeight="1">
      <s:c r="A19144" s="120" t="inlineStr"/>
      <s:c r="B19144" s="121" t="n"/>
      <s:c r="C19144" s="121" t="n"/>
      <s:c r="D19144" s="121" t="n"/>
      <s:c r="E19144" s="122" t="n"/>
    </s:row>
    <s:row r="19145" hidden="1" ht="1" customHeight="1">
      <s:c r="A19145" s="120" t="inlineStr"/>
      <s:c r="B19145" s="121" t="n"/>
      <s:c r="C19145" s="121" t="n"/>
      <s:c r="D19145" s="121" t="n"/>
      <s:c r="E19145" s="122" t="n"/>
    </s:row>
    <s:row r="19146" hidden="1" ht="1" customHeight="1">
      <s:c r="A19146" s="120" t="inlineStr"/>
      <s:c r="B19146" s="121" t="n"/>
      <s:c r="C19146" s="121" t="n"/>
      <s:c r="D19146" s="121" t="n"/>
      <s:c r="E19146" s="122" t="n"/>
    </s:row>
    <s:row r="19147" hidden="1" ht="1" customHeight="1">
      <s:c r="A19147" s="120" t="inlineStr"/>
      <s:c r="B19147" s="121" t="n"/>
      <s:c r="C19147" s="121" t="n"/>
      <s:c r="D19147" s="121" t="n"/>
      <s:c r="E19147" s="122" t="n"/>
    </s:row>
    <s:row r="19148" hidden="1" ht="1" customHeight="1">
      <s:c r="A19148" s="120" t="inlineStr"/>
      <s:c r="B19148" s="121" t="n"/>
      <s:c r="C19148" s="121" t="n"/>
      <s:c r="D19148" s="121" t="n"/>
      <s:c r="E19148" s="122" t="n"/>
    </s:row>
    <s:row r="19149" hidden="1" ht="1" customHeight="1">
      <s:c r="A19149" s="120" t="inlineStr"/>
      <s:c r="B19149" s="121" t="n"/>
      <s:c r="C19149" s="121" t="n"/>
      <s:c r="D19149" s="121" t="n"/>
      <s:c r="E19149" s="122" t="n"/>
    </s:row>
    <s:row r="19150" hidden="1" ht="1" customHeight="1">
      <s:c r="A19150" s="120" t="inlineStr"/>
      <s:c r="B19150" s="121" t="n"/>
      <s:c r="C19150" s="121" t="n"/>
      <s:c r="D19150" s="121" t="n"/>
      <s:c r="E19150" s="122" t="n"/>
    </s:row>
    <s:row r="19151" hidden="1" ht="1" customHeight="1">
      <s:c r="A19151" s="120" t="inlineStr"/>
      <s:c r="B19151" s="121" t="n"/>
      <s:c r="C19151" s="121" t="n"/>
      <s:c r="D19151" s="121" t="n"/>
      <s:c r="E19151" s="122" t="n"/>
    </s:row>
    <s:row r="19152" hidden="1" ht="1" customHeight="1">
      <s:c r="A19152" s="120" t="inlineStr"/>
      <s:c r="B19152" s="121" t="n"/>
      <s:c r="C19152" s="121" t="n"/>
      <s:c r="D19152" s="121" t="n"/>
      <s:c r="E19152" s="122" t="n"/>
    </s:row>
    <s:row r="19153" hidden="1" ht="1" customHeight="1">
      <s:c r="A19153" s="120" t="inlineStr"/>
      <s:c r="B19153" s="121" t="n"/>
      <s:c r="C19153" s="121" t="n"/>
      <s:c r="D19153" s="121" t="n"/>
      <s:c r="E19153" s="122" t="n"/>
    </s:row>
    <s:row r="19154" hidden="1" ht="1" customHeight="1">
      <s:c r="A19154" s="120" t="inlineStr"/>
      <s:c r="B19154" s="121" t="n"/>
      <s:c r="C19154" s="121" t="n"/>
      <s:c r="D19154" s="121" t="n"/>
      <s:c r="E19154" s="122" t="n"/>
    </s:row>
    <s:row r="19155" hidden="1" ht="1" customHeight="1">
      <s:c r="A19155" s="120" t="inlineStr"/>
      <s:c r="B19155" s="121" t="n"/>
      <s:c r="C19155" s="121" t="n"/>
      <s:c r="D19155" s="121" t="n"/>
      <s:c r="E19155" s="122" t="n"/>
    </s:row>
    <s:row r="19156" hidden="1" ht="1" customHeight="1">
      <s:c r="A19156" s="120" t="inlineStr"/>
      <s:c r="B19156" s="121" t="n"/>
      <s:c r="C19156" s="121" t="n"/>
      <s:c r="D19156" s="121" t="n"/>
      <s:c r="E19156" s="122" t="n"/>
    </s:row>
    <s:row r="19157" hidden="1" ht="1" customHeight="1">
      <s:c r="A19157" s="120" t="inlineStr"/>
      <s:c r="B19157" s="121" t="n"/>
      <s:c r="C19157" s="121" t="n"/>
      <s:c r="D19157" s="121" t="n"/>
      <s:c r="E19157" s="122" t="n"/>
    </s:row>
    <s:row r="19158" hidden="1" ht="1" customHeight="1">
      <s:c r="A19158" s="120" t="inlineStr"/>
      <s:c r="B19158" s="121" t="n"/>
      <s:c r="C19158" s="121" t="n"/>
      <s:c r="D19158" s="121" t="n"/>
      <s:c r="E19158" s="122" t="n"/>
    </s:row>
    <s:row r="19159" hidden="1" ht="1" customHeight="1">
      <s:c r="A19159" s="120" t="inlineStr"/>
      <s:c r="B19159" s="121" t="n"/>
      <s:c r="C19159" s="121" t="n"/>
      <s:c r="D19159" s="121" t="n"/>
      <s:c r="E19159" s="122" t="n"/>
    </s:row>
    <s:row r="19160" hidden="1" ht="1" customHeight="1">
      <s:c r="A19160" s="120" t="inlineStr"/>
      <s:c r="B19160" s="121" t="n"/>
      <s:c r="C19160" s="121" t="n"/>
      <s:c r="D19160" s="121" t="n"/>
      <s:c r="E19160" s="122" t="n"/>
    </s:row>
    <s:row r="19161" hidden="1" ht="1" customHeight="1">
      <s:c r="A19161" s="120" t="inlineStr"/>
      <s:c r="B19161" s="121" t="n"/>
      <s:c r="C19161" s="121" t="n"/>
      <s:c r="D19161" s="121" t="n"/>
      <s:c r="E19161" s="122" t="n"/>
    </s:row>
    <s:row r="19162" hidden="1" ht="1" customHeight="1">
      <s:c r="A19162" s="120" t="inlineStr"/>
      <s:c r="B19162" s="121" t="n"/>
      <s:c r="C19162" s="121" t="n"/>
      <s:c r="D19162" s="121" t="n"/>
      <s:c r="E19162" s="122" t="n"/>
    </s:row>
    <s:row r="19163" hidden="1" ht="1" customHeight="1">
      <s:c r="A19163" s="120" t="inlineStr"/>
      <s:c r="B19163" s="121" t="n"/>
      <s:c r="C19163" s="121" t="n"/>
      <s:c r="D19163" s="121" t="n"/>
      <s:c r="E19163" s="122" t="n"/>
    </s:row>
    <s:row r="19164" hidden="1" ht="1" customHeight="1">
      <s:c r="A19164" s="120" t="inlineStr"/>
      <s:c r="B19164" s="121" t="n"/>
      <s:c r="C19164" s="121" t="n"/>
      <s:c r="D19164" s="121" t="n"/>
      <s:c r="E19164" s="122" t="n"/>
    </s:row>
    <s:row r="19165" hidden="1" ht="1" customHeight="1">
      <s:c r="A19165" s="120" t="inlineStr"/>
      <s:c r="B19165" s="121" t="n"/>
      <s:c r="C19165" s="121" t="n"/>
      <s:c r="D19165" s="121" t="n"/>
      <s:c r="E19165" s="122" t="n"/>
    </s:row>
    <s:row r="19166" hidden="1" ht="1" customHeight="1">
      <s:c r="A19166" s="120" t="inlineStr"/>
      <s:c r="B19166" s="121" t="n"/>
      <s:c r="C19166" s="121" t="n"/>
      <s:c r="D19166" s="121" t="n"/>
      <s:c r="E19166" s="122" t="n"/>
    </s:row>
    <s:row r="19167" hidden="1" ht="1" customHeight="1">
      <s:c r="A19167" s="120" t="inlineStr"/>
      <s:c r="B19167" s="121" t="n"/>
      <s:c r="C19167" s="121" t="n"/>
      <s:c r="D19167" s="121" t="n"/>
      <s:c r="E19167" s="122" t="n"/>
    </s:row>
    <s:row r="19168" hidden="1" ht="1" customHeight="1">
      <s:c r="A19168" s="120" t="inlineStr"/>
      <s:c r="B19168" s="121" t="n"/>
      <s:c r="C19168" s="121" t="n"/>
      <s:c r="D19168" s="121" t="n"/>
      <s:c r="E19168" s="122" t="n"/>
    </s:row>
    <s:row r="19169" hidden="1" ht="1" customHeight="1">
      <s:c r="A19169" s="120" t="inlineStr"/>
      <s:c r="B19169" s="121" t="n"/>
      <s:c r="C19169" s="121" t="n"/>
      <s:c r="D19169" s="121" t="n"/>
      <s:c r="E19169" s="122" t="n"/>
    </s:row>
    <s:row r="19170" hidden="1" ht="1" customHeight="1">
      <s:c r="A19170" s="120" t="inlineStr"/>
      <s:c r="B19170" s="121" t="n"/>
      <s:c r="C19170" s="121" t="n"/>
      <s:c r="D19170" s="121" t="n"/>
      <s:c r="E19170" s="122" t="n"/>
    </s:row>
    <s:row r="19171" hidden="1" ht="1" customHeight="1">
      <s:c r="A19171" s="120" t="inlineStr"/>
      <s:c r="B19171" s="121" t="n"/>
      <s:c r="C19171" s="121" t="n"/>
      <s:c r="D19171" s="121" t="n"/>
      <s:c r="E19171" s="122" t="n"/>
    </s:row>
    <s:row r="19172" hidden="1" ht="1" customHeight="1">
      <s:c r="A19172" s="120" t="inlineStr"/>
      <s:c r="B19172" s="121" t="n"/>
      <s:c r="C19172" s="121" t="n"/>
      <s:c r="D19172" s="121" t="n"/>
      <s:c r="E19172" s="122" t="n"/>
    </s:row>
    <s:row r="19173" hidden="1" ht="1" customHeight="1">
      <s:c r="A19173" s="120" t="inlineStr"/>
      <s:c r="B19173" s="121" t="n"/>
      <s:c r="C19173" s="121" t="n"/>
      <s:c r="D19173" s="121" t="n"/>
      <s:c r="E19173" s="122" t="n"/>
    </s:row>
    <s:row r="19174" hidden="1" ht="1" customHeight="1">
      <s:c r="A19174" s="120" t="inlineStr"/>
      <s:c r="B19174" s="121" t="n"/>
      <s:c r="C19174" s="121" t="n"/>
      <s:c r="D19174" s="121" t="n"/>
      <s:c r="E19174" s="122" t="n"/>
    </s:row>
    <s:row r="19175" hidden="1" ht="1" customHeight="1">
      <s:c r="A19175" s="120" t="inlineStr"/>
      <s:c r="B19175" s="121" t="n"/>
      <s:c r="C19175" s="121" t="n"/>
      <s:c r="D19175" s="121" t="n"/>
      <s:c r="E19175" s="122" t="n"/>
    </s:row>
    <s:row r="19176" hidden="1" ht="1" customHeight="1">
      <s:c r="A19176" s="120" t="inlineStr"/>
      <s:c r="B19176" s="121" t="n"/>
      <s:c r="C19176" s="121" t="n"/>
      <s:c r="D19176" s="121" t="n"/>
      <s:c r="E19176" s="122" t="n"/>
    </s:row>
    <s:row r="19177" hidden="1" ht="1" customHeight="1">
      <s:c r="A19177" s="120" t="inlineStr"/>
      <s:c r="B19177" s="121" t="n"/>
      <s:c r="C19177" s="121" t="n"/>
      <s:c r="D19177" s="121" t="n"/>
      <s:c r="E19177" s="122" t="n"/>
    </s:row>
    <s:row r="19178" hidden="1" ht="1" customHeight="1">
      <s:c r="A19178" s="120" t="inlineStr"/>
      <s:c r="B19178" s="121" t="n"/>
      <s:c r="C19178" s="121" t="n"/>
      <s:c r="D19178" s="121" t="n"/>
      <s:c r="E19178" s="122" t="n"/>
    </s:row>
    <s:row r="19179" hidden="1" ht="1" customHeight="1">
      <s:c r="A19179" s="120" t="inlineStr"/>
      <s:c r="B19179" s="121" t="n"/>
      <s:c r="C19179" s="121" t="n"/>
      <s:c r="D19179" s="121" t="n"/>
      <s:c r="E19179" s="122" t="n"/>
    </s:row>
    <s:row r="19180" hidden="1" ht="1" customHeight="1">
      <s:c r="A19180" s="120" t="inlineStr"/>
      <s:c r="B19180" s="121" t="n"/>
      <s:c r="C19180" s="121" t="n"/>
      <s:c r="D19180" s="121" t="n"/>
      <s:c r="E19180" s="122" t="n"/>
    </s:row>
    <s:row r="19181" hidden="1" ht="1" customHeight="1">
      <s:c r="A19181" s="120" t="inlineStr"/>
      <s:c r="B19181" s="121" t="n"/>
      <s:c r="C19181" s="121" t="n"/>
      <s:c r="D19181" s="121" t="n"/>
      <s:c r="E19181" s="122" t="n"/>
    </s:row>
    <s:row r="19182" hidden="1" ht="1" customHeight="1">
      <s:c r="A19182" s="120" t="inlineStr"/>
      <s:c r="B19182" s="121" t="n"/>
      <s:c r="C19182" s="121" t="n"/>
      <s:c r="D19182" s="121" t="n"/>
      <s:c r="E19182" s="122" t="n"/>
    </s:row>
    <s:row r="19183" hidden="1" ht="1" customHeight="1">
      <s:c r="A19183" s="120" t="inlineStr"/>
      <s:c r="B19183" s="121" t="n"/>
      <s:c r="C19183" s="121" t="n"/>
      <s:c r="D19183" s="121" t="n"/>
      <s:c r="E19183" s="122" t="n"/>
    </s:row>
    <s:row r="19184" hidden="1" ht="1" customHeight="1">
      <s:c r="A19184" s="120" t="inlineStr"/>
      <s:c r="B19184" s="121" t="n"/>
      <s:c r="C19184" s="121" t="n"/>
      <s:c r="D19184" s="121" t="n"/>
      <s:c r="E19184" s="122" t="n"/>
    </s:row>
    <s:row r="19185" hidden="1" ht="1" customHeight="1">
      <s:c r="A19185" s="120" t="inlineStr"/>
      <s:c r="B19185" s="121" t="n"/>
      <s:c r="C19185" s="121" t="n"/>
      <s:c r="D19185" s="121" t="n"/>
      <s:c r="E19185" s="122" t="n"/>
    </s:row>
    <s:row r="19186" hidden="1" ht="1" customHeight="1">
      <s:c r="A19186" s="120" t="inlineStr"/>
      <s:c r="B19186" s="121" t="n"/>
      <s:c r="C19186" s="121" t="n"/>
      <s:c r="D19186" s="121" t="n"/>
      <s:c r="E19186" s="122" t="n"/>
    </s:row>
    <s:row r="19187" hidden="1" ht="1" customHeight="1">
      <s:c r="A19187" s="120" t="inlineStr"/>
      <s:c r="B19187" s="121" t="n"/>
      <s:c r="C19187" s="121" t="n"/>
      <s:c r="D19187" s="121" t="n"/>
      <s:c r="E19187" s="122" t="n"/>
    </s:row>
    <s:row r="19188" hidden="1" ht="1" customHeight="1">
      <s:c r="A19188" s="120" t="inlineStr"/>
      <s:c r="B19188" s="121" t="n"/>
      <s:c r="C19188" s="121" t="n"/>
      <s:c r="D19188" s="121" t="n"/>
      <s:c r="E19188" s="122" t="n"/>
    </s:row>
    <s:row r="19189" hidden="1" ht="1" customHeight="1">
      <s:c r="A19189" s="120" t="inlineStr"/>
      <s:c r="B19189" s="121" t="n"/>
      <s:c r="C19189" s="121" t="n"/>
      <s:c r="D19189" s="121" t="n"/>
      <s:c r="E19189" s="122" t="n"/>
    </s:row>
    <s:row r="19190" hidden="1" ht="1" customHeight="1">
      <s:c r="A19190" s="120" t="inlineStr"/>
      <s:c r="B19190" s="121" t="n"/>
      <s:c r="C19190" s="121" t="n"/>
      <s:c r="D19190" s="121" t="n"/>
      <s:c r="E19190" s="122" t="n"/>
    </s:row>
    <s:row r="19191" hidden="1" ht="1" customHeight="1">
      <s:c r="A19191" s="120" t="inlineStr"/>
      <s:c r="B19191" s="121" t="n"/>
      <s:c r="C19191" s="121" t="n"/>
      <s:c r="D19191" s="121" t="n"/>
      <s:c r="E19191" s="122" t="n"/>
    </s:row>
    <s:row r="19192" hidden="1" ht="1" customHeight="1">
      <s:c r="A19192" s="120" t="inlineStr"/>
      <s:c r="B19192" s="121" t="n"/>
      <s:c r="C19192" s="121" t="n"/>
      <s:c r="D19192" s="121" t="n"/>
      <s:c r="E19192" s="122" t="n"/>
    </s:row>
    <s:row r="19193" hidden="1" ht="1" customHeight="1">
      <s:c r="A19193" s="120" t="inlineStr"/>
      <s:c r="B19193" s="121" t="n"/>
      <s:c r="C19193" s="121" t="n"/>
      <s:c r="D19193" s="121" t="n"/>
      <s:c r="E19193" s="122" t="n"/>
    </s:row>
    <s:row r="19194" hidden="1" ht="1" customHeight="1">
      <s:c r="A19194" s="120" t="inlineStr"/>
      <s:c r="B19194" s="121" t="n"/>
      <s:c r="C19194" s="121" t="n"/>
      <s:c r="D19194" s="121" t="n"/>
      <s:c r="E19194" s="122" t="n"/>
    </s:row>
    <s:row r="19195" hidden="1" ht="1" customHeight="1">
      <s:c r="A19195" s="120" t="inlineStr"/>
      <s:c r="B19195" s="121" t="n"/>
      <s:c r="C19195" s="121" t="n"/>
      <s:c r="D19195" s="121" t="n"/>
      <s:c r="E19195" s="122" t="n"/>
    </s:row>
    <s:row r="19196" hidden="1" ht="1" customHeight="1">
      <s:c r="A19196" s="120" t="inlineStr"/>
      <s:c r="B19196" s="121" t="n"/>
      <s:c r="C19196" s="121" t="n"/>
      <s:c r="D19196" s="121" t="n"/>
      <s:c r="E19196" s="122" t="n"/>
    </s:row>
    <s:row r="19197" hidden="1" ht="1" customHeight="1">
      <s:c r="A19197" s="120" t="inlineStr"/>
      <s:c r="B19197" s="121" t="n"/>
      <s:c r="C19197" s="121" t="n"/>
      <s:c r="D19197" s="121" t="n"/>
      <s:c r="E19197" s="122" t="n"/>
    </s:row>
    <s:row r="19198" hidden="1" ht="1" customHeight="1">
      <s:c r="A19198" s="120" t="inlineStr"/>
      <s:c r="B19198" s="121" t="n"/>
      <s:c r="C19198" s="121" t="n"/>
      <s:c r="D19198" s="121" t="n"/>
      <s:c r="E19198" s="122" t="n"/>
    </s:row>
    <s:row r="19199" hidden="1" ht="1" customHeight="1">
      <s:c r="A19199" s="120" t="inlineStr"/>
      <s:c r="B19199" s="121" t="n"/>
      <s:c r="C19199" s="121" t="n"/>
      <s:c r="D19199" s="121" t="n"/>
      <s:c r="E19199" s="122" t="n"/>
    </s:row>
    <s:row r="19200" hidden="1" ht="1" customHeight="1">
      <s:c r="A19200" s="120" t="inlineStr"/>
      <s:c r="B19200" s="121" t="n"/>
      <s:c r="C19200" s="121" t="n"/>
      <s:c r="D19200" s="121" t="n"/>
      <s:c r="E19200" s="122" t="n"/>
    </s:row>
    <s:row r="19201" hidden="1" ht="1" customHeight="1">
      <s:c r="A19201" s="120" t="inlineStr"/>
      <s:c r="B19201" s="121" t="n"/>
      <s:c r="C19201" s="121" t="n"/>
      <s:c r="D19201" s="121" t="n"/>
      <s:c r="E19201" s="122" t="n"/>
    </s:row>
    <s:row r="19202" hidden="1" ht="1" customHeight="1">
      <s:c r="A19202" s="120" t="inlineStr"/>
      <s:c r="B19202" s="121" t="n"/>
      <s:c r="C19202" s="121" t="n"/>
      <s:c r="D19202" s="121" t="n"/>
      <s:c r="E19202" s="122" t="n"/>
    </s:row>
    <s:row r="19203" hidden="1" ht="1" customHeight="1">
      <s:c r="A19203" s="120" t="inlineStr"/>
      <s:c r="B19203" s="121" t="n"/>
      <s:c r="C19203" s="121" t="n"/>
      <s:c r="D19203" s="121" t="n"/>
      <s:c r="E19203" s="122" t="n"/>
    </s:row>
    <s:row r="19204" hidden="1" ht="1" customHeight="1">
      <s:c r="A19204" s="120" t="inlineStr"/>
      <s:c r="B19204" s="121" t="n"/>
      <s:c r="C19204" s="121" t="n"/>
      <s:c r="D19204" s="121" t="n"/>
      <s:c r="E19204" s="122" t="n"/>
    </s:row>
    <s:row r="19205" hidden="1" ht="1" customHeight="1">
      <s:c r="A19205" s="120" t="inlineStr"/>
      <s:c r="B19205" s="121" t="n"/>
      <s:c r="C19205" s="121" t="n"/>
      <s:c r="D19205" s="121" t="n"/>
      <s:c r="E19205" s="122" t="n"/>
    </s:row>
    <s:row r="19206" hidden="1" ht="1" customHeight="1">
      <s:c r="A19206" s="120" t="inlineStr"/>
      <s:c r="B19206" s="121" t="n"/>
      <s:c r="C19206" s="121" t="n"/>
      <s:c r="D19206" s="121" t="n"/>
      <s:c r="E19206" s="122" t="n"/>
    </s:row>
    <s:row r="19207" hidden="1" ht="1" customHeight="1">
      <s:c r="A19207" s="120" t="inlineStr"/>
      <s:c r="B19207" s="121" t="n"/>
      <s:c r="C19207" s="121" t="n"/>
      <s:c r="D19207" s="121" t="n"/>
      <s:c r="E19207" s="122" t="n"/>
    </s:row>
    <s:row r="19208" hidden="1" ht="1" customHeight="1">
      <s:c r="A19208" s="120" t="inlineStr"/>
      <s:c r="B19208" s="121" t="n"/>
      <s:c r="C19208" s="121" t="n"/>
      <s:c r="D19208" s="121" t="n"/>
      <s:c r="E19208" s="122" t="n"/>
    </s:row>
    <s:row r="19209" hidden="1" ht="1" customHeight="1">
      <s:c r="A19209" s="120" t="inlineStr"/>
      <s:c r="B19209" s="121" t="n"/>
      <s:c r="C19209" s="121" t="n"/>
      <s:c r="D19209" s="121" t="n"/>
      <s:c r="E19209" s="122" t="n"/>
    </s:row>
    <s:row r="19210" hidden="1" ht="1" customHeight="1">
      <s:c r="A19210" s="120" t="inlineStr"/>
      <s:c r="B19210" s="121" t="n"/>
      <s:c r="C19210" s="121" t="n"/>
      <s:c r="D19210" s="121" t="n"/>
      <s:c r="E19210" s="122" t="n"/>
    </s:row>
    <s:row r="19211" hidden="1" ht="1" customHeight="1">
      <s:c r="A19211" s="120" t="inlineStr"/>
      <s:c r="B19211" s="121" t="n"/>
      <s:c r="C19211" s="121" t="n"/>
      <s:c r="D19211" s="121" t="n"/>
      <s:c r="E19211" s="122" t="n"/>
    </s:row>
    <s:row r="19212" hidden="1" ht="1" customHeight="1">
      <s:c r="A19212" s="120" t="inlineStr"/>
      <s:c r="B19212" s="121" t="n"/>
      <s:c r="C19212" s="121" t="n"/>
      <s:c r="D19212" s="121" t="n"/>
      <s:c r="E19212" s="122" t="n"/>
    </s:row>
    <s:row r="19213" hidden="1" ht="1" customHeight="1">
      <s:c r="A19213" s="120" t="inlineStr"/>
      <s:c r="B19213" s="121" t="n"/>
      <s:c r="C19213" s="121" t="n"/>
      <s:c r="D19213" s="121" t="n"/>
      <s:c r="E19213" s="122" t="n"/>
    </s:row>
    <s:row r="19214" hidden="1" ht="1" customHeight="1">
      <s:c r="A19214" s="120" t="inlineStr"/>
      <s:c r="B19214" s="121" t="n"/>
      <s:c r="C19214" s="121" t="n"/>
      <s:c r="D19214" s="121" t="n"/>
      <s:c r="E19214" s="122" t="n"/>
    </s:row>
    <s:row r="19215" hidden="1" ht="1" customHeight="1">
      <s:c r="A19215" s="120" t="inlineStr"/>
      <s:c r="B19215" s="121" t="n"/>
      <s:c r="C19215" s="121" t="n"/>
      <s:c r="D19215" s="121" t="n"/>
      <s:c r="E19215" s="122" t="n"/>
    </s:row>
    <s:row r="19216" hidden="1" ht="1" customHeight="1">
      <s:c r="A19216" s="120" t="inlineStr"/>
      <s:c r="B19216" s="121" t="n"/>
      <s:c r="C19216" s="121" t="n"/>
      <s:c r="D19216" s="121" t="n"/>
      <s:c r="E19216" s="122" t="n"/>
    </s:row>
    <s:row r="19217" hidden="1" ht="1" customHeight="1">
      <s:c r="A19217" s="120" t="inlineStr"/>
      <s:c r="B19217" s="121" t="n"/>
      <s:c r="C19217" s="121" t="n"/>
      <s:c r="D19217" s="121" t="n"/>
      <s:c r="E19217" s="122" t="n"/>
    </s:row>
    <s:row r="19218" hidden="1" ht="1" customHeight="1">
      <s:c r="A19218" s="120" t="inlineStr"/>
      <s:c r="B19218" s="121" t="n"/>
      <s:c r="C19218" s="121" t="n"/>
      <s:c r="D19218" s="121" t="n"/>
      <s:c r="E19218" s="122" t="n"/>
    </s:row>
    <s:row r="19219" hidden="1" ht="1" customHeight="1">
      <s:c r="A19219" s="120" t="inlineStr"/>
      <s:c r="B19219" s="121" t="n"/>
      <s:c r="C19219" s="121" t="n"/>
      <s:c r="D19219" s="121" t="n"/>
      <s:c r="E19219" s="122" t="n"/>
    </s:row>
    <s:row r="19220" hidden="1" ht="1" customHeight="1">
      <s:c r="A19220" s="120" t="inlineStr"/>
      <s:c r="B19220" s="121" t="n"/>
      <s:c r="C19220" s="121" t="n"/>
      <s:c r="D19220" s="121" t="n"/>
      <s:c r="E19220" s="122" t="n"/>
    </s:row>
    <s:row r="19221" hidden="1" ht="1" customHeight="1">
      <s:c r="A19221" s="120" t="inlineStr"/>
      <s:c r="B19221" s="121" t="n"/>
      <s:c r="C19221" s="121" t="n"/>
      <s:c r="D19221" s="121" t="n"/>
      <s:c r="E19221" s="122" t="n"/>
    </s:row>
    <s:row r="19222" hidden="1" ht="1" customHeight="1">
      <s:c r="A19222" s="120" t="inlineStr"/>
      <s:c r="B19222" s="121" t="n"/>
      <s:c r="C19222" s="121" t="n"/>
      <s:c r="D19222" s="121" t="n"/>
      <s:c r="E19222" s="122" t="n"/>
    </s:row>
    <s:row r="19223" hidden="1" ht="1" customHeight="1">
      <s:c r="A19223" s="120" t="inlineStr"/>
      <s:c r="B19223" s="121" t="n"/>
      <s:c r="C19223" s="121" t="n"/>
      <s:c r="D19223" s="121" t="n"/>
      <s:c r="E19223" s="122" t="n"/>
    </s:row>
    <s:row r="19224" hidden="1" ht="1" customHeight="1">
      <s:c r="A19224" s="120" t="inlineStr"/>
      <s:c r="B19224" s="121" t="n"/>
      <s:c r="C19224" s="121" t="n"/>
      <s:c r="D19224" s="121" t="n"/>
      <s:c r="E19224" s="122" t="n"/>
    </s:row>
    <s:row r="19225" hidden="1" ht="1" customHeight="1">
      <s:c r="A19225" s="120" t="inlineStr"/>
      <s:c r="B19225" s="121" t="n"/>
      <s:c r="C19225" s="121" t="n"/>
      <s:c r="D19225" s="121" t="n"/>
      <s:c r="E19225" s="122" t="n"/>
    </s:row>
    <s:row r="19226" hidden="1" ht="1" customHeight="1">
      <s:c r="A19226" s="120" t="inlineStr"/>
      <s:c r="B19226" s="121" t="n"/>
      <s:c r="C19226" s="121" t="n"/>
      <s:c r="D19226" s="121" t="n"/>
      <s:c r="E19226" s="122" t="n"/>
    </s:row>
    <s:row r="19227" hidden="1" ht="1" customHeight="1">
      <s:c r="A19227" s="120" t="inlineStr"/>
      <s:c r="B19227" s="121" t="n"/>
      <s:c r="C19227" s="121" t="n"/>
      <s:c r="D19227" s="121" t="n"/>
      <s:c r="E19227" s="122" t="n"/>
    </s:row>
    <s:row r="19228" hidden="1" ht="1" customHeight="1">
      <s:c r="A19228" s="120" t="inlineStr"/>
      <s:c r="B19228" s="121" t="n"/>
      <s:c r="C19228" s="121" t="n"/>
      <s:c r="D19228" s="121" t="n"/>
      <s:c r="E19228" s="122" t="n"/>
    </s:row>
    <s:row r="19229" hidden="1" ht="1" customHeight="1">
      <s:c r="A19229" s="120" t="inlineStr"/>
      <s:c r="B19229" s="121" t="n"/>
      <s:c r="C19229" s="121" t="n"/>
      <s:c r="D19229" s="121" t="n"/>
      <s:c r="E19229" s="122" t="n"/>
    </s:row>
    <s:row r="19230" hidden="1" ht="1" customHeight="1">
      <s:c r="A19230" s="120" t="inlineStr"/>
      <s:c r="B19230" s="121" t="n"/>
      <s:c r="C19230" s="121" t="n"/>
      <s:c r="D19230" s="121" t="n"/>
      <s:c r="E19230" s="122" t="n"/>
    </s:row>
    <s:row r="19231" hidden="1" ht="1" customHeight="1">
      <s:c r="A19231" s="120" t="inlineStr"/>
      <s:c r="B19231" s="121" t="n"/>
      <s:c r="C19231" s="121" t="n"/>
      <s:c r="D19231" s="121" t="n"/>
      <s:c r="E19231" s="122" t="n"/>
    </s:row>
    <s:row r="19232" hidden="1" ht="1" customHeight="1">
      <s:c r="A19232" s="120" t="inlineStr"/>
      <s:c r="B19232" s="121" t="n"/>
      <s:c r="C19232" s="121" t="n"/>
      <s:c r="D19232" s="121" t="n"/>
      <s:c r="E19232" s="122" t="n"/>
    </s:row>
    <s:row r="19233" hidden="1" ht="1" customHeight="1">
      <s:c r="A19233" s="120" t="inlineStr"/>
      <s:c r="B19233" s="121" t="n"/>
      <s:c r="C19233" s="121" t="n"/>
      <s:c r="D19233" s="121" t="n"/>
      <s:c r="E19233" s="122" t="n"/>
    </s:row>
    <s:row r="19234" hidden="1" ht="1" customHeight="1">
      <s:c r="A19234" s="120" t="inlineStr"/>
      <s:c r="B19234" s="121" t="n"/>
      <s:c r="C19234" s="121" t="n"/>
      <s:c r="D19234" s="121" t="n"/>
      <s:c r="E19234" s="122" t="n"/>
    </s:row>
    <s:row r="19235" hidden="1" ht="1" customHeight="1">
      <s:c r="A19235" s="120" t="inlineStr"/>
      <s:c r="B19235" s="121" t="n"/>
      <s:c r="C19235" s="121" t="n"/>
      <s:c r="D19235" s="121" t="n"/>
      <s:c r="E19235" s="122" t="n"/>
    </s:row>
    <s:row r="19236" hidden="1" ht="1" customHeight="1">
      <s:c r="A19236" s="120" t="inlineStr"/>
      <s:c r="B19236" s="121" t="n"/>
      <s:c r="C19236" s="121" t="n"/>
      <s:c r="D19236" s="121" t="n"/>
      <s:c r="E19236" s="122" t="n"/>
    </s:row>
    <s:row r="19237" hidden="1" ht="1" customHeight="1">
      <s:c r="A19237" s="120" t="inlineStr"/>
      <s:c r="B19237" s="121" t="n"/>
      <s:c r="C19237" s="121" t="n"/>
      <s:c r="D19237" s="121" t="n"/>
      <s:c r="E19237" s="122" t="n"/>
    </s:row>
    <s:row r="19238" hidden="1" ht="1" customHeight="1">
      <s:c r="A19238" s="120" t="inlineStr"/>
      <s:c r="B19238" s="121" t="n"/>
      <s:c r="C19238" s="121" t="n"/>
      <s:c r="D19238" s="121" t="n"/>
      <s:c r="E19238" s="122" t="n"/>
    </s:row>
    <s:row r="19239" hidden="1" ht="1" customHeight="1">
      <s:c r="A19239" s="120" t="inlineStr"/>
      <s:c r="B19239" s="121" t="n"/>
      <s:c r="C19239" s="121" t="n"/>
      <s:c r="D19239" s="121" t="n"/>
      <s:c r="E19239" s="122" t="n"/>
    </s:row>
    <s:row r="19240" hidden="1" ht="1" customHeight="1">
      <s:c r="A19240" s="120" t="inlineStr"/>
      <s:c r="B19240" s="121" t="n"/>
      <s:c r="C19240" s="121" t="n"/>
      <s:c r="D19240" s="121" t="n"/>
      <s:c r="E19240" s="122" t="n"/>
    </s:row>
    <s:row r="19241" hidden="1" ht="1" customHeight="1">
      <s:c r="A19241" s="120" t="inlineStr"/>
      <s:c r="B19241" s="121" t="n"/>
      <s:c r="C19241" s="121" t="n"/>
      <s:c r="D19241" s="121" t="n"/>
      <s:c r="E19241" s="122" t="n"/>
    </s:row>
    <s:row r="19242" hidden="1" ht="1" customHeight="1">
      <s:c r="A19242" s="120" t="inlineStr"/>
      <s:c r="B19242" s="121" t="n"/>
      <s:c r="C19242" s="121" t="n"/>
      <s:c r="D19242" s="121" t="n"/>
      <s:c r="E19242" s="122" t="n"/>
    </s:row>
    <s:row r="19243" hidden="1" ht="1" customHeight="1">
      <s:c r="A19243" s="120" t="inlineStr"/>
      <s:c r="B19243" s="121" t="n"/>
      <s:c r="C19243" s="121" t="n"/>
      <s:c r="D19243" s="121" t="n"/>
      <s:c r="E19243" s="122" t="n"/>
    </s:row>
    <s:row r="19244" hidden="1" ht="1" customHeight="1">
      <s:c r="A19244" s="120" t="inlineStr"/>
      <s:c r="B19244" s="121" t="n"/>
      <s:c r="C19244" s="121" t="n"/>
      <s:c r="D19244" s="121" t="n"/>
      <s:c r="E19244" s="122" t="n"/>
    </s:row>
    <s:row r="19245" hidden="1" ht="1" customHeight="1">
      <s:c r="A19245" s="120" t="inlineStr"/>
      <s:c r="B19245" s="121" t="n"/>
      <s:c r="C19245" s="121" t="n"/>
      <s:c r="D19245" s="121" t="n"/>
      <s:c r="E19245" s="122" t="n"/>
    </s:row>
    <s:row r="19246" hidden="1" ht="1" customHeight="1">
      <s:c r="A19246" s="120" t="inlineStr"/>
      <s:c r="B19246" s="121" t="n"/>
      <s:c r="C19246" s="121" t="n"/>
      <s:c r="D19246" s="121" t="n"/>
      <s:c r="E19246" s="122" t="n"/>
    </s:row>
    <s:row r="19247" hidden="1" ht="1" customHeight="1">
      <s:c r="A19247" s="120" t="inlineStr"/>
      <s:c r="B19247" s="121" t="n"/>
      <s:c r="C19247" s="121" t="n"/>
      <s:c r="D19247" s="121" t="n"/>
      <s:c r="E19247" s="122" t="n"/>
    </s:row>
    <s:row r="19248" hidden="1" ht="1" customHeight="1">
      <s:c r="A19248" s="120" t="inlineStr"/>
      <s:c r="B19248" s="121" t="n"/>
      <s:c r="C19248" s="121" t="n"/>
      <s:c r="D19248" s="121" t="n"/>
      <s:c r="E19248" s="122" t="n"/>
    </s:row>
    <s:row r="19249" hidden="1" ht="1" customHeight="1">
      <s:c r="A19249" s="120" t="inlineStr"/>
      <s:c r="B19249" s="121" t="n"/>
      <s:c r="C19249" s="121" t="n"/>
      <s:c r="D19249" s="121" t="n"/>
      <s:c r="E19249" s="122" t="n"/>
    </s:row>
    <s:row r="19250" hidden="1" ht="1" customHeight="1">
      <s:c r="A19250" s="120" t="inlineStr"/>
      <s:c r="B19250" s="121" t="n"/>
      <s:c r="C19250" s="121" t="n"/>
      <s:c r="D19250" s="121" t="n"/>
      <s:c r="E19250" s="122" t="n"/>
    </s:row>
    <s:row r="19251" hidden="1" ht="1" customHeight="1">
      <s:c r="A19251" s="120" t="inlineStr"/>
      <s:c r="B19251" s="121" t="n"/>
      <s:c r="C19251" s="121" t="n"/>
      <s:c r="D19251" s="121" t="n"/>
      <s:c r="E19251" s="122" t="n"/>
    </s:row>
    <s:row r="19252" hidden="1" ht="1" customHeight="1">
      <s:c r="A19252" s="120" t="inlineStr"/>
      <s:c r="B19252" s="121" t="n"/>
      <s:c r="C19252" s="121" t="n"/>
      <s:c r="D19252" s="121" t="n"/>
      <s:c r="E19252" s="122" t="n"/>
    </s:row>
    <s:row r="19253" hidden="1" ht="1" customHeight="1">
      <s:c r="A19253" s="120" t="inlineStr"/>
      <s:c r="B19253" s="121" t="n"/>
      <s:c r="C19253" s="121" t="n"/>
      <s:c r="D19253" s="121" t="n"/>
      <s:c r="E19253" s="122" t="n"/>
    </s:row>
    <s:row r="19254" hidden="1" ht="1" customHeight="1">
      <s:c r="A19254" s="120" t="inlineStr"/>
      <s:c r="B19254" s="121" t="n"/>
      <s:c r="C19254" s="121" t="n"/>
      <s:c r="D19254" s="121" t="n"/>
      <s:c r="E19254" s="122" t="n"/>
    </s:row>
    <s:row r="19255" hidden="1" ht="1" customHeight="1">
      <s:c r="A19255" s="120" t="inlineStr"/>
      <s:c r="B19255" s="121" t="n"/>
      <s:c r="C19255" s="121" t="n"/>
      <s:c r="D19255" s="121" t="n"/>
      <s:c r="E19255" s="122" t="n"/>
    </s:row>
    <s:row r="19256" hidden="1" ht="1" customHeight="1">
      <s:c r="A19256" s="120" t="inlineStr"/>
      <s:c r="B19256" s="121" t="n"/>
      <s:c r="C19256" s="121" t="n"/>
      <s:c r="D19256" s="121" t="n"/>
      <s:c r="E19256" s="122" t="n"/>
    </s:row>
    <s:row r="19257" hidden="1" ht="1" customHeight="1">
      <s:c r="A19257" s="120" t="inlineStr"/>
      <s:c r="B19257" s="121" t="n"/>
      <s:c r="C19257" s="121" t="n"/>
      <s:c r="D19257" s="121" t="n"/>
      <s:c r="E19257" s="122" t="n"/>
    </s:row>
    <s:row r="19258" hidden="1" ht="1" customHeight="1">
      <s:c r="A19258" s="120" t="inlineStr"/>
      <s:c r="B19258" s="121" t="n"/>
      <s:c r="C19258" s="121" t="n"/>
      <s:c r="D19258" s="121" t="n"/>
      <s:c r="E19258" s="122" t="n"/>
    </s:row>
    <s:row r="19259" hidden="1" ht="1" customHeight="1">
      <s:c r="A19259" s="120" t="inlineStr"/>
      <s:c r="B19259" s="121" t="n"/>
      <s:c r="C19259" s="121" t="n"/>
      <s:c r="D19259" s="121" t="n"/>
      <s:c r="E19259" s="122" t="n"/>
    </s:row>
    <s:row r="19260" hidden="1" ht="1" customHeight="1">
      <s:c r="A19260" s="120" t="inlineStr"/>
      <s:c r="B19260" s="121" t="n"/>
      <s:c r="C19260" s="121" t="n"/>
      <s:c r="D19260" s="121" t="n"/>
      <s:c r="E19260" s="122" t="n"/>
    </s:row>
    <s:row r="19261" hidden="1" ht="1" customHeight="1">
      <s:c r="A19261" s="120" t="inlineStr"/>
      <s:c r="B19261" s="121" t="n"/>
      <s:c r="C19261" s="121" t="n"/>
      <s:c r="D19261" s="121" t="n"/>
      <s:c r="E19261" s="122" t="n"/>
    </s:row>
    <s:row r="19262" hidden="1" ht="1" customHeight="1">
      <s:c r="A19262" s="120" t="inlineStr"/>
      <s:c r="B19262" s="121" t="n"/>
      <s:c r="C19262" s="121" t="n"/>
      <s:c r="D19262" s="121" t="n"/>
      <s:c r="E19262" s="122" t="n"/>
    </s:row>
    <s:row r="19263" hidden="1" ht="1" customHeight="1">
      <s:c r="A19263" s="120" t="inlineStr"/>
      <s:c r="B19263" s="121" t="n"/>
      <s:c r="C19263" s="121" t="n"/>
      <s:c r="D19263" s="121" t="n"/>
      <s:c r="E19263" s="122" t="n"/>
    </s:row>
    <s:row r="19264" hidden="1" ht="1" customHeight="1">
      <s:c r="A19264" s="120" t="inlineStr"/>
      <s:c r="B19264" s="121" t="n"/>
      <s:c r="C19264" s="121" t="n"/>
      <s:c r="D19264" s="121" t="n"/>
      <s:c r="E19264" s="122" t="n"/>
    </s:row>
    <s:row r="19265" hidden="1" ht="1" customHeight="1">
      <s:c r="A19265" s="120" t="inlineStr"/>
      <s:c r="B19265" s="121" t="n"/>
      <s:c r="C19265" s="121" t="n"/>
      <s:c r="D19265" s="121" t="n"/>
      <s:c r="E19265" s="122" t="n"/>
    </s:row>
    <s:row r="19266" hidden="1" ht="1" customHeight="1">
      <s:c r="A19266" s="120" t="inlineStr"/>
      <s:c r="B19266" s="121" t="n"/>
      <s:c r="C19266" s="121" t="n"/>
      <s:c r="D19266" s="121" t="n"/>
      <s:c r="E19266" s="122" t="n"/>
    </s:row>
    <s:row r="19267" hidden="1" ht="1" customHeight="1">
      <s:c r="A19267" s="120" t="inlineStr"/>
      <s:c r="B19267" s="121" t="n"/>
      <s:c r="C19267" s="121" t="n"/>
      <s:c r="D19267" s="121" t="n"/>
      <s:c r="E19267" s="122" t="n"/>
    </s:row>
    <s:row r="19268" hidden="1" ht="1" customHeight="1">
      <s:c r="A19268" s="120" t="inlineStr"/>
      <s:c r="B19268" s="121" t="n"/>
      <s:c r="C19268" s="121" t="n"/>
      <s:c r="D19268" s="121" t="n"/>
      <s:c r="E19268" s="122" t="n"/>
    </s:row>
    <s:row r="19269" hidden="1" ht="1" customHeight="1">
      <s:c r="A19269" s="120" t="inlineStr"/>
      <s:c r="B19269" s="121" t="n"/>
      <s:c r="C19269" s="121" t="n"/>
      <s:c r="D19269" s="121" t="n"/>
      <s:c r="E19269" s="122" t="n"/>
    </s:row>
    <s:row r="19270" hidden="1" ht="1" customHeight="1">
      <s:c r="A19270" s="120" t="inlineStr"/>
      <s:c r="B19270" s="121" t="n"/>
      <s:c r="C19270" s="121" t="n"/>
      <s:c r="D19270" s="121" t="n"/>
      <s:c r="E19270" s="122" t="n"/>
    </s:row>
    <s:row r="19271" hidden="1" ht="1" customHeight="1">
      <s:c r="A19271" s="120" t="inlineStr"/>
      <s:c r="B19271" s="121" t="n"/>
      <s:c r="C19271" s="121" t="n"/>
      <s:c r="D19271" s="121" t="n"/>
      <s:c r="E19271" s="122" t="n"/>
    </s:row>
    <s:row r="19272" hidden="1" ht="1" customHeight="1">
      <s:c r="A19272" s="120" t="inlineStr"/>
      <s:c r="B19272" s="121" t="n"/>
      <s:c r="C19272" s="121" t="n"/>
      <s:c r="D19272" s="121" t="n"/>
      <s:c r="E19272" s="122" t="n"/>
    </s:row>
    <s:row r="19273" hidden="1" ht="1" customHeight="1">
      <s:c r="A19273" s="120" t="inlineStr"/>
      <s:c r="B19273" s="121" t="n"/>
      <s:c r="C19273" s="121" t="n"/>
      <s:c r="D19273" s="121" t="n"/>
      <s:c r="E19273" s="122" t="n"/>
    </s:row>
    <s:row r="19274" hidden="1" ht="1" customHeight="1">
      <s:c r="A19274" s="120" t="inlineStr"/>
      <s:c r="B19274" s="121" t="n"/>
      <s:c r="C19274" s="121" t="n"/>
      <s:c r="D19274" s="121" t="n"/>
      <s:c r="E19274" s="122" t="n"/>
    </s:row>
    <s:row r="19275" hidden="1" ht="1" customHeight="1">
      <s:c r="A19275" s="120" t="inlineStr"/>
      <s:c r="B19275" s="121" t="n"/>
      <s:c r="C19275" s="121" t="n"/>
      <s:c r="D19275" s="121" t="n"/>
      <s:c r="E19275" s="122" t="n"/>
    </s:row>
    <s:row r="19276" hidden="1" ht="1" customHeight="1">
      <s:c r="A19276" s="120" t="inlineStr"/>
      <s:c r="B19276" s="121" t="n"/>
      <s:c r="C19276" s="121" t="n"/>
      <s:c r="D19276" s="121" t="n"/>
      <s:c r="E19276" s="122" t="n"/>
    </s:row>
    <s:row r="19277" hidden="1" ht="1" customHeight="1">
      <s:c r="A19277" s="120" t="inlineStr"/>
      <s:c r="B19277" s="121" t="n"/>
      <s:c r="C19277" s="121" t="n"/>
      <s:c r="D19277" s="121" t="n"/>
      <s:c r="E19277" s="122" t="n"/>
    </s:row>
    <s:row r="19278" hidden="1" ht="1" customHeight="1">
      <s:c r="A19278" s="120" t="inlineStr"/>
      <s:c r="B19278" s="121" t="n"/>
      <s:c r="C19278" s="121" t="n"/>
      <s:c r="D19278" s="121" t="n"/>
      <s:c r="E19278" s="122" t="n"/>
    </s:row>
    <s:row r="19279" hidden="1" ht="1" customHeight="1">
      <s:c r="A19279" s="120" t="inlineStr"/>
      <s:c r="B19279" s="121" t="n"/>
      <s:c r="C19279" s="121" t="n"/>
      <s:c r="D19279" s="121" t="n"/>
      <s:c r="E19279" s="122" t="n"/>
    </s:row>
    <s:row r="19280" hidden="1" ht="1" customHeight="1">
      <s:c r="A19280" s="120" t="inlineStr"/>
      <s:c r="B19280" s="121" t="n"/>
      <s:c r="C19280" s="121" t="n"/>
      <s:c r="D19280" s="121" t="n"/>
      <s:c r="E19280" s="122" t="n"/>
    </s:row>
    <s:row r="19281" hidden="1" ht="1" customHeight="1">
      <s:c r="A19281" s="120" t="inlineStr"/>
      <s:c r="B19281" s="121" t="n"/>
      <s:c r="C19281" s="121" t="n"/>
      <s:c r="D19281" s="121" t="n"/>
      <s:c r="E19281" s="122" t="n"/>
    </s:row>
    <s:row r="19282" hidden="1" ht="1" customHeight="1">
      <s:c r="A19282" s="120" t="inlineStr"/>
      <s:c r="B19282" s="121" t="n"/>
      <s:c r="C19282" s="121" t="n"/>
      <s:c r="D19282" s="121" t="n"/>
      <s:c r="E19282" s="122" t="n"/>
    </s:row>
    <s:row r="19283" hidden="1" ht="1" customHeight="1">
      <s:c r="A19283" s="120" t="inlineStr"/>
      <s:c r="B19283" s="121" t="n"/>
      <s:c r="C19283" s="121" t="n"/>
      <s:c r="D19283" s="121" t="n"/>
      <s:c r="E19283" s="122" t="n"/>
    </s:row>
    <s:row r="19284" hidden="1" ht="1" customHeight="1">
      <s:c r="A19284" s="120" t="inlineStr"/>
      <s:c r="B19284" s="121" t="n"/>
      <s:c r="C19284" s="121" t="n"/>
      <s:c r="D19284" s="121" t="n"/>
      <s:c r="E19284" s="122" t="n"/>
    </s:row>
    <s:row r="19285" hidden="1" ht="1" customHeight="1">
      <s:c r="A19285" s="120" t="inlineStr"/>
      <s:c r="B19285" s="121" t="n"/>
      <s:c r="C19285" s="121" t="n"/>
      <s:c r="D19285" s="121" t="n"/>
      <s:c r="E19285" s="122" t="n"/>
    </s:row>
    <s:row r="19286" hidden="1" ht="1" customHeight="1">
      <s:c r="A19286" s="120" t="inlineStr"/>
      <s:c r="B19286" s="121" t="n"/>
      <s:c r="C19286" s="121" t="n"/>
      <s:c r="D19286" s="121" t="n"/>
      <s:c r="E19286" s="122" t="n"/>
    </s:row>
    <s:row r="19287" hidden="1" ht="1" customHeight="1">
      <s:c r="A19287" s="120" t="inlineStr"/>
      <s:c r="B19287" s="121" t="n"/>
      <s:c r="C19287" s="121" t="n"/>
      <s:c r="D19287" s="121" t="n"/>
      <s:c r="E19287" s="122" t="n"/>
    </s:row>
    <s:row r="19288" hidden="1" ht="1" customHeight="1">
      <s:c r="A19288" s="120" t="inlineStr"/>
      <s:c r="B19288" s="121" t="n"/>
      <s:c r="C19288" s="121" t="n"/>
      <s:c r="D19288" s="121" t="n"/>
      <s:c r="E19288" s="122" t="n"/>
    </s:row>
    <s:row r="19289" hidden="1" ht="1" customHeight="1">
      <s:c r="A19289" s="120" t="inlineStr"/>
      <s:c r="B19289" s="121" t="n"/>
      <s:c r="C19289" s="121" t="n"/>
      <s:c r="D19289" s="121" t="n"/>
      <s:c r="E19289" s="122" t="n"/>
    </s:row>
    <s:row r="19290" hidden="1" ht="1" customHeight="1">
      <s:c r="A19290" s="120" t="inlineStr"/>
      <s:c r="B19290" s="121" t="n"/>
      <s:c r="C19290" s="121" t="n"/>
      <s:c r="D19290" s="121" t="n"/>
      <s:c r="E19290" s="122" t="n"/>
    </s:row>
    <s:row r="19291" hidden="1" ht="1" customHeight="1">
      <s:c r="A19291" s="120" t="inlineStr"/>
      <s:c r="B19291" s="121" t="n"/>
      <s:c r="C19291" s="121" t="n"/>
      <s:c r="D19291" s="121" t="n"/>
      <s:c r="E19291" s="122" t="n"/>
    </s:row>
    <s:row r="19292" hidden="1" ht="1" customHeight="1">
      <s:c r="A19292" s="120" t="inlineStr"/>
      <s:c r="B19292" s="121" t="n"/>
      <s:c r="C19292" s="121" t="n"/>
      <s:c r="D19292" s="121" t="n"/>
      <s:c r="E19292" s="122" t="n"/>
    </s:row>
    <s:row r="19293" hidden="1" ht="1" customHeight="1">
      <s:c r="A19293" s="120" t="inlineStr"/>
      <s:c r="B19293" s="121" t="n"/>
      <s:c r="C19293" s="121" t="n"/>
      <s:c r="D19293" s="121" t="n"/>
      <s:c r="E19293" s="122" t="n"/>
    </s:row>
    <s:row r="19294" hidden="1" ht="1" customHeight="1">
      <s:c r="A19294" s="120" t="inlineStr"/>
      <s:c r="B19294" s="121" t="n"/>
      <s:c r="C19294" s="121" t="n"/>
      <s:c r="D19294" s="121" t="n"/>
      <s:c r="E19294" s="122" t="n"/>
    </s:row>
    <s:row r="19295" hidden="1" ht="1" customHeight="1">
      <s:c r="A19295" s="120" t="inlineStr"/>
      <s:c r="B19295" s="121" t="n"/>
      <s:c r="C19295" s="121" t="n"/>
      <s:c r="D19295" s="121" t="n"/>
      <s:c r="E19295" s="122" t="n"/>
    </s:row>
    <s:row r="19296" hidden="1" ht="1" customHeight="1">
      <s:c r="A19296" s="120" t="inlineStr"/>
      <s:c r="B19296" s="121" t="n"/>
      <s:c r="C19296" s="121" t="n"/>
      <s:c r="D19296" s="121" t="n"/>
      <s:c r="E19296" s="122" t="n"/>
    </s:row>
    <s:row r="19297" hidden="1" ht="1" customHeight="1">
      <s:c r="A19297" s="120" t="inlineStr"/>
      <s:c r="B19297" s="121" t="n"/>
      <s:c r="C19297" s="121" t="n"/>
      <s:c r="D19297" s="121" t="n"/>
      <s:c r="E19297" s="122" t="n"/>
    </s:row>
    <s:row r="19298" hidden="1" ht="1" customHeight="1">
      <s:c r="A19298" s="120" t="inlineStr"/>
      <s:c r="B19298" s="121" t="n"/>
      <s:c r="C19298" s="121" t="n"/>
      <s:c r="D19298" s="121" t="n"/>
      <s:c r="E19298" s="122" t="n"/>
    </s:row>
    <s:row r="19299" hidden="1" ht="1" customHeight="1">
      <s:c r="A19299" s="120" t="inlineStr"/>
      <s:c r="B19299" s="121" t="n"/>
      <s:c r="C19299" s="121" t="n"/>
      <s:c r="D19299" s="121" t="n"/>
      <s:c r="E19299" s="122" t="n"/>
    </s:row>
    <s:row r="19300" hidden="1" ht="1" customHeight="1">
      <s:c r="A19300" s="120" t="inlineStr"/>
      <s:c r="B19300" s="121" t="n"/>
      <s:c r="C19300" s="121" t="n"/>
      <s:c r="D19300" s="121" t="n"/>
      <s:c r="E19300" s="122" t="n"/>
    </s:row>
    <s:row r="19301" hidden="1" ht="1" customHeight="1">
      <s:c r="A19301" s="120" t="inlineStr"/>
      <s:c r="B19301" s="121" t="n"/>
      <s:c r="C19301" s="121" t="n"/>
      <s:c r="D19301" s="121" t="n"/>
      <s:c r="E19301" s="122" t="n"/>
    </s:row>
    <s:row r="19302" hidden="1" ht="1" customHeight="1">
      <s:c r="A19302" s="120" t="inlineStr"/>
      <s:c r="B19302" s="121" t="n"/>
      <s:c r="C19302" s="121" t="n"/>
      <s:c r="D19302" s="121" t="n"/>
      <s:c r="E19302" s="122" t="n"/>
    </s:row>
    <s:row r="19303" hidden="1" ht="1" customHeight="1">
      <s:c r="A19303" s="120" t="inlineStr"/>
      <s:c r="B19303" s="121" t="n"/>
      <s:c r="C19303" s="121" t="n"/>
      <s:c r="D19303" s="121" t="n"/>
      <s:c r="E19303" s="122" t="n"/>
    </s:row>
    <s:row r="19304" hidden="1" ht="1" customHeight="1">
      <s:c r="A19304" s="120" t="inlineStr"/>
      <s:c r="B19304" s="121" t="n"/>
      <s:c r="C19304" s="121" t="n"/>
      <s:c r="D19304" s="121" t="n"/>
      <s:c r="E19304" s="122" t="n"/>
    </s:row>
    <s:row r="19305" hidden="1" ht="1" customHeight="1">
      <s:c r="A19305" s="120" t="inlineStr"/>
      <s:c r="B19305" s="121" t="n"/>
      <s:c r="C19305" s="121" t="n"/>
      <s:c r="D19305" s="121" t="n"/>
      <s:c r="E19305" s="122" t="n"/>
    </s:row>
    <s:row r="19306" hidden="1" ht="1" customHeight="1">
      <s:c r="A19306" s="120" t="inlineStr"/>
      <s:c r="B19306" s="121" t="n"/>
      <s:c r="C19306" s="121" t="n"/>
      <s:c r="D19306" s="121" t="n"/>
      <s:c r="E19306" s="122" t="n"/>
    </s:row>
    <s:row r="19307" hidden="1" ht="1" customHeight="1">
      <s:c r="A19307" s="120" t="inlineStr"/>
      <s:c r="B19307" s="121" t="n"/>
      <s:c r="C19307" s="121" t="n"/>
      <s:c r="D19307" s="121" t="n"/>
      <s:c r="E19307" s="122" t="n"/>
    </s:row>
    <s:row r="19308" hidden="1" ht="1" customHeight="1">
      <s:c r="A19308" s="120" t="inlineStr"/>
      <s:c r="B19308" s="121" t="n"/>
      <s:c r="C19308" s="121" t="n"/>
      <s:c r="D19308" s="121" t="n"/>
      <s:c r="E19308" s="122" t="n"/>
    </s:row>
    <s:row r="19309" hidden="1" ht="1" customHeight="1">
      <s:c r="A19309" s="120" t="inlineStr"/>
      <s:c r="B19309" s="121" t="n"/>
      <s:c r="C19309" s="121" t="n"/>
      <s:c r="D19309" s="121" t="n"/>
      <s:c r="E19309" s="122" t="n"/>
    </s:row>
    <s:row r="19310" hidden="1" ht="1" customHeight="1">
      <s:c r="A19310" s="120" t="inlineStr"/>
      <s:c r="B19310" s="121" t="n"/>
      <s:c r="C19310" s="121" t="n"/>
      <s:c r="D19310" s="121" t="n"/>
      <s:c r="E19310" s="122" t="n"/>
    </s:row>
    <s:row r="19311" hidden="1" ht="1" customHeight="1">
      <s:c r="A19311" s="120" t="inlineStr"/>
      <s:c r="B19311" s="121" t="n"/>
      <s:c r="C19311" s="121" t="n"/>
      <s:c r="D19311" s="121" t="n"/>
      <s:c r="E19311" s="122" t="n"/>
    </s:row>
    <s:row r="19312" hidden="1" ht="1" customHeight="1">
      <s:c r="A19312" s="120" t="inlineStr"/>
      <s:c r="B19312" s="121" t="n"/>
      <s:c r="C19312" s="121" t="n"/>
      <s:c r="D19312" s="121" t="n"/>
      <s:c r="E19312" s="122" t="n"/>
    </s:row>
    <s:row r="19313" hidden="1" ht="1" customHeight="1">
      <s:c r="A19313" s="120" t="inlineStr"/>
      <s:c r="B19313" s="121" t="n"/>
      <s:c r="C19313" s="121" t="n"/>
      <s:c r="D19313" s="121" t="n"/>
      <s:c r="E19313" s="122" t="n"/>
    </s:row>
    <s:row r="19314" hidden="1" ht="1" customHeight="1">
      <s:c r="A19314" s="120" t="inlineStr"/>
      <s:c r="B19314" s="121" t="n"/>
      <s:c r="C19314" s="121" t="n"/>
      <s:c r="D19314" s="121" t="n"/>
      <s:c r="E19314" s="122" t="n"/>
    </s:row>
    <s:row r="19315" hidden="1" ht="1" customHeight="1">
      <s:c r="A19315" s="120" t="inlineStr"/>
      <s:c r="B19315" s="121" t="n"/>
      <s:c r="C19315" s="121" t="n"/>
      <s:c r="D19315" s="121" t="n"/>
      <s:c r="E19315" s="122" t="n"/>
    </s:row>
    <s:row r="19316" hidden="1" ht="1" customHeight="1">
      <s:c r="A19316" s="120" t="inlineStr"/>
      <s:c r="B19316" s="121" t="n"/>
      <s:c r="C19316" s="121" t="n"/>
      <s:c r="D19316" s="121" t="n"/>
      <s:c r="E19316" s="122" t="n"/>
    </s:row>
    <s:row r="19317" hidden="1" ht="1" customHeight="1">
      <s:c r="A19317" s="120" t="inlineStr"/>
      <s:c r="B19317" s="121" t="n"/>
      <s:c r="C19317" s="121" t="n"/>
      <s:c r="D19317" s="121" t="n"/>
      <s:c r="E19317" s="122" t="n"/>
    </s:row>
    <s:row r="19318" hidden="1" ht="1" customHeight="1">
      <s:c r="A19318" s="120" t="inlineStr"/>
      <s:c r="B19318" s="121" t="n"/>
      <s:c r="C19318" s="121" t="n"/>
      <s:c r="D19318" s="121" t="n"/>
      <s:c r="E19318" s="122" t="n"/>
    </s:row>
    <s:row r="19319" hidden="1" ht="1" customHeight="1">
      <s:c r="A19319" s="120" t="inlineStr"/>
      <s:c r="B19319" s="121" t="n"/>
      <s:c r="C19319" s="121" t="n"/>
      <s:c r="D19319" s="121" t="n"/>
      <s:c r="E19319" s="122" t="n"/>
    </s:row>
    <s:row r="19320" hidden="1" ht="1" customHeight="1">
      <s:c r="A19320" s="120" t="inlineStr"/>
      <s:c r="B19320" s="121" t="n"/>
      <s:c r="C19320" s="121" t="n"/>
      <s:c r="D19320" s="121" t="n"/>
      <s:c r="E19320" s="122" t="n"/>
    </s:row>
    <s:row r="19321" hidden="1" ht="1" customHeight="1">
      <s:c r="A19321" s="120" t="inlineStr"/>
      <s:c r="B19321" s="121" t="n"/>
      <s:c r="C19321" s="121" t="n"/>
      <s:c r="D19321" s="121" t="n"/>
      <s:c r="E19321" s="122" t="n"/>
    </s:row>
    <s:row r="19322" hidden="1" ht="1" customHeight="1">
      <s:c r="A19322" s="120" t="inlineStr"/>
      <s:c r="B19322" s="121" t="n"/>
      <s:c r="C19322" s="121" t="n"/>
      <s:c r="D19322" s="121" t="n"/>
      <s:c r="E19322" s="122" t="n"/>
    </s:row>
    <s:row r="19323" hidden="1" ht="1" customHeight="1">
      <s:c r="A19323" s="120" t="inlineStr"/>
      <s:c r="B19323" s="121" t="n"/>
      <s:c r="C19323" s="121" t="n"/>
      <s:c r="D19323" s="121" t="n"/>
      <s:c r="E19323" s="122" t="n"/>
    </s:row>
    <s:row r="19324" hidden="1" ht="1" customHeight="1">
      <s:c r="A19324" s="120" t="inlineStr"/>
      <s:c r="B19324" s="121" t="n"/>
      <s:c r="C19324" s="121" t="n"/>
      <s:c r="D19324" s="121" t="n"/>
      <s:c r="E19324" s="122" t="n"/>
    </s:row>
    <s:row r="19325" hidden="1" ht="1" customHeight="1">
      <s:c r="A19325" s="120" t="inlineStr"/>
      <s:c r="B19325" s="121" t="n"/>
      <s:c r="C19325" s="121" t="n"/>
      <s:c r="D19325" s="121" t="n"/>
      <s:c r="E19325" s="122" t="n"/>
    </s:row>
    <s:row r="19326" hidden="1" ht="1" customHeight="1">
      <s:c r="A19326" s="120" t="inlineStr"/>
      <s:c r="B19326" s="121" t="n"/>
      <s:c r="C19326" s="121" t="n"/>
      <s:c r="D19326" s="121" t="n"/>
      <s:c r="E19326" s="122" t="n"/>
    </s:row>
    <s:row r="19327" hidden="1" ht="1" customHeight="1">
      <s:c r="A19327" s="120" t="inlineStr"/>
      <s:c r="B19327" s="121" t="n"/>
      <s:c r="C19327" s="121" t="n"/>
      <s:c r="D19327" s="121" t="n"/>
      <s:c r="E19327" s="122" t="n"/>
    </s:row>
    <s:row r="19328" hidden="1" ht="1" customHeight="1">
      <s:c r="A19328" s="120" t="inlineStr"/>
      <s:c r="B19328" s="121" t="n"/>
      <s:c r="C19328" s="121" t="n"/>
      <s:c r="D19328" s="121" t="n"/>
      <s:c r="E19328" s="122" t="n"/>
    </s:row>
    <s:row r="19329" hidden="1" ht="1" customHeight="1">
      <s:c r="A19329" s="120" t="inlineStr"/>
      <s:c r="B19329" s="121" t="n"/>
      <s:c r="C19329" s="121" t="n"/>
      <s:c r="D19329" s="121" t="n"/>
      <s:c r="E19329" s="122" t="n"/>
    </s:row>
    <s:row r="19330" hidden="1" ht="1" customHeight="1">
      <s:c r="A19330" s="120" t="inlineStr"/>
      <s:c r="B19330" s="121" t="n"/>
      <s:c r="C19330" s="121" t="n"/>
      <s:c r="D19330" s="121" t="n"/>
      <s:c r="E19330" s="122" t="n"/>
    </s:row>
    <s:row r="19331" hidden="1" ht="1" customHeight="1">
      <s:c r="A19331" s="120" t="inlineStr"/>
      <s:c r="B19331" s="121" t="n"/>
      <s:c r="C19331" s="121" t="n"/>
      <s:c r="D19331" s="121" t="n"/>
      <s:c r="E19331" s="122" t="n"/>
    </s:row>
    <s:row r="19332" hidden="1" ht="1" customHeight="1">
      <s:c r="A19332" s="120" t="inlineStr"/>
      <s:c r="B19332" s="121" t="n"/>
      <s:c r="C19332" s="121" t="n"/>
      <s:c r="D19332" s="121" t="n"/>
      <s:c r="E19332" s="122" t="n"/>
    </s:row>
    <s:row r="19333" hidden="1" ht="1" customHeight="1">
      <s:c r="A19333" s="120" t="inlineStr"/>
      <s:c r="B19333" s="121" t="n"/>
      <s:c r="C19333" s="121" t="n"/>
      <s:c r="D19333" s="121" t="n"/>
      <s:c r="E19333" s="122" t="n"/>
    </s:row>
    <s:row r="19334" hidden="1" ht="1" customHeight="1">
      <s:c r="A19334" s="120" t="inlineStr"/>
      <s:c r="B19334" s="121" t="n"/>
      <s:c r="C19334" s="121" t="n"/>
      <s:c r="D19334" s="121" t="n"/>
      <s:c r="E19334" s="122" t="n"/>
    </s:row>
    <s:row r="19335" hidden="1" ht="1" customHeight="1">
      <s:c r="A19335" s="120" t="inlineStr"/>
      <s:c r="B19335" s="121" t="n"/>
      <s:c r="C19335" s="121" t="n"/>
      <s:c r="D19335" s="121" t="n"/>
      <s:c r="E19335" s="122" t="n"/>
    </s:row>
    <s:row r="19336" hidden="1" ht="1" customHeight="1">
      <s:c r="A19336" s="120" t="inlineStr"/>
      <s:c r="B19336" s="121" t="n"/>
      <s:c r="C19336" s="121" t="n"/>
      <s:c r="D19336" s="121" t="n"/>
      <s:c r="E19336" s="122" t="n"/>
    </s:row>
    <s:row r="19337" hidden="1" ht="1" customHeight="1">
      <s:c r="A19337" s="120" t="inlineStr"/>
      <s:c r="B19337" s="121" t="n"/>
      <s:c r="C19337" s="121" t="n"/>
      <s:c r="D19337" s="121" t="n"/>
      <s:c r="E19337" s="122" t="n"/>
    </s:row>
    <s:row r="19338" hidden="1" ht="1" customHeight="1">
      <s:c r="A19338" s="120" t="inlineStr"/>
      <s:c r="B19338" s="121" t="n"/>
      <s:c r="C19338" s="121" t="n"/>
      <s:c r="D19338" s="121" t="n"/>
      <s:c r="E19338" s="122" t="n"/>
    </s:row>
    <s:row r="19339" hidden="1" ht="1" customHeight="1">
      <s:c r="A19339" s="120" t="inlineStr"/>
      <s:c r="B19339" s="121" t="n"/>
      <s:c r="C19339" s="121" t="n"/>
      <s:c r="D19339" s="121" t="n"/>
      <s:c r="E19339" s="122" t="n"/>
    </s:row>
    <s:row r="19340" hidden="1" ht="1" customHeight="1">
      <s:c r="A19340" s="120" t="inlineStr"/>
      <s:c r="B19340" s="121" t="n"/>
      <s:c r="C19340" s="121" t="n"/>
      <s:c r="D19340" s="121" t="n"/>
      <s:c r="E19340" s="122" t="n"/>
    </s:row>
    <s:row r="19341" hidden="1" ht="1" customHeight="1">
      <s:c r="A19341" s="120" t="inlineStr"/>
      <s:c r="B19341" s="121" t="n"/>
      <s:c r="C19341" s="121" t="n"/>
      <s:c r="D19341" s="121" t="n"/>
      <s:c r="E19341" s="122" t="n"/>
    </s:row>
    <s:row r="19342" hidden="1" ht="1" customHeight="1">
      <s:c r="A19342" s="120" t="inlineStr"/>
      <s:c r="B19342" s="121" t="n"/>
      <s:c r="C19342" s="121" t="n"/>
      <s:c r="D19342" s="121" t="n"/>
      <s:c r="E19342" s="122" t="n"/>
    </s:row>
    <s:row r="19343" hidden="1" ht="1" customHeight="1">
      <s:c r="A19343" s="120" t="inlineStr"/>
      <s:c r="B19343" s="121" t="n"/>
      <s:c r="C19343" s="121" t="n"/>
      <s:c r="D19343" s="121" t="n"/>
      <s:c r="E19343" s="122" t="n"/>
    </s:row>
    <s:row r="19344" hidden="1" ht="1" customHeight="1">
      <s:c r="A19344" s="120" t="inlineStr"/>
      <s:c r="B19344" s="121" t="n"/>
      <s:c r="C19344" s="121" t="n"/>
      <s:c r="D19344" s="121" t="n"/>
      <s:c r="E19344" s="122" t="n"/>
    </s:row>
    <s:row r="19345" hidden="1" ht="1" customHeight="1">
      <s:c r="A19345" s="120" t="inlineStr"/>
      <s:c r="B19345" s="121" t="n"/>
      <s:c r="C19345" s="121" t="n"/>
      <s:c r="D19345" s="121" t="n"/>
      <s:c r="E19345" s="122" t="n"/>
    </s:row>
    <s:row r="19346" hidden="1" ht="1" customHeight="1">
      <s:c r="A19346" s="120" t="inlineStr"/>
      <s:c r="B19346" s="121" t="n"/>
      <s:c r="C19346" s="121" t="n"/>
      <s:c r="D19346" s="121" t="n"/>
      <s:c r="E19346" s="122" t="n"/>
    </s:row>
    <s:row r="19347" hidden="1" ht="1" customHeight="1">
      <s:c r="A19347" s="120" t="inlineStr"/>
      <s:c r="B19347" s="121" t="n"/>
      <s:c r="C19347" s="121" t="n"/>
      <s:c r="D19347" s="121" t="n"/>
      <s:c r="E19347" s="122" t="n"/>
    </s:row>
    <s:row r="19348" hidden="1" ht="1" customHeight="1">
      <s:c r="A19348" s="120" t="inlineStr"/>
      <s:c r="B19348" s="121" t="n"/>
      <s:c r="C19348" s="121" t="n"/>
      <s:c r="D19348" s="121" t="n"/>
      <s:c r="E19348" s="122" t="n"/>
    </s:row>
    <s:row r="19349" hidden="1" ht="1" customHeight="1">
      <s:c r="A19349" s="120" t="inlineStr"/>
      <s:c r="B19349" s="121" t="n"/>
      <s:c r="C19349" s="121" t="n"/>
      <s:c r="D19349" s="121" t="n"/>
      <s:c r="E19349" s="122" t="n"/>
    </s:row>
    <s:row r="19350" hidden="1" ht="1" customHeight="1">
      <s:c r="A19350" s="120" t="inlineStr"/>
      <s:c r="B19350" s="121" t="n"/>
      <s:c r="C19350" s="121" t="n"/>
      <s:c r="D19350" s="121" t="n"/>
      <s:c r="E19350" s="122" t="n"/>
    </s:row>
    <s:row r="19351" hidden="1" ht="1" customHeight="1">
      <s:c r="A19351" s="120" t="inlineStr"/>
      <s:c r="B19351" s="121" t="n"/>
      <s:c r="C19351" s="121" t="n"/>
      <s:c r="D19351" s="121" t="n"/>
      <s:c r="E19351" s="122" t="n"/>
    </s:row>
    <s:row r="19352" hidden="1" ht="1" customHeight="1">
      <s:c r="A19352" s="120" t="inlineStr"/>
      <s:c r="B19352" s="121" t="n"/>
      <s:c r="C19352" s="121" t="n"/>
      <s:c r="D19352" s="121" t="n"/>
      <s:c r="E19352" s="122" t="n"/>
    </s:row>
    <s:row r="19353" hidden="1" ht="1" customHeight="1">
      <s:c r="A19353" s="120" t="inlineStr"/>
      <s:c r="B19353" s="121" t="n"/>
      <s:c r="C19353" s="121" t="n"/>
      <s:c r="D19353" s="121" t="n"/>
      <s:c r="E19353" s="122" t="n"/>
    </s:row>
    <s:row r="19354" hidden="1" ht="1" customHeight="1">
      <s:c r="A19354" s="120" t="inlineStr"/>
      <s:c r="B19354" s="121" t="n"/>
      <s:c r="C19354" s="121" t="n"/>
      <s:c r="D19354" s="121" t="n"/>
      <s:c r="E19354" s="122" t="n"/>
    </s:row>
    <s:row r="19355" hidden="1" ht="1" customHeight="1">
      <s:c r="A19355" s="120" t="inlineStr"/>
      <s:c r="B19355" s="121" t="n"/>
      <s:c r="C19355" s="121" t="n"/>
      <s:c r="D19355" s="121" t="n"/>
      <s:c r="E19355" s="122" t="n"/>
    </s:row>
    <s:row r="19356" hidden="1" ht="1" customHeight="1">
      <s:c r="A19356" s="120" t="inlineStr"/>
      <s:c r="B19356" s="121" t="n"/>
      <s:c r="C19356" s="121" t="n"/>
      <s:c r="D19356" s="121" t="n"/>
      <s:c r="E19356" s="122" t="n"/>
    </s:row>
    <s:row r="19357" hidden="1" ht="1" customHeight="1">
      <s:c r="A19357" s="120" t="inlineStr"/>
      <s:c r="B19357" s="121" t="n"/>
      <s:c r="C19357" s="121" t="n"/>
      <s:c r="D19357" s="121" t="n"/>
      <s:c r="E19357" s="122" t="n"/>
    </s:row>
    <s:row r="19358" hidden="1" ht="1" customHeight="1">
      <s:c r="A19358" s="120" t="inlineStr"/>
      <s:c r="B19358" s="121" t="n"/>
      <s:c r="C19358" s="121" t="n"/>
      <s:c r="D19358" s="121" t="n"/>
      <s:c r="E19358" s="122" t="n"/>
    </s:row>
    <s:row r="19359" hidden="1" ht="1" customHeight="1">
      <s:c r="A19359" s="120" t="inlineStr"/>
      <s:c r="B19359" s="121" t="n"/>
      <s:c r="C19359" s="121" t="n"/>
      <s:c r="D19359" s="121" t="n"/>
      <s:c r="E19359" s="122" t="n"/>
    </s:row>
    <s:row r="19360" hidden="1" ht="1" customHeight="1">
      <s:c r="A19360" s="120" t="inlineStr"/>
      <s:c r="B19360" s="121" t="n"/>
      <s:c r="C19360" s="121" t="n"/>
      <s:c r="D19360" s="121" t="n"/>
      <s:c r="E19360" s="122" t="n"/>
    </s:row>
    <s:row r="19361" hidden="1" ht="1" customHeight="1">
      <s:c r="A19361" s="120" t="inlineStr"/>
      <s:c r="B19361" s="121" t="n"/>
      <s:c r="C19361" s="121" t="n"/>
      <s:c r="D19361" s="121" t="n"/>
      <s:c r="E19361" s="122" t="n"/>
    </s:row>
    <s:row r="19362" hidden="1" ht="1" customHeight="1">
      <s:c r="A19362" s="120" t="inlineStr"/>
      <s:c r="B19362" s="121" t="n"/>
      <s:c r="C19362" s="121" t="n"/>
      <s:c r="D19362" s="121" t="n"/>
      <s:c r="E19362" s="122" t="n"/>
    </s:row>
    <s:row r="19363" hidden="1" ht="1" customHeight="1">
      <s:c r="A19363" s="120" t="inlineStr"/>
      <s:c r="B19363" s="121" t="n"/>
      <s:c r="C19363" s="121" t="n"/>
      <s:c r="D19363" s="121" t="n"/>
      <s:c r="E19363" s="122" t="n"/>
    </s:row>
    <s:row r="19364" hidden="1" ht="1" customHeight="1">
      <s:c r="A19364" s="120" t="inlineStr"/>
      <s:c r="B19364" s="121" t="n"/>
      <s:c r="C19364" s="121" t="n"/>
      <s:c r="D19364" s="121" t="n"/>
      <s:c r="E19364" s="122" t="n"/>
    </s:row>
    <s:row r="19365" hidden="1" ht="1" customHeight="1">
      <s:c r="A19365" s="120" t="inlineStr"/>
      <s:c r="B19365" s="121" t="n"/>
      <s:c r="C19365" s="121" t="n"/>
      <s:c r="D19365" s="121" t="n"/>
      <s:c r="E19365" s="122" t="n"/>
    </s:row>
    <s:row r="19366" hidden="1" ht="1" customHeight="1">
      <s:c r="A19366" s="120" t="inlineStr"/>
      <s:c r="B19366" s="121" t="n"/>
      <s:c r="C19366" s="121" t="n"/>
      <s:c r="D19366" s="121" t="n"/>
      <s:c r="E19366" s="122" t="n"/>
    </s:row>
    <s:row r="19367" hidden="1" ht="1" customHeight="1">
      <s:c r="A19367" s="120" t="inlineStr"/>
      <s:c r="B19367" s="121" t="n"/>
      <s:c r="C19367" s="121" t="n"/>
      <s:c r="D19367" s="121" t="n"/>
      <s:c r="E19367" s="122" t="n"/>
    </s:row>
    <s:row r="19368" hidden="1" ht="1" customHeight="1">
      <s:c r="A19368" s="120" t="inlineStr"/>
      <s:c r="B19368" s="121" t="n"/>
      <s:c r="C19368" s="121" t="n"/>
      <s:c r="D19368" s="121" t="n"/>
      <s:c r="E19368" s="122" t="n"/>
    </s:row>
    <s:row r="19369" hidden="1" ht="1" customHeight="1">
      <s:c r="A19369" s="120" t="inlineStr"/>
      <s:c r="B19369" s="121" t="n"/>
      <s:c r="C19369" s="121" t="n"/>
      <s:c r="D19369" s="121" t="n"/>
      <s:c r="E19369" s="122" t="n"/>
    </s:row>
    <s:row r="19370" hidden="1" ht="1" customHeight="1">
      <s:c r="A19370" s="120" t="inlineStr"/>
      <s:c r="B19370" s="121" t="n"/>
      <s:c r="C19370" s="121" t="n"/>
      <s:c r="D19370" s="121" t="n"/>
      <s:c r="E19370" s="122" t="n"/>
    </s:row>
    <s:row r="19371" hidden="1" ht="1" customHeight="1">
      <s:c r="A19371" s="120" t="inlineStr"/>
      <s:c r="B19371" s="121" t="n"/>
      <s:c r="C19371" s="121" t="n"/>
      <s:c r="D19371" s="121" t="n"/>
      <s:c r="E19371" s="122" t="n"/>
    </s:row>
    <s:row r="19372" hidden="1" ht="1" customHeight="1">
      <s:c r="A19372" s="120" t="inlineStr"/>
      <s:c r="B19372" s="121" t="n"/>
      <s:c r="C19372" s="121" t="n"/>
      <s:c r="D19372" s="121" t="n"/>
      <s:c r="E19372" s="122" t="n"/>
    </s:row>
    <s:row r="19373" hidden="1" ht="1" customHeight="1">
      <s:c r="A19373" s="120" t="inlineStr"/>
      <s:c r="B19373" s="121" t="n"/>
      <s:c r="C19373" s="121" t="n"/>
      <s:c r="D19373" s="121" t="n"/>
      <s:c r="E19373" s="122" t="n"/>
    </s:row>
    <s:row r="19374" hidden="1" ht="1" customHeight="1">
      <s:c r="A19374" s="120" t="inlineStr"/>
      <s:c r="B19374" s="121" t="n"/>
      <s:c r="C19374" s="121" t="n"/>
      <s:c r="D19374" s="121" t="n"/>
      <s:c r="E19374" s="122" t="n"/>
    </s:row>
    <s:row r="19375" hidden="1" ht="1" customHeight="1">
      <s:c r="A19375" s="120" t="inlineStr"/>
      <s:c r="B19375" s="121" t="n"/>
      <s:c r="C19375" s="121" t="n"/>
      <s:c r="D19375" s="121" t="n"/>
      <s:c r="E19375" s="122" t="n"/>
    </s:row>
    <s:row r="19376" hidden="1" ht="1" customHeight="1">
      <s:c r="A19376" s="120" t="inlineStr"/>
      <s:c r="B19376" s="121" t="n"/>
      <s:c r="C19376" s="121" t="n"/>
      <s:c r="D19376" s="121" t="n"/>
      <s:c r="E19376" s="122" t="n"/>
    </s:row>
    <s:row r="19377" hidden="1" ht="1" customHeight="1">
      <s:c r="A19377" s="120" t="inlineStr"/>
      <s:c r="B19377" s="121" t="n"/>
      <s:c r="C19377" s="121" t="n"/>
      <s:c r="D19377" s="121" t="n"/>
      <s:c r="E19377" s="122" t="n"/>
    </s:row>
    <s:row r="19378" hidden="1" ht="1" customHeight="1">
      <s:c r="A19378" s="120" t="inlineStr"/>
      <s:c r="B19378" s="121" t="n"/>
      <s:c r="C19378" s="121" t="n"/>
      <s:c r="D19378" s="121" t="n"/>
      <s:c r="E19378" s="122" t="n"/>
    </s:row>
    <s:row r="19379" hidden="1" ht="1" customHeight="1">
      <s:c r="A19379" s="120" t="inlineStr"/>
      <s:c r="B19379" s="121" t="n"/>
      <s:c r="C19379" s="121" t="n"/>
      <s:c r="D19379" s="121" t="n"/>
      <s:c r="E19379" s="122" t="n"/>
    </s:row>
    <s:row r="19380" hidden="1" ht="1" customHeight="1">
      <s:c r="A19380" s="120" t="inlineStr"/>
      <s:c r="B19380" s="121" t="n"/>
      <s:c r="C19380" s="121" t="n"/>
      <s:c r="D19380" s="121" t="n"/>
      <s:c r="E19380" s="122" t="n"/>
    </s:row>
    <s:row r="19381" hidden="1" ht="1" customHeight="1">
      <s:c r="A19381" s="120" t="inlineStr"/>
      <s:c r="B19381" s="121" t="n"/>
      <s:c r="C19381" s="121" t="n"/>
      <s:c r="D19381" s="121" t="n"/>
      <s:c r="E19381" s="122" t="n"/>
    </s:row>
    <s:row r="19382" hidden="1" ht="1" customHeight="1">
      <s:c r="A19382" s="120" t="inlineStr"/>
      <s:c r="B19382" s="121" t="n"/>
      <s:c r="C19382" s="121" t="n"/>
      <s:c r="D19382" s="121" t="n"/>
      <s:c r="E19382" s="122" t="n"/>
    </s:row>
    <s:row r="19383" hidden="1" ht="1" customHeight="1">
      <s:c r="A19383" s="120" t="inlineStr"/>
      <s:c r="B19383" s="121" t="n"/>
      <s:c r="C19383" s="121" t="n"/>
      <s:c r="D19383" s="121" t="n"/>
      <s:c r="E19383" s="122" t="n"/>
    </s:row>
    <s:row r="19384" hidden="1" ht="1" customHeight="1">
      <s:c r="A19384" s="120" t="inlineStr"/>
      <s:c r="B19384" s="121" t="n"/>
      <s:c r="C19384" s="121" t="n"/>
      <s:c r="D19384" s="121" t="n"/>
      <s:c r="E19384" s="122" t="n"/>
    </s:row>
    <s:row r="19385" hidden="1" ht="1" customHeight="1">
      <s:c r="A19385" s="120" t="inlineStr"/>
      <s:c r="B19385" s="121" t="n"/>
      <s:c r="C19385" s="121" t="n"/>
      <s:c r="D19385" s="121" t="n"/>
      <s:c r="E19385" s="122" t="n"/>
    </s:row>
    <s:row r="19386" hidden="1" ht="1" customHeight="1">
      <s:c r="A19386" s="120" t="inlineStr"/>
      <s:c r="B19386" s="121" t="n"/>
      <s:c r="C19386" s="121" t="n"/>
      <s:c r="D19386" s="121" t="n"/>
      <s:c r="E19386" s="122" t="n"/>
    </s:row>
    <s:row r="19387" hidden="1" ht="1" customHeight="1">
      <s:c r="A19387" s="120" t="inlineStr"/>
      <s:c r="B19387" s="121" t="n"/>
      <s:c r="C19387" s="121" t="n"/>
      <s:c r="D19387" s="121" t="n"/>
      <s:c r="E19387" s="122" t="n"/>
    </s:row>
    <s:row r="19388" hidden="1" ht="1" customHeight="1">
      <s:c r="A19388" s="120" t="inlineStr"/>
      <s:c r="B19388" s="121" t="n"/>
      <s:c r="C19388" s="121" t="n"/>
      <s:c r="D19388" s="121" t="n"/>
      <s:c r="E19388" s="122" t="n"/>
    </s:row>
    <s:row r="19389" hidden="1" ht="1" customHeight="1">
      <s:c r="A19389" s="120" t="inlineStr"/>
      <s:c r="B19389" s="121" t="n"/>
      <s:c r="C19389" s="121" t="n"/>
      <s:c r="D19389" s="121" t="n"/>
      <s:c r="E19389" s="122" t="n"/>
    </s:row>
    <s:row r="19390" hidden="1" ht="1" customHeight="1">
      <s:c r="A19390" s="120" t="inlineStr"/>
      <s:c r="B19390" s="121" t="n"/>
      <s:c r="C19390" s="121" t="n"/>
      <s:c r="D19390" s="121" t="n"/>
      <s:c r="E19390" s="122" t="n"/>
    </s:row>
    <s:row r="19391" hidden="1" ht="1" customHeight="1">
      <s:c r="A19391" s="120" t="inlineStr"/>
      <s:c r="B19391" s="121" t="n"/>
      <s:c r="C19391" s="121" t="n"/>
      <s:c r="D19391" s="121" t="n"/>
      <s:c r="E19391" s="122" t="n"/>
    </s:row>
    <s:row r="19392" hidden="1" ht="1" customHeight="1">
      <s:c r="A19392" s="120" t="inlineStr"/>
      <s:c r="B19392" s="121" t="n"/>
      <s:c r="C19392" s="121" t="n"/>
      <s:c r="D19392" s="121" t="n"/>
      <s:c r="E19392" s="122" t="n"/>
    </s:row>
    <s:row r="19393" hidden="1" ht="1" customHeight="1">
      <s:c r="A19393" s="120" t="inlineStr"/>
      <s:c r="B19393" s="121" t="n"/>
      <s:c r="C19393" s="121" t="n"/>
      <s:c r="D19393" s="121" t="n"/>
      <s:c r="E19393" s="122" t="n"/>
    </s:row>
    <s:row r="19394" hidden="1" ht="1" customHeight="1">
      <s:c r="A19394" s="120" t="inlineStr"/>
      <s:c r="B19394" s="121" t="n"/>
      <s:c r="C19394" s="121" t="n"/>
      <s:c r="D19394" s="121" t="n"/>
      <s:c r="E19394" s="122" t="n"/>
    </s:row>
    <s:row r="19395" hidden="1" ht="1" customHeight="1">
      <s:c r="A19395" s="120" t="inlineStr"/>
      <s:c r="B19395" s="121" t="n"/>
      <s:c r="C19395" s="121" t="n"/>
      <s:c r="D19395" s="121" t="n"/>
      <s:c r="E19395" s="122" t="n"/>
    </s:row>
    <s:row r="19396" hidden="1" ht="1" customHeight="1">
      <s:c r="A19396" s="120" t="inlineStr"/>
      <s:c r="B19396" s="121" t="n"/>
      <s:c r="C19396" s="121" t="n"/>
      <s:c r="D19396" s="121" t="n"/>
      <s:c r="E19396" s="122" t="n"/>
    </s:row>
    <s:row r="19397" hidden="1" ht="1" customHeight="1">
      <s:c r="A19397" s="120" t="inlineStr"/>
      <s:c r="B19397" s="121" t="n"/>
      <s:c r="C19397" s="121" t="n"/>
      <s:c r="D19397" s="121" t="n"/>
      <s:c r="E19397" s="122" t="n"/>
    </s:row>
    <s:row r="19398" hidden="1" ht="1" customHeight="1">
      <s:c r="A19398" s="120" t="inlineStr"/>
      <s:c r="B19398" s="121" t="n"/>
      <s:c r="C19398" s="121" t="n"/>
      <s:c r="D19398" s="121" t="n"/>
      <s:c r="E19398" s="122" t="n"/>
    </s:row>
    <s:row r="19399" hidden="1" ht="1" customHeight="1">
      <s:c r="A19399" s="120" t="inlineStr"/>
      <s:c r="B19399" s="121" t="n"/>
      <s:c r="C19399" s="121" t="n"/>
      <s:c r="D19399" s="121" t="n"/>
      <s:c r="E19399" s="122" t="n"/>
    </s:row>
    <s:row r="19400" hidden="1" ht="1" customHeight="1">
      <s:c r="A19400" s="120" t="inlineStr"/>
      <s:c r="B19400" s="121" t="n"/>
      <s:c r="C19400" s="121" t="n"/>
      <s:c r="D19400" s="121" t="n"/>
      <s:c r="E19400" s="122" t="n"/>
    </s:row>
    <s:row r="19401" hidden="1" ht="1" customHeight="1">
      <s:c r="A19401" s="120" t="inlineStr"/>
      <s:c r="B19401" s="121" t="n"/>
      <s:c r="C19401" s="121" t="n"/>
      <s:c r="D19401" s="121" t="n"/>
      <s:c r="E19401" s="122" t="n"/>
    </s:row>
    <s:row r="19402" hidden="1" ht="1" customHeight="1">
      <s:c r="A19402" s="120" t="inlineStr"/>
      <s:c r="B19402" s="121" t="n"/>
      <s:c r="C19402" s="121" t="n"/>
      <s:c r="D19402" s="121" t="n"/>
      <s:c r="E19402" s="122" t="n"/>
    </s:row>
    <s:row r="19403" hidden="1" ht="1" customHeight="1">
      <s:c r="A19403" s="120" t="inlineStr"/>
      <s:c r="B19403" s="121" t="n"/>
      <s:c r="C19403" s="121" t="n"/>
      <s:c r="D19403" s="121" t="n"/>
      <s:c r="E19403" s="122" t="n"/>
    </s:row>
    <s:row r="19404" hidden="1" ht="1" customHeight="1">
      <s:c r="A19404" s="120" t="inlineStr"/>
      <s:c r="B19404" s="121" t="n"/>
      <s:c r="C19404" s="121" t="n"/>
      <s:c r="D19404" s="121" t="n"/>
      <s:c r="E19404" s="122" t="n"/>
    </s:row>
    <s:row r="19405" hidden="1" ht="1" customHeight="1">
      <s:c r="A19405" s="120" t="inlineStr"/>
      <s:c r="B19405" s="121" t="n"/>
      <s:c r="C19405" s="121" t="n"/>
      <s:c r="D19405" s="121" t="n"/>
      <s:c r="E19405" s="122" t="n"/>
    </s:row>
    <s:row r="19406" hidden="1" ht="1" customHeight="1">
      <s:c r="A19406" s="120" t="inlineStr"/>
      <s:c r="B19406" s="121" t="n"/>
      <s:c r="C19406" s="121" t="n"/>
      <s:c r="D19406" s="121" t="n"/>
      <s:c r="E19406" s="122" t="n"/>
    </s:row>
    <s:row r="19407" hidden="1" ht="1" customHeight="1">
      <s:c r="A19407" s="120" t="inlineStr"/>
      <s:c r="B19407" s="121" t="n"/>
      <s:c r="C19407" s="121" t="n"/>
      <s:c r="D19407" s="121" t="n"/>
      <s:c r="E19407" s="122" t="n"/>
    </s:row>
    <s:row r="19408" hidden="1" ht="1" customHeight="1">
      <s:c r="A19408" s="120" t="inlineStr"/>
      <s:c r="B19408" s="121" t="n"/>
      <s:c r="C19408" s="121" t="n"/>
      <s:c r="D19408" s="121" t="n"/>
      <s:c r="E19408" s="122" t="n"/>
    </s:row>
    <s:row r="19409" hidden="1" ht="1" customHeight="1">
      <s:c r="A19409" s="120" t="inlineStr"/>
      <s:c r="B19409" s="121" t="n"/>
      <s:c r="C19409" s="121" t="n"/>
      <s:c r="D19409" s="121" t="n"/>
      <s:c r="E19409" s="122" t="n"/>
    </s:row>
    <s:row r="19410" hidden="1" ht="1" customHeight="1">
      <s:c r="A19410" s="120" t="inlineStr"/>
      <s:c r="B19410" s="121" t="n"/>
      <s:c r="C19410" s="121" t="n"/>
      <s:c r="D19410" s="121" t="n"/>
      <s:c r="E19410" s="122" t="n"/>
    </s:row>
    <s:row r="19411" hidden="1" ht="1" customHeight="1">
      <s:c r="A19411" s="120" t="inlineStr"/>
      <s:c r="B19411" s="121" t="n"/>
      <s:c r="C19411" s="121" t="n"/>
      <s:c r="D19411" s="121" t="n"/>
      <s:c r="E19411" s="122" t="n"/>
    </s:row>
    <s:row r="19412" hidden="1" ht="1" customHeight="1">
      <s:c r="A19412" s="120" t="inlineStr"/>
      <s:c r="B19412" s="121" t="n"/>
      <s:c r="C19412" s="121" t="n"/>
      <s:c r="D19412" s="121" t="n"/>
      <s:c r="E19412" s="122" t="n"/>
    </s:row>
    <s:row r="19413" hidden="1" ht="1" customHeight="1">
      <s:c r="A19413" s="120" t="inlineStr"/>
      <s:c r="B19413" s="121" t="n"/>
      <s:c r="C19413" s="121" t="n"/>
      <s:c r="D19413" s="121" t="n"/>
      <s:c r="E19413" s="122" t="n"/>
    </s:row>
    <s:row r="19414" hidden="1" ht="1" customHeight="1">
      <s:c r="A19414" s="120" t="inlineStr"/>
      <s:c r="B19414" s="121" t="n"/>
      <s:c r="C19414" s="121" t="n"/>
      <s:c r="D19414" s="121" t="n"/>
      <s:c r="E19414" s="122" t="n"/>
    </s:row>
    <s:row r="19415" hidden="1" ht="1" customHeight="1">
      <s:c r="A19415" s="120" t="inlineStr"/>
      <s:c r="B19415" s="121" t="n"/>
      <s:c r="C19415" s="121" t="n"/>
      <s:c r="D19415" s="121" t="n"/>
      <s:c r="E19415" s="122" t="n"/>
    </s:row>
    <s:row r="19416" hidden="1" ht="1" customHeight="1">
      <s:c r="A19416" s="120" t="inlineStr"/>
      <s:c r="B19416" s="121" t="n"/>
      <s:c r="C19416" s="121" t="n"/>
      <s:c r="D19416" s="121" t="n"/>
      <s:c r="E19416" s="122" t="n"/>
    </s:row>
    <s:row r="19417" hidden="1" ht="1" customHeight="1">
      <s:c r="A19417" s="120" t="inlineStr"/>
      <s:c r="B19417" s="121" t="n"/>
      <s:c r="C19417" s="121" t="n"/>
      <s:c r="D19417" s="121" t="n"/>
      <s:c r="E19417" s="122" t="n"/>
    </s:row>
    <s:row r="19418" hidden="1" ht="1" customHeight="1">
      <s:c r="A19418" s="120" t="inlineStr"/>
      <s:c r="B19418" s="121" t="n"/>
      <s:c r="C19418" s="121" t="n"/>
      <s:c r="D19418" s="121" t="n"/>
      <s:c r="E19418" s="122" t="n"/>
    </s:row>
    <s:row r="19419" hidden="1" ht="1" customHeight="1">
      <s:c r="A19419" s="120" t="inlineStr"/>
      <s:c r="B19419" s="121" t="n"/>
      <s:c r="C19419" s="121" t="n"/>
      <s:c r="D19419" s="121" t="n"/>
      <s:c r="E19419" s="122" t="n"/>
    </s:row>
    <s:row r="19420" hidden="1" ht="1" customHeight="1">
      <s:c r="A19420" s="120" t="inlineStr"/>
      <s:c r="B19420" s="121" t="n"/>
      <s:c r="C19420" s="121" t="n"/>
      <s:c r="D19420" s="121" t="n"/>
      <s:c r="E19420" s="122" t="n"/>
    </s:row>
    <s:row r="19421" hidden="1" ht="1" customHeight="1">
      <s:c r="A19421" s="120" t="inlineStr"/>
      <s:c r="B19421" s="121" t="n"/>
      <s:c r="C19421" s="121" t="n"/>
      <s:c r="D19421" s="121" t="n"/>
      <s:c r="E19421" s="122" t="n"/>
    </s:row>
    <s:row r="19422" hidden="1" ht="1" customHeight="1">
      <s:c r="A19422" s="120" t="inlineStr"/>
      <s:c r="B19422" s="121" t="n"/>
      <s:c r="C19422" s="121" t="n"/>
      <s:c r="D19422" s="121" t="n"/>
      <s:c r="E19422" s="122" t="n"/>
    </s:row>
    <s:row r="19423" hidden="1" ht="1" customHeight="1">
      <s:c r="A19423" s="120" t="inlineStr"/>
      <s:c r="B19423" s="121" t="n"/>
      <s:c r="C19423" s="121" t="n"/>
      <s:c r="D19423" s="121" t="n"/>
      <s:c r="E19423" s="122" t="n"/>
    </s:row>
    <s:row r="19424" hidden="1" ht="1" customHeight="1">
      <s:c r="A19424" s="120" t="inlineStr"/>
      <s:c r="B19424" s="121" t="n"/>
      <s:c r="C19424" s="121" t="n"/>
      <s:c r="D19424" s="121" t="n"/>
      <s:c r="E19424" s="122" t="n"/>
    </s:row>
    <s:row r="19425" hidden="1" ht="1" customHeight="1">
      <s:c r="A19425" s="120" t="inlineStr"/>
      <s:c r="B19425" s="121" t="n"/>
      <s:c r="C19425" s="121" t="n"/>
      <s:c r="D19425" s="121" t="n"/>
      <s:c r="E19425" s="122" t="n"/>
    </s:row>
    <s:row r="19426" hidden="1" ht="1" customHeight="1">
      <s:c r="A19426" s="120" t="inlineStr"/>
      <s:c r="B19426" s="121" t="n"/>
      <s:c r="C19426" s="121" t="n"/>
      <s:c r="D19426" s="121" t="n"/>
      <s:c r="E19426" s="122" t="n"/>
    </s:row>
    <s:row r="19427" hidden="1" ht="1" customHeight="1">
      <s:c r="A19427" s="120" t="inlineStr"/>
      <s:c r="B19427" s="121" t="n"/>
      <s:c r="C19427" s="121" t="n"/>
      <s:c r="D19427" s="121" t="n"/>
      <s:c r="E19427" s="122" t="n"/>
    </s:row>
    <s:row r="19428" hidden="1" ht="1" customHeight="1">
      <s:c r="A19428" s="120" t="inlineStr"/>
      <s:c r="B19428" s="121" t="n"/>
      <s:c r="C19428" s="121" t="n"/>
      <s:c r="D19428" s="121" t="n"/>
      <s:c r="E19428" s="122" t="n"/>
    </s:row>
    <s:row r="19429" hidden="1" ht="1" customHeight="1">
      <s:c r="A19429" s="120" t="inlineStr"/>
      <s:c r="B19429" s="121" t="n"/>
      <s:c r="C19429" s="121" t="n"/>
      <s:c r="D19429" s="121" t="n"/>
      <s:c r="E19429" s="122" t="n"/>
    </s:row>
    <s:row r="19430" hidden="1" ht="1" customHeight="1">
      <s:c r="A19430" s="120" t="inlineStr"/>
      <s:c r="B19430" s="121" t="n"/>
      <s:c r="C19430" s="121" t="n"/>
      <s:c r="D19430" s="121" t="n"/>
      <s:c r="E19430" s="122" t="n"/>
    </s:row>
    <s:row r="19431" hidden="1" ht="1" customHeight="1">
      <s:c r="A19431" s="120" t="inlineStr"/>
      <s:c r="B19431" s="121" t="n"/>
      <s:c r="C19431" s="121" t="n"/>
      <s:c r="D19431" s="121" t="n"/>
      <s:c r="E19431" s="122" t="n"/>
    </s:row>
    <s:row r="19432" hidden="1" ht="1" customHeight="1">
      <s:c r="A19432" s="120" t="inlineStr"/>
      <s:c r="B19432" s="121" t="n"/>
      <s:c r="C19432" s="121" t="n"/>
      <s:c r="D19432" s="121" t="n"/>
      <s:c r="E19432" s="122" t="n"/>
    </s:row>
    <s:row r="19433" hidden="1" ht="1" customHeight="1">
      <s:c r="A19433" s="120" t="inlineStr"/>
      <s:c r="B19433" s="121" t="n"/>
      <s:c r="C19433" s="121" t="n"/>
      <s:c r="D19433" s="121" t="n"/>
      <s:c r="E19433" s="122" t="n"/>
    </s:row>
    <s:row r="19434" hidden="1" ht="1" customHeight="1">
      <s:c r="A19434" s="120" t="inlineStr"/>
      <s:c r="B19434" s="121" t="n"/>
      <s:c r="C19434" s="121" t="n"/>
      <s:c r="D19434" s="121" t="n"/>
      <s:c r="E19434" s="122" t="n"/>
    </s:row>
    <s:row r="19435" hidden="1" ht="1" customHeight="1">
      <s:c r="A19435" s="120" t="inlineStr"/>
      <s:c r="B19435" s="121" t="n"/>
      <s:c r="C19435" s="121" t="n"/>
      <s:c r="D19435" s="121" t="n"/>
      <s:c r="E19435" s="122" t="n"/>
    </s:row>
    <s:row r="19436" hidden="1" ht="1" customHeight="1">
      <s:c r="A19436" s="120" t="inlineStr"/>
      <s:c r="B19436" s="121" t="n"/>
      <s:c r="C19436" s="121" t="n"/>
      <s:c r="D19436" s="121" t="n"/>
      <s:c r="E19436" s="122" t="n"/>
    </s:row>
    <s:row r="19437" hidden="1" ht="1" customHeight="1">
      <s:c r="A19437" s="120" t="inlineStr"/>
      <s:c r="B19437" s="121" t="n"/>
      <s:c r="C19437" s="121" t="n"/>
      <s:c r="D19437" s="121" t="n"/>
      <s:c r="E19437" s="122" t="n"/>
    </s:row>
    <s:row r="19438" hidden="1" ht="1" customHeight="1">
      <s:c r="A19438" s="120" t="inlineStr"/>
      <s:c r="B19438" s="121" t="n"/>
      <s:c r="C19438" s="121" t="n"/>
      <s:c r="D19438" s="121" t="n"/>
      <s:c r="E19438" s="122" t="n"/>
    </s:row>
    <s:row r="19439" hidden="1" ht="1" customHeight="1">
      <s:c r="A19439" s="120" t="inlineStr"/>
      <s:c r="B19439" s="121" t="n"/>
      <s:c r="C19439" s="121" t="n"/>
      <s:c r="D19439" s="121" t="n"/>
      <s:c r="E19439" s="122" t="n"/>
    </s:row>
    <s:row r="19440" hidden="1" ht="1" customHeight="1">
      <s:c r="A19440" s="120" t="inlineStr"/>
      <s:c r="B19440" s="121" t="n"/>
      <s:c r="C19440" s="121" t="n"/>
      <s:c r="D19440" s="121" t="n"/>
      <s:c r="E19440" s="122" t="n"/>
    </s:row>
    <s:row r="19441" hidden="1" ht="1" customHeight="1">
      <s:c r="A19441" s="120" t="inlineStr"/>
      <s:c r="B19441" s="121" t="n"/>
      <s:c r="C19441" s="121" t="n"/>
      <s:c r="D19441" s="121" t="n"/>
      <s:c r="E19441" s="122" t="n"/>
    </s:row>
    <s:row r="19442" hidden="1" ht="1" customHeight="1">
      <s:c r="A19442" s="120" t="inlineStr"/>
      <s:c r="B19442" s="121" t="n"/>
      <s:c r="C19442" s="121" t="n"/>
      <s:c r="D19442" s="121" t="n"/>
      <s:c r="E19442" s="122" t="n"/>
    </s:row>
    <s:row r="19443" hidden="1" ht="1" customHeight="1">
      <s:c r="A19443" s="120" t="inlineStr"/>
      <s:c r="B19443" s="121" t="n"/>
      <s:c r="C19443" s="121" t="n"/>
      <s:c r="D19443" s="121" t="n"/>
      <s:c r="E19443" s="122" t="n"/>
    </s:row>
    <s:row r="19444" hidden="1" ht="1" customHeight="1">
      <s:c r="A19444" s="120" t="inlineStr"/>
      <s:c r="B19444" s="121" t="n"/>
      <s:c r="C19444" s="121" t="n"/>
      <s:c r="D19444" s="121" t="n"/>
      <s:c r="E19444" s="122" t="n"/>
    </s:row>
    <s:row r="19445" hidden="1" ht="1" customHeight="1">
      <s:c r="A19445" s="120" t="inlineStr"/>
      <s:c r="B19445" s="121" t="n"/>
      <s:c r="C19445" s="121" t="n"/>
      <s:c r="D19445" s="121" t="n"/>
      <s:c r="E19445" s="122" t="n"/>
    </s:row>
    <s:row r="19446" hidden="1" ht="1" customHeight="1">
      <s:c r="A19446" s="120" t="inlineStr"/>
      <s:c r="B19446" s="121" t="n"/>
      <s:c r="C19446" s="121" t="n"/>
      <s:c r="D19446" s="121" t="n"/>
      <s:c r="E19446" s="122" t="n"/>
    </s:row>
    <s:row r="19447" hidden="1" ht="1" customHeight="1">
      <s:c r="A19447" s="120" t="inlineStr"/>
      <s:c r="B19447" s="121" t="n"/>
      <s:c r="C19447" s="121" t="n"/>
      <s:c r="D19447" s="121" t="n"/>
      <s:c r="E19447" s="122" t="n"/>
    </s:row>
    <s:row r="19448" hidden="1" ht="1" customHeight="1">
      <s:c r="A19448" s="120" t="inlineStr"/>
      <s:c r="B19448" s="121" t="n"/>
      <s:c r="C19448" s="121" t="n"/>
      <s:c r="D19448" s="121" t="n"/>
      <s:c r="E19448" s="122" t="n"/>
    </s:row>
    <s:row r="19449" hidden="1" ht="1" customHeight="1">
      <s:c r="A19449" s="120" t="inlineStr"/>
      <s:c r="B19449" s="121" t="n"/>
      <s:c r="C19449" s="121" t="n"/>
      <s:c r="D19449" s="121" t="n"/>
      <s:c r="E19449" s="122" t="n"/>
    </s:row>
    <s:row r="19450" hidden="1" ht="1" customHeight="1">
      <s:c r="A19450" s="120" t="inlineStr"/>
      <s:c r="B19450" s="121" t="n"/>
      <s:c r="C19450" s="121" t="n"/>
      <s:c r="D19450" s="121" t="n"/>
      <s:c r="E19450" s="122" t="n"/>
    </s:row>
    <s:row r="19451" hidden="1" ht="1" customHeight="1">
      <s:c r="A19451" s="120" t="inlineStr"/>
      <s:c r="B19451" s="121" t="n"/>
      <s:c r="C19451" s="121" t="n"/>
      <s:c r="D19451" s="121" t="n"/>
      <s:c r="E19451" s="122" t="n"/>
    </s:row>
    <s:row r="19452" hidden="1" ht="1" customHeight="1">
      <s:c r="A19452" s="120" t="inlineStr"/>
      <s:c r="B19452" s="121" t="n"/>
      <s:c r="C19452" s="121" t="n"/>
      <s:c r="D19452" s="121" t="n"/>
      <s:c r="E19452" s="122" t="n"/>
    </s:row>
    <s:row r="19453" hidden="1" ht="1" customHeight="1">
      <s:c r="A19453" s="120" t="inlineStr"/>
      <s:c r="B19453" s="121" t="n"/>
      <s:c r="C19453" s="121" t="n"/>
      <s:c r="D19453" s="121" t="n"/>
      <s:c r="E19453" s="122" t="n"/>
    </s:row>
    <s:row r="19454" hidden="1" ht="1" customHeight="1">
      <s:c r="A19454" s="120" t="inlineStr"/>
      <s:c r="B19454" s="121" t="n"/>
      <s:c r="C19454" s="121" t="n"/>
      <s:c r="D19454" s="121" t="n"/>
      <s:c r="E19454" s="122" t="n"/>
    </s:row>
    <s:row r="19455" hidden="1" ht="1" customHeight="1">
      <s:c r="A19455" s="83" t="inlineStr">
        <s:is>
          <s:t>PASS</s:t>
        </s:is>
      </s:c>
      <s:c r="B19455" s="83">
        <s:f>SUM(IF(EXACT('Kiểm thử'!E19055,"Đạt"),1,0),IF(EXACT('Kiểm thử'!E19057,"Đạt"),1,0),IF(EXACT('Kiểm thử'!E19059,"Đạt"),1,0),IF(EXACT('Kiểm thử'!E19061,"Đạt"),1,0),IF(EXACT('Kiểm thử'!E19063,"Đạt"),1,0),IF(EXACT('Kiểm thử'!E19065,"Đạt"),1,0),IF(EXACT('Kiểm thử'!E19067,"Đạt"),1,0),IF(EXACT('Kiểm thử'!E19069,"Đạt"),1,0))</s:f>
        <s:v/>
      </s:c>
      <s:c r="C19455" s="19" t="n"/>
      <s:c r="D19455" s="19" t="n"/>
      <s:c r="E19455" s="19" t="n"/>
    </s:row>
    <s:row r="19456" hidden="1" ht="1" customHeight="1">
      <s:c r="A19456" s="83" t="inlineStr">
        <s:is>
          <s:t>FAIL</s:t>
        </s:is>
      </s:c>
      <s:c r="B19456" s="83">
        <s:f>SUM(IF(EXACT('Kiểm thử'!E19055,"Không đạt"),1,0),IF(EXACT('Kiểm thử'!E19057,"Không đạt"),1,0),IF(EXACT('Kiểm thử'!E19059,"Không đạt"),1,0),IF(EXACT('Kiểm thử'!E19061,"Không đạt"),1,0),IF(EXACT('Kiểm thử'!E19063,"Không đạt"),1,0),IF(EXACT('Kiểm thử'!E19065,"Không đạt"),1,0),IF(EXACT('Kiểm thử'!E19067,"Không đạt"),1,0),IF(EXACT('Kiểm thử'!E19069,"Không đạt"),1,0))</s:f>
        <s:v/>
      </s:c>
      <s:c r="C19456" s="19" t="n"/>
      <s:c r="D19456" s="19" t="n"/>
      <s:c r="E19456" s="19" t="n"/>
    </s:row>
    <s:row r="19457" hidden="1" ht="1" customHeight="1">
      <s:c r="A19457" s="83" t="inlineStr">
        <s:is>
          <s:t>BLOCKED</s:t>
        </s:is>
      </s:c>
      <s:c r="B19457" s="83">
        <s:f>SUM(IF(EXACT('Kiểm thử'!E19055,"Bị chặn"),1,0),IF(EXACT('Kiểm thử'!E19057,"Bị chặn"),1,0),IF(EXACT('Kiểm thử'!E19059,"Bị chặn"),1,0),IF(EXACT('Kiểm thử'!E19061,"Bị chặn"),1,0),IF(EXACT('Kiểm thử'!E19063,"Bị chặn"),1,0),IF(EXACT('Kiểm thử'!E19065,"Bị chặn"),1,0),IF(EXACT('Kiểm thử'!E19067,"Bị chặn"),1,0),IF(EXACT('Kiểm thử'!E19069,"Bị chặn"),1,0))</s:f>
        <s:v/>
      </s:c>
      <s:c r="C19457" s="19" t="n"/>
      <s:c r="D19457" s="19" t="n"/>
      <s:c r="E19457" s="19" t="n"/>
    </s:row>
    <s:row r="19458" hidden="1" ht="1" customHeight="1">
      <s:c r="A19458" s="83" t="inlineStr">
        <s:is>
          <s:t>SKIPPED</s:t>
        </s:is>
      </s:c>
      <s:c r="B19458" s="83">
        <s:f>SUM(IF(EXACT('Kiểm thử'!E19055,"Không thực hiện"),1,0),IF(EXACT('Kiểm thử'!E19057,"Không thực hiện"),1,0),IF(EXACT('Kiểm thử'!E19059,"Không thực hiện"),1,0),IF(EXACT('Kiểm thử'!E19061,"Không thực hiện"),1,0),IF(EXACT('Kiểm thử'!E19063,"Không thực hiện"),1,0),IF(EXACT('Kiểm thử'!E19065,"Không thực hiện"),1,0),IF(EXACT('Kiểm thử'!E19067,"Không thực hiện"),1,0),IF(EXACT('Kiểm thử'!E19069,"Không thực hiện"),1,0))</s:f>
        <s:v/>
      </s:c>
      <s:c r="C19458" s="19" t="n"/>
      <s:c r="D19458" s="19" t="n"/>
      <s:c r="E19458" s="19" t="n"/>
    </s:row>
    <s:row r="19459" hidden="1" ht="1" customHeight="1">
      <s:c r="A19459" s="83" t="inlineStr">
        <s:is>
          <s:t>NOT RUN</s:t>
        </s:is>
      </s:c>
      <s:c r="B19459" s="83">
        <s:f>SUM(IF(EXACT('Kiểm thử'!E19055,"Chưa thực hiện"),1,0),IF(EXACT('Kiểm thử'!E19057,"Chưa thực hiện"),1,0),IF(EXACT('Kiểm thử'!E19059,"Chưa thực hiện"),1,0),IF(EXACT('Kiểm thử'!E19061,"Chưa thực hiện"),1,0),IF(EXACT('Kiểm thử'!E19063,"Chưa thực hiện"),1,0),IF(EXACT('Kiểm thử'!E19065,"Chưa thực hiện"),1,0),IF(EXACT('Kiểm thử'!E19067,"Chưa thực hiện"),1,0),IF(EXACT('Kiểm thử'!E19069,"Chưa thực hiện"),1,0))</s:f>
        <s:v/>
      </s:c>
      <s:c r="C19459" s="19" t="n"/>
      <s:c r="D19459" s="19" t="n"/>
      <s:c r="E19459" s="19" t="n"/>
    </s:row>
    <s:row r="19460" hidden="1" ht="6" customHeight="1">
      <s:c r="A19460" s="83" t="inlineStr"/>
      <s:c r="B19460" s="19" t="n"/>
      <s:c r="C19460" s="19" t="n"/>
      <s:c r="D19460" s="19" t="n"/>
      <s:c r="E19460" s="19" t="n"/>
    </s:row>
    <s:row r="19461" ht="34" customHeight="1">
      <s:c r="A19461" s="108" t="inlineStr">
        <s:is>
          <s:t>TC-RS-FUNC-031 — Phiếu điểm: lưu qua Cập nhật（更新する）, mở lại giữ lựa chọn; chỉ dùng điều kiện đỏ vẫn được ghi nhận</s:t>
        </s:is>
      </s:c>
      <s:c r="B19461" s="111" t="n"/>
      <s:c r="C19461" s="111" t="n"/>
      <s:c r="D19461" s="111" t="n"/>
      <s:c r="E19461" s="111" t="n"/>
    </s:row>
    <s:row r="19462" ht="20" customHeight="1">
      <s:c r="A19462" s="112" t="inlineStr">
        <s:is>
          <s:t>Kết quả tình huống</s:t>
        </s:is>
      </s:c>
      <s:c r="B19462" s="113">
        <s:f>IF(SUM(IF(EXACT('Kiểm thử'!E19471,"Không đạt"),1,0),IF(EXACT('Kiểm thử'!E19473,"Không đạt"),1,0))&gt;0,"Không đạt",IF(SUM(IF(EXACT('Kiểm thử'!E19471,"Đạt"),1,0),IF(EXACT('Kiểm thử'!E19473,"Đạt"),1,0))=2,"Đạt",IF(SUM(IF(EXACT('Kiểm thử'!E19471,"Không thực hiện"),1,0),IF(EXACT('Kiểm thử'!E19473,"Không thực hiện"),1,0))=2,"Không thực hiện",IF(SUM(IF(EXACT('Kiểm thử'!E19471,"Bị chặn"),1,0),IF(EXACT('Kiểm thử'!E19473,"Bị chặn"),1,0))&gt;0,"Bị chặn",IF(SUM(IF(EXACT('Kiểm thử'!E19471,"Chưa thực hiện"),1,0),IF(EXACT('Kiểm thử'!E19473,"Chưa thực hiện"),1,0))=2,"Chưa thực hiện","Đang thực hiện")))))</s:f>
        <s:v/>
      </s:c>
      <s:c r="C19462" s="114" t="n"/>
      <s:c r="D19462" s="114" t="n"/>
      <s:c r="E19462" s="114" t="n"/>
    </s:row>
    <s:row r="19463" ht="20" customHeight="1">
      <s:c r="A19463" s="112" t="inlineStr">
        <s:is>
          <s:t>Màn hình / chức năng</s:t>
        </s:is>
      </s:c>
      <s:c r="B19463" s="113" t="inlineStr">
        <s:is>
          <s:r>
            <s:rPr>
              <s:b val="1"/>
            </s:rPr>
            <s:t>Công cụ phiếu điểm（通知表ツール）</s:t>
          </s:r>
        </s:is>
      </s:c>
      <s:c r="C19463" s="28" t="n"/>
      <s:c r="D19463" s="28" t="n"/>
      <s:c r="E19463" s="28" t="n"/>
    </s:row>
    <s:row r="19464" ht="34" customHeight="1">
      <s:c r="A19464" s="112" t="inlineStr">
        <s:is>
          <s:t>Cấu hình</s:t>
        </s:is>
      </s:c>
      <s:c r="B19464" s="113" t="inlineStr">
        <s:is>
          <s:r>
            <s:rPr>
              <s:b val="1"/>
            </s:rPr>
            <s:t>• Bảng điểm（成績表）</s:t>
          </s:r>
          <s:r>
            <s:t xml:space="preserve"> chưa dùng điều kiện nào (Thiết lập </s:t>
          </s:r>
          <s:r>
            <s:rPr>
              <s:b val="1"/>
            </s:rPr>
            <s:t>điều kiện hiển thị（表示条件を設定）</s:t>
          </s:r>
          <s:r>
            <s:rPr>
              <s:b val="1"/>
            </s:rPr>
            <s:t>= Không thiết lập（設定しない）</s:t>
          </s:r>
          <s:r>
            <s:t>).</s:t>
          </s:r>
        </s:is>
      </s:c>
      <s:c r="C19464" s="28" t="n"/>
      <s:c r="D19464" s="28" t="n"/>
      <s:c r="E19464" s="28" t="n"/>
    </s:row>
    <s:row r="19465" ht="20" customHeight="1">
      <s:c r="A19465" s="112" t="inlineStr">
        <s:is>
          <s:t>Dữ liệu test</s:t>
        </s:is>
      </s:c>
      <s:c r="B19465" s="113" t="inlineStr">
        <s:is>
          <s:t>• Cấu hình phiếu điểm: ký tự “※” phía trước</s:t>
        </s:is>
      </s:c>
      <s:c r="C19465" s="28" t="n"/>
      <s:c r="D19465" s="28" t="n"/>
      <s:c r="E19465" s="28" t="n"/>
    </s:row>
    <s:row r="19466" ht="34" customHeight="1">
      <s:c r="A19466" s="112" t="inlineStr">
        <s:is>
          <s:t>Bước 1</s:t>
        </s:is>
      </s:c>
      <s:c r="B19466" s="113" t="inlineStr">
        <s:is>
          <s:r>
            <s:t xml:space="preserve">Mở hộp tùy chọn, </s:t>
          </s:r>
          <s:r>
            <s:rPr>
              <s:b val="1"/>
            </s:rPr>
            <s:t>chọn Thiết lập（設定する）</s:t>
          </s:r>
          <s:r>
            <s:t>, chỉ chọn dòng đỏ = [※] trước, các dòng khác Nguyên trạng. Đóng hộp, không bấm Cập nhật; tải lại trang.</s:t>
          </s:r>
        </s:is>
      </s:c>
      <s:c r="C19466" s="28" t="n"/>
      <s:c r="D19466" s="28" t="n"/>
      <s:c r="E19466" s="28" t="n"/>
    </s:row>
    <s:row r="19467" ht="20" customHeight="1">
      <s:c r="A19467" s="112" t="inlineStr">
        <s:is>
          <s:t>Bước 2</s:t>
        </s:is>
      </s:c>
      <s:c r="B19467" s="113" t="inlineStr">
        <s:is>
          <s:r>
            <s:t xml:space="preserve">Lặp lại, lần </s:t>
          </s:r>
          <s:r>
            <s:rPr>
              <s:b val="1"/>
            </s:rPr>
            <s:t>này bấm Cập nhật（更新する）</s:t>
          </s:r>
          <s:r>
            <s:t>; tải lại, mở hộp.</s:t>
          </s:r>
        </s:is>
      </s:c>
      <s:c r="C19467" s="28" t="n"/>
      <s:c r="D19467" s="28" t="n"/>
      <s:c r="E19467" s="28" t="n"/>
    </s:row>
    <s:row r="19468" ht="20" customHeight="1">
      <s:c r="A19468" s="112" t="inlineStr">
        <s:is>
          <s:t>Bước 3</s:t>
        </s:is>
      </s:c>
      <s:c r="B19468" s="113" t="inlineStr">
        <s:is>
          <s:t>Xuất PDF.</s:t>
        </s:is>
      </s:c>
      <s:c r="C19468" s="28" t="n"/>
      <s:c r="D19468" s="28" t="n"/>
      <s:c r="E19468" s="28" t="n"/>
    </s:row>
    <s:row r="19469" ht="28" customHeight="1">
      <s:c r="A19469" s="115" t="inlineStr">
        <s:is>
          <s:t>Trường hợp</s:t>
        </s:is>
      </s:c>
      <s:c r="B19469" s="115" t="inlineStr">
        <s:is>
          <s:t>Dữ liệu / thao tác riêng</s:t>
        </s:is>
      </s:c>
      <s:c r="C19469" s="115" t="inlineStr">
        <s:is>
          <s:t>Kết quả mong đợi</s:t>
        </s:is>
      </s:c>
      <s:c r="D19469" s="115" t="inlineStr">
        <s:is>
          <s:t>Kết quả thực tế</s:t>
        </s:is>
      </s:c>
      <s:c r="E19469" s="115" t="inlineStr">
        <s:is>
          <s:t>Đánh giá</s:t>
        </s:is>
      </s:c>
    </s:row>
    <s:row r="19470" ht="3" customHeight="1">
      <s:c r="A19470" s="102" t="inlineStr"/>
      <s:c r="B19470" s="99" t="n"/>
      <s:c r="C19470" s="99" t="n"/>
      <s:c r="D19470" s="116" t="n"/>
      <s:c r="E19470" s="116" t="n"/>
    </s:row>
    <s:row r="19471" ht="76" customHeight="1">
      <s:c r="A19471" s="83" t="inlineStr">
        <s:is>
          <s:t>Đóng mà chưa cập nhật (unsaved)</s:t>
        </s:is>
      </s:c>
      <s:c r="B19471" s="83" t="inlineStr">
        <s:is>
          <s:r>
            <s:t xml:space="preserve">Bảng chưa dùng điều kiện: mở tùy chọn, </s:t>
          </s:r>
          <s:r>
            <s:rPr>
              <s:b val="1"/>
            </s:rPr>
            <s:t>chọn Thiết lập（設定する）</s:t>
          </s:r>
          <s:r>
            <s:t>, chỉ dòng đỏ=[※] trước, các dòng khác Nguyên trạng; đóng hộp không bấm Cập nhật, tải lại.</s:t>
          </s:r>
        </s:is>
      </s:c>
      <s:c r="C19471" s="83" t="inlineStr">
        <s:is>
          <s:t>1. Không bấm Cập nhật: thay đổi không được lưu (hành vi hiện có).</s:t>
        </s:is>
      </s:c>
      <s:c r="D19471" s="117" t="inlineStr"/>
      <s:c r="E19471" s="118" t="inlineStr">
        <s:is>
          <s:t>Chưa thực hiện</s:t>
        </s:is>
      </s:c>
    </s:row>
    <s:row r="19472" ht="3" customHeight="1">
      <s:c r="A19472" s="102" t="inlineStr"/>
      <s:c r="B19472" s="99" t="n"/>
      <s:c r="C19472" s="99" t="n"/>
      <s:c r="D19472" s="116" t="n"/>
      <s:c r="E19472" s="116" t="n"/>
    </s:row>
    <s:row r="19473" ht="62" customHeight="1">
      <s:c r="A19473" s="83" t="inlineStr">
        <s:is>
          <s:t>Cập nhật rồi xuất PDF (saved-pdf)</s:t>
        </s:is>
      </s:c>
      <s:c r="B19473" s="83" t="inlineStr">
        <s:is>
          <s:r>
            <s:t xml:space="preserve">Dựng cùng baseline độc lập, chọn chỉ dòng đỏ=[※] trước; đóng hộp </s:t>
          </s:r>
          <s:r>
            <s:rPr>
              <s:b val="1"/>
            </s:rPr>
            <s:t>và bấm Cập nhật（更新する）</s:t>
          </s:r>
          <s:r>
            <s:t>, tải lại/mở hộp rồi xuất PDF.</s:t>
          </s:r>
        </s:is>
      </s:c>
      <s:c r="C19473" s="83" t="inlineStr">
        <s:is>
          <s:t>2. Có bấm Cập nhật: mở lại thấy dòng đỏ = [※] trước; bảng được ghi nhận là có dùng điều kiện dù chỉ điều kiện đỏ được chọn.
3. PDF áp dụng điều kiện đỏ.</s:t>
        </s:is>
      </s:c>
      <s:c r="D19473" s="117" t="inlineStr"/>
      <s:c r="E19473" s="118" t="inlineStr">
        <s:is>
          <s:t>Chưa thực hiện</s:t>
        </s:is>
      </s:c>
    </s:row>
    <s:row r="19474" ht="20" customHeight="1">
      <s:c r="A19474" s="119" t="inlineStr">
        <s:is>
          <s:t>Ảnh minh chứng — Chưa có ảnh</s:t>
        </s:is>
      </s:c>
      <s:c r="B19474" s="19" t="n"/>
      <s:c r="C19474" s="19" t="n"/>
      <s:c r="D19474" s="19" t="n"/>
      <s:c r="E19474" s="19" t="n"/>
    </s:row>
    <s:row r="19475" hidden="1" ht="1" customHeight="1">
      <s:c r="A19475" s="120" t="inlineStr"/>
      <s:c r="B19475" s="121" t="n"/>
      <s:c r="C19475" s="121" t="n"/>
      <s:c r="D19475" s="121" t="n"/>
      <s:c r="E19475" s="122" t="n"/>
    </s:row>
    <s:row r="19476" hidden="1" ht="1" customHeight="1">
      <s:c r="A19476" s="120" t="inlineStr"/>
      <s:c r="B19476" s="121" t="n"/>
      <s:c r="C19476" s="121" t="n"/>
      <s:c r="D19476" s="121" t="n"/>
      <s:c r="E19476" s="122" t="n"/>
    </s:row>
    <s:row r="19477" hidden="1" ht="1" customHeight="1">
      <s:c r="A19477" s="120" t="inlineStr"/>
      <s:c r="B19477" s="121" t="n"/>
      <s:c r="C19477" s="121" t="n"/>
      <s:c r="D19477" s="121" t="n"/>
      <s:c r="E19477" s="122" t="n"/>
    </s:row>
    <s:row r="19478" hidden="1" ht="1" customHeight="1">
      <s:c r="A19478" s="120" t="inlineStr"/>
      <s:c r="B19478" s="121" t="n"/>
      <s:c r="C19478" s="121" t="n"/>
      <s:c r="D19478" s="121" t="n"/>
      <s:c r="E19478" s="122" t="n"/>
    </s:row>
    <s:row r="19479" hidden="1" ht="1" customHeight="1">
      <s:c r="A19479" s="120" t="inlineStr"/>
      <s:c r="B19479" s="121" t="n"/>
      <s:c r="C19479" s="121" t="n"/>
      <s:c r="D19479" s="121" t="n"/>
      <s:c r="E19479" s="122" t="n"/>
    </s:row>
    <s:row r="19480" hidden="1" ht="1" customHeight="1">
      <s:c r="A19480" s="120" t="inlineStr"/>
      <s:c r="B19480" s="121" t="n"/>
      <s:c r="C19480" s="121" t="n"/>
      <s:c r="D19480" s="121" t="n"/>
      <s:c r="E19480" s="122" t="n"/>
    </s:row>
    <s:row r="19481" hidden="1" ht="1" customHeight="1">
      <s:c r="A19481" s="120" t="inlineStr"/>
      <s:c r="B19481" s="121" t="n"/>
      <s:c r="C19481" s="121" t="n"/>
      <s:c r="D19481" s="121" t="n"/>
      <s:c r="E19481" s="122" t="n"/>
    </s:row>
    <s:row r="19482" hidden="1" ht="1" customHeight="1">
      <s:c r="A19482" s="120" t="inlineStr"/>
      <s:c r="B19482" s="121" t="n"/>
      <s:c r="C19482" s="121" t="n"/>
      <s:c r="D19482" s="121" t="n"/>
      <s:c r="E19482" s="122" t="n"/>
    </s:row>
    <s:row r="19483" hidden="1" ht="1" customHeight="1">
      <s:c r="A19483" s="120" t="inlineStr"/>
      <s:c r="B19483" s="121" t="n"/>
      <s:c r="C19483" s="121" t="n"/>
      <s:c r="D19483" s="121" t="n"/>
      <s:c r="E19483" s="122" t="n"/>
    </s:row>
    <s:row r="19484" hidden="1" ht="1" customHeight="1">
      <s:c r="A19484" s="120" t="inlineStr"/>
      <s:c r="B19484" s="121" t="n"/>
      <s:c r="C19484" s="121" t="n"/>
      <s:c r="D19484" s="121" t="n"/>
      <s:c r="E19484" s="122" t="n"/>
    </s:row>
    <s:row r="19485" hidden="1" ht="1" customHeight="1">
      <s:c r="A19485" s="120" t="inlineStr"/>
      <s:c r="B19485" s="121" t="n"/>
      <s:c r="C19485" s="121" t="n"/>
      <s:c r="D19485" s="121" t="n"/>
      <s:c r="E19485" s="122" t="n"/>
    </s:row>
    <s:row r="19486" hidden="1" ht="1" customHeight="1">
      <s:c r="A19486" s="120" t="inlineStr"/>
      <s:c r="B19486" s="121" t="n"/>
      <s:c r="C19486" s="121" t="n"/>
      <s:c r="D19486" s="121" t="n"/>
      <s:c r="E19486" s="122" t="n"/>
    </s:row>
    <s:row r="19487" hidden="1" ht="1" customHeight="1">
      <s:c r="A19487" s="120" t="inlineStr"/>
      <s:c r="B19487" s="121" t="n"/>
      <s:c r="C19487" s="121" t="n"/>
      <s:c r="D19487" s="121" t="n"/>
      <s:c r="E19487" s="122" t="n"/>
    </s:row>
    <s:row r="19488" hidden="1" ht="1" customHeight="1">
      <s:c r="A19488" s="120" t="inlineStr"/>
      <s:c r="B19488" s="121" t="n"/>
      <s:c r="C19488" s="121" t="n"/>
      <s:c r="D19488" s="121" t="n"/>
      <s:c r="E19488" s="122" t="n"/>
    </s:row>
    <s:row r="19489" hidden="1" ht="1" customHeight="1">
      <s:c r="A19489" s="120" t="inlineStr"/>
      <s:c r="B19489" s="121" t="n"/>
      <s:c r="C19489" s="121" t="n"/>
      <s:c r="D19489" s="121" t="n"/>
      <s:c r="E19489" s="122" t="n"/>
    </s:row>
    <s:row r="19490" hidden="1" ht="1" customHeight="1">
      <s:c r="A19490" s="120" t="inlineStr"/>
      <s:c r="B19490" s="121" t="n"/>
      <s:c r="C19490" s="121" t="n"/>
      <s:c r="D19490" s="121" t="n"/>
      <s:c r="E19490" s="122" t="n"/>
    </s:row>
    <s:row r="19491" hidden="1" ht="1" customHeight="1">
      <s:c r="A19491" s="120" t="inlineStr"/>
      <s:c r="B19491" s="121" t="n"/>
      <s:c r="C19491" s="121" t="n"/>
      <s:c r="D19491" s="121" t="n"/>
      <s:c r="E19491" s="122" t="n"/>
    </s:row>
    <s:row r="19492" hidden="1" ht="1" customHeight="1">
      <s:c r="A19492" s="120" t="inlineStr"/>
      <s:c r="B19492" s="121" t="n"/>
      <s:c r="C19492" s="121" t="n"/>
      <s:c r="D19492" s="121" t="n"/>
      <s:c r="E19492" s="122" t="n"/>
    </s:row>
    <s:row r="19493" hidden="1" ht="1" customHeight="1">
      <s:c r="A19493" s="120" t="inlineStr"/>
      <s:c r="B19493" s="121" t="n"/>
      <s:c r="C19493" s="121" t="n"/>
      <s:c r="D19493" s="121" t="n"/>
      <s:c r="E19493" s="122" t="n"/>
    </s:row>
    <s:row r="19494" hidden="1" ht="1" customHeight="1">
      <s:c r="A19494" s="120" t="inlineStr"/>
      <s:c r="B19494" s="121" t="n"/>
      <s:c r="C19494" s="121" t="n"/>
      <s:c r="D19494" s="121" t="n"/>
      <s:c r="E19494" s="122" t="n"/>
    </s:row>
    <s:row r="19495" hidden="1" ht="1" customHeight="1">
      <s:c r="A19495" s="120" t="inlineStr"/>
      <s:c r="B19495" s="121" t="n"/>
      <s:c r="C19495" s="121" t="n"/>
      <s:c r="D19495" s="121" t="n"/>
      <s:c r="E19495" s="122" t="n"/>
    </s:row>
    <s:row r="19496" hidden="1" ht="1" customHeight="1">
      <s:c r="A19496" s="120" t="inlineStr"/>
      <s:c r="B19496" s="121" t="n"/>
      <s:c r="C19496" s="121" t="n"/>
      <s:c r="D19496" s="121" t="n"/>
      <s:c r="E19496" s="122" t="n"/>
    </s:row>
    <s:row r="19497" hidden="1" ht="1" customHeight="1">
      <s:c r="A19497" s="120" t="inlineStr"/>
      <s:c r="B19497" s="121" t="n"/>
      <s:c r="C19497" s="121" t="n"/>
      <s:c r="D19497" s="121" t="n"/>
      <s:c r="E19497" s="122" t="n"/>
    </s:row>
    <s:row r="19498" hidden="1" ht="1" customHeight="1">
      <s:c r="A19498" s="120" t="inlineStr"/>
      <s:c r="B19498" s="121" t="n"/>
      <s:c r="C19498" s="121" t="n"/>
      <s:c r="D19498" s="121" t="n"/>
      <s:c r="E19498" s="122" t="n"/>
    </s:row>
    <s:row r="19499" hidden="1" ht="1" customHeight="1">
      <s:c r="A19499" s="120" t="inlineStr"/>
      <s:c r="B19499" s="121" t="n"/>
      <s:c r="C19499" s="121" t="n"/>
      <s:c r="D19499" s="121" t="n"/>
      <s:c r="E19499" s="122" t="n"/>
    </s:row>
    <s:row r="19500" hidden="1" ht="1" customHeight="1">
      <s:c r="A19500" s="120" t="inlineStr"/>
      <s:c r="B19500" s="121" t="n"/>
      <s:c r="C19500" s="121" t="n"/>
      <s:c r="D19500" s="121" t="n"/>
      <s:c r="E19500" s="122" t="n"/>
    </s:row>
    <s:row r="19501" hidden="1" ht="1" customHeight="1">
      <s:c r="A19501" s="120" t="inlineStr"/>
      <s:c r="B19501" s="121" t="n"/>
      <s:c r="C19501" s="121" t="n"/>
      <s:c r="D19501" s="121" t="n"/>
      <s:c r="E19501" s="122" t="n"/>
    </s:row>
    <s:row r="19502" hidden="1" ht="1" customHeight="1">
      <s:c r="A19502" s="120" t="inlineStr"/>
      <s:c r="B19502" s="121" t="n"/>
      <s:c r="C19502" s="121" t="n"/>
      <s:c r="D19502" s="121" t="n"/>
      <s:c r="E19502" s="122" t="n"/>
    </s:row>
    <s:row r="19503" hidden="1" ht="1" customHeight="1">
      <s:c r="A19503" s="120" t="inlineStr"/>
      <s:c r="B19503" s="121" t="n"/>
      <s:c r="C19503" s="121" t="n"/>
      <s:c r="D19503" s="121" t="n"/>
      <s:c r="E19503" s="122" t="n"/>
    </s:row>
    <s:row r="19504" hidden="1" ht="1" customHeight="1">
      <s:c r="A19504" s="120" t="inlineStr"/>
      <s:c r="B19504" s="121" t="n"/>
      <s:c r="C19504" s="121" t="n"/>
      <s:c r="D19504" s="121" t="n"/>
      <s:c r="E19504" s="122" t="n"/>
    </s:row>
    <s:row r="19505" hidden="1" ht="1" customHeight="1">
      <s:c r="A19505" s="120" t="inlineStr"/>
      <s:c r="B19505" s="121" t="n"/>
      <s:c r="C19505" s="121" t="n"/>
      <s:c r="D19505" s="121" t="n"/>
      <s:c r="E19505" s="122" t="n"/>
    </s:row>
    <s:row r="19506" hidden="1" ht="1" customHeight="1">
      <s:c r="A19506" s="120" t="inlineStr"/>
      <s:c r="B19506" s="121" t="n"/>
      <s:c r="C19506" s="121" t="n"/>
      <s:c r="D19506" s="121" t="n"/>
      <s:c r="E19506" s="122" t="n"/>
    </s:row>
    <s:row r="19507" hidden="1" ht="1" customHeight="1">
      <s:c r="A19507" s="120" t="inlineStr"/>
      <s:c r="B19507" s="121" t="n"/>
      <s:c r="C19507" s="121" t="n"/>
      <s:c r="D19507" s="121" t="n"/>
      <s:c r="E19507" s="122" t="n"/>
    </s:row>
    <s:row r="19508" hidden="1" ht="1" customHeight="1">
      <s:c r="A19508" s="120" t="inlineStr"/>
      <s:c r="B19508" s="121" t="n"/>
      <s:c r="C19508" s="121" t="n"/>
      <s:c r="D19508" s="121" t="n"/>
      <s:c r="E19508" s="122" t="n"/>
    </s:row>
    <s:row r="19509" hidden="1" ht="1" customHeight="1">
      <s:c r="A19509" s="120" t="inlineStr"/>
      <s:c r="B19509" s="121" t="n"/>
      <s:c r="C19509" s="121" t="n"/>
      <s:c r="D19509" s="121" t="n"/>
      <s:c r="E19509" s="122" t="n"/>
    </s:row>
    <s:row r="19510" hidden="1" ht="1" customHeight="1">
      <s:c r="A19510" s="120" t="inlineStr"/>
      <s:c r="B19510" s="121" t="n"/>
      <s:c r="C19510" s="121" t="n"/>
      <s:c r="D19510" s="121" t="n"/>
      <s:c r="E19510" s="122" t="n"/>
    </s:row>
    <s:row r="19511" hidden="1" ht="1" customHeight="1">
      <s:c r="A19511" s="120" t="inlineStr"/>
      <s:c r="B19511" s="121" t="n"/>
      <s:c r="C19511" s="121" t="n"/>
      <s:c r="D19511" s="121" t="n"/>
      <s:c r="E19511" s="122" t="n"/>
    </s:row>
    <s:row r="19512" hidden="1" ht="1" customHeight="1">
      <s:c r="A19512" s="120" t="inlineStr"/>
      <s:c r="B19512" s="121" t="n"/>
      <s:c r="C19512" s="121" t="n"/>
      <s:c r="D19512" s="121" t="n"/>
      <s:c r="E19512" s="122" t="n"/>
    </s:row>
    <s:row r="19513" hidden="1" ht="1" customHeight="1">
      <s:c r="A19513" s="120" t="inlineStr"/>
      <s:c r="B19513" s="121" t="n"/>
      <s:c r="C19513" s="121" t="n"/>
      <s:c r="D19513" s="121" t="n"/>
      <s:c r="E19513" s="122" t="n"/>
    </s:row>
    <s:row r="19514" hidden="1" ht="1" customHeight="1">
      <s:c r="A19514" s="120" t="inlineStr"/>
      <s:c r="B19514" s="121" t="n"/>
      <s:c r="C19514" s="121" t="n"/>
      <s:c r="D19514" s="121" t="n"/>
      <s:c r="E19514" s="122" t="n"/>
    </s:row>
    <s:row r="19515" hidden="1" ht="1" customHeight="1">
      <s:c r="A19515" s="120" t="inlineStr"/>
      <s:c r="B19515" s="121" t="n"/>
      <s:c r="C19515" s="121" t="n"/>
      <s:c r="D19515" s="121" t="n"/>
      <s:c r="E19515" s="122" t="n"/>
    </s:row>
    <s:row r="19516" hidden="1" ht="1" customHeight="1">
      <s:c r="A19516" s="120" t="inlineStr"/>
      <s:c r="B19516" s="121" t="n"/>
      <s:c r="C19516" s="121" t="n"/>
      <s:c r="D19516" s="121" t="n"/>
      <s:c r="E19516" s="122" t="n"/>
    </s:row>
    <s:row r="19517" hidden="1" ht="1" customHeight="1">
      <s:c r="A19517" s="120" t="inlineStr"/>
      <s:c r="B19517" s="121" t="n"/>
      <s:c r="C19517" s="121" t="n"/>
      <s:c r="D19517" s="121" t="n"/>
      <s:c r="E19517" s="122" t="n"/>
    </s:row>
    <s:row r="19518" hidden="1" ht="1" customHeight="1">
      <s:c r="A19518" s="120" t="inlineStr"/>
      <s:c r="B19518" s="121" t="n"/>
      <s:c r="C19518" s="121" t="n"/>
      <s:c r="D19518" s="121" t="n"/>
      <s:c r="E19518" s="122" t="n"/>
    </s:row>
    <s:row r="19519" hidden="1" ht="1" customHeight="1">
      <s:c r="A19519" s="120" t="inlineStr"/>
      <s:c r="B19519" s="121" t="n"/>
      <s:c r="C19519" s="121" t="n"/>
      <s:c r="D19519" s="121" t="n"/>
      <s:c r="E19519" s="122" t="n"/>
    </s:row>
    <s:row r="19520" hidden="1" ht="1" customHeight="1">
      <s:c r="A19520" s="120" t="inlineStr"/>
      <s:c r="B19520" s="121" t="n"/>
      <s:c r="C19520" s="121" t="n"/>
      <s:c r="D19520" s="121" t="n"/>
      <s:c r="E19520" s="122" t="n"/>
    </s:row>
    <s:row r="19521" hidden="1" ht="1" customHeight="1">
      <s:c r="A19521" s="120" t="inlineStr"/>
      <s:c r="B19521" s="121" t="n"/>
      <s:c r="C19521" s="121" t="n"/>
      <s:c r="D19521" s="121" t="n"/>
      <s:c r="E19521" s="122" t="n"/>
    </s:row>
    <s:row r="19522" hidden="1" ht="1" customHeight="1">
      <s:c r="A19522" s="120" t="inlineStr"/>
      <s:c r="B19522" s="121" t="n"/>
      <s:c r="C19522" s="121" t="n"/>
      <s:c r="D19522" s="121" t="n"/>
      <s:c r="E19522" s="122" t="n"/>
    </s:row>
    <s:row r="19523" hidden="1" ht="1" customHeight="1">
      <s:c r="A19523" s="120" t="inlineStr"/>
      <s:c r="B19523" s="121" t="n"/>
      <s:c r="C19523" s="121" t="n"/>
      <s:c r="D19523" s="121" t="n"/>
      <s:c r="E19523" s="122" t="n"/>
    </s:row>
    <s:row r="19524" hidden="1" ht="1" customHeight="1">
      <s:c r="A19524" s="120" t="inlineStr"/>
      <s:c r="B19524" s="121" t="n"/>
      <s:c r="C19524" s="121" t="n"/>
      <s:c r="D19524" s="121" t="n"/>
      <s:c r="E19524" s="122" t="n"/>
    </s:row>
    <s:row r="19525" hidden="1" ht="1" customHeight="1">
      <s:c r="A19525" s="120" t="inlineStr"/>
      <s:c r="B19525" s="121" t="n"/>
      <s:c r="C19525" s="121" t="n"/>
      <s:c r="D19525" s="121" t="n"/>
      <s:c r="E19525" s="122" t="n"/>
    </s:row>
    <s:row r="19526" hidden="1" ht="1" customHeight="1">
      <s:c r="A19526" s="120" t="inlineStr"/>
      <s:c r="B19526" s="121" t="n"/>
      <s:c r="C19526" s="121" t="n"/>
      <s:c r="D19526" s="121" t="n"/>
      <s:c r="E19526" s="122" t="n"/>
    </s:row>
    <s:row r="19527" hidden="1" ht="1" customHeight="1">
      <s:c r="A19527" s="120" t="inlineStr"/>
      <s:c r="B19527" s="121" t="n"/>
      <s:c r="C19527" s="121" t="n"/>
      <s:c r="D19527" s="121" t="n"/>
      <s:c r="E19527" s="122" t="n"/>
    </s:row>
    <s:row r="19528" hidden="1" ht="1" customHeight="1">
      <s:c r="A19528" s="120" t="inlineStr"/>
      <s:c r="B19528" s="121" t="n"/>
      <s:c r="C19528" s="121" t="n"/>
      <s:c r="D19528" s="121" t="n"/>
      <s:c r="E19528" s="122" t="n"/>
    </s:row>
    <s:row r="19529" hidden="1" ht="1" customHeight="1">
      <s:c r="A19529" s="120" t="inlineStr"/>
      <s:c r="B19529" s="121" t="n"/>
      <s:c r="C19529" s="121" t="n"/>
      <s:c r="D19529" s="121" t="n"/>
      <s:c r="E19529" s="122" t="n"/>
    </s:row>
    <s:row r="19530" hidden="1" ht="1" customHeight="1">
      <s:c r="A19530" s="120" t="inlineStr"/>
      <s:c r="B19530" s="121" t="n"/>
      <s:c r="C19530" s="121" t="n"/>
      <s:c r="D19530" s="121" t="n"/>
      <s:c r="E19530" s="122" t="n"/>
    </s:row>
    <s:row r="19531" hidden="1" ht="1" customHeight="1">
      <s:c r="A19531" s="120" t="inlineStr"/>
      <s:c r="B19531" s="121" t="n"/>
      <s:c r="C19531" s="121" t="n"/>
      <s:c r="D19531" s="121" t="n"/>
      <s:c r="E19531" s="122" t="n"/>
    </s:row>
    <s:row r="19532" hidden="1" ht="1" customHeight="1">
      <s:c r="A19532" s="120" t="inlineStr"/>
      <s:c r="B19532" s="121" t="n"/>
      <s:c r="C19532" s="121" t="n"/>
      <s:c r="D19532" s="121" t="n"/>
      <s:c r="E19532" s="122" t="n"/>
    </s:row>
    <s:row r="19533" hidden="1" ht="1" customHeight="1">
      <s:c r="A19533" s="120" t="inlineStr"/>
      <s:c r="B19533" s="121" t="n"/>
      <s:c r="C19533" s="121" t="n"/>
      <s:c r="D19533" s="121" t="n"/>
      <s:c r="E19533" s="122" t="n"/>
    </s:row>
    <s:row r="19534" hidden="1" ht="1" customHeight="1">
      <s:c r="A19534" s="120" t="inlineStr"/>
      <s:c r="B19534" s="121" t="n"/>
      <s:c r="C19534" s="121" t="n"/>
      <s:c r="D19534" s="121" t="n"/>
      <s:c r="E19534" s="122" t="n"/>
    </s:row>
    <s:row r="19535" hidden="1" ht="1" customHeight="1">
      <s:c r="A19535" s="120" t="inlineStr"/>
      <s:c r="B19535" s="121" t="n"/>
      <s:c r="C19535" s="121" t="n"/>
      <s:c r="D19535" s="121" t="n"/>
      <s:c r="E19535" s="122" t="n"/>
    </s:row>
    <s:row r="19536" hidden="1" ht="1" customHeight="1">
      <s:c r="A19536" s="120" t="inlineStr"/>
      <s:c r="B19536" s="121" t="n"/>
      <s:c r="C19536" s="121" t="n"/>
      <s:c r="D19536" s="121" t="n"/>
      <s:c r="E19536" s="122" t="n"/>
    </s:row>
    <s:row r="19537" hidden="1" ht="1" customHeight="1">
      <s:c r="A19537" s="120" t="inlineStr"/>
      <s:c r="B19537" s="121" t="n"/>
      <s:c r="C19537" s="121" t="n"/>
      <s:c r="D19537" s="121" t="n"/>
      <s:c r="E19537" s="122" t="n"/>
    </s:row>
    <s:row r="19538" hidden="1" ht="1" customHeight="1">
      <s:c r="A19538" s="120" t="inlineStr"/>
      <s:c r="B19538" s="121" t="n"/>
      <s:c r="C19538" s="121" t="n"/>
      <s:c r="D19538" s="121" t="n"/>
      <s:c r="E19538" s="122" t="n"/>
    </s:row>
    <s:row r="19539" hidden="1" ht="1" customHeight="1">
      <s:c r="A19539" s="120" t="inlineStr"/>
      <s:c r="B19539" s="121" t="n"/>
      <s:c r="C19539" s="121" t="n"/>
      <s:c r="D19539" s="121" t="n"/>
      <s:c r="E19539" s="122" t="n"/>
    </s:row>
    <s:row r="19540" hidden="1" ht="1" customHeight="1">
      <s:c r="A19540" s="120" t="inlineStr"/>
      <s:c r="B19540" s="121" t="n"/>
      <s:c r="C19540" s="121" t="n"/>
      <s:c r="D19540" s="121" t="n"/>
      <s:c r="E19540" s="122" t="n"/>
    </s:row>
    <s:row r="19541" hidden="1" ht="1" customHeight="1">
      <s:c r="A19541" s="120" t="inlineStr"/>
      <s:c r="B19541" s="121" t="n"/>
      <s:c r="C19541" s="121" t="n"/>
      <s:c r="D19541" s="121" t="n"/>
      <s:c r="E19541" s="122" t="n"/>
    </s:row>
    <s:row r="19542" hidden="1" ht="1" customHeight="1">
      <s:c r="A19542" s="120" t="inlineStr"/>
      <s:c r="B19542" s="121" t="n"/>
      <s:c r="C19542" s="121" t="n"/>
      <s:c r="D19542" s="121" t="n"/>
      <s:c r="E19542" s="122" t="n"/>
    </s:row>
    <s:row r="19543" hidden="1" ht="1" customHeight="1">
      <s:c r="A19543" s="120" t="inlineStr"/>
      <s:c r="B19543" s="121" t="n"/>
      <s:c r="C19543" s="121" t="n"/>
      <s:c r="D19543" s="121" t="n"/>
      <s:c r="E19543" s="122" t="n"/>
    </s:row>
    <s:row r="19544" hidden="1" ht="1" customHeight="1">
      <s:c r="A19544" s="120" t="inlineStr"/>
      <s:c r="B19544" s="121" t="n"/>
      <s:c r="C19544" s="121" t="n"/>
      <s:c r="D19544" s="121" t="n"/>
      <s:c r="E19544" s="122" t="n"/>
    </s:row>
    <s:row r="19545" hidden="1" ht="1" customHeight="1">
      <s:c r="A19545" s="120" t="inlineStr"/>
      <s:c r="B19545" s="121" t="n"/>
      <s:c r="C19545" s="121" t="n"/>
      <s:c r="D19545" s="121" t="n"/>
      <s:c r="E19545" s="122" t="n"/>
    </s:row>
    <s:row r="19546" hidden="1" ht="1" customHeight="1">
      <s:c r="A19546" s="120" t="inlineStr"/>
      <s:c r="B19546" s="121" t="n"/>
      <s:c r="C19546" s="121" t="n"/>
      <s:c r="D19546" s="121" t="n"/>
      <s:c r="E19546" s="122" t="n"/>
    </s:row>
    <s:row r="19547" hidden="1" ht="1" customHeight="1">
      <s:c r="A19547" s="120" t="inlineStr"/>
      <s:c r="B19547" s="121" t="n"/>
      <s:c r="C19547" s="121" t="n"/>
      <s:c r="D19547" s="121" t="n"/>
      <s:c r="E19547" s="122" t="n"/>
    </s:row>
    <s:row r="19548" hidden="1" ht="1" customHeight="1">
      <s:c r="A19548" s="120" t="inlineStr"/>
      <s:c r="B19548" s="121" t="n"/>
      <s:c r="C19548" s="121" t="n"/>
      <s:c r="D19548" s="121" t="n"/>
      <s:c r="E19548" s="122" t="n"/>
    </s:row>
    <s:row r="19549" hidden="1" ht="1" customHeight="1">
      <s:c r="A19549" s="120" t="inlineStr"/>
      <s:c r="B19549" s="121" t="n"/>
      <s:c r="C19549" s="121" t="n"/>
      <s:c r="D19549" s="121" t="n"/>
      <s:c r="E19549" s="122" t="n"/>
    </s:row>
    <s:row r="19550" hidden="1" ht="1" customHeight="1">
      <s:c r="A19550" s="120" t="inlineStr"/>
      <s:c r="B19550" s="121" t="n"/>
      <s:c r="C19550" s="121" t="n"/>
      <s:c r="D19550" s="121" t="n"/>
      <s:c r="E19550" s="122" t="n"/>
    </s:row>
    <s:row r="19551" hidden="1" ht="1" customHeight="1">
      <s:c r="A19551" s="120" t="inlineStr"/>
      <s:c r="B19551" s="121" t="n"/>
      <s:c r="C19551" s="121" t="n"/>
      <s:c r="D19551" s="121" t="n"/>
      <s:c r="E19551" s="122" t="n"/>
    </s:row>
    <s:row r="19552" hidden="1" ht="1" customHeight="1">
      <s:c r="A19552" s="120" t="inlineStr"/>
      <s:c r="B19552" s="121" t="n"/>
      <s:c r="C19552" s="121" t="n"/>
      <s:c r="D19552" s="121" t="n"/>
      <s:c r="E19552" s="122" t="n"/>
    </s:row>
    <s:row r="19553" hidden="1" ht="1" customHeight="1">
      <s:c r="A19553" s="120" t="inlineStr"/>
      <s:c r="B19553" s="121" t="n"/>
      <s:c r="C19553" s="121" t="n"/>
      <s:c r="D19553" s="121" t="n"/>
      <s:c r="E19553" s="122" t="n"/>
    </s:row>
    <s:row r="19554" hidden="1" ht="1" customHeight="1">
      <s:c r="A19554" s="120" t="inlineStr"/>
      <s:c r="B19554" s="121" t="n"/>
      <s:c r="C19554" s="121" t="n"/>
      <s:c r="D19554" s="121" t="n"/>
      <s:c r="E19554" s="122" t="n"/>
    </s:row>
    <s:row r="19555" hidden="1" ht="1" customHeight="1">
      <s:c r="A19555" s="120" t="inlineStr"/>
      <s:c r="B19555" s="121" t="n"/>
      <s:c r="C19555" s="121" t="n"/>
      <s:c r="D19555" s="121" t="n"/>
      <s:c r="E19555" s="122" t="n"/>
    </s:row>
    <s:row r="19556" hidden="1" ht="1" customHeight="1">
      <s:c r="A19556" s="120" t="inlineStr"/>
      <s:c r="B19556" s="121" t="n"/>
      <s:c r="C19556" s="121" t="n"/>
      <s:c r="D19556" s="121" t="n"/>
      <s:c r="E19556" s="122" t="n"/>
    </s:row>
    <s:row r="19557" hidden="1" ht="1" customHeight="1">
      <s:c r="A19557" s="120" t="inlineStr"/>
      <s:c r="B19557" s="121" t="n"/>
      <s:c r="C19557" s="121" t="n"/>
      <s:c r="D19557" s="121" t="n"/>
      <s:c r="E19557" s="122" t="n"/>
    </s:row>
    <s:row r="19558" hidden="1" ht="1" customHeight="1">
      <s:c r="A19558" s="120" t="inlineStr"/>
      <s:c r="B19558" s="121" t="n"/>
      <s:c r="C19558" s="121" t="n"/>
      <s:c r="D19558" s="121" t="n"/>
      <s:c r="E19558" s="122" t="n"/>
    </s:row>
    <s:row r="19559" hidden="1" ht="1" customHeight="1">
      <s:c r="A19559" s="120" t="inlineStr"/>
      <s:c r="B19559" s="121" t="n"/>
      <s:c r="C19559" s="121" t="n"/>
      <s:c r="D19559" s="121" t="n"/>
      <s:c r="E19559" s="122" t="n"/>
    </s:row>
    <s:row r="19560" hidden="1" ht="1" customHeight="1">
      <s:c r="A19560" s="120" t="inlineStr"/>
      <s:c r="B19560" s="121" t="n"/>
      <s:c r="C19560" s="121" t="n"/>
      <s:c r="D19560" s="121" t="n"/>
      <s:c r="E19560" s="122" t="n"/>
    </s:row>
    <s:row r="19561" hidden="1" ht="1" customHeight="1">
      <s:c r="A19561" s="120" t="inlineStr"/>
      <s:c r="B19561" s="121" t="n"/>
      <s:c r="C19561" s="121" t="n"/>
      <s:c r="D19561" s="121" t="n"/>
      <s:c r="E19561" s="122" t="n"/>
    </s:row>
    <s:row r="19562" hidden="1" ht="1" customHeight="1">
      <s:c r="A19562" s="120" t="inlineStr"/>
      <s:c r="B19562" s="121" t="n"/>
      <s:c r="C19562" s="121" t="n"/>
      <s:c r="D19562" s="121" t="n"/>
      <s:c r="E19562" s="122" t="n"/>
    </s:row>
    <s:row r="19563" hidden="1" ht="1" customHeight="1">
      <s:c r="A19563" s="120" t="inlineStr"/>
      <s:c r="B19563" s="121" t="n"/>
      <s:c r="C19563" s="121" t="n"/>
      <s:c r="D19563" s="121" t="n"/>
      <s:c r="E19563" s="122" t="n"/>
    </s:row>
    <s:row r="19564" hidden="1" ht="1" customHeight="1">
      <s:c r="A19564" s="120" t="inlineStr"/>
      <s:c r="B19564" s="121" t="n"/>
      <s:c r="C19564" s="121" t="n"/>
      <s:c r="D19564" s="121" t="n"/>
      <s:c r="E19564" s="122" t="n"/>
    </s:row>
    <s:row r="19565" hidden="1" ht="1" customHeight="1">
      <s:c r="A19565" s="120" t="inlineStr"/>
      <s:c r="B19565" s="121" t="n"/>
      <s:c r="C19565" s="121" t="n"/>
      <s:c r="D19565" s="121" t="n"/>
      <s:c r="E19565" s="122" t="n"/>
    </s:row>
    <s:row r="19566" hidden="1" ht="1" customHeight="1">
      <s:c r="A19566" s="120" t="inlineStr"/>
      <s:c r="B19566" s="121" t="n"/>
      <s:c r="C19566" s="121" t="n"/>
      <s:c r="D19566" s="121" t="n"/>
      <s:c r="E19566" s="122" t="n"/>
    </s:row>
    <s:row r="19567" hidden="1" ht="1" customHeight="1">
      <s:c r="A19567" s="120" t="inlineStr"/>
      <s:c r="B19567" s="121" t="n"/>
      <s:c r="C19567" s="121" t="n"/>
      <s:c r="D19567" s="121" t="n"/>
      <s:c r="E19567" s="122" t="n"/>
    </s:row>
    <s:row r="19568" hidden="1" ht="1" customHeight="1">
      <s:c r="A19568" s="120" t="inlineStr"/>
      <s:c r="B19568" s="121" t="n"/>
      <s:c r="C19568" s="121" t="n"/>
      <s:c r="D19568" s="121" t="n"/>
      <s:c r="E19568" s="122" t="n"/>
    </s:row>
    <s:row r="19569" hidden="1" ht="1" customHeight="1">
      <s:c r="A19569" s="120" t="inlineStr"/>
      <s:c r="B19569" s="121" t="n"/>
      <s:c r="C19569" s="121" t="n"/>
      <s:c r="D19569" s="121" t="n"/>
      <s:c r="E19569" s="122" t="n"/>
    </s:row>
    <s:row r="19570" hidden="1" ht="1" customHeight="1">
      <s:c r="A19570" s="120" t="inlineStr"/>
      <s:c r="B19570" s="121" t="n"/>
      <s:c r="C19570" s="121" t="n"/>
      <s:c r="D19570" s="121" t="n"/>
      <s:c r="E19570" s="122" t="n"/>
    </s:row>
    <s:row r="19571" hidden="1" ht="1" customHeight="1">
      <s:c r="A19571" s="83" t="inlineStr">
        <s:is>
          <s:t>PASS</s:t>
        </s:is>
      </s:c>
      <s:c r="B19571" s="83">
        <s:f>SUM(IF(EXACT('Kiểm thử'!E19471,"Đạt"),1,0),IF(EXACT('Kiểm thử'!E19473,"Đạt"),1,0))</s:f>
        <s:v/>
      </s:c>
      <s:c r="C19571" s="19" t="n"/>
      <s:c r="D19571" s="19" t="n"/>
      <s:c r="E19571" s="19" t="n"/>
    </s:row>
    <s:row r="19572" hidden="1" ht="1" customHeight="1">
      <s:c r="A19572" s="83" t="inlineStr">
        <s:is>
          <s:t>FAIL</s:t>
        </s:is>
      </s:c>
      <s:c r="B19572" s="83">
        <s:f>SUM(IF(EXACT('Kiểm thử'!E19471,"Không đạt"),1,0),IF(EXACT('Kiểm thử'!E19473,"Không đạt"),1,0))</s:f>
        <s:v/>
      </s:c>
      <s:c r="C19572" s="19" t="n"/>
      <s:c r="D19572" s="19" t="n"/>
      <s:c r="E19572" s="19" t="n"/>
    </s:row>
    <s:row r="19573" hidden="1" ht="1" customHeight="1">
      <s:c r="A19573" s="83" t="inlineStr">
        <s:is>
          <s:t>BLOCKED</s:t>
        </s:is>
      </s:c>
      <s:c r="B19573" s="83">
        <s:f>SUM(IF(EXACT('Kiểm thử'!E19471,"Bị chặn"),1,0),IF(EXACT('Kiểm thử'!E19473,"Bị chặn"),1,0))</s:f>
        <s:v/>
      </s:c>
      <s:c r="C19573" s="19" t="n"/>
      <s:c r="D19573" s="19" t="n"/>
      <s:c r="E19573" s="19" t="n"/>
    </s:row>
    <s:row r="19574" hidden="1" ht="1" customHeight="1">
      <s:c r="A19574" s="83" t="inlineStr">
        <s:is>
          <s:t>SKIPPED</s:t>
        </s:is>
      </s:c>
      <s:c r="B19574" s="83">
        <s:f>SUM(IF(EXACT('Kiểm thử'!E19471,"Không thực hiện"),1,0),IF(EXACT('Kiểm thử'!E19473,"Không thực hiện"),1,0))</s:f>
        <s:v/>
      </s:c>
      <s:c r="C19574" s="19" t="n"/>
      <s:c r="D19574" s="19" t="n"/>
      <s:c r="E19574" s="19" t="n"/>
    </s:row>
    <s:row r="19575" hidden="1" ht="1" customHeight="1">
      <s:c r="A19575" s="83" t="inlineStr">
        <s:is>
          <s:t>NOT RUN</s:t>
        </s:is>
      </s:c>
      <s:c r="B19575" s="83">
        <s:f>SUM(IF(EXACT('Kiểm thử'!E19471,"Chưa thực hiện"),1,0),IF(EXACT('Kiểm thử'!E19473,"Chưa thực hiện"),1,0))</s:f>
        <s:v/>
      </s:c>
      <s:c r="C19575" s="19" t="n"/>
      <s:c r="D19575" s="19" t="n"/>
      <s:c r="E19575" s="19" t="n"/>
    </s:row>
    <s:row r="19576" hidden="1" ht="6" customHeight="1">
      <s:c r="A19576" s="83" t="inlineStr"/>
      <s:c r="B19576" s="19" t="n"/>
      <s:c r="C19576" s="19" t="n"/>
      <s:c r="D19576" s="19" t="n"/>
      <s:c r="E19576" s="19" t="n"/>
    </s:row>
    <s:row r="19577" ht="28" customHeight="1">
      <s:c r="A19577" s="108" t="inlineStr">
        <s:is>
          <s:t>TC-RS-VAL-018 — Phiếu điểm: chỉ bắt buộc ký tự khi chọn phía trước/phía sau</s:t>
        </s:is>
      </s:c>
      <s:c r="B19577" s="111" t="n"/>
      <s:c r="C19577" s="111" t="n"/>
      <s:c r="D19577" s="111" t="n"/>
      <s:c r="E19577" s="111" t="n"/>
    </s:row>
    <s:row r="19578" ht="20" customHeight="1">
      <s:c r="A19578" s="112" t="inlineStr">
        <s:is>
          <s:t>Kết quả tình huống</s:t>
        </s:is>
      </s:c>
      <s:c r="B19578" s="113">
        <s:f>IF(SUM(IF(EXACT('Kiểm thử'!E19585,"Không đạt"),1,0),IF(EXACT('Kiểm thử'!E19587,"Không đạt"),1,0),IF(EXACT('Kiểm thử'!E19589,"Không đạt"),1,0),IF(EXACT('Kiểm thử'!E19591,"Không đạt"),1,0))&gt;0,"Không đạt",IF(SUM(IF(EXACT('Kiểm thử'!E19585,"Đạt"),1,0),IF(EXACT('Kiểm thử'!E19587,"Đạt"),1,0),IF(EXACT('Kiểm thử'!E19589,"Đạt"),1,0),IF(EXACT('Kiểm thử'!E19591,"Đạt"),1,0))=4,"Đạt",IF(SUM(IF(EXACT('Kiểm thử'!E19585,"Không thực hiện"),1,0),IF(EXACT('Kiểm thử'!E19587,"Không thực hiện"),1,0),IF(EXACT('Kiểm thử'!E19589,"Không thực hiện"),1,0),IF(EXACT('Kiểm thử'!E19591,"Không thực hiện"),1,0))=4,"Không thực hiện",IF(SUM(IF(EXACT('Kiểm thử'!E19585,"Bị chặn"),1,0),IF(EXACT('Kiểm thử'!E19587,"Bị chặn"),1,0),IF(EXACT('Kiểm thử'!E19589,"Bị chặn"),1,0),IF(EXACT('Kiểm thử'!E19591,"Bị chặn"),1,0))&gt;0,"Bị chặn",IF(SUM(IF(EXACT('Kiểm thử'!E19585,"Chưa thực hiện"),1,0),IF(EXACT('Kiểm thử'!E19587,"Chưa thực hiện"),1,0),IF(EXACT('Kiểm thử'!E19589,"Chưa thực hiện"),1,0),IF(EXACT('Kiểm thử'!E19591,"Chưa thực hiện"),1,0))=4,"Chưa thực hiện","Đang thực hiện")))))</s:f>
        <s:v/>
      </s:c>
      <s:c r="C19578" s="114" t="n"/>
      <s:c r="D19578" s="114" t="n"/>
      <s:c r="E19578" s="114" t="n"/>
    </s:row>
    <s:row r="19579" ht="20" customHeight="1">
      <s:c r="A19579" s="112" t="inlineStr">
        <s:is>
          <s:t>Màn hình / chức năng</s:t>
        </s:is>
      </s:c>
      <s:c r="B19579" s="113" t="inlineStr">
        <s:is>
          <s:r>
            <s:rPr>
              <s:b val="1"/>
            </s:rPr>
            <s:t>Công cụ phiếu điểm（通知表ツール）</s:t>
          </s:r>
        </s:is>
      </s:c>
      <s:c r="C19579" s="28" t="n"/>
      <s:c r="D19579" s="28" t="n"/>
      <s:c r="E19579" s="28" t="n"/>
    </s:row>
    <s:row r="19580" ht="20" customHeight="1">
      <s:c r="A19580" s="112" t="inlineStr">
        <s:is>
          <s:t>Cấu hình</s:t>
        </s:is>
      </s:c>
      <s:c r="B19580" s="113" t="inlineStr">
        <s:is>
          <s:r>
            <s:t xml:space="preserve">• </s:t>
          </s:r>
          <s:r>
            <s:rPr>
              <s:b val="1"/>
            </s:rPr>
            <s:t>Công cụ phiếu điểm（通知表ツール）</s:t>
          </s:r>
          <s:r>
            <s:t xml:space="preserve">, dòng </s:t>
          </s:r>
          <s:r>
            <s:rPr>
              <s:b val="1"/>
            </s:rPr>
            <s:t>Thiết lập điểm đỏ（赤点設定）</s:t>
          </s:r>
          <s:r>
            <s:t>.</s:t>
          </s:r>
        </s:is>
      </s:c>
      <s:c r="C19580" s="28" t="n"/>
      <s:c r="D19580" s="28" t="n"/>
      <s:c r="E19580" s="28" t="n"/>
    </s:row>
    <s:row r="19581" ht="34" customHeight="1">
      <s:c r="A19581" s="112" t="inlineStr">
        <s:is>
          <s:t>Dữ liệu test</s:t>
        </s:is>
      </s:c>
      <s:c r="B19581" s="113" t="inlineStr">
        <s:is>
          <s:r>
            <s:rPr>
              <s:b val="1"/>
            </s:rPr>
            <s:t>• Nguyên trạng（そのまま表示）</s:t>
          </s:r>
          <s:r>
            <s:t xml:space="preserve">, </s:t>
          </s:r>
          <s:r>
            <s:rPr>
              <s:b val="1"/>
            </s:rPr>
            <s:t>Kèm ngoặc（カッコ付き）</s:t>
          </s:r>
          <s:r>
            <s:t xml:space="preserve">, </s:t>
          </s:r>
          <s:r>
            <s:rPr>
              <s:b val="1"/>
            </s:rPr>
            <s:t>Ký tự phía trước（前に任意の文字）</s:t>
          </s:r>
          <s:r>
            <s:t xml:space="preserve"> để trống, </s:t>
          </s:r>
          <s:r>
            <s:rPr>
              <s:b val="1"/>
            </s:rPr>
            <s:t>Ký tự phía sau（後ろに任意の文字）</s:t>
          </s:r>
          <s:r>
            <s:t xml:space="preserve"> để trống</s:t>
          </s:r>
        </s:is>
      </s:c>
      <s:c r="C19581" s="28" t="n"/>
      <s:c r="D19581" s="28" t="n"/>
      <s:c r="E19581" s="28" t="n"/>
    </s:row>
    <s:row r="19582" ht="20" customHeight="1">
      <s:c r="A19582" s="112" t="inlineStr">
        <s:is>
          <s:t>•</s:t>
        </s:is>
      </s:c>
      <s:c r="B19582" s="113" t="inlineStr">
        <s:is>
          <s:r>
            <s:t xml:space="preserve">Chọn từng lựa chọn ở dòng </s:t>
          </s:r>
          <s:r>
            <s:rPr>
              <s:b val="1"/>
            </s:rPr>
            <s:t>Thiết lập điểm đỏ（赤点設定）</s:t>
          </s:r>
          <s:r>
            <s:t xml:space="preserve">, </s:t>
          </s:r>
          <s:r>
            <s:rPr>
              <s:b val="1"/>
            </s:rPr>
            <s:t>bấm Cập nhật（更新する）</s:t>
          </s:r>
          <s:r>
            <s:t>.</s:t>
          </s:r>
        </s:is>
      </s:c>
      <s:c r="C19582" s="28" t="n"/>
      <s:c r="D19582" s="28" t="n"/>
      <s:c r="E19582" s="28" t="n"/>
    </s:row>
    <s:row r="19583" ht="28" customHeight="1">
      <s:c r="A19583" s="115" t="inlineStr">
        <s:is>
          <s:t>Trường hợp</s:t>
        </s:is>
      </s:c>
      <s:c r="B19583" s="115" t="inlineStr">
        <s:is>
          <s:t>Dữ liệu / thao tác riêng</s:t>
        </s:is>
      </s:c>
      <s:c r="C19583" s="115" t="inlineStr">
        <s:is>
          <s:t>Kết quả mong đợi</s:t>
        </s:is>
      </s:c>
      <s:c r="D19583" s="115" t="inlineStr">
        <s:is>
          <s:t>Kết quả thực tế</s:t>
        </s:is>
      </s:c>
      <s:c r="E19583" s="115" t="inlineStr">
        <s:is>
          <s:t>Đánh giá</s:t>
        </s:is>
      </s:c>
    </s:row>
    <s:row r="19584" ht="3" customHeight="1">
      <s:c r="A19584" s="102" t="inlineStr"/>
      <s:c r="B19584" s="99" t="n"/>
      <s:c r="C19584" s="99" t="n"/>
      <s:c r="D19584" s="116" t="n"/>
      <s:c r="E19584" s="116" t="n"/>
    </s:row>
    <s:row r="19585" ht="34" customHeight="1">
      <s:c r="A19585" s="83" t="inlineStr">
        <s:is>
          <s:t>Nguyên trạng (unchanged)</s:t>
        </s:is>
      </s:c>
      <s:c r="B19585" s="83" t="inlineStr">
        <s:is>
          <s:r>
            <s:rPr>
              <s:b val="1"/>
            </s:rPr>
            <s:t>Chọn Nguyên trạng（そのまま表示）</s:t>
          </s:r>
          <s:r>
            <s:t xml:space="preserve"> ở dòng đỏ, bấm Cập nhật.</s:t>
          </s:r>
        </s:is>
      </s:c>
      <s:c r="C19585" s="83" t="inlineStr">
        <s:is>
          <s:r>
            <s:rPr>
              <s:b val="1"/>
            </s:rPr>
            <s:t>Nguyên trạng（そのまま表示）</s:t>
          </s:r>
          <s:r>
            <s:t>: không hiện ô ký tự, lưu được.</s:t>
          </s:r>
        </s:is>
      </s:c>
      <s:c r="D19585" s="117" t="inlineStr"/>
      <s:c r="E19585" s="118" t="inlineStr">
        <s:is>
          <s:t>Chưa thực hiện</s:t>
        </s:is>
      </s:c>
    </s:row>
    <s:row r="19586" ht="3" customHeight="1">
      <s:c r="A19586" s="102" t="inlineStr"/>
      <s:c r="B19586" s="99" t="n"/>
      <s:c r="C19586" s="99" t="n"/>
      <s:c r="D19586" s="116" t="n"/>
      <s:c r="E19586" s="116" t="n"/>
    </s:row>
    <s:row r="19587" ht="34" customHeight="1">
      <s:c r="A19587" s="83" t="inlineStr">
        <s:is>
          <s:t>Kèm ngoặc (parentheses)</s:t>
        </s:is>
      </s:c>
      <s:c r="B19587" s="83" t="inlineStr">
        <s:is>
          <s:r>
            <s:rPr>
              <s:b val="1"/>
            </s:rPr>
            <s:t>Chọn Kèm ngoặc（カッコ付き）</s:t>
          </s:r>
          <s:r>
            <s:t xml:space="preserve"> ở dòng đỏ, bấm Cập nhật.</s:t>
          </s:r>
        </s:is>
      </s:c>
      <s:c r="C19587" s="83" t="inlineStr">
        <s:is>
          <s:r>
            <s:rPr>
              <s:b val="1"/>
            </s:rPr>
            <s:t>Kèm ngoặc（カッコ付き）</s:t>
          </s:r>
          <s:r>
            <s:t>: không hiện ô ký tự, lưu được.</s:t>
          </s:r>
        </s:is>
      </s:c>
      <s:c r="D19587" s="117" t="inlineStr"/>
      <s:c r="E19587" s="118" t="inlineStr">
        <s:is>
          <s:t>Chưa thực hiện</s:t>
        </s:is>
      </s:c>
    </s:row>
    <s:row r="19588" ht="3" customHeight="1">
      <s:c r="A19588" s="102" t="inlineStr"/>
      <s:c r="B19588" s="99" t="n"/>
      <s:c r="C19588" s="99" t="n"/>
      <s:c r="D19588" s="116" t="n"/>
      <s:c r="E19588" s="116" t="n"/>
    </s:row>
    <s:row r="19589" ht="48" customHeight="1">
      <s:c r="A19589" s="83" t="inlineStr">
        <s:is>
          <s:t>Ký tự trước trống (prefix)</s:t>
        </s:is>
      </s:c>
      <s:c r="B19589" s="83" t="inlineStr">
        <s:is>
          <s:r>
            <s:t xml:space="preserve">Chọn </s:t>
          </s:r>
          <s:r>
            <s:rPr>
              <s:b val="1"/>
            </s:rPr>
            <s:t>Ký tự phía trước（前に任意の文字）</s:t>
          </s:r>
          <s:r>
            <s:t>, để trống ký tự, bấm Cập nhật.</s:t>
          </s:r>
        </s:is>
      </s:c>
      <s:c r="C19589" s="83" t="inlineStr">
        <s:is>
          <s:r>
            <s:rPr>
              <s:b val="1"/>
            </s:rPr>
            <s:t>Ký tự phía trước（前に任意の文字）</s:t>
          </s:r>
          <s:r>
            <s:t xml:space="preserve"> để trống: không lưu được.</s:t>
          </s:r>
        </s:is>
      </s:c>
      <s:c r="D19589" s="117" t="inlineStr"/>
      <s:c r="E19589" s="118" t="inlineStr">
        <s:is>
          <s:t>Chưa thực hiện</s:t>
        </s:is>
      </s:c>
    </s:row>
    <s:row r="19590" ht="3" customHeight="1">
      <s:c r="A19590" s="102" t="inlineStr"/>
      <s:c r="B19590" s="99" t="n"/>
      <s:c r="C19590" s="99" t="n"/>
      <s:c r="D19590" s="116" t="n"/>
      <s:c r="E19590" s="116" t="n"/>
    </s:row>
    <s:row r="19591" ht="48" customHeight="1">
      <s:c r="A19591" s="83" t="inlineStr">
        <s:is>
          <s:t>Ký tự sau trống (suffix)</s:t>
        </s:is>
      </s:c>
      <s:c r="B19591" s="83" t="inlineStr">
        <s:is>
          <s:r>
            <s:t xml:space="preserve">Chọn </s:t>
          </s:r>
          <s:r>
            <s:rPr>
              <s:b val="1"/>
            </s:rPr>
            <s:t>Ký tự phía sau（後ろに任意の文字）</s:t>
          </s:r>
          <s:r>
            <s:t>, để trống ký tự, bấm Cập nhật.</s:t>
          </s:r>
        </s:is>
      </s:c>
      <s:c r="C19591" s="83" t="inlineStr">
        <s:is>
          <s:r>
            <s:rPr>
              <s:b val="1"/>
            </s:rPr>
            <s:t>Ký tự phía sau（後ろに任意の文字）</s:t>
          </s:r>
          <s:r>
            <s:t xml:space="preserve"> để trống: không lưu được.</s:t>
          </s:r>
        </s:is>
      </s:c>
      <s:c r="D19591" s="117" t="inlineStr"/>
      <s:c r="E19591" s="118" t="inlineStr">
        <s:is>
          <s:t>Chưa thực hiện</s:t>
        </s:is>
      </s:c>
    </s:row>
    <s:row r="19592" ht="20" customHeight="1">
      <s:c r="A19592" s="119" t="inlineStr">
        <s:is>
          <s:t>Ảnh minh chứng — Chưa có ảnh</s:t>
        </s:is>
      </s:c>
      <s:c r="B19592" s="19" t="n"/>
      <s:c r="C19592" s="19" t="n"/>
      <s:c r="D19592" s="19" t="n"/>
      <s:c r="E19592" s="19" t="n"/>
    </s:row>
    <s:row r="19593" hidden="1" ht="1" customHeight="1">
      <s:c r="A19593" s="120" t="inlineStr"/>
      <s:c r="B19593" s="121" t="n"/>
      <s:c r="C19593" s="121" t="n"/>
      <s:c r="D19593" s="121" t="n"/>
      <s:c r="E19593" s="122" t="n"/>
    </s:row>
    <s:row r="19594" hidden="1" ht="1" customHeight="1">
      <s:c r="A19594" s="120" t="inlineStr"/>
      <s:c r="B19594" s="121" t="n"/>
      <s:c r="C19594" s="121" t="n"/>
      <s:c r="D19594" s="121" t="n"/>
      <s:c r="E19594" s="122" t="n"/>
    </s:row>
    <s:row r="19595" hidden="1" ht="1" customHeight="1">
      <s:c r="A19595" s="120" t="inlineStr"/>
      <s:c r="B19595" s="121" t="n"/>
      <s:c r="C19595" s="121" t="n"/>
      <s:c r="D19595" s="121" t="n"/>
      <s:c r="E19595" s="122" t="n"/>
    </s:row>
    <s:row r="19596" hidden="1" ht="1" customHeight="1">
      <s:c r="A19596" s="120" t="inlineStr"/>
      <s:c r="B19596" s="121" t="n"/>
      <s:c r="C19596" s="121" t="n"/>
      <s:c r="D19596" s="121" t="n"/>
      <s:c r="E19596" s="122" t="n"/>
    </s:row>
    <s:row r="19597" hidden="1" ht="1" customHeight="1">
      <s:c r="A19597" s="120" t="inlineStr"/>
      <s:c r="B19597" s="121" t="n"/>
      <s:c r="C19597" s="121" t="n"/>
      <s:c r="D19597" s="121" t="n"/>
      <s:c r="E19597" s="122" t="n"/>
    </s:row>
    <s:row r="19598" hidden="1" ht="1" customHeight="1">
      <s:c r="A19598" s="120" t="inlineStr"/>
      <s:c r="B19598" s="121" t="n"/>
      <s:c r="C19598" s="121" t="n"/>
      <s:c r="D19598" s="121" t="n"/>
      <s:c r="E19598" s="122" t="n"/>
    </s:row>
    <s:row r="19599" hidden="1" ht="1" customHeight="1">
      <s:c r="A19599" s="120" t="inlineStr"/>
      <s:c r="B19599" s="121" t="n"/>
      <s:c r="C19599" s="121" t="n"/>
      <s:c r="D19599" s="121" t="n"/>
      <s:c r="E19599" s="122" t="n"/>
    </s:row>
    <s:row r="19600" hidden="1" ht="1" customHeight="1">
      <s:c r="A19600" s="120" t="inlineStr"/>
      <s:c r="B19600" s="121" t="n"/>
      <s:c r="C19600" s="121" t="n"/>
      <s:c r="D19600" s="121" t="n"/>
      <s:c r="E19600" s="122" t="n"/>
    </s:row>
    <s:row r="19601" hidden="1" ht="1" customHeight="1">
      <s:c r="A19601" s="120" t="inlineStr"/>
      <s:c r="B19601" s="121" t="n"/>
      <s:c r="C19601" s="121" t="n"/>
      <s:c r="D19601" s="121" t="n"/>
      <s:c r="E19601" s="122" t="n"/>
    </s:row>
    <s:row r="19602" hidden="1" ht="1" customHeight="1">
      <s:c r="A19602" s="120" t="inlineStr"/>
      <s:c r="B19602" s="121" t="n"/>
      <s:c r="C19602" s="121" t="n"/>
      <s:c r="D19602" s="121" t="n"/>
      <s:c r="E19602" s="122" t="n"/>
    </s:row>
    <s:row r="19603" hidden="1" ht="1" customHeight="1">
      <s:c r="A19603" s="120" t="inlineStr"/>
      <s:c r="B19603" s="121" t="n"/>
      <s:c r="C19603" s="121" t="n"/>
      <s:c r="D19603" s="121" t="n"/>
      <s:c r="E19603" s="122" t="n"/>
    </s:row>
    <s:row r="19604" hidden="1" ht="1" customHeight="1">
      <s:c r="A19604" s="120" t="inlineStr"/>
      <s:c r="B19604" s="121" t="n"/>
      <s:c r="C19604" s="121" t="n"/>
      <s:c r="D19604" s="121" t="n"/>
      <s:c r="E19604" s="122" t="n"/>
    </s:row>
    <s:row r="19605" hidden="1" ht="1" customHeight="1">
      <s:c r="A19605" s="120" t="inlineStr"/>
      <s:c r="B19605" s="121" t="n"/>
      <s:c r="C19605" s="121" t="n"/>
      <s:c r="D19605" s="121" t="n"/>
      <s:c r="E19605" s="122" t="n"/>
    </s:row>
    <s:row r="19606" hidden="1" ht="1" customHeight="1">
      <s:c r="A19606" s="120" t="inlineStr"/>
      <s:c r="B19606" s="121" t="n"/>
      <s:c r="C19606" s="121" t="n"/>
      <s:c r="D19606" s="121" t="n"/>
      <s:c r="E19606" s="122" t="n"/>
    </s:row>
    <s:row r="19607" hidden="1" ht="1" customHeight="1">
      <s:c r="A19607" s="120" t="inlineStr"/>
      <s:c r="B19607" s="121" t="n"/>
      <s:c r="C19607" s="121" t="n"/>
      <s:c r="D19607" s="121" t="n"/>
      <s:c r="E19607" s="122" t="n"/>
    </s:row>
    <s:row r="19608" hidden="1" ht="1" customHeight="1">
      <s:c r="A19608" s="120" t="inlineStr"/>
      <s:c r="B19608" s="121" t="n"/>
      <s:c r="C19608" s="121" t="n"/>
      <s:c r="D19608" s="121" t="n"/>
      <s:c r="E19608" s="122" t="n"/>
    </s:row>
    <s:row r="19609" hidden="1" ht="1" customHeight="1">
      <s:c r="A19609" s="120" t="inlineStr"/>
      <s:c r="B19609" s="121" t="n"/>
      <s:c r="C19609" s="121" t="n"/>
      <s:c r="D19609" s="121" t="n"/>
      <s:c r="E19609" s="122" t="n"/>
    </s:row>
    <s:row r="19610" hidden="1" ht="1" customHeight="1">
      <s:c r="A19610" s="120" t="inlineStr"/>
      <s:c r="B19610" s="121" t="n"/>
      <s:c r="C19610" s="121" t="n"/>
      <s:c r="D19610" s="121" t="n"/>
      <s:c r="E19610" s="122" t="n"/>
    </s:row>
    <s:row r="19611" hidden="1" ht="1" customHeight="1">
      <s:c r="A19611" s="120" t="inlineStr"/>
      <s:c r="B19611" s="121" t="n"/>
      <s:c r="C19611" s="121" t="n"/>
      <s:c r="D19611" s="121" t="n"/>
      <s:c r="E19611" s="122" t="n"/>
    </s:row>
    <s:row r="19612" hidden="1" ht="1" customHeight="1">
      <s:c r="A19612" s="120" t="inlineStr"/>
      <s:c r="B19612" s="121" t="n"/>
      <s:c r="C19612" s="121" t="n"/>
      <s:c r="D19612" s="121" t="n"/>
      <s:c r="E19612" s="122" t="n"/>
    </s:row>
    <s:row r="19613" hidden="1" ht="1" customHeight="1">
      <s:c r="A19613" s="120" t="inlineStr"/>
      <s:c r="B19613" s="121" t="n"/>
      <s:c r="C19613" s="121" t="n"/>
      <s:c r="D19613" s="121" t="n"/>
      <s:c r="E19613" s="122" t="n"/>
    </s:row>
    <s:row r="19614" hidden="1" ht="1" customHeight="1">
      <s:c r="A19614" s="120" t="inlineStr"/>
      <s:c r="B19614" s="121" t="n"/>
      <s:c r="C19614" s="121" t="n"/>
      <s:c r="D19614" s="121" t="n"/>
      <s:c r="E19614" s="122" t="n"/>
    </s:row>
    <s:row r="19615" hidden="1" ht="1" customHeight="1">
      <s:c r="A19615" s="120" t="inlineStr"/>
      <s:c r="B19615" s="121" t="n"/>
      <s:c r="C19615" s="121" t="n"/>
      <s:c r="D19615" s="121" t="n"/>
      <s:c r="E19615" s="122" t="n"/>
    </s:row>
    <s:row r="19616" hidden="1" ht="1" customHeight="1">
      <s:c r="A19616" s="120" t="inlineStr"/>
      <s:c r="B19616" s="121" t="n"/>
      <s:c r="C19616" s="121" t="n"/>
      <s:c r="D19616" s="121" t="n"/>
      <s:c r="E19616" s="122" t="n"/>
    </s:row>
    <s:row r="19617" hidden="1" ht="1" customHeight="1">
      <s:c r="A19617" s="120" t="inlineStr"/>
      <s:c r="B19617" s="121" t="n"/>
      <s:c r="C19617" s="121" t="n"/>
      <s:c r="D19617" s="121" t="n"/>
      <s:c r="E19617" s="122" t="n"/>
    </s:row>
    <s:row r="19618" hidden="1" ht="1" customHeight="1">
      <s:c r="A19618" s="120" t="inlineStr"/>
      <s:c r="B19618" s="121" t="n"/>
      <s:c r="C19618" s="121" t="n"/>
      <s:c r="D19618" s="121" t="n"/>
      <s:c r="E19618" s="122" t="n"/>
    </s:row>
    <s:row r="19619" hidden="1" ht="1" customHeight="1">
      <s:c r="A19619" s="120" t="inlineStr"/>
      <s:c r="B19619" s="121" t="n"/>
      <s:c r="C19619" s="121" t="n"/>
      <s:c r="D19619" s="121" t="n"/>
      <s:c r="E19619" s="122" t="n"/>
    </s:row>
    <s:row r="19620" hidden="1" ht="1" customHeight="1">
      <s:c r="A19620" s="120" t="inlineStr"/>
      <s:c r="B19620" s="121" t="n"/>
      <s:c r="C19620" s="121" t="n"/>
      <s:c r="D19620" s="121" t="n"/>
      <s:c r="E19620" s="122" t="n"/>
    </s:row>
    <s:row r="19621" hidden="1" ht="1" customHeight="1">
      <s:c r="A19621" s="120" t="inlineStr"/>
      <s:c r="B19621" s="121" t="n"/>
      <s:c r="C19621" s="121" t="n"/>
      <s:c r="D19621" s="121" t="n"/>
      <s:c r="E19621" s="122" t="n"/>
    </s:row>
    <s:row r="19622" hidden="1" ht="1" customHeight="1">
      <s:c r="A19622" s="120" t="inlineStr"/>
      <s:c r="B19622" s="121" t="n"/>
      <s:c r="C19622" s="121" t="n"/>
      <s:c r="D19622" s="121" t="n"/>
      <s:c r="E19622" s="122" t="n"/>
    </s:row>
    <s:row r="19623" hidden="1" ht="1" customHeight="1">
      <s:c r="A19623" s="120" t="inlineStr"/>
      <s:c r="B19623" s="121" t="n"/>
      <s:c r="C19623" s="121" t="n"/>
      <s:c r="D19623" s="121" t="n"/>
      <s:c r="E19623" s="122" t="n"/>
    </s:row>
    <s:row r="19624" hidden="1" ht="1" customHeight="1">
      <s:c r="A19624" s="120" t="inlineStr"/>
      <s:c r="B19624" s="121" t="n"/>
      <s:c r="C19624" s="121" t="n"/>
      <s:c r="D19624" s="121" t="n"/>
      <s:c r="E19624" s="122" t="n"/>
    </s:row>
    <s:row r="19625" hidden="1" ht="1" customHeight="1">
      <s:c r="A19625" s="120" t="inlineStr"/>
      <s:c r="B19625" s="121" t="n"/>
      <s:c r="C19625" s="121" t="n"/>
      <s:c r="D19625" s="121" t="n"/>
      <s:c r="E19625" s="122" t="n"/>
    </s:row>
    <s:row r="19626" hidden="1" ht="1" customHeight="1">
      <s:c r="A19626" s="120" t="inlineStr"/>
      <s:c r="B19626" s="121" t="n"/>
      <s:c r="C19626" s="121" t="n"/>
      <s:c r="D19626" s="121" t="n"/>
      <s:c r="E19626" s="122" t="n"/>
    </s:row>
    <s:row r="19627" hidden="1" ht="1" customHeight="1">
      <s:c r="A19627" s="120" t="inlineStr"/>
      <s:c r="B19627" s="121" t="n"/>
      <s:c r="C19627" s="121" t="n"/>
      <s:c r="D19627" s="121" t="n"/>
      <s:c r="E19627" s="122" t="n"/>
    </s:row>
    <s:row r="19628" hidden="1" ht="1" customHeight="1">
      <s:c r="A19628" s="120" t="inlineStr"/>
      <s:c r="B19628" s="121" t="n"/>
      <s:c r="C19628" s="121" t="n"/>
      <s:c r="D19628" s="121" t="n"/>
      <s:c r="E19628" s="122" t="n"/>
    </s:row>
    <s:row r="19629" hidden="1" ht="1" customHeight="1">
      <s:c r="A19629" s="120" t="inlineStr"/>
      <s:c r="B19629" s="121" t="n"/>
      <s:c r="C19629" s="121" t="n"/>
      <s:c r="D19629" s="121" t="n"/>
      <s:c r="E19629" s="122" t="n"/>
    </s:row>
    <s:row r="19630" hidden="1" ht="1" customHeight="1">
      <s:c r="A19630" s="120" t="inlineStr"/>
      <s:c r="B19630" s="121" t="n"/>
      <s:c r="C19630" s="121" t="n"/>
      <s:c r="D19630" s="121" t="n"/>
      <s:c r="E19630" s="122" t="n"/>
    </s:row>
    <s:row r="19631" hidden="1" ht="1" customHeight="1">
      <s:c r="A19631" s="120" t="inlineStr"/>
      <s:c r="B19631" s="121" t="n"/>
      <s:c r="C19631" s="121" t="n"/>
      <s:c r="D19631" s="121" t="n"/>
      <s:c r="E19631" s="122" t="n"/>
    </s:row>
    <s:row r="19632" hidden="1" ht="1" customHeight="1">
      <s:c r="A19632" s="120" t="inlineStr"/>
      <s:c r="B19632" s="121" t="n"/>
      <s:c r="C19632" s="121" t="n"/>
      <s:c r="D19632" s="121" t="n"/>
      <s:c r="E19632" s="122" t="n"/>
    </s:row>
    <s:row r="19633" hidden="1" ht="1" customHeight="1">
      <s:c r="A19633" s="120" t="inlineStr"/>
      <s:c r="B19633" s="121" t="n"/>
      <s:c r="C19633" s="121" t="n"/>
      <s:c r="D19633" s="121" t="n"/>
      <s:c r="E19633" s="122" t="n"/>
    </s:row>
    <s:row r="19634" hidden="1" ht="1" customHeight="1">
      <s:c r="A19634" s="120" t="inlineStr"/>
      <s:c r="B19634" s="121" t="n"/>
      <s:c r="C19634" s="121" t="n"/>
      <s:c r="D19634" s="121" t="n"/>
      <s:c r="E19634" s="122" t="n"/>
    </s:row>
    <s:row r="19635" hidden="1" ht="1" customHeight="1">
      <s:c r="A19635" s="120" t="inlineStr"/>
      <s:c r="B19635" s="121" t="n"/>
      <s:c r="C19635" s="121" t="n"/>
      <s:c r="D19635" s="121" t="n"/>
      <s:c r="E19635" s="122" t="n"/>
    </s:row>
    <s:row r="19636" hidden="1" ht="1" customHeight="1">
      <s:c r="A19636" s="120" t="inlineStr"/>
      <s:c r="B19636" s="121" t="n"/>
      <s:c r="C19636" s="121" t="n"/>
      <s:c r="D19636" s="121" t="n"/>
      <s:c r="E19636" s="122" t="n"/>
    </s:row>
    <s:row r="19637" hidden="1" ht="1" customHeight="1">
      <s:c r="A19637" s="120" t="inlineStr"/>
      <s:c r="B19637" s="121" t="n"/>
      <s:c r="C19637" s="121" t="n"/>
      <s:c r="D19637" s="121" t="n"/>
      <s:c r="E19637" s="122" t="n"/>
    </s:row>
    <s:row r="19638" hidden="1" ht="1" customHeight="1">
      <s:c r="A19638" s="120" t="inlineStr"/>
      <s:c r="B19638" s="121" t="n"/>
      <s:c r="C19638" s="121" t="n"/>
      <s:c r="D19638" s="121" t="n"/>
      <s:c r="E19638" s="122" t="n"/>
    </s:row>
    <s:row r="19639" hidden="1" ht="1" customHeight="1">
      <s:c r="A19639" s="120" t="inlineStr"/>
      <s:c r="B19639" s="121" t="n"/>
      <s:c r="C19639" s="121" t="n"/>
      <s:c r="D19639" s="121" t="n"/>
      <s:c r="E19639" s="122" t="n"/>
    </s:row>
    <s:row r="19640" hidden="1" ht="1" customHeight="1">
      <s:c r="A19640" s="120" t="inlineStr"/>
      <s:c r="B19640" s="121" t="n"/>
      <s:c r="C19640" s="121" t="n"/>
      <s:c r="D19640" s="121" t="n"/>
      <s:c r="E19640" s="122" t="n"/>
    </s:row>
    <s:row r="19641" hidden="1" ht="1" customHeight="1">
      <s:c r="A19641" s="120" t="inlineStr"/>
      <s:c r="B19641" s="121" t="n"/>
      <s:c r="C19641" s="121" t="n"/>
      <s:c r="D19641" s="121" t="n"/>
      <s:c r="E19641" s="122" t="n"/>
    </s:row>
    <s:row r="19642" hidden="1" ht="1" customHeight="1">
      <s:c r="A19642" s="120" t="inlineStr"/>
      <s:c r="B19642" s="121" t="n"/>
      <s:c r="C19642" s="121" t="n"/>
      <s:c r="D19642" s="121" t="n"/>
      <s:c r="E19642" s="122" t="n"/>
    </s:row>
    <s:row r="19643" hidden="1" ht="1" customHeight="1">
      <s:c r="A19643" s="120" t="inlineStr"/>
      <s:c r="B19643" s="121" t="n"/>
      <s:c r="C19643" s="121" t="n"/>
      <s:c r="D19643" s="121" t="n"/>
      <s:c r="E19643" s="122" t="n"/>
    </s:row>
    <s:row r="19644" hidden="1" ht="1" customHeight="1">
      <s:c r="A19644" s="120" t="inlineStr"/>
      <s:c r="B19644" s="121" t="n"/>
      <s:c r="C19644" s="121" t="n"/>
      <s:c r="D19644" s="121" t="n"/>
      <s:c r="E19644" s="122" t="n"/>
    </s:row>
    <s:row r="19645" hidden="1" ht="1" customHeight="1">
      <s:c r="A19645" s="120" t="inlineStr"/>
      <s:c r="B19645" s="121" t="n"/>
      <s:c r="C19645" s="121" t="n"/>
      <s:c r="D19645" s="121" t="n"/>
      <s:c r="E19645" s="122" t="n"/>
    </s:row>
    <s:row r="19646" hidden="1" ht="1" customHeight="1">
      <s:c r="A19646" s="120" t="inlineStr"/>
      <s:c r="B19646" s="121" t="n"/>
      <s:c r="C19646" s="121" t="n"/>
      <s:c r="D19646" s="121" t="n"/>
      <s:c r="E19646" s="122" t="n"/>
    </s:row>
    <s:row r="19647" hidden="1" ht="1" customHeight="1">
      <s:c r="A19647" s="120" t="inlineStr"/>
      <s:c r="B19647" s="121" t="n"/>
      <s:c r="C19647" s="121" t="n"/>
      <s:c r="D19647" s="121" t="n"/>
      <s:c r="E19647" s="122" t="n"/>
    </s:row>
    <s:row r="19648" hidden="1" ht="1" customHeight="1">
      <s:c r="A19648" s="120" t="inlineStr"/>
      <s:c r="B19648" s="121" t="n"/>
      <s:c r="C19648" s="121" t="n"/>
      <s:c r="D19648" s="121" t="n"/>
      <s:c r="E19648" s="122" t="n"/>
    </s:row>
    <s:row r="19649" hidden="1" ht="1" customHeight="1">
      <s:c r="A19649" s="120" t="inlineStr"/>
      <s:c r="B19649" s="121" t="n"/>
      <s:c r="C19649" s="121" t="n"/>
      <s:c r="D19649" s="121" t="n"/>
      <s:c r="E19649" s="122" t="n"/>
    </s:row>
    <s:row r="19650" hidden="1" ht="1" customHeight="1">
      <s:c r="A19650" s="120" t="inlineStr"/>
      <s:c r="B19650" s="121" t="n"/>
      <s:c r="C19650" s="121" t="n"/>
      <s:c r="D19650" s="121" t="n"/>
      <s:c r="E19650" s="122" t="n"/>
    </s:row>
    <s:row r="19651" hidden="1" ht="1" customHeight="1">
      <s:c r="A19651" s="120" t="inlineStr"/>
      <s:c r="B19651" s="121" t="n"/>
      <s:c r="C19651" s="121" t="n"/>
      <s:c r="D19651" s="121" t="n"/>
      <s:c r="E19651" s="122" t="n"/>
    </s:row>
    <s:row r="19652" hidden="1" ht="1" customHeight="1">
      <s:c r="A19652" s="120" t="inlineStr"/>
      <s:c r="B19652" s="121" t="n"/>
      <s:c r="C19652" s="121" t="n"/>
      <s:c r="D19652" s="121" t="n"/>
      <s:c r="E19652" s="122" t="n"/>
    </s:row>
    <s:row r="19653" hidden="1" ht="1" customHeight="1">
      <s:c r="A19653" s="120" t="inlineStr"/>
      <s:c r="B19653" s="121" t="n"/>
      <s:c r="C19653" s="121" t="n"/>
      <s:c r="D19653" s="121" t="n"/>
      <s:c r="E19653" s="122" t="n"/>
    </s:row>
    <s:row r="19654" hidden="1" ht="1" customHeight="1">
      <s:c r="A19654" s="120" t="inlineStr"/>
      <s:c r="B19654" s="121" t="n"/>
      <s:c r="C19654" s="121" t="n"/>
      <s:c r="D19654" s="121" t="n"/>
      <s:c r="E19654" s="122" t="n"/>
    </s:row>
    <s:row r="19655" hidden="1" ht="1" customHeight="1">
      <s:c r="A19655" s="120" t="inlineStr"/>
      <s:c r="B19655" s="121" t="n"/>
      <s:c r="C19655" s="121" t="n"/>
      <s:c r="D19655" s="121" t="n"/>
      <s:c r="E19655" s="122" t="n"/>
    </s:row>
    <s:row r="19656" hidden="1" ht="1" customHeight="1">
      <s:c r="A19656" s="120" t="inlineStr"/>
      <s:c r="B19656" s="121" t="n"/>
      <s:c r="C19656" s="121" t="n"/>
      <s:c r="D19656" s="121" t="n"/>
      <s:c r="E19656" s="122" t="n"/>
    </s:row>
    <s:row r="19657" hidden="1" ht="1" customHeight="1">
      <s:c r="A19657" s="120" t="inlineStr"/>
      <s:c r="B19657" s="121" t="n"/>
      <s:c r="C19657" s="121" t="n"/>
      <s:c r="D19657" s="121" t="n"/>
      <s:c r="E19657" s="122" t="n"/>
    </s:row>
    <s:row r="19658" hidden="1" ht="1" customHeight="1">
      <s:c r="A19658" s="120" t="inlineStr"/>
      <s:c r="B19658" s="121" t="n"/>
      <s:c r="C19658" s="121" t="n"/>
      <s:c r="D19658" s="121" t="n"/>
      <s:c r="E19658" s="122" t="n"/>
    </s:row>
    <s:row r="19659" hidden="1" ht="1" customHeight="1">
      <s:c r="A19659" s="120" t="inlineStr"/>
      <s:c r="B19659" s="121" t="n"/>
      <s:c r="C19659" s="121" t="n"/>
      <s:c r="D19659" s="121" t="n"/>
      <s:c r="E19659" s="122" t="n"/>
    </s:row>
    <s:row r="19660" hidden="1" ht="1" customHeight="1">
      <s:c r="A19660" s="120" t="inlineStr"/>
      <s:c r="B19660" s="121" t="n"/>
      <s:c r="C19660" s="121" t="n"/>
      <s:c r="D19660" s="121" t="n"/>
      <s:c r="E19660" s="122" t="n"/>
    </s:row>
    <s:row r="19661" hidden="1" ht="1" customHeight="1">
      <s:c r="A19661" s="120" t="inlineStr"/>
      <s:c r="B19661" s="121" t="n"/>
      <s:c r="C19661" s="121" t="n"/>
      <s:c r="D19661" s="121" t="n"/>
      <s:c r="E19661" s="122" t="n"/>
    </s:row>
    <s:row r="19662" hidden="1" ht="1" customHeight="1">
      <s:c r="A19662" s="120" t="inlineStr"/>
      <s:c r="B19662" s="121" t="n"/>
      <s:c r="C19662" s="121" t="n"/>
      <s:c r="D19662" s="121" t="n"/>
      <s:c r="E19662" s="122" t="n"/>
    </s:row>
    <s:row r="19663" hidden="1" ht="1" customHeight="1">
      <s:c r="A19663" s="120" t="inlineStr"/>
      <s:c r="B19663" s="121" t="n"/>
      <s:c r="C19663" s="121" t="n"/>
      <s:c r="D19663" s="121" t="n"/>
      <s:c r="E19663" s="122" t="n"/>
    </s:row>
    <s:row r="19664" hidden="1" ht="1" customHeight="1">
      <s:c r="A19664" s="120" t="inlineStr"/>
      <s:c r="B19664" s="121" t="n"/>
      <s:c r="C19664" s="121" t="n"/>
      <s:c r="D19664" s="121" t="n"/>
      <s:c r="E19664" s="122" t="n"/>
    </s:row>
    <s:row r="19665" hidden="1" ht="1" customHeight="1">
      <s:c r="A19665" s="120" t="inlineStr"/>
      <s:c r="B19665" s="121" t="n"/>
      <s:c r="C19665" s="121" t="n"/>
      <s:c r="D19665" s="121" t="n"/>
      <s:c r="E19665" s="122" t="n"/>
    </s:row>
    <s:row r="19666" hidden="1" ht="1" customHeight="1">
      <s:c r="A19666" s="120" t="inlineStr"/>
      <s:c r="B19666" s="121" t="n"/>
      <s:c r="C19666" s="121" t="n"/>
      <s:c r="D19666" s="121" t="n"/>
      <s:c r="E19666" s="122" t="n"/>
    </s:row>
    <s:row r="19667" hidden="1" ht="1" customHeight="1">
      <s:c r="A19667" s="120" t="inlineStr"/>
      <s:c r="B19667" s="121" t="n"/>
      <s:c r="C19667" s="121" t="n"/>
      <s:c r="D19667" s="121" t="n"/>
      <s:c r="E19667" s="122" t="n"/>
    </s:row>
    <s:row r="19668" hidden="1" ht="1" customHeight="1">
      <s:c r="A19668" s="120" t="inlineStr"/>
      <s:c r="B19668" s="121" t="n"/>
      <s:c r="C19668" s="121" t="n"/>
      <s:c r="D19668" s="121" t="n"/>
      <s:c r="E19668" s="122" t="n"/>
    </s:row>
    <s:row r="19669" hidden="1" ht="1" customHeight="1">
      <s:c r="A19669" s="120" t="inlineStr"/>
      <s:c r="B19669" s="121" t="n"/>
      <s:c r="C19669" s="121" t="n"/>
      <s:c r="D19669" s="121" t="n"/>
      <s:c r="E19669" s="122" t="n"/>
    </s:row>
    <s:row r="19670" hidden="1" ht="1" customHeight="1">
      <s:c r="A19670" s="120" t="inlineStr"/>
      <s:c r="B19670" s="121" t="n"/>
      <s:c r="C19670" s="121" t="n"/>
      <s:c r="D19670" s="121" t="n"/>
      <s:c r="E19670" s="122" t="n"/>
    </s:row>
    <s:row r="19671" hidden="1" ht="1" customHeight="1">
      <s:c r="A19671" s="120" t="inlineStr"/>
      <s:c r="B19671" s="121" t="n"/>
      <s:c r="C19671" s="121" t="n"/>
      <s:c r="D19671" s="121" t="n"/>
      <s:c r="E19671" s="122" t="n"/>
    </s:row>
    <s:row r="19672" hidden="1" ht="1" customHeight="1">
      <s:c r="A19672" s="120" t="inlineStr"/>
      <s:c r="B19672" s="121" t="n"/>
      <s:c r="C19672" s="121" t="n"/>
      <s:c r="D19672" s="121" t="n"/>
      <s:c r="E19672" s="122" t="n"/>
    </s:row>
    <s:row r="19673" hidden="1" ht="1" customHeight="1">
      <s:c r="A19673" s="120" t="inlineStr"/>
      <s:c r="B19673" s="121" t="n"/>
      <s:c r="C19673" s="121" t="n"/>
      <s:c r="D19673" s="121" t="n"/>
      <s:c r="E19673" s="122" t="n"/>
    </s:row>
    <s:row r="19674" hidden="1" ht="1" customHeight="1">
      <s:c r="A19674" s="120" t="inlineStr"/>
      <s:c r="B19674" s="121" t="n"/>
      <s:c r="C19674" s="121" t="n"/>
      <s:c r="D19674" s="121" t="n"/>
      <s:c r="E19674" s="122" t="n"/>
    </s:row>
    <s:row r="19675" hidden="1" ht="1" customHeight="1">
      <s:c r="A19675" s="120" t="inlineStr"/>
      <s:c r="B19675" s="121" t="n"/>
      <s:c r="C19675" s="121" t="n"/>
      <s:c r="D19675" s="121" t="n"/>
      <s:c r="E19675" s="122" t="n"/>
    </s:row>
    <s:row r="19676" hidden="1" ht="1" customHeight="1">
      <s:c r="A19676" s="120" t="inlineStr"/>
      <s:c r="B19676" s="121" t="n"/>
      <s:c r="C19676" s="121" t="n"/>
      <s:c r="D19676" s="121" t="n"/>
      <s:c r="E19676" s="122" t="n"/>
    </s:row>
    <s:row r="19677" hidden="1" ht="1" customHeight="1">
      <s:c r="A19677" s="120" t="inlineStr"/>
      <s:c r="B19677" s="121" t="n"/>
      <s:c r="C19677" s="121" t="n"/>
      <s:c r="D19677" s="121" t="n"/>
      <s:c r="E19677" s="122" t="n"/>
    </s:row>
    <s:row r="19678" hidden="1" ht="1" customHeight="1">
      <s:c r="A19678" s="120" t="inlineStr"/>
      <s:c r="B19678" s="121" t="n"/>
      <s:c r="C19678" s="121" t="n"/>
      <s:c r="D19678" s="121" t="n"/>
      <s:c r="E19678" s="122" t="n"/>
    </s:row>
    <s:row r="19679" hidden="1" ht="1" customHeight="1">
      <s:c r="A19679" s="120" t="inlineStr"/>
      <s:c r="B19679" s="121" t="n"/>
      <s:c r="C19679" s="121" t="n"/>
      <s:c r="D19679" s="121" t="n"/>
      <s:c r="E19679" s="122" t="n"/>
    </s:row>
    <s:row r="19680" hidden="1" ht="1" customHeight="1">
      <s:c r="A19680" s="120" t="inlineStr"/>
      <s:c r="B19680" s="121" t="n"/>
      <s:c r="C19680" s="121" t="n"/>
      <s:c r="D19680" s="121" t="n"/>
      <s:c r="E19680" s="122" t="n"/>
    </s:row>
    <s:row r="19681" hidden="1" ht="1" customHeight="1">
      <s:c r="A19681" s="120" t="inlineStr"/>
      <s:c r="B19681" s="121" t="n"/>
      <s:c r="C19681" s="121" t="n"/>
      <s:c r="D19681" s="121" t="n"/>
      <s:c r="E19681" s="122" t="n"/>
    </s:row>
    <s:row r="19682" hidden="1" ht="1" customHeight="1">
      <s:c r="A19682" s="120" t="inlineStr"/>
      <s:c r="B19682" s="121" t="n"/>
      <s:c r="C19682" s="121" t="n"/>
      <s:c r="D19682" s="121" t="n"/>
      <s:c r="E19682" s="122" t="n"/>
    </s:row>
    <s:row r="19683" hidden="1" ht="1" customHeight="1">
      <s:c r="A19683" s="120" t="inlineStr"/>
      <s:c r="B19683" s="121" t="n"/>
      <s:c r="C19683" s="121" t="n"/>
      <s:c r="D19683" s="121" t="n"/>
      <s:c r="E19683" s="122" t="n"/>
    </s:row>
    <s:row r="19684" hidden="1" ht="1" customHeight="1">
      <s:c r="A19684" s="120" t="inlineStr"/>
      <s:c r="B19684" s="121" t="n"/>
      <s:c r="C19684" s="121" t="n"/>
      <s:c r="D19684" s="121" t="n"/>
      <s:c r="E19684" s="122" t="n"/>
    </s:row>
    <s:row r="19685" hidden="1" ht="1" customHeight="1">
      <s:c r="A19685" s="120" t="inlineStr"/>
      <s:c r="B19685" s="121" t="n"/>
      <s:c r="C19685" s="121" t="n"/>
      <s:c r="D19685" s="121" t="n"/>
      <s:c r="E19685" s="122" t="n"/>
    </s:row>
    <s:row r="19686" hidden="1" ht="1" customHeight="1">
      <s:c r="A19686" s="120" t="inlineStr"/>
      <s:c r="B19686" s="121" t="n"/>
      <s:c r="C19686" s="121" t="n"/>
      <s:c r="D19686" s="121" t="n"/>
      <s:c r="E19686" s="122" t="n"/>
    </s:row>
    <s:row r="19687" hidden="1" ht="1" customHeight="1">
      <s:c r="A19687" s="120" t="inlineStr"/>
      <s:c r="B19687" s="121" t="n"/>
      <s:c r="C19687" s="121" t="n"/>
      <s:c r="D19687" s="121" t="n"/>
      <s:c r="E19687" s="122" t="n"/>
    </s:row>
    <s:row r="19688" hidden="1" ht="1" customHeight="1">
      <s:c r="A19688" s="120" t="inlineStr"/>
      <s:c r="B19688" s="121" t="n"/>
      <s:c r="C19688" s="121" t="n"/>
      <s:c r="D19688" s="121" t="n"/>
      <s:c r="E19688" s="122" t="n"/>
    </s:row>
    <s:row r="19689" hidden="1" ht="1" customHeight="1">
      <s:c r="A19689" s="120" t="inlineStr"/>
      <s:c r="B19689" s="121" t="n"/>
      <s:c r="C19689" s="121" t="n"/>
      <s:c r="D19689" s="121" t="n"/>
      <s:c r="E19689" s="122" t="n"/>
    </s:row>
    <s:row r="19690" hidden="1" ht="1" customHeight="1">
      <s:c r="A19690" s="120" t="inlineStr"/>
      <s:c r="B19690" s="121" t="n"/>
      <s:c r="C19690" s="121" t="n"/>
      <s:c r="D19690" s="121" t="n"/>
      <s:c r="E19690" s="122" t="n"/>
    </s:row>
    <s:row r="19691" hidden="1" ht="1" customHeight="1">
      <s:c r="A19691" s="120" t="inlineStr"/>
      <s:c r="B19691" s="121" t="n"/>
      <s:c r="C19691" s="121" t="n"/>
      <s:c r="D19691" s="121" t="n"/>
      <s:c r="E19691" s="122" t="n"/>
    </s:row>
    <s:row r="19692" hidden="1" ht="1" customHeight="1">
      <s:c r="A19692" s="120" t="inlineStr"/>
      <s:c r="B19692" s="121" t="n"/>
      <s:c r="C19692" s="121" t="n"/>
      <s:c r="D19692" s="121" t="n"/>
      <s:c r="E19692" s="122" t="n"/>
    </s:row>
    <s:row r="19693" hidden="1" ht="1" customHeight="1">
      <s:c r="A19693" s="120" t="inlineStr"/>
      <s:c r="B19693" s="121" t="n"/>
      <s:c r="C19693" s="121" t="n"/>
      <s:c r="D19693" s="121" t="n"/>
      <s:c r="E19693" s="122" t="n"/>
    </s:row>
    <s:row r="19694" hidden="1" ht="1" customHeight="1">
      <s:c r="A19694" s="120" t="inlineStr"/>
      <s:c r="B19694" s="121" t="n"/>
      <s:c r="C19694" s="121" t="n"/>
      <s:c r="D19694" s="121" t="n"/>
      <s:c r="E19694" s="122" t="n"/>
    </s:row>
    <s:row r="19695" hidden="1" ht="1" customHeight="1">
      <s:c r="A19695" s="120" t="inlineStr"/>
      <s:c r="B19695" s="121" t="n"/>
      <s:c r="C19695" s="121" t="n"/>
      <s:c r="D19695" s="121" t="n"/>
      <s:c r="E19695" s="122" t="n"/>
    </s:row>
    <s:row r="19696" hidden="1" ht="1" customHeight="1">
      <s:c r="A19696" s="120" t="inlineStr"/>
      <s:c r="B19696" s="121" t="n"/>
      <s:c r="C19696" s="121" t="n"/>
      <s:c r="D19696" s="121" t="n"/>
      <s:c r="E19696" s="122" t="n"/>
    </s:row>
    <s:row r="19697" hidden="1" ht="1" customHeight="1">
      <s:c r="A19697" s="120" t="inlineStr"/>
      <s:c r="B19697" s="121" t="n"/>
      <s:c r="C19697" s="121" t="n"/>
      <s:c r="D19697" s="121" t="n"/>
      <s:c r="E19697" s="122" t="n"/>
    </s:row>
    <s:row r="19698" hidden="1" ht="1" customHeight="1">
      <s:c r="A19698" s="120" t="inlineStr"/>
      <s:c r="B19698" s="121" t="n"/>
      <s:c r="C19698" s="121" t="n"/>
      <s:c r="D19698" s="121" t="n"/>
      <s:c r="E19698" s="122" t="n"/>
    </s:row>
    <s:row r="19699" hidden="1" ht="1" customHeight="1">
      <s:c r="A19699" s="120" t="inlineStr"/>
      <s:c r="B19699" s="121" t="n"/>
      <s:c r="C19699" s="121" t="n"/>
      <s:c r="D19699" s="121" t="n"/>
      <s:c r="E19699" s="122" t="n"/>
    </s:row>
    <s:row r="19700" hidden="1" ht="1" customHeight="1">
      <s:c r="A19700" s="120" t="inlineStr"/>
      <s:c r="B19700" s="121" t="n"/>
      <s:c r="C19700" s="121" t="n"/>
      <s:c r="D19700" s="121" t="n"/>
      <s:c r="E19700" s="122" t="n"/>
    </s:row>
    <s:row r="19701" hidden="1" ht="1" customHeight="1">
      <s:c r="A19701" s="120" t="inlineStr"/>
      <s:c r="B19701" s="121" t="n"/>
      <s:c r="C19701" s="121" t="n"/>
      <s:c r="D19701" s="121" t="n"/>
      <s:c r="E19701" s="122" t="n"/>
    </s:row>
    <s:row r="19702" hidden="1" ht="1" customHeight="1">
      <s:c r="A19702" s="120" t="inlineStr"/>
      <s:c r="B19702" s="121" t="n"/>
      <s:c r="C19702" s="121" t="n"/>
      <s:c r="D19702" s="121" t="n"/>
      <s:c r="E19702" s="122" t="n"/>
    </s:row>
    <s:row r="19703" hidden="1" ht="1" customHeight="1">
      <s:c r="A19703" s="120" t="inlineStr"/>
      <s:c r="B19703" s="121" t="n"/>
      <s:c r="C19703" s="121" t="n"/>
      <s:c r="D19703" s="121" t="n"/>
      <s:c r="E19703" s="122" t="n"/>
    </s:row>
    <s:row r="19704" hidden="1" ht="1" customHeight="1">
      <s:c r="A19704" s="120" t="inlineStr"/>
      <s:c r="B19704" s="121" t="n"/>
      <s:c r="C19704" s="121" t="n"/>
      <s:c r="D19704" s="121" t="n"/>
      <s:c r="E19704" s="122" t="n"/>
    </s:row>
    <s:row r="19705" hidden="1" ht="1" customHeight="1">
      <s:c r="A19705" s="120" t="inlineStr"/>
      <s:c r="B19705" s="121" t="n"/>
      <s:c r="C19705" s="121" t="n"/>
      <s:c r="D19705" s="121" t="n"/>
      <s:c r="E19705" s="122" t="n"/>
    </s:row>
    <s:row r="19706" hidden="1" ht="1" customHeight="1">
      <s:c r="A19706" s="120" t="inlineStr"/>
      <s:c r="B19706" s="121" t="n"/>
      <s:c r="C19706" s="121" t="n"/>
      <s:c r="D19706" s="121" t="n"/>
      <s:c r="E19706" s="122" t="n"/>
    </s:row>
    <s:row r="19707" hidden="1" ht="1" customHeight="1">
      <s:c r="A19707" s="120" t="inlineStr"/>
      <s:c r="B19707" s="121" t="n"/>
      <s:c r="C19707" s="121" t="n"/>
      <s:c r="D19707" s="121" t="n"/>
      <s:c r="E19707" s="122" t="n"/>
    </s:row>
    <s:row r="19708" hidden="1" ht="1" customHeight="1">
      <s:c r="A19708" s="120" t="inlineStr"/>
      <s:c r="B19708" s="121" t="n"/>
      <s:c r="C19708" s="121" t="n"/>
      <s:c r="D19708" s="121" t="n"/>
      <s:c r="E19708" s="122" t="n"/>
    </s:row>
    <s:row r="19709" hidden="1" ht="1" customHeight="1">
      <s:c r="A19709" s="120" t="inlineStr"/>
      <s:c r="B19709" s="121" t="n"/>
      <s:c r="C19709" s="121" t="n"/>
      <s:c r="D19709" s="121" t="n"/>
      <s:c r="E19709" s="122" t="n"/>
    </s:row>
    <s:row r="19710" hidden="1" ht="1" customHeight="1">
      <s:c r="A19710" s="120" t="inlineStr"/>
      <s:c r="B19710" s="121" t="n"/>
      <s:c r="C19710" s="121" t="n"/>
      <s:c r="D19710" s="121" t="n"/>
      <s:c r="E19710" s="122" t="n"/>
    </s:row>
    <s:row r="19711" hidden="1" ht="1" customHeight="1">
      <s:c r="A19711" s="120" t="inlineStr"/>
      <s:c r="B19711" s="121" t="n"/>
      <s:c r="C19711" s="121" t="n"/>
      <s:c r="D19711" s="121" t="n"/>
      <s:c r="E19711" s="122" t="n"/>
    </s:row>
    <s:row r="19712" hidden="1" ht="1" customHeight="1">
      <s:c r="A19712" s="120" t="inlineStr"/>
      <s:c r="B19712" s="121" t="n"/>
      <s:c r="C19712" s="121" t="n"/>
      <s:c r="D19712" s="121" t="n"/>
      <s:c r="E19712" s="122" t="n"/>
    </s:row>
    <s:row r="19713" hidden="1" ht="1" customHeight="1">
      <s:c r="A19713" s="120" t="inlineStr"/>
      <s:c r="B19713" s="121" t="n"/>
      <s:c r="C19713" s="121" t="n"/>
      <s:c r="D19713" s="121" t="n"/>
      <s:c r="E19713" s="122" t="n"/>
    </s:row>
    <s:row r="19714" hidden="1" ht="1" customHeight="1">
      <s:c r="A19714" s="120" t="inlineStr"/>
      <s:c r="B19714" s="121" t="n"/>
      <s:c r="C19714" s="121" t="n"/>
      <s:c r="D19714" s="121" t="n"/>
      <s:c r="E19714" s="122" t="n"/>
    </s:row>
    <s:row r="19715" hidden="1" ht="1" customHeight="1">
      <s:c r="A19715" s="120" t="inlineStr"/>
      <s:c r="B19715" s="121" t="n"/>
      <s:c r="C19715" s="121" t="n"/>
      <s:c r="D19715" s="121" t="n"/>
      <s:c r="E19715" s="122" t="n"/>
    </s:row>
    <s:row r="19716" hidden="1" ht="1" customHeight="1">
      <s:c r="A19716" s="120" t="inlineStr"/>
      <s:c r="B19716" s="121" t="n"/>
      <s:c r="C19716" s="121" t="n"/>
      <s:c r="D19716" s="121" t="n"/>
      <s:c r="E19716" s="122" t="n"/>
    </s:row>
    <s:row r="19717" hidden="1" ht="1" customHeight="1">
      <s:c r="A19717" s="120" t="inlineStr"/>
      <s:c r="B19717" s="121" t="n"/>
      <s:c r="C19717" s="121" t="n"/>
      <s:c r="D19717" s="121" t="n"/>
      <s:c r="E19717" s="122" t="n"/>
    </s:row>
    <s:row r="19718" hidden="1" ht="1" customHeight="1">
      <s:c r="A19718" s="120" t="inlineStr"/>
      <s:c r="B19718" s="121" t="n"/>
      <s:c r="C19718" s="121" t="n"/>
      <s:c r="D19718" s="121" t="n"/>
      <s:c r="E19718" s="122" t="n"/>
    </s:row>
    <s:row r="19719" hidden="1" ht="1" customHeight="1">
      <s:c r="A19719" s="120" t="inlineStr"/>
      <s:c r="B19719" s="121" t="n"/>
      <s:c r="C19719" s="121" t="n"/>
      <s:c r="D19719" s="121" t="n"/>
      <s:c r="E19719" s="122" t="n"/>
    </s:row>
    <s:row r="19720" hidden="1" ht="1" customHeight="1">
      <s:c r="A19720" s="120" t="inlineStr"/>
      <s:c r="B19720" s="121" t="n"/>
      <s:c r="C19720" s="121" t="n"/>
      <s:c r="D19720" s="121" t="n"/>
      <s:c r="E19720" s="122" t="n"/>
    </s:row>
    <s:row r="19721" hidden="1" ht="1" customHeight="1">
      <s:c r="A19721" s="120" t="inlineStr"/>
      <s:c r="B19721" s="121" t="n"/>
      <s:c r="C19721" s="121" t="n"/>
      <s:c r="D19721" s="121" t="n"/>
      <s:c r="E19721" s="122" t="n"/>
    </s:row>
    <s:row r="19722" hidden="1" ht="1" customHeight="1">
      <s:c r="A19722" s="120" t="inlineStr"/>
      <s:c r="B19722" s="121" t="n"/>
      <s:c r="C19722" s="121" t="n"/>
      <s:c r="D19722" s="121" t="n"/>
      <s:c r="E19722" s="122" t="n"/>
    </s:row>
    <s:row r="19723" hidden="1" ht="1" customHeight="1">
      <s:c r="A19723" s="120" t="inlineStr"/>
      <s:c r="B19723" s="121" t="n"/>
      <s:c r="C19723" s="121" t="n"/>
      <s:c r="D19723" s="121" t="n"/>
      <s:c r="E19723" s="122" t="n"/>
    </s:row>
    <s:row r="19724" hidden="1" ht="1" customHeight="1">
      <s:c r="A19724" s="120" t="inlineStr"/>
      <s:c r="B19724" s="121" t="n"/>
      <s:c r="C19724" s="121" t="n"/>
      <s:c r="D19724" s="121" t="n"/>
      <s:c r="E19724" s="122" t="n"/>
    </s:row>
    <s:row r="19725" hidden="1" ht="1" customHeight="1">
      <s:c r="A19725" s="120" t="inlineStr"/>
      <s:c r="B19725" s="121" t="n"/>
      <s:c r="C19725" s="121" t="n"/>
      <s:c r="D19725" s="121" t="n"/>
      <s:c r="E19725" s="122" t="n"/>
    </s:row>
    <s:row r="19726" hidden="1" ht="1" customHeight="1">
      <s:c r="A19726" s="120" t="inlineStr"/>
      <s:c r="B19726" s="121" t="n"/>
      <s:c r="C19726" s="121" t="n"/>
      <s:c r="D19726" s="121" t="n"/>
      <s:c r="E19726" s="122" t="n"/>
    </s:row>
    <s:row r="19727" hidden="1" ht="1" customHeight="1">
      <s:c r="A19727" s="120" t="inlineStr"/>
      <s:c r="B19727" s="121" t="n"/>
      <s:c r="C19727" s="121" t="n"/>
      <s:c r="D19727" s="121" t="n"/>
      <s:c r="E19727" s="122" t="n"/>
    </s:row>
    <s:row r="19728" hidden="1" ht="1" customHeight="1">
      <s:c r="A19728" s="120" t="inlineStr"/>
      <s:c r="B19728" s="121" t="n"/>
      <s:c r="C19728" s="121" t="n"/>
      <s:c r="D19728" s="121" t="n"/>
      <s:c r="E19728" s="122" t="n"/>
    </s:row>
    <s:row r="19729" hidden="1" ht="1" customHeight="1">
      <s:c r="A19729" s="120" t="inlineStr"/>
      <s:c r="B19729" s="121" t="n"/>
      <s:c r="C19729" s="121" t="n"/>
      <s:c r="D19729" s="121" t="n"/>
      <s:c r="E19729" s="122" t="n"/>
    </s:row>
    <s:row r="19730" hidden="1" ht="1" customHeight="1">
      <s:c r="A19730" s="120" t="inlineStr"/>
      <s:c r="B19730" s="121" t="n"/>
      <s:c r="C19730" s="121" t="n"/>
      <s:c r="D19730" s="121" t="n"/>
      <s:c r="E19730" s="122" t="n"/>
    </s:row>
    <s:row r="19731" hidden="1" ht="1" customHeight="1">
      <s:c r="A19731" s="120" t="inlineStr"/>
      <s:c r="B19731" s="121" t="n"/>
      <s:c r="C19731" s="121" t="n"/>
      <s:c r="D19731" s="121" t="n"/>
      <s:c r="E19731" s="122" t="n"/>
    </s:row>
    <s:row r="19732" hidden="1" ht="1" customHeight="1">
      <s:c r="A19732" s="120" t="inlineStr"/>
      <s:c r="B19732" s="121" t="n"/>
      <s:c r="C19732" s="121" t="n"/>
      <s:c r="D19732" s="121" t="n"/>
      <s:c r="E19732" s="122" t="n"/>
    </s:row>
    <s:row r="19733" hidden="1" ht="1" customHeight="1">
      <s:c r="A19733" s="120" t="inlineStr"/>
      <s:c r="B19733" s="121" t="n"/>
      <s:c r="C19733" s="121" t="n"/>
      <s:c r="D19733" s="121" t="n"/>
      <s:c r="E19733" s="122" t="n"/>
    </s:row>
    <s:row r="19734" hidden="1" ht="1" customHeight="1">
      <s:c r="A19734" s="120" t="inlineStr"/>
      <s:c r="B19734" s="121" t="n"/>
      <s:c r="C19734" s="121" t="n"/>
      <s:c r="D19734" s="121" t="n"/>
      <s:c r="E19734" s="122" t="n"/>
    </s:row>
    <s:row r="19735" hidden="1" ht="1" customHeight="1">
      <s:c r="A19735" s="120" t="inlineStr"/>
      <s:c r="B19735" s="121" t="n"/>
      <s:c r="C19735" s="121" t="n"/>
      <s:c r="D19735" s="121" t="n"/>
      <s:c r="E19735" s="122" t="n"/>
    </s:row>
    <s:row r="19736" hidden="1" ht="1" customHeight="1">
      <s:c r="A19736" s="120" t="inlineStr"/>
      <s:c r="B19736" s="121" t="n"/>
      <s:c r="C19736" s="121" t="n"/>
      <s:c r="D19736" s="121" t="n"/>
      <s:c r="E19736" s="122" t="n"/>
    </s:row>
    <s:row r="19737" hidden="1" ht="1" customHeight="1">
      <s:c r="A19737" s="120" t="inlineStr"/>
      <s:c r="B19737" s="121" t="n"/>
      <s:c r="C19737" s="121" t="n"/>
      <s:c r="D19737" s="121" t="n"/>
      <s:c r="E19737" s="122" t="n"/>
    </s:row>
    <s:row r="19738" hidden="1" ht="1" customHeight="1">
      <s:c r="A19738" s="120" t="inlineStr"/>
      <s:c r="B19738" s="121" t="n"/>
      <s:c r="C19738" s="121" t="n"/>
      <s:c r="D19738" s="121" t="n"/>
      <s:c r="E19738" s="122" t="n"/>
    </s:row>
    <s:row r="19739" hidden="1" ht="1" customHeight="1">
      <s:c r="A19739" s="120" t="inlineStr"/>
      <s:c r="B19739" s="121" t="n"/>
      <s:c r="C19739" s="121" t="n"/>
      <s:c r="D19739" s="121" t="n"/>
      <s:c r="E19739" s="122" t="n"/>
    </s:row>
    <s:row r="19740" hidden="1" ht="1" customHeight="1">
      <s:c r="A19740" s="120" t="inlineStr"/>
      <s:c r="B19740" s="121" t="n"/>
      <s:c r="C19740" s="121" t="n"/>
      <s:c r="D19740" s="121" t="n"/>
      <s:c r="E19740" s="122" t="n"/>
    </s:row>
    <s:row r="19741" hidden="1" ht="1" customHeight="1">
      <s:c r="A19741" s="120" t="inlineStr"/>
      <s:c r="B19741" s="121" t="n"/>
      <s:c r="C19741" s="121" t="n"/>
      <s:c r="D19741" s="121" t="n"/>
      <s:c r="E19741" s="122" t="n"/>
    </s:row>
    <s:row r="19742" hidden="1" ht="1" customHeight="1">
      <s:c r="A19742" s="120" t="inlineStr"/>
      <s:c r="B19742" s="121" t="n"/>
      <s:c r="C19742" s="121" t="n"/>
      <s:c r="D19742" s="121" t="n"/>
      <s:c r="E19742" s="122" t="n"/>
    </s:row>
    <s:row r="19743" hidden="1" ht="1" customHeight="1">
      <s:c r="A19743" s="120" t="inlineStr"/>
      <s:c r="B19743" s="121" t="n"/>
      <s:c r="C19743" s="121" t="n"/>
      <s:c r="D19743" s="121" t="n"/>
      <s:c r="E19743" s="122" t="n"/>
    </s:row>
    <s:row r="19744" hidden="1" ht="1" customHeight="1">
      <s:c r="A19744" s="120" t="inlineStr"/>
      <s:c r="B19744" s="121" t="n"/>
      <s:c r="C19744" s="121" t="n"/>
      <s:c r="D19744" s="121" t="n"/>
      <s:c r="E19744" s="122" t="n"/>
    </s:row>
    <s:row r="19745" hidden="1" ht="1" customHeight="1">
      <s:c r="A19745" s="120" t="inlineStr"/>
      <s:c r="B19745" s="121" t="n"/>
      <s:c r="C19745" s="121" t="n"/>
      <s:c r="D19745" s="121" t="n"/>
      <s:c r="E19745" s="122" t="n"/>
    </s:row>
    <s:row r="19746" hidden="1" ht="1" customHeight="1">
      <s:c r="A19746" s="120" t="inlineStr"/>
      <s:c r="B19746" s="121" t="n"/>
      <s:c r="C19746" s="121" t="n"/>
      <s:c r="D19746" s="121" t="n"/>
      <s:c r="E19746" s="122" t="n"/>
    </s:row>
    <s:row r="19747" hidden="1" ht="1" customHeight="1">
      <s:c r="A19747" s="120" t="inlineStr"/>
      <s:c r="B19747" s="121" t="n"/>
      <s:c r="C19747" s="121" t="n"/>
      <s:c r="D19747" s="121" t="n"/>
      <s:c r="E19747" s="122" t="n"/>
    </s:row>
    <s:row r="19748" hidden="1" ht="1" customHeight="1">
      <s:c r="A19748" s="120" t="inlineStr"/>
      <s:c r="B19748" s="121" t="n"/>
      <s:c r="C19748" s="121" t="n"/>
      <s:c r="D19748" s="121" t="n"/>
      <s:c r="E19748" s="122" t="n"/>
    </s:row>
    <s:row r="19749" hidden="1" ht="1" customHeight="1">
      <s:c r="A19749" s="120" t="inlineStr"/>
      <s:c r="B19749" s="121" t="n"/>
      <s:c r="C19749" s="121" t="n"/>
      <s:c r="D19749" s="121" t="n"/>
      <s:c r="E19749" s="122" t="n"/>
    </s:row>
    <s:row r="19750" hidden="1" ht="1" customHeight="1">
      <s:c r="A19750" s="120" t="inlineStr"/>
      <s:c r="B19750" s="121" t="n"/>
      <s:c r="C19750" s="121" t="n"/>
      <s:c r="D19750" s="121" t="n"/>
      <s:c r="E19750" s="122" t="n"/>
    </s:row>
    <s:row r="19751" hidden="1" ht="1" customHeight="1">
      <s:c r="A19751" s="120" t="inlineStr"/>
      <s:c r="B19751" s="121" t="n"/>
      <s:c r="C19751" s="121" t="n"/>
      <s:c r="D19751" s="121" t="n"/>
      <s:c r="E19751" s="122" t="n"/>
    </s:row>
    <s:row r="19752" hidden="1" ht="1" customHeight="1">
      <s:c r="A19752" s="120" t="inlineStr"/>
      <s:c r="B19752" s="121" t="n"/>
      <s:c r="C19752" s="121" t="n"/>
      <s:c r="D19752" s="121" t="n"/>
      <s:c r="E19752" s="122" t="n"/>
    </s:row>
    <s:row r="19753" hidden="1" ht="1" customHeight="1">
      <s:c r="A19753" s="120" t="inlineStr"/>
      <s:c r="B19753" s="121" t="n"/>
      <s:c r="C19753" s="121" t="n"/>
      <s:c r="D19753" s="121" t="n"/>
      <s:c r="E19753" s="122" t="n"/>
    </s:row>
    <s:row r="19754" hidden="1" ht="1" customHeight="1">
      <s:c r="A19754" s="120" t="inlineStr"/>
      <s:c r="B19754" s="121" t="n"/>
      <s:c r="C19754" s="121" t="n"/>
      <s:c r="D19754" s="121" t="n"/>
      <s:c r="E19754" s="122" t="n"/>
    </s:row>
    <s:row r="19755" hidden="1" ht="1" customHeight="1">
      <s:c r="A19755" s="120" t="inlineStr"/>
      <s:c r="B19755" s="121" t="n"/>
      <s:c r="C19755" s="121" t="n"/>
      <s:c r="D19755" s="121" t="n"/>
      <s:c r="E19755" s="122" t="n"/>
    </s:row>
    <s:row r="19756" hidden="1" ht="1" customHeight="1">
      <s:c r="A19756" s="120" t="inlineStr"/>
      <s:c r="B19756" s="121" t="n"/>
      <s:c r="C19756" s="121" t="n"/>
      <s:c r="D19756" s="121" t="n"/>
      <s:c r="E19756" s="122" t="n"/>
    </s:row>
    <s:row r="19757" hidden="1" ht="1" customHeight="1">
      <s:c r="A19757" s="120" t="inlineStr"/>
      <s:c r="B19757" s="121" t="n"/>
      <s:c r="C19757" s="121" t="n"/>
      <s:c r="D19757" s="121" t="n"/>
      <s:c r="E19757" s="122" t="n"/>
    </s:row>
    <s:row r="19758" hidden="1" ht="1" customHeight="1">
      <s:c r="A19758" s="120" t="inlineStr"/>
      <s:c r="B19758" s="121" t="n"/>
      <s:c r="C19758" s="121" t="n"/>
      <s:c r="D19758" s="121" t="n"/>
      <s:c r="E19758" s="122" t="n"/>
    </s:row>
    <s:row r="19759" hidden="1" ht="1" customHeight="1">
      <s:c r="A19759" s="120" t="inlineStr"/>
      <s:c r="B19759" s="121" t="n"/>
      <s:c r="C19759" s="121" t="n"/>
      <s:c r="D19759" s="121" t="n"/>
      <s:c r="E19759" s="122" t="n"/>
    </s:row>
    <s:row r="19760" hidden="1" ht="1" customHeight="1">
      <s:c r="A19760" s="120" t="inlineStr"/>
      <s:c r="B19760" s="121" t="n"/>
      <s:c r="C19760" s="121" t="n"/>
      <s:c r="D19760" s="121" t="n"/>
      <s:c r="E19760" s="122" t="n"/>
    </s:row>
    <s:row r="19761" hidden="1" ht="1" customHeight="1">
      <s:c r="A19761" s="120" t="inlineStr"/>
      <s:c r="B19761" s="121" t="n"/>
      <s:c r="C19761" s="121" t="n"/>
      <s:c r="D19761" s="121" t="n"/>
      <s:c r="E19761" s="122" t="n"/>
    </s:row>
    <s:row r="19762" hidden="1" ht="1" customHeight="1">
      <s:c r="A19762" s="120" t="inlineStr"/>
      <s:c r="B19762" s="121" t="n"/>
      <s:c r="C19762" s="121" t="n"/>
      <s:c r="D19762" s="121" t="n"/>
      <s:c r="E19762" s="122" t="n"/>
    </s:row>
    <s:row r="19763" hidden="1" ht="1" customHeight="1">
      <s:c r="A19763" s="120" t="inlineStr"/>
      <s:c r="B19763" s="121" t="n"/>
      <s:c r="C19763" s="121" t="n"/>
      <s:c r="D19763" s="121" t="n"/>
      <s:c r="E19763" s="122" t="n"/>
    </s:row>
    <s:row r="19764" hidden="1" ht="1" customHeight="1">
      <s:c r="A19764" s="120" t="inlineStr"/>
      <s:c r="B19764" s="121" t="n"/>
      <s:c r="C19764" s="121" t="n"/>
      <s:c r="D19764" s="121" t="n"/>
      <s:c r="E19764" s="122" t="n"/>
    </s:row>
    <s:row r="19765" hidden="1" ht="1" customHeight="1">
      <s:c r="A19765" s="120" t="inlineStr"/>
      <s:c r="B19765" s="121" t="n"/>
      <s:c r="C19765" s="121" t="n"/>
      <s:c r="D19765" s="121" t="n"/>
      <s:c r="E19765" s="122" t="n"/>
    </s:row>
    <s:row r="19766" hidden="1" ht="1" customHeight="1">
      <s:c r="A19766" s="120" t="inlineStr"/>
      <s:c r="B19766" s="121" t="n"/>
      <s:c r="C19766" s="121" t="n"/>
      <s:c r="D19766" s="121" t="n"/>
      <s:c r="E19766" s="122" t="n"/>
    </s:row>
    <s:row r="19767" hidden="1" ht="1" customHeight="1">
      <s:c r="A19767" s="120" t="inlineStr"/>
      <s:c r="B19767" s="121" t="n"/>
      <s:c r="C19767" s="121" t="n"/>
      <s:c r="D19767" s="121" t="n"/>
      <s:c r="E19767" s="122" t="n"/>
    </s:row>
    <s:row r="19768" hidden="1" ht="1" customHeight="1">
      <s:c r="A19768" s="120" t="inlineStr"/>
      <s:c r="B19768" s="121" t="n"/>
      <s:c r="C19768" s="121" t="n"/>
      <s:c r="D19768" s="121" t="n"/>
      <s:c r="E19768" s="122" t="n"/>
    </s:row>
    <s:row r="19769" hidden="1" ht="1" customHeight="1">
      <s:c r="A19769" s="120" t="inlineStr"/>
      <s:c r="B19769" s="121" t="n"/>
      <s:c r="C19769" s="121" t="n"/>
      <s:c r="D19769" s="121" t="n"/>
      <s:c r="E19769" s="122" t="n"/>
    </s:row>
    <s:row r="19770" hidden="1" ht="1" customHeight="1">
      <s:c r="A19770" s="120" t="inlineStr"/>
      <s:c r="B19770" s="121" t="n"/>
      <s:c r="C19770" s="121" t="n"/>
      <s:c r="D19770" s="121" t="n"/>
      <s:c r="E19770" s="122" t="n"/>
    </s:row>
    <s:row r="19771" hidden="1" ht="1" customHeight="1">
      <s:c r="A19771" s="120" t="inlineStr"/>
      <s:c r="B19771" s="121" t="n"/>
      <s:c r="C19771" s="121" t="n"/>
      <s:c r="D19771" s="121" t="n"/>
      <s:c r="E19771" s="122" t="n"/>
    </s:row>
    <s:row r="19772" hidden="1" ht="1" customHeight="1">
      <s:c r="A19772" s="120" t="inlineStr"/>
      <s:c r="B19772" s="121" t="n"/>
      <s:c r="C19772" s="121" t="n"/>
      <s:c r="D19772" s="121" t="n"/>
      <s:c r="E19772" s="122" t="n"/>
    </s:row>
    <s:row r="19773" hidden="1" ht="1" customHeight="1">
      <s:c r="A19773" s="120" t="inlineStr"/>
      <s:c r="B19773" s="121" t="n"/>
      <s:c r="C19773" s="121" t="n"/>
      <s:c r="D19773" s="121" t="n"/>
      <s:c r="E19773" s="122" t="n"/>
    </s:row>
    <s:row r="19774" hidden="1" ht="1" customHeight="1">
      <s:c r="A19774" s="120" t="inlineStr"/>
      <s:c r="B19774" s="121" t="n"/>
      <s:c r="C19774" s="121" t="n"/>
      <s:c r="D19774" s="121" t="n"/>
      <s:c r="E19774" s="122" t="n"/>
    </s:row>
    <s:row r="19775" hidden="1" ht="1" customHeight="1">
      <s:c r="A19775" s="120" t="inlineStr"/>
      <s:c r="B19775" s="121" t="n"/>
      <s:c r="C19775" s="121" t="n"/>
      <s:c r="D19775" s="121" t="n"/>
      <s:c r="E19775" s="122" t="n"/>
    </s:row>
    <s:row r="19776" hidden="1" ht="1" customHeight="1">
      <s:c r="A19776" s="120" t="inlineStr"/>
      <s:c r="B19776" s="121" t="n"/>
      <s:c r="C19776" s="121" t="n"/>
      <s:c r="D19776" s="121" t="n"/>
      <s:c r="E19776" s="122" t="n"/>
    </s:row>
    <s:row r="19777" hidden="1" ht="1" customHeight="1">
      <s:c r="A19777" s="120" t="inlineStr"/>
      <s:c r="B19777" s="121" t="n"/>
      <s:c r="C19777" s="121" t="n"/>
      <s:c r="D19777" s="121" t="n"/>
      <s:c r="E19777" s="122" t="n"/>
    </s:row>
    <s:row r="19778" hidden="1" ht="1" customHeight="1">
      <s:c r="A19778" s="120" t="inlineStr"/>
      <s:c r="B19778" s="121" t="n"/>
      <s:c r="C19778" s="121" t="n"/>
      <s:c r="D19778" s="121" t="n"/>
      <s:c r="E19778" s="122" t="n"/>
    </s:row>
    <s:row r="19779" hidden="1" ht="1" customHeight="1">
      <s:c r="A19779" s="120" t="inlineStr"/>
      <s:c r="B19779" s="121" t="n"/>
      <s:c r="C19779" s="121" t="n"/>
      <s:c r="D19779" s="121" t="n"/>
      <s:c r="E19779" s="122" t="n"/>
    </s:row>
    <s:row r="19780" hidden="1" ht="1" customHeight="1">
      <s:c r="A19780" s="120" t="inlineStr"/>
      <s:c r="B19780" s="121" t="n"/>
      <s:c r="C19780" s="121" t="n"/>
      <s:c r="D19780" s="121" t="n"/>
      <s:c r="E19780" s="122" t="n"/>
    </s:row>
    <s:row r="19781" hidden="1" ht="1" customHeight="1">
      <s:c r="A19781" s="120" t="inlineStr"/>
      <s:c r="B19781" s="121" t="n"/>
      <s:c r="C19781" s="121" t="n"/>
      <s:c r="D19781" s="121" t="n"/>
      <s:c r="E19781" s="122" t="n"/>
    </s:row>
    <s:row r="19782" hidden="1" ht="1" customHeight="1">
      <s:c r="A19782" s="120" t="inlineStr"/>
      <s:c r="B19782" s="121" t="n"/>
      <s:c r="C19782" s="121" t="n"/>
      <s:c r="D19782" s="121" t="n"/>
      <s:c r="E19782" s="122" t="n"/>
    </s:row>
    <s:row r="19783" hidden="1" ht="1" customHeight="1">
      <s:c r="A19783" s="120" t="inlineStr"/>
      <s:c r="B19783" s="121" t="n"/>
      <s:c r="C19783" s="121" t="n"/>
      <s:c r="D19783" s="121" t="n"/>
      <s:c r="E19783" s="122" t="n"/>
    </s:row>
    <s:row r="19784" hidden="1" ht="1" customHeight="1">
      <s:c r="A19784" s="120" t="inlineStr"/>
      <s:c r="B19784" s="121" t="n"/>
      <s:c r="C19784" s="121" t="n"/>
      <s:c r="D19784" s="121" t="n"/>
      <s:c r="E19784" s="122" t="n"/>
    </s:row>
    <s:row r="19785" hidden="1" ht="1" customHeight="1">
      <s:c r="A19785" s="83" t="inlineStr">
        <s:is>
          <s:t>PASS</s:t>
        </s:is>
      </s:c>
      <s:c r="B19785" s="83">
        <s:f>SUM(IF(EXACT('Kiểm thử'!E19585,"Đạt"),1,0),IF(EXACT('Kiểm thử'!E19587,"Đạt"),1,0),IF(EXACT('Kiểm thử'!E19589,"Đạt"),1,0),IF(EXACT('Kiểm thử'!E19591,"Đạt"),1,0))</s:f>
        <s:v/>
      </s:c>
      <s:c r="C19785" s="19" t="n"/>
      <s:c r="D19785" s="19" t="n"/>
      <s:c r="E19785" s="19" t="n"/>
    </s:row>
    <s:row r="19786" hidden="1" ht="1" customHeight="1">
      <s:c r="A19786" s="83" t="inlineStr">
        <s:is>
          <s:t>FAIL</s:t>
        </s:is>
      </s:c>
      <s:c r="B19786" s="83">
        <s:f>SUM(IF(EXACT('Kiểm thử'!E19585,"Không đạt"),1,0),IF(EXACT('Kiểm thử'!E19587,"Không đạt"),1,0),IF(EXACT('Kiểm thử'!E19589,"Không đạt"),1,0),IF(EXACT('Kiểm thử'!E19591,"Không đạt"),1,0))</s:f>
        <s:v/>
      </s:c>
      <s:c r="C19786" s="19" t="n"/>
      <s:c r="D19786" s="19" t="n"/>
      <s:c r="E19786" s="19" t="n"/>
    </s:row>
    <s:row r="19787" hidden="1" ht="1" customHeight="1">
      <s:c r="A19787" s="83" t="inlineStr">
        <s:is>
          <s:t>BLOCKED</s:t>
        </s:is>
      </s:c>
      <s:c r="B19787" s="83">
        <s:f>SUM(IF(EXACT('Kiểm thử'!E19585,"Bị chặn"),1,0),IF(EXACT('Kiểm thử'!E19587,"Bị chặn"),1,0),IF(EXACT('Kiểm thử'!E19589,"Bị chặn"),1,0),IF(EXACT('Kiểm thử'!E19591,"Bị chặn"),1,0))</s:f>
        <s:v/>
      </s:c>
      <s:c r="C19787" s="19" t="n"/>
      <s:c r="D19787" s="19" t="n"/>
      <s:c r="E19787" s="19" t="n"/>
    </s:row>
    <s:row r="19788" hidden="1" ht="1" customHeight="1">
      <s:c r="A19788" s="83" t="inlineStr">
        <s:is>
          <s:t>SKIPPED</s:t>
        </s:is>
      </s:c>
      <s:c r="B19788" s="83">
        <s:f>SUM(IF(EXACT('Kiểm thử'!E19585,"Không thực hiện"),1,0),IF(EXACT('Kiểm thử'!E19587,"Không thực hiện"),1,0),IF(EXACT('Kiểm thử'!E19589,"Không thực hiện"),1,0),IF(EXACT('Kiểm thử'!E19591,"Không thực hiện"),1,0))</s:f>
        <s:v/>
      </s:c>
      <s:c r="C19788" s="19" t="n"/>
      <s:c r="D19788" s="19" t="n"/>
      <s:c r="E19788" s="19" t="n"/>
    </s:row>
    <s:row r="19789" hidden="1" ht="1" customHeight="1">
      <s:c r="A19789" s="83" t="inlineStr">
        <s:is>
          <s:t>NOT RUN</s:t>
        </s:is>
      </s:c>
      <s:c r="B19789" s="83">
        <s:f>SUM(IF(EXACT('Kiểm thử'!E19585,"Chưa thực hiện"),1,0),IF(EXACT('Kiểm thử'!E19587,"Chưa thực hiện"),1,0),IF(EXACT('Kiểm thử'!E19589,"Chưa thực hiện"),1,0),IF(EXACT('Kiểm thử'!E19591,"Chưa thực hiện"),1,0))</s:f>
        <s:v/>
      </s:c>
      <s:c r="C19789" s="19" t="n"/>
      <s:c r="D19789" s="19" t="n"/>
      <s:c r="E19789" s="19" t="n"/>
    </s:row>
    <s:row r="19790" hidden="1" ht="6" customHeight="1">
      <s:c r="A19790" s="83" t="inlineStr"/>
      <s:c r="B19790" s="19" t="n"/>
      <s:c r="C19790" s="19" t="n"/>
      <s:c r="D19790" s="19" t="n"/>
      <s:c r="E19790" s="19" t="n"/>
    </s:row>
    <s:row r="19791" ht="28" customHeight="1">
      <s:c r="A19791" s="108" t="inlineStr">
        <s:is>
          <s:t>TC-RS-DATA-010 — Sao chép mẫu phiếu điểm giữ lựa chọn hiển thị đỏ</s:t>
        </s:is>
      </s:c>
      <s:c r="B19791" s="111" t="n"/>
      <s:c r="C19791" s="111" t="n"/>
      <s:c r="D19791" s="111" t="n"/>
      <s:c r="E19791" s="111" t="n"/>
    </s:row>
    <s:row r="19792" ht="20" customHeight="1">
      <s:c r="A19792" s="112" t="inlineStr">
        <s:is>
          <s:t>Kết quả tình huống</s:t>
        </s:is>
      </s:c>
      <s:c r="B19792" s="113">
        <s:f>IF(SUM(IF(EXACT('Kiểm thử'!E19801,"Không đạt"),1,0),IF(EXACT('Kiểm thử'!E19803,"Không đạt"),1,0))&gt;0,"Không đạt",IF(SUM(IF(EXACT('Kiểm thử'!E19801,"Đạt"),1,0),IF(EXACT('Kiểm thử'!E19803,"Đạt"),1,0))=2,"Đạt",IF(SUM(IF(EXACT('Kiểm thử'!E19801,"Không thực hiện"),1,0),IF(EXACT('Kiểm thử'!E19803,"Không thực hiện"),1,0))=2,"Không thực hiện",IF(SUM(IF(EXACT('Kiểm thử'!E19801,"Bị chặn"),1,0),IF(EXACT('Kiểm thử'!E19803,"Bị chặn"),1,0))&gt;0,"Bị chặn",IF(SUM(IF(EXACT('Kiểm thử'!E19801,"Chưa thực hiện"),1,0),IF(EXACT('Kiểm thử'!E19803,"Chưa thực hiện"),1,0))=2,"Chưa thực hiện","Đang thực hiện")))))</s:f>
        <s:v/>
      </s:c>
      <s:c r="C19792" s="114" t="n"/>
      <s:c r="D19792" s="114" t="n"/>
      <s:c r="E19792" s="114" t="n"/>
    </s:row>
    <s:row r="19793" ht="20" customHeight="1">
      <s:c r="A19793" s="112" t="inlineStr">
        <s:is>
          <s:t>Màn hình / chức năng</s:t>
        </s:is>
      </s:c>
      <s:c r="B19793" s="113" t="inlineStr">
        <s:is>
          <s:r>
            <s:rPr>
              <s:b val="1"/>
            </s:rPr>
            <s:t>Công cụ phiếu điểm（通知表ツール）</s:t>
          </s:r>
        </s:is>
      </s:c>
      <s:c r="C19793" s="28" t="n"/>
      <s:c r="D19793" s="28" t="n"/>
      <s:c r="E19793" s="28" t="n"/>
    </s:row>
    <s:row r="19794" ht="34" customHeight="1">
      <s:c r="A19794" s="112" t="inlineStr">
        <s:is>
          <s:t>Cấu hình</s:t>
        </s:is>
      </s:c>
      <s:c r="B19794" s="113" t="inlineStr">
        <s:is>
          <s:t>• Mẫu phiếu A có cấu hình phiếu điểm: ký tự “※” phía trước;
• Mẫu phiếu B chỉ bật điều kiện đỏ (các dòng khác không dùng).</s:t>
        </s:is>
      </s:c>
      <s:c r="C19794" s="28" t="n"/>
      <s:c r="D19794" s="28" t="n"/>
      <s:c r="E19794" s="28" t="n"/>
    </s:row>
    <s:row r="19795" ht="20" customHeight="1">
      <s:c r="A19795" s="112" t="inlineStr">
        <s:is>
          <s:t>Dữ liệu test</s:t>
        </s:is>
      </s:c>
      <s:c r="B19795" s="113" t="inlineStr">
        <s:is>
          <s:t>• Cấu hình phiếu điểm: ký tự “※” phía trước</s:t>
        </s:is>
      </s:c>
      <s:c r="C19795" s="28" t="n"/>
      <s:c r="D19795" s="28" t="n"/>
      <s:c r="E19795" s="28" t="n"/>
    </s:row>
    <s:row r="19796" ht="20" customHeight="1">
      <s:c r="A19796" s="112" t="inlineStr">
        <s:is>
          <s:t>Bước 1</s:t>
        </s:is>
      </s:c>
      <s:c r="B19796" s="113" t="inlineStr">
        <s:is>
          <s:t>Sao chép mẫu A và mẫu B.</s:t>
        </s:is>
      </s:c>
      <s:c r="C19796" s="28" t="n"/>
      <s:c r="D19796" s="28" t="n"/>
      <s:c r="E19796" s="28" t="n"/>
    </s:row>
    <s:row r="19797" ht="20" customHeight="1">
      <s:c r="A19797" s="112" t="inlineStr">
        <s:is>
          <s:t>Bước 2</s:t>
        </s:is>
      </s:c>
      <s:c r="B19797" s="113" t="inlineStr">
        <s:is>
          <s:r>
            <s:t xml:space="preserve">Mở dòng </s:t>
          </s:r>
          <s:r>
            <s:rPr>
              <s:b val="1"/>
            </s:rPr>
            <s:t>Thiết lập điểm đỏ（赤点設定）</s:t>
          </s:r>
          <s:r>
            <s:t xml:space="preserve"> ở từng bản sao.</s:t>
          </s:r>
        </s:is>
      </s:c>
      <s:c r="C19797" s="28" t="n"/>
      <s:c r="D19797" s="28" t="n"/>
      <s:c r="E19797" s="28" t="n"/>
    </s:row>
    <s:row r="19798" ht="20" customHeight="1">
      <s:c r="A19798" s="112" t="inlineStr">
        <s:is>
          <s:t>Bước 3</s:t>
        </s:is>
      </s:c>
      <s:c r="B19798" s="113" t="inlineStr">
        <s:is>
          <s:t>Xuất PDF bản sao với S01.</s:t>
        </s:is>
      </s:c>
      <s:c r="C19798" s="28" t="n"/>
      <s:c r="D19798" s="28" t="n"/>
      <s:c r="E19798" s="28" t="n"/>
    </s:row>
    <s:row r="19799" ht="28" customHeight="1">
      <s:c r="A19799" s="115" t="inlineStr">
        <s:is>
          <s:t>Trường hợp</s:t>
        </s:is>
      </s:c>
      <s:c r="B19799" s="115" t="inlineStr">
        <s:is>
          <s:t>Dữ liệu / thao tác riêng</s:t>
        </s:is>
      </s:c>
      <s:c r="C19799" s="115" t="inlineStr">
        <s:is>
          <s:t>Kết quả mong đợi</s:t>
        </s:is>
      </s:c>
      <s:c r="D19799" s="115" t="inlineStr">
        <s:is>
          <s:t>Kết quả thực tế</s:t>
        </s:is>
      </s:c>
      <s:c r="E19799" s="115" t="inlineStr">
        <s:is>
          <s:t>Đánh giá</s:t>
        </s:is>
      </s:c>
    </s:row>
    <s:row r="19800" ht="3" customHeight="1">
      <s:c r="A19800" s="102" t="inlineStr"/>
      <s:c r="B19800" s="99" t="n"/>
      <s:c r="C19800" s="99" t="n"/>
      <s:c r="D19800" s="116" t="n"/>
      <s:c r="E19800" s="116" t="n"/>
    </s:row>
    <s:row r="19801" ht="90" customHeight="1">
      <s:c r="A19801" s="83" t="inlineStr">
        <s:is>
          <s:t>Sao chép mẫu A (template-a)</s:t>
        </s:is>
      </s:c>
      <s:c r="B19801" s="83" t="inlineStr">
        <s:is>
          <s:r>
            <s:t xml:space="preserve">Mẫu A dùng [※] phía trước; sao chép A, mở dòng </s:t>
          </s:r>
          <s:r>
            <s:rPr>
              <s:b val="1"/>
            </s:rPr>
            <s:t>Thiết lập điểm đỏ（赤点設定）</s:t>
          </s:r>
          <s:r>
            <s:t xml:space="preserve"> của bản sao và xuất PDF S01.</s:t>
          </s:r>
        </s:is>
      </s:c>
      <s:c r="C19801" s="83" t="inlineStr">
        <s:is>
          <s:r>
            <s:t xml:space="preserve">1–2. Bản sao giữ lựa chọn </s:t>
          </s:r>
          <s:r>
            <s:rPr>
              <s:b val="1"/>
            </s:rPr>
            <s:t>Ký tự phía trước（前に任意の文字）</s:t>
          </s:r>
          <s:r>
            <s:t xml:space="preserve"> [※]; mẫu chỉ dùng điều kiện đỏ vẫn còn hiệu lực.
3. PDF: ô S01 hiển thị [※29]. Không sao chép kết quả xét của học sinh.</s:t>
          </s:r>
        </s:is>
      </s:c>
      <s:c r="D19801" s="117" t="inlineStr"/>
      <s:c r="E19801" s="118" t="inlineStr">
        <s:is>
          <s:t>Chưa thực hiện</s:t>
        </s:is>
      </s:c>
    </s:row>
    <s:row r="19802" ht="3" customHeight="1">
      <s:c r="A19802" s="102" t="inlineStr"/>
      <s:c r="B19802" s="99" t="n"/>
      <s:c r="C19802" s="99" t="n"/>
      <s:c r="D19802" s="116" t="n"/>
      <s:c r="E19802" s="116" t="n"/>
    </s:row>
    <s:row r="19803" ht="90" customHeight="1">
      <s:c r="A19803" s="83" t="inlineStr">
        <s:is>
          <s:t>Sao chép mẫu chỉ dùng đỏ (template-b)</s:t>
        </s:is>
      </s:c>
      <s:c r="B19803" s="83" t="inlineStr">
        <s:is>
          <s:t>Mẫu B chỉ bật điều kiện đỏ, dòng khác không dùng; sao chép B, mở dòng đỏ và xuất PDF S01.</s:t>
        </s:is>
      </s:c>
      <s:c r="C19803" s="83" t="inlineStr">
        <s:is>
          <s:r>
            <s:t xml:space="preserve">1–2. Bản sao giữ lựa chọn </s:t>
          </s:r>
          <s:r>
            <s:rPr>
              <s:b val="1"/>
            </s:rPr>
            <s:t>Ký tự phía trước（前に任意の文字）</s:t>
          </s:r>
          <s:r>
            <s:t xml:space="preserve"> [※]; mẫu chỉ dùng điều kiện đỏ vẫn còn hiệu lực.
3. PDF: ô S01 hiển thị [※29]. Không sao chép kết quả xét của học sinh.</s:t>
          </s:r>
        </s:is>
      </s:c>
      <s:c r="D19803" s="117" t="inlineStr"/>
      <s:c r="E19803" s="118" t="inlineStr">
        <s:is>
          <s:t>Chưa thực hiện</s:t>
        </s:is>
      </s:c>
    </s:row>
    <s:row r="19804" ht="20" customHeight="1">
      <s:c r="A19804" s="119" t="inlineStr">
        <s:is>
          <s:t>Ảnh minh chứng — Chưa có ảnh</s:t>
        </s:is>
      </s:c>
      <s:c r="B19804" s="19" t="n"/>
      <s:c r="C19804" s="19" t="n"/>
      <s:c r="D19804" s="19" t="n"/>
      <s:c r="E19804" s="19" t="n"/>
    </s:row>
    <s:row r="19805" hidden="1" ht="1" customHeight="1">
      <s:c r="A19805" s="120" t="inlineStr"/>
      <s:c r="B19805" s="121" t="n"/>
      <s:c r="C19805" s="121" t="n"/>
      <s:c r="D19805" s="121" t="n"/>
      <s:c r="E19805" s="122" t="n"/>
    </s:row>
    <s:row r="19806" hidden="1" ht="1" customHeight="1">
      <s:c r="A19806" s="120" t="inlineStr"/>
      <s:c r="B19806" s="121" t="n"/>
      <s:c r="C19806" s="121" t="n"/>
      <s:c r="D19806" s="121" t="n"/>
      <s:c r="E19806" s="122" t="n"/>
    </s:row>
    <s:row r="19807" hidden="1" ht="1" customHeight="1">
      <s:c r="A19807" s="120" t="inlineStr"/>
      <s:c r="B19807" s="121" t="n"/>
      <s:c r="C19807" s="121" t="n"/>
      <s:c r="D19807" s="121" t="n"/>
      <s:c r="E19807" s="122" t="n"/>
    </s:row>
    <s:row r="19808" hidden="1" ht="1" customHeight="1">
      <s:c r="A19808" s="120" t="inlineStr"/>
      <s:c r="B19808" s="121" t="n"/>
      <s:c r="C19808" s="121" t="n"/>
      <s:c r="D19808" s="121" t="n"/>
      <s:c r="E19808" s="122" t="n"/>
    </s:row>
    <s:row r="19809" hidden="1" ht="1" customHeight="1">
      <s:c r="A19809" s="120" t="inlineStr"/>
      <s:c r="B19809" s="121" t="n"/>
      <s:c r="C19809" s="121" t="n"/>
      <s:c r="D19809" s="121" t="n"/>
      <s:c r="E19809" s="122" t="n"/>
    </s:row>
    <s:row r="19810" hidden="1" ht="1" customHeight="1">
      <s:c r="A19810" s="120" t="inlineStr"/>
      <s:c r="B19810" s="121" t="n"/>
      <s:c r="C19810" s="121" t="n"/>
      <s:c r="D19810" s="121" t="n"/>
      <s:c r="E19810" s="122" t="n"/>
    </s:row>
    <s:row r="19811" hidden="1" ht="1" customHeight="1">
      <s:c r="A19811" s="120" t="inlineStr"/>
      <s:c r="B19811" s="121" t="n"/>
      <s:c r="C19811" s="121" t="n"/>
      <s:c r="D19811" s="121" t="n"/>
      <s:c r="E19811" s="122" t="n"/>
    </s:row>
    <s:row r="19812" hidden="1" ht="1" customHeight="1">
      <s:c r="A19812" s="120" t="inlineStr"/>
      <s:c r="B19812" s="121" t="n"/>
      <s:c r="C19812" s="121" t="n"/>
      <s:c r="D19812" s="121" t="n"/>
      <s:c r="E19812" s="122" t="n"/>
    </s:row>
    <s:row r="19813" hidden="1" ht="1" customHeight="1">
      <s:c r="A19813" s="120" t="inlineStr"/>
      <s:c r="B19813" s="121" t="n"/>
      <s:c r="C19813" s="121" t="n"/>
      <s:c r="D19813" s="121" t="n"/>
      <s:c r="E19813" s="122" t="n"/>
    </s:row>
    <s:row r="19814" hidden="1" ht="1" customHeight="1">
      <s:c r="A19814" s="120" t="inlineStr"/>
      <s:c r="B19814" s="121" t="n"/>
      <s:c r="C19814" s="121" t="n"/>
      <s:c r="D19814" s="121" t="n"/>
      <s:c r="E19814" s="122" t="n"/>
    </s:row>
    <s:row r="19815" hidden="1" ht="1" customHeight="1">
      <s:c r="A19815" s="120" t="inlineStr"/>
      <s:c r="B19815" s="121" t="n"/>
      <s:c r="C19815" s="121" t="n"/>
      <s:c r="D19815" s="121" t="n"/>
      <s:c r="E19815" s="122" t="n"/>
    </s:row>
    <s:row r="19816" hidden="1" ht="1" customHeight="1">
      <s:c r="A19816" s="120" t="inlineStr"/>
      <s:c r="B19816" s="121" t="n"/>
      <s:c r="C19816" s="121" t="n"/>
      <s:c r="D19816" s="121" t="n"/>
      <s:c r="E19816" s="122" t="n"/>
    </s:row>
    <s:row r="19817" hidden="1" ht="1" customHeight="1">
      <s:c r="A19817" s="120" t="inlineStr"/>
      <s:c r="B19817" s="121" t="n"/>
      <s:c r="C19817" s="121" t="n"/>
      <s:c r="D19817" s="121" t="n"/>
      <s:c r="E19817" s="122" t="n"/>
    </s:row>
    <s:row r="19818" hidden="1" ht="1" customHeight="1">
      <s:c r="A19818" s="120" t="inlineStr"/>
      <s:c r="B19818" s="121" t="n"/>
      <s:c r="C19818" s="121" t="n"/>
      <s:c r="D19818" s="121" t="n"/>
      <s:c r="E19818" s="122" t="n"/>
    </s:row>
    <s:row r="19819" hidden="1" ht="1" customHeight="1">
      <s:c r="A19819" s="120" t="inlineStr"/>
      <s:c r="B19819" s="121" t="n"/>
      <s:c r="C19819" s="121" t="n"/>
      <s:c r="D19819" s="121" t="n"/>
      <s:c r="E19819" s="122" t="n"/>
    </s:row>
    <s:row r="19820" hidden="1" ht="1" customHeight="1">
      <s:c r="A19820" s="120" t="inlineStr"/>
      <s:c r="B19820" s="121" t="n"/>
      <s:c r="C19820" s="121" t="n"/>
      <s:c r="D19820" s="121" t="n"/>
      <s:c r="E19820" s="122" t="n"/>
    </s:row>
    <s:row r="19821" hidden="1" ht="1" customHeight="1">
      <s:c r="A19821" s="120" t="inlineStr"/>
      <s:c r="B19821" s="121" t="n"/>
      <s:c r="C19821" s="121" t="n"/>
      <s:c r="D19821" s="121" t="n"/>
      <s:c r="E19821" s="122" t="n"/>
    </s:row>
    <s:row r="19822" hidden="1" ht="1" customHeight="1">
      <s:c r="A19822" s="120" t="inlineStr"/>
      <s:c r="B19822" s="121" t="n"/>
      <s:c r="C19822" s="121" t="n"/>
      <s:c r="D19822" s="121" t="n"/>
      <s:c r="E19822" s="122" t="n"/>
    </s:row>
    <s:row r="19823" hidden="1" ht="1" customHeight="1">
      <s:c r="A19823" s="120" t="inlineStr"/>
      <s:c r="B19823" s="121" t="n"/>
      <s:c r="C19823" s="121" t="n"/>
      <s:c r="D19823" s="121" t="n"/>
      <s:c r="E19823" s="122" t="n"/>
    </s:row>
    <s:row r="19824" hidden="1" ht="1" customHeight="1">
      <s:c r="A19824" s="120" t="inlineStr"/>
      <s:c r="B19824" s="121" t="n"/>
      <s:c r="C19824" s="121" t="n"/>
      <s:c r="D19824" s="121" t="n"/>
      <s:c r="E19824" s="122" t="n"/>
    </s:row>
    <s:row r="19825" hidden="1" ht="1" customHeight="1">
      <s:c r="A19825" s="120" t="inlineStr"/>
      <s:c r="B19825" s="121" t="n"/>
      <s:c r="C19825" s="121" t="n"/>
      <s:c r="D19825" s="121" t="n"/>
      <s:c r="E19825" s="122" t="n"/>
    </s:row>
    <s:row r="19826" hidden="1" ht="1" customHeight="1">
      <s:c r="A19826" s="120" t="inlineStr"/>
      <s:c r="B19826" s="121" t="n"/>
      <s:c r="C19826" s="121" t="n"/>
      <s:c r="D19826" s="121" t="n"/>
      <s:c r="E19826" s="122" t="n"/>
    </s:row>
    <s:row r="19827" hidden="1" ht="1" customHeight="1">
      <s:c r="A19827" s="120" t="inlineStr"/>
      <s:c r="B19827" s="121" t="n"/>
      <s:c r="C19827" s="121" t="n"/>
      <s:c r="D19827" s="121" t="n"/>
      <s:c r="E19827" s="122" t="n"/>
    </s:row>
    <s:row r="19828" hidden="1" ht="1" customHeight="1">
      <s:c r="A19828" s="120" t="inlineStr"/>
      <s:c r="B19828" s="121" t="n"/>
      <s:c r="C19828" s="121" t="n"/>
      <s:c r="D19828" s="121" t="n"/>
      <s:c r="E19828" s="122" t="n"/>
    </s:row>
    <s:row r="19829" hidden="1" ht="1" customHeight="1">
      <s:c r="A19829" s="120" t="inlineStr"/>
      <s:c r="B19829" s="121" t="n"/>
      <s:c r="C19829" s="121" t="n"/>
      <s:c r="D19829" s="121" t="n"/>
      <s:c r="E19829" s="122" t="n"/>
    </s:row>
    <s:row r="19830" hidden="1" ht="1" customHeight="1">
      <s:c r="A19830" s="120" t="inlineStr"/>
      <s:c r="B19830" s="121" t="n"/>
      <s:c r="C19830" s="121" t="n"/>
      <s:c r="D19830" s="121" t="n"/>
      <s:c r="E19830" s="122" t="n"/>
    </s:row>
    <s:row r="19831" hidden="1" ht="1" customHeight="1">
      <s:c r="A19831" s="120" t="inlineStr"/>
      <s:c r="B19831" s="121" t="n"/>
      <s:c r="C19831" s="121" t="n"/>
      <s:c r="D19831" s="121" t="n"/>
      <s:c r="E19831" s="122" t="n"/>
    </s:row>
    <s:row r="19832" hidden="1" ht="1" customHeight="1">
      <s:c r="A19832" s="120" t="inlineStr"/>
      <s:c r="B19832" s="121" t="n"/>
      <s:c r="C19832" s="121" t="n"/>
      <s:c r="D19832" s="121" t="n"/>
      <s:c r="E19832" s="122" t="n"/>
    </s:row>
    <s:row r="19833" hidden="1" ht="1" customHeight="1">
      <s:c r="A19833" s="120" t="inlineStr"/>
      <s:c r="B19833" s="121" t="n"/>
      <s:c r="C19833" s="121" t="n"/>
      <s:c r="D19833" s="121" t="n"/>
      <s:c r="E19833" s="122" t="n"/>
    </s:row>
    <s:row r="19834" hidden="1" ht="1" customHeight="1">
      <s:c r="A19834" s="120" t="inlineStr"/>
      <s:c r="B19834" s="121" t="n"/>
      <s:c r="C19834" s="121" t="n"/>
      <s:c r="D19834" s="121" t="n"/>
      <s:c r="E19834" s="122" t="n"/>
    </s:row>
    <s:row r="19835" hidden="1" ht="1" customHeight="1">
      <s:c r="A19835" s="120" t="inlineStr"/>
      <s:c r="B19835" s="121" t="n"/>
      <s:c r="C19835" s="121" t="n"/>
      <s:c r="D19835" s="121" t="n"/>
      <s:c r="E19835" s="122" t="n"/>
    </s:row>
    <s:row r="19836" hidden="1" ht="1" customHeight="1">
      <s:c r="A19836" s="120" t="inlineStr"/>
      <s:c r="B19836" s="121" t="n"/>
      <s:c r="C19836" s="121" t="n"/>
      <s:c r="D19836" s="121" t="n"/>
      <s:c r="E19836" s="122" t="n"/>
    </s:row>
    <s:row r="19837" hidden="1" ht="1" customHeight="1">
      <s:c r="A19837" s="120" t="inlineStr"/>
      <s:c r="B19837" s="121" t="n"/>
      <s:c r="C19837" s="121" t="n"/>
      <s:c r="D19837" s="121" t="n"/>
      <s:c r="E19837" s="122" t="n"/>
    </s:row>
    <s:row r="19838" hidden="1" ht="1" customHeight="1">
      <s:c r="A19838" s="120" t="inlineStr"/>
      <s:c r="B19838" s="121" t="n"/>
      <s:c r="C19838" s="121" t="n"/>
      <s:c r="D19838" s="121" t="n"/>
      <s:c r="E19838" s="122" t="n"/>
    </s:row>
    <s:row r="19839" hidden="1" ht="1" customHeight="1">
      <s:c r="A19839" s="120" t="inlineStr"/>
      <s:c r="B19839" s="121" t="n"/>
      <s:c r="C19839" s="121" t="n"/>
      <s:c r="D19839" s="121" t="n"/>
      <s:c r="E19839" s="122" t="n"/>
    </s:row>
    <s:row r="19840" hidden="1" ht="1" customHeight="1">
      <s:c r="A19840" s="120" t="inlineStr"/>
      <s:c r="B19840" s="121" t="n"/>
      <s:c r="C19840" s="121" t="n"/>
      <s:c r="D19840" s="121" t="n"/>
      <s:c r="E19840" s="122" t="n"/>
    </s:row>
    <s:row r="19841" hidden="1" ht="1" customHeight="1">
      <s:c r="A19841" s="120" t="inlineStr"/>
      <s:c r="B19841" s="121" t="n"/>
      <s:c r="C19841" s="121" t="n"/>
      <s:c r="D19841" s="121" t="n"/>
      <s:c r="E19841" s="122" t="n"/>
    </s:row>
    <s:row r="19842" hidden="1" ht="1" customHeight="1">
      <s:c r="A19842" s="120" t="inlineStr"/>
      <s:c r="B19842" s="121" t="n"/>
      <s:c r="C19842" s="121" t="n"/>
      <s:c r="D19842" s="121" t="n"/>
      <s:c r="E19842" s="122" t="n"/>
    </s:row>
    <s:row r="19843" hidden="1" ht="1" customHeight="1">
      <s:c r="A19843" s="120" t="inlineStr"/>
      <s:c r="B19843" s="121" t="n"/>
      <s:c r="C19843" s="121" t="n"/>
      <s:c r="D19843" s="121" t="n"/>
      <s:c r="E19843" s="122" t="n"/>
    </s:row>
    <s:row r="19844" hidden="1" ht="1" customHeight="1">
      <s:c r="A19844" s="120" t="inlineStr"/>
      <s:c r="B19844" s="121" t="n"/>
      <s:c r="C19844" s="121" t="n"/>
      <s:c r="D19844" s="121" t="n"/>
      <s:c r="E19844" s="122" t="n"/>
    </s:row>
    <s:row r="19845" hidden="1" ht="1" customHeight="1">
      <s:c r="A19845" s="120" t="inlineStr"/>
      <s:c r="B19845" s="121" t="n"/>
      <s:c r="C19845" s="121" t="n"/>
      <s:c r="D19845" s="121" t="n"/>
      <s:c r="E19845" s="122" t="n"/>
    </s:row>
    <s:row r="19846" hidden="1" ht="1" customHeight="1">
      <s:c r="A19846" s="120" t="inlineStr"/>
      <s:c r="B19846" s="121" t="n"/>
      <s:c r="C19846" s="121" t="n"/>
      <s:c r="D19846" s="121" t="n"/>
      <s:c r="E19846" s="122" t="n"/>
    </s:row>
    <s:row r="19847" hidden="1" ht="1" customHeight="1">
      <s:c r="A19847" s="120" t="inlineStr"/>
      <s:c r="B19847" s="121" t="n"/>
      <s:c r="C19847" s="121" t="n"/>
      <s:c r="D19847" s="121" t="n"/>
      <s:c r="E19847" s="122" t="n"/>
    </s:row>
    <s:row r="19848" hidden="1" ht="1" customHeight="1">
      <s:c r="A19848" s="120" t="inlineStr"/>
      <s:c r="B19848" s="121" t="n"/>
      <s:c r="C19848" s="121" t="n"/>
      <s:c r="D19848" s="121" t="n"/>
      <s:c r="E19848" s="122" t="n"/>
    </s:row>
    <s:row r="19849" hidden="1" ht="1" customHeight="1">
      <s:c r="A19849" s="120" t="inlineStr"/>
      <s:c r="B19849" s="121" t="n"/>
      <s:c r="C19849" s="121" t="n"/>
      <s:c r="D19849" s="121" t="n"/>
      <s:c r="E19849" s="122" t="n"/>
    </s:row>
    <s:row r="19850" hidden="1" ht="1" customHeight="1">
      <s:c r="A19850" s="120" t="inlineStr"/>
      <s:c r="B19850" s="121" t="n"/>
      <s:c r="C19850" s="121" t="n"/>
      <s:c r="D19850" s="121" t="n"/>
      <s:c r="E19850" s="122" t="n"/>
    </s:row>
    <s:row r="19851" hidden="1" ht="1" customHeight="1">
      <s:c r="A19851" s="120" t="inlineStr"/>
      <s:c r="B19851" s="121" t="n"/>
      <s:c r="C19851" s="121" t="n"/>
      <s:c r="D19851" s="121" t="n"/>
      <s:c r="E19851" s="122" t="n"/>
    </s:row>
    <s:row r="19852" hidden="1" ht="1" customHeight="1">
      <s:c r="A19852" s="120" t="inlineStr"/>
      <s:c r="B19852" s="121" t="n"/>
      <s:c r="C19852" s="121" t="n"/>
      <s:c r="D19852" s="121" t="n"/>
      <s:c r="E19852" s="122" t="n"/>
    </s:row>
    <s:row r="19853" hidden="1" ht="1" customHeight="1">
      <s:c r="A19853" s="120" t="inlineStr"/>
      <s:c r="B19853" s="121" t="n"/>
      <s:c r="C19853" s="121" t="n"/>
      <s:c r="D19853" s="121" t="n"/>
      <s:c r="E19853" s="122" t="n"/>
    </s:row>
    <s:row r="19854" hidden="1" ht="1" customHeight="1">
      <s:c r="A19854" s="120" t="inlineStr"/>
      <s:c r="B19854" s="121" t="n"/>
      <s:c r="C19854" s="121" t="n"/>
      <s:c r="D19854" s="121" t="n"/>
      <s:c r="E19854" s="122" t="n"/>
    </s:row>
    <s:row r="19855" hidden="1" ht="1" customHeight="1">
      <s:c r="A19855" s="120" t="inlineStr"/>
      <s:c r="B19855" s="121" t="n"/>
      <s:c r="C19855" s="121" t="n"/>
      <s:c r="D19855" s="121" t="n"/>
      <s:c r="E19855" s="122" t="n"/>
    </s:row>
    <s:row r="19856" hidden="1" ht="1" customHeight="1">
      <s:c r="A19856" s="120" t="inlineStr"/>
      <s:c r="B19856" s="121" t="n"/>
      <s:c r="C19856" s="121" t="n"/>
      <s:c r="D19856" s="121" t="n"/>
      <s:c r="E19856" s="122" t="n"/>
    </s:row>
    <s:row r="19857" hidden="1" ht="1" customHeight="1">
      <s:c r="A19857" s="120" t="inlineStr"/>
      <s:c r="B19857" s="121" t="n"/>
      <s:c r="C19857" s="121" t="n"/>
      <s:c r="D19857" s="121" t="n"/>
      <s:c r="E19857" s="122" t="n"/>
    </s:row>
    <s:row r="19858" hidden="1" ht="1" customHeight="1">
      <s:c r="A19858" s="120" t="inlineStr"/>
      <s:c r="B19858" s="121" t="n"/>
      <s:c r="C19858" s="121" t="n"/>
      <s:c r="D19858" s="121" t="n"/>
      <s:c r="E19858" s="122" t="n"/>
    </s:row>
    <s:row r="19859" hidden="1" ht="1" customHeight="1">
      <s:c r="A19859" s="120" t="inlineStr"/>
      <s:c r="B19859" s="121" t="n"/>
      <s:c r="C19859" s="121" t="n"/>
      <s:c r="D19859" s="121" t="n"/>
      <s:c r="E19859" s="122" t="n"/>
    </s:row>
    <s:row r="19860" hidden="1" ht="1" customHeight="1">
      <s:c r="A19860" s="120" t="inlineStr"/>
      <s:c r="B19860" s="121" t="n"/>
      <s:c r="C19860" s="121" t="n"/>
      <s:c r="D19860" s="121" t="n"/>
      <s:c r="E19860" s="122" t="n"/>
    </s:row>
    <s:row r="19861" hidden="1" ht="1" customHeight="1">
      <s:c r="A19861" s="120" t="inlineStr"/>
      <s:c r="B19861" s="121" t="n"/>
      <s:c r="C19861" s="121" t="n"/>
      <s:c r="D19861" s="121" t="n"/>
      <s:c r="E19861" s="122" t="n"/>
    </s:row>
    <s:row r="19862" hidden="1" ht="1" customHeight="1">
      <s:c r="A19862" s="120" t="inlineStr"/>
      <s:c r="B19862" s="121" t="n"/>
      <s:c r="C19862" s="121" t="n"/>
      <s:c r="D19862" s="121" t="n"/>
      <s:c r="E19862" s="122" t="n"/>
    </s:row>
    <s:row r="19863" hidden="1" ht="1" customHeight="1">
      <s:c r="A19863" s="120" t="inlineStr"/>
      <s:c r="B19863" s="121" t="n"/>
      <s:c r="C19863" s="121" t="n"/>
      <s:c r="D19863" s="121" t="n"/>
      <s:c r="E19863" s="122" t="n"/>
    </s:row>
    <s:row r="19864" hidden="1" ht="1" customHeight="1">
      <s:c r="A19864" s="120" t="inlineStr"/>
      <s:c r="B19864" s="121" t="n"/>
      <s:c r="C19864" s="121" t="n"/>
      <s:c r="D19864" s="121" t="n"/>
      <s:c r="E19864" s="122" t="n"/>
    </s:row>
    <s:row r="19865" hidden="1" ht="1" customHeight="1">
      <s:c r="A19865" s="120" t="inlineStr"/>
      <s:c r="B19865" s="121" t="n"/>
      <s:c r="C19865" s="121" t="n"/>
      <s:c r="D19865" s="121" t="n"/>
      <s:c r="E19865" s="122" t="n"/>
    </s:row>
    <s:row r="19866" hidden="1" ht="1" customHeight="1">
      <s:c r="A19866" s="120" t="inlineStr"/>
      <s:c r="B19866" s="121" t="n"/>
      <s:c r="C19866" s="121" t="n"/>
      <s:c r="D19866" s="121" t="n"/>
      <s:c r="E19866" s="122" t="n"/>
    </s:row>
    <s:row r="19867" hidden="1" ht="1" customHeight="1">
      <s:c r="A19867" s="120" t="inlineStr"/>
      <s:c r="B19867" s="121" t="n"/>
      <s:c r="C19867" s="121" t="n"/>
      <s:c r="D19867" s="121" t="n"/>
      <s:c r="E19867" s="122" t="n"/>
    </s:row>
    <s:row r="19868" hidden="1" ht="1" customHeight="1">
      <s:c r="A19868" s="120" t="inlineStr"/>
      <s:c r="B19868" s="121" t="n"/>
      <s:c r="C19868" s="121" t="n"/>
      <s:c r="D19868" s="121" t="n"/>
      <s:c r="E19868" s="122" t="n"/>
    </s:row>
    <s:row r="19869" hidden="1" ht="1" customHeight="1">
      <s:c r="A19869" s="120" t="inlineStr"/>
      <s:c r="B19869" s="121" t="n"/>
      <s:c r="C19869" s="121" t="n"/>
      <s:c r="D19869" s="121" t="n"/>
      <s:c r="E19869" s="122" t="n"/>
    </s:row>
    <s:row r="19870" hidden="1" ht="1" customHeight="1">
      <s:c r="A19870" s="120" t="inlineStr"/>
      <s:c r="B19870" s="121" t="n"/>
      <s:c r="C19870" s="121" t="n"/>
      <s:c r="D19870" s="121" t="n"/>
      <s:c r="E19870" s="122" t="n"/>
    </s:row>
    <s:row r="19871" hidden="1" ht="1" customHeight="1">
      <s:c r="A19871" s="120" t="inlineStr"/>
      <s:c r="B19871" s="121" t="n"/>
      <s:c r="C19871" s="121" t="n"/>
      <s:c r="D19871" s="121" t="n"/>
      <s:c r="E19871" s="122" t="n"/>
    </s:row>
    <s:row r="19872" hidden="1" ht="1" customHeight="1">
      <s:c r="A19872" s="120" t="inlineStr"/>
      <s:c r="B19872" s="121" t="n"/>
      <s:c r="C19872" s="121" t="n"/>
      <s:c r="D19872" s="121" t="n"/>
      <s:c r="E19872" s="122" t="n"/>
    </s:row>
    <s:row r="19873" hidden="1" ht="1" customHeight="1">
      <s:c r="A19873" s="120" t="inlineStr"/>
      <s:c r="B19873" s="121" t="n"/>
      <s:c r="C19873" s="121" t="n"/>
      <s:c r="D19873" s="121" t="n"/>
      <s:c r="E19873" s="122" t="n"/>
    </s:row>
    <s:row r="19874" hidden="1" ht="1" customHeight="1">
      <s:c r="A19874" s="120" t="inlineStr"/>
      <s:c r="B19874" s="121" t="n"/>
      <s:c r="C19874" s="121" t="n"/>
      <s:c r="D19874" s="121" t="n"/>
      <s:c r="E19874" s="122" t="n"/>
    </s:row>
    <s:row r="19875" hidden="1" ht="1" customHeight="1">
      <s:c r="A19875" s="120" t="inlineStr"/>
      <s:c r="B19875" s="121" t="n"/>
      <s:c r="C19875" s="121" t="n"/>
      <s:c r="D19875" s="121" t="n"/>
      <s:c r="E19875" s="122" t="n"/>
    </s:row>
    <s:row r="19876" hidden="1" ht="1" customHeight="1">
      <s:c r="A19876" s="120" t="inlineStr"/>
      <s:c r="B19876" s="121" t="n"/>
      <s:c r="C19876" s="121" t="n"/>
      <s:c r="D19876" s="121" t="n"/>
      <s:c r="E19876" s="122" t="n"/>
    </s:row>
    <s:row r="19877" hidden="1" ht="1" customHeight="1">
      <s:c r="A19877" s="120" t="inlineStr"/>
      <s:c r="B19877" s="121" t="n"/>
      <s:c r="C19877" s="121" t="n"/>
      <s:c r="D19877" s="121" t="n"/>
      <s:c r="E19877" s="122" t="n"/>
    </s:row>
    <s:row r="19878" hidden="1" ht="1" customHeight="1">
      <s:c r="A19878" s="120" t="inlineStr"/>
      <s:c r="B19878" s="121" t="n"/>
      <s:c r="C19878" s="121" t="n"/>
      <s:c r="D19878" s="121" t="n"/>
      <s:c r="E19878" s="122" t="n"/>
    </s:row>
    <s:row r="19879" hidden="1" ht="1" customHeight="1">
      <s:c r="A19879" s="120" t="inlineStr"/>
      <s:c r="B19879" s="121" t="n"/>
      <s:c r="C19879" s="121" t="n"/>
      <s:c r="D19879" s="121" t="n"/>
      <s:c r="E19879" s="122" t="n"/>
    </s:row>
    <s:row r="19880" hidden="1" ht="1" customHeight="1">
      <s:c r="A19880" s="120" t="inlineStr"/>
      <s:c r="B19880" s="121" t="n"/>
      <s:c r="C19880" s="121" t="n"/>
      <s:c r="D19880" s="121" t="n"/>
      <s:c r="E19880" s="122" t="n"/>
    </s:row>
    <s:row r="19881" hidden="1" ht="1" customHeight="1">
      <s:c r="A19881" s="120" t="inlineStr"/>
      <s:c r="B19881" s="121" t="n"/>
      <s:c r="C19881" s="121" t="n"/>
      <s:c r="D19881" s="121" t="n"/>
      <s:c r="E19881" s="122" t="n"/>
    </s:row>
    <s:row r="19882" hidden="1" ht="1" customHeight="1">
      <s:c r="A19882" s="120" t="inlineStr"/>
      <s:c r="B19882" s="121" t="n"/>
      <s:c r="C19882" s="121" t="n"/>
      <s:c r="D19882" s="121" t="n"/>
      <s:c r="E19882" s="122" t="n"/>
    </s:row>
    <s:row r="19883" hidden="1" ht="1" customHeight="1">
      <s:c r="A19883" s="120" t="inlineStr"/>
      <s:c r="B19883" s="121" t="n"/>
      <s:c r="C19883" s="121" t="n"/>
      <s:c r="D19883" s="121" t="n"/>
      <s:c r="E19883" s="122" t="n"/>
    </s:row>
    <s:row r="19884" hidden="1" ht="1" customHeight="1">
      <s:c r="A19884" s="120" t="inlineStr"/>
      <s:c r="B19884" s="121" t="n"/>
      <s:c r="C19884" s="121" t="n"/>
      <s:c r="D19884" s="121" t="n"/>
      <s:c r="E19884" s="122" t="n"/>
    </s:row>
    <s:row r="19885" hidden="1" ht="1" customHeight="1">
      <s:c r="A19885" s="120" t="inlineStr"/>
      <s:c r="B19885" s="121" t="n"/>
      <s:c r="C19885" s="121" t="n"/>
      <s:c r="D19885" s="121" t="n"/>
      <s:c r="E19885" s="122" t="n"/>
    </s:row>
    <s:row r="19886" hidden="1" ht="1" customHeight="1">
      <s:c r="A19886" s="120" t="inlineStr"/>
      <s:c r="B19886" s="121" t="n"/>
      <s:c r="C19886" s="121" t="n"/>
      <s:c r="D19886" s="121" t="n"/>
      <s:c r="E19886" s="122" t="n"/>
    </s:row>
    <s:row r="19887" hidden="1" ht="1" customHeight="1">
      <s:c r="A19887" s="120" t="inlineStr"/>
      <s:c r="B19887" s="121" t="n"/>
      <s:c r="C19887" s="121" t="n"/>
      <s:c r="D19887" s="121" t="n"/>
      <s:c r="E19887" s="122" t="n"/>
    </s:row>
    <s:row r="19888" hidden="1" ht="1" customHeight="1">
      <s:c r="A19888" s="120" t="inlineStr"/>
      <s:c r="B19888" s="121" t="n"/>
      <s:c r="C19888" s="121" t="n"/>
      <s:c r="D19888" s="121" t="n"/>
      <s:c r="E19888" s="122" t="n"/>
    </s:row>
    <s:row r="19889" hidden="1" ht="1" customHeight="1">
      <s:c r="A19889" s="120" t="inlineStr"/>
      <s:c r="B19889" s="121" t="n"/>
      <s:c r="C19889" s="121" t="n"/>
      <s:c r="D19889" s="121" t="n"/>
      <s:c r="E19889" s="122" t="n"/>
    </s:row>
    <s:row r="19890" hidden="1" ht="1" customHeight="1">
      <s:c r="A19890" s="120" t="inlineStr"/>
      <s:c r="B19890" s="121" t="n"/>
      <s:c r="C19890" s="121" t="n"/>
      <s:c r="D19890" s="121" t="n"/>
      <s:c r="E19890" s="122" t="n"/>
    </s:row>
    <s:row r="19891" hidden="1" ht="1" customHeight="1">
      <s:c r="A19891" s="120" t="inlineStr"/>
      <s:c r="B19891" s="121" t="n"/>
      <s:c r="C19891" s="121" t="n"/>
      <s:c r="D19891" s="121" t="n"/>
      <s:c r="E19891" s="122" t="n"/>
    </s:row>
    <s:row r="19892" hidden="1" ht="1" customHeight="1">
      <s:c r="A19892" s="120" t="inlineStr"/>
      <s:c r="B19892" s="121" t="n"/>
      <s:c r="C19892" s="121" t="n"/>
      <s:c r="D19892" s="121" t="n"/>
      <s:c r="E19892" s="122" t="n"/>
    </s:row>
    <s:row r="19893" hidden="1" ht="1" customHeight="1">
      <s:c r="A19893" s="120" t="inlineStr"/>
      <s:c r="B19893" s="121" t="n"/>
      <s:c r="C19893" s="121" t="n"/>
      <s:c r="D19893" s="121" t="n"/>
      <s:c r="E19893" s="122" t="n"/>
    </s:row>
    <s:row r="19894" hidden="1" ht="1" customHeight="1">
      <s:c r="A19894" s="120" t="inlineStr"/>
      <s:c r="B19894" s="121" t="n"/>
      <s:c r="C19894" s="121" t="n"/>
      <s:c r="D19894" s="121" t="n"/>
      <s:c r="E19894" s="122" t="n"/>
    </s:row>
    <s:row r="19895" hidden="1" ht="1" customHeight="1">
      <s:c r="A19895" s="120" t="inlineStr"/>
      <s:c r="B19895" s="121" t="n"/>
      <s:c r="C19895" s="121" t="n"/>
      <s:c r="D19895" s="121" t="n"/>
      <s:c r="E19895" s="122" t="n"/>
    </s:row>
    <s:row r="19896" hidden="1" ht="1" customHeight="1">
      <s:c r="A19896" s="120" t="inlineStr"/>
      <s:c r="B19896" s="121" t="n"/>
      <s:c r="C19896" s="121" t="n"/>
      <s:c r="D19896" s="121" t="n"/>
      <s:c r="E19896" s="122" t="n"/>
    </s:row>
    <s:row r="19897" hidden="1" ht="1" customHeight="1">
      <s:c r="A19897" s="120" t="inlineStr"/>
      <s:c r="B19897" s="121" t="n"/>
      <s:c r="C19897" s="121" t="n"/>
      <s:c r="D19897" s="121" t="n"/>
      <s:c r="E19897" s="122" t="n"/>
    </s:row>
    <s:row r="19898" hidden="1" ht="1" customHeight="1">
      <s:c r="A19898" s="120" t="inlineStr"/>
      <s:c r="B19898" s="121" t="n"/>
      <s:c r="C19898" s="121" t="n"/>
      <s:c r="D19898" s="121" t="n"/>
      <s:c r="E19898" s="122" t="n"/>
    </s:row>
    <s:row r="19899" hidden="1" ht="1" customHeight="1">
      <s:c r="A19899" s="120" t="inlineStr"/>
      <s:c r="B19899" s="121" t="n"/>
      <s:c r="C19899" s="121" t="n"/>
      <s:c r="D19899" s="121" t="n"/>
      <s:c r="E19899" s="122" t="n"/>
    </s:row>
    <s:row r="19900" hidden="1" ht="1" customHeight="1">
      <s:c r="A19900" s="120" t="inlineStr"/>
      <s:c r="B19900" s="121" t="n"/>
      <s:c r="C19900" s="121" t="n"/>
      <s:c r="D19900" s="121" t="n"/>
      <s:c r="E19900" s="122" t="n"/>
    </s:row>
    <s:row r="19901" hidden="1" ht="1" customHeight="1">
      <s:c r="A19901" s="83" t="inlineStr">
        <s:is>
          <s:t>PASS</s:t>
        </s:is>
      </s:c>
      <s:c r="B19901" s="83">
        <s:f>SUM(IF(EXACT('Kiểm thử'!E19801,"Đạt"),1,0),IF(EXACT('Kiểm thử'!E19803,"Đạt"),1,0))</s:f>
        <s:v/>
      </s:c>
      <s:c r="C19901" s="19" t="n"/>
      <s:c r="D19901" s="19" t="n"/>
      <s:c r="E19901" s="19" t="n"/>
    </s:row>
    <s:row r="19902" hidden="1" ht="1" customHeight="1">
      <s:c r="A19902" s="83" t="inlineStr">
        <s:is>
          <s:t>FAIL</s:t>
        </s:is>
      </s:c>
      <s:c r="B19902" s="83">
        <s:f>SUM(IF(EXACT('Kiểm thử'!E19801,"Không đạt"),1,0),IF(EXACT('Kiểm thử'!E19803,"Không đạt"),1,0))</s:f>
        <s:v/>
      </s:c>
      <s:c r="C19902" s="19" t="n"/>
      <s:c r="D19902" s="19" t="n"/>
      <s:c r="E19902" s="19" t="n"/>
    </s:row>
    <s:row r="19903" hidden="1" ht="1" customHeight="1">
      <s:c r="A19903" s="83" t="inlineStr">
        <s:is>
          <s:t>BLOCKED</s:t>
        </s:is>
      </s:c>
      <s:c r="B19903" s="83">
        <s:f>SUM(IF(EXACT('Kiểm thử'!E19801,"Bị chặn"),1,0),IF(EXACT('Kiểm thử'!E19803,"Bị chặn"),1,0))</s:f>
        <s:v/>
      </s:c>
      <s:c r="C19903" s="19" t="n"/>
      <s:c r="D19903" s="19" t="n"/>
      <s:c r="E19903" s="19" t="n"/>
    </s:row>
    <s:row r="19904" hidden="1" ht="1" customHeight="1">
      <s:c r="A19904" s="83" t="inlineStr">
        <s:is>
          <s:t>SKIPPED</s:t>
        </s:is>
      </s:c>
      <s:c r="B19904" s="83">
        <s:f>SUM(IF(EXACT('Kiểm thử'!E19801,"Không thực hiện"),1,0),IF(EXACT('Kiểm thử'!E19803,"Không thực hiện"),1,0))</s:f>
        <s:v/>
      </s:c>
      <s:c r="C19904" s="19" t="n"/>
      <s:c r="D19904" s="19" t="n"/>
      <s:c r="E19904" s="19" t="n"/>
    </s:row>
    <s:row r="19905" hidden="1" ht="1" customHeight="1">
      <s:c r="A19905" s="83" t="inlineStr">
        <s:is>
          <s:t>NOT RUN</s:t>
        </s:is>
      </s:c>
      <s:c r="B19905" s="83">
        <s:f>SUM(IF(EXACT('Kiểm thử'!E19801,"Chưa thực hiện"),1,0),IF(EXACT('Kiểm thử'!E19803,"Chưa thực hiện"),1,0))</s:f>
        <s:v/>
      </s:c>
      <s:c r="C19905" s="19" t="n"/>
      <s:c r="D19905" s="19" t="n"/>
      <s:c r="E19905" s="19" t="n"/>
    </s:row>
    <s:row r="19906" hidden="1" ht="6" customHeight="1">
      <s:c r="A19906" s="83" t="inlineStr"/>
      <s:c r="B19906" s="19" t="n"/>
      <s:c r="C19906" s="19" t="n"/>
      <s:c r="D19906" s="19" t="n"/>
      <s:c r="E19906" s="19" t="n"/>
    </s:row>
    <s:row r="19907" ht="28" customHeight="1">
      <s:c r="A19907" s="108" t="inlineStr">
        <s:is>
          <s:t>TC-RS-UI-024 — Phiếu điểm: hộp Thiết lập hiển thị tùy chọn mục đăng ký điểm（成績登録項目オプション表示設定）</s:t>
        </s:is>
      </s:c>
      <s:c r="B19907" s="111" t="n"/>
      <s:c r="C19907" s="111" t="n"/>
      <s:c r="D19907" s="111" t="n"/>
      <s:c r="E19907" s="111" t="n"/>
    </s:row>
    <s:row r="19908" ht="20" customHeight="1">
      <s:c r="A19908" s="112" t="inlineStr">
        <s:is>
          <s:t>Kết quả tình huống</s:t>
        </s:is>
      </s:c>
      <s:c r="B19908" s="113">
        <s:f>IF(SUM(IF(EXACT('Kiểm thử'!E19916,"Không đạt"),1,0))&gt;0,"Không đạt",IF(SUM(IF(EXACT('Kiểm thử'!E19916,"Đạt"),1,0))=1,"Đạt",IF(SUM(IF(EXACT('Kiểm thử'!E19916,"Không thực hiện"),1,0))=1,"Không thực hiện",IF(SUM(IF(EXACT('Kiểm thử'!E19916,"Bị chặn"),1,0))&gt;0,"Bị chặn",IF(SUM(IF(EXACT('Kiểm thử'!E19916,"Chưa thực hiện"),1,0))=1,"Chưa thực hiện","Đang thực hiện")))))</s:f>
        <s:v/>
      </s:c>
      <s:c r="C19908" s="114" t="n"/>
      <s:c r="D19908" s="114" t="n"/>
      <s:c r="E19908" s="114" t="n"/>
    </s:row>
    <s:row r="19909" ht="20" customHeight="1">
      <s:c r="A19909" s="112" t="inlineStr">
        <s:is>
          <s:t>Màn hình / chức năng</s:t>
        </s:is>
      </s:c>
      <s:c r="B19909" s="113" t="inlineStr">
        <s:is>
          <s:r>
            <s:rPr>
              <s:b val="1"/>
            </s:rPr>
            <s:t>Công cụ phiếu điểm（通知表ツール）</s:t>
          </s:r>
        </s:is>
      </s:c>
      <s:c r="C19909" s="28" t="n"/>
      <s:c r="D19909" s="28" t="n"/>
      <s:c r="E19909" s="28" t="n"/>
    </s:row>
    <s:row r="19910" ht="34" customHeight="1">
      <s:c r="A19910" s="112" t="inlineStr">
        <s:is>
          <s:t>Cấu hình</s:t>
        </s:is>
      </s:c>
      <s:c r="B19910" s="113" t="inlineStr">
        <s:is>
          <s:r>
            <s:t xml:space="preserve">• Tài khoản phụ trách đầu ra (trích xuất, công khai, phiếu điểm);
• Mẫu phiếu có </s:t>
          </s:r>
          <s:r>
            <s:rPr>
              <s:b val="1"/>
            </s:rPr>
            <s:t>ô Điểm đánh giá（評点）</s:t>
          </s:r>
          <s:r>
            <s:t>.</s:t>
          </s:r>
        </s:is>
      </s:c>
      <s:c r="C19910" s="28" t="n"/>
      <s:c r="D19910" s="28" t="n"/>
      <s:c r="E19910" s="28" t="n"/>
    </s:row>
    <s:row r="19911" ht="20" customHeight="1">
      <s:c r="A19911" s="112" t="inlineStr">
        <s:is>
          <s:t>Dữ liệu test</s:t>
        </s:is>
      </s:c>
      <s:c r="B19911" s="113" t="inlineStr">
        <s:is>
          <s:t>• Cấu hình phiếu điểm: ký tự “※” phía trước</s:t>
        </s:is>
      </s:c>
      <s:c r="C19911" s="28" t="n"/>
      <s:c r="D19911" s="28" t="n"/>
      <s:c r="E19911" s="28" t="n"/>
    </s:row>
    <s:row r="19912" ht="20" customHeight="1">
      <s:c r="A19912" s="112" t="inlineStr">
        <s:is>
          <s:t>Bước 1</s:t>
        </s:is>
      </s:c>
      <s:c r="B19912" s="113" t="inlineStr">
        <s:is>
          <s:r>
            <s:t xml:space="preserve">Mở hộp tùy chọn của ô, </s:t>
          </s:r>
          <s:r>
            <s:rPr>
              <s:b val="1"/>
            </s:rPr>
            <s:t>chọn Thiết lập（設定する）</s:t>
          </s:r>
          <s:r>
            <s:t>.</s:t>
          </s:r>
        </s:is>
      </s:c>
      <s:c r="C19912" s="28" t="n"/>
      <s:c r="D19912" s="28" t="n"/>
      <s:c r="E19912" s="28" t="n"/>
    </s:row>
    <s:row r="19913" ht="20" customHeight="1">
      <s:c r="A19913" s="112" t="inlineStr">
        <s:is>
          <s:t>Bước 2</s:t>
        </s:is>
      </s:c>
      <s:c r="B19913" s="113" t="inlineStr">
        <s:is>
          <s:r>
            <s:t xml:space="preserve">Ghi lại thứ tự dòng và các lựa chọn của dòng </s:t>
          </s:r>
          <s:r>
            <s:rPr>
              <s:b val="1"/>
            </s:rPr>
            <s:t>Thiết lập điểm đỏ（赤点設定）</s:t>
          </s:r>
          <s:r>
            <s:t>.</s:t>
          </s:r>
        </s:is>
      </s:c>
      <s:c r="C19913" s="28" t="n"/>
      <s:c r="D19913" s="28" t="n"/>
      <s:c r="E19913" s="28" t="n"/>
    </s:row>
    <s:row r="19914" ht="28" customHeight="1">
      <s:c r="A19914" s="115" t="inlineStr">
        <s:is>
          <s:t>Trường hợp</s:t>
        </s:is>
      </s:c>
      <s:c r="B19914" s="115" t="inlineStr">
        <s:is>
          <s:t>Dữ liệu / thao tác riêng</s:t>
        </s:is>
      </s:c>
      <s:c r="C19914" s="115" t="inlineStr">
        <s:is>
          <s:t>Kết quả mong đợi</s:t>
        </s:is>
      </s:c>
      <s:c r="D19914" s="115" t="inlineStr">
        <s:is>
          <s:t>Kết quả thực tế</s:t>
        </s:is>
      </s:c>
      <s:c r="E19914" s="115" t="inlineStr">
        <s:is>
          <s:t>Đánh giá</s:t>
        </s:is>
      </s:c>
    </s:row>
    <s:row r="19915" ht="3" customHeight="1">
      <s:c r="A19915" s="102" t="inlineStr"/>
      <s:c r="B19915" s="99" t="n"/>
      <s:c r="C19915" s="99" t="n"/>
      <s:c r="D19915" s="116" t="n"/>
      <s:c r="E19915" s="116" t="n"/>
    </s:row>
    <s:row r="19916" ht="146" customHeight="1">
      <s:c r="A19916" s="83" t="inlineStr">
        <s:is>
          <s:t>Trường hợp cơ bản (Base)</s:t>
        </s:is>
      </s:c>
      <s:c r="B19916" s="83" t="inlineStr">
        <s:is>
          <s:t>Toàn bộ tình huống: Thực hiện đủ các bước chung theo thứ tự; kiểm cả đối tượng đích và đối chứng cùng fixture, không bỏ bước.</s:t>
        </s:is>
      </s:c>
      <s:c r="C19916" s="83" t="inlineStr">
        <s:is>
          <s:r>
            <s:t xml:space="preserve">CONFIRMED: dòng đỏ nằm sau các dòng checkbox và trước </s:t>
          </s:r>
          <s:r>
            <s:rPr>
              <s:b val="1"/>
            </s:rPr>
            <s:t>Trường hợp ô trống（空欄の場合）</s:t>
          </s:r>
          <s:r>
            <s:t xml:space="preserve">; lựa chọn của dòng </s:t>
          </s:r>
          <s:r>
            <s:rPr>
              <s:b val="1"/>
            </s:rPr>
            <s:t>đỏ là Nguyên trạng（そのまま表示）</s:t>
          </s:r>
          <s:r>
            <s:t xml:space="preserve">, </s:t>
          </s:r>
          <s:r>
            <s:rPr>
              <s:b val="1"/>
            </s:rPr>
            <s:t>Kèm ngoặc（カッコ付き）</s:t>
          </s:r>
          <s:r>
            <s:t xml:space="preserve">, </s:t>
          </s:r>
          <s:r>
            <s:rPr>
              <s:b val="1"/>
            </s:rPr>
            <s:t>Ký tự phía trước（前に任意の文字）</s:t>
          </s:r>
          <s:r>
            <s:t xml:space="preserve">, </s:t>
          </s:r>
          <s:r>
            <s:rPr>
              <s:b val="1"/>
            </s:rPr>
            <s:t>Ký tự phía sau（後ろに任意の文字）</s:t>
          </s:r>
          <s:r>
            <s:t xml:space="preserve">; </s:t>
          </s:r>
          <s:r>
            <s:rPr>
              <s:b val="1"/>
            </s:rPr>
            <s:t>không có Ẩn（表示しない）</s:t>
          </s:r>
          <s:r>
            <s:rPr>
              <s:b val="1"/>
            </s:rPr>
            <s:t>/Gạch chéo（斜線）</s:t>
          </s:r>
          <s:r>
            <s:t>.
PROPOSED: nhãn dòng 「赤点設定」 (thiết lập điểm đỏ) và câu ghi chú.</s:t>
          </s:r>
        </s:is>
      </s:c>
      <s:c r="D19916" s="117" t="inlineStr"/>
      <s:c r="E19916" s="118" t="inlineStr">
        <s:is>
          <s:t>Chưa thực hiện</s:t>
        </s:is>
      </s:c>
    </s:row>
    <s:row r="19917" ht="20" customHeight="1">
      <s:c r="A19917" s="119" t="inlineStr">
        <s:is>
          <s:t>Ảnh minh chứng — Chưa có ảnh</s:t>
        </s:is>
      </s:c>
      <s:c r="B19917" s="19" t="n"/>
      <s:c r="C19917" s="19" t="n"/>
      <s:c r="D19917" s="19" t="n"/>
      <s:c r="E19917" s="19" t="n"/>
    </s:row>
    <s:row r="19918" hidden="1" ht="1" customHeight="1">
      <s:c r="A19918" s="120" t="inlineStr"/>
      <s:c r="B19918" s="121" t="n"/>
      <s:c r="C19918" s="121" t="n"/>
      <s:c r="D19918" s="121" t="n"/>
      <s:c r="E19918" s="122" t="n"/>
    </s:row>
    <s:row r="19919" hidden="1" ht="1" customHeight="1">
      <s:c r="A19919" s="120" t="inlineStr"/>
      <s:c r="B19919" s="121" t="n"/>
      <s:c r="C19919" s="121" t="n"/>
      <s:c r="D19919" s="121" t="n"/>
      <s:c r="E19919" s="122" t="n"/>
    </s:row>
    <s:row r="19920" hidden="1" ht="1" customHeight="1">
      <s:c r="A19920" s="120" t="inlineStr"/>
      <s:c r="B19920" s="121" t="n"/>
      <s:c r="C19920" s="121" t="n"/>
      <s:c r="D19920" s="121" t="n"/>
      <s:c r="E19920" s="122" t="n"/>
    </s:row>
    <s:row r="19921" hidden="1" ht="1" customHeight="1">
      <s:c r="A19921" s="120" t="inlineStr"/>
      <s:c r="B19921" s="121" t="n"/>
      <s:c r="C19921" s="121" t="n"/>
      <s:c r="D19921" s="121" t="n"/>
      <s:c r="E19921" s="122" t="n"/>
    </s:row>
    <s:row r="19922" hidden="1" ht="1" customHeight="1">
      <s:c r="A19922" s="120" t="inlineStr"/>
      <s:c r="B19922" s="121" t="n"/>
      <s:c r="C19922" s="121" t="n"/>
      <s:c r="D19922" s="121" t="n"/>
      <s:c r="E19922" s="122" t="n"/>
    </s:row>
    <s:row r="19923" hidden="1" ht="1" customHeight="1">
      <s:c r="A19923" s="120" t="inlineStr"/>
      <s:c r="B19923" s="121" t="n"/>
      <s:c r="C19923" s="121" t="n"/>
      <s:c r="D19923" s="121" t="n"/>
      <s:c r="E19923" s="122" t="n"/>
    </s:row>
    <s:row r="19924" hidden="1" ht="1" customHeight="1">
      <s:c r="A19924" s="120" t="inlineStr"/>
      <s:c r="B19924" s="121" t="n"/>
      <s:c r="C19924" s="121" t="n"/>
      <s:c r="D19924" s="121" t="n"/>
      <s:c r="E19924" s="122" t="n"/>
    </s:row>
    <s:row r="19925" hidden="1" ht="1" customHeight="1">
      <s:c r="A19925" s="120" t="inlineStr"/>
      <s:c r="B19925" s="121" t="n"/>
      <s:c r="C19925" s="121" t="n"/>
      <s:c r="D19925" s="121" t="n"/>
      <s:c r="E19925" s="122" t="n"/>
    </s:row>
    <s:row r="19926" hidden="1" ht="1" customHeight="1">
      <s:c r="A19926" s="120" t="inlineStr"/>
      <s:c r="B19926" s="121" t="n"/>
      <s:c r="C19926" s="121" t="n"/>
      <s:c r="D19926" s="121" t="n"/>
      <s:c r="E19926" s="122" t="n"/>
    </s:row>
    <s:row r="19927" hidden="1" ht="1" customHeight="1">
      <s:c r="A19927" s="120" t="inlineStr"/>
      <s:c r="B19927" s="121" t="n"/>
      <s:c r="C19927" s="121" t="n"/>
      <s:c r="D19927" s="121" t="n"/>
      <s:c r="E19927" s="122" t="n"/>
    </s:row>
    <s:row r="19928" hidden="1" ht="1" customHeight="1">
      <s:c r="A19928" s="120" t="inlineStr"/>
      <s:c r="B19928" s="121" t="n"/>
      <s:c r="C19928" s="121" t="n"/>
      <s:c r="D19928" s="121" t="n"/>
      <s:c r="E19928" s="122" t="n"/>
    </s:row>
    <s:row r="19929" hidden="1" ht="1" customHeight="1">
      <s:c r="A19929" s="120" t="inlineStr"/>
      <s:c r="B19929" s="121" t="n"/>
      <s:c r="C19929" s="121" t="n"/>
      <s:c r="D19929" s="121" t="n"/>
      <s:c r="E19929" s="122" t="n"/>
    </s:row>
    <s:row r="19930" hidden="1" ht="1" customHeight="1">
      <s:c r="A19930" s="120" t="inlineStr"/>
      <s:c r="B19930" s="121" t="n"/>
      <s:c r="C19930" s="121" t="n"/>
      <s:c r="D19930" s="121" t="n"/>
      <s:c r="E19930" s="122" t="n"/>
    </s:row>
    <s:row r="19931" hidden="1" ht="1" customHeight="1">
      <s:c r="A19931" s="120" t="inlineStr"/>
      <s:c r="B19931" s="121" t="n"/>
      <s:c r="C19931" s="121" t="n"/>
      <s:c r="D19931" s="121" t="n"/>
      <s:c r="E19931" s="122" t="n"/>
    </s:row>
    <s:row r="19932" hidden="1" ht="1" customHeight="1">
      <s:c r="A19932" s="120" t="inlineStr"/>
      <s:c r="B19932" s="121" t="n"/>
      <s:c r="C19932" s="121" t="n"/>
      <s:c r="D19932" s="121" t="n"/>
      <s:c r="E19932" s="122" t="n"/>
    </s:row>
    <s:row r="19933" hidden="1" ht="1" customHeight="1">
      <s:c r="A19933" s="120" t="inlineStr"/>
      <s:c r="B19933" s="121" t="n"/>
      <s:c r="C19933" s="121" t="n"/>
      <s:c r="D19933" s="121" t="n"/>
      <s:c r="E19933" s="122" t="n"/>
    </s:row>
    <s:row r="19934" hidden="1" ht="1" customHeight="1">
      <s:c r="A19934" s="120" t="inlineStr"/>
      <s:c r="B19934" s="121" t="n"/>
      <s:c r="C19934" s="121" t="n"/>
      <s:c r="D19934" s="121" t="n"/>
      <s:c r="E19934" s="122" t="n"/>
    </s:row>
    <s:row r="19935" hidden="1" ht="1" customHeight="1">
      <s:c r="A19935" s="120" t="inlineStr"/>
      <s:c r="B19935" s="121" t="n"/>
      <s:c r="C19935" s="121" t="n"/>
      <s:c r="D19935" s="121" t="n"/>
      <s:c r="E19935" s="122" t="n"/>
    </s:row>
    <s:row r="19936" hidden="1" ht="1" customHeight="1">
      <s:c r="A19936" s="120" t="inlineStr"/>
      <s:c r="B19936" s="121" t="n"/>
      <s:c r="C19936" s="121" t="n"/>
      <s:c r="D19936" s="121" t="n"/>
      <s:c r="E19936" s="122" t="n"/>
    </s:row>
    <s:row r="19937" hidden="1" ht="1" customHeight="1">
      <s:c r="A19937" s="120" t="inlineStr"/>
      <s:c r="B19937" s="121" t="n"/>
      <s:c r="C19937" s="121" t="n"/>
      <s:c r="D19937" s="121" t="n"/>
      <s:c r="E19937" s="122" t="n"/>
    </s:row>
    <s:row r="19938" hidden="1" ht="1" customHeight="1">
      <s:c r="A19938" s="120" t="inlineStr"/>
      <s:c r="B19938" s="121" t="n"/>
      <s:c r="C19938" s="121" t="n"/>
      <s:c r="D19938" s="121" t="n"/>
      <s:c r="E19938" s="122" t="n"/>
    </s:row>
    <s:row r="19939" hidden="1" ht="1" customHeight="1">
      <s:c r="A19939" s="120" t="inlineStr"/>
      <s:c r="B19939" s="121" t="n"/>
      <s:c r="C19939" s="121" t="n"/>
      <s:c r="D19939" s="121" t="n"/>
      <s:c r="E19939" s="122" t="n"/>
    </s:row>
    <s:row r="19940" hidden="1" ht="1" customHeight="1">
      <s:c r="A19940" s="120" t="inlineStr"/>
      <s:c r="B19940" s="121" t="n"/>
      <s:c r="C19940" s="121" t="n"/>
      <s:c r="D19940" s="121" t="n"/>
      <s:c r="E19940" s="122" t="n"/>
    </s:row>
    <s:row r="19941" hidden="1" ht="1" customHeight="1">
      <s:c r="A19941" s="120" t="inlineStr"/>
      <s:c r="B19941" s="121" t="n"/>
      <s:c r="C19941" s="121" t="n"/>
      <s:c r="D19941" s="121" t="n"/>
      <s:c r="E19941" s="122" t="n"/>
    </s:row>
    <s:row r="19942" hidden="1" ht="1" customHeight="1">
      <s:c r="A19942" s="120" t="inlineStr"/>
      <s:c r="B19942" s="121" t="n"/>
      <s:c r="C19942" s="121" t="n"/>
      <s:c r="D19942" s="121" t="n"/>
      <s:c r="E19942" s="122" t="n"/>
    </s:row>
    <s:row r="19943" hidden="1" ht="1" customHeight="1">
      <s:c r="A19943" s="120" t="inlineStr"/>
      <s:c r="B19943" s="121" t="n"/>
      <s:c r="C19943" s="121" t="n"/>
      <s:c r="D19943" s="121" t="n"/>
      <s:c r="E19943" s="122" t="n"/>
    </s:row>
    <s:row r="19944" hidden="1" ht="1" customHeight="1">
      <s:c r="A19944" s="120" t="inlineStr"/>
      <s:c r="B19944" s="121" t="n"/>
      <s:c r="C19944" s="121" t="n"/>
      <s:c r="D19944" s="121" t="n"/>
      <s:c r="E19944" s="122" t="n"/>
    </s:row>
    <s:row r="19945" hidden="1" ht="1" customHeight="1">
      <s:c r="A19945" s="120" t="inlineStr"/>
      <s:c r="B19945" s="121" t="n"/>
      <s:c r="C19945" s="121" t="n"/>
      <s:c r="D19945" s="121" t="n"/>
      <s:c r="E19945" s="122" t="n"/>
    </s:row>
    <s:row r="19946" hidden="1" ht="1" customHeight="1">
      <s:c r="A19946" s="120" t="inlineStr"/>
      <s:c r="B19946" s="121" t="n"/>
      <s:c r="C19946" s="121" t="n"/>
      <s:c r="D19946" s="121" t="n"/>
      <s:c r="E19946" s="122" t="n"/>
    </s:row>
    <s:row r="19947" hidden="1" ht="1" customHeight="1">
      <s:c r="A19947" s="120" t="inlineStr"/>
      <s:c r="B19947" s="121" t="n"/>
      <s:c r="C19947" s="121" t="n"/>
      <s:c r="D19947" s="121" t="n"/>
      <s:c r="E19947" s="122" t="n"/>
    </s:row>
    <s:row r="19948" hidden="1" ht="1" customHeight="1">
      <s:c r="A19948" s="120" t="inlineStr"/>
      <s:c r="B19948" s="121" t="n"/>
      <s:c r="C19948" s="121" t="n"/>
      <s:c r="D19948" s="121" t="n"/>
      <s:c r="E19948" s="122" t="n"/>
    </s:row>
    <s:row r="19949" hidden="1" ht="1" customHeight="1">
      <s:c r="A19949" s="120" t="inlineStr"/>
      <s:c r="B19949" s="121" t="n"/>
      <s:c r="C19949" s="121" t="n"/>
      <s:c r="D19949" s="121" t="n"/>
      <s:c r="E19949" s="122" t="n"/>
    </s:row>
    <s:row r="19950" hidden="1" ht="1" customHeight="1">
      <s:c r="A19950" s="120" t="inlineStr"/>
      <s:c r="B19950" s="121" t="n"/>
      <s:c r="C19950" s="121" t="n"/>
      <s:c r="D19950" s="121" t="n"/>
      <s:c r="E19950" s="122" t="n"/>
    </s:row>
    <s:row r="19951" hidden="1" ht="1" customHeight="1">
      <s:c r="A19951" s="120" t="inlineStr"/>
      <s:c r="B19951" s="121" t="n"/>
      <s:c r="C19951" s="121" t="n"/>
      <s:c r="D19951" s="121" t="n"/>
      <s:c r="E19951" s="122" t="n"/>
    </s:row>
    <s:row r="19952" hidden="1" ht="1" customHeight="1">
      <s:c r="A19952" s="120" t="inlineStr"/>
      <s:c r="B19952" s="121" t="n"/>
      <s:c r="C19952" s="121" t="n"/>
      <s:c r="D19952" s="121" t="n"/>
      <s:c r="E19952" s="122" t="n"/>
    </s:row>
    <s:row r="19953" hidden="1" ht="1" customHeight="1">
      <s:c r="A19953" s="120" t="inlineStr"/>
      <s:c r="B19953" s="121" t="n"/>
      <s:c r="C19953" s="121" t="n"/>
      <s:c r="D19953" s="121" t="n"/>
      <s:c r="E19953" s="122" t="n"/>
    </s:row>
    <s:row r="19954" hidden="1" ht="1" customHeight="1">
      <s:c r="A19954" s="120" t="inlineStr"/>
      <s:c r="B19954" s="121" t="n"/>
      <s:c r="C19954" s="121" t="n"/>
      <s:c r="D19954" s="121" t="n"/>
      <s:c r="E19954" s="122" t="n"/>
    </s:row>
    <s:row r="19955" hidden="1" ht="1" customHeight="1">
      <s:c r="A19955" s="120" t="inlineStr"/>
      <s:c r="B19955" s="121" t="n"/>
      <s:c r="C19955" s="121" t="n"/>
      <s:c r="D19955" s="121" t="n"/>
      <s:c r="E19955" s="122" t="n"/>
    </s:row>
    <s:row r="19956" hidden="1" ht="1" customHeight="1">
      <s:c r="A19956" s="120" t="inlineStr"/>
      <s:c r="B19956" s="121" t="n"/>
      <s:c r="C19956" s="121" t="n"/>
      <s:c r="D19956" s="121" t="n"/>
      <s:c r="E19956" s="122" t="n"/>
    </s:row>
    <s:row r="19957" hidden="1" ht="1" customHeight="1">
      <s:c r="A19957" s="120" t="inlineStr"/>
      <s:c r="B19957" s="121" t="n"/>
      <s:c r="C19957" s="121" t="n"/>
      <s:c r="D19957" s="121" t="n"/>
      <s:c r="E19957" s="122" t="n"/>
    </s:row>
    <s:row r="19958" hidden="1" ht="1" customHeight="1">
      <s:c r="A19958" s="120" t="inlineStr"/>
      <s:c r="B19958" s="121" t="n"/>
      <s:c r="C19958" s="121" t="n"/>
      <s:c r="D19958" s="121" t="n"/>
      <s:c r="E19958" s="122" t="n"/>
    </s:row>
    <s:row r="19959" hidden="1" ht="1" customHeight="1">
      <s:c r="A19959" s="120" t="inlineStr"/>
      <s:c r="B19959" s="121" t="n"/>
      <s:c r="C19959" s="121" t="n"/>
      <s:c r="D19959" s="121" t="n"/>
      <s:c r="E19959" s="122" t="n"/>
    </s:row>
    <s:row r="19960" hidden="1" ht="1" customHeight="1">
      <s:c r="A19960" s="120" t="inlineStr"/>
      <s:c r="B19960" s="121" t="n"/>
      <s:c r="C19960" s="121" t="n"/>
      <s:c r="D19960" s="121" t="n"/>
      <s:c r="E19960" s="122" t="n"/>
    </s:row>
    <s:row r="19961" hidden="1" ht="1" customHeight="1">
      <s:c r="A19961" s="120" t="inlineStr"/>
      <s:c r="B19961" s="121" t="n"/>
      <s:c r="C19961" s="121" t="n"/>
      <s:c r="D19961" s="121" t="n"/>
      <s:c r="E19961" s="122" t="n"/>
    </s:row>
    <s:row r="19962" hidden="1" ht="1" customHeight="1">
      <s:c r="A19962" s="120" t="inlineStr"/>
      <s:c r="B19962" s="121" t="n"/>
      <s:c r="C19962" s="121" t="n"/>
      <s:c r="D19962" s="121" t="n"/>
      <s:c r="E19962" s="122" t="n"/>
    </s:row>
    <s:row r="19963" hidden="1" ht="1" customHeight="1">
      <s:c r="A19963" s="120" t="inlineStr"/>
      <s:c r="B19963" s="121" t="n"/>
      <s:c r="C19963" s="121" t="n"/>
      <s:c r="D19963" s="121" t="n"/>
      <s:c r="E19963" s="122" t="n"/>
    </s:row>
    <s:row r="19964" hidden="1" ht="1" customHeight="1">
      <s:c r="A19964" s="120" t="inlineStr"/>
      <s:c r="B19964" s="121" t="n"/>
      <s:c r="C19964" s="121" t="n"/>
      <s:c r="D19964" s="121" t="n"/>
      <s:c r="E19964" s="122" t="n"/>
    </s:row>
    <s:row r="19965" hidden="1" ht="1" customHeight="1">
      <s:c r="A19965" s="120" t="inlineStr"/>
      <s:c r="B19965" s="121" t="n"/>
      <s:c r="C19965" s="121" t="n"/>
      <s:c r="D19965" s="121" t="n"/>
      <s:c r="E19965" s="122" t="n"/>
    </s:row>
    <s:row r="19966" hidden="1" ht="1" customHeight="1">
      <s:c r="A19966" s="83" t="inlineStr">
        <s:is>
          <s:t>PASS</s:t>
        </s:is>
      </s:c>
      <s:c r="B19966" s="83">
        <s:f>SUM(IF(EXACT('Kiểm thử'!E19916,"Đạt"),1,0))</s:f>
        <s:v/>
      </s:c>
      <s:c r="C19966" s="19" t="n"/>
      <s:c r="D19966" s="19" t="n"/>
      <s:c r="E19966" s="19" t="n"/>
    </s:row>
    <s:row r="19967" hidden="1" ht="1" customHeight="1">
      <s:c r="A19967" s="83" t="inlineStr">
        <s:is>
          <s:t>FAIL</s:t>
        </s:is>
      </s:c>
      <s:c r="B19967" s="83">
        <s:f>SUM(IF(EXACT('Kiểm thử'!E19916,"Không đạt"),1,0))</s:f>
        <s:v/>
      </s:c>
      <s:c r="C19967" s="19" t="n"/>
      <s:c r="D19967" s="19" t="n"/>
      <s:c r="E19967" s="19" t="n"/>
    </s:row>
    <s:row r="19968" hidden="1" ht="1" customHeight="1">
      <s:c r="A19968" s="83" t="inlineStr">
        <s:is>
          <s:t>BLOCKED</s:t>
        </s:is>
      </s:c>
      <s:c r="B19968" s="83">
        <s:f>SUM(IF(EXACT('Kiểm thử'!E19916,"Bị chặn"),1,0))</s:f>
        <s:v/>
      </s:c>
      <s:c r="C19968" s="19" t="n"/>
      <s:c r="D19968" s="19" t="n"/>
      <s:c r="E19968" s="19" t="n"/>
    </s:row>
    <s:row r="19969" hidden="1" ht="1" customHeight="1">
      <s:c r="A19969" s="83" t="inlineStr">
        <s:is>
          <s:t>SKIPPED</s:t>
        </s:is>
      </s:c>
      <s:c r="B19969" s="83">
        <s:f>SUM(IF(EXACT('Kiểm thử'!E19916,"Không thực hiện"),1,0))</s:f>
        <s:v/>
      </s:c>
      <s:c r="C19969" s="19" t="n"/>
      <s:c r="D19969" s="19" t="n"/>
      <s:c r="E19969" s="19" t="n"/>
    </s:row>
    <s:row r="19970" hidden="1" ht="1" customHeight="1">
      <s:c r="A19970" s="83" t="inlineStr">
        <s:is>
          <s:t>NOT RUN</s:t>
        </s:is>
      </s:c>
      <s:c r="B19970" s="83">
        <s:f>SUM(IF(EXACT('Kiểm thử'!E19916,"Chưa thực hiện"),1,0))</s:f>
        <s:v/>
      </s:c>
      <s:c r="C19970" s="19" t="n"/>
      <s:c r="D19970" s="19" t="n"/>
      <s:c r="E19970" s="19" t="n"/>
    </s:row>
    <s:row r="19971" hidden="1" ht="6" customHeight="1">
      <s:c r="A19971" s="83" t="inlineStr"/>
      <s:c r="B19971" s="19" t="n"/>
      <s:c r="C19971" s="19" t="n"/>
      <s:c r="D19971" s="19" t="n"/>
      <s:c r="E19971" s="19" t="n"/>
    </s:row>
    <s:row r="19972" ht="28" customHeight="1">
      <s:c r="A19972" s="108" t="inlineStr">
        <s:is>
          <s:t>TC-RS-REG-009 — Phiếu điểm: các điều kiện hiển thị hiện có giữ hành vi</s:t>
        </s:is>
      </s:c>
      <s:c r="B19972" s="111" t="n"/>
      <s:c r="C19972" s="111" t="n"/>
      <s:c r="D19972" s="111" t="n"/>
      <s:c r="E19972" s="111" t="n"/>
    </s:row>
    <s:row r="19973" ht="20" customHeight="1">
      <s:c r="A19973" s="112" t="inlineStr">
        <s:is>
          <s:t>Kết quả tình huống</s:t>
        </s:is>
      </s:c>
      <s:c r="B19973" s="113">
        <s:f>IF(SUM(IF(EXACT('Kiểm thử'!E19980,"Không đạt"),1,0),IF(EXACT('Kiểm thử'!E19982,"Không đạt"),1,0))&gt;0,"Không đạt",IF(SUM(IF(EXACT('Kiểm thử'!E19980,"Đạt"),1,0),IF(EXACT('Kiểm thử'!E19982,"Đạt"),1,0))=2,"Đạt",IF(SUM(IF(EXACT('Kiểm thử'!E19980,"Không thực hiện"),1,0),IF(EXACT('Kiểm thử'!E19982,"Không thực hiện"),1,0))=2,"Không thực hiện",IF(SUM(IF(EXACT('Kiểm thử'!E19980,"Bị chặn"),1,0),IF(EXACT('Kiểm thử'!E19982,"Bị chặn"),1,0))&gt;0,"Bị chặn",IF(SUM(IF(EXACT('Kiểm thử'!E19980,"Chưa thực hiện"),1,0),IF(EXACT('Kiểm thử'!E19982,"Chưa thực hiện"),1,0))=2,"Chưa thực hiện","Đang thực hiện")))))</s:f>
        <s:v/>
      </s:c>
      <s:c r="C19973" s="114" t="n"/>
      <s:c r="D19973" s="114" t="n"/>
      <s:c r="E19973" s="114" t="n"/>
    </s:row>
    <s:row r="19974" ht="20" customHeight="1">
      <s:c r="A19974" s="112" t="inlineStr">
        <s:is>
          <s:t>Màn hình / chức năng</s:t>
        </s:is>
      </s:c>
      <s:c r="B19974" s="113" t="inlineStr">
        <s:is>
          <s:r>
            <s:rPr>
              <s:b val="1"/>
            </s:rPr>
            <s:t>Công cụ phiếu điểm（通知表ツール）</s:t>
          </s:r>
        </s:is>
      </s:c>
      <s:c r="C19974" s="28" t="n"/>
      <s:c r="D19974" s="28" t="n"/>
      <s:c r="E19974" s="28" t="n"/>
    </s:row>
    <s:row r="19975" ht="62" customHeight="1">
      <s:c r="A19975" s="112" t="inlineStr">
        <s:is>
          <s:t>Cấu hình</s:t>
        </s:is>
      </s:c>
      <s:c r="B19975" s="113" t="inlineStr">
        <s:is>
          <s:r>
            <s:t xml:space="preserve">• Hai bảng điểm hiện có: (a) dùng điều kiện môn cụ thể và ô trống;
• (B) dùng </s:t>
          </s:r>
          <s:r>
            <s:rPr>
              <s:b val="1"/>
            </s:rPr>
            <s:t>checkbox Chưa dự thi（未受験）</s:t>
          </s:r>
          <s:r>
            <s:t xml:space="preserve"> với ẩn. Baseline PDF. Mục có quy tắc “Cố định 30” (dưới 30);
• Hai bảng chưa bật dòng đỏ.</s:t>
          </s:r>
        </s:is>
      </s:c>
      <s:c r="C19975" s="28" t="n"/>
      <s:c r="D19975" s="28" t="n"/>
      <s:c r="E19975" s="28" t="n"/>
    </s:row>
    <s:row r="19976" ht="34" customHeight="1">
      <s:c r="A19976" s="112" t="inlineStr">
        <s:is>
          <s:t>Dữ liệu test</s:t>
        </s:is>
      </s:c>
      <s:c r="B19976" s="113" t="inlineStr">
        <s:is>
          <s:r>
            <s:t xml:space="preserve">• Quy tắc “Cố định 30” (dưới 30);
• Học sinh S05 (ô trống), học sinh S07 (điểm 35, </s:t>
          </s:r>
          <s:r>
            <s:rPr>
              <s:b val="1"/>
            </s:rPr>
            <s:t>cờ Chưa dự thi（未受験）</s:t>
          </s:r>
          <s:r>
            <s:t>)</s:t>
          </s:r>
        </s:is>
      </s:c>
      <s:c r="C19976" s="28" t="n"/>
      <s:c r="D19976" s="28" t="n"/>
      <s:c r="E19976" s="28" t="n"/>
    </s:row>
    <s:row r="19977" ht="20" customHeight="1">
      <s:c r="A19977" s="112" t="inlineStr">
        <s:is>
          <s:t>•</s:t>
        </s:is>
      </s:c>
      <s:c r="B19977" s="113" t="inlineStr">
        <s:is>
          <s:t>Xuất PDF hai bảng, so với baseline.</s:t>
        </s:is>
      </s:c>
      <s:c r="C19977" s="28" t="n"/>
      <s:c r="D19977" s="28" t="n"/>
      <s:c r="E19977" s="28" t="n"/>
    </s:row>
    <s:row r="19978" ht="28" customHeight="1">
      <s:c r="A19978" s="115" t="inlineStr">
        <s:is>
          <s:t>Trường hợp</s:t>
        </s:is>
      </s:c>
      <s:c r="B19978" s="115" t="inlineStr">
        <s:is>
          <s:t>Dữ liệu / thao tác riêng</s:t>
        </s:is>
      </s:c>
      <s:c r="C19978" s="115" t="inlineStr">
        <s:is>
          <s:t>Kết quả mong đợi</s:t>
        </s:is>
      </s:c>
      <s:c r="D19978" s="115" t="inlineStr">
        <s:is>
          <s:t>Kết quả thực tế</s:t>
        </s:is>
      </s:c>
      <s:c r="E19978" s="115" t="inlineStr">
        <s:is>
          <s:t>Đánh giá</s:t>
        </s:is>
      </s:c>
    </s:row>
    <s:row r="19979" ht="3" customHeight="1">
      <s:c r="A19979" s="102" t="inlineStr"/>
      <s:c r="B19979" s="99" t="n"/>
      <s:c r="C19979" s="99" t="n"/>
      <s:c r="D19979" s="116" t="n"/>
      <s:c r="E19979" s="116" t="n"/>
    </s:row>
    <s:row r="19980" ht="62" customHeight="1">
      <s:c r="A19980" s="83" t="inlineStr">
        <s:is>
          <s:t>Môn cụ thể và ô trống (subject-empty)</s:t>
        </s:is>
      </s:c>
      <s:c r="B19980" s="83" t="inlineStr">
        <s:is>
          <s:t>Bảng a chưa bật dòng đỏ, dùng điều kiện môn cụ thể và ô trống; xuất PDF với S05 trống, so baseline ký hiệu/ô ẩn/ô trống.</s:t>
        </s:is>
      </s:c>
      <s:c r="C19980" s="83" t="inlineStr">
        <s:is>
          <s:t>PDF bằng baseline (cùng ký hiệu, ô ẩn, ô trống).</s:t>
        </s:is>
      </s:c>
      <s:c r="D19980" s="117" t="inlineStr"/>
      <s:c r="E19980" s="118" t="inlineStr">
        <s:is>
          <s:t>Chưa thực hiện</s:t>
        </s:is>
      </s:c>
    </s:row>
    <s:row r="19981" ht="3" customHeight="1">
      <s:c r="A19981" s="102" t="inlineStr"/>
      <s:c r="B19981" s="99" t="n"/>
      <s:c r="C19981" s="99" t="n"/>
      <s:c r="D19981" s="116" t="n"/>
      <s:c r="E19981" s="116" t="n"/>
    </s:row>
    <s:row r="19982" ht="62" customHeight="1">
      <s:c r="A19982" s="83" t="inlineStr">
        <s:is>
          <s:t>Chưa dự thi và ẩn (notexam-hidden)</s:t>
        </s:is>
      </s:c>
      <s:c r="B19982" s="83" t="inlineStr">
        <s:is>
          <s:r>
            <s:t xml:space="preserve">Bảng b chưa bật dòng đỏ, dùng </s:t>
          </s:r>
          <s:r>
            <s:rPr>
              <s:b val="1"/>
            </s:rPr>
            <s:t>checkbox Chưa dự thi（未受験）</s:t>
          </s:r>
          <s:r>
            <s:t xml:space="preserve"> với ẩn; xuất PDF S07=35/cờ chưa dự thi, so baseline.</s:t>
          </s:r>
        </s:is>
      </s:c>
      <s:c r="C19982" s="83" t="inlineStr">
        <s:is>
          <s:t>PDF bằng baseline (cùng ký hiệu, ô ẩn, ô trống).</s:t>
        </s:is>
      </s:c>
      <s:c r="D19982" s="117" t="inlineStr"/>
      <s:c r="E19982" s="118" t="inlineStr">
        <s:is>
          <s:t>Chưa thực hiện</s:t>
        </s:is>
      </s:c>
    </s:row>
    <s:row r="19983" ht="20" customHeight="1">
      <s:c r="A19983" s="119" t="inlineStr">
        <s:is>
          <s:t>Ảnh minh chứng — Chưa có ảnh</s:t>
        </s:is>
      </s:c>
      <s:c r="B19983" s="19" t="n"/>
      <s:c r="C19983" s="19" t="n"/>
      <s:c r="D19983" s="19" t="n"/>
      <s:c r="E19983" s="19" t="n"/>
    </s:row>
    <s:row r="19984" hidden="1" ht="1" customHeight="1">
      <s:c r="A19984" s="120" t="inlineStr"/>
      <s:c r="B19984" s="121" t="n"/>
      <s:c r="C19984" s="121" t="n"/>
      <s:c r="D19984" s="121" t="n"/>
      <s:c r="E19984" s="122" t="n"/>
    </s:row>
    <s:row r="19985" hidden="1" ht="1" customHeight="1">
      <s:c r="A19985" s="120" t="inlineStr"/>
      <s:c r="B19985" s="121" t="n"/>
      <s:c r="C19985" s="121" t="n"/>
      <s:c r="D19985" s="121" t="n"/>
      <s:c r="E19985" s="122" t="n"/>
    </s:row>
    <s:row r="19986" hidden="1" ht="1" customHeight="1">
      <s:c r="A19986" s="120" t="inlineStr"/>
      <s:c r="B19986" s="121" t="n"/>
      <s:c r="C19986" s="121" t="n"/>
      <s:c r="D19986" s="121" t="n"/>
      <s:c r="E19986" s="122" t="n"/>
    </s:row>
    <s:row r="19987" hidden="1" ht="1" customHeight="1">
      <s:c r="A19987" s="120" t="inlineStr"/>
      <s:c r="B19987" s="121" t="n"/>
      <s:c r="C19987" s="121" t="n"/>
      <s:c r="D19987" s="121" t="n"/>
      <s:c r="E19987" s="122" t="n"/>
    </s:row>
    <s:row r="19988" hidden="1" ht="1" customHeight="1">
      <s:c r="A19988" s="120" t="inlineStr"/>
      <s:c r="B19988" s="121" t="n"/>
      <s:c r="C19988" s="121" t="n"/>
      <s:c r="D19988" s="121" t="n"/>
      <s:c r="E19988" s="122" t="n"/>
    </s:row>
    <s:row r="19989" hidden="1" ht="1" customHeight="1">
      <s:c r="A19989" s="120" t="inlineStr"/>
      <s:c r="B19989" s="121" t="n"/>
      <s:c r="C19989" s="121" t="n"/>
      <s:c r="D19989" s="121" t="n"/>
      <s:c r="E19989" s="122" t="n"/>
    </s:row>
    <s:row r="19990" hidden="1" ht="1" customHeight="1">
      <s:c r="A19990" s="120" t="inlineStr"/>
      <s:c r="B19990" s="121" t="n"/>
      <s:c r="C19990" s="121" t="n"/>
      <s:c r="D19990" s="121" t="n"/>
      <s:c r="E19990" s="122" t="n"/>
    </s:row>
    <s:row r="19991" hidden="1" ht="1" customHeight="1">
      <s:c r="A19991" s="120" t="inlineStr"/>
      <s:c r="B19991" s="121" t="n"/>
      <s:c r="C19991" s="121" t="n"/>
      <s:c r="D19991" s="121" t="n"/>
      <s:c r="E19991" s="122" t="n"/>
    </s:row>
    <s:row r="19992" hidden="1" ht="1" customHeight="1">
      <s:c r="A19992" s="120" t="inlineStr"/>
      <s:c r="B19992" s="121" t="n"/>
      <s:c r="C19992" s="121" t="n"/>
      <s:c r="D19992" s="121" t="n"/>
      <s:c r="E19992" s="122" t="n"/>
    </s:row>
    <s:row r="19993" hidden="1" ht="1" customHeight="1">
      <s:c r="A19993" s="120" t="inlineStr"/>
      <s:c r="B19993" s="121" t="n"/>
      <s:c r="C19993" s="121" t="n"/>
      <s:c r="D19993" s="121" t="n"/>
      <s:c r="E19993" s="122" t="n"/>
    </s:row>
    <s:row r="19994" hidden="1" ht="1" customHeight="1">
      <s:c r="A19994" s="120" t="inlineStr"/>
      <s:c r="B19994" s="121" t="n"/>
      <s:c r="C19994" s="121" t="n"/>
      <s:c r="D19994" s="121" t="n"/>
      <s:c r="E19994" s="122" t="n"/>
    </s:row>
    <s:row r="19995" hidden="1" ht="1" customHeight="1">
      <s:c r="A19995" s="120" t="inlineStr"/>
      <s:c r="B19995" s="121" t="n"/>
      <s:c r="C19995" s="121" t="n"/>
      <s:c r="D19995" s="121" t="n"/>
      <s:c r="E19995" s="122" t="n"/>
    </s:row>
    <s:row r="19996" hidden="1" ht="1" customHeight="1">
      <s:c r="A19996" s="120" t="inlineStr"/>
      <s:c r="B19996" s="121" t="n"/>
      <s:c r="C19996" s="121" t="n"/>
      <s:c r="D19996" s="121" t="n"/>
      <s:c r="E19996" s="122" t="n"/>
    </s:row>
    <s:row r="19997" hidden="1" ht="1" customHeight="1">
      <s:c r="A19997" s="120" t="inlineStr"/>
      <s:c r="B19997" s="121" t="n"/>
      <s:c r="C19997" s="121" t="n"/>
      <s:c r="D19997" s="121" t="n"/>
      <s:c r="E19997" s="122" t="n"/>
    </s:row>
    <s:row r="19998" hidden="1" ht="1" customHeight="1">
      <s:c r="A19998" s="120" t="inlineStr"/>
      <s:c r="B19998" s="121" t="n"/>
      <s:c r="C19998" s="121" t="n"/>
      <s:c r="D19998" s="121" t="n"/>
      <s:c r="E19998" s="122" t="n"/>
    </s:row>
    <s:row r="19999" hidden="1" ht="1" customHeight="1">
      <s:c r="A19999" s="120" t="inlineStr"/>
      <s:c r="B19999" s="121" t="n"/>
      <s:c r="C19999" s="121" t="n"/>
      <s:c r="D19999" s="121" t="n"/>
      <s:c r="E19999" s="122" t="n"/>
    </s:row>
    <s:row r="20000" hidden="1" ht="1" customHeight="1">
      <s:c r="A20000" s="120" t="inlineStr"/>
      <s:c r="B20000" s="121" t="n"/>
      <s:c r="C20000" s="121" t="n"/>
      <s:c r="D20000" s="121" t="n"/>
      <s:c r="E20000" s="122" t="n"/>
    </s:row>
    <s:row r="20001" hidden="1" ht="1" customHeight="1">
      <s:c r="A20001" s="120" t="inlineStr"/>
      <s:c r="B20001" s="121" t="n"/>
      <s:c r="C20001" s="121" t="n"/>
      <s:c r="D20001" s="121" t="n"/>
      <s:c r="E20001" s="122" t="n"/>
    </s:row>
    <s:row r="20002" hidden="1" ht="1" customHeight="1">
      <s:c r="A20002" s="120" t="inlineStr"/>
      <s:c r="B20002" s="121" t="n"/>
      <s:c r="C20002" s="121" t="n"/>
      <s:c r="D20002" s="121" t="n"/>
      <s:c r="E20002" s="122" t="n"/>
    </s:row>
    <s:row r="20003" hidden="1" ht="1" customHeight="1">
      <s:c r="A20003" s="120" t="inlineStr"/>
      <s:c r="B20003" s="121" t="n"/>
      <s:c r="C20003" s="121" t="n"/>
      <s:c r="D20003" s="121" t="n"/>
      <s:c r="E20003" s="122" t="n"/>
    </s:row>
    <s:row r="20004" hidden="1" ht="1" customHeight="1">
      <s:c r="A20004" s="120" t="inlineStr"/>
      <s:c r="B20004" s="121" t="n"/>
      <s:c r="C20004" s="121" t="n"/>
      <s:c r="D20004" s="121" t="n"/>
      <s:c r="E20004" s="122" t="n"/>
    </s:row>
    <s:row r="20005" hidden="1" ht="1" customHeight="1">
      <s:c r="A20005" s="120" t="inlineStr"/>
      <s:c r="B20005" s="121" t="n"/>
      <s:c r="C20005" s="121" t="n"/>
      <s:c r="D20005" s="121" t="n"/>
      <s:c r="E20005" s="122" t="n"/>
    </s:row>
    <s:row r="20006" hidden="1" ht="1" customHeight="1">
      <s:c r="A20006" s="120" t="inlineStr"/>
      <s:c r="B20006" s="121" t="n"/>
      <s:c r="C20006" s="121" t="n"/>
      <s:c r="D20006" s="121" t="n"/>
      <s:c r="E20006" s="122" t="n"/>
    </s:row>
    <s:row r="20007" hidden="1" ht="1" customHeight="1">
      <s:c r="A20007" s="120" t="inlineStr"/>
      <s:c r="B20007" s="121" t="n"/>
      <s:c r="C20007" s="121" t="n"/>
      <s:c r="D20007" s="121" t="n"/>
      <s:c r="E20007" s="122" t="n"/>
    </s:row>
    <s:row r="20008" hidden="1" ht="1" customHeight="1">
      <s:c r="A20008" s="120" t="inlineStr"/>
      <s:c r="B20008" s="121" t="n"/>
      <s:c r="C20008" s="121" t="n"/>
      <s:c r="D20008" s="121" t="n"/>
      <s:c r="E20008" s="122" t="n"/>
    </s:row>
    <s:row r="20009" hidden="1" ht="1" customHeight="1">
      <s:c r="A20009" s="120" t="inlineStr"/>
      <s:c r="B20009" s="121" t="n"/>
      <s:c r="C20009" s="121" t="n"/>
      <s:c r="D20009" s="121" t="n"/>
      <s:c r="E20009" s="122" t="n"/>
    </s:row>
    <s:row r="20010" hidden="1" ht="1" customHeight="1">
      <s:c r="A20010" s="120" t="inlineStr"/>
      <s:c r="B20010" s="121" t="n"/>
      <s:c r="C20010" s="121" t="n"/>
      <s:c r="D20010" s="121" t="n"/>
      <s:c r="E20010" s="122" t="n"/>
    </s:row>
    <s:row r="20011" hidden="1" ht="1" customHeight="1">
      <s:c r="A20011" s="120" t="inlineStr"/>
      <s:c r="B20011" s="121" t="n"/>
      <s:c r="C20011" s="121" t="n"/>
      <s:c r="D20011" s="121" t="n"/>
      <s:c r="E20011" s="122" t="n"/>
    </s:row>
    <s:row r="20012" hidden="1" ht="1" customHeight="1">
      <s:c r="A20012" s="120" t="inlineStr"/>
      <s:c r="B20012" s="121" t="n"/>
      <s:c r="C20012" s="121" t="n"/>
      <s:c r="D20012" s="121" t="n"/>
      <s:c r="E20012" s="122" t="n"/>
    </s:row>
    <s:row r="20013" hidden="1" ht="1" customHeight="1">
      <s:c r="A20013" s="120" t="inlineStr"/>
      <s:c r="B20013" s="121" t="n"/>
      <s:c r="C20013" s="121" t="n"/>
      <s:c r="D20013" s="121" t="n"/>
      <s:c r="E20013" s="122" t="n"/>
    </s:row>
    <s:row r="20014" hidden="1" ht="1" customHeight="1">
      <s:c r="A20014" s="120" t="inlineStr"/>
      <s:c r="B20014" s="121" t="n"/>
      <s:c r="C20014" s="121" t="n"/>
      <s:c r="D20014" s="121" t="n"/>
      <s:c r="E20014" s="122" t="n"/>
    </s:row>
    <s:row r="20015" hidden="1" ht="1" customHeight="1">
      <s:c r="A20015" s="120" t="inlineStr"/>
      <s:c r="B20015" s="121" t="n"/>
      <s:c r="C20015" s="121" t="n"/>
      <s:c r="D20015" s="121" t="n"/>
      <s:c r="E20015" s="122" t="n"/>
    </s:row>
    <s:row r="20016" hidden="1" ht="1" customHeight="1">
      <s:c r="A20016" s="120" t="inlineStr"/>
      <s:c r="B20016" s="121" t="n"/>
      <s:c r="C20016" s="121" t="n"/>
      <s:c r="D20016" s="121" t="n"/>
      <s:c r="E20016" s="122" t="n"/>
    </s:row>
    <s:row r="20017" hidden="1" ht="1" customHeight="1">
      <s:c r="A20017" s="120" t="inlineStr"/>
      <s:c r="B20017" s="121" t="n"/>
      <s:c r="C20017" s="121" t="n"/>
      <s:c r="D20017" s="121" t="n"/>
      <s:c r="E20017" s="122" t="n"/>
    </s:row>
    <s:row r="20018" hidden="1" ht="1" customHeight="1">
      <s:c r="A20018" s="120" t="inlineStr"/>
      <s:c r="B20018" s="121" t="n"/>
      <s:c r="C20018" s="121" t="n"/>
      <s:c r="D20018" s="121" t="n"/>
      <s:c r="E20018" s="122" t="n"/>
    </s:row>
    <s:row r="20019" hidden="1" ht="1" customHeight="1">
      <s:c r="A20019" s="120" t="inlineStr"/>
      <s:c r="B20019" s="121" t="n"/>
      <s:c r="C20019" s="121" t="n"/>
      <s:c r="D20019" s="121" t="n"/>
      <s:c r="E20019" s="122" t="n"/>
    </s:row>
    <s:row r="20020" hidden="1" ht="1" customHeight="1">
      <s:c r="A20020" s="120" t="inlineStr"/>
      <s:c r="B20020" s="121" t="n"/>
      <s:c r="C20020" s="121" t="n"/>
      <s:c r="D20020" s="121" t="n"/>
      <s:c r="E20020" s="122" t="n"/>
    </s:row>
    <s:row r="20021" hidden="1" ht="1" customHeight="1">
      <s:c r="A20021" s="120" t="inlineStr"/>
      <s:c r="B20021" s="121" t="n"/>
      <s:c r="C20021" s="121" t="n"/>
      <s:c r="D20021" s="121" t="n"/>
      <s:c r="E20021" s="122" t="n"/>
    </s:row>
    <s:row r="20022" hidden="1" ht="1" customHeight="1">
      <s:c r="A20022" s="120" t="inlineStr"/>
      <s:c r="B20022" s="121" t="n"/>
      <s:c r="C20022" s="121" t="n"/>
      <s:c r="D20022" s="121" t="n"/>
      <s:c r="E20022" s="122" t="n"/>
    </s:row>
    <s:row r="20023" hidden="1" ht="1" customHeight="1">
      <s:c r="A20023" s="120" t="inlineStr"/>
      <s:c r="B20023" s="121" t="n"/>
      <s:c r="C20023" s="121" t="n"/>
      <s:c r="D20023" s="121" t="n"/>
      <s:c r="E20023" s="122" t="n"/>
    </s:row>
    <s:row r="20024" hidden="1" ht="1" customHeight="1">
      <s:c r="A20024" s="120" t="inlineStr"/>
      <s:c r="B20024" s="121" t="n"/>
      <s:c r="C20024" s="121" t="n"/>
      <s:c r="D20024" s="121" t="n"/>
      <s:c r="E20024" s="122" t="n"/>
    </s:row>
    <s:row r="20025" hidden="1" ht="1" customHeight="1">
      <s:c r="A20025" s="120" t="inlineStr"/>
      <s:c r="B20025" s="121" t="n"/>
      <s:c r="C20025" s="121" t="n"/>
      <s:c r="D20025" s="121" t="n"/>
      <s:c r="E20025" s="122" t="n"/>
    </s:row>
    <s:row r="20026" hidden="1" ht="1" customHeight="1">
      <s:c r="A20026" s="120" t="inlineStr"/>
      <s:c r="B20026" s="121" t="n"/>
      <s:c r="C20026" s="121" t="n"/>
      <s:c r="D20026" s="121" t="n"/>
      <s:c r="E20026" s="122" t="n"/>
    </s:row>
    <s:row r="20027" hidden="1" ht="1" customHeight="1">
      <s:c r="A20027" s="120" t="inlineStr"/>
      <s:c r="B20027" s="121" t="n"/>
      <s:c r="C20027" s="121" t="n"/>
      <s:c r="D20027" s="121" t="n"/>
      <s:c r="E20027" s="122" t="n"/>
    </s:row>
    <s:row r="20028" hidden="1" ht="1" customHeight="1">
      <s:c r="A20028" s="120" t="inlineStr"/>
      <s:c r="B20028" s="121" t="n"/>
      <s:c r="C20028" s="121" t="n"/>
      <s:c r="D20028" s="121" t="n"/>
      <s:c r="E20028" s="122" t="n"/>
    </s:row>
    <s:row r="20029" hidden="1" ht="1" customHeight="1">
      <s:c r="A20029" s="120" t="inlineStr"/>
      <s:c r="B20029" s="121" t="n"/>
      <s:c r="C20029" s="121" t="n"/>
      <s:c r="D20029" s="121" t="n"/>
      <s:c r="E20029" s="122" t="n"/>
    </s:row>
    <s:row r="20030" hidden="1" ht="1" customHeight="1">
      <s:c r="A20030" s="120" t="inlineStr"/>
      <s:c r="B20030" s="121" t="n"/>
      <s:c r="C20030" s="121" t="n"/>
      <s:c r="D20030" s="121" t="n"/>
      <s:c r="E20030" s="122" t="n"/>
    </s:row>
    <s:row r="20031" hidden="1" ht="1" customHeight="1">
      <s:c r="A20031" s="120" t="inlineStr"/>
      <s:c r="B20031" s="121" t="n"/>
      <s:c r="C20031" s="121" t="n"/>
      <s:c r="D20031" s="121" t="n"/>
      <s:c r="E20031" s="122" t="n"/>
    </s:row>
    <s:row r="20032" hidden="1" ht="1" customHeight="1">
      <s:c r="A20032" s="120" t="inlineStr"/>
      <s:c r="B20032" s="121" t="n"/>
      <s:c r="C20032" s="121" t="n"/>
      <s:c r="D20032" s="121" t="n"/>
      <s:c r="E20032" s="122" t="n"/>
    </s:row>
    <s:row r="20033" hidden="1" ht="1" customHeight="1">
      <s:c r="A20033" s="120" t="inlineStr"/>
      <s:c r="B20033" s="121" t="n"/>
      <s:c r="C20033" s="121" t="n"/>
      <s:c r="D20033" s="121" t="n"/>
      <s:c r="E20033" s="122" t="n"/>
    </s:row>
    <s:row r="20034" hidden="1" ht="1" customHeight="1">
      <s:c r="A20034" s="120" t="inlineStr"/>
      <s:c r="B20034" s="121" t="n"/>
      <s:c r="C20034" s="121" t="n"/>
      <s:c r="D20034" s="121" t="n"/>
      <s:c r="E20034" s="122" t="n"/>
    </s:row>
    <s:row r="20035" hidden="1" ht="1" customHeight="1">
      <s:c r="A20035" s="120" t="inlineStr"/>
      <s:c r="B20035" s="121" t="n"/>
      <s:c r="C20035" s="121" t="n"/>
      <s:c r="D20035" s="121" t="n"/>
      <s:c r="E20035" s="122" t="n"/>
    </s:row>
    <s:row r="20036" hidden="1" ht="1" customHeight="1">
      <s:c r="A20036" s="120" t="inlineStr"/>
      <s:c r="B20036" s="121" t="n"/>
      <s:c r="C20036" s="121" t="n"/>
      <s:c r="D20036" s="121" t="n"/>
      <s:c r="E20036" s="122" t="n"/>
    </s:row>
    <s:row r="20037" hidden="1" ht="1" customHeight="1">
      <s:c r="A20037" s="120" t="inlineStr"/>
      <s:c r="B20037" s="121" t="n"/>
      <s:c r="C20037" s="121" t="n"/>
      <s:c r="D20037" s="121" t="n"/>
      <s:c r="E20037" s="122" t="n"/>
    </s:row>
    <s:row r="20038" hidden="1" ht="1" customHeight="1">
      <s:c r="A20038" s="120" t="inlineStr"/>
      <s:c r="B20038" s="121" t="n"/>
      <s:c r="C20038" s="121" t="n"/>
      <s:c r="D20038" s="121" t="n"/>
      <s:c r="E20038" s="122" t="n"/>
    </s:row>
    <s:row r="20039" hidden="1" ht="1" customHeight="1">
      <s:c r="A20039" s="120" t="inlineStr"/>
      <s:c r="B20039" s="121" t="n"/>
      <s:c r="C20039" s="121" t="n"/>
      <s:c r="D20039" s="121" t="n"/>
      <s:c r="E20039" s="122" t="n"/>
    </s:row>
    <s:row r="20040" hidden="1" ht="1" customHeight="1">
      <s:c r="A20040" s="120" t="inlineStr"/>
      <s:c r="B20040" s="121" t="n"/>
      <s:c r="C20040" s="121" t="n"/>
      <s:c r="D20040" s="121" t="n"/>
      <s:c r="E20040" s="122" t="n"/>
    </s:row>
    <s:row r="20041" hidden="1" ht="1" customHeight="1">
      <s:c r="A20041" s="120" t="inlineStr"/>
      <s:c r="B20041" s="121" t="n"/>
      <s:c r="C20041" s="121" t="n"/>
      <s:c r="D20041" s="121" t="n"/>
      <s:c r="E20041" s="122" t="n"/>
    </s:row>
    <s:row r="20042" hidden="1" ht="1" customHeight="1">
      <s:c r="A20042" s="120" t="inlineStr"/>
      <s:c r="B20042" s="121" t="n"/>
      <s:c r="C20042" s="121" t="n"/>
      <s:c r="D20042" s="121" t="n"/>
      <s:c r="E20042" s="122" t="n"/>
    </s:row>
    <s:row r="20043" hidden="1" ht="1" customHeight="1">
      <s:c r="A20043" s="120" t="inlineStr"/>
      <s:c r="B20043" s="121" t="n"/>
      <s:c r="C20043" s="121" t="n"/>
      <s:c r="D20043" s="121" t="n"/>
      <s:c r="E20043" s="122" t="n"/>
    </s:row>
    <s:row r="20044" hidden="1" ht="1" customHeight="1">
      <s:c r="A20044" s="120" t="inlineStr"/>
      <s:c r="B20044" s="121" t="n"/>
      <s:c r="C20044" s="121" t="n"/>
      <s:c r="D20044" s="121" t="n"/>
      <s:c r="E20044" s="122" t="n"/>
    </s:row>
    <s:row r="20045" hidden="1" ht="1" customHeight="1">
      <s:c r="A20045" s="120" t="inlineStr"/>
      <s:c r="B20045" s="121" t="n"/>
      <s:c r="C20045" s="121" t="n"/>
      <s:c r="D20045" s="121" t="n"/>
      <s:c r="E20045" s="122" t="n"/>
    </s:row>
    <s:row r="20046" hidden="1" ht="1" customHeight="1">
      <s:c r="A20046" s="120" t="inlineStr"/>
      <s:c r="B20046" s="121" t="n"/>
      <s:c r="C20046" s="121" t="n"/>
      <s:c r="D20046" s="121" t="n"/>
      <s:c r="E20046" s="122" t="n"/>
    </s:row>
    <s:row r="20047" hidden="1" ht="1" customHeight="1">
      <s:c r="A20047" s="120" t="inlineStr"/>
      <s:c r="B20047" s="121" t="n"/>
      <s:c r="C20047" s="121" t="n"/>
      <s:c r="D20047" s="121" t="n"/>
      <s:c r="E20047" s="122" t="n"/>
    </s:row>
    <s:row r="20048" hidden="1" ht="1" customHeight="1">
      <s:c r="A20048" s="120" t="inlineStr"/>
      <s:c r="B20048" s="121" t="n"/>
      <s:c r="C20048" s="121" t="n"/>
      <s:c r="D20048" s="121" t="n"/>
      <s:c r="E20048" s="122" t="n"/>
    </s:row>
    <s:row r="20049" hidden="1" ht="1" customHeight="1">
      <s:c r="A20049" s="120" t="inlineStr"/>
      <s:c r="B20049" s="121" t="n"/>
      <s:c r="C20049" s="121" t="n"/>
      <s:c r="D20049" s="121" t="n"/>
      <s:c r="E20049" s="122" t="n"/>
    </s:row>
    <s:row r="20050" hidden="1" ht="1" customHeight="1">
      <s:c r="A20050" s="120" t="inlineStr"/>
      <s:c r="B20050" s="121" t="n"/>
      <s:c r="C20050" s="121" t="n"/>
      <s:c r="D20050" s="121" t="n"/>
      <s:c r="E20050" s="122" t="n"/>
    </s:row>
    <s:row r="20051" hidden="1" ht="1" customHeight="1">
      <s:c r="A20051" s="120" t="inlineStr"/>
      <s:c r="B20051" s="121" t="n"/>
      <s:c r="C20051" s="121" t="n"/>
      <s:c r="D20051" s="121" t="n"/>
      <s:c r="E20051" s="122" t="n"/>
    </s:row>
    <s:row r="20052" hidden="1" ht="1" customHeight="1">
      <s:c r="A20052" s="120" t="inlineStr"/>
      <s:c r="B20052" s="121" t="n"/>
      <s:c r="C20052" s="121" t="n"/>
      <s:c r="D20052" s="121" t="n"/>
      <s:c r="E20052" s="122" t="n"/>
    </s:row>
    <s:row r="20053" hidden="1" ht="1" customHeight="1">
      <s:c r="A20053" s="120" t="inlineStr"/>
      <s:c r="B20053" s="121" t="n"/>
      <s:c r="C20053" s="121" t="n"/>
      <s:c r="D20053" s="121" t="n"/>
      <s:c r="E20053" s="122" t="n"/>
    </s:row>
    <s:row r="20054" hidden="1" ht="1" customHeight="1">
      <s:c r="A20054" s="120" t="inlineStr"/>
      <s:c r="B20054" s="121" t="n"/>
      <s:c r="C20054" s="121" t="n"/>
      <s:c r="D20054" s="121" t="n"/>
      <s:c r="E20054" s="122" t="n"/>
    </s:row>
    <s:row r="20055" hidden="1" ht="1" customHeight="1">
      <s:c r="A20055" s="120" t="inlineStr"/>
      <s:c r="B20055" s="121" t="n"/>
      <s:c r="C20055" s="121" t="n"/>
      <s:c r="D20055" s="121" t="n"/>
      <s:c r="E20055" s="122" t="n"/>
    </s:row>
    <s:row r="20056" hidden="1" ht="1" customHeight="1">
      <s:c r="A20056" s="120" t="inlineStr"/>
      <s:c r="B20056" s="121" t="n"/>
      <s:c r="C20056" s="121" t="n"/>
      <s:c r="D20056" s="121" t="n"/>
      <s:c r="E20056" s="122" t="n"/>
    </s:row>
    <s:row r="20057" hidden="1" ht="1" customHeight="1">
      <s:c r="A20057" s="120" t="inlineStr"/>
      <s:c r="B20057" s="121" t="n"/>
      <s:c r="C20057" s="121" t="n"/>
      <s:c r="D20057" s="121" t="n"/>
      <s:c r="E20057" s="122" t="n"/>
    </s:row>
    <s:row r="20058" hidden="1" ht="1" customHeight="1">
      <s:c r="A20058" s="120" t="inlineStr"/>
      <s:c r="B20058" s="121" t="n"/>
      <s:c r="C20058" s="121" t="n"/>
      <s:c r="D20058" s="121" t="n"/>
      <s:c r="E20058" s="122" t="n"/>
    </s:row>
    <s:row r="20059" hidden="1" ht="1" customHeight="1">
      <s:c r="A20059" s="120" t="inlineStr"/>
      <s:c r="B20059" s="121" t="n"/>
      <s:c r="C20059" s="121" t="n"/>
      <s:c r="D20059" s="121" t="n"/>
      <s:c r="E20059" s="122" t="n"/>
    </s:row>
    <s:row r="20060" hidden="1" ht="1" customHeight="1">
      <s:c r="A20060" s="120" t="inlineStr"/>
      <s:c r="B20060" s="121" t="n"/>
      <s:c r="C20060" s="121" t="n"/>
      <s:c r="D20060" s="121" t="n"/>
      <s:c r="E20060" s="122" t="n"/>
    </s:row>
    <s:row r="20061" hidden="1" ht="1" customHeight="1">
      <s:c r="A20061" s="120" t="inlineStr"/>
      <s:c r="B20061" s="121" t="n"/>
      <s:c r="C20061" s="121" t="n"/>
      <s:c r="D20061" s="121" t="n"/>
      <s:c r="E20061" s="122" t="n"/>
    </s:row>
    <s:row r="20062" hidden="1" ht="1" customHeight="1">
      <s:c r="A20062" s="120" t="inlineStr"/>
      <s:c r="B20062" s="121" t="n"/>
      <s:c r="C20062" s="121" t="n"/>
      <s:c r="D20062" s="121" t="n"/>
      <s:c r="E20062" s="122" t="n"/>
    </s:row>
    <s:row r="20063" hidden="1" ht="1" customHeight="1">
      <s:c r="A20063" s="120" t="inlineStr"/>
      <s:c r="B20063" s="121" t="n"/>
      <s:c r="C20063" s="121" t="n"/>
      <s:c r="D20063" s="121" t="n"/>
      <s:c r="E20063" s="122" t="n"/>
    </s:row>
    <s:row r="20064" hidden="1" ht="1" customHeight="1">
      <s:c r="A20064" s="120" t="inlineStr"/>
      <s:c r="B20064" s="121" t="n"/>
      <s:c r="C20064" s="121" t="n"/>
      <s:c r="D20064" s="121" t="n"/>
      <s:c r="E20064" s="122" t="n"/>
    </s:row>
    <s:row r="20065" hidden="1" ht="1" customHeight="1">
      <s:c r="A20065" s="120" t="inlineStr"/>
      <s:c r="B20065" s="121" t="n"/>
      <s:c r="C20065" s="121" t="n"/>
      <s:c r="D20065" s="121" t="n"/>
      <s:c r="E20065" s="122" t="n"/>
    </s:row>
    <s:row r="20066" hidden="1" ht="1" customHeight="1">
      <s:c r="A20066" s="120" t="inlineStr"/>
      <s:c r="B20066" s="121" t="n"/>
      <s:c r="C20066" s="121" t="n"/>
      <s:c r="D20066" s="121" t="n"/>
      <s:c r="E20066" s="122" t="n"/>
    </s:row>
    <s:row r="20067" hidden="1" ht="1" customHeight="1">
      <s:c r="A20067" s="120" t="inlineStr"/>
      <s:c r="B20067" s="121" t="n"/>
      <s:c r="C20067" s="121" t="n"/>
      <s:c r="D20067" s="121" t="n"/>
      <s:c r="E20067" s="122" t="n"/>
    </s:row>
    <s:row r="20068" hidden="1" ht="1" customHeight="1">
      <s:c r="A20068" s="120" t="inlineStr"/>
      <s:c r="B20068" s="121" t="n"/>
      <s:c r="C20068" s="121" t="n"/>
      <s:c r="D20068" s="121" t="n"/>
      <s:c r="E20068" s="122" t="n"/>
    </s:row>
    <s:row r="20069" hidden="1" ht="1" customHeight="1">
      <s:c r="A20069" s="120" t="inlineStr"/>
      <s:c r="B20069" s="121" t="n"/>
      <s:c r="C20069" s="121" t="n"/>
      <s:c r="D20069" s="121" t="n"/>
      <s:c r="E20069" s="122" t="n"/>
    </s:row>
    <s:row r="20070" hidden="1" ht="1" customHeight="1">
      <s:c r="A20070" s="120" t="inlineStr"/>
      <s:c r="B20070" s="121" t="n"/>
      <s:c r="C20070" s="121" t="n"/>
      <s:c r="D20070" s="121" t="n"/>
      <s:c r="E20070" s="122" t="n"/>
    </s:row>
    <s:row r="20071" hidden="1" ht="1" customHeight="1">
      <s:c r="A20071" s="120" t="inlineStr"/>
      <s:c r="B20071" s="121" t="n"/>
      <s:c r="C20071" s="121" t="n"/>
      <s:c r="D20071" s="121" t="n"/>
      <s:c r="E20071" s="122" t="n"/>
    </s:row>
    <s:row r="20072" hidden="1" ht="1" customHeight="1">
      <s:c r="A20072" s="120" t="inlineStr"/>
      <s:c r="B20072" s="121" t="n"/>
      <s:c r="C20072" s="121" t="n"/>
      <s:c r="D20072" s="121" t="n"/>
      <s:c r="E20072" s="122" t="n"/>
    </s:row>
    <s:row r="20073" hidden="1" ht="1" customHeight="1">
      <s:c r="A20073" s="120" t="inlineStr"/>
      <s:c r="B20073" s="121" t="n"/>
      <s:c r="C20073" s="121" t="n"/>
      <s:c r="D20073" s="121" t="n"/>
      <s:c r="E20073" s="122" t="n"/>
    </s:row>
    <s:row r="20074" hidden="1" ht="1" customHeight="1">
      <s:c r="A20074" s="120" t="inlineStr"/>
      <s:c r="B20074" s="121" t="n"/>
      <s:c r="C20074" s="121" t="n"/>
      <s:c r="D20074" s="121" t="n"/>
      <s:c r="E20074" s="122" t="n"/>
    </s:row>
    <s:row r="20075" hidden="1" ht="1" customHeight="1">
      <s:c r="A20075" s="120" t="inlineStr"/>
      <s:c r="B20075" s="121" t="n"/>
      <s:c r="C20075" s="121" t="n"/>
      <s:c r="D20075" s="121" t="n"/>
      <s:c r="E20075" s="122" t="n"/>
    </s:row>
    <s:row r="20076" hidden="1" ht="1" customHeight="1">
      <s:c r="A20076" s="120" t="inlineStr"/>
      <s:c r="B20076" s="121" t="n"/>
      <s:c r="C20076" s="121" t="n"/>
      <s:c r="D20076" s="121" t="n"/>
      <s:c r="E20076" s="122" t="n"/>
    </s:row>
    <s:row r="20077" hidden="1" ht="1" customHeight="1">
      <s:c r="A20077" s="120" t="inlineStr"/>
      <s:c r="B20077" s="121" t="n"/>
      <s:c r="C20077" s="121" t="n"/>
      <s:c r="D20077" s="121" t="n"/>
      <s:c r="E20077" s="122" t="n"/>
    </s:row>
    <s:row r="20078" hidden="1" ht="1" customHeight="1">
      <s:c r="A20078" s="120" t="inlineStr"/>
      <s:c r="B20078" s="121" t="n"/>
      <s:c r="C20078" s="121" t="n"/>
      <s:c r="D20078" s="121" t="n"/>
      <s:c r="E20078" s="122" t="n"/>
    </s:row>
    <s:row r="20079" hidden="1" ht="1" customHeight="1">
      <s:c r="A20079" s="120" t="inlineStr"/>
      <s:c r="B20079" s="121" t="n"/>
      <s:c r="C20079" s="121" t="n"/>
      <s:c r="D20079" s="121" t="n"/>
      <s:c r="E20079" s="122" t="n"/>
    </s:row>
    <s:row r="20080" hidden="1" ht="1" customHeight="1">
      <s:c r="A20080" s="83" t="inlineStr">
        <s:is>
          <s:t>PASS</s:t>
        </s:is>
      </s:c>
      <s:c r="B20080" s="83">
        <s:f>SUM(IF(EXACT('Kiểm thử'!E19980,"Đạt"),1,0),IF(EXACT('Kiểm thử'!E19982,"Đạt"),1,0))</s:f>
        <s:v/>
      </s:c>
      <s:c r="C20080" s="19" t="n"/>
      <s:c r="D20080" s="19" t="n"/>
      <s:c r="E20080" s="19" t="n"/>
    </s:row>
    <s:row r="20081" hidden="1" ht="1" customHeight="1">
      <s:c r="A20081" s="83" t="inlineStr">
        <s:is>
          <s:t>FAIL</s:t>
        </s:is>
      </s:c>
      <s:c r="B20081" s="83">
        <s:f>SUM(IF(EXACT('Kiểm thử'!E19980,"Không đạt"),1,0),IF(EXACT('Kiểm thử'!E19982,"Không đạt"),1,0))</s:f>
        <s:v/>
      </s:c>
      <s:c r="C20081" s="19" t="n"/>
      <s:c r="D20081" s="19" t="n"/>
      <s:c r="E20081" s="19" t="n"/>
    </s:row>
    <s:row r="20082" hidden="1" ht="1" customHeight="1">
      <s:c r="A20082" s="83" t="inlineStr">
        <s:is>
          <s:t>BLOCKED</s:t>
        </s:is>
      </s:c>
      <s:c r="B20082" s="83">
        <s:f>SUM(IF(EXACT('Kiểm thử'!E19980,"Bị chặn"),1,0),IF(EXACT('Kiểm thử'!E19982,"Bị chặn"),1,0))</s:f>
        <s:v/>
      </s:c>
      <s:c r="C20082" s="19" t="n"/>
      <s:c r="D20082" s="19" t="n"/>
      <s:c r="E20082" s="19" t="n"/>
    </s:row>
    <s:row r="20083" hidden="1" ht="1" customHeight="1">
      <s:c r="A20083" s="83" t="inlineStr">
        <s:is>
          <s:t>SKIPPED</s:t>
        </s:is>
      </s:c>
      <s:c r="B20083" s="83">
        <s:f>SUM(IF(EXACT('Kiểm thử'!E19980,"Không thực hiện"),1,0),IF(EXACT('Kiểm thử'!E19982,"Không thực hiện"),1,0))</s:f>
        <s:v/>
      </s:c>
      <s:c r="C20083" s="19" t="n"/>
      <s:c r="D20083" s="19" t="n"/>
      <s:c r="E20083" s="19" t="n"/>
    </s:row>
    <s:row r="20084" hidden="1" ht="1" customHeight="1">
      <s:c r="A20084" s="83" t="inlineStr">
        <s:is>
          <s:t>NOT RUN</s:t>
        </s:is>
      </s:c>
      <s:c r="B20084" s="83">
        <s:f>SUM(IF(EXACT('Kiểm thử'!E19980,"Chưa thực hiện"),1,0),IF(EXACT('Kiểm thử'!E19982,"Chưa thực hiện"),1,0))</s:f>
        <s:v/>
      </s:c>
      <s:c r="C20084" s="19" t="n"/>
      <s:c r="D20084" s="19" t="n"/>
      <s:c r="E20084" s="19" t="n"/>
    </s:row>
    <s:row r="20085" hidden="1" ht="6" customHeight="1">
      <s:c r="A20085" s="83" t="inlineStr"/>
      <s:c r="B20085" s="19" t="n"/>
      <s:c r="C20085" s="19" t="n"/>
      <s:c r="D20085" s="19" t="n"/>
      <s:c r="E20085" s="19" t="n"/>
    </s:row>
    <s:row r="20086" ht="28" customHeight="1">
      <s:c r="A20086" s="108" t="inlineStr">
        <s:is>
          <s:t>TC-RS-REG-010 — PDF phiếu: bố cục template không đổi khi có dấu đỏ</s:t>
        </s:is>
      </s:c>
      <s:c r="B20086" s="111" t="n"/>
      <s:c r="C20086" s="111" t="n"/>
      <s:c r="D20086" s="111" t="n"/>
      <s:c r="E20086" s="111" t="n"/>
    </s:row>
    <s:row r="20087" ht="20" customHeight="1">
      <s:c r="A20087" s="112" t="inlineStr">
        <s:is>
          <s:t>Kết quả tình huống</s:t>
        </s:is>
      </s:c>
      <s:c r="B20087" s="113">
        <s:f>IF(SUM(IF(EXACT('Kiểm thử'!E20094,"Không đạt"),1,0))&gt;0,"Không đạt",IF(SUM(IF(EXACT('Kiểm thử'!E20094,"Đạt"),1,0))=1,"Đạt",IF(SUM(IF(EXACT('Kiểm thử'!E20094,"Không thực hiện"),1,0))=1,"Không thực hiện",IF(SUM(IF(EXACT('Kiểm thử'!E20094,"Bị chặn"),1,0))&gt;0,"Bị chặn",IF(SUM(IF(EXACT('Kiểm thử'!E20094,"Chưa thực hiện"),1,0))=1,"Chưa thực hiện","Đang thực hiện")))))</s:f>
        <s:v/>
      </s:c>
      <s:c r="C20087" s="114" t="n"/>
      <s:c r="D20087" s="114" t="n"/>
      <s:c r="E20087" s="114" t="n"/>
    </s:row>
    <s:row r="20088" ht="20" customHeight="1">
      <s:c r="A20088" s="112" t="inlineStr">
        <s:is>
          <s:t>Màn hình / chức năng</s:t>
        </s:is>
      </s:c>
      <s:c r="B20088" s="113" t="inlineStr">
        <s:is>
          <s:r>
            <s:rPr>
              <s:b val="1"/>
            </s:rPr>
            <s:t>Công cụ phiếu điểm（通知表ツール）</s:t>
          </s:r>
        </s:is>
      </s:c>
      <s:c r="C20088" s="28" t="n"/>
      <s:c r="D20088" s="28" t="n"/>
      <s:c r="E20088" s="28" t="n"/>
    </s:row>
    <s:row r="20089" ht="48" customHeight="1">
      <s:c r="A20089" s="112" t="inlineStr">
        <s:is>
          <s:t>Cấu hình</s:t>
        </s:is>
      </s:c>
      <s:c r="B20089" s="113" t="inlineStr">
        <s:is>
          <s:t>• Cấu hình phiếu điểm: ký tự “※” phía trước với ký tự [※];
• Ô hẹp nhất của template chứa điểm 3 chữ số (ví dụ 100 nếu có quy tắc [≤100], hoặc 29.5 cho mục thập phân).</s:t>
        </s:is>
      </s:c>
      <s:c r="C20089" s="28" t="n"/>
      <s:c r="D20089" s="28" t="n"/>
      <s:c r="E20089" s="28" t="n"/>
    </s:row>
    <s:row r="20090" ht="34" customHeight="1">
      <s:c r="A20090" s="112" t="inlineStr">
        <s:is>
          <s:t>Dữ liệu test</s:t>
        </s:is>
      </s:c>
      <s:c r="B20090" s="113" t="inlineStr">
        <s:is>
          <s:t>• Cấu hình phiếu điểm: ký tự “※” phía trước;
• Học sinh S01 (điểm 29), học sinh S09 (mục số thập phân 29.5)</s:t>
        </s:is>
      </s:c>
      <s:c r="C20090" s="28" t="n"/>
      <s:c r="D20090" s="28" t="n"/>
      <s:c r="E20090" s="28" t="n"/>
    </s:row>
    <s:row r="20091" ht="20" customHeight="1">
      <s:c r="A20091" s="112" t="inlineStr">
        <s:is>
          <s:t>•</s:t>
        </s:is>
      </s:c>
      <s:c r="B20091" s="113" t="inlineStr">
        <s:is>
          <s:t>Xuất PDF; so với baseline.</s:t>
        </s:is>
      </s:c>
      <s:c r="C20091" s="28" t="n"/>
      <s:c r="D20091" s="28" t="n"/>
      <s:c r="E20091" s="28" t="n"/>
    </s:row>
    <s:row r="20092" ht="28" customHeight="1">
      <s:c r="A20092" s="115" t="inlineStr">
        <s:is>
          <s:t>Trường hợp</s:t>
        </s:is>
      </s:c>
      <s:c r="B20092" s="115" t="inlineStr">
        <s:is>
          <s:t>Dữ liệu / thao tác riêng</s:t>
        </s:is>
      </s:c>
      <s:c r="C20092" s="115" t="inlineStr">
        <s:is>
          <s:t>Kết quả mong đợi</s:t>
        </s:is>
      </s:c>
      <s:c r="D20092" s="115" t="inlineStr">
        <s:is>
          <s:t>Kết quả thực tế</s:t>
        </s:is>
      </s:c>
      <s:c r="E20092" s="115" t="inlineStr">
        <s:is>
          <s:t>Đánh giá</s:t>
        </s:is>
      </s:c>
    </s:row>
    <s:row r="20093" ht="3" customHeight="1">
      <s:c r="A20093" s="102" t="inlineStr"/>
      <s:c r="B20093" s="99" t="n"/>
      <s:c r="C20093" s="99" t="n"/>
      <s:c r="D20093" s="116" t="n"/>
      <s:c r="E20093" s="116" t="n"/>
    </s:row>
    <s:row r="20094" ht="62" customHeight="1">
      <s:c r="A20094" s="83" t="inlineStr">
        <s:is>
          <s:t>Trường hợp cơ bản (Base)</s:t>
        </s:is>
      </s:c>
      <s:c r="B20094" s="83" t="inlineStr">
        <s:is>
          <s:t>Toàn bộ tình huống: Thực hiện đủ các bước chung theo thứ tự; kiểm cả đối tượng đích và đối chứng cùng fixture, không bỏ bước.</s:t>
        </s:is>
      </s:c>
      <s:c r="C20094" s="83" t="inlineStr">
        <s:is>
          <s:t>Dấu hiển thị đủ trong ô; không mất ký tự, không nền đỏ; các phần khác bằng baseline.</s:t>
        </s:is>
      </s:c>
      <s:c r="D20094" s="117" t="inlineStr"/>
      <s:c r="E20094" s="118" t="inlineStr">
        <s:is>
          <s:t>Chưa thực hiện</s:t>
        </s:is>
      </s:c>
    </s:row>
    <s:row r="20095" ht="20" customHeight="1">
      <s:c r="A20095" s="119" t="inlineStr">
        <s:is>
          <s:t>Ảnh minh chứng — Chưa có ảnh</s:t>
        </s:is>
      </s:c>
      <s:c r="B20095" s="19" t="n"/>
      <s:c r="C20095" s="19" t="n"/>
      <s:c r="D20095" s="19" t="n"/>
      <s:c r="E20095" s="19" t="n"/>
    </s:row>
    <s:row r="20096" hidden="1" ht="1" customHeight="1">
      <s:c r="A20096" s="120" t="inlineStr"/>
      <s:c r="B20096" s="121" t="n"/>
      <s:c r="C20096" s="121" t="n"/>
      <s:c r="D20096" s="121" t="n"/>
      <s:c r="E20096" s="122" t="n"/>
    </s:row>
    <s:row r="20097" hidden="1" ht="1" customHeight="1">
      <s:c r="A20097" s="120" t="inlineStr"/>
      <s:c r="B20097" s="121" t="n"/>
      <s:c r="C20097" s="121" t="n"/>
      <s:c r="D20097" s="121" t="n"/>
      <s:c r="E20097" s="122" t="n"/>
    </s:row>
    <s:row r="20098" hidden="1" ht="1" customHeight="1">
      <s:c r="A20098" s="120" t="inlineStr"/>
      <s:c r="B20098" s="121" t="n"/>
      <s:c r="C20098" s="121" t="n"/>
      <s:c r="D20098" s="121" t="n"/>
      <s:c r="E20098" s="122" t="n"/>
    </s:row>
    <s:row r="20099" hidden="1" ht="1" customHeight="1">
      <s:c r="A20099" s="120" t="inlineStr"/>
      <s:c r="B20099" s="121" t="n"/>
      <s:c r="C20099" s="121" t="n"/>
      <s:c r="D20099" s="121" t="n"/>
      <s:c r="E20099" s="122" t="n"/>
    </s:row>
    <s:row r="20100" hidden="1" ht="1" customHeight="1">
      <s:c r="A20100" s="120" t="inlineStr"/>
      <s:c r="B20100" s="121" t="n"/>
      <s:c r="C20100" s="121" t="n"/>
      <s:c r="D20100" s="121" t="n"/>
      <s:c r="E20100" s="122" t="n"/>
    </s:row>
    <s:row r="20101" hidden="1" ht="1" customHeight="1">
      <s:c r="A20101" s="120" t="inlineStr"/>
      <s:c r="B20101" s="121" t="n"/>
      <s:c r="C20101" s="121" t="n"/>
      <s:c r="D20101" s="121" t="n"/>
      <s:c r="E20101" s="122" t="n"/>
    </s:row>
    <s:row r="20102" hidden="1" ht="1" customHeight="1">
      <s:c r="A20102" s="120" t="inlineStr"/>
      <s:c r="B20102" s="121" t="n"/>
      <s:c r="C20102" s="121" t="n"/>
      <s:c r="D20102" s="121" t="n"/>
      <s:c r="E20102" s="122" t="n"/>
    </s:row>
    <s:row r="20103" hidden="1" ht="1" customHeight="1">
      <s:c r="A20103" s="120" t="inlineStr"/>
      <s:c r="B20103" s="121" t="n"/>
      <s:c r="C20103" s="121" t="n"/>
      <s:c r="D20103" s="121" t="n"/>
      <s:c r="E20103" s="122" t="n"/>
    </s:row>
    <s:row r="20104" hidden="1" ht="1" customHeight="1">
      <s:c r="A20104" s="120" t="inlineStr"/>
      <s:c r="B20104" s="121" t="n"/>
      <s:c r="C20104" s="121" t="n"/>
      <s:c r="D20104" s="121" t="n"/>
      <s:c r="E20104" s="122" t="n"/>
    </s:row>
    <s:row r="20105" hidden="1" ht="1" customHeight="1">
      <s:c r="A20105" s="120" t="inlineStr"/>
      <s:c r="B20105" s="121" t="n"/>
      <s:c r="C20105" s="121" t="n"/>
      <s:c r="D20105" s="121" t="n"/>
      <s:c r="E20105" s="122" t="n"/>
    </s:row>
    <s:row r="20106" hidden="1" ht="1" customHeight="1">
      <s:c r="A20106" s="120" t="inlineStr"/>
      <s:c r="B20106" s="121" t="n"/>
      <s:c r="C20106" s="121" t="n"/>
      <s:c r="D20106" s="121" t="n"/>
      <s:c r="E20106" s="122" t="n"/>
    </s:row>
    <s:row r="20107" hidden="1" ht="1" customHeight="1">
      <s:c r="A20107" s="120" t="inlineStr"/>
      <s:c r="B20107" s="121" t="n"/>
      <s:c r="C20107" s="121" t="n"/>
      <s:c r="D20107" s="121" t="n"/>
      <s:c r="E20107" s="122" t="n"/>
    </s:row>
    <s:row r="20108" hidden="1" ht="1" customHeight="1">
      <s:c r="A20108" s="120" t="inlineStr"/>
      <s:c r="B20108" s="121" t="n"/>
      <s:c r="C20108" s="121" t="n"/>
      <s:c r="D20108" s="121" t="n"/>
      <s:c r="E20108" s="122" t="n"/>
    </s:row>
    <s:row r="20109" hidden="1" ht="1" customHeight="1">
      <s:c r="A20109" s="120" t="inlineStr"/>
      <s:c r="B20109" s="121" t="n"/>
      <s:c r="C20109" s="121" t="n"/>
      <s:c r="D20109" s="121" t="n"/>
      <s:c r="E20109" s="122" t="n"/>
    </s:row>
    <s:row r="20110" hidden="1" ht="1" customHeight="1">
      <s:c r="A20110" s="120" t="inlineStr"/>
      <s:c r="B20110" s="121" t="n"/>
      <s:c r="C20110" s="121" t="n"/>
      <s:c r="D20110" s="121" t="n"/>
      <s:c r="E20110" s="122" t="n"/>
    </s:row>
    <s:row r="20111" hidden="1" ht="1" customHeight="1">
      <s:c r="A20111" s="120" t="inlineStr"/>
      <s:c r="B20111" s="121" t="n"/>
      <s:c r="C20111" s="121" t="n"/>
      <s:c r="D20111" s="121" t="n"/>
      <s:c r="E20111" s="122" t="n"/>
    </s:row>
    <s:row r="20112" hidden="1" ht="1" customHeight="1">
      <s:c r="A20112" s="120" t="inlineStr"/>
      <s:c r="B20112" s="121" t="n"/>
      <s:c r="C20112" s="121" t="n"/>
      <s:c r="D20112" s="121" t="n"/>
      <s:c r="E20112" s="122" t="n"/>
    </s:row>
    <s:row r="20113" hidden="1" ht="1" customHeight="1">
      <s:c r="A20113" s="120" t="inlineStr"/>
      <s:c r="B20113" s="121" t="n"/>
      <s:c r="C20113" s="121" t="n"/>
      <s:c r="D20113" s="121" t="n"/>
      <s:c r="E20113" s="122" t="n"/>
    </s:row>
    <s:row r="20114" hidden="1" ht="1" customHeight="1">
      <s:c r="A20114" s="120" t="inlineStr"/>
      <s:c r="B20114" s="121" t="n"/>
      <s:c r="C20114" s="121" t="n"/>
      <s:c r="D20114" s="121" t="n"/>
      <s:c r="E20114" s="122" t="n"/>
    </s:row>
    <s:row r="20115" hidden="1" ht="1" customHeight="1">
      <s:c r="A20115" s="120" t="inlineStr"/>
      <s:c r="B20115" s="121" t="n"/>
      <s:c r="C20115" s="121" t="n"/>
      <s:c r="D20115" s="121" t="n"/>
      <s:c r="E20115" s="122" t="n"/>
    </s:row>
    <s:row r="20116" hidden="1" ht="1" customHeight="1">
      <s:c r="A20116" s="120" t="inlineStr"/>
      <s:c r="B20116" s="121" t="n"/>
      <s:c r="C20116" s="121" t="n"/>
      <s:c r="D20116" s="121" t="n"/>
      <s:c r="E20116" s="122" t="n"/>
    </s:row>
    <s:row r="20117" hidden="1" ht="1" customHeight="1">
      <s:c r="A20117" s="120" t="inlineStr"/>
      <s:c r="B20117" s="121" t="n"/>
      <s:c r="C20117" s="121" t="n"/>
      <s:c r="D20117" s="121" t="n"/>
      <s:c r="E20117" s="122" t="n"/>
    </s:row>
    <s:row r="20118" hidden="1" ht="1" customHeight="1">
      <s:c r="A20118" s="120" t="inlineStr"/>
      <s:c r="B20118" s="121" t="n"/>
      <s:c r="C20118" s="121" t="n"/>
      <s:c r="D20118" s="121" t="n"/>
      <s:c r="E20118" s="122" t="n"/>
    </s:row>
    <s:row r="20119" hidden="1" ht="1" customHeight="1">
      <s:c r="A20119" s="120" t="inlineStr"/>
      <s:c r="B20119" s="121" t="n"/>
      <s:c r="C20119" s="121" t="n"/>
      <s:c r="D20119" s="121" t="n"/>
      <s:c r="E20119" s="122" t="n"/>
    </s:row>
    <s:row r="20120" hidden="1" ht="1" customHeight="1">
      <s:c r="A20120" s="120" t="inlineStr"/>
      <s:c r="B20120" s="121" t="n"/>
      <s:c r="C20120" s="121" t="n"/>
      <s:c r="D20120" s="121" t="n"/>
      <s:c r="E20120" s="122" t="n"/>
    </s:row>
    <s:row r="20121" hidden="1" ht="1" customHeight="1">
      <s:c r="A20121" s="120" t="inlineStr"/>
      <s:c r="B20121" s="121" t="n"/>
      <s:c r="C20121" s="121" t="n"/>
      <s:c r="D20121" s="121" t="n"/>
      <s:c r="E20121" s="122" t="n"/>
    </s:row>
    <s:row r="20122" hidden="1" ht="1" customHeight="1">
      <s:c r="A20122" s="120" t="inlineStr"/>
      <s:c r="B20122" s="121" t="n"/>
      <s:c r="C20122" s="121" t="n"/>
      <s:c r="D20122" s="121" t="n"/>
      <s:c r="E20122" s="122" t="n"/>
    </s:row>
    <s:row r="20123" hidden="1" ht="1" customHeight="1">
      <s:c r="A20123" s="120" t="inlineStr"/>
      <s:c r="B20123" s="121" t="n"/>
      <s:c r="C20123" s="121" t="n"/>
      <s:c r="D20123" s="121" t="n"/>
      <s:c r="E20123" s="122" t="n"/>
    </s:row>
    <s:row r="20124" hidden="1" ht="1" customHeight="1">
      <s:c r="A20124" s="120" t="inlineStr"/>
      <s:c r="B20124" s="121" t="n"/>
      <s:c r="C20124" s="121" t="n"/>
      <s:c r="D20124" s="121" t="n"/>
      <s:c r="E20124" s="122" t="n"/>
    </s:row>
    <s:row r="20125" hidden="1" ht="1" customHeight="1">
      <s:c r="A20125" s="120" t="inlineStr"/>
      <s:c r="B20125" s="121" t="n"/>
      <s:c r="C20125" s="121" t="n"/>
      <s:c r="D20125" s="121" t="n"/>
      <s:c r="E20125" s="122" t="n"/>
    </s:row>
    <s:row r="20126" hidden="1" ht="1" customHeight="1">
      <s:c r="A20126" s="120" t="inlineStr"/>
      <s:c r="B20126" s="121" t="n"/>
      <s:c r="C20126" s="121" t="n"/>
      <s:c r="D20126" s="121" t="n"/>
      <s:c r="E20126" s="122" t="n"/>
    </s:row>
    <s:row r="20127" hidden="1" ht="1" customHeight="1">
      <s:c r="A20127" s="120" t="inlineStr"/>
      <s:c r="B20127" s="121" t="n"/>
      <s:c r="C20127" s="121" t="n"/>
      <s:c r="D20127" s="121" t="n"/>
      <s:c r="E20127" s="122" t="n"/>
    </s:row>
    <s:row r="20128" hidden="1" ht="1" customHeight="1">
      <s:c r="A20128" s="120" t="inlineStr"/>
      <s:c r="B20128" s="121" t="n"/>
      <s:c r="C20128" s="121" t="n"/>
      <s:c r="D20128" s="121" t="n"/>
      <s:c r="E20128" s="122" t="n"/>
    </s:row>
    <s:row r="20129" hidden="1" ht="1" customHeight="1">
      <s:c r="A20129" s="120" t="inlineStr"/>
      <s:c r="B20129" s="121" t="n"/>
      <s:c r="C20129" s="121" t="n"/>
      <s:c r="D20129" s="121" t="n"/>
      <s:c r="E20129" s="122" t="n"/>
    </s:row>
    <s:row r="20130" hidden="1" ht="1" customHeight="1">
      <s:c r="A20130" s="120" t="inlineStr"/>
      <s:c r="B20130" s="121" t="n"/>
      <s:c r="C20130" s="121" t="n"/>
      <s:c r="D20130" s="121" t="n"/>
      <s:c r="E20130" s="122" t="n"/>
    </s:row>
    <s:row r="20131" hidden="1" ht="1" customHeight="1">
      <s:c r="A20131" s="120" t="inlineStr"/>
      <s:c r="B20131" s="121" t="n"/>
      <s:c r="C20131" s="121" t="n"/>
      <s:c r="D20131" s="121" t="n"/>
      <s:c r="E20131" s="122" t="n"/>
    </s:row>
    <s:row r="20132" hidden="1" ht="1" customHeight="1">
      <s:c r="A20132" s="120" t="inlineStr"/>
      <s:c r="B20132" s="121" t="n"/>
      <s:c r="C20132" s="121" t="n"/>
      <s:c r="D20132" s="121" t="n"/>
      <s:c r="E20132" s="122" t="n"/>
    </s:row>
    <s:row r="20133" hidden="1" ht="1" customHeight="1">
      <s:c r="A20133" s="120" t="inlineStr"/>
      <s:c r="B20133" s="121" t="n"/>
      <s:c r="C20133" s="121" t="n"/>
      <s:c r="D20133" s="121" t="n"/>
      <s:c r="E20133" s="122" t="n"/>
    </s:row>
    <s:row r="20134" hidden="1" ht="1" customHeight="1">
      <s:c r="A20134" s="120" t="inlineStr"/>
      <s:c r="B20134" s="121" t="n"/>
      <s:c r="C20134" s="121" t="n"/>
      <s:c r="D20134" s="121" t="n"/>
      <s:c r="E20134" s="122" t="n"/>
    </s:row>
    <s:row r="20135" hidden="1" ht="1" customHeight="1">
      <s:c r="A20135" s="120" t="inlineStr"/>
      <s:c r="B20135" s="121" t="n"/>
      <s:c r="C20135" s="121" t="n"/>
      <s:c r="D20135" s="121" t="n"/>
      <s:c r="E20135" s="122" t="n"/>
    </s:row>
    <s:row r="20136" hidden="1" ht="1" customHeight="1">
      <s:c r="A20136" s="120" t="inlineStr"/>
      <s:c r="B20136" s="121" t="n"/>
      <s:c r="C20136" s="121" t="n"/>
      <s:c r="D20136" s="121" t="n"/>
      <s:c r="E20136" s="122" t="n"/>
    </s:row>
    <s:row r="20137" hidden="1" ht="1" customHeight="1">
      <s:c r="A20137" s="120" t="inlineStr"/>
      <s:c r="B20137" s="121" t="n"/>
      <s:c r="C20137" s="121" t="n"/>
      <s:c r="D20137" s="121" t="n"/>
      <s:c r="E20137" s="122" t="n"/>
    </s:row>
    <s:row r="20138" hidden="1" ht="1" customHeight="1">
      <s:c r="A20138" s="120" t="inlineStr"/>
      <s:c r="B20138" s="121" t="n"/>
      <s:c r="C20138" s="121" t="n"/>
      <s:c r="D20138" s="121" t="n"/>
      <s:c r="E20138" s="122" t="n"/>
    </s:row>
    <s:row r="20139" hidden="1" ht="1" customHeight="1">
      <s:c r="A20139" s="120" t="inlineStr"/>
      <s:c r="B20139" s="121" t="n"/>
      <s:c r="C20139" s="121" t="n"/>
      <s:c r="D20139" s="121" t="n"/>
      <s:c r="E20139" s="122" t="n"/>
    </s:row>
    <s:row r="20140" hidden="1" ht="1" customHeight="1">
      <s:c r="A20140" s="120" t="inlineStr"/>
      <s:c r="B20140" s="121" t="n"/>
      <s:c r="C20140" s="121" t="n"/>
      <s:c r="D20140" s="121" t="n"/>
      <s:c r="E20140" s="122" t="n"/>
    </s:row>
    <s:row r="20141" hidden="1" ht="1" customHeight="1">
      <s:c r="A20141" s="120" t="inlineStr"/>
      <s:c r="B20141" s="121" t="n"/>
      <s:c r="C20141" s="121" t="n"/>
      <s:c r="D20141" s="121" t="n"/>
      <s:c r="E20141" s="122" t="n"/>
    </s:row>
    <s:row r="20142" hidden="1" ht="1" customHeight="1">
      <s:c r="A20142" s="120" t="inlineStr"/>
      <s:c r="B20142" s="121" t="n"/>
      <s:c r="C20142" s="121" t="n"/>
      <s:c r="D20142" s="121" t="n"/>
      <s:c r="E20142" s="122" t="n"/>
    </s:row>
    <s:row r="20143" hidden="1" ht="1" customHeight="1">
      <s:c r="A20143" s="120" t="inlineStr"/>
      <s:c r="B20143" s="121" t="n"/>
      <s:c r="C20143" s="121" t="n"/>
      <s:c r="D20143" s="121" t="n"/>
      <s:c r="E20143" s="122" t="n"/>
    </s:row>
    <s:row r="20144" hidden="1" ht="1" customHeight="1">
      <s:c r="A20144" s="83" t="inlineStr">
        <s:is>
          <s:t>PASS</s:t>
        </s:is>
      </s:c>
      <s:c r="B20144" s="83">
        <s:f>SUM(IF(EXACT('Kiểm thử'!E20094,"Đạt"),1,0))</s:f>
        <s:v/>
      </s:c>
      <s:c r="C20144" s="19" t="n"/>
      <s:c r="D20144" s="19" t="n"/>
      <s:c r="E20144" s="19" t="n"/>
    </s:row>
    <s:row r="20145" hidden="1" ht="1" customHeight="1">
      <s:c r="A20145" s="83" t="inlineStr">
        <s:is>
          <s:t>FAIL</s:t>
        </s:is>
      </s:c>
      <s:c r="B20145" s="83">
        <s:f>SUM(IF(EXACT('Kiểm thử'!E20094,"Không đạt"),1,0))</s:f>
        <s:v/>
      </s:c>
      <s:c r="C20145" s="19" t="n"/>
      <s:c r="D20145" s="19" t="n"/>
      <s:c r="E20145" s="19" t="n"/>
    </s:row>
    <s:row r="20146" hidden="1" ht="1" customHeight="1">
      <s:c r="A20146" s="83" t="inlineStr">
        <s:is>
          <s:t>BLOCKED</s:t>
        </s:is>
      </s:c>
      <s:c r="B20146" s="83">
        <s:f>SUM(IF(EXACT('Kiểm thử'!E20094,"Bị chặn"),1,0))</s:f>
        <s:v/>
      </s:c>
      <s:c r="C20146" s="19" t="n"/>
      <s:c r="D20146" s="19" t="n"/>
      <s:c r="E20146" s="19" t="n"/>
    </s:row>
    <s:row r="20147" hidden="1" ht="1" customHeight="1">
      <s:c r="A20147" s="83" t="inlineStr">
        <s:is>
          <s:t>SKIPPED</s:t>
        </s:is>
      </s:c>
      <s:c r="B20147" s="83">
        <s:f>SUM(IF(EXACT('Kiểm thử'!E20094,"Không thực hiện"),1,0))</s:f>
        <s:v/>
      </s:c>
      <s:c r="C20147" s="19" t="n"/>
      <s:c r="D20147" s="19" t="n"/>
      <s:c r="E20147" s="19" t="n"/>
    </s:row>
    <s:row r="20148" hidden="1" ht="1" customHeight="1">
      <s:c r="A20148" s="83" t="inlineStr">
        <s:is>
          <s:t>NOT RUN</s:t>
        </s:is>
      </s:c>
      <s:c r="B20148" s="83">
        <s:f>SUM(IF(EXACT('Kiểm thử'!E20094,"Chưa thực hiện"),1,0))</s:f>
        <s:v/>
      </s:c>
      <s:c r="C20148" s="19" t="n"/>
      <s:c r="D20148" s="19" t="n"/>
      <s:c r="E20148" s="19" t="n"/>
    </s:row>
    <s:row r="20149" hidden="1" ht="6" customHeight="1">
      <s:c r="A20149" s="83" t="inlineStr"/>
      <s:c r="B20149" s="19" t="n"/>
      <s:c r="C20149" s="19" t="n"/>
      <s:c r="D20149" s="19" t="n"/>
      <s:c r="E20149" s="19" t="n"/>
    </s:row>
    <s:row r="20150" ht="28" customHeight="1">
      <s:c r="A20150" s="108" t="inlineStr">
        <s:is>
          <s:t>TC-RS-FUNC-032 — Ba đầu ra dùng cùng kết quả cho cùng ô</s:t>
        </s:is>
      </s:c>
      <s:c r="B20150" s="111" t="n"/>
      <s:c r="C20150" s="111" t="n"/>
      <s:c r="D20150" s="111" t="n"/>
      <s:c r="E20150" s="111" t="n"/>
    </s:row>
    <s:row r="20151" ht="20" customHeight="1">
      <s:c r="A20151" s="112" t="inlineStr">
        <s:is>
          <s:t>Kết quả tình huống</s:t>
        </s:is>
      </s:c>
      <s:c r="B20151" s="113">
        <s:f>IF(SUM(IF(EXACT('Kiểm thử'!E20160,"Không đạt"),1,0),IF(EXACT('Kiểm thử'!E20162,"Không đạt"),1,0),IF(EXACT('Kiểm thử'!E20164,"Không đạt"),1,0),IF(EXACT('Kiểm thử'!E20166,"Không đạt"),1,0))&gt;0,"Không đạt",IF(SUM(IF(EXACT('Kiểm thử'!E20160,"Đạt"),1,0),IF(EXACT('Kiểm thử'!E20162,"Đạt"),1,0),IF(EXACT('Kiểm thử'!E20164,"Đạt"),1,0),IF(EXACT('Kiểm thử'!E20166,"Đạt"),1,0))=4,"Đạt",IF(SUM(IF(EXACT('Kiểm thử'!E20160,"Không thực hiện"),1,0),IF(EXACT('Kiểm thử'!E20162,"Không thực hiện"),1,0),IF(EXACT('Kiểm thử'!E20164,"Không thực hiện"),1,0),IF(EXACT('Kiểm thử'!E20166,"Không thực hiện"),1,0))=4,"Không thực hiện",IF(SUM(IF(EXACT('Kiểm thử'!E20160,"Bị chặn"),1,0),IF(EXACT('Kiểm thử'!E20162,"Bị chặn"),1,0),IF(EXACT('Kiểm thử'!E20164,"Bị chặn"),1,0),IF(EXACT('Kiểm thử'!E20166,"Bị chặn"),1,0))&gt;0,"Bị chặn",IF(SUM(IF(EXACT('Kiểm thử'!E20160,"Chưa thực hiện"),1,0),IF(EXACT('Kiểm thử'!E20162,"Chưa thực hiện"),1,0),IF(EXACT('Kiểm thử'!E20164,"Chưa thực hiện"),1,0),IF(EXACT('Kiểm thử'!E20166,"Chưa thực hiện"),1,0))=4,"Chưa thực hiện","Đang thực hiện")))))</s:f>
        <s:v/>
      </s:c>
      <s:c r="C20151" s="114" t="n"/>
      <s:c r="D20151" s="114" t="n"/>
      <s:c r="E20151" s="114" t="n"/>
    </s:row>
    <s:row r="20152" ht="20" customHeight="1">
      <s:c r="A20152" s="112" t="inlineStr">
        <s:is>
          <s:t>Màn hình / chức năng</s:t>
        </s:is>
      </s:c>
      <s:c r="B20152" s="113" t="inlineStr">
        <s:is>
          <s:t>Kết quả dùng chung</s:t>
        </s:is>
      </s:c>
      <s:c r="C20152" s="28" t="n"/>
      <s:c r="D20152" s="28" t="n"/>
      <s:c r="E20152" s="28" t="n"/>
    </s:row>
    <s:row r="20153" ht="34" customHeight="1">
      <s:c r="A20153" s="112" t="inlineStr">
        <s:is>
          <s:t>Cấu hình</s:t>
        </s:is>
      </s:c>
      <s:c r="B20153" s="113" t="inlineStr">
        <s:is>
          <s:t>• Cùng một lượt xét đã lưu kết quả S01 Đỏ, S03 Không đỏ, S05 Không có điểm;
• Actor có quyền xem trích xuất, công khai và phiếu điểm.</s:t>
        </s:is>
      </s:c>
      <s:c r="C20153" s="28" t="n"/>
      <s:c r="D20153" s="28" t="n"/>
      <s:c r="E20153" s="28" t="n"/>
    </s:row>
    <s:row r="20154" ht="62" customHeight="1">
      <s:c r="A20154" s="112" t="inlineStr">
        <s:is>
          <s:t>Dữ liệu test</s:t>
        </s:is>
      </s:c>
      <s:c r="B20154" s="113" t="inlineStr">
        <s:is>
          <s:r>
            <s:t>• S01 [</s:t>
          </s:r>
          <s:r>
            <s:rPr>
              <s:b val="1"/>
            </s:rPr>
            <s:t>S=29</s:t>
          </s:r>
          <s:r>
            <s:t>], S03 [</s:t>
          </s:r>
          <s:r>
            <s:rPr>
              <s:b val="1"/>
            </s:rPr>
            <s:t>S=31</s:t>
          </s:r>
          <s:r>
            <s:t>], S05 ô trống;
• Cấu hình trích xuất lọc + “*” + tô màu;
• Công khai “*”;
• Phiếu điểm “※”.</s:t>
          </s:r>
        </s:is>
      </s:c>
      <s:c r="C20154" s="28" t="n"/>
      <s:c r="D20154" s="28" t="n"/>
      <s:c r="E20154" s="28" t="n"/>
    </s:row>
    <s:row r="20155" ht="20" customHeight="1">
      <s:c r="A20155" s="112" t="inlineStr">
        <s:is>
          <s:t>Bước 1</s:t>
        </s:is>
      </s:c>
      <s:c r="B20155" s="113" t="inlineStr">
        <s:is>
          <s:t>Xác minh cùng lượt xét đã lưu S01 Đỏ, S03 Không đỏ, S05 Không có điểm và quyền xem các đầu ra.</s:t>
        </s:is>
      </s:c>
      <s:c r="C20155" s="28" t="n"/>
      <s:c r="D20155" s="28" t="n"/>
      <s:c r="E20155" s="28" t="n"/>
    </s:row>
    <s:row r="20156" ht="20" customHeight="1">
      <s:c r="A20156" s="112" t="inlineStr">
        <s:is>
          <s:t>Bước 2</s:t>
        </s:is>
      </s:c>
      <s:c r="B20156" s="113" t="inlineStr">
        <s:is>
          <s:t>Xem/xuất qua kênh của trường hợp, không loại S03/S05 khỏi fixture trước khi kiểm.</s:t>
        </s:is>
      </s:c>
      <s:c r="C20156" s="28" t="n"/>
      <s:c r="D20156" s="28" t="n"/>
      <s:c r="E20156" s="28" t="n"/>
    </s:row>
    <s:row r="20157" ht="20" customHeight="1">
      <s:c r="A20157" s="112" t="inlineStr">
        <s:is>
          <s:t>Bước 3</s:t>
        </s:is>
      </s:c>
      <s:c r="B20157" s="113" t="inlineStr">
        <s:is>
          <s:t>Đối chiếu điểm, trạng thái và kết quả đã lưu trước/sau chỉ xem/xuất; không tự tính lại rule/ngưỡng.</s:t>
        </s:is>
      </s:c>
      <s:c r="C20157" s="28" t="n"/>
      <s:c r="D20157" s="28" t="n"/>
      <s:c r="E20157" s="28" t="n"/>
    </s:row>
    <s:row r="20158" ht="28" customHeight="1">
      <s:c r="A20158" s="115" t="inlineStr">
        <s:is>
          <s:t>Trường hợp</s:t>
        </s:is>
      </s:c>
      <s:c r="B20158" s="115" t="inlineStr">
        <s:is>
          <s:t>Dữ liệu / thao tác riêng</s:t>
        </s:is>
      </s:c>
      <s:c r="C20158" s="115" t="inlineStr">
        <s:is>
          <s:t>Kết quả mong đợi</s:t>
        </s:is>
      </s:c>
      <s:c r="D20158" s="115" t="inlineStr">
        <s:is>
          <s:t>Kết quả thực tế</s:t>
        </s:is>
      </s:c>
      <s:c r="E20158" s="115" t="inlineStr">
        <s:is>
          <s:t>Đánh giá</s:t>
        </s:is>
      </s:c>
    </s:row>
    <s:row r="20159" ht="3" customHeight="1">
      <s:c r="A20159" s="102" t="inlineStr"/>
      <s:c r="B20159" s="99" t="n"/>
      <s:c r="C20159" s="99" t="n"/>
      <s:c r="D20159" s="116" t="n"/>
      <s:c r="E20159" s="116" t="n"/>
    </s:row>
    <s:row r="20160" ht="118" customHeight="1">
      <s:c r="A20160" s="83" t="inlineStr">
        <s:is>
          <s:t>Trích xuất không lọc (extract-off)</s:t>
        </s:is>
      </s:c>
      <s:c r="B20160" s="83" t="inlineStr">
        <s:is>
          <s:t>Chạy lượt không lọc để S01=29 Đỏ, S03=31 Không đỏ, S05 trống đều có mặt; lưu Excel baseline và đối chiếu kết quả đã lưu.</s:t>
        </s:is>
      </s:c>
      <s:c r="C20160" s="83" t="inlineStr">
        <s:is>
          <s: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s:t>
        </s:is>
      </s:c>
      <s:c r="D20160" s="117" t="inlineStr"/>
      <s:c r="E20160" s="118" t="inlineStr">
        <s:is>
          <s:t>Chưa thực hiện</s:t>
        </s:is>
      </s:c>
    </s:row>
    <s:row r="20161" ht="3" customHeight="1">
      <s:c r="A20161" s="102" t="inlineStr"/>
      <s:c r="B20161" s="99" t="n"/>
      <s:c r="C20161" s="99" t="n"/>
      <s:c r="D20161" s="116" t="n"/>
      <s:c r="E20161" s="116" t="n"/>
    </s:row>
    <s:row r="20162" ht="118" customHeight="1">
      <s:c r="A20162" s="83" t="inlineStr">
        <s:is>
          <s:t>Trích xuất có lọc (extract-on)</s:t>
        </s:is>
      </s:c>
      <s:c r="B20162" s="83" t="inlineStr">
        <s:is>
          <s:t>Dựng baseline không lọc chứa cả S01/S03/S05; bật lọc đỏ, lưu Excel trước/sau khi xem lại, đối chiếu kết quả đã lưu.</s:t>
        </s:is>
      </s:c>
      <s:c r="C20162" s="83" t="inlineStr">
        <s:is>
          <s: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s:t>
        </s:is>
      </s:c>
      <s:c r="D20162" s="117" t="inlineStr"/>
      <s:c r="E20162" s="118" t="inlineStr">
        <s:is>
          <s:t>Chưa thực hiện</s:t>
        </s:is>
      </s:c>
    </s:row>
    <s:row r="20163" ht="3" customHeight="1">
      <s:c r="A20163" s="102" t="inlineStr"/>
      <s:c r="B20163" s="99" t="n"/>
      <s:c r="C20163" s="99" t="n"/>
      <s:c r="D20163" s="116" t="n"/>
      <s:c r="E20163" s="116" t="n"/>
    </s:row>
    <s:row r="20164" ht="118" customHeight="1">
      <s:c r="A20164" s="83" t="inlineStr">
        <s:is>
          <s:t>Công khai cùng lượt xét (publish)</s:t>
        </s:is>
      </s:c>
      <s:c r="B20164" s="83" t="inlineStr">
        <s:is>
          <s:t>Mở màn học sinh công khai của cùng kỳ/lượt xét chứa S01 Đỏ/S03 Không đỏ/S05 Không có điểm; đối chiếu kết quả đã lưu, không chỉ giao diện.</s:t>
        </s:is>
      </s:c>
      <s:c r="C20164" s="83" t="inlineStr">
        <s:is>
          <s: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s:t>
        </s:is>
      </s:c>
      <s:c r="D20164" s="117" t="inlineStr"/>
      <s:c r="E20164" s="118" t="inlineStr">
        <s:is>
          <s:t>Chưa thực hiện</s:t>
        </s:is>
      </s:c>
    </s:row>
    <s:row r="20165" ht="3" customHeight="1">
      <s:c r="A20165" s="102" t="inlineStr"/>
      <s:c r="B20165" s="99" t="n"/>
      <s:c r="C20165" s="99" t="n"/>
      <s:c r="D20165" s="116" t="n"/>
      <s:c r="E20165" s="116" t="n"/>
    </s:row>
    <s:row r="20166" ht="118" customHeight="1">
      <s:c r="A20166" s="83" t="inlineStr">
        <s:is>
          <s:t>Phiếu điểm cùng lượt xét (report)</s:t>
        </s:is>
      </s:c>
      <s:c r="B20166" s="83" t="inlineStr">
        <s:is>
          <s:t>Xuất PDF phiếu cùng học sinh/kỳ/lượt xét; đối chiếu S01 Đỏ/S03 Không đỏ/S05 Không có điểm với kết quả đã lưu.</s:t>
        </s:is>
      </s:c>
      <s:c r="C20166" s="83" t="inlineStr">
        <s:is>
          <s: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s:t>
        </s:is>
      </s:c>
      <s:c r="D20166" s="117" t="inlineStr"/>
      <s:c r="E20166" s="118" t="inlineStr">
        <s:is>
          <s:t>Chưa thực hiện</s:t>
        </s:is>
      </s:c>
    </s:row>
    <s:row r="20167" ht="20" customHeight="1">
      <s:c r="A20167" s="119" t="inlineStr">
        <s:is>
          <s:t>Ảnh minh chứng — Chưa có ảnh</s:t>
        </s:is>
      </s:c>
      <s:c r="B20167" s="19" t="n"/>
      <s:c r="C20167" s="19" t="n"/>
      <s:c r="D20167" s="19" t="n"/>
      <s:c r="E20167" s="19" t="n"/>
    </s:row>
    <s:row r="20168" hidden="1" ht="1" customHeight="1">
      <s:c r="A20168" s="120" t="inlineStr"/>
      <s:c r="B20168" s="121" t="n"/>
      <s:c r="C20168" s="121" t="n"/>
      <s:c r="D20168" s="121" t="n"/>
      <s:c r="E20168" s="122" t="n"/>
    </s:row>
    <s:row r="20169" hidden="1" ht="1" customHeight="1">
      <s:c r="A20169" s="120" t="inlineStr"/>
      <s:c r="B20169" s="121" t="n"/>
      <s:c r="C20169" s="121" t="n"/>
      <s:c r="D20169" s="121" t="n"/>
      <s:c r="E20169" s="122" t="n"/>
    </s:row>
    <s:row r="20170" hidden="1" ht="1" customHeight="1">
      <s:c r="A20170" s="120" t="inlineStr"/>
      <s:c r="B20170" s="121" t="n"/>
      <s:c r="C20170" s="121" t="n"/>
      <s:c r="D20170" s="121" t="n"/>
      <s:c r="E20170" s="122" t="n"/>
    </s:row>
    <s:row r="20171" hidden="1" ht="1" customHeight="1">
      <s:c r="A20171" s="120" t="inlineStr"/>
      <s:c r="B20171" s="121" t="n"/>
      <s:c r="C20171" s="121" t="n"/>
      <s:c r="D20171" s="121" t="n"/>
      <s:c r="E20171" s="122" t="n"/>
    </s:row>
    <s:row r="20172" hidden="1" ht="1" customHeight="1">
      <s:c r="A20172" s="120" t="inlineStr"/>
      <s:c r="B20172" s="121" t="n"/>
      <s:c r="C20172" s="121" t="n"/>
      <s:c r="D20172" s="121" t="n"/>
      <s:c r="E20172" s="122" t="n"/>
    </s:row>
    <s:row r="20173" hidden="1" ht="1" customHeight="1">
      <s:c r="A20173" s="120" t="inlineStr"/>
      <s:c r="B20173" s="121" t="n"/>
      <s:c r="C20173" s="121" t="n"/>
      <s:c r="D20173" s="121" t="n"/>
      <s:c r="E20173" s="122" t="n"/>
    </s:row>
    <s:row r="20174" hidden="1" ht="1" customHeight="1">
      <s:c r="A20174" s="120" t="inlineStr"/>
      <s:c r="B20174" s="121" t="n"/>
      <s:c r="C20174" s="121" t="n"/>
      <s:c r="D20174" s="121" t="n"/>
      <s:c r="E20174" s="122" t="n"/>
    </s:row>
    <s:row r="20175" hidden="1" ht="1" customHeight="1">
      <s:c r="A20175" s="120" t="inlineStr"/>
      <s:c r="B20175" s="121" t="n"/>
      <s:c r="C20175" s="121" t="n"/>
      <s:c r="D20175" s="121" t="n"/>
      <s:c r="E20175" s="122" t="n"/>
    </s:row>
    <s:row r="20176" hidden="1" ht="1" customHeight="1">
      <s:c r="A20176" s="120" t="inlineStr"/>
      <s:c r="B20176" s="121" t="n"/>
      <s:c r="C20176" s="121" t="n"/>
      <s:c r="D20176" s="121" t="n"/>
      <s:c r="E20176" s="122" t="n"/>
    </s:row>
    <s:row r="20177" hidden="1" ht="1" customHeight="1">
      <s:c r="A20177" s="120" t="inlineStr"/>
      <s:c r="B20177" s="121" t="n"/>
      <s:c r="C20177" s="121" t="n"/>
      <s:c r="D20177" s="121" t="n"/>
      <s:c r="E20177" s="122" t="n"/>
    </s:row>
    <s:row r="20178" hidden="1" ht="1" customHeight="1">
      <s:c r="A20178" s="120" t="inlineStr"/>
      <s:c r="B20178" s="121" t="n"/>
      <s:c r="C20178" s="121" t="n"/>
      <s:c r="D20178" s="121" t="n"/>
      <s:c r="E20178" s="122" t="n"/>
    </s:row>
    <s:row r="20179" hidden="1" ht="1" customHeight="1">
      <s:c r="A20179" s="120" t="inlineStr"/>
      <s:c r="B20179" s="121" t="n"/>
      <s:c r="C20179" s="121" t="n"/>
      <s:c r="D20179" s="121" t="n"/>
      <s:c r="E20179" s="122" t="n"/>
    </s:row>
    <s:row r="20180" hidden="1" ht="1" customHeight="1">
      <s:c r="A20180" s="120" t="inlineStr"/>
      <s:c r="B20180" s="121" t="n"/>
      <s:c r="C20180" s="121" t="n"/>
      <s:c r="D20180" s="121" t="n"/>
      <s:c r="E20180" s="122" t="n"/>
    </s:row>
    <s:row r="20181" hidden="1" ht="1" customHeight="1">
      <s:c r="A20181" s="120" t="inlineStr"/>
      <s:c r="B20181" s="121" t="n"/>
      <s:c r="C20181" s="121" t="n"/>
      <s:c r="D20181" s="121" t="n"/>
      <s:c r="E20181" s="122" t="n"/>
    </s:row>
    <s:row r="20182" hidden="1" ht="1" customHeight="1">
      <s:c r="A20182" s="120" t="inlineStr"/>
      <s:c r="B20182" s="121" t="n"/>
      <s:c r="C20182" s="121" t="n"/>
      <s:c r="D20182" s="121" t="n"/>
      <s:c r="E20182" s="122" t="n"/>
    </s:row>
    <s:row r="20183" hidden="1" ht="1" customHeight="1">
      <s:c r="A20183" s="120" t="inlineStr"/>
      <s:c r="B20183" s="121" t="n"/>
      <s:c r="C20183" s="121" t="n"/>
      <s:c r="D20183" s="121" t="n"/>
      <s:c r="E20183" s="122" t="n"/>
    </s:row>
    <s:row r="20184" hidden="1" ht="1" customHeight="1">
      <s:c r="A20184" s="120" t="inlineStr"/>
      <s:c r="B20184" s="121" t="n"/>
      <s:c r="C20184" s="121" t="n"/>
      <s:c r="D20184" s="121" t="n"/>
      <s:c r="E20184" s="122" t="n"/>
    </s:row>
    <s:row r="20185" hidden="1" ht="1" customHeight="1">
      <s:c r="A20185" s="120" t="inlineStr"/>
      <s:c r="B20185" s="121" t="n"/>
      <s:c r="C20185" s="121" t="n"/>
      <s:c r="D20185" s="121" t="n"/>
      <s:c r="E20185" s="122" t="n"/>
    </s:row>
    <s:row r="20186" hidden="1" ht="1" customHeight="1">
      <s:c r="A20186" s="120" t="inlineStr"/>
      <s:c r="B20186" s="121" t="n"/>
      <s:c r="C20186" s="121" t="n"/>
      <s:c r="D20186" s="121" t="n"/>
      <s:c r="E20186" s="122" t="n"/>
    </s:row>
    <s:row r="20187" hidden="1" ht="1" customHeight="1">
      <s:c r="A20187" s="120" t="inlineStr"/>
      <s:c r="B20187" s="121" t="n"/>
      <s:c r="C20187" s="121" t="n"/>
      <s:c r="D20187" s="121" t="n"/>
      <s:c r="E20187" s="122" t="n"/>
    </s:row>
    <s:row r="20188" hidden="1" ht="1" customHeight="1">
      <s:c r="A20188" s="120" t="inlineStr"/>
      <s:c r="B20188" s="121" t="n"/>
      <s:c r="C20188" s="121" t="n"/>
      <s:c r="D20188" s="121" t="n"/>
      <s:c r="E20188" s="122" t="n"/>
    </s:row>
    <s:row r="20189" hidden="1" ht="1" customHeight="1">
      <s:c r="A20189" s="120" t="inlineStr"/>
      <s:c r="B20189" s="121" t="n"/>
      <s:c r="C20189" s="121" t="n"/>
      <s:c r="D20189" s="121" t="n"/>
      <s:c r="E20189" s="122" t="n"/>
    </s:row>
    <s:row r="20190" hidden="1" ht="1" customHeight="1">
      <s:c r="A20190" s="120" t="inlineStr"/>
      <s:c r="B20190" s="121" t="n"/>
      <s:c r="C20190" s="121" t="n"/>
      <s:c r="D20190" s="121" t="n"/>
      <s:c r="E20190" s="122" t="n"/>
    </s:row>
    <s:row r="20191" hidden="1" ht="1" customHeight="1">
      <s:c r="A20191" s="120" t="inlineStr"/>
      <s:c r="B20191" s="121" t="n"/>
      <s:c r="C20191" s="121" t="n"/>
      <s:c r="D20191" s="121" t="n"/>
      <s:c r="E20191" s="122" t="n"/>
    </s:row>
    <s:row r="20192" hidden="1" ht="1" customHeight="1">
      <s:c r="A20192" s="120" t="inlineStr"/>
      <s:c r="B20192" s="121" t="n"/>
      <s:c r="C20192" s="121" t="n"/>
      <s:c r="D20192" s="121" t="n"/>
      <s:c r="E20192" s="122" t="n"/>
    </s:row>
    <s:row r="20193" hidden="1" ht="1" customHeight="1">
      <s:c r="A20193" s="120" t="inlineStr"/>
      <s:c r="B20193" s="121" t="n"/>
      <s:c r="C20193" s="121" t="n"/>
      <s:c r="D20193" s="121" t="n"/>
      <s:c r="E20193" s="122" t="n"/>
    </s:row>
    <s:row r="20194" hidden="1" ht="1" customHeight="1">
      <s:c r="A20194" s="120" t="inlineStr"/>
      <s:c r="B20194" s="121" t="n"/>
      <s:c r="C20194" s="121" t="n"/>
      <s:c r="D20194" s="121" t="n"/>
      <s:c r="E20194" s="122" t="n"/>
    </s:row>
    <s:row r="20195" hidden="1" ht="1" customHeight="1">
      <s:c r="A20195" s="120" t="inlineStr"/>
      <s:c r="B20195" s="121" t="n"/>
      <s:c r="C20195" s="121" t="n"/>
      <s:c r="D20195" s="121" t="n"/>
      <s:c r="E20195" s="122" t="n"/>
    </s:row>
    <s:row r="20196" hidden="1" ht="1" customHeight="1">
      <s:c r="A20196" s="120" t="inlineStr"/>
      <s:c r="B20196" s="121" t="n"/>
      <s:c r="C20196" s="121" t="n"/>
      <s:c r="D20196" s="121" t="n"/>
      <s:c r="E20196" s="122" t="n"/>
    </s:row>
    <s:row r="20197" hidden="1" ht="1" customHeight="1">
      <s:c r="A20197" s="120" t="inlineStr"/>
      <s:c r="B20197" s="121" t="n"/>
      <s:c r="C20197" s="121" t="n"/>
      <s:c r="D20197" s="121" t="n"/>
      <s:c r="E20197" s="122" t="n"/>
    </s:row>
    <s:row r="20198" hidden="1" ht="1" customHeight="1">
      <s:c r="A20198" s="120" t="inlineStr"/>
      <s:c r="B20198" s="121" t="n"/>
      <s:c r="C20198" s="121" t="n"/>
      <s:c r="D20198" s="121" t="n"/>
      <s:c r="E20198" s="122" t="n"/>
    </s:row>
    <s:row r="20199" hidden="1" ht="1" customHeight="1">
      <s:c r="A20199" s="120" t="inlineStr"/>
      <s:c r="B20199" s="121" t="n"/>
      <s:c r="C20199" s="121" t="n"/>
      <s:c r="D20199" s="121" t="n"/>
      <s:c r="E20199" s="122" t="n"/>
    </s:row>
    <s:row r="20200" hidden="1" ht="1" customHeight="1">
      <s:c r="A20200" s="120" t="inlineStr"/>
      <s:c r="B20200" s="121" t="n"/>
      <s:c r="C20200" s="121" t="n"/>
      <s:c r="D20200" s="121" t="n"/>
      <s:c r="E20200" s="122" t="n"/>
    </s:row>
    <s:row r="20201" hidden="1" ht="1" customHeight="1">
      <s:c r="A20201" s="120" t="inlineStr"/>
      <s:c r="B20201" s="121" t="n"/>
      <s:c r="C20201" s="121" t="n"/>
      <s:c r="D20201" s="121" t="n"/>
      <s:c r="E20201" s="122" t="n"/>
    </s:row>
    <s:row r="20202" hidden="1" ht="1" customHeight="1">
      <s:c r="A20202" s="120" t="inlineStr"/>
      <s:c r="B20202" s="121" t="n"/>
      <s:c r="C20202" s="121" t="n"/>
      <s:c r="D20202" s="121" t="n"/>
      <s:c r="E20202" s="122" t="n"/>
    </s:row>
    <s:row r="20203" hidden="1" ht="1" customHeight="1">
      <s:c r="A20203" s="120" t="inlineStr"/>
      <s:c r="B20203" s="121" t="n"/>
      <s:c r="C20203" s="121" t="n"/>
      <s:c r="D20203" s="121" t="n"/>
      <s:c r="E20203" s="122" t="n"/>
    </s:row>
    <s:row r="20204" hidden="1" ht="1" customHeight="1">
      <s:c r="A20204" s="120" t="inlineStr"/>
      <s:c r="B20204" s="121" t="n"/>
      <s:c r="C20204" s="121" t="n"/>
      <s:c r="D20204" s="121" t="n"/>
      <s:c r="E20204" s="122" t="n"/>
    </s:row>
    <s:row r="20205" hidden="1" ht="1" customHeight="1">
      <s:c r="A20205" s="120" t="inlineStr"/>
      <s:c r="B20205" s="121" t="n"/>
      <s:c r="C20205" s="121" t="n"/>
      <s:c r="D20205" s="121" t="n"/>
      <s:c r="E20205" s="122" t="n"/>
    </s:row>
    <s:row r="20206" hidden="1" ht="1" customHeight="1">
      <s:c r="A20206" s="120" t="inlineStr"/>
      <s:c r="B20206" s="121" t="n"/>
      <s:c r="C20206" s="121" t="n"/>
      <s:c r="D20206" s="121" t="n"/>
      <s:c r="E20206" s="122" t="n"/>
    </s:row>
    <s:row r="20207" hidden="1" ht="1" customHeight="1">
      <s:c r="A20207" s="120" t="inlineStr"/>
      <s:c r="B20207" s="121" t="n"/>
      <s:c r="C20207" s="121" t="n"/>
      <s:c r="D20207" s="121" t="n"/>
      <s:c r="E20207" s="122" t="n"/>
    </s:row>
    <s:row r="20208" hidden="1" ht="1" customHeight="1">
      <s:c r="A20208" s="120" t="inlineStr"/>
      <s:c r="B20208" s="121" t="n"/>
      <s:c r="C20208" s="121" t="n"/>
      <s:c r="D20208" s="121" t="n"/>
      <s:c r="E20208" s="122" t="n"/>
    </s:row>
    <s:row r="20209" hidden="1" ht="1" customHeight="1">
      <s:c r="A20209" s="120" t="inlineStr"/>
      <s:c r="B20209" s="121" t="n"/>
      <s:c r="C20209" s="121" t="n"/>
      <s:c r="D20209" s="121" t="n"/>
      <s:c r="E20209" s="122" t="n"/>
    </s:row>
    <s:row r="20210" hidden="1" ht="1" customHeight="1">
      <s:c r="A20210" s="120" t="inlineStr"/>
      <s:c r="B20210" s="121" t="n"/>
      <s:c r="C20210" s="121" t="n"/>
      <s:c r="D20210" s="121" t="n"/>
      <s:c r="E20210" s="122" t="n"/>
    </s:row>
    <s:row r="20211" hidden="1" ht="1" customHeight="1">
      <s:c r="A20211" s="120" t="inlineStr"/>
      <s:c r="B20211" s="121" t="n"/>
      <s:c r="C20211" s="121" t="n"/>
      <s:c r="D20211" s="121" t="n"/>
      <s:c r="E20211" s="122" t="n"/>
    </s:row>
    <s:row r="20212" hidden="1" ht="1" customHeight="1">
      <s:c r="A20212" s="120" t="inlineStr"/>
      <s:c r="B20212" s="121" t="n"/>
      <s:c r="C20212" s="121" t="n"/>
      <s:c r="D20212" s="121" t="n"/>
      <s:c r="E20212" s="122" t="n"/>
    </s:row>
    <s:row r="20213" hidden="1" ht="1" customHeight="1">
      <s:c r="A20213" s="120" t="inlineStr"/>
      <s:c r="B20213" s="121" t="n"/>
      <s:c r="C20213" s="121" t="n"/>
      <s:c r="D20213" s="121" t="n"/>
      <s:c r="E20213" s="122" t="n"/>
    </s:row>
    <s:row r="20214" hidden="1" ht="1" customHeight="1">
      <s:c r="A20214" s="120" t="inlineStr"/>
      <s:c r="B20214" s="121" t="n"/>
      <s:c r="C20214" s="121" t="n"/>
      <s:c r="D20214" s="121" t="n"/>
      <s:c r="E20214" s="122" t="n"/>
    </s:row>
    <s:row r="20215" hidden="1" ht="1" customHeight="1">
      <s:c r="A20215" s="120" t="inlineStr"/>
      <s:c r="B20215" s="121" t="n"/>
      <s:c r="C20215" s="121" t="n"/>
      <s:c r="D20215" s="121" t="n"/>
      <s:c r="E20215" s="122" t="n"/>
    </s:row>
    <s:row r="20216" hidden="1" ht="1" customHeight="1">
      <s:c r="A20216" s="120" t="inlineStr"/>
      <s:c r="B20216" s="121" t="n"/>
      <s:c r="C20216" s="121" t="n"/>
      <s:c r="D20216" s="121" t="n"/>
      <s:c r="E20216" s="122" t="n"/>
    </s:row>
    <s:row r="20217" hidden="1" ht="1" customHeight="1">
      <s:c r="A20217" s="120" t="inlineStr"/>
      <s:c r="B20217" s="121" t="n"/>
      <s:c r="C20217" s="121" t="n"/>
      <s:c r="D20217" s="121" t="n"/>
      <s:c r="E20217" s="122" t="n"/>
    </s:row>
    <s:row r="20218" hidden="1" ht="1" customHeight="1">
      <s:c r="A20218" s="120" t="inlineStr"/>
      <s:c r="B20218" s="121" t="n"/>
      <s:c r="C20218" s="121" t="n"/>
      <s:c r="D20218" s="121" t="n"/>
      <s:c r="E20218" s="122" t="n"/>
    </s:row>
    <s:row r="20219" hidden="1" ht="1" customHeight="1">
      <s:c r="A20219" s="120" t="inlineStr"/>
      <s:c r="B20219" s="121" t="n"/>
      <s:c r="C20219" s="121" t="n"/>
      <s:c r="D20219" s="121" t="n"/>
      <s:c r="E20219" s="122" t="n"/>
    </s:row>
    <s:row r="20220" hidden="1" ht="1" customHeight="1">
      <s:c r="A20220" s="120" t="inlineStr"/>
      <s:c r="B20220" s="121" t="n"/>
      <s:c r="C20220" s="121" t="n"/>
      <s:c r="D20220" s="121" t="n"/>
      <s:c r="E20220" s="122" t="n"/>
    </s:row>
    <s:row r="20221" hidden="1" ht="1" customHeight="1">
      <s:c r="A20221" s="120" t="inlineStr"/>
      <s:c r="B20221" s="121" t="n"/>
      <s:c r="C20221" s="121" t="n"/>
      <s:c r="D20221" s="121" t="n"/>
      <s:c r="E20221" s="122" t="n"/>
    </s:row>
    <s:row r="20222" hidden="1" ht="1" customHeight="1">
      <s:c r="A20222" s="120" t="inlineStr"/>
      <s:c r="B20222" s="121" t="n"/>
      <s:c r="C20222" s="121" t="n"/>
      <s:c r="D20222" s="121" t="n"/>
      <s:c r="E20222" s="122" t="n"/>
    </s:row>
    <s:row r="20223" hidden="1" ht="1" customHeight="1">
      <s:c r="A20223" s="120" t="inlineStr"/>
      <s:c r="B20223" s="121" t="n"/>
      <s:c r="C20223" s="121" t="n"/>
      <s:c r="D20223" s="121" t="n"/>
      <s:c r="E20223" s="122" t="n"/>
    </s:row>
    <s:row r="20224" hidden="1" ht="1" customHeight="1">
      <s:c r="A20224" s="120" t="inlineStr"/>
      <s:c r="B20224" s="121" t="n"/>
      <s:c r="C20224" s="121" t="n"/>
      <s:c r="D20224" s="121" t="n"/>
      <s:c r="E20224" s="122" t="n"/>
    </s:row>
    <s:row r="20225" hidden="1" ht="1" customHeight="1">
      <s:c r="A20225" s="120" t="inlineStr"/>
      <s:c r="B20225" s="121" t="n"/>
      <s:c r="C20225" s="121" t="n"/>
      <s:c r="D20225" s="121" t="n"/>
      <s:c r="E20225" s="122" t="n"/>
    </s:row>
    <s:row r="20226" hidden="1" ht="1" customHeight="1">
      <s:c r="A20226" s="120" t="inlineStr"/>
      <s:c r="B20226" s="121" t="n"/>
      <s:c r="C20226" s="121" t="n"/>
      <s:c r="D20226" s="121" t="n"/>
      <s:c r="E20226" s="122" t="n"/>
    </s:row>
    <s:row r="20227" hidden="1" ht="1" customHeight="1">
      <s:c r="A20227" s="120" t="inlineStr"/>
      <s:c r="B20227" s="121" t="n"/>
      <s:c r="C20227" s="121" t="n"/>
      <s:c r="D20227" s="121" t="n"/>
      <s:c r="E20227" s="122" t="n"/>
    </s:row>
    <s:row r="20228" hidden="1" ht="1" customHeight="1">
      <s:c r="A20228" s="120" t="inlineStr"/>
      <s:c r="B20228" s="121" t="n"/>
      <s:c r="C20228" s="121" t="n"/>
      <s:c r="D20228" s="121" t="n"/>
      <s:c r="E20228" s="122" t="n"/>
    </s:row>
    <s:row r="20229" hidden="1" ht="1" customHeight="1">
      <s:c r="A20229" s="120" t="inlineStr"/>
      <s:c r="B20229" s="121" t="n"/>
      <s:c r="C20229" s="121" t="n"/>
      <s:c r="D20229" s="121" t="n"/>
      <s:c r="E20229" s="122" t="n"/>
    </s:row>
    <s:row r="20230" hidden="1" ht="1" customHeight="1">
      <s:c r="A20230" s="120" t="inlineStr"/>
      <s:c r="B20230" s="121" t="n"/>
      <s:c r="C20230" s="121" t="n"/>
      <s:c r="D20230" s="121" t="n"/>
      <s:c r="E20230" s="122" t="n"/>
    </s:row>
    <s:row r="20231" hidden="1" ht="1" customHeight="1">
      <s:c r="A20231" s="120" t="inlineStr"/>
      <s:c r="B20231" s="121" t="n"/>
      <s:c r="C20231" s="121" t="n"/>
      <s:c r="D20231" s="121" t="n"/>
      <s:c r="E20231" s="122" t="n"/>
    </s:row>
    <s:row r="20232" hidden="1" ht="1" customHeight="1">
      <s:c r="A20232" s="120" t="inlineStr"/>
      <s:c r="B20232" s="121" t="n"/>
      <s:c r="C20232" s="121" t="n"/>
      <s:c r="D20232" s="121" t="n"/>
      <s:c r="E20232" s="122" t="n"/>
    </s:row>
    <s:row r="20233" hidden="1" ht="1" customHeight="1">
      <s:c r="A20233" s="120" t="inlineStr"/>
      <s:c r="B20233" s="121" t="n"/>
      <s:c r="C20233" s="121" t="n"/>
      <s:c r="D20233" s="121" t="n"/>
      <s:c r="E20233" s="122" t="n"/>
    </s:row>
    <s:row r="20234" hidden="1" ht="1" customHeight="1">
      <s:c r="A20234" s="120" t="inlineStr"/>
      <s:c r="B20234" s="121" t="n"/>
      <s:c r="C20234" s="121" t="n"/>
      <s:c r="D20234" s="121" t="n"/>
      <s:c r="E20234" s="122" t="n"/>
    </s:row>
    <s:row r="20235" hidden="1" ht="1" customHeight="1">
      <s:c r="A20235" s="120" t="inlineStr"/>
      <s:c r="B20235" s="121" t="n"/>
      <s:c r="C20235" s="121" t="n"/>
      <s:c r="D20235" s="121" t="n"/>
      <s:c r="E20235" s="122" t="n"/>
    </s:row>
    <s:row r="20236" hidden="1" ht="1" customHeight="1">
      <s:c r="A20236" s="120" t="inlineStr"/>
      <s:c r="B20236" s="121" t="n"/>
      <s:c r="C20236" s="121" t="n"/>
      <s:c r="D20236" s="121" t="n"/>
      <s:c r="E20236" s="122" t="n"/>
    </s:row>
    <s:row r="20237" hidden="1" ht="1" customHeight="1">
      <s:c r="A20237" s="120" t="inlineStr"/>
      <s:c r="B20237" s="121" t="n"/>
      <s:c r="C20237" s="121" t="n"/>
      <s:c r="D20237" s="121" t="n"/>
      <s:c r="E20237" s="122" t="n"/>
    </s:row>
    <s:row r="20238" hidden="1" ht="1" customHeight="1">
      <s:c r="A20238" s="120" t="inlineStr"/>
      <s:c r="B20238" s="121" t="n"/>
      <s:c r="C20238" s="121" t="n"/>
      <s:c r="D20238" s="121" t="n"/>
      <s:c r="E20238" s="122" t="n"/>
    </s:row>
    <s:row r="20239" hidden="1" ht="1" customHeight="1">
      <s:c r="A20239" s="120" t="inlineStr"/>
      <s:c r="B20239" s="121" t="n"/>
      <s:c r="C20239" s="121" t="n"/>
      <s:c r="D20239" s="121" t="n"/>
      <s:c r="E20239" s="122" t="n"/>
    </s:row>
    <s:row r="20240" hidden="1" ht="1" customHeight="1">
      <s:c r="A20240" s="120" t="inlineStr"/>
      <s:c r="B20240" s="121" t="n"/>
      <s:c r="C20240" s="121" t="n"/>
      <s:c r="D20240" s="121" t="n"/>
      <s:c r="E20240" s="122" t="n"/>
    </s:row>
    <s:row r="20241" hidden="1" ht="1" customHeight="1">
      <s:c r="A20241" s="120" t="inlineStr"/>
      <s:c r="B20241" s="121" t="n"/>
      <s:c r="C20241" s="121" t="n"/>
      <s:c r="D20241" s="121" t="n"/>
      <s:c r="E20241" s="122" t="n"/>
    </s:row>
    <s:row r="20242" hidden="1" ht="1" customHeight="1">
      <s:c r="A20242" s="120" t="inlineStr"/>
      <s:c r="B20242" s="121" t="n"/>
      <s:c r="C20242" s="121" t="n"/>
      <s:c r="D20242" s="121" t="n"/>
      <s:c r="E20242" s="122" t="n"/>
    </s:row>
    <s:row r="20243" hidden="1" ht="1" customHeight="1">
      <s:c r="A20243" s="120" t="inlineStr"/>
      <s:c r="B20243" s="121" t="n"/>
      <s:c r="C20243" s="121" t="n"/>
      <s:c r="D20243" s="121" t="n"/>
      <s:c r="E20243" s="122" t="n"/>
    </s:row>
    <s:row r="20244" hidden="1" ht="1" customHeight="1">
      <s:c r="A20244" s="120" t="inlineStr"/>
      <s:c r="B20244" s="121" t="n"/>
      <s:c r="C20244" s="121" t="n"/>
      <s:c r="D20244" s="121" t="n"/>
      <s:c r="E20244" s="122" t="n"/>
    </s:row>
    <s:row r="20245" hidden="1" ht="1" customHeight="1">
      <s:c r="A20245" s="120" t="inlineStr"/>
      <s:c r="B20245" s="121" t="n"/>
      <s:c r="C20245" s="121" t="n"/>
      <s:c r="D20245" s="121" t="n"/>
      <s:c r="E20245" s="122" t="n"/>
    </s:row>
    <s:row r="20246" hidden="1" ht="1" customHeight="1">
      <s:c r="A20246" s="120" t="inlineStr"/>
      <s:c r="B20246" s="121" t="n"/>
      <s:c r="C20246" s="121" t="n"/>
      <s:c r="D20246" s="121" t="n"/>
      <s:c r="E20246" s="122" t="n"/>
    </s:row>
    <s:row r="20247" hidden="1" ht="1" customHeight="1">
      <s:c r="A20247" s="120" t="inlineStr"/>
      <s:c r="B20247" s="121" t="n"/>
      <s:c r="C20247" s="121" t="n"/>
      <s:c r="D20247" s="121" t="n"/>
      <s:c r="E20247" s="122" t="n"/>
    </s:row>
    <s:row r="20248" hidden="1" ht="1" customHeight="1">
      <s:c r="A20248" s="120" t="inlineStr"/>
      <s:c r="B20248" s="121" t="n"/>
      <s:c r="C20248" s="121" t="n"/>
      <s:c r="D20248" s="121" t="n"/>
      <s:c r="E20248" s="122" t="n"/>
    </s:row>
    <s:row r="20249" hidden="1" ht="1" customHeight="1">
      <s:c r="A20249" s="120" t="inlineStr"/>
      <s:c r="B20249" s="121" t="n"/>
      <s:c r="C20249" s="121" t="n"/>
      <s:c r="D20249" s="121" t="n"/>
      <s:c r="E20249" s="122" t="n"/>
    </s:row>
    <s:row r="20250" hidden="1" ht="1" customHeight="1">
      <s:c r="A20250" s="120" t="inlineStr"/>
      <s:c r="B20250" s="121" t="n"/>
      <s:c r="C20250" s="121" t="n"/>
      <s:c r="D20250" s="121" t="n"/>
      <s:c r="E20250" s="122" t="n"/>
    </s:row>
    <s:row r="20251" hidden="1" ht="1" customHeight="1">
      <s:c r="A20251" s="120" t="inlineStr"/>
      <s:c r="B20251" s="121" t="n"/>
      <s:c r="C20251" s="121" t="n"/>
      <s:c r="D20251" s="121" t="n"/>
      <s:c r="E20251" s="122" t="n"/>
    </s:row>
    <s:row r="20252" hidden="1" ht="1" customHeight="1">
      <s:c r="A20252" s="120" t="inlineStr"/>
      <s:c r="B20252" s="121" t="n"/>
      <s:c r="C20252" s="121" t="n"/>
      <s:c r="D20252" s="121" t="n"/>
      <s:c r="E20252" s="122" t="n"/>
    </s:row>
    <s:row r="20253" hidden="1" ht="1" customHeight="1">
      <s:c r="A20253" s="120" t="inlineStr"/>
      <s:c r="B20253" s="121" t="n"/>
      <s:c r="C20253" s="121" t="n"/>
      <s:c r="D20253" s="121" t="n"/>
      <s:c r="E20253" s="122" t="n"/>
    </s:row>
    <s:row r="20254" hidden="1" ht="1" customHeight="1">
      <s:c r="A20254" s="120" t="inlineStr"/>
      <s:c r="B20254" s="121" t="n"/>
      <s:c r="C20254" s="121" t="n"/>
      <s:c r="D20254" s="121" t="n"/>
      <s:c r="E20254" s="122" t="n"/>
    </s:row>
    <s:row r="20255" hidden="1" ht="1" customHeight="1">
      <s:c r="A20255" s="120" t="inlineStr"/>
      <s:c r="B20255" s="121" t="n"/>
      <s:c r="C20255" s="121" t="n"/>
      <s:c r="D20255" s="121" t="n"/>
      <s:c r="E20255" s="122" t="n"/>
    </s:row>
    <s:row r="20256" hidden="1" ht="1" customHeight="1">
      <s:c r="A20256" s="120" t="inlineStr"/>
      <s:c r="B20256" s="121" t="n"/>
      <s:c r="C20256" s="121" t="n"/>
      <s:c r="D20256" s="121" t="n"/>
      <s:c r="E20256" s="122" t="n"/>
    </s:row>
    <s:row r="20257" hidden="1" ht="1" customHeight="1">
      <s:c r="A20257" s="120" t="inlineStr"/>
      <s:c r="B20257" s="121" t="n"/>
      <s:c r="C20257" s="121" t="n"/>
      <s:c r="D20257" s="121" t="n"/>
      <s:c r="E20257" s="122" t="n"/>
    </s:row>
    <s:row r="20258" hidden="1" ht="1" customHeight="1">
      <s:c r="A20258" s="120" t="inlineStr"/>
      <s:c r="B20258" s="121" t="n"/>
      <s:c r="C20258" s="121" t="n"/>
      <s:c r="D20258" s="121" t="n"/>
      <s:c r="E20258" s="122" t="n"/>
    </s:row>
    <s:row r="20259" hidden="1" ht="1" customHeight="1">
      <s:c r="A20259" s="120" t="inlineStr"/>
      <s:c r="B20259" s="121" t="n"/>
      <s:c r="C20259" s="121" t="n"/>
      <s:c r="D20259" s="121" t="n"/>
      <s:c r="E20259" s="122" t="n"/>
    </s:row>
    <s:row r="20260" hidden="1" ht="1" customHeight="1">
      <s:c r="A20260" s="120" t="inlineStr"/>
      <s:c r="B20260" s="121" t="n"/>
      <s:c r="C20260" s="121" t="n"/>
      <s:c r="D20260" s="121" t="n"/>
      <s:c r="E20260" s="122" t="n"/>
    </s:row>
    <s:row r="20261" hidden="1" ht="1" customHeight="1">
      <s:c r="A20261" s="120" t="inlineStr"/>
      <s:c r="B20261" s="121" t="n"/>
      <s:c r="C20261" s="121" t="n"/>
      <s:c r="D20261" s="121" t="n"/>
      <s:c r="E20261" s="122" t="n"/>
    </s:row>
    <s:row r="20262" hidden="1" ht="1" customHeight="1">
      <s:c r="A20262" s="120" t="inlineStr"/>
      <s:c r="B20262" s="121" t="n"/>
      <s:c r="C20262" s="121" t="n"/>
      <s:c r="D20262" s="121" t="n"/>
      <s:c r="E20262" s="122" t="n"/>
    </s:row>
    <s:row r="20263" hidden="1" ht="1" customHeight="1">
      <s:c r="A20263" s="120" t="inlineStr"/>
      <s:c r="B20263" s="121" t="n"/>
      <s:c r="C20263" s="121" t="n"/>
      <s:c r="D20263" s="121" t="n"/>
      <s:c r="E20263" s="122" t="n"/>
    </s:row>
    <s:row r="20264" hidden="1" ht="1" customHeight="1">
      <s:c r="A20264" s="120" t="inlineStr"/>
      <s:c r="B20264" s="121" t="n"/>
      <s:c r="C20264" s="121" t="n"/>
      <s:c r="D20264" s="121" t="n"/>
      <s:c r="E20264" s="122" t="n"/>
    </s:row>
    <s:row r="20265" hidden="1" ht="1" customHeight="1">
      <s:c r="A20265" s="120" t="inlineStr"/>
      <s:c r="B20265" s="121" t="n"/>
      <s:c r="C20265" s="121" t="n"/>
      <s:c r="D20265" s="121" t="n"/>
      <s:c r="E20265" s="122" t="n"/>
    </s:row>
    <s:row r="20266" hidden="1" ht="1" customHeight="1">
      <s:c r="A20266" s="120" t="inlineStr"/>
      <s:c r="B20266" s="121" t="n"/>
      <s:c r="C20266" s="121" t="n"/>
      <s:c r="D20266" s="121" t="n"/>
      <s:c r="E20266" s="122" t="n"/>
    </s:row>
    <s:row r="20267" hidden="1" ht="1" customHeight="1">
      <s:c r="A20267" s="120" t="inlineStr"/>
      <s:c r="B20267" s="121" t="n"/>
      <s:c r="C20267" s="121" t="n"/>
      <s:c r="D20267" s="121" t="n"/>
      <s:c r="E20267" s="122" t="n"/>
    </s:row>
    <s:row r="20268" hidden="1" ht="1" customHeight="1">
      <s:c r="A20268" s="120" t="inlineStr"/>
      <s:c r="B20268" s="121" t="n"/>
      <s:c r="C20268" s="121" t="n"/>
      <s:c r="D20268" s="121" t="n"/>
      <s:c r="E20268" s="122" t="n"/>
    </s:row>
    <s:row r="20269" hidden="1" ht="1" customHeight="1">
      <s:c r="A20269" s="120" t="inlineStr"/>
      <s:c r="B20269" s="121" t="n"/>
      <s:c r="C20269" s="121" t="n"/>
      <s:c r="D20269" s="121" t="n"/>
      <s:c r="E20269" s="122" t="n"/>
    </s:row>
    <s:row r="20270" hidden="1" ht="1" customHeight="1">
      <s:c r="A20270" s="120" t="inlineStr"/>
      <s:c r="B20270" s="121" t="n"/>
      <s:c r="C20270" s="121" t="n"/>
      <s:c r="D20270" s="121" t="n"/>
      <s:c r="E20270" s="122" t="n"/>
    </s:row>
    <s:row r="20271" hidden="1" ht="1" customHeight="1">
      <s:c r="A20271" s="120" t="inlineStr"/>
      <s:c r="B20271" s="121" t="n"/>
      <s:c r="C20271" s="121" t="n"/>
      <s:c r="D20271" s="121" t="n"/>
      <s:c r="E20271" s="122" t="n"/>
    </s:row>
    <s:row r="20272" hidden="1" ht="1" customHeight="1">
      <s:c r="A20272" s="120" t="inlineStr"/>
      <s:c r="B20272" s="121" t="n"/>
      <s:c r="C20272" s="121" t="n"/>
      <s:c r="D20272" s="121" t="n"/>
      <s:c r="E20272" s="122" t="n"/>
    </s:row>
    <s:row r="20273" hidden="1" ht="1" customHeight="1">
      <s:c r="A20273" s="120" t="inlineStr"/>
      <s:c r="B20273" s="121" t="n"/>
      <s:c r="C20273" s="121" t="n"/>
      <s:c r="D20273" s="121" t="n"/>
      <s:c r="E20273" s="122" t="n"/>
    </s:row>
    <s:row r="20274" hidden="1" ht="1" customHeight="1">
      <s:c r="A20274" s="120" t="inlineStr"/>
      <s:c r="B20274" s="121" t="n"/>
      <s:c r="C20274" s="121" t="n"/>
      <s:c r="D20274" s="121" t="n"/>
      <s:c r="E20274" s="122" t="n"/>
    </s:row>
    <s:row r="20275" hidden="1" ht="1" customHeight="1">
      <s:c r="A20275" s="120" t="inlineStr"/>
      <s:c r="B20275" s="121" t="n"/>
      <s:c r="C20275" s="121" t="n"/>
      <s:c r="D20275" s="121" t="n"/>
      <s:c r="E20275" s="122" t="n"/>
    </s:row>
    <s:row r="20276" hidden="1" ht="1" customHeight="1">
      <s:c r="A20276" s="120" t="inlineStr"/>
      <s:c r="B20276" s="121" t="n"/>
      <s:c r="C20276" s="121" t="n"/>
      <s:c r="D20276" s="121" t="n"/>
      <s:c r="E20276" s="122" t="n"/>
    </s:row>
    <s:row r="20277" hidden="1" ht="1" customHeight="1">
      <s:c r="A20277" s="120" t="inlineStr"/>
      <s:c r="B20277" s="121" t="n"/>
      <s:c r="C20277" s="121" t="n"/>
      <s:c r="D20277" s="121" t="n"/>
      <s:c r="E20277" s="122" t="n"/>
    </s:row>
    <s:row r="20278" hidden="1" ht="1" customHeight="1">
      <s:c r="A20278" s="120" t="inlineStr"/>
      <s:c r="B20278" s="121" t="n"/>
      <s:c r="C20278" s="121" t="n"/>
      <s:c r="D20278" s="121" t="n"/>
      <s:c r="E20278" s="122" t="n"/>
    </s:row>
    <s:row r="20279" hidden="1" ht="1" customHeight="1">
      <s:c r="A20279" s="120" t="inlineStr"/>
      <s:c r="B20279" s="121" t="n"/>
      <s:c r="C20279" s="121" t="n"/>
      <s:c r="D20279" s="121" t="n"/>
      <s:c r="E20279" s="122" t="n"/>
    </s:row>
    <s:row r="20280" hidden="1" ht="1" customHeight="1">
      <s:c r="A20280" s="120" t="inlineStr"/>
      <s:c r="B20280" s="121" t="n"/>
      <s:c r="C20280" s="121" t="n"/>
      <s:c r="D20280" s="121" t="n"/>
      <s:c r="E20280" s="122" t="n"/>
    </s:row>
    <s:row r="20281" hidden="1" ht="1" customHeight="1">
      <s:c r="A20281" s="120" t="inlineStr"/>
      <s:c r="B20281" s="121" t="n"/>
      <s:c r="C20281" s="121" t="n"/>
      <s:c r="D20281" s="121" t="n"/>
      <s:c r="E20281" s="122" t="n"/>
    </s:row>
    <s:row r="20282" hidden="1" ht="1" customHeight="1">
      <s:c r="A20282" s="120" t="inlineStr"/>
      <s:c r="B20282" s="121" t="n"/>
      <s:c r="C20282" s="121" t="n"/>
      <s:c r="D20282" s="121" t="n"/>
      <s:c r="E20282" s="122" t="n"/>
    </s:row>
    <s:row r="20283" hidden="1" ht="1" customHeight="1">
      <s:c r="A20283" s="120" t="inlineStr"/>
      <s:c r="B20283" s="121" t="n"/>
      <s:c r="C20283" s="121" t="n"/>
      <s:c r="D20283" s="121" t="n"/>
      <s:c r="E20283" s="122" t="n"/>
    </s:row>
    <s:row r="20284" hidden="1" ht="1" customHeight="1">
      <s:c r="A20284" s="120" t="inlineStr"/>
      <s:c r="B20284" s="121" t="n"/>
      <s:c r="C20284" s="121" t="n"/>
      <s:c r="D20284" s="121" t="n"/>
      <s:c r="E20284" s="122" t="n"/>
    </s:row>
    <s:row r="20285" hidden="1" ht="1" customHeight="1">
      <s:c r="A20285" s="120" t="inlineStr"/>
      <s:c r="B20285" s="121" t="n"/>
      <s:c r="C20285" s="121" t="n"/>
      <s:c r="D20285" s="121" t="n"/>
      <s:c r="E20285" s="122" t="n"/>
    </s:row>
    <s:row r="20286" hidden="1" ht="1" customHeight="1">
      <s:c r="A20286" s="120" t="inlineStr"/>
      <s:c r="B20286" s="121" t="n"/>
      <s:c r="C20286" s="121" t="n"/>
      <s:c r="D20286" s="121" t="n"/>
      <s:c r="E20286" s="122" t="n"/>
    </s:row>
    <s:row r="20287" hidden="1" ht="1" customHeight="1">
      <s:c r="A20287" s="120" t="inlineStr"/>
      <s:c r="B20287" s="121" t="n"/>
      <s:c r="C20287" s="121" t="n"/>
      <s:c r="D20287" s="121" t="n"/>
      <s:c r="E20287" s="122" t="n"/>
    </s:row>
    <s:row r="20288" hidden="1" ht="1" customHeight="1">
      <s:c r="A20288" s="120" t="inlineStr"/>
      <s:c r="B20288" s="121" t="n"/>
      <s:c r="C20288" s="121" t="n"/>
      <s:c r="D20288" s="121" t="n"/>
      <s:c r="E20288" s="122" t="n"/>
    </s:row>
    <s:row r="20289" hidden="1" ht="1" customHeight="1">
      <s:c r="A20289" s="120" t="inlineStr"/>
      <s:c r="B20289" s="121" t="n"/>
      <s:c r="C20289" s="121" t="n"/>
      <s:c r="D20289" s="121" t="n"/>
      <s:c r="E20289" s="122" t="n"/>
    </s:row>
    <s:row r="20290" hidden="1" ht="1" customHeight="1">
      <s:c r="A20290" s="120" t="inlineStr"/>
      <s:c r="B20290" s="121" t="n"/>
      <s:c r="C20290" s="121" t="n"/>
      <s:c r="D20290" s="121" t="n"/>
      <s:c r="E20290" s="122" t="n"/>
    </s:row>
    <s:row r="20291" hidden="1" ht="1" customHeight="1">
      <s:c r="A20291" s="120" t="inlineStr"/>
      <s:c r="B20291" s="121" t="n"/>
      <s:c r="C20291" s="121" t="n"/>
      <s:c r="D20291" s="121" t="n"/>
      <s:c r="E20291" s="122" t="n"/>
    </s:row>
    <s:row r="20292" hidden="1" ht="1" customHeight="1">
      <s:c r="A20292" s="120" t="inlineStr"/>
      <s:c r="B20292" s="121" t="n"/>
      <s:c r="C20292" s="121" t="n"/>
      <s:c r="D20292" s="121" t="n"/>
      <s:c r="E20292" s="122" t="n"/>
    </s:row>
    <s:row r="20293" hidden="1" ht="1" customHeight="1">
      <s:c r="A20293" s="120" t="inlineStr"/>
      <s:c r="B20293" s="121" t="n"/>
      <s:c r="C20293" s="121" t="n"/>
      <s:c r="D20293" s="121" t="n"/>
      <s:c r="E20293" s="122" t="n"/>
    </s:row>
    <s:row r="20294" hidden="1" ht="1" customHeight="1">
      <s:c r="A20294" s="120" t="inlineStr"/>
      <s:c r="B20294" s="121" t="n"/>
      <s:c r="C20294" s="121" t="n"/>
      <s:c r="D20294" s="121" t="n"/>
      <s:c r="E20294" s="122" t="n"/>
    </s:row>
    <s:row r="20295" hidden="1" ht="1" customHeight="1">
      <s:c r="A20295" s="120" t="inlineStr"/>
      <s:c r="B20295" s="121" t="n"/>
      <s:c r="C20295" s="121" t="n"/>
      <s:c r="D20295" s="121" t="n"/>
      <s:c r="E20295" s="122" t="n"/>
    </s:row>
    <s:row r="20296" hidden="1" ht="1" customHeight="1">
      <s:c r="A20296" s="120" t="inlineStr"/>
      <s:c r="B20296" s="121" t="n"/>
      <s:c r="C20296" s="121" t="n"/>
      <s:c r="D20296" s="121" t="n"/>
      <s:c r="E20296" s="122" t="n"/>
    </s:row>
    <s:row r="20297" hidden="1" ht="1" customHeight="1">
      <s:c r="A20297" s="120" t="inlineStr"/>
      <s:c r="B20297" s="121" t="n"/>
      <s:c r="C20297" s="121" t="n"/>
      <s:c r="D20297" s="121" t="n"/>
      <s:c r="E20297" s="122" t="n"/>
    </s:row>
    <s:row r="20298" hidden="1" ht="1" customHeight="1">
      <s:c r="A20298" s="120" t="inlineStr"/>
      <s:c r="B20298" s="121" t="n"/>
      <s:c r="C20298" s="121" t="n"/>
      <s:c r="D20298" s="121" t="n"/>
      <s:c r="E20298" s="122" t="n"/>
    </s:row>
    <s:row r="20299" hidden="1" ht="1" customHeight="1">
      <s:c r="A20299" s="120" t="inlineStr"/>
      <s:c r="B20299" s="121" t="n"/>
      <s:c r="C20299" s="121" t="n"/>
      <s:c r="D20299" s="121" t="n"/>
      <s:c r="E20299" s="122" t="n"/>
    </s:row>
    <s:row r="20300" hidden="1" ht="1" customHeight="1">
      <s:c r="A20300" s="120" t="inlineStr"/>
      <s:c r="B20300" s="121" t="n"/>
      <s:c r="C20300" s="121" t="n"/>
      <s:c r="D20300" s="121" t="n"/>
      <s:c r="E20300" s="122" t="n"/>
    </s:row>
    <s:row r="20301" hidden="1" ht="1" customHeight="1">
      <s:c r="A20301" s="120" t="inlineStr"/>
      <s:c r="B20301" s="121" t="n"/>
      <s:c r="C20301" s="121" t="n"/>
      <s:c r="D20301" s="121" t="n"/>
      <s:c r="E20301" s="122" t="n"/>
    </s:row>
    <s:row r="20302" hidden="1" ht="1" customHeight="1">
      <s:c r="A20302" s="120" t="inlineStr"/>
      <s:c r="B20302" s="121" t="n"/>
      <s:c r="C20302" s="121" t="n"/>
      <s:c r="D20302" s="121" t="n"/>
      <s:c r="E20302" s="122" t="n"/>
    </s:row>
    <s:row r="20303" hidden="1" ht="1" customHeight="1">
      <s:c r="A20303" s="120" t="inlineStr"/>
      <s:c r="B20303" s="121" t="n"/>
      <s:c r="C20303" s="121" t="n"/>
      <s:c r="D20303" s="121" t="n"/>
      <s:c r="E20303" s="122" t="n"/>
    </s:row>
    <s:row r="20304" hidden="1" ht="1" customHeight="1">
      <s:c r="A20304" s="120" t="inlineStr"/>
      <s:c r="B20304" s="121" t="n"/>
      <s:c r="C20304" s="121" t="n"/>
      <s:c r="D20304" s="121" t="n"/>
      <s:c r="E20304" s="122" t="n"/>
    </s:row>
    <s:row r="20305" hidden="1" ht="1" customHeight="1">
      <s:c r="A20305" s="120" t="inlineStr"/>
      <s:c r="B20305" s="121" t="n"/>
      <s:c r="C20305" s="121" t="n"/>
      <s:c r="D20305" s="121" t="n"/>
      <s:c r="E20305" s="122" t="n"/>
    </s:row>
    <s:row r="20306" hidden="1" ht="1" customHeight="1">
      <s:c r="A20306" s="120" t="inlineStr"/>
      <s:c r="B20306" s="121" t="n"/>
      <s:c r="C20306" s="121" t="n"/>
      <s:c r="D20306" s="121" t="n"/>
      <s:c r="E20306" s="122" t="n"/>
    </s:row>
    <s:row r="20307" hidden="1" ht="1" customHeight="1">
      <s:c r="A20307" s="120" t="inlineStr"/>
      <s:c r="B20307" s="121" t="n"/>
      <s:c r="C20307" s="121" t="n"/>
      <s:c r="D20307" s="121" t="n"/>
      <s:c r="E20307" s="122" t="n"/>
    </s:row>
    <s:row r="20308" hidden="1" ht="1" customHeight="1">
      <s:c r="A20308" s="120" t="inlineStr"/>
      <s:c r="B20308" s="121" t="n"/>
      <s:c r="C20308" s="121" t="n"/>
      <s:c r="D20308" s="121" t="n"/>
      <s:c r="E20308" s="122" t="n"/>
    </s:row>
    <s:row r="20309" hidden="1" ht="1" customHeight="1">
      <s:c r="A20309" s="120" t="inlineStr"/>
      <s:c r="B20309" s="121" t="n"/>
      <s:c r="C20309" s="121" t="n"/>
      <s:c r="D20309" s="121" t="n"/>
      <s:c r="E20309" s="122" t="n"/>
    </s:row>
    <s:row r="20310" hidden="1" ht="1" customHeight="1">
      <s:c r="A20310" s="120" t="inlineStr"/>
      <s:c r="B20310" s="121" t="n"/>
      <s:c r="C20310" s="121" t="n"/>
      <s:c r="D20310" s="121" t="n"/>
      <s:c r="E20310" s="122" t="n"/>
    </s:row>
    <s:row r="20311" hidden="1" ht="1" customHeight="1">
      <s:c r="A20311" s="120" t="inlineStr"/>
      <s:c r="B20311" s="121" t="n"/>
      <s:c r="C20311" s="121" t="n"/>
      <s:c r="D20311" s="121" t="n"/>
      <s:c r="E20311" s="122" t="n"/>
    </s:row>
    <s:row r="20312" hidden="1" ht="1" customHeight="1">
      <s:c r="A20312" s="120" t="inlineStr"/>
      <s:c r="B20312" s="121" t="n"/>
      <s:c r="C20312" s="121" t="n"/>
      <s:c r="D20312" s="121" t="n"/>
      <s:c r="E20312" s="122" t="n"/>
    </s:row>
    <s:row r="20313" hidden="1" ht="1" customHeight="1">
      <s:c r="A20313" s="120" t="inlineStr"/>
      <s:c r="B20313" s="121" t="n"/>
      <s:c r="C20313" s="121" t="n"/>
      <s:c r="D20313" s="121" t="n"/>
      <s:c r="E20313" s="122" t="n"/>
    </s:row>
    <s:row r="20314" hidden="1" ht="1" customHeight="1">
      <s:c r="A20314" s="120" t="inlineStr"/>
      <s:c r="B20314" s="121" t="n"/>
      <s:c r="C20314" s="121" t="n"/>
      <s:c r="D20314" s="121" t="n"/>
      <s:c r="E20314" s="122" t="n"/>
    </s:row>
    <s:row r="20315" hidden="1" ht="1" customHeight="1">
      <s:c r="A20315" s="120" t="inlineStr"/>
      <s:c r="B20315" s="121" t="n"/>
      <s:c r="C20315" s="121" t="n"/>
      <s:c r="D20315" s="121" t="n"/>
      <s:c r="E20315" s="122" t="n"/>
    </s:row>
    <s:row r="20316" hidden="1" ht="1" customHeight="1">
      <s:c r="A20316" s="120" t="inlineStr"/>
      <s:c r="B20316" s="121" t="n"/>
      <s:c r="C20316" s="121" t="n"/>
      <s:c r="D20316" s="121" t="n"/>
      <s:c r="E20316" s="122" t="n"/>
    </s:row>
    <s:row r="20317" hidden="1" ht="1" customHeight="1">
      <s:c r="A20317" s="120" t="inlineStr"/>
      <s:c r="B20317" s="121" t="n"/>
      <s:c r="C20317" s="121" t="n"/>
      <s:c r="D20317" s="121" t="n"/>
      <s:c r="E20317" s="122" t="n"/>
    </s:row>
    <s:row r="20318" hidden="1" ht="1" customHeight="1">
      <s:c r="A20318" s="120" t="inlineStr"/>
      <s:c r="B20318" s="121" t="n"/>
      <s:c r="C20318" s="121" t="n"/>
      <s:c r="D20318" s="121" t="n"/>
      <s:c r="E20318" s="122" t="n"/>
    </s:row>
    <s:row r="20319" hidden="1" ht="1" customHeight="1">
      <s:c r="A20319" s="120" t="inlineStr"/>
      <s:c r="B20319" s="121" t="n"/>
      <s:c r="C20319" s="121" t="n"/>
      <s:c r="D20319" s="121" t="n"/>
      <s:c r="E20319" s="122" t="n"/>
    </s:row>
    <s:row r="20320" hidden="1" ht="1" customHeight="1">
      <s:c r="A20320" s="120" t="inlineStr"/>
      <s:c r="B20320" s="121" t="n"/>
      <s:c r="C20320" s="121" t="n"/>
      <s:c r="D20320" s="121" t="n"/>
      <s:c r="E20320" s="122" t="n"/>
    </s:row>
    <s:row r="20321" hidden="1" ht="1" customHeight="1">
      <s:c r="A20321" s="120" t="inlineStr"/>
      <s:c r="B20321" s="121" t="n"/>
      <s:c r="C20321" s="121" t="n"/>
      <s:c r="D20321" s="121" t="n"/>
      <s:c r="E20321" s="122" t="n"/>
    </s:row>
    <s:row r="20322" hidden="1" ht="1" customHeight="1">
      <s:c r="A20322" s="120" t="inlineStr"/>
      <s:c r="B20322" s="121" t="n"/>
      <s:c r="C20322" s="121" t="n"/>
      <s:c r="D20322" s="121" t="n"/>
      <s:c r="E20322" s="122" t="n"/>
    </s:row>
    <s:row r="20323" hidden="1" ht="1" customHeight="1">
      <s:c r="A20323" s="120" t="inlineStr"/>
      <s:c r="B20323" s="121" t="n"/>
      <s:c r="C20323" s="121" t="n"/>
      <s:c r="D20323" s="121" t="n"/>
      <s:c r="E20323" s="122" t="n"/>
    </s:row>
    <s:row r="20324" hidden="1" ht="1" customHeight="1">
      <s:c r="A20324" s="120" t="inlineStr"/>
      <s:c r="B20324" s="121" t="n"/>
      <s:c r="C20324" s="121" t="n"/>
      <s:c r="D20324" s="121" t="n"/>
      <s:c r="E20324" s="122" t="n"/>
    </s:row>
    <s:row r="20325" hidden="1" ht="1" customHeight="1">
      <s:c r="A20325" s="120" t="inlineStr"/>
      <s:c r="B20325" s="121" t="n"/>
      <s:c r="C20325" s="121" t="n"/>
      <s:c r="D20325" s="121" t="n"/>
      <s:c r="E20325" s="122" t="n"/>
    </s:row>
    <s:row r="20326" hidden="1" ht="1" customHeight="1">
      <s:c r="A20326" s="120" t="inlineStr"/>
      <s:c r="B20326" s="121" t="n"/>
      <s:c r="C20326" s="121" t="n"/>
      <s:c r="D20326" s="121" t="n"/>
      <s:c r="E20326" s="122" t="n"/>
    </s:row>
    <s:row r="20327" hidden="1" ht="1" customHeight="1">
      <s:c r="A20327" s="120" t="inlineStr"/>
      <s:c r="B20327" s="121" t="n"/>
      <s:c r="C20327" s="121" t="n"/>
      <s:c r="D20327" s="121" t="n"/>
      <s:c r="E20327" s="122" t="n"/>
    </s:row>
    <s:row r="20328" hidden="1" ht="1" customHeight="1">
      <s:c r="A20328" s="120" t="inlineStr"/>
      <s:c r="B20328" s="121" t="n"/>
      <s:c r="C20328" s="121" t="n"/>
      <s:c r="D20328" s="121" t="n"/>
      <s:c r="E20328" s="122" t="n"/>
    </s:row>
    <s:row r="20329" hidden="1" ht="1" customHeight="1">
      <s:c r="A20329" s="120" t="inlineStr"/>
      <s:c r="B20329" s="121" t="n"/>
      <s:c r="C20329" s="121" t="n"/>
      <s:c r="D20329" s="121" t="n"/>
      <s:c r="E20329" s="122" t="n"/>
    </s:row>
    <s:row r="20330" hidden="1" ht="1" customHeight="1">
      <s:c r="A20330" s="120" t="inlineStr"/>
      <s:c r="B20330" s="121" t="n"/>
      <s:c r="C20330" s="121" t="n"/>
      <s:c r="D20330" s="121" t="n"/>
      <s:c r="E20330" s="122" t="n"/>
    </s:row>
    <s:row r="20331" hidden="1" ht="1" customHeight="1">
      <s:c r="A20331" s="120" t="inlineStr"/>
      <s:c r="B20331" s="121" t="n"/>
      <s:c r="C20331" s="121" t="n"/>
      <s:c r="D20331" s="121" t="n"/>
      <s:c r="E20331" s="122" t="n"/>
    </s:row>
    <s:row r="20332" hidden="1" ht="1" customHeight="1">
      <s:c r="A20332" s="120" t="inlineStr"/>
      <s:c r="B20332" s="121" t="n"/>
      <s:c r="C20332" s="121" t="n"/>
      <s:c r="D20332" s="121" t="n"/>
      <s:c r="E20332" s="122" t="n"/>
    </s:row>
    <s:row r="20333" hidden="1" ht="1" customHeight="1">
      <s:c r="A20333" s="120" t="inlineStr"/>
      <s:c r="B20333" s="121" t="n"/>
      <s:c r="C20333" s="121" t="n"/>
      <s:c r="D20333" s="121" t="n"/>
      <s:c r="E20333" s="122" t="n"/>
    </s:row>
    <s:row r="20334" hidden="1" ht="1" customHeight="1">
      <s:c r="A20334" s="120" t="inlineStr"/>
      <s:c r="B20334" s="121" t="n"/>
      <s:c r="C20334" s="121" t="n"/>
      <s:c r="D20334" s="121" t="n"/>
      <s:c r="E20334" s="122" t="n"/>
    </s:row>
    <s:row r="20335" hidden="1" ht="1" customHeight="1">
      <s:c r="A20335" s="120" t="inlineStr"/>
      <s:c r="B20335" s="121" t="n"/>
      <s:c r="C20335" s="121" t="n"/>
      <s:c r="D20335" s="121" t="n"/>
      <s:c r="E20335" s="122" t="n"/>
    </s:row>
    <s:row r="20336" hidden="1" ht="1" customHeight="1">
      <s:c r="A20336" s="120" t="inlineStr"/>
      <s:c r="B20336" s="121" t="n"/>
      <s:c r="C20336" s="121" t="n"/>
      <s:c r="D20336" s="121" t="n"/>
      <s:c r="E20336" s="122" t="n"/>
    </s:row>
    <s:row r="20337" hidden="1" ht="1" customHeight="1">
      <s:c r="A20337" s="120" t="inlineStr"/>
      <s:c r="B20337" s="121" t="n"/>
      <s:c r="C20337" s="121" t="n"/>
      <s:c r="D20337" s="121" t="n"/>
      <s:c r="E20337" s="122" t="n"/>
    </s:row>
    <s:row r="20338" hidden="1" ht="1" customHeight="1">
      <s:c r="A20338" s="120" t="inlineStr"/>
      <s:c r="B20338" s="121" t="n"/>
      <s:c r="C20338" s="121" t="n"/>
      <s:c r="D20338" s="121" t="n"/>
      <s:c r="E20338" s="122" t="n"/>
    </s:row>
    <s:row r="20339" hidden="1" ht="1" customHeight="1">
      <s:c r="A20339" s="120" t="inlineStr"/>
      <s:c r="B20339" s="121" t="n"/>
      <s:c r="C20339" s="121" t="n"/>
      <s:c r="D20339" s="121" t="n"/>
      <s:c r="E20339" s="122" t="n"/>
    </s:row>
    <s:row r="20340" hidden="1" ht="1" customHeight="1">
      <s:c r="A20340" s="120" t="inlineStr"/>
      <s:c r="B20340" s="121" t="n"/>
      <s:c r="C20340" s="121" t="n"/>
      <s:c r="D20340" s="121" t="n"/>
      <s:c r="E20340" s="122" t="n"/>
    </s:row>
    <s:row r="20341" hidden="1" ht="1" customHeight="1">
      <s:c r="A20341" s="120" t="inlineStr"/>
      <s:c r="B20341" s="121" t="n"/>
      <s:c r="C20341" s="121" t="n"/>
      <s:c r="D20341" s="121" t="n"/>
      <s:c r="E20341" s="122" t="n"/>
    </s:row>
    <s:row r="20342" hidden="1" ht="1" customHeight="1">
      <s:c r="A20342" s="120" t="inlineStr"/>
      <s:c r="B20342" s="121" t="n"/>
      <s:c r="C20342" s="121" t="n"/>
      <s:c r="D20342" s="121" t="n"/>
      <s:c r="E20342" s="122" t="n"/>
    </s:row>
    <s:row r="20343" hidden="1" ht="1" customHeight="1">
      <s:c r="A20343" s="120" t="inlineStr"/>
      <s:c r="B20343" s="121" t="n"/>
      <s:c r="C20343" s="121" t="n"/>
      <s:c r="D20343" s="121" t="n"/>
      <s:c r="E20343" s="122" t="n"/>
    </s:row>
    <s:row r="20344" hidden="1" ht="1" customHeight="1">
      <s:c r="A20344" s="120" t="inlineStr"/>
      <s:c r="B20344" s="121" t="n"/>
      <s:c r="C20344" s="121" t="n"/>
      <s:c r="D20344" s="121" t="n"/>
      <s:c r="E20344" s="122" t="n"/>
    </s:row>
    <s:row r="20345" hidden="1" ht="1" customHeight="1">
      <s:c r="A20345" s="120" t="inlineStr"/>
      <s:c r="B20345" s="121" t="n"/>
      <s:c r="C20345" s="121" t="n"/>
      <s:c r="D20345" s="121" t="n"/>
      <s:c r="E20345" s="122" t="n"/>
    </s:row>
    <s:row r="20346" hidden="1" ht="1" customHeight="1">
      <s:c r="A20346" s="120" t="inlineStr"/>
      <s:c r="B20346" s="121" t="n"/>
      <s:c r="C20346" s="121" t="n"/>
      <s:c r="D20346" s="121" t="n"/>
      <s:c r="E20346" s="122" t="n"/>
    </s:row>
    <s:row r="20347" hidden="1" ht="1" customHeight="1">
      <s:c r="A20347" s="120" t="inlineStr"/>
      <s:c r="B20347" s="121" t="n"/>
      <s:c r="C20347" s="121" t="n"/>
      <s:c r="D20347" s="121" t="n"/>
      <s:c r="E20347" s="122" t="n"/>
    </s:row>
    <s:row r="20348" hidden="1" ht="1" customHeight="1">
      <s:c r="A20348" s="120" t="inlineStr"/>
      <s:c r="B20348" s="121" t="n"/>
      <s:c r="C20348" s="121" t="n"/>
      <s:c r="D20348" s="121" t="n"/>
      <s:c r="E20348" s="122" t="n"/>
    </s:row>
    <s:row r="20349" hidden="1" ht="1" customHeight="1">
      <s:c r="A20349" s="120" t="inlineStr"/>
      <s:c r="B20349" s="121" t="n"/>
      <s:c r="C20349" s="121" t="n"/>
      <s:c r="D20349" s="121" t="n"/>
      <s:c r="E20349" s="122" t="n"/>
    </s:row>
    <s:row r="20350" hidden="1" ht="1" customHeight="1">
      <s:c r="A20350" s="120" t="inlineStr"/>
      <s:c r="B20350" s="121" t="n"/>
      <s:c r="C20350" s="121" t="n"/>
      <s:c r="D20350" s="121" t="n"/>
      <s:c r="E20350" s="122" t="n"/>
    </s:row>
    <s:row r="20351" hidden="1" ht="1" customHeight="1">
      <s:c r="A20351" s="120" t="inlineStr"/>
      <s:c r="B20351" s="121" t="n"/>
      <s:c r="C20351" s="121" t="n"/>
      <s:c r="D20351" s="121" t="n"/>
      <s:c r="E20351" s="122" t="n"/>
    </s:row>
    <s:row r="20352" hidden="1" ht="1" customHeight="1">
      <s:c r="A20352" s="120" t="inlineStr"/>
      <s:c r="B20352" s="121" t="n"/>
      <s:c r="C20352" s="121" t="n"/>
      <s:c r="D20352" s="121" t="n"/>
      <s:c r="E20352" s="122" t="n"/>
    </s:row>
    <s:row r="20353" hidden="1" ht="1" customHeight="1">
      <s:c r="A20353" s="120" t="inlineStr"/>
      <s:c r="B20353" s="121" t="n"/>
      <s:c r="C20353" s="121" t="n"/>
      <s:c r="D20353" s="121" t="n"/>
      <s:c r="E20353" s="122" t="n"/>
    </s:row>
    <s:row r="20354" hidden="1" ht="1" customHeight="1">
      <s:c r="A20354" s="120" t="inlineStr"/>
      <s:c r="B20354" s="121" t="n"/>
      <s:c r="C20354" s="121" t="n"/>
      <s:c r="D20354" s="121" t="n"/>
      <s:c r="E20354" s="122" t="n"/>
    </s:row>
    <s:row r="20355" hidden="1" ht="1" customHeight="1">
      <s:c r="A20355" s="120" t="inlineStr"/>
      <s:c r="B20355" s="121" t="n"/>
      <s:c r="C20355" s="121" t="n"/>
      <s:c r="D20355" s="121" t="n"/>
      <s:c r="E20355" s="122" t="n"/>
    </s:row>
    <s:row r="20356" hidden="1" ht="1" customHeight="1">
      <s:c r="A20356" s="120" t="inlineStr"/>
      <s:c r="B20356" s="121" t="n"/>
      <s:c r="C20356" s="121" t="n"/>
      <s:c r="D20356" s="121" t="n"/>
      <s:c r="E20356" s="122" t="n"/>
    </s:row>
    <s:row r="20357" hidden="1" ht="1" customHeight="1">
      <s:c r="A20357" s="120" t="inlineStr"/>
      <s:c r="B20357" s="121" t="n"/>
      <s:c r="C20357" s="121" t="n"/>
      <s:c r="D20357" s="121" t="n"/>
      <s:c r="E20357" s="122" t="n"/>
    </s:row>
    <s:row r="20358" hidden="1" ht="1" customHeight="1">
      <s:c r="A20358" s="120" t="inlineStr"/>
      <s:c r="B20358" s="121" t="n"/>
      <s:c r="C20358" s="121" t="n"/>
      <s:c r="D20358" s="121" t="n"/>
      <s:c r="E20358" s="122" t="n"/>
    </s:row>
    <s:row r="20359" hidden="1" ht="1" customHeight="1">
      <s:c r="A20359" s="120" t="inlineStr"/>
      <s:c r="B20359" s="121" t="n"/>
      <s:c r="C20359" s="121" t="n"/>
      <s:c r="D20359" s="121" t="n"/>
      <s:c r="E20359" s="122" t="n"/>
    </s:row>
    <s:row r="20360" hidden="1" ht="1" customHeight="1">
      <s:c r="A20360" s="83" t="inlineStr">
        <s:is>
          <s:t>PASS</s:t>
        </s:is>
      </s:c>
      <s:c r="B20360" s="83">
        <s:f>SUM(IF(EXACT('Kiểm thử'!E20160,"Đạt"),1,0),IF(EXACT('Kiểm thử'!E20162,"Đạt"),1,0),IF(EXACT('Kiểm thử'!E20164,"Đạt"),1,0),IF(EXACT('Kiểm thử'!E20166,"Đạt"),1,0))</s:f>
        <s:v/>
      </s:c>
      <s:c r="C20360" s="19" t="n"/>
      <s:c r="D20360" s="19" t="n"/>
      <s:c r="E20360" s="19" t="n"/>
    </s:row>
    <s:row r="20361" hidden="1" ht="1" customHeight="1">
      <s:c r="A20361" s="83" t="inlineStr">
        <s:is>
          <s:t>FAIL</s:t>
        </s:is>
      </s:c>
      <s:c r="B20361" s="83">
        <s:f>SUM(IF(EXACT('Kiểm thử'!E20160,"Không đạt"),1,0),IF(EXACT('Kiểm thử'!E20162,"Không đạt"),1,0),IF(EXACT('Kiểm thử'!E20164,"Không đạt"),1,0),IF(EXACT('Kiểm thử'!E20166,"Không đạt"),1,0))</s:f>
        <s:v/>
      </s:c>
      <s:c r="C20361" s="19" t="n"/>
      <s:c r="D20361" s="19" t="n"/>
      <s:c r="E20361" s="19" t="n"/>
    </s:row>
    <s:row r="20362" hidden="1" ht="1" customHeight="1">
      <s:c r="A20362" s="83" t="inlineStr">
        <s:is>
          <s:t>BLOCKED</s:t>
        </s:is>
      </s:c>
      <s:c r="B20362" s="83">
        <s:f>SUM(IF(EXACT('Kiểm thử'!E20160,"Bị chặn"),1,0),IF(EXACT('Kiểm thử'!E20162,"Bị chặn"),1,0),IF(EXACT('Kiểm thử'!E20164,"Bị chặn"),1,0),IF(EXACT('Kiểm thử'!E20166,"Bị chặn"),1,0))</s:f>
        <s:v/>
      </s:c>
      <s:c r="C20362" s="19" t="n"/>
      <s:c r="D20362" s="19" t="n"/>
      <s:c r="E20362" s="19" t="n"/>
    </s:row>
    <s:row r="20363" hidden="1" ht="1" customHeight="1">
      <s:c r="A20363" s="83" t="inlineStr">
        <s:is>
          <s:t>SKIPPED</s:t>
        </s:is>
      </s:c>
      <s:c r="B20363" s="83">
        <s:f>SUM(IF(EXACT('Kiểm thử'!E20160,"Không thực hiện"),1,0),IF(EXACT('Kiểm thử'!E20162,"Không thực hiện"),1,0),IF(EXACT('Kiểm thử'!E20164,"Không thực hiện"),1,0),IF(EXACT('Kiểm thử'!E20166,"Không thực hiện"),1,0))</s:f>
        <s:v/>
      </s:c>
      <s:c r="C20363" s="19" t="n"/>
      <s:c r="D20363" s="19" t="n"/>
      <s:c r="E20363" s="19" t="n"/>
    </s:row>
    <s:row r="20364" hidden="1" ht="1" customHeight="1">
      <s:c r="A20364" s="83" t="inlineStr">
        <s:is>
          <s:t>NOT RUN</s:t>
        </s:is>
      </s:c>
      <s:c r="B20364" s="83">
        <s:f>SUM(IF(EXACT('Kiểm thử'!E20160,"Chưa thực hiện"),1,0),IF(EXACT('Kiểm thử'!E20162,"Chưa thực hiện"),1,0),IF(EXACT('Kiểm thử'!E20164,"Chưa thực hiện"),1,0),IF(EXACT('Kiểm thử'!E20166,"Chưa thực hiện"),1,0))</s:f>
        <s:v/>
      </s:c>
      <s:c r="C20364" s="19" t="n"/>
      <s:c r="D20364" s="19" t="n"/>
      <s:c r="E20364" s="19" t="n"/>
    </s:row>
    <s:row r="20365" hidden="1" ht="6" customHeight="1">
      <s:c r="A20365" s="83" t="inlineStr"/>
      <s:c r="B20365" s="19" t="n"/>
      <s:c r="C20365" s="19" t="n"/>
      <s:c r="D20365" s="19" t="n"/>
      <s:c r="E20365" s="19" t="n"/>
    </s:row>
    <s:row r="20366" ht="28" customHeight="1">
      <s:c r="A20366" s="108" t="inlineStr">
        <s:is>
          <s:t>TC-RS-ERR-014 — Mục bị ẩn theo thiết lập ẩn mục nhập</s:t>
        </s:is>
      </s:c>
      <s:c r="B20366" s="111" t="n"/>
      <s:c r="C20366" s="111" t="n"/>
      <s:c r="D20366" s="111" t="n"/>
      <s:c r="E20366" s="111" t="n"/>
    </s:row>
    <s:row r="20367" ht="20" customHeight="1">
      <s:c r="A20367" s="112" t="inlineStr">
        <s:is>
          <s:t>Kết quả tình huống</s:t>
        </s:is>
      </s:c>
      <s:c r="B20367" s="113">
        <s:f>IF(SUM(IF(EXACT('Kiểm thử'!E20375,"Không đạt"),1,0),IF(EXACT('Kiểm thử'!E20377,"Không đạt"),1,0),IF(EXACT('Kiểm thử'!E20379,"Không đạt"),1,0))&gt;0,"Không đạt",IF(SUM(IF(EXACT('Kiểm thử'!E20375,"Đạt"),1,0),IF(EXACT('Kiểm thử'!E20377,"Đạt"),1,0),IF(EXACT('Kiểm thử'!E20379,"Đạt"),1,0))=3,"Đạt",IF(SUM(IF(EXACT('Kiểm thử'!E20375,"Không thực hiện"),1,0),IF(EXACT('Kiểm thử'!E20377,"Không thực hiện"),1,0),IF(EXACT('Kiểm thử'!E20379,"Không thực hiện"),1,0))=3,"Không thực hiện",IF(SUM(IF(EXACT('Kiểm thử'!E20375,"Bị chặn"),1,0),IF(EXACT('Kiểm thử'!E20377,"Bị chặn"),1,0),IF(EXACT('Kiểm thử'!E20379,"Bị chặn"),1,0))&gt;0,"Bị chặn",IF(SUM(IF(EXACT('Kiểm thử'!E20375,"Chưa thực hiện"),1,0),IF(EXACT('Kiểm thử'!E20377,"Chưa thực hiện"),1,0),IF(EXACT('Kiểm thử'!E20379,"Chưa thực hiện"),1,0))=3,"Chưa thực hiện","Đang thực hiện")))))</s:f>
        <s:v/>
      </s:c>
      <s:c r="C20367" s="114" t="n"/>
      <s:c r="D20367" s="114" t="n"/>
      <s:c r="E20367" s="114" t="n"/>
    </s:row>
    <s:row r="20368" ht="20" customHeight="1">
      <s:c r="A20368" s="112" t="inlineStr">
        <s:is>
          <s:t>Màn hình / chức năng</s:t>
        </s:is>
      </s:c>
      <s:c r="B20368" s="113" t="inlineStr">
        <s:is>
          <s:t>Kết quả dùng chung</s:t>
        </s:is>
      </s:c>
      <s:c r="C20368" s="28" t="n"/>
      <s:c r="D20368" s="28" t="n"/>
      <s:c r="E20368" s="28" t="n"/>
    </s:row>
    <s:row r="20369" ht="20" customHeight="1">
      <s:c r="A20369" s="112" t="inlineStr">
        <s:is>
          <s:t>Cấu hình</s:t>
        </s:is>
      </s:c>
      <s:c r="B20369" s="113" t="inlineStr">
        <s:is>
          <s:r>
            <s:t>• Mục số nguyên (</s:t>
          </s:r>
          <s:r>
            <s:rPr>
              <s:b val="1"/>
            </s:rPr>
            <s:t>M=100</s:t>
          </s:r>
          <s:r>
            <s:t xml:space="preserve">) có quy tắc, bị ẩn cho G-B qua Thiết </s:t>
          </s:r>
          <s:r>
            <s:rPr>
              <s:b val="1"/>
            </s:rPr>
            <s:t>lập ẩn mục nhập（入力項目の非表示設定）</s:t>
          </s:r>
          <s:r>
            <s:t>.</s:t>
          </s:r>
        </s:is>
      </s:c>
      <s:c r="C20369" s="28" t="n"/>
      <s:c r="D20369" s="28" t="n"/>
      <s:c r="E20369" s="28" t="n"/>
    </s:row>
    <s:row r="20370" ht="34" customHeight="1">
      <s:c r="A20370" s="112" t="inlineStr">
        <s:is>
          <s:t>Dữ liệu test</s:t>
        </s:is>
      </s:c>
      <s:c r="B20370" s="113" t="inlineStr">
        <s:is>
          <s:r>
            <s:t>• Mục số nguyên (</s:t>
          </s:r>
          <s:r>
            <s:rPr>
              <s:b val="1"/>
            </s:rPr>
            <s:t>M=100</s:t>
          </s:r>
          <s:r>
            <s:t>);
• Học sinh S06 (điểm dự kiến 24)</s:t>
          </s:r>
        </s:is>
      </s:c>
      <s:c r="C20370" s="28" t="n"/>
      <s:c r="D20370" s="28" t="n"/>
      <s:c r="E20370" s="28" t="n"/>
    </s:row>
    <s:row r="20371" ht="34" customHeight="1">
      <s:c r="A20371" s="112" t="inlineStr">
        <s:is>
          <s:t>Điều kiện còn thiếu</s:t>
        </s:is>
      </s:c>
      <s:c r="B20371" s="113" t="inlineStr">
        <s:is>
          <s:t>• Phần kỳ vọng chưa chốt trong bản nguồn: Có xét hay không: TBD (chưa chốt). CONFIRMED phần không tranh chấp: không đầu ra nào làm hiện lại điểm đang bị ẩn.</s:t>
        </s:is>
      </s:c>
      <s:c r="C20371" s="28" t="n"/>
      <s:c r="D20371" s="28" t="n"/>
      <s:c r="E20371" s="28" t="n"/>
    </s:row>
    <s:row r="20372" ht="20" customHeight="1">
      <s:c r="A20372" s="112" t="inlineStr">
        <s:is>
          <s:t>•</s:t>
        </s:is>
      </s:c>
      <s:c r="B20372" s="113" t="inlineStr">
        <s:is>
          <s:t>Chạy xét; xem ba đầu ra cho S06.</s:t>
        </s:is>
      </s:c>
      <s:c r="C20372" s="28" t="n"/>
      <s:c r="D20372" s="28" t="n"/>
      <s:c r="E20372" s="28" t="n"/>
    </s:row>
    <s:row r="20373" ht="28" customHeight="1">
      <s:c r="A20373" s="115" t="inlineStr">
        <s:is>
          <s:t>Trường hợp</s:t>
        </s:is>
      </s:c>
      <s:c r="B20373" s="115" t="inlineStr">
        <s:is>
          <s:t>Dữ liệu / thao tác riêng</s:t>
        </s:is>
      </s:c>
      <s:c r="C20373" s="115" t="inlineStr">
        <s:is>
          <s:t>Kết quả mong đợi</s:t>
        </s:is>
      </s:c>
      <s:c r="D20373" s="115" t="inlineStr">
        <s:is>
          <s:t>Kết quả thực tế</s:t>
        </s:is>
      </s:c>
      <s:c r="E20373" s="115" t="inlineStr">
        <s:is>
          <s:t>Đánh giá</s:t>
        </s:is>
      </s:c>
    </s:row>
    <s:row r="20374" ht="3" customHeight="1">
      <s:c r="A20374" s="102" t="inlineStr"/>
      <s:c r="B20374" s="99" t="n"/>
      <s:c r="C20374" s="99" t="n"/>
      <s:c r="D20374" s="116" t="n"/>
      <s:c r="E20374" s="116" t="n"/>
    </s:row>
    <s:row r="20375" ht="90" customHeight="1">
      <s:c r="A20375" s="83" t="inlineStr">
        <s:is>
          <s:t>Trích xuất (extract)</s:t>
        </s:is>
      </s:c>
      <s:c r="B20375" s="83" t="inlineStr">
        <s:is>
          <s:r>
            <s:t xml:space="preserve">Mục </s:t>
          </s:r>
          <s:r>
            <s:rPr>
              <s:b val="1"/>
            </s:rPr>
            <s:t>M=100</s:t>
          </s:r>
          <s:r>
            <s:t xml:space="preserve"> bị ẩn cho G-B qua Thiết </s:t>
          </s:r>
          <s:r>
            <s:rPr>
              <s:b val="1"/>
            </s:rPr>
            <s:t>lập ẩn mục nhập（入力項目の非表示設定）</s:t>
          </s:r>
          <s:r>
            <s:t xml:space="preserve">; chạy xét rồi xem màn </s:t>
          </s:r>
          <s:r>
            <s:rPr>
              <s:b val="1"/>
            </s:rPr>
            <s:t>Trích xuất thành tích（成績抽出）</s:t>
          </s:r>
          <s:r>
            <s:t xml:space="preserve"> cho S06. Có xét hay không vẫn TBD; không tự kết luận phần đó.</s:t>
          </s:r>
        </s:is>
      </s:c>
      <s:c r="C20375" s="83" t="inlineStr">
        <s:is>
          <s:t>Có xét hay không: TBD (chưa chốt). CONFIRMED phần không tranh chấp: không đầu ra nào làm hiện lại điểm đang bị ẩn.</s:t>
        </s:is>
      </s:c>
      <s:c r="D20375" s="117" t="inlineStr"/>
      <s:c r="E20375" s="118" t="inlineStr">
        <s:is>
          <s:t>Chưa thực hiện</s:t>
        </s:is>
      </s:c>
    </s:row>
    <s:row r="20376" ht="3" customHeight="1">
      <s:c r="A20376" s="102" t="inlineStr"/>
      <s:c r="B20376" s="99" t="n"/>
      <s:c r="C20376" s="99" t="n"/>
      <s:c r="D20376" s="116" t="n"/>
      <s:c r="E20376" s="116" t="n"/>
    </s:row>
    <s:row r="20377" ht="90" customHeight="1">
      <s:c r="A20377" s="83" t="inlineStr">
        <s:is>
          <s:t>Công khai (publish)</s:t>
        </s:is>
      </s:c>
      <s:c r="B20377" s="83" t="inlineStr">
        <s:is>
          <s:r>
            <s:t xml:space="preserve">Mục </s:t>
          </s:r>
          <s:r>
            <s:rPr>
              <s:b val="1"/>
            </s:rPr>
            <s:t>M=100</s:t>
          </s:r>
          <s:r>
            <s:t xml:space="preserve"> bị ẩn cho G-B qua Thiết </s:t>
          </s:r>
          <s:r>
            <s:rPr>
              <s:b val="1"/>
            </s:rPr>
            <s:t>lập ẩn mục nhập（入力項目の非表示設定）</s:t>
          </s:r>
          <s:r>
            <s:t xml:space="preserve">; chạy xét rồi xem màn </s:t>
          </s:r>
          <s:r>
            <s:rPr>
              <s:b val="1"/>
            </s:rPr>
            <s:t>Công khai thành tích（成績公開）</s:t>
          </s:r>
          <s:r>
            <s:t xml:space="preserve"> cho S06. Có xét hay không vẫn TBD; không tự kết luận phần đó.</s:t>
          </s:r>
        </s:is>
      </s:c>
      <s:c r="C20377" s="83" t="inlineStr">
        <s:is>
          <s:t>Có xét hay không: TBD (chưa chốt). CONFIRMED phần không tranh chấp: không đầu ra nào làm hiện lại điểm đang bị ẩn.</s:t>
        </s:is>
      </s:c>
      <s:c r="D20377" s="117" t="inlineStr"/>
      <s:c r="E20377" s="118" t="inlineStr">
        <s:is>
          <s:t>Chưa thực hiện</s:t>
        </s:is>
      </s:c>
    </s:row>
    <s:row r="20378" ht="3" customHeight="1">
      <s:c r="A20378" s="102" t="inlineStr"/>
      <s:c r="B20378" s="99" t="n"/>
      <s:c r="C20378" s="99" t="n"/>
      <s:c r="D20378" s="116" t="n"/>
      <s:c r="E20378" s="116" t="n"/>
    </s:row>
    <s:row r="20379" ht="90" customHeight="1">
      <s:c r="A20379" s="83" t="inlineStr">
        <s:is>
          <s:t>Phiếu điểm (report)</s:t>
        </s:is>
      </s:c>
      <s:c r="B20379" s="83" t="inlineStr">
        <s:is>
          <s:r>
            <s:t xml:space="preserve">Mục </s:t>
          </s:r>
          <s:r>
            <s:rPr>
              <s:b val="1"/>
            </s:rPr>
            <s:t>M=100</s:t>
          </s:r>
          <s:r>
            <s:t xml:space="preserve"> bị ẩn cho G-B qua Thiết </s:t>
          </s:r>
          <s:r>
            <s:rPr>
              <s:b val="1"/>
            </s:rPr>
            <s:t>lập ẩn mục nhập（入力項目の非表示設定）</s:t>
          </s:r>
          <s:r>
            <s:t xml:space="preserve">; chạy xét rồi xem PDF </s:t>
          </s:r>
          <s:r>
            <s:rPr>
              <s:b val="1"/>
            </s:rPr>
            <s:t>Công cụ phiếu điểm（通知表ツール）</s:t>
          </s:r>
          <s:r>
            <s:t xml:space="preserve"> cho S06. Có xét hay không vẫn TBD; không tự kết luận phần đó.</s:t>
          </s:r>
        </s:is>
      </s:c>
      <s:c r="C20379" s="83" t="inlineStr">
        <s:is>
          <s:t>Có xét hay không: TBD (chưa chốt). CONFIRMED phần không tranh chấp: không đầu ra nào làm hiện lại điểm đang bị ẩn.</s:t>
        </s:is>
      </s:c>
      <s:c r="D20379" s="117" t="inlineStr"/>
      <s:c r="E20379" s="118" t="inlineStr">
        <s:is>
          <s:t>Chưa thực hiện</s:t>
        </s:is>
      </s:c>
    </s:row>
    <s:row r="20380" ht="20" customHeight="1">
      <s:c r="A20380" s="119" t="inlineStr">
        <s:is>
          <s:t>Ảnh minh chứng — Chưa có ảnh</s:t>
        </s:is>
      </s:c>
      <s:c r="B20380" s="19" t="n"/>
      <s:c r="C20380" s="19" t="n"/>
      <s:c r="D20380" s="19" t="n"/>
      <s:c r="E20380" s="19" t="n"/>
    </s:row>
    <s:row r="20381" hidden="1" ht="1" customHeight="1">
      <s:c r="A20381" s="120" t="inlineStr"/>
      <s:c r="B20381" s="121" t="n"/>
      <s:c r="C20381" s="121" t="n"/>
      <s:c r="D20381" s="121" t="n"/>
      <s:c r="E20381" s="122" t="n"/>
    </s:row>
    <s:row r="20382" hidden="1" ht="1" customHeight="1">
      <s:c r="A20382" s="120" t="inlineStr"/>
      <s:c r="B20382" s="121" t="n"/>
      <s:c r="C20382" s="121" t="n"/>
      <s:c r="D20382" s="121" t="n"/>
      <s:c r="E20382" s="122" t="n"/>
    </s:row>
    <s:row r="20383" hidden="1" ht="1" customHeight="1">
      <s:c r="A20383" s="120" t="inlineStr"/>
      <s:c r="B20383" s="121" t="n"/>
      <s:c r="C20383" s="121" t="n"/>
      <s:c r="D20383" s="121" t="n"/>
      <s:c r="E20383" s="122" t="n"/>
    </s:row>
    <s:row r="20384" hidden="1" ht="1" customHeight="1">
      <s:c r="A20384" s="120" t="inlineStr"/>
      <s:c r="B20384" s="121" t="n"/>
      <s:c r="C20384" s="121" t="n"/>
      <s:c r="D20384" s="121" t="n"/>
      <s:c r="E20384" s="122" t="n"/>
    </s:row>
    <s:row r="20385" hidden="1" ht="1" customHeight="1">
      <s:c r="A20385" s="120" t="inlineStr"/>
      <s:c r="B20385" s="121" t="n"/>
      <s:c r="C20385" s="121" t="n"/>
      <s:c r="D20385" s="121" t="n"/>
      <s:c r="E20385" s="122" t="n"/>
    </s:row>
    <s:row r="20386" hidden="1" ht="1" customHeight="1">
      <s:c r="A20386" s="120" t="inlineStr"/>
      <s:c r="B20386" s="121" t="n"/>
      <s:c r="C20386" s="121" t="n"/>
      <s:c r="D20386" s="121" t="n"/>
      <s:c r="E20386" s="122" t="n"/>
    </s:row>
    <s:row r="20387" hidden="1" ht="1" customHeight="1">
      <s:c r="A20387" s="120" t="inlineStr"/>
      <s:c r="B20387" s="121" t="n"/>
      <s:c r="C20387" s="121" t="n"/>
      <s:c r="D20387" s="121" t="n"/>
      <s:c r="E20387" s="122" t="n"/>
    </s:row>
    <s:row r="20388" hidden="1" ht="1" customHeight="1">
      <s:c r="A20388" s="120" t="inlineStr"/>
      <s:c r="B20388" s="121" t="n"/>
      <s:c r="C20388" s="121" t="n"/>
      <s:c r="D20388" s="121" t="n"/>
      <s:c r="E20388" s="122" t="n"/>
    </s:row>
    <s:row r="20389" hidden="1" ht="1" customHeight="1">
      <s:c r="A20389" s="120" t="inlineStr"/>
      <s:c r="B20389" s="121" t="n"/>
      <s:c r="C20389" s="121" t="n"/>
      <s:c r="D20389" s="121" t="n"/>
      <s:c r="E20389" s="122" t="n"/>
    </s:row>
    <s:row r="20390" hidden="1" ht="1" customHeight="1">
      <s:c r="A20390" s="120" t="inlineStr"/>
      <s:c r="B20390" s="121" t="n"/>
      <s:c r="C20390" s="121" t="n"/>
      <s:c r="D20390" s="121" t="n"/>
      <s:c r="E20390" s="122" t="n"/>
    </s:row>
    <s:row r="20391" hidden="1" ht="1" customHeight="1">
      <s:c r="A20391" s="120" t="inlineStr"/>
      <s:c r="B20391" s="121" t="n"/>
      <s:c r="C20391" s="121" t="n"/>
      <s:c r="D20391" s="121" t="n"/>
      <s:c r="E20391" s="122" t="n"/>
    </s:row>
    <s:row r="20392" hidden="1" ht="1" customHeight="1">
      <s:c r="A20392" s="120" t="inlineStr"/>
      <s:c r="B20392" s="121" t="n"/>
      <s:c r="C20392" s="121" t="n"/>
      <s:c r="D20392" s="121" t="n"/>
      <s:c r="E20392" s="122" t="n"/>
    </s:row>
    <s:row r="20393" hidden="1" ht="1" customHeight="1">
      <s:c r="A20393" s="120" t="inlineStr"/>
      <s:c r="B20393" s="121" t="n"/>
      <s:c r="C20393" s="121" t="n"/>
      <s:c r="D20393" s="121" t="n"/>
      <s:c r="E20393" s="122" t="n"/>
    </s:row>
    <s:row r="20394" hidden="1" ht="1" customHeight="1">
      <s:c r="A20394" s="120" t="inlineStr"/>
      <s:c r="B20394" s="121" t="n"/>
      <s:c r="C20394" s="121" t="n"/>
      <s:c r="D20394" s="121" t="n"/>
      <s:c r="E20394" s="122" t="n"/>
    </s:row>
    <s:row r="20395" hidden="1" ht="1" customHeight="1">
      <s:c r="A20395" s="120" t="inlineStr"/>
      <s:c r="B20395" s="121" t="n"/>
      <s:c r="C20395" s="121" t="n"/>
      <s:c r="D20395" s="121" t="n"/>
      <s:c r="E20395" s="122" t="n"/>
    </s:row>
    <s:row r="20396" hidden="1" ht="1" customHeight="1">
      <s:c r="A20396" s="120" t="inlineStr"/>
      <s:c r="B20396" s="121" t="n"/>
      <s:c r="C20396" s="121" t="n"/>
      <s:c r="D20396" s="121" t="n"/>
      <s:c r="E20396" s="122" t="n"/>
    </s:row>
    <s:row r="20397" hidden="1" ht="1" customHeight="1">
      <s:c r="A20397" s="120" t="inlineStr"/>
      <s:c r="B20397" s="121" t="n"/>
      <s:c r="C20397" s="121" t="n"/>
      <s:c r="D20397" s="121" t="n"/>
      <s:c r="E20397" s="122" t="n"/>
    </s:row>
    <s:row r="20398" hidden="1" ht="1" customHeight="1">
      <s:c r="A20398" s="120" t="inlineStr"/>
      <s:c r="B20398" s="121" t="n"/>
      <s:c r="C20398" s="121" t="n"/>
      <s:c r="D20398" s="121" t="n"/>
      <s:c r="E20398" s="122" t="n"/>
    </s:row>
    <s:row r="20399" hidden="1" ht="1" customHeight="1">
      <s:c r="A20399" s="120" t="inlineStr"/>
      <s:c r="B20399" s="121" t="n"/>
      <s:c r="C20399" s="121" t="n"/>
      <s:c r="D20399" s="121" t="n"/>
      <s:c r="E20399" s="122" t="n"/>
    </s:row>
    <s:row r="20400" hidden="1" ht="1" customHeight="1">
      <s:c r="A20400" s="120" t="inlineStr"/>
      <s:c r="B20400" s="121" t="n"/>
      <s:c r="C20400" s="121" t="n"/>
      <s:c r="D20400" s="121" t="n"/>
      <s:c r="E20400" s="122" t="n"/>
    </s:row>
    <s:row r="20401" hidden="1" ht="1" customHeight="1">
      <s:c r="A20401" s="120" t="inlineStr"/>
      <s:c r="B20401" s="121" t="n"/>
      <s:c r="C20401" s="121" t="n"/>
      <s:c r="D20401" s="121" t="n"/>
      <s:c r="E20401" s="122" t="n"/>
    </s:row>
    <s:row r="20402" hidden="1" ht="1" customHeight="1">
      <s:c r="A20402" s="120" t="inlineStr"/>
      <s:c r="B20402" s="121" t="n"/>
      <s:c r="C20402" s="121" t="n"/>
      <s:c r="D20402" s="121" t="n"/>
      <s:c r="E20402" s="122" t="n"/>
    </s:row>
    <s:row r="20403" hidden="1" ht="1" customHeight="1">
      <s:c r="A20403" s="120" t="inlineStr"/>
      <s:c r="B20403" s="121" t="n"/>
      <s:c r="C20403" s="121" t="n"/>
      <s:c r="D20403" s="121" t="n"/>
      <s:c r="E20403" s="122" t="n"/>
    </s:row>
    <s:row r="20404" hidden="1" ht="1" customHeight="1">
      <s:c r="A20404" s="120" t="inlineStr"/>
      <s:c r="B20404" s="121" t="n"/>
      <s:c r="C20404" s="121" t="n"/>
      <s:c r="D20404" s="121" t="n"/>
      <s:c r="E20404" s="122" t="n"/>
    </s:row>
    <s:row r="20405" hidden="1" ht="1" customHeight="1">
      <s:c r="A20405" s="120" t="inlineStr"/>
      <s:c r="B20405" s="121" t="n"/>
      <s:c r="C20405" s="121" t="n"/>
      <s:c r="D20405" s="121" t="n"/>
      <s:c r="E20405" s="122" t="n"/>
    </s:row>
    <s:row r="20406" hidden="1" ht="1" customHeight="1">
      <s:c r="A20406" s="120" t="inlineStr"/>
      <s:c r="B20406" s="121" t="n"/>
      <s:c r="C20406" s="121" t="n"/>
      <s:c r="D20406" s="121" t="n"/>
      <s:c r="E20406" s="122" t="n"/>
    </s:row>
    <s:row r="20407" hidden="1" ht="1" customHeight="1">
      <s:c r="A20407" s="120" t="inlineStr"/>
      <s:c r="B20407" s="121" t="n"/>
      <s:c r="C20407" s="121" t="n"/>
      <s:c r="D20407" s="121" t="n"/>
      <s:c r="E20407" s="122" t="n"/>
    </s:row>
    <s:row r="20408" hidden="1" ht="1" customHeight="1">
      <s:c r="A20408" s="120" t="inlineStr"/>
      <s:c r="B20408" s="121" t="n"/>
      <s:c r="C20408" s="121" t="n"/>
      <s:c r="D20408" s="121" t="n"/>
      <s:c r="E20408" s="122" t="n"/>
    </s:row>
    <s:row r="20409" hidden="1" ht="1" customHeight="1">
      <s:c r="A20409" s="120" t="inlineStr"/>
      <s:c r="B20409" s="121" t="n"/>
      <s:c r="C20409" s="121" t="n"/>
      <s:c r="D20409" s="121" t="n"/>
      <s:c r="E20409" s="122" t="n"/>
    </s:row>
    <s:row r="20410" hidden="1" ht="1" customHeight="1">
      <s:c r="A20410" s="120" t="inlineStr"/>
      <s:c r="B20410" s="121" t="n"/>
      <s:c r="C20410" s="121" t="n"/>
      <s:c r="D20410" s="121" t="n"/>
      <s:c r="E20410" s="122" t="n"/>
    </s:row>
    <s:row r="20411" hidden="1" ht="1" customHeight="1">
      <s:c r="A20411" s="120" t="inlineStr"/>
      <s:c r="B20411" s="121" t="n"/>
      <s:c r="C20411" s="121" t="n"/>
      <s:c r="D20411" s="121" t="n"/>
      <s:c r="E20411" s="122" t="n"/>
    </s:row>
    <s:row r="20412" hidden="1" ht="1" customHeight="1">
      <s:c r="A20412" s="120" t="inlineStr"/>
      <s:c r="B20412" s="121" t="n"/>
      <s:c r="C20412" s="121" t="n"/>
      <s:c r="D20412" s="121" t="n"/>
      <s:c r="E20412" s="122" t="n"/>
    </s:row>
    <s:row r="20413" hidden="1" ht="1" customHeight="1">
      <s:c r="A20413" s="120" t="inlineStr"/>
      <s:c r="B20413" s="121" t="n"/>
      <s:c r="C20413" s="121" t="n"/>
      <s:c r="D20413" s="121" t="n"/>
      <s:c r="E20413" s="122" t="n"/>
    </s:row>
    <s:row r="20414" hidden="1" ht="1" customHeight="1">
      <s:c r="A20414" s="120" t="inlineStr"/>
      <s:c r="B20414" s="121" t="n"/>
      <s:c r="C20414" s="121" t="n"/>
      <s:c r="D20414" s="121" t="n"/>
      <s:c r="E20414" s="122" t="n"/>
    </s:row>
    <s:row r="20415" hidden="1" ht="1" customHeight="1">
      <s:c r="A20415" s="120" t="inlineStr"/>
      <s:c r="B20415" s="121" t="n"/>
      <s:c r="C20415" s="121" t="n"/>
      <s:c r="D20415" s="121" t="n"/>
      <s:c r="E20415" s="122" t="n"/>
    </s:row>
    <s:row r="20416" hidden="1" ht="1" customHeight="1">
      <s:c r="A20416" s="120" t="inlineStr"/>
      <s:c r="B20416" s="121" t="n"/>
      <s:c r="C20416" s="121" t="n"/>
      <s:c r="D20416" s="121" t="n"/>
      <s:c r="E20416" s="122" t="n"/>
    </s:row>
    <s:row r="20417" hidden="1" ht="1" customHeight="1">
      <s:c r="A20417" s="120" t="inlineStr"/>
      <s:c r="B20417" s="121" t="n"/>
      <s:c r="C20417" s="121" t="n"/>
      <s:c r="D20417" s="121" t="n"/>
      <s:c r="E20417" s="122" t="n"/>
    </s:row>
    <s:row r="20418" hidden="1" ht="1" customHeight="1">
      <s:c r="A20418" s="120" t="inlineStr"/>
      <s:c r="B20418" s="121" t="n"/>
      <s:c r="C20418" s="121" t="n"/>
      <s:c r="D20418" s="121" t="n"/>
      <s:c r="E20418" s="122" t="n"/>
    </s:row>
    <s:row r="20419" hidden="1" ht="1" customHeight="1">
      <s:c r="A20419" s="120" t="inlineStr"/>
      <s:c r="B20419" s="121" t="n"/>
      <s:c r="C20419" s="121" t="n"/>
      <s:c r="D20419" s="121" t="n"/>
      <s:c r="E20419" s="122" t="n"/>
    </s:row>
    <s:row r="20420" hidden="1" ht="1" customHeight="1">
      <s:c r="A20420" s="120" t="inlineStr"/>
      <s:c r="B20420" s="121" t="n"/>
      <s:c r="C20420" s="121" t="n"/>
      <s:c r="D20420" s="121" t="n"/>
      <s:c r="E20420" s="122" t="n"/>
    </s:row>
    <s:row r="20421" hidden="1" ht="1" customHeight="1">
      <s:c r="A20421" s="120" t="inlineStr"/>
      <s:c r="B20421" s="121" t="n"/>
      <s:c r="C20421" s="121" t="n"/>
      <s:c r="D20421" s="121" t="n"/>
      <s:c r="E20421" s="122" t="n"/>
    </s:row>
    <s:row r="20422" hidden="1" ht="1" customHeight="1">
      <s:c r="A20422" s="120" t="inlineStr"/>
      <s:c r="B20422" s="121" t="n"/>
      <s:c r="C20422" s="121" t="n"/>
      <s:c r="D20422" s="121" t="n"/>
      <s:c r="E20422" s="122" t="n"/>
    </s:row>
    <s:row r="20423" hidden="1" ht="1" customHeight="1">
      <s:c r="A20423" s="120" t="inlineStr"/>
      <s:c r="B20423" s="121" t="n"/>
      <s:c r="C20423" s="121" t="n"/>
      <s:c r="D20423" s="121" t="n"/>
      <s:c r="E20423" s="122" t="n"/>
    </s:row>
    <s:row r="20424" hidden="1" ht="1" customHeight="1">
      <s:c r="A20424" s="120" t="inlineStr"/>
      <s:c r="B20424" s="121" t="n"/>
      <s:c r="C20424" s="121" t="n"/>
      <s:c r="D20424" s="121" t="n"/>
      <s:c r="E20424" s="122" t="n"/>
    </s:row>
    <s:row r="20425" hidden="1" ht="1" customHeight="1">
      <s:c r="A20425" s="120" t="inlineStr"/>
      <s:c r="B20425" s="121" t="n"/>
      <s:c r="C20425" s="121" t="n"/>
      <s:c r="D20425" s="121" t="n"/>
      <s:c r="E20425" s="122" t="n"/>
    </s:row>
    <s:row r="20426" hidden="1" ht="1" customHeight="1">
      <s:c r="A20426" s="120" t="inlineStr"/>
      <s:c r="B20426" s="121" t="n"/>
      <s:c r="C20426" s="121" t="n"/>
      <s:c r="D20426" s="121" t="n"/>
      <s:c r="E20426" s="122" t="n"/>
    </s:row>
    <s:row r="20427" hidden="1" ht="1" customHeight="1">
      <s:c r="A20427" s="120" t="inlineStr"/>
      <s:c r="B20427" s="121" t="n"/>
      <s:c r="C20427" s="121" t="n"/>
      <s:c r="D20427" s="121" t="n"/>
      <s:c r="E20427" s="122" t="n"/>
    </s:row>
    <s:row r="20428" hidden="1" ht="1" customHeight="1">
      <s:c r="A20428" s="120" t="inlineStr"/>
      <s:c r="B20428" s="121" t="n"/>
      <s:c r="C20428" s="121" t="n"/>
      <s:c r="D20428" s="121" t="n"/>
      <s:c r="E20428" s="122" t="n"/>
    </s:row>
    <s:row r="20429" hidden="1" ht="1" customHeight="1">
      <s:c r="A20429" s="120" t="inlineStr"/>
      <s:c r="B20429" s="121" t="n"/>
      <s:c r="C20429" s="121" t="n"/>
      <s:c r="D20429" s="121" t="n"/>
      <s:c r="E20429" s="122" t="n"/>
    </s:row>
    <s:row r="20430" hidden="1" ht="1" customHeight="1">
      <s:c r="A20430" s="120" t="inlineStr"/>
      <s:c r="B20430" s="121" t="n"/>
      <s:c r="C20430" s="121" t="n"/>
      <s:c r="D20430" s="121" t="n"/>
      <s:c r="E20430" s="122" t="n"/>
    </s:row>
    <s:row r="20431" hidden="1" ht="1" customHeight="1">
      <s:c r="A20431" s="120" t="inlineStr"/>
      <s:c r="B20431" s="121" t="n"/>
      <s:c r="C20431" s="121" t="n"/>
      <s:c r="D20431" s="121" t="n"/>
      <s:c r="E20431" s="122" t="n"/>
    </s:row>
    <s:row r="20432" hidden="1" ht="1" customHeight="1">
      <s:c r="A20432" s="120" t="inlineStr"/>
      <s:c r="B20432" s="121" t="n"/>
      <s:c r="C20432" s="121" t="n"/>
      <s:c r="D20432" s="121" t="n"/>
      <s:c r="E20432" s="122" t="n"/>
    </s:row>
    <s:row r="20433" hidden="1" ht="1" customHeight="1">
      <s:c r="A20433" s="120" t="inlineStr"/>
      <s:c r="B20433" s="121" t="n"/>
      <s:c r="C20433" s="121" t="n"/>
      <s:c r="D20433" s="121" t="n"/>
      <s:c r="E20433" s="122" t="n"/>
    </s:row>
    <s:row r="20434" hidden="1" ht="1" customHeight="1">
      <s:c r="A20434" s="120" t="inlineStr"/>
      <s:c r="B20434" s="121" t="n"/>
      <s:c r="C20434" s="121" t="n"/>
      <s:c r="D20434" s="121" t="n"/>
      <s:c r="E20434" s="122" t="n"/>
    </s:row>
    <s:row r="20435" hidden="1" ht="1" customHeight="1">
      <s:c r="A20435" s="120" t="inlineStr"/>
      <s:c r="B20435" s="121" t="n"/>
      <s:c r="C20435" s="121" t="n"/>
      <s:c r="D20435" s="121" t="n"/>
      <s:c r="E20435" s="122" t="n"/>
    </s:row>
    <s:row r="20436" hidden="1" ht="1" customHeight="1">
      <s:c r="A20436" s="120" t="inlineStr"/>
      <s:c r="B20436" s="121" t="n"/>
      <s:c r="C20436" s="121" t="n"/>
      <s:c r="D20436" s="121" t="n"/>
      <s:c r="E20436" s="122" t="n"/>
    </s:row>
    <s:row r="20437" hidden="1" ht="1" customHeight="1">
      <s:c r="A20437" s="120" t="inlineStr"/>
      <s:c r="B20437" s="121" t="n"/>
      <s:c r="C20437" s="121" t="n"/>
      <s:c r="D20437" s="121" t="n"/>
      <s:c r="E20437" s="122" t="n"/>
    </s:row>
    <s:row r="20438" hidden="1" ht="1" customHeight="1">
      <s:c r="A20438" s="120" t="inlineStr"/>
      <s:c r="B20438" s="121" t="n"/>
      <s:c r="C20438" s="121" t="n"/>
      <s:c r="D20438" s="121" t="n"/>
      <s:c r="E20438" s="122" t="n"/>
    </s:row>
    <s:row r="20439" hidden="1" ht="1" customHeight="1">
      <s:c r="A20439" s="120" t="inlineStr"/>
      <s:c r="B20439" s="121" t="n"/>
      <s:c r="C20439" s="121" t="n"/>
      <s:c r="D20439" s="121" t="n"/>
      <s:c r="E20439" s="122" t="n"/>
    </s:row>
    <s:row r="20440" hidden="1" ht="1" customHeight="1">
      <s:c r="A20440" s="120" t="inlineStr"/>
      <s:c r="B20440" s="121" t="n"/>
      <s:c r="C20440" s="121" t="n"/>
      <s:c r="D20440" s="121" t="n"/>
      <s:c r="E20440" s="122" t="n"/>
    </s:row>
    <s:row r="20441" hidden="1" ht="1" customHeight="1">
      <s:c r="A20441" s="120" t="inlineStr"/>
      <s:c r="B20441" s="121" t="n"/>
      <s:c r="C20441" s="121" t="n"/>
      <s:c r="D20441" s="121" t="n"/>
      <s:c r="E20441" s="122" t="n"/>
    </s:row>
    <s:row r="20442" hidden="1" ht="1" customHeight="1">
      <s:c r="A20442" s="120" t="inlineStr"/>
      <s:c r="B20442" s="121" t="n"/>
      <s:c r="C20442" s="121" t="n"/>
      <s:c r="D20442" s="121" t="n"/>
      <s:c r="E20442" s="122" t="n"/>
    </s:row>
    <s:row r="20443" hidden="1" ht="1" customHeight="1">
      <s:c r="A20443" s="120" t="inlineStr"/>
      <s:c r="B20443" s="121" t="n"/>
      <s:c r="C20443" s="121" t="n"/>
      <s:c r="D20443" s="121" t="n"/>
      <s:c r="E20443" s="122" t="n"/>
    </s:row>
    <s:row r="20444" hidden="1" ht="1" customHeight="1">
      <s:c r="A20444" s="120" t="inlineStr"/>
      <s:c r="B20444" s="121" t="n"/>
      <s:c r="C20444" s="121" t="n"/>
      <s:c r="D20444" s="121" t="n"/>
      <s:c r="E20444" s="122" t="n"/>
    </s:row>
    <s:row r="20445" hidden="1" ht="1" customHeight="1">
      <s:c r="A20445" s="120" t="inlineStr"/>
      <s:c r="B20445" s="121" t="n"/>
      <s:c r="C20445" s="121" t="n"/>
      <s:c r="D20445" s="121" t="n"/>
      <s:c r="E20445" s="122" t="n"/>
    </s:row>
    <s:row r="20446" hidden="1" ht="1" customHeight="1">
      <s:c r="A20446" s="120" t="inlineStr"/>
      <s:c r="B20446" s="121" t="n"/>
      <s:c r="C20446" s="121" t="n"/>
      <s:c r="D20446" s="121" t="n"/>
      <s:c r="E20446" s="122" t="n"/>
    </s:row>
    <s:row r="20447" hidden="1" ht="1" customHeight="1">
      <s:c r="A20447" s="120" t="inlineStr"/>
      <s:c r="B20447" s="121" t="n"/>
      <s:c r="C20447" s="121" t="n"/>
      <s:c r="D20447" s="121" t="n"/>
      <s:c r="E20447" s="122" t="n"/>
    </s:row>
    <s:row r="20448" hidden="1" ht="1" customHeight="1">
      <s:c r="A20448" s="120" t="inlineStr"/>
      <s:c r="B20448" s="121" t="n"/>
      <s:c r="C20448" s="121" t="n"/>
      <s:c r="D20448" s="121" t="n"/>
      <s:c r="E20448" s="122" t="n"/>
    </s:row>
    <s:row r="20449" hidden="1" ht="1" customHeight="1">
      <s:c r="A20449" s="120" t="inlineStr"/>
      <s:c r="B20449" s="121" t="n"/>
      <s:c r="C20449" s="121" t="n"/>
      <s:c r="D20449" s="121" t="n"/>
      <s:c r="E20449" s="122" t="n"/>
    </s:row>
    <s:row r="20450" hidden="1" ht="1" customHeight="1">
      <s:c r="A20450" s="120" t="inlineStr"/>
      <s:c r="B20450" s="121" t="n"/>
      <s:c r="C20450" s="121" t="n"/>
      <s:c r="D20450" s="121" t="n"/>
      <s:c r="E20450" s="122" t="n"/>
    </s:row>
    <s:row r="20451" hidden="1" ht="1" customHeight="1">
      <s:c r="A20451" s="120" t="inlineStr"/>
      <s:c r="B20451" s="121" t="n"/>
      <s:c r="C20451" s="121" t="n"/>
      <s:c r="D20451" s="121" t="n"/>
      <s:c r="E20451" s="122" t="n"/>
    </s:row>
    <s:row r="20452" hidden="1" ht="1" customHeight="1">
      <s:c r="A20452" s="120" t="inlineStr"/>
      <s:c r="B20452" s="121" t="n"/>
      <s:c r="C20452" s="121" t="n"/>
      <s:c r="D20452" s="121" t="n"/>
      <s:c r="E20452" s="122" t="n"/>
    </s:row>
    <s:row r="20453" hidden="1" ht="1" customHeight="1">
      <s:c r="A20453" s="120" t="inlineStr"/>
      <s:c r="B20453" s="121" t="n"/>
      <s:c r="C20453" s="121" t="n"/>
      <s:c r="D20453" s="121" t="n"/>
      <s:c r="E20453" s="122" t="n"/>
    </s:row>
    <s:row r="20454" hidden="1" ht="1" customHeight="1">
      <s:c r="A20454" s="120" t="inlineStr"/>
      <s:c r="B20454" s="121" t="n"/>
      <s:c r="C20454" s="121" t="n"/>
      <s:c r="D20454" s="121" t="n"/>
      <s:c r="E20454" s="122" t="n"/>
    </s:row>
    <s:row r="20455" hidden="1" ht="1" customHeight="1">
      <s:c r="A20455" s="120" t="inlineStr"/>
      <s:c r="B20455" s="121" t="n"/>
      <s:c r="C20455" s="121" t="n"/>
      <s:c r="D20455" s="121" t="n"/>
      <s:c r="E20455" s="122" t="n"/>
    </s:row>
    <s:row r="20456" hidden="1" ht="1" customHeight="1">
      <s:c r="A20456" s="120" t="inlineStr"/>
      <s:c r="B20456" s="121" t="n"/>
      <s:c r="C20456" s="121" t="n"/>
      <s:c r="D20456" s="121" t="n"/>
      <s:c r="E20456" s="122" t="n"/>
    </s:row>
    <s:row r="20457" hidden="1" ht="1" customHeight="1">
      <s:c r="A20457" s="120" t="inlineStr"/>
      <s:c r="B20457" s="121" t="n"/>
      <s:c r="C20457" s="121" t="n"/>
      <s:c r="D20457" s="121" t="n"/>
      <s:c r="E20457" s="122" t="n"/>
    </s:row>
    <s:row r="20458" hidden="1" ht="1" customHeight="1">
      <s:c r="A20458" s="120" t="inlineStr"/>
      <s:c r="B20458" s="121" t="n"/>
      <s:c r="C20458" s="121" t="n"/>
      <s:c r="D20458" s="121" t="n"/>
      <s:c r="E20458" s="122" t="n"/>
    </s:row>
    <s:row r="20459" hidden="1" ht="1" customHeight="1">
      <s:c r="A20459" s="120" t="inlineStr"/>
      <s:c r="B20459" s="121" t="n"/>
      <s:c r="C20459" s="121" t="n"/>
      <s:c r="D20459" s="121" t="n"/>
      <s:c r="E20459" s="122" t="n"/>
    </s:row>
    <s:row r="20460" hidden="1" ht="1" customHeight="1">
      <s:c r="A20460" s="120" t="inlineStr"/>
      <s:c r="B20460" s="121" t="n"/>
      <s:c r="C20460" s="121" t="n"/>
      <s:c r="D20460" s="121" t="n"/>
      <s:c r="E20460" s="122" t="n"/>
    </s:row>
    <s:row r="20461" hidden="1" ht="1" customHeight="1">
      <s:c r="A20461" s="120" t="inlineStr"/>
      <s:c r="B20461" s="121" t="n"/>
      <s:c r="C20461" s="121" t="n"/>
      <s:c r="D20461" s="121" t="n"/>
      <s:c r="E20461" s="122" t="n"/>
    </s:row>
    <s:row r="20462" hidden="1" ht="1" customHeight="1">
      <s:c r="A20462" s="120" t="inlineStr"/>
      <s:c r="B20462" s="121" t="n"/>
      <s:c r="C20462" s="121" t="n"/>
      <s:c r="D20462" s="121" t="n"/>
      <s:c r="E20462" s="122" t="n"/>
    </s:row>
    <s:row r="20463" hidden="1" ht="1" customHeight="1">
      <s:c r="A20463" s="120" t="inlineStr"/>
      <s:c r="B20463" s="121" t="n"/>
      <s:c r="C20463" s="121" t="n"/>
      <s:c r="D20463" s="121" t="n"/>
      <s:c r="E20463" s="122" t="n"/>
    </s:row>
    <s:row r="20464" hidden="1" ht="1" customHeight="1">
      <s:c r="A20464" s="120" t="inlineStr"/>
      <s:c r="B20464" s="121" t="n"/>
      <s:c r="C20464" s="121" t="n"/>
      <s:c r="D20464" s="121" t="n"/>
      <s:c r="E20464" s="122" t="n"/>
    </s:row>
    <s:row r="20465" hidden="1" ht="1" customHeight="1">
      <s:c r="A20465" s="120" t="inlineStr"/>
      <s:c r="B20465" s="121" t="n"/>
      <s:c r="C20465" s="121" t="n"/>
      <s:c r="D20465" s="121" t="n"/>
      <s:c r="E20465" s="122" t="n"/>
    </s:row>
    <s:row r="20466" hidden="1" ht="1" customHeight="1">
      <s:c r="A20466" s="120" t="inlineStr"/>
      <s:c r="B20466" s="121" t="n"/>
      <s:c r="C20466" s="121" t="n"/>
      <s:c r="D20466" s="121" t="n"/>
      <s:c r="E20466" s="122" t="n"/>
    </s:row>
    <s:row r="20467" hidden="1" ht="1" customHeight="1">
      <s:c r="A20467" s="120" t="inlineStr"/>
      <s:c r="B20467" s="121" t="n"/>
      <s:c r="C20467" s="121" t="n"/>
      <s:c r="D20467" s="121" t="n"/>
      <s:c r="E20467" s="122" t="n"/>
    </s:row>
    <s:row r="20468" hidden="1" ht="1" customHeight="1">
      <s:c r="A20468" s="120" t="inlineStr"/>
      <s:c r="B20468" s="121" t="n"/>
      <s:c r="C20468" s="121" t="n"/>
      <s:c r="D20468" s="121" t="n"/>
      <s:c r="E20468" s="122" t="n"/>
    </s:row>
    <s:row r="20469" hidden="1" ht="1" customHeight="1">
      <s:c r="A20469" s="120" t="inlineStr"/>
      <s:c r="B20469" s="121" t="n"/>
      <s:c r="C20469" s="121" t="n"/>
      <s:c r="D20469" s="121" t="n"/>
      <s:c r="E20469" s="122" t="n"/>
    </s:row>
    <s:row r="20470" hidden="1" ht="1" customHeight="1">
      <s:c r="A20470" s="120" t="inlineStr"/>
      <s:c r="B20470" s="121" t="n"/>
      <s:c r="C20470" s="121" t="n"/>
      <s:c r="D20470" s="121" t="n"/>
      <s:c r="E20470" s="122" t="n"/>
    </s:row>
    <s:row r="20471" hidden="1" ht="1" customHeight="1">
      <s:c r="A20471" s="120" t="inlineStr"/>
      <s:c r="B20471" s="121" t="n"/>
      <s:c r="C20471" s="121" t="n"/>
      <s:c r="D20471" s="121" t="n"/>
      <s:c r="E20471" s="122" t="n"/>
    </s:row>
    <s:row r="20472" hidden="1" ht="1" customHeight="1">
      <s:c r="A20472" s="120" t="inlineStr"/>
      <s:c r="B20472" s="121" t="n"/>
      <s:c r="C20472" s="121" t="n"/>
      <s:c r="D20472" s="121" t="n"/>
      <s:c r="E20472" s="122" t="n"/>
    </s:row>
    <s:row r="20473" hidden="1" ht="1" customHeight="1">
      <s:c r="A20473" s="120" t="inlineStr"/>
      <s:c r="B20473" s="121" t="n"/>
      <s:c r="C20473" s="121" t="n"/>
      <s:c r="D20473" s="121" t="n"/>
      <s:c r="E20473" s="122" t="n"/>
    </s:row>
    <s:row r="20474" hidden="1" ht="1" customHeight="1">
      <s:c r="A20474" s="120" t="inlineStr"/>
      <s:c r="B20474" s="121" t="n"/>
      <s:c r="C20474" s="121" t="n"/>
      <s:c r="D20474" s="121" t="n"/>
      <s:c r="E20474" s="122" t="n"/>
    </s:row>
    <s:row r="20475" hidden="1" ht="1" customHeight="1">
      <s:c r="A20475" s="120" t="inlineStr"/>
      <s:c r="B20475" s="121" t="n"/>
      <s:c r="C20475" s="121" t="n"/>
      <s:c r="D20475" s="121" t="n"/>
      <s:c r="E20475" s="122" t="n"/>
    </s:row>
    <s:row r="20476" hidden="1" ht="1" customHeight="1">
      <s:c r="A20476" s="120" t="inlineStr"/>
      <s:c r="B20476" s="121" t="n"/>
      <s:c r="C20476" s="121" t="n"/>
      <s:c r="D20476" s="121" t="n"/>
      <s:c r="E20476" s="122" t="n"/>
    </s:row>
    <s:row r="20477" hidden="1" ht="1" customHeight="1">
      <s:c r="A20477" s="120" t="inlineStr"/>
      <s:c r="B20477" s="121" t="n"/>
      <s:c r="C20477" s="121" t="n"/>
      <s:c r="D20477" s="121" t="n"/>
      <s:c r="E20477" s="122" t="n"/>
    </s:row>
    <s:row r="20478" hidden="1" ht="1" customHeight="1">
      <s:c r="A20478" s="120" t="inlineStr"/>
      <s:c r="B20478" s="121" t="n"/>
      <s:c r="C20478" s="121" t="n"/>
      <s:c r="D20478" s="121" t="n"/>
      <s:c r="E20478" s="122" t="n"/>
    </s:row>
    <s:row r="20479" hidden="1" ht="1" customHeight="1">
      <s:c r="A20479" s="120" t="inlineStr"/>
      <s:c r="B20479" s="121" t="n"/>
      <s:c r="C20479" s="121" t="n"/>
      <s:c r="D20479" s="121" t="n"/>
      <s:c r="E20479" s="122" t="n"/>
    </s:row>
    <s:row r="20480" hidden="1" ht="1" customHeight="1">
      <s:c r="A20480" s="120" t="inlineStr"/>
      <s:c r="B20480" s="121" t="n"/>
      <s:c r="C20480" s="121" t="n"/>
      <s:c r="D20480" s="121" t="n"/>
      <s:c r="E20480" s="122" t="n"/>
    </s:row>
    <s:row r="20481" hidden="1" ht="1" customHeight="1">
      <s:c r="A20481" s="120" t="inlineStr"/>
      <s:c r="B20481" s="121" t="n"/>
      <s:c r="C20481" s="121" t="n"/>
      <s:c r="D20481" s="121" t="n"/>
      <s:c r="E20481" s="122" t="n"/>
    </s:row>
    <s:row r="20482" hidden="1" ht="1" customHeight="1">
      <s:c r="A20482" s="120" t="inlineStr"/>
      <s:c r="B20482" s="121" t="n"/>
      <s:c r="C20482" s="121" t="n"/>
      <s:c r="D20482" s="121" t="n"/>
      <s:c r="E20482" s="122" t="n"/>
    </s:row>
    <s:row r="20483" hidden="1" ht="1" customHeight="1">
      <s:c r="A20483" s="120" t="inlineStr"/>
      <s:c r="B20483" s="121" t="n"/>
      <s:c r="C20483" s="121" t="n"/>
      <s:c r="D20483" s="121" t="n"/>
      <s:c r="E20483" s="122" t="n"/>
    </s:row>
    <s:row r="20484" hidden="1" ht="1" customHeight="1">
      <s:c r="A20484" s="120" t="inlineStr"/>
      <s:c r="B20484" s="121" t="n"/>
      <s:c r="C20484" s="121" t="n"/>
      <s:c r="D20484" s="121" t="n"/>
      <s:c r="E20484" s="122" t="n"/>
    </s:row>
    <s:row r="20485" hidden="1" ht="1" customHeight="1">
      <s:c r="A20485" s="120" t="inlineStr"/>
      <s:c r="B20485" s="121" t="n"/>
      <s:c r="C20485" s="121" t="n"/>
      <s:c r="D20485" s="121" t="n"/>
      <s:c r="E20485" s="122" t="n"/>
    </s:row>
    <s:row r="20486" hidden="1" ht="1" customHeight="1">
      <s:c r="A20486" s="120" t="inlineStr"/>
      <s:c r="B20486" s="121" t="n"/>
      <s:c r="C20486" s="121" t="n"/>
      <s:c r="D20486" s="121" t="n"/>
      <s:c r="E20486" s="122" t="n"/>
    </s:row>
    <s:row r="20487" hidden="1" ht="1" customHeight="1">
      <s:c r="A20487" s="120" t="inlineStr"/>
      <s:c r="B20487" s="121" t="n"/>
      <s:c r="C20487" s="121" t="n"/>
      <s:c r="D20487" s="121" t="n"/>
      <s:c r="E20487" s="122" t="n"/>
    </s:row>
    <s:row r="20488" hidden="1" ht="1" customHeight="1">
      <s:c r="A20488" s="120" t="inlineStr"/>
      <s:c r="B20488" s="121" t="n"/>
      <s:c r="C20488" s="121" t="n"/>
      <s:c r="D20488" s="121" t="n"/>
      <s:c r="E20488" s="122" t="n"/>
    </s:row>
    <s:row r="20489" hidden="1" ht="1" customHeight="1">
      <s:c r="A20489" s="120" t="inlineStr"/>
      <s:c r="B20489" s="121" t="n"/>
      <s:c r="C20489" s="121" t="n"/>
      <s:c r="D20489" s="121" t="n"/>
      <s:c r="E20489" s="122" t="n"/>
    </s:row>
    <s:row r="20490" hidden="1" ht="1" customHeight="1">
      <s:c r="A20490" s="120" t="inlineStr"/>
      <s:c r="B20490" s="121" t="n"/>
      <s:c r="C20490" s="121" t="n"/>
      <s:c r="D20490" s="121" t="n"/>
      <s:c r="E20490" s="122" t="n"/>
    </s:row>
    <s:row r="20491" hidden="1" ht="1" customHeight="1">
      <s:c r="A20491" s="120" t="inlineStr"/>
      <s:c r="B20491" s="121" t="n"/>
      <s:c r="C20491" s="121" t="n"/>
      <s:c r="D20491" s="121" t="n"/>
      <s:c r="E20491" s="122" t="n"/>
    </s:row>
    <s:row r="20492" hidden="1" ht="1" customHeight="1">
      <s:c r="A20492" s="120" t="inlineStr"/>
      <s:c r="B20492" s="121" t="n"/>
      <s:c r="C20492" s="121" t="n"/>
      <s:c r="D20492" s="121" t="n"/>
      <s:c r="E20492" s="122" t="n"/>
    </s:row>
    <s:row r="20493" hidden="1" ht="1" customHeight="1">
      <s:c r="A20493" s="120" t="inlineStr"/>
      <s:c r="B20493" s="121" t="n"/>
      <s:c r="C20493" s="121" t="n"/>
      <s:c r="D20493" s="121" t="n"/>
      <s:c r="E20493" s="122" t="n"/>
    </s:row>
    <s:row r="20494" hidden="1" ht="1" customHeight="1">
      <s:c r="A20494" s="120" t="inlineStr"/>
      <s:c r="B20494" s="121" t="n"/>
      <s:c r="C20494" s="121" t="n"/>
      <s:c r="D20494" s="121" t="n"/>
      <s:c r="E20494" s="122" t="n"/>
    </s:row>
    <s:row r="20495" hidden="1" ht="1" customHeight="1">
      <s:c r="A20495" s="120" t="inlineStr"/>
      <s:c r="B20495" s="121" t="n"/>
      <s:c r="C20495" s="121" t="n"/>
      <s:c r="D20495" s="121" t="n"/>
      <s:c r="E20495" s="122" t="n"/>
    </s:row>
    <s:row r="20496" hidden="1" ht="1" customHeight="1">
      <s:c r="A20496" s="120" t="inlineStr"/>
      <s:c r="B20496" s="121" t="n"/>
      <s:c r="C20496" s="121" t="n"/>
      <s:c r="D20496" s="121" t="n"/>
      <s:c r="E20496" s="122" t="n"/>
    </s:row>
    <s:row r="20497" hidden="1" ht="1" customHeight="1">
      <s:c r="A20497" s="120" t="inlineStr"/>
      <s:c r="B20497" s="121" t="n"/>
      <s:c r="C20497" s="121" t="n"/>
      <s:c r="D20497" s="121" t="n"/>
      <s:c r="E20497" s="122" t="n"/>
    </s:row>
    <s:row r="20498" hidden="1" ht="1" customHeight="1">
      <s:c r="A20498" s="120" t="inlineStr"/>
      <s:c r="B20498" s="121" t="n"/>
      <s:c r="C20498" s="121" t="n"/>
      <s:c r="D20498" s="121" t="n"/>
      <s:c r="E20498" s="122" t="n"/>
    </s:row>
    <s:row r="20499" hidden="1" ht="1" customHeight="1">
      <s:c r="A20499" s="120" t="inlineStr"/>
      <s:c r="B20499" s="121" t="n"/>
      <s:c r="C20499" s="121" t="n"/>
      <s:c r="D20499" s="121" t="n"/>
      <s:c r="E20499" s="122" t="n"/>
    </s:row>
    <s:row r="20500" hidden="1" ht="1" customHeight="1">
      <s:c r="A20500" s="120" t="inlineStr"/>
      <s:c r="B20500" s="121" t="n"/>
      <s:c r="C20500" s="121" t="n"/>
      <s:c r="D20500" s="121" t="n"/>
      <s:c r="E20500" s="122" t="n"/>
    </s:row>
    <s:row r="20501" hidden="1" ht="1" customHeight="1">
      <s:c r="A20501" s="120" t="inlineStr"/>
      <s:c r="B20501" s="121" t="n"/>
      <s:c r="C20501" s="121" t="n"/>
      <s:c r="D20501" s="121" t="n"/>
      <s:c r="E20501" s="122" t="n"/>
    </s:row>
    <s:row r="20502" hidden="1" ht="1" customHeight="1">
      <s:c r="A20502" s="120" t="inlineStr"/>
      <s:c r="B20502" s="121" t="n"/>
      <s:c r="C20502" s="121" t="n"/>
      <s:c r="D20502" s="121" t="n"/>
      <s:c r="E20502" s="122" t="n"/>
    </s:row>
    <s:row r="20503" hidden="1" ht="1" customHeight="1">
      <s:c r="A20503" s="120" t="inlineStr"/>
      <s:c r="B20503" s="121" t="n"/>
      <s:c r="C20503" s="121" t="n"/>
      <s:c r="D20503" s="121" t="n"/>
      <s:c r="E20503" s="122" t="n"/>
    </s:row>
    <s:row r="20504" hidden="1" ht="1" customHeight="1">
      <s:c r="A20504" s="120" t="inlineStr"/>
      <s:c r="B20504" s="121" t="n"/>
      <s:c r="C20504" s="121" t="n"/>
      <s:c r="D20504" s="121" t="n"/>
      <s:c r="E20504" s="122" t="n"/>
    </s:row>
    <s:row r="20505" hidden="1" ht="1" customHeight="1">
      <s:c r="A20505" s="120" t="inlineStr"/>
      <s:c r="B20505" s="121" t="n"/>
      <s:c r="C20505" s="121" t="n"/>
      <s:c r="D20505" s="121" t="n"/>
      <s:c r="E20505" s="122" t="n"/>
    </s:row>
    <s:row r="20506" hidden="1" ht="1" customHeight="1">
      <s:c r="A20506" s="120" t="inlineStr"/>
      <s:c r="B20506" s="121" t="n"/>
      <s:c r="C20506" s="121" t="n"/>
      <s:c r="D20506" s="121" t="n"/>
      <s:c r="E20506" s="122" t="n"/>
    </s:row>
    <s:row r="20507" hidden="1" ht="1" customHeight="1">
      <s:c r="A20507" s="120" t="inlineStr"/>
      <s:c r="B20507" s="121" t="n"/>
      <s:c r="C20507" s="121" t="n"/>
      <s:c r="D20507" s="121" t="n"/>
      <s:c r="E20507" s="122" t="n"/>
    </s:row>
    <s:row r="20508" hidden="1" ht="1" customHeight="1">
      <s:c r="A20508" s="120" t="inlineStr"/>
      <s:c r="B20508" s="121" t="n"/>
      <s:c r="C20508" s="121" t="n"/>
      <s:c r="D20508" s="121" t="n"/>
      <s:c r="E20508" s="122" t="n"/>
    </s:row>
    <s:row r="20509" hidden="1" ht="1" customHeight="1">
      <s:c r="A20509" s="120" t="inlineStr"/>
      <s:c r="B20509" s="121" t="n"/>
      <s:c r="C20509" s="121" t="n"/>
      <s:c r="D20509" s="121" t="n"/>
      <s:c r="E20509" s="122" t="n"/>
    </s:row>
    <s:row r="20510" hidden="1" ht="1" customHeight="1">
      <s:c r="A20510" s="120" t="inlineStr"/>
      <s:c r="B20510" s="121" t="n"/>
      <s:c r="C20510" s="121" t="n"/>
      <s:c r="D20510" s="121" t="n"/>
      <s:c r="E20510" s="122" t="n"/>
    </s:row>
    <s:row r="20511" hidden="1" ht="1" customHeight="1">
      <s:c r="A20511" s="120" t="inlineStr"/>
      <s:c r="B20511" s="121" t="n"/>
      <s:c r="C20511" s="121" t="n"/>
      <s:c r="D20511" s="121" t="n"/>
      <s:c r="E20511" s="122" t="n"/>
    </s:row>
    <s:row r="20512" hidden="1" ht="1" customHeight="1">
      <s:c r="A20512" s="120" t="inlineStr"/>
      <s:c r="B20512" s="121" t="n"/>
      <s:c r="C20512" s="121" t="n"/>
      <s:c r="D20512" s="121" t="n"/>
      <s:c r="E20512" s="122" t="n"/>
    </s:row>
    <s:row r="20513" hidden="1" ht="1" customHeight="1">
      <s:c r="A20513" s="120" t="inlineStr"/>
      <s:c r="B20513" s="121" t="n"/>
      <s:c r="C20513" s="121" t="n"/>
      <s:c r="D20513" s="121" t="n"/>
      <s:c r="E20513" s="122" t="n"/>
    </s:row>
    <s:row r="20514" hidden="1" ht="1" customHeight="1">
      <s:c r="A20514" s="120" t="inlineStr"/>
      <s:c r="B20514" s="121" t="n"/>
      <s:c r="C20514" s="121" t="n"/>
      <s:c r="D20514" s="121" t="n"/>
      <s:c r="E20514" s="122" t="n"/>
    </s:row>
    <s:row r="20515" hidden="1" ht="1" customHeight="1">
      <s:c r="A20515" s="120" t="inlineStr"/>
      <s:c r="B20515" s="121" t="n"/>
      <s:c r="C20515" s="121" t="n"/>
      <s:c r="D20515" s="121" t="n"/>
      <s:c r="E20515" s="122" t="n"/>
    </s:row>
    <s:row r="20516" hidden="1" ht="1" customHeight="1">
      <s:c r="A20516" s="120" t="inlineStr"/>
      <s:c r="B20516" s="121" t="n"/>
      <s:c r="C20516" s="121" t="n"/>
      <s:c r="D20516" s="121" t="n"/>
      <s:c r="E20516" s="122" t="n"/>
    </s:row>
    <s:row r="20517" hidden="1" ht="1" customHeight="1">
      <s:c r="A20517" s="120" t="inlineStr"/>
      <s:c r="B20517" s="121" t="n"/>
      <s:c r="C20517" s="121" t="n"/>
      <s:c r="D20517" s="121" t="n"/>
      <s:c r="E20517" s="122" t="n"/>
    </s:row>
    <s:row r="20518" hidden="1" ht="1" customHeight="1">
      <s:c r="A20518" s="120" t="inlineStr"/>
      <s:c r="B20518" s="121" t="n"/>
      <s:c r="C20518" s="121" t="n"/>
      <s:c r="D20518" s="121" t="n"/>
      <s:c r="E20518" s="122" t="n"/>
    </s:row>
    <s:row r="20519" hidden="1" ht="1" customHeight="1">
      <s:c r="A20519" s="120" t="inlineStr"/>
      <s:c r="B20519" s="121" t="n"/>
      <s:c r="C20519" s="121" t="n"/>
      <s:c r="D20519" s="121" t="n"/>
      <s:c r="E20519" s="122" t="n"/>
    </s:row>
    <s:row r="20520" hidden="1" ht="1" customHeight="1">
      <s:c r="A20520" s="120" t="inlineStr"/>
      <s:c r="B20520" s="121" t="n"/>
      <s:c r="C20520" s="121" t="n"/>
      <s:c r="D20520" s="121" t="n"/>
      <s:c r="E20520" s="122" t="n"/>
    </s:row>
    <s:row r="20521" hidden="1" ht="1" customHeight="1">
      <s:c r="A20521" s="120" t="inlineStr"/>
      <s:c r="B20521" s="121" t="n"/>
      <s:c r="C20521" s="121" t="n"/>
      <s:c r="D20521" s="121" t="n"/>
      <s:c r="E20521" s="122" t="n"/>
    </s:row>
    <s:row r="20522" hidden="1" ht="1" customHeight="1">
      <s:c r="A20522" s="120" t="inlineStr"/>
      <s:c r="B20522" s="121" t="n"/>
      <s:c r="C20522" s="121" t="n"/>
      <s:c r="D20522" s="121" t="n"/>
      <s:c r="E20522" s="122" t="n"/>
    </s:row>
    <s:row r="20523" hidden="1" ht="1" customHeight="1">
      <s:c r="A20523" s="120" t="inlineStr"/>
      <s:c r="B20523" s="121" t="n"/>
      <s:c r="C20523" s="121" t="n"/>
      <s:c r="D20523" s="121" t="n"/>
      <s:c r="E20523" s="122" t="n"/>
    </s:row>
    <s:row r="20524" hidden="1" ht="1" customHeight="1">
      <s:c r="A20524" s="120" t="inlineStr"/>
      <s:c r="B20524" s="121" t="n"/>
      <s:c r="C20524" s="121" t="n"/>
      <s:c r="D20524" s="121" t="n"/>
      <s:c r="E20524" s="122" t="n"/>
    </s:row>
    <s:row r="20525" hidden="1" ht="1" customHeight="1">
      <s:c r="A20525" s="83" t="inlineStr">
        <s:is>
          <s:t>PASS</s:t>
        </s:is>
      </s:c>
      <s:c r="B20525" s="83">
        <s:f>SUM(IF(EXACT('Kiểm thử'!E20375,"Đạt"),1,0),IF(EXACT('Kiểm thử'!E20377,"Đạt"),1,0),IF(EXACT('Kiểm thử'!E20379,"Đạt"),1,0))</s:f>
        <s:v/>
      </s:c>
      <s:c r="C20525" s="19" t="n"/>
      <s:c r="D20525" s="19" t="n"/>
      <s:c r="E20525" s="19" t="n"/>
    </s:row>
    <s:row r="20526" hidden="1" ht="1" customHeight="1">
      <s:c r="A20526" s="83" t="inlineStr">
        <s:is>
          <s:t>FAIL</s:t>
        </s:is>
      </s:c>
      <s:c r="B20526" s="83">
        <s:f>SUM(IF(EXACT('Kiểm thử'!E20375,"Không đạt"),1,0),IF(EXACT('Kiểm thử'!E20377,"Không đạt"),1,0),IF(EXACT('Kiểm thử'!E20379,"Không đạt"),1,0))</s:f>
        <s:v/>
      </s:c>
      <s:c r="C20526" s="19" t="n"/>
      <s:c r="D20526" s="19" t="n"/>
      <s:c r="E20526" s="19" t="n"/>
    </s:row>
    <s:row r="20527" hidden="1" ht="1" customHeight="1">
      <s:c r="A20527" s="83" t="inlineStr">
        <s:is>
          <s:t>BLOCKED</s:t>
        </s:is>
      </s:c>
      <s:c r="B20527" s="83">
        <s:f>SUM(IF(EXACT('Kiểm thử'!E20375,"Bị chặn"),1,0),IF(EXACT('Kiểm thử'!E20377,"Bị chặn"),1,0),IF(EXACT('Kiểm thử'!E20379,"Bị chặn"),1,0))</s:f>
        <s:v/>
      </s:c>
      <s:c r="C20527" s="19" t="n"/>
      <s:c r="D20527" s="19" t="n"/>
      <s:c r="E20527" s="19" t="n"/>
    </s:row>
    <s:row r="20528" hidden="1" ht="1" customHeight="1">
      <s:c r="A20528" s="83" t="inlineStr">
        <s:is>
          <s:t>SKIPPED</s:t>
        </s:is>
      </s:c>
      <s:c r="B20528" s="83">
        <s:f>SUM(IF(EXACT('Kiểm thử'!E20375,"Không thực hiện"),1,0),IF(EXACT('Kiểm thử'!E20377,"Không thực hiện"),1,0),IF(EXACT('Kiểm thử'!E20379,"Không thực hiện"),1,0))</s:f>
        <s:v/>
      </s:c>
      <s:c r="C20528" s="19" t="n"/>
      <s:c r="D20528" s="19" t="n"/>
      <s:c r="E20528" s="19" t="n"/>
    </s:row>
    <s:row r="20529" hidden="1" ht="1" customHeight="1">
      <s:c r="A20529" s="83" t="inlineStr">
        <s:is>
          <s:t>NOT RUN</s:t>
        </s:is>
      </s:c>
      <s:c r="B20529" s="83">
        <s:f>SUM(IF(EXACT('Kiểm thử'!E20375,"Chưa thực hiện"),1,0),IF(EXACT('Kiểm thử'!E20377,"Chưa thực hiện"),1,0),IF(EXACT('Kiểm thử'!E20379,"Chưa thực hiện"),1,0))</s:f>
        <s:v/>
      </s:c>
      <s:c r="C20529" s="19" t="n"/>
      <s:c r="D20529" s="19" t="n"/>
      <s:c r="E20529" s="19" t="n"/>
    </s:row>
    <s:row r="20530" hidden="1" ht="6" customHeight="1">
      <s:c r="A20530" s="83" t="inlineStr"/>
      <s:c r="B20530" s="19" t="n"/>
      <s:c r="C20530" s="19" t="n"/>
      <s:c r="D20530" s="19" t="n"/>
      <s:c r="E20530" s="19" t="n"/>
    </s:row>
    <s:row r="20531" ht="28" customHeight="1">
      <s:c r="A20531" s="108" t="inlineStr">
        <s:is>
          <s:t>TC-RS-BR-001 — Chọn quy tắc khớp đầu tiên theo ưu tiên, không lấy ngưỡng nghiêm hơn</s:t>
        </s:is>
      </s:c>
      <s:c r="B20531" s="111" t="n"/>
      <s:c r="C20531" s="111" t="n"/>
      <s:c r="D20531" s="111" t="n"/>
      <s:c r="E20531" s="111" t="n"/>
    </s:row>
    <s:row r="20532" ht="20" customHeight="1">
      <s:c r="A20532" s="112" t="inlineStr">
        <s:is>
          <s:t>Kết quả tình huống</s:t>
        </s:is>
      </s:c>
      <s:c r="B20532" s="113">
        <s:f>IF(SUM(IF(EXACT('Kiểm thử'!E20541,"Không đạt"),1,0),IF(EXACT('Kiểm thử'!E20543,"Không đạt"),1,0))&gt;0,"Không đạt",IF(SUM(IF(EXACT('Kiểm thử'!E20541,"Đạt"),1,0),IF(EXACT('Kiểm thử'!E20543,"Đạt"),1,0))=2,"Đạt",IF(SUM(IF(EXACT('Kiểm thử'!E20541,"Không thực hiện"),1,0),IF(EXACT('Kiểm thử'!E20543,"Không thực hiện"),1,0))=2,"Không thực hiện",IF(SUM(IF(EXACT('Kiểm thử'!E20541,"Bị chặn"),1,0),IF(EXACT('Kiểm thử'!E20543,"Bị chặn"),1,0))&gt;0,"Bị chặn",IF(SUM(IF(EXACT('Kiểm thử'!E20541,"Chưa thực hiện"),1,0),IF(EXACT('Kiểm thử'!E20543,"Chưa thực hiện"),1,0))=2,"Chưa thực hiện","Đang thực hiện")))))</s:f>
        <s:v/>
      </s:c>
      <s:c r="C20532" s="114" t="n"/>
      <s:c r="D20532" s="114" t="n"/>
      <s:c r="E20532" s="114" t="n"/>
    </s:row>
    <s:row r="20533" ht="20" customHeight="1">
      <s:c r="A20533" s="112" t="inlineStr">
        <s:is>
          <s:t>Màn hình / chức năng</s:t>
        </s:is>
      </s:c>
      <s:c r="B20533" s="113" t="inlineStr">
        <s:is>
          <s:t>Xét theo ưu tiên</s:t>
        </s:is>
      </s:c>
      <s:c r="C20533" s="28" t="n"/>
      <s:c r="D20533" s="28" t="n"/>
      <s:c r="E20533" s="28" t="n"/>
    </s:row>
    <s:row r="20534" ht="34" customHeight="1">
      <s:c r="A20534" s="112" t="inlineStr">
        <s:is>
          <s:t>Cấu hình</s:t>
        </s:is>
      </s:c>
      <s:c r="B20534" s="113" t="inlineStr">
        <s:is>
          <s:r>
            <s:t>• Mục số nguyên (</s:t>
          </s:r>
          <s:r>
            <s:rPr>
              <s:b val="1"/>
            </s:rPr>
            <s:t>M=100</s:t>
          </s:r>
          <s:r>
            <s:t>) có cặp quy tắc cùng áp dụng (dưới 20 và dưới 30) (ưu tiên 1: [&lt;20], ưu tiên 2: [&lt;30]).</s:t>
          </s:r>
        </s:is>
      </s:c>
      <s:c r="C20534" s="28" t="n"/>
      <s:c r="D20534" s="28" t="n"/>
      <s:c r="E20534" s="28" t="n"/>
    </s:row>
    <s:row r="20535" ht="48" customHeight="1">
      <s:c r="A20535" s="112" t="inlineStr">
        <s:is>
          <s:t>Dữ liệu test</s:t>
        </s:is>
      </s:c>
      <s:c r="B20535" s="113" t="inlineStr">
        <s:is>
          <s:r>
            <s:t>• Mục số nguyên (</s:t>
          </s:r>
          <s:r>
            <s:rPr>
              <s:b val="1"/>
            </s:rPr>
            <s:t>M=100</s:t>
          </s:r>
          <s:r>
            <s:t>);
• Cặp quy tắc cùng áp dụng (dưới 20 và dưới 30);
• S02 được sửa thành 25</s:t>
          </s:r>
        </s:is>
      </s:c>
      <s:c r="C20535" s="28" t="n"/>
      <s:c r="D20535" s="28" t="n"/>
      <s:c r="E20535" s="28" t="n"/>
    </s:row>
    <s:row r="20536" ht="20" customHeight="1">
      <s:c r="A20536" s="112" t="inlineStr">
        <s:is>
          <s:t>Bước 1</s:t>
        </s:is>
      </s:c>
      <s:c r="B20536" s="113" t="inlineStr">
        <s:is>
          <s:t>Đăng ký S02=25.</s:t>
        </s:is>
      </s:c>
      <s:c r="C20536" s="28" t="n"/>
      <s:c r="D20536" s="28" t="n"/>
      <s:c r="E20536" s="28" t="n"/>
    </s:row>
    <s:row r="20537" ht="20" customHeight="1">
      <s:c r="A20537" s="112" t="inlineStr">
        <s:is>
          <s:t>Bước 2</s:t>
        </s:is>
      </s:c>
      <s:c r="B20537" s="113" t="inlineStr">
        <s:is>
          <s:t>Đổi thứ tự (ưu tiên 1 là [&lt;30]), bấm chạy lại (đăng ký lại điểm hoặc nút cam).</s:t>
        </s:is>
      </s:c>
      <s:c r="C20537" s="28" t="n"/>
      <s:c r="D20537" s="28" t="n"/>
      <s:c r="E20537" s="28" t="n"/>
    </s:row>
    <s:row r="20538" ht="20" customHeight="1">
      <s:c r="A20538" s="112" t="inlineStr">
        <s:is>
          <s:t>Bước 3</s:t>
        </s:is>
      </s:c>
      <s:c r="B20538" s="113" t="inlineStr">
        <s:is>
          <s:t>Xem kết quả sau mỗi lần xét.</s:t>
        </s:is>
      </s:c>
      <s:c r="C20538" s="28" t="n"/>
      <s:c r="D20538" s="28" t="n"/>
      <s:c r="E20538" s="28" t="n"/>
    </s:row>
    <s:row r="20539" ht="28" customHeight="1">
      <s:c r="A20539" s="115" t="inlineStr">
        <s:is>
          <s:t>Trường hợp</s:t>
        </s:is>
      </s:c>
      <s:c r="B20539" s="115" t="inlineStr">
        <s:is>
          <s:t>Dữ liệu / thao tác riêng</s:t>
        </s:is>
      </s:c>
      <s:c r="C20539" s="115" t="inlineStr">
        <s:is>
          <s:t>Kết quả mong đợi</s:t>
        </s:is>
      </s:c>
      <s:c r="D20539" s="115" t="inlineStr">
        <s:is>
          <s:t>Kết quả thực tế</s:t>
        </s:is>
      </s:c>
      <s:c r="E20539" s="115" t="inlineStr">
        <s:is>
          <s:t>Đánh giá</s:t>
        </s:is>
      </s:c>
    </s:row>
    <s:row r="20540" ht="3" customHeight="1">
      <s:c r="A20540" s="102" t="inlineStr"/>
      <s:c r="B20540" s="99" t="n"/>
      <s:c r="C20540" s="99" t="n"/>
      <s:c r="D20540" s="116" t="n"/>
      <s:c r="E20540" s="116" t="n"/>
    </s:row>
    <s:row r="20541" ht="48" customHeight="1">
      <s:c r="A20541" s="83" t="inlineStr">
        <s:is>
          <s:t>Ưu tiên ngưỡng 20 (priority20)</s:t>
        </s:is>
      </s:c>
      <s:c r="B20541" s="83" t="inlineStr">
        <s:is>
          <s:r>
            <s:rPr>
              <s:b val="1"/>
            </s:rPr>
            <s:t>M=100</s:t>
          </s:r>
          <s:r>
            <s:t>; rule ưu tiên1 &lt;20, ưu tiên2 &lt;30; đăng ký S02=25 và đọc rule/kết quả.</s:t>
          </s:r>
        </s:is>
      </s:c>
      <s:c r="C20541" s="83" t="inlineStr">
        <s:is>
          <s:r>
            <s:t xml:space="preserve">1. Lần 1: chọn quy tắc [&lt;20] → </s:t>
          </s:r>
          <s:r>
            <s:rPr>
              <s:b val="1"/>
            </s:rPr>
            <s:t>Không đỏ</s:t>
          </s:r>
          <s:r>
            <s:t>.</s:t>
          </s:r>
        </s:is>
      </s:c>
      <s:c r="D20541" s="117" t="inlineStr"/>
      <s:c r="E20541" s="118" t="inlineStr">
        <s:is>
          <s:t>Chưa thực hiện</s:t>
        </s:is>
      </s:c>
    </s:row>
    <s:row r="20542" ht="3" customHeight="1">
      <s:c r="A20542" s="102" t="inlineStr"/>
      <s:c r="B20542" s="99" t="n"/>
      <s:c r="C20542" s="99" t="n"/>
      <s:c r="D20542" s="116" t="n"/>
      <s:c r="E20542" s="116" t="n"/>
    </s:row>
    <s:row r="20543" ht="62" customHeight="1">
      <s:c r="A20543" s="83" t="inlineStr">
        <s:is>
          <s:t>Đổi ưu tiên sang ngưỡng 30 (priority30)</s:t>
        </s:is>
      </s:c>
      <s:c r="B20543" s="83" t="inlineStr">
        <s:is>
          <s:t>Từ baseline S02=25 với ưu tiên1&lt;20, đổi thứ tự để ưu tiên1&lt;30; đăng ký lại hoặc nút cam, đọc rule/kết quả.</s:t>
        </s:is>
      </s:c>
      <s:c r="C20543" s="83" t="inlineStr">
        <s:is>
          <s:r>
            <s:t xml:space="preserve">2. Lần 2 (sau chạy lại): chọn quy tắc [&lt;30] → </s:t>
          </s:r>
          <s:r>
            <s:rPr>
              <s:b val="1"/>
            </s:rPr>
            <s:t>Đỏ</s:t>
          </s:r>
          <s:r>
            <s:t>.</s:t>
          </s:r>
        </s:is>
      </s:c>
      <s:c r="D20543" s="117" t="inlineStr"/>
      <s:c r="E20543" s="118" t="inlineStr">
        <s:is>
          <s:t>Chưa thực hiện</s:t>
        </s:is>
      </s:c>
    </s:row>
    <s:row r="20544" ht="20" customHeight="1">
      <s:c r="A20544" s="119" t="inlineStr">
        <s:is>
          <s:t>Ảnh minh chứng — Chưa có ảnh</s:t>
        </s:is>
      </s:c>
      <s:c r="B20544" s="19" t="n"/>
      <s:c r="C20544" s="19" t="n"/>
      <s:c r="D20544" s="19" t="n"/>
      <s:c r="E20544" s="19" t="n"/>
    </s:row>
    <s:row r="20545" hidden="1" ht="1" customHeight="1">
      <s:c r="A20545" s="120" t="inlineStr"/>
      <s:c r="B20545" s="121" t="n"/>
      <s:c r="C20545" s="121" t="n"/>
      <s:c r="D20545" s="121" t="n"/>
      <s:c r="E20545" s="122" t="n"/>
    </s:row>
    <s:row r="20546" hidden="1" ht="1" customHeight="1">
      <s:c r="A20546" s="120" t="inlineStr"/>
      <s:c r="B20546" s="121" t="n"/>
      <s:c r="C20546" s="121" t="n"/>
      <s:c r="D20546" s="121" t="n"/>
      <s:c r="E20546" s="122" t="n"/>
    </s:row>
    <s:row r="20547" hidden="1" ht="1" customHeight="1">
      <s:c r="A20547" s="120" t="inlineStr"/>
      <s:c r="B20547" s="121" t="n"/>
      <s:c r="C20547" s="121" t="n"/>
      <s:c r="D20547" s="121" t="n"/>
      <s:c r="E20547" s="122" t="n"/>
    </s:row>
    <s:row r="20548" hidden="1" ht="1" customHeight="1">
      <s:c r="A20548" s="120" t="inlineStr"/>
      <s:c r="B20548" s="121" t="n"/>
      <s:c r="C20548" s="121" t="n"/>
      <s:c r="D20548" s="121" t="n"/>
      <s:c r="E20548" s="122" t="n"/>
    </s:row>
    <s:row r="20549" hidden="1" ht="1" customHeight="1">
      <s:c r="A20549" s="120" t="inlineStr"/>
      <s:c r="B20549" s="121" t="n"/>
      <s:c r="C20549" s="121" t="n"/>
      <s:c r="D20549" s="121" t="n"/>
      <s:c r="E20549" s="122" t="n"/>
    </s:row>
    <s:row r="20550" hidden="1" ht="1" customHeight="1">
      <s:c r="A20550" s="120" t="inlineStr"/>
      <s:c r="B20550" s="121" t="n"/>
      <s:c r="C20550" s="121" t="n"/>
      <s:c r="D20550" s="121" t="n"/>
      <s:c r="E20550" s="122" t="n"/>
    </s:row>
    <s:row r="20551" hidden="1" ht="1" customHeight="1">
      <s:c r="A20551" s="120" t="inlineStr"/>
      <s:c r="B20551" s="121" t="n"/>
      <s:c r="C20551" s="121" t="n"/>
      <s:c r="D20551" s="121" t="n"/>
      <s:c r="E20551" s="122" t="n"/>
    </s:row>
    <s:row r="20552" hidden="1" ht="1" customHeight="1">
      <s:c r="A20552" s="120" t="inlineStr"/>
      <s:c r="B20552" s="121" t="n"/>
      <s:c r="C20552" s="121" t="n"/>
      <s:c r="D20552" s="121" t="n"/>
      <s:c r="E20552" s="122" t="n"/>
    </s:row>
    <s:row r="20553" hidden="1" ht="1" customHeight="1">
      <s:c r="A20553" s="120" t="inlineStr"/>
      <s:c r="B20553" s="121" t="n"/>
      <s:c r="C20553" s="121" t="n"/>
      <s:c r="D20553" s="121" t="n"/>
      <s:c r="E20553" s="122" t="n"/>
    </s:row>
    <s:row r="20554" hidden="1" ht="1" customHeight="1">
      <s:c r="A20554" s="120" t="inlineStr"/>
      <s:c r="B20554" s="121" t="n"/>
      <s:c r="C20554" s="121" t="n"/>
      <s:c r="D20554" s="121" t="n"/>
      <s:c r="E20554" s="122" t="n"/>
    </s:row>
    <s:row r="20555" hidden="1" ht="1" customHeight="1">
      <s:c r="A20555" s="120" t="inlineStr"/>
      <s:c r="B20555" s="121" t="n"/>
      <s:c r="C20555" s="121" t="n"/>
      <s:c r="D20555" s="121" t="n"/>
      <s:c r="E20555" s="122" t="n"/>
    </s:row>
    <s:row r="20556" hidden="1" ht="1" customHeight="1">
      <s:c r="A20556" s="120" t="inlineStr"/>
      <s:c r="B20556" s="121" t="n"/>
      <s:c r="C20556" s="121" t="n"/>
      <s:c r="D20556" s="121" t="n"/>
      <s:c r="E20556" s="122" t="n"/>
    </s:row>
    <s:row r="20557" hidden="1" ht="1" customHeight="1">
      <s:c r="A20557" s="120" t="inlineStr"/>
      <s:c r="B20557" s="121" t="n"/>
      <s:c r="C20557" s="121" t="n"/>
      <s:c r="D20557" s="121" t="n"/>
      <s:c r="E20557" s="122" t="n"/>
    </s:row>
    <s:row r="20558" hidden="1" ht="1" customHeight="1">
      <s:c r="A20558" s="120" t="inlineStr"/>
      <s:c r="B20558" s="121" t="n"/>
      <s:c r="C20558" s="121" t="n"/>
      <s:c r="D20558" s="121" t="n"/>
      <s:c r="E20558" s="122" t="n"/>
    </s:row>
    <s:row r="20559" hidden="1" ht="1" customHeight="1">
      <s:c r="A20559" s="120" t="inlineStr"/>
      <s:c r="B20559" s="121" t="n"/>
      <s:c r="C20559" s="121" t="n"/>
      <s:c r="D20559" s="121" t="n"/>
      <s:c r="E20559" s="122" t="n"/>
    </s:row>
    <s:row r="20560" hidden="1" ht="1" customHeight="1">
      <s:c r="A20560" s="120" t="inlineStr"/>
      <s:c r="B20560" s="121" t="n"/>
      <s:c r="C20560" s="121" t="n"/>
      <s:c r="D20560" s="121" t="n"/>
      <s:c r="E20560" s="122" t="n"/>
    </s:row>
    <s:row r="20561" hidden="1" ht="1" customHeight="1">
      <s:c r="A20561" s="120" t="inlineStr"/>
      <s:c r="B20561" s="121" t="n"/>
      <s:c r="C20561" s="121" t="n"/>
      <s:c r="D20561" s="121" t="n"/>
      <s:c r="E20561" s="122" t="n"/>
    </s:row>
    <s:row r="20562" hidden="1" ht="1" customHeight="1">
      <s:c r="A20562" s="120" t="inlineStr"/>
      <s:c r="B20562" s="121" t="n"/>
      <s:c r="C20562" s="121" t="n"/>
      <s:c r="D20562" s="121" t="n"/>
      <s:c r="E20562" s="122" t="n"/>
    </s:row>
    <s:row r="20563" hidden="1" ht="1" customHeight="1">
      <s:c r="A20563" s="120" t="inlineStr"/>
      <s:c r="B20563" s="121" t="n"/>
      <s:c r="C20563" s="121" t="n"/>
      <s:c r="D20563" s="121" t="n"/>
      <s:c r="E20563" s="122" t="n"/>
    </s:row>
    <s:row r="20564" hidden="1" ht="1" customHeight="1">
      <s:c r="A20564" s="120" t="inlineStr"/>
      <s:c r="B20564" s="121" t="n"/>
      <s:c r="C20564" s="121" t="n"/>
      <s:c r="D20564" s="121" t="n"/>
      <s:c r="E20564" s="122" t="n"/>
    </s:row>
    <s:row r="20565" hidden="1" ht="1" customHeight="1">
      <s:c r="A20565" s="120" t="inlineStr"/>
      <s:c r="B20565" s="121" t="n"/>
      <s:c r="C20565" s="121" t="n"/>
      <s:c r="D20565" s="121" t="n"/>
      <s:c r="E20565" s="122" t="n"/>
    </s:row>
    <s:row r="20566" hidden="1" ht="1" customHeight="1">
      <s:c r="A20566" s="120" t="inlineStr"/>
      <s:c r="B20566" s="121" t="n"/>
      <s:c r="C20566" s="121" t="n"/>
      <s:c r="D20566" s="121" t="n"/>
      <s:c r="E20566" s="122" t="n"/>
    </s:row>
    <s:row r="20567" hidden="1" ht="1" customHeight="1">
      <s:c r="A20567" s="120" t="inlineStr"/>
      <s:c r="B20567" s="121" t="n"/>
      <s:c r="C20567" s="121" t="n"/>
      <s:c r="D20567" s="121" t="n"/>
      <s:c r="E20567" s="122" t="n"/>
    </s:row>
    <s:row r="20568" hidden="1" ht="1" customHeight="1">
      <s:c r="A20568" s="120" t="inlineStr"/>
      <s:c r="B20568" s="121" t="n"/>
      <s:c r="C20568" s="121" t="n"/>
      <s:c r="D20568" s="121" t="n"/>
      <s:c r="E20568" s="122" t="n"/>
    </s:row>
    <s:row r="20569" hidden="1" ht="1" customHeight="1">
      <s:c r="A20569" s="120" t="inlineStr"/>
      <s:c r="B20569" s="121" t="n"/>
      <s:c r="C20569" s="121" t="n"/>
      <s:c r="D20569" s="121" t="n"/>
      <s:c r="E20569" s="122" t="n"/>
    </s:row>
    <s:row r="20570" hidden="1" ht="1" customHeight="1">
      <s:c r="A20570" s="120" t="inlineStr"/>
      <s:c r="B20570" s="121" t="n"/>
      <s:c r="C20570" s="121" t="n"/>
      <s:c r="D20570" s="121" t="n"/>
      <s:c r="E20570" s="122" t="n"/>
    </s:row>
    <s:row r="20571" hidden="1" ht="1" customHeight="1">
      <s:c r="A20571" s="120" t="inlineStr"/>
      <s:c r="B20571" s="121" t="n"/>
      <s:c r="C20571" s="121" t="n"/>
      <s:c r="D20571" s="121" t="n"/>
      <s:c r="E20571" s="122" t="n"/>
    </s:row>
    <s:row r="20572" hidden="1" ht="1" customHeight="1">
      <s:c r="A20572" s="120" t="inlineStr"/>
      <s:c r="B20572" s="121" t="n"/>
      <s:c r="C20572" s="121" t="n"/>
      <s:c r="D20572" s="121" t="n"/>
      <s:c r="E20572" s="122" t="n"/>
    </s:row>
    <s:row r="20573" hidden="1" ht="1" customHeight="1">
      <s:c r="A20573" s="120" t="inlineStr"/>
      <s:c r="B20573" s="121" t="n"/>
      <s:c r="C20573" s="121" t="n"/>
      <s:c r="D20573" s="121" t="n"/>
      <s:c r="E20573" s="122" t="n"/>
    </s:row>
    <s:row r="20574" hidden="1" ht="1" customHeight="1">
      <s:c r="A20574" s="120" t="inlineStr"/>
      <s:c r="B20574" s="121" t="n"/>
      <s:c r="C20574" s="121" t="n"/>
      <s:c r="D20574" s="121" t="n"/>
      <s:c r="E20574" s="122" t="n"/>
    </s:row>
    <s:row r="20575" hidden="1" ht="1" customHeight="1">
      <s:c r="A20575" s="120" t="inlineStr"/>
      <s:c r="B20575" s="121" t="n"/>
      <s:c r="C20575" s="121" t="n"/>
      <s:c r="D20575" s="121" t="n"/>
      <s:c r="E20575" s="122" t="n"/>
    </s:row>
    <s:row r="20576" hidden="1" ht="1" customHeight="1">
      <s:c r="A20576" s="120" t="inlineStr"/>
      <s:c r="B20576" s="121" t="n"/>
      <s:c r="C20576" s="121" t="n"/>
      <s:c r="D20576" s="121" t="n"/>
      <s:c r="E20576" s="122" t="n"/>
    </s:row>
    <s:row r="20577" hidden="1" ht="1" customHeight="1">
      <s:c r="A20577" s="120" t="inlineStr"/>
      <s:c r="B20577" s="121" t="n"/>
      <s:c r="C20577" s="121" t="n"/>
      <s:c r="D20577" s="121" t="n"/>
      <s:c r="E20577" s="122" t="n"/>
    </s:row>
    <s:row r="20578" hidden="1" ht="1" customHeight="1">
      <s:c r="A20578" s="120" t="inlineStr"/>
      <s:c r="B20578" s="121" t="n"/>
      <s:c r="C20578" s="121" t="n"/>
      <s:c r="D20578" s="121" t="n"/>
      <s:c r="E20578" s="122" t="n"/>
    </s:row>
    <s:row r="20579" hidden="1" ht="1" customHeight="1">
      <s:c r="A20579" s="120" t="inlineStr"/>
      <s:c r="B20579" s="121" t="n"/>
      <s:c r="C20579" s="121" t="n"/>
      <s:c r="D20579" s="121" t="n"/>
      <s:c r="E20579" s="122" t="n"/>
    </s:row>
    <s:row r="20580" hidden="1" ht="1" customHeight="1">
      <s:c r="A20580" s="120" t="inlineStr"/>
      <s:c r="B20580" s="121" t="n"/>
      <s:c r="C20580" s="121" t="n"/>
      <s:c r="D20580" s="121" t="n"/>
      <s:c r="E20580" s="122" t="n"/>
    </s:row>
    <s:row r="20581" hidden="1" ht="1" customHeight="1">
      <s:c r="A20581" s="120" t="inlineStr"/>
      <s:c r="B20581" s="121" t="n"/>
      <s:c r="C20581" s="121" t="n"/>
      <s:c r="D20581" s="121" t="n"/>
      <s:c r="E20581" s="122" t="n"/>
    </s:row>
    <s:row r="20582" hidden="1" ht="1" customHeight="1">
      <s:c r="A20582" s="120" t="inlineStr"/>
      <s:c r="B20582" s="121" t="n"/>
      <s:c r="C20582" s="121" t="n"/>
      <s:c r="D20582" s="121" t="n"/>
      <s:c r="E20582" s="122" t="n"/>
    </s:row>
    <s:row r="20583" hidden="1" ht="1" customHeight="1">
      <s:c r="A20583" s="120" t="inlineStr"/>
      <s:c r="B20583" s="121" t="n"/>
      <s:c r="C20583" s="121" t="n"/>
      <s:c r="D20583" s="121" t="n"/>
      <s:c r="E20583" s="122" t="n"/>
    </s:row>
    <s:row r="20584" hidden="1" ht="1" customHeight="1">
      <s:c r="A20584" s="120" t="inlineStr"/>
      <s:c r="B20584" s="121" t="n"/>
      <s:c r="C20584" s="121" t="n"/>
      <s:c r="D20584" s="121" t="n"/>
      <s:c r="E20584" s="122" t="n"/>
    </s:row>
    <s:row r="20585" hidden="1" ht="1" customHeight="1">
      <s:c r="A20585" s="120" t="inlineStr"/>
      <s:c r="B20585" s="121" t="n"/>
      <s:c r="C20585" s="121" t="n"/>
      <s:c r="D20585" s="121" t="n"/>
      <s:c r="E20585" s="122" t="n"/>
    </s:row>
    <s:row r="20586" hidden="1" ht="1" customHeight="1">
      <s:c r="A20586" s="120" t="inlineStr"/>
      <s:c r="B20586" s="121" t="n"/>
      <s:c r="C20586" s="121" t="n"/>
      <s:c r="D20586" s="121" t="n"/>
      <s:c r="E20586" s="122" t="n"/>
    </s:row>
    <s:row r="20587" hidden="1" ht="1" customHeight="1">
      <s:c r="A20587" s="120" t="inlineStr"/>
      <s:c r="B20587" s="121" t="n"/>
      <s:c r="C20587" s="121" t="n"/>
      <s:c r="D20587" s="121" t="n"/>
      <s:c r="E20587" s="122" t="n"/>
    </s:row>
    <s:row r="20588" hidden="1" ht="1" customHeight="1">
      <s:c r="A20588" s="120" t="inlineStr"/>
      <s:c r="B20588" s="121" t="n"/>
      <s:c r="C20588" s="121" t="n"/>
      <s:c r="D20588" s="121" t="n"/>
      <s:c r="E20588" s="122" t="n"/>
    </s:row>
    <s:row r="20589" hidden="1" ht="1" customHeight="1">
      <s:c r="A20589" s="120" t="inlineStr"/>
      <s:c r="B20589" s="121" t="n"/>
      <s:c r="C20589" s="121" t="n"/>
      <s:c r="D20589" s="121" t="n"/>
      <s:c r="E20589" s="122" t="n"/>
    </s:row>
    <s:row r="20590" hidden="1" ht="1" customHeight="1">
      <s:c r="A20590" s="120" t="inlineStr"/>
      <s:c r="B20590" s="121" t="n"/>
      <s:c r="C20590" s="121" t="n"/>
      <s:c r="D20590" s="121" t="n"/>
      <s:c r="E20590" s="122" t="n"/>
    </s:row>
    <s:row r="20591" hidden="1" ht="1" customHeight="1">
      <s:c r="A20591" s="120" t="inlineStr"/>
      <s:c r="B20591" s="121" t="n"/>
      <s:c r="C20591" s="121" t="n"/>
      <s:c r="D20591" s="121" t="n"/>
      <s:c r="E20591" s="122" t="n"/>
    </s:row>
    <s:row r="20592" hidden="1" ht="1" customHeight="1">
      <s:c r="A20592" s="120" t="inlineStr"/>
      <s:c r="B20592" s="121" t="n"/>
      <s:c r="C20592" s="121" t="n"/>
      <s:c r="D20592" s="121" t="n"/>
      <s:c r="E20592" s="122" t="n"/>
    </s:row>
    <s:row r="20593" hidden="1" ht="1" customHeight="1">
      <s:c r="A20593" s="120" t="inlineStr"/>
      <s:c r="B20593" s="121" t="n"/>
      <s:c r="C20593" s="121" t="n"/>
      <s:c r="D20593" s="121" t="n"/>
      <s:c r="E20593" s="122" t="n"/>
    </s:row>
    <s:row r="20594" hidden="1" ht="1" customHeight="1">
      <s:c r="A20594" s="120" t="inlineStr"/>
      <s:c r="B20594" s="121" t="n"/>
      <s:c r="C20594" s="121" t="n"/>
      <s:c r="D20594" s="121" t="n"/>
      <s:c r="E20594" s="122" t="n"/>
    </s:row>
    <s:row r="20595" hidden="1" ht="1" customHeight="1">
      <s:c r="A20595" s="120" t="inlineStr"/>
      <s:c r="B20595" s="121" t="n"/>
      <s:c r="C20595" s="121" t="n"/>
      <s:c r="D20595" s="121" t="n"/>
      <s:c r="E20595" s="122" t="n"/>
    </s:row>
    <s:row r="20596" hidden="1" ht="1" customHeight="1">
      <s:c r="A20596" s="120" t="inlineStr"/>
      <s:c r="B20596" s="121" t="n"/>
      <s:c r="C20596" s="121" t="n"/>
      <s:c r="D20596" s="121" t="n"/>
      <s:c r="E20596" s="122" t="n"/>
    </s:row>
    <s:row r="20597" hidden="1" ht="1" customHeight="1">
      <s:c r="A20597" s="120" t="inlineStr"/>
      <s:c r="B20597" s="121" t="n"/>
      <s:c r="C20597" s="121" t="n"/>
      <s:c r="D20597" s="121" t="n"/>
      <s:c r="E20597" s="122" t="n"/>
    </s:row>
    <s:row r="20598" hidden="1" ht="1" customHeight="1">
      <s:c r="A20598" s="120" t="inlineStr"/>
      <s:c r="B20598" s="121" t="n"/>
      <s:c r="C20598" s="121" t="n"/>
      <s:c r="D20598" s="121" t="n"/>
      <s:c r="E20598" s="122" t="n"/>
    </s:row>
    <s:row r="20599" hidden="1" ht="1" customHeight="1">
      <s:c r="A20599" s="120" t="inlineStr"/>
      <s:c r="B20599" s="121" t="n"/>
      <s:c r="C20599" s="121" t="n"/>
      <s:c r="D20599" s="121" t="n"/>
      <s:c r="E20599" s="122" t="n"/>
    </s:row>
    <s:row r="20600" hidden="1" ht="1" customHeight="1">
      <s:c r="A20600" s="120" t="inlineStr"/>
      <s:c r="B20600" s="121" t="n"/>
      <s:c r="C20600" s="121" t="n"/>
      <s:c r="D20600" s="121" t="n"/>
      <s:c r="E20600" s="122" t="n"/>
    </s:row>
    <s:row r="20601" hidden="1" ht="1" customHeight="1">
      <s:c r="A20601" s="120" t="inlineStr"/>
      <s:c r="B20601" s="121" t="n"/>
      <s:c r="C20601" s="121" t="n"/>
      <s:c r="D20601" s="121" t="n"/>
      <s:c r="E20601" s="122" t="n"/>
    </s:row>
    <s:row r="20602" hidden="1" ht="1" customHeight="1">
      <s:c r="A20602" s="120" t="inlineStr"/>
      <s:c r="B20602" s="121" t="n"/>
      <s:c r="C20602" s="121" t="n"/>
      <s:c r="D20602" s="121" t="n"/>
      <s:c r="E20602" s="122" t="n"/>
    </s:row>
    <s:row r="20603" hidden="1" ht="1" customHeight="1">
      <s:c r="A20603" s="120" t="inlineStr"/>
      <s:c r="B20603" s="121" t="n"/>
      <s:c r="C20603" s="121" t="n"/>
      <s:c r="D20603" s="121" t="n"/>
      <s:c r="E20603" s="122" t="n"/>
    </s:row>
    <s:row r="20604" hidden="1" ht="1" customHeight="1">
      <s:c r="A20604" s="120" t="inlineStr"/>
      <s:c r="B20604" s="121" t="n"/>
      <s:c r="C20604" s="121" t="n"/>
      <s:c r="D20604" s="121" t="n"/>
      <s:c r="E20604" s="122" t="n"/>
    </s:row>
    <s:row r="20605" hidden="1" ht="1" customHeight="1">
      <s:c r="A20605" s="120" t="inlineStr"/>
      <s:c r="B20605" s="121" t="n"/>
      <s:c r="C20605" s="121" t="n"/>
      <s:c r="D20605" s="121" t="n"/>
      <s:c r="E20605" s="122" t="n"/>
    </s:row>
    <s:row r="20606" hidden="1" ht="1" customHeight="1">
      <s:c r="A20606" s="120" t="inlineStr"/>
      <s:c r="B20606" s="121" t="n"/>
      <s:c r="C20606" s="121" t="n"/>
      <s:c r="D20606" s="121" t="n"/>
      <s:c r="E20606" s="122" t="n"/>
    </s:row>
    <s:row r="20607" hidden="1" ht="1" customHeight="1">
      <s:c r="A20607" s="120" t="inlineStr"/>
      <s:c r="B20607" s="121" t="n"/>
      <s:c r="C20607" s="121" t="n"/>
      <s:c r="D20607" s="121" t="n"/>
      <s:c r="E20607" s="122" t="n"/>
    </s:row>
    <s:row r="20608" hidden="1" ht="1" customHeight="1">
      <s:c r="A20608" s="120" t="inlineStr"/>
      <s:c r="B20608" s="121" t="n"/>
      <s:c r="C20608" s="121" t="n"/>
      <s:c r="D20608" s="121" t="n"/>
      <s:c r="E20608" s="122" t="n"/>
    </s:row>
    <s:row r="20609" hidden="1" ht="1" customHeight="1">
      <s:c r="A20609" s="120" t="inlineStr"/>
      <s:c r="B20609" s="121" t="n"/>
      <s:c r="C20609" s="121" t="n"/>
      <s:c r="D20609" s="121" t="n"/>
      <s:c r="E20609" s="122" t="n"/>
    </s:row>
    <s:row r="20610" hidden="1" ht="1" customHeight="1">
      <s:c r="A20610" s="120" t="inlineStr"/>
      <s:c r="B20610" s="121" t="n"/>
      <s:c r="C20610" s="121" t="n"/>
      <s:c r="D20610" s="121" t="n"/>
      <s:c r="E20610" s="122" t="n"/>
    </s:row>
    <s:row r="20611" hidden="1" ht="1" customHeight="1">
      <s:c r="A20611" s="120" t="inlineStr"/>
      <s:c r="B20611" s="121" t="n"/>
      <s:c r="C20611" s="121" t="n"/>
      <s:c r="D20611" s="121" t="n"/>
      <s:c r="E20611" s="122" t="n"/>
    </s:row>
    <s:row r="20612" hidden="1" ht="1" customHeight="1">
      <s:c r="A20612" s="120" t="inlineStr"/>
      <s:c r="B20612" s="121" t="n"/>
      <s:c r="C20612" s="121" t="n"/>
      <s:c r="D20612" s="121" t="n"/>
      <s:c r="E20612" s="122" t="n"/>
    </s:row>
    <s:row r="20613" hidden="1" ht="1" customHeight="1">
      <s:c r="A20613" s="120" t="inlineStr"/>
      <s:c r="B20613" s="121" t="n"/>
      <s:c r="C20613" s="121" t="n"/>
      <s:c r="D20613" s="121" t="n"/>
      <s:c r="E20613" s="122" t="n"/>
    </s:row>
    <s:row r="20614" hidden="1" ht="1" customHeight="1">
      <s:c r="A20614" s="120" t="inlineStr"/>
      <s:c r="B20614" s="121" t="n"/>
      <s:c r="C20614" s="121" t="n"/>
      <s:c r="D20614" s="121" t="n"/>
      <s:c r="E20614" s="122" t="n"/>
    </s:row>
    <s:row r="20615" hidden="1" ht="1" customHeight="1">
      <s:c r="A20615" s="120" t="inlineStr"/>
      <s:c r="B20615" s="121" t="n"/>
      <s:c r="C20615" s="121" t="n"/>
      <s:c r="D20615" s="121" t="n"/>
      <s:c r="E20615" s="122" t="n"/>
    </s:row>
    <s:row r="20616" hidden="1" ht="1" customHeight="1">
      <s:c r="A20616" s="120" t="inlineStr"/>
      <s:c r="B20616" s="121" t="n"/>
      <s:c r="C20616" s="121" t="n"/>
      <s:c r="D20616" s="121" t="n"/>
      <s:c r="E20616" s="122" t="n"/>
    </s:row>
    <s:row r="20617" hidden="1" ht="1" customHeight="1">
      <s:c r="A20617" s="120" t="inlineStr"/>
      <s:c r="B20617" s="121" t="n"/>
      <s:c r="C20617" s="121" t="n"/>
      <s:c r="D20617" s="121" t="n"/>
      <s:c r="E20617" s="122" t="n"/>
    </s:row>
    <s:row r="20618" hidden="1" ht="1" customHeight="1">
      <s:c r="A20618" s="120" t="inlineStr"/>
      <s:c r="B20618" s="121" t="n"/>
      <s:c r="C20618" s="121" t="n"/>
      <s:c r="D20618" s="121" t="n"/>
      <s:c r="E20618" s="122" t="n"/>
    </s:row>
    <s:row r="20619" hidden="1" ht="1" customHeight="1">
      <s:c r="A20619" s="120" t="inlineStr"/>
      <s:c r="B20619" s="121" t="n"/>
      <s:c r="C20619" s="121" t="n"/>
      <s:c r="D20619" s="121" t="n"/>
      <s:c r="E20619" s="122" t="n"/>
    </s:row>
    <s:row r="20620" hidden="1" ht="1" customHeight="1">
      <s:c r="A20620" s="120" t="inlineStr"/>
      <s:c r="B20620" s="121" t="n"/>
      <s:c r="C20620" s="121" t="n"/>
      <s:c r="D20620" s="121" t="n"/>
      <s:c r="E20620" s="122" t="n"/>
    </s:row>
    <s:row r="20621" hidden="1" ht="1" customHeight="1">
      <s:c r="A20621" s="120" t="inlineStr"/>
      <s:c r="B20621" s="121" t="n"/>
      <s:c r="C20621" s="121" t="n"/>
      <s:c r="D20621" s="121" t="n"/>
      <s:c r="E20621" s="122" t="n"/>
    </s:row>
    <s:row r="20622" hidden="1" ht="1" customHeight="1">
      <s:c r="A20622" s="120" t="inlineStr"/>
      <s:c r="B20622" s="121" t="n"/>
      <s:c r="C20622" s="121" t="n"/>
      <s:c r="D20622" s="121" t="n"/>
      <s:c r="E20622" s="122" t="n"/>
    </s:row>
    <s:row r="20623" hidden="1" ht="1" customHeight="1">
      <s:c r="A20623" s="120" t="inlineStr"/>
      <s:c r="B20623" s="121" t="n"/>
      <s:c r="C20623" s="121" t="n"/>
      <s:c r="D20623" s="121" t="n"/>
      <s:c r="E20623" s="122" t="n"/>
    </s:row>
    <s:row r="20624" hidden="1" ht="1" customHeight="1">
      <s:c r="A20624" s="120" t="inlineStr"/>
      <s:c r="B20624" s="121" t="n"/>
      <s:c r="C20624" s="121" t="n"/>
      <s:c r="D20624" s="121" t="n"/>
      <s:c r="E20624" s="122" t="n"/>
    </s:row>
    <s:row r="20625" hidden="1" ht="1" customHeight="1">
      <s:c r="A20625" s="120" t="inlineStr"/>
      <s:c r="B20625" s="121" t="n"/>
      <s:c r="C20625" s="121" t="n"/>
      <s:c r="D20625" s="121" t="n"/>
      <s:c r="E20625" s="122" t="n"/>
    </s:row>
    <s:row r="20626" hidden="1" ht="1" customHeight="1">
      <s:c r="A20626" s="120" t="inlineStr"/>
      <s:c r="B20626" s="121" t="n"/>
      <s:c r="C20626" s="121" t="n"/>
      <s:c r="D20626" s="121" t="n"/>
      <s:c r="E20626" s="122" t="n"/>
    </s:row>
    <s:row r="20627" hidden="1" ht="1" customHeight="1">
      <s:c r="A20627" s="120" t="inlineStr"/>
      <s:c r="B20627" s="121" t="n"/>
      <s:c r="C20627" s="121" t="n"/>
      <s:c r="D20627" s="121" t="n"/>
      <s:c r="E20627" s="122" t="n"/>
    </s:row>
    <s:row r="20628" hidden="1" ht="1" customHeight="1">
      <s:c r="A20628" s="120" t="inlineStr"/>
      <s:c r="B20628" s="121" t="n"/>
      <s:c r="C20628" s="121" t="n"/>
      <s:c r="D20628" s="121" t="n"/>
      <s:c r="E20628" s="122" t="n"/>
    </s:row>
    <s:row r="20629" hidden="1" ht="1" customHeight="1">
      <s:c r="A20629" s="120" t="inlineStr"/>
      <s:c r="B20629" s="121" t="n"/>
      <s:c r="C20629" s="121" t="n"/>
      <s:c r="D20629" s="121" t="n"/>
      <s:c r="E20629" s="122" t="n"/>
    </s:row>
    <s:row r="20630" hidden="1" ht="1" customHeight="1">
      <s:c r="A20630" s="120" t="inlineStr"/>
      <s:c r="B20630" s="121" t="n"/>
      <s:c r="C20630" s="121" t="n"/>
      <s:c r="D20630" s="121" t="n"/>
      <s:c r="E20630" s="122" t="n"/>
    </s:row>
    <s:row r="20631" hidden="1" ht="1" customHeight="1">
      <s:c r="A20631" s="120" t="inlineStr"/>
      <s:c r="B20631" s="121" t="n"/>
      <s:c r="C20631" s="121" t="n"/>
      <s:c r="D20631" s="121" t="n"/>
      <s:c r="E20631" s="122" t="n"/>
    </s:row>
    <s:row r="20632" hidden="1" ht="1" customHeight="1">
      <s:c r="A20632" s="120" t="inlineStr"/>
      <s:c r="B20632" s="121" t="n"/>
      <s:c r="C20632" s="121" t="n"/>
      <s:c r="D20632" s="121" t="n"/>
      <s:c r="E20632" s="122" t="n"/>
    </s:row>
    <s:row r="20633" hidden="1" ht="1" customHeight="1">
      <s:c r="A20633" s="120" t="inlineStr"/>
      <s:c r="B20633" s="121" t="n"/>
      <s:c r="C20633" s="121" t="n"/>
      <s:c r="D20633" s="121" t="n"/>
      <s:c r="E20633" s="122" t="n"/>
    </s:row>
    <s:row r="20634" hidden="1" ht="1" customHeight="1">
      <s:c r="A20634" s="120" t="inlineStr"/>
      <s:c r="B20634" s="121" t="n"/>
      <s:c r="C20634" s="121" t="n"/>
      <s:c r="D20634" s="121" t="n"/>
      <s:c r="E20634" s="122" t="n"/>
    </s:row>
    <s:row r="20635" hidden="1" ht="1" customHeight="1">
      <s:c r="A20635" s="120" t="inlineStr"/>
      <s:c r="B20635" s="121" t="n"/>
      <s:c r="C20635" s="121" t="n"/>
      <s:c r="D20635" s="121" t="n"/>
      <s:c r="E20635" s="122" t="n"/>
    </s:row>
    <s:row r="20636" hidden="1" ht="1" customHeight="1">
      <s:c r="A20636" s="120" t="inlineStr"/>
      <s:c r="B20636" s="121" t="n"/>
      <s:c r="C20636" s="121" t="n"/>
      <s:c r="D20636" s="121" t="n"/>
      <s:c r="E20636" s="122" t="n"/>
    </s:row>
    <s:row r="20637" hidden="1" ht="1" customHeight="1">
      <s:c r="A20637" s="120" t="inlineStr"/>
      <s:c r="B20637" s="121" t="n"/>
      <s:c r="C20637" s="121" t="n"/>
      <s:c r="D20637" s="121" t="n"/>
      <s:c r="E20637" s="122" t="n"/>
    </s:row>
    <s:row r="20638" hidden="1" ht="1" customHeight="1">
      <s:c r="A20638" s="120" t="inlineStr"/>
      <s:c r="B20638" s="121" t="n"/>
      <s:c r="C20638" s="121" t="n"/>
      <s:c r="D20638" s="121" t="n"/>
      <s:c r="E20638" s="122" t="n"/>
    </s:row>
    <s:row r="20639" hidden="1" ht="1" customHeight="1">
      <s:c r="A20639" s="120" t="inlineStr"/>
      <s:c r="B20639" s="121" t="n"/>
      <s:c r="C20639" s="121" t="n"/>
      <s:c r="D20639" s="121" t="n"/>
      <s:c r="E20639" s="122" t="n"/>
    </s:row>
    <s:row r="20640" hidden="1" ht="1" customHeight="1">
      <s:c r="A20640" s="120" t="inlineStr"/>
      <s:c r="B20640" s="121" t="n"/>
      <s:c r="C20640" s="121" t="n"/>
      <s:c r="D20640" s="121" t="n"/>
      <s:c r="E20640" s="122" t="n"/>
    </s:row>
    <s:row r="20641" hidden="1" ht="1" customHeight="1">
      <s:c r="A20641" s="83" t="inlineStr">
        <s:is>
          <s:t>PASS</s:t>
        </s:is>
      </s:c>
      <s:c r="B20641" s="83">
        <s:f>SUM(IF(EXACT('Kiểm thử'!E20541,"Đạt"),1,0),IF(EXACT('Kiểm thử'!E20543,"Đạt"),1,0))</s:f>
        <s:v/>
      </s:c>
      <s:c r="C20641" s="19" t="n"/>
      <s:c r="D20641" s="19" t="n"/>
      <s:c r="E20641" s="19" t="n"/>
    </s:row>
    <s:row r="20642" hidden="1" ht="1" customHeight="1">
      <s:c r="A20642" s="83" t="inlineStr">
        <s:is>
          <s:t>FAIL</s:t>
        </s:is>
      </s:c>
      <s:c r="B20642" s="83">
        <s:f>SUM(IF(EXACT('Kiểm thử'!E20541,"Không đạt"),1,0),IF(EXACT('Kiểm thử'!E20543,"Không đạt"),1,0))</s:f>
        <s:v/>
      </s:c>
      <s:c r="C20642" s="19" t="n"/>
      <s:c r="D20642" s="19" t="n"/>
      <s:c r="E20642" s="19" t="n"/>
    </s:row>
    <s:row r="20643" hidden="1" ht="1" customHeight="1">
      <s:c r="A20643" s="83" t="inlineStr">
        <s:is>
          <s:t>BLOCKED</s:t>
        </s:is>
      </s:c>
      <s:c r="B20643" s="83">
        <s:f>SUM(IF(EXACT('Kiểm thử'!E20541,"Bị chặn"),1,0),IF(EXACT('Kiểm thử'!E20543,"Bị chặn"),1,0))</s:f>
        <s:v/>
      </s:c>
      <s:c r="C20643" s="19" t="n"/>
      <s:c r="D20643" s="19" t="n"/>
      <s:c r="E20643" s="19" t="n"/>
    </s:row>
    <s:row r="20644" hidden="1" ht="1" customHeight="1">
      <s:c r="A20644" s="83" t="inlineStr">
        <s:is>
          <s:t>SKIPPED</s:t>
        </s:is>
      </s:c>
      <s:c r="B20644" s="83">
        <s:f>SUM(IF(EXACT('Kiểm thử'!E20541,"Không thực hiện"),1,0),IF(EXACT('Kiểm thử'!E20543,"Không thực hiện"),1,0))</s:f>
        <s:v/>
      </s:c>
      <s:c r="C20644" s="19" t="n"/>
      <s:c r="D20644" s="19" t="n"/>
      <s:c r="E20644" s="19" t="n"/>
    </s:row>
    <s:row r="20645" hidden="1" ht="1" customHeight="1">
      <s:c r="A20645" s="83" t="inlineStr">
        <s:is>
          <s:t>NOT RUN</s:t>
        </s:is>
      </s:c>
      <s:c r="B20645" s="83">
        <s:f>SUM(IF(EXACT('Kiểm thử'!E20541,"Chưa thực hiện"),1,0),IF(EXACT('Kiểm thử'!E20543,"Chưa thực hiện"),1,0))</s:f>
        <s:v/>
      </s:c>
      <s:c r="C20645" s="19" t="n"/>
      <s:c r="D20645" s="19" t="n"/>
      <s:c r="E20645" s="19" t="n"/>
    </s:row>
    <s:row r="20646" hidden="1" ht="6" customHeight="1">
      <s:c r="A20646" s="83" t="inlineStr"/>
      <s:c r="B20646" s="19" t="n"/>
      <s:c r="C20646" s="19" t="n"/>
      <s:c r="D20646" s="19" t="n"/>
      <s:c r="E20646" s="19" t="n"/>
    </s:row>
    <s:row r="20647" ht="28" customHeight="1">
      <s:c r="A20647" s="108" t="inlineStr">
        <s:is>
          <s:t>TC-RS-BR-002 — Không quy tắc nào khớp khi đủ dữ liệu → Không áp dụng</s:t>
        </s:is>
      </s:c>
      <s:c r="B20647" s="111" t="n"/>
      <s:c r="C20647" s="111" t="n"/>
      <s:c r="D20647" s="111" t="n"/>
      <s:c r="E20647" s="111" t="n"/>
    </s:row>
    <s:row r="20648" ht="20" customHeight="1">
      <s:c r="A20648" s="112" t="inlineStr">
        <s:is>
          <s:t>Kết quả tình huống</s:t>
        </s:is>
      </s:c>
      <s:c r="B20648" s="113">
        <s:f>IF(SUM(IF(EXACT('Kiểm thử'!E20656,"Không đạt"),1,0))&gt;0,"Không đạt",IF(SUM(IF(EXACT('Kiểm thử'!E20656,"Đạt"),1,0))=1,"Đạt",IF(SUM(IF(EXACT('Kiểm thử'!E20656,"Không thực hiện"),1,0))=1,"Không thực hiện",IF(SUM(IF(EXACT('Kiểm thử'!E20656,"Bị chặn"),1,0))&gt;0,"Bị chặn",IF(SUM(IF(EXACT('Kiểm thử'!E20656,"Chưa thực hiện"),1,0))=1,"Chưa thực hiện","Đang thực hiện")))))</s:f>
        <s:v/>
      </s:c>
      <s:c r="C20648" s="114" t="n"/>
      <s:c r="D20648" s="114" t="n"/>
      <s:c r="E20648" s="114" t="n"/>
    </s:row>
    <s:row r="20649" ht="20" customHeight="1">
      <s:c r="A20649" s="112" t="inlineStr">
        <s:is>
          <s:t>Màn hình / chức năng</s:t>
        </s:is>
      </s:c>
      <s:c r="B20649" s="113" t="inlineStr">
        <s:is>
          <s:t>Xét theo ưu tiên</s:t>
        </s:is>
      </s:c>
      <s:c r="C20649" s="28" t="n"/>
      <s:c r="D20649" s="28" t="n"/>
      <s:c r="E20649" s="28" t="n"/>
    </s:row>
    <s:row r="20650" ht="34" customHeight="1">
      <s:c r="A20650" s="112" t="inlineStr">
        <s:is>
          <s:t>Cấu hình</s:t>
        </s:is>
      </s:c>
      <s:c r="B20650" s="113" t="inlineStr">
        <s:is>
          <s:r>
            <s:t>• Mục số nguyên (</s:t>
          </s:r>
          <s:r>
            <s:rPr>
              <s:b val="1"/>
            </s:rPr>
            <s:t>M=100</s:t>
          </s:r>
          <s:r>
            <s:t>) chỉ có quy tắc có bộ lọc kết hợp (khối 1 hoặc 2, nhóm Nâng cao) (khối 1/2 và nhóm Nâng cao). S07 thuộc khối 2 nhưng không thuộc nhóm Nâng cao.</s:t>
          </s:r>
        </s:is>
      </s:c>
      <s:c r="C20650" s="28" t="n"/>
      <s:c r="D20650" s="28" t="n"/>
      <s:c r="E20650" s="28" t="n"/>
    </s:row>
    <s:row r="20651" ht="48" customHeight="1">
      <s:c r="A20651" s="112" t="inlineStr">
        <s:is>
          <s:t>Dữ liệu test</s:t>
        </s:is>
      </s:c>
      <s:c r="B20651" s="113" t="inlineStr">
        <s:is>
          <s:r>
            <s:t>• Mục số nguyên (</s:t>
          </s:r>
          <s:r>
            <s:rPr>
              <s:b val="1"/>
            </s:rPr>
            <s:t>M=100</s:t>
          </s:r>
          <s:r>
            <s:t xml:space="preserve">);
• Quy tắc có bộ lọc kết hợp (khối 1 hoặc 2, nhóm Nâng cao), học sinh S07 (điểm 35, </s:t>
          </s:r>
          <s:r>
            <s:rPr>
              <s:b val="1"/>
            </s:rPr>
            <s:t>cờ Chưa dự thi（未受験）</s:t>
          </s:r>
          <s:r>
            <s:t>)</s:t>
          </s:r>
        </s:is>
      </s:c>
      <s:c r="C20651" s="28" t="n"/>
      <s:c r="D20651" s="28" t="n"/>
      <s:c r="E20651" s="28" t="n"/>
    </s:row>
    <s:row r="20652" ht="20" customHeight="1">
      <s:c r="A20652" s="112" t="inlineStr">
        <s:is>
          <s:t>Bước 1</s:t>
        </s:is>
      </s:c>
      <s:c r="B20652" s="113" t="inlineStr">
        <s:is>
          <s:t>Đăng ký S07=20.</s:t>
        </s:is>
      </s:c>
      <s:c r="C20652" s="28" t="n"/>
      <s:c r="D20652" s="28" t="n"/>
      <s:c r="E20652" s="28" t="n"/>
    </s:row>
    <s:row r="20653" ht="20" customHeight="1">
      <s:c r="A20653" s="112" t="inlineStr">
        <s:is>
          <s:t>Bước 2</s:t>
        </s:is>
      </s:c>
      <s:c r="B20653" s="113" t="inlineStr">
        <s:is>
          <s:t>Xem kết quả ở ba đầu ra.</s:t>
        </s:is>
      </s:c>
      <s:c r="C20653" s="28" t="n"/>
      <s:c r="D20653" s="28" t="n"/>
      <s:c r="E20653" s="28" t="n"/>
    </s:row>
    <s:row r="20654" ht="28" customHeight="1">
      <s:c r="A20654" s="115" t="inlineStr">
        <s:is>
          <s:t>Trường hợp</s:t>
        </s:is>
      </s:c>
      <s:c r="B20654" s="115" t="inlineStr">
        <s:is>
          <s:t>Dữ liệu / thao tác riêng</s:t>
        </s:is>
      </s:c>
      <s:c r="C20654" s="115" t="inlineStr">
        <s:is>
          <s:t>Kết quả mong đợi</s:t>
        </s:is>
      </s:c>
      <s:c r="D20654" s="115" t="inlineStr">
        <s:is>
          <s:t>Kết quả thực tế</s:t>
        </s:is>
      </s:c>
      <s:c r="E20654" s="115" t="inlineStr">
        <s:is>
          <s:t>Đánh giá</s:t>
        </s:is>
      </s:c>
    </s:row>
    <s:row r="20655" ht="3" customHeight="1">
      <s:c r="A20655" s="102" t="inlineStr"/>
      <s:c r="B20655" s="99" t="n"/>
      <s:c r="C20655" s="99" t="n"/>
      <s:c r="D20655" s="116" t="n"/>
      <s:c r="E20655" s="116" t="n"/>
    </s:row>
    <s:row r="20656" ht="62" customHeight="1">
      <s:c r="A20656" s="83" t="inlineStr">
        <s:is>
          <s:t>Trường hợp cơ bản (Base)</s:t>
        </s:is>
      </s:c>
      <s:c r="B20656" s="83" t="inlineStr">
        <s:is>
          <s:t>Toàn bộ tình huống: Thực hiện đủ các bước chung theo thứ tự; kiểm cả đối tượng đích và đối chứng cùng fixture, không bỏ bước.</s:t>
        </s:is>
      </s:c>
      <s:c r="C20656" s="83" t="inlineStr">
        <s:is>
          <s:r>
            <s:t xml:space="preserve">S07 ở trạng thái </s:t>
          </s:r>
          <s:r>
            <s:rPr>
              <s:b val="1"/>
            </s:rPr>
            <s:t>Không áp dụng</s:t>
          </s:r>
          <s:r>
            <s:t>: không có dấu/lọc đỏ; không được coi là "đạt một ngưỡng".</s:t>
          </s:r>
        </s:is>
      </s:c>
      <s:c r="D20656" s="117" t="inlineStr"/>
      <s:c r="E20656" s="118" t="inlineStr">
        <s:is>
          <s:t>Chưa thực hiện</s:t>
        </s:is>
      </s:c>
    </s:row>
    <s:row r="20657" ht="20" customHeight="1">
      <s:c r="A20657" s="119" t="inlineStr">
        <s:is>
          <s:t>Ảnh minh chứng — Chưa có ảnh</s:t>
        </s:is>
      </s:c>
      <s:c r="B20657" s="19" t="n"/>
      <s:c r="C20657" s="19" t="n"/>
      <s:c r="D20657" s="19" t="n"/>
      <s:c r="E20657" s="19" t="n"/>
    </s:row>
    <s:row r="20658" hidden="1" ht="1" customHeight="1">
      <s:c r="A20658" s="120" t="inlineStr"/>
      <s:c r="B20658" s="121" t="n"/>
      <s:c r="C20658" s="121" t="n"/>
      <s:c r="D20658" s="121" t="n"/>
      <s:c r="E20658" s="122" t="n"/>
    </s:row>
    <s:row r="20659" hidden="1" ht="1" customHeight="1">
      <s:c r="A20659" s="120" t="inlineStr"/>
      <s:c r="B20659" s="121" t="n"/>
      <s:c r="C20659" s="121" t="n"/>
      <s:c r="D20659" s="121" t="n"/>
      <s:c r="E20659" s="122" t="n"/>
    </s:row>
    <s:row r="20660" hidden="1" ht="1" customHeight="1">
      <s:c r="A20660" s="120" t="inlineStr"/>
      <s:c r="B20660" s="121" t="n"/>
      <s:c r="C20660" s="121" t="n"/>
      <s:c r="D20660" s="121" t="n"/>
      <s:c r="E20660" s="122" t="n"/>
    </s:row>
    <s:row r="20661" hidden="1" ht="1" customHeight="1">
      <s:c r="A20661" s="120" t="inlineStr"/>
      <s:c r="B20661" s="121" t="n"/>
      <s:c r="C20661" s="121" t="n"/>
      <s:c r="D20661" s="121" t="n"/>
      <s:c r="E20661" s="122" t="n"/>
    </s:row>
    <s:row r="20662" hidden="1" ht="1" customHeight="1">
      <s:c r="A20662" s="120" t="inlineStr"/>
      <s:c r="B20662" s="121" t="n"/>
      <s:c r="C20662" s="121" t="n"/>
      <s:c r="D20662" s="121" t="n"/>
      <s:c r="E20662" s="122" t="n"/>
    </s:row>
    <s:row r="20663" hidden="1" ht="1" customHeight="1">
      <s:c r="A20663" s="120" t="inlineStr"/>
      <s:c r="B20663" s="121" t="n"/>
      <s:c r="C20663" s="121" t="n"/>
      <s:c r="D20663" s="121" t="n"/>
      <s:c r="E20663" s="122" t="n"/>
    </s:row>
    <s:row r="20664" hidden="1" ht="1" customHeight="1">
      <s:c r="A20664" s="120" t="inlineStr"/>
      <s:c r="B20664" s="121" t="n"/>
      <s:c r="C20664" s="121" t="n"/>
      <s:c r="D20664" s="121" t="n"/>
      <s:c r="E20664" s="122" t="n"/>
    </s:row>
    <s:row r="20665" hidden="1" ht="1" customHeight="1">
      <s:c r="A20665" s="120" t="inlineStr"/>
      <s:c r="B20665" s="121" t="n"/>
      <s:c r="C20665" s="121" t="n"/>
      <s:c r="D20665" s="121" t="n"/>
      <s:c r="E20665" s="122" t="n"/>
    </s:row>
    <s:row r="20666" hidden="1" ht="1" customHeight="1">
      <s:c r="A20666" s="120" t="inlineStr"/>
      <s:c r="B20666" s="121" t="n"/>
      <s:c r="C20666" s="121" t="n"/>
      <s:c r="D20666" s="121" t="n"/>
      <s:c r="E20666" s="122" t="n"/>
    </s:row>
    <s:row r="20667" hidden="1" ht="1" customHeight="1">
      <s:c r="A20667" s="120" t="inlineStr"/>
      <s:c r="B20667" s="121" t="n"/>
      <s:c r="C20667" s="121" t="n"/>
      <s:c r="D20667" s="121" t="n"/>
      <s:c r="E20667" s="122" t="n"/>
    </s:row>
    <s:row r="20668" hidden="1" ht="1" customHeight="1">
      <s:c r="A20668" s="120" t="inlineStr"/>
      <s:c r="B20668" s="121" t="n"/>
      <s:c r="C20668" s="121" t="n"/>
      <s:c r="D20668" s="121" t="n"/>
      <s:c r="E20668" s="122" t="n"/>
    </s:row>
    <s:row r="20669" hidden="1" ht="1" customHeight="1">
      <s:c r="A20669" s="120" t="inlineStr"/>
      <s:c r="B20669" s="121" t="n"/>
      <s:c r="C20669" s="121" t="n"/>
      <s:c r="D20669" s="121" t="n"/>
      <s:c r="E20669" s="122" t="n"/>
    </s:row>
    <s:row r="20670" hidden="1" ht="1" customHeight="1">
      <s:c r="A20670" s="120" t="inlineStr"/>
      <s:c r="B20670" s="121" t="n"/>
      <s:c r="C20670" s="121" t="n"/>
      <s:c r="D20670" s="121" t="n"/>
      <s:c r="E20670" s="122" t="n"/>
    </s:row>
    <s:row r="20671" hidden="1" ht="1" customHeight="1">
      <s:c r="A20671" s="120" t="inlineStr"/>
      <s:c r="B20671" s="121" t="n"/>
      <s:c r="C20671" s="121" t="n"/>
      <s:c r="D20671" s="121" t="n"/>
      <s:c r="E20671" s="122" t="n"/>
    </s:row>
    <s:row r="20672" hidden="1" ht="1" customHeight="1">
      <s:c r="A20672" s="120" t="inlineStr"/>
      <s:c r="B20672" s="121" t="n"/>
      <s:c r="C20672" s="121" t="n"/>
      <s:c r="D20672" s="121" t="n"/>
      <s:c r="E20672" s="122" t="n"/>
    </s:row>
    <s:row r="20673" hidden="1" ht="1" customHeight="1">
      <s:c r="A20673" s="120" t="inlineStr"/>
      <s:c r="B20673" s="121" t="n"/>
      <s:c r="C20673" s="121" t="n"/>
      <s:c r="D20673" s="121" t="n"/>
      <s:c r="E20673" s="122" t="n"/>
    </s:row>
    <s:row r="20674" hidden="1" ht="1" customHeight="1">
      <s:c r="A20674" s="120" t="inlineStr"/>
      <s:c r="B20674" s="121" t="n"/>
      <s:c r="C20674" s="121" t="n"/>
      <s:c r="D20674" s="121" t="n"/>
      <s:c r="E20674" s="122" t="n"/>
    </s:row>
    <s:row r="20675" hidden="1" ht="1" customHeight="1">
      <s:c r="A20675" s="120" t="inlineStr"/>
      <s:c r="B20675" s="121" t="n"/>
      <s:c r="C20675" s="121" t="n"/>
      <s:c r="D20675" s="121" t="n"/>
      <s:c r="E20675" s="122" t="n"/>
    </s:row>
    <s:row r="20676" hidden="1" ht="1" customHeight="1">
      <s:c r="A20676" s="120" t="inlineStr"/>
      <s:c r="B20676" s="121" t="n"/>
      <s:c r="C20676" s="121" t="n"/>
      <s:c r="D20676" s="121" t="n"/>
      <s:c r="E20676" s="122" t="n"/>
    </s:row>
    <s:row r="20677" hidden="1" ht="1" customHeight="1">
      <s:c r="A20677" s="120" t="inlineStr"/>
      <s:c r="B20677" s="121" t="n"/>
      <s:c r="C20677" s="121" t="n"/>
      <s:c r="D20677" s="121" t="n"/>
      <s:c r="E20677" s="122" t="n"/>
    </s:row>
    <s:row r="20678" hidden="1" ht="1" customHeight="1">
      <s:c r="A20678" s="120" t="inlineStr"/>
      <s:c r="B20678" s="121" t="n"/>
      <s:c r="C20678" s="121" t="n"/>
      <s:c r="D20678" s="121" t="n"/>
      <s:c r="E20678" s="122" t="n"/>
    </s:row>
    <s:row r="20679" hidden="1" ht="1" customHeight="1">
      <s:c r="A20679" s="120" t="inlineStr"/>
      <s:c r="B20679" s="121" t="n"/>
      <s:c r="C20679" s="121" t="n"/>
      <s:c r="D20679" s="121" t="n"/>
      <s:c r="E20679" s="122" t="n"/>
    </s:row>
    <s:row r="20680" hidden="1" ht="1" customHeight="1">
      <s:c r="A20680" s="120" t="inlineStr"/>
      <s:c r="B20680" s="121" t="n"/>
      <s:c r="C20680" s="121" t="n"/>
      <s:c r="D20680" s="121" t="n"/>
      <s:c r="E20680" s="122" t="n"/>
    </s:row>
    <s:row r="20681" hidden="1" ht="1" customHeight="1">
      <s:c r="A20681" s="120" t="inlineStr"/>
      <s:c r="B20681" s="121" t="n"/>
      <s:c r="C20681" s="121" t="n"/>
      <s:c r="D20681" s="121" t="n"/>
      <s:c r="E20681" s="122" t="n"/>
    </s:row>
    <s:row r="20682" hidden="1" ht="1" customHeight="1">
      <s:c r="A20682" s="120" t="inlineStr"/>
      <s:c r="B20682" s="121" t="n"/>
      <s:c r="C20682" s="121" t="n"/>
      <s:c r="D20682" s="121" t="n"/>
      <s:c r="E20682" s="122" t="n"/>
    </s:row>
    <s:row r="20683" hidden="1" ht="1" customHeight="1">
      <s:c r="A20683" s="120" t="inlineStr"/>
      <s:c r="B20683" s="121" t="n"/>
      <s:c r="C20683" s="121" t="n"/>
      <s:c r="D20683" s="121" t="n"/>
      <s:c r="E20683" s="122" t="n"/>
    </s:row>
    <s:row r="20684" hidden="1" ht="1" customHeight="1">
      <s:c r="A20684" s="120" t="inlineStr"/>
      <s:c r="B20684" s="121" t="n"/>
      <s:c r="C20684" s="121" t="n"/>
      <s:c r="D20684" s="121" t="n"/>
      <s:c r="E20684" s="122" t="n"/>
    </s:row>
    <s:row r="20685" hidden="1" ht="1" customHeight="1">
      <s:c r="A20685" s="120" t="inlineStr"/>
      <s:c r="B20685" s="121" t="n"/>
      <s:c r="C20685" s="121" t="n"/>
      <s:c r="D20685" s="121" t="n"/>
      <s:c r="E20685" s="122" t="n"/>
    </s:row>
    <s:row r="20686" hidden="1" ht="1" customHeight="1">
      <s:c r="A20686" s="120" t="inlineStr"/>
      <s:c r="B20686" s="121" t="n"/>
      <s:c r="C20686" s="121" t="n"/>
      <s:c r="D20686" s="121" t="n"/>
      <s:c r="E20686" s="122" t="n"/>
    </s:row>
    <s:row r="20687" hidden="1" ht="1" customHeight="1">
      <s:c r="A20687" s="120" t="inlineStr"/>
      <s:c r="B20687" s="121" t="n"/>
      <s:c r="C20687" s="121" t="n"/>
      <s:c r="D20687" s="121" t="n"/>
      <s:c r="E20687" s="122" t="n"/>
    </s:row>
    <s:row r="20688" hidden="1" ht="1" customHeight="1">
      <s:c r="A20688" s="120" t="inlineStr"/>
      <s:c r="B20688" s="121" t="n"/>
      <s:c r="C20688" s="121" t="n"/>
      <s:c r="D20688" s="121" t="n"/>
      <s:c r="E20688" s="122" t="n"/>
    </s:row>
    <s:row r="20689" hidden="1" ht="1" customHeight="1">
      <s:c r="A20689" s="120" t="inlineStr"/>
      <s:c r="B20689" s="121" t="n"/>
      <s:c r="C20689" s="121" t="n"/>
      <s:c r="D20689" s="121" t="n"/>
      <s:c r="E20689" s="122" t="n"/>
    </s:row>
    <s:row r="20690" hidden="1" ht="1" customHeight="1">
      <s:c r="A20690" s="120" t="inlineStr"/>
      <s:c r="B20690" s="121" t="n"/>
      <s:c r="C20690" s="121" t="n"/>
      <s:c r="D20690" s="121" t="n"/>
      <s:c r="E20690" s="122" t="n"/>
    </s:row>
    <s:row r="20691" hidden="1" ht="1" customHeight="1">
      <s:c r="A20691" s="120" t="inlineStr"/>
      <s:c r="B20691" s="121" t="n"/>
      <s:c r="C20691" s="121" t="n"/>
      <s:c r="D20691" s="121" t="n"/>
      <s:c r="E20691" s="122" t="n"/>
    </s:row>
    <s:row r="20692" hidden="1" ht="1" customHeight="1">
      <s:c r="A20692" s="120" t="inlineStr"/>
      <s:c r="B20692" s="121" t="n"/>
      <s:c r="C20692" s="121" t="n"/>
      <s:c r="D20692" s="121" t="n"/>
      <s:c r="E20692" s="122" t="n"/>
    </s:row>
    <s:row r="20693" hidden="1" ht="1" customHeight="1">
      <s:c r="A20693" s="120" t="inlineStr"/>
      <s:c r="B20693" s="121" t="n"/>
      <s:c r="C20693" s="121" t="n"/>
      <s:c r="D20693" s="121" t="n"/>
      <s:c r="E20693" s="122" t="n"/>
    </s:row>
    <s:row r="20694" hidden="1" ht="1" customHeight="1">
      <s:c r="A20694" s="120" t="inlineStr"/>
      <s:c r="B20694" s="121" t="n"/>
      <s:c r="C20694" s="121" t="n"/>
      <s:c r="D20694" s="121" t="n"/>
      <s:c r="E20694" s="122" t="n"/>
    </s:row>
    <s:row r="20695" hidden="1" ht="1" customHeight="1">
      <s:c r="A20695" s="120" t="inlineStr"/>
      <s:c r="B20695" s="121" t="n"/>
      <s:c r="C20695" s="121" t="n"/>
      <s:c r="D20695" s="121" t="n"/>
      <s:c r="E20695" s="122" t="n"/>
    </s:row>
    <s:row r="20696" hidden="1" ht="1" customHeight="1">
      <s:c r="A20696" s="120" t="inlineStr"/>
      <s:c r="B20696" s="121" t="n"/>
      <s:c r="C20696" s="121" t="n"/>
      <s:c r="D20696" s="121" t="n"/>
      <s:c r="E20696" s="122" t="n"/>
    </s:row>
    <s:row r="20697" hidden="1" ht="1" customHeight="1">
      <s:c r="A20697" s="120" t="inlineStr"/>
      <s:c r="B20697" s="121" t="n"/>
      <s:c r="C20697" s="121" t="n"/>
      <s:c r="D20697" s="121" t="n"/>
      <s:c r="E20697" s="122" t="n"/>
    </s:row>
    <s:row r="20698" hidden="1" ht="1" customHeight="1">
      <s:c r="A20698" s="120" t="inlineStr"/>
      <s:c r="B20698" s="121" t="n"/>
      <s:c r="C20698" s="121" t="n"/>
      <s:c r="D20698" s="121" t="n"/>
      <s:c r="E20698" s="122" t="n"/>
    </s:row>
    <s:row r="20699" hidden="1" ht="1" customHeight="1">
      <s:c r="A20699" s="120" t="inlineStr"/>
      <s:c r="B20699" s="121" t="n"/>
      <s:c r="C20699" s="121" t="n"/>
      <s:c r="D20699" s="121" t="n"/>
      <s:c r="E20699" s="122" t="n"/>
    </s:row>
    <s:row r="20700" hidden="1" ht="1" customHeight="1">
      <s:c r="A20700" s="120" t="inlineStr"/>
      <s:c r="B20700" s="121" t="n"/>
      <s:c r="C20700" s="121" t="n"/>
      <s:c r="D20700" s="121" t="n"/>
      <s:c r="E20700" s="122" t="n"/>
    </s:row>
    <s:row r="20701" hidden="1" ht="1" customHeight="1">
      <s:c r="A20701" s="120" t="inlineStr"/>
      <s:c r="B20701" s="121" t="n"/>
      <s:c r="C20701" s="121" t="n"/>
      <s:c r="D20701" s="121" t="n"/>
      <s:c r="E20701" s="122" t="n"/>
    </s:row>
    <s:row r="20702" hidden="1" ht="1" customHeight="1">
      <s:c r="A20702" s="120" t="inlineStr"/>
      <s:c r="B20702" s="121" t="n"/>
      <s:c r="C20702" s="121" t="n"/>
      <s:c r="D20702" s="121" t="n"/>
      <s:c r="E20702" s="122" t="n"/>
    </s:row>
    <s:row r="20703" hidden="1" ht="1" customHeight="1">
      <s:c r="A20703" s="120" t="inlineStr"/>
      <s:c r="B20703" s="121" t="n"/>
      <s:c r="C20703" s="121" t="n"/>
      <s:c r="D20703" s="121" t="n"/>
      <s:c r="E20703" s="122" t="n"/>
    </s:row>
    <s:row r="20704" hidden="1" ht="1" customHeight="1">
      <s:c r="A20704" s="120" t="inlineStr"/>
      <s:c r="B20704" s="121" t="n"/>
      <s:c r="C20704" s="121" t="n"/>
      <s:c r="D20704" s="121" t="n"/>
      <s:c r="E20704" s="122" t="n"/>
    </s:row>
    <s:row r="20705" hidden="1" ht="1" customHeight="1">
      <s:c r="A20705" s="120" t="inlineStr"/>
      <s:c r="B20705" s="121" t="n"/>
      <s:c r="C20705" s="121" t="n"/>
      <s:c r="D20705" s="121" t="n"/>
      <s:c r="E20705" s="122" t="n"/>
    </s:row>
    <s:row r="20706" hidden="1" ht="1" customHeight="1">
      <s:c r="A20706" s="83" t="inlineStr">
        <s:is>
          <s:t>PASS</s:t>
        </s:is>
      </s:c>
      <s:c r="B20706" s="83">
        <s:f>SUM(IF(EXACT('Kiểm thử'!E20656,"Đạt"),1,0))</s:f>
        <s:v/>
      </s:c>
      <s:c r="C20706" s="19" t="n"/>
      <s:c r="D20706" s="19" t="n"/>
      <s:c r="E20706" s="19" t="n"/>
    </s:row>
    <s:row r="20707" hidden="1" ht="1" customHeight="1">
      <s:c r="A20707" s="83" t="inlineStr">
        <s:is>
          <s:t>FAIL</s:t>
        </s:is>
      </s:c>
      <s:c r="B20707" s="83">
        <s:f>SUM(IF(EXACT('Kiểm thử'!E20656,"Không đạt"),1,0))</s:f>
        <s:v/>
      </s:c>
      <s:c r="C20707" s="19" t="n"/>
      <s:c r="D20707" s="19" t="n"/>
      <s:c r="E20707" s="19" t="n"/>
    </s:row>
    <s:row r="20708" hidden="1" ht="1" customHeight="1">
      <s:c r="A20708" s="83" t="inlineStr">
        <s:is>
          <s:t>BLOCKED</s:t>
        </s:is>
      </s:c>
      <s:c r="B20708" s="83">
        <s:f>SUM(IF(EXACT('Kiểm thử'!E20656,"Bị chặn"),1,0))</s:f>
        <s:v/>
      </s:c>
      <s:c r="C20708" s="19" t="n"/>
      <s:c r="D20708" s="19" t="n"/>
      <s:c r="E20708" s="19" t="n"/>
    </s:row>
    <s:row r="20709" hidden="1" ht="1" customHeight="1">
      <s:c r="A20709" s="83" t="inlineStr">
        <s:is>
          <s:t>SKIPPED</s:t>
        </s:is>
      </s:c>
      <s:c r="B20709" s="83">
        <s:f>SUM(IF(EXACT('Kiểm thử'!E20656,"Không thực hiện"),1,0))</s:f>
        <s:v/>
      </s:c>
      <s:c r="C20709" s="19" t="n"/>
      <s:c r="D20709" s="19" t="n"/>
      <s:c r="E20709" s="19" t="n"/>
    </s:row>
    <s:row r="20710" hidden="1" ht="1" customHeight="1">
      <s:c r="A20710" s="83" t="inlineStr">
        <s:is>
          <s:t>NOT RUN</s:t>
        </s:is>
      </s:c>
      <s:c r="B20710" s="83">
        <s:f>SUM(IF(EXACT('Kiểm thử'!E20656,"Chưa thực hiện"),1,0))</s:f>
        <s:v/>
      </s:c>
      <s:c r="C20710" s="19" t="n"/>
      <s:c r="D20710" s="19" t="n"/>
      <s:c r="E20710" s="19" t="n"/>
    </s:row>
    <s:row r="20711" hidden="1" ht="6" customHeight="1">
      <s:c r="A20711" s="83" t="inlineStr"/>
      <s:c r="B20711" s="19" t="n"/>
      <s:c r="C20711" s="19" t="n"/>
      <s:c r="D20711" s="19" t="n"/>
      <s:c r="E20711" s="19" t="n"/>
    </s:row>
    <s:row r="20712" ht="28" customHeight="1">
      <s:c r="A20712" s="108" t="inlineStr">
        <s:is>
          <s:t>TC-RS-BR-003 — Ưu tiên 1 khớp nhưng thiếu dữ liệu → Chưa xét được, không chuyển xuống ưu tiên 2</s:t>
        </s:is>
      </s:c>
      <s:c r="B20712" s="111" t="n"/>
      <s:c r="C20712" s="111" t="n"/>
      <s:c r="D20712" s="111" t="n"/>
      <s:c r="E20712" s="111" t="n"/>
    </s:row>
    <s:row r="20713" ht="20" customHeight="1">
      <s:c r="A20713" s="112" t="inlineStr">
        <s:is>
          <s:t>Kết quả tình huống</s:t>
        </s:is>
      </s:c>
      <s:c r="B20713" s="113">
        <s:f>IF(SUM(IF(EXACT('Kiểm thử'!E20721,"Không đạt"),1,0),IF(EXACT('Kiểm thử'!E20723,"Không đạt"),1,0),IF(EXACT('Kiểm thử'!E20725,"Không đạt"),1,0))&gt;0,"Không đạt",IF(SUM(IF(EXACT('Kiểm thử'!E20721,"Đạt"),1,0),IF(EXACT('Kiểm thử'!E20723,"Đạt"),1,0),IF(EXACT('Kiểm thử'!E20725,"Đạt"),1,0))=3,"Đạt",IF(SUM(IF(EXACT('Kiểm thử'!E20721,"Không thực hiện"),1,0),IF(EXACT('Kiểm thử'!E20723,"Không thực hiện"),1,0),IF(EXACT('Kiểm thử'!E20725,"Không thực hiện"),1,0))=3,"Không thực hiện",IF(SUM(IF(EXACT('Kiểm thử'!E20721,"Bị chặn"),1,0),IF(EXACT('Kiểm thử'!E20723,"Bị chặn"),1,0),IF(EXACT('Kiểm thử'!E20725,"Bị chặn"),1,0))&gt;0,"Bị chặn",IF(SUM(IF(EXACT('Kiểm thử'!E20721,"Chưa thực hiện"),1,0),IF(EXACT('Kiểm thử'!E20723,"Chưa thực hiện"),1,0),IF(EXACT('Kiểm thử'!E20725,"Chưa thực hiện"),1,0))=3,"Chưa thực hiện","Đang thực hiện")))))</s:f>
        <s:v/>
      </s:c>
      <s:c r="C20713" s="114" t="n"/>
      <s:c r="D20713" s="114" t="n"/>
      <s:c r="E20713" s="114" t="n"/>
    </s:row>
    <s:row r="20714" ht="20" customHeight="1">
      <s:c r="A20714" s="112" t="inlineStr">
        <s:is>
          <s:t>Màn hình / chức năng</s:t>
        </s:is>
      </s:c>
      <s:c r="B20714" s="113" t="inlineStr">
        <s:is>
          <s:t>Xét theo ưu tiên</s:t>
        </s:is>
      </s:c>
      <s:c r="C20714" s="28" t="n"/>
      <s:c r="D20714" s="28" t="n"/>
      <s:c r="E20714" s="28" t="n"/>
    </s:row>
    <s:row r="20715" ht="118" customHeight="1">
      <s:c r="A20715" s="112" t="inlineStr">
        <s:is>
          <s:t>Cấu hình</s:t>
        </s:is>
      </s:c>
      <s:c r="B20715" s="113" t="inlineStr">
        <s:is>
          <s:r>
            <s:t>• Hai cấu hình thử: (A) ưu tiên 1 = quy tắc công thức 100 ÷ trung bình (100 ÷ A, Toàn bộ) với nguồn nhóm có trung bình 0 ([</s:t>
          </s:r>
          <s:r>
            <s:rPr>
              <s:b val="1"/>
            </s:rPr>
            <s:t>A=0</s:t>
          </s:r>
          <s:r>
            <s:t>]);
• Ưu tiên 2 = quy tắc “Cố định 30” (dưới 30). (B) ưu tiên 1 = quy tắc có điều kiện [</s:t>
          </s:r>
          <s:r>
            <s:rPr>
              <s:b val="1"/>
            </s:rPr>
            <s:t>A≥60</s:t>
          </s:r>
          <s:r>
            <s:t xml:space="preserve">] với nguồn nguồn chưa có kết quả tổng hợp (không có tổng hợp);
• Ưu tiên 2 = quy tắc “Cố định 30” (dưới 30). (C) ưu tiên 1 = quy tắc </s:t>
          </s:r>
          <s:r>
            <s:rPr>
              <s:b val="1"/>
            </s:rPr>
            <s:t>có bộ lọc Môn（教科・科目）</s:t>
          </s:r>
          <s:r>
            <s:t>= Ngữ văn và điều kiện [</s:t>
          </s:r>
          <s:r>
            <s:rPr>
              <s:b val="1"/>
            </s:rPr>
            <s:t>A≥60</s:t>
          </s:r>
          <s:r>
            <s:t>] (nguồn nguồn chưa có kết quả tổng hợp);
• Ưu tiên 2 = quy tắc “Cố định 30” (dưới 30);
• Ô đang xét là Toán.</s:t>
          </s:r>
        </s:is>
      </s:c>
      <s:c r="C20715" s="28" t="n"/>
      <s:c r="D20715" s="28" t="n"/>
      <s:c r="E20715" s="28" t="n"/>
    </s:row>
    <s:row r="20716" ht="34" customHeight="1">
      <s:c r="A20716" s="112" t="inlineStr">
        <s:is>
          <s:t>Dữ liệu test</s:t>
        </s:is>
      </s:c>
      <s:c r="B20716" s="113" t="inlineStr">
        <s:is>
          <s:t>• Quy tắc công thức 100 ÷ trung bình, quy tắc “Cố định 30” (dưới 30), nhóm có trung bình 0, nguồn chưa có kết quả tổng hợp, học sinh S01 (điểm 29)</s:t>
        </s:is>
      </s:c>
      <s:c r="C20716" s="28" t="n"/>
      <s:c r="D20716" s="28" t="n"/>
      <s:c r="E20716" s="28" t="n"/>
    </s:row>
    <s:row r="20717" ht="20" customHeight="1">
      <s:c r="A20717" s="112" t="inlineStr">
        <s:is>
          <s:t>Bước 1</s:t>
        </s:is>
      </s:c>
      <s:c r="B20717" s="113" t="inlineStr">
        <s:is>
          <s:t>Dựng fixture độc lập đúng cặp ưu tiên của trường hợp.</s:t>
        </s:is>
      </s:c>
      <s:c r="C20717" s="28" t="n"/>
      <s:c r="D20717" s="28" t="n"/>
      <s:c r="E20717" s="28" t="n"/>
    </s:row>
    <s:row r="20718" ht="20" customHeight="1">
      <s:c r="A20718" s="112" t="inlineStr">
        <s:is>
          <s:t>Bước 2</s:t>
        </s:is>
      </s:c>
      <s:c r="B20718" s="113" t="inlineStr">
        <s:is>
          <s:t>Đăng ký S01=29 và đọc identity rule được chọn, trạng thái và nguồn/ngưỡng.</s:t>
        </s:is>
      </s:c>
      <s:c r="C20718" s="28" t="n"/>
      <s:c r="D20718" s="28" t="n"/>
      <s:c r="E20718" s="28" t="n"/>
    </s:row>
    <s:row r="20719" ht="28" customHeight="1">
      <s:c r="A20719" s="115" t="inlineStr">
        <s:is>
          <s:t>Trường hợp</s:t>
        </s:is>
      </s:c>
      <s:c r="B20719" s="115" t="inlineStr">
        <s:is>
          <s:t>Dữ liệu / thao tác riêng</s:t>
        </s:is>
      </s:c>
      <s:c r="C20719" s="115" t="inlineStr">
        <s:is>
          <s:t>Kết quả mong đợi</s:t>
        </s:is>
      </s:c>
      <s:c r="D20719" s="115" t="inlineStr">
        <s:is>
          <s:t>Kết quả thực tế</s:t>
        </s:is>
      </s:c>
      <s:c r="E20719" s="115" t="inlineStr">
        <s:is>
          <s:t>Đánh giá</s:t>
        </s:is>
      </s:c>
    </s:row>
    <s:row r="20720" ht="3" customHeight="1">
      <s:c r="A20720" s="102" t="inlineStr"/>
      <s:c r="B20720" s="99" t="n"/>
      <s:c r="C20720" s="99" t="n"/>
      <s:c r="D20720" s="116" t="n"/>
      <s:c r="E20720" s="116" t="n"/>
    </s:row>
    <s:row r="20721" ht="62" customHeight="1">
      <s:c r="A20721" s="83" t="inlineStr">
        <s:is>
          <s:t>Rule được chọn nhưng chia 0 (divide-zero)</s:t>
        </s:is>
      </s:c>
      <s:c r="B20721" s="83" t="inlineStr">
        <s:is>
          <s:r>
            <s:t xml:space="preserve">FixtureA: ưu tiên1 Toàn bộ/công thức100÷A,reader </s:t>
          </s:r>
          <s:r>
            <s:rPr>
              <s:b val="1"/>
            </s:rPr>
            <s:t>A=0</s:t>
          </s:r>
          <s:r>
            <s:t>; ưu tiên2 cố định30,&lt;. Đăng ký S01=29 và đọc rule/trạng thái.</s:t>
          </s:r>
        </s:is>
      </s:c>
      <s:c r="C20721" s="83" t="inlineStr">
        <s:is>
          <s:t>(A) Quy tắc 1 được chọn, chia 0 → Chưa xét được; không dùng ưu tiên 2.</s:t>
        </s:is>
      </s:c>
      <s:c r="D20721" s="117" t="inlineStr"/>
      <s:c r="E20721" s="118" t="inlineStr">
        <s:is>
          <s:t>Chưa thực hiện</s:t>
        </s:is>
      </s:c>
    </s:row>
    <s:row r="20722" ht="3" customHeight="1">
      <s:c r="A20722" s="102" t="inlineStr"/>
      <s:c r="B20722" s="99" t="n"/>
      <s:c r="C20722" s="99" t="n"/>
      <s:c r="D20722" s="116" t="n"/>
      <s:c r="E20722" s="116" t="n"/>
    </s:row>
    <s:row r="20723" ht="62" customHeight="1">
      <s:c r="A20723" s="83" t="inlineStr">
        <s:is>
          <s:t>Thiếu nguồn của điều kiện (missing-average)</s:t>
        </s:is>
      </s:c>
      <s:c r="B20723" s="83" t="inlineStr">
        <s:is>
          <s:r>
            <s:t xml:space="preserve">FixtureB: ưu tiên1 </s:t>
          </s:r>
          <s:r>
            <s:rPr>
              <s:b val="1"/>
            </s:rPr>
            <s:t>A≥60</s:t>
          </s:r>
          <s:r>
            <s:t xml:space="preserve"> nhưng chưa có tổng hợp; ưu tiên2 cố định30,&lt;. Đăng ký S01=29 và đọc rule/trạng thái.</s:t>
          </s:r>
        </s:is>
      </s:c>
      <s:c r="C20723" s="83" t="inlineStr">
        <s:is>
          <s:t>(B) Không xác định được điều kiện trung bình → Chưa xét được; không coi thiếu dữ liệu là "không khớp" để xuống ưu tiên 2.</s:t>
        </s:is>
      </s:c>
      <s:c r="D20723" s="117" t="inlineStr"/>
      <s:c r="E20723" s="118" t="inlineStr">
        <s:is>
          <s:t>Chưa thực hiện</s:t>
        </s:is>
      </s:c>
    </s:row>
    <s:row r="20724" ht="3" customHeight="1">
      <s:c r="A20724" s="102" t="inlineStr"/>
      <s:c r="B20724" s="99" t="n"/>
      <s:c r="C20724" s="99" t="n"/>
      <s:c r="D20724" s="116" t="n"/>
      <s:c r="E20724" s="116" t="n"/>
    </s:row>
    <s:row r="20725" ht="76" customHeight="1">
      <s:c r="A20725" s="83" t="inlineStr">
        <s:is>
          <s:t>Bộ lọc đủ loại rule (filter-miss)</s:t>
        </s:is>
      </s:c>
      <s:c r="B20725" s="83" t="inlineStr">
        <s:is>
          <s:r>
            <s:t>FixtureC: ưu tiên1 Môn=Ngữ văn+</s:t>
          </s:r>
          <s:r>
            <s:rPr>
              <s:b val="1"/>
            </s:rPr>
            <s:t>A≥60</s:t>
          </s:r>
          <s:r>
            <s:t xml:space="preserve"> nhưng nguồn thiếu; ô đang xét Toán. Ưu tiên2 cố định30,&lt;; đăng ký S01=29 và đọc rule/trạng thái.</s:t>
          </s:r>
        </s:is>
      </s:c>
      <s:c r="C20725" s="83" t="inlineStr">
        <s:is>
          <s:r>
            <s:t xml:space="preserve">(C) Bộ lọc môn đã đủ chứng minh quy tắc 1 không áp dụng → được bỏ qua mà không cần nguồn; ưu tiên 2 áp dụng → </s:t>
          </s:r>
          <s:r>
            <s:rPr>
              <s:b val="1"/>
            </s:rPr>
            <s:t>Đỏ</s:t>
          </s:r>
          <s:r>
            <s:t>.</s:t>
          </s:r>
        </s:is>
      </s:c>
      <s:c r="D20725" s="117" t="inlineStr"/>
      <s:c r="E20725" s="118" t="inlineStr">
        <s:is>
          <s:t>Chưa thực hiện</s:t>
        </s:is>
      </s:c>
    </s:row>
    <s:row r="20726" ht="20" customHeight="1">
      <s:c r="A20726" s="119" t="inlineStr">
        <s:is>
          <s:t>Ảnh minh chứng — Chưa có ảnh</s:t>
        </s:is>
      </s:c>
      <s:c r="B20726" s="19" t="n"/>
      <s:c r="C20726" s="19" t="n"/>
      <s:c r="D20726" s="19" t="n"/>
      <s:c r="E20726" s="19" t="n"/>
    </s:row>
    <s:row r="20727" hidden="1" ht="1" customHeight="1">
      <s:c r="A20727" s="120" t="inlineStr"/>
      <s:c r="B20727" s="121" t="n"/>
      <s:c r="C20727" s="121" t="n"/>
      <s:c r="D20727" s="121" t="n"/>
      <s:c r="E20727" s="122" t="n"/>
    </s:row>
    <s:row r="20728" hidden="1" ht="1" customHeight="1">
      <s:c r="A20728" s="120" t="inlineStr"/>
      <s:c r="B20728" s="121" t="n"/>
      <s:c r="C20728" s="121" t="n"/>
      <s:c r="D20728" s="121" t="n"/>
      <s:c r="E20728" s="122" t="n"/>
    </s:row>
    <s:row r="20729" hidden="1" ht="1" customHeight="1">
      <s:c r="A20729" s="120" t="inlineStr"/>
      <s:c r="B20729" s="121" t="n"/>
      <s:c r="C20729" s="121" t="n"/>
      <s:c r="D20729" s="121" t="n"/>
      <s:c r="E20729" s="122" t="n"/>
    </s:row>
    <s:row r="20730" hidden="1" ht="1" customHeight="1">
      <s:c r="A20730" s="120" t="inlineStr"/>
      <s:c r="B20730" s="121" t="n"/>
      <s:c r="C20730" s="121" t="n"/>
      <s:c r="D20730" s="121" t="n"/>
      <s:c r="E20730" s="122" t="n"/>
    </s:row>
    <s:row r="20731" hidden="1" ht="1" customHeight="1">
      <s:c r="A20731" s="120" t="inlineStr"/>
      <s:c r="B20731" s="121" t="n"/>
      <s:c r="C20731" s="121" t="n"/>
      <s:c r="D20731" s="121" t="n"/>
      <s:c r="E20731" s="122" t="n"/>
    </s:row>
    <s:row r="20732" hidden="1" ht="1" customHeight="1">
      <s:c r="A20732" s="120" t="inlineStr"/>
      <s:c r="B20732" s="121" t="n"/>
      <s:c r="C20732" s="121" t="n"/>
      <s:c r="D20732" s="121" t="n"/>
      <s:c r="E20732" s="122" t="n"/>
    </s:row>
    <s:row r="20733" hidden="1" ht="1" customHeight="1">
      <s:c r="A20733" s="120" t="inlineStr"/>
      <s:c r="B20733" s="121" t="n"/>
      <s:c r="C20733" s="121" t="n"/>
      <s:c r="D20733" s="121" t="n"/>
      <s:c r="E20733" s="122" t="n"/>
    </s:row>
    <s:row r="20734" hidden="1" ht="1" customHeight="1">
      <s:c r="A20734" s="120" t="inlineStr"/>
      <s:c r="B20734" s="121" t="n"/>
      <s:c r="C20734" s="121" t="n"/>
      <s:c r="D20734" s="121" t="n"/>
      <s:c r="E20734" s="122" t="n"/>
    </s:row>
    <s:row r="20735" hidden="1" ht="1" customHeight="1">
      <s:c r="A20735" s="120" t="inlineStr"/>
      <s:c r="B20735" s="121" t="n"/>
      <s:c r="C20735" s="121" t="n"/>
      <s:c r="D20735" s="121" t="n"/>
      <s:c r="E20735" s="122" t="n"/>
    </s:row>
    <s:row r="20736" hidden="1" ht="1" customHeight="1">
      <s:c r="A20736" s="120" t="inlineStr"/>
      <s:c r="B20736" s="121" t="n"/>
      <s:c r="C20736" s="121" t="n"/>
      <s:c r="D20736" s="121" t="n"/>
      <s:c r="E20736" s="122" t="n"/>
    </s:row>
    <s:row r="20737" hidden="1" ht="1" customHeight="1">
      <s:c r="A20737" s="120" t="inlineStr"/>
      <s:c r="B20737" s="121" t="n"/>
      <s:c r="C20737" s="121" t="n"/>
      <s:c r="D20737" s="121" t="n"/>
      <s:c r="E20737" s="122" t="n"/>
    </s:row>
    <s:row r="20738" hidden="1" ht="1" customHeight="1">
      <s:c r="A20738" s="120" t="inlineStr"/>
      <s:c r="B20738" s="121" t="n"/>
      <s:c r="C20738" s="121" t="n"/>
      <s:c r="D20738" s="121" t="n"/>
      <s:c r="E20738" s="122" t="n"/>
    </s:row>
    <s:row r="20739" hidden="1" ht="1" customHeight="1">
      <s:c r="A20739" s="120" t="inlineStr"/>
      <s:c r="B20739" s="121" t="n"/>
      <s:c r="C20739" s="121" t="n"/>
      <s:c r="D20739" s="121" t="n"/>
      <s:c r="E20739" s="122" t="n"/>
    </s:row>
    <s:row r="20740" hidden="1" ht="1" customHeight="1">
      <s:c r="A20740" s="120" t="inlineStr"/>
      <s:c r="B20740" s="121" t="n"/>
      <s:c r="C20740" s="121" t="n"/>
      <s:c r="D20740" s="121" t="n"/>
      <s:c r="E20740" s="122" t="n"/>
    </s:row>
    <s:row r="20741" hidden="1" ht="1" customHeight="1">
      <s:c r="A20741" s="120" t="inlineStr"/>
      <s:c r="B20741" s="121" t="n"/>
      <s:c r="C20741" s="121" t="n"/>
      <s:c r="D20741" s="121" t="n"/>
      <s:c r="E20741" s="122" t="n"/>
    </s:row>
    <s:row r="20742" hidden="1" ht="1" customHeight="1">
      <s:c r="A20742" s="120" t="inlineStr"/>
      <s:c r="B20742" s="121" t="n"/>
      <s:c r="C20742" s="121" t="n"/>
      <s:c r="D20742" s="121" t="n"/>
      <s:c r="E20742" s="122" t="n"/>
    </s:row>
    <s:row r="20743" hidden="1" ht="1" customHeight="1">
      <s:c r="A20743" s="120" t="inlineStr"/>
      <s:c r="B20743" s="121" t="n"/>
      <s:c r="C20743" s="121" t="n"/>
      <s:c r="D20743" s="121" t="n"/>
      <s:c r="E20743" s="122" t="n"/>
    </s:row>
    <s:row r="20744" hidden="1" ht="1" customHeight="1">
      <s:c r="A20744" s="120" t="inlineStr"/>
      <s:c r="B20744" s="121" t="n"/>
      <s:c r="C20744" s="121" t="n"/>
      <s:c r="D20744" s="121" t="n"/>
      <s:c r="E20744" s="122" t="n"/>
    </s:row>
    <s:row r="20745" hidden="1" ht="1" customHeight="1">
      <s:c r="A20745" s="120" t="inlineStr"/>
      <s:c r="B20745" s="121" t="n"/>
      <s:c r="C20745" s="121" t="n"/>
      <s:c r="D20745" s="121" t="n"/>
      <s:c r="E20745" s="122" t="n"/>
    </s:row>
    <s:row r="20746" hidden="1" ht="1" customHeight="1">
      <s:c r="A20746" s="120" t="inlineStr"/>
      <s:c r="B20746" s="121" t="n"/>
      <s:c r="C20746" s="121" t="n"/>
      <s:c r="D20746" s="121" t="n"/>
      <s:c r="E20746" s="122" t="n"/>
    </s:row>
    <s:row r="20747" hidden="1" ht="1" customHeight="1">
      <s:c r="A20747" s="120" t="inlineStr"/>
      <s:c r="B20747" s="121" t="n"/>
      <s:c r="C20747" s="121" t="n"/>
      <s:c r="D20747" s="121" t="n"/>
      <s:c r="E20747" s="122" t="n"/>
    </s:row>
    <s:row r="20748" hidden="1" ht="1" customHeight="1">
      <s:c r="A20748" s="120" t="inlineStr"/>
      <s:c r="B20748" s="121" t="n"/>
      <s:c r="C20748" s="121" t="n"/>
      <s:c r="D20748" s="121" t="n"/>
      <s:c r="E20748" s="122" t="n"/>
    </s:row>
    <s:row r="20749" hidden="1" ht="1" customHeight="1">
      <s:c r="A20749" s="120" t="inlineStr"/>
      <s:c r="B20749" s="121" t="n"/>
      <s:c r="C20749" s="121" t="n"/>
      <s:c r="D20749" s="121" t="n"/>
      <s:c r="E20749" s="122" t="n"/>
    </s:row>
    <s:row r="20750" hidden="1" ht="1" customHeight="1">
      <s:c r="A20750" s="120" t="inlineStr"/>
      <s:c r="B20750" s="121" t="n"/>
      <s:c r="C20750" s="121" t="n"/>
      <s:c r="D20750" s="121" t="n"/>
      <s:c r="E20750" s="122" t="n"/>
    </s:row>
    <s:row r="20751" hidden="1" ht="1" customHeight="1">
      <s:c r="A20751" s="120" t="inlineStr"/>
      <s:c r="B20751" s="121" t="n"/>
      <s:c r="C20751" s="121" t="n"/>
      <s:c r="D20751" s="121" t="n"/>
      <s:c r="E20751" s="122" t="n"/>
    </s:row>
    <s:row r="20752" hidden="1" ht="1" customHeight="1">
      <s:c r="A20752" s="120" t="inlineStr"/>
      <s:c r="B20752" s="121" t="n"/>
      <s:c r="C20752" s="121" t="n"/>
      <s:c r="D20752" s="121" t="n"/>
      <s:c r="E20752" s="122" t="n"/>
    </s:row>
    <s:row r="20753" hidden="1" ht="1" customHeight="1">
      <s:c r="A20753" s="120" t="inlineStr"/>
      <s:c r="B20753" s="121" t="n"/>
      <s:c r="C20753" s="121" t="n"/>
      <s:c r="D20753" s="121" t="n"/>
      <s:c r="E20753" s="122" t="n"/>
    </s:row>
    <s:row r="20754" hidden="1" ht="1" customHeight="1">
      <s:c r="A20754" s="120" t="inlineStr"/>
      <s:c r="B20754" s="121" t="n"/>
      <s:c r="C20754" s="121" t="n"/>
      <s:c r="D20754" s="121" t="n"/>
      <s:c r="E20754" s="122" t="n"/>
    </s:row>
    <s:row r="20755" hidden="1" ht="1" customHeight="1">
      <s:c r="A20755" s="120" t="inlineStr"/>
      <s:c r="B20755" s="121" t="n"/>
      <s:c r="C20755" s="121" t="n"/>
      <s:c r="D20755" s="121" t="n"/>
      <s:c r="E20755" s="122" t="n"/>
    </s:row>
    <s:row r="20756" hidden="1" ht="1" customHeight="1">
      <s:c r="A20756" s="120" t="inlineStr"/>
      <s:c r="B20756" s="121" t="n"/>
      <s:c r="C20756" s="121" t="n"/>
      <s:c r="D20756" s="121" t="n"/>
      <s:c r="E20756" s="122" t="n"/>
    </s:row>
    <s:row r="20757" hidden="1" ht="1" customHeight="1">
      <s:c r="A20757" s="120" t="inlineStr"/>
      <s:c r="B20757" s="121" t="n"/>
      <s:c r="C20757" s="121" t="n"/>
      <s:c r="D20757" s="121" t="n"/>
      <s:c r="E20757" s="122" t="n"/>
    </s:row>
    <s:row r="20758" hidden="1" ht="1" customHeight="1">
      <s:c r="A20758" s="120" t="inlineStr"/>
      <s:c r="B20758" s="121" t="n"/>
      <s:c r="C20758" s="121" t="n"/>
      <s:c r="D20758" s="121" t="n"/>
      <s:c r="E20758" s="122" t="n"/>
    </s:row>
    <s:row r="20759" hidden="1" ht="1" customHeight="1">
      <s:c r="A20759" s="120" t="inlineStr"/>
      <s:c r="B20759" s="121" t="n"/>
      <s:c r="C20759" s="121" t="n"/>
      <s:c r="D20759" s="121" t="n"/>
      <s:c r="E20759" s="122" t="n"/>
    </s:row>
    <s:row r="20760" hidden="1" ht="1" customHeight="1">
      <s:c r="A20760" s="120" t="inlineStr"/>
      <s:c r="B20760" s="121" t="n"/>
      <s:c r="C20760" s="121" t="n"/>
      <s:c r="D20760" s="121" t="n"/>
      <s:c r="E20760" s="122" t="n"/>
    </s:row>
    <s:row r="20761" hidden="1" ht="1" customHeight="1">
      <s:c r="A20761" s="120" t="inlineStr"/>
      <s:c r="B20761" s="121" t="n"/>
      <s:c r="C20761" s="121" t="n"/>
      <s:c r="D20761" s="121" t="n"/>
      <s:c r="E20761" s="122" t="n"/>
    </s:row>
    <s:row r="20762" hidden="1" ht="1" customHeight="1">
      <s:c r="A20762" s="120" t="inlineStr"/>
      <s:c r="B20762" s="121" t="n"/>
      <s:c r="C20762" s="121" t="n"/>
      <s:c r="D20762" s="121" t="n"/>
      <s:c r="E20762" s="122" t="n"/>
    </s:row>
    <s:row r="20763" hidden="1" ht="1" customHeight="1">
      <s:c r="A20763" s="120" t="inlineStr"/>
      <s:c r="B20763" s="121" t="n"/>
      <s:c r="C20763" s="121" t="n"/>
      <s:c r="D20763" s="121" t="n"/>
      <s:c r="E20763" s="122" t="n"/>
    </s:row>
    <s:row r="20764" hidden="1" ht="1" customHeight="1">
      <s:c r="A20764" s="120" t="inlineStr"/>
      <s:c r="B20764" s="121" t="n"/>
      <s:c r="C20764" s="121" t="n"/>
      <s:c r="D20764" s="121" t="n"/>
      <s:c r="E20764" s="122" t="n"/>
    </s:row>
    <s:row r="20765" hidden="1" ht="1" customHeight="1">
      <s:c r="A20765" s="120" t="inlineStr"/>
      <s:c r="B20765" s="121" t="n"/>
      <s:c r="C20765" s="121" t="n"/>
      <s:c r="D20765" s="121" t="n"/>
      <s:c r="E20765" s="122" t="n"/>
    </s:row>
    <s:row r="20766" hidden="1" ht="1" customHeight="1">
      <s:c r="A20766" s="120" t="inlineStr"/>
      <s:c r="B20766" s="121" t="n"/>
      <s:c r="C20766" s="121" t="n"/>
      <s:c r="D20766" s="121" t="n"/>
      <s:c r="E20766" s="122" t="n"/>
    </s:row>
    <s:row r="20767" hidden="1" ht="1" customHeight="1">
      <s:c r="A20767" s="120" t="inlineStr"/>
      <s:c r="B20767" s="121" t="n"/>
      <s:c r="C20767" s="121" t="n"/>
      <s:c r="D20767" s="121" t="n"/>
      <s:c r="E20767" s="122" t="n"/>
    </s:row>
    <s:row r="20768" hidden="1" ht="1" customHeight="1">
      <s:c r="A20768" s="120" t="inlineStr"/>
      <s:c r="B20768" s="121" t="n"/>
      <s:c r="C20768" s="121" t="n"/>
      <s:c r="D20768" s="121" t="n"/>
      <s:c r="E20768" s="122" t="n"/>
    </s:row>
    <s:row r="20769" hidden="1" ht="1" customHeight="1">
      <s:c r="A20769" s="120" t="inlineStr"/>
      <s:c r="B20769" s="121" t="n"/>
      <s:c r="C20769" s="121" t="n"/>
      <s:c r="D20769" s="121" t="n"/>
      <s:c r="E20769" s="122" t="n"/>
    </s:row>
    <s:row r="20770" hidden="1" ht="1" customHeight="1">
      <s:c r="A20770" s="120" t="inlineStr"/>
      <s:c r="B20770" s="121" t="n"/>
      <s:c r="C20770" s="121" t="n"/>
      <s:c r="D20770" s="121" t="n"/>
      <s:c r="E20770" s="122" t="n"/>
    </s:row>
    <s:row r="20771" hidden="1" ht="1" customHeight="1">
      <s:c r="A20771" s="120" t="inlineStr"/>
      <s:c r="B20771" s="121" t="n"/>
      <s:c r="C20771" s="121" t="n"/>
      <s:c r="D20771" s="121" t="n"/>
      <s:c r="E20771" s="122" t="n"/>
    </s:row>
    <s:row r="20772" hidden="1" ht="1" customHeight="1">
      <s:c r="A20772" s="120" t="inlineStr"/>
      <s:c r="B20772" s="121" t="n"/>
      <s:c r="C20772" s="121" t="n"/>
      <s:c r="D20772" s="121" t="n"/>
      <s:c r="E20772" s="122" t="n"/>
    </s:row>
    <s:row r="20773" hidden="1" ht="1" customHeight="1">
      <s:c r="A20773" s="120" t="inlineStr"/>
      <s:c r="B20773" s="121" t="n"/>
      <s:c r="C20773" s="121" t="n"/>
      <s:c r="D20773" s="121" t="n"/>
      <s:c r="E20773" s="122" t="n"/>
    </s:row>
    <s:row r="20774" hidden="1" ht="1" customHeight="1">
      <s:c r="A20774" s="120" t="inlineStr"/>
      <s:c r="B20774" s="121" t="n"/>
      <s:c r="C20774" s="121" t="n"/>
      <s:c r="D20774" s="121" t="n"/>
      <s:c r="E20774" s="122" t="n"/>
    </s:row>
    <s:row r="20775" hidden="1" ht="1" customHeight="1">
      <s:c r="A20775" s="120" t="inlineStr"/>
      <s:c r="B20775" s="121" t="n"/>
      <s:c r="C20775" s="121" t="n"/>
      <s:c r="D20775" s="121" t="n"/>
      <s:c r="E20775" s="122" t="n"/>
    </s:row>
    <s:row r="20776" hidden="1" ht="1" customHeight="1">
      <s:c r="A20776" s="120" t="inlineStr"/>
      <s:c r="B20776" s="121" t="n"/>
      <s:c r="C20776" s="121" t="n"/>
      <s:c r="D20776" s="121" t="n"/>
      <s:c r="E20776" s="122" t="n"/>
    </s:row>
    <s:row r="20777" hidden="1" ht="1" customHeight="1">
      <s:c r="A20777" s="120" t="inlineStr"/>
      <s:c r="B20777" s="121" t="n"/>
      <s:c r="C20777" s="121" t="n"/>
      <s:c r="D20777" s="121" t="n"/>
      <s:c r="E20777" s="122" t="n"/>
    </s:row>
    <s:row r="20778" hidden="1" ht="1" customHeight="1">
      <s:c r="A20778" s="120" t="inlineStr"/>
      <s:c r="B20778" s="121" t="n"/>
      <s:c r="C20778" s="121" t="n"/>
      <s:c r="D20778" s="121" t="n"/>
      <s:c r="E20778" s="122" t="n"/>
    </s:row>
    <s:row r="20779" hidden="1" ht="1" customHeight="1">
      <s:c r="A20779" s="120" t="inlineStr"/>
      <s:c r="B20779" s="121" t="n"/>
      <s:c r="C20779" s="121" t="n"/>
      <s:c r="D20779" s="121" t="n"/>
      <s:c r="E20779" s="122" t="n"/>
    </s:row>
    <s:row r="20780" hidden="1" ht="1" customHeight="1">
      <s:c r="A20780" s="120" t="inlineStr"/>
      <s:c r="B20780" s="121" t="n"/>
      <s:c r="C20780" s="121" t="n"/>
      <s:c r="D20780" s="121" t="n"/>
      <s:c r="E20780" s="122" t="n"/>
    </s:row>
    <s:row r="20781" hidden="1" ht="1" customHeight="1">
      <s:c r="A20781" s="120" t="inlineStr"/>
      <s:c r="B20781" s="121" t="n"/>
      <s:c r="C20781" s="121" t="n"/>
      <s:c r="D20781" s="121" t="n"/>
      <s:c r="E20781" s="122" t="n"/>
    </s:row>
    <s:row r="20782" hidden="1" ht="1" customHeight="1">
      <s:c r="A20782" s="120" t="inlineStr"/>
      <s:c r="B20782" s="121" t="n"/>
      <s:c r="C20782" s="121" t="n"/>
      <s:c r="D20782" s="121" t="n"/>
      <s:c r="E20782" s="122" t="n"/>
    </s:row>
    <s:row r="20783" hidden="1" ht="1" customHeight="1">
      <s:c r="A20783" s="120" t="inlineStr"/>
      <s:c r="B20783" s="121" t="n"/>
      <s:c r="C20783" s="121" t="n"/>
      <s:c r="D20783" s="121" t="n"/>
      <s:c r="E20783" s="122" t="n"/>
    </s:row>
    <s:row r="20784" hidden="1" ht="1" customHeight="1">
      <s:c r="A20784" s="120" t="inlineStr"/>
      <s:c r="B20784" s="121" t="n"/>
      <s:c r="C20784" s="121" t="n"/>
      <s:c r="D20784" s="121" t="n"/>
      <s:c r="E20784" s="122" t="n"/>
    </s:row>
    <s:row r="20785" hidden="1" ht="1" customHeight="1">
      <s:c r="A20785" s="120" t="inlineStr"/>
      <s:c r="B20785" s="121" t="n"/>
      <s:c r="C20785" s="121" t="n"/>
      <s:c r="D20785" s="121" t="n"/>
      <s:c r="E20785" s="122" t="n"/>
    </s:row>
    <s:row r="20786" hidden="1" ht="1" customHeight="1">
      <s:c r="A20786" s="120" t="inlineStr"/>
      <s:c r="B20786" s="121" t="n"/>
      <s:c r="C20786" s="121" t="n"/>
      <s:c r="D20786" s="121" t="n"/>
      <s:c r="E20786" s="122" t="n"/>
    </s:row>
    <s:row r="20787" hidden="1" ht="1" customHeight="1">
      <s:c r="A20787" s="120" t="inlineStr"/>
      <s:c r="B20787" s="121" t="n"/>
      <s:c r="C20787" s="121" t="n"/>
      <s:c r="D20787" s="121" t="n"/>
      <s:c r="E20787" s="122" t="n"/>
    </s:row>
    <s:row r="20788" hidden="1" ht="1" customHeight="1">
      <s:c r="A20788" s="120" t="inlineStr"/>
      <s:c r="B20788" s="121" t="n"/>
      <s:c r="C20788" s="121" t="n"/>
      <s:c r="D20788" s="121" t="n"/>
      <s:c r="E20788" s="122" t="n"/>
    </s:row>
    <s:row r="20789" hidden="1" ht="1" customHeight="1">
      <s:c r="A20789" s="120" t="inlineStr"/>
      <s:c r="B20789" s="121" t="n"/>
      <s:c r="C20789" s="121" t="n"/>
      <s:c r="D20789" s="121" t="n"/>
      <s:c r="E20789" s="122" t="n"/>
    </s:row>
    <s:row r="20790" hidden="1" ht="1" customHeight="1">
      <s:c r="A20790" s="120" t="inlineStr"/>
      <s:c r="B20790" s="121" t="n"/>
      <s:c r="C20790" s="121" t="n"/>
      <s:c r="D20790" s="121" t="n"/>
      <s:c r="E20790" s="122" t="n"/>
    </s:row>
    <s:row r="20791" hidden="1" ht="1" customHeight="1">
      <s:c r="A20791" s="120" t="inlineStr"/>
      <s:c r="B20791" s="121" t="n"/>
      <s:c r="C20791" s="121" t="n"/>
      <s:c r="D20791" s="121" t="n"/>
      <s:c r="E20791" s="122" t="n"/>
    </s:row>
    <s:row r="20792" hidden="1" ht="1" customHeight="1">
      <s:c r="A20792" s="120" t="inlineStr"/>
      <s:c r="B20792" s="121" t="n"/>
      <s:c r="C20792" s="121" t="n"/>
      <s:c r="D20792" s="121" t="n"/>
      <s:c r="E20792" s="122" t="n"/>
    </s:row>
    <s:row r="20793" hidden="1" ht="1" customHeight="1">
      <s:c r="A20793" s="120" t="inlineStr"/>
      <s:c r="B20793" s="121" t="n"/>
      <s:c r="C20793" s="121" t="n"/>
      <s:c r="D20793" s="121" t="n"/>
      <s:c r="E20793" s="122" t="n"/>
    </s:row>
    <s:row r="20794" hidden="1" ht="1" customHeight="1">
      <s:c r="A20794" s="120" t="inlineStr"/>
      <s:c r="B20794" s="121" t="n"/>
      <s:c r="C20794" s="121" t="n"/>
      <s:c r="D20794" s="121" t="n"/>
      <s:c r="E20794" s="122" t="n"/>
    </s:row>
    <s:row r="20795" hidden="1" ht="1" customHeight="1">
      <s:c r="A20795" s="120" t="inlineStr"/>
      <s:c r="B20795" s="121" t="n"/>
      <s:c r="C20795" s="121" t="n"/>
      <s:c r="D20795" s="121" t="n"/>
      <s:c r="E20795" s="122" t="n"/>
    </s:row>
    <s:row r="20796" hidden="1" ht="1" customHeight="1">
      <s:c r="A20796" s="120" t="inlineStr"/>
      <s:c r="B20796" s="121" t="n"/>
      <s:c r="C20796" s="121" t="n"/>
      <s:c r="D20796" s="121" t="n"/>
      <s:c r="E20796" s="122" t="n"/>
    </s:row>
    <s:row r="20797" hidden="1" ht="1" customHeight="1">
      <s:c r="A20797" s="120" t="inlineStr"/>
      <s:c r="B20797" s="121" t="n"/>
      <s:c r="C20797" s="121" t="n"/>
      <s:c r="D20797" s="121" t="n"/>
      <s:c r="E20797" s="122" t="n"/>
    </s:row>
    <s:row r="20798" hidden="1" ht="1" customHeight="1">
      <s:c r="A20798" s="120" t="inlineStr"/>
      <s:c r="B20798" s="121" t="n"/>
      <s:c r="C20798" s="121" t="n"/>
      <s:c r="D20798" s="121" t="n"/>
      <s:c r="E20798" s="122" t="n"/>
    </s:row>
    <s:row r="20799" hidden="1" ht="1" customHeight="1">
      <s:c r="A20799" s="120" t="inlineStr"/>
      <s:c r="B20799" s="121" t="n"/>
      <s:c r="C20799" s="121" t="n"/>
      <s:c r="D20799" s="121" t="n"/>
      <s:c r="E20799" s="122" t="n"/>
    </s:row>
    <s:row r="20800" hidden="1" ht="1" customHeight="1">
      <s:c r="A20800" s="120" t="inlineStr"/>
      <s:c r="B20800" s="121" t="n"/>
      <s:c r="C20800" s="121" t="n"/>
      <s:c r="D20800" s="121" t="n"/>
      <s:c r="E20800" s="122" t="n"/>
    </s:row>
    <s:row r="20801" hidden="1" ht="1" customHeight="1">
      <s:c r="A20801" s="120" t="inlineStr"/>
      <s:c r="B20801" s="121" t="n"/>
      <s:c r="C20801" s="121" t="n"/>
      <s:c r="D20801" s="121" t="n"/>
      <s:c r="E20801" s="122" t="n"/>
    </s:row>
    <s:row r="20802" hidden="1" ht="1" customHeight="1">
      <s:c r="A20802" s="120" t="inlineStr"/>
      <s:c r="B20802" s="121" t="n"/>
      <s:c r="C20802" s="121" t="n"/>
      <s:c r="D20802" s="121" t="n"/>
      <s:c r="E20802" s="122" t="n"/>
    </s:row>
    <s:row r="20803" hidden="1" ht="1" customHeight="1">
      <s:c r="A20803" s="120" t="inlineStr"/>
      <s:c r="B20803" s="121" t="n"/>
      <s:c r="C20803" s="121" t="n"/>
      <s:c r="D20803" s="121" t="n"/>
      <s:c r="E20803" s="122" t="n"/>
    </s:row>
    <s:row r="20804" hidden="1" ht="1" customHeight="1">
      <s:c r="A20804" s="120" t="inlineStr"/>
      <s:c r="B20804" s="121" t="n"/>
      <s:c r="C20804" s="121" t="n"/>
      <s:c r="D20804" s="121" t="n"/>
      <s:c r="E20804" s="122" t="n"/>
    </s:row>
    <s:row r="20805" hidden="1" ht="1" customHeight="1">
      <s:c r="A20805" s="120" t="inlineStr"/>
      <s:c r="B20805" s="121" t="n"/>
      <s:c r="C20805" s="121" t="n"/>
      <s:c r="D20805" s="121" t="n"/>
      <s:c r="E20805" s="122" t="n"/>
    </s:row>
    <s:row r="20806" hidden="1" ht="1" customHeight="1">
      <s:c r="A20806" s="120" t="inlineStr"/>
      <s:c r="B20806" s="121" t="n"/>
      <s:c r="C20806" s="121" t="n"/>
      <s:c r="D20806" s="121" t="n"/>
      <s:c r="E20806" s="122" t="n"/>
    </s:row>
    <s:row r="20807" hidden="1" ht="1" customHeight="1">
      <s:c r="A20807" s="120" t="inlineStr"/>
      <s:c r="B20807" s="121" t="n"/>
      <s:c r="C20807" s="121" t="n"/>
      <s:c r="D20807" s="121" t="n"/>
      <s:c r="E20807" s="122" t="n"/>
    </s:row>
    <s:row r="20808" hidden="1" ht="1" customHeight="1">
      <s:c r="A20808" s="120" t="inlineStr"/>
      <s:c r="B20808" s="121" t="n"/>
      <s:c r="C20808" s="121" t="n"/>
      <s:c r="D20808" s="121" t="n"/>
      <s:c r="E20808" s="122" t="n"/>
    </s:row>
    <s:row r="20809" hidden="1" ht="1" customHeight="1">
      <s:c r="A20809" s="120" t="inlineStr"/>
      <s:c r="B20809" s="121" t="n"/>
      <s:c r="C20809" s="121" t="n"/>
      <s:c r="D20809" s="121" t="n"/>
      <s:c r="E20809" s="122" t="n"/>
    </s:row>
    <s:row r="20810" hidden="1" ht="1" customHeight="1">
      <s:c r="A20810" s="120" t="inlineStr"/>
      <s:c r="B20810" s="121" t="n"/>
      <s:c r="C20810" s="121" t="n"/>
      <s:c r="D20810" s="121" t="n"/>
      <s:c r="E20810" s="122" t="n"/>
    </s:row>
    <s:row r="20811" hidden="1" ht="1" customHeight="1">
      <s:c r="A20811" s="120" t="inlineStr"/>
      <s:c r="B20811" s="121" t="n"/>
      <s:c r="C20811" s="121" t="n"/>
      <s:c r="D20811" s="121" t="n"/>
      <s:c r="E20811" s="122" t="n"/>
    </s:row>
    <s:row r="20812" hidden="1" ht="1" customHeight="1">
      <s:c r="A20812" s="120" t="inlineStr"/>
      <s:c r="B20812" s="121" t="n"/>
      <s:c r="C20812" s="121" t="n"/>
      <s:c r="D20812" s="121" t="n"/>
      <s:c r="E20812" s="122" t="n"/>
    </s:row>
    <s:row r="20813" hidden="1" ht="1" customHeight="1">
      <s:c r="A20813" s="120" t="inlineStr"/>
      <s:c r="B20813" s="121" t="n"/>
      <s:c r="C20813" s="121" t="n"/>
      <s:c r="D20813" s="121" t="n"/>
      <s:c r="E20813" s="122" t="n"/>
    </s:row>
    <s:row r="20814" hidden="1" ht="1" customHeight="1">
      <s:c r="A20814" s="120" t="inlineStr"/>
      <s:c r="B20814" s="121" t="n"/>
      <s:c r="C20814" s="121" t="n"/>
      <s:c r="D20814" s="121" t="n"/>
      <s:c r="E20814" s="122" t="n"/>
    </s:row>
    <s:row r="20815" hidden="1" ht="1" customHeight="1">
      <s:c r="A20815" s="120" t="inlineStr"/>
      <s:c r="B20815" s="121" t="n"/>
      <s:c r="C20815" s="121" t="n"/>
      <s:c r="D20815" s="121" t="n"/>
      <s:c r="E20815" s="122" t="n"/>
    </s:row>
    <s:row r="20816" hidden="1" ht="1" customHeight="1">
      <s:c r="A20816" s="120" t="inlineStr"/>
      <s:c r="B20816" s="121" t="n"/>
      <s:c r="C20816" s="121" t="n"/>
      <s:c r="D20816" s="121" t="n"/>
      <s:c r="E20816" s="122" t="n"/>
    </s:row>
    <s:row r="20817" hidden="1" ht="1" customHeight="1">
      <s:c r="A20817" s="120" t="inlineStr"/>
      <s:c r="B20817" s="121" t="n"/>
      <s:c r="C20817" s="121" t="n"/>
      <s:c r="D20817" s="121" t="n"/>
      <s:c r="E20817" s="122" t="n"/>
    </s:row>
    <s:row r="20818" hidden="1" ht="1" customHeight="1">
      <s:c r="A20818" s="120" t="inlineStr"/>
      <s:c r="B20818" s="121" t="n"/>
      <s:c r="C20818" s="121" t="n"/>
      <s:c r="D20818" s="121" t="n"/>
      <s:c r="E20818" s="122" t="n"/>
    </s:row>
    <s:row r="20819" hidden="1" ht="1" customHeight="1">
      <s:c r="A20819" s="120" t="inlineStr"/>
      <s:c r="B20819" s="121" t="n"/>
      <s:c r="C20819" s="121" t="n"/>
      <s:c r="D20819" s="121" t="n"/>
      <s:c r="E20819" s="122" t="n"/>
    </s:row>
    <s:row r="20820" hidden="1" ht="1" customHeight="1">
      <s:c r="A20820" s="120" t="inlineStr"/>
      <s:c r="B20820" s="121" t="n"/>
      <s:c r="C20820" s="121" t="n"/>
      <s:c r="D20820" s="121" t="n"/>
      <s:c r="E20820" s="122" t="n"/>
    </s:row>
    <s:row r="20821" hidden="1" ht="1" customHeight="1">
      <s:c r="A20821" s="120" t="inlineStr"/>
      <s:c r="B20821" s="121" t="n"/>
      <s:c r="C20821" s="121" t="n"/>
      <s:c r="D20821" s="121" t="n"/>
      <s:c r="E20821" s="122" t="n"/>
    </s:row>
    <s:row r="20822" hidden="1" ht="1" customHeight="1">
      <s:c r="A20822" s="120" t="inlineStr"/>
      <s:c r="B20822" s="121" t="n"/>
      <s:c r="C20822" s="121" t="n"/>
      <s:c r="D20822" s="121" t="n"/>
      <s:c r="E20822" s="122" t="n"/>
    </s:row>
    <s:row r="20823" hidden="1" ht="1" customHeight="1">
      <s:c r="A20823" s="120" t="inlineStr"/>
      <s:c r="B20823" s="121" t="n"/>
      <s:c r="C20823" s="121" t="n"/>
      <s:c r="D20823" s="121" t="n"/>
      <s:c r="E20823" s="122" t="n"/>
    </s:row>
    <s:row r="20824" hidden="1" ht="1" customHeight="1">
      <s:c r="A20824" s="120" t="inlineStr"/>
      <s:c r="B20824" s="121" t="n"/>
      <s:c r="C20824" s="121" t="n"/>
      <s:c r="D20824" s="121" t="n"/>
      <s:c r="E20824" s="122" t="n"/>
    </s:row>
    <s:row r="20825" hidden="1" ht="1" customHeight="1">
      <s:c r="A20825" s="120" t="inlineStr"/>
      <s:c r="B20825" s="121" t="n"/>
      <s:c r="C20825" s="121" t="n"/>
      <s:c r="D20825" s="121" t="n"/>
      <s:c r="E20825" s="122" t="n"/>
    </s:row>
    <s:row r="20826" hidden="1" ht="1" customHeight="1">
      <s:c r="A20826" s="120" t="inlineStr"/>
      <s:c r="B20826" s="121" t="n"/>
      <s:c r="C20826" s="121" t="n"/>
      <s:c r="D20826" s="121" t="n"/>
      <s:c r="E20826" s="122" t="n"/>
    </s:row>
    <s:row r="20827" hidden="1" ht="1" customHeight="1">
      <s:c r="A20827" s="120" t="inlineStr"/>
      <s:c r="B20827" s="121" t="n"/>
      <s:c r="C20827" s="121" t="n"/>
      <s:c r="D20827" s="121" t="n"/>
      <s:c r="E20827" s="122" t="n"/>
    </s:row>
    <s:row r="20828" hidden="1" ht="1" customHeight="1">
      <s:c r="A20828" s="120" t="inlineStr"/>
      <s:c r="B20828" s="121" t="n"/>
      <s:c r="C20828" s="121" t="n"/>
      <s:c r="D20828" s="121" t="n"/>
      <s:c r="E20828" s="122" t="n"/>
    </s:row>
    <s:row r="20829" hidden="1" ht="1" customHeight="1">
      <s:c r="A20829" s="120" t="inlineStr"/>
      <s:c r="B20829" s="121" t="n"/>
      <s:c r="C20829" s="121" t="n"/>
      <s:c r="D20829" s="121" t="n"/>
      <s:c r="E20829" s="122" t="n"/>
    </s:row>
    <s:row r="20830" hidden="1" ht="1" customHeight="1">
      <s:c r="A20830" s="120" t="inlineStr"/>
      <s:c r="B20830" s="121" t="n"/>
      <s:c r="C20830" s="121" t="n"/>
      <s:c r="D20830" s="121" t="n"/>
      <s:c r="E20830" s="122" t="n"/>
    </s:row>
    <s:row r="20831" hidden="1" ht="1" customHeight="1">
      <s:c r="A20831" s="120" t="inlineStr"/>
      <s:c r="B20831" s="121" t="n"/>
      <s:c r="C20831" s="121" t="n"/>
      <s:c r="D20831" s="121" t="n"/>
      <s:c r="E20831" s="122" t="n"/>
    </s:row>
    <s:row r="20832" hidden="1" ht="1" customHeight="1">
      <s:c r="A20832" s="120" t="inlineStr"/>
      <s:c r="B20832" s="121" t="n"/>
      <s:c r="C20832" s="121" t="n"/>
      <s:c r="D20832" s="121" t="n"/>
      <s:c r="E20832" s="122" t="n"/>
    </s:row>
    <s:row r="20833" hidden="1" ht="1" customHeight="1">
      <s:c r="A20833" s="120" t="inlineStr"/>
      <s:c r="B20833" s="121" t="n"/>
      <s:c r="C20833" s="121" t="n"/>
      <s:c r="D20833" s="121" t="n"/>
      <s:c r="E20833" s="122" t="n"/>
    </s:row>
    <s:row r="20834" hidden="1" ht="1" customHeight="1">
      <s:c r="A20834" s="120" t="inlineStr"/>
      <s:c r="B20834" s="121" t="n"/>
      <s:c r="C20834" s="121" t="n"/>
      <s:c r="D20834" s="121" t="n"/>
      <s:c r="E20834" s="122" t="n"/>
    </s:row>
    <s:row r="20835" hidden="1" ht="1" customHeight="1">
      <s:c r="A20835" s="120" t="inlineStr"/>
      <s:c r="B20835" s="121" t="n"/>
      <s:c r="C20835" s="121" t="n"/>
      <s:c r="D20835" s="121" t="n"/>
      <s:c r="E20835" s="122" t="n"/>
    </s:row>
    <s:row r="20836" hidden="1" ht="1" customHeight="1">
      <s:c r="A20836" s="120" t="inlineStr"/>
      <s:c r="B20836" s="121" t="n"/>
      <s:c r="C20836" s="121" t="n"/>
      <s:c r="D20836" s="121" t="n"/>
      <s:c r="E20836" s="122" t="n"/>
    </s:row>
    <s:row r="20837" hidden="1" ht="1" customHeight="1">
      <s:c r="A20837" s="120" t="inlineStr"/>
      <s:c r="B20837" s="121" t="n"/>
      <s:c r="C20837" s="121" t="n"/>
      <s:c r="D20837" s="121" t="n"/>
      <s:c r="E20837" s="122" t="n"/>
    </s:row>
    <s:row r="20838" hidden="1" ht="1" customHeight="1">
      <s:c r="A20838" s="120" t="inlineStr"/>
      <s:c r="B20838" s="121" t="n"/>
      <s:c r="C20838" s="121" t="n"/>
      <s:c r="D20838" s="121" t="n"/>
      <s:c r="E20838" s="122" t="n"/>
    </s:row>
    <s:row r="20839" hidden="1" ht="1" customHeight="1">
      <s:c r="A20839" s="120" t="inlineStr"/>
      <s:c r="B20839" s="121" t="n"/>
      <s:c r="C20839" s="121" t="n"/>
      <s:c r="D20839" s="121" t="n"/>
      <s:c r="E20839" s="122" t="n"/>
    </s:row>
    <s:row r="20840" hidden="1" ht="1" customHeight="1">
      <s:c r="A20840" s="120" t="inlineStr"/>
      <s:c r="B20840" s="121" t="n"/>
      <s:c r="C20840" s="121" t="n"/>
      <s:c r="D20840" s="121" t="n"/>
      <s:c r="E20840" s="122" t="n"/>
    </s:row>
    <s:row r="20841" hidden="1" ht="1" customHeight="1">
      <s:c r="A20841" s="120" t="inlineStr"/>
      <s:c r="B20841" s="121" t="n"/>
      <s:c r="C20841" s="121" t="n"/>
      <s:c r="D20841" s="121" t="n"/>
      <s:c r="E20841" s="122" t="n"/>
    </s:row>
    <s:row r="20842" hidden="1" ht="1" customHeight="1">
      <s:c r="A20842" s="120" t="inlineStr"/>
      <s:c r="B20842" s="121" t="n"/>
      <s:c r="C20842" s="121" t="n"/>
      <s:c r="D20842" s="121" t="n"/>
      <s:c r="E20842" s="122" t="n"/>
    </s:row>
    <s:row r="20843" hidden="1" ht="1" customHeight="1">
      <s:c r="A20843" s="120" t="inlineStr"/>
      <s:c r="B20843" s="121" t="n"/>
      <s:c r="C20843" s="121" t="n"/>
      <s:c r="D20843" s="121" t="n"/>
      <s:c r="E20843" s="122" t="n"/>
    </s:row>
    <s:row r="20844" hidden="1" ht="1" customHeight="1">
      <s:c r="A20844" s="120" t="inlineStr"/>
      <s:c r="B20844" s="121" t="n"/>
      <s:c r="C20844" s="121" t="n"/>
      <s:c r="D20844" s="121" t="n"/>
      <s:c r="E20844" s="122" t="n"/>
    </s:row>
    <s:row r="20845" hidden="1" ht="1" customHeight="1">
      <s:c r="A20845" s="120" t="inlineStr"/>
      <s:c r="B20845" s="121" t="n"/>
      <s:c r="C20845" s="121" t="n"/>
      <s:c r="D20845" s="121" t="n"/>
      <s:c r="E20845" s="122" t="n"/>
    </s:row>
    <s:row r="20846" hidden="1" ht="1" customHeight="1">
      <s:c r="A20846" s="120" t="inlineStr"/>
      <s:c r="B20846" s="121" t="n"/>
      <s:c r="C20846" s="121" t="n"/>
      <s:c r="D20846" s="121" t="n"/>
      <s:c r="E20846" s="122" t="n"/>
    </s:row>
    <s:row r="20847" hidden="1" ht="1" customHeight="1">
      <s:c r="A20847" s="120" t="inlineStr"/>
      <s:c r="B20847" s="121" t="n"/>
      <s:c r="C20847" s="121" t="n"/>
      <s:c r="D20847" s="121" t="n"/>
      <s:c r="E20847" s="122" t="n"/>
    </s:row>
    <s:row r="20848" hidden="1" ht="1" customHeight="1">
      <s:c r="A20848" s="120" t="inlineStr"/>
      <s:c r="B20848" s="121" t="n"/>
      <s:c r="C20848" s="121" t="n"/>
      <s:c r="D20848" s="121" t="n"/>
      <s:c r="E20848" s="122" t="n"/>
    </s:row>
    <s:row r="20849" hidden="1" ht="1" customHeight="1">
      <s:c r="A20849" s="120" t="inlineStr"/>
      <s:c r="B20849" s="121" t="n"/>
      <s:c r="C20849" s="121" t="n"/>
      <s:c r="D20849" s="121" t="n"/>
      <s:c r="E20849" s="122" t="n"/>
    </s:row>
    <s:row r="20850" hidden="1" ht="1" customHeight="1">
      <s:c r="A20850" s="120" t="inlineStr"/>
      <s:c r="B20850" s="121" t="n"/>
      <s:c r="C20850" s="121" t="n"/>
      <s:c r="D20850" s="121" t="n"/>
      <s:c r="E20850" s="122" t="n"/>
    </s:row>
    <s:row r="20851" hidden="1" ht="1" customHeight="1">
      <s:c r="A20851" s="120" t="inlineStr"/>
      <s:c r="B20851" s="121" t="n"/>
      <s:c r="C20851" s="121" t="n"/>
      <s:c r="D20851" s="121" t="n"/>
      <s:c r="E20851" s="122" t="n"/>
    </s:row>
    <s:row r="20852" hidden="1" ht="1" customHeight="1">
      <s:c r="A20852" s="120" t="inlineStr"/>
      <s:c r="B20852" s="121" t="n"/>
      <s:c r="C20852" s="121" t="n"/>
      <s:c r="D20852" s="121" t="n"/>
      <s:c r="E20852" s="122" t="n"/>
    </s:row>
    <s:row r="20853" hidden="1" ht="1" customHeight="1">
      <s:c r="A20853" s="120" t="inlineStr"/>
      <s:c r="B20853" s="121" t="n"/>
      <s:c r="C20853" s="121" t="n"/>
      <s:c r="D20853" s="121" t="n"/>
      <s:c r="E20853" s="122" t="n"/>
    </s:row>
    <s:row r="20854" hidden="1" ht="1" customHeight="1">
      <s:c r="A20854" s="120" t="inlineStr"/>
      <s:c r="B20854" s="121" t="n"/>
      <s:c r="C20854" s="121" t="n"/>
      <s:c r="D20854" s="121" t="n"/>
      <s:c r="E20854" s="122" t="n"/>
    </s:row>
    <s:row r="20855" hidden="1" ht="1" customHeight="1">
      <s:c r="A20855" s="120" t="inlineStr"/>
      <s:c r="B20855" s="121" t="n"/>
      <s:c r="C20855" s="121" t="n"/>
      <s:c r="D20855" s="121" t="n"/>
      <s:c r="E20855" s="122" t="n"/>
    </s:row>
    <s:row r="20856" hidden="1" ht="1" customHeight="1">
      <s:c r="A20856" s="120" t="inlineStr"/>
      <s:c r="B20856" s="121" t="n"/>
      <s:c r="C20856" s="121" t="n"/>
      <s:c r="D20856" s="121" t="n"/>
      <s:c r="E20856" s="122" t="n"/>
    </s:row>
    <s:row r="20857" hidden="1" ht="1" customHeight="1">
      <s:c r="A20857" s="120" t="inlineStr"/>
      <s:c r="B20857" s="121" t="n"/>
      <s:c r="C20857" s="121" t="n"/>
      <s:c r="D20857" s="121" t="n"/>
      <s:c r="E20857" s="122" t="n"/>
    </s:row>
    <s:row r="20858" hidden="1" ht="1" customHeight="1">
      <s:c r="A20858" s="120" t="inlineStr"/>
      <s:c r="B20858" s="121" t="n"/>
      <s:c r="C20858" s="121" t="n"/>
      <s:c r="D20858" s="121" t="n"/>
      <s:c r="E20858" s="122" t="n"/>
    </s:row>
    <s:row r="20859" hidden="1" ht="1" customHeight="1">
      <s:c r="A20859" s="120" t="inlineStr"/>
      <s:c r="B20859" s="121" t="n"/>
      <s:c r="C20859" s="121" t="n"/>
      <s:c r="D20859" s="121" t="n"/>
      <s:c r="E20859" s="122" t="n"/>
    </s:row>
    <s:row r="20860" hidden="1" ht="1" customHeight="1">
      <s:c r="A20860" s="120" t="inlineStr"/>
      <s:c r="B20860" s="121" t="n"/>
      <s:c r="C20860" s="121" t="n"/>
      <s:c r="D20860" s="121" t="n"/>
      <s:c r="E20860" s="122" t="n"/>
    </s:row>
    <s:row r="20861" hidden="1" ht="1" customHeight="1">
      <s:c r="A20861" s="120" t="inlineStr"/>
      <s:c r="B20861" s="121" t="n"/>
      <s:c r="C20861" s="121" t="n"/>
      <s:c r="D20861" s="121" t="n"/>
      <s:c r="E20861" s="122" t="n"/>
    </s:row>
    <s:row r="20862" hidden="1" ht="1" customHeight="1">
      <s:c r="A20862" s="120" t="inlineStr"/>
      <s:c r="B20862" s="121" t="n"/>
      <s:c r="C20862" s="121" t="n"/>
      <s:c r="D20862" s="121" t="n"/>
      <s:c r="E20862" s="122" t="n"/>
    </s:row>
    <s:row r="20863" hidden="1" ht="1" customHeight="1">
      <s:c r="A20863" s="120" t="inlineStr"/>
      <s:c r="B20863" s="121" t="n"/>
      <s:c r="C20863" s="121" t="n"/>
      <s:c r="D20863" s="121" t="n"/>
      <s:c r="E20863" s="122" t="n"/>
    </s:row>
    <s:row r="20864" hidden="1" ht="1" customHeight="1">
      <s:c r="A20864" s="120" t="inlineStr"/>
      <s:c r="B20864" s="121" t="n"/>
      <s:c r="C20864" s="121" t="n"/>
      <s:c r="D20864" s="121" t="n"/>
      <s:c r="E20864" s="122" t="n"/>
    </s:row>
    <s:row r="20865" hidden="1" ht="1" customHeight="1">
      <s:c r="A20865" s="120" t="inlineStr"/>
      <s:c r="B20865" s="121" t="n"/>
      <s:c r="C20865" s="121" t="n"/>
      <s:c r="D20865" s="121" t="n"/>
      <s:c r="E20865" s="122" t="n"/>
    </s:row>
    <s:row r="20866" hidden="1" ht="1" customHeight="1">
      <s:c r="A20866" s="120" t="inlineStr"/>
      <s:c r="B20866" s="121" t="n"/>
      <s:c r="C20866" s="121" t="n"/>
      <s:c r="D20866" s="121" t="n"/>
      <s:c r="E20866" s="122" t="n"/>
    </s:row>
    <s:row r="20867" hidden="1" ht="1" customHeight="1">
      <s:c r="A20867" s="120" t="inlineStr"/>
      <s:c r="B20867" s="121" t="n"/>
      <s:c r="C20867" s="121" t="n"/>
      <s:c r="D20867" s="121" t="n"/>
      <s:c r="E20867" s="122" t="n"/>
    </s:row>
    <s:row r="20868" hidden="1" ht="1" customHeight="1">
      <s:c r="A20868" s="120" t="inlineStr"/>
      <s:c r="B20868" s="121" t="n"/>
      <s:c r="C20868" s="121" t="n"/>
      <s:c r="D20868" s="121" t="n"/>
      <s:c r="E20868" s="122" t="n"/>
    </s:row>
    <s:row r="20869" hidden="1" ht="1" customHeight="1">
      <s:c r="A20869" s="120" t="inlineStr"/>
      <s:c r="B20869" s="121" t="n"/>
      <s:c r="C20869" s="121" t="n"/>
      <s:c r="D20869" s="121" t="n"/>
      <s:c r="E20869" s="122" t="n"/>
    </s:row>
    <s:row r="20870" hidden="1" ht="1" customHeight="1">
      <s:c r="A20870" s="120" t="inlineStr"/>
      <s:c r="B20870" s="121" t="n"/>
      <s:c r="C20870" s="121" t="n"/>
      <s:c r="D20870" s="121" t="n"/>
      <s:c r="E20870" s="122" t="n"/>
    </s:row>
    <s:row r="20871" hidden="1" ht="1" customHeight="1">
      <s:c r="A20871" s="83" t="inlineStr">
        <s:is>
          <s:t>PASS</s:t>
        </s:is>
      </s:c>
      <s:c r="B20871" s="83">
        <s:f>SUM(IF(EXACT('Kiểm thử'!E20721,"Đạt"),1,0),IF(EXACT('Kiểm thử'!E20723,"Đạt"),1,0),IF(EXACT('Kiểm thử'!E20725,"Đạt"),1,0))</s:f>
        <s:v/>
      </s:c>
      <s:c r="C20871" s="19" t="n"/>
      <s:c r="D20871" s="19" t="n"/>
      <s:c r="E20871" s="19" t="n"/>
    </s:row>
    <s:row r="20872" hidden="1" ht="1" customHeight="1">
      <s:c r="A20872" s="83" t="inlineStr">
        <s:is>
          <s:t>FAIL</s:t>
        </s:is>
      </s:c>
      <s:c r="B20872" s="83">
        <s:f>SUM(IF(EXACT('Kiểm thử'!E20721,"Không đạt"),1,0),IF(EXACT('Kiểm thử'!E20723,"Không đạt"),1,0),IF(EXACT('Kiểm thử'!E20725,"Không đạt"),1,0))</s:f>
        <s:v/>
      </s:c>
      <s:c r="C20872" s="19" t="n"/>
      <s:c r="D20872" s="19" t="n"/>
      <s:c r="E20872" s="19" t="n"/>
    </s:row>
    <s:row r="20873" hidden="1" ht="1" customHeight="1">
      <s:c r="A20873" s="83" t="inlineStr">
        <s:is>
          <s:t>BLOCKED</s:t>
        </s:is>
      </s:c>
      <s:c r="B20873" s="83">
        <s:f>SUM(IF(EXACT('Kiểm thử'!E20721,"Bị chặn"),1,0),IF(EXACT('Kiểm thử'!E20723,"Bị chặn"),1,0),IF(EXACT('Kiểm thử'!E20725,"Bị chặn"),1,0))</s:f>
        <s:v/>
      </s:c>
      <s:c r="C20873" s="19" t="n"/>
      <s:c r="D20873" s="19" t="n"/>
      <s:c r="E20873" s="19" t="n"/>
    </s:row>
    <s:row r="20874" hidden="1" ht="1" customHeight="1">
      <s:c r="A20874" s="83" t="inlineStr">
        <s:is>
          <s:t>SKIPPED</s:t>
        </s:is>
      </s:c>
      <s:c r="B20874" s="83">
        <s:f>SUM(IF(EXACT('Kiểm thử'!E20721,"Không thực hiện"),1,0),IF(EXACT('Kiểm thử'!E20723,"Không thực hiện"),1,0),IF(EXACT('Kiểm thử'!E20725,"Không thực hiện"),1,0))</s:f>
        <s:v/>
      </s:c>
      <s:c r="C20874" s="19" t="n"/>
      <s:c r="D20874" s="19" t="n"/>
      <s:c r="E20874" s="19" t="n"/>
    </s:row>
    <s:row r="20875" hidden="1" ht="1" customHeight="1">
      <s:c r="A20875" s="83" t="inlineStr">
        <s:is>
          <s:t>NOT RUN</s:t>
        </s:is>
      </s:c>
      <s:c r="B20875" s="83">
        <s:f>SUM(IF(EXACT('Kiểm thử'!E20721,"Chưa thực hiện"),1,0),IF(EXACT('Kiểm thử'!E20723,"Chưa thực hiện"),1,0),IF(EXACT('Kiểm thử'!E20725,"Chưa thực hiện"),1,0))</s:f>
        <s:v/>
      </s:c>
      <s:c r="C20875" s="19" t="n"/>
      <s:c r="D20875" s="19" t="n"/>
      <s:c r="E20875" s="19" t="n"/>
    </s:row>
    <s:row r="20876" hidden="1" ht="6" customHeight="1">
      <s:c r="A20876" s="83" t="inlineStr"/>
      <s:c r="B20876" s="19" t="n"/>
      <s:c r="C20876" s="19" t="n"/>
      <s:c r="D20876" s="19" t="n"/>
      <s:c r="E20876" s="19" t="n"/>
    </s:row>
    <s:row r="20877" ht="28" customHeight="1">
      <s:c r="A20877" s="108" t="inlineStr">
        <s:is>
          <s:t>TC-RS-BR-036 — Cùng lượt đăng ký: ô thiếu nguồn chưa xét được, ô ngưỡng cố định vẫn được xét</s:t>
        </s:is>
      </s:c>
      <s:c r="B20877" s="111" t="n"/>
      <s:c r="C20877" s="111" t="n"/>
      <s:c r="D20877" s="111" t="n"/>
      <s:c r="E20877" s="111" t="n"/>
    </s:row>
    <s:row r="20878" ht="20" customHeight="1">
      <s:c r="A20878" s="112" t="inlineStr">
        <s:is>
          <s:t>Kết quả tình huống</s:t>
        </s:is>
      </s:c>
      <s:c r="B20878" s="113">
        <s:f>IF(SUM(IF(EXACT('Kiểm thử'!E20886,"Không đạt"),1,0))&gt;0,"Không đạt",IF(SUM(IF(EXACT('Kiểm thử'!E20886,"Đạt"),1,0))=1,"Đạt",IF(SUM(IF(EXACT('Kiểm thử'!E20886,"Không thực hiện"),1,0))=1,"Không thực hiện",IF(SUM(IF(EXACT('Kiểm thử'!E20886,"Bị chặn"),1,0))&gt;0,"Bị chặn",IF(SUM(IF(EXACT('Kiểm thử'!E20886,"Chưa thực hiện"),1,0))=1,"Chưa thực hiện","Đang thực hiện")))))</s:f>
        <s:v/>
      </s:c>
      <s:c r="C20878" s="114" t="n"/>
      <s:c r="D20878" s="114" t="n"/>
      <s:c r="E20878" s="114" t="n"/>
    </s:row>
    <s:row r="20879" ht="20" customHeight="1">
      <s:c r="A20879" s="112" t="inlineStr">
        <s:is>
          <s:t>Màn hình / chức năng</s:t>
        </s:is>
      </s:c>
      <s:c r="B20879" s="113" t="inlineStr">
        <s:is>
          <s:t>Xét theo ưu tiên</s:t>
        </s:is>
      </s:c>
      <s:c r="C20879" s="28" t="n"/>
      <s:c r="D20879" s="28" t="n"/>
      <s:c r="E20879" s="28" t="n"/>
    </s:row>
    <s:row r="20880" ht="48" customHeight="1">
      <s:c r="A20880" s="112" t="inlineStr">
        <s:is>
          <s:t>Cấu hình</s:t>
        </s:is>
      </s:c>
      <s:c r="B20880" s="113" t="inlineStr">
        <s:is>
          <s:r>
            <s:t>• Trên mục số nguyên (</s:t>
          </s:r>
          <s:r>
            <s:rPr>
              <s:b val="1"/>
            </s:rPr>
            <s:t>M=100</s:t>
          </s:r>
          <s:r>
            <s:t>): ưu tiên 1 = quy tắc công thức hai dòng (trung bình ÷ 2 × 0.8) (dùng trung bình, nguồn nguồn chưa có kết quả tổng hợp), ưu tiên 2 = quy tắc “Cố định 30” (dưới 30). Trên mục số thập phân (</s:t>
          </s:r>
          <s:r>
            <s:rPr>
              <s:b val="1"/>
            </s:rPr>
            <s:t>M=100</s:t>
          </s:r>
          <s:r>
            <s:t>): chỉ quy tắc “Cố định 30” (dưới 30). Lớp G-A có S01.</s:t>
          </s:r>
        </s:is>
      </s:c>
      <s:c r="C20880" s="28" t="n"/>
      <s:c r="D20880" s="28" t="n"/>
      <s:c r="E20880" s="28" t="n"/>
    </s:row>
    <s:row r="20881" ht="118" customHeight="1">
      <s:c r="A20881" s="112" t="inlineStr">
        <s:is>
          <s:t>Dữ liệu test</s:t>
        </s:is>
      </s:c>
      <s:c r="B20881" s="113" t="inlineStr">
        <s:is>
          <s:r>
            <s:t>• Mục số nguyên (</s:t>
          </s:r>
          <s:r>
            <s:rPr>
              <s:b val="1"/>
            </s:rPr>
            <s:t>M=100</s:t>
          </s:r>
          <s:r>
            <s:t>);
• Mục số thập phân (</s:t>
          </s:r>
          <s:r>
            <s:rPr>
              <s:b val="1"/>
            </s:rPr>
            <s:t>M=100</s:t>
          </s:r>
          <s:r>
            <s:t>);
• Quy tắc công thức hai dòng (trung bình ÷ 2 × 0.8);
• Quy tắc “Cố định 30” (dưới 30);
• Nguồn chưa có kết quả tổng hợp;
• Các lớp học phần G-A, G-B, G-C;
• Học sinh S01 (điểm 29);
• S01 mục số thập phân (</s:t>
          </s:r>
          <s:r>
            <s:rPr>
              <s:b val="1"/>
            </s:rPr>
            <s:t>M=100</s:t>
          </s:r>
          <s:r>
            <s:t>) = 29.5</s:t>
          </s:r>
        </s:is>
      </s:c>
      <s:c r="C20881" s="28" t="n"/>
      <s:c r="D20881" s="28" t="n"/>
      <s:c r="E20881" s="28" t="n"/>
    </s:row>
    <s:row r="20882" ht="34" customHeight="1">
      <s:c r="A20882" s="112" t="inlineStr">
        <s:is>
          <s:t>Bước 1</s:t>
        </s:is>
      </s:c>
      <s:c r="B20882" s="113" t="inlineStr">
        <s:is>
          <s:r>
            <s:t>Trong cùng một lượt đăng ký điểm của lớp G-A, lưu S01: mục số nguyên (</s:t>
          </s:r>
          <s:r>
            <s:rPr>
              <s:b val="1"/>
            </s:rPr>
            <s:t>M=100</s:t>
          </s:r>
          <s:r>
            <s:t>) = 29, mục số thập phân (</s:t>
          </s:r>
          <s:r>
            <s:rPr>
              <s:b val="1"/>
            </s:rPr>
            <s:t>M=100</s:t>
          </s:r>
          <s:r>
            <s:t>) = 29.5.</s:t>
          </s:r>
        </s:is>
      </s:c>
      <s:c r="C20882" s="28" t="n"/>
      <s:c r="D20882" s="28" t="n"/>
      <s:c r="E20882" s="28" t="n"/>
    </s:row>
    <s:row r="20883" ht="20" customHeight="1">
      <s:c r="A20883" s="112" t="inlineStr">
        <s:is>
          <s:t>Bước 2</s:t>
        </s:is>
      </s:c>
      <s:c r="B20883" s="113" t="inlineStr">
        <s:is>
          <s:t>Xem kết quả hai ô và thông báo.</s:t>
        </s:is>
      </s:c>
      <s:c r="C20883" s="28" t="n"/>
      <s:c r="D20883" s="28" t="n"/>
      <s:c r="E20883" s="28" t="n"/>
    </s:row>
    <s:row r="20884" ht="28" customHeight="1">
      <s:c r="A20884" s="115" t="inlineStr">
        <s:is>
          <s:t>Trường hợp</s:t>
        </s:is>
      </s:c>
      <s:c r="B20884" s="115" t="inlineStr">
        <s:is>
          <s:t>Dữ liệu / thao tác riêng</s:t>
        </s:is>
      </s:c>
      <s:c r="C20884" s="115" t="inlineStr">
        <s:is>
          <s:t>Kết quả mong đợi</s:t>
        </s:is>
      </s:c>
      <s:c r="D20884" s="115" t="inlineStr">
        <s:is>
          <s:t>Kết quả thực tế</s:t>
        </s:is>
      </s:c>
      <s:c r="E20884" s="115" t="inlineStr">
        <s:is>
          <s:t>Đánh giá</s:t>
        </s:is>
      </s:c>
    </s:row>
    <s:row r="20885" ht="3" customHeight="1">
      <s:c r="A20885" s="102" t="inlineStr"/>
      <s:c r="B20885" s="99" t="n"/>
      <s:c r="C20885" s="99" t="n"/>
      <s:c r="D20885" s="116" t="n"/>
      <s:c r="E20885" s="116" t="n"/>
    </s:row>
    <s:row r="20886" ht="104" customHeight="1">
      <s:c r="A20886" s="83" t="inlineStr">
        <s:is>
          <s:t>Trường hợp cơ bản (Base)</s:t>
        </s:is>
      </s:c>
      <s:c r="B20886" s="83" t="inlineStr">
        <s:is>
          <s:t>Toàn bộ tình huống: Thực hiện đủ các bước chung theo thứ tự; kiểm cả đối tượng đích và đối chứng cùng fixture, không bỏ bước.</s:t>
        </s:is>
      </s:c>
      <s:c r="C20886" s="83" t="inlineStr">
        <s:is>
          <s:r>
            <s:t>1. Lượt lưu không dừng hay báo lỗi chung vì ô mục số nguyên (</s:t>
          </s:r>
          <s:r>
            <s:rPr>
              <s:b val="1"/>
            </s:rPr>
            <s:t>M=100</s:t>
          </s:r>
          <s:r>
            <s:t>) thiếu nguồn.
2. Ô mục số nguyên (</s:t>
          </s:r>
          <s:r>
            <s:rPr>
              <s:b val="1"/>
            </s:rPr>
            <s:t>M=100</s:t>
          </s:r>
          <s:r>
            <s:t xml:space="preserve">): Chưa xét được; không dùng ưu tiên 2 (quy tắc “Cố định 30” (dưới 30)) thay thế, nên không </s:t>
          </s:r>
          <s:r>
            <s:rPr>
              <s:b val="1"/>
            </s:rPr>
            <s:t>Đỏ</s:t>
          </s:r>
          <s:r>
            <s:t>.
3. Ô mục số thập phân (</s:t>
          </s:r>
          <s:r>
            <s:rPr>
              <s:b val="1"/>
            </s:rPr>
            <s:t>M=100</s:t>
          </s:r>
          <s:r>
            <s:t xml:space="preserve">): </s:t>
          </s:r>
          <s:r>
            <s:rPr>
              <s:b val="1"/>
            </s:rPr>
            <s:t>Đỏ</s:t>
          </s:r>
          <s:r>
            <s:t xml:space="preserve"> (29.5 [&lt;30]).</s:t>
          </s:r>
        </s:is>
      </s:c>
      <s:c r="D20886" s="117" t="inlineStr"/>
      <s:c r="E20886" s="118" t="inlineStr">
        <s:is>
          <s:t>Chưa thực hiện</s:t>
        </s:is>
      </s:c>
    </s:row>
    <s:row r="20887" ht="20" customHeight="1">
      <s:c r="A20887" s="119" t="inlineStr">
        <s:is>
          <s:t>Ảnh minh chứng — Chưa có ảnh</s:t>
        </s:is>
      </s:c>
      <s:c r="B20887" s="19" t="n"/>
      <s:c r="C20887" s="19" t="n"/>
      <s:c r="D20887" s="19" t="n"/>
      <s:c r="E20887" s="19" t="n"/>
    </s:row>
    <s:row r="20888" hidden="1" ht="1" customHeight="1">
      <s:c r="A20888" s="120" t="inlineStr"/>
      <s:c r="B20888" s="121" t="n"/>
      <s:c r="C20888" s="121" t="n"/>
      <s:c r="D20888" s="121" t="n"/>
      <s:c r="E20888" s="122" t="n"/>
    </s:row>
    <s:row r="20889" hidden="1" ht="1" customHeight="1">
      <s:c r="A20889" s="120" t="inlineStr"/>
      <s:c r="B20889" s="121" t="n"/>
      <s:c r="C20889" s="121" t="n"/>
      <s:c r="D20889" s="121" t="n"/>
      <s:c r="E20889" s="122" t="n"/>
    </s:row>
    <s:row r="20890" hidden="1" ht="1" customHeight="1">
      <s:c r="A20890" s="120" t="inlineStr"/>
      <s:c r="B20890" s="121" t="n"/>
      <s:c r="C20890" s="121" t="n"/>
      <s:c r="D20890" s="121" t="n"/>
      <s:c r="E20890" s="122" t="n"/>
    </s:row>
    <s:row r="20891" hidden="1" ht="1" customHeight="1">
      <s:c r="A20891" s="120" t="inlineStr"/>
      <s:c r="B20891" s="121" t="n"/>
      <s:c r="C20891" s="121" t="n"/>
      <s:c r="D20891" s="121" t="n"/>
      <s:c r="E20891" s="122" t="n"/>
    </s:row>
    <s:row r="20892" hidden="1" ht="1" customHeight="1">
      <s:c r="A20892" s="120" t="inlineStr"/>
      <s:c r="B20892" s="121" t="n"/>
      <s:c r="C20892" s="121" t="n"/>
      <s:c r="D20892" s="121" t="n"/>
      <s:c r="E20892" s="122" t="n"/>
    </s:row>
    <s:row r="20893" hidden="1" ht="1" customHeight="1">
      <s:c r="A20893" s="120" t="inlineStr"/>
      <s:c r="B20893" s="121" t="n"/>
      <s:c r="C20893" s="121" t="n"/>
      <s:c r="D20893" s="121" t="n"/>
      <s:c r="E20893" s="122" t="n"/>
    </s:row>
    <s:row r="20894" hidden="1" ht="1" customHeight="1">
      <s:c r="A20894" s="120" t="inlineStr"/>
      <s:c r="B20894" s="121" t="n"/>
      <s:c r="C20894" s="121" t="n"/>
      <s:c r="D20894" s="121" t="n"/>
      <s:c r="E20894" s="122" t="n"/>
    </s:row>
    <s:row r="20895" hidden="1" ht="1" customHeight="1">
      <s:c r="A20895" s="120" t="inlineStr"/>
      <s:c r="B20895" s="121" t="n"/>
      <s:c r="C20895" s="121" t="n"/>
      <s:c r="D20895" s="121" t="n"/>
      <s:c r="E20895" s="122" t="n"/>
    </s:row>
    <s:row r="20896" hidden="1" ht="1" customHeight="1">
      <s:c r="A20896" s="120" t="inlineStr"/>
      <s:c r="B20896" s="121" t="n"/>
      <s:c r="C20896" s="121" t="n"/>
      <s:c r="D20896" s="121" t="n"/>
      <s:c r="E20896" s="122" t="n"/>
    </s:row>
    <s:row r="20897" hidden="1" ht="1" customHeight="1">
      <s:c r="A20897" s="120" t="inlineStr"/>
      <s:c r="B20897" s="121" t="n"/>
      <s:c r="C20897" s="121" t="n"/>
      <s:c r="D20897" s="121" t="n"/>
      <s:c r="E20897" s="122" t="n"/>
    </s:row>
    <s:row r="20898" hidden="1" ht="1" customHeight="1">
      <s:c r="A20898" s="120" t="inlineStr"/>
      <s:c r="B20898" s="121" t="n"/>
      <s:c r="C20898" s="121" t="n"/>
      <s:c r="D20898" s="121" t="n"/>
      <s:c r="E20898" s="122" t="n"/>
    </s:row>
    <s:row r="20899" hidden="1" ht="1" customHeight="1">
      <s:c r="A20899" s="120" t="inlineStr"/>
      <s:c r="B20899" s="121" t="n"/>
      <s:c r="C20899" s="121" t="n"/>
      <s:c r="D20899" s="121" t="n"/>
      <s:c r="E20899" s="122" t="n"/>
    </s:row>
    <s:row r="20900" hidden="1" ht="1" customHeight="1">
      <s:c r="A20900" s="120" t="inlineStr"/>
      <s:c r="B20900" s="121" t="n"/>
      <s:c r="C20900" s="121" t="n"/>
      <s:c r="D20900" s="121" t="n"/>
      <s:c r="E20900" s="122" t="n"/>
    </s:row>
    <s:row r="20901" hidden="1" ht="1" customHeight="1">
      <s:c r="A20901" s="120" t="inlineStr"/>
      <s:c r="B20901" s="121" t="n"/>
      <s:c r="C20901" s="121" t="n"/>
      <s:c r="D20901" s="121" t="n"/>
      <s:c r="E20901" s="122" t="n"/>
    </s:row>
    <s:row r="20902" hidden="1" ht="1" customHeight="1">
      <s:c r="A20902" s="120" t="inlineStr"/>
      <s:c r="B20902" s="121" t="n"/>
      <s:c r="C20902" s="121" t="n"/>
      <s:c r="D20902" s="121" t="n"/>
      <s:c r="E20902" s="122" t="n"/>
    </s:row>
    <s:row r="20903" hidden="1" ht="1" customHeight="1">
      <s:c r="A20903" s="120" t="inlineStr"/>
      <s:c r="B20903" s="121" t="n"/>
      <s:c r="C20903" s="121" t="n"/>
      <s:c r="D20903" s="121" t="n"/>
      <s:c r="E20903" s="122" t="n"/>
    </s:row>
    <s:row r="20904" hidden="1" ht="1" customHeight="1">
      <s:c r="A20904" s="120" t="inlineStr"/>
      <s:c r="B20904" s="121" t="n"/>
      <s:c r="C20904" s="121" t="n"/>
      <s:c r="D20904" s="121" t="n"/>
      <s:c r="E20904" s="122" t="n"/>
    </s:row>
    <s:row r="20905" hidden="1" ht="1" customHeight="1">
      <s:c r="A20905" s="120" t="inlineStr"/>
      <s:c r="B20905" s="121" t="n"/>
      <s:c r="C20905" s="121" t="n"/>
      <s:c r="D20905" s="121" t="n"/>
      <s:c r="E20905" s="122" t="n"/>
    </s:row>
    <s:row r="20906" hidden="1" ht="1" customHeight="1">
      <s:c r="A20906" s="120" t="inlineStr"/>
      <s:c r="B20906" s="121" t="n"/>
      <s:c r="C20906" s="121" t="n"/>
      <s:c r="D20906" s="121" t="n"/>
      <s:c r="E20906" s="122" t="n"/>
    </s:row>
    <s:row r="20907" hidden="1" ht="1" customHeight="1">
      <s:c r="A20907" s="120" t="inlineStr"/>
      <s:c r="B20907" s="121" t="n"/>
      <s:c r="C20907" s="121" t="n"/>
      <s:c r="D20907" s="121" t="n"/>
      <s:c r="E20907" s="122" t="n"/>
    </s:row>
    <s:row r="20908" hidden="1" ht="1" customHeight="1">
      <s:c r="A20908" s="120" t="inlineStr"/>
      <s:c r="B20908" s="121" t="n"/>
      <s:c r="C20908" s="121" t="n"/>
      <s:c r="D20908" s="121" t="n"/>
      <s:c r="E20908" s="122" t="n"/>
    </s:row>
    <s:row r="20909" hidden="1" ht="1" customHeight="1">
      <s:c r="A20909" s="120" t="inlineStr"/>
      <s:c r="B20909" s="121" t="n"/>
      <s:c r="C20909" s="121" t="n"/>
      <s:c r="D20909" s="121" t="n"/>
      <s:c r="E20909" s="122" t="n"/>
    </s:row>
    <s:row r="20910" hidden="1" ht="1" customHeight="1">
      <s:c r="A20910" s="120" t="inlineStr"/>
      <s:c r="B20910" s="121" t="n"/>
      <s:c r="C20910" s="121" t="n"/>
      <s:c r="D20910" s="121" t="n"/>
      <s:c r="E20910" s="122" t="n"/>
    </s:row>
    <s:row r="20911" hidden="1" ht="1" customHeight="1">
      <s:c r="A20911" s="120" t="inlineStr"/>
      <s:c r="B20911" s="121" t="n"/>
      <s:c r="C20911" s="121" t="n"/>
      <s:c r="D20911" s="121" t="n"/>
      <s:c r="E20911" s="122" t="n"/>
    </s:row>
    <s:row r="20912" hidden="1" ht="1" customHeight="1">
      <s:c r="A20912" s="120" t="inlineStr"/>
      <s:c r="B20912" s="121" t="n"/>
      <s:c r="C20912" s="121" t="n"/>
      <s:c r="D20912" s="121" t="n"/>
      <s:c r="E20912" s="122" t="n"/>
    </s:row>
    <s:row r="20913" hidden="1" ht="1" customHeight="1">
      <s:c r="A20913" s="120" t="inlineStr"/>
      <s:c r="B20913" s="121" t="n"/>
      <s:c r="C20913" s="121" t="n"/>
      <s:c r="D20913" s="121" t="n"/>
      <s:c r="E20913" s="122" t="n"/>
    </s:row>
    <s:row r="20914" hidden="1" ht="1" customHeight="1">
      <s:c r="A20914" s="120" t="inlineStr"/>
      <s:c r="B20914" s="121" t="n"/>
      <s:c r="C20914" s="121" t="n"/>
      <s:c r="D20914" s="121" t="n"/>
      <s:c r="E20914" s="122" t="n"/>
    </s:row>
    <s:row r="20915" hidden="1" ht="1" customHeight="1">
      <s:c r="A20915" s="120" t="inlineStr"/>
      <s:c r="B20915" s="121" t="n"/>
      <s:c r="C20915" s="121" t="n"/>
      <s:c r="D20915" s="121" t="n"/>
      <s:c r="E20915" s="122" t="n"/>
    </s:row>
    <s:row r="20916" hidden="1" ht="1" customHeight="1">
      <s:c r="A20916" s="120" t="inlineStr"/>
      <s:c r="B20916" s="121" t="n"/>
      <s:c r="C20916" s="121" t="n"/>
      <s:c r="D20916" s="121" t="n"/>
      <s:c r="E20916" s="122" t="n"/>
    </s:row>
    <s:row r="20917" hidden="1" ht="1" customHeight="1">
      <s:c r="A20917" s="120" t="inlineStr"/>
      <s:c r="B20917" s="121" t="n"/>
      <s:c r="C20917" s="121" t="n"/>
      <s:c r="D20917" s="121" t="n"/>
      <s:c r="E20917" s="122" t="n"/>
    </s:row>
    <s:row r="20918" hidden="1" ht="1" customHeight="1">
      <s:c r="A20918" s="120" t="inlineStr"/>
      <s:c r="B20918" s="121" t="n"/>
      <s:c r="C20918" s="121" t="n"/>
      <s:c r="D20918" s="121" t="n"/>
      <s:c r="E20918" s="122" t="n"/>
    </s:row>
    <s:row r="20919" hidden="1" ht="1" customHeight="1">
      <s:c r="A20919" s="120" t="inlineStr"/>
      <s:c r="B20919" s="121" t="n"/>
      <s:c r="C20919" s="121" t="n"/>
      <s:c r="D20919" s="121" t="n"/>
      <s:c r="E20919" s="122" t="n"/>
    </s:row>
    <s:row r="20920" hidden="1" ht="1" customHeight="1">
      <s:c r="A20920" s="120" t="inlineStr"/>
      <s:c r="B20920" s="121" t="n"/>
      <s:c r="C20920" s="121" t="n"/>
      <s:c r="D20920" s="121" t="n"/>
      <s:c r="E20920" s="122" t="n"/>
    </s:row>
    <s:row r="20921" hidden="1" ht="1" customHeight="1">
      <s:c r="A20921" s="120" t="inlineStr"/>
      <s:c r="B20921" s="121" t="n"/>
      <s:c r="C20921" s="121" t="n"/>
      <s:c r="D20921" s="121" t="n"/>
      <s:c r="E20921" s="122" t="n"/>
    </s:row>
    <s:row r="20922" hidden="1" ht="1" customHeight="1">
      <s:c r="A20922" s="120" t="inlineStr"/>
      <s:c r="B20922" s="121" t="n"/>
      <s:c r="C20922" s="121" t="n"/>
      <s:c r="D20922" s="121" t="n"/>
      <s:c r="E20922" s="122" t="n"/>
    </s:row>
    <s:row r="20923" hidden="1" ht="1" customHeight="1">
      <s:c r="A20923" s="120" t="inlineStr"/>
      <s:c r="B20923" s="121" t="n"/>
      <s:c r="C20923" s="121" t="n"/>
      <s:c r="D20923" s="121" t="n"/>
      <s:c r="E20923" s="122" t="n"/>
    </s:row>
    <s:row r="20924" hidden="1" ht="1" customHeight="1">
      <s:c r="A20924" s="120" t="inlineStr"/>
      <s:c r="B20924" s="121" t="n"/>
      <s:c r="C20924" s="121" t="n"/>
      <s:c r="D20924" s="121" t="n"/>
      <s:c r="E20924" s="122" t="n"/>
    </s:row>
    <s:row r="20925" hidden="1" ht="1" customHeight="1">
      <s:c r="A20925" s="120" t="inlineStr"/>
      <s:c r="B20925" s="121" t="n"/>
      <s:c r="C20925" s="121" t="n"/>
      <s:c r="D20925" s="121" t="n"/>
      <s:c r="E20925" s="122" t="n"/>
    </s:row>
    <s:row r="20926" hidden="1" ht="1" customHeight="1">
      <s:c r="A20926" s="120" t="inlineStr"/>
      <s:c r="B20926" s="121" t="n"/>
      <s:c r="C20926" s="121" t="n"/>
      <s:c r="D20926" s="121" t="n"/>
      <s:c r="E20926" s="122" t="n"/>
    </s:row>
    <s:row r="20927" hidden="1" ht="1" customHeight="1">
      <s:c r="A20927" s="120" t="inlineStr"/>
      <s:c r="B20927" s="121" t="n"/>
      <s:c r="C20927" s="121" t="n"/>
      <s:c r="D20927" s="121" t="n"/>
      <s:c r="E20927" s="122" t="n"/>
    </s:row>
    <s:row r="20928" hidden="1" ht="1" customHeight="1">
      <s:c r="A20928" s="120" t="inlineStr"/>
      <s:c r="B20928" s="121" t="n"/>
      <s:c r="C20928" s="121" t="n"/>
      <s:c r="D20928" s="121" t="n"/>
      <s:c r="E20928" s="122" t="n"/>
    </s:row>
    <s:row r="20929" hidden="1" ht="1" customHeight="1">
      <s:c r="A20929" s="120" t="inlineStr"/>
      <s:c r="B20929" s="121" t="n"/>
      <s:c r="C20929" s="121" t="n"/>
      <s:c r="D20929" s="121" t="n"/>
      <s:c r="E20929" s="122" t="n"/>
    </s:row>
    <s:row r="20930" hidden="1" ht="1" customHeight="1">
      <s:c r="A20930" s="120" t="inlineStr"/>
      <s:c r="B20930" s="121" t="n"/>
      <s:c r="C20930" s="121" t="n"/>
      <s:c r="D20930" s="121" t="n"/>
      <s:c r="E20930" s="122" t="n"/>
    </s:row>
    <s:row r="20931" hidden="1" ht="1" customHeight="1">
      <s:c r="A20931" s="120" t="inlineStr"/>
      <s:c r="B20931" s="121" t="n"/>
      <s:c r="C20931" s="121" t="n"/>
      <s:c r="D20931" s="121" t="n"/>
      <s:c r="E20931" s="122" t="n"/>
    </s:row>
    <s:row r="20932" hidden="1" ht="1" customHeight="1">
      <s:c r="A20932" s="120" t="inlineStr"/>
      <s:c r="B20932" s="121" t="n"/>
      <s:c r="C20932" s="121" t="n"/>
      <s:c r="D20932" s="121" t="n"/>
      <s:c r="E20932" s="122" t="n"/>
    </s:row>
    <s:row r="20933" hidden="1" ht="1" customHeight="1">
      <s:c r="A20933" s="120" t="inlineStr"/>
      <s:c r="B20933" s="121" t="n"/>
      <s:c r="C20933" s="121" t="n"/>
      <s:c r="D20933" s="121" t="n"/>
      <s:c r="E20933" s="122" t="n"/>
    </s:row>
    <s:row r="20934" hidden="1" ht="1" customHeight="1">
      <s:c r="A20934" s="120" t="inlineStr"/>
      <s:c r="B20934" s="121" t="n"/>
      <s:c r="C20934" s="121" t="n"/>
      <s:c r="D20934" s="121" t="n"/>
      <s:c r="E20934" s="122" t="n"/>
    </s:row>
    <s:row r="20935" hidden="1" ht="1" customHeight="1">
      <s:c r="A20935" s="120" t="inlineStr"/>
      <s:c r="B20935" s="121" t="n"/>
      <s:c r="C20935" s="121" t="n"/>
      <s:c r="D20935" s="121" t="n"/>
      <s:c r="E20935" s="122" t="n"/>
    </s:row>
    <s:row r="20936" hidden="1" ht="1" customHeight="1">
      <s:c r="A20936" s="83" t="inlineStr">
        <s:is>
          <s:t>PASS</s:t>
        </s:is>
      </s:c>
      <s:c r="B20936" s="83">
        <s:f>SUM(IF(EXACT('Kiểm thử'!E20886,"Đạt"),1,0))</s:f>
        <s:v/>
      </s:c>
      <s:c r="C20936" s="19" t="n"/>
      <s:c r="D20936" s="19" t="n"/>
      <s:c r="E20936" s="19" t="n"/>
    </s:row>
    <s:row r="20937" hidden="1" ht="1" customHeight="1">
      <s:c r="A20937" s="83" t="inlineStr">
        <s:is>
          <s:t>FAIL</s:t>
        </s:is>
      </s:c>
      <s:c r="B20937" s="83">
        <s:f>SUM(IF(EXACT('Kiểm thử'!E20886,"Không đạt"),1,0))</s:f>
        <s:v/>
      </s:c>
      <s:c r="C20937" s="19" t="n"/>
      <s:c r="D20937" s="19" t="n"/>
      <s:c r="E20937" s="19" t="n"/>
    </s:row>
    <s:row r="20938" hidden="1" ht="1" customHeight="1">
      <s:c r="A20938" s="83" t="inlineStr">
        <s:is>
          <s:t>BLOCKED</s:t>
        </s:is>
      </s:c>
      <s:c r="B20938" s="83">
        <s:f>SUM(IF(EXACT('Kiểm thử'!E20886,"Bị chặn"),1,0))</s:f>
        <s:v/>
      </s:c>
      <s:c r="C20938" s="19" t="n"/>
      <s:c r="D20938" s="19" t="n"/>
      <s:c r="E20938" s="19" t="n"/>
    </s:row>
    <s:row r="20939" hidden="1" ht="1" customHeight="1">
      <s:c r="A20939" s="83" t="inlineStr">
        <s:is>
          <s:t>SKIPPED</s:t>
        </s:is>
      </s:c>
      <s:c r="B20939" s="83">
        <s:f>SUM(IF(EXACT('Kiểm thử'!E20886,"Không thực hiện"),1,0))</s:f>
        <s:v/>
      </s:c>
      <s:c r="C20939" s="19" t="n"/>
      <s:c r="D20939" s="19" t="n"/>
      <s:c r="E20939" s="19" t="n"/>
    </s:row>
    <s:row r="20940" hidden="1" ht="1" customHeight="1">
      <s:c r="A20940" s="83" t="inlineStr">
        <s:is>
          <s:t>NOT RUN</s:t>
        </s:is>
      </s:c>
      <s:c r="B20940" s="83">
        <s:f>SUM(IF(EXACT('Kiểm thử'!E20886,"Chưa thực hiện"),1,0))</s:f>
        <s:v/>
      </s:c>
      <s:c r="C20940" s="19" t="n"/>
      <s:c r="D20940" s="19" t="n"/>
      <s:c r="E20940" s="19" t="n"/>
    </s:row>
    <s:row r="20941" hidden="1" ht="6" customHeight="1">
      <s:c r="A20941" s="83" t="inlineStr"/>
      <s:c r="B20941" s="19" t="n"/>
      <s:c r="C20941" s="19" t="n"/>
      <s:c r="D20941" s="19" t="n"/>
      <s:c r="E20941" s="19" t="n"/>
    </s:row>
    <s:row r="20942" ht="28" customHeight="1">
      <s:c r="A20942" s="108" t="inlineStr">
        <s:is>
          <s:t>TC-RS-CALC-022 — Phân nhánh theo trung bình: A = 40 / 50 / 49.99 (dùng A trước làm tròn)</s:t>
        </s:is>
      </s:c>
      <s:c r="B20942" s="111" t="n"/>
      <s:c r="C20942" s="111" t="n"/>
      <s:c r="D20942" s="111" t="n"/>
      <s:c r="E20942" s="111" t="n"/>
    </s:row>
    <s:row r="20943" ht="20" customHeight="1">
      <s:c r="A20943" s="112" t="inlineStr">
        <s:is>
          <s:t>Kết quả tình huống</s:t>
        </s:is>
      </s:c>
      <s:c r="B20943" s="113">
        <s:f>IF(SUM(IF(EXACT('Kiểm thử'!E20951,"Không đạt"),1,0),IF(EXACT('Kiểm thử'!E20953,"Không đạt"),1,0),IF(EXACT('Kiểm thử'!E20955,"Không đạt"),1,0),IF(EXACT('Kiểm thử'!E20957,"Không đạt"),1,0))&gt;0,"Không đạt",IF(SUM(IF(EXACT('Kiểm thử'!E20951,"Đạt"),1,0),IF(EXACT('Kiểm thử'!E20953,"Đạt"),1,0),IF(EXACT('Kiểm thử'!E20955,"Đạt"),1,0),IF(EXACT('Kiểm thử'!E20957,"Đạt"),1,0))=4,"Đạt",IF(SUM(IF(EXACT('Kiểm thử'!E20951,"Không thực hiện"),1,0),IF(EXACT('Kiểm thử'!E20953,"Không thực hiện"),1,0),IF(EXACT('Kiểm thử'!E20955,"Không thực hiện"),1,0),IF(EXACT('Kiểm thử'!E20957,"Không thực hiện"),1,0))=4,"Không thực hiện",IF(SUM(IF(EXACT('Kiểm thử'!E20951,"Bị chặn"),1,0),IF(EXACT('Kiểm thử'!E20953,"Bị chặn"),1,0),IF(EXACT('Kiểm thử'!E20955,"Bị chặn"),1,0),IF(EXACT('Kiểm thử'!E20957,"Bị chặn"),1,0))&gt;0,"Bị chặn",IF(SUM(IF(EXACT('Kiểm thử'!E20951,"Chưa thực hiện"),1,0),IF(EXACT('Kiểm thử'!E20953,"Chưa thực hiện"),1,0),IF(EXACT('Kiểm thử'!E20955,"Chưa thực hiện"),1,0),IF(EXACT('Kiểm thử'!E20957,"Chưa thực hiện"),1,0))=4,"Chưa thực hiện","Đang thực hiện")))))</s:f>
        <s:v/>
      </s:c>
      <s:c r="C20943" s="114" t="n"/>
      <s:c r="D20943" s="114" t="n"/>
      <s:c r="E20943" s="114" t="n"/>
    </s:row>
    <s:row r="20944" ht="20" customHeight="1">
      <s:c r="A20944" s="112" t="inlineStr">
        <s:is>
          <s:t>Màn hình / chức năng</s:t>
        </s:is>
      </s:c>
      <s:c r="B20944" s="113" t="inlineStr">
        <s:is>
          <s:t>Xét theo ưu tiên</s:t>
        </s:is>
      </s:c>
      <s:c r="C20944" s="28" t="n"/>
      <s:c r="D20944" s="28" t="n"/>
      <s:c r="E20944" s="28" t="n"/>
    </s:row>
    <s:row r="20945" ht="20" customHeight="1">
      <s:c r="A20945" s="112" t="inlineStr">
        <s:is>
          <s:t>Cấu hình</s:t>
        </s:is>
      </s:c>
      <s:c r="B20945" s="113" t="inlineStr">
        <s:is>
          <s:r>
            <s:t>• Ưu tiên 1: [</s:t>
          </s:r>
          <s:r>
            <s:rPr>
              <s:b val="1"/>
            </s:rPr>
            <s:t>A≥50</s:t>
          </s:r>
          <s:r>
            <s:t>] → cố định 30 [&lt;]. Ưu tiên 2: [</s:t>
          </s:r>
          <s:r>
            <s:rPr>
              <s:b val="1"/>
            </s:rPr>
            <s:t>A&lt;50</s:t>
          </s:r>
          <s:r>
            <s:t>] → [A×0.5] [&lt;]. mục số thập phân (</s:t>
          </s:r>
          <s:r>
            <s:rPr>
              <s:b val="1"/>
            </s:rPr>
            <s:t>M=100</s:t>
          </s:r>
          <s:r>
            <s:t>).</s:t>
          </s:r>
        </s:is>
      </s:c>
      <s:c r="C20945" s="28" t="n"/>
      <s:c r="D20945" s="28" t="n"/>
      <s:c r="E20945" s="28" t="n"/>
    </s:row>
    <s:row r="20946" ht="48" customHeight="1">
      <s:c r="A20946" s="112" t="inlineStr">
        <s:is>
          <s:t>Dữ liệu test</s:t>
        </s:is>
      </s:c>
      <s:c r="B20946" s="113" t="inlineStr">
        <s:is>
          <s:r>
            <s:t>• Mục số thập phân (</s:t>
          </s:r>
          <s:r>
            <s:rPr>
              <s:b val="1"/>
            </s:rPr>
            <s:t>M=100</s:t>
          </s:r>
          <s:r>
            <s:t>);
• Nguồn [</s:t>
          </s:r>
          <s:r>
            <s:rPr>
              <s:b val="1"/>
            </s:rPr>
            <s:t>A=40</s:t>
          </s:r>
          <s:r>
            <s:t>], [</s:t>
          </s:r>
          <s:r>
            <s:rPr>
              <s:b val="1"/>
            </s:rPr>
            <s:t>A=50</s:t>
          </s:r>
          <s:r>
            <s:t>], [</s:t>
          </s:r>
          <s:r>
            <s:rPr>
              <s:b val="1"/>
            </s:rPr>
            <s:t>A=49.99</s:t>
          </s:r>
          <s:r>
            <s:t>] (bản tổng hợp đã chốt (trung bình 49.99), màn tổng hợp hiện 50.0);
• S = 19, 20, 24.99, 25, 29, 30</s:t>
          </s:r>
        </s:is>
      </s:c>
      <s:c r="C20946" s="28" t="n"/>
      <s:c r="D20946" s="28" t="n"/>
      <s:c r="E20946" s="28" t="n"/>
    </s:row>
    <s:row r="20947" ht="20" customHeight="1">
      <s:c r="A20947" s="112" t="inlineStr">
        <s:is>
          <s:t>Bước 1</s:t>
        </s:is>
      </s:c>
      <s:c r="B20947" s="113" t="inlineStr">
        <s:is>
          <s:t>Với từng nguồn, chạy nút cam, xem kết quả.</s:t>
        </s:is>
      </s:c>
      <s:c r="C20947" s="28" t="n"/>
      <s:c r="D20947" s="28" t="n"/>
      <s:c r="E20947" s="28" t="n"/>
    </s:row>
    <s:row r="20948" ht="20" customHeight="1">
      <s:c r="A20948" s="112" t="inlineStr">
        <s:is>
          <s:t>Bước 2</s:t>
        </s:is>
      </s:c>
      <s:c r="B20948" s="113" t="inlineStr">
        <s:is>
          <s:r>
            <s:t>Với [</s:t>
          </s:r>
          <s:r>
            <s:rPr>
              <s:b val="1"/>
            </s:rPr>
            <s:t>A=49.99</s:t>
          </s:r>
          <s:r>
            <s:t>]: bật gần nhất p1 cho dòng [A×0.5], chạy lại.</s:t>
          </s:r>
        </s:is>
      </s:c>
      <s:c r="C20948" s="28" t="n"/>
      <s:c r="D20948" s="28" t="n"/>
      <s:c r="E20948" s="28" t="n"/>
    </s:row>
    <s:row r="20949" ht="28" customHeight="1">
      <s:c r="A20949" s="115" t="inlineStr">
        <s:is>
          <s:t>Trường hợp</s:t>
        </s:is>
      </s:c>
      <s:c r="B20949" s="115" t="inlineStr">
        <s:is>
          <s:t>Dữ liệu / thao tác riêng</s:t>
        </s:is>
      </s:c>
      <s:c r="C20949" s="115" t="inlineStr">
        <s:is>
          <s:t>Kết quả mong đợi</s:t>
        </s:is>
      </s:c>
      <s:c r="D20949" s="115" t="inlineStr">
        <s:is>
          <s:t>Kết quả thực tế</s:t>
        </s:is>
      </s:c>
      <s:c r="E20949" s="115" t="inlineStr">
        <s:is>
          <s:t>Đánh giá</s:t>
        </s:is>
      </s:c>
    </s:row>
    <s:row r="20950" ht="3" customHeight="1">
      <s:c r="A20950" s="102" t="inlineStr"/>
      <s:c r="B20950" s="99" t="n"/>
      <s:c r="C20950" s="99" t="n"/>
      <s:c r="D20950" s="116" t="n"/>
      <s:c r="E20950" s="116" t="n"/>
    </s:row>
    <s:row r="20951" ht="48" customHeight="1">
      <s:c r="A20951" s="83" t="inlineStr">
        <s:is>
          <s:t>Nguồn dưới mốc (a40)</s:t>
        </s:is>
      </s:c>
      <s:c r="B20951" s="83" t="inlineStr">
        <s:is>
          <s:r>
            <s:t xml:space="preserve">Nguồn </s:t>
          </s:r>
          <s:r>
            <s:rPr>
              <s:b val="1"/>
            </s:rPr>
            <s:t>A=40</s:t>
          </s:r>
          <s:r>
            <s:t xml:space="preserve">; ưu tiên1 </s:t>
          </s:r>
          <s:r>
            <s:rPr>
              <s:b val="1"/>
            </s:rPr>
            <s:t>A≥50</s:t>
          </s:r>
          <s:r>
            <s:t xml:space="preserve">/cố định30,&lt;, ưu tiên2 </s:t>
          </s:r>
          <s:r>
            <s:rPr>
              <s:b val="1"/>
            </s:rPr>
            <s:t>A&lt;50</s:t>
          </s:r>
          <s:r>
            <s:t>/A×0.5,&lt;; chạy cam cho điểm19/20.</s:t>
          </s:r>
        </s:is>
      </s:c>
      <s:c r="C20951" s="83" t="inlineStr">
        <s:is>
          <s:r>
            <s:t>[</s:t>
          </s:r>
          <s:r>
            <s:rPr>
              <s:b val="1"/>
            </s:rPr>
            <s:t>A=40</s:t>
          </s:r>
          <s:r>
            <s:t>] → ưu tiên 2, [</s:t>
          </s:r>
          <s:r>
            <s:rPr>
              <s:b val="1"/>
            </s:rPr>
            <s:t>T=20</s:t>
          </s:r>
          <s:r>
            <s:t xml:space="preserve">]: 19 </s:t>
          </s:r>
          <s:r>
            <s:rPr>
              <s:b val="1"/>
            </s:rPr>
            <s:t>Đỏ</s:t>
          </s:r>
          <s:r>
            <s:t xml:space="preserve">; 20 </s:t>
          </s:r>
          <s:r>
            <s:rPr>
              <s:b val="1"/>
            </s:rPr>
            <s:t>Không đỏ</s:t>
          </s:r>
          <s:r>
            <s:t>.</s:t>
          </s:r>
        </s:is>
      </s:c>
      <s:c r="D20951" s="117" t="inlineStr"/>
      <s:c r="E20951" s="118" t="inlineStr">
        <s:is>
          <s:t>Chưa thực hiện</s:t>
        </s:is>
      </s:c>
    </s:row>
    <s:row r="20952" ht="3" customHeight="1">
      <s:c r="A20952" s="102" t="inlineStr"/>
      <s:c r="B20952" s="99" t="n"/>
      <s:c r="C20952" s="99" t="n"/>
      <s:c r="D20952" s="116" t="n"/>
      <s:c r="E20952" s="116" t="n"/>
    </s:row>
    <s:row r="20953" ht="34" customHeight="1">
      <s:c r="A20953" s="83" t="inlineStr">
        <s:is>
          <s:t>Nguồn bằng mốc (a50)</s:t>
        </s:is>
      </s:c>
      <s:c r="B20953" s="83" t="inlineStr">
        <s:is>
          <s:r>
            <s:t xml:space="preserve">Nguồn </s:t>
          </s:r>
          <s:r>
            <s:rPr>
              <s:b val="1"/>
            </s:rPr>
            <s:t>A=50</s:t>
          </s:r>
          <s:r>
            <s:t>, cùng hai rule; chạy cam cho điểm29/30.</s:t>
          </s:r>
        </s:is>
      </s:c>
      <s:c r="C20953" s="83" t="inlineStr">
        <s:is>
          <s:r>
            <s:t>[</s:t>
          </s:r>
          <s:r>
            <s:rPr>
              <s:b val="1"/>
            </s:rPr>
            <s:t>A=50</s:t>
          </s:r>
          <s:r>
            <s:t>] → ưu tiên 1, [</s:t>
          </s:r>
          <s:r>
            <s:rPr>
              <s:b val="1"/>
            </s:rPr>
            <s:t>T=30</s:t>
          </s:r>
          <s:r>
            <s:t xml:space="preserve">]: 29 </s:t>
          </s:r>
          <s:r>
            <s:rPr>
              <s:b val="1"/>
            </s:rPr>
            <s:t>Đỏ</s:t>
          </s:r>
          <s:r>
            <s:t xml:space="preserve">; 30 </s:t>
          </s:r>
          <s:r>
            <s:rPr>
              <s:b val="1"/>
            </s:rPr>
            <s:t>Không đỏ</s:t>
          </s:r>
          <s:r>
            <s:t>.</s:t>
          </s:r>
        </s:is>
      </s:c>
      <s:c r="D20953" s="117" t="inlineStr"/>
      <s:c r="E20953" s="118" t="inlineStr">
        <s:is>
          <s:t>Chưa thực hiện</s:t>
        </s:is>
      </s:c>
    </s:row>
    <s:row r="20954" ht="3" customHeight="1">
      <s:c r="A20954" s="102" t="inlineStr"/>
      <s:c r="B20954" s="99" t="n"/>
      <s:c r="C20954" s="99" t="n"/>
      <s:c r="D20954" s="116" t="n"/>
      <s:c r="E20954" s="116" t="n"/>
    </s:row>
    <s:row r="20955" ht="62" customHeight="1">
      <s:c r="A20955" s="83" t="inlineStr">
        <s:is>
          <s:t>Nguồn thô sát dưới mốc (a4999-none)</s:t>
        </s:is>
      </s:c>
      <s:c r="B20955" s="83" t="inlineStr">
        <s:is>
          <s:r>
            <s:t xml:space="preserve">Nguồn đã chốt </s:t>
          </s:r>
          <s:r>
            <s:rPr>
              <s:b val="1"/>
            </s:rPr>
            <s:t>A=49.99</s:t>
          </s:r>
          <s:r>
            <s:t xml:space="preserve"> dù màn hiện50.0; cùng hai rule, không làm tròn A×0.5; chạy cam cho24.99/25/29.</s:t>
          </s:r>
        </s:is>
      </s:c>
      <s:c r="C20955" s="83" t="inlineStr">
        <s:is>
          <s:r>
            <s:t>[</s:t>
          </s:r>
          <s:r>
            <s:rPr>
              <s:b val="1"/>
            </s:rPr>
            <s:t>A=49.99</s:t>
          </s:r>
          <s:r>
            <s:t>] → ưu tiên 2, [</s:t>
          </s:r>
          <s:r>
            <s:rPr>
              <s:b val="1"/>
            </s:rPr>
            <s:t>T=24.995</s:t>
          </s:r>
          <s:r>
            <s:t xml:space="preserve">]: 24.99 </s:t>
          </s:r>
          <s:r>
            <s:rPr>
              <s:b val="1"/>
            </s:rPr>
            <s:t>Đỏ</s:t>
          </s:r>
          <s:r>
            <s:t xml:space="preserve">; 25 </s:t>
          </s:r>
          <s:r>
            <s:rPr>
              <s:b val="1"/>
            </s:rPr>
            <s:t>Không đỏ</s:t>
          </s:r>
          <s:r>
            <s:t xml:space="preserve">; 29 </s:t>
          </s:r>
          <s:r>
            <s:rPr>
              <s:b val="1"/>
            </s:rPr>
            <s:t>Không đỏ</s:t>
          </s:r>
          <s:r>
            <s:t xml:space="preserve"> (nếu dùng 50 thì 29 </s:t>
          </s:r>
          <s:r>
            <s:rPr>
              <s:b val="1"/>
            </s:rPr>
            <s:t>Đỏ</s:t>
          </s:r>
          <s:r>
            <s:t xml:space="preserve"> — sai).</s:t>
          </s:r>
        </s:is>
      </s:c>
      <s:c r="D20955" s="117" t="inlineStr"/>
      <s:c r="E20955" s="118" t="inlineStr">
        <s:is>
          <s:t>Chưa thực hiện</s:t>
        </s:is>
      </s:c>
    </s:row>
    <s:row r="20956" ht="3" customHeight="1">
      <s:c r="A20956" s="102" t="inlineStr"/>
      <s:c r="B20956" s="99" t="n"/>
      <s:c r="C20956" s="99" t="n"/>
      <s:c r="D20956" s="116" t="n"/>
      <s:c r="E20956" s="116" t="n"/>
    </s:row>
    <s:row r="20957" ht="62" customHeight="1">
      <s:c r="A20957" s="83" t="inlineStr">
        <s:is>
          <s:t>Làm tròn ngưỡng từ nguồn thô (a4999-round)</s:t>
        </s:is>
      </s:c>
      <s:c r="B20957" s="83" t="inlineStr">
        <s:is>
          <s:r>
            <s:t xml:space="preserve">Nguồn đã chốt </s:t>
          </s:r>
          <s:r>
            <s:rPr>
              <s:b val="1"/>
            </s:rPr>
            <s:t>A=49.99</s:t>
          </s:r>
          <s:r>
            <s:t>; bật gần nhất p=1 cho A×0.5, giữ điều kiện dùng A thô; chạy lại điểm24.99/29.</s:t>
          </s:r>
        </s:is>
      </s:c>
      <s:c r="C20957" s="83" t="inlineStr">
        <s:is>
          <s:r>
            <s:t>Bước 2: [</s:t>
          </s:r>
          <s:r>
            <s:rPr>
              <s:b val="1"/>
            </s:rPr>
            <s:t>T=25</s:t>
          </s:r>
          <s:r>
            <s:t xml:space="preserve">], vẫn ưu tiên 2: 24.99 </s:t>
          </s:r>
          <s:r>
            <s:rPr>
              <s:b val="1"/>
            </s:rPr>
            <s:t>Đỏ</s:t>
          </s:r>
          <s:r>
            <s:t xml:space="preserve">; 29 </s:t>
          </s:r>
          <s:r>
            <s:rPr>
              <s:b val="1"/>
            </s:rPr>
            <s:t>Không đỏ</s:t>
          </s:r>
          <s:r>
            <s:t>.</s:t>
          </s:r>
        </s:is>
      </s:c>
      <s:c r="D20957" s="117" t="inlineStr"/>
      <s:c r="E20957" s="118" t="inlineStr">
        <s:is>
          <s:t>Chưa thực hiện</s:t>
        </s:is>
      </s:c>
    </s:row>
    <s:row r="20958" ht="20" customHeight="1">
      <s:c r="A20958" s="119" t="inlineStr">
        <s:is>
          <s:t>Ảnh minh chứng — Chưa có ảnh</s:t>
        </s:is>
      </s:c>
      <s:c r="B20958" s="19" t="n"/>
      <s:c r="C20958" s="19" t="n"/>
      <s:c r="D20958" s="19" t="n"/>
      <s:c r="E20958" s="19" t="n"/>
    </s:row>
    <s:row r="20959" hidden="1" ht="1" customHeight="1">
      <s:c r="A20959" s="120" t="inlineStr"/>
      <s:c r="B20959" s="121" t="n"/>
      <s:c r="C20959" s="121" t="n"/>
      <s:c r="D20959" s="121" t="n"/>
      <s:c r="E20959" s="122" t="n"/>
    </s:row>
    <s:row r="20960" hidden="1" ht="1" customHeight="1">
      <s:c r="A20960" s="120" t="inlineStr"/>
      <s:c r="B20960" s="121" t="n"/>
      <s:c r="C20960" s="121" t="n"/>
      <s:c r="D20960" s="121" t="n"/>
      <s:c r="E20960" s="122" t="n"/>
    </s:row>
    <s:row r="20961" hidden="1" ht="1" customHeight="1">
      <s:c r="A20961" s="120" t="inlineStr"/>
      <s:c r="B20961" s="121" t="n"/>
      <s:c r="C20961" s="121" t="n"/>
      <s:c r="D20961" s="121" t="n"/>
      <s:c r="E20961" s="122" t="n"/>
    </s:row>
    <s:row r="20962" hidden="1" ht="1" customHeight="1">
      <s:c r="A20962" s="120" t="inlineStr"/>
      <s:c r="B20962" s="121" t="n"/>
      <s:c r="C20962" s="121" t="n"/>
      <s:c r="D20962" s="121" t="n"/>
      <s:c r="E20962" s="122" t="n"/>
    </s:row>
    <s:row r="20963" hidden="1" ht="1" customHeight="1">
      <s:c r="A20963" s="120" t="inlineStr"/>
      <s:c r="B20963" s="121" t="n"/>
      <s:c r="C20963" s="121" t="n"/>
      <s:c r="D20963" s="121" t="n"/>
      <s:c r="E20963" s="122" t="n"/>
    </s:row>
    <s:row r="20964" hidden="1" ht="1" customHeight="1">
      <s:c r="A20964" s="120" t="inlineStr"/>
      <s:c r="B20964" s="121" t="n"/>
      <s:c r="C20964" s="121" t="n"/>
      <s:c r="D20964" s="121" t="n"/>
      <s:c r="E20964" s="122" t="n"/>
    </s:row>
    <s:row r="20965" hidden="1" ht="1" customHeight="1">
      <s:c r="A20965" s="120" t="inlineStr"/>
      <s:c r="B20965" s="121" t="n"/>
      <s:c r="C20965" s="121" t="n"/>
      <s:c r="D20965" s="121" t="n"/>
      <s:c r="E20965" s="122" t="n"/>
    </s:row>
    <s:row r="20966" hidden="1" ht="1" customHeight="1">
      <s:c r="A20966" s="120" t="inlineStr"/>
      <s:c r="B20966" s="121" t="n"/>
      <s:c r="C20966" s="121" t="n"/>
      <s:c r="D20966" s="121" t="n"/>
      <s:c r="E20966" s="122" t="n"/>
    </s:row>
    <s:row r="20967" hidden="1" ht="1" customHeight="1">
      <s:c r="A20967" s="120" t="inlineStr"/>
      <s:c r="B20967" s="121" t="n"/>
      <s:c r="C20967" s="121" t="n"/>
      <s:c r="D20967" s="121" t="n"/>
      <s:c r="E20967" s="122" t="n"/>
    </s:row>
    <s:row r="20968" hidden="1" ht="1" customHeight="1">
      <s:c r="A20968" s="120" t="inlineStr"/>
      <s:c r="B20968" s="121" t="n"/>
      <s:c r="C20968" s="121" t="n"/>
      <s:c r="D20968" s="121" t="n"/>
      <s:c r="E20968" s="122" t="n"/>
    </s:row>
    <s:row r="20969" hidden="1" ht="1" customHeight="1">
      <s:c r="A20969" s="120" t="inlineStr"/>
      <s:c r="B20969" s="121" t="n"/>
      <s:c r="C20969" s="121" t="n"/>
      <s:c r="D20969" s="121" t="n"/>
      <s:c r="E20969" s="122" t="n"/>
    </s:row>
    <s:row r="20970" hidden="1" ht="1" customHeight="1">
      <s:c r="A20970" s="120" t="inlineStr"/>
      <s:c r="B20970" s="121" t="n"/>
      <s:c r="C20970" s="121" t="n"/>
      <s:c r="D20970" s="121" t="n"/>
      <s:c r="E20970" s="122" t="n"/>
    </s:row>
    <s:row r="20971" hidden="1" ht="1" customHeight="1">
      <s:c r="A20971" s="120" t="inlineStr"/>
      <s:c r="B20971" s="121" t="n"/>
      <s:c r="C20971" s="121" t="n"/>
      <s:c r="D20971" s="121" t="n"/>
      <s:c r="E20971" s="122" t="n"/>
    </s:row>
    <s:row r="20972" hidden="1" ht="1" customHeight="1">
      <s:c r="A20972" s="120" t="inlineStr"/>
      <s:c r="B20972" s="121" t="n"/>
      <s:c r="C20972" s="121" t="n"/>
      <s:c r="D20972" s="121" t="n"/>
      <s:c r="E20972" s="122" t="n"/>
    </s:row>
    <s:row r="20973" hidden="1" ht="1" customHeight="1">
      <s:c r="A20973" s="120" t="inlineStr"/>
      <s:c r="B20973" s="121" t="n"/>
      <s:c r="C20973" s="121" t="n"/>
      <s:c r="D20973" s="121" t="n"/>
      <s:c r="E20973" s="122" t="n"/>
    </s:row>
    <s:row r="20974" hidden="1" ht="1" customHeight="1">
      <s:c r="A20974" s="120" t="inlineStr"/>
      <s:c r="B20974" s="121" t="n"/>
      <s:c r="C20974" s="121" t="n"/>
      <s:c r="D20974" s="121" t="n"/>
      <s:c r="E20974" s="122" t="n"/>
    </s:row>
    <s:row r="20975" hidden="1" ht="1" customHeight="1">
      <s:c r="A20975" s="120" t="inlineStr"/>
      <s:c r="B20975" s="121" t="n"/>
      <s:c r="C20975" s="121" t="n"/>
      <s:c r="D20975" s="121" t="n"/>
      <s:c r="E20975" s="122" t="n"/>
    </s:row>
    <s:row r="20976" hidden="1" ht="1" customHeight="1">
      <s:c r="A20976" s="120" t="inlineStr"/>
      <s:c r="B20976" s="121" t="n"/>
      <s:c r="C20976" s="121" t="n"/>
      <s:c r="D20976" s="121" t="n"/>
      <s:c r="E20976" s="122" t="n"/>
    </s:row>
    <s:row r="20977" hidden="1" ht="1" customHeight="1">
      <s:c r="A20977" s="120" t="inlineStr"/>
      <s:c r="B20977" s="121" t="n"/>
      <s:c r="C20977" s="121" t="n"/>
      <s:c r="D20977" s="121" t="n"/>
      <s:c r="E20977" s="122" t="n"/>
    </s:row>
    <s:row r="20978" hidden="1" ht="1" customHeight="1">
      <s:c r="A20978" s="120" t="inlineStr"/>
      <s:c r="B20978" s="121" t="n"/>
      <s:c r="C20978" s="121" t="n"/>
      <s:c r="D20978" s="121" t="n"/>
      <s:c r="E20978" s="122" t="n"/>
    </s:row>
    <s:row r="20979" hidden="1" ht="1" customHeight="1">
      <s:c r="A20979" s="120" t="inlineStr"/>
      <s:c r="B20979" s="121" t="n"/>
      <s:c r="C20979" s="121" t="n"/>
      <s:c r="D20979" s="121" t="n"/>
      <s:c r="E20979" s="122" t="n"/>
    </s:row>
    <s:row r="20980" hidden="1" ht="1" customHeight="1">
      <s:c r="A20980" s="120" t="inlineStr"/>
      <s:c r="B20980" s="121" t="n"/>
      <s:c r="C20980" s="121" t="n"/>
      <s:c r="D20980" s="121" t="n"/>
      <s:c r="E20980" s="122" t="n"/>
    </s:row>
    <s:row r="20981" hidden="1" ht="1" customHeight="1">
      <s:c r="A20981" s="120" t="inlineStr"/>
      <s:c r="B20981" s="121" t="n"/>
      <s:c r="C20981" s="121" t="n"/>
      <s:c r="D20981" s="121" t="n"/>
      <s:c r="E20981" s="122" t="n"/>
    </s:row>
    <s:row r="20982" hidden="1" ht="1" customHeight="1">
      <s:c r="A20982" s="120" t="inlineStr"/>
      <s:c r="B20982" s="121" t="n"/>
      <s:c r="C20982" s="121" t="n"/>
      <s:c r="D20982" s="121" t="n"/>
      <s:c r="E20982" s="122" t="n"/>
    </s:row>
    <s:row r="20983" hidden="1" ht="1" customHeight="1">
      <s:c r="A20983" s="120" t="inlineStr"/>
      <s:c r="B20983" s="121" t="n"/>
      <s:c r="C20983" s="121" t="n"/>
      <s:c r="D20983" s="121" t="n"/>
      <s:c r="E20983" s="122" t="n"/>
    </s:row>
    <s:row r="20984" hidden="1" ht="1" customHeight="1">
      <s:c r="A20984" s="120" t="inlineStr"/>
      <s:c r="B20984" s="121" t="n"/>
      <s:c r="C20984" s="121" t="n"/>
      <s:c r="D20984" s="121" t="n"/>
      <s:c r="E20984" s="122" t="n"/>
    </s:row>
    <s:row r="20985" hidden="1" ht="1" customHeight="1">
      <s:c r="A20985" s="120" t="inlineStr"/>
      <s:c r="B20985" s="121" t="n"/>
      <s:c r="C20985" s="121" t="n"/>
      <s:c r="D20985" s="121" t="n"/>
      <s:c r="E20985" s="122" t="n"/>
    </s:row>
    <s:row r="20986" hidden="1" ht="1" customHeight="1">
      <s:c r="A20986" s="120" t="inlineStr"/>
      <s:c r="B20986" s="121" t="n"/>
      <s:c r="C20986" s="121" t="n"/>
      <s:c r="D20986" s="121" t="n"/>
      <s:c r="E20986" s="122" t="n"/>
    </s:row>
    <s:row r="20987" hidden="1" ht="1" customHeight="1">
      <s:c r="A20987" s="120" t="inlineStr"/>
      <s:c r="B20987" s="121" t="n"/>
      <s:c r="C20987" s="121" t="n"/>
      <s:c r="D20987" s="121" t="n"/>
      <s:c r="E20987" s="122" t="n"/>
    </s:row>
    <s:row r="20988" hidden="1" ht="1" customHeight="1">
      <s:c r="A20988" s="120" t="inlineStr"/>
      <s:c r="B20988" s="121" t="n"/>
      <s:c r="C20988" s="121" t="n"/>
      <s:c r="D20988" s="121" t="n"/>
      <s:c r="E20988" s="122" t="n"/>
    </s:row>
    <s:row r="20989" hidden="1" ht="1" customHeight="1">
      <s:c r="A20989" s="120" t="inlineStr"/>
      <s:c r="B20989" s="121" t="n"/>
      <s:c r="C20989" s="121" t="n"/>
      <s:c r="D20989" s="121" t="n"/>
      <s:c r="E20989" s="122" t="n"/>
    </s:row>
    <s:row r="20990" hidden="1" ht="1" customHeight="1">
      <s:c r="A20990" s="120" t="inlineStr"/>
      <s:c r="B20990" s="121" t="n"/>
      <s:c r="C20990" s="121" t="n"/>
      <s:c r="D20990" s="121" t="n"/>
      <s:c r="E20990" s="122" t="n"/>
    </s:row>
    <s:row r="20991" hidden="1" ht="1" customHeight="1">
      <s:c r="A20991" s="120" t="inlineStr"/>
      <s:c r="B20991" s="121" t="n"/>
      <s:c r="C20991" s="121" t="n"/>
      <s:c r="D20991" s="121" t="n"/>
      <s:c r="E20991" s="122" t="n"/>
    </s:row>
    <s:row r="20992" hidden="1" ht="1" customHeight="1">
      <s:c r="A20992" s="120" t="inlineStr"/>
      <s:c r="B20992" s="121" t="n"/>
      <s:c r="C20992" s="121" t="n"/>
      <s:c r="D20992" s="121" t="n"/>
      <s:c r="E20992" s="122" t="n"/>
    </s:row>
    <s:row r="20993" hidden="1" ht="1" customHeight="1">
      <s:c r="A20993" s="120" t="inlineStr"/>
      <s:c r="B20993" s="121" t="n"/>
      <s:c r="C20993" s="121" t="n"/>
      <s:c r="D20993" s="121" t="n"/>
      <s:c r="E20993" s="122" t="n"/>
    </s:row>
    <s:row r="20994" hidden="1" ht="1" customHeight="1">
      <s:c r="A20994" s="120" t="inlineStr"/>
      <s:c r="B20994" s="121" t="n"/>
      <s:c r="C20994" s="121" t="n"/>
      <s:c r="D20994" s="121" t="n"/>
      <s:c r="E20994" s="122" t="n"/>
    </s:row>
    <s:row r="20995" hidden="1" ht="1" customHeight="1">
      <s:c r="A20995" s="120" t="inlineStr"/>
      <s:c r="B20995" s="121" t="n"/>
      <s:c r="C20995" s="121" t="n"/>
      <s:c r="D20995" s="121" t="n"/>
      <s:c r="E20995" s="122" t="n"/>
    </s:row>
    <s:row r="20996" hidden="1" ht="1" customHeight="1">
      <s:c r="A20996" s="120" t="inlineStr"/>
      <s:c r="B20996" s="121" t="n"/>
      <s:c r="C20996" s="121" t="n"/>
      <s:c r="D20996" s="121" t="n"/>
      <s:c r="E20996" s="122" t="n"/>
    </s:row>
    <s:row r="20997" hidden="1" ht="1" customHeight="1">
      <s:c r="A20997" s="120" t="inlineStr"/>
      <s:c r="B20997" s="121" t="n"/>
      <s:c r="C20997" s="121" t="n"/>
      <s:c r="D20997" s="121" t="n"/>
      <s:c r="E20997" s="122" t="n"/>
    </s:row>
    <s:row r="20998" hidden="1" ht="1" customHeight="1">
      <s:c r="A20998" s="120" t="inlineStr"/>
      <s:c r="B20998" s="121" t="n"/>
      <s:c r="C20998" s="121" t="n"/>
      <s:c r="D20998" s="121" t="n"/>
      <s:c r="E20998" s="122" t="n"/>
    </s:row>
    <s:row r="20999" hidden="1" ht="1" customHeight="1">
      <s:c r="A20999" s="120" t="inlineStr"/>
      <s:c r="B20999" s="121" t="n"/>
      <s:c r="C20999" s="121" t="n"/>
      <s:c r="D20999" s="121" t="n"/>
      <s:c r="E20999" s="122" t="n"/>
    </s:row>
    <s:row r="21000" hidden="1" ht="1" customHeight="1">
      <s:c r="A21000" s="120" t="inlineStr"/>
      <s:c r="B21000" s="121" t="n"/>
      <s:c r="C21000" s="121" t="n"/>
      <s:c r="D21000" s="121" t="n"/>
      <s:c r="E21000" s="122" t="n"/>
    </s:row>
    <s:row r="21001" hidden="1" ht="1" customHeight="1">
      <s:c r="A21001" s="120" t="inlineStr"/>
      <s:c r="B21001" s="121" t="n"/>
      <s:c r="C21001" s="121" t="n"/>
      <s:c r="D21001" s="121" t="n"/>
      <s:c r="E21001" s="122" t="n"/>
    </s:row>
    <s:row r="21002" hidden="1" ht="1" customHeight="1">
      <s:c r="A21002" s="120" t="inlineStr"/>
      <s:c r="B21002" s="121" t="n"/>
      <s:c r="C21002" s="121" t="n"/>
      <s:c r="D21002" s="121" t="n"/>
      <s:c r="E21002" s="122" t="n"/>
    </s:row>
    <s:row r="21003" hidden="1" ht="1" customHeight="1">
      <s:c r="A21003" s="120" t="inlineStr"/>
      <s:c r="B21003" s="121" t="n"/>
      <s:c r="C21003" s="121" t="n"/>
      <s:c r="D21003" s="121" t="n"/>
      <s:c r="E21003" s="122" t="n"/>
    </s:row>
    <s:row r="21004" hidden="1" ht="1" customHeight="1">
      <s:c r="A21004" s="120" t="inlineStr"/>
      <s:c r="B21004" s="121" t="n"/>
      <s:c r="C21004" s="121" t="n"/>
      <s:c r="D21004" s="121" t="n"/>
      <s:c r="E21004" s="122" t="n"/>
    </s:row>
    <s:row r="21005" hidden="1" ht="1" customHeight="1">
      <s:c r="A21005" s="120" t="inlineStr"/>
      <s:c r="B21005" s="121" t="n"/>
      <s:c r="C21005" s="121" t="n"/>
      <s:c r="D21005" s="121" t="n"/>
      <s:c r="E21005" s="122" t="n"/>
    </s:row>
    <s:row r="21006" hidden="1" ht="1" customHeight="1">
      <s:c r="A21006" s="120" t="inlineStr"/>
      <s:c r="B21006" s="121" t="n"/>
      <s:c r="C21006" s="121" t="n"/>
      <s:c r="D21006" s="121" t="n"/>
      <s:c r="E21006" s="122" t="n"/>
    </s:row>
    <s:row r="21007" hidden="1" ht="1" customHeight="1">
      <s:c r="A21007" s="120" t="inlineStr"/>
      <s:c r="B21007" s="121" t="n"/>
      <s:c r="C21007" s="121" t="n"/>
      <s:c r="D21007" s="121" t="n"/>
      <s:c r="E21007" s="122" t="n"/>
    </s:row>
    <s:row r="21008" hidden="1" ht="1" customHeight="1">
      <s:c r="A21008" s="120" t="inlineStr"/>
      <s:c r="B21008" s="121" t="n"/>
      <s:c r="C21008" s="121" t="n"/>
      <s:c r="D21008" s="121" t="n"/>
      <s:c r="E21008" s="122" t="n"/>
    </s:row>
    <s:row r="21009" hidden="1" ht="1" customHeight="1">
      <s:c r="A21009" s="120" t="inlineStr"/>
      <s:c r="B21009" s="121" t="n"/>
      <s:c r="C21009" s="121" t="n"/>
      <s:c r="D21009" s="121" t="n"/>
      <s:c r="E21009" s="122" t="n"/>
    </s:row>
    <s:row r="21010" hidden="1" ht="1" customHeight="1">
      <s:c r="A21010" s="120" t="inlineStr"/>
      <s:c r="B21010" s="121" t="n"/>
      <s:c r="C21010" s="121" t="n"/>
      <s:c r="D21010" s="121" t="n"/>
      <s:c r="E21010" s="122" t="n"/>
    </s:row>
    <s:row r="21011" hidden="1" ht="1" customHeight="1">
      <s:c r="A21011" s="120" t="inlineStr"/>
      <s:c r="B21011" s="121" t="n"/>
      <s:c r="C21011" s="121" t="n"/>
      <s:c r="D21011" s="121" t="n"/>
      <s:c r="E21011" s="122" t="n"/>
    </s:row>
    <s:row r="21012" hidden="1" ht="1" customHeight="1">
      <s:c r="A21012" s="120" t="inlineStr"/>
      <s:c r="B21012" s="121" t="n"/>
      <s:c r="C21012" s="121" t="n"/>
      <s:c r="D21012" s="121" t="n"/>
      <s:c r="E21012" s="122" t="n"/>
    </s:row>
    <s:row r="21013" hidden="1" ht="1" customHeight="1">
      <s:c r="A21013" s="120" t="inlineStr"/>
      <s:c r="B21013" s="121" t="n"/>
      <s:c r="C21013" s="121" t="n"/>
      <s:c r="D21013" s="121" t="n"/>
      <s:c r="E21013" s="122" t="n"/>
    </s:row>
    <s:row r="21014" hidden="1" ht="1" customHeight="1">
      <s:c r="A21014" s="120" t="inlineStr"/>
      <s:c r="B21014" s="121" t="n"/>
      <s:c r="C21014" s="121" t="n"/>
      <s:c r="D21014" s="121" t="n"/>
      <s:c r="E21014" s="122" t="n"/>
    </s:row>
    <s:row r="21015" hidden="1" ht="1" customHeight="1">
      <s:c r="A21015" s="120" t="inlineStr"/>
      <s:c r="B21015" s="121" t="n"/>
      <s:c r="C21015" s="121" t="n"/>
      <s:c r="D21015" s="121" t="n"/>
      <s:c r="E21015" s="122" t="n"/>
    </s:row>
    <s:row r="21016" hidden="1" ht="1" customHeight="1">
      <s:c r="A21016" s="120" t="inlineStr"/>
      <s:c r="B21016" s="121" t="n"/>
      <s:c r="C21016" s="121" t="n"/>
      <s:c r="D21016" s="121" t="n"/>
      <s:c r="E21016" s="122" t="n"/>
    </s:row>
    <s:row r="21017" hidden="1" ht="1" customHeight="1">
      <s:c r="A21017" s="120" t="inlineStr"/>
      <s:c r="B21017" s="121" t="n"/>
      <s:c r="C21017" s="121" t="n"/>
      <s:c r="D21017" s="121" t="n"/>
      <s:c r="E21017" s="122" t="n"/>
    </s:row>
    <s:row r="21018" hidden="1" ht="1" customHeight="1">
      <s:c r="A21018" s="120" t="inlineStr"/>
      <s:c r="B21018" s="121" t="n"/>
      <s:c r="C21018" s="121" t="n"/>
      <s:c r="D21018" s="121" t="n"/>
      <s:c r="E21018" s="122" t="n"/>
    </s:row>
    <s:row r="21019" hidden="1" ht="1" customHeight="1">
      <s:c r="A21019" s="120" t="inlineStr"/>
      <s:c r="B21019" s="121" t="n"/>
      <s:c r="C21019" s="121" t="n"/>
      <s:c r="D21019" s="121" t="n"/>
      <s:c r="E21019" s="122" t="n"/>
    </s:row>
    <s:row r="21020" hidden="1" ht="1" customHeight="1">
      <s:c r="A21020" s="120" t="inlineStr"/>
      <s:c r="B21020" s="121" t="n"/>
      <s:c r="C21020" s="121" t="n"/>
      <s:c r="D21020" s="121" t="n"/>
      <s:c r="E21020" s="122" t="n"/>
    </s:row>
    <s:row r="21021" hidden="1" ht="1" customHeight="1">
      <s:c r="A21021" s="120" t="inlineStr"/>
      <s:c r="B21021" s="121" t="n"/>
      <s:c r="C21021" s="121" t="n"/>
      <s:c r="D21021" s="121" t="n"/>
      <s:c r="E21021" s="122" t="n"/>
    </s:row>
    <s:row r="21022" hidden="1" ht="1" customHeight="1">
      <s:c r="A21022" s="120" t="inlineStr"/>
      <s:c r="B21022" s="121" t="n"/>
      <s:c r="C21022" s="121" t="n"/>
      <s:c r="D21022" s="121" t="n"/>
      <s:c r="E21022" s="122" t="n"/>
    </s:row>
    <s:row r="21023" hidden="1" ht="1" customHeight="1">
      <s:c r="A21023" s="120" t="inlineStr"/>
      <s:c r="B21023" s="121" t="n"/>
      <s:c r="C21023" s="121" t="n"/>
      <s:c r="D21023" s="121" t="n"/>
      <s:c r="E21023" s="122" t="n"/>
    </s:row>
    <s:row r="21024" hidden="1" ht="1" customHeight="1">
      <s:c r="A21024" s="120" t="inlineStr"/>
      <s:c r="B21024" s="121" t="n"/>
      <s:c r="C21024" s="121" t="n"/>
      <s:c r="D21024" s="121" t="n"/>
      <s:c r="E21024" s="122" t="n"/>
    </s:row>
    <s:row r="21025" hidden="1" ht="1" customHeight="1">
      <s:c r="A21025" s="120" t="inlineStr"/>
      <s:c r="B21025" s="121" t="n"/>
      <s:c r="C21025" s="121" t="n"/>
      <s:c r="D21025" s="121" t="n"/>
      <s:c r="E21025" s="122" t="n"/>
    </s:row>
    <s:row r="21026" hidden="1" ht="1" customHeight="1">
      <s:c r="A21026" s="120" t="inlineStr"/>
      <s:c r="B21026" s="121" t="n"/>
      <s:c r="C21026" s="121" t="n"/>
      <s:c r="D21026" s="121" t="n"/>
      <s:c r="E21026" s="122" t="n"/>
    </s:row>
    <s:row r="21027" hidden="1" ht="1" customHeight="1">
      <s:c r="A21027" s="120" t="inlineStr"/>
      <s:c r="B21027" s="121" t="n"/>
      <s:c r="C21027" s="121" t="n"/>
      <s:c r="D21027" s="121" t="n"/>
      <s:c r="E21027" s="122" t="n"/>
    </s:row>
    <s:row r="21028" hidden="1" ht="1" customHeight="1">
      <s:c r="A21028" s="120" t="inlineStr"/>
      <s:c r="B21028" s="121" t="n"/>
      <s:c r="C21028" s="121" t="n"/>
      <s:c r="D21028" s="121" t="n"/>
      <s:c r="E21028" s="122" t="n"/>
    </s:row>
    <s:row r="21029" hidden="1" ht="1" customHeight="1">
      <s:c r="A21029" s="120" t="inlineStr"/>
      <s:c r="B21029" s="121" t="n"/>
      <s:c r="C21029" s="121" t="n"/>
      <s:c r="D21029" s="121" t="n"/>
      <s:c r="E21029" s="122" t="n"/>
    </s:row>
    <s:row r="21030" hidden="1" ht="1" customHeight="1">
      <s:c r="A21030" s="120" t="inlineStr"/>
      <s:c r="B21030" s="121" t="n"/>
      <s:c r="C21030" s="121" t="n"/>
      <s:c r="D21030" s="121" t="n"/>
      <s:c r="E21030" s="122" t="n"/>
    </s:row>
    <s:row r="21031" hidden="1" ht="1" customHeight="1">
      <s:c r="A21031" s="120" t="inlineStr"/>
      <s:c r="B21031" s="121" t="n"/>
      <s:c r="C21031" s="121" t="n"/>
      <s:c r="D21031" s="121" t="n"/>
      <s:c r="E21031" s="122" t="n"/>
    </s:row>
    <s:row r="21032" hidden="1" ht="1" customHeight="1">
      <s:c r="A21032" s="120" t="inlineStr"/>
      <s:c r="B21032" s="121" t="n"/>
      <s:c r="C21032" s="121" t="n"/>
      <s:c r="D21032" s="121" t="n"/>
      <s:c r="E21032" s="122" t="n"/>
    </s:row>
    <s:row r="21033" hidden="1" ht="1" customHeight="1">
      <s:c r="A21033" s="120" t="inlineStr"/>
      <s:c r="B21033" s="121" t="n"/>
      <s:c r="C21033" s="121" t="n"/>
      <s:c r="D21033" s="121" t="n"/>
      <s:c r="E21033" s="122" t="n"/>
    </s:row>
    <s:row r="21034" hidden="1" ht="1" customHeight="1">
      <s:c r="A21034" s="120" t="inlineStr"/>
      <s:c r="B21034" s="121" t="n"/>
      <s:c r="C21034" s="121" t="n"/>
      <s:c r="D21034" s="121" t="n"/>
      <s:c r="E21034" s="122" t="n"/>
    </s:row>
    <s:row r="21035" hidden="1" ht="1" customHeight="1">
      <s:c r="A21035" s="120" t="inlineStr"/>
      <s:c r="B21035" s="121" t="n"/>
      <s:c r="C21035" s="121" t="n"/>
      <s:c r="D21035" s="121" t="n"/>
      <s:c r="E21035" s="122" t="n"/>
    </s:row>
    <s:row r="21036" hidden="1" ht="1" customHeight="1">
      <s:c r="A21036" s="120" t="inlineStr"/>
      <s:c r="B21036" s="121" t="n"/>
      <s:c r="C21036" s="121" t="n"/>
      <s:c r="D21036" s="121" t="n"/>
      <s:c r="E21036" s="122" t="n"/>
    </s:row>
    <s:row r="21037" hidden="1" ht="1" customHeight="1">
      <s:c r="A21037" s="120" t="inlineStr"/>
      <s:c r="B21037" s="121" t="n"/>
      <s:c r="C21037" s="121" t="n"/>
      <s:c r="D21037" s="121" t="n"/>
      <s:c r="E21037" s="122" t="n"/>
    </s:row>
    <s:row r="21038" hidden="1" ht="1" customHeight="1">
      <s:c r="A21038" s="120" t="inlineStr"/>
      <s:c r="B21038" s="121" t="n"/>
      <s:c r="C21038" s="121" t="n"/>
      <s:c r="D21038" s="121" t="n"/>
      <s:c r="E21038" s="122" t="n"/>
    </s:row>
    <s:row r="21039" hidden="1" ht="1" customHeight="1">
      <s:c r="A21039" s="120" t="inlineStr"/>
      <s:c r="B21039" s="121" t="n"/>
      <s:c r="C21039" s="121" t="n"/>
      <s:c r="D21039" s="121" t="n"/>
      <s:c r="E21039" s="122" t="n"/>
    </s:row>
    <s:row r="21040" hidden="1" ht="1" customHeight="1">
      <s:c r="A21040" s="120" t="inlineStr"/>
      <s:c r="B21040" s="121" t="n"/>
      <s:c r="C21040" s="121" t="n"/>
      <s:c r="D21040" s="121" t="n"/>
      <s:c r="E21040" s="122" t="n"/>
    </s:row>
    <s:row r="21041" hidden="1" ht="1" customHeight="1">
      <s:c r="A21041" s="120" t="inlineStr"/>
      <s:c r="B21041" s="121" t="n"/>
      <s:c r="C21041" s="121" t="n"/>
      <s:c r="D21041" s="121" t="n"/>
      <s:c r="E21041" s="122" t="n"/>
    </s:row>
    <s:row r="21042" hidden="1" ht="1" customHeight="1">
      <s:c r="A21042" s="120" t="inlineStr"/>
      <s:c r="B21042" s="121" t="n"/>
      <s:c r="C21042" s="121" t="n"/>
      <s:c r="D21042" s="121" t="n"/>
      <s:c r="E21042" s="122" t="n"/>
    </s:row>
    <s:row r="21043" hidden="1" ht="1" customHeight="1">
      <s:c r="A21043" s="120" t="inlineStr"/>
      <s:c r="B21043" s="121" t="n"/>
      <s:c r="C21043" s="121" t="n"/>
      <s:c r="D21043" s="121" t="n"/>
      <s:c r="E21043" s="122" t="n"/>
    </s:row>
    <s:row r="21044" hidden="1" ht="1" customHeight="1">
      <s:c r="A21044" s="120" t="inlineStr"/>
      <s:c r="B21044" s="121" t="n"/>
      <s:c r="C21044" s="121" t="n"/>
      <s:c r="D21044" s="121" t="n"/>
      <s:c r="E21044" s="122" t="n"/>
    </s:row>
    <s:row r="21045" hidden="1" ht="1" customHeight="1">
      <s:c r="A21045" s="120" t="inlineStr"/>
      <s:c r="B21045" s="121" t="n"/>
      <s:c r="C21045" s="121" t="n"/>
      <s:c r="D21045" s="121" t="n"/>
      <s:c r="E21045" s="122" t="n"/>
    </s:row>
    <s:row r="21046" hidden="1" ht="1" customHeight="1">
      <s:c r="A21046" s="120" t="inlineStr"/>
      <s:c r="B21046" s="121" t="n"/>
      <s:c r="C21046" s="121" t="n"/>
      <s:c r="D21046" s="121" t="n"/>
      <s:c r="E21046" s="122" t="n"/>
    </s:row>
    <s:row r="21047" hidden="1" ht="1" customHeight="1">
      <s:c r="A21047" s="120" t="inlineStr"/>
      <s:c r="B21047" s="121" t="n"/>
      <s:c r="C21047" s="121" t="n"/>
      <s:c r="D21047" s="121" t="n"/>
      <s:c r="E21047" s="122" t="n"/>
    </s:row>
    <s:row r="21048" hidden="1" ht="1" customHeight="1">
      <s:c r="A21048" s="120" t="inlineStr"/>
      <s:c r="B21048" s="121" t="n"/>
      <s:c r="C21048" s="121" t="n"/>
      <s:c r="D21048" s="121" t="n"/>
      <s:c r="E21048" s="122" t="n"/>
    </s:row>
    <s:row r="21049" hidden="1" ht="1" customHeight="1">
      <s:c r="A21049" s="120" t="inlineStr"/>
      <s:c r="B21049" s="121" t="n"/>
      <s:c r="C21049" s="121" t="n"/>
      <s:c r="D21049" s="121" t="n"/>
      <s:c r="E21049" s="122" t="n"/>
    </s:row>
    <s:row r="21050" hidden="1" ht="1" customHeight="1">
      <s:c r="A21050" s="120" t="inlineStr"/>
      <s:c r="B21050" s="121" t="n"/>
      <s:c r="C21050" s="121" t="n"/>
      <s:c r="D21050" s="121" t="n"/>
      <s:c r="E21050" s="122" t="n"/>
    </s:row>
    <s:row r="21051" hidden="1" ht="1" customHeight="1">
      <s:c r="A21051" s="120" t="inlineStr"/>
      <s:c r="B21051" s="121" t="n"/>
      <s:c r="C21051" s="121" t="n"/>
      <s:c r="D21051" s="121" t="n"/>
      <s:c r="E21051" s="122" t="n"/>
    </s:row>
    <s:row r="21052" hidden="1" ht="1" customHeight="1">
      <s:c r="A21052" s="120" t="inlineStr"/>
      <s:c r="B21052" s="121" t="n"/>
      <s:c r="C21052" s="121" t="n"/>
      <s:c r="D21052" s="121" t="n"/>
      <s:c r="E21052" s="122" t="n"/>
    </s:row>
    <s:row r="21053" hidden="1" ht="1" customHeight="1">
      <s:c r="A21053" s="120" t="inlineStr"/>
      <s:c r="B21053" s="121" t="n"/>
      <s:c r="C21053" s="121" t="n"/>
      <s:c r="D21053" s="121" t="n"/>
      <s:c r="E21053" s="122" t="n"/>
    </s:row>
    <s:row r="21054" hidden="1" ht="1" customHeight="1">
      <s:c r="A21054" s="120" t="inlineStr"/>
      <s:c r="B21054" s="121" t="n"/>
      <s:c r="C21054" s="121" t="n"/>
      <s:c r="D21054" s="121" t="n"/>
      <s:c r="E21054" s="122" t="n"/>
    </s:row>
    <s:row r="21055" hidden="1" ht="1" customHeight="1">
      <s:c r="A21055" s="120" t="inlineStr"/>
      <s:c r="B21055" s="121" t="n"/>
      <s:c r="C21055" s="121" t="n"/>
      <s:c r="D21055" s="121" t="n"/>
      <s:c r="E21055" s="122" t="n"/>
    </s:row>
    <s:row r="21056" hidden="1" ht="1" customHeight="1">
      <s:c r="A21056" s="120" t="inlineStr"/>
      <s:c r="B21056" s="121" t="n"/>
      <s:c r="C21056" s="121" t="n"/>
      <s:c r="D21056" s="121" t="n"/>
      <s:c r="E21056" s="122" t="n"/>
    </s:row>
    <s:row r="21057" hidden="1" ht="1" customHeight="1">
      <s:c r="A21057" s="120" t="inlineStr"/>
      <s:c r="B21057" s="121" t="n"/>
      <s:c r="C21057" s="121" t="n"/>
      <s:c r="D21057" s="121" t="n"/>
      <s:c r="E21057" s="122" t="n"/>
    </s:row>
    <s:row r="21058" hidden="1" ht="1" customHeight="1">
      <s:c r="A21058" s="120" t="inlineStr"/>
      <s:c r="B21058" s="121" t="n"/>
      <s:c r="C21058" s="121" t="n"/>
      <s:c r="D21058" s="121" t="n"/>
      <s:c r="E21058" s="122" t="n"/>
    </s:row>
    <s:row r="21059" hidden="1" ht="1" customHeight="1">
      <s:c r="A21059" s="120" t="inlineStr"/>
      <s:c r="B21059" s="121" t="n"/>
      <s:c r="C21059" s="121" t="n"/>
      <s:c r="D21059" s="121" t="n"/>
      <s:c r="E21059" s="122" t="n"/>
    </s:row>
    <s:row r="21060" hidden="1" ht="1" customHeight="1">
      <s:c r="A21060" s="120" t="inlineStr"/>
      <s:c r="B21060" s="121" t="n"/>
      <s:c r="C21060" s="121" t="n"/>
      <s:c r="D21060" s="121" t="n"/>
      <s:c r="E21060" s="122" t="n"/>
    </s:row>
    <s:row r="21061" hidden="1" ht="1" customHeight="1">
      <s:c r="A21061" s="120" t="inlineStr"/>
      <s:c r="B21061" s="121" t="n"/>
      <s:c r="C21061" s="121" t="n"/>
      <s:c r="D21061" s="121" t="n"/>
      <s:c r="E21061" s="122" t="n"/>
    </s:row>
    <s:row r="21062" hidden="1" ht="1" customHeight="1">
      <s:c r="A21062" s="120" t="inlineStr"/>
      <s:c r="B21062" s="121" t="n"/>
      <s:c r="C21062" s="121" t="n"/>
      <s:c r="D21062" s="121" t="n"/>
      <s:c r="E21062" s="122" t="n"/>
    </s:row>
    <s:row r="21063" hidden="1" ht="1" customHeight="1">
      <s:c r="A21063" s="120" t="inlineStr"/>
      <s:c r="B21063" s="121" t="n"/>
      <s:c r="C21063" s="121" t="n"/>
      <s:c r="D21063" s="121" t="n"/>
      <s:c r="E21063" s="122" t="n"/>
    </s:row>
    <s:row r="21064" hidden="1" ht="1" customHeight="1">
      <s:c r="A21064" s="120" t="inlineStr"/>
      <s:c r="B21064" s="121" t="n"/>
      <s:c r="C21064" s="121" t="n"/>
      <s:c r="D21064" s="121" t="n"/>
      <s:c r="E21064" s="122" t="n"/>
    </s:row>
    <s:row r="21065" hidden="1" ht="1" customHeight="1">
      <s:c r="A21065" s="120" t="inlineStr"/>
      <s:c r="B21065" s="121" t="n"/>
      <s:c r="C21065" s="121" t="n"/>
      <s:c r="D21065" s="121" t="n"/>
      <s:c r="E21065" s="122" t="n"/>
    </s:row>
    <s:row r="21066" hidden="1" ht="1" customHeight="1">
      <s:c r="A21066" s="120" t="inlineStr"/>
      <s:c r="B21066" s="121" t="n"/>
      <s:c r="C21066" s="121" t="n"/>
      <s:c r="D21066" s="121" t="n"/>
      <s:c r="E21066" s="122" t="n"/>
    </s:row>
    <s:row r="21067" hidden="1" ht="1" customHeight="1">
      <s:c r="A21067" s="120" t="inlineStr"/>
      <s:c r="B21067" s="121" t="n"/>
      <s:c r="C21067" s="121" t="n"/>
      <s:c r="D21067" s="121" t="n"/>
      <s:c r="E21067" s="122" t="n"/>
    </s:row>
    <s:row r="21068" hidden="1" ht="1" customHeight="1">
      <s:c r="A21068" s="120" t="inlineStr"/>
      <s:c r="B21068" s="121" t="n"/>
      <s:c r="C21068" s="121" t="n"/>
      <s:c r="D21068" s="121" t="n"/>
      <s:c r="E21068" s="122" t="n"/>
    </s:row>
    <s:row r="21069" hidden="1" ht="1" customHeight="1">
      <s:c r="A21069" s="120" t="inlineStr"/>
      <s:c r="B21069" s="121" t="n"/>
      <s:c r="C21069" s="121" t="n"/>
      <s:c r="D21069" s="121" t="n"/>
      <s:c r="E21069" s="122" t="n"/>
    </s:row>
    <s:row r="21070" hidden="1" ht="1" customHeight="1">
      <s:c r="A21070" s="120" t="inlineStr"/>
      <s:c r="B21070" s="121" t="n"/>
      <s:c r="C21070" s="121" t="n"/>
      <s:c r="D21070" s="121" t="n"/>
      <s:c r="E21070" s="122" t="n"/>
    </s:row>
    <s:row r="21071" hidden="1" ht="1" customHeight="1">
      <s:c r="A21071" s="120" t="inlineStr"/>
      <s:c r="B21071" s="121" t="n"/>
      <s:c r="C21071" s="121" t="n"/>
      <s:c r="D21071" s="121" t="n"/>
      <s:c r="E21071" s="122" t="n"/>
    </s:row>
    <s:row r="21072" hidden="1" ht="1" customHeight="1">
      <s:c r="A21072" s="120" t="inlineStr"/>
      <s:c r="B21072" s="121" t="n"/>
      <s:c r="C21072" s="121" t="n"/>
      <s:c r="D21072" s="121" t="n"/>
      <s:c r="E21072" s="122" t="n"/>
    </s:row>
    <s:row r="21073" hidden="1" ht="1" customHeight="1">
      <s:c r="A21073" s="120" t="inlineStr"/>
      <s:c r="B21073" s="121" t="n"/>
      <s:c r="C21073" s="121" t="n"/>
      <s:c r="D21073" s="121" t="n"/>
      <s:c r="E21073" s="122" t="n"/>
    </s:row>
    <s:row r="21074" hidden="1" ht="1" customHeight="1">
      <s:c r="A21074" s="120" t="inlineStr"/>
      <s:c r="B21074" s="121" t="n"/>
      <s:c r="C21074" s="121" t="n"/>
      <s:c r="D21074" s="121" t="n"/>
      <s:c r="E21074" s="122" t="n"/>
    </s:row>
    <s:row r="21075" hidden="1" ht="1" customHeight="1">
      <s:c r="A21075" s="120" t="inlineStr"/>
      <s:c r="B21075" s="121" t="n"/>
      <s:c r="C21075" s="121" t="n"/>
      <s:c r="D21075" s="121" t="n"/>
      <s:c r="E21075" s="122" t="n"/>
    </s:row>
    <s:row r="21076" hidden="1" ht="1" customHeight="1">
      <s:c r="A21076" s="120" t="inlineStr"/>
      <s:c r="B21076" s="121" t="n"/>
      <s:c r="C21076" s="121" t="n"/>
      <s:c r="D21076" s="121" t="n"/>
      <s:c r="E21076" s="122" t="n"/>
    </s:row>
    <s:row r="21077" hidden="1" ht="1" customHeight="1">
      <s:c r="A21077" s="120" t="inlineStr"/>
      <s:c r="B21077" s="121" t="n"/>
      <s:c r="C21077" s="121" t="n"/>
      <s:c r="D21077" s="121" t="n"/>
      <s:c r="E21077" s="122" t="n"/>
    </s:row>
    <s:row r="21078" hidden="1" ht="1" customHeight="1">
      <s:c r="A21078" s="120" t="inlineStr"/>
      <s:c r="B21078" s="121" t="n"/>
      <s:c r="C21078" s="121" t="n"/>
      <s:c r="D21078" s="121" t="n"/>
      <s:c r="E21078" s="122" t="n"/>
    </s:row>
    <s:row r="21079" hidden="1" ht="1" customHeight="1">
      <s:c r="A21079" s="120" t="inlineStr"/>
      <s:c r="B21079" s="121" t="n"/>
      <s:c r="C21079" s="121" t="n"/>
      <s:c r="D21079" s="121" t="n"/>
      <s:c r="E21079" s="122" t="n"/>
    </s:row>
    <s:row r="21080" hidden="1" ht="1" customHeight="1">
      <s:c r="A21080" s="120" t="inlineStr"/>
      <s:c r="B21080" s="121" t="n"/>
      <s:c r="C21080" s="121" t="n"/>
      <s:c r="D21080" s="121" t="n"/>
      <s:c r="E21080" s="122" t="n"/>
    </s:row>
    <s:row r="21081" hidden="1" ht="1" customHeight="1">
      <s:c r="A21081" s="120" t="inlineStr"/>
      <s:c r="B21081" s="121" t="n"/>
      <s:c r="C21081" s="121" t="n"/>
      <s:c r="D21081" s="121" t="n"/>
      <s:c r="E21081" s="122" t="n"/>
    </s:row>
    <s:row r="21082" hidden="1" ht="1" customHeight="1">
      <s:c r="A21082" s="120" t="inlineStr"/>
      <s:c r="B21082" s="121" t="n"/>
      <s:c r="C21082" s="121" t="n"/>
      <s:c r="D21082" s="121" t="n"/>
      <s:c r="E21082" s="122" t="n"/>
    </s:row>
    <s:row r="21083" hidden="1" ht="1" customHeight="1">
      <s:c r="A21083" s="120" t="inlineStr"/>
      <s:c r="B21083" s="121" t="n"/>
      <s:c r="C21083" s="121" t="n"/>
      <s:c r="D21083" s="121" t="n"/>
      <s:c r="E21083" s="122" t="n"/>
    </s:row>
    <s:row r="21084" hidden="1" ht="1" customHeight="1">
      <s:c r="A21084" s="120" t="inlineStr"/>
      <s:c r="B21084" s="121" t="n"/>
      <s:c r="C21084" s="121" t="n"/>
      <s:c r="D21084" s="121" t="n"/>
      <s:c r="E21084" s="122" t="n"/>
    </s:row>
    <s:row r="21085" hidden="1" ht="1" customHeight="1">
      <s:c r="A21085" s="120" t="inlineStr"/>
      <s:c r="B21085" s="121" t="n"/>
      <s:c r="C21085" s="121" t="n"/>
      <s:c r="D21085" s="121" t="n"/>
      <s:c r="E21085" s="122" t="n"/>
    </s:row>
    <s:row r="21086" hidden="1" ht="1" customHeight="1">
      <s:c r="A21086" s="120" t="inlineStr"/>
      <s:c r="B21086" s="121" t="n"/>
      <s:c r="C21086" s="121" t="n"/>
      <s:c r="D21086" s="121" t="n"/>
      <s:c r="E21086" s="122" t="n"/>
    </s:row>
    <s:row r="21087" hidden="1" ht="1" customHeight="1">
      <s:c r="A21087" s="120" t="inlineStr"/>
      <s:c r="B21087" s="121" t="n"/>
      <s:c r="C21087" s="121" t="n"/>
      <s:c r="D21087" s="121" t="n"/>
      <s:c r="E21087" s="122" t="n"/>
    </s:row>
    <s:row r="21088" hidden="1" ht="1" customHeight="1">
      <s:c r="A21088" s="120" t="inlineStr"/>
      <s:c r="B21088" s="121" t="n"/>
      <s:c r="C21088" s="121" t="n"/>
      <s:c r="D21088" s="121" t="n"/>
      <s:c r="E21088" s="122" t="n"/>
    </s:row>
    <s:row r="21089" hidden="1" ht="1" customHeight="1">
      <s:c r="A21089" s="120" t="inlineStr"/>
      <s:c r="B21089" s="121" t="n"/>
      <s:c r="C21089" s="121" t="n"/>
      <s:c r="D21089" s="121" t="n"/>
      <s:c r="E21089" s="122" t="n"/>
    </s:row>
    <s:row r="21090" hidden="1" ht="1" customHeight="1">
      <s:c r="A21090" s="120" t="inlineStr"/>
      <s:c r="B21090" s="121" t="n"/>
      <s:c r="C21090" s="121" t="n"/>
      <s:c r="D21090" s="121" t="n"/>
      <s:c r="E21090" s="122" t="n"/>
    </s:row>
    <s:row r="21091" hidden="1" ht="1" customHeight="1">
      <s:c r="A21091" s="120" t="inlineStr"/>
      <s:c r="B21091" s="121" t="n"/>
      <s:c r="C21091" s="121" t="n"/>
      <s:c r="D21091" s="121" t="n"/>
      <s:c r="E21091" s="122" t="n"/>
    </s:row>
    <s:row r="21092" hidden="1" ht="1" customHeight="1">
      <s:c r="A21092" s="120" t="inlineStr"/>
      <s:c r="B21092" s="121" t="n"/>
      <s:c r="C21092" s="121" t="n"/>
      <s:c r="D21092" s="121" t="n"/>
      <s:c r="E21092" s="122" t="n"/>
    </s:row>
    <s:row r="21093" hidden="1" ht="1" customHeight="1">
      <s:c r="A21093" s="120" t="inlineStr"/>
      <s:c r="B21093" s="121" t="n"/>
      <s:c r="C21093" s="121" t="n"/>
      <s:c r="D21093" s="121" t="n"/>
      <s:c r="E21093" s="122" t="n"/>
    </s:row>
    <s:row r="21094" hidden="1" ht="1" customHeight="1">
      <s:c r="A21094" s="120" t="inlineStr"/>
      <s:c r="B21094" s="121" t="n"/>
      <s:c r="C21094" s="121" t="n"/>
      <s:c r="D21094" s="121" t="n"/>
      <s:c r="E21094" s="122" t="n"/>
    </s:row>
    <s:row r="21095" hidden="1" ht="1" customHeight="1">
      <s:c r="A21095" s="120" t="inlineStr"/>
      <s:c r="B21095" s="121" t="n"/>
      <s:c r="C21095" s="121" t="n"/>
      <s:c r="D21095" s="121" t="n"/>
      <s:c r="E21095" s="122" t="n"/>
    </s:row>
    <s:row r="21096" hidden="1" ht="1" customHeight="1">
      <s:c r="A21096" s="120" t="inlineStr"/>
      <s:c r="B21096" s="121" t="n"/>
      <s:c r="C21096" s="121" t="n"/>
      <s:c r="D21096" s="121" t="n"/>
      <s:c r="E21096" s="122" t="n"/>
    </s:row>
    <s:row r="21097" hidden="1" ht="1" customHeight="1">
      <s:c r="A21097" s="120" t="inlineStr"/>
      <s:c r="B21097" s="121" t="n"/>
      <s:c r="C21097" s="121" t="n"/>
      <s:c r="D21097" s="121" t="n"/>
      <s:c r="E21097" s="122" t="n"/>
    </s:row>
    <s:row r="21098" hidden="1" ht="1" customHeight="1">
      <s:c r="A21098" s="120" t="inlineStr"/>
      <s:c r="B21098" s="121" t="n"/>
      <s:c r="C21098" s="121" t="n"/>
      <s:c r="D21098" s="121" t="n"/>
      <s:c r="E21098" s="122" t="n"/>
    </s:row>
    <s:row r="21099" hidden="1" ht="1" customHeight="1">
      <s:c r="A21099" s="120" t="inlineStr"/>
      <s:c r="B21099" s="121" t="n"/>
      <s:c r="C21099" s="121" t="n"/>
      <s:c r="D21099" s="121" t="n"/>
      <s:c r="E21099" s="122" t="n"/>
    </s:row>
    <s:row r="21100" hidden="1" ht="1" customHeight="1">
      <s:c r="A21100" s="120" t="inlineStr"/>
      <s:c r="B21100" s="121" t="n"/>
      <s:c r="C21100" s="121" t="n"/>
      <s:c r="D21100" s="121" t="n"/>
      <s:c r="E21100" s="122" t="n"/>
    </s:row>
    <s:row r="21101" hidden="1" ht="1" customHeight="1">
      <s:c r="A21101" s="120" t="inlineStr"/>
      <s:c r="B21101" s="121" t="n"/>
      <s:c r="C21101" s="121" t="n"/>
      <s:c r="D21101" s="121" t="n"/>
      <s:c r="E21101" s="122" t="n"/>
    </s:row>
    <s:row r="21102" hidden="1" ht="1" customHeight="1">
      <s:c r="A21102" s="120" t="inlineStr"/>
      <s:c r="B21102" s="121" t="n"/>
      <s:c r="C21102" s="121" t="n"/>
      <s:c r="D21102" s="121" t="n"/>
      <s:c r="E21102" s="122" t="n"/>
    </s:row>
    <s:row r="21103" hidden="1" ht="1" customHeight="1">
      <s:c r="A21103" s="120" t="inlineStr"/>
      <s:c r="B21103" s="121" t="n"/>
      <s:c r="C21103" s="121" t="n"/>
      <s:c r="D21103" s="121" t="n"/>
      <s:c r="E21103" s="122" t="n"/>
    </s:row>
    <s:row r="21104" hidden="1" ht="1" customHeight="1">
      <s:c r="A21104" s="120" t="inlineStr"/>
      <s:c r="B21104" s="121" t="n"/>
      <s:c r="C21104" s="121" t="n"/>
      <s:c r="D21104" s="121" t="n"/>
      <s:c r="E21104" s="122" t="n"/>
    </s:row>
    <s:row r="21105" hidden="1" ht="1" customHeight="1">
      <s:c r="A21105" s="120" t="inlineStr"/>
      <s:c r="B21105" s="121" t="n"/>
      <s:c r="C21105" s="121" t="n"/>
      <s:c r="D21105" s="121" t="n"/>
      <s:c r="E21105" s="122" t="n"/>
    </s:row>
    <s:row r="21106" hidden="1" ht="1" customHeight="1">
      <s:c r="A21106" s="120" t="inlineStr"/>
      <s:c r="B21106" s="121" t="n"/>
      <s:c r="C21106" s="121" t="n"/>
      <s:c r="D21106" s="121" t="n"/>
      <s:c r="E21106" s="122" t="n"/>
    </s:row>
    <s:row r="21107" hidden="1" ht="1" customHeight="1">
      <s:c r="A21107" s="120" t="inlineStr"/>
      <s:c r="B21107" s="121" t="n"/>
      <s:c r="C21107" s="121" t="n"/>
      <s:c r="D21107" s="121" t="n"/>
      <s:c r="E21107" s="122" t="n"/>
    </s:row>
    <s:row r="21108" hidden="1" ht="1" customHeight="1">
      <s:c r="A21108" s="120" t="inlineStr"/>
      <s:c r="B21108" s="121" t="n"/>
      <s:c r="C21108" s="121" t="n"/>
      <s:c r="D21108" s="121" t="n"/>
      <s:c r="E21108" s="122" t="n"/>
    </s:row>
    <s:row r="21109" hidden="1" ht="1" customHeight="1">
      <s:c r="A21109" s="120" t="inlineStr"/>
      <s:c r="B21109" s="121" t="n"/>
      <s:c r="C21109" s="121" t="n"/>
      <s:c r="D21109" s="121" t="n"/>
      <s:c r="E21109" s="122" t="n"/>
    </s:row>
    <s:row r="21110" hidden="1" ht="1" customHeight="1">
      <s:c r="A21110" s="120" t="inlineStr"/>
      <s:c r="B21110" s="121" t="n"/>
      <s:c r="C21110" s="121" t="n"/>
      <s:c r="D21110" s="121" t="n"/>
      <s:c r="E21110" s="122" t="n"/>
    </s:row>
    <s:row r="21111" hidden="1" ht="1" customHeight="1">
      <s:c r="A21111" s="120" t="inlineStr"/>
      <s:c r="B21111" s="121" t="n"/>
      <s:c r="C21111" s="121" t="n"/>
      <s:c r="D21111" s="121" t="n"/>
      <s:c r="E21111" s="122" t="n"/>
    </s:row>
    <s:row r="21112" hidden="1" ht="1" customHeight="1">
      <s:c r="A21112" s="120" t="inlineStr"/>
      <s:c r="B21112" s="121" t="n"/>
      <s:c r="C21112" s="121" t="n"/>
      <s:c r="D21112" s="121" t="n"/>
      <s:c r="E21112" s="122" t="n"/>
    </s:row>
    <s:row r="21113" hidden="1" ht="1" customHeight="1">
      <s:c r="A21113" s="120" t="inlineStr"/>
      <s:c r="B21113" s="121" t="n"/>
      <s:c r="C21113" s="121" t="n"/>
      <s:c r="D21113" s="121" t="n"/>
      <s:c r="E21113" s="122" t="n"/>
    </s:row>
    <s:row r="21114" hidden="1" ht="1" customHeight="1">
      <s:c r="A21114" s="120" t="inlineStr"/>
      <s:c r="B21114" s="121" t="n"/>
      <s:c r="C21114" s="121" t="n"/>
      <s:c r="D21114" s="121" t="n"/>
      <s:c r="E21114" s="122" t="n"/>
    </s:row>
    <s:row r="21115" hidden="1" ht="1" customHeight="1">
      <s:c r="A21115" s="120" t="inlineStr"/>
      <s:c r="B21115" s="121" t="n"/>
      <s:c r="C21115" s="121" t="n"/>
      <s:c r="D21115" s="121" t="n"/>
      <s:c r="E21115" s="122" t="n"/>
    </s:row>
    <s:row r="21116" hidden="1" ht="1" customHeight="1">
      <s:c r="A21116" s="120" t="inlineStr"/>
      <s:c r="B21116" s="121" t="n"/>
      <s:c r="C21116" s="121" t="n"/>
      <s:c r="D21116" s="121" t="n"/>
      <s:c r="E21116" s="122" t="n"/>
    </s:row>
    <s:row r="21117" hidden="1" ht="1" customHeight="1">
      <s:c r="A21117" s="120" t="inlineStr"/>
      <s:c r="B21117" s="121" t="n"/>
      <s:c r="C21117" s="121" t="n"/>
      <s:c r="D21117" s="121" t="n"/>
      <s:c r="E21117" s="122" t="n"/>
    </s:row>
    <s:row r="21118" hidden="1" ht="1" customHeight="1">
      <s:c r="A21118" s="120" t="inlineStr"/>
      <s:c r="B21118" s="121" t="n"/>
      <s:c r="C21118" s="121" t="n"/>
      <s:c r="D21118" s="121" t="n"/>
      <s:c r="E21118" s="122" t="n"/>
    </s:row>
    <s:row r="21119" hidden="1" ht="1" customHeight="1">
      <s:c r="A21119" s="120" t="inlineStr"/>
      <s:c r="B21119" s="121" t="n"/>
      <s:c r="C21119" s="121" t="n"/>
      <s:c r="D21119" s="121" t="n"/>
      <s:c r="E21119" s="122" t="n"/>
    </s:row>
    <s:row r="21120" hidden="1" ht="1" customHeight="1">
      <s:c r="A21120" s="120" t="inlineStr"/>
      <s:c r="B21120" s="121" t="n"/>
      <s:c r="C21120" s="121" t="n"/>
      <s:c r="D21120" s="121" t="n"/>
      <s:c r="E21120" s="122" t="n"/>
    </s:row>
    <s:row r="21121" hidden="1" ht="1" customHeight="1">
      <s:c r="A21121" s="120" t="inlineStr"/>
      <s:c r="B21121" s="121" t="n"/>
      <s:c r="C21121" s="121" t="n"/>
      <s:c r="D21121" s="121" t="n"/>
      <s:c r="E21121" s="122" t="n"/>
    </s:row>
    <s:row r="21122" hidden="1" ht="1" customHeight="1">
      <s:c r="A21122" s="120" t="inlineStr"/>
      <s:c r="B21122" s="121" t="n"/>
      <s:c r="C21122" s="121" t="n"/>
      <s:c r="D21122" s="121" t="n"/>
      <s:c r="E21122" s="122" t="n"/>
    </s:row>
    <s:row r="21123" hidden="1" ht="1" customHeight="1">
      <s:c r="A21123" s="120" t="inlineStr"/>
      <s:c r="B21123" s="121" t="n"/>
      <s:c r="C21123" s="121" t="n"/>
      <s:c r="D21123" s="121" t="n"/>
      <s:c r="E21123" s="122" t="n"/>
    </s:row>
    <s:row r="21124" hidden="1" ht="1" customHeight="1">
      <s:c r="A21124" s="120" t="inlineStr"/>
      <s:c r="B21124" s="121" t="n"/>
      <s:c r="C21124" s="121" t="n"/>
      <s:c r="D21124" s="121" t="n"/>
      <s:c r="E21124" s="122" t="n"/>
    </s:row>
    <s:row r="21125" hidden="1" ht="1" customHeight="1">
      <s:c r="A21125" s="120" t="inlineStr"/>
      <s:c r="B21125" s="121" t="n"/>
      <s:c r="C21125" s="121" t="n"/>
      <s:c r="D21125" s="121" t="n"/>
      <s:c r="E21125" s="122" t="n"/>
    </s:row>
    <s:row r="21126" hidden="1" ht="1" customHeight="1">
      <s:c r="A21126" s="120" t="inlineStr"/>
      <s:c r="B21126" s="121" t="n"/>
      <s:c r="C21126" s="121" t="n"/>
      <s:c r="D21126" s="121" t="n"/>
      <s:c r="E21126" s="122" t="n"/>
    </s:row>
    <s:row r="21127" hidden="1" ht="1" customHeight="1">
      <s:c r="A21127" s="120" t="inlineStr"/>
      <s:c r="B21127" s="121" t="n"/>
      <s:c r="C21127" s="121" t="n"/>
      <s:c r="D21127" s="121" t="n"/>
      <s:c r="E21127" s="122" t="n"/>
    </s:row>
    <s:row r="21128" hidden="1" ht="1" customHeight="1">
      <s:c r="A21128" s="120" t="inlineStr"/>
      <s:c r="B21128" s="121" t="n"/>
      <s:c r="C21128" s="121" t="n"/>
      <s:c r="D21128" s="121" t="n"/>
      <s:c r="E21128" s="122" t="n"/>
    </s:row>
    <s:row r="21129" hidden="1" ht="1" customHeight="1">
      <s:c r="A21129" s="120" t="inlineStr"/>
      <s:c r="B21129" s="121" t="n"/>
      <s:c r="C21129" s="121" t="n"/>
      <s:c r="D21129" s="121" t="n"/>
      <s:c r="E21129" s="122" t="n"/>
    </s:row>
    <s:row r="21130" hidden="1" ht="1" customHeight="1">
      <s:c r="A21130" s="120" t="inlineStr"/>
      <s:c r="B21130" s="121" t="n"/>
      <s:c r="C21130" s="121" t="n"/>
      <s:c r="D21130" s="121" t="n"/>
      <s:c r="E21130" s="122" t="n"/>
    </s:row>
    <s:row r="21131" hidden="1" ht="1" customHeight="1">
      <s:c r="A21131" s="120" t="inlineStr"/>
      <s:c r="B21131" s="121" t="n"/>
      <s:c r="C21131" s="121" t="n"/>
      <s:c r="D21131" s="121" t="n"/>
      <s:c r="E21131" s="122" t="n"/>
    </s:row>
    <s:row r="21132" hidden="1" ht="1" customHeight="1">
      <s:c r="A21132" s="120" t="inlineStr"/>
      <s:c r="B21132" s="121" t="n"/>
      <s:c r="C21132" s="121" t="n"/>
      <s:c r="D21132" s="121" t="n"/>
      <s:c r="E21132" s="122" t="n"/>
    </s:row>
    <s:row r="21133" hidden="1" ht="1" customHeight="1">
      <s:c r="A21133" s="120" t="inlineStr"/>
      <s:c r="B21133" s="121" t="n"/>
      <s:c r="C21133" s="121" t="n"/>
      <s:c r="D21133" s="121" t="n"/>
      <s:c r="E21133" s="122" t="n"/>
    </s:row>
    <s:row r="21134" hidden="1" ht="1" customHeight="1">
      <s:c r="A21134" s="120" t="inlineStr"/>
      <s:c r="B21134" s="121" t="n"/>
      <s:c r="C21134" s="121" t="n"/>
      <s:c r="D21134" s="121" t="n"/>
      <s:c r="E21134" s="122" t="n"/>
    </s:row>
    <s:row r="21135" hidden="1" ht="1" customHeight="1">
      <s:c r="A21135" s="120" t="inlineStr"/>
      <s:c r="B21135" s="121" t="n"/>
      <s:c r="C21135" s="121" t="n"/>
      <s:c r="D21135" s="121" t="n"/>
      <s:c r="E21135" s="122" t="n"/>
    </s:row>
    <s:row r="21136" hidden="1" ht="1" customHeight="1">
      <s:c r="A21136" s="120" t="inlineStr"/>
      <s:c r="B21136" s="121" t="n"/>
      <s:c r="C21136" s="121" t="n"/>
      <s:c r="D21136" s="121" t="n"/>
      <s:c r="E21136" s="122" t="n"/>
    </s:row>
    <s:row r="21137" hidden="1" ht="1" customHeight="1">
      <s:c r="A21137" s="120" t="inlineStr"/>
      <s:c r="B21137" s="121" t="n"/>
      <s:c r="C21137" s="121" t="n"/>
      <s:c r="D21137" s="121" t="n"/>
      <s:c r="E21137" s="122" t="n"/>
    </s:row>
    <s:row r="21138" hidden="1" ht="1" customHeight="1">
      <s:c r="A21138" s="120" t="inlineStr"/>
      <s:c r="B21138" s="121" t="n"/>
      <s:c r="C21138" s="121" t="n"/>
      <s:c r="D21138" s="121" t="n"/>
      <s:c r="E21138" s="122" t="n"/>
    </s:row>
    <s:row r="21139" hidden="1" ht="1" customHeight="1">
      <s:c r="A21139" s="120" t="inlineStr"/>
      <s:c r="B21139" s="121" t="n"/>
      <s:c r="C21139" s="121" t="n"/>
      <s:c r="D21139" s="121" t="n"/>
      <s:c r="E21139" s="122" t="n"/>
    </s:row>
    <s:row r="21140" hidden="1" ht="1" customHeight="1">
      <s:c r="A21140" s="120" t="inlineStr"/>
      <s:c r="B21140" s="121" t="n"/>
      <s:c r="C21140" s="121" t="n"/>
      <s:c r="D21140" s="121" t="n"/>
      <s:c r="E21140" s="122" t="n"/>
    </s:row>
    <s:row r="21141" hidden="1" ht="1" customHeight="1">
      <s:c r="A21141" s="120" t="inlineStr"/>
      <s:c r="B21141" s="121" t="n"/>
      <s:c r="C21141" s="121" t="n"/>
      <s:c r="D21141" s="121" t="n"/>
      <s:c r="E21141" s="122" t="n"/>
    </s:row>
    <s:row r="21142" hidden="1" ht="1" customHeight="1">
      <s:c r="A21142" s="120" t="inlineStr"/>
      <s:c r="B21142" s="121" t="n"/>
      <s:c r="C21142" s="121" t="n"/>
      <s:c r="D21142" s="121" t="n"/>
      <s:c r="E21142" s="122" t="n"/>
    </s:row>
    <s:row r="21143" hidden="1" ht="1" customHeight="1">
      <s:c r="A21143" s="120" t="inlineStr"/>
      <s:c r="B21143" s="121" t="n"/>
      <s:c r="C21143" s="121" t="n"/>
      <s:c r="D21143" s="121" t="n"/>
      <s:c r="E21143" s="122" t="n"/>
    </s:row>
    <s:row r="21144" hidden="1" ht="1" customHeight="1">
      <s:c r="A21144" s="120" t="inlineStr"/>
      <s:c r="B21144" s="121" t="n"/>
      <s:c r="C21144" s="121" t="n"/>
      <s:c r="D21144" s="121" t="n"/>
      <s:c r="E21144" s="122" t="n"/>
    </s:row>
    <s:row r="21145" hidden="1" ht="1" customHeight="1">
      <s:c r="A21145" s="120" t="inlineStr"/>
      <s:c r="B21145" s="121" t="n"/>
      <s:c r="C21145" s="121" t="n"/>
      <s:c r="D21145" s="121" t="n"/>
      <s:c r="E21145" s="122" t="n"/>
    </s:row>
    <s:row r="21146" hidden="1" ht="1" customHeight="1">
      <s:c r="A21146" s="120" t="inlineStr"/>
      <s:c r="B21146" s="121" t="n"/>
      <s:c r="C21146" s="121" t="n"/>
      <s:c r="D21146" s="121" t="n"/>
      <s:c r="E21146" s="122" t="n"/>
    </s:row>
    <s:row r="21147" hidden="1" ht="1" customHeight="1">
      <s:c r="A21147" s="120" t="inlineStr"/>
      <s:c r="B21147" s="121" t="n"/>
      <s:c r="C21147" s="121" t="n"/>
      <s:c r="D21147" s="121" t="n"/>
      <s:c r="E21147" s="122" t="n"/>
    </s:row>
    <s:row r="21148" hidden="1" ht="1" customHeight="1">
      <s:c r="A21148" s="120" t="inlineStr"/>
      <s:c r="B21148" s="121" t="n"/>
      <s:c r="C21148" s="121" t="n"/>
      <s:c r="D21148" s="121" t="n"/>
      <s:c r="E21148" s="122" t="n"/>
    </s:row>
    <s:row r="21149" hidden="1" ht="1" customHeight="1">
      <s:c r="A21149" s="120" t="inlineStr"/>
      <s:c r="B21149" s="121" t="n"/>
      <s:c r="C21149" s="121" t="n"/>
      <s:c r="D21149" s="121" t="n"/>
      <s:c r="E21149" s="122" t="n"/>
    </s:row>
    <s:row r="21150" hidden="1" ht="1" customHeight="1">
      <s:c r="A21150" s="120" t="inlineStr"/>
      <s:c r="B21150" s="121" t="n"/>
      <s:c r="C21150" s="121" t="n"/>
      <s:c r="D21150" s="121" t="n"/>
      <s:c r="E21150" s="122" t="n"/>
    </s:row>
    <s:row r="21151" hidden="1" ht="1" customHeight="1">
      <s:c r="A21151" s="83" t="inlineStr">
        <s:is>
          <s:t>PASS</s:t>
        </s:is>
      </s:c>
      <s:c r="B21151" s="83">
        <s:f>SUM(IF(EXACT('Kiểm thử'!E20951,"Đạt"),1,0),IF(EXACT('Kiểm thử'!E20953,"Đạt"),1,0),IF(EXACT('Kiểm thử'!E20955,"Đạt"),1,0),IF(EXACT('Kiểm thử'!E20957,"Đạt"),1,0))</s:f>
        <s:v/>
      </s:c>
      <s:c r="C21151" s="19" t="n"/>
      <s:c r="D21151" s="19" t="n"/>
      <s:c r="E21151" s="19" t="n"/>
    </s:row>
    <s:row r="21152" hidden="1" ht="1" customHeight="1">
      <s:c r="A21152" s="83" t="inlineStr">
        <s:is>
          <s:t>FAIL</s:t>
        </s:is>
      </s:c>
      <s:c r="B21152" s="83">
        <s:f>SUM(IF(EXACT('Kiểm thử'!E20951,"Không đạt"),1,0),IF(EXACT('Kiểm thử'!E20953,"Không đạt"),1,0),IF(EXACT('Kiểm thử'!E20955,"Không đạt"),1,0),IF(EXACT('Kiểm thử'!E20957,"Không đạt"),1,0))</s:f>
        <s:v/>
      </s:c>
      <s:c r="C21152" s="19" t="n"/>
      <s:c r="D21152" s="19" t="n"/>
      <s:c r="E21152" s="19" t="n"/>
    </s:row>
    <s:row r="21153" hidden="1" ht="1" customHeight="1">
      <s:c r="A21153" s="83" t="inlineStr">
        <s:is>
          <s:t>BLOCKED</s:t>
        </s:is>
      </s:c>
      <s:c r="B21153" s="83">
        <s:f>SUM(IF(EXACT('Kiểm thử'!E20951,"Bị chặn"),1,0),IF(EXACT('Kiểm thử'!E20953,"Bị chặn"),1,0),IF(EXACT('Kiểm thử'!E20955,"Bị chặn"),1,0),IF(EXACT('Kiểm thử'!E20957,"Bị chặn"),1,0))</s:f>
        <s:v/>
      </s:c>
      <s:c r="C21153" s="19" t="n"/>
      <s:c r="D21153" s="19" t="n"/>
      <s:c r="E21153" s="19" t="n"/>
    </s:row>
    <s:row r="21154" hidden="1" ht="1" customHeight="1">
      <s:c r="A21154" s="83" t="inlineStr">
        <s:is>
          <s:t>SKIPPED</s:t>
        </s:is>
      </s:c>
      <s:c r="B21154" s="83">
        <s:f>SUM(IF(EXACT('Kiểm thử'!E20951,"Không thực hiện"),1,0),IF(EXACT('Kiểm thử'!E20953,"Không thực hiện"),1,0),IF(EXACT('Kiểm thử'!E20955,"Không thực hiện"),1,0),IF(EXACT('Kiểm thử'!E20957,"Không thực hiện"),1,0))</s:f>
        <s:v/>
      </s:c>
      <s:c r="C21154" s="19" t="n"/>
      <s:c r="D21154" s="19" t="n"/>
      <s:c r="E21154" s="19" t="n"/>
    </s:row>
    <s:row r="21155" hidden="1" ht="1" customHeight="1">
      <s:c r="A21155" s="83" t="inlineStr">
        <s:is>
          <s:t>NOT RUN</s:t>
        </s:is>
      </s:c>
      <s:c r="B21155" s="83">
        <s:f>SUM(IF(EXACT('Kiểm thử'!E20951,"Chưa thực hiện"),1,0),IF(EXACT('Kiểm thử'!E20953,"Chưa thực hiện"),1,0),IF(EXACT('Kiểm thử'!E20955,"Chưa thực hiện"),1,0),IF(EXACT('Kiểm thử'!E20957,"Chưa thực hiện"),1,0))</s:f>
        <s:v/>
      </s:c>
      <s:c r="C21155" s="19" t="n"/>
      <s:c r="D21155" s="19" t="n"/>
      <s:c r="E21155" s="19" t="n"/>
    </s:row>
    <s:row r="21156" hidden="1" ht="6" customHeight="1">
      <s:c r="A21156" s="83" t="inlineStr"/>
      <s:c r="B21156" s="19" t="n"/>
      <s:c r="C21156" s="19" t="n"/>
      <s:c r="D21156" s="19" t="n"/>
      <s:c r="E21156" s="19" t="n"/>
    </s:row>
    <s:row r="21157" ht="28" customHeight="1">
      <s:c r="A21157" s="108" t="inlineStr">
        <s:is>
          <s:t>TC-RS-CALC-023 — Biên nhánh A=60.00 và A=59.96</s:t>
        </s:is>
      </s:c>
      <s:c r="B21157" s="111" t="n"/>
      <s:c r="C21157" s="111" t="n"/>
      <s:c r="D21157" s="111" t="n"/>
      <s:c r="E21157" s="111" t="n"/>
    </s:row>
    <s:row r="21158" ht="20" customHeight="1">
      <s:c r="A21158" s="112" t="inlineStr">
        <s:is>
          <s:t>Kết quả tình huống</s:t>
        </s:is>
      </s:c>
      <s:c r="B21158" s="113">
        <s:f>IF(SUM(IF(EXACT('Kiểm thử'!E21165,"Không đạt"),1,0),IF(EXACT('Kiểm thử'!E21167,"Không đạt"),1,0))&gt;0,"Không đạt",IF(SUM(IF(EXACT('Kiểm thử'!E21165,"Đạt"),1,0),IF(EXACT('Kiểm thử'!E21167,"Đạt"),1,0))=2,"Đạt",IF(SUM(IF(EXACT('Kiểm thử'!E21165,"Không thực hiện"),1,0),IF(EXACT('Kiểm thử'!E21167,"Không thực hiện"),1,0))=2,"Không thực hiện",IF(SUM(IF(EXACT('Kiểm thử'!E21165,"Bị chặn"),1,0),IF(EXACT('Kiểm thử'!E21167,"Bị chặn"),1,0))&gt;0,"Bị chặn",IF(SUM(IF(EXACT('Kiểm thử'!E21165,"Chưa thực hiện"),1,0),IF(EXACT('Kiểm thử'!E21167,"Chưa thực hiện"),1,0))=2,"Chưa thực hiện","Đang thực hiện")))))</s:f>
        <s:v/>
      </s:c>
      <s:c r="C21158" s="114" t="n"/>
      <s:c r="D21158" s="114" t="n"/>
      <s:c r="E21158" s="114" t="n"/>
    </s:row>
    <s:row r="21159" ht="20" customHeight="1">
      <s:c r="A21159" s="112" t="inlineStr">
        <s:is>
          <s:t>Màn hình / chức năng</s:t>
        </s:is>
      </s:c>
      <s:c r="B21159" s="113" t="inlineStr">
        <s:is>
          <s:t>Xét theo ưu tiên</s:t>
        </s:is>
      </s:c>
      <s:c r="C21159" s="28" t="n"/>
      <s:c r="D21159" s="28" t="n"/>
      <s:c r="E21159" s="28" t="n"/>
    </s:row>
    <s:row r="21160" ht="20" customHeight="1">
      <s:c r="A21160" s="112" t="inlineStr">
        <s:is>
          <s:t>Cấu hình</s:t>
        </s:is>
      </s:c>
      <s:c r="B21160" s="113" t="inlineStr">
        <s:is>
          <s:r>
            <s:t>• Ưu tiên 1: [</s:t>
          </s:r>
          <s:r>
            <s:rPr>
              <s:b val="1"/>
            </s:rPr>
            <s:t>A≥60</s:t>
          </s:r>
          <s:r>
            <s:t>] → cố định 25 [&lt;]. Ưu tiên 2: [</s:t>
          </s:r>
          <s:r>
            <s:rPr>
              <s:b val="1"/>
            </s:rPr>
            <s:t>A&lt;60</s:t>
          </s:r>
          <s:r>
            <s:t>] → [A×0.5] [&lt;]. mục số thập phân (</s:t>
          </s:r>
          <s:r>
            <s:rPr>
              <s:b val="1"/>
            </s:rPr>
            <s:t>M=100</s:t>
          </s:r>
          <s:r>
            <s:t>).</s:t>
          </s:r>
        </s:is>
      </s:c>
      <s:c r="C21160" s="28" t="n"/>
      <s:c r="D21160" s="28" t="n"/>
      <s:c r="E21160" s="28" t="n"/>
    </s:row>
    <s:row r="21161" ht="62" customHeight="1">
      <s:c r="A21161" s="112" t="inlineStr">
        <s:is>
          <s:t>Dữ liệu test</s:t>
        </s:is>
      </s:c>
      <s:c r="B21161" s="113" t="inlineStr">
        <s:is>
          <s:r>
            <s:t>• Mục số thập phân (</s:t>
          </s:r>
          <s:r>
            <s:rPr>
              <s:b val="1"/>
            </s:rPr>
            <s:t>M=100</s:t>
          </s:r>
          <s:r>
            <s:t>);
• Hai nguồn có trung bình 60 và 59.96 ([</s:t>
          </s:r>
          <s:r>
            <s:rPr>
              <s:b val="1"/>
            </s:rPr>
            <s:t>A=60.00</s:t>
          </s:r>
          <s:r>
            <s:t>];
• [</s:t>
          </s:r>
          <s:r>
            <s:rPr>
              <s:b val="1"/>
            </s:rPr>
            <s:t>A=59.96</s:t>
          </s:r>
          <s:r>
            <s:t>]);
• S = 27, 29.99</s:t>
          </s:r>
        </s:is>
      </s:c>
      <s:c r="C21161" s="28" t="n"/>
      <s:c r="D21161" s="28" t="n"/>
      <s:c r="E21161" s="28" t="n"/>
    </s:row>
    <s:row r="21162" ht="20" customHeight="1">
      <s:c r="A21162" s="112" t="inlineStr">
        <s:is>
          <s:t>•</s:t>
        </s:is>
      </s:c>
      <s:c r="B21162" s="113" t="inlineStr">
        <s:is>
          <s:t>Chạy nút cam với từng nguồn.</s:t>
        </s:is>
      </s:c>
      <s:c r="C21162" s="28" t="n"/>
      <s:c r="D21162" s="28" t="n"/>
      <s:c r="E21162" s="28" t="n"/>
    </s:row>
    <s:row r="21163" ht="28" customHeight="1">
      <s:c r="A21163" s="115" t="inlineStr">
        <s:is>
          <s:t>Trường hợp</s:t>
        </s:is>
      </s:c>
      <s:c r="B21163" s="115" t="inlineStr">
        <s:is>
          <s:t>Dữ liệu / thao tác riêng</s:t>
        </s:is>
      </s:c>
      <s:c r="C21163" s="115" t="inlineStr">
        <s:is>
          <s:t>Kết quả mong đợi</s:t>
        </s:is>
      </s:c>
      <s:c r="D21163" s="115" t="inlineStr">
        <s:is>
          <s:t>Kết quả thực tế</s:t>
        </s:is>
      </s:c>
      <s:c r="E21163" s="115" t="inlineStr">
        <s:is>
          <s:t>Đánh giá</s:t>
        </s:is>
      </s:c>
    </s:row>
    <s:row r="21164" ht="3" customHeight="1">
      <s:c r="A21164" s="102" t="inlineStr"/>
      <s:c r="B21164" s="99" t="n"/>
      <s:c r="C21164" s="99" t="n"/>
      <s:c r="D21164" s="116" t="n"/>
      <s:c r="E21164" s="116" t="n"/>
    </s:row>
    <s:row r="21165" ht="48" customHeight="1">
      <s:c r="A21165" s="83" t="inlineStr">
        <s:is>
          <s:t>Nguồn bằng mốc 60 (a60)</s:t>
        </s:is>
      </s:c>
      <s:c r="B21165" s="83" t="inlineStr">
        <s:is>
          <s:r>
            <s:rPr>
              <s:b val="1"/>
            </s:rPr>
            <s:t>A=60.00</s:t>
          </s:r>
          <s:r>
            <s:t xml:space="preserve">; ưu tiên1 </s:t>
          </s:r>
          <s:r>
            <s:rPr>
              <s:b val="1"/>
            </s:rPr>
            <s:t>A≥60</s:t>
          </s:r>
          <s:r>
            <s:t xml:space="preserve">/cố định25,&lt;, ưu tiên2 </s:t>
          </s:r>
          <s:r>
            <s:rPr>
              <s:b val="1"/>
            </s:rPr>
            <s:t>A&lt;60</s:t>
          </s:r>
          <s:r>
            <s:t xml:space="preserve">/A×0.5,&lt;; chạy cam cho </s:t>
          </s:r>
          <s:r>
            <s:rPr>
              <s:b val="1"/>
            </s:rPr>
            <s:t>S=27</s:t>
          </s:r>
          <s:r>
            <s:t>.</s:t>
          </s:r>
        </s:is>
      </s:c>
      <s:c r="C21165" s="83" t="inlineStr">
        <s:is>
          <s:r>
            <s:t>[</s:t>
          </s:r>
          <s:r>
            <s:rPr>
              <s:b val="1"/>
            </s:rPr>
            <s:t>A=60.00</s:t>
          </s:r>
          <s:r>
            <s:t>] → ưu tiên 1, [</s:t>
          </s:r>
          <s:r>
            <s:rPr>
              <s:b val="1"/>
            </s:rPr>
            <s:t>T=25</s:t>
          </s:r>
          <s:r>
            <s:t xml:space="preserve">]: 27 </s:t>
          </s:r>
          <s:r>
            <s:rPr>
              <s:b val="1"/>
            </s:rPr>
            <s:t>Không đỏ</s:t>
          </s:r>
          <s:r>
            <s:t>.</s:t>
          </s:r>
        </s:is>
      </s:c>
      <s:c r="D21165" s="117" t="inlineStr"/>
      <s:c r="E21165" s="118" t="inlineStr">
        <s:is>
          <s:t>Chưa thực hiện</s:t>
        </s:is>
      </s:c>
    </s:row>
    <s:row r="21166" ht="3" customHeight="1">
      <s:c r="A21166" s="102" t="inlineStr"/>
      <s:c r="B21166" s="99" t="n"/>
      <s:c r="C21166" s="99" t="n"/>
      <s:c r="D21166" s="116" t="n"/>
      <s:c r="E21166" s="116" t="n"/>
    </s:row>
    <s:row r="21167" ht="34" customHeight="1">
      <s:c r="A21167" s="83" t="inlineStr">
        <s:is>
          <s:t>Nguồn sát dưới mốc 60 (a5996)</s:t>
        </s:is>
      </s:c>
      <s:c r="B21167" s="83" t="inlineStr">
        <s:is>
          <s:r>
            <s:rPr>
              <s:b val="1"/>
            </s:rPr>
            <s:t>A=59.96</s:t>
          </s:r>
          <s:r>
            <s:t xml:space="preserve">, cùng hai rule; chạy cam cho </s:t>
          </s:r>
          <s:r>
            <s:rPr>
              <s:b val="1"/>
            </s:rPr>
            <s:t>S=27</s:t>
          </s:r>
          <s:r>
            <s:t xml:space="preserve"> và29.99.</s:t>
          </s:r>
        </s:is>
      </s:c>
      <s:c r="C21167" s="83" t="inlineStr">
        <s:is>
          <s:r>
            <s:t>[</s:t>
          </s:r>
          <s:r>
            <s:rPr>
              <s:b val="1"/>
            </s:rPr>
            <s:t>A=59.96</s:t>
          </s:r>
          <s:r>
            <s:t>] → ưu tiên 2, [</s:t>
          </s:r>
          <s:r>
            <s:rPr>
              <s:b val="1"/>
            </s:rPr>
            <s:t>T=29.98</s:t>
          </s:r>
          <s:r>
            <s:t xml:space="preserve">]: 27 </s:t>
          </s:r>
          <s:r>
            <s:rPr>
              <s:b val="1"/>
            </s:rPr>
            <s:t>Đỏ</s:t>
          </s:r>
          <s:r>
            <s:t xml:space="preserve">; 29.99 </s:t>
          </s:r>
          <s:r>
            <s:rPr>
              <s:b val="1"/>
            </s:rPr>
            <s:t>Không đỏ</s:t>
          </s:r>
          <s:r>
            <s:t>.</s:t>
          </s:r>
        </s:is>
      </s:c>
      <s:c r="D21167" s="117" t="inlineStr"/>
      <s:c r="E21167" s="118" t="inlineStr">
        <s:is>
          <s:t>Chưa thực hiện</s:t>
        </s:is>
      </s:c>
    </s:row>
    <s:row r="21168" ht="20" customHeight="1">
      <s:c r="A21168" s="119" t="inlineStr">
        <s:is>
          <s:t>Ảnh minh chứng — Chưa có ảnh</s:t>
        </s:is>
      </s:c>
      <s:c r="B21168" s="19" t="n"/>
      <s:c r="C21168" s="19" t="n"/>
      <s:c r="D21168" s="19" t="n"/>
      <s:c r="E21168" s="19" t="n"/>
    </s:row>
    <s:row r="21169" hidden="1" ht="1" customHeight="1">
      <s:c r="A21169" s="120" t="inlineStr"/>
      <s:c r="B21169" s="121" t="n"/>
      <s:c r="C21169" s="121" t="n"/>
      <s:c r="D21169" s="121" t="n"/>
      <s:c r="E21169" s="122" t="n"/>
    </s:row>
    <s:row r="21170" hidden="1" ht="1" customHeight="1">
      <s:c r="A21170" s="120" t="inlineStr"/>
      <s:c r="B21170" s="121" t="n"/>
      <s:c r="C21170" s="121" t="n"/>
      <s:c r="D21170" s="121" t="n"/>
      <s:c r="E21170" s="122" t="n"/>
    </s:row>
    <s:row r="21171" hidden="1" ht="1" customHeight="1">
      <s:c r="A21171" s="120" t="inlineStr"/>
      <s:c r="B21171" s="121" t="n"/>
      <s:c r="C21171" s="121" t="n"/>
      <s:c r="D21171" s="121" t="n"/>
      <s:c r="E21171" s="122" t="n"/>
    </s:row>
    <s:row r="21172" hidden="1" ht="1" customHeight="1">
      <s:c r="A21172" s="120" t="inlineStr"/>
      <s:c r="B21172" s="121" t="n"/>
      <s:c r="C21172" s="121" t="n"/>
      <s:c r="D21172" s="121" t="n"/>
      <s:c r="E21172" s="122" t="n"/>
    </s:row>
    <s:row r="21173" hidden="1" ht="1" customHeight="1">
      <s:c r="A21173" s="120" t="inlineStr"/>
      <s:c r="B21173" s="121" t="n"/>
      <s:c r="C21173" s="121" t="n"/>
      <s:c r="D21173" s="121" t="n"/>
      <s:c r="E21173" s="122" t="n"/>
    </s:row>
    <s:row r="21174" hidden="1" ht="1" customHeight="1">
      <s:c r="A21174" s="120" t="inlineStr"/>
      <s:c r="B21174" s="121" t="n"/>
      <s:c r="C21174" s="121" t="n"/>
      <s:c r="D21174" s="121" t="n"/>
      <s:c r="E21174" s="122" t="n"/>
    </s:row>
    <s:row r="21175" hidden="1" ht="1" customHeight="1">
      <s:c r="A21175" s="120" t="inlineStr"/>
      <s:c r="B21175" s="121" t="n"/>
      <s:c r="C21175" s="121" t="n"/>
      <s:c r="D21175" s="121" t="n"/>
      <s:c r="E21175" s="122" t="n"/>
    </s:row>
    <s:row r="21176" hidden="1" ht="1" customHeight="1">
      <s:c r="A21176" s="120" t="inlineStr"/>
      <s:c r="B21176" s="121" t="n"/>
      <s:c r="C21176" s="121" t="n"/>
      <s:c r="D21176" s="121" t="n"/>
      <s:c r="E21176" s="122" t="n"/>
    </s:row>
    <s:row r="21177" hidden="1" ht="1" customHeight="1">
      <s:c r="A21177" s="120" t="inlineStr"/>
      <s:c r="B21177" s="121" t="n"/>
      <s:c r="C21177" s="121" t="n"/>
      <s:c r="D21177" s="121" t="n"/>
      <s:c r="E21177" s="122" t="n"/>
    </s:row>
    <s:row r="21178" hidden="1" ht="1" customHeight="1">
      <s:c r="A21178" s="120" t="inlineStr"/>
      <s:c r="B21178" s="121" t="n"/>
      <s:c r="C21178" s="121" t="n"/>
      <s:c r="D21178" s="121" t="n"/>
      <s:c r="E21178" s="122" t="n"/>
    </s:row>
    <s:row r="21179" hidden="1" ht="1" customHeight="1">
      <s:c r="A21179" s="120" t="inlineStr"/>
      <s:c r="B21179" s="121" t="n"/>
      <s:c r="C21179" s="121" t="n"/>
      <s:c r="D21179" s="121" t="n"/>
      <s:c r="E21179" s="122" t="n"/>
    </s:row>
    <s:row r="21180" hidden="1" ht="1" customHeight="1">
      <s:c r="A21180" s="120" t="inlineStr"/>
      <s:c r="B21180" s="121" t="n"/>
      <s:c r="C21180" s="121" t="n"/>
      <s:c r="D21180" s="121" t="n"/>
      <s:c r="E21180" s="122" t="n"/>
    </s:row>
    <s:row r="21181" hidden="1" ht="1" customHeight="1">
      <s:c r="A21181" s="120" t="inlineStr"/>
      <s:c r="B21181" s="121" t="n"/>
      <s:c r="C21181" s="121" t="n"/>
      <s:c r="D21181" s="121" t="n"/>
      <s:c r="E21181" s="122" t="n"/>
    </s:row>
    <s:row r="21182" hidden="1" ht="1" customHeight="1">
      <s:c r="A21182" s="120" t="inlineStr"/>
      <s:c r="B21182" s="121" t="n"/>
      <s:c r="C21182" s="121" t="n"/>
      <s:c r="D21182" s="121" t="n"/>
      <s:c r="E21182" s="122" t="n"/>
    </s:row>
    <s:row r="21183" hidden="1" ht="1" customHeight="1">
      <s:c r="A21183" s="120" t="inlineStr"/>
      <s:c r="B21183" s="121" t="n"/>
      <s:c r="C21183" s="121" t="n"/>
      <s:c r="D21183" s="121" t="n"/>
      <s:c r="E21183" s="122" t="n"/>
    </s:row>
    <s:row r="21184" hidden="1" ht="1" customHeight="1">
      <s:c r="A21184" s="120" t="inlineStr"/>
      <s:c r="B21184" s="121" t="n"/>
      <s:c r="C21184" s="121" t="n"/>
      <s:c r="D21184" s="121" t="n"/>
      <s:c r="E21184" s="122" t="n"/>
    </s:row>
    <s:row r="21185" hidden="1" ht="1" customHeight="1">
      <s:c r="A21185" s="120" t="inlineStr"/>
      <s:c r="B21185" s="121" t="n"/>
      <s:c r="C21185" s="121" t="n"/>
      <s:c r="D21185" s="121" t="n"/>
      <s:c r="E21185" s="122" t="n"/>
    </s:row>
    <s:row r="21186" hidden="1" ht="1" customHeight="1">
      <s:c r="A21186" s="120" t="inlineStr"/>
      <s:c r="B21186" s="121" t="n"/>
      <s:c r="C21186" s="121" t="n"/>
      <s:c r="D21186" s="121" t="n"/>
      <s:c r="E21186" s="122" t="n"/>
    </s:row>
    <s:row r="21187" hidden="1" ht="1" customHeight="1">
      <s:c r="A21187" s="120" t="inlineStr"/>
      <s:c r="B21187" s="121" t="n"/>
      <s:c r="C21187" s="121" t="n"/>
      <s:c r="D21187" s="121" t="n"/>
      <s:c r="E21187" s="122" t="n"/>
    </s:row>
    <s:row r="21188" hidden="1" ht="1" customHeight="1">
      <s:c r="A21188" s="120" t="inlineStr"/>
      <s:c r="B21188" s="121" t="n"/>
      <s:c r="C21188" s="121" t="n"/>
      <s:c r="D21188" s="121" t="n"/>
      <s:c r="E21188" s="122" t="n"/>
    </s:row>
    <s:row r="21189" hidden="1" ht="1" customHeight="1">
      <s:c r="A21189" s="120" t="inlineStr"/>
      <s:c r="B21189" s="121" t="n"/>
      <s:c r="C21189" s="121" t="n"/>
      <s:c r="D21189" s="121" t="n"/>
      <s:c r="E21189" s="122" t="n"/>
    </s:row>
    <s:row r="21190" hidden="1" ht="1" customHeight="1">
      <s:c r="A21190" s="120" t="inlineStr"/>
      <s:c r="B21190" s="121" t="n"/>
      <s:c r="C21190" s="121" t="n"/>
      <s:c r="D21190" s="121" t="n"/>
      <s:c r="E21190" s="122" t="n"/>
    </s:row>
    <s:row r="21191" hidden="1" ht="1" customHeight="1">
      <s:c r="A21191" s="120" t="inlineStr"/>
      <s:c r="B21191" s="121" t="n"/>
      <s:c r="C21191" s="121" t="n"/>
      <s:c r="D21191" s="121" t="n"/>
      <s:c r="E21191" s="122" t="n"/>
    </s:row>
    <s:row r="21192" hidden="1" ht="1" customHeight="1">
      <s:c r="A21192" s="120" t="inlineStr"/>
      <s:c r="B21192" s="121" t="n"/>
      <s:c r="C21192" s="121" t="n"/>
      <s:c r="D21192" s="121" t="n"/>
      <s:c r="E21192" s="122" t="n"/>
    </s:row>
    <s:row r="21193" hidden="1" ht="1" customHeight="1">
      <s:c r="A21193" s="120" t="inlineStr"/>
      <s:c r="B21193" s="121" t="n"/>
      <s:c r="C21193" s="121" t="n"/>
      <s:c r="D21193" s="121" t="n"/>
      <s:c r="E21193" s="122" t="n"/>
    </s:row>
    <s:row r="21194" hidden="1" ht="1" customHeight="1">
      <s:c r="A21194" s="120" t="inlineStr"/>
      <s:c r="B21194" s="121" t="n"/>
      <s:c r="C21194" s="121" t="n"/>
      <s:c r="D21194" s="121" t="n"/>
      <s:c r="E21194" s="122" t="n"/>
    </s:row>
    <s:row r="21195" hidden="1" ht="1" customHeight="1">
      <s:c r="A21195" s="120" t="inlineStr"/>
      <s:c r="B21195" s="121" t="n"/>
      <s:c r="C21195" s="121" t="n"/>
      <s:c r="D21195" s="121" t="n"/>
      <s:c r="E21195" s="122" t="n"/>
    </s:row>
    <s:row r="21196" hidden="1" ht="1" customHeight="1">
      <s:c r="A21196" s="120" t="inlineStr"/>
      <s:c r="B21196" s="121" t="n"/>
      <s:c r="C21196" s="121" t="n"/>
      <s:c r="D21196" s="121" t="n"/>
      <s:c r="E21196" s="122" t="n"/>
    </s:row>
    <s:row r="21197" hidden="1" ht="1" customHeight="1">
      <s:c r="A21197" s="120" t="inlineStr"/>
      <s:c r="B21197" s="121" t="n"/>
      <s:c r="C21197" s="121" t="n"/>
      <s:c r="D21197" s="121" t="n"/>
      <s:c r="E21197" s="122" t="n"/>
    </s:row>
    <s:row r="21198" hidden="1" ht="1" customHeight="1">
      <s:c r="A21198" s="120" t="inlineStr"/>
      <s:c r="B21198" s="121" t="n"/>
      <s:c r="C21198" s="121" t="n"/>
      <s:c r="D21198" s="121" t="n"/>
      <s:c r="E21198" s="122" t="n"/>
    </s:row>
    <s:row r="21199" hidden="1" ht="1" customHeight="1">
      <s:c r="A21199" s="120" t="inlineStr"/>
      <s:c r="B21199" s="121" t="n"/>
      <s:c r="C21199" s="121" t="n"/>
      <s:c r="D21199" s="121" t="n"/>
      <s:c r="E21199" s="122" t="n"/>
    </s:row>
    <s:row r="21200" hidden="1" ht="1" customHeight="1">
      <s:c r="A21200" s="120" t="inlineStr"/>
      <s:c r="B21200" s="121" t="n"/>
      <s:c r="C21200" s="121" t="n"/>
      <s:c r="D21200" s="121" t="n"/>
      <s:c r="E21200" s="122" t="n"/>
    </s:row>
    <s:row r="21201" hidden="1" ht="1" customHeight="1">
      <s:c r="A21201" s="120" t="inlineStr"/>
      <s:c r="B21201" s="121" t="n"/>
      <s:c r="C21201" s="121" t="n"/>
      <s:c r="D21201" s="121" t="n"/>
      <s:c r="E21201" s="122" t="n"/>
    </s:row>
    <s:row r="21202" hidden="1" ht="1" customHeight="1">
      <s:c r="A21202" s="120" t="inlineStr"/>
      <s:c r="B21202" s="121" t="n"/>
      <s:c r="C21202" s="121" t="n"/>
      <s:c r="D21202" s="121" t="n"/>
      <s:c r="E21202" s="122" t="n"/>
    </s:row>
    <s:row r="21203" hidden="1" ht="1" customHeight="1">
      <s:c r="A21203" s="120" t="inlineStr"/>
      <s:c r="B21203" s="121" t="n"/>
      <s:c r="C21203" s="121" t="n"/>
      <s:c r="D21203" s="121" t="n"/>
      <s:c r="E21203" s="122" t="n"/>
    </s:row>
    <s:row r="21204" hidden="1" ht="1" customHeight="1">
      <s:c r="A21204" s="120" t="inlineStr"/>
      <s:c r="B21204" s="121" t="n"/>
      <s:c r="C21204" s="121" t="n"/>
      <s:c r="D21204" s="121" t="n"/>
      <s:c r="E21204" s="122" t="n"/>
    </s:row>
    <s:row r="21205" hidden="1" ht="1" customHeight="1">
      <s:c r="A21205" s="120" t="inlineStr"/>
      <s:c r="B21205" s="121" t="n"/>
      <s:c r="C21205" s="121" t="n"/>
      <s:c r="D21205" s="121" t="n"/>
      <s:c r="E21205" s="122" t="n"/>
    </s:row>
    <s:row r="21206" hidden="1" ht="1" customHeight="1">
      <s:c r="A21206" s="120" t="inlineStr"/>
      <s:c r="B21206" s="121" t="n"/>
      <s:c r="C21206" s="121" t="n"/>
      <s:c r="D21206" s="121" t="n"/>
      <s:c r="E21206" s="122" t="n"/>
    </s:row>
    <s:row r="21207" hidden="1" ht="1" customHeight="1">
      <s:c r="A21207" s="120" t="inlineStr"/>
      <s:c r="B21207" s="121" t="n"/>
      <s:c r="C21207" s="121" t="n"/>
      <s:c r="D21207" s="121" t="n"/>
      <s:c r="E21207" s="122" t="n"/>
    </s:row>
    <s:row r="21208" hidden="1" ht="1" customHeight="1">
      <s:c r="A21208" s="120" t="inlineStr"/>
      <s:c r="B21208" s="121" t="n"/>
      <s:c r="C21208" s="121" t="n"/>
      <s:c r="D21208" s="121" t="n"/>
      <s:c r="E21208" s="122" t="n"/>
    </s:row>
    <s:row r="21209" hidden="1" ht="1" customHeight="1">
      <s:c r="A21209" s="120" t="inlineStr"/>
      <s:c r="B21209" s="121" t="n"/>
      <s:c r="C21209" s="121" t="n"/>
      <s:c r="D21209" s="121" t="n"/>
      <s:c r="E21209" s="122" t="n"/>
    </s:row>
    <s:row r="21210" hidden="1" ht="1" customHeight="1">
      <s:c r="A21210" s="120" t="inlineStr"/>
      <s:c r="B21210" s="121" t="n"/>
      <s:c r="C21210" s="121" t="n"/>
      <s:c r="D21210" s="121" t="n"/>
      <s:c r="E21210" s="122" t="n"/>
    </s:row>
    <s:row r="21211" hidden="1" ht="1" customHeight="1">
      <s:c r="A21211" s="120" t="inlineStr"/>
      <s:c r="B21211" s="121" t="n"/>
      <s:c r="C21211" s="121" t="n"/>
      <s:c r="D21211" s="121" t="n"/>
      <s:c r="E21211" s="122" t="n"/>
    </s:row>
    <s:row r="21212" hidden="1" ht="1" customHeight="1">
      <s:c r="A21212" s="120" t="inlineStr"/>
      <s:c r="B21212" s="121" t="n"/>
      <s:c r="C21212" s="121" t="n"/>
      <s:c r="D21212" s="121" t="n"/>
      <s:c r="E21212" s="122" t="n"/>
    </s:row>
    <s:row r="21213" hidden="1" ht="1" customHeight="1">
      <s:c r="A21213" s="120" t="inlineStr"/>
      <s:c r="B21213" s="121" t="n"/>
      <s:c r="C21213" s="121" t="n"/>
      <s:c r="D21213" s="121" t="n"/>
      <s:c r="E21213" s="122" t="n"/>
    </s:row>
    <s:row r="21214" hidden="1" ht="1" customHeight="1">
      <s:c r="A21214" s="120" t="inlineStr"/>
      <s:c r="B21214" s="121" t="n"/>
      <s:c r="C21214" s="121" t="n"/>
      <s:c r="D21214" s="121" t="n"/>
      <s:c r="E21214" s="122" t="n"/>
    </s:row>
    <s:row r="21215" hidden="1" ht="1" customHeight="1">
      <s:c r="A21215" s="120" t="inlineStr"/>
      <s:c r="B21215" s="121" t="n"/>
      <s:c r="C21215" s="121" t="n"/>
      <s:c r="D21215" s="121" t="n"/>
      <s:c r="E21215" s="122" t="n"/>
    </s:row>
    <s:row r="21216" hidden="1" ht="1" customHeight="1">
      <s:c r="A21216" s="120" t="inlineStr"/>
      <s:c r="B21216" s="121" t="n"/>
      <s:c r="C21216" s="121" t="n"/>
      <s:c r="D21216" s="121" t="n"/>
      <s:c r="E21216" s="122" t="n"/>
    </s:row>
    <s:row r="21217" hidden="1" ht="1" customHeight="1">
      <s:c r="A21217" s="120" t="inlineStr"/>
      <s:c r="B21217" s="121" t="n"/>
      <s:c r="C21217" s="121" t="n"/>
      <s:c r="D21217" s="121" t="n"/>
      <s:c r="E21217" s="122" t="n"/>
    </s:row>
    <s:row r="21218" hidden="1" ht="1" customHeight="1">
      <s:c r="A21218" s="120" t="inlineStr"/>
      <s:c r="B21218" s="121" t="n"/>
      <s:c r="C21218" s="121" t="n"/>
      <s:c r="D21218" s="121" t="n"/>
      <s:c r="E21218" s="122" t="n"/>
    </s:row>
    <s:row r="21219" hidden="1" ht="1" customHeight="1">
      <s:c r="A21219" s="120" t="inlineStr"/>
      <s:c r="B21219" s="121" t="n"/>
      <s:c r="C21219" s="121" t="n"/>
      <s:c r="D21219" s="121" t="n"/>
      <s:c r="E21219" s="122" t="n"/>
    </s:row>
    <s:row r="21220" hidden="1" ht="1" customHeight="1">
      <s:c r="A21220" s="120" t="inlineStr"/>
      <s:c r="B21220" s="121" t="n"/>
      <s:c r="C21220" s="121" t="n"/>
      <s:c r="D21220" s="121" t="n"/>
      <s:c r="E21220" s="122" t="n"/>
    </s:row>
    <s:row r="21221" hidden="1" ht="1" customHeight="1">
      <s:c r="A21221" s="120" t="inlineStr"/>
      <s:c r="B21221" s="121" t="n"/>
      <s:c r="C21221" s="121" t="n"/>
      <s:c r="D21221" s="121" t="n"/>
      <s:c r="E21221" s="122" t="n"/>
    </s:row>
    <s:row r="21222" hidden="1" ht="1" customHeight="1">
      <s:c r="A21222" s="120" t="inlineStr"/>
      <s:c r="B21222" s="121" t="n"/>
      <s:c r="C21222" s="121" t="n"/>
      <s:c r="D21222" s="121" t="n"/>
      <s:c r="E21222" s="122" t="n"/>
    </s:row>
    <s:row r="21223" hidden="1" ht="1" customHeight="1">
      <s:c r="A21223" s="120" t="inlineStr"/>
      <s:c r="B21223" s="121" t="n"/>
      <s:c r="C21223" s="121" t="n"/>
      <s:c r="D21223" s="121" t="n"/>
      <s:c r="E21223" s="122" t="n"/>
    </s:row>
    <s:row r="21224" hidden="1" ht="1" customHeight="1">
      <s:c r="A21224" s="120" t="inlineStr"/>
      <s:c r="B21224" s="121" t="n"/>
      <s:c r="C21224" s="121" t="n"/>
      <s:c r="D21224" s="121" t="n"/>
      <s:c r="E21224" s="122" t="n"/>
    </s:row>
    <s:row r="21225" hidden="1" ht="1" customHeight="1">
      <s:c r="A21225" s="120" t="inlineStr"/>
      <s:c r="B21225" s="121" t="n"/>
      <s:c r="C21225" s="121" t="n"/>
      <s:c r="D21225" s="121" t="n"/>
      <s:c r="E21225" s="122" t="n"/>
    </s:row>
    <s:row r="21226" hidden="1" ht="1" customHeight="1">
      <s:c r="A21226" s="120" t="inlineStr"/>
      <s:c r="B21226" s="121" t="n"/>
      <s:c r="C21226" s="121" t="n"/>
      <s:c r="D21226" s="121" t="n"/>
      <s:c r="E21226" s="122" t="n"/>
    </s:row>
    <s:row r="21227" hidden="1" ht="1" customHeight="1">
      <s:c r="A21227" s="120" t="inlineStr"/>
      <s:c r="B21227" s="121" t="n"/>
      <s:c r="C21227" s="121" t="n"/>
      <s:c r="D21227" s="121" t="n"/>
      <s:c r="E21227" s="122" t="n"/>
    </s:row>
    <s:row r="21228" hidden="1" ht="1" customHeight="1">
      <s:c r="A21228" s="120" t="inlineStr"/>
      <s:c r="B21228" s="121" t="n"/>
      <s:c r="C21228" s="121" t="n"/>
      <s:c r="D21228" s="121" t="n"/>
      <s:c r="E21228" s="122" t="n"/>
    </s:row>
    <s:row r="21229" hidden="1" ht="1" customHeight="1">
      <s:c r="A21229" s="120" t="inlineStr"/>
      <s:c r="B21229" s="121" t="n"/>
      <s:c r="C21229" s="121" t="n"/>
      <s:c r="D21229" s="121" t="n"/>
      <s:c r="E21229" s="122" t="n"/>
    </s:row>
    <s:row r="21230" hidden="1" ht="1" customHeight="1">
      <s:c r="A21230" s="120" t="inlineStr"/>
      <s:c r="B21230" s="121" t="n"/>
      <s:c r="C21230" s="121" t="n"/>
      <s:c r="D21230" s="121" t="n"/>
      <s:c r="E21230" s="122" t="n"/>
    </s:row>
    <s:row r="21231" hidden="1" ht="1" customHeight="1">
      <s:c r="A21231" s="120" t="inlineStr"/>
      <s:c r="B21231" s="121" t="n"/>
      <s:c r="C21231" s="121" t="n"/>
      <s:c r="D21231" s="121" t="n"/>
      <s:c r="E21231" s="122" t="n"/>
    </s:row>
    <s:row r="21232" hidden="1" ht="1" customHeight="1">
      <s:c r="A21232" s="120" t="inlineStr"/>
      <s:c r="B21232" s="121" t="n"/>
      <s:c r="C21232" s="121" t="n"/>
      <s:c r="D21232" s="121" t="n"/>
      <s:c r="E21232" s="122" t="n"/>
    </s:row>
    <s:row r="21233" hidden="1" ht="1" customHeight="1">
      <s:c r="A21233" s="120" t="inlineStr"/>
      <s:c r="B21233" s="121" t="n"/>
      <s:c r="C21233" s="121" t="n"/>
      <s:c r="D21233" s="121" t="n"/>
      <s:c r="E21233" s="122" t="n"/>
    </s:row>
    <s:row r="21234" hidden="1" ht="1" customHeight="1">
      <s:c r="A21234" s="120" t="inlineStr"/>
      <s:c r="B21234" s="121" t="n"/>
      <s:c r="C21234" s="121" t="n"/>
      <s:c r="D21234" s="121" t="n"/>
      <s:c r="E21234" s="122" t="n"/>
    </s:row>
    <s:row r="21235" hidden="1" ht="1" customHeight="1">
      <s:c r="A21235" s="120" t="inlineStr"/>
      <s:c r="B21235" s="121" t="n"/>
      <s:c r="C21235" s="121" t="n"/>
      <s:c r="D21235" s="121" t="n"/>
      <s:c r="E21235" s="122" t="n"/>
    </s:row>
    <s:row r="21236" hidden="1" ht="1" customHeight="1">
      <s:c r="A21236" s="120" t="inlineStr"/>
      <s:c r="B21236" s="121" t="n"/>
      <s:c r="C21236" s="121" t="n"/>
      <s:c r="D21236" s="121" t="n"/>
      <s:c r="E21236" s="122" t="n"/>
    </s:row>
    <s:row r="21237" hidden="1" ht="1" customHeight="1">
      <s:c r="A21237" s="120" t="inlineStr"/>
      <s:c r="B21237" s="121" t="n"/>
      <s:c r="C21237" s="121" t="n"/>
      <s:c r="D21237" s="121" t="n"/>
      <s:c r="E21237" s="122" t="n"/>
    </s:row>
    <s:row r="21238" hidden="1" ht="1" customHeight="1">
      <s:c r="A21238" s="120" t="inlineStr"/>
      <s:c r="B21238" s="121" t="n"/>
      <s:c r="C21238" s="121" t="n"/>
      <s:c r="D21238" s="121" t="n"/>
      <s:c r="E21238" s="122" t="n"/>
    </s:row>
    <s:row r="21239" hidden="1" ht="1" customHeight="1">
      <s:c r="A21239" s="120" t="inlineStr"/>
      <s:c r="B21239" s="121" t="n"/>
      <s:c r="C21239" s="121" t="n"/>
      <s:c r="D21239" s="121" t="n"/>
      <s:c r="E21239" s="122" t="n"/>
    </s:row>
    <s:row r="21240" hidden="1" ht="1" customHeight="1">
      <s:c r="A21240" s="120" t="inlineStr"/>
      <s:c r="B21240" s="121" t="n"/>
      <s:c r="C21240" s="121" t="n"/>
      <s:c r="D21240" s="121" t="n"/>
      <s:c r="E21240" s="122" t="n"/>
    </s:row>
    <s:row r="21241" hidden="1" ht="1" customHeight="1">
      <s:c r="A21241" s="120" t="inlineStr"/>
      <s:c r="B21241" s="121" t="n"/>
      <s:c r="C21241" s="121" t="n"/>
      <s:c r="D21241" s="121" t="n"/>
      <s:c r="E21241" s="122" t="n"/>
    </s:row>
    <s:row r="21242" hidden="1" ht="1" customHeight="1">
      <s:c r="A21242" s="120" t="inlineStr"/>
      <s:c r="B21242" s="121" t="n"/>
      <s:c r="C21242" s="121" t="n"/>
      <s:c r="D21242" s="121" t="n"/>
      <s:c r="E21242" s="122" t="n"/>
    </s:row>
    <s:row r="21243" hidden="1" ht="1" customHeight="1">
      <s:c r="A21243" s="120" t="inlineStr"/>
      <s:c r="B21243" s="121" t="n"/>
      <s:c r="C21243" s="121" t="n"/>
      <s:c r="D21243" s="121" t="n"/>
      <s:c r="E21243" s="122" t="n"/>
    </s:row>
    <s:row r="21244" hidden="1" ht="1" customHeight="1">
      <s:c r="A21244" s="120" t="inlineStr"/>
      <s:c r="B21244" s="121" t="n"/>
      <s:c r="C21244" s="121" t="n"/>
      <s:c r="D21244" s="121" t="n"/>
      <s:c r="E21244" s="122" t="n"/>
    </s:row>
    <s:row r="21245" hidden="1" ht="1" customHeight="1">
      <s:c r="A21245" s="120" t="inlineStr"/>
      <s:c r="B21245" s="121" t="n"/>
      <s:c r="C21245" s="121" t="n"/>
      <s:c r="D21245" s="121" t="n"/>
      <s:c r="E21245" s="122" t="n"/>
    </s:row>
    <s:row r="21246" hidden="1" ht="1" customHeight="1">
      <s:c r="A21246" s="120" t="inlineStr"/>
      <s:c r="B21246" s="121" t="n"/>
      <s:c r="C21246" s="121" t="n"/>
      <s:c r="D21246" s="121" t="n"/>
      <s:c r="E21246" s="122" t="n"/>
    </s:row>
    <s:row r="21247" hidden="1" ht="1" customHeight="1">
      <s:c r="A21247" s="120" t="inlineStr"/>
      <s:c r="B21247" s="121" t="n"/>
      <s:c r="C21247" s="121" t="n"/>
      <s:c r="D21247" s="121" t="n"/>
      <s:c r="E21247" s="122" t="n"/>
    </s:row>
    <s:row r="21248" hidden="1" ht="1" customHeight="1">
      <s:c r="A21248" s="120" t="inlineStr"/>
      <s:c r="B21248" s="121" t="n"/>
      <s:c r="C21248" s="121" t="n"/>
      <s:c r="D21248" s="121" t="n"/>
      <s:c r="E21248" s="122" t="n"/>
    </s:row>
    <s:row r="21249" hidden="1" ht="1" customHeight="1">
      <s:c r="A21249" s="120" t="inlineStr"/>
      <s:c r="B21249" s="121" t="n"/>
      <s:c r="C21249" s="121" t="n"/>
      <s:c r="D21249" s="121" t="n"/>
      <s:c r="E21249" s="122" t="n"/>
    </s:row>
    <s:row r="21250" hidden="1" ht="1" customHeight="1">
      <s:c r="A21250" s="120" t="inlineStr"/>
      <s:c r="B21250" s="121" t="n"/>
      <s:c r="C21250" s="121" t="n"/>
      <s:c r="D21250" s="121" t="n"/>
      <s:c r="E21250" s="122" t="n"/>
    </s:row>
    <s:row r="21251" hidden="1" ht="1" customHeight="1">
      <s:c r="A21251" s="120" t="inlineStr"/>
      <s:c r="B21251" s="121" t="n"/>
      <s:c r="C21251" s="121" t="n"/>
      <s:c r="D21251" s="121" t="n"/>
      <s:c r="E21251" s="122" t="n"/>
    </s:row>
    <s:row r="21252" hidden="1" ht="1" customHeight="1">
      <s:c r="A21252" s="120" t="inlineStr"/>
      <s:c r="B21252" s="121" t="n"/>
      <s:c r="C21252" s="121" t="n"/>
      <s:c r="D21252" s="121" t="n"/>
      <s:c r="E21252" s="122" t="n"/>
    </s:row>
    <s:row r="21253" hidden="1" ht="1" customHeight="1">
      <s:c r="A21253" s="120" t="inlineStr"/>
      <s:c r="B21253" s="121" t="n"/>
      <s:c r="C21253" s="121" t="n"/>
      <s:c r="D21253" s="121" t="n"/>
      <s:c r="E21253" s="122" t="n"/>
    </s:row>
    <s:row r="21254" hidden="1" ht="1" customHeight="1">
      <s:c r="A21254" s="120" t="inlineStr"/>
      <s:c r="B21254" s="121" t="n"/>
      <s:c r="C21254" s="121" t="n"/>
      <s:c r="D21254" s="121" t="n"/>
      <s:c r="E21254" s="122" t="n"/>
    </s:row>
    <s:row r="21255" hidden="1" ht="1" customHeight="1">
      <s:c r="A21255" s="120" t="inlineStr"/>
      <s:c r="B21255" s="121" t="n"/>
      <s:c r="C21255" s="121" t="n"/>
      <s:c r="D21255" s="121" t="n"/>
      <s:c r="E21255" s="122" t="n"/>
    </s:row>
    <s:row r="21256" hidden="1" ht="1" customHeight="1">
      <s:c r="A21256" s="120" t="inlineStr"/>
      <s:c r="B21256" s="121" t="n"/>
      <s:c r="C21256" s="121" t="n"/>
      <s:c r="D21256" s="121" t="n"/>
      <s:c r="E21256" s="122" t="n"/>
    </s:row>
    <s:row r="21257" hidden="1" ht="1" customHeight="1">
      <s:c r="A21257" s="120" t="inlineStr"/>
      <s:c r="B21257" s="121" t="n"/>
      <s:c r="C21257" s="121" t="n"/>
      <s:c r="D21257" s="121" t="n"/>
      <s:c r="E21257" s="122" t="n"/>
    </s:row>
    <s:row r="21258" hidden="1" ht="1" customHeight="1">
      <s:c r="A21258" s="120" t="inlineStr"/>
      <s:c r="B21258" s="121" t="n"/>
      <s:c r="C21258" s="121" t="n"/>
      <s:c r="D21258" s="121" t="n"/>
      <s:c r="E21258" s="122" t="n"/>
    </s:row>
    <s:row r="21259" hidden="1" ht="1" customHeight="1">
      <s:c r="A21259" s="120" t="inlineStr"/>
      <s:c r="B21259" s="121" t="n"/>
      <s:c r="C21259" s="121" t="n"/>
      <s:c r="D21259" s="121" t="n"/>
      <s:c r="E21259" s="122" t="n"/>
    </s:row>
    <s:row r="21260" hidden="1" ht="1" customHeight="1">
      <s:c r="A21260" s="120" t="inlineStr"/>
      <s:c r="B21260" s="121" t="n"/>
      <s:c r="C21260" s="121" t="n"/>
      <s:c r="D21260" s="121" t="n"/>
      <s:c r="E21260" s="122" t="n"/>
    </s:row>
    <s:row r="21261" hidden="1" ht="1" customHeight="1">
      <s:c r="A21261" s="120" t="inlineStr"/>
      <s:c r="B21261" s="121" t="n"/>
      <s:c r="C21261" s="121" t="n"/>
      <s:c r="D21261" s="121" t="n"/>
      <s:c r="E21261" s="122" t="n"/>
    </s:row>
    <s:row r="21262" hidden="1" ht="1" customHeight="1">
      <s:c r="A21262" s="120" t="inlineStr"/>
      <s:c r="B21262" s="121" t="n"/>
      <s:c r="C21262" s="121" t="n"/>
      <s:c r="D21262" s="121" t="n"/>
      <s:c r="E21262" s="122" t="n"/>
    </s:row>
    <s:row r="21263" hidden="1" ht="1" customHeight="1">
      <s:c r="A21263" s="120" t="inlineStr"/>
      <s:c r="B21263" s="121" t="n"/>
      <s:c r="C21263" s="121" t="n"/>
      <s:c r="D21263" s="121" t="n"/>
      <s:c r="E21263" s="122" t="n"/>
    </s:row>
    <s:row r="21264" hidden="1" ht="1" customHeight="1">
      <s:c r="A21264" s="120" t="inlineStr"/>
      <s:c r="B21264" s="121" t="n"/>
      <s:c r="C21264" s="121" t="n"/>
      <s:c r="D21264" s="121" t="n"/>
      <s:c r="E21264" s="122" t="n"/>
    </s:row>
    <s:row r="21265" hidden="1" ht="1" customHeight="1">
      <s:c r="A21265" s="83" t="inlineStr">
        <s:is>
          <s:t>PASS</s:t>
        </s:is>
      </s:c>
      <s:c r="B21265" s="83">
        <s:f>SUM(IF(EXACT('Kiểm thử'!E21165,"Đạt"),1,0),IF(EXACT('Kiểm thử'!E21167,"Đạt"),1,0))</s:f>
        <s:v/>
      </s:c>
      <s:c r="C21265" s="19" t="n"/>
      <s:c r="D21265" s="19" t="n"/>
      <s:c r="E21265" s="19" t="n"/>
    </s:row>
    <s:row r="21266" hidden="1" ht="1" customHeight="1">
      <s:c r="A21266" s="83" t="inlineStr">
        <s:is>
          <s:t>FAIL</s:t>
        </s:is>
      </s:c>
      <s:c r="B21266" s="83">
        <s:f>SUM(IF(EXACT('Kiểm thử'!E21165,"Không đạt"),1,0),IF(EXACT('Kiểm thử'!E21167,"Không đạt"),1,0))</s:f>
        <s:v/>
      </s:c>
      <s:c r="C21266" s="19" t="n"/>
      <s:c r="D21266" s="19" t="n"/>
      <s:c r="E21266" s="19" t="n"/>
    </s:row>
    <s:row r="21267" hidden="1" ht="1" customHeight="1">
      <s:c r="A21267" s="83" t="inlineStr">
        <s:is>
          <s:t>BLOCKED</s:t>
        </s:is>
      </s:c>
      <s:c r="B21267" s="83">
        <s:f>SUM(IF(EXACT('Kiểm thử'!E21165,"Bị chặn"),1,0),IF(EXACT('Kiểm thử'!E21167,"Bị chặn"),1,0))</s:f>
        <s:v/>
      </s:c>
      <s:c r="C21267" s="19" t="n"/>
      <s:c r="D21267" s="19" t="n"/>
      <s:c r="E21267" s="19" t="n"/>
    </s:row>
    <s:row r="21268" hidden="1" ht="1" customHeight="1">
      <s:c r="A21268" s="83" t="inlineStr">
        <s:is>
          <s:t>SKIPPED</s:t>
        </s:is>
      </s:c>
      <s:c r="B21268" s="83">
        <s:f>SUM(IF(EXACT('Kiểm thử'!E21165,"Không thực hiện"),1,0),IF(EXACT('Kiểm thử'!E21167,"Không thực hiện"),1,0))</s:f>
        <s:v/>
      </s:c>
      <s:c r="C21268" s="19" t="n"/>
      <s:c r="D21268" s="19" t="n"/>
      <s:c r="E21268" s="19" t="n"/>
    </s:row>
    <s:row r="21269" hidden="1" ht="1" customHeight="1">
      <s:c r="A21269" s="83" t="inlineStr">
        <s:is>
          <s:t>NOT RUN</s:t>
        </s:is>
      </s:c>
      <s:c r="B21269" s="83">
        <s:f>SUM(IF(EXACT('Kiểm thử'!E21165,"Chưa thực hiện"),1,0),IF(EXACT('Kiểm thử'!E21167,"Chưa thực hiện"),1,0))</s:f>
        <s:v/>
      </s:c>
      <s:c r="C21269" s="19" t="n"/>
      <s:c r="D21269" s="19" t="n"/>
      <s:c r="E21269" s="19" t="n"/>
    </s:row>
    <s:row r="21270" hidden="1" ht="6" customHeight="1">
      <s:c r="A21270" s="83" t="inlineStr"/>
      <s:c r="B21270" s="19" t="n"/>
      <s:c r="C21270" s="19" t="n"/>
      <s:c r="D21270" s="19" t="n"/>
      <s:c r="E21270" s="19" t="n"/>
    </s:row>
    <s:row r="21271" ht="28" customHeight="1">
      <s:c r="A21271" s="108" t="inlineStr">
        <s:is>
          <s:t>TC-RS-CALC-024 — Tỷ lệ nhóm R = 70% khớp điều kiện ≥ 65%</s:t>
        </s:is>
      </s:c>
      <s:c r="B21271" s="111" t="n"/>
      <s:c r="C21271" s="111" t="n"/>
      <s:c r="D21271" s="111" t="n"/>
      <s:c r="E21271" s="111" t="n"/>
    </s:row>
    <s:row r="21272" ht="20" customHeight="1">
      <s:c r="A21272" s="112" t="inlineStr">
        <s:is>
          <s:t>Kết quả tình huống</s:t>
        </s:is>
      </s:c>
      <s:c r="B21272" s="113">
        <s:f>IF(SUM(IF(EXACT('Kiểm thử'!E21279,"Không đạt"),1,0),IF(EXACT('Kiểm thử'!E21281,"Không đạt"),1,0))&gt;0,"Không đạt",IF(SUM(IF(EXACT('Kiểm thử'!E21279,"Đạt"),1,0),IF(EXACT('Kiểm thử'!E21281,"Đạt"),1,0))=2,"Đạt",IF(SUM(IF(EXACT('Kiểm thử'!E21279,"Không thực hiện"),1,0),IF(EXACT('Kiểm thử'!E21281,"Không thực hiện"),1,0))=2,"Không thực hiện",IF(SUM(IF(EXACT('Kiểm thử'!E21279,"Bị chặn"),1,0),IF(EXACT('Kiểm thử'!E21281,"Bị chặn"),1,0))&gt;0,"Bị chặn",IF(SUM(IF(EXACT('Kiểm thử'!E21279,"Chưa thực hiện"),1,0),IF(EXACT('Kiểm thử'!E21281,"Chưa thực hiện"),1,0))=2,"Chưa thực hiện","Đang thực hiện")))))</s:f>
        <s:v/>
      </s:c>
      <s:c r="C21272" s="114" t="n"/>
      <s:c r="D21272" s="114" t="n"/>
      <s:c r="E21272" s="114" t="n"/>
    </s:row>
    <s:row r="21273" ht="20" customHeight="1">
      <s:c r="A21273" s="112" t="inlineStr">
        <s:is>
          <s:t>Màn hình / chức năng</s:t>
        </s:is>
      </s:c>
      <s:c r="B21273" s="113" t="inlineStr">
        <s:is>
          <s:t>Xét theo ưu tiên</s:t>
        </s:is>
      </s:c>
      <s:c r="C21273" s="28" t="n"/>
      <s:c r="D21273" s="28" t="n"/>
      <s:c r="E21273" s="28" t="n"/>
    </s:row>
    <s:row r="21274" ht="20" customHeight="1">
      <s:c r="A21274" s="112" t="inlineStr">
        <s:is>
          <s:t>Cấu hình</s:t>
        </s:is>
      </s:c>
      <s:c r="B21274" s="113" t="inlineStr">
        <s:is>
          <s:t>• Quy tắc theo tỷ lệ điểm của nhóm từ 65% là quy tắc duy nhất.</s:t>
        </s:is>
      </s:c>
      <s:c r="C21274" s="28" t="n"/>
      <s:c r="D21274" s="28" t="n"/>
      <s:c r="E21274" s="28" t="n"/>
    </s:row>
    <s:row r="21275" ht="62" customHeight="1">
      <s:c r="A21275" s="112" t="inlineStr">
        <s:is>
          <s:t>Dữ liệu test</s:t>
        </s:is>
      </s:c>
      <s:c r="B21275" s="113" t="inlineStr">
        <s:is>
          <s:t>• Quy tắc theo tỷ lệ điểm của nhóm từ 65%;
• (A) nhóm có tỷ lệ điểm 70% (cùng M) (60/100, 80/100);
• (B) nguồn 50/100, 70/100;
• S = 60, 70, 80</s:t>
        </s:is>
      </s:c>
      <s:c r="C21275" s="28" t="n"/>
      <s:c r="D21275" s="28" t="n"/>
      <s:c r="E21275" s="28" t="n"/>
    </s:row>
    <s:row r="21276" ht="20" customHeight="1">
      <s:c r="A21276" s="112" t="inlineStr">
        <s:is>
          <s:t>•</s:t>
        </s:is>
      </s:c>
      <s:c r="B21276" s="113" t="inlineStr">
        <s:is>
          <s:t>Chạy nút xanh rồi nút cam cho từng nguồn.</s:t>
        </s:is>
      </s:c>
      <s:c r="C21276" s="28" t="n"/>
      <s:c r="D21276" s="28" t="n"/>
      <s:c r="E21276" s="28" t="n"/>
    </s:row>
    <s:row r="21277" ht="28" customHeight="1">
      <s:c r="A21277" s="115" t="inlineStr">
        <s:is>
          <s:t>Trường hợp</s:t>
        </s:is>
      </s:c>
      <s:c r="B21277" s="115" t="inlineStr">
        <s:is>
          <s:t>Dữ liệu / thao tác riêng</s:t>
        </s:is>
      </s:c>
      <s:c r="C21277" s="115" t="inlineStr">
        <s:is>
          <s:t>Kết quả mong đợi</s:t>
        </s:is>
      </s:c>
      <s:c r="D21277" s="115" t="inlineStr">
        <s:is>
          <s:t>Kết quả thực tế</s:t>
        </s:is>
      </s:c>
      <s:c r="E21277" s="115" t="inlineStr">
        <s:is>
          <s:t>Đánh giá</s:t>
        </s:is>
      </s:c>
    </s:row>
    <s:row r="21278" ht="3" customHeight="1">
      <s:c r="A21278" s="102" t="inlineStr"/>
      <s:c r="B21278" s="99" t="n"/>
      <s:c r="C21278" s="99" t="n"/>
      <s:c r="D21278" s="116" t="n"/>
      <s:c r="E21278" s="116" t="n"/>
    </s:row>
    <s:row r="21279" ht="62" customHeight="1">
      <s:c r="A21279" s="83" t="inlineStr">
        <s:is>
          <s:t>Tỷ lệ nhóm trên mốc (r70)</s:t>
        </s:is>
      </s:c>
      <s:c r="B21279" s="83" t="inlineStr">
        <s:is>
          <s:r>
            <s:t xml:space="preserve">Nguồn60/100 và80/100 → </s:t>
          </s:r>
          <s:r>
            <s:rPr>
              <s:b val="1"/>
            </s:rPr>
            <s:t>R=70%</s:t>
          </s:r>
          <s:r>
            <s:t>; rule điều kiện tỷ lệ nhóm từ65%; chạy xanh rồi cam cho điểm60/70/80.</s:t>
          </s:r>
        </s:is>
      </s:c>
      <s:c r="C21279" s="83" t="inlineStr">
        <s:is>
          <s:r>
            <s:t>(A) [</s:t>
          </s:r>
          <s:r>
            <s:rPr>
              <s:b val="1"/>
            </s:rPr>
            <s:t>R=140</s:t>
          </s:r>
          <s:r>
            <s:t>/200×100=70%] → khớp; [</s:t>
          </s:r>
          <s:r>
            <s:rPr>
              <s:b val="1"/>
            </s:rPr>
            <s:t>T=70</s:t>
          </s:r>
          <s:r>
            <s:t xml:space="preserve">]: 60 </s:t>
          </s:r>
          <s:r>
            <s:rPr>
              <s:b val="1"/>
            </s:rPr>
            <s:t>Đỏ</s:t>
          </s:r>
          <s:r>
            <s:t xml:space="preserve">; 70 </s:t>
          </s:r>
          <s:r>
            <s:rPr>
              <s:b val="1"/>
            </s:rPr>
            <s:t>Không đỏ</s:t>
          </s:r>
          <s:r>
            <s:t xml:space="preserve">; 80 </s:t>
          </s:r>
          <s:r>
            <s:rPr>
              <s:b val="1"/>
            </s:rPr>
            <s:t>Không đỏ</s:t>
          </s:r>
          <s:r>
            <s:t>.</s:t>
          </s:r>
        </s:is>
      </s:c>
      <s:c r="D21279" s="117" t="inlineStr"/>
      <s:c r="E21279" s="118" t="inlineStr">
        <s:is>
          <s:t>Chưa thực hiện</s:t>
        </s:is>
      </s:c>
    </s:row>
    <s:row r="21280" ht="3" customHeight="1">
      <s:c r="A21280" s="102" t="inlineStr"/>
      <s:c r="B21280" s="99" t="n"/>
      <s:c r="C21280" s="99" t="n"/>
      <s:c r="D21280" s="116" t="n"/>
      <s:c r="E21280" s="116" t="n"/>
    </s:row>
    <s:row r="21281" ht="48" customHeight="1">
      <s:c r="A21281" s="83" t="inlineStr">
        <s:is>
          <s:t>Tỷ lệ nhóm dưới mốc (r60)</s:t>
        </s:is>
      </s:c>
      <s:c r="B21281" s="83" t="inlineStr">
        <s:is>
          <s:r>
            <s:t xml:space="preserve">Nguồn50/100 và70/100 → </s:t>
          </s:r>
          <s:r>
            <s:rPr>
              <s:b val="1"/>
            </s:rPr>
            <s:t>R=60%</s:t>
          </s:r>
          <s:r>
            <s:t>; cùng rule, chạy xanh rồi cam cho điểm60/70/80.</s:t>
          </s:r>
        </s:is>
      </s:c>
      <s:c r="C21281" s="83" t="inlineStr">
        <s:is>
          <s:r>
            <s:t>(B) [</s:t>
          </s:r>
          <s:r>
            <s:rPr>
              <s:b val="1"/>
            </s:rPr>
            <s:t>R=120</s:t>
          </s:r>
          <s:r>
            <s:t xml:space="preserve">/200×100=60%] → không khớp → cả ba </s:t>
          </s:r>
          <s:r>
            <s:rPr>
              <s:b val="1"/>
            </s:rPr>
            <s:t>Không áp dụng</s:t>
          </s:r>
          <s:r>
            <s:t>.</s:t>
          </s:r>
        </s:is>
      </s:c>
      <s:c r="D21281" s="117" t="inlineStr"/>
      <s:c r="E21281" s="118" t="inlineStr">
        <s:is>
          <s:t>Chưa thực hiện</s:t>
        </s:is>
      </s:c>
    </s:row>
    <s:row r="21282" ht="20" customHeight="1">
      <s:c r="A21282" s="119" t="inlineStr">
        <s:is>
          <s:t>Ảnh minh chứng — Chưa có ảnh</s:t>
        </s:is>
      </s:c>
      <s:c r="B21282" s="19" t="n"/>
      <s:c r="C21282" s="19" t="n"/>
      <s:c r="D21282" s="19" t="n"/>
      <s:c r="E21282" s="19" t="n"/>
    </s:row>
    <s:row r="21283" hidden="1" ht="1" customHeight="1">
      <s:c r="A21283" s="120" t="inlineStr"/>
      <s:c r="B21283" s="121" t="n"/>
      <s:c r="C21283" s="121" t="n"/>
      <s:c r="D21283" s="121" t="n"/>
      <s:c r="E21283" s="122" t="n"/>
    </s:row>
    <s:row r="21284" hidden="1" ht="1" customHeight="1">
      <s:c r="A21284" s="120" t="inlineStr"/>
      <s:c r="B21284" s="121" t="n"/>
      <s:c r="C21284" s="121" t="n"/>
      <s:c r="D21284" s="121" t="n"/>
      <s:c r="E21284" s="122" t="n"/>
    </s:row>
    <s:row r="21285" hidden="1" ht="1" customHeight="1">
      <s:c r="A21285" s="120" t="inlineStr"/>
      <s:c r="B21285" s="121" t="n"/>
      <s:c r="C21285" s="121" t="n"/>
      <s:c r="D21285" s="121" t="n"/>
      <s:c r="E21285" s="122" t="n"/>
    </s:row>
    <s:row r="21286" hidden="1" ht="1" customHeight="1">
      <s:c r="A21286" s="120" t="inlineStr"/>
      <s:c r="B21286" s="121" t="n"/>
      <s:c r="C21286" s="121" t="n"/>
      <s:c r="D21286" s="121" t="n"/>
      <s:c r="E21286" s="122" t="n"/>
    </s:row>
    <s:row r="21287" hidden="1" ht="1" customHeight="1">
      <s:c r="A21287" s="120" t="inlineStr"/>
      <s:c r="B21287" s="121" t="n"/>
      <s:c r="C21287" s="121" t="n"/>
      <s:c r="D21287" s="121" t="n"/>
      <s:c r="E21287" s="122" t="n"/>
    </s:row>
    <s:row r="21288" hidden="1" ht="1" customHeight="1">
      <s:c r="A21288" s="120" t="inlineStr"/>
      <s:c r="B21288" s="121" t="n"/>
      <s:c r="C21288" s="121" t="n"/>
      <s:c r="D21288" s="121" t="n"/>
      <s:c r="E21288" s="122" t="n"/>
    </s:row>
    <s:row r="21289" hidden="1" ht="1" customHeight="1">
      <s:c r="A21289" s="120" t="inlineStr"/>
      <s:c r="B21289" s="121" t="n"/>
      <s:c r="C21289" s="121" t="n"/>
      <s:c r="D21289" s="121" t="n"/>
      <s:c r="E21289" s="122" t="n"/>
    </s:row>
    <s:row r="21290" hidden="1" ht="1" customHeight="1">
      <s:c r="A21290" s="120" t="inlineStr"/>
      <s:c r="B21290" s="121" t="n"/>
      <s:c r="C21290" s="121" t="n"/>
      <s:c r="D21290" s="121" t="n"/>
      <s:c r="E21290" s="122" t="n"/>
    </s:row>
    <s:row r="21291" hidden="1" ht="1" customHeight="1">
      <s:c r="A21291" s="120" t="inlineStr"/>
      <s:c r="B21291" s="121" t="n"/>
      <s:c r="C21291" s="121" t="n"/>
      <s:c r="D21291" s="121" t="n"/>
      <s:c r="E21291" s="122" t="n"/>
    </s:row>
    <s:row r="21292" hidden="1" ht="1" customHeight="1">
      <s:c r="A21292" s="120" t="inlineStr"/>
      <s:c r="B21292" s="121" t="n"/>
      <s:c r="C21292" s="121" t="n"/>
      <s:c r="D21292" s="121" t="n"/>
      <s:c r="E21292" s="122" t="n"/>
    </s:row>
    <s:row r="21293" hidden="1" ht="1" customHeight="1">
      <s:c r="A21293" s="120" t="inlineStr"/>
      <s:c r="B21293" s="121" t="n"/>
      <s:c r="C21293" s="121" t="n"/>
      <s:c r="D21293" s="121" t="n"/>
      <s:c r="E21293" s="122" t="n"/>
    </s:row>
    <s:row r="21294" hidden="1" ht="1" customHeight="1">
      <s:c r="A21294" s="120" t="inlineStr"/>
      <s:c r="B21294" s="121" t="n"/>
      <s:c r="C21294" s="121" t="n"/>
      <s:c r="D21294" s="121" t="n"/>
      <s:c r="E21294" s="122" t="n"/>
    </s:row>
    <s:row r="21295" hidden="1" ht="1" customHeight="1">
      <s:c r="A21295" s="120" t="inlineStr"/>
      <s:c r="B21295" s="121" t="n"/>
      <s:c r="C21295" s="121" t="n"/>
      <s:c r="D21295" s="121" t="n"/>
      <s:c r="E21295" s="122" t="n"/>
    </s:row>
    <s:row r="21296" hidden="1" ht="1" customHeight="1">
      <s:c r="A21296" s="120" t="inlineStr"/>
      <s:c r="B21296" s="121" t="n"/>
      <s:c r="C21296" s="121" t="n"/>
      <s:c r="D21296" s="121" t="n"/>
      <s:c r="E21296" s="122" t="n"/>
    </s:row>
    <s:row r="21297" hidden="1" ht="1" customHeight="1">
      <s:c r="A21297" s="120" t="inlineStr"/>
      <s:c r="B21297" s="121" t="n"/>
      <s:c r="C21297" s="121" t="n"/>
      <s:c r="D21297" s="121" t="n"/>
      <s:c r="E21297" s="122" t="n"/>
    </s:row>
    <s:row r="21298" hidden="1" ht="1" customHeight="1">
      <s:c r="A21298" s="120" t="inlineStr"/>
      <s:c r="B21298" s="121" t="n"/>
      <s:c r="C21298" s="121" t="n"/>
      <s:c r="D21298" s="121" t="n"/>
      <s:c r="E21298" s="122" t="n"/>
    </s:row>
    <s:row r="21299" hidden="1" ht="1" customHeight="1">
      <s:c r="A21299" s="120" t="inlineStr"/>
      <s:c r="B21299" s="121" t="n"/>
      <s:c r="C21299" s="121" t="n"/>
      <s:c r="D21299" s="121" t="n"/>
      <s:c r="E21299" s="122" t="n"/>
    </s:row>
    <s:row r="21300" hidden="1" ht="1" customHeight="1">
      <s:c r="A21300" s="120" t="inlineStr"/>
      <s:c r="B21300" s="121" t="n"/>
      <s:c r="C21300" s="121" t="n"/>
      <s:c r="D21300" s="121" t="n"/>
      <s:c r="E21300" s="122" t="n"/>
    </s:row>
    <s:row r="21301" hidden="1" ht="1" customHeight="1">
      <s:c r="A21301" s="120" t="inlineStr"/>
      <s:c r="B21301" s="121" t="n"/>
      <s:c r="C21301" s="121" t="n"/>
      <s:c r="D21301" s="121" t="n"/>
      <s:c r="E21301" s="122" t="n"/>
    </s:row>
    <s:row r="21302" hidden="1" ht="1" customHeight="1">
      <s:c r="A21302" s="120" t="inlineStr"/>
      <s:c r="B21302" s="121" t="n"/>
      <s:c r="C21302" s="121" t="n"/>
      <s:c r="D21302" s="121" t="n"/>
      <s:c r="E21302" s="122" t="n"/>
    </s:row>
    <s:row r="21303" hidden="1" ht="1" customHeight="1">
      <s:c r="A21303" s="120" t="inlineStr"/>
      <s:c r="B21303" s="121" t="n"/>
      <s:c r="C21303" s="121" t="n"/>
      <s:c r="D21303" s="121" t="n"/>
      <s:c r="E21303" s="122" t="n"/>
    </s:row>
    <s:row r="21304" hidden="1" ht="1" customHeight="1">
      <s:c r="A21304" s="120" t="inlineStr"/>
      <s:c r="B21304" s="121" t="n"/>
      <s:c r="C21304" s="121" t="n"/>
      <s:c r="D21304" s="121" t="n"/>
      <s:c r="E21304" s="122" t="n"/>
    </s:row>
    <s:row r="21305" hidden="1" ht="1" customHeight="1">
      <s:c r="A21305" s="120" t="inlineStr"/>
      <s:c r="B21305" s="121" t="n"/>
      <s:c r="C21305" s="121" t="n"/>
      <s:c r="D21305" s="121" t="n"/>
      <s:c r="E21305" s="122" t="n"/>
    </s:row>
    <s:row r="21306" hidden="1" ht="1" customHeight="1">
      <s:c r="A21306" s="120" t="inlineStr"/>
      <s:c r="B21306" s="121" t="n"/>
      <s:c r="C21306" s="121" t="n"/>
      <s:c r="D21306" s="121" t="n"/>
      <s:c r="E21306" s="122" t="n"/>
    </s:row>
    <s:row r="21307" hidden="1" ht="1" customHeight="1">
      <s:c r="A21307" s="120" t="inlineStr"/>
      <s:c r="B21307" s="121" t="n"/>
      <s:c r="C21307" s="121" t="n"/>
      <s:c r="D21307" s="121" t="n"/>
      <s:c r="E21307" s="122" t="n"/>
    </s:row>
    <s:row r="21308" hidden="1" ht="1" customHeight="1">
      <s:c r="A21308" s="120" t="inlineStr"/>
      <s:c r="B21308" s="121" t="n"/>
      <s:c r="C21308" s="121" t="n"/>
      <s:c r="D21308" s="121" t="n"/>
      <s:c r="E21308" s="122" t="n"/>
    </s:row>
    <s:row r="21309" hidden="1" ht="1" customHeight="1">
      <s:c r="A21309" s="120" t="inlineStr"/>
      <s:c r="B21309" s="121" t="n"/>
      <s:c r="C21309" s="121" t="n"/>
      <s:c r="D21309" s="121" t="n"/>
      <s:c r="E21309" s="122" t="n"/>
    </s:row>
    <s:row r="21310" hidden="1" ht="1" customHeight="1">
      <s:c r="A21310" s="120" t="inlineStr"/>
      <s:c r="B21310" s="121" t="n"/>
      <s:c r="C21310" s="121" t="n"/>
      <s:c r="D21310" s="121" t="n"/>
      <s:c r="E21310" s="122" t="n"/>
    </s:row>
    <s:row r="21311" hidden="1" ht="1" customHeight="1">
      <s:c r="A21311" s="120" t="inlineStr"/>
      <s:c r="B21311" s="121" t="n"/>
      <s:c r="C21311" s="121" t="n"/>
      <s:c r="D21311" s="121" t="n"/>
      <s:c r="E21311" s="122" t="n"/>
    </s:row>
    <s:row r="21312" hidden="1" ht="1" customHeight="1">
      <s:c r="A21312" s="120" t="inlineStr"/>
      <s:c r="B21312" s="121" t="n"/>
      <s:c r="C21312" s="121" t="n"/>
      <s:c r="D21312" s="121" t="n"/>
      <s:c r="E21312" s="122" t="n"/>
    </s:row>
    <s:row r="21313" hidden="1" ht="1" customHeight="1">
      <s:c r="A21313" s="120" t="inlineStr"/>
      <s:c r="B21313" s="121" t="n"/>
      <s:c r="C21313" s="121" t="n"/>
      <s:c r="D21313" s="121" t="n"/>
      <s:c r="E21313" s="122" t="n"/>
    </s:row>
    <s:row r="21314" hidden="1" ht="1" customHeight="1">
      <s:c r="A21314" s="120" t="inlineStr"/>
      <s:c r="B21314" s="121" t="n"/>
      <s:c r="C21314" s="121" t="n"/>
      <s:c r="D21314" s="121" t="n"/>
      <s:c r="E21314" s="122" t="n"/>
    </s:row>
    <s:row r="21315" hidden="1" ht="1" customHeight="1">
      <s:c r="A21315" s="120" t="inlineStr"/>
      <s:c r="B21315" s="121" t="n"/>
      <s:c r="C21315" s="121" t="n"/>
      <s:c r="D21315" s="121" t="n"/>
      <s:c r="E21315" s="122" t="n"/>
    </s:row>
    <s:row r="21316" hidden="1" ht="1" customHeight="1">
      <s:c r="A21316" s="120" t="inlineStr"/>
      <s:c r="B21316" s="121" t="n"/>
      <s:c r="C21316" s="121" t="n"/>
      <s:c r="D21316" s="121" t="n"/>
      <s:c r="E21316" s="122" t="n"/>
    </s:row>
    <s:row r="21317" hidden="1" ht="1" customHeight="1">
      <s:c r="A21317" s="120" t="inlineStr"/>
      <s:c r="B21317" s="121" t="n"/>
      <s:c r="C21317" s="121" t="n"/>
      <s:c r="D21317" s="121" t="n"/>
      <s:c r="E21317" s="122" t="n"/>
    </s:row>
    <s:row r="21318" hidden="1" ht="1" customHeight="1">
      <s:c r="A21318" s="120" t="inlineStr"/>
      <s:c r="B21318" s="121" t="n"/>
      <s:c r="C21318" s="121" t="n"/>
      <s:c r="D21318" s="121" t="n"/>
      <s:c r="E21318" s="122" t="n"/>
    </s:row>
    <s:row r="21319" hidden="1" ht="1" customHeight="1">
      <s:c r="A21319" s="120" t="inlineStr"/>
      <s:c r="B21319" s="121" t="n"/>
      <s:c r="C21319" s="121" t="n"/>
      <s:c r="D21319" s="121" t="n"/>
      <s:c r="E21319" s="122" t="n"/>
    </s:row>
    <s:row r="21320" hidden="1" ht="1" customHeight="1">
      <s:c r="A21320" s="120" t="inlineStr"/>
      <s:c r="B21320" s="121" t="n"/>
      <s:c r="C21320" s="121" t="n"/>
      <s:c r="D21320" s="121" t="n"/>
      <s:c r="E21320" s="122" t="n"/>
    </s:row>
    <s:row r="21321" hidden="1" ht="1" customHeight="1">
      <s:c r="A21321" s="120" t="inlineStr"/>
      <s:c r="B21321" s="121" t="n"/>
      <s:c r="C21321" s="121" t="n"/>
      <s:c r="D21321" s="121" t="n"/>
      <s:c r="E21321" s="122" t="n"/>
    </s:row>
    <s:row r="21322" hidden="1" ht="1" customHeight="1">
      <s:c r="A21322" s="120" t="inlineStr"/>
      <s:c r="B21322" s="121" t="n"/>
      <s:c r="C21322" s="121" t="n"/>
      <s:c r="D21322" s="121" t="n"/>
      <s:c r="E21322" s="122" t="n"/>
    </s:row>
    <s:row r="21323" hidden="1" ht="1" customHeight="1">
      <s:c r="A21323" s="120" t="inlineStr"/>
      <s:c r="B21323" s="121" t="n"/>
      <s:c r="C21323" s="121" t="n"/>
      <s:c r="D21323" s="121" t="n"/>
      <s:c r="E21323" s="122" t="n"/>
    </s:row>
    <s:row r="21324" hidden="1" ht="1" customHeight="1">
      <s:c r="A21324" s="120" t="inlineStr"/>
      <s:c r="B21324" s="121" t="n"/>
      <s:c r="C21324" s="121" t="n"/>
      <s:c r="D21324" s="121" t="n"/>
      <s:c r="E21324" s="122" t="n"/>
    </s:row>
    <s:row r="21325" hidden="1" ht="1" customHeight="1">
      <s:c r="A21325" s="120" t="inlineStr"/>
      <s:c r="B21325" s="121" t="n"/>
      <s:c r="C21325" s="121" t="n"/>
      <s:c r="D21325" s="121" t="n"/>
      <s:c r="E21325" s="122" t="n"/>
    </s:row>
    <s:row r="21326" hidden="1" ht="1" customHeight="1">
      <s:c r="A21326" s="120" t="inlineStr"/>
      <s:c r="B21326" s="121" t="n"/>
      <s:c r="C21326" s="121" t="n"/>
      <s:c r="D21326" s="121" t="n"/>
      <s:c r="E21326" s="122" t="n"/>
    </s:row>
    <s:row r="21327" hidden="1" ht="1" customHeight="1">
      <s:c r="A21327" s="120" t="inlineStr"/>
      <s:c r="B21327" s="121" t="n"/>
      <s:c r="C21327" s="121" t="n"/>
      <s:c r="D21327" s="121" t="n"/>
      <s:c r="E21327" s="122" t="n"/>
    </s:row>
    <s:row r="21328" hidden="1" ht="1" customHeight="1">
      <s:c r="A21328" s="120" t="inlineStr"/>
      <s:c r="B21328" s="121" t="n"/>
      <s:c r="C21328" s="121" t="n"/>
      <s:c r="D21328" s="121" t="n"/>
      <s:c r="E21328" s="122" t="n"/>
    </s:row>
    <s:row r="21329" hidden="1" ht="1" customHeight="1">
      <s:c r="A21329" s="120" t="inlineStr"/>
      <s:c r="B21329" s="121" t="n"/>
      <s:c r="C21329" s="121" t="n"/>
      <s:c r="D21329" s="121" t="n"/>
      <s:c r="E21329" s="122" t="n"/>
    </s:row>
    <s:row r="21330" hidden="1" ht="1" customHeight="1">
      <s:c r="A21330" s="120" t="inlineStr"/>
      <s:c r="B21330" s="121" t="n"/>
      <s:c r="C21330" s="121" t="n"/>
      <s:c r="D21330" s="121" t="n"/>
      <s:c r="E21330" s="122" t="n"/>
    </s:row>
    <s:row r="21331" hidden="1" ht="1" customHeight="1">
      <s:c r="A21331" s="120" t="inlineStr"/>
      <s:c r="B21331" s="121" t="n"/>
      <s:c r="C21331" s="121" t="n"/>
      <s:c r="D21331" s="121" t="n"/>
      <s:c r="E21331" s="122" t="n"/>
    </s:row>
    <s:row r="21332" hidden="1" ht="1" customHeight="1">
      <s:c r="A21332" s="120" t="inlineStr"/>
      <s:c r="B21332" s="121" t="n"/>
      <s:c r="C21332" s="121" t="n"/>
      <s:c r="D21332" s="121" t="n"/>
      <s:c r="E21332" s="122" t="n"/>
    </s:row>
    <s:row r="21333" hidden="1" ht="1" customHeight="1">
      <s:c r="A21333" s="120" t="inlineStr"/>
      <s:c r="B21333" s="121" t="n"/>
      <s:c r="C21333" s="121" t="n"/>
      <s:c r="D21333" s="121" t="n"/>
      <s:c r="E21333" s="122" t="n"/>
    </s:row>
    <s:row r="21334" hidden="1" ht="1" customHeight="1">
      <s:c r="A21334" s="120" t="inlineStr"/>
      <s:c r="B21334" s="121" t="n"/>
      <s:c r="C21334" s="121" t="n"/>
      <s:c r="D21334" s="121" t="n"/>
      <s:c r="E21334" s="122" t="n"/>
    </s:row>
    <s:row r="21335" hidden="1" ht="1" customHeight="1">
      <s:c r="A21335" s="120" t="inlineStr"/>
      <s:c r="B21335" s="121" t="n"/>
      <s:c r="C21335" s="121" t="n"/>
      <s:c r="D21335" s="121" t="n"/>
      <s:c r="E21335" s="122" t="n"/>
    </s:row>
    <s:row r="21336" hidden="1" ht="1" customHeight="1">
      <s:c r="A21336" s="120" t="inlineStr"/>
      <s:c r="B21336" s="121" t="n"/>
      <s:c r="C21336" s="121" t="n"/>
      <s:c r="D21336" s="121" t="n"/>
      <s:c r="E21336" s="122" t="n"/>
    </s:row>
    <s:row r="21337" hidden="1" ht="1" customHeight="1">
      <s:c r="A21337" s="120" t="inlineStr"/>
      <s:c r="B21337" s="121" t="n"/>
      <s:c r="C21337" s="121" t="n"/>
      <s:c r="D21337" s="121" t="n"/>
      <s:c r="E21337" s="122" t="n"/>
    </s:row>
    <s:row r="21338" hidden="1" ht="1" customHeight="1">
      <s:c r="A21338" s="120" t="inlineStr"/>
      <s:c r="B21338" s="121" t="n"/>
      <s:c r="C21338" s="121" t="n"/>
      <s:c r="D21338" s="121" t="n"/>
      <s:c r="E21338" s="122" t="n"/>
    </s:row>
    <s:row r="21339" hidden="1" ht="1" customHeight="1">
      <s:c r="A21339" s="120" t="inlineStr"/>
      <s:c r="B21339" s="121" t="n"/>
      <s:c r="C21339" s="121" t="n"/>
      <s:c r="D21339" s="121" t="n"/>
      <s:c r="E21339" s="122" t="n"/>
    </s:row>
    <s:row r="21340" hidden="1" ht="1" customHeight="1">
      <s:c r="A21340" s="120" t="inlineStr"/>
      <s:c r="B21340" s="121" t="n"/>
      <s:c r="C21340" s="121" t="n"/>
      <s:c r="D21340" s="121" t="n"/>
      <s:c r="E21340" s="122" t="n"/>
    </s:row>
    <s:row r="21341" hidden="1" ht="1" customHeight="1">
      <s:c r="A21341" s="120" t="inlineStr"/>
      <s:c r="B21341" s="121" t="n"/>
      <s:c r="C21341" s="121" t="n"/>
      <s:c r="D21341" s="121" t="n"/>
      <s:c r="E21341" s="122" t="n"/>
    </s:row>
    <s:row r="21342" hidden="1" ht="1" customHeight="1">
      <s:c r="A21342" s="120" t="inlineStr"/>
      <s:c r="B21342" s="121" t="n"/>
      <s:c r="C21342" s="121" t="n"/>
      <s:c r="D21342" s="121" t="n"/>
      <s:c r="E21342" s="122" t="n"/>
    </s:row>
    <s:row r="21343" hidden="1" ht="1" customHeight="1">
      <s:c r="A21343" s="120" t="inlineStr"/>
      <s:c r="B21343" s="121" t="n"/>
      <s:c r="C21343" s="121" t="n"/>
      <s:c r="D21343" s="121" t="n"/>
      <s:c r="E21343" s="122" t="n"/>
    </s:row>
    <s:row r="21344" hidden="1" ht="1" customHeight="1">
      <s:c r="A21344" s="120" t="inlineStr"/>
      <s:c r="B21344" s="121" t="n"/>
      <s:c r="C21344" s="121" t="n"/>
      <s:c r="D21344" s="121" t="n"/>
      <s:c r="E21344" s="122" t="n"/>
    </s:row>
    <s:row r="21345" hidden="1" ht="1" customHeight="1">
      <s:c r="A21345" s="120" t="inlineStr"/>
      <s:c r="B21345" s="121" t="n"/>
      <s:c r="C21345" s="121" t="n"/>
      <s:c r="D21345" s="121" t="n"/>
      <s:c r="E21345" s="122" t="n"/>
    </s:row>
    <s:row r="21346" hidden="1" ht="1" customHeight="1">
      <s:c r="A21346" s="120" t="inlineStr"/>
      <s:c r="B21346" s="121" t="n"/>
      <s:c r="C21346" s="121" t="n"/>
      <s:c r="D21346" s="121" t="n"/>
      <s:c r="E21346" s="122" t="n"/>
    </s:row>
    <s:row r="21347" hidden="1" ht="1" customHeight="1">
      <s:c r="A21347" s="120" t="inlineStr"/>
      <s:c r="B21347" s="121" t="n"/>
      <s:c r="C21347" s="121" t="n"/>
      <s:c r="D21347" s="121" t="n"/>
      <s:c r="E21347" s="122" t="n"/>
    </s:row>
    <s:row r="21348" hidden="1" ht="1" customHeight="1">
      <s:c r="A21348" s="120" t="inlineStr"/>
      <s:c r="B21348" s="121" t="n"/>
      <s:c r="C21348" s="121" t="n"/>
      <s:c r="D21348" s="121" t="n"/>
      <s:c r="E21348" s="122" t="n"/>
    </s:row>
    <s:row r="21349" hidden="1" ht="1" customHeight="1">
      <s:c r="A21349" s="120" t="inlineStr"/>
      <s:c r="B21349" s="121" t="n"/>
      <s:c r="C21349" s="121" t="n"/>
      <s:c r="D21349" s="121" t="n"/>
      <s:c r="E21349" s="122" t="n"/>
    </s:row>
    <s:row r="21350" hidden="1" ht="1" customHeight="1">
      <s:c r="A21350" s="120" t="inlineStr"/>
      <s:c r="B21350" s="121" t="n"/>
      <s:c r="C21350" s="121" t="n"/>
      <s:c r="D21350" s="121" t="n"/>
      <s:c r="E21350" s="122" t="n"/>
    </s:row>
    <s:row r="21351" hidden="1" ht="1" customHeight="1">
      <s:c r="A21351" s="120" t="inlineStr"/>
      <s:c r="B21351" s="121" t="n"/>
      <s:c r="C21351" s="121" t="n"/>
      <s:c r="D21351" s="121" t="n"/>
      <s:c r="E21351" s="122" t="n"/>
    </s:row>
    <s:row r="21352" hidden="1" ht="1" customHeight="1">
      <s:c r="A21352" s="120" t="inlineStr"/>
      <s:c r="B21352" s="121" t="n"/>
      <s:c r="C21352" s="121" t="n"/>
      <s:c r="D21352" s="121" t="n"/>
      <s:c r="E21352" s="122" t="n"/>
    </s:row>
    <s:row r="21353" hidden="1" ht="1" customHeight="1">
      <s:c r="A21353" s="120" t="inlineStr"/>
      <s:c r="B21353" s="121" t="n"/>
      <s:c r="C21353" s="121" t="n"/>
      <s:c r="D21353" s="121" t="n"/>
      <s:c r="E21353" s="122" t="n"/>
    </s:row>
    <s:row r="21354" hidden="1" ht="1" customHeight="1">
      <s:c r="A21354" s="120" t="inlineStr"/>
      <s:c r="B21354" s="121" t="n"/>
      <s:c r="C21354" s="121" t="n"/>
      <s:c r="D21354" s="121" t="n"/>
      <s:c r="E21354" s="122" t="n"/>
    </s:row>
    <s:row r="21355" hidden="1" ht="1" customHeight="1">
      <s:c r="A21355" s="120" t="inlineStr"/>
      <s:c r="B21355" s="121" t="n"/>
      <s:c r="C21355" s="121" t="n"/>
      <s:c r="D21355" s="121" t="n"/>
      <s:c r="E21355" s="122" t="n"/>
    </s:row>
    <s:row r="21356" hidden="1" ht="1" customHeight="1">
      <s:c r="A21356" s="120" t="inlineStr"/>
      <s:c r="B21356" s="121" t="n"/>
      <s:c r="C21356" s="121" t="n"/>
      <s:c r="D21356" s="121" t="n"/>
      <s:c r="E21356" s="122" t="n"/>
    </s:row>
    <s:row r="21357" hidden="1" ht="1" customHeight="1">
      <s:c r="A21357" s="120" t="inlineStr"/>
      <s:c r="B21357" s="121" t="n"/>
      <s:c r="C21357" s="121" t="n"/>
      <s:c r="D21357" s="121" t="n"/>
      <s:c r="E21357" s="122" t="n"/>
    </s:row>
    <s:row r="21358" hidden="1" ht="1" customHeight="1">
      <s:c r="A21358" s="120" t="inlineStr"/>
      <s:c r="B21358" s="121" t="n"/>
      <s:c r="C21358" s="121" t="n"/>
      <s:c r="D21358" s="121" t="n"/>
      <s:c r="E21358" s="122" t="n"/>
    </s:row>
    <s:row r="21359" hidden="1" ht="1" customHeight="1">
      <s:c r="A21359" s="120" t="inlineStr"/>
      <s:c r="B21359" s="121" t="n"/>
      <s:c r="C21359" s="121" t="n"/>
      <s:c r="D21359" s="121" t="n"/>
      <s:c r="E21359" s="122" t="n"/>
    </s:row>
    <s:row r="21360" hidden="1" ht="1" customHeight="1">
      <s:c r="A21360" s="120" t="inlineStr"/>
      <s:c r="B21360" s="121" t="n"/>
      <s:c r="C21360" s="121" t="n"/>
      <s:c r="D21360" s="121" t="n"/>
      <s:c r="E21360" s="122" t="n"/>
    </s:row>
    <s:row r="21361" hidden="1" ht="1" customHeight="1">
      <s:c r="A21361" s="120" t="inlineStr"/>
      <s:c r="B21361" s="121" t="n"/>
      <s:c r="C21361" s="121" t="n"/>
      <s:c r="D21361" s="121" t="n"/>
      <s:c r="E21361" s="122" t="n"/>
    </s:row>
    <s:row r="21362" hidden="1" ht="1" customHeight="1">
      <s:c r="A21362" s="120" t="inlineStr"/>
      <s:c r="B21362" s="121" t="n"/>
      <s:c r="C21362" s="121" t="n"/>
      <s:c r="D21362" s="121" t="n"/>
      <s:c r="E21362" s="122" t="n"/>
    </s:row>
    <s:row r="21363" hidden="1" ht="1" customHeight="1">
      <s:c r="A21363" s="120" t="inlineStr"/>
      <s:c r="B21363" s="121" t="n"/>
      <s:c r="C21363" s="121" t="n"/>
      <s:c r="D21363" s="121" t="n"/>
      <s:c r="E21363" s="122" t="n"/>
    </s:row>
    <s:row r="21364" hidden="1" ht="1" customHeight="1">
      <s:c r="A21364" s="120" t="inlineStr"/>
      <s:c r="B21364" s="121" t="n"/>
      <s:c r="C21364" s="121" t="n"/>
      <s:c r="D21364" s="121" t="n"/>
      <s:c r="E21364" s="122" t="n"/>
    </s:row>
    <s:row r="21365" hidden="1" ht="1" customHeight="1">
      <s:c r="A21365" s="120" t="inlineStr"/>
      <s:c r="B21365" s="121" t="n"/>
      <s:c r="C21365" s="121" t="n"/>
      <s:c r="D21365" s="121" t="n"/>
      <s:c r="E21365" s="122" t="n"/>
    </s:row>
    <s:row r="21366" hidden="1" ht="1" customHeight="1">
      <s:c r="A21366" s="120" t="inlineStr"/>
      <s:c r="B21366" s="121" t="n"/>
      <s:c r="C21366" s="121" t="n"/>
      <s:c r="D21366" s="121" t="n"/>
      <s:c r="E21366" s="122" t="n"/>
    </s:row>
    <s:row r="21367" hidden="1" ht="1" customHeight="1">
      <s:c r="A21367" s="120" t="inlineStr"/>
      <s:c r="B21367" s="121" t="n"/>
      <s:c r="C21367" s="121" t="n"/>
      <s:c r="D21367" s="121" t="n"/>
      <s:c r="E21367" s="122" t="n"/>
    </s:row>
    <s:row r="21368" hidden="1" ht="1" customHeight="1">
      <s:c r="A21368" s="120" t="inlineStr"/>
      <s:c r="B21368" s="121" t="n"/>
      <s:c r="C21368" s="121" t="n"/>
      <s:c r="D21368" s="121" t="n"/>
      <s:c r="E21368" s="122" t="n"/>
    </s:row>
    <s:row r="21369" hidden="1" ht="1" customHeight="1">
      <s:c r="A21369" s="120" t="inlineStr"/>
      <s:c r="B21369" s="121" t="n"/>
      <s:c r="C21369" s="121" t="n"/>
      <s:c r="D21369" s="121" t="n"/>
      <s:c r="E21369" s="122" t="n"/>
    </s:row>
    <s:row r="21370" hidden="1" ht="1" customHeight="1">
      <s:c r="A21370" s="120" t="inlineStr"/>
      <s:c r="B21370" s="121" t="n"/>
      <s:c r="C21370" s="121" t="n"/>
      <s:c r="D21370" s="121" t="n"/>
      <s:c r="E21370" s="122" t="n"/>
    </s:row>
    <s:row r="21371" hidden="1" ht="1" customHeight="1">
      <s:c r="A21371" s="120" t="inlineStr"/>
      <s:c r="B21371" s="121" t="n"/>
      <s:c r="C21371" s="121" t="n"/>
      <s:c r="D21371" s="121" t="n"/>
      <s:c r="E21371" s="122" t="n"/>
    </s:row>
    <s:row r="21372" hidden="1" ht="1" customHeight="1">
      <s:c r="A21372" s="120" t="inlineStr"/>
      <s:c r="B21372" s="121" t="n"/>
      <s:c r="C21372" s="121" t="n"/>
      <s:c r="D21372" s="121" t="n"/>
      <s:c r="E21372" s="122" t="n"/>
    </s:row>
    <s:row r="21373" hidden="1" ht="1" customHeight="1">
      <s:c r="A21373" s="120" t="inlineStr"/>
      <s:c r="B21373" s="121" t="n"/>
      <s:c r="C21373" s="121" t="n"/>
      <s:c r="D21373" s="121" t="n"/>
      <s:c r="E21373" s="122" t="n"/>
    </s:row>
    <s:row r="21374" hidden="1" ht="1" customHeight="1">
      <s:c r="A21374" s="120" t="inlineStr"/>
      <s:c r="B21374" s="121" t="n"/>
      <s:c r="C21374" s="121" t="n"/>
      <s:c r="D21374" s="121" t="n"/>
      <s:c r="E21374" s="122" t="n"/>
    </s:row>
    <s:row r="21375" hidden="1" ht="1" customHeight="1">
      <s:c r="A21375" s="120" t="inlineStr"/>
      <s:c r="B21375" s="121" t="n"/>
      <s:c r="C21375" s="121" t="n"/>
      <s:c r="D21375" s="121" t="n"/>
      <s:c r="E21375" s="122" t="n"/>
    </s:row>
    <s:row r="21376" hidden="1" ht="1" customHeight="1">
      <s:c r="A21376" s="120" t="inlineStr"/>
      <s:c r="B21376" s="121" t="n"/>
      <s:c r="C21376" s="121" t="n"/>
      <s:c r="D21376" s="121" t="n"/>
      <s:c r="E21376" s="122" t="n"/>
    </s:row>
    <s:row r="21377" hidden="1" ht="1" customHeight="1">
      <s:c r="A21377" s="120" t="inlineStr"/>
      <s:c r="B21377" s="121" t="n"/>
      <s:c r="C21377" s="121" t="n"/>
      <s:c r="D21377" s="121" t="n"/>
      <s:c r="E21377" s="122" t="n"/>
    </s:row>
    <s:row r="21378" hidden="1" ht="1" customHeight="1">
      <s:c r="A21378" s="120" t="inlineStr"/>
      <s:c r="B21378" s="121" t="n"/>
      <s:c r="C21378" s="121" t="n"/>
      <s:c r="D21378" s="121" t="n"/>
      <s:c r="E21378" s="122" t="n"/>
    </s:row>
    <s:row r="21379" hidden="1" ht="1" customHeight="1">
      <s:c r="A21379" s="83" t="inlineStr">
        <s:is>
          <s:t>PASS</s:t>
        </s:is>
      </s:c>
      <s:c r="B21379" s="83">
        <s:f>SUM(IF(EXACT('Kiểm thử'!E21279,"Đạt"),1,0),IF(EXACT('Kiểm thử'!E21281,"Đạt"),1,0))</s:f>
        <s:v/>
      </s:c>
      <s:c r="C21379" s="19" t="n"/>
      <s:c r="D21379" s="19" t="n"/>
      <s:c r="E21379" s="19" t="n"/>
    </s:row>
    <s:row r="21380" hidden="1" ht="1" customHeight="1">
      <s:c r="A21380" s="83" t="inlineStr">
        <s:is>
          <s:t>FAIL</s:t>
        </s:is>
      </s:c>
      <s:c r="B21380" s="83">
        <s:f>SUM(IF(EXACT('Kiểm thử'!E21279,"Không đạt"),1,0),IF(EXACT('Kiểm thử'!E21281,"Không đạt"),1,0))</s:f>
        <s:v/>
      </s:c>
      <s:c r="C21380" s="19" t="n"/>
      <s:c r="D21380" s="19" t="n"/>
      <s:c r="E21380" s="19" t="n"/>
    </s:row>
    <s:row r="21381" hidden="1" ht="1" customHeight="1">
      <s:c r="A21381" s="83" t="inlineStr">
        <s:is>
          <s:t>BLOCKED</s:t>
        </s:is>
      </s:c>
      <s:c r="B21381" s="83">
        <s:f>SUM(IF(EXACT('Kiểm thử'!E21279,"Bị chặn"),1,0),IF(EXACT('Kiểm thử'!E21281,"Bị chặn"),1,0))</s:f>
        <s:v/>
      </s:c>
      <s:c r="C21381" s="19" t="n"/>
      <s:c r="D21381" s="19" t="n"/>
      <s:c r="E21381" s="19" t="n"/>
    </s:row>
    <s:row r="21382" hidden="1" ht="1" customHeight="1">
      <s:c r="A21382" s="83" t="inlineStr">
        <s:is>
          <s:t>SKIPPED</s:t>
        </s:is>
      </s:c>
      <s:c r="B21382" s="83">
        <s:f>SUM(IF(EXACT('Kiểm thử'!E21279,"Không thực hiện"),1,0),IF(EXACT('Kiểm thử'!E21281,"Không thực hiện"),1,0))</s:f>
        <s:v/>
      </s:c>
      <s:c r="C21382" s="19" t="n"/>
      <s:c r="D21382" s="19" t="n"/>
      <s:c r="E21382" s="19" t="n"/>
    </s:row>
    <s:row r="21383" hidden="1" ht="1" customHeight="1">
      <s:c r="A21383" s="83" t="inlineStr">
        <s:is>
          <s:t>NOT RUN</s:t>
        </s:is>
      </s:c>
      <s:c r="B21383" s="83">
        <s:f>SUM(IF(EXACT('Kiểm thử'!E21279,"Chưa thực hiện"),1,0),IF(EXACT('Kiểm thử'!E21281,"Chưa thực hiện"),1,0))</s:f>
        <s:v/>
      </s:c>
      <s:c r="C21383" s="19" t="n"/>
      <s:c r="D21383" s="19" t="n"/>
      <s:c r="E21383" s="19" t="n"/>
    </s:row>
    <s:row r="21384" hidden="1" ht="6" customHeight="1">
      <s:c r="A21384" s="83" t="inlineStr"/>
      <s:c r="B21384" s="19" t="n"/>
      <s:c r="C21384" s="19" t="n"/>
      <s:c r="D21384" s="19" t="n"/>
      <s:c r="E21384" s="19" t="n"/>
    </s:row>
    <s:row r="21385" ht="28" customHeight="1">
      <s:c r="A21385" s="108" t="inlineStr">
        <s:is>
          <s:t>TC-RS-CALC-025 — Tỷ lệ nhóm 64.99% (hiển thị 65.0) không khớp ≥ 65%</s:t>
        </s:is>
      </s:c>
      <s:c r="B21385" s="111" t="n"/>
      <s:c r="C21385" s="111" t="n"/>
      <s:c r="D21385" s="111" t="n"/>
      <s:c r="E21385" s="111" t="n"/>
    </s:row>
    <s:row r="21386" ht="20" customHeight="1">
      <s:c r="A21386" s="112" t="inlineStr">
        <s:is>
          <s:t>Kết quả tình huống</s:t>
        </s:is>
      </s:c>
      <s:c r="B21386" s="113">
        <s:f>IF(SUM(IF(EXACT('Kiểm thử'!E21393,"Không đạt"),1,0),IF(EXACT('Kiểm thử'!E21395,"Không đạt"),1,0))&gt;0,"Không đạt",IF(SUM(IF(EXACT('Kiểm thử'!E21393,"Đạt"),1,0),IF(EXACT('Kiểm thử'!E21395,"Đạt"),1,0))=2,"Đạt",IF(SUM(IF(EXACT('Kiểm thử'!E21393,"Không thực hiện"),1,0),IF(EXACT('Kiểm thử'!E21395,"Không thực hiện"),1,0))=2,"Không thực hiện",IF(SUM(IF(EXACT('Kiểm thử'!E21393,"Bị chặn"),1,0),IF(EXACT('Kiểm thử'!E21395,"Bị chặn"),1,0))&gt;0,"Bị chặn",IF(SUM(IF(EXACT('Kiểm thử'!E21393,"Chưa thực hiện"),1,0),IF(EXACT('Kiểm thử'!E21395,"Chưa thực hiện"),1,0))=2,"Chưa thực hiện","Đang thực hiện")))))</s:f>
        <s:v/>
      </s:c>
      <s:c r="C21386" s="114" t="n"/>
      <s:c r="D21386" s="114" t="n"/>
      <s:c r="E21386" s="114" t="n"/>
    </s:row>
    <s:row r="21387" ht="20" customHeight="1">
      <s:c r="A21387" s="112" t="inlineStr">
        <s:is>
          <s:t>Màn hình / chức năng</s:t>
        </s:is>
      </s:c>
      <s:c r="B21387" s="113" t="inlineStr">
        <s:is>
          <s:t>Xét theo ưu tiên</s:t>
        </s:is>
      </s:c>
      <s:c r="C21387" s="28" t="n"/>
      <s:c r="D21387" s="28" t="n"/>
      <s:c r="E21387" s="28" t="n"/>
    </s:row>
    <s:row r="21388" ht="34" customHeight="1">
      <s:c r="A21388" s="112" t="inlineStr">
        <s:is>
          <s:t>Cấu hình</s:t>
        </s:is>
      </s:c>
      <s:c r="B21388" s="113" t="inlineStr">
        <s:is>
          <s:t>• Quy tắc theo tỷ lệ điểm của nhóm từ 65%;
• Mục thập phân.</s:t>
        </s:is>
      </s:c>
      <s:c r="C21388" s="28" t="n"/>
      <s:c r="D21388" s="28" t="n"/>
      <s:c r="E21388" s="28" t="n"/>
    </s:row>
    <s:row r="21389" ht="62" customHeight="1">
      <s:c r="A21389" s="112" t="inlineStr">
        <s:is>
          <s:t>Dữ liệu test</s:t>
        </s:is>
      </s:c>
      <s:c r="B21389" s="113" t="inlineStr">
        <s:is>
          <s:r>
            <s:t>• Quy tắc theo tỷ lệ điểm của nhóm từ 65%;
• (A) Nguồn 64.98/100 và 65.00/100 → [</s:t>
          </s:r>
          <s:r>
            <s:rPr>
              <s:b val="1"/>
            </s:rPr>
            <s:t>R=64.99%</s:t>
          </s:r>
          <s:r>
            <s:t>];
• (B) 65/100 và 65/100 → [</s:t>
          </s:r>
          <s:r>
            <s:rPr>
              <s:b val="1"/>
            </s:rPr>
            <s:t>R=65%</s:t>
          </s:r>
          <s:r>
            <s:t>];
• S = 60</s:t>
          </s:r>
        </s:is>
      </s:c>
      <s:c r="C21389" s="28" t="n"/>
      <s:c r="D21389" s="28" t="n"/>
      <s:c r="E21389" s="28" t="n"/>
    </s:row>
    <s:row r="21390" ht="20" customHeight="1">
      <s:c r="A21390" s="112" t="inlineStr">
        <s:is>
          <s:t>•</s:t>
        </s:is>
      </s:c>
      <s:c r="B21390" s="113" t="inlineStr">
        <s:is>
          <s:t>Chạy nút xanh rồi nút cam cho từng nguồn.</s:t>
        </s:is>
      </s:c>
      <s:c r="C21390" s="28" t="n"/>
      <s:c r="D21390" s="28" t="n"/>
      <s:c r="E21390" s="28" t="n"/>
    </s:row>
    <s:row r="21391" ht="28" customHeight="1">
      <s:c r="A21391" s="115" t="inlineStr">
        <s:is>
          <s:t>Trường hợp</s:t>
        </s:is>
      </s:c>
      <s:c r="B21391" s="115" t="inlineStr">
        <s:is>
          <s:t>Dữ liệu / thao tác riêng</s:t>
        </s:is>
      </s:c>
      <s:c r="C21391" s="115" t="inlineStr">
        <s:is>
          <s:t>Kết quả mong đợi</s:t>
        </s:is>
      </s:c>
      <s:c r="D21391" s="115" t="inlineStr">
        <s:is>
          <s:t>Kết quả thực tế</s:t>
        </s:is>
      </s:c>
      <s:c r="E21391" s="115" t="inlineStr">
        <s:is>
          <s:t>Đánh giá</s:t>
        </s:is>
      </s:c>
    </s:row>
    <s:row r="21392" ht="3" customHeight="1">
      <s:c r="A21392" s="102" t="inlineStr"/>
      <s:c r="B21392" s="99" t="n"/>
      <s:c r="C21392" s="99" t="n"/>
      <s:c r="D21392" s="116" t="n"/>
      <s:c r="E21392" s="116" t="n"/>
    </s:row>
    <s:row r="21393" ht="76" customHeight="1">
      <s:c r="A21393" s="83" t="inlineStr">
        <s:is>
          <s:t>Tỷ lệ thô sát dưới mốc (r6499)</s:t>
        </s:is>
      </s:c>
      <s:c r="B21393" s="83" t="inlineStr">
        <s:is>
          <s:r>
            <s:t>Nguồn64.98/100 và65.00/100 → R thô64.99%; rule từ65%,</s:t>
          </s:r>
          <s:r>
            <s:rPr>
              <s:b val="1"/>
            </s:rPr>
            <s:t>S=60</s:t>
          </s:r>
          <s:r>
            <s:t>; chạy xanh rồi cam. Chỉ có seam R làm tròn65.0% thì BLOCKED/NEEDS_EVIDENCE.</s:t>
          </s:r>
        </s:is>
      </s:c>
      <s:c r="C21393" s="83" t="inlineStr">
        <s:is>
          <s:r>
            <s:t xml:space="preserve">(A) [R] thô = [64.99%] không khớp [≥65%] → </s:t>
          </s:r>
          <s:r>
            <s:rPr>
              <s:b val="1"/>
            </s:rPr>
            <s:t>Không áp dụng</s:t>
          </s:r>
          <s:r>
            <s:t>. Nếu seam chỉ cung cấp [65.0%] đã làm tròn, case bị BLOCKED/NEEDS_EVIDENCE vì thiếu dữ liệu nguồn, không được đổi oracle thành khớp.</s:t>
          </s:r>
        </s:is>
      </s:c>
      <s:c r="D21393" s="117" t="inlineStr"/>
      <s:c r="E21393" s="118" t="inlineStr">
        <s:is>
          <s:t>Chưa thực hiện</s:t>
        </s:is>
      </s:c>
    </s:row>
    <s:row r="21394" ht="3" customHeight="1">
      <s:c r="A21394" s="102" t="inlineStr"/>
      <s:c r="B21394" s="99" t="n"/>
      <s:c r="C21394" s="99" t="n"/>
      <s:c r="D21394" s="116" t="n"/>
      <s:c r="E21394" s="116" t="n"/>
    </s:row>
    <s:row r="21395" ht="48" customHeight="1">
      <s:c r="A21395" s="83" t="inlineStr">
        <s:is>
          <s:t>Tỷ lệ bằng mốc (r65)</s:t>
        </s:is>
      </s:c>
      <s:c r="B21395" s="83" t="inlineStr">
        <s:is>
          <s:r>
            <s:t xml:space="preserve">Nguồn65/100 và65/100 → </s:t>
          </s:r>
          <s:r>
            <s:rPr>
              <s:b val="1"/>
            </s:rPr>
            <s:t>R=65%</s:t>
          </s:r>
          <s:r>
            <s:t>; rule từ65%,</s:t>
          </s:r>
          <s:r>
            <s:rPr>
              <s:b val="1"/>
            </s:rPr>
            <s:t>S=60</s:t>
          </s:r>
          <s:r>
            <s:t>; chạy xanh rồi cam.</s:t>
          </s:r>
        </s:is>
      </s:c>
      <s:c r="C21395" s="83" t="inlineStr">
        <s:is>
          <s:r>
            <s:t xml:space="preserve">(B) Khớp → </s:t>
          </s:r>
          <s:r>
            <s:rPr>
              <s:b val="1"/>
            </s:rPr>
            <s:t>S=60</s:t>
          </s:r>
          <s:r>
            <s:t xml:space="preserve"> </s:t>
          </s:r>
          <s:r>
            <s:rPr>
              <s:b val="1"/>
            </s:rPr>
            <s:t>Đỏ</s:t>
          </s:r>
          <s:r>
            <s:t>.</s:t>
          </s:r>
        </s:is>
      </s:c>
      <s:c r="D21395" s="117" t="inlineStr"/>
      <s:c r="E21395" s="118" t="inlineStr">
        <s:is>
          <s:t>Chưa thực hiện</s:t>
        </s:is>
      </s:c>
    </s:row>
    <s:row r="21396" ht="20" customHeight="1">
      <s:c r="A21396" s="119" t="inlineStr">
        <s:is>
          <s:t>Ảnh minh chứng — Chưa có ảnh</s:t>
        </s:is>
      </s:c>
      <s:c r="B21396" s="19" t="n"/>
      <s:c r="C21396" s="19" t="n"/>
      <s:c r="D21396" s="19" t="n"/>
      <s:c r="E21396" s="19" t="n"/>
    </s:row>
    <s:row r="21397" hidden="1" ht="1" customHeight="1">
      <s:c r="A21397" s="120" t="inlineStr"/>
      <s:c r="B21397" s="121" t="n"/>
      <s:c r="C21397" s="121" t="n"/>
      <s:c r="D21397" s="121" t="n"/>
      <s:c r="E21397" s="122" t="n"/>
    </s:row>
    <s:row r="21398" hidden="1" ht="1" customHeight="1">
      <s:c r="A21398" s="120" t="inlineStr"/>
      <s:c r="B21398" s="121" t="n"/>
      <s:c r="C21398" s="121" t="n"/>
      <s:c r="D21398" s="121" t="n"/>
      <s:c r="E21398" s="122" t="n"/>
    </s:row>
    <s:row r="21399" hidden="1" ht="1" customHeight="1">
      <s:c r="A21399" s="120" t="inlineStr"/>
      <s:c r="B21399" s="121" t="n"/>
      <s:c r="C21399" s="121" t="n"/>
      <s:c r="D21399" s="121" t="n"/>
      <s:c r="E21399" s="122" t="n"/>
    </s:row>
    <s:row r="21400" hidden="1" ht="1" customHeight="1">
      <s:c r="A21400" s="120" t="inlineStr"/>
      <s:c r="B21400" s="121" t="n"/>
      <s:c r="C21400" s="121" t="n"/>
      <s:c r="D21400" s="121" t="n"/>
      <s:c r="E21400" s="122" t="n"/>
    </s:row>
    <s:row r="21401" hidden="1" ht="1" customHeight="1">
      <s:c r="A21401" s="120" t="inlineStr"/>
      <s:c r="B21401" s="121" t="n"/>
      <s:c r="C21401" s="121" t="n"/>
      <s:c r="D21401" s="121" t="n"/>
      <s:c r="E21401" s="122" t="n"/>
    </s:row>
    <s:row r="21402" hidden="1" ht="1" customHeight="1">
      <s:c r="A21402" s="120" t="inlineStr"/>
      <s:c r="B21402" s="121" t="n"/>
      <s:c r="C21402" s="121" t="n"/>
      <s:c r="D21402" s="121" t="n"/>
      <s:c r="E21402" s="122" t="n"/>
    </s:row>
    <s:row r="21403" hidden="1" ht="1" customHeight="1">
      <s:c r="A21403" s="120" t="inlineStr"/>
      <s:c r="B21403" s="121" t="n"/>
      <s:c r="C21403" s="121" t="n"/>
      <s:c r="D21403" s="121" t="n"/>
      <s:c r="E21403" s="122" t="n"/>
    </s:row>
    <s:row r="21404" hidden="1" ht="1" customHeight="1">
      <s:c r="A21404" s="120" t="inlineStr"/>
      <s:c r="B21404" s="121" t="n"/>
      <s:c r="C21404" s="121" t="n"/>
      <s:c r="D21404" s="121" t="n"/>
      <s:c r="E21404" s="122" t="n"/>
    </s:row>
    <s:row r="21405" hidden="1" ht="1" customHeight="1">
      <s:c r="A21405" s="120" t="inlineStr"/>
      <s:c r="B21405" s="121" t="n"/>
      <s:c r="C21405" s="121" t="n"/>
      <s:c r="D21405" s="121" t="n"/>
      <s:c r="E21405" s="122" t="n"/>
    </s:row>
    <s:row r="21406" hidden="1" ht="1" customHeight="1">
      <s:c r="A21406" s="120" t="inlineStr"/>
      <s:c r="B21406" s="121" t="n"/>
      <s:c r="C21406" s="121" t="n"/>
      <s:c r="D21406" s="121" t="n"/>
      <s:c r="E21406" s="122" t="n"/>
    </s:row>
    <s:row r="21407" hidden="1" ht="1" customHeight="1">
      <s:c r="A21407" s="120" t="inlineStr"/>
      <s:c r="B21407" s="121" t="n"/>
      <s:c r="C21407" s="121" t="n"/>
      <s:c r="D21407" s="121" t="n"/>
      <s:c r="E21407" s="122" t="n"/>
    </s:row>
    <s:row r="21408" hidden="1" ht="1" customHeight="1">
      <s:c r="A21408" s="120" t="inlineStr"/>
      <s:c r="B21408" s="121" t="n"/>
      <s:c r="C21408" s="121" t="n"/>
      <s:c r="D21408" s="121" t="n"/>
      <s:c r="E21408" s="122" t="n"/>
    </s:row>
    <s:row r="21409" hidden="1" ht="1" customHeight="1">
      <s:c r="A21409" s="120" t="inlineStr"/>
      <s:c r="B21409" s="121" t="n"/>
      <s:c r="C21409" s="121" t="n"/>
      <s:c r="D21409" s="121" t="n"/>
      <s:c r="E21409" s="122" t="n"/>
    </s:row>
    <s:row r="21410" hidden="1" ht="1" customHeight="1">
      <s:c r="A21410" s="120" t="inlineStr"/>
      <s:c r="B21410" s="121" t="n"/>
      <s:c r="C21410" s="121" t="n"/>
      <s:c r="D21410" s="121" t="n"/>
      <s:c r="E21410" s="122" t="n"/>
    </s:row>
    <s:row r="21411" hidden="1" ht="1" customHeight="1">
      <s:c r="A21411" s="120" t="inlineStr"/>
      <s:c r="B21411" s="121" t="n"/>
      <s:c r="C21411" s="121" t="n"/>
      <s:c r="D21411" s="121" t="n"/>
      <s:c r="E21411" s="122" t="n"/>
    </s:row>
    <s:row r="21412" hidden="1" ht="1" customHeight="1">
      <s:c r="A21412" s="120" t="inlineStr"/>
      <s:c r="B21412" s="121" t="n"/>
      <s:c r="C21412" s="121" t="n"/>
      <s:c r="D21412" s="121" t="n"/>
      <s:c r="E21412" s="122" t="n"/>
    </s:row>
    <s:row r="21413" hidden="1" ht="1" customHeight="1">
      <s:c r="A21413" s="120" t="inlineStr"/>
      <s:c r="B21413" s="121" t="n"/>
      <s:c r="C21413" s="121" t="n"/>
      <s:c r="D21413" s="121" t="n"/>
      <s:c r="E21413" s="122" t="n"/>
    </s:row>
    <s:row r="21414" hidden="1" ht="1" customHeight="1">
      <s:c r="A21414" s="120" t="inlineStr"/>
      <s:c r="B21414" s="121" t="n"/>
      <s:c r="C21414" s="121" t="n"/>
      <s:c r="D21414" s="121" t="n"/>
      <s:c r="E21414" s="122" t="n"/>
    </s:row>
    <s:row r="21415" hidden="1" ht="1" customHeight="1">
      <s:c r="A21415" s="120" t="inlineStr"/>
      <s:c r="B21415" s="121" t="n"/>
      <s:c r="C21415" s="121" t="n"/>
      <s:c r="D21415" s="121" t="n"/>
      <s:c r="E21415" s="122" t="n"/>
    </s:row>
    <s:row r="21416" hidden="1" ht="1" customHeight="1">
      <s:c r="A21416" s="120" t="inlineStr"/>
      <s:c r="B21416" s="121" t="n"/>
      <s:c r="C21416" s="121" t="n"/>
      <s:c r="D21416" s="121" t="n"/>
      <s:c r="E21416" s="122" t="n"/>
    </s:row>
    <s:row r="21417" hidden="1" ht="1" customHeight="1">
      <s:c r="A21417" s="120" t="inlineStr"/>
      <s:c r="B21417" s="121" t="n"/>
      <s:c r="C21417" s="121" t="n"/>
      <s:c r="D21417" s="121" t="n"/>
      <s:c r="E21417" s="122" t="n"/>
    </s:row>
    <s:row r="21418" hidden="1" ht="1" customHeight="1">
      <s:c r="A21418" s="120" t="inlineStr"/>
      <s:c r="B21418" s="121" t="n"/>
      <s:c r="C21418" s="121" t="n"/>
      <s:c r="D21418" s="121" t="n"/>
      <s:c r="E21418" s="122" t="n"/>
    </s:row>
    <s:row r="21419" hidden="1" ht="1" customHeight="1">
      <s:c r="A21419" s="120" t="inlineStr"/>
      <s:c r="B21419" s="121" t="n"/>
      <s:c r="C21419" s="121" t="n"/>
      <s:c r="D21419" s="121" t="n"/>
      <s:c r="E21419" s="122" t="n"/>
    </s:row>
    <s:row r="21420" hidden="1" ht="1" customHeight="1">
      <s:c r="A21420" s="120" t="inlineStr"/>
      <s:c r="B21420" s="121" t="n"/>
      <s:c r="C21420" s="121" t="n"/>
      <s:c r="D21420" s="121" t="n"/>
      <s:c r="E21420" s="122" t="n"/>
    </s:row>
    <s:row r="21421" hidden="1" ht="1" customHeight="1">
      <s:c r="A21421" s="120" t="inlineStr"/>
      <s:c r="B21421" s="121" t="n"/>
      <s:c r="C21421" s="121" t="n"/>
      <s:c r="D21421" s="121" t="n"/>
      <s:c r="E21421" s="122" t="n"/>
    </s:row>
    <s:row r="21422" hidden="1" ht="1" customHeight="1">
      <s:c r="A21422" s="120" t="inlineStr"/>
      <s:c r="B21422" s="121" t="n"/>
      <s:c r="C21422" s="121" t="n"/>
      <s:c r="D21422" s="121" t="n"/>
      <s:c r="E21422" s="122" t="n"/>
    </s:row>
    <s:row r="21423" hidden="1" ht="1" customHeight="1">
      <s:c r="A21423" s="120" t="inlineStr"/>
      <s:c r="B21423" s="121" t="n"/>
      <s:c r="C21423" s="121" t="n"/>
      <s:c r="D21423" s="121" t="n"/>
      <s:c r="E21423" s="122" t="n"/>
    </s:row>
    <s:row r="21424" hidden="1" ht="1" customHeight="1">
      <s:c r="A21424" s="120" t="inlineStr"/>
      <s:c r="B21424" s="121" t="n"/>
      <s:c r="C21424" s="121" t="n"/>
      <s:c r="D21424" s="121" t="n"/>
      <s:c r="E21424" s="122" t="n"/>
    </s:row>
    <s:row r="21425" hidden="1" ht="1" customHeight="1">
      <s:c r="A21425" s="120" t="inlineStr"/>
      <s:c r="B21425" s="121" t="n"/>
      <s:c r="C21425" s="121" t="n"/>
      <s:c r="D21425" s="121" t="n"/>
      <s:c r="E21425" s="122" t="n"/>
    </s:row>
    <s:row r="21426" hidden="1" ht="1" customHeight="1">
      <s:c r="A21426" s="120" t="inlineStr"/>
      <s:c r="B21426" s="121" t="n"/>
      <s:c r="C21426" s="121" t="n"/>
      <s:c r="D21426" s="121" t="n"/>
      <s:c r="E21426" s="122" t="n"/>
    </s:row>
    <s:row r="21427" hidden="1" ht="1" customHeight="1">
      <s:c r="A21427" s="120" t="inlineStr"/>
      <s:c r="B21427" s="121" t="n"/>
      <s:c r="C21427" s="121" t="n"/>
      <s:c r="D21427" s="121" t="n"/>
      <s:c r="E21427" s="122" t="n"/>
    </s:row>
    <s:row r="21428" hidden="1" ht="1" customHeight="1">
      <s:c r="A21428" s="120" t="inlineStr"/>
      <s:c r="B21428" s="121" t="n"/>
      <s:c r="C21428" s="121" t="n"/>
      <s:c r="D21428" s="121" t="n"/>
      <s:c r="E21428" s="122" t="n"/>
    </s:row>
    <s:row r="21429" hidden="1" ht="1" customHeight="1">
      <s:c r="A21429" s="120" t="inlineStr"/>
      <s:c r="B21429" s="121" t="n"/>
      <s:c r="C21429" s="121" t="n"/>
      <s:c r="D21429" s="121" t="n"/>
      <s:c r="E21429" s="122" t="n"/>
    </s:row>
    <s:row r="21430" hidden="1" ht="1" customHeight="1">
      <s:c r="A21430" s="120" t="inlineStr"/>
      <s:c r="B21430" s="121" t="n"/>
      <s:c r="C21430" s="121" t="n"/>
      <s:c r="D21430" s="121" t="n"/>
      <s:c r="E21430" s="122" t="n"/>
    </s:row>
    <s:row r="21431" hidden="1" ht="1" customHeight="1">
      <s:c r="A21431" s="120" t="inlineStr"/>
      <s:c r="B21431" s="121" t="n"/>
      <s:c r="C21431" s="121" t="n"/>
      <s:c r="D21431" s="121" t="n"/>
      <s:c r="E21431" s="122" t="n"/>
    </s:row>
    <s:row r="21432" hidden="1" ht="1" customHeight="1">
      <s:c r="A21432" s="120" t="inlineStr"/>
      <s:c r="B21432" s="121" t="n"/>
      <s:c r="C21432" s="121" t="n"/>
      <s:c r="D21432" s="121" t="n"/>
      <s:c r="E21432" s="122" t="n"/>
    </s:row>
    <s:row r="21433" hidden="1" ht="1" customHeight="1">
      <s:c r="A21433" s="120" t="inlineStr"/>
      <s:c r="B21433" s="121" t="n"/>
      <s:c r="C21433" s="121" t="n"/>
      <s:c r="D21433" s="121" t="n"/>
      <s:c r="E21433" s="122" t="n"/>
    </s:row>
    <s:row r="21434" hidden="1" ht="1" customHeight="1">
      <s:c r="A21434" s="120" t="inlineStr"/>
      <s:c r="B21434" s="121" t="n"/>
      <s:c r="C21434" s="121" t="n"/>
      <s:c r="D21434" s="121" t="n"/>
      <s:c r="E21434" s="122" t="n"/>
    </s:row>
    <s:row r="21435" hidden="1" ht="1" customHeight="1">
      <s:c r="A21435" s="120" t="inlineStr"/>
      <s:c r="B21435" s="121" t="n"/>
      <s:c r="C21435" s="121" t="n"/>
      <s:c r="D21435" s="121" t="n"/>
      <s:c r="E21435" s="122" t="n"/>
    </s:row>
    <s:row r="21436" hidden="1" ht="1" customHeight="1">
      <s:c r="A21436" s="120" t="inlineStr"/>
      <s:c r="B21436" s="121" t="n"/>
      <s:c r="C21436" s="121" t="n"/>
      <s:c r="D21436" s="121" t="n"/>
      <s:c r="E21436" s="122" t="n"/>
    </s:row>
    <s:row r="21437" hidden="1" ht="1" customHeight="1">
      <s:c r="A21437" s="120" t="inlineStr"/>
      <s:c r="B21437" s="121" t="n"/>
      <s:c r="C21437" s="121" t="n"/>
      <s:c r="D21437" s="121" t="n"/>
      <s:c r="E21437" s="122" t="n"/>
    </s:row>
    <s:row r="21438" hidden="1" ht="1" customHeight="1">
      <s:c r="A21438" s="120" t="inlineStr"/>
      <s:c r="B21438" s="121" t="n"/>
      <s:c r="C21438" s="121" t="n"/>
      <s:c r="D21438" s="121" t="n"/>
      <s:c r="E21438" s="122" t="n"/>
    </s:row>
    <s:row r="21439" hidden="1" ht="1" customHeight="1">
      <s:c r="A21439" s="120" t="inlineStr"/>
      <s:c r="B21439" s="121" t="n"/>
      <s:c r="C21439" s="121" t="n"/>
      <s:c r="D21439" s="121" t="n"/>
      <s:c r="E21439" s="122" t="n"/>
    </s:row>
    <s:row r="21440" hidden="1" ht="1" customHeight="1">
      <s:c r="A21440" s="120" t="inlineStr"/>
      <s:c r="B21440" s="121" t="n"/>
      <s:c r="C21440" s="121" t="n"/>
      <s:c r="D21440" s="121" t="n"/>
      <s:c r="E21440" s="122" t="n"/>
    </s:row>
    <s:row r="21441" hidden="1" ht="1" customHeight="1">
      <s:c r="A21441" s="120" t="inlineStr"/>
      <s:c r="B21441" s="121" t="n"/>
      <s:c r="C21441" s="121" t="n"/>
      <s:c r="D21441" s="121" t="n"/>
      <s:c r="E21441" s="122" t="n"/>
    </s:row>
    <s:row r="21442" hidden="1" ht="1" customHeight="1">
      <s:c r="A21442" s="120" t="inlineStr"/>
      <s:c r="B21442" s="121" t="n"/>
      <s:c r="C21442" s="121" t="n"/>
      <s:c r="D21442" s="121" t="n"/>
      <s:c r="E21442" s="122" t="n"/>
    </s:row>
    <s:row r="21443" hidden="1" ht="1" customHeight="1">
      <s:c r="A21443" s="120" t="inlineStr"/>
      <s:c r="B21443" s="121" t="n"/>
      <s:c r="C21443" s="121" t="n"/>
      <s:c r="D21443" s="121" t="n"/>
      <s:c r="E21443" s="122" t="n"/>
    </s:row>
    <s:row r="21444" hidden="1" ht="1" customHeight="1">
      <s:c r="A21444" s="120" t="inlineStr"/>
      <s:c r="B21444" s="121" t="n"/>
      <s:c r="C21444" s="121" t="n"/>
      <s:c r="D21444" s="121" t="n"/>
      <s:c r="E21444" s="122" t="n"/>
    </s:row>
    <s:row r="21445" hidden="1" ht="1" customHeight="1">
      <s:c r="A21445" s="120" t="inlineStr"/>
      <s:c r="B21445" s="121" t="n"/>
      <s:c r="C21445" s="121" t="n"/>
      <s:c r="D21445" s="121" t="n"/>
      <s:c r="E21445" s="122" t="n"/>
    </s:row>
    <s:row r="21446" hidden="1" ht="1" customHeight="1">
      <s:c r="A21446" s="120" t="inlineStr"/>
      <s:c r="B21446" s="121" t="n"/>
      <s:c r="C21446" s="121" t="n"/>
      <s:c r="D21446" s="121" t="n"/>
      <s:c r="E21446" s="122" t="n"/>
    </s:row>
    <s:row r="21447" hidden="1" ht="1" customHeight="1">
      <s:c r="A21447" s="120" t="inlineStr"/>
      <s:c r="B21447" s="121" t="n"/>
      <s:c r="C21447" s="121" t="n"/>
      <s:c r="D21447" s="121" t="n"/>
      <s:c r="E21447" s="122" t="n"/>
    </s:row>
    <s:row r="21448" hidden="1" ht="1" customHeight="1">
      <s:c r="A21448" s="120" t="inlineStr"/>
      <s:c r="B21448" s="121" t="n"/>
      <s:c r="C21448" s="121" t="n"/>
      <s:c r="D21448" s="121" t="n"/>
      <s:c r="E21448" s="122" t="n"/>
    </s:row>
    <s:row r="21449" hidden="1" ht="1" customHeight="1">
      <s:c r="A21449" s="120" t="inlineStr"/>
      <s:c r="B21449" s="121" t="n"/>
      <s:c r="C21449" s="121" t="n"/>
      <s:c r="D21449" s="121" t="n"/>
      <s:c r="E21449" s="122" t="n"/>
    </s:row>
    <s:row r="21450" hidden="1" ht="1" customHeight="1">
      <s:c r="A21450" s="120" t="inlineStr"/>
      <s:c r="B21450" s="121" t="n"/>
      <s:c r="C21450" s="121" t="n"/>
      <s:c r="D21450" s="121" t="n"/>
      <s:c r="E21450" s="122" t="n"/>
    </s:row>
    <s:row r="21451" hidden="1" ht="1" customHeight="1">
      <s:c r="A21451" s="120" t="inlineStr"/>
      <s:c r="B21451" s="121" t="n"/>
      <s:c r="C21451" s="121" t="n"/>
      <s:c r="D21451" s="121" t="n"/>
      <s:c r="E21451" s="122" t="n"/>
    </s:row>
    <s:row r="21452" hidden="1" ht="1" customHeight="1">
      <s:c r="A21452" s="120" t="inlineStr"/>
      <s:c r="B21452" s="121" t="n"/>
      <s:c r="C21452" s="121" t="n"/>
      <s:c r="D21452" s="121" t="n"/>
      <s:c r="E21452" s="122" t="n"/>
    </s:row>
    <s:row r="21453" hidden="1" ht="1" customHeight="1">
      <s:c r="A21453" s="120" t="inlineStr"/>
      <s:c r="B21453" s="121" t="n"/>
      <s:c r="C21453" s="121" t="n"/>
      <s:c r="D21453" s="121" t="n"/>
      <s:c r="E21453" s="122" t="n"/>
    </s:row>
    <s:row r="21454" hidden="1" ht="1" customHeight="1">
      <s:c r="A21454" s="120" t="inlineStr"/>
      <s:c r="B21454" s="121" t="n"/>
      <s:c r="C21454" s="121" t="n"/>
      <s:c r="D21454" s="121" t="n"/>
      <s:c r="E21454" s="122" t="n"/>
    </s:row>
    <s:row r="21455" hidden="1" ht="1" customHeight="1">
      <s:c r="A21455" s="120" t="inlineStr"/>
      <s:c r="B21455" s="121" t="n"/>
      <s:c r="C21455" s="121" t="n"/>
      <s:c r="D21455" s="121" t="n"/>
      <s:c r="E21455" s="122" t="n"/>
    </s:row>
    <s:row r="21456" hidden="1" ht="1" customHeight="1">
      <s:c r="A21456" s="120" t="inlineStr"/>
      <s:c r="B21456" s="121" t="n"/>
      <s:c r="C21456" s="121" t="n"/>
      <s:c r="D21456" s="121" t="n"/>
      <s:c r="E21456" s="122" t="n"/>
    </s:row>
    <s:row r="21457" hidden="1" ht="1" customHeight="1">
      <s:c r="A21457" s="120" t="inlineStr"/>
      <s:c r="B21457" s="121" t="n"/>
      <s:c r="C21457" s="121" t="n"/>
      <s:c r="D21457" s="121" t="n"/>
      <s:c r="E21457" s="122" t="n"/>
    </s:row>
    <s:row r="21458" hidden="1" ht="1" customHeight="1">
      <s:c r="A21458" s="120" t="inlineStr"/>
      <s:c r="B21458" s="121" t="n"/>
      <s:c r="C21458" s="121" t="n"/>
      <s:c r="D21458" s="121" t="n"/>
      <s:c r="E21458" s="122" t="n"/>
    </s:row>
    <s:row r="21459" hidden="1" ht="1" customHeight="1">
      <s:c r="A21459" s="120" t="inlineStr"/>
      <s:c r="B21459" s="121" t="n"/>
      <s:c r="C21459" s="121" t="n"/>
      <s:c r="D21459" s="121" t="n"/>
      <s:c r="E21459" s="122" t="n"/>
    </s:row>
    <s:row r="21460" hidden="1" ht="1" customHeight="1">
      <s:c r="A21460" s="120" t="inlineStr"/>
      <s:c r="B21460" s="121" t="n"/>
      <s:c r="C21460" s="121" t="n"/>
      <s:c r="D21460" s="121" t="n"/>
      <s:c r="E21460" s="122" t="n"/>
    </s:row>
    <s:row r="21461" hidden="1" ht="1" customHeight="1">
      <s:c r="A21461" s="120" t="inlineStr"/>
      <s:c r="B21461" s="121" t="n"/>
      <s:c r="C21461" s="121" t="n"/>
      <s:c r="D21461" s="121" t="n"/>
      <s:c r="E21461" s="122" t="n"/>
    </s:row>
    <s:row r="21462" hidden="1" ht="1" customHeight="1">
      <s:c r="A21462" s="120" t="inlineStr"/>
      <s:c r="B21462" s="121" t="n"/>
      <s:c r="C21462" s="121" t="n"/>
      <s:c r="D21462" s="121" t="n"/>
      <s:c r="E21462" s="122" t="n"/>
    </s:row>
    <s:row r="21463" hidden="1" ht="1" customHeight="1">
      <s:c r="A21463" s="120" t="inlineStr"/>
      <s:c r="B21463" s="121" t="n"/>
      <s:c r="C21463" s="121" t="n"/>
      <s:c r="D21463" s="121" t="n"/>
      <s:c r="E21463" s="122" t="n"/>
    </s:row>
    <s:row r="21464" hidden="1" ht="1" customHeight="1">
      <s:c r="A21464" s="120" t="inlineStr"/>
      <s:c r="B21464" s="121" t="n"/>
      <s:c r="C21464" s="121" t="n"/>
      <s:c r="D21464" s="121" t="n"/>
      <s:c r="E21464" s="122" t="n"/>
    </s:row>
    <s:row r="21465" hidden="1" ht="1" customHeight="1">
      <s:c r="A21465" s="120" t="inlineStr"/>
      <s:c r="B21465" s="121" t="n"/>
      <s:c r="C21465" s="121" t="n"/>
      <s:c r="D21465" s="121" t="n"/>
      <s:c r="E21465" s="122" t="n"/>
    </s:row>
    <s:row r="21466" hidden="1" ht="1" customHeight="1">
      <s:c r="A21466" s="120" t="inlineStr"/>
      <s:c r="B21466" s="121" t="n"/>
      <s:c r="C21466" s="121" t="n"/>
      <s:c r="D21466" s="121" t="n"/>
      <s:c r="E21466" s="122" t="n"/>
    </s:row>
    <s:row r="21467" hidden="1" ht="1" customHeight="1">
      <s:c r="A21467" s="120" t="inlineStr"/>
      <s:c r="B21467" s="121" t="n"/>
      <s:c r="C21467" s="121" t="n"/>
      <s:c r="D21467" s="121" t="n"/>
      <s:c r="E21467" s="122" t="n"/>
    </s:row>
    <s:row r="21468" hidden="1" ht="1" customHeight="1">
      <s:c r="A21468" s="120" t="inlineStr"/>
      <s:c r="B21468" s="121" t="n"/>
      <s:c r="C21468" s="121" t="n"/>
      <s:c r="D21468" s="121" t="n"/>
      <s:c r="E21468" s="122" t="n"/>
    </s:row>
    <s:row r="21469" hidden="1" ht="1" customHeight="1">
      <s:c r="A21469" s="120" t="inlineStr"/>
      <s:c r="B21469" s="121" t="n"/>
      <s:c r="C21469" s="121" t="n"/>
      <s:c r="D21469" s="121" t="n"/>
      <s:c r="E21469" s="122" t="n"/>
    </s:row>
    <s:row r="21470" hidden="1" ht="1" customHeight="1">
      <s:c r="A21470" s="120" t="inlineStr"/>
      <s:c r="B21470" s="121" t="n"/>
      <s:c r="C21470" s="121" t="n"/>
      <s:c r="D21470" s="121" t="n"/>
      <s:c r="E21470" s="122" t="n"/>
    </s:row>
    <s:row r="21471" hidden="1" ht="1" customHeight="1">
      <s:c r="A21471" s="120" t="inlineStr"/>
      <s:c r="B21471" s="121" t="n"/>
      <s:c r="C21471" s="121" t="n"/>
      <s:c r="D21471" s="121" t="n"/>
      <s:c r="E21471" s="122" t="n"/>
    </s:row>
    <s:row r="21472" hidden="1" ht="1" customHeight="1">
      <s:c r="A21472" s="120" t="inlineStr"/>
      <s:c r="B21472" s="121" t="n"/>
      <s:c r="C21472" s="121" t="n"/>
      <s:c r="D21472" s="121" t="n"/>
      <s:c r="E21472" s="122" t="n"/>
    </s:row>
    <s:row r="21473" hidden="1" ht="1" customHeight="1">
      <s:c r="A21473" s="120" t="inlineStr"/>
      <s:c r="B21473" s="121" t="n"/>
      <s:c r="C21473" s="121" t="n"/>
      <s:c r="D21473" s="121" t="n"/>
      <s:c r="E21473" s="122" t="n"/>
    </s:row>
    <s:row r="21474" hidden="1" ht="1" customHeight="1">
      <s:c r="A21474" s="120" t="inlineStr"/>
      <s:c r="B21474" s="121" t="n"/>
      <s:c r="C21474" s="121" t="n"/>
      <s:c r="D21474" s="121" t="n"/>
      <s:c r="E21474" s="122" t="n"/>
    </s:row>
    <s:row r="21475" hidden="1" ht="1" customHeight="1">
      <s:c r="A21475" s="120" t="inlineStr"/>
      <s:c r="B21475" s="121" t="n"/>
      <s:c r="C21475" s="121" t="n"/>
      <s:c r="D21475" s="121" t="n"/>
      <s:c r="E21475" s="122" t="n"/>
    </s:row>
    <s:row r="21476" hidden="1" ht="1" customHeight="1">
      <s:c r="A21476" s="120" t="inlineStr"/>
      <s:c r="B21476" s="121" t="n"/>
      <s:c r="C21476" s="121" t="n"/>
      <s:c r="D21476" s="121" t="n"/>
      <s:c r="E21476" s="122" t="n"/>
    </s:row>
    <s:row r="21477" hidden="1" ht="1" customHeight="1">
      <s:c r="A21477" s="120" t="inlineStr"/>
      <s:c r="B21477" s="121" t="n"/>
      <s:c r="C21477" s="121" t="n"/>
      <s:c r="D21477" s="121" t="n"/>
      <s:c r="E21477" s="122" t="n"/>
    </s:row>
    <s:row r="21478" hidden="1" ht="1" customHeight="1">
      <s:c r="A21478" s="120" t="inlineStr"/>
      <s:c r="B21478" s="121" t="n"/>
      <s:c r="C21478" s="121" t="n"/>
      <s:c r="D21478" s="121" t="n"/>
      <s:c r="E21478" s="122" t="n"/>
    </s:row>
    <s:row r="21479" hidden="1" ht="1" customHeight="1">
      <s:c r="A21479" s="120" t="inlineStr"/>
      <s:c r="B21479" s="121" t="n"/>
      <s:c r="C21479" s="121" t="n"/>
      <s:c r="D21479" s="121" t="n"/>
      <s:c r="E21479" s="122" t="n"/>
    </s:row>
    <s:row r="21480" hidden="1" ht="1" customHeight="1">
      <s:c r="A21480" s="120" t="inlineStr"/>
      <s:c r="B21480" s="121" t="n"/>
      <s:c r="C21480" s="121" t="n"/>
      <s:c r="D21480" s="121" t="n"/>
      <s:c r="E21480" s="122" t="n"/>
    </s:row>
    <s:row r="21481" hidden="1" ht="1" customHeight="1">
      <s:c r="A21481" s="120" t="inlineStr"/>
      <s:c r="B21481" s="121" t="n"/>
      <s:c r="C21481" s="121" t="n"/>
      <s:c r="D21481" s="121" t="n"/>
      <s:c r="E21481" s="122" t="n"/>
    </s:row>
    <s:row r="21482" hidden="1" ht="1" customHeight="1">
      <s:c r="A21482" s="120" t="inlineStr"/>
      <s:c r="B21482" s="121" t="n"/>
      <s:c r="C21482" s="121" t="n"/>
      <s:c r="D21482" s="121" t="n"/>
      <s:c r="E21482" s="122" t="n"/>
    </s:row>
    <s:row r="21483" hidden="1" ht="1" customHeight="1">
      <s:c r="A21483" s="120" t="inlineStr"/>
      <s:c r="B21483" s="121" t="n"/>
      <s:c r="C21483" s="121" t="n"/>
      <s:c r="D21483" s="121" t="n"/>
      <s:c r="E21483" s="122" t="n"/>
    </s:row>
    <s:row r="21484" hidden="1" ht="1" customHeight="1">
      <s:c r="A21484" s="120" t="inlineStr"/>
      <s:c r="B21484" s="121" t="n"/>
      <s:c r="C21484" s="121" t="n"/>
      <s:c r="D21484" s="121" t="n"/>
      <s:c r="E21484" s="122" t="n"/>
    </s:row>
    <s:row r="21485" hidden="1" ht="1" customHeight="1">
      <s:c r="A21485" s="120" t="inlineStr"/>
      <s:c r="B21485" s="121" t="n"/>
      <s:c r="C21485" s="121" t="n"/>
      <s:c r="D21485" s="121" t="n"/>
      <s:c r="E21485" s="122" t="n"/>
    </s:row>
    <s:row r="21486" hidden="1" ht="1" customHeight="1">
      <s:c r="A21486" s="120" t="inlineStr"/>
      <s:c r="B21486" s="121" t="n"/>
      <s:c r="C21486" s="121" t="n"/>
      <s:c r="D21486" s="121" t="n"/>
      <s:c r="E21486" s="122" t="n"/>
    </s:row>
    <s:row r="21487" hidden="1" ht="1" customHeight="1">
      <s:c r="A21487" s="120" t="inlineStr"/>
      <s:c r="B21487" s="121" t="n"/>
      <s:c r="C21487" s="121" t="n"/>
      <s:c r="D21487" s="121" t="n"/>
      <s:c r="E21487" s="122" t="n"/>
    </s:row>
    <s:row r="21488" hidden="1" ht="1" customHeight="1">
      <s:c r="A21488" s="120" t="inlineStr"/>
      <s:c r="B21488" s="121" t="n"/>
      <s:c r="C21488" s="121" t="n"/>
      <s:c r="D21488" s="121" t="n"/>
      <s:c r="E21488" s="122" t="n"/>
    </s:row>
    <s:row r="21489" hidden="1" ht="1" customHeight="1">
      <s:c r="A21489" s="120" t="inlineStr"/>
      <s:c r="B21489" s="121" t="n"/>
      <s:c r="C21489" s="121" t="n"/>
      <s:c r="D21489" s="121" t="n"/>
      <s:c r="E21489" s="122" t="n"/>
    </s:row>
    <s:row r="21490" hidden="1" ht="1" customHeight="1">
      <s:c r="A21490" s="120" t="inlineStr"/>
      <s:c r="B21490" s="121" t="n"/>
      <s:c r="C21490" s="121" t="n"/>
      <s:c r="D21490" s="121" t="n"/>
      <s:c r="E21490" s="122" t="n"/>
    </s:row>
    <s:row r="21491" hidden="1" ht="1" customHeight="1">
      <s:c r="A21491" s="120" t="inlineStr"/>
      <s:c r="B21491" s="121" t="n"/>
      <s:c r="C21491" s="121" t="n"/>
      <s:c r="D21491" s="121" t="n"/>
      <s:c r="E21491" s="122" t="n"/>
    </s:row>
    <s:row r="21492" hidden="1" ht="1" customHeight="1">
      <s:c r="A21492" s="120" t="inlineStr"/>
      <s:c r="B21492" s="121" t="n"/>
      <s:c r="C21492" s="121" t="n"/>
      <s:c r="D21492" s="121" t="n"/>
      <s:c r="E21492" s="122" t="n"/>
    </s:row>
    <s:row r="21493" hidden="1" ht="1" customHeight="1">
      <s:c r="A21493" s="83" t="inlineStr">
        <s:is>
          <s:t>PASS</s:t>
        </s:is>
      </s:c>
      <s:c r="B21493" s="83">
        <s:f>SUM(IF(EXACT('Kiểm thử'!E21393,"Đạt"),1,0),IF(EXACT('Kiểm thử'!E21395,"Đạt"),1,0))</s:f>
        <s:v/>
      </s:c>
      <s:c r="C21493" s="19" t="n"/>
      <s:c r="D21493" s="19" t="n"/>
      <s:c r="E21493" s="19" t="n"/>
    </s:row>
    <s:row r="21494" hidden="1" ht="1" customHeight="1">
      <s:c r="A21494" s="83" t="inlineStr">
        <s:is>
          <s:t>FAIL</s:t>
        </s:is>
      </s:c>
      <s:c r="B21494" s="83">
        <s:f>SUM(IF(EXACT('Kiểm thử'!E21393,"Không đạt"),1,0),IF(EXACT('Kiểm thử'!E21395,"Không đạt"),1,0))</s:f>
        <s:v/>
      </s:c>
      <s:c r="C21494" s="19" t="n"/>
      <s:c r="D21494" s="19" t="n"/>
      <s:c r="E21494" s="19" t="n"/>
    </s:row>
    <s:row r="21495" hidden="1" ht="1" customHeight="1">
      <s:c r="A21495" s="83" t="inlineStr">
        <s:is>
          <s:t>BLOCKED</s:t>
        </s:is>
      </s:c>
      <s:c r="B21495" s="83">
        <s:f>SUM(IF(EXACT('Kiểm thử'!E21393,"Bị chặn"),1,0),IF(EXACT('Kiểm thử'!E21395,"Bị chặn"),1,0))</s:f>
        <s:v/>
      </s:c>
      <s:c r="C21495" s="19" t="n"/>
      <s:c r="D21495" s="19" t="n"/>
      <s:c r="E21495" s="19" t="n"/>
    </s:row>
    <s:row r="21496" hidden="1" ht="1" customHeight="1">
      <s:c r="A21496" s="83" t="inlineStr">
        <s:is>
          <s:t>SKIPPED</s:t>
        </s:is>
      </s:c>
      <s:c r="B21496" s="83">
        <s:f>SUM(IF(EXACT('Kiểm thử'!E21393,"Không thực hiện"),1,0),IF(EXACT('Kiểm thử'!E21395,"Không thực hiện"),1,0))</s:f>
        <s:v/>
      </s:c>
      <s:c r="C21496" s="19" t="n"/>
      <s:c r="D21496" s="19" t="n"/>
      <s:c r="E21496" s="19" t="n"/>
    </s:row>
    <s:row r="21497" hidden="1" ht="1" customHeight="1">
      <s:c r="A21497" s="83" t="inlineStr">
        <s:is>
          <s:t>NOT RUN</s:t>
        </s:is>
      </s:c>
      <s:c r="B21497" s="83">
        <s:f>SUM(IF(EXACT('Kiểm thử'!E21393,"Chưa thực hiện"),1,0),IF(EXACT('Kiểm thử'!E21395,"Chưa thực hiện"),1,0))</s:f>
        <s:v/>
      </s:c>
      <s:c r="C21497" s="19" t="n"/>
      <s:c r="D21497" s="19" t="n"/>
      <s:c r="E21497" s="19" t="n"/>
    </s:row>
    <s:row r="21498" hidden="1" ht="6" customHeight="1">
      <s:c r="A21498" s="83" t="inlineStr"/>
      <s:c r="B21498" s="19" t="n"/>
      <s:c r="C21498" s="19" t="n"/>
      <s:c r="D21498" s="19" t="n"/>
      <s:c r="E21498" s="19" t="n"/>
    </s:row>
    <s:row r="21499" ht="28" customHeight="1">
      <s:c r="A21499" s="108" t="inlineStr">
        <s:is>
          <s:t>TC-RS-BR-012 — Điểm được xét là điểm cuối đã lưu (dự kiến, sửa tay, sau giới hạn miền điểm)</s:t>
        </s:is>
      </s:c>
      <s:c r="B21499" s="111" t="n"/>
      <s:c r="C21499" s="111" t="n"/>
      <s:c r="D21499" s="111" t="n"/>
      <s:c r="E21499" s="111" t="n"/>
    </s:row>
    <s:row r="21500" ht="20" customHeight="1">
      <s:c r="A21500" s="112" t="inlineStr">
        <s:is>
          <s:t>Kết quả tình huống</s:t>
        </s:is>
      </s:c>
      <s:c r="B21500" s="113">
        <s:f>IF(SUM(IF(EXACT('Kiểm thử'!E21509,"Không đạt"),1,0),IF(EXACT('Kiểm thử'!E21511,"Không đạt"),1,0),IF(EXACT('Kiểm thử'!E21513,"Không đạt"),1,0),IF(EXACT('Kiểm thử'!E21515,"Không đạt"),1,0))&gt;0,"Không đạt",IF(SUM(IF(EXACT('Kiểm thử'!E21509,"Đạt"),1,0),IF(EXACT('Kiểm thử'!E21511,"Đạt"),1,0),IF(EXACT('Kiểm thử'!E21513,"Đạt"),1,0),IF(EXACT('Kiểm thử'!E21515,"Đạt"),1,0))=4,"Đạt",IF(SUM(IF(EXACT('Kiểm thử'!E21509,"Không thực hiện"),1,0),IF(EXACT('Kiểm thử'!E21511,"Không thực hiện"),1,0),IF(EXACT('Kiểm thử'!E21513,"Không thực hiện"),1,0),IF(EXACT('Kiểm thử'!E21515,"Không thực hiện"),1,0))=4,"Không thực hiện",IF(SUM(IF(EXACT('Kiểm thử'!E21509,"Bị chặn"),1,0),IF(EXACT('Kiểm thử'!E21511,"Bị chặn"),1,0),IF(EXACT('Kiểm thử'!E21513,"Bị chặn"),1,0),IF(EXACT('Kiểm thử'!E21515,"Bị chặn"),1,0))&gt;0,"Bị chặn",IF(SUM(IF(EXACT('Kiểm thử'!E21509,"Chưa thực hiện"),1,0),IF(EXACT('Kiểm thử'!E21511,"Chưa thực hiện"),1,0),IF(EXACT('Kiểm thử'!E21513,"Chưa thực hiện"),1,0),IF(EXACT('Kiểm thử'!E21515,"Chưa thực hiện"),1,0))=4,"Chưa thực hiện","Đang thực hiện")))))</s:f>
        <s:v/>
      </s:c>
      <s:c r="C21500" s="114" t="n"/>
      <s:c r="D21500" s="114" t="n"/>
      <s:c r="E21500" s="114" t="n"/>
    </s:row>
    <s:row r="21501" ht="20" customHeight="1">
      <s:c r="A21501" s="112" t="inlineStr">
        <s:is>
          <s:t>Màn hình / chức năng</s:t>
        </s:is>
      </s:c>
      <s:c r="B21501" s="113" t="inlineStr">
        <s:is>
          <s:r>
            <s:rPr>
              <s:b val="1"/>
            </s:rPr>
            <s:t>Đăng ký thành tích（成績登録）</s:t>
          </s:r>
        </s:is>
      </s:c>
      <s:c r="C21501" s="28" t="n"/>
      <s:c r="D21501" s="28" t="n"/>
      <s:c r="E21501" s="28" t="n"/>
    </s:row>
    <s:row r="21502" ht="34" customHeight="1">
      <s:c r="A21502" s="112" t="inlineStr">
        <s:is>
          <s:t>Cấu hình</s:t>
        </s:is>
      </s:c>
      <s:c r="B21502" s="113" t="inlineStr">
        <s:is>
          <s:r>
            <s:t>• Mục số nguyên (</s:t>
          </s:r>
          <s:r>
            <s:rPr>
              <s:b val="1"/>
            </s:rPr>
            <s:t>M=100</s:t>
          </s:r>
          <s:r>
            <s:t>) có quy tắc “Cố định 30” (dưới 30) và (cho biến thể c) mục số nguyên có thêm tính tự động có quy tắc tính tự động cho kết quả vượt 100.</s:t>
          </s:r>
        </s:is>
      </s:c>
      <s:c r="C21502" s="28" t="n"/>
      <s:c r="D21502" s="28" t="n"/>
      <s:c r="E21502" s="28" t="n"/>
    </s:row>
    <s:row r="21503" ht="34" customHeight="1">
      <s:c r="A21503" s="112" t="inlineStr">
        <s:is>
          <s:t>Dữ liệu test</s:t>
        </s:is>
      </s:c>
      <s:c r="B21503" s="113" t="inlineStr">
        <s:is>
          <s:r>
            <s:t>• Mục số nguyên (</s:t>
          </s:r>
          <s:r>
            <s:rPr>
              <s:b val="1"/>
            </s:rPr>
            <s:t>M=100</s:t>
          </s:r>
          <s:r>
            <s:t>), mục số nguyên có thêm tính tự động;
• Học sinh S06 (điểm dự kiến 24), học sinh S08 (sửa tay 28 thành 35), quy tắc “Cố định 30” (dưới 30)</s:t>
          </s:r>
        </s:is>
      </s:c>
      <s:c r="C21503" s="28" t="n"/>
      <s:c r="D21503" s="28" t="n"/>
      <s:c r="E21503" s="28" t="n"/>
    </s:row>
    <s:row r="21504" ht="20" customHeight="1">
      <s:c r="A21504" s="112" t="inlineStr">
        <s:is>
          <s:t>•</s:t>
        </s:is>
      </s:c>
      <s:c r="B21504" s="113" t="inlineStr">
        <s:is>
          <s:r>
            <s:t xml:space="preserve">(A) S06 = 24 </s:t>
          </s:r>
          <s:r>
            <s:rPr>
              <s:b val="1"/>
            </s:rPr>
            <s:t>là Điểm dự kiến（見込点）</s:t>
          </s:r>
          <s:r>
            <s:t>: đăng ký.</s:t>
          </s:r>
        </s:is>
      </s:c>
      <s:c r="C21504" s="28" t="n"/>
      <s:c r="D21504" s="28" t="n"/>
      <s:c r="E21504" s="28" t="n"/>
    </s:row>
    <s:row r="21505" ht="20" customHeight="1">
      <s:c r="A21505" s="112" t="inlineStr">
        <s:is>
          <s:t>•</s:t>
        </s:is>
      </s:c>
      <s:c r="B21505" s="113" t="inlineStr">
        <s:is>
          <s:t>(B) S08: nhập 28, lưu; sửa tay thành 35, lưu.</s:t>
        </s:is>
      </s:c>
      <s:c r="C21505" s="28" t="n"/>
      <s:c r="D21505" s="28" t="n"/>
      <s:c r="E21505" s="28" t="n"/>
    </s:row>
    <s:row r="21506" ht="34" customHeight="1">
      <s:c r="A21506" s="112" t="inlineStr">
        <s:is>
          <s:t>•</s:t>
        </s:is>
      </s:c>
      <s:c r="B21506" s="113" t="inlineStr">
        <s:is>
          <s:t>(C) Tạo dữ liệu mà phép tính cho 120 nhưng điểm lưu hợp lệ là 100; áp quy tắc cố định 100 [&lt;] và 100 [≤].</s:t>
        </s:is>
      </s:c>
      <s:c r="C21506" s="28" t="n"/>
      <s:c r="D21506" s="28" t="n"/>
      <s:c r="E21506" s="28" t="n"/>
    </s:row>
    <s:row r="21507" ht="28" customHeight="1">
      <s:c r="A21507" s="115" t="inlineStr">
        <s:is>
          <s:t>Trường hợp</s:t>
        </s:is>
      </s:c>
      <s:c r="B21507" s="115" t="inlineStr">
        <s:is>
          <s:t>Dữ liệu / thao tác riêng</s:t>
        </s:is>
      </s:c>
      <s:c r="C21507" s="115" t="inlineStr">
        <s:is>
          <s:t>Kết quả mong đợi</s:t>
        </s:is>
      </s:c>
      <s:c r="D21507" s="115" t="inlineStr">
        <s:is>
          <s:t>Kết quả thực tế</s:t>
        </s:is>
      </s:c>
      <s:c r="E21507" s="115" t="inlineStr">
        <s:is>
          <s:t>Đánh giá</s:t>
        </s:is>
      </s:c>
    </s:row>
    <s:row r="21508" ht="3" customHeight="1">
      <s:c r="A21508" s="102" t="inlineStr"/>
      <s:c r="B21508" s="99" t="n"/>
      <s:c r="C21508" s="99" t="n"/>
      <s:c r="D21508" s="116" t="n"/>
      <s:c r="E21508" s="116" t="n"/>
    </s:row>
    <s:row r="21509" ht="34" customHeight="1">
      <s:c r="A21509" s="83" t="inlineStr">
        <s:is>
          <s:t>Điểm dự kiến (projected)</s:t>
        </s:is>
      </s:c>
      <s:c r="B21509" s="83" t="inlineStr">
        <s:is>
          <s:r>
            <s:t xml:space="preserve">Rule cố định30,&lt;; đăng ký S06=24 với </s:t>
          </s:r>
          <s:r>
            <s:rPr>
              <s:b val="1"/>
            </s:rPr>
            <s:t>cờ Điểm dự kiến（見込点）</s:t>
          </s:r>
          <s:r>
            <s:t>.</s:t>
          </s:r>
        </s:is>
      </s:c>
      <s:c r="C21509" s="83" t="inlineStr">
        <s:is>
          <s:r>
            <s:t xml:space="preserve">(A) </s:t>
          </s:r>
          <s:r>
            <s:rPr>
              <s:b val="1"/>
            </s:rPr>
            <s:t>Đỏ</s:t>
          </s:r>
          <s:r>
            <s:t>.</s:t>
          </s:r>
        </s:is>
      </s:c>
      <s:c r="D21509" s="117" t="inlineStr"/>
      <s:c r="E21509" s="118" t="inlineStr">
        <s:is>
          <s:t>Chưa thực hiện</s:t>
        </s:is>
      </s:c>
    </s:row>
    <s:row r="21510" ht="3" customHeight="1">
      <s:c r="A21510" s="102" t="inlineStr"/>
      <s:c r="B21510" s="99" t="n"/>
      <s:c r="C21510" s="99" t="n"/>
      <s:c r="D21510" s="116" t="n"/>
      <s:c r="E21510" s="116" t="n"/>
    </s:row>
    <s:row r="21511" ht="48" customHeight="1">
      <s:c r="A21511" s="83" t="inlineStr">
        <s:is>
          <s:t>Sửa điểm bằng tay (manual)</s:t>
        </s:is>
      </s:c>
      <s:c r="B21511" s="83" t="inlineStr">
        <s:is>
          <s:t>Rule cố định30,&lt;; S08 nhập28/lưu rồi sửa35/lưu; đọc sau từng lần.</s:t>
        </s:is>
      </s:c>
      <s:c r="C21511" s="83" t="inlineStr">
        <s:is>
          <s:r>
            <s:t xml:space="preserve">(B) Sau lần lưu thứ hai: xét 35 → </s:t>
          </s:r>
          <s:r>
            <s:rPr>
              <s:b val="1"/>
            </s:rPr>
            <s:t>Không đỏ</s:t>
          </s:r>
          <s:r>
            <s:t>.</s:t>
          </s:r>
        </s:is>
      </s:c>
      <s:c r="D21511" s="117" t="inlineStr"/>
      <s:c r="E21511" s="118" t="inlineStr">
        <s:is>
          <s:t>Chưa thực hiện</s:t>
        </s:is>
      </s:c>
    </s:row>
    <s:row r="21512" ht="3" customHeight="1">
      <s:c r="A21512" s="102" t="inlineStr"/>
      <s:c r="B21512" s="99" t="n"/>
      <s:c r="C21512" s="99" t="n"/>
      <s:c r="D21512" s="116" t="n"/>
      <s:c r="E21512" s="116" t="n"/>
    </s:row>
    <s:row r="21513" ht="48" customHeight="1">
      <s:c r="A21513" s="83" t="inlineStr">
        <s:is>
          <s:t>Điểm cuối bằng ngưỡng, nhỏ hơn (clamp-lt)</s:t>
        </s:is>
      </s:c>
      <s:c r="B21513" s="83" t="inlineStr">
        <s:is>
          <s:t>Tính tự động cho120 nhưng điểm cuối đã lưu hợp lệ100; rule cố định100,&lt;, chạy xét.</s:t>
        </s:is>
      </s:c>
      <s:c r="C21513" s="83" t="inlineStr">
        <s:is>
          <s:r>
            <s:t xml:space="preserve">Xét điểm cuối đã lưu </s:t>
          </s:r>
          <s:r>
            <s:rPr>
              <s:b val="1"/>
            </s:rPr>
            <s:t>S=100</s:t>
          </s:r>
          <s:r>
            <s:t xml:space="preserve">, không xét giá trị trung gian 120: 100&lt;100 → </s:t>
          </s:r>
          <s:r>
            <s:rPr>
              <s:b val="1"/>
            </s:rPr>
            <s:t>Không đỏ</s:t>
          </s:r>
          <s:r>
            <s:t>.</s:t>
          </s:r>
        </s:is>
      </s:c>
      <s:c r="D21513" s="117" t="inlineStr"/>
      <s:c r="E21513" s="118" t="inlineStr">
        <s:is>
          <s:t>Chưa thực hiện</s:t>
        </s:is>
      </s:c>
    </s:row>
    <s:row r="21514" ht="3" customHeight="1">
      <s:c r="A21514" s="102" t="inlineStr"/>
      <s:c r="B21514" s="99" t="n"/>
      <s:c r="C21514" s="99" t="n"/>
      <s:c r="D21514" s="116" t="n"/>
      <s:c r="E21514" s="116" t="n"/>
    </s:row>
    <s:row r="21515" ht="48" customHeight="1">
      <s:c r="A21515" s="83" t="inlineStr">
        <s:is>
          <s:t>Điểm cuối bằng ngưỡng, nhỏ hơn hoặc bằng (clamp-le)</s:t>
        </s:is>
      </s:c>
      <s:c r="B21515" s="83" t="inlineStr">
        <s:is>
          <s:t>Cùng giá trị trung gian120/điểm cuối100; rule cố định100,≤, chạy xét.</s:t>
        </s:is>
      </s:c>
      <s:c r="C21515" s="83" t="inlineStr">
        <s:is>
          <s:r>
            <s:t xml:space="preserve">Xét điểm cuối đã lưu </s:t>
          </s:r>
          <s:r>
            <s:rPr>
              <s:b val="1"/>
            </s:rPr>
            <s:t>S=100</s:t>
          </s:r>
          <s:r>
            <s:t xml:space="preserve">, không xét giá trị trung gian 120: 100≤100 → </s:t>
          </s:r>
          <s:r>
            <s:rPr>
              <s:b val="1"/>
            </s:rPr>
            <s:t>Đỏ</s:t>
          </s:r>
          <s:r>
            <s:t>.</s:t>
          </s:r>
        </s:is>
      </s:c>
      <s:c r="D21515" s="117" t="inlineStr"/>
      <s:c r="E21515" s="118" t="inlineStr">
        <s:is>
          <s:t>Chưa thực hiện</s:t>
        </s:is>
      </s:c>
    </s:row>
    <s:row r="21516" ht="20" customHeight="1">
      <s:c r="A21516" s="119" t="inlineStr">
        <s:is>
          <s:t>Ảnh minh chứng — Chưa có ảnh</s:t>
        </s:is>
      </s:c>
      <s:c r="B21516" s="19" t="n"/>
      <s:c r="C21516" s="19" t="n"/>
      <s:c r="D21516" s="19" t="n"/>
      <s:c r="E21516" s="19" t="n"/>
    </s:row>
    <s:row r="21517" hidden="1" ht="1" customHeight="1">
      <s:c r="A21517" s="120" t="inlineStr"/>
      <s:c r="B21517" s="121" t="n"/>
      <s:c r="C21517" s="121" t="n"/>
      <s:c r="D21517" s="121" t="n"/>
      <s:c r="E21517" s="122" t="n"/>
    </s:row>
    <s:row r="21518" hidden="1" ht="1" customHeight="1">
      <s:c r="A21518" s="120" t="inlineStr"/>
      <s:c r="B21518" s="121" t="n"/>
      <s:c r="C21518" s="121" t="n"/>
      <s:c r="D21518" s="121" t="n"/>
      <s:c r="E21518" s="122" t="n"/>
    </s:row>
    <s:row r="21519" hidden="1" ht="1" customHeight="1">
      <s:c r="A21519" s="120" t="inlineStr"/>
      <s:c r="B21519" s="121" t="n"/>
      <s:c r="C21519" s="121" t="n"/>
      <s:c r="D21519" s="121" t="n"/>
      <s:c r="E21519" s="122" t="n"/>
    </s:row>
    <s:row r="21520" hidden="1" ht="1" customHeight="1">
      <s:c r="A21520" s="120" t="inlineStr"/>
      <s:c r="B21520" s="121" t="n"/>
      <s:c r="C21520" s="121" t="n"/>
      <s:c r="D21520" s="121" t="n"/>
      <s:c r="E21520" s="122" t="n"/>
    </s:row>
    <s:row r="21521" hidden="1" ht="1" customHeight="1">
      <s:c r="A21521" s="120" t="inlineStr"/>
      <s:c r="B21521" s="121" t="n"/>
      <s:c r="C21521" s="121" t="n"/>
      <s:c r="D21521" s="121" t="n"/>
      <s:c r="E21521" s="122" t="n"/>
    </s:row>
    <s:row r="21522" hidden="1" ht="1" customHeight="1">
      <s:c r="A21522" s="120" t="inlineStr"/>
      <s:c r="B21522" s="121" t="n"/>
      <s:c r="C21522" s="121" t="n"/>
      <s:c r="D21522" s="121" t="n"/>
      <s:c r="E21522" s="122" t="n"/>
    </s:row>
    <s:row r="21523" hidden="1" ht="1" customHeight="1">
      <s:c r="A21523" s="120" t="inlineStr"/>
      <s:c r="B21523" s="121" t="n"/>
      <s:c r="C21523" s="121" t="n"/>
      <s:c r="D21523" s="121" t="n"/>
      <s:c r="E21523" s="122" t="n"/>
    </s:row>
    <s:row r="21524" hidden="1" ht="1" customHeight="1">
      <s:c r="A21524" s="120" t="inlineStr"/>
      <s:c r="B21524" s="121" t="n"/>
      <s:c r="C21524" s="121" t="n"/>
      <s:c r="D21524" s="121" t="n"/>
      <s:c r="E21524" s="122" t="n"/>
    </s:row>
    <s:row r="21525" hidden="1" ht="1" customHeight="1">
      <s:c r="A21525" s="120" t="inlineStr"/>
      <s:c r="B21525" s="121" t="n"/>
      <s:c r="C21525" s="121" t="n"/>
      <s:c r="D21525" s="121" t="n"/>
      <s:c r="E21525" s="122" t="n"/>
    </s:row>
    <s:row r="21526" hidden="1" ht="1" customHeight="1">
      <s:c r="A21526" s="120" t="inlineStr"/>
      <s:c r="B21526" s="121" t="n"/>
      <s:c r="C21526" s="121" t="n"/>
      <s:c r="D21526" s="121" t="n"/>
      <s:c r="E21526" s="122" t="n"/>
    </s:row>
    <s:row r="21527" hidden="1" ht="1" customHeight="1">
      <s:c r="A21527" s="120" t="inlineStr"/>
      <s:c r="B21527" s="121" t="n"/>
      <s:c r="C21527" s="121" t="n"/>
      <s:c r="D21527" s="121" t="n"/>
      <s:c r="E21527" s="122" t="n"/>
    </s:row>
    <s:row r="21528" hidden="1" ht="1" customHeight="1">
      <s:c r="A21528" s="120" t="inlineStr"/>
      <s:c r="B21528" s="121" t="n"/>
      <s:c r="C21528" s="121" t="n"/>
      <s:c r="D21528" s="121" t="n"/>
      <s:c r="E21528" s="122" t="n"/>
    </s:row>
    <s:row r="21529" hidden="1" ht="1" customHeight="1">
      <s:c r="A21529" s="120" t="inlineStr"/>
      <s:c r="B21529" s="121" t="n"/>
      <s:c r="C21529" s="121" t="n"/>
      <s:c r="D21529" s="121" t="n"/>
      <s:c r="E21529" s="122" t="n"/>
    </s:row>
    <s:row r="21530" hidden="1" ht="1" customHeight="1">
      <s:c r="A21530" s="120" t="inlineStr"/>
      <s:c r="B21530" s="121" t="n"/>
      <s:c r="C21530" s="121" t="n"/>
      <s:c r="D21530" s="121" t="n"/>
      <s:c r="E21530" s="122" t="n"/>
    </s:row>
    <s:row r="21531" hidden="1" ht="1" customHeight="1">
      <s:c r="A21531" s="120" t="inlineStr"/>
      <s:c r="B21531" s="121" t="n"/>
      <s:c r="C21531" s="121" t="n"/>
      <s:c r="D21531" s="121" t="n"/>
      <s:c r="E21531" s="122" t="n"/>
    </s:row>
    <s:row r="21532" hidden="1" ht="1" customHeight="1">
      <s:c r="A21532" s="120" t="inlineStr"/>
      <s:c r="B21532" s="121" t="n"/>
      <s:c r="C21532" s="121" t="n"/>
      <s:c r="D21532" s="121" t="n"/>
      <s:c r="E21532" s="122" t="n"/>
    </s:row>
    <s:row r="21533" hidden="1" ht="1" customHeight="1">
      <s:c r="A21533" s="120" t="inlineStr"/>
      <s:c r="B21533" s="121" t="n"/>
      <s:c r="C21533" s="121" t="n"/>
      <s:c r="D21533" s="121" t="n"/>
      <s:c r="E21533" s="122" t="n"/>
    </s:row>
    <s:row r="21534" hidden="1" ht="1" customHeight="1">
      <s:c r="A21534" s="120" t="inlineStr"/>
      <s:c r="B21534" s="121" t="n"/>
      <s:c r="C21534" s="121" t="n"/>
      <s:c r="D21534" s="121" t="n"/>
      <s:c r="E21534" s="122" t="n"/>
    </s:row>
    <s:row r="21535" hidden="1" ht="1" customHeight="1">
      <s:c r="A21535" s="120" t="inlineStr"/>
      <s:c r="B21535" s="121" t="n"/>
      <s:c r="C21535" s="121" t="n"/>
      <s:c r="D21535" s="121" t="n"/>
      <s:c r="E21535" s="122" t="n"/>
    </s:row>
    <s:row r="21536" hidden="1" ht="1" customHeight="1">
      <s:c r="A21536" s="120" t="inlineStr"/>
      <s:c r="B21536" s="121" t="n"/>
      <s:c r="C21536" s="121" t="n"/>
      <s:c r="D21536" s="121" t="n"/>
      <s:c r="E21536" s="122" t="n"/>
    </s:row>
    <s:row r="21537" hidden="1" ht="1" customHeight="1">
      <s:c r="A21537" s="120" t="inlineStr"/>
      <s:c r="B21537" s="121" t="n"/>
      <s:c r="C21537" s="121" t="n"/>
      <s:c r="D21537" s="121" t="n"/>
      <s:c r="E21537" s="122" t="n"/>
    </s:row>
    <s:row r="21538" hidden="1" ht="1" customHeight="1">
      <s:c r="A21538" s="120" t="inlineStr"/>
      <s:c r="B21538" s="121" t="n"/>
      <s:c r="C21538" s="121" t="n"/>
      <s:c r="D21538" s="121" t="n"/>
      <s:c r="E21538" s="122" t="n"/>
    </s:row>
    <s:row r="21539" hidden="1" ht="1" customHeight="1">
      <s:c r="A21539" s="120" t="inlineStr"/>
      <s:c r="B21539" s="121" t="n"/>
      <s:c r="C21539" s="121" t="n"/>
      <s:c r="D21539" s="121" t="n"/>
      <s:c r="E21539" s="122" t="n"/>
    </s:row>
    <s:row r="21540" hidden="1" ht="1" customHeight="1">
      <s:c r="A21540" s="120" t="inlineStr"/>
      <s:c r="B21540" s="121" t="n"/>
      <s:c r="C21540" s="121" t="n"/>
      <s:c r="D21540" s="121" t="n"/>
      <s:c r="E21540" s="122" t="n"/>
    </s:row>
    <s:row r="21541" hidden="1" ht="1" customHeight="1">
      <s:c r="A21541" s="120" t="inlineStr"/>
      <s:c r="B21541" s="121" t="n"/>
      <s:c r="C21541" s="121" t="n"/>
      <s:c r="D21541" s="121" t="n"/>
      <s:c r="E21541" s="122" t="n"/>
    </s:row>
    <s:row r="21542" hidden="1" ht="1" customHeight="1">
      <s:c r="A21542" s="120" t="inlineStr"/>
      <s:c r="B21542" s="121" t="n"/>
      <s:c r="C21542" s="121" t="n"/>
      <s:c r="D21542" s="121" t="n"/>
      <s:c r="E21542" s="122" t="n"/>
    </s:row>
    <s:row r="21543" hidden="1" ht="1" customHeight="1">
      <s:c r="A21543" s="120" t="inlineStr"/>
      <s:c r="B21543" s="121" t="n"/>
      <s:c r="C21543" s="121" t="n"/>
      <s:c r="D21543" s="121" t="n"/>
      <s:c r="E21543" s="122" t="n"/>
    </s:row>
    <s:row r="21544" hidden="1" ht="1" customHeight="1">
      <s:c r="A21544" s="120" t="inlineStr"/>
      <s:c r="B21544" s="121" t="n"/>
      <s:c r="C21544" s="121" t="n"/>
      <s:c r="D21544" s="121" t="n"/>
      <s:c r="E21544" s="122" t="n"/>
    </s:row>
    <s:row r="21545" hidden="1" ht="1" customHeight="1">
      <s:c r="A21545" s="120" t="inlineStr"/>
      <s:c r="B21545" s="121" t="n"/>
      <s:c r="C21545" s="121" t="n"/>
      <s:c r="D21545" s="121" t="n"/>
      <s:c r="E21545" s="122" t="n"/>
    </s:row>
    <s:row r="21546" hidden="1" ht="1" customHeight="1">
      <s:c r="A21546" s="120" t="inlineStr"/>
      <s:c r="B21546" s="121" t="n"/>
      <s:c r="C21546" s="121" t="n"/>
      <s:c r="D21546" s="121" t="n"/>
      <s:c r="E21546" s="122" t="n"/>
    </s:row>
    <s:row r="21547" hidden="1" ht="1" customHeight="1">
      <s:c r="A21547" s="120" t="inlineStr"/>
      <s:c r="B21547" s="121" t="n"/>
      <s:c r="C21547" s="121" t="n"/>
      <s:c r="D21547" s="121" t="n"/>
      <s:c r="E21547" s="122" t="n"/>
    </s:row>
    <s:row r="21548" hidden="1" ht="1" customHeight="1">
      <s:c r="A21548" s="120" t="inlineStr"/>
      <s:c r="B21548" s="121" t="n"/>
      <s:c r="C21548" s="121" t="n"/>
      <s:c r="D21548" s="121" t="n"/>
      <s:c r="E21548" s="122" t="n"/>
    </s:row>
    <s:row r="21549" hidden="1" ht="1" customHeight="1">
      <s:c r="A21549" s="120" t="inlineStr"/>
      <s:c r="B21549" s="121" t="n"/>
      <s:c r="C21549" s="121" t="n"/>
      <s:c r="D21549" s="121" t="n"/>
      <s:c r="E21549" s="122" t="n"/>
    </s:row>
    <s:row r="21550" hidden="1" ht="1" customHeight="1">
      <s:c r="A21550" s="120" t="inlineStr"/>
      <s:c r="B21550" s="121" t="n"/>
      <s:c r="C21550" s="121" t="n"/>
      <s:c r="D21550" s="121" t="n"/>
      <s:c r="E21550" s="122" t="n"/>
    </s:row>
    <s:row r="21551" hidden="1" ht="1" customHeight="1">
      <s:c r="A21551" s="120" t="inlineStr"/>
      <s:c r="B21551" s="121" t="n"/>
      <s:c r="C21551" s="121" t="n"/>
      <s:c r="D21551" s="121" t="n"/>
      <s:c r="E21551" s="122" t="n"/>
    </s:row>
    <s:row r="21552" hidden="1" ht="1" customHeight="1">
      <s:c r="A21552" s="120" t="inlineStr"/>
      <s:c r="B21552" s="121" t="n"/>
      <s:c r="C21552" s="121" t="n"/>
      <s:c r="D21552" s="121" t="n"/>
      <s:c r="E21552" s="122" t="n"/>
    </s:row>
    <s:row r="21553" hidden="1" ht="1" customHeight="1">
      <s:c r="A21553" s="120" t="inlineStr"/>
      <s:c r="B21553" s="121" t="n"/>
      <s:c r="C21553" s="121" t="n"/>
      <s:c r="D21553" s="121" t="n"/>
      <s:c r="E21553" s="122" t="n"/>
    </s:row>
    <s:row r="21554" hidden="1" ht="1" customHeight="1">
      <s:c r="A21554" s="120" t="inlineStr"/>
      <s:c r="B21554" s="121" t="n"/>
      <s:c r="C21554" s="121" t="n"/>
      <s:c r="D21554" s="121" t="n"/>
      <s:c r="E21554" s="122" t="n"/>
    </s:row>
    <s:row r="21555" hidden="1" ht="1" customHeight="1">
      <s:c r="A21555" s="120" t="inlineStr"/>
      <s:c r="B21555" s="121" t="n"/>
      <s:c r="C21555" s="121" t="n"/>
      <s:c r="D21555" s="121" t="n"/>
      <s:c r="E21555" s="122" t="n"/>
    </s:row>
    <s:row r="21556" hidden="1" ht="1" customHeight="1">
      <s:c r="A21556" s="120" t="inlineStr"/>
      <s:c r="B21556" s="121" t="n"/>
      <s:c r="C21556" s="121" t="n"/>
      <s:c r="D21556" s="121" t="n"/>
      <s:c r="E21556" s="122" t="n"/>
    </s:row>
    <s:row r="21557" hidden="1" ht="1" customHeight="1">
      <s:c r="A21557" s="120" t="inlineStr"/>
      <s:c r="B21557" s="121" t="n"/>
      <s:c r="C21557" s="121" t="n"/>
      <s:c r="D21557" s="121" t="n"/>
      <s:c r="E21557" s="122" t="n"/>
    </s:row>
    <s:row r="21558" hidden="1" ht="1" customHeight="1">
      <s:c r="A21558" s="120" t="inlineStr"/>
      <s:c r="B21558" s="121" t="n"/>
      <s:c r="C21558" s="121" t="n"/>
      <s:c r="D21558" s="121" t="n"/>
      <s:c r="E21558" s="122" t="n"/>
    </s:row>
    <s:row r="21559" hidden="1" ht="1" customHeight="1">
      <s:c r="A21559" s="120" t="inlineStr"/>
      <s:c r="B21559" s="121" t="n"/>
      <s:c r="C21559" s="121" t="n"/>
      <s:c r="D21559" s="121" t="n"/>
      <s:c r="E21559" s="122" t="n"/>
    </s:row>
    <s:row r="21560" hidden="1" ht="1" customHeight="1">
      <s:c r="A21560" s="120" t="inlineStr"/>
      <s:c r="B21560" s="121" t="n"/>
      <s:c r="C21560" s="121" t="n"/>
      <s:c r="D21560" s="121" t="n"/>
      <s:c r="E21560" s="122" t="n"/>
    </s:row>
    <s:row r="21561" hidden="1" ht="1" customHeight="1">
      <s:c r="A21561" s="120" t="inlineStr"/>
      <s:c r="B21561" s="121" t="n"/>
      <s:c r="C21561" s="121" t="n"/>
      <s:c r="D21561" s="121" t="n"/>
      <s:c r="E21561" s="122" t="n"/>
    </s:row>
    <s:row r="21562" hidden="1" ht="1" customHeight="1">
      <s:c r="A21562" s="120" t="inlineStr"/>
      <s:c r="B21562" s="121" t="n"/>
      <s:c r="C21562" s="121" t="n"/>
      <s:c r="D21562" s="121" t="n"/>
      <s:c r="E21562" s="122" t="n"/>
    </s:row>
    <s:row r="21563" hidden="1" ht="1" customHeight="1">
      <s:c r="A21563" s="120" t="inlineStr"/>
      <s:c r="B21563" s="121" t="n"/>
      <s:c r="C21563" s="121" t="n"/>
      <s:c r="D21563" s="121" t="n"/>
      <s:c r="E21563" s="122" t="n"/>
    </s:row>
    <s:row r="21564" hidden="1" ht="1" customHeight="1">
      <s:c r="A21564" s="120" t="inlineStr"/>
      <s:c r="B21564" s="121" t="n"/>
      <s:c r="C21564" s="121" t="n"/>
      <s:c r="D21564" s="121" t="n"/>
      <s:c r="E21564" s="122" t="n"/>
    </s:row>
    <s:row r="21565" hidden="1" ht="1" customHeight="1">
      <s:c r="A21565" s="120" t="inlineStr"/>
      <s:c r="B21565" s="121" t="n"/>
      <s:c r="C21565" s="121" t="n"/>
      <s:c r="D21565" s="121" t="n"/>
      <s:c r="E21565" s="122" t="n"/>
    </s:row>
    <s:row r="21566" hidden="1" ht="1" customHeight="1">
      <s:c r="A21566" s="120" t="inlineStr"/>
      <s:c r="B21566" s="121" t="n"/>
      <s:c r="C21566" s="121" t="n"/>
      <s:c r="D21566" s="121" t="n"/>
      <s:c r="E21566" s="122" t="n"/>
    </s:row>
    <s:row r="21567" hidden="1" ht="1" customHeight="1">
      <s:c r="A21567" s="120" t="inlineStr"/>
      <s:c r="B21567" s="121" t="n"/>
      <s:c r="C21567" s="121" t="n"/>
      <s:c r="D21567" s="121" t="n"/>
      <s:c r="E21567" s="122" t="n"/>
    </s:row>
    <s:row r="21568" hidden="1" ht="1" customHeight="1">
      <s:c r="A21568" s="120" t="inlineStr"/>
      <s:c r="B21568" s="121" t="n"/>
      <s:c r="C21568" s="121" t="n"/>
      <s:c r="D21568" s="121" t="n"/>
      <s:c r="E21568" s="122" t="n"/>
    </s:row>
    <s:row r="21569" hidden="1" ht="1" customHeight="1">
      <s:c r="A21569" s="120" t="inlineStr"/>
      <s:c r="B21569" s="121" t="n"/>
      <s:c r="C21569" s="121" t="n"/>
      <s:c r="D21569" s="121" t="n"/>
      <s:c r="E21569" s="122" t="n"/>
    </s:row>
    <s:row r="21570" hidden="1" ht="1" customHeight="1">
      <s:c r="A21570" s="120" t="inlineStr"/>
      <s:c r="B21570" s="121" t="n"/>
      <s:c r="C21570" s="121" t="n"/>
      <s:c r="D21570" s="121" t="n"/>
      <s:c r="E21570" s="122" t="n"/>
    </s:row>
    <s:row r="21571" hidden="1" ht="1" customHeight="1">
      <s:c r="A21571" s="120" t="inlineStr"/>
      <s:c r="B21571" s="121" t="n"/>
      <s:c r="C21571" s="121" t="n"/>
      <s:c r="D21571" s="121" t="n"/>
      <s:c r="E21571" s="122" t="n"/>
    </s:row>
    <s:row r="21572" hidden="1" ht="1" customHeight="1">
      <s:c r="A21572" s="120" t="inlineStr"/>
      <s:c r="B21572" s="121" t="n"/>
      <s:c r="C21572" s="121" t="n"/>
      <s:c r="D21572" s="121" t="n"/>
      <s:c r="E21572" s="122" t="n"/>
    </s:row>
    <s:row r="21573" hidden="1" ht="1" customHeight="1">
      <s:c r="A21573" s="120" t="inlineStr"/>
      <s:c r="B21573" s="121" t="n"/>
      <s:c r="C21573" s="121" t="n"/>
      <s:c r="D21573" s="121" t="n"/>
      <s:c r="E21573" s="122" t="n"/>
    </s:row>
    <s:row r="21574" hidden="1" ht="1" customHeight="1">
      <s:c r="A21574" s="120" t="inlineStr"/>
      <s:c r="B21574" s="121" t="n"/>
      <s:c r="C21574" s="121" t="n"/>
      <s:c r="D21574" s="121" t="n"/>
      <s:c r="E21574" s="122" t="n"/>
    </s:row>
    <s:row r="21575" hidden="1" ht="1" customHeight="1">
      <s:c r="A21575" s="120" t="inlineStr"/>
      <s:c r="B21575" s="121" t="n"/>
      <s:c r="C21575" s="121" t="n"/>
      <s:c r="D21575" s="121" t="n"/>
      <s:c r="E21575" s="122" t="n"/>
    </s:row>
    <s:row r="21576" hidden="1" ht="1" customHeight="1">
      <s:c r="A21576" s="120" t="inlineStr"/>
      <s:c r="B21576" s="121" t="n"/>
      <s:c r="C21576" s="121" t="n"/>
      <s:c r="D21576" s="121" t="n"/>
      <s:c r="E21576" s="122" t="n"/>
    </s:row>
    <s:row r="21577" hidden="1" ht="1" customHeight="1">
      <s:c r="A21577" s="120" t="inlineStr"/>
      <s:c r="B21577" s="121" t="n"/>
      <s:c r="C21577" s="121" t="n"/>
      <s:c r="D21577" s="121" t="n"/>
      <s:c r="E21577" s="122" t="n"/>
    </s:row>
    <s:row r="21578" hidden="1" ht="1" customHeight="1">
      <s:c r="A21578" s="120" t="inlineStr"/>
      <s:c r="B21578" s="121" t="n"/>
      <s:c r="C21578" s="121" t="n"/>
      <s:c r="D21578" s="121" t="n"/>
      <s:c r="E21578" s="122" t="n"/>
    </s:row>
    <s:row r="21579" hidden="1" ht="1" customHeight="1">
      <s:c r="A21579" s="120" t="inlineStr"/>
      <s:c r="B21579" s="121" t="n"/>
      <s:c r="C21579" s="121" t="n"/>
      <s:c r="D21579" s="121" t="n"/>
      <s:c r="E21579" s="122" t="n"/>
    </s:row>
    <s:row r="21580" hidden="1" ht="1" customHeight="1">
      <s:c r="A21580" s="120" t="inlineStr"/>
      <s:c r="B21580" s="121" t="n"/>
      <s:c r="C21580" s="121" t="n"/>
      <s:c r="D21580" s="121" t="n"/>
      <s:c r="E21580" s="122" t="n"/>
    </s:row>
    <s:row r="21581" hidden="1" ht="1" customHeight="1">
      <s:c r="A21581" s="120" t="inlineStr"/>
      <s:c r="B21581" s="121" t="n"/>
      <s:c r="C21581" s="121" t="n"/>
      <s:c r="D21581" s="121" t="n"/>
      <s:c r="E21581" s="122" t="n"/>
    </s:row>
    <s:row r="21582" hidden="1" ht="1" customHeight="1">
      <s:c r="A21582" s="120" t="inlineStr"/>
      <s:c r="B21582" s="121" t="n"/>
      <s:c r="C21582" s="121" t="n"/>
      <s:c r="D21582" s="121" t="n"/>
      <s:c r="E21582" s="122" t="n"/>
    </s:row>
    <s:row r="21583" hidden="1" ht="1" customHeight="1">
      <s:c r="A21583" s="120" t="inlineStr"/>
      <s:c r="B21583" s="121" t="n"/>
      <s:c r="C21583" s="121" t="n"/>
      <s:c r="D21583" s="121" t="n"/>
      <s:c r="E21583" s="122" t="n"/>
    </s:row>
    <s:row r="21584" hidden="1" ht="1" customHeight="1">
      <s:c r="A21584" s="120" t="inlineStr"/>
      <s:c r="B21584" s="121" t="n"/>
      <s:c r="C21584" s="121" t="n"/>
      <s:c r="D21584" s="121" t="n"/>
      <s:c r="E21584" s="122" t="n"/>
    </s:row>
    <s:row r="21585" hidden="1" ht="1" customHeight="1">
      <s:c r="A21585" s="120" t="inlineStr"/>
      <s:c r="B21585" s="121" t="n"/>
      <s:c r="C21585" s="121" t="n"/>
      <s:c r="D21585" s="121" t="n"/>
      <s:c r="E21585" s="122" t="n"/>
    </s:row>
    <s:row r="21586" hidden="1" ht="1" customHeight="1">
      <s:c r="A21586" s="120" t="inlineStr"/>
      <s:c r="B21586" s="121" t="n"/>
      <s:c r="C21586" s="121" t="n"/>
      <s:c r="D21586" s="121" t="n"/>
      <s:c r="E21586" s="122" t="n"/>
    </s:row>
    <s:row r="21587" hidden="1" ht="1" customHeight="1">
      <s:c r="A21587" s="120" t="inlineStr"/>
      <s:c r="B21587" s="121" t="n"/>
      <s:c r="C21587" s="121" t="n"/>
      <s:c r="D21587" s="121" t="n"/>
      <s:c r="E21587" s="122" t="n"/>
    </s:row>
    <s:row r="21588" hidden="1" ht="1" customHeight="1">
      <s:c r="A21588" s="120" t="inlineStr"/>
      <s:c r="B21588" s="121" t="n"/>
      <s:c r="C21588" s="121" t="n"/>
      <s:c r="D21588" s="121" t="n"/>
      <s:c r="E21588" s="122" t="n"/>
    </s:row>
    <s:row r="21589" hidden="1" ht="1" customHeight="1">
      <s:c r="A21589" s="120" t="inlineStr"/>
      <s:c r="B21589" s="121" t="n"/>
      <s:c r="C21589" s="121" t="n"/>
      <s:c r="D21589" s="121" t="n"/>
      <s:c r="E21589" s="122" t="n"/>
    </s:row>
    <s:row r="21590" hidden="1" ht="1" customHeight="1">
      <s:c r="A21590" s="120" t="inlineStr"/>
      <s:c r="B21590" s="121" t="n"/>
      <s:c r="C21590" s="121" t="n"/>
      <s:c r="D21590" s="121" t="n"/>
      <s:c r="E21590" s="122" t="n"/>
    </s:row>
    <s:row r="21591" hidden="1" ht="1" customHeight="1">
      <s:c r="A21591" s="120" t="inlineStr"/>
      <s:c r="B21591" s="121" t="n"/>
      <s:c r="C21591" s="121" t="n"/>
      <s:c r="D21591" s="121" t="n"/>
      <s:c r="E21591" s="122" t="n"/>
    </s:row>
    <s:row r="21592" hidden="1" ht="1" customHeight="1">
      <s:c r="A21592" s="120" t="inlineStr"/>
      <s:c r="B21592" s="121" t="n"/>
      <s:c r="C21592" s="121" t="n"/>
      <s:c r="D21592" s="121" t="n"/>
      <s:c r="E21592" s="122" t="n"/>
    </s:row>
    <s:row r="21593" hidden="1" ht="1" customHeight="1">
      <s:c r="A21593" s="120" t="inlineStr"/>
      <s:c r="B21593" s="121" t="n"/>
      <s:c r="C21593" s="121" t="n"/>
      <s:c r="D21593" s="121" t="n"/>
      <s:c r="E21593" s="122" t="n"/>
    </s:row>
    <s:row r="21594" hidden="1" ht="1" customHeight="1">
      <s:c r="A21594" s="120" t="inlineStr"/>
      <s:c r="B21594" s="121" t="n"/>
      <s:c r="C21594" s="121" t="n"/>
      <s:c r="D21594" s="121" t="n"/>
      <s:c r="E21594" s="122" t="n"/>
    </s:row>
    <s:row r="21595" hidden="1" ht="1" customHeight="1">
      <s:c r="A21595" s="120" t="inlineStr"/>
      <s:c r="B21595" s="121" t="n"/>
      <s:c r="C21595" s="121" t="n"/>
      <s:c r="D21595" s="121" t="n"/>
      <s:c r="E21595" s="122" t="n"/>
    </s:row>
    <s:row r="21596" hidden="1" ht="1" customHeight="1">
      <s:c r="A21596" s="120" t="inlineStr"/>
      <s:c r="B21596" s="121" t="n"/>
      <s:c r="C21596" s="121" t="n"/>
      <s:c r="D21596" s="121" t="n"/>
      <s:c r="E21596" s="122" t="n"/>
    </s:row>
    <s:row r="21597" hidden="1" ht="1" customHeight="1">
      <s:c r="A21597" s="120" t="inlineStr"/>
      <s:c r="B21597" s="121" t="n"/>
      <s:c r="C21597" s="121" t="n"/>
      <s:c r="D21597" s="121" t="n"/>
      <s:c r="E21597" s="122" t="n"/>
    </s:row>
    <s:row r="21598" hidden="1" ht="1" customHeight="1">
      <s:c r="A21598" s="120" t="inlineStr"/>
      <s:c r="B21598" s="121" t="n"/>
      <s:c r="C21598" s="121" t="n"/>
      <s:c r="D21598" s="121" t="n"/>
      <s:c r="E21598" s="122" t="n"/>
    </s:row>
    <s:row r="21599" hidden="1" ht="1" customHeight="1">
      <s:c r="A21599" s="120" t="inlineStr"/>
      <s:c r="B21599" s="121" t="n"/>
      <s:c r="C21599" s="121" t="n"/>
      <s:c r="D21599" s="121" t="n"/>
      <s:c r="E21599" s="122" t="n"/>
    </s:row>
    <s:row r="21600" hidden="1" ht="1" customHeight="1">
      <s:c r="A21600" s="120" t="inlineStr"/>
      <s:c r="B21600" s="121" t="n"/>
      <s:c r="C21600" s="121" t="n"/>
      <s:c r="D21600" s="121" t="n"/>
      <s:c r="E21600" s="122" t="n"/>
    </s:row>
    <s:row r="21601" hidden="1" ht="1" customHeight="1">
      <s:c r="A21601" s="120" t="inlineStr"/>
      <s:c r="B21601" s="121" t="n"/>
      <s:c r="C21601" s="121" t="n"/>
      <s:c r="D21601" s="121" t="n"/>
      <s:c r="E21601" s="122" t="n"/>
    </s:row>
    <s:row r="21602" hidden="1" ht="1" customHeight="1">
      <s:c r="A21602" s="120" t="inlineStr"/>
      <s:c r="B21602" s="121" t="n"/>
      <s:c r="C21602" s="121" t="n"/>
      <s:c r="D21602" s="121" t="n"/>
      <s:c r="E21602" s="122" t="n"/>
    </s:row>
    <s:row r="21603" hidden="1" ht="1" customHeight="1">
      <s:c r="A21603" s="120" t="inlineStr"/>
      <s:c r="B21603" s="121" t="n"/>
      <s:c r="C21603" s="121" t="n"/>
      <s:c r="D21603" s="121" t="n"/>
      <s:c r="E21603" s="122" t="n"/>
    </s:row>
    <s:row r="21604" hidden="1" ht="1" customHeight="1">
      <s:c r="A21604" s="120" t="inlineStr"/>
      <s:c r="B21604" s="121" t="n"/>
      <s:c r="C21604" s="121" t="n"/>
      <s:c r="D21604" s="121" t="n"/>
      <s:c r="E21604" s="122" t="n"/>
    </s:row>
    <s:row r="21605" hidden="1" ht="1" customHeight="1">
      <s:c r="A21605" s="120" t="inlineStr"/>
      <s:c r="B21605" s="121" t="n"/>
      <s:c r="C21605" s="121" t="n"/>
      <s:c r="D21605" s="121" t="n"/>
      <s:c r="E21605" s="122" t="n"/>
    </s:row>
    <s:row r="21606" hidden="1" ht="1" customHeight="1">
      <s:c r="A21606" s="120" t="inlineStr"/>
      <s:c r="B21606" s="121" t="n"/>
      <s:c r="C21606" s="121" t="n"/>
      <s:c r="D21606" s="121" t="n"/>
      <s:c r="E21606" s="122" t="n"/>
    </s:row>
    <s:row r="21607" hidden="1" ht="1" customHeight="1">
      <s:c r="A21607" s="120" t="inlineStr"/>
      <s:c r="B21607" s="121" t="n"/>
      <s:c r="C21607" s="121" t="n"/>
      <s:c r="D21607" s="121" t="n"/>
      <s:c r="E21607" s="122" t="n"/>
    </s:row>
    <s:row r="21608" hidden="1" ht="1" customHeight="1">
      <s:c r="A21608" s="120" t="inlineStr"/>
      <s:c r="B21608" s="121" t="n"/>
      <s:c r="C21608" s="121" t="n"/>
      <s:c r="D21608" s="121" t="n"/>
      <s:c r="E21608" s="122" t="n"/>
    </s:row>
    <s:row r="21609" hidden="1" ht="1" customHeight="1">
      <s:c r="A21609" s="120" t="inlineStr"/>
      <s:c r="B21609" s="121" t="n"/>
      <s:c r="C21609" s="121" t="n"/>
      <s:c r="D21609" s="121" t="n"/>
      <s:c r="E21609" s="122" t="n"/>
    </s:row>
    <s:row r="21610" hidden="1" ht="1" customHeight="1">
      <s:c r="A21610" s="120" t="inlineStr"/>
      <s:c r="B21610" s="121" t="n"/>
      <s:c r="C21610" s="121" t="n"/>
      <s:c r="D21610" s="121" t="n"/>
      <s:c r="E21610" s="122" t="n"/>
    </s:row>
    <s:row r="21611" hidden="1" ht="1" customHeight="1">
      <s:c r="A21611" s="120" t="inlineStr"/>
      <s:c r="B21611" s="121" t="n"/>
      <s:c r="C21611" s="121" t="n"/>
      <s:c r="D21611" s="121" t="n"/>
      <s:c r="E21611" s="122" t="n"/>
    </s:row>
    <s:row r="21612" hidden="1" ht="1" customHeight="1">
      <s:c r="A21612" s="120" t="inlineStr"/>
      <s:c r="B21612" s="121" t="n"/>
      <s:c r="C21612" s="121" t="n"/>
      <s:c r="D21612" s="121" t="n"/>
      <s:c r="E21612" s="122" t="n"/>
    </s:row>
    <s:row r="21613" hidden="1" ht="1" customHeight="1">
      <s:c r="A21613" s="120" t="inlineStr"/>
      <s:c r="B21613" s="121" t="n"/>
      <s:c r="C21613" s="121" t="n"/>
      <s:c r="D21613" s="121" t="n"/>
      <s:c r="E21613" s="122" t="n"/>
    </s:row>
    <s:row r="21614" hidden="1" ht="1" customHeight="1">
      <s:c r="A21614" s="120" t="inlineStr"/>
      <s:c r="B21614" s="121" t="n"/>
      <s:c r="C21614" s="121" t="n"/>
      <s:c r="D21614" s="121" t="n"/>
      <s:c r="E21614" s="122" t="n"/>
    </s:row>
    <s:row r="21615" hidden="1" ht="1" customHeight="1">
      <s:c r="A21615" s="120" t="inlineStr"/>
      <s:c r="B21615" s="121" t="n"/>
      <s:c r="C21615" s="121" t="n"/>
      <s:c r="D21615" s="121" t="n"/>
      <s:c r="E21615" s="122" t="n"/>
    </s:row>
    <s:row r="21616" hidden="1" ht="1" customHeight="1">
      <s:c r="A21616" s="120" t="inlineStr"/>
      <s:c r="B21616" s="121" t="n"/>
      <s:c r="C21616" s="121" t="n"/>
      <s:c r="D21616" s="121" t="n"/>
      <s:c r="E21616" s="122" t="n"/>
    </s:row>
    <s:row r="21617" hidden="1" ht="1" customHeight="1">
      <s:c r="A21617" s="120" t="inlineStr"/>
      <s:c r="B21617" s="121" t="n"/>
      <s:c r="C21617" s="121" t="n"/>
      <s:c r="D21617" s="121" t="n"/>
      <s:c r="E21617" s="122" t="n"/>
    </s:row>
    <s:row r="21618" hidden="1" ht="1" customHeight="1">
      <s:c r="A21618" s="120" t="inlineStr"/>
      <s:c r="B21618" s="121" t="n"/>
      <s:c r="C21618" s="121" t="n"/>
      <s:c r="D21618" s="121" t="n"/>
      <s:c r="E21618" s="122" t="n"/>
    </s:row>
    <s:row r="21619" hidden="1" ht="1" customHeight="1">
      <s:c r="A21619" s="120" t="inlineStr"/>
      <s:c r="B21619" s="121" t="n"/>
      <s:c r="C21619" s="121" t="n"/>
      <s:c r="D21619" s="121" t="n"/>
      <s:c r="E21619" s="122" t="n"/>
    </s:row>
    <s:row r="21620" hidden="1" ht="1" customHeight="1">
      <s:c r="A21620" s="120" t="inlineStr"/>
      <s:c r="B21620" s="121" t="n"/>
      <s:c r="C21620" s="121" t="n"/>
      <s:c r="D21620" s="121" t="n"/>
      <s:c r="E21620" s="122" t="n"/>
    </s:row>
    <s:row r="21621" hidden="1" ht="1" customHeight="1">
      <s:c r="A21621" s="120" t="inlineStr"/>
      <s:c r="B21621" s="121" t="n"/>
      <s:c r="C21621" s="121" t="n"/>
      <s:c r="D21621" s="121" t="n"/>
      <s:c r="E21621" s="122" t="n"/>
    </s:row>
    <s:row r="21622" hidden="1" ht="1" customHeight="1">
      <s:c r="A21622" s="120" t="inlineStr"/>
      <s:c r="B21622" s="121" t="n"/>
      <s:c r="C21622" s="121" t="n"/>
      <s:c r="D21622" s="121" t="n"/>
      <s:c r="E21622" s="122" t="n"/>
    </s:row>
    <s:row r="21623" hidden="1" ht="1" customHeight="1">
      <s:c r="A21623" s="120" t="inlineStr"/>
      <s:c r="B21623" s="121" t="n"/>
      <s:c r="C21623" s="121" t="n"/>
      <s:c r="D21623" s="121" t="n"/>
      <s:c r="E21623" s="122" t="n"/>
    </s:row>
    <s:row r="21624" hidden="1" ht="1" customHeight="1">
      <s:c r="A21624" s="120" t="inlineStr"/>
      <s:c r="B21624" s="121" t="n"/>
      <s:c r="C21624" s="121" t="n"/>
      <s:c r="D21624" s="121" t="n"/>
      <s:c r="E21624" s="122" t="n"/>
    </s:row>
    <s:row r="21625" hidden="1" ht="1" customHeight="1">
      <s:c r="A21625" s="120" t="inlineStr"/>
      <s:c r="B21625" s="121" t="n"/>
      <s:c r="C21625" s="121" t="n"/>
      <s:c r="D21625" s="121" t="n"/>
      <s:c r="E21625" s="122" t="n"/>
    </s:row>
    <s:row r="21626" hidden="1" ht="1" customHeight="1">
      <s:c r="A21626" s="120" t="inlineStr"/>
      <s:c r="B21626" s="121" t="n"/>
      <s:c r="C21626" s="121" t="n"/>
      <s:c r="D21626" s="121" t="n"/>
      <s:c r="E21626" s="122" t="n"/>
    </s:row>
    <s:row r="21627" hidden="1" ht="1" customHeight="1">
      <s:c r="A21627" s="120" t="inlineStr"/>
      <s:c r="B21627" s="121" t="n"/>
      <s:c r="C21627" s="121" t="n"/>
      <s:c r="D21627" s="121" t="n"/>
      <s:c r="E21627" s="122" t="n"/>
    </s:row>
    <s:row r="21628" hidden="1" ht="1" customHeight="1">
      <s:c r="A21628" s="120" t="inlineStr"/>
      <s:c r="B21628" s="121" t="n"/>
      <s:c r="C21628" s="121" t="n"/>
      <s:c r="D21628" s="121" t="n"/>
      <s:c r="E21628" s="122" t="n"/>
    </s:row>
    <s:row r="21629" hidden="1" ht="1" customHeight="1">
      <s:c r="A21629" s="120" t="inlineStr"/>
      <s:c r="B21629" s="121" t="n"/>
      <s:c r="C21629" s="121" t="n"/>
      <s:c r="D21629" s="121" t="n"/>
      <s:c r="E21629" s="122" t="n"/>
    </s:row>
    <s:row r="21630" hidden="1" ht="1" customHeight="1">
      <s:c r="A21630" s="120" t="inlineStr"/>
      <s:c r="B21630" s="121" t="n"/>
      <s:c r="C21630" s="121" t="n"/>
      <s:c r="D21630" s="121" t="n"/>
      <s:c r="E21630" s="122" t="n"/>
    </s:row>
    <s:row r="21631" hidden="1" ht="1" customHeight="1">
      <s:c r="A21631" s="120" t="inlineStr"/>
      <s:c r="B21631" s="121" t="n"/>
      <s:c r="C21631" s="121" t="n"/>
      <s:c r="D21631" s="121" t="n"/>
      <s:c r="E21631" s="122" t="n"/>
    </s:row>
    <s:row r="21632" hidden="1" ht="1" customHeight="1">
      <s:c r="A21632" s="120" t="inlineStr"/>
      <s:c r="B21632" s="121" t="n"/>
      <s:c r="C21632" s="121" t="n"/>
      <s:c r="D21632" s="121" t="n"/>
      <s:c r="E21632" s="122" t="n"/>
    </s:row>
    <s:row r="21633" hidden="1" ht="1" customHeight="1">
      <s:c r="A21633" s="120" t="inlineStr"/>
      <s:c r="B21633" s="121" t="n"/>
      <s:c r="C21633" s="121" t="n"/>
      <s:c r="D21633" s="121" t="n"/>
      <s:c r="E21633" s="122" t="n"/>
    </s:row>
    <s:row r="21634" hidden="1" ht="1" customHeight="1">
      <s:c r="A21634" s="120" t="inlineStr"/>
      <s:c r="B21634" s="121" t="n"/>
      <s:c r="C21634" s="121" t="n"/>
      <s:c r="D21634" s="121" t="n"/>
      <s:c r="E21634" s="122" t="n"/>
    </s:row>
    <s:row r="21635" hidden="1" ht="1" customHeight="1">
      <s:c r="A21635" s="120" t="inlineStr"/>
      <s:c r="B21635" s="121" t="n"/>
      <s:c r="C21635" s="121" t="n"/>
      <s:c r="D21635" s="121" t="n"/>
      <s:c r="E21635" s="122" t="n"/>
    </s:row>
    <s:row r="21636" hidden="1" ht="1" customHeight="1">
      <s:c r="A21636" s="120" t="inlineStr"/>
      <s:c r="B21636" s="121" t="n"/>
      <s:c r="C21636" s="121" t="n"/>
      <s:c r="D21636" s="121" t="n"/>
      <s:c r="E21636" s="122" t="n"/>
    </s:row>
    <s:row r="21637" hidden="1" ht="1" customHeight="1">
      <s:c r="A21637" s="120" t="inlineStr"/>
      <s:c r="B21637" s="121" t="n"/>
      <s:c r="C21637" s="121" t="n"/>
      <s:c r="D21637" s="121" t="n"/>
      <s:c r="E21637" s="122" t="n"/>
    </s:row>
    <s:row r="21638" hidden="1" ht="1" customHeight="1">
      <s:c r="A21638" s="120" t="inlineStr"/>
      <s:c r="B21638" s="121" t="n"/>
      <s:c r="C21638" s="121" t="n"/>
      <s:c r="D21638" s="121" t="n"/>
      <s:c r="E21638" s="122" t="n"/>
    </s:row>
    <s:row r="21639" hidden="1" ht="1" customHeight="1">
      <s:c r="A21639" s="120" t="inlineStr"/>
      <s:c r="B21639" s="121" t="n"/>
      <s:c r="C21639" s="121" t="n"/>
      <s:c r="D21639" s="121" t="n"/>
      <s:c r="E21639" s="122" t="n"/>
    </s:row>
    <s:row r="21640" hidden="1" ht="1" customHeight="1">
      <s:c r="A21640" s="120" t="inlineStr"/>
      <s:c r="B21640" s="121" t="n"/>
      <s:c r="C21640" s="121" t="n"/>
      <s:c r="D21640" s="121" t="n"/>
      <s:c r="E21640" s="122" t="n"/>
    </s:row>
    <s:row r="21641" hidden="1" ht="1" customHeight="1">
      <s:c r="A21641" s="120" t="inlineStr"/>
      <s:c r="B21641" s="121" t="n"/>
      <s:c r="C21641" s="121" t="n"/>
      <s:c r="D21641" s="121" t="n"/>
      <s:c r="E21641" s="122" t="n"/>
    </s:row>
    <s:row r="21642" hidden="1" ht="1" customHeight="1">
      <s:c r="A21642" s="120" t="inlineStr"/>
      <s:c r="B21642" s="121" t="n"/>
      <s:c r="C21642" s="121" t="n"/>
      <s:c r="D21642" s="121" t="n"/>
      <s:c r="E21642" s="122" t="n"/>
    </s:row>
    <s:row r="21643" hidden="1" ht="1" customHeight="1">
      <s:c r="A21643" s="120" t="inlineStr"/>
      <s:c r="B21643" s="121" t="n"/>
      <s:c r="C21643" s="121" t="n"/>
      <s:c r="D21643" s="121" t="n"/>
      <s:c r="E21643" s="122" t="n"/>
    </s:row>
    <s:row r="21644" hidden="1" ht="1" customHeight="1">
      <s:c r="A21644" s="120" t="inlineStr"/>
      <s:c r="B21644" s="121" t="n"/>
      <s:c r="C21644" s="121" t="n"/>
      <s:c r="D21644" s="121" t="n"/>
      <s:c r="E21644" s="122" t="n"/>
    </s:row>
    <s:row r="21645" hidden="1" ht="1" customHeight="1">
      <s:c r="A21645" s="120" t="inlineStr"/>
      <s:c r="B21645" s="121" t="n"/>
      <s:c r="C21645" s="121" t="n"/>
      <s:c r="D21645" s="121" t="n"/>
      <s:c r="E21645" s="122" t="n"/>
    </s:row>
    <s:row r="21646" hidden="1" ht="1" customHeight="1">
      <s:c r="A21646" s="120" t="inlineStr"/>
      <s:c r="B21646" s="121" t="n"/>
      <s:c r="C21646" s="121" t="n"/>
      <s:c r="D21646" s="121" t="n"/>
      <s:c r="E21646" s="122" t="n"/>
    </s:row>
    <s:row r="21647" hidden="1" ht="1" customHeight="1">
      <s:c r="A21647" s="120" t="inlineStr"/>
      <s:c r="B21647" s="121" t="n"/>
      <s:c r="C21647" s="121" t="n"/>
      <s:c r="D21647" s="121" t="n"/>
      <s:c r="E21647" s="122" t="n"/>
    </s:row>
    <s:row r="21648" hidden="1" ht="1" customHeight="1">
      <s:c r="A21648" s="120" t="inlineStr"/>
      <s:c r="B21648" s="121" t="n"/>
      <s:c r="C21648" s="121" t="n"/>
      <s:c r="D21648" s="121" t="n"/>
      <s:c r="E21648" s="122" t="n"/>
    </s:row>
    <s:row r="21649" hidden="1" ht="1" customHeight="1">
      <s:c r="A21649" s="120" t="inlineStr"/>
      <s:c r="B21649" s="121" t="n"/>
      <s:c r="C21649" s="121" t="n"/>
      <s:c r="D21649" s="121" t="n"/>
      <s:c r="E21649" s="122" t="n"/>
    </s:row>
    <s:row r="21650" hidden="1" ht="1" customHeight="1">
      <s:c r="A21650" s="120" t="inlineStr"/>
      <s:c r="B21650" s="121" t="n"/>
      <s:c r="C21650" s="121" t="n"/>
      <s:c r="D21650" s="121" t="n"/>
      <s:c r="E21650" s="122" t="n"/>
    </s:row>
    <s:row r="21651" hidden="1" ht="1" customHeight="1">
      <s:c r="A21651" s="120" t="inlineStr"/>
      <s:c r="B21651" s="121" t="n"/>
      <s:c r="C21651" s="121" t="n"/>
      <s:c r="D21651" s="121" t="n"/>
      <s:c r="E21651" s="122" t="n"/>
    </s:row>
    <s:row r="21652" hidden="1" ht="1" customHeight="1">
      <s:c r="A21652" s="120" t="inlineStr"/>
      <s:c r="B21652" s="121" t="n"/>
      <s:c r="C21652" s="121" t="n"/>
      <s:c r="D21652" s="121" t="n"/>
      <s:c r="E21652" s="122" t="n"/>
    </s:row>
    <s:row r="21653" hidden="1" ht="1" customHeight="1">
      <s:c r="A21653" s="120" t="inlineStr"/>
      <s:c r="B21653" s="121" t="n"/>
      <s:c r="C21653" s="121" t="n"/>
      <s:c r="D21653" s="121" t="n"/>
      <s:c r="E21653" s="122" t="n"/>
    </s:row>
    <s:row r="21654" hidden="1" ht="1" customHeight="1">
      <s:c r="A21654" s="120" t="inlineStr"/>
      <s:c r="B21654" s="121" t="n"/>
      <s:c r="C21654" s="121" t="n"/>
      <s:c r="D21654" s="121" t="n"/>
      <s:c r="E21654" s="122" t="n"/>
    </s:row>
    <s:row r="21655" hidden="1" ht="1" customHeight="1">
      <s:c r="A21655" s="120" t="inlineStr"/>
      <s:c r="B21655" s="121" t="n"/>
      <s:c r="C21655" s="121" t="n"/>
      <s:c r="D21655" s="121" t="n"/>
      <s:c r="E21655" s="122" t="n"/>
    </s:row>
    <s:row r="21656" hidden="1" ht="1" customHeight="1">
      <s:c r="A21656" s="120" t="inlineStr"/>
      <s:c r="B21656" s="121" t="n"/>
      <s:c r="C21656" s="121" t="n"/>
      <s:c r="D21656" s="121" t="n"/>
      <s:c r="E21656" s="122" t="n"/>
    </s:row>
    <s:row r="21657" hidden="1" ht="1" customHeight="1">
      <s:c r="A21657" s="120" t="inlineStr"/>
      <s:c r="B21657" s="121" t="n"/>
      <s:c r="C21657" s="121" t="n"/>
      <s:c r="D21657" s="121" t="n"/>
      <s:c r="E21657" s="122" t="n"/>
    </s:row>
    <s:row r="21658" hidden="1" ht="1" customHeight="1">
      <s:c r="A21658" s="120" t="inlineStr"/>
      <s:c r="B21658" s="121" t="n"/>
      <s:c r="C21658" s="121" t="n"/>
      <s:c r="D21658" s="121" t="n"/>
      <s:c r="E21658" s="122" t="n"/>
    </s:row>
    <s:row r="21659" hidden="1" ht="1" customHeight="1">
      <s:c r="A21659" s="120" t="inlineStr"/>
      <s:c r="B21659" s="121" t="n"/>
      <s:c r="C21659" s="121" t="n"/>
      <s:c r="D21659" s="121" t="n"/>
      <s:c r="E21659" s="122" t="n"/>
    </s:row>
    <s:row r="21660" hidden="1" ht="1" customHeight="1">
      <s:c r="A21660" s="120" t="inlineStr"/>
      <s:c r="B21660" s="121" t="n"/>
      <s:c r="C21660" s="121" t="n"/>
      <s:c r="D21660" s="121" t="n"/>
      <s:c r="E21660" s="122" t="n"/>
    </s:row>
    <s:row r="21661" hidden="1" ht="1" customHeight="1">
      <s:c r="A21661" s="120" t="inlineStr"/>
      <s:c r="B21661" s="121" t="n"/>
      <s:c r="C21661" s="121" t="n"/>
      <s:c r="D21661" s="121" t="n"/>
      <s:c r="E21661" s="122" t="n"/>
    </s:row>
    <s:row r="21662" hidden="1" ht="1" customHeight="1">
      <s:c r="A21662" s="120" t="inlineStr"/>
      <s:c r="B21662" s="121" t="n"/>
      <s:c r="C21662" s="121" t="n"/>
      <s:c r="D21662" s="121" t="n"/>
      <s:c r="E21662" s="122" t="n"/>
    </s:row>
    <s:row r="21663" hidden="1" ht="1" customHeight="1">
      <s:c r="A21663" s="120" t="inlineStr"/>
      <s:c r="B21663" s="121" t="n"/>
      <s:c r="C21663" s="121" t="n"/>
      <s:c r="D21663" s="121" t="n"/>
      <s:c r="E21663" s="122" t="n"/>
    </s:row>
    <s:row r="21664" hidden="1" ht="1" customHeight="1">
      <s:c r="A21664" s="120" t="inlineStr"/>
      <s:c r="B21664" s="121" t="n"/>
      <s:c r="C21664" s="121" t="n"/>
      <s:c r="D21664" s="121" t="n"/>
      <s:c r="E21664" s="122" t="n"/>
    </s:row>
    <s:row r="21665" hidden="1" ht="1" customHeight="1">
      <s:c r="A21665" s="120" t="inlineStr"/>
      <s:c r="B21665" s="121" t="n"/>
      <s:c r="C21665" s="121" t="n"/>
      <s:c r="D21665" s="121" t="n"/>
      <s:c r="E21665" s="122" t="n"/>
    </s:row>
    <s:row r="21666" hidden="1" ht="1" customHeight="1">
      <s:c r="A21666" s="120" t="inlineStr"/>
      <s:c r="B21666" s="121" t="n"/>
      <s:c r="C21666" s="121" t="n"/>
      <s:c r="D21666" s="121" t="n"/>
      <s:c r="E21666" s="122" t="n"/>
    </s:row>
    <s:row r="21667" hidden="1" ht="1" customHeight="1">
      <s:c r="A21667" s="120" t="inlineStr"/>
      <s:c r="B21667" s="121" t="n"/>
      <s:c r="C21667" s="121" t="n"/>
      <s:c r="D21667" s="121" t="n"/>
      <s:c r="E21667" s="122" t="n"/>
    </s:row>
    <s:row r="21668" hidden="1" ht="1" customHeight="1">
      <s:c r="A21668" s="120" t="inlineStr"/>
      <s:c r="B21668" s="121" t="n"/>
      <s:c r="C21668" s="121" t="n"/>
      <s:c r="D21668" s="121" t="n"/>
      <s:c r="E21668" s="122" t="n"/>
    </s:row>
    <s:row r="21669" hidden="1" ht="1" customHeight="1">
      <s:c r="A21669" s="120" t="inlineStr"/>
      <s:c r="B21669" s="121" t="n"/>
      <s:c r="C21669" s="121" t="n"/>
      <s:c r="D21669" s="121" t="n"/>
      <s:c r="E21669" s="122" t="n"/>
    </s:row>
    <s:row r="21670" hidden="1" ht="1" customHeight="1">
      <s:c r="A21670" s="120" t="inlineStr"/>
      <s:c r="B21670" s="121" t="n"/>
      <s:c r="C21670" s="121" t="n"/>
      <s:c r="D21670" s="121" t="n"/>
      <s:c r="E21670" s="122" t="n"/>
    </s:row>
    <s:row r="21671" hidden="1" ht="1" customHeight="1">
      <s:c r="A21671" s="120" t="inlineStr"/>
      <s:c r="B21671" s="121" t="n"/>
      <s:c r="C21671" s="121" t="n"/>
      <s:c r="D21671" s="121" t="n"/>
      <s:c r="E21671" s="122" t="n"/>
    </s:row>
    <s:row r="21672" hidden="1" ht="1" customHeight="1">
      <s:c r="A21672" s="120" t="inlineStr"/>
      <s:c r="B21672" s="121" t="n"/>
      <s:c r="C21672" s="121" t="n"/>
      <s:c r="D21672" s="121" t="n"/>
      <s:c r="E21672" s="122" t="n"/>
    </s:row>
    <s:row r="21673" hidden="1" ht="1" customHeight="1">
      <s:c r="A21673" s="120" t="inlineStr"/>
      <s:c r="B21673" s="121" t="n"/>
      <s:c r="C21673" s="121" t="n"/>
      <s:c r="D21673" s="121" t="n"/>
      <s:c r="E21673" s="122" t="n"/>
    </s:row>
    <s:row r="21674" hidden="1" ht="1" customHeight="1">
      <s:c r="A21674" s="120" t="inlineStr"/>
      <s:c r="B21674" s="121" t="n"/>
      <s:c r="C21674" s="121" t="n"/>
      <s:c r="D21674" s="121" t="n"/>
      <s:c r="E21674" s="122" t="n"/>
    </s:row>
    <s:row r="21675" hidden="1" ht="1" customHeight="1">
      <s:c r="A21675" s="120" t="inlineStr"/>
      <s:c r="B21675" s="121" t="n"/>
      <s:c r="C21675" s="121" t="n"/>
      <s:c r="D21675" s="121" t="n"/>
      <s:c r="E21675" s="122" t="n"/>
    </s:row>
    <s:row r="21676" hidden="1" ht="1" customHeight="1">
      <s:c r="A21676" s="120" t="inlineStr"/>
      <s:c r="B21676" s="121" t="n"/>
      <s:c r="C21676" s="121" t="n"/>
      <s:c r="D21676" s="121" t="n"/>
      <s:c r="E21676" s="122" t="n"/>
    </s:row>
    <s:row r="21677" hidden="1" ht="1" customHeight="1">
      <s:c r="A21677" s="120" t="inlineStr"/>
      <s:c r="B21677" s="121" t="n"/>
      <s:c r="C21677" s="121" t="n"/>
      <s:c r="D21677" s="121" t="n"/>
      <s:c r="E21677" s="122" t="n"/>
    </s:row>
    <s:row r="21678" hidden="1" ht="1" customHeight="1">
      <s:c r="A21678" s="120" t="inlineStr"/>
      <s:c r="B21678" s="121" t="n"/>
      <s:c r="C21678" s="121" t="n"/>
      <s:c r="D21678" s="121" t="n"/>
      <s:c r="E21678" s="122" t="n"/>
    </s:row>
    <s:row r="21679" hidden="1" ht="1" customHeight="1">
      <s:c r="A21679" s="120" t="inlineStr"/>
      <s:c r="B21679" s="121" t="n"/>
      <s:c r="C21679" s="121" t="n"/>
      <s:c r="D21679" s="121" t="n"/>
      <s:c r="E21679" s="122" t="n"/>
    </s:row>
    <s:row r="21680" hidden="1" ht="1" customHeight="1">
      <s:c r="A21680" s="120" t="inlineStr"/>
      <s:c r="B21680" s="121" t="n"/>
      <s:c r="C21680" s="121" t="n"/>
      <s:c r="D21680" s="121" t="n"/>
      <s:c r="E21680" s="122" t="n"/>
    </s:row>
    <s:row r="21681" hidden="1" ht="1" customHeight="1">
      <s:c r="A21681" s="120" t="inlineStr"/>
      <s:c r="B21681" s="121" t="n"/>
      <s:c r="C21681" s="121" t="n"/>
      <s:c r="D21681" s="121" t="n"/>
      <s:c r="E21681" s="122" t="n"/>
    </s:row>
    <s:row r="21682" hidden="1" ht="1" customHeight="1">
      <s:c r="A21682" s="120" t="inlineStr"/>
      <s:c r="B21682" s="121" t="n"/>
      <s:c r="C21682" s="121" t="n"/>
      <s:c r="D21682" s="121" t="n"/>
      <s:c r="E21682" s="122" t="n"/>
    </s:row>
    <s:row r="21683" hidden="1" ht="1" customHeight="1">
      <s:c r="A21683" s="120" t="inlineStr"/>
      <s:c r="B21683" s="121" t="n"/>
      <s:c r="C21683" s="121" t="n"/>
      <s:c r="D21683" s="121" t="n"/>
      <s:c r="E21683" s="122" t="n"/>
    </s:row>
    <s:row r="21684" hidden="1" ht="1" customHeight="1">
      <s:c r="A21684" s="120" t="inlineStr"/>
      <s:c r="B21684" s="121" t="n"/>
      <s:c r="C21684" s="121" t="n"/>
      <s:c r="D21684" s="121" t="n"/>
      <s:c r="E21684" s="122" t="n"/>
    </s:row>
    <s:row r="21685" hidden="1" ht="1" customHeight="1">
      <s:c r="A21685" s="120" t="inlineStr"/>
      <s:c r="B21685" s="121" t="n"/>
      <s:c r="C21685" s="121" t="n"/>
      <s:c r="D21685" s="121" t="n"/>
      <s:c r="E21685" s="122" t="n"/>
    </s:row>
    <s:row r="21686" hidden="1" ht="1" customHeight="1">
      <s:c r="A21686" s="120" t="inlineStr"/>
      <s:c r="B21686" s="121" t="n"/>
      <s:c r="C21686" s="121" t="n"/>
      <s:c r="D21686" s="121" t="n"/>
      <s:c r="E21686" s="122" t="n"/>
    </s:row>
    <s:row r="21687" hidden="1" ht="1" customHeight="1">
      <s:c r="A21687" s="120" t="inlineStr"/>
      <s:c r="B21687" s="121" t="n"/>
      <s:c r="C21687" s="121" t="n"/>
      <s:c r="D21687" s="121" t="n"/>
      <s:c r="E21687" s="122" t="n"/>
    </s:row>
    <s:row r="21688" hidden="1" ht="1" customHeight="1">
      <s:c r="A21688" s="120" t="inlineStr"/>
      <s:c r="B21688" s="121" t="n"/>
      <s:c r="C21688" s="121" t="n"/>
      <s:c r="D21688" s="121" t="n"/>
      <s:c r="E21688" s="122" t="n"/>
    </s:row>
    <s:row r="21689" hidden="1" ht="1" customHeight="1">
      <s:c r="A21689" s="120" t="inlineStr"/>
      <s:c r="B21689" s="121" t="n"/>
      <s:c r="C21689" s="121" t="n"/>
      <s:c r="D21689" s="121" t="n"/>
      <s:c r="E21689" s="122" t="n"/>
    </s:row>
    <s:row r="21690" hidden="1" ht="1" customHeight="1">
      <s:c r="A21690" s="120" t="inlineStr"/>
      <s:c r="B21690" s="121" t="n"/>
      <s:c r="C21690" s="121" t="n"/>
      <s:c r="D21690" s="121" t="n"/>
      <s:c r="E21690" s="122" t="n"/>
    </s:row>
    <s:row r="21691" hidden="1" ht="1" customHeight="1">
      <s:c r="A21691" s="120" t="inlineStr"/>
      <s:c r="B21691" s="121" t="n"/>
      <s:c r="C21691" s="121" t="n"/>
      <s:c r="D21691" s="121" t="n"/>
      <s:c r="E21691" s="122" t="n"/>
    </s:row>
    <s:row r="21692" hidden="1" ht="1" customHeight="1">
      <s:c r="A21692" s="120" t="inlineStr"/>
      <s:c r="B21692" s="121" t="n"/>
      <s:c r="C21692" s="121" t="n"/>
      <s:c r="D21692" s="121" t="n"/>
      <s:c r="E21692" s="122" t="n"/>
    </s:row>
    <s:row r="21693" hidden="1" ht="1" customHeight="1">
      <s:c r="A21693" s="120" t="inlineStr"/>
      <s:c r="B21693" s="121" t="n"/>
      <s:c r="C21693" s="121" t="n"/>
      <s:c r="D21693" s="121" t="n"/>
      <s:c r="E21693" s="122" t="n"/>
    </s:row>
    <s:row r="21694" hidden="1" ht="1" customHeight="1">
      <s:c r="A21694" s="120" t="inlineStr"/>
      <s:c r="B21694" s="121" t="n"/>
      <s:c r="C21694" s="121" t="n"/>
      <s:c r="D21694" s="121" t="n"/>
      <s:c r="E21694" s="122" t="n"/>
    </s:row>
    <s:row r="21695" hidden="1" ht="1" customHeight="1">
      <s:c r="A21695" s="120" t="inlineStr"/>
      <s:c r="B21695" s="121" t="n"/>
      <s:c r="C21695" s="121" t="n"/>
      <s:c r="D21695" s="121" t="n"/>
      <s:c r="E21695" s="122" t="n"/>
    </s:row>
    <s:row r="21696" hidden="1" ht="1" customHeight="1">
      <s:c r="A21696" s="120" t="inlineStr"/>
      <s:c r="B21696" s="121" t="n"/>
      <s:c r="C21696" s="121" t="n"/>
      <s:c r="D21696" s="121" t="n"/>
      <s:c r="E21696" s="122" t="n"/>
    </s:row>
    <s:row r="21697" hidden="1" ht="1" customHeight="1">
      <s:c r="A21697" s="120" t="inlineStr"/>
      <s:c r="B21697" s="121" t="n"/>
      <s:c r="C21697" s="121" t="n"/>
      <s:c r="D21697" s="121" t="n"/>
      <s:c r="E21697" s="122" t="n"/>
    </s:row>
    <s:row r="21698" hidden="1" ht="1" customHeight="1">
      <s:c r="A21698" s="120" t="inlineStr"/>
      <s:c r="B21698" s="121" t="n"/>
      <s:c r="C21698" s="121" t="n"/>
      <s:c r="D21698" s="121" t="n"/>
      <s:c r="E21698" s="122" t="n"/>
    </s:row>
    <s:row r="21699" hidden="1" ht="1" customHeight="1">
      <s:c r="A21699" s="120" t="inlineStr"/>
      <s:c r="B21699" s="121" t="n"/>
      <s:c r="C21699" s="121" t="n"/>
      <s:c r="D21699" s="121" t="n"/>
      <s:c r="E21699" s="122" t="n"/>
    </s:row>
    <s:row r="21700" hidden="1" ht="1" customHeight="1">
      <s:c r="A21700" s="120" t="inlineStr"/>
      <s:c r="B21700" s="121" t="n"/>
      <s:c r="C21700" s="121" t="n"/>
      <s:c r="D21700" s="121" t="n"/>
      <s:c r="E21700" s="122" t="n"/>
    </s:row>
    <s:row r="21701" hidden="1" ht="1" customHeight="1">
      <s:c r="A21701" s="120" t="inlineStr"/>
      <s:c r="B21701" s="121" t="n"/>
      <s:c r="C21701" s="121" t="n"/>
      <s:c r="D21701" s="121" t="n"/>
      <s:c r="E21701" s="122" t="n"/>
    </s:row>
    <s:row r="21702" hidden="1" ht="1" customHeight="1">
      <s:c r="A21702" s="120" t="inlineStr"/>
      <s:c r="B21702" s="121" t="n"/>
      <s:c r="C21702" s="121" t="n"/>
      <s:c r="D21702" s="121" t="n"/>
      <s:c r="E21702" s="122" t="n"/>
    </s:row>
    <s:row r="21703" hidden="1" ht="1" customHeight="1">
      <s:c r="A21703" s="120" t="inlineStr"/>
      <s:c r="B21703" s="121" t="n"/>
      <s:c r="C21703" s="121" t="n"/>
      <s:c r="D21703" s="121" t="n"/>
      <s:c r="E21703" s="122" t="n"/>
    </s:row>
    <s:row r="21704" hidden="1" ht="1" customHeight="1">
      <s:c r="A21704" s="120" t="inlineStr"/>
      <s:c r="B21704" s="121" t="n"/>
      <s:c r="C21704" s="121" t="n"/>
      <s:c r="D21704" s="121" t="n"/>
      <s:c r="E21704" s="122" t="n"/>
    </s:row>
    <s:row r="21705" hidden="1" ht="1" customHeight="1">
      <s:c r="A21705" s="120" t="inlineStr"/>
      <s:c r="B21705" s="121" t="n"/>
      <s:c r="C21705" s="121" t="n"/>
      <s:c r="D21705" s="121" t="n"/>
      <s:c r="E21705" s="122" t="n"/>
    </s:row>
    <s:row r="21706" hidden="1" ht="1" customHeight="1">
      <s:c r="A21706" s="120" t="inlineStr"/>
      <s:c r="B21706" s="121" t="n"/>
      <s:c r="C21706" s="121" t="n"/>
      <s:c r="D21706" s="121" t="n"/>
      <s:c r="E21706" s="122" t="n"/>
    </s:row>
    <s:row r="21707" hidden="1" ht="1" customHeight="1">
      <s:c r="A21707" s="120" t="inlineStr"/>
      <s:c r="B21707" s="121" t="n"/>
      <s:c r="C21707" s="121" t="n"/>
      <s:c r="D21707" s="121" t="n"/>
      <s:c r="E21707" s="122" t="n"/>
    </s:row>
    <s:row r="21708" hidden="1" ht="1" customHeight="1">
      <s:c r="A21708" s="120" t="inlineStr"/>
      <s:c r="B21708" s="121" t="n"/>
      <s:c r="C21708" s="121" t="n"/>
      <s:c r="D21708" s="121" t="n"/>
      <s:c r="E21708" s="122" t="n"/>
    </s:row>
    <s:row r="21709" hidden="1" ht="1" customHeight="1">
      <s:c r="A21709" s="83" t="inlineStr">
        <s:is>
          <s:t>PASS</s:t>
        </s:is>
      </s:c>
      <s:c r="B21709" s="83">
        <s:f>SUM(IF(EXACT('Kiểm thử'!E21509,"Đạt"),1,0),IF(EXACT('Kiểm thử'!E21511,"Đạt"),1,0),IF(EXACT('Kiểm thử'!E21513,"Đạt"),1,0),IF(EXACT('Kiểm thử'!E21515,"Đạt"),1,0))</s:f>
        <s:v/>
      </s:c>
      <s:c r="C21709" s="19" t="n"/>
      <s:c r="D21709" s="19" t="n"/>
      <s:c r="E21709" s="19" t="n"/>
    </s:row>
    <s:row r="21710" hidden="1" ht="1" customHeight="1">
      <s:c r="A21710" s="83" t="inlineStr">
        <s:is>
          <s:t>FAIL</s:t>
        </s:is>
      </s:c>
      <s:c r="B21710" s="83">
        <s:f>SUM(IF(EXACT('Kiểm thử'!E21509,"Không đạt"),1,0),IF(EXACT('Kiểm thử'!E21511,"Không đạt"),1,0),IF(EXACT('Kiểm thử'!E21513,"Không đạt"),1,0),IF(EXACT('Kiểm thử'!E21515,"Không đạt"),1,0))</s:f>
        <s:v/>
      </s:c>
      <s:c r="C21710" s="19" t="n"/>
      <s:c r="D21710" s="19" t="n"/>
      <s:c r="E21710" s="19" t="n"/>
    </s:row>
    <s:row r="21711" hidden="1" ht="1" customHeight="1">
      <s:c r="A21711" s="83" t="inlineStr">
        <s:is>
          <s:t>BLOCKED</s:t>
        </s:is>
      </s:c>
      <s:c r="B21711" s="83">
        <s:f>SUM(IF(EXACT('Kiểm thử'!E21509,"Bị chặn"),1,0),IF(EXACT('Kiểm thử'!E21511,"Bị chặn"),1,0),IF(EXACT('Kiểm thử'!E21513,"Bị chặn"),1,0),IF(EXACT('Kiểm thử'!E21515,"Bị chặn"),1,0))</s:f>
        <s:v/>
      </s:c>
      <s:c r="C21711" s="19" t="n"/>
      <s:c r="D21711" s="19" t="n"/>
      <s:c r="E21711" s="19" t="n"/>
    </s:row>
    <s:row r="21712" hidden="1" ht="1" customHeight="1">
      <s:c r="A21712" s="83" t="inlineStr">
        <s:is>
          <s:t>SKIPPED</s:t>
        </s:is>
      </s:c>
      <s:c r="B21712" s="83">
        <s:f>SUM(IF(EXACT('Kiểm thử'!E21509,"Không thực hiện"),1,0),IF(EXACT('Kiểm thử'!E21511,"Không thực hiện"),1,0),IF(EXACT('Kiểm thử'!E21513,"Không thực hiện"),1,0),IF(EXACT('Kiểm thử'!E21515,"Không thực hiện"),1,0))</s:f>
        <s:v/>
      </s:c>
      <s:c r="C21712" s="19" t="n"/>
      <s:c r="D21712" s="19" t="n"/>
      <s:c r="E21712" s="19" t="n"/>
    </s:row>
    <s:row r="21713" hidden="1" ht="1" customHeight="1">
      <s:c r="A21713" s="83" t="inlineStr">
        <s:is>
          <s:t>NOT RUN</s:t>
        </s:is>
      </s:c>
      <s:c r="B21713" s="83">
        <s:f>SUM(IF(EXACT('Kiểm thử'!E21509,"Chưa thực hiện"),1,0),IF(EXACT('Kiểm thử'!E21511,"Chưa thực hiện"),1,0),IF(EXACT('Kiểm thử'!E21513,"Chưa thực hiện"),1,0),IF(EXACT('Kiểm thử'!E21515,"Chưa thực hiện"),1,0))</s:f>
        <s:v/>
      </s:c>
      <s:c r="C21713" s="19" t="n"/>
      <s:c r="D21713" s="19" t="n"/>
      <s:c r="E21713" s="19" t="n"/>
    </s:row>
    <s:row r="21714" hidden="1" ht="6" customHeight="1">
      <s:c r="A21714" s="83" t="inlineStr"/>
      <s:c r="B21714" s="19" t="n"/>
      <s:c r="C21714" s="19" t="n"/>
      <s:c r="D21714" s="19" t="n"/>
      <s:c r="E21714" s="19" t="n"/>
    </s:row>
    <s:row r="21715" ht="28" customHeight="1">
      <s:c r="A21715" s="108" t="inlineStr">
        <s:is>
          <s:t>TC-RS-BR-013 — Cờ Chưa dự thi（未受験） không loại điểm số khỏi xét</s:t>
        </s:is>
      </s:c>
      <s:c r="B21715" s="111" t="n"/>
      <s:c r="C21715" s="111" t="n"/>
      <s:c r="D21715" s="111" t="n"/>
      <s:c r="E21715" s="111" t="n"/>
    </s:row>
    <s:row r="21716" ht="20" customHeight="1">
      <s:c r="A21716" s="112" t="inlineStr">
        <s:is>
          <s:t>Kết quả tình huống</s:t>
        </s:is>
      </s:c>
      <s:c r="B21716" s="113">
        <s:f>IF(SUM(IF(EXACT('Kiểm thử'!E21725,"Không đạt"),1,0),IF(EXACT('Kiểm thử'!E21727,"Không đạt"),1,0),IF(EXACT('Kiểm thử'!E21729,"Không đạt"),1,0))&gt;0,"Không đạt",IF(SUM(IF(EXACT('Kiểm thử'!E21725,"Đạt"),1,0),IF(EXACT('Kiểm thử'!E21727,"Đạt"),1,0),IF(EXACT('Kiểm thử'!E21729,"Đạt"),1,0))=3,"Đạt",IF(SUM(IF(EXACT('Kiểm thử'!E21725,"Không thực hiện"),1,0),IF(EXACT('Kiểm thử'!E21727,"Không thực hiện"),1,0),IF(EXACT('Kiểm thử'!E21729,"Không thực hiện"),1,0))=3,"Không thực hiện",IF(SUM(IF(EXACT('Kiểm thử'!E21725,"Bị chặn"),1,0),IF(EXACT('Kiểm thử'!E21727,"Bị chặn"),1,0),IF(EXACT('Kiểm thử'!E21729,"Bị chặn"),1,0))&gt;0,"Bị chặn",IF(SUM(IF(EXACT('Kiểm thử'!E21725,"Chưa thực hiện"),1,0),IF(EXACT('Kiểm thử'!E21727,"Chưa thực hiện"),1,0),IF(EXACT('Kiểm thử'!E21729,"Chưa thực hiện"),1,0))=3,"Chưa thực hiện","Đang thực hiện")))))</s:f>
        <s:v/>
      </s:c>
      <s:c r="C21716" s="114" t="n"/>
      <s:c r="D21716" s="114" t="n"/>
      <s:c r="E21716" s="114" t="n"/>
    </s:row>
    <s:row r="21717" ht="20" customHeight="1">
      <s:c r="A21717" s="112" t="inlineStr">
        <s:is>
          <s:t>Màn hình / chức năng</s:t>
        </s:is>
      </s:c>
      <s:c r="B21717" s="113" t="inlineStr">
        <s:is>
          <s:r>
            <s:rPr>
              <s:b val="1"/>
            </s:rPr>
            <s:t>Đăng ký thành tích（成績登録）</s:t>
          </s:r>
        </s:is>
      </s:c>
      <s:c r="C21717" s="28" t="n"/>
      <s:c r="D21717" s="28" t="n"/>
      <s:c r="E21717" s="28" t="n"/>
    </s:row>
    <s:row r="21718" ht="20" customHeight="1">
      <s:c r="A21718" s="112" t="inlineStr">
        <s:is>
          <s:t>Cấu hình</s:t>
        </s:is>
      </s:c>
      <s:c r="B21718" s="113" t="inlineStr">
        <s:is>
          <s:t>• Quy tắc “Cố định 30” (dưới 30) ([&lt;30]).</s:t>
        </s:is>
      </s:c>
      <s:c r="C21718" s="28" t="n"/>
      <s:c r="D21718" s="28" t="n"/>
      <s:c r="E21718" s="28" t="n"/>
    </s:row>
    <s:row r="21719" ht="76" customHeight="1">
      <s:c r="A21719" s="112" t="inlineStr">
        <s:is>
          <s:t>Dữ liệu test</s:t>
        </s:is>
      </s:c>
      <s:c r="B21719" s="113" t="inlineStr">
        <s:is>
          <s:r>
            <s:t xml:space="preserve">• Quy tắc “Cố định 30” (dưới 30);
• Học sinh S07 (điểm 35, </s:t>
          </s:r>
          <s:r>
            <s:rPr>
              <s:b val="1"/>
            </s:rPr>
            <s:t>cờ Chưa dự thi（未受験）</s:t>
          </s:r>
          <s:r>
            <s:t>) (35, cờ Chưa dự thi) và biến thể S07 = 25 cùng cờ;
• Học sinh S09 (mục số thập phân 29.5) (mục số thập phân (</s:t>
          </s:r>
          <s:r>
            <s:rPr>
              <s:b val="1"/>
            </s:rPr>
            <s:t>M=100</s:t>
          </s:r>
          <s:r>
            <s:t>) = 29.5) được thiết lập loại khỏi xếp hạng;
• Mục số thập phân (</s:t>
          </s:r>
          <s:r>
            <s:rPr>
              <s:b val="1"/>
            </s:rPr>
            <s:t>M=100</s:t>
          </s:r>
          <s:r>
            <s:t>) có quy tắc “Cố định 30” (dưới 30)</s:t>
          </s:r>
        </s:is>
      </s:c>
      <s:c r="C21719" s="28" t="n"/>
      <s:c r="D21719" s="28" t="n"/>
      <s:c r="E21719" s="28" t="n"/>
    </s:row>
    <s:row r="21720" ht="20" customHeight="1">
      <s:c r="A21720" s="112" t="inlineStr">
        <s:is>
          <s:t>Bước 1</s:t>
        </s:is>
      </s:c>
      <s:c r="B21720" s="113" t="inlineStr">
        <s:is>
          <s:r>
            <s:t xml:space="preserve">Đăng ký S07=35 kèm </s:t>
          </s:r>
          <s:r>
            <s:rPr>
              <s:b val="1"/>
            </s:rPr>
            <s:t>cờ Chưa dự thi（未受験）</s:t>
          </s:r>
          <s:r>
            <s:t>.</s:t>
          </s:r>
        </s:is>
      </s:c>
      <s:c r="C21720" s="28" t="n"/>
      <s:c r="D21720" s="28" t="n"/>
      <s:c r="E21720" s="28" t="n"/>
    </s:row>
    <s:row r="21721" ht="20" customHeight="1">
      <s:c r="A21721" s="112" t="inlineStr">
        <s:is>
          <s:t>Bước 2</s:t>
        </s:is>
      </s:c>
      <s:c r="B21721" s="113" t="inlineStr">
        <s:is>
          <s:t>Sửa S07=25, giữ cờ.</s:t>
        </s:is>
      </s:c>
      <s:c r="C21721" s="28" t="n"/>
      <s:c r="D21721" s="28" t="n"/>
      <s:c r="E21721" s="28" t="n"/>
    </s:row>
    <s:row r="21722" ht="20" customHeight="1">
      <s:c r="A21722" s="112" t="inlineStr">
        <s:is>
          <s:t>Bước 3</s:t>
        </s:is>
      </s:c>
      <s:c r="B21722" s="113" t="inlineStr">
        <s:is>
          <s:t>Đăng ký điểm 29.5 cho S09 (học sinh bị loại khỏi xếp hạng); chạy nút xanh rồi nút cam.</s:t>
        </s:is>
      </s:c>
      <s:c r="C21722" s="28" t="n"/>
      <s:c r="D21722" s="28" t="n"/>
      <s:c r="E21722" s="28" t="n"/>
    </s:row>
    <s:row r="21723" ht="28" customHeight="1">
      <s:c r="A21723" s="115" t="inlineStr">
        <s:is>
          <s:t>Trường hợp</s:t>
        </s:is>
      </s:c>
      <s:c r="B21723" s="115" t="inlineStr">
        <s:is>
          <s:t>Dữ liệu / thao tác riêng</s:t>
        </s:is>
      </s:c>
      <s:c r="C21723" s="115" t="inlineStr">
        <s:is>
          <s:t>Kết quả mong đợi</s:t>
        </s:is>
      </s:c>
      <s:c r="D21723" s="115" t="inlineStr">
        <s:is>
          <s:t>Kết quả thực tế</s:t>
        </s:is>
      </s:c>
      <s:c r="E21723" s="115" t="inlineStr">
        <s:is>
          <s:t>Đánh giá</s:t>
        </s:is>
      </s:c>
    </s:row>
    <s:row r="21724" ht="3" customHeight="1">
      <s:c r="A21724" s="102" t="inlineStr"/>
      <s:c r="B21724" s="99" t="n"/>
      <s:c r="C21724" s="99" t="n"/>
      <s:c r="D21724" s="116" t="n"/>
      <s:c r="E21724" s="116" t="n"/>
    </s:row>
    <s:row r="21725" ht="34" customHeight="1">
      <s:c r="A21725" s="83" t="inlineStr">
        <s:is>
          <s:t>Chưa dự thi có điểm 35 (notexam35)</s:t>
        </s:is>
      </s:c>
      <s:c r="B21725" s="83" t="inlineStr">
        <s:is>
          <s:r>
            <s:t xml:space="preserve">Rule cố định30,&lt;; đăng ký S07=35 kèm </s:t>
          </s:r>
          <s:r>
            <s:rPr>
              <s:b val="1"/>
            </s:rPr>
            <s:t>cờ Chưa dự thi（未受験）</s:t>
          </s:r>
          <s:r>
            <s:t>.</s:t>
          </s:r>
        </s:is>
      </s:c>
      <s:c r="C21725" s="83" t="inlineStr">
        <s:is>
          <s:r>
            <s:t xml:space="preserve">1. Được xét → </s:t>
          </s:r>
          <s:r>
            <s:rPr>
              <s:b val="1"/>
            </s:rPr>
            <s:t>Không đỏ</s:t>
          </s:r>
          <s:r>
            <s:t>.</s:t>
          </s:r>
        </s:is>
      </s:c>
      <s:c r="D21725" s="117" t="inlineStr"/>
      <s:c r="E21725" s="118" t="inlineStr">
        <s:is>
          <s:t>Chưa thực hiện</s:t>
        </s:is>
      </s:c>
    </s:row>
    <s:row r="21726" ht="3" customHeight="1">
      <s:c r="A21726" s="102" t="inlineStr"/>
      <s:c r="B21726" s="99" t="n"/>
      <s:c r="C21726" s="99" t="n"/>
      <s:c r="D21726" s="116" t="n"/>
      <s:c r="E21726" s="116" t="n"/>
    </s:row>
    <s:row r="21727" ht="48" customHeight="1">
      <s:c r="A21727" s="83" t="inlineStr">
        <s:is>
          <s:t>Chưa dự thi có điểm 25 (notexam25)</s:t>
        </s:is>
      </s:c>
      <s:c r="B21727" s="83" t="inlineStr">
        <s:is>
          <s:r>
            <s:t xml:space="preserve">Sửa S07=25, giữ </s:t>
          </s:r>
          <s:r>
            <s:rPr>
              <s:b val="1"/>
            </s:rPr>
            <s:t>cờ Chưa dự thi（未受験）</s:t>
          </s:r>
          <s:r>
            <s:t xml:space="preserve"> và rule cố định30,&lt;; lưu.</s:t>
          </s:r>
        </s:is>
      </s:c>
      <s:c r="C21727" s="83" t="inlineStr">
        <s:is>
          <s:r>
            <s:t xml:space="preserve">2. Được xét → </s:t>
          </s:r>
          <s:r>
            <s:rPr>
              <s:b val="1"/>
            </s:rPr>
            <s:t>Đỏ</s:t>
          </s:r>
          <s:r>
            <s:t>.</s:t>
          </s:r>
        </s:is>
      </s:c>
      <s:c r="D21727" s="117" t="inlineStr"/>
      <s:c r="E21727" s="118" t="inlineStr">
        <s:is>
          <s:t>Chưa thực hiện</s:t>
        </s:is>
      </s:c>
    </s:row>
    <s:row r="21728" ht="3" customHeight="1">
      <s:c r="A21728" s="102" t="inlineStr"/>
      <s:c r="B21728" s="99" t="n"/>
      <s:c r="C21728" s="99" t="n"/>
      <s:c r="D21728" s="116" t="n"/>
      <s:c r="E21728" s="116" t="n"/>
    </s:row>
    <s:row r="21729" ht="48" customHeight="1">
      <s:c r="A21729" s="83" t="inlineStr">
        <s:is>
          <s:t>Bị loại khỏi xếp hạng (ranking-excluded)</s:t>
        </s:is>
      </s:c>
      <s:c r="B21729" s="83" t="inlineStr">
        <s:is>
          <s:t>S09 bị loại khỏi xếp hạng, mục thập phânM100/rule cố định30,&lt;; đăng ký29.5, chạy xanh rồi cam.</s:t>
        </s:is>
      </s:c>
      <s:c r="C21729" s="83" t="inlineStr">
        <s:is>
          <s:r>
            <s:t xml:space="preserve">3. S09 được xét → </s:t>
          </s:r>
          <s:r>
            <s:rPr>
              <s:b val="1"/>
            </s:rPr>
            <s:t>Đỏ</s:t>
          </s:r>
          <s:r>
            <s:t xml:space="preserve"> (29.5 [&lt;30]); việc bị loại khỏi xếp hạng không loại ô khỏi xét đỏ.</s:t>
          </s:r>
        </s:is>
      </s:c>
      <s:c r="D21729" s="117" t="inlineStr"/>
      <s:c r="E21729" s="118" t="inlineStr">
        <s:is>
          <s:t>Chưa thực hiện</s:t>
        </s:is>
      </s:c>
    </s:row>
    <s:row r="21730" ht="20" customHeight="1">
      <s:c r="A21730" s="119" t="inlineStr">
        <s:is>
          <s:t>Ảnh minh chứng — Chưa có ảnh</s:t>
        </s:is>
      </s:c>
      <s:c r="B21730" s="19" t="n"/>
      <s:c r="C21730" s="19" t="n"/>
      <s:c r="D21730" s="19" t="n"/>
      <s:c r="E21730" s="19" t="n"/>
    </s:row>
    <s:row r="21731" hidden="1" ht="1" customHeight="1">
      <s:c r="A21731" s="120" t="inlineStr"/>
      <s:c r="B21731" s="121" t="n"/>
      <s:c r="C21731" s="121" t="n"/>
      <s:c r="D21731" s="121" t="n"/>
      <s:c r="E21731" s="122" t="n"/>
    </s:row>
    <s:row r="21732" hidden="1" ht="1" customHeight="1">
      <s:c r="A21732" s="120" t="inlineStr"/>
      <s:c r="B21732" s="121" t="n"/>
      <s:c r="C21732" s="121" t="n"/>
      <s:c r="D21732" s="121" t="n"/>
      <s:c r="E21732" s="122" t="n"/>
    </s:row>
    <s:row r="21733" hidden="1" ht="1" customHeight="1">
      <s:c r="A21733" s="120" t="inlineStr"/>
      <s:c r="B21733" s="121" t="n"/>
      <s:c r="C21733" s="121" t="n"/>
      <s:c r="D21733" s="121" t="n"/>
      <s:c r="E21733" s="122" t="n"/>
    </s:row>
    <s:row r="21734" hidden="1" ht="1" customHeight="1">
      <s:c r="A21734" s="120" t="inlineStr"/>
      <s:c r="B21734" s="121" t="n"/>
      <s:c r="C21734" s="121" t="n"/>
      <s:c r="D21734" s="121" t="n"/>
      <s:c r="E21734" s="122" t="n"/>
    </s:row>
    <s:row r="21735" hidden="1" ht="1" customHeight="1">
      <s:c r="A21735" s="120" t="inlineStr"/>
      <s:c r="B21735" s="121" t="n"/>
      <s:c r="C21735" s="121" t="n"/>
      <s:c r="D21735" s="121" t="n"/>
      <s:c r="E21735" s="122" t="n"/>
    </s:row>
    <s:row r="21736" hidden="1" ht="1" customHeight="1">
      <s:c r="A21736" s="120" t="inlineStr"/>
      <s:c r="B21736" s="121" t="n"/>
      <s:c r="C21736" s="121" t="n"/>
      <s:c r="D21736" s="121" t="n"/>
      <s:c r="E21736" s="122" t="n"/>
    </s:row>
    <s:row r="21737" hidden="1" ht="1" customHeight="1">
      <s:c r="A21737" s="120" t="inlineStr"/>
      <s:c r="B21737" s="121" t="n"/>
      <s:c r="C21737" s="121" t="n"/>
      <s:c r="D21737" s="121" t="n"/>
      <s:c r="E21737" s="122" t="n"/>
    </s:row>
    <s:row r="21738" hidden="1" ht="1" customHeight="1">
      <s:c r="A21738" s="120" t="inlineStr"/>
      <s:c r="B21738" s="121" t="n"/>
      <s:c r="C21738" s="121" t="n"/>
      <s:c r="D21738" s="121" t="n"/>
      <s:c r="E21738" s="122" t="n"/>
    </s:row>
    <s:row r="21739" hidden="1" ht="1" customHeight="1">
      <s:c r="A21739" s="120" t="inlineStr"/>
      <s:c r="B21739" s="121" t="n"/>
      <s:c r="C21739" s="121" t="n"/>
      <s:c r="D21739" s="121" t="n"/>
      <s:c r="E21739" s="122" t="n"/>
    </s:row>
    <s:row r="21740" hidden="1" ht="1" customHeight="1">
      <s:c r="A21740" s="120" t="inlineStr"/>
      <s:c r="B21740" s="121" t="n"/>
      <s:c r="C21740" s="121" t="n"/>
      <s:c r="D21740" s="121" t="n"/>
      <s:c r="E21740" s="122" t="n"/>
    </s:row>
    <s:row r="21741" hidden="1" ht="1" customHeight="1">
      <s:c r="A21741" s="120" t="inlineStr"/>
      <s:c r="B21741" s="121" t="n"/>
      <s:c r="C21741" s="121" t="n"/>
      <s:c r="D21741" s="121" t="n"/>
      <s:c r="E21741" s="122" t="n"/>
    </s:row>
    <s:row r="21742" hidden="1" ht="1" customHeight="1">
      <s:c r="A21742" s="120" t="inlineStr"/>
      <s:c r="B21742" s="121" t="n"/>
      <s:c r="C21742" s="121" t="n"/>
      <s:c r="D21742" s="121" t="n"/>
      <s:c r="E21742" s="122" t="n"/>
    </s:row>
    <s:row r="21743" hidden="1" ht="1" customHeight="1">
      <s:c r="A21743" s="120" t="inlineStr"/>
      <s:c r="B21743" s="121" t="n"/>
      <s:c r="C21743" s="121" t="n"/>
      <s:c r="D21743" s="121" t="n"/>
      <s:c r="E21743" s="122" t="n"/>
    </s:row>
    <s:row r="21744" hidden="1" ht="1" customHeight="1">
      <s:c r="A21744" s="120" t="inlineStr"/>
      <s:c r="B21744" s="121" t="n"/>
      <s:c r="C21744" s="121" t="n"/>
      <s:c r="D21744" s="121" t="n"/>
      <s:c r="E21744" s="122" t="n"/>
    </s:row>
    <s:row r="21745" hidden="1" ht="1" customHeight="1">
      <s:c r="A21745" s="120" t="inlineStr"/>
      <s:c r="B21745" s="121" t="n"/>
      <s:c r="C21745" s="121" t="n"/>
      <s:c r="D21745" s="121" t="n"/>
      <s:c r="E21745" s="122" t="n"/>
    </s:row>
    <s:row r="21746" hidden="1" ht="1" customHeight="1">
      <s:c r="A21746" s="120" t="inlineStr"/>
      <s:c r="B21746" s="121" t="n"/>
      <s:c r="C21746" s="121" t="n"/>
      <s:c r="D21746" s="121" t="n"/>
      <s:c r="E21746" s="122" t="n"/>
    </s:row>
    <s:row r="21747" hidden="1" ht="1" customHeight="1">
      <s:c r="A21747" s="120" t="inlineStr"/>
      <s:c r="B21747" s="121" t="n"/>
      <s:c r="C21747" s="121" t="n"/>
      <s:c r="D21747" s="121" t="n"/>
      <s:c r="E21747" s="122" t="n"/>
    </s:row>
    <s:row r="21748" hidden="1" ht="1" customHeight="1">
      <s:c r="A21748" s="120" t="inlineStr"/>
      <s:c r="B21748" s="121" t="n"/>
      <s:c r="C21748" s="121" t="n"/>
      <s:c r="D21748" s="121" t="n"/>
      <s:c r="E21748" s="122" t="n"/>
    </s:row>
    <s:row r="21749" hidden="1" ht="1" customHeight="1">
      <s:c r="A21749" s="120" t="inlineStr"/>
      <s:c r="B21749" s="121" t="n"/>
      <s:c r="C21749" s="121" t="n"/>
      <s:c r="D21749" s="121" t="n"/>
      <s:c r="E21749" s="122" t="n"/>
    </s:row>
    <s:row r="21750" hidden="1" ht="1" customHeight="1">
      <s:c r="A21750" s="120" t="inlineStr"/>
      <s:c r="B21750" s="121" t="n"/>
      <s:c r="C21750" s="121" t="n"/>
      <s:c r="D21750" s="121" t="n"/>
      <s:c r="E21750" s="122" t="n"/>
    </s:row>
    <s:row r="21751" hidden="1" ht="1" customHeight="1">
      <s:c r="A21751" s="120" t="inlineStr"/>
      <s:c r="B21751" s="121" t="n"/>
      <s:c r="C21751" s="121" t="n"/>
      <s:c r="D21751" s="121" t="n"/>
      <s:c r="E21751" s="122" t="n"/>
    </s:row>
    <s:row r="21752" hidden="1" ht="1" customHeight="1">
      <s:c r="A21752" s="120" t="inlineStr"/>
      <s:c r="B21752" s="121" t="n"/>
      <s:c r="C21752" s="121" t="n"/>
      <s:c r="D21752" s="121" t="n"/>
      <s:c r="E21752" s="122" t="n"/>
    </s:row>
    <s:row r="21753" hidden="1" ht="1" customHeight="1">
      <s:c r="A21753" s="120" t="inlineStr"/>
      <s:c r="B21753" s="121" t="n"/>
      <s:c r="C21753" s="121" t="n"/>
      <s:c r="D21753" s="121" t="n"/>
      <s:c r="E21753" s="122" t="n"/>
    </s:row>
    <s:row r="21754" hidden="1" ht="1" customHeight="1">
      <s:c r="A21754" s="120" t="inlineStr"/>
      <s:c r="B21754" s="121" t="n"/>
      <s:c r="C21754" s="121" t="n"/>
      <s:c r="D21754" s="121" t="n"/>
      <s:c r="E21754" s="122" t="n"/>
    </s:row>
    <s:row r="21755" hidden="1" ht="1" customHeight="1">
      <s:c r="A21755" s="120" t="inlineStr"/>
      <s:c r="B21755" s="121" t="n"/>
      <s:c r="C21755" s="121" t="n"/>
      <s:c r="D21755" s="121" t="n"/>
      <s:c r="E21755" s="122" t="n"/>
    </s:row>
    <s:row r="21756" hidden="1" ht="1" customHeight="1">
      <s:c r="A21756" s="120" t="inlineStr"/>
      <s:c r="B21756" s="121" t="n"/>
      <s:c r="C21756" s="121" t="n"/>
      <s:c r="D21756" s="121" t="n"/>
      <s:c r="E21756" s="122" t="n"/>
    </s:row>
    <s:row r="21757" hidden="1" ht="1" customHeight="1">
      <s:c r="A21757" s="120" t="inlineStr"/>
      <s:c r="B21757" s="121" t="n"/>
      <s:c r="C21757" s="121" t="n"/>
      <s:c r="D21757" s="121" t="n"/>
      <s:c r="E21757" s="122" t="n"/>
    </s:row>
    <s:row r="21758" hidden="1" ht="1" customHeight="1">
      <s:c r="A21758" s="120" t="inlineStr"/>
      <s:c r="B21758" s="121" t="n"/>
      <s:c r="C21758" s="121" t="n"/>
      <s:c r="D21758" s="121" t="n"/>
      <s:c r="E21758" s="122" t="n"/>
    </s:row>
    <s:row r="21759" hidden="1" ht="1" customHeight="1">
      <s:c r="A21759" s="120" t="inlineStr"/>
      <s:c r="B21759" s="121" t="n"/>
      <s:c r="C21759" s="121" t="n"/>
      <s:c r="D21759" s="121" t="n"/>
      <s:c r="E21759" s="122" t="n"/>
    </s:row>
    <s:row r="21760" hidden="1" ht="1" customHeight="1">
      <s:c r="A21760" s="120" t="inlineStr"/>
      <s:c r="B21760" s="121" t="n"/>
      <s:c r="C21760" s="121" t="n"/>
      <s:c r="D21760" s="121" t="n"/>
      <s:c r="E21760" s="122" t="n"/>
    </s:row>
    <s:row r="21761" hidden="1" ht="1" customHeight="1">
      <s:c r="A21761" s="120" t="inlineStr"/>
      <s:c r="B21761" s="121" t="n"/>
      <s:c r="C21761" s="121" t="n"/>
      <s:c r="D21761" s="121" t="n"/>
      <s:c r="E21761" s="122" t="n"/>
    </s:row>
    <s:row r="21762" hidden="1" ht="1" customHeight="1">
      <s:c r="A21762" s="120" t="inlineStr"/>
      <s:c r="B21762" s="121" t="n"/>
      <s:c r="C21762" s="121" t="n"/>
      <s:c r="D21762" s="121" t="n"/>
      <s:c r="E21762" s="122" t="n"/>
    </s:row>
    <s:row r="21763" hidden="1" ht="1" customHeight="1">
      <s:c r="A21763" s="120" t="inlineStr"/>
      <s:c r="B21763" s="121" t="n"/>
      <s:c r="C21763" s="121" t="n"/>
      <s:c r="D21763" s="121" t="n"/>
      <s:c r="E21763" s="122" t="n"/>
    </s:row>
    <s:row r="21764" hidden="1" ht="1" customHeight="1">
      <s:c r="A21764" s="120" t="inlineStr"/>
      <s:c r="B21764" s="121" t="n"/>
      <s:c r="C21764" s="121" t="n"/>
      <s:c r="D21764" s="121" t="n"/>
      <s:c r="E21764" s="122" t="n"/>
    </s:row>
    <s:row r="21765" hidden="1" ht="1" customHeight="1">
      <s:c r="A21765" s="120" t="inlineStr"/>
      <s:c r="B21765" s="121" t="n"/>
      <s:c r="C21765" s="121" t="n"/>
      <s:c r="D21765" s="121" t="n"/>
      <s:c r="E21765" s="122" t="n"/>
    </s:row>
    <s:row r="21766" hidden="1" ht="1" customHeight="1">
      <s:c r="A21766" s="120" t="inlineStr"/>
      <s:c r="B21766" s="121" t="n"/>
      <s:c r="C21766" s="121" t="n"/>
      <s:c r="D21766" s="121" t="n"/>
      <s:c r="E21766" s="122" t="n"/>
    </s:row>
    <s:row r="21767" hidden="1" ht="1" customHeight="1">
      <s:c r="A21767" s="120" t="inlineStr"/>
      <s:c r="B21767" s="121" t="n"/>
      <s:c r="C21767" s="121" t="n"/>
      <s:c r="D21767" s="121" t="n"/>
      <s:c r="E21767" s="122" t="n"/>
    </s:row>
    <s:row r="21768" hidden="1" ht="1" customHeight="1">
      <s:c r="A21768" s="120" t="inlineStr"/>
      <s:c r="B21768" s="121" t="n"/>
      <s:c r="C21768" s="121" t="n"/>
      <s:c r="D21768" s="121" t="n"/>
      <s:c r="E21768" s="122" t="n"/>
    </s:row>
    <s:row r="21769" hidden="1" ht="1" customHeight="1">
      <s:c r="A21769" s="120" t="inlineStr"/>
      <s:c r="B21769" s="121" t="n"/>
      <s:c r="C21769" s="121" t="n"/>
      <s:c r="D21769" s="121" t="n"/>
      <s:c r="E21769" s="122" t="n"/>
    </s:row>
    <s:row r="21770" hidden="1" ht="1" customHeight="1">
      <s:c r="A21770" s="120" t="inlineStr"/>
      <s:c r="B21770" s="121" t="n"/>
      <s:c r="C21770" s="121" t="n"/>
      <s:c r="D21770" s="121" t="n"/>
      <s:c r="E21770" s="122" t="n"/>
    </s:row>
    <s:row r="21771" hidden="1" ht="1" customHeight="1">
      <s:c r="A21771" s="120" t="inlineStr"/>
      <s:c r="B21771" s="121" t="n"/>
      <s:c r="C21771" s="121" t="n"/>
      <s:c r="D21771" s="121" t="n"/>
      <s:c r="E21771" s="122" t="n"/>
    </s:row>
    <s:row r="21772" hidden="1" ht="1" customHeight="1">
      <s:c r="A21772" s="120" t="inlineStr"/>
      <s:c r="B21772" s="121" t="n"/>
      <s:c r="C21772" s="121" t="n"/>
      <s:c r="D21772" s="121" t="n"/>
      <s:c r="E21772" s="122" t="n"/>
    </s:row>
    <s:row r="21773" hidden="1" ht="1" customHeight="1">
      <s:c r="A21773" s="120" t="inlineStr"/>
      <s:c r="B21773" s="121" t="n"/>
      <s:c r="C21773" s="121" t="n"/>
      <s:c r="D21773" s="121" t="n"/>
      <s:c r="E21773" s="122" t="n"/>
    </s:row>
    <s:row r="21774" hidden="1" ht="1" customHeight="1">
      <s:c r="A21774" s="120" t="inlineStr"/>
      <s:c r="B21774" s="121" t="n"/>
      <s:c r="C21774" s="121" t="n"/>
      <s:c r="D21774" s="121" t="n"/>
      <s:c r="E21774" s="122" t="n"/>
    </s:row>
    <s:row r="21775" hidden="1" ht="1" customHeight="1">
      <s:c r="A21775" s="120" t="inlineStr"/>
      <s:c r="B21775" s="121" t="n"/>
      <s:c r="C21775" s="121" t="n"/>
      <s:c r="D21775" s="121" t="n"/>
      <s:c r="E21775" s="122" t="n"/>
    </s:row>
    <s:row r="21776" hidden="1" ht="1" customHeight="1">
      <s:c r="A21776" s="120" t="inlineStr"/>
      <s:c r="B21776" s="121" t="n"/>
      <s:c r="C21776" s="121" t="n"/>
      <s:c r="D21776" s="121" t="n"/>
      <s:c r="E21776" s="122" t="n"/>
    </s:row>
    <s:row r="21777" hidden="1" ht="1" customHeight="1">
      <s:c r="A21777" s="120" t="inlineStr"/>
      <s:c r="B21777" s="121" t="n"/>
      <s:c r="C21777" s="121" t="n"/>
      <s:c r="D21777" s="121" t="n"/>
      <s:c r="E21777" s="122" t="n"/>
    </s:row>
    <s:row r="21778" hidden="1" ht="1" customHeight="1">
      <s:c r="A21778" s="120" t="inlineStr"/>
      <s:c r="B21778" s="121" t="n"/>
      <s:c r="C21778" s="121" t="n"/>
      <s:c r="D21778" s="121" t="n"/>
      <s:c r="E21778" s="122" t="n"/>
    </s:row>
    <s:row r="21779" hidden="1" ht="1" customHeight="1">
      <s:c r="A21779" s="120" t="inlineStr"/>
      <s:c r="B21779" s="121" t="n"/>
      <s:c r="C21779" s="121" t="n"/>
      <s:c r="D21779" s="121" t="n"/>
      <s:c r="E21779" s="122" t="n"/>
    </s:row>
    <s:row r="21780" hidden="1" ht="1" customHeight="1">
      <s:c r="A21780" s="120" t="inlineStr"/>
      <s:c r="B21780" s="121" t="n"/>
      <s:c r="C21780" s="121" t="n"/>
      <s:c r="D21780" s="121" t="n"/>
      <s:c r="E21780" s="122" t="n"/>
    </s:row>
    <s:row r="21781" hidden="1" ht="1" customHeight="1">
      <s:c r="A21781" s="120" t="inlineStr"/>
      <s:c r="B21781" s="121" t="n"/>
      <s:c r="C21781" s="121" t="n"/>
      <s:c r="D21781" s="121" t="n"/>
      <s:c r="E21781" s="122" t="n"/>
    </s:row>
    <s:row r="21782" hidden="1" ht="1" customHeight="1">
      <s:c r="A21782" s="120" t="inlineStr"/>
      <s:c r="B21782" s="121" t="n"/>
      <s:c r="C21782" s="121" t="n"/>
      <s:c r="D21782" s="121" t="n"/>
      <s:c r="E21782" s="122" t="n"/>
    </s:row>
    <s:row r="21783" hidden="1" ht="1" customHeight="1">
      <s:c r="A21783" s="120" t="inlineStr"/>
      <s:c r="B21783" s="121" t="n"/>
      <s:c r="C21783" s="121" t="n"/>
      <s:c r="D21783" s="121" t="n"/>
      <s:c r="E21783" s="122" t="n"/>
    </s:row>
    <s:row r="21784" hidden="1" ht="1" customHeight="1">
      <s:c r="A21784" s="120" t="inlineStr"/>
      <s:c r="B21784" s="121" t="n"/>
      <s:c r="C21784" s="121" t="n"/>
      <s:c r="D21784" s="121" t="n"/>
      <s:c r="E21784" s="122" t="n"/>
    </s:row>
    <s:row r="21785" hidden="1" ht="1" customHeight="1">
      <s:c r="A21785" s="120" t="inlineStr"/>
      <s:c r="B21785" s="121" t="n"/>
      <s:c r="C21785" s="121" t="n"/>
      <s:c r="D21785" s="121" t="n"/>
      <s:c r="E21785" s="122" t="n"/>
    </s:row>
    <s:row r="21786" hidden="1" ht="1" customHeight="1">
      <s:c r="A21786" s="120" t="inlineStr"/>
      <s:c r="B21786" s="121" t="n"/>
      <s:c r="C21786" s="121" t="n"/>
      <s:c r="D21786" s="121" t="n"/>
      <s:c r="E21786" s="122" t="n"/>
    </s:row>
    <s:row r="21787" hidden="1" ht="1" customHeight="1">
      <s:c r="A21787" s="120" t="inlineStr"/>
      <s:c r="B21787" s="121" t="n"/>
      <s:c r="C21787" s="121" t="n"/>
      <s:c r="D21787" s="121" t="n"/>
      <s:c r="E21787" s="122" t="n"/>
    </s:row>
    <s:row r="21788" hidden="1" ht="1" customHeight="1">
      <s:c r="A21788" s="120" t="inlineStr"/>
      <s:c r="B21788" s="121" t="n"/>
      <s:c r="C21788" s="121" t="n"/>
      <s:c r="D21788" s="121" t="n"/>
      <s:c r="E21788" s="122" t="n"/>
    </s:row>
    <s:row r="21789" hidden="1" ht="1" customHeight="1">
      <s:c r="A21789" s="120" t="inlineStr"/>
      <s:c r="B21789" s="121" t="n"/>
      <s:c r="C21789" s="121" t="n"/>
      <s:c r="D21789" s="121" t="n"/>
      <s:c r="E21789" s="122" t="n"/>
    </s:row>
    <s:row r="21790" hidden="1" ht="1" customHeight="1">
      <s:c r="A21790" s="120" t="inlineStr"/>
      <s:c r="B21790" s="121" t="n"/>
      <s:c r="C21790" s="121" t="n"/>
      <s:c r="D21790" s="121" t="n"/>
      <s:c r="E21790" s="122" t="n"/>
    </s:row>
    <s:row r="21791" hidden="1" ht="1" customHeight="1">
      <s:c r="A21791" s="120" t="inlineStr"/>
      <s:c r="B21791" s="121" t="n"/>
      <s:c r="C21791" s="121" t="n"/>
      <s:c r="D21791" s="121" t="n"/>
      <s:c r="E21791" s="122" t="n"/>
    </s:row>
    <s:row r="21792" hidden="1" ht="1" customHeight="1">
      <s:c r="A21792" s="120" t="inlineStr"/>
      <s:c r="B21792" s="121" t="n"/>
      <s:c r="C21792" s="121" t="n"/>
      <s:c r="D21792" s="121" t="n"/>
      <s:c r="E21792" s="122" t="n"/>
    </s:row>
    <s:row r="21793" hidden="1" ht="1" customHeight="1">
      <s:c r="A21793" s="120" t="inlineStr"/>
      <s:c r="B21793" s="121" t="n"/>
      <s:c r="C21793" s="121" t="n"/>
      <s:c r="D21793" s="121" t="n"/>
      <s:c r="E21793" s="122" t="n"/>
    </s:row>
    <s:row r="21794" hidden="1" ht="1" customHeight="1">
      <s:c r="A21794" s="120" t="inlineStr"/>
      <s:c r="B21794" s="121" t="n"/>
      <s:c r="C21794" s="121" t="n"/>
      <s:c r="D21794" s="121" t="n"/>
      <s:c r="E21794" s="122" t="n"/>
    </s:row>
    <s:row r="21795" hidden="1" ht="1" customHeight="1">
      <s:c r="A21795" s="120" t="inlineStr"/>
      <s:c r="B21795" s="121" t="n"/>
      <s:c r="C21795" s="121" t="n"/>
      <s:c r="D21795" s="121" t="n"/>
      <s:c r="E21795" s="122" t="n"/>
    </s:row>
    <s:row r="21796" hidden="1" ht="1" customHeight="1">
      <s:c r="A21796" s="120" t="inlineStr"/>
      <s:c r="B21796" s="121" t="n"/>
      <s:c r="C21796" s="121" t="n"/>
      <s:c r="D21796" s="121" t="n"/>
      <s:c r="E21796" s="122" t="n"/>
    </s:row>
    <s:row r="21797" hidden="1" ht="1" customHeight="1">
      <s:c r="A21797" s="120" t="inlineStr"/>
      <s:c r="B21797" s="121" t="n"/>
      <s:c r="C21797" s="121" t="n"/>
      <s:c r="D21797" s="121" t="n"/>
      <s:c r="E21797" s="122" t="n"/>
    </s:row>
    <s:row r="21798" hidden="1" ht="1" customHeight="1">
      <s:c r="A21798" s="120" t="inlineStr"/>
      <s:c r="B21798" s="121" t="n"/>
      <s:c r="C21798" s="121" t="n"/>
      <s:c r="D21798" s="121" t="n"/>
      <s:c r="E21798" s="122" t="n"/>
    </s:row>
    <s:row r="21799" hidden="1" ht="1" customHeight="1">
      <s:c r="A21799" s="120" t="inlineStr"/>
      <s:c r="B21799" s="121" t="n"/>
      <s:c r="C21799" s="121" t="n"/>
      <s:c r="D21799" s="121" t="n"/>
      <s:c r="E21799" s="122" t="n"/>
    </s:row>
    <s:row r="21800" hidden="1" ht="1" customHeight="1">
      <s:c r="A21800" s="120" t="inlineStr"/>
      <s:c r="B21800" s="121" t="n"/>
      <s:c r="C21800" s="121" t="n"/>
      <s:c r="D21800" s="121" t="n"/>
      <s:c r="E21800" s="122" t="n"/>
    </s:row>
    <s:row r="21801" hidden="1" ht="1" customHeight="1">
      <s:c r="A21801" s="120" t="inlineStr"/>
      <s:c r="B21801" s="121" t="n"/>
      <s:c r="C21801" s="121" t="n"/>
      <s:c r="D21801" s="121" t="n"/>
      <s:c r="E21801" s="122" t="n"/>
    </s:row>
    <s:row r="21802" hidden="1" ht="1" customHeight="1">
      <s:c r="A21802" s="120" t="inlineStr"/>
      <s:c r="B21802" s="121" t="n"/>
      <s:c r="C21802" s="121" t="n"/>
      <s:c r="D21802" s="121" t="n"/>
      <s:c r="E21802" s="122" t="n"/>
    </s:row>
    <s:row r="21803" hidden="1" ht="1" customHeight="1">
      <s:c r="A21803" s="120" t="inlineStr"/>
      <s:c r="B21803" s="121" t="n"/>
      <s:c r="C21803" s="121" t="n"/>
      <s:c r="D21803" s="121" t="n"/>
      <s:c r="E21803" s="122" t="n"/>
    </s:row>
    <s:row r="21804" hidden="1" ht="1" customHeight="1">
      <s:c r="A21804" s="120" t="inlineStr"/>
      <s:c r="B21804" s="121" t="n"/>
      <s:c r="C21804" s="121" t="n"/>
      <s:c r="D21804" s="121" t="n"/>
      <s:c r="E21804" s="122" t="n"/>
    </s:row>
    <s:row r="21805" hidden="1" ht="1" customHeight="1">
      <s:c r="A21805" s="120" t="inlineStr"/>
      <s:c r="B21805" s="121" t="n"/>
      <s:c r="C21805" s="121" t="n"/>
      <s:c r="D21805" s="121" t="n"/>
      <s:c r="E21805" s="122" t="n"/>
    </s:row>
    <s:row r="21806" hidden="1" ht="1" customHeight="1">
      <s:c r="A21806" s="120" t="inlineStr"/>
      <s:c r="B21806" s="121" t="n"/>
      <s:c r="C21806" s="121" t="n"/>
      <s:c r="D21806" s="121" t="n"/>
      <s:c r="E21806" s="122" t="n"/>
    </s:row>
    <s:row r="21807" hidden="1" ht="1" customHeight="1">
      <s:c r="A21807" s="120" t="inlineStr"/>
      <s:c r="B21807" s="121" t="n"/>
      <s:c r="C21807" s="121" t="n"/>
      <s:c r="D21807" s="121" t="n"/>
      <s:c r="E21807" s="122" t="n"/>
    </s:row>
    <s:row r="21808" hidden="1" ht="1" customHeight="1">
      <s:c r="A21808" s="120" t="inlineStr"/>
      <s:c r="B21808" s="121" t="n"/>
      <s:c r="C21808" s="121" t="n"/>
      <s:c r="D21808" s="121" t="n"/>
      <s:c r="E21808" s="122" t="n"/>
    </s:row>
    <s:row r="21809" hidden="1" ht="1" customHeight="1">
      <s:c r="A21809" s="120" t="inlineStr"/>
      <s:c r="B21809" s="121" t="n"/>
      <s:c r="C21809" s="121" t="n"/>
      <s:c r="D21809" s="121" t="n"/>
      <s:c r="E21809" s="122" t="n"/>
    </s:row>
    <s:row r="21810" hidden="1" ht="1" customHeight="1">
      <s:c r="A21810" s="120" t="inlineStr"/>
      <s:c r="B21810" s="121" t="n"/>
      <s:c r="C21810" s="121" t="n"/>
      <s:c r="D21810" s="121" t="n"/>
      <s:c r="E21810" s="122" t="n"/>
    </s:row>
    <s:row r="21811" hidden="1" ht="1" customHeight="1">
      <s:c r="A21811" s="120" t="inlineStr"/>
      <s:c r="B21811" s="121" t="n"/>
      <s:c r="C21811" s="121" t="n"/>
      <s:c r="D21811" s="121" t="n"/>
      <s:c r="E21811" s="122" t="n"/>
    </s:row>
    <s:row r="21812" hidden="1" ht="1" customHeight="1">
      <s:c r="A21812" s="120" t="inlineStr"/>
      <s:c r="B21812" s="121" t="n"/>
      <s:c r="C21812" s="121" t="n"/>
      <s:c r="D21812" s="121" t="n"/>
      <s:c r="E21812" s="122" t="n"/>
    </s:row>
    <s:row r="21813" hidden="1" ht="1" customHeight="1">
      <s:c r="A21813" s="120" t="inlineStr"/>
      <s:c r="B21813" s="121" t="n"/>
      <s:c r="C21813" s="121" t="n"/>
      <s:c r="D21813" s="121" t="n"/>
      <s:c r="E21813" s="122" t="n"/>
    </s:row>
    <s:row r="21814" hidden="1" ht="1" customHeight="1">
      <s:c r="A21814" s="120" t="inlineStr"/>
      <s:c r="B21814" s="121" t="n"/>
      <s:c r="C21814" s="121" t="n"/>
      <s:c r="D21814" s="121" t="n"/>
      <s:c r="E21814" s="122" t="n"/>
    </s:row>
    <s:row r="21815" hidden="1" ht="1" customHeight="1">
      <s:c r="A21815" s="120" t="inlineStr"/>
      <s:c r="B21815" s="121" t="n"/>
      <s:c r="C21815" s="121" t="n"/>
      <s:c r="D21815" s="121" t="n"/>
      <s:c r="E21815" s="122" t="n"/>
    </s:row>
    <s:row r="21816" hidden="1" ht="1" customHeight="1">
      <s:c r="A21816" s="120" t="inlineStr"/>
      <s:c r="B21816" s="121" t="n"/>
      <s:c r="C21816" s="121" t="n"/>
      <s:c r="D21816" s="121" t="n"/>
      <s:c r="E21816" s="122" t="n"/>
    </s:row>
    <s:row r="21817" hidden="1" ht="1" customHeight="1">
      <s:c r="A21817" s="120" t="inlineStr"/>
      <s:c r="B21817" s="121" t="n"/>
      <s:c r="C21817" s="121" t="n"/>
      <s:c r="D21817" s="121" t="n"/>
      <s:c r="E21817" s="122" t="n"/>
    </s:row>
    <s:row r="21818" hidden="1" ht="1" customHeight="1">
      <s:c r="A21818" s="120" t="inlineStr"/>
      <s:c r="B21818" s="121" t="n"/>
      <s:c r="C21818" s="121" t="n"/>
      <s:c r="D21818" s="121" t="n"/>
      <s:c r="E21818" s="122" t="n"/>
    </s:row>
    <s:row r="21819" hidden="1" ht="1" customHeight="1">
      <s:c r="A21819" s="120" t="inlineStr"/>
      <s:c r="B21819" s="121" t="n"/>
      <s:c r="C21819" s="121" t="n"/>
      <s:c r="D21819" s="121" t="n"/>
      <s:c r="E21819" s="122" t="n"/>
    </s:row>
    <s:row r="21820" hidden="1" ht="1" customHeight="1">
      <s:c r="A21820" s="120" t="inlineStr"/>
      <s:c r="B21820" s="121" t="n"/>
      <s:c r="C21820" s="121" t="n"/>
      <s:c r="D21820" s="121" t="n"/>
      <s:c r="E21820" s="122" t="n"/>
    </s:row>
    <s:row r="21821" hidden="1" ht="1" customHeight="1">
      <s:c r="A21821" s="120" t="inlineStr"/>
      <s:c r="B21821" s="121" t="n"/>
      <s:c r="C21821" s="121" t="n"/>
      <s:c r="D21821" s="121" t="n"/>
      <s:c r="E21821" s="122" t="n"/>
    </s:row>
    <s:row r="21822" hidden="1" ht="1" customHeight="1">
      <s:c r="A21822" s="120" t="inlineStr"/>
      <s:c r="B21822" s="121" t="n"/>
      <s:c r="C21822" s="121" t="n"/>
      <s:c r="D21822" s="121" t="n"/>
      <s:c r="E21822" s="122" t="n"/>
    </s:row>
    <s:row r="21823" hidden="1" ht="1" customHeight="1">
      <s:c r="A21823" s="120" t="inlineStr"/>
      <s:c r="B21823" s="121" t="n"/>
      <s:c r="C21823" s="121" t="n"/>
      <s:c r="D21823" s="121" t="n"/>
      <s:c r="E21823" s="122" t="n"/>
    </s:row>
    <s:row r="21824" hidden="1" ht="1" customHeight="1">
      <s:c r="A21824" s="120" t="inlineStr"/>
      <s:c r="B21824" s="121" t="n"/>
      <s:c r="C21824" s="121" t="n"/>
      <s:c r="D21824" s="121" t="n"/>
      <s:c r="E21824" s="122" t="n"/>
    </s:row>
    <s:row r="21825" hidden="1" ht="1" customHeight="1">
      <s:c r="A21825" s="120" t="inlineStr"/>
      <s:c r="B21825" s="121" t="n"/>
      <s:c r="C21825" s="121" t="n"/>
      <s:c r="D21825" s="121" t="n"/>
      <s:c r="E21825" s="122" t="n"/>
    </s:row>
    <s:row r="21826" hidden="1" ht="1" customHeight="1">
      <s:c r="A21826" s="120" t="inlineStr"/>
      <s:c r="B21826" s="121" t="n"/>
      <s:c r="C21826" s="121" t="n"/>
      <s:c r="D21826" s="121" t="n"/>
      <s:c r="E21826" s="122" t="n"/>
    </s:row>
    <s:row r="21827" hidden="1" ht="1" customHeight="1">
      <s:c r="A21827" s="120" t="inlineStr"/>
      <s:c r="B21827" s="121" t="n"/>
      <s:c r="C21827" s="121" t="n"/>
      <s:c r="D21827" s="121" t="n"/>
      <s:c r="E21827" s="122" t="n"/>
    </s:row>
    <s:row r="21828" hidden="1" ht="1" customHeight="1">
      <s:c r="A21828" s="120" t="inlineStr"/>
      <s:c r="B21828" s="121" t="n"/>
      <s:c r="C21828" s="121" t="n"/>
      <s:c r="D21828" s="121" t="n"/>
      <s:c r="E21828" s="122" t="n"/>
    </s:row>
    <s:row r="21829" hidden="1" ht="1" customHeight="1">
      <s:c r="A21829" s="120" t="inlineStr"/>
      <s:c r="B21829" s="121" t="n"/>
      <s:c r="C21829" s="121" t="n"/>
      <s:c r="D21829" s="121" t="n"/>
      <s:c r="E21829" s="122" t="n"/>
    </s:row>
    <s:row r="21830" hidden="1" ht="1" customHeight="1">
      <s:c r="A21830" s="120" t="inlineStr"/>
      <s:c r="B21830" s="121" t="n"/>
      <s:c r="C21830" s="121" t="n"/>
      <s:c r="D21830" s="121" t="n"/>
      <s:c r="E21830" s="122" t="n"/>
    </s:row>
    <s:row r="21831" hidden="1" ht="1" customHeight="1">
      <s:c r="A21831" s="120" t="inlineStr"/>
      <s:c r="B21831" s="121" t="n"/>
      <s:c r="C21831" s="121" t="n"/>
      <s:c r="D21831" s="121" t="n"/>
      <s:c r="E21831" s="122" t="n"/>
    </s:row>
    <s:row r="21832" hidden="1" ht="1" customHeight="1">
      <s:c r="A21832" s="120" t="inlineStr"/>
      <s:c r="B21832" s="121" t="n"/>
      <s:c r="C21832" s="121" t="n"/>
      <s:c r="D21832" s="121" t="n"/>
      <s:c r="E21832" s="122" t="n"/>
    </s:row>
    <s:row r="21833" hidden="1" ht="1" customHeight="1">
      <s:c r="A21833" s="120" t="inlineStr"/>
      <s:c r="B21833" s="121" t="n"/>
      <s:c r="C21833" s="121" t="n"/>
      <s:c r="D21833" s="121" t="n"/>
      <s:c r="E21833" s="122" t="n"/>
    </s:row>
    <s:row r="21834" hidden="1" ht="1" customHeight="1">
      <s:c r="A21834" s="120" t="inlineStr"/>
      <s:c r="B21834" s="121" t="n"/>
      <s:c r="C21834" s="121" t="n"/>
      <s:c r="D21834" s="121" t="n"/>
      <s:c r="E21834" s="122" t="n"/>
    </s:row>
    <s:row r="21835" hidden="1" ht="1" customHeight="1">
      <s:c r="A21835" s="120" t="inlineStr"/>
      <s:c r="B21835" s="121" t="n"/>
      <s:c r="C21835" s="121" t="n"/>
      <s:c r="D21835" s="121" t="n"/>
      <s:c r="E21835" s="122" t="n"/>
    </s:row>
    <s:row r="21836" hidden="1" ht="1" customHeight="1">
      <s:c r="A21836" s="120" t="inlineStr"/>
      <s:c r="B21836" s="121" t="n"/>
      <s:c r="C21836" s="121" t="n"/>
      <s:c r="D21836" s="121" t="n"/>
      <s:c r="E21836" s="122" t="n"/>
    </s:row>
    <s:row r="21837" hidden="1" ht="1" customHeight="1">
      <s:c r="A21837" s="120" t="inlineStr"/>
      <s:c r="B21837" s="121" t="n"/>
      <s:c r="C21837" s="121" t="n"/>
      <s:c r="D21837" s="121" t="n"/>
      <s:c r="E21837" s="122" t="n"/>
    </s:row>
    <s:row r="21838" hidden="1" ht="1" customHeight="1">
      <s:c r="A21838" s="120" t="inlineStr"/>
      <s:c r="B21838" s="121" t="n"/>
      <s:c r="C21838" s="121" t="n"/>
      <s:c r="D21838" s="121" t="n"/>
      <s:c r="E21838" s="122" t="n"/>
    </s:row>
    <s:row r="21839" hidden="1" ht="1" customHeight="1">
      <s:c r="A21839" s="120" t="inlineStr"/>
      <s:c r="B21839" s="121" t="n"/>
      <s:c r="C21839" s="121" t="n"/>
      <s:c r="D21839" s="121" t="n"/>
      <s:c r="E21839" s="122" t="n"/>
    </s:row>
    <s:row r="21840" hidden="1" ht="1" customHeight="1">
      <s:c r="A21840" s="120" t="inlineStr"/>
      <s:c r="B21840" s="121" t="n"/>
      <s:c r="C21840" s="121" t="n"/>
      <s:c r="D21840" s="121" t="n"/>
      <s:c r="E21840" s="122" t="n"/>
    </s:row>
    <s:row r="21841" hidden="1" ht="1" customHeight="1">
      <s:c r="A21841" s="120" t="inlineStr"/>
      <s:c r="B21841" s="121" t="n"/>
      <s:c r="C21841" s="121" t="n"/>
      <s:c r="D21841" s="121" t="n"/>
      <s:c r="E21841" s="122" t="n"/>
    </s:row>
    <s:row r="21842" hidden="1" ht="1" customHeight="1">
      <s:c r="A21842" s="120" t="inlineStr"/>
      <s:c r="B21842" s="121" t="n"/>
      <s:c r="C21842" s="121" t="n"/>
      <s:c r="D21842" s="121" t="n"/>
      <s:c r="E21842" s="122" t="n"/>
    </s:row>
    <s:row r="21843" hidden="1" ht="1" customHeight="1">
      <s:c r="A21843" s="120" t="inlineStr"/>
      <s:c r="B21843" s="121" t="n"/>
      <s:c r="C21843" s="121" t="n"/>
      <s:c r="D21843" s="121" t="n"/>
      <s:c r="E21843" s="122" t="n"/>
    </s:row>
    <s:row r="21844" hidden="1" ht="1" customHeight="1">
      <s:c r="A21844" s="120" t="inlineStr"/>
      <s:c r="B21844" s="121" t="n"/>
      <s:c r="C21844" s="121" t="n"/>
      <s:c r="D21844" s="121" t="n"/>
      <s:c r="E21844" s="122" t="n"/>
    </s:row>
    <s:row r="21845" hidden="1" ht="1" customHeight="1">
      <s:c r="A21845" s="120" t="inlineStr"/>
      <s:c r="B21845" s="121" t="n"/>
      <s:c r="C21845" s="121" t="n"/>
      <s:c r="D21845" s="121" t="n"/>
      <s:c r="E21845" s="122" t="n"/>
    </s:row>
    <s:row r="21846" hidden="1" ht="1" customHeight="1">
      <s:c r="A21846" s="120" t="inlineStr"/>
      <s:c r="B21846" s="121" t="n"/>
      <s:c r="C21846" s="121" t="n"/>
      <s:c r="D21846" s="121" t="n"/>
      <s:c r="E21846" s="122" t="n"/>
    </s:row>
    <s:row r="21847" hidden="1" ht="1" customHeight="1">
      <s:c r="A21847" s="120" t="inlineStr"/>
      <s:c r="B21847" s="121" t="n"/>
      <s:c r="C21847" s="121" t="n"/>
      <s:c r="D21847" s="121" t="n"/>
      <s:c r="E21847" s="122" t="n"/>
    </s:row>
    <s:row r="21848" hidden="1" ht="1" customHeight="1">
      <s:c r="A21848" s="120" t="inlineStr"/>
      <s:c r="B21848" s="121" t="n"/>
      <s:c r="C21848" s="121" t="n"/>
      <s:c r="D21848" s="121" t="n"/>
      <s:c r="E21848" s="122" t="n"/>
    </s:row>
    <s:row r="21849" hidden="1" ht="1" customHeight="1">
      <s:c r="A21849" s="120" t="inlineStr"/>
      <s:c r="B21849" s="121" t="n"/>
      <s:c r="C21849" s="121" t="n"/>
      <s:c r="D21849" s="121" t="n"/>
      <s:c r="E21849" s="122" t="n"/>
    </s:row>
    <s:row r="21850" hidden="1" ht="1" customHeight="1">
      <s:c r="A21850" s="120" t="inlineStr"/>
      <s:c r="B21850" s="121" t="n"/>
      <s:c r="C21850" s="121" t="n"/>
      <s:c r="D21850" s="121" t="n"/>
      <s:c r="E21850" s="122" t="n"/>
    </s:row>
    <s:row r="21851" hidden="1" ht="1" customHeight="1">
      <s:c r="A21851" s="120" t="inlineStr"/>
      <s:c r="B21851" s="121" t="n"/>
      <s:c r="C21851" s="121" t="n"/>
      <s:c r="D21851" s="121" t="n"/>
      <s:c r="E21851" s="122" t="n"/>
    </s:row>
    <s:row r="21852" hidden="1" ht="1" customHeight="1">
      <s:c r="A21852" s="120" t="inlineStr"/>
      <s:c r="B21852" s="121" t="n"/>
      <s:c r="C21852" s="121" t="n"/>
      <s:c r="D21852" s="121" t="n"/>
      <s:c r="E21852" s="122" t="n"/>
    </s:row>
    <s:row r="21853" hidden="1" ht="1" customHeight="1">
      <s:c r="A21853" s="120" t="inlineStr"/>
      <s:c r="B21853" s="121" t="n"/>
      <s:c r="C21853" s="121" t="n"/>
      <s:c r="D21853" s="121" t="n"/>
      <s:c r="E21853" s="122" t="n"/>
    </s:row>
    <s:row r="21854" hidden="1" ht="1" customHeight="1">
      <s:c r="A21854" s="120" t="inlineStr"/>
      <s:c r="B21854" s="121" t="n"/>
      <s:c r="C21854" s="121" t="n"/>
      <s:c r="D21854" s="121" t="n"/>
      <s:c r="E21854" s="122" t="n"/>
    </s:row>
    <s:row r="21855" hidden="1" ht="1" customHeight="1">
      <s:c r="A21855" s="120" t="inlineStr"/>
      <s:c r="B21855" s="121" t="n"/>
      <s:c r="C21855" s="121" t="n"/>
      <s:c r="D21855" s="121" t="n"/>
      <s:c r="E21855" s="122" t="n"/>
    </s:row>
    <s:row r="21856" hidden="1" ht="1" customHeight="1">
      <s:c r="A21856" s="120" t="inlineStr"/>
      <s:c r="B21856" s="121" t="n"/>
      <s:c r="C21856" s="121" t="n"/>
      <s:c r="D21856" s="121" t="n"/>
      <s:c r="E21856" s="122" t="n"/>
    </s:row>
    <s:row r="21857" hidden="1" ht="1" customHeight="1">
      <s:c r="A21857" s="120" t="inlineStr"/>
      <s:c r="B21857" s="121" t="n"/>
      <s:c r="C21857" s="121" t="n"/>
      <s:c r="D21857" s="121" t="n"/>
      <s:c r="E21857" s="122" t="n"/>
    </s:row>
    <s:row r="21858" hidden="1" ht="1" customHeight="1">
      <s:c r="A21858" s="120" t="inlineStr"/>
      <s:c r="B21858" s="121" t="n"/>
      <s:c r="C21858" s="121" t="n"/>
      <s:c r="D21858" s="121" t="n"/>
      <s:c r="E21858" s="122" t="n"/>
    </s:row>
    <s:row r="21859" hidden="1" ht="1" customHeight="1">
      <s:c r="A21859" s="120" t="inlineStr"/>
      <s:c r="B21859" s="121" t="n"/>
      <s:c r="C21859" s="121" t="n"/>
      <s:c r="D21859" s="121" t="n"/>
      <s:c r="E21859" s="122" t="n"/>
    </s:row>
    <s:row r="21860" hidden="1" ht="1" customHeight="1">
      <s:c r="A21860" s="120" t="inlineStr"/>
      <s:c r="B21860" s="121" t="n"/>
      <s:c r="C21860" s="121" t="n"/>
      <s:c r="D21860" s="121" t="n"/>
      <s:c r="E21860" s="122" t="n"/>
    </s:row>
    <s:row r="21861" hidden="1" ht="1" customHeight="1">
      <s:c r="A21861" s="120" t="inlineStr"/>
      <s:c r="B21861" s="121" t="n"/>
      <s:c r="C21861" s="121" t="n"/>
      <s:c r="D21861" s="121" t="n"/>
      <s:c r="E21861" s="122" t="n"/>
    </s:row>
    <s:row r="21862" hidden="1" ht="1" customHeight="1">
      <s:c r="A21862" s="120" t="inlineStr"/>
      <s:c r="B21862" s="121" t="n"/>
      <s:c r="C21862" s="121" t="n"/>
      <s:c r="D21862" s="121" t="n"/>
      <s:c r="E21862" s="122" t="n"/>
    </s:row>
    <s:row r="21863" hidden="1" ht="1" customHeight="1">
      <s:c r="A21863" s="120" t="inlineStr"/>
      <s:c r="B21863" s="121" t="n"/>
      <s:c r="C21863" s="121" t="n"/>
      <s:c r="D21863" s="121" t="n"/>
      <s:c r="E21863" s="122" t="n"/>
    </s:row>
    <s:row r="21864" hidden="1" ht="1" customHeight="1">
      <s:c r="A21864" s="120" t="inlineStr"/>
      <s:c r="B21864" s="121" t="n"/>
      <s:c r="C21864" s="121" t="n"/>
      <s:c r="D21864" s="121" t="n"/>
      <s:c r="E21864" s="122" t="n"/>
    </s:row>
    <s:row r="21865" hidden="1" ht="1" customHeight="1">
      <s:c r="A21865" s="120" t="inlineStr"/>
      <s:c r="B21865" s="121" t="n"/>
      <s:c r="C21865" s="121" t="n"/>
      <s:c r="D21865" s="121" t="n"/>
      <s:c r="E21865" s="122" t="n"/>
    </s:row>
    <s:row r="21866" hidden="1" ht="1" customHeight="1">
      <s:c r="A21866" s="120" t="inlineStr"/>
      <s:c r="B21866" s="121" t="n"/>
      <s:c r="C21866" s="121" t="n"/>
      <s:c r="D21866" s="121" t="n"/>
      <s:c r="E21866" s="122" t="n"/>
    </s:row>
    <s:row r="21867" hidden="1" ht="1" customHeight="1">
      <s:c r="A21867" s="120" t="inlineStr"/>
      <s:c r="B21867" s="121" t="n"/>
      <s:c r="C21867" s="121" t="n"/>
      <s:c r="D21867" s="121" t="n"/>
      <s:c r="E21867" s="122" t="n"/>
    </s:row>
    <s:row r="21868" hidden="1" ht="1" customHeight="1">
      <s:c r="A21868" s="120" t="inlineStr"/>
      <s:c r="B21868" s="121" t="n"/>
      <s:c r="C21868" s="121" t="n"/>
      <s:c r="D21868" s="121" t="n"/>
      <s:c r="E21868" s="122" t="n"/>
    </s:row>
    <s:row r="21869" hidden="1" ht="1" customHeight="1">
      <s:c r="A21869" s="120" t="inlineStr"/>
      <s:c r="B21869" s="121" t="n"/>
      <s:c r="C21869" s="121" t="n"/>
      <s:c r="D21869" s="121" t="n"/>
      <s:c r="E21869" s="122" t="n"/>
    </s:row>
    <s:row r="21870" hidden="1" ht="1" customHeight="1">
      <s:c r="A21870" s="120" t="inlineStr"/>
      <s:c r="B21870" s="121" t="n"/>
      <s:c r="C21870" s="121" t="n"/>
      <s:c r="D21870" s="121" t="n"/>
      <s:c r="E21870" s="122" t="n"/>
    </s:row>
    <s:row r="21871" hidden="1" ht="1" customHeight="1">
      <s:c r="A21871" s="120" t="inlineStr"/>
      <s:c r="B21871" s="121" t="n"/>
      <s:c r="C21871" s="121" t="n"/>
      <s:c r="D21871" s="121" t="n"/>
      <s:c r="E21871" s="122" t="n"/>
    </s:row>
    <s:row r="21872" hidden="1" ht="1" customHeight="1">
      <s:c r="A21872" s="120" t="inlineStr"/>
      <s:c r="B21872" s="121" t="n"/>
      <s:c r="C21872" s="121" t="n"/>
      <s:c r="D21872" s="121" t="n"/>
      <s:c r="E21872" s="122" t="n"/>
    </s:row>
    <s:row r="21873" hidden="1" ht="1" customHeight="1">
      <s:c r="A21873" s="120" t="inlineStr"/>
      <s:c r="B21873" s="121" t="n"/>
      <s:c r="C21873" s="121" t="n"/>
      <s:c r="D21873" s="121" t="n"/>
      <s:c r="E21873" s="122" t="n"/>
    </s:row>
    <s:row r="21874" hidden="1" ht="1" customHeight="1">
      <s:c r="A21874" s="120" t="inlineStr"/>
      <s:c r="B21874" s="121" t="n"/>
      <s:c r="C21874" s="121" t="n"/>
      <s:c r="D21874" s="121" t="n"/>
      <s:c r="E21874" s="122" t="n"/>
    </s:row>
    <s:row r="21875" hidden="1" ht="1" customHeight="1">
      <s:c r="A21875" s="83" t="inlineStr">
        <s:is>
          <s:t>PASS</s:t>
        </s:is>
      </s:c>
      <s:c r="B21875" s="83">
        <s:f>SUM(IF(EXACT('Kiểm thử'!E21725,"Đạt"),1,0),IF(EXACT('Kiểm thử'!E21727,"Đạt"),1,0),IF(EXACT('Kiểm thử'!E21729,"Đạt"),1,0))</s:f>
        <s:v/>
      </s:c>
      <s:c r="C21875" s="19" t="n"/>
      <s:c r="D21875" s="19" t="n"/>
      <s:c r="E21875" s="19" t="n"/>
    </s:row>
    <s:row r="21876" hidden="1" ht="1" customHeight="1">
      <s:c r="A21876" s="83" t="inlineStr">
        <s:is>
          <s:t>FAIL</s:t>
        </s:is>
      </s:c>
      <s:c r="B21876" s="83">
        <s:f>SUM(IF(EXACT('Kiểm thử'!E21725,"Không đạt"),1,0),IF(EXACT('Kiểm thử'!E21727,"Không đạt"),1,0),IF(EXACT('Kiểm thử'!E21729,"Không đạt"),1,0))</s:f>
        <s:v/>
      </s:c>
      <s:c r="C21876" s="19" t="n"/>
      <s:c r="D21876" s="19" t="n"/>
      <s:c r="E21876" s="19" t="n"/>
    </s:row>
    <s:row r="21877" hidden="1" ht="1" customHeight="1">
      <s:c r="A21877" s="83" t="inlineStr">
        <s:is>
          <s:t>BLOCKED</s:t>
        </s:is>
      </s:c>
      <s:c r="B21877" s="83">
        <s:f>SUM(IF(EXACT('Kiểm thử'!E21725,"Bị chặn"),1,0),IF(EXACT('Kiểm thử'!E21727,"Bị chặn"),1,0),IF(EXACT('Kiểm thử'!E21729,"Bị chặn"),1,0))</s:f>
        <s:v/>
      </s:c>
      <s:c r="C21877" s="19" t="n"/>
      <s:c r="D21877" s="19" t="n"/>
      <s:c r="E21877" s="19" t="n"/>
    </s:row>
    <s:row r="21878" hidden="1" ht="1" customHeight="1">
      <s:c r="A21878" s="83" t="inlineStr">
        <s:is>
          <s:t>SKIPPED</s:t>
        </s:is>
      </s:c>
      <s:c r="B21878" s="83">
        <s:f>SUM(IF(EXACT('Kiểm thử'!E21725,"Không thực hiện"),1,0),IF(EXACT('Kiểm thử'!E21727,"Không thực hiện"),1,0),IF(EXACT('Kiểm thử'!E21729,"Không thực hiện"),1,0))</s:f>
        <s:v/>
      </s:c>
      <s:c r="C21878" s="19" t="n"/>
      <s:c r="D21878" s="19" t="n"/>
      <s:c r="E21878" s="19" t="n"/>
    </s:row>
    <s:row r="21879" hidden="1" ht="1" customHeight="1">
      <s:c r="A21879" s="83" t="inlineStr">
        <s:is>
          <s:t>NOT RUN</s:t>
        </s:is>
      </s:c>
      <s:c r="B21879" s="83">
        <s:f>SUM(IF(EXACT('Kiểm thử'!E21725,"Chưa thực hiện"),1,0),IF(EXACT('Kiểm thử'!E21727,"Chưa thực hiện"),1,0),IF(EXACT('Kiểm thử'!E21729,"Chưa thực hiện"),1,0))</s:f>
        <s:v/>
      </s:c>
      <s:c r="C21879" s="19" t="n"/>
      <s:c r="D21879" s="19" t="n"/>
      <s:c r="E21879" s="19" t="n"/>
    </s:row>
    <s:row r="21880" hidden="1" ht="6" customHeight="1">
      <s:c r="A21880" s="83" t="inlineStr"/>
      <s:c r="B21880" s="19" t="n"/>
      <s:c r="C21880" s="19" t="n"/>
      <s:c r="D21880" s="19" t="n"/>
      <s:c r="E21880" s="19" t="n"/>
    </s:row>
    <s:row r="21881" ht="28" customHeight="1">
      <s:c r="A21881" s="108" t="inlineStr">
        <s:is>
          <s:t>TC-RS-BR-014 — Ô trống không bị coi là 0 (trạng thái Không có điểm)</s:t>
        </s:is>
      </s:c>
      <s:c r="B21881" s="111" t="n"/>
      <s:c r="C21881" s="111" t="n"/>
      <s:c r="D21881" s="111" t="n"/>
      <s:c r="E21881" s="111" t="n"/>
    </s:row>
    <s:row r="21882" ht="20" customHeight="1">
      <s:c r="A21882" s="112" t="inlineStr">
        <s:is>
          <s:t>Kết quả tình huống</s:t>
        </s:is>
      </s:c>
      <s:c r="B21882" s="113">
        <s:f>IF(SUM(IF(EXACT('Kiểm thử'!E21890,"Không đạt"),1,0),IF(EXACT('Kiểm thử'!E21892,"Không đạt"),1,0))&gt;0,"Không đạt",IF(SUM(IF(EXACT('Kiểm thử'!E21890,"Đạt"),1,0),IF(EXACT('Kiểm thử'!E21892,"Đạt"),1,0))=2,"Đạt",IF(SUM(IF(EXACT('Kiểm thử'!E21890,"Không thực hiện"),1,0),IF(EXACT('Kiểm thử'!E21892,"Không thực hiện"),1,0))=2,"Không thực hiện",IF(SUM(IF(EXACT('Kiểm thử'!E21890,"Bị chặn"),1,0),IF(EXACT('Kiểm thử'!E21892,"Bị chặn"),1,0))&gt;0,"Bị chặn",IF(SUM(IF(EXACT('Kiểm thử'!E21890,"Chưa thực hiện"),1,0),IF(EXACT('Kiểm thử'!E21892,"Chưa thực hiện"),1,0))=2,"Chưa thực hiện","Đang thực hiện")))))</s:f>
        <s:v/>
      </s:c>
      <s:c r="C21882" s="114" t="n"/>
      <s:c r="D21882" s="114" t="n"/>
      <s:c r="E21882" s="114" t="n"/>
    </s:row>
    <s:row r="21883" ht="20" customHeight="1">
      <s:c r="A21883" s="112" t="inlineStr">
        <s:is>
          <s:t>Màn hình / chức năng</s:t>
        </s:is>
      </s:c>
      <s:c r="B21883" s="113" t="inlineStr">
        <s:is>
          <s:r>
            <s:rPr>
              <s:b val="1"/>
            </s:rPr>
            <s:t>Đăng ký thành tích（成績登録）</s:t>
          </s:r>
        </s:is>
      </s:c>
      <s:c r="C21883" s="28" t="n"/>
      <s:c r="D21883" s="28" t="n"/>
      <s:c r="E21883" s="28" t="n"/>
    </s:row>
    <s:row r="21884" ht="34" customHeight="1">
      <s:c r="A21884" s="112" t="inlineStr">
        <s:is>
          <s:t>Cấu hình</s:t>
        </s:is>
      </s:c>
      <s:c r="B21884" s="113" t="inlineStr">
        <s:is>
          <s:r>
            <s:t xml:space="preserve">• Quy tắc “Cố định 30” (dưới 30) ([&lt;30]) và quy tắc cố định 30 với </s:t>
          </s:r>
          <s:r>
            <s:rPr>
              <s:b val="1"/>
            </s:rPr>
            <s:t>Nhỏ hơn hoặc bằng（以下）</s:t>
          </s:r>
          <s:r>
            <s:t xml:space="preserve"> biến thể cố định 0 [≤].</s:t>
          </s:r>
        </s:is>
      </s:c>
      <s:c r="C21884" s="28" t="n"/>
      <s:c r="D21884" s="28" t="n"/>
      <s:c r="E21884" s="28" t="n"/>
    </s:row>
    <s:row r="21885" ht="34" customHeight="1">
      <s:c r="A21885" s="112" t="inlineStr">
        <s:is>
          <s:t>Dữ liệu test</s:t>
        </s:is>
      </s:c>
      <s:c r="B21885" s="113" t="inlineStr">
        <s:is>
          <s:r>
            <s:t xml:space="preserve">• Quy tắc “Cố định 30” (dưới 30), quy tắc cố định 30 với </s:t>
          </s:r>
          <s:r>
            <s:rPr>
              <s:b val="1"/>
            </s:rPr>
            <s:t>Nhỏ hơn hoặc bằng（以下）</s:t>
          </s:r>
          <s:r>
            <s:t>;
• Học sinh S05 (ô trống) (trống), học sinh S04 (điểm 0) (0)</s:t>
          </s:r>
        </s:is>
      </s:c>
      <s:c r="C21885" s="28" t="n"/>
      <s:c r="D21885" s="28" t="n"/>
      <s:c r="E21885" s="28" t="n"/>
    </s:row>
    <s:row r="21886" ht="20" customHeight="1">
      <s:c r="A21886" s="112" t="inlineStr">
        <s:is>
          <s:t>Bước 1</s:t>
        </s:is>
      </s:c>
      <s:c r="B21886" s="113" t="inlineStr">
        <s:is>
          <s:t>Với quy tắc “Cố định 30” (dưới 30): đăng ký S04=0, để S05 trống.</s:t>
        </s:is>
      </s:c>
      <s:c r="C21886" s="28" t="n"/>
      <s:c r="D21886" s="28" t="n"/>
      <s:c r="E21886" s="28" t="n"/>
    </s:row>
    <s:row r="21887" ht="20" customHeight="1">
      <s:c r="A21887" s="112" t="inlineStr">
        <s:is>
          <s:t>Bước 2</s:t>
        </s:is>
      </s:c>
      <s:c r="B21887" s="113" t="inlineStr">
        <s:is>
          <s:t>Đổi thành quy tắc cố định 0 [≤], chạy lại.</s:t>
        </s:is>
      </s:c>
      <s:c r="C21887" s="28" t="n"/>
      <s:c r="D21887" s="28" t="n"/>
      <s:c r="E21887" s="28" t="n"/>
    </s:row>
    <s:row r="21888" ht="28" customHeight="1">
      <s:c r="A21888" s="115" t="inlineStr">
        <s:is>
          <s:t>Trường hợp</s:t>
        </s:is>
      </s:c>
      <s:c r="B21888" s="115" t="inlineStr">
        <s:is>
          <s:t>Dữ liệu / thao tác riêng</s:t>
        </s:is>
      </s:c>
      <s:c r="C21888" s="115" t="inlineStr">
        <s:is>
          <s:t>Kết quả mong đợi</s:t>
        </s:is>
      </s:c>
      <s:c r="D21888" s="115" t="inlineStr">
        <s:is>
          <s:t>Kết quả thực tế</s:t>
        </s:is>
      </s:c>
      <s:c r="E21888" s="115" t="inlineStr">
        <s:is>
          <s:t>Đánh giá</s:t>
        </s:is>
      </s:c>
    </s:row>
    <s:row r="21889" ht="3" customHeight="1">
      <s:c r="A21889" s="102" t="inlineStr"/>
      <s:c r="B21889" s="99" t="n"/>
      <s:c r="C21889" s="99" t="n"/>
      <s:c r="D21889" s="116" t="n"/>
      <s:c r="E21889" s="116" t="n"/>
    </s:row>
    <s:row r="21890" ht="34" customHeight="1">
      <s:c r="A21890" s="83" t="inlineStr">
        <s:is>
          <s:t>Phân biệt trống và 0 (fixed30-lt)</s:t>
        </s:is>
      </s:c>
      <s:c r="B21890" s="83" t="inlineStr">
        <s:is>
          <s:t>Rule cố định30,&lt;; đăng ký S04=0, để S05 trống; đọc cả hai ô.</s:t>
        </s:is>
      </s:c>
      <s:c r="C21890" s="83" t="inlineStr">
        <s:is>
          <s:r>
            <s:t xml:space="preserve">1. S04 </s:t>
          </s:r>
          <s:r>
            <s:rPr>
              <s:b val="1"/>
            </s:rPr>
            <s:t>Đỏ</s:t>
          </s:r>
          <s:r>
            <s:t xml:space="preserve"> (0 hợp lệ là số); S05 Không có điểm, không dấu đỏ.</s:t>
          </s:r>
        </s:is>
      </s:c>
      <s:c r="D21890" s="117" t="inlineStr"/>
      <s:c r="E21890" s="118" t="inlineStr">
        <s:is>
          <s:t>Chưa thực hiện</s:t>
        </s:is>
      </s:c>
    </s:row>
    <s:row r="21891" ht="3" customHeight="1">
      <s:c r="A21891" s="102" t="inlineStr"/>
      <s:c r="B21891" s="99" t="n"/>
      <s:c r="C21891" s="99" t="n"/>
      <s:c r="D21891" s="116" t="n"/>
      <s:c r="E21891" s="116" t="n"/>
    </s:row>
    <s:row r="21892" ht="48" customHeight="1">
      <s:c r="A21892" s="83" t="inlineStr">
        <s:is>
          <s:t>Ngưỡng 0 vẫn phân biệt trống (fixed0-le)</s:t>
        </s:is>
      </s:c>
      <s:c r="B21892" s="83" t="inlineStr">
        <s:is>
          <s:t>Đổi rule thành cố định0,≤; S04=0 và S05 trống; chạy lại, đọc cả hai ô.</s:t>
        </s:is>
      </s:c>
      <s:c r="C21892" s="83" t="inlineStr">
        <s:is>
          <s:r>
            <s:t xml:space="preserve">2. S04 </s:t>
          </s:r>
          <s:r>
            <s:rPr>
              <s:b val="1"/>
            </s:rPr>
            <s:t>Đỏ</s:t>
          </s:r>
          <s:r>
            <s:t xml:space="preserve"> ([0≤0]); S05 vẫn Không có điểm (không thành </s:t>
          </s:r>
          <s:r>
            <s:rPr>
              <s:b val="1"/>
            </s:rPr>
            <s:t>Đỏ</s:t>
          </s:r>
          <s:r>
            <s:t xml:space="preserve"> như thể là 0).</s:t>
          </s:r>
        </s:is>
      </s:c>
      <s:c r="D21892" s="117" t="inlineStr"/>
      <s:c r="E21892" s="118" t="inlineStr">
        <s:is>
          <s:t>Chưa thực hiện</s:t>
        </s:is>
      </s:c>
    </s:row>
    <s:row r="21893" ht="20" customHeight="1">
      <s:c r="A21893" s="119" t="inlineStr">
        <s:is>
          <s:t>Ảnh minh chứng — Chưa có ảnh</s:t>
        </s:is>
      </s:c>
      <s:c r="B21893" s="19" t="n"/>
      <s:c r="C21893" s="19" t="n"/>
      <s:c r="D21893" s="19" t="n"/>
      <s:c r="E21893" s="19" t="n"/>
    </s:row>
    <s:row r="21894" hidden="1" ht="1" customHeight="1">
      <s:c r="A21894" s="120" t="inlineStr"/>
      <s:c r="B21894" s="121" t="n"/>
      <s:c r="C21894" s="121" t="n"/>
      <s:c r="D21894" s="121" t="n"/>
      <s:c r="E21894" s="122" t="n"/>
    </s:row>
    <s:row r="21895" hidden="1" ht="1" customHeight="1">
      <s:c r="A21895" s="120" t="inlineStr"/>
      <s:c r="B21895" s="121" t="n"/>
      <s:c r="C21895" s="121" t="n"/>
      <s:c r="D21895" s="121" t="n"/>
      <s:c r="E21895" s="122" t="n"/>
    </s:row>
    <s:row r="21896" hidden="1" ht="1" customHeight="1">
      <s:c r="A21896" s="120" t="inlineStr"/>
      <s:c r="B21896" s="121" t="n"/>
      <s:c r="C21896" s="121" t="n"/>
      <s:c r="D21896" s="121" t="n"/>
      <s:c r="E21896" s="122" t="n"/>
    </s:row>
    <s:row r="21897" hidden="1" ht="1" customHeight="1">
      <s:c r="A21897" s="120" t="inlineStr"/>
      <s:c r="B21897" s="121" t="n"/>
      <s:c r="C21897" s="121" t="n"/>
      <s:c r="D21897" s="121" t="n"/>
      <s:c r="E21897" s="122" t="n"/>
    </s:row>
    <s:row r="21898" hidden="1" ht="1" customHeight="1">
      <s:c r="A21898" s="120" t="inlineStr"/>
      <s:c r="B21898" s="121" t="n"/>
      <s:c r="C21898" s="121" t="n"/>
      <s:c r="D21898" s="121" t="n"/>
      <s:c r="E21898" s="122" t="n"/>
    </s:row>
    <s:row r="21899" hidden="1" ht="1" customHeight="1">
      <s:c r="A21899" s="120" t="inlineStr"/>
      <s:c r="B21899" s="121" t="n"/>
      <s:c r="C21899" s="121" t="n"/>
      <s:c r="D21899" s="121" t="n"/>
      <s:c r="E21899" s="122" t="n"/>
    </s:row>
    <s:row r="21900" hidden="1" ht="1" customHeight="1">
      <s:c r="A21900" s="120" t="inlineStr"/>
      <s:c r="B21900" s="121" t="n"/>
      <s:c r="C21900" s="121" t="n"/>
      <s:c r="D21900" s="121" t="n"/>
      <s:c r="E21900" s="122" t="n"/>
    </s:row>
    <s:row r="21901" hidden="1" ht="1" customHeight="1">
      <s:c r="A21901" s="120" t="inlineStr"/>
      <s:c r="B21901" s="121" t="n"/>
      <s:c r="C21901" s="121" t="n"/>
      <s:c r="D21901" s="121" t="n"/>
      <s:c r="E21901" s="122" t="n"/>
    </s:row>
    <s:row r="21902" hidden="1" ht="1" customHeight="1">
      <s:c r="A21902" s="120" t="inlineStr"/>
      <s:c r="B21902" s="121" t="n"/>
      <s:c r="C21902" s="121" t="n"/>
      <s:c r="D21902" s="121" t="n"/>
      <s:c r="E21902" s="122" t="n"/>
    </s:row>
    <s:row r="21903" hidden="1" ht="1" customHeight="1">
      <s:c r="A21903" s="120" t="inlineStr"/>
      <s:c r="B21903" s="121" t="n"/>
      <s:c r="C21903" s="121" t="n"/>
      <s:c r="D21903" s="121" t="n"/>
      <s:c r="E21903" s="122" t="n"/>
    </s:row>
    <s:row r="21904" hidden="1" ht="1" customHeight="1">
      <s:c r="A21904" s="120" t="inlineStr"/>
      <s:c r="B21904" s="121" t="n"/>
      <s:c r="C21904" s="121" t="n"/>
      <s:c r="D21904" s="121" t="n"/>
      <s:c r="E21904" s="122" t="n"/>
    </s:row>
    <s:row r="21905" hidden="1" ht="1" customHeight="1">
      <s:c r="A21905" s="120" t="inlineStr"/>
      <s:c r="B21905" s="121" t="n"/>
      <s:c r="C21905" s="121" t="n"/>
      <s:c r="D21905" s="121" t="n"/>
      <s:c r="E21905" s="122" t="n"/>
    </s:row>
    <s:row r="21906" hidden="1" ht="1" customHeight="1">
      <s:c r="A21906" s="120" t="inlineStr"/>
      <s:c r="B21906" s="121" t="n"/>
      <s:c r="C21906" s="121" t="n"/>
      <s:c r="D21906" s="121" t="n"/>
      <s:c r="E21906" s="122" t="n"/>
    </s:row>
    <s:row r="21907" hidden="1" ht="1" customHeight="1">
      <s:c r="A21907" s="120" t="inlineStr"/>
      <s:c r="B21907" s="121" t="n"/>
      <s:c r="C21907" s="121" t="n"/>
      <s:c r="D21907" s="121" t="n"/>
      <s:c r="E21907" s="122" t="n"/>
    </s:row>
    <s:row r="21908" hidden="1" ht="1" customHeight="1">
      <s:c r="A21908" s="120" t="inlineStr"/>
      <s:c r="B21908" s="121" t="n"/>
      <s:c r="C21908" s="121" t="n"/>
      <s:c r="D21908" s="121" t="n"/>
      <s:c r="E21908" s="122" t="n"/>
    </s:row>
    <s:row r="21909" hidden="1" ht="1" customHeight="1">
      <s:c r="A21909" s="120" t="inlineStr"/>
      <s:c r="B21909" s="121" t="n"/>
      <s:c r="C21909" s="121" t="n"/>
      <s:c r="D21909" s="121" t="n"/>
      <s:c r="E21909" s="122" t="n"/>
    </s:row>
    <s:row r="21910" hidden="1" ht="1" customHeight="1">
      <s:c r="A21910" s="120" t="inlineStr"/>
      <s:c r="B21910" s="121" t="n"/>
      <s:c r="C21910" s="121" t="n"/>
      <s:c r="D21910" s="121" t="n"/>
      <s:c r="E21910" s="122" t="n"/>
    </s:row>
    <s:row r="21911" hidden="1" ht="1" customHeight="1">
      <s:c r="A21911" s="120" t="inlineStr"/>
      <s:c r="B21911" s="121" t="n"/>
      <s:c r="C21911" s="121" t="n"/>
      <s:c r="D21911" s="121" t="n"/>
      <s:c r="E21911" s="122" t="n"/>
    </s:row>
    <s:row r="21912" hidden="1" ht="1" customHeight="1">
      <s:c r="A21912" s="120" t="inlineStr"/>
      <s:c r="B21912" s="121" t="n"/>
      <s:c r="C21912" s="121" t="n"/>
      <s:c r="D21912" s="121" t="n"/>
      <s:c r="E21912" s="122" t="n"/>
    </s:row>
    <s:row r="21913" hidden="1" ht="1" customHeight="1">
      <s:c r="A21913" s="120" t="inlineStr"/>
      <s:c r="B21913" s="121" t="n"/>
      <s:c r="C21913" s="121" t="n"/>
      <s:c r="D21913" s="121" t="n"/>
      <s:c r="E21913" s="122" t="n"/>
    </s:row>
    <s:row r="21914" hidden="1" ht="1" customHeight="1">
      <s:c r="A21914" s="120" t="inlineStr"/>
      <s:c r="B21914" s="121" t="n"/>
      <s:c r="C21914" s="121" t="n"/>
      <s:c r="D21914" s="121" t="n"/>
      <s:c r="E21914" s="122" t="n"/>
    </s:row>
    <s:row r="21915" hidden="1" ht="1" customHeight="1">
      <s:c r="A21915" s="120" t="inlineStr"/>
      <s:c r="B21915" s="121" t="n"/>
      <s:c r="C21915" s="121" t="n"/>
      <s:c r="D21915" s="121" t="n"/>
      <s:c r="E21915" s="122" t="n"/>
    </s:row>
    <s:row r="21916" hidden="1" ht="1" customHeight="1">
      <s:c r="A21916" s="120" t="inlineStr"/>
      <s:c r="B21916" s="121" t="n"/>
      <s:c r="C21916" s="121" t="n"/>
      <s:c r="D21916" s="121" t="n"/>
      <s:c r="E21916" s="122" t="n"/>
    </s:row>
    <s:row r="21917" hidden="1" ht="1" customHeight="1">
      <s:c r="A21917" s="120" t="inlineStr"/>
      <s:c r="B21917" s="121" t="n"/>
      <s:c r="C21917" s="121" t="n"/>
      <s:c r="D21917" s="121" t="n"/>
      <s:c r="E21917" s="122" t="n"/>
    </s:row>
    <s:row r="21918" hidden="1" ht="1" customHeight="1">
      <s:c r="A21918" s="120" t="inlineStr"/>
      <s:c r="B21918" s="121" t="n"/>
      <s:c r="C21918" s="121" t="n"/>
      <s:c r="D21918" s="121" t="n"/>
      <s:c r="E21918" s="122" t="n"/>
    </s:row>
    <s:row r="21919" hidden="1" ht="1" customHeight="1">
      <s:c r="A21919" s="120" t="inlineStr"/>
      <s:c r="B21919" s="121" t="n"/>
      <s:c r="C21919" s="121" t="n"/>
      <s:c r="D21919" s="121" t="n"/>
      <s:c r="E21919" s="122" t="n"/>
    </s:row>
    <s:row r="21920" hidden="1" ht="1" customHeight="1">
      <s:c r="A21920" s="120" t="inlineStr"/>
      <s:c r="B21920" s="121" t="n"/>
      <s:c r="C21920" s="121" t="n"/>
      <s:c r="D21920" s="121" t="n"/>
      <s:c r="E21920" s="122" t="n"/>
    </s:row>
    <s:row r="21921" hidden="1" ht="1" customHeight="1">
      <s:c r="A21921" s="120" t="inlineStr"/>
      <s:c r="B21921" s="121" t="n"/>
      <s:c r="C21921" s="121" t="n"/>
      <s:c r="D21921" s="121" t="n"/>
      <s:c r="E21921" s="122" t="n"/>
    </s:row>
    <s:row r="21922" hidden="1" ht="1" customHeight="1">
      <s:c r="A21922" s="120" t="inlineStr"/>
      <s:c r="B21922" s="121" t="n"/>
      <s:c r="C21922" s="121" t="n"/>
      <s:c r="D21922" s="121" t="n"/>
      <s:c r="E21922" s="122" t="n"/>
    </s:row>
    <s:row r="21923" hidden="1" ht="1" customHeight="1">
      <s:c r="A21923" s="120" t="inlineStr"/>
      <s:c r="B21923" s="121" t="n"/>
      <s:c r="C21923" s="121" t="n"/>
      <s:c r="D21923" s="121" t="n"/>
      <s:c r="E21923" s="122" t="n"/>
    </s:row>
    <s:row r="21924" hidden="1" ht="1" customHeight="1">
      <s:c r="A21924" s="120" t="inlineStr"/>
      <s:c r="B21924" s="121" t="n"/>
      <s:c r="C21924" s="121" t="n"/>
      <s:c r="D21924" s="121" t="n"/>
      <s:c r="E21924" s="122" t="n"/>
    </s:row>
    <s:row r="21925" hidden="1" ht="1" customHeight="1">
      <s:c r="A21925" s="120" t="inlineStr"/>
      <s:c r="B21925" s="121" t="n"/>
      <s:c r="C21925" s="121" t="n"/>
      <s:c r="D21925" s="121" t="n"/>
      <s:c r="E21925" s="122" t="n"/>
    </s:row>
    <s:row r="21926" hidden="1" ht="1" customHeight="1">
      <s:c r="A21926" s="120" t="inlineStr"/>
      <s:c r="B21926" s="121" t="n"/>
      <s:c r="C21926" s="121" t="n"/>
      <s:c r="D21926" s="121" t="n"/>
      <s:c r="E21926" s="122" t="n"/>
    </s:row>
    <s:row r="21927" hidden="1" ht="1" customHeight="1">
      <s:c r="A21927" s="120" t="inlineStr"/>
      <s:c r="B21927" s="121" t="n"/>
      <s:c r="C21927" s="121" t="n"/>
      <s:c r="D21927" s="121" t="n"/>
      <s:c r="E21927" s="122" t="n"/>
    </s:row>
    <s:row r="21928" hidden="1" ht="1" customHeight="1">
      <s:c r="A21928" s="120" t="inlineStr"/>
      <s:c r="B21928" s="121" t="n"/>
      <s:c r="C21928" s="121" t="n"/>
      <s:c r="D21928" s="121" t="n"/>
      <s:c r="E21928" s="122" t="n"/>
    </s:row>
    <s:row r="21929" hidden="1" ht="1" customHeight="1">
      <s:c r="A21929" s="120" t="inlineStr"/>
      <s:c r="B21929" s="121" t="n"/>
      <s:c r="C21929" s="121" t="n"/>
      <s:c r="D21929" s="121" t="n"/>
      <s:c r="E21929" s="122" t="n"/>
    </s:row>
    <s:row r="21930" hidden="1" ht="1" customHeight="1">
      <s:c r="A21930" s="120" t="inlineStr"/>
      <s:c r="B21930" s="121" t="n"/>
      <s:c r="C21930" s="121" t="n"/>
      <s:c r="D21930" s="121" t="n"/>
      <s:c r="E21930" s="122" t="n"/>
    </s:row>
    <s:row r="21931" hidden="1" ht="1" customHeight="1">
      <s:c r="A21931" s="120" t="inlineStr"/>
      <s:c r="B21931" s="121" t="n"/>
      <s:c r="C21931" s="121" t="n"/>
      <s:c r="D21931" s="121" t="n"/>
      <s:c r="E21931" s="122" t="n"/>
    </s:row>
    <s:row r="21932" hidden="1" ht="1" customHeight="1">
      <s:c r="A21932" s="120" t="inlineStr"/>
      <s:c r="B21932" s="121" t="n"/>
      <s:c r="C21932" s="121" t="n"/>
      <s:c r="D21932" s="121" t="n"/>
      <s:c r="E21932" s="122" t="n"/>
    </s:row>
    <s:row r="21933" hidden="1" ht="1" customHeight="1">
      <s:c r="A21933" s="120" t="inlineStr"/>
      <s:c r="B21933" s="121" t="n"/>
      <s:c r="C21933" s="121" t="n"/>
      <s:c r="D21933" s="121" t="n"/>
      <s:c r="E21933" s="122" t="n"/>
    </s:row>
    <s:row r="21934" hidden="1" ht="1" customHeight="1">
      <s:c r="A21934" s="120" t="inlineStr"/>
      <s:c r="B21934" s="121" t="n"/>
      <s:c r="C21934" s="121" t="n"/>
      <s:c r="D21934" s="121" t="n"/>
      <s:c r="E21934" s="122" t="n"/>
    </s:row>
    <s:row r="21935" hidden="1" ht="1" customHeight="1">
      <s:c r="A21935" s="120" t="inlineStr"/>
      <s:c r="B21935" s="121" t="n"/>
      <s:c r="C21935" s="121" t="n"/>
      <s:c r="D21935" s="121" t="n"/>
      <s:c r="E21935" s="122" t="n"/>
    </s:row>
    <s:row r="21936" hidden="1" ht="1" customHeight="1">
      <s:c r="A21936" s="120" t="inlineStr"/>
      <s:c r="B21936" s="121" t="n"/>
      <s:c r="C21936" s="121" t="n"/>
      <s:c r="D21936" s="121" t="n"/>
      <s:c r="E21936" s="122" t="n"/>
    </s:row>
    <s:row r="21937" hidden="1" ht="1" customHeight="1">
      <s:c r="A21937" s="120" t="inlineStr"/>
      <s:c r="B21937" s="121" t="n"/>
      <s:c r="C21937" s="121" t="n"/>
      <s:c r="D21937" s="121" t="n"/>
      <s:c r="E21937" s="122" t="n"/>
    </s:row>
    <s:row r="21938" hidden="1" ht="1" customHeight="1">
      <s:c r="A21938" s="120" t="inlineStr"/>
      <s:c r="B21938" s="121" t="n"/>
      <s:c r="C21938" s="121" t="n"/>
      <s:c r="D21938" s="121" t="n"/>
      <s:c r="E21938" s="122" t="n"/>
    </s:row>
    <s:row r="21939" hidden="1" ht="1" customHeight="1">
      <s:c r="A21939" s="120" t="inlineStr"/>
      <s:c r="B21939" s="121" t="n"/>
      <s:c r="C21939" s="121" t="n"/>
      <s:c r="D21939" s="121" t="n"/>
      <s:c r="E21939" s="122" t="n"/>
    </s:row>
    <s:row r="21940" hidden="1" ht="1" customHeight="1">
      <s:c r="A21940" s="120" t="inlineStr"/>
      <s:c r="B21940" s="121" t="n"/>
      <s:c r="C21940" s="121" t="n"/>
      <s:c r="D21940" s="121" t="n"/>
      <s:c r="E21940" s="122" t="n"/>
    </s:row>
    <s:row r="21941" hidden="1" ht="1" customHeight="1">
      <s:c r="A21941" s="120" t="inlineStr"/>
      <s:c r="B21941" s="121" t="n"/>
      <s:c r="C21941" s="121" t="n"/>
      <s:c r="D21941" s="121" t="n"/>
      <s:c r="E21941" s="122" t="n"/>
    </s:row>
    <s:row r="21942" hidden="1" ht="1" customHeight="1">
      <s:c r="A21942" s="120" t="inlineStr"/>
      <s:c r="B21942" s="121" t="n"/>
      <s:c r="C21942" s="121" t="n"/>
      <s:c r="D21942" s="121" t="n"/>
      <s:c r="E21942" s="122" t="n"/>
    </s:row>
    <s:row r="21943" hidden="1" ht="1" customHeight="1">
      <s:c r="A21943" s="120" t="inlineStr"/>
      <s:c r="B21943" s="121" t="n"/>
      <s:c r="C21943" s="121" t="n"/>
      <s:c r="D21943" s="121" t="n"/>
      <s:c r="E21943" s="122" t="n"/>
    </s:row>
    <s:row r="21944" hidden="1" ht="1" customHeight="1">
      <s:c r="A21944" s="120" t="inlineStr"/>
      <s:c r="B21944" s="121" t="n"/>
      <s:c r="C21944" s="121" t="n"/>
      <s:c r="D21944" s="121" t="n"/>
      <s:c r="E21944" s="122" t="n"/>
    </s:row>
    <s:row r="21945" hidden="1" ht="1" customHeight="1">
      <s:c r="A21945" s="120" t="inlineStr"/>
      <s:c r="B21945" s="121" t="n"/>
      <s:c r="C21945" s="121" t="n"/>
      <s:c r="D21945" s="121" t="n"/>
      <s:c r="E21945" s="122" t="n"/>
    </s:row>
    <s:row r="21946" hidden="1" ht="1" customHeight="1">
      <s:c r="A21946" s="120" t="inlineStr"/>
      <s:c r="B21946" s="121" t="n"/>
      <s:c r="C21946" s="121" t="n"/>
      <s:c r="D21946" s="121" t="n"/>
      <s:c r="E21946" s="122" t="n"/>
    </s:row>
    <s:row r="21947" hidden="1" ht="1" customHeight="1">
      <s:c r="A21947" s="120" t="inlineStr"/>
      <s:c r="B21947" s="121" t="n"/>
      <s:c r="C21947" s="121" t="n"/>
      <s:c r="D21947" s="121" t="n"/>
      <s:c r="E21947" s="122" t="n"/>
    </s:row>
    <s:row r="21948" hidden="1" ht="1" customHeight="1">
      <s:c r="A21948" s="120" t="inlineStr"/>
      <s:c r="B21948" s="121" t="n"/>
      <s:c r="C21948" s="121" t="n"/>
      <s:c r="D21948" s="121" t="n"/>
      <s:c r="E21948" s="122" t="n"/>
    </s:row>
    <s:row r="21949" hidden="1" ht="1" customHeight="1">
      <s:c r="A21949" s="120" t="inlineStr"/>
      <s:c r="B21949" s="121" t="n"/>
      <s:c r="C21949" s="121" t="n"/>
      <s:c r="D21949" s="121" t="n"/>
      <s:c r="E21949" s="122" t="n"/>
    </s:row>
    <s:row r="21950" hidden="1" ht="1" customHeight="1">
      <s:c r="A21950" s="120" t="inlineStr"/>
      <s:c r="B21950" s="121" t="n"/>
      <s:c r="C21950" s="121" t="n"/>
      <s:c r="D21950" s="121" t="n"/>
      <s:c r="E21950" s="122" t="n"/>
    </s:row>
    <s:row r="21951" hidden="1" ht="1" customHeight="1">
      <s:c r="A21951" s="120" t="inlineStr"/>
      <s:c r="B21951" s="121" t="n"/>
      <s:c r="C21951" s="121" t="n"/>
      <s:c r="D21951" s="121" t="n"/>
      <s:c r="E21951" s="122" t="n"/>
    </s:row>
    <s:row r="21952" hidden="1" ht="1" customHeight="1">
      <s:c r="A21952" s="120" t="inlineStr"/>
      <s:c r="B21952" s="121" t="n"/>
      <s:c r="C21952" s="121" t="n"/>
      <s:c r="D21952" s="121" t="n"/>
      <s:c r="E21952" s="122" t="n"/>
    </s:row>
    <s:row r="21953" hidden="1" ht="1" customHeight="1">
      <s:c r="A21953" s="120" t="inlineStr"/>
      <s:c r="B21953" s="121" t="n"/>
      <s:c r="C21953" s="121" t="n"/>
      <s:c r="D21953" s="121" t="n"/>
      <s:c r="E21953" s="122" t="n"/>
    </s:row>
    <s:row r="21954" hidden="1" ht="1" customHeight="1">
      <s:c r="A21954" s="120" t="inlineStr"/>
      <s:c r="B21954" s="121" t="n"/>
      <s:c r="C21954" s="121" t="n"/>
      <s:c r="D21954" s="121" t="n"/>
      <s:c r="E21954" s="122" t="n"/>
    </s:row>
    <s:row r="21955" hidden="1" ht="1" customHeight="1">
      <s:c r="A21955" s="120" t="inlineStr"/>
      <s:c r="B21955" s="121" t="n"/>
      <s:c r="C21955" s="121" t="n"/>
      <s:c r="D21955" s="121" t="n"/>
      <s:c r="E21955" s="122" t="n"/>
    </s:row>
    <s:row r="21956" hidden="1" ht="1" customHeight="1">
      <s:c r="A21956" s="120" t="inlineStr"/>
      <s:c r="B21956" s="121" t="n"/>
      <s:c r="C21956" s="121" t="n"/>
      <s:c r="D21956" s="121" t="n"/>
      <s:c r="E21956" s="122" t="n"/>
    </s:row>
    <s:row r="21957" hidden="1" ht="1" customHeight="1">
      <s:c r="A21957" s="120" t="inlineStr"/>
      <s:c r="B21957" s="121" t="n"/>
      <s:c r="C21957" s="121" t="n"/>
      <s:c r="D21957" s="121" t="n"/>
      <s:c r="E21957" s="122" t="n"/>
    </s:row>
    <s:row r="21958" hidden="1" ht="1" customHeight="1">
      <s:c r="A21958" s="120" t="inlineStr"/>
      <s:c r="B21958" s="121" t="n"/>
      <s:c r="C21958" s="121" t="n"/>
      <s:c r="D21958" s="121" t="n"/>
      <s:c r="E21958" s="122" t="n"/>
    </s:row>
    <s:row r="21959" hidden="1" ht="1" customHeight="1">
      <s:c r="A21959" s="120" t="inlineStr"/>
      <s:c r="B21959" s="121" t="n"/>
      <s:c r="C21959" s="121" t="n"/>
      <s:c r="D21959" s="121" t="n"/>
      <s:c r="E21959" s="122" t="n"/>
    </s:row>
    <s:row r="21960" hidden="1" ht="1" customHeight="1">
      <s:c r="A21960" s="120" t="inlineStr"/>
      <s:c r="B21960" s="121" t="n"/>
      <s:c r="C21960" s="121" t="n"/>
      <s:c r="D21960" s="121" t="n"/>
      <s:c r="E21960" s="122" t="n"/>
    </s:row>
    <s:row r="21961" hidden="1" ht="1" customHeight="1">
      <s:c r="A21961" s="120" t="inlineStr"/>
      <s:c r="B21961" s="121" t="n"/>
      <s:c r="C21961" s="121" t="n"/>
      <s:c r="D21961" s="121" t="n"/>
      <s:c r="E21961" s="122" t="n"/>
    </s:row>
    <s:row r="21962" hidden="1" ht="1" customHeight="1">
      <s:c r="A21962" s="120" t="inlineStr"/>
      <s:c r="B21962" s="121" t="n"/>
      <s:c r="C21962" s="121" t="n"/>
      <s:c r="D21962" s="121" t="n"/>
      <s:c r="E21962" s="122" t="n"/>
    </s:row>
    <s:row r="21963" hidden="1" ht="1" customHeight="1">
      <s:c r="A21963" s="120" t="inlineStr"/>
      <s:c r="B21963" s="121" t="n"/>
      <s:c r="C21963" s="121" t="n"/>
      <s:c r="D21963" s="121" t="n"/>
      <s:c r="E21963" s="122" t="n"/>
    </s:row>
    <s:row r="21964" hidden="1" ht="1" customHeight="1">
      <s:c r="A21964" s="120" t="inlineStr"/>
      <s:c r="B21964" s="121" t="n"/>
      <s:c r="C21964" s="121" t="n"/>
      <s:c r="D21964" s="121" t="n"/>
      <s:c r="E21964" s="122" t="n"/>
    </s:row>
    <s:row r="21965" hidden="1" ht="1" customHeight="1">
      <s:c r="A21965" s="120" t="inlineStr"/>
      <s:c r="B21965" s="121" t="n"/>
      <s:c r="C21965" s="121" t="n"/>
      <s:c r="D21965" s="121" t="n"/>
      <s:c r="E21965" s="122" t="n"/>
    </s:row>
    <s:row r="21966" hidden="1" ht="1" customHeight="1">
      <s:c r="A21966" s="120" t="inlineStr"/>
      <s:c r="B21966" s="121" t="n"/>
      <s:c r="C21966" s="121" t="n"/>
      <s:c r="D21966" s="121" t="n"/>
      <s:c r="E21966" s="122" t="n"/>
    </s:row>
    <s:row r="21967" hidden="1" ht="1" customHeight="1">
      <s:c r="A21967" s="120" t="inlineStr"/>
      <s:c r="B21967" s="121" t="n"/>
      <s:c r="C21967" s="121" t="n"/>
      <s:c r="D21967" s="121" t="n"/>
      <s:c r="E21967" s="122" t="n"/>
    </s:row>
    <s:row r="21968" hidden="1" ht="1" customHeight="1">
      <s:c r="A21968" s="120" t="inlineStr"/>
      <s:c r="B21968" s="121" t="n"/>
      <s:c r="C21968" s="121" t="n"/>
      <s:c r="D21968" s="121" t="n"/>
      <s:c r="E21968" s="122" t="n"/>
    </s:row>
    <s:row r="21969" hidden="1" ht="1" customHeight="1">
      <s:c r="A21969" s="120" t="inlineStr"/>
      <s:c r="B21969" s="121" t="n"/>
      <s:c r="C21969" s="121" t="n"/>
      <s:c r="D21969" s="121" t="n"/>
      <s:c r="E21969" s="122" t="n"/>
    </s:row>
    <s:row r="21970" hidden="1" ht="1" customHeight="1">
      <s:c r="A21970" s="120" t="inlineStr"/>
      <s:c r="B21970" s="121" t="n"/>
      <s:c r="C21970" s="121" t="n"/>
      <s:c r="D21970" s="121" t="n"/>
      <s:c r="E21970" s="122" t="n"/>
    </s:row>
    <s:row r="21971" hidden="1" ht="1" customHeight="1">
      <s:c r="A21971" s="120" t="inlineStr"/>
      <s:c r="B21971" s="121" t="n"/>
      <s:c r="C21971" s="121" t="n"/>
      <s:c r="D21971" s="121" t="n"/>
      <s:c r="E21971" s="122" t="n"/>
    </s:row>
    <s:row r="21972" hidden="1" ht="1" customHeight="1">
      <s:c r="A21972" s="120" t="inlineStr"/>
      <s:c r="B21972" s="121" t="n"/>
      <s:c r="C21972" s="121" t="n"/>
      <s:c r="D21972" s="121" t="n"/>
      <s:c r="E21972" s="122" t="n"/>
    </s:row>
    <s:row r="21973" hidden="1" ht="1" customHeight="1">
      <s:c r="A21973" s="120" t="inlineStr"/>
      <s:c r="B21973" s="121" t="n"/>
      <s:c r="C21973" s="121" t="n"/>
      <s:c r="D21973" s="121" t="n"/>
      <s:c r="E21973" s="122" t="n"/>
    </s:row>
    <s:row r="21974" hidden="1" ht="1" customHeight="1">
      <s:c r="A21974" s="120" t="inlineStr"/>
      <s:c r="B21974" s="121" t="n"/>
      <s:c r="C21974" s="121" t="n"/>
      <s:c r="D21974" s="121" t="n"/>
      <s:c r="E21974" s="122" t="n"/>
    </s:row>
    <s:row r="21975" hidden="1" ht="1" customHeight="1">
      <s:c r="A21975" s="120" t="inlineStr"/>
      <s:c r="B21975" s="121" t="n"/>
      <s:c r="C21975" s="121" t="n"/>
      <s:c r="D21975" s="121" t="n"/>
      <s:c r="E21975" s="122" t="n"/>
    </s:row>
    <s:row r="21976" hidden="1" ht="1" customHeight="1">
      <s:c r="A21976" s="120" t="inlineStr"/>
      <s:c r="B21976" s="121" t="n"/>
      <s:c r="C21976" s="121" t="n"/>
      <s:c r="D21976" s="121" t="n"/>
      <s:c r="E21976" s="122" t="n"/>
    </s:row>
    <s:row r="21977" hidden="1" ht="1" customHeight="1">
      <s:c r="A21977" s="120" t="inlineStr"/>
      <s:c r="B21977" s="121" t="n"/>
      <s:c r="C21977" s="121" t="n"/>
      <s:c r="D21977" s="121" t="n"/>
      <s:c r="E21977" s="122" t="n"/>
    </s:row>
    <s:row r="21978" hidden="1" ht="1" customHeight="1">
      <s:c r="A21978" s="120" t="inlineStr"/>
      <s:c r="B21978" s="121" t="n"/>
      <s:c r="C21978" s="121" t="n"/>
      <s:c r="D21978" s="121" t="n"/>
      <s:c r="E21978" s="122" t="n"/>
    </s:row>
    <s:row r="21979" hidden="1" ht="1" customHeight="1">
      <s:c r="A21979" s="120" t="inlineStr"/>
      <s:c r="B21979" s="121" t="n"/>
      <s:c r="C21979" s="121" t="n"/>
      <s:c r="D21979" s="121" t="n"/>
      <s:c r="E21979" s="122" t="n"/>
    </s:row>
    <s:row r="21980" hidden="1" ht="1" customHeight="1">
      <s:c r="A21980" s="120" t="inlineStr"/>
      <s:c r="B21980" s="121" t="n"/>
      <s:c r="C21980" s="121" t="n"/>
      <s:c r="D21980" s="121" t="n"/>
      <s:c r="E21980" s="122" t="n"/>
    </s:row>
    <s:row r="21981" hidden="1" ht="1" customHeight="1">
      <s:c r="A21981" s="120" t="inlineStr"/>
      <s:c r="B21981" s="121" t="n"/>
      <s:c r="C21981" s="121" t="n"/>
      <s:c r="D21981" s="121" t="n"/>
      <s:c r="E21981" s="122" t="n"/>
    </s:row>
    <s:row r="21982" hidden="1" ht="1" customHeight="1">
      <s:c r="A21982" s="120" t="inlineStr"/>
      <s:c r="B21982" s="121" t="n"/>
      <s:c r="C21982" s="121" t="n"/>
      <s:c r="D21982" s="121" t="n"/>
      <s:c r="E21982" s="122" t="n"/>
    </s:row>
    <s:row r="21983" hidden="1" ht="1" customHeight="1">
      <s:c r="A21983" s="120" t="inlineStr"/>
      <s:c r="B21983" s="121" t="n"/>
      <s:c r="C21983" s="121" t="n"/>
      <s:c r="D21983" s="121" t="n"/>
      <s:c r="E21983" s="122" t="n"/>
    </s:row>
    <s:row r="21984" hidden="1" ht="1" customHeight="1">
      <s:c r="A21984" s="120" t="inlineStr"/>
      <s:c r="B21984" s="121" t="n"/>
      <s:c r="C21984" s="121" t="n"/>
      <s:c r="D21984" s="121" t="n"/>
      <s:c r="E21984" s="122" t="n"/>
    </s:row>
    <s:row r="21985" hidden="1" ht="1" customHeight="1">
      <s:c r="A21985" s="120" t="inlineStr"/>
      <s:c r="B21985" s="121" t="n"/>
      <s:c r="C21985" s="121" t="n"/>
      <s:c r="D21985" s="121" t="n"/>
      <s:c r="E21985" s="122" t="n"/>
    </s:row>
    <s:row r="21986" hidden="1" ht="1" customHeight="1">
      <s:c r="A21986" s="120" t="inlineStr"/>
      <s:c r="B21986" s="121" t="n"/>
      <s:c r="C21986" s="121" t="n"/>
      <s:c r="D21986" s="121" t="n"/>
      <s:c r="E21986" s="122" t="n"/>
    </s:row>
    <s:row r="21987" hidden="1" ht="1" customHeight="1">
      <s:c r="A21987" s="120" t="inlineStr"/>
      <s:c r="B21987" s="121" t="n"/>
      <s:c r="C21987" s="121" t="n"/>
      <s:c r="D21987" s="121" t="n"/>
      <s:c r="E21987" s="122" t="n"/>
    </s:row>
    <s:row r="21988" hidden="1" ht="1" customHeight="1">
      <s:c r="A21988" s="120" t="inlineStr"/>
      <s:c r="B21988" s="121" t="n"/>
      <s:c r="C21988" s="121" t="n"/>
      <s:c r="D21988" s="121" t="n"/>
      <s:c r="E21988" s="122" t="n"/>
    </s:row>
    <s:row r="21989" hidden="1" ht="1" customHeight="1">
      <s:c r="A21989" s="120" t="inlineStr"/>
      <s:c r="B21989" s="121" t="n"/>
      <s:c r="C21989" s="121" t="n"/>
      <s:c r="D21989" s="121" t="n"/>
      <s:c r="E21989" s="122" t="n"/>
    </s:row>
    <s:row r="21990" hidden="1" ht="1" customHeight="1">
      <s:c r="A21990" s="83" t="inlineStr">
        <s:is>
          <s:t>PASS</s:t>
        </s:is>
      </s:c>
      <s:c r="B21990" s="83">
        <s:f>SUM(IF(EXACT('Kiểm thử'!E21890,"Đạt"),1,0),IF(EXACT('Kiểm thử'!E21892,"Đạt"),1,0))</s:f>
        <s:v/>
      </s:c>
      <s:c r="C21990" s="19" t="n"/>
      <s:c r="D21990" s="19" t="n"/>
      <s:c r="E21990" s="19" t="n"/>
    </s:row>
    <s:row r="21991" hidden="1" ht="1" customHeight="1">
      <s:c r="A21991" s="83" t="inlineStr">
        <s:is>
          <s:t>FAIL</s:t>
        </s:is>
      </s:c>
      <s:c r="B21991" s="83">
        <s:f>SUM(IF(EXACT('Kiểm thử'!E21890,"Không đạt"),1,0),IF(EXACT('Kiểm thử'!E21892,"Không đạt"),1,0))</s:f>
        <s:v/>
      </s:c>
      <s:c r="C21991" s="19" t="n"/>
      <s:c r="D21991" s="19" t="n"/>
      <s:c r="E21991" s="19" t="n"/>
    </s:row>
    <s:row r="21992" hidden="1" ht="1" customHeight="1">
      <s:c r="A21992" s="83" t="inlineStr">
        <s:is>
          <s:t>BLOCKED</s:t>
        </s:is>
      </s:c>
      <s:c r="B21992" s="83">
        <s:f>SUM(IF(EXACT('Kiểm thử'!E21890,"Bị chặn"),1,0),IF(EXACT('Kiểm thử'!E21892,"Bị chặn"),1,0))</s:f>
        <s:v/>
      </s:c>
      <s:c r="C21992" s="19" t="n"/>
      <s:c r="D21992" s="19" t="n"/>
      <s:c r="E21992" s="19" t="n"/>
    </s:row>
    <s:row r="21993" hidden="1" ht="1" customHeight="1">
      <s:c r="A21993" s="83" t="inlineStr">
        <s:is>
          <s:t>SKIPPED</s:t>
        </s:is>
      </s:c>
      <s:c r="B21993" s="83">
        <s:f>SUM(IF(EXACT('Kiểm thử'!E21890,"Không thực hiện"),1,0),IF(EXACT('Kiểm thử'!E21892,"Không thực hiện"),1,0))</s:f>
        <s:v/>
      </s:c>
      <s:c r="C21993" s="19" t="n"/>
      <s:c r="D21993" s="19" t="n"/>
      <s:c r="E21993" s="19" t="n"/>
    </s:row>
    <s:row r="21994" hidden="1" ht="1" customHeight="1">
      <s:c r="A21994" s="83" t="inlineStr">
        <s:is>
          <s:t>NOT RUN</s:t>
        </s:is>
      </s:c>
      <s:c r="B21994" s="83">
        <s:f>SUM(IF(EXACT('Kiểm thử'!E21890,"Chưa thực hiện"),1,0),IF(EXACT('Kiểm thử'!E21892,"Chưa thực hiện"),1,0))</s:f>
        <s:v/>
      </s:c>
      <s:c r="C21994" s="19" t="n"/>
      <s:c r="D21994" s="19" t="n"/>
      <s:c r="E21994" s="19" t="n"/>
    </s:row>
    <s:row r="21995" hidden="1" ht="6" customHeight="1">
      <s:c r="A21995" s="83" t="inlineStr"/>
      <s:c r="B21995" s="19" t="n"/>
      <s:c r="C21995" s="19" t="n"/>
      <s:c r="D21995" s="19" t="n"/>
      <s:c r="E21995" s="19" t="n"/>
    </s:row>
    <s:row r="21996" ht="28" customHeight="1">
      <s:c r="A21996" s="108" t="inlineStr">
        <s:is>
          <s:t>TC-RS-BR-030 — Ô điểm đơn vị được xét riêng theo từng đơn vị</s:t>
        </s:is>
      </s:c>
      <s:c r="B21996" s="111" t="n"/>
      <s:c r="C21996" s="111" t="n"/>
      <s:c r="D21996" s="111" t="n"/>
      <s:c r="E21996" s="111" t="n"/>
    </s:row>
    <s:row r="21997" ht="20" customHeight="1">
      <s:c r="A21997" s="112" t="inlineStr">
        <s:is>
          <s:t>Kết quả tình huống</s:t>
        </s:is>
      </s:c>
      <s:c r="B21997" s="113">
        <s:f>IF(SUM(IF(EXACT('Kiểm thử'!E22005,"Không đạt"),1,0))&gt;0,"Không đạt",IF(SUM(IF(EXACT('Kiểm thử'!E22005,"Đạt"),1,0))=1,"Đạt",IF(SUM(IF(EXACT('Kiểm thử'!E22005,"Không thực hiện"),1,0))=1,"Không thực hiện",IF(SUM(IF(EXACT('Kiểm thử'!E22005,"Bị chặn"),1,0))&gt;0,"Bị chặn",IF(SUM(IF(EXACT('Kiểm thử'!E22005,"Chưa thực hiện"),1,0))=1,"Chưa thực hiện","Đang thực hiện")))))</s:f>
        <s:v/>
      </s:c>
      <s:c r="C21997" s="114" t="n"/>
      <s:c r="D21997" s="114" t="n"/>
      <s:c r="E21997" s="114" t="n"/>
    </s:row>
    <s:row r="21998" ht="20" customHeight="1">
      <s:c r="A21998" s="112" t="inlineStr">
        <s:is>
          <s:t>Màn hình / chức năng</s:t>
        </s:is>
      </s:c>
      <s:c r="B21998" s="113" t="inlineStr">
        <s:is>
          <s:r>
            <s:rPr>
              <s:b val="1"/>
            </s:rPr>
            <s:t>Đăng ký thành tích（成績登録）</s:t>
          </s:r>
        </s:is>
      </s:c>
      <s:c r="C21998" s="28" t="n"/>
      <s:c r="D21998" s="28" t="n"/>
      <s:c r="E21998" s="28" t="n"/>
    </s:row>
    <s:row r="21999" ht="34" customHeight="1">
      <s:c r="A21999" s="112" t="inlineStr">
        <s:is>
          <s:t>Cấu hình</s:t>
        </s:is>
      </s:c>
      <s:c r="B21999" s="113" t="inlineStr">
        <s:is>
          <s:t>• Mục điểm đơn vị (đơn vị U1 có M riêng 40) có quy tắc “Cố định 30” (dưới 30) ([&lt;30]). S06 (G-B): U1 = 25, U2 = 35.</s:t>
        </s:is>
      </s:c>
      <s:c r="C21999" s="28" t="n"/>
      <s:c r="D21999" s="28" t="n"/>
      <s:c r="E21999" s="28" t="n"/>
    </s:row>
    <s:row r="22000" ht="34" customHeight="1">
      <s:c r="A22000" s="112" t="inlineStr">
        <s:is>
          <s:t>Dữ liệu test</s:t>
        </s:is>
      </s:c>
      <s:c r="B22000" s="113" t="inlineStr">
        <s:is>
          <s:t>• Quy tắc “Cố định 30” (dưới 30);
• Mục điểm đơn vị (đơn vị U1 có M riêng 40)</s:t>
        </s:is>
      </s:c>
      <s:c r="C22000" s="28" t="n"/>
      <s:c r="D22000" s="28" t="n"/>
      <s:c r="E22000" s="28" t="n"/>
    </s:row>
    <s:row r="22001" ht="20" customHeight="1">
      <s:c r="A22001" s="112" t="inlineStr">
        <s:is>
          <s:t>Bước 1</s:t>
        </s:is>
      </s:c>
      <s:c r="B22001" s="113" t="inlineStr">
        <s:is>
          <s:t>Đăng ký điểm U1, U2 của S06.</s:t>
        </s:is>
      </s:c>
      <s:c r="C22001" s="28" t="n"/>
      <s:c r="D22001" s="28" t="n"/>
      <s:c r="E22001" s="28" t="n"/>
    </s:row>
    <s:row r="22002" ht="20" customHeight="1">
      <s:c r="A22002" s="112" t="inlineStr">
        <s:is>
          <s:t>Bước 2</s:t>
        </s:is>
      </s:c>
      <s:c r="B22002" s="113" t="inlineStr">
        <s:is>
          <s:t>Xem ba đầu ra ở phạm vi đơn vị.</s:t>
        </s:is>
      </s:c>
      <s:c r="C22002" s="28" t="n"/>
      <s:c r="D22002" s="28" t="n"/>
      <s:c r="E22002" s="28" t="n"/>
    </s:row>
    <s:row r="22003" ht="28" customHeight="1">
      <s:c r="A22003" s="115" t="inlineStr">
        <s:is>
          <s:t>Trường hợp</s:t>
        </s:is>
      </s:c>
      <s:c r="B22003" s="115" t="inlineStr">
        <s:is>
          <s:t>Dữ liệu / thao tác riêng</s:t>
        </s:is>
      </s:c>
      <s:c r="C22003" s="115" t="inlineStr">
        <s:is>
          <s:t>Kết quả mong đợi</s:t>
        </s:is>
      </s:c>
      <s:c r="D22003" s="115" t="inlineStr">
        <s:is>
          <s:t>Kết quả thực tế</s:t>
        </s:is>
      </s:c>
      <s:c r="E22003" s="115" t="inlineStr">
        <s:is>
          <s:t>Đánh giá</s:t>
        </s:is>
      </s:c>
    </s:row>
    <s:row r="22004" ht="3" customHeight="1">
      <s:c r="A22004" s="102" t="inlineStr"/>
      <s:c r="B22004" s="99" t="n"/>
      <s:c r="C22004" s="99" t="n"/>
      <s:c r="D22004" s="116" t="n"/>
      <s:c r="E22004" s="116" t="n"/>
    </s:row>
    <s:row r="22005" ht="62" customHeight="1">
      <s:c r="A22005" s="83" t="inlineStr">
        <s:is>
          <s:t>Trường hợp cơ bản (Base)</s:t>
        </s:is>
      </s:c>
      <s:c r="B22005" s="83" t="inlineStr">
        <s:is>
          <s:t>Toàn bộ tình huống: Thực hiện đủ các bước chung theo thứ tự; kiểm cả đối tượng đích và đối chứng cùng fixture, không bỏ bước.</s:t>
        </s:is>
      </s:c>
      <s:c r="C22005" s="83" t="inlineStr">
        <s:is>
          <s:r>
            <s:t xml:space="preserve">U1 </s:t>
          </s:r>
          <s:r>
            <s:rPr>
              <s:b val="1"/>
            </s:rPr>
            <s:t>Đỏ</s:t>
          </s:r>
          <s:r>
            <s:t xml:space="preserve">, U2 </s:t>
          </s:r>
          <s:r>
            <s:rPr>
              <s:b val="1"/>
            </s:rPr>
            <s:t>Không đỏ</s:t>
          </s:r>
          <s:r>
            <s:t>; dấu chỉ ở ô U1. Hai đơn vị không bị gộp thành một ô.</s:t>
          </s:r>
        </s:is>
      </s:c>
      <s:c r="D22005" s="117" t="inlineStr"/>
      <s:c r="E22005" s="118" t="inlineStr">
        <s:is>
          <s:t>Chưa thực hiện</s:t>
        </s:is>
      </s:c>
    </s:row>
    <s:row r="22006" ht="20" customHeight="1">
      <s:c r="A22006" s="119" t="inlineStr">
        <s:is>
          <s:t>Ảnh minh chứng — Chưa có ảnh</s:t>
        </s:is>
      </s:c>
      <s:c r="B22006" s="19" t="n"/>
      <s:c r="C22006" s="19" t="n"/>
      <s:c r="D22006" s="19" t="n"/>
      <s:c r="E22006" s="19" t="n"/>
    </s:row>
    <s:row r="22007" hidden="1" ht="1" customHeight="1">
      <s:c r="A22007" s="120" t="inlineStr"/>
      <s:c r="B22007" s="121" t="n"/>
      <s:c r="C22007" s="121" t="n"/>
      <s:c r="D22007" s="121" t="n"/>
      <s:c r="E22007" s="122" t="n"/>
    </s:row>
    <s:row r="22008" hidden="1" ht="1" customHeight="1">
      <s:c r="A22008" s="120" t="inlineStr"/>
      <s:c r="B22008" s="121" t="n"/>
      <s:c r="C22008" s="121" t="n"/>
      <s:c r="D22008" s="121" t="n"/>
      <s:c r="E22008" s="122" t="n"/>
    </s:row>
    <s:row r="22009" hidden="1" ht="1" customHeight="1">
      <s:c r="A22009" s="120" t="inlineStr"/>
      <s:c r="B22009" s="121" t="n"/>
      <s:c r="C22009" s="121" t="n"/>
      <s:c r="D22009" s="121" t="n"/>
      <s:c r="E22009" s="122" t="n"/>
    </s:row>
    <s:row r="22010" hidden="1" ht="1" customHeight="1">
      <s:c r="A22010" s="120" t="inlineStr"/>
      <s:c r="B22010" s="121" t="n"/>
      <s:c r="C22010" s="121" t="n"/>
      <s:c r="D22010" s="121" t="n"/>
      <s:c r="E22010" s="122" t="n"/>
    </s:row>
    <s:row r="22011" hidden="1" ht="1" customHeight="1">
      <s:c r="A22011" s="120" t="inlineStr"/>
      <s:c r="B22011" s="121" t="n"/>
      <s:c r="C22011" s="121" t="n"/>
      <s:c r="D22011" s="121" t="n"/>
      <s:c r="E22011" s="122" t="n"/>
    </s:row>
    <s:row r="22012" hidden="1" ht="1" customHeight="1">
      <s:c r="A22012" s="120" t="inlineStr"/>
      <s:c r="B22012" s="121" t="n"/>
      <s:c r="C22012" s="121" t="n"/>
      <s:c r="D22012" s="121" t="n"/>
      <s:c r="E22012" s="122" t="n"/>
    </s:row>
    <s:row r="22013" hidden="1" ht="1" customHeight="1">
      <s:c r="A22013" s="120" t="inlineStr"/>
      <s:c r="B22013" s="121" t="n"/>
      <s:c r="C22013" s="121" t="n"/>
      <s:c r="D22013" s="121" t="n"/>
      <s:c r="E22013" s="122" t="n"/>
    </s:row>
    <s:row r="22014" hidden="1" ht="1" customHeight="1">
      <s:c r="A22014" s="120" t="inlineStr"/>
      <s:c r="B22014" s="121" t="n"/>
      <s:c r="C22014" s="121" t="n"/>
      <s:c r="D22014" s="121" t="n"/>
      <s:c r="E22014" s="122" t="n"/>
    </s:row>
    <s:row r="22015" hidden="1" ht="1" customHeight="1">
      <s:c r="A22015" s="120" t="inlineStr"/>
      <s:c r="B22015" s="121" t="n"/>
      <s:c r="C22015" s="121" t="n"/>
      <s:c r="D22015" s="121" t="n"/>
      <s:c r="E22015" s="122" t="n"/>
    </s:row>
    <s:row r="22016" hidden="1" ht="1" customHeight="1">
      <s:c r="A22016" s="120" t="inlineStr"/>
      <s:c r="B22016" s="121" t="n"/>
      <s:c r="C22016" s="121" t="n"/>
      <s:c r="D22016" s="121" t="n"/>
      <s:c r="E22016" s="122" t="n"/>
    </s:row>
    <s:row r="22017" hidden="1" ht="1" customHeight="1">
      <s:c r="A22017" s="120" t="inlineStr"/>
      <s:c r="B22017" s="121" t="n"/>
      <s:c r="C22017" s="121" t="n"/>
      <s:c r="D22017" s="121" t="n"/>
      <s:c r="E22017" s="122" t="n"/>
    </s:row>
    <s:row r="22018" hidden="1" ht="1" customHeight="1">
      <s:c r="A22018" s="120" t="inlineStr"/>
      <s:c r="B22018" s="121" t="n"/>
      <s:c r="C22018" s="121" t="n"/>
      <s:c r="D22018" s="121" t="n"/>
      <s:c r="E22018" s="122" t="n"/>
    </s:row>
    <s:row r="22019" hidden="1" ht="1" customHeight="1">
      <s:c r="A22019" s="120" t="inlineStr"/>
      <s:c r="B22019" s="121" t="n"/>
      <s:c r="C22019" s="121" t="n"/>
      <s:c r="D22019" s="121" t="n"/>
      <s:c r="E22019" s="122" t="n"/>
    </s:row>
    <s:row r="22020" hidden="1" ht="1" customHeight="1">
      <s:c r="A22020" s="120" t="inlineStr"/>
      <s:c r="B22020" s="121" t="n"/>
      <s:c r="C22020" s="121" t="n"/>
      <s:c r="D22020" s="121" t="n"/>
      <s:c r="E22020" s="122" t="n"/>
    </s:row>
    <s:row r="22021" hidden="1" ht="1" customHeight="1">
      <s:c r="A22021" s="120" t="inlineStr"/>
      <s:c r="B22021" s="121" t="n"/>
      <s:c r="C22021" s="121" t="n"/>
      <s:c r="D22021" s="121" t="n"/>
      <s:c r="E22021" s="122" t="n"/>
    </s:row>
    <s:row r="22022" hidden="1" ht="1" customHeight="1">
      <s:c r="A22022" s="120" t="inlineStr"/>
      <s:c r="B22022" s="121" t="n"/>
      <s:c r="C22022" s="121" t="n"/>
      <s:c r="D22022" s="121" t="n"/>
      <s:c r="E22022" s="122" t="n"/>
    </s:row>
    <s:row r="22023" hidden="1" ht="1" customHeight="1">
      <s:c r="A22023" s="120" t="inlineStr"/>
      <s:c r="B22023" s="121" t="n"/>
      <s:c r="C22023" s="121" t="n"/>
      <s:c r="D22023" s="121" t="n"/>
      <s:c r="E22023" s="122" t="n"/>
    </s:row>
    <s:row r="22024" hidden="1" ht="1" customHeight="1">
      <s:c r="A22024" s="120" t="inlineStr"/>
      <s:c r="B22024" s="121" t="n"/>
      <s:c r="C22024" s="121" t="n"/>
      <s:c r="D22024" s="121" t="n"/>
      <s:c r="E22024" s="122" t="n"/>
    </s:row>
    <s:row r="22025" hidden="1" ht="1" customHeight="1">
      <s:c r="A22025" s="120" t="inlineStr"/>
      <s:c r="B22025" s="121" t="n"/>
      <s:c r="C22025" s="121" t="n"/>
      <s:c r="D22025" s="121" t="n"/>
      <s:c r="E22025" s="122" t="n"/>
    </s:row>
    <s:row r="22026" hidden="1" ht="1" customHeight="1">
      <s:c r="A22026" s="120" t="inlineStr"/>
      <s:c r="B22026" s="121" t="n"/>
      <s:c r="C22026" s="121" t="n"/>
      <s:c r="D22026" s="121" t="n"/>
      <s:c r="E22026" s="122" t="n"/>
    </s:row>
    <s:row r="22027" hidden="1" ht="1" customHeight="1">
      <s:c r="A22027" s="120" t="inlineStr"/>
      <s:c r="B22027" s="121" t="n"/>
      <s:c r="C22027" s="121" t="n"/>
      <s:c r="D22027" s="121" t="n"/>
      <s:c r="E22027" s="122" t="n"/>
    </s:row>
    <s:row r="22028" hidden="1" ht="1" customHeight="1">
      <s:c r="A22028" s="120" t="inlineStr"/>
      <s:c r="B22028" s="121" t="n"/>
      <s:c r="C22028" s="121" t="n"/>
      <s:c r="D22028" s="121" t="n"/>
      <s:c r="E22028" s="122" t="n"/>
    </s:row>
    <s:row r="22029" hidden="1" ht="1" customHeight="1">
      <s:c r="A22029" s="120" t="inlineStr"/>
      <s:c r="B22029" s="121" t="n"/>
      <s:c r="C22029" s="121" t="n"/>
      <s:c r="D22029" s="121" t="n"/>
      <s:c r="E22029" s="122" t="n"/>
    </s:row>
    <s:row r="22030" hidden="1" ht="1" customHeight="1">
      <s:c r="A22030" s="120" t="inlineStr"/>
      <s:c r="B22030" s="121" t="n"/>
      <s:c r="C22030" s="121" t="n"/>
      <s:c r="D22030" s="121" t="n"/>
      <s:c r="E22030" s="122" t="n"/>
    </s:row>
    <s:row r="22031" hidden="1" ht="1" customHeight="1">
      <s:c r="A22031" s="120" t="inlineStr"/>
      <s:c r="B22031" s="121" t="n"/>
      <s:c r="C22031" s="121" t="n"/>
      <s:c r="D22031" s="121" t="n"/>
      <s:c r="E22031" s="122" t="n"/>
    </s:row>
    <s:row r="22032" hidden="1" ht="1" customHeight="1">
      <s:c r="A22032" s="120" t="inlineStr"/>
      <s:c r="B22032" s="121" t="n"/>
      <s:c r="C22032" s="121" t="n"/>
      <s:c r="D22032" s="121" t="n"/>
      <s:c r="E22032" s="122" t="n"/>
    </s:row>
    <s:row r="22033" hidden="1" ht="1" customHeight="1">
      <s:c r="A22033" s="120" t="inlineStr"/>
      <s:c r="B22033" s="121" t="n"/>
      <s:c r="C22033" s="121" t="n"/>
      <s:c r="D22033" s="121" t="n"/>
      <s:c r="E22033" s="122" t="n"/>
    </s:row>
    <s:row r="22034" hidden="1" ht="1" customHeight="1">
      <s:c r="A22034" s="120" t="inlineStr"/>
      <s:c r="B22034" s="121" t="n"/>
      <s:c r="C22034" s="121" t="n"/>
      <s:c r="D22034" s="121" t="n"/>
      <s:c r="E22034" s="122" t="n"/>
    </s:row>
    <s:row r="22035" hidden="1" ht="1" customHeight="1">
      <s:c r="A22035" s="120" t="inlineStr"/>
      <s:c r="B22035" s="121" t="n"/>
      <s:c r="C22035" s="121" t="n"/>
      <s:c r="D22035" s="121" t="n"/>
      <s:c r="E22035" s="122" t="n"/>
    </s:row>
    <s:row r="22036" hidden="1" ht="1" customHeight="1">
      <s:c r="A22036" s="120" t="inlineStr"/>
      <s:c r="B22036" s="121" t="n"/>
      <s:c r="C22036" s="121" t="n"/>
      <s:c r="D22036" s="121" t="n"/>
      <s:c r="E22036" s="122" t="n"/>
    </s:row>
    <s:row r="22037" hidden="1" ht="1" customHeight="1">
      <s:c r="A22037" s="120" t="inlineStr"/>
      <s:c r="B22037" s="121" t="n"/>
      <s:c r="C22037" s="121" t="n"/>
      <s:c r="D22037" s="121" t="n"/>
      <s:c r="E22037" s="122" t="n"/>
    </s:row>
    <s:row r="22038" hidden="1" ht="1" customHeight="1">
      <s:c r="A22038" s="120" t="inlineStr"/>
      <s:c r="B22038" s="121" t="n"/>
      <s:c r="C22038" s="121" t="n"/>
      <s:c r="D22038" s="121" t="n"/>
      <s:c r="E22038" s="122" t="n"/>
    </s:row>
    <s:row r="22039" hidden="1" ht="1" customHeight="1">
      <s:c r="A22039" s="120" t="inlineStr"/>
      <s:c r="B22039" s="121" t="n"/>
      <s:c r="C22039" s="121" t="n"/>
      <s:c r="D22039" s="121" t="n"/>
      <s:c r="E22039" s="122" t="n"/>
    </s:row>
    <s:row r="22040" hidden="1" ht="1" customHeight="1">
      <s:c r="A22040" s="120" t="inlineStr"/>
      <s:c r="B22040" s="121" t="n"/>
      <s:c r="C22040" s="121" t="n"/>
      <s:c r="D22040" s="121" t="n"/>
      <s:c r="E22040" s="122" t="n"/>
    </s:row>
    <s:row r="22041" hidden="1" ht="1" customHeight="1">
      <s:c r="A22041" s="120" t="inlineStr"/>
      <s:c r="B22041" s="121" t="n"/>
      <s:c r="C22041" s="121" t="n"/>
      <s:c r="D22041" s="121" t="n"/>
      <s:c r="E22041" s="122" t="n"/>
    </s:row>
    <s:row r="22042" hidden="1" ht="1" customHeight="1">
      <s:c r="A22042" s="120" t="inlineStr"/>
      <s:c r="B22042" s="121" t="n"/>
      <s:c r="C22042" s="121" t="n"/>
      <s:c r="D22042" s="121" t="n"/>
      <s:c r="E22042" s="122" t="n"/>
    </s:row>
    <s:row r="22043" hidden="1" ht="1" customHeight="1">
      <s:c r="A22043" s="120" t="inlineStr"/>
      <s:c r="B22043" s="121" t="n"/>
      <s:c r="C22043" s="121" t="n"/>
      <s:c r="D22043" s="121" t="n"/>
      <s:c r="E22043" s="122" t="n"/>
    </s:row>
    <s:row r="22044" hidden="1" ht="1" customHeight="1">
      <s:c r="A22044" s="120" t="inlineStr"/>
      <s:c r="B22044" s="121" t="n"/>
      <s:c r="C22044" s="121" t="n"/>
      <s:c r="D22044" s="121" t="n"/>
      <s:c r="E22044" s="122" t="n"/>
    </s:row>
    <s:row r="22045" hidden="1" ht="1" customHeight="1">
      <s:c r="A22045" s="120" t="inlineStr"/>
      <s:c r="B22045" s="121" t="n"/>
      <s:c r="C22045" s="121" t="n"/>
      <s:c r="D22045" s="121" t="n"/>
      <s:c r="E22045" s="122" t="n"/>
    </s:row>
    <s:row r="22046" hidden="1" ht="1" customHeight="1">
      <s:c r="A22046" s="120" t="inlineStr"/>
      <s:c r="B22046" s="121" t="n"/>
      <s:c r="C22046" s="121" t="n"/>
      <s:c r="D22046" s="121" t="n"/>
      <s:c r="E22046" s="122" t="n"/>
    </s:row>
    <s:row r="22047" hidden="1" ht="1" customHeight="1">
      <s:c r="A22047" s="120" t="inlineStr"/>
      <s:c r="B22047" s="121" t="n"/>
      <s:c r="C22047" s="121" t="n"/>
      <s:c r="D22047" s="121" t="n"/>
      <s:c r="E22047" s="122" t="n"/>
    </s:row>
    <s:row r="22048" hidden="1" ht="1" customHeight="1">
      <s:c r="A22048" s="120" t="inlineStr"/>
      <s:c r="B22048" s="121" t="n"/>
      <s:c r="C22048" s="121" t="n"/>
      <s:c r="D22048" s="121" t="n"/>
      <s:c r="E22048" s="122" t="n"/>
    </s:row>
    <s:row r="22049" hidden="1" ht="1" customHeight="1">
      <s:c r="A22049" s="120" t="inlineStr"/>
      <s:c r="B22049" s="121" t="n"/>
      <s:c r="C22049" s="121" t="n"/>
      <s:c r="D22049" s="121" t="n"/>
      <s:c r="E22049" s="122" t="n"/>
    </s:row>
    <s:row r="22050" hidden="1" ht="1" customHeight="1">
      <s:c r="A22050" s="120" t="inlineStr"/>
      <s:c r="B22050" s="121" t="n"/>
      <s:c r="C22050" s="121" t="n"/>
      <s:c r="D22050" s="121" t="n"/>
      <s:c r="E22050" s="122" t="n"/>
    </s:row>
    <s:row r="22051" hidden="1" ht="1" customHeight="1">
      <s:c r="A22051" s="120" t="inlineStr"/>
      <s:c r="B22051" s="121" t="n"/>
      <s:c r="C22051" s="121" t="n"/>
      <s:c r="D22051" s="121" t="n"/>
      <s:c r="E22051" s="122" t="n"/>
    </s:row>
    <s:row r="22052" hidden="1" ht="1" customHeight="1">
      <s:c r="A22052" s="120" t="inlineStr"/>
      <s:c r="B22052" s="121" t="n"/>
      <s:c r="C22052" s="121" t="n"/>
      <s:c r="D22052" s="121" t="n"/>
      <s:c r="E22052" s="122" t="n"/>
    </s:row>
    <s:row r="22053" hidden="1" ht="1" customHeight="1">
      <s:c r="A22053" s="120" t="inlineStr"/>
      <s:c r="B22053" s="121" t="n"/>
      <s:c r="C22053" s="121" t="n"/>
      <s:c r="D22053" s="121" t="n"/>
      <s:c r="E22053" s="122" t="n"/>
    </s:row>
    <s:row r="22054" hidden="1" ht="1" customHeight="1">
      <s:c r="A22054" s="120" t="inlineStr"/>
      <s:c r="B22054" s="121" t="n"/>
      <s:c r="C22054" s="121" t="n"/>
      <s:c r="D22054" s="121" t="n"/>
      <s:c r="E22054" s="122" t="n"/>
    </s:row>
    <s:row r="22055" hidden="1" ht="1" customHeight="1">
      <s:c r="A22055" s="83" t="inlineStr">
        <s:is>
          <s:t>PASS</s:t>
        </s:is>
      </s:c>
      <s:c r="B22055" s="83">
        <s:f>SUM(IF(EXACT('Kiểm thử'!E22005,"Đạt"),1,0))</s:f>
        <s:v/>
      </s:c>
      <s:c r="C22055" s="19" t="n"/>
      <s:c r="D22055" s="19" t="n"/>
      <s:c r="E22055" s="19" t="n"/>
    </s:row>
    <s:row r="22056" hidden="1" ht="1" customHeight="1">
      <s:c r="A22056" s="83" t="inlineStr">
        <s:is>
          <s:t>FAIL</s:t>
        </s:is>
      </s:c>
      <s:c r="B22056" s="83">
        <s:f>SUM(IF(EXACT('Kiểm thử'!E22005,"Không đạt"),1,0))</s:f>
        <s:v/>
      </s:c>
      <s:c r="C22056" s="19" t="n"/>
      <s:c r="D22056" s="19" t="n"/>
      <s:c r="E22056" s="19" t="n"/>
    </s:row>
    <s:row r="22057" hidden="1" ht="1" customHeight="1">
      <s:c r="A22057" s="83" t="inlineStr">
        <s:is>
          <s:t>BLOCKED</s:t>
        </s:is>
      </s:c>
      <s:c r="B22057" s="83">
        <s:f>SUM(IF(EXACT('Kiểm thử'!E22005,"Bị chặn"),1,0))</s:f>
        <s:v/>
      </s:c>
      <s:c r="C22057" s="19" t="n"/>
      <s:c r="D22057" s="19" t="n"/>
      <s:c r="E22057" s="19" t="n"/>
    </s:row>
    <s:row r="22058" hidden="1" ht="1" customHeight="1">
      <s:c r="A22058" s="83" t="inlineStr">
        <s:is>
          <s:t>SKIPPED</s:t>
        </s:is>
      </s:c>
      <s:c r="B22058" s="83">
        <s:f>SUM(IF(EXACT('Kiểm thử'!E22005,"Không thực hiện"),1,0))</s:f>
        <s:v/>
      </s:c>
      <s:c r="C22058" s="19" t="n"/>
      <s:c r="D22058" s="19" t="n"/>
      <s:c r="E22058" s="19" t="n"/>
    </s:row>
    <s:row r="22059" hidden="1" ht="1" customHeight="1">
      <s:c r="A22059" s="83" t="inlineStr">
        <s:is>
          <s:t>NOT RUN</s:t>
        </s:is>
      </s:c>
      <s:c r="B22059" s="83">
        <s:f>SUM(IF(EXACT('Kiểm thử'!E22005,"Chưa thực hiện"),1,0))</s:f>
        <s:v/>
      </s:c>
      <s:c r="C22059" s="19" t="n"/>
      <s:c r="D22059" s="19" t="n"/>
      <s:c r="E22059" s="19" t="n"/>
    </s:row>
    <s:row r="22060" hidden="1" ht="6" customHeight="1">
      <s:c r="A22060" s="83" t="inlineStr"/>
      <s:c r="B22060" s="19" t="n"/>
      <s:c r="C22060" s="19" t="n"/>
      <s:c r="D22060" s="19" t="n"/>
      <s:c r="E22060" s="19" t="n"/>
    </s:row>
    <s:row r="22061" ht="28" customHeight="1">
      <s:c r="A22061" s="108" t="inlineStr">
        <s:is>
          <s:t>TC-RS-REG-003 — Ô nhập tay được AutoRating bỏ qua vẫn giữ giá trị tay và vẫn được xét đỏ</s:t>
        </s:is>
      </s:c>
      <s:c r="B22061" s="111" t="n"/>
      <s:c r="C22061" s="111" t="n"/>
      <s:c r="D22061" s="111" t="n"/>
      <s:c r="E22061" s="111" t="n"/>
    </s:row>
    <s:row r="22062" ht="20" customHeight="1">
      <s:c r="A22062" s="112" t="inlineStr">
        <s:is>
          <s:t>Kết quả tình huống</s:t>
        </s:is>
      </s:c>
      <s:c r="B22062" s="113">
        <s:f>IF(SUM(IF(EXACT('Kiểm thử'!E22070,"Không đạt"),1,0))&gt;0,"Không đạt",IF(SUM(IF(EXACT('Kiểm thử'!E22070,"Đạt"),1,0))=1,"Đạt",IF(SUM(IF(EXACT('Kiểm thử'!E22070,"Không thực hiện"),1,0))=1,"Không thực hiện",IF(SUM(IF(EXACT('Kiểm thử'!E22070,"Bị chặn"),1,0))&gt;0,"Bị chặn",IF(SUM(IF(EXACT('Kiểm thử'!E22070,"Chưa thực hiện"),1,0))=1,"Chưa thực hiện","Đang thực hiện")))))</s:f>
        <s:v/>
      </s:c>
      <s:c r="C22062" s="114" t="n"/>
      <s:c r="D22062" s="114" t="n"/>
      <s:c r="E22062" s="114" t="n"/>
    </s:row>
    <s:row r="22063" ht="20" customHeight="1">
      <s:c r="A22063" s="112" t="inlineStr">
        <s:is>
          <s:t>Màn hình / chức năng</s:t>
        </s:is>
      </s:c>
      <s:c r="B22063" s="113" t="inlineStr">
        <s:is>
          <s:r>
            <s:rPr>
              <s:b val="1"/>
            </s:rPr>
            <s:t>Đăng ký thành tích（成績登録）</s:t>
          </s:r>
        </s:is>
      </s:c>
      <s:c r="C22063" s="28" t="n"/>
      <s:c r="D22063" s="28" t="n"/>
      <s:c r="E22063" s="28" t="n"/>
    </s:row>
    <s:row r="22064" ht="34" customHeight="1">
      <s:c r="A22064" s="112" t="inlineStr">
        <s:is>
          <s:t>Cấu hình</s:t>
        </s:is>
      </s:c>
      <s:c r="B22064" s="113" t="inlineStr">
        <s:is>
          <s:t>• Mục số nguyên có thêm tính tự động + quy tắc “Cố định 30” (dưới 30);
• S08 nhập tay 28.</s:t>
        </s:is>
      </s:c>
      <s:c r="C22064" s="28" t="n"/>
      <s:c r="D22064" s="28" t="n"/>
      <s:c r="E22064" s="28" t="n"/>
    </s:row>
    <s:row r="22065" ht="34" customHeight="1">
      <s:c r="A22065" s="112" t="inlineStr">
        <s:is>
          <s:t>Dữ liệu test</s:t>
        </s:is>
      </s:c>
      <s:c r="B22065" s="113" t="inlineStr">
        <s:is>
          <s:t>• Mục số nguyên có thêm tính tự động, quy tắc “Cố định 30” (dưới 30);
• Học sinh S08 (sửa tay 28 thành 35)</s:t>
        </s:is>
      </s:c>
      <s:c r="C22065" s="28" t="n"/>
      <s:c r="D22065" s="28" t="n"/>
      <s:c r="E22065" s="28" t="n"/>
    </s:row>
    <s:row r="22066" ht="20" customHeight="1">
      <s:c r="A22066" s="112" t="inlineStr">
        <s:is>
          <s:t>Bước 1</s:t>
        </s:is>
      </s:c>
      <s:c r="B22066" s="113" t="inlineStr">
        <s:is>
          <s:t>Lưu S08=28 bằng nhập tay; chạy nút cam.</s:t>
        </s:is>
      </s:c>
      <s:c r="C22066" s="28" t="n"/>
      <s:c r="D22066" s="28" t="n"/>
      <s:c r="E22066" s="28" t="n"/>
    </s:row>
    <s:row r="22067" ht="20" customHeight="1">
      <s:c r="A22067" s="112" t="inlineStr">
        <s:is>
          <s:t>Bước 2</s:t>
        </s:is>
      </s:c>
      <s:c r="B22067" s="113" t="inlineStr">
        <s:is>
          <s:t>Xem điểm và kết quả đỏ.</s:t>
        </s:is>
      </s:c>
      <s:c r="C22067" s="28" t="n"/>
      <s:c r="D22067" s="28" t="n"/>
      <s:c r="E22067" s="28" t="n"/>
    </s:row>
    <s:row r="22068" ht="28" customHeight="1">
      <s:c r="A22068" s="115" t="inlineStr">
        <s:is>
          <s:t>Trường hợp</s:t>
        </s:is>
      </s:c>
      <s:c r="B22068" s="115" t="inlineStr">
        <s:is>
          <s:t>Dữ liệu / thao tác riêng</s:t>
        </s:is>
      </s:c>
      <s:c r="C22068" s="115" t="inlineStr">
        <s:is>
          <s:t>Kết quả mong đợi</s:t>
        </s:is>
      </s:c>
      <s:c r="D22068" s="115" t="inlineStr">
        <s:is>
          <s:t>Kết quả thực tế</s:t>
        </s:is>
      </s:c>
      <s:c r="E22068" s="115" t="inlineStr">
        <s:is>
          <s:t>Đánh giá</s:t>
        </s:is>
      </s:c>
    </s:row>
    <s:row r="22069" ht="3" customHeight="1">
      <s:c r="A22069" s="102" t="inlineStr"/>
      <s:c r="B22069" s="99" t="n"/>
      <s:c r="C22069" s="99" t="n"/>
      <s:c r="D22069" s="116" t="n"/>
      <s:c r="E22069" s="116" t="n"/>
    </s:row>
    <s:row r="22070" ht="62" customHeight="1">
      <s:c r="A22070" s="83" t="inlineStr">
        <s:is>
          <s:t>Trường hợp cơ bản (Base)</s:t>
        </s:is>
      </s:c>
      <s:c r="B22070" s="83" t="inlineStr">
        <s:is>
          <s:t>Toàn bộ tình huống: Thực hiện đủ các bước chung theo thứ tự; kiểm cả đối tượng đích và đối chứng cùng fixture, không bỏ bước.</s:t>
        </s:is>
      </s:c>
      <s:c r="C22070" s="83" t="inlineStr">
        <s:is>
          <s:r>
            <s:t xml:space="preserve">Điểm S08 vẫn 28 (không bị AutoRating ghi đè); S08 </s:t>
          </s:r>
          <s:r>
            <s:rPr>
              <s:b val="1"/>
            </s:rPr>
            <s:t>Đỏ</s:t>
          </s:r>
          <s:r>
            <s:t>.</s:t>
          </s:r>
        </s:is>
      </s:c>
      <s:c r="D22070" s="117" t="inlineStr"/>
      <s:c r="E22070" s="118" t="inlineStr">
        <s:is>
          <s:t>Chưa thực hiện</s:t>
        </s:is>
      </s:c>
    </s:row>
    <s:row r="22071" ht="20" customHeight="1">
      <s:c r="A22071" s="119" t="inlineStr">
        <s:is>
          <s:t>Ảnh minh chứng — Chưa có ảnh</s:t>
        </s:is>
      </s:c>
      <s:c r="B22071" s="19" t="n"/>
      <s:c r="C22071" s="19" t="n"/>
      <s:c r="D22071" s="19" t="n"/>
      <s:c r="E22071" s="19" t="n"/>
    </s:row>
    <s:row r="22072" hidden="1" ht="1" customHeight="1">
      <s:c r="A22072" s="120" t="inlineStr"/>
      <s:c r="B22072" s="121" t="n"/>
      <s:c r="C22072" s="121" t="n"/>
      <s:c r="D22072" s="121" t="n"/>
      <s:c r="E22072" s="122" t="n"/>
    </s:row>
    <s:row r="22073" hidden="1" ht="1" customHeight="1">
      <s:c r="A22073" s="120" t="inlineStr"/>
      <s:c r="B22073" s="121" t="n"/>
      <s:c r="C22073" s="121" t="n"/>
      <s:c r="D22073" s="121" t="n"/>
      <s:c r="E22073" s="122" t="n"/>
    </s:row>
    <s:row r="22074" hidden="1" ht="1" customHeight="1">
      <s:c r="A22074" s="120" t="inlineStr"/>
      <s:c r="B22074" s="121" t="n"/>
      <s:c r="C22074" s="121" t="n"/>
      <s:c r="D22074" s="121" t="n"/>
      <s:c r="E22074" s="122" t="n"/>
    </s:row>
    <s:row r="22075" hidden="1" ht="1" customHeight="1">
      <s:c r="A22075" s="120" t="inlineStr"/>
      <s:c r="B22075" s="121" t="n"/>
      <s:c r="C22075" s="121" t="n"/>
      <s:c r="D22075" s="121" t="n"/>
      <s:c r="E22075" s="122" t="n"/>
    </s:row>
    <s:row r="22076" hidden="1" ht="1" customHeight="1">
      <s:c r="A22076" s="120" t="inlineStr"/>
      <s:c r="B22076" s="121" t="n"/>
      <s:c r="C22076" s="121" t="n"/>
      <s:c r="D22076" s="121" t="n"/>
      <s:c r="E22076" s="122" t="n"/>
    </s:row>
    <s:row r="22077" hidden="1" ht="1" customHeight="1">
      <s:c r="A22077" s="120" t="inlineStr"/>
      <s:c r="B22077" s="121" t="n"/>
      <s:c r="C22077" s="121" t="n"/>
      <s:c r="D22077" s="121" t="n"/>
      <s:c r="E22077" s="122" t="n"/>
    </s:row>
    <s:row r="22078" hidden="1" ht="1" customHeight="1">
      <s:c r="A22078" s="120" t="inlineStr"/>
      <s:c r="B22078" s="121" t="n"/>
      <s:c r="C22078" s="121" t="n"/>
      <s:c r="D22078" s="121" t="n"/>
      <s:c r="E22078" s="122" t="n"/>
    </s:row>
    <s:row r="22079" hidden="1" ht="1" customHeight="1">
      <s:c r="A22079" s="120" t="inlineStr"/>
      <s:c r="B22079" s="121" t="n"/>
      <s:c r="C22079" s="121" t="n"/>
      <s:c r="D22079" s="121" t="n"/>
      <s:c r="E22079" s="122" t="n"/>
    </s:row>
    <s:row r="22080" hidden="1" ht="1" customHeight="1">
      <s:c r="A22080" s="120" t="inlineStr"/>
      <s:c r="B22080" s="121" t="n"/>
      <s:c r="C22080" s="121" t="n"/>
      <s:c r="D22080" s="121" t="n"/>
      <s:c r="E22080" s="122" t="n"/>
    </s:row>
    <s:row r="22081" hidden="1" ht="1" customHeight="1">
      <s:c r="A22081" s="120" t="inlineStr"/>
      <s:c r="B22081" s="121" t="n"/>
      <s:c r="C22081" s="121" t="n"/>
      <s:c r="D22081" s="121" t="n"/>
      <s:c r="E22081" s="122" t="n"/>
    </s:row>
    <s:row r="22082" hidden="1" ht="1" customHeight="1">
      <s:c r="A22082" s="120" t="inlineStr"/>
      <s:c r="B22082" s="121" t="n"/>
      <s:c r="C22082" s="121" t="n"/>
      <s:c r="D22082" s="121" t="n"/>
      <s:c r="E22082" s="122" t="n"/>
    </s:row>
    <s:row r="22083" hidden="1" ht="1" customHeight="1">
      <s:c r="A22083" s="120" t="inlineStr"/>
      <s:c r="B22083" s="121" t="n"/>
      <s:c r="C22083" s="121" t="n"/>
      <s:c r="D22083" s="121" t="n"/>
      <s:c r="E22083" s="122" t="n"/>
    </s:row>
    <s:row r="22084" hidden="1" ht="1" customHeight="1">
      <s:c r="A22084" s="120" t="inlineStr"/>
      <s:c r="B22084" s="121" t="n"/>
      <s:c r="C22084" s="121" t="n"/>
      <s:c r="D22084" s="121" t="n"/>
      <s:c r="E22084" s="122" t="n"/>
    </s:row>
    <s:row r="22085" hidden="1" ht="1" customHeight="1">
      <s:c r="A22085" s="120" t="inlineStr"/>
      <s:c r="B22085" s="121" t="n"/>
      <s:c r="C22085" s="121" t="n"/>
      <s:c r="D22085" s="121" t="n"/>
      <s:c r="E22085" s="122" t="n"/>
    </s:row>
    <s:row r="22086" hidden="1" ht="1" customHeight="1">
      <s:c r="A22086" s="120" t="inlineStr"/>
      <s:c r="B22086" s="121" t="n"/>
      <s:c r="C22086" s="121" t="n"/>
      <s:c r="D22086" s="121" t="n"/>
      <s:c r="E22086" s="122" t="n"/>
    </s:row>
    <s:row r="22087" hidden="1" ht="1" customHeight="1">
      <s:c r="A22087" s="120" t="inlineStr"/>
      <s:c r="B22087" s="121" t="n"/>
      <s:c r="C22087" s="121" t="n"/>
      <s:c r="D22087" s="121" t="n"/>
      <s:c r="E22087" s="122" t="n"/>
    </s:row>
    <s:row r="22088" hidden="1" ht="1" customHeight="1">
      <s:c r="A22088" s="120" t="inlineStr"/>
      <s:c r="B22088" s="121" t="n"/>
      <s:c r="C22088" s="121" t="n"/>
      <s:c r="D22088" s="121" t="n"/>
      <s:c r="E22088" s="122" t="n"/>
    </s:row>
    <s:row r="22089" hidden="1" ht="1" customHeight="1">
      <s:c r="A22089" s="120" t="inlineStr"/>
      <s:c r="B22089" s="121" t="n"/>
      <s:c r="C22089" s="121" t="n"/>
      <s:c r="D22089" s="121" t="n"/>
      <s:c r="E22089" s="122" t="n"/>
    </s:row>
    <s:row r="22090" hidden="1" ht="1" customHeight="1">
      <s:c r="A22090" s="120" t="inlineStr"/>
      <s:c r="B22090" s="121" t="n"/>
      <s:c r="C22090" s="121" t="n"/>
      <s:c r="D22090" s="121" t="n"/>
      <s:c r="E22090" s="122" t="n"/>
    </s:row>
    <s:row r="22091" hidden="1" ht="1" customHeight="1">
      <s:c r="A22091" s="120" t="inlineStr"/>
      <s:c r="B22091" s="121" t="n"/>
      <s:c r="C22091" s="121" t="n"/>
      <s:c r="D22091" s="121" t="n"/>
      <s:c r="E22091" s="122" t="n"/>
    </s:row>
    <s:row r="22092" hidden="1" ht="1" customHeight="1">
      <s:c r="A22092" s="120" t="inlineStr"/>
      <s:c r="B22092" s="121" t="n"/>
      <s:c r="C22092" s="121" t="n"/>
      <s:c r="D22092" s="121" t="n"/>
      <s:c r="E22092" s="122" t="n"/>
    </s:row>
    <s:row r="22093" hidden="1" ht="1" customHeight="1">
      <s:c r="A22093" s="120" t="inlineStr"/>
      <s:c r="B22093" s="121" t="n"/>
      <s:c r="C22093" s="121" t="n"/>
      <s:c r="D22093" s="121" t="n"/>
      <s:c r="E22093" s="122" t="n"/>
    </s:row>
    <s:row r="22094" hidden="1" ht="1" customHeight="1">
      <s:c r="A22094" s="120" t="inlineStr"/>
      <s:c r="B22094" s="121" t="n"/>
      <s:c r="C22094" s="121" t="n"/>
      <s:c r="D22094" s="121" t="n"/>
      <s:c r="E22094" s="122" t="n"/>
    </s:row>
    <s:row r="22095" hidden="1" ht="1" customHeight="1">
      <s:c r="A22095" s="120" t="inlineStr"/>
      <s:c r="B22095" s="121" t="n"/>
      <s:c r="C22095" s="121" t="n"/>
      <s:c r="D22095" s="121" t="n"/>
      <s:c r="E22095" s="122" t="n"/>
    </s:row>
    <s:row r="22096" hidden="1" ht="1" customHeight="1">
      <s:c r="A22096" s="120" t="inlineStr"/>
      <s:c r="B22096" s="121" t="n"/>
      <s:c r="C22096" s="121" t="n"/>
      <s:c r="D22096" s="121" t="n"/>
      <s:c r="E22096" s="122" t="n"/>
    </s:row>
    <s:row r="22097" hidden="1" ht="1" customHeight="1">
      <s:c r="A22097" s="120" t="inlineStr"/>
      <s:c r="B22097" s="121" t="n"/>
      <s:c r="C22097" s="121" t="n"/>
      <s:c r="D22097" s="121" t="n"/>
      <s:c r="E22097" s="122" t="n"/>
    </s:row>
    <s:row r="22098" hidden="1" ht="1" customHeight="1">
      <s:c r="A22098" s="120" t="inlineStr"/>
      <s:c r="B22098" s="121" t="n"/>
      <s:c r="C22098" s="121" t="n"/>
      <s:c r="D22098" s="121" t="n"/>
      <s:c r="E22098" s="122" t="n"/>
    </s:row>
    <s:row r="22099" hidden="1" ht="1" customHeight="1">
      <s:c r="A22099" s="120" t="inlineStr"/>
      <s:c r="B22099" s="121" t="n"/>
      <s:c r="C22099" s="121" t="n"/>
      <s:c r="D22099" s="121" t="n"/>
      <s:c r="E22099" s="122" t="n"/>
    </s:row>
    <s:row r="22100" hidden="1" ht="1" customHeight="1">
      <s:c r="A22100" s="120" t="inlineStr"/>
      <s:c r="B22100" s="121" t="n"/>
      <s:c r="C22100" s="121" t="n"/>
      <s:c r="D22100" s="121" t="n"/>
      <s:c r="E22100" s="122" t="n"/>
    </s:row>
    <s:row r="22101" hidden="1" ht="1" customHeight="1">
      <s:c r="A22101" s="120" t="inlineStr"/>
      <s:c r="B22101" s="121" t="n"/>
      <s:c r="C22101" s="121" t="n"/>
      <s:c r="D22101" s="121" t="n"/>
      <s:c r="E22101" s="122" t="n"/>
    </s:row>
    <s:row r="22102" hidden="1" ht="1" customHeight="1">
      <s:c r="A22102" s="120" t="inlineStr"/>
      <s:c r="B22102" s="121" t="n"/>
      <s:c r="C22102" s="121" t="n"/>
      <s:c r="D22102" s="121" t="n"/>
      <s:c r="E22102" s="122" t="n"/>
    </s:row>
    <s:row r="22103" hidden="1" ht="1" customHeight="1">
      <s:c r="A22103" s="120" t="inlineStr"/>
      <s:c r="B22103" s="121" t="n"/>
      <s:c r="C22103" s="121" t="n"/>
      <s:c r="D22103" s="121" t="n"/>
      <s:c r="E22103" s="122" t="n"/>
    </s:row>
    <s:row r="22104" hidden="1" ht="1" customHeight="1">
      <s:c r="A22104" s="120" t="inlineStr"/>
      <s:c r="B22104" s="121" t="n"/>
      <s:c r="C22104" s="121" t="n"/>
      <s:c r="D22104" s="121" t="n"/>
      <s:c r="E22104" s="122" t="n"/>
    </s:row>
    <s:row r="22105" hidden="1" ht="1" customHeight="1">
      <s:c r="A22105" s="120" t="inlineStr"/>
      <s:c r="B22105" s="121" t="n"/>
      <s:c r="C22105" s="121" t="n"/>
      <s:c r="D22105" s="121" t="n"/>
      <s:c r="E22105" s="122" t="n"/>
    </s:row>
    <s:row r="22106" hidden="1" ht="1" customHeight="1">
      <s:c r="A22106" s="120" t="inlineStr"/>
      <s:c r="B22106" s="121" t="n"/>
      <s:c r="C22106" s="121" t="n"/>
      <s:c r="D22106" s="121" t="n"/>
      <s:c r="E22106" s="122" t="n"/>
    </s:row>
    <s:row r="22107" hidden="1" ht="1" customHeight="1">
      <s:c r="A22107" s="120" t="inlineStr"/>
      <s:c r="B22107" s="121" t="n"/>
      <s:c r="C22107" s="121" t="n"/>
      <s:c r="D22107" s="121" t="n"/>
      <s:c r="E22107" s="122" t="n"/>
    </s:row>
    <s:row r="22108" hidden="1" ht="1" customHeight="1">
      <s:c r="A22108" s="120" t="inlineStr"/>
      <s:c r="B22108" s="121" t="n"/>
      <s:c r="C22108" s="121" t="n"/>
      <s:c r="D22108" s="121" t="n"/>
      <s:c r="E22108" s="122" t="n"/>
    </s:row>
    <s:row r="22109" hidden="1" ht="1" customHeight="1">
      <s:c r="A22109" s="120" t="inlineStr"/>
      <s:c r="B22109" s="121" t="n"/>
      <s:c r="C22109" s="121" t="n"/>
      <s:c r="D22109" s="121" t="n"/>
      <s:c r="E22109" s="122" t="n"/>
    </s:row>
    <s:row r="22110" hidden="1" ht="1" customHeight="1">
      <s:c r="A22110" s="120" t="inlineStr"/>
      <s:c r="B22110" s="121" t="n"/>
      <s:c r="C22110" s="121" t="n"/>
      <s:c r="D22110" s="121" t="n"/>
      <s:c r="E22110" s="122" t="n"/>
    </s:row>
    <s:row r="22111" hidden="1" ht="1" customHeight="1">
      <s:c r="A22111" s="120" t="inlineStr"/>
      <s:c r="B22111" s="121" t="n"/>
      <s:c r="C22111" s="121" t="n"/>
      <s:c r="D22111" s="121" t="n"/>
      <s:c r="E22111" s="122" t="n"/>
    </s:row>
    <s:row r="22112" hidden="1" ht="1" customHeight="1">
      <s:c r="A22112" s="120" t="inlineStr"/>
      <s:c r="B22112" s="121" t="n"/>
      <s:c r="C22112" s="121" t="n"/>
      <s:c r="D22112" s="121" t="n"/>
      <s:c r="E22112" s="122" t="n"/>
    </s:row>
    <s:row r="22113" hidden="1" ht="1" customHeight="1">
      <s:c r="A22113" s="120" t="inlineStr"/>
      <s:c r="B22113" s="121" t="n"/>
      <s:c r="C22113" s="121" t="n"/>
      <s:c r="D22113" s="121" t="n"/>
      <s:c r="E22113" s="122" t="n"/>
    </s:row>
    <s:row r="22114" hidden="1" ht="1" customHeight="1">
      <s:c r="A22114" s="120" t="inlineStr"/>
      <s:c r="B22114" s="121" t="n"/>
      <s:c r="C22114" s="121" t="n"/>
      <s:c r="D22114" s="121" t="n"/>
      <s:c r="E22114" s="122" t="n"/>
    </s:row>
    <s:row r="22115" hidden="1" ht="1" customHeight="1">
      <s:c r="A22115" s="120" t="inlineStr"/>
      <s:c r="B22115" s="121" t="n"/>
      <s:c r="C22115" s="121" t="n"/>
      <s:c r="D22115" s="121" t="n"/>
      <s:c r="E22115" s="122" t="n"/>
    </s:row>
    <s:row r="22116" hidden="1" ht="1" customHeight="1">
      <s:c r="A22116" s="120" t="inlineStr"/>
      <s:c r="B22116" s="121" t="n"/>
      <s:c r="C22116" s="121" t="n"/>
      <s:c r="D22116" s="121" t="n"/>
      <s:c r="E22116" s="122" t="n"/>
    </s:row>
    <s:row r="22117" hidden="1" ht="1" customHeight="1">
      <s:c r="A22117" s="120" t="inlineStr"/>
      <s:c r="B22117" s="121" t="n"/>
      <s:c r="C22117" s="121" t="n"/>
      <s:c r="D22117" s="121" t="n"/>
      <s:c r="E22117" s="122" t="n"/>
    </s:row>
    <s:row r="22118" hidden="1" ht="1" customHeight="1">
      <s:c r="A22118" s="120" t="inlineStr"/>
      <s:c r="B22118" s="121" t="n"/>
      <s:c r="C22118" s="121" t="n"/>
      <s:c r="D22118" s="121" t="n"/>
      <s:c r="E22118" s="122" t="n"/>
    </s:row>
    <s:row r="22119" hidden="1" ht="1" customHeight="1">
      <s:c r="A22119" s="120" t="inlineStr"/>
      <s:c r="B22119" s="121" t="n"/>
      <s:c r="C22119" s="121" t="n"/>
      <s:c r="D22119" s="121" t="n"/>
      <s:c r="E22119" s="122" t="n"/>
    </s:row>
    <s:row r="22120" hidden="1" ht="1" customHeight="1">
      <s:c r="A22120" s="83" t="inlineStr">
        <s:is>
          <s:t>PASS</s:t>
        </s:is>
      </s:c>
      <s:c r="B22120" s="83">
        <s:f>SUM(IF(EXACT('Kiểm thử'!E22070,"Đạt"),1,0))</s:f>
        <s:v/>
      </s:c>
      <s:c r="C22120" s="19" t="n"/>
      <s:c r="D22120" s="19" t="n"/>
      <s:c r="E22120" s="19" t="n"/>
    </s:row>
    <s:row r="22121" hidden="1" ht="1" customHeight="1">
      <s:c r="A22121" s="83" t="inlineStr">
        <s:is>
          <s:t>FAIL</s:t>
        </s:is>
      </s:c>
      <s:c r="B22121" s="83">
        <s:f>SUM(IF(EXACT('Kiểm thử'!E22070,"Không đạt"),1,0))</s:f>
        <s:v/>
      </s:c>
      <s:c r="C22121" s="19" t="n"/>
      <s:c r="D22121" s="19" t="n"/>
      <s:c r="E22121" s="19" t="n"/>
    </s:row>
    <s:row r="22122" hidden="1" ht="1" customHeight="1">
      <s:c r="A22122" s="83" t="inlineStr">
        <s:is>
          <s:t>BLOCKED</s:t>
        </s:is>
      </s:c>
      <s:c r="B22122" s="83">
        <s:f>SUM(IF(EXACT('Kiểm thử'!E22070,"Bị chặn"),1,0))</s:f>
        <s:v/>
      </s:c>
      <s:c r="C22122" s="19" t="n"/>
      <s:c r="D22122" s="19" t="n"/>
      <s:c r="E22122" s="19" t="n"/>
    </s:row>
    <s:row r="22123" hidden="1" ht="1" customHeight="1">
      <s:c r="A22123" s="83" t="inlineStr">
        <s:is>
          <s:t>SKIPPED</s:t>
        </s:is>
      </s:c>
      <s:c r="B22123" s="83">
        <s:f>SUM(IF(EXACT('Kiểm thử'!E22070,"Không thực hiện"),1,0))</s:f>
        <s:v/>
      </s:c>
      <s:c r="C22123" s="19" t="n"/>
      <s:c r="D22123" s="19" t="n"/>
      <s:c r="E22123" s="19" t="n"/>
    </s:row>
    <s:row r="22124" hidden="1" ht="1" customHeight="1">
      <s:c r="A22124" s="83" t="inlineStr">
        <s:is>
          <s:t>NOT RUN</s:t>
        </s:is>
      </s:c>
      <s:c r="B22124" s="83">
        <s:f>SUM(IF(EXACT('Kiểm thử'!E22070,"Chưa thực hiện"),1,0))</s:f>
        <s:v/>
      </s:c>
      <s:c r="C22124" s="19" t="n"/>
      <s:c r="D22124" s="19" t="n"/>
      <s:c r="E22124" s="19" t="n"/>
    </s:row>
    <s:row r="22125" hidden="1" ht="6" customHeight="1">
      <s:c r="A22125" s="83" t="inlineStr"/>
      <s:c r="B22125" s="19" t="n"/>
      <s:c r="C22125" s="19" t="n"/>
      <s:c r="D22125" s="19" t="n"/>
      <s:c r="E22125" s="19" t="n"/>
    </s:row>
    <s:row r="22126" ht="28" customHeight="1">
      <s:c r="A22126" s="108" t="inlineStr">
        <s:is>
          <s:t>TC-RS-BR-031 — Giáo viên có quyền sửa mục cấu hình được quy tắc đỏ</s:t>
        </s:is>
      </s:c>
      <s:c r="B22126" s="111" t="n"/>
      <s:c r="C22126" s="111" t="n"/>
      <s:c r="D22126" s="111" t="n"/>
      <s:c r="E22126" s="111" t="n"/>
    </s:row>
    <s:row r="22127" ht="20" customHeight="1">
      <s:c r="A22127" s="112" t="inlineStr">
        <s:is>
          <s:t>Kết quả tình huống</s:t>
        </s:is>
      </s:c>
      <s:c r="B22127" s="113">
        <s:f>IF(SUM(IF(EXACT('Kiểm thử'!E22135,"Không đạt"),1,0),IF(EXACT('Kiểm thử'!E22137,"Không đạt"),1,0),IF(EXACT('Kiểm thử'!E22139,"Không đạt"),1,0),IF(EXACT('Kiểm thử'!E22141,"Không đạt"),1,0),IF(EXACT('Kiểm thử'!E22143,"Không đạt"),1,0))&gt;0,"Không đạt",IF(SUM(IF(EXACT('Kiểm thử'!E22135,"Đạt"),1,0),IF(EXACT('Kiểm thử'!E22137,"Đạt"),1,0),IF(EXACT('Kiểm thử'!E22139,"Đạt"),1,0),IF(EXACT('Kiểm thử'!E22141,"Đạt"),1,0),IF(EXACT('Kiểm thử'!E22143,"Đạt"),1,0))=5,"Đạt",IF(SUM(IF(EXACT('Kiểm thử'!E22135,"Không thực hiện"),1,0),IF(EXACT('Kiểm thử'!E22137,"Không thực hiện"),1,0),IF(EXACT('Kiểm thử'!E22139,"Không thực hiện"),1,0),IF(EXACT('Kiểm thử'!E22141,"Không thực hiện"),1,0),IF(EXACT('Kiểm thử'!E22143,"Không thực hiện"),1,0))=5,"Không thực hiện",IF(SUM(IF(EXACT('Kiểm thử'!E22135,"Bị chặn"),1,0),IF(EXACT('Kiểm thử'!E22137,"Bị chặn"),1,0),IF(EXACT('Kiểm thử'!E22139,"Bị chặn"),1,0),IF(EXACT('Kiểm thử'!E22141,"Bị chặn"),1,0),IF(EXACT('Kiểm thử'!E22143,"Bị chặn"),1,0))&gt;0,"Bị chặn",IF(SUM(IF(EXACT('Kiểm thử'!E22135,"Chưa thực hiện"),1,0),IF(EXACT('Kiểm thử'!E22137,"Chưa thực hiện"),1,0),IF(EXACT('Kiểm thử'!E22139,"Chưa thực hiện"),1,0),IF(EXACT('Kiểm thử'!E22141,"Chưa thực hiện"),1,0),IF(EXACT('Kiểm thử'!E22143,"Chưa thực hiện"),1,0))=5,"Chưa thực hiện","Đang thực hiện")))))</s:f>
        <s:v/>
      </s:c>
      <s:c r="C22127" s="114" t="n"/>
      <s:c r="D22127" s="114" t="n"/>
      <s:c r="E22127" s="114" t="n"/>
    </s:row>
    <s:row r="22128" ht="20" customHeight="1">
      <s:c r="A22128" s="112" t="inlineStr">
        <s:is>
          <s:t>Màn hình / chức năng</s:t>
        </s:is>
      </s:c>
      <s:c r="B22128" s="113" t="inlineStr">
        <s:is>
          <s:t>Quyền thao tác</s:t>
        </s:is>
      </s:c>
      <s:c r="C22128" s="28" t="n"/>
      <s:c r="D22128" s="28" t="n"/>
      <s:c r="E22128" s="28" t="n"/>
    </s:row>
    <s:row r="22129" ht="20" customHeight="1">
      <s:c r="A22129" s="112" t="inlineStr">
        <s:is>
          <s:t>Cấu hình</s:t>
        </s:is>
      </s:c>
      <s:c r="B22129" s="113" t="inlineStr">
        <s:is>
          <s:t>• Đăng nhập tài khoản giáo viên có quyền sửa mục (giáo viên thường, không phải nhân viên nội bộ).</s:t>
        </s:is>
      </s:c>
      <s:c r="C22129" s="28" t="n"/>
      <s:c r="D22129" s="28" t="n"/>
      <s:c r="E22129" s="28" t="n"/>
    </s:row>
    <s:row r="22130" ht="20" customHeight="1">
      <s:c r="A22130" s="112" t="inlineStr">
        <s:is>
          <s:t>Dữ liệu test</s:t>
        </s:is>
      </s:c>
      <s:c r="B22130" s="113" t="inlineStr">
        <s:is>
          <s:r>
            <s:t>• Tài khoản giáo viên có quyền sửa mục, mục số nguyên (</s:t>
          </s:r>
          <s:r>
            <s:rPr>
              <s:b val="1"/>
            </s:rPr>
            <s:t>M=100</s:t>
          </s:r>
          <s:r>
            <s:t>)</s:t>
          </s:r>
        </s:is>
      </s:c>
      <s:c r="C22130" s="28" t="n"/>
      <s:c r="D22130" s="28" t="n"/>
      <s:c r="E22130" s="28" t="n"/>
    </s:row>
    <s:row r="22131" ht="20" customHeight="1">
      <s:c r="A22131" s="112" t="inlineStr">
        <s:is>
          <s:t>Bước 1</s:t>
        </s:is>
      </s:c>
      <s:c r="B22131" s="113" t="inlineStr">
        <s:is>
          <s:r>
            <s:t xml:space="preserve">Đăng nhập giáo viên thường có quyền sửa đúng mục </s:t>
          </s:r>
          <s:r>
            <s:rPr>
              <s:b val="1"/>
            </s:rPr>
            <s:t>M=100</s:t>
          </s:r>
          <s:r>
            <s:t>, không cần tài khoản nội bộ.</s:t>
          </s:r>
        </s:is>
      </s:c>
      <s:c r="C22131" s="28" t="n"/>
      <s:c r="D22131" s="28" t="n"/>
      <s:c r="E22131" s="28" t="n"/>
    </s:row>
    <s:row r="22132" ht="20" customHeight="1">
      <s:c r="A22132" s="112" t="inlineStr">
        <s:is>
          <s:t>Bước 2</s:t>
        </s:is>
      </s:c>
      <s:c r="B22132" s="113" t="inlineStr">
        <s:is>
          <s:t>Thực hiện thao tác riêng trong bảng trường hợp và đọc lại rule.</s:t>
        </s:is>
      </s:c>
      <s:c r="C22132" s="28" t="n"/>
      <s:c r="D22132" s="28" t="n"/>
      <s:c r="E22132" s="28" t="n"/>
    </s:row>
    <s:row r="22133" ht="28" customHeight="1">
      <s:c r="A22133" s="115" t="inlineStr">
        <s:is>
          <s:t>Trường hợp</s:t>
        </s:is>
      </s:c>
      <s:c r="B22133" s="115" t="inlineStr">
        <s:is>
          <s:t>Dữ liệu / thao tác riêng</s:t>
        </s:is>
      </s:c>
      <s:c r="C22133" s="115" t="inlineStr">
        <s:is>
          <s:t>Kết quả mong đợi</s:t>
        </s:is>
      </s:c>
      <s:c r="D22133" s="115" t="inlineStr">
        <s:is>
          <s:t>Kết quả thực tế</s:t>
        </s:is>
      </s:c>
      <s:c r="E22133" s="115" t="inlineStr">
        <s:is>
          <s:t>Đánh giá</s:t>
        </s:is>
      </s:c>
    </s:row>
    <s:row r="22134" ht="3" customHeight="1">
      <s:c r="A22134" s="102" t="inlineStr"/>
      <s:c r="B22134" s="99" t="n"/>
      <s:c r="C22134" s="99" t="n"/>
      <s:c r="D22134" s="116" t="n"/>
      <s:c r="E22134" s="116" t="n"/>
    </s:row>
    <s:row r="22135" ht="48" customHeight="1">
      <s:c r="A22135" s="83" t="inlineStr">
        <s:is>
          <s:t>Thêm quy tắc (add)</s:t>
        </s:is>
      </s:c>
      <s:c r="B22135" s="83" t="inlineStr">
        <s:is>
          <s:r>
            <s:t xml:space="preserve">Giáo viên thường có quyền sửa mục </s:t>
          </s:r>
          <s:r>
            <s:rPr>
              <s:b val="1"/>
            </s:rPr>
            <s:t>M=100</s:t>
          </s:r>
          <s:r>
            <s:t>, không phải nội bộ; thử thêm rule của mục.</s:t>
          </s:r>
        </s:is>
      </s:c>
      <s:c r="C22135" s="83" t="inlineStr">
        <s:is>
          <s:t>Mọi thao tác thành công.</s:t>
        </s:is>
      </s:c>
      <s:c r="D22135" s="117" t="inlineStr"/>
      <s:c r="E22135" s="118" t="inlineStr">
        <s:is>
          <s:t>Chưa thực hiện</s:t>
        </s:is>
      </s:c>
    </s:row>
    <s:row r="22136" ht="3" customHeight="1">
      <s:c r="A22136" s="102" t="inlineStr"/>
      <s:c r="B22136" s="99" t="n"/>
      <s:c r="C22136" s="99" t="n"/>
      <s:c r="D22136" s="116" t="n"/>
      <s:c r="E22136" s="116" t="n"/>
    </s:row>
    <s:row r="22137" ht="48" customHeight="1">
      <s:c r="A22137" s="83" t="inlineStr">
        <s:is>
          <s:t>Sửa điều kiện (condition)</s:t>
        </s:is>
      </s:c>
      <s:c r="B22137" s="83" t="inlineStr">
        <s:is>
          <s:r>
            <s:t xml:space="preserve">Cùng giáo viên có quyền; sửa điều kiện áp dụng của rule thuộc mục </s:t>
          </s:r>
          <s:r>
            <s:rPr>
              <s:b val="1"/>
            </s:rPr>
            <s:t>M=100</s:t>
          </s:r>
          <s:r>
            <s:t>.</s:t>
          </s:r>
        </s:is>
      </s:c>
      <s:c r="C22137" s="83" t="inlineStr">
        <s:is>
          <s:t>Mọi thao tác thành công.</s:t>
        </s:is>
      </s:c>
      <s:c r="D22137" s="117" t="inlineStr"/>
      <s:c r="E22137" s="118" t="inlineStr">
        <s:is>
          <s:t>Chưa thực hiện</s:t>
        </s:is>
      </s:c>
    </s:row>
    <s:row r="22138" ht="3" customHeight="1">
      <s:c r="A22138" s="102" t="inlineStr"/>
      <s:c r="B22138" s="99" t="n"/>
      <s:c r="C22138" s="99" t="n"/>
      <s:c r="D22138" s="116" t="n"/>
      <s:c r="E22138" s="116" t="n"/>
    </s:row>
    <s:row r="22139" ht="34" customHeight="1">
      <s:c r="A22139" s="83" t="inlineStr">
        <s:is>
          <s:t>Sửa ngưỡng (threshold)</s:t>
        </s:is>
      </s:c>
      <s:c r="B22139" s="83" t="inlineStr">
        <s:is>
          <s:r>
            <s:t xml:space="preserve">Cùng giáo viên có quyền; sửa ngưỡng của rule thuộc mục </s:t>
          </s:r>
          <s:r>
            <s:rPr>
              <s:b val="1"/>
            </s:rPr>
            <s:t>M=100</s:t>
          </s:r>
          <s:r>
            <s:t>.</s:t>
          </s:r>
        </s:is>
      </s:c>
      <s:c r="C22139" s="83" t="inlineStr">
        <s:is>
          <s:t>Mọi thao tác thành công.</s:t>
        </s:is>
      </s:c>
      <s:c r="D22139" s="117" t="inlineStr"/>
      <s:c r="E22139" s="118" t="inlineStr">
        <s:is>
          <s:t>Chưa thực hiện</s:t>
        </s:is>
      </s:c>
    </s:row>
    <s:row r="22140" ht="3" customHeight="1">
      <s:c r="A22140" s="102" t="inlineStr"/>
      <s:c r="B22140" s="99" t="n"/>
      <s:c r="C22140" s="99" t="n"/>
      <s:c r="D22140" s="116" t="n"/>
      <s:c r="E22140" s="116" t="n"/>
    </s:row>
    <s:row r="22141" ht="34" customHeight="1">
      <s:c r="A22141" s="83" t="inlineStr">
        <s:is>
          <s:t>Đổi thứ tự (reorder)</s:t>
        </s:is>
      </s:c>
      <s:c r="B22141" s="83" t="inlineStr">
        <s:is>
          <s:r>
            <s:t xml:space="preserve">Cùng giáo viên có quyền; đổi ưu tiên các rule thuộc mục </s:t>
          </s:r>
          <s:r>
            <s:rPr>
              <s:b val="1"/>
            </s:rPr>
            <s:t>M=100</s:t>
          </s:r>
          <s:r>
            <s:t>.</s:t>
          </s:r>
        </s:is>
      </s:c>
      <s:c r="C22141" s="83" t="inlineStr">
        <s:is>
          <s:t>Mọi thao tác thành công.</s:t>
        </s:is>
      </s:c>
      <s:c r="D22141" s="117" t="inlineStr"/>
      <s:c r="E22141" s="118" t="inlineStr">
        <s:is>
          <s:t>Chưa thực hiện</s:t>
        </s:is>
      </s:c>
    </s:row>
    <s:row r="22142" ht="3" customHeight="1">
      <s:c r="A22142" s="102" t="inlineStr"/>
      <s:c r="B22142" s="99" t="n"/>
      <s:c r="C22142" s="99" t="n"/>
      <s:c r="D22142" s="116" t="n"/>
      <s:c r="E22142" s="116" t="n"/>
    </s:row>
    <s:row r="22143" ht="48" customHeight="1">
      <s:c r="A22143" s="83" t="inlineStr">
        <s:is>
          <s:t>Đồng ý xóa (delete)</s:t>
        </s:is>
      </s:c>
      <s:c r="B22143" s="83" t="inlineStr">
        <s:is>
          <s:r>
            <s:t xml:space="preserve">Xóa quy tắc: Cùng giáo viên có quyền; xóa một rule thuộc mục </s:t>
          </s:r>
          <s:r>
            <s:rPr>
              <s:b val="1"/>
            </s:rPr>
            <s:t>M=100</s:t>
          </s:r>
          <s:r>
            <s:t>.</s:t>
          </s:r>
        </s:is>
      </s:c>
      <s:c r="C22143" s="83" t="inlineStr">
        <s:is>
          <s:t>Mọi thao tác thành công.</s:t>
        </s:is>
      </s:c>
      <s:c r="D22143" s="117" t="inlineStr"/>
      <s:c r="E22143" s="118" t="inlineStr">
        <s:is>
          <s:t>Chưa thực hiện</s:t>
        </s:is>
      </s:c>
    </s:row>
    <s:row r="22144" ht="20" customHeight="1">
      <s:c r="A22144" s="119" t="inlineStr">
        <s:is>
          <s:t>Ảnh minh chứng — Chưa có ảnh</s:t>
        </s:is>
      </s:c>
      <s:c r="B22144" s="19" t="n"/>
      <s:c r="C22144" s="19" t="n"/>
      <s:c r="D22144" s="19" t="n"/>
      <s:c r="E22144" s="19" t="n"/>
    </s:row>
    <s:row r="22145" hidden="1" ht="1" customHeight="1">
      <s:c r="A22145" s="120" t="inlineStr"/>
      <s:c r="B22145" s="121" t="n"/>
      <s:c r="C22145" s="121" t="n"/>
      <s:c r="D22145" s="121" t="n"/>
      <s:c r="E22145" s="122" t="n"/>
    </s:row>
    <s:row r="22146" hidden="1" ht="1" customHeight="1">
      <s:c r="A22146" s="120" t="inlineStr"/>
      <s:c r="B22146" s="121" t="n"/>
      <s:c r="C22146" s="121" t="n"/>
      <s:c r="D22146" s="121" t="n"/>
      <s:c r="E22146" s="122" t="n"/>
    </s:row>
    <s:row r="22147" hidden="1" ht="1" customHeight="1">
      <s:c r="A22147" s="120" t="inlineStr"/>
      <s:c r="B22147" s="121" t="n"/>
      <s:c r="C22147" s="121" t="n"/>
      <s:c r="D22147" s="121" t="n"/>
      <s:c r="E22147" s="122" t="n"/>
    </s:row>
    <s:row r="22148" hidden="1" ht="1" customHeight="1">
      <s:c r="A22148" s="120" t="inlineStr"/>
      <s:c r="B22148" s="121" t="n"/>
      <s:c r="C22148" s="121" t="n"/>
      <s:c r="D22148" s="121" t="n"/>
      <s:c r="E22148" s="122" t="n"/>
    </s:row>
    <s:row r="22149" hidden="1" ht="1" customHeight="1">
      <s:c r="A22149" s="120" t="inlineStr"/>
      <s:c r="B22149" s="121" t="n"/>
      <s:c r="C22149" s="121" t="n"/>
      <s:c r="D22149" s="121" t="n"/>
      <s:c r="E22149" s="122" t="n"/>
    </s:row>
    <s:row r="22150" hidden="1" ht="1" customHeight="1">
      <s:c r="A22150" s="120" t="inlineStr"/>
      <s:c r="B22150" s="121" t="n"/>
      <s:c r="C22150" s="121" t="n"/>
      <s:c r="D22150" s="121" t="n"/>
      <s:c r="E22150" s="122" t="n"/>
    </s:row>
    <s:row r="22151" hidden="1" ht="1" customHeight="1">
      <s:c r="A22151" s="120" t="inlineStr"/>
      <s:c r="B22151" s="121" t="n"/>
      <s:c r="C22151" s="121" t="n"/>
      <s:c r="D22151" s="121" t="n"/>
      <s:c r="E22151" s="122" t="n"/>
    </s:row>
    <s:row r="22152" hidden="1" ht="1" customHeight="1">
      <s:c r="A22152" s="120" t="inlineStr"/>
      <s:c r="B22152" s="121" t="n"/>
      <s:c r="C22152" s="121" t="n"/>
      <s:c r="D22152" s="121" t="n"/>
      <s:c r="E22152" s="122" t="n"/>
    </s:row>
    <s:row r="22153" hidden="1" ht="1" customHeight="1">
      <s:c r="A22153" s="120" t="inlineStr"/>
      <s:c r="B22153" s="121" t="n"/>
      <s:c r="C22153" s="121" t="n"/>
      <s:c r="D22153" s="121" t="n"/>
      <s:c r="E22153" s="122" t="n"/>
    </s:row>
    <s:row r="22154" hidden="1" ht="1" customHeight="1">
      <s:c r="A22154" s="120" t="inlineStr"/>
      <s:c r="B22154" s="121" t="n"/>
      <s:c r="C22154" s="121" t="n"/>
      <s:c r="D22154" s="121" t="n"/>
      <s:c r="E22154" s="122" t="n"/>
    </s:row>
    <s:row r="22155" hidden="1" ht="1" customHeight="1">
      <s:c r="A22155" s="120" t="inlineStr"/>
      <s:c r="B22155" s="121" t="n"/>
      <s:c r="C22155" s="121" t="n"/>
      <s:c r="D22155" s="121" t="n"/>
      <s:c r="E22155" s="122" t="n"/>
    </s:row>
    <s:row r="22156" hidden="1" ht="1" customHeight="1">
      <s:c r="A22156" s="120" t="inlineStr"/>
      <s:c r="B22156" s="121" t="n"/>
      <s:c r="C22156" s="121" t="n"/>
      <s:c r="D22156" s="121" t="n"/>
      <s:c r="E22156" s="122" t="n"/>
    </s:row>
    <s:row r="22157" hidden="1" ht="1" customHeight="1">
      <s:c r="A22157" s="120" t="inlineStr"/>
      <s:c r="B22157" s="121" t="n"/>
      <s:c r="C22157" s="121" t="n"/>
      <s:c r="D22157" s="121" t="n"/>
      <s:c r="E22157" s="122" t="n"/>
    </s:row>
    <s:row r="22158" hidden="1" ht="1" customHeight="1">
      <s:c r="A22158" s="120" t="inlineStr"/>
      <s:c r="B22158" s="121" t="n"/>
      <s:c r="C22158" s="121" t="n"/>
      <s:c r="D22158" s="121" t="n"/>
      <s:c r="E22158" s="122" t="n"/>
    </s:row>
    <s:row r="22159" hidden="1" ht="1" customHeight="1">
      <s:c r="A22159" s="120" t="inlineStr"/>
      <s:c r="B22159" s="121" t="n"/>
      <s:c r="C22159" s="121" t="n"/>
      <s:c r="D22159" s="121" t="n"/>
      <s:c r="E22159" s="122" t="n"/>
    </s:row>
    <s:row r="22160" hidden="1" ht="1" customHeight="1">
      <s:c r="A22160" s="120" t="inlineStr"/>
      <s:c r="B22160" s="121" t="n"/>
      <s:c r="C22160" s="121" t="n"/>
      <s:c r="D22160" s="121" t="n"/>
      <s:c r="E22160" s="122" t="n"/>
    </s:row>
    <s:row r="22161" hidden="1" ht="1" customHeight="1">
      <s:c r="A22161" s="120" t="inlineStr"/>
      <s:c r="B22161" s="121" t="n"/>
      <s:c r="C22161" s="121" t="n"/>
      <s:c r="D22161" s="121" t="n"/>
      <s:c r="E22161" s="122" t="n"/>
    </s:row>
    <s:row r="22162" hidden="1" ht="1" customHeight="1">
      <s:c r="A22162" s="120" t="inlineStr"/>
      <s:c r="B22162" s="121" t="n"/>
      <s:c r="C22162" s="121" t="n"/>
      <s:c r="D22162" s="121" t="n"/>
      <s:c r="E22162" s="122" t="n"/>
    </s:row>
    <s:row r="22163" hidden="1" ht="1" customHeight="1">
      <s:c r="A22163" s="120" t="inlineStr"/>
      <s:c r="B22163" s="121" t="n"/>
      <s:c r="C22163" s="121" t="n"/>
      <s:c r="D22163" s="121" t="n"/>
      <s:c r="E22163" s="122" t="n"/>
    </s:row>
    <s:row r="22164" hidden="1" ht="1" customHeight="1">
      <s:c r="A22164" s="120" t="inlineStr"/>
      <s:c r="B22164" s="121" t="n"/>
      <s:c r="C22164" s="121" t="n"/>
      <s:c r="D22164" s="121" t="n"/>
      <s:c r="E22164" s="122" t="n"/>
    </s:row>
    <s:row r="22165" hidden="1" ht="1" customHeight="1">
      <s:c r="A22165" s="120" t="inlineStr"/>
      <s:c r="B22165" s="121" t="n"/>
      <s:c r="C22165" s="121" t="n"/>
      <s:c r="D22165" s="121" t="n"/>
      <s:c r="E22165" s="122" t="n"/>
    </s:row>
    <s:row r="22166" hidden="1" ht="1" customHeight="1">
      <s:c r="A22166" s="120" t="inlineStr"/>
      <s:c r="B22166" s="121" t="n"/>
      <s:c r="C22166" s="121" t="n"/>
      <s:c r="D22166" s="121" t="n"/>
      <s:c r="E22166" s="122" t="n"/>
    </s:row>
    <s:row r="22167" hidden="1" ht="1" customHeight="1">
      <s:c r="A22167" s="120" t="inlineStr"/>
      <s:c r="B22167" s="121" t="n"/>
      <s:c r="C22167" s="121" t="n"/>
      <s:c r="D22167" s="121" t="n"/>
      <s:c r="E22167" s="122" t="n"/>
    </s:row>
    <s:row r="22168" hidden="1" ht="1" customHeight="1">
      <s:c r="A22168" s="120" t="inlineStr"/>
      <s:c r="B22168" s="121" t="n"/>
      <s:c r="C22168" s="121" t="n"/>
      <s:c r="D22168" s="121" t="n"/>
      <s:c r="E22168" s="122" t="n"/>
    </s:row>
    <s:row r="22169" hidden="1" ht="1" customHeight="1">
      <s:c r="A22169" s="120" t="inlineStr"/>
      <s:c r="B22169" s="121" t="n"/>
      <s:c r="C22169" s="121" t="n"/>
      <s:c r="D22169" s="121" t="n"/>
      <s:c r="E22169" s="122" t="n"/>
    </s:row>
    <s:row r="22170" hidden="1" ht="1" customHeight="1">
      <s:c r="A22170" s="120" t="inlineStr"/>
      <s:c r="B22170" s="121" t="n"/>
      <s:c r="C22170" s="121" t="n"/>
      <s:c r="D22170" s="121" t="n"/>
      <s:c r="E22170" s="122" t="n"/>
    </s:row>
    <s:row r="22171" hidden="1" ht="1" customHeight="1">
      <s:c r="A22171" s="120" t="inlineStr"/>
      <s:c r="B22171" s="121" t="n"/>
      <s:c r="C22171" s="121" t="n"/>
      <s:c r="D22171" s="121" t="n"/>
      <s:c r="E22171" s="122" t="n"/>
    </s:row>
    <s:row r="22172" hidden="1" ht="1" customHeight="1">
      <s:c r="A22172" s="120" t="inlineStr"/>
      <s:c r="B22172" s="121" t="n"/>
      <s:c r="C22172" s="121" t="n"/>
      <s:c r="D22172" s="121" t="n"/>
      <s:c r="E22172" s="122" t="n"/>
    </s:row>
    <s:row r="22173" hidden="1" ht="1" customHeight="1">
      <s:c r="A22173" s="120" t="inlineStr"/>
      <s:c r="B22173" s="121" t="n"/>
      <s:c r="C22173" s="121" t="n"/>
      <s:c r="D22173" s="121" t="n"/>
      <s:c r="E22173" s="122" t="n"/>
    </s:row>
    <s:row r="22174" hidden="1" ht="1" customHeight="1">
      <s:c r="A22174" s="120" t="inlineStr"/>
      <s:c r="B22174" s="121" t="n"/>
      <s:c r="C22174" s="121" t="n"/>
      <s:c r="D22174" s="121" t="n"/>
      <s:c r="E22174" s="122" t="n"/>
    </s:row>
    <s:row r="22175" hidden="1" ht="1" customHeight="1">
      <s:c r="A22175" s="120" t="inlineStr"/>
      <s:c r="B22175" s="121" t="n"/>
      <s:c r="C22175" s="121" t="n"/>
      <s:c r="D22175" s="121" t="n"/>
      <s:c r="E22175" s="122" t="n"/>
    </s:row>
    <s:row r="22176" hidden="1" ht="1" customHeight="1">
      <s:c r="A22176" s="120" t="inlineStr"/>
      <s:c r="B22176" s="121" t="n"/>
      <s:c r="C22176" s="121" t="n"/>
      <s:c r="D22176" s="121" t="n"/>
      <s:c r="E22176" s="122" t="n"/>
    </s:row>
    <s:row r="22177" hidden="1" ht="1" customHeight="1">
      <s:c r="A22177" s="120" t="inlineStr"/>
      <s:c r="B22177" s="121" t="n"/>
      <s:c r="C22177" s="121" t="n"/>
      <s:c r="D22177" s="121" t="n"/>
      <s:c r="E22177" s="122" t="n"/>
    </s:row>
    <s:row r="22178" hidden="1" ht="1" customHeight="1">
      <s:c r="A22178" s="120" t="inlineStr"/>
      <s:c r="B22178" s="121" t="n"/>
      <s:c r="C22178" s="121" t="n"/>
      <s:c r="D22178" s="121" t="n"/>
      <s:c r="E22178" s="122" t="n"/>
    </s:row>
    <s:row r="22179" hidden="1" ht="1" customHeight="1">
      <s:c r="A22179" s="120" t="inlineStr"/>
      <s:c r="B22179" s="121" t="n"/>
      <s:c r="C22179" s="121" t="n"/>
      <s:c r="D22179" s="121" t="n"/>
      <s:c r="E22179" s="122" t="n"/>
    </s:row>
    <s:row r="22180" hidden="1" ht="1" customHeight="1">
      <s:c r="A22180" s="120" t="inlineStr"/>
      <s:c r="B22180" s="121" t="n"/>
      <s:c r="C22180" s="121" t="n"/>
      <s:c r="D22180" s="121" t="n"/>
      <s:c r="E22180" s="122" t="n"/>
    </s:row>
    <s:row r="22181" hidden="1" ht="1" customHeight="1">
      <s:c r="A22181" s="120" t="inlineStr"/>
      <s:c r="B22181" s="121" t="n"/>
      <s:c r="C22181" s="121" t="n"/>
      <s:c r="D22181" s="121" t="n"/>
      <s:c r="E22181" s="122" t="n"/>
    </s:row>
    <s:row r="22182" hidden="1" ht="1" customHeight="1">
      <s:c r="A22182" s="120" t="inlineStr"/>
      <s:c r="B22182" s="121" t="n"/>
      <s:c r="C22182" s="121" t="n"/>
      <s:c r="D22182" s="121" t="n"/>
      <s:c r="E22182" s="122" t="n"/>
    </s:row>
    <s:row r="22183" hidden="1" ht="1" customHeight="1">
      <s:c r="A22183" s="120" t="inlineStr"/>
      <s:c r="B22183" s="121" t="n"/>
      <s:c r="C22183" s="121" t="n"/>
      <s:c r="D22183" s="121" t="n"/>
      <s:c r="E22183" s="122" t="n"/>
    </s:row>
    <s:row r="22184" hidden="1" ht="1" customHeight="1">
      <s:c r="A22184" s="120" t="inlineStr"/>
      <s:c r="B22184" s="121" t="n"/>
      <s:c r="C22184" s="121" t="n"/>
      <s:c r="D22184" s="121" t="n"/>
      <s:c r="E22184" s="122" t="n"/>
    </s:row>
    <s:row r="22185" hidden="1" ht="1" customHeight="1">
      <s:c r="A22185" s="120" t="inlineStr"/>
      <s:c r="B22185" s="121" t="n"/>
      <s:c r="C22185" s="121" t="n"/>
      <s:c r="D22185" s="121" t="n"/>
      <s:c r="E22185" s="122" t="n"/>
    </s:row>
    <s:row r="22186" hidden="1" ht="1" customHeight="1">
      <s:c r="A22186" s="120" t="inlineStr"/>
      <s:c r="B22186" s="121" t="n"/>
      <s:c r="C22186" s="121" t="n"/>
      <s:c r="D22186" s="121" t="n"/>
      <s:c r="E22186" s="122" t="n"/>
    </s:row>
    <s:row r="22187" hidden="1" ht="1" customHeight="1">
      <s:c r="A22187" s="120" t="inlineStr"/>
      <s:c r="B22187" s="121" t="n"/>
      <s:c r="C22187" s="121" t="n"/>
      <s:c r="D22187" s="121" t="n"/>
      <s:c r="E22187" s="122" t="n"/>
    </s:row>
    <s:row r="22188" hidden="1" ht="1" customHeight="1">
      <s:c r="A22188" s="120" t="inlineStr"/>
      <s:c r="B22188" s="121" t="n"/>
      <s:c r="C22188" s="121" t="n"/>
      <s:c r="D22188" s="121" t="n"/>
      <s:c r="E22188" s="122" t="n"/>
    </s:row>
    <s:row r="22189" hidden="1" ht="1" customHeight="1">
      <s:c r="A22189" s="120" t="inlineStr"/>
      <s:c r="B22189" s="121" t="n"/>
      <s:c r="C22189" s="121" t="n"/>
      <s:c r="D22189" s="121" t="n"/>
      <s:c r="E22189" s="122" t="n"/>
    </s:row>
    <s:row r="22190" hidden="1" ht="1" customHeight="1">
      <s:c r="A22190" s="120" t="inlineStr"/>
      <s:c r="B22190" s="121" t="n"/>
      <s:c r="C22190" s="121" t="n"/>
      <s:c r="D22190" s="121" t="n"/>
      <s:c r="E22190" s="122" t="n"/>
    </s:row>
    <s:row r="22191" hidden="1" ht="1" customHeight="1">
      <s:c r="A22191" s="120" t="inlineStr"/>
      <s:c r="B22191" s="121" t="n"/>
      <s:c r="C22191" s="121" t="n"/>
      <s:c r="D22191" s="121" t="n"/>
      <s:c r="E22191" s="122" t="n"/>
    </s:row>
    <s:row r="22192" hidden="1" ht="1" customHeight="1">
      <s:c r="A22192" s="120" t="inlineStr"/>
      <s:c r="B22192" s="121" t="n"/>
      <s:c r="C22192" s="121" t="n"/>
      <s:c r="D22192" s="121" t="n"/>
      <s:c r="E22192" s="122" t="n"/>
    </s:row>
    <s:row r="22193" hidden="1" ht="1" customHeight="1">
      <s:c r="A22193" s="120" t="inlineStr"/>
      <s:c r="B22193" s="121" t="n"/>
      <s:c r="C22193" s="121" t="n"/>
      <s:c r="D22193" s="121" t="n"/>
      <s:c r="E22193" s="122" t="n"/>
    </s:row>
    <s:row r="22194" hidden="1" ht="1" customHeight="1">
      <s:c r="A22194" s="120" t="inlineStr"/>
      <s:c r="B22194" s="121" t="n"/>
      <s:c r="C22194" s="121" t="n"/>
      <s:c r="D22194" s="121" t="n"/>
      <s:c r="E22194" s="122" t="n"/>
    </s:row>
    <s:row r="22195" hidden="1" ht="1" customHeight="1">
      <s:c r="A22195" s="120" t="inlineStr"/>
      <s:c r="B22195" s="121" t="n"/>
      <s:c r="C22195" s="121" t="n"/>
      <s:c r="D22195" s="121" t="n"/>
      <s:c r="E22195" s="122" t="n"/>
    </s:row>
    <s:row r="22196" hidden="1" ht="1" customHeight="1">
      <s:c r="A22196" s="120" t="inlineStr"/>
      <s:c r="B22196" s="121" t="n"/>
      <s:c r="C22196" s="121" t="n"/>
      <s:c r="D22196" s="121" t="n"/>
      <s:c r="E22196" s="122" t="n"/>
    </s:row>
    <s:row r="22197" hidden="1" ht="1" customHeight="1">
      <s:c r="A22197" s="120" t="inlineStr"/>
      <s:c r="B22197" s="121" t="n"/>
      <s:c r="C22197" s="121" t="n"/>
      <s:c r="D22197" s="121" t="n"/>
      <s:c r="E22197" s="122" t="n"/>
    </s:row>
    <s:row r="22198" hidden="1" ht="1" customHeight="1">
      <s:c r="A22198" s="120" t="inlineStr"/>
      <s:c r="B22198" s="121" t="n"/>
      <s:c r="C22198" s="121" t="n"/>
      <s:c r="D22198" s="121" t="n"/>
      <s:c r="E22198" s="122" t="n"/>
    </s:row>
    <s:row r="22199" hidden="1" ht="1" customHeight="1">
      <s:c r="A22199" s="120" t="inlineStr"/>
      <s:c r="B22199" s="121" t="n"/>
      <s:c r="C22199" s="121" t="n"/>
      <s:c r="D22199" s="121" t="n"/>
      <s:c r="E22199" s="122" t="n"/>
    </s:row>
    <s:row r="22200" hidden="1" ht="1" customHeight="1">
      <s:c r="A22200" s="120" t="inlineStr"/>
      <s:c r="B22200" s="121" t="n"/>
      <s:c r="C22200" s="121" t="n"/>
      <s:c r="D22200" s="121" t="n"/>
      <s:c r="E22200" s="122" t="n"/>
    </s:row>
    <s:row r="22201" hidden="1" ht="1" customHeight="1">
      <s:c r="A22201" s="120" t="inlineStr"/>
      <s:c r="B22201" s="121" t="n"/>
      <s:c r="C22201" s="121" t="n"/>
      <s:c r="D22201" s="121" t="n"/>
      <s:c r="E22201" s="122" t="n"/>
    </s:row>
    <s:row r="22202" hidden="1" ht="1" customHeight="1">
      <s:c r="A22202" s="120" t="inlineStr"/>
      <s:c r="B22202" s="121" t="n"/>
      <s:c r="C22202" s="121" t="n"/>
      <s:c r="D22202" s="121" t="n"/>
      <s:c r="E22202" s="122" t="n"/>
    </s:row>
    <s:row r="22203" hidden="1" ht="1" customHeight="1">
      <s:c r="A22203" s="120" t="inlineStr"/>
      <s:c r="B22203" s="121" t="n"/>
      <s:c r="C22203" s="121" t="n"/>
      <s:c r="D22203" s="121" t="n"/>
      <s:c r="E22203" s="122" t="n"/>
    </s:row>
    <s:row r="22204" hidden="1" ht="1" customHeight="1">
      <s:c r="A22204" s="120" t="inlineStr"/>
      <s:c r="B22204" s="121" t="n"/>
      <s:c r="C22204" s="121" t="n"/>
      <s:c r="D22204" s="121" t="n"/>
      <s:c r="E22204" s="122" t="n"/>
    </s:row>
    <s:row r="22205" hidden="1" ht="1" customHeight="1">
      <s:c r="A22205" s="120" t="inlineStr"/>
      <s:c r="B22205" s="121" t="n"/>
      <s:c r="C22205" s="121" t="n"/>
      <s:c r="D22205" s="121" t="n"/>
      <s:c r="E22205" s="122" t="n"/>
    </s:row>
    <s:row r="22206" hidden="1" ht="1" customHeight="1">
      <s:c r="A22206" s="120" t="inlineStr"/>
      <s:c r="B22206" s="121" t="n"/>
      <s:c r="C22206" s="121" t="n"/>
      <s:c r="D22206" s="121" t="n"/>
      <s:c r="E22206" s="122" t="n"/>
    </s:row>
    <s:row r="22207" hidden="1" ht="1" customHeight="1">
      <s:c r="A22207" s="120" t="inlineStr"/>
      <s:c r="B22207" s="121" t="n"/>
      <s:c r="C22207" s="121" t="n"/>
      <s:c r="D22207" s="121" t="n"/>
      <s:c r="E22207" s="122" t="n"/>
    </s:row>
    <s:row r="22208" hidden="1" ht="1" customHeight="1">
      <s:c r="A22208" s="120" t="inlineStr"/>
      <s:c r="B22208" s="121" t="n"/>
      <s:c r="C22208" s="121" t="n"/>
      <s:c r="D22208" s="121" t="n"/>
      <s:c r="E22208" s="122" t="n"/>
    </s:row>
    <s:row r="22209" hidden="1" ht="1" customHeight="1">
      <s:c r="A22209" s="120" t="inlineStr"/>
      <s:c r="B22209" s="121" t="n"/>
      <s:c r="C22209" s="121" t="n"/>
      <s:c r="D22209" s="121" t="n"/>
      <s:c r="E22209" s="122" t="n"/>
    </s:row>
    <s:row r="22210" hidden="1" ht="1" customHeight="1">
      <s:c r="A22210" s="120" t="inlineStr"/>
      <s:c r="B22210" s="121" t="n"/>
      <s:c r="C22210" s="121" t="n"/>
      <s:c r="D22210" s="121" t="n"/>
      <s:c r="E22210" s="122" t="n"/>
    </s:row>
    <s:row r="22211" hidden="1" ht="1" customHeight="1">
      <s:c r="A22211" s="120" t="inlineStr"/>
      <s:c r="B22211" s="121" t="n"/>
      <s:c r="C22211" s="121" t="n"/>
      <s:c r="D22211" s="121" t="n"/>
      <s:c r="E22211" s="122" t="n"/>
    </s:row>
    <s:row r="22212" hidden="1" ht="1" customHeight="1">
      <s:c r="A22212" s="120" t="inlineStr"/>
      <s:c r="B22212" s="121" t="n"/>
      <s:c r="C22212" s="121" t="n"/>
      <s:c r="D22212" s="121" t="n"/>
      <s:c r="E22212" s="122" t="n"/>
    </s:row>
    <s:row r="22213" hidden="1" ht="1" customHeight="1">
      <s:c r="A22213" s="120" t="inlineStr"/>
      <s:c r="B22213" s="121" t="n"/>
      <s:c r="C22213" s="121" t="n"/>
      <s:c r="D22213" s="121" t="n"/>
      <s:c r="E22213" s="122" t="n"/>
    </s:row>
    <s:row r="22214" hidden="1" ht="1" customHeight="1">
      <s:c r="A22214" s="120" t="inlineStr"/>
      <s:c r="B22214" s="121" t="n"/>
      <s:c r="C22214" s="121" t="n"/>
      <s:c r="D22214" s="121" t="n"/>
      <s:c r="E22214" s="122" t="n"/>
    </s:row>
    <s:row r="22215" hidden="1" ht="1" customHeight="1">
      <s:c r="A22215" s="120" t="inlineStr"/>
      <s:c r="B22215" s="121" t="n"/>
      <s:c r="C22215" s="121" t="n"/>
      <s:c r="D22215" s="121" t="n"/>
      <s:c r="E22215" s="122" t="n"/>
    </s:row>
    <s:row r="22216" hidden="1" ht="1" customHeight="1">
      <s:c r="A22216" s="120" t="inlineStr"/>
      <s:c r="B22216" s="121" t="n"/>
      <s:c r="C22216" s="121" t="n"/>
      <s:c r="D22216" s="121" t="n"/>
      <s:c r="E22216" s="122" t="n"/>
    </s:row>
    <s:row r="22217" hidden="1" ht="1" customHeight="1">
      <s:c r="A22217" s="120" t="inlineStr"/>
      <s:c r="B22217" s="121" t="n"/>
      <s:c r="C22217" s="121" t="n"/>
      <s:c r="D22217" s="121" t="n"/>
      <s:c r="E22217" s="122" t="n"/>
    </s:row>
    <s:row r="22218" hidden="1" ht="1" customHeight="1">
      <s:c r="A22218" s="120" t="inlineStr"/>
      <s:c r="B22218" s="121" t="n"/>
      <s:c r="C22218" s="121" t="n"/>
      <s:c r="D22218" s="121" t="n"/>
      <s:c r="E22218" s="122" t="n"/>
    </s:row>
    <s:row r="22219" hidden="1" ht="1" customHeight="1">
      <s:c r="A22219" s="120" t="inlineStr"/>
      <s:c r="B22219" s="121" t="n"/>
      <s:c r="C22219" s="121" t="n"/>
      <s:c r="D22219" s="121" t="n"/>
      <s:c r="E22219" s="122" t="n"/>
    </s:row>
    <s:row r="22220" hidden="1" ht="1" customHeight="1">
      <s:c r="A22220" s="120" t="inlineStr"/>
      <s:c r="B22220" s="121" t="n"/>
      <s:c r="C22220" s="121" t="n"/>
      <s:c r="D22220" s="121" t="n"/>
      <s:c r="E22220" s="122" t="n"/>
    </s:row>
    <s:row r="22221" hidden="1" ht="1" customHeight="1">
      <s:c r="A22221" s="120" t="inlineStr"/>
      <s:c r="B22221" s="121" t="n"/>
      <s:c r="C22221" s="121" t="n"/>
      <s:c r="D22221" s="121" t="n"/>
      <s:c r="E22221" s="122" t="n"/>
    </s:row>
    <s:row r="22222" hidden="1" ht="1" customHeight="1">
      <s:c r="A22222" s="120" t="inlineStr"/>
      <s:c r="B22222" s="121" t="n"/>
      <s:c r="C22222" s="121" t="n"/>
      <s:c r="D22222" s="121" t="n"/>
      <s:c r="E22222" s="122" t="n"/>
    </s:row>
    <s:row r="22223" hidden="1" ht="1" customHeight="1">
      <s:c r="A22223" s="120" t="inlineStr"/>
      <s:c r="B22223" s="121" t="n"/>
      <s:c r="C22223" s="121" t="n"/>
      <s:c r="D22223" s="121" t="n"/>
      <s:c r="E22223" s="122" t="n"/>
    </s:row>
    <s:row r="22224" hidden="1" ht="1" customHeight="1">
      <s:c r="A22224" s="120" t="inlineStr"/>
      <s:c r="B22224" s="121" t="n"/>
      <s:c r="C22224" s="121" t="n"/>
      <s:c r="D22224" s="121" t="n"/>
      <s:c r="E22224" s="122" t="n"/>
    </s:row>
    <s:row r="22225" hidden="1" ht="1" customHeight="1">
      <s:c r="A22225" s="120" t="inlineStr"/>
      <s:c r="B22225" s="121" t="n"/>
      <s:c r="C22225" s="121" t="n"/>
      <s:c r="D22225" s="121" t="n"/>
      <s:c r="E22225" s="122" t="n"/>
    </s:row>
    <s:row r="22226" hidden="1" ht="1" customHeight="1">
      <s:c r="A22226" s="120" t="inlineStr"/>
      <s:c r="B22226" s="121" t="n"/>
      <s:c r="C22226" s="121" t="n"/>
      <s:c r="D22226" s="121" t="n"/>
      <s:c r="E22226" s="122" t="n"/>
    </s:row>
    <s:row r="22227" hidden="1" ht="1" customHeight="1">
      <s:c r="A22227" s="120" t="inlineStr"/>
      <s:c r="B22227" s="121" t="n"/>
      <s:c r="C22227" s="121" t="n"/>
      <s:c r="D22227" s="121" t="n"/>
      <s:c r="E22227" s="122" t="n"/>
    </s:row>
    <s:row r="22228" hidden="1" ht="1" customHeight="1">
      <s:c r="A22228" s="120" t="inlineStr"/>
      <s:c r="B22228" s="121" t="n"/>
      <s:c r="C22228" s="121" t="n"/>
      <s:c r="D22228" s="121" t="n"/>
      <s:c r="E22228" s="122" t="n"/>
    </s:row>
    <s:row r="22229" hidden="1" ht="1" customHeight="1">
      <s:c r="A22229" s="120" t="inlineStr"/>
      <s:c r="B22229" s="121" t="n"/>
      <s:c r="C22229" s="121" t="n"/>
      <s:c r="D22229" s="121" t="n"/>
      <s:c r="E22229" s="122" t="n"/>
    </s:row>
    <s:row r="22230" hidden="1" ht="1" customHeight="1">
      <s:c r="A22230" s="120" t="inlineStr"/>
      <s:c r="B22230" s="121" t="n"/>
      <s:c r="C22230" s="121" t="n"/>
      <s:c r="D22230" s="121" t="n"/>
      <s:c r="E22230" s="122" t="n"/>
    </s:row>
    <s:row r="22231" hidden="1" ht="1" customHeight="1">
      <s:c r="A22231" s="120" t="inlineStr"/>
      <s:c r="B22231" s="121" t="n"/>
      <s:c r="C22231" s="121" t="n"/>
      <s:c r="D22231" s="121" t="n"/>
      <s:c r="E22231" s="122" t="n"/>
    </s:row>
    <s:row r="22232" hidden="1" ht="1" customHeight="1">
      <s:c r="A22232" s="120" t="inlineStr"/>
      <s:c r="B22232" s="121" t="n"/>
      <s:c r="C22232" s="121" t="n"/>
      <s:c r="D22232" s="121" t="n"/>
      <s:c r="E22232" s="122" t="n"/>
    </s:row>
    <s:row r="22233" hidden="1" ht="1" customHeight="1">
      <s:c r="A22233" s="120" t="inlineStr"/>
      <s:c r="B22233" s="121" t="n"/>
      <s:c r="C22233" s="121" t="n"/>
      <s:c r="D22233" s="121" t="n"/>
      <s:c r="E22233" s="122" t="n"/>
    </s:row>
    <s:row r="22234" hidden="1" ht="1" customHeight="1">
      <s:c r="A22234" s="120" t="inlineStr"/>
      <s:c r="B22234" s="121" t="n"/>
      <s:c r="C22234" s="121" t="n"/>
      <s:c r="D22234" s="121" t="n"/>
      <s:c r="E22234" s="122" t="n"/>
    </s:row>
    <s:row r="22235" hidden="1" ht="1" customHeight="1">
      <s:c r="A22235" s="120" t="inlineStr"/>
      <s:c r="B22235" s="121" t="n"/>
      <s:c r="C22235" s="121" t="n"/>
      <s:c r="D22235" s="121" t="n"/>
      <s:c r="E22235" s="122" t="n"/>
    </s:row>
    <s:row r="22236" hidden="1" ht="1" customHeight="1">
      <s:c r="A22236" s="120" t="inlineStr"/>
      <s:c r="B22236" s="121" t="n"/>
      <s:c r="C22236" s="121" t="n"/>
      <s:c r="D22236" s="121" t="n"/>
      <s:c r="E22236" s="122" t="n"/>
    </s:row>
    <s:row r="22237" hidden="1" ht="1" customHeight="1">
      <s:c r="A22237" s="120" t="inlineStr"/>
      <s:c r="B22237" s="121" t="n"/>
      <s:c r="C22237" s="121" t="n"/>
      <s:c r="D22237" s="121" t="n"/>
      <s:c r="E22237" s="122" t="n"/>
    </s:row>
    <s:row r="22238" hidden="1" ht="1" customHeight="1">
      <s:c r="A22238" s="120" t="inlineStr"/>
      <s:c r="B22238" s="121" t="n"/>
      <s:c r="C22238" s="121" t="n"/>
      <s:c r="D22238" s="121" t="n"/>
      <s:c r="E22238" s="122" t="n"/>
    </s:row>
    <s:row r="22239" hidden="1" ht="1" customHeight="1">
      <s:c r="A22239" s="120" t="inlineStr"/>
      <s:c r="B22239" s="121" t="n"/>
      <s:c r="C22239" s="121" t="n"/>
      <s:c r="D22239" s="121" t="n"/>
      <s:c r="E22239" s="122" t="n"/>
    </s:row>
    <s:row r="22240" hidden="1" ht="1" customHeight="1">
      <s:c r="A22240" s="120" t="inlineStr"/>
      <s:c r="B22240" s="121" t="n"/>
      <s:c r="C22240" s="121" t="n"/>
      <s:c r="D22240" s="121" t="n"/>
      <s:c r="E22240" s="122" t="n"/>
    </s:row>
    <s:row r="22241" hidden="1" ht="1" customHeight="1">
      <s:c r="A22241" s="120" t="inlineStr"/>
      <s:c r="B22241" s="121" t="n"/>
      <s:c r="C22241" s="121" t="n"/>
      <s:c r="D22241" s="121" t="n"/>
      <s:c r="E22241" s="122" t="n"/>
    </s:row>
    <s:row r="22242" hidden="1" ht="1" customHeight="1">
      <s:c r="A22242" s="120" t="inlineStr"/>
      <s:c r="B22242" s="121" t="n"/>
      <s:c r="C22242" s="121" t="n"/>
      <s:c r="D22242" s="121" t="n"/>
      <s:c r="E22242" s="122" t="n"/>
    </s:row>
    <s:row r="22243" hidden="1" ht="1" customHeight="1">
      <s:c r="A22243" s="120" t="inlineStr"/>
      <s:c r="B22243" s="121" t="n"/>
      <s:c r="C22243" s="121" t="n"/>
      <s:c r="D22243" s="121" t="n"/>
      <s:c r="E22243" s="122" t="n"/>
    </s:row>
    <s:row r="22244" hidden="1" ht="1" customHeight="1">
      <s:c r="A22244" s="120" t="inlineStr"/>
      <s:c r="B22244" s="121" t="n"/>
      <s:c r="C22244" s="121" t="n"/>
      <s:c r="D22244" s="121" t="n"/>
      <s:c r="E22244" s="122" t="n"/>
    </s:row>
    <s:row r="22245" hidden="1" ht="1" customHeight="1">
      <s:c r="A22245" s="120" t="inlineStr"/>
      <s:c r="B22245" s="121" t="n"/>
      <s:c r="C22245" s="121" t="n"/>
      <s:c r="D22245" s="121" t="n"/>
      <s:c r="E22245" s="122" t="n"/>
    </s:row>
    <s:row r="22246" hidden="1" ht="1" customHeight="1">
      <s:c r="A22246" s="120" t="inlineStr"/>
      <s:c r="B22246" s="121" t="n"/>
      <s:c r="C22246" s="121" t="n"/>
      <s:c r="D22246" s="121" t="n"/>
      <s:c r="E22246" s="122" t="n"/>
    </s:row>
    <s:row r="22247" hidden="1" ht="1" customHeight="1">
      <s:c r="A22247" s="120" t="inlineStr"/>
      <s:c r="B22247" s="121" t="n"/>
      <s:c r="C22247" s="121" t="n"/>
      <s:c r="D22247" s="121" t="n"/>
      <s:c r="E22247" s="122" t="n"/>
    </s:row>
    <s:row r="22248" hidden="1" ht="1" customHeight="1">
      <s:c r="A22248" s="120" t="inlineStr"/>
      <s:c r="B22248" s="121" t="n"/>
      <s:c r="C22248" s="121" t="n"/>
      <s:c r="D22248" s="121" t="n"/>
      <s:c r="E22248" s="122" t="n"/>
    </s:row>
    <s:row r="22249" hidden="1" ht="1" customHeight="1">
      <s:c r="A22249" s="120" t="inlineStr"/>
      <s:c r="B22249" s="121" t="n"/>
      <s:c r="C22249" s="121" t="n"/>
      <s:c r="D22249" s="121" t="n"/>
      <s:c r="E22249" s="122" t="n"/>
    </s:row>
    <s:row r="22250" hidden="1" ht="1" customHeight="1">
      <s:c r="A22250" s="120" t="inlineStr"/>
      <s:c r="B22250" s="121" t="n"/>
      <s:c r="C22250" s="121" t="n"/>
      <s:c r="D22250" s="121" t="n"/>
      <s:c r="E22250" s="122" t="n"/>
    </s:row>
    <s:row r="22251" hidden="1" ht="1" customHeight="1">
      <s:c r="A22251" s="120" t="inlineStr"/>
      <s:c r="B22251" s="121" t="n"/>
      <s:c r="C22251" s="121" t="n"/>
      <s:c r="D22251" s="121" t="n"/>
      <s:c r="E22251" s="122" t="n"/>
    </s:row>
    <s:row r="22252" hidden="1" ht="1" customHeight="1">
      <s:c r="A22252" s="120" t="inlineStr"/>
      <s:c r="B22252" s="121" t="n"/>
      <s:c r="C22252" s="121" t="n"/>
      <s:c r="D22252" s="121" t="n"/>
      <s:c r="E22252" s="122" t="n"/>
    </s:row>
    <s:row r="22253" hidden="1" ht="1" customHeight="1">
      <s:c r="A22253" s="120" t="inlineStr"/>
      <s:c r="B22253" s="121" t="n"/>
      <s:c r="C22253" s="121" t="n"/>
      <s:c r="D22253" s="121" t="n"/>
      <s:c r="E22253" s="122" t="n"/>
    </s:row>
    <s:row r="22254" hidden="1" ht="1" customHeight="1">
      <s:c r="A22254" s="120" t="inlineStr"/>
      <s:c r="B22254" s="121" t="n"/>
      <s:c r="C22254" s="121" t="n"/>
      <s:c r="D22254" s="121" t="n"/>
      <s:c r="E22254" s="122" t="n"/>
    </s:row>
    <s:row r="22255" hidden="1" ht="1" customHeight="1">
      <s:c r="A22255" s="120" t="inlineStr"/>
      <s:c r="B22255" s="121" t="n"/>
      <s:c r="C22255" s="121" t="n"/>
      <s:c r="D22255" s="121" t="n"/>
      <s:c r="E22255" s="122" t="n"/>
    </s:row>
    <s:row r="22256" hidden="1" ht="1" customHeight="1">
      <s:c r="A22256" s="120" t="inlineStr"/>
      <s:c r="B22256" s="121" t="n"/>
      <s:c r="C22256" s="121" t="n"/>
      <s:c r="D22256" s="121" t="n"/>
      <s:c r="E22256" s="122" t="n"/>
    </s:row>
    <s:row r="22257" hidden="1" ht="1" customHeight="1">
      <s:c r="A22257" s="120" t="inlineStr"/>
      <s:c r="B22257" s="121" t="n"/>
      <s:c r="C22257" s="121" t="n"/>
      <s:c r="D22257" s="121" t="n"/>
      <s:c r="E22257" s="122" t="n"/>
    </s:row>
    <s:row r="22258" hidden="1" ht="1" customHeight="1">
      <s:c r="A22258" s="120" t="inlineStr"/>
      <s:c r="B22258" s="121" t="n"/>
      <s:c r="C22258" s="121" t="n"/>
      <s:c r="D22258" s="121" t="n"/>
      <s:c r="E22258" s="122" t="n"/>
    </s:row>
    <s:row r="22259" hidden="1" ht="1" customHeight="1">
      <s:c r="A22259" s="120" t="inlineStr"/>
      <s:c r="B22259" s="121" t="n"/>
      <s:c r="C22259" s="121" t="n"/>
      <s:c r="D22259" s="121" t="n"/>
      <s:c r="E22259" s="122" t="n"/>
    </s:row>
    <s:row r="22260" hidden="1" ht="1" customHeight="1">
      <s:c r="A22260" s="120" t="inlineStr"/>
      <s:c r="B22260" s="121" t="n"/>
      <s:c r="C22260" s="121" t="n"/>
      <s:c r="D22260" s="121" t="n"/>
      <s:c r="E22260" s="122" t="n"/>
    </s:row>
    <s:row r="22261" hidden="1" ht="1" customHeight="1">
      <s:c r="A22261" s="120" t="inlineStr"/>
      <s:c r="B22261" s="121" t="n"/>
      <s:c r="C22261" s="121" t="n"/>
      <s:c r="D22261" s="121" t="n"/>
      <s:c r="E22261" s="122" t="n"/>
    </s:row>
    <s:row r="22262" hidden="1" ht="1" customHeight="1">
      <s:c r="A22262" s="120" t="inlineStr"/>
      <s:c r="B22262" s="121" t="n"/>
      <s:c r="C22262" s="121" t="n"/>
      <s:c r="D22262" s="121" t="n"/>
      <s:c r="E22262" s="122" t="n"/>
    </s:row>
    <s:row r="22263" hidden="1" ht="1" customHeight="1">
      <s:c r="A22263" s="120" t="inlineStr"/>
      <s:c r="B22263" s="121" t="n"/>
      <s:c r="C22263" s="121" t="n"/>
      <s:c r="D22263" s="121" t="n"/>
      <s:c r="E22263" s="122" t="n"/>
    </s:row>
    <s:row r="22264" hidden="1" ht="1" customHeight="1">
      <s:c r="A22264" s="120" t="inlineStr"/>
      <s:c r="B22264" s="121" t="n"/>
      <s:c r="C22264" s="121" t="n"/>
      <s:c r="D22264" s="121" t="n"/>
      <s:c r="E22264" s="122" t="n"/>
    </s:row>
    <s:row r="22265" hidden="1" ht="1" customHeight="1">
      <s:c r="A22265" s="120" t="inlineStr"/>
      <s:c r="B22265" s="121" t="n"/>
      <s:c r="C22265" s="121" t="n"/>
      <s:c r="D22265" s="121" t="n"/>
      <s:c r="E22265" s="122" t="n"/>
    </s:row>
    <s:row r="22266" hidden="1" ht="1" customHeight="1">
      <s:c r="A22266" s="120" t="inlineStr"/>
      <s:c r="B22266" s="121" t="n"/>
      <s:c r="C22266" s="121" t="n"/>
      <s:c r="D22266" s="121" t="n"/>
      <s:c r="E22266" s="122" t="n"/>
    </s:row>
    <s:row r="22267" hidden="1" ht="1" customHeight="1">
      <s:c r="A22267" s="120" t="inlineStr"/>
      <s:c r="B22267" s="121" t="n"/>
      <s:c r="C22267" s="121" t="n"/>
      <s:c r="D22267" s="121" t="n"/>
      <s:c r="E22267" s="122" t="n"/>
    </s:row>
    <s:row r="22268" hidden="1" ht="1" customHeight="1">
      <s:c r="A22268" s="120" t="inlineStr"/>
      <s:c r="B22268" s="121" t="n"/>
      <s:c r="C22268" s="121" t="n"/>
      <s:c r="D22268" s="121" t="n"/>
      <s:c r="E22268" s="122" t="n"/>
    </s:row>
    <s:row r="22269" hidden="1" ht="1" customHeight="1">
      <s:c r="A22269" s="120" t="inlineStr"/>
      <s:c r="B22269" s="121" t="n"/>
      <s:c r="C22269" s="121" t="n"/>
      <s:c r="D22269" s="121" t="n"/>
      <s:c r="E22269" s="122" t="n"/>
    </s:row>
    <s:row r="22270" hidden="1" ht="1" customHeight="1">
      <s:c r="A22270" s="120" t="inlineStr"/>
      <s:c r="B22270" s="121" t="n"/>
      <s:c r="C22270" s="121" t="n"/>
      <s:c r="D22270" s="121" t="n"/>
      <s:c r="E22270" s="122" t="n"/>
    </s:row>
    <s:row r="22271" hidden="1" ht="1" customHeight="1">
      <s:c r="A22271" s="120" t="inlineStr"/>
      <s:c r="B22271" s="121" t="n"/>
      <s:c r="C22271" s="121" t="n"/>
      <s:c r="D22271" s="121" t="n"/>
      <s:c r="E22271" s="122" t="n"/>
    </s:row>
    <s:row r="22272" hidden="1" ht="1" customHeight="1">
      <s:c r="A22272" s="120" t="inlineStr"/>
      <s:c r="B22272" s="121" t="n"/>
      <s:c r="C22272" s="121" t="n"/>
      <s:c r="D22272" s="121" t="n"/>
      <s:c r="E22272" s="122" t="n"/>
    </s:row>
    <s:row r="22273" hidden="1" ht="1" customHeight="1">
      <s:c r="A22273" s="120" t="inlineStr"/>
      <s:c r="B22273" s="121" t="n"/>
      <s:c r="C22273" s="121" t="n"/>
      <s:c r="D22273" s="121" t="n"/>
      <s:c r="E22273" s="122" t="n"/>
    </s:row>
    <s:row r="22274" hidden="1" ht="1" customHeight="1">
      <s:c r="A22274" s="120" t="inlineStr"/>
      <s:c r="B22274" s="121" t="n"/>
      <s:c r="C22274" s="121" t="n"/>
      <s:c r="D22274" s="121" t="n"/>
      <s:c r="E22274" s="122" t="n"/>
    </s:row>
    <s:row r="22275" hidden="1" ht="1" customHeight="1">
      <s:c r="A22275" s="120" t="inlineStr"/>
      <s:c r="B22275" s="121" t="n"/>
      <s:c r="C22275" s="121" t="n"/>
      <s:c r="D22275" s="121" t="n"/>
      <s:c r="E22275" s="122" t="n"/>
    </s:row>
    <s:row r="22276" hidden="1" ht="1" customHeight="1">
      <s:c r="A22276" s="120" t="inlineStr"/>
      <s:c r="B22276" s="121" t="n"/>
      <s:c r="C22276" s="121" t="n"/>
      <s:c r="D22276" s="121" t="n"/>
      <s:c r="E22276" s="122" t="n"/>
    </s:row>
    <s:row r="22277" hidden="1" ht="1" customHeight="1">
      <s:c r="A22277" s="120" t="inlineStr"/>
      <s:c r="B22277" s="121" t="n"/>
      <s:c r="C22277" s="121" t="n"/>
      <s:c r="D22277" s="121" t="n"/>
      <s:c r="E22277" s="122" t="n"/>
    </s:row>
    <s:row r="22278" hidden="1" ht="1" customHeight="1">
      <s:c r="A22278" s="120" t="inlineStr"/>
      <s:c r="B22278" s="121" t="n"/>
      <s:c r="C22278" s="121" t="n"/>
      <s:c r="D22278" s="121" t="n"/>
      <s:c r="E22278" s="122" t="n"/>
    </s:row>
    <s:row r="22279" hidden="1" ht="1" customHeight="1">
      <s:c r="A22279" s="120" t="inlineStr"/>
      <s:c r="B22279" s="121" t="n"/>
      <s:c r="C22279" s="121" t="n"/>
      <s:c r="D22279" s="121" t="n"/>
      <s:c r="E22279" s="122" t="n"/>
    </s:row>
    <s:row r="22280" hidden="1" ht="1" customHeight="1">
      <s:c r="A22280" s="120" t="inlineStr"/>
      <s:c r="B22280" s="121" t="n"/>
      <s:c r="C22280" s="121" t="n"/>
      <s:c r="D22280" s="121" t="n"/>
      <s:c r="E22280" s="122" t="n"/>
    </s:row>
    <s:row r="22281" hidden="1" ht="1" customHeight="1">
      <s:c r="A22281" s="120" t="inlineStr"/>
      <s:c r="B22281" s="121" t="n"/>
      <s:c r="C22281" s="121" t="n"/>
      <s:c r="D22281" s="121" t="n"/>
      <s:c r="E22281" s="122" t="n"/>
    </s:row>
    <s:row r="22282" hidden="1" ht="1" customHeight="1">
      <s:c r="A22282" s="120" t="inlineStr"/>
      <s:c r="B22282" s="121" t="n"/>
      <s:c r="C22282" s="121" t="n"/>
      <s:c r="D22282" s="121" t="n"/>
      <s:c r="E22282" s="122" t="n"/>
    </s:row>
    <s:row r="22283" hidden="1" ht="1" customHeight="1">
      <s:c r="A22283" s="120" t="inlineStr"/>
      <s:c r="B22283" s="121" t="n"/>
      <s:c r="C22283" s="121" t="n"/>
      <s:c r="D22283" s="121" t="n"/>
      <s:c r="E22283" s="122" t="n"/>
    </s:row>
    <s:row r="22284" hidden="1" ht="1" customHeight="1">
      <s:c r="A22284" s="120" t="inlineStr"/>
      <s:c r="B22284" s="121" t="n"/>
      <s:c r="C22284" s="121" t="n"/>
      <s:c r="D22284" s="121" t="n"/>
      <s:c r="E22284" s="122" t="n"/>
    </s:row>
    <s:row r="22285" hidden="1" ht="1" customHeight="1">
      <s:c r="A22285" s="120" t="inlineStr"/>
      <s:c r="B22285" s="121" t="n"/>
      <s:c r="C22285" s="121" t="n"/>
      <s:c r="D22285" s="121" t="n"/>
      <s:c r="E22285" s="122" t="n"/>
    </s:row>
    <s:row r="22286" hidden="1" ht="1" customHeight="1">
      <s:c r="A22286" s="120" t="inlineStr"/>
      <s:c r="B22286" s="121" t="n"/>
      <s:c r="C22286" s="121" t="n"/>
      <s:c r="D22286" s="121" t="n"/>
      <s:c r="E22286" s="122" t="n"/>
    </s:row>
    <s:row r="22287" hidden="1" ht="1" customHeight="1">
      <s:c r="A22287" s="120" t="inlineStr"/>
      <s:c r="B22287" s="121" t="n"/>
      <s:c r="C22287" s="121" t="n"/>
      <s:c r="D22287" s="121" t="n"/>
      <s:c r="E22287" s="122" t="n"/>
    </s:row>
    <s:row r="22288" hidden="1" ht="1" customHeight="1">
      <s:c r="A22288" s="120" t="inlineStr"/>
      <s:c r="B22288" s="121" t="n"/>
      <s:c r="C22288" s="121" t="n"/>
      <s:c r="D22288" s="121" t="n"/>
      <s:c r="E22288" s="122" t="n"/>
    </s:row>
    <s:row r="22289" hidden="1" ht="1" customHeight="1">
      <s:c r="A22289" s="120" t="inlineStr"/>
      <s:c r="B22289" s="121" t="n"/>
      <s:c r="C22289" s="121" t="n"/>
      <s:c r="D22289" s="121" t="n"/>
      <s:c r="E22289" s="122" t="n"/>
    </s:row>
    <s:row r="22290" hidden="1" ht="1" customHeight="1">
      <s:c r="A22290" s="120" t="inlineStr"/>
      <s:c r="B22290" s="121" t="n"/>
      <s:c r="C22290" s="121" t="n"/>
      <s:c r="D22290" s="121" t="n"/>
      <s:c r="E22290" s="122" t="n"/>
    </s:row>
    <s:row r="22291" hidden="1" ht="1" customHeight="1">
      <s:c r="A22291" s="120" t="inlineStr"/>
      <s:c r="B22291" s="121" t="n"/>
      <s:c r="C22291" s="121" t="n"/>
      <s:c r="D22291" s="121" t="n"/>
      <s:c r="E22291" s="122" t="n"/>
    </s:row>
    <s:row r="22292" hidden="1" ht="1" customHeight="1">
      <s:c r="A22292" s="120" t="inlineStr"/>
      <s:c r="B22292" s="121" t="n"/>
      <s:c r="C22292" s="121" t="n"/>
      <s:c r="D22292" s="121" t="n"/>
      <s:c r="E22292" s="122" t="n"/>
    </s:row>
    <s:row r="22293" hidden="1" ht="1" customHeight="1">
      <s:c r="A22293" s="120" t="inlineStr"/>
      <s:c r="B22293" s="121" t="n"/>
      <s:c r="C22293" s="121" t="n"/>
      <s:c r="D22293" s="121" t="n"/>
      <s:c r="E22293" s="122" t="n"/>
    </s:row>
    <s:row r="22294" hidden="1" ht="1" customHeight="1">
      <s:c r="A22294" s="120" t="inlineStr"/>
      <s:c r="B22294" s="121" t="n"/>
      <s:c r="C22294" s="121" t="n"/>
      <s:c r="D22294" s="121" t="n"/>
      <s:c r="E22294" s="122" t="n"/>
    </s:row>
    <s:row r="22295" hidden="1" ht="1" customHeight="1">
      <s:c r="A22295" s="120" t="inlineStr"/>
      <s:c r="B22295" s="121" t="n"/>
      <s:c r="C22295" s="121" t="n"/>
      <s:c r="D22295" s="121" t="n"/>
      <s:c r="E22295" s="122" t="n"/>
    </s:row>
    <s:row r="22296" hidden="1" ht="1" customHeight="1">
      <s:c r="A22296" s="120" t="inlineStr"/>
      <s:c r="B22296" s="121" t="n"/>
      <s:c r="C22296" s="121" t="n"/>
      <s:c r="D22296" s="121" t="n"/>
      <s:c r="E22296" s="122" t="n"/>
    </s:row>
    <s:row r="22297" hidden="1" ht="1" customHeight="1">
      <s:c r="A22297" s="120" t="inlineStr"/>
      <s:c r="B22297" s="121" t="n"/>
      <s:c r="C22297" s="121" t="n"/>
      <s:c r="D22297" s="121" t="n"/>
      <s:c r="E22297" s="122" t="n"/>
    </s:row>
    <s:row r="22298" hidden="1" ht="1" customHeight="1">
      <s:c r="A22298" s="120" t="inlineStr"/>
      <s:c r="B22298" s="121" t="n"/>
      <s:c r="C22298" s="121" t="n"/>
      <s:c r="D22298" s="121" t="n"/>
      <s:c r="E22298" s="122" t="n"/>
    </s:row>
    <s:row r="22299" hidden="1" ht="1" customHeight="1">
      <s:c r="A22299" s="120" t="inlineStr"/>
      <s:c r="B22299" s="121" t="n"/>
      <s:c r="C22299" s="121" t="n"/>
      <s:c r="D22299" s="121" t="n"/>
      <s:c r="E22299" s="122" t="n"/>
    </s:row>
    <s:row r="22300" hidden="1" ht="1" customHeight="1">
      <s:c r="A22300" s="120" t="inlineStr"/>
      <s:c r="B22300" s="121" t="n"/>
      <s:c r="C22300" s="121" t="n"/>
      <s:c r="D22300" s="121" t="n"/>
      <s:c r="E22300" s="122" t="n"/>
    </s:row>
    <s:row r="22301" hidden="1" ht="1" customHeight="1">
      <s:c r="A22301" s="120" t="inlineStr"/>
      <s:c r="B22301" s="121" t="n"/>
      <s:c r="C22301" s="121" t="n"/>
      <s:c r="D22301" s="121" t="n"/>
      <s:c r="E22301" s="122" t="n"/>
    </s:row>
    <s:row r="22302" hidden="1" ht="1" customHeight="1">
      <s:c r="A22302" s="120" t="inlineStr"/>
      <s:c r="B22302" s="121" t="n"/>
      <s:c r="C22302" s="121" t="n"/>
      <s:c r="D22302" s="121" t="n"/>
      <s:c r="E22302" s="122" t="n"/>
    </s:row>
    <s:row r="22303" hidden="1" ht="1" customHeight="1">
      <s:c r="A22303" s="120" t="inlineStr"/>
      <s:c r="B22303" s="121" t="n"/>
      <s:c r="C22303" s="121" t="n"/>
      <s:c r="D22303" s="121" t="n"/>
      <s:c r="E22303" s="122" t="n"/>
    </s:row>
    <s:row r="22304" hidden="1" ht="1" customHeight="1">
      <s:c r="A22304" s="120" t="inlineStr"/>
      <s:c r="B22304" s="121" t="n"/>
      <s:c r="C22304" s="121" t="n"/>
      <s:c r="D22304" s="121" t="n"/>
      <s:c r="E22304" s="122" t="n"/>
    </s:row>
    <s:row r="22305" hidden="1" ht="1" customHeight="1">
      <s:c r="A22305" s="120" t="inlineStr"/>
      <s:c r="B22305" s="121" t="n"/>
      <s:c r="C22305" s="121" t="n"/>
      <s:c r="D22305" s="121" t="n"/>
      <s:c r="E22305" s="122" t="n"/>
    </s:row>
    <s:row r="22306" hidden="1" ht="1" customHeight="1">
      <s:c r="A22306" s="120" t="inlineStr"/>
      <s:c r="B22306" s="121" t="n"/>
      <s:c r="C22306" s="121" t="n"/>
      <s:c r="D22306" s="121" t="n"/>
      <s:c r="E22306" s="122" t="n"/>
    </s:row>
    <s:row r="22307" hidden="1" ht="1" customHeight="1">
      <s:c r="A22307" s="120" t="inlineStr"/>
      <s:c r="B22307" s="121" t="n"/>
      <s:c r="C22307" s="121" t="n"/>
      <s:c r="D22307" s="121" t="n"/>
      <s:c r="E22307" s="122" t="n"/>
    </s:row>
    <s:row r="22308" hidden="1" ht="1" customHeight="1">
      <s:c r="A22308" s="120" t="inlineStr"/>
      <s:c r="B22308" s="121" t="n"/>
      <s:c r="C22308" s="121" t="n"/>
      <s:c r="D22308" s="121" t="n"/>
      <s:c r="E22308" s="122" t="n"/>
    </s:row>
    <s:row r="22309" hidden="1" ht="1" customHeight="1">
      <s:c r="A22309" s="120" t="inlineStr"/>
      <s:c r="B22309" s="121" t="n"/>
      <s:c r="C22309" s="121" t="n"/>
      <s:c r="D22309" s="121" t="n"/>
      <s:c r="E22309" s="122" t="n"/>
    </s:row>
    <s:row r="22310" hidden="1" ht="1" customHeight="1">
      <s:c r="A22310" s="120" t="inlineStr"/>
      <s:c r="B22310" s="121" t="n"/>
      <s:c r="C22310" s="121" t="n"/>
      <s:c r="D22310" s="121" t="n"/>
      <s:c r="E22310" s="122" t="n"/>
    </s:row>
    <s:row r="22311" hidden="1" ht="1" customHeight="1">
      <s:c r="A22311" s="120" t="inlineStr"/>
      <s:c r="B22311" s="121" t="n"/>
      <s:c r="C22311" s="121" t="n"/>
      <s:c r="D22311" s="121" t="n"/>
      <s:c r="E22311" s="122" t="n"/>
    </s:row>
    <s:row r="22312" hidden="1" ht="1" customHeight="1">
      <s:c r="A22312" s="120" t="inlineStr"/>
      <s:c r="B22312" s="121" t="n"/>
      <s:c r="C22312" s="121" t="n"/>
      <s:c r="D22312" s="121" t="n"/>
      <s:c r="E22312" s="122" t="n"/>
    </s:row>
    <s:row r="22313" hidden="1" ht="1" customHeight="1">
      <s:c r="A22313" s="120" t="inlineStr"/>
      <s:c r="B22313" s="121" t="n"/>
      <s:c r="C22313" s="121" t="n"/>
      <s:c r="D22313" s="121" t="n"/>
      <s:c r="E22313" s="122" t="n"/>
    </s:row>
    <s:row r="22314" hidden="1" ht="1" customHeight="1">
      <s:c r="A22314" s="120" t="inlineStr"/>
      <s:c r="B22314" s="121" t="n"/>
      <s:c r="C22314" s="121" t="n"/>
      <s:c r="D22314" s="121" t="n"/>
      <s:c r="E22314" s="122" t="n"/>
    </s:row>
    <s:row r="22315" hidden="1" ht="1" customHeight="1">
      <s:c r="A22315" s="120" t="inlineStr"/>
      <s:c r="B22315" s="121" t="n"/>
      <s:c r="C22315" s="121" t="n"/>
      <s:c r="D22315" s="121" t="n"/>
      <s:c r="E22315" s="122" t="n"/>
    </s:row>
    <s:row r="22316" hidden="1" ht="1" customHeight="1">
      <s:c r="A22316" s="120" t="inlineStr"/>
      <s:c r="B22316" s="121" t="n"/>
      <s:c r="C22316" s="121" t="n"/>
      <s:c r="D22316" s="121" t="n"/>
      <s:c r="E22316" s="122" t="n"/>
    </s:row>
    <s:row r="22317" hidden="1" ht="1" customHeight="1">
      <s:c r="A22317" s="120" t="inlineStr"/>
      <s:c r="B22317" s="121" t="n"/>
      <s:c r="C22317" s="121" t="n"/>
      <s:c r="D22317" s="121" t="n"/>
      <s:c r="E22317" s="122" t="n"/>
    </s:row>
    <s:row r="22318" hidden="1" ht="1" customHeight="1">
      <s:c r="A22318" s="120" t="inlineStr"/>
      <s:c r="B22318" s="121" t="n"/>
      <s:c r="C22318" s="121" t="n"/>
      <s:c r="D22318" s="121" t="n"/>
      <s:c r="E22318" s="122" t="n"/>
    </s:row>
    <s:row r="22319" hidden="1" ht="1" customHeight="1">
      <s:c r="A22319" s="120" t="inlineStr"/>
      <s:c r="B22319" s="121" t="n"/>
      <s:c r="C22319" s="121" t="n"/>
      <s:c r="D22319" s="121" t="n"/>
      <s:c r="E22319" s="122" t="n"/>
    </s:row>
    <s:row r="22320" hidden="1" ht="1" customHeight="1">
      <s:c r="A22320" s="120" t="inlineStr"/>
      <s:c r="B22320" s="121" t="n"/>
      <s:c r="C22320" s="121" t="n"/>
      <s:c r="D22320" s="121" t="n"/>
      <s:c r="E22320" s="122" t="n"/>
    </s:row>
    <s:row r="22321" hidden="1" ht="1" customHeight="1">
      <s:c r="A22321" s="120" t="inlineStr"/>
      <s:c r="B22321" s="121" t="n"/>
      <s:c r="C22321" s="121" t="n"/>
      <s:c r="D22321" s="121" t="n"/>
      <s:c r="E22321" s="122" t="n"/>
    </s:row>
    <s:row r="22322" hidden="1" ht="1" customHeight="1">
      <s:c r="A22322" s="120" t="inlineStr"/>
      <s:c r="B22322" s="121" t="n"/>
      <s:c r="C22322" s="121" t="n"/>
      <s:c r="D22322" s="121" t="n"/>
      <s:c r="E22322" s="122" t="n"/>
    </s:row>
    <s:row r="22323" hidden="1" ht="1" customHeight="1">
      <s:c r="A22323" s="120" t="inlineStr"/>
      <s:c r="B22323" s="121" t="n"/>
      <s:c r="C22323" s="121" t="n"/>
      <s:c r="D22323" s="121" t="n"/>
      <s:c r="E22323" s="122" t="n"/>
    </s:row>
    <s:row r="22324" hidden="1" ht="1" customHeight="1">
      <s:c r="A22324" s="120" t="inlineStr"/>
      <s:c r="B22324" s="121" t="n"/>
      <s:c r="C22324" s="121" t="n"/>
      <s:c r="D22324" s="121" t="n"/>
      <s:c r="E22324" s="122" t="n"/>
    </s:row>
    <s:row r="22325" hidden="1" ht="1" customHeight="1">
      <s:c r="A22325" s="120" t="inlineStr"/>
      <s:c r="B22325" s="121" t="n"/>
      <s:c r="C22325" s="121" t="n"/>
      <s:c r="D22325" s="121" t="n"/>
      <s:c r="E22325" s="122" t="n"/>
    </s:row>
    <s:row r="22326" hidden="1" ht="1" customHeight="1">
      <s:c r="A22326" s="120" t="inlineStr"/>
      <s:c r="B22326" s="121" t="n"/>
      <s:c r="C22326" s="121" t="n"/>
      <s:c r="D22326" s="121" t="n"/>
      <s:c r="E22326" s="122" t="n"/>
    </s:row>
    <s:row r="22327" hidden="1" ht="1" customHeight="1">
      <s:c r="A22327" s="120" t="inlineStr"/>
      <s:c r="B22327" s="121" t="n"/>
      <s:c r="C22327" s="121" t="n"/>
      <s:c r="D22327" s="121" t="n"/>
      <s:c r="E22327" s="122" t="n"/>
    </s:row>
    <s:row r="22328" hidden="1" ht="1" customHeight="1">
      <s:c r="A22328" s="120" t="inlineStr"/>
      <s:c r="B22328" s="121" t="n"/>
      <s:c r="C22328" s="121" t="n"/>
      <s:c r="D22328" s="121" t="n"/>
      <s:c r="E22328" s="122" t="n"/>
    </s:row>
    <s:row r="22329" hidden="1" ht="1" customHeight="1">
      <s:c r="A22329" s="120" t="inlineStr"/>
      <s:c r="B22329" s="121" t="n"/>
      <s:c r="C22329" s="121" t="n"/>
      <s:c r="D22329" s="121" t="n"/>
      <s:c r="E22329" s="122" t="n"/>
    </s:row>
    <s:row r="22330" hidden="1" ht="1" customHeight="1">
      <s:c r="A22330" s="120" t="inlineStr"/>
      <s:c r="B22330" s="121" t="n"/>
      <s:c r="C22330" s="121" t="n"/>
      <s:c r="D22330" s="121" t="n"/>
      <s:c r="E22330" s="122" t="n"/>
    </s:row>
    <s:row r="22331" hidden="1" ht="1" customHeight="1">
      <s:c r="A22331" s="120" t="inlineStr"/>
      <s:c r="B22331" s="121" t="n"/>
      <s:c r="C22331" s="121" t="n"/>
      <s:c r="D22331" s="121" t="n"/>
      <s:c r="E22331" s="122" t="n"/>
    </s:row>
    <s:row r="22332" hidden="1" ht="1" customHeight="1">
      <s:c r="A22332" s="120" t="inlineStr"/>
      <s:c r="B22332" s="121" t="n"/>
      <s:c r="C22332" s="121" t="n"/>
      <s:c r="D22332" s="121" t="n"/>
      <s:c r="E22332" s="122" t="n"/>
    </s:row>
    <s:row r="22333" hidden="1" ht="1" customHeight="1">
      <s:c r="A22333" s="120" t="inlineStr"/>
      <s:c r="B22333" s="121" t="n"/>
      <s:c r="C22333" s="121" t="n"/>
      <s:c r="D22333" s="121" t="n"/>
      <s:c r="E22333" s="122" t="n"/>
    </s:row>
    <s:row r="22334" hidden="1" ht="1" customHeight="1">
      <s:c r="A22334" s="120" t="inlineStr"/>
      <s:c r="B22334" s="121" t="n"/>
      <s:c r="C22334" s="121" t="n"/>
      <s:c r="D22334" s="121" t="n"/>
      <s:c r="E22334" s="122" t="n"/>
    </s:row>
    <s:row r="22335" hidden="1" ht="1" customHeight="1">
      <s:c r="A22335" s="120" t="inlineStr"/>
      <s:c r="B22335" s="121" t="n"/>
      <s:c r="C22335" s="121" t="n"/>
      <s:c r="D22335" s="121" t="n"/>
      <s:c r="E22335" s="122" t="n"/>
    </s:row>
    <s:row r="22336" hidden="1" ht="1" customHeight="1">
      <s:c r="A22336" s="120" t="inlineStr"/>
      <s:c r="B22336" s="121" t="n"/>
      <s:c r="C22336" s="121" t="n"/>
      <s:c r="D22336" s="121" t="n"/>
      <s:c r="E22336" s="122" t="n"/>
    </s:row>
    <s:row r="22337" hidden="1" ht="1" customHeight="1">
      <s:c r="A22337" s="120" t="inlineStr"/>
      <s:c r="B22337" s="121" t="n"/>
      <s:c r="C22337" s="121" t="n"/>
      <s:c r="D22337" s="121" t="n"/>
      <s:c r="E22337" s="122" t="n"/>
    </s:row>
    <s:row r="22338" hidden="1" ht="1" customHeight="1">
      <s:c r="A22338" s="120" t="inlineStr"/>
      <s:c r="B22338" s="121" t="n"/>
      <s:c r="C22338" s="121" t="n"/>
      <s:c r="D22338" s="121" t="n"/>
      <s:c r="E22338" s="122" t="n"/>
    </s:row>
    <s:row r="22339" hidden="1" ht="1" customHeight="1">
      <s:c r="A22339" s="120" t="inlineStr"/>
      <s:c r="B22339" s="121" t="n"/>
      <s:c r="C22339" s="121" t="n"/>
      <s:c r="D22339" s="121" t="n"/>
      <s:c r="E22339" s="122" t="n"/>
    </s:row>
    <s:row r="22340" hidden="1" ht="1" customHeight="1">
      <s:c r="A22340" s="120" t="inlineStr"/>
      <s:c r="B22340" s="121" t="n"/>
      <s:c r="C22340" s="121" t="n"/>
      <s:c r="D22340" s="121" t="n"/>
      <s:c r="E22340" s="122" t="n"/>
    </s:row>
    <s:row r="22341" hidden="1" ht="1" customHeight="1">
      <s:c r="A22341" s="120" t="inlineStr"/>
      <s:c r="B22341" s="121" t="n"/>
      <s:c r="C22341" s="121" t="n"/>
      <s:c r="D22341" s="121" t="n"/>
      <s:c r="E22341" s="122" t="n"/>
    </s:row>
    <s:row r="22342" hidden="1" ht="1" customHeight="1">
      <s:c r="A22342" s="120" t="inlineStr"/>
      <s:c r="B22342" s="121" t="n"/>
      <s:c r="C22342" s="121" t="n"/>
      <s:c r="D22342" s="121" t="n"/>
      <s:c r="E22342" s="122" t="n"/>
    </s:row>
    <s:row r="22343" hidden="1" ht="1" customHeight="1">
      <s:c r="A22343" s="120" t="inlineStr"/>
      <s:c r="B22343" s="121" t="n"/>
      <s:c r="C22343" s="121" t="n"/>
      <s:c r="D22343" s="121" t="n"/>
      <s:c r="E22343" s="122" t="n"/>
    </s:row>
    <s:row r="22344" hidden="1" ht="1" customHeight="1">
      <s:c r="A22344" s="120" t="inlineStr"/>
      <s:c r="B22344" s="121" t="n"/>
      <s:c r="C22344" s="121" t="n"/>
      <s:c r="D22344" s="121" t="n"/>
      <s:c r="E22344" s="122" t="n"/>
    </s:row>
    <s:row r="22345" hidden="1" ht="1" customHeight="1">
      <s:c r="A22345" s="120" t="inlineStr"/>
      <s:c r="B22345" s="121" t="n"/>
      <s:c r="C22345" s="121" t="n"/>
      <s:c r="D22345" s="121" t="n"/>
      <s:c r="E22345" s="122" t="n"/>
    </s:row>
    <s:row r="22346" hidden="1" ht="1" customHeight="1">
      <s:c r="A22346" s="120" t="inlineStr"/>
      <s:c r="B22346" s="121" t="n"/>
      <s:c r="C22346" s="121" t="n"/>
      <s:c r="D22346" s="121" t="n"/>
      <s:c r="E22346" s="122" t="n"/>
    </s:row>
    <s:row r="22347" hidden="1" ht="1" customHeight="1">
      <s:c r="A22347" s="120" t="inlineStr"/>
      <s:c r="B22347" s="121" t="n"/>
      <s:c r="C22347" s="121" t="n"/>
      <s:c r="D22347" s="121" t="n"/>
      <s:c r="E22347" s="122" t="n"/>
    </s:row>
    <s:row r="22348" hidden="1" ht="1" customHeight="1">
      <s:c r="A22348" s="120" t="inlineStr"/>
      <s:c r="B22348" s="121" t="n"/>
      <s:c r="C22348" s="121" t="n"/>
      <s:c r="D22348" s="121" t="n"/>
      <s:c r="E22348" s="122" t="n"/>
    </s:row>
    <s:row r="22349" hidden="1" ht="1" customHeight="1">
      <s:c r="A22349" s="120" t="inlineStr"/>
      <s:c r="B22349" s="121" t="n"/>
      <s:c r="C22349" s="121" t="n"/>
      <s:c r="D22349" s="121" t="n"/>
      <s:c r="E22349" s="122" t="n"/>
    </s:row>
    <s:row r="22350" hidden="1" ht="1" customHeight="1">
      <s:c r="A22350" s="120" t="inlineStr"/>
      <s:c r="B22350" s="121" t="n"/>
      <s:c r="C22350" s="121" t="n"/>
      <s:c r="D22350" s="121" t="n"/>
      <s:c r="E22350" s="122" t="n"/>
    </s:row>
    <s:row r="22351" hidden="1" ht="1" customHeight="1">
      <s:c r="A22351" s="120" t="inlineStr"/>
      <s:c r="B22351" s="121" t="n"/>
      <s:c r="C22351" s="121" t="n"/>
      <s:c r="D22351" s="121" t="n"/>
      <s:c r="E22351" s="122" t="n"/>
    </s:row>
    <s:row r="22352" hidden="1" ht="1" customHeight="1">
      <s:c r="A22352" s="120" t="inlineStr"/>
      <s:c r="B22352" s="121" t="n"/>
      <s:c r="C22352" s="121" t="n"/>
      <s:c r="D22352" s="121" t="n"/>
      <s:c r="E22352" s="122" t="n"/>
    </s:row>
    <s:row r="22353" hidden="1" ht="1" customHeight="1">
      <s:c r="A22353" s="120" t="inlineStr"/>
      <s:c r="B22353" s="121" t="n"/>
      <s:c r="C22353" s="121" t="n"/>
      <s:c r="D22353" s="121" t="n"/>
      <s:c r="E22353" s="122" t="n"/>
    </s:row>
    <s:row r="22354" hidden="1" ht="1" customHeight="1">
      <s:c r="A22354" s="120" t="inlineStr"/>
      <s:c r="B22354" s="121" t="n"/>
      <s:c r="C22354" s="121" t="n"/>
      <s:c r="D22354" s="121" t="n"/>
      <s:c r="E22354" s="122" t="n"/>
    </s:row>
    <s:row r="22355" hidden="1" ht="1" customHeight="1">
      <s:c r="A22355" s="120" t="inlineStr"/>
      <s:c r="B22355" s="121" t="n"/>
      <s:c r="C22355" s="121" t="n"/>
      <s:c r="D22355" s="121" t="n"/>
      <s:c r="E22355" s="122" t="n"/>
    </s:row>
    <s:row r="22356" hidden="1" ht="1" customHeight="1">
      <s:c r="A22356" s="120" t="inlineStr"/>
      <s:c r="B22356" s="121" t="n"/>
      <s:c r="C22356" s="121" t="n"/>
      <s:c r="D22356" s="121" t="n"/>
      <s:c r="E22356" s="122" t="n"/>
    </s:row>
    <s:row r="22357" hidden="1" ht="1" customHeight="1">
      <s:c r="A22357" s="120" t="inlineStr"/>
      <s:c r="B22357" s="121" t="n"/>
      <s:c r="C22357" s="121" t="n"/>
      <s:c r="D22357" s="121" t="n"/>
      <s:c r="E22357" s="122" t="n"/>
    </s:row>
    <s:row r="22358" hidden="1" ht="1" customHeight="1">
      <s:c r="A22358" s="120" t="inlineStr"/>
      <s:c r="B22358" s="121" t="n"/>
      <s:c r="C22358" s="121" t="n"/>
      <s:c r="D22358" s="121" t="n"/>
      <s:c r="E22358" s="122" t="n"/>
    </s:row>
    <s:row r="22359" hidden="1" ht="1" customHeight="1">
      <s:c r="A22359" s="120" t="inlineStr"/>
      <s:c r="B22359" s="121" t="n"/>
      <s:c r="C22359" s="121" t="n"/>
      <s:c r="D22359" s="121" t="n"/>
      <s:c r="E22359" s="122" t="n"/>
    </s:row>
    <s:row r="22360" hidden="1" ht="1" customHeight="1">
      <s:c r="A22360" s="120" t="inlineStr"/>
      <s:c r="B22360" s="121" t="n"/>
      <s:c r="C22360" s="121" t="n"/>
      <s:c r="D22360" s="121" t="n"/>
      <s:c r="E22360" s="122" t="n"/>
    </s:row>
    <s:row r="22361" hidden="1" ht="1" customHeight="1">
      <s:c r="A22361" s="120" t="inlineStr"/>
      <s:c r="B22361" s="121" t="n"/>
      <s:c r="C22361" s="121" t="n"/>
      <s:c r="D22361" s="121" t="n"/>
      <s:c r="E22361" s="122" t="n"/>
    </s:row>
    <s:row r="22362" hidden="1" ht="1" customHeight="1">
      <s:c r="A22362" s="120" t="inlineStr"/>
      <s:c r="B22362" s="121" t="n"/>
      <s:c r="C22362" s="121" t="n"/>
      <s:c r="D22362" s="121" t="n"/>
      <s:c r="E22362" s="122" t="n"/>
    </s:row>
    <s:row r="22363" hidden="1" ht="1" customHeight="1">
      <s:c r="A22363" s="120" t="inlineStr"/>
      <s:c r="B22363" s="121" t="n"/>
      <s:c r="C22363" s="121" t="n"/>
      <s:c r="D22363" s="121" t="n"/>
      <s:c r="E22363" s="122" t="n"/>
    </s:row>
    <s:row r="22364" hidden="1" ht="1" customHeight="1">
      <s:c r="A22364" s="120" t="inlineStr"/>
      <s:c r="B22364" s="121" t="n"/>
      <s:c r="C22364" s="121" t="n"/>
      <s:c r="D22364" s="121" t="n"/>
      <s:c r="E22364" s="122" t="n"/>
    </s:row>
    <s:row r="22365" hidden="1" ht="1" customHeight="1">
      <s:c r="A22365" s="120" t="inlineStr"/>
      <s:c r="B22365" s="121" t="n"/>
      <s:c r="C22365" s="121" t="n"/>
      <s:c r="D22365" s="121" t="n"/>
      <s:c r="E22365" s="122" t="n"/>
    </s:row>
    <s:row r="22366" hidden="1" ht="1" customHeight="1">
      <s:c r="A22366" s="120" t="inlineStr"/>
      <s:c r="B22366" s="121" t="n"/>
      <s:c r="C22366" s="121" t="n"/>
      <s:c r="D22366" s="121" t="n"/>
      <s:c r="E22366" s="122" t="n"/>
    </s:row>
    <s:row r="22367" hidden="1" ht="1" customHeight="1">
      <s:c r="A22367" s="120" t="inlineStr"/>
      <s:c r="B22367" s="121" t="n"/>
      <s:c r="C22367" s="121" t="n"/>
      <s:c r="D22367" s="121" t="n"/>
      <s:c r="E22367" s="122" t="n"/>
    </s:row>
    <s:row r="22368" hidden="1" ht="1" customHeight="1">
      <s:c r="A22368" s="120" t="inlineStr"/>
      <s:c r="B22368" s="121" t="n"/>
      <s:c r="C22368" s="121" t="n"/>
      <s:c r="D22368" s="121" t="n"/>
      <s:c r="E22368" s="122" t="n"/>
    </s:row>
    <s:row r="22369" hidden="1" ht="1" customHeight="1">
      <s:c r="A22369" s="120" t="inlineStr"/>
      <s:c r="B22369" s="121" t="n"/>
      <s:c r="C22369" s="121" t="n"/>
      <s:c r="D22369" s="121" t="n"/>
      <s:c r="E22369" s="122" t="n"/>
    </s:row>
    <s:row r="22370" hidden="1" ht="1" customHeight="1">
      <s:c r="A22370" s="120" t="inlineStr"/>
      <s:c r="B22370" s="121" t="n"/>
      <s:c r="C22370" s="121" t="n"/>
      <s:c r="D22370" s="121" t="n"/>
      <s:c r="E22370" s="122" t="n"/>
    </s:row>
    <s:row r="22371" hidden="1" ht="1" customHeight="1">
      <s:c r="A22371" s="120" t="inlineStr"/>
      <s:c r="B22371" s="121" t="n"/>
      <s:c r="C22371" s="121" t="n"/>
      <s:c r="D22371" s="121" t="n"/>
      <s:c r="E22371" s="122" t="n"/>
    </s:row>
    <s:row r="22372" hidden="1" ht="1" customHeight="1">
      <s:c r="A22372" s="120" t="inlineStr"/>
      <s:c r="B22372" s="121" t="n"/>
      <s:c r="C22372" s="121" t="n"/>
      <s:c r="D22372" s="121" t="n"/>
      <s:c r="E22372" s="122" t="n"/>
    </s:row>
    <s:row r="22373" hidden="1" ht="1" customHeight="1">
      <s:c r="A22373" s="120" t="inlineStr"/>
      <s:c r="B22373" s="121" t="n"/>
      <s:c r="C22373" s="121" t="n"/>
      <s:c r="D22373" s="121" t="n"/>
      <s:c r="E22373" s="122" t="n"/>
    </s:row>
    <s:row r="22374" hidden="1" ht="1" customHeight="1">
      <s:c r="A22374" s="120" t="inlineStr"/>
      <s:c r="B22374" s="121" t="n"/>
      <s:c r="C22374" s="121" t="n"/>
      <s:c r="D22374" s="121" t="n"/>
      <s:c r="E22374" s="122" t="n"/>
    </s:row>
    <s:row r="22375" hidden="1" ht="1" customHeight="1">
      <s:c r="A22375" s="120" t="inlineStr"/>
      <s:c r="B22375" s="121" t="n"/>
      <s:c r="C22375" s="121" t="n"/>
      <s:c r="D22375" s="121" t="n"/>
      <s:c r="E22375" s="122" t="n"/>
    </s:row>
    <s:row r="22376" hidden="1" ht="1" customHeight="1">
      <s:c r="A22376" s="120" t="inlineStr"/>
      <s:c r="B22376" s="121" t="n"/>
      <s:c r="C22376" s="121" t="n"/>
      <s:c r="D22376" s="121" t="n"/>
      <s:c r="E22376" s="122" t="n"/>
    </s:row>
    <s:row r="22377" hidden="1" ht="1" customHeight="1">
      <s:c r="A22377" s="120" t="inlineStr"/>
      <s:c r="B22377" s="121" t="n"/>
      <s:c r="C22377" s="121" t="n"/>
      <s:c r="D22377" s="121" t="n"/>
      <s:c r="E22377" s="122" t="n"/>
    </s:row>
    <s:row r="22378" hidden="1" ht="1" customHeight="1">
      <s:c r="A22378" s="120" t="inlineStr"/>
      <s:c r="B22378" s="121" t="n"/>
      <s:c r="C22378" s="121" t="n"/>
      <s:c r="D22378" s="121" t="n"/>
      <s:c r="E22378" s="122" t="n"/>
    </s:row>
    <s:row r="22379" hidden="1" ht="1" customHeight="1">
      <s:c r="A22379" s="120" t="inlineStr"/>
      <s:c r="B22379" s="121" t="n"/>
      <s:c r="C22379" s="121" t="n"/>
      <s:c r="D22379" s="121" t="n"/>
      <s:c r="E22379" s="122" t="n"/>
    </s:row>
    <s:row r="22380" hidden="1" ht="1" customHeight="1">
      <s:c r="A22380" s="120" t="inlineStr"/>
      <s:c r="B22380" s="121" t="n"/>
      <s:c r="C22380" s="121" t="n"/>
      <s:c r="D22380" s="121" t="n"/>
      <s:c r="E22380" s="122" t="n"/>
    </s:row>
    <s:row r="22381" hidden="1" ht="1" customHeight="1">
      <s:c r="A22381" s="120" t="inlineStr"/>
      <s:c r="B22381" s="121" t="n"/>
      <s:c r="C22381" s="121" t="n"/>
      <s:c r="D22381" s="121" t="n"/>
      <s:c r="E22381" s="122" t="n"/>
    </s:row>
    <s:row r="22382" hidden="1" ht="1" customHeight="1">
      <s:c r="A22382" s="120" t="inlineStr"/>
      <s:c r="B22382" s="121" t="n"/>
      <s:c r="C22382" s="121" t="n"/>
      <s:c r="D22382" s="121" t="n"/>
      <s:c r="E22382" s="122" t="n"/>
    </s:row>
    <s:row r="22383" hidden="1" ht="1" customHeight="1">
      <s:c r="A22383" s="120" t="inlineStr"/>
      <s:c r="B22383" s="121" t="n"/>
      <s:c r="C22383" s="121" t="n"/>
      <s:c r="D22383" s="121" t="n"/>
      <s:c r="E22383" s="122" t="n"/>
    </s:row>
    <s:row r="22384" hidden="1" ht="1" customHeight="1">
      <s:c r="A22384" s="120" t="inlineStr"/>
      <s:c r="B22384" s="121" t="n"/>
      <s:c r="C22384" s="121" t="n"/>
      <s:c r="D22384" s="121" t="n"/>
      <s:c r="E22384" s="122" t="n"/>
    </s:row>
    <s:row r="22385" hidden="1" ht="1" customHeight="1">
      <s:c r="A22385" s="83" t="inlineStr">
        <s:is>
          <s:t>PASS</s:t>
        </s:is>
      </s:c>
      <s:c r="B22385" s="83">
        <s:f>SUM(IF(EXACT('Kiểm thử'!E22135,"Đạt"),1,0),IF(EXACT('Kiểm thử'!E22137,"Đạt"),1,0),IF(EXACT('Kiểm thử'!E22139,"Đạt"),1,0),IF(EXACT('Kiểm thử'!E22141,"Đạt"),1,0),IF(EXACT('Kiểm thử'!E22143,"Đạt"),1,0))</s:f>
        <s:v/>
      </s:c>
      <s:c r="C22385" s="19" t="n"/>
      <s:c r="D22385" s="19" t="n"/>
      <s:c r="E22385" s="19" t="n"/>
    </s:row>
    <s:row r="22386" hidden="1" ht="1" customHeight="1">
      <s:c r="A22386" s="83" t="inlineStr">
        <s:is>
          <s:t>FAIL</s:t>
        </s:is>
      </s:c>
      <s:c r="B22386" s="83">
        <s:f>SUM(IF(EXACT('Kiểm thử'!E22135,"Không đạt"),1,0),IF(EXACT('Kiểm thử'!E22137,"Không đạt"),1,0),IF(EXACT('Kiểm thử'!E22139,"Không đạt"),1,0),IF(EXACT('Kiểm thử'!E22141,"Không đạt"),1,0),IF(EXACT('Kiểm thử'!E22143,"Không đạt"),1,0))</s:f>
        <s:v/>
      </s:c>
      <s:c r="C22386" s="19" t="n"/>
      <s:c r="D22386" s="19" t="n"/>
      <s:c r="E22386" s="19" t="n"/>
    </s:row>
    <s:row r="22387" hidden="1" ht="1" customHeight="1">
      <s:c r="A22387" s="83" t="inlineStr">
        <s:is>
          <s:t>BLOCKED</s:t>
        </s:is>
      </s:c>
      <s:c r="B22387" s="83">
        <s:f>SUM(IF(EXACT('Kiểm thử'!E22135,"Bị chặn"),1,0),IF(EXACT('Kiểm thử'!E22137,"Bị chặn"),1,0),IF(EXACT('Kiểm thử'!E22139,"Bị chặn"),1,0),IF(EXACT('Kiểm thử'!E22141,"Bị chặn"),1,0),IF(EXACT('Kiểm thử'!E22143,"Bị chặn"),1,0))</s:f>
        <s:v/>
      </s:c>
      <s:c r="C22387" s="19" t="n"/>
      <s:c r="D22387" s="19" t="n"/>
      <s:c r="E22387" s="19" t="n"/>
    </s:row>
    <s:row r="22388" hidden="1" ht="1" customHeight="1">
      <s:c r="A22388" s="83" t="inlineStr">
        <s:is>
          <s:t>SKIPPED</s:t>
        </s:is>
      </s:c>
      <s:c r="B22388" s="83">
        <s:f>SUM(IF(EXACT('Kiểm thử'!E22135,"Không thực hiện"),1,0),IF(EXACT('Kiểm thử'!E22137,"Không thực hiện"),1,0),IF(EXACT('Kiểm thử'!E22139,"Không thực hiện"),1,0),IF(EXACT('Kiểm thử'!E22141,"Không thực hiện"),1,0),IF(EXACT('Kiểm thử'!E22143,"Không thực hiện"),1,0))</s:f>
        <s:v/>
      </s:c>
      <s:c r="C22388" s="19" t="n"/>
      <s:c r="D22388" s="19" t="n"/>
      <s:c r="E22388" s="19" t="n"/>
    </s:row>
    <s:row r="22389" hidden="1" ht="1" customHeight="1">
      <s:c r="A22389" s="83" t="inlineStr">
        <s:is>
          <s:t>NOT RUN</s:t>
        </s:is>
      </s:c>
      <s:c r="B22389" s="83">
        <s:f>SUM(IF(EXACT('Kiểm thử'!E22135,"Chưa thực hiện"),1,0),IF(EXACT('Kiểm thử'!E22137,"Chưa thực hiện"),1,0),IF(EXACT('Kiểm thử'!E22139,"Chưa thực hiện"),1,0),IF(EXACT('Kiểm thử'!E22141,"Chưa thực hiện"),1,0),IF(EXACT('Kiểm thử'!E22143,"Chưa thực hiện"),1,0))</s:f>
        <s:v/>
      </s:c>
      <s:c r="C22389" s="19" t="n"/>
      <s:c r="D22389" s="19" t="n"/>
      <s:c r="E22389" s="19" t="n"/>
    </s:row>
    <s:row r="22390" hidden="1" ht="6" customHeight="1">
      <s:c r="A22390" s="83" t="inlineStr"/>
      <s:c r="B22390" s="19" t="n"/>
      <s:c r="C22390" s="19" t="n"/>
      <s:c r="D22390" s="19" t="n"/>
      <s:c r="E22390" s="19" t="n"/>
    </s:row>
    <s:row r="22391" ht="28" customHeight="1">
      <s:c r="A22391" s="108" t="inlineStr">
        <s:is>
          <s:t>TC-RS-BR-032 — Vào được màn nhưng không có quyền sửa mục → không sửa được quy tắc của mục đó</s:t>
        </s:is>
      </s:c>
      <s:c r="B22391" s="111" t="n"/>
      <s:c r="C22391" s="111" t="n"/>
      <s:c r="D22391" s="111" t="n"/>
      <s:c r="E22391" s="111" t="n"/>
    </s:row>
    <s:row r="22392" ht="20" customHeight="1">
      <s:c r="A22392" s="112" t="inlineStr">
        <s:is>
          <s:t>Kết quả tình huống</s:t>
        </s:is>
      </s:c>
      <s:c r="B22392" s="113">
        <s:f>IF(SUM(IF(EXACT('Kiểm thử'!E22400,"Không đạt"),1,0))&gt;0,"Không đạt",IF(SUM(IF(EXACT('Kiểm thử'!E22400,"Đạt"),1,0))=1,"Đạt",IF(SUM(IF(EXACT('Kiểm thử'!E22400,"Không thực hiện"),1,0))=1,"Không thực hiện",IF(SUM(IF(EXACT('Kiểm thử'!E22400,"Bị chặn"),1,0))&gt;0,"Bị chặn",IF(SUM(IF(EXACT('Kiểm thử'!E22400,"Chưa thực hiện"),1,0))=1,"Chưa thực hiện","Đang thực hiện")))))</s:f>
        <s:v/>
      </s:c>
      <s:c r="C22392" s="114" t="n"/>
      <s:c r="D22392" s="114" t="n"/>
      <s:c r="E22392" s="114" t="n"/>
    </s:row>
    <s:row r="22393" ht="20" customHeight="1">
      <s:c r="A22393" s="112" t="inlineStr">
        <s:is>
          <s:t>Màn hình / chức năng</s:t>
        </s:is>
      </s:c>
      <s:c r="B22393" s="113" t="inlineStr">
        <s:is>
          <s:t>Quyền thao tác</s:t>
        </s:is>
      </s:c>
      <s:c r="C22393" s="28" t="n"/>
      <s:c r="D22393" s="28" t="n"/>
      <s:c r="E22393" s="28" t="n"/>
    </s:row>
    <s:row r="22394" ht="20" customHeight="1">
      <s:c r="A22394" s="112" t="inlineStr">
        <s:is>
          <s:t>Cấu hình</s:t>
        </s:is>
      </s:c>
      <s:c r="B22394" s="113" t="inlineStr">
        <s:is>
          <s:t>• Đăng nhập tài khoản giáo viên không có quyền sửa mục. mục chỉ dành nội bộ có một quy tắc.</s:t>
        </s:is>
      </s:c>
      <s:c r="C22394" s="28" t="n"/>
      <s:c r="D22394" s="28" t="n"/>
      <s:c r="E22394" s="28" t="n"/>
    </s:row>
    <s:row r="22395" ht="20" customHeight="1">
      <s:c r="A22395" s="112" t="inlineStr">
        <s:is>
          <s:t>Dữ liệu test</s:t>
        </s:is>
      </s:c>
      <s:c r="B22395" s="113" t="inlineStr">
        <s:is>
          <s:t>• Tài khoản giáo viên không có quyền sửa mục, mục chỉ dành nội bộ</s:t>
        </s:is>
      </s:c>
      <s:c r="C22395" s="28" t="n"/>
      <s:c r="D22395" s="28" t="n"/>
      <s:c r="E22395" s="28" t="n"/>
    </s:row>
    <s:row r="22396" ht="20" customHeight="1">
      <s:c r="A22396" s="112" t="inlineStr">
        <s:is>
          <s:t>Bước 1</s:t>
        </s:is>
      </s:c>
      <s:c r="B22396" s="113" t="inlineStr">
        <s:is>
          <s:r>
            <s:t xml:space="preserve">Mở </s:t>
          </s:r>
          <s:r>
            <s:rPr>
              <s:b val="1"/>
            </s:rPr>
            <s:t>Thiết lập ô nhập（入力欄設定）</s:t>
          </s:r>
          <s:r>
            <s:t>.</s:t>
          </s:r>
        </s:is>
      </s:c>
      <s:c r="C22396" s="28" t="n"/>
      <s:c r="D22396" s="28" t="n"/>
      <s:c r="E22396" s="28" t="n"/>
    </s:row>
    <s:row r="22397" ht="20" customHeight="1">
      <s:c r="A22397" s="112" t="inlineStr">
        <s:is>
          <s:t>Bước 2</s:t>
        </s:is>
      </s:c>
      <s:c r="B22397" s="113" t="inlineStr">
        <s:is>
          <s:t>Thử mở và sửa quy tắc của mục chỉ dành nội bộ.</s:t>
        </s:is>
      </s:c>
      <s:c r="C22397" s="28" t="n"/>
      <s:c r="D22397" s="28" t="n"/>
      <s:c r="E22397" s="28" t="n"/>
    </s:row>
    <s:row r="22398" ht="28" customHeight="1">
      <s:c r="A22398" s="115" t="inlineStr">
        <s:is>
          <s:t>Trường hợp</s:t>
        </s:is>
      </s:c>
      <s:c r="B22398" s="115" t="inlineStr">
        <s:is>
          <s:t>Dữ liệu / thao tác riêng</s:t>
        </s:is>
      </s:c>
      <s:c r="C22398" s="115" t="inlineStr">
        <s:is>
          <s:t>Kết quả mong đợi</s:t>
        </s:is>
      </s:c>
      <s:c r="D22398" s="115" t="inlineStr">
        <s:is>
          <s:t>Kết quả thực tế</s:t>
        </s:is>
      </s:c>
      <s:c r="E22398" s="115" t="inlineStr">
        <s:is>
          <s:t>Đánh giá</s:t>
        </s:is>
      </s:c>
    </s:row>
    <s:row r="22399" ht="3" customHeight="1">
      <s:c r="A22399" s="102" t="inlineStr"/>
      <s:c r="B22399" s="99" t="n"/>
      <s:c r="C22399" s="99" t="n"/>
      <s:c r="D22399" s="116" t="n"/>
      <s:c r="E22399" s="116" t="n"/>
    </s:row>
    <s:row r="22400" ht="62" customHeight="1">
      <s:c r="A22400" s="83" t="inlineStr">
        <s:is>
          <s:t>Trường hợp cơ bản (Base)</s:t>
        </s:is>
      </s:c>
      <s:c r="B22400" s="83" t="inlineStr">
        <s:is>
          <s:t>Toàn bộ tình huống: Thực hiện đủ các bước chung theo thứ tự; kiểm cả đối tượng đích và đối chứng cùng fixture, không bỏ bước.</s:t>
        </s:is>
      </s:c>
      <s:c r="C22400" s="83" t="inlineStr">
        <s:is>
          <s:t>Không có thao tác sửa/thêm/xóa cho mục chỉ dành nội bộ trên màn, hoặc lưu bị từ chối. Quy tắc không đổi.</s:t>
        </s:is>
      </s:c>
      <s:c r="D22400" s="117" t="inlineStr"/>
      <s:c r="E22400" s="118" t="inlineStr">
        <s:is>
          <s:t>Chưa thực hiện</s:t>
        </s:is>
      </s:c>
    </s:row>
    <s:row r="22401" ht="20" customHeight="1">
      <s:c r="A22401" s="119" t="inlineStr">
        <s:is>
          <s:t>Ảnh minh chứng — Chưa có ảnh</s:t>
        </s:is>
      </s:c>
      <s:c r="B22401" s="19" t="n"/>
      <s:c r="C22401" s="19" t="n"/>
      <s:c r="D22401" s="19" t="n"/>
      <s:c r="E22401" s="19" t="n"/>
    </s:row>
    <s:row r="22402" hidden="1" ht="1" customHeight="1">
      <s:c r="A22402" s="120" t="inlineStr"/>
      <s:c r="B22402" s="121" t="n"/>
      <s:c r="C22402" s="121" t="n"/>
      <s:c r="D22402" s="121" t="n"/>
      <s:c r="E22402" s="122" t="n"/>
    </s:row>
    <s:row r="22403" hidden="1" ht="1" customHeight="1">
      <s:c r="A22403" s="120" t="inlineStr"/>
      <s:c r="B22403" s="121" t="n"/>
      <s:c r="C22403" s="121" t="n"/>
      <s:c r="D22403" s="121" t="n"/>
      <s:c r="E22403" s="122" t="n"/>
    </s:row>
    <s:row r="22404" hidden="1" ht="1" customHeight="1">
      <s:c r="A22404" s="120" t="inlineStr"/>
      <s:c r="B22404" s="121" t="n"/>
      <s:c r="C22404" s="121" t="n"/>
      <s:c r="D22404" s="121" t="n"/>
      <s:c r="E22404" s="122" t="n"/>
    </s:row>
    <s:row r="22405" hidden="1" ht="1" customHeight="1">
      <s:c r="A22405" s="120" t="inlineStr"/>
      <s:c r="B22405" s="121" t="n"/>
      <s:c r="C22405" s="121" t="n"/>
      <s:c r="D22405" s="121" t="n"/>
      <s:c r="E22405" s="122" t="n"/>
    </s:row>
    <s:row r="22406" hidden="1" ht="1" customHeight="1">
      <s:c r="A22406" s="120" t="inlineStr"/>
      <s:c r="B22406" s="121" t="n"/>
      <s:c r="C22406" s="121" t="n"/>
      <s:c r="D22406" s="121" t="n"/>
      <s:c r="E22406" s="122" t="n"/>
    </s:row>
    <s:row r="22407" hidden="1" ht="1" customHeight="1">
      <s:c r="A22407" s="120" t="inlineStr"/>
      <s:c r="B22407" s="121" t="n"/>
      <s:c r="C22407" s="121" t="n"/>
      <s:c r="D22407" s="121" t="n"/>
      <s:c r="E22407" s="122" t="n"/>
    </s:row>
    <s:row r="22408" hidden="1" ht="1" customHeight="1">
      <s:c r="A22408" s="120" t="inlineStr"/>
      <s:c r="B22408" s="121" t="n"/>
      <s:c r="C22408" s="121" t="n"/>
      <s:c r="D22408" s="121" t="n"/>
      <s:c r="E22408" s="122" t="n"/>
    </s:row>
    <s:row r="22409" hidden="1" ht="1" customHeight="1">
      <s:c r="A22409" s="120" t="inlineStr"/>
      <s:c r="B22409" s="121" t="n"/>
      <s:c r="C22409" s="121" t="n"/>
      <s:c r="D22409" s="121" t="n"/>
      <s:c r="E22409" s="122" t="n"/>
    </s:row>
    <s:row r="22410" hidden="1" ht="1" customHeight="1">
      <s:c r="A22410" s="120" t="inlineStr"/>
      <s:c r="B22410" s="121" t="n"/>
      <s:c r="C22410" s="121" t="n"/>
      <s:c r="D22410" s="121" t="n"/>
      <s:c r="E22410" s="122" t="n"/>
    </s:row>
    <s:row r="22411" hidden="1" ht="1" customHeight="1">
      <s:c r="A22411" s="120" t="inlineStr"/>
      <s:c r="B22411" s="121" t="n"/>
      <s:c r="C22411" s="121" t="n"/>
      <s:c r="D22411" s="121" t="n"/>
      <s:c r="E22411" s="122" t="n"/>
    </s:row>
    <s:row r="22412" hidden="1" ht="1" customHeight="1">
      <s:c r="A22412" s="120" t="inlineStr"/>
      <s:c r="B22412" s="121" t="n"/>
      <s:c r="C22412" s="121" t="n"/>
      <s:c r="D22412" s="121" t="n"/>
      <s:c r="E22412" s="122" t="n"/>
    </s:row>
    <s:row r="22413" hidden="1" ht="1" customHeight="1">
      <s:c r="A22413" s="120" t="inlineStr"/>
      <s:c r="B22413" s="121" t="n"/>
      <s:c r="C22413" s="121" t="n"/>
      <s:c r="D22413" s="121" t="n"/>
      <s:c r="E22413" s="122" t="n"/>
    </s:row>
    <s:row r="22414" hidden="1" ht="1" customHeight="1">
      <s:c r="A22414" s="120" t="inlineStr"/>
      <s:c r="B22414" s="121" t="n"/>
      <s:c r="C22414" s="121" t="n"/>
      <s:c r="D22414" s="121" t="n"/>
      <s:c r="E22414" s="122" t="n"/>
    </s:row>
    <s:row r="22415" hidden="1" ht="1" customHeight="1">
      <s:c r="A22415" s="120" t="inlineStr"/>
      <s:c r="B22415" s="121" t="n"/>
      <s:c r="C22415" s="121" t="n"/>
      <s:c r="D22415" s="121" t="n"/>
      <s:c r="E22415" s="122" t="n"/>
    </s:row>
    <s:row r="22416" hidden="1" ht="1" customHeight="1">
      <s:c r="A22416" s="120" t="inlineStr"/>
      <s:c r="B22416" s="121" t="n"/>
      <s:c r="C22416" s="121" t="n"/>
      <s:c r="D22416" s="121" t="n"/>
      <s:c r="E22416" s="122" t="n"/>
    </s:row>
    <s:row r="22417" hidden="1" ht="1" customHeight="1">
      <s:c r="A22417" s="120" t="inlineStr"/>
      <s:c r="B22417" s="121" t="n"/>
      <s:c r="C22417" s="121" t="n"/>
      <s:c r="D22417" s="121" t="n"/>
      <s:c r="E22417" s="122" t="n"/>
    </s:row>
    <s:row r="22418" hidden="1" ht="1" customHeight="1">
      <s:c r="A22418" s="120" t="inlineStr"/>
      <s:c r="B22418" s="121" t="n"/>
      <s:c r="C22418" s="121" t="n"/>
      <s:c r="D22418" s="121" t="n"/>
      <s:c r="E22418" s="122" t="n"/>
    </s:row>
    <s:row r="22419" hidden="1" ht="1" customHeight="1">
      <s:c r="A22419" s="120" t="inlineStr"/>
      <s:c r="B22419" s="121" t="n"/>
      <s:c r="C22419" s="121" t="n"/>
      <s:c r="D22419" s="121" t="n"/>
      <s:c r="E22419" s="122" t="n"/>
    </s:row>
    <s:row r="22420" hidden="1" ht="1" customHeight="1">
      <s:c r="A22420" s="120" t="inlineStr"/>
      <s:c r="B22420" s="121" t="n"/>
      <s:c r="C22420" s="121" t="n"/>
      <s:c r="D22420" s="121" t="n"/>
      <s:c r="E22420" s="122" t="n"/>
    </s:row>
    <s:row r="22421" hidden="1" ht="1" customHeight="1">
      <s:c r="A22421" s="120" t="inlineStr"/>
      <s:c r="B22421" s="121" t="n"/>
      <s:c r="C22421" s="121" t="n"/>
      <s:c r="D22421" s="121" t="n"/>
      <s:c r="E22421" s="122" t="n"/>
    </s:row>
    <s:row r="22422" hidden="1" ht="1" customHeight="1">
      <s:c r="A22422" s="120" t="inlineStr"/>
      <s:c r="B22422" s="121" t="n"/>
      <s:c r="C22422" s="121" t="n"/>
      <s:c r="D22422" s="121" t="n"/>
      <s:c r="E22422" s="122" t="n"/>
    </s:row>
    <s:row r="22423" hidden="1" ht="1" customHeight="1">
      <s:c r="A22423" s="120" t="inlineStr"/>
      <s:c r="B22423" s="121" t="n"/>
      <s:c r="C22423" s="121" t="n"/>
      <s:c r="D22423" s="121" t="n"/>
      <s:c r="E22423" s="122" t="n"/>
    </s:row>
    <s:row r="22424" hidden="1" ht="1" customHeight="1">
      <s:c r="A22424" s="120" t="inlineStr"/>
      <s:c r="B22424" s="121" t="n"/>
      <s:c r="C22424" s="121" t="n"/>
      <s:c r="D22424" s="121" t="n"/>
      <s:c r="E22424" s="122" t="n"/>
    </s:row>
    <s:row r="22425" hidden="1" ht="1" customHeight="1">
      <s:c r="A22425" s="120" t="inlineStr"/>
      <s:c r="B22425" s="121" t="n"/>
      <s:c r="C22425" s="121" t="n"/>
      <s:c r="D22425" s="121" t="n"/>
      <s:c r="E22425" s="122" t="n"/>
    </s:row>
    <s:row r="22426" hidden="1" ht="1" customHeight="1">
      <s:c r="A22426" s="120" t="inlineStr"/>
      <s:c r="B22426" s="121" t="n"/>
      <s:c r="C22426" s="121" t="n"/>
      <s:c r="D22426" s="121" t="n"/>
      <s:c r="E22426" s="122" t="n"/>
    </s:row>
    <s:row r="22427" hidden="1" ht="1" customHeight="1">
      <s:c r="A22427" s="120" t="inlineStr"/>
      <s:c r="B22427" s="121" t="n"/>
      <s:c r="C22427" s="121" t="n"/>
      <s:c r="D22427" s="121" t="n"/>
      <s:c r="E22427" s="122" t="n"/>
    </s:row>
    <s:row r="22428" hidden="1" ht="1" customHeight="1">
      <s:c r="A22428" s="120" t="inlineStr"/>
      <s:c r="B22428" s="121" t="n"/>
      <s:c r="C22428" s="121" t="n"/>
      <s:c r="D22428" s="121" t="n"/>
      <s:c r="E22428" s="122" t="n"/>
    </s:row>
    <s:row r="22429" hidden="1" ht="1" customHeight="1">
      <s:c r="A22429" s="120" t="inlineStr"/>
      <s:c r="B22429" s="121" t="n"/>
      <s:c r="C22429" s="121" t="n"/>
      <s:c r="D22429" s="121" t="n"/>
      <s:c r="E22429" s="122" t="n"/>
    </s:row>
    <s:row r="22430" hidden="1" ht="1" customHeight="1">
      <s:c r="A22430" s="120" t="inlineStr"/>
      <s:c r="B22430" s="121" t="n"/>
      <s:c r="C22430" s="121" t="n"/>
      <s:c r="D22430" s="121" t="n"/>
      <s:c r="E22430" s="122" t="n"/>
    </s:row>
    <s:row r="22431" hidden="1" ht="1" customHeight="1">
      <s:c r="A22431" s="120" t="inlineStr"/>
      <s:c r="B22431" s="121" t="n"/>
      <s:c r="C22431" s="121" t="n"/>
      <s:c r="D22431" s="121" t="n"/>
      <s:c r="E22431" s="122" t="n"/>
    </s:row>
    <s:row r="22432" hidden="1" ht="1" customHeight="1">
      <s:c r="A22432" s="120" t="inlineStr"/>
      <s:c r="B22432" s="121" t="n"/>
      <s:c r="C22432" s="121" t="n"/>
      <s:c r="D22432" s="121" t="n"/>
      <s:c r="E22432" s="122" t="n"/>
    </s:row>
    <s:row r="22433" hidden="1" ht="1" customHeight="1">
      <s:c r="A22433" s="120" t="inlineStr"/>
      <s:c r="B22433" s="121" t="n"/>
      <s:c r="C22433" s="121" t="n"/>
      <s:c r="D22433" s="121" t="n"/>
      <s:c r="E22433" s="122" t="n"/>
    </s:row>
    <s:row r="22434" hidden="1" ht="1" customHeight="1">
      <s:c r="A22434" s="120" t="inlineStr"/>
      <s:c r="B22434" s="121" t="n"/>
      <s:c r="C22434" s="121" t="n"/>
      <s:c r="D22434" s="121" t="n"/>
      <s:c r="E22434" s="122" t="n"/>
    </s:row>
    <s:row r="22435" hidden="1" ht="1" customHeight="1">
      <s:c r="A22435" s="120" t="inlineStr"/>
      <s:c r="B22435" s="121" t="n"/>
      <s:c r="C22435" s="121" t="n"/>
      <s:c r="D22435" s="121" t="n"/>
      <s:c r="E22435" s="122" t="n"/>
    </s:row>
    <s:row r="22436" hidden="1" ht="1" customHeight="1">
      <s:c r="A22436" s="120" t="inlineStr"/>
      <s:c r="B22436" s="121" t="n"/>
      <s:c r="C22436" s="121" t="n"/>
      <s:c r="D22436" s="121" t="n"/>
      <s:c r="E22436" s="122" t="n"/>
    </s:row>
    <s:row r="22437" hidden="1" ht="1" customHeight="1">
      <s:c r="A22437" s="120" t="inlineStr"/>
      <s:c r="B22437" s="121" t="n"/>
      <s:c r="C22437" s="121" t="n"/>
      <s:c r="D22437" s="121" t="n"/>
      <s:c r="E22437" s="122" t="n"/>
    </s:row>
    <s:row r="22438" hidden="1" ht="1" customHeight="1">
      <s:c r="A22438" s="120" t="inlineStr"/>
      <s:c r="B22438" s="121" t="n"/>
      <s:c r="C22438" s="121" t="n"/>
      <s:c r="D22438" s="121" t="n"/>
      <s:c r="E22438" s="122" t="n"/>
    </s:row>
    <s:row r="22439" hidden="1" ht="1" customHeight="1">
      <s:c r="A22439" s="120" t="inlineStr"/>
      <s:c r="B22439" s="121" t="n"/>
      <s:c r="C22439" s="121" t="n"/>
      <s:c r="D22439" s="121" t="n"/>
      <s:c r="E22439" s="122" t="n"/>
    </s:row>
    <s:row r="22440" hidden="1" ht="1" customHeight="1">
      <s:c r="A22440" s="120" t="inlineStr"/>
      <s:c r="B22440" s="121" t="n"/>
      <s:c r="C22440" s="121" t="n"/>
      <s:c r="D22440" s="121" t="n"/>
      <s:c r="E22440" s="122" t="n"/>
    </s:row>
    <s:row r="22441" hidden="1" ht="1" customHeight="1">
      <s:c r="A22441" s="120" t="inlineStr"/>
      <s:c r="B22441" s="121" t="n"/>
      <s:c r="C22441" s="121" t="n"/>
      <s:c r="D22441" s="121" t="n"/>
      <s:c r="E22441" s="122" t="n"/>
    </s:row>
    <s:row r="22442" hidden="1" ht="1" customHeight="1">
      <s:c r="A22442" s="120" t="inlineStr"/>
      <s:c r="B22442" s="121" t="n"/>
      <s:c r="C22442" s="121" t="n"/>
      <s:c r="D22442" s="121" t="n"/>
      <s:c r="E22442" s="122" t="n"/>
    </s:row>
    <s:row r="22443" hidden="1" ht="1" customHeight="1">
      <s:c r="A22443" s="120" t="inlineStr"/>
      <s:c r="B22443" s="121" t="n"/>
      <s:c r="C22443" s="121" t="n"/>
      <s:c r="D22443" s="121" t="n"/>
      <s:c r="E22443" s="122" t="n"/>
    </s:row>
    <s:row r="22444" hidden="1" ht="1" customHeight="1">
      <s:c r="A22444" s="120" t="inlineStr"/>
      <s:c r="B22444" s="121" t="n"/>
      <s:c r="C22444" s="121" t="n"/>
      <s:c r="D22444" s="121" t="n"/>
      <s:c r="E22444" s="122" t="n"/>
    </s:row>
    <s:row r="22445" hidden="1" ht="1" customHeight="1">
      <s:c r="A22445" s="120" t="inlineStr"/>
      <s:c r="B22445" s="121" t="n"/>
      <s:c r="C22445" s="121" t="n"/>
      <s:c r="D22445" s="121" t="n"/>
      <s:c r="E22445" s="122" t="n"/>
    </s:row>
    <s:row r="22446" hidden="1" ht="1" customHeight="1">
      <s:c r="A22446" s="120" t="inlineStr"/>
      <s:c r="B22446" s="121" t="n"/>
      <s:c r="C22446" s="121" t="n"/>
      <s:c r="D22446" s="121" t="n"/>
      <s:c r="E22446" s="122" t="n"/>
    </s:row>
    <s:row r="22447" hidden="1" ht="1" customHeight="1">
      <s:c r="A22447" s="120" t="inlineStr"/>
      <s:c r="B22447" s="121" t="n"/>
      <s:c r="C22447" s="121" t="n"/>
      <s:c r="D22447" s="121" t="n"/>
      <s:c r="E22447" s="122" t="n"/>
    </s:row>
    <s:row r="22448" hidden="1" ht="1" customHeight="1">
      <s:c r="A22448" s="120" t="inlineStr"/>
      <s:c r="B22448" s="121" t="n"/>
      <s:c r="C22448" s="121" t="n"/>
      <s:c r="D22448" s="121" t="n"/>
      <s:c r="E22448" s="122" t="n"/>
    </s:row>
    <s:row r="22449" hidden="1" ht="1" customHeight="1">
      <s:c r="A22449" s="120" t="inlineStr"/>
      <s:c r="B22449" s="121" t="n"/>
      <s:c r="C22449" s="121" t="n"/>
      <s:c r="D22449" s="121" t="n"/>
      <s:c r="E22449" s="122" t="n"/>
    </s:row>
    <s:row r="22450" hidden="1" ht="1" customHeight="1">
      <s:c r="A22450" s="83" t="inlineStr">
        <s:is>
          <s:t>PASS</s:t>
        </s:is>
      </s:c>
      <s:c r="B22450" s="83">
        <s:f>SUM(IF(EXACT('Kiểm thử'!E22400,"Đạt"),1,0))</s:f>
        <s:v/>
      </s:c>
      <s:c r="C22450" s="19" t="n"/>
      <s:c r="D22450" s="19" t="n"/>
      <s:c r="E22450" s="19" t="n"/>
    </s:row>
    <s:row r="22451" hidden="1" ht="1" customHeight="1">
      <s:c r="A22451" s="83" t="inlineStr">
        <s:is>
          <s:t>FAIL</s:t>
        </s:is>
      </s:c>
      <s:c r="B22451" s="83">
        <s:f>SUM(IF(EXACT('Kiểm thử'!E22400,"Không đạt"),1,0))</s:f>
        <s:v/>
      </s:c>
      <s:c r="C22451" s="19" t="n"/>
      <s:c r="D22451" s="19" t="n"/>
      <s:c r="E22451" s="19" t="n"/>
    </s:row>
    <s:row r="22452" hidden="1" ht="1" customHeight="1">
      <s:c r="A22452" s="83" t="inlineStr">
        <s:is>
          <s:t>BLOCKED</s:t>
        </s:is>
      </s:c>
      <s:c r="B22452" s="83">
        <s:f>SUM(IF(EXACT('Kiểm thử'!E22400,"Bị chặn"),1,0))</s:f>
        <s:v/>
      </s:c>
      <s:c r="C22452" s="19" t="n"/>
      <s:c r="D22452" s="19" t="n"/>
      <s:c r="E22452" s="19" t="n"/>
    </s:row>
    <s:row r="22453" hidden="1" ht="1" customHeight="1">
      <s:c r="A22453" s="83" t="inlineStr">
        <s:is>
          <s:t>SKIPPED</s:t>
        </s:is>
      </s:c>
      <s:c r="B22453" s="83">
        <s:f>SUM(IF(EXACT('Kiểm thử'!E22400,"Không thực hiện"),1,0))</s:f>
        <s:v/>
      </s:c>
      <s:c r="C22453" s="19" t="n"/>
      <s:c r="D22453" s="19" t="n"/>
      <s:c r="E22453" s="19" t="n"/>
    </s:row>
    <s:row r="22454" hidden="1" ht="1" customHeight="1">
      <s:c r="A22454" s="83" t="inlineStr">
        <s:is>
          <s:t>NOT RUN</s:t>
        </s:is>
      </s:c>
      <s:c r="B22454" s="83">
        <s:f>SUM(IF(EXACT('Kiểm thử'!E22400,"Chưa thực hiện"),1,0))</s:f>
        <s:v/>
      </s:c>
      <s:c r="C22454" s="19" t="n"/>
      <s:c r="D22454" s="19" t="n"/>
      <s:c r="E22454" s="19" t="n"/>
    </s:row>
    <s:row r="22455" hidden="1" ht="6" customHeight="1">
      <s:c r="A22455" s="83" t="inlineStr"/>
      <s:c r="B22455" s="19" t="n"/>
      <s:c r="C22455" s="19" t="n"/>
      <s:c r="D22455" s="19" t="n"/>
      <s:c r="E22455" s="19" t="n"/>
    </s:row>
    <s:row r="22456" ht="28" customHeight="1">
      <s:c r="A22456" s="108" t="inlineStr">
        <s:is>
          <s:t>TC-RS-BR-033 — Quyền sửa mục không tự cấp quyền chạy hàng loạt</s:t>
        </s:is>
      </s:c>
      <s:c r="B22456" s="111" t="n"/>
      <s:c r="C22456" s="111" t="n"/>
      <s:c r="D22456" s="111" t="n"/>
      <s:c r="E22456" s="111" t="n"/>
    </s:row>
    <s:row r="22457" ht="20" customHeight="1">
      <s:c r="A22457" s="112" t="inlineStr">
        <s:is>
          <s:t>Kết quả tình huống</s:t>
        </s:is>
      </s:c>
      <s:c r="B22457" s="113">
        <s:f>IF(SUM(IF(EXACT('Kiểm thử'!E22465,"Không đạt"),1,0))&gt;0,"Không đạt",IF(SUM(IF(EXACT('Kiểm thử'!E22465,"Đạt"),1,0))=1,"Đạt",IF(SUM(IF(EXACT('Kiểm thử'!E22465,"Không thực hiện"),1,0))=1,"Không thực hiện",IF(SUM(IF(EXACT('Kiểm thử'!E22465,"Bị chặn"),1,0))&gt;0,"Bị chặn",IF(SUM(IF(EXACT('Kiểm thử'!E22465,"Chưa thực hiện"),1,0))=1,"Chưa thực hiện","Đang thực hiện")))))</s:f>
        <s:v/>
      </s:c>
      <s:c r="C22457" s="114" t="n"/>
      <s:c r="D22457" s="114" t="n"/>
      <s:c r="E22457" s="114" t="n"/>
    </s:row>
    <s:row r="22458" ht="20" customHeight="1">
      <s:c r="A22458" s="112" t="inlineStr">
        <s:is>
          <s:t>Màn hình / chức năng</s:t>
        </s:is>
      </s:c>
      <s:c r="B22458" s="113" t="inlineStr">
        <s:is>
          <s:t>Quyền thao tác</s:t>
        </s:is>
      </s:c>
      <s:c r="C22458" s="28" t="n"/>
      <s:c r="D22458" s="28" t="n"/>
      <s:c r="E22458" s="28" t="n"/>
    </s:row>
    <s:row r="22459" ht="20" customHeight="1">
      <s:c r="A22459" s="112" t="inlineStr">
        <s:is>
          <s:t>Cấu hình</s:t>
        </s:is>
      </s:c>
      <s:c r="B22459" s="113" t="inlineStr">
        <s:is>
          <s:t>• Đăng nhập tài khoản sửa được mục nhưng không có quyền chạy hàng loạt.</s:t>
        </s:is>
      </s:c>
      <s:c r="C22459" s="28" t="n"/>
      <s:c r="D22459" s="28" t="n"/>
      <s:c r="E22459" s="28" t="n"/>
    </s:row>
    <s:row r="22460" ht="20" customHeight="1">
      <s:c r="A22460" s="112" t="inlineStr">
        <s:is>
          <s:t>Dữ liệu test</s:t>
        </s:is>
      </s:c>
      <s:c r="B22460" s="113" t="inlineStr">
        <s:is>
          <s:t>• Tài khoản sửa được mục nhưng không có quyền chạy hàng loạt</s:t>
        </s:is>
      </s:c>
      <s:c r="C22460" s="28" t="n"/>
      <s:c r="D22460" s="28" t="n"/>
      <s:c r="E22460" s="28" t="n"/>
    </s:row>
    <s:row r="22461" ht="20" customHeight="1">
      <s:c r="A22461" s="112" t="inlineStr">
        <s:is>
          <s:t>Bước 1</s:t>
        </s:is>
      </s:c>
      <s:c r="B22461" s="113" t="inlineStr">
        <s:is>
          <s:t>Sửa một quy tắc (thành công).</s:t>
        </s:is>
      </s:c>
      <s:c r="C22461" s="28" t="n"/>
      <s:c r="D22461" s="28" t="n"/>
      <s:c r="E22461" s="28" t="n"/>
    </s:row>
    <s:row r="22462" ht="20" customHeight="1">
      <s:c r="A22462" s="112" t="inlineStr">
        <s:is>
          <s:t>Bước 2</s:t>
        </s:is>
      </s:c>
      <s:c r="B22462" s="113" t="inlineStr">
        <s:is>
          <s:r>
            <s:t xml:space="preserve">Mở </s:t>
          </s:r>
          <s:r>
            <s:rPr>
              <s:b val="1"/>
            </s:rPr>
            <s:t>Tổng hợp thành tích（成績集計）</s:t>
          </s:r>
          <s:r>
            <s:t>, thử chạy tính toán hàng loạt.</s:t>
          </s:r>
        </s:is>
      </s:c>
      <s:c r="C22462" s="28" t="n"/>
      <s:c r="D22462" s="28" t="n"/>
      <s:c r="E22462" s="28" t="n"/>
    </s:row>
    <s:row r="22463" ht="28" customHeight="1">
      <s:c r="A22463" s="115" t="inlineStr">
        <s:is>
          <s:t>Trường hợp</s:t>
        </s:is>
      </s:c>
      <s:c r="B22463" s="115" t="inlineStr">
        <s:is>
          <s:t>Dữ liệu / thao tác riêng</s:t>
        </s:is>
      </s:c>
      <s:c r="C22463" s="115" t="inlineStr">
        <s:is>
          <s:t>Kết quả mong đợi</s:t>
        </s:is>
      </s:c>
      <s:c r="D22463" s="115" t="inlineStr">
        <s:is>
          <s:t>Kết quả thực tế</s:t>
        </s:is>
      </s:c>
      <s:c r="E22463" s="115" t="inlineStr">
        <s:is>
          <s:t>Đánh giá</s:t>
        </s:is>
      </s:c>
    </s:row>
    <s:row r="22464" ht="3" customHeight="1">
      <s:c r="A22464" s="102" t="inlineStr"/>
      <s:c r="B22464" s="99" t="n"/>
      <s:c r="C22464" s="99" t="n"/>
      <s:c r="D22464" s="116" t="n"/>
      <s:c r="E22464" s="116" t="n"/>
    </s:row>
    <s:row r="22465" ht="62" customHeight="1">
      <s:c r="A22465" s="83" t="inlineStr">
        <s:is>
          <s:t>Trường hợp cơ bản (Base)</s:t>
        </s:is>
      </s:c>
      <s:c r="B22465" s="83" t="inlineStr">
        <s:is>
          <s:t>Toàn bộ tình huống: Thực hiện đủ các bước chung theo thứ tự; kiểm cả đối tượng đích và đối chứng cùng fixture, không bỏ bước.</s:t>
        </s:is>
      </s:c>
      <s:c r="C22465" s="83" t="inlineStr">
        <s:is>
          <s:t>Không chạy được hàng loạt (thao tác không có hoặc bị từ chối theo quyền hiện hành).</s:t>
        </s:is>
      </s:c>
      <s:c r="D22465" s="117" t="inlineStr"/>
      <s:c r="E22465" s="118" t="inlineStr">
        <s:is>
          <s:t>Chưa thực hiện</s:t>
        </s:is>
      </s:c>
    </s:row>
    <s:row r="22466" ht="20" customHeight="1">
      <s:c r="A22466" s="119" t="inlineStr">
        <s:is>
          <s:t>Ảnh minh chứng — Chưa có ảnh</s:t>
        </s:is>
      </s:c>
      <s:c r="B22466" s="19" t="n"/>
      <s:c r="C22466" s="19" t="n"/>
      <s:c r="D22466" s="19" t="n"/>
      <s:c r="E22466" s="19" t="n"/>
    </s:row>
    <s:row r="22467" hidden="1" ht="1" customHeight="1">
      <s:c r="A22467" s="120" t="inlineStr"/>
      <s:c r="B22467" s="121" t="n"/>
      <s:c r="C22467" s="121" t="n"/>
      <s:c r="D22467" s="121" t="n"/>
      <s:c r="E22467" s="122" t="n"/>
    </s:row>
    <s:row r="22468" hidden="1" ht="1" customHeight="1">
      <s:c r="A22468" s="120" t="inlineStr"/>
      <s:c r="B22468" s="121" t="n"/>
      <s:c r="C22468" s="121" t="n"/>
      <s:c r="D22468" s="121" t="n"/>
      <s:c r="E22468" s="122" t="n"/>
    </s:row>
    <s:row r="22469" hidden="1" ht="1" customHeight="1">
      <s:c r="A22469" s="120" t="inlineStr"/>
      <s:c r="B22469" s="121" t="n"/>
      <s:c r="C22469" s="121" t="n"/>
      <s:c r="D22469" s="121" t="n"/>
      <s:c r="E22469" s="122" t="n"/>
    </s:row>
    <s:row r="22470" hidden="1" ht="1" customHeight="1">
      <s:c r="A22470" s="120" t="inlineStr"/>
      <s:c r="B22470" s="121" t="n"/>
      <s:c r="C22470" s="121" t="n"/>
      <s:c r="D22470" s="121" t="n"/>
      <s:c r="E22470" s="122" t="n"/>
    </s:row>
    <s:row r="22471" hidden="1" ht="1" customHeight="1">
      <s:c r="A22471" s="120" t="inlineStr"/>
      <s:c r="B22471" s="121" t="n"/>
      <s:c r="C22471" s="121" t="n"/>
      <s:c r="D22471" s="121" t="n"/>
      <s:c r="E22471" s="122" t="n"/>
    </s:row>
    <s:row r="22472" hidden="1" ht="1" customHeight="1">
      <s:c r="A22472" s="120" t="inlineStr"/>
      <s:c r="B22472" s="121" t="n"/>
      <s:c r="C22472" s="121" t="n"/>
      <s:c r="D22472" s="121" t="n"/>
      <s:c r="E22472" s="122" t="n"/>
    </s:row>
    <s:row r="22473" hidden="1" ht="1" customHeight="1">
      <s:c r="A22473" s="120" t="inlineStr"/>
      <s:c r="B22473" s="121" t="n"/>
      <s:c r="C22473" s="121" t="n"/>
      <s:c r="D22473" s="121" t="n"/>
      <s:c r="E22473" s="122" t="n"/>
    </s:row>
    <s:row r="22474" hidden="1" ht="1" customHeight="1">
      <s:c r="A22474" s="120" t="inlineStr"/>
      <s:c r="B22474" s="121" t="n"/>
      <s:c r="C22474" s="121" t="n"/>
      <s:c r="D22474" s="121" t="n"/>
      <s:c r="E22474" s="122" t="n"/>
    </s:row>
    <s:row r="22475" hidden="1" ht="1" customHeight="1">
      <s:c r="A22475" s="120" t="inlineStr"/>
      <s:c r="B22475" s="121" t="n"/>
      <s:c r="C22475" s="121" t="n"/>
      <s:c r="D22475" s="121" t="n"/>
      <s:c r="E22475" s="122" t="n"/>
    </s:row>
    <s:row r="22476" hidden="1" ht="1" customHeight="1">
      <s:c r="A22476" s="120" t="inlineStr"/>
      <s:c r="B22476" s="121" t="n"/>
      <s:c r="C22476" s="121" t="n"/>
      <s:c r="D22476" s="121" t="n"/>
      <s:c r="E22476" s="122" t="n"/>
    </s:row>
    <s:row r="22477" hidden="1" ht="1" customHeight="1">
      <s:c r="A22477" s="120" t="inlineStr"/>
      <s:c r="B22477" s="121" t="n"/>
      <s:c r="C22477" s="121" t="n"/>
      <s:c r="D22477" s="121" t="n"/>
      <s:c r="E22477" s="122" t="n"/>
    </s:row>
    <s:row r="22478" hidden="1" ht="1" customHeight="1">
      <s:c r="A22478" s="120" t="inlineStr"/>
      <s:c r="B22478" s="121" t="n"/>
      <s:c r="C22478" s="121" t="n"/>
      <s:c r="D22478" s="121" t="n"/>
      <s:c r="E22478" s="122" t="n"/>
    </s:row>
    <s:row r="22479" hidden="1" ht="1" customHeight="1">
      <s:c r="A22479" s="120" t="inlineStr"/>
      <s:c r="B22479" s="121" t="n"/>
      <s:c r="C22479" s="121" t="n"/>
      <s:c r="D22479" s="121" t="n"/>
      <s:c r="E22479" s="122" t="n"/>
    </s:row>
    <s:row r="22480" hidden="1" ht="1" customHeight="1">
      <s:c r="A22480" s="120" t="inlineStr"/>
      <s:c r="B22480" s="121" t="n"/>
      <s:c r="C22480" s="121" t="n"/>
      <s:c r="D22480" s="121" t="n"/>
      <s:c r="E22480" s="122" t="n"/>
    </s:row>
    <s:row r="22481" hidden="1" ht="1" customHeight="1">
      <s:c r="A22481" s="120" t="inlineStr"/>
      <s:c r="B22481" s="121" t="n"/>
      <s:c r="C22481" s="121" t="n"/>
      <s:c r="D22481" s="121" t="n"/>
      <s:c r="E22481" s="122" t="n"/>
    </s:row>
    <s:row r="22482" hidden="1" ht="1" customHeight="1">
      <s:c r="A22482" s="120" t="inlineStr"/>
      <s:c r="B22482" s="121" t="n"/>
      <s:c r="C22482" s="121" t="n"/>
      <s:c r="D22482" s="121" t="n"/>
      <s:c r="E22482" s="122" t="n"/>
    </s:row>
    <s:row r="22483" hidden="1" ht="1" customHeight="1">
      <s:c r="A22483" s="120" t="inlineStr"/>
      <s:c r="B22483" s="121" t="n"/>
      <s:c r="C22483" s="121" t="n"/>
      <s:c r="D22483" s="121" t="n"/>
      <s:c r="E22483" s="122" t="n"/>
    </s:row>
    <s:row r="22484" hidden="1" ht="1" customHeight="1">
      <s:c r="A22484" s="120" t="inlineStr"/>
      <s:c r="B22484" s="121" t="n"/>
      <s:c r="C22484" s="121" t="n"/>
      <s:c r="D22484" s="121" t="n"/>
      <s:c r="E22484" s="122" t="n"/>
    </s:row>
    <s:row r="22485" hidden="1" ht="1" customHeight="1">
      <s:c r="A22485" s="120" t="inlineStr"/>
      <s:c r="B22485" s="121" t="n"/>
      <s:c r="C22485" s="121" t="n"/>
      <s:c r="D22485" s="121" t="n"/>
      <s:c r="E22485" s="122" t="n"/>
    </s:row>
    <s:row r="22486" hidden="1" ht="1" customHeight="1">
      <s:c r="A22486" s="120" t="inlineStr"/>
      <s:c r="B22486" s="121" t="n"/>
      <s:c r="C22486" s="121" t="n"/>
      <s:c r="D22486" s="121" t="n"/>
      <s:c r="E22486" s="122" t="n"/>
    </s:row>
    <s:row r="22487" hidden="1" ht="1" customHeight="1">
      <s:c r="A22487" s="120" t="inlineStr"/>
      <s:c r="B22487" s="121" t="n"/>
      <s:c r="C22487" s="121" t="n"/>
      <s:c r="D22487" s="121" t="n"/>
      <s:c r="E22487" s="122" t="n"/>
    </s:row>
    <s:row r="22488" hidden="1" ht="1" customHeight="1">
      <s:c r="A22488" s="120" t="inlineStr"/>
      <s:c r="B22488" s="121" t="n"/>
      <s:c r="C22488" s="121" t="n"/>
      <s:c r="D22488" s="121" t="n"/>
      <s:c r="E22488" s="122" t="n"/>
    </s:row>
    <s:row r="22489" hidden="1" ht="1" customHeight="1">
      <s:c r="A22489" s="120" t="inlineStr"/>
      <s:c r="B22489" s="121" t="n"/>
      <s:c r="C22489" s="121" t="n"/>
      <s:c r="D22489" s="121" t="n"/>
      <s:c r="E22489" s="122" t="n"/>
    </s:row>
    <s:row r="22490" hidden="1" ht="1" customHeight="1">
      <s:c r="A22490" s="120" t="inlineStr"/>
      <s:c r="B22490" s="121" t="n"/>
      <s:c r="C22490" s="121" t="n"/>
      <s:c r="D22490" s="121" t="n"/>
      <s:c r="E22490" s="122" t="n"/>
    </s:row>
    <s:row r="22491" hidden="1" ht="1" customHeight="1">
      <s:c r="A22491" s="120" t="inlineStr"/>
      <s:c r="B22491" s="121" t="n"/>
      <s:c r="C22491" s="121" t="n"/>
      <s:c r="D22491" s="121" t="n"/>
      <s:c r="E22491" s="122" t="n"/>
    </s:row>
    <s:row r="22492" hidden="1" ht="1" customHeight="1">
      <s:c r="A22492" s="120" t="inlineStr"/>
      <s:c r="B22492" s="121" t="n"/>
      <s:c r="C22492" s="121" t="n"/>
      <s:c r="D22492" s="121" t="n"/>
      <s:c r="E22492" s="122" t="n"/>
    </s:row>
    <s:row r="22493" hidden="1" ht="1" customHeight="1">
      <s:c r="A22493" s="120" t="inlineStr"/>
      <s:c r="B22493" s="121" t="n"/>
      <s:c r="C22493" s="121" t="n"/>
      <s:c r="D22493" s="121" t="n"/>
      <s:c r="E22493" s="122" t="n"/>
    </s:row>
    <s:row r="22494" hidden="1" ht="1" customHeight="1">
      <s:c r="A22494" s="120" t="inlineStr"/>
      <s:c r="B22494" s="121" t="n"/>
      <s:c r="C22494" s="121" t="n"/>
      <s:c r="D22494" s="121" t="n"/>
      <s:c r="E22494" s="122" t="n"/>
    </s:row>
    <s:row r="22495" hidden="1" ht="1" customHeight="1">
      <s:c r="A22495" s="120" t="inlineStr"/>
      <s:c r="B22495" s="121" t="n"/>
      <s:c r="C22495" s="121" t="n"/>
      <s:c r="D22495" s="121" t="n"/>
      <s:c r="E22495" s="122" t="n"/>
    </s:row>
    <s:row r="22496" hidden="1" ht="1" customHeight="1">
      <s:c r="A22496" s="120" t="inlineStr"/>
      <s:c r="B22496" s="121" t="n"/>
      <s:c r="C22496" s="121" t="n"/>
      <s:c r="D22496" s="121" t="n"/>
      <s:c r="E22496" s="122" t="n"/>
    </s:row>
    <s:row r="22497" hidden="1" ht="1" customHeight="1">
      <s:c r="A22497" s="120" t="inlineStr"/>
      <s:c r="B22497" s="121" t="n"/>
      <s:c r="C22497" s="121" t="n"/>
      <s:c r="D22497" s="121" t="n"/>
      <s:c r="E22497" s="122" t="n"/>
    </s:row>
    <s:row r="22498" hidden="1" ht="1" customHeight="1">
      <s:c r="A22498" s="120" t="inlineStr"/>
      <s:c r="B22498" s="121" t="n"/>
      <s:c r="C22498" s="121" t="n"/>
      <s:c r="D22498" s="121" t="n"/>
      <s:c r="E22498" s="122" t="n"/>
    </s:row>
    <s:row r="22499" hidden="1" ht="1" customHeight="1">
      <s:c r="A22499" s="120" t="inlineStr"/>
      <s:c r="B22499" s="121" t="n"/>
      <s:c r="C22499" s="121" t="n"/>
      <s:c r="D22499" s="121" t="n"/>
      <s:c r="E22499" s="122" t="n"/>
    </s:row>
    <s:row r="22500" hidden="1" ht="1" customHeight="1">
      <s:c r="A22500" s="120" t="inlineStr"/>
      <s:c r="B22500" s="121" t="n"/>
      <s:c r="C22500" s="121" t="n"/>
      <s:c r="D22500" s="121" t="n"/>
      <s:c r="E22500" s="122" t="n"/>
    </s:row>
    <s:row r="22501" hidden="1" ht="1" customHeight="1">
      <s:c r="A22501" s="120" t="inlineStr"/>
      <s:c r="B22501" s="121" t="n"/>
      <s:c r="C22501" s="121" t="n"/>
      <s:c r="D22501" s="121" t="n"/>
      <s:c r="E22501" s="122" t="n"/>
    </s:row>
    <s:row r="22502" hidden="1" ht="1" customHeight="1">
      <s:c r="A22502" s="120" t="inlineStr"/>
      <s:c r="B22502" s="121" t="n"/>
      <s:c r="C22502" s="121" t="n"/>
      <s:c r="D22502" s="121" t="n"/>
      <s:c r="E22502" s="122" t="n"/>
    </s:row>
    <s:row r="22503" hidden="1" ht="1" customHeight="1">
      <s:c r="A22503" s="120" t="inlineStr"/>
      <s:c r="B22503" s="121" t="n"/>
      <s:c r="C22503" s="121" t="n"/>
      <s:c r="D22503" s="121" t="n"/>
      <s:c r="E22503" s="122" t="n"/>
    </s:row>
    <s:row r="22504" hidden="1" ht="1" customHeight="1">
      <s:c r="A22504" s="120" t="inlineStr"/>
      <s:c r="B22504" s="121" t="n"/>
      <s:c r="C22504" s="121" t="n"/>
      <s:c r="D22504" s="121" t="n"/>
      <s:c r="E22504" s="122" t="n"/>
    </s:row>
    <s:row r="22505" hidden="1" ht="1" customHeight="1">
      <s:c r="A22505" s="120" t="inlineStr"/>
      <s:c r="B22505" s="121" t="n"/>
      <s:c r="C22505" s="121" t="n"/>
      <s:c r="D22505" s="121" t="n"/>
      <s:c r="E22505" s="122" t="n"/>
    </s:row>
    <s:row r="22506" hidden="1" ht="1" customHeight="1">
      <s:c r="A22506" s="120" t="inlineStr"/>
      <s:c r="B22506" s="121" t="n"/>
      <s:c r="C22506" s="121" t="n"/>
      <s:c r="D22506" s="121" t="n"/>
      <s:c r="E22506" s="122" t="n"/>
    </s:row>
    <s:row r="22507" hidden="1" ht="1" customHeight="1">
      <s:c r="A22507" s="120" t="inlineStr"/>
      <s:c r="B22507" s="121" t="n"/>
      <s:c r="C22507" s="121" t="n"/>
      <s:c r="D22507" s="121" t="n"/>
      <s:c r="E22507" s="122" t="n"/>
    </s:row>
    <s:row r="22508" hidden="1" ht="1" customHeight="1">
      <s:c r="A22508" s="120" t="inlineStr"/>
      <s:c r="B22508" s="121" t="n"/>
      <s:c r="C22508" s="121" t="n"/>
      <s:c r="D22508" s="121" t="n"/>
      <s:c r="E22508" s="122" t="n"/>
    </s:row>
    <s:row r="22509" hidden="1" ht="1" customHeight="1">
      <s:c r="A22509" s="120" t="inlineStr"/>
      <s:c r="B22509" s="121" t="n"/>
      <s:c r="C22509" s="121" t="n"/>
      <s:c r="D22509" s="121" t="n"/>
      <s:c r="E22509" s="122" t="n"/>
    </s:row>
    <s:row r="22510" hidden="1" ht="1" customHeight="1">
      <s:c r="A22510" s="120" t="inlineStr"/>
      <s:c r="B22510" s="121" t="n"/>
      <s:c r="C22510" s="121" t="n"/>
      <s:c r="D22510" s="121" t="n"/>
      <s:c r="E22510" s="122" t="n"/>
    </s:row>
    <s:row r="22511" hidden="1" ht="1" customHeight="1">
      <s:c r="A22511" s="120" t="inlineStr"/>
      <s:c r="B22511" s="121" t="n"/>
      <s:c r="C22511" s="121" t="n"/>
      <s:c r="D22511" s="121" t="n"/>
      <s:c r="E22511" s="122" t="n"/>
    </s:row>
    <s:row r="22512" hidden="1" ht="1" customHeight="1">
      <s:c r="A22512" s="120" t="inlineStr"/>
      <s:c r="B22512" s="121" t="n"/>
      <s:c r="C22512" s="121" t="n"/>
      <s:c r="D22512" s="121" t="n"/>
      <s:c r="E22512" s="122" t="n"/>
    </s:row>
    <s:row r="22513" hidden="1" ht="1" customHeight="1">
      <s:c r="A22513" s="120" t="inlineStr"/>
      <s:c r="B22513" s="121" t="n"/>
      <s:c r="C22513" s="121" t="n"/>
      <s:c r="D22513" s="121" t="n"/>
      <s:c r="E22513" s="122" t="n"/>
    </s:row>
    <s:row r="22514" hidden="1" ht="1" customHeight="1">
      <s:c r="A22514" s="120" t="inlineStr"/>
      <s:c r="B22514" s="121" t="n"/>
      <s:c r="C22514" s="121" t="n"/>
      <s:c r="D22514" s="121" t="n"/>
      <s:c r="E22514" s="122" t="n"/>
    </s:row>
    <s:row r="22515" hidden="1" ht="1" customHeight="1">
      <s:c r="A22515" s="83" t="inlineStr">
        <s:is>
          <s:t>PASS</s:t>
        </s:is>
      </s:c>
      <s:c r="B22515" s="83">
        <s:f>SUM(IF(EXACT('Kiểm thử'!E22465,"Đạt"),1,0))</s:f>
        <s:v/>
      </s:c>
      <s:c r="C22515" s="19" t="n"/>
      <s:c r="D22515" s="19" t="n"/>
      <s:c r="E22515" s="19" t="n"/>
    </s:row>
    <s:row r="22516" hidden="1" ht="1" customHeight="1">
      <s:c r="A22516" s="83" t="inlineStr">
        <s:is>
          <s:t>FAIL</s:t>
        </s:is>
      </s:c>
      <s:c r="B22516" s="83">
        <s:f>SUM(IF(EXACT('Kiểm thử'!E22465,"Không đạt"),1,0))</s:f>
        <s:v/>
      </s:c>
      <s:c r="C22516" s="19" t="n"/>
      <s:c r="D22516" s="19" t="n"/>
      <s:c r="E22516" s="19" t="n"/>
    </s:row>
    <s:row r="22517" hidden="1" ht="1" customHeight="1">
      <s:c r="A22517" s="83" t="inlineStr">
        <s:is>
          <s:t>BLOCKED</s:t>
        </s:is>
      </s:c>
      <s:c r="B22517" s="83">
        <s:f>SUM(IF(EXACT('Kiểm thử'!E22465,"Bị chặn"),1,0))</s:f>
        <s:v/>
      </s:c>
      <s:c r="C22517" s="19" t="n"/>
      <s:c r="D22517" s="19" t="n"/>
      <s:c r="E22517" s="19" t="n"/>
    </s:row>
    <s:row r="22518" hidden="1" ht="1" customHeight="1">
      <s:c r="A22518" s="83" t="inlineStr">
        <s:is>
          <s:t>SKIPPED</s:t>
        </s:is>
      </s:c>
      <s:c r="B22518" s="83">
        <s:f>SUM(IF(EXACT('Kiểm thử'!E22465,"Không thực hiện"),1,0))</s:f>
        <s:v/>
      </s:c>
      <s:c r="C22518" s="19" t="n"/>
      <s:c r="D22518" s="19" t="n"/>
      <s:c r="E22518" s="19" t="n"/>
    </s:row>
    <s:row r="22519" hidden="1" ht="1" customHeight="1">
      <s:c r="A22519" s="83" t="inlineStr">
        <s:is>
          <s:t>NOT RUN</s:t>
        </s:is>
      </s:c>
      <s:c r="B22519" s="83">
        <s:f>SUM(IF(EXACT('Kiểm thử'!E22465,"Chưa thực hiện"),1,0))</s:f>
        <s:v/>
      </s:c>
      <s:c r="C22519" s="19" t="n"/>
      <s:c r="D22519" s="19" t="n"/>
      <s:c r="E22519" s="19" t="n"/>
    </s:row>
    <s:row r="22520" hidden="1" ht="6" customHeight="1">
      <s:c r="A22520" s="83" t="inlineStr"/>
      <s:c r="B22520" s="19" t="n"/>
      <s:c r="C22520" s="19" t="n"/>
      <s:c r="D22520" s="19" t="n"/>
      <s:c r="E22520" s="19" t="n"/>
    </s:row>
    <s:row r="22521" ht="28" customHeight="1">
      <s:c r="A22521" s="108" t="inlineStr">
        <s:is>
          <s:t>TC-RS-ERR-006 — Gửi request lưu quy tắc trực tiếp khi không có quyền sửa mục</s:t>
        </s:is>
      </s:c>
      <s:c r="B22521" s="111" t="n"/>
      <s:c r="C22521" s="111" t="n"/>
      <s:c r="D22521" s="111" t="n"/>
      <s:c r="E22521" s="111" t="n"/>
    </s:row>
    <s:row r="22522" ht="20" customHeight="1">
      <s:c r="A22522" s="112" t="inlineStr">
        <s:is>
          <s:t>Kết quả tình huống</s:t>
        </s:is>
      </s:c>
      <s:c r="B22522" s="113">
        <s:f>IF(SUM(IF(EXACT('Kiểm thử'!E22531,"Không đạt"),1,0),IF(EXACT('Kiểm thử'!E22533,"Không đạt"),1,0),IF(EXACT('Kiểm thử'!E22535,"Không đạt"),1,0))&gt;0,"Không đạt",IF(SUM(IF(EXACT('Kiểm thử'!E22531,"Đạt"),1,0),IF(EXACT('Kiểm thử'!E22533,"Đạt"),1,0),IF(EXACT('Kiểm thử'!E22535,"Đạt"),1,0))=3,"Đạt",IF(SUM(IF(EXACT('Kiểm thử'!E22531,"Không thực hiện"),1,0),IF(EXACT('Kiểm thử'!E22533,"Không thực hiện"),1,0),IF(EXACT('Kiểm thử'!E22535,"Không thực hiện"),1,0))=3,"Không thực hiện",IF(SUM(IF(EXACT('Kiểm thử'!E22531,"Bị chặn"),1,0),IF(EXACT('Kiểm thử'!E22533,"Bị chặn"),1,0),IF(EXACT('Kiểm thử'!E22535,"Bị chặn"),1,0))&gt;0,"Bị chặn",IF(SUM(IF(EXACT('Kiểm thử'!E22531,"Chưa thực hiện"),1,0),IF(EXACT('Kiểm thử'!E22533,"Chưa thực hiện"),1,0),IF(EXACT('Kiểm thử'!E22535,"Chưa thực hiện"),1,0))=3,"Chưa thực hiện","Đang thực hiện")))))</s:f>
        <s:v/>
      </s:c>
      <s:c r="C22522" s="114" t="n"/>
      <s:c r="D22522" s="114" t="n"/>
      <s:c r="E22522" s="114" t="n"/>
    </s:row>
    <s:row r="22523" ht="20" customHeight="1">
      <s:c r="A22523" s="112" t="inlineStr">
        <s:is>
          <s:t>Màn hình / chức năng</s:t>
        </s:is>
      </s:c>
      <s:c r="B22523" s="113" t="inlineStr">
        <s:is>
          <s:t>Quyền thao tác</s:t>
        </s:is>
      </s:c>
      <s:c r="C22523" s="28" t="n"/>
      <s:c r="D22523" s="28" t="n"/>
      <s:c r="E22523" s="28" t="n"/>
    </s:row>
    <s:row r="22524" ht="48" customHeight="1">
      <s:c r="A22524" s="112" t="inlineStr">
        <s:is>
          <s:t>Cấu hình</s:t>
        </s:is>
      </s:c>
      <s:c r="B22524" s="113" t="inlineStr">
        <s:is>
          <s:t>• Tài khoản giáo viên không có quyền sửa mục;
• Mục chỉ dành nội bộ có một quy tắc. Có bản ghi request lưu/xóa/đổi thứ tự hợp lệ lấy từ tài khoản giáo viên có quyền sửa mục.</s:t>
        </s:is>
      </s:c>
      <s:c r="C22524" s="28" t="n"/>
      <s:c r="D22524" s="28" t="n"/>
      <s:c r="E22524" s="28" t="n"/>
    </s:row>
    <s:row r="22525" ht="20" customHeight="1">
      <s:c r="A22525" s="112" t="inlineStr">
        <s:is>
          <s:t>Dữ liệu test</s:t>
        </s:is>
      </s:c>
      <s:c r="B22525" s="113" t="inlineStr">
        <s:is>
          <s:t>• Tài khoản giáo viên không có quyền sửa mục, mục chỉ dành nội bộ</s:t>
        </s:is>
      </s:c>
      <s:c r="C22525" s="28" t="n"/>
      <s:c r="D22525" s="28" t="n"/>
      <s:c r="E22525" s="28" t="n"/>
    </s:row>
    <s:row r="22526" ht="34" customHeight="1">
      <s:c r="A22526" s="112" t="inlineStr">
        <s:is>
          <s:t>Bước 1</s:t>
        </s:is>
      </s:c>
      <s:c r="B22526" s="113" t="inlineStr">
        <s:is>
          <s:t>Ghi baseline cấu hình và request hợp lệ bằng tài khoản có quyền; chuyển sang phiên giáo viên không được sửa mục.</s:t>
        </s:is>
      </s:c>
      <s:c r="C22526" s="28" t="n"/>
      <s:c r="D22526" s="28" t="n"/>
      <s:c r="E22526" s="28" t="n"/>
    </s:row>
    <s:row r="22527" ht="20" customHeight="1">
      <s:c r="A22527" s="112" t="inlineStr">
        <s:is>
          <s:t>Bước 2</s:t>
        </s:is>
      </s:c>
      <s:c r="B22527" s="113" t="inlineStr">
        <s:is>
          <s:t>Gửi riêng request của trường hợp đang chạy với identity đích giữ nguyên.</s:t>
        </s:is>
      </s:c>
      <s:c r="C22527" s="28" t="n"/>
      <s:c r="D22527" s="28" t="n"/>
      <s:c r="E22527" s="28" t="n"/>
    </s:row>
    <s:row r="22528" ht="20" customHeight="1">
      <s:c r="A22528" s="112" t="inlineStr">
        <s:is>
          <s:t>Bước 3</s:t>
        </s:is>
      </s:c>
      <s:c r="B22528" s="113" t="inlineStr">
        <s:is>
          <s:t>Đọc response, cấu hình và dấu hiệu lượt xét; không suy từ việc UI không có nút.</s:t>
        </s:is>
      </s:c>
      <s:c r="C22528" s="28" t="n"/>
      <s:c r="D22528" s="28" t="n"/>
      <s:c r="E22528" s="28" t="n"/>
    </s:row>
    <s:row r="22529" ht="28" customHeight="1">
      <s:c r="A22529" s="115" t="inlineStr">
        <s:is>
          <s:t>Trường hợp</s:t>
        </s:is>
      </s:c>
      <s:c r="B22529" s="115" t="inlineStr">
        <s:is>
          <s:t>Dữ liệu / thao tác riêng</s:t>
        </s:is>
      </s:c>
      <s:c r="C22529" s="115" t="inlineStr">
        <s:is>
          <s:t>Kết quả mong đợi</s:t>
        </s:is>
      </s:c>
      <s:c r="D22529" s="115" t="inlineStr">
        <s:is>
          <s:t>Kết quả thực tế</s:t>
        </s:is>
      </s:c>
      <s:c r="E22529" s="115" t="inlineStr">
        <s:is>
          <s:t>Đánh giá</s:t>
        </s:is>
      </s:c>
    </s:row>
    <s:row r="22530" ht="3" customHeight="1">
      <s:c r="A22530" s="102" t="inlineStr"/>
      <s:c r="B22530" s="99" t="n"/>
      <s:c r="C22530" s="99" t="n"/>
      <s:c r="D22530" s="116" t="n"/>
      <s:c r="E22530" s="116" t="n"/>
    </s:row>
    <s:row r="22531" ht="76" customHeight="1">
      <s:c r="A22531" s="83" t="inlineStr">
        <s:is>
          <s:t>Lưu không có quyền (save)</s:t>
        </s:is>
      </s:c>
      <s:c r="B22531" s="83" t="inlineStr">
        <s:is>
          <s:t>Dùng phiên giáo viên không có quyền sửa mục, gửi lại POST lưu hợp lệ đã ghi từ tài khoản có quyền cho rule của mục chỉ dành nội bộ.</s:t>
        </s:is>
      </s:c>
      <s:c r="C22531" s="83" t="inlineStr">
        <s:is>
          <s:t>Mọi request bị từ chối; cấu hình không đổi; không có lượt xét phát sinh.</s:t>
        </s:is>
      </s:c>
      <s:c r="D22531" s="117" t="inlineStr"/>
      <s:c r="E22531" s="118" t="inlineStr">
        <s:is>
          <s:t>Chưa thực hiện</s:t>
        </s:is>
      </s:c>
    </s:row>
    <s:row r="22532" ht="3" customHeight="1">
      <s:c r="A22532" s="102" t="inlineStr"/>
      <s:c r="B22532" s="99" t="n"/>
      <s:c r="C22532" s="99" t="n"/>
      <s:c r="D22532" s="116" t="n"/>
      <s:c r="E22532" s="116" t="n"/>
    </s:row>
    <s:row r="22533" ht="62" customHeight="1">
      <s:c r="A22533" s="83" t="inlineStr">
        <s:is>
          <s:t>Đồng ý xóa (delete)</s:t>
        </s:is>
      </s:c>
      <s:c r="B22533" s="83" t="inlineStr">
        <s:is>
          <s:t>Xóa không có quyền: Cùng phiên không có quyền sửa mục, gửi lại POST xóa hợp lệ của rule trong mục chỉ dành nội bộ.</s:t>
        </s:is>
      </s:c>
      <s:c r="C22533" s="83" t="inlineStr">
        <s:is>
          <s:t>Mọi request bị từ chối; cấu hình không đổi; không có lượt xét phát sinh.</s:t>
        </s:is>
      </s:c>
      <s:c r="D22533" s="117" t="inlineStr"/>
      <s:c r="E22533" s="118" t="inlineStr">
        <s:is>
          <s:t>Chưa thực hiện</s:t>
        </s:is>
      </s:c>
    </s:row>
    <s:row r="22534" ht="3" customHeight="1">
      <s:c r="A22534" s="102" t="inlineStr"/>
      <s:c r="B22534" s="99" t="n"/>
      <s:c r="C22534" s="99" t="n"/>
      <s:c r="D22534" s="116" t="n"/>
      <s:c r="E22534" s="116" t="n"/>
    </s:row>
    <s:row r="22535" ht="62" customHeight="1">
      <s:c r="A22535" s="83" t="inlineStr">
        <s:is>
          <s:t>Đổi thứ tự không có quyền (reorder)</s:t>
        </s:is>
      </s:c>
      <s:c r="B22535" s="83" t="inlineStr">
        <s:is>
          <s:t>Cùng phiên không có quyền sửa mục, gửi lại POST đổi thứ tự hợp lệ của rule trong mục chỉ dành nội bộ.</s:t>
        </s:is>
      </s:c>
      <s:c r="C22535" s="83" t="inlineStr">
        <s:is>
          <s:t>Mọi request bị từ chối; cấu hình không đổi; không có lượt xét phát sinh.</s:t>
        </s:is>
      </s:c>
      <s:c r="D22535" s="117" t="inlineStr"/>
      <s:c r="E22535" s="118" t="inlineStr">
        <s:is>
          <s:t>Chưa thực hiện</s:t>
        </s:is>
      </s:c>
    </s:row>
    <s:row r="22536" ht="20" customHeight="1">
      <s:c r="A22536" s="119" t="inlineStr">
        <s:is>
          <s:t>Ảnh minh chứng — Chưa có ảnh</s:t>
        </s:is>
      </s:c>
      <s:c r="B22536" s="19" t="n"/>
      <s:c r="C22536" s="19" t="n"/>
      <s:c r="D22536" s="19" t="n"/>
      <s:c r="E22536" s="19" t="n"/>
    </s:row>
    <s:row r="22537" hidden="1" ht="1" customHeight="1">
      <s:c r="A22537" s="120" t="inlineStr"/>
      <s:c r="B22537" s="121" t="n"/>
      <s:c r="C22537" s="121" t="n"/>
      <s:c r="D22537" s="121" t="n"/>
      <s:c r="E22537" s="122" t="n"/>
    </s:row>
    <s:row r="22538" hidden="1" ht="1" customHeight="1">
      <s:c r="A22538" s="120" t="inlineStr"/>
      <s:c r="B22538" s="121" t="n"/>
      <s:c r="C22538" s="121" t="n"/>
      <s:c r="D22538" s="121" t="n"/>
      <s:c r="E22538" s="122" t="n"/>
    </s:row>
    <s:row r="22539" hidden="1" ht="1" customHeight="1">
      <s:c r="A22539" s="120" t="inlineStr"/>
      <s:c r="B22539" s="121" t="n"/>
      <s:c r="C22539" s="121" t="n"/>
      <s:c r="D22539" s="121" t="n"/>
      <s:c r="E22539" s="122" t="n"/>
    </s:row>
    <s:row r="22540" hidden="1" ht="1" customHeight="1">
      <s:c r="A22540" s="120" t="inlineStr"/>
      <s:c r="B22540" s="121" t="n"/>
      <s:c r="C22540" s="121" t="n"/>
      <s:c r="D22540" s="121" t="n"/>
      <s:c r="E22540" s="122" t="n"/>
    </s:row>
    <s:row r="22541" hidden="1" ht="1" customHeight="1">
      <s:c r="A22541" s="120" t="inlineStr"/>
      <s:c r="B22541" s="121" t="n"/>
      <s:c r="C22541" s="121" t="n"/>
      <s:c r="D22541" s="121" t="n"/>
      <s:c r="E22541" s="122" t="n"/>
    </s:row>
    <s:row r="22542" hidden="1" ht="1" customHeight="1">
      <s:c r="A22542" s="120" t="inlineStr"/>
      <s:c r="B22542" s="121" t="n"/>
      <s:c r="C22542" s="121" t="n"/>
      <s:c r="D22542" s="121" t="n"/>
      <s:c r="E22542" s="122" t="n"/>
    </s:row>
    <s:row r="22543" hidden="1" ht="1" customHeight="1">
      <s:c r="A22543" s="120" t="inlineStr"/>
      <s:c r="B22543" s="121" t="n"/>
      <s:c r="C22543" s="121" t="n"/>
      <s:c r="D22543" s="121" t="n"/>
      <s:c r="E22543" s="122" t="n"/>
    </s:row>
    <s:row r="22544" hidden="1" ht="1" customHeight="1">
      <s:c r="A22544" s="120" t="inlineStr"/>
      <s:c r="B22544" s="121" t="n"/>
      <s:c r="C22544" s="121" t="n"/>
      <s:c r="D22544" s="121" t="n"/>
      <s:c r="E22544" s="122" t="n"/>
    </s:row>
    <s:row r="22545" hidden="1" ht="1" customHeight="1">
      <s:c r="A22545" s="120" t="inlineStr"/>
      <s:c r="B22545" s="121" t="n"/>
      <s:c r="C22545" s="121" t="n"/>
      <s:c r="D22545" s="121" t="n"/>
      <s:c r="E22545" s="122" t="n"/>
    </s:row>
    <s:row r="22546" hidden="1" ht="1" customHeight="1">
      <s:c r="A22546" s="120" t="inlineStr"/>
      <s:c r="B22546" s="121" t="n"/>
      <s:c r="C22546" s="121" t="n"/>
      <s:c r="D22546" s="121" t="n"/>
      <s:c r="E22546" s="122" t="n"/>
    </s:row>
    <s:row r="22547" hidden="1" ht="1" customHeight="1">
      <s:c r="A22547" s="120" t="inlineStr"/>
      <s:c r="B22547" s="121" t="n"/>
      <s:c r="C22547" s="121" t="n"/>
      <s:c r="D22547" s="121" t="n"/>
      <s:c r="E22547" s="122" t="n"/>
    </s:row>
    <s:row r="22548" hidden="1" ht="1" customHeight="1">
      <s:c r="A22548" s="120" t="inlineStr"/>
      <s:c r="B22548" s="121" t="n"/>
      <s:c r="C22548" s="121" t="n"/>
      <s:c r="D22548" s="121" t="n"/>
      <s:c r="E22548" s="122" t="n"/>
    </s:row>
    <s:row r="22549" hidden="1" ht="1" customHeight="1">
      <s:c r="A22549" s="120" t="inlineStr"/>
      <s:c r="B22549" s="121" t="n"/>
      <s:c r="C22549" s="121" t="n"/>
      <s:c r="D22549" s="121" t="n"/>
      <s:c r="E22549" s="122" t="n"/>
    </s:row>
    <s:row r="22550" hidden="1" ht="1" customHeight="1">
      <s:c r="A22550" s="120" t="inlineStr"/>
      <s:c r="B22550" s="121" t="n"/>
      <s:c r="C22550" s="121" t="n"/>
      <s:c r="D22550" s="121" t="n"/>
      <s:c r="E22550" s="122" t="n"/>
    </s:row>
    <s:row r="22551" hidden="1" ht="1" customHeight="1">
      <s:c r="A22551" s="120" t="inlineStr"/>
      <s:c r="B22551" s="121" t="n"/>
      <s:c r="C22551" s="121" t="n"/>
      <s:c r="D22551" s="121" t="n"/>
      <s:c r="E22551" s="122" t="n"/>
    </s:row>
    <s:row r="22552" hidden="1" ht="1" customHeight="1">
      <s:c r="A22552" s="120" t="inlineStr"/>
      <s:c r="B22552" s="121" t="n"/>
      <s:c r="C22552" s="121" t="n"/>
      <s:c r="D22552" s="121" t="n"/>
      <s:c r="E22552" s="122" t="n"/>
    </s:row>
    <s:row r="22553" hidden="1" ht="1" customHeight="1">
      <s:c r="A22553" s="120" t="inlineStr"/>
      <s:c r="B22553" s="121" t="n"/>
      <s:c r="C22553" s="121" t="n"/>
      <s:c r="D22553" s="121" t="n"/>
      <s:c r="E22553" s="122" t="n"/>
    </s:row>
    <s:row r="22554" hidden="1" ht="1" customHeight="1">
      <s:c r="A22554" s="120" t="inlineStr"/>
      <s:c r="B22554" s="121" t="n"/>
      <s:c r="C22554" s="121" t="n"/>
      <s:c r="D22554" s="121" t="n"/>
      <s:c r="E22554" s="122" t="n"/>
    </s:row>
    <s:row r="22555" hidden="1" ht="1" customHeight="1">
      <s:c r="A22555" s="120" t="inlineStr"/>
      <s:c r="B22555" s="121" t="n"/>
      <s:c r="C22555" s="121" t="n"/>
      <s:c r="D22555" s="121" t="n"/>
      <s:c r="E22555" s="122" t="n"/>
    </s:row>
    <s:row r="22556" hidden="1" ht="1" customHeight="1">
      <s:c r="A22556" s="120" t="inlineStr"/>
      <s:c r="B22556" s="121" t="n"/>
      <s:c r="C22556" s="121" t="n"/>
      <s:c r="D22556" s="121" t="n"/>
      <s:c r="E22556" s="122" t="n"/>
    </s:row>
    <s:row r="22557" hidden="1" ht="1" customHeight="1">
      <s:c r="A22557" s="120" t="inlineStr"/>
      <s:c r="B22557" s="121" t="n"/>
      <s:c r="C22557" s="121" t="n"/>
      <s:c r="D22557" s="121" t="n"/>
      <s:c r="E22557" s="122" t="n"/>
    </s:row>
    <s:row r="22558" hidden="1" ht="1" customHeight="1">
      <s:c r="A22558" s="120" t="inlineStr"/>
      <s:c r="B22558" s="121" t="n"/>
      <s:c r="C22558" s="121" t="n"/>
      <s:c r="D22558" s="121" t="n"/>
      <s:c r="E22558" s="122" t="n"/>
    </s:row>
    <s:row r="22559" hidden="1" ht="1" customHeight="1">
      <s:c r="A22559" s="120" t="inlineStr"/>
      <s:c r="B22559" s="121" t="n"/>
      <s:c r="C22559" s="121" t="n"/>
      <s:c r="D22559" s="121" t="n"/>
      <s:c r="E22559" s="122" t="n"/>
    </s:row>
    <s:row r="22560" hidden="1" ht="1" customHeight="1">
      <s:c r="A22560" s="120" t="inlineStr"/>
      <s:c r="B22560" s="121" t="n"/>
      <s:c r="C22560" s="121" t="n"/>
      <s:c r="D22560" s="121" t="n"/>
      <s:c r="E22560" s="122" t="n"/>
    </s:row>
    <s:row r="22561" hidden="1" ht="1" customHeight="1">
      <s:c r="A22561" s="120" t="inlineStr"/>
      <s:c r="B22561" s="121" t="n"/>
      <s:c r="C22561" s="121" t="n"/>
      <s:c r="D22561" s="121" t="n"/>
      <s:c r="E22561" s="122" t="n"/>
    </s:row>
    <s:row r="22562" hidden="1" ht="1" customHeight="1">
      <s:c r="A22562" s="120" t="inlineStr"/>
      <s:c r="B22562" s="121" t="n"/>
      <s:c r="C22562" s="121" t="n"/>
      <s:c r="D22562" s="121" t="n"/>
      <s:c r="E22562" s="122" t="n"/>
    </s:row>
    <s:row r="22563" hidden="1" ht="1" customHeight="1">
      <s:c r="A22563" s="120" t="inlineStr"/>
      <s:c r="B22563" s="121" t="n"/>
      <s:c r="C22563" s="121" t="n"/>
      <s:c r="D22563" s="121" t="n"/>
      <s:c r="E22563" s="122" t="n"/>
    </s:row>
    <s:row r="22564" hidden="1" ht="1" customHeight="1">
      <s:c r="A22564" s="120" t="inlineStr"/>
      <s:c r="B22564" s="121" t="n"/>
      <s:c r="C22564" s="121" t="n"/>
      <s:c r="D22564" s="121" t="n"/>
      <s:c r="E22564" s="122" t="n"/>
    </s:row>
    <s:row r="22565" hidden="1" ht="1" customHeight="1">
      <s:c r="A22565" s="120" t="inlineStr"/>
      <s:c r="B22565" s="121" t="n"/>
      <s:c r="C22565" s="121" t="n"/>
      <s:c r="D22565" s="121" t="n"/>
      <s:c r="E22565" s="122" t="n"/>
    </s:row>
    <s:row r="22566" hidden="1" ht="1" customHeight="1">
      <s:c r="A22566" s="120" t="inlineStr"/>
      <s:c r="B22566" s="121" t="n"/>
      <s:c r="C22566" s="121" t="n"/>
      <s:c r="D22566" s="121" t="n"/>
      <s:c r="E22566" s="122" t="n"/>
    </s:row>
    <s:row r="22567" hidden="1" ht="1" customHeight="1">
      <s:c r="A22567" s="120" t="inlineStr"/>
      <s:c r="B22567" s="121" t="n"/>
      <s:c r="C22567" s="121" t="n"/>
      <s:c r="D22567" s="121" t="n"/>
      <s:c r="E22567" s="122" t="n"/>
    </s:row>
    <s:row r="22568" hidden="1" ht="1" customHeight="1">
      <s:c r="A22568" s="120" t="inlineStr"/>
      <s:c r="B22568" s="121" t="n"/>
      <s:c r="C22568" s="121" t="n"/>
      <s:c r="D22568" s="121" t="n"/>
      <s:c r="E22568" s="122" t="n"/>
    </s:row>
    <s:row r="22569" hidden="1" ht="1" customHeight="1">
      <s:c r="A22569" s="120" t="inlineStr"/>
      <s:c r="B22569" s="121" t="n"/>
      <s:c r="C22569" s="121" t="n"/>
      <s:c r="D22569" s="121" t="n"/>
      <s:c r="E22569" s="122" t="n"/>
    </s:row>
    <s:row r="22570" hidden="1" ht="1" customHeight="1">
      <s:c r="A22570" s="120" t="inlineStr"/>
      <s:c r="B22570" s="121" t="n"/>
      <s:c r="C22570" s="121" t="n"/>
      <s:c r="D22570" s="121" t="n"/>
      <s:c r="E22570" s="122" t="n"/>
    </s:row>
    <s:row r="22571" hidden="1" ht="1" customHeight="1">
      <s:c r="A22571" s="120" t="inlineStr"/>
      <s:c r="B22571" s="121" t="n"/>
      <s:c r="C22571" s="121" t="n"/>
      <s:c r="D22571" s="121" t="n"/>
      <s:c r="E22571" s="122" t="n"/>
    </s:row>
    <s:row r="22572" hidden="1" ht="1" customHeight="1">
      <s:c r="A22572" s="120" t="inlineStr"/>
      <s:c r="B22572" s="121" t="n"/>
      <s:c r="C22572" s="121" t="n"/>
      <s:c r="D22572" s="121" t="n"/>
      <s:c r="E22572" s="122" t="n"/>
    </s:row>
    <s:row r="22573" hidden="1" ht="1" customHeight="1">
      <s:c r="A22573" s="120" t="inlineStr"/>
      <s:c r="B22573" s="121" t="n"/>
      <s:c r="C22573" s="121" t="n"/>
      <s:c r="D22573" s="121" t="n"/>
      <s:c r="E22573" s="122" t="n"/>
    </s:row>
    <s:row r="22574" hidden="1" ht="1" customHeight="1">
      <s:c r="A22574" s="120" t="inlineStr"/>
      <s:c r="B22574" s="121" t="n"/>
      <s:c r="C22574" s="121" t="n"/>
      <s:c r="D22574" s="121" t="n"/>
      <s:c r="E22574" s="122" t="n"/>
    </s:row>
    <s:row r="22575" hidden="1" ht="1" customHeight="1">
      <s:c r="A22575" s="120" t="inlineStr"/>
      <s:c r="B22575" s="121" t="n"/>
      <s:c r="C22575" s="121" t="n"/>
      <s:c r="D22575" s="121" t="n"/>
      <s:c r="E22575" s="122" t="n"/>
    </s:row>
    <s:row r="22576" hidden="1" ht="1" customHeight="1">
      <s:c r="A22576" s="120" t="inlineStr"/>
      <s:c r="B22576" s="121" t="n"/>
      <s:c r="C22576" s="121" t="n"/>
      <s:c r="D22576" s="121" t="n"/>
      <s:c r="E22576" s="122" t="n"/>
    </s:row>
    <s:row r="22577" hidden="1" ht="1" customHeight="1">
      <s:c r="A22577" s="120" t="inlineStr"/>
      <s:c r="B22577" s="121" t="n"/>
      <s:c r="C22577" s="121" t="n"/>
      <s:c r="D22577" s="121" t="n"/>
      <s:c r="E22577" s="122" t="n"/>
    </s:row>
    <s:row r="22578" hidden="1" ht="1" customHeight="1">
      <s:c r="A22578" s="120" t="inlineStr"/>
      <s:c r="B22578" s="121" t="n"/>
      <s:c r="C22578" s="121" t="n"/>
      <s:c r="D22578" s="121" t="n"/>
      <s:c r="E22578" s="122" t="n"/>
    </s:row>
    <s:row r="22579" hidden="1" ht="1" customHeight="1">
      <s:c r="A22579" s="120" t="inlineStr"/>
      <s:c r="B22579" s="121" t="n"/>
      <s:c r="C22579" s="121" t="n"/>
      <s:c r="D22579" s="121" t="n"/>
      <s:c r="E22579" s="122" t="n"/>
    </s:row>
    <s:row r="22580" hidden="1" ht="1" customHeight="1">
      <s:c r="A22580" s="120" t="inlineStr"/>
      <s:c r="B22580" s="121" t="n"/>
      <s:c r="C22580" s="121" t="n"/>
      <s:c r="D22580" s="121" t="n"/>
      <s:c r="E22580" s="122" t="n"/>
    </s:row>
    <s:row r="22581" hidden="1" ht="1" customHeight="1">
      <s:c r="A22581" s="120" t="inlineStr"/>
      <s:c r="B22581" s="121" t="n"/>
      <s:c r="C22581" s="121" t="n"/>
      <s:c r="D22581" s="121" t="n"/>
      <s:c r="E22581" s="122" t="n"/>
    </s:row>
    <s:row r="22582" hidden="1" ht="1" customHeight="1">
      <s:c r="A22582" s="120" t="inlineStr"/>
      <s:c r="B22582" s="121" t="n"/>
      <s:c r="C22582" s="121" t="n"/>
      <s:c r="D22582" s="121" t="n"/>
      <s:c r="E22582" s="122" t="n"/>
    </s:row>
    <s:row r="22583" hidden="1" ht="1" customHeight="1">
      <s:c r="A22583" s="120" t="inlineStr"/>
      <s:c r="B22583" s="121" t="n"/>
      <s:c r="C22583" s="121" t="n"/>
      <s:c r="D22583" s="121" t="n"/>
      <s:c r="E22583" s="122" t="n"/>
    </s:row>
    <s:row r="22584" hidden="1" ht="1" customHeight="1">
      <s:c r="A22584" s="120" t="inlineStr"/>
      <s:c r="B22584" s="121" t="n"/>
      <s:c r="C22584" s="121" t="n"/>
      <s:c r="D22584" s="121" t="n"/>
      <s:c r="E22584" s="122" t="n"/>
    </s:row>
    <s:row r="22585" hidden="1" ht="1" customHeight="1">
      <s:c r="A22585" s="120" t="inlineStr"/>
      <s:c r="B22585" s="121" t="n"/>
      <s:c r="C22585" s="121" t="n"/>
      <s:c r="D22585" s="121" t="n"/>
      <s:c r="E22585" s="122" t="n"/>
    </s:row>
    <s:row r="22586" hidden="1" ht="1" customHeight="1">
      <s:c r="A22586" s="120" t="inlineStr"/>
      <s:c r="B22586" s="121" t="n"/>
      <s:c r="C22586" s="121" t="n"/>
      <s:c r="D22586" s="121" t="n"/>
      <s:c r="E22586" s="122" t="n"/>
    </s:row>
    <s:row r="22587" hidden="1" ht="1" customHeight="1">
      <s:c r="A22587" s="120" t="inlineStr"/>
      <s:c r="B22587" s="121" t="n"/>
      <s:c r="C22587" s="121" t="n"/>
      <s:c r="D22587" s="121" t="n"/>
      <s:c r="E22587" s="122" t="n"/>
    </s:row>
    <s:row r="22588" hidden="1" ht="1" customHeight="1">
      <s:c r="A22588" s="120" t="inlineStr"/>
      <s:c r="B22588" s="121" t="n"/>
      <s:c r="C22588" s="121" t="n"/>
      <s:c r="D22588" s="121" t="n"/>
      <s:c r="E22588" s="122" t="n"/>
    </s:row>
    <s:row r="22589" hidden="1" ht="1" customHeight="1">
      <s:c r="A22589" s="120" t="inlineStr"/>
      <s:c r="B22589" s="121" t="n"/>
      <s:c r="C22589" s="121" t="n"/>
      <s:c r="D22589" s="121" t="n"/>
      <s:c r="E22589" s="122" t="n"/>
    </s:row>
    <s:row r="22590" hidden="1" ht="1" customHeight="1">
      <s:c r="A22590" s="120" t="inlineStr"/>
      <s:c r="B22590" s="121" t="n"/>
      <s:c r="C22590" s="121" t="n"/>
      <s:c r="D22590" s="121" t="n"/>
      <s:c r="E22590" s="122" t="n"/>
    </s:row>
    <s:row r="22591" hidden="1" ht="1" customHeight="1">
      <s:c r="A22591" s="120" t="inlineStr"/>
      <s:c r="B22591" s="121" t="n"/>
      <s:c r="C22591" s="121" t="n"/>
      <s:c r="D22591" s="121" t="n"/>
      <s:c r="E22591" s="122" t="n"/>
    </s:row>
    <s:row r="22592" hidden="1" ht="1" customHeight="1">
      <s:c r="A22592" s="120" t="inlineStr"/>
      <s:c r="B22592" s="121" t="n"/>
      <s:c r="C22592" s="121" t="n"/>
      <s:c r="D22592" s="121" t="n"/>
      <s:c r="E22592" s="122" t="n"/>
    </s:row>
    <s:row r="22593" hidden="1" ht="1" customHeight="1">
      <s:c r="A22593" s="120" t="inlineStr"/>
      <s:c r="B22593" s="121" t="n"/>
      <s:c r="C22593" s="121" t="n"/>
      <s:c r="D22593" s="121" t="n"/>
      <s:c r="E22593" s="122" t="n"/>
    </s:row>
    <s:row r="22594" hidden="1" ht="1" customHeight="1">
      <s:c r="A22594" s="120" t="inlineStr"/>
      <s:c r="B22594" s="121" t="n"/>
      <s:c r="C22594" s="121" t="n"/>
      <s:c r="D22594" s="121" t="n"/>
      <s:c r="E22594" s="122" t="n"/>
    </s:row>
    <s:row r="22595" hidden="1" ht="1" customHeight="1">
      <s:c r="A22595" s="120" t="inlineStr"/>
      <s:c r="B22595" s="121" t="n"/>
      <s:c r="C22595" s="121" t="n"/>
      <s:c r="D22595" s="121" t="n"/>
      <s:c r="E22595" s="122" t="n"/>
    </s:row>
    <s:row r="22596" hidden="1" ht="1" customHeight="1">
      <s:c r="A22596" s="120" t="inlineStr"/>
      <s:c r="B22596" s="121" t="n"/>
      <s:c r="C22596" s="121" t="n"/>
      <s:c r="D22596" s="121" t="n"/>
      <s:c r="E22596" s="122" t="n"/>
    </s:row>
    <s:row r="22597" hidden="1" ht="1" customHeight="1">
      <s:c r="A22597" s="120" t="inlineStr"/>
      <s:c r="B22597" s="121" t="n"/>
      <s:c r="C22597" s="121" t="n"/>
      <s:c r="D22597" s="121" t="n"/>
      <s:c r="E22597" s="122" t="n"/>
    </s:row>
    <s:row r="22598" hidden="1" ht="1" customHeight="1">
      <s:c r="A22598" s="120" t="inlineStr"/>
      <s:c r="B22598" s="121" t="n"/>
      <s:c r="C22598" s="121" t="n"/>
      <s:c r="D22598" s="121" t="n"/>
      <s:c r="E22598" s="122" t="n"/>
    </s:row>
    <s:row r="22599" hidden="1" ht="1" customHeight="1">
      <s:c r="A22599" s="120" t="inlineStr"/>
      <s:c r="B22599" s="121" t="n"/>
      <s:c r="C22599" s="121" t="n"/>
      <s:c r="D22599" s="121" t="n"/>
      <s:c r="E22599" s="122" t="n"/>
    </s:row>
    <s:row r="22600" hidden="1" ht="1" customHeight="1">
      <s:c r="A22600" s="120" t="inlineStr"/>
      <s:c r="B22600" s="121" t="n"/>
      <s:c r="C22600" s="121" t="n"/>
      <s:c r="D22600" s="121" t="n"/>
      <s:c r="E22600" s="122" t="n"/>
    </s:row>
    <s:row r="22601" hidden="1" ht="1" customHeight="1">
      <s:c r="A22601" s="120" t="inlineStr"/>
      <s:c r="B22601" s="121" t="n"/>
      <s:c r="C22601" s="121" t="n"/>
      <s:c r="D22601" s="121" t="n"/>
      <s:c r="E22601" s="122" t="n"/>
    </s:row>
    <s:row r="22602" hidden="1" ht="1" customHeight="1">
      <s:c r="A22602" s="120" t="inlineStr"/>
      <s:c r="B22602" s="121" t="n"/>
      <s:c r="C22602" s="121" t="n"/>
      <s:c r="D22602" s="121" t="n"/>
      <s:c r="E22602" s="122" t="n"/>
    </s:row>
    <s:row r="22603" hidden="1" ht="1" customHeight="1">
      <s:c r="A22603" s="120" t="inlineStr"/>
      <s:c r="B22603" s="121" t="n"/>
      <s:c r="C22603" s="121" t="n"/>
      <s:c r="D22603" s="121" t="n"/>
      <s:c r="E22603" s="122" t="n"/>
    </s:row>
    <s:row r="22604" hidden="1" ht="1" customHeight="1">
      <s:c r="A22604" s="120" t="inlineStr"/>
      <s:c r="B22604" s="121" t="n"/>
      <s:c r="C22604" s="121" t="n"/>
      <s:c r="D22604" s="121" t="n"/>
      <s:c r="E22604" s="122" t="n"/>
    </s:row>
    <s:row r="22605" hidden="1" ht="1" customHeight="1">
      <s:c r="A22605" s="120" t="inlineStr"/>
      <s:c r="B22605" s="121" t="n"/>
      <s:c r="C22605" s="121" t="n"/>
      <s:c r="D22605" s="121" t="n"/>
      <s:c r="E22605" s="122" t="n"/>
    </s:row>
    <s:row r="22606" hidden="1" ht="1" customHeight="1">
      <s:c r="A22606" s="120" t="inlineStr"/>
      <s:c r="B22606" s="121" t="n"/>
      <s:c r="C22606" s="121" t="n"/>
      <s:c r="D22606" s="121" t="n"/>
      <s:c r="E22606" s="122" t="n"/>
    </s:row>
    <s:row r="22607" hidden="1" ht="1" customHeight="1">
      <s:c r="A22607" s="120" t="inlineStr"/>
      <s:c r="B22607" s="121" t="n"/>
      <s:c r="C22607" s="121" t="n"/>
      <s:c r="D22607" s="121" t="n"/>
      <s:c r="E22607" s="122" t="n"/>
    </s:row>
    <s:row r="22608" hidden="1" ht="1" customHeight="1">
      <s:c r="A22608" s="120" t="inlineStr"/>
      <s:c r="B22608" s="121" t="n"/>
      <s:c r="C22608" s="121" t="n"/>
      <s:c r="D22608" s="121" t="n"/>
      <s:c r="E22608" s="122" t="n"/>
    </s:row>
    <s:row r="22609" hidden="1" ht="1" customHeight="1">
      <s:c r="A22609" s="120" t="inlineStr"/>
      <s:c r="B22609" s="121" t="n"/>
      <s:c r="C22609" s="121" t="n"/>
      <s:c r="D22609" s="121" t="n"/>
      <s:c r="E22609" s="122" t="n"/>
    </s:row>
    <s:row r="22610" hidden="1" ht="1" customHeight="1">
      <s:c r="A22610" s="120" t="inlineStr"/>
      <s:c r="B22610" s="121" t="n"/>
      <s:c r="C22610" s="121" t="n"/>
      <s:c r="D22610" s="121" t="n"/>
      <s:c r="E22610" s="122" t="n"/>
    </s:row>
    <s:row r="22611" hidden="1" ht="1" customHeight="1">
      <s:c r="A22611" s="120" t="inlineStr"/>
      <s:c r="B22611" s="121" t="n"/>
      <s:c r="C22611" s="121" t="n"/>
      <s:c r="D22611" s="121" t="n"/>
      <s:c r="E22611" s="122" t="n"/>
    </s:row>
    <s:row r="22612" hidden="1" ht="1" customHeight="1">
      <s:c r="A22612" s="120" t="inlineStr"/>
      <s:c r="B22612" s="121" t="n"/>
      <s:c r="C22612" s="121" t="n"/>
      <s:c r="D22612" s="121" t="n"/>
      <s:c r="E22612" s="122" t="n"/>
    </s:row>
    <s:row r="22613" hidden="1" ht="1" customHeight="1">
      <s:c r="A22613" s="120" t="inlineStr"/>
      <s:c r="B22613" s="121" t="n"/>
      <s:c r="C22613" s="121" t="n"/>
      <s:c r="D22613" s="121" t="n"/>
      <s:c r="E22613" s="122" t="n"/>
    </s:row>
    <s:row r="22614" hidden="1" ht="1" customHeight="1">
      <s:c r="A22614" s="120" t="inlineStr"/>
      <s:c r="B22614" s="121" t="n"/>
      <s:c r="C22614" s="121" t="n"/>
      <s:c r="D22614" s="121" t="n"/>
      <s:c r="E22614" s="122" t="n"/>
    </s:row>
    <s:row r="22615" hidden="1" ht="1" customHeight="1">
      <s:c r="A22615" s="120" t="inlineStr"/>
      <s:c r="B22615" s="121" t="n"/>
      <s:c r="C22615" s="121" t="n"/>
      <s:c r="D22615" s="121" t="n"/>
      <s:c r="E22615" s="122" t="n"/>
    </s:row>
    <s:row r="22616" hidden="1" ht="1" customHeight="1">
      <s:c r="A22616" s="120" t="inlineStr"/>
      <s:c r="B22616" s="121" t="n"/>
      <s:c r="C22616" s="121" t="n"/>
      <s:c r="D22616" s="121" t="n"/>
      <s:c r="E22616" s="122" t="n"/>
    </s:row>
    <s:row r="22617" hidden="1" ht="1" customHeight="1">
      <s:c r="A22617" s="120" t="inlineStr"/>
      <s:c r="B22617" s="121" t="n"/>
      <s:c r="C22617" s="121" t="n"/>
      <s:c r="D22617" s="121" t="n"/>
      <s:c r="E22617" s="122" t="n"/>
    </s:row>
    <s:row r="22618" hidden="1" ht="1" customHeight="1">
      <s:c r="A22618" s="120" t="inlineStr"/>
      <s:c r="B22618" s="121" t="n"/>
      <s:c r="C22618" s="121" t="n"/>
      <s:c r="D22618" s="121" t="n"/>
      <s:c r="E22618" s="122" t="n"/>
    </s:row>
    <s:row r="22619" hidden="1" ht="1" customHeight="1">
      <s:c r="A22619" s="120" t="inlineStr"/>
      <s:c r="B22619" s="121" t="n"/>
      <s:c r="C22619" s="121" t="n"/>
      <s:c r="D22619" s="121" t="n"/>
      <s:c r="E22619" s="122" t="n"/>
    </s:row>
    <s:row r="22620" hidden="1" ht="1" customHeight="1">
      <s:c r="A22620" s="120" t="inlineStr"/>
      <s:c r="B22620" s="121" t="n"/>
      <s:c r="C22620" s="121" t="n"/>
      <s:c r="D22620" s="121" t="n"/>
      <s:c r="E22620" s="122" t="n"/>
    </s:row>
    <s:row r="22621" hidden="1" ht="1" customHeight="1">
      <s:c r="A22621" s="120" t="inlineStr"/>
      <s:c r="B22621" s="121" t="n"/>
      <s:c r="C22621" s="121" t="n"/>
      <s:c r="D22621" s="121" t="n"/>
      <s:c r="E22621" s="122" t="n"/>
    </s:row>
    <s:row r="22622" hidden="1" ht="1" customHeight="1">
      <s:c r="A22622" s="120" t="inlineStr"/>
      <s:c r="B22622" s="121" t="n"/>
      <s:c r="C22622" s="121" t="n"/>
      <s:c r="D22622" s="121" t="n"/>
      <s:c r="E22622" s="122" t="n"/>
    </s:row>
    <s:row r="22623" hidden="1" ht="1" customHeight="1">
      <s:c r="A22623" s="120" t="inlineStr"/>
      <s:c r="B22623" s="121" t="n"/>
      <s:c r="C22623" s="121" t="n"/>
      <s:c r="D22623" s="121" t="n"/>
      <s:c r="E22623" s="122" t="n"/>
    </s:row>
    <s:row r="22624" hidden="1" ht="1" customHeight="1">
      <s:c r="A22624" s="120" t="inlineStr"/>
      <s:c r="B22624" s="121" t="n"/>
      <s:c r="C22624" s="121" t="n"/>
      <s:c r="D22624" s="121" t="n"/>
      <s:c r="E22624" s="122" t="n"/>
    </s:row>
    <s:row r="22625" hidden="1" ht="1" customHeight="1">
      <s:c r="A22625" s="120" t="inlineStr"/>
      <s:c r="B22625" s="121" t="n"/>
      <s:c r="C22625" s="121" t="n"/>
      <s:c r="D22625" s="121" t="n"/>
      <s:c r="E22625" s="122" t="n"/>
    </s:row>
    <s:row r="22626" hidden="1" ht="1" customHeight="1">
      <s:c r="A22626" s="120" t="inlineStr"/>
      <s:c r="B22626" s="121" t="n"/>
      <s:c r="C22626" s="121" t="n"/>
      <s:c r="D22626" s="121" t="n"/>
      <s:c r="E22626" s="122" t="n"/>
    </s:row>
    <s:row r="22627" hidden="1" ht="1" customHeight="1">
      <s:c r="A22627" s="120" t="inlineStr"/>
      <s:c r="B22627" s="121" t="n"/>
      <s:c r="C22627" s="121" t="n"/>
      <s:c r="D22627" s="121" t="n"/>
      <s:c r="E22627" s="122" t="n"/>
    </s:row>
    <s:row r="22628" hidden="1" ht="1" customHeight="1">
      <s:c r="A22628" s="120" t="inlineStr"/>
      <s:c r="B22628" s="121" t="n"/>
      <s:c r="C22628" s="121" t="n"/>
      <s:c r="D22628" s="121" t="n"/>
      <s:c r="E22628" s="122" t="n"/>
    </s:row>
    <s:row r="22629" hidden="1" ht="1" customHeight="1">
      <s:c r="A22629" s="120" t="inlineStr"/>
      <s:c r="B22629" s="121" t="n"/>
      <s:c r="C22629" s="121" t="n"/>
      <s:c r="D22629" s="121" t="n"/>
      <s:c r="E22629" s="122" t="n"/>
    </s:row>
    <s:row r="22630" hidden="1" ht="1" customHeight="1">
      <s:c r="A22630" s="120" t="inlineStr"/>
      <s:c r="B22630" s="121" t="n"/>
      <s:c r="C22630" s="121" t="n"/>
      <s:c r="D22630" s="121" t="n"/>
      <s:c r="E22630" s="122" t="n"/>
    </s:row>
    <s:row r="22631" hidden="1" ht="1" customHeight="1">
      <s:c r="A22631" s="120" t="inlineStr"/>
      <s:c r="B22631" s="121" t="n"/>
      <s:c r="C22631" s="121" t="n"/>
      <s:c r="D22631" s="121" t="n"/>
      <s:c r="E22631" s="122" t="n"/>
    </s:row>
    <s:row r="22632" hidden="1" ht="1" customHeight="1">
      <s:c r="A22632" s="120" t="inlineStr"/>
      <s:c r="B22632" s="121" t="n"/>
      <s:c r="C22632" s="121" t="n"/>
      <s:c r="D22632" s="121" t="n"/>
      <s:c r="E22632" s="122" t="n"/>
    </s:row>
    <s:row r="22633" hidden="1" ht="1" customHeight="1">
      <s:c r="A22633" s="120" t="inlineStr"/>
      <s:c r="B22633" s="121" t="n"/>
      <s:c r="C22633" s="121" t="n"/>
      <s:c r="D22633" s="121" t="n"/>
      <s:c r="E22633" s="122" t="n"/>
    </s:row>
    <s:row r="22634" hidden="1" ht="1" customHeight="1">
      <s:c r="A22634" s="120" t="inlineStr"/>
      <s:c r="B22634" s="121" t="n"/>
      <s:c r="C22634" s="121" t="n"/>
      <s:c r="D22634" s="121" t="n"/>
      <s:c r="E22634" s="122" t="n"/>
    </s:row>
    <s:row r="22635" hidden="1" ht="1" customHeight="1">
      <s:c r="A22635" s="120" t="inlineStr"/>
      <s:c r="B22635" s="121" t="n"/>
      <s:c r="C22635" s="121" t="n"/>
      <s:c r="D22635" s="121" t="n"/>
      <s:c r="E22635" s="122" t="n"/>
    </s:row>
    <s:row r="22636" hidden="1" ht="1" customHeight="1">
      <s:c r="A22636" s="120" t="inlineStr"/>
      <s:c r="B22636" s="121" t="n"/>
      <s:c r="C22636" s="121" t="n"/>
      <s:c r="D22636" s="121" t="n"/>
      <s:c r="E22636" s="122" t="n"/>
    </s:row>
    <s:row r="22637" hidden="1" ht="1" customHeight="1">
      <s:c r="A22637" s="120" t="inlineStr"/>
      <s:c r="B22637" s="121" t="n"/>
      <s:c r="C22637" s="121" t="n"/>
      <s:c r="D22637" s="121" t="n"/>
      <s:c r="E22637" s="122" t="n"/>
    </s:row>
    <s:row r="22638" hidden="1" ht="1" customHeight="1">
      <s:c r="A22638" s="120" t="inlineStr"/>
      <s:c r="B22638" s="121" t="n"/>
      <s:c r="C22638" s="121" t="n"/>
      <s:c r="D22638" s="121" t="n"/>
      <s:c r="E22638" s="122" t="n"/>
    </s:row>
    <s:row r="22639" hidden="1" ht="1" customHeight="1">
      <s:c r="A22639" s="120" t="inlineStr"/>
      <s:c r="B22639" s="121" t="n"/>
      <s:c r="C22639" s="121" t="n"/>
      <s:c r="D22639" s="121" t="n"/>
      <s:c r="E22639" s="122" t="n"/>
    </s:row>
    <s:row r="22640" hidden="1" ht="1" customHeight="1">
      <s:c r="A22640" s="120" t="inlineStr"/>
      <s:c r="B22640" s="121" t="n"/>
      <s:c r="C22640" s="121" t="n"/>
      <s:c r="D22640" s="121" t="n"/>
      <s:c r="E22640" s="122" t="n"/>
    </s:row>
    <s:row r="22641" hidden="1" ht="1" customHeight="1">
      <s:c r="A22641" s="120" t="inlineStr"/>
      <s:c r="B22641" s="121" t="n"/>
      <s:c r="C22641" s="121" t="n"/>
      <s:c r="D22641" s="121" t="n"/>
      <s:c r="E22641" s="122" t="n"/>
    </s:row>
    <s:row r="22642" hidden="1" ht="1" customHeight="1">
      <s:c r="A22642" s="120" t="inlineStr"/>
      <s:c r="B22642" s="121" t="n"/>
      <s:c r="C22642" s="121" t="n"/>
      <s:c r="D22642" s="121" t="n"/>
      <s:c r="E22642" s="122" t="n"/>
    </s:row>
    <s:row r="22643" hidden="1" ht="1" customHeight="1">
      <s:c r="A22643" s="120" t="inlineStr"/>
      <s:c r="B22643" s="121" t="n"/>
      <s:c r="C22643" s="121" t="n"/>
      <s:c r="D22643" s="121" t="n"/>
      <s:c r="E22643" s="122" t="n"/>
    </s:row>
    <s:row r="22644" hidden="1" ht="1" customHeight="1">
      <s:c r="A22644" s="120" t="inlineStr"/>
      <s:c r="B22644" s="121" t="n"/>
      <s:c r="C22644" s="121" t="n"/>
      <s:c r="D22644" s="121" t="n"/>
      <s:c r="E22644" s="122" t="n"/>
    </s:row>
    <s:row r="22645" hidden="1" ht="1" customHeight="1">
      <s:c r="A22645" s="120" t="inlineStr"/>
      <s:c r="B22645" s="121" t="n"/>
      <s:c r="C22645" s="121" t="n"/>
      <s:c r="D22645" s="121" t="n"/>
      <s:c r="E22645" s="122" t="n"/>
    </s:row>
    <s:row r="22646" hidden="1" ht="1" customHeight="1">
      <s:c r="A22646" s="120" t="inlineStr"/>
      <s:c r="B22646" s="121" t="n"/>
      <s:c r="C22646" s="121" t="n"/>
      <s:c r="D22646" s="121" t="n"/>
      <s:c r="E22646" s="122" t="n"/>
    </s:row>
    <s:row r="22647" hidden="1" ht="1" customHeight="1">
      <s:c r="A22647" s="120" t="inlineStr"/>
      <s:c r="B22647" s="121" t="n"/>
      <s:c r="C22647" s="121" t="n"/>
      <s:c r="D22647" s="121" t="n"/>
      <s:c r="E22647" s="122" t="n"/>
    </s:row>
    <s:row r="22648" hidden="1" ht="1" customHeight="1">
      <s:c r="A22648" s="120" t="inlineStr"/>
      <s:c r="B22648" s="121" t="n"/>
      <s:c r="C22648" s="121" t="n"/>
      <s:c r="D22648" s="121" t="n"/>
      <s:c r="E22648" s="122" t="n"/>
    </s:row>
    <s:row r="22649" hidden="1" ht="1" customHeight="1">
      <s:c r="A22649" s="120" t="inlineStr"/>
      <s:c r="B22649" s="121" t="n"/>
      <s:c r="C22649" s="121" t="n"/>
      <s:c r="D22649" s="121" t="n"/>
      <s:c r="E22649" s="122" t="n"/>
    </s:row>
    <s:row r="22650" hidden="1" ht="1" customHeight="1">
      <s:c r="A22650" s="120" t="inlineStr"/>
      <s:c r="B22650" s="121" t="n"/>
      <s:c r="C22650" s="121" t="n"/>
      <s:c r="D22650" s="121" t="n"/>
      <s:c r="E22650" s="122" t="n"/>
    </s:row>
    <s:row r="22651" hidden="1" ht="1" customHeight="1">
      <s:c r="A22651" s="120" t="inlineStr"/>
      <s:c r="B22651" s="121" t="n"/>
      <s:c r="C22651" s="121" t="n"/>
      <s:c r="D22651" s="121" t="n"/>
      <s:c r="E22651" s="122" t="n"/>
    </s:row>
    <s:row r="22652" hidden="1" ht="1" customHeight="1">
      <s:c r="A22652" s="120" t="inlineStr"/>
      <s:c r="B22652" s="121" t="n"/>
      <s:c r="C22652" s="121" t="n"/>
      <s:c r="D22652" s="121" t="n"/>
      <s:c r="E22652" s="122" t="n"/>
    </s:row>
    <s:row r="22653" hidden="1" ht="1" customHeight="1">
      <s:c r="A22653" s="120" t="inlineStr"/>
      <s:c r="B22653" s="121" t="n"/>
      <s:c r="C22653" s="121" t="n"/>
      <s:c r="D22653" s="121" t="n"/>
      <s:c r="E22653" s="122" t="n"/>
    </s:row>
    <s:row r="22654" hidden="1" ht="1" customHeight="1">
      <s:c r="A22654" s="120" t="inlineStr"/>
      <s:c r="B22654" s="121" t="n"/>
      <s:c r="C22654" s="121" t="n"/>
      <s:c r="D22654" s="121" t="n"/>
      <s:c r="E22654" s="122" t="n"/>
    </s:row>
    <s:row r="22655" hidden="1" ht="1" customHeight="1">
      <s:c r="A22655" s="120" t="inlineStr"/>
      <s:c r="B22655" s="121" t="n"/>
      <s:c r="C22655" s="121" t="n"/>
      <s:c r="D22655" s="121" t="n"/>
      <s:c r="E22655" s="122" t="n"/>
    </s:row>
    <s:row r="22656" hidden="1" ht="1" customHeight="1">
      <s:c r="A22656" s="120" t="inlineStr"/>
      <s:c r="B22656" s="121" t="n"/>
      <s:c r="C22656" s="121" t="n"/>
      <s:c r="D22656" s="121" t="n"/>
      <s:c r="E22656" s="122" t="n"/>
    </s:row>
    <s:row r="22657" hidden="1" ht="1" customHeight="1">
      <s:c r="A22657" s="120" t="inlineStr"/>
      <s:c r="B22657" s="121" t="n"/>
      <s:c r="C22657" s="121" t="n"/>
      <s:c r="D22657" s="121" t="n"/>
      <s:c r="E22657" s="122" t="n"/>
    </s:row>
    <s:row r="22658" hidden="1" ht="1" customHeight="1">
      <s:c r="A22658" s="120" t="inlineStr"/>
      <s:c r="B22658" s="121" t="n"/>
      <s:c r="C22658" s="121" t="n"/>
      <s:c r="D22658" s="121" t="n"/>
      <s:c r="E22658" s="122" t="n"/>
    </s:row>
    <s:row r="22659" hidden="1" ht="1" customHeight="1">
      <s:c r="A22659" s="120" t="inlineStr"/>
      <s:c r="B22659" s="121" t="n"/>
      <s:c r="C22659" s="121" t="n"/>
      <s:c r="D22659" s="121" t="n"/>
      <s:c r="E22659" s="122" t="n"/>
    </s:row>
    <s:row r="22660" hidden="1" ht="1" customHeight="1">
      <s:c r="A22660" s="120" t="inlineStr"/>
      <s:c r="B22660" s="121" t="n"/>
      <s:c r="C22660" s="121" t="n"/>
      <s:c r="D22660" s="121" t="n"/>
      <s:c r="E22660" s="122" t="n"/>
    </s:row>
    <s:row r="22661" hidden="1" ht="1" customHeight="1">
      <s:c r="A22661" s="120" t="inlineStr"/>
      <s:c r="B22661" s="121" t="n"/>
      <s:c r="C22661" s="121" t="n"/>
      <s:c r="D22661" s="121" t="n"/>
      <s:c r="E22661" s="122" t="n"/>
    </s:row>
    <s:row r="22662" hidden="1" ht="1" customHeight="1">
      <s:c r="A22662" s="120" t="inlineStr"/>
      <s:c r="B22662" s="121" t="n"/>
      <s:c r="C22662" s="121" t="n"/>
      <s:c r="D22662" s="121" t="n"/>
      <s:c r="E22662" s="122" t="n"/>
    </s:row>
    <s:row r="22663" hidden="1" ht="1" customHeight="1">
      <s:c r="A22663" s="120" t="inlineStr"/>
      <s:c r="B22663" s="121" t="n"/>
      <s:c r="C22663" s="121" t="n"/>
      <s:c r="D22663" s="121" t="n"/>
      <s:c r="E22663" s="122" t="n"/>
    </s:row>
    <s:row r="22664" hidden="1" ht="1" customHeight="1">
      <s:c r="A22664" s="120" t="inlineStr"/>
      <s:c r="B22664" s="121" t="n"/>
      <s:c r="C22664" s="121" t="n"/>
      <s:c r="D22664" s="121" t="n"/>
      <s:c r="E22664" s="122" t="n"/>
    </s:row>
    <s:row r="22665" hidden="1" ht="1" customHeight="1">
      <s:c r="A22665" s="120" t="inlineStr"/>
      <s:c r="B22665" s="121" t="n"/>
      <s:c r="C22665" s="121" t="n"/>
      <s:c r="D22665" s="121" t="n"/>
      <s:c r="E22665" s="122" t="n"/>
    </s:row>
    <s:row r="22666" hidden="1" ht="1" customHeight="1">
      <s:c r="A22666" s="120" t="inlineStr"/>
      <s:c r="B22666" s="121" t="n"/>
      <s:c r="C22666" s="121" t="n"/>
      <s:c r="D22666" s="121" t="n"/>
      <s:c r="E22666" s="122" t="n"/>
    </s:row>
    <s:row r="22667" hidden="1" ht="1" customHeight="1">
      <s:c r="A22667" s="120" t="inlineStr"/>
      <s:c r="B22667" s="121" t="n"/>
      <s:c r="C22667" s="121" t="n"/>
      <s:c r="D22667" s="121" t="n"/>
      <s:c r="E22667" s="122" t="n"/>
    </s:row>
    <s:row r="22668" hidden="1" ht="1" customHeight="1">
      <s:c r="A22668" s="120" t="inlineStr"/>
      <s:c r="B22668" s="121" t="n"/>
      <s:c r="C22668" s="121" t="n"/>
      <s:c r="D22668" s="121" t="n"/>
      <s:c r="E22668" s="122" t="n"/>
    </s:row>
    <s:row r="22669" hidden="1" ht="1" customHeight="1">
      <s:c r="A22669" s="120" t="inlineStr"/>
      <s:c r="B22669" s="121" t="n"/>
      <s:c r="C22669" s="121" t="n"/>
      <s:c r="D22669" s="121" t="n"/>
      <s:c r="E22669" s="122" t="n"/>
    </s:row>
    <s:row r="22670" hidden="1" ht="1" customHeight="1">
      <s:c r="A22670" s="120" t="inlineStr"/>
      <s:c r="B22670" s="121" t="n"/>
      <s:c r="C22670" s="121" t="n"/>
      <s:c r="D22670" s="121" t="n"/>
      <s:c r="E22670" s="122" t="n"/>
    </s:row>
    <s:row r="22671" hidden="1" ht="1" customHeight="1">
      <s:c r="A22671" s="120" t="inlineStr"/>
      <s:c r="B22671" s="121" t="n"/>
      <s:c r="C22671" s="121" t="n"/>
      <s:c r="D22671" s="121" t="n"/>
      <s:c r="E22671" s="122" t="n"/>
    </s:row>
    <s:row r="22672" hidden="1" ht="1" customHeight="1">
      <s:c r="A22672" s="120" t="inlineStr"/>
      <s:c r="B22672" s="121" t="n"/>
      <s:c r="C22672" s="121" t="n"/>
      <s:c r="D22672" s="121" t="n"/>
      <s:c r="E22672" s="122" t="n"/>
    </s:row>
    <s:row r="22673" hidden="1" ht="1" customHeight="1">
      <s:c r="A22673" s="120" t="inlineStr"/>
      <s:c r="B22673" s="121" t="n"/>
      <s:c r="C22673" s="121" t="n"/>
      <s:c r="D22673" s="121" t="n"/>
      <s:c r="E22673" s="122" t="n"/>
    </s:row>
    <s:row r="22674" hidden="1" ht="1" customHeight="1">
      <s:c r="A22674" s="120" t="inlineStr"/>
      <s:c r="B22674" s="121" t="n"/>
      <s:c r="C22674" s="121" t="n"/>
      <s:c r="D22674" s="121" t="n"/>
      <s:c r="E22674" s="122" t="n"/>
    </s:row>
    <s:row r="22675" hidden="1" ht="1" customHeight="1">
      <s:c r="A22675" s="120" t="inlineStr"/>
      <s:c r="B22675" s="121" t="n"/>
      <s:c r="C22675" s="121" t="n"/>
      <s:c r="D22675" s="121" t="n"/>
      <s:c r="E22675" s="122" t="n"/>
    </s:row>
    <s:row r="22676" hidden="1" ht="1" customHeight="1">
      <s:c r="A22676" s="120" t="inlineStr"/>
      <s:c r="B22676" s="121" t="n"/>
      <s:c r="C22676" s="121" t="n"/>
      <s:c r="D22676" s="121" t="n"/>
      <s:c r="E22676" s="122" t="n"/>
    </s:row>
    <s:row r="22677" hidden="1" ht="1" customHeight="1">
      <s:c r="A22677" s="120" t="inlineStr"/>
      <s:c r="B22677" s="121" t="n"/>
      <s:c r="C22677" s="121" t="n"/>
      <s:c r="D22677" s="121" t="n"/>
      <s:c r="E22677" s="122" t="n"/>
    </s:row>
    <s:row r="22678" hidden="1" ht="1" customHeight="1">
      <s:c r="A22678" s="120" t="inlineStr"/>
      <s:c r="B22678" s="121" t="n"/>
      <s:c r="C22678" s="121" t="n"/>
      <s:c r="D22678" s="121" t="n"/>
      <s:c r="E22678" s="122" t="n"/>
    </s:row>
    <s:row r="22679" hidden="1" ht="1" customHeight="1">
      <s:c r="A22679" s="120" t="inlineStr"/>
      <s:c r="B22679" s="121" t="n"/>
      <s:c r="C22679" s="121" t="n"/>
      <s:c r="D22679" s="121" t="n"/>
      <s:c r="E22679" s="122" t="n"/>
    </s:row>
    <s:row r="22680" hidden="1" ht="1" customHeight="1">
      <s:c r="A22680" s="120" t="inlineStr"/>
      <s:c r="B22680" s="121" t="n"/>
      <s:c r="C22680" s="121" t="n"/>
      <s:c r="D22680" s="121" t="n"/>
      <s:c r="E22680" s="122" t="n"/>
    </s:row>
    <s:row r="22681" hidden="1" ht="1" customHeight="1">
      <s:c r="A22681" s="83" t="inlineStr">
        <s:is>
          <s:t>PASS</s:t>
        </s:is>
      </s:c>
      <s:c r="B22681" s="83">
        <s:f>SUM(IF(EXACT('Kiểm thử'!E22531,"Đạt"),1,0),IF(EXACT('Kiểm thử'!E22533,"Đạt"),1,0),IF(EXACT('Kiểm thử'!E22535,"Đạt"),1,0))</s:f>
        <s:v/>
      </s:c>
      <s:c r="C22681" s="19" t="n"/>
      <s:c r="D22681" s="19" t="n"/>
      <s:c r="E22681" s="19" t="n"/>
    </s:row>
    <s:row r="22682" hidden="1" ht="1" customHeight="1">
      <s:c r="A22682" s="83" t="inlineStr">
        <s:is>
          <s:t>FAIL</s:t>
        </s:is>
      </s:c>
      <s:c r="B22682" s="83">
        <s:f>SUM(IF(EXACT('Kiểm thử'!E22531,"Không đạt"),1,0),IF(EXACT('Kiểm thử'!E22533,"Không đạt"),1,0),IF(EXACT('Kiểm thử'!E22535,"Không đạt"),1,0))</s:f>
        <s:v/>
      </s:c>
      <s:c r="C22682" s="19" t="n"/>
      <s:c r="D22682" s="19" t="n"/>
      <s:c r="E22682" s="19" t="n"/>
    </s:row>
    <s:row r="22683" hidden="1" ht="1" customHeight="1">
      <s:c r="A22683" s="83" t="inlineStr">
        <s:is>
          <s:t>BLOCKED</s:t>
        </s:is>
      </s:c>
      <s:c r="B22683" s="83">
        <s:f>SUM(IF(EXACT('Kiểm thử'!E22531,"Bị chặn"),1,0),IF(EXACT('Kiểm thử'!E22533,"Bị chặn"),1,0),IF(EXACT('Kiểm thử'!E22535,"Bị chặn"),1,0))</s:f>
        <s:v/>
      </s:c>
      <s:c r="C22683" s="19" t="n"/>
      <s:c r="D22683" s="19" t="n"/>
      <s:c r="E22683" s="19" t="n"/>
    </s:row>
    <s:row r="22684" hidden="1" ht="1" customHeight="1">
      <s:c r="A22684" s="83" t="inlineStr">
        <s:is>
          <s:t>SKIPPED</s:t>
        </s:is>
      </s:c>
      <s:c r="B22684" s="83">
        <s:f>SUM(IF(EXACT('Kiểm thử'!E22531,"Không thực hiện"),1,0),IF(EXACT('Kiểm thử'!E22533,"Không thực hiện"),1,0),IF(EXACT('Kiểm thử'!E22535,"Không thực hiện"),1,0))</s:f>
        <s:v/>
      </s:c>
      <s:c r="C22684" s="19" t="n"/>
      <s:c r="D22684" s="19" t="n"/>
      <s:c r="E22684" s="19" t="n"/>
    </s:row>
    <s:row r="22685" hidden="1" ht="1" customHeight="1">
      <s:c r="A22685" s="83" t="inlineStr">
        <s:is>
          <s:t>NOT RUN</s:t>
        </s:is>
      </s:c>
      <s:c r="B22685" s="83">
        <s:f>SUM(IF(EXACT('Kiểm thử'!E22531,"Chưa thực hiện"),1,0),IF(EXACT('Kiểm thử'!E22533,"Chưa thực hiện"),1,0),IF(EXACT('Kiểm thử'!E22535,"Chưa thực hiện"),1,0))</s:f>
        <s:v/>
      </s:c>
      <s:c r="C22685" s="19" t="n"/>
      <s:c r="D22685" s="19" t="n"/>
      <s:c r="E22685" s="19" t="n"/>
    </s:row>
    <s:row r="22686" hidden="1" ht="6" customHeight="1">
      <s:c r="A22686" s="83" t="inlineStr"/>
      <s:c r="B22686" s="19" t="n"/>
      <s:c r="C22686" s="19" t="n"/>
      <s:c r="D22686" s="19" t="n"/>
      <s:c r="E22686" s="19" t="n"/>
    </s:row>
    <s:row r="22687" ht="28" customHeight="1">
      <s:c r="A22687" s="108" t="inlineStr">
        <s:is>
          <s:t>TC-RS-ERR-007 — Giả mạo ID khác trường/năm hoặc nguồn không được phép</s:t>
        </s:is>
      </s:c>
      <s:c r="B22687" s="111" t="n"/>
      <s:c r="C22687" s="111" t="n"/>
      <s:c r="D22687" s="111" t="n"/>
      <s:c r="E22687" s="111" t="n"/>
    </s:row>
    <s:row r="22688" ht="20" customHeight="1">
      <s:c r="A22688" s="112" t="inlineStr">
        <s:is>
          <s:t>Kết quả tình huống</s:t>
        </s:is>
      </s:c>
      <s:c r="B22688" s="113">
        <s:f>IF(SUM(IF(EXACT('Kiểm thử'!E22697,"Không đạt"),1,0),IF(EXACT('Kiểm thử'!E22699,"Không đạt"),1,0),IF(EXACT('Kiểm thử'!E22701,"Không đạt"),1,0),IF(EXACT('Kiểm thử'!E22703,"Không đạt"),1,0),IF(EXACT('Kiểm thử'!E22705,"Không đạt"),1,0),IF(EXACT('Kiểm thử'!E22707,"Không đạt"),1,0),IF(EXACT('Kiểm thử'!E22709,"Không đạt"),1,0),IF(EXACT('Kiểm thử'!E22711,"Không đạt"),1,0),IF(EXACT('Kiểm thử'!E22713,"Không đạt"),1,0),IF(EXACT('Kiểm thử'!E22715,"Không đạt"),1,0),IF(EXACT('Kiểm thử'!E22717,"Không đạt"),1,0))&gt;0,"Không đạt",IF(SUM(IF(EXACT('Kiểm thử'!E22697,"Đạt"),1,0),IF(EXACT('Kiểm thử'!E22699,"Đạt"),1,0),IF(EXACT('Kiểm thử'!E22701,"Đạt"),1,0),IF(EXACT('Kiểm thử'!E22703,"Đạt"),1,0),IF(EXACT('Kiểm thử'!E22705,"Đạt"),1,0),IF(EXACT('Kiểm thử'!E22707,"Đạt"),1,0),IF(EXACT('Kiểm thử'!E22709,"Đạt"),1,0),IF(EXACT('Kiểm thử'!E22711,"Đạt"),1,0),IF(EXACT('Kiểm thử'!E22713,"Đạt"),1,0),IF(EXACT('Kiểm thử'!E22715,"Đạt"),1,0),IF(EXACT('Kiểm thử'!E22717,"Đạt"),1,0))=11,"Đạt",IF(SUM(IF(EXACT('Kiểm thử'!E22697,"Không thực hiện"),1,0),IF(EXACT('Kiểm thử'!E22699,"Không thực hiện"),1,0),IF(EXACT('Kiểm thử'!E22701,"Không thực hiện"),1,0),IF(EXACT('Kiểm thử'!E22703,"Không thực hiện"),1,0),IF(EXACT('Kiểm thử'!E22705,"Không thực hiện"),1,0),IF(EXACT('Kiểm thử'!E22707,"Không thực hiện"),1,0),IF(EXACT('Kiểm thử'!E22709,"Không thực hiện"),1,0),IF(EXACT('Kiểm thử'!E22711,"Không thực hiện"),1,0),IF(EXACT('Kiểm thử'!E22713,"Không thực hiện"),1,0),IF(EXACT('Kiểm thử'!E22715,"Không thực hiện"),1,0),IF(EXACT('Kiểm thử'!E22717,"Không thực hiện"),1,0))=11,"Không thực hiện",IF(SUM(IF(EXACT('Kiểm thử'!E22697,"Bị chặn"),1,0),IF(EXACT('Kiểm thử'!E22699,"Bị chặn"),1,0),IF(EXACT('Kiểm thử'!E22701,"Bị chặn"),1,0),IF(EXACT('Kiểm thử'!E22703,"Bị chặn"),1,0),IF(EXACT('Kiểm thử'!E22705,"Bị chặn"),1,0),IF(EXACT('Kiểm thử'!E22707,"Bị chặn"),1,0),IF(EXACT('Kiểm thử'!E22709,"Bị chặn"),1,0),IF(EXACT('Kiểm thử'!E22711,"Bị chặn"),1,0),IF(EXACT('Kiểm thử'!E22713,"Bị chặn"),1,0),IF(EXACT('Kiểm thử'!E22715,"Bị chặn"),1,0),IF(EXACT('Kiểm thử'!E22717,"Bị chặn"),1,0))&gt;0,"Bị chặn",IF(SUM(IF(EXACT('Kiểm thử'!E22697,"Chưa thực hiện"),1,0),IF(EXACT('Kiểm thử'!E22699,"Chưa thực hiện"),1,0),IF(EXACT('Kiểm thử'!E22701,"Chưa thực hiện"),1,0),IF(EXACT('Kiểm thử'!E22703,"Chưa thực hiện"),1,0),IF(EXACT('Kiểm thử'!E22705,"Chưa thực hiện"),1,0),IF(EXACT('Kiểm thử'!E22707,"Chưa thực hiện"),1,0),IF(EXACT('Kiểm thử'!E22709,"Chưa thực hiện"),1,0),IF(EXACT('Kiểm thử'!E22711,"Chưa thực hiện"),1,0),IF(EXACT('Kiểm thử'!E22713,"Chưa thực hiện"),1,0),IF(EXACT('Kiểm thử'!E22715,"Chưa thực hiện"),1,0),IF(EXACT('Kiểm thử'!E22717,"Chưa thực hiện"),1,0))=11,"Chưa thực hiện","Đang thực hiện")))))</s:f>
        <s:v/>
      </s:c>
      <s:c r="C22688" s="114" t="n"/>
      <s:c r="D22688" s="114" t="n"/>
      <s:c r="E22688" s="114" t="n"/>
    </s:row>
    <s:row r="22689" ht="20" customHeight="1">
      <s:c r="A22689" s="112" t="inlineStr">
        <s:is>
          <s:t>Màn hình / chức năng</s:t>
        </s:is>
      </s:c>
      <s:c r="B22689" s="113" t="inlineStr">
        <s:is>
          <s:t>Quyền thao tác</s:t>
        </s:is>
      </s:c>
      <s:c r="C22689" s="28" t="n"/>
      <s:c r="D22689" s="28" t="n"/>
      <s:c r="E22689" s="28" t="n"/>
    </s:row>
    <s:row r="22690" ht="34" customHeight="1">
      <s:c r="A22690" s="112" t="inlineStr">
        <s:is>
          <s:t>Cấu hình</s:t>
        </s:is>
      </s:c>
      <s:c r="B22690" s="113" t="inlineStr">
        <s:is>
          <s:t>• Tài khoản của trường B (trường B) và tài khoản giáo viên có quyền sửa mục (trường A). Ghi lại cấu hình, điểm và kết quả đỏ của trường A trước khi chạy.</s:t>
        </s:is>
      </s:c>
      <s:c r="C22690" s="28" t="n"/>
      <s:c r="D22690" s="28" t="n"/>
      <s:c r="E22690" s="28" t="n"/>
    </s:row>
    <s:row r="22691" ht="20" customHeight="1">
      <s:c r="A22691" s="112" t="inlineStr">
        <s:is>
          <s:t>Dữ liệu test</s:t>
        </s:is>
      </s:c>
      <s:c r="B22691" s="113" t="inlineStr">
        <s:is>
          <s:t>• Trường B (trường khác), tài khoản của trường B</s:t>
        </s:is>
      </s:c>
      <s:c r="C22691" s="28" t="n"/>
      <s:c r="D22691" s="28" t="n"/>
      <s:c r="E22691" s="28" t="n"/>
    </s:row>
    <s:row r="22692" ht="20" customHeight="1">
      <s:c r="A22692" s="112" t="inlineStr">
        <s:is>
          <s:t>Bước 1</s:t>
        </s:is>
      </s:c>
      <s:c r="B22692" s="113" t="inlineStr">
        <s:is>
          <s:t>Ghi baseline cấu hình, điểm và kết quả trường A; xác minh tài khoản/identity và request thật.</s:t>
        </s:is>
      </s:c>
      <s:c r="C22692" s="28" t="n"/>
      <s:c r="D22692" s="28" t="n"/>
      <s:c r="E22692" s="28" t="n"/>
    </s:row>
    <s:row r="22693" ht="20" customHeight="1">
      <s:c r="A22693" s="112" t="inlineStr">
        <s:is>
          <s:t>Bước 2</s:t>
        </s:is>
      </s:c>
      <s:c r="B22693" s="113" t="inlineStr">
        <s:is>
          <s:t>Dùng actor và sửa đúng một trường identity theo trường hợp; gửi riêng từng request.</s:t>
        </s:is>
      </s:c>
      <s:c r="C22693" s="28" t="n"/>
      <s:c r="D22693" s="28" t="n"/>
      <s:c r="E22693" s="28" t="n"/>
    </s:row>
    <s:row r="22694" ht="20" customHeight="1">
      <s:c r="A22694" s="112" t="inlineStr">
        <s:is>
          <s:t>Bước 3</s:t>
        </s:is>
      </s:c>
      <s:c r="B22694" s="113" t="inlineStr">
        <s:is>
          <s:t>Đọc response cùng dữ liệu đích và baseline, kiểm dữ liệu ngoài trường/năm/quyền không bị lộ hoặc đổi.</s:t>
        </s:is>
      </s:c>
      <s:c r="C22694" s="28" t="n"/>
      <s:c r="D22694" s="28" t="n"/>
      <s:c r="E22694" s="28" t="n"/>
    </s:row>
    <s:row r="22695" ht="28" customHeight="1">
      <s:c r="A22695" s="115" t="inlineStr">
        <s:is>
          <s:t>Trường hợp</s:t>
        </s:is>
      </s:c>
      <s:c r="B22695" s="115" t="inlineStr">
        <s:is>
          <s:t>Dữ liệu / thao tác riêng</s:t>
        </s:is>
      </s:c>
      <s:c r="C22695" s="115" t="inlineStr">
        <s:is>
          <s:t>Kết quả mong đợi</s:t>
        </s:is>
      </s:c>
      <s:c r="D22695" s="115" t="inlineStr">
        <s:is>
          <s:t>Kết quả thực tế</s:t>
        </s:is>
      </s:c>
      <s:c r="E22695" s="115" t="inlineStr">
        <s:is>
          <s:t>Đánh giá</s:t>
        </s:is>
      </s:c>
    </s:row>
    <s:row r="22696" ht="3" customHeight="1">
      <s:c r="A22696" s="102" t="inlineStr"/>
      <s:c r="B22696" s="99" t="n"/>
      <s:c r="C22696" s="99" t="n"/>
      <s:c r="D22696" s="116" t="n"/>
      <s:c r="E22696" s="116" t="n"/>
    </s:row>
    <s:row r="22697" ht="132" customHeight="1">
      <s:c r="A22697" s="83" t="inlineStr">
        <s:is>
          <s:t>Đọc mục trường khác (read-school)</s:t>
        </s:is>
      </s:c>
      <s:c r="B22697" s="83" t="inlineStr">
        <s:is>
          <s:t>Tài khoản trường B: mở URL/gửi request xem ID mục/rule của trường A. Dùng request/ID đã xác minh; gửi riêng và đọc response, cấu hình, điểm/kết quả trường A trước/sau.</s:t>
        </s:is>
      </s:c>
      <s:c r="C22697"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697" s="117" t="inlineStr"/>
      <s:c r="E22697" s="118" t="inlineStr">
        <s:is>
          <s:t>Chưa thực hiện</s:t>
        </s:is>
      </s:c>
    </s:row>
    <s:row r="22698" ht="3" customHeight="1">
      <s:c r="A22698" s="102" t="inlineStr"/>
      <s:c r="B22698" s="99" t="n"/>
      <s:c r="C22698" s="99" t="n"/>
      <s:c r="D22698" s="116" t="n"/>
      <s:c r="E22698" s="116" t="n"/>
    </s:row>
    <s:row r="22699" ht="132" customHeight="1">
      <s:c r="A22699" s="83" t="inlineStr">
        <s:is>
          <s:t>Lưu mục trường khác (save-school)</s:t>
        </s:is>
      </s:c>
      <s:c r="B22699" s="83" t="inlineStr">
        <s:is>
          <s:t>Tài khoản trường B: gửi request lưu ID mục/rule của trường A. Dùng request/ID đã xác minh; gửi riêng và đọc response, cấu hình, điểm/kết quả trường A trước/sau.</s:t>
        </s:is>
      </s:c>
      <s:c r="C22699"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699" s="117" t="inlineStr"/>
      <s:c r="E22699" s="118" t="inlineStr">
        <s:is>
          <s:t>Chưa thực hiện</s:t>
        </s:is>
      </s:c>
    </s:row>
    <s:row r="22700" ht="3" customHeight="1">
      <s:c r="A22700" s="102" t="inlineStr"/>
      <s:c r="B22700" s="99" t="n"/>
      <s:c r="C22700" s="99" t="n"/>
      <s:c r="D22700" s="116" t="n"/>
      <s:c r="E22700" s="116" t="n"/>
    </s:row>
    <s:row r="22701" ht="132" customHeight="1">
      <s:c r="A22701" s="83" t="inlineStr">
        <s:is>
          <s:t>Xóa mục trường khác (delete-school)</s:t>
        </s:is>
      </s:c>
      <s:c r="B22701" s="83" t="inlineStr">
        <s:is>
          <s:t>Tài khoản trường B: gửi request xóa ID mục/rule của trường A. Dùng request/ID đã xác minh; gửi riêng và đọc response, cấu hình, điểm/kết quả trường A trước/sau.</s:t>
        </s:is>
      </s:c>
      <s:c r="C22701"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01" s="117" t="inlineStr"/>
      <s:c r="E22701" s="118" t="inlineStr">
        <s:is>
          <s:t>Chưa thực hiện</s:t>
        </s:is>
      </s:c>
    </s:row>
    <s:row r="22702" ht="3" customHeight="1">
      <s:c r="A22702" s="102" t="inlineStr"/>
      <s:c r="B22702" s="99" t="n"/>
      <s:c r="C22702" s="99" t="n"/>
      <s:c r="D22702" s="116" t="n"/>
      <s:c r="E22702" s="116" t="n"/>
    </s:row>
    <s:row r="22703" ht="132" customHeight="1">
      <s:c r="A22703" s="83" t="inlineStr">
        <s:is>
          <s:t>Nguồn trường khác (source-school)</s:t>
        </s:is>
      </s:c>
      <s:c r="B22703" s="83" t="inlineStr">
        <s:is>
          <s:t>Giáo viên được sửa mục trường A: sửa request lưu rule của trường A để tham chiếu  nguồn tổng hợp thuộc trường B. Dùng request/ID đã xác minh; gửi riêng và đọc response, cấu hình, điểm/kết quả trường A trước/sau.</s:t>
        </s:is>
      </s:c>
      <s:c r="C22703"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03" s="117" t="inlineStr"/>
      <s:c r="E22703" s="118" t="inlineStr">
        <s:is>
          <s:t>Chưa thực hiện</s:t>
        </s:is>
      </s:c>
    </s:row>
    <s:row r="22704" ht="3" customHeight="1">
      <s:c r="A22704" s="102" t="inlineStr"/>
      <s:c r="B22704" s="99" t="n"/>
      <s:c r="C22704" s="99" t="n"/>
      <s:c r="D22704" s="116" t="n"/>
      <s:c r="E22704" s="116" t="n"/>
    </s:row>
    <s:row r="22705" ht="132" customHeight="1">
      <s:c r="A22705" s="83" t="inlineStr">
        <s:is>
          <s:t>Nguồn năm khác (source-year)</s:t>
        </s:is>
      </s:c>
      <s:c r="B22705" s="83" t="inlineStr">
        <s:is>
          <s:t>Giáo viên được sửa mục trường A: sửa request lưu rule của trường A để tham chiếu  nguồn tổng hợp thuộc năm 2025. Dùng request/ID đã xác minh; gửi riêng và đọc response, cấu hình, điểm/kết quả trường A trước/sau.</s:t>
        </s:is>
      </s:c>
      <s:c r="C22705"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05" s="117" t="inlineStr"/>
      <s:c r="E22705" s="118" t="inlineStr">
        <s:is>
          <s:t>Chưa thực hiện</s:t>
        </s:is>
      </s:c>
    </s:row>
    <s:row r="22706" ht="3" customHeight="1">
      <s:c r="A22706" s="102" t="inlineStr"/>
      <s:c r="B22706" s="99" t="n"/>
      <s:c r="C22706" s="99" t="n"/>
      <s:c r="D22706" s="116" t="n"/>
      <s:c r="E22706" s="116" t="n"/>
    </s:row>
    <s:row r="22707" ht="132" customHeight="1">
      <s:c r="A22707" s="83" t="inlineStr">
        <s:is>
          <s:t>Lớp trường khác (class-school)</s:t>
        </s:is>
      </s:c>
      <s:c r="B22707" s="83" t="inlineStr">
        <s:is>
          <s:t>Giáo viên được sửa mục trường A: sửa request lưu rule của trường A để tham chiếu  ID lớp trong bộ lọc thuộc trường B. Dùng request/ID đã xác minh; gửi riêng và đọc response, cấu hình, điểm/kết quả trường A trước/sau.</s:t>
        </s:is>
      </s:c>
      <s:c r="C22707"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07" s="117" t="inlineStr"/>
      <s:c r="E22707" s="118" t="inlineStr">
        <s:is>
          <s:t>Chưa thực hiện</s:t>
        </s:is>
      </s:c>
    </s:row>
    <s:row r="22708" ht="3" customHeight="1">
      <s:c r="A22708" s="102" t="inlineStr"/>
      <s:c r="B22708" s="99" t="n"/>
      <s:c r="C22708" s="99" t="n"/>
      <s:c r="D22708" s="116" t="n"/>
      <s:c r="E22708" s="116" t="n"/>
    </s:row>
    <s:row r="22709" ht="132" customHeight="1">
      <s:c r="A22709" s="83" t="inlineStr">
        <s:is>
          <s:t>Lớp năm khác (class-year)</s:t>
        </s:is>
      </s:c>
      <s:c r="B22709" s="83" t="inlineStr">
        <s:is>
          <s:t>Giáo viên được sửa mục trường A: sửa request lưu rule của trường A để tham chiếu  ID lớp trong bộ lọc thuộc năm 2025. Dùng request/ID đã xác minh; gửi riêng và đọc response, cấu hình, điểm/kết quả trường A trước/sau.</s:t>
        </s:is>
      </s:c>
      <s:c r="C22709"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09" s="117" t="inlineStr"/>
      <s:c r="E22709" s="118" t="inlineStr">
        <s:is>
          <s:t>Chưa thực hiện</s:t>
        </s:is>
      </s:c>
    </s:row>
    <s:row r="22710" ht="3" customHeight="1">
      <s:c r="A22710" s="102" t="inlineStr"/>
      <s:c r="B22710" s="99" t="n"/>
      <s:c r="C22710" s="99" t="n"/>
      <s:c r="D22710" s="116" t="n"/>
      <s:c r="E22710" s="116" t="n"/>
    </s:row>
    <s:row r="22711" ht="132" customHeight="1">
      <s:c r="A22711" s="83" t="inlineStr">
        <s:is>
          <s:t>Nhóm trường khác (group-school)</s:t>
        </s:is>
      </s:c>
      <s:c r="B22711" s="83" t="inlineStr">
        <s:is>
          <s:t>Giáo viên được sửa mục trường A: sửa request lưu rule của trường A để tham chiếu  ID nhóm trong bộ lọc thuộc trường B. Dùng request/ID đã xác minh; gửi riêng và đọc response, cấu hình, điểm/kết quả trường A trước/sau.</s:t>
        </s:is>
      </s:c>
      <s:c r="C22711"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11" s="117" t="inlineStr"/>
      <s:c r="E22711" s="118" t="inlineStr">
        <s:is>
          <s:t>Chưa thực hiện</s:t>
        </s:is>
      </s:c>
    </s:row>
    <s:row r="22712" ht="3" customHeight="1">
      <s:c r="A22712" s="102" t="inlineStr"/>
      <s:c r="B22712" s="99" t="n"/>
      <s:c r="C22712" s="99" t="n"/>
      <s:c r="D22712" s="116" t="n"/>
      <s:c r="E22712" s="116" t="n"/>
    </s:row>
    <s:row r="22713" ht="132" customHeight="1">
      <s:c r="A22713" s="83" t="inlineStr">
        <s:is>
          <s:t>Nhóm năm khác (group-year)</s:t>
        </s:is>
      </s:c>
      <s:c r="B22713" s="83" t="inlineStr">
        <s:is>
          <s:t>Giáo viên được sửa mục trường A: sửa request lưu rule của trường A để tham chiếu  ID nhóm trong bộ lọc thuộc năm 2025. Dùng request/ID đã xác minh; gửi riêng và đọc response, cấu hình, điểm/kết quả trường A trước/sau.</s:t>
        </s:is>
      </s:c>
      <s:c r="C22713"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13" s="117" t="inlineStr"/>
      <s:c r="E22713" s="118" t="inlineStr">
        <s:is>
          <s:t>Chưa thực hiện</s:t>
        </s:is>
      </s:c>
    </s:row>
    <s:row r="22714" ht="3" customHeight="1">
      <s:c r="A22714" s="102" t="inlineStr"/>
      <s:c r="B22714" s="99" t="n"/>
      <s:c r="C22714" s="99" t="n"/>
      <s:c r="D22714" s="116" t="n"/>
      <s:c r="E22714" s="116" t="n"/>
    </s:row>
    <s:row r="22715" ht="132" customHeight="1">
      <s:c r="A22715" s="83" t="inlineStr">
        <s:is>
          <s:t>Đơn vị trường khác (unit-school)</s:t>
        </s:is>
      </s:c>
      <s:c r="B22715" s="83" t="inlineStr">
        <s:is>
          <s:t>Giáo viên được sửa mục trường A: sửa request lưu rule của trường A để tham chiếu  ID đơn vị thuộc trường B. Dùng request/ID đã xác minh; gửi riêng và đọc response, cấu hình, điểm/kết quả trường A trước/sau.</s:t>
        </s:is>
      </s:c>
      <s:c r="C22715"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15" s="117" t="inlineStr"/>
      <s:c r="E22715" s="118" t="inlineStr">
        <s:is>
          <s:t>Chưa thực hiện</s:t>
        </s:is>
      </s:c>
    </s:row>
    <s:row r="22716" ht="3" customHeight="1">
      <s:c r="A22716" s="102" t="inlineStr"/>
      <s:c r="B22716" s="99" t="n"/>
      <s:c r="C22716" s="99" t="n"/>
      <s:c r="D22716" s="116" t="n"/>
      <s:c r="E22716" s="116" t="n"/>
    </s:row>
    <s:row r="22717" ht="132" customHeight="1">
      <s:c r="A22717" s="83" t="inlineStr">
        <s:is>
          <s:t>Đơn vị năm khác (unit-year)</s:t>
        </s:is>
      </s:c>
      <s:c r="B22717" s="83" t="inlineStr">
        <s:is>
          <s:t>Giáo viên được sửa mục trường A: sửa request lưu rule của trường A để tham chiếu  ID đơn vị thuộc năm 2025. Dùng request/ID đã xác minh; gửi riêng và đọc response, cấu hình, điểm/kết quả trường A trước/sau.</s:t>
        </s:is>
      </s:c>
      <s:c r="C22717" s="83" t="inlineStr">
        <s:is>
          <s: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s:t>
        </s:is>
      </s:c>
      <s:c r="D22717" s="117" t="inlineStr"/>
      <s:c r="E22717" s="118" t="inlineStr">
        <s:is>
          <s:t>Chưa thực hiện</s:t>
        </s:is>
      </s:c>
    </s:row>
    <s:row r="22718" ht="20" customHeight="1">
      <s:c r="A22718" s="119" t="inlineStr">
        <s:is>
          <s:t>Ảnh minh chứng — Chưa có ảnh</s:t>
        </s:is>
      </s:c>
      <s:c r="B22718" s="19" t="n"/>
      <s:c r="C22718" s="19" t="n"/>
      <s:c r="D22718" s="19" t="n"/>
      <s:c r="E22718" s="19" t="n"/>
    </s:row>
    <s:row r="22719" hidden="1" ht="1" customHeight="1">
      <s:c r="A22719" s="120" t="inlineStr"/>
      <s:c r="B22719" s="121" t="n"/>
      <s:c r="C22719" s="121" t="n"/>
      <s:c r="D22719" s="121" t="n"/>
      <s:c r="E22719" s="122" t="n"/>
    </s:row>
    <s:row r="22720" hidden="1" ht="1" customHeight="1">
      <s:c r="A22720" s="120" t="inlineStr"/>
      <s:c r="B22720" s="121" t="n"/>
      <s:c r="C22720" s="121" t="n"/>
      <s:c r="D22720" s="121" t="n"/>
      <s:c r="E22720" s="122" t="n"/>
    </s:row>
    <s:row r="22721" hidden="1" ht="1" customHeight="1">
      <s:c r="A22721" s="120" t="inlineStr"/>
      <s:c r="B22721" s="121" t="n"/>
      <s:c r="C22721" s="121" t="n"/>
      <s:c r="D22721" s="121" t="n"/>
      <s:c r="E22721" s="122" t="n"/>
    </s:row>
    <s:row r="22722" hidden="1" ht="1" customHeight="1">
      <s:c r="A22722" s="120" t="inlineStr"/>
      <s:c r="B22722" s="121" t="n"/>
      <s:c r="C22722" s="121" t="n"/>
      <s:c r="D22722" s="121" t="n"/>
      <s:c r="E22722" s="122" t="n"/>
    </s:row>
    <s:row r="22723" hidden="1" ht="1" customHeight="1">
      <s:c r="A22723" s="120" t="inlineStr"/>
      <s:c r="B22723" s="121" t="n"/>
      <s:c r="C22723" s="121" t="n"/>
      <s:c r="D22723" s="121" t="n"/>
      <s:c r="E22723" s="122" t="n"/>
    </s:row>
    <s:row r="22724" hidden="1" ht="1" customHeight="1">
      <s:c r="A22724" s="120" t="inlineStr"/>
      <s:c r="B22724" s="121" t="n"/>
      <s:c r="C22724" s="121" t="n"/>
      <s:c r="D22724" s="121" t="n"/>
      <s:c r="E22724" s="122" t="n"/>
    </s:row>
    <s:row r="22725" hidden="1" ht="1" customHeight="1">
      <s:c r="A22725" s="120" t="inlineStr"/>
      <s:c r="B22725" s="121" t="n"/>
      <s:c r="C22725" s="121" t="n"/>
      <s:c r="D22725" s="121" t="n"/>
      <s:c r="E22725" s="122" t="n"/>
    </s:row>
    <s:row r="22726" hidden="1" ht="1" customHeight="1">
      <s:c r="A22726" s="120" t="inlineStr"/>
      <s:c r="B22726" s="121" t="n"/>
      <s:c r="C22726" s="121" t="n"/>
      <s:c r="D22726" s="121" t="n"/>
      <s:c r="E22726" s="122" t="n"/>
    </s:row>
    <s:row r="22727" hidden="1" ht="1" customHeight="1">
      <s:c r="A22727" s="120" t="inlineStr"/>
      <s:c r="B22727" s="121" t="n"/>
      <s:c r="C22727" s="121" t="n"/>
      <s:c r="D22727" s="121" t="n"/>
      <s:c r="E22727" s="122" t="n"/>
    </s:row>
    <s:row r="22728" hidden="1" ht="1" customHeight="1">
      <s:c r="A22728" s="120" t="inlineStr"/>
      <s:c r="B22728" s="121" t="n"/>
      <s:c r="C22728" s="121" t="n"/>
      <s:c r="D22728" s="121" t="n"/>
      <s:c r="E22728" s="122" t="n"/>
    </s:row>
    <s:row r="22729" hidden="1" ht="1" customHeight="1">
      <s:c r="A22729" s="120" t="inlineStr"/>
      <s:c r="B22729" s="121" t="n"/>
      <s:c r="C22729" s="121" t="n"/>
      <s:c r="D22729" s="121" t="n"/>
      <s:c r="E22729" s="122" t="n"/>
    </s:row>
    <s:row r="22730" hidden="1" ht="1" customHeight="1">
      <s:c r="A22730" s="120" t="inlineStr"/>
      <s:c r="B22730" s="121" t="n"/>
      <s:c r="C22730" s="121" t="n"/>
      <s:c r="D22730" s="121" t="n"/>
      <s:c r="E22730" s="122" t="n"/>
    </s:row>
    <s:row r="22731" hidden="1" ht="1" customHeight="1">
      <s:c r="A22731" s="120" t="inlineStr"/>
      <s:c r="B22731" s="121" t="n"/>
      <s:c r="C22731" s="121" t="n"/>
      <s:c r="D22731" s="121" t="n"/>
      <s:c r="E22731" s="122" t="n"/>
    </s:row>
    <s:row r="22732" hidden="1" ht="1" customHeight="1">
      <s:c r="A22732" s="120" t="inlineStr"/>
      <s:c r="B22732" s="121" t="n"/>
      <s:c r="C22732" s="121" t="n"/>
      <s:c r="D22732" s="121" t="n"/>
      <s:c r="E22732" s="122" t="n"/>
    </s:row>
    <s:row r="22733" hidden="1" ht="1" customHeight="1">
      <s:c r="A22733" s="120" t="inlineStr"/>
      <s:c r="B22733" s="121" t="n"/>
      <s:c r="C22733" s="121" t="n"/>
      <s:c r="D22733" s="121" t="n"/>
      <s:c r="E22733" s="122" t="n"/>
    </s:row>
    <s:row r="22734" hidden="1" ht="1" customHeight="1">
      <s:c r="A22734" s="120" t="inlineStr"/>
      <s:c r="B22734" s="121" t="n"/>
      <s:c r="C22734" s="121" t="n"/>
      <s:c r="D22734" s="121" t="n"/>
      <s:c r="E22734" s="122" t="n"/>
    </s:row>
    <s:row r="22735" hidden="1" ht="1" customHeight="1">
      <s:c r="A22735" s="120" t="inlineStr"/>
      <s:c r="B22735" s="121" t="n"/>
      <s:c r="C22735" s="121" t="n"/>
      <s:c r="D22735" s="121" t="n"/>
      <s:c r="E22735" s="122" t="n"/>
    </s:row>
    <s:row r="22736" hidden="1" ht="1" customHeight="1">
      <s:c r="A22736" s="120" t="inlineStr"/>
      <s:c r="B22736" s="121" t="n"/>
      <s:c r="C22736" s="121" t="n"/>
      <s:c r="D22736" s="121" t="n"/>
      <s:c r="E22736" s="122" t="n"/>
    </s:row>
    <s:row r="22737" hidden="1" ht="1" customHeight="1">
      <s:c r="A22737" s="120" t="inlineStr"/>
      <s:c r="B22737" s="121" t="n"/>
      <s:c r="C22737" s="121" t="n"/>
      <s:c r="D22737" s="121" t="n"/>
      <s:c r="E22737" s="122" t="n"/>
    </s:row>
    <s:row r="22738" hidden="1" ht="1" customHeight="1">
      <s:c r="A22738" s="120" t="inlineStr"/>
      <s:c r="B22738" s="121" t="n"/>
      <s:c r="C22738" s="121" t="n"/>
      <s:c r="D22738" s="121" t="n"/>
      <s:c r="E22738" s="122" t="n"/>
    </s:row>
    <s:row r="22739" hidden="1" ht="1" customHeight="1">
      <s:c r="A22739" s="120" t="inlineStr"/>
      <s:c r="B22739" s="121" t="n"/>
      <s:c r="C22739" s="121" t="n"/>
      <s:c r="D22739" s="121" t="n"/>
      <s:c r="E22739" s="122" t="n"/>
    </s:row>
    <s:row r="22740" hidden="1" ht="1" customHeight="1">
      <s:c r="A22740" s="120" t="inlineStr"/>
      <s:c r="B22740" s="121" t="n"/>
      <s:c r="C22740" s="121" t="n"/>
      <s:c r="D22740" s="121" t="n"/>
      <s:c r="E22740" s="122" t="n"/>
    </s:row>
    <s:row r="22741" hidden="1" ht="1" customHeight="1">
      <s:c r="A22741" s="120" t="inlineStr"/>
      <s:c r="B22741" s="121" t="n"/>
      <s:c r="C22741" s="121" t="n"/>
      <s:c r="D22741" s="121" t="n"/>
      <s:c r="E22741" s="122" t="n"/>
    </s:row>
    <s:row r="22742" hidden="1" ht="1" customHeight="1">
      <s:c r="A22742" s="120" t="inlineStr"/>
      <s:c r="B22742" s="121" t="n"/>
      <s:c r="C22742" s="121" t="n"/>
      <s:c r="D22742" s="121" t="n"/>
      <s:c r="E22742" s="122" t="n"/>
    </s:row>
    <s:row r="22743" hidden="1" ht="1" customHeight="1">
      <s:c r="A22743" s="120" t="inlineStr"/>
      <s:c r="B22743" s="121" t="n"/>
      <s:c r="C22743" s="121" t="n"/>
      <s:c r="D22743" s="121" t="n"/>
      <s:c r="E22743" s="122" t="n"/>
    </s:row>
    <s:row r="22744" hidden="1" ht="1" customHeight="1">
      <s:c r="A22744" s="120" t="inlineStr"/>
      <s:c r="B22744" s="121" t="n"/>
      <s:c r="C22744" s="121" t="n"/>
      <s:c r="D22744" s="121" t="n"/>
      <s:c r="E22744" s="122" t="n"/>
    </s:row>
    <s:row r="22745" hidden="1" ht="1" customHeight="1">
      <s:c r="A22745" s="120" t="inlineStr"/>
      <s:c r="B22745" s="121" t="n"/>
      <s:c r="C22745" s="121" t="n"/>
      <s:c r="D22745" s="121" t="n"/>
      <s:c r="E22745" s="122" t="n"/>
    </s:row>
    <s:row r="22746" hidden="1" ht="1" customHeight="1">
      <s:c r="A22746" s="120" t="inlineStr"/>
      <s:c r="B22746" s="121" t="n"/>
      <s:c r="C22746" s="121" t="n"/>
      <s:c r="D22746" s="121" t="n"/>
      <s:c r="E22746" s="122" t="n"/>
    </s:row>
    <s:row r="22747" hidden="1" ht="1" customHeight="1">
      <s:c r="A22747" s="120" t="inlineStr"/>
      <s:c r="B22747" s="121" t="n"/>
      <s:c r="C22747" s="121" t="n"/>
      <s:c r="D22747" s="121" t="n"/>
      <s:c r="E22747" s="122" t="n"/>
    </s:row>
    <s:row r="22748" hidden="1" ht="1" customHeight="1">
      <s:c r="A22748" s="120" t="inlineStr"/>
      <s:c r="B22748" s="121" t="n"/>
      <s:c r="C22748" s="121" t="n"/>
      <s:c r="D22748" s="121" t="n"/>
      <s:c r="E22748" s="122" t="n"/>
    </s:row>
    <s:row r="22749" hidden="1" ht="1" customHeight="1">
      <s:c r="A22749" s="120" t="inlineStr"/>
      <s:c r="B22749" s="121" t="n"/>
      <s:c r="C22749" s="121" t="n"/>
      <s:c r="D22749" s="121" t="n"/>
      <s:c r="E22749" s="122" t="n"/>
    </s:row>
    <s:row r="22750" hidden="1" ht="1" customHeight="1">
      <s:c r="A22750" s="120" t="inlineStr"/>
      <s:c r="B22750" s="121" t="n"/>
      <s:c r="C22750" s="121" t="n"/>
      <s:c r="D22750" s="121" t="n"/>
      <s:c r="E22750" s="122" t="n"/>
    </s:row>
    <s:row r="22751" hidden="1" ht="1" customHeight="1">
      <s:c r="A22751" s="120" t="inlineStr"/>
      <s:c r="B22751" s="121" t="n"/>
      <s:c r="C22751" s="121" t="n"/>
      <s:c r="D22751" s="121" t="n"/>
      <s:c r="E22751" s="122" t="n"/>
    </s:row>
    <s:row r="22752" hidden="1" ht="1" customHeight="1">
      <s:c r="A22752" s="120" t="inlineStr"/>
      <s:c r="B22752" s="121" t="n"/>
      <s:c r="C22752" s="121" t="n"/>
      <s:c r="D22752" s="121" t="n"/>
      <s:c r="E22752" s="122" t="n"/>
    </s:row>
    <s:row r="22753" hidden="1" ht="1" customHeight="1">
      <s:c r="A22753" s="120" t="inlineStr"/>
      <s:c r="B22753" s="121" t="n"/>
      <s:c r="C22753" s="121" t="n"/>
      <s:c r="D22753" s="121" t="n"/>
      <s:c r="E22753" s="122" t="n"/>
    </s:row>
    <s:row r="22754" hidden="1" ht="1" customHeight="1">
      <s:c r="A22754" s="120" t="inlineStr"/>
      <s:c r="B22754" s="121" t="n"/>
      <s:c r="C22754" s="121" t="n"/>
      <s:c r="D22754" s="121" t="n"/>
      <s:c r="E22754" s="122" t="n"/>
    </s:row>
    <s:row r="22755" hidden="1" ht="1" customHeight="1">
      <s:c r="A22755" s="120" t="inlineStr"/>
      <s:c r="B22755" s="121" t="n"/>
      <s:c r="C22755" s="121" t="n"/>
      <s:c r="D22755" s="121" t="n"/>
      <s:c r="E22755" s="122" t="n"/>
    </s:row>
    <s:row r="22756" hidden="1" ht="1" customHeight="1">
      <s:c r="A22756" s="120" t="inlineStr"/>
      <s:c r="B22756" s="121" t="n"/>
      <s:c r="C22756" s="121" t="n"/>
      <s:c r="D22756" s="121" t="n"/>
      <s:c r="E22756" s="122" t="n"/>
    </s:row>
    <s:row r="22757" hidden="1" ht="1" customHeight="1">
      <s:c r="A22757" s="120" t="inlineStr"/>
      <s:c r="B22757" s="121" t="n"/>
      <s:c r="C22757" s="121" t="n"/>
      <s:c r="D22757" s="121" t="n"/>
      <s:c r="E22757" s="122" t="n"/>
    </s:row>
    <s:row r="22758" hidden="1" ht="1" customHeight="1">
      <s:c r="A22758" s="120" t="inlineStr"/>
      <s:c r="B22758" s="121" t="n"/>
      <s:c r="C22758" s="121" t="n"/>
      <s:c r="D22758" s="121" t="n"/>
      <s:c r="E22758" s="122" t="n"/>
    </s:row>
    <s:row r="22759" hidden="1" ht="1" customHeight="1">
      <s:c r="A22759" s="120" t="inlineStr"/>
      <s:c r="B22759" s="121" t="n"/>
      <s:c r="C22759" s="121" t="n"/>
      <s:c r="D22759" s="121" t="n"/>
      <s:c r="E22759" s="122" t="n"/>
    </s:row>
    <s:row r="22760" hidden="1" ht="1" customHeight="1">
      <s:c r="A22760" s="120" t="inlineStr"/>
      <s:c r="B22760" s="121" t="n"/>
      <s:c r="C22760" s="121" t="n"/>
      <s:c r="D22760" s="121" t="n"/>
      <s:c r="E22760" s="122" t="n"/>
    </s:row>
    <s:row r="22761" hidden="1" ht="1" customHeight="1">
      <s:c r="A22761" s="120" t="inlineStr"/>
      <s:c r="B22761" s="121" t="n"/>
      <s:c r="C22761" s="121" t="n"/>
      <s:c r="D22761" s="121" t="n"/>
      <s:c r="E22761" s="122" t="n"/>
    </s:row>
    <s:row r="22762" hidden="1" ht="1" customHeight="1">
      <s:c r="A22762" s="120" t="inlineStr"/>
      <s:c r="B22762" s="121" t="n"/>
      <s:c r="C22762" s="121" t="n"/>
      <s:c r="D22762" s="121" t="n"/>
      <s:c r="E22762" s="122" t="n"/>
    </s:row>
    <s:row r="22763" hidden="1" ht="1" customHeight="1">
      <s:c r="A22763" s="120" t="inlineStr"/>
      <s:c r="B22763" s="121" t="n"/>
      <s:c r="C22763" s="121" t="n"/>
      <s:c r="D22763" s="121" t="n"/>
      <s:c r="E22763" s="122" t="n"/>
    </s:row>
    <s:row r="22764" hidden="1" ht="1" customHeight="1">
      <s:c r="A22764" s="120" t="inlineStr"/>
      <s:c r="B22764" s="121" t="n"/>
      <s:c r="C22764" s="121" t="n"/>
      <s:c r="D22764" s="121" t="n"/>
      <s:c r="E22764" s="122" t="n"/>
    </s:row>
    <s:row r="22765" hidden="1" ht="1" customHeight="1">
      <s:c r="A22765" s="120" t="inlineStr"/>
      <s:c r="B22765" s="121" t="n"/>
      <s:c r="C22765" s="121" t="n"/>
      <s:c r="D22765" s="121" t="n"/>
      <s:c r="E22765" s="122" t="n"/>
    </s:row>
    <s:row r="22766" hidden="1" ht="1" customHeight="1">
      <s:c r="A22766" s="120" t="inlineStr"/>
      <s:c r="B22766" s="121" t="n"/>
      <s:c r="C22766" s="121" t="n"/>
      <s:c r="D22766" s="121" t="n"/>
      <s:c r="E22766" s="122" t="n"/>
    </s:row>
    <s:row r="22767" hidden="1" ht="1" customHeight="1">
      <s:c r="A22767" s="120" t="inlineStr"/>
      <s:c r="B22767" s="121" t="n"/>
      <s:c r="C22767" s="121" t="n"/>
      <s:c r="D22767" s="121" t="n"/>
      <s:c r="E22767" s="122" t="n"/>
    </s:row>
    <s:row r="22768" hidden="1" ht="1" customHeight="1">
      <s:c r="A22768" s="120" t="inlineStr"/>
      <s:c r="B22768" s="121" t="n"/>
      <s:c r="C22768" s="121" t="n"/>
      <s:c r="D22768" s="121" t="n"/>
      <s:c r="E22768" s="122" t="n"/>
    </s:row>
    <s:row r="22769" hidden="1" ht="1" customHeight="1">
      <s:c r="A22769" s="120" t="inlineStr"/>
      <s:c r="B22769" s="121" t="n"/>
      <s:c r="C22769" s="121" t="n"/>
      <s:c r="D22769" s="121" t="n"/>
      <s:c r="E22769" s="122" t="n"/>
    </s:row>
    <s:row r="22770" hidden="1" ht="1" customHeight="1">
      <s:c r="A22770" s="120" t="inlineStr"/>
      <s:c r="B22770" s="121" t="n"/>
      <s:c r="C22770" s="121" t="n"/>
      <s:c r="D22770" s="121" t="n"/>
      <s:c r="E22770" s="122" t="n"/>
    </s:row>
    <s:row r="22771" hidden="1" ht="1" customHeight="1">
      <s:c r="A22771" s="120" t="inlineStr"/>
      <s:c r="B22771" s="121" t="n"/>
      <s:c r="C22771" s="121" t="n"/>
      <s:c r="D22771" s="121" t="n"/>
      <s:c r="E22771" s="122" t="n"/>
    </s:row>
    <s:row r="22772" hidden="1" ht="1" customHeight="1">
      <s:c r="A22772" s="120" t="inlineStr"/>
      <s:c r="B22772" s="121" t="n"/>
      <s:c r="C22772" s="121" t="n"/>
      <s:c r="D22772" s="121" t="n"/>
      <s:c r="E22772" s="122" t="n"/>
    </s:row>
    <s:row r="22773" hidden="1" ht="1" customHeight="1">
      <s:c r="A22773" s="120" t="inlineStr"/>
      <s:c r="B22773" s="121" t="n"/>
      <s:c r="C22773" s="121" t="n"/>
      <s:c r="D22773" s="121" t="n"/>
      <s:c r="E22773" s="122" t="n"/>
    </s:row>
    <s:row r="22774" hidden="1" ht="1" customHeight="1">
      <s:c r="A22774" s="120" t="inlineStr"/>
      <s:c r="B22774" s="121" t="n"/>
      <s:c r="C22774" s="121" t="n"/>
      <s:c r="D22774" s="121" t="n"/>
      <s:c r="E22774" s="122" t="n"/>
    </s:row>
    <s:row r="22775" hidden="1" ht="1" customHeight="1">
      <s:c r="A22775" s="120" t="inlineStr"/>
      <s:c r="B22775" s="121" t="n"/>
      <s:c r="C22775" s="121" t="n"/>
      <s:c r="D22775" s="121" t="n"/>
      <s:c r="E22775" s="122" t="n"/>
    </s:row>
    <s:row r="22776" hidden="1" ht="1" customHeight="1">
      <s:c r="A22776" s="120" t="inlineStr"/>
      <s:c r="B22776" s="121" t="n"/>
      <s:c r="C22776" s="121" t="n"/>
      <s:c r="D22776" s="121" t="n"/>
      <s:c r="E22776" s="122" t="n"/>
    </s:row>
    <s:row r="22777" hidden="1" ht="1" customHeight="1">
      <s:c r="A22777" s="120" t="inlineStr"/>
      <s:c r="B22777" s="121" t="n"/>
      <s:c r="C22777" s="121" t="n"/>
      <s:c r="D22777" s="121" t="n"/>
      <s:c r="E22777" s="122" t="n"/>
    </s:row>
    <s:row r="22778" hidden="1" ht="1" customHeight="1">
      <s:c r="A22778" s="120" t="inlineStr"/>
      <s:c r="B22778" s="121" t="n"/>
      <s:c r="C22778" s="121" t="n"/>
      <s:c r="D22778" s="121" t="n"/>
      <s:c r="E22778" s="122" t="n"/>
    </s:row>
    <s:row r="22779" hidden="1" ht="1" customHeight="1">
      <s:c r="A22779" s="120" t="inlineStr"/>
      <s:c r="B22779" s="121" t="n"/>
      <s:c r="C22779" s="121" t="n"/>
      <s:c r="D22779" s="121" t="n"/>
      <s:c r="E22779" s="122" t="n"/>
    </s:row>
    <s:row r="22780" hidden="1" ht="1" customHeight="1">
      <s:c r="A22780" s="120" t="inlineStr"/>
      <s:c r="B22780" s="121" t="n"/>
      <s:c r="C22780" s="121" t="n"/>
      <s:c r="D22780" s="121" t="n"/>
      <s:c r="E22780" s="122" t="n"/>
    </s:row>
    <s:row r="22781" hidden="1" ht="1" customHeight="1">
      <s:c r="A22781" s="120" t="inlineStr"/>
      <s:c r="B22781" s="121" t="n"/>
      <s:c r="C22781" s="121" t="n"/>
      <s:c r="D22781" s="121" t="n"/>
      <s:c r="E22781" s="122" t="n"/>
    </s:row>
    <s:row r="22782" hidden="1" ht="1" customHeight="1">
      <s:c r="A22782" s="120" t="inlineStr"/>
      <s:c r="B22782" s="121" t="n"/>
      <s:c r="C22782" s="121" t="n"/>
      <s:c r="D22782" s="121" t="n"/>
      <s:c r="E22782" s="122" t="n"/>
    </s:row>
    <s:row r="22783" hidden="1" ht="1" customHeight="1">
      <s:c r="A22783" s="120" t="inlineStr"/>
      <s:c r="B22783" s="121" t="n"/>
      <s:c r="C22783" s="121" t="n"/>
      <s:c r="D22783" s="121" t="n"/>
      <s:c r="E22783" s="122" t="n"/>
    </s:row>
    <s:row r="22784" hidden="1" ht="1" customHeight="1">
      <s:c r="A22784" s="120" t="inlineStr"/>
      <s:c r="B22784" s="121" t="n"/>
      <s:c r="C22784" s="121" t="n"/>
      <s:c r="D22784" s="121" t="n"/>
      <s:c r="E22784" s="122" t="n"/>
    </s:row>
    <s:row r="22785" hidden="1" ht="1" customHeight="1">
      <s:c r="A22785" s="120" t="inlineStr"/>
      <s:c r="B22785" s="121" t="n"/>
      <s:c r="C22785" s="121" t="n"/>
      <s:c r="D22785" s="121" t="n"/>
      <s:c r="E22785" s="122" t="n"/>
    </s:row>
    <s:row r="22786" hidden="1" ht="1" customHeight="1">
      <s:c r="A22786" s="120" t="inlineStr"/>
      <s:c r="B22786" s="121" t="n"/>
      <s:c r="C22786" s="121" t="n"/>
      <s:c r="D22786" s="121" t="n"/>
      <s:c r="E22786" s="122" t="n"/>
    </s:row>
    <s:row r="22787" hidden="1" ht="1" customHeight="1">
      <s:c r="A22787" s="120" t="inlineStr"/>
      <s:c r="B22787" s="121" t="n"/>
      <s:c r="C22787" s="121" t="n"/>
      <s:c r="D22787" s="121" t="n"/>
      <s:c r="E22787" s="122" t="n"/>
    </s:row>
    <s:row r="22788" hidden="1" ht="1" customHeight="1">
      <s:c r="A22788" s="120" t="inlineStr"/>
      <s:c r="B22788" s="121" t="n"/>
      <s:c r="C22788" s="121" t="n"/>
      <s:c r="D22788" s="121" t="n"/>
      <s:c r="E22788" s="122" t="n"/>
    </s:row>
    <s:row r="22789" hidden="1" ht="1" customHeight="1">
      <s:c r="A22789" s="120" t="inlineStr"/>
      <s:c r="B22789" s="121" t="n"/>
      <s:c r="C22789" s="121" t="n"/>
      <s:c r="D22789" s="121" t="n"/>
      <s:c r="E22789" s="122" t="n"/>
    </s:row>
    <s:row r="22790" hidden="1" ht="1" customHeight="1">
      <s:c r="A22790" s="120" t="inlineStr"/>
      <s:c r="B22790" s="121" t="n"/>
      <s:c r="C22790" s="121" t="n"/>
      <s:c r="D22790" s="121" t="n"/>
      <s:c r="E22790" s="122" t="n"/>
    </s:row>
    <s:row r="22791" hidden="1" ht="1" customHeight="1">
      <s:c r="A22791" s="120" t="inlineStr"/>
      <s:c r="B22791" s="121" t="n"/>
      <s:c r="C22791" s="121" t="n"/>
      <s:c r="D22791" s="121" t="n"/>
      <s:c r="E22791" s="122" t="n"/>
    </s:row>
    <s:row r="22792" hidden="1" ht="1" customHeight="1">
      <s:c r="A22792" s="120" t="inlineStr"/>
      <s:c r="B22792" s="121" t="n"/>
      <s:c r="C22792" s="121" t="n"/>
      <s:c r="D22792" s="121" t="n"/>
      <s:c r="E22792" s="122" t="n"/>
    </s:row>
    <s:row r="22793" hidden="1" ht="1" customHeight="1">
      <s:c r="A22793" s="120" t="inlineStr"/>
      <s:c r="B22793" s="121" t="n"/>
      <s:c r="C22793" s="121" t="n"/>
      <s:c r="D22793" s="121" t="n"/>
      <s:c r="E22793" s="122" t="n"/>
    </s:row>
    <s:row r="22794" hidden="1" ht="1" customHeight="1">
      <s:c r="A22794" s="120" t="inlineStr"/>
      <s:c r="B22794" s="121" t="n"/>
      <s:c r="C22794" s="121" t="n"/>
      <s:c r="D22794" s="121" t="n"/>
      <s:c r="E22794" s="122" t="n"/>
    </s:row>
    <s:row r="22795" hidden="1" ht="1" customHeight="1">
      <s:c r="A22795" s="120" t="inlineStr"/>
      <s:c r="B22795" s="121" t="n"/>
      <s:c r="C22795" s="121" t="n"/>
      <s:c r="D22795" s="121" t="n"/>
      <s:c r="E22795" s="122" t="n"/>
    </s:row>
    <s:row r="22796" hidden="1" ht="1" customHeight="1">
      <s:c r="A22796" s="120" t="inlineStr"/>
      <s:c r="B22796" s="121" t="n"/>
      <s:c r="C22796" s="121" t="n"/>
      <s:c r="D22796" s="121" t="n"/>
      <s:c r="E22796" s="122" t="n"/>
    </s:row>
    <s:row r="22797" hidden="1" ht="1" customHeight="1">
      <s:c r="A22797" s="120" t="inlineStr"/>
      <s:c r="B22797" s="121" t="n"/>
      <s:c r="C22797" s="121" t="n"/>
      <s:c r="D22797" s="121" t="n"/>
      <s:c r="E22797" s="122" t="n"/>
    </s:row>
    <s:row r="22798" hidden="1" ht="1" customHeight="1">
      <s:c r="A22798" s="120" t="inlineStr"/>
      <s:c r="B22798" s="121" t="n"/>
      <s:c r="C22798" s="121" t="n"/>
      <s:c r="D22798" s="121" t="n"/>
      <s:c r="E22798" s="122" t="n"/>
    </s:row>
    <s:row r="22799" hidden="1" ht="1" customHeight="1">
      <s:c r="A22799" s="120" t="inlineStr"/>
      <s:c r="B22799" s="121" t="n"/>
      <s:c r="C22799" s="121" t="n"/>
      <s:c r="D22799" s="121" t="n"/>
      <s:c r="E22799" s="122" t="n"/>
    </s:row>
    <s:row r="22800" hidden="1" ht="1" customHeight="1">
      <s:c r="A22800" s="120" t="inlineStr"/>
      <s:c r="B22800" s="121" t="n"/>
      <s:c r="C22800" s="121" t="n"/>
      <s:c r="D22800" s="121" t="n"/>
      <s:c r="E22800" s="122" t="n"/>
    </s:row>
    <s:row r="22801" hidden="1" ht="1" customHeight="1">
      <s:c r="A22801" s="120" t="inlineStr"/>
      <s:c r="B22801" s="121" t="n"/>
      <s:c r="C22801" s="121" t="n"/>
      <s:c r="D22801" s="121" t="n"/>
      <s:c r="E22801" s="122" t="n"/>
    </s:row>
    <s:row r="22802" hidden="1" ht="1" customHeight="1">
      <s:c r="A22802" s="120" t="inlineStr"/>
      <s:c r="B22802" s="121" t="n"/>
      <s:c r="C22802" s="121" t="n"/>
      <s:c r="D22802" s="121" t="n"/>
      <s:c r="E22802" s="122" t="n"/>
    </s:row>
    <s:row r="22803" hidden="1" ht="1" customHeight="1">
      <s:c r="A22803" s="120" t="inlineStr"/>
      <s:c r="B22803" s="121" t="n"/>
      <s:c r="C22803" s="121" t="n"/>
      <s:c r="D22803" s="121" t="n"/>
      <s:c r="E22803" s="122" t="n"/>
    </s:row>
    <s:row r="22804" hidden="1" ht="1" customHeight="1">
      <s:c r="A22804" s="120" t="inlineStr"/>
      <s:c r="B22804" s="121" t="n"/>
      <s:c r="C22804" s="121" t="n"/>
      <s:c r="D22804" s="121" t="n"/>
      <s:c r="E22804" s="122" t="n"/>
    </s:row>
    <s:row r="22805" hidden="1" ht="1" customHeight="1">
      <s:c r="A22805" s="120" t="inlineStr"/>
      <s:c r="B22805" s="121" t="n"/>
      <s:c r="C22805" s="121" t="n"/>
      <s:c r="D22805" s="121" t="n"/>
      <s:c r="E22805" s="122" t="n"/>
    </s:row>
    <s:row r="22806" hidden="1" ht="1" customHeight="1">
      <s:c r="A22806" s="120" t="inlineStr"/>
      <s:c r="B22806" s="121" t="n"/>
      <s:c r="C22806" s="121" t="n"/>
      <s:c r="D22806" s="121" t="n"/>
      <s:c r="E22806" s="122" t="n"/>
    </s:row>
    <s:row r="22807" hidden="1" ht="1" customHeight="1">
      <s:c r="A22807" s="120" t="inlineStr"/>
      <s:c r="B22807" s="121" t="n"/>
      <s:c r="C22807" s="121" t="n"/>
      <s:c r="D22807" s="121" t="n"/>
      <s:c r="E22807" s="122" t="n"/>
    </s:row>
    <s:row r="22808" hidden="1" ht="1" customHeight="1">
      <s:c r="A22808" s="120" t="inlineStr"/>
      <s:c r="B22808" s="121" t="n"/>
      <s:c r="C22808" s="121" t="n"/>
      <s:c r="D22808" s="121" t="n"/>
      <s:c r="E22808" s="122" t="n"/>
    </s:row>
    <s:row r="22809" hidden="1" ht="1" customHeight="1">
      <s:c r="A22809" s="120" t="inlineStr"/>
      <s:c r="B22809" s="121" t="n"/>
      <s:c r="C22809" s="121" t="n"/>
      <s:c r="D22809" s="121" t="n"/>
      <s:c r="E22809" s="122" t="n"/>
    </s:row>
    <s:row r="22810" hidden="1" ht="1" customHeight="1">
      <s:c r="A22810" s="120" t="inlineStr"/>
      <s:c r="B22810" s="121" t="n"/>
      <s:c r="C22810" s="121" t="n"/>
      <s:c r="D22810" s="121" t="n"/>
      <s:c r="E22810" s="122" t="n"/>
    </s:row>
    <s:row r="22811" hidden="1" ht="1" customHeight="1">
      <s:c r="A22811" s="120" t="inlineStr"/>
      <s:c r="B22811" s="121" t="n"/>
      <s:c r="C22811" s="121" t="n"/>
      <s:c r="D22811" s="121" t="n"/>
      <s:c r="E22811" s="122" t="n"/>
    </s:row>
    <s:row r="22812" hidden="1" ht="1" customHeight="1">
      <s:c r="A22812" s="120" t="inlineStr"/>
      <s:c r="B22812" s="121" t="n"/>
      <s:c r="C22812" s="121" t="n"/>
      <s:c r="D22812" s="121" t="n"/>
      <s:c r="E22812" s="122" t="n"/>
    </s:row>
    <s:row r="22813" hidden="1" ht="1" customHeight="1">
      <s:c r="A22813" s="120" t="inlineStr"/>
      <s:c r="B22813" s="121" t="n"/>
      <s:c r="C22813" s="121" t="n"/>
      <s:c r="D22813" s="121" t="n"/>
      <s:c r="E22813" s="122" t="n"/>
    </s:row>
    <s:row r="22814" hidden="1" ht="1" customHeight="1">
      <s:c r="A22814" s="120" t="inlineStr"/>
      <s:c r="B22814" s="121" t="n"/>
      <s:c r="C22814" s="121" t="n"/>
      <s:c r="D22814" s="121" t="n"/>
      <s:c r="E22814" s="122" t="n"/>
    </s:row>
    <s:row r="22815" hidden="1" ht="1" customHeight="1">
      <s:c r="A22815" s="120" t="inlineStr"/>
      <s:c r="B22815" s="121" t="n"/>
      <s:c r="C22815" s="121" t="n"/>
      <s:c r="D22815" s="121" t="n"/>
      <s:c r="E22815" s="122" t="n"/>
    </s:row>
    <s:row r="22816" hidden="1" ht="1" customHeight="1">
      <s:c r="A22816" s="120" t="inlineStr"/>
      <s:c r="B22816" s="121" t="n"/>
      <s:c r="C22816" s="121" t="n"/>
      <s:c r="D22816" s="121" t="n"/>
      <s:c r="E22816" s="122" t="n"/>
    </s:row>
    <s:row r="22817" hidden="1" ht="1" customHeight="1">
      <s:c r="A22817" s="120" t="inlineStr"/>
      <s:c r="B22817" s="121" t="n"/>
      <s:c r="C22817" s="121" t="n"/>
      <s:c r="D22817" s="121" t="n"/>
      <s:c r="E22817" s="122" t="n"/>
    </s:row>
    <s:row r="22818" hidden="1" ht="1" customHeight="1">
      <s:c r="A22818" s="120" t="inlineStr"/>
      <s:c r="B22818" s="121" t="n"/>
      <s:c r="C22818" s="121" t="n"/>
      <s:c r="D22818" s="121" t="n"/>
      <s:c r="E22818" s="122" t="n"/>
    </s:row>
    <s:row r="22819" hidden="1" ht="1" customHeight="1">
      <s:c r="A22819" s="120" t="inlineStr"/>
      <s:c r="B22819" s="121" t="n"/>
      <s:c r="C22819" s="121" t="n"/>
      <s:c r="D22819" s="121" t="n"/>
      <s:c r="E22819" s="122" t="n"/>
    </s:row>
    <s:row r="22820" hidden="1" ht="1" customHeight="1">
      <s:c r="A22820" s="120" t="inlineStr"/>
      <s:c r="B22820" s="121" t="n"/>
      <s:c r="C22820" s="121" t="n"/>
      <s:c r="D22820" s="121" t="n"/>
      <s:c r="E22820" s="122" t="n"/>
    </s:row>
    <s:row r="22821" hidden="1" ht="1" customHeight="1">
      <s:c r="A22821" s="120" t="inlineStr"/>
      <s:c r="B22821" s="121" t="n"/>
      <s:c r="C22821" s="121" t="n"/>
      <s:c r="D22821" s="121" t="n"/>
      <s:c r="E22821" s="122" t="n"/>
    </s:row>
    <s:row r="22822" hidden="1" ht="1" customHeight="1">
      <s:c r="A22822" s="120" t="inlineStr"/>
      <s:c r="B22822" s="121" t="n"/>
      <s:c r="C22822" s="121" t="n"/>
      <s:c r="D22822" s="121" t="n"/>
      <s:c r="E22822" s="122" t="n"/>
    </s:row>
    <s:row r="22823" hidden="1" ht="1" customHeight="1">
      <s:c r="A22823" s="120" t="inlineStr"/>
      <s:c r="B22823" s="121" t="n"/>
      <s:c r="C22823" s="121" t="n"/>
      <s:c r="D22823" s="121" t="n"/>
      <s:c r="E22823" s="122" t="n"/>
    </s:row>
    <s:row r="22824" hidden="1" ht="1" customHeight="1">
      <s:c r="A22824" s="120" t="inlineStr"/>
      <s:c r="B22824" s="121" t="n"/>
      <s:c r="C22824" s="121" t="n"/>
      <s:c r="D22824" s="121" t="n"/>
      <s:c r="E22824" s="122" t="n"/>
    </s:row>
    <s:row r="22825" hidden="1" ht="1" customHeight="1">
      <s:c r="A22825" s="120" t="inlineStr"/>
      <s:c r="B22825" s="121" t="n"/>
      <s:c r="C22825" s="121" t="n"/>
      <s:c r="D22825" s="121" t="n"/>
      <s:c r="E22825" s="122" t="n"/>
    </s:row>
    <s:row r="22826" hidden="1" ht="1" customHeight="1">
      <s:c r="A22826" s="120" t="inlineStr"/>
      <s:c r="B22826" s="121" t="n"/>
      <s:c r="C22826" s="121" t="n"/>
      <s:c r="D22826" s="121" t="n"/>
      <s:c r="E22826" s="122" t="n"/>
    </s:row>
    <s:row r="22827" hidden="1" ht="1" customHeight="1">
      <s:c r="A22827" s="120" t="inlineStr"/>
      <s:c r="B22827" s="121" t="n"/>
      <s:c r="C22827" s="121" t="n"/>
      <s:c r="D22827" s="121" t="n"/>
      <s:c r="E22827" s="122" t="n"/>
    </s:row>
    <s:row r="22828" hidden="1" ht="1" customHeight="1">
      <s:c r="A22828" s="120" t="inlineStr"/>
      <s:c r="B22828" s="121" t="n"/>
      <s:c r="C22828" s="121" t="n"/>
      <s:c r="D22828" s="121" t="n"/>
      <s:c r="E22828" s="122" t="n"/>
    </s:row>
    <s:row r="22829" hidden="1" ht="1" customHeight="1">
      <s:c r="A22829" s="120" t="inlineStr"/>
      <s:c r="B22829" s="121" t="n"/>
      <s:c r="C22829" s="121" t="n"/>
      <s:c r="D22829" s="121" t="n"/>
      <s:c r="E22829" s="122" t="n"/>
    </s:row>
    <s:row r="22830" hidden="1" ht="1" customHeight="1">
      <s:c r="A22830" s="120" t="inlineStr"/>
      <s:c r="B22830" s="121" t="n"/>
      <s:c r="C22830" s="121" t="n"/>
      <s:c r="D22830" s="121" t="n"/>
      <s:c r="E22830" s="122" t="n"/>
    </s:row>
    <s:row r="22831" hidden="1" ht="1" customHeight="1">
      <s:c r="A22831" s="120" t="inlineStr"/>
      <s:c r="B22831" s="121" t="n"/>
      <s:c r="C22831" s="121" t="n"/>
      <s:c r="D22831" s="121" t="n"/>
      <s:c r="E22831" s="122" t="n"/>
    </s:row>
    <s:row r="22832" hidden="1" ht="1" customHeight="1">
      <s:c r="A22832" s="120" t="inlineStr"/>
      <s:c r="B22832" s="121" t="n"/>
      <s:c r="C22832" s="121" t="n"/>
      <s:c r="D22832" s="121" t="n"/>
      <s:c r="E22832" s="122" t="n"/>
    </s:row>
    <s:row r="22833" hidden="1" ht="1" customHeight="1">
      <s:c r="A22833" s="120" t="inlineStr"/>
      <s:c r="B22833" s="121" t="n"/>
      <s:c r="C22833" s="121" t="n"/>
      <s:c r="D22833" s="121" t="n"/>
      <s:c r="E22833" s="122" t="n"/>
    </s:row>
    <s:row r="22834" hidden="1" ht="1" customHeight="1">
      <s:c r="A22834" s="120" t="inlineStr"/>
      <s:c r="B22834" s="121" t="n"/>
      <s:c r="C22834" s="121" t="n"/>
      <s:c r="D22834" s="121" t="n"/>
      <s:c r="E22834" s="122" t="n"/>
    </s:row>
    <s:row r="22835" hidden="1" ht="1" customHeight="1">
      <s:c r="A22835" s="120" t="inlineStr"/>
      <s:c r="B22835" s="121" t="n"/>
      <s:c r="C22835" s="121" t="n"/>
      <s:c r="D22835" s="121" t="n"/>
      <s:c r="E22835" s="122" t="n"/>
    </s:row>
    <s:row r="22836" hidden="1" ht="1" customHeight="1">
      <s:c r="A22836" s="120" t="inlineStr"/>
      <s:c r="B22836" s="121" t="n"/>
      <s:c r="C22836" s="121" t="n"/>
      <s:c r="D22836" s="121" t="n"/>
      <s:c r="E22836" s="122" t="n"/>
    </s:row>
    <s:row r="22837" hidden="1" ht="1" customHeight="1">
      <s:c r="A22837" s="120" t="inlineStr"/>
      <s:c r="B22837" s="121" t="n"/>
      <s:c r="C22837" s="121" t="n"/>
      <s:c r="D22837" s="121" t="n"/>
      <s:c r="E22837" s="122" t="n"/>
    </s:row>
    <s:row r="22838" hidden="1" ht="1" customHeight="1">
      <s:c r="A22838" s="120" t="inlineStr"/>
      <s:c r="B22838" s="121" t="n"/>
      <s:c r="C22838" s="121" t="n"/>
      <s:c r="D22838" s="121" t="n"/>
      <s:c r="E22838" s="122" t="n"/>
    </s:row>
    <s:row r="22839" hidden="1" ht="1" customHeight="1">
      <s:c r="A22839" s="120" t="inlineStr"/>
      <s:c r="B22839" s="121" t="n"/>
      <s:c r="C22839" s="121" t="n"/>
      <s:c r="D22839" s="121" t="n"/>
      <s:c r="E22839" s="122" t="n"/>
    </s:row>
    <s:row r="22840" hidden="1" ht="1" customHeight="1">
      <s:c r="A22840" s="120" t="inlineStr"/>
      <s:c r="B22840" s="121" t="n"/>
      <s:c r="C22840" s="121" t="n"/>
      <s:c r="D22840" s="121" t="n"/>
      <s:c r="E22840" s="122" t="n"/>
    </s:row>
    <s:row r="22841" hidden="1" ht="1" customHeight="1">
      <s:c r="A22841" s="120" t="inlineStr"/>
      <s:c r="B22841" s="121" t="n"/>
      <s:c r="C22841" s="121" t="n"/>
      <s:c r="D22841" s="121" t="n"/>
      <s:c r="E22841" s="122" t="n"/>
    </s:row>
    <s:row r="22842" hidden="1" ht="1" customHeight="1">
      <s:c r="A22842" s="120" t="inlineStr"/>
      <s:c r="B22842" s="121" t="n"/>
      <s:c r="C22842" s="121" t="n"/>
      <s:c r="D22842" s="121" t="n"/>
      <s:c r="E22842" s="122" t="n"/>
    </s:row>
    <s:row r="22843" hidden="1" ht="1" customHeight="1">
      <s:c r="A22843" s="120" t="inlineStr"/>
      <s:c r="B22843" s="121" t="n"/>
      <s:c r="C22843" s="121" t="n"/>
      <s:c r="D22843" s="121" t="n"/>
      <s:c r="E22843" s="122" t="n"/>
    </s:row>
    <s:row r="22844" hidden="1" ht="1" customHeight="1">
      <s:c r="A22844" s="120" t="inlineStr"/>
      <s:c r="B22844" s="121" t="n"/>
      <s:c r="C22844" s="121" t="n"/>
      <s:c r="D22844" s="121" t="n"/>
      <s:c r="E22844" s="122" t="n"/>
    </s:row>
    <s:row r="22845" hidden="1" ht="1" customHeight="1">
      <s:c r="A22845" s="120" t="inlineStr"/>
      <s:c r="B22845" s="121" t="n"/>
      <s:c r="C22845" s="121" t="n"/>
      <s:c r="D22845" s="121" t="n"/>
      <s:c r="E22845" s="122" t="n"/>
    </s:row>
    <s:row r="22846" hidden="1" ht="1" customHeight="1">
      <s:c r="A22846" s="120" t="inlineStr"/>
      <s:c r="B22846" s="121" t="n"/>
      <s:c r="C22846" s="121" t="n"/>
      <s:c r="D22846" s="121" t="n"/>
      <s:c r="E22846" s="122" t="n"/>
    </s:row>
    <s:row r="22847" hidden="1" ht="1" customHeight="1">
      <s:c r="A22847" s="120" t="inlineStr"/>
      <s:c r="B22847" s="121" t="n"/>
      <s:c r="C22847" s="121" t="n"/>
      <s:c r="D22847" s="121" t="n"/>
      <s:c r="E22847" s="122" t="n"/>
    </s:row>
    <s:row r="22848" hidden="1" ht="1" customHeight="1">
      <s:c r="A22848" s="120" t="inlineStr"/>
      <s:c r="B22848" s="121" t="n"/>
      <s:c r="C22848" s="121" t="n"/>
      <s:c r="D22848" s="121" t="n"/>
      <s:c r="E22848" s="122" t="n"/>
    </s:row>
    <s:row r="22849" hidden="1" ht="1" customHeight="1">
      <s:c r="A22849" s="120" t="inlineStr"/>
      <s:c r="B22849" s="121" t="n"/>
      <s:c r="C22849" s="121" t="n"/>
      <s:c r="D22849" s="121" t="n"/>
      <s:c r="E22849" s="122" t="n"/>
    </s:row>
    <s:row r="22850" hidden="1" ht="1" customHeight="1">
      <s:c r="A22850" s="120" t="inlineStr"/>
      <s:c r="B22850" s="121" t="n"/>
      <s:c r="C22850" s="121" t="n"/>
      <s:c r="D22850" s="121" t="n"/>
      <s:c r="E22850" s="122" t="n"/>
    </s:row>
    <s:row r="22851" hidden="1" ht="1" customHeight="1">
      <s:c r="A22851" s="120" t="inlineStr"/>
      <s:c r="B22851" s="121" t="n"/>
      <s:c r="C22851" s="121" t="n"/>
      <s:c r="D22851" s="121" t="n"/>
      <s:c r="E22851" s="122" t="n"/>
    </s:row>
    <s:row r="22852" hidden="1" ht="1" customHeight="1">
      <s:c r="A22852" s="120" t="inlineStr"/>
      <s:c r="B22852" s="121" t="n"/>
      <s:c r="C22852" s="121" t="n"/>
      <s:c r="D22852" s="121" t="n"/>
      <s:c r="E22852" s="122" t="n"/>
    </s:row>
    <s:row r="22853" hidden="1" ht="1" customHeight="1">
      <s:c r="A22853" s="120" t="inlineStr"/>
      <s:c r="B22853" s="121" t="n"/>
      <s:c r="C22853" s="121" t="n"/>
      <s:c r="D22853" s="121" t="n"/>
      <s:c r="E22853" s="122" t="n"/>
    </s:row>
    <s:row r="22854" hidden="1" ht="1" customHeight="1">
      <s:c r="A22854" s="120" t="inlineStr"/>
      <s:c r="B22854" s="121" t="n"/>
      <s:c r="C22854" s="121" t="n"/>
      <s:c r="D22854" s="121" t="n"/>
      <s:c r="E22854" s="122" t="n"/>
    </s:row>
    <s:row r="22855" hidden="1" ht="1" customHeight="1">
      <s:c r="A22855" s="120" t="inlineStr"/>
      <s:c r="B22855" s="121" t="n"/>
      <s:c r="C22855" s="121" t="n"/>
      <s:c r="D22855" s="121" t="n"/>
      <s:c r="E22855" s="122" t="n"/>
    </s:row>
    <s:row r="22856" hidden="1" ht="1" customHeight="1">
      <s:c r="A22856" s="120" t="inlineStr"/>
      <s:c r="B22856" s="121" t="n"/>
      <s:c r="C22856" s="121" t="n"/>
      <s:c r="D22856" s="121" t="n"/>
      <s:c r="E22856" s="122" t="n"/>
    </s:row>
    <s:row r="22857" hidden="1" ht="1" customHeight="1">
      <s:c r="A22857" s="120" t="inlineStr"/>
      <s:c r="B22857" s="121" t="n"/>
      <s:c r="C22857" s="121" t="n"/>
      <s:c r="D22857" s="121" t="n"/>
      <s:c r="E22857" s="122" t="n"/>
    </s:row>
    <s:row r="22858" hidden="1" ht="1" customHeight="1">
      <s:c r="A22858" s="120" t="inlineStr"/>
      <s:c r="B22858" s="121" t="n"/>
      <s:c r="C22858" s="121" t="n"/>
      <s:c r="D22858" s="121" t="n"/>
      <s:c r="E22858" s="122" t="n"/>
    </s:row>
    <s:row r="22859" hidden="1" ht="1" customHeight="1">
      <s:c r="A22859" s="120" t="inlineStr"/>
      <s:c r="B22859" s="121" t="n"/>
      <s:c r="C22859" s="121" t="n"/>
      <s:c r="D22859" s="121" t="n"/>
      <s:c r="E22859" s="122" t="n"/>
    </s:row>
    <s:row r="22860" hidden="1" ht="1" customHeight="1">
      <s:c r="A22860" s="120" t="inlineStr"/>
      <s:c r="B22860" s="121" t="n"/>
      <s:c r="C22860" s="121" t="n"/>
      <s:c r="D22860" s="121" t="n"/>
      <s:c r="E22860" s="122" t="n"/>
    </s:row>
    <s:row r="22861" hidden="1" ht="1" customHeight="1">
      <s:c r="A22861" s="120" t="inlineStr"/>
      <s:c r="B22861" s="121" t="n"/>
      <s:c r="C22861" s="121" t="n"/>
      <s:c r="D22861" s="121" t="n"/>
      <s:c r="E22861" s="122" t="n"/>
    </s:row>
    <s:row r="22862" hidden="1" ht="1" customHeight="1">
      <s:c r="A22862" s="120" t="inlineStr"/>
      <s:c r="B22862" s="121" t="n"/>
      <s:c r="C22862" s="121" t="n"/>
      <s:c r="D22862" s="121" t="n"/>
      <s:c r="E22862" s="122" t="n"/>
    </s:row>
    <s:row r="22863" hidden="1" ht="1" customHeight="1">
      <s:c r="A22863" s="120" t="inlineStr"/>
      <s:c r="B22863" s="121" t="n"/>
      <s:c r="C22863" s="121" t="n"/>
      <s:c r="D22863" s="121" t="n"/>
      <s:c r="E22863" s="122" t="n"/>
    </s:row>
    <s:row r="22864" hidden="1" ht="1" customHeight="1">
      <s:c r="A22864" s="120" t="inlineStr"/>
      <s:c r="B22864" s="121" t="n"/>
      <s:c r="C22864" s="121" t="n"/>
      <s:c r="D22864" s="121" t="n"/>
      <s:c r="E22864" s="122" t="n"/>
    </s:row>
    <s:row r="22865" hidden="1" ht="1" customHeight="1">
      <s:c r="A22865" s="120" t="inlineStr"/>
      <s:c r="B22865" s="121" t="n"/>
      <s:c r="C22865" s="121" t="n"/>
      <s:c r="D22865" s="121" t="n"/>
      <s:c r="E22865" s="122" t="n"/>
    </s:row>
    <s:row r="22866" hidden="1" ht="1" customHeight="1">
      <s:c r="A22866" s="120" t="inlineStr"/>
      <s:c r="B22866" s="121" t="n"/>
      <s:c r="C22866" s="121" t="n"/>
      <s:c r="D22866" s="121" t="n"/>
      <s:c r="E22866" s="122" t="n"/>
    </s:row>
    <s:row r="22867" hidden="1" ht="1" customHeight="1">
      <s:c r="A22867" s="120" t="inlineStr"/>
      <s:c r="B22867" s="121" t="n"/>
      <s:c r="C22867" s="121" t="n"/>
      <s:c r="D22867" s="121" t="n"/>
      <s:c r="E22867" s="122" t="n"/>
    </s:row>
    <s:row r="22868" hidden="1" ht="1" customHeight="1">
      <s:c r="A22868" s="120" t="inlineStr"/>
      <s:c r="B22868" s="121" t="n"/>
      <s:c r="C22868" s="121" t="n"/>
      <s:c r="D22868" s="121" t="n"/>
      <s:c r="E22868" s="122" t="n"/>
    </s:row>
    <s:row r="22869" hidden="1" ht="1" customHeight="1">
      <s:c r="A22869" s="120" t="inlineStr"/>
      <s:c r="B22869" s="121" t="n"/>
      <s:c r="C22869" s="121" t="n"/>
      <s:c r="D22869" s="121" t="n"/>
      <s:c r="E22869" s="122" t="n"/>
    </s:row>
    <s:row r="22870" hidden="1" ht="1" customHeight="1">
      <s:c r="A22870" s="120" t="inlineStr"/>
      <s:c r="B22870" s="121" t="n"/>
      <s:c r="C22870" s="121" t="n"/>
      <s:c r="D22870" s="121" t="n"/>
      <s:c r="E22870" s="122" t="n"/>
    </s:row>
    <s:row r="22871" hidden="1" ht="1" customHeight="1">
      <s:c r="A22871" s="120" t="inlineStr"/>
      <s:c r="B22871" s="121" t="n"/>
      <s:c r="C22871" s="121" t="n"/>
      <s:c r="D22871" s="121" t="n"/>
      <s:c r="E22871" s="122" t="n"/>
    </s:row>
    <s:row r="22872" hidden="1" ht="1" customHeight="1">
      <s:c r="A22872" s="120" t="inlineStr"/>
      <s:c r="B22872" s="121" t="n"/>
      <s:c r="C22872" s="121" t="n"/>
      <s:c r="D22872" s="121" t="n"/>
      <s:c r="E22872" s="122" t="n"/>
    </s:row>
    <s:row r="22873" hidden="1" ht="1" customHeight="1">
      <s:c r="A22873" s="120" t="inlineStr"/>
      <s:c r="B22873" s="121" t="n"/>
      <s:c r="C22873" s="121" t="n"/>
      <s:c r="D22873" s="121" t="n"/>
      <s:c r="E22873" s="122" t="n"/>
    </s:row>
    <s:row r="22874" hidden="1" ht="1" customHeight="1">
      <s:c r="A22874" s="120" t="inlineStr"/>
      <s:c r="B22874" s="121" t="n"/>
      <s:c r="C22874" s="121" t="n"/>
      <s:c r="D22874" s="121" t="n"/>
      <s:c r="E22874" s="122" t="n"/>
    </s:row>
    <s:row r="22875" hidden="1" ht="1" customHeight="1">
      <s:c r="A22875" s="120" t="inlineStr"/>
      <s:c r="B22875" s="121" t="n"/>
      <s:c r="C22875" s="121" t="n"/>
      <s:c r="D22875" s="121" t="n"/>
      <s:c r="E22875" s="122" t="n"/>
    </s:row>
    <s:row r="22876" hidden="1" ht="1" customHeight="1">
      <s:c r="A22876" s="120" t="inlineStr"/>
      <s:c r="B22876" s="121" t="n"/>
      <s:c r="C22876" s="121" t="n"/>
      <s:c r="D22876" s="121" t="n"/>
      <s:c r="E22876" s="122" t="n"/>
    </s:row>
    <s:row r="22877" hidden="1" ht="1" customHeight="1">
      <s:c r="A22877" s="120" t="inlineStr"/>
      <s:c r="B22877" s="121" t="n"/>
      <s:c r="C22877" s="121" t="n"/>
      <s:c r="D22877" s="121" t="n"/>
      <s:c r="E22877" s="122" t="n"/>
    </s:row>
    <s:row r="22878" hidden="1" ht="1" customHeight="1">
      <s:c r="A22878" s="120" t="inlineStr"/>
      <s:c r="B22878" s="121" t="n"/>
      <s:c r="C22878" s="121" t="n"/>
      <s:c r="D22878" s="121" t="n"/>
      <s:c r="E22878" s="122" t="n"/>
    </s:row>
    <s:row r="22879" hidden="1" ht="1" customHeight="1">
      <s:c r="A22879" s="120" t="inlineStr"/>
      <s:c r="B22879" s="121" t="n"/>
      <s:c r="C22879" s="121" t="n"/>
      <s:c r="D22879" s="121" t="n"/>
      <s:c r="E22879" s="122" t="n"/>
    </s:row>
    <s:row r="22880" hidden="1" ht="1" customHeight="1">
      <s:c r="A22880" s="120" t="inlineStr"/>
      <s:c r="B22880" s="121" t="n"/>
      <s:c r="C22880" s="121" t="n"/>
      <s:c r="D22880" s="121" t="n"/>
      <s:c r="E22880" s="122" t="n"/>
    </s:row>
    <s:row r="22881" hidden="1" ht="1" customHeight="1">
      <s:c r="A22881" s="120" t="inlineStr"/>
      <s:c r="B22881" s="121" t="n"/>
      <s:c r="C22881" s="121" t="n"/>
      <s:c r="D22881" s="121" t="n"/>
      <s:c r="E22881" s="122" t="n"/>
    </s:row>
    <s:row r="22882" hidden="1" ht="1" customHeight="1">
      <s:c r="A22882" s="120" t="inlineStr"/>
      <s:c r="B22882" s="121" t="n"/>
      <s:c r="C22882" s="121" t="n"/>
      <s:c r="D22882" s="121" t="n"/>
      <s:c r="E22882" s="122" t="n"/>
    </s:row>
    <s:row r="22883" hidden="1" ht="1" customHeight="1">
      <s:c r="A22883" s="120" t="inlineStr"/>
      <s:c r="B22883" s="121" t="n"/>
      <s:c r="C22883" s="121" t="n"/>
      <s:c r="D22883" s="121" t="n"/>
      <s:c r="E22883" s="122" t="n"/>
    </s:row>
    <s:row r="22884" hidden="1" ht="1" customHeight="1">
      <s:c r="A22884" s="120" t="inlineStr"/>
      <s:c r="B22884" s="121" t="n"/>
      <s:c r="C22884" s="121" t="n"/>
      <s:c r="D22884" s="121" t="n"/>
      <s:c r="E22884" s="122" t="n"/>
    </s:row>
    <s:row r="22885" hidden="1" ht="1" customHeight="1">
      <s:c r="A22885" s="120" t="inlineStr"/>
      <s:c r="B22885" s="121" t="n"/>
      <s:c r="C22885" s="121" t="n"/>
      <s:c r="D22885" s="121" t="n"/>
      <s:c r="E22885" s="122" t="n"/>
    </s:row>
    <s:row r="22886" hidden="1" ht="1" customHeight="1">
      <s:c r="A22886" s="120" t="inlineStr"/>
      <s:c r="B22886" s="121" t="n"/>
      <s:c r="C22886" s="121" t="n"/>
      <s:c r="D22886" s="121" t="n"/>
      <s:c r="E22886" s="122" t="n"/>
    </s:row>
    <s:row r="22887" hidden="1" ht="1" customHeight="1">
      <s:c r="A22887" s="120" t="inlineStr"/>
      <s:c r="B22887" s="121" t="n"/>
      <s:c r="C22887" s="121" t="n"/>
      <s:c r="D22887" s="121" t="n"/>
      <s:c r="E22887" s="122" t="n"/>
    </s:row>
    <s:row r="22888" hidden="1" ht="1" customHeight="1">
      <s:c r="A22888" s="120" t="inlineStr"/>
      <s:c r="B22888" s="121" t="n"/>
      <s:c r="C22888" s="121" t="n"/>
      <s:c r="D22888" s="121" t="n"/>
      <s:c r="E22888" s="122" t="n"/>
    </s:row>
    <s:row r="22889" hidden="1" ht="1" customHeight="1">
      <s:c r="A22889" s="120" t="inlineStr"/>
      <s:c r="B22889" s="121" t="n"/>
      <s:c r="C22889" s="121" t="n"/>
      <s:c r="D22889" s="121" t="n"/>
      <s:c r="E22889" s="122" t="n"/>
    </s:row>
    <s:row r="22890" hidden="1" ht="1" customHeight="1">
      <s:c r="A22890" s="120" t="inlineStr"/>
      <s:c r="B22890" s="121" t="n"/>
      <s:c r="C22890" s="121" t="n"/>
      <s:c r="D22890" s="121" t="n"/>
      <s:c r="E22890" s="122" t="n"/>
    </s:row>
    <s:row r="22891" hidden="1" ht="1" customHeight="1">
      <s:c r="A22891" s="120" t="inlineStr"/>
      <s:c r="B22891" s="121" t="n"/>
      <s:c r="C22891" s="121" t="n"/>
      <s:c r="D22891" s="121" t="n"/>
      <s:c r="E22891" s="122" t="n"/>
    </s:row>
    <s:row r="22892" hidden="1" ht="1" customHeight="1">
      <s:c r="A22892" s="120" t="inlineStr"/>
      <s:c r="B22892" s="121" t="n"/>
      <s:c r="C22892" s="121" t="n"/>
      <s:c r="D22892" s="121" t="n"/>
      <s:c r="E22892" s="122" t="n"/>
    </s:row>
    <s:row r="22893" hidden="1" ht="1" customHeight="1">
      <s:c r="A22893" s="120" t="inlineStr"/>
      <s:c r="B22893" s="121" t="n"/>
      <s:c r="C22893" s="121" t="n"/>
      <s:c r="D22893" s="121" t="n"/>
      <s:c r="E22893" s="122" t="n"/>
    </s:row>
    <s:row r="22894" hidden="1" ht="1" customHeight="1">
      <s:c r="A22894" s="120" t="inlineStr"/>
      <s:c r="B22894" s="121" t="n"/>
      <s:c r="C22894" s="121" t="n"/>
      <s:c r="D22894" s="121" t="n"/>
      <s:c r="E22894" s="122" t="n"/>
    </s:row>
    <s:row r="22895" hidden="1" ht="1" customHeight="1">
      <s:c r="A22895" s="120" t="inlineStr"/>
      <s:c r="B22895" s="121" t="n"/>
      <s:c r="C22895" s="121" t="n"/>
      <s:c r="D22895" s="121" t="n"/>
      <s:c r="E22895" s="122" t="n"/>
    </s:row>
    <s:row r="22896" hidden="1" ht="1" customHeight="1">
      <s:c r="A22896" s="120" t="inlineStr"/>
      <s:c r="B22896" s="121" t="n"/>
      <s:c r="C22896" s="121" t="n"/>
      <s:c r="D22896" s="121" t="n"/>
      <s:c r="E22896" s="122" t="n"/>
    </s:row>
    <s:row r="22897" hidden="1" ht="1" customHeight="1">
      <s:c r="A22897" s="120" t="inlineStr"/>
      <s:c r="B22897" s="121" t="n"/>
      <s:c r="C22897" s="121" t="n"/>
      <s:c r="D22897" s="121" t="n"/>
      <s:c r="E22897" s="122" t="n"/>
    </s:row>
    <s:row r="22898" hidden="1" ht="1" customHeight="1">
      <s:c r="A22898" s="120" t="inlineStr"/>
      <s:c r="B22898" s="121" t="n"/>
      <s:c r="C22898" s="121" t="n"/>
      <s:c r="D22898" s="121" t="n"/>
      <s:c r="E22898" s="122" t="n"/>
    </s:row>
    <s:row r="22899" hidden="1" ht="1" customHeight="1">
      <s:c r="A22899" s="120" t="inlineStr"/>
      <s:c r="B22899" s="121" t="n"/>
      <s:c r="C22899" s="121" t="n"/>
      <s:c r="D22899" s="121" t="n"/>
      <s:c r="E22899" s="122" t="n"/>
    </s:row>
    <s:row r="22900" hidden="1" ht="1" customHeight="1">
      <s:c r="A22900" s="120" t="inlineStr"/>
      <s:c r="B22900" s="121" t="n"/>
      <s:c r="C22900" s="121" t="n"/>
      <s:c r="D22900" s="121" t="n"/>
      <s:c r="E22900" s="122" t="n"/>
    </s:row>
    <s:row r="22901" hidden="1" ht="1" customHeight="1">
      <s:c r="A22901" s="120" t="inlineStr"/>
      <s:c r="B22901" s="121" t="n"/>
      <s:c r="C22901" s="121" t="n"/>
      <s:c r="D22901" s="121" t="n"/>
      <s:c r="E22901" s="122" t="n"/>
    </s:row>
    <s:row r="22902" hidden="1" ht="1" customHeight="1">
      <s:c r="A22902" s="120" t="inlineStr"/>
      <s:c r="B22902" s="121" t="n"/>
      <s:c r="C22902" s="121" t="n"/>
      <s:c r="D22902" s="121" t="n"/>
      <s:c r="E22902" s="122" t="n"/>
    </s:row>
    <s:row r="22903" hidden="1" ht="1" customHeight="1">
      <s:c r="A22903" s="120" t="inlineStr"/>
      <s:c r="B22903" s="121" t="n"/>
      <s:c r="C22903" s="121" t="n"/>
      <s:c r="D22903" s="121" t="n"/>
      <s:c r="E22903" s="122" t="n"/>
    </s:row>
    <s:row r="22904" hidden="1" ht="1" customHeight="1">
      <s:c r="A22904" s="120" t="inlineStr"/>
      <s:c r="B22904" s="121" t="n"/>
      <s:c r="C22904" s="121" t="n"/>
      <s:c r="D22904" s="121" t="n"/>
      <s:c r="E22904" s="122" t="n"/>
    </s:row>
    <s:row r="22905" hidden="1" ht="1" customHeight="1">
      <s:c r="A22905" s="120" t="inlineStr"/>
      <s:c r="B22905" s="121" t="n"/>
      <s:c r="C22905" s="121" t="n"/>
      <s:c r="D22905" s="121" t="n"/>
      <s:c r="E22905" s="122" t="n"/>
    </s:row>
    <s:row r="22906" hidden="1" ht="1" customHeight="1">
      <s:c r="A22906" s="120" t="inlineStr"/>
      <s:c r="B22906" s="121" t="n"/>
      <s:c r="C22906" s="121" t="n"/>
      <s:c r="D22906" s="121" t="n"/>
      <s:c r="E22906" s="122" t="n"/>
    </s:row>
    <s:row r="22907" hidden="1" ht="1" customHeight="1">
      <s:c r="A22907" s="120" t="inlineStr"/>
      <s:c r="B22907" s="121" t="n"/>
      <s:c r="C22907" s="121" t="n"/>
      <s:c r="D22907" s="121" t="n"/>
      <s:c r="E22907" s="122" t="n"/>
    </s:row>
    <s:row r="22908" hidden="1" ht="1" customHeight="1">
      <s:c r="A22908" s="120" t="inlineStr"/>
      <s:c r="B22908" s="121" t="n"/>
      <s:c r="C22908" s="121" t="n"/>
      <s:c r="D22908" s="121" t="n"/>
      <s:c r="E22908" s="122" t="n"/>
    </s:row>
    <s:row r="22909" hidden="1" ht="1" customHeight="1">
      <s:c r="A22909" s="120" t="inlineStr"/>
      <s:c r="B22909" s="121" t="n"/>
      <s:c r="C22909" s="121" t="n"/>
      <s:c r="D22909" s="121" t="n"/>
      <s:c r="E22909" s="122" t="n"/>
    </s:row>
    <s:row r="22910" hidden="1" ht="1" customHeight="1">
      <s:c r="A22910" s="120" t="inlineStr"/>
      <s:c r="B22910" s="121" t="n"/>
      <s:c r="C22910" s="121" t="n"/>
      <s:c r="D22910" s="121" t="n"/>
      <s:c r="E22910" s="122" t="n"/>
    </s:row>
    <s:row r="22911" hidden="1" ht="1" customHeight="1">
      <s:c r="A22911" s="120" t="inlineStr"/>
      <s:c r="B22911" s="121" t="n"/>
      <s:c r="C22911" s="121" t="n"/>
      <s:c r="D22911" s="121" t="n"/>
      <s:c r="E22911" s="122" t="n"/>
    </s:row>
    <s:row r="22912" hidden="1" ht="1" customHeight="1">
      <s:c r="A22912" s="120" t="inlineStr"/>
      <s:c r="B22912" s="121" t="n"/>
      <s:c r="C22912" s="121" t="n"/>
      <s:c r="D22912" s="121" t="n"/>
      <s:c r="E22912" s="122" t="n"/>
    </s:row>
    <s:row r="22913" hidden="1" ht="1" customHeight="1">
      <s:c r="A22913" s="120" t="inlineStr"/>
      <s:c r="B22913" s="121" t="n"/>
      <s:c r="C22913" s="121" t="n"/>
      <s:c r="D22913" s="121" t="n"/>
      <s:c r="E22913" s="122" t="n"/>
    </s:row>
    <s:row r="22914" hidden="1" ht="1" customHeight="1">
      <s:c r="A22914" s="120" t="inlineStr"/>
      <s:c r="B22914" s="121" t="n"/>
      <s:c r="C22914" s="121" t="n"/>
      <s:c r="D22914" s="121" t="n"/>
      <s:c r="E22914" s="122" t="n"/>
    </s:row>
    <s:row r="22915" hidden="1" ht="1" customHeight="1">
      <s:c r="A22915" s="120" t="inlineStr"/>
      <s:c r="B22915" s="121" t="n"/>
      <s:c r="C22915" s="121" t="n"/>
      <s:c r="D22915" s="121" t="n"/>
      <s:c r="E22915" s="122" t="n"/>
    </s:row>
    <s:row r="22916" hidden="1" ht="1" customHeight="1">
      <s:c r="A22916" s="120" t="inlineStr"/>
      <s:c r="B22916" s="121" t="n"/>
      <s:c r="C22916" s="121" t="n"/>
      <s:c r="D22916" s="121" t="n"/>
      <s:c r="E22916" s="122" t="n"/>
    </s:row>
    <s:row r="22917" hidden="1" ht="1" customHeight="1">
      <s:c r="A22917" s="120" t="inlineStr"/>
      <s:c r="B22917" s="121" t="n"/>
      <s:c r="C22917" s="121" t="n"/>
      <s:c r="D22917" s="121" t="n"/>
      <s:c r="E22917" s="122" t="n"/>
    </s:row>
    <s:row r="22918" hidden="1" ht="1" customHeight="1">
      <s:c r="A22918" s="120" t="inlineStr"/>
      <s:c r="B22918" s="121" t="n"/>
      <s:c r="C22918" s="121" t="n"/>
      <s:c r="D22918" s="121" t="n"/>
      <s:c r="E22918" s="122" t="n"/>
    </s:row>
    <s:row r="22919" hidden="1" ht="1" customHeight="1">
      <s:c r="A22919" s="120" t="inlineStr"/>
      <s:c r="B22919" s="121" t="n"/>
      <s:c r="C22919" s="121" t="n"/>
      <s:c r="D22919" s="121" t="n"/>
      <s:c r="E22919" s="122" t="n"/>
    </s:row>
    <s:row r="22920" hidden="1" ht="1" customHeight="1">
      <s:c r="A22920" s="120" t="inlineStr"/>
      <s:c r="B22920" s="121" t="n"/>
      <s:c r="C22920" s="121" t="n"/>
      <s:c r="D22920" s="121" t="n"/>
      <s:c r="E22920" s="122" t="n"/>
    </s:row>
    <s:row r="22921" hidden="1" ht="1" customHeight="1">
      <s:c r="A22921" s="120" t="inlineStr"/>
      <s:c r="B22921" s="121" t="n"/>
      <s:c r="C22921" s="121" t="n"/>
      <s:c r="D22921" s="121" t="n"/>
      <s:c r="E22921" s="122" t="n"/>
    </s:row>
    <s:row r="22922" hidden="1" ht="1" customHeight="1">
      <s:c r="A22922" s="120" t="inlineStr"/>
      <s:c r="B22922" s="121" t="n"/>
      <s:c r="C22922" s="121" t="n"/>
      <s:c r="D22922" s="121" t="n"/>
      <s:c r="E22922" s="122" t="n"/>
    </s:row>
    <s:row r="22923" hidden="1" ht="1" customHeight="1">
      <s:c r="A22923" s="120" t="inlineStr"/>
      <s:c r="B22923" s="121" t="n"/>
      <s:c r="C22923" s="121" t="n"/>
      <s:c r="D22923" s="121" t="n"/>
      <s:c r="E22923" s="122" t="n"/>
    </s:row>
    <s:row r="22924" hidden="1" ht="1" customHeight="1">
      <s:c r="A22924" s="120" t="inlineStr"/>
      <s:c r="B22924" s="121" t="n"/>
      <s:c r="C22924" s="121" t="n"/>
      <s:c r="D22924" s="121" t="n"/>
      <s:c r="E22924" s="122" t="n"/>
    </s:row>
    <s:row r="22925" hidden="1" ht="1" customHeight="1">
      <s:c r="A22925" s="120" t="inlineStr"/>
      <s:c r="B22925" s="121" t="n"/>
      <s:c r="C22925" s="121" t="n"/>
      <s:c r="D22925" s="121" t="n"/>
      <s:c r="E22925" s="122" t="n"/>
    </s:row>
    <s:row r="22926" hidden="1" ht="1" customHeight="1">
      <s:c r="A22926" s="120" t="inlineStr"/>
      <s:c r="B22926" s="121" t="n"/>
      <s:c r="C22926" s="121" t="n"/>
      <s:c r="D22926" s="121" t="n"/>
      <s:c r="E22926" s="122" t="n"/>
    </s:row>
    <s:row r="22927" hidden="1" ht="1" customHeight="1">
      <s:c r="A22927" s="120" t="inlineStr"/>
      <s:c r="B22927" s="121" t="n"/>
      <s:c r="C22927" s="121" t="n"/>
      <s:c r="D22927" s="121" t="n"/>
      <s:c r="E22927" s="122" t="n"/>
    </s:row>
    <s:row r="22928" hidden="1" ht="1" customHeight="1">
      <s:c r="A22928" s="120" t="inlineStr"/>
      <s:c r="B22928" s="121" t="n"/>
      <s:c r="C22928" s="121" t="n"/>
      <s:c r="D22928" s="121" t="n"/>
      <s:c r="E22928" s="122" t="n"/>
    </s:row>
    <s:row r="22929" hidden="1" ht="1" customHeight="1">
      <s:c r="A22929" s="120" t="inlineStr"/>
      <s:c r="B22929" s="121" t="n"/>
      <s:c r="C22929" s="121" t="n"/>
      <s:c r="D22929" s="121" t="n"/>
      <s:c r="E22929" s="122" t="n"/>
    </s:row>
    <s:row r="22930" hidden="1" ht="1" customHeight="1">
      <s:c r="A22930" s="120" t="inlineStr"/>
      <s:c r="B22930" s="121" t="n"/>
      <s:c r="C22930" s="121" t="n"/>
      <s:c r="D22930" s="121" t="n"/>
      <s:c r="E22930" s="122" t="n"/>
    </s:row>
    <s:row r="22931" hidden="1" ht="1" customHeight="1">
      <s:c r="A22931" s="120" t="inlineStr"/>
      <s:c r="B22931" s="121" t="n"/>
      <s:c r="C22931" s="121" t="n"/>
      <s:c r="D22931" s="121" t="n"/>
      <s:c r="E22931" s="122" t="n"/>
    </s:row>
    <s:row r="22932" hidden="1" ht="1" customHeight="1">
      <s:c r="A22932" s="120" t="inlineStr"/>
      <s:c r="B22932" s="121" t="n"/>
      <s:c r="C22932" s="121" t="n"/>
      <s:c r="D22932" s="121" t="n"/>
      <s:c r="E22932" s="122" t="n"/>
    </s:row>
    <s:row r="22933" hidden="1" ht="1" customHeight="1">
      <s:c r="A22933" s="120" t="inlineStr"/>
      <s:c r="B22933" s="121" t="n"/>
      <s:c r="C22933" s="121" t="n"/>
      <s:c r="D22933" s="121" t="n"/>
      <s:c r="E22933" s="122" t="n"/>
    </s:row>
    <s:row r="22934" hidden="1" ht="1" customHeight="1">
      <s:c r="A22934" s="120" t="inlineStr"/>
      <s:c r="B22934" s="121" t="n"/>
      <s:c r="C22934" s="121" t="n"/>
      <s:c r="D22934" s="121" t="n"/>
      <s:c r="E22934" s="122" t="n"/>
    </s:row>
    <s:row r="22935" hidden="1" ht="1" customHeight="1">
      <s:c r="A22935" s="120" t="inlineStr"/>
      <s:c r="B22935" s="121" t="n"/>
      <s:c r="C22935" s="121" t="n"/>
      <s:c r="D22935" s="121" t="n"/>
      <s:c r="E22935" s="122" t="n"/>
    </s:row>
    <s:row r="22936" hidden="1" ht="1" customHeight="1">
      <s:c r="A22936" s="120" t="inlineStr"/>
      <s:c r="B22936" s="121" t="n"/>
      <s:c r="C22936" s="121" t="n"/>
      <s:c r="D22936" s="121" t="n"/>
      <s:c r="E22936" s="122" t="n"/>
    </s:row>
    <s:row r="22937" hidden="1" ht="1" customHeight="1">
      <s:c r="A22937" s="120" t="inlineStr"/>
      <s:c r="B22937" s="121" t="n"/>
      <s:c r="C22937" s="121" t="n"/>
      <s:c r="D22937" s="121" t="n"/>
      <s:c r="E22937" s="122" t="n"/>
    </s:row>
    <s:row r="22938" hidden="1" ht="1" customHeight="1">
      <s:c r="A22938" s="120" t="inlineStr"/>
      <s:c r="B22938" s="121" t="n"/>
      <s:c r="C22938" s="121" t="n"/>
      <s:c r="D22938" s="121" t="n"/>
      <s:c r="E22938" s="122" t="n"/>
    </s:row>
    <s:row r="22939" hidden="1" ht="1" customHeight="1">
      <s:c r="A22939" s="120" t="inlineStr"/>
      <s:c r="B22939" s="121" t="n"/>
      <s:c r="C22939" s="121" t="n"/>
      <s:c r="D22939" s="121" t="n"/>
      <s:c r="E22939" s="122" t="n"/>
    </s:row>
    <s:row r="22940" hidden="1" ht="1" customHeight="1">
      <s:c r="A22940" s="120" t="inlineStr"/>
      <s:c r="B22940" s="121" t="n"/>
      <s:c r="C22940" s="121" t="n"/>
      <s:c r="D22940" s="121" t="n"/>
      <s:c r="E22940" s="122" t="n"/>
    </s:row>
    <s:row r="22941" hidden="1" ht="1" customHeight="1">
      <s:c r="A22941" s="120" t="inlineStr"/>
      <s:c r="B22941" s="121" t="n"/>
      <s:c r="C22941" s="121" t="n"/>
      <s:c r="D22941" s="121" t="n"/>
      <s:c r="E22941" s="122" t="n"/>
    </s:row>
    <s:row r="22942" hidden="1" ht="1" customHeight="1">
      <s:c r="A22942" s="120" t="inlineStr"/>
      <s:c r="B22942" s="121" t="n"/>
      <s:c r="C22942" s="121" t="n"/>
      <s:c r="D22942" s="121" t="n"/>
      <s:c r="E22942" s="122" t="n"/>
    </s:row>
    <s:row r="22943" hidden="1" ht="1" customHeight="1">
      <s:c r="A22943" s="120" t="inlineStr"/>
      <s:c r="B22943" s="121" t="n"/>
      <s:c r="C22943" s="121" t="n"/>
      <s:c r="D22943" s="121" t="n"/>
      <s:c r="E22943" s="122" t="n"/>
    </s:row>
    <s:row r="22944" hidden="1" ht="1" customHeight="1">
      <s:c r="A22944" s="120" t="inlineStr"/>
      <s:c r="B22944" s="121" t="n"/>
      <s:c r="C22944" s="121" t="n"/>
      <s:c r="D22944" s="121" t="n"/>
      <s:c r="E22944" s="122" t="n"/>
    </s:row>
    <s:row r="22945" hidden="1" ht="1" customHeight="1">
      <s:c r="A22945" s="120" t="inlineStr"/>
      <s:c r="B22945" s="121" t="n"/>
      <s:c r="C22945" s="121" t="n"/>
      <s:c r="D22945" s="121" t="n"/>
      <s:c r="E22945" s="122" t="n"/>
    </s:row>
    <s:row r="22946" hidden="1" ht="1" customHeight="1">
      <s:c r="A22946" s="120" t="inlineStr"/>
      <s:c r="B22946" s="121" t="n"/>
      <s:c r="C22946" s="121" t="n"/>
      <s:c r="D22946" s="121" t="n"/>
      <s:c r="E22946" s="122" t="n"/>
    </s:row>
    <s:row r="22947" hidden="1" ht="1" customHeight="1">
      <s:c r="A22947" s="120" t="inlineStr"/>
      <s:c r="B22947" s="121" t="n"/>
      <s:c r="C22947" s="121" t="n"/>
      <s:c r="D22947" s="121" t="n"/>
      <s:c r="E22947" s="122" t="n"/>
    </s:row>
    <s:row r="22948" hidden="1" ht="1" customHeight="1">
      <s:c r="A22948" s="120" t="inlineStr"/>
      <s:c r="B22948" s="121" t="n"/>
      <s:c r="C22948" s="121" t="n"/>
      <s:c r="D22948" s="121" t="n"/>
      <s:c r="E22948" s="122" t="n"/>
    </s:row>
    <s:row r="22949" hidden="1" ht="1" customHeight="1">
      <s:c r="A22949" s="120" t="inlineStr"/>
      <s:c r="B22949" s="121" t="n"/>
      <s:c r="C22949" s="121" t="n"/>
      <s:c r="D22949" s="121" t="n"/>
      <s:c r="E22949" s="122" t="n"/>
    </s:row>
    <s:row r="22950" hidden="1" ht="1" customHeight="1">
      <s:c r="A22950" s="120" t="inlineStr"/>
      <s:c r="B22950" s="121" t="n"/>
      <s:c r="C22950" s="121" t="n"/>
      <s:c r="D22950" s="121" t="n"/>
      <s:c r="E22950" s="122" t="n"/>
    </s:row>
    <s:row r="22951" hidden="1" ht="1" customHeight="1">
      <s:c r="A22951" s="120" t="inlineStr"/>
      <s:c r="B22951" s="121" t="n"/>
      <s:c r="C22951" s="121" t="n"/>
      <s:c r="D22951" s="121" t="n"/>
      <s:c r="E22951" s="122" t="n"/>
    </s:row>
    <s:row r="22952" hidden="1" ht="1" customHeight="1">
      <s:c r="A22952" s="120" t="inlineStr"/>
      <s:c r="B22952" s="121" t="n"/>
      <s:c r="C22952" s="121" t="n"/>
      <s:c r="D22952" s="121" t="n"/>
      <s:c r="E22952" s="122" t="n"/>
    </s:row>
    <s:row r="22953" hidden="1" ht="1" customHeight="1">
      <s:c r="A22953" s="120" t="inlineStr"/>
      <s:c r="B22953" s="121" t="n"/>
      <s:c r="C22953" s="121" t="n"/>
      <s:c r="D22953" s="121" t="n"/>
      <s:c r="E22953" s="122" t="n"/>
    </s:row>
    <s:row r="22954" hidden="1" ht="1" customHeight="1">
      <s:c r="A22954" s="120" t="inlineStr"/>
      <s:c r="B22954" s="121" t="n"/>
      <s:c r="C22954" s="121" t="n"/>
      <s:c r="D22954" s="121" t="n"/>
      <s:c r="E22954" s="122" t="n"/>
    </s:row>
    <s:row r="22955" hidden="1" ht="1" customHeight="1">
      <s:c r="A22955" s="120" t="inlineStr"/>
      <s:c r="B22955" s="121" t="n"/>
      <s:c r="C22955" s="121" t="n"/>
      <s:c r="D22955" s="121" t="n"/>
      <s:c r="E22955" s="122" t="n"/>
    </s:row>
    <s:row r="22956" hidden="1" ht="1" customHeight="1">
      <s:c r="A22956" s="120" t="inlineStr"/>
      <s:c r="B22956" s="121" t="n"/>
      <s:c r="C22956" s="121" t="n"/>
      <s:c r="D22956" s="121" t="n"/>
      <s:c r="E22956" s="122" t="n"/>
    </s:row>
    <s:row r="22957" hidden="1" ht="1" customHeight="1">
      <s:c r="A22957" s="120" t="inlineStr"/>
      <s:c r="B22957" s="121" t="n"/>
      <s:c r="C22957" s="121" t="n"/>
      <s:c r="D22957" s="121" t="n"/>
      <s:c r="E22957" s="122" t="n"/>
    </s:row>
    <s:row r="22958" hidden="1" ht="1" customHeight="1">
      <s:c r="A22958" s="120" t="inlineStr"/>
      <s:c r="B22958" s="121" t="n"/>
      <s:c r="C22958" s="121" t="n"/>
      <s:c r="D22958" s="121" t="n"/>
      <s:c r="E22958" s="122" t="n"/>
    </s:row>
    <s:row r="22959" hidden="1" ht="1" customHeight="1">
      <s:c r="A22959" s="120" t="inlineStr"/>
      <s:c r="B22959" s="121" t="n"/>
      <s:c r="C22959" s="121" t="n"/>
      <s:c r="D22959" s="121" t="n"/>
      <s:c r="E22959" s="122" t="n"/>
    </s:row>
    <s:row r="22960" hidden="1" ht="1" customHeight="1">
      <s:c r="A22960" s="120" t="inlineStr"/>
      <s:c r="B22960" s="121" t="n"/>
      <s:c r="C22960" s="121" t="n"/>
      <s:c r="D22960" s="121" t="n"/>
      <s:c r="E22960" s="122" t="n"/>
    </s:row>
    <s:row r="22961" hidden="1" ht="1" customHeight="1">
      <s:c r="A22961" s="120" t="inlineStr"/>
      <s:c r="B22961" s="121" t="n"/>
      <s:c r="C22961" s="121" t="n"/>
      <s:c r="D22961" s="121" t="n"/>
      <s:c r="E22961" s="122" t="n"/>
    </s:row>
    <s:row r="22962" hidden="1" ht="1" customHeight="1">
      <s:c r="A22962" s="120" t="inlineStr"/>
      <s:c r="B22962" s="121" t="n"/>
      <s:c r="C22962" s="121" t="n"/>
      <s:c r="D22962" s="121" t="n"/>
      <s:c r="E22962" s="122" t="n"/>
    </s:row>
    <s:row r="22963" hidden="1" ht="1" customHeight="1">
      <s:c r="A22963" s="120" t="inlineStr"/>
      <s:c r="B22963" s="121" t="n"/>
      <s:c r="C22963" s="121" t="n"/>
      <s:c r="D22963" s="121" t="n"/>
      <s:c r="E22963" s="122" t="n"/>
    </s:row>
    <s:row r="22964" hidden="1" ht="1" customHeight="1">
      <s:c r="A22964" s="120" t="inlineStr"/>
      <s:c r="B22964" s="121" t="n"/>
      <s:c r="C22964" s="121" t="n"/>
      <s:c r="D22964" s="121" t="n"/>
      <s:c r="E22964" s="122" t="n"/>
    </s:row>
    <s:row r="22965" hidden="1" ht="1" customHeight="1">
      <s:c r="A22965" s="120" t="inlineStr"/>
      <s:c r="B22965" s="121" t="n"/>
      <s:c r="C22965" s="121" t="n"/>
      <s:c r="D22965" s="121" t="n"/>
      <s:c r="E22965" s="122" t="n"/>
    </s:row>
    <s:row r="22966" hidden="1" ht="1" customHeight="1">
      <s:c r="A22966" s="120" t="inlineStr"/>
      <s:c r="B22966" s="121" t="n"/>
      <s:c r="C22966" s="121" t="n"/>
      <s:c r="D22966" s="121" t="n"/>
      <s:c r="E22966" s="122" t="n"/>
    </s:row>
    <s:row r="22967" hidden="1" ht="1" customHeight="1">
      <s:c r="A22967" s="120" t="inlineStr"/>
      <s:c r="B22967" s="121" t="n"/>
      <s:c r="C22967" s="121" t="n"/>
      <s:c r="D22967" s="121" t="n"/>
      <s:c r="E22967" s="122" t="n"/>
    </s:row>
    <s:row r="22968" hidden="1" ht="1" customHeight="1">
      <s:c r="A22968" s="120" t="inlineStr"/>
      <s:c r="B22968" s="121" t="n"/>
      <s:c r="C22968" s="121" t="n"/>
      <s:c r="D22968" s="121" t="n"/>
      <s:c r="E22968" s="122" t="n"/>
    </s:row>
    <s:row r="22969" hidden="1" ht="1" customHeight="1">
      <s:c r="A22969" s="120" t="inlineStr"/>
      <s:c r="B22969" s="121" t="n"/>
      <s:c r="C22969" s="121" t="n"/>
      <s:c r="D22969" s="121" t="n"/>
      <s:c r="E22969" s="122" t="n"/>
    </s:row>
    <s:row r="22970" hidden="1" ht="1" customHeight="1">
      <s:c r="A22970" s="120" t="inlineStr"/>
      <s:c r="B22970" s="121" t="n"/>
      <s:c r="C22970" s="121" t="n"/>
      <s:c r="D22970" s="121" t="n"/>
      <s:c r="E22970" s="122" t="n"/>
    </s:row>
    <s:row r="22971" hidden="1" ht="1" customHeight="1">
      <s:c r="A22971" s="120" t="inlineStr"/>
      <s:c r="B22971" s="121" t="n"/>
      <s:c r="C22971" s="121" t="n"/>
      <s:c r="D22971" s="121" t="n"/>
      <s:c r="E22971" s="122" t="n"/>
    </s:row>
    <s:row r="22972" hidden="1" ht="1" customHeight="1">
      <s:c r="A22972" s="120" t="inlineStr"/>
      <s:c r="B22972" s="121" t="n"/>
      <s:c r="C22972" s="121" t="n"/>
      <s:c r="D22972" s="121" t="n"/>
      <s:c r="E22972" s="122" t="n"/>
    </s:row>
    <s:row r="22973" hidden="1" ht="1" customHeight="1">
      <s:c r="A22973" s="120" t="inlineStr"/>
      <s:c r="B22973" s="121" t="n"/>
      <s:c r="C22973" s="121" t="n"/>
      <s:c r="D22973" s="121" t="n"/>
      <s:c r="E22973" s="122" t="n"/>
    </s:row>
    <s:row r="22974" hidden="1" ht="1" customHeight="1">
      <s:c r="A22974" s="120" t="inlineStr"/>
      <s:c r="B22974" s="121" t="n"/>
      <s:c r="C22974" s="121" t="n"/>
      <s:c r="D22974" s="121" t="n"/>
      <s:c r="E22974" s="122" t="n"/>
    </s:row>
    <s:row r="22975" hidden="1" ht="1" customHeight="1">
      <s:c r="A22975" s="120" t="inlineStr"/>
      <s:c r="B22975" s="121" t="n"/>
      <s:c r="C22975" s="121" t="n"/>
      <s:c r="D22975" s="121" t="n"/>
      <s:c r="E22975" s="122" t="n"/>
    </s:row>
    <s:row r="22976" hidden="1" ht="1" customHeight="1">
      <s:c r="A22976" s="120" t="inlineStr"/>
      <s:c r="B22976" s="121" t="n"/>
      <s:c r="C22976" s="121" t="n"/>
      <s:c r="D22976" s="121" t="n"/>
      <s:c r="E22976" s="122" t="n"/>
    </s:row>
    <s:row r="22977" hidden="1" ht="1" customHeight="1">
      <s:c r="A22977" s="120" t="inlineStr"/>
      <s:c r="B22977" s="121" t="n"/>
      <s:c r="C22977" s="121" t="n"/>
      <s:c r="D22977" s="121" t="n"/>
      <s:c r="E22977" s="122" t="n"/>
    </s:row>
    <s:row r="22978" hidden="1" ht="1" customHeight="1">
      <s:c r="A22978" s="120" t="inlineStr"/>
      <s:c r="B22978" s="121" t="n"/>
      <s:c r="C22978" s="121" t="n"/>
      <s:c r="D22978" s="121" t="n"/>
      <s:c r="E22978" s="122" t="n"/>
    </s:row>
    <s:row r="22979" hidden="1" ht="1" customHeight="1">
      <s:c r="A22979" s="120" t="inlineStr"/>
      <s:c r="B22979" s="121" t="n"/>
      <s:c r="C22979" s="121" t="n"/>
      <s:c r="D22979" s="121" t="n"/>
      <s:c r="E22979" s="122" t="n"/>
    </s:row>
    <s:row r="22980" hidden="1" ht="1" customHeight="1">
      <s:c r="A22980" s="120" t="inlineStr"/>
      <s:c r="B22980" s="121" t="n"/>
      <s:c r="C22980" s="121" t="n"/>
      <s:c r="D22980" s="121" t="n"/>
      <s:c r="E22980" s="122" t="n"/>
    </s:row>
    <s:row r="22981" hidden="1" ht="1" customHeight="1">
      <s:c r="A22981" s="120" t="inlineStr"/>
      <s:c r="B22981" s="121" t="n"/>
      <s:c r="C22981" s="121" t="n"/>
      <s:c r="D22981" s="121" t="n"/>
      <s:c r="E22981" s="122" t="n"/>
    </s:row>
    <s:row r="22982" hidden="1" ht="1" customHeight="1">
      <s:c r="A22982" s="120" t="inlineStr"/>
      <s:c r="B22982" s="121" t="n"/>
      <s:c r="C22982" s="121" t="n"/>
      <s:c r="D22982" s="121" t="n"/>
      <s:c r="E22982" s="122" t="n"/>
    </s:row>
    <s:row r="22983" hidden="1" ht="1" customHeight="1">
      <s:c r="A22983" s="120" t="inlineStr"/>
      <s:c r="B22983" s="121" t="n"/>
      <s:c r="C22983" s="121" t="n"/>
      <s:c r="D22983" s="121" t="n"/>
      <s:c r="E22983" s="122" t="n"/>
    </s:row>
    <s:row r="22984" hidden="1" ht="1" customHeight="1">
      <s:c r="A22984" s="120" t="inlineStr"/>
      <s:c r="B22984" s="121" t="n"/>
      <s:c r="C22984" s="121" t="n"/>
      <s:c r="D22984" s="121" t="n"/>
      <s:c r="E22984" s="122" t="n"/>
    </s:row>
    <s:row r="22985" hidden="1" ht="1" customHeight="1">
      <s:c r="A22985" s="120" t="inlineStr"/>
      <s:c r="B22985" s="121" t="n"/>
      <s:c r="C22985" s="121" t="n"/>
      <s:c r="D22985" s="121" t="n"/>
      <s:c r="E22985" s="122" t="n"/>
    </s:row>
    <s:row r="22986" hidden="1" ht="1" customHeight="1">
      <s:c r="A22986" s="120" t="inlineStr"/>
      <s:c r="B22986" s="121" t="n"/>
      <s:c r="C22986" s="121" t="n"/>
      <s:c r="D22986" s="121" t="n"/>
      <s:c r="E22986" s="122" t="n"/>
    </s:row>
    <s:row r="22987" hidden="1" ht="1" customHeight="1">
      <s:c r="A22987" s="120" t="inlineStr"/>
      <s:c r="B22987" s="121" t="n"/>
      <s:c r="C22987" s="121" t="n"/>
      <s:c r="D22987" s="121" t="n"/>
      <s:c r="E22987" s="122" t="n"/>
    </s:row>
    <s:row r="22988" hidden="1" ht="1" customHeight="1">
      <s:c r="A22988" s="120" t="inlineStr"/>
      <s:c r="B22988" s="121" t="n"/>
      <s:c r="C22988" s="121" t="n"/>
      <s:c r="D22988" s="121" t="n"/>
      <s:c r="E22988" s="122" t="n"/>
    </s:row>
    <s:row r="22989" hidden="1" ht="1" customHeight="1">
      <s:c r="A22989" s="120" t="inlineStr"/>
      <s:c r="B22989" s="121" t="n"/>
      <s:c r="C22989" s="121" t="n"/>
      <s:c r="D22989" s="121" t="n"/>
      <s:c r="E22989" s="122" t="n"/>
    </s:row>
    <s:row r="22990" hidden="1" ht="1" customHeight="1">
      <s:c r="A22990" s="120" t="inlineStr"/>
      <s:c r="B22990" s="121" t="n"/>
      <s:c r="C22990" s="121" t="n"/>
      <s:c r="D22990" s="121" t="n"/>
      <s:c r="E22990" s="122" t="n"/>
    </s:row>
    <s:row r="22991" hidden="1" ht="1" customHeight="1">
      <s:c r="A22991" s="120" t="inlineStr"/>
      <s:c r="B22991" s="121" t="n"/>
      <s:c r="C22991" s="121" t="n"/>
      <s:c r="D22991" s="121" t="n"/>
      <s:c r="E22991" s="122" t="n"/>
    </s:row>
    <s:row r="22992" hidden="1" ht="1" customHeight="1">
      <s:c r="A22992" s="120" t="inlineStr"/>
      <s:c r="B22992" s="121" t="n"/>
      <s:c r="C22992" s="121" t="n"/>
      <s:c r="D22992" s="121" t="n"/>
      <s:c r="E22992" s="122" t="n"/>
    </s:row>
    <s:row r="22993" hidden="1" ht="1" customHeight="1">
      <s:c r="A22993" s="120" t="inlineStr"/>
      <s:c r="B22993" s="121" t="n"/>
      <s:c r="C22993" s="121" t="n"/>
      <s:c r="D22993" s="121" t="n"/>
      <s:c r="E22993" s="122" t="n"/>
    </s:row>
    <s:row r="22994" hidden="1" ht="1" customHeight="1">
      <s:c r="A22994" s="120" t="inlineStr"/>
      <s:c r="B22994" s="121" t="n"/>
      <s:c r="C22994" s="121" t="n"/>
      <s:c r="D22994" s="121" t="n"/>
      <s:c r="E22994" s="122" t="n"/>
    </s:row>
    <s:row r="22995" hidden="1" ht="1" customHeight="1">
      <s:c r="A22995" s="120" t="inlineStr"/>
      <s:c r="B22995" s="121" t="n"/>
      <s:c r="C22995" s="121" t="n"/>
      <s:c r="D22995" s="121" t="n"/>
      <s:c r="E22995" s="122" t="n"/>
    </s:row>
    <s:row r="22996" hidden="1" ht="1" customHeight="1">
      <s:c r="A22996" s="120" t="inlineStr"/>
      <s:c r="B22996" s="121" t="n"/>
      <s:c r="C22996" s="121" t="n"/>
      <s:c r="D22996" s="121" t="n"/>
      <s:c r="E22996" s="122" t="n"/>
    </s:row>
    <s:row r="22997" hidden="1" ht="1" customHeight="1">
      <s:c r="A22997" s="120" t="inlineStr"/>
      <s:c r="B22997" s="121" t="n"/>
      <s:c r="C22997" s="121" t="n"/>
      <s:c r="D22997" s="121" t="n"/>
      <s:c r="E22997" s="122" t="n"/>
    </s:row>
    <s:row r="22998" hidden="1" ht="1" customHeight="1">
      <s:c r="A22998" s="120" t="inlineStr"/>
      <s:c r="B22998" s="121" t="n"/>
      <s:c r="C22998" s="121" t="n"/>
      <s:c r="D22998" s="121" t="n"/>
      <s:c r="E22998" s="122" t="n"/>
    </s:row>
    <s:row r="22999" hidden="1" ht="1" customHeight="1">
      <s:c r="A22999" s="120" t="inlineStr"/>
      <s:c r="B22999" s="121" t="n"/>
      <s:c r="C22999" s="121" t="n"/>
      <s:c r="D22999" s="121" t="n"/>
      <s:c r="E22999" s="122" t="n"/>
    </s:row>
    <s:row r="23000" hidden="1" ht="1" customHeight="1">
      <s:c r="A23000" s="120" t="inlineStr"/>
      <s:c r="B23000" s="121" t="n"/>
      <s:c r="C23000" s="121" t="n"/>
      <s:c r="D23000" s="121" t="n"/>
      <s:c r="E23000" s="122" t="n"/>
    </s:row>
    <s:row r="23001" hidden="1" ht="1" customHeight="1">
      <s:c r="A23001" s="120" t="inlineStr"/>
      <s:c r="B23001" s="121" t="n"/>
      <s:c r="C23001" s="121" t="n"/>
      <s:c r="D23001" s="121" t="n"/>
      <s:c r="E23001" s="122" t="n"/>
    </s:row>
    <s:row r="23002" hidden="1" ht="1" customHeight="1">
      <s:c r="A23002" s="120" t="inlineStr"/>
      <s:c r="B23002" s="121" t="n"/>
      <s:c r="C23002" s="121" t="n"/>
      <s:c r="D23002" s="121" t="n"/>
      <s:c r="E23002" s="122" t="n"/>
    </s:row>
    <s:row r="23003" hidden="1" ht="1" customHeight="1">
      <s:c r="A23003" s="120" t="inlineStr"/>
      <s:c r="B23003" s="121" t="n"/>
      <s:c r="C23003" s="121" t="n"/>
      <s:c r="D23003" s="121" t="n"/>
      <s:c r="E23003" s="122" t="n"/>
    </s:row>
    <s:row r="23004" hidden="1" ht="1" customHeight="1">
      <s:c r="A23004" s="120" t="inlineStr"/>
      <s:c r="B23004" s="121" t="n"/>
      <s:c r="C23004" s="121" t="n"/>
      <s:c r="D23004" s="121" t="n"/>
      <s:c r="E23004" s="122" t="n"/>
    </s:row>
    <s:row r="23005" hidden="1" ht="1" customHeight="1">
      <s:c r="A23005" s="120" t="inlineStr"/>
      <s:c r="B23005" s="121" t="n"/>
      <s:c r="C23005" s="121" t="n"/>
      <s:c r="D23005" s="121" t="n"/>
      <s:c r="E23005" s="122" t="n"/>
    </s:row>
    <s:row r="23006" hidden="1" ht="1" customHeight="1">
      <s:c r="A23006" s="120" t="inlineStr"/>
      <s:c r="B23006" s="121" t="n"/>
      <s:c r="C23006" s="121" t="n"/>
      <s:c r="D23006" s="121" t="n"/>
      <s:c r="E23006" s="122" t="n"/>
    </s:row>
    <s:row r="23007" hidden="1" ht="1" customHeight="1">
      <s:c r="A23007" s="120" t="inlineStr"/>
      <s:c r="B23007" s="121" t="n"/>
      <s:c r="C23007" s="121" t="n"/>
      <s:c r="D23007" s="121" t="n"/>
      <s:c r="E23007" s="122" t="n"/>
    </s:row>
    <s:row r="23008" hidden="1" ht="1" customHeight="1">
      <s:c r="A23008" s="120" t="inlineStr"/>
      <s:c r="B23008" s="121" t="n"/>
      <s:c r="C23008" s="121" t="n"/>
      <s:c r="D23008" s="121" t="n"/>
      <s:c r="E23008" s="122" t="n"/>
    </s:row>
    <s:row r="23009" hidden="1" ht="1" customHeight="1">
      <s:c r="A23009" s="120" t="inlineStr"/>
      <s:c r="B23009" s="121" t="n"/>
      <s:c r="C23009" s="121" t="n"/>
      <s:c r="D23009" s="121" t="n"/>
      <s:c r="E23009" s="122" t="n"/>
    </s:row>
    <s:row r="23010" hidden="1" ht="1" customHeight="1">
      <s:c r="A23010" s="120" t="inlineStr"/>
      <s:c r="B23010" s="121" t="n"/>
      <s:c r="C23010" s="121" t="n"/>
      <s:c r="D23010" s="121" t="n"/>
      <s:c r="E23010" s="122" t="n"/>
    </s:row>
    <s:row r="23011" hidden="1" ht="1" customHeight="1">
      <s:c r="A23011" s="120" t="inlineStr"/>
      <s:c r="B23011" s="121" t="n"/>
      <s:c r="C23011" s="121" t="n"/>
      <s:c r="D23011" s="121" t="n"/>
      <s:c r="E23011" s="122" t="n"/>
    </s:row>
    <s:row r="23012" hidden="1" ht="1" customHeight="1">
      <s:c r="A23012" s="120" t="inlineStr"/>
      <s:c r="B23012" s="121" t="n"/>
      <s:c r="C23012" s="121" t="n"/>
      <s:c r="D23012" s="121" t="n"/>
      <s:c r="E23012" s="122" t="n"/>
    </s:row>
    <s:row r="23013" hidden="1" ht="1" customHeight="1">
      <s:c r="A23013" s="120" t="inlineStr"/>
      <s:c r="B23013" s="121" t="n"/>
      <s:c r="C23013" s="121" t="n"/>
      <s:c r="D23013" s="121" t="n"/>
      <s:c r="E23013" s="122" t="n"/>
    </s:row>
    <s:row r="23014" hidden="1" ht="1" customHeight="1">
      <s:c r="A23014" s="120" t="inlineStr"/>
      <s:c r="B23014" s="121" t="n"/>
      <s:c r="C23014" s="121" t="n"/>
      <s:c r="D23014" s="121" t="n"/>
      <s:c r="E23014" s="122" t="n"/>
    </s:row>
    <s:row r="23015" hidden="1" ht="1" customHeight="1">
      <s:c r="A23015" s="120" t="inlineStr"/>
      <s:c r="B23015" s="121" t="n"/>
      <s:c r="C23015" s="121" t="n"/>
      <s:c r="D23015" s="121" t="n"/>
      <s:c r="E23015" s="122" t="n"/>
    </s:row>
    <s:row r="23016" hidden="1" ht="1" customHeight="1">
      <s:c r="A23016" s="120" t="inlineStr"/>
      <s:c r="B23016" s="121" t="n"/>
      <s:c r="C23016" s="121" t="n"/>
      <s:c r="D23016" s="121" t="n"/>
      <s:c r="E23016" s="122" t="n"/>
    </s:row>
    <s:row r="23017" hidden="1" ht="1" customHeight="1">
      <s:c r="A23017" s="120" t="inlineStr"/>
      <s:c r="B23017" s="121" t="n"/>
      <s:c r="C23017" s="121" t="n"/>
      <s:c r="D23017" s="121" t="n"/>
      <s:c r="E23017" s="122" t="n"/>
    </s:row>
    <s:row r="23018" hidden="1" ht="1" customHeight="1">
      <s:c r="A23018" s="120" t="inlineStr"/>
      <s:c r="B23018" s="121" t="n"/>
      <s:c r="C23018" s="121" t="n"/>
      <s:c r="D23018" s="121" t="n"/>
      <s:c r="E23018" s="122" t="n"/>
    </s:row>
    <s:row r="23019" hidden="1" ht="1" customHeight="1">
      <s:c r="A23019" s="120" t="inlineStr"/>
      <s:c r="B23019" s="121" t="n"/>
      <s:c r="C23019" s="121" t="n"/>
      <s:c r="D23019" s="121" t="n"/>
      <s:c r="E23019" s="122" t="n"/>
    </s:row>
    <s:row r="23020" hidden="1" ht="1" customHeight="1">
      <s:c r="A23020" s="120" t="inlineStr"/>
      <s:c r="B23020" s="121" t="n"/>
      <s:c r="C23020" s="121" t="n"/>
      <s:c r="D23020" s="121" t="n"/>
      <s:c r="E23020" s="122" t="n"/>
    </s:row>
    <s:row r="23021" hidden="1" ht="1" customHeight="1">
      <s:c r="A23021" s="120" t="inlineStr"/>
      <s:c r="B23021" s="121" t="n"/>
      <s:c r="C23021" s="121" t="n"/>
      <s:c r="D23021" s="121" t="n"/>
      <s:c r="E23021" s="122" t="n"/>
    </s:row>
    <s:row r="23022" hidden="1" ht="1" customHeight="1">
      <s:c r="A23022" s="120" t="inlineStr"/>
      <s:c r="B23022" s="121" t="n"/>
      <s:c r="C23022" s="121" t="n"/>
      <s:c r="D23022" s="121" t="n"/>
      <s:c r="E23022" s="122" t="n"/>
    </s:row>
    <s:row r="23023" hidden="1" ht="1" customHeight="1">
      <s:c r="A23023" s="120" t="inlineStr"/>
      <s:c r="B23023" s="121" t="n"/>
      <s:c r="C23023" s="121" t="n"/>
      <s:c r="D23023" s="121" t="n"/>
      <s:c r="E23023" s="122" t="n"/>
    </s:row>
    <s:row r="23024" hidden="1" ht="1" customHeight="1">
      <s:c r="A23024" s="120" t="inlineStr"/>
      <s:c r="B23024" s="121" t="n"/>
      <s:c r="C23024" s="121" t="n"/>
      <s:c r="D23024" s="121" t="n"/>
      <s:c r="E23024" s="122" t="n"/>
    </s:row>
    <s:row r="23025" hidden="1" ht="1" customHeight="1">
      <s:c r="A23025" s="120" t="inlineStr"/>
      <s:c r="B23025" s="121" t="n"/>
      <s:c r="C23025" s="121" t="n"/>
      <s:c r="D23025" s="121" t="n"/>
      <s:c r="E23025" s="122" t="n"/>
    </s:row>
    <s:row r="23026" hidden="1" ht="1" customHeight="1">
      <s:c r="A23026" s="120" t="inlineStr"/>
      <s:c r="B23026" s="121" t="n"/>
      <s:c r="C23026" s="121" t="n"/>
      <s:c r="D23026" s="121" t="n"/>
      <s:c r="E23026" s="122" t="n"/>
    </s:row>
    <s:row r="23027" hidden="1" ht="1" customHeight="1">
      <s:c r="A23027" s="120" t="inlineStr"/>
      <s:c r="B23027" s="121" t="n"/>
      <s:c r="C23027" s="121" t="n"/>
      <s:c r="D23027" s="121" t="n"/>
      <s:c r="E23027" s="122" t="n"/>
    </s:row>
    <s:row r="23028" hidden="1" ht="1" customHeight="1">
      <s:c r="A23028" s="120" t="inlineStr"/>
      <s:c r="B23028" s="121" t="n"/>
      <s:c r="C23028" s="121" t="n"/>
      <s:c r="D23028" s="121" t="n"/>
      <s:c r="E23028" s="122" t="n"/>
    </s:row>
    <s:row r="23029" hidden="1" ht="1" customHeight="1">
      <s:c r="A23029" s="120" t="inlineStr"/>
      <s:c r="B23029" s="121" t="n"/>
      <s:c r="C23029" s="121" t="n"/>
      <s:c r="D23029" s="121" t="n"/>
      <s:c r="E23029" s="122" t="n"/>
    </s:row>
    <s:row r="23030" hidden="1" ht="1" customHeight="1">
      <s:c r="A23030" s="120" t="inlineStr"/>
      <s:c r="B23030" s="121" t="n"/>
      <s:c r="C23030" s="121" t="n"/>
      <s:c r="D23030" s="121" t="n"/>
      <s:c r="E23030" s="122" t="n"/>
    </s:row>
    <s:row r="23031" hidden="1" ht="1" customHeight="1">
      <s:c r="A23031" s="120" t="inlineStr"/>
      <s:c r="B23031" s="121" t="n"/>
      <s:c r="C23031" s="121" t="n"/>
      <s:c r="D23031" s="121" t="n"/>
      <s:c r="E23031" s="122" t="n"/>
    </s:row>
    <s:row r="23032" hidden="1" ht="1" customHeight="1">
      <s:c r="A23032" s="120" t="inlineStr"/>
      <s:c r="B23032" s="121" t="n"/>
      <s:c r="C23032" s="121" t="n"/>
      <s:c r="D23032" s="121" t="n"/>
      <s:c r="E23032" s="122" t="n"/>
    </s:row>
    <s:row r="23033" hidden="1" ht="1" customHeight="1">
      <s:c r="A23033" s="120" t="inlineStr"/>
      <s:c r="B23033" s="121" t="n"/>
      <s:c r="C23033" s="121" t="n"/>
      <s:c r="D23033" s="121" t="n"/>
      <s:c r="E23033" s="122" t="n"/>
    </s:row>
    <s:row r="23034" hidden="1" ht="1" customHeight="1">
      <s:c r="A23034" s="120" t="inlineStr"/>
      <s:c r="B23034" s="121" t="n"/>
      <s:c r="C23034" s="121" t="n"/>
      <s:c r="D23034" s="121" t="n"/>
      <s:c r="E23034" s="122" t="n"/>
    </s:row>
    <s:row r="23035" hidden="1" ht="1" customHeight="1">
      <s:c r="A23035" s="120" t="inlineStr"/>
      <s:c r="B23035" s="121" t="n"/>
      <s:c r="C23035" s="121" t="n"/>
      <s:c r="D23035" s="121" t="n"/>
      <s:c r="E23035" s="122" t="n"/>
    </s:row>
    <s:row r="23036" hidden="1" ht="1" customHeight="1">
      <s:c r="A23036" s="120" t="inlineStr"/>
      <s:c r="B23036" s="121" t="n"/>
      <s:c r="C23036" s="121" t="n"/>
      <s:c r="D23036" s="121" t="n"/>
      <s:c r="E23036" s="122" t="n"/>
    </s:row>
    <s:row r="23037" hidden="1" ht="1" customHeight="1">
      <s:c r="A23037" s="120" t="inlineStr"/>
      <s:c r="B23037" s="121" t="n"/>
      <s:c r="C23037" s="121" t="n"/>
      <s:c r="D23037" s="121" t="n"/>
      <s:c r="E23037" s="122" t="n"/>
    </s:row>
    <s:row r="23038" hidden="1" ht="1" customHeight="1">
      <s:c r="A23038" s="120" t="inlineStr"/>
      <s:c r="B23038" s="121" t="n"/>
      <s:c r="C23038" s="121" t="n"/>
      <s:c r="D23038" s="121" t="n"/>
      <s:c r="E23038" s="122" t="n"/>
    </s:row>
    <s:row r="23039" hidden="1" ht="1" customHeight="1">
      <s:c r="A23039" s="120" t="inlineStr"/>
      <s:c r="B23039" s="121" t="n"/>
      <s:c r="C23039" s="121" t="n"/>
      <s:c r="D23039" s="121" t="n"/>
      <s:c r="E23039" s="122" t="n"/>
    </s:row>
    <s:row r="23040" hidden="1" ht="1" customHeight="1">
      <s:c r="A23040" s="120" t="inlineStr"/>
      <s:c r="B23040" s="121" t="n"/>
      <s:c r="C23040" s="121" t="n"/>
      <s:c r="D23040" s="121" t="n"/>
      <s:c r="E23040" s="122" t="n"/>
    </s:row>
    <s:row r="23041" hidden="1" ht="1" customHeight="1">
      <s:c r="A23041" s="120" t="inlineStr"/>
      <s:c r="B23041" s="121" t="n"/>
      <s:c r="C23041" s="121" t="n"/>
      <s:c r="D23041" s="121" t="n"/>
      <s:c r="E23041" s="122" t="n"/>
    </s:row>
    <s:row r="23042" hidden="1" ht="1" customHeight="1">
      <s:c r="A23042" s="120" t="inlineStr"/>
      <s:c r="B23042" s="121" t="n"/>
      <s:c r="C23042" s="121" t="n"/>
      <s:c r="D23042" s="121" t="n"/>
      <s:c r="E23042" s="122" t="n"/>
    </s:row>
    <s:row r="23043" hidden="1" ht="1" customHeight="1">
      <s:c r="A23043" s="120" t="inlineStr"/>
      <s:c r="B23043" s="121" t="n"/>
      <s:c r="C23043" s="121" t="n"/>
      <s:c r="D23043" s="121" t="n"/>
      <s:c r="E23043" s="122" t="n"/>
    </s:row>
    <s:row r="23044" hidden="1" ht="1" customHeight="1">
      <s:c r="A23044" s="120" t="inlineStr"/>
      <s:c r="B23044" s="121" t="n"/>
      <s:c r="C23044" s="121" t="n"/>
      <s:c r="D23044" s="121" t="n"/>
      <s:c r="E23044" s="122" t="n"/>
    </s:row>
    <s:row r="23045" hidden="1" ht="1" customHeight="1">
      <s:c r="A23045" s="120" t="inlineStr"/>
      <s:c r="B23045" s="121" t="n"/>
      <s:c r="C23045" s="121" t="n"/>
      <s:c r="D23045" s="121" t="n"/>
      <s:c r="E23045" s="122" t="n"/>
    </s:row>
    <s:row r="23046" hidden="1" ht="1" customHeight="1">
      <s:c r="A23046" s="120" t="inlineStr"/>
      <s:c r="B23046" s="121" t="n"/>
      <s:c r="C23046" s="121" t="n"/>
      <s:c r="D23046" s="121" t="n"/>
      <s:c r="E23046" s="122" t="n"/>
    </s:row>
    <s:row r="23047" hidden="1" ht="1" customHeight="1">
      <s:c r="A23047" s="120" t="inlineStr"/>
      <s:c r="B23047" s="121" t="n"/>
      <s:c r="C23047" s="121" t="n"/>
      <s:c r="D23047" s="121" t="n"/>
      <s:c r="E23047" s="122" t="n"/>
    </s:row>
    <s:row r="23048" hidden="1" ht="1" customHeight="1">
      <s:c r="A23048" s="120" t="inlineStr"/>
      <s:c r="B23048" s="121" t="n"/>
      <s:c r="C23048" s="121" t="n"/>
      <s:c r="D23048" s="121" t="n"/>
      <s:c r="E23048" s="122" t="n"/>
    </s:row>
    <s:row r="23049" hidden="1" ht="1" customHeight="1">
      <s:c r="A23049" s="120" t="inlineStr"/>
      <s:c r="B23049" s="121" t="n"/>
      <s:c r="C23049" s="121" t="n"/>
      <s:c r="D23049" s="121" t="n"/>
      <s:c r="E23049" s="122" t="n"/>
    </s:row>
    <s:row r="23050" hidden="1" ht="1" customHeight="1">
      <s:c r="A23050" s="120" t="inlineStr"/>
      <s:c r="B23050" s="121" t="n"/>
      <s:c r="C23050" s="121" t="n"/>
      <s:c r="D23050" s="121" t="n"/>
      <s:c r="E23050" s="122" t="n"/>
    </s:row>
    <s:row r="23051" hidden="1" ht="1" customHeight="1">
      <s:c r="A23051" s="120" t="inlineStr"/>
      <s:c r="B23051" s="121" t="n"/>
      <s:c r="C23051" s="121" t="n"/>
      <s:c r="D23051" s="121" t="n"/>
      <s:c r="E23051" s="122" t="n"/>
    </s:row>
    <s:row r="23052" hidden="1" ht="1" customHeight="1">
      <s:c r="A23052" s="120" t="inlineStr"/>
      <s:c r="B23052" s="121" t="n"/>
      <s:c r="C23052" s="121" t="n"/>
      <s:c r="D23052" s="121" t="n"/>
      <s:c r="E23052" s="122" t="n"/>
    </s:row>
    <s:row r="23053" hidden="1" ht="1" customHeight="1">
      <s:c r="A23053" s="120" t="inlineStr"/>
      <s:c r="B23053" s="121" t="n"/>
      <s:c r="C23053" s="121" t="n"/>
      <s:c r="D23053" s="121" t="n"/>
      <s:c r="E23053" s="122" t="n"/>
    </s:row>
    <s:row r="23054" hidden="1" ht="1" customHeight="1">
      <s:c r="A23054" s="120" t="inlineStr"/>
      <s:c r="B23054" s="121" t="n"/>
      <s:c r="C23054" s="121" t="n"/>
      <s:c r="D23054" s="121" t="n"/>
      <s:c r="E23054" s="122" t="n"/>
    </s:row>
    <s:row r="23055" hidden="1" ht="1" customHeight="1">
      <s:c r="A23055" s="120" t="inlineStr"/>
      <s:c r="B23055" s="121" t="n"/>
      <s:c r="C23055" s="121" t="n"/>
      <s:c r="D23055" s="121" t="n"/>
      <s:c r="E23055" s="122" t="n"/>
    </s:row>
    <s:row r="23056" hidden="1" ht="1" customHeight="1">
      <s:c r="A23056" s="120" t="inlineStr"/>
      <s:c r="B23056" s="121" t="n"/>
      <s:c r="C23056" s="121" t="n"/>
      <s:c r="D23056" s="121" t="n"/>
      <s:c r="E23056" s="122" t="n"/>
    </s:row>
    <s:row r="23057" hidden="1" ht="1" customHeight="1">
      <s:c r="A23057" s="120" t="inlineStr"/>
      <s:c r="B23057" s="121" t="n"/>
      <s:c r="C23057" s="121" t="n"/>
      <s:c r="D23057" s="121" t="n"/>
      <s:c r="E23057" s="122" t="n"/>
    </s:row>
    <s:row r="23058" hidden="1" ht="1" customHeight="1">
      <s:c r="A23058" s="120" t="inlineStr"/>
      <s:c r="B23058" s="121" t="n"/>
      <s:c r="C23058" s="121" t="n"/>
      <s:c r="D23058" s="121" t="n"/>
      <s:c r="E23058" s="122" t="n"/>
    </s:row>
    <s:row r="23059" hidden="1" ht="1" customHeight="1">
      <s:c r="A23059" s="120" t="inlineStr"/>
      <s:c r="B23059" s="121" t="n"/>
      <s:c r="C23059" s="121" t="n"/>
      <s:c r="D23059" s="121" t="n"/>
      <s:c r="E23059" s="122" t="n"/>
    </s:row>
    <s:row r="23060" hidden="1" ht="1" customHeight="1">
      <s:c r="A23060" s="120" t="inlineStr"/>
      <s:c r="B23060" s="121" t="n"/>
      <s:c r="C23060" s="121" t="n"/>
      <s:c r="D23060" s="121" t="n"/>
      <s:c r="E23060" s="122" t="n"/>
    </s:row>
    <s:row r="23061" hidden="1" ht="1" customHeight="1">
      <s:c r="A23061" s="120" t="inlineStr"/>
      <s:c r="B23061" s="121" t="n"/>
      <s:c r="C23061" s="121" t="n"/>
      <s:c r="D23061" s="121" t="n"/>
      <s:c r="E23061" s="122" t="n"/>
    </s:row>
    <s:row r="23062" hidden="1" ht="1" customHeight="1">
      <s:c r="A23062" s="120" t="inlineStr"/>
      <s:c r="B23062" s="121" t="n"/>
      <s:c r="C23062" s="121" t="n"/>
      <s:c r="D23062" s="121" t="n"/>
      <s:c r="E23062" s="122" t="n"/>
    </s:row>
    <s:row r="23063" hidden="1" ht="1" customHeight="1">
      <s:c r="A23063" s="120" t="inlineStr"/>
      <s:c r="B23063" s="121" t="n"/>
      <s:c r="C23063" s="121" t="n"/>
      <s:c r="D23063" s="121" t="n"/>
      <s:c r="E23063" s="122" t="n"/>
    </s:row>
    <s:row r="23064" hidden="1" ht="1" customHeight="1">
      <s:c r="A23064" s="120" t="inlineStr"/>
      <s:c r="B23064" s="121" t="n"/>
      <s:c r="C23064" s="121" t="n"/>
      <s:c r="D23064" s="121" t="n"/>
      <s:c r="E23064" s="122" t="n"/>
    </s:row>
    <s:row r="23065" hidden="1" ht="1" customHeight="1">
      <s:c r="A23065" s="120" t="inlineStr"/>
      <s:c r="B23065" s="121" t="n"/>
      <s:c r="C23065" s="121" t="n"/>
      <s:c r="D23065" s="121" t="n"/>
      <s:c r="E23065" s="122" t="n"/>
    </s:row>
    <s:row r="23066" hidden="1" ht="1" customHeight="1">
      <s:c r="A23066" s="120" t="inlineStr"/>
      <s:c r="B23066" s="121" t="n"/>
      <s:c r="C23066" s="121" t="n"/>
      <s:c r="D23066" s="121" t="n"/>
      <s:c r="E23066" s="122" t="n"/>
    </s:row>
    <s:row r="23067" hidden="1" ht="1" customHeight="1">
      <s:c r="A23067" s="120" t="inlineStr"/>
      <s:c r="B23067" s="121" t="n"/>
      <s:c r="C23067" s="121" t="n"/>
      <s:c r="D23067" s="121" t="n"/>
      <s:c r="E23067" s="122" t="n"/>
    </s:row>
    <s:row r="23068" hidden="1" ht="1" customHeight="1">
      <s:c r="A23068" s="120" t="inlineStr"/>
      <s:c r="B23068" s="121" t="n"/>
      <s:c r="C23068" s="121" t="n"/>
      <s:c r="D23068" s="121" t="n"/>
      <s:c r="E23068" s="122" t="n"/>
    </s:row>
    <s:row r="23069" hidden="1" ht="1" customHeight="1">
      <s:c r="A23069" s="120" t="inlineStr"/>
      <s:c r="B23069" s="121" t="n"/>
      <s:c r="C23069" s="121" t="n"/>
      <s:c r="D23069" s="121" t="n"/>
      <s:c r="E23069" s="122" t="n"/>
    </s:row>
    <s:row r="23070" hidden="1" ht="1" customHeight="1">
      <s:c r="A23070" s="120" t="inlineStr"/>
      <s:c r="B23070" s="121" t="n"/>
      <s:c r="C23070" s="121" t="n"/>
      <s:c r="D23070" s="121" t="n"/>
      <s:c r="E23070" s="122" t="n"/>
    </s:row>
    <s:row r="23071" hidden="1" ht="1" customHeight="1">
      <s:c r="A23071" s="120" t="inlineStr"/>
      <s:c r="B23071" s="121" t="n"/>
      <s:c r="C23071" s="121" t="n"/>
      <s:c r="D23071" s="121" t="n"/>
      <s:c r="E23071" s="122" t="n"/>
    </s:row>
    <s:row r="23072" hidden="1" ht="1" customHeight="1">
      <s:c r="A23072" s="120" t="inlineStr"/>
      <s:c r="B23072" s="121" t="n"/>
      <s:c r="C23072" s="121" t="n"/>
      <s:c r="D23072" s="121" t="n"/>
      <s:c r="E23072" s="122" t="n"/>
    </s:row>
    <s:row r="23073" hidden="1" ht="1" customHeight="1">
      <s:c r="A23073" s="120" t="inlineStr"/>
      <s:c r="B23073" s="121" t="n"/>
      <s:c r="C23073" s="121" t="n"/>
      <s:c r="D23073" s="121" t="n"/>
      <s:c r="E23073" s="122" t="n"/>
    </s:row>
    <s:row r="23074" hidden="1" ht="1" customHeight="1">
      <s:c r="A23074" s="120" t="inlineStr"/>
      <s:c r="B23074" s="121" t="n"/>
      <s:c r="C23074" s="121" t="n"/>
      <s:c r="D23074" s="121" t="n"/>
      <s:c r="E23074" s="122" t="n"/>
    </s:row>
    <s:row r="23075" hidden="1" ht="1" customHeight="1">
      <s:c r="A23075" s="120" t="inlineStr"/>
      <s:c r="B23075" s="121" t="n"/>
      <s:c r="C23075" s="121" t="n"/>
      <s:c r="D23075" s="121" t="n"/>
      <s:c r="E23075" s="122" t="n"/>
    </s:row>
    <s:row r="23076" hidden="1" ht="1" customHeight="1">
      <s:c r="A23076" s="120" t="inlineStr"/>
      <s:c r="B23076" s="121" t="n"/>
      <s:c r="C23076" s="121" t="n"/>
      <s:c r="D23076" s="121" t="n"/>
      <s:c r="E23076" s="122" t="n"/>
    </s:row>
    <s:row r="23077" hidden="1" ht="1" customHeight="1">
      <s:c r="A23077" s="120" t="inlineStr"/>
      <s:c r="B23077" s="121" t="n"/>
      <s:c r="C23077" s="121" t="n"/>
      <s:c r="D23077" s="121" t="n"/>
      <s:c r="E23077" s="122" t="n"/>
    </s:row>
    <s:row r="23078" hidden="1" ht="1" customHeight="1">
      <s:c r="A23078" s="120" t="inlineStr"/>
      <s:c r="B23078" s="121" t="n"/>
      <s:c r="C23078" s="121" t="n"/>
      <s:c r="D23078" s="121" t="n"/>
      <s:c r="E23078" s="122" t="n"/>
    </s:row>
    <s:row r="23079" hidden="1" ht="1" customHeight="1">
      <s:c r="A23079" s="120" t="inlineStr"/>
      <s:c r="B23079" s="121" t="n"/>
      <s:c r="C23079" s="121" t="n"/>
      <s:c r="D23079" s="121" t="n"/>
      <s:c r="E23079" s="122" t="n"/>
    </s:row>
    <s:row r="23080" hidden="1" ht="1" customHeight="1">
      <s:c r="A23080" s="120" t="inlineStr"/>
      <s:c r="B23080" s="121" t="n"/>
      <s:c r="C23080" s="121" t="n"/>
      <s:c r="D23080" s="121" t="n"/>
      <s:c r="E23080" s="122" t="n"/>
    </s:row>
    <s:row r="23081" hidden="1" ht="1" customHeight="1">
      <s:c r="A23081" s="120" t="inlineStr"/>
      <s:c r="B23081" s="121" t="n"/>
      <s:c r="C23081" s="121" t="n"/>
      <s:c r="D23081" s="121" t="n"/>
      <s:c r="E23081" s="122" t="n"/>
    </s:row>
    <s:row r="23082" hidden="1" ht="1" customHeight="1">
      <s:c r="A23082" s="120" t="inlineStr"/>
      <s:c r="B23082" s="121" t="n"/>
      <s:c r="C23082" s="121" t="n"/>
      <s:c r="D23082" s="121" t="n"/>
      <s:c r="E23082" s="122" t="n"/>
    </s:row>
    <s:row r="23083" hidden="1" ht="1" customHeight="1">
      <s:c r="A23083" s="120" t="inlineStr"/>
      <s:c r="B23083" s="121" t="n"/>
      <s:c r="C23083" s="121" t="n"/>
      <s:c r="D23083" s="121" t="n"/>
      <s:c r="E23083" s="122" t="n"/>
    </s:row>
    <s:row r="23084" hidden="1" ht="1" customHeight="1">
      <s:c r="A23084" s="120" t="inlineStr"/>
      <s:c r="B23084" s="121" t="n"/>
      <s:c r="C23084" s="121" t="n"/>
      <s:c r="D23084" s="121" t="n"/>
      <s:c r="E23084" s="122" t="n"/>
    </s:row>
    <s:row r="23085" hidden="1" ht="1" customHeight="1">
      <s:c r="A23085" s="120" t="inlineStr"/>
      <s:c r="B23085" s="121" t="n"/>
      <s:c r="C23085" s="121" t="n"/>
      <s:c r="D23085" s="121" t="n"/>
      <s:c r="E23085" s="122" t="n"/>
    </s:row>
    <s:row r="23086" hidden="1" ht="1" customHeight="1">
      <s:c r="A23086" s="120" t="inlineStr"/>
      <s:c r="B23086" s="121" t="n"/>
      <s:c r="C23086" s="121" t="n"/>
      <s:c r="D23086" s="121" t="n"/>
      <s:c r="E23086" s="122" t="n"/>
    </s:row>
    <s:row r="23087" hidden="1" ht="1" customHeight="1">
      <s:c r="A23087" s="120" t="inlineStr"/>
      <s:c r="B23087" s="121" t="n"/>
      <s:c r="C23087" s="121" t="n"/>
      <s:c r="D23087" s="121" t="n"/>
      <s:c r="E23087" s="122" t="n"/>
    </s:row>
    <s:row r="23088" hidden="1" ht="1" customHeight="1">
      <s:c r="A23088" s="120" t="inlineStr"/>
      <s:c r="B23088" s="121" t="n"/>
      <s:c r="C23088" s="121" t="n"/>
      <s:c r="D23088" s="121" t="n"/>
      <s:c r="E23088" s="122" t="n"/>
    </s:row>
    <s:row r="23089" hidden="1" ht="1" customHeight="1">
      <s:c r="A23089" s="120" t="inlineStr"/>
      <s:c r="B23089" s="121" t="n"/>
      <s:c r="C23089" s="121" t="n"/>
      <s:c r="D23089" s="121" t="n"/>
      <s:c r="E23089" s="122" t="n"/>
    </s:row>
    <s:row r="23090" hidden="1" ht="1" customHeight="1">
      <s:c r="A23090" s="120" t="inlineStr"/>
      <s:c r="B23090" s="121" t="n"/>
      <s:c r="C23090" s="121" t="n"/>
      <s:c r="D23090" s="121" t="n"/>
      <s:c r="E23090" s="122" t="n"/>
    </s:row>
    <s:row r="23091" hidden="1" ht="1" customHeight="1">
      <s:c r="A23091" s="120" t="inlineStr"/>
      <s:c r="B23091" s="121" t="n"/>
      <s:c r="C23091" s="121" t="n"/>
      <s:c r="D23091" s="121" t="n"/>
      <s:c r="E23091" s="122" t="n"/>
    </s:row>
    <s:row r="23092" hidden="1" ht="1" customHeight="1">
      <s:c r="A23092" s="120" t="inlineStr"/>
      <s:c r="B23092" s="121" t="n"/>
      <s:c r="C23092" s="121" t="n"/>
      <s:c r="D23092" s="121" t="n"/>
      <s:c r="E23092" s="122" t="n"/>
    </s:row>
    <s:row r="23093" hidden="1" ht="1" customHeight="1">
      <s:c r="A23093" s="120" t="inlineStr"/>
      <s:c r="B23093" s="121" t="n"/>
      <s:c r="C23093" s="121" t="n"/>
      <s:c r="D23093" s="121" t="n"/>
      <s:c r="E23093" s="122" t="n"/>
    </s:row>
    <s:row r="23094" hidden="1" ht="1" customHeight="1">
      <s:c r="A23094" s="120" t="inlineStr"/>
      <s:c r="B23094" s="121" t="n"/>
      <s:c r="C23094" s="121" t="n"/>
      <s:c r="D23094" s="121" t="n"/>
      <s:c r="E23094" s="122" t="n"/>
    </s:row>
    <s:row r="23095" hidden="1" ht="1" customHeight="1">
      <s:c r="A23095" s="120" t="inlineStr"/>
      <s:c r="B23095" s="121" t="n"/>
      <s:c r="C23095" s="121" t="n"/>
      <s:c r="D23095" s="121" t="n"/>
      <s:c r="E23095" s="122" t="n"/>
    </s:row>
    <s:row r="23096" hidden="1" ht="1" customHeight="1">
      <s:c r="A23096" s="120" t="inlineStr"/>
      <s:c r="B23096" s="121" t="n"/>
      <s:c r="C23096" s="121" t="n"/>
      <s:c r="D23096" s="121" t="n"/>
      <s:c r="E23096" s="122" t="n"/>
    </s:row>
    <s:row r="23097" hidden="1" ht="1" customHeight="1">
      <s:c r="A23097" s="120" t="inlineStr"/>
      <s:c r="B23097" s="121" t="n"/>
      <s:c r="C23097" s="121" t="n"/>
      <s:c r="D23097" s="121" t="n"/>
      <s:c r="E23097" s="122" t="n"/>
    </s:row>
    <s:row r="23098" hidden="1" ht="1" customHeight="1">
      <s:c r="A23098" s="120" t="inlineStr"/>
      <s:c r="B23098" s="121" t="n"/>
      <s:c r="C23098" s="121" t="n"/>
      <s:c r="D23098" s="121" t="n"/>
      <s:c r="E23098" s="122" t="n"/>
    </s:row>
    <s:row r="23099" hidden="1" ht="1" customHeight="1">
      <s:c r="A23099" s="120" t="inlineStr"/>
      <s:c r="B23099" s="121" t="n"/>
      <s:c r="C23099" s="121" t="n"/>
      <s:c r="D23099" s="121" t="n"/>
      <s:c r="E23099" s="122" t="n"/>
    </s:row>
    <s:row r="23100" hidden="1" ht="1" customHeight="1">
      <s:c r="A23100" s="120" t="inlineStr"/>
      <s:c r="B23100" s="121" t="n"/>
      <s:c r="C23100" s="121" t="n"/>
      <s:c r="D23100" s="121" t="n"/>
      <s:c r="E23100" s="122" t="n"/>
    </s:row>
    <s:row r="23101" hidden="1" ht="1" customHeight="1">
      <s:c r="A23101" s="120" t="inlineStr"/>
      <s:c r="B23101" s="121" t="n"/>
      <s:c r="C23101" s="121" t="n"/>
      <s:c r="D23101" s="121" t="n"/>
      <s:c r="E23101" s="122" t="n"/>
    </s:row>
    <s:row r="23102" hidden="1" ht="1" customHeight="1">
      <s:c r="A23102" s="120" t="inlineStr"/>
      <s:c r="B23102" s="121" t="n"/>
      <s:c r="C23102" s="121" t="n"/>
      <s:c r="D23102" s="121" t="n"/>
      <s:c r="E23102" s="122" t="n"/>
    </s:row>
    <s:row r="23103" hidden="1" ht="1" customHeight="1">
      <s:c r="A23103" s="120" t="inlineStr"/>
      <s:c r="B23103" s="121" t="n"/>
      <s:c r="C23103" s="121" t="n"/>
      <s:c r="D23103" s="121" t="n"/>
      <s:c r="E23103" s="122" t="n"/>
    </s:row>
    <s:row r="23104" hidden="1" ht="1" customHeight="1">
      <s:c r="A23104" s="120" t="inlineStr"/>
      <s:c r="B23104" s="121" t="n"/>
      <s:c r="C23104" s="121" t="n"/>
      <s:c r="D23104" s="121" t="n"/>
      <s:c r="E23104" s="122" t="n"/>
    </s:row>
    <s:row r="23105" hidden="1" ht="1" customHeight="1">
      <s:c r="A23105" s="120" t="inlineStr"/>
      <s:c r="B23105" s="121" t="n"/>
      <s:c r="C23105" s="121" t="n"/>
      <s:c r="D23105" s="121" t="n"/>
      <s:c r="E23105" s="122" t="n"/>
    </s:row>
    <s:row r="23106" hidden="1" ht="1" customHeight="1">
      <s:c r="A23106" s="120" t="inlineStr"/>
      <s:c r="B23106" s="121" t="n"/>
      <s:c r="C23106" s="121" t="n"/>
      <s:c r="D23106" s="121" t="n"/>
      <s:c r="E23106" s="122" t="n"/>
    </s:row>
    <s:row r="23107" hidden="1" ht="1" customHeight="1">
      <s:c r="A23107" s="120" t="inlineStr"/>
      <s:c r="B23107" s="121" t="n"/>
      <s:c r="C23107" s="121" t="n"/>
      <s:c r="D23107" s="121" t="n"/>
      <s:c r="E23107" s="122" t="n"/>
    </s:row>
    <s:row r="23108" hidden="1" ht="1" customHeight="1">
      <s:c r="A23108" s="120" t="inlineStr"/>
      <s:c r="B23108" s="121" t="n"/>
      <s:c r="C23108" s="121" t="n"/>
      <s:c r="D23108" s="121" t="n"/>
      <s:c r="E23108" s="122" t="n"/>
    </s:row>
    <s:row r="23109" hidden="1" ht="1" customHeight="1">
      <s:c r="A23109" s="120" t="inlineStr"/>
      <s:c r="B23109" s="121" t="n"/>
      <s:c r="C23109" s="121" t="n"/>
      <s:c r="D23109" s="121" t="n"/>
      <s:c r="E23109" s="122" t="n"/>
    </s:row>
    <s:row r="23110" hidden="1" ht="1" customHeight="1">
      <s:c r="A23110" s="120" t="inlineStr"/>
      <s:c r="B23110" s="121" t="n"/>
      <s:c r="C23110" s="121" t="n"/>
      <s:c r="D23110" s="121" t="n"/>
      <s:c r="E23110" s="122" t="n"/>
    </s:row>
    <s:row r="23111" hidden="1" ht="1" customHeight="1">
      <s:c r="A23111" s="120" t="inlineStr"/>
      <s:c r="B23111" s="121" t="n"/>
      <s:c r="C23111" s="121" t="n"/>
      <s:c r="D23111" s="121" t="n"/>
      <s:c r="E23111" s="122" t="n"/>
    </s:row>
    <s:row r="23112" hidden="1" ht="1" customHeight="1">
      <s:c r="A23112" s="120" t="inlineStr"/>
      <s:c r="B23112" s="121" t="n"/>
      <s:c r="C23112" s="121" t="n"/>
      <s:c r="D23112" s="121" t="n"/>
      <s:c r="E23112" s="122" t="n"/>
    </s:row>
    <s:row r="23113" hidden="1" ht="1" customHeight="1">
      <s:c r="A23113" s="120" t="inlineStr"/>
      <s:c r="B23113" s="121" t="n"/>
      <s:c r="C23113" s="121" t="n"/>
      <s:c r="D23113" s="121" t="n"/>
      <s:c r="E23113" s="122" t="n"/>
    </s:row>
    <s:row r="23114" hidden="1" ht="1" customHeight="1">
      <s:c r="A23114" s="120" t="inlineStr"/>
      <s:c r="B23114" s="121" t="n"/>
      <s:c r="C23114" s="121" t="n"/>
      <s:c r="D23114" s="121" t="n"/>
      <s:c r="E23114" s="122" t="n"/>
    </s:row>
    <s:row r="23115" hidden="1" ht="1" customHeight="1">
      <s:c r="A23115" s="120" t="inlineStr"/>
      <s:c r="B23115" s="121" t="n"/>
      <s:c r="C23115" s="121" t="n"/>
      <s:c r="D23115" s="121" t="n"/>
      <s:c r="E23115" s="122" t="n"/>
    </s:row>
    <s:row r="23116" hidden="1" ht="1" customHeight="1">
      <s:c r="A23116" s="120" t="inlineStr"/>
      <s:c r="B23116" s="121" t="n"/>
      <s:c r="C23116" s="121" t="n"/>
      <s:c r="D23116" s="121" t="n"/>
      <s:c r="E23116" s="122" t="n"/>
    </s:row>
    <s:row r="23117" hidden="1" ht="1" customHeight="1">
      <s:c r="A23117" s="120" t="inlineStr"/>
      <s:c r="B23117" s="121" t="n"/>
      <s:c r="C23117" s="121" t="n"/>
      <s:c r="D23117" s="121" t="n"/>
      <s:c r="E23117" s="122" t="n"/>
    </s:row>
    <s:row r="23118" hidden="1" ht="1" customHeight="1">
      <s:c r="A23118" s="120" t="inlineStr"/>
      <s:c r="B23118" s="121" t="n"/>
      <s:c r="C23118" s="121" t="n"/>
      <s:c r="D23118" s="121" t="n"/>
      <s:c r="E23118" s="122" t="n"/>
    </s:row>
    <s:row r="23119" hidden="1" ht="1" customHeight="1">
      <s:c r="A23119" s="120" t="inlineStr"/>
      <s:c r="B23119" s="121" t="n"/>
      <s:c r="C23119" s="121" t="n"/>
      <s:c r="D23119" s="121" t="n"/>
      <s:c r="E23119" s="122" t="n"/>
    </s:row>
    <s:row r="23120" hidden="1" ht="1" customHeight="1">
      <s:c r="A23120" s="120" t="inlineStr"/>
      <s:c r="B23120" s="121" t="n"/>
      <s:c r="C23120" s="121" t="n"/>
      <s:c r="D23120" s="121" t="n"/>
      <s:c r="E23120" s="122" t="n"/>
    </s:row>
    <s:row r="23121" hidden="1" ht="1" customHeight="1">
      <s:c r="A23121" s="120" t="inlineStr"/>
      <s:c r="B23121" s="121" t="n"/>
      <s:c r="C23121" s="121" t="n"/>
      <s:c r="D23121" s="121" t="n"/>
      <s:c r="E23121" s="122" t="n"/>
    </s:row>
    <s:row r="23122" hidden="1" ht="1" customHeight="1">
      <s:c r="A23122" s="120" t="inlineStr"/>
      <s:c r="B23122" s="121" t="n"/>
      <s:c r="C23122" s="121" t="n"/>
      <s:c r="D23122" s="121" t="n"/>
      <s:c r="E23122" s="122" t="n"/>
    </s:row>
    <s:row r="23123" hidden="1" ht="1" customHeight="1">
      <s:c r="A23123" s="120" t="inlineStr"/>
      <s:c r="B23123" s="121" t="n"/>
      <s:c r="C23123" s="121" t="n"/>
      <s:c r="D23123" s="121" t="n"/>
      <s:c r="E23123" s="122" t="n"/>
    </s:row>
    <s:row r="23124" hidden="1" ht="1" customHeight="1">
      <s:c r="A23124" s="120" t="inlineStr"/>
      <s:c r="B23124" s="121" t="n"/>
      <s:c r="C23124" s="121" t="n"/>
      <s:c r="D23124" s="121" t="n"/>
      <s:c r="E23124" s="122" t="n"/>
    </s:row>
    <s:row r="23125" hidden="1" ht="1" customHeight="1">
      <s:c r="A23125" s="120" t="inlineStr"/>
      <s:c r="B23125" s="121" t="n"/>
      <s:c r="C23125" s="121" t="n"/>
      <s:c r="D23125" s="121" t="n"/>
      <s:c r="E23125" s="122" t="n"/>
    </s:row>
    <s:row r="23126" hidden="1" ht="1" customHeight="1">
      <s:c r="A23126" s="120" t="inlineStr"/>
      <s:c r="B23126" s="121" t="n"/>
      <s:c r="C23126" s="121" t="n"/>
      <s:c r="D23126" s="121" t="n"/>
      <s:c r="E23126" s="122" t="n"/>
    </s:row>
    <s:row r="23127" hidden="1" ht="1" customHeight="1">
      <s:c r="A23127" s="120" t="inlineStr"/>
      <s:c r="B23127" s="121" t="n"/>
      <s:c r="C23127" s="121" t="n"/>
      <s:c r="D23127" s="121" t="n"/>
      <s:c r="E23127" s="122" t="n"/>
    </s:row>
    <s:row r="23128" hidden="1" ht="1" customHeight="1">
      <s:c r="A23128" s="120" t="inlineStr"/>
      <s:c r="B23128" s="121" t="n"/>
      <s:c r="C23128" s="121" t="n"/>
      <s:c r="D23128" s="121" t="n"/>
      <s:c r="E23128" s="122" t="n"/>
    </s:row>
    <s:row r="23129" hidden="1" ht="1" customHeight="1">
      <s:c r="A23129" s="120" t="inlineStr"/>
      <s:c r="B23129" s="121" t="n"/>
      <s:c r="C23129" s="121" t="n"/>
      <s:c r="D23129" s="121" t="n"/>
      <s:c r="E23129" s="122" t="n"/>
    </s:row>
    <s:row r="23130" hidden="1" ht="1" customHeight="1">
      <s:c r="A23130" s="120" t="inlineStr"/>
      <s:c r="B23130" s="121" t="n"/>
      <s:c r="C23130" s="121" t="n"/>
      <s:c r="D23130" s="121" t="n"/>
      <s:c r="E23130" s="122" t="n"/>
    </s:row>
    <s:row r="23131" hidden="1" ht="1" customHeight="1">
      <s:c r="A23131" s="120" t="inlineStr"/>
      <s:c r="B23131" s="121" t="n"/>
      <s:c r="C23131" s="121" t="n"/>
      <s:c r="D23131" s="121" t="n"/>
      <s:c r="E23131" s="122" t="n"/>
    </s:row>
    <s:row r="23132" hidden="1" ht="1" customHeight="1">
      <s:c r="A23132" s="120" t="inlineStr"/>
      <s:c r="B23132" s="121" t="n"/>
      <s:c r="C23132" s="121" t="n"/>
      <s:c r="D23132" s="121" t="n"/>
      <s:c r="E23132" s="122" t="n"/>
    </s:row>
    <s:row r="23133" hidden="1" ht="1" customHeight="1">
      <s:c r="A23133" s="120" t="inlineStr"/>
      <s:c r="B23133" s="121" t="n"/>
      <s:c r="C23133" s="121" t="n"/>
      <s:c r="D23133" s="121" t="n"/>
      <s:c r="E23133" s="122" t="n"/>
    </s:row>
    <s:row r="23134" hidden="1" ht="1" customHeight="1">
      <s:c r="A23134" s="120" t="inlineStr"/>
      <s:c r="B23134" s="121" t="n"/>
      <s:c r="C23134" s="121" t="n"/>
      <s:c r="D23134" s="121" t="n"/>
      <s:c r="E23134" s="122" t="n"/>
    </s:row>
    <s:row r="23135" hidden="1" ht="1" customHeight="1">
      <s:c r="A23135" s="120" t="inlineStr"/>
      <s:c r="B23135" s="121" t="n"/>
      <s:c r="C23135" s="121" t="n"/>
      <s:c r="D23135" s="121" t="n"/>
      <s:c r="E23135" s="122" t="n"/>
    </s:row>
    <s:row r="23136" hidden="1" ht="1" customHeight="1">
      <s:c r="A23136" s="120" t="inlineStr"/>
      <s:c r="B23136" s="121" t="n"/>
      <s:c r="C23136" s="121" t="n"/>
      <s:c r="D23136" s="121" t="n"/>
      <s:c r="E23136" s="122" t="n"/>
    </s:row>
    <s:row r="23137" hidden="1" ht="1" customHeight="1">
      <s:c r="A23137" s="120" t="inlineStr"/>
      <s:c r="B23137" s="121" t="n"/>
      <s:c r="C23137" s="121" t="n"/>
      <s:c r="D23137" s="121" t="n"/>
      <s:c r="E23137" s="122" t="n"/>
    </s:row>
    <s:row r="23138" hidden="1" ht="1" customHeight="1">
      <s:c r="A23138" s="120" t="inlineStr"/>
      <s:c r="B23138" s="121" t="n"/>
      <s:c r="C23138" s="121" t="n"/>
      <s:c r="D23138" s="121" t="n"/>
      <s:c r="E23138" s="122" t="n"/>
    </s:row>
    <s:row r="23139" hidden="1" ht="1" customHeight="1">
      <s:c r="A23139" s="120" t="inlineStr"/>
      <s:c r="B23139" s="121" t="n"/>
      <s:c r="C23139" s="121" t="n"/>
      <s:c r="D23139" s="121" t="n"/>
      <s:c r="E23139" s="122" t="n"/>
    </s:row>
    <s:row r="23140" hidden="1" ht="1" customHeight="1">
      <s:c r="A23140" s="120" t="inlineStr"/>
      <s:c r="B23140" s="121" t="n"/>
      <s:c r="C23140" s="121" t="n"/>
      <s:c r="D23140" s="121" t="n"/>
      <s:c r="E23140" s="122" t="n"/>
    </s:row>
    <s:row r="23141" hidden="1" ht="1" customHeight="1">
      <s:c r="A23141" s="120" t="inlineStr"/>
      <s:c r="B23141" s="121" t="n"/>
      <s:c r="C23141" s="121" t="n"/>
      <s:c r="D23141" s="121" t="n"/>
      <s:c r="E23141" s="122" t="n"/>
    </s:row>
    <s:row r="23142" hidden="1" ht="1" customHeight="1">
      <s:c r="A23142" s="120" t="inlineStr"/>
      <s:c r="B23142" s="121" t="n"/>
      <s:c r="C23142" s="121" t="n"/>
      <s:c r="D23142" s="121" t="n"/>
      <s:c r="E23142" s="122" t="n"/>
    </s:row>
    <s:row r="23143" hidden="1" ht="1" customHeight="1">
      <s:c r="A23143" s="120" t="inlineStr"/>
      <s:c r="B23143" s="121" t="n"/>
      <s:c r="C23143" s="121" t="n"/>
      <s:c r="D23143" s="121" t="n"/>
      <s:c r="E23143" s="122" t="n"/>
    </s:row>
    <s:row r="23144" hidden="1" ht="1" customHeight="1">
      <s:c r="A23144" s="120" t="inlineStr"/>
      <s:c r="B23144" s="121" t="n"/>
      <s:c r="C23144" s="121" t="n"/>
      <s:c r="D23144" s="121" t="n"/>
      <s:c r="E23144" s="122" t="n"/>
    </s:row>
    <s:row r="23145" hidden="1" ht="1" customHeight="1">
      <s:c r="A23145" s="120" t="inlineStr"/>
      <s:c r="B23145" s="121" t="n"/>
      <s:c r="C23145" s="121" t="n"/>
      <s:c r="D23145" s="121" t="n"/>
      <s:c r="E23145" s="122" t="n"/>
    </s:row>
    <s:row r="23146" hidden="1" ht="1" customHeight="1">
      <s:c r="A23146" s="120" t="inlineStr"/>
      <s:c r="B23146" s="121" t="n"/>
      <s:c r="C23146" s="121" t="n"/>
      <s:c r="D23146" s="121" t="n"/>
      <s:c r="E23146" s="122" t="n"/>
    </s:row>
    <s:row r="23147" hidden="1" ht="1" customHeight="1">
      <s:c r="A23147" s="120" t="inlineStr"/>
      <s:c r="B23147" s="121" t="n"/>
      <s:c r="C23147" s="121" t="n"/>
      <s:c r="D23147" s="121" t="n"/>
      <s:c r="E23147" s="122" t="n"/>
    </s:row>
    <s:row r="23148" hidden="1" ht="1" customHeight="1">
      <s:c r="A23148" s="120" t="inlineStr"/>
      <s:c r="B23148" s="121" t="n"/>
      <s:c r="C23148" s="121" t="n"/>
      <s:c r="D23148" s="121" t="n"/>
      <s:c r="E23148" s="122" t="n"/>
    </s:row>
    <s:row r="23149" hidden="1" ht="1" customHeight="1">
      <s:c r="A23149" s="120" t="inlineStr"/>
      <s:c r="B23149" s="121" t="n"/>
      <s:c r="C23149" s="121" t="n"/>
      <s:c r="D23149" s="121" t="n"/>
      <s:c r="E23149" s="122" t="n"/>
    </s:row>
    <s:row r="23150" hidden="1" ht="1" customHeight="1">
      <s:c r="A23150" s="120" t="inlineStr"/>
      <s:c r="B23150" s="121" t="n"/>
      <s:c r="C23150" s="121" t="n"/>
      <s:c r="D23150" s="121" t="n"/>
      <s:c r="E23150" s="122" t="n"/>
    </s:row>
    <s:row r="23151" hidden="1" ht="1" customHeight="1">
      <s:c r="A23151" s="120" t="inlineStr"/>
      <s:c r="B23151" s="121" t="n"/>
      <s:c r="C23151" s="121" t="n"/>
      <s:c r="D23151" s="121" t="n"/>
      <s:c r="E23151" s="122" t="n"/>
    </s:row>
    <s:row r="23152" hidden="1" ht="1" customHeight="1">
      <s:c r="A23152" s="120" t="inlineStr"/>
      <s:c r="B23152" s="121" t="n"/>
      <s:c r="C23152" s="121" t="n"/>
      <s:c r="D23152" s="121" t="n"/>
      <s:c r="E23152" s="122" t="n"/>
    </s:row>
    <s:row r="23153" hidden="1" ht="1" customHeight="1">
      <s:c r="A23153" s="120" t="inlineStr"/>
      <s:c r="B23153" s="121" t="n"/>
      <s:c r="C23153" s="121" t="n"/>
      <s:c r="D23153" s="121" t="n"/>
      <s:c r="E23153" s="122" t="n"/>
    </s:row>
    <s:row r="23154" hidden="1" ht="1" customHeight="1">
      <s:c r="A23154" s="120" t="inlineStr"/>
      <s:c r="B23154" s="121" t="n"/>
      <s:c r="C23154" s="121" t="n"/>
      <s:c r="D23154" s="121" t="n"/>
      <s:c r="E23154" s="122" t="n"/>
    </s:row>
    <s:row r="23155" hidden="1" ht="1" customHeight="1">
      <s:c r="A23155" s="120" t="inlineStr"/>
      <s:c r="B23155" s="121" t="n"/>
      <s:c r="C23155" s="121" t="n"/>
      <s:c r="D23155" s="121" t="n"/>
      <s:c r="E23155" s="122" t="n"/>
    </s:row>
    <s:row r="23156" hidden="1" ht="1" customHeight="1">
      <s:c r="A23156" s="120" t="inlineStr"/>
      <s:c r="B23156" s="121" t="n"/>
      <s:c r="C23156" s="121" t="n"/>
      <s:c r="D23156" s="121" t="n"/>
      <s:c r="E23156" s="122" t="n"/>
    </s:row>
    <s:row r="23157" hidden="1" ht="1" customHeight="1">
      <s:c r="A23157" s="120" t="inlineStr"/>
      <s:c r="B23157" s="121" t="n"/>
      <s:c r="C23157" s="121" t="n"/>
      <s:c r="D23157" s="121" t="n"/>
      <s:c r="E23157" s="122" t="n"/>
    </s:row>
    <s:row r="23158" hidden="1" ht="1" customHeight="1">
      <s:c r="A23158" s="120" t="inlineStr"/>
      <s:c r="B23158" s="121" t="n"/>
      <s:c r="C23158" s="121" t="n"/>
      <s:c r="D23158" s="121" t="n"/>
      <s:c r="E23158" s="122" t="n"/>
    </s:row>
    <s:row r="23159" hidden="1" ht="1" customHeight="1">
      <s:c r="A23159" s="120" t="inlineStr"/>
      <s:c r="B23159" s="121" t="n"/>
      <s:c r="C23159" s="121" t="n"/>
      <s:c r="D23159" s="121" t="n"/>
      <s:c r="E23159" s="122" t="n"/>
    </s:row>
    <s:row r="23160" hidden="1" ht="1" customHeight="1">
      <s:c r="A23160" s="120" t="inlineStr"/>
      <s:c r="B23160" s="121" t="n"/>
      <s:c r="C23160" s="121" t="n"/>
      <s:c r="D23160" s="121" t="n"/>
      <s:c r="E23160" s="122" t="n"/>
    </s:row>
    <s:row r="23161" hidden="1" ht="1" customHeight="1">
      <s:c r="A23161" s="120" t="inlineStr"/>
      <s:c r="B23161" s="121" t="n"/>
      <s:c r="C23161" s="121" t="n"/>
      <s:c r="D23161" s="121" t="n"/>
      <s:c r="E23161" s="122" t="n"/>
    </s:row>
    <s:row r="23162" hidden="1" ht="1" customHeight="1">
      <s:c r="A23162" s="120" t="inlineStr"/>
      <s:c r="B23162" s="121" t="n"/>
      <s:c r="C23162" s="121" t="n"/>
      <s:c r="D23162" s="121" t="n"/>
      <s:c r="E23162" s="122" t="n"/>
    </s:row>
    <s:row r="23163" hidden="1" ht="1" customHeight="1">
      <s:c r="A23163" s="120" t="inlineStr"/>
      <s:c r="B23163" s="121" t="n"/>
      <s:c r="C23163" s="121" t="n"/>
      <s:c r="D23163" s="121" t="n"/>
      <s:c r="E23163" s="122" t="n"/>
    </s:row>
    <s:row r="23164" hidden="1" ht="1" customHeight="1">
      <s:c r="A23164" s="120" t="inlineStr"/>
      <s:c r="B23164" s="121" t="n"/>
      <s:c r="C23164" s="121" t="n"/>
      <s:c r="D23164" s="121" t="n"/>
      <s:c r="E23164" s="122" t="n"/>
    </s:row>
    <s:row r="23165" hidden="1" ht="1" customHeight="1">
      <s:c r="A23165" s="120" t="inlineStr"/>
      <s:c r="B23165" s="121" t="n"/>
      <s:c r="C23165" s="121" t="n"/>
      <s:c r="D23165" s="121" t="n"/>
      <s:c r="E23165" s="122" t="n"/>
    </s:row>
    <s:row r="23166" hidden="1" ht="1" customHeight="1">
      <s:c r="A23166" s="120" t="inlineStr"/>
      <s:c r="B23166" s="121" t="n"/>
      <s:c r="C23166" s="121" t="n"/>
      <s:c r="D23166" s="121" t="n"/>
      <s:c r="E23166" s="122" t="n"/>
    </s:row>
    <s:row r="23167" hidden="1" ht="1" customHeight="1">
      <s:c r="A23167" s="120" t="inlineStr"/>
      <s:c r="B23167" s="121" t="n"/>
      <s:c r="C23167" s="121" t="n"/>
      <s:c r="D23167" s="121" t="n"/>
      <s:c r="E23167" s="122" t="n"/>
    </s:row>
    <s:row r="23168" hidden="1" ht="1" customHeight="1">
      <s:c r="A23168" s="120" t="inlineStr"/>
      <s:c r="B23168" s="121" t="n"/>
      <s:c r="C23168" s="121" t="n"/>
      <s:c r="D23168" s="121" t="n"/>
      <s:c r="E23168" s="122" t="n"/>
    </s:row>
    <s:row r="23169" hidden="1" ht="1" customHeight="1">
      <s:c r="A23169" s="120" t="inlineStr"/>
      <s:c r="B23169" s="121" t="n"/>
      <s:c r="C23169" s="121" t="n"/>
      <s:c r="D23169" s="121" t="n"/>
      <s:c r="E23169" s="122" t="n"/>
    </s:row>
    <s:row r="23170" hidden="1" ht="1" customHeight="1">
      <s:c r="A23170" s="120" t="inlineStr"/>
      <s:c r="B23170" s="121" t="n"/>
      <s:c r="C23170" s="121" t="n"/>
      <s:c r="D23170" s="121" t="n"/>
      <s:c r="E23170" s="122" t="n"/>
    </s:row>
    <s:row r="23171" hidden="1" ht="1" customHeight="1">
      <s:c r="A23171" s="120" t="inlineStr"/>
      <s:c r="B23171" s="121" t="n"/>
      <s:c r="C23171" s="121" t="n"/>
      <s:c r="D23171" s="121" t="n"/>
      <s:c r="E23171" s="122" t="n"/>
    </s:row>
    <s:row r="23172" hidden="1" ht="1" customHeight="1">
      <s:c r="A23172" s="120" t="inlineStr"/>
      <s:c r="B23172" s="121" t="n"/>
      <s:c r="C23172" s="121" t="n"/>
      <s:c r="D23172" s="121" t="n"/>
      <s:c r="E23172" s="122" t="n"/>
    </s:row>
    <s:row r="23173" hidden="1" ht="1" customHeight="1">
      <s:c r="A23173" s="120" t="inlineStr"/>
      <s:c r="B23173" s="121" t="n"/>
      <s:c r="C23173" s="121" t="n"/>
      <s:c r="D23173" s="121" t="n"/>
      <s:c r="E23173" s="122" t="n"/>
    </s:row>
    <s:row r="23174" hidden="1" ht="1" customHeight="1">
      <s:c r="A23174" s="120" t="inlineStr"/>
      <s:c r="B23174" s="121" t="n"/>
      <s:c r="C23174" s="121" t="n"/>
      <s:c r="D23174" s="121" t="n"/>
      <s:c r="E23174" s="122" t="n"/>
    </s:row>
    <s:row r="23175" hidden="1" ht="1" customHeight="1">
      <s:c r="A23175" s="120" t="inlineStr"/>
      <s:c r="B23175" s="121" t="n"/>
      <s:c r="C23175" s="121" t="n"/>
      <s:c r="D23175" s="121" t="n"/>
      <s:c r="E23175" s="122" t="n"/>
    </s:row>
    <s:row r="23176" hidden="1" ht="1" customHeight="1">
      <s:c r="A23176" s="120" t="inlineStr"/>
      <s:c r="B23176" s="121" t="n"/>
      <s:c r="C23176" s="121" t="n"/>
      <s:c r="D23176" s="121" t="n"/>
      <s:c r="E23176" s="122" t="n"/>
    </s:row>
    <s:row r="23177" hidden="1" ht="1" customHeight="1">
      <s:c r="A23177" s="120" t="inlineStr"/>
      <s:c r="B23177" s="121" t="n"/>
      <s:c r="C23177" s="121" t="n"/>
      <s:c r="D23177" s="121" t="n"/>
      <s:c r="E23177" s="122" t="n"/>
    </s:row>
    <s:row r="23178" hidden="1" ht="1" customHeight="1">
      <s:c r="A23178" s="120" t="inlineStr"/>
      <s:c r="B23178" s="121" t="n"/>
      <s:c r="C23178" s="121" t="n"/>
      <s:c r="D23178" s="121" t="n"/>
      <s:c r="E23178" s="122" t="n"/>
    </s:row>
    <s:row r="23179" hidden="1" ht="1" customHeight="1">
      <s:c r="A23179" s="120" t="inlineStr"/>
      <s:c r="B23179" s="121" t="n"/>
      <s:c r="C23179" s="121" t="n"/>
      <s:c r="D23179" s="121" t="n"/>
      <s:c r="E23179" s="122" t="n"/>
    </s:row>
    <s:row r="23180" hidden="1" ht="1" customHeight="1">
      <s:c r="A23180" s="120" t="inlineStr"/>
      <s:c r="B23180" s="121" t="n"/>
      <s:c r="C23180" s="121" t="n"/>
      <s:c r="D23180" s="121" t="n"/>
      <s:c r="E23180" s="122" t="n"/>
    </s:row>
    <s:row r="23181" hidden="1" ht="1" customHeight="1">
      <s:c r="A23181" s="120" t="inlineStr"/>
      <s:c r="B23181" s="121" t="n"/>
      <s:c r="C23181" s="121" t="n"/>
      <s:c r="D23181" s="121" t="n"/>
      <s:c r="E23181" s="122" t="n"/>
    </s:row>
    <s:row r="23182" hidden="1" ht="1" customHeight="1">
      <s:c r="A23182" s="120" t="inlineStr"/>
      <s:c r="B23182" s="121" t="n"/>
      <s:c r="C23182" s="121" t="n"/>
      <s:c r="D23182" s="121" t="n"/>
      <s:c r="E23182" s="122" t="n"/>
    </s:row>
    <s:row r="23183" hidden="1" ht="1" customHeight="1">
      <s:c r="A23183" s="120" t="inlineStr"/>
      <s:c r="B23183" s="121" t="n"/>
      <s:c r="C23183" s="121" t="n"/>
      <s:c r="D23183" s="121" t="n"/>
      <s:c r="E23183" s="122" t="n"/>
    </s:row>
    <s:row r="23184" hidden="1" ht="1" customHeight="1">
      <s:c r="A23184" s="120" t="inlineStr"/>
      <s:c r="B23184" s="121" t="n"/>
      <s:c r="C23184" s="121" t="n"/>
      <s:c r="D23184" s="121" t="n"/>
      <s:c r="E23184" s="122" t="n"/>
    </s:row>
    <s:row r="23185" hidden="1" ht="1" customHeight="1">
      <s:c r="A23185" s="120" t="inlineStr"/>
      <s:c r="B23185" s="121" t="n"/>
      <s:c r="C23185" s="121" t="n"/>
      <s:c r="D23185" s="121" t="n"/>
      <s:c r="E23185" s="122" t="n"/>
    </s:row>
    <s:row r="23186" hidden="1" ht="1" customHeight="1">
      <s:c r="A23186" s="120" t="inlineStr"/>
      <s:c r="B23186" s="121" t="n"/>
      <s:c r="C23186" s="121" t="n"/>
      <s:c r="D23186" s="121" t="n"/>
      <s:c r="E23186" s="122" t="n"/>
    </s:row>
    <s:row r="23187" hidden="1" ht="1" customHeight="1">
      <s:c r="A23187" s="120" t="inlineStr"/>
      <s:c r="B23187" s="121" t="n"/>
      <s:c r="C23187" s="121" t="n"/>
      <s:c r="D23187" s="121" t="n"/>
      <s:c r="E23187" s="122" t="n"/>
    </s:row>
    <s:row r="23188" hidden="1" ht="1" customHeight="1">
      <s:c r="A23188" s="120" t="inlineStr"/>
      <s:c r="B23188" s="121" t="n"/>
      <s:c r="C23188" s="121" t="n"/>
      <s:c r="D23188" s="121" t="n"/>
      <s:c r="E23188" s="122" t="n"/>
    </s:row>
    <s:row r="23189" hidden="1" ht="1" customHeight="1">
      <s:c r="A23189" s="120" t="inlineStr"/>
      <s:c r="B23189" s="121" t="n"/>
      <s:c r="C23189" s="121" t="n"/>
      <s:c r="D23189" s="121" t="n"/>
      <s:c r="E23189" s="122" t="n"/>
    </s:row>
    <s:row r="23190" hidden="1" ht="1" customHeight="1">
      <s:c r="A23190" s="120" t="inlineStr"/>
      <s:c r="B23190" s="121" t="n"/>
      <s:c r="C23190" s="121" t="n"/>
      <s:c r="D23190" s="121" t="n"/>
      <s:c r="E23190" s="122" t="n"/>
    </s:row>
    <s:row r="23191" hidden="1" ht="1" customHeight="1">
      <s:c r="A23191" s="120" t="inlineStr"/>
      <s:c r="B23191" s="121" t="n"/>
      <s:c r="C23191" s="121" t="n"/>
      <s:c r="D23191" s="121" t="n"/>
      <s:c r="E23191" s="122" t="n"/>
    </s:row>
    <s:row r="23192" hidden="1" ht="1" customHeight="1">
      <s:c r="A23192" s="120" t="inlineStr"/>
      <s:c r="B23192" s="121" t="n"/>
      <s:c r="C23192" s="121" t="n"/>
      <s:c r="D23192" s="121" t="n"/>
      <s:c r="E23192" s="122" t="n"/>
    </s:row>
    <s:row r="23193" hidden="1" ht="1" customHeight="1">
      <s:c r="A23193" s="120" t="inlineStr"/>
      <s:c r="B23193" s="121" t="n"/>
      <s:c r="C23193" s="121" t="n"/>
      <s:c r="D23193" s="121" t="n"/>
      <s:c r="E23193" s="122" t="n"/>
    </s:row>
    <s:row r="23194" hidden="1" ht="1" customHeight="1">
      <s:c r="A23194" s="120" t="inlineStr"/>
      <s:c r="B23194" s="121" t="n"/>
      <s:c r="C23194" s="121" t="n"/>
      <s:c r="D23194" s="121" t="n"/>
      <s:c r="E23194" s="122" t="n"/>
    </s:row>
    <s:row r="23195" hidden="1" ht="1" customHeight="1">
      <s:c r="A23195" s="120" t="inlineStr"/>
      <s:c r="B23195" s="121" t="n"/>
      <s:c r="C23195" s="121" t="n"/>
      <s:c r="D23195" s="121" t="n"/>
      <s:c r="E23195" s="122" t="n"/>
    </s:row>
    <s:row r="23196" hidden="1" ht="1" customHeight="1">
      <s:c r="A23196" s="120" t="inlineStr"/>
      <s:c r="B23196" s="121" t="n"/>
      <s:c r="C23196" s="121" t="n"/>
      <s:c r="D23196" s="121" t="n"/>
      <s:c r="E23196" s="122" t="n"/>
    </s:row>
    <s:row r="23197" hidden="1" ht="1" customHeight="1">
      <s:c r="A23197" s="120" t="inlineStr"/>
      <s:c r="B23197" s="121" t="n"/>
      <s:c r="C23197" s="121" t="n"/>
      <s:c r="D23197" s="121" t="n"/>
      <s:c r="E23197" s="122" t="n"/>
    </s:row>
    <s:row r="23198" hidden="1" ht="1" customHeight="1">
      <s:c r="A23198" s="120" t="inlineStr"/>
      <s:c r="B23198" s="121" t="n"/>
      <s:c r="C23198" s="121" t="n"/>
      <s:c r="D23198" s="121" t="n"/>
      <s:c r="E23198" s="122" t="n"/>
    </s:row>
    <s:row r="23199" hidden="1" ht="1" customHeight="1">
      <s:c r="A23199" s="120" t="inlineStr"/>
      <s:c r="B23199" s="121" t="n"/>
      <s:c r="C23199" s="121" t="n"/>
      <s:c r="D23199" s="121" t="n"/>
      <s:c r="E23199" s="122" t="n"/>
    </s:row>
    <s:row r="23200" hidden="1" ht="1" customHeight="1">
      <s:c r="A23200" s="120" t="inlineStr"/>
      <s:c r="B23200" s="121" t="n"/>
      <s:c r="C23200" s="121" t="n"/>
      <s:c r="D23200" s="121" t="n"/>
      <s:c r="E23200" s="122" t="n"/>
    </s:row>
    <s:row r="23201" hidden="1" ht="1" customHeight="1">
      <s:c r="A23201" s="120" t="inlineStr"/>
      <s:c r="B23201" s="121" t="n"/>
      <s:c r="C23201" s="121" t="n"/>
      <s:c r="D23201" s="121" t="n"/>
      <s:c r="E23201" s="122" t="n"/>
    </s:row>
    <s:row r="23202" hidden="1" ht="1" customHeight="1">
      <s:c r="A23202" s="120" t="inlineStr"/>
      <s:c r="B23202" s="121" t="n"/>
      <s:c r="C23202" s="121" t="n"/>
      <s:c r="D23202" s="121" t="n"/>
      <s:c r="E23202" s="122" t="n"/>
    </s:row>
    <s:row r="23203" hidden="1" ht="1" customHeight="1">
      <s:c r="A23203" s="120" t="inlineStr"/>
      <s:c r="B23203" s="121" t="n"/>
      <s:c r="C23203" s="121" t="n"/>
      <s:c r="D23203" s="121" t="n"/>
      <s:c r="E23203" s="122" t="n"/>
    </s:row>
    <s:row r="23204" hidden="1" ht="1" customHeight="1">
      <s:c r="A23204" s="120" t="inlineStr"/>
      <s:c r="B23204" s="121" t="n"/>
      <s:c r="C23204" s="121" t="n"/>
      <s:c r="D23204" s="121" t="n"/>
      <s:c r="E23204" s="122" t="n"/>
    </s:row>
    <s:row r="23205" hidden="1" ht="1" customHeight="1">
      <s:c r="A23205" s="120" t="inlineStr"/>
      <s:c r="B23205" s="121" t="n"/>
      <s:c r="C23205" s="121" t="n"/>
      <s:c r="D23205" s="121" t="n"/>
      <s:c r="E23205" s="122" t="n"/>
    </s:row>
    <s:row r="23206" hidden="1" ht="1" customHeight="1">
      <s:c r="A23206" s="120" t="inlineStr"/>
      <s:c r="B23206" s="121" t="n"/>
      <s:c r="C23206" s="121" t="n"/>
      <s:c r="D23206" s="121" t="n"/>
      <s:c r="E23206" s="122" t="n"/>
    </s:row>
    <s:row r="23207" hidden="1" ht="1" customHeight="1">
      <s:c r="A23207" s="120" t="inlineStr"/>
      <s:c r="B23207" s="121" t="n"/>
      <s:c r="C23207" s="121" t="n"/>
      <s:c r="D23207" s="121" t="n"/>
      <s:c r="E23207" s="122" t="n"/>
    </s:row>
    <s:row r="23208" hidden="1" ht="1" customHeight="1">
      <s:c r="A23208" s="120" t="inlineStr"/>
      <s:c r="B23208" s="121" t="n"/>
      <s:c r="C23208" s="121" t="n"/>
      <s:c r="D23208" s="121" t="n"/>
      <s:c r="E23208" s="122" t="n"/>
    </s:row>
    <s:row r="23209" hidden="1" ht="1" customHeight="1">
      <s:c r="A23209" s="120" t="inlineStr"/>
      <s:c r="B23209" s="121" t="n"/>
      <s:c r="C23209" s="121" t="n"/>
      <s:c r="D23209" s="121" t="n"/>
      <s:c r="E23209" s="122" t="n"/>
    </s:row>
    <s:row r="23210" hidden="1" ht="1" customHeight="1">
      <s:c r="A23210" s="120" t="inlineStr"/>
      <s:c r="B23210" s="121" t="n"/>
      <s:c r="C23210" s="121" t="n"/>
      <s:c r="D23210" s="121" t="n"/>
      <s:c r="E23210" s="122" t="n"/>
    </s:row>
    <s:row r="23211" hidden="1" ht="1" customHeight="1">
      <s:c r="A23211" s="120" t="inlineStr"/>
      <s:c r="B23211" s="121" t="n"/>
      <s:c r="C23211" s="121" t="n"/>
      <s:c r="D23211" s="121" t="n"/>
      <s:c r="E23211" s="122" t="n"/>
    </s:row>
    <s:row r="23212" hidden="1" ht="1" customHeight="1">
      <s:c r="A23212" s="120" t="inlineStr"/>
      <s:c r="B23212" s="121" t="n"/>
      <s:c r="C23212" s="121" t="n"/>
      <s:c r="D23212" s="121" t="n"/>
      <s:c r="E23212" s="122" t="n"/>
    </s:row>
    <s:row r="23213" hidden="1" ht="1" customHeight="1">
      <s:c r="A23213" s="120" t="inlineStr"/>
      <s:c r="B23213" s="121" t="n"/>
      <s:c r="C23213" s="121" t="n"/>
      <s:c r="D23213" s="121" t="n"/>
      <s:c r="E23213" s="122" t="n"/>
    </s:row>
    <s:row r="23214" hidden="1" ht="1" customHeight="1">
      <s:c r="A23214" s="120" t="inlineStr"/>
      <s:c r="B23214" s="121" t="n"/>
      <s:c r="C23214" s="121" t="n"/>
      <s:c r="D23214" s="121" t="n"/>
      <s:c r="E23214" s="122" t="n"/>
    </s:row>
    <s:row r="23215" hidden="1" ht="1" customHeight="1">
      <s:c r="A23215" s="120" t="inlineStr"/>
      <s:c r="B23215" s="121" t="n"/>
      <s:c r="C23215" s="121" t="n"/>
      <s:c r="D23215" s="121" t="n"/>
      <s:c r="E23215" s="122" t="n"/>
    </s:row>
    <s:row r="23216" hidden="1" ht="1" customHeight="1">
      <s:c r="A23216" s="120" t="inlineStr"/>
      <s:c r="B23216" s="121" t="n"/>
      <s:c r="C23216" s="121" t="n"/>
      <s:c r="D23216" s="121" t="n"/>
      <s:c r="E23216" s="122" t="n"/>
    </s:row>
    <s:row r="23217" hidden="1" ht="1" customHeight="1">
      <s:c r="A23217" s="120" t="inlineStr"/>
      <s:c r="B23217" s="121" t="n"/>
      <s:c r="C23217" s="121" t="n"/>
      <s:c r="D23217" s="121" t="n"/>
      <s:c r="E23217" s="122" t="n"/>
    </s:row>
    <s:row r="23218" hidden="1" ht="1" customHeight="1">
      <s:c r="A23218" s="120" t="inlineStr"/>
      <s:c r="B23218" s="121" t="n"/>
      <s:c r="C23218" s="121" t="n"/>
      <s:c r="D23218" s="121" t="n"/>
      <s:c r="E23218" s="122" t="n"/>
    </s:row>
    <s:row r="23219" hidden="1" ht="1" customHeight="1">
      <s:c r="A23219" s="120" t="inlineStr"/>
      <s:c r="B23219" s="121" t="n"/>
      <s:c r="C23219" s="121" t="n"/>
      <s:c r="D23219" s="121" t="n"/>
      <s:c r="E23219" s="122" t="n"/>
    </s:row>
    <s:row r="23220" hidden="1" ht="1" customHeight="1">
      <s:c r="A23220" s="120" t="inlineStr"/>
      <s:c r="B23220" s="121" t="n"/>
      <s:c r="C23220" s="121" t="n"/>
      <s:c r="D23220" s="121" t="n"/>
      <s:c r="E23220" s="122" t="n"/>
    </s:row>
    <s:row r="23221" hidden="1" ht="1" customHeight="1">
      <s:c r="A23221" s="120" t="inlineStr"/>
      <s:c r="B23221" s="121" t="n"/>
      <s:c r="C23221" s="121" t="n"/>
      <s:c r="D23221" s="121" t="n"/>
      <s:c r="E23221" s="122" t="n"/>
    </s:row>
    <s:row r="23222" hidden="1" ht="1" customHeight="1">
      <s:c r="A23222" s="120" t="inlineStr"/>
      <s:c r="B23222" s="121" t="n"/>
      <s:c r="C23222" s="121" t="n"/>
      <s:c r="D23222" s="121" t="n"/>
      <s:c r="E23222" s="122" t="n"/>
    </s:row>
    <s:row r="23223" hidden="1" ht="1" customHeight="1">
      <s:c r="A23223" s="120" t="inlineStr"/>
      <s:c r="B23223" s="121" t="n"/>
      <s:c r="C23223" s="121" t="n"/>
      <s:c r="D23223" s="121" t="n"/>
      <s:c r="E23223" s="122" t="n"/>
    </s:row>
    <s:row r="23224" hidden="1" ht="1" customHeight="1">
      <s:c r="A23224" s="120" t="inlineStr"/>
      <s:c r="B23224" s="121" t="n"/>
      <s:c r="C23224" s="121" t="n"/>
      <s:c r="D23224" s="121" t="n"/>
      <s:c r="E23224" s="122" t="n"/>
    </s:row>
    <s:row r="23225" hidden="1" ht="1" customHeight="1">
      <s:c r="A23225" s="120" t="inlineStr"/>
      <s:c r="B23225" s="121" t="n"/>
      <s:c r="C23225" s="121" t="n"/>
      <s:c r="D23225" s="121" t="n"/>
      <s:c r="E23225" s="122" t="n"/>
    </s:row>
    <s:row r="23226" hidden="1" ht="1" customHeight="1">
      <s:c r="A23226" s="120" t="inlineStr"/>
      <s:c r="B23226" s="121" t="n"/>
      <s:c r="C23226" s="121" t="n"/>
      <s:c r="D23226" s="121" t="n"/>
      <s:c r="E23226" s="122" t="n"/>
    </s:row>
    <s:row r="23227" hidden="1" ht="1" customHeight="1">
      <s:c r="A23227" s="120" t="inlineStr"/>
      <s:c r="B23227" s="121" t="n"/>
      <s:c r="C23227" s="121" t="n"/>
      <s:c r="D23227" s="121" t="n"/>
      <s:c r="E23227" s="122" t="n"/>
    </s:row>
    <s:row r="23228" hidden="1" ht="1" customHeight="1">
      <s:c r="A23228" s="120" t="inlineStr"/>
      <s:c r="B23228" s="121" t="n"/>
      <s:c r="C23228" s="121" t="n"/>
      <s:c r="D23228" s="121" t="n"/>
      <s:c r="E23228" s="122" t="n"/>
    </s:row>
    <s:row r="23229" hidden="1" ht="1" customHeight="1">
      <s:c r="A23229" s="120" t="inlineStr"/>
      <s:c r="B23229" s="121" t="n"/>
      <s:c r="C23229" s="121" t="n"/>
      <s:c r="D23229" s="121" t="n"/>
      <s:c r="E23229" s="122" t="n"/>
    </s:row>
    <s:row r="23230" hidden="1" ht="1" customHeight="1">
      <s:c r="A23230" s="120" t="inlineStr"/>
      <s:c r="B23230" s="121" t="n"/>
      <s:c r="C23230" s="121" t="n"/>
      <s:c r="D23230" s="121" t="n"/>
      <s:c r="E23230" s="122" t="n"/>
    </s:row>
    <s:row r="23231" hidden="1" ht="1" customHeight="1">
      <s:c r="A23231" s="120" t="inlineStr"/>
      <s:c r="B23231" s="121" t="n"/>
      <s:c r="C23231" s="121" t="n"/>
      <s:c r="D23231" s="121" t="n"/>
      <s:c r="E23231" s="122" t="n"/>
    </s:row>
    <s:row r="23232" hidden="1" ht="1" customHeight="1">
      <s:c r="A23232" s="120" t="inlineStr"/>
      <s:c r="B23232" s="121" t="n"/>
      <s:c r="C23232" s="121" t="n"/>
      <s:c r="D23232" s="121" t="n"/>
      <s:c r="E23232" s="122" t="n"/>
    </s:row>
    <s:row r="23233" hidden="1" ht="1" customHeight="1">
      <s:c r="A23233" s="120" t="inlineStr"/>
      <s:c r="B23233" s="121" t="n"/>
      <s:c r="C23233" s="121" t="n"/>
      <s:c r="D23233" s="121" t="n"/>
      <s:c r="E23233" s="122" t="n"/>
    </s:row>
    <s:row r="23234" hidden="1" ht="1" customHeight="1">
      <s:c r="A23234" s="120" t="inlineStr"/>
      <s:c r="B23234" s="121" t="n"/>
      <s:c r="C23234" s="121" t="n"/>
      <s:c r="D23234" s="121" t="n"/>
      <s:c r="E23234" s="122" t="n"/>
    </s:row>
    <s:row r="23235" hidden="1" ht="1" customHeight="1">
      <s:c r="A23235" s="120" t="inlineStr"/>
      <s:c r="B23235" s="121" t="n"/>
      <s:c r="C23235" s="121" t="n"/>
      <s:c r="D23235" s="121" t="n"/>
      <s:c r="E23235" s="122" t="n"/>
    </s:row>
    <s:row r="23236" hidden="1" ht="1" customHeight="1">
      <s:c r="A23236" s="120" t="inlineStr"/>
      <s:c r="B23236" s="121" t="n"/>
      <s:c r="C23236" s="121" t="n"/>
      <s:c r="D23236" s="121" t="n"/>
      <s:c r="E23236" s="122" t="n"/>
    </s:row>
    <s:row r="23237" hidden="1" ht="1" customHeight="1">
      <s:c r="A23237" s="120" t="inlineStr"/>
      <s:c r="B23237" s="121" t="n"/>
      <s:c r="C23237" s="121" t="n"/>
      <s:c r="D23237" s="121" t="n"/>
      <s:c r="E23237" s="122" t="n"/>
    </s:row>
    <s:row r="23238" hidden="1" ht="1" customHeight="1">
      <s:c r="A23238" s="120" t="inlineStr"/>
      <s:c r="B23238" s="121" t="n"/>
      <s:c r="C23238" s="121" t="n"/>
      <s:c r="D23238" s="121" t="n"/>
      <s:c r="E23238" s="122" t="n"/>
    </s:row>
    <s:row r="23239" hidden="1" ht="1" customHeight="1">
      <s:c r="A23239" s="120" t="inlineStr"/>
      <s:c r="B23239" s="121" t="n"/>
      <s:c r="C23239" s="121" t="n"/>
      <s:c r="D23239" s="121" t="n"/>
      <s:c r="E23239" s="122" t="n"/>
    </s:row>
    <s:row r="23240" hidden="1" ht="1" customHeight="1">
      <s:c r="A23240" s="120" t="inlineStr"/>
      <s:c r="B23240" s="121" t="n"/>
      <s:c r="C23240" s="121" t="n"/>
      <s:c r="D23240" s="121" t="n"/>
      <s:c r="E23240" s="122" t="n"/>
    </s:row>
    <s:row r="23241" hidden="1" ht="1" customHeight="1">
      <s:c r="A23241" s="120" t="inlineStr"/>
      <s:c r="B23241" s="121" t="n"/>
      <s:c r="C23241" s="121" t="n"/>
      <s:c r="D23241" s="121" t="n"/>
      <s:c r="E23241" s="122" t="n"/>
    </s:row>
    <s:row r="23242" hidden="1" ht="1" customHeight="1">
      <s:c r="A23242" s="120" t="inlineStr"/>
      <s:c r="B23242" s="121" t="n"/>
      <s:c r="C23242" s="121" t="n"/>
      <s:c r="D23242" s="121" t="n"/>
      <s:c r="E23242" s="122" t="n"/>
    </s:row>
    <s:row r="23243" hidden="1" ht="1" customHeight="1">
      <s:c r="A23243" s="120" t="inlineStr"/>
      <s:c r="B23243" s="121" t="n"/>
      <s:c r="C23243" s="121" t="n"/>
      <s:c r="D23243" s="121" t="n"/>
      <s:c r="E23243" s="122" t="n"/>
    </s:row>
    <s:row r="23244" hidden="1" ht="1" customHeight="1">
      <s:c r="A23244" s="120" t="inlineStr"/>
      <s:c r="B23244" s="121" t="n"/>
      <s:c r="C23244" s="121" t="n"/>
      <s:c r="D23244" s="121" t="n"/>
      <s:c r="E23244" s="122" t="n"/>
    </s:row>
    <s:row r="23245" hidden="1" ht="1" customHeight="1">
      <s:c r="A23245" s="120" t="inlineStr"/>
      <s:c r="B23245" s="121" t="n"/>
      <s:c r="C23245" s="121" t="n"/>
      <s:c r="D23245" s="121" t="n"/>
      <s:c r="E23245" s="122" t="n"/>
    </s:row>
    <s:row r="23246" hidden="1" ht="1" customHeight="1">
      <s:c r="A23246" s="120" t="inlineStr"/>
      <s:c r="B23246" s="121" t="n"/>
      <s:c r="C23246" s="121" t="n"/>
      <s:c r="D23246" s="121" t="n"/>
      <s:c r="E23246" s="122" t="n"/>
    </s:row>
    <s:row r="23247" hidden="1" ht="1" customHeight="1">
      <s:c r="A23247" s="83" t="inlineStr">
        <s:is>
          <s:t>PASS</s:t>
        </s:is>
      </s:c>
      <s:c r="B23247" s="83">
        <s:f>SUM(IF(EXACT('Kiểm thử'!E22697,"Đạt"),1,0),IF(EXACT('Kiểm thử'!E22699,"Đạt"),1,0),IF(EXACT('Kiểm thử'!E22701,"Đạt"),1,0),IF(EXACT('Kiểm thử'!E22703,"Đạt"),1,0),IF(EXACT('Kiểm thử'!E22705,"Đạt"),1,0),IF(EXACT('Kiểm thử'!E22707,"Đạt"),1,0),IF(EXACT('Kiểm thử'!E22709,"Đạt"),1,0),IF(EXACT('Kiểm thử'!E22711,"Đạt"),1,0),IF(EXACT('Kiểm thử'!E22713,"Đạt"),1,0),IF(EXACT('Kiểm thử'!E22715,"Đạt"),1,0),IF(EXACT('Kiểm thử'!E22717,"Đạt"),1,0))</s:f>
        <s:v/>
      </s:c>
      <s:c r="C23247" s="19" t="n"/>
      <s:c r="D23247" s="19" t="n"/>
      <s:c r="E23247" s="19" t="n"/>
    </s:row>
    <s:row r="23248" hidden="1" ht="1" customHeight="1">
      <s:c r="A23248" s="83" t="inlineStr">
        <s:is>
          <s:t>FAIL</s:t>
        </s:is>
      </s:c>
      <s:c r="B23248" s="83">
        <s:f>SUM(IF(EXACT('Kiểm thử'!E22697,"Không đạt"),1,0),IF(EXACT('Kiểm thử'!E22699,"Không đạt"),1,0),IF(EXACT('Kiểm thử'!E22701,"Không đạt"),1,0),IF(EXACT('Kiểm thử'!E22703,"Không đạt"),1,0),IF(EXACT('Kiểm thử'!E22705,"Không đạt"),1,0),IF(EXACT('Kiểm thử'!E22707,"Không đạt"),1,0),IF(EXACT('Kiểm thử'!E22709,"Không đạt"),1,0),IF(EXACT('Kiểm thử'!E22711,"Không đạt"),1,0),IF(EXACT('Kiểm thử'!E22713,"Không đạt"),1,0),IF(EXACT('Kiểm thử'!E22715,"Không đạt"),1,0),IF(EXACT('Kiểm thử'!E22717,"Không đạt"),1,0))</s:f>
        <s:v/>
      </s:c>
      <s:c r="C23248" s="19" t="n"/>
      <s:c r="D23248" s="19" t="n"/>
      <s:c r="E23248" s="19" t="n"/>
    </s:row>
    <s:row r="23249" hidden="1" ht="1" customHeight="1">
      <s:c r="A23249" s="83" t="inlineStr">
        <s:is>
          <s:t>BLOCKED</s:t>
        </s:is>
      </s:c>
      <s:c r="B23249" s="83">
        <s:f>SUM(IF(EXACT('Kiểm thử'!E22697,"Bị chặn"),1,0),IF(EXACT('Kiểm thử'!E22699,"Bị chặn"),1,0),IF(EXACT('Kiểm thử'!E22701,"Bị chặn"),1,0),IF(EXACT('Kiểm thử'!E22703,"Bị chặn"),1,0),IF(EXACT('Kiểm thử'!E22705,"Bị chặn"),1,0),IF(EXACT('Kiểm thử'!E22707,"Bị chặn"),1,0),IF(EXACT('Kiểm thử'!E22709,"Bị chặn"),1,0),IF(EXACT('Kiểm thử'!E22711,"Bị chặn"),1,0),IF(EXACT('Kiểm thử'!E22713,"Bị chặn"),1,0),IF(EXACT('Kiểm thử'!E22715,"Bị chặn"),1,0),IF(EXACT('Kiểm thử'!E22717,"Bị chặn"),1,0))</s:f>
        <s:v/>
      </s:c>
      <s:c r="C23249" s="19" t="n"/>
      <s:c r="D23249" s="19" t="n"/>
      <s:c r="E23249" s="19" t="n"/>
    </s:row>
    <s:row r="23250" hidden="1" ht="1" customHeight="1">
      <s:c r="A23250" s="83" t="inlineStr">
        <s:is>
          <s:t>SKIPPED</s:t>
        </s:is>
      </s:c>
      <s:c r="B23250" s="83">
        <s:f>SUM(IF(EXACT('Kiểm thử'!E22697,"Không thực hiện"),1,0),IF(EXACT('Kiểm thử'!E22699,"Không thực hiện"),1,0),IF(EXACT('Kiểm thử'!E22701,"Không thực hiện"),1,0),IF(EXACT('Kiểm thử'!E22703,"Không thực hiện"),1,0),IF(EXACT('Kiểm thử'!E22705,"Không thực hiện"),1,0),IF(EXACT('Kiểm thử'!E22707,"Không thực hiện"),1,0),IF(EXACT('Kiểm thử'!E22709,"Không thực hiện"),1,0),IF(EXACT('Kiểm thử'!E22711,"Không thực hiện"),1,0),IF(EXACT('Kiểm thử'!E22713,"Không thực hiện"),1,0),IF(EXACT('Kiểm thử'!E22715,"Không thực hiện"),1,0),IF(EXACT('Kiểm thử'!E22717,"Không thực hiện"),1,0))</s:f>
        <s:v/>
      </s:c>
      <s:c r="C23250" s="19" t="n"/>
      <s:c r="D23250" s="19" t="n"/>
      <s:c r="E23250" s="19" t="n"/>
    </s:row>
    <s:row r="23251" hidden="1" ht="1" customHeight="1">
      <s:c r="A23251" s="83" t="inlineStr">
        <s:is>
          <s:t>NOT RUN</s:t>
        </s:is>
      </s:c>
      <s:c r="B23251" s="83">
        <s:f>SUM(IF(EXACT('Kiểm thử'!E22697,"Chưa thực hiện"),1,0),IF(EXACT('Kiểm thử'!E22699,"Chưa thực hiện"),1,0),IF(EXACT('Kiểm thử'!E22701,"Chưa thực hiện"),1,0),IF(EXACT('Kiểm thử'!E22703,"Chưa thực hiện"),1,0),IF(EXACT('Kiểm thử'!E22705,"Chưa thực hiện"),1,0),IF(EXACT('Kiểm thử'!E22707,"Chưa thực hiện"),1,0),IF(EXACT('Kiểm thử'!E22709,"Chưa thực hiện"),1,0),IF(EXACT('Kiểm thử'!E22711,"Chưa thực hiện"),1,0),IF(EXACT('Kiểm thử'!E22713,"Chưa thực hiện"),1,0),IF(EXACT('Kiểm thử'!E22715,"Chưa thực hiện"),1,0),IF(EXACT('Kiểm thử'!E22717,"Chưa thực hiện"),1,0))</s:f>
        <s:v/>
      </s:c>
      <s:c r="C23251" s="19" t="n"/>
      <s:c r="D23251" s="19" t="n"/>
      <s:c r="E23251" s="19" t="n"/>
    </s:row>
    <s:row r="23252" hidden="1" ht="6" customHeight="1">
      <s:c r="A23252" s="83" t="inlineStr"/>
      <s:c r="B23252" s="19" t="n"/>
      <s:c r="C23252" s="19" t="n"/>
      <s:c r="D23252" s="19" t="n"/>
      <s:c r="E23252" s="19" t="n"/>
    </s:row>
    <s:row r="23253" ht="28" customHeight="1">
      <s:c r="A23253" s="108" t="inlineStr">
        <s:is>
          <s:t>TC-RS-ERR-008 — Gọi trực tiếp request chạy tính toán hàng loạt khi không có quyền chạy</s:t>
        </s:is>
      </s:c>
      <s:c r="B23253" s="111" t="n"/>
      <s:c r="C23253" s="111" t="n"/>
      <s:c r="D23253" s="111" t="n"/>
      <s:c r="E23253" s="111" t="n"/>
    </s:row>
    <s:row r="23254" ht="20" customHeight="1">
      <s:c r="A23254" s="112" t="inlineStr">
        <s:is>
          <s:t>Kết quả tình huống</s:t>
        </s:is>
      </s:c>
      <s:c r="B23254" s="113">
        <s:f>IF(SUM(IF(EXACT('Kiểm thử'!E23261,"Không đạt"),1,0))&gt;0,"Không đạt",IF(SUM(IF(EXACT('Kiểm thử'!E23261,"Đạt"),1,0))=1,"Đạt",IF(SUM(IF(EXACT('Kiểm thử'!E23261,"Không thực hiện"),1,0))=1,"Không thực hiện",IF(SUM(IF(EXACT('Kiểm thử'!E23261,"Bị chặn"),1,0))&gt;0,"Bị chặn",IF(SUM(IF(EXACT('Kiểm thử'!E23261,"Chưa thực hiện"),1,0))=1,"Chưa thực hiện","Đang thực hiện")))))</s:f>
        <s:v/>
      </s:c>
      <s:c r="C23254" s="114" t="n"/>
      <s:c r="D23254" s="114" t="n"/>
      <s:c r="E23254" s="114" t="n"/>
    </s:row>
    <s:row r="23255" ht="20" customHeight="1">
      <s:c r="A23255" s="112" t="inlineStr">
        <s:is>
          <s:t>Màn hình / chức năng</s:t>
        </s:is>
      </s:c>
      <s:c r="B23255" s="113" t="inlineStr">
        <s:is>
          <s:t>Quyền thao tác</s:t>
        </s:is>
      </s:c>
      <s:c r="C23255" s="28" t="n"/>
      <s:c r="D23255" s="28" t="n"/>
      <s:c r="E23255" s="28" t="n"/>
    </s:row>
    <s:row r="23256" ht="34" customHeight="1">
      <s:c r="A23256" s="112" t="inlineStr">
        <s:is>
          <s:t>Cấu hình</s:t>
        </s:is>
      </s:c>
      <s:c r="B23256" s="113" t="inlineStr">
        <s:is>
          <s:t>• Tài khoản sửa được mục nhưng không có quyền chạy hàng loạt;
• Bản ghi request chạy nút cam hợp lệ từ tài khoản có quyền chạy hàng loạt.</s:t>
        </s:is>
      </s:c>
      <s:c r="C23256" s="28" t="n"/>
      <s:c r="D23256" s="28" t="n"/>
      <s:c r="E23256" s="28" t="n"/>
    </s:row>
    <s:row r="23257" ht="34" customHeight="1">
      <s:c r="A23257" s="112" t="inlineStr">
        <s:is>
          <s:t>Dữ liệu test</s:t>
        </s:is>
      </s:c>
      <s:c r="B23257" s="113" t="inlineStr">
        <s:is>
          <s:t>• Tài khoản sửa được mục nhưng không có quyền chạy hàng loạt;
• Endpoint/request URL lấy từ route hiện hành của build, không ghi URL giả định vào oracle.</s:t>
        </s:is>
      </s:c>
      <s:c r="C23257" s="28" t="n"/>
      <s:c r="D23257" s="28" t="n"/>
      <s:c r="E23257" s="28" t="n"/>
    </s:row>
    <s:row r="23258" ht="34" customHeight="1">
      <s:c r="A23258" s="112" t="inlineStr">
        <s:is>
          <s:t>•</s:t>
        </s:is>
      </s:c>
      <s:c r="B23258" s="113" t="inlineStr">
        <s:is>
          <s:t>Dùng phiên tài khoản sửa được mục nhưng không có quyền chạy hàng loạt gửi request chạy tính toán hàng loạt cho khối 1.</s:t>
        </s:is>
      </s:c>
      <s:c r="C23258" s="28" t="n"/>
      <s:c r="D23258" s="28" t="n"/>
      <s:c r="E23258" s="28" t="n"/>
    </s:row>
    <s:row r="23259" ht="28" customHeight="1">
      <s:c r="A23259" s="115" t="inlineStr">
        <s:is>
          <s:t>Trường hợp</s:t>
        </s:is>
      </s:c>
      <s:c r="B23259" s="115" t="inlineStr">
        <s:is>
          <s:t>Dữ liệu / thao tác riêng</s:t>
        </s:is>
      </s:c>
      <s:c r="C23259" s="115" t="inlineStr">
        <s:is>
          <s:t>Kết quả mong đợi</s:t>
        </s:is>
      </s:c>
      <s:c r="D23259" s="115" t="inlineStr">
        <s:is>
          <s:t>Kết quả thực tế</s:t>
        </s:is>
      </s:c>
      <s:c r="E23259" s="115" t="inlineStr">
        <s:is>
          <s:t>Đánh giá</s:t>
        </s:is>
      </s:c>
    </s:row>
    <s:row r="23260" ht="3" customHeight="1">
      <s:c r="A23260" s="102" t="inlineStr"/>
      <s:c r="B23260" s="99" t="n"/>
      <s:c r="C23260" s="99" t="n"/>
      <s:c r="D23260" s="116" t="n"/>
      <s:c r="E23260" s="116" t="n"/>
    </s:row>
    <s:row r="23261" ht="90" customHeight="1">
      <s:c r="A23261" s="83" t="inlineStr">
        <s:is>
          <s:t>Trường hợp cơ bản (Base)</s:t>
        </s:is>
      </s:c>
      <s:c r="B23261" s="83" t="inlineStr">
        <s:is>
          <s:t>Toàn bộ tình huống: Thực hiện đủ các bước chung theo thứ tự; kiểm cả đối tượng đích và đối chứng cùng fixture, không bỏ bước.</s:t>
        </s:is>
      </s:c>
      <s:c r="C23261" s="83" t="inlineStr">
        <s:is>
          <s:t>Kỳ vọng theo đặc tả v2: bị từ chối, không xếp hàng/không xét. Nếu chưa xác định được route hoặc seam request ở build đang kiểm, ghi BLOCKED/NEEDS_EVIDENCE thay vì READY; không biến việc thiếu URL thành kết quả đạt.</s:t>
        </s:is>
      </s:c>
      <s:c r="D23261" s="117" t="inlineStr"/>
      <s:c r="E23261" s="118" t="inlineStr">
        <s:is>
          <s:t>Chưa thực hiện</s:t>
        </s:is>
      </s:c>
    </s:row>
    <s:row r="23262" ht="20" customHeight="1">
      <s:c r="A23262" s="119" t="inlineStr">
        <s:is>
          <s:t>Ảnh minh chứng — Chưa có ảnh</s:t>
        </s:is>
      </s:c>
      <s:c r="B23262" s="19" t="n"/>
      <s:c r="C23262" s="19" t="n"/>
      <s:c r="D23262" s="19" t="n"/>
      <s:c r="E23262" s="19" t="n"/>
    </s:row>
    <s:row r="23263" hidden="1" ht="1" customHeight="1">
      <s:c r="A23263" s="120" t="inlineStr"/>
      <s:c r="B23263" s="121" t="n"/>
      <s:c r="C23263" s="121" t="n"/>
      <s:c r="D23263" s="121" t="n"/>
      <s:c r="E23263" s="122" t="n"/>
    </s:row>
    <s:row r="23264" hidden="1" ht="1" customHeight="1">
      <s:c r="A23264" s="120" t="inlineStr"/>
      <s:c r="B23264" s="121" t="n"/>
      <s:c r="C23264" s="121" t="n"/>
      <s:c r="D23264" s="121" t="n"/>
      <s:c r="E23264" s="122" t="n"/>
    </s:row>
    <s:row r="23265" hidden="1" ht="1" customHeight="1">
      <s:c r="A23265" s="120" t="inlineStr"/>
      <s:c r="B23265" s="121" t="n"/>
      <s:c r="C23265" s="121" t="n"/>
      <s:c r="D23265" s="121" t="n"/>
      <s:c r="E23265" s="122" t="n"/>
    </s:row>
    <s:row r="23266" hidden="1" ht="1" customHeight="1">
      <s:c r="A23266" s="120" t="inlineStr"/>
      <s:c r="B23266" s="121" t="n"/>
      <s:c r="C23266" s="121" t="n"/>
      <s:c r="D23266" s="121" t="n"/>
      <s:c r="E23266" s="122" t="n"/>
    </s:row>
    <s:row r="23267" hidden="1" ht="1" customHeight="1">
      <s:c r="A23267" s="120" t="inlineStr"/>
      <s:c r="B23267" s="121" t="n"/>
      <s:c r="C23267" s="121" t="n"/>
      <s:c r="D23267" s="121" t="n"/>
      <s:c r="E23267" s="122" t="n"/>
    </s:row>
    <s:row r="23268" hidden="1" ht="1" customHeight="1">
      <s:c r="A23268" s="120" t="inlineStr"/>
      <s:c r="B23268" s="121" t="n"/>
      <s:c r="C23268" s="121" t="n"/>
      <s:c r="D23268" s="121" t="n"/>
      <s:c r="E23268" s="122" t="n"/>
    </s:row>
    <s:row r="23269" hidden="1" ht="1" customHeight="1">
      <s:c r="A23269" s="120" t="inlineStr"/>
      <s:c r="B23269" s="121" t="n"/>
      <s:c r="C23269" s="121" t="n"/>
      <s:c r="D23269" s="121" t="n"/>
      <s:c r="E23269" s="122" t="n"/>
    </s:row>
    <s:row r="23270" hidden="1" ht="1" customHeight="1">
      <s:c r="A23270" s="120" t="inlineStr"/>
      <s:c r="B23270" s="121" t="n"/>
      <s:c r="C23270" s="121" t="n"/>
      <s:c r="D23270" s="121" t="n"/>
      <s:c r="E23270" s="122" t="n"/>
    </s:row>
    <s:row r="23271" hidden="1" ht="1" customHeight="1">
      <s:c r="A23271" s="120" t="inlineStr"/>
      <s:c r="B23271" s="121" t="n"/>
      <s:c r="C23271" s="121" t="n"/>
      <s:c r="D23271" s="121" t="n"/>
      <s:c r="E23271" s="122" t="n"/>
    </s:row>
    <s:row r="23272" hidden="1" ht="1" customHeight="1">
      <s:c r="A23272" s="120" t="inlineStr"/>
      <s:c r="B23272" s="121" t="n"/>
      <s:c r="C23272" s="121" t="n"/>
      <s:c r="D23272" s="121" t="n"/>
      <s:c r="E23272" s="122" t="n"/>
    </s:row>
    <s:row r="23273" hidden="1" ht="1" customHeight="1">
      <s:c r="A23273" s="120" t="inlineStr"/>
      <s:c r="B23273" s="121" t="n"/>
      <s:c r="C23273" s="121" t="n"/>
      <s:c r="D23273" s="121" t="n"/>
      <s:c r="E23273" s="122" t="n"/>
    </s:row>
    <s:row r="23274" hidden="1" ht="1" customHeight="1">
      <s:c r="A23274" s="120" t="inlineStr"/>
      <s:c r="B23274" s="121" t="n"/>
      <s:c r="C23274" s="121" t="n"/>
      <s:c r="D23274" s="121" t="n"/>
      <s:c r="E23274" s="122" t="n"/>
    </s:row>
    <s:row r="23275" hidden="1" ht="1" customHeight="1">
      <s:c r="A23275" s="120" t="inlineStr"/>
      <s:c r="B23275" s="121" t="n"/>
      <s:c r="C23275" s="121" t="n"/>
      <s:c r="D23275" s="121" t="n"/>
      <s:c r="E23275" s="122" t="n"/>
    </s:row>
    <s:row r="23276" hidden="1" ht="1" customHeight="1">
      <s:c r="A23276" s="120" t="inlineStr"/>
      <s:c r="B23276" s="121" t="n"/>
      <s:c r="C23276" s="121" t="n"/>
      <s:c r="D23276" s="121" t="n"/>
      <s:c r="E23276" s="122" t="n"/>
    </s:row>
    <s:row r="23277" hidden="1" ht="1" customHeight="1">
      <s:c r="A23277" s="120" t="inlineStr"/>
      <s:c r="B23277" s="121" t="n"/>
      <s:c r="C23277" s="121" t="n"/>
      <s:c r="D23277" s="121" t="n"/>
      <s:c r="E23277" s="122" t="n"/>
    </s:row>
    <s:row r="23278" hidden="1" ht="1" customHeight="1">
      <s:c r="A23278" s="120" t="inlineStr"/>
      <s:c r="B23278" s="121" t="n"/>
      <s:c r="C23278" s="121" t="n"/>
      <s:c r="D23278" s="121" t="n"/>
      <s:c r="E23278" s="122" t="n"/>
    </s:row>
    <s:row r="23279" hidden="1" ht="1" customHeight="1">
      <s:c r="A23279" s="120" t="inlineStr"/>
      <s:c r="B23279" s="121" t="n"/>
      <s:c r="C23279" s="121" t="n"/>
      <s:c r="D23279" s="121" t="n"/>
      <s:c r="E23279" s="122" t="n"/>
    </s:row>
    <s:row r="23280" hidden="1" ht="1" customHeight="1">
      <s:c r="A23280" s="120" t="inlineStr"/>
      <s:c r="B23280" s="121" t="n"/>
      <s:c r="C23280" s="121" t="n"/>
      <s:c r="D23280" s="121" t="n"/>
      <s:c r="E23280" s="122" t="n"/>
    </s:row>
    <s:row r="23281" hidden="1" ht="1" customHeight="1">
      <s:c r="A23281" s="120" t="inlineStr"/>
      <s:c r="B23281" s="121" t="n"/>
      <s:c r="C23281" s="121" t="n"/>
      <s:c r="D23281" s="121" t="n"/>
      <s:c r="E23281" s="122" t="n"/>
    </s:row>
    <s:row r="23282" hidden="1" ht="1" customHeight="1">
      <s:c r="A23282" s="120" t="inlineStr"/>
      <s:c r="B23282" s="121" t="n"/>
      <s:c r="C23282" s="121" t="n"/>
      <s:c r="D23282" s="121" t="n"/>
      <s:c r="E23282" s="122" t="n"/>
    </s:row>
    <s:row r="23283" hidden="1" ht="1" customHeight="1">
      <s:c r="A23283" s="120" t="inlineStr"/>
      <s:c r="B23283" s="121" t="n"/>
      <s:c r="C23283" s="121" t="n"/>
      <s:c r="D23283" s="121" t="n"/>
      <s:c r="E23283" s="122" t="n"/>
    </s:row>
    <s:row r="23284" hidden="1" ht="1" customHeight="1">
      <s:c r="A23284" s="120" t="inlineStr"/>
      <s:c r="B23284" s="121" t="n"/>
      <s:c r="C23284" s="121" t="n"/>
      <s:c r="D23284" s="121" t="n"/>
      <s:c r="E23284" s="122" t="n"/>
    </s:row>
    <s:row r="23285" hidden="1" ht="1" customHeight="1">
      <s:c r="A23285" s="120" t="inlineStr"/>
      <s:c r="B23285" s="121" t="n"/>
      <s:c r="C23285" s="121" t="n"/>
      <s:c r="D23285" s="121" t="n"/>
      <s:c r="E23285" s="122" t="n"/>
    </s:row>
    <s:row r="23286" hidden="1" ht="1" customHeight="1">
      <s:c r="A23286" s="120" t="inlineStr"/>
      <s:c r="B23286" s="121" t="n"/>
      <s:c r="C23286" s="121" t="n"/>
      <s:c r="D23286" s="121" t="n"/>
      <s:c r="E23286" s="122" t="n"/>
    </s:row>
    <s:row r="23287" hidden="1" ht="1" customHeight="1">
      <s:c r="A23287" s="120" t="inlineStr"/>
      <s:c r="B23287" s="121" t="n"/>
      <s:c r="C23287" s="121" t="n"/>
      <s:c r="D23287" s="121" t="n"/>
      <s:c r="E23287" s="122" t="n"/>
    </s:row>
    <s:row r="23288" hidden="1" ht="1" customHeight="1">
      <s:c r="A23288" s="120" t="inlineStr"/>
      <s:c r="B23288" s="121" t="n"/>
      <s:c r="C23288" s="121" t="n"/>
      <s:c r="D23288" s="121" t="n"/>
      <s:c r="E23288" s="122" t="n"/>
    </s:row>
    <s:row r="23289" hidden="1" ht="1" customHeight="1">
      <s:c r="A23289" s="120" t="inlineStr"/>
      <s:c r="B23289" s="121" t="n"/>
      <s:c r="C23289" s="121" t="n"/>
      <s:c r="D23289" s="121" t="n"/>
      <s:c r="E23289" s="122" t="n"/>
    </s:row>
    <s:row r="23290" hidden="1" ht="1" customHeight="1">
      <s:c r="A23290" s="120" t="inlineStr"/>
      <s:c r="B23290" s="121" t="n"/>
      <s:c r="C23290" s="121" t="n"/>
      <s:c r="D23290" s="121" t="n"/>
      <s:c r="E23290" s="122" t="n"/>
    </s:row>
    <s:row r="23291" hidden="1" ht="1" customHeight="1">
      <s:c r="A23291" s="120" t="inlineStr"/>
      <s:c r="B23291" s="121" t="n"/>
      <s:c r="C23291" s="121" t="n"/>
      <s:c r="D23291" s="121" t="n"/>
      <s:c r="E23291" s="122" t="n"/>
    </s:row>
    <s:row r="23292" hidden="1" ht="1" customHeight="1">
      <s:c r="A23292" s="120" t="inlineStr"/>
      <s:c r="B23292" s="121" t="n"/>
      <s:c r="C23292" s="121" t="n"/>
      <s:c r="D23292" s="121" t="n"/>
      <s:c r="E23292" s="122" t="n"/>
    </s:row>
    <s:row r="23293" hidden="1" ht="1" customHeight="1">
      <s:c r="A23293" s="120" t="inlineStr"/>
      <s:c r="B23293" s="121" t="n"/>
      <s:c r="C23293" s="121" t="n"/>
      <s:c r="D23293" s="121" t="n"/>
      <s:c r="E23293" s="122" t="n"/>
    </s:row>
    <s:row r="23294" hidden="1" ht="1" customHeight="1">
      <s:c r="A23294" s="120" t="inlineStr"/>
      <s:c r="B23294" s="121" t="n"/>
      <s:c r="C23294" s="121" t="n"/>
      <s:c r="D23294" s="121" t="n"/>
      <s:c r="E23294" s="122" t="n"/>
    </s:row>
    <s:row r="23295" hidden="1" ht="1" customHeight="1">
      <s:c r="A23295" s="120" t="inlineStr"/>
      <s:c r="B23295" s="121" t="n"/>
      <s:c r="C23295" s="121" t="n"/>
      <s:c r="D23295" s="121" t="n"/>
      <s:c r="E23295" s="122" t="n"/>
    </s:row>
    <s:row r="23296" hidden="1" ht="1" customHeight="1">
      <s:c r="A23296" s="120" t="inlineStr"/>
      <s:c r="B23296" s="121" t="n"/>
      <s:c r="C23296" s="121" t="n"/>
      <s:c r="D23296" s="121" t="n"/>
      <s:c r="E23296" s="122" t="n"/>
    </s:row>
    <s:row r="23297" hidden="1" ht="1" customHeight="1">
      <s:c r="A23297" s="120" t="inlineStr"/>
      <s:c r="B23297" s="121" t="n"/>
      <s:c r="C23297" s="121" t="n"/>
      <s:c r="D23297" s="121" t="n"/>
      <s:c r="E23297" s="122" t="n"/>
    </s:row>
    <s:row r="23298" hidden="1" ht="1" customHeight="1">
      <s:c r="A23298" s="120" t="inlineStr"/>
      <s:c r="B23298" s="121" t="n"/>
      <s:c r="C23298" s="121" t="n"/>
      <s:c r="D23298" s="121" t="n"/>
      <s:c r="E23298" s="122" t="n"/>
    </s:row>
    <s:row r="23299" hidden="1" ht="1" customHeight="1">
      <s:c r="A23299" s="120" t="inlineStr"/>
      <s:c r="B23299" s="121" t="n"/>
      <s:c r="C23299" s="121" t="n"/>
      <s:c r="D23299" s="121" t="n"/>
      <s:c r="E23299" s="122" t="n"/>
    </s:row>
    <s:row r="23300" hidden="1" ht="1" customHeight="1">
      <s:c r="A23300" s="120" t="inlineStr"/>
      <s:c r="B23300" s="121" t="n"/>
      <s:c r="C23300" s="121" t="n"/>
      <s:c r="D23300" s="121" t="n"/>
      <s:c r="E23300" s="122" t="n"/>
    </s:row>
    <s:row r="23301" hidden="1" ht="1" customHeight="1">
      <s:c r="A23301" s="120" t="inlineStr"/>
      <s:c r="B23301" s="121" t="n"/>
      <s:c r="C23301" s="121" t="n"/>
      <s:c r="D23301" s="121" t="n"/>
      <s:c r="E23301" s="122" t="n"/>
    </s:row>
    <s:row r="23302" hidden="1" ht="1" customHeight="1">
      <s:c r="A23302" s="120" t="inlineStr"/>
      <s:c r="B23302" s="121" t="n"/>
      <s:c r="C23302" s="121" t="n"/>
      <s:c r="D23302" s="121" t="n"/>
      <s:c r="E23302" s="122" t="n"/>
    </s:row>
    <s:row r="23303" hidden="1" ht="1" customHeight="1">
      <s:c r="A23303" s="120" t="inlineStr"/>
      <s:c r="B23303" s="121" t="n"/>
      <s:c r="C23303" s="121" t="n"/>
      <s:c r="D23303" s="121" t="n"/>
      <s:c r="E23303" s="122" t="n"/>
    </s:row>
    <s:row r="23304" hidden="1" ht="1" customHeight="1">
      <s:c r="A23304" s="120" t="inlineStr"/>
      <s:c r="B23304" s="121" t="n"/>
      <s:c r="C23304" s="121" t="n"/>
      <s:c r="D23304" s="121" t="n"/>
      <s:c r="E23304" s="122" t="n"/>
    </s:row>
    <s:row r="23305" hidden="1" ht="1" customHeight="1">
      <s:c r="A23305" s="120" t="inlineStr"/>
      <s:c r="B23305" s="121" t="n"/>
      <s:c r="C23305" s="121" t="n"/>
      <s:c r="D23305" s="121" t="n"/>
      <s:c r="E23305" s="122" t="n"/>
    </s:row>
    <s:row r="23306" hidden="1" ht="1" customHeight="1">
      <s:c r="A23306" s="120" t="inlineStr"/>
      <s:c r="B23306" s="121" t="n"/>
      <s:c r="C23306" s="121" t="n"/>
      <s:c r="D23306" s="121" t="n"/>
      <s:c r="E23306" s="122" t="n"/>
    </s:row>
    <s:row r="23307" hidden="1" ht="1" customHeight="1">
      <s:c r="A23307" s="120" t="inlineStr"/>
      <s:c r="B23307" s="121" t="n"/>
      <s:c r="C23307" s="121" t="n"/>
      <s:c r="D23307" s="121" t="n"/>
      <s:c r="E23307" s="122" t="n"/>
    </s:row>
    <s:row r="23308" hidden="1" ht="1" customHeight="1">
      <s:c r="A23308" s="120" t="inlineStr"/>
      <s:c r="B23308" s="121" t="n"/>
      <s:c r="C23308" s="121" t="n"/>
      <s:c r="D23308" s="121" t="n"/>
      <s:c r="E23308" s="122" t="n"/>
    </s:row>
    <s:row r="23309" hidden="1" ht="1" customHeight="1">
      <s:c r="A23309" s="120" t="inlineStr"/>
      <s:c r="B23309" s="121" t="n"/>
      <s:c r="C23309" s="121" t="n"/>
      <s:c r="D23309" s="121" t="n"/>
      <s:c r="E23309" s="122" t="n"/>
    </s:row>
    <s:row r="23310" hidden="1" ht="1" customHeight="1">
      <s:c r="A23310" s="120" t="inlineStr"/>
      <s:c r="B23310" s="121" t="n"/>
      <s:c r="C23310" s="121" t="n"/>
      <s:c r="D23310" s="121" t="n"/>
      <s:c r="E23310" s="122" t="n"/>
    </s:row>
    <s:row r="23311" hidden="1" ht="1" customHeight="1">
      <s:c r="A23311" s="83" t="inlineStr">
        <s:is>
          <s:t>PASS</s:t>
        </s:is>
      </s:c>
      <s:c r="B23311" s="83">
        <s:f>SUM(IF(EXACT('Kiểm thử'!E23261,"Đạt"),1,0))</s:f>
        <s:v/>
      </s:c>
      <s:c r="C23311" s="19" t="n"/>
      <s:c r="D23311" s="19" t="n"/>
      <s:c r="E23311" s="19" t="n"/>
    </s:row>
    <s:row r="23312" hidden="1" ht="1" customHeight="1">
      <s:c r="A23312" s="83" t="inlineStr">
        <s:is>
          <s:t>FAIL</s:t>
        </s:is>
      </s:c>
      <s:c r="B23312" s="83">
        <s:f>SUM(IF(EXACT('Kiểm thử'!E23261,"Không đạt"),1,0))</s:f>
        <s:v/>
      </s:c>
      <s:c r="C23312" s="19" t="n"/>
      <s:c r="D23312" s="19" t="n"/>
      <s:c r="E23312" s="19" t="n"/>
    </s:row>
    <s:row r="23313" hidden="1" ht="1" customHeight="1">
      <s:c r="A23313" s="83" t="inlineStr">
        <s:is>
          <s:t>BLOCKED</s:t>
        </s:is>
      </s:c>
      <s:c r="B23313" s="83">
        <s:f>SUM(IF(EXACT('Kiểm thử'!E23261,"Bị chặn"),1,0))</s:f>
        <s:v/>
      </s:c>
      <s:c r="C23313" s="19" t="n"/>
      <s:c r="D23313" s="19" t="n"/>
      <s:c r="E23313" s="19" t="n"/>
    </s:row>
    <s:row r="23314" hidden="1" ht="1" customHeight="1">
      <s:c r="A23314" s="83" t="inlineStr">
        <s:is>
          <s:t>SKIPPED</s:t>
        </s:is>
      </s:c>
      <s:c r="B23314" s="83">
        <s:f>SUM(IF(EXACT('Kiểm thử'!E23261,"Không thực hiện"),1,0))</s:f>
        <s:v/>
      </s:c>
      <s:c r="C23314" s="19" t="n"/>
      <s:c r="D23314" s="19" t="n"/>
      <s:c r="E23314" s="19" t="n"/>
    </s:row>
    <s:row r="23315" hidden="1" ht="1" customHeight="1">
      <s:c r="A23315" s="83" t="inlineStr">
        <s:is>
          <s:t>NOT RUN</s:t>
        </s:is>
      </s:c>
      <s:c r="B23315" s="83">
        <s:f>SUM(IF(EXACT('Kiểm thử'!E23261,"Chưa thực hiện"),1,0))</s:f>
        <s:v/>
      </s:c>
      <s:c r="C23315" s="19" t="n"/>
      <s:c r="D23315" s="19" t="n"/>
      <s:c r="E23315" s="19" t="n"/>
    </s:row>
    <s:row r="23316" hidden="1" ht="6" customHeight="1">
      <s:c r="A23316" s="83" t="inlineStr"/>
      <s:c r="B23316" s="19" t="n"/>
      <s:c r="C23316" s="19" t="n"/>
      <s:c r="D23316" s="19" t="n"/>
      <s:c r="E23316" s="19" t="n"/>
    </s:row>
    <s:row r="23317" ht="28" customHeight="1">
      <s:c r="A23317" s="108" t="inlineStr">
        <s:is>
          <s:t>TC-RS-ERR-009 — Server kiểm miền giá trị khi bỏ qua kiểm tra phía trình duyệt</s:t>
        </s:is>
      </s:c>
      <s:c r="B23317" s="111" t="n"/>
      <s:c r="C23317" s="111" t="n"/>
      <s:c r="D23317" s="111" t="n"/>
      <s:c r="E23317" s="111" t="n"/>
    </s:row>
    <s:row r="23318" ht="20" customHeight="1">
      <s:c r="A23318" s="112" t="inlineStr">
        <s:is>
          <s:t>Kết quả tình huống</s:t>
        </s:is>
      </s:c>
      <s:c r="B23318" s="113">
        <s:f>IF(SUM(IF(EXACT('Kiểm thử'!E23325,"Không đạt"),1,0),IF(EXACT('Kiểm thử'!E23327,"Không đạt"),1,0),IF(EXACT('Kiểm thử'!E23329,"Không đạt"),1,0),IF(EXACT('Kiểm thử'!E23331,"Không đạt"),1,0),IF(EXACT('Kiểm thử'!E23333,"Không đạt"),1,0),IF(EXACT('Kiểm thử'!E23335,"Không đạt"),1,0),IF(EXACT('Kiểm thử'!E23337,"Không đạt"),1,0),IF(EXACT('Kiểm thử'!E23339,"Không đạt"),1,0),IF(EXACT('Kiểm thử'!E23341,"Không đạt"),1,0),IF(EXACT('Kiểm thử'!E23343,"Không đạt"),1,0),IF(EXACT('Kiểm thử'!E23345,"Không đạt"),1,0),IF(EXACT('Kiểm thử'!E23347,"Không đạt"),1,0),IF(EXACT('Kiểm thử'!E23349,"Không đạt"),1,0),IF(EXACT('Kiểm thử'!E23351,"Không đạt"),1,0),IF(EXACT('Kiểm thử'!E23353,"Không đạt"),1,0),IF(EXACT('Kiểm thử'!E23355,"Không đạt"),1,0))&gt;0,"Không đạt",IF(SUM(IF(EXACT('Kiểm thử'!E23325,"Đạt"),1,0),IF(EXACT('Kiểm thử'!E23327,"Đạt"),1,0),IF(EXACT('Kiểm thử'!E23329,"Đạt"),1,0),IF(EXACT('Kiểm thử'!E23331,"Đạt"),1,0),IF(EXACT('Kiểm thử'!E23333,"Đạt"),1,0),IF(EXACT('Kiểm thử'!E23335,"Đạt"),1,0),IF(EXACT('Kiểm thử'!E23337,"Đạt"),1,0),IF(EXACT('Kiểm thử'!E23339,"Đạt"),1,0),IF(EXACT('Kiểm thử'!E23341,"Đạt"),1,0),IF(EXACT('Kiểm thử'!E23343,"Đạt"),1,0),IF(EXACT('Kiểm thử'!E23345,"Đạt"),1,0),IF(EXACT('Kiểm thử'!E23347,"Đạt"),1,0),IF(EXACT('Kiểm thử'!E23349,"Đạt"),1,0),IF(EXACT('Kiểm thử'!E23351,"Đạt"),1,0),IF(EXACT('Kiểm thử'!E23353,"Đạt"),1,0),IF(EXACT('Kiểm thử'!E23355,"Đạt"),1,0))=16,"Đạt",IF(SUM(IF(EXACT('Kiểm thử'!E23325,"Không thực hiện"),1,0),IF(EXACT('Kiểm thử'!E23327,"Không thực hiện"),1,0),IF(EXACT('Kiểm thử'!E23329,"Không thực hiện"),1,0),IF(EXACT('Kiểm thử'!E23331,"Không thực hiện"),1,0),IF(EXACT('Kiểm thử'!E23333,"Không thực hiện"),1,0),IF(EXACT('Kiểm thử'!E23335,"Không thực hiện"),1,0),IF(EXACT('Kiểm thử'!E23337,"Không thực hiện"),1,0),IF(EXACT('Kiểm thử'!E23339,"Không thực hiện"),1,0),IF(EXACT('Kiểm thử'!E23341,"Không thực hiện"),1,0),IF(EXACT('Kiểm thử'!E23343,"Không thực hiện"),1,0),IF(EXACT('Kiểm thử'!E23345,"Không thực hiện"),1,0),IF(EXACT('Kiểm thử'!E23347,"Không thực hiện"),1,0),IF(EXACT('Kiểm thử'!E23349,"Không thực hiện"),1,0),IF(EXACT('Kiểm thử'!E23351,"Không thực hiện"),1,0),IF(EXACT('Kiểm thử'!E23353,"Không thực hiện"),1,0),IF(EXACT('Kiểm thử'!E23355,"Không thực hiện"),1,0))=16,"Không thực hiện",IF(SUM(IF(EXACT('Kiểm thử'!E23325,"Bị chặn"),1,0),IF(EXACT('Kiểm thử'!E23327,"Bị chặn"),1,0),IF(EXACT('Kiểm thử'!E23329,"Bị chặn"),1,0),IF(EXACT('Kiểm thử'!E23331,"Bị chặn"),1,0),IF(EXACT('Kiểm thử'!E23333,"Bị chặn"),1,0),IF(EXACT('Kiểm thử'!E23335,"Bị chặn"),1,0),IF(EXACT('Kiểm thử'!E23337,"Bị chặn"),1,0),IF(EXACT('Kiểm thử'!E23339,"Bị chặn"),1,0),IF(EXACT('Kiểm thử'!E23341,"Bị chặn"),1,0),IF(EXACT('Kiểm thử'!E23343,"Bị chặn"),1,0),IF(EXACT('Kiểm thử'!E23345,"Bị chặn"),1,0),IF(EXACT('Kiểm thử'!E23347,"Bị chặn"),1,0),IF(EXACT('Kiểm thử'!E23349,"Bị chặn"),1,0),IF(EXACT('Kiểm thử'!E23351,"Bị chặn"),1,0),IF(EXACT('Kiểm thử'!E23353,"Bị chặn"),1,0),IF(EXACT('Kiểm thử'!E23355,"Bị chặn"),1,0))&gt;0,"Bị chặn",IF(SUM(IF(EXACT('Kiểm thử'!E23325,"Chưa thực hiện"),1,0),IF(EXACT('Kiểm thử'!E23327,"Chưa thực hiện"),1,0),IF(EXACT('Kiểm thử'!E23329,"Chưa thực hiện"),1,0),IF(EXACT('Kiểm thử'!E23331,"Chưa thực hiện"),1,0),IF(EXACT('Kiểm thử'!E23333,"Chưa thực hiện"),1,0),IF(EXACT('Kiểm thử'!E23335,"Chưa thực hiện"),1,0),IF(EXACT('Kiểm thử'!E23337,"Chưa thực hiện"),1,0),IF(EXACT('Kiểm thử'!E23339,"Chưa thực hiện"),1,0),IF(EXACT('Kiểm thử'!E23341,"Chưa thực hiện"),1,0),IF(EXACT('Kiểm thử'!E23343,"Chưa thực hiện"),1,0),IF(EXACT('Kiểm thử'!E23345,"Chưa thực hiện"),1,0),IF(EXACT('Kiểm thử'!E23347,"Chưa thực hiện"),1,0),IF(EXACT('Kiểm thử'!E23349,"Chưa thực hiện"),1,0),IF(EXACT('Kiểm thử'!E23351,"Chưa thực hiện"),1,0),IF(EXACT('Kiểm thử'!E23353,"Chưa thực hiện"),1,0),IF(EXACT('Kiểm thử'!E23355,"Chưa thực hiện"),1,0))=16,"Chưa thực hiện","Đang thực hiện")))))</s:f>
        <s:v/>
      </s:c>
      <s:c r="C23318" s="114" t="n"/>
      <s:c r="D23318" s="114" t="n"/>
      <s:c r="E23318" s="114" t="n"/>
    </s:row>
    <s:row r="23319" ht="20" customHeight="1">
      <s:c r="A23319" s="112" t="inlineStr">
        <s:is>
          <s:t>Màn hình / chức năng</s:t>
        </s:is>
      </s:c>
      <s:c r="B23319" s="113" t="inlineStr">
        <s:is>
          <s:t>Quyền thao tác</s:t>
        </s:is>
      </s:c>
      <s:c r="C23319" s="28" t="n"/>
      <s:c r="D23319" s="28" t="n"/>
      <s:c r="E23319" s="28" t="n"/>
    </s:row>
    <s:row r="23320" ht="34" customHeight="1">
      <s:c r="A23320" s="112" t="inlineStr">
        <s:is>
          <s:t>Cấu hình</s:t>
        </s:is>
      </s:c>
      <s:c r="B23320" s="113" t="inlineStr">
        <s:is>
          <s:t>• Tài khoản giáo viên có quyền sửa mục;
• Bản ghi request lưu ngưỡng hợp lệ.</s:t>
        </s:is>
      </s:c>
      <s:c r="C23320" s="28" t="n"/>
      <s:c r="D23320" s="28" t="n"/>
      <s:c r="E23320" s="28" t="n"/>
    </s:row>
    <s:row r="23321" ht="118" customHeight="1">
      <s:c r="A23321" s="112" t="inlineStr">
        <s:is>
          <s:t>Dữ liệu test</s:t>
        </s:is>
      </s:c>
      <s:c r="B23321" s="113" t="inlineStr">
        <s:is>
          <s:t>• N cố định = 101, −1;
• Tỷ lệ = 101;
• Mẫu số cố định = 0;
• N = [NaN], [Infinity], [1e400], chuỗi rỗng;
• Công thức có phép toán/hàm không được phép (ví dụ [^], [max]) hoặc chuỗi biểu thức tự do thay cho các dòng;
• Điều kiện áp dụng (khi có schema, PROPOSED theo thiết kế DB v2 mục 3.2 “[apply_condition]”): JSON [null], chuỗi rỗng, object rỗng, khóa lạ, cả hai array rỗng</s:t>
        </s:is>
      </s:c>
      <s:c r="C23321" s="28" t="n"/>
      <s:c r="D23321" s="28" t="n"/>
      <s:c r="E23321" s="28" t="n"/>
    </s:row>
    <s:row r="23322" ht="20" customHeight="1">
      <s:c r="A23322" s="112" t="inlineStr">
        <s:is>
          <s:t>•</s:t>
        </s:is>
      </s:c>
      <s:c r="B23322" s="113" t="inlineStr">
        <s:is>
          <s:t>Sửa request (bỏ kiểm tra JS) và gửi từng giá trị.</s:t>
        </s:is>
      </s:c>
      <s:c r="C23322" s="28" t="n"/>
      <s:c r="D23322" s="28" t="n"/>
      <s:c r="E23322" s="28" t="n"/>
    </s:row>
    <s:row r="23323" ht="28" customHeight="1">
      <s:c r="A23323" s="115" t="inlineStr">
        <s:is>
          <s:t>Trường hợp</s:t>
        </s:is>
      </s:c>
      <s:c r="B23323" s="115" t="inlineStr">
        <s:is>
          <s:t>Dữ liệu / thao tác riêng</s:t>
        </s:is>
      </s:c>
      <s:c r="C23323" s="115" t="inlineStr">
        <s:is>
          <s:t>Kết quả mong đợi</s:t>
        </s:is>
      </s:c>
      <s:c r="D23323" s="115" t="inlineStr">
        <s:is>
          <s:t>Kết quả thực tế</s:t>
        </s:is>
      </s:c>
      <s:c r="E23323" s="115" t="inlineStr">
        <s:is>
          <s:t>Đánh giá</s:t>
        </s:is>
      </s:c>
    </s:row>
    <s:row r="23324" ht="3" customHeight="1">
      <s:c r="A23324" s="102" t="inlineStr"/>
      <s:c r="B23324" s="99" t="n"/>
      <s:c r="C23324" s="99" t="n"/>
      <s:c r="D23324" s="116" t="n"/>
      <s:c r="E23324" s="116" t="n"/>
    </s:row>
    <s:row r="23325" ht="76" customHeight="1">
      <s:c r="A23325" s="83" t="inlineStr">
        <s:is>
          <s:t>Điểm cố định vượt tối đa (above)</s:t>
        </s:is>
      </s:c>
      <s:c r="B23325" s="83" t="inlineStr">
        <s:is>
          <s:t>Từ request lưu ngưỡng hợp lệ bằng giáo viên có quyền, bỏ kiểm tra JS và gửi N cố định=101.  Ghi payload/response riêng, không thay cùng lúc các trường khác.</s:t>
        </s:is>
      </s:c>
      <s:c r="C23325" s="83" t="inlineStr">
        <s:is>
          <s:t>Mọi giá trị trên bị server từ chối; cấu hình đã lưu không đổi. Công thức chỉ nhận các dòng với phép toán và toán hạng được hỗ trợ; không lưu biểu thức tự do.</s:t>
        </s:is>
      </s:c>
      <s:c r="D23325" s="117" t="inlineStr"/>
      <s:c r="E23325" s="118" t="inlineStr">
        <s:is>
          <s:t>Chưa thực hiện</s:t>
        </s:is>
      </s:c>
    </s:row>
    <s:row r="23326" ht="3" customHeight="1">
      <s:c r="A23326" s="102" t="inlineStr"/>
      <s:c r="B23326" s="99" t="n"/>
      <s:c r="C23326" s="99" t="n"/>
      <s:c r="D23326" s="116" t="n"/>
      <s:c r="E23326" s="116" t="n"/>
    </s:row>
    <s:row r="23327" ht="76" customHeight="1">
      <s:c r="A23327" s="83" t="inlineStr">
        <s:is>
          <s:t>Điểm cố định âm (negative)</s:t>
        </s:is>
      </s:c>
      <s:c r="B23327" s="83" t="inlineStr">
        <s:is>
          <s:t>Từ request lưu ngưỡng hợp lệ bằng giáo viên có quyền, bỏ kiểm tra JS và gửi N cố định=−1.  Ghi payload/response riêng, không thay cùng lúc các trường khác.</s:t>
        </s:is>
      </s:c>
      <s:c r="C23327" s="83" t="inlineStr">
        <s:is>
          <s:t>Mọi giá trị trên bị server từ chối; cấu hình đã lưu không đổi. Công thức chỉ nhận các dòng với phép toán và toán hạng được hỗ trợ; không lưu biểu thức tự do.</s:t>
        </s:is>
      </s:c>
      <s:c r="D23327" s="117" t="inlineStr"/>
      <s:c r="E23327" s="118" t="inlineStr">
        <s:is>
          <s:t>Chưa thực hiện</s:t>
        </s:is>
      </s:c>
    </s:row>
    <s:row r="23328" ht="3" customHeight="1">
      <s:c r="A23328" s="102" t="inlineStr"/>
      <s:c r="B23328" s="99" t="n"/>
      <s:c r="C23328" s="99" t="n"/>
      <s:c r="D23328" s="116" t="n"/>
      <s:c r="E23328" s="116" t="n"/>
    </s:row>
    <s:row r="23329" ht="76" customHeight="1">
      <s:c r="A23329" s="83" t="inlineStr">
        <s:is>
          <s:t>Tỷ lệ vượt 100 (ratio-above)</s:t>
        </s:is>
      </s:c>
      <s:c r="B23329" s="83" t="inlineStr">
        <s:is>
          <s:t>Từ request lưu ngưỡng hợp lệ bằng giáo viên có quyền, bỏ kiểm tra JS và gửi tỷ lệ=101.  Ghi payload/response riêng, không thay cùng lúc các trường khác.</s:t>
        </s:is>
      </s:c>
      <s:c r="C23329" s="83" t="inlineStr">
        <s:is>
          <s:t>Mọi giá trị trên bị server từ chối; cấu hình đã lưu không đổi. Công thức chỉ nhận các dòng với phép toán và toán hạng được hỗ trợ; không lưu biểu thức tự do.</s:t>
        </s:is>
      </s:c>
      <s:c r="D23329" s="117" t="inlineStr"/>
      <s:c r="E23329" s="118" t="inlineStr">
        <s:is>
          <s:t>Chưa thực hiện</s:t>
        </s:is>
      </s:c>
    </s:row>
    <s:row r="23330" ht="3" customHeight="1">
      <s:c r="A23330" s="102" t="inlineStr"/>
      <s:c r="B23330" s="99" t="n"/>
      <s:c r="C23330" s="99" t="n"/>
      <s:c r="D23330" s="116" t="n"/>
      <s:c r="E23330" s="116" t="n"/>
    </s:row>
    <s:row r="23331" ht="76" customHeight="1">
      <s:c r="A23331" s="83" t="inlineStr">
        <s:is>
          <s:t>Mẫu số cố định bằng 0 (divide-zero)</s:t>
        </s:is>
      </s:c>
      <s:c r="B23331" s="83" t="inlineStr">
        <s:is>
          <s:t>Từ request lưu ngưỡng hợp lệ bằng giáo viên có quyền, bỏ kiểm tra JS và gửi mẫu số cố định=0.  Ghi payload/response riêng, không thay cùng lúc các trường khác.</s:t>
        </s:is>
      </s:c>
      <s:c r="C23331" s="83" t="inlineStr">
        <s:is>
          <s:t>Mọi giá trị trên bị server từ chối; cấu hình đã lưu không đổi. Công thức chỉ nhận các dòng với phép toán và toán hạng được hỗ trợ; không lưu biểu thức tự do.</s:t>
        </s:is>
      </s:c>
      <s:c r="D23331" s="117" t="inlineStr"/>
      <s:c r="E23331" s="118" t="inlineStr">
        <s:is>
          <s:t>Chưa thực hiện</s:t>
        </s:is>
      </s:c>
    </s:row>
    <s:row r="23332" ht="3" customHeight="1">
      <s:c r="A23332" s="102" t="inlineStr"/>
      <s:c r="B23332" s="99" t="n"/>
      <s:c r="C23332" s="99" t="n"/>
      <s:c r="D23332" s="116" t="n"/>
      <s:c r="E23332" s="116" t="n"/>
    </s:row>
    <s:row r="23333" ht="76" customHeight="1">
      <s:c r="A23333" s="83" t="inlineStr">
        <s:is>
          <s:t>Giá trị không phải số (nan)</s:t>
        </s:is>
      </s:c>
      <s:c r="B23333" s="83" t="inlineStr">
        <s:is>
          <s:t>Từ request lưu ngưỡng hợp lệ bằng giáo viên có quyền, bỏ kiểm tra JS và gửi N=NaN.  Ghi payload/response riêng, không thay cùng lúc các trường khác.</s:t>
        </s:is>
      </s:c>
      <s:c r="C23333" s="83" t="inlineStr">
        <s:is>
          <s:t>Mọi giá trị trên bị server từ chối; cấu hình đã lưu không đổi. Công thức chỉ nhận các dòng với phép toán và toán hạng được hỗ trợ; không lưu biểu thức tự do.</s:t>
        </s:is>
      </s:c>
      <s:c r="D23333" s="117" t="inlineStr"/>
      <s:c r="E23333" s="118" t="inlineStr">
        <s:is>
          <s:t>Chưa thực hiện</s:t>
        </s:is>
      </s:c>
    </s:row>
    <s:row r="23334" ht="3" customHeight="1">
      <s:c r="A23334" s="102" t="inlineStr"/>
      <s:c r="B23334" s="99" t="n"/>
      <s:c r="C23334" s="99" t="n"/>
      <s:c r="D23334" s="116" t="n"/>
      <s:c r="E23334" s="116" t="n"/>
    </s:row>
    <s:row r="23335" ht="76" customHeight="1">
      <s:c r="A23335" s="83" t="inlineStr">
        <s:is>
          <s:t>Giá trị vô hạn (infinity)</s:t>
        </s:is>
      </s:c>
      <s:c r="B23335" s="83" t="inlineStr">
        <s:is>
          <s:t>Từ request lưu ngưỡng hợp lệ bằng giáo viên có quyền, bỏ kiểm tra JS và gửi N=Infinity.  Ghi payload/response riêng, không thay cùng lúc các trường khác.</s:t>
        </s:is>
      </s:c>
      <s:c r="C23335" s="83" t="inlineStr">
        <s:is>
          <s:t>Mọi giá trị trên bị server từ chối; cấu hình đã lưu không đổi. Công thức chỉ nhận các dòng với phép toán và toán hạng được hỗ trợ; không lưu biểu thức tự do.</s:t>
        </s:is>
      </s:c>
      <s:c r="D23335" s="117" t="inlineStr"/>
      <s:c r="E23335" s="118" t="inlineStr">
        <s:is>
          <s:t>Chưa thực hiện</s:t>
        </s:is>
      </s:c>
    </s:row>
    <s:row r="23336" ht="3" customHeight="1">
      <s:c r="A23336" s="102" t="inlineStr"/>
      <s:c r="B23336" s="99" t="n"/>
      <s:c r="C23336" s="99" t="n"/>
      <s:c r="D23336" s="116" t="n"/>
      <s:c r="E23336" s="116" t="n"/>
    </s:row>
    <s:row r="23337" ht="76" customHeight="1">
      <s:c r="A23337" s="83" t="inlineStr">
        <s:is>
          <s:t>Giá trị tràn dạng số mũ (exponent)</s:t>
        </s:is>
      </s:c>
      <s:c r="B23337" s="83" t="inlineStr">
        <s:is>
          <s:r>
            <s:t xml:space="preserve">Từ request lưu ngưỡng hợp lệ bằng giáo viên có quyền, bỏ kiểm tra JS và gửi </s:t>
          </s:r>
          <s:r>
            <s:rPr>
              <s:b val="1"/>
            </s:rPr>
            <s:t>N=1</s:t>
          </s:r>
          <s:r>
            <s:t>e400.  Ghi payload/response riêng, không thay cùng lúc các trường khác.</s:t>
          </s:r>
        </s:is>
      </s:c>
      <s:c r="C23337" s="83" t="inlineStr">
        <s:is>
          <s:t>Mọi giá trị trên bị server từ chối; cấu hình đã lưu không đổi. Công thức chỉ nhận các dòng với phép toán và toán hạng được hỗ trợ; không lưu biểu thức tự do.</s:t>
        </s:is>
      </s:c>
      <s:c r="D23337" s="117" t="inlineStr"/>
      <s:c r="E23337" s="118" t="inlineStr">
        <s:is>
          <s:t>Chưa thực hiện</s:t>
        </s:is>
      </s:c>
    </s:row>
    <s:row r="23338" ht="3" customHeight="1">
      <s:c r="A23338" s="102" t="inlineStr"/>
      <s:c r="B23338" s="99" t="n"/>
      <s:c r="C23338" s="99" t="n"/>
      <s:c r="D23338" s="116" t="n"/>
      <s:c r="E23338" s="116" t="n"/>
    </s:row>
    <s:row r="23339" ht="76" customHeight="1">
      <s:c r="A23339" s="83" t="inlineStr">
        <s:is>
          <s:t>Giá trị N trống (empty)</s:t>
        </s:is>
      </s:c>
      <s:c r="B23339" s="83" t="inlineStr">
        <s:is>
          <s:t>Từ request lưu ngưỡng hợp lệ bằng giáo viên có quyền, bỏ kiểm tra JS và gửi N là chuỗi rỗng.  Ghi payload/response riêng, không thay cùng lúc các trường khác.</s:t>
        </s:is>
      </s:c>
      <s:c r="C23339" s="83" t="inlineStr">
        <s:is>
          <s:t>Mọi giá trị trên bị server từ chối; cấu hình đã lưu không đổi. Công thức chỉ nhận các dòng với phép toán và toán hạng được hỗ trợ; không lưu biểu thức tự do.</s:t>
        </s:is>
      </s:c>
      <s:c r="D23339" s="117" t="inlineStr"/>
      <s:c r="E23339" s="118" t="inlineStr">
        <s:is>
          <s:t>Chưa thực hiện</s:t>
        </s:is>
      </s:c>
    </s:row>
    <s:row r="23340" ht="3" customHeight="1">
      <s:c r="A23340" s="102" t="inlineStr"/>
      <s:c r="B23340" s="99" t="n"/>
      <s:c r="C23340" s="99" t="n"/>
      <s:c r="D23340" s="116" t="n"/>
      <s:c r="E23340" s="116" t="n"/>
    </s:row>
    <s:row r="23341" ht="76" customHeight="1">
      <s:c r="A23341" s="83" t="inlineStr">
        <s:is>
          <s:t>Phép toán không hỗ trợ (power)</s:t>
        </s:is>
      </s:c>
      <s:c r="B23341" s="83" t="inlineStr">
        <s:is>
          <s:t>Từ request lưu ngưỡng hợp lệ bằng giáo viên có quyền, bỏ kiểm tra JS và gửi phép toán ^.  Ghi payload/response riêng, không thay cùng lúc các trường khác.</s:t>
        </s:is>
      </s:c>
      <s:c r="C23341" s="83" t="inlineStr">
        <s:is>
          <s:t>Mọi giá trị trên bị server từ chối; cấu hình đã lưu không đổi. Công thức chỉ nhận các dòng với phép toán và toán hạng được hỗ trợ; không lưu biểu thức tự do.</s:t>
        </s:is>
      </s:c>
      <s:c r="D23341" s="117" t="inlineStr"/>
      <s:c r="E23341" s="118" t="inlineStr">
        <s:is>
          <s:t>Chưa thực hiện</s:t>
        </s:is>
      </s:c>
    </s:row>
    <s:row r="23342" ht="3" customHeight="1">
      <s:c r="A23342" s="102" t="inlineStr"/>
      <s:c r="B23342" s="99" t="n"/>
      <s:c r="C23342" s="99" t="n"/>
      <s:c r="D23342" s="116" t="n"/>
      <s:c r="E23342" s="116" t="n"/>
    </s:row>
    <s:row r="23343" ht="76" customHeight="1">
      <s:c r="A23343" s="83" t="inlineStr">
        <s:is>
          <s:t>Hàm không hỗ trợ (max)</s:t>
        </s:is>
      </s:c>
      <s:c r="B23343" s="83" t="inlineStr">
        <s:is>
          <s:t>Từ request lưu ngưỡng hợp lệ bằng giáo viên có quyền, bỏ kiểm tra JS và gửi hàm max.  Ghi payload/response riêng, không thay cùng lúc các trường khác.</s:t>
        </s:is>
      </s:c>
      <s:c r="C23343" s="83" t="inlineStr">
        <s:is>
          <s:t>Mọi giá trị trên bị server từ chối; cấu hình đã lưu không đổi. Công thức chỉ nhận các dòng với phép toán và toán hạng được hỗ trợ; không lưu biểu thức tự do.</s:t>
        </s:is>
      </s:c>
      <s:c r="D23343" s="117" t="inlineStr"/>
      <s:c r="E23343" s="118" t="inlineStr">
        <s:is>
          <s:t>Chưa thực hiện</s:t>
        </s:is>
      </s:c>
    </s:row>
    <s:row r="23344" ht="3" customHeight="1">
      <s:c r="A23344" s="102" t="inlineStr"/>
      <s:c r="B23344" s="99" t="n"/>
      <s:c r="C23344" s="99" t="n"/>
      <s:c r="D23344" s="116" t="n"/>
      <s:c r="E23344" s="116" t="n"/>
    </s:row>
    <s:row r="23345" ht="90" customHeight="1">
      <s:c r="A23345" s="83" t="inlineStr">
        <s:is>
          <s:t>Biểu thức tự do (expression)</s:t>
        </s:is>
      </s:c>
      <s:c r="B23345" s="83" t="inlineStr">
        <s:is>
          <s:t>Từ request lưu ngưỡng hợp lệ bằng giáo viên có quyền, bỏ kiểm tra JS và gửi chuỗi biểu thức tự do thay cấu trúc các dòng.  Ghi payload/response riêng, không thay cùng lúc các trường khác.</s:t>
        </s:is>
      </s:c>
      <s:c r="C23345" s="83" t="inlineStr">
        <s:is>
          <s:t>Mọi giá trị trên bị server từ chối; cấu hình đã lưu không đổi. Công thức chỉ nhận các dòng với phép toán và toán hạng được hỗ trợ; không lưu biểu thức tự do.</s:t>
        </s:is>
      </s:c>
      <s:c r="D23345" s="117" t="inlineStr"/>
      <s:c r="E23345" s="118" t="inlineStr">
        <s:is>
          <s:t>Chưa thực hiện</s:t>
        </s:is>
      </s:c>
    </s:row>
    <s:row r="23346" ht="3" customHeight="1">
      <s:c r="A23346" s="102" t="inlineStr"/>
      <s:c r="B23346" s="99" t="n"/>
      <s:c r="C23346" s="99" t="n"/>
      <s:c r="D23346" s="116" t="n"/>
      <s:c r="E23346" s="116" t="n"/>
    </s:row>
    <s:row r="23347" ht="118" customHeight="1">
      <s:c r="A23347" s="83" t="inlineStr">
        <s:is>
          <s:t>Điều kiện JSON null (null)</s:t>
        </s:is>
      </s:c>
      <s:c r="B23347" s="83" t="inlineStr">
        <s:is>
          <s:t>Từ request lưu ngưỡng hợp lệ bằng giáo viên có quyền, bỏ kiểm tra JS và gửi apply_condition=JSON null. Phần apply_condition chỉ chạy khi có schema; vẫn PROPOSED theo thiết kế DB v2. Ghi payload/response riêng, không thay cùng lúc các trường khác.</s:t>
        </s:is>
      </s:c>
      <s:c r="C23347" s="83" t="inlineStr">
        <s:is>
          <s:t>Mọi giá trị trên bị server từ chối; cấu hình đã lưu không đổi. Công thức chỉ nhận các dòng với phép toán và toán hạng được hỗ trợ; không lưu biểu thức tự do.</s:t>
        </s:is>
      </s:c>
      <s:c r="D23347" s="117" t="inlineStr"/>
      <s:c r="E23347" s="118" t="inlineStr">
        <s:is>
          <s:t>Chưa thực hiện</s:t>
        </s:is>
      </s:c>
    </s:row>
    <s:row r="23348" ht="3" customHeight="1">
      <s:c r="A23348" s="102" t="inlineStr"/>
      <s:c r="B23348" s="99" t="n"/>
      <s:c r="C23348" s="99" t="n"/>
      <s:c r="D23348" s="116" t="n"/>
      <s:c r="E23348" s="116" t="n"/>
    </s:row>
    <s:row r="23349" ht="118" customHeight="1">
      <s:c r="A23349" s="83" t="inlineStr">
        <s:is>
          <s:t>Điều kiện là chuỗi rỗng (empty-string)</s:t>
        </s:is>
      </s:c>
      <s:c r="B23349" s="83" t="inlineStr">
        <s:is>
          <s:t>Từ request lưu ngưỡng hợp lệ bằng giáo viên có quyền, bỏ kiểm tra JS và gửi apply_condition=chuỗi rỗng. Phần apply_condition chỉ chạy khi có schema; vẫn PROPOSED theo thiết kế DB v2. Ghi payload/response riêng, không thay cùng lúc các trường khác.</s:t>
        </s:is>
      </s:c>
      <s:c r="C23349" s="83" t="inlineStr">
        <s:is>
          <s:t>Mọi giá trị trên bị server từ chối; cấu hình đã lưu không đổi. Công thức chỉ nhận các dòng với phép toán và toán hạng được hỗ trợ; không lưu biểu thức tự do.</s:t>
        </s:is>
      </s:c>
      <s:c r="D23349" s="117" t="inlineStr"/>
      <s:c r="E23349" s="118" t="inlineStr">
        <s:is>
          <s:t>Chưa thực hiện</s:t>
        </s:is>
      </s:c>
    </s:row>
    <s:row r="23350" ht="3" customHeight="1">
      <s:c r="A23350" s="102" t="inlineStr"/>
      <s:c r="B23350" s="99" t="n"/>
      <s:c r="C23350" s="99" t="n"/>
      <s:c r="D23350" s="116" t="n"/>
      <s:c r="E23350" s="116" t="n"/>
    </s:row>
    <s:row r="23351" ht="118" customHeight="1">
      <s:c r="A23351" s="83" t="inlineStr">
        <s:is>
          <s:t>Điều kiện là object rỗng (object)</s:t>
        </s:is>
      </s:c>
      <s:c r="B23351" s="83" t="inlineStr">
        <s:is>
          <s:t>Từ request lưu ngưỡng hợp lệ bằng giáo viên có quyền, bỏ kiểm tra JS và gửi apply_condition=object rỗng. Phần apply_condition chỉ chạy khi có schema; vẫn PROPOSED theo thiết kế DB v2. Ghi payload/response riêng, không thay cùng lúc các trường khác.</s:t>
        </s:is>
      </s:c>
      <s:c r="C23351" s="83" t="inlineStr">
        <s:is>
          <s:t>Mọi giá trị trên bị server từ chối; cấu hình đã lưu không đổi. Công thức chỉ nhận các dòng với phép toán và toán hạng được hỗ trợ; không lưu biểu thức tự do.</s:t>
        </s:is>
      </s:c>
      <s:c r="D23351" s="117" t="inlineStr"/>
      <s:c r="E23351" s="118" t="inlineStr">
        <s:is>
          <s:t>Chưa thực hiện</s:t>
        </s:is>
      </s:c>
    </s:row>
    <s:row r="23352" ht="3" customHeight="1">
      <s:c r="A23352" s="102" t="inlineStr"/>
      <s:c r="B23352" s="99" t="n"/>
      <s:c r="C23352" s="99" t="n"/>
      <s:c r="D23352" s="116" t="n"/>
      <s:c r="E23352" s="116" t="n"/>
    </s:row>
    <s:row r="23353" ht="132" customHeight="1">
      <s:c r="A23353" s="83" t="inlineStr">
        <s:is>
          <s:t>Điều kiện có khóa lạ (unknown-key)</s:t>
        </s:is>
      </s:c>
      <s:c r="B23353" s="83" t="inlineStr">
        <s:is>
          <s:t>Từ request lưu ngưỡng hợp lệ bằng giáo viên có quyền, bỏ kiểm tra JS và gửi apply_condition chứa khóa không biết. Phần apply_condition chỉ chạy khi có schema; vẫn PROPOSED theo thiết kế DB v2. Ghi payload/response riêng, không thay cùng lúc các trường khác.</s:t>
        </s:is>
      </s:c>
      <s:c r="C23353" s="83" t="inlineStr">
        <s:is>
          <s:t>Mọi giá trị trên bị server từ chối; cấu hình đã lưu không đổi. Công thức chỉ nhận các dòng với phép toán và toán hạng được hỗ trợ; không lưu biểu thức tự do.</s:t>
        </s:is>
      </s:c>
      <s:c r="D23353" s="117" t="inlineStr"/>
      <s:c r="E23353" s="118" t="inlineStr">
        <s:is>
          <s:t>Chưa thực hiện</s:t>
        </s:is>
      </s:c>
    </s:row>
    <s:row r="23354" ht="3" customHeight="1">
      <s:c r="A23354" s="102" t="inlineStr"/>
      <s:c r="B23354" s="99" t="n"/>
      <s:c r="C23354" s="99" t="n"/>
      <s:c r="D23354" s="116" t="n"/>
      <s:c r="E23354" s="116" t="n"/>
    </s:row>
    <s:row r="23355" ht="132" customHeight="1">
      <s:c r="A23355" s="83" t="inlineStr">
        <s:is>
          <s:t>Hai mảng điều kiện rỗng (arrays)</s:t>
        </s:is>
      </s:c>
      <s:c r="B23355" s="83" t="inlineStr">
        <s:is>
          <s:t>Từ request lưu ngưỡng hợp lệ bằng giáo viên có quyền, bỏ kiểm tra JS và gửi apply_condition có cả hai array rỗng. Phần apply_condition chỉ chạy khi có schema; vẫn PROPOSED theo thiết kế DB v2. Ghi payload/response riêng, không thay cùng lúc các trường khác.</s:t>
        </s:is>
      </s:c>
      <s:c r="C23355" s="83" t="inlineStr">
        <s:is>
          <s:t>Mọi giá trị trên bị server từ chối; cấu hình đã lưu không đổi. Công thức chỉ nhận các dòng với phép toán và toán hạng được hỗ trợ; không lưu biểu thức tự do.</s:t>
        </s:is>
      </s:c>
      <s:c r="D23355" s="117" t="inlineStr"/>
      <s:c r="E23355" s="118" t="inlineStr">
        <s:is>
          <s:t>Chưa thực hiện</s:t>
        </s:is>
      </s:c>
    </s:row>
    <s:row r="23356" ht="20" customHeight="1">
      <s:c r="A23356" s="119" t="inlineStr">
        <s:is>
          <s:t>Ảnh minh chứng — Chưa có ảnh</s:t>
        </s:is>
      </s:c>
      <s:c r="B23356" s="19" t="n"/>
      <s:c r="C23356" s="19" t="n"/>
      <s:c r="D23356" s="19" t="n"/>
      <s:c r="E23356" s="19" t="n"/>
    </s:row>
    <s:row r="23357" hidden="1" ht="1" customHeight="1">
      <s:c r="A23357" s="120" t="inlineStr"/>
      <s:c r="B23357" s="121" t="n"/>
      <s:c r="C23357" s="121" t="n"/>
      <s:c r="D23357" s="121" t="n"/>
      <s:c r="E23357" s="122" t="n"/>
    </s:row>
    <s:row r="23358" hidden="1" ht="1" customHeight="1">
      <s:c r="A23358" s="120" t="inlineStr"/>
      <s:c r="B23358" s="121" t="n"/>
      <s:c r="C23358" s="121" t="n"/>
      <s:c r="D23358" s="121" t="n"/>
      <s:c r="E23358" s="122" t="n"/>
    </s:row>
    <s:row r="23359" hidden="1" ht="1" customHeight="1">
      <s:c r="A23359" s="120" t="inlineStr"/>
      <s:c r="B23359" s="121" t="n"/>
      <s:c r="C23359" s="121" t="n"/>
      <s:c r="D23359" s="121" t="n"/>
      <s:c r="E23359" s="122" t="n"/>
    </s:row>
    <s:row r="23360" hidden="1" ht="1" customHeight="1">
      <s:c r="A23360" s="120" t="inlineStr"/>
      <s:c r="B23360" s="121" t="n"/>
      <s:c r="C23360" s="121" t="n"/>
      <s:c r="D23360" s="121" t="n"/>
      <s:c r="E23360" s="122" t="n"/>
    </s:row>
    <s:row r="23361" hidden="1" ht="1" customHeight="1">
      <s:c r="A23361" s="120" t="inlineStr"/>
      <s:c r="B23361" s="121" t="n"/>
      <s:c r="C23361" s="121" t="n"/>
      <s:c r="D23361" s="121" t="n"/>
      <s:c r="E23361" s="122" t="n"/>
    </s:row>
    <s:row r="23362" hidden="1" ht="1" customHeight="1">
      <s:c r="A23362" s="120" t="inlineStr"/>
      <s:c r="B23362" s="121" t="n"/>
      <s:c r="C23362" s="121" t="n"/>
      <s:c r="D23362" s="121" t="n"/>
      <s:c r="E23362" s="122" t="n"/>
    </s:row>
    <s:row r="23363" hidden="1" ht="1" customHeight="1">
      <s:c r="A23363" s="120" t="inlineStr"/>
      <s:c r="B23363" s="121" t="n"/>
      <s:c r="C23363" s="121" t="n"/>
      <s:c r="D23363" s="121" t="n"/>
      <s:c r="E23363" s="122" t="n"/>
    </s:row>
    <s:row r="23364" hidden="1" ht="1" customHeight="1">
      <s:c r="A23364" s="120" t="inlineStr"/>
      <s:c r="B23364" s="121" t="n"/>
      <s:c r="C23364" s="121" t="n"/>
      <s:c r="D23364" s="121" t="n"/>
      <s:c r="E23364" s="122" t="n"/>
    </s:row>
    <s:row r="23365" hidden="1" ht="1" customHeight="1">
      <s:c r="A23365" s="120" t="inlineStr"/>
      <s:c r="B23365" s="121" t="n"/>
      <s:c r="C23365" s="121" t="n"/>
      <s:c r="D23365" s="121" t="n"/>
      <s:c r="E23365" s="122" t="n"/>
    </s:row>
    <s:row r="23366" hidden="1" ht="1" customHeight="1">
      <s:c r="A23366" s="120" t="inlineStr"/>
      <s:c r="B23366" s="121" t="n"/>
      <s:c r="C23366" s="121" t="n"/>
      <s:c r="D23366" s="121" t="n"/>
      <s:c r="E23366" s="122" t="n"/>
    </s:row>
    <s:row r="23367" hidden="1" ht="1" customHeight="1">
      <s:c r="A23367" s="120" t="inlineStr"/>
      <s:c r="B23367" s="121" t="n"/>
      <s:c r="C23367" s="121" t="n"/>
      <s:c r="D23367" s="121" t="n"/>
      <s:c r="E23367" s="122" t="n"/>
    </s:row>
    <s:row r="23368" hidden="1" ht="1" customHeight="1">
      <s:c r="A23368" s="120" t="inlineStr"/>
      <s:c r="B23368" s="121" t="n"/>
      <s:c r="C23368" s="121" t="n"/>
      <s:c r="D23368" s="121" t="n"/>
      <s:c r="E23368" s="122" t="n"/>
    </s:row>
    <s:row r="23369" hidden="1" ht="1" customHeight="1">
      <s:c r="A23369" s="120" t="inlineStr"/>
      <s:c r="B23369" s="121" t="n"/>
      <s:c r="C23369" s="121" t="n"/>
      <s:c r="D23369" s="121" t="n"/>
      <s:c r="E23369" s="122" t="n"/>
    </s:row>
    <s:row r="23370" hidden="1" ht="1" customHeight="1">
      <s:c r="A23370" s="120" t="inlineStr"/>
      <s:c r="B23370" s="121" t="n"/>
      <s:c r="C23370" s="121" t="n"/>
      <s:c r="D23370" s="121" t="n"/>
      <s:c r="E23370" s="122" t="n"/>
    </s:row>
    <s:row r="23371" hidden="1" ht="1" customHeight="1">
      <s:c r="A23371" s="120" t="inlineStr"/>
      <s:c r="B23371" s="121" t="n"/>
      <s:c r="C23371" s="121" t="n"/>
      <s:c r="D23371" s="121" t="n"/>
      <s:c r="E23371" s="122" t="n"/>
    </s:row>
    <s:row r="23372" hidden="1" ht="1" customHeight="1">
      <s:c r="A23372" s="120" t="inlineStr"/>
      <s:c r="B23372" s="121" t="n"/>
      <s:c r="C23372" s="121" t="n"/>
      <s:c r="D23372" s="121" t="n"/>
      <s:c r="E23372" s="122" t="n"/>
    </s:row>
    <s:row r="23373" hidden="1" ht="1" customHeight="1">
      <s:c r="A23373" s="120" t="inlineStr"/>
      <s:c r="B23373" s="121" t="n"/>
      <s:c r="C23373" s="121" t="n"/>
      <s:c r="D23373" s="121" t="n"/>
      <s:c r="E23373" s="122" t="n"/>
    </s:row>
    <s:row r="23374" hidden="1" ht="1" customHeight="1">
      <s:c r="A23374" s="120" t="inlineStr"/>
      <s:c r="B23374" s="121" t="n"/>
      <s:c r="C23374" s="121" t="n"/>
      <s:c r="D23374" s="121" t="n"/>
      <s:c r="E23374" s="122" t="n"/>
    </s:row>
    <s:row r="23375" hidden="1" ht="1" customHeight="1">
      <s:c r="A23375" s="120" t="inlineStr"/>
      <s:c r="B23375" s="121" t="n"/>
      <s:c r="C23375" s="121" t="n"/>
      <s:c r="D23375" s="121" t="n"/>
      <s:c r="E23375" s="122" t="n"/>
    </s:row>
    <s:row r="23376" hidden="1" ht="1" customHeight="1">
      <s:c r="A23376" s="120" t="inlineStr"/>
      <s:c r="B23376" s="121" t="n"/>
      <s:c r="C23376" s="121" t="n"/>
      <s:c r="D23376" s="121" t="n"/>
      <s:c r="E23376" s="122" t="n"/>
    </s:row>
    <s:row r="23377" hidden="1" ht="1" customHeight="1">
      <s:c r="A23377" s="120" t="inlineStr"/>
      <s:c r="B23377" s="121" t="n"/>
      <s:c r="C23377" s="121" t="n"/>
      <s:c r="D23377" s="121" t="n"/>
      <s:c r="E23377" s="122" t="n"/>
    </s:row>
    <s:row r="23378" hidden="1" ht="1" customHeight="1">
      <s:c r="A23378" s="120" t="inlineStr"/>
      <s:c r="B23378" s="121" t="n"/>
      <s:c r="C23378" s="121" t="n"/>
      <s:c r="D23378" s="121" t="n"/>
      <s:c r="E23378" s="122" t="n"/>
    </s:row>
    <s:row r="23379" hidden="1" ht="1" customHeight="1">
      <s:c r="A23379" s="120" t="inlineStr"/>
      <s:c r="B23379" s="121" t="n"/>
      <s:c r="C23379" s="121" t="n"/>
      <s:c r="D23379" s="121" t="n"/>
      <s:c r="E23379" s="122" t="n"/>
    </s:row>
    <s:row r="23380" hidden="1" ht="1" customHeight="1">
      <s:c r="A23380" s="120" t="inlineStr"/>
      <s:c r="B23380" s="121" t="n"/>
      <s:c r="C23380" s="121" t="n"/>
      <s:c r="D23380" s="121" t="n"/>
      <s:c r="E23380" s="122" t="n"/>
    </s:row>
    <s:row r="23381" hidden="1" ht="1" customHeight="1">
      <s:c r="A23381" s="120" t="inlineStr"/>
      <s:c r="B23381" s="121" t="n"/>
      <s:c r="C23381" s="121" t="n"/>
      <s:c r="D23381" s="121" t="n"/>
      <s:c r="E23381" s="122" t="n"/>
    </s:row>
    <s:row r="23382" hidden="1" ht="1" customHeight="1">
      <s:c r="A23382" s="120" t="inlineStr"/>
      <s:c r="B23382" s="121" t="n"/>
      <s:c r="C23382" s="121" t="n"/>
      <s:c r="D23382" s="121" t="n"/>
      <s:c r="E23382" s="122" t="n"/>
    </s:row>
    <s:row r="23383" hidden="1" ht="1" customHeight="1">
      <s:c r="A23383" s="120" t="inlineStr"/>
      <s:c r="B23383" s="121" t="n"/>
      <s:c r="C23383" s="121" t="n"/>
      <s:c r="D23383" s="121" t="n"/>
      <s:c r="E23383" s="122" t="n"/>
    </s:row>
    <s:row r="23384" hidden="1" ht="1" customHeight="1">
      <s:c r="A23384" s="120" t="inlineStr"/>
      <s:c r="B23384" s="121" t="n"/>
      <s:c r="C23384" s="121" t="n"/>
      <s:c r="D23384" s="121" t="n"/>
      <s:c r="E23384" s="122" t="n"/>
    </s:row>
    <s:row r="23385" hidden="1" ht="1" customHeight="1">
      <s:c r="A23385" s="120" t="inlineStr"/>
      <s:c r="B23385" s="121" t="n"/>
      <s:c r="C23385" s="121" t="n"/>
      <s:c r="D23385" s="121" t="n"/>
      <s:c r="E23385" s="122" t="n"/>
    </s:row>
    <s:row r="23386" hidden="1" ht="1" customHeight="1">
      <s:c r="A23386" s="120" t="inlineStr"/>
      <s:c r="B23386" s="121" t="n"/>
      <s:c r="C23386" s="121" t="n"/>
      <s:c r="D23386" s="121" t="n"/>
      <s:c r="E23386" s="122" t="n"/>
    </s:row>
    <s:row r="23387" hidden="1" ht="1" customHeight="1">
      <s:c r="A23387" s="120" t="inlineStr"/>
      <s:c r="B23387" s="121" t="n"/>
      <s:c r="C23387" s="121" t="n"/>
      <s:c r="D23387" s="121" t="n"/>
      <s:c r="E23387" s="122" t="n"/>
    </s:row>
    <s:row r="23388" hidden="1" ht="1" customHeight="1">
      <s:c r="A23388" s="120" t="inlineStr"/>
      <s:c r="B23388" s="121" t="n"/>
      <s:c r="C23388" s="121" t="n"/>
      <s:c r="D23388" s="121" t="n"/>
      <s:c r="E23388" s="122" t="n"/>
    </s:row>
    <s:row r="23389" hidden="1" ht="1" customHeight="1">
      <s:c r="A23389" s="120" t="inlineStr"/>
      <s:c r="B23389" s="121" t="n"/>
      <s:c r="C23389" s="121" t="n"/>
      <s:c r="D23389" s="121" t="n"/>
      <s:c r="E23389" s="122" t="n"/>
    </s:row>
    <s:row r="23390" hidden="1" ht="1" customHeight="1">
      <s:c r="A23390" s="120" t="inlineStr"/>
      <s:c r="B23390" s="121" t="n"/>
      <s:c r="C23390" s="121" t="n"/>
      <s:c r="D23390" s="121" t="n"/>
      <s:c r="E23390" s="122" t="n"/>
    </s:row>
    <s:row r="23391" hidden="1" ht="1" customHeight="1">
      <s:c r="A23391" s="120" t="inlineStr"/>
      <s:c r="B23391" s="121" t="n"/>
      <s:c r="C23391" s="121" t="n"/>
      <s:c r="D23391" s="121" t="n"/>
      <s:c r="E23391" s="122" t="n"/>
    </s:row>
    <s:row r="23392" hidden="1" ht="1" customHeight="1">
      <s:c r="A23392" s="120" t="inlineStr"/>
      <s:c r="B23392" s="121" t="n"/>
      <s:c r="C23392" s="121" t="n"/>
      <s:c r="D23392" s="121" t="n"/>
      <s:c r="E23392" s="122" t="n"/>
    </s:row>
    <s:row r="23393" hidden="1" ht="1" customHeight="1">
      <s:c r="A23393" s="120" t="inlineStr"/>
      <s:c r="B23393" s="121" t="n"/>
      <s:c r="C23393" s="121" t="n"/>
      <s:c r="D23393" s="121" t="n"/>
      <s:c r="E23393" s="122" t="n"/>
    </s:row>
    <s:row r="23394" hidden="1" ht="1" customHeight="1">
      <s:c r="A23394" s="120" t="inlineStr"/>
      <s:c r="B23394" s="121" t="n"/>
      <s:c r="C23394" s="121" t="n"/>
      <s:c r="D23394" s="121" t="n"/>
      <s:c r="E23394" s="122" t="n"/>
    </s:row>
    <s:row r="23395" hidden="1" ht="1" customHeight="1">
      <s:c r="A23395" s="120" t="inlineStr"/>
      <s:c r="B23395" s="121" t="n"/>
      <s:c r="C23395" s="121" t="n"/>
      <s:c r="D23395" s="121" t="n"/>
      <s:c r="E23395" s="122" t="n"/>
    </s:row>
    <s:row r="23396" hidden="1" ht="1" customHeight="1">
      <s:c r="A23396" s="120" t="inlineStr"/>
      <s:c r="B23396" s="121" t="n"/>
      <s:c r="C23396" s="121" t="n"/>
      <s:c r="D23396" s="121" t="n"/>
      <s:c r="E23396" s="122" t="n"/>
    </s:row>
    <s:row r="23397" hidden="1" ht="1" customHeight="1">
      <s:c r="A23397" s="120" t="inlineStr"/>
      <s:c r="B23397" s="121" t="n"/>
      <s:c r="C23397" s="121" t="n"/>
      <s:c r="D23397" s="121" t="n"/>
      <s:c r="E23397" s="122" t="n"/>
    </s:row>
    <s:row r="23398" hidden="1" ht="1" customHeight="1">
      <s:c r="A23398" s="120" t="inlineStr"/>
      <s:c r="B23398" s="121" t="n"/>
      <s:c r="C23398" s="121" t="n"/>
      <s:c r="D23398" s="121" t="n"/>
      <s:c r="E23398" s="122" t="n"/>
    </s:row>
    <s:row r="23399" hidden="1" ht="1" customHeight="1">
      <s:c r="A23399" s="120" t="inlineStr"/>
      <s:c r="B23399" s="121" t="n"/>
      <s:c r="C23399" s="121" t="n"/>
      <s:c r="D23399" s="121" t="n"/>
      <s:c r="E23399" s="122" t="n"/>
    </s:row>
    <s:row r="23400" hidden="1" ht="1" customHeight="1">
      <s:c r="A23400" s="120" t="inlineStr"/>
      <s:c r="B23400" s="121" t="n"/>
      <s:c r="C23400" s="121" t="n"/>
      <s:c r="D23400" s="121" t="n"/>
      <s:c r="E23400" s="122" t="n"/>
    </s:row>
    <s:row r="23401" hidden="1" ht="1" customHeight="1">
      <s:c r="A23401" s="120" t="inlineStr"/>
      <s:c r="B23401" s="121" t="n"/>
      <s:c r="C23401" s="121" t="n"/>
      <s:c r="D23401" s="121" t="n"/>
      <s:c r="E23401" s="122" t="n"/>
    </s:row>
    <s:row r="23402" hidden="1" ht="1" customHeight="1">
      <s:c r="A23402" s="120" t="inlineStr"/>
      <s:c r="B23402" s="121" t="n"/>
      <s:c r="C23402" s="121" t="n"/>
      <s:c r="D23402" s="121" t="n"/>
      <s:c r="E23402" s="122" t="n"/>
    </s:row>
    <s:row r="23403" hidden="1" ht="1" customHeight="1">
      <s:c r="A23403" s="120" t="inlineStr"/>
      <s:c r="B23403" s="121" t="n"/>
      <s:c r="C23403" s="121" t="n"/>
      <s:c r="D23403" s="121" t="n"/>
      <s:c r="E23403" s="122" t="n"/>
    </s:row>
    <s:row r="23404" hidden="1" ht="1" customHeight="1">
      <s:c r="A23404" s="120" t="inlineStr"/>
      <s:c r="B23404" s="121" t="n"/>
      <s:c r="C23404" s="121" t="n"/>
      <s:c r="D23404" s="121" t="n"/>
      <s:c r="E23404" s="122" t="n"/>
    </s:row>
    <s:row r="23405" hidden="1" ht="1" customHeight="1">
      <s:c r="A23405" s="120" t="inlineStr"/>
      <s:c r="B23405" s="121" t="n"/>
      <s:c r="C23405" s="121" t="n"/>
      <s:c r="D23405" s="121" t="n"/>
      <s:c r="E23405" s="122" t="n"/>
    </s:row>
    <s:row r="23406" hidden="1" ht="1" customHeight="1">
      <s:c r="A23406" s="120" t="inlineStr"/>
      <s:c r="B23406" s="121" t="n"/>
      <s:c r="C23406" s="121" t="n"/>
      <s:c r="D23406" s="121" t="n"/>
      <s:c r="E23406" s="122" t="n"/>
    </s:row>
    <s:row r="23407" hidden="1" ht="1" customHeight="1">
      <s:c r="A23407" s="120" t="inlineStr"/>
      <s:c r="B23407" s="121" t="n"/>
      <s:c r="C23407" s="121" t="n"/>
      <s:c r="D23407" s="121" t="n"/>
      <s:c r="E23407" s="122" t="n"/>
    </s:row>
    <s:row r="23408" hidden="1" ht="1" customHeight="1">
      <s:c r="A23408" s="120" t="inlineStr"/>
      <s:c r="B23408" s="121" t="n"/>
      <s:c r="C23408" s="121" t="n"/>
      <s:c r="D23408" s="121" t="n"/>
      <s:c r="E23408" s="122" t="n"/>
    </s:row>
    <s:row r="23409" hidden="1" ht="1" customHeight="1">
      <s:c r="A23409" s="120" t="inlineStr"/>
      <s:c r="B23409" s="121" t="n"/>
      <s:c r="C23409" s="121" t="n"/>
      <s:c r="D23409" s="121" t="n"/>
      <s:c r="E23409" s="122" t="n"/>
    </s:row>
    <s:row r="23410" hidden="1" ht="1" customHeight="1">
      <s:c r="A23410" s="120" t="inlineStr"/>
      <s:c r="B23410" s="121" t="n"/>
      <s:c r="C23410" s="121" t="n"/>
      <s:c r="D23410" s="121" t="n"/>
      <s:c r="E23410" s="122" t="n"/>
    </s:row>
    <s:row r="23411" hidden="1" ht="1" customHeight="1">
      <s:c r="A23411" s="120" t="inlineStr"/>
      <s:c r="B23411" s="121" t="n"/>
      <s:c r="C23411" s="121" t="n"/>
      <s:c r="D23411" s="121" t="n"/>
      <s:c r="E23411" s="122" t="n"/>
    </s:row>
    <s:row r="23412" hidden="1" ht="1" customHeight="1">
      <s:c r="A23412" s="120" t="inlineStr"/>
      <s:c r="B23412" s="121" t="n"/>
      <s:c r="C23412" s="121" t="n"/>
      <s:c r="D23412" s="121" t="n"/>
      <s:c r="E23412" s="122" t="n"/>
    </s:row>
    <s:row r="23413" hidden="1" ht="1" customHeight="1">
      <s:c r="A23413" s="120" t="inlineStr"/>
      <s:c r="B23413" s="121" t="n"/>
      <s:c r="C23413" s="121" t="n"/>
      <s:c r="D23413" s="121" t="n"/>
      <s:c r="E23413" s="122" t="n"/>
    </s:row>
    <s:row r="23414" hidden="1" ht="1" customHeight="1">
      <s:c r="A23414" s="120" t="inlineStr"/>
      <s:c r="B23414" s="121" t="n"/>
      <s:c r="C23414" s="121" t="n"/>
      <s:c r="D23414" s="121" t="n"/>
      <s:c r="E23414" s="122" t="n"/>
    </s:row>
    <s:row r="23415" hidden="1" ht="1" customHeight="1">
      <s:c r="A23415" s="120" t="inlineStr"/>
      <s:c r="B23415" s="121" t="n"/>
      <s:c r="C23415" s="121" t="n"/>
      <s:c r="D23415" s="121" t="n"/>
      <s:c r="E23415" s="122" t="n"/>
    </s:row>
    <s:row r="23416" hidden="1" ht="1" customHeight="1">
      <s:c r="A23416" s="120" t="inlineStr"/>
      <s:c r="B23416" s="121" t="n"/>
      <s:c r="C23416" s="121" t="n"/>
      <s:c r="D23416" s="121" t="n"/>
      <s:c r="E23416" s="122" t="n"/>
    </s:row>
    <s:row r="23417" hidden="1" ht="1" customHeight="1">
      <s:c r="A23417" s="120" t="inlineStr"/>
      <s:c r="B23417" s="121" t="n"/>
      <s:c r="C23417" s="121" t="n"/>
      <s:c r="D23417" s="121" t="n"/>
      <s:c r="E23417" s="122" t="n"/>
    </s:row>
    <s:row r="23418" hidden="1" ht="1" customHeight="1">
      <s:c r="A23418" s="120" t="inlineStr"/>
      <s:c r="B23418" s="121" t="n"/>
      <s:c r="C23418" s="121" t="n"/>
      <s:c r="D23418" s="121" t="n"/>
      <s:c r="E23418" s="122" t="n"/>
    </s:row>
    <s:row r="23419" hidden="1" ht="1" customHeight="1">
      <s:c r="A23419" s="120" t="inlineStr"/>
      <s:c r="B23419" s="121" t="n"/>
      <s:c r="C23419" s="121" t="n"/>
      <s:c r="D23419" s="121" t="n"/>
      <s:c r="E23419" s="122" t="n"/>
    </s:row>
    <s:row r="23420" hidden="1" ht="1" customHeight="1">
      <s:c r="A23420" s="120" t="inlineStr"/>
      <s:c r="B23420" s="121" t="n"/>
      <s:c r="C23420" s="121" t="n"/>
      <s:c r="D23420" s="121" t="n"/>
      <s:c r="E23420" s="122" t="n"/>
    </s:row>
    <s:row r="23421" hidden="1" ht="1" customHeight="1">
      <s:c r="A23421" s="120" t="inlineStr"/>
      <s:c r="B23421" s="121" t="n"/>
      <s:c r="C23421" s="121" t="n"/>
      <s:c r="D23421" s="121" t="n"/>
      <s:c r="E23421" s="122" t="n"/>
    </s:row>
    <s:row r="23422" hidden="1" ht="1" customHeight="1">
      <s:c r="A23422" s="120" t="inlineStr"/>
      <s:c r="B23422" s="121" t="n"/>
      <s:c r="C23422" s="121" t="n"/>
      <s:c r="D23422" s="121" t="n"/>
      <s:c r="E23422" s="122" t="n"/>
    </s:row>
    <s:row r="23423" hidden="1" ht="1" customHeight="1">
      <s:c r="A23423" s="120" t="inlineStr"/>
      <s:c r="B23423" s="121" t="n"/>
      <s:c r="C23423" s="121" t="n"/>
      <s:c r="D23423" s="121" t="n"/>
      <s:c r="E23423" s="122" t="n"/>
    </s:row>
    <s:row r="23424" hidden="1" ht="1" customHeight="1">
      <s:c r="A23424" s="120" t="inlineStr"/>
      <s:c r="B23424" s="121" t="n"/>
      <s:c r="C23424" s="121" t="n"/>
      <s:c r="D23424" s="121" t="n"/>
      <s:c r="E23424" s="122" t="n"/>
    </s:row>
    <s:row r="23425" hidden="1" ht="1" customHeight="1">
      <s:c r="A23425" s="120" t="inlineStr"/>
      <s:c r="B23425" s="121" t="n"/>
      <s:c r="C23425" s="121" t="n"/>
      <s:c r="D23425" s="121" t="n"/>
      <s:c r="E23425" s="122" t="n"/>
    </s:row>
    <s:row r="23426" hidden="1" ht="1" customHeight="1">
      <s:c r="A23426" s="120" t="inlineStr"/>
      <s:c r="B23426" s="121" t="n"/>
      <s:c r="C23426" s="121" t="n"/>
      <s:c r="D23426" s="121" t="n"/>
      <s:c r="E23426" s="122" t="n"/>
    </s:row>
    <s:row r="23427" hidden="1" ht="1" customHeight="1">
      <s:c r="A23427" s="120" t="inlineStr"/>
      <s:c r="B23427" s="121" t="n"/>
      <s:c r="C23427" s="121" t="n"/>
      <s:c r="D23427" s="121" t="n"/>
      <s:c r="E23427" s="122" t="n"/>
    </s:row>
    <s:row r="23428" hidden="1" ht="1" customHeight="1">
      <s:c r="A23428" s="120" t="inlineStr"/>
      <s:c r="B23428" s="121" t="n"/>
      <s:c r="C23428" s="121" t="n"/>
      <s:c r="D23428" s="121" t="n"/>
      <s:c r="E23428" s="122" t="n"/>
    </s:row>
    <s:row r="23429" hidden="1" ht="1" customHeight="1">
      <s:c r="A23429" s="120" t="inlineStr"/>
      <s:c r="B23429" s="121" t="n"/>
      <s:c r="C23429" s="121" t="n"/>
      <s:c r="D23429" s="121" t="n"/>
      <s:c r="E23429" s="122" t="n"/>
    </s:row>
    <s:row r="23430" hidden="1" ht="1" customHeight="1">
      <s:c r="A23430" s="120" t="inlineStr"/>
      <s:c r="B23430" s="121" t="n"/>
      <s:c r="C23430" s="121" t="n"/>
      <s:c r="D23430" s="121" t="n"/>
      <s:c r="E23430" s="122" t="n"/>
    </s:row>
    <s:row r="23431" hidden="1" ht="1" customHeight="1">
      <s:c r="A23431" s="120" t="inlineStr"/>
      <s:c r="B23431" s="121" t="n"/>
      <s:c r="C23431" s="121" t="n"/>
      <s:c r="D23431" s="121" t="n"/>
      <s:c r="E23431" s="122" t="n"/>
    </s:row>
    <s:row r="23432" hidden="1" ht="1" customHeight="1">
      <s:c r="A23432" s="120" t="inlineStr"/>
      <s:c r="B23432" s="121" t="n"/>
      <s:c r="C23432" s="121" t="n"/>
      <s:c r="D23432" s="121" t="n"/>
      <s:c r="E23432" s="122" t="n"/>
    </s:row>
    <s:row r="23433" hidden="1" ht="1" customHeight="1">
      <s:c r="A23433" s="120" t="inlineStr"/>
      <s:c r="B23433" s="121" t="n"/>
      <s:c r="C23433" s="121" t="n"/>
      <s:c r="D23433" s="121" t="n"/>
      <s:c r="E23433" s="122" t="n"/>
    </s:row>
    <s:row r="23434" hidden="1" ht="1" customHeight="1">
      <s:c r="A23434" s="120" t="inlineStr"/>
      <s:c r="B23434" s="121" t="n"/>
      <s:c r="C23434" s="121" t="n"/>
      <s:c r="D23434" s="121" t="n"/>
      <s:c r="E23434" s="122" t="n"/>
    </s:row>
    <s:row r="23435" hidden="1" ht="1" customHeight="1">
      <s:c r="A23435" s="120" t="inlineStr"/>
      <s:c r="B23435" s="121" t="n"/>
      <s:c r="C23435" s="121" t="n"/>
      <s:c r="D23435" s="121" t="n"/>
      <s:c r="E23435" s="122" t="n"/>
    </s:row>
    <s:row r="23436" hidden="1" ht="1" customHeight="1">
      <s:c r="A23436" s="120" t="inlineStr"/>
      <s:c r="B23436" s="121" t="n"/>
      <s:c r="C23436" s="121" t="n"/>
      <s:c r="D23436" s="121" t="n"/>
      <s:c r="E23436" s="122" t="n"/>
    </s:row>
    <s:row r="23437" hidden="1" ht="1" customHeight="1">
      <s:c r="A23437" s="120" t="inlineStr"/>
      <s:c r="B23437" s="121" t="n"/>
      <s:c r="C23437" s="121" t="n"/>
      <s:c r="D23437" s="121" t="n"/>
      <s:c r="E23437" s="122" t="n"/>
    </s:row>
    <s:row r="23438" hidden="1" ht="1" customHeight="1">
      <s:c r="A23438" s="120" t="inlineStr"/>
      <s:c r="B23438" s="121" t="n"/>
      <s:c r="C23438" s="121" t="n"/>
      <s:c r="D23438" s="121" t="n"/>
      <s:c r="E23438" s="122" t="n"/>
    </s:row>
    <s:row r="23439" hidden="1" ht="1" customHeight="1">
      <s:c r="A23439" s="120" t="inlineStr"/>
      <s:c r="B23439" s="121" t="n"/>
      <s:c r="C23439" s="121" t="n"/>
      <s:c r="D23439" s="121" t="n"/>
      <s:c r="E23439" s="122" t="n"/>
    </s:row>
    <s:row r="23440" hidden="1" ht="1" customHeight="1">
      <s:c r="A23440" s="120" t="inlineStr"/>
      <s:c r="B23440" s="121" t="n"/>
      <s:c r="C23440" s="121" t="n"/>
      <s:c r="D23440" s="121" t="n"/>
      <s:c r="E23440" s="122" t="n"/>
    </s:row>
    <s:row r="23441" hidden="1" ht="1" customHeight="1">
      <s:c r="A23441" s="120" t="inlineStr"/>
      <s:c r="B23441" s="121" t="n"/>
      <s:c r="C23441" s="121" t="n"/>
      <s:c r="D23441" s="121" t="n"/>
      <s:c r="E23441" s="122" t="n"/>
    </s:row>
    <s:row r="23442" hidden="1" ht="1" customHeight="1">
      <s:c r="A23442" s="120" t="inlineStr"/>
      <s:c r="B23442" s="121" t="n"/>
      <s:c r="C23442" s="121" t="n"/>
      <s:c r="D23442" s="121" t="n"/>
      <s:c r="E23442" s="122" t="n"/>
    </s:row>
    <s:row r="23443" hidden="1" ht="1" customHeight="1">
      <s:c r="A23443" s="120" t="inlineStr"/>
      <s:c r="B23443" s="121" t="n"/>
      <s:c r="C23443" s="121" t="n"/>
      <s:c r="D23443" s="121" t="n"/>
      <s:c r="E23443" s="122" t="n"/>
    </s:row>
    <s:row r="23444" hidden="1" ht="1" customHeight="1">
      <s:c r="A23444" s="120" t="inlineStr"/>
      <s:c r="B23444" s="121" t="n"/>
      <s:c r="C23444" s="121" t="n"/>
      <s:c r="D23444" s="121" t="n"/>
      <s:c r="E23444" s="122" t="n"/>
    </s:row>
    <s:row r="23445" hidden="1" ht="1" customHeight="1">
      <s:c r="A23445" s="120" t="inlineStr"/>
      <s:c r="B23445" s="121" t="n"/>
      <s:c r="C23445" s="121" t="n"/>
      <s:c r="D23445" s="121" t="n"/>
      <s:c r="E23445" s="122" t="n"/>
    </s:row>
    <s:row r="23446" hidden="1" ht="1" customHeight="1">
      <s:c r="A23446" s="120" t="inlineStr"/>
      <s:c r="B23446" s="121" t="n"/>
      <s:c r="C23446" s="121" t="n"/>
      <s:c r="D23446" s="121" t="n"/>
      <s:c r="E23446" s="122" t="n"/>
    </s:row>
    <s:row r="23447" hidden="1" ht="1" customHeight="1">
      <s:c r="A23447" s="120" t="inlineStr"/>
      <s:c r="B23447" s="121" t="n"/>
      <s:c r="C23447" s="121" t="n"/>
      <s:c r="D23447" s="121" t="n"/>
      <s:c r="E23447" s="122" t="n"/>
    </s:row>
    <s:row r="23448" hidden="1" ht="1" customHeight="1">
      <s:c r="A23448" s="120" t="inlineStr"/>
      <s:c r="B23448" s="121" t="n"/>
      <s:c r="C23448" s="121" t="n"/>
      <s:c r="D23448" s="121" t="n"/>
      <s:c r="E23448" s="122" t="n"/>
    </s:row>
    <s:row r="23449" hidden="1" ht="1" customHeight="1">
      <s:c r="A23449" s="120" t="inlineStr"/>
      <s:c r="B23449" s="121" t="n"/>
      <s:c r="C23449" s="121" t="n"/>
      <s:c r="D23449" s="121" t="n"/>
      <s:c r="E23449" s="122" t="n"/>
    </s:row>
    <s:row r="23450" hidden="1" ht="1" customHeight="1">
      <s:c r="A23450" s="120" t="inlineStr"/>
      <s:c r="B23450" s="121" t="n"/>
      <s:c r="C23450" s="121" t="n"/>
      <s:c r="D23450" s="121" t="n"/>
      <s:c r="E23450" s="122" t="n"/>
    </s:row>
    <s:row r="23451" hidden="1" ht="1" customHeight="1">
      <s:c r="A23451" s="120" t="inlineStr"/>
      <s:c r="B23451" s="121" t="n"/>
      <s:c r="C23451" s="121" t="n"/>
      <s:c r="D23451" s="121" t="n"/>
      <s:c r="E23451" s="122" t="n"/>
    </s:row>
    <s:row r="23452" hidden="1" ht="1" customHeight="1">
      <s:c r="A23452" s="120" t="inlineStr"/>
      <s:c r="B23452" s="121" t="n"/>
      <s:c r="C23452" s="121" t="n"/>
      <s:c r="D23452" s="121" t="n"/>
      <s:c r="E23452" s="122" t="n"/>
    </s:row>
    <s:row r="23453" hidden="1" ht="1" customHeight="1">
      <s:c r="A23453" s="120" t="inlineStr"/>
      <s:c r="B23453" s="121" t="n"/>
      <s:c r="C23453" s="121" t="n"/>
      <s:c r="D23453" s="121" t="n"/>
      <s:c r="E23453" s="122" t="n"/>
    </s:row>
    <s:row r="23454" hidden="1" ht="1" customHeight="1">
      <s:c r="A23454" s="120" t="inlineStr"/>
      <s:c r="B23454" s="121" t="n"/>
      <s:c r="C23454" s="121" t="n"/>
      <s:c r="D23454" s="121" t="n"/>
      <s:c r="E23454" s="122" t="n"/>
    </s:row>
    <s:row r="23455" hidden="1" ht="1" customHeight="1">
      <s:c r="A23455" s="120" t="inlineStr"/>
      <s:c r="B23455" s="121" t="n"/>
      <s:c r="C23455" s="121" t="n"/>
      <s:c r="D23455" s="121" t="n"/>
      <s:c r="E23455" s="122" t="n"/>
    </s:row>
    <s:row r="23456" hidden="1" ht="1" customHeight="1">
      <s:c r="A23456" s="120" t="inlineStr"/>
      <s:c r="B23456" s="121" t="n"/>
      <s:c r="C23456" s="121" t="n"/>
      <s:c r="D23456" s="121" t="n"/>
      <s:c r="E23456" s="122" t="n"/>
    </s:row>
    <s:row r="23457" hidden="1" ht="1" customHeight="1">
      <s:c r="A23457" s="120" t="inlineStr"/>
      <s:c r="B23457" s="121" t="n"/>
      <s:c r="C23457" s="121" t="n"/>
      <s:c r="D23457" s="121" t="n"/>
      <s:c r="E23457" s="122" t="n"/>
    </s:row>
    <s:row r="23458" hidden="1" ht="1" customHeight="1">
      <s:c r="A23458" s="120" t="inlineStr"/>
      <s:c r="B23458" s="121" t="n"/>
      <s:c r="C23458" s="121" t="n"/>
      <s:c r="D23458" s="121" t="n"/>
      <s:c r="E23458" s="122" t="n"/>
    </s:row>
    <s:row r="23459" hidden="1" ht="1" customHeight="1">
      <s:c r="A23459" s="120" t="inlineStr"/>
      <s:c r="B23459" s="121" t="n"/>
      <s:c r="C23459" s="121" t="n"/>
      <s:c r="D23459" s="121" t="n"/>
      <s:c r="E23459" s="122" t="n"/>
    </s:row>
    <s:row r="23460" hidden="1" ht="1" customHeight="1">
      <s:c r="A23460" s="120" t="inlineStr"/>
      <s:c r="B23460" s="121" t="n"/>
      <s:c r="C23460" s="121" t="n"/>
      <s:c r="D23460" s="121" t="n"/>
      <s:c r="E23460" s="122" t="n"/>
    </s:row>
    <s:row r="23461" hidden="1" ht="1" customHeight="1">
      <s:c r="A23461" s="120" t="inlineStr"/>
      <s:c r="B23461" s="121" t="n"/>
      <s:c r="C23461" s="121" t="n"/>
      <s:c r="D23461" s="121" t="n"/>
      <s:c r="E23461" s="122" t="n"/>
    </s:row>
    <s:row r="23462" hidden="1" ht="1" customHeight="1">
      <s:c r="A23462" s="120" t="inlineStr"/>
      <s:c r="B23462" s="121" t="n"/>
      <s:c r="C23462" s="121" t="n"/>
      <s:c r="D23462" s="121" t="n"/>
      <s:c r="E23462" s="122" t="n"/>
    </s:row>
    <s:row r="23463" hidden="1" ht="1" customHeight="1">
      <s:c r="A23463" s="120" t="inlineStr"/>
      <s:c r="B23463" s="121" t="n"/>
      <s:c r="C23463" s="121" t="n"/>
      <s:c r="D23463" s="121" t="n"/>
      <s:c r="E23463" s="122" t="n"/>
    </s:row>
    <s:row r="23464" hidden="1" ht="1" customHeight="1">
      <s:c r="A23464" s="120" t="inlineStr"/>
      <s:c r="B23464" s="121" t="n"/>
      <s:c r="C23464" s="121" t="n"/>
      <s:c r="D23464" s="121" t="n"/>
      <s:c r="E23464" s="122" t="n"/>
    </s:row>
    <s:row r="23465" hidden="1" ht="1" customHeight="1">
      <s:c r="A23465" s="120" t="inlineStr"/>
      <s:c r="B23465" s="121" t="n"/>
      <s:c r="C23465" s="121" t="n"/>
      <s:c r="D23465" s="121" t="n"/>
      <s:c r="E23465" s="122" t="n"/>
    </s:row>
    <s:row r="23466" hidden="1" ht="1" customHeight="1">
      <s:c r="A23466" s="120" t="inlineStr"/>
      <s:c r="B23466" s="121" t="n"/>
      <s:c r="C23466" s="121" t="n"/>
      <s:c r="D23466" s="121" t="n"/>
      <s:c r="E23466" s="122" t="n"/>
    </s:row>
    <s:row r="23467" hidden="1" ht="1" customHeight="1">
      <s:c r="A23467" s="120" t="inlineStr"/>
      <s:c r="B23467" s="121" t="n"/>
      <s:c r="C23467" s="121" t="n"/>
      <s:c r="D23467" s="121" t="n"/>
      <s:c r="E23467" s="122" t="n"/>
    </s:row>
    <s:row r="23468" hidden="1" ht="1" customHeight="1">
      <s:c r="A23468" s="120" t="inlineStr"/>
      <s:c r="B23468" s="121" t="n"/>
      <s:c r="C23468" s="121" t="n"/>
      <s:c r="D23468" s="121" t="n"/>
      <s:c r="E23468" s="122" t="n"/>
    </s:row>
    <s:row r="23469" hidden="1" ht="1" customHeight="1">
      <s:c r="A23469" s="120" t="inlineStr"/>
      <s:c r="B23469" s="121" t="n"/>
      <s:c r="C23469" s="121" t="n"/>
      <s:c r="D23469" s="121" t="n"/>
      <s:c r="E23469" s="122" t="n"/>
    </s:row>
    <s:row r="23470" hidden="1" ht="1" customHeight="1">
      <s:c r="A23470" s="120" t="inlineStr"/>
      <s:c r="B23470" s="121" t="n"/>
      <s:c r="C23470" s="121" t="n"/>
      <s:c r="D23470" s="121" t="n"/>
      <s:c r="E23470" s="122" t="n"/>
    </s:row>
    <s:row r="23471" hidden="1" ht="1" customHeight="1">
      <s:c r="A23471" s="120" t="inlineStr"/>
      <s:c r="B23471" s="121" t="n"/>
      <s:c r="C23471" s="121" t="n"/>
      <s:c r="D23471" s="121" t="n"/>
      <s:c r="E23471" s="122" t="n"/>
    </s:row>
    <s:row r="23472" hidden="1" ht="1" customHeight="1">
      <s:c r="A23472" s="120" t="inlineStr"/>
      <s:c r="B23472" s="121" t="n"/>
      <s:c r="C23472" s="121" t="n"/>
      <s:c r="D23472" s="121" t="n"/>
      <s:c r="E23472" s="122" t="n"/>
    </s:row>
    <s:row r="23473" hidden="1" ht="1" customHeight="1">
      <s:c r="A23473" s="120" t="inlineStr"/>
      <s:c r="B23473" s="121" t="n"/>
      <s:c r="C23473" s="121" t="n"/>
      <s:c r="D23473" s="121" t="n"/>
      <s:c r="E23473" s="122" t="n"/>
    </s:row>
    <s:row r="23474" hidden="1" ht="1" customHeight="1">
      <s:c r="A23474" s="120" t="inlineStr"/>
      <s:c r="B23474" s="121" t="n"/>
      <s:c r="C23474" s="121" t="n"/>
      <s:c r="D23474" s="121" t="n"/>
      <s:c r="E23474" s="122" t="n"/>
    </s:row>
    <s:row r="23475" hidden="1" ht="1" customHeight="1">
      <s:c r="A23475" s="120" t="inlineStr"/>
      <s:c r="B23475" s="121" t="n"/>
      <s:c r="C23475" s="121" t="n"/>
      <s:c r="D23475" s="121" t="n"/>
      <s:c r="E23475" s="122" t="n"/>
    </s:row>
    <s:row r="23476" hidden="1" ht="1" customHeight="1">
      <s:c r="A23476" s="120" t="inlineStr"/>
      <s:c r="B23476" s="121" t="n"/>
      <s:c r="C23476" s="121" t="n"/>
      <s:c r="D23476" s="121" t="n"/>
      <s:c r="E23476" s="122" t="n"/>
    </s:row>
    <s:row r="23477" hidden="1" ht="1" customHeight="1">
      <s:c r="A23477" s="120" t="inlineStr"/>
      <s:c r="B23477" s="121" t="n"/>
      <s:c r="C23477" s="121" t="n"/>
      <s:c r="D23477" s="121" t="n"/>
      <s:c r="E23477" s="122" t="n"/>
    </s:row>
    <s:row r="23478" hidden="1" ht="1" customHeight="1">
      <s:c r="A23478" s="120" t="inlineStr"/>
      <s:c r="B23478" s="121" t="n"/>
      <s:c r="C23478" s="121" t="n"/>
      <s:c r="D23478" s="121" t="n"/>
      <s:c r="E23478" s="122" t="n"/>
    </s:row>
    <s:row r="23479" hidden="1" ht="1" customHeight="1">
      <s:c r="A23479" s="120" t="inlineStr"/>
      <s:c r="B23479" s="121" t="n"/>
      <s:c r="C23479" s="121" t="n"/>
      <s:c r="D23479" s="121" t="n"/>
      <s:c r="E23479" s="122" t="n"/>
    </s:row>
    <s:row r="23480" hidden="1" ht="1" customHeight="1">
      <s:c r="A23480" s="120" t="inlineStr"/>
      <s:c r="B23480" s="121" t="n"/>
      <s:c r="C23480" s="121" t="n"/>
      <s:c r="D23480" s="121" t="n"/>
      <s:c r="E23480" s="122" t="n"/>
    </s:row>
    <s:row r="23481" hidden="1" ht="1" customHeight="1">
      <s:c r="A23481" s="120" t="inlineStr"/>
      <s:c r="B23481" s="121" t="n"/>
      <s:c r="C23481" s="121" t="n"/>
      <s:c r="D23481" s="121" t="n"/>
      <s:c r="E23481" s="122" t="n"/>
    </s:row>
    <s:row r="23482" hidden="1" ht="1" customHeight="1">
      <s:c r="A23482" s="120" t="inlineStr"/>
      <s:c r="B23482" s="121" t="n"/>
      <s:c r="C23482" s="121" t="n"/>
      <s:c r="D23482" s="121" t="n"/>
      <s:c r="E23482" s="122" t="n"/>
    </s:row>
    <s:row r="23483" hidden="1" ht="1" customHeight="1">
      <s:c r="A23483" s="120" t="inlineStr"/>
      <s:c r="B23483" s="121" t="n"/>
      <s:c r="C23483" s="121" t="n"/>
      <s:c r="D23483" s="121" t="n"/>
      <s:c r="E23483" s="122" t="n"/>
    </s:row>
    <s:row r="23484" hidden="1" ht="1" customHeight="1">
      <s:c r="A23484" s="120" t="inlineStr"/>
      <s:c r="B23484" s="121" t="n"/>
      <s:c r="C23484" s="121" t="n"/>
      <s:c r="D23484" s="121" t="n"/>
      <s:c r="E23484" s="122" t="n"/>
    </s:row>
    <s:row r="23485" hidden="1" ht="1" customHeight="1">
      <s:c r="A23485" s="120" t="inlineStr"/>
      <s:c r="B23485" s="121" t="n"/>
      <s:c r="C23485" s="121" t="n"/>
      <s:c r="D23485" s="121" t="n"/>
      <s:c r="E23485" s="122" t="n"/>
    </s:row>
    <s:row r="23486" hidden="1" ht="1" customHeight="1">
      <s:c r="A23486" s="120" t="inlineStr"/>
      <s:c r="B23486" s="121" t="n"/>
      <s:c r="C23486" s="121" t="n"/>
      <s:c r="D23486" s="121" t="n"/>
      <s:c r="E23486" s="122" t="n"/>
    </s:row>
    <s:row r="23487" hidden="1" ht="1" customHeight="1">
      <s:c r="A23487" s="120" t="inlineStr"/>
      <s:c r="B23487" s="121" t="n"/>
      <s:c r="C23487" s="121" t="n"/>
      <s:c r="D23487" s="121" t="n"/>
      <s:c r="E23487" s="122" t="n"/>
    </s:row>
    <s:row r="23488" hidden="1" ht="1" customHeight="1">
      <s:c r="A23488" s="120" t="inlineStr"/>
      <s:c r="B23488" s="121" t="n"/>
      <s:c r="C23488" s="121" t="n"/>
      <s:c r="D23488" s="121" t="n"/>
      <s:c r="E23488" s="122" t="n"/>
    </s:row>
    <s:row r="23489" hidden="1" ht="1" customHeight="1">
      <s:c r="A23489" s="120" t="inlineStr"/>
      <s:c r="B23489" s="121" t="n"/>
      <s:c r="C23489" s="121" t="n"/>
      <s:c r="D23489" s="121" t="n"/>
      <s:c r="E23489" s="122" t="n"/>
    </s:row>
    <s:row r="23490" hidden="1" ht="1" customHeight="1">
      <s:c r="A23490" s="120" t="inlineStr"/>
      <s:c r="B23490" s="121" t="n"/>
      <s:c r="C23490" s="121" t="n"/>
      <s:c r="D23490" s="121" t="n"/>
      <s:c r="E23490" s="122" t="n"/>
    </s:row>
    <s:row r="23491" hidden="1" ht="1" customHeight="1">
      <s:c r="A23491" s="120" t="inlineStr"/>
      <s:c r="B23491" s="121" t="n"/>
      <s:c r="C23491" s="121" t="n"/>
      <s:c r="D23491" s="121" t="n"/>
      <s:c r="E23491" s="122" t="n"/>
    </s:row>
    <s:row r="23492" hidden="1" ht="1" customHeight="1">
      <s:c r="A23492" s="120" t="inlineStr"/>
      <s:c r="B23492" s="121" t="n"/>
      <s:c r="C23492" s="121" t="n"/>
      <s:c r="D23492" s="121" t="n"/>
      <s:c r="E23492" s="122" t="n"/>
    </s:row>
    <s:row r="23493" hidden="1" ht="1" customHeight="1">
      <s:c r="A23493" s="120" t="inlineStr"/>
      <s:c r="B23493" s="121" t="n"/>
      <s:c r="C23493" s="121" t="n"/>
      <s:c r="D23493" s="121" t="n"/>
      <s:c r="E23493" s="122" t="n"/>
    </s:row>
    <s:row r="23494" hidden="1" ht="1" customHeight="1">
      <s:c r="A23494" s="120" t="inlineStr"/>
      <s:c r="B23494" s="121" t="n"/>
      <s:c r="C23494" s="121" t="n"/>
      <s:c r="D23494" s="121" t="n"/>
      <s:c r="E23494" s="122" t="n"/>
    </s:row>
    <s:row r="23495" hidden="1" ht="1" customHeight="1">
      <s:c r="A23495" s="120" t="inlineStr"/>
      <s:c r="B23495" s="121" t="n"/>
      <s:c r="C23495" s="121" t="n"/>
      <s:c r="D23495" s="121" t="n"/>
      <s:c r="E23495" s="122" t="n"/>
    </s:row>
    <s:row r="23496" hidden="1" ht="1" customHeight="1">
      <s:c r="A23496" s="120" t="inlineStr"/>
      <s:c r="B23496" s="121" t="n"/>
      <s:c r="C23496" s="121" t="n"/>
      <s:c r="D23496" s="121" t="n"/>
      <s:c r="E23496" s="122" t="n"/>
    </s:row>
    <s:row r="23497" hidden="1" ht="1" customHeight="1">
      <s:c r="A23497" s="120" t="inlineStr"/>
      <s:c r="B23497" s="121" t="n"/>
      <s:c r="C23497" s="121" t="n"/>
      <s:c r="D23497" s="121" t="n"/>
      <s:c r="E23497" s="122" t="n"/>
    </s:row>
    <s:row r="23498" hidden="1" ht="1" customHeight="1">
      <s:c r="A23498" s="120" t="inlineStr"/>
      <s:c r="B23498" s="121" t="n"/>
      <s:c r="C23498" s="121" t="n"/>
      <s:c r="D23498" s="121" t="n"/>
      <s:c r="E23498" s="122" t="n"/>
    </s:row>
    <s:row r="23499" hidden="1" ht="1" customHeight="1">
      <s:c r="A23499" s="120" t="inlineStr"/>
      <s:c r="B23499" s="121" t="n"/>
      <s:c r="C23499" s="121" t="n"/>
      <s:c r="D23499" s="121" t="n"/>
      <s:c r="E23499" s="122" t="n"/>
    </s:row>
    <s:row r="23500" hidden="1" ht="1" customHeight="1">
      <s:c r="A23500" s="120" t="inlineStr"/>
      <s:c r="B23500" s="121" t="n"/>
      <s:c r="C23500" s="121" t="n"/>
      <s:c r="D23500" s="121" t="n"/>
      <s:c r="E23500" s="122" t="n"/>
    </s:row>
    <s:row r="23501" hidden="1" ht="1" customHeight="1">
      <s:c r="A23501" s="120" t="inlineStr"/>
      <s:c r="B23501" s="121" t="n"/>
      <s:c r="C23501" s="121" t="n"/>
      <s:c r="D23501" s="121" t="n"/>
      <s:c r="E23501" s="122" t="n"/>
    </s:row>
    <s:row r="23502" hidden="1" ht="1" customHeight="1">
      <s:c r="A23502" s="120" t="inlineStr"/>
      <s:c r="B23502" s="121" t="n"/>
      <s:c r="C23502" s="121" t="n"/>
      <s:c r="D23502" s="121" t="n"/>
      <s:c r="E23502" s="122" t="n"/>
    </s:row>
    <s:row r="23503" hidden="1" ht="1" customHeight="1">
      <s:c r="A23503" s="120" t="inlineStr"/>
      <s:c r="B23503" s="121" t="n"/>
      <s:c r="C23503" s="121" t="n"/>
      <s:c r="D23503" s="121" t="n"/>
      <s:c r="E23503" s="122" t="n"/>
    </s:row>
    <s:row r="23504" hidden="1" ht="1" customHeight="1">
      <s:c r="A23504" s="120" t="inlineStr"/>
      <s:c r="B23504" s="121" t="n"/>
      <s:c r="C23504" s="121" t="n"/>
      <s:c r="D23504" s="121" t="n"/>
      <s:c r="E23504" s="122" t="n"/>
    </s:row>
    <s:row r="23505" hidden="1" ht="1" customHeight="1">
      <s:c r="A23505" s="120" t="inlineStr"/>
      <s:c r="B23505" s="121" t="n"/>
      <s:c r="C23505" s="121" t="n"/>
      <s:c r="D23505" s="121" t="n"/>
      <s:c r="E23505" s="122" t="n"/>
    </s:row>
    <s:row r="23506" hidden="1" ht="1" customHeight="1">
      <s:c r="A23506" s="120" t="inlineStr"/>
      <s:c r="B23506" s="121" t="n"/>
      <s:c r="C23506" s="121" t="n"/>
      <s:c r="D23506" s="121" t="n"/>
      <s:c r="E23506" s="122" t="n"/>
    </s:row>
    <s:row r="23507" hidden="1" ht="1" customHeight="1">
      <s:c r="A23507" s="120" t="inlineStr"/>
      <s:c r="B23507" s="121" t="n"/>
      <s:c r="C23507" s="121" t="n"/>
      <s:c r="D23507" s="121" t="n"/>
      <s:c r="E23507" s="122" t="n"/>
    </s:row>
    <s:row r="23508" hidden="1" ht="1" customHeight="1">
      <s:c r="A23508" s="120" t="inlineStr"/>
      <s:c r="B23508" s="121" t="n"/>
      <s:c r="C23508" s="121" t="n"/>
      <s:c r="D23508" s="121" t="n"/>
      <s:c r="E23508" s="122" t="n"/>
    </s:row>
    <s:row r="23509" hidden="1" ht="1" customHeight="1">
      <s:c r="A23509" s="120" t="inlineStr"/>
      <s:c r="B23509" s="121" t="n"/>
      <s:c r="C23509" s="121" t="n"/>
      <s:c r="D23509" s="121" t="n"/>
      <s:c r="E23509" s="122" t="n"/>
    </s:row>
    <s:row r="23510" hidden="1" ht="1" customHeight="1">
      <s:c r="A23510" s="120" t="inlineStr"/>
      <s:c r="B23510" s="121" t="n"/>
      <s:c r="C23510" s="121" t="n"/>
      <s:c r="D23510" s="121" t="n"/>
      <s:c r="E23510" s="122" t="n"/>
    </s:row>
    <s:row r="23511" hidden="1" ht="1" customHeight="1">
      <s:c r="A23511" s="120" t="inlineStr"/>
      <s:c r="B23511" s="121" t="n"/>
      <s:c r="C23511" s="121" t="n"/>
      <s:c r="D23511" s="121" t="n"/>
      <s:c r="E23511" s="122" t="n"/>
    </s:row>
    <s:row r="23512" hidden="1" ht="1" customHeight="1">
      <s:c r="A23512" s="120" t="inlineStr"/>
      <s:c r="B23512" s="121" t="n"/>
      <s:c r="C23512" s="121" t="n"/>
      <s:c r="D23512" s="121" t="n"/>
      <s:c r="E23512" s="122" t="n"/>
    </s:row>
    <s:row r="23513" hidden="1" ht="1" customHeight="1">
      <s:c r="A23513" s="120" t="inlineStr"/>
      <s:c r="B23513" s="121" t="n"/>
      <s:c r="C23513" s="121" t="n"/>
      <s:c r="D23513" s="121" t="n"/>
      <s:c r="E23513" s="122" t="n"/>
    </s:row>
    <s:row r="23514" hidden="1" ht="1" customHeight="1">
      <s:c r="A23514" s="120" t="inlineStr"/>
      <s:c r="B23514" s="121" t="n"/>
      <s:c r="C23514" s="121" t="n"/>
      <s:c r="D23514" s="121" t="n"/>
      <s:c r="E23514" s="122" t="n"/>
    </s:row>
    <s:row r="23515" hidden="1" ht="1" customHeight="1">
      <s:c r="A23515" s="120" t="inlineStr"/>
      <s:c r="B23515" s="121" t="n"/>
      <s:c r="C23515" s="121" t="n"/>
      <s:c r="D23515" s="121" t="n"/>
      <s:c r="E23515" s="122" t="n"/>
    </s:row>
    <s:row r="23516" hidden="1" ht="1" customHeight="1">
      <s:c r="A23516" s="120" t="inlineStr"/>
      <s:c r="B23516" s="121" t="n"/>
      <s:c r="C23516" s="121" t="n"/>
      <s:c r="D23516" s="121" t="n"/>
      <s:c r="E23516" s="122" t="n"/>
    </s:row>
    <s:row r="23517" hidden="1" ht="1" customHeight="1">
      <s:c r="A23517" s="120" t="inlineStr"/>
      <s:c r="B23517" s="121" t="n"/>
      <s:c r="C23517" s="121" t="n"/>
      <s:c r="D23517" s="121" t="n"/>
      <s:c r="E23517" s="122" t="n"/>
    </s:row>
    <s:row r="23518" hidden="1" ht="1" customHeight="1">
      <s:c r="A23518" s="120" t="inlineStr"/>
      <s:c r="B23518" s="121" t="n"/>
      <s:c r="C23518" s="121" t="n"/>
      <s:c r="D23518" s="121" t="n"/>
      <s:c r="E23518" s="122" t="n"/>
    </s:row>
    <s:row r="23519" hidden="1" ht="1" customHeight="1">
      <s:c r="A23519" s="120" t="inlineStr"/>
      <s:c r="B23519" s="121" t="n"/>
      <s:c r="C23519" s="121" t="n"/>
      <s:c r="D23519" s="121" t="n"/>
      <s:c r="E23519" s="122" t="n"/>
    </s:row>
    <s:row r="23520" hidden="1" ht="1" customHeight="1">
      <s:c r="A23520" s="120" t="inlineStr"/>
      <s:c r="B23520" s="121" t="n"/>
      <s:c r="C23520" s="121" t="n"/>
      <s:c r="D23520" s="121" t="n"/>
      <s:c r="E23520" s="122" t="n"/>
    </s:row>
    <s:row r="23521" hidden="1" ht="1" customHeight="1">
      <s:c r="A23521" s="120" t="inlineStr"/>
      <s:c r="B23521" s="121" t="n"/>
      <s:c r="C23521" s="121" t="n"/>
      <s:c r="D23521" s="121" t="n"/>
      <s:c r="E23521" s="122" t="n"/>
    </s:row>
    <s:row r="23522" hidden="1" ht="1" customHeight="1">
      <s:c r="A23522" s="120" t="inlineStr"/>
      <s:c r="B23522" s="121" t="n"/>
      <s:c r="C23522" s="121" t="n"/>
      <s:c r="D23522" s="121" t="n"/>
      <s:c r="E23522" s="122" t="n"/>
    </s:row>
    <s:row r="23523" hidden="1" ht="1" customHeight="1">
      <s:c r="A23523" s="120" t="inlineStr"/>
      <s:c r="B23523" s="121" t="n"/>
      <s:c r="C23523" s="121" t="n"/>
      <s:c r="D23523" s="121" t="n"/>
      <s:c r="E23523" s="122" t="n"/>
    </s:row>
    <s:row r="23524" hidden="1" ht="1" customHeight="1">
      <s:c r="A23524" s="120" t="inlineStr"/>
      <s:c r="B23524" s="121" t="n"/>
      <s:c r="C23524" s="121" t="n"/>
      <s:c r="D23524" s="121" t="n"/>
      <s:c r="E23524" s="122" t="n"/>
    </s:row>
    <s:row r="23525" hidden="1" ht="1" customHeight="1">
      <s:c r="A23525" s="120" t="inlineStr"/>
      <s:c r="B23525" s="121" t="n"/>
      <s:c r="C23525" s="121" t="n"/>
      <s:c r="D23525" s="121" t="n"/>
      <s:c r="E23525" s="122" t="n"/>
    </s:row>
    <s:row r="23526" hidden="1" ht="1" customHeight="1">
      <s:c r="A23526" s="120" t="inlineStr"/>
      <s:c r="B23526" s="121" t="n"/>
      <s:c r="C23526" s="121" t="n"/>
      <s:c r="D23526" s="121" t="n"/>
      <s:c r="E23526" s="122" t="n"/>
    </s:row>
    <s:row r="23527" hidden="1" ht="1" customHeight="1">
      <s:c r="A23527" s="120" t="inlineStr"/>
      <s:c r="B23527" s="121" t="n"/>
      <s:c r="C23527" s="121" t="n"/>
      <s:c r="D23527" s="121" t="n"/>
      <s:c r="E23527" s="122" t="n"/>
    </s:row>
    <s:row r="23528" hidden="1" ht="1" customHeight="1">
      <s:c r="A23528" s="120" t="inlineStr"/>
      <s:c r="B23528" s="121" t="n"/>
      <s:c r="C23528" s="121" t="n"/>
      <s:c r="D23528" s="121" t="n"/>
      <s:c r="E23528" s="122" t="n"/>
    </s:row>
    <s:row r="23529" hidden="1" ht="1" customHeight="1">
      <s:c r="A23529" s="120" t="inlineStr"/>
      <s:c r="B23529" s="121" t="n"/>
      <s:c r="C23529" s="121" t="n"/>
      <s:c r="D23529" s="121" t="n"/>
      <s:c r="E23529" s="122" t="n"/>
    </s:row>
    <s:row r="23530" hidden="1" ht="1" customHeight="1">
      <s:c r="A23530" s="120" t="inlineStr"/>
      <s:c r="B23530" s="121" t="n"/>
      <s:c r="C23530" s="121" t="n"/>
      <s:c r="D23530" s="121" t="n"/>
      <s:c r="E23530" s="122" t="n"/>
    </s:row>
    <s:row r="23531" hidden="1" ht="1" customHeight="1">
      <s:c r="A23531" s="120" t="inlineStr"/>
      <s:c r="B23531" s="121" t="n"/>
      <s:c r="C23531" s="121" t="n"/>
      <s:c r="D23531" s="121" t="n"/>
      <s:c r="E23531" s="122" t="n"/>
    </s:row>
    <s:row r="23532" hidden="1" ht="1" customHeight="1">
      <s:c r="A23532" s="120" t="inlineStr"/>
      <s:c r="B23532" s="121" t="n"/>
      <s:c r="C23532" s="121" t="n"/>
      <s:c r="D23532" s="121" t="n"/>
      <s:c r="E23532" s="122" t="n"/>
    </s:row>
    <s:row r="23533" hidden="1" ht="1" customHeight="1">
      <s:c r="A23533" s="120" t="inlineStr"/>
      <s:c r="B23533" s="121" t="n"/>
      <s:c r="C23533" s="121" t="n"/>
      <s:c r="D23533" s="121" t="n"/>
      <s:c r="E23533" s="122" t="n"/>
    </s:row>
    <s:row r="23534" hidden="1" ht="1" customHeight="1">
      <s:c r="A23534" s="120" t="inlineStr"/>
      <s:c r="B23534" s="121" t="n"/>
      <s:c r="C23534" s="121" t="n"/>
      <s:c r="D23534" s="121" t="n"/>
      <s:c r="E23534" s="122" t="n"/>
    </s:row>
    <s:row r="23535" hidden="1" ht="1" customHeight="1">
      <s:c r="A23535" s="120" t="inlineStr"/>
      <s:c r="B23535" s="121" t="n"/>
      <s:c r="C23535" s="121" t="n"/>
      <s:c r="D23535" s="121" t="n"/>
      <s:c r="E23535" s="122" t="n"/>
    </s:row>
    <s:row r="23536" hidden="1" ht="1" customHeight="1">
      <s:c r="A23536" s="120" t="inlineStr"/>
      <s:c r="B23536" s="121" t="n"/>
      <s:c r="C23536" s="121" t="n"/>
      <s:c r="D23536" s="121" t="n"/>
      <s:c r="E23536" s="122" t="n"/>
    </s:row>
    <s:row r="23537" hidden="1" ht="1" customHeight="1">
      <s:c r="A23537" s="120" t="inlineStr"/>
      <s:c r="B23537" s="121" t="n"/>
      <s:c r="C23537" s="121" t="n"/>
      <s:c r="D23537" s="121" t="n"/>
      <s:c r="E23537" s="122" t="n"/>
    </s:row>
    <s:row r="23538" hidden="1" ht="1" customHeight="1">
      <s:c r="A23538" s="120" t="inlineStr"/>
      <s:c r="B23538" s="121" t="n"/>
      <s:c r="C23538" s="121" t="n"/>
      <s:c r="D23538" s="121" t="n"/>
      <s:c r="E23538" s="122" t="n"/>
    </s:row>
    <s:row r="23539" hidden="1" ht="1" customHeight="1">
      <s:c r="A23539" s="120" t="inlineStr"/>
      <s:c r="B23539" s="121" t="n"/>
      <s:c r="C23539" s="121" t="n"/>
      <s:c r="D23539" s="121" t="n"/>
      <s:c r="E23539" s="122" t="n"/>
    </s:row>
    <s:row r="23540" hidden="1" ht="1" customHeight="1">
      <s:c r="A23540" s="120" t="inlineStr"/>
      <s:c r="B23540" s="121" t="n"/>
      <s:c r="C23540" s="121" t="n"/>
      <s:c r="D23540" s="121" t="n"/>
      <s:c r="E23540" s="122" t="n"/>
    </s:row>
    <s:row r="23541" hidden="1" ht="1" customHeight="1">
      <s:c r="A23541" s="120" t="inlineStr"/>
      <s:c r="B23541" s="121" t="n"/>
      <s:c r="C23541" s="121" t="n"/>
      <s:c r="D23541" s="121" t="n"/>
      <s:c r="E23541" s="122" t="n"/>
    </s:row>
    <s:row r="23542" hidden="1" ht="1" customHeight="1">
      <s:c r="A23542" s="120" t="inlineStr"/>
      <s:c r="B23542" s="121" t="n"/>
      <s:c r="C23542" s="121" t="n"/>
      <s:c r="D23542" s="121" t="n"/>
      <s:c r="E23542" s="122" t="n"/>
    </s:row>
    <s:row r="23543" hidden="1" ht="1" customHeight="1">
      <s:c r="A23543" s="120" t="inlineStr"/>
      <s:c r="B23543" s="121" t="n"/>
      <s:c r="C23543" s="121" t="n"/>
      <s:c r="D23543" s="121" t="n"/>
      <s:c r="E23543" s="122" t="n"/>
    </s:row>
    <s:row r="23544" hidden="1" ht="1" customHeight="1">
      <s:c r="A23544" s="120" t="inlineStr"/>
      <s:c r="B23544" s="121" t="n"/>
      <s:c r="C23544" s="121" t="n"/>
      <s:c r="D23544" s="121" t="n"/>
      <s:c r="E23544" s="122" t="n"/>
    </s:row>
    <s:row r="23545" hidden="1" ht="1" customHeight="1">
      <s:c r="A23545" s="120" t="inlineStr"/>
      <s:c r="B23545" s="121" t="n"/>
      <s:c r="C23545" s="121" t="n"/>
      <s:c r="D23545" s="121" t="n"/>
      <s:c r="E23545" s="122" t="n"/>
    </s:row>
    <s:row r="23546" hidden="1" ht="1" customHeight="1">
      <s:c r="A23546" s="120" t="inlineStr"/>
      <s:c r="B23546" s="121" t="n"/>
      <s:c r="C23546" s="121" t="n"/>
      <s:c r="D23546" s="121" t="n"/>
      <s:c r="E23546" s="122" t="n"/>
    </s:row>
    <s:row r="23547" hidden="1" ht="1" customHeight="1">
      <s:c r="A23547" s="120" t="inlineStr"/>
      <s:c r="B23547" s="121" t="n"/>
      <s:c r="C23547" s="121" t="n"/>
      <s:c r="D23547" s="121" t="n"/>
      <s:c r="E23547" s="122" t="n"/>
    </s:row>
    <s:row r="23548" hidden="1" ht="1" customHeight="1">
      <s:c r="A23548" s="120" t="inlineStr"/>
      <s:c r="B23548" s="121" t="n"/>
      <s:c r="C23548" s="121" t="n"/>
      <s:c r="D23548" s="121" t="n"/>
      <s:c r="E23548" s="122" t="n"/>
    </s:row>
    <s:row r="23549" hidden="1" ht="1" customHeight="1">
      <s:c r="A23549" s="120" t="inlineStr"/>
      <s:c r="B23549" s="121" t="n"/>
      <s:c r="C23549" s="121" t="n"/>
      <s:c r="D23549" s="121" t="n"/>
      <s:c r="E23549" s="122" t="n"/>
    </s:row>
    <s:row r="23550" hidden="1" ht="1" customHeight="1">
      <s:c r="A23550" s="120" t="inlineStr"/>
      <s:c r="B23550" s="121" t="n"/>
      <s:c r="C23550" s="121" t="n"/>
      <s:c r="D23550" s="121" t="n"/>
      <s:c r="E23550" s="122" t="n"/>
    </s:row>
    <s:row r="23551" hidden="1" ht="1" customHeight="1">
      <s:c r="A23551" s="120" t="inlineStr"/>
      <s:c r="B23551" s="121" t="n"/>
      <s:c r="C23551" s="121" t="n"/>
      <s:c r="D23551" s="121" t="n"/>
      <s:c r="E23551" s="122" t="n"/>
    </s:row>
    <s:row r="23552" hidden="1" ht="1" customHeight="1">
      <s:c r="A23552" s="120" t="inlineStr"/>
      <s:c r="B23552" s="121" t="n"/>
      <s:c r="C23552" s="121" t="n"/>
      <s:c r="D23552" s="121" t="n"/>
      <s:c r="E23552" s="122" t="n"/>
    </s:row>
    <s:row r="23553" hidden="1" ht="1" customHeight="1">
      <s:c r="A23553" s="120" t="inlineStr"/>
      <s:c r="B23553" s="121" t="n"/>
      <s:c r="C23553" s="121" t="n"/>
      <s:c r="D23553" s="121" t="n"/>
      <s:c r="E23553" s="122" t="n"/>
    </s:row>
    <s:row r="23554" hidden="1" ht="1" customHeight="1">
      <s:c r="A23554" s="120" t="inlineStr"/>
      <s:c r="B23554" s="121" t="n"/>
      <s:c r="C23554" s="121" t="n"/>
      <s:c r="D23554" s="121" t="n"/>
      <s:c r="E23554" s="122" t="n"/>
    </s:row>
    <s:row r="23555" hidden="1" ht="1" customHeight="1">
      <s:c r="A23555" s="120" t="inlineStr"/>
      <s:c r="B23555" s="121" t="n"/>
      <s:c r="C23555" s="121" t="n"/>
      <s:c r="D23555" s="121" t="n"/>
      <s:c r="E23555" s="122" t="n"/>
    </s:row>
    <s:row r="23556" hidden="1" ht="1" customHeight="1">
      <s:c r="A23556" s="120" t="inlineStr"/>
      <s:c r="B23556" s="121" t="n"/>
      <s:c r="C23556" s="121" t="n"/>
      <s:c r="D23556" s="121" t="n"/>
      <s:c r="E23556" s="122" t="n"/>
    </s:row>
    <s:row r="23557" hidden="1" ht="1" customHeight="1">
      <s:c r="A23557" s="120" t="inlineStr"/>
      <s:c r="B23557" s="121" t="n"/>
      <s:c r="C23557" s="121" t="n"/>
      <s:c r="D23557" s="121" t="n"/>
      <s:c r="E23557" s="122" t="n"/>
    </s:row>
    <s:row r="23558" hidden="1" ht="1" customHeight="1">
      <s:c r="A23558" s="120" t="inlineStr"/>
      <s:c r="B23558" s="121" t="n"/>
      <s:c r="C23558" s="121" t="n"/>
      <s:c r="D23558" s="121" t="n"/>
      <s:c r="E23558" s="122" t="n"/>
    </s:row>
    <s:row r="23559" hidden="1" ht="1" customHeight="1">
      <s:c r="A23559" s="120" t="inlineStr"/>
      <s:c r="B23559" s="121" t="n"/>
      <s:c r="C23559" s="121" t="n"/>
      <s:c r="D23559" s="121" t="n"/>
      <s:c r="E23559" s="122" t="n"/>
    </s:row>
    <s:row r="23560" hidden="1" ht="1" customHeight="1">
      <s:c r="A23560" s="120" t="inlineStr"/>
      <s:c r="B23560" s="121" t="n"/>
      <s:c r="C23560" s="121" t="n"/>
      <s:c r="D23560" s="121" t="n"/>
      <s:c r="E23560" s="122" t="n"/>
    </s:row>
    <s:row r="23561" hidden="1" ht="1" customHeight="1">
      <s:c r="A23561" s="120" t="inlineStr"/>
      <s:c r="B23561" s="121" t="n"/>
      <s:c r="C23561" s="121" t="n"/>
      <s:c r="D23561" s="121" t="n"/>
      <s:c r="E23561" s="122" t="n"/>
    </s:row>
    <s:row r="23562" hidden="1" ht="1" customHeight="1">
      <s:c r="A23562" s="120" t="inlineStr"/>
      <s:c r="B23562" s="121" t="n"/>
      <s:c r="C23562" s="121" t="n"/>
      <s:c r="D23562" s="121" t="n"/>
      <s:c r="E23562" s="122" t="n"/>
    </s:row>
    <s:row r="23563" hidden="1" ht="1" customHeight="1">
      <s:c r="A23563" s="120" t="inlineStr"/>
      <s:c r="B23563" s="121" t="n"/>
      <s:c r="C23563" s="121" t="n"/>
      <s:c r="D23563" s="121" t="n"/>
      <s:c r="E23563" s="122" t="n"/>
    </s:row>
    <s:row r="23564" hidden="1" ht="1" customHeight="1">
      <s:c r="A23564" s="120" t="inlineStr"/>
      <s:c r="B23564" s="121" t="n"/>
      <s:c r="C23564" s="121" t="n"/>
      <s:c r="D23564" s="121" t="n"/>
      <s:c r="E23564" s="122" t="n"/>
    </s:row>
    <s:row r="23565" hidden="1" ht="1" customHeight="1">
      <s:c r="A23565" s="120" t="inlineStr"/>
      <s:c r="B23565" s="121" t="n"/>
      <s:c r="C23565" s="121" t="n"/>
      <s:c r="D23565" s="121" t="n"/>
      <s:c r="E23565" s="122" t="n"/>
    </s:row>
    <s:row r="23566" hidden="1" ht="1" customHeight="1">
      <s:c r="A23566" s="120" t="inlineStr"/>
      <s:c r="B23566" s="121" t="n"/>
      <s:c r="C23566" s="121" t="n"/>
      <s:c r="D23566" s="121" t="n"/>
      <s:c r="E23566" s="122" t="n"/>
    </s:row>
    <s:row r="23567" hidden="1" ht="1" customHeight="1">
      <s:c r="A23567" s="120" t="inlineStr"/>
      <s:c r="B23567" s="121" t="n"/>
      <s:c r="C23567" s="121" t="n"/>
      <s:c r="D23567" s="121" t="n"/>
      <s:c r="E23567" s="122" t="n"/>
    </s:row>
    <s:row r="23568" hidden="1" ht="1" customHeight="1">
      <s:c r="A23568" s="120" t="inlineStr"/>
      <s:c r="B23568" s="121" t="n"/>
      <s:c r="C23568" s="121" t="n"/>
      <s:c r="D23568" s="121" t="n"/>
      <s:c r="E23568" s="122" t="n"/>
    </s:row>
    <s:row r="23569" hidden="1" ht="1" customHeight="1">
      <s:c r="A23569" s="120" t="inlineStr"/>
      <s:c r="B23569" s="121" t="n"/>
      <s:c r="C23569" s="121" t="n"/>
      <s:c r="D23569" s="121" t="n"/>
      <s:c r="E23569" s="122" t="n"/>
    </s:row>
    <s:row r="23570" hidden="1" ht="1" customHeight="1">
      <s:c r="A23570" s="120" t="inlineStr"/>
      <s:c r="B23570" s="121" t="n"/>
      <s:c r="C23570" s="121" t="n"/>
      <s:c r="D23570" s="121" t="n"/>
      <s:c r="E23570" s="122" t="n"/>
    </s:row>
    <s:row r="23571" hidden="1" ht="1" customHeight="1">
      <s:c r="A23571" s="120" t="inlineStr"/>
      <s:c r="B23571" s="121" t="n"/>
      <s:c r="C23571" s="121" t="n"/>
      <s:c r="D23571" s="121" t="n"/>
      <s:c r="E23571" s="122" t="n"/>
    </s:row>
    <s:row r="23572" hidden="1" ht="1" customHeight="1">
      <s:c r="A23572" s="120" t="inlineStr"/>
      <s:c r="B23572" s="121" t="n"/>
      <s:c r="C23572" s="121" t="n"/>
      <s:c r="D23572" s="121" t="n"/>
      <s:c r="E23572" s="122" t="n"/>
    </s:row>
    <s:row r="23573" hidden="1" ht="1" customHeight="1">
      <s:c r="A23573" s="120" t="inlineStr"/>
      <s:c r="B23573" s="121" t="n"/>
      <s:c r="C23573" s="121" t="n"/>
      <s:c r="D23573" s="121" t="n"/>
      <s:c r="E23573" s="122" t="n"/>
    </s:row>
    <s:row r="23574" hidden="1" ht="1" customHeight="1">
      <s:c r="A23574" s="120" t="inlineStr"/>
      <s:c r="B23574" s="121" t="n"/>
      <s:c r="C23574" s="121" t="n"/>
      <s:c r="D23574" s="121" t="n"/>
      <s:c r="E23574" s="122" t="n"/>
    </s:row>
    <s:row r="23575" hidden="1" ht="1" customHeight="1">
      <s:c r="A23575" s="120" t="inlineStr"/>
      <s:c r="B23575" s="121" t="n"/>
      <s:c r="C23575" s="121" t="n"/>
      <s:c r="D23575" s="121" t="n"/>
      <s:c r="E23575" s="122" t="n"/>
    </s:row>
    <s:row r="23576" hidden="1" ht="1" customHeight="1">
      <s:c r="A23576" s="120" t="inlineStr"/>
      <s:c r="B23576" s="121" t="n"/>
      <s:c r="C23576" s="121" t="n"/>
      <s:c r="D23576" s="121" t="n"/>
      <s:c r="E23576" s="122" t="n"/>
    </s:row>
    <s:row r="23577" hidden="1" ht="1" customHeight="1">
      <s:c r="A23577" s="120" t="inlineStr"/>
      <s:c r="B23577" s="121" t="n"/>
      <s:c r="C23577" s="121" t="n"/>
      <s:c r="D23577" s="121" t="n"/>
      <s:c r="E23577" s="122" t="n"/>
    </s:row>
    <s:row r="23578" hidden="1" ht="1" customHeight="1">
      <s:c r="A23578" s="120" t="inlineStr"/>
      <s:c r="B23578" s="121" t="n"/>
      <s:c r="C23578" s="121" t="n"/>
      <s:c r="D23578" s="121" t="n"/>
      <s:c r="E23578" s="122" t="n"/>
    </s:row>
    <s:row r="23579" hidden="1" ht="1" customHeight="1">
      <s:c r="A23579" s="120" t="inlineStr"/>
      <s:c r="B23579" s="121" t="n"/>
      <s:c r="C23579" s="121" t="n"/>
      <s:c r="D23579" s="121" t="n"/>
      <s:c r="E23579" s="122" t="n"/>
    </s:row>
    <s:row r="23580" hidden="1" ht="1" customHeight="1">
      <s:c r="A23580" s="120" t="inlineStr"/>
      <s:c r="B23580" s="121" t="n"/>
      <s:c r="C23580" s="121" t="n"/>
      <s:c r="D23580" s="121" t="n"/>
      <s:c r="E23580" s="122" t="n"/>
    </s:row>
    <s:row r="23581" hidden="1" ht="1" customHeight="1">
      <s:c r="A23581" s="120" t="inlineStr"/>
      <s:c r="B23581" s="121" t="n"/>
      <s:c r="C23581" s="121" t="n"/>
      <s:c r="D23581" s="121" t="n"/>
      <s:c r="E23581" s="122" t="n"/>
    </s:row>
    <s:row r="23582" hidden="1" ht="1" customHeight="1">
      <s:c r="A23582" s="120" t="inlineStr"/>
      <s:c r="B23582" s="121" t="n"/>
      <s:c r="C23582" s="121" t="n"/>
      <s:c r="D23582" s="121" t="n"/>
      <s:c r="E23582" s="122" t="n"/>
    </s:row>
    <s:row r="23583" hidden="1" ht="1" customHeight="1">
      <s:c r="A23583" s="120" t="inlineStr"/>
      <s:c r="B23583" s="121" t="n"/>
      <s:c r="C23583" s="121" t="n"/>
      <s:c r="D23583" s="121" t="n"/>
      <s:c r="E23583" s="122" t="n"/>
    </s:row>
    <s:row r="23584" hidden="1" ht="1" customHeight="1">
      <s:c r="A23584" s="120" t="inlineStr"/>
      <s:c r="B23584" s="121" t="n"/>
      <s:c r="C23584" s="121" t="n"/>
      <s:c r="D23584" s="121" t="n"/>
      <s:c r="E23584" s="122" t="n"/>
    </s:row>
    <s:row r="23585" hidden="1" ht="1" customHeight="1">
      <s:c r="A23585" s="120" t="inlineStr"/>
      <s:c r="B23585" s="121" t="n"/>
      <s:c r="C23585" s="121" t="n"/>
      <s:c r="D23585" s="121" t="n"/>
      <s:c r="E23585" s="122" t="n"/>
    </s:row>
    <s:row r="23586" hidden="1" ht="1" customHeight="1">
      <s:c r="A23586" s="120" t="inlineStr"/>
      <s:c r="B23586" s="121" t="n"/>
      <s:c r="C23586" s="121" t="n"/>
      <s:c r="D23586" s="121" t="n"/>
      <s:c r="E23586" s="122" t="n"/>
    </s:row>
    <s:row r="23587" hidden="1" ht="1" customHeight="1">
      <s:c r="A23587" s="120" t="inlineStr"/>
      <s:c r="B23587" s="121" t="n"/>
      <s:c r="C23587" s="121" t="n"/>
      <s:c r="D23587" s="121" t="n"/>
      <s:c r="E23587" s="122" t="n"/>
    </s:row>
    <s:row r="23588" hidden="1" ht="1" customHeight="1">
      <s:c r="A23588" s="120" t="inlineStr"/>
      <s:c r="B23588" s="121" t="n"/>
      <s:c r="C23588" s="121" t="n"/>
      <s:c r="D23588" s="121" t="n"/>
      <s:c r="E23588" s="122" t="n"/>
    </s:row>
    <s:row r="23589" hidden="1" ht="1" customHeight="1">
      <s:c r="A23589" s="120" t="inlineStr"/>
      <s:c r="B23589" s="121" t="n"/>
      <s:c r="C23589" s="121" t="n"/>
      <s:c r="D23589" s="121" t="n"/>
      <s:c r="E23589" s="122" t="n"/>
    </s:row>
    <s:row r="23590" hidden="1" ht="1" customHeight="1">
      <s:c r="A23590" s="120" t="inlineStr"/>
      <s:c r="B23590" s="121" t="n"/>
      <s:c r="C23590" s="121" t="n"/>
      <s:c r="D23590" s="121" t="n"/>
      <s:c r="E23590" s="122" t="n"/>
    </s:row>
    <s:row r="23591" hidden="1" ht="1" customHeight="1">
      <s:c r="A23591" s="120" t="inlineStr"/>
      <s:c r="B23591" s="121" t="n"/>
      <s:c r="C23591" s="121" t="n"/>
      <s:c r="D23591" s="121" t="n"/>
      <s:c r="E23591" s="122" t="n"/>
    </s:row>
    <s:row r="23592" hidden="1" ht="1" customHeight="1">
      <s:c r="A23592" s="120" t="inlineStr"/>
      <s:c r="B23592" s="121" t="n"/>
      <s:c r="C23592" s="121" t="n"/>
      <s:c r="D23592" s="121" t="n"/>
      <s:c r="E23592" s="122" t="n"/>
    </s:row>
    <s:row r="23593" hidden="1" ht="1" customHeight="1">
      <s:c r="A23593" s="120" t="inlineStr"/>
      <s:c r="B23593" s="121" t="n"/>
      <s:c r="C23593" s="121" t="n"/>
      <s:c r="D23593" s="121" t="n"/>
      <s:c r="E23593" s="122" t="n"/>
    </s:row>
    <s:row r="23594" hidden="1" ht="1" customHeight="1">
      <s:c r="A23594" s="120" t="inlineStr"/>
      <s:c r="B23594" s="121" t="n"/>
      <s:c r="C23594" s="121" t="n"/>
      <s:c r="D23594" s="121" t="n"/>
      <s:c r="E23594" s="122" t="n"/>
    </s:row>
    <s:row r="23595" hidden="1" ht="1" customHeight="1">
      <s:c r="A23595" s="120" t="inlineStr"/>
      <s:c r="B23595" s="121" t="n"/>
      <s:c r="C23595" s="121" t="n"/>
      <s:c r="D23595" s="121" t="n"/>
      <s:c r="E23595" s="122" t="n"/>
    </s:row>
    <s:row r="23596" hidden="1" ht="1" customHeight="1">
      <s:c r="A23596" s="120" t="inlineStr"/>
      <s:c r="B23596" s="121" t="n"/>
      <s:c r="C23596" s="121" t="n"/>
      <s:c r="D23596" s="121" t="n"/>
      <s:c r="E23596" s="122" t="n"/>
    </s:row>
    <s:row r="23597" hidden="1" ht="1" customHeight="1">
      <s:c r="A23597" s="120" t="inlineStr"/>
      <s:c r="B23597" s="121" t="n"/>
      <s:c r="C23597" s="121" t="n"/>
      <s:c r="D23597" s="121" t="n"/>
      <s:c r="E23597" s="122" t="n"/>
    </s:row>
    <s:row r="23598" hidden="1" ht="1" customHeight="1">
      <s:c r="A23598" s="120" t="inlineStr"/>
      <s:c r="B23598" s="121" t="n"/>
      <s:c r="C23598" s="121" t="n"/>
      <s:c r="D23598" s="121" t="n"/>
      <s:c r="E23598" s="122" t="n"/>
    </s:row>
    <s:row r="23599" hidden="1" ht="1" customHeight="1">
      <s:c r="A23599" s="120" t="inlineStr"/>
      <s:c r="B23599" s="121" t="n"/>
      <s:c r="C23599" s="121" t="n"/>
      <s:c r="D23599" s="121" t="n"/>
      <s:c r="E23599" s="122" t="n"/>
    </s:row>
    <s:row r="23600" hidden="1" ht="1" customHeight="1">
      <s:c r="A23600" s="120" t="inlineStr"/>
      <s:c r="B23600" s="121" t="n"/>
      <s:c r="C23600" s="121" t="n"/>
      <s:c r="D23600" s="121" t="n"/>
      <s:c r="E23600" s="122" t="n"/>
    </s:row>
    <s:row r="23601" hidden="1" ht="1" customHeight="1">
      <s:c r="A23601" s="120" t="inlineStr"/>
      <s:c r="B23601" s="121" t="n"/>
      <s:c r="C23601" s="121" t="n"/>
      <s:c r="D23601" s="121" t="n"/>
      <s:c r="E23601" s="122" t="n"/>
    </s:row>
    <s:row r="23602" hidden="1" ht="1" customHeight="1">
      <s:c r="A23602" s="120" t="inlineStr"/>
      <s:c r="B23602" s="121" t="n"/>
      <s:c r="C23602" s="121" t="n"/>
      <s:c r="D23602" s="121" t="n"/>
      <s:c r="E23602" s="122" t="n"/>
    </s:row>
    <s:row r="23603" hidden="1" ht="1" customHeight="1">
      <s:c r="A23603" s="120" t="inlineStr"/>
      <s:c r="B23603" s="121" t="n"/>
      <s:c r="C23603" s="121" t="n"/>
      <s:c r="D23603" s="121" t="n"/>
      <s:c r="E23603" s="122" t="n"/>
    </s:row>
    <s:row r="23604" hidden="1" ht="1" customHeight="1">
      <s:c r="A23604" s="120" t="inlineStr"/>
      <s:c r="B23604" s="121" t="n"/>
      <s:c r="C23604" s="121" t="n"/>
      <s:c r="D23604" s="121" t="n"/>
      <s:c r="E23604" s="122" t="n"/>
    </s:row>
    <s:row r="23605" hidden="1" ht="1" customHeight="1">
      <s:c r="A23605" s="120" t="inlineStr"/>
      <s:c r="B23605" s="121" t="n"/>
      <s:c r="C23605" s="121" t="n"/>
      <s:c r="D23605" s="121" t="n"/>
      <s:c r="E23605" s="122" t="n"/>
    </s:row>
    <s:row r="23606" hidden="1" ht="1" customHeight="1">
      <s:c r="A23606" s="120" t="inlineStr"/>
      <s:c r="B23606" s="121" t="n"/>
      <s:c r="C23606" s="121" t="n"/>
      <s:c r="D23606" s="121" t="n"/>
      <s:c r="E23606" s="122" t="n"/>
    </s:row>
    <s:row r="23607" hidden="1" ht="1" customHeight="1">
      <s:c r="A23607" s="120" t="inlineStr"/>
      <s:c r="B23607" s="121" t="n"/>
      <s:c r="C23607" s="121" t="n"/>
      <s:c r="D23607" s="121" t="n"/>
      <s:c r="E23607" s="122" t="n"/>
    </s:row>
    <s:row r="23608" hidden="1" ht="1" customHeight="1">
      <s:c r="A23608" s="120" t="inlineStr"/>
      <s:c r="B23608" s="121" t="n"/>
      <s:c r="C23608" s="121" t="n"/>
      <s:c r="D23608" s="121" t="n"/>
      <s:c r="E23608" s="122" t="n"/>
    </s:row>
    <s:row r="23609" hidden="1" ht="1" customHeight="1">
      <s:c r="A23609" s="120" t="inlineStr"/>
      <s:c r="B23609" s="121" t="n"/>
      <s:c r="C23609" s="121" t="n"/>
      <s:c r="D23609" s="121" t="n"/>
      <s:c r="E23609" s="122" t="n"/>
    </s:row>
    <s:row r="23610" hidden="1" ht="1" customHeight="1">
      <s:c r="A23610" s="120" t="inlineStr"/>
      <s:c r="B23610" s="121" t="n"/>
      <s:c r="C23610" s="121" t="n"/>
      <s:c r="D23610" s="121" t="n"/>
      <s:c r="E23610" s="122" t="n"/>
    </s:row>
    <s:row r="23611" hidden="1" ht="1" customHeight="1">
      <s:c r="A23611" s="120" t="inlineStr"/>
      <s:c r="B23611" s="121" t="n"/>
      <s:c r="C23611" s="121" t="n"/>
      <s:c r="D23611" s="121" t="n"/>
      <s:c r="E23611" s="122" t="n"/>
    </s:row>
    <s:row r="23612" hidden="1" ht="1" customHeight="1">
      <s:c r="A23612" s="120" t="inlineStr"/>
      <s:c r="B23612" s="121" t="n"/>
      <s:c r="C23612" s="121" t="n"/>
      <s:c r="D23612" s="121" t="n"/>
      <s:c r="E23612" s="122" t="n"/>
    </s:row>
    <s:row r="23613" hidden="1" ht="1" customHeight="1">
      <s:c r="A23613" s="120" t="inlineStr"/>
      <s:c r="B23613" s="121" t="n"/>
      <s:c r="C23613" s="121" t="n"/>
      <s:c r="D23613" s="121" t="n"/>
      <s:c r="E23613" s="122" t="n"/>
    </s:row>
    <s:row r="23614" hidden="1" ht="1" customHeight="1">
      <s:c r="A23614" s="120" t="inlineStr"/>
      <s:c r="B23614" s="121" t="n"/>
      <s:c r="C23614" s="121" t="n"/>
      <s:c r="D23614" s="121" t="n"/>
      <s:c r="E23614" s="122" t="n"/>
    </s:row>
    <s:row r="23615" hidden="1" ht="1" customHeight="1">
      <s:c r="A23615" s="120" t="inlineStr"/>
      <s:c r="B23615" s="121" t="n"/>
      <s:c r="C23615" s="121" t="n"/>
      <s:c r="D23615" s="121" t="n"/>
      <s:c r="E23615" s="122" t="n"/>
    </s:row>
    <s:row r="23616" hidden="1" ht="1" customHeight="1">
      <s:c r="A23616" s="120" t="inlineStr"/>
      <s:c r="B23616" s="121" t="n"/>
      <s:c r="C23616" s="121" t="n"/>
      <s:c r="D23616" s="121" t="n"/>
      <s:c r="E23616" s="122" t="n"/>
    </s:row>
    <s:row r="23617" hidden="1" ht="1" customHeight="1">
      <s:c r="A23617" s="120" t="inlineStr"/>
      <s:c r="B23617" s="121" t="n"/>
      <s:c r="C23617" s="121" t="n"/>
      <s:c r="D23617" s="121" t="n"/>
      <s:c r="E23617" s="122" t="n"/>
    </s:row>
    <s:row r="23618" hidden="1" ht="1" customHeight="1">
      <s:c r="A23618" s="120" t="inlineStr"/>
      <s:c r="B23618" s="121" t="n"/>
      <s:c r="C23618" s="121" t="n"/>
      <s:c r="D23618" s="121" t="n"/>
      <s:c r="E23618" s="122" t="n"/>
    </s:row>
    <s:row r="23619" hidden="1" ht="1" customHeight="1">
      <s:c r="A23619" s="120" t="inlineStr"/>
      <s:c r="B23619" s="121" t="n"/>
      <s:c r="C23619" s="121" t="n"/>
      <s:c r="D23619" s="121" t="n"/>
      <s:c r="E23619" s="122" t="n"/>
    </s:row>
    <s:row r="23620" hidden="1" ht="1" customHeight="1">
      <s:c r="A23620" s="120" t="inlineStr"/>
      <s:c r="B23620" s="121" t="n"/>
      <s:c r="C23620" s="121" t="n"/>
      <s:c r="D23620" s="121" t="n"/>
      <s:c r="E23620" s="122" t="n"/>
    </s:row>
    <s:row r="23621" hidden="1" ht="1" customHeight="1">
      <s:c r="A23621" s="120" t="inlineStr"/>
      <s:c r="B23621" s="121" t="n"/>
      <s:c r="C23621" s="121" t="n"/>
      <s:c r="D23621" s="121" t="n"/>
      <s:c r="E23621" s="122" t="n"/>
    </s:row>
    <s:row r="23622" hidden="1" ht="1" customHeight="1">
      <s:c r="A23622" s="120" t="inlineStr"/>
      <s:c r="B23622" s="121" t="n"/>
      <s:c r="C23622" s="121" t="n"/>
      <s:c r="D23622" s="121" t="n"/>
      <s:c r="E23622" s="122" t="n"/>
    </s:row>
    <s:row r="23623" hidden="1" ht="1" customHeight="1">
      <s:c r="A23623" s="120" t="inlineStr"/>
      <s:c r="B23623" s="121" t="n"/>
      <s:c r="C23623" s="121" t="n"/>
      <s:c r="D23623" s="121" t="n"/>
      <s:c r="E23623" s="122" t="n"/>
    </s:row>
    <s:row r="23624" hidden="1" ht="1" customHeight="1">
      <s:c r="A23624" s="120" t="inlineStr"/>
      <s:c r="B23624" s="121" t="n"/>
      <s:c r="C23624" s="121" t="n"/>
      <s:c r="D23624" s="121" t="n"/>
      <s:c r="E23624" s="122" t="n"/>
    </s:row>
    <s:row r="23625" hidden="1" ht="1" customHeight="1">
      <s:c r="A23625" s="120" t="inlineStr"/>
      <s:c r="B23625" s="121" t="n"/>
      <s:c r="C23625" s="121" t="n"/>
      <s:c r="D23625" s="121" t="n"/>
      <s:c r="E23625" s="122" t="n"/>
    </s:row>
    <s:row r="23626" hidden="1" ht="1" customHeight="1">
      <s:c r="A23626" s="120" t="inlineStr"/>
      <s:c r="B23626" s="121" t="n"/>
      <s:c r="C23626" s="121" t="n"/>
      <s:c r="D23626" s="121" t="n"/>
      <s:c r="E23626" s="122" t="n"/>
    </s:row>
    <s:row r="23627" hidden="1" ht="1" customHeight="1">
      <s:c r="A23627" s="120" t="inlineStr"/>
      <s:c r="B23627" s="121" t="n"/>
      <s:c r="C23627" s="121" t="n"/>
      <s:c r="D23627" s="121" t="n"/>
      <s:c r="E23627" s="122" t="n"/>
    </s:row>
    <s:row r="23628" hidden="1" ht="1" customHeight="1">
      <s:c r="A23628" s="120" t="inlineStr"/>
      <s:c r="B23628" s="121" t="n"/>
      <s:c r="C23628" s="121" t="n"/>
      <s:c r="D23628" s="121" t="n"/>
      <s:c r="E23628" s="122" t="n"/>
    </s:row>
    <s:row r="23629" hidden="1" ht="1" customHeight="1">
      <s:c r="A23629" s="120" t="inlineStr"/>
      <s:c r="B23629" s="121" t="n"/>
      <s:c r="C23629" s="121" t="n"/>
      <s:c r="D23629" s="121" t="n"/>
      <s:c r="E23629" s="122" t="n"/>
    </s:row>
    <s:row r="23630" hidden="1" ht="1" customHeight="1">
      <s:c r="A23630" s="120" t="inlineStr"/>
      <s:c r="B23630" s="121" t="n"/>
      <s:c r="C23630" s="121" t="n"/>
      <s:c r="D23630" s="121" t="n"/>
      <s:c r="E23630" s="122" t="n"/>
    </s:row>
    <s:row r="23631" hidden="1" ht="1" customHeight="1">
      <s:c r="A23631" s="120" t="inlineStr"/>
      <s:c r="B23631" s="121" t="n"/>
      <s:c r="C23631" s="121" t="n"/>
      <s:c r="D23631" s="121" t="n"/>
      <s:c r="E23631" s="122" t="n"/>
    </s:row>
    <s:row r="23632" hidden="1" ht="1" customHeight="1">
      <s:c r="A23632" s="120" t="inlineStr"/>
      <s:c r="B23632" s="121" t="n"/>
      <s:c r="C23632" s="121" t="n"/>
      <s:c r="D23632" s="121" t="n"/>
      <s:c r="E23632" s="122" t="n"/>
    </s:row>
    <s:row r="23633" hidden="1" ht="1" customHeight="1">
      <s:c r="A23633" s="120" t="inlineStr"/>
      <s:c r="B23633" s="121" t="n"/>
      <s:c r="C23633" s="121" t="n"/>
      <s:c r="D23633" s="121" t="n"/>
      <s:c r="E23633" s="122" t="n"/>
    </s:row>
    <s:row r="23634" hidden="1" ht="1" customHeight="1">
      <s:c r="A23634" s="120" t="inlineStr"/>
      <s:c r="B23634" s="121" t="n"/>
      <s:c r="C23634" s="121" t="n"/>
      <s:c r="D23634" s="121" t="n"/>
      <s:c r="E23634" s="122" t="n"/>
    </s:row>
    <s:row r="23635" hidden="1" ht="1" customHeight="1">
      <s:c r="A23635" s="120" t="inlineStr"/>
      <s:c r="B23635" s="121" t="n"/>
      <s:c r="C23635" s="121" t="n"/>
      <s:c r="D23635" s="121" t="n"/>
      <s:c r="E23635" s="122" t="n"/>
    </s:row>
    <s:row r="23636" hidden="1" ht="1" customHeight="1">
      <s:c r="A23636" s="120" t="inlineStr"/>
      <s:c r="B23636" s="121" t="n"/>
      <s:c r="C23636" s="121" t="n"/>
      <s:c r="D23636" s="121" t="n"/>
      <s:c r="E23636" s="122" t="n"/>
    </s:row>
    <s:row r="23637" hidden="1" ht="1" customHeight="1">
      <s:c r="A23637" s="120" t="inlineStr"/>
      <s:c r="B23637" s="121" t="n"/>
      <s:c r="C23637" s="121" t="n"/>
      <s:c r="D23637" s="121" t="n"/>
      <s:c r="E23637" s="122" t="n"/>
    </s:row>
    <s:row r="23638" hidden="1" ht="1" customHeight="1">
      <s:c r="A23638" s="120" t="inlineStr"/>
      <s:c r="B23638" s="121" t="n"/>
      <s:c r="C23638" s="121" t="n"/>
      <s:c r="D23638" s="121" t="n"/>
      <s:c r="E23638" s="122" t="n"/>
    </s:row>
    <s:row r="23639" hidden="1" ht="1" customHeight="1">
      <s:c r="A23639" s="120" t="inlineStr"/>
      <s:c r="B23639" s="121" t="n"/>
      <s:c r="C23639" s="121" t="n"/>
      <s:c r="D23639" s="121" t="n"/>
      <s:c r="E23639" s="122" t="n"/>
    </s:row>
    <s:row r="23640" hidden="1" ht="1" customHeight="1">
      <s:c r="A23640" s="120" t="inlineStr"/>
      <s:c r="B23640" s="121" t="n"/>
      <s:c r="C23640" s="121" t="n"/>
      <s:c r="D23640" s="121" t="n"/>
      <s:c r="E23640" s="122" t="n"/>
    </s:row>
    <s:row r="23641" hidden="1" ht="1" customHeight="1">
      <s:c r="A23641" s="120" t="inlineStr"/>
      <s:c r="B23641" s="121" t="n"/>
      <s:c r="C23641" s="121" t="n"/>
      <s:c r="D23641" s="121" t="n"/>
      <s:c r="E23641" s="122" t="n"/>
    </s:row>
    <s:row r="23642" hidden="1" ht="1" customHeight="1">
      <s:c r="A23642" s="120" t="inlineStr"/>
      <s:c r="B23642" s="121" t="n"/>
      <s:c r="C23642" s="121" t="n"/>
      <s:c r="D23642" s="121" t="n"/>
      <s:c r="E23642" s="122" t="n"/>
    </s:row>
    <s:row r="23643" hidden="1" ht="1" customHeight="1">
      <s:c r="A23643" s="120" t="inlineStr"/>
      <s:c r="B23643" s="121" t="n"/>
      <s:c r="C23643" s="121" t="n"/>
      <s:c r="D23643" s="121" t="n"/>
      <s:c r="E23643" s="122" t="n"/>
    </s:row>
    <s:row r="23644" hidden="1" ht="1" customHeight="1">
      <s:c r="A23644" s="120" t="inlineStr"/>
      <s:c r="B23644" s="121" t="n"/>
      <s:c r="C23644" s="121" t="n"/>
      <s:c r="D23644" s="121" t="n"/>
      <s:c r="E23644" s="122" t="n"/>
    </s:row>
    <s:row r="23645" hidden="1" ht="1" customHeight="1">
      <s:c r="A23645" s="120" t="inlineStr"/>
      <s:c r="B23645" s="121" t="n"/>
      <s:c r="C23645" s="121" t="n"/>
      <s:c r="D23645" s="121" t="n"/>
      <s:c r="E23645" s="122" t="n"/>
    </s:row>
    <s:row r="23646" hidden="1" ht="1" customHeight="1">
      <s:c r="A23646" s="120" t="inlineStr"/>
      <s:c r="B23646" s="121" t="n"/>
      <s:c r="C23646" s="121" t="n"/>
      <s:c r="D23646" s="121" t="n"/>
      <s:c r="E23646" s="122" t="n"/>
    </s:row>
    <s:row r="23647" hidden="1" ht="1" customHeight="1">
      <s:c r="A23647" s="120" t="inlineStr"/>
      <s:c r="B23647" s="121" t="n"/>
      <s:c r="C23647" s="121" t="n"/>
      <s:c r="D23647" s="121" t="n"/>
      <s:c r="E23647" s="122" t="n"/>
    </s:row>
    <s:row r="23648" hidden="1" ht="1" customHeight="1">
      <s:c r="A23648" s="120" t="inlineStr"/>
      <s:c r="B23648" s="121" t="n"/>
      <s:c r="C23648" s="121" t="n"/>
      <s:c r="D23648" s="121" t="n"/>
      <s:c r="E23648" s="122" t="n"/>
    </s:row>
    <s:row r="23649" hidden="1" ht="1" customHeight="1">
      <s:c r="A23649" s="120" t="inlineStr"/>
      <s:c r="B23649" s="121" t="n"/>
      <s:c r="C23649" s="121" t="n"/>
      <s:c r="D23649" s="121" t="n"/>
      <s:c r="E23649" s="122" t="n"/>
    </s:row>
    <s:row r="23650" hidden="1" ht="1" customHeight="1">
      <s:c r="A23650" s="120" t="inlineStr"/>
      <s:c r="B23650" s="121" t="n"/>
      <s:c r="C23650" s="121" t="n"/>
      <s:c r="D23650" s="121" t="n"/>
      <s:c r="E23650" s="122" t="n"/>
    </s:row>
    <s:row r="23651" hidden="1" ht="1" customHeight="1">
      <s:c r="A23651" s="120" t="inlineStr"/>
      <s:c r="B23651" s="121" t="n"/>
      <s:c r="C23651" s="121" t="n"/>
      <s:c r="D23651" s="121" t="n"/>
      <s:c r="E23651" s="122" t="n"/>
    </s:row>
    <s:row r="23652" hidden="1" ht="1" customHeight="1">
      <s:c r="A23652" s="120" t="inlineStr"/>
      <s:c r="B23652" s="121" t="n"/>
      <s:c r="C23652" s="121" t="n"/>
      <s:c r="D23652" s="121" t="n"/>
      <s:c r="E23652" s="122" t="n"/>
    </s:row>
    <s:row r="23653" hidden="1" ht="1" customHeight="1">
      <s:c r="A23653" s="120" t="inlineStr"/>
      <s:c r="B23653" s="121" t="n"/>
      <s:c r="C23653" s="121" t="n"/>
      <s:c r="D23653" s="121" t="n"/>
      <s:c r="E23653" s="122" t="n"/>
    </s:row>
    <s:row r="23654" hidden="1" ht="1" customHeight="1">
      <s:c r="A23654" s="120" t="inlineStr"/>
      <s:c r="B23654" s="121" t="n"/>
      <s:c r="C23654" s="121" t="n"/>
      <s:c r="D23654" s="121" t="n"/>
      <s:c r="E23654" s="122" t="n"/>
    </s:row>
    <s:row r="23655" hidden="1" ht="1" customHeight="1">
      <s:c r="A23655" s="120" t="inlineStr"/>
      <s:c r="B23655" s="121" t="n"/>
      <s:c r="C23655" s="121" t="n"/>
      <s:c r="D23655" s="121" t="n"/>
      <s:c r="E23655" s="122" t="n"/>
    </s:row>
    <s:row r="23656" hidden="1" ht="1" customHeight="1">
      <s:c r="A23656" s="120" t="inlineStr"/>
      <s:c r="B23656" s="121" t="n"/>
      <s:c r="C23656" s="121" t="n"/>
      <s:c r="D23656" s="121" t="n"/>
      <s:c r="E23656" s="122" t="n"/>
    </s:row>
    <s:row r="23657" hidden="1" ht="1" customHeight="1">
      <s:c r="A23657" s="120" t="inlineStr"/>
      <s:c r="B23657" s="121" t="n"/>
      <s:c r="C23657" s="121" t="n"/>
      <s:c r="D23657" s="121" t="n"/>
      <s:c r="E23657" s="122" t="n"/>
    </s:row>
    <s:row r="23658" hidden="1" ht="1" customHeight="1">
      <s:c r="A23658" s="120" t="inlineStr"/>
      <s:c r="B23658" s="121" t="n"/>
      <s:c r="C23658" s="121" t="n"/>
      <s:c r="D23658" s="121" t="n"/>
      <s:c r="E23658" s="122" t="n"/>
    </s:row>
    <s:row r="23659" hidden="1" ht="1" customHeight="1">
      <s:c r="A23659" s="120" t="inlineStr"/>
      <s:c r="B23659" s="121" t="n"/>
      <s:c r="C23659" s="121" t="n"/>
      <s:c r="D23659" s="121" t="n"/>
      <s:c r="E23659" s="122" t="n"/>
    </s:row>
    <s:row r="23660" hidden="1" ht="1" customHeight="1">
      <s:c r="A23660" s="120" t="inlineStr"/>
      <s:c r="B23660" s="121" t="n"/>
      <s:c r="C23660" s="121" t="n"/>
      <s:c r="D23660" s="121" t="n"/>
      <s:c r="E23660" s="122" t="n"/>
    </s:row>
    <s:row r="23661" hidden="1" ht="1" customHeight="1">
      <s:c r="A23661" s="120" t="inlineStr"/>
      <s:c r="B23661" s="121" t="n"/>
      <s:c r="C23661" s="121" t="n"/>
      <s:c r="D23661" s="121" t="n"/>
      <s:c r="E23661" s="122" t="n"/>
    </s:row>
    <s:row r="23662" hidden="1" ht="1" customHeight="1">
      <s:c r="A23662" s="120" t="inlineStr"/>
      <s:c r="B23662" s="121" t="n"/>
      <s:c r="C23662" s="121" t="n"/>
      <s:c r="D23662" s="121" t="n"/>
      <s:c r="E23662" s="122" t="n"/>
    </s:row>
    <s:row r="23663" hidden="1" ht="1" customHeight="1">
      <s:c r="A23663" s="120" t="inlineStr"/>
      <s:c r="B23663" s="121" t="n"/>
      <s:c r="C23663" s="121" t="n"/>
      <s:c r="D23663" s="121" t="n"/>
      <s:c r="E23663" s="122" t="n"/>
    </s:row>
    <s:row r="23664" hidden="1" ht="1" customHeight="1">
      <s:c r="A23664" s="120" t="inlineStr"/>
      <s:c r="B23664" s="121" t="n"/>
      <s:c r="C23664" s="121" t="n"/>
      <s:c r="D23664" s="121" t="n"/>
      <s:c r="E23664" s="122" t="n"/>
    </s:row>
    <s:row r="23665" hidden="1" ht="1" customHeight="1">
      <s:c r="A23665" s="120" t="inlineStr"/>
      <s:c r="B23665" s="121" t="n"/>
      <s:c r="C23665" s="121" t="n"/>
      <s:c r="D23665" s="121" t="n"/>
      <s:c r="E23665" s="122" t="n"/>
    </s:row>
    <s:row r="23666" hidden="1" ht="1" customHeight="1">
      <s:c r="A23666" s="120" t="inlineStr"/>
      <s:c r="B23666" s="121" t="n"/>
      <s:c r="C23666" s="121" t="n"/>
      <s:c r="D23666" s="121" t="n"/>
      <s:c r="E23666" s="122" t="n"/>
    </s:row>
    <s:row r="23667" hidden="1" ht="1" customHeight="1">
      <s:c r="A23667" s="120" t="inlineStr"/>
      <s:c r="B23667" s="121" t="n"/>
      <s:c r="C23667" s="121" t="n"/>
      <s:c r="D23667" s="121" t="n"/>
      <s:c r="E23667" s="122" t="n"/>
    </s:row>
    <s:row r="23668" hidden="1" ht="1" customHeight="1">
      <s:c r="A23668" s="120" t="inlineStr"/>
      <s:c r="B23668" s="121" t="n"/>
      <s:c r="C23668" s="121" t="n"/>
      <s:c r="D23668" s="121" t="n"/>
      <s:c r="E23668" s="122" t="n"/>
    </s:row>
    <s:row r="23669" hidden="1" ht="1" customHeight="1">
      <s:c r="A23669" s="120" t="inlineStr"/>
      <s:c r="B23669" s="121" t="n"/>
      <s:c r="C23669" s="121" t="n"/>
      <s:c r="D23669" s="121" t="n"/>
      <s:c r="E23669" s="122" t="n"/>
    </s:row>
    <s:row r="23670" hidden="1" ht="1" customHeight="1">
      <s:c r="A23670" s="120" t="inlineStr"/>
      <s:c r="B23670" s="121" t="n"/>
      <s:c r="C23670" s="121" t="n"/>
      <s:c r="D23670" s="121" t="n"/>
      <s:c r="E23670" s="122" t="n"/>
    </s:row>
    <s:row r="23671" hidden="1" ht="1" customHeight="1">
      <s:c r="A23671" s="120" t="inlineStr"/>
      <s:c r="B23671" s="121" t="n"/>
      <s:c r="C23671" s="121" t="n"/>
      <s:c r="D23671" s="121" t="n"/>
      <s:c r="E23671" s="122" t="n"/>
    </s:row>
    <s:row r="23672" hidden="1" ht="1" customHeight="1">
      <s:c r="A23672" s="120" t="inlineStr"/>
      <s:c r="B23672" s="121" t="n"/>
      <s:c r="C23672" s="121" t="n"/>
      <s:c r="D23672" s="121" t="n"/>
      <s:c r="E23672" s="122" t="n"/>
    </s:row>
    <s:row r="23673" hidden="1" ht="1" customHeight="1">
      <s:c r="A23673" s="120" t="inlineStr"/>
      <s:c r="B23673" s="121" t="n"/>
      <s:c r="C23673" s="121" t="n"/>
      <s:c r="D23673" s="121" t="n"/>
      <s:c r="E23673" s="122" t="n"/>
    </s:row>
    <s:row r="23674" hidden="1" ht="1" customHeight="1">
      <s:c r="A23674" s="120" t="inlineStr"/>
      <s:c r="B23674" s="121" t="n"/>
      <s:c r="C23674" s="121" t="n"/>
      <s:c r="D23674" s="121" t="n"/>
      <s:c r="E23674" s="122" t="n"/>
    </s:row>
    <s:row r="23675" hidden="1" ht="1" customHeight="1">
      <s:c r="A23675" s="120" t="inlineStr"/>
      <s:c r="B23675" s="121" t="n"/>
      <s:c r="C23675" s="121" t="n"/>
      <s:c r="D23675" s="121" t="n"/>
      <s:c r="E23675" s="122" t="n"/>
    </s:row>
    <s:row r="23676" hidden="1" ht="1" customHeight="1">
      <s:c r="A23676" s="120" t="inlineStr"/>
      <s:c r="B23676" s="121" t="n"/>
      <s:c r="C23676" s="121" t="n"/>
      <s:c r="D23676" s="121" t="n"/>
      <s:c r="E23676" s="122" t="n"/>
    </s:row>
    <s:row r="23677" hidden="1" ht="1" customHeight="1">
      <s:c r="A23677" s="120" t="inlineStr"/>
      <s:c r="B23677" s="121" t="n"/>
      <s:c r="C23677" s="121" t="n"/>
      <s:c r="D23677" s="121" t="n"/>
      <s:c r="E23677" s="122" t="n"/>
    </s:row>
    <s:row r="23678" hidden="1" ht="1" customHeight="1">
      <s:c r="A23678" s="120" t="inlineStr"/>
      <s:c r="B23678" s="121" t="n"/>
      <s:c r="C23678" s="121" t="n"/>
      <s:c r="D23678" s="121" t="n"/>
      <s:c r="E23678" s="122" t="n"/>
    </s:row>
    <s:row r="23679" hidden="1" ht="1" customHeight="1">
      <s:c r="A23679" s="120" t="inlineStr"/>
      <s:c r="B23679" s="121" t="n"/>
      <s:c r="C23679" s="121" t="n"/>
      <s:c r="D23679" s="121" t="n"/>
      <s:c r="E23679" s="122" t="n"/>
    </s:row>
    <s:row r="23680" hidden="1" ht="1" customHeight="1">
      <s:c r="A23680" s="120" t="inlineStr"/>
      <s:c r="B23680" s="121" t="n"/>
      <s:c r="C23680" s="121" t="n"/>
      <s:c r="D23680" s="121" t="n"/>
      <s:c r="E23680" s="122" t="n"/>
    </s:row>
    <s:row r="23681" hidden="1" ht="1" customHeight="1">
      <s:c r="A23681" s="120" t="inlineStr"/>
      <s:c r="B23681" s="121" t="n"/>
      <s:c r="C23681" s="121" t="n"/>
      <s:c r="D23681" s="121" t="n"/>
      <s:c r="E23681" s="122" t="n"/>
    </s:row>
    <s:row r="23682" hidden="1" ht="1" customHeight="1">
      <s:c r="A23682" s="120" t="inlineStr"/>
      <s:c r="B23682" s="121" t="n"/>
      <s:c r="C23682" s="121" t="n"/>
      <s:c r="D23682" s="121" t="n"/>
      <s:c r="E23682" s="122" t="n"/>
    </s:row>
    <s:row r="23683" hidden="1" ht="1" customHeight="1">
      <s:c r="A23683" s="120" t="inlineStr"/>
      <s:c r="B23683" s="121" t="n"/>
      <s:c r="C23683" s="121" t="n"/>
      <s:c r="D23683" s="121" t="n"/>
      <s:c r="E23683" s="122" t="n"/>
    </s:row>
    <s:row r="23684" hidden="1" ht="1" customHeight="1">
      <s:c r="A23684" s="120" t="inlineStr"/>
      <s:c r="B23684" s="121" t="n"/>
      <s:c r="C23684" s="121" t="n"/>
      <s:c r="D23684" s="121" t="n"/>
      <s:c r="E23684" s="122" t="n"/>
    </s:row>
    <s:row r="23685" hidden="1" ht="1" customHeight="1">
      <s:c r="A23685" s="120" t="inlineStr"/>
      <s:c r="B23685" s="121" t="n"/>
      <s:c r="C23685" s="121" t="n"/>
      <s:c r="D23685" s="121" t="n"/>
      <s:c r="E23685" s="122" t="n"/>
    </s:row>
    <s:row r="23686" hidden="1" ht="1" customHeight="1">
      <s:c r="A23686" s="120" t="inlineStr"/>
      <s:c r="B23686" s="121" t="n"/>
      <s:c r="C23686" s="121" t="n"/>
      <s:c r="D23686" s="121" t="n"/>
      <s:c r="E23686" s="122" t="n"/>
    </s:row>
    <s:row r="23687" hidden="1" ht="1" customHeight="1">
      <s:c r="A23687" s="120" t="inlineStr"/>
      <s:c r="B23687" s="121" t="n"/>
      <s:c r="C23687" s="121" t="n"/>
      <s:c r="D23687" s="121" t="n"/>
      <s:c r="E23687" s="122" t="n"/>
    </s:row>
    <s:row r="23688" hidden="1" ht="1" customHeight="1">
      <s:c r="A23688" s="120" t="inlineStr"/>
      <s:c r="B23688" s="121" t="n"/>
      <s:c r="C23688" s="121" t="n"/>
      <s:c r="D23688" s="121" t="n"/>
      <s:c r="E23688" s="122" t="n"/>
    </s:row>
    <s:row r="23689" hidden="1" ht="1" customHeight="1">
      <s:c r="A23689" s="120" t="inlineStr"/>
      <s:c r="B23689" s="121" t="n"/>
      <s:c r="C23689" s="121" t="n"/>
      <s:c r="D23689" s="121" t="n"/>
      <s:c r="E23689" s="122" t="n"/>
    </s:row>
    <s:row r="23690" hidden="1" ht="1" customHeight="1">
      <s:c r="A23690" s="120" t="inlineStr"/>
      <s:c r="B23690" s="121" t="n"/>
      <s:c r="C23690" s="121" t="n"/>
      <s:c r="D23690" s="121" t="n"/>
      <s:c r="E23690" s="122" t="n"/>
    </s:row>
    <s:row r="23691" hidden="1" ht="1" customHeight="1">
      <s:c r="A23691" s="120" t="inlineStr"/>
      <s:c r="B23691" s="121" t="n"/>
      <s:c r="C23691" s="121" t="n"/>
      <s:c r="D23691" s="121" t="n"/>
      <s:c r="E23691" s="122" t="n"/>
    </s:row>
    <s:row r="23692" hidden="1" ht="1" customHeight="1">
      <s:c r="A23692" s="120" t="inlineStr"/>
      <s:c r="B23692" s="121" t="n"/>
      <s:c r="C23692" s="121" t="n"/>
      <s:c r="D23692" s="121" t="n"/>
      <s:c r="E23692" s="122" t="n"/>
    </s:row>
    <s:row r="23693" hidden="1" ht="1" customHeight="1">
      <s:c r="A23693" s="120" t="inlineStr"/>
      <s:c r="B23693" s="121" t="n"/>
      <s:c r="C23693" s="121" t="n"/>
      <s:c r="D23693" s="121" t="n"/>
      <s:c r="E23693" s="122" t="n"/>
    </s:row>
    <s:row r="23694" hidden="1" ht="1" customHeight="1">
      <s:c r="A23694" s="120" t="inlineStr"/>
      <s:c r="B23694" s="121" t="n"/>
      <s:c r="C23694" s="121" t="n"/>
      <s:c r="D23694" s="121" t="n"/>
      <s:c r="E23694" s="122" t="n"/>
    </s:row>
    <s:row r="23695" hidden="1" ht="1" customHeight="1">
      <s:c r="A23695" s="120" t="inlineStr"/>
      <s:c r="B23695" s="121" t="n"/>
      <s:c r="C23695" s="121" t="n"/>
      <s:c r="D23695" s="121" t="n"/>
      <s:c r="E23695" s="122" t="n"/>
    </s:row>
    <s:row r="23696" hidden="1" ht="1" customHeight="1">
      <s:c r="A23696" s="120" t="inlineStr"/>
      <s:c r="B23696" s="121" t="n"/>
      <s:c r="C23696" s="121" t="n"/>
      <s:c r="D23696" s="121" t="n"/>
      <s:c r="E23696" s="122" t="n"/>
    </s:row>
    <s:row r="23697" hidden="1" ht="1" customHeight="1">
      <s:c r="A23697" s="120" t="inlineStr"/>
      <s:c r="B23697" s="121" t="n"/>
      <s:c r="C23697" s="121" t="n"/>
      <s:c r="D23697" s="121" t="n"/>
      <s:c r="E23697" s="122" t="n"/>
    </s:row>
    <s:row r="23698" hidden="1" ht="1" customHeight="1">
      <s:c r="A23698" s="120" t="inlineStr"/>
      <s:c r="B23698" s="121" t="n"/>
      <s:c r="C23698" s="121" t="n"/>
      <s:c r="D23698" s="121" t="n"/>
      <s:c r="E23698" s="122" t="n"/>
    </s:row>
    <s:row r="23699" hidden="1" ht="1" customHeight="1">
      <s:c r="A23699" s="120" t="inlineStr"/>
      <s:c r="B23699" s="121" t="n"/>
      <s:c r="C23699" s="121" t="n"/>
      <s:c r="D23699" s="121" t="n"/>
      <s:c r="E23699" s="122" t="n"/>
    </s:row>
    <s:row r="23700" hidden="1" ht="1" customHeight="1">
      <s:c r="A23700" s="120" t="inlineStr"/>
      <s:c r="B23700" s="121" t="n"/>
      <s:c r="C23700" s="121" t="n"/>
      <s:c r="D23700" s="121" t="n"/>
      <s:c r="E23700" s="122" t="n"/>
    </s:row>
    <s:row r="23701" hidden="1" ht="1" customHeight="1">
      <s:c r="A23701" s="120" t="inlineStr"/>
      <s:c r="B23701" s="121" t="n"/>
      <s:c r="C23701" s="121" t="n"/>
      <s:c r="D23701" s="121" t="n"/>
      <s:c r="E23701" s="122" t="n"/>
    </s:row>
    <s:row r="23702" hidden="1" ht="1" customHeight="1">
      <s:c r="A23702" s="120" t="inlineStr"/>
      <s:c r="B23702" s="121" t="n"/>
      <s:c r="C23702" s="121" t="n"/>
      <s:c r="D23702" s="121" t="n"/>
      <s:c r="E23702" s="122" t="n"/>
    </s:row>
    <s:row r="23703" hidden="1" ht="1" customHeight="1">
      <s:c r="A23703" s="120" t="inlineStr"/>
      <s:c r="B23703" s="121" t="n"/>
      <s:c r="C23703" s="121" t="n"/>
      <s:c r="D23703" s="121" t="n"/>
      <s:c r="E23703" s="122" t="n"/>
    </s:row>
    <s:row r="23704" hidden="1" ht="1" customHeight="1">
      <s:c r="A23704" s="120" t="inlineStr"/>
      <s:c r="B23704" s="121" t="n"/>
      <s:c r="C23704" s="121" t="n"/>
      <s:c r="D23704" s="121" t="n"/>
      <s:c r="E23704" s="122" t="n"/>
    </s:row>
    <s:row r="23705" hidden="1" ht="1" customHeight="1">
      <s:c r="A23705" s="120" t="inlineStr"/>
      <s:c r="B23705" s="121" t="n"/>
      <s:c r="C23705" s="121" t="n"/>
      <s:c r="D23705" s="121" t="n"/>
      <s:c r="E23705" s="122" t="n"/>
    </s:row>
    <s:row r="23706" hidden="1" ht="1" customHeight="1">
      <s:c r="A23706" s="120" t="inlineStr"/>
      <s:c r="B23706" s="121" t="n"/>
      <s:c r="C23706" s="121" t="n"/>
      <s:c r="D23706" s="121" t="n"/>
      <s:c r="E23706" s="122" t="n"/>
    </s:row>
    <s:row r="23707" hidden="1" ht="1" customHeight="1">
      <s:c r="A23707" s="120" t="inlineStr"/>
      <s:c r="B23707" s="121" t="n"/>
      <s:c r="C23707" s="121" t="n"/>
      <s:c r="D23707" s="121" t="n"/>
      <s:c r="E23707" s="122" t="n"/>
    </s:row>
    <s:row r="23708" hidden="1" ht="1" customHeight="1">
      <s:c r="A23708" s="120" t="inlineStr"/>
      <s:c r="B23708" s="121" t="n"/>
      <s:c r="C23708" s="121" t="n"/>
      <s:c r="D23708" s="121" t="n"/>
      <s:c r="E23708" s="122" t="n"/>
    </s:row>
    <s:row r="23709" hidden="1" ht="1" customHeight="1">
      <s:c r="A23709" s="120" t="inlineStr"/>
      <s:c r="B23709" s="121" t="n"/>
      <s:c r="C23709" s="121" t="n"/>
      <s:c r="D23709" s="121" t="n"/>
      <s:c r="E23709" s="122" t="n"/>
    </s:row>
    <s:row r="23710" hidden="1" ht="1" customHeight="1">
      <s:c r="A23710" s="120" t="inlineStr"/>
      <s:c r="B23710" s="121" t="n"/>
      <s:c r="C23710" s="121" t="n"/>
      <s:c r="D23710" s="121" t="n"/>
      <s:c r="E23710" s="122" t="n"/>
    </s:row>
    <s:row r="23711" hidden="1" ht="1" customHeight="1">
      <s:c r="A23711" s="120" t="inlineStr"/>
      <s:c r="B23711" s="121" t="n"/>
      <s:c r="C23711" s="121" t="n"/>
      <s:c r="D23711" s="121" t="n"/>
      <s:c r="E23711" s="122" t="n"/>
    </s:row>
    <s:row r="23712" hidden="1" ht="1" customHeight="1">
      <s:c r="A23712" s="120" t="inlineStr"/>
      <s:c r="B23712" s="121" t="n"/>
      <s:c r="C23712" s="121" t="n"/>
      <s:c r="D23712" s="121" t="n"/>
      <s:c r="E23712" s="122" t="n"/>
    </s:row>
    <s:row r="23713" hidden="1" ht="1" customHeight="1">
      <s:c r="A23713" s="120" t="inlineStr"/>
      <s:c r="B23713" s="121" t="n"/>
      <s:c r="C23713" s="121" t="n"/>
      <s:c r="D23713" s="121" t="n"/>
      <s:c r="E23713" s="122" t="n"/>
    </s:row>
    <s:row r="23714" hidden="1" ht="1" customHeight="1">
      <s:c r="A23714" s="120" t="inlineStr"/>
      <s:c r="B23714" s="121" t="n"/>
      <s:c r="C23714" s="121" t="n"/>
      <s:c r="D23714" s="121" t="n"/>
      <s:c r="E23714" s="122" t="n"/>
    </s:row>
    <s:row r="23715" hidden="1" ht="1" customHeight="1">
      <s:c r="A23715" s="120" t="inlineStr"/>
      <s:c r="B23715" s="121" t="n"/>
      <s:c r="C23715" s="121" t="n"/>
      <s:c r="D23715" s="121" t="n"/>
      <s:c r="E23715" s="122" t="n"/>
    </s:row>
    <s:row r="23716" hidden="1" ht="1" customHeight="1">
      <s:c r="A23716" s="120" t="inlineStr"/>
      <s:c r="B23716" s="121" t="n"/>
      <s:c r="C23716" s="121" t="n"/>
      <s:c r="D23716" s="121" t="n"/>
      <s:c r="E23716" s="122" t="n"/>
    </s:row>
    <s:row r="23717" hidden="1" ht="1" customHeight="1">
      <s:c r="A23717" s="120" t="inlineStr"/>
      <s:c r="B23717" s="121" t="n"/>
      <s:c r="C23717" s="121" t="n"/>
      <s:c r="D23717" s="121" t="n"/>
      <s:c r="E23717" s="122" t="n"/>
    </s:row>
    <s:row r="23718" hidden="1" ht="1" customHeight="1">
      <s:c r="A23718" s="120" t="inlineStr"/>
      <s:c r="B23718" s="121" t="n"/>
      <s:c r="C23718" s="121" t="n"/>
      <s:c r="D23718" s="121" t="n"/>
      <s:c r="E23718" s="122" t="n"/>
    </s:row>
    <s:row r="23719" hidden="1" ht="1" customHeight="1">
      <s:c r="A23719" s="120" t="inlineStr"/>
      <s:c r="B23719" s="121" t="n"/>
      <s:c r="C23719" s="121" t="n"/>
      <s:c r="D23719" s="121" t="n"/>
      <s:c r="E23719" s="122" t="n"/>
    </s:row>
    <s:row r="23720" hidden="1" ht="1" customHeight="1">
      <s:c r="A23720" s="120" t="inlineStr"/>
      <s:c r="B23720" s="121" t="n"/>
      <s:c r="C23720" s="121" t="n"/>
      <s:c r="D23720" s="121" t="n"/>
      <s:c r="E23720" s="122" t="n"/>
    </s:row>
    <s:row r="23721" hidden="1" ht="1" customHeight="1">
      <s:c r="A23721" s="120" t="inlineStr"/>
      <s:c r="B23721" s="121" t="n"/>
      <s:c r="C23721" s="121" t="n"/>
      <s:c r="D23721" s="121" t="n"/>
      <s:c r="E23721" s="122" t="n"/>
    </s:row>
    <s:row r="23722" hidden="1" ht="1" customHeight="1">
      <s:c r="A23722" s="120" t="inlineStr"/>
      <s:c r="B23722" s="121" t="n"/>
      <s:c r="C23722" s="121" t="n"/>
      <s:c r="D23722" s="121" t="n"/>
      <s:c r="E23722" s="122" t="n"/>
    </s:row>
    <s:row r="23723" hidden="1" ht="1" customHeight="1">
      <s:c r="A23723" s="120" t="inlineStr"/>
      <s:c r="B23723" s="121" t="n"/>
      <s:c r="C23723" s="121" t="n"/>
      <s:c r="D23723" s="121" t="n"/>
      <s:c r="E23723" s="122" t="n"/>
    </s:row>
    <s:row r="23724" hidden="1" ht="1" customHeight="1">
      <s:c r="A23724" s="120" t="inlineStr"/>
      <s:c r="B23724" s="121" t="n"/>
      <s:c r="C23724" s="121" t="n"/>
      <s:c r="D23724" s="121" t="n"/>
      <s:c r="E23724" s="122" t="n"/>
    </s:row>
    <s:row r="23725" hidden="1" ht="1" customHeight="1">
      <s:c r="A23725" s="120" t="inlineStr"/>
      <s:c r="B23725" s="121" t="n"/>
      <s:c r="C23725" s="121" t="n"/>
      <s:c r="D23725" s="121" t="n"/>
      <s:c r="E23725" s="122" t="n"/>
    </s:row>
    <s:row r="23726" hidden="1" ht="1" customHeight="1">
      <s:c r="A23726" s="120" t="inlineStr"/>
      <s:c r="B23726" s="121" t="n"/>
      <s:c r="C23726" s="121" t="n"/>
      <s:c r="D23726" s="121" t="n"/>
      <s:c r="E23726" s="122" t="n"/>
    </s:row>
    <s:row r="23727" hidden="1" ht="1" customHeight="1">
      <s:c r="A23727" s="120" t="inlineStr"/>
      <s:c r="B23727" s="121" t="n"/>
      <s:c r="C23727" s="121" t="n"/>
      <s:c r="D23727" s="121" t="n"/>
      <s:c r="E23727" s="122" t="n"/>
    </s:row>
    <s:row r="23728" hidden="1" ht="1" customHeight="1">
      <s:c r="A23728" s="120" t="inlineStr"/>
      <s:c r="B23728" s="121" t="n"/>
      <s:c r="C23728" s="121" t="n"/>
      <s:c r="D23728" s="121" t="n"/>
      <s:c r="E23728" s="122" t="n"/>
    </s:row>
    <s:row r="23729" hidden="1" ht="1" customHeight="1">
      <s:c r="A23729" s="120" t="inlineStr"/>
      <s:c r="B23729" s="121" t="n"/>
      <s:c r="C23729" s="121" t="n"/>
      <s:c r="D23729" s="121" t="n"/>
      <s:c r="E23729" s="122" t="n"/>
    </s:row>
    <s:row r="23730" hidden="1" ht="1" customHeight="1">
      <s:c r="A23730" s="120" t="inlineStr"/>
      <s:c r="B23730" s="121" t="n"/>
      <s:c r="C23730" s="121" t="n"/>
      <s:c r="D23730" s="121" t="n"/>
      <s:c r="E23730" s="122" t="n"/>
    </s:row>
    <s:row r="23731" hidden="1" ht="1" customHeight="1">
      <s:c r="A23731" s="120" t="inlineStr"/>
      <s:c r="B23731" s="121" t="n"/>
      <s:c r="C23731" s="121" t="n"/>
      <s:c r="D23731" s="121" t="n"/>
      <s:c r="E23731" s="122" t="n"/>
    </s:row>
    <s:row r="23732" hidden="1" ht="1" customHeight="1">
      <s:c r="A23732" s="120" t="inlineStr"/>
      <s:c r="B23732" s="121" t="n"/>
      <s:c r="C23732" s="121" t="n"/>
      <s:c r="D23732" s="121" t="n"/>
      <s:c r="E23732" s="122" t="n"/>
    </s:row>
    <s:row r="23733" hidden="1" ht="1" customHeight="1">
      <s:c r="A23733" s="120" t="inlineStr"/>
      <s:c r="B23733" s="121" t="n"/>
      <s:c r="C23733" s="121" t="n"/>
      <s:c r="D23733" s="121" t="n"/>
      <s:c r="E23733" s="122" t="n"/>
    </s:row>
    <s:row r="23734" hidden="1" ht="1" customHeight="1">
      <s:c r="A23734" s="120" t="inlineStr"/>
      <s:c r="B23734" s="121" t="n"/>
      <s:c r="C23734" s="121" t="n"/>
      <s:c r="D23734" s="121" t="n"/>
      <s:c r="E23734" s="122" t="n"/>
    </s:row>
    <s:row r="23735" hidden="1" ht="1" customHeight="1">
      <s:c r="A23735" s="120" t="inlineStr"/>
      <s:c r="B23735" s="121" t="n"/>
      <s:c r="C23735" s="121" t="n"/>
      <s:c r="D23735" s="121" t="n"/>
      <s:c r="E23735" s="122" t="n"/>
    </s:row>
    <s:row r="23736" hidden="1" ht="1" customHeight="1">
      <s:c r="A23736" s="120" t="inlineStr"/>
      <s:c r="B23736" s="121" t="n"/>
      <s:c r="C23736" s="121" t="n"/>
      <s:c r="D23736" s="121" t="n"/>
      <s:c r="E23736" s="122" t="n"/>
    </s:row>
    <s:row r="23737" hidden="1" ht="1" customHeight="1">
      <s:c r="A23737" s="120" t="inlineStr"/>
      <s:c r="B23737" s="121" t="n"/>
      <s:c r="C23737" s="121" t="n"/>
      <s:c r="D23737" s="121" t="n"/>
      <s:c r="E23737" s="122" t="n"/>
    </s:row>
    <s:row r="23738" hidden="1" ht="1" customHeight="1">
      <s:c r="A23738" s="120" t="inlineStr"/>
      <s:c r="B23738" s="121" t="n"/>
      <s:c r="C23738" s="121" t="n"/>
      <s:c r="D23738" s="121" t="n"/>
      <s:c r="E23738" s="122" t="n"/>
    </s:row>
    <s:row r="23739" hidden="1" ht="1" customHeight="1">
      <s:c r="A23739" s="120" t="inlineStr"/>
      <s:c r="B23739" s="121" t="n"/>
      <s:c r="C23739" s="121" t="n"/>
      <s:c r="D23739" s="121" t="n"/>
      <s:c r="E23739" s="122" t="n"/>
    </s:row>
    <s:row r="23740" hidden="1" ht="1" customHeight="1">
      <s:c r="A23740" s="120" t="inlineStr"/>
      <s:c r="B23740" s="121" t="n"/>
      <s:c r="C23740" s="121" t="n"/>
      <s:c r="D23740" s="121" t="n"/>
      <s:c r="E23740" s="122" t="n"/>
    </s:row>
    <s:row r="23741" hidden="1" ht="1" customHeight="1">
      <s:c r="A23741" s="120" t="inlineStr"/>
      <s:c r="B23741" s="121" t="n"/>
      <s:c r="C23741" s="121" t="n"/>
      <s:c r="D23741" s="121" t="n"/>
      <s:c r="E23741" s="122" t="n"/>
    </s:row>
    <s:row r="23742" hidden="1" ht="1" customHeight="1">
      <s:c r="A23742" s="120" t="inlineStr"/>
      <s:c r="B23742" s="121" t="n"/>
      <s:c r="C23742" s="121" t="n"/>
      <s:c r="D23742" s="121" t="n"/>
      <s:c r="E23742" s="122" t="n"/>
    </s:row>
    <s:row r="23743" hidden="1" ht="1" customHeight="1">
      <s:c r="A23743" s="120" t="inlineStr"/>
      <s:c r="B23743" s="121" t="n"/>
      <s:c r="C23743" s="121" t="n"/>
      <s:c r="D23743" s="121" t="n"/>
      <s:c r="E23743" s="122" t="n"/>
    </s:row>
    <s:row r="23744" hidden="1" ht="1" customHeight="1">
      <s:c r="A23744" s="120" t="inlineStr"/>
      <s:c r="B23744" s="121" t="n"/>
      <s:c r="C23744" s="121" t="n"/>
      <s:c r="D23744" s="121" t="n"/>
      <s:c r="E23744" s="122" t="n"/>
    </s:row>
    <s:row r="23745" hidden="1" ht="1" customHeight="1">
      <s:c r="A23745" s="120" t="inlineStr"/>
      <s:c r="B23745" s="121" t="n"/>
      <s:c r="C23745" s="121" t="n"/>
      <s:c r="D23745" s="121" t="n"/>
      <s:c r="E23745" s="122" t="n"/>
    </s:row>
    <s:row r="23746" hidden="1" ht="1" customHeight="1">
      <s:c r="A23746" s="120" t="inlineStr"/>
      <s:c r="B23746" s="121" t="n"/>
      <s:c r="C23746" s="121" t="n"/>
      <s:c r="D23746" s="121" t="n"/>
      <s:c r="E23746" s="122" t="n"/>
    </s:row>
    <s:row r="23747" hidden="1" ht="1" customHeight="1">
      <s:c r="A23747" s="120" t="inlineStr"/>
      <s:c r="B23747" s="121" t="n"/>
      <s:c r="C23747" s="121" t="n"/>
      <s:c r="D23747" s="121" t="n"/>
      <s:c r="E23747" s="122" t="n"/>
    </s:row>
    <s:row r="23748" hidden="1" ht="1" customHeight="1">
      <s:c r="A23748" s="120" t="inlineStr"/>
      <s:c r="B23748" s="121" t="n"/>
      <s:c r="C23748" s="121" t="n"/>
      <s:c r="D23748" s="121" t="n"/>
      <s:c r="E23748" s="122" t="n"/>
    </s:row>
    <s:row r="23749" hidden="1" ht="1" customHeight="1">
      <s:c r="A23749" s="120" t="inlineStr"/>
      <s:c r="B23749" s="121" t="n"/>
      <s:c r="C23749" s="121" t="n"/>
      <s:c r="D23749" s="121" t="n"/>
      <s:c r="E23749" s="122" t="n"/>
    </s:row>
    <s:row r="23750" hidden="1" ht="1" customHeight="1">
      <s:c r="A23750" s="120" t="inlineStr"/>
      <s:c r="B23750" s="121" t="n"/>
      <s:c r="C23750" s="121" t="n"/>
      <s:c r="D23750" s="121" t="n"/>
      <s:c r="E23750" s="122" t="n"/>
    </s:row>
    <s:row r="23751" hidden="1" ht="1" customHeight="1">
      <s:c r="A23751" s="120" t="inlineStr"/>
      <s:c r="B23751" s="121" t="n"/>
      <s:c r="C23751" s="121" t="n"/>
      <s:c r="D23751" s="121" t="n"/>
      <s:c r="E23751" s="122" t="n"/>
    </s:row>
    <s:row r="23752" hidden="1" ht="1" customHeight="1">
      <s:c r="A23752" s="120" t="inlineStr"/>
      <s:c r="B23752" s="121" t="n"/>
      <s:c r="C23752" s="121" t="n"/>
      <s:c r="D23752" s="121" t="n"/>
      <s:c r="E23752" s="122" t="n"/>
    </s:row>
    <s:row r="23753" hidden="1" ht="1" customHeight="1">
      <s:c r="A23753" s="120" t="inlineStr"/>
      <s:c r="B23753" s="121" t="n"/>
      <s:c r="C23753" s="121" t="n"/>
      <s:c r="D23753" s="121" t="n"/>
      <s:c r="E23753" s="122" t="n"/>
    </s:row>
    <s:row r="23754" hidden="1" ht="1" customHeight="1">
      <s:c r="A23754" s="120" t="inlineStr"/>
      <s:c r="B23754" s="121" t="n"/>
      <s:c r="C23754" s="121" t="n"/>
      <s:c r="D23754" s="121" t="n"/>
      <s:c r="E23754" s="122" t="n"/>
    </s:row>
    <s:row r="23755" hidden="1" ht="1" customHeight="1">
      <s:c r="A23755" s="120" t="inlineStr"/>
      <s:c r="B23755" s="121" t="n"/>
      <s:c r="C23755" s="121" t="n"/>
      <s:c r="D23755" s="121" t="n"/>
      <s:c r="E23755" s="122" t="n"/>
    </s:row>
    <s:row r="23756" hidden="1" ht="1" customHeight="1">
      <s:c r="A23756" s="120" t="inlineStr"/>
      <s:c r="B23756" s="121" t="n"/>
      <s:c r="C23756" s="121" t="n"/>
      <s:c r="D23756" s="121" t="n"/>
      <s:c r="E23756" s="122" t="n"/>
    </s:row>
    <s:row r="23757" hidden="1" ht="1" customHeight="1">
      <s:c r="A23757" s="120" t="inlineStr"/>
      <s:c r="B23757" s="121" t="n"/>
      <s:c r="C23757" s="121" t="n"/>
      <s:c r="D23757" s="121" t="n"/>
      <s:c r="E23757" s="122" t="n"/>
    </s:row>
    <s:row r="23758" hidden="1" ht="1" customHeight="1">
      <s:c r="A23758" s="120" t="inlineStr"/>
      <s:c r="B23758" s="121" t="n"/>
      <s:c r="C23758" s="121" t="n"/>
      <s:c r="D23758" s="121" t="n"/>
      <s:c r="E23758" s="122" t="n"/>
    </s:row>
    <s:row r="23759" hidden="1" ht="1" customHeight="1">
      <s:c r="A23759" s="120" t="inlineStr"/>
      <s:c r="B23759" s="121" t="n"/>
      <s:c r="C23759" s="121" t="n"/>
      <s:c r="D23759" s="121" t="n"/>
      <s:c r="E23759" s="122" t="n"/>
    </s:row>
    <s:row r="23760" hidden="1" ht="1" customHeight="1">
      <s:c r="A23760" s="120" t="inlineStr"/>
      <s:c r="B23760" s="121" t="n"/>
      <s:c r="C23760" s="121" t="n"/>
      <s:c r="D23760" s="121" t="n"/>
      <s:c r="E23760" s="122" t="n"/>
    </s:row>
    <s:row r="23761" hidden="1" ht="1" customHeight="1">
      <s:c r="A23761" s="120" t="inlineStr"/>
      <s:c r="B23761" s="121" t="n"/>
      <s:c r="C23761" s="121" t="n"/>
      <s:c r="D23761" s="121" t="n"/>
      <s:c r="E23761" s="122" t="n"/>
    </s:row>
    <s:row r="23762" hidden="1" ht="1" customHeight="1">
      <s:c r="A23762" s="120" t="inlineStr"/>
      <s:c r="B23762" s="121" t="n"/>
      <s:c r="C23762" s="121" t="n"/>
      <s:c r="D23762" s="121" t="n"/>
      <s:c r="E23762" s="122" t="n"/>
    </s:row>
    <s:row r="23763" hidden="1" ht="1" customHeight="1">
      <s:c r="A23763" s="120" t="inlineStr"/>
      <s:c r="B23763" s="121" t="n"/>
      <s:c r="C23763" s="121" t="n"/>
      <s:c r="D23763" s="121" t="n"/>
      <s:c r="E23763" s="122" t="n"/>
    </s:row>
    <s:row r="23764" hidden="1" ht="1" customHeight="1">
      <s:c r="A23764" s="120" t="inlineStr"/>
      <s:c r="B23764" s="121" t="n"/>
      <s:c r="C23764" s="121" t="n"/>
      <s:c r="D23764" s="121" t="n"/>
      <s:c r="E23764" s="122" t="n"/>
    </s:row>
    <s:row r="23765" hidden="1" ht="1" customHeight="1">
      <s:c r="A23765" s="120" t="inlineStr"/>
      <s:c r="B23765" s="121" t="n"/>
      <s:c r="C23765" s="121" t="n"/>
      <s:c r="D23765" s="121" t="n"/>
      <s:c r="E23765" s="122" t="n"/>
    </s:row>
    <s:row r="23766" hidden="1" ht="1" customHeight="1">
      <s:c r="A23766" s="120" t="inlineStr"/>
      <s:c r="B23766" s="121" t="n"/>
      <s:c r="C23766" s="121" t="n"/>
      <s:c r="D23766" s="121" t="n"/>
      <s:c r="E23766" s="122" t="n"/>
    </s:row>
    <s:row r="23767" hidden="1" ht="1" customHeight="1">
      <s:c r="A23767" s="120" t="inlineStr"/>
      <s:c r="B23767" s="121" t="n"/>
      <s:c r="C23767" s="121" t="n"/>
      <s:c r="D23767" s="121" t="n"/>
      <s:c r="E23767" s="122" t="n"/>
    </s:row>
    <s:row r="23768" hidden="1" ht="1" customHeight="1">
      <s:c r="A23768" s="120" t="inlineStr"/>
      <s:c r="B23768" s="121" t="n"/>
      <s:c r="C23768" s="121" t="n"/>
      <s:c r="D23768" s="121" t="n"/>
      <s:c r="E23768" s="122" t="n"/>
    </s:row>
    <s:row r="23769" hidden="1" ht="1" customHeight="1">
      <s:c r="A23769" s="120" t="inlineStr"/>
      <s:c r="B23769" s="121" t="n"/>
      <s:c r="C23769" s="121" t="n"/>
      <s:c r="D23769" s="121" t="n"/>
      <s:c r="E23769" s="122" t="n"/>
    </s:row>
    <s:row r="23770" hidden="1" ht="1" customHeight="1">
      <s:c r="A23770" s="120" t="inlineStr"/>
      <s:c r="B23770" s="121" t="n"/>
      <s:c r="C23770" s="121" t="n"/>
      <s:c r="D23770" s="121" t="n"/>
      <s:c r="E23770" s="122" t="n"/>
    </s:row>
    <s:row r="23771" hidden="1" ht="1" customHeight="1">
      <s:c r="A23771" s="120" t="inlineStr"/>
      <s:c r="B23771" s="121" t="n"/>
      <s:c r="C23771" s="121" t="n"/>
      <s:c r="D23771" s="121" t="n"/>
      <s:c r="E23771" s="122" t="n"/>
    </s:row>
    <s:row r="23772" hidden="1" ht="1" customHeight="1">
      <s:c r="A23772" s="120" t="inlineStr"/>
      <s:c r="B23772" s="121" t="n"/>
      <s:c r="C23772" s="121" t="n"/>
      <s:c r="D23772" s="121" t="n"/>
      <s:c r="E23772" s="122" t="n"/>
    </s:row>
    <s:row r="23773" hidden="1" ht="1" customHeight="1">
      <s:c r="A23773" s="120" t="inlineStr"/>
      <s:c r="B23773" s="121" t="n"/>
      <s:c r="C23773" s="121" t="n"/>
      <s:c r="D23773" s="121" t="n"/>
      <s:c r="E23773" s="122" t="n"/>
    </s:row>
    <s:row r="23774" hidden="1" ht="1" customHeight="1">
      <s:c r="A23774" s="120" t="inlineStr"/>
      <s:c r="B23774" s="121" t="n"/>
      <s:c r="C23774" s="121" t="n"/>
      <s:c r="D23774" s="121" t="n"/>
      <s:c r="E23774" s="122" t="n"/>
    </s:row>
    <s:row r="23775" hidden="1" ht="1" customHeight="1">
      <s:c r="A23775" s="120" t="inlineStr"/>
      <s:c r="B23775" s="121" t="n"/>
      <s:c r="C23775" s="121" t="n"/>
      <s:c r="D23775" s="121" t="n"/>
      <s:c r="E23775" s="122" t="n"/>
    </s:row>
    <s:row r="23776" hidden="1" ht="1" customHeight="1">
      <s:c r="A23776" s="120" t="inlineStr"/>
      <s:c r="B23776" s="121" t="n"/>
      <s:c r="C23776" s="121" t="n"/>
      <s:c r="D23776" s="121" t="n"/>
      <s:c r="E23776" s="122" t="n"/>
    </s:row>
    <s:row r="23777" hidden="1" ht="1" customHeight="1">
      <s:c r="A23777" s="120" t="inlineStr"/>
      <s:c r="B23777" s="121" t="n"/>
      <s:c r="C23777" s="121" t="n"/>
      <s:c r="D23777" s="121" t="n"/>
      <s:c r="E23777" s="122" t="n"/>
    </s:row>
    <s:row r="23778" hidden="1" ht="1" customHeight="1">
      <s:c r="A23778" s="120" t="inlineStr"/>
      <s:c r="B23778" s="121" t="n"/>
      <s:c r="C23778" s="121" t="n"/>
      <s:c r="D23778" s="121" t="n"/>
      <s:c r="E23778" s="122" t="n"/>
    </s:row>
    <s:row r="23779" hidden="1" ht="1" customHeight="1">
      <s:c r="A23779" s="120" t="inlineStr"/>
      <s:c r="B23779" s="121" t="n"/>
      <s:c r="C23779" s="121" t="n"/>
      <s:c r="D23779" s="121" t="n"/>
      <s:c r="E23779" s="122" t="n"/>
    </s:row>
    <s:row r="23780" hidden="1" ht="1" customHeight="1">
      <s:c r="A23780" s="120" t="inlineStr"/>
      <s:c r="B23780" s="121" t="n"/>
      <s:c r="C23780" s="121" t="n"/>
      <s:c r="D23780" s="121" t="n"/>
      <s:c r="E23780" s="122" t="n"/>
    </s:row>
    <s:row r="23781" hidden="1" ht="1" customHeight="1">
      <s:c r="A23781" s="120" t="inlineStr"/>
      <s:c r="B23781" s="121" t="n"/>
      <s:c r="C23781" s="121" t="n"/>
      <s:c r="D23781" s="121" t="n"/>
      <s:c r="E23781" s="122" t="n"/>
    </s:row>
    <s:row r="23782" hidden="1" ht="1" customHeight="1">
      <s:c r="A23782" s="120" t="inlineStr"/>
      <s:c r="B23782" s="121" t="n"/>
      <s:c r="C23782" s="121" t="n"/>
      <s:c r="D23782" s="121" t="n"/>
      <s:c r="E23782" s="122" t="n"/>
    </s:row>
    <s:row r="23783" hidden="1" ht="1" customHeight="1">
      <s:c r="A23783" s="120" t="inlineStr"/>
      <s:c r="B23783" s="121" t="n"/>
      <s:c r="C23783" s="121" t="n"/>
      <s:c r="D23783" s="121" t="n"/>
      <s:c r="E23783" s="122" t="n"/>
    </s:row>
    <s:row r="23784" hidden="1" ht="1" customHeight="1">
      <s:c r="A23784" s="120" t="inlineStr"/>
      <s:c r="B23784" s="121" t="n"/>
      <s:c r="C23784" s="121" t="n"/>
      <s:c r="D23784" s="121" t="n"/>
      <s:c r="E23784" s="122" t="n"/>
    </s:row>
    <s:row r="23785" hidden="1" ht="1" customHeight="1">
      <s:c r="A23785" s="120" t="inlineStr"/>
      <s:c r="B23785" s="121" t="n"/>
      <s:c r="C23785" s="121" t="n"/>
      <s:c r="D23785" s="121" t="n"/>
      <s:c r="E23785" s="122" t="n"/>
    </s:row>
    <s:row r="23786" hidden="1" ht="1" customHeight="1">
      <s:c r="A23786" s="120" t="inlineStr"/>
      <s:c r="B23786" s="121" t="n"/>
      <s:c r="C23786" s="121" t="n"/>
      <s:c r="D23786" s="121" t="n"/>
      <s:c r="E23786" s="122" t="n"/>
    </s:row>
    <s:row r="23787" hidden="1" ht="1" customHeight="1">
      <s:c r="A23787" s="120" t="inlineStr"/>
      <s:c r="B23787" s="121" t="n"/>
      <s:c r="C23787" s="121" t="n"/>
      <s:c r="D23787" s="121" t="n"/>
      <s:c r="E23787" s="122" t="n"/>
    </s:row>
    <s:row r="23788" hidden="1" ht="1" customHeight="1">
      <s:c r="A23788" s="120" t="inlineStr"/>
      <s:c r="B23788" s="121" t="n"/>
      <s:c r="C23788" s="121" t="n"/>
      <s:c r="D23788" s="121" t="n"/>
      <s:c r="E23788" s="122" t="n"/>
    </s:row>
    <s:row r="23789" hidden="1" ht="1" customHeight="1">
      <s:c r="A23789" s="120" t="inlineStr"/>
      <s:c r="B23789" s="121" t="n"/>
      <s:c r="C23789" s="121" t="n"/>
      <s:c r="D23789" s="121" t="n"/>
      <s:c r="E23789" s="122" t="n"/>
    </s:row>
    <s:row r="23790" hidden="1" ht="1" customHeight="1">
      <s:c r="A23790" s="120" t="inlineStr"/>
      <s:c r="B23790" s="121" t="n"/>
      <s:c r="C23790" s="121" t="n"/>
      <s:c r="D23790" s="121" t="n"/>
      <s:c r="E23790" s="122" t="n"/>
    </s:row>
    <s:row r="23791" hidden="1" ht="1" customHeight="1">
      <s:c r="A23791" s="120" t="inlineStr"/>
      <s:c r="B23791" s="121" t="n"/>
      <s:c r="C23791" s="121" t="n"/>
      <s:c r="D23791" s="121" t="n"/>
      <s:c r="E23791" s="122" t="n"/>
    </s:row>
    <s:row r="23792" hidden="1" ht="1" customHeight="1">
      <s:c r="A23792" s="120" t="inlineStr"/>
      <s:c r="B23792" s="121" t="n"/>
      <s:c r="C23792" s="121" t="n"/>
      <s:c r="D23792" s="121" t="n"/>
      <s:c r="E23792" s="122" t="n"/>
    </s:row>
    <s:row r="23793" hidden="1" ht="1" customHeight="1">
      <s:c r="A23793" s="120" t="inlineStr"/>
      <s:c r="B23793" s="121" t="n"/>
      <s:c r="C23793" s="121" t="n"/>
      <s:c r="D23793" s="121" t="n"/>
      <s:c r="E23793" s="122" t="n"/>
    </s:row>
    <s:row r="23794" hidden="1" ht="1" customHeight="1">
      <s:c r="A23794" s="120" t="inlineStr"/>
      <s:c r="B23794" s="121" t="n"/>
      <s:c r="C23794" s="121" t="n"/>
      <s:c r="D23794" s="121" t="n"/>
      <s:c r="E23794" s="122" t="n"/>
    </s:row>
    <s:row r="23795" hidden="1" ht="1" customHeight="1">
      <s:c r="A23795" s="120" t="inlineStr"/>
      <s:c r="B23795" s="121" t="n"/>
      <s:c r="C23795" s="121" t="n"/>
      <s:c r="D23795" s="121" t="n"/>
      <s:c r="E23795" s="122" t="n"/>
    </s:row>
    <s:row r="23796" hidden="1" ht="1" customHeight="1">
      <s:c r="A23796" s="120" t="inlineStr"/>
      <s:c r="B23796" s="121" t="n"/>
      <s:c r="C23796" s="121" t="n"/>
      <s:c r="D23796" s="121" t="n"/>
      <s:c r="E23796" s="122" t="n"/>
    </s:row>
    <s:row r="23797" hidden="1" ht="1" customHeight="1">
      <s:c r="A23797" s="120" t="inlineStr"/>
      <s:c r="B23797" s="121" t="n"/>
      <s:c r="C23797" s="121" t="n"/>
      <s:c r="D23797" s="121" t="n"/>
      <s:c r="E23797" s="122" t="n"/>
    </s:row>
    <s:row r="23798" hidden="1" ht="1" customHeight="1">
      <s:c r="A23798" s="120" t="inlineStr"/>
      <s:c r="B23798" s="121" t="n"/>
      <s:c r="C23798" s="121" t="n"/>
      <s:c r="D23798" s="121" t="n"/>
      <s:c r="E23798" s="122" t="n"/>
    </s:row>
    <s:row r="23799" hidden="1" ht="1" customHeight="1">
      <s:c r="A23799" s="120" t="inlineStr"/>
      <s:c r="B23799" s="121" t="n"/>
      <s:c r="C23799" s="121" t="n"/>
      <s:c r="D23799" s="121" t="n"/>
      <s:c r="E23799" s="122" t="n"/>
    </s:row>
    <s:row r="23800" hidden="1" ht="1" customHeight="1">
      <s:c r="A23800" s="120" t="inlineStr"/>
      <s:c r="B23800" s="121" t="n"/>
      <s:c r="C23800" s="121" t="n"/>
      <s:c r="D23800" s="121" t="n"/>
      <s:c r="E23800" s="122" t="n"/>
    </s:row>
    <s:row r="23801" hidden="1" ht="1" customHeight="1">
      <s:c r="A23801" s="120" t="inlineStr"/>
      <s:c r="B23801" s="121" t="n"/>
      <s:c r="C23801" s="121" t="n"/>
      <s:c r="D23801" s="121" t="n"/>
      <s:c r="E23801" s="122" t="n"/>
    </s:row>
    <s:row r="23802" hidden="1" ht="1" customHeight="1">
      <s:c r="A23802" s="120" t="inlineStr"/>
      <s:c r="B23802" s="121" t="n"/>
      <s:c r="C23802" s="121" t="n"/>
      <s:c r="D23802" s="121" t="n"/>
      <s:c r="E23802" s="122" t="n"/>
    </s:row>
    <s:row r="23803" hidden="1" ht="1" customHeight="1">
      <s:c r="A23803" s="120" t="inlineStr"/>
      <s:c r="B23803" s="121" t="n"/>
      <s:c r="C23803" s="121" t="n"/>
      <s:c r="D23803" s="121" t="n"/>
      <s:c r="E23803" s="122" t="n"/>
    </s:row>
    <s:row r="23804" hidden="1" ht="1" customHeight="1">
      <s:c r="A23804" s="120" t="inlineStr"/>
      <s:c r="B23804" s="121" t="n"/>
      <s:c r="C23804" s="121" t="n"/>
      <s:c r="D23804" s="121" t="n"/>
      <s:c r="E23804" s="122" t="n"/>
    </s:row>
    <s:row r="23805" hidden="1" ht="1" customHeight="1">
      <s:c r="A23805" s="120" t="inlineStr"/>
      <s:c r="B23805" s="121" t="n"/>
      <s:c r="C23805" s="121" t="n"/>
      <s:c r="D23805" s="121" t="n"/>
      <s:c r="E23805" s="122" t="n"/>
    </s:row>
    <s:row r="23806" hidden="1" ht="1" customHeight="1">
      <s:c r="A23806" s="120" t="inlineStr"/>
      <s:c r="B23806" s="121" t="n"/>
      <s:c r="C23806" s="121" t="n"/>
      <s:c r="D23806" s="121" t="n"/>
      <s:c r="E23806" s="122" t="n"/>
    </s:row>
    <s:row r="23807" hidden="1" ht="1" customHeight="1">
      <s:c r="A23807" s="120" t="inlineStr"/>
      <s:c r="B23807" s="121" t="n"/>
      <s:c r="C23807" s="121" t="n"/>
      <s:c r="D23807" s="121" t="n"/>
      <s:c r="E23807" s="122" t="n"/>
    </s:row>
    <s:row r="23808" hidden="1" ht="1" customHeight="1">
      <s:c r="A23808" s="120" t="inlineStr"/>
      <s:c r="B23808" s="121" t="n"/>
      <s:c r="C23808" s="121" t="n"/>
      <s:c r="D23808" s="121" t="n"/>
      <s:c r="E23808" s="122" t="n"/>
    </s:row>
    <s:row r="23809" hidden="1" ht="1" customHeight="1">
      <s:c r="A23809" s="120" t="inlineStr"/>
      <s:c r="B23809" s="121" t="n"/>
      <s:c r="C23809" s="121" t="n"/>
      <s:c r="D23809" s="121" t="n"/>
      <s:c r="E23809" s="122" t="n"/>
    </s:row>
    <s:row r="23810" hidden="1" ht="1" customHeight="1">
      <s:c r="A23810" s="120" t="inlineStr"/>
      <s:c r="B23810" s="121" t="n"/>
      <s:c r="C23810" s="121" t="n"/>
      <s:c r="D23810" s="121" t="n"/>
      <s:c r="E23810" s="122" t="n"/>
    </s:row>
    <s:row r="23811" hidden="1" ht="1" customHeight="1">
      <s:c r="A23811" s="120" t="inlineStr"/>
      <s:c r="B23811" s="121" t="n"/>
      <s:c r="C23811" s="121" t="n"/>
      <s:c r="D23811" s="121" t="n"/>
      <s:c r="E23811" s="122" t="n"/>
    </s:row>
    <s:row r="23812" hidden="1" ht="1" customHeight="1">
      <s:c r="A23812" s="120" t="inlineStr"/>
      <s:c r="B23812" s="121" t="n"/>
      <s:c r="C23812" s="121" t="n"/>
      <s:c r="D23812" s="121" t="n"/>
      <s:c r="E23812" s="122" t="n"/>
    </s:row>
    <s:row r="23813" hidden="1" ht="1" customHeight="1">
      <s:c r="A23813" s="120" t="inlineStr"/>
      <s:c r="B23813" s="121" t="n"/>
      <s:c r="C23813" s="121" t="n"/>
      <s:c r="D23813" s="121" t="n"/>
      <s:c r="E23813" s="122" t="n"/>
    </s:row>
    <s:row r="23814" hidden="1" ht="1" customHeight="1">
      <s:c r="A23814" s="120" t="inlineStr"/>
      <s:c r="B23814" s="121" t="n"/>
      <s:c r="C23814" s="121" t="n"/>
      <s:c r="D23814" s="121" t="n"/>
      <s:c r="E23814" s="122" t="n"/>
    </s:row>
    <s:row r="23815" hidden="1" ht="1" customHeight="1">
      <s:c r="A23815" s="120" t="inlineStr"/>
      <s:c r="B23815" s="121" t="n"/>
      <s:c r="C23815" s="121" t="n"/>
      <s:c r="D23815" s="121" t="n"/>
      <s:c r="E23815" s="122" t="n"/>
    </s:row>
    <s:row r="23816" hidden="1" ht="1" customHeight="1">
      <s:c r="A23816" s="120" t="inlineStr"/>
      <s:c r="B23816" s="121" t="n"/>
      <s:c r="C23816" s="121" t="n"/>
      <s:c r="D23816" s="121" t="n"/>
      <s:c r="E23816" s="122" t="n"/>
    </s:row>
    <s:row r="23817" hidden="1" ht="1" customHeight="1">
      <s:c r="A23817" s="120" t="inlineStr"/>
      <s:c r="B23817" s="121" t="n"/>
      <s:c r="C23817" s="121" t="n"/>
      <s:c r="D23817" s="121" t="n"/>
      <s:c r="E23817" s="122" t="n"/>
    </s:row>
    <s:row r="23818" hidden="1" ht="1" customHeight="1">
      <s:c r="A23818" s="120" t="inlineStr"/>
      <s:c r="B23818" s="121" t="n"/>
      <s:c r="C23818" s="121" t="n"/>
      <s:c r="D23818" s="121" t="n"/>
      <s:c r="E23818" s="122" t="n"/>
    </s:row>
    <s:row r="23819" hidden="1" ht="1" customHeight="1">
      <s:c r="A23819" s="120" t="inlineStr"/>
      <s:c r="B23819" s="121" t="n"/>
      <s:c r="C23819" s="121" t="n"/>
      <s:c r="D23819" s="121" t="n"/>
      <s:c r="E23819" s="122" t="n"/>
    </s:row>
    <s:row r="23820" hidden="1" ht="1" customHeight="1">
      <s:c r="A23820" s="120" t="inlineStr"/>
      <s:c r="B23820" s="121" t="n"/>
      <s:c r="C23820" s="121" t="n"/>
      <s:c r="D23820" s="121" t="n"/>
      <s:c r="E23820" s="122" t="n"/>
    </s:row>
    <s:row r="23821" hidden="1" ht="1" customHeight="1">
      <s:c r="A23821" s="120" t="inlineStr"/>
      <s:c r="B23821" s="121" t="n"/>
      <s:c r="C23821" s="121" t="n"/>
      <s:c r="D23821" s="121" t="n"/>
      <s:c r="E23821" s="122" t="n"/>
    </s:row>
    <s:row r="23822" hidden="1" ht="1" customHeight="1">
      <s:c r="A23822" s="120" t="inlineStr"/>
      <s:c r="B23822" s="121" t="n"/>
      <s:c r="C23822" s="121" t="n"/>
      <s:c r="D23822" s="121" t="n"/>
      <s:c r="E23822" s="122" t="n"/>
    </s:row>
    <s:row r="23823" hidden="1" ht="1" customHeight="1">
      <s:c r="A23823" s="120" t="inlineStr"/>
      <s:c r="B23823" s="121" t="n"/>
      <s:c r="C23823" s="121" t="n"/>
      <s:c r="D23823" s="121" t="n"/>
      <s:c r="E23823" s="122" t="n"/>
    </s:row>
    <s:row r="23824" hidden="1" ht="1" customHeight="1">
      <s:c r="A23824" s="120" t="inlineStr"/>
      <s:c r="B23824" s="121" t="n"/>
      <s:c r="C23824" s="121" t="n"/>
      <s:c r="D23824" s="121" t="n"/>
      <s:c r="E23824" s="122" t="n"/>
    </s:row>
    <s:row r="23825" hidden="1" ht="1" customHeight="1">
      <s:c r="A23825" s="120" t="inlineStr"/>
      <s:c r="B23825" s="121" t="n"/>
      <s:c r="C23825" s="121" t="n"/>
      <s:c r="D23825" s="121" t="n"/>
      <s:c r="E23825" s="122" t="n"/>
    </s:row>
    <s:row r="23826" hidden="1" ht="1" customHeight="1">
      <s:c r="A23826" s="120" t="inlineStr"/>
      <s:c r="B23826" s="121" t="n"/>
      <s:c r="C23826" s="121" t="n"/>
      <s:c r="D23826" s="121" t="n"/>
      <s:c r="E23826" s="122" t="n"/>
    </s:row>
    <s:row r="23827" hidden="1" ht="1" customHeight="1">
      <s:c r="A23827" s="120" t="inlineStr"/>
      <s:c r="B23827" s="121" t="n"/>
      <s:c r="C23827" s="121" t="n"/>
      <s:c r="D23827" s="121" t="n"/>
      <s:c r="E23827" s="122" t="n"/>
    </s:row>
    <s:row r="23828" hidden="1" ht="1" customHeight="1">
      <s:c r="A23828" s="120" t="inlineStr"/>
      <s:c r="B23828" s="121" t="n"/>
      <s:c r="C23828" s="121" t="n"/>
      <s:c r="D23828" s="121" t="n"/>
      <s:c r="E23828" s="122" t="n"/>
    </s:row>
    <s:row r="23829" hidden="1" ht="1" customHeight="1">
      <s:c r="A23829" s="120" t="inlineStr"/>
      <s:c r="B23829" s="121" t="n"/>
      <s:c r="C23829" s="121" t="n"/>
      <s:c r="D23829" s="121" t="n"/>
      <s:c r="E23829" s="122" t="n"/>
    </s:row>
    <s:row r="23830" hidden="1" ht="1" customHeight="1">
      <s:c r="A23830" s="120" t="inlineStr"/>
      <s:c r="B23830" s="121" t="n"/>
      <s:c r="C23830" s="121" t="n"/>
      <s:c r="D23830" s="121" t="n"/>
      <s:c r="E23830" s="122" t="n"/>
    </s:row>
    <s:row r="23831" hidden="1" ht="1" customHeight="1">
      <s:c r="A23831" s="120" t="inlineStr"/>
      <s:c r="B23831" s="121" t="n"/>
      <s:c r="C23831" s="121" t="n"/>
      <s:c r="D23831" s="121" t="n"/>
      <s:c r="E23831" s="122" t="n"/>
    </s:row>
    <s:row r="23832" hidden="1" ht="1" customHeight="1">
      <s:c r="A23832" s="120" t="inlineStr"/>
      <s:c r="B23832" s="121" t="n"/>
      <s:c r="C23832" s="121" t="n"/>
      <s:c r="D23832" s="121" t="n"/>
      <s:c r="E23832" s="122" t="n"/>
    </s:row>
    <s:row r="23833" hidden="1" ht="1" customHeight="1">
      <s:c r="A23833" s="120" t="inlineStr"/>
      <s:c r="B23833" s="121" t="n"/>
      <s:c r="C23833" s="121" t="n"/>
      <s:c r="D23833" s="121" t="n"/>
      <s:c r="E23833" s="122" t="n"/>
    </s:row>
    <s:row r="23834" hidden="1" ht="1" customHeight="1">
      <s:c r="A23834" s="120" t="inlineStr"/>
      <s:c r="B23834" s="121" t="n"/>
      <s:c r="C23834" s="121" t="n"/>
      <s:c r="D23834" s="121" t="n"/>
      <s:c r="E23834" s="122" t="n"/>
    </s:row>
    <s:row r="23835" hidden="1" ht="1" customHeight="1">
      <s:c r="A23835" s="120" t="inlineStr"/>
      <s:c r="B23835" s="121" t="n"/>
      <s:c r="C23835" s="121" t="n"/>
      <s:c r="D23835" s="121" t="n"/>
      <s:c r="E23835" s="122" t="n"/>
    </s:row>
    <s:row r="23836" hidden="1" ht="1" customHeight="1">
      <s:c r="A23836" s="120" t="inlineStr"/>
      <s:c r="B23836" s="121" t="n"/>
      <s:c r="C23836" s="121" t="n"/>
      <s:c r="D23836" s="121" t="n"/>
      <s:c r="E23836" s="122" t="n"/>
    </s:row>
    <s:row r="23837" hidden="1" ht="1" customHeight="1">
      <s:c r="A23837" s="120" t="inlineStr"/>
      <s:c r="B23837" s="121" t="n"/>
      <s:c r="C23837" s="121" t="n"/>
      <s:c r="D23837" s="121" t="n"/>
      <s:c r="E23837" s="122" t="n"/>
    </s:row>
    <s:row r="23838" hidden="1" ht="1" customHeight="1">
      <s:c r="A23838" s="120" t="inlineStr"/>
      <s:c r="B23838" s="121" t="n"/>
      <s:c r="C23838" s="121" t="n"/>
      <s:c r="D23838" s="121" t="n"/>
      <s:c r="E23838" s="122" t="n"/>
    </s:row>
    <s:row r="23839" hidden="1" ht="1" customHeight="1">
      <s:c r="A23839" s="120" t="inlineStr"/>
      <s:c r="B23839" s="121" t="n"/>
      <s:c r="C23839" s="121" t="n"/>
      <s:c r="D23839" s="121" t="n"/>
      <s:c r="E23839" s="122" t="n"/>
    </s:row>
    <s:row r="23840" hidden="1" ht="1" customHeight="1">
      <s:c r="A23840" s="120" t="inlineStr"/>
      <s:c r="B23840" s="121" t="n"/>
      <s:c r="C23840" s="121" t="n"/>
      <s:c r="D23840" s="121" t="n"/>
      <s:c r="E23840" s="122" t="n"/>
    </s:row>
    <s:row r="23841" hidden="1" ht="1" customHeight="1">
      <s:c r="A23841" s="120" t="inlineStr"/>
      <s:c r="B23841" s="121" t="n"/>
      <s:c r="C23841" s="121" t="n"/>
      <s:c r="D23841" s="121" t="n"/>
      <s:c r="E23841" s="122" t="n"/>
    </s:row>
    <s:row r="23842" hidden="1" ht="1" customHeight="1">
      <s:c r="A23842" s="120" t="inlineStr"/>
      <s:c r="B23842" s="121" t="n"/>
      <s:c r="C23842" s="121" t="n"/>
      <s:c r="D23842" s="121" t="n"/>
      <s:c r="E23842" s="122" t="n"/>
    </s:row>
    <s:row r="23843" hidden="1" ht="1" customHeight="1">
      <s:c r="A23843" s="120" t="inlineStr"/>
      <s:c r="B23843" s="121" t="n"/>
      <s:c r="C23843" s="121" t="n"/>
      <s:c r="D23843" s="121" t="n"/>
      <s:c r="E23843" s="122" t="n"/>
    </s:row>
    <s:row r="23844" hidden="1" ht="1" customHeight="1">
      <s:c r="A23844" s="120" t="inlineStr"/>
      <s:c r="B23844" s="121" t="n"/>
      <s:c r="C23844" s="121" t="n"/>
      <s:c r="D23844" s="121" t="n"/>
      <s:c r="E23844" s="122" t="n"/>
    </s:row>
    <s:row r="23845" hidden="1" ht="1" customHeight="1">
      <s:c r="A23845" s="120" t="inlineStr"/>
      <s:c r="B23845" s="121" t="n"/>
      <s:c r="C23845" s="121" t="n"/>
      <s:c r="D23845" s="121" t="n"/>
      <s:c r="E23845" s="122" t="n"/>
    </s:row>
    <s:row r="23846" hidden="1" ht="1" customHeight="1">
      <s:c r="A23846" s="120" t="inlineStr"/>
      <s:c r="B23846" s="121" t="n"/>
      <s:c r="C23846" s="121" t="n"/>
      <s:c r="D23846" s="121" t="n"/>
      <s:c r="E23846" s="122" t="n"/>
    </s:row>
    <s:row r="23847" hidden="1" ht="1" customHeight="1">
      <s:c r="A23847" s="120" t="inlineStr"/>
      <s:c r="B23847" s="121" t="n"/>
      <s:c r="C23847" s="121" t="n"/>
      <s:c r="D23847" s="121" t="n"/>
      <s:c r="E23847" s="122" t="n"/>
    </s:row>
    <s:row r="23848" hidden="1" ht="1" customHeight="1">
      <s:c r="A23848" s="120" t="inlineStr"/>
      <s:c r="B23848" s="121" t="n"/>
      <s:c r="C23848" s="121" t="n"/>
      <s:c r="D23848" s="121" t="n"/>
      <s:c r="E23848" s="122" t="n"/>
    </s:row>
    <s:row r="23849" hidden="1" ht="1" customHeight="1">
      <s:c r="A23849" s="120" t="inlineStr"/>
      <s:c r="B23849" s="121" t="n"/>
      <s:c r="C23849" s="121" t="n"/>
      <s:c r="D23849" s="121" t="n"/>
      <s:c r="E23849" s="122" t="n"/>
    </s:row>
    <s:row r="23850" hidden="1" ht="1" customHeight="1">
      <s:c r="A23850" s="120" t="inlineStr"/>
      <s:c r="B23850" s="121" t="n"/>
      <s:c r="C23850" s="121" t="n"/>
      <s:c r="D23850" s="121" t="n"/>
      <s:c r="E23850" s="122" t="n"/>
    </s:row>
    <s:row r="23851" hidden="1" ht="1" customHeight="1">
      <s:c r="A23851" s="120" t="inlineStr"/>
      <s:c r="B23851" s="121" t="n"/>
      <s:c r="C23851" s="121" t="n"/>
      <s:c r="D23851" s="121" t="n"/>
      <s:c r="E23851" s="122" t="n"/>
    </s:row>
    <s:row r="23852" hidden="1" ht="1" customHeight="1">
      <s:c r="A23852" s="120" t="inlineStr"/>
      <s:c r="B23852" s="121" t="n"/>
      <s:c r="C23852" s="121" t="n"/>
      <s:c r="D23852" s="121" t="n"/>
      <s:c r="E23852" s="122" t="n"/>
    </s:row>
    <s:row r="23853" hidden="1" ht="1" customHeight="1">
      <s:c r="A23853" s="120" t="inlineStr"/>
      <s:c r="B23853" s="121" t="n"/>
      <s:c r="C23853" s="121" t="n"/>
      <s:c r="D23853" s="121" t="n"/>
      <s:c r="E23853" s="122" t="n"/>
    </s:row>
    <s:row r="23854" hidden="1" ht="1" customHeight="1">
      <s:c r="A23854" s="120" t="inlineStr"/>
      <s:c r="B23854" s="121" t="n"/>
      <s:c r="C23854" s="121" t="n"/>
      <s:c r="D23854" s="121" t="n"/>
      <s:c r="E23854" s="122" t="n"/>
    </s:row>
    <s:row r="23855" hidden="1" ht="1" customHeight="1">
      <s:c r="A23855" s="120" t="inlineStr"/>
      <s:c r="B23855" s="121" t="n"/>
      <s:c r="C23855" s="121" t="n"/>
      <s:c r="D23855" s="121" t="n"/>
      <s:c r="E23855" s="122" t="n"/>
    </s:row>
    <s:row r="23856" hidden="1" ht="1" customHeight="1">
      <s:c r="A23856" s="120" t="inlineStr"/>
      <s:c r="B23856" s="121" t="n"/>
      <s:c r="C23856" s="121" t="n"/>
      <s:c r="D23856" s="121" t="n"/>
      <s:c r="E23856" s="122" t="n"/>
    </s:row>
    <s:row r="23857" hidden="1" ht="1" customHeight="1">
      <s:c r="A23857" s="120" t="inlineStr"/>
      <s:c r="B23857" s="121" t="n"/>
      <s:c r="C23857" s="121" t="n"/>
      <s:c r="D23857" s="121" t="n"/>
      <s:c r="E23857" s="122" t="n"/>
    </s:row>
    <s:row r="23858" hidden="1" ht="1" customHeight="1">
      <s:c r="A23858" s="120" t="inlineStr"/>
      <s:c r="B23858" s="121" t="n"/>
      <s:c r="C23858" s="121" t="n"/>
      <s:c r="D23858" s="121" t="n"/>
      <s:c r="E23858" s="122" t="n"/>
    </s:row>
    <s:row r="23859" hidden="1" ht="1" customHeight="1">
      <s:c r="A23859" s="120" t="inlineStr"/>
      <s:c r="B23859" s="121" t="n"/>
      <s:c r="C23859" s="121" t="n"/>
      <s:c r="D23859" s="121" t="n"/>
      <s:c r="E23859" s="122" t="n"/>
    </s:row>
    <s:row r="23860" hidden="1" ht="1" customHeight="1">
      <s:c r="A23860" s="120" t="inlineStr"/>
      <s:c r="B23860" s="121" t="n"/>
      <s:c r="C23860" s="121" t="n"/>
      <s:c r="D23860" s="121" t="n"/>
      <s:c r="E23860" s="122" t="n"/>
    </s:row>
    <s:row r="23861" hidden="1" ht="1" customHeight="1">
      <s:c r="A23861" s="120" t="inlineStr"/>
      <s:c r="B23861" s="121" t="n"/>
      <s:c r="C23861" s="121" t="n"/>
      <s:c r="D23861" s="121" t="n"/>
      <s:c r="E23861" s="122" t="n"/>
    </s:row>
    <s:row r="23862" hidden="1" ht="1" customHeight="1">
      <s:c r="A23862" s="120" t="inlineStr"/>
      <s:c r="B23862" s="121" t="n"/>
      <s:c r="C23862" s="121" t="n"/>
      <s:c r="D23862" s="121" t="n"/>
      <s:c r="E23862" s="122" t="n"/>
    </s:row>
    <s:row r="23863" hidden="1" ht="1" customHeight="1">
      <s:c r="A23863" s="120" t="inlineStr"/>
      <s:c r="B23863" s="121" t="n"/>
      <s:c r="C23863" s="121" t="n"/>
      <s:c r="D23863" s="121" t="n"/>
      <s:c r="E23863" s="122" t="n"/>
    </s:row>
    <s:row r="23864" hidden="1" ht="1" customHeight="1">
      <s:c r="A23864" s="120" t="inlineStr"/>
      <s:c r="B23864" s="121" t="n"/>
      <s:c r="C23864" s="121" t="n"/>
      <s:c r="D23864" s="121" t="n"/>
      <s:c r="E23864" s="122" t="n"/>
    </s:row>
    <s:row r="23865" hidden="1" ht="1" customHeight="1">
      <s:c r="A23865" s="120" t="inlineStr"/>
      <s:c r="B23865" s="121" t="n"/>
      <s:c r="C23865" s="121" t="n"/>
      <s:c r="D23865" s="121" t="n"/>
      <s:c r="E23865" s="122" t="n"/>
    </s:row>
    <s:row r="23866" hidden="1" ht="1" customHeight="1">
      <s:c r="A23866" s="120" t="inlineStr"/>
      <s:c r="B23866" s="121" t="n"/>
      <s:c r="C23866" s="121" t="n"/>
      <s:c r="D23866" s="121" t="n"/>
      <s:c r="E23866" s="122" t="n"/>
    </s:row>
    <s:row r="23867" hidden="1" ht="1" customHeight="1">
      <s:c r="A23867" s="120" t="inlineStr"/>
      <s:c r="B23867" s="121" t="n"/>
      <s:c r="C23867" s="121" t="n"/>
      <s:c r="D23867" s="121" t="n"/>
      <s:c r="E23867" s="122" t="n"/>
    </s:row>
    <s:row r="23868" hidden="1" ht="1" customHeight="1">
      <s:c r="A23868" s="120" t="inlineStr"/>
      <s:c r="B23868" s="121" t="n"/>
      <s:c r="C23868" s="121" t="n"/>
      <s:c r="D23868" s="121" t="n"/>
      <s:c r="E23868" s="122" t="n"/>
    </s:row>
    <s:row r="23869" hidden="1" ht="1" customHeight="1">
      <s:c r="A23869" s="120" t="inlineStr"/>
      <s:c r="B23869" s="121" t="n"/>
      <s:c r="C23869" s="121" t="n"/>
      <s:c r="D23869" s="121" t="n"/>
      <s:c r="E23869" s="122" t="n"/>
    </s:row>
    <s:row r="23870" hidden="1" ht="1" customHeight="1">
      <s:c r="A23870" s="120" t="inlineStr"/>
      <s:c r="B23870" s="121" t="n"/>
      <s:c r="C23870" s="121" t="n"/>
      <s:c r="D23870" s="121" t="n"/>
      <s:c r="E23870" s="122" t="n"/>
    </s:row>
    <s:row r="23871" hidden="1" ht="1" customHeight="1">
      <s:c r="A23871" s="120" t="inlineStr"/>
      <s:c r="B23871" s="121" t="n"/>
      <s:c r="C23871" s="121" t="n"/>
      <s:c r="D23871" s="121" t="n"/>
      <s:c r="E23871" s="122" t="n"/>
    </s:row>
    <s:row r="23872" hidden="1" ht="1" customHeight="1">
      <s:c r="A23872" s="120" t="inlineStr"/>
      <s:c r="B23872" s="121" t="n"/>
      <s:c r="C23872" s="121" t="n"/>
      <s:c r="D23872" s="121" t="n"/>
      <s:c r="E23872" s="122" t="n"/>
    </s:row>
    <s:row r="23873" hidden="1" ht="1" customHeight="1">
      <s:c r="A23873" s="120" t="inlineStr"/>
      <s:c r="B23873" s="121" t="n"/>
      <s:c r="C23873" s="121" t="n"/>
      <s:c r="D23873" s="121" t="n"/>
      <s:c r="E23873" s="122" t="n"/>
    </s:row>
    <s:row r="23874" hidden="1" ht="1" customHeight="1">
      <s:c r="A23874" s="120" t="inlineStr"/>
      <s:c r="B23874" s="121" t="n"/>
      <s:c r="C23874" s="121" t="n"/>
      <s:c r="D23874" s="121" t="n"/>
      <s:c r="E23874" s="122" t="n"/>
    </s:row>
    <s:row r="23875" hidden="1" ht="1" customHeight="1">
      <s:c r="A23875" s="120" t="inlineStr"/>
      <s:c r="B23875" s="121" t="n"/>
      <s:c r="C23875" s="121" t="n"/>
      <s:c r="D23875" s="121" t="n"/>
      <s:c r="E23875" s="122" t="n"/>
    </s:row>
    <s:row r="23876" hidden="1" ht="1" customHeight="1">
      <s:c r="A23876" s="120" t="inlineStr"/>
      <s:c r="B23876" s="121" t="n"/>
      <s:c r="C23876" s="121" t="n"/>
      <s:c r="D23876" s="121" t="n"/>
      <s:c r="E23876" s="122" t="n"/>
    </s:row>
    <s:row r="23877" hidden="1" ht="1" customHeight="1">
      <s:c r="A23877" s="120" t="inlineStr"/>
      <s:c r="B23877" s="121" t="n"/>
      <s:c r="C23877" s="121" t="n"/>
      <s:c r="D23877" s="121" t="n"/>
      <s:c r="E23877" s="122" t="n"/>
    </s:row>
    <s:row r="23878" hidden="1" ht="1" customHeight="1">
      <s:c r="A23878" s="120" t="inlineStr"/>
      <s:c r="B23878" s="121" t="n"/>
      <s:c r="C23878" s="121" t="n"/>
      <s:c r="D23878" s="121" t="n"/>
      <s:c r="E23878" s="122" t="n"/>
    </s:row>
    <s:row r="23879" hidden="1" ht="1" customHeight="1">
      <s:c r="A23879" s="120" t="inlineStr"/>
      <s:c r="B23879" s="121" t="n"/>
      <s:c r="C23879" s="121" t="n"/>
      <s:c r="D23879" s="121" t="n"/>
      <s:c r="E23879" s="122" t="n"/>
    </s:row>
    <s:row r="23880" hidden="1" ht="1" customHeight="1">
      <s:c r="A23880" s="120" t="inlineStr"/>
      <s:c r="B23880" s="121" t="n"/>
      <s:c r="C23880" s="121" t="n"/>
      <s:c r="D23880" s="121" t="n"/>
      <s:c r="E23880" s="122" t="n"/>
    </s:row>
    <s:row r="23881" hidden="1" ht="1" customHeight="1">
      <s:c r="A23881" s="120" t="inlineStr"/>
      <s:c r="B23881" s="121" t="n"/>
      <s:c r="C23881" s="121" t="n"/>
      <s:c r="D23881" s="121" t="n"/>
      <s:c r="E23881" s="122" t="n"/>
    </s:row>
    <s:row r="23882" hidden="1" ht="1" customHeight="1">
      <s:c r="A23882" s="120" t="inlineStr"/>
      <s:c r="B23882" s="121" t="n"/>
      <s:c r="C23882" s="121" t="n"/>
      <s:c r="D23882" s="121" t="n"/>
      <s:c r="E23882" s="122" t="n"/>
    </s:row>
    <s:row r="23883" hidden="1" ht="1" customHeight="1">
      <s:c r="A23883" s="120" t="inlineStr"/>
      <s:c r="B23883" s="121" t="n"/>
      <s:c r="C23883" s="121" t="n"/>
      <s:c r="D23883" s="121" t="n"/>
      <s:c r="E23883" s="122" t="n"/>
    </s:row>
    <s:row r="23884" hidden="1" ht="1" customHeight="1">
      <s:c r="A23884" s="120" t="inlineStr"/>
      <s:c r="B23884" s="121" t="n"/>
      <s:c r="C23884" s="121" t="n"/>
      <s:c r="D23884" s="121" t="n"/>
      <s:c r="E23884" s="122" t="n"/>
    </s:row>
    <s:row r="23885" hidden="1" ht="1" customHeight="1">
      <s:c r="A23885" s="120" t="inlineStr"/>
      <s:c r="B23885" s="121" t="n"/>
      <s:c r="C23885" s="121" t="n"/>
      <s:c r="D23885" s="121" t="n"/>
      <s:c r="E23885" s="122" t="n"/>
    </s:row>
    <s:row r="23886" hidden="1" ht="1" customHeight="1">
      <s:c r="A23886" s="120" t="inlineStr"/>
      <s:c r="B23886" s="121" t="n"/>
      <s:c r="C23886" s="121" t="n"/>
      <s:c r="D23886" s="121" t="n"/>
      <s:c r="E23886" s="122" t="n"/>
    </s:row>
    <s:row r="23887" hidden="1" ht="1" customHeight="1">
      <s:c r="A23887" s="120" t="inlineStr"/>
      <s:c r="B23887" s="121" t="n"/>
      <s:c r="C23887" s="121" t="n"/>
      <s:c r="D23887" s="121" t="n"/>
      <s:c r="E23887" s="122" t="n"/>
    </s:row>
    <s:row r="23888" hidden="1" ht="1" customHeight="1">
      <s:c r="A23888" s="120" t="inlineStr"/>
      <s:c r="B23888" s="121" t="n"/>
      <s:c r="C23888" s="121" t="n"/>
      <s:c r="D23888" s="121" t="n"/>
      <s:c r="E23888" s="122" t="n"/>
    </s:row>
    <s:row r="23889" hidden="1" ht="1" customHeight="1">
      <s:c r="A23889" s="120" t="inlineStr"/>
      <s:c r="B23889" s="121" t="n"/>
      <s:c r="C23889" s="121" t="n"/>
      <s:c r="D23889" s="121" t="n"/>
      <s:c r="E23889" s="122" t="n"/>
    </s:row>
    <s:row r="23890" hidden="1" ht="1" customHeight="1">
      <s:c r="A23890" s="120" t="inlineStr"/>
      <s:c r="B23890" s="121" t="n"/>
      <s:c r="C23890" s="121" t="n"/>
      <s:c r="D23890" s="121" t="n"/>
      <s:c r="E23890" s="122" t="n"/>
    </s:row>
    <s:row r="23891" hidden="1" ht="1" customHeight="1">
      <s:c r="A23891" s="120" t="inlineStr"/>
      <s:c r="B23891" s="121" t="n"/>
      <s:c r="C23891" s="121" t="n"/>
      <s:c r="D23891" s="121" t="n"/>
      <s:c r="E23891" s="122" t="n"/>
    </s:row>
    <s:row r="23892" hidden="1" ht="1" customHeight="1">
      <s:c r="A23892" s="120" t="inlineStr"/>
      <s:c r="B23892" s="121" t="n"/>
      <s:c r="C23892" s="121" t="n"/>
      <s:c r="D23892" s="121" t="n"/>
      <s:c r="E23892" s="122" t="n"/>
    </s:row>
    <s:row r="23893" hidden="1" ht="1" customHeight="1">
      <s:c r="A23893" s="120" t="inlineStr"/>
      <s:c r="B23893" s="121" t="n"/>
      <s:c r="C23893" s="121" t="n"/>
      <s:c r="D23893" s="121" t="n"/>
      <s:c r="E23893" s="122" t="n"/>
    </s:row>
    <s:row r="23894" hidden="1" ht="1" customHeight="1">
      <s:c r="A23894" s="120" t="inlineStr"/>
      <s:c r="B23894" s="121" t="n"/>
      <s:c r="C23894" s="121" t="n"/>
      <s:c r="D23894" s="121" t="n"/>
      <s:c r="E23894" s="122" t="n"/>
    </s:row>
    <s:row r="23895" hidden="1" ht="1" customHeight="1">
      <s:c r="A23895" s="120" t="inlineStr"/>
      <s:c r="B23895" s="121" t="n"/>
      <s:c r="C23895" s="121" t="n"/>
      <s:c r="D23895" s="121" t="n"/>
      <s:c r="E23895" s="122" t="n"/>
    </s:row>
    <s:row r="23896" hidden="1" ht="1" customHeight="1">
      <s:c r="A23896" s="120" t="inlineStr"/>
      <s:c r="B23896" s="121" t="n"/>
      <s:c r="C23896" s="121" t="n"/>
      <s:c r="D23896" s="121" t="n"/>
      <s:c r="E23896" s="122" t="n"/>
    </s:row>
    <s:row r="23897" hidden="1" ht="1" customHeight="1">
      <s:c r="A23897" s="120" t="inlineStr"/>
      <s:c r="B23897" s="121" t="n"/>
      <s:c r="C23897" s="121" t="n"/>
      <s:c r="D23897" s="121" t="n"/>
      <s:c r="E23897" s="122" t="n"/>
    </s:row>
    <s:row r="23898" hidden="1" ht="1" customHeight="1">
      <s:c r="A23898" s="120" t="inlineStr"/>
      <s:c r="B23898" s="121" t="n"/>
      <s:c r="C23898" s="121" t="n"/>
      <s:c r="D23898" s="121" t="n"/>
      <s:c r="E23898" s="122" t="n"/>
    </s:row>
    <s:row r="23899" hidden="1" ht="1" customHeight="1">
      <s:c r="A23899" s="120" t="inlineStr"/>
      <s:c r="B23899" s="121" t="n"/>
      <s:c r="C23899" s="121" t="n"/>
      <s:c r="D23899" s="121" t="n"/>
      <s:c r="E23899" s="122" t="n"/>
    </s:row>
    <s:row r="23900" hidden="1" ht="1" customHeight="1">
      <s:c r="A23900" s="120" t="inlineStr"/>
      <s:c r="B23900" s="121" t="n"/>
      <s:c r="C23900" s="121" t="n"/>
      <s:c r="D23900" s="121" t="n"/>
      <s:c r="E23900" s="122" t="n"/>
    </s:row>
    <s:row r="23901" hidden="1" ht="1" customHeight="1">
      <s:c r="A23901" s="120" t="inlineStr"/>
      <s:c r="B23901" s="121" t="n"/>
      <s:c r="C23901" s="121" t="n"/>
      <s:c r="D23901" s="121" t="n"/>
      <s:c r="E23901" s="122" t="n"/>
    </s:row>
    <s:row r="23902" hidden="1" ht="1" customHeight="1">
      <s:c r="A23902" s="120" t="inlineStr"/>
      <s:c r="B23902" s="121" t="n"/>
      <s:c r="C23902" s="121" t="n"/>
      <s:c r="D23902" s="121" t="n"/>
      <s:c r="E23902" s="122" t="n"/>
    </s:row>
    <s:row r="23903" hidden="1" ht="1" customHeight="1">
      <s:c r="A23903" s="120" t="inlineStr"/>
      <s:c r="B23903" s="121" t="n"/>
      <s:c r="C23903" s="121" t="n"/>
      <s:c r="D23903" s="121" t="n"/>
      <s:c r="E23903" s="122" t="n"/>
    </s:row>
    <s:row r="23904" hidden="1" ht="1" customHeight="1">
      <s:c r="A23904" s="120" t="inlineStr"/>
      <s:c r="B23904" s="121" t="n"/>
      <s:c r="C23904" s="121" t="n"/>
      <s:c r="D23904" s="121" t="n"/>
      <s:c r="E23904" s="122" t="n"/>
    </s:row>
    <s:row r="23905" hidden="1" ht="1" customHeight="1">
      <s:c r="A23905" s="120" t="inlineStr"/>
      <s:c r="B23905" s="121" t="n"/>
      <s:c r="C23905" s="121" t="n"/>
      <s:c r="D23905" s="121" t="n"/>
      <s:c r="E23905" s="122" t="n"/>
    </s:row>
    <s:row r="23906" hidden="1" ht="1" customHeight="1">
      <s:c r="A23906" s="120" t="inlineStr"/>
      <s:c r="B23906" s="121" t="n"/>
      <s:c r="C23906" s="121" t="n"/>
      <s:c r="D23906" s="121" t="n"/>
      <s:c r="E23906" s="122" t="n"/>
    </s:row>
    <s:row r="23907" hidden="1" ht="1" customHeight="1">
      <s:c r="A23907" s="120" t="inlineStr"/>
      <s:c r="B23907" s="121" t="n"/>
      <s:c r="C23907" s="121" t="n"/>
      <s:c r="D23907" s="121" t="n"/>
      <s:c r="E23907" s="122" t="n"/>
    </s:row>
    <s:row r="23908" hidden="1" ht="1" customHeight="1">
      <s:c r="A23908" s="120" t="inlineStr"/>
      <s:c r="B23908" s="121" t="n"/>
      <s:c r="C23908" s="121" t="n"/>
      <s:c r="D23908" s="121" t="n"/>
      <s:c r="E23908" s="122" t="n"/>
    </s:row>
    <s:row r="23909" hidden="1" ht="1" customHeight="1">
      <s:c r="A23909" s="120" t="inlineStr"/>
      <s:c r="B23909" s="121" t="n"/>
      <s:c r="C23909" s="121" t="n"/>
      <s:c r="D23909" s="121" t="n"/>
      <s:c r="E23909" s="122" t="n"/>
    </s:row>
    <s:row r="23910" hidden="1" ht="1" customHeight="1">
      <s:c r="A23910" s="120" t="inlineStr"/>
      <s:c r="B23910" s="121" t="n"/>
      <s:c r="C23910" s="121" t="n"/>
      <s:c r="D23910" s="121" t="n"/>
      <s:c r="E23910" s="122" t="n"/>
    </s:row>
    <s:row r="23911" hidden="1" ht="1" customHeight="1">
      <s:c r="A23911" s="120" t="inlineStr"/>
      <s:c r="B23911" s="121" t="n"/>
      <s:c r="C23911" s="121" t="n"/>
      <s:c r="D23911" s="121" t="n"/>
      <s:c r="E23911" s="122" t="n"/>
    </s:row>
    <s:row r="23912" hidden="1" ht="1" customHeight="1">
      <s:c r="A23912" s="120" t="inlineStr"/>
      <s:c r="B23912" s="121" t="n"/>
      <s:c r="C23912" s="121" t="n"/>
      <s:c r="D23912" s="121" t="n"/>
      <s:c r="E23912" s="122" t="n"/>
    </s:row>
    <s:row r="23913" hidden="1" ht="1" customHeight="1">
      <s:c r="A23913" s="120" t="inlineStr"/>
      <s:c r="B23913" s="121" t="n"/>
      <s:c r="C23913" s="121" t="n"/>
      <s:c r="D23913" s="121" t="n"/>
      <s:c r="E23913" s="122" t="n"/>
    </s:row>
    <s:row r="23914" hidden="1" ht="1" customHeight="1">
      <s:c r="A23914" s="120" t="inlineStr"/>
      <s:c r="B23914" s="121" t="n"/>
      <s:c r="C23914" s="121" t="n"/>
      <s:c r="D23914" s="121" t="n"/>
      <s:c r="E23914" s="122" t="n"/>
    </s:row>
    <s:row r="23915" hidden="1" ht="1" customHeight="1">
      <s:c r="A23915" s="120" t="inlineStr"/>
      <s:c r="B23915" s="121" t="n"/>
      <s:c r="C23915" s="121" t="n"/>
      <s:c r="D23915" s="121" t="n"/>
      <s:c r="E23915" s="122" t="n"/>
    </s:row>
    <s:row r="23916" hidden="1" ht="1" customHeight="1">
      <s:c r="A23916" s="120" t="inlineStr"/>
      <s:c r="B23916" s="121" t="n"/>
      <s:c r="C23916" s="121" t="n"/>
      <s:c r="D23916" s="121" t="n"/>
      <s:c r="E23916" s="122" t="n"/>
    </s:row>
    <s:row r="23917" hidden="1" ht="1" customHeight="1">
      <s:c r="A23917" s="120" t="inlineStr"/>
      <s:c r="B23917" s="121" t="n"/>
      <s:c r="C23917" s="121" t="n"/>
      <s:c r="D23917" s="121" t="n"/>
      <s:c r="E23917" s="122" t="n"/>
    </s:row>
    <s:row r="23918" hidden="1" ht="1" customHeight="1">
      <s:c r="A23918" s="120" t="inlineStr"/>
      <s:c r="B23918" s="121" t="n"/>
      <s:c r="C23918" s="121" t="n"/>
      <s:c r="D23918" s="121" t="n"/>
      <s:c r="E23918" s="122" t="n"/>
    </s:row>
    <s:row r="23919" hidden="1" ht="1" customHeight="1">
      <s:c r="A23919" s="120" t="inlineStr"/>
      <s:c r="B23919" s="121" t="n"/>
      <s:c r="C23919" s="121" t="n"/>
      <s:c r="D23919" s="121" t="n"/>
      <s:c r="E23919" s="122" t="n"/>
    </s:row>
    <s:row r="23920" hidden="1" ht="1" customHeight="1">
      <s:c r="A23920" s="120" t="inlineStr"/>
      <s:c r="B23920" s="121" t="n"/>
      <s:c r="C23920" s="121" t="n"/>
      <s:c r="D23920" s="121" t="n"/>
      <s:c r="E23920" s="122" t="n"/>
    </s:row>
    <s:row r="23921" hidden="1" ht="1" customHeight="1">
      <s:c r="A23921" s="120" t="inlineStr"/>
      <s:c r="B23921" s="121" t="n"/>
      <s:c r="C23921" s="121" t="n"/>
      <s:c r="D23921" s="121" t="n"/>
      <s:c r="E23921" s="122" t="n"/>
    </s:row>
    <s:row r="23922" hidden="1" ht="1" customHeight="1">
      <s:c r="A23922" s="120" t="inlineStr"/>
      <s:c r="B23922" s="121" t="n"/>
      <s:c r="C23922" s="121" t="n"/>
      <s:c r="D23922" s="121" t="n"/>
      <s:c r="E23922" s="122" t="n"/>
    </s:row>
    <s:row r="23923" hidden="1" ht="1" customHeight="1">
      <s:c r="A23923" s="120" t="inlineStr"/>
      <s:c r="B23923" s="121" t="n"/>
      <s:c r="C23923" s="121" t="n"/>
      <s:c r="D23923" s="121" t="n"/>
      <s:c r="E23923" s="122" t="n"/>
    </s:row>
    <s:row r="23924" hidden="1" ht="1" customHeight="1">
      <s:c r="A23924" s="120" t="inlineStr"/>
      <s:c r="B23924" s="121" t="n"/>
      <s:c r="C23924" s="121" t="n"/>
      <s:c r="D23924" s="121" t="n"/>
      <s:c r="E23924" s="122" t="n"/>
    </s:row>
    <s:row r="23925" hidden="1" ht="1" customHeight="1">
      <s:c r="A23925" s="120" t="inlineStr"/>
      <s:c r="B23925" s="121" t="n"/>
      <s:c r="C23925" s="121" t="n"/>
      <s:c r="D23925" s="121" t="n"/>
      <s:c r="E23925" s="122" t="n"/>
    </s:row>
    <s:row r="23926" hidden="1" ht="1" customHeight="1">
      <s:c r="A23926" s="120" t="inlineStr"/>
      <s:c r="B23926" s="121" t="n"/>
      <s:c r="C23926" s="121" t="n"/>
      <s:c r="D23926" s="121" t="n"/>
      <s:c r="E23926" s="122" t="n"/>
    </s:row>
    <s:row r="23927" hidden="1" ht="1" customHeight="1">
      <s:c r="A23927" s="120" t="inlineStr"/>
      <s:c r="B23927" s="121" t="n"/>
      <s:c r="C23927" s="121" t="n"/>
      <s:c r="D23927" s="121" t="n"/>
      <s:c r="E23927" s="122" t="n"/>
    </s:row>
    <s:row r="23928" hidden="1" ht="1" customHeight="1">
      <s:c r="A23928" s="120" t="inlineStr"/>
      <s:c r="B23928" s="121" t="n"/>
      <s:c r="C23928" s="121" t="n"/>
      <s:c r="D23928" s="121" t="n"/>
      <s:c r="E23928" s="122" t="n"/>
    </s:row>
    <s:row r="23929" hidden="1" ht="1" customHeight="1">
      <s:c r="A23929" s="120" t="inlineStr"/>
      <s:c r="B23929" s="121" t="n"/>
      <s:c r="C23929" s="121" t="n"/>
      <s:c r="D23929" s="121" t="n"/>
      <s:c r="E23929" s="122" t="n"/>
    </s:row>
    <s:row r="23930" hidden="1" ht="1" customHeight="1">
      <s:c r="A23930" s="120" t="inlineStr"/>
      <s:c r="B23930" s="121" t="n"/>
      <s:c r="C23930" s="121" t="n"/>
      <s:c r="D23930" s="121" t="n"/>
      <s:c r="E23930" s="122" t="n"/>
    </s:row>
    <s:row r="23931" hidden="1" ht="1" customHeight="1">
      <s:c r="A23931" s="120" t="inlineStr"/>
      <s:c r="B23931" s="121" t="n"/>
      <s:c r="C23931" s="121" t="n"/>
      <s:c r="D23931" s="121" t="n"/>
      <s:c r="E23931" s="122" t="n"/>
    </s:row>
    <s:row r="23932" hidden="1" ht="1" customHeight="1">
      <s:c r="A23932" s="120" t="inlineStr"/>
      <s:c r="B23932" s="121" t="n"/>
      <s:c r="C23932" s="121" t="n"/>
      <s:c r="D23932" s="121" t="n"/>
      <s:c r="E23932" s="122" t="n"/>
    </s:row>
    <s:row r="23933" hidden="1" ht="1" customHeight="1">
      <s:c r="A23933" s="120" t="inlineStr"/>
      <s:c r="B23933" s="121" t="n"/>
      <s:c r="C23933" s="121" t="n"/>
      <s:c r="D23933" s="121" t="n"/>
      <s:c r="E23933" s="122" t="n"/>
    </s:row>
    <s:row r="23934" hidden="1" ht="1" customHeight="1">
      <s:c r="A23934" s="120" t="inlineStr"/>
      <s:c r="B23934" s="121" t="n"/>
      <s:c r="C23934" s="121" t="n"/>
      <s:c r="D23934" s="121" t="n"/>
      <s:c r="E23934" s="122" t="n"/>
    </s:row>
    <s:row r="23935" hidden="1" ht="1" customHeight="1">
      <s:c r="A23935" s="120" t="inlineStr"/>
      <s:c r="B23935" s="121" t="n"/>
      <s:c r="C23935" s="121" t="n"/>
      <s:c r="D23935" s="121" t="n"/>
      <s:c r="E23935" s="122" t="n"/>
    </s:row>
    <s:row r="23936" hidden="1" ht="1" customHeight="1">
      <s:c r="A23936" s="120" t="inlineStr"/>
      <s:c r="B23936" s="121" t="n"/>
      <s:c r="C23936" s="121" t="n"/>
      <s:c r="D23936" s="121" t="n"/>
      <s:c r="E23936" s="122" t="n"/>
    </s:row>
    <s:row r="23937" hidden="1" ht="1" customHeight="1">
      <s:c r="A23937" s="120" t="inlineStr"/>
      <s:c r="B23937" s="121" t="n"/>
      <s:c r="C23937" s="121" t="n"/>
      <s:c r="D23937" s="121" t="n"/>
      <s:c r="E23937" s="122" t="n"/>
    </s:row>
    <s:row r="23938" hidden="1" ht="1" customHeight="1">
      <s:c r="A23938" s="120" t="inlineStr"/>
      <s:c r="B23938" s="121" t="n"/>
      <s:c r="C23938" s="121" t="n"/>
      <s:c r="D23938" s="121" t="n"/>
      <s:c r="E23938" s="122" t="n"/>
    </s:row>
    <s:row r="23939" hidden="1" ht="1" customHeight="1">
      <s:c r="A23939" s="120" t="inlineStr"/>
      <s:c r="B23939" s="121" t="n"/>
      <s:c r="C23939" s="121" t="n"/>
      <s:c r="D23939" s="121" t="n"/>
      <s:c r="E23939" s="122" t="n"/>
    </s:row>
    <s:row r="23940" hidden="1" ht="1" customHeight="1">
      <s:c r="A23940" s="120" t="inlineStr"/>
      <s:c r="B23940" s="121" t="n"/>
      <s:c r="C23940" s="121" t="n"/>
      <s:c r="D23940" s="121" t="n"/>
      <s:c r="E23940" s="122" t="n"/>
    </s:row>
    <s:row r="23941" hidden="1" ht="1" customHeight="1">
      <s:c r="A23941" s="120" t="inlineStr"/>
      <s:c r="B23941" s="121" t="n"/>
      <s:c r="C23941" s="121" t="n"/>
      <s:c r="D23941" s="121" t="n"/>
      <s:c r="E23941" s="122" t="n"/>
    </s:row>
    <s:row r="23942" hidden="1" ht="1" customHeight="1">
      <s:c r="A23942" s="120" t="inlineStr"/>
      <s:c r="B23942" s="121" t="n"/>
      <s:c r="C23942" s="121" t="n"/>
      <s:c r="D23942" s="121" t="n"/>
      <s:c r="E23942" s="122" t="n"/>
    </s:row>
    <s:row r="23943" hidden="1" ht="1" customHeight="1">
      <s:c r="A23943" s="120" t="inlineStr"/>
      <s:c r="B23943" s="121" t="n"/>
      <s:c r="C23943" s="121" t="n"/>
      <s:c r="D23943" s="121" t="n"/>
      <s:c r="E23943" s="122" t="n"/>
    </s:row>
    <s:row r="23944" hidden="1" ht="1" customHeight="1">
      <s:c r="A23944" s="120" t="inlineStr"/>
      <s:c r="B23944" s="121" t="n"/>
      <s:c r="C23944" s="121" t="n"/>
      <s:c r="D23944" s="121" t="n"/>
      <s:c r="E23944" s="122" t="n"/>
    </s:row>
    <s:row r="23945" hidden="1" ht="1" customHeight="1">
      <s:c r="A23945" s="120" t="inlineStr"/>
      <s:c r="B23945" s="121" t="n"/>
      <s:c r="C23945" s="121" t="n"/>
      <s:c r="D23945" s="121" t="n"/>
      <s:c r="E23945" s="122" t="n"/>
    </s:row>
    <s:row r="23946" hidden="1" ht="1" customHeight="1">
      <s:c r="A23946" s="120" t="inlineStr"/>
      <s:c r="B23946" s="121" t="n"/>
      <s:c r="C23946" s="121" t="n"/>
      <s:c r="D23946" s="121" t="n"/>
      <s:c r="E23946" s="122" t="n"/>
    </s:row>
    <s:row r="23947" hidden="1" ht="1" customHeight="1">
      <s:c r="A23947" s="120" t="inlineStr"/>
      <s:c r="B23947" s="121" t="n"/>
      <s:c r="C23947" s="121" t="n"/>
      <s:c r="D23947" s="121" t="n"/>
      <s:c r="E23947" s="122" t="n"/>
    </s:row>
    <s:row r="23948" hidden="1" ht="1" customHeight="1">
      <s:c r="A23948" s="120" t="inlineStr"/>
      <s:c r="B23948" s="121" t="n"/>
      <s:c r="C23948" s="121" t="n"/>
      <s:c r="D23948" s="121" t="n"/>
      <s:c r="E23948" s="122" t="n"/>
    </s:row>
    <s:row r="23949" hidden="1" ht="1" customHeight="1">
      <s:c r="A23949" s="120" t="inlineStr"/>
      <s:c r="B23949" s="121" t="n"/>
      <s:c r="C23949" s="121" t="n"/>
      <s:c r="D23949" s="121" t="n"/>
      <s:c r="E23949" s="122" t="n"/>
    </s:row>
    <s:row r="23950" hidden="1" ht="1" customHeight="1">
      <s:c r="A23950" s="120" t="inlineStr"/>
      <s:c r="B23950" s="121" t="n"/>
      <s:c r="C23950" s="121" t="n"/>
      <s:c r="D23950" s="121" t="n"/>
      <s:c r="E23950" s="122" t="n"/>
    </s:row>
    <s:row r="23951" hidden="1" ht="1" customHeight="1">
      <s:c r="A23951" s="120" t="inlineStr"/>
      <s:c r="B23951" s="121" t="n"/>
      <s:c r="C23951" s="121" t="n"/>
      <s:c r="D23951" s="121" t="n"/>
      <s:c r="E23951" s="122" t="n"/>
    </s:row>
    <s:row r="23952" hidden="1" ht="1" customHeight="1">
      <s:c r="A23952" s="120" t="inlineStr"/>
      <s:c r="B23952" s="121" t="n"/>
      <s:c r="C23952" s="121" t="n"/>
      <s:c r="D23952" s="121" t="n"/>
      <s:c r="E23952" s="122" t="n"/>
    </s:row>
    <s:row r="23953" hidden="1" ht="1" customHeight="1">
      <s:c r="A23953" s="120" t="inlineStr"/>
      <s:c r="B23953" s="121" t="n"/>
      <s:c r="C23953" s="121" t="n"/>
      <s:c r="D23953" s="121" t="n"/>
      <s:c r="E23953" s="122" t="n"/>
    </s:row>
    <s:row r="23954" hidden="1" ht="1" customHeight="1">
      <s:c r="A23954" s="120" t="inlineStr"/>
      <s:c r="B23954" s="121" t="n"/>
      <s:c r="C23954" s="121" t="n"/>
      <s:c r="D23954" s="121" t="n"/>
      <s:c r="E23954" s="122" t="n"/>
    </s:row>
    <s:row r="23955" hidden="1" ht="1" customHeight="1">
      <s:c r="A23955" s="120" t="inlineStr"/>
      <s:c r="B23955" s="121" t="n"/>
      <s:c r="C23955" s="121" t="n"/>
      <s:c r="D23955" s="121" t="n"/>
      <s:c r="E23955" s="122" t="n"/>
    </s:row>
    <s:row r="23956" hidden="1" ht="1" customHeight="1">
      <s:c r="A23956" s="120" t="inlineStr"/>
      <s:c r="B23956" s="121" t="n"/>
      <s:c r="C23956" s="121" t="n"/>
      <s:c r="D23956" s="121" t="n"/>
      <s:c r="E23956" s="122" t="n"/>
    </s:row>
    <s:row r="23957" hidden="1" ht="1" customHeight="1">
      <s:c r="A23957" s="120" t="inlineStr"/>
      <s:c r="B23957" s="121" t="n"/>
      <s:c r="C23957" s="121" t="n"/>
      <s:c r="D23957" s="121" t="n"/>
      <s:c r="E23957" s="122" t="n"/>
    </s:row>
    <s:row r="23958" hidden="1" ht="1" customHeight="1">
      <s:c r="A23958" s="120" t="inlineStr"/>
      <s:c r="B23958" s="121" t="n"/>
      <s:c r="C23958" s="121" t="n"/>
      <s:c r="D23958" s="121" t="n"/>
      <s:c r="E23958" s="122" t="n"/>
    </s:row>
    <s:row r="23959" hidden="1" ht="1" customHeight="1">
      <s:c r="A23959" s="120" t="inlineStr"/>
      <s:c r="B23959" s="121" t="n"/>
      <s:c r="C23959" s="121" t="n"/>
      <s:c r="D23959" s="121" t="n"/>
      <s:c r="E23959" s="122" t="n"/>
    </s:row>
    <s:row r="23960" hidden="1" ht="1" customHeight="1">
      <s:c r="A23960" s="120" t="inlineStr"/>
      <s:c r="B23960" s="121" t="n"/>
      <s:c r="C23960" s="121" t="n"/>
      <s:c r="D23960" s="121" t="n"/>
      <s:c r="E23960" s="122" t="n"/>
    </s:row>
    <s:row r="23961" hidden="1" ht="1" customHeight="1">
      <s:c r="A23961" s="120" t="inlineStr"/>
      <s:c r="B23961" s="121" t="n"/>
      <s:c r="C23961" s="121" t="n"/>
      <s:c r="D23961" s="121" t="n"/>
      <s:c r="E23961" s="122" t="n"/>
    </s:row>
    <s:row r="23962" hidden="1" ht="1" customHeight="1">
      <s:c r="A23962" s="120" t="inlineStr"/>
      <s:c r="B23962" s="121" t="n"/>
      <s:c r="C23962" s="121" t="n"/>
      <s:c r="D23962" s="121" t="n"/>
      <s:c r="E23962" s="122" t="n"/>
    </s:row>
    <s:row r="23963" hidden="1" ht="1" customHeight="1">
      <s:c r="A23963" s="120" t="inlineStr"/>
      <s:c r="B23963" s="121" t="n"/>
      <s:c r="C23963" s="121" t="n"/>
      <s:c r="D23963" s="121" t="n"/>
      <s:c r="E23963" s="122" t="n"/>
    </s:row>
    <s:row r="23964" hidden="1" ht="1" customHeight="1">
      <s:c r="A23964" s="120" t="inlineStr"/>
      <s:c r="B23964" s="121" t="n"/>
      <s:c r="C23964" s="121" t="n"/>
      <s:c r="D23964" s="121" t="n"/>
      <s:c r="E23964" s="122" t="n"/>
    </s:row>
    <s:row r="23965" hidden="1" ht="1" customHeight="1">
      <s:c r="A23965" s="120" t="inlineStr"/>
      <s:c r="B23965" s="121" t="n"/>
      <s:c r="C23965" s="121" t="n"/>
      <s:c r="D23965" s="121" t="n"/>
      <s:c r="E23965" s="122" t="n"/>
    </s:row>
    <s:row r="23966" hidden="1" ht="1" customHeight="1">
      <s:c r="A23966" s="120" t="inlineStr"/>
      <s:c r="B23966" s="121" t="n"/>
      <s:c r="C23966" s="121" t="n"/>
      <s:c r="D23966" s="121" t="n"/>
      <s:c r="E23966" s="122" t="n"/>
    </s:row>
    <s:row r="23967" hidden="1" ht="1" customHeight="1">
      <s:c r="A23967" s="120" t="inlineStr"/>
      <s:c r="B23967" s="121" t="n"/>
      <s:c r="C23967" s="121" t="n"/>
      <s:c r="D23967" s="121" t="n"/>
      <s:c r="E23967" s="122" t="n"/>
    </s:row>
    <s:row r="23968" hidden="1" ht="1" customHeight="1">
      <s:c r="A23968" s="120" t="inlineStr"/>
      <s:c r="B23968" s="121" t="n"/>
      <s:c r="C23968" s="121" t="n"/>
      <s:c r="D23968" s="121" t="n"/>
      <s:c r="E23968" s="122" t="n"/>
    </s:row>
    <s:row r="23969" hidden="1" ht="1" customHeight="1">
      <s:c r="A23969" s="120" t="inlineStr"/>
      <s:c r="B23969" s="121" t="n"/>
      <s:c r="C23969" s="121" t="n"/>
      <s:c r="D23969" s="121" t="n"/>
      <s:c r="E23969" s="122" t="n"/>
    </s:row>
    <s:row r="23970" hidden="1" ht="1" customHeight="1">
      <s:c r="A23970" s="120" t="inlineStr"/>
      <s:c r="B23970" s="121" t="n"/>
      <s:c r="C23970" s="121" t="n"/>
      <s:c r="D23970" s="121" t="n"/>
      <s:c r="E23970" s="122" t="n"/>
    </s:row>
    <s:row r="23971" hidden="1" ht="1" customHeight="1">
      <s:c r="A23971" s="120" t="inlineStr"/>
      <s:c r="B23971" s="121" t="n"/>
      <s:c r="C23971" s="121" t="n"/>
      <s:c r="D23971" s="121" t="n"/>
      <s:c r="E23971" s="122" t="n"/>
    </s:row>
    <s:row r="23972" hidden="1" ht="1" customHeight="1">
      <s:c r="A23972" s="120" t="inlineStr"/>
      <s:c r="B23972" s="121" t="n"/>
      <s:c r="C23972" s="121" t="n"/>
      <s:c r="D23972" s="121" t="n"/>
      <s:c r="E23972" s="122" t="n"/>
    </s:row>
    <s:row r="23973" hidden="1" ht="1" customHeight="1">
      <s:c r="A23973" s="120" t="inlineStr"/>
      <s:c r="B23973" s="121" t="n"/>
      <s:c r="C23973" s="121" t="n"/>
      <s:c r="D23973" s="121" t="n"/>
      <s:c r="E23973" s="122" t="n"/>
    </s:row>
    <s:row r="23974" hidden="1" ht="1" customHeight="1">
      <s:c r="A23974" s="120" t="inlineStr"/>
      <s:c r="B23974" s="121" t="n"/>
      <s:c r="C23974" s="121" t="n"/>
      <s:c r="D23974" s="121" t="n"/>
      <s:c r="E23974" s="122" t="n"/>
    </s:row>
    <s:row r="23975" hidden="1" ht="1" customHeight="1">
      <s:c r="A23975" s="120" t="inlineStr"/>
      <s:c r="B23975" s="121" t="n"/>
      <s:c r="C23975" s="121" t="n"/>
      <s:c r="D23975" s="121" t="n"/>
      <s:c r="E23975" s="122" t="n"/>
    </s:row>
    <s:row r="23976" hidden="1" ht="1" customHeight="1">
      <s:c r="A23976" s="120" t="inlineStr"/>
      <s:c r="B23976" s="121" t="n"/>
      <s:c r="C23976" s="121" t="n"/>
      <s:c r="D23976" s="121" t="n"/>
      <s:c r="E23976" s="122" t="n"/>
    </s:row>
    <s:row r="23977" hidden="1" ht="1" customHeight="1">
      <s:c r="A23977" s="120" t="inlineStr"/>
      <s:c r="B23977" s="121" t="n"/>
      <s:c r="C23977" s="121" t="n"/>
      <s:c r="D23977" s="121" t="n"/>
      <s:c r="E23977" s="122" t="n"/>
    </s:row>
    <s:row r="23978" hidden="1" ht="1" customHeight="1">
      <s:c r="A23978" s="120" t="inlineStr"/>
      <s:c r="B23978" s="121" t="n"/>
      <s:c r="C23978" s="121" t="n"/>
      <s:c r="D23978" s="121" t="n"/>
      <s:c r="E23978" s="122" t="n"/>
    </s:row>
    <s:row r="23979" hidden="1" ht="1" customHeight="1">
      <s:c r="A23979" s="120" t="inlineStr"/>
      <s:c r="B23979" s="121" t="n"/>
      <s:c r="C23979" s="121" t="n"/>
      <s:c r="D23979" s="121" t="n"/>
      <s:c r="E23979" s="122" t="n"/>
    </s:row>
    <s:row r="23980" hidden="1" ht="1" customHeight="1">
      <s:c r="A23980" s="120" t="inlineStr"/>
      <s:c r="B23980" s="121" t="n"/>
      <s:c r="C23980" s="121" t="n"/>
      <s:c r="D23980" s="121" t="n"/>
      <s:c r="E23980" s="122" t="n"/>
    </s:row>
    <s:row r="23981" hidden="1" ht="1" customHeight="1">
      <s:c r="A23981" s="120" t="inlineStr"/>
      <s:c r="B23981" s="121" t="n"/>
      <s:c r="C23981" s="121" t="n"/>
      <s:c r="D23981" s="121" t="n"/>
      <s:c r="E23981" s="122" t="n"/>
    </s:row>
    <s:row r="23982" hidden="1" ht="1" customHeight="1">
      <s:c r="A23982" s="120" t="inlineStr"/>
      <s:c r="B23982" s="121" t="n"/>
      <s:c r="C23982" s="121" t="n"/>
      <s:c r="D23982" s="121" t="n"/>
      <s:c r="E23982" s="122" t="n"/>
    </s:row>
    <s:row r="23983" hidden="1" ht="1" customHeight="1">
      <s:c r="A23983" s="120" t="inlineStr"/>
      <s:c r="B23983" s="121" t="n"/>
      <s:c r="C23983" s="121" t="n"/>
      <s:c r="D23983" s="121" t="n"/>
      <s:c r="E23983" s="122" t="n"/>
    </s:row>
    <s:row r="23984" hidden="1" ht="1" customHeight="1">
      <s:c r="A23984" s="120" t="inlineStr"/>
      <s:c r="B23984" s="121" t="n"/>
      <s:c r="C23984" s="121" t="n"/>
      <s:c r="D23984" s="121" t="n"/>
      <s:c r="E23984" s="122" t="n"/>
    </s:row>
    <s:row r="23985" hidden="1" ht="1" customHeight="1">
      <s:c r="A23985" s="120" t="inlineStr"/>
      <s:c r="B23985" s="121" t="n"/>
      <s:c r="C23985" s="121" t="n"/>
      <s:c r="D23985" s="121" t="n"/>
      <s:c r="E23985" s="122" t="n"/>
    </s:row>
    <s:row r="23986" hidden="1" ht="1" customHeight="1">
      <s:c r="A23986" s="120" t="inlineStr"/>
      <s:c r="B23986" s="121" t="n"/>
      <s:c r="C23986" s="121" t="n"/>
      <s:c r="D23986" s="121" t="n"/>
      <s:c r="E23986" s="122" t="n"/>
    </s:row>
    <s:row r="23987" hidden="1" ht="1" customHeight="1">
      <s:c r="A23987" s="120" t="inlineStr"/>
      <s:c r="B23987" s="121" t="n"/>
      <s:c r="C23987" s="121" t="n"/>
      <s:c r="D23987" s="121" t="n"/>
      <s:c r="E23987" s="122" t="n"/>
    </s:row>
    <s:row r="23988" hidden="1" ht="1" customHeight="1">
      <s:c r="A23988" s="120" t="inlineStr"/>
      <s:c r="B23988" s="121" t="n"/>
      <s:c r="C23988" s="121" t="n"/>
      <s:c r="D23988" s="121" t="n"/>
      <s:c r="E23988" s="122" t="n"/>
    </s:row>
    <s:row r="23989" hidden="1" ht="1" customHeight="1">
      <s:c r="A23989" s="120" t="inlineStr"/>
      <s:c r="B23989" s="121" t="n"/>
      <s:c r="C23989" s="121" t="n"/>
      <s:c r="D23989" s="121" t="n"/>
      <s:c r="E23989" s="122" t="n"/>
    </s:row>
    <s:row r="23990" hidden="1" ht="1" customHeight="1">
      <s:c r="A23990" s="120" t="inlineStr"/>
      <s:c r="B23990" s="121" t="n"/>
      <s:c r="C23990" s="121" t="n"/>
      <s:c r="D23990" s="121" t="n"/>
      <s:c r="E23990" s="122" t="n"/>
    </s:row>
    <s:row r="23991" hidden="1" ht="1" customHeight="1">
      <s:c r="A23991" s="120" t="inlineStr"/>
      <s:c r="B23991" s="121" t="n"/>
      <s:c r="C23991" s="121" t="n"/>
      <s:c r="D23991" s="121" t="n"/>
      <s:c r="E23991" s="122" t="n"/>
    </s:row>
    <s:row r="23992" hidden="1" ht="1" customHeight="1">
      <s:c r="A23992" s="120" t="inlineStr"/>
      <s:c r="B23992" s="121" t="n"/>
      <s:c r="C23992" s="121" t="n"/>
      <s:c r="D23992" s="121" t="n"/>
      <s:c r="E23992" s="122" t="n"/>
    </s:row>
    <s:row r="23993" hidden="1" ht="1" customHeight="1">
      <s:c r="A23993" s="120" t="inlineStr"/>
      <s:c r="B23993" s="121" t="n"/>
      <s:c r="C23993" s="121" t="n"/>
      <s:c r="D23993" s="121" t="n"/>
      <s:c r="E23993" s="122" t="n"/>
    </s:row>
    <s:row r="23994" hidden="1" ht="1" customHeight="1">
      <s:c r="A23994" s="120" t="inlineStr"/>
      <s:c r="B23994" s="121" t="n"/>
      <s:c r="C23994" s="121" t="n"/>
      <s:c r="D23994" s="121" t="n"/>
      <s:c r="E23994" s="122" t="n"/>
    </s:row>
    <s:row r="23995" hidden="1" ht="1" customHeight="1">
      <s:c r="A23995" s="120" t="inlineStr"/>
      <s:c r="B23995" s="121" t="n"/>
      <s:c r="C23995" s="121" t="n"/>
      <s:c r="D23995" s="121" t="n"/>
      <s:c r="E23995" s="122" t="n"/>
    </s:row>
    <s:row r="23996" hidden="1" ht="1" customHeight="1">
      <s:c r="A23996" s="120" t="inlineStr"/>
      <s:c r="B23996" s="121" t="n"/>
      <s:c r="C23996" s="121" t="n"/>
      <s:c r="D23996" s="121" t="n"/>
      <s:c r="E23996" s="122" t="n"/>
    </s:row>
    <s:row r="23997" hidden="1" ht="1" customHeight="1">
      <s:c r="A23997" s="120" t="inlineStr"/>
      <s:c r="B23997" s="121" t="n"/>
      <s:c r="C23997" s="121" t="n"/>
      <s:c r="D23997" s="121" t="n"/>
      <s:c r="E23997" s="122" t="n"/>
    </s:row>
    <s:row r="23998" hidden="1" ht="1" customHeight="1">
      <s:c r="A23998" s="120" t="inlineStr"/>
      <s:c r="B23998" s="121" t="n"/>
      <s:c r="C23998" s="121" t="n"/>
      <s:c r="D23998" s="121" t="n"/>
      <s:c r="E23998" s="122" t="n"/>
    </s:row>
    <s:row r="23999" hidden="1" ht="1" customHeight="1">
      <s:c r="A23999" s="120" t="inlineStr"/>
      <s:c r="B23999" s="121" t="n"/>
      <s:c r="C23999" s="121" t="n"/>
      <s:c r="D23999" s="121" t="n"/>
      <s:c r="E23999" s="122" t="n"/>
    </s:row>
    <s:row r="24000" hidden="1" ht="1" customHeight="1">
      <s:c r="A24000" s="120" t="inlineStr"/>
      <s:c r="B24000" s="121" t="n"/>
      <s:c r="C24000" s="121" t="n"/>
      <s:c r="D24000" s="121" t="n"/>
      <s:c r="E24000" s="122" t="n"/>
    </s:row>
    <s:row r="24001" hidden="1" ht="1" customHeight="1">
      <s:c r="A24001" s="120" t="inlineStr"/>
      <s:c r="B24001" s="121" t="n"/>
      <s:c r="C24001" s="121" t="n"/>
      <s:c r="D24001" s="121" t="n"/>
      <s:c r="E24001" s="122" t="n"/>
    </s:row>
    <s:row r="24002" hidden="1" ht="1" customHeight="1">
      <s:c r="A24002" s="120" t="inlineStr"/>
      <s:c r="B24002" s="121" t="n"/>
      <s:c r="C24002" s="121" t="n"/>
      <s:c r="D24002" s="121" t="n"/>
      <s:c r="E24002" s="122" t="n"/>
    </s:row>
    <s:row r="24003" hidden="1" ht="1" customHeight="1">
      <s:c r="A24003" s="120" t="inlineStr"/>
      <s:c r="B24003" s="121" t="n"/>
      <s:c r="C24003" s="121" t="n"/>
      <s:c r="D24003" s="121" t="n"/>
      <s:c r="E24003" s="122" t="n"/>
    </s:row>
    <s:row r="24004" hidden="1" ht="1" customHeight="1">
      <s:c r="A24004" s="120" t="inlineStr"/>
      <s:c r="B24004" s="121" t="n"/>
      <s:c r="C24004" s="121" t="n"/>
      <s:c r="D24004" s="121" t="n"/>
      <s:c r="E24004" s="122" t="n"/>
    </s:row>
    <s:row r="24005" hidden="1" ht="1" customHeight="1">
      <s:c r="A24005" s="120" t="inlineStr"/>
      <s:c r="B24005" s="121" t="n"/>
      <s:c r="C24005" s="121" t="n"/>
      <s:c r="D24005" s="121" t="n"/>
      <s:c r="E24005" s="122" t="n"/>
    </s:row>
    <s:row r="24006" hidden="1" ht="1" customHeight="1">
      <s:c r="A24006" s="120" t="inlineStr"/>
      <s:c r="B24006" s="121" t="n"/>
      <s:c r="C24006" s="121" t="n"/>
      <s:c r="D24006" s="121" t="n"/>
      <s:c r="E24006" s="122" t="n"/>
    </s:row>
    <s:row r="24007" hidden="1" ht="1" customHeight="1">
      <s:c r="A24007" s="120" t="inlineStr"/>
      <s:c r="B24007" s="121" t="n"/>
      <s:c r="C24007" s="121" t="n"/>
      <s:c r="D24007" s="121" t="n"/>
      <s:c r="E24007" s="122" t="n"/>
    </s:row>
    <s:row r="24008" hidden="1" ht="1" customHeight="1">
      <s:c r="A24008" s="120" t="inlineStr"/>
      <s:c r="B24008" s="121" t="n"/>
      <s:c r="C24008" s="121" t="n"/>
      <s:c r="D24008" s="121" t="n"/>
      <s:c r="E24008" s="122" t="n"/>
    </s:row>
    <s:row r="24009" hidden="1" ht="1" customHeight="1">
      <s:c r="A24009" s="120" t="inlineStr"/>
      <s:c r="B24009" s="121" t="n"/>
      <s:c r="C24009" s="121" t="n"/>
      <s:c r="D24009" s="121" t="n"/>
      <s:c r="E24009" s="122" t="n"/>
    </s:row>
    <s:row r="24010" hidden="1" ht="1" customHeight="1">
      <s:c r="A24010" s="120" t="inlineStr"/>
      <s:c r="B24010" s="121" t="n"/>
      <s:c r="C24010" s="121" t="n"/>
      <s:c r="D24010" s="121" t="n"/>
      <s:c r="E24010" s="122" t="n"/>
    </s:row>
    <s:row r="24011" hidden="1" ht="1" customHeight="1">
      <s:c r="A24011" s="120" t="inlineStr"/>
      <s:c r="B24011" s="121" t="n"/>
      <s:c r="C24011" s="121" t="n"/>
      <s:c r="D24011" s="121" t="n"/>
      <s:c r="E24011" s="122" t="n"/>
    </s:row>
    <s:row r="24012" hidden="1" ht="1" customHeight="1">
      <s:c r="A24012" s="120" t="inlineStr"/>
      <s:c r="B24012" s="121" t="n"/>
      <s:c r="C24012" s="121" t="n"/>
      <s:c r="D24012" s="121" t="n"/>
      <s:c r="E24012" s="122" t="n"/>
    </s:row>
    <s:row r="24013" hidden="1" ht="1" customHeight="1">
      <s:c r="A24013" s="120" t="inlineStr"/>
      <s:c r="B24013" s="121" t="n"/>
      <s:c r="C24013" s="121" t="n"/>
      <s:c r="D24013" s="121" t="n"/>
      <s:c r="E24013" s="122" t="n"/>
    </s:row>
    <s:row r="24014" hidden="1" ht="1" customHeight="1">
      <s:c r="A24014" s="120" t="inlineStr"/>
      <s:c r="B24014" s="121" t="n"/>
      <s:c r="C24014" s="121" t="n"/>
      <s:c r="D24014" s="121" t="n"/>
      <s:c r="E24014" s="122" t="n"/>
    </s:row>
    <s:row r="24015" hidden="1" ht="1" customHeight="1">
      <s:c r="A24015" s="120" t="inlineStr"/>
      <s:c r="B24015" s="121" t="n"/>
      <s:c r="C24015" s="121" t="n"/>
      <s:c r="D24015" s="121" t="n"/>
      <s:c r="E24015" s="122" t="n"/>
    </s:row>
    <s:row r="24016" hidden="1" ht="1" customHeight="1">
      <s:c r="A24016" s="120" t="inlineStr"/>
      <s:c r="B24016" s="121" t="n"/>
      <s:c r="C24016" s="121" t="n"/>
      <s:c r="D24016" s="121" t="n"/>
      <s:c r="E24016" s="122" t="n"/>
    </s:row>
    <s:row r="24017" hidden="1" ht="1" customHeight="1">
      <s:c r="A24017" s="120" t="inlineStr"/>
      <s:c r="B24017" s="121" t="n"/>
      <s:c r="C24017" s="121" t="n"/>
      <s:c r="D24017" s="121" t="n"/>
      <s:c r="E24017" s="122" t="n"/>
    </s:row>
    <s:row r="24018" hidden="1" ht="1" customHeight="1">
      <s:c r="A24018" s="120" t="inlineStr"/>
      <s:c r="B24018" s="121" t="n"/>
      <s:c r="C24018" s="121" t="n"/>
      <s:c r="D24018" s="121" t="n"/>
      <s:c r="E24018" s="122" t="n"/>
    </s:row>
    <s:row r="24019" hidden="1" ht="1" customHeight="1">
      <s:c r="A24019" s="120" t="inlineStr"/>
      <s:c r="B24019" s="121" t="n"/>
      <s:c r="C24019" s="121" t="n"/>
      <s:c r="D24019" s="121" t="n"/>
      <s:c r="E24019" s="122" t="n"/>
    </s:row>
    <s:row r="24020" hidden="1" ht="1" customHeight="1">
      <s:c r="A24020" s="120" t="inlineStr"/>
      <s:c r="B24020" s="121" t="n"/>
      <s:c r="C24020" s="121" t="n"/>
      <s:c r="D24020" s="121" t="n"/>
      <s:c r="E24020" s="122" t="n"/>
    </s:row>
    <s:row r="24021" hidden="1" ht="1" customHeight="1">
      <s:c r="A24021" s="120" t="inlineStr"/>
      <s:c r="B24021" s="121" t="n"/>
      <s:c r="C24021" s="121" t="n"/>
      <s:c r="D24021" s="121" t="n"/>
      <s:c r="E24021" s="122" t="n"/>
    </s:row>
    <s:row r="24022" hidden="1" ht="1" customHeight="1">
      <s:c r="A24022" s="120" t="inlineStr"/>
      <s:c r="B24022" s="121" t="n"/>
      <s:c r="C24022" s="121" t="n"/>
      <s:c r="D24022" s="121" t="n"/>
      <s:c r="E24022" s="122" t="n"/>
    </s:row>
    <s:row r="24023" hidden="1" ht="1" customHeight="1">
      <s:c r="A24023" s="120" t="inlineStr"/>
      <s:c r="B24023" s="121" t="n"/>
      <s:c r="C24023" s="121" t="n"/>
      <s:c r="D24023" s="121" t="n"/>
      <s:c r="E24023" s="122" t="n"/>
    </s:row>
    <s:row r="24024" hidden="1" ht="1" customHeight="1">
      <s:c r="A24024" s="120" t="inlineStr"/>
      <s:c r="B24024" s="121" t="n"/>
      <s:c r="C24024" s="121" t="n"/>
      <s:c r="D24024" s="121" t="n"/>
      <s:c r="E24024" s="122" t="n"/>
    </s:row>
    <s:row r="24025" hidden="1" ht="1" customHeight="1">
      <s:c r="A24025" s="120" t="inlineStr"/>
      <s:c r="B24025" s="121" t="n"/>
      <s:c r="C24025" s="121" t="n"/>
      <s:c r="D24025" s="121" t="n"/>
      <s:c r="E24025" s="122" t="n"/>
    </s:row>
    <s:row r="24026" hidden="1" ht="1" customHeight="1">
      <s:c r="A24026" s="120" t="inlineStr"/>
      <s:c r="B24026" s="121" t="n"/>
      <s:c r="C24026" s="121" t="n"/>
      <s:c r="D24026" s="121" t="n"/>
      <s:c r="E24026" s="122" t="n"/>
    </s:row>
    <s:row r="24027" hidden="1" ht="1" customHeight="1">
      <s:c r="A24027" s="120" t="inlineStr"/>
      <s:c r="B24027" s="121" t="n"/>
      <s:c r="C24027" s="121" t="n"/>
      <s:c r="D24027" s="121" t="n"/>
      <s:c r="E24027" s="122" t="n"/>
    </s:row>
    <s:row r="24028" hidden="1" ht="1" customHeight="1">
      <s:c r="A24028" s="120" t="inlineStr"/>
      <s:c r="B24028" s="121" t="n"/>
      <s:c r="C24028" s="121" t="n"/>
      <s:c r="D24028" s="121" t="n"/>
      <s:c r="E24028" s="122" t="n"/>
    </s:row>
    <s:row r="24029" hidden="1" ht="1" customHeight="1">
      <s:c r="A24029" s="120" t="inlineStr"/>
      <s:c r="B24029" s="121" t="n"/>
      <s:c r="C24029" s="121" t="n"/>
      <s:c r="D24029" s="121" t="n"/>
      <s:c r="E24029" s="122" t="n"/>
    </s:row>
    <s:row r="24030" hidden="1" ht="1" customHeight="1">
      <s:c r="A24030" s="120" t="inlineStr"/>
      <s:c r="B24030" s="121" t="n"/>
      <s:c r="C24030" s="121" t="n"/>
      <s:c r="D24030" s="121" t="n"/>
      <s:c r="E24030" s="122" t="n"/>
    </s:row>
    <s:row r="24031" hidden="1" ht="1" customHeight="1">
      <s:c r="A24031" s="120" t="inlineStr"/>
      <s:c r="B24031" s="121" t="n"/>
      <s:c r="C24031" s="121" t="n"/>
      <s:c r="D24031" s="121" t="n"/>
      <s:c r="E24031" s="122" t="n"/>
    </s:row>
    <s:row r="24032" hidden="1" ht="1" customHeight="1">
      <s:c r="A24032" s="120" t="inlineStr"/>
      <s:c r="B24032" s="121" t="n"/>
      <s:c r="C24032" s="121" t="n"/>
      <s:c r="D24032" s="121" t="n"/>
      <s:c r="E24032" s="122" t="n"/>
    </s:row>
    <s:row r="24033" hidden="1" ht="1" customHeight="1">
      <s:c r="A24033" s="120" t="inlineStr"/>
      <s:c r="B24033" s="121" t="n"/>
      <s:c r="C24033" s="121" t="n"/>
      <s:c r="D24033" s="121" t="n"/>
      <s:c r="E24033" s="122" t="n"/>
    </s:row>
    <s:row r="24034" hidden="1" ht="1" customHeight="1">
      <s:c r="A24034" s="120" t="inlineStr"/>
      <s:c r="B24034" s="121" t="n"/>
      <s:c r="C24034" s="121" t="n"/>
      <s:c r="D24034" s="121" t="n"/>
      <s:c r="E24034" s="122" t="n"/>
    </s:row>
    <s:row r="24035" hidden="1" ht="1" customHeight="1">
      <s:c r="A24035" s="120" t="inlineStr"/>
      <s:c r="B24035" s="121" t="n"/>
      <s:c r="C24035" s="121" t="n"/>
      <s:c r="D24035" s="121" t="n"/>
      <s:c r="E24035" s="122" t="n"/>
    </s:row>
    <s:row r="24036" hidden="1" ht="1" customHeight="1">
      <s:c r="A24036" s="120" t="inlineStr"/>
      <s:c r="B24036" s="121" t="n"/>
      <s:c r="C24036" s="121" t="n"/>
      <s:c r="D24036" s="121" t="n"/>
      <s:c r="E24036" s="122" t="n"/>
    </s:row>
    <s:row r="24037" hidden="1" ht="1" customHeight="1">
      <s:c r="A24037" s="120" t="inlineStr"/>
      <s:c r="B24037" s="121" t="n"/>
      <s:c r="C24037" s="121" t="n"/>
      <s:c r="D24037" s="121" t="n"/>
      <s:c r="E24037" s="122" t="n"/>
    </s:row>
    <s:row r="24038" hidden="1" ht="1" customHeight="1">
      <s:c r="A24038" s="120" t="inlineStr"/>
      <s:c r="B24038" s="121" t="n"/>
      <s:c r="C24038" s="121" t="n"/>
      <s:c r="D24038" s="121" t="n"/>
      <s:c r="E24038" s="122" t="n"/>
    </s:row>
    <s:row r="24039" hidden="1" ht="1" customHeight="1">
      <s:c r="A24039" s="120" t="inlineStr"/>
      <s:c r="B24039" s="121" t="n"/>
      <s:c r="C24039" s="121" t="n"/>
      <s:c r="D24039" s="121" t="n"/>
      <s:c r="E24039" s="122" t="n"/>
    </s:row>
    <s:row r="24040" hidden="1" ht="1" customHeight="1">
      <s:c r="A24040" s="120" t="inlineStr"/>
      <s:c r="B24040" s="121" t="n"/>
      <s:c r="C24040" s="121" t="n"/>
      <s:c r="D24040" s="121" t="n"/>
      <s:c r="E24040" s="122" t="n"/>
    </s:row>
    <s:row r="24041" hidden="1" ht="1" customHeight="1">
      <s:c r="A24041" s="120" t="inlineStr"/>
      <s:c r="B24041" s="121" t="n"/>
      <s:c r="C24041" s="121" t="n"/>
      <s:c r="D24041" s="121" t="n"/>
      <s:c r="E24041" s="122" t="n"/>
    </s:row>
    <s:row r="24042" hidden="1" ht="1" customHeight="1">
      <s:c r="A24042" s="120" t="inlineStr"/>
      <s:c r="B24042" s="121" t="n"/>
      <s:c r="C24042" s="121" t="n"/>
      <s:c r="D24042" s="121" t="n"/>
      <s:c r="E24042" s="122" t="n"/>
    </s:row>
    <s:row r="24043" hidden="1" ht="1" customHeight="1">
      <s:c r="A24043" s="120" t="inlineStr"/>
      <s:c r="B24043" s="121" t="n"/>
      <s:c r="C24043" s="121" t="n"/>
      <s:c r="D24043" s="121" t="n"/>
      <s:c r="E24043" s="122" t="n"/>
    </s:row>
    <s:row r="24044" hidden="1" ht="1" customHeight="1">
      <s:c r="A24044" s="120" t="inlineStr"/>
      <s:c r="B24044" s="121" t="n"/>
      <s:c r="C24044" s="121" t="n"/>
      <s:c r="D24044" s="121" t="n"/>
      <s:c r="E24044" s="122" t="n"/>
    </s:row>
    <s:row r="24045" hidden="1" ht="1" customHeight="1">
      <s:c r="A24045" s="120" t="inlineStr"/>
      <s:c r="B24045" s="121" t="n"/>
      <s:c r="C24045" s="121" t="n"/>
      <s:c r="D24045" s="121" t="n"/>
      <s:c r="E24045" s="122" t="n"/>
    </s:row>
    <s:row r="24046" hidden="1" ht="1" customHeight="1">
      <s:c r="A24046" s="120" t="inlineStr"/>
      <s:c r="B24046" s="121" t="n"/>
      <s:c r="C24046" s="121" t="n"/>
      <s:c r="D24046" s="121" t="n"/>
      <s:c r="E24046" s="122" t="n"/>
    </s:row>
    <s:row r="24047" hidden="1" ht="1" customHeight="1">
      <s:c r="A24047" s="120" t="inlineStr"/>
      <s:c r="B24047" s="121" t="n"/>
      <s:c r="C24047" s="121" t="n"/>
      <s:c r="D24047" s="121" t="n"/>
      <s:c r="E24047" s="122" t="n"/>
    </s:row>
    <s:row r="24048" hidden="1" ht="1" customHeight="1">
      <s:c r="A24048" s="120" t="inlineStr"/>
      <s:c r="B24048" s="121" t="n"/>
      <s:c r="C24048" s="121" t="n"/>
      <s:c r="D24048" s="121" t="n"/>
      <s:c r="E24048" s="122" t="n"/>
    </s:row>
    <s:row r="24049" hidden="1" ht="1" customHeight="1">
      <s:c r="A24049" s="120" t="inlineStr"/>
      <s:c r="B24049" s="121" t="n"/>
      <s:c r="C24049" s="121" t="n"/>
      <s:c r="D24049" s="121" t="n"/>
      <s:c r="E24049" s="122" t="n"/>
    </s:row>
    <s:row r="24050" hidden="1" ht="1" customHeight="1">
      <s:c r="A24050" s="120" t="inlineStr"/>
      <s:c r="B24050" s="121" t="n"/>
      <s:c r="C24050" s="121" t="n"/>
      <s:c r="D24050" s="121" t="n"/>
      <s:c r="E24050" s="122" t="n"/>
    </s:row>
    <s:row r="24051" hidden="1" ht="1" customHeight="1">
      <s:c r="A24051" s="120" t="inlineStr"/>
      <s:c r="B24051" s="121" t="n"/>
      <s:c r="C24051" s="121" t="n"/>
      <s:c r="D24051" s="121" t="n"/>
      <s:c r="E24051" s="122" t="n"/>
    </s:row>
    <s:row r="24052" hidden="1" ht="1" customHeight="1">
      <s:c r="A24052" s="120" t="inlineStr"/>
      <s:c r="B24052" s="121" t="n"/>
      <s:c r="C24052" s="121" t="n"/>
      <s:c r="D24052" s="121" t="n"/>
      <s:c r="E24052" s="122" t="n"/>
    </s:row>
    <s:row r="24053" hidden="1" ht="1" customHeight="1">
      <s:c r="A24053" s="120" t="inlineStr"/>
      <s:c r="B24053" s="121" t="n"/>
      <s:c r="C24053" s="121" t="n"/>
      <s:c r="D24053" s="121" t="n"/>
      <s:c r="E24053" s="122" t="n"/>
    </s:row>
    <s:row r="24054" hidden="1" ht="1" customHeight="1">
      <s:c r="A24054" s="120" t="inlineStr"/>
      <s:c r="B24054" s="121" t="n"/>
      <s:c r="C24054" s="121" t="n"/>
      <s:c r="D24054" s="121" t="n"/>
      <s:c r="E24054" s="122" t="n"/>
    </s:row>
    <s:row r="24055" hidden="1" ht="1" customHeight="1">
      <s:c r="A24055" s="120" t="inlineStr"/>
      <s:c r="B24055" s="121" t="n"/>
      <s:c r="C24055" s="121" t="n"/>
      <s:c r="D24055" s="121" t="n"/>
      <s:c r="E24055" s="122" t="n"/>
    </s:row>
    <s:row r="24056" hidden="1" ht="1" customHeight="1">
      <s:c r="A24056" s="120" t="inlineStr"/>
      <s:c r="B24056" s="121" t="n"/>
      <s:c r="C24056" s="121" t="n"/>
      <s:c r="D24056" s="121" t="n"/>
      <s:c r="E24056" s="122" t="n"/>
    </s:row>
    <s:row r="24057" hidden="1" ht="1" customHeight="1">
      <s:c r="A24057" s="120" t="inlineStr"/>
      <s:c r="B24057" s="121" t="n"/>
      <s:c r="C24057" s="121" t="n"/>
      <s:c r="D24057" s="121" t="n"/>
      <s:c r="E24057" s="122" t="n"/>
    </s:row>
    <s:row r="24058" hidden="1" ht="1" customHeight="1">
      <s:c r="A24058" s="120" t="inlineStr"/>
      <s:c r="B24058" s="121" t="n"/>
      <s:c r="C24058" s="121" t="n"/>
      <s:c r="D24058" s="121" t="n"/>
      <s:c r="E24058" s="122" t="n"/>
    </s:row>
    <s:row r="24059" hidden="1" ht="1" customHeight="1">
      <s:c r="A24059" s="120" t="inlineStr"/>
      <s:c r="B24059" s="121" t="n"/>
      <s:c r="C24059" s="121" t="n"/>
      <s:c r="D24059" s="121" t="n"/>
      <s:c r="E24059" s="122" t="n"/>
    </s:row>
    <s:row r="24060" hidden="1" ht="1" customHeight="1">
      <s:c r="A24060" s="120" t="inlineStr"/>
      <s:c r="B24060" s="121" t="n"/>
      <s:c r="C24060" s="121" t="n"/>
      <s:c r="D24060" s="121" t="n"/>
      <s:c r="E24060" s="122" t="n"/>
    </s:row>
    <s:row r="24061" hidden="1" ht="1" customHeight="1">
      <s:c r="A24061" s="120" t="inlineStr"/>
      <s:c r="B24061" s="121" t="n"/>
      <s:c r="C24061" s="121" t="n"/>
      <s:c r="D24061" s="121" t="n"/>
      <s:c r="E24061" s="122" t="n"/>
    </s:row>
    <s:row r="24062" hidden="1" ht="1" customHeight="1">
      <s:c r="A24062" s="120" t="inlineStr"/>
      <s:c r="B24062" s="121" t="n"/>
      <s:c r="C24062" s="121" t="n"/>
      <s:c r="D24062" s="121" t="n"/>
      <s:c r="E24062" s="122" t="n"/>
    </s:row>
    <s:row r="24063" hidden="1" ht="1" customHeight="1">
      <s:c r="A24063" s="120" t="inlineStr"/>
      <s:c r="B24063" s="121" t="n"/>
      <s:c r="C24063" s="121" t="n"/>
      <s:c r="D24063" s="121" t="n"/>
      <s:c r="E24063" s="122" t="n"/>
    </s:row>
    <s:row r="24064" hidden="1" ht="1" customHeight="1">
      <s:c r="A24064" s="120" t="inlineStr"/>
      <s:c r="B24064" s="121" t="n"/>
      <s:c r="C24064" s="121" t="n"/>
      <s:c r="D24064" s="121" t="n"/>
      <s:c r="E24064" s="122" t="n"/>
    </s:row>
    <s:row r="24065" hidden="1" ht="1" customHeight="1">
      <s:c r="A24065" s="120" t="inlineStr"/>
      <s:c r="B24065" s="121" t="n"/>
      <s:c r="C24065" s="121" t="n"/>
      <s:c r="D24065" s="121" t="n"/>
      <s:c r="E24065" s="122" t="n"/>
    </s:row>
    <s:row r="24066" hidden="1" ht="1" customHeight="1">
      <s:c r="A24066" s="120" t="inlineStr"/>
      <s:c r="B24066" s="121" t="n"/>
      <s:c r="C24066" s="121" t="n"/>
      <s:c r="D24066" s="121" t="n"/>
      <s:c r="E24066" s="122" t="n"/>
    </s:row>
    <s:row r="24067" hidden="1" ht="1" customHeight="1">
      <s:c r="A24067" s="120" t="inlineStr"/>
      <s:c r="B24067" s="121" t="n"/>
      <s:c r="C24067" s="121" t="n"/>
      <s:c r="D24067" s="121" t="n"/>
      <s:c r="E24067" s="122" t="n"/>
    </s:row>
    <s:row r="24068" hidden="1" ht="1" customHeight="1">
      <s:c r="A24068" s="120" t="inlineStr"/>
      <s:c r="B24068" s="121" t="n"/>
      <s:c r="C24068" s="121" t="n"/>
      <s:c r="D24068" s="121" t="n"/>
      <s:c r="E24068" s="122" t="n"/>
    </s:row>
    <s:row r="24069" hidden="1" ht="1" customHeight="1">
      <s:c r="A24069" s="120" t="inlineStr"/>
      <s:c r="B24069" s="121" t="n"/>
      <s:c r="C24069" s="121" t="n"/>
      <s:c r="D24069" s="121" t="n"/>
      <s:c r="E24069" s="122" t="n"/>
    </s:row>
    <s:row r="24070" hidden="1" ht="1" customHeight="1">
      <s:c r="A24070" s="120" t="inlineStr"/>
      <s:c r="B24070" s="121" t="n"/>
      <s:c r="C24070" s="121" t="n"/>
      <s:c r="D24070" s="121" t="n"/>
      <s:c r="E24070" s="122" t="n"/>
    </s:row>
    <s:row r="24071" hidden="1" ht="1" customHeight="1">
      <s:c r="A24071" s="120" t="inlineStr"/>
      <s:c r="B24071" s="121" t="n"/>
      <s:c r="C24071" s="121" t="n"/>
      <s:c r="D24071" s="121" t="n"/>
      <s:c r="E24071" s="122" t="n"/>
    </s:row>
    <s:row r="24072" hidden="1" ht="1" customHeight="1">
      <s:c r="A24072" s="120" t="inlineStr"/>
      <s:c r="B24072" s="121" t="n"/>
      <s:c r="C24072" s="121" t="n"/>
      <s:c r="D24072" s="121" t="n"/>
      <s:c r="E24072" s="122" t="n"/>
    </s:row>
    <s:row r="24073" hidden="1" ht="1" customHeight="1">
      <s:c r="A24073" s="120" t="inlineStr"/>
      <s:c r="B24073" s="121" t="n"/>
      <s:c r="C24073" s="121" t="n"/>
      <s:c r="D24073" s="121" t="n"/>
      <s:c r="E24073" s="122" t="n"/>
    </s:row>
    <s:row r="24074" hidden="1" ht="1" customHeight="1">
      <s:c r="A24074" s="120" t="inlineStr"/>
      <s:c r="B24074" s="121" t="n"/>
      <s:c r="C24074" s="121" t="n"/>
      <s:c r="D24074" s="121" t="n"/>
      <s:c r="E24074" s="122" t="n"/>
    </s:row>
    <s:row r="24075" hidden="1" ht="1" customHeight="1">
      <s:c r="A24075" s="120" t="inlineStr"/>
      <s:c r="B24075" s="121" t="n"/>
      <s:c r="C24075" s="121" t="n"/>
      <s:c r="D24075" s="121" t="n"/>
      <s:c r="E24075" s="122" t="n"/>
    </s:row>
    <s:row r="24076" hidden="1" ht="1" customHeight="1">
      <s:c r="A24076" s="120" t="inlineStr"/>
      <s:c r="B24076" s="121" t="n"/>
      <s:c r="C24076" s="121" t="n"/>
      <s:c r="D24076" s="121" t="n"/>
      <s:c r="E24076" s="122" t="n"/>
    </s:row>
    <s:row r="24077" hidden="1" ht="1" customHeight="1">
      <s:c r="A24077" s="120" t="inlineStr"/>
      <s:c r="B24077" s="121" t="n"/>
      <s:c r="C24077" s="121" t="n"/>
      <s:c r="D24077" s="121" t="n"/>
      <s:c r="E24077" s="122" t="n"/>
    </s:row>
    <s:row r="24078" hidden="1" ht="1" customHeight="1">
      <s:c r="A24078" s="120" t="inlineStr"/>
      <s:c r="B24078" s="121" t="n"/>
      <s:c r="C24078" s="121" t="n"/>
      <s:c r="D24078" s="121" t="n"/>
      <s:c r="E24078" s="122" t="n"/>
    </s:row>
    <s:row r="24079" hidden="1" ht="1" customHeight="1">
      <s:c r="A24079" s="120" t="inlineStr"/>
      <s:c r="B24079" s="121" t="n"/>
      <s:c r="C24079" s="121" t="n"/>
      <s:c r="D24079" s="121" t="n"/>
      <s:c r="E24079" s="122" t="n"/>
    </s:row>
    <s:row r="24080" hidden="1" ht="1" customHeight="1">
      <s:c r="A24080" s="120" t="inlineStr"/>
      <s:c r="B24080" s="121" t="n"/>
      <s:c r="C24080" s="121" t="n"/>
      <s:c r="D24080" s="121" t="n"/>
      <s:c r="E24080" s="122" t="n"/>
    </s:row>
    <s:row r="24081" hidden="1" ht="1" customHeight="1">
      <s:c r="A24081" s="120" t="inlineStr"/>
      <s:c r="B24081" s="121" t="n"/>
      <s:c r="C24081" s="121" t="n"/>
      <s:c r="D24081" s="121" t="n"/>
      <s:c r="E24081" s="122" t="n"/>
    </s:row>
    <s:row r="24082" hidden="1" ht="1" customHeight="1">
      <s:c r="A24082" s="120" t="inlineStr"/>
      <s:c r="B24082" s="121" t="n"/>
      <s:c r="C24082" s="121" t="n"/>
      <s:c r="D24082" s="121" t="n"/>
      <s:c r="E24082" s="122" t="n"/>
    </s:row>
    <s:row r="24083" hidden="1" ht="1" customHeight="1">
      <s:c r="A24083" s="120" t="inlineStr"/>
      <s:c r="B24083" s="121" t="n"/>
      <s:c r="C24083" s="121" t="n"/>
      <s:c r="D24083" s="121" t="n"/>
      <s:c r="E24083" s="122" t="n"/>
    </s:row>
    <s:row r="24084" hidden="1" ht="1" customHeight="1">
      <s:c r="A24084" s="120" t="inlineStr"/>
      <s:c r="B24084" s="121" t="n"/>
      <s:c r="C24084" s="121" t="n"/>
      <s:c r="D24084" s="121" t="n"/>
      <s:c r="E24084" s="122" t="n"/>
    </s:row>
    <s:row r="24085" hidden="1" ht="1" customHeight="1">
      <s:c r="A24085" s="120" t="inlineStr"/>
      <s:c r="B24085" s="121" t="n"/>
      <s:c r="C24085" s="121" t="n"/>
      <s:c r="D24085" s="121" t="n"/>
      <s:c r="E24085" s="122" t="n"/>
    </s:row>
    <s:row r="24086" hidden="1" ht="1" customHeight="1">
      <s:c r="A24086" s="120" t="inlineStr"/>
      <s:c r="B24086" s="121" t="n"/>
      <s:c r="C24086" s="121" t="n"/>
      <s:c r="D24086" s="121" t="n"/>
      <s:c r="E24086" s="122" t="n"/>
    </s:row>
    <s:row r="24087" hidden="1" ht="1" customHeight="1">
      <s:c r="A24087" s="120" t="inlineStr"/>
      <s:c r="B24087" s="121" t="n"/>
      <s:c r="C24087" s="121" t="n"/>
      <s:c r="D24087" s="121" t="n"/>
      <s:c r="E24087" s="122" t="n"/>
    </s:row>
    <s:row r="24088" hidden="1" ht="1" customHeight="1">
      <s:c r="A24088" s="120" t="inlineStr"/>
      <s:c r="B24088" s="121" t="n"/>
      <s:c r="C24088" s="121" t="n"/>
      <s:c r="D24088" s="121" t="n"/>
      <s:c r="E24088" s="122" t="n"/>
    </s:row>
    <s:row r="24089" hidden="1" ht="1" customHeight="1">
      <s:c r="A24089" s="120" t="inlineStr"/>
      <s:c r="B24089" s="121" t="n"/>
      <s:c r="C24089" s="121" t="n"/>
      <s:c r="D24089" s="121" t="n"/>
      <s:c r="E24089" s="122" t="n"/>
    </s:row>
    <s:row r="24090" hidden="1" ht="1" customHeight="1">
      <s:c r="A24090" s="120" t="inlineStr"/>
      <s:c r="B24090" s="121" t="n"/>
      <s:c r="C24090" s="121" t="n"/>
      <s:c r="D24090" s="121" t="n"/>
      <s:c r="E24090" s="122" t="n"/>
    </s:row>
    <s:row r="24091" hidden="1" ht="1" customHeight="1">
      <s:c r="A24091" s="120" t="inlineStr"/>
      <s:c r="B24091" s="121" t="n"/>
      <s:c r="C24091" s="121" t="n"/>
      <s:c r="D24091" s="121" t="n"/>
      <s:c r="E24091" s="122" t="n"/>
    </s:row>
    <s:row r="24092" hidden="1" ht="1" customHeight="1">
      <s:c r="A24092" s="120" t="inlineStr"/>
      <s:c r="B24092" s="121" t="n"/>
      <s:c r="C24092" s="121" t="n"/>
      <s:c r="D24092" s="121" t="n"/>
      <s:c r="E24092" s="122" t="n"/>
    </s:row>
    <s:row r="24093" hidden="1" ht="1" customHeight="1">
      <s:c r="A24093" s="120" t="inlineStr"/>
      <s:c r="B24093" s="121" t="n"/>
      <s:c r="C24093" s="121" t="n"/>
      <s:c r="D24093" s="121" t="n"/>
      <s:c r="E24093" s="122" t="n"/>
    </s:row>
    <s:row r="24094" hidden="1" ht="1" customHeight="1">
      <s:c r="A24094" s="120" t="inlineStr"/>
      <s:c r="B24094" s="121" t="n"/>
      <s:c r="C24094" s="121" t="n"/>
      <s:c r="D24094" s="121" t="n"/>
      <s:c r="E24094" s="122" t="n"/>
    </s:row>
    <s:row r="24095" hidden="1" ht="1" customHeight="1">
      <s:c r="A24095" s="120" t="inlineStr"/>
      <s:c r="B24095" s="121" t="n"/>
      <s:c r="C24095" s="121" t="n"/>
      <s:c r="D24095" s="121" t="n"/>
      <s:c r="E24095" s="122" t="n"/>
    </s:row>
    <s:row r="24096" hidden="1" ht="1" customHeight="1">
      <s:c r="A24096" s="120" t="inlineStr"/>
      <s:c r="B24096" s="121" t="n"/>
      <s:c r="C24096" s="121" t="n"/>
      <s:c r="D24096" s="121" t="n"/>
      <s:c r="E24096" s="122" t="n"/>
    </s:row>
    <s:row r="24097" hidden="1" ht="1" customHeight="1">
      <s:c r="A24097" s="120" t="inlineStr"/>
      <s:c r="B24097" s="121" t="n"/>
      <s:c r="C24097" s="121" t="n"/>
      <s:c r="D24097" s="121" t="n"/>
      <s:c r="E24097" s="122" t="n"/>
    </s:row>
    <s:row r="24098" hidden="1" ht="1" customHeight="1">
      <s:c r="A24098" s="120" t="inlineStr"/>
      <s:c r="B24098" s="121" t="n"/>
      <s:c r="C24098" s="121" t="n"/>
      <s:c r="D24098" s="121" t="n"/>
      <s:c r="E24098" s="122" t="n"/>
    </s:row>
    <s:row r="24099" hidden="1" ht="1" customHeight="1">
      <s:c r="A24099" s="120" t="inlineStr"/>
      <s:c r="B24099" s="121" t="n"/>
      <s:c r="C24099" s="121" t="n"/>
      <s:c r="D24099" s="121" t="n"/>
      <s:c r="E24099" s="122" t="n"/>
    </s:row>
    <s:row r="24100" hidden="1" ht="1" customHeight="1">
      <s:c r="A24100" s="120" t="inlineStr"/>
      <s:c r="B24100" s="121" t="n"/>
      <s:c r="C24100" s="121" t="n"/>
      <s:c r="D24100" s="121" t="n"/>
      <s:c r="E24100" s="122" t="n"/>
    </s:row>
    <s:row r="24101" hidden="1" ht="1" customHeight="1">
      <s:c r="A24101" s="120" t="inlineStr"/>
      <s:c r="B24101" s="121" t="n"/>
      <s:c r="C24101" s="121" t="n"/>
      <s:c r="D24101" s="121" t="n"/>
      <s:c r="E24101" s="122" t="n"/>
    </s:row>
    <s:row r="24102" hidden="1" ht="1" customHeight="1">
      <s:c r="A24102" s="120" t="inlineStr"/>
      <s:c r="B24102" s="121" t="n"/>
      <s:c r="C24102" s="121" t="n"/>
      <s:c r="D24102" s="121" t="n"/>
      <s:c r="E24102" s="122" t="n"/>
    </s:row>
    <s:row r="24103" hidden="1" ht="1" customHeight="1">
      <s:c r="A24103" s="120" t="inlineStr"/>
      <s:c r="B24103" s="121" t="n"/>
      <s:c r="C24103" s="121" t="n"/>
      <s:c r="D24103" s="121" t="n"/>
      <s:c r="E24103" s="122" t="n"/>
    </s:row>
    <s:row r="24104" hidden="1" ht="1" customHeight="1">
      <s:c r="A24104" s="120" t="inlineStr"/>
      <s:c r="B24104" s="121" t="n"/>
      <s:c r="C24104" s="121" t="n"/>
      <s:c r="D24104" s="121" t="n"/>
      <s:c r="E24104" s="122" t="n"/>
    </s:row>
    <s:row r="24105" hidden="1" ht="1" customHeight="1">
      <s:c r="A24105" s="120" t="inlineStr"/>
      <s:c r="B24105" s="121" t="n"/>
      <s:c r="C24105" s="121" t="n"/>
      <s:c r="D24105" s="121" t="n"/>
      <s:c r="E24105" s="122" t="n"/>
    </s:row>
    <s:row r="24106" hidden="1" ht="1" customHeight="1">
      <s:c r="A24106" s="120" t="inlineStr"/>
      <s:c r="B24106" s="121" t="n"/>
      <s:c r="C24106" s="121" t="n"/>
      <s:c r="D24106" s="121" t="n"/>
      <s:c r="E24106" s="122" t="n"/>
    </s:row>
    <s:row r="24107" hidden="1" ht="1" customHeight="1">
      <s:c r="A24107" s="120" t="inlineStr"/>
      <s:c r="B24107" s="121" t="n"/>
      <s:c r="C24107" s="121" t="n"/>
      <s:c r="D24107" s="121" t="n"/>
      <s:c r="E24107" s="122" t="n"/>
    </s:row>
    <s:row r="24108" hidden="1" ht="1" customHeight="1">
      <s:c r="A24108" s="120" t="inlineStr"/>
      <s:c r="B24108" s="121" t="n"/>
      <s:c r="C24108" s="121" t="n"/>
      <s:c r="D24108" s="121" t="n"/>
      <s:c r="E24108" s="122" t="n"/>
    </s:row>
    <s:row r="24109" hidden="1" ht="1" customHeight="1">
      <s:c r="A24109" s="120" t="inlineStr"/>
      <s:c r="B24109" s="121" t="n"/>
      <s:c r="C24109" s="121" t="n"/>
      <s:c r="D24109" s="121" t="n"/>
      <s:c r="E24109" s="122" t="n"/>
    </s:row>
    <s:row r="24110" hidden="1" ht="1" customHeight="1">
      <s:c r="A24110" s="120" t="inlineStr"/>
      <s:c r="B24110" s="121" t="n"/>
      <s:c r="C24110" s="121" t="n"/>
      <s:c r="D24110" s="121" t="n"/>
      <s:c r="E24110" s="122" t="n"/>
    </s:row>
    <s:row r="24111" hidden="1" ht="1" customHeight="1">
      <s:c r="A24111" s="120" t="inlineStr"/>
      <s:c r="B24111" s="121" t="n"/>
      <s:c r="C24111" s="121" t="n"/>
      <s:c r="D24111" s="121" t="n"/>
      <s:c r="E24111" s="122" t="n"/>
    </s:row>
    <s:row r="24112" hidden="1" ht="1" customHeight="1">
      <s:c r="A24112" s="120" t="inlineStr"/>
      <s:c r="B24112" s="121" t="n"/>
      <s:c r="C24112" s="121" t="n"/>
      <s:c r="D24112" s="121" t="n"/>
      <s:c r="E24112" s="122" t="n"/>
    </s:row>
    <s:row r="24113" hidden="1" ht="1" customHeight="1">
      <s:c r="A24113" s="120" t="inlineStr"/>
      <s:c r="B24113" s="121" t="n"/>
      <s:c r="C24113" s="121" t="n"/>
      <s:c r="D24113" s="121" t="n"/>
      <s:c r="E24113" s="122" t="n"/>
    </s:row>
    <s:row r="24114" hidden="1" ht="1" customHeight="1">
      <s:c r="A24114" s="120" t="inlineStr"/>
      <s:c r="B24114" s="121" t="n"/>
      <s:c r="C24114" s="121" t="n"/>
      <s:c r="D24114" s="121" t="n"/>
      <s:c r="E24114" s="122" t="n"/>
    </s:row>
    <s:row r="24115" hidden="1" ht="1" customHeight="1">
      <s:c r="A24115" s="120" t="inlineStr"/>
      <s:c r="B24115" s="121" t="n"/>
      <s:c r="C24115" s="121" t="n"/>
      <s:c r="D24115" s="121" t="n"/>
      <s:c r="E24115" s="122" t="n"/>
    </s:row>
    <s:row r="24116" hidden="1" ht="1" customHeight="1">
      <s:c r="A24116" s="120" t="inlineStr"/>
      <s:c r="B24116" s="121" t="n"/>
      <s:c r="C24116" s="121" t="n"/>
      <s:c r="D24116" s="121" t="n"/>
      <s:c r="E24116" s="122" t="n"/>
    </s:row>
    <s:row r="24117" hidden="1" ht="1" customHeight="1">
      <s:c r="A24117" s="120" t="inlineStr"/>
      <s:c r="B24117" s="121" t="n"/>
      <s:c r="C24117" s="121" t="n"/>
      <s:c r="D24117" s="121" t="n"/>
      <s:c r="E24117" s="122" t="n"/>
    </s:row>
    <s:row r="24118" hidden="1" ht="1" customHeight="1">
      <s:c r="A24118" s="120" t="inlineStr"/>
      <s:c r="B24118" s="121" t="n"/>
      <s:c r="C24118" s="121" t="n"/>
      <s:c r="D24118" s="121" t="n"/>
      <s:c r="E24118" s="122" t="n"/>
    </s:row>
    <s:row r="24119" hidden="1" ht="1" customHeight="1">
      <s:c r="A24119" s="120" t="inlineStr"/>
      <s:c r="B24119" s="121" t="n"/>
      <s:c r="C24119" s="121" t="n"/>
      <s:c r="D24119" s="121" t="n"/>
      <s:c r="E24119" s="122" t="n"/>
    </s:row>
    <s:row r="24120" hidden="1" ht="1" customHeight="1">
      <s:c r="A24120" s="120" t="inlineStr"/>
      <s:c r="B24120" s="121" t="n"/>
      <s:c r="C24120" s="121" t="n"/>
      <s:c r="D24120" s="121" t="n"/>
      <s:c r="E24120" s="122" t="n"/>
    </s:row>
    <s:row r="24121" hidden="1" ht="1" customHeight="1">
      <s:c r="A24121" s="120" t="inlineStr"/>
      <s:c r="B24121" s="121" t="n"/>
      <s:c r="C24121" s="121" t="n"/>
      <s:c r="D24121" s="121" t="n"/>
      <s:c r="E24121" s="122" t="n"/>
    </s:row>
    <s:row r="24122" hidden="1" ht="1" customHeight="1">
      <s:c r="A24122" s="120" t="inlineStr"/>
      <s:c r="B24122" s="121" t="n"/>
      <s:c r="C24122" s="121" t="n"/>
      <s:c r="D24122" s="121" t="n"/>
      <s:c r="E24122" s="122" t="n"/>
    </s:row>
    <s:row r="24123" hidden="1" ht="1" customHeight="1">
      <s:c r="A24123" s="120" t="inlineStr"/>
      <s:c r="B24123" s="121" t="n"/>
      <s:c r="C24123" s="121" t="n"/>
      <s:c r="D24123" s="121" t="n"/>
      <s:c r="E24123" s="122" t="n"/>
    </s:row>
    <s:row r="24124" hidden="1" ht="1" customHeight="1">
      <s:c r="A24124" s="120" t="inlineStr"/>
      <s:c r="B24124" s="121" t="n"/>
      <s:c r="C24124" s="121" t="n"/>
      <s:c r="D24124" s="121" t="n"/>
      <s:c r="E24124" s="122" t="n"/>
    </s:row>
    <s:row r="24125" hidden="1" ht="1" customHeight="1">
      <s:c r="A24125" s="83" t="inlineStr">
        <s:is>
          <s:t>PASS</s:t>
        </s:is>
      </s:c>
      <s:c r="B24125" s="83">
        <s:f>SUM(IF(EXACT('Kiểm thử'!E23325,"Đạt"),1,0),IF(EXACT('Kiểm thử'!E23327,"Đạt"),1,0),IF(EXACT('Kiểm thử'!E23329,"Đạt"),1,0),IF(EXACT('Kiểm thử'!E23331,"Đạt"),1,0),IF(EXACT('Kiểm thử'!E23333,"Đạt"),1,0),IF(EXACT('Kiểm thử'!E23335,"Đạt"),1,0),IF(EXACT('Kiểm thử'!E23337,"Đạt"),1,0),IF(EXACT('Kiểm thử'!E23339,"Đạt"),1,0),IF(EXACT('Kiểm thử'!E23341,"Đạt"),1,0),IF(EXACT('Kiểm thử'!E23343,"Đạt"),1,0),IF(EXACT('Kiểm thử'!E23345,"Đạt"),1,0),IF(EXACT('Kiểm thử'!E23347,"Đạt"),1,0),IF(EXACT('Kiểm thử'!E23349,"Đạt"),1,0),IF(EXACT('Kiểm thử'!E23351,"Đạt"),1,0),IF(EXACT('Kiểm thử'!E23353,"Đạt"),1,0),IF(EXACT('Kiểm thử'!E23355,"Đạt"),1,0))</s:f>
        <s:v/>
      </s:c>
      <s:c r="C24125" s="19" t="n"/>
      <s:c r="D24125" s="19" t="n"/>
      <s:c r="E24125" s="19" t="n"/>
    </s:row>
    <s:row r="24126" hidden="1" ht="1" customHeight="1">
      <s:c r="A24126" s="83" t="inlineStr">
        <s:is>
          <s:t>FAIL</s:t>
        </s:is>
      </s:c>
      <s:c r="B24126" s="83">
        <s:f>SUM(IF(EXACT('Kiểm thử'!E23325,"Không đạt"),1,0),IF(EXACT('Kiểm thử'!E23327,"Không đạt"),1,0),IF(EXACT('Kiểm thử'!E23329,"Không đạt"),1,0),IF(EXACT('Kiểm thử'!E23331,"Không đạt"),1,0),IF(EXACT('Kiểm thử'!E23333,"Không đạt"),1,0),IF(EXACT('Kiểm thử'!E23335,"Không đạt"),1,0),IF(EXACT('Kiểm thử'!E23337,"Không đạt"),1,0),IF(EXACT('Kiểm thử'!E23339,"Không đạt"),1,0),IF(EXACT('Kiểm thử'!E23341,"Không đạt"),1,0),IF(EXACT('Kiểm thử'!E23343,"Không đạt"),1,0),IF(EXACT('Kiểm thử'!E23345,"Không đạt"),1,0),IF(EXACT('Kiểm thử'!E23347,"Không đạt"),1,0),IF(EXACT('Kiểm thử'!E23349,"Không đạt"),1,0),IF(EXACT('Kiểm thử'!E23351,"Không đạt"),1,0),IF(EXACT('Kiểm thử'!E23353,"Không đạt"),1,0),IF(EXACT('Kiểm thử'!E23355,"Không đạt"),1,0))</s:f>
        <s:v/>
      </s:c>
      <s:c r="C24126" s="19" t="n"/>
      <s:c r="D24126" s="19" t="n"/>
      <s:c r="E24126" s="19" t="n"/>
    </s:row>
    <s:row r="24127" hidden="1" ht="1" customHeight="1">
      <s:c r="A24127" s="83" t="inlineStr">
        <s:is>
          <s:t>BLOCKED</s:t>
        </s:is>
      </s:c>
      <s:c r="B24127" s="83">
        <s:f>SUM(IF(EXACT('Kiểm thử'!E23325,"Bị chặn"),1,0),IF(EXACT('Kiểm thử'!E23327,"Bị chặn"),1,0),IF(EXACT('Kiểm thử'!E23329,"Bị chặn"),1,0),IF(EXACT('Kiểm thử'!E23331,"Bị chặn"),1,0),IF(EXACT('Kiểm thử'!E23333,"Bị chặn"),1,0),IF(EXACT('Kiểm thử'!E23335,"Bị chặn"),1,0),IF(EXACT('Kiểm thử'!E23337,"Bị chặn"),1,0),IF(EXACT('Kiểm thử'!E23339,"Bị chặn"),1,0),IF(EXACT('Kiểm thử'!E23341,"Bị chặn"),1,0),IF(EXACT('Kiểm thử'!E23343,"Bị chặn"),1,0),IF(EXACT('Kiểm thử'!E23345,"Bị chặn"),1,0),IF(EXACT('Kiểm thử'!E23347,"Bị chặn"),1,0),IF(EXACT('Kiểm thử'!E23349,"Bị chặn"),1,0),IF(EXACT('Kiểm thử'!E23351,"Bị chặn"),1,0),IF(EXACT('Kiểm thử'!E23353,"Bị chặn"),1,0),IF(EXACT('Kiểm thử'!E23355,"Bị chặn"),1,0))</s:f>
        <s:v/>
      </s:c>
      <s:c r="C24127" s="19" t="n"/>
      <s:c r="D24127" s="19" t="n"/>
      <s:c r="E24127" s="19" t="n"/>
    </s:row>
    <s:row r="24128" hidden="1" ht="1" customHeight="1">
      <s:c r="A24128" s="83" t="inlineStr">
        <s:is>
          <s:t>SKIPPED</s:t>
        </s:is>
      </s:c>
      <s:c r="B24128" s="83">
        <s:f>SUM(IF(EXACT('Kiểm thử'!E23325,"Không thực hiện"),1,0),IF(EXACT('Kiểm thử'!E23327,"Không thực hiện"),1,0),IF(EXACT('Kiểm thử'!E23329,"Không thực hiện"),1,0),IF(EXACT('Kiểm thử'!E23331,"Không thực hiện"),1,0),IF(EXACT('Kiểm thử'!E23333,"Không thực hiện"),1,0),IF(EXACT('Kiểm thử'!E23335,"Không thực hiện"),1,0),IF(EXACT('Kiểm thử'!E23337,"Không thực hiện"),1,0),IF(EXACT('Kiểm thử'!E23339,"Không thực hiện"),1,0),IF(EXACT('Kiểm thử'!E23341,"Không thực hiện"),1,0),IF(EXACT('Kiểm thử'!E23343,"Không thực hiện"),1,0),IF(EXACT('Kiểm thử'!E23345,"Không thực hiện"),1,0),IF(EXACT('Kiểm thử'!E23347,"Không thực hiện"),1,0),IF(EXACT('Kiểm thử'!E23349,"Không thực hiện"),1,0),IF(EXACT('Kiểm thử'!E23351,"Không thực hiện"),1,0),IF(EXACT('Kiểm thử'!E23353,"Không thực hiện"),1,0),IF(EXACT('Kiểm thử'!E23355,"Không thực hiện"),1,0))</s:f>
        <s:v/>
      </s:c>
      <s:c r="C24128" s="19" t="n"/>
      <s:c r="D24128" s="19" t="n"/>
      <s:c r="E24128" s="19" t="n"/>
    </s:row>
    <s:row r="24129" hidden="1" ht="1" customHeight="1">
      <s:c r="A24129" s="83" t="inlineStr">
        <s:is>
          <s:t>NOT RUN</s:t>
        </s:is>
      </s:c>
      <s:c r="B24129" s="83">
        <s:f>SUM(IF(EXACT('Kiểm thử'!E23325,"Chưa thực hiện"),1,0),IF(EXACT('Kiểm thử'!E23327,"Chưa thực hiện"),1,0),IF(EXACT('Kiểm thử'!E23329,"Chưa thực hiện"),1,0),IF(EXACT('Kiểm thử'!E23331,"Chưa thực hiện"),1,0),IF(EXACT('Kiểm thử'!E23333,"Chưa thực hiện"),1,0),IF(EXACT('Kiểm thử'!E23335,"Chưa thực hiện"),1,0),IF(EXACT('Kiểm thử'!E23337,"Chưa thực hiện"),1,0),IF(EXACT('Kiểm thử'!E23339,"Chưa thực hiện"),1,0),IF(EXACT('Kiểm thử'!E23341,"Chưa thực hiện"),1,0),IF(EXACT('Kiểm thử'!E23343,"Chưa thực hiện"),1,0),IF(EXACT('Kiểm thử'!E23345,"Chưa thực hiện"),1,0),IF(EXACT('Kiểm thử'!E23347,"Chưa thực hiện"),1,0),IF(EXACT('Kiểm thử'!E23349,"Chưa thực hiện"),1,0),IF(EXACT('Kiểm thử'!E23351,"Chưa thực hiện"),1,0),IF(EXACT('Kiểm thử'!E23353,"Chưa thực hiện"),1,0),IF(EXACT('Kiểm thử'!E23355,"Chưa thực hiện"),1,0))</s:f>
        <s:v/>
      </s:c>
      <s:c r="C24129" s="19" t="n"/>
      <s:c r="D24129" s="19" t="n"/>
      <s:c r="E24129" s="19" t="n"/>
    </s:row>
    <s:row r="24130" hidden="1" ht="6" customHeight="1">
      <s:c r="A24130" s="83" t="inlineStr"/>
      <s:c r="B24130" s="19" t="n"/>
      <s:c r="C24130" s="19" t="n"/>
      <s:c r="D24130" s="19" t="n"/>
      <s:c r="E24130" s="19" t="n"/>
    </s:row>
    <s:row r="24131" ht="28" customHeight="1">
      <s:c r="A24131" s="108" t="inlineStr">
        <s:is>
          <s:t>TC-RS-ERR-010 — Server không tin cờ đỏ hoặc ngưỡng do trình duyệt gửi lên</s:t>
        </s:is>
      </s:c>
      <s:c r="B24131" s="111" t="n"/>
      <s:c r="C24131" s="111" t="n"/>
      <s:c r="D24131" s="111" t="n"/>
      <s:c r="E24131" s="111" t="n"/>
    </s:row>
    <s:row r="24132" ht="20" customHeight="1">
      <s:c r="A24132" s="112" t="inlineStr">
        <s:is>
          <s:t>Kết quả tình huống</s:t>
        </s:is>
      </s:c>
      <s:c r="B24132" s="113">
        <s:f>IF(SUM(IF(EXACT('Kiểm thử'!E24141,"Không đạt"),1,0),IF(EXACT('Kiểm thử'!E24143,"Không đạt"),1,0),IF(EXACT('Kiểm thử'!E24145,"Không đạt"),1,0),IF(EXACT('Kiểm thử'!E24147,"Không đạt"),1,0),IF(EXACT('Kiểm thử'!E24149,"Không đạt"),1,0),IF(EXACT('Kiểm thử'!E24151,"Không đạt"),1,0),IF(EXACT('Kiểm thử'!E24153,"Không đạt"),1,0),IF(EXACT('Kiểm thử'!E24155,"Không đạt"),1,0))&gt;0,"Không đạt",IF(SUM(IF(EXACT('Kiểm thử'!E24141,"Đạt"),1,0),IF(EXACT('Kiểm thử'!E24143,"Đạt"),1,0),IF(EXACT('Kiểm thử'!E24145,"Đạt"),1,0),IF(EXACT('Kiểm thử'!E24147,"Đạt"),1,0),IF(EXACT('Kiểm thử'!E24149,"Đạt"),1,0),IF(EXACT('Kiểm thử'!E24151,"Đạt"),1,0),IF(EXACT('Kiểm thử'!E24153,"Đạt"),1,0),IF(EXACT('Kiểm thử'!E24155,"Đạt"),1,0))=8,"Đạt",IF(SUM(IF(EXACT('Kiểm thử'!E24141,"Không thực hiện"),1,0),IF(EXACT('Kiểm thử'!E24143,"Không thực hiện"),1,0),IF(EXACT('Kiểm thử'!E24145,"Không thực hiện"),1,0),IF(EXACT('Kiểm thử'!E24147,"Không thực hiện"),1,0),IF(EXACT('Kiểm thử'!E24149,"Không thực hiện"),1,0),IF(EXACT('Kiểm thử'!E24151,"Không thực hiện"),1,0),IF(EXACT('Kiểm thử'!E24153,"Không thực hiện"),1,0),IF(EXACT('Kiểm thử'!E24155,"Không thực hiện"),1,0))=8,"Không thực hiện",IF(SUM(IF(EXACT('Kiểm thử'!E24141,"Bị chặn"),1,0),IF(EXACT('Kiểm thử'!E24143,"Bị chặn"),1,0),IF(EXACT('Kiểm thử'!E24145,"Bị chặn"),1,0),IF(EXACT('Kiểm thử'!E24147,"Bị chặn"),1,0),IF(EXACT('Kiểm thử'!E24149,"Bị chặn"),1,0),IF(EXACT('Kiểm thử'!E24151,"Bị chặn"),1,0),IF(EXACT('Kiểm thử'!E24153,"Bị chặn"),1,0),IF(EXACT('Kiểm thử'!E24155,"Bị chặn"),1,0))&gt;0,"Bị chặn",IF(SUM(IF(EXACT('Kiểm thử'!E24141,"Chưa thực hiện"),1,0),IF(EXACT('Kiểm thử'!E24143,"Chưa thực hiện"),1,0),IF(EXACT('Kiểm thử'!E24145,"Chưa thực hiện"),1,0),IF(EXACT('Kiểm thử'!E24147,"Chưa thực hiện"),1,0),IF(EXACT('Kiểm thử'!E24149,"Chưa thực hiện"),1,0),IF(EXACT('Kiểm thử'!E24151,"Chưa thực hiện"),1,0),IF(EXACT('Kiểm thử'!E24153,"Chưa thực hiện"),1,0),IF(EXACT('Kiểm thử'!E24155,"Chưa thực hiện"),1,0))=8,"Chưa thực hiện","Đang thực hiện")))))</s:f>
        <s:v/>
      </s:c>
      <s:c r="C24132" s="114" t="n"/>
      <s:c r="D24132" s="114" t="n"/>
      <s:c r="E24132" s="114" t="n"/>
    </s:row>
    <s:row r="24133" ht="20" customHeight="1">
      <s:c r="A24133" s="112" t="inlineStr">
        <s:is>
          <s:t>Màn hình / chức năng</s:t>
        </s:is>
      </s:c>
      <s:c r="B24133" s="113" t="inlineStr">
        <s:is>
          <s:t>Quyền thao tác</s:t>
        </s:is>
      </s:c>
      <s:c r="C24133" s="28" t="n"/>
      <s:c r="D24133" s="28" t="n"/>
      <s:c r="E24133" s="28" t="n"/>
    </s:row>
    <s:row r="24134" ht="76" customHeight="1">
      <s:c r="A24134" s="112" t="inlineStr">
        <s:is>
          <s:t>Cấu hình</s:t>
        </s:is>
      </s:c>
      <s:c r="B24134" s="113" t="inlineStr">
        <s:is>
          <s:t>• S03 của trường A/năm 2026 có điểm server [31], quy tắc [&lt;30], kết luận Không đỏ;
• S01=29 Đỏ là control trong bộ lọc. Cấu hình trích xuất gồm lọc học sinh có điểm đỏ, ký hiệu “*” phía trước và tô màu. Ghi identity trường/năm/mục của S03, S01 và một trường B/năm khác ngoài quyền tài khoản;
• Endpoint/field thực tế chỉ dùng sau khi được xác minh, chưa giả định [output_excel] nhận mọi field.</s:t>
        </s:is>
      </s:c>
      <s:c r="C24134" s="28" t="n"/>
      <s:c r="D24134" s="28" t="n"/>
      <s:c r="E24134" s="28" t="n"/>
    </s:row>
    <s:row r="24135" ht="48" customHeight="1">
      <s:c r="A24135" s="112" t="inlineStr">
        <s:is>
          <s:t>Dữ liệu test</s:t>
        </s:is>
      </s:c>
      <s:c r="B24135" s="113" t="inlineStr">
        <s:is>
          <s:t>• Lượt không lọc chứa S03=31 không dấu/màu đỏ;
• Lượt có lọc chỉ chứa S01, loại S03. Các request sửa độc lập từ baseline tương ứng, không sửa dữ liệu server.</s:t>
        </s:is>
      </s:c>
      <s:c r="C24135" s="28" t="n"/>
      <s:c r="D24135" s="28" t="n"/>
      <s:c r="E24135" s="28" t="n"/>
    </s:row>
    <s:row r="24136" ht="34" customHeight="1">
      <s:c r="A24136" s="112" t="inlineStr">
        <s:is>
          <s:t>Bước 1</s:t>
        </s:is>
      </s:c>
      <s:c r="B24136" s="113" t="inlineStr">
        <s:is>
          <s:t>Tài khoản phụ trách đầu ra ghi request/response và Excel baseline của lượt không lọc (S03=31 Không đỏ) và có lọc (S01 có, S03 vắng); xác minh endpoint/field/quyền/identity thật.</s:t>
        </s:is>
      </s:c>
      <s:c r="C24136" s="28" t="n"/>
      <s:c r="D24136" s="28" t="n"/>
      <s:c r="E24136" s="28" t="n"/>
    </s:row>
    <s:row r="24137" ht="34" customHeight="1">
      <s:c r="A24137" s="112" t="inlineStr">
        <s:is>
          <s:t>Bước 2</s:t>
        </s:is>
      </s:c>
      <s:c r="B24137" s="113" t="inlineStr">
        <s:is>
          <s:t>Chỉ sửa payload đúng một trường theo trường hợp; không sửa dữ liệu server. Field chưa được endpoint nhận phải ghi seam/BLOCKED, không tự dựng endpoint.</s:t>
        </s:is>
      </s:c>
      <s:c r="C24137" s="28" t="n"/>
      <s:c r="D24137" s="28" t="n"/>
      <s:c r="E24137" s="28" t="n"/>
    </s:row>
    <s:row r="24138" ht="34" customHeight="1">
      <s:c r="A24138" s="112" t="inlineStr">
        <s:is>
          <s:t>Bước 3</s:t>
        </s:is>
      </s:c>
      <s:c r="B24138" s="113" t="inlineStr">
        <s:is>
          <s:t>Lưu payload/response/file Excel nếu có; đối chiếu điểm/ngưỡng/kết quả tin cậy và quyền, không dùng một dấu UI làm bằng chứng duy nhất.</s:t>
        </s:is>
      </s:c>
      <s:c r="C24138" s="28" t="n"/>
      <s:c r="D24138" s="28" t="n"/>
      <s:c r="E24138" s="28" t="n"/>
    </s:row>
    <s:row r="24139" ht="28" customHeight="1">
      <s:c r="A24139" s="115" t="inlineStr">
        <s:is>
          <s:t>Trường hợp</s:t>
        </s:is>
      </s:c>
      <s:c r="B24139" s="115" t="inlineStr">
        <s:is>
          <s:t>Dữ liệu / thao tác riêng</s:t>
        </s:is>
      </s:c>
      <s:c r="C24139" s="115" t="inlineStr">
        <s:is>
          <s:t>Kết quả mong đợi</s:t>
        </s:is>
      </s:c>
      <s:c r="D24139" s="115" t="inlineStr">
        <s:is>
          <s:t>Kết quả thực tế</s:t>
        </s:is>
      </s:c>
      <s:c r="E24139" s="115" t="inlineStr">
        <s:is>
          <s:t>Đánh giá</s:t>
        </s:is>
      </s:c>
    </s:row>
    <s:row r="24140" ht="3" customHeight="1">
      <s:c r="A24140" s="102" t="inlineStr"/>
      <s:c r="B24140" s="99" t="n"/>
      <s:c r="C24140" s="99" t="n"/>
      <s:c r="D24140" s="116" t="n"/>
      <s:c r="E24140" s="116" t="n"/>
    </s:row>
    <s:row r="24141" ht="118" customHeight="1">
      <s:c r="A24141" s="83" t="inlineStr">
        <s:is>
          <s:t>Giả cờ đỏ (forged-red-flag)</s:t>
        </s:is>
      </s:c>
      <s:c r="B24141" s="83" t="inlineStr">
        <s:is>
          <s:t>Request không lọc: chỉ gán cờ đỏ cho S03; điểm server31, ngưỡng server30 giữ nguyên.</s:t>
        </s:is>
      </s:c>
      <s:c r="C24141" s="83" t="inlineStr">
        <s:is>
          <s:r>
            <s:t xml:space="preserve">Payload giả bị từ chối hoặc Excel vẫn S03=31, </s:t>
          </s:r>
          <s:r>
            <s:rPr>
              <s:b val="1"/>
            </s:rPr>
            <s:t>Không đỏ</s:t>
          </s:r>
          <s:r>
            <s:t>,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s:t>
          </s:r>
        </s:is>
      </s:c>
      <s:c r="D24141" s="117" t="inlineStr"/>
      <s:c r="E24141" s="118" t="inlineStr">
        <s:is>
          <s:t>Chưa thực hiện</s:t>
        </s:is>
      </s:c>
    </s:row>
    <s:row r="24142" ht="3" customHeight="1">
      <s:c r="A24142" s="102" t="inlineStr"/>
      <s:c r="B24142" s="99" t="n"/>
      <s:c r="C24142" s="99" t="n"/>
      <s:c r="D24142" s="116" t="n"/>
      <s:c r="E24142" s="116" t="n"/>
    </s:row>
    <s:row r="24143" ht="118" customHeight="1">
      <s:c r="A24143" s="83" t="inlineStr">
        <s:is>
          <s:t>Giả ký hiệu trước (forged-prefix)</s:t>
        </s:is>
      </s:c>
      <s:c r="B24143" s="83" t="inlineStr">
        <s:is>
          <s:t>Request không lọc: chỉ gán dấu trước [*] cho S03; điểm31/ngưỡng30 giữ nguyên.</s:t>
        </s:is>
      </s:c>
      <s:c r="C24143" s="83" t="inlineStr">
        <s:is>
          <s:r>
            <s:t xml:space="preserve">Payload giả bị từ chối hoặc Excel vẫn S03=31, </s:t>
          </s:r>
          <s:r>
            <s:rPr>
              <s:b val="1"/>
            </s:rPr>
            <s:t>Không đỏ</s:t>
          </s:r>
          <s:r>
            <s:t>,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s:t>
          </s:r>
        </s:is>
      </s:c>
      <s:c r="D24143" s="117" t="inlineStr"/>
      <s:c r="E24143" s="118" t="inlineStr">
        <s:is>
          <s:t>Chưa thực hiện</s:t>
        </s:is>
      </s:c>
    </s:row>
    <s:row r="24144" ht="3" customHeight="1">
      <s:c r="A24144" s="102" t="inlineStr"/>
      <s:c r="B24144" s="99" t="n"/>
      <s:c r="C24144" s="99" t="n"/>
      <s:c r="D24144" s="116" t="n"/>
      <s:c r="E24144" s="116" t="n"/>
    </s:row>
    <s:row r="24145" ht="118" customHeight="1">
      <s:c r="A24145" s="83" t="inlineStr">
        <s:is>
          <s:t>Giả màu đỏ (forged-color)</s:t>
        </s:is>
      </s:c>
      <s:c r="B24145" s="83" t="inlineStr">
        <s:is>
          <s:t>Request không lọc: chỉ gán màu đỏ cho S03; điểm31/ngưỡng30 giữ nguyên.</s:t>
        </s:is>
      </s:c>
      <s:c r="C24145" s="83" t="inlineStr">
        <s:is>
          <s:r>
            <s:t xml:space="preserve">Payload giả bị từ chối hoặc Excel vẫn S03=31, </s:t>
          </s:r>
          <s:r>
            <s:rPr>
              <s:b val="1"/>
            </s:rPr>
            <s:t>Không đỏ</s:t>
          </s:r>
          <s:r>
            <s:t>,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s:t>
          </s:r>
        </s:is>
      </s:c>
      <s:c r="D24145" s="117" t="inlineStr"/>
      <s:c r="E24145" s="118" t="inlineStr">
        <s:is>
          <s:t>Chưa thực hiện</s:t>
        </s:is>
      </s:c>
    </s:row>
    <s:row r="24146" ht="3" customHeight="1">
      <s:c r="A24146" s="102" t="inlineStr"/>
      <s:c r="B24146" s="99" t="n"/>
      <s:c r="C24146" s="99" t="n"/>
      <s:c r="D24146" s="116" t="n"/>
      <s:c r="E24146" s="116" t="n"/>
    </s:row>
    <s:row r="24147" ht="118" customHeight="1">
      <s:c r="A24147" s="83" t="inlineStr">
        <s:is>
          <s:t>Giả điểm (forged-score)</s:t>
        </s:is>
      </s:c>
      <s:c r="B24147" s="83" t="inlineStr">
        <s:is>
          <s:t>Request không lọc: chỉ gán điểm S03=10 thay điểm server31; không đổi field khác.</s:t>
        </s:is>
      </s:c>
      <s:c r="C24147" s="83" t="inlineStr">
        <s:is>
          <s:r>
            <s:t xml:space="preserve">Payload giả bị từ chối hoặc Excel vẫn S03=31, </s:t>
          </s:r>
          <s:r>
            <s:rPr>
              <s:b val="1"/>
            </s:rPr>
            <s:t>Không đỏ</s:t>
          </s:r>
          <s:r>
            <s:t>,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s:t>
          </s:r>
        </s:is>
      </s:c>
      <s:c r="D24147" s="117" t="inlineStr"/>
      <s:c r="E24147" s="118" t="inlineStr">
        <s:is>
          <s:t>Chưa thực hiện</s:t>
        </s:is>
      </s:c>
    </s:row>
    <s:row r="24148" ht="3" customHeight="1">
      <s:c r="A24148" s="102" t="inlineStr"/>
      <s:c r="B24148" s="99" t="n"/>
      <s:c r="C24148" s="99" t="n"/>
      <s:c r="D24148" s="116" t="n"/>
      <s:c r="E24148" s="116" t="n"/>
    </s:row>
    <s:row r="24149" ht="118" customHeight="1">
      <s:c r="A24149" s="83" t="inlineStr">
        <s:is>
          <s:t>Giả ngưỡng (forged-threshold)</s:t>
        </s:is>
      </s:c>
      <s:c r="B24149" s="83" t="inlineStr">
        <s:is>
          <s:t>Request không lọc: chỉ gán ngưỡng50 thay ngưỡng server30; điểm S03=31 giữ nguyên.</s:t>
        </s:is>
      </s:c>
      <s:c r="C24149" s="83" t="inlineStr">
        <s:is>
          <s:r>
            <s:t xml:space="preserve">Payload giả bị từ chối hoặc Excel vẫn S03=31, </s:t>
          </s:r>
          <s:r>
            <s:rPr>
              <s:b val="1"/>
            </s:rPr>
            <s:t>Không đỏ</s:t>
          </s:r>
          <s:r>
            <s:t>,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s:t>
          </s:r>
        </s:is>
      </s:c>
      <s:c r="D24149" s="117" t="inlineStr"/>
      <s:c r="E24149" s="118" t="inlineStr">
        <s:is>
          <s:t>Chưa thực hiện</s:t>
        </s:is>
      </s:c>
    </s:row>
    <s:row r="24150" ht="3" customHeight="1">
      <s:c r="A24150" s="102" t="inlineStr"/>
      <s:c r="B24150" s="99" t="n"/>
      <s:c r="C24150" s="99" t="n"/>
      <s:c r="D24150" s="116" t="n"/>
      <s:c r="E24150" s="116" t="n"/>
    </s:row>
    <s:row r="24151" ht="104" customHeight="1">
      <s:c r="A24151" s="83" t="inlineStr">
        <s:is>
          <s:t>Chèn học sinh không thỏa lọc (out-of-scope-student)</s:t>
        </s:is>
      </s:c>
      <s:c r="B24151" s="83" t="inlineStr">
        <s:is>
          <s:t>Request có lọc: chèn identity S03/Không đỏ vào danh sách yêu cầu; giữ bộ lọc bật, S01/Đỏ là control.</s:t>
        </s:is>
      </s:c>
      <s:c r="C24151" s="83" t="inlineStr">
        <s:is>
          <s:t>Lọc đỏ bật: S03 không có trong Excel dù identity bị chèn vào payload; S01 vẫn có mặt. Nếu endpoint không nhận field giả, ghi BLOCKED và seam còn thiếu, không dùng NOT_APPLICABLE để suy PASS. Chỉ PASS khi có payload thật được xử lý, response/file và dữ liệu tin cậy đối chiếu.</s:t>
        </s:is>
      </s:c>
      <s:c r="D24151" s="117" t="inlineStr"/>
      <s:c r="E24151" s="118" t="inlineStr">
        <s:is>
          <s:t>Chưa thực hiện</s:t>
        </s:is>
      </s:c>
    </s:row>
    <s:row r="24152" ht="3" customHeight="1">
      <s:c r="A24152" s="102" t="inlineStr"/>
      <s:c r="B24152" s="99" t="n"/>
      <s:c r="C24152" s="99" t="n"/>
      <s:c r="D24152" s="116" t="n"/>
      <s:c r="E24152" s="116" t="n"/>
    </s:row>
    <s:row r="24153" ht="104" customHeight="1">
      <s:c r="A24153" s="83" t="inlineStr">
        <s:is>
          <s:t>Giả identity trường ngoài quyền (out-of-scope-school)</s:t>
        </s:is>
      </s:c>
      <s:c r="B24153" s="83" t="inlineStr">
        <s:is>
          <s:t>Từ request hợp lệ riêng, chỉ sửa identity sang trường B ngoài quyền, giữ năm hợp lệ.</s:t>
        </s:is>
      </s:c>
      <s:c r="C24153" s="83" t="inlineStr">
        <s:is>
          <s:t>Identity trường B bị từ chối hoặc không trả dữ liệu ngoài quyền. Nếu endpoint không nhận field giả, ghi BLOCKED và seam còn thiếu, không dùng NOT_APPLICABLE để suy PASS. Chỉ PASS khi có payload thật được xử lý, response/file và dữ liệu tin cậy đối chiếu.</s:t>
        </s:is>
      </s:c>
      <s:c r="D24153" s="117" t="inlineStr"/>
      <s:c r="E24153" s="118" t="inlineStr">
        <s:is>
          <s:t>Chưa thực hiện</s:t>
        </s:is>
      </s:c>
    </s:row>
    <s:row r="24154" ht="3" customHeight="1">
      <s:c r="A24154" s="102" t="inlineStr"/>
      <s:c r="B24154" s="99" t="n"/>
      <s:c r="C24154" s="99" t="n"/>
      <s:c r="D24154" s="116" t="n"/>
      <s:c r="E24154" s="116" t="n"/>
    </s:row>
    <s:row r="24155" ht="104" customHeight="1">
      <s:c r="A24155" s="83" t="inlineStr">
        <s:is>
          <s:t>Giả identity năm ngoài quyền (out-of-scope-year)</s:t>
        </s:is>
      </s:c>
      <s:c r="B24155" s="83" t="inlineStr">
        <s:is>
          <s:t>Từ request hợp lệ riêng, chỉ sửa identity sang năm ngoài quyền, giữ trường A.</s:t>
        </s:is>
      </s:c>
      <s:c r="C24155" s="83" t="inlineStr">
        <s:is>
          <s:t>Identity năm ngoài quyền bị từ chối hoặc không trả dữ liệu ngoài quyền. Nếu endpoint không nhận field giả, ghi BLOCKED và seam còn thiếu, không dùng NOT_APPLICABLE để suy PASS. Chỉ PASS khi có payload thật được xử lý, response/file và dữ liệu tin cậy đối chiếu.</s:t>
        </s:is>
      </s:c>
      <s:c r="D24155" s="117" t="inlineStr"/>
      <s:c r="E24155" s="118" t="inlineStr">
        <s:is>
          <s:t>Chưa thực hiện</s:t>
        </s:is>
      </s:c>
    </s:row>
    <s:row r="24156" ht="20" customHeight="1">
      <s:c r="A24156" s="119" t="inlineStr">
        <s:is>
          <s:t>Ảnh minh chứng — Chưa có ảnh</s:t>
        </s:is>
      </s:c>
      <s:c r="B24156" s="19" t="n"/>
      <s:c r="C24156" s="19" t="n"/>
      <s:c r="D24156" s="19" t="n"/>
      <s:c r="E24156" s="19" t="n"/>
    </s:row>
    <s:row r="24157" hidden="1" ht="1" customHeight="1">
      <s:c r="A24157" s="120" t="inlineStr"/>
      <s:c r="B24157" s="121" t="n"/>
      <s:c r="C24157" s="121" t="n"/>
      <s:c r="D24157" s="121" t="n"/>
      <s:c r="E24157" s="122" t="n"/>
    </s:row>
    <s:row r="24158" hidden="1" ht="1" customHeight="1">
      <s:c r="A24158" s="120" t="inlineStr"/>
      <s:c r="B24158" s="121" t="n"/>
      <s:c r="C24158" s="121" t="n"/>
      <s:c r="D24158" s="121" t="n"/>
      <s:c r="E24158" s="122" t="n"/>
    </s:row>
    <s:row r="24159" hidden="1" ht="1" customHeight="1">
      <s:c r="A24159" s="120" t="inlineStr"/>
      <s:c r="B24159" s="121" t="n"/>
      <s:c r="C24159" s="121" t="n"/>
      <s:c r="D24159" s="121" t="n"/>
      <s:c r="E24159" s="122" t="n"/>
    </s:row>
    <s:row r="24160" hidden="1" ht="1" customHeight="1">
      <s:c r="A24160" s="120" t="inlineStr"/>
      <s:c r="B24160" s="121" t="n"/>
      <s:c r="C24160" s="121" t="n"/>
      <s:c r="D24160" s="121" t="n"/>
      <s:c r="E24160" s="122" t="n"/>
    </s:row>
    <s:row r="24161" hidden="1" ht="1" customHeight="1">
      <s:c r="A24161" s="120" t="inlineStr"/>
      <s:c r="B24161" s="121" t="n"/>
      <s:c r="C24161" s="121" t="n"/>
      <s:c r="D24161" s="121" t="n"/>
      <s:c r="E24161" s="122" t="n"/>
    </s:row>
    <s:row r="24162" hidden="1" ht="1" customHeight="1">
      <s:c r="A24162" s="120" t="inlineStr"/>
      <s:c r="B24162" s="121" t="n"/>
      <s:c r="C24162" s="121" t="n"/>
      <s:c r="D24162" s="121" t="n"/>
      <s:c r="E24162" s="122" t="n"/>
    </s:row>
    <s:row r="24163" hidden="1" ht="1" customHeight="1">
      <s:c r="A24163" s="120" t="inlineStr"/>
      <s:c r="B24163" s="121" t="n"/>
      <s:c r="C24163" s="121" t="n"/>
      <s:c r="D24163" s="121" t="n"/>
      <s:c r="E24163" s="122" t="n"/>
    </s:row>
    <s:row r="24164" hidden="1" ht="1" customHeight="1">
      <s:c r="A24164" s="120" t="inlineStr"/>
      <s:c r="B24164" s="121" t="n"/>
      <s:c r="C24164" s="121" t="n"/>
      <s:c r="D24164" s="121" t="n"/>
      <s:c r="E24164" s="122" t="n"/>
    </s:row>
    <s:row r="24165" hidden="1" ht="1" customHeight="1">
      <s:c r="A24165" s="120" t="inlineStr"/>
      <s:c r="B24165" s="121" t="n"/>
      <s:c r="C24165" s="121" t="n"/>
      <s:c r="D24165" s="121" t="n"/>
      <s:c r="E24165" s="122" t="n"/>
    </s:row>
    <s:row r="24166" hidden="1" ht="1" customHeight="1">
      <s:c r="A24166" s="120" t="inlineStr"/>
      <s:c r="B24166" s="121" t="n"/>
      <s:c r="C24166" s="121" t="n"/>
      <s:c r="D24166" s="121" t="n"/>
      <s:c r="E24166" s="122" t="n"/>
    </s:row>
    <s:row r="24167" hidden="1" ht="1" customHeight="1">
      <s:c r="A24167" s="120" t="inlineStr"/>
      <s:c r="B24167" s="121" t="n"/>
      <s:c r="C24167" s="121" t="n"/>
      <s:c r="D24167" s="121" t="n"/>
      <s:c r="E24167" s="122" t="n"/>
    </s:row>
    <s:row r="24168" hidden="1" ht="1" customHeight="1">
      <s:c r="A24168" s="120" t="inlineStr"/>
      <s:c r="B24168" s="121" t="n"/>
      <s:c r="C24168" s="121" t="n"/>
      <s:c r="D24168" s="121" t="n"/>
      <s:c r="E24168" s="122" t="n"/>
    </s:row>
    <s:row r="24169" hidden="1" ht="1" customHeight="1">
      <s:c r="A24169" s="120" t="inlineStr"/>
      <s:c r="B24169" s="121" t="n"/>
      <s:c r="C24169" s="121" t="n"/>
      <s:c r="D24169" s="121" t="n"/>
      <s:c r="E24169" s="122" t="n"/>
    </s:row>
    <s:row r="24170" hidden="1" ht="1" customHeight="1">
      <s:c r="A24170" s="120" t="inlineStr"/>
      <s:c r="B24170" s="121" t="n"/>
      <s:c r="C24170" s="121" t="n"/>
      <s:c r="D24170" s="121" t="n"/>
      <s:c r="E24170" s="122" t="n"/>
    </s:row>
    <s:row r="24171" hidden="1" ht="1" customHeight="1">
      <s:c r="A24171" s="120" t="inlineStr"/>
      <s:c r="B24171" s="121" t="n"/>
      <s:c r="C24171" s="121" t="n"/>
      <s:c r="D24171" s="121" t="n"/>
      <s:c r="E24171" s="122" t="n"/>
    </s:row>
    <s:row r="24172" hidden="1" ht="1" customHeight="1">
      <s:c r="A24172" s="120" t="inlineStr"/>
      <s:c r="B24172" s="121" t="n"/>
      <s:c r="C24172" s="121" t="n"/>
      <s:c r="D24172" s="121" t="n"/>
      <s:c r="E24172" s="122" t="n"/>
    </s:row>
    <s:row r="24173" hidden="1" ht="1" customHeight="1">
      <s:c r="A24173" s="120" t="inlineStr"/>
      <s:c r="B24173" s="121" t="n"/>
      <s:c r="C24173" s="121" t="n"/>
      <s:c r="D24173" s="121" t="n"/>
      <s:c r="E24173" s="122" t="n"/>
    </s:row>
    <s:row r="24174" hidden="1" ht="1" customHeight="1">
      <s:c r="A24174" s="120" t="inlineStr"/>
      <s:c r="B24174" s="121" t="n"/>
      <s:c r="C24174" s="121" t="n"/>
      <s:c r="D24174" s="121" t="n"/>
      <s:c r="E24174" s="122" t="n"/>
    </s:row>
    <s:row r="24175" hidden="1" ht="1" customHeight="1">
      <s:c r="A24175" s="120" t="inlineStr"/>
      <s:c r="B24175" s="121" t="n"/>
      <s:c r="C24175" s="121" t="n"/>
      <s:c r="D24175" s="121" t="n"/>
      <s:c r="E24175" s="122" t="n"/>
    </s:row>
    <s:row r="24176" hidden="1" ht="1" customHeight="1">
      <s:c r="A24176" s="120" t="inlineStr"/>
      <s:c r="B24176" s="121" t="n"/>
      <s:c r="C24176" s="121" t="n"/>
      <s:c r="D24176" s="121" t="n"/>
      <s:c r="E24176" s="122" t="n"/>
    </s:row>
    <s:row r="24177" hidden="1" ht="1" customHeight="1">
      <s:c r="A24177" s="120" t="inlineStr"/>
      <s:c r="B24177" s="121" t="n"/>
      <s:c r="C24177" s="121" t="n"/>
      <s:c r="D24177" s="121" t="n"/>
      <s:c r="E24177" s="122" t="n"/>
    </s:row>
    <s:row r="24178" hidden="1" ht="1" customHeight="1">
      <s:c r="A24178" s="120" t="inlineStr"/>
      <s:c r="B24178" s="121" t="n"/>
      <s:c r="C24178" s="121" t="n"/>
      <s:c r="D24178" s="121" t="n"/>
      <s:c r="E24178" s="122" t="n"/>
    </s:row>
    <s:row r="24179" hidden="1" ht="1" customHeight="1">
      <s:c r="A24179" s="120" t="inlineStr"/>
      <s:c r="B24179" s="121" t="n"/>
      <s:c r="C24179" s="121" t="n"/>
      <s:c r="D24179" s="121" t="n"/>
      <s:c r="E24179" s="122" t="n"/>
    </s:row>
    <s:row r="24180" hidden="1" ht="1" customHeight="1">
      <s:c r="A24180" s="120" t="inlineStr"/>
      <s:c r="B24180" s="121" t="n"/>
      <s:c r="C24180" s="121" t="n"/>
      <s:c r="D24180" s="121" t="n"/>
      <s:c r="E24180" s="122" t="n"/>
    </s:row>
    <s:row r="24181" hidden="1" ht="1" customHeight="1">
      <s:c r="A24181" s="120" t="inlineStr"/>
      <s:c r="B24181" s="121" t="n"/>
      <s:c r="C24181" s="121" t="n"/>
      <s:c r="D24181" s="121" t="n"/>
      <s:c r="E24181" s="122" t="n"/>
    </s:row>
    <s:row r="24182" hidden="1" ht="1" customHeight="1">
      <s:c r="A24182" s="120" t="inlineStr"/>
      <s:c r="B24182" s="121" t="n"/>
      <s:c r="C24182" s="121" t="n"/>
      <s:c r="D24182" s="121" t="n"/>
      <s:c r="E24182" s="122" t="n"/>
    </s:row>
    <s:row r="24183" hidden="1" ht="1" customHeight="1">
      <s:c r="A24183" s="120" t="inlineStr"/>
      <s:c r="B24183" s="121" t="n"/>
      <s:c r="C24183" s="121" t="n"/>
      <s:c r="D24183" s="121" t="n"/>
      <s:c r="E24183" s="122" t="n"/>
    </s:row>
    <s:row r="24184" hidden="1" ht="1" customHeight="1">
      <s:c r="A24184" s="120" t="inlineStr"/>
      <s:c r="B24184" s="121" t="n"/>
      <s:c r="C24184" s="121" t="n"/>
      <s:c r="D24184" s="121" t="n"/>
      <s:c r="E24184" s="122" t="n"/>
    </s:row>
    <s:row r="24185" hidden="1" ht="1" customHeight="1">
      <s:c r="A24185" s="120" t="inlineStr"/>
      <s:c r="B24185" s="121" t="n"/>
      <s:c r="C24185" s="121" t="n"/>
      <s:c r="D24185" s="121" t="n"/>
      <s:c r="E24185" s="122" t="n"/>
    </s:row>
    <s:row r="24186" hidden="1" ht="1" customHeight="1">
      <s:c r="A24186" s="120" t="inlineStr"/>
      <s:c r="B24186" s="121" t="n"/>
      <s:c r="C24186" s="121" t="n"/>
      <s:c r="D24186" s="121" t="n"/>
      <s:c r="E24186" s="122" t="n"/>
    </s:row>
    <s:row r="24187" hidden="1" ht="1" customHeight="1">
      <s:c r="A24187" s="120" t="inlineStr"/>
      <s:c r="B24187" s="121" t="n"/>
      <s:c r="C24187" s="121" t="n"/>
      <s:c r="D24187" s="121" t="n"/>
      <s:c r="E24187" s="122" t="n"/>
    </s:row>
    <s:row r="24188" hidden="1" ht="1" customHeight="1">
      <s:c r="A24188" s="120" t="inlineStr"/>
      <s:c r="B24188" s="121" t="n"/>
      <s:c r="C24188" s="121" t="n"/>
      <s:c r="D24188" s="121" t="n"/>
      <s:c r="E24188" s="122" t="n"/>
    </s:row>
    <s:row r="24189" hidden="1" ht="1" customHeight="1">
      <s:c r="A24189" s="120" t="inlineStr"/>
      <s:c r="B24189" s="121" t="n"/>
      <s:c r="C24189" s="121" t="n"/>
      <s:c r="D24189" s="121" t="n"/>
      <s:c r="E24189" s="122" t="n"/>
    </s:row>
    <s:row r="24190" hidden="1" ht="1" customHeight="1">
      <s:c r="A24190" s="120" t="inlineStr"/>
      <s:c r="B24190" s="121" t="n"/>
      <s:c r="C24190" s="121" t="n"/>
      <s:c r="D24190" s="121" t="n"/>
      <s:c r="E24190" s="122" t="n"/>
    </s:row>
    <s:row r="24191" hidden="1" ht="1" customHeight="1">
      <s:c r="A24191" s="120" t="inlineStr"/>
      <s:c r="B24191" s="121" t="n"/>
      <s:c r="C24191" s="121" t="n"/>
      <s:c r="D24191" s="121" t="n"/>
      <s:c r="E24191" s="122" t="n"/>
    </s:row>
    <s:row r="24192" hidden="1" ht="1" customHeight="1">
      <s:c r="A24192" s="120" t="inlineStr"/>
      <s:c r="B24192" s="121" t="n"/>
      <s:c r="C24192" s="121" t="n"/>
      <s:c r="D24192" s="121" t="n"/>
      <s:c r="E24192" s="122" t="n"/>
    </s:row>
    <s:row r="24193" hidden="1" ht="1" customHeight="1">
      <s:c r="A24193" s="120" t="inlineStr"/>
      <s:c r="B24193" s="121" t="n"/>
      <s:c r="C24193" s="121" t="n"/>
      <s:c r="D24193" s="121" t="n"/>
      <s:c r="E24193" s="122" t="n"/>
    </s:row>
    <s:row r="24194" hidden="1" ht="1" customHeight="1">
      <s:c r="A24194" s="120" t="inlineStr"/>
      <s:c r="B24194" s="121" t="n"/>
      <s:c r="C24194" s="121" t="n"/>
      <s:c r="D24194" s="121" t="n"/>
      <s:c r="E24194" s="122" t="n"/>
    </s:row>
    <s:row r="24195" hidden="1" ht="1" customHeight="1">
      <s:c r="A24195" s="120" t="inlineStr"/>
      <s:c r="B24195" s="121" t="n"/>
      <s:c r="C24195" s="121" t="n"/>
      <s:c r="D24195" s="121" t="n"/>
      <s:c r="E24195" s="122" t="n"/>
    </s:row>
    <s:row r="24196" hidden="1" ht="1" customHeight="1">
      <s:c r="A24196" s="120" t="inlineStr"/>
      <s:c r="B24196" s="121" t="n"/>
      <s:c r="C24196" s="121" t="n"/>
      <s:c r="D24196" s="121" t="n"/>
      <s:c r="E24196" s="122" t="n"/>
    </s:row>
    <s:row r="24197" hidden="1" ht="1" customHeight="1">
      <s:c r="A24197" s="120" t="inlineStr"/>
      <s:c r="B24197" s="121" t="n"/>
      <s:c r="C24197" s="121" t="n"/>
      <s:c r="D24197" s="121" t="n"/>
      <s:c r="E24197" s="122" t="n"/>
    </s:row>
    <s:row r="24198" hidden="1" ht="1" customHeight="1">
      <s:c r="A24198" s="120" t="inlineStr"/>
      <s:c r="B24198" s="121" t="n"/>
      <s:c r="C24198" s="121" t="n"/>
      <s:c r="D24198" s="121" t="n"/>
      <s:c r="E24198" s="122" t="n"/>
    </s:row>
    <s:row r="24199" hidden="1" ht="1" customHeight="1">
      <s:c r="A24199" s="120" t="inlineStr"/>
      <s:c r="B24199" s="121" t="n"/>
      <s:c r="C24199" s="121" t="n"/>
      <s:c r="D24199" s="121" t="n"/>
      <s:c r="E24199" s="122" t="n"/>
    </s:row>
    <s:row r="24200" hidden="1" ht="1" customHeight="1">
      <s:c r="A24200" s="120" t="inlineStr"/>
      <s:c r="B24200" s="121" t="n"/>
      <s:c r="C24200" s="121" t="n"/>
      <s:c r="D24200" s="121" t="n"/>
      <s:c r="E24200" s="122" t="n"/>
    </s:row>
    <s:row r="24201" hidden="1" ht="1" customHeight="1">
      <s:c r="A24201" s="120" t="inlineStr"/>
      <s:c r="B24201" s="121" t="n"/>
      <s:c r="C24201" s="121" t="n"/>
      <s:c r="D24201" s="121" t="n"/>
      <s:c r="E24201" s="122" t="n"/>
    </s:row>
    <s:row r="24202" hidden="1" ht="1" customHeight="1">
      <s:c r="A24202" s="120" t="inlineStr"/>
      <s:c r="B24202" s="121" t="n"/>
      <s:c r="C24202" s="121" t="n"/>
      <s:c r="D24202" s="121" t="n"/>
      <s:c r="E24202" s="122" t="n"/>
    </s:row>
    <s:row r="24203" hidden="1" ht="1" customHeight="1">
      <s:c r="A24203" s="120" t="inlineStr"/>
      <s:c r="B24203" s="121" t="n"/>
      <s:c r="C24203" s="121" t="n"/>
      <s:c r="D24203" s="121" t="n"/>
      <s:c r="E24203" s="122" t="n"/>
    </s:row>
    <s:row r="24204" hidden="1" ht="1" customHeight="1">
      <s:c r="A24204" s="120" t="inlineStr"/>
      <s:c r="B24204" s="121" t="n"/>
      <s:c r="C24204" s="121" t="n"/>
      <s:c r="D24204" s="121" t="n"/>
      <s:c r="E24204" s="122" t="n"/>
    </s:row>
    <s:row r="24205" hidden="1" ht="1" customHeight="1">
      <s:c r="A24205" s="120" t="inlineStr"/>
      <s:c r="B24205" s="121" t="n"/>
      <s:c r="C24205" s="121" t="n"/>
      <s:c r="D24205" s="121" t="n"/>
      <s:c r="E24205" s="122" t="n"/>
    </s:row>
    <s:row r="24206" hidden="1" ht="1" customHeight="1">
      <s:c r="A24206" s="120" t="inlineStr"/>
      <s:c r="B24206" s="121" t="n"/>
      <s:c r="C24206" s="121" t="n"/>
      <s:c r="D24206" s="121" t="n"/>
      <s:c r="E24206" s="122" t="n"/>
    </s:row>
    <s:row r="24207" hidden="1" ht="1" customHeight="1">
      <s:c r="A24207" s="120" t="inlineStr"/>
      <s:c r="B24207" s="121" t="n"/>
      <s:c r="C24207" s="121" t="n"/>
      <s:c r="D24207" s="121" t="n"/>
      <s:c r="E24207" s="122" t="n"/>
    </s:row>
    <s:row r="24208" hidden="1" ht="1" customHeight="1">
      <s:c r="A24208" s="120" t="inlineStr"/>
      <s:c r="B24208" s="121" t="n"/>
      <s:c r="C24208" s="121" t="n"/>
      <s:c r="D24208" s="121" t="n"/>
      <s:c r="E24208" s="122" t="n"/>
    </s:row>
    <s:row r="24209" hidden="1" ht="1" customHeight="1">
      <s:c r="A24209" s="120" t="inlineStr"/>
      <s:c r="B24209" s="121" t="n"/>
      <s:c r="C24209" s="121" t="n"/>
      <s:c r="D24209" s="121" t="n"/>
      <s:c r="E24209" s="122" t="n"/>
    </s:row>
    <s:row r="24210" hidden="1" ht="1" customHeight="1">
      <s:c r="A24210" s="120" t="inlineStr"/>
      <s:c r="B24210" s="121" t="n"/>
      <s:c r="C24210" s="121" t="n"/>
      <s:c r="D24210" s="121" t="n"/>
      <s:c r="E24210" s="122" t="n"/>
    </s:row>
    <s:row r="24211" hidden="1" ht="1" customHeight="1">
      <s:c r="A24211" s="120" t="inlineStr"/>
      <s:c r="B24211" s="121" t="n"/>
      <s:c r="C24211" s="121" t="n"/>
      <s:c r="D24211" s="121" t="n"/>
      <s:c r="E24211" s="122" t="n"/>
    </s:row>
    <s:row r="24212" hidden="1" ht="1" customHeight="1">
      <s:c r="A24212" s="120" t="inlineStr"/>
      <s:c r="B24212" s="121" t="n"/>
      <s:c r="C24212" s="121" t="n"/>
      <s:c r="D24212" s="121" t="n"/>
      <s:c r="E24212" s="122" t="n"/>
    </s:row>
    <s:row r="24213" hidden="1" ht="1" customHeight="1">
      <s:c r="A24213" s="120" t="inlineStr"/>
      <s:c r="B24213" s="121" t="n"/>
      <s:c r="C24213" s="121" t="n"/>
      <s:c r="D24213" s="121" t="n"/>
      <s:c r="E24213" s="122" t="n"/>
    </s:row>
    <s:row r="24214" hidden="1" ht="1" customHeight="1">
      <s:c r="A24214" s="120" t="inlineStr"/>
      <s:c r="B24214" s="121" t="n"/>
      <s:c r="C24214" s="121" t="n"/>
      <s:c r="D24214" s="121" t="n"/>
      <s:c r="E24214" s="122" t="n"/>
    </s:row>
    <s:row r="24215" hidden="1" ht="1" customHeight="1">
      <s:c r="A24215" s="120" t="inlineStr"/>
      <s:c r="B24215" s="121" t="n"/>
      <s:c r="C24215" s="121" t="n"/>
      <s:c r="D24215" s="121" t="n"/>
      <s:c r="E24215" s="122" t="n"/>
    </s:row>
    <s:row r="24216" hidden="1" ht="1" customHeight="1">
      <s:c r="A24216" s="120" t="inlineStr"/>
      <s:c r="B24216" s="121" t="n"/>
      <s:c r="C24216" s="121" t="n"/>
      <s:c r="D24216" s="121" t="n"/>
      <s:c r="E24216" s="122" t="n"/>
    </s:row>
    <s:row r="24217" hidden="1" ht="1" customHeight="1">
      <s:c r="A24217" s="120" t="inlineStr"/>
      <s:c r="B24217" s="121" t="n"/>
      <s:c r="C24217" s="121" t="n"/>
      <s:c r="D24217" s="121" t="n"/>
      <s:c r="E24217" s="122" t="n"/>
    </s:row>
    <s:row r="24218" hidden="1" ht="1" customHeight="1">
      <s:c r="A24218" s="120" t="inlineStr"/>
      <s:c r="B24218" s="121" t="n"/>
      <s:c r="C24218" s="121" t="n"/>
      <s:c r="D24218" s="121" t="n"/>
      <s:c r="E24218" s="122" t="n"/>
    </s:row>
    <s:row r="24219" hidden="1" ht="1" customHeight="1">
      <s:c r="A24219" s="120" t="inlineStr"/>
      <s:c r="B24219" s="121" t="n"/>
      <s:c r="C24219" s="121" t="n"/>
      <s:c r="D24219" s="121" t="n"/>
      <s:c r="E24219" s="122" t="n"/>
    </s:row>
    <s:row r="24220" hidden="1" ht="1" customHeight="1">
      <s:c r="A24220" s="120" t="inlineStr"/>
      <s:c r="B24220" s="121" t="n"/>
      <s:c r="C24220" s="121" t="n"/>
      <s:c r="D24220" s="121" t="n"/>
      <s:c r="E24220" s="122" t="n"/>
    </s:row>
    <s:row r="24221" hidden="1" ht="1" customHeight="1">
      <s:c r="A24221" s="120" t="inlineStr"/>
      <s:c r="B24221" s="121" t="n"/>
      <s:c r="C24221" s="121" t="n"/>
      <s:c r="D24221" s="121" t="n"/>
      <s:c r="E24221" s="122" t="n"/>
    </s:row>
    <s:row r="24222" hidden="1" ht="1" customHeight="1">
      <s:c r="A24222" s="120" t="inlineStr"/>
      <s:c r="B24222" s="121" t="n"/>
      <s:c r="C24222" s="121" t="n"/>
      <s:c r="D24222" s="121" t="n"/>
      <s:c r="E24222" s="122" t="n"/>
    </s:row>
    <s:row r="24223" hidden="1" ht="1" customHeight="1">
      <s:c r="A24223" s="120" t="inlineStr"/>
      <s:c r="B24223" s="121" t="n"/>
      <s:c r="C24223" s="121" t="n"/>
      <s:c r="D24223" s="121" t="n"/>
      <s:c r="E24223" s="122" t="n"/>
    </s:row>
    <s:row r="24224" hidden="1" ht="1" customHeight="1">
      <s:c r="A24224" s="120" t="inlineStr"/>
      <s:c r="B24224" s="121" t="n"/>
      <s:c r="C24224" s="121" t="n"/>
      <s:c r="D24224" s="121" t="n"/>
      <s:c r="E24224" s="122" t="n"/>
    </s:row>
    <s:row r="24225" hidden="1" ht="1" customHeight="1">
      <s:c r="A24225" s="120" t="inlineStr"/>
      <s:c r="B24225" s="121" t="n"/>
      <s:c r="C24225" s="121" t="n"/>
      <s:c r="D24225" s="121" t="n"/>
      <s:c r="E24225" s="122" t="n"/>
    </s:row>
    <s:row r="24226" hidden="1" ht="1" customHeight="1">
      <s:c r="A24226" s="120" t="inlineStr"/>
      <s:c r="B24226" s="121" t="n"/>
      <s:c r="C24226" s="121" t="n"/>
      <s:c r="D24226" s="121" t="n"/>
      <s:c r="E24226" s="122" t="n"/>
    </s:row>
    <s:row r="24227" hidden="1" ht="1" customHeight="1">
      <s:c r="A24227" s="120" t="inlineStr"/>
      <s:c r="B24227" s="121" t="n"/>
      <s:c r="C24227" s="121" t="n"/>
      <s:c r="D24227" s="121" t="n"/>
      <s:c r="E24227" s="122" t="n"/>
    </s:row>
    <s:row r="24228" hidden="1" ht="1" customHeight="1">
      <s:c r="A24228" s="120" t="inlineStr"/>
      <s:c r="B24228" s="121" t="n"/>
      <s:c r="C24228" s="121" t="n"/>
      <s:c r="D24228" s="121" t="n"/>
      <s:c r="E24228" s="122" t="n"/>
    </s:row>
    <s:row r="24229" hidden="1" ht="1" customHeight="1">
      <s:c r="A24229" s="120" t="inlineStr"/>
      <s:c r="B24229" s="121" t="n"/>
      <s:c r="C24229" s="121" t="n"/>
      <s:c r="D24229" s="121" t="n"/>
      <s:c r="E24229" s="122" t="n"/>
    </s:row>
    <s:row r="24230" hidden="1" ht="1" customHeight="1">
      <s:c r="A24230" s="120" t="inlineStr"/>
      <s:c r="B24230" s="121" t="n"/>
      <s:c r="C24230" s="121" t="n"/>
      <s:c r="D24230" s="121" t="n"/>
      <s:c r="E24230" s="122" t="n"/>
    </s:row>
    <s:row r="24231" hidden="1" ht="1" customHeight="1">
      <s:c r="A24231" s="120" t="inlineStr"/>
      <s:c r="B24231" s="121" t="n"/>
      <s:c r="C24231" s="121" t="n"/>
      <s:c r="D24231" s="121" t="n"/>
      <s:c r="E24231" s="122" t="n"/>
    </s:row>
    <s:row r="24232" hidden="1" ht="1" customHeight="1">
      <s:c r="A24232" s="120" t="inlineStr"/>
      <s:c r="B24232" s="121" t="n"/>
      <s:c r="C24232" s="121" t="n"/>
      <s:c r="D24232" s="121" t="n"/>
      <s:c r="E24232" s="122" t="n"/>
    </s:row>
    <s:row r="24233" hidden="1" ht="1" customHeight="1">
      <s:c r="A24233" s="120" t="inlineStr"/>
      <s:c r="B24233" s="121" t="n"/>
      <s:c r="C24233" s="121" t="n"/>
      <s:c r="D24233" s="121" t="n"/>
      <s:c r="E24233" s="122" t="n"/>
    </s:row>
    <s:row r="24234" hidden="1" ht="1" customHeight="1">
      <s:c r="A24234" s="120" t="inlineStr"/>
      <s:c r="B24234" s="121" t="n"/>
      <s:c r="C24234" s="121" t="n"/>
      <s:c r="D24234" s="121" t="n"/>
      <s:c r="E24234" s="122" t="n"/>
    </s:row>
    <s:row r="24235" hidden="1" ht="1" customHeight="1">
      <s:c r="A24235" s="120" t="inlineStr"/>
      <s:c r="B24235" s="121" t="n"/>
      <s:c r="C24235" s="121" t="n"/>
      <s:c r="D24235" s="121" t="n"/>
      <s:c r="E24235" s="122" t="n"/>
    </s:row>
    <s:row r="24236" hidden="1" ht="1" customHeight="1">
      <s:c r="A24236" s="120" t="inlineStr"/>
      <s:c r="B24236" s="121" t="n"/>
      <s:c r="C24236" s="121" t="n"/>
      <s:c r="D24236" s="121" t="n"/>
      <s:c r="E24236" s="122" t="n"/>
    </s:row>
    <s:row r="24237" hidden="1" ht="1" customHeight="1">
      <s:c r="A24237" s="120" t="inlineStr"/>
      <s:c r="B24237" s="121" t="n"/>
      <s:c r="C24237" s="121" t="n"/>
      <s:c r="D24237" s="121" t="n"/>
      <s:c r="E24237" s="122" t="n"/>
    </s:row>
    <s:row r="24238" hidden="1" ht="1" customHeight="1">
      <s:c r="A24238" s="120" t="inlineStr"/>
      <s:c r="B24238" s="121" t="n"/>
      <s:c r="C24238" s="121" t="n"/>
      <s:c r="D24238" s="121" t="n"/>
      <s:c r="E24238" s="122" t="n"/>
    </s:row>
    <s:row r="24239" hidden="1" ht="1" customHeight="1">
      <s:c r="A24239" s="120" t="inlineStr"/>
      <s:c r="B24239" s="121" t="n"/>
      <s:c r="C24239" s="121" t="n"/>
      <s:c r="D24239" s="121" t="n"/>
      <s:c r="E24239" s="122" t="n"/>
    </s:row>
    <s:row r="24240" hidden="1" ht="1" customHeight="1">
      <s:c r="A24240" s="120" t="inlineStr"/>
      <s:c r="B24240" s="121" t="n"/>
      <s:c r="C24240" s="121" t="n"/>
      <s:c r="D24240" s="121" t="n"/>
      <s:c r="E24240" s="122" t="n"/>
    </s:row>
    <s:row r="24241" hidden="1" ht="1" customHeight="1">
      <s:c r="A24241" s="120" t="inlineStr"/>
      <s:c r="B24241" s="121" t="n"/>
      <s:c r="C24241" s="121" t="n"/>
      <s:c r="D24241" s="121" t="n"/>
      <s:c r="E24241" s="122" t="n"/>
    </s:row>
    <s:row r="24242" hidden="1" ht="1" customHeight="1">
      <s:c r="A24242" s="120" t="inlineStr"/>
      <s:c r="B24242" s="121" t="n"/>
      <s:c r="C24242" s="121" t="n"/>
      <s:c r="D24242" s="121" t="n"/>
      <s:c r="E24242" s="122" t="n"/>
    </s:row>
    <s:row r="24243" hidden="1" ht="1" customHeight="1">
      <s:c r="A24243" s="120" t="inlineStr"/>
      <s:c r="B24243" s="121" t="n"/>
      <s:c r="C24243" s="121" t="n"/>
      <s:c r="D24243" s="121" t="n"/>
      <s:c r="E24243" s="122" t="n"/>
    </s:row>
    <s:row r="24244" hidden="1" ht="1" customHeight="1">
      <s:c r="A24244" s="120" t="inlineStr"/>
      <s:c r="B24244" s="121" t="n"/>
      <s:c r="C24244" s="121" t="n"/>
      <s:c r="D24244" s="121" t="n"/>
      <s:c r="E24244" s="122" t="n"/>
    </s:row>
    <s:row r="24245" hidden="1" ht="1" customHeight="1">
      <s:c r="A24245" s="120" t="inlineStr"/>
      <s:c r="B24245" s="121" t="n"/>
      <s:c r="C24245" s="121" t="n"/>
      <s:c r="D24245" s="121" t="n"/>
      <s:c r="E24245" s="122" t="n"/>
    </s:row>
    <s:row r="24246" hidden="1" ht="1" customHeight="1">
      <s:c r="A24246" s="120" t="inlineStr"/>
      <s:c r="B24246" s="121" t="n"/>
      <s:c r="C24246" s="121" t="n"/>
      <s:c r="D24246" s="121" t="n"/>
      <s:c r="E24246" s="122" t="n"/>
    </s:row>
    <s:row r="24247" hidden="1" ht="1" customHeight="1">
      <s:c r="A24247" s="120" t="inlineStr"/>
      <s:c r="B24247" s="121" t="n"/>
      <s:c r="C24247" s="121" t="n"/>
      <s:c r="D24247" s="121" t="n"/>
      <s:c r="E24247" s="122" t="n"/>
    </s:row>
    <s:row r="24248" hidden="1" ht="1" customHeight="1">
      <s:c r="A24248" s="120" t="inlineStr"/>
      <s:c r="B24248" s="121" t="n"/>
      <s:c r="C24248" s="121" t="n"/>
      <s:c r="D24248" s="121" t="n"/>
      <s:c r="E24248" s="122" t="n"/>
    </s:row>
    <s:row r="24249" hidden="1" ht="1" customHeight="1">
      <s:c r="A24249" s="120" t="inlineStr"/>
      <s:c r="B24249" s="121" t="n"/>
      <s:c r="C24249" s="121" t="n"/>
      <s:c r="D24249" s="121" t="n"/>
      <s:c r="E24249" s="122" t="n"/>
    </s:row>
    <s:row r="24250" hidden="1" ht="1" customHeight="1">
      <s:c r="A24250" s="120" t="inlineStr"/>
      <s:c r="B24250" s="121" t="n"/>
      <s:c r="C24250" s="121" t="n"/>
      <s:c r="D24250" s="121" t="n"/>
      <s:c r="E24250" s="122" t="n"/>
    </s:row>
    <s:row r="24251" hidden="1" ht="1" customHeight="1">
      <s:c r="A24251" s="120" t="inlineStr"/>
      <s:c r="B24251" s="121" t="n"/>
      <s:c r="C24251" s="121" t="n"/>
      <s:c r="D24251" s="121" t="n"/>
      <s:c r="E24251" s="122" t="n"/>
    </s:row>
    <s:row r="24252" hidden="1" ht="1" customHeight="1">
      <s:c r="A24252" s="120" t="inlineStr"/>
      <s:c r="B24252" s="121" t="n"/>
      <s:c r="C24252" s="121" t="n"/>
      <s:c r="D24252" s="121" t="n"/>
      <s:c r="E24252" s="122" t="n"/>
    </s:row>
    <s:row r="24253" hidden="1" ht="1" customHeight="1">
      <s:c r="A24253" s="120" t="inlineStr"/>
      <s:c r="B24253" s="121" t="n"/>
      <s:c r="C24253" s="121" t="n"/>
      <s:c r="D24253" s="121" t="n"/>
      <s:c r="E24253" s="122" t="n"/>
    </s:row>
    <s:row r="24254" hidden="1" ht="1" customHeight="1">
      <s:c r="A24254" s="120" t="inlineStr"/>
      <s:c r="B24254" s="121" t="n"/>
      <s:c r="C24254" s="121" t="n"/>
      <s:c r="D24254" s="121" t="n"/>
      <s:c r="E24254" s="122" t="n"/>
    </s:row>
    <s:row r="24255" hidden="1" ht="1" customHeight="1">
      <s:c r="A24255" s="120" t="inlineStr"/>
      <s:c r="B24255" s="121" t="n"/>
      <s:c r="C24255" s="121" t="n"/>
      <s:c r="D24255" s="121" t="n"/>
      <s:c r="E24255" s="122" t="n"/>
    </s:row>
    <s:row r="24256" hidden="1" ht="1" customHeight="1">
      <s:c r="A24256" s="120" t="inlineStr"/>
      <s:c r="B24256" s="121" t="n"/>
      <s:c r="C24256" s="121" t="n"/>
      <s:c r="D24256" s="121" t="n"/>
      <s:c r="E24256" s="122" t="n"/>
    </s:row>
    <s:row r="24257" hidden="1" ht="1" customHeight="1">
      <s:c r="A24257" s="120" t="inlineStr"/>
      <s:c r="B24257" s="121" t="n"/>
      <s:c r="C24257" s="121" t="n"/>
      <s:c r="D24257" s="121" t="n"/>
      <s:c r="E24257" s="122" t="n"/>
    </s:row>
    <s:row r="24258" hidden="1" ht="1" customHeight="1">
      <s:c r="A24258" s="120" t="inlineStr"/>
      <s:c r="B24258" s="121" t="n"/>
      <s:c r="C24258" s="121" t="n"/>
      <s:c r="D24258" s="121" t="n"/>
      <s:c r="E24258" s="122" t="n"/>
    </s:row>
    <s:row r="24259" hidden="1" ht="1" customHeight="1">
      <s:c r="A24259" s="120" t="inlineStr"/>
      <s:c r="B24259" s="121" t="n"/>
      <s:c r="C24259" s="121" t="n"/>
      <s:c r="D24259" s="121" t="n"/>
      <s:c r="E24259" s="122" t="n"/>
    </s:row>
    <s:row r="24260" hidden="1" ht="1" customHeight="1">
      <s:c r="A24260" s="120" t="inlineStr"/>
      <s:c r="B24260" s="121" t="n"/>
      <s:c r="C24260" s="121" t="n"/>
      <s:c r="D24260" s="121" t="n"/>
      <s:c r="E24260" s="122" t="n"/>
    </s:row>
    <s:row r="24261" hidden="1" ht="1" customHeight="1">
      <s:c r="A24261" s="120" t="inlineStr"/>
      <s:c r="B24261" s="121" t="n"/>
      <s:c r="C24261" s="121" t="n"/>
      <s:c r="D24261" s="121" t="n"/>
      <s:c r="E24261" s="122" t="n"/>
    </s:row>
    <s:row r="24262" hidden="1" ht="1" customHeight="1">
      <s:c r="A24262" s="120" t="inlineStr"/>
      <s:c r="B24262" s="121" t="n"/>
      <s:c r="C24262" s="121" t="n"/>
      <s:c r="D24262" s="121" t="n"/>
      <s:c r="E24262" s="122" t="n"/>
    </s:row>
    <s:row r="24263" hidden="1" ht="1" customHeight="1">
      <s:c r="A24263" s="120" t="inlineStr"/>
      <s:c r="B24263" s="121" t="n"/>
      <s:c r="C24263" s="121" t="n"/>
      <s:c r="D24263" s="121" t="n"/>
      <s:c r="E24263" s="122" t="n"/>
    </s:row>
    <s:row r="24264" hidden="1" ht="1" customHeight="1">
      <s:c r="A24264" s="120" t="inlineStr"/>
      <s:c r="B24264" s="121" t="n"/>
      <s:c r="C24264" s="121" t="n"/>
      <s:c r="D24264" s="121" t="n"/>
      <s:c r="E24264" s="122" t="n"/>
    </s:row>
    <s:row r="24265" hidden="1" ht="1" customHeight="1">
      <s:c r="A24265" s="120" t="inlineStr"/>
      <s:c r="B24265" s="121" t="n"/>
      <s:c r="C24265" s="121" t="n"/>
      <s:c r="D24265" s="121" t="n"/>
      <s:c r="E24265" s="122" t="n"/>
    </s:row>
    <s:row r="24266" hidden="1" ht="1" customHeight="1">
      <s:c r="A24266" s="120" t="inlineStr"/>
      <s:c r="B24266" s="121" t="n"/>
      <s:c r="C24266" s="121" t="n"/>
      <s:c r="D24266" s="121" t="n"/>
      <s:c r="E24266" s="122" t="n"/>
    </s:row>
    <s:row r="24267" hidden="1" ht="1" customHeight="1">
      <s:c r="A24267" s="120" t="inlineStr"/>
      <s:c r="B24267" s="121" t="n"/>
      <s:c r="C24267" s="121" t="n"/>
      <s:c r="D24267" s="121" t="n"/>
      <s:c r="E24267" s="122" t="n"/>
    </s:row>
    <s:row r="24268" hidden="1" ht="1" customHeight="1">
      <s:c r="A24268" s="120" t="inlineStr"/>
      <s:c r="B24268" s="121" t="n"/>
      <s:c r="C24268" s="121" t="n"/>
      <s:c r="D24268" s="121" t="n"/>
      <s:c r="E24268" s="122" t="n"/>
    </s:row>
    <s:row r="24269" hidden="1" ht="1" customHeight="1">
      <s:c r="A24269" s="120" t="inlineStr"/>
      <s:c r="B24269" s="121" t="n"/>
      <s:c r="C24269" s="121" t="n"/>
      <s:c r="D24269" s="121" t="n"/>
      <s:c r="E24269" s="122" t="n"/>
    </s:row>
    <s:row r="24270" hidden="1" ht="1" customHeight="1">
      <s:c r="A24270" s="120" t="inlineStr"/>
      <s:c r="B24270" s="121" t="n"/>
      <s:c r="C24270" s="121" t="n"/>
      <s:c r="D24270" s="121" t="n"/>
      <s:c r="E24270" s="122" t="n"/>
    </s:row>
    <s:row r="24271" hidden="1" ht="1" customHeight="1">
      <s:c r="A24271" s="120" t="inlineStr"/>
      <s:c r="B24271" s="121" t="n"/>
      <s:c r="C24271" s="121" t="n"/>
      <s:c r="D24271" s="121" t="n"/>
      <s:c r="E24271" s="122" t="n"/>
    </s:row>
    <s:row r="24272" hidden="1" ht="1" customHeight="1">
      <s:c r="A24272" s="120" t="inlineStr"/>
      <s:c r="B24272" s="121" t="n"/>
      <s:c r="C24272" s="121" t="n"/>
      <s:c r="D24272" s="121" t="n"/>
      <s:c r="E24272" s="122" t="n"/>
    </s:row>
    <s:row r="24273" hidden="1" ht="1" customHeight="1">
      <s:c r="A24273" s="120" t="inlineStr"/>
      <s:c r="B24273" s="121" t="n"/>
      <s:c r="C24273" s="121" t="n"/>
      <s:c r="D24273" s="121" t="n"/>
      <s:c r="E24273" s="122" t="n"/>
    </s:row>
    <s:row r="24274" hidden="1" ht="1" customHeight="1">
      <s:c r="A24274" s="120" t="inlineStr"/>
      <s:c r="B24274" s="121" t="n"/>
      <s:c r="C24274" s="121" t="n"/>
      <s:c r="D24274" s="121" t="n"/>
      <s:c r="E24274" s="122" t="n"/>
    </s:row>
    <s:row r="24275" hidden="1" ht="1" customHeight="1">
      <s:c r="A24275" s="120" t="inlineStr"/>
      <s:c r="B24275" s="121" t="n"/>
      <s:c r="C24275" s="121" t="n"/>
      <s:c r="D24275" s="121" t="n"/>
      <s:c r="E24275" s="122" t="n"/>
    </s:row>
    <s:row r="24276" hidden="1" ht="1" customHeight="1">
      <s:c r="A24276" s="120" t="inlineStr"/>
      <s:c r="B24276" s="121" t="n"/>
      <s:c r="C24276" s="121" t="n"/>
      <s:c r="D24276" s="121" t="n"/>
      <s:c r="E24276" s="122" t="n"/>
    </s:row>
    <s:row r="24277" hidden="1" ht="1" customHeight="1">
      <s:c r="A24277" s="120" t="inlineStr"/>
      <s:c r="B24277" s="121" t="n"/>
      <s:c r="C24277" s="121" t="n"/>
      <s:c r="D24277" s="121" t="n"/>
      <s:c r="E24277" s="122" t="n"/>
    </s:row>
    <s:row r="24278" hidden="1" ht="1" customHeight="1">
      <s:c r="A24278" s="120" t="inlineStr"/>
      <s:c r="B24278" s="121" t="n"/>
      <s:c r="C24278" s="121" t="n"/>
      <s:c r="D24278" s="121" t="n"/>
      <s:c r="E24278" s="122" t="n"/>
    </s:row>
    <s:row r="24279" hidden="1" ht="1" customHeight="1">
      <s:c r="A24279" s="120" t="inlineStr"/>
      <s:c r="B24279" s="121" t="n"/>
      <s:c r="C24279" s="121" t="n"/>
      <s:c r="D24279" s="121" t="n"/>
      <s:c r="E24279" s="122" t="n"/>
    </s:row>
    <s:row r="24280" hidden="1" ht="1" customHeight="1">
      <s:c r="A24280" s="120" t="inlineStr"/>
      <s:c r="B24280" s="121" t="n"/>
      <s:c r="C24280" s="121" t="n"/>
      <s:c r="D24280" s="121" t="n"/>
      <s:c r="E24280" s="122" t="n"/>
    </s:row>
    <s:row r="24281" hidden="1" ht="1" customHeight="1">
      <s:c r="A24281" s="120" t="inlineStr"/>
      <s:c r="B24281" s="121" t="n"/>
      <s:c r="C24281" s="121" t="n"/>
      <s:c r="D24281" s="121" t="n"/>
      <s:c r="E24281" s="122" t="n"/>
    </s:row>
    <s:row r="24282" hidden="1" ht="1" customHeight="1">
      <s:c r="A24282" s="120" t="inlineStr"/>
      <s:c r="B24282" s="121" t="n"/>
      <s:c r="C24282" s="121" t="n"/>
      <s:c r="D24282" s="121" t="n"/>
      <s:c r="E24282" s="122" t="n"/>
    </s:row>
    <s:row r="24283" hidden="1" ht="1" customHeight="1">
      <s:c r="A24283" s="120" t="inlineStr"/>
      <s:c r="B24283" s="121" t="n"/>
      <s:c r="C24283" s="121" t="n"/>
      <s:c r="D24283" s="121" t="n"/>
      <s:c r="E24283" s="122" t="n"/>
    </s:row>
    <s:row r="24284" hidden="1" ht="1" customHeight="1">
      <s:c r="A24284" s="120" t="inlineStr"/>
      <s:c r="B24284" s="121" t="n"/>
      <s:c r="C24284" s="121" t="n"/>
      <s:c r="D24284" s="121" t="n"/>
      <s:c r="E24284" s="122" t="n"/>
    </s:row>
    <s:row r="24285" hidden="1" ht="1" customHeight="1">
      <s:c r="A24285" s="120" t="inlineStr"/>
      <s:c r="B24285" s="121" t="n"/>
      <s:c r="C24285" s="121" t="n"/>
      <s:c r="D24285" s="121" t="n"/>
      <s:c r="E24285" s="122" t="n"/>
    </s:row>
    <s:row r="24286" hidden="1" ht="1" customHeight="1">
      <s:c r="A24286" s="120" t="inlineStr"/>
      <s:c r="B24286" s="121" t="n"/>
      <s:c r="C24286" s="121" t="n"/>
      <s:c r="D24286" s="121" t="n"/>
      <s:c r="E24286" s="122" t="n"/>
    </s:row>
    <s:row r="24287" hidden="1" ht="1" customHeight="1">
      <s:c r="A24287" s="120" t="inlineStr"/>
      <s:c r="B24287" s="121" t="n"/>
      <s:c r="C24287" s="121" t="n"/>
      <s:c r="D24287" s="121" t="n"/>
      <s:c r="E24287" s="122" t="n"/>
    </s:row>
    <s:row r="24288" hidden="1" ht="1" customHeight="1">
      <s:c r="A24288" s="120" t="inlineStr"/>
      <s:c r="B24288" s="121" t="n"/>
      <s:c r="C24288" s="121" t="n"/>
      <s:c r="D24288" s="121" t="n"/>
      <s:c r="E24288" s="122" t="n"/>
    </s:row>
    <s:row r="24289" hidden="1" ht="1" customHeight="1">
      <s:c r="A24289" s="120" t="inlineStr"/>
      <s:c r="B24289" s="121" t="n"/>
      <s:c r="C24289" s="121" t="n"/>
      <s:c r="D24289" s="121" t="n"/>
      <s:c r="E24289" s="122" t="n"/>
    </s:row>
    <s:row r="24290" hidden="1" ht="1" customHeight="1">
      <s:c r="A24290" s="120" t="inlineStr"/>
      <s:c r="B24290" s="121" t="n"/>
      <s:c r="C24290" s="121" t="n"/>
      <s:c r="D24290" s="121" t="n"/>
      <s:c r="E24290" s="122" t="n"/>
    </s:row>
    <s:row r="24291" hidden="1" ht="1" customHeight="1">
      <s:c r="A24291" s="120" t="inlineStr"/>
      <s:c r="B24291" s="121" t="n"/>
      <s:c r="C24291" s="121" t="n"/>
      <s:c r="D24291" s="121" t="n"/>
      <s:c r="E24291" s="122" t="n"/>
    </s:row>
    <s:row r="24292" hidden="1" ht="1" customHeight="1">
      <s:c r="A24292" s="120" t="inlineStr"/>
      <s:c r="B24292" s="121" t="n"/>
      <s:c r="C24292" s="121" t="n"/>
      <s:c r="D24292" s="121" t="n"/>
      <s:c r="E24292" s="122" t="n"/>
    </s:row>
    <s:row r="24293" hidden="1" ht="1" customHeight="1">
      <s:c r="A24293" s="120" t="inlineStr"/>
      <s:c r="B24293" s="121" t="n"/>
      <s:c r="C24293" s="121" t="n"/>
      <s:c r="D24293" s="121" t="n"/>
      <s:c r="E24293" s="122" t="n"/>
    </s:row>
    <s:row r="24294" hidden="1" ht="1" customHeight="1">
      <s:c r="A24294" s="120" t="inlineStr"/>
      <s:c r="B24294" s="121" t="n"/>
      <s:c r="C24294" s="121" t="n"/>
      <s:c r="D24294" s="121" t="n"/>
      <s:c r="E24294" s="122" t="n"/>
    </s:row>
    <s:row r="24295" hidden="1" ht="1" customHeight="1">
      <s:c r="A24295" s="120" t="inlineStr"/>
      <s:c r="B24295" s="121" t="n"/>
      <s:c r="C24295" s="121" t="n"/>
      <s:c r="D24295" s="121" t="n"/>
      <s:c r="E24295" s="122" t="n"/>
    </s:row>
    <s:row r="24296" hidden="1" ht="1" customHeight="1">
      <s:c r="A24296" s="120" t="inlineStr"/>
      <s:c r="B24296" s="121" t="n"/>
      <s:c r="C24296" s="121" t="n"/>
      <s:c r="D24296" s="121" t="n"/>
      <s:c r="E24296" s="122" t="n"/>
    </s:row>
    <s:row r="24297" hidden="1" ht="1" customHeight="1">
      <s:c r="A24297" s="120" t="inlineStr"/>
      <s:c r="B24297" s="121" t="n"/>
      <s:c r="C24297" s="121" t="n"/>
      <s:c r="D24297" s="121" t="n"/>
      <s:c r="E24297" s="122" t="n"/>
    </s:row>
    <s:row r="24298" hidden="1" ht="1" customHeight="1">
      <s:c r="A24298" s="120" t="inlineStr"/>
      <s:c r="B24298" s="121" t="n"/>
      <s:c r="C24298" s="121" t="n"/>
      <s:c r="D24298" s="121" t="n"/>
      <s:c r="E24298" s="122" t="n"/>
    </s:row>
    <s:row r="24299" hidden="1" ht="1" customHeight="1">
      <s:c r="A24299" s="120" t="inlineStr"/>
      <s:c r="B24299" s="121" t="n"/>
      <s:c r="C24299" s="121" t="n"/>
      <s:c r="D24299" s="121" t="n"/>
      <s:c r="E24299" s="122" t="n"/>
    </s:row>
    <s:row r="24300" hidden="1" ht="1" customHeight="1">
      <s:c r="A24300" s="120" t="inlineStr"/>
      <s:c r="B24300" s="121" t="n"/>
      <s:c r="C24300" s="121" t="n"/>
      <s:c r="D24300" s="121" t="n"/>
      <s:c r="E24300" s="122" t="n"/>
    </s:row>
    <s:row r="24301" hidden="1" ht="1" customHeight="1">
      <s:c r="A24301" s="120" t="inlineStr"/>
      <s:c r="B24301" s="121" t="n"/>
      <s:c r="C24301" s="121" t="n"/>
      <s:c r="D24301" s="121" t="n"/>
      <s:c r="E24301" s="122" t="n"/>
    </s:row>
    <s:row r="24302" hidden="1" ht="1" customHeight="1">
      <s:c r="A24302" s="120" t="inlineStr"/>
      <s:c r="B24302" s="121" t="n"/>
      <s:c r="C24302" s="121" t="n"/>
      <s:c r="D24302" s="121" t="n"/>
      <s:c r="E24302" s="122" t="n"/>
    </s:row>
    <s:row r="24303" hidden="1" ht="1" customHeight="1">
      <s:c r="A24303" s="120" t="inlineStr"/>
      <s:c r="B24303" s="121" t="n"/>
      <s:c r="C24303" s="121" t="n"/>
      <s:c r="D24303" s="121" t="n"/>
      <s:c r="E24303" s="122" t="n"/>
    </s:row>
    <s:row r="24304" hidden="1" ht="1" customHeight="1">
      <s:c r="A24304" s="120" t="inlineStr"/>
      <s:c r="B24304" s="121" t="n"/>
      <s:c r="C24304" s="121" t="n"/>
      <s:c r="D24304" s="121" t="n"/>
      <s:c r="E24304" s="122" t="n"/>
    </s:row>
    <s:row r="24305" hidden="1" ht="1" customHeight="1">
      <s:c r="A24305" s="120" t="inlineStr"/>
      <s:c r="B24305" s="121" t="n"/>
      <s:c r="C24305" s="121" t="n"/>
      <s:c r="D24305" s="121" t="n"/>
      <s:c r="E24305" s="122" t="n"/>
    </s:row>
    <s:row r="24306" hidden="1" ht="1" customHeight="1">
      <s:c r="A24306" s="120" t="inlineStr"/>
      <s:c r="B24306" s="121" t="n"/>
      <s:c r="C24306" s="121" t="n"/>
      <s:c r="D24306" s="121" t="n"/>
      <s:c r="E24306" s="122" t="n"/>
    </s:row>
    <s:row r="24307" hidden="1" ht="1" customHeight="1">
      <s:c r="A24307" s="120" t="inlineStr"/>
      <s:c r="B24307" s="121" t="n"/>
      <s:c r="C24307" s="121" t="n"/>
      <s:c r="D24307" s="121" t="n"/>
      <s:c r="E24307" s="122" t="n"/>
    </s:row>
    <s:row r="24308" hidden="1" ht="1" customHeight="1">
      <s:c r="A24308" s="120" t="inlineStr"/>
      <s:c r="B24308" s="121" t="n"/>
      <s:c r="C24308" s="121" t="n"/>
      <s:c r="D24308" s="121" t="n"/>
      <s:c r="E24308" s="122" t="n"/>
    </s:row>
    <s:row r="24309" hidden="1" ht="1" customHeight="1">
      <s:c r="A24309" s="120" t="inlineStr"/>
      <s:c r="B24309" s="121" t="n"/>
      <s:c r="C24309" s="121" t="n"/>
      <s:c r="D24309" s="121" t="n"/>
      <s:c r="E24309" s="122" t="n"/>
    </s:row>
    <s:row r="24310" hidden="1" ht="1" customHeight="1">
      <s:c r="A24310" s="120" t="inlineStr"/>
      <s:c r="B24310" s="121" t="n"/>
      <s:c r="C24310" s="121" t="n"/>
      <s:c r="D24310" s="121" t="n"/>
      <s:c r="E24310" s="122" t="n"/>
    </s:row>
    <s:row r="24311" hidden="1" ht="1" customHeight="1">
      <s:c r="A24311" s="120" t="inlineStr"/>
      <s:c r="B24311" s="121" t="n"/>
      <s:c r="C24311" s="121" t="n"/>
      <s:c r="D24311" s="121" t="n"/>
      <s:c r="E24311" s="122" t="n"/>
    </s:row>
    <s:row r="24312" hidden="1" ht="1" customHeight="1">
      <s:c r="A24312" s="120" t="inlineStr"/>
      <s:c r="B24312" s="121" t="n"/>
      <s:c r="C24312" s="121" t="n"/>
      <s:c r="D24312" s="121" t="n"/>
      <s:c r="E24312" s="122" t="n"/>
    </s:row>
    <s:row r="24313" hidden="1" ht="1" customHeight="1">
      <s:c r="A24313" s="120" t="inlineStr"/>
      <s:c r="B24313" s="121" t="n"/>
      <s:c r="C24313" s="121" t="n"/>
      <s:c r="D24313" s="121" t="n"/>
      <s:c r="E24313" s="122" t="n"/>
    </s:row>
    <s:row r="24314" hidden="1" ht="1" customHeight="1">
      <s:c r="A24314" s="120" t="inlineStr"/>
      <s:c r="B24314" s="121" t="n"/>
      <s:c r="C24314" s="121" t="n"/>
      <s:c r="D24314" s="121" t="n"/>
      <s:c r="E24314" s="122" t="n"/>
    </s:row>
    <s:row r="24315" hidden="1" ht="1" customHeight="1">
      <s:c r="A24315" s="120" t="inlineStr"/>
      <s:c r="B24315" s="121" t="n"/>
      <s:c r="C24315" s="121" t="n"/>
      <s:c r="D24315" s="121" t="n"/>
      <s:c r="E24315" s="122" t="n"/>
    </s:row>
    <s:row r="24316" hidden="1" ht="1" customHeight="1">
      <s:c r="A24316" s="120" t="inlineStr"/>
      <s:c r="B24316" s="121" t="n"/>
      <s:c r="C24316" s="121" t="n"/>
      <s:c r="D24316" s="121" t="n"/>
      <s:c r="E24316" s="122" t="n"/>
    </s:row>
    <s:row r="24317" hidden="1" ht="1" customHeight="1">
      <s:c r="A24317" s="120" t="inlineStr"/>
      <s:c r="B24317" s="121" t="n"/>
      <s:c r="C24317" s="121" t="n"/>
      <s:c r="D24317" s="121" t="n"/>
      <s:c r="E24317" s="122" t="n"/>
    </s:row>
    <s:row r="24318" hidden="1" ht="1" customHeight="1">
      <s:c r="A24318" s="120" t="inlineStr"/>
      <s:c r="B24318" s="121" t="n"/>
      <s:c r="C24318" s="121" t="n"/>
      <s:c r="D24318" s="121" t="n"/>
      <s:c r="E24318" s="122" t="n"/>
    </s:row>
    <s:row r="24319" hidden="1" ht="1" customHeight="1">
      <s:c r="A24319" s="120" t="inlineStr"/>
      <s:c r="B24319" s="121" t="n"/>
      <s:c r="C24319" s="121" t="n"/>
      <s:c r="D24319" s="121" t="n"/>
      <s:c r="E24319" s="122" t="n"/>
    </s:row>
    <s:row r="24320" hidden="1" ht="1" customHeight="1">
      <s:c r="A24320" s="120" t="inlineStr"/>
      <s:c r="B24320" s="121" t="n"/>
      <s:c r="C24320" s="121" t="n"/>
      <s:c r="D24320" s="121" t="n"/>
      <s:c r="E24320" s="122" t="n"/>
    </s:row>
    <s:row r="24321" hidden="1" ht="1" customHeight="1">
      <s:c r="A24321" s="120" t="inlineStr"/>
      <s:c r="B24321" s="121" t="n"/>
      <s:c r="C24321" s="121" t="n"/>
      <s:c r="D24321" s="121" t="n"/>
      <s:c r="E24321" s="122" t="n"/>
    </s:row>
    <s:row r="24322" hidden="1" ht="1" customHeight="1">
      <s:c r="A24322" s="120" t="inlineStr"/>
      <s:c r="B24322" s="121" t="n"/>
      <s:c r="C24322" s="121" t="n"/>
      <s:c r="D24322" s="121" t="n"/>
      <s:c r="E24322" s="122" t="n"/>
    </s:row>
    <s:row r="24323" hidden="1" ht="1" customHeight="1">
      <s:c r="A24323" s="120" t="inlineStr"/>
      <s:c r="B24323" s="121" t="n"/>
      <s:c r="C24323" s="121" t="n"/>
      <s:c r="D24323" s="121" t="n"/>
      <s:c r="E24323" s="122" t="n"/>
    </s:row>
    <s:row r="24324" hidden="1" ht="1" customHeight="1">
      <s:c r="A24324" s="120" t="inlineStr"/>
      <s:c r="B24324" s="121" t="n"/>
      <s:c r="C24324" s="121" t="n"/>
      <s:c r="D24324" s="121" t="n"/>
      <s:c r="E24324" s="122" t="n"/>
    </s:row>
    <s:row r="24325" hidden="1" ht="1" customHeight="1">
      <s:c r="A24325" s="120" t="inlineStr"/>
      <s:c r="B24325" s="121" t="n"/>
      <s:c r="C24325" s="121" t="n"/>
      <s:c r="D24325" s="121" t="n"/>
      <s:c r="E24325" s="122" t="n"/>
    </s:row>
    <s:row r="24326" hidden="1" ht="1" customHeight="1">
      <s:c r="A24326" s="120" t="inlineStr"/>
      <s:c r="B24326" s="121" t="n"/>
      <s:c r="C24326" s="121" t="n"/>
      <s:c r="D24326" s="121" t="n"/>
      <s:c r="E24326" s="122" t="n"/>
    </s:row>
    <s:row r="24327" hidden="1" ht="1" customHeight="1">
      <s:c r="A24327" s="120" t="inlineStr"/>
      <s:c r="B24327" s="121" t="n"/>
      <s:c r="C24327" s="121" t="n"/>
      <s:c r="D24327" s="121" t="n"/>
      <s:c r="E24327" s="122" t="n"/>
    </s:row>
    <s:row r="24328" hidden="1" ht="1" customHeight="1">
      <s:c r="A24328" s="120" t="inlineStr"/>
      <s:c r="B24328" s="121" t="n"/>
      <s:c r="C24328" s="121" t="n"/>
      <s:c r="D24328" s="121" t="n"/>
      <s:c r="E24328" s="122" t="n"/>
    </s:row>
    <s:row r="24329" hidden="1" ht="1" customHeight="1">
      <s:c r="A24329" s="120" t="inlineStr"/>
      <s:c r="B24329" s="121" t="n"/>
      <s:c r="C24329" s="121" t="n"/>
      <s:c r="D24329" s="121" t="n"/>
      <s:c r="E24329" s="122" t="n"/>
    </s:row>
    <s:row r="24330" hidden="1" ht="1" customHeight="1">
      <s:c r="A24330" s="120" t="inlineStr"/>
      <s:c r="B24330" s="121" t="n"/>
      <s:c r="C24330" s="121" t="n"/>
      <s:c r="D24330" s="121" t="n"/>
      <s:c r="E24330" s="122" t="n"/>
    </s:row>
    <s:row r="24331" hidden="1" ht="1" customHeight="1">
      <s:c r="A24331" s="120" t="inlineStr"/>
      <s:c r="B24331" s="121" t="n"/>
      <s:c r="C24331" s="121" t="n"/>
      <s:c r="D24331" s="121" t="n"/>
      <s:c r="E24331" s="122" t="n"/>
    </s:row>
    <s:row r="24332" hidden="1" ht="1" customHeight="1">
      <s:c r="A24332" s="120" t="inlineStr"/>
      <s:c r="B24332" s="121" t="n"/>
      <s:c r="C24332" s="121" t="n"/>
      <s:c r="D24332" s="121" t="n"/>
      <s:c r="E24332" s="122" t="n"/>
    </s:row>
    <s:row r="24333" hidden="1" ht="1" customHeight="1">
      <s:c r="A24333" s="120" t="inlineStr"/>
      <s:c r="B24333" s="121" t="n"/>
      <s:c r="C24333" s="121" t="n"/>
      <s:c r="D24333" s="121" t="n"/>
      <s:c r="E24333" s="122" t="n"/>
    </s:row>
    <s:row r="24334" hidden="1" ht="1" customHeight="1">
      <s:c r="A24334" s="120" t="inlineStr"/>
      <s:c r="B24334" s="121" t="n"/>
      <s:c r="C24334" s="121" t="n"/>
      <s:c r="D24334" s="121" t="n"/>
      <s:c r="E24334" s="122" t="n"/>
    </s:row>
    <s:row r="24335" hidden="1" ht="1" customHeight="1">
      <s:c r="A24335" s="120" t="inlineStr"/>
      <s:c r="B24335" s="121" t="n"/>
      <s:c r="C24335" s="121" t="n"/>
      <s:c r="D24335" s="121" t="n"/>
      <s:c r="E24335" s="122" t="n"/>
    </s:row>
    <s:row r="24336" hidden="1" ht="1" customHeight="1">
      <s:c r="A24336" s="120" t="inlineStr"/>
      <s:c r="B24336" s="121" t="n"/>
      <s:c r="C24336" s="121" t="n"/>
      <s:c r="D24336" s="121" t="n"/>
      <s:c r="E24336" s="122" t="n"/>
    </s:row>
    <s:row r="24337" hidden="1" ht="1" customHeight="1">
      <s:c r="A24337" s="120" t="inlineStr"/>
      <s:c r="B24337" s="121" t="n"/>
      <s:c r="C24337" s="121" t="n"/>
      <s:c r="D24337" s="121" t="n"/>
      <s:c r="E24337" s="122" t="n"/>
    </s:row>
    <s:row r="24338" hidden="1" ht="1" customHeight="1">
      <s:c r="A24338" s="120" t="inlineStr"/>
      <s:c r="B24338" s="121" t="n"/>
      <s:c r="C24338" s="121" t="n"/>
      <s:c r="D24338" s="121" t="n"/>
      <s:c r="E24338" s="122" t="n"/>
    </s:row>
    <s:row r="24339" hidden="1" ht="1" customHeight="1">
      <s:c r="A24339" s="120" t="inlineStr"/>
      <s:c r="B24339" s="121" t="n"/>
      <s:c r="C24339" s="121" t="n"/>
      <s:c r="D24339" s="121" t="n"/>
      <s:c r="E24339" s="122" t="n"/>
    </s:row>
    <s:row r="24340" hidden="1" ht="1" customHeight="1">
      <s:c r="A24340" s="120" t="inlineStr"/>
      <s:c r="B24340" s="121" t="n"/>
      <s:c r="C24340" s="121" t="n"/>
      <s:c r="D24340" s="121" t="n"/>
      <s:c r="E24340" s="122" t="n"/>
    </s:row>
    <s:row r="24341" hidden="1" ht="1" customHeight="1">
      <s:c r="A24341" s="120" t="inlineStr"/>
      <s:c r="B24341" s="121" t="n"/>
      <s:c r="C24341" s="121" t="n"/>
      <s:c r="D24341" s="121" t="n"/>
      <s:c r="E24341" s="122" t="n"/>
    </s:row>
    <s:row r="24342" hidden="1" ht="1" customHeight="1">
      <s:c r="A24342" s="120" t="inlineStr"/>
      <s:c r="B24342" s="121" t="n"/>
      <s:c r="C24342" s="121" t="n"/>
      <s:c r="D24342" s="121" t="n"/>
      <s:c r="E24342" s="122" t="n"/>
    </s:row>
    <s:row r="24343" hidden="1" ht="1" customHeight="1">
      <s:c r="A24343" s="120" t="inlineStr"/>
      <s:c r="B24343" s="121" t="n"/>
      <s:c r="C24343" s="121" t="n"/>
      <s:c r="D24343" s="121" t="n"/>
      <s:c r="E24343" s="122" t="n"/>
    </s:row>
    <s:row r="24344" hidden="1" ht="1" customHeight="1">
      <s:c r="A24344" s="120" t="inlineStr"/>
      <s:c r="B24344" s="121" t="n"/>
      <s:c r="C24344" s="121" t="n"/>
      <s:c r="D24344" s="121" t="n"/>
      <s:c r="E24344" s="122" t="n"/>
    </s:row>
    <s:row r="24345" hidden="1" ht="1" customHeight="1">
      <s:c r="A24345" s="120" t="inlineStr"/>
      <s:c r="B24345" s="121" t="n"/>
      <s:c r="C24345" s="121" t="n"/>
      <s:c r="D24345" s="121" t="n"/>
      <s:c r="E24345" s="122" t="n"/>
    </s:row>
    <s:row r="24346" hidden="1" ht="1" customHeight="1">
      <s:c r="A24346" s="120" t="inlineStr"/>
      <s:c r="B24346" s="121" t="n"/>
      <s:c r="C24346" s="121" t="n"/>
      <s:c r="D24346" s="121" t="n"/>
      <s:c r="E24346" s="122" t="n"/>
    </s:row>
    <s:row r="24347" hidden="1" ht="1" customHeight="1">
      <s:c r="A24347" s="120" t="inlineStr"/>
      <s:c r="B24347" s="121" t="n"/>
      <s:c r="C24347" s="121" t="n"/>
      <s:c r="D24347" s="121" t="n"/>
      <s:c r="E24347" s="122" t="n"/>
    </s:row>
    <s:row r="24348" hidden="1" ht="1" customHeight="1">
      <s:c r="A24348" s="120" t="inlineStr"/>
      <s:c r="B24348" s="121" t="n"/>
      <s:c r="C24348" s="121" t="n"/>
      <s:c r="D24348" s="121" t="n"/>
      <s:c r="E24348" s="122" t="n"/>
    </s:row>
    <s:row r="24349" hidden="1" ht="1" customHeight="1">
      <s:c r="A24349" s="120" t="inlineStr"/>
      <s:c r="B24349" s="121" t="n"/>
      <s:c r="C24349" s="121" t="n"/>
      <s:c r="D24349" s="121" t="n"/>
      <s:c r="E24349" s="122" t="n"/>
    </s:row>
    <s:row r="24350" hidden="1" ht="1" customHeight="1">
      <s:c r="A24350" s="120" t="inlineStr"/>
      <s:c r="B24350" s="121" t="n"/>
      <s:c r="C24350" s="121" t="n"/>
      <s:c r="D24350" s="121" t="n"/>
      <s:c r="E24350" s="122" t="n"/>
    </s:row>
    <s:row r="24351" hidden="1" ht="1" customHeight="1">
      <s:c r="A24351" s="120" t="inlineStr"/>
      <s:c r="B24351" s="121" t="n"/>
      <s:c r="C24351" s="121" t="n"/>
      <s:c r="D24351" s="121" t="n"/>
      <s:c r="E24351" s="122" t="n"/>
    </s:row>
    <s:row r="24352" hidden="1" ht="1" customHeight="1">
      <s:c r="A24352" s="120" t="inlineStr"/>
      <s:c r="B24352" s="121" t="n"/>
      <s:c r="C24352" s="121" t="n"/>
      <s:c r="D24352" s="121" t="n"/>
      <s:c r="E24352" s="122" t="n"/>
    </s:row>
    <s:row r="24353" hidden="1" ht="1" customHeight="1">
      <s:c r="A24353" s="120" t="inlineStr"/>
      <s:c r="B24353" s="121" t="n"/>
      <s:c r="C24353" s="121" t="n"/>
      <s:c r="D24353" s="121" t="n"/>
      <s:c r="E24353" s="122" t="n"/>
    </s:row>
    <s:row r="24354" hidden="1" ht="1" customHeight="1">
      <s:c r="A24354" s="120" t="inlineStr"/>
      <s:c r="B24354" s="121" t="n"/>
      <s:c r="C24354" s="121" t="n"/>
      <s:c r="D24354" s="121" t="n"/>
      <s:c r="E24354" s="122" t="n"/>
    </s:row>
    <s:row r="24355" hidden="1" ht="1" customHeight="1">
      <s:c r="A24355" s="120" t="inlineStr"/>
      <s:c r="B24355" s="121" t="n"/>
      <s:c r="C24355" s="121" t="n"/>
      <s:c r="D24355" s="121" t="n"/>
      <s:c r="E24355" s="122" t="n"/>
    </s:row>
    <s:row r="24356" hidden="1" ht="1" customHeight="1">
      <s:c r="A24356" s="120" t="inlineStr"/>
      <s:c r="B24356" s="121" t="n"/>
      <s:c r="C24356" s="121" t="n"/>
      <s:c r="D24356" s="121" t="n"/>
      <s:c r="E24356" s="122" t="n"/>
    </s:row>
    <s:row r="24357" hidden="1" ht="1" customHeight="1">
      <s:c r="A24357" s="120" t="inlineStr"/>
      <s:c r="B24357" s="121" t="n"/>
      <s:c r="C24357" s="121" t="n"/>
      <s:c r="D24357" s="121" t="n"/>
      <s:c r="E24357" s="122" t="n"/>
    </s:row>
    <s:row r="24358" hidden="1" ht="1" customHeight="1">
      <s:c r="A24358" s="120" t="inlineStr"/>
      <s:c r="B24358" s="121" t="n"/>
      <s:c r="C24358" s="121" t="n"/>
      <s:c r="D24358" s="121" t="n"/>
      <s:c r="E24358" s="122" t="n"/>
    </s:row>
    <s:row r="24359" hidden="1" ht="1" customHeight="1">
      <s:c r="A24359" s="120" t="inlineStr"/>
      <s:c r="B24359" s="121" t="n"/>
      <s:c r="C24359" s="121" t="n"/>
      <s:c r="D24359" s="121" t="n"/>
      <s:c r="E24359" s="122" t="n"/>
    </s:row>
    <s:row r="24360" hidden="1" ht="1" customHeight="1">
      <s:c r="A24360" s="120" t="inlineStr"/>
      <s:c r="B24360" s="121" t="n"/>
      <s:c r="C24360" s="121" t="n"/>
      <s:c r="D24360" s="121" t="n"/>
      <s:c r="E24360" s="122" t="n"/>
    </s:row>
    <s:row r="24361" hidden="1" ht="1" customHeight="1">
      <s:c r="A24361" s="120" t="inlineStr"/>
      <s:c r="B24361" s="121" t="n"/>
      <s:c r="C24361" s="121" t="n"/>
      <s:c r="D24361" s="121" t="n"/>
      <s:c r="E24361" s="122" t="n"/>
    </s:row>
    <s:row r="24362" hidden="1" ht="1" customHeight="1">
      <s:c r="A24362" s="120" t="inlineStr"/>
      <s:c r="B24362" s="121" t="n"/>
      <s:c r="C24362" s="121" t="n"/>
      <s:c r="D24362" s="121" t="n"/>
      <s:c r="E24362" s="122" t="n"/>
    </s:row>
    <s:row r="24363" hidden="1" ht="1" customHeight="1">
      <s:c r="A24363" s="120" t="inlineStr"/>
      <s:c r="B24363" s="121" t="n"/>
      <s:c r="C24363" s="121" t="n"/>
      <s:c r="D24363" s="121" t="n"/>
      <s:c r="E24363" s="122" t="n"/>
    </s:row>
    <s:row r="24364" hidden="1" ht="1" customHeight="1">
      <s:c r="A24364" s="120" t="inlineStr"/>
      <s:c r="B24364" s="121" t="n"/>
      <s:c r="C24364" s="121" t="n"/>
      <s:c r="D24364" s="121" t="n"/>
      <s:c r="E24364" s="122" t="n"/>
    </s:row>
    <s:row r="24365" hidden="1" ht="1" customHeight="1">
      <s:c r="A24365" s="120" t="inlineStr"/>
      <s:c r="B24365" s="121" t="n"/>
      <s:c r="C24365" s="121" t="n"/>
      <s:c r="D24365" s="121" t="n"/>
      <s:c r="E24365" s="122" t="n"/>
    </s:row>
    <s:row r="24366" hidden="1" ht="1" customHeight="1">
      <s:c r="A24366" s="120" t="inlineStr"/>
      <s:c r="B24366" s="121" t="n"/>
      <s:c r="C24366" s="121" t="n"/>
      <s:c r="D24366" s="121" t="n"/>
      <s:c r="E24366" s="122" t="n"/>
    </s:row>
    <s:row r="24367" hidden="1" ht="1" customHeight="1">
      <s:c r="A24367" s="120" t="inlineStr"/>
      <s:c r="B24367" s="121" t="n"/>
      <s:c r="C24367" s="121" t="n"/>
      <s:c r="D24367" s="121" t="n"/>
      <s:c r="E24367" s="122" t="n"/>
    </s:row>
    <s:row r="24368" hidden="1" ht="1" customHeight="1">
      <s:c r="A24368" s="120" t="inlineStr"/>
      <s:c r="B24368" s="121" t="n"/>
      <s:c r="C24368" s="121" t="n"/>
      <s:c r="D24368" s="121" t="n"/>
      <s:c r="E24368" s="122" t="n"/>
    </s:row>
    <s:row r="24369" hidden="1" ht="1" customHeight="1">
      <s:c r="A24369" s="120" t="inlineStr"/>
      <s:c r="B24369" s="121" t="n"/>
      <s:c r="C24369" s="121" t="n"/>
      <s:c r="D24369" s="121" t="n"/>
      <s:c r="E24369" s="122" t="n"/>
    </s:row>
    <s:row r="24370" hidden="1" ht="1" customHeight="1">
      <s:c r="A24370" s="120" t="inlineStr"/>
      <s:c r="B24370" s="121" t="n"/>
      <s:c r="C24370" s="121" t="n"/>
      <s:c r="D24370" s="121" t="n"/>
      <s:c r="E24370" s="122" t="n"/>
    </s:row>
    <s:row r="24371" hidden="1" ht="1" customHeight="1">
      <s:c r="A24371" s="120" t="inlineStr"/>
      <s:c r="B24371" s="121" t="n"/>
      <s:c r="C24371" s="121" t="n"/>
      <s:c r="D24371" s="121" t="n"/>
      <s:c r="E24371" s="122" t="n"/>
    </s:row>
    <s:row r="24372" hidden="1" ht="1" customHeight="1">
      <s:c r="A24372" s="120" t="inlineStr"/>
      <s:c r="B24372" s="121" t="n"/>
      <s:c r="C24372" s="121" t="n"/>
      <s:c r="D24372" s="121" t="n"/>
      <s:c r="E24372" s="122" t="n"/>
    </s:row>
    <s:row r="24373" hidden="1" ht="1" customHeight="1">
      <s:c r="A24373" s="120" t="inlineStr"/>
      <s:c r="B24373" s="121" t="n"/>
      <s:c r="C24373" s="121" t="n"/>
      <s:c r="D24373" s="121" t="n"/>
      <s:c r="E24373" s="122" t="n"/>
    </s:row>
    <s:row r="24374" hidden="1" ht="1" customHeight="1">
      <s:c r="A24374" s="120" t="inlineStr"/>
      <s:c r="B24374" s="121" t="n"/>
      <s:c r="C24374" s="121" t="n"/>
      <s:c r="D24374" s="121" t="n"/>
      <s:c r="E24374" s="122" t="n"/>
    </s:row>
    <s:row r="24375" hidden="1" ht="1" customHeight="1">
      <s:c r="A24375" s="120" t="inlineStr"/>
      <s:c r="B24375" s="121" t="n"/>
      <s:c r="C24375" s="121" t="n"/>
      <s:c r="D24375" s="121" t="n"/>
      <s:c r="E24375" s="122" t="n"/>
    </s:row>
    <s:row r="24376" hidden="1" ht="1" customHeight="1">
      <s:c r="A24376" s="120" t="inlineStr"/>
      <s:c r="B24376" s="121" t="n"/>
      <s:c r="C24376" s="121" t="n"/>
      <s:c r="D24376" s="121" t="n"/>
      <s:c r="E24376" s="122" t="n"/>
    </s:row>
    <s:row r="24377" hidden="1" ht="1" customHeight="1">
      <s:c r="A24377" s="120" t="inlineStr"/>
      <s:c r="B24377" s="121" t="n"/>
      <s:c r="C24377" s="121" t="n"/>
      <s:c r="D24377" s="121" t="n"/>
      <s:c r="E24377" s="122" t="n"/>
    </s:row>
    <s:row r="24378" hidden="1" ht="1" customHeight="1">
      <s:c r="A24378" s="120" t="inlineStr"/>
      <s:c r="B24378" s="121" t="n"/>
      <s:c r="C24378" s="121" t="n"/>
      <s:c r="D24378" s="121" t="n"/>
      <s:c r="E24378" s="122" t="n"/>
    </s:row>
    <s:row r="24379" hidden="1" ht="1" customHeight="1">
      <s:c r="A24379" s="120" t="inlineStr"/>
      <s:c r="B24379" s="121" t="n"/>
      <s:c r="C24379" s="121" t="n"/>
      <s:c r="D24379" s="121" t="n"/>
      <s:c r="E24379" s="122" t="n"/>
    </s:row>
    <s:row r="24380" hidden="1" ht="1" customHeight="1">
      <s:c r="A24380" s="120" t="inlineStr"/>
      <s:c r="B24380" s="121" t="n"/>
      <s:c r="C24380" s="121" t="n"/>
      <s:c r="D24380" s="121" t="n"/>
      <s:c r="E24380" s="122" t="n"/>
    </s:row>
    <s:row r="24381" hidden="1" ht="1" customHeight="1">
      <s:c r="A24381" s="120" t="inlineStr"/>
      <s:c r="B24381" s="121" t="n"/>
      <s:c r="C24381" s="121" t="n"/>
      <s:c r="D24381" s="121" t="n"/>
      <s:c r="E24381" s="122" t="n"/>
    </s:row>
    <s:row r="24382" hidden="1" ht="1" customHeight="1">
      <s:c r="A24382" s="120" t="inlineStr"/>
      <s:c r="B24382" s="121" t="n"/>
      <s:c r="C24382" s="121" t="n"/>
      <s:c r="D24382" s="121" t="n"/>
      <s:c r="E24382" s="122" t="n"/>
    </s:row>
    <s:row r="24383" hidden="1" ht="1" customHeight="1">
      <s:c r="A24383" s="120" t="inlineStr"/>
      <s:c r="B24383" s="121" t="n"/>
      <s:c r="C24383" s="121" t="n"/>
      <s:c r="D24383" s="121" t="n"/>
      <s:c r="E24383" s="122" t="n"/>
    </s:row>
    <s:row r="24384" hidden="1" ht="1" customHeight="1">
      <s:c r="A24384" s="120" t="inlineStr"/>
      <s:c r="B24384" s="121" t="n"/>
      <s:c r="C24384" s="121" t="n"/>
      <s:c r="D24384" s="121" t="n"/>
      <s:c r="E24384" s="122" t="n"/>
    </s:row>
    <s:row r="24385" hidden="1" ht="1" customHeight="1">
      <s:c r="A24385" s="120" t="inlineStr"/>
      <s:c r="B24385" s="121" t="n"/>
      <s:c r="C24385" s="121" t="n"/>
      <s:c r="D24385" s="121" t="n"/>
      <s:c r="E24385" s="122" t="n"/>
    </s:row>
    <s:row r="24386" hidden="1" ht="1" customHeight="1">
      <s:c r="A24386" s="120" t="inlineStr"/>
      <s:c r="B24386" s="121" t="n"/>
      <s:c r="C24386" s="121" t="n"/>
      <s:c r="D24386" s="121" t="n"/>
      <s:c r="E24386" s="122" t="n"/>
    </s:row>
    <s:row r="24387" hidden="1" ht="1" customHeight="1">
      <s:c r="A24387" s="120" t="inlineStr"/>
      <s:c r="B24387" s="121" t="n"/>
      <s:c r="C24387" s="121" t="n"/>
      <s:c r="D24387" s="121" t="n"/>
      <s:c r="E24387" s="122" t="n"/>
    </s:row>
    <s:row r="24388" hidden="1" ht="1" customHeight="1">
      <s:c r="A24388" s="120" t="inlineStr"/>
      <s:c r="B24388" s="121" t="n"/>
      <s:c r="C24388" s="121" t="n"/>
      <s:c r="D24388" s="121" t="n"/>
      <s:c r="E24388" s="122" t="n"/>
    </s:row>
    <s:row r="24389" hidden="1" ht="1" customHeight="1">
      <s:c r="A24389" s="120" t="inlineStr"/>
      <s:c r="B24389" s="121" t="n"/>
      <s:c r="C24389" s="121" t="n"/>
      <s:c r="D24389" s="121" t="n"/>
      <s:c r="E24389" s="122" t="n"/>
    </s:row>
    <s:row r="24390" hidden="1" ht="1" customHeight="1">
      <s:c r="A24390" s="120" t="inlineStr"/>
      <s:c r="B24390" s="121" t="n"/>
      <s:c r="C24390" s="121" t="n"/>
      <s:c r="D24390" s="121" t="n"/>
      <s:c r="E24390" s="122" t="n"/>
    </s:row>
    <s:row r="24391" hidden="1" ht="1" customHeight="1">
      <s:c r="A24391" s="120" t="inlineStr"/>
      <s:c r="B24391" s="121" t="n"/>
      <s:c r="C24391" s="121" t="n"/>
      <s:c r="D24391" s="121" t="n"/>
      <s:c r="E24391" s="122" t="n"/>
    </s:row>
    <s:row r="24392" hidden="1" ht="1" customHeight="1">
      <s:c r="A24392" s="120" t="inlineStr"/>
      <s:c r="B24392" s="121" t="n"/>
      <s:c r="C24392" s="121" t="n"/>
      <s:c r="D24392" s="121" t="n"/>
      <s:c r="E24392" s="122" t="n"/>
    </s:row>
    <s:row r="24393" hidden="1" ht="1" customHeight="1">
      <s:c r="A24393" s="120" t="inlineStr"/>
      <s:c r="B24393" s="121" t="n"/>
      <s:c r="C24393" s="121" t="n"/>
      <s:c r="D24393" s="121" t="n"/>
      <s:c r="E24393" s="122" t="n"/>
    </s:row>
    <s:row r="24394" hidden="1" ht="1" customHeight="1">
      <s:c r="A24394" s="120" t="inlineStr"/>
      <s:c r="B24394" s="121" t="n"/>
      <s:c r="C24394" s="121" t="n"/>
      <s:c r="D24394" s="121" t="n"/>
      <s:c r="E24394" s="122" t="n"/>
    </s:row>
    <s:row r="24395" hidden="1" ht="1" customHeight="1">
      <s:c r="A24395" s="120" t="inlineStr"/>
      <s:c r="B24395" s="121" t="n"/>
      <s:c r="C24395" s="121" t="n"/>
      <s:c r="D24395" s="121" t="n"/>
      <s:c r="E24395" s="122" t="n"/>
    </s:row>
    <s:row r="24396" hidden="1" ht="1" customHeight="1">
      <s:c r="A24396" s="120" t="inlineStr"/>
      <s:c r="B24396" s="121" t="n"/>
      <s:c r="C24396" s="121" t="n"/>
      <s:c r="D24396" s="121" t="n"/>
      <s:c r="E24396" s="122" t="n"/>
    </s:row>
    <s:row r="24397" hidden="1" ht="1" customHeight="1">
      <s:c r="A24397" s="120" t="inlineStr"/>
      <s:c r="B24397" s="121" t="n"/>
      <s:c r="C24397" s="121" t="n"/>
      <s:c r="D24397" s="121" t="n"/>
      <s:c r="E24397" s="122" t="n"/>
    </s:row>
    <s:row r="24398" hidden="1" ht="1" customHeight="1">
      <s:c r="A24398" s="120" t="inlineStr"/>
      <s:c r="B24398" s="121" t="n"/>
      <s:c r="C24398" s="121" t="n"/>
      <s:c r="D24398" s="121" t="n"/>
      <s:c r="E24398" s="122" t="n"/>
    </s:row>
    <s:row r="24399" hidden="1" ht="1" customHeight="1">
      <s:c r="A24399" s="120" t="inlineStr"/>
      <s:c r="B24399" s="121" t="n"/>
      <s:c r="C24399" s="121" t="n"/>
      <s:c r="D24399" s="121" t="n"/>
      <s:c r="E24399" s="122" t="n"/>
    </s:row>
    <s:row r="24400" hidden="1" ht="1" customHeight="1">
      <s:c r="A24400" s="120" t="inlineStr"/>
      <s:c r="B24400" s="121" t="n"/>
      <s:c r="C24400" s="121" t="n"/>
      <s:c r="D24400" s="121" t="n"/>
      <s:c r="E24400" s="122" t="n"/>
    </s:row>
    <s:row r="24401" hidden="1" ht="1" customHeight="1">
      <s:c r="A24401" s="120" t="inlineStr"/>
      <s:c r="B24401" s="121" t="n"/>
      <s:c r="C24401" s="121" t="n"/>
      <s:c r="D24401" s="121" t="n"/>
      <s:c r="E24401" s="122" t="n"/>
    </s:row>
    <s:row r="24402" hidden="1" ht="1" customHeight="1">
      <s:c r="A24402" s="120" t="inlineStr"/>
      <s:c r="B24402" s="121" t="n"/>
      <s:c r="C24402" s="121" t="n"/>
      <s:c r="D24402" s="121" t="n"/>
      <s:c r="E24402" s="122" t="n"/>
    </s:row>
    <s:row r="24403" hidden="1" ht="1" customHeight="1">
      <s:c r="A24403" s="120" t="inlineStr"/>
      <s:c r="B24403" s="121" t="n"/>
      <s:c r="C24403" s="121" t="n"/>
      <s:c r="D24403" s="121" t="n"/>
      <s:c r="E24403" s="122" t="n"/>
    </s:row>
    <s:row r="24404" hidden="1" ht="1" customHeight="1">
      <s:c r="A24404" s="120" t="inlineStr"/>
      <s:c r="B24404" s="121" t="n"/>
      <s:c r="C24404" s="121" t="n"/>
      <s:c r="D24404" s="121" t="n"/>
      <s:c r="E24404" s="122" t="n"/>
    </s:row>
    <s:row r="24405" hidden="1" ht="1" customHeight="1">
      <s:c r="A24405" s="120" t="inlineStr"/>
      <s:c r="B24405" s="121" t="n"/>
      <s:c r="C24405" s="121" t="n"/>
      <s:c r="D24405" s="121" t="n"/>
      <s:c r="E24405" s="122" t="n"/>
    </s:row>
    <s:row r="24406" hidden="1" ht="1" customHeight="1">
      <s:c r="A24406" s="120" t="inlineStr"/>
      <s:c r="B24406" s="121" t="n"/>
      <s:c r="C24406" s="121" t="n"/>
      <s:c r="D24406" s="121" t="n"/>
      <s:c r="E24406" s="122" t="n"/>
    </s:row>
    <s:row r="24407" hidden="1" ht="1" customHeight="1">
      <s:c r="A24407" s="120" t="inlineStr"/>
      <s:c r="B24407" s="121" t="n"/>
      <s:c r="C24407" s="121" t="n"/>
      <s:c r="D24407" s="121" t="n"/>
      <s:c r="E24407" s="122" t="n"/>
    </s:row>
    <s:row r="24408" hidden="1" ht="1" customHeight="1">
      <s:c r="A24408" s="120" t="inlineStr"/>
      <s:c r="B24408" s="121" t="n"/>
      <s:c r="C24408" s="121" t="n"/>
      <s:c r="D24408" s="121" t="n"/>
      <s:c r="E24408" s="122" t="n"/>
    </s:row>
    <s:row r="24409" hidden="1" ht="1" customHeight="1">
      <s:c r="A24409" s="120" t="inlineStr"/>
      <s:c r="B24409" s="121" t="n"/>
      <s:c r="C24409" s="121" t="n"/>
      <s:c r="D24409" s="121" t="n"/>
      <s:c r="E24409" s="122" t="n"/>
    </s:row>
    <s:row r="24410" hidden="1" ht="1" customHeight="1">
      <s:c r="A24410" s="120" t="inlineStr"/>
      <s:c r="B24410" s="121" t="n"/>
      <s:c r="C24410" s="121" t="n"/>
      <s:c r="D24410" s="121" t="n"/>
      <s:c r="E24410" s="122" t="n"/>
    </s:row>
    <s:row r="24411" hidden="1" ht="1" customHeight="1">
      <s:c r="A24411" s="120" t="inlineStr"/>
      <s:c r="B24411" s="121" t="n"/>
      <s:c r="C24411" s="121" t="n"/>
      <s:c r="D24411" s="121" t="n"/>
      <s:c r="E24411" s="122" t="n"/>
    </s:row>
    <s:row r="24412" hidden="1" ht="1" customHeight="1">
      <s:c r="A24412" s="120" t="inlineStr"/>
      <s:c r="B24412" s="121" t="n"/>
      <s:c r="C24412" s="121" t="n"/>
      <s:c r="D24412" s="121" t="n"/>
      <s:c r="E24412" s="122" t="n"/>
    </s:row>
    <s:row r="24413" hidden="1" ht="1" customHeight="1">
      <s:c r="A24413" s="120" t="inlineStr"/>
      <s:c r="B24413" s="121" t="n"/>
      <s:c r="C24413" s="121" t="n"/>
      <s:c r="D24413" s="121" t="n"/>
      <s:c r="E24413" s="122" t="n"/>
    </s:row>
    <s:row r="24414" hidden="1" ht="1" customHeight="1">
      <s:c r="A24414" s="120" t="inlineStr"/>
      <s:c r="B24414" s="121" t="n"/>
      <s:c r="C24414" s="121" t="n"/>
      <s:c r="D24414" s="121" t="n"/>
      <s:c r="E24414" s="122" t="n"/>
    </s:row>
    <s:row r="24415" hidden="1" ht="1" customHeight="1">
      <s:c r="A24415" s="120" t="inlineStr"/>
      <s:c r="B24415" s="121" t="n"/>
      <s:c r="C24415" s="121" t="n"/>
      <s:c r="D24415" s="121" t="n"/>
      <s:c r="E24415" s="122" t="n"/>
    </s:row>
    <s:row r="24416" hidden="1" ht="1" customHeight="1">
      <s:c r="A24416" s="120" t="inlineStr"/>
      <s:c r="B24416" s="121" t="n"/>
      <s:c r="C24416" s="121" t="n"/>
      <s:c r="D24416" s="121" t="n"/>
      <s:c r="E24416" s="122" t="n"/>
    </s:row>
    <s:row r="24417" hidden="1" ht="1" customHeight="1">
      <s:c r="A24417" s="120" t="inlineStr"/>
      <s:c r="B24417" s="121" t="n"/>
      <s:c r="C24417" s="121" t="n"/>
      <s:c r="D24417" s="121" t="n"/>
      <s:c r="E24417" s="122" t="n"/>
    </s:row>
    <s:row r="24418" hidden="1" ht="1" customHeight="1">
      <s:c r="A24418" s="120" t="inlineStr"/>
      <s:c r="B24418" s="121" t="n"/>
      <s:c r="C24418" s="121" t="n"/>
      <s:c r="D24418" s="121" t="n"/>
      <s:c r="E24418" s="122" t="n"/>
    </s:row>
    <s:row r="24419" hidden="1" ht="1" customHeight="1">
      <s:c r="A24419" s="120" t="inlineStr"/>
      <s:c r="B24419" s="121" t="n"/>
      <s:c r="C24419" s="121" t="n"/>
      <s:c r="D24419" s="121" t="n"/>
      <s:c r="E24419" s="122" t="n"/>
    </s:row>
    <s:row r="24420" hidden="1" ht="1" customHeight="1">
      <s:c r="A24420" s="120" t="inlineStr"/>
      <s:c r="B24420" s="121" t="n"/>
      <s:c r="C24420" s="121" t="n"/>
      <s:c r="D24420" s="121" t="n"/>
      <s:c r="E24420" s="122" t="n"/>
    </s:row>
    <s:row r="24421" hidden="1" ht="1" customHeight="1">
      <s:c r="A24421" s="120" t="inlineStr"/>
      <s:c r="B24421" s="121" t="n"/>
      <s:c r="C24421" s="121" t="n"/>
      <s:c r="D24421" s="121" t="n"/>
      <s:c r="E24421" s="122" t="n"/>
    </s:row>
    <s:row r="24422" hidden="1" ht="1" customHeight="1">
      <s:c r="A24422" s="120" t="inlineStr"/>
      <s:c r="B24422" s="121" t="n"/>
      <s:c r="C24422" s="121" t="n"/>
      <s:c r="D24422" s="121" t="n"/>
      <s:c r="E24422" s="122" t="n"/>
    </s:row>
    <s:row r="24423" hidden="1" ht="1" customHeight="1">
      <s:c r="A24423" s="120" t="inlineStr"/>
      <s:c r="B24423" s="121" t="n"/>
      <s:c r="C24423" s="121" t="n"/>
      <s:c r="D24423" s="121" t="n"/>
      <s:c r="E24423" s="122" t="n"/>
    </s:row>
    <s:row r="24424" hidden="1" ht="1" customHeight="1">
      <s:c r="A24424" s="120" t="inlineStr"/>
      <s:c r="B24424" s="121" t="n"/>
      <s:c r="C24424" s="121" t="n"/>
      <s:c r="D24424" s="121" t="n"/>
      <s:c r="E24424" s="122" t="n"/>
    </s:row>
    <s:row r="24425" hidden="1" ht="1" customHeight="1">
      <s:c r="A24425" s="120" t="inlineStr"/>
      <s:c r="B24425" s="121" t="n"/>
      <s:c r="C24425" s="121" t="n"/>
      <s:c r="D24425" s="121" t="n"/>
      <s:c r="E24425" s="122" t="n"/>
    </s:row>
    <s:row r="24426" hidden="1" ht="1" customHeight="1">
      <s:c r="A24426" s="120" t="inlineStr"/>
      <s:c r="B24426" s="121" t="n"/>
      <s:c r="C24426" s="121" t="n"/>
      <s:c r="D24426" s="121" t="n"/>
      <s:c r="E24426" s="122" t="n"/>
    </s:row>
    <s:row r="24427" hidden="1" ht="1" customHeight="1">
      <s:c r="A24427" s="120" t="inlineStr"/>
      <s:c r="B24427" s="121" t="n"/>
      <s:c r="C24427" s="121" t="n"/>
      <s:c r="D24427" s="121" t="n"/>
      <s:c r="E24427" s="122" t="n"/>
    </s:row>
    <s:row r="24428" hidden="1" ht="1" customHeight="1">
      <s:c r="A24428" s="120" t="inlineStr"/>
      <s:c r="B24428" s="121" t="n"/>
      <s:c r="C24428" s="121" t="n"/>
      <s:c r="D24428" s="121" t="n"/>
      <s:c r="E24428" s="122" t="n"/>
    </s:row>
    <s:row r="24429" hidden="1" ht="1" customHeight="1">
      <s:c r="A24429" s="120" t="inlineStr"/>
      <s:c r="B24429" s="121" t="n"/>
      <s:c r="C24429" s="121" t="n"/>
      <s:c r="D24429" s="121" t="n"/>
      <s:c r="E24429" s="122" t="n"/>
    </s:row>
    <s:row r="24430" hidden="1" ht="1" customHeight="1">
      <s:c r="A24430" s="120" t="inlineStr"/>
      <s:c r="B24430" s="121" t="n"/>
      <s:c r="C24430" s="121" t="n"/>
      <s:c r="D24430" s="121" t="n"/>
      <s:c r="E24430" s="122" t="n"/>
    </s:row>
    <s:row r="24431" hidden="1" ht="1" customHeight="1">
      <s:c r="A24431" s="120" t="inlineStr"/>
      <s:c r="B24431" s="121" t="n"/>
      <s:c r="C24431" s="121" t="n"/>
      <s:c r="D24431" s="121" t="n"/>
      <s:c r="E24431" s="122" t="n"/>
    </s:row>
    <s:row r="24432" hidden="1" ht="1" customHeight="1">
      <s:c r="A24432" s="120" t="inlineStr"/>
      <s:c r="B24432" s="121" t="n"/>
      <s:c r="C24432" s="121" t="n"/>
      <s:c r="D24432" s="121" t="n"/>
      <s:c r="E24432" s="122" t="n"/>
    </s:row>
    <s:row r="24433" hidden="1" ht="1" customHeight="1">
      <s:c r="A24433" s="120" t="inlineStr"/>
      <s:c r="B24433" s="121" t="n"/>
      <s:c r="C24433" s="121" t="n"/>
      <s:c r="D24433" s="121" t="n"/>
      <s:c r="E24433" s="122" t="n"/>
    </s:row>
    <s:row r="24434" hidden="1" ht="1" customHeight="1">
      <s:c r="A24434" s="120" t="inlineStr"/>
      <s:c r="B24434" s="121" t="n"/>
      <s:c r="C24434" s="121" t="n"/>
      <s:c r="D24434" s="121" t="n"/>
      <s:c r="E24434" s="122" t="n"/>
    </s:row>
    <s:row r="24435" hidden="1" ht="1" customHeight="1">
      <s:c r="A24435" s="120" t="inlineStr"/>
      <s:c r="B24435" s="121" t="n"/>
      <s:c r="C24435" s="121" t="n"/>
      <s:c r="D24435" s="121" t="n"/>
      <s:c r="E24435" s="122" t="n"/>
    </s:row>
    <s:row r="24436" hidden="1" ht="1" customHeight="1">
      <s:c r="A24436" s="120" t="inlineStr"/>
      <s:c r="B24436" s="121" t="n"/>
      <s:c r="C24436" s="121" t="n"/>
      <s:c r="D24436" s="121" t="n"/>
      <s:c r="E24436" s="122" t="n"/>
    </s:row>
    <s:row r="24437" hidden="1" ht="1" customHeight="1">
      <s:c r="A24437" s="120" t="inlineStr"/>
      <s:c r="B24437" s="121" t="n"/>
      <s:c r="C24437" s="121" t="n"/>
      <s:c r="D24437" s="121" t="n"/>
      <s:c r="E24437" s="122" t="n"/>
    </s:row>
    <s:row r="24438" hidden="1" ht="1" customHeight="1">
      <s:c r="A24438" s="120" t="inlineStr"/>
      <s:c r="B24438" s="121" t="n"/>
      <s:c r="C24438" s="121" t="n"/>
      <s:c r="D24438" s="121" t="n"/>
      <s:c r="E24438" s="122" t="n"/>
    </s:row>
    <s:row r="24439" hidden="1" ht="1" customHeight="1">
      <s:c r="A24439" s="120" t="inlineStr"/>
      <s:c r="B24439" s="121" t="n"/>
      <s:c r="C24439" s="121" t="n"/>
      <s:c r="D24439" s="121" t="n"/>
      <s:c r="E24439" s="122" t="n"/>
    </s:row>
    <s:row r="24440" hidden="1" ht="1" customHeight="1">
      <s:c r="A24440" s="120" t="inlineStr"/>
      <s:c r="B24440" s="121" t="n"/>
      <s:c r="C24440" s="121" t="n"/>
      <s:c r="D24440" s="121" t="n"/>
      <s:c r="E24440" s="122" t="n"/>
    </s:row>
    <s:row r="24441" hidden="1" ht="1" customHeight="1">
      <s:c r="A24441" s="120" t="inlineStr"/>
      <s:c r="B24441" s="121" t="n"/>
      <s:c r="C24441" s="121" t="n"/>
      <s:c r="D24441" s="121" t="n"/>
      <s:c r="E24441" s="122" t="n"/>
    </s:row>
    <s:row r="24442" hidden="1" ht="1" customHeight="1">
      <s:c r="A24442" s="120" t="inlineStr"/>
      <s:c r="B24442" s="121" t="n"/>
      <s:c r="C24442" s="121" t="n"/>
      <s:c r="D24442" s="121" t="n"/>
      <s:c r="E24442" s="122" t="n"/>
    </s:row>
    <s:row r="24443" hidden="1" ht="1" customHeight="1">
      <s:c r="A24443" s="120" t="inlineStr"/>
      <s:c r="B24443" s="121" t="n"/>
      <s:c r="C24443" s="121" t="n"/>
      <s:c r="D24443" s="121" t="n"/>
      <s:c r="E24443" s="122" t="n"/>
    </s:row>
    <s:row r="24444" hidden="1" ht="1" customHeight="1">
      <s:c r="A24444" s="120" t="inlineStr"/>
      <s:c r="B24444" s="121" t="n"/>
      <s:c r="C24444" s="121" t="n"/>
      <s:c r="D24444" s="121" t="n"/>
      <s:c r="E24444" s="122" t="n"/>
    </s:row>
    <s:row r="24445" hidden="1" ht="1" customHeight="1">
      <s:c r="A24445" s="120" t="inlineStr"/>
      <s:c r="B24445" s="121" t="n"/>
      <s:c r="C24445" s="121" t="n"/>
      <s:c r="D24445" s="121" t="n"/>
      <s:c r="E24445" s="122" t="n"/>
    </s:row>
    <s:row r="24446" hidden="1" ht="1" customHeight="1">
      <s:c r="A24446" s="120" t="inlineStr"/>
      <s:c r="B24446" s="121" t="n"/>
      <s:c r="C24446" s="121" t="n"/>
      <s:c r="D24446" s="121" t="n"/>
      <s:c r="E24446" s="122" t="n"/>
    </s:row>
    <s:row r="24447" hidden="1" ht="1" customHeight="1">
      <s:c r="A24447" s="120" t="inlineStr"/>
      <s:c r="B24447" s="121" t="n"/>
      <s:c r="C24447" s="121" t="n"/>
      <s:c r="D24447" s="121" t="n"/>
      <s:c r="E24447" s="122" t="n"/>
    </s:row>
    <s:row r="24448" hidden="1" ht="1" customHeight="1">
      <s:c r="A24448" s="120" t="inlineStr"/>
      <s:c r="B24448" s="121" t="n"/>
      <s:c r="C24448" s="121" t="n"/>
      <s:c r="D24448" s="121" t="n"/>
      <s:c r="E24448" s="122" t="n"/>
    </s:row>
    <s:row r="24449" hidden="1" ht="1" customHeight="1">
      <s:c r="A24449" s="120" t="inlineStr"/>
      <s:c r="B24449" s="121" t="n"/>
      <s:c r="C24449" s="121" t="n"/>
      <s:c r="D24449" s="121" t="n"/>
      <s:c r="E24449" s="122" t="n"/>
    </s:row>
    <s:row r="24450" hidden="1" ht="1" customHeight="1">
      <s:c r="A24450" s="120" t="inlineStr"/>
      <s:c r="B24450" s="121" t="n"/>
      <s:c r="C24450" s="121" t="n"/>
      <s:c r="D24450" s="121" t="n"/>
      <s:c r="E24450" s="122" t="n"/>
    </s:row>
    <s:row r="24451" hidden="1" ht="1" customHeight="1">
      <s:c r="A24451" s="120" t="inlineStr"/>
      <s:c r="B24451" s="121" t="n"/>
      <s:c r="C24451" s="121" t="n"/>
      <s:c r="D24451" s="121" t="n"/>
      <s:c r="E24451" s="122" t="n"/>
    </s:row>
    <s:row r="24452" hidden="1" ht="1" customHeight="1">
      <s:c r="A24452" s="120" t="inlineStr"/>
      <s:c r="B24452" s="121" t="n"/>
      <s:c r="C24452" s="121" t="n"/>
      <s:c r="D24452" s="121" t="n"/>
      <s:c r="E24452" s="122" t="n"/>
    </s:row>
    <s:row r="24453" hidden="1" ht="1" customHeight="1">
      <s:c r="A24453" s="120" t="inlineStr"/>
      <s:c r="B24453" s="121" t="n"/>
      <s:c r="C24453" s="121" t="n"/>
      <s:c r="D24453" s="121" t="n"/>
      <s:c r="E24453" s="122" t="n"/>
    </s:row>
    <s:row r="24454" hidden="1" ht="1" customHeight="1">
      <s:c r="A24454" s="120" t="inlineStr"/>
      <s:c r="B24454" s="121" t="n"/>
      <s:c r="C24454" s="121" t="n"/>
      <s:c r="D24454" s="121" t="n"/>
      <s:c r="E24454" s="122" t="n"/>
    </s:row>
    <s:row r="24455" hidden="1" ht="1" customHeight="1">
      <s:c r="A24455" s="120" t="inlineStr"/>
      <s:c r="B24455" s="121" t="n"/>
      <s:c r="C24455" s="121" t="n"/>
      <s:c r="D24455" s="121" t="n"/>
      <s:c r="E24455" s="122" t="n"/>
    </s:row>
    <s:row r="24456" hidden="1" ht="1" customHeight="1">
      <s:c r="A24456" s="120" t="inlineStr"/>
      <s:c r="B24456" s="121" t="n"/>
      <s:c r="C24456" s="121" t="n"/>
      <s:c r="D24456" s="121" t="n"/>
      <s:c r="E24456" s="122" t="n"/>
    </s:row>
    <s:row r="24457" hidden="1" ht="1" customHeight="1">
      <s:c r="A24457" s="120" t="inlineStr"/>
      <s:c r="B24457" s="121" t="n"/>
      <s:c r="C24457" s="121" t="n"/>
      <s:c r="D24457" s="121" t="n"/>
      <s:c r="E24457" s="122" t="n"/>
    </s:row>
    <s:row r="24458" hidden="1" ht="1" customHeight="1">
      <s:c r="A24458" s="120" t="inlineStr"/>
      <s:c r="B24458" s="121" t="n"/>
      <s:c r="C24458" s="121" t="n"/>
      <s:c r="D24458" s="121" t="n"/>
      <s:c r="E24458" s="122" t="n"/>
    </s:row>
    <s:row r="24459" hidden="1" ht="1" customHeight="1">
      <s:c r="A24459" s="120" t="inlineStr"/>
      <s:c r="B24459" s="121" t="n"/>
      <s:c r="C24459" s="121" t="n"/>
      <s:c r="D24459" s="121" t="n"/>
      <s:c r="E24459" s="122" t="n"/>
    </s:row>
    <s:row r="24460" hidden="1" ht="1" customHeight="1">
      <s:c r="A24460" s="120" t="inlineStr"/>
      <s:c r="B24460" s="121" t="n"/>
      <s:c r="C24460" s="121" t="n"/>
      <s:c r="D24460" s="121" t="n"/>
      <s:c r="E24460" s="122" t="n"/>
    </s:row>
    <s:row r="24461" hidden="1" ht="1" customHeight="1">
      <s:c r="A24461" s="120" t="inlineStr"/>
      <s:c r="B24461" s="121" t="n"/>
      <s:c r="C24461" s="121" t="n"/>
      <s:c r="D24461" s="121" t="n"/>
      <s:c r="E24461" s="122" t="n"/>
    </s:row>
    <s:row r="24462" hidden="1" ht="1" customHeight="1">
      <s:c r="A24462" s="120" t="inlineStr"/>
      <s:c r="B24462" s="121" t="n"/>
      <s:c r="C24462" s="121" t="n"/>
      <s:c r="D24462" s="121" t="n"/>
      <s:c r="E24462" s="122" t="n"/>
    </s:row>
    <s:row r="24463" hidden="1" ht="1" customHeight="1">
      <s:c r="A24463" s="120" t="inlineStr"/>
      <s:c r="B24463" s="121" t="n"/>
      <s:c r="C24463" s="121" t="n"/>
      <s:c r="D24463" s="121" t="n"/>
      <s:c r="E24463" s="122" t="n"/>
    </s:row>
    <s:row r="24464" hidden="1" ht="1" customHeight="1">
      <s:c r="A24464" s="120" t="inlineStr"/>
      <s:c r="B24464" s="121" t="n"/>
      <s:c r="C24464" s="121" t="n"/>
      <s:c r="D24464" s="121" t="n"/>
      <s:c r="E24464" s="122" t="n"/>
    </s:row>
    <s:row r="24465" hidden="1" ht="1" customHeight="1">
      <s:c r="A24465" s="120" t="inlineStr"/>
      <s:c r="B24465" s="121" t="n"/>
      <s:c r="C24465" s="121" t="n"/>
      <s:c r="D24465" s="121" t="n"/>
      <s:c r="E24465" s="122" t="n"/>
    </s:row>
    <s:row r="24466" hidden="1" ht="1" customHeight="1">
      <s:c r="A24466" s="120" t="inlineStr"/>
      <s:c r="B24466" s="121" t="n"/>
      <s:c r="C24466" s="121" t="n"/>
      <s:c r="D24466" s="121" t="n"/>
      <s:c r="E24466" s="122" t="n"/>
    </s:row>
    <s:row r="24467" hidden="1" ht="1" customHeight="1">
      <s:c r="A24467" s="120" t="inlineStr"/>
      <s:c r="B24467" s="121" t="n"/>
      <s:c r="C24467" s="121" t="n"/>
      <s:c r="D24467" s="121" t="n"/>
      <s:c r="E24467" s="122" t="n"/>
    </s:row>
    <s:row r="24468" hidden="1" ht="1" customHeight="1">
      <s:c r="A24468" s="120" t="inlineStr"/>
      <s:c r="B24468" s="121" t="n"/>
      <s:c r="C24468" s="121" t="n"/>
      <s:c r="D24468" s="121" t="n"/>
      <s:c r="E24468" s="122" t="n"/>
    </s:row>
    <s:row r="24469" hidden="1" ht="1" customHeight="1">
      <s:c r="A24469" s="120" t="inlineStr"/>
      <s:c r="B24469" s="121" t="n"/>
      <s:c r="C24469" s="121" t="n"/>
      <s:c r="D24469" s="121" t="n"/>
      <s:c r="E24469" s="122" t="n"/>
    </s:row>
    <s:row r="24470" hidden="1" ht="1" customHeight="1">
      <s:c r="A24470" s="120" t="inlineStr"/>
      <s:c r="B24470" s="121" t="n"/>
      <s:c r="C24470" s="121" t="n"/>
      <s:c r="D24470" s="121" t="n"/>
      <s:c r="E24470" s="122" t="n"/>
    </s:row>
    <s:row r="24471" hidden="1" ht="1" customHeight="1">
      <s:c r="A24471" s="120" t="inlineStr"/>
      <s:c r="B24471" s="121" t="n"/>
      <s:c r="C24471" s="121" t="n"/>
      <s:c r="D24471" s="121" t="n"/>
      <s:c r="E24471" s="122" t="n"/>
    </s:row>
    <s:row r="24472" hidden="1" ht="1" customHeight="1">
      <s:c r="A24472" s="120" t="inlineStr"/>
      <s:c r="B24472" s="121" t="n"/>
      <s:c r="C24472" s="121" t="n"/>
      <s:c r="D24472" s="121" t="n"/>
      <s:c r="E24472" s="122" t="n"/>
    </s:row>
    <s:row r="24473" hidden="1" ht="1" customHeight="1">
      <s:c r="A24473" s="120" t="inlineStr"/>
      <s:c r="B24473" s="121" t="n"/>
      <s:c r="C24473" s="121" t="n"/>
      <s:c r="D24473" s="121" t="n"/>
      <s:c r="E24473" s="122" t="n"/>
    </s:row>
    <s:row r="24474" hidden="1" ht="1" customHeight="1">
      <s:c r="A24474" s="120" t="inlineStr"/>
      <s:c r="B24474" s="121" t="n"/>
      <s:c r="C24474" s="121" t="n"/>
      <s:c r="D24474" s="121" t="n"/>
      <s:c r="E24474" s="122" t="n"/>
    </s:row>
    <s:row r="24475" hidden="1" ht="1" customHeight="1">
      <s:c r="A24475" s="120" t="inlineStr"/>
      <s:c r="B24475" s="121" t="n"/>
      <s:c r="C24475" s="121" t="n"/>
      <s:c r="D24475" s="121" t="n"/>
      <s:c r="E24475" s="122" t="n"/>
    </s:row>
    <s:row r="24476" hidden="1" ht="1" customHeight="1">
      <s:c r="A24476" s="120" t="inlineStr"/>
      <s:c r="B24476" s="121" t="n"/>
      <s:c r="C24476" s="121" t="n"/>
      <s:c r="D24476" s="121" t="n"/>
      <s:c r="E24476" s="122" t="n"/>
    </s:row>
    <s:row r="24477" hidden="1" ht="1" customHeight="1">
      <s:c r="A24477" s="120" t="inlineStr"/>
      <s:c r="B24477" s="121" t="n"/>
      <s:c r="C24477" s="121" t="n"/>
      <s:c r="D24477" s="121" t="n"/>
      <s:c r="E24477" s="122" t="n"/>
    </s:row>
    <s:row r="24478" hidden="1" ht="1" customHeight="1">
      <s:c r="A24478" s="120" t="inlineStr"/>
      <s:c r="B24478" s="121" t="n"/>
      <s:c r="C24478" s="121" t="n"/>
      <s:c r="D24478" s="121" t="n"/>
      <s:c r="E24478" s="122" t="n"/>
    </s:row>
    <s:row r="24479" hidden="1" ht="1" customHeight="1">
      <s:c r="A24479" s="120" t="inlineStr"/>
      <s:c r="B24479" s="121" t="n"/>
      <s:c r="C24479" s="121" t="n"/>
      <s:c r="D24479" s="121" t="n"/>
      <s:c r="E24479" s="122" t="n"/>
    </s:row>
    <s:row r="24480" hidden="1" ht="1" customHeight="1">
      <s:c r="A24480" s="120" t="inlineStr"/>
      <s:c r="B24480" s="121" t="n"/>
      <s:c r="C24480" s="121" t="n"/>
      <s:c r="D24480" s="121" t="n"/>
      <s:c r="E24480" s="122" t="n"/>
    </s:row>
    <s:row r="24481" hidden="1" ht="1" customHeight="1">
      <s:c r="A24481" s="120" t="inlineStr"/>
      <s:c r="B24481" s="121" t="n"/>
      <s:c r="C24481" s="121" t="n"/>
      <s:c r="D24481" s="121" t="n"/>
      <s:c r="E24481" s="122" t="n"/>
    </s:row>
    <s:row r="24482" hidden="1" ht="1" customHeight="1">
      <s:c r="A24482" s="120" t="inlineStr"/>
      <s:c r="B24482" s="121" t="n"/>
      <s:c r="C24482" s="121" t="n"/>
      <s:c r="D24482" s="121" t="n"/>
      <s:c r="E24482" s="122" t="n"/>
    </s:row>
    <s:row r="24483" hidden="1" ht="1" customHeight="1">
      <s:c r="A24483" s="120" t="inlineStr"/>
      <s:c r="B24483" s="121" t="n"/>
      <s:c r="C24483" s="121" t="n"/>
      <s:c r="D24483" s="121" t="n"/>
      <s:c r="E24483" s="122" t="n"/>
    </s:row>
    <s:row r="24484" hidden="1" ht="1" customHeight="1">
      <s:c r="A24484" s="120" t="inlineStr"/>
      <s:c r="B24484" s="121" t="n"/>
      <s:c r="C24484" s="121" t="n"/>
      <s:c r="D24484" s="121" t="n"/>
      <s:c r="E24484" s="122" t="n"/>
    </s:row>
    <s:row r="24485" hidden="1" ht="1" customHeight="1">
      <s:c r="A24485" s="120" t="inlineStr"/>
      <s:c r="B24485" s="121" t="n"/>
      <s:c r="C24485" s="121" t="n"/>
      <s:c r="D24485" s="121" t="n"/>
      <s:c r="E24485" s="122" t="n"/>
    </s:row>
    <s:row r="24486" hidden="1" ht="1" customHeight="1">
      <s:c r="A24486" s="120" t="inlineStr"/>
      <s:c r="B24486" s="121" t="n"/>
      <s:c r="C24486" s="121" t="n"/>
      <s:c r="D24486" s="121" t="n"/>
      <s:c r="E24486" s="122" t="n"/>
    </s:row>
    <s:row r="24487" hidden="1" ht="1" customHeight="1">
      <s:c r="A24487" s="120" t="inlineStr"/>
      <s:c r="B24487" s="121" t="n"/>
      <s:c r="C24487" s="121" t="n"/>
      <s:c r="D24487" s="121" t="n"/>
      <s:c r="E24487" s="122" t="n"/>
    </s:row>
    <s:row r="24488" hidden="1" ht="1" customHeight="1">
      <s:c r="A24488" s="120" t="inlineStr"/>
      <s:c r="B24488" s="121" t="n"/>
      <s:c r="C24488" s="121" t="n"/>
      <s:c r="D24488" s="121" t="n"/>
      <s:c r="E24488" s="122" t="n"/>
    </s:row>
    <s:row r="24489" hidden="1" ht="1" customHeight="1">
      <s:c r="A24489" s="120" t="inlineStr"/>
      <s:c r="B24489" s="121" t="n"/>
      <s:c r="C24489" s="121" t="n"/>
      <s:c r="D24489" s="121" t="n"/>
      <s:c r="E24489" s="122" t="n"/>
    </s:row>
    <s:row r="24490" hidden="1" ht="1" customHeight="1">
      <s:c r="A24490" s="120" t="inlineStr"/>
      <s:c r="B24490" s="121" t="n"/>
      <s:c r="C24490" s="121" t="n"/>
      <s:c r="D24490" s="121" t="n"/>
      <s:c r="E24490" s="122" t="n"/>
    </s:row>
    <s:row r="24491" hidden="1" ht="1" customHeight="1">
      <s:c r="A24491" s="120" t="inlineStr"/>
      <s:c r="B24491" s="121" t="n"/>
      <s:c r="C24491" s="121" t="n"/>
      <s:c r="D24491" s="121" t="n"/>
      <s:c r="E24491" s="122" t="n"/>
    </s:row>
    <s:row r="24492" hidden="1" ht="1" customHeight="1">
      <s:c r="A24492" s="120" t="inlineStr"/>
      <s:c r="B24492" s="121" t="n"/>
      <s:c r="C24492" s="121" t="n"/>
      <s:c r="D24492" s="121" t="n"/>
      <s:c r="E24492" s="122" t="n"/>
    </s:row>
    <s:row r="24493" hidden="1" ht="1" customHeight="1">
      <s:c r="A24493" s="120" t="inlineStr"/>
      <s:c r="B24493" s="121" t="n"/>
      <s:c r="C24493" s="121" t="n"/>
      <s:c r="D24493" s="121" t="n"/>
      <s:c r="E24493" s="122" t="n"/>
    </s:row>
    <s:row r="24494" hidden="1" ht="1" customHeight="1">
      <s:c r="A24494" s="120" t="inlineStr"/>
      <s:c r="B24494" s="121" t="n"/>
      <s:c r="C24494" s="121" t="n"/>
      <s:c r="D24494" s="121" t="n"/>
      <s:c r="E24494" s="122" t="n"/>
    </s:row>
    <s:row r="24495" hidden="1" ht="1" customHeight="1">
      <s:c r="A24495" s="120" t="inlineStr"/>
      <s:c r="B24495" s="121" t="n"/>
      <s:c r="C24495" s="121" t="n"/>
      <s:c r="D24495" s="121" t="n"/>
      <s:c r="E24495" s="122" t="n"/>
    </s:row>
    <s:row r="24496" hidden="1" ht="1" customHeight="1">
      <s:c r="A24496" s="120" t="inlineStr"/>
      <s:c r="B24496" s="121" t="n"/>
      <s:c r="C24496" s="121" t="n"/>
      <s:c r="D24496" s="121" t="n"/>
      <s:c r="E24496" s="122" t="n"/>
    </s:row>
    <s:row r="24497" hidden="1" ht="1" customHeight="1">
      <s:c r="A24497" s="120" t="inlineStr"/>
      <s:c r="B24497" s="121" t="n"/>
      <s:c r="C24497" s="121" t="n"/>
      <s:c r="D24497" s="121" t="n"/>
      <s:c r="E24497" s="122" t="n"/>
    </s:row>
    <s:row r="24498" hidden="1" ht="1" customHeight="1">
      <s:c r="A24498" s="120" t="inlineStr"/>
      <s:c r="B24498" s="121" t="n"/>
      <s:c r="C24498" s="121" t="n"/>
      <s:c r="D24498" s="121" t="n"/>
      <s:c r="E24498" s="122" t="n"/>
    </s:row>
    <s:row r="24499" hidden="1" ht="1" customHeight="1">
      <s:c r="A24499" s="120" t="inlineStr"/>
      <s:c r="B24499" s="121" t="n"/>
      <s:c r="C24499" s="121" t="n"/>
      <s:c r="D24499" s="121" t="n"/>
      <s:c r="E24499" s="122" t="n"/>
    </s:row>
    <s:row r="24500" hidden="1" ht="1" customHeight="1">
      <s:c r="A24500" s="120" t="inlineStr"/>
      <s:c r="B24500" s="121" t="n"/>
      <s:c r="C24500" s="121" t="n"/>
      <s:c r="D24500" s="121" t="n"/>
      <s:c r="E24500" s="122" t="n"/>
    </s:row>
    <s:row r="24501" hidden="1" ht="1" customHeight="1">
      <s:c r="A24501" s="120" t="inlineStr"/>
      <s:c r="B24501" s="121" t="n"/>
      <s:c r="C24501" s="121" t="n"/>
      <s:c r="D24501" s="121" t="n"/>
      <s:c r="E24501" s="122" t="n"/>
    </s:row>
    <s:row r="24502" hidden="1" ht="1" customHeight="1">
      <s:c r="A24502" s="120" t="inlineStr"/>
      <s:c r="B24502" s="121" t="n"/>
      <s:c r="C24502" s="121" t="n"/>
      <s:c r="D24502" s="121" t="n"/>
      <s:c r="E24502" s="122" t="n"/>
    </s:row>
    <s:row r="24503" hidden="1" ht="1" customHeight="1">
      <s:c r="A24503" s="120" t="inlineStr"/>
      <s:c r="B24503" s="121" t="n"/>
      <s:c r="C24503" s="121" t="n"/>
      <s:c r="D24503" s="121" t="n"/>
      <s:c r="E24503" s="122" t="n"/>
    </s:row>
    <s:row r="24504" hidden="1" ht="1" customHeight="1">
      <s:c r="A24504" s="120" t="inlineStr"/>
      <s:c r="B24504" s="121" t="n"/>
      <s:c r="C24504" s="121" t="n"/>
      <s:c r="D24504" s="121" t="n"/>
      <s:c r="E24504" s="122" t="n"/>
    </s:row>
    <s:row r="24505" hidden="1" ht="1" customHeight="1">
      <s:c r="A24505" s="120" t="inlineStr"/>
      <s:c r="B24505" s="121" t="n"/>
      <s:c r="C24505" s="121" t="n"/>
      <s:c r="D24505" s="121" t="n"/>
      <s:c r="E24505" s="122" t="n"/>
    </s:row>
    <s:row r="24506" hidden="1" ht="1" customHeight="1">
      <s:c r="A24506" s="120" t="inlineStr"/>
      <s:c r="B24506" s="121" t="n"/>
      <s:c r="C24506" s="121" t="n"/>
      <s:c r="D24506" s="121" t="n"/>
      <s:c r="E24506" s="122" t="n"/>
    </s:row>
    <s:row r="24507" hidden="1" ht="1" customHeight="1">
      <s:c r="A24507" s="120" t="inlineStr"/>
      <s:c r="B24507" s="121" t="n"/>
      <s:c r="C24507" s="121" t="n"/>
      <s:c r="D24507" s="121" t="n"/>
      <s:c r="E24507" s="122" t="n"/>
    </s:row>
    <s:row r="24508" hidden="1" ht="1" customHeight="1">
      <s:c r="A24508" s="120" t="inlineStr"/>
      <s:c r="B24508" s="121" t="n"/>
      <s:c r="C24508" s="121" t="n"/>
      <s:c r="D24508" s="121" t="n"/>
      <s:c r="E24508" s="122" t="n"/>
    </s:row>
    <s:row r="24509" hidden="1" ht="1" customHeight="1">
      <s:c r="A24509" s="120" t="inlineStr"/>
      <s:c r="B24509" s="121" t="n"/>
      <s:c r="C24509" s="121" t="n"/>
      <s:c r="D24509" s="121" t="n"/>
      <s:c r="E24509" s="122" t="n"/>
    </s:row>
    <s:row r="24510" hidden="1" ht="1" customHeight="1">
      <s:c r="A24510" s="120" t="inlineStr"/>
      <s:c r="B24510" s="121" t="n"/>
      <s:c r="C24510" s="121" t="n"/>
      <s:c r="D24510" s="121" t="n"/>
      <s:c r="E24510" s="122" t="n"/>
    </s:row>
    <s:row r="24511" hidden="1" ht="1" customHeight="1">
      <s:c r="A24511" s="120" t="inlineStr"/>
      <s:c r="B24511" s="121" t="n"/>
      <s:c r="C24511" s="121" t="n"/>
      <s:c r="D24511" s="121" t="n"/>
      <s:c r="E24511" s="122" t="n"/>
    </s:row>
    <s:row r="24512" hidden="1" ht="1" customHeight="1">
      <s:c r="A24512" s="120" t="inlineStr"/>
      <s:c r="B24512" s="121" t="n"/>
      <s:c r="C24512" s="121" t="n"/>
      <s:c r="D24512" s="121" t="n"/>
      <s:c r="E24512" s="122" t="n"/>
    </s:row>
    <s:row r="24513" hidden="1" ht="1" customHeight="1">
      <s:c r="A24513" s="120" t="inlineStr"/>
      <s:c r="B24513" s="121" t="n"/>
      <s:c r="C24513" s="121" t="n"/>
      <s:c r="D24513" s="121" t="n"/>
      <s:c r="E24513" s="122" t="n"/>
    </s:row>
    <s:row r="24514" hidden="1" ht="1" customHeight="1">
      <s:c r="A24514" s="120" t="inlineStr"/>
      <s:c r="B24514" s="121" t="n"/>
      <s:c r="C24514" s="121" t="n"/>
      <s:c r="D24514" s="121" t="n"/>
      <s:c r="E24514" s="122" t="n"/>
    </s:row>
    <s:row r="24515" hidden="1" ht="1" customHeight="1">
      <s:c r="A24515" s="120" t="inlineStr"/>
      <s:c r="B24515" s="121" t="n"/>
      <s:c r="C24515" s="121" t="n"/>
      <s:c r="D24515" s="121" t="n"/>
      <s:c r="E24515" s="122" t="n"/>
    </s:row>
    <s:row r="24516" hidden="1" ht="1" customHeight="1">
      <s:c r="A24516" s="120" t="inlineStr"/>
      <s:c r="B24516" s="121" t="n"/>
      <s:c r="C24516" s="121" t="n"/>
      <s:c r="D24516" s="121" t="n"/>
      <s:c r="E24516" s="122" t="n"/>
    </s:row>
    <s:row r="24517" hidden="1" ht="1" customHeight="1">
      <s:c r="A24517" s="120" t="inlineStr"/>
      <s:c r="B24517" s="121" t="n"/>
      <s:c r="C24517" s="121" t="n"/>
      <s:c r="D24517" s="121" t="n"/>
      <s:c r="E24517" s="122" t="n"/>
    </s:row>
    <s:row r="24518" hidden="1" ht="1" customHeight="1">
      <s:c r="A24518" s="120" t="inlineStr"/>
      <s:c r="B24518" s="121" t="n"/>
      <s:c r="C24518" s="121" t="n"/>
      <s:c r="D24518" s="121" t="n"/>
      <s:c r="E24518" s="122" t="n"/>
    </s:row>
    <s:row r="24519" hidden="1" ht="1" customHeight="1">
      <s:c r="A24519" s="120" t="inlineStr"/>
      <s:c r="B24519" s="121" t="n"/>
      <s:c r="C24519" s="121" t="n"/>
      <s:c r="D24519" s="121" t="n"/>
      <s:c r="E24519" s="122" t="n"/>
    </s:row>
    <s:row r="24520" hidden="1" ht="1" customHeight="1">
      <s:c r="A24520" s="120" t="inlineStr"/>
      <s:c r="B24520" s="121" t="n"/>
      <s:c r="C24520" s="121" t="n"/>
      <s:c r="D24520" s="121" t="n"/>
      <s:c r="E24520" s="122" t="n"/>
    </s:row>
    <s:row r="24521" hidden="1" ht="1" customHeight="1">
      <s:c r="A24521" s="120" t="inlineStr"/>
      <s:c r="B24521" s="121" t="n"/>
      <s:c r="C24521" s="121" t="n"/>
      <s:c r="D24521" s="121" t="n"/>
      <s:c r="E24521" s="122" t="n"/>
    </s:row>
    <s:row r="24522" hidden="1" ht="1" customHeight="1">
      <s:c r="A24522" s="120" t="inlineStr"/>
      <s:c r="B24522" s="121" t="n"/>
      <s:c r="C24522" s="121" t="n"/>
      <s:c r="D24522" s="121" t="n"/>
      <s:c r="E24522" s="122" t="n"/>
    </s:row>
    <s:row r="24523" hidden="1" ht="1" customHeight="1">
      <s:c r="A24523" s="120" t="inlineStr"/>
      <s:c r="B24523" s="121" t="n"/>
      <s:c r="C24523" s="121" t="n"/>
      <s:c r="D24523" s="121" t="n"/>
      <s:c r="E24523" s="122" t="n"/>
    </s:row>
    <s:row r="24524" hidden="1" ht="1" customHeight="1">
      <s:c r="A24524" s="120" t="inlineStr"/>
      <s:c r="B24524" s="121" t="n"/>
      <s:c r="C24524" s="121" t="n"/>
      <s:c r="D24524" s="121" t="n"/>
      <s:c r="E24524" s="122" t="n"/>
    </s:row>
    <s:row r="24525" hidden="1" ht="1" customHeight="1">
      <s:c r="A24525" s="120" t="inlineStr"/>
      <s:c r="B24525" s="121" t="n"/>
      <s:c r="C24525" s="121" t="n"/>
      <s:c r="D24525" s="121" t="n"/>
      <s:c r="E24525" s="122" t="n"/>
    </s:row>
    <s:row r="24526" hidden="1" ht="1" customHeight="1">
      <s:c r="A24526" s="120" t="inlineStr"/>
      <s:c r="B24526" s="121" t="n"/>
      <s:c r="C24526" s="121" t="n"/>
      <s:c r="D24526" s="121" t="n"/>
      <s:c r="E24526" s="122" t="n"/>
    </s:row>
    <s:row r="24527" hidden="1" ht="1" customHeight="1">
      <s:c r="A24527" s="120" t="inlineStr"/>
      <s:c r="B24527" s="121" t="n"/>
      <s:c r="C24527" s="121" t="n"/>
      <s:c r="D24527" s="121" t="n"/>
      <s:c r="E24527" s="122" t="n"/>
    </s:row>
    <s:row r="24528" hidden="1" ht="1" customHeight="1">
      <s:c r="A24528" s="120" t="inlineStr"/>
      <s:c r="B24528" s="121" t="n"/>
      <s:c r="C24528" s="121" t="n"/>
      <s:c r="D24528" s="121" t="n"/>
      <s:c r="E24528" s="122" t="n"/>
    </s:row>
    <s:row r="24529" hidden="1" ht="1" customHeight="1">
      <s:c r="A24529" s="120" t="inlineStr"/>
      <s:c r="B24529" s="121" t="n"/>
      <s:c r="C24529" s="121" t="n"/>
      <s:c r="D24529" s="121" t="n"/>
      <s:c r="E24529" s="122" t="n"/>
    </s:row>
    <s:row r="24530" hidden="1" ht="1" customHeight="1">
      <s:c r="A24530" s="120" t="inlineStr"/>
      <s:c r="B24530" s="121" t="n"/>
      <s:c r="C24530" s="121" t="n"/>
      <s:c r="D24530" s="121" t="n"/>
      <s:c r="E24530" s="122" t="n"/>
    </s:row>
    <s:row r="24531" hidden="1" ht="1" customHeight="1">
      <s:c r="A24531" s="120" t="inlineStr"/>
      <s:c r="B24531" s="121" t="n"/>
      <s:c r="C24531" s="121" t="n"/>
      <s:c r="D24531" s="121" t="n"/>
      <s:c r="E24531" s="122" t="n"/>
    </s:row>
    <s:row r="24532" hidden="1" ht="1" customHeight="1">
      <s:c r="A24532" s="120" t="inlineStr"/>
      <s:c r="B24532" s="121" t="n"/>
      <s:c r="C24532" s="121" t="n"/>
      <s:c r="D24532" s="121" t="n"/>
      <s:c r="E24532" s="122" t="n"/>
    </s:row>
    <s:row r="24533" hidden="1" ht="1" customHeight="1">
      <s:c r="A24533" s="120" t="inlineStr"/>
      <s:c r="B24533" s="121" t="n"/>
      <s:c r="C24533" s="121" t="n"/>
      <s:c r="D24533" s="121" t="n"/>
      <s:c r="E24533" s="122" t="n"/>
    </s:row>
    <s:row r="24534" hidden="1" ht="1" customHeight="1">
      <s:c r="A24534" s="120" t="inlineStr"/>
      <s:c r="B24534" s="121" t="n"/>
      <s:c r="C24534" s="121" t="n"/>
      <s:c r="D24534" s="121" t="n"/>
      <s:c r="E24534" s="122" t="n"/>
    </s:row>
    <s:row r="24535" hidden="1" ht="1" customHeight="1">
      <s:c r="A24535" s="120" t="inlineStr"/>
      <s:c r="B24535" s="121" t="n"/>
      <s:c r="C24535" s="121" t="n"/>
      <s:c r="D24535" s="121" t="n"/>
      <s:c r="E24535" s="122" t="n"/>
    </s:row>
    <s:row r="24536" hidden="1" ht="1" customHeight="1">
      <s:c r="A24536" s="120" t="inlineStr"/>
      <s:c r="B24536" s="121" t="n"/>
      <s:c r="C24536" s="121" t="n"/>
      <s:c r="D24536" s="121" t="n"/>
      <s:c r="E24536" s="122" t="n"/>
    </s:row>
    <s:row r="24537" hidden="1" ht="1" customHeight="1">
      <s:c r="A24537" s="120" t="inlineStr"/>
      <s:c r="B24537" s="121" t="n"/>
      <s:c r="C24537" s="121" t="n"/>
      <s:c r="D24537" s="121" t="n"/>
      <s:c r="E24537" s="122" t="n"/>
    </s:row>
    <s:row r="24538" hidden="1" ht="1" customHeight="1">
      <s:c r="A24538" s="120" t="inlineStr"/>
      <s:c r="B24538" s="121" t="n"/>
      <s:c r="C24538" s="121" t="n"/>
      <s:c r="D24538" s="121" t="n"/>
      <s:c r="E24538" s="122" t="n"/>
    </s:row>
    <s:row r="24539" hidden="1" ht="1" customHeight="1">
      <s:c r="A24539" s="120" t="inlineStr"/>
      <s:c r="B24539" s="121" t="n"/>
      <s:c r="C24539" s="121" t="n"/>
      <s:c r="D24539" s="121" t="n"/>
      <s:c r="E24539" s="122" t="n"/>
    </s:row>
    <s:row r="24540" hidden="1" ht="1" customHeight="1">
      <s:c r="A24540" s="120" t="inlineStr"/>
      <s:c r="B24540" s="121" t="n"/>
      <s:c r="C24540" s="121" t="n"/>
      <s:c r="D24540" s="121" t="n"/>
      <s:c r="E24540" s="122" t="n"/>
    </s:row>
    <s:row r="24541" hidden="1" ht="1" customHeight="1">
      <s:c r="A24541" s="83" t="inlineStr">
        <s:is>
          <s:t>PASS</s:t>
        </s:is>
      </s:c>
      <s:c r="B24541" s="83">
        <s:f>SUM(IF(EXACT('Kiểm thử'!E24141,"Đạt"),1,0),IF(EXACT('Kiểm thử'!E24143,"Đạt"),1,0),IF(EXACT('Kiểm thử'!E24145,"Đạt"),1,0),IF(EXACT('Kiểm thử'!E24147,"Đạt"),1,0),IF(EXACT('Kiểm thử'!E24149,"Đạt"),1,0),IF(EXACT('Kiểm thử'!E24151,"Đạt"),1,0),IF(EXACT('Kiểm thử'!E24153,"Đạt"),1,0),IF(EXACT('Kiểm thử'!E24155,"Đạt"),1,0))</s:f>
        <s:v/>
      </s:c>
      <s:c r="C24541" s="19" t="n"/>
      <s:c r="D24541" s="19" t="n"/>
      <s:c r="E24541" s="19" t="n"/>
    </s:row>
    <s:row r="24542" hidden="1" ht="1" customHeight="1">
      <s:c r="A24542" s="83" t="inlineStr">
        <s:is>
          <s:t>FAIL</s:t>
        </s:is>
      </s:c>
      <s:c r="B24542" s="83">
        <s:f>SUM(IF(EXACT('Kiểm thử'!E24141,"Không đạt"),1,0),IF(EXACT('Kiểm thử'!E24143,"Không đạt"),1,0),IF(EXACT('Kiểm thử'!E24145,"Không đạt"),1,0),IF(EXACT('Kiểm thử'!E24147,"Không đạt"),1,0),IF(EXACT('Kiểm thử'!E24149,"Không đạt"),1,0),IF(EXACT('Kiểm thử'!E24151,"Không đạt"),1,0),IF(EXACT('Kiểm thử'!E24153,"Không đạt"),1,0),IF(EXACT('Kiểm thử'!E24155,"Không đạt"),1,0))</s:f>
        <s:v/>
      </s:c>
      <s:c r="C24542" s="19" t="n"/>
      <s:c r="D24542" s="19" t="n"/>
      <s:c r="E24542" s="19" t="n"/>
    </s:row>
    <s:row r="24543" hidden="1" ht="1" customHeight="1">
      <s:c r="A24543" s="83" t="inlineStr">
        <s:is>
          <s:t>BLOCKED</s:t>
        </s:is>
      </s:c>
      <s:c r="B24543" s="83">
        <s:f>SUM(IF(EXACT('Kiểm thử'!E24141,"Bị chặn"),1,0),IF(EXACT('Kiểm thử'!E24143,"Bị chặn"),1,0),IF(EXACT('Kiểm thử'!E24145,"Bị chặn"),1,0),IF(EXACT('Kiểm thử'!E24147,"Bị chặn"),1,0),IF(EXACT('Kiểm thử'!E24149,"Bị chặn"),1,0),IF(EXACT('Kiểm thử'!E24151,"Bị chặn"),1,0),IF(EXACT('Kiểm thử'!E24153,"Bị chặn"),1,0),IF(EXACT('Kiểm thử'!E24155,"Bị chặn"),1,0))</s:f>
        <s:v/>
      </s:c>
      <s:c r="C24543" s="19" t="n"/>
      <s:c r="D24543" s="19" t="n"/>
      <s:c r="E24543" s="19" t="n"/>
    </s:row>
    <s:row r="24544" hidden="1" ht="1" customHeight="1">
      <s:c r="A24544" s="83" t="inlineStr">
        <s:is>
          <s:t>SKIPPED</s:t>
        </s:is>
      </s:c>
      <s:c r="B24544" s="83">
        <s:f>SUM(IF(EXACT('Kiểm thử'!E24141,"Không thực hiện"),1,0),IF(EXACT('Kiểm thử'!E24143,"Không thực hiện"),1,0),IF(EXACT('Kiểm thử'!E24145,"Không thực hiện"),1,0),IF(EXACT('Kiểm thử'!E24147,"Không thực hiện"),1,0),IF(EXACT('Kiểm thử'!E24149,"Không thực hiện"),1,0),IF(EXACT('Kiểm thử'!E24151,"Không thực hiện"),1,0),IF(EXACT('Kiểm thử'!E24153,"Không thực hiện"),1,0),IF(EXACT('Kiểm thử'!E24155,"Không thực hiện"),1,0))</s:f>
        <s:v/>
      </s:c>
      <s:c r="C24544" s="19" t="n"/>
      <s:c r="D24544" s="19" t="n"/>
      <s:c r="E24544" s="19" t="n"/>
    </s:row>
    <s:row r="24545" hidden="1" ht="1" customHeight="1">
      <s:c r="A24545" s="83" t="inlineStr">
        <s:is>
          <s:t>NOT RUN</s:t>
        </s:is>
      </s:c>
      <s:c r="B24545" s="83">
        <s:f>SUM(IF(EXACT('Kiểm thử'!E24141,"Chưa thực hiện"),1,0),IF(EXACT('Kiểm thử'!E24143,"Chưa thực hiện"),1,0),IF(EXACT('Kiểm thử'!E24145,"Chưa thực hiện"),1,0),IF(EXACT('Kiểm thử'!E24147,"Chưa thực hiện"),1,0),IF(EXACT('Kiểm thử'!E24149,"Chưa thực hiện"),1,0),IF(EXACT('Kiểm thử'!E24151,"Chưa thực hiện"),1,0),IF(EXACT('Kiểm thử'!E24153,"Chưa thực hiện"),1,0),IF(EXACT('Kiểm thử'!E24155,"Chưa thực hiện"),1,0))</s:f>
        <s:v/>
      </s:c>
      <s:c r="C24545" s="19" t="n"/>
      <s:c r="D24545" s="19" t="n"/>
      <s:c r="E24545" s="19" t="n"/>
    </s:row>
    <s:row r="24546" hidden="1" ht="6" customHeight="1">
      <s:c r="A24546" s="83" t="inlineStr"/>
      <s:c r="B24546" s="19" t="n"/>
      <s:c r="C24546" s="19" t="n"/>
      <s:c r="D24546" s="19" t="n"/>
      <s:c r="E24546" s="19" t="n"/>
    </s:row>
    <s:row r="24547" ht="28" customHeight="1">
      <s:c r="A24547" s="108" t="inlineStr">
        <s:is>
          <s:t>TC-RS-ERR-017 — Tên quy tắc và ký hiệu hiển thị như chữ, không bị thực thi</s:t>
        </s:is>
      </s:c>
      <s:c r="B24547" s="111" t="n"/>
      <s:c r="C24547" s="111" t="n"/>
      <s:c r="D24547" s="111" t="n"/>
      <s:c r="E24547" s="111" t="n"/>
    </s:row>
    <s:row r="24548" ht="20" customHeight="1">
      <s:c r="A24548" s="112" t="inlineStr">
        <s:is>
          <s:t>Kết quả tình huống</s:t>
        </s:is>
      </s:c>
      <s:c r="B24548" s="113">
        <s:f>IF(SUM(IF(EXACT('Kiểm thử'!E24556,"Không đạt"),1,0),IF(EXACT('Kiểm thử'!E24558,"Không đạt"),1,0),IF(EXACT('Kiểm thử'!E24560,"Không đạt"),1,0))&gt;0,"Không đạt",IF(SUM(IF(EXACT('Kiểm thử'!E24556,"Đạt"),1,0),IF(EXACT('Kiểm thử'!E24558,"Đạt"),1,0),IF(EXACT('Kiểm thử'!E24560,"Đạt"),1,0))=3,"Đạt",IF(SUM(IF(EXACT('Kiểm thử'!E24556,"Không thực hiện"),1,0),IF(EXACT('Kiểm thử'!E24558,"Không thực hiện"),1,0),IF(EXACT('Kiểm thử'!E24560,"Không thực hiện"),1,0))=3,"Không thực hiện",IF(SUM(IF(EXACT('Kiểm thử'!E24556,"Bị chặn"),1,0),IF(EXACT('Kiểm thử'!E24558,"Bị chặn"),1,0),IF(EXACT('Kiểm thử'!E24560,"Bị chặn"),1,0))&gt;0,"Bị chặn",IF(SUM(IF(EXACT('Kiểm thử'!E24556,"Chưa thực hiện"),1,0),IF(EXACT('Kiểm thử'!E24558,"Chưa thực hiện"),1,0),IF(EXACT('Kiểm thử'!E24560,"Chưa thực hiện"),1,0))=3,"Chưa thực hiện","Đang thực hiện")))))</s:f>
        <s:v/>
      </s:c>
      <s:c r="C24548" s="114" t="n"/>
      <s:c r="D24548" s="114" t="n"/>
      <s:c r="E24548" s="114" t="n"/>
    </s:row>
    <s:row r="24549" ht="20" customHeight="1">
      <s:c r="A24549" s="112" t="inlineStr">
        <s:is>
          <s:t>Màn hình / chức năng</s:t>
        </s:is>
      </s:c>
      <s:c r="B24549" s="113" t="inlineStr">
        <s:is>
          <s:t>Quyền thao tác</s:t>
        </s:is>
      </s:c>
      <s:c r="C24549" s="28" t="n"/>
      <s:c r="D24549" s="28" t="n"/>
      <s:c r="E24549" s="28" t="n"/>
    </s:row>
    <s:row r="24550" ht="34" customHeight="1">
      <s:c r="A24550" s="112" t="inlineStr">
        <s:is>
          <s:t>Cấu hình</s:t>
        </s:is>
      </s:c>
      <s:c r="B24550" s="113" t="inlineStr">
        <s:is>
          <s:t>• Đăng nhập tài khoản giáo viên có quyền sửa mục và tài khoản phụ trách đầu ra (trích xuất, công khai, phiếu điểm).</s:t>
        </s:is>
      </s:c>
      <s:c r="C24550" s="28" t="n"/>
      <s:c r="D24550" s="28" t="n"/>
      <s:c r="E24550" s="28" t="n"/>
    </s:row>
    <s:row r="24551" ht="62" customHeight="1">
      <s:c r="A24551" s="112" t="inlineStr">
        <s:is>
          <s:t>Dữ liệu test</s:t>
        </s:is>
      </s:c>
      <s:c r="B24551" s="113" t="inlineStr">
        <s:is>
          <s:t>• Tên quy tắc [&lt;b&gt;X&lt;/b&gt;&lt;script&gt;alert(1)&lt;/script&gt;];
• Ký hiệu đầu ở trích xuất [&lt;];
• Ký tự phía trước ở phiếu điểm [&amp;];
• Học sinh S01 (điểm 29)</s:t>
        </s:is>
      </s:c>
      <s:c r="C24551" s="28" t="n"/>
      <s:c r="D24551" s="28" t="n"/>
      <s:c r="E24551" s="28" t="n"/>
    </s:row>
    <s:row r="24552" ht="34" customHeight="1">
      <s:c r="A24552" s="112" t="inlineStr">
        <s:is>
          <s:t>Bước 1</s:t>
        </s:is>
      </s:c>
      <s:c r="B24552" s="113" t="inlineStr">
        <s:is>
          <s:t>Đăng nhập giáo viên được sửa mục và actor phụ trách đầu ra; dùng chuỗi/đầu ra riêng trong bảng trường hợp.</s:t>
        </s:is>
      </s:c>
      <s:c r="C24552" s="28" t="n"/>
      <s:c r="D24552" s="28" t="n"/>
      <s:c r="E24552" s="28" t="n"/>
    </s:row>
    <s:row r="24553" ht="20" customHeight="1">
      <s:c r="A24553" s="112" t="inlineStr">
        <s:is>
          <s:t>Bước 2</s:t>
        </s:is>
      </s:c>
      <s:c r="B24553" s="113" t="inlineStr">
        <s:is>
          <s:t>Lưu và xem các nơi của trường hợp, đối chiếu chuỗi nguyên văn và dấu hiệu thực thi HTML/script.</s:t>
        </s:is>
      </s:c>
      <s:c r="C24553" s="28" t="n"/>
      <s:c r="D24553" s="28" t="n"/>
      <s:c r="E24553" s="28" t="n"/>
    </s:row>
    <s:row r="24554" ht="28" customHeight="1">
      <s:c r="A24554" s="115" t="inlineStr">
        <s:is>
          <s:t>Trường hợp</s:t>
        </s:is>
      </s:c>
      <s:c r="B24554" s="115" t="inlineStr">
        <s:is>
          <s:t>Dữ liệu / thao tác riêng</s:t>
        </s:is>
      </s:c>
      <s:c r="C24554" s="115" t="inlineStr">
        <s:is>
          <s:t>Kết quả mong đợi</s:t>
        </s:is>
      </s:c>
      <s:c r="D24554" s="115" t="inlineStr">
        <s:is>
          <s:t>Kết quả thực tế</s:t>
        </s:is>
      </s:c>
      <s:c r="E24554" s="115" t="inlineStr">
        <s:is>
          <s:t>Đánh giá</s:t>
        </s:is>
      </s:c>
    </s:row>
    <s:row r="24555" ht="3" customHeight="1">
      <s:c r="A24555" s="102" t="inlineStr"/>
      <s:c r="B24555" s="99" t="n"/>
      <s:c r="C24555" s="99" t="n"/>
      <s:c r="D24555" s="116" t="n"/>
      <s:c r="E24555" s="116" t="n"/>
    </s:row>
    <s:row r="24556" ht="62" customHeight="1">
      <s:c r="A24556" s="83" t="inlineStr">
        <s:is>
          <s:t>Tên quy tắc như văn bản (rule-name)</s:t>
        </s:is>
      </s:c>
      <s:c r="B24556" s="83" t="inlineStr">
        <s:is>
          <s:t>Lưu tên [&lt;b&gt;X&lt;/b&gt;&lt;script&gt;alert(1)&lt;/script&gt;]; xem danh sách, form sửa, hộp xác nhận xóa và thông báo sau chạy.</s:t>
        </s:is>
      </s:c>
      <s:c r="C24556" s="83" t="inlineStr">
        <s:is>
          <s:t>Tên hiển thị đúng chuỗi đã nhập dưới dạng chữ trên danh sách, form sửa, hộp xác nhận và thông báo; không alert hoặc thay đổi định dạng HTML.</s:t>
        </s:is>
      </s:c>
      <s:c r="D24556" s="117" t="inlineStr"/>
      <s:c r="E24556" s="118" t="inlineStr">
        <s:is>
          <s:t>Chưa thực hiện</s:t>
        </s:is>
      </s:c>
    </s:row>
    <s:row r="24557" ht="3" customHeight="1">
      <s:c r="A24557" s="102" t="inlineStr"/>
      <s:c r="B24557" s="99" t="n"/>
      <s:c r="C24557" s="99" t="n"/>
      <s:c r="D24557" s="116" t="n"/>
      <s:c r="E24557" s="116" t="n"/>
    </s:row>
    <s:row r="24558" ht="48" customHeight="1">
      <s:c r="A24558" s="83" t="inlineStr">
        <s:is>
          <s:t>Ký hiệu trích xuất như văn bản (extract)</s:t>
        </s:is>
      </s:c>
      <s:c r="B24558" s="83" t="inlineStr">
        <s:is>
          <s:t>Lưu ký hiệu đầu trích xuất=[&lt;]; xem màn/Excel S01=29, đối chiếu chuỗi chứ không thực thi HTML.</s:t>
        </s:is>
      </s:c>
      <s:c r="C24558" s="83" t="inlineStr">
        <s:is>
          <s:t>Màn trích xuất và Excel hiển thị đúng [&lt;29] dưới dạng chữ; không thực thi HTML/script hoặc alert.</s:t>
        </s:is>
      </s:c>
      <s:c r="D24558" s="117" t="inlineStr"/>
      <s:c r="E24558" s="118" t="inlineStr">
        <s:is>
          <s:t>Chưa thực hiện</s:t>
        </s:is>
      </s:c>
    </s:row>
    <s:row r="24559" ht="3" customHeight="1">
      <s:c r="A24559" s="102" t="inlineStr"/>
      <s:c r="B24559" s="99" t="n"/>
      <s:c r="C24559" s="99" t="n"/>
      <s:c r="D24559" s="116" t="n"/>
      <s:c r="E24559" s="116" t="n"/>
    </s:row>
    <s:row r="24560" ht="48" customHeight="1">
      <s:c r="A24560" s="83" t="inlineStr">
        <s:is>
          <s:t>Ký hiệu phiếu điểm như văn bản (report)</s:t>
        </s:is>
      </s:c>
      <s:c r="B24560" s="83" t="inlineStr">
        <s:is>
          <s:t>Lưu ký tự trước phiếu điểm=[&amp;]; xuất PDF S01=29 và đối chiếu chuỗi.</s:t>
        </s:is>
      </s:c>
      <s:c r="C24560" s="83" t="inlineStr">
        <s:is>
          <s:t>PDF phiếu hiển thị đúng [&amp;29] dưới dạng chữ; không thực thi HTML/script hoặc alert.</s:t>
        </s:is>
      </s:c>
      <s:c r="D24560" s="117" t="inlineStr"/>
      <s:c r="E24560" s="118" t="inlineStr">
        <s:is>
          <s:t>Chưa thực hiện</s:t>
        </s:is>
      </s:c>
    </s:row>
    <s:row r="24561" ht="20" customHeight="1">
      <s:c r="A24561" s="119" t="inlineStr">
        <s:is>
          <s:t>Ảnh minh chứng — Chưa có ảnh</s:t>
        </s:is>
      </s:c>
      <s:c r="B24561" s="19" t="n"/>
      <s:c r="C24561" s="19" t="n"/>
      <s:c r="D24561" s="19" t="n"/>
      <s:c r="E24561" s="19" t="n"/>
    </s:row>
    <s:row r="24562" hidden="1" ht="1" customHeight="1">
      <s:c r="A24562" s="120" t="inlineStr"/>
      <s:c r="B24562" s="121" t="n"/>
      <s:c r="C24562" s="121" t="n"/>
      <s:c r="D24562" s="121" t="n"/>
      <s:c r="E24562" s="122" t="n"/>
    </s:row>
    <s:row r="24563" hidden="1" ht="1" customHeight="1">
      <s:c r="A24563" s="120" t="inlineStr"/>
      <s:c r="B24563" s="121" t="n"/>
      <s:c r="C24563" s="121" t="n"/>
      <s:c r="D24563" s="121" t="n"/>
      <s:c r="E24563" s="122" t="n"/>
    </s:row>
    <s:row r="24564" hidden="1" ht="1" customHeight="1">
      <s:c r="A24564" s="120" t="inlineStr"/>
      <s:c r="B24564" s="121" t="n"/>
      <s:c r="C24564" s="121" t="n"/>
      <s:c r="D24564" s="121" t="n"/>
      <s:c r="E24564" s="122" t="n"/>
    </s:row>
    <s:row r="24565" hidden="1" ht="1" customHeight="1">
      <s:c r="A24565" s="120" t="inlineStr"/>
      <s:c r="B24565" s="121" t="n"/>
      <s:c r="C24565" s="121" t="n"/>
      <s:c r="D24565" s="121" t="n"/>
      <s:c r="E24565" s="122" t="n"/>
    </s:row>
    <s:row r="24566" hidden="1" ht="1" customHeight="1">
      <s:c r="A24566" s="120" t="inlineStr"/>
      <s:c r="B24566" s="121" t="n"/>
      <s:c r="C24566" s="121" t="n"/>
      <s:c r="D24566" s="121" t="n"/>
      <s:c r="E24566" s="122" t="n"/>
    </s:row>
    <s:row r="24567" hidden="1" ht="1" customHeight="1">
      <s:c r="A24567" s="120" t="inlineStr"/>
      <s:c r="B24567" s="121" t="n"/>
      <s:c r="C24567" s="121" t="n"/>
      <s:c r="D24567" s="121" t="n"/>
      <s:c r="E24567" s="122" t="n"/>
    </s:row>
    <s:row r="24568" hidden="1" ht="1" customHeight="1">
      <s:c r="A24568" s="120" t="inlineStr"/>
      <s:c r="B24568" s="121" t="n"/>
      <s:c r="C24568" s="121" t="n"/>
      <s:c r="D24568" s="121" t="n"/>
      <s:c r="E24568" s="122" t="n"/>
    </s:row>
    <s:row r="24569" hidden="1" ht="1" customHeight="1">
      <s:c r="A24569" s="120" t="inlineStr"/>
      <s:c r="B24569" s="121" t="n"/>
      <s:c r="C24569" s="121" t="n"/>
      <s:c r="D24569" s="121" t="n"/>
      <s:c r="E24569" s="122" t="n"/>
    </s:row>
    <s:row r="24570" hidden="1" ht="1" customHeight="1">
      <s:c r="A24570" s="120" t="inlineStr"/>
      <s:c r="B24570" s="121" t="n"/>
      <s:c r="C24570" s="121" t="n"/>
      <s:c r="D24570" s="121" t="n"/>
      <s:c r="E24570" s="122" t="n"/>
    </s:row>
    <s:row r="24571" hidden="1" ht="1" customHeight="1">
      <s:c r="A24571" s="120" t="inlineStr"/>
      <s:c r="B24571" s="121" t="n"/>
      <s:c r="C24571" s="121" t="n"/>
      <s:c r="D24571" s="121" t="n"/>
      <s:c r="E24571" s="122" t="n"/>
    </s:row>
    <s:row r="24572" hidden="1" ht="1" customHeight="1">
      <s:c r="A24572" s="120" t="inlineStr"/>
      <s:c r="B24572" s="121" t="n"/>
      <s:c r="C24572" s="121" t="n"/>
      <s:c r="D24572" s="121" t="n"/>
      <s:c r="E24572" s="122" t="n"/>
    </s:row>
    <s:row r="24573" hidden="1" ht="1" customHeight="1">
      <s:c r="A24573" s="120" t="inlineStr"/>
      <s:c r="B24573" s="121" t="n"/>
      <s:c r="C24573" s="121" t="n"/>
      <s:c r="D24573" s="121" t="n"/>
      <s:c r="E24573" s="122" t="n"/>
    </s:row>
    <s:row r="24574" hidden="1" ht="1" customHeight="1">
      <s:c r="A24574" s="120" t="inlineStr"/>
      <s:c r="B24574" s="121" t="n"/>
      <s:c r="C24574" s="121" t="n"/>
      <s:c r="D24574" s="121" t="n"/>
      <s:c r="E24574" s="122" t="n"/>
    </s:row>
    <s:row r="24575" hidden="1" ht="1" customHeight="1">
      <s:c r="A24575" s="120" t="inlineStr"/>
      <s:c r="B24575" s="121" t="n"/>
      <s:c r="C24575" s="121" t="n"/>
      <s:c r="D24575" s="121" t="n"/>
      <s:c r="E24575" s="122" t="n"/>
    </s:row>
    <s:row r="24576" hidden="1" ht="1" customHeight="1">
      <s:c r="A24576" s="120" t="inlineStr"/>
      <s:c r="B24576" s="121" t="n"/>
      <s:c r="C24576" s="121" t="n"/>
      <s:c r="D24576" s="121" t="n"/>
      <s:c r="E24576" s="122" t="n"/>
    </s:row>
    <s:row r="24577" hidden="1" ht="1" customHeight="1">
      <s:c r="A24577" s="120" t="inlineStr"/>
      <s:c r="B24577" s="121" t="n"/>
      <s:c r="C24577" s="121" t="n"/>
      <s:c r="D24577" s="121" t="n"/>
      <s:c r="E24577" s="122" t="n"/>
    </s:row>
    <s:row r="24578" hidden="1" ht="1" customHeight="1">
      <s:c r="A24578" s="120" t="inlineStr"/>
      <s:c r="B24578" s="121" t="n"/>
      <s:c r="C24578" s="121" t="n"/>
      <s:c r="D24578" s="121" t="n"/>
      <s:c r="E24578" s="122" t="n"/>
    </s:row>
    <s:row r="24579" hidden="1" ht="1" customHeight="1">
      <s:c r="A24579" s="120" t="inlineStr"/>
      <s:c r="B24579" s="121" t="n"/>
      <s:c r="C24579" s="121" t="n"/>
      <s:c r="D24579" s="121" t="n"/>
      <s:c r="E24579" s="122" t="n"/>
    </s:row>
    <s:row r="24580" hidden="1" ht="1" customHeight="1">
      <s:c r="A24580" s="120" t="inlineStr"/>
      <s:c r="B24580" s="121" t="n"/>
      <s:c r="C24580" s="121" t="n"/>
      <s:c r="D24580" s="121" t="n"/>
      <s:c r="E24580" s="122" t="n"/>
    </s:row>
    <s:row r="24581" hidden="1" ht="1" customHeight="1">
      <s:c r="A24581" s="120" t="inlineStr"/>
      <s:c r="B24581" s="121" t="n"/>
      <s:c r="C24581" s="121" t="n"/>
      <s:c r="D24581" s="121" t="n"/>
      <s:c r="E24581" s="122" t="n"/>
    </s:row>
    <s:row r="24582" hidden="1" ht="1" customHeight="1">
      <s:c r="A24582" s="120" t="inlineStr"/>
      <s:c r="B24582" s="121" t="n"/>
      <s:c r="C24582" s="121" t="n"/>
      <s:c r="D24582" s="121" t="n"/>
      <s:c r="E24582" s="122" t="n"/>
    </s:row>
    <s:row r="24583" hidden="1" ht="1" customHeight="1">
      <s:c r="A24583" s="120" t="inlineStr"/>
      <s:c r="B24583" s="121" t="n"/>
      <s:c r="C24583" s="121" t="n"/>
      <s:c r="D24583" s="121" t="n"/>
      <s:c r="E24583" s="122" t="n"/>
    </s:row>
    <s:row r="24584" hidden="1" ht="1" customHeight="1">
      <s:c r="A24584" s="120" t="inlineStr"/>
      <s:c r="B24584" s="121" t="n"/>
      <s:c r="C24584" s="121" t="n"/>
      <s:c r="D24584" s="121" t="n"/>
      <s:c r="E24584" s="122" t="n"/>
    </s:row>
    <s:row r="24585" hidden="1" ht="1" customHeight="1">
      <s:c r="A24585" s="120" t="inlineStr"/>
      <s:c r="B24585" s="121" t="n"/>
      <s:c r="C24585" s="121" t="n"/>
      <s:c r="D24585" s="121" t="n"/>
      <s:c r="E24585" s="122" t="n"/>
    </s:row>
    <s:row r="24586" hidden="1" ht="1" customHeight="1">
      <s:c r="A24586" s="120" t="inlineStr"/>
      <s:c r="B24586" s="121" t="n"/>
      <s:c r="C24586" s="121" t="n"/>
      <s:c r="D24586" s="121" t="n"/>
      <s:c r="E24586" s="122" t="n"/>
    </s:row>
    <s:row r="24587" hidden="1" ht="1" customHeight="1">
      <s:c r="A24587" s="120" t="inlineStr"/>
      <s:c r="B24587" s="121" t="n"/>
      <s:c r="C24587" s="121" t="n"/>
      <s:c r="D24587" s="121" t="n"/>
      <s:c r="E24587" s="122" t="n"/>
    </s:row>
    <s:row r="24588" hidden="1" ht="1" customHeight="1">
      <s:c r="A24588" s="120" t="inlineStr"/>
      <s:c r="B24588" s="121" t="n"/>
      <s:c r="C24588" s="121" t="n"/>
      <s:c r="D24588" s="121" t="n"/>
      <s:c r="E24588" s="122" t="n"/>
    </s:row>
    <s:row r="24589" hidden="1" ht="1" customHeight="1">
      <s:c r="A24589" s="120" t="inlineStr"/>
      <s:c r="B24589" s="121" t="n"/>
      <s:c r="C24589" s="121" t="n"/>
      <s:c r="D24589" s="121" t="n"/>
      <s:c r="E24589" s="122" t="n"/>
    </s:row>
    <s:row r="24590" hidden="1" ht="1" customHeight="1">
      <s:c r="A24590" s="120" t="inlineStr"/>
      <s:c r="B24590" s="121" t="n"/>
      <s:c r="C24590" s="121" t="n"/>
      <s:c r="D24590" s="121" t="n"/>
      <s:c r="E24590" s="122" t="n"/>
    </s:row>
    <s:row r="24591" hidden="1" ht="1" customHeight="1">
      <s:c r="A24591" s="120" t="inlineStr"/>
      <s:c r="B24591" s="121" t="n"/>
      <s:c r="C24591" s="121" t="n"/>
      <s:c r="D24591" s="121" t="n"/>
      <s:c r="E24591" s="122" t="n"/>
    </s:row>
    <s:row r="24592" hidden="1" ht="1" customHeight="1">
      <s:c r="A24592" s="120" t="inlineStr"/>
      <s:c r="B24592" s="121" t="n"/>
      <s:c r="C24592" s="121" t="n"/>
      <s:c r="D24592" s="121" t="n"/>
      <s:c r="E24592" s="122" t="n"/>
    </s:row>
    <s:row r="24593" hidden="1" ht="1" customHeight="1">
      <s:c r="A24593" s="120" t="inlineStr"/>
      <s:c r="B24593" s="121" t="n"/>
      <s:c r="C24593" s="121" t="n"/>
      <s:c r="D24593" s="121" t="n"/>
      <s:c r="E24593" s="122" t="n"/>
    </s:row>
    <s:row r="24594" hidden="1" ht="1" customHeight="1">
      <s:c r="A24594" s="120" t="inlineStr"/>
      <s:c r="B24594" s="121" t="n"/>
      <s:c r="C24594" s="121" t="n"/>
      <s:c r="D24594" s="121" t="n"/>
      <s:c r="E24594" s="122" t="n"/>
    </s:row>
    <s:row r="24595" hidden="1" ht="1" customHeight="1">
      <s:c r="A24595" s="120" t="inlineStr"/>
      <s:c r="B24595" s="121" t="n"/>
      <s:c r="C24595" s="121" t="n"/>
      <s:c r="D24595" s="121" t="n"/>
      <s:c r="E24595" s="122" t="n"/>
    </s:row>
    <s:row r="24596" hidden="1" ht="1" customHeight="1">
      <s:c r="A24596" s="120" t="inlineStr"/>
      <s:c r="B24596" s="121" t="n"/>
      <s:c r="C24596" s="121" t="n"/>
      <s:c r="D24596" s="121" t="n"/>
      <s:c r="E24596" s="122" t="n"/>
    </s:row>
    <s:row r="24597" hidden="1" ht="1" customHeight="1">
      <s:c r="A24597" s="120" t="inlineStr"/>
      <s:c r="B24597" s="121" t="n"/>
      <s:c r="C24597" s="121" t="n"/>
      <s:c r="D24597" s="121" t="n"/>
      <s:c r="E24597" s="122" t="n"/>
    </s:row>
    <s:row r="24598" hidden="1" ht="1" customHeight="1">
      <s:c r="A24598" s="120" t="inlineStr"/>
      <s:c r="B24598" s="121" t="n"/>
      <s:c r="C24598" s="121" t="n"/>
      <s:c r="D24598" s="121" t="n"/>
      <s:c r="E24598" s="122" t="n"/>
    </s:row>
    <s:row r="24599" hidden="1" ht="1" customHeight="1">
      <s:c r="A24599" s="120" t="inlineStr"/>
      <s:c r="B24599" s="121" t="n"/>
      <s:c r="C24599" s="121" t="n"/>
      <s:c r="D24599" s="121" t="n"/>
      <s:c r="E24599" s="122" t="n"/>
    </s:row>
    <s:row r="24600" hidden="1" ht="1" customHeight="1">
      <s:c r="A24600" s="120" t="inlineStr"/>
      <s:c r="B24600" s="121" t="n"/>
      <s:c r="C24600" s="121" t="n"/>
      <s:c r="D24600" s="121" t="n"/>
      <s:c r="E24600" s="122" t="n"/>
    </s:row>
    <s:row r="24601" hidden="1" ht="1" customHeight="1">
      <s:c r="A24601" s="120" t="inlineStr"/>
      <s:c r="B24601" s="121" t="n"/>
      <s:c r="C24601" s="121" t="n"/>
      <s:c r="D24601" s="121" t="n"/>
      <s:c r="E24601" s="122" t="n"/>
    </s:row>
    <s:row r="24602" hidden="1" ht="1" customHeight="1">
      <s:c r="A24602" s="120" t="inlineStr"/>
      <s:c r="B24602" s="121" t="n"/>
      <s:c r="C24602" s="121" t="n"/>
      <s:c r="D24602" s="121" t="n"/>
      <s:c r="E24602" s="122" t="n"/>
    </s:row>
    <s:row r="24603" hidden="1" ht="1" customHeight="1">
      <s:c r="A24603" s="120" t="inlineStr"/>
      <s:c r="B24603" s="121" t="n"/>
      <s:c r="C24603" s="121" t="n"/>
      <s:c r="D24603" s="121" t="n"/>
      <s:c r="E24603" s="122" t="n"/>
    </s:row>
    <s:row r="24604" hidden="1" ht="1" customHeight="1">
      <s:c r="A24604" s="120" t="inlineStr"/>
      <s:c r="B24604" s="121" t="n"/>
      <s:c r="C24604" s="121" t="n"/>
      <s:c r="D24604" s="121" t="n"/>
      <s:c r="E24604" s="122" t="n"/>
    </s:row>
    <s:row r="24605" hidden="1" ht="1" customHeight="1">
      <s:c r="A24605" s="120" t="inlineStr"/>
      <s:c r="B24605" s="121" t="n"/>
      <s:c r="C24605" s="121" t="n"/>
      <s:c r="D24605" s="121" t="n"/>
      <s:c r="E24605" s="122" t="n"/>
    </s:row>
    <s:row r="24606" hidden="1" ht="1" customHeight="1">
      <s:c r="A24606" s="120" t="inlineStr"/>
      <s:c r="B24606" s="121" t="n"/>
      <s:c r="C24606" s="121" t="n"/>
      <s:c r="D24606" s="121" t="n"/>
      <s:c r="E24606" s="122" t="n"/>
    </s:row>
    <s:row r="24607" hidden="1" ht="1" customHeight="1">
      <s:c r="A24607" s="120" t="inlineStr"/>
      <s:c r="B24607" s="121" t="n"/>
      <s:c r="C24607" s="121" t="n"/>
      <s:c r="D24607" s="121" t="n"/>
      <s:c r="E24607" s="122" t="n"/>
    </s:row>
    <s:row r="24608" hidden="1" ht="1" customHeight="1">
      <s:c r="A24608" s="120" t="inlineStr"/>
      <s:c r="B24608" s="121" t="n"/>
      <s:c r="C24608" s="121" t="n"/>
      <s:c r="D24608" s="121" t="n"/>
      <s:c r="E24608" s="122" t="n"/>
    </s:row>
    <s:row r="24609" hidden="1" ht="1" customHeight="1">
      <s:c r="A24609" s="120" t="inlineStr"/>
      <s:c r="B24609" s="121" t="n"/>
      <s:c r="C24609" s="121" t="n"/>
      <s:c r="D24609" s="121" t="n"/>
      <s:c r="E24609" s="122" t="n"/>
    </s:row>
    <s:row r="24610" hidden="1" ht="1" customHeight="1">
      <s:c r="A24610" s="120" t="inlineStr"/>
      <s:c r="B24610" s="121" t="n"/>
      <s:c r="C24610" s="121" t="n"/>
      <s:c r="D24610" s="121" t="n"/>
      <s:c r="E24610" s="122" t="n"/>
    </s:row>
    <s:row r="24611" hidden="1" ht="1" customHeight="1">
      <s:c r="A24611" s="120" t="inlineStr"/>
      <s:c r="B24611" s="121" t="n"/>
      <s:c r="C24611" s="121" t="n"/>
      <s:c r="D24611" s="121" t="n"/>
      <s:c r="E24611" s="122" t="n"/>
    </s:row>
    <s:row r="24612" hidden="1" ht="1" customHeight="1">
      <s:c r="A24612" s="120" t="inlineStr"/>
      <s:c r="B24612" s="121" t="n"/>
      <s:c r="C24612" s="121" t="n"/>
      <s:c r="D24612" s="121" t="n"/>
      <s:c r="E24612" s="122" t="n"/>
    </s:row>
    <s:row r="24613" hidden="1" ht="1" customHeight="1">
      <s:c r="A24613" s="120" t="inlineStr"/>
      <s:c r="B24613" s="121" t="n"/>
      <s:c r="C24613" s="121" t="n"/>
      <s:c r="D24613" s="121" t="n"/>
      <s:c r="E24613" s="122" t="n"/>
    </s:row>
    <s:row r="24614" hidden="1" ht="1" customHeight="1">
      <s:c r="A24614" s="120" t="inlineStr"/>
      <s:c r="B24614" s="121" t="n"/>
      <s:c r="C24614" s="121" t="n"/>
      <s:c r="D24614" s="121" t="n"/>
      <s:c r="E24614" s="122" t="n"/>
    </s:row>
    <s:row r="24615" hidden="1" ht="1" customHeight="1">
      <s:c r="A24615" s="120" t="inlineStr"/>
      <s:c r="B24615" s="121" t="n"/>
      <s:c r="C24615" s="121" t="n"/>
      <s:c r="D24615" s="121" t="n"/>
      <s:c r="E24615" s="122" t="n"/>
    </s:row>
    <s:row r="24616" hidden="1" ht="1" customHeight="1">
      <s:c r="A24616" s="120" t="inlineStr"/>
      <s:c r="B24616" s="121" t="n"/>
      <s:c r="C24616" s="121" t="n"/>
      <s:c r="D24616" s="121" t="n"/>
      <s:c r="E24616" s="122" t="n"/>
    </s:row>
    <s:row r="24617" hidden="1" ht="1" customHeight="1">
      <s:c r="A24617" s="120" t="inlineStr"/>
      <s:c r="B24617" s="121" t="n"/>
      <s:c r="C24617" s="121" t="n"/>
      <s:c r="D24617" s="121" t="n"/>
      <s:c r="E24617" s="122" t="n"/>
    </s:row>
    <s:row r="24618" hidden="1" ht="1" customHeight="1">
      <s:c r="A24618" s="120" t="inlineStr"/>
      <s:c r="B24618" s="121" t="n"/>
      <s:c r="C24618" s="121" t="n"/>
      <s:c r="D24618" s="121" t="n"/>
      <s:c r="E24618" s="122" t="n"/>
    </s:row>
    <s:row r="24619" hidden="1" ht="1" customHeight="1">
      <s:c r="A24619" s="120" t="inlineStr"/>
      <s:c r="B24619" s="121" t="n"/>
      <s:c r="C24619" s="121" t="n"/>
      <s:c r="D24619" s="121" t="n"/>
      <s:c r="E24619" s="122" t="n"/>
    </s:row>
    <s:row r="24620" hidden="1" ht="1" customHeight="1">
      <s:c r="A24620" s="120" t="inlineStr"/>
      <s:c r="B24620" s="121" t="n"/>
      <s:c r="C24620" s="121" t="n"/>
      <s:c r="D24620" s="121" t="n"/>
      <s:c r="E24620" s="122" t="n"/>
    </s:row>
    <s:row r="24621" hidden="1" ht="1" customHeight="1">
      <s:c r="A24621" s="120" t="inlineStr"/>
      <s:c r="B24621" s="121" t="n"/>
      <s:c r="C24621" s="121" t="n"/>
      <s:c r="D24621" s="121" t="n"/>
      <s:c r="E24621" s="122" t="n"/>
    </s:row>
    <s:row r="24622" hidden="1" ht="1" customHeight="1">
      <s:c r="A24622" s="120" t="inlineStr"/>
      <s:c r="B24622" s="121" t="n"/>
      <s:c r="C24622" s="121" t="n"/>
      <s:c r="D24622" s="121" t="n"/>
      <s:c r="E24622" s="122" t="n"/>
    </s:row>
    <s:row r="24623" hidden="1" ht="1" customHeight="1">
      <s:c r="A24623" s="120" t="inlineStr"/>
      <s:c r="B24623" s="121" t="n"/>
      <s:c r="C24623" s="121" t="n"/>
      <s:c r="D24623" s="121" t="n"/>
      <s:c r="E24623" s="122" t="n"/>
    </s:row>
    <s:row r="24624" hidden="1" ht="1" customHeight="1">
      <s:c r="A24624" s="120" t="inlineStr"/>
      <s:c r="B24624" s="121" t="n"/>
      <s:c r="C24624" s="121" t="n"/>
      <s:c r="D24624" s="121" t="n"/>
      <s:c r="E24624" s="122" t="n"/>
    </s:row>
    <s:row r="24625" hidden="1" ht="1" customHeight="1">
      <s:c r="A24625" s="120" t="inlineStr"/>
      <s:c r="B24625" s="121" t="n"/>
      <s:c r="C24625" s="121" t="n"/>
      <s:c r="D24625" s="121" t="n"/>
      <s:c r="E24625" s="122" t="n"/>
    </s:row>
    <s:row r="24626" hidden="1" ht="1" customHeight="1">
      <s:c r="A24626" s="120" t="inlineStr"/>
      <s:c r="B24626" s="121" t="n"/>
      <s:c r="C24626" s="121" t="n"/>
      <s:c r="D24626" s="121" t="n"/>
      <s:c r="E24626" s="122" t="n"/>
    </s:row>
    <s:row r="24627" hidden="1" ht="1" customHeight="1">
      <s:c r="A24627" s="120" t="inlineStr"/>
      <s:c r="B24627" s="121" t="n"/>
      <s:c r="C24627" s="121" t="n"/>
      <s:c r="D24627" s="121" t="n"/>
      <s:c r="E24627" s="122" t="n"/>
    </s:row>
    <s:row r="24628" hidden="1" ht="1" customHeight="1">
      <s:c r="A24628" s="120" t="inlineStr"/>
      <s:c r="B24628" s="121" t="n"/>
      <s:c r="C24628" s="121" t="n"/>
      <s:c r="D24628" s="121" t="n"/>
      <s:c r="E24628" s="122" t="n"/>
    </s:row>
    <s:row r="24629" hidden="1" ht="1" customHeight="1">
      <s:c r="A24629" s="120" t="inlineStr"/>
      <s:c r="B24629" s="121" t="n"/>
      <s:c r="C24629" s="121" t="n"/>
      <s:c r="D24629" s="121" t="n"/>
      <s:c r="E24629" s="122" t="n"/>
    </s:row>
    <s:row r="24630" hidden="1" ht="1" customHeight="1">
      <s:c r="A24630" s="120" t="inlineStr"/>
      <s:c r="B24630" s="121" t="n"/>
      <s:c r="C24630" s="121" t="n"/>
      <s:c r="D24630" s="121" t="n"/>
      <s:c r="E24630" s="122" t="n"/>
    </s:row>
    <s:row r="24631" hidden="1" ht="1" customHeight="1">
      <s:c r="A24631" s="120" t="inlineStr"/>
      <s:c r="B24631" s="121" t="n"/>
      <s:c r="C24631" s="121" t="n"/>
      <s:c r="D24631" s="121" t="n"/>
      <s:c r="E24631" s="122" t="n"/>
    </s:row>
    <s:row r="24632" hidden="1" ht="1" customHeight="1">
      <s:c r="A24632" s="120" t="inlineStr"/>
      <s:c r="B24632" s="121" t="n"/>
      <s:c r="C24632" s="121" t="n"/>
      <s:c r="D24632" s="121" t="n"/>
      <s:c r="E24632" s="122" t="n"/>
    </s:row>
    <s:row r="24633" hidden="1" ht="1" customHeight="1">
      <s:c r="A24633" s="120" t="inlineStr"/>
      <s:c r="B24633" s="121" t="n"/>
      <s:c r="C24633" s="121" t="n"/>
      <s:c r="D24633" s="121" t="n"/>
      <s:c r="E24633" s="122" t="n"/>
    </s:row>
    <s:row r="24634" hidden="1" ht="1" customHeight="1">
      <s:c r="A24634" s="120" t="inlineStr"/>
      <s:c r="B24634" s="121" t="n"/>
      <s:c r="C24634" s="121" t="n"/>
      <s:c r="D24634" s="121" t="n"/>
      <s:c r="E24634" s="122" t="n"/>
    </s:row>
    <s:row r="24635" hidden="1" ht="1" customHeight="1">
      <s:c r="A24635" s="120" t="inlineStr"/>
      <s:c r="B24635" s="121" t="n"/>
      <s:c r="C24635" s="121" t="n"/>
      <s:c r="D24635" s="121" t="n"/>
      <s:c r="E24635" s="122" t="n"/>
    </s:row>
    <s:row r="24636" hidden="1" ht="1" customHeight="1">
      <s:c r="A24636" s="120" t="inlineStr"/>
      <s:c r="B24636" s="121" t="n"/>
      <s:c r="C24636" s="121" t="n"/>
      <s:c r="D24636" s="121" t="n"/>
      <s:c r="E24636" s="122" t="n"/>
    </s:row>
    <s:row r="24637" hidden="1" ht="1" customHeight="1">
      <s:c r="A24637" s="120" t="inlineStr"/>
      <s:c r="B24637" s="121" t="n"/>
      <s:c r="C24637" s="121" t="n"/>
      <s:c r="D24637" s="121" t="n"/>
      <s:c r="E24637" s="122" t="n"/>
    </s:row>
    <s:row r="24638" hidden="1" ht="1" customHeight="1">
      <s:c r="A24638" s="120" t="inlineStr"/>
      <s:c r="B24638" s="121" t="n"/>
      <s:c r="C24638" s="121" t="n"/>
      <s:c r="D24638" s="121" t="n"/>
      <s:c r="E24638" s="122" t="n"/>
    </s:row>
    <s:row r="24639" hidden="1" ht="1" customHeight="1">
      <s:c r="A24639" s="120" t="inlineStr"/>
      <s:c r="B24639" s="121" t="n"/>
      <s:c r="C24639" s="121" t="n"/>
      <s:c r="D24639" s="121" t="n"/>
      <s:c r="E24639" s="122" t="n"/>
    </s:row>
    <s:row r="24640" hidden="1" ht="1" customHeight="1">
      <s:c r="A24640" s="120" t="inlineStr"/>
      <s:c r="B24640" s="121" t="n"/>
      <s:c r="C24640" s="121" t="n"/>
      <s:c r="D24640" s="121" t="n"/>
      <s:c r="E24640" s="122" t="n"/>
    </s:row>
    <s:row r="24641" hidden="1" ht="1" customHeight="1">
      <s:c r="A24641" s="120" t="inlineStr"/>
      <s:c r="B24641" s="121" t="n"/>
      <s:c r="C24641" s="121" t="n"/>
      <s:c r="D24641" s="121" t="n"/>
      <s:c r="E24641" s="122" t="n"/>
    </s:row>
    <s:row r="24642" hidden="1" ht="1" customHeight="1">
      <s:c r="A24642" s="120" t="inlineStr"/>
      <s:c r="B24642" s="121" t="n"/>
      <s:c r="C24642" s="121" t="n"/>
      <s:c r="D24642" s="121" t="n"/>
      <s:c r="E24642" s="122" t="n"/>
    </s:row>
    <s:row r="24643" hidden="1" ht="1" customHeight="1">
      <s:c r="A24643" s="120" t="inlineStr"/>
      <s:c r="B24643" s="121" t="n"/>
      <s:c r="C24643" s="121" t="n"/>
      <s:c r="D24643" s="121" t="n"/>
      <s:c r="E24643" s="122" t="n"/>
    </s:row>
    <s:row r="24644" hidden="1" ht="1" customHeight="1">
      <s:c r="A24644" s="120" t="inlineStr"/>
      <s:c r="B24644" s="121" t="n"/>
      <s:c r="C24644" s="121" t="n"/>
      <s:c r="D24644" s="121" t="n"/>
      <s:c r="E24644" s="122" t="n"/>
    </s:row>
    <s:row r="24645" hidden="1" ht="1" customHeight="1">
      <s:c r="A24645" s="120" t="inlineStr"/>
      <s:c r="B24645" s="121" t="n"/>
      <s:c r="C24645" s="121" t="n"/>
      <s:c r="D24645" s="121" t="n"/>
      <s:c r="E24645" s="122" t="n"/>
    </s:row>
    <s:row r="24646" hidden="1" ht="1" customHeight="1">
      <s:c r="A24646" s="120" t="inlineStr"/>
      <s:c r="B24646" s="121" t="n"/>
      <s:c r="C24646" s="121" t="n"/>
      <s:c r="D24646" s="121" t="n"/>
      <s:c r="E24646" s="122" t="n"/>
    </s:row>
    <s:row r="24647" hidden="1" ht="1" customHeight="1">
      <s:c r="A24647" s="120" t="inlineStr"/>
      <s:c r="B24647" s="121" t="n"/>
      <s:c r="C24647" s="121" t="n"/>
      <s:c r="D24647" s="121" t="n"/>
      <s:c r="E24647" s="122" t="n"/>
    </s:row>
    <s:row r="24648" hidden="1" ht="1" customHeight="1">
      <s:c r="A24648" s="120" t="inlineStr"/>
      <s:c r="B24648" s="121" t="n"/>
      <s:c r="C24648" s="121" t="n"/>
      <s:c r="D24648" s="121" t="n"/>
      <s:c r="E24648" s="122" t="n"/>
    </s:row>
    <s:row r="24649" hidden="1" ht="1" customHeight="1">
      <s:c r="A24649" s="120" t="inlineStr"/>
      <s:c r="B24649" s="121" t="n"/>
      <s:c r="C24649" s="121" t="n"/>
      <s:c r="D24649" s="121" t="n"/>
      <s:c r="E24649" s="122" t="n"/>
    </s:row>
    <s:row r="24650" hidden="1" ht="1" customHeight="1">
      <s:c r="A24650" s="120" t="inlineStr"/>
      <s:c r="B24650" s="121" t="n"/>
      <s:c r="C24650" s="121" t="n"/>
      <s:c r="D24650" s="121" t="n"/>
      <s:c r="E24650" s="122" t="n"/>
    </s:row>
    <s:row r="24651" hidden="1" ht="1" customHeight="1">
      <s:c r="A24651" s="120" t="inlineStr"/>
      <s:c r="B24651" s="121" t="n"/>
      <s:c r="C24651" s="121" t="n"/>
      <s:c r="D24651" s="121" t="n"/>
      <s:c r="E24651" s="122" t="n"/>
    </s:row>
    <s:row r="24652" hidden="1" ht="1" customHeight="1">
      <s:c r="A24652" s="120" t="inlineStr"/>
      <s:c r="B24652" s="121" t="n"/>
      <s:c r="C24652" s="121" t="n"/>
      <s:c r="D24652" s="121" t="n"/>
      <s:c r="E24652" s="122" t="n"/>
    </s:row>
    <s:row r="24653" hidden="1" ht="1" customHeight="1">
      <s:c r="A24653" s="120" t="inlineStr"/>
      <s:c r="B24653" s="121" t="n"/>
      <s:c r="C24653" s="121" t="n"/>
      <s:c r="D24653" s="121" t="n"/>
      <s:c r="E24653" s="122" t="n"/>
    </s:row>
    <s:row r="24654" hidden="1" ht="1" customHeight="1">
      <s:c r="A24654" s="120" t="inlineStr"/>
      <s:c r="B24654" s="121" t="n"/>
      <s:c r="C24654" s="121" t="n"/>
      <s:c r="D24654" s="121" t="n"/>
      <s:c r="E24654" s="122" t="n"/>
    </s:row>
    <s:row r="24655" hidden="1" ht="1" customHeight="1">
      <s:c r="A24655" s="120" t="inlineStr"/>
      <s:c r="B24655" s="121" t="n"/>
      <s:c r="C24655" s="121" t="n"/>
      <s:c r="D24655" s="121" t="n"/>
      <s:c r="E24655" s="122" t="n"/>
    </s:row>
    <s:row r="24656" hidden="1" ht="1" customHeight="1">
      <s:c r="A24656" s="120" t="inlineStr"/>
      <s:c r="B24656" s="121" t="n"/>
      <s:c r="C24656" s="121" t="n"/>
      <s:c r="D24656" s="121" t="n"/>
      <s:c r="E24656" s="122" t="n"/>
    </s:row>
    <s:row r="24657" hidden="1" ht="1" customHeight="1">
      <s:c r="A24657" s="120" t="inlineStr"/>
      <s:c r="B24657" s="121" t="n"/>
      <s:c r="C24657" s="121" t="n"/>
      <s:c r="D24657" s="121" t="n"/>
      <s:c r="E24657" s="122" t="n"/>
    </s:row>
    <s:row r="24658" hidden="1" ht="1" customHeight="1">
      <s:c r="A24658" s="120" t="inlineStr"/>
      <s:c r="B24658" s="121" t="n"/>
      <s:c r="C24658" s="121" t="n"/>
      <s:c r="D24658" s="121" t="n"/>
      <s:c r="E24658" s="122" t="n"/>
    </s:row>
    <s:row r="24659" hidden="1" ht="1" customHeight="1">
      <s:c r="A24659" s="120" t="inlineStr"/>
      <s:c r="B24659" s="121" t="n"/>
      <s:c r="C24659" s="121" t="n"/>
      <s:c r="D24659" s="121" t="n"/>
      <s:c r="E24659" s="122" t="n"/>
    </s:row>
    <s:row r="24660" hidden="1" ht="1" customHeight="1">
      <s:c r="A24660" s="120" t="inlineStr"/>
      <s:c r="B24660" s="121" t="n"/>
      <s:c r="C24660" s="121" t="n"/>
      <s:c r="D24660" s="121" t="n"/>
      <s:c r="E24660" s="122" t="n"/>
    </s:row>
    <s:row r="24661" hidden="1" ht="1" customHeight="1">
      <s:c r="A24661" s="120" t="inlineStr"/>
      <s:c r="B24661" s="121" t="n"/>
      <s:c r="C24661" s="121" t="n"/>
      <s:c r="D24661" s="121" t="n"/>
      <s:c r="E24661" s="122" t="n"/>
    </s:row>
    <s:row r="24662" hidden="1" ht="1" customHeight="1">
      <s:c r="A24662" s="120" t="inlineStr"/>
      <s:c r="B24662" s="121" t="n"/>
      <s:c r="C24662" s="121" t="n"/>
      <s:c r="D24662" s="121" t="n"/>
      <s:c r="E24662" s="122" t="n"/>
    </s:row>
    <s:row r="24663" hidden="1" ht="1" customHeight="1">
      <s:c r="A24663" s="120" t="inlineStr"/>
      <s:c r="B24663" s="121" t="n"/>
      <s:c r="C24663" s="121" t="n"/>
      <s:c r="D24663" s="121" t="n"/>
      <s:c r="E24663" s="122" t="n"/>
    </s:row>
    <s:row r="24664" hidden="1" ht="1" customHeight="1">
      <s:c r="A24664" s="120" t="inlineStr"/>
      <s:c r="B24664" s="121" t="n"/>
      <s:c r="C24664" s="121" t="n"/>
      <s:c r="D24664" s="121" t="n"/>
      <s:c r="E24664" s="122" t="n"/>
    </s:row>
    <s:row r="24665" hidden="1" ht="1" customHeight="1">
      <s:c r="A24665" s="120" t="inlineStr"/>
      <s:c r="B24665" s="121" t="n"/>
      <s:c r="C24665" s="121" t="n"/>
      <s:c r="D24665" s="121" t="n"/>
      <s:c r="E24665" s="122" t="n"/>
    </s:row>
    <s:row r="24666" hidden="1" ht="1" customHeight="1">
      <s:c r="A24666" s="120" t="inlineStr"/>
      <s:c r="B24666" s="121" t="n"/>
      <s:c r="C24666" s="121" t="n"/>
      <s:c r="D24666" s="121" t="n"/>
      <s:c r="E24666" s="122" t="n"/>
    </s:row>
    <s:row r="24667" hidden="1" ht="1" customHeight="1">
      <s:c r="A24667" s="120" t="inlineStr"/>
      <s:c r="B24667" s="121" t="n"/>
      <s:c r="C24667" s="121" t="n"/>
      <s:c r="D24667" s="121" t="n"/>
      <s:c r="E24667" s="122" t="n"/>
    </s:row>
    <s:row r="24668" hidden="1" ht="1" customHeight="1">
      <s:c r="A24668" s="120" t="inlineStr"/>
      <s:c r="B24668" s="121" t="n"/>
      <s:c r="C24668" s="121" t="n"/>
      <s:c r="D24668" s="121" t="n"/>
      <s:c r="E24668" s="122" t="n"/>
    </s:row>
    <s:row r="24669" hidden="1" ht="1" customHeight="1">
      <s:c r="A24669" s="120" t="inlineStr"/>
      <s:c r="B24669" s="121" t="n"/>
      <s:c r="C24669" s="121" t="n"/>
      <s:c r="D24669" s="121" t="n"/>
      <s:c r="E24669" s="122" t="n"/>
    </s:row>
    <s:row r="24670" hidden="1" ht="1" customHeight="1">
      <s:c r="A24670" s="120" t="inlineStr"/>
      <s:c r="B24670" s="121" t="n"/>
      <s:c r="C24670" s="121" t="n"/>
      <s:c r="D24670" s="121" t="n"/>
      <s:c r="E24670" s="122" t="n"/>
    </s:row>
    <s:row r="24671" hidden="1" ht="1" customHeight="1">
      <s:c r="A24671" s="120" t="inlineStr"/>
      <s:c r="B24671" s="121" t="n"/>
      <s:c r="C24671" s="121" t="n"/>
      <s:c r="D24671" s="121" t="n"/>
      <s:c r="E24671" s="122" t="n"/>
    </s:row>
    <s:row r="24672" hidden="1" ht="1" customHeight="1">
      <s:c r="A24672" s="120" t="inlineStr"/>
      <s:c r="B24672" s="121" t="n"/>
      <s:c r="C24672" s="121" t="n"/>
      <s:c r="D24672" s="121" t="n"/>
      <s:c r="E24672" s="122" t="n"/>
    </s:row>
    <s:row r="24673" hidden="1" ht="1" customHeight="1">
      <s:c r="A24673" s="120" t="inlineStr"/>
      <s:c r="B24673" s="121" t="n"/>
      <s:c r="C24673" s="121" t="n"/>
      <s:c r="D24673" s="121" t="n"/>
      <s:c r="E24673" s="122" t="n"/>
    </s:row>
    <s:row r="24674" hidden="1" ht="1" customHeight="1">
      <s:c r="A24674" s="120" t="inlineStr"/>
      <s:c r="B24674" s="121" t="n"/>
      <s:c r="C24674" s="121" t="n"/>
      <s:c r="D24674" s="121" t="n"/>
      <s:c r="E24674" s="122" t="n"/>
    </s:row>
    <s:row r="24675" hidden="1" ht="1" customHeight="1">
      <s:c r="A24675" s="120" t="inlineStr"/>
      <s:c r="B24675" s="121" t="n"/>
      <s:c r="C24675" s="121" t="n"/>
      <s:c r="D24675" s="121" t="n"/>
      <s:c r="E24675" s="122" t="n"/>
    </s:row>
    <s:row r="24676" hidden="1" ht="1" customHeight="1">
      <s:c r="A24676" s="120" t="inlineStr"/>
      <s:c r="B24676" s="121" t="n"/>
      <s:c r="C24676" s="121" t="n"/>
      <s:c r="D24676" s="121" t="n"/>
      <s:c r="E24676" s="122" t="n"/>
    </s:row>
    <s:row r="24677" hidden="1" ht="1" customHeight="1">
      <s:c r="A24677" s="120" t="inlineStr"/>
      <s:c r="B24677" s="121" t="n"/>
      <s:c r="C24677" s="121" t="n"/>
      <s:c r="D24677" s="121" t="n"/>
      <s:c r="E24677" s="122" t="n"/>
    </s:row>
    <s:row r="24678" hidden="1" ht="1" customHeight="1">
      <s:c r="A24678" s="120" t="inlineStr"/>
      <s:c r="B24678" s="121" t="n"/>
      <s:c r="C24678" s="121" t="n"/>
      <s:c r="D24678" s="121" t="n"/>
      <s:c r="E24678" s="122" t="n"/>
    </s:row>
    <s:row r="24679" hidden="1" ht="1" customHeight="1">
      <s:c r="A24679" s="120" t="inlineStr"/>
      <s:c r="B24679" s="121" t="n"/>
      <s:c r="C24679" s="121" t="n"/>
      <s:c r="D24679" s="121" t="n"/>
      <s:c r="E24679" s="122" t="n"/>
    </s:row>
    <s:row r="24680" hidden="1" ht="1" customHeight="1">
      <s:c r="A24680" s="120" t="inlineStr"/>
      <s:c r="B24680" s="121" t="n"/>
      <s:c r="C24680" s="121" t="n"/>
      <s:c r="D24680" s="121" t="n"/>
      <s:c r="E24680" s="122" t="n"/>
    </s:row>
    <s:row r="24681" hidden="1" ht="1" customHeight="1">
      <s:c r="A24681" s="120" t="inlineStr"/>
      <s:c r="B24681" s="121" t="n"/>
      <s:c r="C24681" s="121" t="n"/>
      <s:c r="D24681" s="121" t="n"/>
      <s:c r="E24681" s="122" t="n"/>
    </s:row>
    <s:row r="24682" hidden="1" ht="1" customHeight="1">
      <s:c r="A24682" s="120" t="inlineStr"/>
      <s:c r="B24682" s="121" t="n"/>
      <s:c r="C24682" s="121" t="n"/>
      <s:c r="D24682" s="121" t="n"/>
      <s:c r="E24682" s="122" t="n"/>
    </s:row>
    <s:row r="24683" hidden="1" ht="1" customHeight="1">
      <s:c r="A24683" s="120" t="inlineStr"/>
      <s:c r="B24683" s="121" t="n"/>
      <s:c r="C24683" s="121" t="n"/>
      <s:c r="D24683" s="121" t="n"/>
      <s:c r="E24683" s="122" t="n"/>
    </s:row>
    <s:row r="24684" hidden="1" ht="1" customHeight="1">
      <s:c r="A24684" s="120" t="inlineStr"/>
      <s:c r="B24684" s="121" t="n"/>
      <s:c r="C24684" s="121" t="n"/>
      <s:c r="D24684" s="121" t="n"/>
      <s:c r="E24684" s="122" t="n"/>
    </s:row>
    <s:row r="24685" hidden="1" ht="1" customHeight="1">
      <s:c r="A24685" s="120" t="inlineStr"/>
      <s:c r="B24685" s="121" t="n"/>
      <s:c r="C24685" s="121" t="n"/>
      <s:c r="D24685" s="121" t="n"/>
      <s:c r="E24685" s="122" t="n"/>
    </s:row>
    <s:row r="24686" hidden="1" ht="1" customHeight="1">
      <s:c r="A24686" s="120" t="inlineStr"/>
      <s:c r="B24686" s="121" t="n"/>
      <s:c r="C24686" s="121" t="n"/>
      <s:c r="D24686" s="121" t="n"/>
      <s:c r="E24686" s="122" t="n"/>
    </s:row>
    <s:row r="24687" hidden="1" ht="1" customHeight="1">
      <s:c r="A24687" s="120" t="inlineStr"/>
      <s:c r="B24687" s="121" t="n"/>
      <s:c r="C24687" s="121" t="n"/>
      <s:c r="D24687" s="121" t="n"/>
      <s:c r="E24687" s="122" t="n"/>
    </s:row>
    <s:row r="24688" hidden="1" ht="1" customHeight="1">
      <s:c r="A24688" s="120" t="inlineStr"/>
      <s:c r="B24688" s="121" t="n"/>
      <s:c r="C24688" s="121" t="n"/>
      <s:c r="D24688" s="121" t="n"/>
      <s:c r="E24688" s="122" t="n"/>
    </s:row>
    <s:row r="24689" hidden="1" ht="1" customHeight="1">
      <s:c r="A24689" s="120" t="inlineStr"/>
      <s:c r="B24689" s="121" t="n"/>
      <s:c r="C24689" s="121" t="n"/>
      <s:c r="D24689" s="121" t="n"/>
      <s:c r="E24689" s="122" t="n"/>
    </s:row>
    <s:row r="24690" hidden="1" ht="1" customHeight="1">
      <s:c r="A24690" s="120" t="inlineStr"/>
      <s:c r="B24690" s="121" t="n"/>
      <s:c r="C24690" s="121" t="n"/>
      <s:c r="D24690" s="121" t="n"/>
      <s:c r="E24690" s="122" t="n"/>
    </s:row>
    <s:row r="24691" hidden="1" ht="1" customHeight="1">
      <s:c r="A24691" s="120" t="inlineStr"/>
      <s:c r="B24691" s="121" t="n"/>
      <s:c r="C24691" s="121" t="n"/>
      <s:c r="D24691" s="121" t="n"/>
      <s:c r="E24691" s="122" t="n"/>
    </s:row>
    <s:row r="24692" hidden="1" ht="1" customHeight="1">
      <s:c r="A24692" s="120" t="inlineStr"/>
      <s:c r="B24692" s="121" t="n"/>
      <s:c r="C24692" s="121" t="n"/>
      <s:c r="D24692" s="121" t="n"/>
      <s:c r="E24692" s="122" t="n"/>
    </s:row>
    <s:row r="24693" hidden="1" ht="1" customHeight="1">
      <s:c r="A24693" s="120" t="inlineStr"/>
      <s:c r="B24693" s="121" t="n"/>
      <s:c r="C24693" s="121" t="n"/>
      <s:c r="D24693" s="121" t="n"/>
      <s:c r="E24693" s="122" t="n"/>
    </s:row>
    <s:row r="24694" hidden="1" ht="1" customHeight="1">
      <s:c r="A24694" s="120" t="inlineStr"/>
      <s:c r="B24694" s="121" t="n"/>
      <s:c r="C24694" s="121" t="n"/>
      <s:c r="D24694" s="121" t="n"/>
      <s:c r="E24694" s="122" t="n"/>
    </s:row>
    <s:row r="24695" hidden="1" ht="1" customHeight="1">
      <s:c r="A24695" s="120" t="inlineStr"/>
      <s:c r="B24695" s="121" t="n"/>
      <s:c r="C24695" s="121" t="n"/>
      <s:c r="D24695" s="121" t="n"/>
      <s:c r="E24695" s="122" t="n"/>
    </s:row>
    <s:row r="24696" hidden="1" ht="1" customHeight="1">
      <s:c r="A24696" s="120" t="inlineStr"/>
      <s:c r="B24696" s="121" t="n"/>
      <s:c r="C24696" s="121" t="n"/>
      <s:c r="D24696" s="121" t="n"/>
      <s:c r="E24696" s="122" t="n"/>
    </s:row>
    <s:row r="24697" hidden="1" ht="1" customHeight="1">
      <s:c r="A24697" s="120" t="inlineStr"/>
      <s:c r="B24697" s="121" t="n"/>
      <s:c r="C24697" s="121" t="n"/>
      <s:c r="D24697" s="121" t="n"/>
      <s:c r="E24697" s="122" t="n"/>
    </s:row>
    <s:row r="24698" hidden="1" ht="1" customHeight="1">
      <s:c r="A24698" s="120" t="inlineStr"/>
      <s:c r="B24698" s="121" t="n"/>
      <s:c r="C24698" s="121" t="n"/>
      <s:c r="D24698" s="121" t="n"/>
      <s:c r="E24698" s="122" t="n"/>
    </s:row>
    <s:row r="24699" hidden="1" ht="1" customHeight="1">
      <s:c r="A24699" s="120" t="inlineStr"/>
      <s:c r="B24699" s="121" t="n"/>
      <s:c r="C24699" s="121" t="n"/>
      <s:c r="D24699" s="121" t="n"/>
      <s:c r="E24699" s="122" t="n"/>
    </s:row>
    <s:row r="24700" hidden="1" ht="1" customHeight="1">
      <s:c r="A24700" s="120" t="inlineStr"/>
      <s:c r="B24700" s="121" t="n"/>
      <s:c r="C24700" s="121" t="n"/>
      <s:c r="D24700" s="121" t="n"/>
      <s:c r="E24700" s="122" t="n"/>
    </s:row>
    <s:row r="24701" hidden="1" ht="1" customHeight="1">
      <s:c r="A24701" s="120" t="inlineStr"/>
      <s:c r="B24701" s="121" t="n"/>
      <s:c r="C24701" s="121" t="n"/>
      <s:c r="D24701" s="121" t="n"/>
      <s:c r="E24701" s="122" t="n"/>
    </s:row>
    <s:row r="24702" hidden="1" ht="1" customHeight="1">
      <s:c r="A24702" s="120" t="inlineStr"/>
      <s:c r="B24702" s="121" t="n"/>
      <s:c r="C24702" s="121" t="n"/>
      <s:c r="D24702" s="121" t="n"/>
      <s:c r="E24702" s="122" t="n"/>
    </s:row>
    <s:row r="24703" hidden="1" ht="1" customHeight="1">
      <s:c r="A24703" s="120" t="inlineStr"/>
      <s:c r="B24703" s="121" t="n"/>
      <s:c r="C24703" s="121" t="n"/>
      <s:c r="D24703" s="121" t="n"/>
      <s:c r="E24703" s="122" t="n"/>
    </s:row>
    <s:row r="24704" hidden="1" ht="1" customHeight="1">
      <s:c r="A24704" s="120" t="inlineStr"/>
      <s:c r="B24704" s="121" t="n"/>
      <s:c r="C24704" s="121" t="n"/>
      <s:c r="D24704" s="121" t="n"/>
      <s:c r="E24704" s="122" t="n"/>
    </s:row>
    <s:row r="24705" hidden="1" ht="1" customHeight="1">
      <s:c r="A24705" s="120" t="inlineStr"/>
      <s:c r="B24705" s="121" t="n"/>
      <s:c r="C24705" s="121" t="n"/>
      <s:c r="D24705" s="121" t="n"/>
      <s:c r="E24705" s="122" t="n"/>
    </s:row>
    <s:row r="24706" hidden="1" ht="1" customHeight="1">
      <s:c r="A24706" s="83" t="inlineStr">
        <s:is>
          <s:t>PASS</s:t>
        </s:is>
      </s:c>
      <s:c r="B24706" s="83">
        <s:f>SUM(IF(EXACT('Kiểm thử'!E24556,"Đạt"),1,0),IF(EXACT('Kiểm thử'!E24558,"Đạt"),1,0),IF(EXACT('Kiểm thử'!E24560,"Đạt"),1,0))</s:f>
        <s:v/>
      </s:c>
      <s:c r="C24706" s="19" t="n"/>
      <s:c r="D24706" s="19" t="n"/>
      <s:c r="E24706" s="19" t="n"/>
    </s:row>
    <s:row r="24707" hidden="1" ht="1" customHeight="1">
      <s:c r="A24707" s="83" t="inlineStr">
        <s:is>
          <s:t>FAIL</s:t>
        </s:is>
      </s:c>
      <s:c r="B24707" s="83">
        <s:f>SUM(IF(EXACT('Kiểm thử'!E24556,"Không đạt"),1,0),IF(EXACT('Kiểm thử'!E24558,"Không đạt"),1,0),IF(EXACT('Kiểm thử'!E24560,"Không đạt"),1,0))</s:f>
        <s:v/>
      </s:c>
      <s:c r="C24707" s="19" t="n"/>
      <s:c r="D24707" s="19" t="n"/>
      <s:c r="E24707" s="19" t="n"/>
    </s:row>
    <s:row r="24708" hidden="1" ht="1" customHeight="1">
      <s:c r="A24708" s="83" t="inlineStr">
        <s:is>
          <s:t>BLOCKED</s:t>
        </s:is>
      </s:c>
      <s:c r="B24708" s="83">
        <s:f>SUM(IF(EXACT('Kiểm thử'!E24556,"Bị chặn"),1,0),IF(EXACT('Kiểm thử'!E24558,"Bị chặn"),1,0),IF(EXACT('Kiểm thử'!E24560,"Bị chặn"),1,0))</s:f>
        <s:v/>
      </s:c>
      <s:c r="C24708" s="19" t="n"/>
      <s:c r="D24708" s="19" t="n"/>
      <s:c r="E24708" s="19" t="n"/>
    </s:row>
    <s:row r="24709" hidden="1" ht="1" customHeight="1">
      <s:c r="A24709" s="83" t="inlineStr">
        <s:is>
          <s:t>SKIPPED</s:t>
        </s:is>
      </s:c>
      <s:c r="B24709" s="83">
        <s:f>SUM(IF(EXACT('Kiểm thử'!E24556,"Không thực hiện"),1,0),IF(EXACT('Kiểm thử'!E24558,"Không thực hiện"),1,0),IF(EXACT('Kiểm thử'!E24560,"Không thực hiện"),1,0))</s:f>
        <s:v/>
      </s:c>
      <s:c r="C24709" s="19" t="n"/>
      <s:c r="D24709" s="19" t="n"/>
      <s:c r="E24709" s="19" t="n"/>
    </s:row>
    <s:row r="24710" hidden="1" ht="1" customHeight="1">
      <s:c r="A24710" s="83" t="inlineStr">
        <s:is>
          <s:t>NOT RUN</s:t>
        </s:is>
      </s:c>
      <s:c r="B24710" s="83">
        <s:f>SUM(IF(EXACT('Kiểm thử'!E24556,"Chưa thực hiện"),1,0),IF(EXACT('Kiểm thử'!E24558,"Chưa thực hiện"),1,0),IF(EXACT('Kiểm thử'!E24560,"Chưa thực hiện"),1,0))</s:f>
        <s:v/>
      </s:c>
      <s:c r="C24710" s="19" t="n"/>
      <s:c r="D24710" s="19" t="n"/>
      <s:c r="E24710" s="19" t="n"/>
    </s:row>
    <s:row r="24711" hidden="1" ht="6" customHeight="1">
      <s:c r="A24711" s="83" t="inlineStr"/>
      <s:c r="B24711" s="19" t="n"/>
      <s:c r="C24711" s="19" t="n"/>
      <s:c r="D24711" s="19" t="n"/>
      <s:c r="E24711" s="19" t="n"/>
    </s:row>
    <s:row r="24712" ht="28" customHeight="1">
      <s:c r="A24712" s="108" t="inlineStr">
        <s:is>
          <s:t>TC-RS-REG-015 — Quyền học sinh/phụ huynh giữ nguyên</s:t>
        </s:is>
      </s:c>
      <s:c r="B24712" s="111" t="n"/>
      <s:c r="C24712" s="111" t="n"/>
      <s:c r="D24712" s="111" t="n"/>
      <s:c r="E24712" s="111" t="n"/>
    </s:row>
    <s:row r="24713" ht="20" customHeight="1">
      <s:c r="A24713" s="112" t="inlineStr">
        <s:is>
          <s:t>Kết quả tình huống</s:t>
        </s:is>
      </s:c>
      <s:c r="B24713" s="113">
        <s:f>IF(SUM(IF(EXACT('Kiểm thử'!E24722,"Không đạt"),1,0),IF(EXACT('Kiểm thử'!E24724,"Không đạt"),1,0))&gt;0,"Không đạt",IF(SUM(IF(EXACT('Kiểm thử'!E24722,"Đạt"),1,0),IF(EXACT('Kiểm thử'!E24724,"Đạt"),1,0))=2,"Đạt",IF(SUM(IF(EXACT('Kiểm thử'!E24722,"Không thực hiện"),1,0),IF(EXACT('Kiểm thử'!E24724,"Không thực hiện"),1,0))=2,"Không thực hiện",IF(SUM(IF(EXACT('Kiểm thử'!E24722,"Bị chặn"),1,0),IF(EXACT('Kiểm thử'!E24724,"Bị chặn"),1,0))&gt;0,"Bị chặn",IF(SUM(IF(EXACT('Kiểm thử'!E24722,"Chưa thực hiện"),1,0),IF(EXACT('Kiểm thử'!E24724,"Chưa thực hiện"),1,0))=2,"Chưa thực hiện","Đang thực hiện")))))</s:f>
        <s:v/>
      </s:c>
      <s:c r="C24713" s="114" t="n"/>
      <s:c r="D24713" s="114" t="n"/>
      <s:c r="E24713" s="114" t="n"/>
    </s:row>
    <s:row r="24714" ht="20" customHeight="1">
      <s:c r="A24714" s="112" t="inlineStr">
        <s:is>
          <s:t>Màn hình / chức năng</s:t>
        </s:is>
      </s:c>
      <s:c r="B24714" s="113" t="inlineStr">
        <s:is>
          <s:t>Quyền thao tác</s:t>
        </s:is>
      </s:c>
      <s:c r="C24714" s="28" t="n"/>
      <s:c r="D24714" s="28" t="n"/>
      <s:c r="E24714" s="28" t="n"/>
    </s:row>
    <s:row r="24715" ht="34" customHeight="1">
      <s:c r="A24715" s="112" t="inlineStr">
        <s:is>
          <s:t>Cấu hình</s:t>
        </s:is>
      </s:c>
      <s:c r="B24715" s="113" t="inlineStr">
        <s:is>
          <s:t>• Tài khoản học sinh S01 (S01), tài khoản phụ huynh của học sinh S01 (phụ huynh của S01). Tài khoản học sinh/phụ huynh test lấy theo kênh được phép.</s:t>
        </s:is>
      </s:c>
      <s:c r="C24715" s="28" t="n"/>
      <s:c r="D24715" s="28" t="n"/>
      <s:c r="E24715" s="28" t="n"/>
    </s:row>
    <s:row r="24716" ht="20" customHeight="1">
      <s:c r="A24716" s="112" t="inlineStr">
        <s:is>
          <s:t>Dữ liệu test</s:t>
        </s:is>
      </s:c>
      <s:c r="B24716" s="113" t="inlineStr">
        <s:is>
          <s:t>• Tài khoản học sinh S01, tài khoản phụ huynh của học sinh S01</s:t>
        </s:is>
      </s:c>
      <s:c r="C24716" s="28" t="n"/>
      <s:c r="D24716" s="28" t="n"/>
      <s:c r="E24716" s="28" t="n"/>
    </s:row>
    <s:row r="24717" ht="20" customHeight="1">
      <s:c r="A24717" s="112" t="inlineStr">
        <s:is>
          <s:t>Bước 1</s:t>
        </s:is>
      </s:c>
      <s:c r="B24717" s="113" t="inlineStr">
        <s:is>
          <s:t>Xác minh tài khoản và quyền đúng S01, dùng tài khoản test qua kênh được phép.</s:t>
        </s:is>
      </s:c>
      <s:c r="C24717" s="28" t="n"/>
      <s:c r="D24717" s="28" t="n"/>
      <s:c r="E24717" s="28" t="n"/>
    </s:row>
    <s:row r="24718" ht="20" customHeight="1">
      <s:c r="A24718" s="112" t="inlineStr">
        <s:is>
          <s:t>Bước 2</s:t>
        </s:is>
      </s:c>
      <s:c r="B24718" s="113" t="inlineStr">
        <s:is>
          <s:t>Đăng nhập actor của trường hợp, xem dữ liệu hợp lệ rồi thử request ngoài phạm vi theo thao tác riêng.</s:t>
        </s:is>
      </s:c>
      <s:c r="C24718" s="28" t="n"/>
      <s:c r="D24718" s="28" t="n"/>
      <s:c r="E24718" s="28" t="n"/>
    </s:row>
    <s:row r="24719" ht="20" customHeight="1">
      <s:c r="A24719" s="112" t="inlineStr">
        <s:is>
          <s:t>Bước 3</s:t>
        </s:is>
      </s:c>
      <s:c r="B24719" s="113" t="inlineStr">
        <s:is>
          <s:t>Đọc response và nội dung hiển thị, đối chiếu quyền/ẩn hiện có; không tự dựng route hoặc đổi quyền.</s:t>
        </s:is>
      </s:c>
      <s:c r="C24719" s="28" t="n"/>
      <s:c r="D24719" s="28" t="n"/>
      <s:c r="E24719" s="28" t="n"/>
    </s:row>
    <s:row r="24720" ht="28" customHeight="1">
      <s:c r="A24720" s="115" t="inlineStr">
        <s:is>
          <s:t>Trường hợp</s:t>
        </s:is>
      </s:c>
      <s:c r="B24720" s="115" t="inlineStr">
        <s:is>
          <s:t>Dữ liệu / thao tác riêng</s:t>
        </s:is>
      </s:c>
      <s:c r="C24720" s="115" t="inlineStr">
        <s:is>
          <s:t>Kết quả mong đợi</s:t>
        </s:is>
      </s:c>
      <s:c r="D24720" s="115" t="inlineStr">
        <s:is>
          <s:t>Kết quả thực tế</s:t>
        </s:is>
      </s:c>
      <s:c r="E24720" s="115" t="inlineStr">
        <s:is>
          <s:t>Đánh giá</s:t>
        </s:is>
      </s:c>
    </s:row>
    <s:row r="24721" ht="3" customHeight="1">
      <s:c r="A24721" s="102" t="inlineStr"/>
      <s:c r="B24721" s="99" t="n"/>
      <s:c r="C24721" s="99" t="n"/>
      <s:c r="D24721" s="116" t="n"/>
      <s:c r="E24721" s="116" t="n"/>
    </s:row>
    <s:row r="24722" ht="76" customHeight="1">
      <s:c r="A24722" s="83" t="inlineStr">
        <s:is>
          <s:t>Quyền học sinh (student)</s:t>
        </s:is>
      </s:c>
      <s:c r="B24722" s="83" t="inlineStr">
        <s:is>
          <s:t>Đăng nhập S01, xem dữ liệu mình, đổi ID học sinh trong URL/request API sang S02, rồi thử URL cấu hình đỏ; đọc response riêng cho từng thao tác.</s:t>
        </s:is>
      </s:c>
      <s:c r="C24722" s="83" t="inlineStr">
        <s:is>
          <s:t>Tài khoản học sinh chỉ thấy S01. Đổi ID sang S02 bị từ chối; URL màn cấu hình đỏ bị từ chối.</s:t>
        </s:is>
      </s:c>
      <s:c r="D24722" s="117" t="inlineStr"/>
      <s:c r="E24722" s="118" t="inlineStr">
        <s:is>
          <s:t>Chưa thực hiện</s:t>
        </s:is>
      </s:c>
    </s:row>
    <s:row r="24723" ht="3" customHeight="1">
      <s:c r="A24723" s="102" t="inlineStr"/>
      <s:c r="B24723" s="99" t="n"/>
      <s:c r="C24723" s="99" t="n"/>
      <s:c r="D24723" s="116" t="n"/>
      <s:c r="E24723" s="116" t="n"/>
    </s:row>
    <s:row r="24724" ht="76" customHeight="1">
      <s:c r="A24724" s="83" t="inlineStr">
        <s:is>
          <s:t>Quyền phụ huynh (parent)</s:t>
        </s:is>
      </s:c>
      <s:c r="B24724" s="83" t="inlineStr">
        <s:is>
          <s:t>Đăng nhập phụ huynh S01, xem màn/PDF công khai, đổi ID học sinh trong URL/request API sang S02; đọc response và so ẩn/dấu với màn học sinh.</s:t>
        </s:is>
      </s:c>
      <s:c r="C24724" s="83" t="inlineStr">
        <s:is>
          <s:t>Tài khoản phụ huynh chỉ thấy S01; dấu đỏ và điểm ẩn giống màn học sinh. Đổi ID sang S02 bị từ chối.</s:t>
        </s:is>
      </s:c>
      <s:c r="D24724" s="117" t="inlineStr"/>
      <s:c r="E24724" s="118" t="inlineStr">
        <s:is>
          <s:t>Chưa thực hiện</s:t>
        </s:is>
      </s:c>
    </s:row>
    <s:row r="24725" ht="20" customHeight="1">
      <s:c r="A24725" s="119" t="inlineStr">
        <s:is>
          <s:t>Ảnh minh chứng — Chưa có ảnh</s:t>
        </s:is>
      </s:c>
      <s:c r="B24725" s="19" t="n"/>
      <s:c r="C24725" s="19" t="n"/>
      <s:c r="D24725" s="19" t="n"/>
      <s:c r="E24725" s="19" t="n"/>
    </s:row>
    <s:row r="24726" hidden="1" ht="1" customHeight="1">
      <s:c r="A24726" s="120" t="inlineStr"/>
      <s:c r="B24726" s="121" t="n"/>
      <s:c r="C24726" s="121" t="n"/>
      <s:c r="D24726" s="121" t="n"/>
      <s:c r="E24726" s="122" t="n"/>
    </s:row>
    <s:row r="24727" hidden="1" ht="1" customHeight="1">
      <s:c r="A24727" s="120" t="inlineStr"/>
      <s:c r="B24727" s="121" t="n"/>
      <s:c r="C24727" s="121" t="n"/>
      <s:c r="D24727" s="121" t="n"/>
      <s:c r="E24727" s="122" t="n"/>
    </s:row>
    <s:row r="24728" hidden="1" ht="1" customHeight="1">
      <s:c r="A24728" s="120" t="inlineStr"/>
      <s:c r="B24728" s="121" t="n"/>
      <s:c r="C24728" s="121" t="n"/>
      <s:c r="D24728" s="121" t="n"/>
      <s:c r="E24728" s="122" t="n"/>
    </s:row>
    <s:row r="24729" hidden="1" ht="1" customHeight="1">
      <s:c r="A24729" s="120" t="inlineStr"/>
      <s:c r="B24729" s="121" t="n"/>
      <s:c r="C24729" s="121" t="n"/>
      <s:c r="D24729" s="121" t="n"/>
      <s:c r="E24729" s="122" t="n"/>
    </s:row>
    <s:row r="24730" hidden="1" ht="1" customHeight="1">
      <s:c r="A24730" s="120" t="inlineStr"/>
      <s:c r="B24730" s="121" t="n"/>
      <s:c r="C24730" s="121" t="n"/>
      <s:c r="D24730" s="121" t="n"/>
      <s:c r="E24730" s="122" t="n"/>
    </s:row>
    <s:row r="24731" hidden="1" ht="1" customHeight="1">
      <s:c r="A24731" s="120" t="inlineStr"/>
      <s:c r="B24731" s="121" t="n"/>
      <s:c r="C24731" s="121" t="n"/>
      <s:c r="D24731" s="121" t="n"/>
      <s:c r="E24731" s="122" t="n"/>
    </s:row>
    <s:row r="24732" hidden="1" ht="1" customHeight="1">
      <s:c r="A24732" s="120" t="inlineStr"/>
      <s:c r="B24732" s="121" t="n"/>
      <s:c r="C24732" s="121" t="n"/>
      <s:c r="D24732" s="121" t="n"/>
      <s:c r="E24732" s="122" t="n"/>
    </s:row>
    <s:row r="24733" hidden="1" ht="1" customHeight="1">
      <s:c r="A24733" s="120" t="inlineStr"/>
      <s:c r="B24733" s="121" t="n"/>
      <s:c r="C24733" s="121" t="n"/>
      <s:c r="D24733" s="121" t="n"/>
      <s:c r="E24733" s="122" t="n"/>
    </s:row>
    <s:row r="24734" hidden="1" ht="1" customHeight="1">
      <s:c r="A24734" s="120" t="inlineStr"/>
      <s:c r="B24734" s="121" t="n"/>
      <s:c r="C24734" s="121" t="n"/>
      <s:c r="D24734" s="121" t="n"/>
      <s:c r="E24734" s="122" t="n"/>
    </s:row>
    <s:row r="24735" hidden="1" ht="1" customHeight="1">
      <s:c r="A24735" s="120" t="inlineStr"/>
      <s:c r="B24735" s="121" t="n"/>
      <s:c r="C24735" s="121" t="n"/>
      <s:c r="D24735" s="121" t="n"/>
      <s:c r="E24735" s="122" t="n"/>
    </s:row>
    <s:row r="24736" hidden="1" ht="1" customHeight="1">
      <s:c r="A24736" s="120" t="inlineStr"/>
      <s:c r="B24736" s="121" t="n"/>
      <s:c r="C24736" s="121" t="n"/>
      <s:c r="D24736" s="121" t="n"/>
      <s:c r="E24736" s="122" t="n"/>
    </s:row>
    <s:row r="24737" hidden="1" ht="1" customHeight="1">
      <s:c r="A24737" s="120" t="inlineStr"/>
      <s:c r="B24737" s="121" t="n"/>
      <s:c r="C24737" s="121" t="n"/>
      <s:c r="D24737" s="121" t="n"/>
      <s:c r="E24737" s="122" t="n"/>
    </s:row>
    <s:row r="24738" hidden="1" ht="1" customHeight="1">
      <s:c r="A24738" s="120" t="inlineStr"/>
      <s:c r="B24738" s="121" t="n"/>
      <s:c r="C24738" s="121" t="n"/>
      <s:c r="D24738" s="121" t="n"/>
      <s:c r="E24738" s="122" t="n"/>
    </s:row>
    <s:row r="24739" hidden="1" ht="1" customHeight="1">
      <s:c r="A24739" s="120" t="inlineStr"/>
      <s:c r="B24739" s="121" t="n"/>
      <s:c r="C24739" s="121" t="n"/>
      <s:c r="D24739" s="121" t="n"/>
      <s:c r="E24739" s="122" t="n"/>
    </s:row>
    <s:row r="24740" hidden="1" ht="1" customHeight="1">
      <s:c r="A24740" s="120" t="inlineStr"/>
      <s:c r="B24740" s="121" t="n"/>
      <s:c r="C24740" s="121" t="n"/>
      <s:c r="D24740" s="121" t="n"/>
      <s:c r="E24740" s="122" t="n"/>
    </s:row>
    <s:row r="24741" hidden="1" ht="1" customHeight="1">
      <s:c r="A24741" s="120" t="inlineStr"/>
      <s:c r="B24741" s="121" t="n"/>
      <s:c r="C24741" s="121" t="n"/>
      <s:c r="D24741" s="121" t="n"/>
      <s:c r="E24741" s="122" t="n"/>
    </s:row>
    <s:row r="24742" hidden="1" ht="1" customHeight="1">
      <s:c r="A24742" s="120" t="inlineStr"/>
      <s:c r="B24742" s="121" t="n"/>
      <s:c r="C24742" s="121" t="n"/>
      <s:c r="D24742" s="121" t="n"/>
      <s:c r="E24742" s="122" t="n"/>
    </s:row>
    <s:row r="24743" hidden="1" ht="1" customHeight="1">
      <s:c r="A24743" s="120" t="inlineStr"/>
      <s:c r="B24743" s="121" t="n"/>
      <s:c r="C24743" s="121" t="n"/>
      <s:c r="D24743" s="121" t="n"/>
      <s:c r="E24743" s="122" t="n"/>
    </s:row>
    <s:row r="24744" hidden="1" ht="1" customHeight="1">
      <s:c r="A24744" s="120" t="inlineStr"/>
      <s:c r="B24744" s="121" t="n"/>
      <s:c r="C24744" s="121" t="n"/>
      <s:c r="D24744" s="121" t="n"/>
      <s:c r="E24744" s="122" t="n"/>
    </s:row>
    <s:row r="24745" hidden="1" ht="1" customHeight="1">
      <s:c r="A24745" s="120" t="inlineStr"/>
      <s:c r="B24745" s="121" t="n"/>
      <s:c r="C24745" s="121" t="n"/>
      <s:c r="D24745" s="121" t="n"/>
      <s:c r="E24745" s="122" t="n"/>
    </s:row>
    <s:row r="24746" hidden="1" ht="1" customHeight="1">
      <s:c r="A24746" s="120" t="inlineStr"/>
      <s:c r="B24746" s="121" t="n"/>
      <s:c r="C24746" s="121" t="n"/>
      <s:c r="D24746" s="121" t="n"/>
      <s:c r="E24746" s="122" t="n"/>
    </s:row>
    <s:row r="24747" hidden="1" ht="1" customHeight="1">
      <s:c r="A24747" s="120" t="inlineStr"/>
      <s:c r="B24747" s="121" t="n"/>
      <s:c r="C24747" s="121" t="n"/>
      <s:c r="D24747" s="121" t="n"/>
      <s:c r="E24747" s="122" t="n"/>
    </s:row>
    <s:row r="24748" hidden="1" ht="1" customHeight="1">
      <s:c r="A24748" s="120" t="inlineStr"/>
      <s:c r="B24748" s="121" t="n"/>
      <s:c r="C24748" s="121" t="n"/>
      <s:c r="D24748" s="121" t="n"/>
      <s:c r="E24748" s="122" t="n"/>
    </s:row>
    <s:row r="24749" hidden="1" ht="1" customHeight="1">
      <s:c r="A24749" s="120" t="inlineStr"/>
      <s:c r="B24749" s="121" t="n"/>
      <s:c r="C24749" s="121" t="n"/>
      <s:c r="D24749" s="121" t="n"/>
      <s:c r="E24749" s="122" t="n"/>
    </s:row>
    <s:row r="24750" hidden="1" ht="1" customHeight="1">
      <s:c r="A24750" s="120" t="inlineStr"/>
      <s:c r="B24750" s="121" t="n"/>
      <s:c r="C24750" s="121" t="n"/>
      <s:c r="D24750" s="121" t="n"/>
      <s:c r="E24750" s="122" t="n"/>
    </s:row>
    <s:row r="24751" hidden="1" ht="1" customHeight="1">
      <s:c r="A24751" s="120" t="inlineStr"/>
      <s:c r="B24751" s="121" t="n"/>
      <s:c r="C24751" s="121" t="n"/>
      <s:c r="D24751" s="121" t="n"/>
      <s:c r="E24751" s="122" t="n"/>
    </s:row>
    <s:row r="24752" hidden="1" ht="1" customHeight="1">
      <s:c r="A24752" s="120" t="inlineStr"/>
      <s:c r="B24752" s="121" t="n"/>
      <s:c r="C24752" s="121" t="n"/>
      <s:c r="D24752" s="121" t="n"/>
      <s:c r="E24752" s="122" t="n"/>
    </s:row>
    <s:row r="24753" hidden="1" ht="1" customHeight="1">
      <s:c r="A24753" s="120" t="inlineStr"/>
      <s:c r="B24753" s="121" t="n"/>
      <s:c r="C24753" s="121" t="n"/>
      <s:c r="D24753" s="121" t="n"/>
      <s:c r="E24753" s="122" t="n"/>
    </s:row>
    <s:row r="24754" hidden="1" ht="1" customHeight="1">
      <s:c r="A24754" s="120" t="inlineStr"/>
      <s:c r="B24754" s="121" t="n"/>
      <s:c r="C24754" s="121" t="n"/>
      <s:c r="D24754" s="121" t="n"/>
      <s:c r="E24754" s="122" t="n"/>
    </s:row>
    <s:row r="24755" hidden="1" ht="1" customHeight="1">
      <s:c r="A24755" s="120" t="inlineStr"/>
      <s:c r="B24755" s="121" t="n"/>
      <s:c r="C24755" s="121" t="n"/>
      <s:c r="D24755" s="121" t="n"/>
      <s:c r="E24755" s="122" t="n"/>
    </s:row>
    <s:row r="24756" hidden="1" ht="1" customHeight="1">
      <s:c r="A24756" s="120" t="inlineStr"/>
      <s:c r="B24756" s="121" t="n"/>
      <s:c r="C24756" s="121" t="n"/>
      <s:c r="D24756" s="121" t="n"/>
      <s:c r="E24756" s="122" t="n"/>
    </s:row>
    <s:row r="24757" hidden="1" ht="1" customHeight="1">
      <s:c r="A24757" s="120" t="inlineStr"/>
      <s:c r="B24757" s="121" t="n"/>
      <s:c r="C24757" s="121" t="n"/>
      <s:c r="D24757" s="121" t="n"/>
      <s:c r="E24757" s="122" t="n"/>
    </s:row>
    <s:row r="24758" hidden="1" ht="1" customHeight="1">
      <s:c r="A24758" s="120" t="inlineStr"/>
      <s:c r="B24758" s="121" t="n"/>
      <s:c r="C24758" s="121" t="n"/>
      <s:c r="D24758" s="121" t="n"/>
      <s:c r="E24758" s="122" t="n"/>
    </s:row>
    <s:row r="24759" hidden="1" ht="1" customHeight="1">
      <s:c r="A24759" s="120" t="inlineStr"/>
      <s:c r="B24759" s="121" t="n"/>
      <s:c r="C24759" s="121" t="n"/>
      <s:c r="D24759" s="121" t="n"/>
      <s:c r="E24759" s="122" t="n"/>
    </s:row>
    <s:row r="24760" hidden="1" ht="1" customHeight="1">
      <s:c r="A24760" s="120" t="inlineStr"/>
      <s:c r="B24760" s="121" t="n"/>
      <s:c r="C24760" s="121" t="n"/>
      <s:c r="D24760" s="121" t="n"/>
      <s:c r="E24760" s="122" t="n"/>
    </s:row>
    <s:row r="24761" hidden="1" ht="1" customHeight="1">
      <s:c r="A24761" s="120" t="inlineStr"/>
      <s:c r="B24761" s="121" t="n"/>
      <s:c r="C24761" s="121" t="n"/>
      <s:c r="D24761" s="121" t="n"/>
      <s:c r="E24761" s="122" t="n"/>
    </s:row>
    <s:row r="24762" hidden="1" ht="1" customHeight="1">
      <s:c r="A24762" s="120" t="inlineStr"/>
      <s:c r="B24762" s="121" t="n"/>
      <s:c r="C24762" s="121" t="n"/>
      <s:c r="D24762" s="121" t="n"/>
      <s:c r="E24762" s="122" t="n"/>
    </s:row>
    <s:row r="24763" hidden="1" ht="1" customHeight="1">
      <s:c r="A24763" s="120" t="inlineStr"/>
      <s:c r="B24763" s="121" t="n"/>
      <s:c r="C24763" s="121" t="n"/>
      <s:c r="D24763" s="121" t="n"/>
      <s:c r="E24763" s="122" t="n"/>
    </s:row>
    <s:row r="24764" hidden="1" ht="1" customHeight="1">
      <s:c r="A24764" s="120" t="inlineStr"/>
      <s:c r="B24764" s="121" t="n"/>
      <s:c r="C24764" s="121" t="n"/>
      <s:c r="D24764" s="121" t="n"/>
      <s:c r="E24764" s="122" t="n"/>
    </s:row>
    <s:row r="24765" hidden="1" ht="1" customHeight="1">
      <s:c r="A24765" s="120" t="inlineStr"/>
      <s:c r="B24765" s="121" t="n"/>
      <s:c r="C24765" s="121" t="n"/>
      <s:c r="D24765" s="121" t="n"/>
      <s:c r="E24765" s="122" t="n"/>
    </s:row>
    <s:row r="24766" hidden="1" ht="1" customHeight="1">
      <s:c r="A24766" s="120" t="inlineStr"/>
      <s:c r="B24766" s="121" t="n"/>
      <s:c r="C24766" s="121" t="n"/>
      <s:c r="D24766" s="121" t="n"/>
      <s:c r="E24766" s="122" t="n"/>
    </s:row>
    <s:row r="24767" hidden="1" ht="1" customHeight="1">
      <s:c r="A24767" s="120" t="inlineStr"/>
      <s:c r="B24767" s="121" t="n"/>
      <s:c r="C24767" s="121" t="n"/>
      <s:c r="D24767" s="121" t="n"/>
      <s:c r="E24767" s="122" t="n"/>
    </s:row>
    <s:row r="24768" hidden="1" ht="1" customHeight="1">
      <s:c r="A24768" s="120" t="inlineStr"/>
      <s:c r="B24768" s="121" t="n"/>
      <s:c r="C24768" s="121" t="n"/>
      <s:c r="D24768" s="121" t="n"/>
      <s:c r="E24768" s="122" t="n"/>
    </s:row>
    <s:row r="24769" hidden="1" ht="1" customHeight="1">
      <s:c r="A24769" s="120" t="inlineStr"/>
      <s:c r="B24769" s="121" t="n"/>
      <s:c r="C24769" s="121" t="n"/>
      <s:c r="D24769" s="121" t="n"/>
      <s:c r="E24769" s="122" t="n"/>
    </s:row>
    <s:row r="24770" hidden="1" ht="1" customHeight="1">
      <s:c r="A24770" s="120" t="inlineStr"/>
      <s:c r="B24770" s="121" t="n"/>
      <s:c r="C24770" s="121" t="n"/>
      <s:c r="D24770" s="121" t="n"/>
      <s:c r="E24770" s="122" t="n"/>
    </s:row>
    <s:row r="24771" hidden="1" ht="1" customHeight="1">
      <s:c r="A24771" s="120" t="inlineStr"/>
      <s:c r="B24771" s="121" t="n"/>
      <s:c r="C24771" s="121" t="n"/>
      <s:c r="D24771" s="121" t="n"/>
      <s:c r="E24771" s="122" t="n"/>
    </s:row>
    <s:row r="24772" hidden="1" ht="1" customHeight="1">
      <s:c r="A24772" s="120" t="inlineStr"/>
      <s:c r="B24772" s="121" t="n"/>
      <s:c r="C24772" s="121" t="n"/>
      <s:c r="D24772" s="121" t="n"/>
      <s:c r="E24772" s="122" t="n"/>
    </s:row>
    <s:row r="24773" hidden="1" ht="1" customHeight="1">
      <s:c r="A24773" s="120" t="inlineStr"/>
      <s:c r="B24773" s="121" t="n"/>
      <s:c r="C24773" s="121" t="n"/>
      <s:c r="D24773" s="121" t="n"/>
      <s:c r="E24773" s="122" t="n"/>
    </s:row>
    <s:row r="24774" hidden="1" ht="1" customHeight="1">
      <s:c r="A24774" s="120" t="inlineStr"/>
      <s:c r="B24774" s="121" t="n"/>
      <s:c r="C24774" s="121" t="n"/>
      <s:c r="D24774" s="121" t="n"/>
      <s:c r="E24774" s="122" t="n"/>
    </s:row>
    <s:row r="24775" hidden="1" ht="1" customHeight="1">
      <s:c r="A24775" s="120" t="inlineStr"/>
      <s:c r="B24775" s="121" t="n"/>
      <s:c r="C24775" s="121" t="n"/>
      <s:c r="D24775" s="121" t="n"/>
      <s:c r="E24775" s="122" t="n"/>
    </s:row>
    <s:row r="24776" hidden="1" ht="1" customHeight="1">
      <s:c r="A24776" s="120" t="inlineStr"/>
      <s:c r="B24776" s="121" t="n"/>
      <s:c r="C24776" s="121" t="n"/>
      <s:c r="D24776" s="121" t="n"/>
      <s:c r="E24776" s="122" t="n"/>
    </s:row>
    <s:row r="24777" hidden="1" ht="1" customHeight="1">
      <s:c r="A24777" s="120" t="inlineStr"/>
      <s:c r="B24777" s="121" t="n"/>
      <s:c r="C24777" s="121" t="n"/>
      <s:c r="D24777" s="121" t="n"/>
      <s:c r="E24777" s="122" t="n"/>
    </s:row>
    <s:row r="24778" hidden="1" ht="1" customHeight="1">
      <s:c r="A24778" s="120" t="inlineStr"/>
      <s:c r="B24778" s="121" t="n"/>
      <s:c r="C24778" s="121" t="n"/>
      <s:c r="D24778" s="121" t="n"/>
      <s:c r="E24778" s="122" t="n"/>
    </s:row>
    <s:row r="24779" hidden="1" ht="1" customHeight="1">
      <s:c r="A24779" s="120" t="inlineStr"/>
      <s:c r="B24779" s="121" t="n"/>
      <s:c r="C24779" s="121" t="n"/>
      <s:c r="D24779" s="121" t="n"/>
      <s:c r="E24779" s="122" t="n"/>
    </s:row>
    <s:row r="24780" hidden="1" ht="1" customHeight="1">
      <s:c r="A24780" s="120" t="inlineStr"/>
      <s:c r="B24780" s="121" t="n"/>
      <s:c r="C24780" s="121" t="n"/>
      <s:c r="D24780" s="121" t="n"/>
      <s:c r="E24780" s="122" t="n"/>
    </s:row>
    <s:row r="24781" hidden="1" ht="1" customHeight="1">
      <s:c r="A24781" s="120" t="inlineStr"/>
      <s:c r="B24781" s="121" t="n"/>
      <s:c r="C24781" s="121" t="n"/>
      <s:c r="D24781" s="121" t="n"/>
      <s:c r="E24781" s="122" t="n"/>
    </s:row>
    <s:row r="24782" hidden="1" ht="1" customHeight="1">
      <s:c r="A24782" s="120" t="inlineStr"/>
      <s:c r="B24782" s="121" t="n"/>
      <s:c r="C24782" s="121" t="n"/>
      <s:c r="D24782" s="121" t="n"/>
      <s:c r="E24782" s="122" t="n"/>
    </s:row>
    <s:row r="24783" hidden="1" ht="1" customHeight="1">
      <s:c r="A24783" s="120" t="inlineStr"/>
      <s:c r="B24783" s="121" t="n"/>
      <s:c r="C24783" s="121" t="n"/>
      <s:c r="D24783" s="121" t="n"/>
      <s:c r="E24783" s="122" t="n"/>
    </s:row>
    <s:row r="24784" hidden="1" ht="1" customHeight="1">
      <s:c r="A24784" s="120" t="inlineStr"/>
      <s:c r="B24784" s="121" t="n"/>
      <s:c r="C24784" s="121" t="n"/>
      <s:c r="D24784" s="121" t="n"/>
      <s:c r="E24784" s="122" t="n"/>
    </s:row>
    <s:row r="24785" hidden="1" ht="1" customHeight="1">
      <s:c r="A24785" s="120" t="inlineStr"/>
      <s:c r="B24785" s="121" t="n"/>
      <s:c r="C24785" s="121" t="n"/>
      <s:c r="D24785" s="121" t="n"/>
      <s:c r="E24785" s="122" t="n"/>
    </s:row>
    <s:row r="24786" hidden="1" ht="1" customHeight="1">
      <s:c r="A24786" s="120" t="inlineStr"/>
      <s:c r="B24786" s="121" t="n"/>
      <s:c r="C24786" s="121" t="n"/>
      <s:c r="D24786" s="121" t="n"/>
      <s:c r="E24786" s="122" t="n"/>
    </s:row>
    <s:row r="24787" hidden="1" ht="1" customHeight="1">
      <s:c r="A24787" s="120" t="inlineStr"/>
      <s:c r="B24787" s="121" t="n"/>
      <s:c r="C24787" s="121" t="n"/>
      <s:c r="D24787" s="121" t="n"/>
      <s:c r="E24787" s="122" t="n"/>
    </s:row>
    <s:row r="24788" hidden="1" ht="1" customHeight="1">
      <s:c r="A24788" s="120" t="inlineStr"/>
      <s:c r="B24788" s="121" t="n"/>
      <s:c r="C24788" s="121" t="n"/>
      <s:c r="D24788" s="121" t="n"/>
      <s:c r="E24788" s="122" t="n"/>
    </s:row>
    <s:row r="24789" hidden="1" ht="1" customHeight="1">
      <s:c r="A24789" s="120" t="inlineStr"/>
      <s:c r="B24789" s="121" t="n"/>
      <s:c r="C24789" s="121" t="n"/>
      <s:c r="D24789" s="121" t="n"/>
      <s:c r="E24789" s="122" t="n"/>
    </s:row>
    <s:row r="24790" hidden="1" ht="1" customHeight="1">
      <s:c r="A24790" s="120" t="inlineStr"/>
      <s:c r="B24790" s="121" t="n"/>
      <s:c r="C24790" s="121" t="n"/>
      <s:c r="D24790" s="121" t="n"/>
      <s:c r="E24790" s="122" t="n"/>
    </s:row>
    <s:row r="24791" hidden="1" ht="1" customHeight="1">
      <s:c r="A24791" s="120" t="inlineStr"/>
      <s:c r="B24791" s="121" t="n"/>
      <s:c r="C24791" s="121" t="n"/>
      <s:c r="D24791" s="121" t="n"/>
      <s:c r="E24791" s="122" t="n"/>
    </s:row>
    <s:row r="24792" hidden="1" ht="1" customHeight="1">
      <s:c r="A24792" s="120" t="inlineStr"/>
      <s:c r="B24792" s="121" t="n"/>
      <s:c r="C24792" s="121" t="n"/>
      <s:c r="D24792" s="121" t="n"/>
      <s:c r="E24792" s="122" t="n"/>
    </s:row>
    <s:row r="24793" hidden="1" ht="1" customHeight="1">
      <s:c r="A24793" s="120" t="inlineStr"/>
      <s:c r="B24793" s="121" t="n"/>
      <s:c r="C24793" s="121" t="n"/>
      <s:c r="D24793" s="121" t="n"/>
      <s:c r="E24793" s="122" t="n"/>
    </s:row>
    <s:row r="24794" hidden="1" ht="1" customHeight="1">
      <s:c r="A24794" s="120" t="inlineStr"/>
      <s:c r="B24794" s="121" t="n"/>
      <s:c r="C24794" s="121" t="n"/>
      <s:c r="D24794" s="121" t="n"/>
      <s:c r="E24794" s="122" t="n"/>
    </s:row>
    <s:row r="24795" hidden="1" ht="1" customHeight="1">
      <s:c r="A24795" s="120" t="inlineStr"/>
      <s:c r="B24795" s="121" t="n"/>
      <s:c r="C24795" s="121" t="n"/>
      <s:c r="D24795" s="121" t="n"/>
      <s:c r="E24795" s="122" t="n"/>
    </s:row>
    <s:row r="24796" hidden="1" ht="1" customHeight="1">
      <s:c r="A24796" s="120" t="inlineStr"/>
      <s:c r="B24796" s="121" t="n"/>
      <s:c r="C24796" s="121" t="n"/>
      <s:c r="D24796" s="121" t="n"/>
      <s:c r="E24796" s="122" t="n"/>
    </s:row>
    <s:row r="24797" hidden="1" ht="1" customHeight="1">
      <s:c r="A24797" s="120" t="inlineStr"/>
      <s:c r="B24797" s="121" t="n"/>
      <s:c r="C24797" s="121" t="n"/>
      <s:c r="D24797" s="121" t="n"/>
      <s:c r="E24797" s="122" t="n"/>
    </s:row>
    <s:row r="24798" hidden="1" ht="1" customHeight="1">
      <s:c r="A24798" s="120" t="inlineStr"/>
      <s:c r="B24798" s="121" t="n"/>
      <s:c r="C24798" s="121" t="n"/>
      <s:c r="D24798" s="121" t="n"/>
      <s:c r="E24798" s="122" t="n"/>
    </s:row>
    <s:row r="24799" hidden="1" ht="1" customHeight="1">
      <s:c r="A24799" s="120" t="inlineStr"/>
      <s:c r="B24799" s="121" t="n"/>
      <s:c r="C24799" s="121" t="n"/>
      <s:c r="D24799" s="121" t="n"/>
      <s:c r="E24799" s="122" t="n"/>
    </s:row>
    <s:row r="24800" hidden="1" ht="1" customHeight="1">
      <s:c r="A24800" s="120" t="inlineStr"/>
      <s:c r="B24800" s="121" t="n"/>
      <s:c r="C24800" s="121" t="n"/>
      <s:c r="D24800" s="121" t="n"/>
      <s:c r="E24800" s="122" t="n"/>
    </s:row>
    <s:row r="24801" hidden="1" ht="1" customHeight="1">
      <s:c r="A24801" s="120" t="inlineStr"/>
      <s:c r="B24801" s="121" t="n"/>
      <s:c r="C24801" s="121" t="n"/>
      <s:c r="D24801" s="121" t="n"/>
      <s:c r="E24801" s="122" t="n"/>
    </s:row>
    <s:row r="24802" hidden="1" ht="1" customHeight="1">
      <s:c r="A24802" s="120" t="inlineStr"/>
      <s:c r="B24802" s="121" t="n"/>
      <s:c r="C24802" s="121" t="n"/>
      <s:c r="D24802" s="121" t="n"/>
      <s:c r="E24802" s="122" t="n"/>
    </s:row>
    <s:row r="24803" hidden="1" ht="1" customHeight="1">
      <s:c r="A24803" s="120" t="inlineStr"/>
      <s:c r="B24803" s="121" t="n"/>
      <s:c r="C24803" s="121" t="n"/>
      <s:c r="D24803" s="121" t="n"/>
      <s:c r="E24803" s="122" t="n"/>
    </s:row>
    <s:row r="24804" hidden="1" ht="1" customHeight="1">
      <s:c r="A24804" s="120" t="inlineStr"/>
      <s:c r="B24804" s="121" t="n"/>
      <s:c r="C24804" s="121" t="n"/>
      <s:c r="D24804" s="121" t="n"/>
      <s:c r="E24804" s="122" t="n"/>
    </s:row>
    <s:row r="24805" hidden="1" ht="1" customHeight="1">
      <s:c r="A24805" s="120" t="inlineStr"/>
      <s:c r="B24805" s="121" t="n"/>
      <s:c r="C24805" s="121" t="n"/>
      <s:c r="D24805" s="121" t="n"/>
      <s:c r="E24805" s="122" t="n"/>
    </s:row>
    <s:row r="24806" hidden="1" ht="1" customHeight="1">
      <s:c r="A24806" s="120" t="inlineStr"/>
      <s:c r="B24806" s="121" t="n"/>
      <s:c r="C24806" s="121" t="n"/>
      <s:c r="D24806" s="121" t="n"/>
      <s:c r="E24806" s="122" t="n"/>
    </s:row>
    <s:row r="24807" hidden="1" ht="1" customHeight="1">
      <s:c r="A24807" s="120" t="inlineStr"/>
      <s:c r="B24807" s="121" t="n"/>
      <s:c r="C24807" s="121" t="n"/>
      <s:c r="D24807" s="121" t="n"/>
      <s:c r="E24807" s="122" t="n"/>
    </s:row>
    <s:row r="24808" hidden="1" ht="1" customHeight="1">
      <s:c r="A24808" s="120" t="inlineStr"/>
      <s:c r="B24808" s="121" t="n"/>
      <s:c r="C24808" s="121" t="n"/>
      <s:c r="D24808" s="121" t="n"/>
      <s:c r="E24808" s="122" t="n"/>
    </s:row>
    <s:row r="24809" hidden="1" ht="1" customHeight="1">
      <s:c r="A24809" s="120" t="inlineStr"/>
      <s:c r="B24809" s="121" t="n"/>
      <s:c r="C24809" s="121" t="n"/>
      <s:c r="D24809" s="121" t="n"/>
      <s:c r="E24809" s="122" t="n"/>
    </s:row>
    <s:row r="24810" hidden="1" ht="1" customHeight="1">
      <s:c r="A24810" s="120" t="inlineStr"/>
      <s:c r="B24810" s="121" t="n"/>
      <s:c r="C24810" s="121" t="n"/>
      <s:c r="D24810" s="121" t="n"/>
      <s:c r="E24810" s="122" t="n"/>
    </s:row>
    <s:row r="24811" hidden="1" ht="1" customHeight="1">
      <s:c r="A24811" s="120" t="inlineStr"/>
      <s:c r="B24811" s="121" t="n"/>
      <s:c r="C24811" s="121" t="n"/>
      <s:c r="D24811" s="121" t="n"/>
      <s:c r="E24811" s="122" t="n"/>
    </s:row>
    <s:row r="24812" hidden="1" ht="1" customHeight="1">
      <s:c r="A24812" s="120" t="inlineStr"/>
      <s:c r="B24812" s="121" t="n"/>
      <s:c r="C24812" s="121" t="n"/>
      <s:c r="D24812" s="121" t="n"/>
      <s:c r="E24812" s="122" t="n"/>
    </s:row>
    <s:row r="24813" hidden="1" ht="1" customHeight="1">
      <s:c r="A24813" s="120" t="inlineStr"/>
      <s:c r="B24813" s="121" t="n"/>
      <s:c r="C24813" s="121" t="n"/>
      <s:c r="D24813" s="121" t="n"/>
      <s:c r="E24813" s="122" t="n"/>
    </s:row>
    <s:row r="24814" hidden="1" ht="1" customHeight="1">
      <s:c r="A24814" s="120" t="inlineStr"/>
      <s:c r="B24814" s="121" t="n"/>
      <s:c r="C24814" s="121" t="n"/>
      <s:c r="D24814" s="121" t="n"/>
      <s:c r="E24814" s="122" t="n"/>
    </s:row>
    <s:row r="24815" hidden="1" ht="1" customHeight="1">
      <s:c r="A24815" s="120" t="inlineStr"/>
      <s:c r="B24815" s="121" t="n"/>
      <s:c r="C24815" s="121" t="n"/>
      <s:c r="D24815" s="121" t="n"/>
      <s:c r="E24815" s="122" t="n"/>
    </s:row>
    <s:row r="24816" hidden="1" ht="1" customHeight="1">
      <s:c r="A24816" s="120" t="inlineStr"/>
      <s:c r="B24816" s="121" t="n"/>
      <s:c r="C24816" s="121" t="n"/>
      <s:c r="D24816" s="121" t="n"/>
      <s:c r="E24816" s="122" t="n"/>
    </s:row>
    <s:row r="24817" hidden="1" ht="1" customHeight="1">
      <s:c r="A24817" s="120" t="inlineStr"/>
      <s:c r="B24817" s="121" t="n"/>
      <s:c r="C24817" s="121" t="n"/>
      <s:c r="D24817" s="121" t="n"/>
      <s:c r="E24817" s="122" t="n"/>
    </s:row>
    <s:row r="24818" hidden="1" ht="1" customHeight="1">
      <s:c r="A24818" s="120" t="inlineStr"/>
      <s:c r="B24818" s="121" t="n"/>
      <s:c r="C24818" s="121" t="n"/>
      <s:c r="D24818" s="121" t="n"/>
      <s:c r="E24818" s="122" t="n"/>
    </s:row>
    <s:row r="24819" hidden="1" ht="1" customHeight="1">
      <s:c r="A24819" s="120" t="inlineStr"/>
      <s:c r="B24819" s="121" t="n"/>
      <s:c r="C24819" s="121" t="n"/>
      <s:c r="D24819" s="121" t="n"/>
      <s:c r="E24819" s="122" t="n"/>
    </s:row>
    <s:row r="24820" hidden="1" ht="1" customHeight="1">
      <s:c r="A24820" s="120" t="inlineStr"/>
      <s:c r="B24820" s="121" t="n"/>
      <s:c r="C24820" s="121" t="n"/>
      <s:c r="D24820" s="121" t="n"/>
      <s:c r="E24820" s="122" t="n"/>
    </s:row>
    <s:row r="24821" hidden="1" ht="1" customHeight="1">
      <s:c r="A24821" s="120" t="inlineStr"/>
      <s:c r="B24821" s="121" t="n"/>
      <s:c r="C24821" s="121" t="n"/>
      <s:c r="D24821" s="121" t="n"/>
      <s:c r="E24821" s="122" t="n"/>
    </s:row>
    <s:row r="24822" hidden="1" ht="1" customHeight="1">
      <s:c r="A24822" s="83" t="inlineStr">
        <s:is>
          <s:t>PASS</s:t>
        </s:is>
      </s:c>
      <s:c r="B24822" s="83">
        <s:f>SUM(IF(EXACT('Kiểm thử'!E24722,"Đạt"),1,0),IF(EXACT('Kiểm thử'!E24724,"Đạt"),1,0))</s:f>
        <s:v/>
      </s:c>
      <s:c r="C24822" s="19" t="n"/>
      <s:c r="D24822" s="19" t="n"/>
      <s:c r="E24822" s="19" t="n"/>
    </s:row>
    <s:row r="24823" hidden="1" ht="1" customHeight="1">
      <s:c r="A24823" s="83" t="inlineStr">
        <s:is>
          <s:t>FAIL</s:t>
        </s:is>
      </s:c>
      <s:c r="B24823" s="83">
        <s:f>SUM(IF(EXACT('Kiểm thử'!E24722,"Không đạt"),1,0),IF(EXACT('Kiểm thử'!E24724,"Không đạt"),1,0))</s:f>
        <s:v/>
      </s:c>
      <s:c r="C24823" s="19" t="n"/>
      <s:c r="D24823" s="19" t="n"/>
      <s:c r="E24823" s="19" t="n"/>
    </s:row>
    <s:row r="24824" hidden="1" ht="1" customHeight="1">
      <s:c r="A24824" s="83" t="inlineStr">
        <s:is>
          <s:t>BLOCKED</s:t>
        </s:is>
      </s:c>
      <s:c r="B24824" s="83">
        <s:f>SUM(IF(EXACT('Kiểm thử'!E24722,"Bị chặn"),1,0),IF(EXACT('Kiểm thử'!E24724,"Bị chặn"),1,0))</s:f>
        <s:v/>
      </s:c>
      <s:c r="C24824" s="19" t="n"/>
      <s:c r="D24824" s="19" t="n"/>
      <s:c r="E24824" s="19" t="n"/>
    </s:row>
    <s:row r="24825" hidden="1" ht="1" customHeight="1">
      <s:c r="A24825" s="83" t="inlineStr">
        <s:is>
          <s:t>SKIPPED</s:t>
        </s:is>
      </s:c>
      <s:c r="B24825" s="83">
        <s:f>SUM(IF(EXACT('Kiểm thử'!E24722,"Không thực hiện"),1,0),IF(EXACT('Kiểm thử'!E24724,"Không thực hiện"),1,0))</s:f>
        <s:v/>
      </s:c>
      <s:c r="C24825" s="19" t="n"/>
      <s:c r="D24825" s="19" t="n"/>
      <s:c r="E24825" s="19" t="n"/>
    </s:row>
    <s:row r="24826" hidden="1" ht="1" customHeight="1">
      <s:c r="A24826" s="83" t="inlineStr">
        <s:is>
          <s:t>NOT RUN</s:t>
        </s:is>
      </s:c>
      <s:c r="B24826" s="83">
        <s:f>SUM(IF(EXACT('Kiểm thử'!E24722,"Chưa thực hiện"),1,0),IF(EXACT('Kiểm thử'!E24724,"Chưa thực hiện"),1,0))</s:f>
        <s:v/>
      </s:c>
      <s:c r="C24826" s="19" t="n"/>
      <s:c r="D24826" s="19" t="n"/>
      <s:c r="E24826" s="19" t="n"/>
    </s:row>
    <s:row r="24827" hidden="1" ht="6" customHeight="1">
      <s:c r="A24827" s="83" t="inlineStr"/>
      <s:c r="B24827" s="19" t="n"/>
      <s:c r="C24827" s="19" t="n"/>
      <s:c r="D24827" s="19" t="n"/>
      <s:c r="E24827" s="19" t="n"/>
    </s:row>
    <s:row r="24828" ht="28" customHeight="1">
      <s:c r="A24828" s="108" t="inlineStr">
        <s:is>
          <s:t>TC-RS-VAL-006 — Tỷ lệ N: biên −1 / 0 / 100 / 101</s:t>
        </s:is>
      </s:c>
      <s:c r="B24828" s="111" t="n"/>
      <s:c r="C24828" s="111" t="n"/>
      <s:c r="D24828" s="111" t="n"/>
      <s:c r="E24828" s="111" t="n"/>
    </s:row>
    <s:row r="24829" ht="20" customHeight="1">
      <s:c r="A24829" s="112" t="inlineStr">
        <s:is>
          <s:t>Kết quả tình huống</s:t>
        </s:is>
      </s:c>
      <s:c r="B24829" s="113">
        <s:f>IF(SUM(IF(EXACT('Kiểm thử'!E24836,"Không đạt"),1,0),IF(EXACT('Kiểm thử'!E24838,"Không đạt"),1,0),IF(EXACT('Kiểm thử'!E24840,"Không đạt"),1,0),IF(EXACT('Kiểm thử'!E24842,"Không đạt"),1,0),IF(EXACT('Kiểm thử'!E24844,"Không đạt"),1,0),IF(EXACT('Kiểm thử'!E24846,"Không đạt"),1,0))&gt;0,"Không đạt",IF(SUM(IF(EXACT('Kiểm thử'!E24836,"Đạt"),1,0),IF(EXACT('Kiểm thử'!E24838,"Đạt"),1,0),IF(EXACT('Kiểm thử'!E24840,"Đạt"),1,0),IF(EXACT('Kiểm thử'!E24842,"Đạt"),1,0),IF(EXACT('Kiểm thử'!E24844,"Đạt"),1,0),IF(EXACT('Kiểm thử'!E24846,"Đạt"),1,0))=6,"Đạt",IF(SUM(IF(EXACT('Kiểm thử'!E24836,"Không thực hiện"),1,0),IF(EXACT('Kiểm thử'!E24838,"Không thực hiện"),1,0),IF(EXACT('Kiểm thử'!E24840,"Không thực hiện"),1,0),IF(EXACT('Kiểm thử'!E24842,"Không thực hiện"),1,0),IF(EXACT('Kiểm thử'!E24844,"Không thực hiện"),1,0),IF(EXACT('Kiểm thử'!E24846,"Không thực hiện"),1,0))=6,"Không thực hiện",IF(SUM(IF(EXACT('Kiểm thử'!E24836,"Bị chặn"),1,0),IF(EXACT('Kiểm thử'!E24838,"Bị chặn"),1,0),IF(EXACT('Kiểm thử'!E24840,"Bị chặn"),1,0),IF(EXACT('Kiểm thử'!E24842,"Bị chặn"),1,0),IF(EXACT('Kiểm thử'!E24844,"Bị chặn"),1,0),IF(EXACT('Kiểm thử'!E24846,"Bị chặn"),1,0))&gt;0,"Bị chặn",IF(SUM(IF(EXACT('Kiểm thử'!E24836,"Chưa thực hiện"),1,0),IF(EXACT('Kiểm thử'!E24838,"Chưa thực hiện"),1,0),IF(EXACT('Kiểm thử'!E24840,"Chưa thực hiện"),1,0),IF(EXACT('Kiểm thử'!E24842,"Chưa thực hiện"),1,0),IF(EXACT('Kiểm thử'!E24844,"Chưa thực hiện"),1,0),IF(EXACT('Kiểm thử'!E24846,"Chưa thực hiện"),1,0))=6,"Chưa thực hiện","Đang thực hiện")))))</s:f>
        <s:v/>
      </s:c>
      <s:c r="C24829" s="114" t="n"/>
      <s:c r="D24829" s="114" t="n"/>
      <s:c r="E24829" s="114" t="n"/>
    </s:row>
    <s:row r="24830" ht="20" customHeight="1">
      <s:c r="A24830" s="112" t="inlineStr">
        <s:is>
          <s:t>Màn hình / chức năng</s:t>
        </s:is>
      </s:c>
      <s:c r="B24830" s="113" t="inlineStr">
        <s:is>
          <s:r>
            <s:rPr>
              <s:b val="1"/>
            </s:rPr>
            <s:t>Thiết lập ngưỡng（基準設定）</s:t>
          </s:r>
        </s:is>
      </s:c>
      <s:c r="C24830" s="28" t="n"/>
      <s:c r="D24830" s="28" t="n"/>
      <s:c r="E24830" s="28" t="n"/>
    </s:row>
    <s:row r="24831" ht="20" customHeight="1">
      <s:c r="A24831" s="112" t="inlineStr">
        <s:is>
          <s:t>Cấu hình</s:t>
        </s:is>
      </s:c>
      <s:c r="B24831" s="113" t="inlineStr">
        <s:is>
          <s:r>
            <s:t>• Mục số nguyên (</s:t>
          </s:r>
          <s:r>
            <s:rPr>
              <s:b val="1"/>
            </s:rPr>
            <s:t>M=100</s:t>
          </s:r>
          <s:r>
            <s:t xml:space="preserve">), loại Tỷ </s:t>
          </s:r>
          <s:r>
            <s:rPr>
              <s:b val="1"/>
            </s:rPr>
            <s:t>lệ điểm tối đa（得点率）</s:t>
          </s:r>
          <s:r>
            <s:t>.</s:t>
          </s:r>
        </s:is>
      </s:c>
      <s:c r="C24831" s="28" t="n"/>
      <s:c r="D24831" s="28" t="n"/>
      <s:c r="E24831" s="28" t="n"/>
    </s:row>
    <s:row r="24832" ht="48" customHeight="1">
      <s:c r="A24832" s="112" t="inlineStr">
        <s:is>
          <s:t>Dữ liệu test</s:t>
        </s:is>
      </s:c>
      <s:c r="B24832" s="113" t="inlineStr">
        <s:is>
          <s:r>
            <s:t>• Mục số nguyên (</s:t>
          </s:r>
          <s:r>
            <s:rPr>
              <s:b val="1"/>
            </s:rPr>
            <s:t>M=100</s:t>
          </s:r>
          <s:r>
            <s:t>);
• N = −1, 0, 100, 101;
• Biến thể thập phân 30.5, 30.5555</s:t>
          </s:r>
        </s:is>
      </s:c>
      <s:c r="C24832" s="28" t="n"/>
      <s:c r="D24832" s="28" t="n"/>
      <s:c r="E24832" s="28" t="n"/>
    </s:row>
    <s:row r="24833" ht="20" customHeight="1">
      <s:c r="A24833" s="112" t="inlineStr">
        <s:is>
          <s:t>•</s:t>
        </s:is>
      </s:c>
      <s:c r="B24833" s="113" t="inlineStr">
        <s:is>
          <s:t>Nhập từng giá trị, Lưu.</s:t>
        </s:is>
      </s:c>
      <s:c r="C24833" s="28" t="n"/>
      <s:c r="D24833" s="28" t="n"/>
      <s:c r="E24833" s="28" t="n"/>
    </s:row>
    <s:row r="24834" ht="28" customHeight="1">
      <s:c r="A24834" s="115" t="inlineStr">
        <s:is>
          <s:t>Trường hợp</s:t>
        </s:is>
      </s:c>
      <s:c r="B24834" s="115" t="inlineStr">
        <s:is>
          <s:t>Dữ liệu / thao tác riêng</s:t>
        </s:is>
      </s:c>
      <s:c r="C24834" s="115" t="inlineStr">
        <s:is>
          <s:t>Kết quả mong đợi</s:t>
        </s:is>
      </s:c>
      <s:c r="D24834" s="115" t="inlineStr">
        <s:is>
          <s:t>Kết quả thực tế</s:t>
        </s:is>
      </s:c>
      <s:c r="E24834" s="115" t="inlineStr">
        <s:is>
          <s:t>Đánh giá</s:t>
        </s:is>
      </s:c>
    </s:row>
    <s:row r="24835" ht="3" customHeight="1">
      <s:c r="A24835" s="102" t="inlineStr"/>
      <s:c r="B24835" s="99" t="n"/>
      <s:c r="C24835" s="99" t="n"/>
      <s:c r="D24835" s="116" t="n"/>
      <s:c r="E24835" s="116" t="n"/>
    </s:row>
    <s:row r="24836" ht="48" customHeight="1">
      <s:c r="A24836" s="83" t="inlineStr">
        <s:is>
          <s:t>Tỷ lệ âm (negative)</s:t>
        </s:is>
      </s:c>
      <s:c r="B24836" s="83" t="inlineStr">
        <s:is>
          <s:t>Nhập tỷ lệ N=−1, bấm Lưu rồi mở lại nếu lưu được; không tự làm tròn/cắt giá trị.</s:t>
        </s:is>
      </s:c>
      <s:c r="C24836" s="83" t="inlineStr">
        <s:is>
          <s:t>−1: Không lưu được.</s:t>
        </s:is>
      </s:c>
      <s:c r="D24836" s="117" t="inlineStr"/>
      <s:c r="E24836" s="118" t="inlineStr">
        <s:is>
          <s:t>Chưa thực hiện</s:t>
        </s:is>
      </s:c>
    </s:row>
    <s:row r="24837" ht="3" customHeight="1">
      <s:c r="A24837" s="102" t="inlineStr"/>
      <s:c r="B24837" s="99" t="n"/>
      <s:c r="C24837" s="99" t="n"/>
      <s:c r="D24837" s="116" t="n"/>
      <s:c r="E24837" s="116" t="n"/>
    </s:row>
    <s:row r="24838" ht="48" customHeight="1">
      <s:c r="A24838" s="83" t="inlineStr">
        <s:is>
          <s:t>Tỷ lệ bằng 0 (zero)</s:t>
        </s:is>
      </s:c>
      <s:c r="B24838" s="83" t="inlineStr">
        <s:is>
          <s:r>
            <s:t xml:space="preserve">Nhập tỷ lệ </s:t>
          </s:r>
          <s:r>
            <s:rPr>
              <s:b val="1"/>
            </s:rPr>
            <s:t>N=0</s:t>
          </s:r>
          <s:r>
            <s:t>, bấm Lưu rồi mở lại nếu lưu được; không tự làm tròn/cắt giá trị.</s:t>
          </s:r>
        </s:is>
      </s:c>
      <s:c r="C24838" s="83" t="inlineStr">
        <s:is>
          <s:t>0: Lưu được.</s:t>
        </s:is>
      </s:c>
      <s:c r="D24838" s="117" t="inlineStr"/>
      <s:c r="E24838" s="118" t="inlineStr">
        <s:is>
          <s:t>Chưa thực hiện</s:t>
        </s:is>
      </s:c>
    </s:row>
    <s:row r="24839" ht="3" customHeight="1">
      <s:c r="A24839" s="102" t="inlineStr"/>
      <s:c r="B24839" s="99" t="n"/>
      <s:c r="C24839" s="99" t="n"/>
      <s:c r="D24839" s="116" t="n"/>
      <s:c r="E24839" s="116" t="n"/>
    </s:row>
    <s:row r="24840" ht="48" customHeight="1">
      <s:c r="A24840" s="83" t="inlineStr">
        <s:is>
          <s:t>Tỷ lệ bằng 100 (hundred)</s:t>
        </s:is>
      </s:c>
      <s:c r="B24840" s="83" t="inlineStr">
        <s:is>
          <s:r>
            <s:t xml:space="preserve">Nhập tỷ lệ </s:t>
          </s:r>
          <s:r>
            <s:rPr>
              <s:b val="1"/>
            </s:rPr>
            <s:t>N=100</s:t>
          </s:r>
          <s:r>
            <s:t>, bấm Lưu rồi mở lại nếu lưu được; không tự làm tròn/cắt giá trị.</s:t>
          </s:r>
        </s:is>
      </s:c>
      <s:c r="C24840" s="83" t="inlineStr">
        <s:is>
          <s:t>100: Lưu được.</s:t>
        </s:is>
      </s:c>
      <s:c r="D24840" s="117" t="inlineStr"/>
      <s:c r="E24840" s="118" t="inlineStr">
        <s:is>
          <s:t>Chưa thực hiện</s:t>
        </s:is>
      </s:c>
    </s:row>
    <s:row r="24841" ht="3" customHeight="1">
      <s:c r="A24841" s="102" t="inlineStr"/>
      <s:c r="B24841" s="99" t="n"/>
      <s:c r="C24841" s="99" t="n"/>
      <s:c r="D24841" s="116" t="n"/>
      <s:c r="E24841" s="116" t="n"/>
    </s:row>
    <s:row r="24842" ht="48" customHeight="1">
      <s:c r="A24842" s="83" t="inlineStr">
        <s:is>
          <s:t>Tỷ lệ vượt 100 (above)</s:t>
        </s:is>
      </s:c>
      <s:c r="B24842" s="83" t="inlineStr">
        <s:is>
          <s:r>
            <s:t xml:space="preserve">Nhập tỷ lệ </s:t>
          </s:r>
          <s:r>
            <s:rPr>
              <s:b val="1"/>
            </s:rPr>
            <s:t>N=101</s:t>
          </s:r>
          <s:r>
            <s:t>, bấm Lưu rồi mở lại nếu lưu được; không tự làm tròn/cắt giá trị.</s:t>
          </s:r>
        </s:is>
      </s:c>
      <s:c r="C24842" s="83" t="inlineStr">
        <s:is>
          <s:t>101: Không lưu được.</s:t>
        </s:is>
      </s:c>
      <s:c r="D24842" s="117" t="inlineStr"/>
      <s:c r="E24842" s="118" t="inlineStr">
        <s:is>
          <s:t>Chưa thực hiện</s:t>
        </s:is>
      </s:c>
    </s:row>
    <s:row r="24843" ht="3" customHeight="1">
      <s:c r="A24843" s="102" t="inlineStr"/>
      <s:c r="B24843" s="99" t="n"/>
      <s:c r="C24843" s="99" t="n"/>
      <s:c r="D24843" s="116" t="n"/>
      <s:c r="E24843" s="116" t="n"/>
    </s:row>
    <s:row r="24844" ht="48" customHeight="1">
      <s:c r="A24844" s="83" t="inlineStr">
        <s:is>
          <s:t>Tỷ lệ thập phân (decimal)</s:t>
        </s:is>
      </s:c>
      <s:c r="B24844" s="83" t="inlineStr">
        <s:is>
          <s:r>
            <s:t xml:space="preserve">Nhập tỷ lệ </s:t>
          </s:r>
          <s:r>
            <s:rPr>
              <s:b val="1"/>
            </s:rPr>
            <s:t>N=30.5</s:t>
          </s:r>
          <s:r>
            <s:t>, bấm Lưu rồi mở lại nếu lưu được; không tự làm tròn/cắt giá trị.</s:t>
          </s:r>
        </s:is>
      </s:c>
      <s:c r="C24844" s="83" t="inlineStr">
        <s:is>
          <s:t>30.5 Lưu được (PROPOSED, thiết kế DB v2 mục 4.2).</s:t>
        </s:is>
      </s:c>
      <s:c r="D24844" s="117" t="inlineStr"/>
      <s:c r="E24844" s="118" t="inlineStr">
        <s:is>
          <s:t>Chưa thực hiện</s:t>
        </s:is>
      </s:c>
    </s:row>
    <s:row r="24845" ht="3" customHeight="1">
      <s:c r="A24845" s="102" t="inlineStr"/>
      <s:c r="B24845" s="99" t="n"/>
      <s:c r="C24845" s="99" t="n"/>
      <s:c r="D24845" s="116" t="n"/>
      <s:c r="E24845" s="116" t="n"/>
    </s:row>
    <s:row r="24846" ht="48" customHeight="1">
      <s:c r="A24846" s="83" t="inlineStr">
        <s:is>
          <s:t>Tỷ lệ bốn chữ số lẻ (long-decimal)</s:t>
        </s:is>
      </s:c>
      <s:c r="B24846" s="83" t="inlineStr">
        <s:is>
          <s:r>
            <s:t xml:space="preserve">Nhập tỷ lệ </s:t>
          </s:r>
          <s:r>
            <s:rPr>
              <s:b val="1"/>
            </s:rPr>
            <s:t>N=30.5555</s:t>
          </s:r>
          <s:r>
            <s:t>, bấm Lưu rồi mở lại nếu lưu được; không tự làm tròn/cắt giá trị.</s:t>
          </s:r>
        </s:is>
      </s:c>
      <s:c r="C24846" s="83" t="inlineStr">
        <s:is>
          <s:t>30.5555 Bị từ chối (PROPOSED, thiết kế DB v2 mục 4.2).</s:t>
        </s:is>
      </s:c>
      <s:c r="D24846" s="117" t="inlineStr"/>
      <s:c r="E24846" s="118" t="inlineStr">
        <s:is>
          <s:t>Chưa thực hiện</s:t>
        </s:is>
      </s:c>
    </s:row>
    <s:row r="24847" ht="20" customHeight="1">
      <s:c r="A24847" s="119" t="inlineStr">
        <s:is>
          <s:t>Ảnh minh chứng — Chưa có ảnh</s:t>
        </s:is>
      </s:c>
      <s:c r="B24847" s="19" t="n"/>
      <s:c r="C24847" s="19" t="n"/>
      <s:c r="D24847" s="19" t="n"/>
      <s:c r="E24847" s="19" t="n"/>
    </s:row>
    <s:row r="24848" hidden="1" ht="1" customHeight="1">
      <s:c r="A24848" s="120" t="inlineStr"/>
      <s:c r="B24848" s="121" t="n"/>
      <s:c r="C24848" s="121" t="n"/>
      <s:c r="D24848" s="121" t="n"/>
      <s:c r="E24848" s="122" t="n"/>
    </s:row>
    <s:row r="24849" hidden="1" ht="1" customHeight="1">
      <s:c r="A24849" s="120" t="inlineStr"/>
      <s:c r="B24849" s="121" t="n"/>
      <s:c r="C24849" s="121" t="n"/>
      <s:c r="D24849" s="121" t="n"/>
      <s:c r="E24849" s="122" t="n"/>
    </s:row>
    <s:row r="24850" hidden="1" ht="1" customHeight="1">
      <s:c r="A24850" s="120" t="inlineStr"/>
      <s:c r="B24850" s="121" t="n"/>
      <s:c r="C24850" s="121" t="n"/>
      <s:c r="D24850" s="121" t="n"/>
      <s:c r="E24850" s="122" t="n"/>
    </s:row>
    <s:row r="24851" hidden="1" ht="1" customHeight="1">
      <s:c r="A24851" s="120" t="inlineStr"/>
      <s:c r="B24851" s="121" t="n"/>
      <s:c r="C24851" s="121" t="n"/>
      <s:c r="D24851" s="121" t="n"/>
      <s:c r="E24851" s="122" t="n"/>
    </s:row>
    <s:row r="24852" hidden="1" ht="1" customHeight="1">
      <s:c r="A24852" s="120" t="inlineStr"/>
      <s:c r="B24852" s="121" t="n"/>
      <s:c r="C24852" s="121" t="n"/>
      <s:c r="D24852" s="121" t="n"/>
      <s:c r="E24852" s="122" t="n"/>
    </s:row>
    <s:row r="24853" hidden="1" ht="1" customHeight="1">
      <s:c r="A24853" s="120" t="inlineStr"/>
      <s:c r="B24853" s="121" t="n"/>
      <s:c r="C24853" s="121" t="n"/>
      <s:c r="D24853" s="121" t="n"/>
      <s:c r="E24853" s="122" t="n"/>
    </s:row>
    <s:row r="24854" hidden="1" ht="1" customHeight="1">
      <s:c r="A24854" s="120" t="inlineStr"/>
      <s:c r="B24854" s="121" t="n"/>
      <s:c r="C24854" s="121" t="n"/>
      <s:c r="D24854" s="121" t="n"/>
      <s:c r="E24854" s="122" t="n"/>
    </s:row>
    <s:row r="24855" hidden="1" ht="1" customHeight="1">
      <s:c r="A24855" s="120" t="inlineStr"/>
      <s:c r="B24855" s="121" t="n"/>
      <s:c r="C24855" s="121" t="n"/>
      <s:c r="D24855" s="121" t="n"/>
      <s:c r="E24855" s="122" t="n"/>
    </s:row>
    <s:row r="24856" hidden="1" ht="1" customHeight="1">
      <s:c r="A24856" s="120" t="inlineStr"/>
      <s:c r="B24856" s="121" t="n"/>
      <s:c r="C24856" s="121" t="n"/>
      <s:c r="D24856" s="121" t="n"/>
      <s:c r="E24856" s="122" t="n"/>
    </s:row>
    <s:row r="24857" hidden="1" ht="1" customHeight="1">
      <s:c r="A24857" s="120" t="inlineStr"/>
      <s:c r="B24857" s="121" t="n"/>
      <s:c r="C24857" s="121" t="n"/>
      <s:c r="D24857" s="121" t="n"/>
      <s:c r="E24857" s="122" t="n"/>
    </s:row>
    <s:row r="24858" hidden="1" ht="1" customHeight="1">
      <s:c r="A24858" s="120" t="inlineStr"/>
      <s:c r="B24858" s="121" t="n"/>
      <s:c r="C24858" s="121" t="n"/>
      <s:c r="D24858" s="121" t="n"/>
      <s:c r="E24858" s="122" t="n"/>
    </s:row>
    <s:row r="24859" hidden="1" ht="1" customHeight="1">
      <s:c r="A24859" s="120" t="inlineStr"/>
      <s:c r="B24859" s="121" t="n"/>
      <s:c r="C24859" s="121" t="n"/>
      <s:c r="D24859" s="121" t="n"/>
      <s:c r="E24859" s="122" t="n"/>
    </s:row>
    <s:row r="24860" hidden="1" ht="1" customHeight="1">
      <s:c r="A24860" s="120" t="inlineStr"/>
      <s:c r="B24860" s="121" t="n"/>
      <s:c r="C24860" s="121" t="n"/>
      <s:c r="D24860" s="121" t="n"/>
      <s:c r="E24860" s="122" t="n"/>
    </s:row>
    <s:row r="24861" hidden="1" ht="1" customHeight="1">
      <s:c r="A24861" s="120" t="inlineStr"/>
      <s:c r="B24861" s="121" t="n"/>
      <s:c r="C24861" s="121" t="n"/>
      <s:c r="D24861" s="121" t="n"/>
      <s:c r="E24861" s="122" t="n"/>
    </s:row>
    <s:row r="24862" hidden="1" ht="1" customHeight="1">
      <s:c r="A24862" s="120" t="inlineStr"/>
      <s:c r="B24862" s="121" t="n"/>
      <s:c r="C24862" s="121" t="n"/>
      <s:c r="D24862" s="121" t="n"/>
      <s:c r="E24862" s="122" t="n"/>
    </s:row>
    <s:row r="24863" hidden="1" ht="1" customHeight="1">
      <s:c r="A24863" s="120" t="inlineStr"/>
      <s:c r="B24863" s="121" t="n"/>
      <s:c r="C24863" s="121" t="n"/>
      <s:c r="D24863" s="121" t="n"/>
      <s:c r="E24863" s="122" t="n"/>
    </s:row>
    <s:row r="24864" hidden="1" ht="1" customHeight="1">
      <s:c r="A24864" s="120" t="inlineStr"/>
      <s:c r="B24864" s="121" t="n"/>
      <s:c r="C24864" s="121" t="n"/>
      <s:c r="D24864" s="121" t="n"/>
      <s:c r="E24864" s="122" t="n"/>
    </s:row>
    <s:row r="24865" hidden="1" ht="1" customHeight="1">
      <s:c r="A24865" s="120" t="inlineStr"/>
      <s:c r="B24865" s="121" t="n"/>
      <s:c r="C24865" s="121" t="n"/>
      <s:c r="D24865" s="121" t="n"/>
      <s:c r="E24865" s="122" t="n"/>
    </s:row>
    <s:row r="24866" hidden="1" ht="1" customHeight="1">
      <s:c r="A24866" s="120" t="inlineStr"/>
      <s:c r="B24866" s="121" t="n"/>
      <s:c r="C24866" s="121" t="n"/>
      <s:c r="D24866" s="121" t="n"/>
      <s:c r="E24866" s="122" t="n"/>
    </s:row>
    <s:row r="24867" hidden="1" ht="1" customHeight="1">
      <s:c r="A24867" s="120" t="inlineStr"/>
      <s:c r="B24867" s="121" t="n"/>
      <s:c r="C24867" s="121" t="n"/>
      <s:c r="D24867" s="121" t="n"/>
      <s:c r="E24867" s="122" t="n"/>
    </s:row>
    <s:row r="24868" hidden="1" ht="1" customHeight="1">
      <s:c r="A24868" s="120" t="inlineStr"/>
      <s:c r="B24868" s="121" t="n"/>
      <s:c r="C24868" s="121" t="n"/>
      <s:c r="D24868" s="121" t="n"/>
      <s:c r="E24868" s="122" t="n"/>
    </s:row>
    <s:row r="24869" hidden="1" ht="1" customHeight="1">
      <s:c r="A24869" s="120" t="inlineStr"/>
      <s:c r="B24869" s="121" t="n"/>
      <s:c r="C24869" s="121" t="n"/>
      <s:c r="D24869" s="121" t="n"/>
      <s:c r="E24869" s="122" t="n"/>
    </s:row>
    <s:row r="24870" hidden="1" ht="1" customHeight="1">
      <s:c r="A24870" s="120" t="inlineStr"/>
      <s:c r="B24870" s="121" t="n"/>
      <s:c r="C24870" s="121" t="n"/>
      <s:c r="D24870" s="121" t="n"/>
      <s:c r="E24870" s="122" t="n"/>
    </s:row>
    <s:row r="24871" hidden="1" ht="1" customHeight="1">
      <s:c r="A24871" s="120" t="inlineStr"/>
      <s:c r="B24871" s="121" t="n"/>
      <s:c r="C24871" s="121" t="n"/>
      <s:c r="D24871" s="121" t="n"/>
      <s:c r="E24871" s="122" t="n"/>
    </s:row>
    <s:row r="24872" hidden="1" ht="1" customHeight="1">
      <s:c r="A24872" s="120" t="inlineStr"/>
      <s:c r="B24872" s="121" t="n"/>
      <s:c r="C24872" s="121" t="n"/>
      <s:c r="D24872" s="121" t="n"/>
      <s:c r="E24872" s="122" t="n"/>
    </s:row>
    <s:row r="24873" hidden="1" ht="1" customHeight="1">
      <s:c r="A24873" s="120" t="inlineStr"/>
      <s:c r="B24873" s="121" t="n"/>
      <s:c r="C24873" s="121" t="n"/>
      <s:c r="D24873" s="121" t="n"/>
      <s:c r="E24873" s="122" t="n"/>
    </s:row>
    <s:row r="24874" hidden="1" ht="1" customHeight="1">
      <s:c r="A24874" s="120" t="inlineStr"/>
      <s:c r="B24874" s="121" t="n"/>
      <s:c r="C24874" s="121" t="n"/>
      <s:c r="D24874" s="121" t="n"/>
      <s:c r="E24874" s="122" t="n"/>
    </s:row>
    <s:row r="24875" hidden="1" ht="1" customHeight="1">
      <s:c r="A24875" s="120" t="inlineStr"/>
      <s:c r="B24875" s="121" t="n"/>
      <s:c r="C24875" s="121" t="n"/>
      <s:c r="D24875" s="121" t="n"/>
      <s:c r="E24875" s="122" t="n"/>
    </s:row>
    <s:row r="24876" hidden="1" ht="1" customHeight="1">
      <s:c r="A24876" s="120" t="inlineStr"/>
      <s:c r="B24876" s="121" t="n"/>
      <s:c r="C24876" s="121" t="n"/>
      <s:c r="D24876" s="121" t="n"/>
      <s:c r="E24876" s="122" t="n"/>
    </s:row>
    <s:row r="24877" hidden="1" ht="1" customHeight="1">
      <s:c r="A24877" s="120" t="inlineStr"/>
      <s:c r="B24877" s="121" t="n"/>
      <s:c r="C24877" s="121" t="n"/>
      <s:c r="D24877" s="121" t="n"/>
      <s:c r="E24877" s="122" t="n"/>
    </s:row>
    <s:row r="24878" hidden="1" ht="1" customHeight="1">
      <s:c r="A24878" s="120" t="inlineStr"/>
      <s:c r="B24878" s="121" t="n"/>
      <s:c r="C24878" s="121" t="n"/>
      <s:c r="D24878" s="121" t="n"/>
      <s:c r="E24878" s="122" t="n"/>
    </s:row>
    <s:row r="24879" hidden="1" ht="1" customHeight="1">
      <s:c r="A24879" s="120" t="inlineStr"/>
      <s:c r="B24879" s="121" t="n"/>
      <s:c r="C24879" s="121" t="n"/>
      <s:c r="D24879" s="121" t="n"/>
      <s:c r="E24879" s="122" t="n"/>
    </s:row>
    <s:row r="24880" hidden="1" ht="1" customHeight="1">
      <s:c r="A24880" s="120" t="inlineStr"/>
      <s:c r="B24880" s="121" t="n"/>
      <s:c r="C24880" s="121" t="n"/>
      <s:c r="D24880" s="121" t="n"/>
      <s:c r="E24880" s="122" t="n"/>
    </s:row>
    <s:row r="24881" hidden="1" ht="1" customHeight="1">
      <s:c r="A24881" s="120" t="inlineStr"/>
      <s:c r="B24881" s="121" t="n"/>
      <s:c r="C24881" s="121" t="n"/>
      <s:c r="D24881" s="121" t="n"/>
      <s:c r="E24881" s="122" t="n"/>
    </s:row>
    <s:row r="24882" hidden="1" ht="1" customHeight="1">
      <s:c r="A24882" s="120" t="inlineStr"/>
      <s:c r="B24882" s="121" t="n"/>
      <s:c r="C24882" s="121" t="n"/>
      <s:c r="D24882" s="121" t="n"/>
      <s:c r="E24882" s="122" t="n"/>
    </s:row>
    <s:row r="24883" hidden="1" ht="1" customHeight="1">
      <s:c r="A24883" s="120" t="inlineStr"/>
      <s:c r="B24883" s="121" t="n"/>
      <s:c r="C24883" s="121" t="n"/>
      <s:c r="D24883" s="121" t="n"/>
      <s:c r="E24883" s="122" t="n"/>
    </s:row>
    <s:row r="24884" hidden="1" ht="1" customHeight="1">
      <s:c r="A24884" s="120" t="inlineStr"/>
      <s:c r="B24884" s="121" t="n"/>
      <s:c r="C24884" s="121" t="n"/>
      <s:c r="D24884" s="121" t="n"/>
      <s:c r="E24884" s="122" t="n"/>
    </s:row>
    <s:row r="24885" hidden="1" ht="1" customHeight="1">
      <s:c r="A24885" s="120" t="inlineStr"/>
      <s:c r="B24885" s="121" t="n"/>
      <s:c r="C24885" s="121" t="n"/>
      <s:c r="D24885" s="121" t="n"/>
      <s:c r="E24885" s="122" t="n"/>
    </s:row>
    <s:row r="24886" hidden="1" ht="1" customHeight="1">
      <s:c r="A24886" s="120" t="inlineStr"/>
      <s:c r="B24886" s="121" t="n"/>
      <s:c r="C24886" s="121" t="n"/>
      <s:c r="D24886" s="121" t="n"/>
      <s:c r="E24886" s="122" t="n"/>
    </s:row>
    <s:row r="24887" hidden="1" ht="1" customHeight="1">
      <s:c r="A24887" s="120" t="inlineStr"/>
      <s:c r="B24887" s="121" t="n"/>
      <s:c r="C24887" s="121" t="n"/>
      <s:c r="D24887" s="121" t="n"/>
      <s:c r="E24887" s="122" t="n"/>
    </s:row>
    <s:row r="24888" hidden="1" ht="1" customHeight="1">
      <s:c r="A24888" s="120" t="inlineStr"/>
      <s:c r="B24888" s="121" t="n"/>
      <s:c r="C24888" s="121" t="n"/>
      <s:c r="D24888" s="121" t="n"/>
      <s:c r="E24888" s="122" t="n"/>
    </s:row>
    <s:row r="24889" hidden="1" ht="1" customHeight="1">
      <s:c r="A24889" s="120" t="inlineStr"/>
      <s:c r="B24889" s="121" t="n"/>
      <s:c r="C24889" s="121" t="n"/>
      <s:c r="D24889" s="121" t="n"/>
      <s:c r="E24889" s="122" t="n"/>
    </s:row>
    <s:row r="24890" hidden="1" ht="1" customHeight="1">
      <s:c r="A24890" s="120" t="inlineStr"/>
      <s:c r="B24890" s="121" t="n"/>
      <s:c r="C24890" s="121" t="n"/>
      <s:c r="D24890" s="121" t="n"/>
      <s:c r="E24890" s="122" t="n"/>
    </s:row>
    <s:row r="24891" hidden="1" ht="1" customHeight="1">
      <s:c r="A24891" s="120" t="inlineStr"/>
      <s:c r="B24891" s="121" t="n"/>
      <s:c r="C24891" s="121" t="n"/>
      <s:c r="D24891" s="121" t="n"/>
      <s:c r="E24891" s="122" t="n"/>
    </s:row>
    <s:row r="24892" hidden="1" ht="1" customHeight="1">
      <s:c r="A24892" s="120" t="inlineStr"/>
      <s:c r="B24892" s="121" t="n"/>
      <s:c r="C24892" s="121" t="n"/>
      <s:c r="D24892" s="121" t="n"/>
      <s:c r="E24892" s="122" t="n"/>
    </s:row>
    <s:row r="24893" hidden="1" ht="1" customHeight="1">
      <s:c r="A24893" s="120" t="inlineStr"/>
      <s:c r="B24893" s="121" t="n"/>
      <s:c r="C24893" s="121" t="n"/>
      <s:c r="D24893" s="121" t="n"/>
      <s:c r="E24893" s="122" t="n"/>
    </s:row>
    <s:row r="24894" hidden="1" ht="1" customHeight="1">
      <s:c r="A24894" s="120" t="inlineStr"/>
      <s:c r="B24894" s="121" t="n"/>
      <s:c r="C24894" s="121" t="n"/>
      <s:c r="D24894" s="121" t="n"/>
      <s:c r="E24894" s="122" t="n"/>
    </s:row>
    <s:row r="24895" hidden="1" ht="1" customHeight="1">
      <s:c r="A24895" s="120" t="inlineStr"/>
      <s:c r="B24895" s="121" t="n"/>
      <s:c r="C24895" s="121" t="n"/>
      <s:c r="D24895" s="121" t="n"/>
      <s:c r="E24895" s="122" t="n"/>
    </s:row>
    <s:row r="24896" hidden="1" ht="1" customHeight="1">
      <s:c r="A24896" s="120" t="inlineStr"/>
      <s:c r="B24896" s="121" t="n"/>
      <s:c r="C24896" s="121" t="n"/>
      <s:c r="D24896" s="121" t="n"/>
      <s:c r="E24896" s="122" t="n"/>
    </s:row>
    <s:row r="24897" hidden="1" ht="1" customHeight="1">
      <s:c r="A24897" s="120" t="inlineStr"/>
      <s:c r="B24897" s="121" t="n"/>
      <s:c r="C24897" s="121" t="n"/>
      <s:c r="D24897" s="121" t="n"/>
      <s:c r="E24897" s="122" t="n"/>
    </s:row>
    <s:row r="24898" hidden="1" ht="1" customHeight="1">
      <s:c r="A24898" s="120" t="inlineStr"/>
      <s:c r="B24898" s="121" t="n"/>
      <s:c r="C24898" s="121" t="n"/>
      <s:c r="D24898" s="121" t="n"/>
      <s:c r="E24898" s="122" t="n"/>
    </s:row>
    <s:row r="24899" hidden="1" ht="1" customHeight="1">
      <s:c r="A24899" s="120" t="inlineStr"/>
      <s:c r="B24899" s="121" t="n"/>
      <s:c r="C24899" s="121" t="n"/>
      <s:c r="D24899" s="121" t="n"/>
      <s:c r="E24899" s="122" t="n"/>
    </s:row>
    <s:row r="24900" hidden="1" ht="1" customHeight="1">
      <s:c r="A24900" s="120" t="inlineStr"/>
      <s:c r="B24900" s="121" t="n"/>
      <s:c r="C24900" s="121" t="n"/>
      <s:c r="D24900" s="121" t="n"/>
      <s:c r="E24900" s="122" t="n"/>
    </s:row>
    <s:row r="24901" hidden="1" ht="1" customHeight="1">
      <s:c r="A24901" s="120" t="inlineStr"/>
      <s:c r="B24901" s="121" t="n"/>
      <s:c r="C24901" s="121" t="n"/>
      <s:c r="D24901" s="121" t="n"/>
      <s:c r="E24901" s="122" t="n"/>
    </s:row>
    <s:row r="24902" hidden="1" ht="1" customHeight="1">
      <s:c r="A24902" s="120" t="inlineStr"/>
      <s:c r="B24902" s="121" t="n"/>
      <s:c r="C24902" s="121" t="n"/>
      <s:c r="D24902" s="121" t="n"/>
      <s:c r="E24902" s="122" t="n"/>
    </s:row>
    <s:row r="24903" hidden="1" ht="1" customHeight="1">
      <s:c r="A24903" s="120" t="inlineStr"/>
      <s:c r="B24903" s="121" t="n"/>
      <s:c r="C24903" s="121" t="n"/>
      <s:c r="D24903" s="121" t="n"/>
      <s:c r="E24903" s="122" t="n"/>
    </s:row>
    <s:row r="24904" hidden="1" ht="1" customHeight="1">
      <s:c r="A24904" s="120" t="inlineStr"/>
      <s:c r="B24904" s="121" t="n"/>
      <s:c r="C24904" s="121" t="n"/>
      <s:c r="D24904" s="121" t="n"/>
      <s:c r="E24904" s="122" t="n"/>
    </s:row>
    <s:row r="24905" hidden="1" ht="1" customHeight="1">
      <s:c r="A24905" s="120" t="inlineStr"/>
      <s:c r="B24905" s="121" t="n"/>
      <s:c r="C24905" s="121" t="n"/>
      <s:c r="D24905" s="121" t="n"/>
      <s:c r="E24905" s="122" t="n"/>
    </s:row>
    <s:row r="24906" hidden="1" ht="1" customHeight="1">
      <s:c r="A24906" s="120" t="inlineStr"/>
      <s:c r="B24906" s="121" t="n"/>
      <s:c r="C24906" s="121" t="n"/>
      <s:c r="D24906" s="121" t="n"/>
      <s:c r="E24906" s="122" t="n"/>
    </s:row>
    <s:row r="24907" hidden="1" ht="1" customHeight="1">
      <s:c r="A24907" s="120" t="inlineStr"/>
      <s:c r="B24907" s="121" t="n"/>
      <s:c r="C24907" s="121" t="n"/>
      <s:c r="D24907" s="121" t="n"/>
      <s:c r="E24907" s="122" t="n"/>
    </s:row>
    <s:row r="24908" hidden="1" ht="1" customHeight="1">
      <s:c r="A24908" s="120" t="inlineStr"/>
      <s:c r="B24908" s="121" t="n"/>
      <s:c r="C24908" s="121" t="n"/>
      <s:c r="D24908" s="121" t="n"/>
      <s:c r="E24908" s="122" t="n"/>
    </s:row>
    <s:row r="24909" hidden="1" ht="1" customHeight="1">
      <s:c r="A24909" s="120" t="inlineStr"/>
      <s:c r="B24909" s="121" t="n"/>
      <s:c r="C24909" s="121" t="n"/>
      <s:c r="D24909" s="121" t="n"/>
      <s:c r="E24909" s="122" t="n"/>
    </s:row>
    <s:row r="24910" hidden="1" ht="1" customHeight="1">
      <s:c r="A24910" s="120" t="inlineStr"/>
      <s:c r="B24910" s="121" t="n"/>
      <s:c r="C24910" s="121" t="n"/>
      <s:c r="D24910" s="121" t="n"/>
      <s:c r="E24910" s="122" t="n"/>
    </s:row>
    <s:row r="24911" hidden="1" ht="1" customHeight="1">
      <s:c r="A24911" s="120" t="inlineStr"/>
      <s:c r="B24911" s="121" t="n"/>
      <s:c r="C24911" s="121" t="n"/>
      <s:c r="D24911" s="121" t="n"/>
      <s:c r="E24911" s="122" t="n"/>
    </s:row>
    <s:row r="24912" hidden="1" ht="1" customHeight="1">
      <s:c r="A24912" s="120" t="inlineStr"/>
      <s:c r="B24912" s="121" t="n"/>
      <s:c r="C24912" s="121" t="n"/>
      <s:c r="D24912" s="121" t="n"/>
      <s:c r="E24912" s="122" t="n"/>
    </s:row>
    <s:row r="24913" hidden="1" ht="1" customHeight="1">
      <s:c r="A24913" s="120" t="inlineStr"/>
      <s:c r="B24913" s="121" t="n"/>
      <s:c r="C24913" s="121" t="n"/>
      <s:c r="D24913" s="121" t="n"/>
      <s:c r="E24913" s="122" t="n"/>
    </s:row>
    <s:row r="24914" hidden="1" ht="1" customHeight="1">
      <s:c r="A24914" s="120" t="inlineStr"/>
      <s:c r="B24914" s="121" t="n"/>
      <s:c r="C24914" s="121" t="n"/>
      <s:c r="D24914" s="121" t="n"/>
      <s:c r="E24914" s="122" t="n"/>
    </s:row>
    <s:row r="24915" hidden="1" ht="1" customHeight="1">
      <s:c r="A24915" s="120" t="inlineStr"/>
      <s:c r="B24915" s="121" t="n"/>
      <s:c r="C24915" s="121" t="n"/>
      <s:c r="D24915" s="121" t="n"/>
      <s:c r="E24915" s="122" t="n"/>
    </s:row>
    <s:row r="24916" hidden="1" ht="1" customHeight="1">
      <s:c r="A24916" s="120" t="inlineStr"/>
      <s:c r="B24916" s="121" t="n"/>
      <s:c r="C24916" s="121" t="n"/>
      <s:c r="D24916" s="121" t="n"/>
      <s:c r="E24916" s="122" t="n"/>
    </s:row>
    <s:row r="24917" hidden="1" ht="1" customHeight="1">
      <s:c r="A24917" s="120" t="inlineStr"/>
      <s:c r="B24917" s="121" t="n"/>
      <s:c r="C24917" s="121" t="n"/>
      <s:c r="D24917" s="121" t="n"/>
      <s:c r="E24917" s="122" t="n"/>
    </s:row>
    <s:row r="24918" hidden="1" ht="1" customHeight="1">
      <s:c r="A24918" s="120" t="inlineStr"/>
      <s:c r="B24918" s="121" t="n"/>
      <s:c r="C24918" s="121" t="n"/>
      <s:c r="D24918" s="121" t="n"/>
      <s:c r="E24918" s="122" t="n"/>
    </s:row>
    <s:row r="24919" hidden="1" ht="1" customHeight="1">
      <s:c r="A24919" s="120" t="inlineStr"/>
      <s:c r="B24919" s="121" t="n"/>
      <s:c r="C24919" s="121" t="n"/>
      <s:c r="D24919" s="121" t="n"/>
      <s:c r="E24919" s="122" t="n"/>
    </s:row>
    <s:row r="24920" hidden="1" ht="1" customHeight="1">
      <s:c r="A24920" s="120" t="inlineStr"/>
      <s:c r="B24920" s="121" t="n"/>
      <s:c r="C24920" s="121" t="n"/>
      <s:c r="D24920" s="121" t="n"/>
      <s:c r="E24920" s="122" t="n"/>
    </s:row>
    <s:row r="24921" hidden="1" ht="1" customHeight="1">
      <s:c r="A24921" s="120" t="inlineStr"/>
      <s:c r="B24921" s="121" t="n"/>
      <s:c r="C24921" s="121" t="n"/>
      <s:c r="D24921" s="121" t="n"/>
      <s:c r="E24921" s="122" t="n"/>
    </s:row>
    <s:row r="24922" hidden="1" ht="1" customHeight="1">
      <s:c r="A24922" s="120" t="inlineStr"/>
      <s:c r="B24922" s="121" t="n"/>
      <s:c r="C24922" s="121" t="n"/>
      <s:c r="D24922" s="121" t="n"/>
      <s:c r="E24922" s="122" t="n"/>
    </s:row>
    <s:row r="24923" hidden="1" ht="1" customHeight="1">
      <s:c r="A24923" s="120" t="inlineStr"/>
      <s:c r="B24923" s="121" t="n"/>
      <s:c r="C24923" s="121" t="n"/>
      <s:c r="D24923" s="121" t="n"/>
      <s:c r="E24923" s="122" t="n"/>
    </s:row>
    <s:row r="24924" hidden="1" ht="1" customHeight="1">
      <s:c r="A24924" s="120" t="inlineStr"/>
      <s:c r="B24924" s="121" t="n"/>
      <s:c r="C24924" s="121" t="n"/>
      <s:c r="D24924" s="121" t="n"/>
      <s:c r="E24924" s="122" t="n"/>
    </s:row>
    <s:row r="24925" hidden="1" ht="1" customHeight="1">
      <s:c r="A24925" s="120" t="inlineStr"/>
      <s:c r="B24925" s="121" t="n"/>
      <s:c r="C24925" s="121" t="n"/>
      <s:c r="D24925" s="121" t="n"/>
      <s:c r="E24925" s="122" t="n"/>
    </s:row>
    <s:row r="24926" hidden="1" ht="1" customHeight="1">
      <s:c r="A24926" s="120" t="inlineStr"/>
      <s:c r="B24926" s="121" t="n"/>
      <s:c r="C24926" s="121" t="n"/>
      <s:c r="D24926" s="121" t="n"/>
      <s:c r="E24926" s="122" t="n"/>
    </s:row>
    <s:row r="24927" hidden="1" ht="1" customHeight="1">
      <s:c r="A24927" s="120" t="inlineStr"/>
      <s:c r="B24927" s="121" t="n"/>
      <s:c r="C24927" s="121" t="n"/>
      <s:c r="D24927" s="121" t="n"/>
      <s:c r="E24927" s="122" t="n"/>
    </s:row>
    <s:row r="24928" hidden="1" ht="1" customHeight="1">
      <s:c r="A24928" s="120" t="inlineStr"/>
      <s:c r="B24928" s="121" t="n"/>
      <s:c r="C24928" s="121" t="n"/>
      <s:c r="D24928" s="121" t="n"/>
      <s:c r="E24928" s="122" t="n"/>
    </s:row>
    <s:row r="24929" hidden="1" ht="1" customHeight="1">
      <s:c r="A24929" s="120" t="inlineStr"/>
      <s:c r="B24929" s="121" t="n"/>
      <s:c r="C24929" s="121" t="n"/>
      <s:c r="D24929" s="121" t="n"/>
      <s:c r="E24929" s="122" t="n"/>
    </s:row>
    <s:row r="24930" hidden="1" ht="1" customHeight="1">
      <s:c r="A24930" s="120" t="inlineStr"/>
      <s:c r="B24930" s="121" t="n"/>
      <s:c r="C24930" s="121" t="n"/>
      <s:c r="D24930" s="121" t="n"/>
      <s:c r="E24930" s="122" t="n"/>
    </s:row>
    <s:row r="24931" hidden="1" ht="1" customHeight="1">
      <s:c r="A24931" s="120" t="inlineStr"/>
      <s:c r="B24931" s="121" t="n"/>
      <s:c r="C24931" s="121" t="n"/>
      <s:c r="D24931" s="121" t="n"/>
      <s:c r="E24931" s="122" t="n"/>
    </s:row>
    <s:row r="24932" hidden="1" ht="1" customHeight="1">
      <s:c r="A24932" s="120" t="inlineStr"/>
      <s:c r="B24932" s="121" t="n"/>
      <s:c r="C24932" s="121" t="n"/>
      <s:c r="D24932" s="121" t="n"/>
      <s:c r="E24932" s="122" t="n"/>
    </s:row>
    <s:row r="24933" hidden="1" ht="1" customHeight="1">
      <s:c r="A24933" s="120" t="inlineStr"/>
      <s:c r="B24933" s="121" t="n"/>
      <s:c r="C24933" s="121" t="n"/>
      <s:c r="D24933" s="121" t="n"/>
      <s:c r="E24933" s="122" t="n"/>
    </s:row>
    <s:row r="24934" hidden="1" ht="1" customHeight="1">
      <s:c r="A24934" s="120" t="inlineStr"/>
      <s:c r="B24934" s="121" t="n"/>
      <s:c r="C24934" s="121" t="n"/>
      <s:c r="D24934" s="121" t="n"/>
      <s:c r="E24934" s="122" t="n"/>
    </s:row>
    <s:row r="24935" hidden="1" ht="1" customHeight="1">
      <s:c r="A24935" s="120" t="inlineStr"/>
      <s:c r="B24935" s="121" t="n"/>
      <s:c r="C24935" s="121" t="n"/>
      <s:c r="D24935" s="121" t="n"/>
      <s:c r="E24935" s="122" t="n"/>
    </s:row>
    <s:row r="24936" hidden="1" ht="1" customHeight="1">
      <s:c r="A24936" s="120" t="inlineStr"/>
      <s:c r="B24936" s="121" t="n"/>
      <s:c r="C24936" s="121" t="n"/>
      <s:c r="D24936" s="121" t="n"/>
      <s:c r="E24936" s="122" t="n"/>
    </s:row>
    <s:row r="24937" hidden="1" ht="1" customHeight="1">
      <s:c r="A24937" s="120" t="inlineStr"/>
      <s:c r="B24937" s="121" t="n"/>
      <s:c r="C24937" s="121" t="n"/>
      <s:c r="D24937" s="121" t="n"/>
      <s:c r="E24937" s="122" t="n"/>
    </s:row>
    <s:row r="24938" hidden="1" ht="1" customHeight="1">
      <s:c r="A24938" s="120" t="inlineStr"/>
      <s:c r="B24938" s="121" t="n"/>
      <s:c r="C24938" s="121" t="n"/>
      <s:c r="D24938" s="121" t="n"/>
      <s:c r="E24938" s="122" t="n"/>
    </s:row>
    <s:row r="24939" hidden="1" ht="1" customHeight="1">
      <s:c r="A24939" s="120" t="inlineStr"/>
      <s:c r="B24939" s="121" t="n"/>
      <s:c r="C24939" s="121" t="n"/>
      <s:c r="D24939" s="121" t="n"/>
      <s:c r="E24939" s="122" t="n"/>
    </s:row>
    <s:row r="24940" hidden="1" ht="1" customHeight="1">
      <s:c r="A24940" s="120" t="inlineStr"/>
      <s:c r="B24940" s="121" t="n"/>
      <s:c r="C24940" s="121" t="n"/>
      <s:c r="D24940" s="121" t="n"/>
      <s:c r="E24940" s="122" t="n"/>
    </s:row>
    <s:row r="24941" hidden="1" ht="1" customHeight="1">
      <s:c r="A24941" s="120" t="inlineStr"/>
      <s:c r="B24941" s="121" t="n"/>
      <s:c r="C24941" s="121" t="n"/>
      <s:c r="D24941" s="121" t="n"/>
      <s:c r="E24941" s="122" t="n"/>
    </s:row>
    <s:row r="24942" hidden="1" ht="1" customHeight="1">
      <s:c r="A24942" s="120" t="inlineStr"/>
      <s:c r="B24942" s="121" t="n"/>
      <s:c r="C24942" s="121" t="n"/>
      <s:c r="D24942" s="121" t="n"/>
      <s:c r="E24942" s="122" t="n"/>
    </s:row>
    <s:row r="24943" hidden="1" ht="1" customHeight="1">
      <s:c r="A24943" s="120" t="inlineStr"/>
      <s:c r="B24943" s="121" t="n"/>
      <s:c r="C24943" s="121" t="n"/>
      <s:c r="D24943" s="121" t="n"/>
      <s:c r="E24943" s="122" t="n"/>
    </s:row>
    <s:row r="24944" hidden="1" ht="1" customHeight="1">
      <s:c r="A24944" s="120" t="inlineStr"/>
      <s:c r="B24944" s="121" t="n"/>
      <s:c r="C24944" s="121" t="n"/>
      <s:c r="D24944" s="121" t="n"/>
      <s:c r="E24944" s="122" t="n"/>
    </s:row>
    <s:row r="24945" hidden="1" ht="1" customHeight="1">
      <s:c r="A24945" s="120" t="inlineStr"/>
      <s:c r="B24945" s="121" t="n"/>
      <s:c r="C24945" s="121" t="n"/>
      <s:c r="D24945" s="121" t="n"/>
      <s:c r="E24945" s="122" t="n"/>
    </s:row>
    <s:row r="24946" hidden="1" ht="1" customHeight="1">
      <s:c r="A24946" s="120" t="inlineStr"/>
      <s:c r="B24946" s="121" t="n"/>
      <s:c r="C24946" s="121" t="n"/>
      <s:c r="D24946" s="121" t="n"/>
      <s:c r="E24946" s="122" t="n"/>
    </s:row>
    <s:row r="24947" hidden="1" ht="1" customHeight="1">
      <s:c r="A24947" s="120" t="inlineStr"/>
      <s:c r="B24947" s="121" t="n"/>
      <s:c r="C24947" s="121" t="n"/>
      <s:c r="D24947" s="121" t="n"/>
      <s:c r="E24947" s="122" t="n"/>
    </s:row>
    <s:row r="24948" hidden="1" ht="1" customHeight="1">
      <s:c r="A24948" s="120" t="inlineStr"/>
      <s:c r="B24948" s="121" t="n"/>
      <s:c r="C24948" s="121" t="n"/>
      <s:c r="D24948" s="121" t="n"/>
      <s:c r="E24948" s="122" t="n"/>
    </s:row>
    <s:row r="24949" hidden="1" ht="1" customHeight="1">
      <s:c r="A24949" s="120" t="inlineStr"/>
      <s:c r="B24949" s="121" t="n"/>
      <s:c r="C24949" s="121" t="n"/>
      <s:c r="D24949" s="121" t="n"/>
      <s:c r="E24949" s="122" t="n"/>
    </s:row>
    <s:row r="24950" hidden="1" ht="1" customHeight="1">
      <s:c r="A24950" s="120" t="inlineStr"/>
      <s:c r="B24950" s="121" t="n"/>
      <s:c r="C24950" s="121" t="n"/>
      <s:c r="D24950" s="121" t="n"/>
      <s:c r="E24950" s="122" t="n"/>
    </s:row>
    <s:row r="24951" hidden="1" ht="1" customHeight="1">
      <s:c r="A24951" s="120" t="inlineStr"/>
      <s:c r="B24951" s="121" t="n"/>
      <s:c r="C24951" s="121" t="n"/>
      <s:c r="D24951" s="121" t="n"/>
      <s:c r="E24951" s="122" t="n"/>
    </s:row>
    <s:row r="24952" hidden="1" ht="1" customHeight="1">
      <s:c r="A24952" s="120" t="inlineStr"/>
      <s:c r="B24952" s="121" t="n"/>
      <s:c r="C24952" s="121" t="n"/>
      <s:c r="D24952" s="121" t="n"/>
      <s:c r="E24952" s="122" t="n"/>
    </s:row>
    <s:row r="24953" hidden="1" ht="1" customHeight="1">
      <s:c r="A24953" s="120" t="inlineStr"/>
      <s:c r="B24953" s="121" t="n"/>
      <s:c r="C24953" s="121" t="n"/>
      <s:c r="D24953" s="121" t="n"/>
      <s:c r="E24953" s="122" t="n"/>
    </s:row>
    <s:row r="24954" hidden="1" ht="1" customHeight="1">
      <s:c r="A24954" s="120" t="inlineStr"/>
      <s:c r="B24954" s="121" t="n"/>
      <s:c r="C24954" s="121" t="n"/>
      <s:c r="D24954" s="121" t="n"/>
      <s:c r="E24954" s="122" t="n"/>
    </s:row>
    <s:row r="24955" hidden="1" ht="1" customHeight="1">
      <s:c r="A24955" s="120" t="inlineStr"/>
      <s:c r="B24955" s="121" t="n"/>
      <s:c r="C24955" s="121" t="n"/>
      <s:c r="D24955" s="121" t="n"/>
      <s:c r="E24955" s="122" t="n"/>
    </s:row>
    <s:row r="24956" hidden="1" ht="1" customHeight="1">
      <s:c r="A24956" s="120" t="inlineStr"/>
      <s:c r="B24956" s="121" t="n"/>
      <s:c r="C24956" s="121" t="n"/>
      <s:c r="D24956" s="121" t="n"/>
      <s:c r="E24956" s="122" t="n"/>
    </s:row>
    <s:row r="24957" hidden="1" ht="1" customHeight="1">
      <s:c r="A24957" s="120" t="inlineStr"/>
      <s:c r="B24957" s="121" t="n"/>
      <s:c r="C24957" s="121" t="n"/>
      <s:c r="D24957" s="121" t="n"/>
      <s:c r="E24957" s="122" t="n"/>
    </s:row>
    <s:row r="24958" hidden="1" ht="1" customHeight="1">
      <s:c r="A24958" s="120" t="inlineStr"/>
      <s:c r="B24958" s="121" t="n"/>
      <s:c r="C24958" s="121" t="n"/>
      <s:c r="D24958" s="121" t="n"/>
      <s:c r="E24958" s="122" t="n"/>
    </s:row>
    <s:row r="24959" hidden="1" ht="1" customHeight="1">
      <s:c r="A24959" s="120" t="inlineStr"/>
      <s:c r="B24959" s="121" t="n"/>
      <s:c r="C24959" s="121" t="n"/>
      <s:c r="D24959" s="121" t="n"/>
      <s:c r="E24959" s="122" t="n"/>
    </s:row>
    <s:row r="24960" hidden="1" ht="1" customHeight="1">
      <s:c r="A24960" s="120" t="inlineStr"/>
      <s:c r="B24960" s="121" t="n"/>
      <s:c r="C24960" s="121" t="n"/>
      <s:c r="D24960" s="121" t="n"/>
      <s:c r="E24960" s="122" t="n"/>
    </s:row>
    <s:row r="24961" hidden="1" ht="1" customHeight="1">
      <s:c r="A24961" s="120" t="inlineStr"/>
      <s:c r="B24961" s="121" t="n"/>
      <s:c r="C24961" s="121" t="n"/>
      <s:c r="D24961" s="121" t="n"/>
      <s:c r="E24961" s="122" t="n"/>
    </s:row>
    <s:row r="24962" hidden="1" ht="1" customHeight="1">
      <s:c r="A24962" s="120" t="inlineStr"/>
      <s:c r="B24962" s="121" t="n"/>
      <s:c r="C24962" s="121" t="n"/>
      <s:c r="D24962" s="121" t="n"/>
      <s:c r="E24962" s="122" t="n"/>
    </s:row>
    <s:row r="24963" hidden="1" ht="1" customHeight="1">
      <s:c r="A24963" s="120" t="inlineStr"/>
      <s:c r="B24963" s="121" t="n"/>
      <s:c r="C24963" s="121" t="n"/>
      <s:c r="D24963" s="121" t="n"/>
      <s:c r="E24963" s="122" t="n"/>
    </s:row>
    <s:row r="24964" hidden="1" ht="1" customHeight="1">
      <s:c r="A24964" s="120" t="inlineStr"/>
      <s:c r="B24964" s="121" t="n"/>
      <s:c r="C24964" s="121" t="n"/>
      <s:c r="D24964" s="121" t="n"/>
      <s:c r="E24964" s="122" t="n"/>
    </s:row>
    <s:row r="24965" hidden="1" ht="1" customHeight="1">
      <s:c r="A24965" s="120" t="inlineStr"/>
      <s:c r="B24965" s="121" t="n"/>
      <s:c r="C24965" s="121" t="n"/>
      <s:c r="D24965" s="121" t="n"/>
      <s:c r="E24965" s="122" t="n"/>
    </s:row>
    <s:row r="24966" hidden="1" ht="1" customHeight="1">
      <s:c r="A24966" s="120" t="inlineStr"/>
      <s:c r="B24966" s="121" t="n"/>
      <s:c r="C24966" s="121" t="n"/>
      <s:c r="D24966" s="121" t="n"/>
      <s:c r="E24966" s="122" t="n"/>
    </s:row>
    <s:row r="24967" hidden="1" ht="1" customHeight="1">
      <s:c r="A24967" s="120" t="inlineStr"/>
      <s:c r="B24967" s="121" t="n"/>
      <s:c r="C24967" s="121" t="n"/>
      <s:c r="D24967" s="121" t="n"/>
      <s:c r="E24967" s="122" t="n"/>
    </s:row>
    <s:row r="24968" hidden="1" ht="1" customHeight="1">
      <s:c r="A24968" s="120" t="inlineStr"/>
      <s:c r="B24968" s="121" t="n"/>
      <s:c r="C24968" s="121" t="n"/>
      <s:c r="D24968" s="121" t="n"/>
      <s:c r="E24968" s="122" t="n"/>
    </s:row>
    <s:row r="24969" hidden="1" ht="1" customHeight="1">
      <s:c r="A24969" s="120" t="inlineStr"/>
      <s:c r="B24969" s="121" t="n"/>
      <s:c r="C24969" s="121" t="n"/>
      <s:c r="D24969" s="121" t="n"/>
      <s:c r="E24969" s="122" t="n"/>
    </s:row>
    <s:row r="24970" hidden="1" ht="1" customHeight="1">
      <s:c r="A24970" s="120" t="inlineStr"/>
      <s:c r="B24970" s="121" t="n"/>
      <s:c r="C24970" s="121" t="n"/>
      <s:c r="D24970" s="121" t="n"/>
      <s:c r="E24970" s="122" t="n"/>
    </s:row>
    <s:row r="24971" hidden="1" ht="1" customHeight="1">
      <s:c r="A24971" s="120" t="inlineStr"/>
      <s:c r="B24971" s="121" t="n"/>
      <s:c r="C24971" s="121" t="n"/>
      <s:c r="D24971" s="121" t="n"/>
      <s:c r="E24971" s="122" t="n"/>
    </s:row>
    <s:row r="24972" hidden="1" ht="1" customHeight="1">
      <s:c r="A24972" s="120" t="inlineStr"/>
      <s:c r="B24972" s="121" t="n"/>
      <s:c r="C24972" s="121" t="n"/>
      <s:c r="D24972" s="121" t="n"/>
      <s:c r="E24972" s="122" t="n"/>
    </s:row>
    <s:row r="24973" hidden="1" ht="1" customHeight="1">
      <s:c r="A24973" s="120" t="inlineStr"/>
      <s:c r="B24973" s="121" t="n"/>
      <s:c r="C24973" s="121" t="n"/>
      <s:c r="D24973" s="121" t="n"/>
      <s:c r="E24973" s="122" t="n"/>
    </s:row>
    <s:row r="24974" hidden="1" ht="1" customHeight="1">
      <s:c r="A24974" s="120" t="inlineStr"/>
      <s:c r="B24974" s="121" t="n"/>
      <s:c r="C24974" s="121" t="n"/>
      <s:c r="D24974" s="121" t="n"/>
      <s:c r="E24974" s="122" t="n"/>
    </s:row>
    <s:row r="24975" hidden="1" ht="1" customHeight="1">
      <s:c r="A24975" s="120" t="inlineStr"/>
      <s:c r="B24975" s="121" t="n"/>
      <s:c r="C24975" s="121" t="n"/>
      <s:c r="D24975" s="121" t="n"/>
      <s:c r="E24975" s="122" t="n"/>
    </s:row>
    <s:row r="24976" hidden="1" ht="1" customHeight="1">
      <s:c r="A24976" s="120" t="inlineStr"/>
      <s:c r="B24976" s="121" t="n"/>
      <s:c r="C24976" s="121" t="n"/>
      <s:c r="D24976" s="121" t="n"/>
      <s:c r="E24976" s="122" t="n"/>
    </s:row>
    <s:row r="24977" hidden="1" ht="1" customHeight="1">
      <s:c r="A24977" s="120" t="inlineStr"/>
      <s:c r="B24977" s="121" t="n"/>
      <s:c r="C24977" s="121" t="n"/>
      <s:c r="D24977" s="121" t="n"/>
      <s:c r="E24977" s="122" t="n"/>
    </s:row>
    <s:row r="24978" hidden="1" ht="1" customHeight="1">
      <s:c r="A24978" s="120" t="inlineStr"/>
      <s:c r="B24978" s="121" t="n"/>
      <s:c r="C24978" s="121" t="n"/>
      <s:c r="D24978" s="121" t="n"/>
      <s:c r="E24978" s="122" t="n"/>
    </s:row>
    <s:row r="24979" hidden="1" ht="1" customHeight="1">
      <s:c r="A24979" s="120" t="inlineStr"/>
      <s:c r="B24979" s="121" t="n"/>
      <s:c r="C24979" s="121" t="n"/>
      <s:c r="D24979" s="121" t="n"/>
      <s:c r="E24979" s="122" t="n"/>
    </s:row>
    <s:row r="24980" hidden="1" ht="1" customHeight="1">
      <s:c r="A24980" s="120" t="inlineStr"/>
      <s:c r="B24980" s="121" t="n"/>
      <s:c r="C24980" s="121" t="n"/>
      <s:c r="D24980" s="121" t="n"/>
      <s:c r="E24980" s="122" t="n"/>
    </s:row>
    <s:row r="24981" hidden="1" ht="1" customHeight="1">
      <s:c r="A24981" s="120" t="inlineStr"/>
      <s:c r="B24981" s="121" t="n"/>
      <s:c r="C24981" s="121" t="n"/>
      <s:c r="D24981" s="121" t="n"/>
      <s:c r="E24981" s="122" t="n"/>
    </s:row>
    <s:row r="24982" hidden="1" ht="1" customHeight="1">
      <s:c r="A24982" s="120" t="inlineStr"/>
      <s:c r="B24982" s="121" t="n"/>
      <s:c r="C24982" s="121" t="n"/>
      <s:c r="D24982" s="121" t="n"/>
      <s:c r="E24982" s="122" t="n"/>
    </s:row>
    <s:row r="24983" hidden="1" ht="1" customHeight="1">
      <s:c r="A24983" s="120" t="inlineStr"/>
      <s:c r="B24983" s="121" t="n"/>
      <s:c r="C24983" s="121" t="n"/>
      <s:c r="D24983" s="121" t="n"/>
      <s:c r="E24983" s="122" t="n"/>
    </s:row>
    <s:row r="24984" hidden="1" ht="1" customHeight="1">
      <s:c r="A24984" s="120" t="inlineStr"/>
      <s:c r="B24984" s="121" t="n"/>
      <s:c r="C24984" s="121" t="n"/>
      <s:c r="D24984" s="121" t="n"/>
      <s:c r="E24984" s="122" t="n"/>
    </s:row>
    <s:row r="24985" hidden="1" ht="1" customHeight="1">
      <s:c r="A24985" s="120" t="inlineStr"/>
      <s:c r="B24985" s="121" t="n"/>
      <s:c r="C24985" s="121" t="n"/>
      <s:c r="D24985" s="121" t="n"/>
      <s:c r="E24985" s="122" t="n"/>
    </s:row>
    <s:row r="24986" hidden="1" ht="1" customHeight="1">
      <s:c r="A24986" s="120" t="inlineStr"/>
      <s:c r="B24986" s="121" t="n"/>
      <s:c r="C24986" s="121" t="n"/>
      <s:c r="D24986" s="121" t="n"/>
      <s:c r="E24986" s="122" t="n"/>
    </s:row>
    <s:row r="24987" hidden="1" ht="1" customHeight="1">
      <s:c r="A24987" s="120" t="inlineStr"/>
      <s:c r="B24987" s="121" t="n"/>
      <s:c r="C24987" s="121" t="n"/>
      <s:c r="D24987" s="121" t="n"/>
      <s:c r="E24987" s="122" t="n"/>
    </s:row>
    <s:row r="24988" hidden="1" ht="1" customHeight="1">
      <s:c r="A24988" s="120" t="inlineStr"/>
      <s:c r="B24988" s="121" t="n"/>
      <s:c r="C24988" s="121" t="n"/>
      <s:c r="D24988" s="121" t="n"/>
      <s:c r="E24988" s="122" t="n"/>
    </s:row>
    <s:row r="24989" hidden="1" ht="1" customHeight="1">
      <s:c r="A24989" s="120" t="inlineStr"/>
      <s:c r="B24989" s="121" t="n"/>
      <s:c r="C24989" s="121" t="n"/>
      <s:c r="D24989" s="121" t="n"/>
      <s:c r="E24989" s="122" t="n"/>
    </s:row>
    <s:row r="24990" hidden="1" ht="1" customHeight="1">
      <s:c r="A24990" s="120" t="inlineStr"/>
      <s:c r="B24990" s="121" t="n"/>
      <s:c r="C24990" s="121" t="n"/>
      <s:c r="D24990" s="121" t="n"/>
      <s:c r="E24990" s="122" t="n"/>
    </s:row>
    <s:row r="24991" hidden="1" ht="1" customHeight="1">
      <s:c r="A24991" s="120" t="inlineStr"/>
      <s:c r="B24991" s="121" t="n"/>
      <s:c r="C24991" s="121" t="n"/>
      <s:c r="D24991" s="121" t="n"/>
      <s:c r="E24991" s="122" t="n"/>
    </s:row>
    <s:row r="24992" hidden="1" ht="1" customHeight="1">
      <s:c r="A24992" s="120" t="inlineStr"/>
      <s:c r="B24992" s="121" t="n"/>
      <s:c r="C24992" s="121" t="n"/>
      <s:c r="D24992" s="121" t="n"/>
      <s:c r="E24992" s="122" t="n"/>
    </s:row>
    <s:row r="24993" hidden="1" ht="1" customHeight="1">
      <s:c r="A24993" s="120" t="inlineStr"/>
      <s:c r="B24993" s="121" t="n"/>
      <s:c r="C24993" s="121" t="n"/>
      <s:c r="D24993" s="121" t="n"/>
      <s:c r="E24993" s="122" t="n"/>
    </s:row>
    <s:row r="24994" hidden="1" ht="1" customHeight="1">
      <s:c r="A24994" s="120" t="inlineStr"/>
      <s:c r="B24994" s="121" t="n"/>
      <s:c r="C24994" s="121" t="n"/>
      <s:c r="D24994" s="121" t="n"/>
      <s:c r="E24994" s="122" t="n"/>
    </s:row>
    <s:row r="24995" hidden="1" ht="1" customHeight="1">
      <s:c r="A24995" s="120" t="inlineStr"/>
      <s:c r="B24995" s="121" t="n"/>
      <s:c r="C24995" s="121" t="n"/>
      <s:c r="D24995" s="121" t="n"/>
      <s:c r="E24995" s="122" t="n"/>
    </s:row>
    <s:row r="24996" hidden="1" ht="1" customHeight="1">
      <s:c r="A24996" s="120" t="inlineStr"/>
      <s:c r="B24996" s="121" t="n"/>
      <s:c r="C24996" s="121" t="n"/>
      <s:c r="D24996" s="121" t="n"/>
      <s:c r="E24996" s="122" t="n"/>
    </s:row>
    <s:row r="24997" hidden="1" ht="1" customHeight="1">
      <s:c r="A24997" s="120" t="inlineStr"/>
      <s:c r="B24997" s="121" t="n"/>
      <s:c r="C24997" s="121" t="n"/>
      <s:c r="D24997" s="121" t="n"/>
      <s:c r="E24997" s="122" t="n"/>
    </s:row>
    <s:row r="24998" hidden="1" ht="1" customHeight="1">
      <s:c r="A24998" s="120" t="inlineStr"/>
      <s:c r="B24998" s="121" t="n"/>
      <s:c r="C24998" s="121" t="n"/>
      <s:c r="D24998" s="121" t="n"/>
      <s:c r="E24998" s="122" t="n"/>
    </s:row>
    <s:row r="24999" hidden="1" ht="1" customHeight="1">
      <s:c r="A24999" s="120" t="inlineStr"/>
      <s:c r="B24999" s="121" t="n"/>
      <s:c r="C24999" s="121" t="n"/>
      <s:c r="D24999" s="121" t="n"/>
      <s:c r="E24999" s="122" t="n"/>
    </s:row>
    <s:row r="25000" hidden="1" ht="1" customHeight="1">
      <s:c r="A25000" s="120" t="inlineStr"/>
      <s:c r="B25000" s="121" t="n"/>
      <s:c r="C25000" s="121" t="n"/>
      <s:c r="D25000" s="121" t="n"/>
      <s:c r="E25000" s="122" t="n"/>
    </s:row>
    <s:row r="25001" hidden="1" ht="1" customHeight="1">
      <s:c r="A25001" s="120" t="inlineStr"/>
      <s:c r="B25001" s="121" t="n"/>
      <s:c r="C25001" s="121" t="n"/>
      <s:c r="D25001" s="121" t="n"/>
      <s:c r="E25001" s="122" t="n"/>
    </s:row>
    <s:row r="25002" hidden="1" ht="1" customHeight="1">
      <s:c r="A25002" s="120" t="inlineStr"/>
      <s:c r="B25002" s="121" t="n"/>
      <s:c r="C25002" s="121" t="n"/>
      <s:c r="D25002" s="121" t="n"/>
      <s:c r="E25002" s="122" t="n"/>
    </s:row>
    <s:row r="25003" hidden="1" ht="1" customHeight="1">
      <s:c r="A25003" s="120" t="inlineStr"/>
      <s:c r="B25003" s="121" t="n"/>
      <s:c r="C25003" s="121" t="n"/>
      <s:c r="D25003" s="121" t="n"/>
      <s:c r="E25003" s="122" t="n"/>
    </s:row>
    <s:row r="25004" hidden="1" ht="1" customHeight="1">
      <s:c r="A25004" s="120" t="inlineStr"/>
      <s:c r="B25004" s="121" t="n"/>
      <s:c r="C25004" s="121" t="n"/>
      <s:c r="D25004" s="121" t="n"/>
      <s:c r="E25004" s="122" t="n"/>
    </s:row>
    <s:row r="25005" hidden="1" ht="1" customHeight="1">
      <s:c r="A25005" s="120" t="inlineStr"/>
      <s:c r="B25005" s="121" t="n"/>
      <s:c r="C25005" s="121" t="n"/>
      <s:c r="D25005" s="121" t="n"/>
      <s:c r="E25005" s="122" t="n"/>
    </s:row>
    <s:row r="25006" hidden="1" ht="1" customHeight="1">
      <s:c r="A25006" s="120" t="inlineStr"/>
      <s:c r="B25006" s="121" t="n"/>
      <s:c r="C25006" s="121" t="n"/>
      <s:c r="D25006" s="121" t="n"/>
      <s:c r="E25006" s="122" t="n"/>
    </s:row>
    <s:row r="25007" hidden="1" ht="1" customHeight="1">
      <s:c r="A25007" s="120" t="inlineStr"/>
      <s:c r="B25007" s="121" t="n"/>
      <s:c r="C25007" s="121" t="n"/>
      <s:c r="D25007" s="121" t="n"/>
      <s:c r="E25007" s="122" t="n"/>
    </s:row>
    <s:row r="25008" hidden="1" ht="1" customHeight="1">
      <s:c r="A25008" s="120" t="inlineStr"/>
      <s:c r="B25008" s="121" t="n"/>
      <s:c r="C25008" s="121" t="n"/>
      <s:c r="D25008" s="121" t="n"/>
      <s:c r="E25008" s="122" t="n"/>
    </s:row>
    <s:row r="25009" hidden="1" ht="1" customHeight="1">
      <s:c r="A25009" s="120" t="inlineStr"/>
      <s:c r="B25009" s="121" t="n"/>
      <s:c r="C25009" s="121" t="n"/>
      <s:c r="D25009" s="121" t="n"/>
      <s:c r="E25009" s="122" t="n"/>
    </s:row>
    <s:row r="25010" hidden="1" ht="1" customHeight="1">
      <s:c r="A25010" s="120" t="inlineStr"/>
      <s:c r="B25010" s="121" t="n"/>
      <s:c r="C25010" s="121" t="n"/>
      <s:c r="D25010" s="121" t="n"/>
      <s:c r="E25010" s="122" t="n"/>
    </s:row>
    <s:row r="25011" hidden="1" ht="1" customHeight="1">
      <s:c r="A25011" s="120" t="inlineStr"/>
      <s:c r="B25011" s="121" t="n"/>
      <s:c r="C25011" s="121" t="n"/>
      <s:c r="D25011" s="121" t="n"/>
      <s:c r="E25011" s="122" t="n"/>
    </s:row>
    <s:row r="25012" hidden="1" ht="1" customHeight="1">
      <s:c r="A25012" s="120" t="inlineStr"/>
      <s:c r="B25012" s="121" t="n"/>
      <s:c r="C25012" s="121" t="n"/>
      <s:c r="D25012" s="121" t="n"/>
      <s:c r="E25012" s="122" t="n"/>
    </s:row>
    <s:row r="25013" hidden="1" ht="1" customHeight="1">
      <s:c r="A25013" s="120" t="inlineStr"/>
      <s:c r="B25013" s="121" t="n"/>
      <s:c r="C25013" s="121" t="n"/>
      <s:c r="D25013" s="121" t="n"/>
      <s:c r="E25013" s="122" t="n"/>
    </s:row>
    <s:row r="25014" hidden="1" ht="1" customHeight="1">
      <s:c r="A25014" s="120" t="inlineStr"/>
      <s:c r="B25014" s="121" t="n"/>
      <s:c r="C25014" s="121" t="n"/>
      <s:c r="D25014" s="121" t="n"/>
      <s:c r="E25014" s="122" t="n"/>
    </s:row>
    <s:row r="25015" hidden="1" ht="1" customHeight="1">
      <s:c r="A25015" s="120" t="inlineStr"/>
      <s:c r="B25015" s="121" t="n"/>
      <s:c r="C25015" s="121" t="n"/>
      <s:c r="D25015" s="121" t="n"/>
      <s:c r="E25015" s="122" t="n"/>
    </s:row>
    <s:row r="25016" hidden="1" ht="1" customHeight="1">
      <s:c r="A25016" s="120" t="inlineStr"/>
      <s:c r="B25016" s="121" t="n"/>
      <s:c r="C25016" s="121" t="n"/>
      <s:c r="D25016" s="121" t="n"/>
      <s:c r="E25016" s="122" t="n"/>
    </s:row>
    <s:row r="25017" hidden="1" ht="1" customHeight="1">
      <s:c r="A25017" s="120" t="inlineStr"/>
      <s:c r="B25017" s="121" t="n"/>
      <s:c r="C25017" s="121" t="n"/>
      <s:c r="D25017" s="121" t="n"/>
      <s:c r="E25017" s="122" t="n"/>
    </s:row>
    <s:row r="25018" hidden="1" ht="1" customHeight="1">
      <s:c r="A25018" s="120" t="inlineStr"/>
      <s:c r="B25018" s="121" t="n"/>
      <s:c r="C25018" s="121" t="n"/>
      <s:c r="D25018" s="121" t="n"/>
      <s:c r="E25018" s="122" t="n"/>
    </s:row>
    <s:row r="25019" hidden="1" ht="1" customHeight="1">
      <s:c r="A25019" s="120" t="inlineStr"/>
      <s:c r="B25019" s="121" t="n"/>
      <s:c r="C25019" s="121" t="n"/>
      <s:c r="D25019" s="121" t="n"/>
      <s:c r="E25019" s="122" t="n"/>
    </s:row>
    <s:row r="25020" hidden="1" ht="1" customHeight="1">
      <s:c r="A25020" s="120" t="inlineStr"/>
      <s:c r="B25020" s="121" t="n"/>
      <s:c r="C25020" s="121" t="n"/>
      <s:c r="D25020" s="121" t="n"/>
      <s:c r="E25020" s="122" t="n"/>
    </s:row>
    <s:row r="25021" hidden="1" ht="1" customHeight="1">
      <s:c r="A25021" s="120" t="inlineStr"/>
      <s:c r="B25021" s="121" t="n"/>
      <s:c r="C25021" s="121" t="n"/>
      <s:c r="D25021" s="121" t="n"/>
      <s:c r="E25021" s="122" t="n"/>
    </s:row>
    <s:row r="25022" hidden="1" ht="1" customHeight="1">
      <s:c r="A25022" s="120" t="inlineStr"/>
      <s:c r="B25022" s="121" t="n"/>
      <s:c r="C25022" s="121" t="n"/>
      <s:c r="D25022" s="121" t="n"/>
      <s:c r="E25022" s="122" t="n"/>
    </s:row>
    <s:row r="25023" hidden="1" ht="1" customHeight="1">
      <s:c r="A25023" s="120" t="inlineStr"/>
      <s:c r="B25023" s="121" t="n"/>
      <s:c r="C25023" s="121" t="n"/>
      <s:c r="D25023" s="121" t="n"/>
      <s:c r="E25023" s="122" t="n"/>
    </s:row>
    <s:row r="25024" hidden="1" ht="1" customHeight="1">
      <s:c r="A25024" s="120" t="inlineStr"/>
      <s:c r="B25024" s="121" t="n"/>
      <s:c r="C25024" s="121" t="n"/>
      <s:c r="D25024" s="121" t="n"/>
      <s:c r="E25024" s="122" t="n"/>
    </s:row>
    <s:row r="25025" hidden="1" ht="1" customHeight="1">
      <s:c r="A25025" s="120" t="inlineStr"/>
      <s:c r="B25025" s="121" t="n"/>
      <s:c r="C25025" s="121" t="n"/>
      <s:c r="D25025" s="121" t="n"/>
      <s:c r="E25025" s="122" t="n"/>
    </s:row>
    <s:row r="25026" hidden="1" ht="1" customHeight="1">
      <s:c r="A25026" s="120" t="inlineStr"/>
      <s:c r="B25026" s="121" t="n"/>
      <s:c r="C25026" s="121" t="n"/>
      <s:c r="D25026" s="121" t="n"/>
      <s:c r="E25026" s="122" t="n"/>
    </s:row>
    <s:row r="25027" hidden="1" ht="1" customHeight="1">
      <s:c r="A25027" s="120" t="inlineStr"/>
      <s:c r="B25027" s="121" t="n"/>
      <s:c r="C25027" s="121" t="n"/>
      <s:c r="D25027" s="121" t="n"/>
      <s:c r="E25027" s="122" t="n"/>
    </s:row>
    <s:row r="25028" hidden="1" ht="1" customHeight="1">
      <s:c r="A25028" s="120" t="inlineStr"/>
      <s:c r="B25028" s="121" t="n"/>
      <s:c r="C25028" s="121" t="n"/>
      <s:c r="D25028" s="121" t="n"/>
      <s:c r="E25028" s="122" t="n"/>
    </s:row>
    <s:row r="25029" hidden="1" ht="1" customHeight="1">
      <s:c r="A25029" s="120" t="inlineStr"/>
      <s:c r="B25029" s="121" t="n"/>
      <s:c r="C25029" s="121" t="n"/>
      <s:c r="D25029" s="121" t="n"/>
      <s:c r="E25029" s="122" t="n"/>
    </s:row>
    <s:row r="25030" hidden="1" ht="1" customHeight="1">
      <s:c r="A25030" s="120" t="inlineStr"/>
      <s:c r="B25030" s="121" t="n"/>
      <s:c r="C25030" s="121" t="n"/>
      <s:c r="D25030" s="121" t="n"/>
      <s:c r="E25030" s="122" t="n"/>
    </s:row>
    <s:row r="25031" hidden="1" ht="1" customHeight="1">
      <s:c r="A25031" s="120" t="inlineStr"/>
      <s:c r="B25031" s="121" t="n"/>
      <s:c r="C25031" s="121" t="n"/>
      <s:c r="D25031" s="121" t="n"/>
      <s:c r="E25031" s="122" t="n"/>
    </s:row>
    <s:row r="25032" hidden="1" ht="1" customHeight="1">
      <s:c r="A25032" s="120" t="inlineStr"/>
      <s:c r="B25032" s="121" t="n"/>
      <s:c r="C25032" s="121" t="n"/>
      <s:c r="D25032" s="121" t="n"/>
      <s:c r="E25032" s="122" t="n"/>
    </s:row>
    <s:row r="25033" hidden="1" ht="1" customHeight="1">
      <s:c r="A25033" s="120" t="inlineStr"/>
      <s:c r="B25033" s="121" t="n"/>
      <s:c r="C25033" s="121" t="n"/>
      <s:c r="D25033" s="121" t="n"/>
      <s:c r="E25033" s="122" t="n"/>
    </s:row>
    <s:row r="25034" hidden="1" ht="1" customHeight="1">
      <s:c r="A25034" s="120" t="inlineStr"/>
      <s:c r="B25034" s="121" t="n"/>
      <s:c r="C25034" s="121" t="n"/>
      <s:c r="D25034" s="121" t="n"/>
      <s:c r="E25034" s="122" t="n"/>
    </s:row>
    <s:row r="25035" hidden="1" ht="1" customHeight="1">
      <s:c r="A25035" s="120" t="inlineStr"/>
      <s:c r="B25035" s="121" t="n"/>
      <s:c r="C25035" s="121" t="n"/>
      <s:c r="D25035" s="121" t="n"/>
      <s:c r="E25035" s="122" t="n"/>
    </s:row>
    <s:row r="25036" hidden="1" ht="1" customHeight="1">
      <s:c r="A25036" s="120" t="inlineStr"/>
      <s:c r="B25036" s="121" t="n"/>
      <s:c r="C25036" s="121" t="n"/>
      <s:c r="D25036" s="121" t="n"/>
      <s:c r="E25036" s="122" t="n"/>
    </s:row>
    <s:row r="25037" hidden="1" ht="1" customHeight="1">
      <s:c r="A25037" s="120" t="inlineStr"/>
      <s:c r="B25037" s="121" t="n"/>
      <s:c r="C25037" s="121" t="n"/>
      <s:c r="D25037" s="121" t="n"/>
      <s:c r="E25037" s="122" t="n"/>
    </s:row>
    <s:row r="25038" hidden="1" ht="1" customHeight="1">
      <s:c r="A25038" s="120" t="inlineStr"/>
      <s:c r="B25038" s="121" t="n"/>
      <s:c r="C25038" s="121" t="n"/>
      <s:c r="D25038" s="121" t="n"/>
      <s:c r="E25038" s="122" t="n"/>
    </s:row>
    <s:row r="25039" hidden="1" ht="1" customHeight="1">
      <s:c r="A25039" s="120" t="inlineStr"/>
      <s:c r="B25039" s="121" t="n"/>
      <s:c r="C25039" s="121" t="n"/>
      <s:c r="D25039" s="121" t="n"/>
      <s:c r="E25039" s="122" t="n"/>
    </s:row>
    <s:row r="25040" hidden="1" ht="1" customHeight="1">
      <s:c r="A25040" s="120" t="inlineStr"/>
      <s:c r="B25040" s="121" t="n"/>
      <s:c r="C25040" s="121" t="n"/>
      <s:c r="D25040" s="121" t="n"/>
      <s:c r="E25040" s="122" t="n"/>
    </s:row>
    <s:row r="25041" hidden="1" ht="1" customHeight="1">
      <s:c r="A25041" s="120" t="inlineStr"/>
      <s:c r="B25041" s="121" t="n"/>
      <s:c r="C25041" s="121" t="n"/>
      <s:c r="D25041" s="121" t="n"/>
      <s:c r="E25041" s="122" t="n"/>
    </s:row>
    <s:row r="25042" hidden="1" ht="1" customHeight="1">
      <s:c r="A25042" s="120" t="inlineStr"/>
      <s:c r="B25042" s="121" t="n"/>
      <s:c r="C25042" s="121" t="n"/>
      <s:c r="D25042" s="121" t="n"/>
      <s:c r="E25042" s="122" t="n"/>
    </s:row>
    <s:row r="25043" hidden="1" ht="1" customHeight="1">
      <s:c r="A25043" s="120" t="inlineStr"/>
      <s:c r="B25043" s="121" t="n"/>
      <s:c r="C25043" s="121" t="n"/>
      <s:c r="D25043" s="121" t="n"/>
      <s:c r="E25043" s="122" t="n"/>
    </s:row>
    <s:row r="25044" hidden="1" ht="1" customHeight="1">
      <s:c r="A25044" s="120" t="inlineStr"/>
      <s:c r="B25044" s="121" t="n"/>
      <s:c r="C25044" s="121" t="n"/>
      <s:c r="D25044" s="121" t="n"/>
      <s:c r="E25044" s="122" t="n"/>
    </s:row>
    <s:row r="25045" hidden="1" ht="1" customHeight="1">
      <s:c r="A25045" s="120" t="inlineStr"/>
      <s:c r="B25045" s="121" t="n"/>
      <s:c r="C25045" s="121" t="n"/>
      <s:c r="D25045" s="121" t="n"/>
      <s:c r="E25045" s="122" t="n"/>
    </s:row>
    <s:row r="25046" hidden="1" ht="1" customHeight="1">
      <s:c r="A25046" s="120" t="inlineStr"/>
      <s:c r="B25046" s="121" t="n"/>
      <s:c r="C25046" s="121" t="n"/>
      <s:c r="D25046" s="121" t="n"/>
      <s:c r="E25046" s="122" t="n"/>
    </s:row>
    <s:row r="25047" hidden="1" ht="1" customHeight="1">
      <s:c r="A25047" s="120" t="inlineStr"/>
      <s:c r="B25047" s="121" t="n"/>
      <s:c r="C25047" s="121" t="n"/>
      <s:c r="D25047" s="121" t="n"/>
      <s:c r="E25047" s="122" t="n"/>
    </s:row>
    <s:row r="25048" hidden="1" ht="1" customHeight="1">
      <s:c r="A25048" s="120" t="inlineStr"/>
      <s:c r="B25048" s="121" t="n"/>
      <s:c r="C25048" s="121" t="n"/>
      <s:c r="D25048" s="121" t="n"/>
      <s:c r="E25048" s="122" t="n"/>
    </s:row>
    <s:row r="25049" hidden="1" ht="1" customHeight="1">
      <s:c r="A25049" s="120" t="inlineStr"/>
      <s:c r="B25049" s="121" t="n"/>
      <s:c r="C25049" s="121" t="n"/>
      <s:c r="D25049" s="121" t="n"/>
      <s:c r="E25049" s="122" t="n"/>
    </s:row>
    <s:row r="25050" hidden="1" ht="1" customHeight="1">
      <s:c r="A25050" s="120" t="inlineStr"/>
      <s:c r="B25050" s="121" t="n"/>
      <s:c r="C25050" s="121" t="n"/>
      <s:c r="D25050" s="121" t="n"/>
      <s:c r="E25050" s="122" t="n"/>
    </s:row>
    <s:row r="25051" hidden="1" ht="1" customHeight="1">
      <s:c r="A25051" s="120" t="inlineStr"/>
      <s:c r="B25051" s="121" t="n"/>
      <s:c r="C25051" s="121" t="n"/>
      <s:c r="D25051" s="121" t="n"/>
      <s:c r="E25051" s="122" t="n"/>
    </s:row>
    <s:row r="25052" hidden="1" ht="1" customHeight="1">
      <s:c r="A25052" s="120" t="inlineStr"/>
      <s:c r="B25052" s="121" t="n"/>
      <s:c r="C25052" s="121" t="n"/>
      <s:c r="D25052" s="121" t="n"/>
      <s:c r="E25052" s="122" t="n"/>
    </s:row>
    <s:row r="25053" hidden="1" ht="1" customHeight="1">
      <s:c r="A25053" s="120" t="inlineStr"/>
      <s:c r="B25053" s="121" t="n"/>
      <s:c r="C25053" s="121" t="n"/>
      <s:c r="D25053" s="121" t="n"/>
      <s:c r="E25053" s="122" t="n"/>
    </s:row>
    <s:row r="25054" hidden="1" ht="1" customHeight="1">
      <s:c r="A25054" s="120" t="inlineStr"/>
      <s:c r="B25054" s="121" t="n"/>
      <s:c r="C25054" s="121" t="n"/>
      <s:c r="D25054" s="121" t="n"/>
      <s:c r="E25054" s="122" t="n"/>
    </s:row>
    <s:row r="25055" hidden="1" ht="1" customHeight="1">
      <s:c r="A25055" s="120" t="inlineStr"/>
      <s:c r="B25055" s="121" t="n"/>
      <s:c r="C25055" s="121" t="n"/>
      <s:c r="D25055" s="121" t="n"/>
      <s:c r="E25055" s="122" t="n"/>
    </s:row>
    <s:row r="25056" hidden="1" ht="1" customHeight="1">
      <s:c r="A25056" s="120" t="inlineStr"/>
      <s:c r="B25056" s="121" t="n"/>
      <s:c r="C25056" s="121" t="n"/>
      <s:c r="D25056" s="121" t="n"/>
      <s:c r="E25056" s="122" t="n"/>
    </s:row>
    <s:row r="25057" hidden="1" ht="1" customHeight="1">
      <s:c r="A25057" s="120" t="inlineStr"/>
      <s:c r="B25057" s="121" t="n"/>
      <s:c r="C25057" s="121" t="n"/>
      <s:c r="D25057" s="121" t="n"/>
      <s:c r="E25057" s="122" t="n"/>
    </s:row>
    <s:row r="25058" hidden="1" ht="1" customHeight="1">
      <s:c r="A25058" s="120" t="inlineStr"/>
      <s:c r="B25058" s="121" t="n"/>
      <s:c r="C25058" s="121" t="n"/>
      <s:c r="D25058" s="121" t="n"/>
      <s:c r="E25058" s="122" t="n"/>
    </s:row>
    <s:row r="25059" hidden="1" ht="1" customHeight="1">
      <s:c r="A25059" s="120" t="inlineStr"/>
      <s:c r="B25059" s="121" t="n"/>
      <s:c r="C25059" s="121" t="n"/>
      <s:c r="D25059" s="121" t="n"/>
      <s:c r="E25059" s="122" t="n"/>
    </s:row>
    <s:row r="25060" hidden="1" ht="1" customHeight="1">
      <s:c r="A25060" s="120" t="inlineStr"/>
      <s:c r="B25060" s="121" t="n"/>
      <s:c r="C25060" s="121" t="n"/>
      <s:c r="D25060" s="121" t="n"/>
      <s:c r="E25060" s="122" t="n"/>
    </s:row>
    <s:row r="25061" hidden="1" ht="1" customHeight="1">
      <s:c r="A25061" s="120" t="inlineStr"/>
      <s:c r="B25061" s="121" t="n"/>
      <s:c r="C25061" s="121" t="n"/>
      <s:c r="D25061" s="121" t="n"/>
      <s:c r="E25061" s="122" t="n"/>
    </s:row>
    <s:row r="25062" hidden="1" ht="1" customHeight="1">
      <s:c r="A25062" s="120" t="inlineStr"/>
      <s:c r="B25062" s="121" t="n"/>
      <s:c r="C25062" s="121" t="n"/>
      <s:c r="D25062" s="121" t="n"/>
      <s:c r="E25062" s="122" t="n"/>
    </s:row>
    <s:row r="25063" hidden="1" ht="1" customHeight="1">
      <s:c r="A25063" s="120" t="inlineStr"/>
      <s:c r="B25063" s="121" t="n"/>
      <s:c r="C25063" s="121" t="n"/>
      <s:c r="D25063" s="121" t="n"/>
      <s:c r="E25063" s="122" t="n"/>
    </s:row>
    <s:row r="25064" hidden="1" ht="1" customHeight="1">
      <s:c r="A25064" s="120" t="inlineStr"/>
      <s:c r="B25064" s="121" t="n"/>
      <s:c r="C25064" s="121" t="n"/>
      <s:c r="D25064" s="121" t="n"/>
      <s:c r="E25064" s="122" t="n"/>
    </s:row>
    <s:row r="25065" hidden="1" ht="1" customHeight="1">
      <s:c r="A25065" s="120" t="inlineStr"/>
      <s:c r="B25065" s="121" t="n"/>
      <s:c r="C25065" s="121" t="n"/>
      <s:c r="D25065" s="121" t="n"/>
      <s:c r="E25065" s="122" t="n"/>
    </s:row>
    <s:row r="25066" hidden="1" ht="1" customHeight="1">
      <s:c r="A25066" s="120" t="inlineStr"/>
      <s:c r="B25066" s="121" t="n"/>
      <s:c r="C25066" s="121" t="n"/>
      <s:c r="D25066" s="121" t="n"/>
      <s:c r="E25066" s="122" t="n"/>
    </s:row>
    <s:row r="25067" hidden="1" ht="1" customHeight="1">
      <s:c r="A25067" s="120" t="inlineStr"/>
      <s:c r="B25067" s="121" t="n"/>
      <s:c r="C25067" s="121" t="n"/>
      <s:c r="D25067" s="121" t="n"/>
      <s:c r="E25067" s="122" t="n"/>
    </s:row>
    <s:row r="25068" hidden="1" ht="1" customHeight="1">
      <s:c r="A25068" s="120" t="inlineStr"/>
      <s:c r="B25068" s="121" t="n"/>
      <s:c r="C25068" s="121" t="n"/>
      <s:c r="D25068" s="121" t="n"/>
      <s:c r="E25068" s="122" t="n"/>
    </s:row>
    <s:row r="25069" hidden="1" ht="1" customHeight="1">
      <s:c r="A25069" s="120" t="inlineStr"/>
      <s:c r="B25069" s="121" t="n"/>
      <s:c r="C25069" s="121" t="n"/>
      <s:c r="D25069" s="121" t="n"/>
      <s:c r="E25069" s="122" t="n"/>
    </s:row>
    <s:row r="25070" hidden="1" ht="1" customHeight="1">
      <s:c r="A25070" s="120" t="inlineStr"/>
      <s:c r="B25070" s="121" t="n"/>
      <s:c r="C25070" s="121" t="n"/>
      <s:c r="D25070" s="121" t="n"/>
      <s:c r="E25070" s="122" t="n"/>
    </s:row>
    <s:row r="25071" hidden="1" ht="1" customHeight="1">
      <s:c r="A25071" s="120" t="inlineStr"/>
      <s:c r="B25071" s="121" t="n"/>
      <s:c r="C25071" s="121" t="n"/>
      <s:c r="D25071" s="121" t="n"/>
      <s:c r="E25071" s="122" t="n"/>
    </s:row>
    <s:row r="25072" hidden="1" ht="1" customHeight="1">
      <s:c r="A25072" s="120" t="inlineStr"/>
      <s:c r="B25072" s="121" t="n"/>
      <s:c r="C25072" s="121" t="n"/>
      <s:c r="D25072" s="121" t="n"/>
      <s:c r="E25072" s="122" t="n"/>
    </s:row>
    <s:row r="25073" hidden="1" ht="1" customHeight="1">
      <s:c r="A25073" s="120" t="inlineStr"/>
      <s:c r="B25073" s="121" t="n"/>
      <s:c r="C25073" s="121" t="n"/>
      <s:c r="D25073" s="121" t="n"/>
      <s:c r="E25073" s="122" t="n"/>
    </s:row>
    <s:row r="25074" hidden="1" ht="1" customHeight="1">
      <s:c r="A25074" s="120" t="inlineStr"/>
      <s:c r="B25074" s="121" t="n"/>
      <s:c r="C25074" s="121" t="n"/>
      <s:c r="D25074" s="121" t="n"/>
      <s:c r="E25074" s="122" t="n"/>
    </s:row>
    <s:row r="25075" hidden="1" ht="1" customHeight="1">
      <s:c r="A25075" s="120" t="inlineStr"/>
      <s:c r="B25075" s="121" t="n"/>
      <s:c r="C25075" s="121" t="n"/>
      <s:c r="D25075" s="121" t="n"/>
      <s:c r="E25075" s="122" t="n"/>
    </s:row>
    <s:row r="25076" hidden="1" ht="1" customHeight="1">
      <s:c r="A25076" s="120" t="inlineStr"/>
      <s:c r="B25076" s="121" t="n"/>
      <s:c r="C25076" s="121" t="n"/>
      <s:c r="D25076" s="121" t="n"/>
      <s:c r="E25076" s="122" t="n"/>
    </s:row>
    <s:row r="25077" hidden="1" ht="1" customHeight="1">
      <s:c r="A25077" s="120" t="inlineStr"/>
      <s:c r="B25077" s="121" t="n"/>
      <s:c r="C25077" s="121" t="n"/>
      <s:c r="D25077" s="121" t="n"/>
      <s:c r="E25077" s="122" t="n"/>
    </s:row>
    <s:row r="25078" hidden="1" ht="1" customHeight="1">
      <s:c r="A25078" s="120" t="inlineStr"/>
      <s:c r="B25078" s="121" t="n"/>
      <s:c r="C25078" s="121" t="n"/>
      <s:c r="D25078" s="121" t="n"/>
      <s:c r="E25078" s="122" t="n"/>
    </s:row>
    <s:row r="25079" hidden="1" ht="1" customHeight="1">
      <s:c r="A25079" s="120" t="inlineStr"/>
      <s:c r="B25079" s="121" t="n"/>
      <s:c r="C25079" s="121" t="n"/>
      <s:c r="D25079" s="121" t="n"/>
      <s:c r="E25079" s="122" t="n"/>
    </s:row>
    <s:row r="25080" hidden="1" ht="1" customHeight="1">
      <s:c r="A25080" s="120" t="inlineStr"/>
      <s:c r="B25080" s="121" t="n"/>
      <s:c r="C25080" s="121" t="n"/>
      <s:c r="D25080" s="121" t="n"/>
      <s:c r="E25080" s="122" t="n"/>
    </s:row>
    <s:row r="25081" hidden="1" ht="1" customHeight="1">
      <s:c r="A25081" s="120" t="inlineStr"/>
      <s:c r="B25081" s="121" t="n"/>
      <s:c r="C25081" s="121" t="n"/>
      <s:c r="D25081" s="121" t="n"/>
      <s:c r="E25081" s="122" t="n"/>
    </s:row>
    <s:row r="25082" hidden="1" ht="1" customHeight="1">
      <s:c r="A25082" s="120" t="inlineStr"/>
      <s:c r="B25082" s="121" t="n"/>
      <s:c r="C25082" s="121" t="n"/>
      <s:c r="D25082" s="121" t="n"/>
      <s:c r="E25082" s="122" t="n"/>
    </s:row>
    <s:row r="25083" hidden="1" ht="1" customHeight="1">
      <s:c r="A25083" s="120" t="inlineStr"/>
      <s:c r="B25083" s="121" t="n"/>
      <s:c r="C25083" s="121" t="n"/>
      <s:c r="D25083" s="121" t="n"/>
      <s:c r="E25083" s="122" t="n"/>
    </s:row>
    <s:row r="25084" hidden="1" ht="1" customHeight="1">
      <s:c r="A25084" s="120" t="inlineStr"/>
      <s:c r="B25084" s="121" t="n"/>
      <s:c r="C25084" s="121" t="n"/>
      <s:c r="D25084" s="121" t="n"/>
      <s:c r="E25084" s="122" t="n"/>
    </s:row>
    <s:row r="25085" hidden="1" ht="1" customHeight="1">
      <s:c r="A25085" s="120" t="inlineStr"/>
      <s:c r="B25085" s="121" t="n"/>
      <s:c r="C25085" s="121" t="n"/>
      <s:c r="D25085" s="121" t="n"/>
      <s:c r="E25085" s="122" t="n"/>
    </s:row>
    <s:row r="25086" hidden="1" ht="1" customHeight="1">
      <s:c r="A25086" s="120" t="inlineStr"/>
      <s:c r="B25086" s="121" t="n"/>
      <s:c r="C25086" s="121" t="n"/>
      <s:c r="D25086" s="121" t="n"/>
      <s:c r="E25086" s="122" t="n"/>
    </s:row>
    <s:row r="25087" hidden="1" ht="1" customHeight="1">
      <s:c r="A25087" s="120" t="inlineStr"/>
      <s:c r="B25087" s="121" t="n"/>
      <s:c r="C25087" s="121" t="n"/>
      <s:c r="D25087" s="121" t="n"/>
      <s:c r="E25087" s="122" t="n"/>
    </s:row>
    <s:row r="25088" hidden="1" ht="1" customHeight="1">
      <s:c r="A25088" s="120" t="inlineStr"/>
      <s:c r="B25088" s="121" t="n"/>
      <s:c r="C25088" s="121" t="n"/>
      <s:c r="D25088" s="121" t="n"/>
      <s:c r="E25088" s="122" t="n"/>
    </s:row>
    <s:row r="25089" hidden="1" ht="1" customHeight="1">
      <s:c r="A25089" s="120" t="inlineStr"/>
      <s:c r="B25089" s="121" t="n"/>
      <s:c r="C25089" s="121" t="n"/>
      <s:c r="D25089" s="121" t="n"/>
      <s:c r="E25089" s="122" t="n"/>
    </s:row>
    <s:row r="25090" hidden="1" ht="1" customHeight="1">
      <s:c r="A25090" s="120" t="inlineStr"/>
      <s:c r="B25090" s="121" t="n"/>
      <s:c r="C25090" s="121" t="n"/>
      <s:c r="D25090" s="121" t="n"/>
      <s:c r="E25090" s="122" t="n"/>
    </s:row>
    <s:row r="25091" hidden="1" ht="1" customHeight="1">
      <s:c r="A25091" s="120" t="inlineStr"/>
      <s:c r="B25091" s="121" t="n"/>
      <s:c r="C25091" s="121" t="n"/>
      <s:c r="D25091" s="121" t="n"/>
      <s:c r="E25091" s="122" t="n"/>
    </s:row>
    <s:row r="25092" hidden="1" ht="1" customHeight="1">
      <s:c r="A25092" s="120" t="inlineStr"/>
      <s:c r="B25092" s="121" t="n"/>
      <s:c r="C25092" s="121" t="n"/>
      <s:c r="D25092" s="121" t="n"/>
      <s:c r="E25092" s="122" t="n"/>
    </s:row>
    <s:row r="25093" hidden="1" ht="1" customHeight="1">
      <s:c r="A25093" s="120" t="inlineStr"/>
      <s:c r="B25093" s="121" t="n"/>
      <s:c r="C25093" s="121" t="n"/>
      <s:c r="D25093" s="121" t="n"/>
      <s:c r="E25093" s="122" t="n"/>
    </s:row>
    <s:row r="25094" hidden="1" ht="1" customHeight="1">
      <s:c r="A25094" s="120" t="inlineStr"/>
      <s:c r="B25094" s="121" t="n"/>
      <s:c r="C25094" s="121" t="n"/>
      <s:c r="D25094" s="121" t="n"/>
      <s:c r="E25094" s="122" t="n"/>
    </s:row>
    <s:row r="25095" hidden="1" ht="1" customHeight="1">
      <s:c r="A25095" s="120" t="inlineStr"/>
      <s:c r="B25095" s="121" t="n"/>
      <s:c r="C25095" s="121" t="n"/>
      <s:c r="D25095" s="121" t="n"/>
      <s:c r="E25095" s="122" t="n"/>
    </s:row>
    <s:row r="25096" hidden="1" ht="1" customHeight="1">
      <s:c r="A25096" s="120" t="inlineStr"/>
      <s:c r="B25096" s="121" t="n"/>
      <s:c r="C25096" s="121" t="n"/>
      <s:c r="D25096" s="121" t="n"/>
      <s:c r="E25096" s="122" t="n"/>
    </s:row>
    <s:row r="25097" hidden="1" ht="1" customHeight="1">
      <s:c r="A25097" s="120" t="inlineStr"/>
      <s:c r="B25097" s="121" t="n"/>
      <s:c r="C25097" s="121" t="n"/>
      <s:c r="D25097" s="121" t="n"/>
      <s:c r="E25097" s="122" t="n"/>
    </s:row>
    <s:row r="25098" hidden="1" ht="1" customHeight="1">
      <s:c r="A25098" s="120" t="inlineStr"/>
      <s:c r="B25098" s="121" t="n"/>
      <s:c r="C25098" s="121" t="n"/>
      <s:c r="D25098" s="121" t="n"/>
      <s:c r="E25098" s="122" t="n"/>
    </s:row>
    <s:row r="25099" hidden="1" ht="1" customHeight="1">
      <s:c r="A25099" s="120" t="inlineStr"/>
      <s:c r="B25099" s="121" t="n"/>
      <s:c r="C25099" s="121" t="n"/>
      <s:c r="D25099" s="121" t="n"/>
      <s:c r="E25099" s="122" t="n"/>
    </s:row>
    <s:row r="25100" hidden="1" ht="1" customHeight="1">
      <s:c r="A25100" s="120" t="inlineStr"/>
      <s:c r="B25100" s="121" t="n"/>
      <s:c r="C25100" s="121" t="n"/>
      <s:c r="D25100" s="121" t="n"/>
      <s:c r="E25100" s="122" t="n"/>
    </s:row>
    <s:row r="25101" hidden="1" ht="1" customHeight="1">
      <s:c r="A25101" s="120" t="inlineStr"/>
      <s:c r="B25101" s="121" t="n"/>
      <s:c r="C25101" s="121" t="n"/>
      <s:c r="D25101" s="121" t="n"/>
      <s:c r="E25101" s="122" t="n"/>
    </s:row>
    <s:row r="25102" hidden="1" ht="1" customHeight="1">
      <s:c r="A25102" s="120" t="inlineStr"/>
      <s:c r="B25102" s="121" t="n"/>
      <s:c r="C25102" s="121" t="n"/>
      <s:c r="D25102" s="121" t="n"/>
      <s:c r="E25102" s="122" t="n"/>
    </s:row>
    <s:row r="25103" hidden="1" ht="1" customHeight="1">
      <s:c r="A25103" s="120" t="inlineStr"/>
      <s:c r="B25103" s="121" t="n"/>
      <s:c r="C25103" s="121" t="n"/>
      <s:c r="D25103" s="121" t="n"/>
      <s:c r="E25103" s="122" t="n"/>
    </s:row>
    <s:row r="25104" hidden="1" ht="1" customHeight="1">
      <s:c r="A25104" s="120" t="inlineStr"/>
      <s:c r="B25104" s="121" t="n"/>
      <s:c r="C25104" s="121" t="n"/>
      <s:c r="D25104" s="121" t="n"/>
      <s:c r="E25104" s="122" t="n"/>
    </s:row>
    <s:row r="25105" hidden="1" ht="1" customHeight="1">
      <s:c r="A25105" s="120" t="inlineStr"/>
      <s:c r="B25105" s="121" t="n"/>
      <s:c r="C25105" s="121" t="n"/>
      <s:c r="D25105" s="121" t="n"/>
      <s:c r="E25105" s="122" t="n"/>
    </s:row>
    <s:row r="25106" hidden="1" ht="1" customHeight="1">
      <s:c r="A25106" s="120" t="inlineStr"/>
      <s:c r="B25106" s="121" t="n"/>
      <s:c r="C25106" s="121" t="n"/>
      <s:c r="D25106" s="121" t="n"/>
      <s:c r="E25106" s="122" t="n"/>
    </s:row>
    <s:row r="25107" hidden="1" ht="1" customHeight="1">
      <s:c r="A25107" s="120" t="inlineStr"/>
      <s:c r="B25107" s="121" t="n"/>
      <s:c r="C25107" s="121" t="n"/>
      <s:c r="D25107" s="121" t="n"/>
      <s:c r="E25107" s="122" t="n"/>
    </s:row>
    <s:row r="25108" hidden="1" ht="1" customHeight="1">
      <s:c r="A25108" s="120" t="inlineStr"/>
      <s:c r="B25108" s="121" t="n"/>
      <s:c r="C25108" s="121" t="n"/>
      <s:c r="D25108" s="121" t="n"/>
      <s:c r="E25108" s="122" t="n"/>
    </s:row>
    <s:row r="25109" hidden="1" ht="1" customHeight="1">
      <s:c r="A25109" s="120" t="inlineStr"/>
      <s:c r="B25109" s="121" t="n"/>
      <s:c r="C25109" s="121" t="n"/>
      <s:c r="D25109" s="121" t="n"/>
      <s:c r="E25109" s="122" t="n"/>
    </s:row>
    <s:row r="25110" hidden="1" ht="1" customHeight="1">
      <s:c r="A25110" s="120" t="inlineStr"/>
      <s:c r="B25110" s="121" t="n"/>
      <s:c r="C25110" s="121" t="n"/>
      <s:c r="D25110" s="121" t="n"/>
      <s:c r="E25110" s="122" t="n"/>
    </s:row>
    <s:row r="25111" hidden="1" ht="1" customHeight="1">
      <s:c r="A25111" s="120" t="inlineStr"/>
      <s:c r="B25111" s="121" t="n"/>
      <s:c r="C25111" s="121" t="n"/>
      <s:c r="D25111" s="121" t="n"/>
      <s:c r="E25111" s="122" t="n"/>
    </s:row>
    <s:row r="25112" hidden="1" ht="1" customHeight="1">
      <s:c r="A25112" s="120" t="inlineStr"/>
      <s:c r="B25112" s="121" t="n"/>
      <s:c r="C25112" s="121" t="n"/>
      <s:c r="D25112" s="121" t="n"/>
      <s:c r="E25112" s="122" t="n"/>
    </s:row>
    <s:row r="25113" hidden="1" ht="1" customHeight="1">
      <s:c r="A25113" s="120" t="inlineStr"/>
      <s:c r="B25113" s="121" t="n"/>
      <s:c r="C25113" s="121" t="n"/>
      <s:c r="D25113" s="121" t="n"/>
      <s:c r="E25113" s="122" t="n"/>
    </s:row>
    <s:row r="25114" hidden="1" ht="1" customHeight="1">
      <s:c r="A25114" s="120" t="inlineStr"/>
      <s:c r="B25114" s="121" t="n"/>
      <s:c r="C25114" s="121" t="n"/>
      <s:c r="D25114" s="121" t="n"/>
      <s:c r="E25114" s="122" t="n"/>
    </s:row>
    <s:row r="25115" hidden="1" ht="1" customHeight="1">
      <s:c r="A25115" s="120" t="inlineStr"/>
      <s:c r="B25115" s="121" t="n"/>
      <s:c r="C25115" s="121" t="n"/>
      <s:c r="D25115" s="121" t="n"/>
      <s:c r="E25115" s="122" t="n"/>
    </s:row>
    <s:row r="25116" hidden="1" ht="1" customHeight="1">
      <s:c r="A25116" s="120" t="inlineStr"/>
      <s:c r="B25116" s="121" t="n"/>
      <s:c r="C25116" s="121" t="n"/>
      <s:c r="D25116" s="121" t="n"/>
      <s:c r="E25116" s="122" t="n"/>
    </s:row>
    <s:row r="25117" hidden="1" ht="1" customHeight="1">
      <s:c r="A25117" s="120" t="inlineStr"/>
      <s:c r="B25117" s="121" t="n"/>
      <s:c r="C25117" s="121" t="n"/>
      <s:c r="D25117" s="121" t="n"/>
      <s:c r="E25117" s="122" t="n"/>
    </s:row>
    <s:row r="25118" hidden="1" ht="1" customHeight="1">
      <s:c r="A25118" s="120" t="inlineStr"/>
      <s:c r="B25118" s="121" t="n"/>
      <s:c r="C25118" s="121" t="n"/>
      <s:c r="D25118" s="121" t="n"/>
      <s:c r="E25118" s="122" t="n"/>
    </s:row>
    <s:row r="25119" hidden="1" ht="1" customHeight="1">
      <s:c r="A25119" s="120" t="inlineStr"/>
      <s:c r="B25119" s="121" t="n"/>
      <s:c r="C25119" s="121" t="n"/>
      <s:c r="D25119" s="121" t="n"/>
      <s:c r="E25119" s="122" t="n"/>
    </s:row>
    <s:row r="25120" hidden="1" ht="1" customHeight="1">
      <s:c r="A25120" s="120" t="inlineStr"/>
      <s:c r="B25120" s="121" t="n"/>
      <s:c r="C25120" s="121" t="n"/>
      <s:c r="D25120" s="121" t="n"/>
      <s:c r="E25120" s="122" t="n"/>
    </s:row>
    <s:row r="25121" hidden="1" ht="1" customHeight="1">
      <s:c r="A25121" s="120" t="inlineStr"/>
      <s:c r="B25121" s="121" t="n"/>
      <s:c r="C25121" s="121" t="n"/>
      <s:c r="D25121" s="121" t="n"/>
      <s:c r="E25121" s="122" t="n"/>
    </s:row>
    <s:row r="25122" hidden="1" ht="1" customHeight="1">
      <s:c r="A25122" s="120" t="inlineStr"/>
      <s:c r="B25122" s="121" t="n"/>
      <s:c r="C25122" s="121" t="n"/>
      <s:c r="D25122" s="121" t="n"/>
      <s:c r="E25122" s="122" t="n"/>
    </s:row>
    <s:row r="25123" hidden="1" ht="1" customHeight="1">
      <s:c r="A25123" s="120" t="inlineStr"/>
      <s:c r="B25123" s="121" t="n"/>
      <s:c r="C25123" s="121" t="n"/>
      <s:c r="D25123" s="121" t="n"/>
      <s:c r="E25123" s="122" t="n"/>
    </s:row>
    <s:row r="25124" hidden="1" ht="1" customHeight="1">
      <s:c r="A25124" s="120" t="inlineStr"/>
      <s:c r="B25124" s="121" t="n"/>
      <s:c r="C25124" s="121" t="n"/>
      <s:c r="D25124" s="121" t="n"/>
      <s:c r="E25124" s="122" t="n"/>
    </s:row>
    <s:row r="25125" hidden="1" ht="1" customHeight="1">
      <s:c r="A25125" s="120" t="inlineStr"/>
      <s:c r="B25125" s="121" t="n"/>
      <s:c r="C25125" s="121" t="n"/>
      <s:c r="D25125" s="121" t="n"/>
      <s:c r="E25125" s="122" t="n"/>
    </s:row>
    <s:row r="25126" hidden="1" ht="1" customHeight="1">
      <s:c r="A25126" s="120" t="inlineStr"/>
      <s:c r="B25126" s="121" t="n"/>
      <s:c r="C25126" s="121" t="n"/>
      <s:c r="D25126" s="121" t="n"/>
      <s:c r="E25126" s="122" t="n"/>
    </s:row>
    <s:row r="25127" hidden="1" ht="1" customHeight="1">
      <s:c r="A25127" s="120" t="inlineStr"/>
      <s:c r="B25127" s="121" t="n"/>
      <s:c r="C25127" s="121" t="n"/>
      <s:c r="D25127" s="121" t="n"/>
      <s:c r="E25127" s="122" t="n"/>
    </s:row>
    <s:row r="25128" hidden="1" ht="1" customHeight="1">
      <s:c r="A25128" s="120" t="inlineStr"/>
      <s:c r="B25128" s="121" t="n"/>
      <s:c r="C25128" s="121" t="n"/>
      <s:c r="D25128" s="121" t="n"/>
      <s:c r="E25128" s="122" t="n"/>
    </s:row>
    <s:row r="25129" hidden="1" ht="1" customHeight="1">
      <s:c r="A25129" s="120" t="inlineStr"/>
      <s:c r="B25129" s="121" t="n"/>
      <s:c r="C25129" s="121" t="n"/>
      <s:c r="D25129" s="121" t="n"/>
      <s:c r="E25129" s="122" t="n"/>
    </s:row>
    <s:row r="25130" hidden="1" ht="1" customHeight="1">
      <s:c r="A25130" s="120" t="inlineStr"/>
      <s:c r="B25130" s="121" t="n"/>
      <s:c r="C25130" s="121" t="n"/>
      <s:c r="D25130" s="121" t="n"/>
      <s:c r="E25130" s="122" t="n"/>
    </s:row>
    <s:row r="25131" hidden="1" ht="1" customHeight="1">
      <s:c r="A25131" s="120" t="inlineStr"/>
      <s:c r="B25131" s="121" t="n"/>
      <s:c r="C25131" s="121" t="n"/>
      <s:c r="D25131" s="121" t="n"/>
      <s:c r="E25131" s="122" t="n"/>
    </s:row>
    <s:row r="25132" hidden="1" ht="1" customHeight="1">
      <s:c r="A25132" s="120" t="inlineStr"/>
      <s:c r="B25132" s="121" t="n"/>
      <s:c r="C25132" s="121" t="n"/>
      <s:c r="D25132" s="121" t="n"/>
      <s:c r="E25132" s="122" t="n"/>
    </s:row>
    <s:row r="25133" hidden="1" ht="1" customHeight="1">
      <s:c r="A25133" s="120" t="inlineStr"/>
      <s:c r="B25133" s="121" t="n"/>
      <s:c r="C25133" s="121" t="n"/>
      <s:c r="D25133" s="121" t="n"/>
      <s:c r="E25133" s="122" t="n"/>
    </s:row>
    <s:row r="25134" hidden="1" ht="1" customHeight="1">
      <s:c r="A25134" s="120" t="inlineStr"/>
      <s:c r="B25134" s="121" t="n"/>
      <s:c r="C25134" s="121" t="n"/>
      <s:c r="D25134" s="121" t="n"/>
      <s:c r="E25134" s="122" t="n"/>
    </s:row>
    <s:row r="25135" hidden="1" ht="1" customHeight="1">
      <s:c r="A25135" s="120" t="inlineStr"/>
      <s:c r="B25135" s="121" t="n"/>
      <s:c r="C25135" s="121" t="n"/>
      <s:c r="D25135" s="121" t="n"/>
      <s:c r="E25135" s="122" t="n"/>
    </s:row>
    <s:row r="25136" hidden="1" ht="1" customHeight="1">
      <s:c r="A25136" s="83" t="inlineStr">
        <s:is>
          <s:t>PASS</s:t>
        </s:is>
      </s:c>
      <s:c r="B25136" s="83">
        <s:f>SUM(IF(EXACT('Kiểm thử'!E24836,"Đạt"),1,0),IF(EXACT('Kiểm thử'!E24838,"Đạt"),1,0),IF(EXACT('Kiểm thử'!E24840,"Đạt"),1,0),IF(EXACT('Kiểm thử'!E24842,"Đạt"),1,0),IF(EXACT('Kiểm thử'!E24844,"Đạt"),1,0),IF(EXACT('Kiểm thử'!E24846,"Đạt"),1,0))</s:f>
        <s:v/>
      </s:c>
      <s:c r="C25136" s="19" t="n"/>
      <s:c r="D25136" s="19" t="n"/>
      <s:c r="E25136" s="19" t="n"/>
    </s:row>
    <s:row r="25137" hidden="1" ht="1" customHeight="1">
      <s:c r="A25137" s="83" t="inlineStr">
        <s:is>
          <s:t>FAIL</s:t>
        </s:is>
      </s:c>
      <s:c r="B25137" s="83">
        <s:f>SUM(IF(EXACT('Kiểm thử'!E24836,"Không đạt"),1,0),IF(EXACT('Kiểm thử'!E24838,"Không đạt"),1,0),IF(EXACT('Kiểm thử'!E24840,"Không đạt"),1,0),IF(EXACT('Kiểm thử'!E24842,"Không đạt"),1,0),IF(EXACT('Kiểm thử'!E24844,"Không đạt"),1,0),IF(EXACT('Kiểm thử'!E24846,"Không đạt"),1,0))</s:f>
        <s:v/>
      </s:c>
      <s:c r="C25137" s="19" t="n"/>
      <s:c r="D25137" s="19" t="n"/>
      <s:c r="E25137" s="19" t="n"/>
    </s:row>
    <s:row r="25138" hidden="1" ht="1" customHeight="1">
      <s:c r="A25138" s="83" t="inlineStr">
        <s:is>
          <s:t>BLOCKED</s:t>
        </s:is>
      </s:c>
      <s:c r="B25138" s="83">
        <s:f>SUM(IF(EXACT('Kiểm thử'!E24836,"Bị chặn"),1,0),IF(EXACT('Kiểm thử'!E24838,"Bị chặn"),1,0),IF(EXACT('Kiểm thử'!E24840,"Bị chặn"),1,0),IF(EXACT('Kiểm thử'!E24842,"Bị chặn"),1,0),IF(EXACT('Kiểm thử'!E24844,"Bị chặn"),1,0),IF(EXACT('Kiểm thử'!E24846,"Bị chặn"),1,0))</s:f>
        <s:v/>
      </s:c>
      <s:c r="C25138" s="19" t="n"/>
      <s:c r="D25138" s="19" t="n"/>
      <s:c r="E25138" s="19" t="n"/>
    </s:row>
    <s:row r="25139" hidden="1" ht="1" customHeight="1">
      <s:c r="A25139" s="83" t="inlineStr">
        <s:is>
          <s:t>SKIPPED</s:t>
        </s:is>
      </s:c>
      <s:c r="B25139" s="83">
        <s:f>SUM(IF(EXACT('Kiểm thử'!E24836,"Không thực hiện"),1,0),IF(EXACT('Kiểm thử'!E24838,"Không thực hiện"),1,0),IF(EXACT('Kiểm thử'!E24840,"Không thực hiện"),1,0),IF(EXACT('Kiểm thử'!E24842,"Không thực hiện"),1,0),IF(EXACT('Kiểm thử'!E24844,"Không thực hiện"),1,0),IF(EXACT('Kiểm thử'!E24846,"Không thực hiện"),1,0))</s:f>
        <s:v/>
      </s:c>
      <s:c r="C25139" s="19" t="n"/>
      <s:c r="D25139" s="19" t="n"/>
      <s:c r="E25139" s="19" t="n"/>
    </s:row>
    <s:row r="25140" hidden="1" ht="1" customHeight="1">
      <s:c r="A25140" s="83" t="inlineStr">
        <s:is>
          <s:t>NOT RUN</s:t>
        </s:is>
      </s:c>
      <s:c r="B25140" s="83">
        <s:f>SUM(IF(EXACT('Kiểm thử'!E24836,"Chưa thực hiện"),1,0),IF(EXACT('Kiểm thử'!E24838,"Chưa thực hiện"),1,0),IF(EXACT('Kiểm thử'!E24840,"Chưa thực hiện"),1,0),IF(EXACT('Kiểm thử'!E24842,"Chưa thực hiện"),1,0),IF(EXACT('Kiểm thử'!E24844,"Chưa thực hiện"),1,0),IF(EXACT('Kiểm thử'!E24846,"Chưa thực hiện"),1,0))</s:f>
        <s:v/>
      </s:c>
      <s:c r="C25140" s="19" t="n"/>
      <s:c r="D25140" s="19" t="n"/>
      <s:c r="E25140" s="19" t="n"/>
    </s:row>
    <s:row r="25141" hidden="1" ht="6" customHeight="1">
      <s:c r="A25141" s="83" t="inlineStr"/>
      <s:c r="B25141" s="19" t="n"/>
      <s:c r="C25141" s="19" t="n"/>
      <s:c r="D25141" s="19" t="n"/>
      <s:c r="E25141" s="19" t="n"/>
    </s:row>
    <s:row r="25142" ht="28" customHeight="1">
      <s:c r="A25142" s="108" t="inlineStr">
        <s:is>
          <s:t>TC-RS-VAL-007 — Xử lý phần lẻ: bắt buộc chọn cách làm tròn; p = 0 / 1 / 9 / 10; lần đầu p=1</s:t>
        </s:is>
      </s:c>
      <s:c r="B25142" s="111" t="n"/>
      <s:c r="C25142" s="111" t="n"/>
      <s:c r="D25142" s="111" t="n"/>
      <s:c r="E25142" s="111" t="n"/>
    </s:row>
    <s:row r="25143" ht="20" customHeight="1">
      <s:c r="A25143" s="112" t="inlineStr">
        <s:is>
          <s:t>Kết quả tình huống</s:t>
        </s:is>
      </s:c>
      <s:c r="B25143" s="113">
        <s:f>IF(SUM(IF(EXACT('Kiểm thử'!E25152,"Không đạt"),1,0),IF(EXACT('Kiểm thử'!E25154,"Không đạt"),1,0),IF(EXACT('Kiểm thử'!E25156,"Không đạt"),1,0),IF(EXACT('Kiểm thử'!E25158,"Không đạt"),1,0),IF(EXACT('Kiểm thử'!E25160,"Không đạt"),1,0),IF(EXACT('Kiểm thử'!E25162,"Không đạt"),1,0))&gt;0,"Không đạt",IF(SUM(IF(EXACT('Kiểm thử'!E25152,"Đạt"),1,0),IF(EXACT('Kiểm thử'!E25154,"Đạt"),1,0),IF(EXACT('Kiểm thử'!E25156,"Đạt"),1,0),IF(EXACT('Kiểm thử'!E25158,"Đạt"),1,0),IF(EXACT('Kiểm thử'!E25160,"Đạt"),1,0),IF(EXACT('Kiểm thử'!E25162,"Đạt"),1,0))=6,"Đạt",IF(SUM(IF(EXACT('Kiểm thử'!E25152,"Không thực hiện"),1,0),IF(EXACT('Kiểm thử'!E25154,"Không thực hiện"),1,0),IF(EXACT('Kiểm thử'!E25156,"Không thực hiện"),1,0),IF(EXACT('Kiểm thử'!E25158,"Không thực hiện"),1,0),IF(EXACT('Kiểm thử'!E25160,"Không thực hiện"),1,0),IF(EXACT('Kiểm thử'!E25162,"Không thực hiện"),1,0))=6,"Không thực hiện",IF(SUM(IF(EXACT('Kiểm thử'!E25152,"Bị chặn"),1,0),IF(EXACT('Kiểm thử'!E25154,"Bị chặn"),1,0),IF(EXACT('Kiểm thử'!E25156,"Bị chặn"),1,0),IF(EXACT('Kiểm thử'!E25158,"Bị chặn"),1,0),IF(EXACT('Kiểm thử'!E25160,"Bị chặn"),1,0),IF(EXACT('Kiểm thử'!E25162,"Bị chặn"),1,0))&gt;0,"Bị chặn",IF(SUM(IF(EXACT('Kiểm thử'!E25152,"Chưa thực hiện"),1,0),IF(EXACT('Kiểm thử'!E25154,"Chưa thực hiện"),1,0),IF(EXACT('Kiểm thử'!E25156,"Chưa thực hiện"),1,0),IF(EXACT('Kiểm thử'!E25158,"Chưa thực hiện"),1,0),IF(EXACT('Kiểm thử'!E25160,"Chưa thực hiện"),1,0),IF(EXACT('Kiểm thử'!E25162,"Chưa thực hiện"),1,0))=6,"Chưa thực hiện","Đang thực hiện")))))</s:f>
        <s:v/>
      </s:c>
      <s:c r="C25143" s="114" t="n"/>
      <s:c r="D25143" s="114" t="n"/>
      <s:c r="E25143" s="114" t="n"/>
    </s:row>
    <s:row r="25144" ht="20" customHeight="1">
      <s:c r="A25144" s="112" t="inlineStr">
        <s:is>
          <s:t>Màn hình / chức năng</s:t>
        </s:is>
      </s:c>
      <s:c r="B25144" s="113" t="inlineStr">
        <s:is>
          <s:r>
            <s:rPr>
              <s:b val="1"/>
            </s:rPr>
            <s:t>Thiết lập ngưỡng（基準設定）</s:t>
          </s:r>
        </s:is>
      </s:c>
      <s:c r="C25144" s="28" t="n"/>
      <s:c r="D25144" s="28" t="n"/>
      <s:c r="E25144" s="28" t="n"/>
    </s:row>
    <s:row r="25145" ht="20" customHeight="1">
      <s:c r="A25145" s="112" t="inlineStr">
        <s:is>
          <s:t>Cấu hình</s:t>
        </s:is>
      </s:c>
      <s:c r="B25145" s="113" t="inlineStr">
        <s:is>
          <s:r>
            <s:t>• Mục số nguyên (</s:t>
          </s:r>
          <s:r>
            <s:rPr>
              <s:b val="1"/>
            </s:rPr>
            <s:t>M=100</s:t>
          </s:r>
          <s:r>
            <s:t>), Tỷ lệ 30%.</s:t>
          </s:r>
        </s:is>
      </s:c>
      <s:c r="C25145" s="28" t="n"/>
      <s:c r="D25145" s="28" t="n"/>
      <s:c r="E25145" s="28" t="n"/>
    </s:row>
    <s:row r="25146" ht="48" customHeight="1">
      <s:c r="A25146" s="112" t="inlineStr">
        <s:is>
          <s:t>Dữ liệu test</s:t>
        </s:is>
      </s:c>
      <s:c r="B25146" s="113" t="inlineStr">
        <s:is>
          <s:r>
            <s:t>• Mục số nguyên (</s:t>
          </s:r>
          <s:r>
            <s:rPr>
              <s:b val="1"/>
            </s:rPr>
            <s:t>M=100</s:t>
          </s:r>
          <s:r>
            <s:t>);
• P = 0, 1, 9, 10;
• Cách làm tròn: chưa chọn</s:t>
          </s:r>
        </s:is>
      </s:c>
      <s:c r="C25146" s="28" t="n"/>
      <s:c r="D25146" s="28" t="n"/>
      <s:c r="E25146" s="28" t="n"/>
    </s:row>
    <s:row r="25147" ht="20" customHeight="1">
      <s:c r="A25147" s="112" t="inlineStr">
        <s:is>
          <s:t>Bước 1</s:t>
        </s:is>
      </s:c>
      <s:c r="B25147" s="113" t="inlineStr">
        <s:is>
          <s:r>
            <s:t xml:space="preserve">Bật </s:t>
          </s:r>
          <s:r>
            <s:rPr>
              <s:b val="1"/>
            </s:rPr>
            <s:t>Xử lý phần lẻ（端数処理）</s:t>
          </s:r>
          <s:r>
            <s:t>: quan sát giá trị p mặc định.</s:t>
          </s:r>
        </s:is>
      </s:c>
      <s:c r="C25147" s="28" t="n"/>
      <s:c r="D25147" s="28" t="n"/>
      <s:c r="E25147" s="28" t="n"/>
    </s:row>
    <s:row r="25148" ht="20" customHeight="1">
      <s:c r="A25148" s="112" t="inlineStr">
        <s:is>
          <s:t>Bước 2</s:t>
        </s:is>
      </s:c>
      <s:c r="B25148" s="113" t="inlineStr">
        <s:is>
          <s:t>Không chọn cách làm tròn, Lưu.</s:t>
        </s:is>
      </s:c>
      <s:c r="C25148" s="28" t="n"/>
      <s:c r="D25148" s="28" t="n"/>
      <s:c r="E25148" s="28" t="n"/>
    </s:row>
    <s:row r="25149" ht="20" customHeight="1">
      <s:c r="A25149" s="112" t="inlineStr">
        <s:is>
          <s:t>Bước 3</s:t>
        </s:is>
      </s:c>
      <s:c r="B25149" s="113" t="inlineStr">
        <s:is>
          <s:r>
            <s:rPr>
              <s:b val="1"/>
            </s:rPr>
            <s:t>Chọn Làm tròn xuống（切り捨て）</s:t>
          </s:r>
          <s:r>
            <s:t xml:space="preserve"> với p=0, 1, 9, 10; Lưu từng lần.</s:t>
          </s:r>
        </s:is>
      </s:c>
      <s:c r="C25149" s="28" t="n"/>
      <s:c r="D25149" s="28" t="n"/>
      <s:c r="E25149" s="28" t="n"/>
    </s:row>
    <s:row r="25150" ht="28" customHeight="1">
      <s:c r="A25150" s="115" t="inlineStr">
        <s:is>
          <s:t>Trường hợp</s:t>
        </s:is>
      </s:c>
      <s:c r="B25150" s="115" t="inlineStr">
        <s:is>
          <s:t>Dữ liệu / thao tác riêng</s:t>
        </s:is>
      </s:c>
      <s:c r="C25150" s="115" t="inlineStr">
        <s:is>
          <s:t>Kết quả mong đợi</s:t>
        </s:is>
      </s:c>
      <s:c r="D25150" s="115" t="inlineStr">
        <s:is>
          <s:t>Kết quả thực tế</s:t>
        </s:is>
      </s:c>
      <s:c r="E25150" s="115" t="inlineStr">
        <s:is>
          <s:t>Đánh giá</s:t>
        </s:is>
      </s:c>
    </s:row>
    <s:row r="25151" ht="3" customHeight="1">
      <s:c r="A25151" s="102" t="inlineStr"/>
      <s:c r="B25151" s="99" t="n"/>
      <s:c r="C25151" s="99" t="n"/>
      <s:c r="D25151" s="116" t="n"/>
      <s:c r="E25151" s="116" t="n"/>
    </s:row>
    <s:row r="25152" ht="34" customHeight="1">
      <s:c r="A25152" s="83" t="inlineStr">
        <s:is>
          <s:t>Giá trị p mặc định (default)</s:t>
        </s:is>
      </s:c>
      <s:c r="B25152" s="83" t="inlineStr">
        <s:is>
          <s:r>
            <s:t xml:space="preserve">Tỷ lệ30%; bật </s:t>
          </s:r>
          <s:r>
            <s:rPr>
              <s:b val="1"/>
            </s:rPr>
            <s:t>Xử lý phần lẻ（端数処理）</s:t>
          </s:r>
          <s:r>
            <s:t xml:space="preserve"> và đọc p, chưa sửa.</s:t>
          </s:r>
        </s:is>
      </s:c>
      <s:c r="C25152" s="83" t="inlineStr">
        <s:is>
          <s:r>
            <s:t xml:space="preserve">Khi bật </s:t>
          </s:r>
          <s:r>
            <s:rPr>
              <s:b val="1"/>
            </s:rPr>
            <s:t>Xử lý phần lẻ（端数処理）</s:t>
          </s:r>
          <s:r>
            <s:t>, p mặc định=1.</s:t>
          </s:r>
        </s:is>
      </s:c>
      <s:c r="D25152" s="117" t="inlineStr"/>
      <s:c r="E25152" s="118" t="inlineStr">
        <s:is>
          <s:t>Chưa thực hiện</s:t>
        </s:is>
      </s:c>
    </s:row>
    <s:row r="25153" ht="3" customHeight="1">
      <s:c r="A25153" s="102" t="inlineStr"/>
      <s:c r="B25153" s="99" t="n"/>
      <s:c r="C25153" s="99" t="n"/>
      <s:c r="D25153" s="116" t="n"/>
      <s:c r="E25153" s="116" t="n"/>
    </s:row>
    <s:row r="25154" ht="48" customHeight="1">
      <s:c r="A25154" s="83" t="inlineStr">
        <s:is>
          <s:t>Thiếu cách làm tròn (missing-method)</s:t>
        </s:is>
      </s:c>
      <s:c r="B25154" s="83" t="inlineStr">
        <s:is>
          <s:t>Tỷ lệ30%; bật Xử lý phần lẻ nhưng chưa chọn cách làm tròn, bấm Lưu.</s:t>
        </s:is>
      </s:c>
      <s:c r="C25154" s="83" t="inlineStr">
        <s:is>
          <s:t>Chưa chọn cách làm tròn: không lưu được.</s:t>
        </s:is>
      </s:c>
      <s:c r="D25154" s="117" t="inlineStr"/>
      <s:c r="E25154" s="118" t="inlineStr">
        <s:is>
          <s:t>Chưa thực hiện</s:t>
        </s:is>
      </s:c>
    </s:row>
    <s:row r="25155" ht="3" customHeight="1">
      <s:c r="A25155" s="102" t="inlineStr"/>
      <s:c r="B25155" s="99" t="n"/>
      <s:c r="C25155" s="99" t="n"/>
      <s:c r="D25155" s="116" t="n"/>
      <s:c r="E25155" s="116" t="n"/>
    </s:row>
    <s:row r="25156" ht="34" customHeight="1">
      <s:c r="A25156" s="83" t="inlineStr">
        <s:is>
          <s:t>P dưới giới hạn (p0)</s:t>
        </s:is>
      </s:c>
      <s:c r="B25156" s="83" t="inlineStr">
        <s:is>
          <s:r>
            <s:t xml:space="preserve">Tỷ lệ30%; </s:t>
          </s:r>
          <s:r>
            <s:rPr>
              <s:b val="1"/>
            </s:rPr>
            <s:t>chọn Làm tròn xuống（切り捨て）</s:t>
          </s:r>
          <s:r>
            <s:t>, nhập p=0, bấm Lưu.</s:t>
          </s:r>
        </s:is>
      </s:c>
      <s:c r="C25156" s="83" t="inlineStr">
        <s:is>
          <s:r>
            <s:rPr>
              <s:b val="1"/>
            </s:rPr>
            <s:t>P=0</s:t>
          </s:r>
          <s:r>
            <s:t>: không lưu được.</s:t>
          </s:r>
        </s:is>
      </s:c>
      <s:c r="D25156" s="117" t="inlineStr"/>
      <s:c r="E25156" s="118" t="inlineStr">
        <s:is>
          <s:t>Chưa thực hiện</s:t>
        </s:is>
      </s:c>
    </s:row>
    <s:row r="25157" ht="3" customHeight="1">
      <s:c r="A25157" s="102" t="inlineStr"/>
      <s:c r="B25157" s="99" t="n"/>
      <s:c r="C25157" s="99" t="n"/>
      <s:c r="D25157" s="116" t="n"/>
      <s:c r="E25157" s="116" t="n"/>
    </s:row>
    <s:row r="25158" ht="34" customHeight="1">
      <s:c r="A25158" s="83" t="inlineStr">
        <s:is>
          <s:t>P ở giới hạn dưới (p1)</s:t>
        </s:is>
      </s:c>
      <s:c r="B25158" s="83" t="inlineStr">
        <s:is>
          <s:r>
            <s:t xml:space="preserve">Tỷ lệ30%; </s:t>
          </s:r>
          <s:r>
            <s:rPr>
              <s:b val="1"/>
            </s:rPr>
            <s:t>chọn Làm tròn xuống（切り捨て）</s:t>
          </s:r>
          <s:r>
            <s:t>, nhập p=1, bấm Lưu.</s:t>
          </s:r>
        </s:is>
      </s:c>
      <s:c r="C25158" s="83" t="inlineStr">
        <s:is>
          <s:r>
            <s:rPr>
              <s:b val="1"/>
            </s:rPr>
            <s:t>P=1</s:t>
          </s:r>
          <s:r>
            <s:t>: lưu được.</s:t>
          </s:r>
        </s:is>
      </s:c>
      <s:c r="D25158" s="117" t="inlineStr"/>
      <s:c r="E25158" s="118" t="inlineStr">
        <s:is>
          <s:t>Chưa thực hiện</s:t>
        </s:is>
      </s:c>
    </s:row>
    <s:row r="25159" ht="3" customHeight="1">
      <s:c r="A25159" s="102" t="inlineStr"/>
      <s:c r="B25159" s="99" t="n"/>
      <s:c r="C25159" s="99" t="n"/>
      <s:c r="D25159" s="116" t="n"/>
      <s:c r="E25159" s="116" t="n"/>
    </s:row>
    <s:row r="25160" ht="34" customHeight="1">
      <s:c r="A25160" s="83" t="inlineStr">
        <s:is>
          <s:t>P ở giới hạn trên (p9)</s:t>
        </s:is>
      </s:c>
      <s:c r="B25160" s="83" t="inlineStr">
        <s:is>
          <s:r>
            <s:t xml:space="preserve">Tỷ lệ30%; </s:t>
          </s:r>
          <s:r>
            <s:rPr>
              <s:b val="1"/>
            </s:rPr>
            <s:t>chọn Làm tròn xuống（切り捨て）</s:t>
          </s:r>
          <s:r>
            <s:t>, nhập p=9, bấm Lưu.</s:t>
          </s:r>
        </s:is>
      </s:c>
      <s:c r="C25160" s="83" t="inlineStr">
        <s:is>
          <s:r>
            <s:rPr>
              <s:b val="1"/>
            </s:rPr>
            <s:t>P=9</s:t>
          </s:r>
          <s:r>
            <s:t>: lưu được.</s:t>
          </s:r>
        </s:is>
      </s:c>
      <s:c r="D25160" s="117" t="inlineStr"/>
      <s:c r="E25160" s="118" t="inlineStr">
        <s:is>
          <s:t>Chưa thực hiện</s:t>
        </s:is>
      </s:c>
    </s:row>
    <s:row r="25161" ht="3" customHeight="1">
      <s:c r="A25161" s="102" t="inlineStr"/>
      <s:c r="B25161" s="99" t="n"/>
      <s:c r="C25161" s="99" t="n"/>
      <s:c r="D25161" s="116" t="n"/>
      <s:c r="E25161" s="116" t="n"/>
    </s:row>
    <s:row r="25162" ht="34" customHeight="1">
      <s:c r="A25162" s="83" t="inlineStr">
        <s:is>
          <s:t>P vượt giới hạn (p10)</s:t>
        </s:is>
      </s:c>
      <s:c r="B25162" s="83" t="inlineStr">
        <s:is>
          <s:r>
            <s:t xml:space="preserve">Tỷ lệ30%; </s:t>
          </s:r>
          <s:r>
            <s:rPr>
              <s:b val="1"/>
            </s:rPr>
            <s:t>chọn Làm tròn xuống（切り捨て）</s:t>
          </s:r>
          <s:r>
            <s:t>, nhập p=10, bấm Lưu.</s:t>
          </s:r>
        </s:is>
      </s:c>
      <s:c r="C25162" s="83" t="inlineStr">
        <s:is>
          <s:r>
            <s:rPr>
              <s:b val="1"/>
            </s:rPr>
            <s:t>P=10</s:t>
          </s:r>
          <s:r>
            <s:t>: không lưu được.</s:t>
          </s:r>
        </s:is>
      </s:c>
      <s:c r="D25162" s="117" t="inlineStr"/>
      <s:c r="E25162" s="118" t="inlineStr">
        <s:is>
          <s:t>Chưa thực hiện</s:t>
        </s:is>
      </s:c>
    </s:row>
    <s:row r="25163" ht="20" customHeight="1">
      <s:c r="A25163" s="119" t="inlineStr">
        <s:is>
          <s:t>Ảnh minh chứng — Chưa có ảnh</s:t>
        </s:is>
      </s:c>
      <s:c r="B25163" s="19" t="n"/>
      <s:c r="C25163" s="19" t="n"/>
      <s:c r="D25163" s="19" t="n"/>
      <s:c r="E25163" s="19" t="n"/>
    </s:row>
    <s:row r="25164" hidden="1" ht="1" customHeight="1">
      <s:c r="A25164" s="120" t="inlineStr"/>
      <s:c r="B25164" s="121" t="n"/>
      <s:c r="C25164" s="121" t="n"/>
      <s:c r="D25164" s="121" t="n"/>
      <s:c r="E25164" s="122" t="n"/>
    </s:row>
    <s:row r="25165" hidden="1" ht="1" customHeight="1">
      <s:c r="A25165" s="120" t="inlineStr"/>
      <s:c r="B25165" s="121" t="n"/>
      <s:c r="C25165" s="121" t="n"/>
      <s:c r="D25165" s="121" t="n"/>
      <s:c r="E25165" s="122" t="n"/>
    </s:row>
    <s:row r="25166" hidden="1" ht="1" customHeight="1">
      <s:c r="A25166" s="120" t="inlineStr"/>
      <s:c r="B25166" s="121" t="n"/>
      <s:c r="C25166" s="121" t="n"/>
      <s:c r="D25166" s="121" t="n"/>
      <s:c r="E25166" s="122" t="n"/>
    </s:row>
    <s:row r="25167" hidden="1" ht="1" customHeight="1">
      <s:c r="A25167" s="120" t="inlineStr"/>
      <s:c r="B25167" s="121" t="n"/>
      <s:c r="C25167" s="121" t="n"/>
      <s:c r="D25167" s="121" t="n"/>
      <s:c r="E25167" s="122" t="n"/>
    </s:row>
    <s:row r="25168" hidden="1" ht="1" customHeight="1">
      <s:c r="A25168" s="120" t="inlineStr"/>
      <s:c r="B25168" s="121" t="n"/>
      <s:c r="C25168" s="121" t="n"/>
      <s:c r="D25168" s="121" t="n"/>
      <s:c r="E25168" s="122" t="n"/>
    </s:row>
    <s:row r="25169" hidden="1" ht="1" customHeight="1">
      <s:c r="A25169" s="120" t="inlineStr"/>
      <s:c r="B25169" s="121" t="n"/>
      <s:c r="C25169" s="121" t="n"/>
      <s:c r="D25169" s="121" t="n"/>
      <s:c r="E25169" s="122" t="n"/>
    </s:row>
    <s:row r="25170" hidden="1" ht="1" customHeight="1">
      <s:c r="A25170" s="120" t="inlineStr"/>
      <s:c r="B25170" s="121" t="n"/>
      <s:c r="C25170" s="121" t="n"/>
      <s:c r="D25170" s="121" t="n"/>
      <s:c r="E25170" s="122" t="n"/>
    </s:row>
    <s:row r="25171" hidden="1" ht="1" customHeight="1">
      <s:c r="A25171" s="120" t="inlineStr"/>
      <s:c r="B25171" s="121" t="n"/>
      <s:c r="C25171" s="121" t="n"/>
      <s:c r="D25171" s="121" t="n"/>
      <s:c r="E25171" s="122" t="n"/>
    </s:row>
    <s:row r="25172" hidden="1" ht="1" customHeight="1">
      <s:c r="A25172" s="120" t="inlineStr"/>
      <s:c r="B25172" s="121" t="n"/>
      <s:c r="C25172" s="121" t="n"/>
      <s:c r="D25172" s="121" t="n"/>
      <s:c r="E25172" s="122" t="n"/>
    </s:row>
    <s:row r="25173" hidden="1" ht="1" customHeight="1">
      <s:c r="A25173" s="120" t="inlineStr"/>
      <s:c r="B25173" s="121" t="n"/>
      <s:c r="C25173" s="121" t="n"/>
      <s:c r="D25173" s="121" t="n"/>
      <s:c r="E25173" s="122" t="n"/>
    </s:row>
    <s:row r="25174" hidden="1" ht="1" customHeight="1">
      <s:c r="A25174" s="120" t="inlineStr"/>
      <s:c r="B25174" s="121" t="n"/>
      <s:c r="C25174" s="121" t="n"/>
      <s:c r="D25174" s="121" t="n"/>
      <s:c r="E25174" s="122" t="n"/>
    </s:row>
    <s:row r="25175" hidden="1" ht="1" customHeight="1">
      <s:c r="A25175" s="120" t="inlineStr"/>
      <s:c r="B25175" s="121" t="n"/>
      <s:c r="C25175" s="121" t="n"/>
      <s:c r="D25175" s="121" t="n"/>
      <s:c r="E25175" s="122" t="n"/>
    </s:row>
    <s:row r="25176" hidden="1" ht="1" customHeight="1">
      <s:c r="A25176" s="120" t="inlineStr"/>
      <s:c r="B25176" s="121" t="n"/>
      <s:c r="C25176" s="121" t="n"/>
      <s:c r="D25176" s="121" t="n"/>
      <s:c r="E25176" s="122" t="n"/>
    </s:row>
    <s:row r="25177" hidden="1" ht="1" customHeight="1">
      <s:c r="A25177" s="120" t="inlineStr"/>
      <s:c r="B25177" s="121" t="n"/>
      <s:c r="C25177" s="121" t="n"/>
      <s:c r="D25177" s="121" t="n"/>
      <s:c r="E25177" s="122" t="n"/>
    </s:row>
    <s:row r="25178" hidden="1" ht="1" customHeight="1">
      <s:c r="A25178" s="120" t="inlineStr"/>
      <s:c r="B25178" s="121" t="n"/>
      <s:c r="C25178" s="121" t="n"/>
      <s:c r="D25178" s="121" t="n"/>
      <s:c r="E25178" s="122" t="n"/>
    </s:row>
    <s:row r="25179" hidden="1" ht="1" customHeight="1">
      <s:c r="A25179" s="120" t="inlineStr"/>
      <s:c r="B25179" s="121" t="n"/>
      <s:c r="C25179" s="121" t="n"/>
      <s:c r="D25179" s="121" t="n"/>
      <s:c r="E25179" s="122" t="n"/>
    </s:row>
    <s:row r="25180" hidden="1" ht="1" customHeight="1">
      <s:c r="A25180" s="120" t="inlineStr"/>
      <s:c r="B25180" s="121" t="n"/>
      <s:c r="C25180" s="121" t="n"/>
      <s:c r="D25180" s="121" t="n"/>
      <s:c r="E25180" s="122" t="n"/>
    </s:row>
    <s:row r="25181" hidden="1" ht="1" customHeight="1">
      <s:c r="A25181" s="120" t="inlineStr"/>
      <s:c r="B25181" s="121" t="n"/>
      <s:c r="C25181" s="121" t="n"/>
      <s:c r="D25181" s="121" t="n"/>
      <s:c r="E25181" s="122" t="n"/>
    </s:row>
    <s:row r="25182" hidden="1" ht="1" customHeight="1">
      <s:c r="A25182" s="120" t="inlineStr"/>
      <s:c r="B25182" s="121" t="n"/>
      <s:c r="C25182" s="121" t="n"/>
      <s:c r="D25182" s="121" t="n"/>
      <s:c r="E25182" s="122" t="n"/>
    </s:row>
    <s:row r="25183" hidden="1" ht="1" customHeight="1">
      <s:c r="A25183" s="120" t="inlineStr"/>
      <s:c r="B25183" s="121" t="n"/>
      <s:c r="C25183" s="121" t="n"/>
      <s:c r="D25183" s="121" t="n"/>
      <s:c r="E25183" s="122" t="n"/>
    </s:row>
    <s:row r="25184" hidden="1" ht="1" customHeight="1">
      <s:c r="A25184" s="120" t="inlineStr"/>
      <s:c r="B25184" s="121" t="n"/>
      <s:c r="C25184" s="121" t="n"/>
      <s:c r="D25184" s="121" t="n"/>
      <s:c r="E25184" s="122" t="n"/>
    </s:row>
    <s:row r="25185" hidden="1" ht="1" customHeight="1">
      <s:c r="A25185" s="120" t="inlineStr"/>
      <s:c r="B25185" s="121" t="n"/>
      <s:c r="C25185" s="121" t="n"/>
      <s:c r="D25185" s="121" t="n"/>
      <s:c r="E25185" s="122" t="n"/>
    </s:row>
    <s:row r="25186" hidden="1" ht="1" customHeight="1">
      <s:c r="A25186" s="120" t="inlineStr"/>
      <s:c r="B25186" s="121" t="n"/>
      <s:c r="C25186" s="121" t="n"/>
      <s:c r="D25186" s="121" t="n"/>
      <s:c r="E25186" s="122" t="n"/>
    </s:row>
    <s:row r="25187" hidden="1" ht="1" customHeight="1">
      <s:c r="A25187" s="120" t="inlineStr"/>
      <s:c r="B25187" s="121" t="n"/>
      <s:c r="C25187" s="121" t="n"/>
      <s:c r="D25187" s="121" t="n"/>
      <s:c r="E25187" s="122" t="n"/>
    </s:row>
    <s:row r="25188" hidden="1" ht="1" customHeight="1">
      <s:c r="A25188" s="120" t="inlineStr"/>
      <s:c r="B25188" s="121" t="n"/>
      <s:c r="C25188" s="121" t="n"/>
      <s:c r="D25188" s="121" t="n"/>
      <s:c r="E25188" s="122" t="n"/>
    </s:row>
    <s:row r="25189" hidden="1" ht="1" customHeight="1">
      <s:c r="A25189" s="120" t="inlineStr"/>
      <s:c r="B25189" s="121" t="n"/>
      <s:c r="C25189" s="121" t="n"/>
      <s:c r="D25189" s="121" t="n"/>
      <s:c r="E25189" s="122" t="n"/>
    </s:row>
    <s:row r="25190" hidden="1" ht="1" customHeight="1">
      <s:c r="A25190" s="120" t="inlineStr"/>
      <s:c r="B25190" s="121" t="n"/>
      <s:c r="C25190" s="121" t="n"/>
      <s:c r="D25190" s="121" t="n"/>
      <s:c r="E25190" s="122" t="n"/>
    </s:row>
    <s:row r="25191" hidden="1" ht="1" customHeight="1">
      <s:c r="A25191" s="120" t="inlineStr"/>
      <s:c r="B25191" s="121" t="n"/>
      <s:c r="C25191" s="121" t="n"/>
      <s:c r="D25191" s="121" t="n"/>
      <s:c r="E25191" s="122" t="n"/>
    </s:row>
    <s:row r="25192" hidden="1" ht="1" customHeight="1">
      <s:c r="A25192" s="120" t="inlineStr"/>
      <s:c r="B25192" s="121" t="n"/>
      <s:c r="C25192" s="121" t="n"/>
      <s:c r="D25192" s="121" t="n"/>
      <s:c r="E25192" s="122" t="n"/>
    </s:row>
    <s:row r="25193" hidden="1" ht="1" customHeight="1">
      <s:c r="A25193" s="120" t="inlineStr"/>
      <s:c r="B25193" s="121" t="n"/>
      <s:c r="C25193" s="121" t="n"/>
      <s:c r="D25193" s="121" t="n"/>
      <s:c r="E25193" s="122" t="n"/>
    </s:row>
    <s:row r="25194" hidden="1" ht="1" customHeight="1">
      <s:c r="A25194" s="120" t="inlineStr"/>
      <s:c r="B25194" s="121" t="n"/>
      <s:c r="C25194" s="121" t="n"/>
      <s:c r="D25194" s="121" t="n"/>
      <s:c r="E25194" s="122" t="n"/>
    </s:row>
    <s:row r="25195" hidden="1" ht="1" customHeight="1">
      <s:c r="A25195" s="120" t="inlineStr"/>
      <s:c r="B25195" s="121" t="n"/>
      <s:c r="C25195" s="121" t="n"/>
      <s:c r="D25195" s="121" t="n"/>
      <s:c r="E25195" s="122" t="n"/>
    </s:row>
    <s:row r="25196" hidden="1" ht="1" customHeight="1">
      <s:c r="A25196" s="120" t="inlineStr"/>
      <s:c r="B25196" s="121" t="n"/>
      <s:c r="C25196" s="121" t="n"/>
      <s:c r="D25196" s="121" t="n"/>
      <s:c r="E25196" s="122" t="n"/>
    </s:row>
    <s:row r="25197" hidden="1" ht="1" customHeight="1">
      <s:c r="A25197" s="120" t="inlineStr"/>
      <s:c r="B25197" s="121" t="n"/>
      <s:c r="C25197" s="121" t="n"/>
      <s:c r="D25197" s="121" t="n"/>
      <s:c r="E25197" s="122" t="n"/>
    </s:row>
    <s:row r="25198" hidden="1" ht="1" customHeight="1">
      <s:c r="A25198" s="120" t="inlineStr"/>
      <s:c r="B25198" s="121" t="n"/>
      <s:c r="C25198" s="121" t="n"/>
      <s:c r="D25198" s="121" t="n"/>
      <s:c r="E25198" s="122" t="n"/>
    </s:row>
    <s:row r="25199" hidden="1" ht="1" customHeight="1">
      <s:c r="A25199" s="120" t="inlineStr"/>
      <s:c r="B25199" s="121" t="n"/>
      <s:c r="C25199" s="121" t="n"/>
      <s:c r="D25199" s="121" t="n"/>
      <s:c r="E25199" s="122" t="n"/>
    </s:row>
    <s:row r="25200" hidden="1" ht="1" customHeight="1">
      <s:c r="A25200" s="120" t="inlineStr"/>
      <s:c r="B25200" s="121" t="n"/>
      <s:c r="C25200" s="121" t="n"/>
      <s:c r="D25200" s="121" t="n"/>
      <s:c r="E25200" s="122" t="n"/>
    </s:row>
    <s:row r="25201" hidden="1" ht="1" customHeight="1">
      <s:c r="A25201" s="120" t="inlineStr"/>
      <s:c r="B25201" s="121" t="n"/>
      <s:c r="C25201" s="121" t="n"/>
      <s:c r="D25201" s="121" t="n"/>
      <s:c r="E25201" s="122" t="n"/>
    </s:row>
    <s:row r="25202" hidden="1" ht="1" customHeight="1">
      <s:c r="A25202" s="120" t="inlineStr"/>
      <s:c r="B25202" s="121" t="n"/>
      <s:c r="C25202" s="121" t="n"/>
      <s:c r="D25202" s="121" t="n"/>
      <s:c r="E25202" s="122" t="n"/>
    </s:row>
    <s:row r="25203" hidden="1" ht="1" customHeight="1">
      <s:c r="A25203" s="120" t="inlineStr"/>
      <s:c r="B25203" s="121" t="n"/>
      <s:c r="C25203" s="121" t="n"/>
      <s:c r="D25203" s="121" t="n"/>
      <s:c r="E25203" s="122" t="n"/>
    </s:row>
    <s:row r="25204" hidden="1" ht="1" customHeight="1">
      <s:c r="A25204" s="120" t="inlineStr"/>
      <s:c r="B25204" s="121" t="n"/>
      <s:c r="C25204" s="121" t="n"/>
      <s:c r="D25204" s="121" t="n"/>
      <s:c r="E25204" s="122" t="n"/>
    </s:row>
    <s:row r="25205" hidden="1" ht="1" customHeight="1">
      <s:c r="A25205" s="120" t="inlineStr"/>
      <s:c r="B25205" s="121" t="n"/>
      <s:c r="C25205" s="121" t="n"/>
      <s:c r="D25205" s="121" t="n"/>
      <s:c r="E25205" s="122" t="n"/>
    </s:row>
    <s:row r="25206" hidden="1" ht="1" customHeight="1">
      <s:c r="A25206" s="120" t="inlineStr"/>
      <s:c r="B25206" s="121" t="n"/>
      <s:c r="C25206" s="121" t="n"/>
      <s:c r="D25206" s="121" t="n"/>
      <s:c r="E25206" s="122" t="n"/>
    </s:row>
    <s:row r="25207" hidden="1" ht="1" customHeight="1">
      <s:c r="A25207" s="120" t="inlineStr"/>
      <s:c r="B25207" s="121" t="n"/>
      <s:c r="C25207" s="121" t="n"/>
      <s:c r="D25207" s="121" t="n"/>
      <s:c r="E25207" s="122" t="n"/>
    </s:row>
    <s:row r="25208" hidden="1" ht="1" customHeight="1">
      <s:c r="A25208" s="120" t="inlineStr"/>
      <s:c r="B25208" s="121" t="n"/>
      <s:c r="C25208" s="121" t="n"/>
      <s:c r="D25208" s="121" t="n"/>
      <s:c r="E25208" s="122" t="n"/>
    </s:row>
    <s:row r="25209" hidden="1" ht="1" customHeight="1">
      <s:c r="A25209" s="120" t="inlineStr"/>
      <s:c r="B25209" s="121" t="n"/>
      <s:c r="C25209" s="121" t="n"/>
      <s:c r="D25209" s="121" t="n"/>
      <s:c r="E25209" s="122" t="n"/>
    </s:row>
    <s:row r="25210" hidden="1" ht="1" customHeight="1">
      <s:c r="A25210" s="120" t="inlineStr"/>
      <s:c r="B25210" s="121" t="n"/>
      <s:c r="C25210" s="121" t="n"/>
      <s:c r="D25210" s="121" t="n"/>
      <s:c r="E25210" s="122" t="n"/>
    </s:row>
    <s:row r="25211" hidden="1" ht="1" customHeight="1">
      <s:c r="A25211" s="120" t="inlineStr"/>
      <s:c r="B25211" s="121" t="n"/>
      <s:c r="C25211" s="121" t="n"/>
      <s:c r="D25211" s="121" t="n"/>
      <s:c r="E25211" s="122" t="n"/>
    </s:row>
    <s:row r="25212" hidden="1" ht="1" customHeight="1">
      <s:c r="A25212" s="120" t="inlineStr"/>
      <s:c r="B25212" s="121" t="n"/>
      <s:c r="C25212" s="121" t="n"/>
      <s:c r="D25212" s="121" t="n"/>
      <s:c r="E25212" s="122" t="n"/>
    </s:row>
    <s:row r="25213" hidden="1" ht="1" customHeight="1">
      <s:c r="A25213" s="120" t="inlineStr"/>
      <s:c r="B25213" s="121" t="n"/>
      <s:c r="C25213" s="121" t="n"/>
      <s:c r="D25213" s="121" t="n"/>
      <s:c r="E25213" s="122" t="n"/>
    </s:row>
    <s:row r="25214" hidden="1" ht="1" customHeight="1">
      <s:c r="A25214" s="120" t="inlineStr"/>
      <s:c r="B25214" s="121" t="n"/>
      <s:c r="C25214" s="121" t="n"/>
      <s:c r="D25214" s="121" t="n"/>
      <s:c r="E25214" s="122" t="n"/>
    </s:row>
    <s:row r="25215" hidden="1" ht="1" customHeight="1">
      <s:c r="A25215" s="120" t="inlineStr"/>
      <s:c r="B25215" s="121" t="n"/>
      <s:c r="C25215" s="121" t="n"/>
      <s:c r="D25215" s="121" t="n"/>
      <s:c r="E25215" s="122" t="n"/>
    </s:row>
    <s:row r="25216" hidden="1" ht="1" customHeight="1">
      <s:c r="A25216" s="120" t="inlineStr"/>
      <s:c r="B25216" s="121" t="n"/>
      <s:c r="C25216" s="121" t="n"/>
      <s:c r="D25216" s="121" t="n"/>
      <s:c r="E25216" s="122" t="n"/>
    </s:row>
    <s:row r="25217" hidden="1" ht="1" customHeight="1">
      <s:c r="A25217" s="120" t="inlineStr"/>
      <s:c r="B25217" s="121" t="n"/>
      <s:c r="C25217" s="121" t="n"/>
      <s:c r="D25217" s="121" t="n"/>
      <s:c r="E25217" s="122" t="n"/>
    </s:row>
    <s:row r="25218" hidden="1" ht="1" customHeight="1">
      <s:c r="A25218" s="120" t="inlineStr"/>
      <s:c r="B25218" s="121" t="n"/>
      <s:c r="C25218" s="121" t="n"/>
      <s:c r="D25218" s="121" t="n"/>
      <s:c r="E25218" s="122" t="n"/>
    </s:row>
    <s:row r="25219" hidden="1" ht="1" customHeight="1">
      <s:c r="A25219" s="120" t="inlineStr"/>
      <s:c r="B25219" s="121" t="n"/>
      <s:c r="C25219" s="121" t="n"/>
      <s:c r="D25219" s="121" t="n"/>
      <s:c r="E25219" s="122" t="n"/>
    </s:row>
    <s:row r="25220" hidden="1" ht="1" customHeight="1">
      <s:c r="A25220" s="120" t="inlineStr"/>
      <s:c r="B25220" s="121" t="n"/>
      <s:c r="C25220" s="121" t="n"/>
      <s:c r="D25220" s="121" t="n"/>
      <s:c r="E25220" s="122" t="n"/>
    </s:row>
    <s:row r="25221" hidden="1" ht="1" customHeight="1">
      <s:c r="A25221" s="120" t="inlineStr"/>
      <s:c r="B25221" s="121" t="n"/>
      <s:c r="C25221" s="121" t="n"/>
      <s:c r="D25221" s="121" t="n"/>
      <s:c r="E25221" s="122" t="n"/>
    </s:row>
    <s:row r="25222" hidden="1" ht="1" customHeight="1">
      <s:c r="A25222" s="120" t="inlineStr"/>
      <s:c r="B25222" s="121" t="n"/>
      <s:c r="C25222" s="121" t="n"/>
      <s:c r="D25222" s="121" t="n"/>
      <s:c r="E25222" s="122" t="n"/>
    </s:row>
    <s:row r="25223" hidden="1" ht="1" customHeight="1">
      <s:c r="A25223" s="120" t="inlineStr"/>
      <s:c r="B25223" s="121" t="n"/>
      <s:c r="C25223" s="121" t="n"/>
      <s:c r="D25223" s="121" t="n"/>
      <s:c r="E25223" s="122" t="n"/>
    </s:row>
    <s:row r="25224" hidden="1" ht="1" customHeight="1">
      <s:c r="A25224" s="120" t="inlineStr"/>
      <s:c r="B25224" s="121" t="n"/>
      <s:c r="C25224" s="121" t="n"/>
      <s:c r="D25224" s="121" t="n"/>
      <s:c r="E25224" s="122" t="n"/>
    </s:row>
    <s:row r="25225" hidden="1" ht="1" customHeight="1">
      <s:c r="A25225" s="120" t="inlineStr"/>
      <s:c r="B25225" s="121" t="n"/>
      <s:c r="C25225" s="121" t="n"/>
      <s:c r="D25225" s="121" t="n"/>
      <s:c r="E25225" s="122" t="n"/>
    </s:row>
    <s:row r="25226" hidden="1" ht="1" customHeight="1">
      <s:c r="A25226" s="120" t="inlineStr"/>
      <s:c r="B25226" s="121" t="n"/>
      <s:c r="C25226" s="121" t="n"/>
      <s:c r="D25226" s="121" t="n"/>
      <s:c r="E25226" s="122" t="n"/>
    </s:row>
    <s:row r="25227" hidden="1" ht="1" customHeight="1">
      <s:c r="A25227" s="120" t="inlineStr"/>
      <s:c r="B25227" s="121" t="n"/>
      <s:c r="C25227" s="121" t="n"/>
      <s:c r="D25227" s="121" t="n"/>
      <s:c r="E25227" s="122" t="n"/>
    </s:row>
    <s:row r="25228" hidden="1" ht="1" customHeight="1">
      <s:c r="A25228" s="120" t="inlineStr"/>
      <s:c r="B25228" s="121" t="n"/>
      <s:c r="C25228" s="121" t="n"/>
      <s:c r="D25228" s="121" t="n"/>
      <s:c r="E25228" s="122" t="n"/>
    </s:row>
    <s:row r="25229" hidden="1" ht="1" customHeight="1">
      <s:c r="A25229" s="120" t="inlineStr"/>
      <s:c r="B25229" s="121" t="n"/>
      <s:c r="C25229" s="121" t="n"/>
      <s:c r="D25229" s="121" t="n"/>
      <s:c r="E25229" s="122" t="n"/>
    </s:row>
    <s:row r="25230" hidden="1" ht="1" customHeight="1">
      <s:c r="A25230" s="120" t="inlineStr"/>
      <s:c r="B25230" s="121" t="n"/>
      <s:c r="C25230" s="121" t="n"/>
      <s:c r="D25230" s="121" t="n"/>
      <s:c r="E25230" s="122" t="n"/>
    </s:row>
    <s:row r="25231" hidden="1" ht="1" customHeight="1">
      <s:c r="A25231" s="120" t="inlineStr"/>
      <s:c r="B25231" s="121" t="n"/>
      <s:c r="C25231" s="121" t="n"/>
      <s:c r="D25231" s="121" t="n"/>
      <s:c r="E25231" s="122" t="n"/>
    </s:row>
    <s:row r="25232" hidden="1" ht="1" customHeight="1">
      <s:c r="A25232" s="120" t="inlineStr"/>
      <s:c r="B25232" s="121" t="n"/>
      <s:c r="C25232" s="121" t="n"/>
      <s:c r="D25232" s="121" t="n"/>
      <s:c r="E25232" s="122" t="n"/>
    </s:row>
    <s:row r="25233" hidden="1" ht="1" customHeight="1">
      <s:c r="A25233" s="120" t="inlineStr"/>
      <s:c r="B25233" s="121" t="n"/>
      <s:c r="C25233" s="121" t="n"/>
      <s:c r="D25233" s="121" t="n"/>
      <s:c r="E25233" s="122" t="n"/>
    </s:row>
    <s:row r="25234" hidden="1" ht="1" customHeight="1">
      <s:c r="A25234" s="120" t="inlineStr"/>
      <s:c r="B25234" s="121" t="n"/>
      <s:c r="C25234" s="121" t="n"/>
      <s:c r="D25234" s="121" t="n"/>
      <s:c r="E25234" s="122" t="n"/>
    </s:row>
    <s:row r="25235" hidden="1" ht="1" customHeight="1">
      <s:c r="A25235" s="120" t="inlineStr"/>
      <s:c r="B25235" s="121" t="n"/>
      <s:c r="C25235" s="121" t="n"/>
      <s:c r="D25235" s="121" t="n"/>
      <s:c r="E25235" s="122" t="n"/>
    </s:row>
    <s:row r="25236" hidden="1" ht="1" customHeight="1">
      <s:c r="A25236" s="120" t="inlineStr"/>
      <s:c r="B25236" s="121" t="n"/>
      <s:c r="C25236" s="121" t="n"/>
      <s:c r="D25236" s="121" t="n"/>
      <s:c r="E25236" s="122" t="n"/>
    </s:row>
    <s:row r="25237" hidden="1" ht="1" customHeight="1">
      <s:c r="A25237" s="120" t="inlineStr"/>
      <s:c r="B25237" s="121" t="n"/>
      <s:c r="C25237" s="121" t="n"/>
      <s:c r="D25237" s="121" t="n"/>
      <s:c r="E25237" s="122" t="n"/>
    </s:row>
    <s:row r="25238" hidden="1" ht="1" customHeight="1">
      <s:c r="A25238" s="120" t="inlineStr"/>
      <s:c r="B25238" s="121" t="n"/>
      <s:c r="C25238" s="121" t="n"/>
      <s:c r="D25238" s="121" t="n"/>
      <s:c r="E25238" s="122" t="n"/>
    </s:row>
    <s:row r="25239" hidden="1" ht="1" customHeight="1">
      <s:c r="A25239" s="120" t="inlineStr"/>
      <s:c r="B25239" s="121" t="n"/>
      <s:c r="C25239" s="121" t="n"/>
      <s:c r="D25239" s="121" t="n"/>
      <s:c r="E25239" s="122" t="n"/>
    </s:row>
    <s:row r="25240" hidden="1" ht="1" customHeight="1">
      <s:c r="A25240" s="120" t="inlineStr"/>
      <s:c r="B25240" s="121" t="n"/>
      <s:c r="C25240" s="121" t="n"/>
      <s:c r="D25240" s="121" t="n"/>
      <s:c r="E25240" s="122" t="n"/>
    </s:row>
    <s:row r="25241" hidden="1" ht="1" customHeight="1">
      <s:c r="A25241" s="120" t="inlineStr"/>
      <s:c r="B25241" s="121" t="n"/>
      <s:c r="C25241" s="121" t="n"/>
      <s:c r="D25241" s="121" t="n"/>
      <s:c r="E25241" s="122" t="n"/>
    </s:row>
    <s:row r="25242" hidden="1" ht="1" customHeight="1">
      <s:c r="A25242" s="120" t="inlineStr"/>
      <s:c r="B25242" s="121" t="n"/>
      <s:c r="C25242" s="121" t="n"/>
      <s:c r="D25242" s="121" t="n"/>
      <s:c r="E25242" s="122" t="n"/>
    </s:row>
    <s:row r="25243" hidden="1" ht="1" customHeight="1">
      <s:c r="A25243" s="120" t="inlineStr"/>
      <s:c r="B25243" s="121" t="n"/>
      <s:c r="C25243" s="121" t="n"/>
      <s:c r="D25243" s="121" t="n"/>
      <s:c r="E25243" s="122" t="n"/>
    </s:row>
    <s:row r="25244" hidden="1" ht="1" customHeight="1">
      <s:c r="A25244" s="120" t="inlineStr"/>
      <s:c r="B25244" s="121" t="n"/>
      <s:c r="C25244" s="121" t="n"/>
      <s:c r="D25244" s="121" t="n"/>
      <s:c r="E25244" s="122" t="n"/>
    </s:row>
    <s:row r="25245" hidden="1" ht="1" customHeight="1">
      <s:c r="A25245" s="120" t="inlineStr"/>
      <s:c r="B25245" s="121" t="n"/>
      <s:c r="C25245" s="121" t="n"/>
      <s:c r="D25245" s="121" t="n"/>
      <s:c r="E25245" s="122" t="n"/>
    </s:row>
    <s:row r="25246" hidden="1" ht="1" customHeight="1">
      <s:c r="A25246" s="120" t="inlineStr"/>
      <s:c r="B25246" s="121" t="n"/>
      <s:c r="C25246" s="121" t="n"/>
      <s:c r="D25246" s="121" t="n"/>
      <s:c r="E25246" s="122" t="n"/>
    </s:row>
    <s:row r="25247" hidden="1" ht="1" customHeight="1">
      <s:c r="A25247" s="120" t="inlineStr"/>
      <s:c r="B25247" s="121" t="n"/>
      <s:c r="C25247" s="121" t="n"/>
      <s:c r="D25247" s="121" t="n"/>
      <s:c r="E25247" s="122" t="n"/>
    </s:row>
    <s:row r="25248" hidden="1" ht="1" customHeight="1">
      <s:c r="A25248" s="120" t="inlineStr"/>
      <s:c r="B25248" s="121" t="n"/>
      <s:c r="C25248" s="121" t="n"/>
      <s:c r="D25248" s="121" t="n"/>
      <s:c r="E25248" s="122" t="n"/>
    </s:row>
    <s:row r="25249" hidden="1" ht="1" customHeight="1">
      <s:c r="A25249" s="120" t="inlineStr"/>
      <s:c r="B25249" s="121" t="n"/>
      <s:c r="C25249" s="121" t="n"/>
      <s:c r="D25249" s="121" t="n"/>
      <s:c r="E25249" s="122" t="n"/>
    </s:row>
    <s:row r="25250" hidden="1" ht="1" customHeight="1">
      <s:c r="A25250" s="120" t="inlineStr"/>
      <s:c r="B25250" s="121" t="n"/>
      <s:c r="C25250" s="121" t="n"/>
      <s:c r="D25250" s="121" t="n"/>
      <s:c r="E25250" s="122" t="n"/>
    </s:row>
    <s:row r="25251" hidden="1" ht="1" customHeight="1">
      <s:c r="A25251" s="120" t="inlineStr"/>
      <s:c r="B25251" s="121" t="n"/>
      <s:c r="C25251" s="121" t="n"/>
      <s:c r="D25251" s="121" t="n"/>
      <s:c r="E25251" s="122" t="n"/>
    </s:row>
    <s:row r="25252" hidden="1" ht="1" customHeight="1">
      <s:c r="A25252" s="120" t="inlineStr"/>
      <s:c r="B25252" s="121" t="n"/>
      <s:c r="C25252" s="121" t="n"/>
      <s:c r="D25252" s="121" t="n"/>
      <s:c r="E25252" s="122" t="n"/>
    </s:row>
    <s:row r="25253" hidden="1" ht="1" customHeight="1">
      <s:c r="A25253" s="120" t="inlineStr"/>
      <s:c r="B25253" s="121" t="n"/>
      <s:c r="C25253" s="121" t="n"/>
      <s:c r="D25253" s="121" t="n"/>
      <s:c r="E25253" s="122" t="n"/>
    </s:row>
    <s:row r="25254" hidden="1" ht="1" customHeight="1">
      <s:c r="A25254" s="120" t="inlineStr"/>
      <s:c r="B25254" s="121" t="n"/>
      <s:c r="C25254" s="121" t="n"/>
      <s:c r="D25254" s="121" t="n"/>
      <s:c r="E25254" s="122" t="n"/>
    </s:row>
    <s:row r="25255" hidden="1" ht="1" customHeight="1">
      <s:c r="A25255" s="120" t="inlineStr"/>
      <s:c r="B25255" s="121" t="n"/>
      <s:c r="C25255" s="121" t="n"/>
      <s:c r="D25255" s="121" t="n"/>
      <s:c r="E25255" s="122" t="n"/>
    </s:row>
    <s:row r="25256" hidden="1" ht="1" customHeight="1">
      <s:c r="A25256" s="120" t="inlineStr"/>
      <s:c r="B25256" s="121" t="n"/>
      <s:c r="C25256" s="121" t="n"/>
      <s:c r="D25256" s="121" t="n"/>
      <s:c r="E25256" s="122" t="n"/>
    </s:row>
    <s:row r="25257" hidden="1" ht="1" customHeight="1">
      <s:c r="A25257" s="120" t="inlineStr"/>
      <s:c r="B25257" s="121" t="n"/>
      <s:c r="C25257" s="121" t="n"/>
      <s:c r="D25257" s="121" t="n"/>
      <s:c r="E25257" s="122" t="n"/>
    </s:row>
    <s:row r="25258" hidden="1" ht="1" customHeight="1">
      <s:c r="A25258" s="120" t="inlineStr"/>
      <s:c r="B25258" s="121" t="n"/>
      <s:c r="C25258" s="121" t="n"/>
      <s:c r="D25258" s="121" t="n"/>
      <s:c r="E25258" s="122" t="n"/>
    </s:row>
    <s:row r="25259" hidden="1" ht="1" customHeight="1">
      <s:c r="A25259" s="120" t="inlineStr"/>
      <s:c r="B25259" s="121" t="n"/>
      <s:c r="C25259" s="121" t="n"/>
      <s:c r="D25259" s="121" t="n"/>
      <s:c r="E25259" s="122" t="n"/>
    </s:row>
    <s:row r="25260" hidden="1" ht="1" customHeight="1">
      <s:c r="A25260" s="120" t="inlineStr"/>
      <s:c r="B25260" s="121" t="n"/>
      <s:c r="C25260" s="121" t="n"/>
      <s:c r="D25260" s="121" t="n"/>
      <s:c r="E25260" s="122" t="n"/>
    </s:row>
    <s:row r="25261" hidden="1" ht="1" customHeight="1">
      <s:c r="A25261" s="120" t="inlineStr"/>
      <s:c r="B25261" s="121" t="n"/>
      <s:c r="C25261" s="121" t="n"/>
      <s:c r="D25261" s="121" t="n"/>
      <s:c r="E25261" s="122" t="n"/>
    </s:row>
    <s:row r="25262" hidden="1" ht="1" customHeight="1">
      <s:c r="A25262" s="120" t="inlineStr"/>
      <s:c r="B25262" s="121" t="n"/>
      <s:c r="C25262" s="121" t="n"/>
      <s:c r="D25262" s="121" t="n"/>
      <s:c r="E25262" s="122" t="n"/>
    </s:row>
    <s:row r="25263" hidden="1" ht="1" customHeight="1">
      <s:c r="A25263" s="120" t="inlineStr"/>
      <s:c r="B25263" s="121" t="n"/>
      <s:c r="C25263" s="121" t="n"/>
      <s:c r="D25263" s="121" t="n"/>
      <s:c r="E25263" s="122" t="n"/>
    </s:row>
    <s:row r="25264" hidden="1" ht="1" customHeight="1">
      <s:c r="A25264" s="120" t="inlineStr"/>
      <s:c r="B25264" s="121" t="n"/>
      <s:c r="C25264" s="121" t="n"/>
      <s:c r="D25264" s="121" t="n"/>
      <s:c r="E25264" s="122" t="n"/>
    </s:row>
    <s:row r="25265" hidden="1" ht="1" customHeight="1">
      <s:c r="A25265" s="120" t="inlineStr"/>
      <s:c r="B25265" s="121" t="n"/>
      <s:c r="C25265" s="121" t="n"/>
      <s:c r="D25265" s="121" t="n"/>
      <s:c r="E25265" s="122" t="n"/>
    </s:row>
    <s:row r="25266" hidden="1" ht="1" customHeight="1">
      <s:c r="A25266" s="120" t="inlineStr"/>
      <s:c r="B25266" s="121" t="n"/>
      <s:c r="C25266" s="121" t="n"/>
      <s:c r="D25266" s="121" t="n"/>
      <s:c r="E25266" s="122" t="n"/>
    </s:row>
    <s:row r="25267" hidden="1" ht="1" customHeight="1">
      <s:c r="A25267" s="120" t="inlineStr"/>
      <s:c r="B25267" s="121" t="n"/>
      <s:c r="C25267" s="121" t="n"/>
      <s:c r="D25267" s="121" t="n"/>
      <s:c r="E25267" s="122" t="n"/>
    </s:row>
    <s:row r="25268" hidden="1" ht="1" customHeight="1">
      <s:c r="A25268" s="120" t="inlineStr"/>
      <s:c r="B25268" s="121" t="n"/>
      <s:c r="C25268" s="121" t="n"/>
      <s:c r="D25268" s="121" t="n"/>
      <s:c r="E25268" s="122" t="n"/>
    </s:row>
    <s:row r="25269" hidden="1" ht="1" customHeight="1">
      <s:c r="A25269" s="120" t="inlineStr"/>
      <s:c r="B25269" s="121" t="n"/>
      <s:c r="C25269" s="121" t="n"/>
      <s:c r="D25269" s="121" t="n"/>
      <s:c r="E25269" s="122" t="n"/>
    </s:row>
    <s:row r="25270" hidden="1" ht="1" customHeight="1">
      <s:c r="A25270" s="120" t="inlineStr"/>
      <s:c r="B25270" s="121" t="n"/>
      <s:c r="C25270" s="121" t="n"/>
      <s:c r="D25270" s="121" t="n"/>
      <s:c r="E25270" s="122" t="n"/>
    </s:row>
    <s:row r="25271" hidden="1" ht="1" customHeight="1">
      <s:c r="A25271" s="120" t="inlineStr"/>
      <s:c r="B25271" s="121" t="n"/>
      <s:c r="C25271" s="121" t="n"/>
      <s:c r="D25271" s="121" t="n"/>
      <s:c r="E25271" s="122" t="n"/>
    </s:row>
    <s:row r="25272" hidden="1" ht="1" customHeight="1">
      <s:c r="A25272" s="120" t="inlineStr"/>
      <s:c r="B25272" s="121" t="n"/>
      <s:c r="C25272" s="121" t="n"/>
      <s:c r="D25272" s="121" t="n"/>
      <s:c r="E25272" s="122" t="n"/>
    </s:row>
    <s:row r="25273" hidden="1" ht="1" customHeight="1">
      <s:c r="A25273" s="120" t="inlineStr"/>
      <s:c r="B25273" s="121" t="n"/>
      <s:c r="C25273" s="121" t="n"/>
      <s:c r="D25273" s="121" t="n"/>
      <s:c r="E25273" s="122" t="n"/>
    </s:row>
    <s:row r="25274" hidden="1" ht="1" customHeight="1">
      <s:c r="A25274" s="120" t="inlineStr"/>
      <s:c r="B25274" s="121" t="n"/>
      <s:c r="C25274" s="121" t="n"/>
      <s:c r="D25274" s="121" t="n"/>
      <s:c r="E25274" s="122" t="n"/>
    </s:row>
    <s:row r="25275" hidden="1" ht="1" customHeight="1">
      <s:c r="A25275" s="120" t="inlineStr"/>
      <s:c r="B25275" s="121" t="n"/>
      <s:c r="C25275" s="121" t="n"/>
      <s:c r="D25275" s="121" t="n"/>
      <s:c r="E25275" s="122" t="n"/>
    </s:row>
    <s:row r="25276" hidden="1" ht="1" customHeight="1">
      <s:c r="A25276" s="120" t="inlineStr"/>
      <s:c r="B25276" s="121" t="n"/>
      <s:c r="C25276" s="121" t="n"/>
      <s:c r="D25276" s="121" t="n"/>
      <s:c r="E25276" s="122" t="n"/>
    </s:row>
    <s:row r="25277" hidden="1" ht="1" customHeight="1">
      <s:c r="A25277" s="120" t="inlineStr"/>
      <s:c r="B25277" s="121" t="n"/>
      <s:c r="C25277" s="121" t="n"/>
      <s:c r="D25277" s="121" t="n"/>
      <s:c r="E25277" s="122" t="n"/>
    </s:row>
    <s:row r="25278" hidden="1" ht="1" customHeight="1">
      <s:c r="A25278" s="120" t="inlineStr"/>
      <s:c r="B25278" s="121" t="n"/>
      <s:c r="C25278" s="121" t="n"/>
      <s:c r="D25278" s="121" t="n"/>
      <s:c r="E25278" s="122" t="n"/>
    </s:row>
    <s:row r="25279" hidden="1" ht="1" customHeight="1">
      <s:c r="A25279" s="120" t="inlineStr"/>
      <s:c r="B25279" s="121" t="n"/>
      <s:c r="C25279" s="121" t="n"/>
      <s:c r="D25279" s="121" t="n"/>
      <s:c r="E25279" s="122" t="n"/>
    </s:row>
    <s:row r="25280" hidden="1" ht="1" customHeight="1">
      <s:c r="A25280" s="120" t="inlineStr"/>
      <s:c r="B25280" s="121" t="n"/>
      <s:c r="C25280" s="121" t="n"/>
      <s:c r="D25280" s="121" t="n"/>
      <s:c r="E25280" s="122" t="n"/>
    </s:row>
    <s:row r="25281" hidden="1" ht="1" customHeight="1">
      <s:c r="A25281" s="120" t="inlineStr"/>
      <s:c r="B25281" s="121" t="n"/>
      <s:c r="C25281" s="121" t="n"/>
      <s:c r="D25281" s="121" t="n"/>
      <s:c r="E25281" s="122" t="n"/>
    </s:row>
    <s:row r="25282" hidden="1" ht="1" customHeight="1">
      <s:c r="A25282" s="120" t="inlineStr"/>
      <s:c r="B25282" s="121" t="n"/>
      <s:c r="C25282" s="121" t="n"/>
      <s:c r="D25282" s="121" t="n"/>
      <s:c r="E25282" s="122" t="n"/>
    </s:row>
    <s:row r="25283" hidden="1" ht="1" customHeight="1">
      <s:c r="A25283" s="120" t="inlineStr"/>
      <s:c r="B25283" s="121" t="n"/>
      <s:c r="C25283" s="121" t="n"/>
      <s:c r="D25283" s="121" t="n"/>
      <s:c r="E25283" s="122" t="n"/>
    </s:row>
    <s:row r="25284" hidden="1" ht="1" customHeight="1">
      <s:c r="A25284" s="120" t="inlineStr"/>
      <s:c r="B25284" s="121" t="n"/>
      <s:c r="C25284" s="121" t="n"/>
      <s:c r="D25284" s="121" t="n"/>
      <s:c r="E25284" s="122" t="n"/>
    </s:row>
    <s:row r="25285" hidden="1" ht="1" customHeight="1">
      <s:c r="A25285" s="120" t="inlineStr"/>
      <s:c r="B25285" s="121" t="n"/>
      <s:c r="C25285" s="121" t="n"/>
      <s:c r="D25285" s="121" t="n"/>
      <s:c r="E25285" s="122" t="n"/>
    </s:row>
    <s:row r="25286" hidden="1" ht="1" customHeight="1">
      <s:c r="A25286" s="120" t="inlineStr"/>
      <s:c r="B25286" s="121" t="n"/>
      <s:c r="C25286" s="121" t="n"/>
      <s:c r="D25286" s="121" t="n"/>
      <s:c r="E25286" s="122" t="n"/>
    </s:row>
    <s:row r="25287" hidden="1" ht="1" customHeight="1">
      <s:c r="A25287" s="120" t="inlineStr"/>
      <s:c r="B25287" s="121" t="n"/>
      <s:c r="C25287" s="121" t="n"/>
      <s:c r="D25287" s="121" t="n"/>
      <s:c r="E25287" s="122" t="n"/>
    </s:row>
    <s:row r="25288" hidden="1" ht="1" customHeight="1">
      <s:c r="A25288" s="120" t="inlineStr"/>
      <s:c r="B25288" s="121" t="n"/>
      <s:c r="C25288" s="121" t="n"/>
      <s:c r="D25288" s="121" t="n"/>
      <s:c r="E25288" s="122" t="n"/>
    </s:row>
    <s:row r="25289" hidden="1" ht="1" customHeight="1">
      <s:c r="A25289" s="120" t="inlineStr"/>
      <s:c r="B25289" s="121" t="n"/>
      <s:c r="C25289" s="121" t="n"/>
      <s:c r="D25289" s="121" t="n"/>
      <s:c r="E25289" s="122" t="n"/>
    </s:row>
    <s:row r="25290" hidden="1" ht="1" customHeight="1">
      <s:c r="A25290" s="120" t="inlineStr"/>
      <s:c r="B25290" s="121" t="n"/>
      <s:c r="C25290" s="121" t="n"/>
      <s:c r="D25290" s="121" t="n"/>
      <s:c r="E25290" s="122" t="n"/>
    </s:row>
    <s:row r="25291" hidden="1" ht="1" customHeight="1">
      <s:c r="A25291" s="120" t="inlineStr"/>
      <s:c r="B25291" s="121" t="n"/>
      <s:c r="C25291" s="121" t="n"/>
      <s:c r="D25291" s="121" t="n"/>
      <s:c r="E25291" s="122" t="n"/>
    </s:row>
    <s:row r="25292" hidden="1" ht="1" customHeight="1">
      <s:c r="A25292" s="120" t="inlineStr"/>
      <s:c r="B25292" s="121" t="n"/>
      <s:c r="C25292" s="121" t="n"/>
      <s:c r="D25292" s="121" t="n"/>
      <s:c r="E25292" s="122" t="n"/>
    </s:row>
    <s:row r="25293" hidden="1" ht="1" customHeight="1">
      <s:c r="A25293" s="120" t="inlineStr"/>
      <s:c r="B25293" s="121" t="n"/>
      <s:c r="C25293" s="121" t="n"/>
      <s:c r="D25293" s="121" t="n"/>
      <s:c r="E25293" s="122" t="n"/>
    </s:row>
    <s:row r="25294" hidden="1" ht="1" customHeight="1">
      <s:c r="A25294" s="120" t="inlineStr"/>
      <s:c r="B25294" s="121" t="n"/>
      <s:c r="C25294" s="121" t="n"/>
      <s:c r="D25294" s="121" t="n"/>
      <s:c r="E25294" s="122" t="n"/>
    </s:row>
    <s:row r="25295" hidden="1" ht="1" customHeight="1">
      <s:c r="A25295" s="120" t="inlineStr"/>
      <s:c r="B25295" s="121" t="n"/>
      <s:c r="C25295" s="121" t="n"/>
      <s:c r="D25295" s="121" t="n"/>
      <s:c r="E25295" s="122" t="n"/>
    </s:row>
    <s:row r="25296" hidden="1" ht="1" customHeight="1">
      <s:c r="A25296" s="120" t="inlineStr"/>
      <s:c r="B25296" s="121" t="n"/>
      <s:c r="C25296" s="121" t="n"/>
      <s:c r="D25296" s="121" t="n"/>
      <s:c r="E25296" s="122" t="n"/>
    </s:row>
    <s:row r="25297" hidden="1" ht="1" customHeight="1">
      <s:c r="A25297" s="120" t="inlineStr"/>
      <s:c r="B25297" s="121" t="n"/>
      <s:c r="C25297" s="121" t="n"/>
      <s:c r="D25297" s="121" t="n"/>
      <s:c r="E25297" s="122" t="n"/>
    </s:row>
    <s:row r="25298" hidden="1" ht="1" customHeight="1">
      <s:c r="A25298" s="120" t="inlineStr"/>
      <s:c r="B25298" s="121" t="n"/>
      <s:c r="C25298" s="121" t="n"/>
      <s:c r="D25298" s="121" t="n"/>
      <s:c r="E25298" s="122" t="n"/>
    </s:row>
    <s:row r="25299" hidden="1" ht="1" customHeight="1">
      <s:c r="A25299" s="120" t="inlineStr"/>
      <s:c r="B25299" s="121" t="n"/>
      <s:c r="C25299" s="121" t="n"/>
      <s:c r="D25299" s="121" t="n"/>
      <s:c r="E25299" s="122" t="n"/>
    </s:row>
    <s:row r="25300" hidden="1" ht="1" customHeight="1">
      <s:c r="A25300" s="120" t="inlineStr"/>
      <s:c r="B25300" s="121" t="n"/>
      <s:c r="C25300" s="121" t="n"/>
      <s:c r="D25300" s="121" t="n"/>
      <s:c r="E25300" s="122" t="n"/>
    </s:row>
    <s:row r="25301" hidden="1" ht="1" customHeight="1">
      <s:c r="A25301" s="120" t="inlineStr"/>
      <s:c r="B25301" s="121" t="n"/>
      <s:c r="C25301" s="121" t="n"/>
      <s:c r="D25301" s="121" t="n"/>
      <s:c r="E25301" s="122" t="n"/>
    </s:row>
    <s:row r="25302" hidden="1" ht="1" customHeight="1">
      <s:c r="A25302" s="120" t="inlineStr"/>
      <s:c r="B25302" s="121" t="n"/>
      <s:c r="C25302" s="121" t="n"/>
      <s:c r="D25302" s="121" t="n"/>
      <s:c r="E25302" s="122" t="n"/>
    </s:row>
    <s:row r="25303" hidden="1" ht="1" customHeight="1">
      <s:c r="A25303" s="120" t="inlineStr"/>
      <s:c r="B25303" s="121" t="n"/>
      <s:c r="C25303" s="121" t="n"/>
      <s:c r="D25303" s="121" t="n"/>
      <s:c r="E25303" s="122" t="n"/>
    </s:row>
    <s:row r="25304" hidden="1" ht="1" customHeight="1">
      <s:c r="A25304" s="120" t="inlineStr"/>
      <s:c r="B25304" s="121" t="n"/>
      <s:c r="C25304" s="121" t="n"/>
      <s:c r="D25304" s="121" t="n"/>
      <s:c r="E25304" s="122" t="n"/>
    </s:row>
    <s:row r="25305" hidden="1" ht="1" customHeight="1">
      <s:c r="A25305" s="120" t="inlineStr"/>
      <s:c r="B25305" s="121" t="n"/>
      <s:c r="C25305" s="121" t="n"/>
      <s:c r="D25305" s="121" t="n"/>
      <s:c r="E25305" s="122" t="n"/>
    </s:row>
    <s:row r="25306" hidden="1" ht="1" customHeight="1">
      <s:c r="A25306" s="120" t="inlineStr"/>
      <s:c r="B25306" s="121" t="n"/>
      <s:c r="C25306" s="121" t="n"/>
      <s:c r="D25306" s="121" t="n"/>
      <s:c r="E25306" s="122" t="n"/>
    </s:row>
    <s:row r="25307" hidden="1" ht="1" customHeight="1">
      <s:c r="A25307" s="120" t="inlineStr"/>
      <s:c r="B25307" s="121" t="n"/>
      <s:c r="C25307" s="121" t="n"/>
      <s:c r="D25307" s="121" t="n"/>
      <s:c r="E25307" s="122" t="n"/>
    </s:row>
    <s:row r="25308" hidden="1" ht="1" customHeight="1">
      <s:c r="A25308" s="120" t="inlineStr"/>
      <s:c r="B25308" s="121" t="n"/>
      <s:c r="C25308" s="121" t="n"/>
      <s:c r="D25308" s="121" t="n"/>
      <s:c r="E25308" s="122" t="n"/>
    </s:row>
    <s:row r="25309" hidden="1" ht="1" customHeight="1">
      <s:c r="A25309" s="120" t="inlineStr"/>
      <s:c r="B25309" s="121" t="n"/>
      <s:c r="C25309" s="121" t="n"/>
      <s:c r="D25309" s="121" t="n"/>
      <s:c r="E25309" s="122" t="n"/>
    </s:row>
    <s:row r="25310" hidden="1" ht="1" customHeight="1">
      <s:c r="A25310" s="120" t="inlineStr"/>
      <s:c r="B25310" s="121" t="n"/>
      <s:c r="C25310" s="121" t="n"/>
      <s:c r="D25310" s="121" t="n"/>
      <s:c r="E25310" s="122" t="n"/>
    </s:row>
    <s:row r="25311" hidden="1" ht="1" customHeight="1">
      <s:c r="A25311" s="120" t="inlineStr"/>
      <s:c r="B25311" s="121" t="n"/>
      <s:c r="C25311" s="121" t="n"/>
      <s:c r="D25311" s="121" t="n"/>
      <s:c r="E25311" s="122" t="n"/>
    </s:row>
    <s:row r="25312" hidden="1" ht="1" customHeight="1">
      <s:c r="A25312" s="120" t="inlineStr"/>
      <s:c r="B25312" s="121" t="n"/>
      <s:c r="C25312" s="121" t="n"/>
      <s:c r="D25312" s="121" t="n"/>
      <s:c r="E25312" s="122" t="n"/>
    </s:row>
    <s:row r="25313" hidden="1" ht="1" customHeight="1">
      <s:c r="A25313" s="120" t="inlineStr"/>
      <s:c r="B25313" s="121" t="n"/>
      <s:c r="C25313" s="121" t="n"/>
      <s:c r="D25313" s="121" t="n"/>
      <s:c r="E25313" s="122" t="n"/>
    </s:row>
    <s:row r="25314" hidden="1" ht="1" customHeight="1">
      <s:c r="A25314" s="120" t="inlineStr"/>
      <s:c r="B25314" s="121" t="n"/>
      <s:c r="C25314" s="121" t="n"/>
      <s:c r="D25314" s="121" t="n"/>
      <s:c r="E25314" s="122" t="n"/>
    </s:row>
    <s:row r="25315" hidden="1" ht="1" customHeight="1">
      <s:c r="A25315" s="120" t="inlineStr"/>
      <s:c r="B25315" s="121" t="n"/>
      <s:c r="C25315" s="121" t="n"/>
      <s:c r="D25315" s="121" t="n"/>
      <s:c r="E25315" s="122" t="n"/>
    </s:row>
    <s:row r="25316" hidden="1" ht="1" customHeight="1">
      <s:c r="A25316" s="120" t="inlineStr"/>
      <s:c r="B25316" s="121" t="n"/>
      <s:c r="C25316" s="121" t="n"/>
      <s:c r="D25316" s="121" t="n"/>
      <s:c r="E25316" s="122" t="n"/>
    </s:row>
    <s:row r="25317" hidden="1" ht="1" customHeight="1">
      <s:c r="A25317" s="120" t="inlineStr"/>
      <s:c r="B25317" s="121" t="n"/>
      <s:c r="C25317" s="121" t="n"/>
      <s:c r="D25317" s="121" t="n"/>
      <s:c r="E25317" s="122" t="n"/>
    </s:row>
    <s:row r="25318" hidden="1" ht="1" customHeight="1">
      <s:c r="A25318" s="120" t="inlineStr"/>
      <s:c r="B25318" s="121" t="n"/>
      <s:c r="C25318" s="121" t="n"/>
      <s:c r="D25318" s="121" t="n"/>
      <s:c r="E25318" s="122" t="n"/>
    </s:row>
    <s:row r="25319" hidden="1" ht="1" customHeight="1">
      <s:c r="A25319" s="120" t="inlineStr"/>
      <s:c r="B25319" s="121" t="n"/>
      <s:c r="C25319" s="121" t="n"/>
      <s:c r="D25319" s="121" t="n"/>
      <s:c r="E25319" s="122" t="n"/>
    </s:row>
    <s:row r="25320" hidden="1" ht="1" customHeight="1">
      <s:c r="A25320" s="120" t="inlineStr"/>
      <s:c r="B25320" s="121" t="n"/>
      <s:c r="C25320" s="121" t="n"/>
      <s:c r="D25320" s="121" t="n"/>
      <s:c r="E25320" s="122" t="n"/>
    </s:row>
    <s:row r="25321" hidden="1" ht="1" customHeight="1">
      <s:c r="A25321" s="120" t="inlineStr"/>
      <s:c r="B25321" s="121" t="n"/>
      <s:c r="C25321" s="121" t="n"/>
      <s:c r="D25321" s="121" t="n"/>
      <s:c r="E25321" s="122" t="n"/>
    </s:row>
    <s:row r="25322" hidden="1" ht="1" customHeight="1">
      <s:c r="A25322" s="120" t="inlineStr"/>
      <s:c r="B25322" s="121" t="n"/>
      <s:c r="C25322" s="121" t="n"/>
      <s:c r="D25322" s="121" t="n"/>
      <s:c r="E25322" s="122" t="n"/>
    </s:row>
    <s:row r="25323" hidden="1" ht="1" customHeight="1">
      <s:c r="A25323" s="120" t="inlineStr"/>
      <s:c r="B25323" s="121" t="n"/>
      <s:c r="C25323" s="121" t="n"/>
      <s:c r="D25323" s="121" t="n"/>
      <s:c r="E25323" s="122" t="n"/>
    </s:row>
    <s:row r="25324" hidden="1" ht="1" customHeight="1">
      <s:c r="A25324" s="120" t="inlineStr"/>
      <s:c r="B25324" s="121" t="n"/>
      <s:c r="C25324" s="121" t="n"/>
      <s:c r="D25324" s="121" t="n"/>
      <s:c r="E25324" s="122" t="n"/>
    </s:row>
    <s:row r="25325" hidden="1" ht="1" customHeight="1">
      <s:c r="A25325" s="120" t="inlineStr"/>
      <s:c r="B25325" s="121" t="n"/>
      <s:c r="C25325" s="121" t="n"/>
      <s:c r="D25325" s="121" t="n"/>
      <s:c r="E25325" s="122" t="n"/>
    </s:row>
    <s:row r="25326" hidden="1" ht="1" customHeight="1">
      <s:c r="A25326" s="120" t="inlineStr"/>
      <s:c r="B25326" s="121" t="n"/>
      <s:c r="C25326" s="121" t="n"/>
      <s:c r="D25326" s="121" t="n"/>
      <s:c r="E25326" s="122" t="n"/>
    </s:row>
    <s:row r="25327" hidden="1" ht="1" customHeight="1">
      <s:c r="A25327" s="120" t="inlineStr"/>
      <s:c r="B25327" s="121" t="n"/>
      <s:c r="C25327" s="121" t="n"/>
      <s:c r="D25327" s="121" t="n"/>
      <s:c r="E25327" s="122" t="n"/>
    </s:row>
    <s:row r="25328" hidden="1" ht="1" customHeight="1">
      <s:c r="A25328" s="120" t="inlineStr"/>
      <s:c r="B25328" s="121" t="n"/>
      <s:c r="C25328" s="121" t="n"/>
      <s:c r="D25328" s="121" t="n"/>
      <s:c r="E25328" s="122" t="n"/>
    </s:row>
    <s:row r="25329" hidden="1" ht="1" customHeight="1">
      <s:c r="A25329" s="120" t="inlineStr"/>
      <s:c r="B25329" s="121" t="n"/>
      <s:c r="C25329" s="121" t="n"/>
      <s:c r="D25329" s="121" t="n"/>
      <s:c r="E25329" s="122" t="n"/>
    </s:row>
    <s:row r="25330" hidden="1" ht="1" customHeight="1">
      <s:c r="A25330" s="120" t="inlineStr"/>
      <s:c r="B25330" s="121" t="n"/>
      <s:c r="C25330" s="121" t="n"/>
      <s:c r="D25330" s="121" t="n"/>
      <s:c r="E25330" s="122" t="n"/>
    </s:row>
    <s:row r="25331" hidden="1" ht="1" customHeight="1">
      <s:c r="A25331" s="120" t="inlineStr"/>
      <s:c r="B25331" s="121" t="n"/>
      <s:c r="C25331" s="121" t="n"/>
      <s:c r="D25331" s="121" t="n"/>
      <s:c r="E25331" s="122" t="n"/>
    </s:row>
    <s:row r="25332" hidden="1" ht="1" customHeight="1">
      <s:c r="A25332" s="120" t="inlineStr"/>
      <s:c r="B25332" s="121" t="n"/>
      <s:c r="C25332" s="121" t="n"/>
      <s:c r="D25332" s="121" t="n"/>
      <s:c r="E25332" s="122" t="n"/>
    </s:row>
    <s:row r="25333" hidden="1" ht="1" customHeight="1">
      <s:c r="A25333" s="120" t="inlineStr"/>
      <s:c r="B25333" s="121" t="n"/>
      <s:c r="C25333" s="121" t="n"/>
      <s:c r="D25333" s="121" t="n"/>
      <s:c r="E25333" s="122" t="n"/>
    </s:row>
    <s:row r="25334" hidden="1" ht="1" customHeight="1">
      <s:c r="A25334" s="120" t="inlineStr"/>
      <s:c r="B25334" s="121" t="n"/>
      <s:c r="C25334" s="121" t="n"/>
      <s:c r="D25334" s="121" t="n"/>
      <s:c r="E25334" s="122" t="n"/>
    </s:row>
    <s:row r="25335" hidden="1" ht="1" customHeight="1">
      <s:c r="A25335" s="120" t="inlineStr"/>
      <s:c r="B25335" s="121" t="n"/>
      <s:c r="C25335" s="121" t="n"/>
      <s:c r="D25335" s="121" t="n"/>
      <s:c r="E25335" s="122" t="n"/>
    </s:row>
    <s:row r="25336" hidden="1" ht="1" customHeight="1">
      <s:c r="A25336" s="120" t="inlineStr"/>
      <s:c r="B25336" s="121" t="n"/>
      <s:c r="C25336" s="121" t="n"/>
      <s:c r="D25336" s="121" t="n"/>
      <s:c r="E25336" s="122" t="n"/>
    </s:row>
    <s:row r="25337" hidden="1" ht="1" customHeight="1">
      <s:c r="A25337" s="120" t="inlineStr"/>
      <s:c r="B25337" s="121" t="n"/>
      <s:c r="C25337" s="121" t="n"/>
      <s:c r="D25337" s="121" t="n"/>
      <s:c r="E25337" s="122" t="n"/>
    </s:row>
    <s:row r="25338" hidden="1" ht="1" customHeight="1">
      <s:c r="A25338" s="120" t="inlineStr"/>
      <s:c r="B25338" s="121" t="n"/>
      <s:c r="C25338" s="121" t="n"/>
      <s:c r="D25338" s="121" t="n"/>
      <s:c r="E25338" s="122" t="n"/>
    </s:row>
    <s:row r="25339" hidden="1" ht="1" customHeight="1">
      <s:c r="A25339" s="120" t="inlineStr"/>
      <s:c r="B25339" s="121" t="n"/>
      <s:c r="C25339" s="121" t="n"/>
      <s:c r="D25339" s="121" t="n"/>
      <s:c r="E25339" s="122" t="n"/>
    </s:row>
    <s:row r="25340" hidden="1" ht="1" customHeight="1">
      <s:c r="A25340" s="120" t="inlineStr"/>
      <s:c r="B25340" s="121" t="n"/>
      <s:c r="C25340" s="121" t="n"/>
      <s:c r="D25340" s="121" t="n"/>
      <s:c r="E25340" s="122" t="n"/>
    </s:row>
    <s:row r="25341" hidden="1" ht="1" customHeight="1">
      <s:c r="A25341" s="120" t="inlineStr"/>
      <s:c r="B25341" s="121" t="n"/>
      <s:c r="C25341" s="121" t="n"/>
      <s:c r="D25341" s="121" t="n"/>
      <s:c r="E25341" s="122" t="n"/>
    </s:row>
    <s:row r="25342" hidden="1" ht="1" customHeight="1">
      <s:c r="A25342" s="120" t="inlineStr"/>
      <s:c r="B25342" s="121" t="n"/>
      <s:c r="C25342" s="121" t="n"/>
      <s:c r="D25342" s="121" t="n"/>
      <s:c r="E25342" s="122" t="n"/>
    </s:row>
    <s:row r="25343" hidden="1" ht="1" customHeight="1">
      <s:c r="A25343" s="120" t="inlineStr"/>
      <s:c r="B25343" s="121" t="n"/>
      <s:c r="C25343" s="121" t="n"/>
      <s:c r="D25343" s="121" t="n"/>
      <s:c r="E25343" s="122" t="n"/>
    </s:row>
    <s:row r="25344" hidden="1" ht="1" customHeight="1">
      <s:c r="A25344" s="120" t="inlineStr"/>
      <s:c r="B25344" s="121" t="n"/>
      <s:c r="C25344" s="121" t="n"/>
      <s:c r="D25344" s="121" t="n"/>
      <s:c r="E25344" s="122" t="n"/>
    </s:row>
    <s:row r="25345" hidden="1" ht="1" customHeight="1">
      <s:c r="A25345" s="120" t="inlineStr"/>
      <s:c r="B25345" s="121" t="n"/>
      <s:c r="C25345" s="121" t="n"/>
      <s:c r="D25345" s="121" t="n"/>
      <s:c r="E25345" s="122" t="n"/>
    </s:row>
    <s:row r="25346" hidden="1" ht="1" customHeight="1">
      <s:c r="A25346" s="120" t="inlineStr"/>
      <s:c r="B25346" s="121" t="n"/>
      <s:c r="C25346" s="121" t="n"/>
      <s:c r="D25346" s="121" t="n"/>
      <s:c r="E25346" s="122" t="n"/>
    </s:row>
    <s:row r="25347" hidden="1" ht="1" customHeight="1">
      <s:c r="A25347" s="120" t="inlineStr"/>
      <s:c r="B25347" s="121" t="n"/>
      <s:c r="C25347" s="121" t="n"/>
      <s:c r="D25347" s="121" t="n"/>
      <s:c r="E25347" s="122" t="n"/>
    </s:row>
    <s:row r="25348" hidden="1" ht="1" customHeight="1">
      <s:c r="A25348" s="120" t="inlineStr"/>
      <s:c r="B25348" s="121" t="n"/>
      <s:c r="C25348" s="121" t="n"/>
      <s:c r="D25348" s="121" t="n"/>
      <s:c r="E25348" s="122" t="n"/>
    </s:row>
    <s:row r="25349" hidden="1" ht="1" customHeight="1">
      <s:c r="A25349" s="120" t="inlineStr"/>
      <s:c r="B25349" s="121" t="n"/>
      <s:c r="C25349" s="121" t="n"/>
      <s:c r="D25349" s="121" t="n"/>
      <s:c r="E25349" s="122" t="n"/>
    </s:row>
    <s:row r="25350" hidden="1" ht="1" customHeight="1">
      <s:c r="A25350" s="120" t="inlineStr"/>
      <s:c r="B25350" s="121" t="n"/>
      <s:c r="C25350" s="121" t="n"/>
      <s:c r="D25350" s="121" t="n"/>
      <s:c r="E25350" s="122" t="n"/>
    </s:row>
    <s:row r="25351" hidden="1" ht="1" customHeight="1">
      <s:c r="A25351" s="120" t="inlineStr"/>
      <s:c r="B25351" s="121" t="n"/>
      <s:c r="C25351" s="121" t="n"/>
      <s:c r="D25351" s="121" t="n"/>
      <s:c r="E25351" s="122" t="n"/>
    </s:row>
    <s:row r="25352" hidden="1" ht="1" customHeight="1">
      <s:c r="A25352" s="120" t="inlineStr"/>
      <s:c r="B25352" s="121" t="n"/>
      <s:c r="C25352" s="121" t="n"/>
      <s:c r="D25352" s="121" t="n"/>
      <s:c r="E25352" s="122" t="n"/>
    </s:row>
    <s:row r="25353" hidden="1" ht="1" customHeight="1">
      <s:c r="A25353" s="120" t="inlineStr"/>
      <s:c r="B25353" s="121" t="n"/>
      <s:c r="C25353" s="121" t="n"/>
      <s:c r="D25353" s="121" t="n"/>
      <s:c r="E25353" s="122" t="n"/>
    </s:row>
    <s:row r="25354" hidden="1" ht="1" customHeight="1">
      <s:c r="A25354" s="120" t="inlineStr"/>
      <s:c r="B25354" s="121" t="n"/>
      <s:c r="C25354" s="121" t="n"/>
      <s:c r="D25354" s="121" t="n"/>
      <s:c r="E25354" s="122" t="n"/>
    </s:row>
    <s:row r="25355" hidden="1" ht="1" customHeight="1">
      <s:c r="A25355" s="120" t="inlineStr"/>
      <s:c r="B25355" s="121" t="n"/>
      <s:c r="C25355" s="121" t="n"/>
      <s:c r="D25355" s="121" t="n"/>
      <s:c r="E25355" s="122" t="n"/>
    </s:row>
    <s:row r="25356" hidden="1" ht="1" customHeight="1">
      <s:c r="A25356" s="120" t="inlineStr"/>
      <s:c r="B25356" s="121" t="n"/>
      <s:c r="C25356" s="121" t="n"/>
      <s:c r="D25356" s="121" t="n"/>
      <s:c r="E25356" s="122" t="n"/>
    </s:row>
    <s:row r="25357" hidden="1" ht="1" customHeight="1">
      <s:c r="A25357" s="120" t="inlineStr"/>
      <s:c r="B25357" s="121" t="n"/>
      <s:c r="C25357" s="121" t="n"/>
      <s:c r="D25357" s="121" t="n"/>
      <s:c r="E25357" s="122" t="n"/>
    </s:row>
    <s:row r="25358" hidden="1" ht="1" customHeight="1">
      <s:c r="A25358" s="120" t="inlineStr"/>
      <s:c r="B25358" s="121" t="n"/>
      <s:c r="C25358" s="121" t="n"/>
      <s:c r="D25358" s="121" t="n"/>
      <s:c r="E25358" s="122" t="n"/>
    </s:row>
    <s:row r="25359" hidden="1" ht="1" customHeight="1">
      <s:c r="A25359" s="120" t="inlineStr"/>
      <s:c r="B25359" s="121" t="n"/>
      <s:c r="C25359" s="121" t="n"/>
      <s:c r="D25359" s="121" t="n"/>
      <s:c r="E25359" s="122" t="n"/>
    </s:row>
    <s:row r="25360" hidden="1" ht="1" customHeight="1">
      <s:c r="A25360" s="120" t="inlineStr"/>
      <s:c r="B25360" s="121" t="n"/>
      <s:c r="C25360" s="121" t="n"/>
      <s:c r="D25360" s="121" t="n"/>
      <s:c r="E25360" s="122" t="n"/>
    </s:row>
    <s:row r="25361" hidden="1" ht="1" customHeight="1">
      <s:c r="A25361" s="120" t="inlineStr"/>
      <s:c r="B25361" s="121" t="n"/>
      <s:c r="C25361" s="121" t="n"/>
      <s:c r="D25361" s="121" t="n"/>
      <s:c r="E25361" s="122" t="n"/>
    </s:row>
    <s:row r="25362" hidden="1" ht="1" customHeight="1">
      <s:c r="A25362" s="120" t="inlineStr"/>
      <s:c r="B25362" s="121" t="n"/>
      <s:c r="C25362" s="121" t="n"/>
      <s:c r="D25362" s="121" t="n"/>
      <s:c r="E25362" s="122" t="n"/>
    </s:row>
    <s:row r="25363" hidden="1" ht="1" customHeight="1">
      <s:c r="A25363" s="120" t="inlineStr"/>
      <s:c r="B25363" s="121" t="n"/>
      <s:c r="C25363" s="121" t="n"/>
      <s:c r="D25363" s="121" t="n"/>
      <s:c r="E25363" s="122" t="n"/>
    </s:row>
    <s:row r="25364" hidden="1" ht="1" customHeight="1">
      <s:c r="A25364" s="120" t="inlineStr"/>
      <s:c r="B25364" s="121" t="n"/>
      <s:c r="C25364" s="121" t="n"/>
      <s:c r="D25364" s="121" t="n"/>
      <s:c r="E25364" s="122" t="n"/>
    </s:row>
    <s:row r="25365" hidden="1" ht="1" customHeight="1">
      <s:c r="A25365" s="120" t="inlineStr"/>
      <s:c r="B25365" s="121" t="n"/>
      <s:c r="C25365" s="121" t="n"/>
      <s:c r="D25365" s="121" t="n"/>
      <s:c r="E25365" s="122" t="n"/>
    </s:row>
    <s:row r="25366" hidden="1" ht="1" customHeight="1">
      <s:c r="A25366" s="120" t="inlineStr"/>
      <s:c r="B25366" s="121" t="n"/>
      <s:c r="C25366" s="121" t="n"/>
      <s:c r="D25366" s="121" t="n"/>
      <s:c r="E25366" s="122" t="n"/>
    </s:row>
    <s:row r="25367" hidden="1" ht="1" customHeight="1">
      <s:c r="A25367" s="120" t="inlineStr"/>
      <s:c r="B25367" s="121" t="n"/>
      <s:c r="C25367" s="121" t="n"/>
      <s:c r="D25367" s="121" t="n"/>
      <s:c r="E25367" s="122" t="n"/>
    </s:row>
    <s:row r="25368" hidden="1" ht="1" customHeight="1">
      <s:c r="A25368" s="120" t="inlineStr"/>
      <s:c r="B25368" s="121" t="n"/>
      <s:c r="C25368" s="121" t="n"/>
      <s:c r="D25368" s="121" t="n"/>
      <s:c r="E25368" s="122" t="n"/>
    </s:row>
    <s:row r="25369" hidden="1" ht="1" customHeight="1">
      <s:c r="A25369" s="120" t="inlineStr"/>
      <s:c r="B25369" s="121" t="n"/>
      <s:c r="C25369" s="121" t="n"/>
      <s:c r="D25369" s="121" t="n"/>
      <s:c r="E25369" s="122" t="n"/>
    </s:row>
    <s:row r="25370" hidden="1" ht="1" customHeight="1">
      <s:c r="A25370" s="120" t="inlineStr"/>
      <s:c r="B25370" s="121" t="n"/>
      <s:c r="C25370" s="121" t="n"/>
      <s:c r="D25370" s="121" t="n"/>
      <s:c r="E25370" s="122" t="n"/>
    </s:row>
    <s:row r="25371" hidden="1" ht="1" customHeight="1">
      <s:c r="A25371" s="120" t="inlineStr"/>
      <s:c r="B25371" s="121" t="n"/>
      <s:c r="C25371" s="121" t="n"/>
      <s:c r="D25371" s="121" t="n"/>
      <s:c r="E25371" s="122" t="n"/>
    </s:row>
    <s:row r="25372" hidden="1" ht="1" customHeight="1">
      <s:c r="A25372" s="120" t="inlineStr"/>
      <s:c r="B25372" s="121" t="n"/>
      <s:c r="C25372" s="121" t="n"/>
      <s:c r="D25372" s="121" t="n"/>
      <s:c r="E25372" s="122" t="n"/>
    </s:row>
    <s:row r="25373" hidden="1" ht="1" customHeight="1">
      <s:c r="A25373" s="120" t="inlineStr"/>
      <s:c r="B25373" s="121" t="n"/>
      <s:c r="C25373" s="121" t="n"/>
      <s:c r="D25373" s="121" t="n"/>
      <s:c r="E25373" s="122" t="n"/>
    </s:row>
    <s:row r="25374" hidden="1" ht="1" customHeight="1">
      <s:c r="A25374" s="120" t="inlineStr"/>
      <s:c r="B25374" s="121" t="n"/>
      <s:c r="C25374" s="121" t="n"/>
      <s:c r="D25374" s="121" t="n"/>
      <s:c r="E25374" s="122" t="n"/>
    </s:row>
    <s:row r="25375" hidden="1" ht="1" customHeight="1">
      <s:c r="A25375" s="120" t="inlineStr"/>
      <s:c r="B25375" s="121" t="n"/>
      <s:c r="C25375" s="121" t="n"/>
      <s:c r="D25375" s="121" t="n"/>
      <s:c r="E25375" s="122" t="n"/>
    </s:row>
    <s:row r="25376" hidden="1" ht="1" customHeight="1">
      <s:c r="A25376" s="120" t="inlineStr"/>
      <s:c r="B25376" s="121" t="n"/>
      <s:c r="C25376" s="121" t="n"/>
      <s:c r="D25376" s="121" t="n"/>
      <s:c r="E25376" s="122" t="n"/>
    </s:row>
    <s:row r="25377" hidden="1" ht="1" customHeight="1">
      <s:c r="A25377" s="120" t="inlineStr"/>
      <s:c r="B25377" s="121" t="n"/>
      <s:c r="C25377" s="121" t="n"/>
      <s:c r="D25377" s="121" t="n"/>
      <s:c r="E25377" s="122" t="n"/>
    </s:row>
    <s:row r="25378" hidden="1" ht="1" customHeight="1">
      <s:c r="A25378" s="120" t="inlineStr"/>
      <s:c r="B25378" s="121" t="n"/>
      <s:c r="C25378" s="121" t="n"/>
      <s:c r="D25378" s="121" t="n"/>
      <s:c r="E25378" s="122" t="n"/>
    </s:row>
    <s:row r="25379" hidden="1" ht="1" customHeight="1">
      <s:c r="A25379" s="120" t="inlineStr"/>
      <s:c r="B25379" s="121" t="n"/>
      <s:c r="C25379" s="121" t="n"/>
      <s:c r="D25379" s="121" t="n"/>
      <s:c r="E25379" s="122" t="n"/>
    </s:row>
    <s:row r="25380" hidden="1" ht="1" customHeight="1">
      <s:c r="A25380" s="120" t="inlineStr"/>
      <s:c r="B25380" s="121" t="n"/>
      <s:c r="C25380" s="121" t="n"/>
      <s:c r="D25380" s="121" t="n"/>
      <s:c r="E25380" s="122" t="n"/>
    </s:row>
    <s:row r="25381" hidden="1" ht="1" customHeight="1">
      <s:c r="A25381" s="120" t="inlineStr"/>
      <s:c r="B25381" s="121" t="n"/>
      <s:c r="C25381" s="121" t="n"/>
      <s:c r="D25381" s="121" t="n"/>
      <s:c r="E25381" s="122" t="n"/>
    </s:row>
    <s:row r="25382" hidden="1" ht="1" customHeight="1">
      <s:c r="A25382" s="120" t="inlineStr"/>
      <s:c r="B25382" s="121" t="n"/>
      <s:c r="C25382" s="121" t="n"/>
      <s:c r="D25382" s="121" t="n"/>
      <s:c r="E25382" s="122" t="n"/>
    </s:row>
    <s:row r="25383" hidden="1" ht="1" customHeight="1">
      <s:c r="A25383" s="120" t="inlineStr"/>
      <s:c r="B25383" s="121" t="n"/>
      <s:c r="C25383" s="121" t="n"/>
      <s:c r="D25383" s="121" t="n"/>
      <s:c r="E25383" s="122" t="n"/>
    </s:row>
    <s:row r="25384" hidden="1" ht="1" customHeight="1">
      <s:c r="A25384" s="120" t="inlineStr"/>
      <s:c r="B25384" s="121" t="n"/>
      <s:c r="C25384" s="121" t="n"/>
      <s:c r="D25384" s="121" t="n"/>
      <s:c r="E25384" s="122" t="n"/>
    </s:row>
    <s:row r="25385" hidden="1" ht="1" customHeight="1">
      <s:c r="A25385" s="120" t="inlineStr"/>
      <s:c r="B25385" s="121" t="n"/>
      <s:c r="C25385" s="121" t="n"/>
      <s:c r="D25385" s="121" t="n"/>
      <s:c r="E25385" s="122" t="n"/>
    </s:row>
    <s:row r="25386" hidden="1" ht="1" customHeight="1">
      <s:c r="A25386" s="120" t="inlineStr"/>
      <s:c r="B25386" s="121" t="n"/>
      <s:c r="C25386" s="121" t="n"/>
      <s:c r="D25386" s="121" t="n"/>
      <s:c r="E25386" s="122" t="n"/>
    </s:row>
    <s:row r="25387" hidden="1" ht="1" customHeight="1">
      <s:c r="A25387" s="120" t="inlineStr"/>
      <s:c r="B25387" s="121" t="n"/>
      <s:c r="C25387" s="121" t="n"/>
      <s:c r="D25387" s="121" t="n"/>
      <s:c r="E25387" s="122" t="n"/>
    </s:row>
    <s:row r="25388" hidden="1" ht="1" customHeight="1">
      <s:c r="A25388" s="120" t="inlineStr"/>
      <s:c r="B25388" s="121" t="n"/>
      <s:c r="C25388" s="121" t="n"/>
      <s:c r="D25388" s="121" t="n"/>
      <s:c r="E25388" s="122" t="n"/>
    </s:row>
    <s:row r="25389" hidden="1" ht="1" customHeight="1">
      <s:c r="A25389" s="120" t="inlineStr"/>
      <s:c r="B25389" s="121" t="n"/>
      <s:c r="C25389" s="121" t="n"/>
      <s:c r="D25389" s="121" t="n"/>
      <s:c r="E25389" s="122" t="n"/>
    </s:row>
    <s:row r="25390" hidden="1" ht="1" customHeight="1">
      <s:c r="A25390" s="120" t="inlineStr"/>
      <s:c r="B25390" s="121" t="n"/>
      <s:c r="C25390" s="121" t="n"/>
      <s:c r="D25390" s="121" t="n"/>
      <s:c r="E25390" s="122" t="n"/>
    </s:row>
    <s:row r="25391" hidden="1" ht="1" customHeight="1">
      <s:c r="A25391" s="120" t="inlineStr"/>
      <s:c r="B25391" s="121" t="n"/>
      <s:c r="C25391" s="121" t="n"/>
      <s:c r="D25391" s="121" t="n"/>
      <s:c r="E25391" s="122" t="n"/>
    </s:row>
    <s:row r="25392" hidden="1" ht="1" customHeight="1">
      <s:c r="A25392" s="120" t="inlineStr"/>
      <s:c r="B25392" s="121" t="n"/>
      <s:c r="C25392" s="121" t="n"/>
      <s:c r="D25392" s="121" t="n"/>
      <s:c r="E25392" s="122" t="n"/>
    </s:row>
    <s:row r="25393" hidden="1" ht="1" customHeight="1">
      <s:c r="A25393" s="120" t="inlineStr"/>
      <s:c r="B25393" s="121" t="n"/>
      <s:c r="C25393" s="121" t="n"/>
      <s:c r="D25393" s="121" t="n"/>
      <s:c r="E25393" s="122" t="n"/>
    </s:row>
    <s:row r="25394" hidden="1" ht="1" customHeight="1">
      <s:c r="A25394" s="120" t="inlineStr"/>
      <s:c r="B25394" s="121" t="n"/>
      <s:c r="C25394" s="121" t="n"/>
      <s:c r="D25394" s="121" t="n"/>
      <s:c r="E25394" s="122" t="n"/>
    </s:row>
    <s:row r="25395" hidden="1" ht="1" customHeight="1">
      <s:c r="A25395" s="120" t="inlineStr"/>
      <s:c r="B25395" s="121" t="n"/>
      <s:c r="C25395" s="121" t="n"/>
      <s:c r="D25395" s="121" t="n"/>
      <s:c r="E25395" s="122" t="n"/>
    </s:row>
    <s:row r="25396" hidden="1" ht="1" customHeight="1">
      <s:c r="A25396" s="120" t="inlineStr"/>
      <s:c r="B25396" s="121" t="n"/>
      <s:c r="C25396" s="121" t="n"/>
      <s:c r="D25396" s="121" t="n"/>
      <s:c r="E25396" s="122" t="n"/>
    </s:row>
    <s:row r="25397" hidden="1" ht="1" customHeight="1">
      <s:c r="A25397" s="120" t="inlineStr"/>
      <s:c r="B25397" s="121" t="n"/>
      <s:c r="C25397" s="121" t="n"/>
      <s:c r="D25397" s="121" t="n"/>
      <s:c r="E25397" s="122" t="n"/>
    </s:row>
    <s:row r="25398" hidden="1" ht="1" customHeight="1">
      <s:c r="A25398" s="120" t="inlineStr"/>
      <s:c r="B25398" s="121" t="n"/>
      <s:c r="C25398" s="121" t="n"/>
      <s:c r="D25398" s="121" t="n"/>
      <s:c r="E25398" s="122" t="n"/>
    </s:row>
    <s:row r="25399" hidden="1" ht="1" customHeight="1">
      <s:c r="A25399" s="120" t="inlineStr"/>
      <s:c r="B25399" s="121" t="n"/>
      <s:c r="C25399" s="121" t="n"/>
      <s:c r="D25399" s="121" t="n"/>
      <s:c r="E25399" s="122" t="n"/>
    </s:row>
    <s:row r="25400" hidden="1" ht="1" customHeight="1">
      <s:c r="A25400" s="120" t="inlineStr"/>
      <s:c r="B25400" s="121" t="n"/>
      <s:c r="C25400" s="121" t="n"/>
      <s:c r="D25400" s="121" t="n"/>
      <s:c r="E25400" s="122" t="n"/>
    </s:row>
    <s:row r="25401" hidden="1" ht="1" customHeight="1">
      <s:c r="A25401" s="120" t="inlineStr"/>
      <s:c r="B25401" s="121" t="n"/>
      <s:c r="C25401" s="121" t="n"/>
      <s:c r="D25401" s="121" t="n"/>
      <s:c r="E25401" s="122" t="n"/>
    </s:row>
    <s:row r="25402" hidden="1" ht="1" customHeight="1">
      <s:c r="A25402" s="120" t="inlineStr"/>
      <s:c r="B25402" s="121" t="n"/>
      <s:c r="C25402" s="121" t="n"/>
      <s:c r="D25402" s="121" t="n"/>
      <s:c r="E25402" s="122" t="n"/>
    </s:row>
    <s:row r="25403" hidden="1" ht="1" customHeight="1">
      <s:c r="A25403" s="120" t="inlineStr"/>
      <s:c r="B25403" s="121" t="n"/>
      <s:c r="C25403" s="121" t="n"/>
      <s:c r="D25403" s="121" t="n"/>
      <s:c r="E25403" s="122" t="n"/>
    </s:row>
    <s:row r="25404" hidden="1" ht="1" customHeight="1">
      <s:c r="A25404" s="120" t="inlineStr"/>
      <s:c r="B25404" s="121" t="n"/>
      <s:c r="C25404" s="121" t="n"/>
      <s:c r="D25404" s="121" t="n"/>
      <s:c r="E25404" s="122" t="n"/>
    </s:row>
    <s:row r="25405" hidden="1" ht="1" customHeight="1">
      <s:c r="A25405" s="120" t="inlineStr"/>
      <s:c r="B25405" s="121" t="n"/>
      <s:c r="C25405" s="121" t="n"/>
      <s:c r="D25405" s="121" t="n"/>
      <s:c r="E25405" s="122" t="n"/>
    </s:row>
    <s:row r="25406" hidden="1" ht="1" customHeight="1">
      <s:c r="A25406" s="120" t="inlineStr"/>
      <s:c r="B25406" s="121" t="n"/>
      <s:c r="C25406" s="121" t="n"/>
      <s:c r="D25406" s="121" t="n"/>
      <s:c r="E25406" s="122" t="n"/>
    </s:row>
    <s:row r="25407" hidden="1" ht="1" customHeight="1">
      <s:c r="A25407" s="120" t="inlineStr"/>
      <s:c r="B25407" s="121" t="n"/>
      <s:c r="C25407" s="121" t="n"/>
      <s:c r="D25407" s="121" t="n"/>
      <s:c r="E25407" s="122" t="n"/>
    </s:row>
    <s:row r="25408" hidden="1" ht="1" customHeight="1">
      <s:c r="A25408" s="120" t="inlineStr"/>
      <s:c r="B25408" s="121" t="n"/>
      <s:c r="C25408" s="121" t="n"/>
      <s:c r="D25408" s="121" t="n"/>
      <s:c r="E25408" s="122" t="n"/>
    </s:row>
    <s:row r="25409" hidden="1" ht="1" customHeight="1">
      <s:c r="A25409" s="120" t="inlineStr"/>
      <s:c r="B25409" s="121" t="n"/>
      <s:c r="C25409" s="121" t="n"/>
      <s:c r="D25409" s="121" t="n"/>
      <s:c r="E25409" s="122" t="n"/>
    </s:row>
    <s:row r="25410" hidden="1" ht="1" customHeight="1">
      <s:c r="A25410" s="120" t="inlineStr"/>
      <s:c r="B25410" s="121" t="n"/>
      <s:c r="C25410" s="121" t="n"/>
      <s:c r="D25410" s="121" t="n"/>
      <s:c r="E25410" s="122" t="n"/>
    </s:row>
    <s:row r="25411" hidden="1" ht="1" customHeight="1">
      <s:c r="A25411" s="120" t="inlineStr"/>
      <s:c r="B25411" s="121" t="n"/>
      <s:c r="C25411" s="121" t="n"/>
      <s:c r="D25411" s="121" t="n"/>
      <s:c r="E25411" s="122" t="n"/>
    </s:row>
    <s:row r="25412" hidden="1" ht="1" customHeight="1">
      <s:c r="A25412" s="120" t="inlineStr"/>
      <s:c r="B25412" s="121" t="n"/>
      <s:c r="C25412" s="121" t="n"/>
      <s:c r="D25412" s="121" t="n"/>
      <s:c r="E25412" s="122" t="n"/>
    </s:row>
    <s:row r="25413" hidden="1" ht="1" customHeight="1">
      <s:c r="A25413" s="120" t="inlineStr"/>
      <s:c r="B25413" s="121" t="n"/>
      <s:c r="C25413" s="121" t="n"/>
      <s:c r="D25413" s="121" t="n"/>
      <s:c r="E25413" s="122" t="n"/>
    </s:row>
    <s:row r="25414" hidden="1" ht="1" customHeight="1">
      <s:c r="A25414" s="120" t="inlineStr"/>
      <s:c r="B25414" s="121" t="n"/>
      <s:c r="C25414" s="121" t="n"/>
      <s:c r="D25414" s="121" t="n"/>
      <s:c r="E25414" s="122" t="n"/>
    </s:row>
    <s:row r="25415" hidden="1" ht="1" customHeight="1">
      <s:c r="A25415" s="120" t="inlineStr"/>
      <s:c r="B25415" s="121" t="n"/>
      <s:c r="C25415" s="121" t="n"/>
      <s:c r="D25415" s="121" t="n"/>
      <s:c r="E25415" s="122" t="n"/>
    </s:row>
    <s:row r="25416" hidden="1" ht="1" customHeight="1">
      <s:c r="A25416" s="120" t="inlineStr"/>
      <s:c r="B25416" s="121" t="n"/>
      <s:c r="C25416" s="121" t="n"/>
      <s:c r="D25416" s="121" t="n"/>
      <s:c r="E25416" s="122" t="n"/>
    </s:row>
    <s:row r="25417" hidden="1" ht="1" customHeight="1">
      <s:c r="A25417" s="120" t="inlineStr"/>
      <s:c r="B25417" s="121" t="n"/>
      <s:c r="C25417" s="121" t="n"/>
      <s:c r="D25417" s="121" t="n"/>
      <s:c r="E25417" s="122" t="n"/>
    </s:row>
    <s:row r="25418" hidden="1" ht="1" customHeight="1">
      <s:c r="A25418" s="120" t="inlineStr"/>
      <s:c r="B25418" s="121" t="n"/>
      <s:c r="C25418" s="121" t="n"/>
      <s:c r="D25418" s="121" t="n"/>
      <s:c r="E25418" s="122" t="n"/>
    </s:row>
    <s:row r="25419" hidden="1" ht="1" customHeight="1">
      <s:c r="A25419" s="120" t="inlineStr"/>
      <s:c r="B25419" s="121" t="n"/>
      <s:c r="C25419" s="121" t="n"/>
      <s:c r="D25419" s="121" t="n"/>
      <s:c r="E25419" s="122" t="n"/>
    </s:row>
    <s:row r="25420" hidden="1" ht="1" customHeight="1">
      <s:c r="A25420" s="120" t="inlineStr"/>
      <s:c r="B25420" s="121" t="n"/>
      <s:c r="C25420" s="121" t="n"/>
      <s:c r="D25420" s="121" t="n"/>
      <s:c r="E25420" s="122" t="n"/>
    </s:row>
    <s:row r="25421" hidden="1" ht="1" customHeight="1">
      <s:c r="A25421" s="120" t="inlineStr"/>
      <s:c r="B25421" s="121" t="n"/>
      <s:c r="C25421" s="121" t="n"/>
      <s:c r="D25421" s="121" t="n"/>
      <s:c r="E25421" s="122" t="n"/>
    </s:row>
    <s:row r="25422" hidden="1" ht="1" customHeight="1">
      <s:c r="A25422" s="120" t="inlineStr"/>
      <s:c r="B25422" s="121" t="n"/>
      <s:c r="C25422" s="121" t="n"/>
      <s:c r="D25422" s="121" t="n"/>
      <s:c r="E25422" s="122" t="n"/>
    </s:row>
    <s:row r="25423" hidden="1" ht="1" customHeight="1">
      <s:c r="A25423" s="120" t="inlineStr"/>
      <s:c r="B25423" s="121" t="n"/>
      <s:c r="C25423" s="121" t="n"/>
      <s:c r="D25423" s="121" t="n"/>
      <s:c r="E25423" s="122" t="n"/>
    </s:row>
    <s:row r="25424" hidden="1" ht="1" customHeight="1">
      <s:c r="A25424" s="120" t="inlineStr"/>
      <s:c r="B25424" s="121" t="n"/>
      <s:c r="C25424" s="121" t="n"/>
      <s:c r="D25424" s="121" t="n"/>
      <s:c r="E25424" s="122" t="n"/>
    </s:row>
    <s:row r="25425" hidden="1" ht="1" customHeight="1">
      <s:c r="A25425" s="120" t="inlineStr"/>
      <s:c r="B25425" s="121" t="n"/>
      <s:c r="C25425" s="121" t="n"/>
      <s:c r="D25425" s="121" t="n"/>
      <s:c r="E25425" s="122" t="n"/>
    </s:row>
    <s:row r="25426" hidden="1" ht="1" customHeight="1">
      <s:c r="A25426" s="120" t="inlineStr"/>
      <s:c r="B25426" s="121" t="n"/>
      <s:c r="C25426" s="121" t="n"/>
      <s:c r="D25426" s="121" t="n"/>
      <s:c r="E25426" s="122" t="n"/>
    </s:row>
    <s:row r="25427" hidden="1" ht="1" customHeight="1">
      <s:c r="A25427" s="120" t="inlineStr"/>
      <s:c r="B25427" s="121" t="n"/>
      <s:c r="C25427" s="121" t="n"/>
      <s:c r="D25427" s="121" t="n"/>
      <s:c r="E25427" s="122" t="n"/>
    </s:row>
    <s:row r="25428" hidden="1" ht="1" customHeight="1">
      <s:c r="A25428" s="120" t="inlineStr"/>
      <s:c r="B25428" s="121" t="n"/>
      <s:c r="C25428" s="121" t="n"/>
      <s:c r="D25428" s="121" t="n"/>
      <s:c r="E25428" s="122" t="n"/>
    </s:row>
    <s:row r="25429" hidden="1" ht="1" customHeight="1">
      <s:c r="A25429" s="120" t="inlineStr"/>
      <s:c r="B25429" s="121" t="n"/>
      <s:c r="C25429" s="121" t="n"/>
      <s:c r="D25429" s="121" t="n"/>
      <s:c r="E25429" s="122" t="n"/>
    </s:row>
    <s:row r="25430" hidden="1" ht="1" customHeight="1">
      <s:c r="A25430" s="120" t="inlineStr"/>
      <s:c r="B25430" s="121" t="n"/>
      <s:c r="C25430" s="121" t="n"/>
      <s:c r="D25430" s="121" t="n"/>
      <s:c r="E25430" s="122" t="n"/>
    </s:row>
    <s:row r="25431" hidden="1" ht="1" customHeight="1">
      <s:c r="A25431" s="120" t="inlineStr"/>
      <s:c r="B25431" s="121" t="n"/>
      <s:c r="C25431" s="121" t="n"/>
      <s:c r="D25431" s="121" t="n"/>
      <s:c r="E25431" s="122" t="n"/>
    </s:row>
    <s:row r="25432" hidden="1" ht="1" customHeight="1">
      <s:c r="A25432" s="120" t="inlineStr"/>
      <s:c r="B25432" s="121" t="n"/>
      <s:c r="C25432" s="121" t="n"/>
      <s:c r="D25432" s="121" t="n"/>
      <s:c r="E25432" s="122" t="n"/>
    </s:row>
    <s:row r="25433" hidden="1" ht="1" customHeight="1">
      <s:c r="A25433" s="120" t="inlineStr"/>
      <s:c r="B25433" s="121" t="n"/>
      <s:c r="C25433" s="121" t="n"/>
      <s:c r="D25433" s="121" t="n"/>
      <s:c r="E25433" s="122" t="n"/>
    </s:row>
    <s:row r="25434" hidden="1" ht="1" customHeight="1">
      <s:c r="A25434" s="120" t="inlineStr"/>
      <s:c r="B25434" s="121" t="n"/>
      <s:c r="C25434" s="121" t="n"/>
      <s:c r="D25434" s="121" t="n"/>
      <s:c r="E25434" s="122" t="n"/>
    </s:row>
    <s:row r="25435" hidden="1" ht="1" customHeight="1">
      <s:c r="A25435" s="120" t="inlineStr"/>
      <s:c r="B25435" s="121" t="n"/>
      <s:c r="C25435" s="121" t="n"/>
      <s:c r="D25435" s="121" t="n"/>
      <s:c r="E25435" s="122" t="n"/>
    </s:row>
    <s:row r="25436" hidden="1" ht="1" customHeight="1">
      <s:c r="A25436" s="120" t="inlineStr"/>
      <s:c r="B25436" s="121" t="n"/>
      <s:c r="C25436" s="121" t="n"/>
      <s:c r="D25436" s="121" t="n"/>
      <s:c r="E25436" s="122" t="n"/>
    </s:row>
    <s:row r="25437" hidden="1" ht="1" customHeight="1">
      <s:c r="A25437" s="120" t="inlineStr"/>
      <s:c r="B25437" s="121" t="n"/>
      <s:c r="C25437" s="121" t="n"/>
      <s:c r="D25437" s="121" t="n"/>
      <s:c r="E25437" s="122" t="n"/>
    </s:row>
    <s:row r="25438" hidden="1" ht="1" customHeight="1">
      <s:c r="A25438" s="120" t="inlineStr"/>
      <s:c r="B25438" s="121" t="n"/>
      <s:c r="C25438" s="121" t="n"/>
      <s:c r="D25438" s="121" t="n"/>
      <s:c r="E25438" s="122" t="n"/>
    </s:row>
    <s:row r="25439" hidden="1" ht="1" customHeight="1">
      <s:c r="A25439" s="120" t="inlineStr"/>
      <s:c r="B25439" s="121" t="n"/>
      <s:c r="C25439" s="121" t="n"/>
      <s:c r="D25439" s="121" t="n"/>
      <s:c r="E25439" s="122" t="n"/>
    </s:row>
    <s:row r="25440" hidden="1" ht="1" customHeight="1">
      <s:c r="A25440" s="120" t="inlineStr"/>
      <s:c r="B25440" s="121" t="n"/>
      <s:c r="C25440" s="121" t="n"/>
      <s:c r="D25440" s="121" t="n"/>
      <s:c r="E25440" s="122" t="n"/>
    </s:row>
    <s:row r="25441" hidden="1" ht="1" customHeight="1">
      <s:c r="A25441" s="120" t="inlineStr"/>
      <s:c r="B25441" s="121" t="n"/>
      <s:c r="C25441" s="121" t="n"/>
      <s:c r="D25441" s="121" t="n"/>
      <s:c r="E25441" s="122" t="n"/>
    </s:row>
    <s:row r="25442" hidden="1" ht="1" customHeight="1">
      <s:c r="A25442" s="120" t="inlineStr"/>
      <s:c r="B25442" s="121" t="n"/>
      <s:c r="C25442" s="121" t="n"/>
      <s:c r="D25442" s="121" t="n"/>
      <s:c r="E25442" s="122" t="n"/>
    </s:row>
    <s:row r="25443" hidden="1" ht="1" customHeight="1">
      <s:c r="A25443" s="120" t="inlineStr"/>
      <s:c r="B25443" s="121" t="n"/>
      <s:c r="C25443" s="121" t="n"/>
      <s:c r="D25443" s="121" t="n"/>
      <s:c r="E25443" s="122" t="n"/>
    </s:row>
    <s:row r="25444" hidden="1" ht="1" customHeight="1">
      <s:c r="A25444" s="120" t="inlineStr"/>
      <s:c r="B25444" s="121" t="n"/>
      <s:c r="C25444" s="121" t="n"/>
      <s:c r="D25444" s="121" t="n"/>
      <s:c r="E25444" s="122" t="n"/>
    </s:row>
    <s:row r="25445" hidden="1" ht="1" customHeight="1">
      <s:c r="A25445" s="120" t="inlineStr"/>
      <s:c r="B25445" s="121" t="n"/>
      <s:c r="C25445" s="121" t="n"/>
      <s:c r="D25445" s="121" t="n"/>
      <s:c r="E25445" s="122" t="n"/>
    </s:row>
    <s:row r="25446" hidden="1" ht="1" customHeight="1">
      <s:c r="A25446" s="120" t="inlineStr"/>
      <s:c r="B25446" s="121" t="n"/>
      <s:c r="C25446" s="121" t="n"/>
      <s:c r="D25446" s="121" t="n"/>
      <s:c r="E25446" s="122" t="n"/>
    </s:row>
    <s:row r="25447" hidden="1" ht="1" customHeight="1">
      <s:c r="A25447" s="120" t="inlineStr"/>
      <s:c r="B25447" s="121" t="n"/>
      <s:c r="C25447" s="121" t="n"/>
      <s:c r="D25447" s="121" t="n"/>
      <s:c r="E25447" s="122" t="n"/>
    </s:row>
    <s:row r="25448" hidden="1" ht="1" customHeight="1">
      <s:c r="A25448" s="120" t="inlineStr"/>
      <s:c r="B25448" s="121" t="n"/>
      <s:c r="C25448" s="121" t="n"/>
      <s:c r="D25448" s="121" t="n"/>
      <s:c r="E25448" s="122" t="n"/>
    </s:row>
    <s:row r="25449" hidden="1" ht="1" customHeight="1">
      <s:c r="A25449" s="120" t="inlineStr"/>
      <s:c r="B25449" s="121" t="n"/>
      <s:c r="C25449" s="121" t="n"/>
      <s:c r="D25449" s="121" t="n"/>
      <s:c r="E25449" s="122" t="n"/>
    </s:row>
    <s:row r="25450" hidden="1" ht="1" customHeight="1">
      <s:c r="A25450" s="120" t="inlineStr"/>
      <s:c r="B25450" s="121" t="n"/>
      <s:c r="C25450" s="121" t="n"/>
      <s:c r="D25450" s="121" t="n"/>
      <s:c r="E25450" s="122" t="n"/>
    </s:row>
    <s:row r="25451" hidden="1" ht="1" customHeight="1">
      <s:c r="A25451" s="120" t="inlineStr"/>
      <s:c r="B25451" s="121" t="n"/>
      <s:c r="C25451" s="121" t="n"/>
      <s:c r="D25451" s="121" t="n"/>
      <s:c r="E25451" s="122" t="n"/>
    </s:row>
    <s:row r="25452" hidden="1" ht="1" customHeight="1">
      <s:c r="A25452" s="83" t="inlineStr">
        <s:is>
          <s:t>PASS</s:t>
        </s:is>
      </s:c>
      <s:c r="B25452" s="83">
        <s:f>SUM(IF(EXACT('Kiểm thử'!E25152,"Đạt"),1,0),IF(EXACT('Kiểm thử'!E25154,"Đạt"),1,0),IF(EXACT('Kiểm thử'!E25156,"Đạt"),1,0),IF(EXACT('Kiểm thử'!E25158,"Đạt"),1,0),IF(EXACT('Kiểm thử'!E25160,"Đạt"),1,0),IF(EXACT('Kiểm thử'!E25162,"Đạt"),1,0))</s:f>
        <s:v/>
      </s:c>
      <s:c r="C25452" s="19" t="n"/>
      <s:c r="D25452" s="19" t="n"/>
      <s:c r="E25452" s="19" t="n"/>
    </s:row>
    <s:row r="25453" hidden="1" ht="1" customHeight="1">
      <s:c r="A25453" s="83" t="inlineStr">
        <s:is>
          <s:t>FAIL</s:t>
        </s:is>
      </s:c>
      <s:c r="B25453" s="83">
        <s:f>SUM(IF(EXACT('Kiểm thử'!E25152,"Không đạt"),1,0),IF(EXACT('Kiểm thử'!E25154,"Không đạt"),1,0),IF(EXACT('Kiểm thử'!E25156,"Không đạt"),1,0),IF(EXACT('Kiểm thử'!E25158,"Không đạt"),1,0),IF(EXACT('Kiểm thử'!E25160,"Không đạt"),1,0),IF(EXACT('Kiểm thử'!E25162,"Không đạt"),1,0))</s:f>
        <s:v/>
      </s:c>
      <s:c r="C25453" s="19" t="n"/>
      <s:c r="D25453" s="19" t="n"/>
      <s:c r="E25453" s="19" t="n"/>
    </s:row>
    <s:row r="25454" hidden="1" ht="1" customHeight="1">
      <s:c r="A25454" s="83" t="inlineStr">
        <s:is>
          <s:t>BLOCKED</s:t>
        </s:is>
      </s:c>
      <s:c r="B25454" s="83">
        <s:f>SUM(IF(EXACT('Kiểm thử'!E25152,"Bị chặn"),1,0),IF(EXACT('Kiểm thử'!E25154,"Bị chặn"),1,0),IF(EXACT('Kiểm thử'!E25156,"Bị chặn"),1,0),IF(EXACT('Kiểm thử'!E25158,"Bị chặn"),1,0),IF(EXACT('Kiểm thử'!E25160,"Bị chặn"),1,0),IF(EXACT('Kiểm thử'!E25162,"Bị chặn"),1,0))</s:f>
        <s:v/>
      </s:c>
      <s:c r="C25454" s="19" t="n"/>
      <s:c r="D25454" s="19" t="n"/>
      <s:c r="E25454" s="19" t="n"/>
    </s:row>
    <s:row r="25455" hidden="1" ht="1" customHeight="1">
      <s:c r="A25455" s="83" t="inlineStr">
        <s:is>
          <s:t>SKIPPED</s:t>
        </s:is>
      </s:c>
      <s:c r="B25455" s="83">
        <s:f>SUM(IF(EXACT('Kiểm thử'!E25152,"Không thực hiện"),1,0),IF(EXACT('Kiểm thử'!E25154,"Không thực hiện"),1,0),IF(EXACT('Kiểm thử'!E25156,"Không thực hiện"),1,0),IF(EXACT('Kiểm thử'!E25158,"Không thực hiện"),1,0),IF(EXACT('Kiểm thử'!E25160,"Không thực hiện"),1,0),IF(EXACT('Kiểm thử'!E25162,"Không thực hiện"),1,0))</s:f>
        <s:v/>
      </s:c>
      <s:c r="C25455" s="19" t="n"/>
      <s:c r="D25455" s="19" t="n"/>
      <s:c r="E25455" s="19" t="n"/>
    </s:row>
    <s:row r="25456" hidden="1" ht="1" customHeight="1">
      <s:c r="A25456" s="83" t="inlineStr">
        <s:is>
          <s:t>NOT RUN</s:t>
        </s:is>
      </s:c>
      <s:c r="B25456" s="83">
        <s:f>SUM(IF(EXACT('Kiểm thử'!E25152,"Chưa thực hiện"),1,0),IF(EXACT('Kiểm thử'!E25154,"Chưa thực hiện"),1,0),IF(EXACT('Kiểm thử'!E25156,"Chưa thực hiện"),1,0),IF(EXACT('Kiểm thử'!E25158,"Chưa thực hiện"),1,0),IF(EXACT('Kiểm thử'!E25160,"Chưa thực hiện"),1,0),IF(EXACT('Kiểm thử'!E25162,"Chưa thực hiện"),1,0))</s:f>
        <s:v/>
      </s:c>
      <s:c r="C25456" s="19" t="n"/>
      <s:c r="D25456" s="19" t="n"/>
      <s:c r="E25456" s="19" t="n"/>
    </s:row>
    <s:row r="25457" hidden="1" ht="6" customHeight="1">
      <s:c r="A25457" s="83" t="inlineStr"/>
      <s:c r="B25457" s="19" t="n"/>
      <s:c r="C25457" s="19" t="n"/>
      <s:c r="D25457" s="19" t="n"/>
      <s:c r="E25457" s="19" t="n"/>
    </s:row>
    <s:row r="25458" ht="28" customHeight="1">
      <s:c r="A25458" s="108" t="inlineStr">
        <s:is>
          <s:t>TC-RS-CALC-005 — Tỷ lệ 30% với M=100</s:t>
        </s:is>
      </s:c>
      <s:c r="B25458" s="111" t="n"/>
      <s:c r="C25458" s="111" t="n"/>
      <s:c r="D25458" s="111" t="n"/>
      <s:c r="E25458" s="111" t="n"/>
    </s:row>
    <s:row r="25459" ht="20" customHeight="1">
      <s:c r="A25459" s="112" t="inlineStr">
        <s:is>
          <s:t>Kết quả tình huống</s:t>
        </s:is>
      </s:c>
      <s:c r="B25459" s="113">
        <s:f>IF(SUM(IF(EXACT('Kiểm thử'!E25466,"Không đạt"),1,0),IF(EXACT('Kiểm thử'!E25468,"Không đạt"),1,0))&gt;0,"Không đạt",IF(SUM(IF(EXACT('Kiểm thử'!E25466,"Đạt"),1,0),IF(EXACT('Kiểm thử'!E25468,"Đạt"),1,0))=2,"Đạt",IF(SUM(IF(EXACT('Kiểm thử'!E25466,"Không thực hiện"),1,0),IF(EXACT('Kiểm thử'!E25468,"Không thực hiện"),1,0))=2,"Không thực hiện",IF(SUM(IF(EXACT('Kiểm thử'!E25466,"Bị chặn"),1,0),IF(EXACT('Kiểm thử'!E25468,"Bị chặn"),1,0))&gt;0,"Bị chặn",IF(SUM(IF(EXACT('Kiểm thử'!E25466,"Chưa thực hiện"),1,0),IF(EXACT('Kiểm thử'!E25468,"Chưa thực hiện"),1,0))=2,"Chưa thực hiện","Đang thực hiện")))))</s:f>
        <s:v/>
      </s:c>
      <s:c r="C25459" s="114" t="n"/>
      <s:c r="D25459" s="114" t="n"/>
      <s:c r="E25459" s="114" t="n"/>
    </s:row>
    <s:row r="25460" ht="20" customHeight="1">
      <s:c r="A25460" s="112" t="inlineStr">
        <s:is>
          <s:t>Màn hình / chức năng</s:t>
        </s:is>
      </s:c>
      <s:c r="B25460" s="113" t="inlineStr">
        <s:is>
          <s:r>
            <s:rPr>
              <s:b val="1"/>
            </s:rPr>
            <s:t>Thiết lập ngưỡng（基準設定）</s:t>
          </s:r>
        </s:is>
      </s:c>
      <s:c r="C25460" s="28" t="n"/>
      <s:c r="D25460" s="28" t="n"/>
      <s:c r="E25460" s="28" t="n"/>
    </s:row>
    <s:row r="25461" ht="20" customHeight="1">
      <s:c r="A25461" s="112" t="inlineStr">
        <s:is>
          <s:t>Cấu hình</s:t>
        </s:is>
      </s:c>
      <s:c r="B25461" s="113" t="inlineStr">
        <s:is>
          <s:r>
            <s:t>• Mục số nguyên (</s:t>
          </s:r>
          <s:r>
            <s:rPr>
              <s:b val="1"/>
            </s:rPr>
            <s:t>M=100</s:t>
          </s:r>
          <s:r>
            <s:t>) (</s:t>
          </s:r>
          <s:r>
            <s:rPr>
              <s:b val="1"/>
            </s:rPr>
            <s:t>M=100</s:t>
          </s:r>
          <s:r>
            <s:t>).</s:t>
          </s:r>
        </s:is>
      </s:c>
      <s:c r="C25461" s="28" t="n"/>
      <s:c r="D25461" s="28" t="n"/>
      <s:c r="E25461" s="28" t="n"/>
    </s:row>
    <s:row r="25462" ht="48" customHeight="1">
      <s:c r="A25462" s="112" t="inlineStr">
        <s:is>
          <s:t>Dữ liệu test</s:t>
        </s:is>
      </s:c>
      <s:c r="B25462" s="113" t="inlineStr">
        <s:is>
          <s:r>
            <s:t>• Mục số nguyên (</s:t>
          </s:r>
          <s:r>
            <s:rPr>
              <s:b val="1"/>
            </s:rPr>
            <s:t>M=100</s:t>
          </s:r>
          <s:r>
            <s:t>);
• Quy tắc tỷ lệ 30%;
• Học sinh S01 (điểm 29), học sinh S02 (điểm 30), học sinh S03 (điểm 31)</s:t>
          </s:r>
        </s:is>
      </s:c>
      <s:c r="C25462" s="28" t="n"/>
      <s:c r="D25462" s="28" t="n"/>
      <s:c r="E25462" s="28" t="n"/>
    </s:row>
    <s:row r="25463" ht="20" customHeight="1">
      <s:c r="A25463" s="112" t="inlineStr">
        <s:is>
          <s:t>•</s:t>
        </s:is>
      </s:c>
      <s:c r="B25463" s="113" t="inlineStr">
        <s:is>
          <s:t>Đăng ký 29, 30, 31; xét với [&lt;] rồi [≤].</s:t>
        </s:is>
      </s:c>
      <s:c r="C25463" s="28" t="n"/>
      <s:c r="D25463" s="28" t="n"/>
      <s:c r="E25463" s="28" t="n"/>
    </s:row>
    <s:row r="25464" ht="28" customHeight="1">
      <s:c r="A25464" s="115" t="inlineStr">
        <s:is>
          <s:t>Trường hợp</s:t>
        </s:is>
      </s:c>
      <s:c r="B25464" s="115" t="inlineStr">
        <s:is>
          <s:t>Dữ liệu / thao tác riêng</s:t>
        </s:is>
      </s:c>
      <s:c r="C25464" s="115" t="inlineStr">
        <s:is>
          <s:t>Kết quả mong đợi</s:t>
        </s:is>
      </s:c>
      <s:c r="D25464" s="115" t="inlineStr">
        <s:is>
          <s:t>Kết quả thực tế</s:t>
        </s:is>
      </s:c>
      <s:c r="E25464" s="115" t="inlineStr">
        <s:is>
          <s:t>Đánh giá</s:t>
        </s:is>
      </s:c>
    </s:row>
    <s:row r="25465" ht="3" customHeight="1">
      <s:c r="A25465" s="102" t="inlineStr"/>
      <s:c r="B25465" s="99" t="n"/>
      <s:c r="C25465" s="99" t="n"/>
      <s:c r="D25465" s="116" t="n"/>
      <s:c r="E25465" s="116" t="n"/>
    </s:row>
    <s:row r="25466" ht="34" customHeight="1">
      <s:c r="A25466" s="83" t="inlineStr">
        <s:is>
          <s:t>Nhỏ hơn (lt)</s:t>
        </s:is>
      </s:c>
      <s:c r="B25466" s="83" t="inlineStr">
        <s:is>
          <s:t>Dấu nhỏ hơn</s:t>
        </s:is>
      </s:c>
      <s:c r="C25466" s="83" t="inlineStr">
        <s:is>
          <s:r>
            <s:t>[</s:t>
          </s:r>
          <s:r>
            <s:rPr>
              <s:b val="1"/>
            </s:rPr>
            <s:t>T=100</s:t>
          </s:r>
          <s:r>
            <s:t xml:space="preserve">×30/100=30].
[&lt;]: 29 </s:t>
          </s:r>
          <s:r>
            <s:rPr>
              <s:b val="1"/>
            </s:rPr>
            <s:t>Đỏ</s:t>
          </s:r>
          <s:r>
            <s:t xml:space="preserve">; 30 </s:t>
          </s:r>
          <s:r>
            <s:rPr>
              <s:b val="1"/>
            </s:rPr>
            <s:t>Không đỏ</s:t>
          </s:r>
          <s:r>
            <s:t xml:space="preserve">; 31 </s:t>
          </s:r>
          <s:r>
            <s:rPr>
              <s:b val="1"/>
            </s:rPr>
            <s:t>Không đỏ</s:t>
          </s:r>
          <s:r>
            <s:t>.</s:t>
          </s:r>
        </s:is>
      </s:c>
      <s:c r="D25466" s="117" t="inlineStr"/>
      <s:c r="E25466" s="118" t="inlineStr">
        <s:is>
          <s:t>Chưa thực hiện</s:t>
        </s:is>
      </s:c>
    </s:row>
    <s:row r="25467" ht="3" customHeight="1">
      <s:c r="A25467" s="102" t="inlineStr"/>
      <s:c r="B25467" s="99" t="n"/>
      <s:c r="C25467" s="99" t="n"/>
      <s:c r="D25467" s="116" t="n"/>
      <s:c r="E25467" s="116" t="n"/>
    </s:row>
    <s:row r="25468" ht="34" customHeight="1">
      <s:c r="A25468" s="83" t="inlineStr">
        <s:is>
          <s:t>Nhỏ hơn hoặc bằng (le)</s:t>
        </s:is>
      </s:c>
      <s:c r="B25468" s="83" t="inlineStr">
        <s:is>
          <s:t>Dấu nhỏ hơn hoặc bằng</s:t>
        </s:is>
      </s:c>
      <s:c r="C25468" s="83" t="inlineStr">
        <s:is>
          <s:r>
            <s:t>[</s:t>
          </s:r>
          <s:r>
            <s:rPr>
              <s:b val="1"/>
            </s:rPr>
            <s:t>T=100</s:t>
          </s:r>
          <s:r>
            <s:t xml:space="preserve">×30/100=30].
[≤]: 29 </s:t>
          </s:r>
          <s:r>
            <s:rPr>
              <s:b val="1"/>
            </s:rPr>
            <s:t>Đỏ</s:t>
          </s:r>
          <s:r>
            <s:t xml:space="preserve">; 30 </s:t>
          </s:r>
          <s:r>
            <s:rPr>
              <s:b val="1"/>
            </s:rPr>
            <s:t>Đỏ</s:t>
          </s:r>
          <s:r>
            <s:t xml:space="preserve">; 31 </s:t>
          </s:r>
          <s:r>
            <s:rPr>
              <s:b val="1"/>
            </s:rPr>
            <s:t>Không đỏ</s:t>
          </s:r>
          <s:r>
            <s:t>.</s:t>
          </s:r>
        </s:is>
      </s:c>
      <s:c r="D25468" s="117" t="inlineStr"/>
      <s:c r="E25468" s="118" t="inlineStr">
        <s:is>
          <s:t>Chưa thực hiện</s:t>
        </s:is>
      </s:c>
    </s:row>
    <s:row r="25469" ht="20" customHeight="1">
      <s:c r="A25469" s="119" t="inlineStr">
        <s:is>
          <s:t>Ảnh minh chứng — Chưa có ảnh</s:t>
        </s:is>
      </s:c>
      <s:c r="B25469" s="19" t="n"/>
      <s:c r="C25469" s="19" t="n"/>
      <s:c r="D25469" s="19" t="n"/>
      <s:c r="E25469" s="19" t="n"/>
    </s:row>
    <s:row r="25470" hidden="1" ht="1" customHeight="1">
      <s:c r="A25470" s="120" t="inlineStr"/>
      <s:c r="B25470" s="121" t="n"/>
      <s:c r="C25470" s="121" t="n"/>
      <s:c r="D25470" s="121" t="n"/>
      <s:c r="E25470" s="122" t="n"/>
    </s:row>
    <s:row r="25471" hidden="1" ht="1" customHeight="1">
      <s:c r="A25471" s="120" t="inlineStr"/>
      <s:c r="B25471" s="121" t="n"/>
      <s:c r="C25471" s="121" t="n"/>
      <s:c r="D25471" s="121" t="n"/>
      <s:c r="E25471" s="122" t="n"/>
    </s:row>
    <s:row r="25472" hidden="1" ht="1" customHeight="1">
      <s:c r="A25472" s="120" t="inlineStr"/>
      <s:c r="B25472" s="121" t="n"/>
      <s:c r="C25472" s="121" t="n"/>
      <s:c r="D25472" s="121" t="n"/>
      <s:c r="E25472" s="122" t="n"/>
    </s:row>
    <s:row r="25473" hidden="1" ht="1" customHeight="1">
      <s:c r="A25473" s="120" t="inlineStr"/>
      <s:c r="B25473" s="121" t="n"/>
      <s:c r="C25473" s="121" t="n"/>
      <s:c r="D25473" s="121" t="n"/>
      <s:c r="E25473" s="122" t="n"/>
    </s:row>
    <s:row r="25474" hidden="1" ht="1" customHeight="1">
      <s:c r="A25474" s="120" t="inlineStr"/>
      <s:c r="B25474" s="121" t="n"/>
      <s:c r="C25474" s="121" t="n"/>
      <s:c r="D25474" s="121" t="n"/>
      <s:c r="E25474" s="122" t="n"/>
    </s:row>
    <s:row r="25475" hidden="1" ht="1" customHeight="1">
      <s:c r="A25475" s="120" t="inlineStr"/>
      <s:c r="B25475" s="121" t="n"/>
      <s:c r="C25475" s="121" t="n"/>
      <s:c r="D25475" s="121" t="n"/>
      <s:c r="E25475" s="122" t="n"/>
    </s:row>
    <s:row r="25476" hidden="1" ht="1" customHeight="1">
      <s:c r="A25476" s="120" t="inlineStr"/>
      <s:c r="B25476" s="121" t="n"/>
      <s:c r="C25476" s="121" t="n"/>
      <s:c r="D25476" s="121" t="n"/>
      <s:c r="E25476" s="122" t="n"/>
    </s:row>
    <s:row r="25477" hidden="1" ht="1" customHeight="1">
      <s:c r="A25477" s="120" t="inlineStr"/>
      <s:c r="B25477" s="121" t="n"/>
      <s:c r="C25477" s="121" t="n"/>
      <s:c r="D25477" s="121" t="n"/>
      <s:c r="E25477" s="122" t="n"/>
    </s:row>
    <s:row r="25478" hidden="1" ht="1" customHeight="1">
      <s:c r="A25478" s="120" t="inlineStr"/>
      <s:c r="B25478" s="121" t="n"/>
      <s:c r="C25478" s="121" t="n"/>
      <s:c r="D25478" s="121" t="n"/>
      <s:c r="E25478" s="122" t="n"/>
    </s:row>
    <s:row r="25479" hidden="1" ht="1" customHeight="1">
      <s:c r="A25479" s="120" t="inlineStr"/>
      <s:c r="B25479" s="121" t="n"/>
      <s:c r="C25479" s="121" t="n"/>
      <s:c r="D25479" s="121" t="n"/>
      <s:c r="E25479" s="122" t="n"/>
    </s:row>
    <s:row r="25480" hidden="1" ht="1" customHeight="1">
      <s:c r="A25480" s="120" t="inlineStr"/>
      <s:c r="B25480" s="121" t="n"/>
      <s:c r="C25480" s="121" t="n"/>
      <s:c r="D25480" s="121" t="n"/>
      <s:c r="E25480" s="122" t="n"/>
    </s:row>
    <s:row r="25481" hidden="1" ht="1" customHeight="1">
      <s:c r="A25481" s="120" t="inlineStr"/>
      <s:c r="B25481" s="121" t="n"/>
      <s:c r="C25481" s="121" t="n"/>
      <s:c r="D25481" s="121" t="n"/>
      <s:c r="E25481" s="122" t="n"/>
    </s:row>
    <s:row r="25482" hidden="1" ht="1" customHeight="1">
      <s:c r="A25482" s="120" t="inlineStr"/>
      <s:c r="B25482" s="121" t="n"/>
      <s:c r="C25482" s="121" t="n"/>
      <s:c r="D25482" s="121" t="n"/>
      <s:c r="E25482" s="122" t="n"/>
    </s:row>
    <s:row r="25483" hidden="1" ht="1" customHeight="1">
      <s:c r="A25483" s="120" t="inlineStr"/>
      <s:c r="B25483" s="121" t="n"/>
      <s:c r="C25483" s="121" t="n"/>
      <s:c r="D25483" s="121" t="n"/>
      <s:c r="E25483" s="122" t="n"/>
    </s:row>
    <s:row r="25484" hidden="1" ht="1" customHeight="1">
      <s:c r="A25484" s="120" t="inlineStr"/>
      <s:c r="B25484" s="121" t="n"/>
      <s:c r="C25484" s="121" t="n"/>
      <s:c r="D25484" s="121" t="n"/>
      <s:c r="E25484" s="122" t="n"/>
    </s:row>
    <s:row r="25485" hidden="1" ht="1" customHeight="1">
      <s:c r="A25485" s="120" t="inlineStr"/>
      <s:c r="B25485" s="121" t="n"/>
      <s:c r="C25485" s="121" t="n"/>
      <s:c r="D25485" s="121" t="n"/>
      <s:c r="E25485" s="122" t="n"/>
    </s:row>
    <s:row r="25486" hidden="1" ht="1" customHeight="1">
      <s:c r="A25486" s="120" t="inlineStr"/>
      <s:c r="B25486" s="121" t="n"/>
      <s:c r="C25486" s="121" t="n"/>
      <s:c r="D25486" s="121" t="n"/>
      <s:c r="E25486" s="122" t="n"/>
    </s:row>
    <s:row r="25487" hidden="1" ht="1" customHeight="1">
      <s:c r="A25487" s="120" t="inlineStr"/>
      <s:c r="B25487" s="121" t="n"/>
      <s:c r="C25487" s="121" t="n"/>
      <s:c r="D25487" s="121" t="n"/>
      <s:c r="E25487" s="122" t="n"/>
    </s:row>
    <s:row r="25488" hidden="1" ht="1" customHeight="1">
      <s:c r="A25488" s="120" t="inlineStr"/>
      <s:c r="B25488" s="121" t="n"/>
      <s:c r="C25488" s="121" t="n"/>
      <s:c r="D25488" s="121" t="n"/>
      <s:c r="E25488" s="122" t="n"/>
    </s:row>
    <s:row r="25489" hidden="1" ht="1" customHeight="1">
      <s:c r="A25489" s="120" t="inlineStr"/>
      <s:c r="B25489" s="121" t="n"/>
      <s:c r="C25489" s="121" t="n"/>
      <s:c r="D25489" s="121" t="n"/>
      <s:c r="E25489" s="122" t="n"/>
    </s:row>
    <s:row r="25490" hidden="1" ht="1" customHeight="1">
      <s:c r="A25490" s="120" t="inlineStr"/>
      <s:c r="B25490" s="121" t="n"/>
      <s:c r="C25490" s="121" t="n"/>
      <s:c r="D25490" s="121" t="n"/>
      <s:c r="E25490" s="122" t="n"/>
    </s:row>
    <s:row r="25491" hidden="1" ht="1" customHeight="1">
      <s:c r="A25491" s="120" t="inlineStr"/>
      <s:c r="B25491" s="121" t="n"/>
      <s:c r="C25491" s="121" t="n"/>
      <s:c r="D25491" s="121" t="n"/>
      <s:c r="E25491" s="122" t="n"/>
    </s:row>
    <s:row r="25492" hidden="1" ht="1" customHeight="1">
      <s:c r="A25492" s="120" t="inlineStr"/>
      <s:c r="B25492" s="121" t="n"/>
      <s:c r="C25492" s="121" t="n"/>
      <s:c r="D25492" s="121" t="n"/>
      <s:c r="E25492" s="122" t="n"/>
    </s:row>
    <s:row r="25493" hidden="1" ht="1" customHeight="1">
      <s:c r="A25493" s="120" t="inlineStr"/>
      <s:c r="B25493" s="121" t="n"/>
      <s:c r="C25493" s="121" t="n"/>
      <s:c r="D25493" s="121" t="n"/>
      <s:c r="E25493" s="122" t="n"/>
    </s:row>
    <s:row r="25494" hidden="1" ht="1" customHeight="1">
      <s:c r="A25494" s="120" t="inlineStr"/>
      <s:c r="B25494" s="121" t="n"/>
      <s:c r="C25494" s="121" t="n"/>
      <s:c r="D25494" s="121" t="n"/>
      <s:c r="E25494" s="122" t="n"/>
    </s:row>
    <s:row r="25495" hidden="1" ht="1" customHeight="1">
      <s:c r="A25495" s="120" t="inlineStr"/>
      <s:c r="B25495" s="121" t="n"/>
      <s:c r="C25495" s="121" t="n"/>
      <s:c r="D25495" s="121" t="n"/>
      <s:c r="E25495" s="122" t="n"/>
    </s:row>
    <s:row r="25496" hidden="1" ht="1" customHeight="1">
      <s:c r="A25496" s="120" t="inlineStr"/>
      <s:c r="B25496" s="121" t="n"/>
      <s:c r="C25496" s="121" t="n"/>
      <s:c r="D25496" s="121" t="n"/>
      <s:c r="E25496" s="122" t="n"/>
    </s:row>
    <s:row r="25497" hidden="1" ht="1" customHeight="1">
      <s:c r="A25497" s="120" t="inlineStr"/>
      <s:c r="B25497" s="121" t="n"/>
      <s:c r="C25497" s="121" t="n"/>
      <s:c r="D25497" s="121" t="n"/>
      <s:c r="E25497" s="122" t="n"/>
    </s:row>
    <s:row r="25498" hidden="1" ht="1" customHeight="1">
      <s:c r="A25498" s="120" t="inlineStr"/>
      <s:c r="B25498" s="121" t="n"/>
      <s:c r="C25498" s="121" t="n"/>
      <s:c r="D25498" s="121" t="n"/>
      <s:c r="E25498" s="122" t="n"/>
    </s:row>
    <s:row r="25499" hidden="1" ht="1" customHeight="1">
      <s:c r="A25499" s="120" t="inlineStr"/>
      <s:c r="B25499" s="121" t="n"/>
      <s:c r="C25499" s="121" t="n"/>
      <s:c r="D25499" s="121" t="n"/>
      <s:c r="E25499" s="122" t="n"/>
    </s:row>
    <s:row r="25500" hidden="1" ht="1" customHeight="1">
      <s:c r="A25500" s="120" t="inlineStr"/>
      <s:c r="B25500" s="121" t="n"/>
      <s:c r="C25500" s="121" t="n"/>
      <s:c r="D25500" s="121" t="n"/>
      <s:c r="E25500" s="122" t="n"/>
    </s:row>
    <s:row r="25501" hidden="1" ht="1" customHeight="1">
      <s:c r="A25501" s="120" t="inlineStr"/>
      <s:c r="B25501" s="121" t="n"/>
      <s:c r="C25501" s="121" t="n"/>
      <s:c r="D25501" s="121" t="n"/>
      <s:c r="E25501" s="122" t="n"/>
    </s:row>
    <s:row r="25502" hidden="1" ht="1" customHeight="1">
      <s:c r="A25502" s="120" t="inlineStr"/>
      <s:c r="B25502" s="121" t="n"/>
      <s:c r="C25502" s="121" t="n"/>
      <s:c r="D25502" s="121" t="n"/>
      <s:c r="E25502" s="122" t="n"/>
    </s:row>
    <s:row r="25503" hidden="1" ht="1" customHeight="1">
      <s:c r="A25503" s="120" t="inlineStr"/>
      <s:c r="B25503" s="121" t="n"/>
      <s:c r="C25503" s="121" t="n"/>
      <s:c r="D25503" s="121" t="n"/>
      <s:c r="E25503" s="122" t="n"/>
    </s:row>
    <s:row r="25504" hidden="1" ht="1" customHeight="1">
      <s:c r="A25504" s="120" t="inlineStr"/>
      <s:c r="B25504" s="121" t="n"/>
      <s:c r="C25504" s="121" t="n"/>
      <s:c r="D25504" s="121" t="n"/>
      <s:c r="E25504" s="122" t="n"/>
    </s:row>
    <s:row r="25505" hidden="1" ht="1" customHeight="1">
      <s:c r="A25505" s="120" t="inlineStr"/>
      <s:c r="B25505" s="121" t="n"/>
      <s:c r="C25505" s="121" t="n"/>
      <s:c r="D25505" s="121" t="n"/>
      <s:c r="E25505" s="122" t="n"/>
    </s:row>
    <s:row r="25506" hidden="1" ht="1" customHeight="1">
      <s:c r="A25506" s="120" t="inlineStr"/>
      <s:c r="B25506" s="121" t="n"/>
      <s:c r="C25506" s="121" t="n"/>
      <s:c r="D25506" s="121" t="n"/>
      <s:c r="E25506" s="122" t="n"/>
    </s:row>
    <s:row r="25507" hidden="1" ht="1" customHeight="1">
      <s:c r="A25507" s="120" t="inlineStr"/>
      <s:c r="B25507" s="121" t="n"/>
      <s:c r="C25507" s="121" t="n"/>
      <s:c r="D25507" s="121" t="n"/>
      <s:c r="E25507" s="122" t="n"/>
    </s:row>
    <s:row r="25508" hidden="1" ht="1" customHeight="1">
      <s:c r="A25508" s="120" t="inlineStr"/>
      <s:c r="B25508" s="121" t="n"/>
      <s:c r="C25508" s="121" t="n"/>
      <s:c r="D25508" s="121" t="n"/>
      <s:c r="E25508" s="122" t="n"/>
    </s:row>
    <s:row r="25509" hidden="1" ht="1" customHeight="1">
      <s:c r="A25509" s="120" t="inlineStr"/>
      <s:c r="B25509" s="121" t="n"/>
      <s:c r="C25509" s="121" t="n"/>
      <s:c r="D25509" s="121" t="n"/>
      <s:c r="E25509" s="122" t="n"/>
    </s:row>
    <s:row r="25510" hidden="1" ht="1" customHeight="1">
      <s:c r="A25510" s="120" t="inlineStr"/>
      <s:c r="B25510" s="121" t="n"/>
      <s:c r="C25510" s="121" t="n"/>
      <s:c r="D25510" s="121" t="n"/>
      <s:c r="E25510" s="122" t="n"/>
    </s:row>
    <s:row r="25511" hidden="1" ht="1" customHeight="1">
      <s:c r="A25511" s="120" t="inlineStr"/>
      <s:c r="B25511" s="121" t="n"/>
      <s:c r="C25511" s="121" t="n"/>
      <s:c r="D25511" s="121" t="n"/>
      <s:c r="E25511" s="122" t="n"/>
    </s:row>
    <s:row r="25512" hidden="1" ht="1" customHeight="1">
      <s:c r="A25512" s="120" t="inlineStr"/>
      <s:c r="B25512" s="121" t="n"/>
      <s:c r="C25512" s="121" t="n"/>
      <s:c r="D25512" s="121" t="n"/>
      <s:c r="E25512" s="122" t="n"/>
    </s:row>
    <s:row r="25513" hidden="1" ht="1" customHeight="1">
      <s:c r="A25513" s="120" t="inlineStr"/>
      <s:c r="B25513" s="121" t="n"/>
      <s:c r="C25513" s="121" t="n"/>
      <s:c r="D25513" s="121" t="n"/>
      <s:c r="E25513" s="122" t="n"/>
    </s:row>
    <s:row r="25514" hidden="1" ht="1" customHeight="1">
      <s:c r="A25514" s="120" t="inlineStr"/>
      <s:c r="B25514" s="121" t="n"/>
      <s:c r="C25514" s="121" t="n"/>
      <s:c r="D25514" s="121" t="n"/>
      <s:c r="E25514" s="122" t="n"/>
    </s:row>
    <s:row r="25515" hidden="1" ht="1" customHeight="1">
      <s:c r="A25515" s="120" t="inlineStr"/>
      <s:c r="B25515" s="121" t="n"/>
      <s:c r="C25515" s="121" t="n"/>
      <s:c r="D25515" s="121" t="n"/>
      <s:c r="E25515" s="122" t="n"/>
    </s:row>
    <s:row r="25516" hidden="1" ht="1" customHeight="1">
      <s:c r="A25516" s="120" t="inlineStr"/>
      <s:c r="B25516" s="121" t="n"/>
      <s:c r="C25516" s="121" t="n"/>
      <s:c r="D25516" s="121" t="n"/>
      <s:c r="E25516" s="122" t="n"/>
    </s:row>
    <s:row r="25517" hidden="1" ht="1" customHeight="1">
      <s:c r="A25517" s="120" t="inlineStr"/>
      <s:c r="B25517" s="121" t="n"/>
      <s:c r="C25517" s="121" t="n"/>
      <s:c r="D25517" s="121" t="n"/>
      <s:c r="E25517" s="122" t="n"/>
    </s:row>
    <s:row r="25518" hidden="1" ht="1" customHeight="1">
      <s:c r="A25518" s="120" t="inlineStr"/>
      <s:c r="B25518" s="121" t="n"/>
      <s:c r="C25518" s="121" t="n"/>
      <s:c r="D25518" s="121" t="n"/>
      <s:c r="E25518" s="122" t="n"/>
    </s:row>
    <s:row r="25519" hidden="1" ht="1" customHeight="1">
      <s:c r="A25519" s="120" t="inlineStr"/>
      <s:c r="B25519" s="121" t="n"/>
      <s:c r="C25519" s="121" t="n"/>
      <s:c r="D25519" s="121" t="n"/>
      <s:c r="E25519" s="122" t="n"/>
    </s:row>
    <s:row r="25520" hidden="1" ht="1" customHeight="1">
      <s:c r="A25520" s="120" t="inlineStr"/>
      <s:c r="B25520" s="121" t="n"/>
      <s:c r="C25520" s="121" t="n"/>
      <s:c r="D25520" s="121" t="n"/>
      <s:c r="E25520" s="122" t="n"/>
    </s:row>
    <s:row r="25521" hidden="1" ht="1" customHeight="1">
      <s:c r="A25521" s="120" t="inlineStr"/>
      <s:c r="B25521" s="121" t="n"/>
      <s:c r="C25521" s="121" t="n"/>
      <s:c r="D25521" s="121" t="n"/>
      <s:c r="E25521" s="122" t="n"/>
    </s:row>
    <s:row r="25522" hidden="1" ht="1" customHeight="1">
      <s:c r="A25522" s="120" t="inlineStr"/>
      <s:c r="B25522" s="121" t="n"/>
      <s:c r="C25522" s="121" t="n"/>
      <s:c r="D25522" s="121" t="n"/>
      <s:c r="E25522" s="122" t="n"/>
    </s:row>
    <s:row r="25523" hidden="1" ht="1" customHeight="1">
      <s:c r="A25523" s="120" t="inlineStr"/>
      <s:c r="B25523" s="121" t="n"/>
      <s:c r="C25523" s="121" t="n"/>
      <s:c r="D25523" s="121" t="n"/>
      <s:c r="E25523" s="122" t="n"/>
    </s:row>
    <s:row r="25524" hidden="1" ht="1" customHeight="1">
      <s:c r="A25524" s="120" t="inlineStr"/>
      <s:c r="B25524" s="121" t="n"/>
      <s:c r="C25524" s="121" t="n"/>
      <s:c r="D25524" s="121" t="n"/>
      <s:c r="E25524" s="122" t="n"/>
    </s:row>
    <s:row r="25525" hidden="1" ht="1" customHeight="1">
      <s:c r="A25525" s="120" t="inlineStr"/>
      <s:c r="B25525" s="121" t="n"/>
      <s:c r="C25525" s="121" t="n"/>
      <s:c r="D25525" s="121" t="n"/>
      <s:c r="E25525" s="122" t="n"/>
    </s:row>
    <s:row r="25526" hidden="1" ht="1" customHeight="1">
      <s:c r="A25526" s="120" t="inlineStr"/>
      <s:c r="B25526" s="121" t="n"/>
      <s:c r="C25526" s="121" t="n"/>
      <s:c r="D25526" s="121" t="n"/>
      <s:c r="E25526" s="122" t="n"/>
    </s:row>
    <s:row r="25527" hidden="1" ht="1" customHeight="1">
      <s:c r="A25527" s="120" t="inlineStr"/>
      <s:c r="B25527" s="121" t="n"/>
      <s:c r="C25527" s="121" t="n"/>
      <s:c r="D25527" s="121" t="n"/>
      <s:c r="E25527" s="122" t="n"/>
    </s:row>
    <s:row r="25528" hidden="1" ht="1" customHeight="1">
      <s:c r="A25528" s="120" t="inlineStr"/>
      <s:c r="B25528" s="121" t="n"/>
      <s:c r="C25528" s="121" t="n"/>
      <s:c r="D25528" s="121" t="n"/>
      <s:c r="E25528" s="122" t="n"/>
    </s:row>
    <s:row r="25529" hidden="1" ht="1" customHeight="1">
      <s:c r="A25529" s="120" t="inlineStr"/>
      <s:c r="B25529" s="121" t="n"/>
      <s:c r="C25529" s="121" t="n"/>
      <s:c r="D25529" s="121" t="n"/>
      <s:c r="E25529" s="122" t="n"/>
    </s:row>
    <s:row r="25530" hidden="1" ht="1" customHeight="1">
      <s:c r="A25530" s="120" t="inlineStr"/>
      <s:c r="B25530" s="121" t="n"/>
      <s:c r="C25530" s="121" t="n"/>
      <s:c r="D25530" s="121" t="n"/>
      <s:c r="E25530" s="122" t="n"/>
    </s:row>
    <s:row r="25531" hidden="1" ht="1" customHeight="1">
      <s:c r="A25531" s="120" t="inlineStr"/>
      <s:c r="B25531" s="121" t="n"/>
      <s:c r="C25531" s="121" t="n"/>
      <s:c r="D25531" s="121" t="n"/>
      <s:c r="E25531" s="122" t="n"/>
    </s:row>
    <s:row r="25532" hidden="1" ht="1" customHeight="1">
      <s:c r="A25532" s="120" t="inlineStr"/>
      <s:c r="B25532" s="121" t="n"/>
      <s:c r="C25532" s="121" t="n"/>
      <s:c r="D25532" s="121" t="n"/>
      <s:c r="E25532" s="122" t="n"/>
    </s:row>
    <s:row r="25533" hidden="1" ht="1" customHeight="1">
      <s:c r="A25533" s="120" t="inlineStr"/>
      <s:c r="B25533" s="121" t="n"/>
      <s:c r="C25533" s="121" t="n"/>
      <s:c r="D25533" s="121" t="n"/>
      <s:c r="E25533" s="122" t="n"/>
    </s:row>
    <s:row r="25534" hidden="1" ht="1" customHeight="1">
      <s:c r="A25534" s="120" t="inlineStr"/>
      <s:c r="B25534" s="121" t="n"/>
      <s:c r="C25534" s="121" t="n"/>
      <s:c r="D25534" s="121" t="n"/>
      <s:c r="E25534" s="122" t="n"/>
    </s:row>
    <s:row r="25535" hidden="1" ht="1" customHeight="1">
      <s:c r="A25535" s="120" t="inlineStr"/>
      <s:c r="B25535" s="121" t="n"/>
      <s:c r="C25535" s="121" t="n"/>
      <s:c r="D25535" s="121" t="n"/>
      <s:c r="E25535" s="122" t="n"/>
    </s:row>
    <s:row r="25536" hidden="1" ht="1" customHeight="1">
      <s:c r="A25536" s="120" t="inlineStr"/>
      <s:c r="B25536" s="121" t="n"/>
      <s:c r="C25536" s="121" t="n"/>
      <s:c r="D25536" s="121" t="n"/>
      <s:c r="E25536" s="122" t="n"/>
    </s:row>
    <s:row r="25537" hidden="1" ht="1" customHeight="1">
      <s:c r="A25537" s="120" t="inlineStr"/>
      <s:c r="B25537" s="121" t="n"/>
      <s:c r="C25537" s="121" t="n"/>
      <s:c r="D25537" s="121" t="n"/>
      <s:c r="E25537" s="122" t="n"/>
    </s:row>
    <s:row r="25538" hidden="1" ht="1" customHeight="1">
      <s:c r="A25538" s="120" t="inlineStr"/>
      <s:c r="B25538" s="121" t="n"/>
      <s:c r="C25538" s="121" t="n"/>
      <s:c r="D25538" s="121" t="n"/>
      <s:c r="E25538" s="122" t="n"/>
    </s:row>
    <s:row r="25539" hidden="1" ht="1" customHeight="1">
      <s:c r="A25539" s="120" t="inlineStr"/>
      <s:c r="B25539" s="121" t="n"/>
      <s:c r="C25539" s="121" t="n"/>
      <s:c r="D25539" s="121" t="n"/>
      <s:c r="E25539" s="122" t="n"/>
    </s:row>
    <s:row r="25540" hidden="1" ht="1" customHeight="1">
      <s:c r="A25540" s="120" t="inlineStr"/>
      <s:c r="B25540" s="121" t="n"/>
      <s:c r="C25540" s="121" t="n"/>
      <s:c r="D25540" s="121" t="n"/>
      <s:c r="E25540" s="122" t="n"/>
    </s:row>
    <s:row r="25541" hidden="1" ht="1" customHeight="1">
      <s:c r="A25541" s="120" t="inlineStr"/>
      <s:c r="B25541" s="121" t="n"/>
      <s:c r="C25541" s="121" t="n"/>
      <s:c r="D25541" s="121" t="n"/>
      <s:c r="E25541" s="122" t="n"/>
    </s:row>
    <s:row r="25542" hidden="1" ht="1" customHeight="1">
      <s:c r="A25542" s="120" t="inlineStr"/>
      <s:c r="B25542" s="121" t="n"/>
      <s:c r="C25542" s="121" t="n"/>
      <s:c r="D25542" s="121" t="n"/>
      <s:c r="E25542" s="122" t="n"/>
    </s:row>
    <s:row r="25543" hidden="1" ht="1" customHeight="1">
      <s:c r="A25543" s="120" t="inlineStr"/>
      <s:c r="B25543" s="121" t="n"/>
      <s:c r="C25543" s="121" t="n"/>
      <s:c r="D25543" s="121" t="n"/>
      <s:c r="E25543" s="122" t="n"/>
    </s:row>
    <s:row r="25544" hidden="1" ht="1" customHeight="1">
      <s:c r="A25544" s="120" t="inlineStr"/>
      <s:c r="B25544" s="121" t="n"/>
      <s:c r="C25544" s="121" t="n"/>
      <s:c r="D25544" s="121" t="n"/>
      <s:c r="E25544" s="122" t="n"/>
    </s:row>
    <s:row r="25545" hidden="1" ht="1" customHeight="1">
      <s:c r="A25545" s="120" t="inlineStr"/>
      <s:c r="B25545" s="121" t="n"/>
      <s:c r="C25545" s="121" t="n"/>
      <s:c r="D25545" s="121" t="n"/>
      <s:c r="E25545" s="122" t="n"/>
    </s:row>
    <s:row r="25546" hidden="1" ht="1" customHeight="1">
      <s:c r="A25546" s="120" t="inlineStr"/>
      <s:c r="B25546" s="121" t="n"/>
      <s:c r="C25546" s="121" t="n"/>
      <s:c r="D25546" s="121" t="n"/>
      <s:c r="E25546" s="122" t="n"/>
    </s:row>
    <s:row r="25547" hidden="1" ht="1" customHeight="1">
      <s:c r="A25547" s="120" t="inlineStr"/>
      <s:c r="B25547" s="121" t="n"/>
      <s:c r="C25547" s="121" t="n"/>
      <s:c r="D25547" s="121" t="n"/>
      <s:c r="E25547" s="122" t="n"/>
    </s:row>
    <s:row r="25548" hidden="1" ht="1" customHeight="1">
      <s:c r="A25548" s="120" t="inlineStr"/>
      <s:c r="B25548" s="121" t="n"/>
      <s:c r="C25548" s="121" t="n"/>
      <s:c r="D25548" s="121" t="n"/>
      <s:c r="E25548" s="122" t="n"/>
    </s:row>
    <s:row r="25549" hidden="1" ht="1" customHeight="1">
      <s:c r="A25549" s="120" t="inlineStr"/>
      <s:c r="B25549" s="121" t="n"/>
      <s:c r="C25549" s="121" t="n"/>
      <s:c r="D25549" s="121" t="n"/>
      <s:c r="E25549" s="122" t="n"/>
    </s:row>
    <s:row r="25550" hidden="1" ht="1" customHeight="1">
      <s:c r="A25550" s="120" t="inlineStr"/>
      <s:c r="B25550" s="121" t="n"/>
      <s:c r="C25550" s="121" t="n"/>
      <s:c r="D25550" s="121" t="n"/>
      <s:c r="E25550" s="122" t="n"/>
    </s:row>
    <s:row r="25551" hidden="1" ht="1" customHeight="1">
      <s:c r="A25551" s="120" t="inlineStr"/>
      <s:c r="B25551" s="121" t="n"/>
      <s:c r="C25551" s="121" t="n"/>
      <s:c r="D25551" s="121" t="n"/>
      <s:c r="E25551" s="122" t="n"/>
    </s:row>
    <s:row r="25552" hidden="1" ht="1" customHeight="1">
      <s:c r="A25552" s="120" t="inlineStr"/>
      <s:c r="B25552" s="121" t="n"/>
      <s:c r="C25552" s="121" t="n"/>
      <s:c r="D25552" s="121" t="n"/>
      <s:c r="E25552" s="122" t="n"/>
    </s:row>
    <s:row r="25553" hidden="1" ht="1" customHeight="1">
      <s:c r="A25553" s="120" t="inlineStr"/>
      <s:c r="B25553" s="121" t="n"/>
      <s:c r="C25553" s="121" t="n"/>
      <s:c r="D25553" s="121" t="n"/>
      <s:c r="E25553" s="122" t="n"/>
    </s:row>
    <s:row r="25554" hidden="1" ht="1" customHeight="1">
      <s:c r="A25554" s="120" t="inlineStr"/>
      <s:c r="B25554" s="121" t="n"/>
      <s:c r="C25554" s="121" t="n"/>
      <s:c r="D25554" s="121" t="n"/>
      <s:c r="E25554" s="122" t="n"/>
    </s:row>
    <s:row r="25555" hidden="1" ht="1" customHeight="1">
      <s:c r="A25555" s="120" t="inlineStr"/>
      <s:c r="B25555" s="121" t="n"/>
      <s:c r="C25555" s="121" t="n"/>
      <s:c r="D25555" s="121" t="n"/>
      <s:c r="E25555" s="122" t="n"/>
    </s:row>
    <s:row r="25556" hidden="1" ht="1" customHeight="1">
      <s:c r="A25556" s="120" t="inlineStr"/>
      <s:c r="B25556" s="121" t="n"/>
      <s:c r="C25556" s="121" t="n"/>
      <s:c r="D25556" s="121" t="n"/>
      <s:c r="E25556" s="122" t="n"/>
    </s:row>
    <s:row r="25557" hidden="1" ht="1" customHeight="1">
      <s:c r="A25557" s="120" t="inlineStr"/>
      <s:c r="B25557" s="121" t="n"/>
      <s:c r="C25557" s="121" t="n"/>
      <s:c r="D25557" s="121" t="n"/>
      <s:c r="E25557" s="122" t="n"/>
    </s:row>
    <s:row r="25558" hidden="1" ht="1" customHeight="1">
      <s:c r="A25558" s="120" t="inlineStr"/>
      <s:c r="B25558" s="121" t="n"/>
      <s:c r="C25558" s="121" t="n"/>
      <s:c r="D25558" s="121" t="n"/>
      <s:c r="E25558" s="122" t="n"/>
    </s:row>
    <s:row r="25559" hidden="1" ht="1" customHeight="1">
      <s:c r="A25559" s="120" t="inlineStr"/>
      <s:c r="B25559" s="121" t="n"/>
      <s:c r="C25559" s="121" t="n"/>
      <s:c r="D25559" s="121" t="n"/>
      <s:c r="E25559" s="122" t="n"/>
    </s:row>
    <s:row r="25560" hidden="1" ht="1" customHeight="1">
      <s:c r="A25560" s="120" t="inlineStr"/>
      <s:c r="B25560" s="121" t="n"/>
      <s:c r="C25560" s="121" t="n"/>
      <s:c r="D25560" s="121" t="n"/>
      <s:c r="E25560" s="122" t="n"/>
    </s:row>
    <s:row r="25561" hidden="1" ht="1" customHeight="1">
      <s:c r="A25561" s="120" t="inlineStr"/>
      <s:c r="B25561" s="121" t="n"/>
      <s:c r="C25561" s="121" t="n"/>
      <s:c r="D25561" s="121" t="n"/>
      <s:c r="E25561" s="122" t="n"/>
    </s:row>
    <s:row r="25562" hidden="1" ht="1" customHeight="1">
      <s:c r="A25562" s="120" t="inlineStr"/>
      <s:c r="B25562" s="121" t="n"/>
      <s:c r="C25562" s="121" t="n"/>
      <s:c r="D25562" s="121" t="n"/>
      <s:c r="E25562" s="122" t="n"/>
    </s:row>
    <s:row r="25563" hidden="1" ht="1" customHeight="1">
      <s:c r="A25563" s="120" t="inlineStr"/>
      <s:c r="B25563" s="121" t="n"/>
      <s:c r="C25563" s="121" t="n"/>
      <s:c r="D25563" s="121" t="n"/>
      <s:c r="E25563" s="122" t="n"/>
    </s:row>
    <s:row r="25564" hidden="1" ht="1" customHeight="1">
      <s:c r="A25564" s="120" t="inlineStr"/>
      <s:c r="B25564" s="121" t="n"/>
      <s:c r="C25564" s="121" t="n"/>
      <s:c r="D25564" s="121" t="n"/>
      <s:c r="E25564" s="122" t="n"/>
    </s:row>
    <s:row r="25565" hidden="1" ht="1" customHeight="1">
      <s:c r="A25565" s="120" t="inlineStr"/>
      <s:c r="B25565" s="121" t="n"/>
      <s:c r="C25565" s="121" t="n"/>
      <s:c r="D25565" s="121" t="n"/>
      <s:c r="E25565" s="122" t="n"/>
    </s:row>
    <s:row r="25566" hidden="1" ht="1" customHeight="1">
      <s:c r="A25566" s="83" t="inlineStr">
        <s:is>
          <s:t>PASS</s:t>
        </s:is>
      </s:c>
      <s:c r="B25566" s="83">
        <s:f>SUM(IF(EXACT('Kiểm thử'!E25466,"Đạt"),1,0),IF(EXACT('Kiểm thử'!E25468,"Đạt"),1,0))</s:f>
        <s:v/>
      </s:c>
      <s:c r="C25566" s="19" t="n"/>
      <s:c r="D25566" s="19" t="n"/>
      <s:c r="E25566" s="19" t="n"/>
    </s:row>
    <s:row r="25567" hidden="1" ht="1" customHeight="1">
      <s:c r="A25567" s="83" t="inlineStr">
        <s:is>
          <s:t>FAIL</s:t>
        </s:is>
      </s:c>
      <s:c r="B25567" s="83">
        <s:f>SUM(IF(EXACT('Kiểm thử'!E25466,"Không đạt"),1,0),IF(EXACT('Kiểm thử'!E25468,"Không đạt"),1,0))</s:f>
        <s:v/>
      </s:c>
      <s:c r="C25567" s="19" t="n"/>
      <s:c r="D25567" s="19" t="n"/>
      <s:c r="E25567" s="19" t="n"/>
    </s:row>
    <s:row r="25568" hidden="1" ht="1" customHeight="1">
      <s:c r="A25568" s="83" t="inlineStr">
        <s:is>
          <s:t>BLOCKED</s:t>
        </s:is>
      </s:c>
      <s:c r="B25568" s="83">
        <s:f>SUM(IF(EXACT('Kiểm thử'!E25466,"Bị chặn"),1,0),IF(EXACT('Kiểm thử'!E25468,"Bị chặn"),1,0))</s:f>
        <s:v/>
      </s:c>
      <s:c r="C25568" s="19" t="n"/>
      <s:c r="D25568" s="19" t="n"/>
      <s:c r="E25568" s="19" t="n"/>
    </s:row>
    <s:row r="25569" hidden="1" ht="1" customHeight="1">
      <s:c r="A25569" s="83" t="inlineStr">
        <s:is>
          <s:t>SKIPPED</s:t>
        </s:is>
      </s:c>
      <s:c r="B25569" s="83">
        <s:f>SUM(IF(EXACT('Kiểm thử'!E25466,"Không thực hiện"),1,0),IF(EXACT('Kiểm thử'!E25468,"Không thực hiện"),1,0))</s:f>
        <s:v/>
      </s:c>
      <s:c r="C25569" s="19" t="n"/>
      <s:c r="D25569" s="19" t="n"/>
      <s:c r="E25569" s="19" t="n"/>
    </s:row>
    <s:row r="25570" hidden="1" ht="1" customHeight="1">
      <s:c r="A25570" s="83" t="inlineStr">
        <s:is>
          <s:t>NOT RUN</s:t>
        </s:is>
      </s:c>
      <s:c r="B25570" s="83">
        <s:f>SUM(IF(EXACT('Kiểm thử'!E25466,"Chưa thực hiện"),1,0),IF(EXACT('Kiểm thử'!E25468,"Chưa thực hiện"),1,0))</s:f>
        <s:v/>
      </s:c>
      <s:c r="C25570" s="19" t="n"/>
      <s:c r="D25570" s="19" t="n"/>
      <s:c r="E25570" s="19" t="n"/>
    </s:row>
    <s:row r="25571" hidden="1" ht="6" customHeight="1">
      <s:c r="A25571" s="83" t="inlineStr"/>
      <s:c r="B25571" s="19" t="n"/>
      <s:c r="C25571" s="19" t="n"/>
      <s:c r="D25571" s="19" t="n"/>
      <s:c r="E25571" s="19" t="n"/>
    </s:row>
    <s:row r="25572" ht="28" customHeight="1">
      <s:c r="A25572" s="108" t="inlineStr">
        <s:is>
          <s:t>TC-RS-CALC-006 — Tỷ lệ cho ngưỡng lẻ: M=45, N=30 → T=13.5</s:t>
        </s:is>
      </s:c>
      <s:c r="B25572" s="111" t="n"/>
      <s:c r="C25572" s="111" t="n"/>
      <s:c r="D25572" s="111" t="n"/>
      <s:c r="E25572" s="111" t="n"/>
    </s:row>
    <s:row r="25573" ht="20" customHeight="1">
      <s:c r="A25573" s="112" t="inlineStr">
        <s:is>
          <s:t>Kết quả tình huống</s:t>
        </s:is>
      </s:c>
      <s:c r="B25573" s="113">
        <s:f>IF(SUM(IF(EXACT('Kiểm thử'!E25580,"Không đạt"),1,0),IF(EXACT('Kiểm thử'!E25582,"Không đạt"),1,0))&gt;0,"Không đạt",IF(SUM(IF(EXACT('Kiểm thử'!E25580,"Đạt"),1,0),IF(EXACT('Kiểm thử'!E25582,"Đạt"),1,0))=2,"Đạt",IF(SUM(IF(EXACT('Kiểm thử'!E25580,"Không thực hiện"),1,0),IF(EXACT('Kiểm thử'!E25582,"Không thực hiện"),1,0))=2,"Không thực hiện",IF(SUM(IF(EXACT('Kiểm thử'!E25580,"Bị chặn"),1,0),IF(EXACT('Kiểm thử'!E25582,"Bị chặn"),1,0))&gt;0,"Bị chặn",IF(SUM(IF(EXACT('Kiểm thử'!E25580,"Chưa thực hiện"),1,0),IF(EXACT('Kiểm thử'!E25582,"Chưa thực hiện"),1,0))=2,"Chưa thực hiện","Đang thực hiện")))))</s:f>
        <s:v/>
      </s:c>
      <s:c r="C25573" s="114" t="n"/>
      <s:c r="D25573" s="114" t="n"/>
      <s:c r="E25573" s="114" t="n"/>
    </s:row>
    <s:row r="25574" ht="20" customHeight="1">
      <s:c r="A25574" s="112" t="inlineStr">
        <s:is>
          <s:t>Màn hình / chức năng</s:t>
        </s:is>
      </s:c>
      <s:c r="B25574" s="113" t="inlineStr">
        <s:is>
          <s:r>
            <s:rPr>
              <s:b val="1"/>
            </s:rPr>
            <s:t>Thiết lập ngưỡng（基準設定）</s:t>
          </s:r>
        </s:is>
      </s:c>
      <s:c r="C25574" s="28" t="n"/>
      <s:c r="D25574" s="28" t="n"/>
      <s:c r="E25574" s="28" t="n"/>
    </s:row>
    <s:row r="25575" ht="20" customHeight="1">
      <s:c r="A25575" s="112" t="inlineStr">
        <s:is>
          <s:t>Cấu hình</s:t>
        </s:is>
      </s:c>
      <s:c r="B25575" s="113" t="inlineStr">
        <s:is>
          <s:r>
            <s:t>• Mục số thập phân (</s:t>
          </s:r>
          <s:r>
            <s:rPr>
              <s:b val="1"/>
            </s:rPr>
            <s:t>M=100</s:t>
          </s:r>
          <s:r>
            <s:t xml:space="preserve">) với </s:t>
          </s:r>
          <s:r>
            <s:rPr>
              <s:b val="1"/>
            </s:rPr>
            <s:t>Giá trị tối đa（最大値）</s:t>
          </s:r>
          <s:r>
            <s:t>= 45.</s:t>
          </s:r>
        </s:is>
      </s:c>
      <s:c r="C25575" s="28" t="n"/>
      <s:c r="D25575" s="28" t="n"/>
      <s:c r="E25575" s="28" t="n"/>
    </s:row>
    <s:row r="25576" ht="48" customHeight="1">
      <s:c r="A25576" s="112" t="inlineStr">
        <s:is>
          <s:t>Dữ liệu test</s:t>
        </s:is>
      </s:c>
      <s:c r="B25576" s="113" t="inlineStr">
        <s:is>
          <s:r>
            <s:t>• Mục số thập phân (</s:t>
          </s:r>
          <s:r>
            <s:rPr>
              <s:b val="1"/>
            </s:rPr>
            <s:t>M=100</s:t>
          </s:r>
          <s:r>
            <s:t>);
• Quy tắc tỷ lệ 30% (không xử lý phần lẻ);
• S = 13, 13.5, 14</s:t>
          </s:r>
        </s:is>
      </s:c>
      <s:c r="C25576" s="28" t="n"/>
      <s:c r="D25576" s="28" t="n"/>
      <s:c r="E25576" s="28" t="n"/>
    </s:row>
    <s:row r="25577" ht="20" customHeight="1">
      <s:c r="A25577" s="112" t="inlineStr">
        <s:is>
          <s:t>•</s:t>
        </s:is>
      </s:c>
      <s:c r="B25577" s="113" t="inlineStr">
        <s:is>
          <s:t>Đăng ký ba điểm; xét với [&lt;] rồi [≤].</s:t>
        </s:is>
      </s:c>
      <s:c r="C25577" s="28" t="n"/>
      <s:c r="D25577" s="28" t="n"/>
      <s:c r="E25577" s="28" t="n"/>
    </s:row>
    <s:row r="25578" ht="28" customHeight="1">
      <s:c r="A25578" s="115" t="inlineStr">
        <s:is>
          <s:t>Trường hợp</s:t>
        </s:is>
      </s:c>
      <s:c r="B25578" s="115" t="inlineStr">
        <s:is>
          <s:t>Dữ liệu / thao tác riêng</s:t>
        </s:is>
      </s:c>
      <s:c r="C25578" s="115" t="inlineStr">
        <s:is>
          <s:t>Kết quả mong đợi</s:t>
        </s:is>
      </s:c>
      <s:c r="D25578" s="115" t="inlineStr">
        <s:is>
          <s:t>Kết quả thực tế</s:t>
        </s:is>
      </s:c>
      <s:c r="E25578" s="115" t="inlineStr">
        <s:is>
          <s:t>Đánh giá</s:t>
        </s:is>
      </s:c>
    </s:row>
    <s:row r="25579" ht="3" customHeight="1">
      <s:c r="A25579" s="102" t="inlineStr"/>
      <s:c r="B25579" s="99" t="n"/>
      <s:c r="C25579" s="99" t="n"/>
      <s:c r="D25579" s="116" t="n"/>
      <s:c r="E25579" s="116" t="n"/>
    </s:row>
    <s:row r="25580" ht="34" customHeight="1">
      <s:c r="A25580" s="83" t="inlineStr">
        <s:is>
          <s:t>Nhỏ hơn (lt)</s:t>
        </s:is>
      </s:c>
      <s:c r="B25580" s="83" t="inlineStr">
        <s:is>
          <s:t>Dấu nhỏ hơn</s:t>
        </s:is>
      </s:c>
      <s:c r="C25580" s="83" t="inlineStr">
        <s:is>
          <s:r>
            <s:t>[</s:t>
          </s:r>
          <s:r>
            <s:rPr>
              <s:b val="1"/>
            </s:rPr>
            <s:t>T=45</s:t>
          </s:r>
          <s:r>
            <s:t xml:space="preserve">×30/100=13.5].
[&lt;]: 13 </s:t>
          </s:r>
          <s:r>
            <s:rPr>
              <s:b val="1"/>
            </s:rPr>
            <s:t>Đỏ</s:t>
          </s:r>
          <s:r>
            <s:t xml:space="preserve">; 13.5 </s:t>
          </s:r>
          <s:r>
            <s:rPr>
              <s:b val="1"/>
            </s:rPr>
            <s:t>Không đỏ</s:t>
          </s:r>
          <s:r>
            <s:t xml:space="preserve">; 14 </s:t>
          </s:r>
          <s:r>
            <s:rPr>
              <s:b val="1"/>
            </s:rPr>
            <s:t>Không đỏ</s:t>
          </s:r>
          <s:r>
            <s:t>.</s:t>
          </s:r>
        </s:is>
      </s:c>
      <s:c r="D25580" s="117" t="inlineStr"/>
      <s:c r="E25580" s="118" t="inlineStr">
        <s:is>
          <s:t>Chưa thực hiện</s:t>
        </s:is>
      </s:c>
    </s:row>
    <s:row r="25581" ht="3" customHeight="1">
      <s:c r="A25581" s="102" t="inlineStr"/>
      <s:c r="B25581" s="99" t="n"/>
      <s:c r="C25581" s="99" t="n"/>
      <s:c r="D25581" s="116" t="n"/>
      <s:c r="E25581" s="116" t="n"/>
    </s:row>
    <s:row r="25582" ht="34" customHeight="1">
      <s:c r="A25582" s="83" t="inlineStr">
        <s:is>
          <s:t>Nhỏ hơn hoặc bằng (le)</s:t>
        </s:is>
      </s:c>
      <s:c r="B25582" s="83" t="inlineStr">
        <s:is>
          <s:t>Dấu nhỏ hơn hoặc bằng</s:t>
        </s:is>
      </s:c>
      <s:c r="C25582" s="83" t="inlineStr">
        <s:is>
          <s:r>
            <s:t>[</s:t>
          </s:r>
          <s:r>
            <s:rPr>
              <s:b val="1"/>
            </s:rPr>
            <s:t>T=45</s:t>
          </s:r>
          <s:r>
            <s:t xml:space="preserve">×30/100=13.5].
[≤]: 13 </s:t>
          </s:r>
          <s:r>
            <s:rPr>
              <s:b val="1"/>
            </s:rPr>
            <s:t>Đỏ</s:t>
          </s:r>
          <s:r>
            <s:t xml:space="preserve">; 13.5 </s:t>
          </s:r>
          <s:r>
            <s:rPr>
              <s:b val="1"/>
            </s:rPr>
            <s:t>Đỏ</s:t>
          </s:r>
          <s:r>
            <s:t xml:space="preserve">; 14 </s:t>
          </s:r>
          <s:r>
            <s:rPr>
              <s:b val="1"/>
            </s:rPr>
            <s:t>Không đỏ</s:t>
          </s:r>
          <s:r>
            <s:t>.</s:t>
          </s:r>
        </s:is>
      </s:c>
      <s:c r="D25582" s="117" t="inlineStr"/>
      <s:c r="E25582" s="118" t="inlineStr">
        <s:is>
          <s:t>Chưa thực hiện</s:t>
        </s:is>
      </s:c>
    </s:row>
    <s:row r="25583" ht="20" customHeight="1">
      <s:c r="A25583" s="119" t="inlineStr">
        <s:is>
          <s:t>Ảnh minh chứng — Chưa có ảnh</s:t>
        </s:is>
      </s:c>
      <s:c r="B25583" s="19" t="n"/>
      <s:c r="C25583" s="19" t="n"/>
      <s:c r="D25583" s="19" t="n"/>
      <s:c r="E25583" s="19" t="n"/>
    </s:row>
    <s:row r="25584" hidden="1" ht="1" customHeight="1">
      <s:c r="A25584" s="120" t="inlineStr"/>
      <s:c r="B25584" s="121" t="n"/>
      <s:c r="C25584" s="121" t="n"/>
      <s:c r="D25584" s="121" t="n"/>
      <s:c r="E25584" s="122" t="n"/>
    </s:row>
    <s:row r="25585" hidden="1" ht="1" customHeight="1">
      <s:c r="A25585" s="120" t="inlineStr"/>
      <s:c r="B25585" s="121" t="n"/>
      <s:c r="C25585" s="121" t="n"/>
      <s:c r="D25585" s="121" t="n"/>
      <s:c r="E25585" s="122" t="n"/>
    </s:row>
    <s:row r="25586" hidden="1" ht="1" customHeight="1">
      <s:c r="A25586" s="120" t="inlineStr"/>
      <s:c r="B25586" s="121" t="n"/>
      <s:c r="C25586" s="121" t="n"/>
      <s:c r="D25586" s="121" t="n"/>
      <s:c r="E25586" s="122" t="n"/>
    </s:row>
    <s:row r="25587" hidden="1" ht="1" customHeight="1">
      <s:c r="A25587" s="120" t="inlineStr"/>
      <s:c r="B25587" s="121" t="n"/>
      <s:c r="C25587" s="121" t="n"/>
      <s:c r="D25587" s="121" t="n"/>
      <s:c r="E25587" s="122" t="n"/>
    </s:row>
    <s:row r="25588" hidden="1" ht="1" customHeight="1">
      <s:c r="A25588" s="120" t="inlineStr"/>
      <s:c r="B25588" s="121" t="n"/>
      <s:c r="C25588" s="121" t="n"/>
      <s:c r="D25588" s="121" t="n"/>
      <s:c r="E25588" s="122" t="n"/>
    </s:row>
    <s:row r="25589" hidden="1" ht="1" customHeight="1">
      <s:c r="A25589" s="120" t="inlineStr"/>
      <s:c r="B25589" s="121" t="n"/>
      <s:c r="C25589" s="121" t="n"/>
      <s:c r="D25589" s="121" t="n"/>
      <s:c r="E25589" s="122" t="n"/>
    </s:row>
    <s:row r="25590" hidden="1" ht="1" customHeight="1">
      <s:c r="A25590" s="120" t="inlineStr"/>
      <s:c r="B25590" s="121" t="n"/>
      <s:c r="C25590" s="121" t="n"/>
      <s:c r="D25590" s="121" t="n"/>
      <s:c r="E25590" s="122" t="n"/>
    </s:row>
    <s:row r="25591" hidden="1" ht="1" customHeight="1">
      <s:c r="A25591" s="120" t="inlineStr"/>
      <s:c r="B25591" s="121" t="n"/>
      <s:c r="C25591" s="121" t="n"/>
      <s:c r="D25591" s="121" t="n"/>
      <s:c r="E25591" s="122" t="n"/>
    </s:row>
    <s:row r="25592" hidden="1" ht="1" customHeight="1">
      <s:c r="A25592" s="120" t="inlineStr"/>
      <s:c r="B25592" s="121" t="n"/>
      <s:c r="C25592" s="121" t="n"/>
      <s:c r="D25592" s="121" t="n"/>
      <s:c r="E25592" s="122" t="n"/>
    </s:row>
    <s:row r="25593" hidden="1" ht="1" customHeight="1">
      <s:c r="A25593" s="120" t="inlineStr"/>
      <s:c r="B25593" s="121" t="n"/>
      <s:c r="C25593" s="121" t="n"/>
      <s:c r="D25593" s="121" t="n"/>
      <s:c r="E25593" s="122" t="n"/>
    </s:row>
    <s:row r="25594" hidden="1" ht="1" customHeight="1">
      <s:c r="A25594" s="120" t="inlineStr"/>
      <s:c r="B25594" s="121" t="n"/>
      <s:c r="C25594" s="121" t="n"/>
      <s:c r="D25594" s="121" t="n"/>
      <s:c r="E25594" s="122" t="n"/>
    </s:row>
    <s:row r="25595" hidden="1" ht="1" customHeight="1">
      <s:c r="A25595" s="120" t="inlineStr"/>
      <s:c r="B25595" s="121" t="n"/>
      <s:c r="C25595" s="121" t="n"/>
      <s:c r="D25595" s="121" t="n"/>
      <s:c r="E25595" s="122" t="n"/>
    </s:row>
    <s:row r="25596" hidden="1" ht="1" customHeight="1">
      <s:c r="A25596" s="120" t="inlineStr"/>
      <s:c r="B25596" s="121" t="n"/>
      <s:c r="C25596" s="121" t="n"/>
      <s:c r="D25596" s="121" t="n"/>
      <s:c r="E25596" s="122" t="n"/>
    </s:row>
    <s:row r="25597" hidden="1" ht="1" customHeight="1">
      <s:c r="A25597" s="120" t="inlineStr"/>
      <s:c r="B25597" s="121" t="n"/>
      <s:c r="C25597" s="121" t="n"/>
      <s:c r="D25597" s="121" t="n"/>
      <s:c r="E25597" s="122" t="n"/>
    </s:row>
    <s:row r="25598" hidden="1" ht="1" customHeight="1">
      <s:c r="A25598" s="120" t="inlineStr"/>
      <s:c r="B25598" s="121" t="n"/>
      <s:c r="C25598" s="121" t="n"/>
      <s:c r="D25598" s="121" t="n"/>
      <s:c r="E25598" s="122" t="n"/>
    </s:row>
    <s:row r="25599" hidden="1" ht="1" customHeight="1">
      <s:c r="A25599" s="120" t="inlineStr"/>
      <s:c r="B25599" s="121" t="n"/>
      <s:c r="C25599" s="121" t="n"/>
      <s:c r="D25599" s="121" t="n"/>
      <s:c r="E25599" s="122" t="n"/>
    </s:row>
    <s:row r="25600" hidden="1" ht="1" customHeight="1">
      <s:c r="A25600" s="120" t="inlineStr"/>
      <s:c r="B25600" s="121" t="n"/>
      <s:c r="C25600" s="121" t="n"/>
      <s:c r="D25600" s="121" t="n"/>
      <s:c r="E25600" s="122" t="n"/>
    </s:row>
    <s:row r="25601" hidden="1" ht="1" customHeight="1">
      <s:c r="A25601" s="120" t="inlineStr"/>
      <s:c r="B25601" s="121" t="n"/>
      <s:c r="C25601" s="121" t="n"/>
      <s:c r="D25601" s="121" t="n"/>
      <s:c r="E25601" s="122" t="n"/>
    </s:row>
    <s:row r="25602" hidden="1" ht="1" customHeight="1">
      <s:c r="A25602" s="120" t="inlineStr"/>
      <s:c r="B25602" s="121" t="n"/>
      <s:c r="C25602" s="121" t="n"/>
      <s:c r="D25602" s="121" t="n"/>
      <s:c r="E25602" s="122" t="n"/>
    </s:row>
    <s:row r="25603" hidden="1" ht="1" customHeight="1">
      <s:c r="A25603" s="120" t="inlineStr"/>
      <s:c r="B25603" s="121" t="n"/>
      <s:c r="C25603" s="121" t="n"/>
      <s:c r="D25603" s="121" t="n"/>
      <s:c r="E25603" s="122" t="n"/>
    </s:row>
    <s:row r="25604" hidden="1" ht="1" customHeight="1">
      <s:c r="A25604" s="120" t="inlineStr"/>
      <s:c r="B25604" s="121" t="n"/>
      <s:c r="C25604" s="121" t="n"/>
      <s:c r="D25604" s="121" t="n"/>
      <s:c r="E25604" s="122" t="n"/>
    </s:row>
    <s:row r="25605" hidden="1" ht="1" customHeight="1">
      <s:c r="A25605" s="120" t="inlineStr"/>
      <s:c r="B25605" s="121" t="n"/>
      <s:c r="C25605" s="121" t="n"/>
      <s:c r="D25605" s="121" t="n"/>
      <s:c r="E25605" s="122" t="n"/>
    </s:row>
    <s:row r="25606" hidden="1" ht="1" customHeight="1">
      <s:c r="A25606" s="120" t="inlineStr"/>
      <s:c r="B25606" s="121" t="n"/>
      <s:c r="C25606" s="121" t="n"/>
      <s:c r="D25606" s="121" t="n"/>
      <s:c r="E25606" s="122" t="n"/>
    </s:row>
    <s:row r="25607" hidden="1" ht="1" customHeight="1">
      <s:c r="A25607" s="120" t="inlineStr"/>
      <s:c r="B25607" s="121" t="n"/>
      <s:c r="C25607" s="121" t="n"/>
      <s:c r="D25607" s="121" t="n"/>
      <s:c r="E25607" s="122" t="n"/>
    </s:row>
    <s:row r="25608" hidden="1" ht="1" customHeight="1">
      <s:c r="A25608" s="120" t="inlineStr"/>
      <s:c r="B25608" s="121" t="n"/>
      <s:c r="C25608" s="121" t="n"/>
      <s:c r="D25608" s="121" t="n"/>
      <s:c r="E25608" s="122" t="n"/>
    </s:row>
    <s:row r="25609" hidden="1" ht="1" customHeight="1">
      <s:c r="A25609" s="120" t="inlineStr"/>
      <s:c r="B25609" s="121" t="n"/>
      <s:c r="C25609" s="121" t="n"/>
      <s:c r="D25609" s="121" t="n"/>
      <s:c r="E25609" s="122" t="n"/>
    </s:row>
    <s:row r="25610" hidden="1" ht="1" customHeight="1">
      <s:c r="A25610" s="120" t="inlineStr"/>
      <s:c r="B25610" s="121" t="n"/>
      <s:c r="C25610" s="121" t="n"/>
      <s:c r="D25610" s="121" t="n"/>
      <s:c r="E25610" s="122" t="n"/>
    </s:row>
    <s:row r="25611" hidden="1" ht="1" customHeight="1">
      <s:c r="A25611" s="120" t="inlineStr"/>
      <s:c r="B25611" s="121" t="n"/>
      <s:c r="C25611" s="121" t="n"/>
      <s:c r="D25611" s="121" t="n"/>
      <s:c r="E25611" s="122" t="n"/>
    </s:row>
    <s:row r="25612" hidden="1" ht="1" customHeight="1">
      <s:c r="A25612" s="120" t="inlineStr"/>
      <s:c r="B25612" s="121" t="n"/>
      <s:c r="C25612" s="121" t="n"/>
      <s:c r="D25612" s="121" t="n"/>
      <s:c r="E25612" s="122" t="n"/>
    </s:row>
    <s:row r="25613" hidden="1" ht="1" customHeight="1">
      <s:c r="A25613" s="120" t="inlineStr"/>
      <s:c r="B25613" s="121" t="n"/>
      <s:c r="C25613" s="121" t="n"/>
      <s:c r="D25613" s="121" t="n"/>
      <s:c r="E25613" s="122" t="n"/>
    </s:row>
    <s:row r="25614" hidden="1" ht="1" customHeight="1">
      <s:c r="A25614" s="120" t="inlineStr"/>
      <s:c r="B25614" s="121" t="n"/>
      <s:c r="C25614" s="121" t="n"/>
      <s:c r="D25614" s="121" t="n"/>
      <s:c r="E25614" s="122" t="n"/>
    </s:row>
    <s:row r="25615" hidden="1" ht="1" customHeight="1">
      <s:c r="A25615" s="120" t="inlineStr"/>
      <s:c r="B25615" s="121" t="n"/>
      <s:c r="C25615" s="121" t="n"/>
      <s:c r="D25615" s="121" t="n"/>
      <s:c r="E25615" s="122" t="n"/>
    </s:row>
    <s:row r="25616" hidden="1" ht="1" customHeight="1">
      <s:c r="A25616" s="120" t="inlineStr"/>
      <s:c r="B25616" s="121" t="n"/>
      <s:c r="C25616" s="121" t="n"/>
      <s:c r="D25616" s="121" t="n"/>
      <s:c r="E25616" s="122" t="n"/>
    </s:row>
    <s:row r="25617" hidden="1" ht="1" customHeight="1">
      <s:c r="A25617" s="120" t="inlineStr"/>
      <s:c r="B25617" s="121" t="n"/>
      <s:c r="C25617" s="121" t="n"/>
      <s:c r="D25617" s="121" t="n"/>
      <s:c r="E25617" s="122" t="n"/>
    </s:row>
    <s:row r="25618" hidden="1" ht="1" customHeight="1">
      <s:c r="A25618" s="120" t="inlineStr"/>
      <s:c r="B25618" s="121" t="n"/>
      <s:c r="C25618" s="121" t="n"/>
      <s:c r="D25618" s="121" t="n"/>
      <s:c r="E25618" s="122" t="n"/>
    </s:row>
    <s:row r="25619" hidden="1" ht="1" customHeight="1">
      <s:c r="A25619" s="120" t="inlineStr"/>
      <s:c r="B25619" s="121" t="n"/>
      <s:c r="C25619" s="121" t="n"/>
      <s:c r="D25619" s="121" t="n"/>
      <s:c r="E25619" s="122" t="n"/>
    </s:row>
    <s:row r="25620" hidden="1" ht="1" customHeight="1">
      <s:c r="A25620" s="120" t="inlineStr"/>
      <s:c r="B25620" s="121" t="n"/>
      <s:c r="C25620" s="121" t="n"/>
      <s:c r="D25620" s="121" t="n"/>
      <s:c r="E25620" s="122" t="n"/>
    </s:row>
    <s:row r="25621" hidden="1" ht="1" customHeight="1">
      <s:c r="A25621" s="120" t="inlineStr"/>
      <s:c r="B25621" s="121" t="n"/>
      <s:c r="C25621" s="121" t="n"/>
      <s:c r="D25621" s="121" t="n"/>
      <s:c r="E25621" s="122" t="n"/>
    </s:row>
    <s:row r="25622" hidden="1" ht="1" customHeight="1">
      <s:c r="A25622" s="120" t="inlineStr"/>
      <s:c r="B25622" s="121" t="n"/>
      <s:c r="C25622" s="121" t="n"/>
      <s:c r="D25622" s="121" t="n"/>
      <s:c r="E25622" s="122" t="n"/>
    </s:row>
    <s:row r="25623" hidden="1" ht="1" customHeight="1">
      <s:c r="A25623" s="120" t="inlineStr"/>
      <s:c r="B25623" s="121" t="n"/>
      <s:c r="C25623" s="121" t="n"/>
      <s:c r="D25623" s="121" t="n"/>
      <s:c r="E25623" s="122" t="n"/>
    </s:row>
    <s:row r="25624" hidden="1" ht="1" customHeight="1">
      <s:c r="A25624" s="120" t="inlineStr"/>
      <s:c r="B25624" s="121" t="n"/>
      <s:c r="C25624" s="121" t="n"/>
      <s:c r="D25624" s="121" t="n"/>
      <s:c r="E25624" s="122" t="n"/>
    </s:row>
    <s:row r="25625" hidden="1" ht="1" customHeight="1">
      <s:c r="A25625" s="120" t="inlineStr"/>
      <s:c r="B25625" s="121" t="n"/>
      <s:c r="C25625" s="121" t="n"/>
      <s:c r="D25625" s="121" t="n"/>
      <s:c r="E25625" s="122" t="n"/>
    </s:row>
    <s:row r="25626" hidden="1" ht="1" customHeight="1">
      <s:c r="A25626" s="120" t="inlineStr"/>
      <s:c r="B25626" s="121" t="n"/>
      <s:c r="C25626" s="121" t="n"/>
      <s:c r="D25626" s="121" t="n"/>
      <s:c r="E25626" s="122" t="n"/>
    </s:row>
    <s:row r="25627" hidden="1" ht="1" customHeight="1">
      <s:c r="A25627" s="120" t="inlineStr"/>
      <s:c r="B25627" s="121" t="n"/>
      <s:c r="C25627" s="121" t="n"/>
      <s:c r="D25627" s="121" t="n"/>
      <s:c r="E25627" s="122" t="n"/>
    </s:row>
    <s:row r="25628" hidden="1" ht="1" customHeight="1">
      <s:c r="A25628" s="120" t="inlineStr"/>
      <s:c r="B25628" s="121" t="n"/>
      <s:c r="C25628" s="121" t="n"/>
      <s:c r="D25628" s="121" t="n"/>
      <s:c r="E25628" s="122" t="n"/>
    </s:row>
    <s:row r="25629" hidden="1" ht="1" customHeight="1">
      <s:c r="A25629" s="120" t="inlineStr"/>
      <s:c r="B25629" s="121" t="n"/>
      <s:c r="C25629" s="121" t="n"/>
      <s:c r="D25629" s="121" t="n"/>
      <s:c r="E25629" s="122" t="n"/>
    </s:row>
    <s:row r="25630" hidden="1" ht="1" customHeight="1">
      <s:c r="A25630" s="120" t="inlineStr"/>
      <s:c r="B25630" s="121" t="n"/>
      <s:c r="C25630" s="121" t="n"/>
      <s:c r="D25630" s="121" t="n"/>
      <s:c r="E25630" s="122" t="n"/>
    </s:row>
    <s:row r="25631" hidden="1" ht="1" customHeight="1">
      <s:c r="A25631" s="120" t="inlineStr"/>
      <s:c r="B25631" s="121" t="n"/>
      <s:c r="C25631" s="121" t="n"/>
      <s:c r="D25631" s="121" t="n"/>
      <s:c r="E25631" s="122" t="n"/>
    </s:row>
    <s:row r="25632" hidden="1" ht="1" customHeight="1">
      <s:c r="A25632" s="120" t="inlineStr"/>
      <s:c r="B25632" s="121" t="n"/>
      <s:c r="C25632" s="121" t="n"/>
      <s:c r="D25632" s="121" t="n"/>
      <s:c r="E25632" s="122" t="n"/>
    </s:row>
    <s:row r="25633" hidden="1" ht="1" customHeight="1">
      <s:c r="A25633" s="120" t="inlineStr"/>
      <s:c r="B25633" s="121" t="n"/>
      <s:c r="C25633" s="121" t="n"/>
      <s:c r="D25633" s="121" t="n"/>
      <s:c r="E25633" s="122" t="n"/>
    </s:row>
    <s:row r="25634" hidden="1" ht="1" customHeight="1">
      <s:c r="A25634" s="120" t="inlineStr"/>
      <s:c r="B25634" s="121" t="n"/>
      <s:c r="C25634" s="121" t="n"/>
      <s:c r="D25634" s="121" t="n"/>
      <s:c r="E25634" s="122" t="n"/>
    </s:row>
    <s:row r="25635" hidden="1" ht="1" customHeight="1">
      <s:c r="A25635" s="120" t="inlineStr"/>
      <s:c r="B25635" s="121" t="n"/>
      <s:c r="C25635" s="121" t="n"/>
      <s:c r="D25635" s="121" t="n"/>
      <s:c r="E25635" s="122" t="n"/>
    </s:row>
    <s:row r="25636" hidden="1" ht="1" customHeight="1">
      <s:c r="A25636" s="120" t="inlineStr"/>
      <s:c r="B25636" s="121" t="n"/>
      <s:c r="C25636" s="121" t="n"/>
      <s:c r="D25636" s="121" t="n"/>
      <s:c r="E25636" s="122" t="n"/>
    </s:row>
    <s:row r="25637" hidden="1" ht="1" customHeight="1">
      <s:c r="A25637" s="120" t="inlineStr"/>
      <s:c r="B25637" s="121" t="n"/>
      <s:c r="C25637" s="121" t="n"/>
      <s:c r="D25637" s="121" t="n"/>
      <s:c r="E25637" s="122" t="n"/>
    </s:row>
    <s:row r="25638" hidden="1" ht="1" customHeight="1">
      <s:c r="A25638" s="120" t="inlineStr"/>
      <s:c r="B25638" s="121" t="n"/>
      <s:c r="C25638" s="121" t="n"/>
      <s:c r="D25638" s="121" t="n"/>
      <s:c r="E25638" s="122" t="n"/>
    </s:row>
    <s:row r="25639" hidden="1" ht="1" customHeight="1">
      <s:c r="A25639" s="120" t="inlineStr"/>
      <s:c r="B25639" s="121" t="n"/>
      <s:c r="C25639" s="121" t="n"/>
      <s:c r="D25639" s="121" t="n"/>
      <s:c r="E25639" s="122" t="n"/>
    </s:row>
    <s:row r="25640" hidden="1" ht="1" customHeight="1">
      <s:c r="A25640" s="120" t="inlineStr"/>
      <s:c r="B25640" s="121" t="n"/>
      <s:c r="C25640" s="121" t="n"/>
      <s:c r="D25640" s="121" t="n"/>
      <s:c r="E25640" s="122" t="n"/>
    </s:row>
    <s:row r="25641" hidden="1" ht="1" customHeight="1">
      <s:c r="A25641" s="120" t="inlineStr"/>
      <s:c r="B25641" s="121" t="n"/>
      <s:c r="C25641" s="121" t="n"/>
      <s:c r="D25641" s="121" t="n"/>
      <s:c r="E25641" s="122" t="n"/>
    </s:row>
    <s:row r="25642" hidden="1" ht="1" customHeight="1">
      <s:c r="A25642" s="120" t="inlineStr"/>
      <s:c r="B25642" s="121" t="n"/>
      <s:c r="C25642" s="121" t="n"/>
      <s:c r="D25642" s="121" t="n"/>
      <s:c r="E25642" s="122" t="n"/>
    </s:row>
    <s:row r="25643" hidden="1" ht="1" customHeight="1">
      <s:c r="A25643" s="120" t="inlineStr"/>
      <s:c r="B25643" s="121" t="n"/>
      <s:c r="C25643" s="121" t="n"/>
      <s:c r="D25643" s="121" t="n"/>
      <s:c r="E25643" s="122" t="n"/>
    </s:row>
    <s:row r="25644" hidden="1" ht="1" customHeight="1">
      <s:c r="A25644" s="120" t="inlineStr"/>
      <s:c r="B25644" s="121" t="n"/>
      <s:c r="C25644" s="121" t="n"/>
      <s:c r="D25644" s="121" t="n"/>
      <s:c r="E25644" s="122" t="n"/>
    </s:row>
    <s:row r="25645" hidden="1" ht="1" customHeight="1">
      <s:c r="A25645" s="120" t="inlineStr"/>
      <s:c r="B25645" s="121" t="n"/>
      <s:c r="C25645" s="121" t="n"/>
      <s:c r="D25645" s="121" t="n"/>
      <s:c r="E25645" s="122" t="n"/>
    </s:row>
    <s:row r="25646" hidden="1" ht="1" customHeight="1">
      <s:c r="A25646" s="120" t="inlineStr"/>
      <s:c r="B25646" s="121" t="n"/>
      <s:c r="C25646" s="121" t="n"/>
      <s:c r="D25646" s="121" t="n"/>
      <s:c r="E25646" s="122" t="n"/>
    </s:row>
    <s:row r="25647" hidden="1" ht="1" customHeight="1">
      <s:c r="A25647" s="120" t="inlineStr"/>
      <s:c r="B25647" s="121" t="n"/>
      <s:c r="C25647" s="121" t="n"/>
      <s:c r="D25647" s="121" t="n"/>
      <s:c r="E25647" s="122" t="n"/>
    </s:row>
    <s:row r="25648" hidden="1" ht="1" customHeight="1">
      <s:c r="A25648" s="120" t="inlineStr"/>
      <s:c r="B25648" s="121" t="n"/>
      <s:c r="C25648" s="121" t="n"/>
      <s:c r="D25648" s="121" t="n"/>
      <s:c r="E25648" s="122" t="n"/>
    </s:row>
    <s:row r="25649" hidden="1" ht="1" customHeight="1">
      <s:c r="A25649" s="120" t="inlineStr"/>
      <s:c r="B25649" s="121" t="n"/>
      <s:c r="C25649" s="121" t="n"/>
      <s:c r="D25649" s="121" t="n"/>
      <s:c r="E25649" s="122" t="n"/>
    </s:row>
    <s:row r="25650" hidden="1" ht="1" customHeight="1">
      <s:c r="A25650" s="120" t="inlineStr"/>
      <s:c r="B25650" s="121" t="n"/>
      <s:c r="C25650" s="121" t="n"/>
      <s:c r="D25650" s="121" t="n"/>
      <s:c r="E25650" s="122" t="n"/>
    </s:row>
    <s:row r="25651" hidden="1" ht="1" customHeight="1">
      <s:c r="A25651" s="120" t="inlineStr"/>
      <s:c r="B25651" s="121" t="n"/>
      <s:c r="C25651" s="121" t="n"/>
      <s:c r="D25651" s="121" t="n"/>
      <s:c r="E25651" s="122" t="n"/>
    </s:row>
    <s:row r="25652" hidden="1" ht="1" customHeight="1">
      <s:c r="A25652" s="120" t="inlineStr"/>
      <s:c r="B25652" s="121" t="n"/>
      <s:c r="C25652" s="121" t="n"/>
      <s:c r="D25652" s="121" t="n"/>
      <s:c r="E25652" s="122" t="n"/>
    </s:row>
    <s:row r="25653" hidden="1" ht="1" customHeight="1">
      <s:c r="A25653" s="120" t="inlineStr"/>
      <s:c r="B25653" s="121" t="n"/>
      <s:c r="C25653" s="121" t="n"/>
      <s:c r="D25653" s="121" t="n"/>
      <s:c r="E25653" s="122" t="n"/>
    </s:row>
    <s:row r="25654" hidden="1" ht="1" customHeight="1">
      <s:c r="A25654" s="120" t="inlineStr"/>
      <s:c r="B25654" s="121" t="n"/>
      <s:c r="C25654" s="121" t="n"/>
      <s:c r="D25654" s="121" t="n"/>
      <s:c r="E25654" s="122" t="n"/>
    </s:row>
    <s:row r="25655" hidden="1" ht="1" customHeight="1">
      <s:c r="A25655" s="120" t="inlineStr"/>
      <s:c r="B25655" s="121" t="n"/>
      <s:c r="C25655" s="121" t="n"/>
      <s:c r="D25655" s="121" t="n"/>
      <s:c r="E25655" s="122" t="n"/>
    </s:row>
    <s:row r="25656" hidden="1" ht="1" customHeight="1">
      <s:c r="A25656" s="120" t="inlineStr"/>
      <s:c r="B25656" s="121" t="n"/>
      <s:c r="C25656" s="121" t="n"/>
      <s:c r="D25656" s="121" t="n"/>
      <s:c r="E25656" s="122" t="n"/>
    </s:row>
    <s:row r="25657" hidden="1" ht="1" customHeight="1">
      <s:c r="A25657" s="120" t="inlineStr"/>
      <s:c r="B25657" s="121" t="n"/>
      <s:c r="C25657" s="121" t="n"/>
      <s:c r="D25657" s="121" t="n"/>
      <s:c r="E25657" s="122" t="n"/>
    </s:row>
    <s:row r="25658" hidden="1" ht="1" customHeight="1">
      <s:c r="A25658" s="120" t="inlineStr"/>
      <s:c r="B25658" s="121" t="n"/>
      <s:c r="C25658" s="121" t="n"/>
      <s:c r="D25658" s="121" t="n"/>
      <s:c r="E25658" s="122" t="n"/>
    </s:row>
    <s:row r="25659" hidden="1" ht="1" customHeight="1">
      <s:c r="A25659" s="120" t="inlineStr"/>
      <s:c r="B25659" s="121" t="n"/>
      <s:c r="C25659" s="121" t="n"/>
      <s:c r="D25659" s="121" t="n"/>
      <s:c r="E25659" s="122" t="n"/>
    </s:row>
    <s:row r="25660" hidden="1" ht="1" customHeight="1">
      <s:c r="A25660" s="120" t="inlineStr"/>
      <s:c r="B25660" s="121" t="n"/>
      <s:c r="C25660" s="121" t="n"/>
      <s:c r="D25660" s="121" t="n"/>
      <s:c r="E25660" s="122" t="n"/>
    </s:row>
    <s:row r="25661" hidden="1" ht="1" customHeight="1">
      <s:c r="A25661" s="120" t="inlineStr"/>
      <s:c r="B25661" s="121" t="n"/>
      <s:c r="C25661" s="121" t="n"/>
      <s:c r="D25661" s="121" t="n"/>
      <s:c r="E25661" s="122" t="n"/>
    </s:row>
    <s:row r="25662" hidden="1" ht="1" customHeight="1">
      <s:c r="A25662" s="120" t="inlineStr"/>
      <s:c r="B25662" s="121" t="n"/>
      <s:c r="C25662" s="121" t="n"/>
      <s:c r="D25662" s="121" t="n"/>
      <s:c r="E25662" s="122" t="n"/>
    </s:row>
    <s:row r="25663" hidden="1" ht="1" customHeight="1">
      <s:c r="A25663" s="120" t="inlineStr"/>
      <s:c r="B25663" s="121" t="n"/>
      <s:c r="C25663" s="121" t="n"/>
      <s:c r="D25663" s="121" t="n"/>
      <s:c r="E25663" s="122" t="n"/>
    </s:row>
    <s:row r="25664" hidden="1" ht="1" customHeight="1">
      <s:c r="A25664" s="120" t="inlineStr"/>
      <s:c r="B25664" s="121" t="n"/>
      <s:c r="C25664" s="121" t="n"/>
      <s:c r="D25664" s="121" t="n"/>
      <s:c r="E25664" s="122" t="n"/>
    </s:row>
    <s:row r="25665" hidden="1" ht="1" customHeight="1">
      <s:c r="A25665" s="120" t="inlineStr"/>
      <s:c r="B25665" s="121" t="n"/>
      <s:c r="C25665" s="121" t="n"/>
      <s:c r="D25665" s="121" t="n"/>
      <s:c r="E25665" s="122" t="n"/>
    </s:row>
    <s:row r="25666" hidden="1" ht="1" customHeight="1">
      <s:c r="A25666" s="120" t="inlineStr"/>
      <s:c r="B25666" s="121" t="n"/>
      <s:c r="C25666" s="121" t="n"/>
      <s:c r="D25666" s="121" t="n"/>
      <s:c r="E25666" s="122" t="n"/>
    </s:row>
    <s:row r="25667" hidden="1" ht="1" customHeight="1">
      <s:c r="A25667" s="120" t="inlineStr"/>
      <s:c r="B25667" s="121" t="n"/>
      <s:c r="C25667" s="121" t="n"/>
      <s:c r="D25667" s="121" t="n"/>
      <s:c r="E25667" s="122" t="n"/>
    </s:row>
    <s:row r="25668" hidden="1" ht="1" customHeight="1">
      <s:c r="A25668" s="120" t="inlineStr"/>
      <s:c r="B25668" s="121" t="n"/>
      <s:c r="C25668" s="121" t="n"/>
      <s:c r="D25668" s="121" t="n"/>
      <s:c r="E25668" s="122" t="n"/>
    </s:row>
    <s:row r="25669" hidden="1" ht="1" customHeight="1">
      <s:c r="A25669" s="120" t="inlineStr"/>
      <s:c r="B25669" s="121" t="n"/>
      <s:c r="C25669" s="121" t="n"/>
      <s:c r="D25669" s="121" t="n"/>
      <s:c r="E25669" s="122" t="n"/>
    </s:row>
    <s:row r="25670" hidden="1" ht="1" customHeight="1">
      <s:c r="A25670" s="120" t="inlineStr"/>
      <s:c r="B25670" s="121" t="n"/>
      <s:c r="C25670" s="121" t="n"/>
      <s:c r="D25670" s="121" t="n"/>
      <s:c r="E25670" s="122" t="n"/>
    </s:row>
    <s:row r="25671" hidden="1" ht="1" customHeight="1">
      <s:c r="A25671" s="120" t="inlineStr"/>
      <s:c r="B25671" s="121" t="n"/>
      <s:c r="C25671" s="121" t="n"/>
      <s:c r="D25671" s="121" t="n"/>
      <s:c r="E25671" s="122" t="n"/>
    </s:row>
    <s:row r="25672" hidden="1" ht="1" customHeight="1">
      <s:c r="A25672" s="120" t="inlineStr"/>
      <s:c r="B25672" s="121" t="n"/>
      <s:c r="C25672" s="121" t="n"/>
      <s:c r="D25672" s="121" t="n"/>
      <s:c r="E25672" s="122" t="n"/>
    </s:row>
    <s:row r="25673" hidden="1" ht="1" customHeight="1">
      <s:c r="A25673" s="120" t="inlineStr"/>
      <s:c r="B25673" s="121" t="n"/>
      <s:c r="C25673" s="121" t="n"/>
      <s:c r="D25673" s="121" t="n"/>
      <s:c r="E25673" s="122" t="n"/>
    </s:row>
    <s:row r="25674" hidden="1" ht="1" customHeight="1">
      <s:c r="A25674" s="120" t="inlineStr"/>
      <s:c r="B25674" s="121" t="n"/>
      <s:c r="C25674" s="121" t="n"/>
      <s:c r="D25674" s="121" t="n"/>
      <s:c r="E25674" s="122" t="n"/>
    </s:row>
    <s:row r="25675" hidden="1" ht="1" customHeight="1">
      <s:c r="A25675" s="120" t="inlineStr"/>
      <s:c r="B25675" s="121" t="n"/>
      <s:c r="C25675" s="121" t="n"/>
      <s:c r="D25675" s="121" t="n"/>
      <s:c r="E25675" s="122" t="n"/>
    </s:row>
    <s:row r="25676" hidden="1" ht="1" customHeight="1">
      <s:c r="A25676" s="120" t="inlineStr"/>
      <s:c r="B25676" s="121" t="n"/>
      <s:c r="C25676" s="121" t="n"/>
      <s:c r="D25676" s="121" t="n"/>
      <s:c r="E25676" s="122" t="n"/>
    </s:row>
    <s:row r="25677" hidden="1" ht="1" customHeight="1">
      <s:c r="A25677" s="120" t="inlineStr"/>
      <s:c r="B25677" s="121" t="n"/>
      <s:c r="C25677" s="121" t="n"/>
      <s:c r="D25677" s="121" t="n"/>
      <s:c r="E25677" s="122" t="n"/>
    </s:row>
    <s:row r="25678" hidden="1" ht="1" customHeight="1">
      <s:c r="A25678" s="120" t="inlineStr"/>
      <s:c r="B25678" s="121" t="n"/>
      <s:c r="C25678" s="121" t="n"/>
      <s:c r="D25678" s="121" t="n"/>
      <s:c r="E25678" s="122" t="n"/>
    </s:row>
    <s:row r="25679" hidden="1" ht="1" customHeight="1">
      <s:c r="A25679" s="120" t="inlineStr"/>
      <s:c r="B25679" s="121" t="n"/>
      <s:c r="C25679" s="121" t="n"/>
      <s:c r="D25679" s="121" t="n"/>
      <s:c r="E25679" s="122" t="n"/>
    </s:row>
    <s:row r="25680" hidden="1" ht="1" customHeight="1">
      <s:c r="A25680" s="83" t="inlineStr">
        <s:is>
          <s:t>PASS</s:t>
        </s:is>
      </s:c>
      <s:c r="B25680" s="83">
        <s:f>SUM(IF(EXACT('Kiểm thử'!E25580,"Đạt"),1,0),IF(EXACT('Kiểm thử'!E25582,"Đạt"),1,0))</s:f>
        <s:v/>
      </s:c>
      <s:c r="C25680" s="19" t="n"/>
      <s:c r="D25680" s="19" t="n"/>
      <s:c r="E25680" s="19" t="n"/>
    </s:row>
    <s:row r="25681" hidden="1" ht="1" customHeight="1">
      <s:c r="A25681" s="83" t="inlineStr">
        <s:is>
          <s:t>FAIL</s:t>
        </s:is>
      </s:c>
      <s:c r="B25681" s="83">
        <s:f>SUM(IF(EXACT('Kiểm thử'!E25580,"Không đạt"),1,0),IF(EXACT('Kiểm thử'!E25582,"Không đạt"),1,0))</s:f>
        <s:v/>
      </s:c>
      <s:c r="C25681" s="19" t="n"/>
      <s:c r="D25681" s="19" t="n"/>
      <s:c r="E25681" s="19" t="n"/>
    </s:row>
    <s:row r="25682" hidden="1" ht="1" customHeight="1">
      <s:c r="A25682" s="83" t="inlineStr">
        <s:is>
          <s:t>BLOCKED</s:t>
        </s:is>
      </s:c>
      <s:c r="B25682" s="83">
        <s:f>SUM(IF(EXACT('Kiểm thử'!E25580,"Bị chặn"),1,0),IF(EXACT('Kiểm thử'!E25582,"Bị chặn"),1,0))</s:f>
        <s:v/>
      </s:c>
      <s:c r="C25682" s="19" t="n"/>
      <s:c r="D25682" s="19" t="n"/>
      <s:c r="E25682" s="19" t="n"/>
    </s:row>
    <s:row r="25683" hidden="1" ht="1" customHeight="1">
      <s:c r="A25683" s="83" t="inlineStr">
        <s:is>
          <s:t>SKIPPED</s:t>
        </s:is>
      </s:c>
      <s:c r="B25683" s="83">
        <s:f>SUM(IF(EXACT('Kiểm thử'!E25580,"Không thực hiện"),1,0),IF(EXACT('Kiểm thử'!E25582,"Không thực hiện"),1,0))</s:f>
        <s:v/>
      </s:c>
      <s:c r="C25683" s="19" t="n"/>
      <s:c r="D25683" s="19" t="n"/>
      <s:c r="E25683" s="19" t="n"/>
    </s:row>
    <s:row r="25684" hidden="1" ht="1" customHeight="1">
      <s:c r="A25684" s="83" t="inlineStr">
        <s:is>
          <s:t>NOT RUN</s:t>
        </s:is>
      </s:c>
      <s:c r="B25684" s="83">
        <s:f>SUM(IF(EXACT('Kiểm thử'!E25580,"Chưa thực hiện"),1,0),IF(EXACT('Kiểm thử'!E25582,"Chưa thực hiện"),1,0))</s:f>
        <s:v/>
      </s:c>
      <s:c r="C25684" s="19" t="n"/>
      <s:c r="D25684" s="19" t="n"/>
      <s:c r="E25684" s="19" t="n"/>
    </s:row>
    <s:row r="25685" hidden="1" ht="6" customHeight="1">
      <s:c r="A25685" s="83" t="inlineStr"/>
      <s:c r="B25685" s="19" t="n"/>
      <s:c r="C25685" s="19" t="n"/>
      <s:c r="D25685" s="19" t="n"/>
      <s:c r="E25685" s="19" t="n"/>
    </s:row>
    <s:row r="25686" ht="28" customHeight="1">
      <s:c r="A25686" s="108" t="inlineStr">
        <s:is>
          <s:t>TC-RS-CALC-007 — Tỷ lệ có xử lý phần lẻ: xuống / gần nhất / lên tại p1</s:t>
        </s:is>
      </s:c>
      <s:c r="B25686" s="111" t="n"/>
      <s:c r="C25686" s="111" t="n"/>
      <s:c r="D25686" s="111" t="n"/>
      <s:c r="E25686" s="111" t="n"/>
    </s:row>
    <s:row r="25687" ht="20" customHeight="1">
      <s:c r="A25687" s="112" t="inlineStr">
        <s:is>
          <s:t>Kết quả tình huống</s:t>
        </s:is>
      </s:c>
      <s:c r="B25687" s="113">
        <s:f>IF(SUM(IF(EXACT('Kiểm thử'!E25694,"Không đạt"),1,0),IF(EXACT('Kiểm thử'!E25696,"Không đạt"),1,0),IF(EXACT('Kiểm thử'!E25698,"Không đạt"),1,0),IF(EXACT('Kiểm thử'!E25700,"Không đạt"),1,0),IF(EXACT('Kiểm thử'!E25702,"Không đạt"),1,0),IF(EXACT('Kiểm thử'!E25704,"Không đạt"),1,0),IF(EXACT('Kiểm thử'!E25706,"Không đạt"),1,0),IF(EXACT('Kiểm thử'!E25708,"Không đạt"),1,0))&gt;0,"Không đạt",IF(SUM(IF(EXACT('Kiểm thử'!E25694,"Đạt"),1,0),IF(EXACT('Kiểm thử'!E25696,"Đạt"),1,0),IF(EXACT('Kiểm thử'!E25698,"Đạt"),1,0),IF(EXACT('Kiểm thử'!E25700,"Đạt"),1,0),IF(EXACT('Kiểm thử'!E25702,"Đạt"),1,0),IF(EXACT('Kiểm thử'!E25704,"Đạt"),1,0),IF(EXACT('Kiểm thử'!E25706,"Đạt"),1,0),IF(EXACT('Kiểm thử'!E25708,"Đạt"),1,0))=8,"Đạt",IF(SUM(IF(EXACT('Kiểm thử'!E25694,"Không thực hiện"),1,0),IF(EXACT('Kiểm thử'!E25696,"Không thực hiện"),1,0),IF(EXACT('Kiểm thử'!E25698,"Không thực hiện"),1,0),IF(EXACT('Kiểm thử'!E25700,"Không thực hiện"),1,0),IF(EXACT('Kiểm thử'!E25702,"Không thực hiện"),1,0),IF(EXACT('Kiểm thử'!E25704,"Không thực hiện"),1,0),IF(EXACT('Kiểm thử'!E25706,"Không thực hiện"),1,0),IF(EXACT('Kiểm thử'!E25708,"Không thực hiện"),1,0))=8,"Không thực hiện",IF(SUM(IF(EXACT('Kiểm thử'!E25694,"Bị chặn"),1,0),IF(EXACT('Kiểm thử'!E25696,"Bị chặn"),1,0),IF(EXACT('Kiểm thử'!E25698,"Bị chặn"),1,0),IF(EXACT('Kiểm thử'!E25700,"Bị chặn"),1,0),IF(EXACT('Kiểm thử'!E25702,"Bị chặn"),1,0),IF(EXACT('Kiểm thử'!E25704,"Bị chặn"),1,0),IF(EXACT('Kiểm thử'!E25706,"Bị chặn"),1,0),IF(EXACT('Kiểm thử'!E25708,"Bị chặn"),1,0))&gt;0,"Bị chặn",IF(SUM(IF(EXACT('Kiểm thử'!E25694,"Chưa thực hiện"),1,0),IF(EXACT('Kiểm thử'!E25696,"Chưa thực hiện"),1,0),IF(EXACT('Kiểm thử'!E25698,"Chưa thực hiện"),1,0),IF(EXACT('Kiểm thử'!E25700,"Chưa thực hiện"),1,0),IF(EXACT('Kiểm thử'!E25702,"Chưa thực hiện"),1,0),IF(EXACT('Kiểm thử'!E25704,"Chưa thực hiện"),1,0),IF(EXACT('Kiểm thử'!E25706,"Chưa thực hiện"),1,0),IF(EXACT('Kiểm thử'!E25708,"Chưa thực hiện"),1,0))=8,"Chưa thực hiện","Đang thực hiện")))))</s:f>
        <s:v/>
      </s:c>
      <s:c r="C25687" s="114" t="n"/>
      <s:c r="D25687" s="114" t="n"/>
      <s:c r="E25687" s="114" t="n"/>
    </s:row>
    <s:row r="25688" ht="20" customHeight="1">
      <s:c r="A25688" s="112" t="inlineStr">
        <s:is>
          <s:t>Màn hình / chức năng</s:t>
        </s:is>
      </s:c>
      <s:c r="B25688" s="113" t="inlineStr">
        <s:is>
          <s:r>
            <s:rPr>
              <s:b val="1"/>
            </s:rPr>
            <s:t>Thiết lập ngưỡng（基準設定）</s:t>
          </s:r>
        </s:is>
      </s:c>
      <s:c r="C25688" s="28" t="n"/>
      <s:c r="D25688" s="28" t="n"/>
      <s:c r="E25688" s="28" t="n"/>
    </s:row>
    <s:row r="25689" ht="34" customHeight="1">
      <s:c r="A25689" s="112" t="inlineStr">
        <s:is>
          <s:t>Cấu hình</s:t>
        </s:is>
      </s:c>
      <s:c r="B25689" s="113" t="inlineStr">
        <s:is>
          <s:r>
            <s:t>• Mục số thập phân (</s:t>
          </s:r>
          <s:r>
            <s:rPr>
              <s:b val="1"/>
            </s:rPr>
            <s:t>M=100</s:t>
          </s:r>
          <s:r>
            <s:t>);
• Tỷ lệ 30%, dấu [&lt;].</s:t>
          </s:r>
        </s:is>
      </s:c>
      <s:c r="C25689" s="28" t="n"/>
      <s:c r="D25689" s="28" t="n"/>
      <s:c r="E25689" s="28" t="n"/>
    </s:row>
    <s:row r="25690" ht="48" customHeight="1">
      <s:c r="A25690" s="112" t="inlineStr">
        <s:is>
          <s:t>Dữ liệu test</s:t>
        </s:is>
      </s:c>
      <s:c r="B25690" s="113" t="inlineStr">
        <s:is>
          <s:r>
            <s:t>• Mục số thập phân (</s:t>
          </s:r>
          <s:r>
            <s:rPr>
              <s:b val="1"/>
            </s:rPr>
            <s:t>M=100</s:t>
          </s:r>
          <s:r>
            <s:t xml:space="preserve">);
• (A) </s:t>
          </s:r>
          <s:r>
            <s:rPr>
              <s:b val="1"/>
            </s:rPr>
            <s:t>M=45</s:t>
          </s:r>
          <s:r>
            <s:t xml:space="preserve"> → [T_thô=13.5], </s:t>
          </s:r>
          <s:r>
            <s:rPr>
              <s:b val="1"/>
            </s:rPr>
            <s:t>S=13</s:t>
          </s:r>
          <s:r>
            <s:t xml:space="preserve">;
• (B) </s:t>
          </s:r>
          <s:r>
            <s:rPr>
              <s:b val="1"/>
            </s:rPr>
            <s:t>M=47</s:t>
          </s:r>
          <s:r>
            <s:t xml:space="preserve"> → [T_thô=14.1], </s:t>
          </s:r>
          <s:r>
            <s:rPr>
              <s:b val="1"/>
            </s:rPr>
            <s:t>S=14</s:t>
          </s:r>
        </s:is>
      </s:c>
      <s:c r="C25690" s="28" t="n"/>
      <s:c r="D25690" s="28" t="n"/>
      <s:c r="E25690" s="28" t="n"/>
    </s:row>
    <s:row r="25691" ht="20" customHeight="1">
      <s:c r="A25691" s="112" t="inlineStr">
        <s:is>
          <s:t>•</s:t>
        </s:is>
      </s:c>
      <s:c r="B25691" s="113" t="inlineStr">
        <s:is>
          <s:r>
            <s:t xml:space="preserve">Với (a) và (b): xét </s:t>
          </s:r>
          <s:r>
            <s:rPr>
              <s:b val="1"/>
            </s:rPr>
            <s:t>với Không xử lý（しない）</s:t>
          </s:r>
          <s:r>
            <s:t>, xuống p1, gần nhất p1, lên p1.</s:t>
          </s:r>
        </s:is>
      </s:c>
      <s:c r="C25691" s="28" t="n"/>
      <s:c r="D25691" s="28" t="n"/>
      <s:c r="E25691" s="28" t="n"/>
    </s:row>
    <s:row r="25692" ht="28" customHeight="1">
      <s:c r="A25692" s="115" t="inlineStr">
        <s:is>
          <s:t>Trường hợp</s:t>
        </s:is>
      </s:c>
      <s:c r="B25692" s="115" t="inlineStr">
        <s:is>
          <s:t>Dữ liệu / thao tác riêng</s:t>
        </s:is>
      </s:c>
      <s:c r="C25692" s="115" t="inlineStr">
        <s:is>
          <s:t>Kết quả mong đợi</s:t>
        </s:is>
      </s:c>
      <s:c r="D25692" s="115" t="inlineStr">
        <s:is>
          <s:t>Kết quả thực tế</s:t>
        </s:is>
      </s:c>
      <s:c r="E25692" s="115" t="inlineStr">
        <s:is>
          <s:t>Đánh giá</s:t>
        </s:is>
      </s:c>
    </s:row>
    <s:row r="25693" ht="3" customHeight="1">
      <s:c r="A25693" s="102" t="inlineStr"/>
      <s:c r="B25693" s="99" t="n"/>
      <s:c r="C25693" s="99" t="n"/>
      <s:c r="D25693" s="116" t="n"/>
      <s:c r="E25693" s="116" t="n"/>
    </s:row>
    <s:row r="25694" ht="48" customHeight="1">
      <s:c r="A25694" s="83" t="inlineStr">
        <s:is>
          <s:t>Trường hợp (m45-none)</s:t>
        </s:is>
      </s:c>
      <s:c r="B25694" s="83" t="inlineStr">
        <s:is>
          <s:r>
            <s:t xml:space="preserve">Không xử lý phần lẻ, </s:t>
          </s:r>
          <s:r>
            <s:rPr>
              <s:b val="1"/>
            </s:rPr>
            <s:t>M=45</s:t>
          </s:r>
          <s:r>
            <s:t xml:space="preserve">: Tỷ lệ </s:t>
          </s:r>
          <s:r>
            <s:rPr>
              <s:b val="1"/>
            </s:rPr>
            <s:t>N=30%</s:t>
          </s:r>
          <s:r>
            <s:t xml:space="preserve">, </s:t>
          </s:r>
          <s:r>
            <s:rPr>
              <s:b val="1"/>
            </s:rPr>
            <s:t>S=13</s:t>
          </s:r>
          <s:r>
            <s:t>, dấu &lt;; không xử lý phần lẻ.</s:t>
          </s:r>
        </s:is>
      </s:c>
      <s:c r="C25694" s="83" t="inlineStr">
        <s:is>
          <s:r>
            <s:t xml:space="preserve">Ngưỡng thô 13.5, ngưỡng cuối </s:t>
          </s:r>
          <s:r>
            <s:rPr>
              <s:b val="1"/>
            </s:rPr>
            <s:t>T=13.5</s:t>
          </s:r>
          <s:r>
            <s:t xml:space="preserve"> → </s:t>
          </s:r>
          <s:r>
            <s:rPr>
              <s:b val="1"/>
            </s:rPr>
            <s:t>S=13</s:t>
          </s:r>
          <s:r>
            <s:t xml:space="preserve"> </s:t>
          </s:r>
          <s:r>
            <s:rPr>
              <s:b val="1"/>
            </s:rPr>
            <s:t>Đỏ</s:t>
          </s:r>
          <s:r>
            <s:t>.</s:t>
          </s:r>
        </s:is>
      </s:c>
      <s:c r="D25694" s="117" t="inlineStr"/>
      <s:c r="E25694" s="118" t="inlineStr">
        <s:is>
          <s:t>Chưa thực hiện</s:t>
        </s:is>
      </s:c>
    </s:row>
    <s:row r="25695" ht="3" customHeight="1">
      <s:c r="A25695" s="102" t="inlineStr"/>
      <s:c r="B25695" s="99" t="n"/>
      <s:c r="C25695" s="99" t="n"/>
      <s:c r="D25695" s="116" t="n"/>
      <s:c r="E25695" s="116" t="n"/>
    </s:row>
    <s:row r="25696" ht="48" customHeight="1">
      <s:c r="A25696" s="83" t="inlineStr">
        <s:is>
          <s:t>Trường hợp (m45-down)</s:t>
        </s:is>
      </s:c>
      <s:c r="B25696" s="83" t="inlineStr">
        <s:is>
          <s:r>
            <s:t xml:space="preserve">Làm tròn xuống, </s:t>
          </s:r>
          <s:r>
            <s:rPr>
              <s:b val="1"/>
            </s:rPr>
            <s:t>M=45</s:t>
          </s:r>
          <s:r>
            <s:t xml:space="preserve">: Tỷ lệ </s:t>
          </s:r>
          <s:r>
            <s:rPr>
              <s:b val="1"/>
            </s:rPr>
            <s:t>N=30%</s:t>
          </s:r>
          <s:r>
            <s:t xml:space="preserve">, </s:t>
          </s:r>
          <s:r>
            <s:rPr>
              <s:b val="1"/>
            </s:rPr>
            <s:t>S=13</s:t>
          </s:r>
          <s:r>
            <s:t>, dấu &lt;; Làm tròn xuống tại p=1.</s:t>
          </s:r>
        </s:is>
      </s:c>
      <s:c r="C25696" s="83" t="inlineStr">
        <s:is>
          <s:r>
            <s:t xml:space="preserve">Ngưỡng thô 13.5, ngưỡng cuối </s:t>
          </s:r>
          <s:r>
            <s:rPr>
              <s:b val="1"/>
            </s:rPr>
            <s:t>T=13</s:t>
          </s:r>
          <s:r>
            <s:t xml:space="preserve"> → </s:t>
          </s:r>
          <s:r>
            <s:rPr>
              <s:b val="1"/>
            </s:rPr>
            <s:t>S=13</s:t>
          </s:r>
          <s:r>
            <s:t xml:space="preserve"> </s:t>
          </s:r>
          <s:r>
            <s:rPr>
              <s:b val="1"/>
            </s:rPr>
            <s:t>Không đỏ</s:t>
          </s:r>
          <s:r>
            <s:t>.</s:t>
          </s:r>
        </s:is>
      </s:c>
      <s:c r="D25696" s="117" t="inlineStr"/>
      <s:c r="E25696" s="118" t="inlineStr">
        <s:is>
          <s:t>Chưa thực hiện</s:t>
        </s:is>
      </s:c>
    </s:row>
    <s:row r="25697" ht="3" customHeight="1">
      <s:c r="A25697" s="102" t="inlineStr"/>
      <s:c r="B25697" s="99" t="n"/>
      <s:c r="C25697" s="99" t="n"/>
      <s:c r="D25697" s="116" t="n"/>
      <s:c r="E25697" s="116" t="n"/>
    </s:row>
    <s:row r="25698" ht="48" customHeight="1">
      <s:c r="A25698" s="83" t="inlineStr">
        <s:is>
          <s:t>Trường hợp (m45-nearest)</s:t>
        </s:is>
      </s:c>
      <s:c r="B25698" s="83" t="inlineStr">
        <s:is>
          <s:r>
            <s:t xml:space="preserve">Làm tròn gần nhất, </s:t>
          </s:r>
          <s:r>
            <s:rPr>
              <s:b val="1"/>
            </s:rPr>
            <s:t>M=45</s:t>
          </s:r>
          <s:r>
            <s:t xml:space="preserve">: Tỷ lệ </s:t>
          </s:r>
          <s:r>
            <s:rPr>
              <s:b val="1"/>
            </s:rPr>
            <s:t>N=30%</s:t>
          </s:r>
          <s:r>
            <s:t xml:space="preserve">, </s:t>
          </s:r>
          <s:r>
            <s:rPr>
              <s:b val="1"/>
            </s:rPr>
            <s:t>S=13</s:t>
          </s:r>
          <s:r>
            <s:t>, dấu &lt;; Làm tròn gần nhất tại p=1.</s:t>
          </s:r>
        </s:is>
      </s:c>
      <s:c r="C25698" s="83" t="inlineStr">
        <s:is>
          <s:r>
            <s:t xml:space="preserve">Ngưỡng thô 13.5, ngưỡng cuối </s:t>
          </s:r>
          <s:r>
            <s:rPr>
              <s:b val="1"/>
            </s:rPr>
            <s:t>T=14</s:t>
          </s:r>
          <s:r>
            <s:t xml:space="preserve"> → </s:t>
          </s:r>
          <s:r>
            <s:rPr>
              <s:b val="1"/>
            </s:rPr>
            <s:t>S=13</s:t>
          </s:r>
          <s:r>
            <s:t xml:space="preserve"> </s:t>
          </s:r>
          <s:r>
            <s:rPr>
              <s:b val="1"/>
            </s:rPr>
            <s:t>Đỏ</s:t>
          </s:r>
          <s:r>
            <s:t>.</s:t>
          </s:r>
        </s:is>
      </s:c>
      <s:c r="D25698" s="117" t="inlineStr"/>
      <s:c r="E25698" s="118" t="inlineStr">
        <s:is>
          <s:t>Chưa thực hiện</s:t>
        </s:is>
      </s:c>
    </s:row>
    <s:row r="25699" ht="3" customHeight="1">
      <s:c r="A25699" s="102" t="inlineStr"/>
      <s:c r="B25699" s="99" t="n"/>
      <s:c r="C25699" s="99" t="n"/>
      <s:c r="D25699" s="116" t="n"/>
      <s:c r="E25699" s="116" t="n"/>
    </s:row>
    <s:row r="25700" ht="48" customHeight="1">
      <s:c r="A25700" s="83" t="inlineStr">
        <s:is>
          <s:t>Trường hợp (m45-up)</s:t>
        </s:is>
      </s:c>
      <s:c r="B25700" s="83" t="inlineStr">
        <s:is>
          <s:r>
            <s:t xml:space="preserve">Làm tròn lên, </s:t>
          </s:r>
          <s:r>
            <s:rPr>
              <s:b val="1"/>
            </s:rPr>
            <s:t>M=45</s:t>
          </s:r>
          <s:r>
            <s:t xml:space="preserve">: Tỷ lệ </s:t>
          </s:r>
          <s:r>
            <s:rPr>
              <s:b val="1"/>
            </s:rPr>
            <s:t>N=30%</s:t>
          </s:r>
          <s:r>
            <s:t xml:space="preserve">, </s:t>
          </s:r>
          <s:r>
            <s:rPr>
              <s:b val="1"/>
            </s:rPr>
            <s:t>S=13</s:t>
          </s:r>
          <s:r>
            <s:t>, dấu &lt;; Làm tròn lên tại p=1.</s:t>
          </s:r>
        </s:is>
      </s:c>
      <s:c r="C25700" s="83" t="inlineStr">
        <s:is>
          <s:r>
            <s:t xml:space="preserve">Ngưỡng thô 13.5, ngưỡng cuối </s:t>
          </s:r>
          <s:r>
            <s:rPr>
              <s:b val="1"/>
            </s:rPr>
            <s:t>T=14</s:t>
          </s:r>
          <s:r>
            <s:t xml:space="preserve"> → </s:t>
          </s:r>
          <s:r>
            <s:rPr>
              <s:b val="1"/>
            </s:rPr>
            <s:t>S=13</s:t>
          </s:r>
          <s:r>
            <s:t xml:space="preserve"> </s:t>
          </s:r>
          <s:r>
            <s:rPr>
              <s:b val="1"/>
            </s:rPr>
            <s:t>Đỏ</s:t>
          </s:r>
          <s:r>
            <s:t>.</s:t>
          </s:r>
        </s:is>
      </s:c>
      <s:c r="D25700" s="117" t="inlineStr"/>
      <s:c r="E25700" s="118" t="inlineStr">
        <s:is>
          <s:t>Chưa thực hiện</s:t>
        </s:is>
      </s:c>
    </s:row>
    <s:row r="25701" ht="3" customHeight="1">
      <s:c r="A25701" s="102" t="inlineStr"/>
      <s:c r="B25701" s="99" t="n"/>
      <s:c r="C25701" s="99" t="n"/>
      <s:c r="D25701" s="116" t="n"/>
      <s:c r="E25701" s="116" t="n"/>
    </s:row>
    <s:row r="25702" ht="48" customHeight="1">
      <s:c r="A25702" s="83" t="inlineStr">
        <s:is>
          <s:t>Trường hợp (m47-none)</s:t>
        </s:is>
      </s:c>
      <s:c r="B25702" s="83" t="inlineStr">
        <s:is>
          <s:r>
            <s:t xml:space="preserve">Không xử lý phần lẻ, </s:t>
          </s:r>
          <s:r>
            <s:rPr>
              <s:b val="1"/>
            </s:rPr>
            <s:t>M=47</s:t>
          </s:r>
          <s:r>
            <s:t xml:space="preserve">: Tỷ lệ </s:t>
          </s:r>
          <s:r>
            <s:rPr>
              <s:b val="1"/>
            </s:rPr>
            <s:t>N=30%</s:t>
          </s:r>
          <s:r>
            <s:t xml:space="preserve">, </s:t>
          </s:r>
          <s:r>
            <s:rPr>
              <s:b val="1"/>
            </s:rPr>
            <s:t>S=14</s:t>
          </s:r>
          <s:r>
            <s:t>, dấu &lt;; không xử lý phần lẻ.</s:t>
          </s:r>
        </s:is>
      </s:c>
      <s:c r="C25702" s="83" t="inlineStr">
        <s:is>
          <s:r>
            <s:t xml:space="preserve">Ngưỡng thô 14.1, ngưỡng cuối </s:t>
          </s:r>
          <s:r>
            <s:rPr>
              <s:b val="1"/>
            </s:rPr>
            <s:t>T=14.1</s:t>
          </s:r>
          <s:r>
            <s:t xml:space="preserve"> → </s:t>
          </s:r>
          <s:r>
            <s:rPr>
              <s:b val="1"/>
            </s:rPr>
            <s:t>S=14</s:t>
          </s:r>
          <s:r>
            <s:t xml:space="preserve"> </s:t>
          </s:r>
          <s:r>
            <s:rPr>
              <s:b val="1"/>
            </s:rPr>
            <s:t>Đỏ</s:t>
          </s:r>
          <s:r>
            <s:t>.</s:t>
          </s:r>
        </s:is>
      </s:c>
      <s:c r="D25702" s="117" t="inlineStr"/>
      <s:c r="E25702" s="118" t="inlineStr">
        <s:is>
          <s:t>Chưa thực hiện</s:t>
        </s:is>
      </s:c>
    </s:row>
    <s:row r="25703" ht="3" customHeight="1">
      <s:c r="A25703" s="102" t="inlineStr"/>
      <s:c r="B25703" s="99" t="n"/>
      <s:c r="C25703" s="99" t="n"/>
      <s:c r="D25703" s="116" t="n"/>
      <s:c r="E25703" s="116" t="n"/>
    </s:row>
    <s:row r="25704" ht="48" customHeight="1">
      <s:c r="A25704" s="83" t="inlineStr">
        <s:is>
          <s:t>Trường hợp (m47-down)</s:t>
        </s:is>
      </s:c>
      <s:c r="B25704" s="83" t="inlineStr">
        <s:is>
          <s:r>
            <s:t xml:space="preserve">Làm tròn xuống, </s:t>
          </s:r>
          <s:r>
            <s:rPr>
              <s:b val="1"/>
            </s:rPr>
            <s:t>M=47</s:t>
          </s:r>
          <s:r>
            <s:t xml:space="preserve">: Tỷ lệ </s:t>
          </s:r>
          <s:r>
            <s:rPr>
              <s:b val="1"/>
            </s:rPr>
            <s:t>N=30%</s:t>
          </s:r>
          <s:r>
            <s:t xml:space="preserve">, </s:t>
          </s:r>
          <s:r>
            <s:rPr>
              <s:b val="1"/>
            </s:rPr>
            <s:t>S=14</s:t>
          </s:r>
          <s:r>
            <s:t>, dấu &lt;; Làm tròn xuống tại p=1.</s:t>
          </s:r>
        </s:is>
      </s:c>
      <s:c r="C25704" s="83" t="inlineStr">
        <s:is>
          <s:r>
            <s:t xml:space="preserve">Ngưỡng thô 14.1, ngưỡng cuối </s:t>
          </s:r>
          <s:r>
            <s:rPr>
              <s:b val="1"/>
            </s:rPr>
            <s:t>T=14</s:t>
          </s:r>
          <s:r>
            <s:t xml:space="preserve"> → </s:t>
          </s:r>
          <s:r>
            <s:rPr>
              <s:b val="1"/>
            </s:rPr>
            <s:t>S=14</s:t>
          </s:r>
          <s:r>
            <s:t xml:space="preserve"> </s:t>
          </s:r>
          <s:r>
            <s:rPr>
              <s:b val="1"/>
            </s:rPr>
            <s:t>Không đỏ</s:t>
          </s:r>
          <s:r>
            <s:t>.</s:t>
          </s:r>
        </s:is>
      </s:c>
      <s:c r="D25704" s="117" t="inlineStr"/>
      <s:c r="E25704" s="118" t="inlineStr">
        <s:is>
          <s:t>Chưa thực hiện</s:t>
        </s:is>
      </s:c>
    </s:row>
    <s:row r="25705" ht="3" customHeight="1">
      <s:c r="A25705" s="102" t="inlineStr"/>
      <s:c r="B25705" s="99" t="n"/>
      <s:c r="C25705" s="99" t="n"/>
      <s:c r="D25705" s="116" t="n"/>
      <s:c r="E25705" s="116" t="n"/>
    </s:row>
    <s:row r="25706" ht="48" customHeight="1">
      <s:c r="A25706" s="83" t="inlineStr">
        <s:is>
          <s:t>Trường hợp (m47-nearest)</s:t>
        </s:is>
      </s:c>
      <s:c r="B25706" s="83" t="inlineStr">
        <s:is>
          <s:r>
            <s:t xml:space="preserve">Làm tròn gần nhất, </s:t>
          </s:r>
          <s:r>
            <s:rPr>
              <s:b val="1"/>
            </s:rPr>
            <s:t>M=47</s:t>
          </s:r>
          <s:r>
            <s:t xml:space="preserve">: Tỷ lệ </s:t>
          </s:r>
          <s:r>
            <s:rPr>
              <s:b val="1"/>
            </s:rPr>
            <s:t>N=30%</s:t>
          </s:r>
          <s:r>
            <s:t xml:space="preserve">, </s:t>
          </s:r>
          <s:r>
            <s:rPr>
              <s:b val="1"/>
            </s:rPr>
            <s:t>S=14</s:t>
          </s:r>
          <s:r>
            <s:t>, dấu &lt;; Làm tròn gần nhất tại p=1.</s:t>
          </s:r>
        </s:is>
      </s:c>
      <s:c r="C25706" s="83" t="inlineStr">
        <s:is>
          <s:r>
            <s:t xml:space="preserve">Ngưỡng thô 14.1, ngưỡng cuối </s:t>
          </s:r>
          <s:r>
            <s:rPr>
              <s:b val="1"/>
            </s:rPr>
            <s:t>T=14</s:t>
          </s:r>
          <s:r>
            <s:t xml:space="preserve"> → </s:t>
          </s:r>
          <s:r>
            <s:rPr>
              <s:b val="1"/>
            </s:rPr>
            <s:t>S=14</s:t>
          </s:r>
          <s:r>
            <s:t xml:space="preserve"> </s:t>
          </s:r>
          <s:r>
            <s:rPr>
              <s:b val="1"/>
            </s:rPr>
            <s:t>Không đỏ</s:t>
          </s:r>
          <s:r>
            <s:t>.</s:t>
          </s:r>
        </s:is>
      </s:c>
      <s:c r="D25706" s="117" t="inlineStr"/>
      <s:c r="E25706" s="118" t="inlineStr">
        <s:is>
          <s:t>Chưa thực hiện</s:t>
        </s:is>
      </s:c>
    </s:row>
    <s:row r="25707" ht="3" customHeight="1">
      <s:c r="A25707" s="102" t="inlineStr"/>
      <s:c r="B25707" s="99" t="n"/>
      <s:c r="C25707" s="99" t="n"/>
      <s:c r="D25707" s="116" t="n"/>
      <s:c r="E25707" s="116" t="n"/>
    </s:row>
    <s:row r="25708" ht="48" customHeight="1">
      <s:c r="A25708" s="83" t="inlineStr">
        <s:is>
          <s:t>Trường hợp (m47-up)</s:t>
        </s:is>
      </s:c>
      <s:c r="B25708" s="83" t="inlineStr">
        <s:is>
          <s:r>
            <s:t xml:space="preserve">Làm tròn lên, </s:t>
          </s:r>
          <s:r>
            <s:rPr>
              <s:b val="1"/>
            </s:rPr>
            <s:t>M=47</s:t>
          </s:r>
          <s:r>
            <s:t xml:space="preserve">: Tỷ lệ </s:t>
          </s:r>
          <s:r>
            <s:rPr>
              <s:b val="1"/>
            </s:rPr>
            <s:t>N=30%</s:t>
          </s:r>
          <s:r>
            <s:t xml:space="preserve">, </s:t>
          </s:r>
          <s:r>
            <s:rPr>
              <s:b val="1"/>
            </s:rPr>
            <s:t>S=14</s:t>
          </s:r>
          <s:r>
            <s:t>, dấu &lt;; Làm tròn lên tại p=1.</s:t>
          </s:r>
        </s:is>
      </s:c>
      <s:c r="C25708" s="83" t="inlineStr">
        <s:is>
          <s:r>
            <s:t xml:space="preserve">Ngưỡng thô 14.1, ngưỡng cuối </s:t>
          </s:r>
          <s:r>
            <s:rPr>
              <s:b val="1"/>
            </s:rPr>
            <s:t>T=15</s:t>
          </s:r>
          <s:r>
            <s:t xml:space="preserve"> → </s:t>
          </s:r>
          <s:r>
            <s:rPr>
              <s:b val="1"/>
            </s:rPr>
            <s:t>S=14</s:t>
          </s:r>
          <s:r>
            <s:t xml:space="preserve"> </s:t>
          </s:r>
          <s:r>
            <s:rPr>
              <s:b val="1"/>
            </s:rPr>
            <s:t>Đỏ</s:t>
          </s:r>
          <s:r>
            <s:t>.</s:t>
          </s:r>
        </s:is>
      </s:c>
      <s:c r="D25708" s="117" t="inlineStr"/>
      <s:c r="E25708" s="118" t="inlineStr">
        <s:is>
          <s:t>Chưa thực hiện</s:t>
        </s:is>
      </s:c>
    </s:row>
    <s:row r="25709" ht="20" customHeight="1">
      <s:c r="A25709" s="119" t="inlineStr">
        <s:is>
          <s:t>Ảnh minh chứng — Chưa có ảnh</s:t>
        </s:is>
      </s:c>
      <s:c r="B25709" s="19" t="n"/>
      <s:c r="C25709" s="19" t="n"/>
      <s:c r="D25709" s="19" t="n"/>
      <s:c r="E25709" s="19" t="n"/>
    </s:row>
    <s:row r="25710" hidden="1" ht="1" customHeight="1">
      <s:c r="A25710" s="120" t="inlineStr"/>
      <s:c r="B25710" s="121" t="n"/>
      <s:c r="C25710" s="121" t="n"/>
      <s:c r="D25710" s="121" t="n"/>
      <s:c r="E25710" s="122" t="n"/>
    </s:row>
    <s:row r="25711" hidden="1" ht="1" customHeight="1">
      <s:c r="A25711" s="120" t="inlineStr"/>
      <s:c r="B25711" s="121" t="n"/>
      <s:c r="C25711" s="121" t="n"/>
      <s:c r="D25711" s="121" t="n"/>
      <s:c r="E25711" s="122" t="n"/>
    </s:row>
    <s:row r="25712" hidden="1" ht="1" customHeight="1">
      <s:c r="A25712" s="120" t="inlineStr"/>
      <s:c r="B25712" s="121" t="n"/>
      <s:c r="C25712" s="121" t="n"/>
      <s:c r="D25712" s="121" t="n"/>
      <s:c r="E25712" s="122" t="n"/>
    </s:row>
    <s:row r="25713" hidden="1" ht="1" customHeight="1">
      <s:c r="A25713" s="120" t="inlineStr"/>
      <s:c r="B25713" s="121" t="n"/>
      <s:c r="C25713" s="121" t="n"/>
      <s:c r="D25713" s="121" t="n"/>
      <s:c r="E25713" s="122" t="n"/>
    </s:row>
    <s:row r="25714" hidden="1" ht="1" customHeight="1">
      <s:c r="A25714" s="120" t="inlineStr"/>
      <s:c r="B25714" s="121" t="n"/>
      <s:c r="C25714" s="121" t="n"/>
      <s:c r="D25714" s="121" t="n"/>
      <s:c r="E25714" s="122" t="n"/>
    </s:row>
    <s:row r="25715" hidden="1" ht="1" customHeight="1">
      <s:c r="A25715" s="120" t="inlineStr"/>
      <s:c r="B25715" s="121" t="n"/>
      <s:c r="C25715" s="121" t="n"/>
      <s:c r="D25715" s="121" t="n"/>
      <s:c r="E25715" s="122" t="n"/>
    </s:row>
    <s:row r="25716" hidden="1" ht="1" customHeight="1">
      <s:c r="A25716" s="120" t="inlineStr"/>
      <s:c r="B25716" s="121" t="n"/>
      <s:c r="C25716" s="121" t="n"/>
      <s:c r="D25716" s="121" t="n"/>
      <s:c r="E25716" s="122" t="n"/>
    </s:row>
    <s:row r="25717" hidden="1" ht="1" customHeight="1">
      <s:c r="A25717" s="120" t="inlineStr"/>
      <s:c r="B25717" s="121" t="n"/>
      <s:c r="C25717" s="121" t="n"/>
      <s:c r="D25717" s="121" t="n"/>
      <s:c r="E25717" s="122" t="n"/>
    </s:row>
    <s:row r="25718" hidden="1" ht="1" customHeight="1">
      <s:c r="A25718" s="120" t="inlineStr"/>
      <s:c r="B25718" s="121" t="n"/>
      <s:c r="C25718" s="121" t="n"/>
      <s:c r="D25718" s="121" t="n"/>
      <s:c r="E25718" s="122" t="n"/>
    </s:row>
    <s:row r="25719" hidden="1" ht="1" customHeight="1">
      <s:c r="A25719" s="120" t="inlineStr"/>
      <s:c r="B25719" s="121" t="n"/>
      <s:c r="C25719" s="121" t="n"/>
      <s:c r="D25719" s="121" t="n"/>
      <s:c r="E25719" s="122" t="n"/>
    </s:row>
    <s:row r="25720" hidden="1" ht="1" customHeight="1">
      <s:c r="A25720" s="120" t="inlineStr"/>
      <s:c r="B25720" s="121" t="n"/>
      <s:c r="C25720" s="121" t="n"/>
      <s:c r="D25720" s="121" t="n"/>
      <s:c r="E25720" s="122" t="n"/>
    </s:row>
    <s:row r="25721" hidden="1" ht="1" customHeight="1">
      <s:c r="A25721" s="120" t="inlineStr"/>
      <s:c r="B25721" s="121" t="n"/>
      <s:c r="C25721" s="121" t="n"/>
      <s:c r="D25721" s="121" t="n"/>
      <s:c r="E25721" s="122" t="n"/>
    </s:row>
    <s:row r="25722" hidden="1" ht="1" customHeight="1">
      <s:c r="A25722" s="120" t="inlineStr"/>
      <s:c r="B25722" s="121" t="n"/>
      <s:c r="C25722" s="121" t="n"/>
      <s:c r="D25722" s="121" t="n"/>
      <s:c r="E25722" s="122" t="n"/>
    </s:row>
    <s:row r="25723" hidden="1" ht="1" customHeight="1">
      <s:c r="A25723" s="120" t="inlineStr"/>
      <s:c r="B25723" s="121" t="n"/>
      <s:c r="C25723" s="121" t="n"/>
      <s:c r="D25723" s="121" t="n"/>
      <s:c r="E25723" s="122" t="n"/>
    </s:row>
    <s:row r="25724" hidden="1" ht="1" customHeight="1">
      <s:c r="A25724" s="120" t="inlineStr"/>
      <s:c r="B25724" s="121" t="n"/>
      <s:c r="C25724" s="121" t="n"/>
      <s:c r="D25724" s="121" t="n"/>
      <s:c r="E25724" s="122" t="n"/>
    </s:row>
    <s:row r="25725" hidden="1" ht="1" customHeight="1">
      <s:c r="A25725" s="120" t="inlineStr"/>
      <s:c r="B25725" s="121" t="n"/>
      <s:c r="C25725" s="121" t="n"/>
      <s:c r="D25725" s="121" t="n"/>
      <s:c r="E25725" s="122" t="n"/>
    </s:row>
    <s:row r="25726" hidden="1" ht="1" customHeight="1">
      <s:c r="A25726" s="120" t="inlineStr"/>
      <s:c r="B25726" s="121" t="n"/>
      <s:c r="C25726" s="121" t="n"/>
      <s:c r="D25726" s="121" t="n"/>
      <s:c r="E25726" s="122" t="n"/>
    </s:row>
    <s:row r="25727" hidden="1" ht="1" customHeight="1">
      <s:c r="A25727" s="120" t="inlineStr"/>
      <s:c r="B25727" s="121" t="n"/>
      <s:c r="C25727" s="121" t="n"/>
      <s:c r="D25727" s="121" t="n"/>
      <s:c r="E25727" s="122" t="n"/>
    </s:row>
    <s:row r="25728" hidden="1" ht="1" customHeight="1">
      <s:c r="A25728" s="120" t="inlineStr"/>
      <s:c r="B25728" s="121" t="n"/>
      <s:c r="C25728" s="121" t="n"/>
      <s:c r="D25728" s="121" t="n"/>
      <s:c r="E25728" s="122" t="n"/>
    </s:row>
    <s:row r="25729" hidden="1" ht="1" customHeight="1">
      <s:c r="A25729" s="120" t="inlineStr"/>
      <s:c r="B25729" s="121" t="n"/>
      <s:c r="C25729" s="121" t="n"/>
      <s:c r="D25729" s="121" t="n"/>
      <s:c r="E25729" s="122" t="n"/>
    </s:row>
    <s:row r="25730" hidden="1" ht="1" customHeight="1">
      <s:c r="A25730" s="120" t="inlineStr"/>
      <s:c r="B25730" s="121" t="n"/>
      <s:c r="C25730" s="121" t="n"/>
      <s:c r="D25730" s="121" t="n"/>
      <s:c r="E25730" s="122" t="n"/>
    </s:row>
    <s:row r="25731" hidden="1" ht="1" customHeight="1">
      <s:c r="A25731" s="120" t="inlineStr"/>
      <s:c r="B25731" s="121" t="n"/>
      <s:c r="C25731" s="121" t="n"/>
      <s:c r="D25731" s="121" t="n"/>
      <s:c r="E25731" s="122" t="n"/>
    </s:row>
    <s:row r="25732" hidden="1" ht="1" customHeight="1">
      <s:c r="A25732" s="120" t="inlineStr"/>
      <s:c r="B25732" s="121" t="n"/>
      <s:c r="C25732" s="121" t="n"/>
      <s:c r="D25732" s="121" t="n"/>
      <s:c r="E25732" s="122" t="n"/>
    </s:row>
    <s:row r="25733" hidden="1" ht="1" customHeight="1">
      <s:c r="A25733" s="120" t="inlineStr"/>
      <s:c r="B25733" s="121" t="n"/>
      <s:c r="C25733" s="121" t="n"/>
      <s:c r="D25733" s="121" t="n"/>
      <s:c r="E25733" s="122" t="n"/>
    </s:row>
    <s:row r="25734" hidden="1" ht="1" customHeight="1">
      <s:c r="A25734" s="120" t="inlineStr"/>
      <s:c r="B25734" s="121" t="n"/>
      <s:c r="C25734" s="121" t="n"/>
      <s:c r="D25734" s="121" t="n"/>
      <s:c r="E25734" s="122" t="n"/>
    </s:row>
    <s:row r="25735" hidden="1" ht="1" customHeight="1">
      <s:c r="A25735" s="120" t="inlineStr"/>
      <s:c r="B25735" s="121" t="n"/>
      <s:c r="C25735" s="121" t="n"/>
      <s:c r="D25735" s="121" t="n"/>
      <s:c r="E25735" s="122" t="n"/>
    </s:row>
    <s:row r="25736" hidden="1" ht="1" customHeight="1">
      <s:c r="A25736" s="120" t="inlineStr"/>
      <s:c r="B25736" s="121" t="n"/>
      <s:c r="C25736" s="121" t="n"/>
      <s:c r="D25736" s="121" t="n"/>
      <s:c r="E25736" s="122" t="n"/>
    </s:row>
    <s:row r="25737" hidden="1" ht="1" customHeight="1">
      <s:c r="A25737" s="120" t="inlineStr"/>
      <s:c r="B25737" s="121" t="n"/>
      <s:c r="C25737" s="121" t="n"/>
      <s:c r="D25737" s="121" t="n"/>
      <s:c r="E25737" s="122" t="n"/>
    </s:row>
    <s:row r="25738" hidden="1" ht="1" customHeight="1">
      <s:c r="A25738" s="120" t="inlineStr"/>
      <s:c r="B25738" s="121" t="n"/>
      <s:c r="C25738" s="121" t="n"/>
      <s:c r="D25738" s="121" t="n"/>
      <s:c r="E25738" s="122" t="n"/>
    </s:row>
    <s:row r="25739" hidden="1" ht="1" customHeight="1">
      <s:c r="A25739" s="120" t="inlineStr"/>
      <s:c r="B25739" s="121" t="n"/>
      <s:c r="C25739" s="121" t="n"/>
      <s:c r="D25739" s="121" t="n"/>
      <s:c r="E25739" s="122" t="n"/>
    </s:row>
    <s:row r="25740" hidden="1" ht="1" customHeight="1">
      <s:c r="A25740" s="120" t="inlineStr"/>
      <s:c r="B25740" s="121" t="n"/>
      <s:c r="C25740" s="121" t="n"/>
      <s:c r="D25740" s="121" t="n"/>
      <s:c r="E25740" s="122" t="n"/>
    </s:row>
    <s:row r="25741" hidden="1" ht="1" customHeight="1">
      <s:c r="A25741" s="120" t="inlineStr"/>
      <s:c r="B25741" s="121" t="n"/>
      <s:c r="C25741" s="121" t="n"/>
      <s:c r="D25741" s="121" t="n"/>
      <s:c r="E25741" s="122" t="n"/>
    </s:row>
    <s:row r="25742" hidden="1" ht="1" customHeight="1">
      <s:c r="A25742" s="120" t="inlineStr"/>
      <s:c r="B25742" s="121" t="n"/>
      <s:c r="C25742" s="121" t="n"/>
      <s:c r="D25742" s="121" t="n"/>
      <s:c r="E25742" s="122" t="n"/>
    </s:row>
    <s:row r="25743" hidden="1" ht="1" customHeight="1">
      <s:c r="A25743" s="120" t="inlineStr"/>
      <s:c r="B25743" s="121" t="n"/>
      <s:c r="C25743" s="121" t="n"/>
      <s:c r="D25743" s="121" t="n"/>
      <s:c r="E25743" s="122" t="n"/>
    </s:row>
    <s:row r="25744" hidden="1" ht="1" customHeight="1">
      <s:c r="A25744" s="120" t="inlineStr"/>
      <s:c r="B25744" s="121" t="n"/>
      <s:c r="C25744" s="121" t="n"/>
      <s:c r="D25744" s="121" t="n"/>
      <s:c r="E25744" s="122" t="n"/>
    </s:row>
    <s:row r="25745" hidden="1" ht="1" customHeight="1">
      <s:c r="A25745" s="120" t="inlineStr"/>
      <s:c r="B25745" s="121" t="n"/>
      <s:c r="C25745" s="121" t="n"/>
      <s:c r="D25745" s="121" t="n"/>
      <s:c r="E25745" s="122" t="n"/>
    </s:row>
    <s:row r="25746" hidden="1" ht="1" customHeight="1">
      <s:c r="A25746" s="120" t="inlineStr"/>
      <s:c r="B25746" s="121" t="n"/>
      <s:c r="C25746" s="121" t="n"/>
      <s:c r="D25746" s="121" t="n"/>
      <s:c r="E25746" s="122" t="n"/>
    </s:row>
    <s:row r="25747" hidden="1" ht="1" customHeight="1">
      <s:c r="A25747" s="120" t="inlineStr"/>
      <s:c r="B25747" s="121" t="n"/>
      <s:c r="C25747" s="121" t="n"/>
      <s:c r="D25747" s="121" t="n"/>
      <s:c r="E25747" s="122" t="n"/>
    </s:row>
    <s:row r="25748" hidden="1" ht="1" customHeight="1">
      <s:c r="A25748" s="120" t="inlineStr"/>
      <s:c r="B25748" s="121" t="n"/>
      <s:c r="C25748" s="121" t="n"/>
      <s:c r="D25748" s="121" t="n"/>
      <s:c r="E25748" s="122" t="n"/>
    </s:row>
    <s:row r="25749" hidden="1" ht="1" customHeight="1">
      <s:c r="A25749" s="120" t="inlineStr"/>
      <s:c r="B25749" s="121" t="n"/>
      <s:c r="C25749" s="121" t="n"/>
      <s:c r="D25749" s="121" t="n"/>
      <s:c r="E25749" s="122" t="n"/>
    </s:row>
    <s:row r="25750" hidden="1" ht="1" customHeight="1">
      <s:c r="A25750" s="120" t="inlineStr"/>
      <s:c r="B25750" s="121" t="n"/>
      <s:c r="C25750" s="121" t="n"/>
      <s:c r="D25750" s="121" t="n"/>
      <s:c r="E25750" s="122" t="n"/>
    </s:row>
    <s:row r="25751" hidden="1" ht="1" customHeight="1">
      <s:c r="A25751" s="120" t="inlineStr"/>
      <s:c r="B25751" s="121" t="n"/>
      <s:c r="C25751" s="121" t="n"/>
      <s:c r="D25751" s="121" t="n"/>
      <s:c r="E25751" s="122" t="n"/>
    </s:row>
    <s:row r="25752" hidden="1" ht="1" customHeight="1">
      <s:c r="A25752" s="120" t="inlineStr"/>
      <s:c r="B25752" s="121" t="n"/>
      <s:c r="C25752" s="121" t="n"/>
      <s:c r="D25752" s="121" t="n"/>
      <s:c r="E25752" s="122" t="n"/>
    </s:row>
    <s:row r="25753" hidden="1" ht="1" customHeight="1">
      <s:c r="A25753" s="120" t="inlineStr"/>
      <s:c r="B25753" s="121" t="n"/>
      <s:c r="C25753" s="121" t="n"/>
      <s:c r="D25753" s="121" t="n"/>
      <s:c r="E25753" s="122" t="n"/>
    </s:row>
    <s:row r="25754" hidden="1" ht="1" customHeight="1">
      <s:c r="A25754" s="120" t="inlineStr"/>
      <s:c r="B25754" s="121" t="n"/>
      <s:c r="C25754" s="121" t="n"/>
      <s:c r="D25754" s="121" t="n"/>
      <s:c r="E25754" s="122" t="n"/>
    </s:row>
    <s:row r="25755" hidden="1" ht="1" customHeight="1">
      <s:c r="A25755" s="120" t="inlineStr"/>
      <s:c r="B25755" s="121" t="n"/>
      <s:c r="C25755" s="121" t="n"/>
      <s:c r="D25755" s="121" t="n"/>
      <s:c r="E25755" s="122" t="n"/>
    </s:row>
    <s:row r="25756" hidden="1" ht="1" customHeight="1">
      <s:c r="A25756" s="120" t="inlineStr"/>
      <s:c r="B25756" s="121" t="n"/>
      <s:c r="C25756" s="121" t="n"/>
      <s:c r="D25756" s="121" t="n"/>
      <s:c r="E25756" s="122" t="n"/>
    </s:row>
    <s:row r="25757" hidden="1" ht="1" customHeight="1">
      <s:c r="A25757" s="120" t="inlineStr"/>
      <s:c r="B25757" s="121" t="n"/>
      <s:c r="C25757" s="121" t="n"/>
      <s:c r="D25757" s="121" t="n"/>
      <s:c r="E25757" s="122" t="n"/>
    </s:row>
    <s:row r="25758" hidden="1" ht="1" customHeight="1">
      <s:c r="A25758" s="120" t="inlineStr"/>
      <s:c r="B25758" s="121" t="n"/>
      <s:c r="C25758" s="121" t="n"/>
      <s:c r="D25758" s="121" t="n"/>
      <s:c r="E25758" s="122" t="n"/>
    </s:row>
    <s:row r="25759" hidden="1" ht="1" customHeight="1">
      <s:c r="A25759" s="120" t="inlineStr"/>
      <s:c r="B25759" s="121" t="n"/>
      <s:c r="C25759" s="121" t="n"/>
      <s:c r="D25759" s="121" t="n"/>
      <s:c r="E25759" s="122" t="n"/>
    </s:row>
    <s:row r="25760" hidden="1" ht="1" customHeight="1">
      <s:c r="A25760" s="120" t="inlineStr"/>
      <s:c r="B25760" s="121" t="n"/>
      <s:c r="C25760" s="121" t="n"/>
      <s:c r="D25760" s="121" t="n"/>
      <s:c r="E25760" s="122" t="n"/>
    </s:row>
    <s:row r="25761" hidden="1" ht="1" customHeight="1">
      <s:c r="A25761" s="120" t="inlineStr"/>
      <s:c r="B25761" s="121" t="n"/>
      <s:c r="C25761" s="121" t="n"/>
      <s:c r="D25761" s="121" t="n"/>
      <s:c r="E25761" s="122" t="n"/>
    </s:row>
    <s:row r="25762" hidden="1" ht="1" customHeight="1">
      <s:c r="A25762" s="120" t="inlineStr"/>
      <s:c r="B25762" s="121" t="n"/>
      <s:c r="C25762" s="121" t="n"/>
      <s:c r="D25762" s="121" t="n"/>
      <s:c r="E25762" s="122" t="n"/>
    </s:row>
    <s:row r="25763" hidden="1" ht="1" customHeight="1">
      <s:c r="A25763" s="120" t="inlineStr"/>
      <s:c r="B25763" s="121" t="n"/>
      <s:c r="C25763" s="121" t="n"/>
      <s:c r="D25763" s="121" t="n"/>
      <s:c r="E25763" s="122" t="n"/>
    </s:row>
    <s:row r="25764" hidden="1" ht="1" customHeight="1">
      <s:c r="A25764" s="120" t="inlineStr"/>
      <s:c r="B25764" s="121" t="n"/>
      <s:c r="C25764" s="121" t="n"/>
      <s:c r="D25764" s="121" t="n"/>
      <s:c r="E25764" s="122" t="n"/>
    </s:row>
    <s:row r="25765" hidden="1" ht="1" customHeight="1">
      <s:c r="A25765" s="120" t="inlineStr"/>
      <s:c r="B25765" s="121" t="n"/>
      <s:c r="C25765" s="121" t="n"/>
      <s:c r="D25765" s="121" t="n"/>
      <s:c r="E25765" s="122" t="n"/>
    </s:row>
    <s:row r="25766" hidden="1" ht="1" customHeight="1">
      <s:c r="A25766" s="120" t="inlineStr"/>
      <s:c r="B25766" s="121" t="n"/>
      <s:c r="C25766" s="121" t="n"/>
      <s:c r="D25766" s="121" t="n"/>
      <s:c r="E25766" s="122" t="n"/>
    </s:row>
    <s:row r="25767" hidden="1" ht="1" customHeight="1">
      <s:c r="A25767" s="120" t="inlineStr"/>
      <s:c r="B25767" s="121" t="n"/>
      <s:c r="C25767" s="121" t="n"/>
      <s:c r="D25767" s="121" t="n"/>
      <s:c r="E25767" s="122" t="n"/>
    </s:row>
    <s:row r="25768" hidden="1" ht="1" customHeight="1">
      <s:c r="A25768" s="120" t="inlineStr"/>
      <s:c r="B25768" s="121" t="n"/>
      <s:c r="C25768" s="121" t="n"/>
      <s:c r="D25768" s="121" t="n"/>
      <s:c r="E25768" s="122" t="n"/>
    </s:row>
    <s:row r="25769" hidden="1" ht="1" customHeight="1">
      <s:c r="A25769" s="120" t="inlineStr"/>
      <s:c r="B25769" s="121" t="n"/>
      <s:c r="C25769" s="121" t="n"/>
      <s:c r="D25769" s="121" t="n"/>
      <s:c r="E25769" s="122" t="n"/>
    </s:row>
    <s:row r="25770" hidden="1" ht="1" customHeight="1">
      <s:c r="A25770" s="120" t="inlineStr"/>
      <s:c r="B25770" s="121" t="n"/>
      <s:c r="C25770" s="121" t="n"/>
      <s:c r="D25770" s="121" t="n"/>
      <s:c r="E25770" s="122" t="n"/>
    </s:row>
    <s:row r="25771" hidden="1" ht="1" customHeight="1">
      <s:c r="A25771" s="120" t="inlineStr"/>
      <s:c r="B25771" s="121" t="n"/>
      <s:c r="C25771" s="121" t="n"/>
      <s:c r="D25771" s="121" t="n"/>
      <s:c r="E25771" s="122" t="n"/>
    </s:row>
    <s:row r="25772" hidden="1" ht="1" customHeight="1">
      <s:c r="A25772" s="120" t="inlineStr"/>
      <s:c r="B25772" s="121" t="n"/>
      <s:c r="C25772" s="121" t="n"/>
      <s:c r="D25772" s="121" t="n"/>
      <s:c r="E25772" s="122" t="n"/>
    </s:row>
    <s:row r="25773" hidden="1" ht="1" customHeight="1">
      <s:c r="A25773" s="120" t="inlineStr"/>
      <s:c r="B25773" s="121" t="n"/>
      <s:c r="C25773" s="121" t="n"/>
      <s:c r="D25773" s="121" t="n"/>
      <s:c r="E25773" s="122" t="n"/>
    </s:row>
    <s:row r="25774" hidden="1" ht="1" customHeight="1">
      <s:c r="A25774" s="120" t="inlineStr"/>
      <s:c r="B25774" s="121" t="n"/>
      <s:c r="C25774" s="121" t="n"/>
      <s:c r="D25774" s="121" t="n"/>
      <s:c r="E25774" s="122" t="n"/>
    </s:row>
    <s:row r="25775" hidden="1" ht="1" customHeight="1">
      <s:c r="A25775" s="120" t="inlineStr"/>
      <s:c r="B25775" s="121" t="n"/>
      <s:c r="C25775" s="121" t="n"/>
      <s:c r="D25775" s="121" t="n"/>
      <s:c r="E25775" s="122" t="n"/>
    </s:row>
    <s:row r="25776" hidden="1" ht="1" customHeight="1">
      <s:c r="A25776" s="120" t="inlineStr"/>
      <s:c r="B25776" s="121" t="n"/>
      <s:c r="C25776" s="121" t="n"/>
      <s:c r="D25776" s="121" t="n"/>
      <s:c r="E25776" s="122" t="n"/>
    </s:row>
    <s:row r="25777" hidden="1" ht="1" customHeight="1">
      <s:c r="A25777" s="120" t="inlineStr"/>
      <s:c r="B25777" s="121" t="n"/>
      <s:c r="C25777" s="121" t="n"/>
      <s:c r="D25777" s="121" t="n"/>
      <s:c r="E25777" s="122" t="n"/>
    </s:row>
    <s:row r="25778" hidden="1" ht="1" customHeight="1">
      <s:c r="A25778" s="120" t="inlineStr"/>
      <s:c r="B25778" s="121" t="n"/>
      <s:c r="C25778" s="121" t="n"/>
      <s:c r="D25778" s="121" t="n"/>
      <s:c r="E25778" s="122" t="n"/>
    </s:row>
    <s:row r="25779" hidden="1" ht="1" customHeight="1">
      <s:c r="A25779" s="120" t="inlineStr"/>
      <s:c r="B25779" s="121" t="n"/>
      <s:c r="C25779" s="121" t="n"/>
      <s:c r="D25779" s="121" t="n"/>
      <s:c r="E25779" s="122" t="n"/>
    </s:row>
    <s:row r="25780" hidden="1" ht="1" customHeight="1">
      <s:c r="A25780" s="120" t="inlineStr"/>
      <s:c r="B25780" s="121" t="n"/>
      <s:c r="C25780" s="121" t="n"/>
      <s:c r="D25780" s="121" t="n"/>
      <s:c r="E25780" s="122" t="n"/>
    </s:row>
    <s:row r="25781" hidden="1" ht="1" customHeight="1">
      <s:c r="A25781" s="120" t="inlineStr"/>
      <s:c r="B25781" s="121" t="n"/>
      <s:c r="C25781" s="121" t="n"/>
      <s:c r="D25781" s="121" t="n"/>
      <s:c r="E25781" s="122" t="n"/>
    </s:row>
    <s:row r="25782" hidden="1" ht="1" customHeight="1">
      <s:c r="A25782" s="120" t="inlineStr"/>
      <s:c r="B25782" s="121" t="n"/>
      <s:c r="C25782" s="121" t="n"/>
      <s:c r="D25782" s="121" t="n"/>
      <s:c r="E25782" s="122" t="n"/>
    </s:row>
    <s:row r="25783" hidden="1" ht="1" customHeight="1">
      <s:c r="A25783" s="120" t="inlineStr"/>
      <s:c r="B25783" s="121" t="n"/>
      <s:c r="C25783" s="121" t="n"/>
      <s:c r="D25783" s="121" t="n"/>
      <s:c r="E25783" s="122" t="n"/>
    </s:row>
    <s:row r="25784" hidden="1" ht="1" customHeight="1">
      <s:c r="A25784" s="120" t="inlineStr"/>
      <s:c r="B25784" s="121" t="n"/>
      <s:c r="C25784" s="121" t="n"/>
      <s:c r="D25784" s="121" t="n"/>
      <s:c r="E25784" s="122" t="n"/>
    </s:row>
    <s:row r="25785" hidden="1" ht="1" customHeight="1">
      <s:c r="A25785" s="120" t="inlineStr"/>
      <s:c r="B25785" s="121" t="n"/>
      <s:c r="C25785" s="121" t="n"/>
      <s:c r="D25785" s="121" t="n"/>
      <s:c r="E25785" s="122" t="n"/>
    </s:row>
    <s:row r="25786" hidden="1" ht="1" customHeight="1">
      <s:c r="A25786" s="120" t="inlineStr"/>
      <s:c r="B25786" s="121" t="n"/>
      <s:c r="C25786" s="121" t="n"/>
      <s:c r="D25786" s="121" t="n"/>
      <s:c r="E25786" s="122" t="n"/>
    </s:row>
    <s:row r="25787" hidden="1" ht="1" customHeight="1">
      <s:c r="A25787" s="120" t="inlineStr"/>
      <s:c r="B25787" s="121" t="n"/>
      <s:c r="C25787" s="121" t="n"/>
      <s:c r="D25787" s="121" t="n"/>
      <s:c r="E25787" s="122" t="n"/>
    </s:row>
    <s:row r="25788" hidden="1" ht="1" customHeight="1">
      <s:c r="A25788" s="120" t="inlineStr"/>
      <s:c r="B25788" s="121" t="n"/>
      <s:c r="C25788" s="121" t="n"/>
      <s:c r="D25788" s="121" t="n"/>
      <s:c r="E25788" s="122" t="n"/>
    </s:row>
    <s:row r="25789" hidden="1" ht="1" customHeight="1">
      <s:c r="A25789" s="120" t="inlineStr"/>
      <s:c r="B25789" s="121" t="n"/>
      <s:c r="C25789" s="121" t="n"/>
      <s:c r="D25789" s="121" t="n"/>
      <s:c r="E25789" s="122" t="n"/>
    </s:row>
    <s:row r="25790" hidden="1" ht="1" customHeight="1">
      <s:c r="A25790" s="120" t="inlineStr"/>
      <s:c r="B25790" s="121" t="n"/>
      <s:c r="C25790" s="121" t="n"/>
      <s:c r="D25790" s="121" t="n"/>
      <s:c r="E25790" s="122" t="n"/>
    </s:row>
    <s:row r="25791" hidden="1" ht="1" customHeight="1">
      <s:c r="A25791" s="120" t="inlineStr"/>
      <s:c r="B25791" s="121" t="n"/>
      <s:c r="C25791" s="121" t="n"/>
      <s:c r="D25791" s="121" t="n"/>
      <s:c r="E25791" s="122" t="n"/>
    </s:row>
    <s:row r="25792" hidden="1" ht="1" customHeight="1">
      <s:c r="A25792" s="120" t="inlineStr"/>
      <s:c r="B25792" s="121" t="n"/>
      <s:c r="C25792" s="121" t="n"/>
      <s:c r="D25792" s="121" t="n"/>
      <s:c r="E25792" s="122" t="n"/>
    </s:row>
    <s:row r="25793" hidden="1" ht="1" customHeight="1">
      <s:c r="A25793" s="120" t="inlineStr"/>
      <s:c r="B25793" s="121" t="n"/>
      <s:c r="C25793" s="121" t="n"/>
      <s:c r="D25793" s="121" t="n"/>
      <s:c r="E25793" s="122" t="n"/>
    </s:row>
    <s:row r="25794" hidden="1" ht="1" customHeight="1">
      <s:c r="A25794" s="120" t="inlineStr"/>
      <s:c r="B25794" s="121" t="n"/>
      <s:c r="C25794" s="121" t="n"/>
      <s:c r="D25794" s="121" t="n"/>
      <s:c r="E25794" s="122" t="n"/>
    </s:row>
    <s:row r="25795" hidden="1" ht="1" customHeight="1">
      <s:c r="A25795" s="120" t="inlineStr"/>
      <s:c r="B25795" s="121" t="n"/>
      <s:c r="C25795" s="121" t="n"/>
      <s:c r="D25795" s="121" t="n"/>
      <s:c r="E25795" s="122" t="n"/>
    </s:row>
    <s:row r="25796" hidden="1" ht="1" customHeight="1">
      <s:c r="A25796" s="120" t="inlineStr"/>
      <s:c r="B25796" s="121" t="n"/>
      <s:c r="C25796" s="121" t="n"/>
      <s:c r="D25796" s="121" t="n"/>
      <s:c r="E25796" s="122" t="n"/>
    </s:row>
    <s:row r="25797" hidden="1" ht="1" customHeight="1">
      <s:c r="A25797" s="120" t="inlineStr"/>
      <s:c r="B25797" s="121" t="n"/>
      <s:c r="C25797" s="121" t="n"/>
      <s:c r="D25797" s="121" t="n"/>
      <s:c r="E25797" s="122" t="n"/>
    </s:row>
    <s:row r="25798" hidden="1" ht="1" customHeight="1">
      <s:c r="A25798" s="120" t="inlineStr"/>
      <s:c r="B25798" s="121" t="n"/>
      <s:c r="C25798" s="121" t="n"/>
      <s:c r="D25798" s="121" t="n"/>
      <s:c r="E25798" s="122" t="n"/>
    </s:row>
    <s:row r="25799" hidden="1" ht="1" customHeight="1">
      <s:c r="A25799" s="120" t="inlineStr"/>
      <s:c r="B25799" s="121" t="n"/>
      <s:c r="C25799" s="121" t="n"/>
      <s:c r="D25799" s="121" t="n"/>
      <s:c r="E25799" s="122" t="n"/>
    </s:row>
    <s:row r="25800" hidden="1" ht="1" customHeight="1">
      <s:c r="A25800" s="120" t="inlineStr"/>
      <s:c r="B25800" s="121" t="n"/>
      <s:c r="C25800" s="121" t="n"/>
      <s:c r="D25800" s="121" t="n"/>
      <s:c r="E25800" s="122" t="n"/>
    </s:row>
    <s:row r="25801" hidden="1" ht="1" customHeight="1">
      <s:c r="A25801" s="120" t="inlineStr"/>
      <s:c r="B25801" s="121" t="n"/>
      <s:c r="C25801" s="121" t="n"/>
      <s:c r="D25801" s="121" t="n"/>
      <s:c r="E25801" s="122" t="n"/>
    </s:row>
    <s:row r="25802" hidden="1" ht="1" customHeight="1">
      <s:c r="A25802" s="120" t="inlineStr"/>
      <s:c r="B25802" s="121" t="n"/>
      <s:c r="C25802" s="121" t="n"/>
      <s:c r="D25802" s="121" t="n"/>
      <s:c r="E25802" s="122" t="n"/>
    </s:row>
    <s:row r="25803" hidden="1" ht="1" customHeight="1">
      <s:c r="A25803" s="120" t="inlineStr"/>
      <s:c r="B25803" s="121" t="n"/>
      <s:c r="C25803" s="121" t="n"/>
      <s:c r="D25803" s="121" t="n"/>
      <s:c r="E25803" s="122" t="n"/>
    </s:row>
    <s:row r="25804" hidden="1" ht="1" customHeight="1">
      <s:c r="A25804" s="120" t="inlineStr"/>
      <s:c r="B25804" s="121" t="n"/>
      <s:c r="C25804" s="121" t="n"/>
      <s:c r="D25804" s="121" t="n"/>
      <s:c r="E25804" s="122" t="n"/>
    </s:row>
    <s:row r="25805" hidden="1" ht="1" customHeight="1">
      <s:c r="A25805" s="120" t="inlineStr"/>
      <s:c r="B25805" s="121" t="n"/>
      <s:c r="C25805" s="121" t="n"/>
      <s:c r="D25805" s="121" t="n"/>
      <s:c r="E25805" s="122" t="n"/>
    </s:row>
    <s:row r="25806" hidden="1" ht="1" customHeight="1">
      <s:c r="A25806" s="120" t="inlineStr"/>
      <s:c r="B25806" s="121" t="n"/>
      <s:c r="C25806" s="121" t="n"/>
      <s:c r="D25806" s="121" t="n"/>
      <s:c r="E25806" s="122" t="n"/>
    </s:row>
    <s:row r="25807" hidden="1" ht="1" customHeight="1">
      <s:c r="A25807" s="120" t="inlineStr"/>
      <s:c r="B25807" s="121" t="n"/>
      <s:c r="C25807" s="121" t="n"/>
      <s:c r="D25807" s="121" t="n"/>
      <s:c r="E25807" s="122" t="n"/>
    </s:row>
    <s:row r="25808" hidden="1" ht="1" customHeight="1">
      <s:c r="A25808" s="120" t="inlineStr"/>
      <s:c r="B25808" s="121" t="n"/>
      <s:c r="C25808" s="121" t="n"/>
      <s:c r="D25808" s="121" t="n"/>
      <s:c r="E25808" s="122" t="n"/>
    </s:row>
    <s:row r="25809" hidden="1" ht="1" customHeight="1">
      <s:c r="A25809" s="120" t="inlineStr"/>
      <s:c r="B25809" s="121" t="n"/>
      <s:c r="C25809" s="121" t="n"/>
      <s:c r="D25809" s="121" t="n"/>
      <s:c r="E25809" s="122" t="n"/>
    </s:row>
    <s:row r="25810" hidden="1" ht="1" customHeight="1">
      <s:c r="A25810" s="120" t="inlineStr"/>
      <s:c r="B25810" s="121" t="n"/>
      <s:c r="C25810" s="121" t="n"/>
      <s:c r="D25810" s="121" t="n"/>
      <s:c r="E25810" s="122" t="n"/>
    </s:row>
    <s:row r="25811" hidden="1" ht="1" customHeight="1">
      <s:c r="A25811" s="120" t="inlineStr"/>
      <s:c r="B25811" s="121" t="n"/>
      <s:c r="C25811" s="121" t="n"/>
      <s:c r="D25811" s="121" t="n"/>
      <s:c r="E25811" s="122" t="n"/>
    </s:row>
    <s:row r="25812" hidden="1" ht="1" customHeight="1">
      <s:c r="A25812" s="120" t="inlineStr"/>
      <s:c r="B25812" s="121" t="n"/>
      <s:c r="C25812" s="121" t="n"/>
      <s:c r="D25812" s="121" t="n"/>
      <s:c r="E25812" s="122" t="n"/>
    </s:row>
    <s:row r="25813" hidden="1" ht="1" customHeight="1">
      <s:c r="A25813" s="120" t="inlineStr"/>
      <s:c r="B25813" s="121" t="n"/>
      <s:c r="C25813" s="121" t="n"/>
      <s:c r="D25813" s="121" t="n"/>
      <s:c r="E25813" s="122" t="n"/>
    </s:row>
    <s:row r="25814" hidden="1" ht="1" customHeight="1">
      <s:c r="A25814" s="120" t="inlineStr"/>
      <s:c r="B25814" s="121" t="n"/>
      <s:c r="C25814" s="121" t="n"/>
      <s:c r="D25814" s="121" t="n"/>
      <s:c r="E25814" s="122" t="n"/>
    </s:row>
    <s:row r="25815" hidden="1" ht="1" customHeight="1">
      <s:c r="A25815" s="120" t="inlineStr"/>
      <s:c r="B25815" s="121" t="n"/>
      <s:c r="C25815" s="121" t="n"/>
      <s:c r="D25815" s="121" t="n"/>
      <s:c r="E25815" s="122" t="n"/>
    </s:row>
    <s:row r="25816" hidden="1" ht="1" customHeight="1">
      <s:c r="A25816" s="120" t="inlineStr"/>
      <s:c r="B25816" s="121" t="n"/>
      <s:c r="C25816" s="121" t="n"/>
      <s:c r="D25816" s="121" t="n"/>
      <s:c r="E25816" s="122" t="n"/>
    </s:row>
    <s:row r="25817" hidden="1" ht="1" customHeight="1">
      <s:c r="A25817" s="120" t="inlineStr"/>
      <s:c r="B25817" s="121" t="n"/>
      <s:c r="C25817" s="121" t="n"/>
      <s:c r="D25817" s="121" t="n"/>
      <s:c r="E25817" s="122" t="n"/>
    </s:row>
    <s:row r="25818" hidden="1" ht="1" customHeight="1">
      <s:c r="A25818" s="120" t="inlineStr"/>
      <s:c r="B25818" s="121" t="n"/>
      <s:c r="C25818" s="121" t="n"/>
      <s:c r="D25818" s="121" t="n"/>
      <s:c r="E25818" s="122" t="n"/>
    </s:row>
    <s:row r="25819" hidden="1" ht="1" customHeight="1">
      <s:c r="A25819" s="120" t="inlineStr"/>
      <s:c r="B25819" s="121" t="n"/>
      <s:c r="C25819" s="121" t="n"/>
      <s:c r="D25819" s="121" t="n"/>
      <s:c r="E25819" s="122" t="n"/>
    </s:row>
    <s:row r="25820" hidden="1" ht="1" customHeight="1">
      <s:c r="A25820" s="120" t="inlineStr"/>
      <s:c r="B25820" s="121" t="n"/>
      <s:c r="C25820" s="121" t="n"/>
      <s:c r="D25820" s="121" t="n"/>
      <s:c r="E25820" s="122" t="n"/>
    </s:row>
    <s:row r="25821" hidden="1" ht="1" customHeight="1">
      <s:c r="A25821" s="120" t="inlineStr"/>
      <s:c r="B25821" s="121" t="n"/>
      <s:c r="C25821" s="121" t="n"/>
      <s:c r="D25821" s="121" t="n"/>
      <s:c r="E25821" s="122" t="n"/>
    </s:row>
    <s:row r="25822" hidden="1" ht="1" customHeight="1">
      <s:c r="A25822" s="120" t="inlineStr"/>
      <s:c r="B25822" s="121" t="n"/>
      <s:c r="C25822" s="121" t="n"/>
      <s:c r="D25822" s="121" t="n"/>
      <s:c r="E25822" s="122" t="n"/>
    </s:row>
    <s:row r="25823" hidden="1" ht="1" customHeight="1">
      <s:c r="A25823" s="120" t="inlineStr"/>
      <s:c r="B25823" s="121" t="n"/>
      <s:c r="C25823" s="121" t="n"/>
      <s:c r="D25823" s="121" t="n"/>
      <s:c r="E25823" s="122" t="n"/>
    </s:row>
    <s:row r="25824" hidden="1" ht="1" customHeight="1">
      <s:c r="A25824" s="120" t="inlineStr"/>
      <s:c r="B25824" s="121" t="n"/>
      <s:c r="C25824" s="121" t="n"/>
      <s:c r="D25824" s="121" t="n"/>
      <s:c r="E25824" s="122" t="n"/>
    </s:row>
    <s:row r="25825" hidden="1" ht="1" customHeight="1">
      <s:c r="A25825" s="120" t="inlineStr"/>
      <s:c r="B25825" s="121" t="n"/>
      <s:c r="C25825" s="121" t="n"/>
      <s:c r="D25825" s="121" t="n"/>
      <s:c r="E25825" s="122" t="n"/>
    </s:row>
    <s:row r="25826" hidden="1" ht="1" customHeight="1">
      <s:c r="A25826" s="120" t="inlineStr"/>
      <s:c r="B25826" s="121" t="n"/>
      <s:c r="C25826" s="121" t="n"/>
      <s:c r="D25826" s="121" t="n"/>
      <s:c r="E25826" s="122" t="n"/>
    </s:row>
    <s:row r="25827" hidden="1" ht="1" customHeight="1">
      <s:c r="A25827" s="120" t="inlineStr"/>
      <s:c r="B25827" s="121" t="n"/>
      <s:c r="C25827" s="121" t="n"/>
      <s:c r="D25827" s="121" t="n"/>
      <s:c r="E25827" s="122" t="n"/>
    </s:row>
    <s:row r="25828" hidden="1" ht="1" customHeight="1">
      <s:c r="A25828" s="120" t="inlineStr"/>
      <s:c r="B25828" s="121" t="n"/>
      <s:c r="C25828" s="121" t="n"/>
      <s:c r="D25828" s="121" t="n"/>
      <s:c r="E25828" s="122" t="n"/>
    </s:row>
    <s:row r="25829" hidden="1" ht="1" customHeight="1">
      <s:c r="A25829" s="120" t="inlineStr"/>
      <s:c r="B25829" s="121" t="n"/>
      <s:c r="C25829" s="121" t="n"/>
      <s:c r="D25829" s="121" t="n"/>
      <s:c r="E25829" s="122" t="n"/>
    </s:row>
    <s:row r="25830" hidden="1" ht="1" customHeight="1">
      <s:c r="A25830" s="120" t="inlineStr"/>
      <s:c r="B25830" s="121" t="n"/>
      <s:c r="C25830" s="121" t="n"/>
      <s:c r="D25830" s="121" t="n"/>
      <s:c r="E25830" s="122" t="n"/>
    </s:row>
    <s:row r="25831" hidden="1" ht="1" customHeight="1">
      <s:c r="A25831" s="120" t="inlineStr"/>
      <s:c r="B25831" s="121" t="n"/>
      <s:c r="C25831" s="121" t="n"/>
      <s:c r="D25831" s="121" t="n"/>
      <s:c r="E25831" s="122" t="n"/>
    </s:row>
    <s:row r="25832" hidden="1" ht="1" customHeight="1">
      <s:c r="A25832" s="120" t="inlineStr"/>
      <s:c r="B25832" s="121" t="n"/>
      <s:c r="C25832" s="121" t="n"/>
      <s:c r="D25832" s="121" t="n"/>
      <s:c r="E25832" s="122" t="n"/>
    </s:row>
    <s:row r="25833" hidden="1" ht="1" customHeight="1">
      <s:c r="A25833" s="120" t="inlineStr"/>
      <s:c r="B25833" s="121" t="n"/>
      <s:c r="C25833" s="121" t="n"/>
      <s:c r="D25833" s="121" t="n"/>
      <s:c r="E25833" s="122" t="n"/>
    </s:row>
    <s:row r="25834" hidden="1" ht="1" customHeight="1">
      <s:c r="A25834" s="120" t="inlineStr"/>
      <s:c r="B25834" s="121" t="n"/>
      <s:c r="C25834" s="121" t="n"/>
      <s:c r="D25834" s="121" t="n"/>
      <s:c r="E25834" s="122" t="n"/>
    </s:row>
    <s:row r="25835" hidden="1" ht="1" customHeight="1">
      <s:c r="A25835" s="120" t="inlineStr"/>
      <s:c r="B25835" s="121" t="n"/>
      <s:c r="C25835" s="121" t="n"/>
      <s:c r="D25835" s="121" t="n"/>
      <s:c r="E25835" s="122" t="n"/>
    </s:row>
    <s:row r="25836" hidden="1" ht="1" customHeight="1">
      <s:c r="A25836" s="120" t="inlineStr"/>
      <s:c r="B25836" s="121" t="n"/>
      <s:c r="C25836" s="121" t="n"/>
      <s:c r="D25836" s="121" t="n"/>
      <s:c r="E25836" s="122" t="n"/>
    </s:row>
    <s:row r="25837" hidden="1" ht="1" customHeight="1">
      <s:c r="A25837" s="120" t="inlineStr"/>
      <s:c r="B25837" s="121" t="n"/>
      <s:c r="C25837" s="121" t="n"/>
      <s:c r="D25837" s="121" t="n"/>
      <s:c r="E25837" s="122" t="n"/>
    </s:row>
    <s:row r="25838" hidden="1" ht="1" customHeight="1">
      <s:c r="A25838" s="120" t="inlineStr"/>
      <s:c r="B25838" s="121" t="n"/>
      <s:c r="C25838" s="121" t="n"/>
      <s:c r="D25838" s="121" t="n"/>
      <s:c r="E25838" s="122" t="n"/>
    </s:row>
    <s:row r="25839" hidden="1" ht="1" customHeight="1">
      <s:c r="A25839" s="120" t="inlineStr"/>
      <s:c r="B25839" s="121" t="n"/>
      <s:c r="C25839" s="121" t="n"/>
      <s:c r="D25839" s="121" t="n"/>
      <s:c r="E25839" s="122" t="n"/>
    </s:row>
    <s:row r="25840" hidden="1" ht="1" customHeight="1">
      <s:c r="A25840" s="120" t="inlineStr"/>
      <s:c r="B25840" s="121" t="n"/>
      <s:c r="C25840" s="121" t="n"/>
      <s:c r="D25840" s="121" t="n"/>
      <s:c r="E25840" s="122" t="n"/>
    </s:row>
    <s:row r="25841" hidden="1" ht="1" customHeight="1">
      <s:c r="A25841" s="120" t="inlineStr"/>
      <s:c r="B25841" s="121" t="n"/>
      <s:c r="C25841" s="121" t="n"/>
      <s:c r="D25841" s="121" t="n"/>
      <s:c r="E25841" s="122" t="n"/>
    </s:row>
    <s:row r="25842" hidden="1" ht="1" customHeight="1">
      <s:c r="A25842" s="120" t="inlineStr"/>
      <s:c r="B25842" s="121" t="n"/>
      <s:c r="C25842" s="121" t="n"/>
      <s:c r="D25842" s="121" t="n"/>
      <s:c r="E25842" s="122" t="n"/>
    </s:row>
    <s:row r="25843" hidden="1" ht="1" customHeight="1">
      <s:c r="A25843" s="120" t="inlineStr"/>
      <s:c r="B25843" s="121" t="n"/>
      <s:c r="C25843" s="121" t="n"/>
      <s:c r="D25843" s="121" t="n"/>
      <s:c r="E25843" s="122" t="n"/>
    </s:row>
    <s:row r="25844" hidden="1" ht="1" customHeight="1">
      <s:c r="A25844" s="120" t="inlineStr"/>
      <s:c r="B25844" s="121" t="n"/>
      <s:c r="C25844" s="121" t="n"/>
      <s:c r="D25844" s="121" t="n"/>
      <s:c r="E25844" s="122" t="n"/>
    </s:row>
    <s:row r="25845" hidden="1" ht="1" customHeight="1">
      <s:c r="A25845" s="120" t="inlineStr"/>
      <s:c r="B25845" s="121" t="n"/>
      <s:c r="C25845" s="121" t="n"/>
      <s:c r="D25845" s="121" t="n"/>
      <s:c r="E25845" s="122" t="n"/>
    </s:row>
    <s:row r="25846" hidden="1" ht="1" customHeight="1">
      <s:c r="A25846" s="120" t="inlineStr"/>
      <s:c r="B25846" s="121" t="n"/>
      <s:c r="C25846" s="121" t="n"/>
      <s:c r="D25846" s="121" t="n"/>
      <s:c r="E25846" s="122" t="n"/>
    </s:row>
    <s:row r="25847" hidden="1" ht="1" customHeight="1">
      <s:c r="A25847" s="120" t="inlineStr"/>
      <s:c r="B25847" s="121" t="n"/>
      <s:c r="C25847" s="121" t="n"/>
      <s:c r="D25847" s="121" t="n"/>
      <s:c r="E25847" s="122" t="n"/>
    </s:row>
    <s:row r="25848" hidden="1" ht="1" customHeight="1">
      <s:c r="A25848" s="120" t="inlineStr"/>
      <s:c r="B25848" s="121" t="n"/>
      <s:c r="C25848" s="121" t="n"/>
      <s:c r="D25848" s="121" t="n"/>
      <s:c r="E25848" s="122" t="n"/>
    </s:row>
    <s:row r="25849" hidden="1" ht="1" customHeight="1">
      <s:c r="A25849" s="120" t="inlineStr"/>
      <s:c r="B25849" s="121" t="n"/>
      <s:c r="C25849" s="121" t="n"/>
      <s:c r="D25849" s="121" t="n"/>
      <s:c r="E25849" s="122" t="n"/>
    </s:row>
    <s:row r="25850" hidden="1" ht="1" customHeight="1">
      <s:c r="A25850" s="120" t="inlineStr"/>
      <s:c r="B25850" s="121" t="n"/>
      <s:c r="C25850" s="121" t="n"/>
      <s:c r="D25850" s="121" t="n"/>
      <s:c r="E25850" s="122" t="n"/>
    </s:row>
    <s:row r="25851" hidden="1" ht="1" customHeight="1">
      <s:c r="A25851" s="120" t="inlineStr"/>
      <s:c r="B25851" s="121" t="n"/>
      <s:c r="C25851" s="121" t="n"/>
      <s:c r="D25851" s="121" t="n"/>
      <s:c r="E25851" s="122" t="n"/>
    </s:row>
    <s:row r="25852" hidden="1" ht="1" customHeight="1">
      <s:c r="A25852" s="120" t="inlineStr"/>
      <s:c r="B25852" s="121" t="n"/>
      <s:c r="C25852" s="121" t="n"/>
      <s:c r="D25852" s="121" t="n"/>
      <s:c r="E25852" s="122" t="n"/>
    </s:row>
    <s:row r="25853" hidden="1" ht="1" customHeight="1">
      <s:c r="A25853" s="120" t="inlineStr"/>
      <s:c r="B25853" s="121" t="n"/>
      <s:c r="C25853" s="121" t="n"/>
      <s:c r="D25853" s="121" t="n"/>
      <s:c r="E25853" s="122" t="n"/>
    </s:row>
    <s:row r="25854" hidden="1" ht="1" customHeight="1">
      <s:c r="A25854" s="120" t="inlineStr"/>
      <s:c r="B25854" s="121" t="n"/>
      <s:c r="C25854" s="121" t="n"/>
      <s:c r="D25854" s="121" t="n"/>
      <s:c r="E25854" s="122" t="n"/>
    </s:row>
    <s:row r="25855" hidden="1" ht="1" customHeight="1">
      <s:c r="A25855" s="120" t="inlineStr"/>
      <s:c r="B25855" s="121" t="n"/>
      <s:c r="C25855" s="121" t="n"/>
      <s:c r="D25855" s="121" t="n"/>
      <s:c r="E25855" s="122" t="n"/>
    </s:row>
    <s:row r="25856" hidden="1" ht="1" customHeight="1">
      <s:c r="A25856" s="120" t="inlineStr"/>
      <s:c r="B25856" s="121" t="n"/>
      <s:c r="C25856" s="121" t="n"/>
      <s:c r="D25856" s="121" t="n"/>
      <s:c r="E25856" s="122" t="n"/>
    </s:row>
    <s:row r="25857" hidden="1" ht="1" customHeight="1">
      <s:c r="A25857" s="120" t="inlineStr"/>
      <s:c r="B25857" s="121" t="n"/>
      <s:c r="C25857" s="121" t="n"/>
      <s:c r="D25857" s="121" t="n"/>
      <s:c r="E25857" s="122" t="n"/>
    </s:row>
    <s:row r="25858" hidden="1" ht="1" customHeight="1">
      <s:c r="A25858" s="120" t="inlineStr"/>
      <s:c r="B25858" s="121" t="n"/>
      <s:c r="C25858" s="121" t="n"/>
      <s:c r="D25858" s="121" t="n"/>
      <s:c r="E25858" s="122" t="n"/>
    </s:row>
    <s:row r="25859" hidden="1" ht="1" customHeight="1">
      <s:c r="A25859" s="120" t="inlineStr"/>
      <s:c r="B25859" s="121" t="n"/>
      <s:c r="C25859" s="121" t="n"/>
      <s:c r="D25859" s="121" t="n"/>
      <s:c r="E25859" s="122" t="n"/>
    </s:row>
    <s:row r="25860" hidden="1" ht="1" customHeight="1">
      <s:c r="A25860" s="120" t="inlineStr"/>
      <s:c r="B25860" s="121" t="n"/>
      <s:c r="C25860" s="121" t="n"/>
      <s:c r="D25860" s="121" t="n"/>
      <s:c r="E25860" s="122" t="n"/>
    </s:row>
    <s:row r="25861" hidden="1" ht="1" customHeight="1">
      <s:c r="A25861" s="120" t="inlineStr"/>
      <s:c r="B25861" s="121" t="n"/>
      <s:c r="C25861" s="121" t="n"/>
      <s:c r="D25861" s="121" t="n"/>
      <s:c r="E25861" s="122" t="n"/>
    </s:row>
    <s:row r="25862" hidden="1" ht="1" customHeight="1">
      <s:c r="A25862" s="120" t="inlineStr"/>
      <s:c r="B25862" s="121" t="n"/>
      <s:c r="C25862" s="121" t="n"/>
      <s:c r="D25862" s="121" t="n"/>
      <s:c r="E25862" s="122" t="n"/>
    </s:row>
    <s:row r="25863" hidden="1" ht="1" customHeight="1">
      <s:c r="A25863" s="120" t="inlineStr"/>
      <s:c r="B25863" s="121" t="n"/>
      <s:c r="C25863" s="121" t="n"/>
      <s:c r="D25863" s="121" t="n"/>
      <s:c r="E25863" s="122" t="n"/>
    </s:row>
    <s:row r="25864" hidden="1" ht="1" customHeight="1">
      <s:c r="A25864" s="120" t="inlineStr"/>
      <s:c r="B25864" s="121" t="n"/>
      <s:c r="C25864" s="121" t="n"/>
      <s:c r="D25864" s="121" t="n"/>
      <s:c r="E25864" s="122" t="n"/>
    </s:row>
    <s:row r="25865" hidden="1" ht="1" customHeight="1">
      <s:c r="A25865" s="120" t="inlineStr"/>
      <s:c r="B25865" s="121" t="n"/>
      <s:c r="C25865" s="121" t="n"/>
      <s:c r="D25865" s="121" t="n"/>
      <s:c r="E25865" s="122" t="n"/>
    </s:row>
    <s:row r="25866" hidden="1" ht="1" customHeight="1">
      <s:c r="A25866" s="120" t="inlineStr"/>
      <s:c r="B25866" s="121" t="n"/>
      <s:c r="C25866" s="121" t="n"/>
      <s:c r="D25866" s="121" t="n"/>
      <s:c r="E25866" s="122" t="n"/>
    </s:row>
    <s:row r="25867" hidden="1" ht="1" customHeight="1">
      <s:c r="A25867" s="120" t="inlineStr"/>
      <s:c r="B25867" s="121" t="n"/>
      <s:c r="C25867" s="121" t="n"/>
      <s:c r="D25867" s="121" t="n"/>
      <s:c r="E25867" s="122" t="n"/>
    </s:row>
    <s:row r="25868" hidden="1" ht="1" customHeight="1">
      <s:c r="A25868" s="120" t="inlineStr"/>
      <s:c r="B25868" s="121" t="n"/>
      <s:c r="C25868" s="121" t="n"/>
      <s:c r="D25868" s="121" t="n"/>
      <s:c r="E25868" s="122" t="n"/>
    </s:row>
    <s:row r="25869" hidden="1" ht="1" customHeight="1">
      <s:c r="A25869" s="120" t="inlineStr"/>
      <s:c r="B25869" s="121" t="n"/>
      <s:c r="C25869" s="121" t="n"/>
      <s:c r="D25869" s="121" t="n"/>
      <s:c r="E25869" s="122" t="n"/>
    </s:row>
    <s:row r="25870" hidden="1" ht="1" customHeight="1">
      <s:c r="A25870" s="120" t="inlineStr"/>
      <s:c r="B25870" s="121" t="n"/>
      <s:c r="C25870" s="121" t="n"/>
      <s:c r="D25870" s="121" t="n"/>
      <s:c r="E25870" s="122" t="n"/>
    </s:row>
    <s:row r="25871" hidden="1" ht="1" customHeight="1">
      <s:c r="A25871" s="120" t="inlineStr"/>
      <s:c r="B25871" s="121" t="n"/>
      <s:c r="C25871" s="121" t="n"/>
      <s:c r="D25871" s="121" t="n"/>
      <s:c r="E25871" s="122" t="n"/>
    </s:row>
    <s:row r="25872" hidden="1" ht="1" customHeight="1">
      <s:c r="A25872" s="120" t="inlineStr"/>
      <s:c r="B25872" s="121" t="n"/>
      <s:c r="C25872" s="121" t="n"/>
      <s:c r="D25872" s="121" t="n"/>
      <s:c r="E25872" s="122" t="n"/>
    </s:row>
    <s:row r="25873" hidden="1" ht="1" customHeight="1">
      <s:c r="A25873" s="120" t="inlineStr"/>
      <s:c r="B25873" s="121" t="n"/>
      <s:c r="C25873" s="121" t="n"/>
      <s:c r="D25873" s="121" t="n"/>
      <s:c r="E25873" s="122" t="n"/>
    </s:row>
    <s:row r="25874" hidden="1" ht="1" customHeight="1">
      <s:c r="A25874" s="120" t="inlineStr"/>
      <s:c r="B25874" s="121" t="n"/>
      <s:c r="C25874" s="121" t="n"/>
      <s:c r="D25874" s="121" t="n"/>
      <s:c r="E25874" s="122" t="n"/>
    </s:row>
    <s:row r="25875" hidden="1" ht="1" customHeight="1">
      <s:c r="A25875" s="120" t="inlineStr"/>
      <s:c r="B25875" s="121" t="n"/>
      <s:c r="C25875" s="121" t="n"/>
      <s:c r="D25875" s="121" t="n"/>
      <s:c r="E25875" s="122" t="n"/>
    </s:row>
    <s:row r="25876" hidden="1" ht="1" customHeight="1">
      <s:c r="A25876" s="120" t="inlineStr"/>
      <s:c r="B25876" s="121" t="n"/>
      <s:c r="C25876" s="121" t="n"/>
      <s:c r="D25876" s="121" t="n"/>
      <s:c r="E25876" s="122" t="n"/>
    </s:row>
    <s:row r="25877" hidden="1" ht="1" customHeight="1">
      <s:c r="A25877" s="120" t="inlineStr"/>
      <s:c r="B25877" s="121" t="n"/>
      <s:c r="C25877" s="121" t="n"/>
      <s:c r="D25877" s="121" t="n"/>
      <s:c r="E25877" s="122" t="n"/>
    </s:row>
    <s:row r="25878" hidden="1" ht="1" customHeight="1">
      <s:c r="A25878" s="120" t="inlineStr"/>
      <s:c r="B25878" s="121" t="n"/>
      <s:c r="C25878" s="121" t="n"/>
      <s:c r="D25878" s="121" t="n"/>
      <s:c r="E25878" s="122" t="n"/>
    </s:row>
    <s:row r="25879" hidden="1" ht="1" customHeight="1">
      <s:c r="A25879" s="120" t="inlineStr"/>
      <s:c r="B25879" s="121" t="n"/>
      <s:c r="C25879" s="121" t="n"/>
      <s:c r="D25879" s="121" t="n"/>
      <s:c r="E25879" s="122" t="n"/>
    </s:row>
    <s:row r="25880" hidden="1" ht="1" customHeight="1">
      <s:c r="A25880" s="120" t="inlineStr"/>
      <s:c r="B25880" s="121" t="n"/>
      <s:c r="C25880" s="121" t="n"/>
      <s:c r="D25880" s="121" t="n"/>
      <s:c r="E25880" s="122" t="n"/>
    </s:row>
    <s:row r="25881" hidden="1" ht="1" customHeight="1">
      <s:c r="A25881" s="120" t="inlineStr"/>
      <s:c r="B25881" s="121" t="n"/>
      <s:c r="C25881" s="121" t="n"/>
      <s:c r="D25881" s="121" t="n"/>
      <s:c r="E25881" s="122" t="n"/>
    </s:row>
    <s:row r="25882" hidden="1" ht="1" customHeight="1">
      <s:c r="A25882" s="120" t="inlineStr"/>
      <s:c r="B25882" s="121" t="n"/>
      <s:c r="C25882" s="121" t="n"/>
      <s:c r="D25882" s="121" t="n"/>
      <s:c r="E25882" s="122" t="n"/>
    </s:row>
    <s:row r="25883" hidden="1" ht="1" customHeight="1">
      <s:c r="A25883" s="120" t="inlineStr"/>
      <s:c r="B25883" s="121" t="n"/>
      <s:c r="C25883" s="121" t="n"/>
      <s:c r="D25883" s="121" t="n"/>
      <s:c r="E25883" s="122" t="n"/>
    </s:row>
    <s:row r="25884" hidden="1" ht="1" customHeight="1">
      <s:c r="A25884" s="120" t="inlineStr"/>
      <s:c r="B25884" s="121" t="n"/>
      <s:c r="C25884" s="121" t="n"/>
      <s:c r="D25884" s="121" t="n"/>
      <s:c r="E25884" s="122" t="n"/>
    </s:row>
    <s:row r="25885" hidden="1" ht="1" customHeight="1">
      <s:c r="A25885" s="120" t="inlineStr"/>
      <s:c r="B25885" s="121" t="n"/>
      <s:c r="C25885" s="121" t="n"/>
      <s:c r="D25885" s="121" t="n"/>
      <s:c r="E25885" s="122" t="n"/>
    </s:row>
    <s:row r="25886" hidden="1" ht="1" customHeight="1">
      <s:c r="A25886" s="120" t="inlineStr"/>
      <s:c r="B25886" s="121" t="n"/>
      <s:c r="C25886" s="121" t="n"/>
      <s:c r="D25886" s="121" t="n"/>
      <s:c r="E25886" s="122" t="n"/>
    </s:row>
    <s:row r="25887" hidden="1" ht="1" customHeight="1">
      <s:c r="A25887" s="120" t="inlineStr"/>
      <s:c r="B25887" s="121" t="n"/>
      <s:c r="C25887" s="121" t="n"/>
      <s:c r="D25887" s="121" t="n"/>
      <s:c r="E25887" s="122" t="n"/>
    </s:row>
    <s:row r="25888" hidden="1" ht="1" customHeight="1">
      <s:c r="A25888" s="120" t="inlineStr"/>
      <s:c r="B25888" s="121" t="n"/>
      <s:c r="C25888" s="121" t="n"/>
      <s:c r="D25888" s="121" t="n"/>
      <s:c r="E25888" s="122" t="n"/>
    </s:row>
    <s:row r="25889" hidden="1" ht="1" customHeight="1">
      <s:c r="A25889" s="120" t="inlineStr"/>
      <s:c r="B25889" s="121" t="n"/>
      <s:c r="C25889" s="121" t="n"/>
      <s:c r="D25889" s="121" t="n"/>
      <s:c r="E25889" s="122" t="n"/>
    </s:row>
    <s:row r="25890" hidden="1" ht="1" customHeight="1">
      <s:c r="A25890" s="120" t="inlineStr"/>
      <s:c r="B25890" s="121" t="n"/>
      <s:c r="C25890" s="121" t="n"/>
      <s:c r="D25890" s="121" t="n"/>
      <s:c r="E25890" s="122" t="n"/>
    </s:row>
    <s:row r="25891" hidden="1" ht="1" customHeight="1">
      <s:c r="A25891" s="120" t="inlineStr"/>
      <s:c r="B25891" s="121" t="n"/>
      <s:c r="C25891" s="121" t="n"/>
      <s:c r="D25891" s="121" t="n"/>
      <s:c r="E25891" s="122" t="n"/>
    </s:row>
    <s:row r="25892" hidden="1" ht="1" customHeight="1">
      <s:c r="A25892" s="120" t="inlineStr"/>
      <s:c r="B25892" s="121" t="n"/>
      <s:c r="C25892" s="121" t="n"/>
      <s:c r="D25892" s="121" t="n"/>
      <s:c r="E25892" s="122" t="n"/>
    </s:row>
    <s:row r="25893" hidden="1" ht="1" customHeight="1">
      <s:c r="A25893" s="120" t="inlineStr"/>
      <s:c r="B25893" s="121" t="n"/>
      <s:c r="C25893" s="121" t="n"/>
      <s:c r="D25893" s="121" t="n"/>
      <s:c r="E25893" s="122" t="n"/>
    </s:row>
    <s:row r="25894" hidden="1" ht="1" customHeight="1">
      <s:c r="A25894" s="120" t="inlineStr"/>
      <s:c r="B25894" s="121" t="n"/>
      <s:c r="C25894" s="121" t="n"/>
      <s:c r="D25894" s="121" t="n"/>
      <s:c r="E25894" s="122" t="n"/>
    </s:row>
    <s:row r="25895" hidden="1" ht="1" customHeight="1">
      <s:c r="A25895" s="120" t="inlineStr"/>
      <s:c r="B25895" s="121" t="n"/>
      <s:c r="C25895" s="121" t="n"/>
      <s:c r="D25895" s="121" t="n"/>
      <s:c r="E25895" s="122" t="n"/>
    </s:row>
    <s:row r="25896" hidden="1" ht="1" customHeight="1">
      <s:c r="A25896" s="120" t="inlineStr"/>
      <s:c r="B25896" s="121" t="n"/>
      <s:c r="C25896" s="121" t="n"/>
      <s:c r="D25896" s="121" t="n"/>
      <s:c r="E25896" s="122" t="n"/>
    </s:row>
    <s:row r="25897" hidden="1" ht="1" customHeight="1">
      <s:c r="A25897" s="120" t="inlineStr"/>
      <s:c r="B25897" s="121" t="n"/>
      <s:c r="C25897" s="121" t="n"/>
      <s:c r="D25897" s="121" t="n"/>
      <s:c r="E25897" s="122" t="n"/>
    </s:row>
    <s:row r="25898" hidden="1" ht="1" customHeight="1">
      <s:c r="A25898" s="120" t="inlineStr"/>
      <s:c r="B25898" s="121" t="n"/>
      <s:c r="C25898" s="121" t="n"/>
      <s:c r="D25898" s="121" t="n"/>
      <s:c r="E25898" s="122" t="n"/>
    </s:row>
    <s:row r="25899" hidden="1" ht="1" customHeight="1">
      <s:c r="A25899" s="120" t="inlineStr"/>
      <s:c r="B25899" s="121" t="n"/>
      <s:c r="C25899" s="121" t="n"/>
      <s:c r="D25899" s="121" t="n"/>
      <s:c r="E25899" s="122" t="n"/>
    </s:row>
    <s:row r="25900" hidden="1" ht="1" customHeight="1">
      <s:c r="A25900" s="120" t="inlineStr"/>
      <s:c r="B25900" s="121" t="n"/>
      <s:c r="C25900" s="121" t="n"/>
      <s:c r="D25900" s="121" t="n"/>
      <s:c r="E25900" s="122" t="n"/>
    </s:row>
    <s:row r="25901" hidden="1" ht="1" customHeight="1">
      <s:c r="A25901" s="120" t="inlineStr"/>
      <s:c r="B25901" s="121" t="n"/>
      <s:c r="C25901" s="121" t="n"/>
      <s:c r="D25901" s="121" t="n"/>
      <s:c r="E25901" s="122" t="n"/>
    </s:row>
    <s:row r="25902" hidden="1" ht="1" customHeight="1">
      <s:c r="A25902" s="120" t="inlineStr"/>
      <s:c r="B25902" s="121" t="n"/>
      <s:c r="C25902" s="121" t="n"/>
      <s:c r="D25902" s="121" t="n"/>
      <s:c r="E25902" s="122" t="n"/>
    </s:row>
    <s:row r="25903" hidden="1" ht="1" customHeight="1">
      <s:c r="A25903" s="120" t="inlineStr"/>
      <s:c r="B25903" s="121" t="n"/>
      <s:c r="C25903" s="121" t="n"/>
      <s:c r="D25903" s="121" t="n"/>
      <s:c r="E25903" s="122" t="n"/>
    </s:row>
    <s:row r="25904" hidden="1" ht="1" customHeight="1">
      <s:c r="A25904" s="120" t="inlineStr"/>
      <s:c r="B25904" s="121" t="n"/>
      <s:c r="C25904" s="121" t="n"/>
      <s:c r="D25904" s="121" t="n"/>
      <s:c r="E25904" s="122" t="n"/>
    </s:row>
    <s:row r="25905" hidden="1" ht="1" customHeight="1">
      <s:c r="A25905" s="120" t="inlineStr"/>
      <s:c r="B25905" s="121" t="n"/>
      <s:c r="C25905" s="121" t="n"/>
      <s:c r="D25905" s="121" t="n"/>
      <s:c r="E25905" s="122" t="n"/>
    </s:row>
    <s:row r="25906" hidden="1" ht="1" customHeight="1">
      <s:c r="A25906" s="120" t="inlineStr"/>
      <s:c r="B25906" s="121" t="n"/>
      <s:c r="C25906" s="121" t="n"/>
      <s:c r="D25906" s="121" t="n"/>
      <s:c r="E25906" s="122" t="n"/>
    </s:row>
    <s:row r="25907" hidden="1" ht="1" customHeight="1">
      <s:c r="A25907" s="120" t="inlineStr"/>
      <s:c r="B25907" s="121" t="n"/>
      <s:c r="C25907" s="121" t="n"/>
      <s:c r="D25907" s="121" t="n"/>
      <s:c r="E25907" s="122" t="n"/>
    </s:row>
    <s:row r="25908" hidden="1" ht="1" customHeight="1">
      <s:c r="A25908" s="120" t="inlineStr"/>
      <s:c r="B25908" s="121" t="n"/>
      <s:c r="C25908" s="121" t="n"/>
      <s:c r="D25908" s="121" t="n"/>
      <s:c r="E25908" s="122" t="n"/>
    </s:row>
    <s:row r="25909" hidden="1" ht="1" customHeight="1">
      <s:c r="A25909" s="120" t="inlineStr"/>
      <s:c r="B25909" s="121" t="n"/>
      <s:c r="C25909" s="121" t="n"/>
      <s:c r="D25909" s="121" t="n"/>
      <s:c r="E25909" s="122" t="n"/>
    </s:row>
    <s:row r="25910" hidden="1" ht="1" customHeight="1">
      <s:c r="A25910" s="120" t="inlineStr"/>
      <s:c r="B25910" s="121" t="n"/>
      <s:c r="C25910" s="121" t="n"/>
      <s:c r="D25910" s="121" t="n"/>
      <s:c r="E25910" s="122" t="n"/>
    </s:row>
    <s:row r="25911" hidden="1" ht="1" customHeight="1">
      <s:c r="A25911" s="120" t="inlineStr"/>
      <s:c r="B25911" s="121" t="n"/>
      <s:c r="C25911" s="121" t="n"/>
      <s:c r="D25911" s="121" t="n"/>
      <s:c r="E25911" s="122" t="n"/>
    </s:row>
    <s:row r="25912" hidden="1" ht="1" customHeight="1">
      <s:c r="A25912" s="120" t="inlineStr"/>
      <s:c r="B25912" s="121" t="n"/>
      <s:c r="C25912" s="121" t="n"/>
      <s:c r="D25912" s="121" t="n"/>
      <s:c r="E25912" s="122" t="n"/>
    </s:row>
    <s:row r="25913" hidden="1" ht="1" customHeight="1">
      <s:c r="A25913" s="120" t="inlineStr"/>
      <s:c r="B25913" s="121" t="n"/>
      <s:c r="C25913" s="121" t="n"/>
      <s:c r="D25913" s="121" t="n"/>
      <s:c r="E25913" s="122" t="n"/>
    </s:row>
    <s:row r="25914" hidden="1" ht="1" customHeight="1">
      <s:c r="A25914" s="120" t="inlineStr"/>
      <s:c r="B25914" s="121" t="n"/>
      <s:c r="C25914" s="121" t="n"/>
      <s:c r="D25914" s="121" t="n"/>
      <s:c r="E25914" s="122" t="n"/>
    </s:row>
    <s:row r="25915" hidden="1" ht="1" customHeight="1">
      <s:c r="A25915" s="120" t="inlineStr"/>
      <s:c r="B25915" s="121" t="n"/>
      <s:c r="C25915" s="121" t="n"/>
      <s:c r="D25915" s="121" t="n"/>
      <s:c r="E25915" s="122" t="n"/>
    </s:row>
    <s:row r="25916" hidden="1" ht="1" customHeight="1">
      <s:c r="A25916" s="120" t="inlineStr"/>
      <s:c r="B25916" s="121" t="n"/>
      <s:c r="C25916" s="121" t="n"/>
      <s:c r="D25916" s="121" t="n"/>
      <s:c r="E25916" s="122" t="n"/>
    </s:row>
    <s:row r="25917" hidden="1" ht="1" customHeight="1">
      <s:c r="A25917" s="120" t="inlineStr"/>
      <s:c r="B25917" s="121" t="n"/>
      <s:c r="C25917" s="121" t="n"/>
      <s:c r="D25917" s="121" t="n"/>
      <s:c r="E25917" s="122" t="n"/>
    </s:row>
    <s:row r="25918" hidden="1" ht="1" customHeight="1">
      <s:c r="A25918" s="120" t="inlineStr"/>
      <s:c r="B25918" s="121" t="n"/>
      <s:c r="C25918" s="121" t="n"/>
      <s:c r="D25918" s="121" t="n"/>
      <s:c r="E25918" s="122" t="n"/>
    </s:row>
    <s:row r="25919" hidden="1" ht="1" customHeight="1">
      <s:c r="A25919" s="120" t="inlineStr"/>
      <s:c r="B25919" s="121" t="n"/>
      <s:c r="C25919" s="121" t="n"/>
      <s:c r="D25919" s="121" t="n"/>
      <s:c r="E25919" s="122" t="n"/>
    </s:row>
    <s:row r="25920" hidden="1" ht="1" customHeight="1">
      <s:c r="A25920" s="120" t="inlineStr"/>
      <s:c r="B25920" s="121" t="n"/>
      <s:c r="C25920" s="121" t="n"/>
      <s:c r="D25920" s="121" t="n"/>
      <s:c r="E25920" s="122" t="n"/>
    </s:row>
    <s:row r="25921" hidden="1" ht="1" customHeight="1">
      <s:c r="A25921" s="120" t="inlineStr"/>
      <s:c r="B25921" s="121" t="n"/>
      <s:c r="C25921" s="121" t="n"/>
      <s:c r="D25921" s="121" t="n"/>
      <s:c r="E25921" s="122" t="n"/>
    </s:row>
    <s:row r="25922" hidden="1" ht="1" customHeight="1">
      <s:c r="A25922" s="120" t="inlineStr"/>
      <s:c r="B25922" s="121" t="n"/>
      <s:c r="C25922" s="121" t="n"/>
      <s:c r="D25922" s="121" t="n"/>
      <s:c r="E25922" s="122" t="n"/>
    </s:row>
    <s:row r="25923" hidden="1" ht="1" customHeight="1">
      <s:c r="A25923" s="120" t="inlineStr"/>
      <s:c r="B25923" s="121" t="n"/>
      <s:c r="C25923" s="121" t="n"/>
      <s:c r="D25923" s="121" t="n"/>
      <s:c r="E25923" s="122" t="n"/>
    </s:row>
    <s:row r="25924" hidden="1" ht="1" customHeight="1">
      <s:c r="A25924" s="120" t="inlineStr"/>
      <s:c r="B25924" s="121" t="n"/>
      <s:c r="C25924" s="121" t="n"/>
      <s:c r="D25924" s="121" t="n"/>
      <s:c r="E25924" s="122" t="n"/>
    </s:row>
    <s:row r="25925" hidden="1" ht="1" customHeight="1">
      <s:c r="A25925" s="120" t="inlineStr"/>
      <s:c r="B25925" s="121" t="n"/>
      <s:c r="C25925" s="121" t="n"/>
      <s:c r="D25925" s="121" t="n"/>
      <s:c r="E25925" s="122" t="n"/>
    </s:row>
    <s:row r="25926" hidden="1" ht="1" customHeight="1">
      <s:c r="A25926" s="120" t="inlineStr"/>
      <s:c r="B25926" s="121" t="n"/>
      <s:c r="C25926" s="121" t="n"/>
      <s:c r="D25926" s="121" t="n"/>
      <s:c r="E25926" s="122" t="n"/>
    </s:row>
    <s:row r="25927" hidden="1" ht="1" customHeight="1">
      <s:c r="A25927" s="120" t="inlineStr"/>
      <s:c r="B25927" s="121" t="n"/>
      <s:c r="C25927" s="121" t="n"/>
      <s:c r="D25927" s="121" t="n"/>
      <s:c r="E25927" s="122" t="n"/>
    </s:row>
    <s:row r="25928" hidden="1" ht="1" customHeight="1">
      <s:c r="A25928" s="120" t="inlineStr"/>
      <s:c r="B25928" s="121" t="n"/>
      <s:c r="C25928" s="121" t="n"/>
      <s:c r="D25928" s="121" t="n"/>
      <s:c r="E25928" s="122" t="n"/>
    </s:row>
    <s:row r="25929" hidden="1" ht="1" customHeight="1">
      <s:c r="A25929" s="120" t="inlineStr"/>
      <s:c r="B25929" s="121" t="n"/>
      <s:c r="C25929" s="121" t="n"/>
      <s:c r="D25929" s="121" t="n"/>
      <s:c r="E25929" s="122" t="n"/>
    </s:row>
    <s:row r="25930" hidden="1" ht="1" customHeight="1">
      <s:c r="A25930" s="120" t="inlineStr"/>
      <s:c r="B25930" s="121" t="n"/>
      <s:c r="C25930" s="121" t="n"/>
      <s:c r="D25930" s="121" t="n"/>
      <s:c r="E25930" s="122" t="n"/>
    </s:row>
    <s:row r="25931" hidden="1" ht="1" customHeight="1">
      <s:c r="A25931" s="120" t="inlineStr"/>
      <s:c r="B25931" s="121" t="n"/>
      <s:c r="C25931" s="121" t="n"/>
      <s:c r="D25931" s="121" t="n"/>
      <s:c r="E25931" s="122" t="n"/>
    </s:row>
    <s:row r="25932" hidden="1" ht="1" customHeight="1">
      <s:c r="A25932" s="120" t="inlineStr"/>
      <s:c r="B25932" s="121" t="n"/>
      <s:c r="C25932" s="121" t="n"/>
      <s:c r="D25932" s="121" t="n"/>
      <s:c r="E25932" s="122" t="n"/>
    </s:row>
    <s:row r="25933" hidden="1" ht="1" customHeight="1">
      <s:c r="A25933" s="120" t="inlineStr"/>
      <s:c r="B25933" s="121" t="n"/>
      <s:c r="C25933" s="121" t="n"/>
      <s:c r="D25933" s="121" t="n"/>
      <s:c r="E25933" s="122" t="n"/>
    </s:row>
    <s:row r="25934" hidden="1" ht="1" customHeight="1">
      <s:c r="A25934" s="120" t="inlineStr"/>
      <s:c r="B25934" s="121" t="n"/>
      <s:c r="C25934" s="121" t="n"/>
      <s:c r="D25934" s="121" t="n"/>
      <s:c r="E25934" s="122" t="n"/>
    </s:row>
    <s:row r="25935" hidden="1" ht="1" customHeight="1">
      <s:c r="A25935" s="120" t="inlineStr"/>
      <s:c r="B25935" s="121" t="n"/>
      <s:c r="C25935" s="121" t="n"/>
      <s:c r="D25935" s="121" t="n"/>
      <s:c r="E25935" s="122" t="n"/>
    </s:row>
    <s:row r="25936" hidden="1" ht="1" customHeight="1">
      <s:c r="A25936" s="120" t="inlineStr"/>
      <s:c r="B25936" s="121" t="n"/>
      <s:c r="C25936" s="121" t="n"/>
      <s:c r="D25936" s="121" t="n"/>
      <s:c r="E25936" s="122" t="n"/>
    </s:row>
    <s:row r="25937" hidden="1" ht="1" customHeight="1">
      <s:c r="A25937" s="120" t="inlineStr"/>
      <s:c r="B25937" s="121" t="n"/>
      <s:c r="C25937" s="121" t="n"/>
      <s:c r="D25937" s="121" t="n"/>
      <s:c r="E25937" s="122" t="n"/>
    </s:row>
    <s:row r="25938" hidden="1" ht="1" customHeight="1">
      <s:c r="A25938" s="120" t="inlineStr"/>
      <s:c r="B25938" s="121" t="n"/>
      <s:c r="C25938" s="121" t="n"/>
      <s:c r="D25938" s="121" t="n"/>
      <s:c r="E25938" s="122" t="n"/>
    </s:row>
    <s:row r="25939" hidden="1" ht="1" customHeight="1">
      <s:c r="A25939" s="120" t="inlineStr"/>
      <s:c r="B25939" s="121" t="n"/>
      <s:c r="C25939" s="121" t="n"/>
      <s:c r="D25939" s="121" t="n"/>
      <s:c r="E25939" s="122" t="n"/>
    </s:row>
    <s:row r="25940" hidden="1" ht="1" customHeight="1">
      <s:c r="A25940" s="120" t="inlineStr"/>
      <s:c r="B25940" s="121" t="n"/>
      <s:c r="C25940" s="121" t="n"/>
      <s:c r="D25940" s="121" t="n"/>
      <s:c r="E25940" s="122" t="n"/>
    </s:row>
    <s:row r="25941" hidden="1" ht="1" customHeight="1">
      <s:c r="A25941" s="120" t="inlineStr"/>
      <s:c r="B25941" s="121" t="n"/>
      <s:c r="C25941" s="121" t="n"/>
      <s:c r="D25941" s="121" t="n"/>
      <s:c r="E25941" s="122" t="n"/>
    </s:row>
    <s:row r="25942" hidden="1" ht="1" customHeight="1">
      <s:c r="A25942" s="120" t="inlineStr"/>
      <s:c r="B25942" s="121" t="n"/>
      <s:c r="C25942" s="121" t="n"/>
      <s:c r="D25942" s="121" t="n"/>
      <s:c r="E25942" s="122" t="n"/>
    </s:row>
    <s:row r="25943" hidden="1" ht="1" customHeight="1">
      <s:c r="A25943" s="120" t="inlineStr"/>
      <s:c r="B25943" s="121" t="n"/>
      <s:c r="C25943" s="121" t="n"/>
      <s:c r="D25943" s="121" t="n"/>
      <s:c r="E25943" s="122" t="n"/>
    </s:row>
    <s:row r="25944" hidden="1" ht="1" customHeight="1">
      <s:c r="A25944" s="120" t="inlineStr"/>
      <s:c r="B25944" s="121" t="n"/>
      <s:c r="C25944" s="121" t="n"/>
      <s:c r="D25944" s="121" t="n"/>
      <s:c r="E25944" s="122" t="n"/>
    </s:row>
    <s:row r="25945" hidden="1" ht="1" customHeight="1">
      <s:c r="A25945" s="120" t="inlineStr"/>
      <s:c r="B25945" s="121" t="n"/>
      <s:c r="C25945" s="121" t="n"/>
      <s:c r="D25945" s="121" t="n"/>
      <s:c r="E25945" s="122" t="n"/>
    </s:row>
    <s:row r="25946" hidden="1" ht="1" customHeight="1">
      <s:c r="A25946" s="120" t="inlineStr"/>
      <s:c r="B25946" s="121" t="n"/>
      <s:c r="C25946" s="121" t="n"/>
      <s:c r="D25946" s="121" t="n"/>
      <s:c r="E25946" s="122" t="n"/>
    </s:row>
    <s:row r="25947" hidden="1" ht="1" customHeight="1">
      <s:c r="A25947" s="120" t="inlineStr"/>
      <s:c r="B25947" s="121" t="n"/>
      <s:c r="C25947" s="121" t="n"/>
      <s:c r="D25947" s="121" t="n"/>
      <s:c r="E25947" s="122" t="n"/>
    </s:row>
    <s:row r="25948" hidden="1" ht="1" customHeight="1">
      <s:c r="A25948" s="120" t="inlineStr"/>
      <s:c r="B25948" s="121" t="n"/>
      <s:c r="C25948" s="121" t="n"/>
      <s:c r="D25948" s="121" t="n"/>
      <s:c r="E25948" s="122" t="n"/>
    </s:row>
    <s:row r="25949" hidden="1" ht="1" customHeight="1">
      <s:c r="A25949" s="120" t="inlineStr"/>
      <s:c r="B25949" s="121" t="n"/>
      <s:c r="C25949" s="121" t="n"/>
      <s:c r="D25949" s="121" t="n"/>
      <s:c r="E25949" s="122" t="n"/>
    </s:row>
    <s:row r="25950" hidden="1" ht="1" customHeight="1">
      <s:c r="A25950" s="120" t="inlineStr"/>
      <s:c r="B25950" s="121" t="n"/>
      <s:c r="C25950" s="121" t="n"/>
      <s:c r="D25950" s="121" t="n"/>
      <s:c r="E25950" s="122" t="n"/>
    </s:row>
    <s:row r="25951" hidden="1" ht="1" customHeight="1">
      <s:c r="A25951" s="120" t="inlineStr"/>
      <s:c r="B25951" s="121" t="n"/>
      <s:c r="C25951" s="121" t="n"/>
      <s:c r="D25951" s="121" t="n"/>
      <s:c r="E25951" s="122" t="n"/>
    </s:row>
    <s:row r="25952" hidden="1" ht="1" customHeight="1">
      <s:c r="A25952" s="120" t="inlineStr"/>
      <s:c r="B25952" s="121" t="n"/>
      <s:c r="C25952" s="121" t="n"/>
      <s:c r="D25952" s="121" t="n"/>
      <s:c r="E25952" s="122" t="n"/>
    </s:row>
    <s:row r="25953" hidden="1" ht="1" customHeight="1">
      <s:c r="A25953" s="120" t="inlineStr"/>
      <s:c r="B25953" s="121" t="n"/>
      <s:c r="C25953" s="121" t="n"/>
      <s:c r="D25953" s="121" t="n"/>
      <s:c r="E25953" s="122" t="n"/>
    </s:row>
    <s:row r="25954" hidden="1" ht="1" customHeight="1">
      <s:c r="A25954" s="120" t="inlineStr"/>
      <s:c r="B25954" s="121" t="n"/>
      <s:c r="C25954" s="121" t="n"/>
      <s:c r="D25954" s="121" t="n"/>
      <s:c r="E25954" s="122" t="n"/>
    </s:row>
    <s:row r="25955" hidden="1" ht="1" customHeight="1">
      <s:c r="A25955" s="120" t="inlineStr"/>
      <s:c r="B25955" s="121" t="n"/>
      <s:c r="C25955" s="121" t="n"/>
      <s:c r="D25955" s="121" t="n"/>
      <s:c r="E25955" s="122" t="n"/>
    </s:row>
    <s:row r="25956" hidden="1" ht="1" customHeight="1">
      <s:c r="A25956" s="120" t="inlineStr"/>
      <s:c r="B25956" s="121" t="n"/>
      <s:c r="C25956" s="121" t="n"/>
      <s:c r="D25956" s="121" t="n"/>
      <s:c r="E25956" s="122" t="n"/>
    </s:row>
    <s:row r="25957" hidden="1" ht="1" customHeight="1">
      <s:c r="A25957" s="120" t="inlineStr"/>
      <s:c r="B25957" s="121" t="n"/>
      <s:c r="C25957" s="121" t="n"/>
      <s:c r="D25957" s="121" t="n"/>
      <s:c r="E25957" s="122" t="n"/>
    </s:row>
    <s:row r="25958" hidden="1" ht="1" customHeight="1">
      <s:c r="A25958" s="120" t="inlineStr"/>
      <s:c r="B25958" s="121" t="n"/>
      <s:c r="C25958" s="121" t="n"/>
      <s:c r="D25958" s="121" t="n"/>
      <s:c r="E25958" s="122" t="n"/>
    </s:row>
    <s:row r="25959" hidden="1" ht="1" customHeight="1">
      <s:c r="A25959" s="120" t="inlineStr"/>
      <s:c r="B25959" s="121" t="n"/>
      <s:c r="C25959" s="121" t="n"/>
      <s:c r="D25959" s="121" t="n"/>
      <s:c r="E25959" s="122" t="n"/>
    </s:row>
    <s:row r="25960" hidden="1" ht="1" customHeight="1">
      <s:c r="A25960" s="120" t="inlineStr"/>
      <s:c r="B25960" s="121" t="n"/>
      <s:c r="C25960" s="121" t="n"/>
      <s:c r="D25960" s="121" t="n"/>
      <s:c r="E25960" s="122" t="n"/>
    </s:row>
    <s:row r="25961" hidden="1" ht="1" customHeight="1">
      <s:c r="A25961" s="120" t="inlineStr"/>
      <s:c r="B25961" s="121" t="n"/>
      <s:c r="C25961" s="121" t="n"/>
      <s:c r="D25961" s="121" t="n"/>
      <s:c r="E25961" s="122" t="n"/>
    </s:row>
    <s:row r="25962" hidden="1" ht="1" customHeight="1">
      <s:c r="A25962" s="120" t="inlineStr"/>
      <s:c r="B25962" s="121" t="n"/>
      <s:c r="C25962" s="121" t="n"/>
      <s:c r="D25962" s="121" t="n"/>
      <s:c r="E25962" s="122" t="n"/>
    </s:row>
    <s:row r="25963" hidden="1" ht="1" customHeight="1">
      <s:c r="A25963" s="120" t="inlineStr"/>
      <s:c r="B25963" s="121" t="n"/>
      <s:c r="C25963" s="121" t="n"/>
      <s:c r="D25963" s="121" t="n"/>
      <s:c r="E25963" s="122" t="n"/>
    </s:row>
    <s:row r="25964" hidden="1" ht="1" customHeight="1">
      <s:c r="A25964" s="120" t="inlineStr"/>
      <s:c r="B25964" s="121" t="n"/>
      <s:c r="C25964" s="121" t="n"/>
      <s:c r="D25964" s="121" t="n"/>
      <s:c r="E25964" s="122" t="n"/>
    </s:row>
    <s:row r="25965" hidden="1" ht="1" customHeight="1">
      <s:c r="A25965" s="120" t="inlineStr"/>
      <s:c r="B25965" s="121" t="n"/>
      <s:c r="C25965" s="121" t="n"/>
      <s:c r="D25965" s="121" t="n"/>
      <s:c r="E25965" s="122" t="n"/>
    </s:row>
    <s:row r="25966" hidden="1" ht="1" customHeight="1">
      <s:c r="A25966" s="120" t="inlineStr"/>
      <s:c r="B25966" s="121" t="n"/>
      <s:c r="C25966" s="121" t="n"/>
      <s:c r="D25966" s="121" t="n"/>
      <s:c r="E25966" s="122" t="n"/>
    </s:row>
    <s:row r="25967" hidden="1" ht="1" customHeight="1">
      <s:c r="A25967" s="120" t="inlineStr"/>
      <s:c r="B25967" s="121" t="n"/>
      <s:c r="C25967" s="121" t="n"/>
      <s:c r="D25967" s="121" t="n"/>
      <s:c r="E25967" s="122" t="n"/>
    </s:row>
    <s:row r="25968" hidden="1" ht="1" customHeight="1">
      <s:c r="A25968" s="120" t="inlineStr"/>
      <s:c r="B25968" s="121" t="n"/>
      <s:c r="C25968" s="121" t="n"/>
      <s:c r="D25968" s="121" t="n"/>
      <s:c r="E25968" s="122" t="n"/>
    </s:row>
    <s:row r="25969" hidden="1" ht="1" customHeight="1">
      <s:c r="A25969" s="120" t="inlineStr"/>
      <s:c r="B25969" s="121" t="n"/>
      <s:c r="C25969" s="121" t="n"/>
      <s:c r="D25969" s="121" t="n"/>
      <s:c r="E25969" s="122" t="n"/>
    </s:row>
    <s:row r="25970" hidden="1" ht="1" customHeight="1">
      <s:c r="A25970" s="120" t="inlineStr"/>
      <s:c r="B25970" s="121" t="n"/>
      <s:c r="C25970" s="121" t="n"/>
      <s:c r="D25970" s="121" t="n"/>
      <s:c r="E25970" s="122" t="n"/>
    </s:row>
    <s:row r="25971" hidden="1" ht="1" customHeight="1">
      <s:c r="A25971" s="120" t="inlineStr"/>
      <s:c r="B25971" s="121" t="n"/>
      <s:c r="C25971" s="121" t="n"/>
      <s:c r="D25971" s="121" t="n"/>
      <s:c r="E25971" s="122" t="n"/>
    </s:row>
    <s:row r="25972" hidden="1" ht="1" customHeight="1">
      <s:c r="A25972" s="120" t="inlineStr"/>
      <s:c r="B25972" s="121" t="n"/>
      <s:c r="C25972" s="121" t="n"/>
      <s:c r="D25972" s="121" t="n"/>
      <s:c r="E25972" s="122" t="n"/>
    </s:row>
    <s:row r="25973" hidden="1" ht="1" customHeight="1">
      <s:c r="A25973" s="120" t="inlineStr"/>
      <s:c r="B25973" s="121" t="n"/>
      <s:c r="C25973" s="121" t="n"/>
      <s:c r="D25973" s="121" t="n"/>
      <s:c r="E25973" s="122" t="n"/>
    </s:row>
    <s:row r="25974" hidden="1" ht="1" customHeight="1">
      <s:c r="A25974" s="120" t="inlineStr"/>
      <s:c r="B25974" s="121" t="n"/>
      <s:c r="C25974" s="121" t="n"/>
      <s:c r="D25974" s="121" t="n"/>
      <s:c r="E25974" s="122" t="n"/>
    </s:row>
    <s:row r="25975" hidden="1" ht="1" customHeight="1">
      <s:c r="A25975" s="120" t="inlineStr"/>
      <s:c r="B25975" s="121" t="n"/>
      <s:c r="C25975" s="121" t="n"/>
      <s:c r="D25975" s="121" t="n"/>
      <s:c r="E25975" s="122" t="n"/>
    </s:row>
    <s:row r="25976" hidden="1" ht="1" customHeight="1">
      <s:c r="A25976" s="120" t="inlineStr"/>
      <s:c r="B25976" s="121" t="n"/>
      <s:c r="C25976" s="121" t="n"/>
      <s:c r="D25976" s="121" t="n"/>
      <s:c r="E25976" s="122" t="n"/>
    </s:row>
    <s:row r="25977" hidden="1" ht="1" customHeight="1">
      <s:c r="A25977" s="120" t="inlineStr"/>
      <s:c r="B25977" s="121" t="n"/>
      <s:c r="C25977" s="121" t="n"/>
      <s:c r="D25977" s="121" t="n"/>
      <s:c r="E25977" s="122" t="n"/>
    </s:row>
    <s:row r="25978" hidden="1" ht="1" customHeight="1">
      <s:c r="A25978" s="120" t="inlineStr"/>
      <s:c r="B25978" s="121" t="n"/>
      <s:c r="C25978" s="121" t="n"/>
      <s:c r="D25978" s="121" t="n"/>
      <s:c r="E25978" s="122" t="n"/>
    </s:row>
    <s:row r="25979" hidden="1" ht="1" customHeight="1">
      <s:c r="A25979" s="120" t="inlineStr"/>
      <s:c r="B25979" s="121" t="n"/>
      <s:c r="C25979" s="121" t="n"/>
      <s:c r="D25979" s="121" t="n"/>
      <s:c r="E25979" s="122" t="n"/>
    </s:row>
    <s:row r="25980" hidden="1" ht="1" customHeight="1">
      <s:c r="A25980" s="120" t="inlineStr"/>
      <s:c r="B25980" s="121" t="n"/>
      <s:c r="C25980" s="121" t="n"/>
      <s:c r="D25980" s="121" t="n"/>
      <s:c r="E25980" s="122" t="n"/>
    </s:row>
    <s:row r="25981" hidden="1" ht="1" customHeight="1">
      <s:c r="A25981" s="120" t="inlineStr"/>
      <s:c r="B25981" s="121" t="n"/>
      <s:c r="C25981" s="121" t="n"/>
      <s:c r="D25981" s="121" t="n"/>
      <s:c r="E25981" s="122" t="n"/>
    </s:row>
    <s:row r="25982" hidden="1" ht="1" customHeight="1">
      <s:c r="A25982" s="120" t="inlineStr"/>
      <s:c r="B25982" s="121" t="n"/>
      <s:c r="C25982" s="121" t="n"/>
      <s:c r="D25982" s="121" t="n"/>
      <s:c r="E25982" s="122" t="n"/>
    </s:row>
    <s:row r="25983" hidden="1" ht="1" customHeight="1">
      <s:c r="A25983" s="120" t="inlineStr"/>
      <s:c r="B25983" s="121" t="n"/>
      <s:c r="C25983" s="121" t="n"/>
      <s:c r="D25983" s="121" t="n"/>
      <s:c r="E25983" s="122" t="n"/>
    </s:row>
    <s:row r="25984" hidden="1" ht="1" customHeight="1">
      <s:c r="A25984" s="120" t="inlineStr"/>
      <s:c r="B25984" s="121" t="n"/>
      <s:c r="C25984" s="121" t="n"/>
      <s:c r="D25984" s="121" t="n"/>
      <s:c r="E25984" s="122" t="n"/>
    </s:row>
    <s:row r="25985" hidden="1" ht="1" customHeight="1">
      <s:c r="A25985" s="120" t="inlineStr"/>
      <s:c r="B25985" s="121" t="n"/>
      <s:c r="C25985" s="121" t="n"/>
      <s:c r="D25985" s="121" t="n"/>
      <s:c r="E25985" s="122" t="n"/>
    </s:row>
    <s:row r="25986" hidden="1" ht="1" customHeight="1">
      <s:c r="A25986" s="120" t="inlineStr"/>
      <s:c r="B25986" s="121" t="n"/>
      <s:c r="C25986" s="121" t="n"/>
      <s:c r="D25986" s="121" t="n"/>
      <s:c r="E25986" s="122" t="n"/>
    </s:row>
    <s:row r="25987" hidden="1" ht="1" customHeight="1">
      <s:c r="A25987" s="120" t="inlineStr"/>
      <s:c r="B25987" s="121" t="n"/>
      <s:c r="C25987" s="121" t="n"/>
      <s:c r="D25987" s="121" t="n"/>
      <s:c r="E25987" s="122" t="n"/>
    </s:row>
    <s:row r="25988" hidden="1" ht="1" customHeight="1">
      <s:c r="A25988" s="120" t="inlineStr"/>
      <s:c r="B25988" s="121" t="n"/>
      <s:c r="C25988" s="121" t="n"/>
      <s:c r="D25988" s="121" t="n"/>
      <s:c r="E25988" s="122" t="n"/>
    </s:row>
    <s:row r="25989" hidden="1" ht="1" customHeight="1">
      <s:c r="A25989" s="120" t="inlineStr"/>
      <s:c r="B25989" s="121" t="n"/>
      <s:c r="C25989" s="121" t="n"/>
      <s:c r="D25989" s="121" t="n"/>
      <s:c r="E25989" s="122" t="n"/>
    </s:row>
    <s:row r="25990" hidden="1" ht="1" customHeight="1">
      <s:c r="A25990" s="120" t="inlineStr"/>
      <s:c r="B25990" s="121" t="n"/>
      <s:c r="C25990" s="121" t="n"/>
      <s:c r="D25990" s="121" t="n"/>
      <s:c r="E25990" s="122" t="n"/>
    </s:row>
    <s:row r="25991" hidden="1" ht="1" customHeight="1">
      <s:c r="A25991" s="120" t="inlineStr"/>
      <s:c r="B25991" s="121" t="n"/>
      <s:c r="C25991" s="121" t="n"/>
      <s:c r="D25991" s="121" t="n"/>
      <s:c r="E25991" s="122" t="n"/>
    </s:row>
    <s:row r="25992" hidden="1" ht="1" customHeight="1">
      <s:c r="A25992" s="120" t="inlineStr"/>
      <s:c r="B25992" s="121" t="n"/>
      <s:c r="C25992" s="121" t="n"/>
      <s:c r="D25992" s="121" t="n"/>
      <s:c r="E25992" s="122" t="n"/>
    </s:row>
    <s:row r="25993" hidden="1" ht="1" customHeight="1">
      <s:c r="A25993" s="120" t="inlineStr"/>
      <s:c r="B25993" s="121" t="n"/>
      <s:c r="C25993" s="121" t="n"/>
      <s:c r="D25993" s="121" t="n"/>
      <s:c r="E25993" s="122" t="n"/>
    </s:row>
    <s:row r="25994" hidden="1" ht="1" customHeight="1">
      <s:c r="A25994" s="120" t="inlineStr"/>
      <s:c r="B25994" s="121" t="n"/>
      <s:c r="C25994" s="121" t="n"/>
      <s:c r="D25994" s="121" t="n"/>
      <s:c r="E25994" s="122" t="n"/>
    </s:row>
    <s:row r="25995" hidden="1" ht="1" customHeight="1">
      <s:c r="A25995" s="120" t="inlineStr"/>
      <s:c r="B25995" s="121" t="n"/>
      <s:c r="C25995" s="121" t="n"/>
      <s:c r="D25995" s="121" t="n"/>
      <s:c r="E25995" s="122" t="n"/>
    </s:row>
    <s:row r="25996" hidden="1" ht="1" customHeight="1">
      <s:c r="A25996" s="120" t="inlineStr"/>
      <s:c r="B25996" s="121" t="n"/>
      <s:c r="C25996" s="121" t="n"/>
      <s:c r="D25996" s="121" t="n"/>
      <s:c r="E25996" s="122" t="n"/>
    </s:row>
    <s:row r="25997" hidden="1" ht="1" customHeight="1">
      <s:c r="A25997" s="120" t="inlineStr"/>
      <s:c r="B25997" s="121" t="n"/>
      <s:c r="C25997" s="121" t="n"/>
      <s:c r="D25997" s="121" t="n"/>
      <s:c r="E25997" s="122" t="n"/>
    </s:row>
    <s:row r="25998" hidden="1" ht="1" customHeight="1">
      <s:c r="A25998" s="120" t="inlineStr"/>
      <s:c r="B25998" s="121" t="n"/>
      <s:c r="C25998" s="121" t="n"/>
      <s:c r="D25998" s="121" t="n"/>
      <s:c r="E25998" s="122" t="n"/>
    </s:row>
    <s:row r="25999" hidden="1" ht="1" customHeight="1">
      <s:c r="A25999" s="120" t="inlineStr"/>
      <s:c r="B25999" s="121" t="n"/>
      <s:c r="C25999" s="121" t="n"/>
      <s:c r="D25999" s="121" t="n"/>
      <s:c r="E25999" s="122" t="n"/>
    </s:row>
    <s:row r="26000" hidden="1" ht="1" customHeight="1">
      <s:c r="A26000" s="120" t="inlineStr"/>
      <s:c r="B26000" s="121" t="n"/>
      <s:c r="C26000" s="121" t="n"/>
      <s:c r="D26000" s="121" t="n"/>
      <s:c r="E26000" s="122" t="n"/>
    </s:row>
    <s:row r="26001" hidden="1" ht="1" customHeight="1">
      <s:c r="A26001" s="120" t="inlineStr"/>
      <s:c r="B26001" s="121" t="n"/>
      <s:c r="C26001" s="121" t="n"/>
      <s:c r="D26001" s="121" t="n"/>
      <s:c r="E26001" s="122" t="n"/>
    </s:row>
    <s:row r="26002" hidden="1" ht="1" customHeight="1">
      <s:c r="A26002" s="120" t="inlineStr"/>
      <s:c r="B26002" s="121" t="n"/>
      <s:c r="C26002" s="121" t="n"/>
      <s:c r="D26002" s="121" t="n"/>
      <s:c r="E26002" s="122" t="n"/>
    </s:row>
    <s:row r="26003" hidden="1" ht="1" customHeight="1">
      <s:c r="A26003" s="120" t="inlineStr"/>
      <s:c r="B26003" s="121" t="n"/>
      <s:c r="C26003" s="121" t="n"/>
      <s:c r="D26003" s="121" t="n"/>
      <s:c r="E26003" s="122" t="n"/>
    </s:row>
    <s:row r="26004" hidden="1" ht="1" customHeight="1">
      <s:c r="A26004" s="120" t="inlineStr"/>
      <s:c r="B26004" s="121" t="n"/>
      <s:c r="C26004" s="121" t="n"/>
      <s:c r="D26004" s="121" t="n"/>
      <s:c r="E26004" s="122" t="n"/>
    </s:row>
    <s:row r="26005" hidden="1" ht="1" customHeight="1">
      <s:c r="A26005" s="120" t="inlineStr"/>
      <s:c r="B26005" s="121" t="n"/>
      <s:c r="C26005" s="121" t="n"/>
      <s:c r="D26005" s="121" t="n"/>
      <s:c r="E26005" s="122" t="n"/>
    </s:row>
    <s:row r="26006" hidden="1" ht="1" customHeight="1">
      <s:c r="A26006" s="120" t="inlineStr"/>
      <s:c r="B26006" s="121" t="n"/>
      <s:c r="C26006" s="121" t="n"/>
      <s:c r="D26006" s="121" t="n"/>
      <s:c r="E26006" s="122" t="n"/>
    </s:row>
    <s:row r="26007" hidden="1" ht="1" customHeight="1">
      <s:c r="A26007" s="120" t="inlineStr"/>
      <s:c r="B26007" s="121" t="n"/>
      <s:c r="C26007" s="121" t="n"/>
      <s:c r="D26007" s="121" t="n"/>
      <s:c r="E26007" s="122" t="n"/>
    </s:row>
    <s:row r="26008" hidden="1" ht="1" customHeight="1">
      <s:c r="A26008" s="120" t="inlineStr"/>
      <s:c r="B26008" s="121" t="n"/>
      <s:c r="C26008" s="121" t="n"/>
      <s:c r="D26008" s="121" t="n"/>
      <s:c r="E26008" s="122" t="n"/>
    </s:row>
    <s:row r="26009" hidden="1" ht="1" customHeight="1">
      <s:c r="A26009" s="120" t="inlineStr"/>
      <s:c r="B26009" s="121" t="n"/>
      <s:c r="C26009" s="121" t="n"/>
      <s:c r="D26009" s="121" t="n"/>
      <s:c r="E26009" s="122" t="n"/>
    </s:row>
    <s:row r="26010" hidden="1" ht="1" customHeight="1">
      <s:c r="A26010" s="120" t="inlineStr"/>
      <s:c r="B26010" s="121" t="n"/>
      <s:c r="C26010" s="121" t="n"/>
      <s:c r="D26010" s="121" t="n"/>
      <s:c r="E26010" s="122" t="n"/>
    </s:row>
    <s:row r="26011" hidden="1" ht="1" customHeight="1">
      <s:c r="A26011" s="120" t="inlineStr"/>
      <s:c r="B26011" s="121" t="n"/>
      <s:c r="C26011" s="121" t="n"/>
      <s:c r="D26011" s="121" t="n"/>
      <s:c r="E26011" s="122" t="n"/>
    </s:row>
    <s:row r="26012" hidden="1" ht="1" customHeight="1">
      <s:c r="A26012" s="120" t="inlineStr"/>
      <s:c r="B26012" s="121" t="n"/>
      <s:c r="C26012" s="121" t="n"/>
      <s:c r="D26012" s="121" t="n"/>
      <s:c r="E26012" s="122" t="n"/>
    </s:row>
    <s:row r="26013" hidden="1" ht="1" customHeight="1">
      <s:c r="A26013" s="120" t="inlineStr"/>
      <s:c r="B26013" s="121" t="n"/>
      <s:c r="C26013" s="121" t="n"/>
      <s:c r="D26013" s="121" t="n"/>
      <s:c r="E26013" s="122" t="n"/>
    </s:row>
    <s:row r="26014" hidden="1" ht="1" customHeight="1">
      <s:c r="A26014" s="120" t="inlineStr"/>
      <s:c r="B26014" s="121" t="n"/>
      <s:c r="C26014" s="121" t="n"/>
      <s:c r="D26014" s="121" t="n"/>
      <s:c r="E26014" s="122" t="n"/>
    </s:row>
    <s:row r="26015" hidden="1" ht="1" customHeight="1">
      <s:c r="A26015" s="120" t="inlineStr"/>
      <s:c r="B26015" s="121" t="n"/>
      <s:c r="C26015" s="121" t="n"/>
      <s:c r="D26015" s="121" t="n"/>
      <s:c r="E26015" s="122" t="n"/>
    </s:row>
    <s:row r="26016" hidden="1" ht="1" customHeight="1">
      <s:c r="A26016" s="120" t="inlineStr"/>
      <s:c r="B26016" s="121" t="n"/>
      <s:c r="C26016" s="121" t="n"/>
      <s:c r="D26016" s="121" t="n"/>
      <s:c r="E26016" s="122" t="n"/>
    </s:row>
    <s:row r="26017" hidden="1" ht="1" customHeight="1">
      <s:c r="A26017" s="120" t="inlineStr"/>
      <s:c r="B26017" s="121" t="n"/>
      <s:c r="C26017" s="121" t="n"/>
      <s:c r="D26017" s="121" t="n"/>
      <s:c r="E26017" s="122" t="n"/>
    </s:row>
    <s:row r="26018" hidden="1" ht="1" customHeight="1">
      <s:c r="A26018" s="120" t="inlineStr"/>
      <s:c r="B26018" s="121" t="n"/>
      <s:c r="C26018" s="121" t="n"/>
      <s:c r="D26018" s="121" t="n"/>
      <s:c r="E26018" s="122" t="n"/>
    </s:row>
    <s:row r="26019" hidden="1" ht="1" customHeight="1">
      <s:c r="A26019" s="120" t="inlineStr"/>
      <s:c r="B26019" s="121" t="n"/>
      <s:c r="C26019" s="121" t="n"/>
      <s:c r="D26019" s="121" t="n"/>
      <s:c r="E26019" s="122" t="n"/>
    </s:row>
    <s:row r="26020" hidden="1" ht="1" customHeight="1">
      <s:c r="A26020" s="120" t="inlineStr"/>
      <s:c r="B26020" s="121" t="n"/>
      <s:c r="C26020" s="121" t="n"/>
      <s:c r="D26020" s="121" t="n"/>
      <s:c r="E26020" s="122" t="n"/>
    </s:row>
    <s:row r="26021" hidden="1" ht="1" customHeight="1">
      <s:c r="A26021" s="120" t="inlineStr"/>
      <s:c r="B26021" s="121" t="n"/>
      <s:c r="C26021" s="121" t="n"/>
      <s:c r="D26021" s="121" t="n"/>
      <s:c r="E26021" s="122" t="n"/>
    </s:row>
    <s:row r="26022" hidden="1" ht="1" customHeight="1">
      <s:c r="A26022" s="120" t="inlineStr"/>
      <s:c r="B26022" s="121" t="n"/>
      <s:c r="C26022" s="121" t="n"/>
      <s:c r="D26022" s="121" t="n"/>
      <s:c r="E26022" s="122" t="n"/>
    </s:row>
    <s:row r="26023" hidden="1" ht="1" customHeight="1">
      <s:c r="A26023" s="120" t="inlineStr"/>
      <s:c r="B26023" s="121" t="n"/>
      <s:c r="C26023" s="121" t="n"/>
      <s:c r="D26023" s="121" t="n"/>
      <s:c r="E26023" s="122" t="n"/>
    </s:row>
    <s:row r="26024" hidden="1" ht="1" customHeight="1">
      <s:c r="A26024" s="120" t="inlineStr"/>
      <s:c r="B26024" s="121" t="n"/>
      <s:c r="C26024" s="121" t="n"/>
      <s:c r="D26024" s="121" t="n"/>
      <s:c r="E26024" s="122" t="n"/>
    </s:row>
    <s:row r="26025" hidden="1" ht="1" customHeight="1">
      <s:c r="A26025" s="120" t="inlineStr"/>
      <s:c r="B26025" s="121" t="n"/>
      <s:c r="C26025" s="121" t="n"/>
      <s:c r="D26025" s="121" t="n"/>
      <s:c r="E26025" s="122" t="n"/>
    </s:row>
    <s:row r="26026" hidden="1" ht="1" customHeight="1">
      <s:c r="A26026" s="120" t="inlineStr"/>
      <s:c r="B26026" s="121" t="n"/>
      <s:c r="C26026" s="121" t="n"/>
      <s:c r="D26026" s="121" t="n"/>
      <s:c r="E26026" s="122" t="n"/>
    </s:row>
    <s:row r="26027" hidden="1" ht="1" customHeight="1">
      <s:c r="A26027" s="120" t="inlineStr"/>
      <s:c r="B26027" s="121" t="n"/>
      <s:c r="C26027" s="121" t="n"/>
      <s:c r="D26027" s="121" t="n"/>
      <s:c r="E26027" s="122" t="n"/>
    </s:row>
    <s:row r="26028" hidden="1" ht="1" customHeight="1">
      <s:c r="A26028" s="120" t="inlineStr"/>
      <s:c r="B26028" s="121" t="n"/>
      <s:c r="C26028" s="121" t="n"/>
      <s:c r="D26028" s="121" t="n"/>
      <s:c r="E26028" s="122" t="n"/>
    </s:row>
    <s:row r="26029" hidden="1" ht="1" customHeight="1">
      <s:c r="A26029" s="120" t="inlineStr"/>
      <s:c r="B26029" s="121" t="n"/>
      <s:c r="C26029" s="121" t="n"/>
      <s:c r="D26029" s="121" t="n"/>
      <s:c r="E26029" s="122" t="n"/>
    </s:row>
    <s:row r="26030" hidden="1" ht="1" customHeight="1">
      <s:c r="A26030" s="120" t="inlineStr"/>
      <s:c r="B26030" s="121" t="n"/>
      <s:c r="C26030" s="121" t="n"/>
      <s:c r="D26030" s="121" t="n"/>
      <s:c r="E26030" s="122" t="n"/>
    </s:row>
    <s:row r="26031" hidden="1" ht="1" customHeight="1">
      <s:c r="A26031" s="120" t="inlineStr"/>
      <s:c r="B26031" s="121" t="n"/>
      <s:c r="C26031" s="121" t="n"/>
      <s:c r="D26031" s="121" t="n"/>
      <s:c r="E26031" s="122" t="n"/>
    </s:row>
    <s:row r="26032" hidden="1" ht="1" customHeight="1">
      <s:c r="A26032" s="120" t="inlineStr"/>
      <s:c r="B26032" s="121" t="n"/>
      <s:c r="C26032" s="121" t="n"/>
      <s:c r="D26032" s="121" t="n"/>
      <s:c r="E26032" s="122" t="n"/>
    </s:row>
    <s:row r="26033" hidden="1" ht="1" customHeight="1">
      <s:c r="A26033" s="120" t="inlineStr"/>
      <s:c r="B26033" s="121" t="n"/>
      <s:c r="C26033" s="121" t="n"/>
      <s:c r="D26033" s="121" t="n"/>
      <s:c r="E26033" s="122" t="n"/>
    </s:row>
    <s:row r="26034" hidden="1" ht="1" customHeight="1">
      <s:c r="A26034" s="120" t="inlineStr"/>
      <s:c r="B26034" s="121" t="n"/>
      <s:c r="C26034" s="121" t="n"/>
      <s:c r="D26034" s="121" t="n"/>
      <s:c r="E26034" s="122" t="n"/>
    </s:row>
    <s:row r="26035" hidden="1" ht="1" customHeight="1">
      <s:c r="A26035" s="120" t="inlineStr"/>
      <s:c r="B26035" s="121" t="n"/>
      <s:c r="C26035" s="121" t="n"/>
      <s:c r="D26035" s="121" t="n"/>
      <s:c r="E26035" s="122" t="n"/>
    </s:row>
    <s:row r="26036" hidden="1" ht="1" customHeight="1">
      <s:c r="A26036" s="120" t="inlineStr"/>
      <s:c r="B26036" s="121" t="n"/>
      <s:c r="C26036" s="121" t="n"/>
      <s:c r="D26036" s="121" t="n"/>
      <s:c r="E26036" s="122" t="n"/>
    </s:row>
    <s:row r="26037" hidden="1" ht="1" customHeight="1">
      <s:c r="A26037" s="120" t="inlineStr"/>
      <s:c r="B26037" s="121" t="n"/>
      <s:c r="C26037" s="121" t="n"/>
      <s:c r="D26037" s="121" t="n"/>
      <s:c r="E26037" s="122" t="n"/>
    </s:row>
    <s:row r="26038" hidden="1" ht="1" customHeight="1">
      <s:c r="A26038" s="120" t="inlineStr"/>
      <s:c r="B26038" s="121" t="n"/>
      <s:c r="C26038" s="121" t="n"/>
      <s:c r="D26038" s="121" t="n"/>
      <s:c r="E26038" s="122" t="n"/>
    </s:row>
    <s:row r="26039" hidden="1" ht="1" customHeight="1">
      <s:c r="A26039" s="120" t="inlineStr"/>
      <s:c r="B26039" s="121" t="n"/>
      <s:c r="C26039" s="121" t="n"/>
      <s:c r="D26039" s="121" t="n"/>
      <s:c r="E26039" s="122" t="n"/>
    </s:row>
    <s:row r="26040" hidden="1" ht="1" customHeight="1">
      <s:c r="A26040" s="120" t="inlineStr"/>
      <s:c r="B26040" s="121" t="n"/>
      <s:c r="C26040" s="121" t="n"/>
      <s:c r="D26040" s="121" t="n"/>
      <s:c r="E26040" s="122" t="n"/>
    </s:row>
    <s:row r="26041" hidden="1" ht="1" customHeight="1">
      <s:c r="A26041" s="120" t="inlineStr"/>
      <s:c r="B26041" s="121" t="n"/>
      <s:c r="C26041" s="121" t="n"/>
      <s:c r="D26041" s="121" t="n"/>
      <s:c r="E26041" s="122" t="n"/>
    </s:row>
    <s:row r="26042" hidden="1" ht="1" customHeight="1">
      <s:c r="A26042" s="120" t="inlineStr"/>
      <s:c r="B26042" s="121" t="n"/>
      <s:c r="C26042" s="121" t="n"/>
      <s:c r="D26042" s="121" t="n"/>
      <s:c r="E26042" s="122" t="n"/>
    </s:row>
    <s:row r="26043" hidden="1" ht="1" customHeight="1">
      <s:c r="A26043" s="120" t="inlineStr"/>
      <s:c r="B26043" s="121" t="n"/>
      <s:c r="C26043" s="121" t="n"/>
      <s:c r="D26043" s="121" t="n"/>
      <s:c r="E26043" s="122" t="n"/>
    </s:row>
    <s:row r="26044" hidden="1" ht="1" customHeight="1">
      <s:c r="A26044" s="120" t="inlineStr"/>
      <s:c r="B26044" s="121" t="n"/>
      <s:c r="C26044" s="121" t="n"/>
      <s:c r="D26044" s="121" t="n"/>
      <s:c r="E26044" s="122" t="n"/>
    </s:row>
    <s:row r="26045" hidden="1" ht="1" customHeight="1">
      <s:c r="A26045" s="120" t="inlineStr"/>
      <s:c r="B26045" s="121" t="n"/>
      <s:c r="C26045" s="121" t="n"/>
      <s:c r="D26045" s="121" t="n"/>
      <s:c r="E26045" s="122" t="n"/>
    </s:row>
    <s:row r="26046" hidden="1" ht="1" customHeight="1">
      <s:c r="A26046" s="120" t="inlineStr"/>
      <s:c r="B26046" s="121" t="n"/>
      <s:c r="C26046" s="121" t="n"/>
      <s:c r="D26046" s="121" t="n"/>
      <s:c r="E26046" s="122" t="n"/>
    </s:row>
    <s:row r="26047" hidden="1" ht="1" customHeight="1">
      <s:c r="A26047" s="120" t="inlineStr"/>
      <s:c r="B26047" s="121" t="n"/>
      <s:c r="C26047" s="121" t="n"/>
      <s:c r="D26047" s="121" t="n"/>
      <s:c r="E26047" s="122" t="n"/>
    </s:row>
    <s:row r="26048" hidden="1" ht="1" customHeight="1">
      <s:c r="A26048" s="120" t="inlineStr"/>
      <s:c r="B26048" s="121" t="n"/>
      <s:c r="C26048" s="121" t="n"/>
      <s:c r="D26048" s="121" t="n"/>
      <s:c r="E26048" s="122" t="n"/>
    </s:row>
    <s:row r="26049" hidden="1" ht="1" customHeight="1">
      <s:c r="A26049" s="120" t="inlineStr"/>
      <s:c r="B26049" s="121" t="n"/>
      <s:c r="C26049" s="121" t="n"/>
      <s:c r="D26049" s="121" t="n"/>
      <s:c r="E26049" s="122" t="n"/>
    </s:row>
    <s:row r="26050" hidden="1" ht="1" customHeight="1">
      <s:c r="A26050" s="120" t="inlineStr"/>
      <s:c r="B26050" s="121" t="n"/>
      <s:c r="C26050" s="121" t="n"/>
      <s:c r="D26050" s="121" t="n"/>
      <s:c r="E26050" s="122" t="n"/>
    </s:row>
    <s:row r="26051" hidden="1" ht="1" customHeight="1">
      <s:c r="A26051" s="120" t="inlineStr"/>
      <s:c r="B26051" s="121" t="n"/>
      <s:c r="C26051" s="121" t="n"/>
      <s:c r="D26051" s="121" t="n"/>
      <s:c r="E26051" s="122" t="n"/>
    </s:row>
    <s:row r="26052" hidden="1" ht="1" customHeight="1">
      <s:c r="A26052" s="120" t="inlineStr"/>
      <s:c r="B26052" s="121" t="n"/>
      <s:c r="C26052" s="121" t="n"/>
      <s:c r="D26052" s="121" t="n"/>
      <s:c r="E26052" s="122" t="n"/>
    </s:row>
    <s:row r="26053" hidden="1" ht="1" customHeight="1">
      <s:c r="A26053" s="120" t="inlineStr"/>
      <s:c r="B26053" s="121" t="n"/>
      <s:c r="C26053" s="121" t="n"/>
      <s:c r="D26053" s="121" t="n"/>
      <s:c r="E26053" s="122" t="n"/>
    </s:row>
    <s:row r="26054" hidden="1" ht="1" customHeight="1">
      <s:c r="A26054" s="120" t="inlineStr"/>
      <s:c r="B26054" s="121" t="n"/>
      <s:c r="C26054" s="121" t="n"/>
      <s:c r="D26054" s="121" t="n"/>
      <s:c r="E26054" s="122" t="n"/>
    </s:row>
    <s:row r="26055" hidden="1" ht="1" customHeight="1">
      <s:c r="A26055" s="120" t="inlineStr"/>
      <s:c r="B26055" s="121" t="n"/>
      <s:c r="C26055" s="121" t="n"/>
      <s:c r="D26055" s="121" t="n"/>
      <s:c r="E26055" s="122" t="n"/>
    </s:row>
    <s:row r="26056" hidden="1" ht="1" customHeight="1">
      <s:c r="A26056" s="120" t="inlineStr"/>
      <s:c r="B26056" s="121" t="n"/>
      <s:c r="C26056" s="121" t="n"/>
      <s:c r="D26056" s="121" t="n"/>
      <s:c r="E26056" s="122" t="n"/>
    </s:row>
    <s:row r="26057" hidden="1" ht="1" customHeight="1">
      <s:c r="A26057" s="120" t="inlineStr"/>
      <s:c r="B26057" s="121" t="n"/>
      <s:c r="C26057" s="121" t="n"/>
      <s:c r="D26057" s="121" t="n"/>
      <s:c r="E26057" s="122" t="n"/>
    </s:row>
    <s:row r="26058" hidden="1" ht="1" customHeight="1">
      <s:c r="A26058" s="120" t="inlineStr"/>
      <s:c r="B26058" s="121" t="n"/>
      <s:c r="C26058" s="121" t="n"/>
      <s:c r="D26058" s="121" t="n"/>
      <s:c r="E26058" s="122" t="n"/>
    </s:row>
    <s:row r="26059" hidden="1" ht="1" customHeight="1">
      <s:c r="A26059" s="120" t="inlineStr"/>
      <s:c r="B26059" s="121" t="n"/>
      <s:c r="C26059" s="121" t="n"/>
      <s:c r="D26059" s="121" t="n"/>
      <s:c r="E26059" s="122" t="n"/>
    </s:row>
    <s:row r="26060" hidden="1" ht="1" customHeight="1">
      <s:c r="A26060" s="120" t="inlineStr"/>
      <s:c r="B26060" s="121" t="n"/>
      <s:c r="C26060" s="121" t="n"/>
      <s:c r="D26060" s="121" t="n"/>
      <s:c r="E26060" s="122" t="n"/>
    </s:row>
    <s:row r="26061" hidden="1" ht="1" customHeight="1">
      <s:c r="A26061" s="120" t="inlineStr"/>
      <s:c r="B26061" s="121" t="n"/>
      <s:c r="C26061" s="121" t="n"/>
      <s:c r="D26061" s="121" t="n"/>
      <s:c r="E26061" s="122" t="n"/>
    </s:row>
    <s:row r="26062" hidden="1" ht="1" customHeight="1">
      <s:c r="A26062" s="120" t="inlineStr"/>
      <s:c r="B26062" s="121" t="n"/>
      <s:c r="C26062" s="121" t="n"/>
      <s:c r="D26062" s="121" t="n"/>
      <s:c r="E26062" s="122" t="n"/>
    </s:row>
    <s:row r="26063" hidden="1" ht="1" customHeight="1">
      <s:c r="A26063" s="120" t="inlineStr"/>
      <s:c r="B26063" s="121" t="n"/>
      <s:c r="C26063" s="121" t="n"/>
      <s:c r="D26063" s="121" t="n"/>
      <s:c r="E26063" s="122" t="n"/>
    </s:row>
    <s:row r="26064" hidden="1" ht="1" customHeight="1">
      <s:c r="A26064" s="120" t="inlineStr"/>
      <s:c r="B26064" s="121" t="n"/>
      <s:c r="C26064" s="121" t="n"/>
      <s:c r="D26064" s="121" t="n"/>
      <s:c r="E26064" s="122" t="n"/>
    </s:row>
    <s:row r="26065" hidden="1" ht="1" customHeight="1">
      <s:c r="A26065" s="120" t="inlineStr"/>
      <s:c r="B26065" s="121" t="n"/>
      <s:c r="C26065" s="121" t="n"/>
      <s:c r="D26065" s="121" t="n"/>
      <s:c r="E26065" s="122" t="n"/>
    </s:row>
    <s:row r="26066" hidden="1" ht="1" customHeight="1">
      <s:c r="A26066" s="120" t="inlineStr"/>
      <s:c r="B26066" s="121" t="n"/>
      <s:c r="C26066" s="121" t="n"/>
      <s:c r="D26066" s="121" t="n"/>
      <s:c r="E26066" s="122" t="n"/>
    </s:row>
    <s:row r="26067" hidden="1" ht="1" customHeight="1">
      <s:c r="A26067" s="120" t="inlineStr"/>
      <s:c r="B26067" s="121" t="n"/>
      <s:c r="C26067" s="121" t="n"/>
      <s:c r="D26067" s="121" t="n"/>
      <s:c r="E26067" s="122" t="n"/>
    </s:row>
    <s:row r="26068" hidden="1" ht="1" customHeight="1">
      <s:c r="A26068" s="120" t="inlineStr"/>
      <s:c r="B26068" s="121" t="n"/>
      <s:c r="C26068" s="121" t="n"/>
      <s:c r="D26068" s="121" t="n"/>
      <s:c r="E26068" s="122" t="n"/>
    </s:row>
    <s:row r="26069" hidden="1" ht="1" customHeight="1">
      <s:c r="A26069" s="120" t="inlineStr"/>
      <s:c r="B26069" s="121" t="n"/>
      <s:c r="C26069" s="121" t="n"/>
      <s:c r="D26069" s="121" t="n"/>
      <s:c r="E26069" s="122" t="n"/>
    </s:row>
    <s:row r="26070" hidden="1" ht="1" customHeight="1">
      <s:c r="A26070" s="120" t="inlineStr"/>
      <s:c r="B26070" s="121" t="n"/>
      <s:c r="C26070" s="121" t="n"/>
      <s:c r="D26070" s="121" t="n"/>
      <s:c r="E26070" s="122" t="n"/>
    </s:row>
    <s:row r="26071" hidden="1" ht="1" customHeight="1">
      <s:c r="A26071" s="120" t="inlineStr"/>
      <s:c r="B26071" s="121" t="n"/>
      <s:c r="C26071" s="121" t="n"/>
      <s:c r="D26071" s="121" t="n"/>
      <s:c r="E26071" s="122" t="n"/>
    </s:row>
    <s:row r="26072" hidden="1" ht="1" customHeight="1">
      <s:c r="A26072" s="120" t="inlineStr"/>
      <s:c r="B26072" s="121" t="n"/>
      <s:c r="C26072" s="121" t="n"/>
      <s:c r="D26072" s="121" t="n"/>
      <s:c r="E26072" s="122" t="n"/>
    </s:row>
    <s:row r="26073" hidden="1" ht="1" customHeight="1">
      <s:c r="A26073" s="120" t="inlineStr"/>
      <s:c r="B26073" s="121" t="n"/>
      <s:c r="C26073" s="121" t="n"/>
      <s:c r="D26073" s="121" t="n"/>
      <s:c r="E26073" s="122" t="n"/>
    </s:row>
    <s:row r="26074" hidden="1" ht="1" customHeight="1">
      <s:c r="A26074" s="120" t="inlineStr"/>
      <s:c r="B26074" s="121" t="n"/>
      <s:c r="C26074" s="121" t="n"/>
      <s:c r="D26074" s="121" t="n"/>
      <s:c r="E26074" s="122" t="n"/>
    </s:row>
    <s:row r="26075" hidden="1" ht="1" customHeight="1">
      <s:c r="A26075" s="120" t="inlineStr"/>
      <s:c r="B26075" s="121" t="n"/>
      <s:c r="C26075" s="121" t="n"/>
      <s:c r="D26075" s="121" t="n"/>
      <s:c r="E26075" s="122" t="n"/>
    </s:row>
    <s:row r="26076" hidden="1" ht="1" customHeight="1">
      <s:c r="A26076" s="120" t="inlineStr"/>
      <s:c r="B26076" s="121" t="n"/>
      <s:c r="C26076" s="121" t="n"/>
      <s:c r="D26076" s="121" t="n"/>
      <s:c r="E26076" s="122" t="n"/>
    </s:row>
    <s:row r="26077" hidden="1" ht="1" customHeight="1">
      <s:c r="A26077" s="120" t="inlineStr"/>
      <s:c r="B26077" s="121" t="n"/>
      <s:c r="C26077" s="121" t="n"/>
      <s:c r="D26077" s="121" t="n"/>
      <s:c r="E26077" s="122" t="n"/>
    </s:row>
    <s:row r="26078" hidden="1" ht="1" customHeight="1">
      <s:c r="A26078" s="120" t="inlineStr"/>
      <s:c r="B26078" s="121" t="n"/>
      <s:c r="C26078" s="121" t="n"/>
      <s:c r="D26078" s="121" t="n"/>
      <s:c r="E26078" s="122" t="n"/>
    </s:row>
    <s:row r="26079" hidden="1" ht="1" customHeight="1">
      <s:c r="A26079" s="120" t="inlineStr"/>
      <s:c r="B26079" s="121" t="n"/>
      <s:c r="C26079" s="121" t="n"/>
      <s:c r="D26079" s="121" t="n"/>
      <s:c r="E26079" s="122" t="n"/>
    </s:row>
    <s:row r="26080" hidden="1" ht="1" customHeight="1">
      <s:c r="A26080" s="120" t="inlineStr"/>
      <s:c r="B26080" s="121" t="n"/>
      <s:c r="C26080" s="121" t="n"/>
      <s:c r="D26080" s="121" t="n"/>
      <s:c r="E26080" s="122" t="n"/>
    </s:row>
    <s:row r="26081" hidden="1" ht="1" customHeight="1">
      <s:c r="A26081" s="120" t="inlineStr"/>
      <s:c r="B26081" s="121" t="n"/>
      <s:c r="C26081" s="121" t="n"/>
      <s:c r="D26081" s="121" t="n"/>
      <s:c r="E26081" s="122" t="n"/>
    </s:row>
    <s:row r="26082" hidden="1" ht="1" customHeight="1">
      <s:c r="A26082" s="120" t="inlineStr"/>
      <s:c r="B26082" s="121" t="n"/>
      <s:c r="C26082" s="121" t="n"/>
      <s:c r="D26082" s="121" t="n"/>
      <s:c r="E26082" s="122" t="n"/>
    </s:row>
    <s:row r="26083" hidden="1" ht="1" customHeight="1">
      <s:c r="A26083" s="120" t="inlineStr"/>
      <s:c r="B26083" s="121" t="n"/>
      <s:c r="C26083" s="121" t="n"/>
      <s:c r="D26083" s="121" t="n"/>
      <s:c r="E26083" s="122" t="n"/>
    </s:row>
    <s:row r="26084" hidden="1" ht="1" customHeight="1">
      <s:c r="A26084" s="120" t="inlineStr"/>
      <s:c r="B26084" s="121" t="n"/>
      <s:c r="C26084" s="121" t="n"/>
      <s:c r="D26084" s="121" t="n"/>
      <s:c r="E26084" s="122" t="n"/>
    </s:row>
    <s:row r="26085" hidden="1" ht="1" customHeight="1">
      <s:c r="A26085" s="120" t="inlineStr"/>
      <s:c r="B26085" s="121" t="n"/>
      <s:c r="C26085" s="121" t="n"/>
      <s:c r="D26085" s="121" t="n"/>
      <s:c r="E26085" s="122" t="n"/>
    </s:row>
    <s:row r="26086" hidden="1" ht="1" customHeight="1">
      <s:c r="A26086" s="120" t="inlineStr"/>
      <s:c r="B26086" s="121" t="n"/>
      <s:c r="C26086" s="121" t="n"/>
      <s:c r="D26086" s="121" t="n"/>
      <s:c r="E26086" s="122" t="n"/>
    </s:row>
    <s:row r="26087" hidden="1" ht="1" customHeight="1">
      <s:c r="A26087" s="120" t="inlineStr"/>
      <s:c r="B26087" s="121" t="n"/>
      <s:c r="C26087" s="121" t="n"/>
      <s:c r="D26087" s="121" t="n"/>
      <s:c r="E26087" s="122" t="n"/>
    </s:row>
    <s:row r="26088" hidden="1" ht="1" customHeight="1">
      <s:c r="A26088" s="120" t="inlineStr"/>
      <s:c r="B26088" s="121" t="n"/>
      <s:c r="C26088" s="121" t="n"/>
      <s:c r="D26088" s="121" t="n"/>
      <s:c r="E26088" s="122" t="n"/>
    </s:row>
    <s:row r="26089" hidden="1" ht="1" customHeight="1">
      <s:c r="A26089" s="120" t="inlineStr"/>
      <s:c r="B26089" s="121" t="n"/>
      <s:c r="C26089" s="121" t="n"/>
      <s:c r="D26089" s="121" t="n"/>
      <s:c r="E26089" s="122" t="n"/>
    </s:row>
    <s:row r="26090" hidden="1" ht="1" customHeight="1">
      <s:c r="A26090" s="120" t="inlineStr"/>
      <s:c r="B26090" s="121" t="n"/>
      <s:c r="C26090" s="121" t="n"/>
      <s:c r="D26090" s="121" t="n"/>
      <s:c r="E26090" s="122" t="n"/>
    </s:row>
    <s:row r="26091" hidden="1" ht="1" customHeight="1">
      <s:c r="A26091" s="120" t="inlineStr"/>
      <s:c r="B26091" s="121" t="n"/>
      <s:c r="C26091" s="121" t="n"/>
      <s:c r="D26091" s="121" t="n"/>
      <s:c r="E26091" s="122" t="n"/>
    </s:row>
    <s:row r="26092" hidden="1" ht="1" customHeight="1">
      <s:c r="A26092" s="120" t="inlineStr"/>
      <s:c r="B26092" s="121" t="n"/>
      <s:c r="C26092" s="121" t="n"/>
      <s:c r="D26092" s="121" t="n"/>
      <s:c r="E26092" s="122" t="n"/>
    </s:row>
    <s:row r="26093" hidden="1" ht="1" customHeight="1">
      <s:c r="A26093" s="120" t="inlineStr"/>
      <s:c r="B26093" s="121" t="n"/>
      <s:c r="C26093" s="121" t="n"/>
      <s:c r="D26093" s="121" t="n"/>
      <s:c r="E26093" s="122" t="n"/>
    </s:row>
    <s:row r="26094" hidden="1" ht="1" customHeight="1">
      <s:c r="A26094" s="83" t="inlineStr">
        <s:is>
          <s:t>PASS</s:t>
        </s:is>
      </s:c>
      <s:c r="B26094" s="83">
        <s:f>SUM(IF(EXACT('Kiểm thử'!E25694,"Đạt"),1,0),IF(EXACT('Kiểm thử'!E25696,"Đạt"),1,0),IF(EXACT('Kiểm thử'!E25698,"Đạt"),1,0),IF(EXACT('Kiểm thử'!E25700,"Đạt"),1,0),IF(EXACT('Kiểm thử'!E25702,"Đạt"),1,0),IF(EXACT('Kiểm thử'!E25704,"Đạt"),1,0),IF(EXACT('Kiểm thử'!E25706,"Đạt"),1,0),IF(EXACT('Kiểm thử'!E25708,"Đạt"),1,0))</s:f>
        <s:v/>
      </s:c>
      <s:c r="C26094" s="19" t="n"/>
      <s:c r="D26094" s="19" t="n"/>
      <s:c r="E26094" s="19" t="n"/>
    </s:row>
    <s:row r="26095" hidden="1" ht="1" customHeight="1">
      <s:c r="A26095" s="83" t="inlineStr">
        <s:is>
          <s:t>FAIL</s:t>
        </s:is>
      </s:c>
      <s:c r="B26095" s="83">
        <s:f>SUM(IF(EXACT('Kiểm thử'!E25694,"Không đạt"),1,0),IF(EXACT('Kiểm thử'!E25696,"Không đạt"),1,0),IF(EXACT('Kiểm thử'!E25698,"Không đạt"),1,0),IF(EXACT('Kiểm thử'!E25700,"Không đạt"),1,0),IF(EXACT('Kiểm thử'!E25702,"Không đạt"),1,0),IF(EXACT('Kiểm thử'!E25704,"Không đạt"),1,0),IF(EXACT('Kiểm thử'!E25706,"Không đạt"),1,0),IF(EXACT('Kiểm thử'!E25708,"Không đạt"),1,0))</s:f>
        <s:v/>
      </s:c>
      <s:c r="C26095" s="19" t="n"/>
      <s:c r="D26095" s="19" t="n"/>
      <s:c r="E26095" s="19" t="n"/>
    </s:row>
    <s:row r="26096" hidden="1" ht="1" customHeight="1">
      <s:c r="A26096" s="83" t="inlineStr">
        <s:is>
          <s:t>BLOCKED</s:t>
        </s:is>
      </s:c>
      <s:c r="B26096" s="83">
        <s:f>SUM(IF(EXACT('Kiểm thử'!E25694,"Bị chặn"),1,0),IF(EXACT('Kiểm thử'!E25696,"Bị chặn"),1,0),IF(EXACT('Kiểm thử'!E25698,"Bị chặn"),1,0),IF(EXACT('Kiểm thử'!E25700,"Bị chặn"),1,0),IF(EXACT('Kiểm thử'!E25702,"Bị chặn"),1,0),IF(EXACT('Kiểm thử'!E25704,"Bị chặn"),1,0),IF(EXACT('Kiểm thử'!E25706,"Bị chặn"),1,0),IF(EXACT('Kiểm thử'!E25708,"Bị chặn"),1,0))</s:f>
        <s:v/>
      </s:c>
      <s:c r="C26096" s="19" t="n"/>
      <s:c r="D26096" s="19" t="n"/>
      <s:c r="E26096" s="19" t="n"/>
    </s:row>
    <s:row r="26097" hidden="1" ht="1" customHeight="1">
      <s:c r="A26097" s="83" t="inlineStr">
        <s:is>
          <s:t>SKIPPED</s:t>
        </s:is>
      </s:c>
      <s:c r="B26097" s="83">
        <s:f>SUM(IF(EXACT('Kiểm thử'!E25694,"Không thực hiện"),1,0),IF(EXACT('Kiểm thử'!E25696,"Không thực hiện"),1,0),IF(EXACT('Kiểm thử'!E25698,"Không thực hiện"),1,0),IF(EXACT('Kiểm thử'!E25700,"Không thực hiện"),1,0),IF(EXACT('Kiểm thử'!E25702,"Không thực hiện"),1,0),IF(EXACT('Kiểm thử'!E25704,"Không thực hiện"),1,0),IF(EXACT('Kiểm thử'!E25706,"Không thực hiện"),1,0),IF(EXACT('Kiểm thử'!E25708,"Không thực hiện"),1,0))</s:f>
        <s:v/>
      </s:c>
      <s:c r="C26097" s="19" t="n"/>
      <s:c r="D26097" s="19" t="n"/>
      <s:c r="E26097" s="19" t="n"/>
    </s:row>
    <s:row r="26098" hidden="1" ht="1" customHeight="1">
      <s:c r="A26098" s="83" t="inlineStr">
        <s:is>
          <s:t>NOT RUN</s:t>
        </s:is>
      </s:c>
      <s:c r="B26098" s="83">
        <s:f>SUM(IF(EXACT('Kiểm thử'!E25694,"Chưa thực hiện"),1,0),IF(EXACT('Kiểm thử'!E25696,"Chưa thực hiện"),1,0),IF(EXACT('Kiểm thử'!E25698,"Chưa thực hiện"),1,0),IF(EXACT('Kiểm thử'!E25700,"Chưa thực hiện"),1,0),IF(EXACT('Kiểm thử'!E25702,"Chưa thực hiện"),1,0),IF(EXACT('Kiểm thử'!E25704,"Chưa thực hiện"),1,0),IF(EXACT('Kiểm thử'!E25706,"Chưa thực hiện"),1,0),IF(EXACT('Kiểm thử'!E25708,"Chưa thực hiện"),1,0))</s:f>
        <s:v/>
      </s:c>
      <s:c r="C26098" s="19" t="n"/>
      <s:c r="D26098" s="19" t="n"/>
      <s:c r="E26098" s="19" t="n"/>
    </s:row>
    <s:row r="26099" hidden="1" ht="6" customHeight="1">
      <s:c r="A26099" s="83" t="inlineStr"/>
      <s:c r="B26099" s="19" t="n"/>
      <s:c r="C26099" s="19" t="n"/>
      <s:c r="D26099" s="19" t="n"/>
      <s:c r="E26099" s="19" t="n"/>
    </s:row>
    <s:row r="26100" ht="28" customHeight="1">
      <s:c r="A26100" s="108" t="inlineStr">
        <s:is>
          <s:t>TC-RS-CALC-008 — Ví dụ đặc tả v2: M=75, N=30, S=22.2</s:t>
        </s:is>
      </s:c>
      <s:c r="B26100" s="111" t="n"/>
      <s:c r="C26100" s="111" t="n"/>
      <s:c r="D26100" s="111" t="n"/>
      <s:c r="E26100" s="111" t="n"/>
    </s:row>
    <s:row r="26101" ht="20" customHeight="1">
      <s:c r="A26101" s="112" t="inlineStr">
        <s:is>
          <s:t>Kết quả tình huống</s:t>
        </s:is>
      </s:c>
      <s:c r="B26101" s="113">
        <s:f>IF(SUM(IF(EXACT('Kiểm thử'!E26108,"Không đạt"),1,0),IF(EXACT('Kiểm thử'!E26110,"Không đạt"),1,0))&gt;0,"Không đạt",IF(SUM(IF(EXACT('Kiểm thử'!E26108,"Đạt"),1,0),IF(EXACT('Kiểm thử'!E26110,"Đạt"),1,0))=2,"Đạt",IF(SUM(IF(EXACT('Kiểm thử'!E26108,"Không thực hiện"),1,0),IF(EXACT('Kiểm thử'!E26110,"Không thực hiện"),1,0))=2,"Không thực hiện",IF(SUM(IF(EXACT('Kiểm thử'!E26108,"Bị chặn"),1,0),IF(EXACT('Kiểm thử'!E26110,"Bị chặn"),1,0))&gt;0,"Bị chặn",IF(SUM(IF(EXACT('Kiểm thử'!E26108,"Chưa thực hiện"),1,0),IF(EXACT('Kiểm thử'!E26110,"Chưa thực hiện"),1,0))=2,"Chưa thực hiện","Đang thực hiện")))))</s:f>
        <s:v/>
      </s:c>
      <s:c r="C26101" s="114" t="n"/>
      <s:c r="D26101" s="114" t="n"/>
      <s:c r="E26101" s="114" t="n"/>
    </s:row>
    <s:row r="26102" ht="20" customHeight="1">
      <s:c r="A26102" s="112" t="inlineStr">
        <s:is>
          <s:t>Màn hình / chức năng</s:t>
        </s:is>
      </s:c>
      <s:c r="B26102" s="113" t="inlineStr">
        <s:is>
          <s:r>
            <s:rPr>
              <s:b val="1"/>
            </s:rPr>
            <s:t>Thiết lập ngưỡng（基準設定）</s:t>
          </s:r>
        </s:is>
      </s:c>
      <s:c r="C26102" s="28" t="n"/>
      <s:c r="D26102" s="28" t="n"/>
      <s:c r="E26102" s="28" t="n"/>
    </s:row>
    <s:row r="26103" ht="34" customHeight="1">
      <s:c r="A26103" s="112" t="inlineStr">
        <s:is>
          <s:t>Cấu hình</s:t>
        </s:is>
      </s:c>
      <s:c r="B26103" s="113" t="inlineStr">
        <s:is>
          <s:r>
            <s:t>• Mục số thập phân (</s:t>
          </s:r>
          <s:r>
            <s:rPr>
              <s:b val="1"/>
            </s:rPr>
            <s:t>M=100</s:t>
          </s:r>
          <s:r>
            <s:t xml:space="preserve">) với </s:t>
          </s:r>
          <s:r>
            <s:rPr>
              <s:b val="1"/>
            </s:rPr>
            <s:t>M=75</s:t>
          </s:r>
          <s:r>
            <s:t>;
• Tỷ lệ 30%, [&lt;].</s:t>
          </s:r>
        </s:is>
      </s:c>
      <s:c r="C26103" s="28" t="n"/>
      <s:c r="D26103" s="28" t="n"/>
      <s:c r="E26103" s="28" t="n"/>
    </s:row>
    <s:row r="26104" ht="34" customHeight="1">
      <s:c r="A26104" s="112" t="inlineStr">
        <s:is>
          <s:t>Dữ liệu test</s:t>
        </s:is>
      </s:c>
      <s:c r="B26104" s="113" t="inlineStr">
        <s:is>
          <s:r>
            <s:t>• Mục số thập phân (</s:t>
          </s:r>
          <s:r>
            <s:rPr>
              <s:b val="1"/>
            </s:rPr>
            <s:t>M=100</s:t>
          </s:r>
          <s:r>
            <s:t>);
• S = 22.2</s:t>
          </s:r>
        </s:is>
      </s:c>
      <s:c r="C26104" s="28" t="n"/>
      <s:c r="D26104" s="28" t="n"/>
      <s:c r="E26104" s="28" t="n"/>
    </s:row>
    <s:row r="26105" ht="20" customHeight="1">
      <s:c r="A26105" s="112" t="inlineStr">
        <s:is>
          <s:t>•</s:t>
        </s:is>
      </s:c>
      <s:c r="B26105" s="113" t="inlineStr">
        <s:is>
          <s:t>Xét với Không xử lý, rồi xuống p1.</s:t>
        </s:is>
      </s:c>
      <s:c r="C26105" s="28" t="n"/>
      <s:c r="D26105" s="28" t="n"/>
      <s:c r="E26105" s="28" t="n"/>
    </s:row>
    <s:row r="26106" ht="28" customHeight="1">
      <s:c r="A26106" s="115" t="inlineStr">
        <s:is>
          <s:t>Trường hợp</s:t>
        </s:is>
      </s:c>
      <s:c r="B26106" s="115" t="inlineStr">
        <s:is>
          <s:t>Dữ liệu / thao tác riêng</s:t>
        </s:is>
      </s:c>
      <s:c r="C26106" s="115" t="inlineStr">
        <s:is>
          <s:t>Kết quả mong đợi</s:t>
        </s:is>
      </s:c>
      <s:c r="D26106" s="115" t="inlineStr">
        <s:is>
          <s:t>Kết quả thực tế</s:t>
        </s:is>
      </s:c>
      <s:c r="E26106" s="115" t="inlineStr">
        <s:is>
          <s:t>Đánh giá</s:t>
        </s:is>
      </s:c>
    </s:row>
    <s:row r="26107" ht="3" customHeight="1">
      <s:c r="A26107" s="102" t="inlineStr"/>
      <s:c r="B26107" s="99" t="n"/>
      <s:c r="C26107" s="99" t="n"/>
      <s:c r="D26107" s="116" t="n"/>
      <s:c r="E26107" s="116" t="n"/>
    </s:row>
    <s:row r="26108" ht="34" customHeight="1">
      <s:c r="A26108" s="83" t="inlineStr">
        <s:is>
          <s:t>Không xử lý phần lẻ (none)</s:t>
        </s:is>
      </s:c>
      <s:c r="B26108" s="83" t="inlineStr">
        <s:is>
          <s:r>
            <s:rPr>
              <s:b val="1"/>
            </s:rPr>
            <s:t>M=75</s:t>
          </s:r>
          <s:r>
            <s:t>,</s:t>
          </s:r>
          <s:r>
            <s:rPr>
              <s:b val="1"/>
            </s:rPr>
            <s:t>N=30%</s:t>
          </s:r>
          <s:r>
            <s:t>,</s:t>
          </s:r>
          <s:r>
            <s:rPr>
              <s:b val="1"/>
            </s:rPr>
            <s:t>S=22.2</s:t>
          </s:r>
          <s:r>
            <s:t xml:space="preserve">; chọn Không </s:t>
          </s:r>
          <s:r>
            <s:rPr>
              <s:b val="1"/>
            </s:rPr>
            <s:t>xử lý phần lẻ（しない）</s:t>
          </s:r>
          <s:r>
            <s:t>, chạy xét.</s:t>
          </s:r>
        </s:is>
      </s:c>
      <s:c r="C26108" s="83" t="inlineStr">
        <s:is>
          <s:r>
            <s:t xml:space="preserve">Không xử lý phần lẻ: </s:t>
          </s:r>
          <s:r>
            <s:rPr>
              <s:b val="1"/>
            </s:rPr>
            <s:t>T=22.5</s:t>
          </s:r>
          <s:r>
            <s:t xml:space="preserve">, </s:t>
          </s:r>
          <s:r>
            <s:rPr>
              <s:b val="1"/>
            </s:rPr>
            <s:t>S=22.2</s:t>
          </s:r>
          <s:r>
            <s:t xml:space="preserve"> → </s:t>
          </s:r>
          <s:r>
            <s:rPr>
              <s:b val="1"/>
            </s:rPr>
            <s:t>Đỏ</s:t>
          </s:r>
          <s:r>
            <s:t>.</s:t>
          </s:r>
        </s:is>
      </s:c>
      <s:c r="D26108" s="117" t="inlineStr"/>
      <s:c r="E26108" s="118" t="inlineStr">
        <s:is>
          <s:t>Chưa thực hiện</s:t>
        </s:is>
      </s:c>
    </s:row>
    <s:row r="26109" ht="3" customHeight="1">
      <s:c r="A26109" s="102" t="inlineStr"/>
      <s:c r="B26109" s="99" t="n"/>
      <s:c r="C26109" s="99" t="n"/>
      <s:c r="D26109" s="116" t="n"/>
      <s:c r="E26109" s="116" t="n"/>
    </s:row>
    <s:row r="26110" ht="34" customHeight="1">
      <s:c r="A26110" s="83" t="inlineStr">
        <s:is>
          <s:t>Cắt xuống (down)</s:t>
        </s:is>
      </s:c>
      <s:c r="B26110" s="83" t="inlineStr">
        <s:is>
          <s:r>
            <s:rPr>
              <s:b val="1"/>
            </s:rPr>
            <s:t>M=75</s:t>
          </s:r>
          <s:r>
            <s:t>,</s:t>
          </s:r>
          <s:r>
            <s:rPr>
              <s:b val="1"/>
            </s:rPr>
            <s:t>N=30%</s:t>
          </s:r>
          <s:r>
            <s:t>,</s:t>
          </s:r>
          <s:r>
            <s:rPr>
              <s:b val="1"/>
            </s:rPr>
            <s:t>S=22.2</s:t>
          </s:r>
          <s:r>
            <s:t>; chọn làm tròn xuống p=1, chạy xét.</s:t>
          </s:r>
        </s:is>
      </s:c>
      <s:c r="C26110" s="83" t="inlineStr">
        <s:is>
          <s:r>
            <s:t xml:space="preserve">Làm tròn xuống p=1: </s:t>
          </s:r>
          <s:r>
            <s:rPr>
              <s:b val="1"/>
            </s:rPr>
            <s:t>T=22</s:t>
          </s:r>
          <s:r>
            <s:t xml:space="preserve">, </s:t>
          </s:r>
          <s:r>
            <s:rPr>
              <s:b val="1"/>
            </s:rPr>
            <s:t>S=22.2</s:t>
          </s:r>
          <s:r>
            <s:t xml:space="preserve"> → </s:t>
          </s:r>
          <s:r>
            <s:rPr>
              <s:b val="1"/>
            </s:rPr>
            <s:t>Không đỏ</s:t>
          </s:r>
          <s:r>
            <s:t>.</s:t>
          </s:r>
        </s:is>
      </s:c>
      <s:c r="D26110" s="117" t="inlineStr"/>
      <s:c r="E26110" s="118" t="inlineStr">
        <s:is>
          <s:t>Chưa thực hiện</s:t>
        </s:is>
      </s:c>
    </s:row>
    <s:row r="26111" ht="20" customHeight="1">
      <s:c r="A26111" s="119" t="inlineStr">
        <s:is>
          <s:t>Ảnh minh chứng — Chưa có ảnh</s:t>
        </s:is>
      </s:c>
      <s:c r="B26111" s="19" t="n"/>
      <s:c r="C26111" s="19" t="n"/>
      <s:c r="D26111" s="19" t="n"/>
      <s:c r="E26111" s="19" t="n"/>
    </s:row>
    <s:row r="26112" hidden="1" ht="1" customHeight="1">
      <s:c r="A26112" s="120" t="inlineStr"/>
      <s:c r="B26112" s="121" t="n"/>
      <s:c r="C26112" s="121" t="n"/>
      <s:c r="D26112" s="121" t="n"/>
      <s:c r="E26112" s="122" t="n"/>
    </s:row>
    <s:row r="26113" hidden="1" ht="1" customHeight="1">
      <s:c r="A26113" s="120" t="inlineStr"/>
      <s:c r="B26113" s="121" t="n"/>
      <s:c r="C26113" s="121" t="n"/>
      <s:c r="D26113" s="121" t="n"/>
      <s:c r="E26113" s="122" t="n"/>
    </s:row>
    <s:row r="26114" hidden="1" ht="1" customHeight="1">
      <s:c r="A26114" s="120" t="inlineStr"/>
      <s:c r="B26114" s="121" t="n"/>
      <s:c r="C26114" s="121" t="n"/>
      <s:c r="D26114" s="121" t="n"/>
      <s:c r="E26114" s="122" t="n"/>
    </s:row>
    <s:row r="26115" hidden="1" ht="1" customHeight="1">
      <s:c r="A26115" s="120" t="inlineStr"/>
      <s:c r="B26115" s="121" t="n"/>
      <s:c r="C26115" s="121" t="n"/>
      <s:c r="D26115" s="121" t="n"/>
      <s:c r="E26115" s="122" t="n"/>
    </s:row>
    <s:row r="26116" hidden="1" ht="1" customHeight="1">
      <s:c r="A26116" s="120" t="inlineStr"/>
      <s:c r="B26116" s="121" t="n"/>
      <s:c r="C26116" s="121" t="n"/>
      <s:c r="D26116" s="121" t="n"/>
      <s:c r="E26116" s="122" t="n"/>
    </s:row>
    <s:row r="26117" hidden="1" ht="1" customHeight="1">
      <s:c r="A26117" s="120" t="inlineStr"/>
      <s:c r="B26117" s="121" t="n"/>
      <s:c r="C26117" s="121" t="n"/>
      <s:c r="D26117" s="121" t="n"/>
      <s:c r="E26117" s="122" t="n"/>
    </s:row>
    <s:row r="26118" hidden="1" ht="1" customHeight="1">
      <s:c r="A26118" s="120" t="inlineStr"/>
      <s:c r="B26118" s="121" t="n"/>
      <s:c r="C26118" s="121" t="n"/>
      <s:c r="D26118" s="121" t="n"/>
      <s:c r="E26118" s="122" t="n"/>
    </s:row>
    <s:row r="26119" hidden="1" ht="1" customHeight="1">
      <s:c r="A26119" s="120" t="inlineStr"/>
      <s:c r="B26119" s="121" t="n"/>
      <s:c r="C26119" s="121" t="n"/>
      <s:c r="D26119" s="121" t="n"/>
      <s:c r="E26119" s="122" t="n"/>
    </s:row>
    <s:row r="26120" hidden="1" ht="1" customHeight="1">
      <s:c r="A26120" s="120" t="inlineStr"/>
      <s:c r="B26120" s="121" t="n"/>
      <s:c r="C26120" s="121" t="n"/>
      <s:c r="D26120" s="121" t="n"/>
      <s:c r="E26120" s="122" t="n"/>
    </s:row>
    <s:row r="26121" hidden="1" ht="1" customHeight="1">
      <s:c r="A26121" s="120" t="inlineStr"/>
      <s:c r="B26121" s="121" t="n"/>
      <s:c r="C26121" s="121" t="n"/>
      <s:c r="D26121" s="121" t="n"/>
      <s:c r="E26121" s="122" t="n"/>
    </s:row>
    <s:row r="26122" hidden="1" ht="1" customHeight="1">
      <s:c r="A26122" s="120" t="inlineStr"/>
      <s:c r="B26122" s="121" t="n"/>
      <s:c r="C26122" s="121" t="n"/>
      <s:c r="D26122" s="121" t="n"/>
      <s:c r="E26122" s="122" t="n"/>
    </s:row>
    <s:row r="26123" hidden="1" ht="1" customHeight="1">
      <s:c r="A26123" s="120" t="inlineStr"/>
      <s:c r="B26123" s="121" t="n"/>
      <s:c r="C26123" s="121" t="n"/>
      <s:c r="D26123" s="121" t="n"/>
      <s:c r="E26123" s="122" t="n"/>
    </s:row>
    <s:row r="26124" hidden="1" ht="1" customHeight="1">
      <s:c r="A26124" s="120" t="inlineStr"/>
      <s:c r="B26124" s="121" t="n"/>
      <s:c r="C26124" s="121" t="n"/>
      <s:c r="D26124" s="121" t="n"/>
      <s:c r="E26124" s="122" t="n"/>
    </s:row>
    <s:row r="26125" hidden="1" ht="1" customHeight="1">
      <s:c r="A26125" s="120" t="inlineStr"/>
      <s:c r="B26125" s="121" t="n"/>
      <s:c r="C26125" s="121" t="n"/>
      <s:c r="D26125" s="121" t="n"/>
      <s:c r="E26125" s="122" t="n"/>
    </s:row>
    <s:row r="26126" hidden="1" ht="1" customHeight="1">
      <s:c r="A26126" s="120" t="inlineStr"/>
      <s:c r="B26126" s="121" t="n"/>
      <s:c r="C26126" s="121" t="n"/>
      <s:c r="D26126" s="121" t="n"/>
      <s:c r="E26126" s="122" t="n"/>
    </s:row>
    <s:row r="26127" hidden="1" ht="1" customHeight="1">
      <s:c r="A26127" s="120" t="inlineStr"/>
      <s:c r="B26127" s="121" t="n"/>
      <s:c r="C26127" s="121" t="n"/>
      <s:c r="D26127" s="121" t="n"/>
      <s:c r="E26127" s="122" t="n"/>
    </s:row>
    <s:row r="26128" hidden="1" ht="1" customHeight="1">
      <s:c r="A26128" s="120" t="inlineStr"/>
      <s:c r="B26128" s="121" t="n"/>
      <s:c r="C26128" s="121" t="n"/>
      <s:c r="D26128" s="121" t="n"/>
      <s:c r="E26128" s="122" t="n"/>
    </s:row>
    <s:row r="26129" hidden="1" ht="1" customHeight="1">
      <s:c r="A26129" s="120" t="inlineStr"/>
      <s:c r="B26129" s="121" t="n"/>
      <s:c r="C26129" s="121" t="n"/>
      <s:c r="D26129" s="121" t="n"/>
      <s:c r="E26129" s="122" t="n"/>
    </s:row>
    <s:row r="26130" hidden="1" ht="1" customHeight="1">
      <s:c r="A26130" s="120" t="inlineStr"/>
      <s:c r="B26130" s="121" t="n"/>
      <s:c r="C26130" s="121" t="n"/>
      <s:c r="D26130" s="121" t="n"/>
      <s:c r="E26130" s="122" t="n"/>
    </s:row>
    <s:row r="26131" hidden="1" ht="1" customHeight="1">
      <s:c r="A26131" s="120" t="inlineStr"/>
      <s:c r="B26131" s="121" t="n"/>
      <s:c r="C26131" s="121" t="n"/>
      <s:c r="D26131" s="121" t="n"/>
      <s:c r="E26131" s="122" t="n"/>
    </s:row>
    <s:row r="26132" hidden="1" ht="1" customHeight="1">
      <s:c r="A26132" s="120" t="inlineStr"/>
      <s:c r="B26132" s="121" t="n"/>
      <s:c r="C26132" s="121" t="n"/>
      <s:c r="D26132" s="121" t="n"/>
      <s:c r="E26132" s="122" t="n"/>
    </s:row>
    <s:row r="26133" hidden="1" ht="1" customHeight="1">
      <s:c r="A26133" s="120" t="inlineStr"/>
      <s:c r="B26133" s="121" t="n"/>
      <s:c r="C26133" s="121" t="n"/>
      <s:c r="D26133" s="121" t="n"/>
      <s:c r="E26133" s="122" t="n"/>
    </s:row>
    <s:row r="26134" hidden="1" ht="1" customHeight="1">
      <s:c r="A26134" s="120" t="inlineStr"/>
      <s:c r="B26134" s="121" t="n"/>
      <s:c r="C26134" s="121" t="n"/>
      <s:c r="D26134" s="121" t="n"/>
      <s:c r="E26134" s="122" t="n"/>
    </s:row>
    <s:row r="26135" hidden="1" ht="1" customHeight="1">
      <s:c r="A26135" s="120" t="inlineStr"/>
      <s:c r="B26135" s="121" t="n"/>
      <s:c r="C26135" s="121" t="n"/>
      <s:c r="D26135" s="121" t="n"/>
      <s:c r="E26135" s="122" t="n"/>
    </s:row>
    <s:row r="26136" hidden="1" ht="1" customHeight="1">
      <s:c r="A26136" s="120" t="inlineStr"/>
      <s:c r="B26136" s="121" t="n"/>
      <s:c r="C26136" s="121" t="n"/>
      <s:c r="D26136" s="121" t="n"/>
      <s:c r="E26136" s="122" t="n"/>
    </s:row>
    <s:row r="26137" hidden="1" ht="1" customHeight="1">
      <s:c r="A26137" s="120" t="inlineStr"/>
      <s:c r="B26137" s="121" t="n"/>
      <s:c r="C26137" s="121" t="n"/>
      <s:c r="D26137" s="121" t="n"/>
      <s:c r="E26137" s="122" t="n"/>
    </s:row>
    <s:row r="26138" hidden="1" ht="1" customHeight="1">
      <s:c r="A26138" s="120" t="inlineStr"/>
      <s:c r="B26138" s="121" t="n"/>
      <s:c r="C26138" s="121" t="n"/>
      <s:c r="D26138" s="121" t="n"/>
      <s:c r="E26138" s="122" t="n"/>
    </s:row>
    <s:row r="26139" hidden="1" ht="1" customHeight="1">
      <s:c r="A26139" s="120" t="inlineStr"/>
      <s:c r="B26139" s="121" t="n"/>
      <s:c r="C26139" s="121" t="n"/>
      <s:c r="D26139" s="121" t="n"/>
      <s:c r="E26139" s="122" t="n"/>
    </s:row>
    <s:row r="26140" hidden="1" ht="1" customHeight="1">
      <s:c r="A26140" s="120" t="inlineStr"/>
      <s:c r="B26140" s="121" t="n"/>
      <s:c r="C26140" s="121" t="n"/>
      <s:c r="D26140" s="121" t="n"/>
      <s:c r="E26140" s="122" t="n"/>
    </s:row>
    <s:row r="26141" hidden="1" ht="1" customHeight="1">
      <s:c r="A26141" s="120" t="inlineStr"/>
      <s:c r="B26141" s="121" t="n"/>
      <s:c r="C26141" s="121" t="n"/>
      <s:c r="D26141" s="121" t="n"/>
      <s:c r="E26141" s="122" t="n"/>
    </s:row>
    <s:row r="26142" hidden="1" ht="1" customHeight="1">
      <s:c r="A26142" s="120" t="inlineStr"/>
      <s:c r="B26142" s="121" t="n"/>
      <s:c r="C26142" s="121" t="n"/>
      <s:c r="D26142" s="121" t="n"/>
      <s:c r="E26142" s="122" t="n"/>
    </s:row>
    <s:row r="26143" hidden="1" ht="1" customHeight="1">
      <s:c r="A26143" s="120" t="inlineStr"/>
      <s:c r="B26143" s="121" t="n"/>
      <s:c r="C26143" s="121" t="n"/>
      <s:c r="D26143" s="121" t="n"/>
      <s:c r="E26143" s="122" t="n"/>
    </s:row>
    <s:row r="26144" hidden="1" ht="1" customHeight="1">
      <s:c r="A26144" s="120" t="inlineStr"/>
      <s:c r="B26144" s="121" t="n"/>
      <s:c r="C26144" s="121" t="n"/>
      <s:c r="D26144" s="121" t="n"/>
      <s:c r="E26144" s="122" t="n"/>
    </s:row>
    <s:row r="26145" hidden="1" ht="1" customHeight="1">
      <s:c r="A26145" s="120" t="inlineStr"/>
      <s:c r="B26145" s="121" t="n"/>
      <s:c r="C26145" s="121" t="n"/>
      <s:c r="D26145" s="121" t="n"/>
      <s:c r="E26145" s="122" t="n"/>
    </s:row>
    <s:row r="26146" hidden="1" ht="1" customHeight="1">
      <s:c r="A26146" s="120" t="inlineStr"/>
      <s:c r="B26146" s="121" t="n"/>
      <s:c r="C26146" s="121" t="n"/>
      <s:c r="D26146" s="121" t="n"/>
      <s:c r="E26146" s="122" t="n"/>
    </s:row>
    <s:row r="26147" hidden="1" ht="1" customHeight="1">
      <s:c r="A26147" s="120" t="inlineStr"/>
      <s:c r="B26147" s="121" t="n"/>
      <s:c r="C26147" s="121" t="n"/>
      <s:c r="D26147" s="121" t="n"/>
      <s:c r="E26147" s="122" t="n"/>
    </s:row>
    <s:row r="26148" hidden="1" ht="1" customHeight="1">
      <s:c r="A26148" s="120" t="inlineStr"/>
      <s:c r="B26148" s="121" t="n"/>
      <s:c r="C26148" s="121" t="n"/>
      <s:c r="D26148" s="121" t="n"/>
      <s:c r="E26148" s="122" t="n"/>
    </s:row>
    <s:row r="26149" hidden="1" ht="1" customHeight="1">
      <s:c r="A26149" s="120" t="inlineStr"/>
      <s:c r="B26149" s="121" t="n"/>
      <s:c r="C26149" s="121" t="n"/>
      <s:c r="D26149" s="121" t="n"/>
      <s:c r="E26149" s="122" t="n"/>
    </s:row>
    <s:row r="26150" hidden="1" ht="1" customHeight="1">
      <s:c r="A26150" s="120" t="inlineStr"/>
      <s:c r="B26150" s="121" t="n"/>
      <s:c r="C26150" s="121" t="n"/>
      <s:c r="D26150" s="121" t="n"/>
      <s:c r="E26150" s="122" t="n"/>
    </s:row>
    <s:row r="26151" hidden="1" ht="1" customHeight="1">
      <s:c r="A26151" s="120" t="inlineStr"/>
      <s:c r="B26151" s="121" t="n"/>
      <s:c r="C26151" s="121" t="n"/>
      <s:c r="D26151" s="121" t="n"/>
      <s:c r="E26151" s="122" t="n"/>
    </s:row>
    <s:row r="26152" hidden="1" ht="1" customHeight="1">
      <s:c r="A26152" s="120" t="inlineStr"/>
      <s:c r="B26152" s="121" t="n"/>
      <s:c r="C26152" s="121" t="n"/>
      <s:c r="D26152" s="121" t="n"/>
      <s:c r="E26152" s="122" t="n"/>
    </s:row>
    <s:row r="26153" hidden="1" ht="1" customHeight="1">
      <s:c r="A26153" s="120" t="inlineStr"/>
      <s:c r="B26153" s="121" t="n"/>
      <s:c r="C26153" s="121" t="n"/>
      <s:c r="D26153" s="121" t="n"/>
      <s:c r="E26153" s="122" t="n"/>
    </s:row>
    <s:row r="26154" hidden="1" ht="1" customHeight="1">
      <s:c r="A26154" s="120" t="inlineStr"/>
      <s:c r="B26154" s="121" t="n"/>
      <s:c r="C26154" s="121" t="n"/>
      <s:c r="D26154" s="121" t="n"/>
      <s:c r="E26154" s="122" t="n"/>
    </s:row>
    <s:row r="26155" hidden="1" ht="1" customHeight="1">
      <s:c r="A26155" s="120" t="inlineStr"/>
      <s:c r="B26155" s="121" t="n"/>
      <s:c r="C26155" s="121" t="n"/>
      <s:c r="D26155" s="121" t="n"/>
      <s:c r="E26155" s="122" t="n"/>
    </s:row>
    <s:row r="26156" hidden="1" ht="1" customHeight="1">
      <s:c r="A26156" s="120" t="inlineStr"/>
      <s:c r="B26156" s="121" t="n"/>
      <s:c r="C26156" s="121" t="n"/>
      <s:c r="D26156" s="121" t="n"/>
      <s:c r="E26156" s="122" t="n"/>
    </s:row>
    <s:row r="26157" hidden="1" ht="1" customHeight="1">
      <s:c r="A26157" s="120" t="inlineStr"/>
      <s:c r="B26157" s="121" t="n"/>
      <s:c r="C26157" s="121" t="n"/>
      <s:c r="D26157" s="121" t="n"/>
      <s:c r="E26157" s="122" t="n"/>
    </s:row>
    <s:row r="26158" hidden="1" ht="1" customHeight="1">
      <s:c r="A26158" s="120" t="inlineStr"/>
      <s:c r="B26158" s="121" t="n"/>
      <s:c r="C26158" s="121" t="n"/>
      <s:c r="D26158" s="121" t="n"/>
      <s:c r="E26158" s="122" t="n"/>
    </s:row>
    <s:row r="26159" hidden="1" ht="1" customHeight="1">
      <s:c r="A26159" s="120" t="inlineStr"/>
      <s:c r="B26159" s="121" t="n"/>
      <s:c r="C26159" s="121" t="n"/>
      <s:c r="D26159" s="121" t="n"/>
      <s:c r="E26159" s="122" t="n"/>
    </s:row>
    <s:row r="26160" hidden="1" ht="1" customHeight="1">
      <s:c r="A26160" s="120" t="inlineStr"/>
      <s:c r="B26160" s="121" t="n"/>
      <s:c r="C26160" s="121" t="n"/>
      <s:c r="D26160" s="121" t="n"/>
      <s:c r="E26160" s="122" t="n"/>
    </s:row>
    <s:row r="26161" hidden="1" ht="1" customHeight="1">
      <s:c r="A26161" s="120" t="inlineStr"/>
      <s:c r="B26161" s="121" t="n"/>
      <s:c r="C26161" s="121" t="n"/>
      <s:c r="D26161" s="121" t="n"/>
      <s:c r="E26161" s="122" t="n"/>
    </s:row>
    <s:row r="26162" hidden="1" ht="1" customHeight="1">
      <s:c r="A26162" s="120" t="inlineStr"/>
      <s:c r="B26162" s="121" t="n"/>
      <s:c r="C26162" s="121" t="n"/>
      <s:c r="D26162" s="121" t="n"/>
      <s:c r="E26162" s="122" t="n"/>
    </s:row>
    <s:row r="26163" hidden="1" ht="1" customHeight="1">
      <s:c r="A26163" s="120" t="inlineStr"/>
      <s:c r="B26163" s="121" t="n"/>
      <s:c r="C26163" s="121" t="n"/>
      <s:c r="D26163" s="121" t="n"/>
      <s:c r="E26163" s="122" t="n"/>
    </s:row>
    <s:row r="26164" hidden="1" ht="1" customHeight="1">
      <s:c r="A26164" s="120" t="inlineStr"/>
      <s:c r="B26164" s="121" t="n"/>
      <s:c r="C26164" s="121" t="n"/>
      <s:c r="D26164" s="121" t="n"/>
      <s:c r="E26164" s="122" t="n"/>
    </s:row>
    <s:row r="26165" hidden="1" ht="1" customHeight="1">
      <s:c r="A26165" s="120" t="inlineStr"/>
      <s:c r="B26165" s="121" t="n"/>
      <s:c r="C26165" s="121" t="n"/>
      <s:c r="D26165" s="121" t="n"/>
      <s:c r="E26165" s="122" t="n"/>
    </s:row>
    <s:row r="26166" hidden="1" ht="1" customHeight="1">
      <s:c r="A26166" s="120" t="inlineStr"/>
      <s:c r="B26166" s="121" t="n"/>
      <s:c r="C26166" s="121" t="n"/>
      <s:c r="D26166" s="121" t="n"/>
      <s:c r="E26166" s="122" t="n"/>
    </s:row>
    <s:row r="26167" hidden="1" ht="1" customHeight="1">
      <s:c r="A26167" s="120" t="inlineStr"/>
      <s:c r="B26167" s="121" t="n"/>
      <s:c r="C26167" s="121" t="n"/>
      <s:c r="D26167" s="121" t="n"/>
      <s:c r="E26167" s="122" t="n"/>
    </s:row>
    <s:row r="26168" hidden="1" ht="1" customHeight="1">
      <s:c r="A26168" s="120" t="inlineStr"/>
      <s:c r="B26168" s="121" t="n"/>
      <s:c r="C26168" s="121" t="n"/>
      <s:c r="D26168" s="121" t="n"/>
      <s:c r="E26168" s="122" t="n"/>
    </s:row>
    <s:row r="26169" hidden="1" ht="1" customHeight="1">
      <s:c r="A26169" s="120" t="inlineStr"/>
      <s:c r="B26169" s="121" t="n"/>
      <s:c r="C26169" s="121" t="n"/>
      <s:c r="D26169" s="121" t="n"/>
      <s:c r="E26169" s="122" t="n"/>
    </s:row>
    <s:row r="26170" hidden="1" ht="1" customHeight="1">
      <s:c r="A26170" s="120" t="inlineStr"/>
      <s:c r="B26170" s="121" t="n"/>
      <s:c r="C26170" s="121" t="n"/>
      <s:c r="D26170" s="121" t="n"/>
      <s:c r="E26170" s="122" t="n"/>
    </s:row>
    <s:row r="26171" hidden="1" ht="1" customHeight="1">
      <s:c r="A26171" s="120" t="inlineStr"/>
      <s:c r="B26171" s="121" t="n"/>
      <s:c r="C26171" s="121" t="n"/>
      <s:c r="D26171" s="121" t="n"/>
      <s:c r="E26171" s="122" t="n"/>
    </s:row>
    <s:row r="26172" hidden="1" ht="1" customHeight="1">
      <s:c r="A26172" s="120" t="inlineStr"/>
      <s:c r="B26172" s="121" t="n"/>
      <s:c r="C26172" s="121" t="n"/>
      <s:c r="D26172" s="121" t="n"/>
      <s:c r="E26172" s="122" t="n"/>
    </s:row>
    <s:row r="26173" hidden="1" ht="1" customHeight="1">
      <s:c r="A26173" s="120" t="inlineStr"/>
      <s:c r="B26173" s="121" t="n"/>
      <s:c r="C26173" s="121" t="n"/>
      <s:c r="D26173" s="121" t="n"/>
      <s:c r="E26173" s="122" t="n"/>
    </s:row>
    <s:row r="26174" hidden="1" ht="1" customHeight="1">
      <s:c r="A26174" s="120" t="inlineStr"/>
      <s:c r="B26174" s="121" t="n"/>
      <s:c r="C26174" s="121" t="n"/>
      <s:c r="D26174" s="121" t="n"/>
      <s:c r="E26174" s="122" t="n"/>
    </s:row>
    <s:row r="26175" hidden="1" ht="1" customHeight="1">
      <s:c r="A26175" s="120" t="inlineStr"/>
      <s:c r="B26175" s="121" t="n"/>
      <s:c r="C26175" s="121" t="n"/>
      <s:c r="D26175" s="121" t="n"/>
      <s:c r="E26175" s="122" t="n"/>
    </s:row>
    <s:row r="26176" hidden="1" ht="1" customHeight="1">
      <s:c r="A26176" s="120" t="inlineStr"/>
      <s:c r="B26176" s="121" t="n"/>
      <s:c r="C26176" s="121" t="n"/>
      <s:c r="D26176" s="121" t="n"/>
      <s:c r="E26176" s="122" t="n"/>
    </s:row>
    <s:row r="26177" hidden="1" ht="1" customHeight="1">
      <s:c r="A26177" s="120" t="inlineStr"/>
      <s:c r="B26177" s="121" t="n"/>
      <s:c r="C26177" s="121" t="n"/>
      <s:c r="D26177" s="121" t="n"/>
      <s:c r="E26177" s="122" t="n"/>
    </s:row>
    <s:row r="26178" hidden="1" ht="1" customHeight="1">
      <s:c r="A26178" s="120" t="inlineStr"/>
      <s:c r="B26178" s="121" t="n"/>
      <s:c r="C26178" s="121" t="n"/>
      <s:c r="D26178" s="121" t="n"/>
      <s:c r="E26178" s="122" t="n"/>
    </s:row>
    <s:row r="26179" hidden="1" ht="1" customHeight="1">
      <s:c r="A26179" s="120" t="inlineStr"/>
      <s:c r="B26179" s="121" t="n"/>
      <s:c r="C26179" s="121" t="n"/>
      <s:c r="D26179" s="121" t="n"/>
      <s:c r="E26179" s="122" t="n"/>
    </s:row>
    <s:row r="26180" hidden="1" ht="1" customHeight="1">
      <s:c r="A26180" s="120" t="inlineStr"/>
      <s:c r="B26180" s="121" t="n"/>
      <s:c r="C26180" s="121" t="n"/>
      <s:c r="D26180" s="121" t="n"/>
      <s:c r="E26180" s="122" t="n"/>
    </s:row>
    <s:row r="26181" hidden="1" ht="1" customHeight="1">
      <s:c r="A26181" s="120" t="inlineStr"/>
      <s:c r="B26181" s="121" t="n"/>
      <s:c r="C26181" s="121" t="n"/>
      <s:c r="D26181" s="121" t="n"/>
      <s:c r="E26181" s="122" t="n"/>
    </s:row>
    <s:row r="26182" hidden="1" ht="1" customHeight="1">
      <s:c r="A26182" s="120" t="inlineStr"/>
      <s:c r="B26182" s="121" t="n"/>
      <s:c r="C26182" s="121" t="n"/>
      <s:c r="D26182" s="121" t="n"/>
      <s:c r="E26182" s="122" t="n"/>
    </s:row>
    <s:row r="26183" hidden="1" ht="1" customHeight="1">
      <s:c r="A26183" s="120" t="inlineStr"/>
      <s:c r="B26183" s="121" t="n"/>
      <s:c r="C26183" s="121" t="n"/>
      <s:c r="D26183" s="121" t="n"/>
      <s:c r="E26183" s="122" t="n"/>
    </s:row>
    <s:row r="26184" hidden="1" ht="1" customHeight="1">
      <s:c r="A26184" s="120" t="inlineStr"/>
      <s:c r="B26184" s="121" t="n"/>
      <s:c r="C26184" s="121" t="n"/>
      <s:c r="D26184" s="121" t="n"/>
      <s:c r="E26184" s="122" t="n"/>
    </s:row>
    <s:row r="26185" hidden="1" ht="1" customHeight="1">
      <s:c r="A26185" s="120" t="inlineStr"/>
      <s:c r="B26185" s="121" t="n"/>
      <s:c r="C26185" s="121" t="n"/>
      <s:c r="D26185" s="121" t="n"/>
      <s:c r="E26185" s="122" t="n"/>
    </s:row>
    <s:row r="26186" hidden="1" ht="1" customHeight="1">
      <s:c r="A26186" s="120" t="inlineStr"/>
      <s:c r="B26186" s="121" t="n"/>
      <s:c r="C26186" s="121" t="n"/>
      <s:c r="D26186" s="121" t="n"/>
      <s:c r="E26186" s="122" t="n"/>
    </s:row>
    <s:row r="26187" hidden="1" ht="1" customHeight="1">
      <s:c r="A26187" s="120" t="inlineStr"/>
      <s:c r="B26187" s="121" t="n"/>
      <s:c r="C26187" s="121" t="n"/>
      <s:c r="D26187" s="121" t="n"/>
      <s:c r="E26187" s="122" t="n"/>
    </s:row>
    <s:row r="26188" hidden="1" ht="1" customHeight="1">
      <s:c r="A26188" s="120" t="inlineStr"/>
      <s:c r="B26188" s="121" t="n"/>
      <s:c r="C26188" s="121" t="n"/>
      <s:c r="D26188" s="121" t="n"/>
      <s:c r="E26188" s="122" t="n"/>
    </s:row>
    <s:row r="26189" hidden="1" ht="1" customHeight="1">
      <s:c r="A26189" s="120" t="inlineStr"/>
      <s:c r="B26189" s="121" t="n"/>
      <s:c r="C26189" s="121" t="n"/>
      <s:c r="D26189" s="121" t="n"/>
      <s:c r="E26189" s="122" t="n"/>
    </s:row>
    <s:row r="26190" hidden="1" ht="1" customHeight="1">
      <s:c r="A26190" s="120" t="inlineStr"/>
      <s:c r="B26190" s="121" t="n"/>
      <s:c r="C26190" s="121" t="n"/>
      <s:c r="D26190" s="121" t="n"/>
      <s:c r="E26190" s="122" t="n"/>
    </s:row>
    <s:row r="26191" hidden="1" ht="1" customHeight="1">
      <s:c r="A26191" s="120" t="inlineStr"/>
      <s:c r="B26191" s="121" t="n"/>
      <s:c r="C26191" s="121" t="n"/>
      <s:c r="D26191" s="121" t="n"/>
      <s:c r="E26191" s="122" t="n"/>
    </s:row>
    <s:row r="26192" hidden="1" ht="1" customHeight="1">
      <s:c r="A26192" s="120" t="inlineStr"/>
      <s:c r="B26192" s="121" t="n"/>
      <s:c r="C26192" s="121" t="n"/>
      <s:c r="D26192" s="121" t="n"/>
      <s:c r="E26192" s="122" t="n"/>
    </s:row>
    <s:row r="26193" hidden="1" ht="1" customHeight="1">
      <s:c r="A26193" s="120" t="inlineStr"/>
      <s:c r="B26193" s="121" t="n"/>
      <s:c r="C26193" s="121" t="n"/>
      <s:c r="D26193" s="121" t="n"/>
      <s:c r="E26193" s="122" t="n"/>
    </s:row>
    <s:row r="26194" hidden="1" ht="1" customHeight="1">
      <s:c r="A26194" s="120" t="inlineStr"/>
      <s:c r="B26194" s="121" t="n"/>
      <s:c r="C26194" s="121" t="n"/>
      <s:c r="D26194" s="121" t="n"/>
      <s:c r="E26194" s="122" t="n"/>
    </s:row>
    <s:row r="26195" hidden="1" ht="1" customHeight="1">
      <s:c r="A26195" s="120" t="inlineStr"/>
      <s:c r="B26195" s="121" t="n"/>
      <s:c r="C26195" s="121" t="n"/>
      <s:c r="D26195" s="121" t="n"/>
      <s:c r="E26195" s="122" t="n"/>
    </s:row>
    <s:row r="26196" hidden="1" ht="1" customHeight="1">
      <s:c r="A26196" s="120" t="inlineStr"/>
      <s:c r="B26196" s="121" t="n"/>
      <s:c r="C26196" s="121" t="n"/>
      <s:c r="D26196" s="121" t="n"/>
      <s:c r="E26196" s="122" t="n"/>
    </s:row>
    <s:row r="26197" hidden="1" ht="1" customHeight="1">
      <s:c r="A26197" s="120" t="inlineStr"/>
      <s:c r="B26197" s="121" t="n"/>
      <s:c r="C26197" s="121" t="n"/>
      <s:c r="D26197" s="121" t="n"/>
      <s:c r="E26197" s="122" t="n"/>
    </s:row>
    <s:row r="26198" hidden="1" ht="1" customHeight="1">
      <s:c r="A26198" s="120" t="inlineStr"/>
      <s:c r="B26198" s="121" t="n"/>
      <s:c r="C26198" s="121" t="n"/>
      <s:c r="D26198" s="121" t="n"/>
      <s:c r="E26198" s="122" t="n"/>
    </s:row>
    <s:row r="26199" hidden="1" ht="1" customHeight="1">
      <s:c r="A26199" s="120" t="inlineStr"/>
      <s:c r="B26199" s="121" t="n"/>
      <s:c r="C26199" s="121" t="n"/>
      <s:c r="D26199" s="121" t="n"/>
      <s:c r="E26199" s="122" t="n"/>
    </s:row>
    <s:row r="26200" hidden="1" ht="1" customHeight="1">
      <s:c r="A26200" s="120" t="inlineStr"/>
      <s:c r="B26200" s="121" t="n"/>
      <s:c r="C26200" s="121" t="n"/>
      <s:c r="D26200" s="121" t="n"/>
      <s:c r="E26200" s="122" t="n"/>
    </s:row>
    <s:row r="26201" hidden="1" ht="1" customHeight="1">
      <s:c r="A26201" s="120" t="inlineStr"/>
      <s:c r="B26201" s="121" t="n"/>
      <s:c r="C26201" s="121" t="n"/>
      <s:c r="D26201" s="121" t="n"/>
      <s:c r="E26201" s="122" t="n"/>
    </s:row>
    <s:row r="26202" hidden="1" ht="1" customHeight="1">
      <s:c r="A26202" s="120" t="inlineStr"/>
      <s:c r="B26202" s="121" t="n"/>
      <s:c r="C26202" s="121" t="n"/>
      <s:c r="D26202" s="121" t="n"/>
      <s:c r="E26202" s="122" t="n"/>
    </s:row>
    <s:row r="26203" hidden="1" ht="1" customHeight="1">
      <s:c r="A26203" s="120" t="inlineStr"/>
      <s:c r="B26203" s="121" t="n"/>
      <s:c r="C26203" s="121" t="n"/>
      <s:c r="D26203" s="121" t="n"/>
      <s:c r="E26203" s="122" t="n"/>
    </s:row>
    <s:row r="26204" hidden="1" ht="1" customHeight="1">
      <s:c r="A26204" s="120" t="inlineStr"/>
      <s:c r="B26204" s="121" t="n"/>
      <s:c r="C26204" s="121" t="n"/>
      <s:c r="D26204" s="121" t="n"/>
      <s:c r="E26204" s="122" t="n"/>
    </s:row>
    <s:row r="26205" hidden="1" ht="1" customHeight="1">
      <s:c r="A26205" s="120" t="inlineStr"/>
      <s:c r="B26205" s="121" t="n"/>
      <s:c r="C26205" s="121" t="n"/>
      <s:c r="D26205" s="121" t="n"/>
      <s:c r="E26205" s="122" t="n"/>
    </s:row>
    <s:row r="26206" hidden="1" ht="1" customHeight="1">
      <s:c r="A26206" s="120" t="inlineStr"/>
      <s:c r="B26206" s="121" t="n"/>
      <s:c r="C26206" s="121" t="n"/>
      <s:c r="D26206" s="121" t="n"/>
      <s:c r="E26206" s="122" t="n"/>
    </s:row>
    <s:row r="26207" hidden="1" ht="1" customHeight="1">
      <s:c r="A26207" s="120" t="inlineStr"/>
      <s:c r="B26207" s="121" t="n"/>
      <s:c r="C26207" s="121" t="n"/>
      <s:c r="D26207" s="121" t="n"/>
      <s:c r="E26207" s="122" t="n"/>
    </s:row>
    <s:row r="26208" hidden="1" ht="1" customHeight="1">
      <s:c r="A26208" s="83" t="inlineStr">
        <s:is>
          <s:t>PASS</s:t>
        </s:is>
      </s:c>
      <s:c r="B26208" s="83">
        <s:f>SUM(IF(EXACT('Kiểm thử'!E26108,"Đạt"),1,0),IF(EXACT('Kiểm thử'!E26110,"Đạt"),1,0))</s:f>
        <s:v/>
      </s:c>
      <s:c r="C26208" s="19" t="n"/>
      <s:c r="D26208" s="19" t="n"/>
      <s:c r="E26208" s="19" t="n"/>
    </s:row>
    <s:row r="26209" hidden="1" ht="1" customHeight="1">
      <s:c r="A26209" s="83" t="inlineStr">
        <s:is>
          <s:t>FAIL</s:t>
        </s:is>
      </s:c>
      <s:c r="B26209" s="83">
        <s:f>SUM(IF(EXACT('Kiểm thử'!E26108,"Không đạt"),1,0),IF(EXACT('Kiểm thử'!E26110,"Không đạt"),1,0))</s:f>
        <s:v/>
      </s:c>
      <s:c r="C26209" s="19" t="n"/>
      <s:c r="D26209" s="19" t="n"/>
      <s:c r="E26209" s="19" t="n"/>
    </s:row>
    <s:row r="26210" hidden="1" ht="1" customHeight="1">
      <s:c r="A26210" s="83" t="inlineStr">
        <s:is>
          <s:t>BLOCKED</s:t>
        </s:is>
      </s:c>
      <s:c r="B26210" s="83">
        <s:f>SUM(IF(EXACT('Kiểm thử'!E26108,"Bị chặn"),1,0),IF(EXACT('Kiểm thử'!E26110,"Bị chặn"),1,0))</s:f>
        <s:v/>
      </s:c>
      <s:c r="C26210" s="19" t="n"/>
      <s:c r="D26210" s="19" t="n"/>
      <s:c r="E26210" s="19" t="n"/>
    </s:row>
    <s:row r="26211" hidden="1" ht="1" customHeight="1">
      <s:c r="A26211" s="83" t="inlineStr">
        <s:is>
          <s:t>SKIPPED</s:t>
        </s:is>
      </s:c>
      <s:c r="B26211" s="83">
        <s:f>SUM(IF(EXACT('Kiểm thử'!E26108,"Không thực hiện"),1,0),IF(EXACT('Kiểm thử'!E26110,"Không thực hiện"),1,0))</s:f>
        <s:v/>
      </s:c>
      <s:c r="C26211" s="19" t="n"/>
      <s:c r="D26211" s="19" t="n"/>
      <s:c r="E26211" s="19" t="n"/>
    </s:row>
    <s:row r="26212" hidden="1" ht="1" customHeight="1">
      <s:c r="A26212" s="83" t="inlineStr">
        <s:is>
          <s:t>NOT RUN</s:t>
        </s:is>
      </s:c>
      <s:c r="B26212" s="83">
        <s:f>SUM(IF(EXACT('Kiểm thử'!E26108,"Chưa thực hiện"),1,0),IF(EXACT('Kiểm thử'!E26110,"Chưa thực hiện"),1,0))</s:f>
        <s:v/>
      </s:c>
      <s:c r="C26212" s="19" t="n"/>
      <s:c r="D26212" s="19" t="n"/>
      <s:c r="E26212" s="19" t="n"/>
    </s:row>
    <s:row r="26213" hidden="1" ht="6" customHeight="1">
      <s:c r="A26213" s="83" t="inlineStr"/>
      <s:c r="B26213" s="19" t="n"/>
      <s:c r="C26213" s="19" t="n"/>
      <s:c r="D26213" s="19" t="n"/>
      <s:c r="E26213" s="19" t="n"/>
    </s:row>
    <s:row r="26214" ht="28" customHeight="1">
      <s:c r="A26214" s="108" t="inlineStr">
        <s:is>
          <s:t>TC-RS-CALC-009 — Tỷ lệ biên N=0 và N=100</s:t>
        </s:is>
      </s:c>
      <s:c r="B26214" s="111" t="n"/>
      <s:c r="C26214" s="111" t="n"/>
      <s:c r="D26214" s="111" t="n"/>
      <s:c r="E26214" s="111" t="n"/>
    </s:row>
    <s:row r="26215" ht="20" customHeight="1">
      <s:c r="A26215" s="112" t="inlineStr">
        <s:is>
          <s:t>Kết quả tình huống</s:t>
        </s:is>
      </s:c>
      <s:c r="B26215" s="113">
        <s:f>IF(SUM(IF(EXACT('Kiểm thử'!E26222,"Không đạt"),1,0),IF(EXACT('Kiểm thử'!E26224,"Không đạt"),1,0),IF(EXACT('Kiểm thử'!E26226,"Không đạt"),1,0),IF(EXACT('Kiểm thử'!E26228,"Không đạt"),1,0))&gt;0,"Không đạt",IF(SUM(IF(EXACT('Kiểm thử'!E26222,"Đạt"),1,0),IF(EXACT('Kiểm thử'!E26224,"Đạt"),1,0),IF(EXACT('Kiểm thử'!E26226,"Đạt"),1,0),IF(EXACT('Kiểm thử'!E26228,"Đạt"),1,0))=4,"Đạt",IF(SUM(IF(EXACT('Kiểm thử'!E26222,"Không thực hiện"),1,0),IF(EXACT('Kiểm thử'!E26224,"Không thực hiện"),1,0),IF(EXACT('Kiểm thử'!E26226,"Không thực hiện"),1,0),IF(EXACT('Kiểm thử'!E26228,"Không thực hiện"),1,0))=4,"Không thực hiện",IF(SUM(IF(EXACT('Kiểm thử'!E26222,"Bị chặn"),1,0),IF(EXACT('Kiểm thử'!E26224,"Bị chặn"),1,0),IF(EXACT('Kiểm thử'!E26226,"Bị chặn"),1,0),IF(EXACT('Kiểm thử'!E26228,"Bị chặn"),1,0))&gt;0,"Bị chặn",IF(SUM(IF(EXACT('Kiểm thử'!E26222,"Chưa thực hiện"),1,0),IF(EXACT('Kiểm thử'!E26224,"Chưa thực hiện"),1,0),IF(EXACT('Kiểm thử'!E26226,"Chưa thực hiện"),1,0),IF(EXACT('Kiểm thử'!E26228,"Chưa thực hiện"),1,0))=4,"Chưa thực hiện","Đang thực hiện")))))</s:f>
        <s:v/>
      </s:c>
      <s:c r="C26215" s="114" t="n"/>
      <s:c r="D26215" s="114" t="n"/>
      <s:c r="E26215" s="114" t="n"/>
    </s:row>
    <s:row r="26216" ht="20" customHeight="1">
      <s:c r="A26216" s="112" t="inlineStr">
        <s:is>
          <s:t>Màn hình / chức năng</s:t>
        </s:is>
      </s:c>
      <s:c r="B26216" s="113" t="inlineStr">
        <s:is>
          <s:r>
            <s:rPr>
              <s:b val="1"/>
            </s:rPr>
            <s:t>Thiết lập ngưỡng（基準設定）</s:t>
          </s:r>
        </s:is>
      </s:c>
      <s:c r="C26216" s="28" t="n"/>
      <s:c r="D26216" s="28" t="n"/>
      <s:c r="E26216" s="28" t="n"/>
    </s:row>
    <s:row r="26217" ht="20" customHeight="1">
      <s:c r="A26217" s="112" t="inlineStr">
        <s:is>
          <s:t>Cấu hình</s:t>
        </s:is>
      </s:c>
      <s:c r="B26217" s="113" t="inlineStr">
        <s:is>
          <s:r>
            <s:t>• Mục số nguyên (</s:t>
          </s:r>
          <s:r>
            <s:rPr>
              <s:b val="1"/>
            </s:rPr>
            <s:t>M=100</s:t>
          </s:r>
          <s:r>
            <s:t>) (</s:t>
          </s:r>
          <s:r>
            <s:rPr>
              <s:b val="1"/>
            </s:rPr>
            <s:t>M=100</s:t>
          </s:r>
          <s:r>
            <s:t>).</s:t>
          </s:r>
        </s:is>
      </s:c>
      <s:c r="C26217" s="28" t="n"/>
      <s:c r="D26217" s="28" t="n"/>
      <s:c r="E26217" s="28" t="n"/>
    </s:row>
    <s:row r="26218" ht="48" customHeight="1">
      <s:c r="A26218" s="112" t="inlineStr">
        <s:is>
          <s:t>Dữ liệu test</s:t>
        </s:is>
      </s:c>
      <s:c r="B26218" s="113" t="inlineStr">
        <s:is>
          <s:r>
            <s:t>• Mục số nguyên (</s:t>
          </s:r>
          <s:r>
            <s:rPr>
              <s:b val="1"/>
            </s:rPr>
            <s:t>M=100</s:t>
          </s:r>
          <s:r>
            <s:t>);
• N = 0: S = 0;
• N = 100: S = 99, 100</s:t>
          </s:r>
        </s:is>
      </s:c>
      <s:c r="C26218" s="28" t="n"/>
      <s:c r="D26218" s="28" t="n"/>
      <s:c r="E26218" s="28" t="n"/>
    </s:row>
    <s:row r="26219" ht="20" customHeight="1">
      <s:c r="A26219" s="112" t="inlineStr">
        <s:is>
          <s:t>•</s:t>
        </s:is>
      </s:c>
      <s:c r="B26219" s="113" t="inlineStr">
        <s:is>
          <s:t>Xét từng cấu hình với [&lt;] và [≤].</s:t>
        </s:is>
      </s:c>
      <s:c r="C26219" s="28" t="n"/>
      <s:c r="D26219" s="28" t="n"/>
      <s:c r="E26219" s="28" t="n"/>
    </s:row>
    <s:row r="26220" ht="28" customHeight="1">
      <s:c r="A26220" s="115" t="inlineStr">
        <s:is>
          <s:t>Trường hợp</s:t>
        </s:is>
      </s:c>
      <s:c r="B26220" s="115" t="inlineStr">
        <s:is>
          <s:t>Dữ liệu / thao tác riêng</s:t>
        </s:is>
      </s:c>
      <s:c r="C26220" s="115" t="inlineStr">
        <s:is>
          <s:t>Kết quả mong đợi</s:t>
        </s:is>
      </s:c>
      <s:c r="D26220" s="115" t="inlineStr">
        <s:is>
          <s:t>Kết quả thực tế</s:t>
        </s:is>
      </s:c>
      <s:c r="E26220" s="115" t="inlineStr">
        <s:is>
          <s:t>Đánh giá</s:t>
        </s:is>
      </s:c>
    </s:row>
    <s:row r="26221" ht="3" customHeight="1">
      <s:c r="A26221" s="102" t="inlineStr"/>
      <s:c r="B26221" s="99" t="n"/>
      <s:c r="C26221" s="99" t="n"/>
      <s:c r="D26221" s="116" t="n"/>
      <s:c r="E26221" s="116" t="n"/>
    </s:row>
    <s:row r="26222" ht="20" customHeight="1">
      <s:c r="A26222" s="83" t="inlineStr">
        <s:is>
          <s:t>N0 nhỏ hơn (zero-lt)</s:t>
        </s:is>
      </s:c>
      <s:c r="B26222" s="83" t="inlineStr">
        <s:is>
          <s:r>
            <s:rPr>
              <s:b val="1"/>
            </s:rPr>
            <s:t>N=0</s:t>
          </s:r>
          <s:r>
            <s:t>/</s:t>
          </s:r>
          <s:r>
            <s:rPr>
              <s:b val="1"/>
            </s:rPr>
            <s:t>M=100</s:t>
          </s:r>
          <s:r>
            <s:t>/</s:t>
          </s:r>
          <s:r>
            <s:rPr>
              <s:b val="1"/>
            </s:rPr>
            <s:t>S=0</s:t>
          </s:r>
          <s:r>
            <s:t>, dấu &lt;; chạy xét.</s:t>
          </s:r>
        </s:is>
      </s:c>
      <s:c r="C26222" s="83" t="inlineStr">
        <s:is>
          <s:r>
            <s:rPr>
              <s:b val="1"/>
            </s:rPr>
            <s:t>N=0</s:t>
          </s:r>
          <s:r>
            <s:t xml:space="preserve">, </s:t>
          </s:r>
          <s:r>
            <s:rPr>
              <s:b val="1"/>
            </s:rPr>
            <s:t>T=0</s:t>
          </s:r>
          <s:r>
            <s:t xml:space="preserve">, </s:t>
          </s:r>
          <s:r>
            <s:rPr>
              <s:b val="1"/>
            </s:rPr>
            <s:t>S=0</s:t>
          </s:r>
          <s:r>
            <s:t xml:space="preserve">, dấu &lt; → </s:t>
          </s:r>
          <s:r>
            <s:rPr>
              <s:b val="1"/>
            </s:rPr>
            <s:t>Không đỏ</s:t>
          </s:r>
          <s:r>
            <s:t>.</s:t>
          </s:r>
        </s:is>
      </s:c>
      <s:c r="D26222" s="117" t="inlineStr"/>
      <s:c r="E26222" s="118" t="inlineStr">
        <s:is>
          <s:t>Chưa thực hiện</s:t>
        </s:is>
      </s:c>
    </s:row>
    <s:row r="26223" ht="3" customHeight="1">
      <s:c r="A26223" s="102" t="inlineStr"/>
      <s:c r="B26223" s="99" t="n"/>
      <s:c r="C26223" s="99" t="n"/>
      <s:c r="D26223" s="116" t="n"/>
      <s:c r="E26223" s="116" t="n"/>
    </s:row>
    <s:row r="26224" ht="34" customHeight="1">
      <s:c r="A26224" s="83" t="inlineStr">
        <s:is>
          <s:t>N0 nhỏ hơn hoặc bằng (zero-le)</s:t>
        </s:is>
      </s:c>
      <s:c r="B26224" s="83" t="inlineStr">
        <s:is>
          <s:r>
            <s:rPr>
              <s:b val="1"/>
            </s:rPr>
            <s:t>N=0</s:t>
          </s:r>
          <s:r>
            <s:t>/</s:t>
          </s:r>
          <s:r>
            <s:rPr>
              <s:b val="1"/>
            </s:rPr>
            <s:t>M=100</s:t>
          </s:r>
          <s:r>
            <s:t>/</s:t>
          </s:r>
          <s:r>
            <s:rPr>
              <s:b val="1"/>
            </s:rPr>
            <s:t>S=0</s:t>
          </s:r>
          <s:r>
            <s:t>, dấu ≤; chạy xét.</s:t>
          </s:r>
        </s:is>
      </s:c>
      <s:c r="C26224" s="83" t="inlineStr">
        <s:is>
          <s:r>
            <s:rPr>
              <s:b val="1"/>
            </s:rPr>
            <s:t>N=0</s:t>
          </s:r>
          <s:r>
            <s:t xml:space="preserve">, </s:t>
          </s:r>
          <s:r>
            <s:rPr>
              <s:b val="1"/>
            </s:rPr>
            <s:t>T=0</s:t>
          </s:r>
          <s:r>
            <s:t xml:space="preserve">, </s:t>
          </s:r>
          <s:r>
            <s:rPr>
              <s:b val="1"/>
            </s:rPr>
            <s:t>S=0</s:t>
          </s:r>
          <s:r>
            <s:t xml:space="preserve">, dấu ≤ → </s:t>
          </s:r>
          <s:r>
            <s:rPr>
              <s:b val="1"/>
            </s:rPr>
            <s:t>Đỏ</s:t>
          </s:r>
          <s:r>
            <s:t>.</s:t>
          </s:r>
        </s:is>
      </s:c>
      <s:c r="D26224" s="117" t="inlineStr"/>
      <s:c r="E26224" s="118" t="inlineStr">
        <s:is>
          <s:t>Chưa thực hiện</s:t>
        </s:is>
      </s:c>
    </s:row>
    <s:row r="26225" ht="3" customHeight="1">
      <s:c r="A26225" s="102" t="inlineStr"/>
      <s:c r="B26225" s="99" t="n"/>
      <s:c r="C26225" s="99" t="n"/>
      <s:c r="D26225" s="116" t="n"/>
      <s:c r="E26225" s="116" t="n"/>
    </s:row>
    <s:row r="26226" ht="34" customHeight="1">
      <s:c r="A26226" s="83" t="inlineStr">
        <s:is>
          <s:t>N100 nhỏ hơn (hundred-lt)</s:t>
        </s:is>
      </s:c>
      <s:c r="B26226" s="83" t="inlineStr">
        <s:is>
          <s:r>
            <s:rPr>
              <s:b val="1"/>
            </s:rPr>
            <s:t>N=100</s:t>
          </s:r>
          <s:r>
            <s:t>/</s:t>
          </s:r>
          <s:r>
            <s:rPr>
              <s:b val="1"/>
            </s:rPr>
            <s:t>M=100</s:t>
          </s:r>
          <s:r>
            <s:t>/</s:t>
          </s:r>
          <s:r>
            <s:rPr>
              <s:b val="1"/>
            </s:rPr>
            <s:t>S=99</s:t>
          </s:r>
          <s:r>
            <s:t xml:space="preserve"> và100, dấu &lt;; chạy xét.</s:t>
          </s:r>
        </s:is>
      </s:c>
      <s:c r="C26226" s="83" t="inlineStr">
        <s:is>
          <s:r>
            <s:rPr>
              <s:b val="1"/>
            </s:rPr>
            <s:t>N=100</s:t>
          </s:r>
          <s:r>
            <s:t xml:space="preserve">, </s:t>
          </s:r>
          <s:r>
            <s:rPr>
              <s:b val="1"/>
            </s:rPr>
            <s:t>T=100</s:t>
          </s:r>
          <s:r>
            <s:t xml:space="preserve">, dấu &lt;: </s:t>
          </s:r>
          <s:r>
            <s:rPr>
              <s:b val="1"/>
            </s:rPr>
            <s:t>S=99</s:t>
          </s:r>
          <s:r>
            <s:t xml:space="preserve"> </s:t>
          </s:r>
          <s:r>
            <s:rPr>
              <s:b val="1"/>
            </s:rPr>
            <s:t>Đỏ</s:t>
          </s:r>
          <s:r>
            <s:t xml:space="preserve">, </s:t>
          </s:r>
          <s:r>
            <s:rPr>
              <s:b val="1"/>
            </s:rPr>
            <s:t>S=100</s:t>
          </s:r>
          <s:r>
            <s:t xml:space="preserve"> </s:t>
          </s:r>
          <s:r>
            <s:rPr>
              <s:b val="1"/>
            </s:rPr>
            <s:t>Không đỏ</s:t>
          </s:r>
          <s:r>
            <s:t>.</s:t>
          </s:r>
        </s:is>
      </s:c>
      <s:c r="D26226" s="117" t="inlineStr"/>
      <s:c r="E26226" s="118" t="inlineStr">
        <s:is>
          <s:t>Chưa thực hiện</s:t>
        </s:is>
      </s:c>
    </s:row>
    <s:row r="26227" ht="3" customHeight="1">
      <s:c r="A26227" s="102" t="inlineStr"/>
      <s:c r="B26227" s="99" t="n"/>
      <s:c r="C26227" s="99" t="n"/>
      <s:c r="D26227" s="116" t="n"/>
      <s:c r="E26227" s="116" t="n"/>
    </s:row>
    <s:row r="26228" ht="34" customHeight="1">
      <s:c r="A26228" s="83" t="inlineStr">
        <s:is>
          <s:t>N100 nhỏ hơn hoặc bằng (hundred-le)</s:t>
        </s:is>
      </s:c>
      <s:c r="B26228" s="83" t="inlineStr">
        <s:is>
          <s:r>
            <s:rPr>
              <s:b val="1"/>
            </s:rPr>
            <s:t>N=100</s:t>
          </s:r>
          <s:r>
            <s:t>/</s:t>
          </s:r>
          <s:r>
            <s:rPr>
              <s:b val="1"/>
            </s:rPr>
            <s:t>M=100</s:t>
          </s:r>
          <s:r>
            <s:t>/</s:t>
          </s:r>
          <s:r>
            <s:rPr>
              <s:b val="1"/>
            </s:rPr>
            <s:t>S=99</s:t>
          </s:r>
          <s:r>
            <s:t xml:space="preserve"> và100, dấu ≤; chạy xét.</s:t>
          </s:r>
        </s:is>
      </s:c>
      <s:c r="C26228" s="83" t="inlineStr">
        <s:is>
          <s:r>
            <s:rPr>
              <s:b val="1"/>
            </s:rPr>
            <s:t>N=100</s:t>
          </s:r>
          <s:r>
            <s:t xml:space="preserve">, </s:t>
          </s:r>
          <s:r>
            <s:rPr>
              <s:b val="1"/>
            </s:rPr>
            <s:t>T=100</s:t>
          </s:r>
          <s:r>
            <s:t xml:space="preserve">, dấu ≤: </s:t>
          </s:r>
          <s:r>
            <s:rPr>
              <s:b val="1"/>
            </s:rPr>
            <s:t>S=99</s:t>
          </s:r>
          <s:r>
            <s:t xml:space="preserve"> </s:t>
          </s:r>
          <s:r>
            <s:rPr>
              <s:b val="1"/>
            </s:rPr>
            <s:t>Đỏ</s:t>
          </s:r>
          <s:r>
            <s:t xml:space="preserve">, </s:t>
          </s:r>
          <s:r>
            <s:rPr>
              <s:b val="1"/>
            </s:rPr>
            <s:t>S=100</s:t>
          </s:r>
          <s:r>
            <s:t xml:space="preserve"> </s:t>
          </s:r>
          <s:r>
            <s:rPr>
              <s:b val="1"/>
            </s:rPr>
            <s:t>Đỏ</s:t>
          </s:r>
          <s:r>
            <s:t>.</s:t>
          </s:r>
        </s:is>
      </s:c>
      <s:c r="D26228" s="117" t="inlineStr"/>
      <s:c r="E26228" s="118" t="inlineStr">
        <s:is>
          <s:t>Chưa thực hiện</s:t>
        </s:is>
      </s:c>
    </s:row>
    <s:row r="26229" ht="20" customHeight="1">
      <s:c r="A26229" s="119" t="inlineStr">
        <s:is>
          <s:t>Ảnh minh chứng — Chưa có ảnh</s:t>
        </s:is>
      </s:c>
      <s:c r="B26229" s="19" t="n"/>
      <s:c r="C26229" s="19" t="n"/>
      <s:c r="D26229" s="19" t="n"/>
      <s:c r="E26229" s="19" t="n"/>
    </s:row>
    <s:row r="26230" hidden="1" ht="1" customHeight="1">
      <s:c r="A26230" s="120" t="inlineStr"/>
      <s:c r="B26230" s="121" t="n"/>
      <s:c r="C26230" s="121" t="n"/>
      <s:c r="D26230" s="121" t="n"/>
      <s:c r="E26230" s="122" t="n"/>
    </s:row>
    <s:row r="26231" hidden="1" ht="1" customHeight="1">
      <s:c r="A26231" s="120" t="inlineStr"/>
      <s:c r="B26231" s="121" t="n"/>
      <s:c r="C26231" s="121" t="n"/>
      <s:c r="D26231" s="121" t="n"/>
      <s:c r="E26231" s="122" t="n"/>
    </s:row>
    <s:row r="26232" hidden="1" ht="1" customHeight="1">
      <s:c r="A26232" s="120" t="inlineStr"/>
      <s:c r="B26232" s="121" t="n"/>
      <s:c r="C26232" s="121" t="n"/>
      <s:c r="D26232" s="121" t="n"/>
      <s:c r="E26232" s="122" t="n"/>
    </s:row>
    <s:row r="26233" hidden="1" ht="1" customHeight="1">
      <s:c r="A26233" s="120" t="inlineStr"/>
      <s:c r="B26233" s="121" t="n"/>
      <s:c r="C26233" s="121" t="n"/>
      <s:c r="D26233" s="121" t="n"/>
      <s:c r="E26233" s="122" t="n"/>
    </s:row>
    <s:row r="26234" hidden="1" ht="1" customHeight="1">
      <s:c r="A26234" s="120" t="inlineStr"/>
      <s:c r="B26234" s="121" t="n"/>
      <s:c r="C26234" s="121" t="n"/>
      <s:c r="D26234" s="121" t="n"/>
      <s:c r="E26234" s="122" t="n"/>
    </s:row>
    <s:row r="26235" hidden="1" ht="1" customHeight="1">
      <s:c r="A26235" s="120" t="inlineStr"/>
      <s:c r="B26235" s="121" t="n"/>
      <s:c r="C26235" s="121" t="n"/>
      <s:c r="D26235" s="121" t="n"/>
      <s:c r="E26235" s="122" t="n"/>
    </s:row>
    <s:row r="26236" hidden="1" ht="1" customHeight="1">
      <s:c r="A26236" s="120" t="inlineStr"/>
      <s:c r="B26236" s="121" t="n"/>
      <s:c r="C26236" s="121" t="n"/>
      <s:c r="D26236" s="121" t="n"/>
      <s:c r="E26236" s="122" t="n"/>
    </s:row>
    <s:row r="26237" hidden="1" ht="1" customHeight="1">
      <s:c r="A26237" s="120" t="inlineStr"/>
      <s:c r="B26237" s="121" t="n"/>
      <s:c r="C26237" s="121" t="n"/>
      <s:c r="D26237" s="121" t="n"/>
      <s:c r="E26237" s="122" t="n"/>
    </s:row>
    <s:row r="26238" hidden="1" ht="1" customHeight="1">
      <s:c r="A26238" s="120" t="inlineStr"/>
      <s:c r="B26238" s="121" t="n"/>
      <s:c r="C26238" s="121" t="n"/>
      <s:c r="D26238" s="121" t="n"/>
      <s:c r="E26238" s="122" t="n"/>
    </s:row>
    <s:row r="26239" hidden="1" ht="1" customHeight="1">
      <s:c r="A26239" s="120" t="inlineStr"/>
      <s:c r="B26239" s="121" t="n"/>
      <s:c r="C26239" s="121" t="n"/>
      <s:c r="D26239" s="121" t="n"/>
      <s:c r="E26239" s="122" t="n"/>
    </s:row>
    <s:row r="26240" hidden="1" ht="1" customHeight="1">
      <s:c r="A26240" s="120" t="inlineStr"/>
      <s:c r="B26240" s="121" t="n"/>
      <s:c r="C26240" s="121" t="n"/>
      <s:c r="D26240" s="121" t="n"/>
      <s:c r="E26240" s="122" t="n"/>
    </s:row>
    <s:row r="26241" hidden="1" ht="1" customHeight="1">
      <s:c r="A26241" s="120" t="inlineStr"/>
      <s:c r="B26241" s="121" t="n"/>
      <s:c r="C26241" s="121" t="n"/>
      <s:c r="D26241" s="121" t="n"/>
      <s:c r="E26241" s="122" t="n"/>
    </s:row>
    <s:row r="26242" hidden="1" ht="1" customHeight="1">
      <s:c r="A26242" s="120" t="inlineStr"/>
      <s:c r="B26242" s="121" t="n"/>
      <s:c r="C26242" s="121" t="n"/>
      <s:c r="D26242" s="121" t="n"/>
      <s:c r="E26242" s="122" t="n"/>
    </s:row>
    <s:row r="26243" hidden="1" ht="1" customHeight="1">
      <s:c r="A26243" s="120" t="inlineStr"/>
      <s:c r="B26243" s="121" t="n"/>
      <s:c r="C26243" s="121" t="n"/>
      <s:c r="D26243" s="121" t="n"/>
      <s:c r="E26243" s="122" t="n"/>
    </s:row>
    <s:row r="26244" hidden="1" ht="1" customHeight="1">
      <s:c r="A26244" s="120" t="inlineStr"/>
      <s:c r="B26244" s="121" t="n"/>
      <s:c r="C26244" s="121" t="n"/>
      <s:c r="D26244" s="121" t="n"/>
      <s:c r="E26244" s="122" t="n"/>
    </s:row>
    <s:row r="26245" hidden="1" ht="1" customHeight="1">
      <s:c r="A26245" s="120" t="inlineStr"/>
      <s:c r="B26245" s="121" t="n"/>
      <s:c r="C26245" s="121" t="n"/>
      <s:c r="D26245" s="121" t="n"/>
      <s:c r="E26245" s="122" t="n"/>
    </s:row>
    <s:row r="26246" hidden="1" ht="1" customHeight="1">
      <s:c r="A26246" s="120" t="inlineStr"/>
      <s:c r="B26246" s="121" t="n"/>
      <s:c r="C26246" s="121" t="n"/>
      <s:c r="D26246" s="121" t="n"/>
      <s:c r="E26246" s="122" t="n"/>
    </s:row>
    <s:row r="26247" hidden="1" ht="1" customHeight="1">
      <s:c r="A26247" s="120" t="inlineStr"/>
      <s:c r="B26247" s="121" t="n"/>
      <s:c r="C26247" s="121" t="n"/>
      <s:c r="D26247" s="121" t="n"/>
      <s:c r="E26247" s="122" t="n"/>
    </s:row>
    <s:row r="26248" hidden="1" ht="1" customHeight="1">
      <s:c r="A26248" s="120" t="inlineStr"/>
      <s:c r="B26248" s="121" t="n"/>
      <s:c r="C26248" s="121" t="n"/>
      <s:c r="D26248" s="121" t="n"/>
      <s:c r="E26248" s="122" t="n"/>
    </s:row>
    <s:row r="26249" hidden="1" ht="1" customHeight="1">
      <s:c r="A26249" s="120" t="inlineStr"/>
      <s:c r="B26249" s="121" t="n"/>
      <s:c r="C26249" s="121" t="n"/>
      <s:c r="D26249" s="121" t="n"/>
      <s:c r="E26249" s="122" t="n"/>
    </s:row>
    <s:row r="26250" hidden="1" ht="1" customHeight="1">
      <s:c r="A26250" s="120" t="inlineStr"/>
      <s:c r="B26250" s="121" t="n"/>
      <s:c r="C26250" s="121" t="n"/>
      <s:c r="D26250" s="121" t="n"/>
      <s:c r="E26250" s="122" t="n"/>
    </s:row>
    <s:row r="26251" hidden="1" ht="1" customHeight="1">
      <s:c r="A26251" s="120" t="inlineStr"/>
      <s:c r="B26251" s="121" t="n"/>
      <s:c r="C26251" s="121" t="n"/>
      <s:c r="D26251" s="121" t="n"/>
      <s:c r="E26251" s="122" t="n"/>
    </s:row>
    <s:row r="26252" hidden="1" ht="1" customHeight="1">
      <s:c r="A26252" s="120" t="inlineStr"/>
      <s:c r="B26252" s="121" t="n"/>
      <s:c r="C26252" s="121" t="n"/>
      <s:c r="D26252" s="121" t="n"/>
      <s:c r="E26252" s="122" t="n"/>
    </s:row>
    <s:row r="26253" hidden="1" ht="1" customHeight="1">
      <s:c r="A26253" s="120" t="inlineStr"/>
      <s:c r="B26253" s="121" t="n"/>
      <s:c r="C26253" s="121" t="n"/>
      <s:c r="D26253" s="121" t="n"/>
      <s:c r="E26253" s="122" t="n"/>
    </s:row>
    <s:row r="26254" hidden="1" ht="1" customHeight="1">
      <s:c r="A26254" s="120" t="inlineStr"/>
      <s:c r="B26254" s="121" t="n"/>
      <s:c r="C26254" s="121" t="n"/>
      <s:c r="D26254" s="121" t="n"/>
      <s:c r="E26254" s="122" t="n"/>
    </s:row>
    <s:row r="26255" hidden="1" ht="1" customHeight="1">
      <s:c r="A26255" s="120" t="inlineStr"/>
      <s:c r="B26255" s="121" t="n"/>
      <s:c r="C26255" s="121" t="n"/>
      <s:c r="D26255" s="121" t="n"/>
      <s:c r="E26255" s="122" t="n"/>
    </s:row>
    <s:row r="26256" hidden="1" ht="1" customHeight="1">
      <s:c r="A26256" s="120" t="inlineStr"/>
      <s:c r="B26256" s="121" t="n"/>
      <s:c r="C26256" s="121" t="n"/>
      <s:c r="D26256" s="121" t="n"/>
      <s:c r="E26256" s="122" t="n"/>
    </s:row>
    <s:row r="26257" hidden="1" ht="1" customHeight="1">
      <s:c r="A26257" s="120" t="inlineStr"/>
      <s:c r="B26257" s="121" t="n"/>
      <s:c r="C26257" s="121" t="n"/>
      <s:c r="D26257" s="121" t="n"/>
      <s:c r="E26257" s="122" t="n"/>
    </s:row>
    <s:row r="26258" hidden="1" ht="1" customHeight="1">
      <s:c r="A26258" s="120" t="inlineStr"/>
      <s:c r="B26258" s="121" t="n"/>
      <s:c r="C26258" s="121" t="n"/>
      <s:c r="D26258" s="121" t="n"/>
      <s:c r="E26258" s="122" t="n"/>
    </s:row>
    <s:row r="26259" hidden="1" ht="1" customHeight="1">
      <s:c r="A26259" s="120" t="inlineStr"/>
      <s:c r="B26259" s="121" t="n"/>
      <s:c r="C26259" s="121" t="n"/>
      <s:c r="D26259" s="121" t="n"/>
      <s:c r="E26259" s="122" t="n"/>
    </s:row>
    <s:row r="26260" hidden="1" ht="1" customHeight="1">
      <s:c r="A26260" s="120" t="inlineStr"/>
      <s:c r="B26260" s="121" t="n"/>
      <s:c r="C26260" s="121" t="n"/>
      <s:c r="D26260" s="121" t="n"/>
      <s:c r="E26260" s="122" t="n"/>
    </s:row>
    <s:row r="26261" hidden="1" ht="1" customHeight="1">
      <s:c r="A26261" s="120" t="inlineStr"/>
      <s:c r="B26261" s="121" t="n"/>
      <s:c r="C26261" s="121" t="n"/>
      <s:c r="D26261" s="121" t="n"/>
      <s:c r="E26261" s="122" t="n"/>
    </s:row>
    <s:row r="26262" hidden="1" ht="1" customHeight="1">
      <s:c r="A26262" s="120" t="inlineStr"/>
      <s:c r="B26262" s="121" t="n"/>
      <s:c r="C26262" s="121" t="n"/>
      <s:c r="D26262" s="121" t="n"/>
      <s:c r="E26262" s="122" t="n"/>
    </s:row>
    <s:row r="26263" hidden="1" ht="1" customHeight="1">
      <s:c r="A26263" s="120" t="inlineStr"/>
      <s:c r="B26263" s="121" t="n"/>
      <s:c r="C26263" s="121" t="n"/>
      <s:c r="D26263" s="121" t="n"/>
      <s:c r="E26263" s="122" t="n"/>
    </s:row>
    <s:row r="26264" hidden="1" ht="1" customHeight="1">
      <s:c r="A26264" s="120" t="inlineStr"/>
      <s:c r="B26264" s="121" t="n"/>
      <s:c r="C26264" s="121" t="n"/>
      <s:c r="D26264" s="121" t="n"/>
      <s:c r="E26264" s="122" t="n"/>
    </s:row>
    <s:row r="26265" hidden="1" ht="1" customHeight="1">
      <s:c r="A26265" s="120" t="inlineStr"/>
      <s:c r="B26265" s="121" t="n"/>
      <s:c r="C26265" s="121" t="n"/>
      <s:c r="D26265" s="121" t="n"/>
      <s:c r="E26265" s="122" t="n"/>
    </s:row>
    <s:row r="26266" hidden="1" ht="1" customHeight="1">
      <s:c r="A26266" s="120" t="inlineStr"/>
      <s:c r="B26266" s="121" t="n"/>
      <s:c r="C26266" s="121" t="n"/>
      <s:c r="D26266" s="121" t="n"/>
      <s:c r="E26266" s="122" t="n"/>
    </s:row>
    <s:row r="26267" hidden="1" ht="1" customHeight="1">
      <s:c r="A26267" s="120" t="inlineStr"/>
      <s:c r="B26267" s="121" t="n"/>
      <s:c r="C26267" s="121" t="n"/>
      <s:c r="D26267" s="121" t="n"/>
      <s:c r="E26267" s="122" t="n"/>
    </s:row>
    <s:row r="26268" hidden="1" ht="1" customHeight="1">
      <s:c r="A26268" s="120" t="inlineStr"/>
      <s:c r="B26268" s="121" t="n"/>
      <s:c r="C26268" s="121" t="n"/>
      <s:c r="D26268" s="121" t="n"/>
      <s:c r="E26268" s="122" t="n"/>
    </s:row>
    <s:row r="26269" hidden="1" ht="1" customHeight="1">
      <s:c r="A26269" s="120" t="inlineStr"/>
      <s:c r="B26269" s="121" t="n"/>
      <s:c r="C26269" s="121" t="n"/>
      <s:c r="D26269" s="121" t="n"/>
      <s:c r="E26269" s="122" t="n"/>
    </s:row>
    <s:row r="26270" hidden="1" ht="1" customHeight="1">
      <s:c r="A26270" s="120" t="inlineStr"/>
      <s:c r="B26270" s="121" t="n"/>
      <s:c r="C26270" s="121" t="n"/>
      <s:c r="D26270" s="121" t="n"/>
      <s:c r="E26270" s="122" t="n"/>
    </s:row>
    <s:row r="26271" hidden="1" ht="1" customHeight="1">
      <s:c r="A26271" s="120" t="inlineStr"/>
      <s:c r="B26271" s="121" t="n"/>
      <s:c r="C26271" s="121" t="n"/>
      <s:c r="D26271" s="121" t="n"/>
      <s:c r="E26271" s="122" t="n"/>
    </s:row>
    <s:row r="26272" hidden="1" ht="1" customHeight="1">
      <s:c r="A26272" s="120" t="inlineStr"/>
      <s:c r="B26272" s="121" t="n"/>
      <s:c r="C26272" s="121" t="n"/>
      <s:c r="D26272" s="121" t="n"/>
      <s:c r="E26272" s="122" t="n"/>
    </s:row>
    <s:row r="26273" hidden="1" ht="1" customHeight="1">
      <s:c r="A26273" s="120" t="inlineStr"/>
      <s:c r="B26273" s="121" t="n"/>
      <s:c r="C26273" s="121" t="n"/>
      <s:c r="D26273" s="121" t="n"/>
      <s:c r="E26273" s="122" t="n"/>
    </s:row>
    <s:row r="26274" hidden="1" ht="1" customHeight="1">
      <s:c r="A26274" s="120" t="inlineStr"/>
      <s:c r="B26274" s="121" t="n"/>
      <s:c r="C26274" s="121" t="n"/>
      <s:c r="D26274" s="121" t="n"/>
      <s:c r="E26274" s="122" t="n"/>
    </s:row>
    <s:row r="26275" hidden="1" ht="1" customHeight="1">
      <s:c r="A26275" s="120" t="inlineStr"/>
      <s:c r="B26275" s="121" t="n"/>
      <s:c r="C26275" s="121" t="n"/>
      <s:c r="D26275" s="121" t="n"/>
      <s:c r="E26275" s="122" t="n"/>
    </s:row>
    <s:row r="26276" hidden="1" ht="1" customHeight="1">
      <s:c r="A26276" s="120" t="inlineStr"/>
      <s:c r="B26276" s="121" t="n"/>
      <s:c r="C26276" s="121" t="n"/>
      <s:c r="D26276" s="121" t="n"/>
      <s:c r="E26276" s="122" t="n"/>
    </s:row>
    <s:row r="26277" hidden="1" ht="1" customHeight="1">
      <s:c r="A26277" s="120" t="inlineStr"/>
      <s:c r="B26277" s="121" t="n"/>
      <s:c r="C26277" s="121" t="n"/>
      <s:c r="D26277" s="121" t="n"/>
      <s:c r="E26277" s="122" t="n"/>
    </s:row>
    <s:row r="26278" hidden="1" ht="1" customHeight="1">
      <s:c r="A26278" s="120" t="inlineStr"/>
      <s:c r="B26278" s="121" t="n"/>
      <s:c r="C26278" s="121" t="n"/>
      <s:c r="D26278" s="121" t="n"/>
      <s:c r="E26278" s="122" t="n"/>
    </s:row>
    <s:row r="26279" hidden="1" ht="1" customHeight="1">
      <s:c r="A26279" s="120" t="inlineStr"/>
      <s:c r="B26279" s="121" t="n"/>
      <s:c r="C26279" s="121" t="n"/>
      <s:c r="D26279" s="121" t="n"/>
      <s:c r="E26279" s="122" t="n"/>
    </s:row>
    <s:row r="26280" hidden="1" ht="1" customHeight="1">
      <s:c r="A26280" s="120" t="inlineStr"/>
      <s:c r="B26280" s="121" t="n"/>
      <s:c r="C26280" s="121" t="n"/>
      <s:c r="D26280" s="121" t="n"/>
      <s:c r="E26280" s="122" t="n"/>
    </s:row>
    <s:row r="26281" hidden="1" ht="1" customHeight="1">
      <s:c r="A26281" s="120" t="inlineStr"/>
      <s:c r="B26281" s="121" t="n"/>
      <s:c r="C26281" s="121" t="n"/>
      <s:c r="D26281" s="121" t="n"/>
      <s:c r="E26281" s="122" t="n"/>
    </s:row>
    <s:row r="26282" hidden="1" ht="1" customHeight="1">
      <s:c r="A26282" s="120" t="inlineStr"/>
      <s:c r="B26282" s="121" t="n"/>
      <s:c r="C26282" s="121" t="n"/>
      <s:c r="D26282" s="121" t="n"/>
      <s:c r="E26282" s="122" t="n"/>
    </s:row>
    <s:row r="26283" hidden="1" ht="1" customHeight="1">
      <s:c r="A26283" s="120" t="inlineStr"/>
      <s:c r="B26283" s="121" t="n"/>
      <s:c r="C26283" s="121" t="n"/>
      <s:c r="D26283" s="121" t="n"/>
      <s:c r="E26283" s="122" t="n"/>
    </s:row>
    <s:row r="26284" hidden="1" ht="1" customHeight="1">
      <s:c r="A26284" s="120" t="inlineStr"/>
      <s:c r="B26284" s="121" t="n"/>
      <s:c r="C26284" s="121" t="n"/>
      <s:c r="D26284" s="121" t="n"/>
      <s:c r="E26284" s="122" t="n"/>
    </s:row>
    <s:row r="26285" hidden="1" ht="1" customHeight="1">
      <s:c r="A26285" s="120" t="inlineStr"/>
      <s:c r="B26285" s="121" t="n"/>
      <s:c r="C26285" s="121" t="n"/>
      <s:c r="D26285" s="121" t="n"/>
      <s:c r="E26285" s="122" t="n"/>
    </s:row>
    <s:row r="26286" hidden="1" ht="1" customHeight="1">
      <s:c r="A26286" s="120" t="inlineStr"/>
      <s:c r="B26286" s="121" t="n"/>
      <s:c r="C26286" s="121" t="n"/>
      <s:c r="D26286" s="121" t="n"/>
      <s:c r="E26286" s="122" t="n"/>
    </s:row>
    <s:row r="26287" hidden="1" ht="1" customHeight="1">
      <s:c r="A26287" s="120" t="inlineStr"/>
      <s:c r="B26287" s="121" t="n"/>
      <s:c r="C26287" s="121" t="n"/>
      <s:c r="D26287" s="121" t="n"/>
      <s:c r="E26287" s="122" t="n"/>
    </s:row>
    <s:row r="26288" hidden="1" ht="1" customHeight="1">
      <s:c r="A26288" s="120" t="inlineStr"/>
      <s:c r="B26288" s="121" t="n"/>
      <s:c r="C26288" s="121" t="n"/>
      <s:c r="D26288" s="121" t="n"/>
      <s:c r="E26288" s="122" t="n"/>
    </s:row>
    <s:row r="26289" hidden="1" ht="1" customHeight="1">
      <s:c r="A26289" s="120" t="inlineStr"/>
      <s:c r="B26289" s="121" t="n"/>
      <s:c r="C26289" s="121" t="n"/>
      <s:c r="D26289" s="121" t="n"/>
      <s:c r="E26289" s="122" t="n"/>
    </s:row>
    <s:row r="26290" hidden="1" ht="1" customHeight="1">
      <s:c r="A26290" s="120" t="inlineStr"/>
      <s:c r="B26290" s="121" t="n"/>
      <s:c r="C26290" s="121" t="n"/>
      <s:c r="D26290" s="121" t="n"/>
      <s:c r="E26290" s="122" t="n"/>
    </s:row>
    <s:row r="26291" hidden="1" ht="1" customHeight="1">
      <s:c r="A26291" s="120" t="inlineStr"/>
      <s:c r="B26291" s="121" t="n"/>
      <s:c r="C26291" s="121" t="n"/>
      <s:c r="D26291" s="121" t="n"/>
      <s:c r="E26291" s="122" t="n"/>
    </s:row>
    <s:row r="26292" hidden="1" ht="1" customHeight="1">
      <s:c r="A26292" s="120" t="inlineStr"/>
      <s:c r="B26292" s="121" t="n"/>
      <s:c r="C26292" s="121" t="n"/>
      <s:c r="D26292" s="121" t="n"/>
      <s:c r="E26292" s="122" t="n"/>
    </s:row>
    <s:row r="26293" hidden="1" ht="1" customHeight="1">
      <s:c r="A26293" s="120" t="inlineStr"/>
      <s:c r="B26293" s="121" t="n"/>
      <s:c r="C26293" s="121" t="n"/>
      <s:c r="D26293" s="121" t="n"/>
      <s:c r="E26293" s="122" t="n"/>
    </s:row>
    <s:row r="26294" hidden="1" ht="1" customHeight="1">
      <s:c r="A26294" s="120" t="inlineStr"/>
      <s:c r="B26294" s="121" t="n"/>
      <s:c r="C26294" s="121" t="n"/>
      <s:c r="D26294" s="121" t="n"/>
      <s:c r="E26294" s="122" t="n"/>
    </s:row>
    <s:row r="26295" hidden="1" ht="1" customHeight="1">
      <s:c r="A26295" s="120" t="inlineStr"/>
      <s:c r="B26295" s="121" t="n"/>
      <s:c r="C26295" s="121" t="n"/>
      <s:c r="D26295" s="121" t="n"/>
      <s:c r="E26295" s="122" t="n"/>
    </s:row>
    <s:row r="26296" hidden="1" ht="1" customHeight="1">
      <s:c r="A26296" s="120" t="inlineStr"/>
      <s:c r="B26296" s="121" t="n"/>
      <s:c r="C26296" s="121" t="n"/>
      <s:c r="D26296" s="121" t="n"/>
      <s:c r="E26296" s="122" t="n"/>
    </s:row>
    <s:row r="26297" hidden="1" ht="1" customHeight="1">
      <s:c r="A26297" s="120" t="inlineStr"/>
      <s:c r="B26297" s="121" t="n"/>
      <s:c r="C26297" s="121" t="n"/>
      <s:c r="D26297" s="121" t="n"/>
      <s:c r="E26297" s="122" t="n"/>
    </s:row>
    <s:row r="26298" hidden="1" ht="1" customHeight="1">
      <s:c r="A26298" s="120" t="inlineStr"/>
      <s:c r="B26298" s="121" t="n"/>
      <s:c r="C26298" s="121" t="n"/>
      <s:c r="D26298" s="121" t="n"/>
      <s:c r="E26298" s="122" t="n"/>
    </s:row>
    <s:row r="26299" hidden="1" ht="1" customHeight="1">
      <s:c r="A26299" s="120" t="inlineStr"/>
      <s:c r="B26299" s="121" t="n"/>
      <s:c r="C26299" s="121" t="n"/>
      <s:c r="D26299" s="121" t="n"/>
      <s:c r="E26299" s="122" t="n"/>
    </s:row>
    <s:row r="26300" hidden="1" ht="1" customHeight="1">
      <s:c r="A26300" s="120" t="inlineStr"/>
      <s:c r="B26300" s="121" t="n"/>
      <s:c r="C26300" s="121" t="n"/>
      <s:c r="D26300" s="121" t="n"/>
      <s:c r="E26300" s="122" t="n"/>
    </s:row>
    <s:row r="26301" hidden="1" ht="1" customHeight="1">
      <s:c r="A26301" s="120" t="inlineStr"/>
      <s:c r="B26301" s="121" t="n"/>
      <s:c r="C26301" s="121" t="n"/>
      <s:c r="D26301" s="121" t="n"/>
      <s:c r="E26301" s="122" t="n"/>
    </s:row>
    <s:row r="26302" hidden="1" ht="1" customHeight="1">
      <s:c r="A26302" s="120" t="inlineStr"/>
      <s:c r="B26302" s="121" t="n"/>
      <s:c r="C26302" s="121" t="n"/>
      <s:c r="D26302" s="121" t="n"/>
      <s:c r="E26302" s="122" t="n"/>
    </s:row>
    <s:row r="26303" hidden="1" ht="1" customHeight="1">
      <s:c r="A26303" s="120" t="inlineStr"/>
      <s:c r="B26303" s="121" t="n"/>
      <s:c r="C26303" s="121" t="n"/>
      <s:c r="D26303" s="121" t="n"/>
      <s:c r="E26303" s="122" t="n"/>
    </s:row>
    <s:row r="26304" hidden="1" ht="1" customHeight="1">
      <s:c r="A26304" s="120" t="inlineStr"/>
      <s:c r="B26304" s="121" t="n"/>
      <s:c r="C26304" s="121" t="n"/>
      <s:c r="D26304" s="121" t="n"/>
      <s:c r="E26304" s="122" t="n"/>
    </s:row>
    <s:row r="26305" hidden="1" ht="1" customHeight="1">
      <s:c r="A26305" s="120" t="inlineStr"/>
      <s:c r="B26305" s="121" t="n"/>
      <s:c r="C26305" s="121" t="n"/>
      <s:c r="D26305" s="121" t="n"/>
      <s:c r="E26305" s="122" t="n"/>
    </s:row>
    <s:row r="26306" hidden="1" ht="1" customHeight="1">
      <s:c r="A26306" s="120" t="inlineStr"/>
      <s:c r="B26306" s="121" t="n"/>
      <s:c r="C26306" s="121" t="n"/>
      <s:c r="D26306" s="121" t="n"/>
      <s:c r="E26306" s="122" t="n"/>
    </s:row>
    <s:row r="26307" hidden="1" ht="1" customHeight="1">
      <s:c r="A26307" s="120" t="inlineStr"/>
      <s:c r="B26307" s="121" t="n"/>
      <s:c r="C26307" s="121" t="n"/>
      <s:c r="D26307" s="121" t="n"/>
      <s:c r="E26307" s="122" t="n"/>
    </s:row>
    <s:row r="26308" hidden="1" ht="1" customHeight="1">
      <s:c r="A26308" s="120" t="inlineStr"/>
      <s:c r="B26308" s="121" t="n"/>
      <s:c r="C26308" s="121" t="n"/>
      <s:c r="D26308" s="121" t="n"/>
      <s:c r="E26308" s="122" t="n"/>
    </s:row>
    <s:row r="26309" hidden="1" ht="1" customHeight="1">
      <s:c r="A26309" s="120" t="inlineStr"/>
      <s:c r="B26309" s="121" t="n"/>
      <s:c r="C26309" s="121" t="n"/>
      <s:c r="D26309" s="121" t="n"/>
      <s:c r="E26309" s="122" t="n"/>
    </s:row>
    <s:row r="26310" hidden="1" ht="1" customHeight="1">
      <s:c r="A26310" s="120" t="inlineStr"/>
      <s:c r="B26310" s="121" t="n"/>
      <s:c r="C26310" s="121" t="n"/>
      <s:c r="D26310" s="121" t="n"/>
      <s:c r="E26310" s="122" t="n"/>
    </s:row>
    <s:row r="26311" hidden="1" ht="1" customHeight="1">
      <s:c r="A26311" s="120" t="inlineStr"/>
      <s:c r="B26311" s="121" t="n"/>
      <s:c r="C26311" s="121" t="n"/>
      <s:c r="D26311" s="121" t="n"/>
      <s:c r="E26311" s="122" t="n"/>
    </s:row>
    <s:row r="26312" hidden="1" ht="1" customHeight="1">
      <s:c r="A26312" s="120" t="inlineStr"/>
      <s:c r="B26312" s="121" t="n"/>
      <s:c r="C26312" s="121" t="n"/>
      <s:c r="D26312" s="121" t="n"/>
      <s:c r="E26312" s="122" t="n"/>
    </s:row>
    <s:row r="26313" hidden="1" ht="1" customHeight="1">
      <s:c r="A26313" s="120" t="inlineStr"/>
      <s:c r="B26313" s="121" t="n"/>
      <s:c r="C26313" s="121" t="n"/>
      <s:c r="D26313" s="121" t="n"/>
      <s:c r="E26313" s="122" t="n"/>
    </s:row>
    <s:row r="26314" hidden="1" ht="1" customHeight="1">
      <s:c r="A26314" s="120" t="inlineStr"/>
      <s:c r="B26314" s="121" t="n"/>
      <s:c r="C26314" s="121" t="n"/>
      <s:c r="D26314" s="121" t="n"/>
      <s:c r="E26314" s="122" t="n"/>
    </s:row>
    <s:row r="26315" hidden="1" ht="1" customHeight="1">
      <s:c r="A26315" s="120" t="inlineStr"/>
      <s:c r="B26315" s="121" t="n"/>
      <s:c r="C26315" s="121" t="n"/>
      <s:c r="D26315" s="121" t="n"/>
      <s:c r="E26315" s="122" t="n"/>
    </s:row>
    <s:row r="26316" hidden="1" ht="1" customHeight="1">
      <s:c r="A26316" s="120" t="inlineStr"/>
      <s:c r="B26316" s="121" t="n"/>
      <s:c r="C26316" s="121" t="n"/>
      <s:c r="D26316" s="121" t="n"/>
      <s:c r="E26316" s="122" t="n"/>
    </s:row>
    <s:row r="26317" hidden="1" ht="1" customHeight="1">
      <s:c r="A26317" s="120" t="inlineStr"/>
      <s:c r="B26317" s="121" t="n"/>
      <s:c r="C26317" s="121" t="n"/>
      <s:c r="D26317" s="121" t="n"/>
      <s:c r="E26317" s="122" t="n"/>
    </s:row>
    <s:row r="26318" hidden="1" ht="1" customHeight="1">
      <s:c r="A26318" s="120" t="inlineStr"/>
      <s:c r="B26318" s="121" t="n"/>
      <s:c r="C26318" s="121" t="n"/>
      <s:c r="D26318" s="121" t="n"/>
      <s:c r="E26318" s="122" t="n"/>
    </s:row>
    <s:row r="26319" hidden="1" ht="1" customHeight="1">
      <s:c r="A26319" s="120" t="inlineStr"/>
      <s:c r="B26319" s="121" t="n"/>
      <s:c r="C26319" s="121" t="n"/>
      <s:c r="D26319" s="121" t="n"/>
      <s:c r="E26319" s="122" t="n"/>
    </s:row>
    <s:row r="26320" hidden="1" ht="1" customHeight="1">
      <s:c r="A26320" s="120" t="inlineStr"/>
      <s:c r="B26320" s="121" t="n"/>
      <s:c r="C26320" s="121" t="n"/>
      <s:c r="D26320" s="121" t="n"/>
      <s:c r="E26320" s="122" t="n"/>
    </s:row>
    <s:row r="26321" hidden="1" ht="1" customHeight="1">
      <s:c r="A26321" s="120" t="inlineStr"/>
      <s:c r="B26321" s="121" t="n"/>
      <s:c r="C26321" s="121" t="n"/>
      <s:c r="D26321" s="121" t="n"/>
      <s:c r="E26321" s="122" t="n"/>
    </s:row>
    <s:row r="26322" hidden="1" ht="1" customHeight="1">
      <s:c r="A26322" s="120" t="inlineStr"/>
      <s:c r="B26322" s="121" t="n"/>
      <s:c r="C26322" s="121" t="n"/>
      <s:c r="D26322" s="121" t="n"/>
      <s:c r="E26322" s="122" t="n"/>
    </s:row>
    <s:row r="26323" hidden="1" ht="1" customHeight="1">
      <s:c r="A26323" s="120" t="inlineStr"/>
      <s:c r="B26323" s="121" t="n"/>
      <s:c r="C26323" s="121" t="n"/>
      <s:c r="D26323" s="121" t="n"/>
      <s:c r="E26323" s="122" t="n"/>
    </s:row>
    <s:row r="26324" hidden="1" ht="1" customHeight="1">
      <s:c r="A26324" s="120" t="inlineStr"/>
      <s:c r="B26324" s="121" t="n"/>
      <s:c r="C26324" s="121" t="n"/>
      <s:c r="D26324" s="121" t="n"/>
      <s:c r="E26324" s="122" t="n"/>
    </s:row>
    <s:row r="26325" hidden="1" ht="1" customHeight="1">
      <s:c r="A26325" s="120" t="inlineStr"/>
      <s:c r="B26325" s="121" t="n"/>
      <s:c r="C26325" s="121" t="n"/>
      <s:c r="D26325" s="121" t="n"/>
      <s:c r="E26325" s="122" t="n"/>
    </s:row>
    <s:row r="26326" hidden="1" ht="1" customHeight="1">
      <s:c r="A26326" s="120" t="inlineStr"/>
      <s:c r="B26326" s="121" t="n"/>
      <s:c r="C26326" s="121" t="n"/>
      <s:c r="D26326" s="121" t="n"/>
      <s:c r="E26326" s="122" t="n"/>
    </s:row>
    <s:row r="26327" hidden="1" ht="1" customHeight="1">
      <s:c r="A26327" s="120" t="inlineStr"/>
      <s:c r="B26327" s="121" t="n"/>
      <s:c r="C26327" s="121" t="n"/>
      <s:c r="D26327" s="121" t="n"/>
      <s:c r="E26327" s="122" t="n"/>
    </s:row>
    <s:row r="26328" hidden="1" ht="1" customHeight="1">
      <s:c r="A26328" s="120" t="inlineStr"/>
      <s:c r="B26328" s="121" t="n"/>
      <s:c r="C26328" s="121" t="n"/>
      <s:c r="D26328" s="121" t="n"/>
      <s:c r="E26328" s="122" t="n"/>
    </s:row>
    <s:row r="26329" hidden="1" ht="1" customHeight="1">
      <s:c r="A26329" s="120" t="inlineStr"/>
      <s:c r="B26329" s="121" t="n"/>
      <s:c r="C26329" s="121" t="n"/>
      <s:c r="D26329" s="121" t="n"/>
      <s:c r="E26329" s="122" t="n"/>
    </s:row>
    <s:row r="26330" hidden="1" ht="1" customHeight="1">
      <s:c r="A26330" s="120" t="inlineStr"/>
      <s:c r="B26330" s="121" t="n"/>
      <s:c r="C26330" s="121" t="n"/>
      <s:c r="D26330" s="121" t="n"/>
      <s:c r="E26330" s="122" t="n"/>
    </s:row>
    <s:row r="26331" hidden="1" ht="1" customHeight="1">
      <s:c r="A26331" s="120" t="inlineStr"/>
      <s:c r="B26331" s="121" t="n"/>
      <s:c r="C26331" s="121" t="n"/>
      <s:c r="D26331" s="121" t="n"/>
      <s:c r="E26331" s="122" t="n"/>
    </s:row>
    <s:row r="26332" hidden="1" ht="1" customHeight="1">
      <s:c r="A26332" s="120" t="inlineStr"/>
      <s:c r="B26332" s="121" t="n"/>
      <s:c r="C26332" s="121" t="n"/>
      <s:c r="D26332" s="121" t="n"/>
      <s:c r="E26332" s="122" t="n"/>
    </s:row>
    <s:row r="26333" hidden="1" ht="1" customHeight="1">
      <s:c r="A26333" s="120" t="inlineStr"/>
      <s:c r="B26333" s="121" t="n"/>
      <s:c r="C26333" s="121" t="n"/>
      <s:c r="D26333" s="121" t="n"/>
      <s:c r="E26333" s="122" t="n"/>
    </s:row>
    <s:row r="26334" hidden="1" ht="1" customHeight="1">
      <s:c r="A26334" s="120" t="inlineStr"/>
      <s:c r="B26334" s="121" t="n"/>
      <s:c r="C26334" s="121" t="n"/>
      <s:c r="D26334" s="121" t="n"/>
      <s:c r="E26334" s="122" t="n"/>
    </s:row>
    <s:row r="26335" hidden="1" ht="1" customHeight="1">
      <s:c r="A26335" s="120" t="inlineStr"/>
      <s:c r="B26335" s="121" t="n"/>
      <s:c r="C26335" s="121" t="n"/>
      <s:c r="D26335" s="121" t="n"/>
      <s:c r="E26335" s="122" t="n"/>
    </s:row>
    <s:row r="26336" hidden="1" ht="1" customHeight="1">
      <s:c r="A26336" s="120" t="inlineStr"/>
      <s:c r="B26336" s="121" t="n"/>
      <s:c r="C26336" s="121" t="n"/>
      <s:c r="D26336" s="121" t="n"/>
      <s:c r="E26336" s="122" t="n"/>
    </s:row>
    <s:row r="26337" hidden="1" ht="1" customHeight="1">
      <s:c r="A26337" s="120" t="inlineStr"/>
      <s:c r="B26337" s="121" t="n"/>
      <s:c r="C26337" s="121" t="n"/>
      <s:c r="D26337" s="121" t="n"/>
      <s:c r="E26337" s="122" t="n"/>
    </s:row>
    <s:row r="26338" hidden="1" ht="1" customHeight="1">
      <s:c r="A26338" s="120" t="inlineStr"/>
      <s:c r="B26338" s="121" t="n"/>
      <s:c r="C26338" s="121" t="n"/>
      <s:c r="D26338" s="121" t="n"/>
      <s:c r="E26338" s="122" t="n"/>
    </s:row>
    <s:row r="26339" hidden="1" ht="1" customHeight="1">
      <s:c r="A26339" s="120" t="inlineStr"/>
      <s:c r="B26339" s="121" t="n"/>
      <s:c r="C26339" s="121" t="n"/>
      <s:c r="D26339" s="121" t="n"/>
      <s:c r="E26339" s="122" t="n"/>
    </s:row>
    <s:row r="26340" hidden="1" ht="1" customHeight="1">
      <s:c r="A26340" s="120" t="inlineStr"/>
      <s:c r="B26340" s="121" t="n"/>
      <s:c r="C26340" s="121" t="n"/>
      <s:c r="D26340" s="121" t="n"/>
      <s:c r="E26340" s="122" t="n"/>
    </s:row>
    <s:row r="26341" hidden="1" ht="1" customHeight="1">
      <s:c r="A26341" s="120" t="inlineStr"/>
      <s:c r="B26341" s="121" t="n"/>
      <s:c r="C26341" s="121" t="n"/>
      <s:c r="D26341" s="121" t="n"/>
      <s:c r="E26341" s="122" t="n"/>
    </s:row>
    <s:row r="26342" hidden="1" ht="1" customHeight="1">
      <s:c r="A26342" s="120" t="inlineStr"/>
      <s:c r="B26342" s="121" t="n"/>
      <s:c r="C26342" s="121" t="n"/>
      <s:c r="D26342" s="121" t="n"/>
      <s:c r="E26342" s="122" t="n"/>
    </s:row>
    <s:row r="26343" hidden="1" ht="1" customHeight="1">
      <s:c r="A26343" s="120" t="inlineStr"/>
      <s:c r="B26343" s="121" t="n"/>
      <s:c r="C26343" s="121" t="n"/>
      <s:c r="D26343" s="121" t="n"/>
      <s:c r="E26343" s="122" t="n"/>
    </s:row>
    <s:row r="26344" hidden="1" ht="1" customHeight="1">
      <s:c r="A26344" s="120" t="inlineStr"/>
      <s:c r="B26344" s="121" t="n"/>
      <s:c r="C26344" s="121" t="n"/>
      <s:c r="D26344" s="121" t="n"/>
      <s:c r="E26344" s="122" t="n"/>
    </s:row>
    <s:row r="26345" hidden="1" ht="1" customHeight="1">
      <s:c r="A26345" s="120" t="inlineStr"/>
      <s:c r="B26345" s="121" t="n"/>
      <s:c r="C26345" s="121" t="n"/>
      <s:c r="D26345" s="121" t="n"/>
      <s:c r="E26345" s="122" t="n"/>
    </s:row>
    <s:row r="26346" hidden="1" ht="1" customHeight="1">
      <s:c r="A26346" s="120" t="inlineStr"/>
      <s:c r="B26346" s="121" t="n"/>
      <s:c r="C26346" s="121" t="n"/>
      <s:c r="D26346" s="121" t="n"/>
      <s:c r="E26346" s="122" t="n"/>
    </s:row>
    <s:row r="26347" hidden="1" ht="1" customHeight="1">
      <s:c r="A26347" s="120" t="inlineStr"/>
      <s:c r="B26347" s="121" t="n"/>
      <s:c r="C26347" s="121" t="n"/>
      <s:c r="D26347" s="121" t="n"/>
      <s:c r="E26347" s="122" t="n"/>
    </s:row>
    <s:row r="26348" hidden="1" ht="1" customHeight="1">
      <s:c r="A26348" s="120" t="inlineStr"/>
      <s:c r="B26348" s="121" t="n"/>
      <s:c r="C26348" s="121" t="n"/>
      <s:c r="D26348" s="121" t="n"/>
      <s:c r="E26348" s="122" t="n"/>
    </s:row>
    <s:row r="26349" hidden="1" ht="1" customHeight="1">
      <s:c r="A26349" s="120" t="inlineStr"/>
      <s:c r="B26349" s="121" t="n"/>
      <s:c r="C26349" s="121" t="n"/>
      <s:c r="D26349" s="121" t="n"/>
      <s:c r="E26349" s="122" t="n"/>
    </s:row>
    <s:row r="26350" hidden="1" ht="1" customHeight="1">
      <s:c r="A26350" s="120" t="inlineStr"/>
      <s:c r="B26350" s="121" t="n"/>
      <s:c r="C26350" s="121" t="n"/>
      <s:c r="D26350" s="121" t="n"/>
      <s:c r="E26350" s="122" t="n"/>
    </s:row>
    <s:row r="26351" hidden="1" ht="1" customHeight="1">
      <s:c r="A26351" s="120" t="inlineStr"/>
      <s:c r="B26351" s="121" t="n"/>
      <s:c r="C26351" s="121" t="n"/>
      <s:c r="D26351" s="121" t="n"/>
      <s:c r="E26351" s="122" t="n"/>
    </s:row>
    <s:row r="26352" hidden="1" ht="1" customHeight="1">
      <s:c r="A26352" s="120" t="inlineStr"/>
      <s:c r="B26352" s="121" t="n"/>
      <s:c r="C26352" s="121" t="n"/>
      <s:c r="D26352" s="121" t="n"/>
      <s:c r="E26352" s="122" t="n"/>
    </s:row>
    <s:row r="26353" hidden="1" ht="1" customHeight="1">
      <s:c r="A26353" s="120" t="inlineStr"/>
      <s:c r="B26353" s="121" t="n"/>
      <s:c r="C26353" s="121" t="n"/>
      <s:c r="D26353" s="121" t="n"/>
      <s:c r="E26353" s="122" t="n"/>
    </s:row>
    <s:row r="26354" hidden="1" ht="1" customHeight="1">
      <s:c r="A26354" s="120" t="inlineStr"/>
      <s:c r="B26354" s="121" t="n"/>
      <s:c r="C26354" s="121" t="n"/>
      <s:c r="D26354" s="121" t="n"/>
      <s:c r="E26354" s="122" t="n"/>
    </s:row>
    <s:row r="26355" hidden="1" ht="1" customHeight="1">
      <s:c r="A26355" s="120" t="inlineStr"/>
      <s:c r="B26355" s="121" t="n"/>
      <s:c r="C26355" s="121" t="n"/>
      <s:c r="D26355" s="121" t="n"/>
      <s:c r="E26355" s="122" t="n"/>
    </s:row>
    <s:row r="26356" hidden="1" ht="1" customHeight="1">
      <s:c r="A26356" s="120" t="inlineStr"/>
      <s:c r="B26356" s="121" t="n"/>
      <s:c r="C26356" s="121" t="n"/>
      <s:c r="D26356" s="121" t="n"/>
      <s:c r="E26356" s="122" t="n"/>
    </s:row>
    <s:row r="26357" hidden="1" ht="1" customHeight="1">
      <s:c r="A26357" s="120" t="inlineStr"/>
      <s:c r="B26357" s="121" t="n"/>
      <s:c r="C26357" s="121" t="n"/>
      <s:c r="D26357" s="121" t="n"/>
      <s:c r="E26357" s="122" t="n"/>
    </s:row>
    <s:row r="26358" hidden="1" ht="1" customHeight="1">
      <s:c r="A26358" s="120" t="inlineStr"/>
      <s:c r="B26358" s="121" t="n"/>
      <s:c r="C26358" s="121" t="n"/>
      <s:c r="D26358" s="121" t="n"/>
      <s:c r="E26358" s="122" t="n"/>
    </s:row>
    <s:row r="26359" hidden="1" ht="1" customHeight="1">
      <s:c r="A26359" s="120" t="inlineStr"/>
      <s:c r="B26359" s="121" t="n"/>
      <s:c r="C26359" s="121" t="n"/>
      <s:c r="D26359" s="121" t="n"/>
      <s:c r="E26359" s="122" t="n"/>
    </s:row>
    <s:row r="26360" hidden="1" ht="1" customHeight="1">
      <s:c r="A26360" s="120" t="inlineStr"/>
      <s:c r="B26360" s="121" t="n"/>
      <s:c r="C26360" s="121" t="n"/>
      <s:c r="D26360" s="121" t="n"/>
      <s:c r="E26360" s="122" t="n"/>
    </s:row>
    <s:row r="26361" hidden="1" ht="1" customHeight="1">
      <s:c r="A26361" s="120" t="inlineStr"/>
      <s:c r="B26361" s="121" t="n"/>
      <s:c r="C26361" s="121" t="n"/>
      <s:c r="D26361" s="121" t="n"/>
      <s:c r="E26361" s="122" t="n"/>
    </s:row>
    <s:row r="26362" hidden="1" ht="1" customHeight="1">
      <s:c r="A26362" s="120" t="inlineStr"/>
      <s:c r="B26362" s="121" t="n"/>
      <s:c r="C26362" s="121" t="n"/>
      <s:c r="D26362" s="121" t="n"/>
      <s:c r="E26362" s="122" t="n"/>
    </s:row>
    <s:row r="26363" hidden="1" ht="1" customHeight="1">
      <s:c r="A26363" s="120" t="inlineStr"/>
      <s:c r="B26363" s="121" t="n"/>
      <s:c r="C26363" s="121" t="n"/>
      <s:c r="D26363" s="121" t="n"/>
      <s:c r="E26363" s="122" t="n"/>
    </s:row>
    <s:row r="26364" hidden="1" ht="1" customHeight="1">
      <s:c r="A26364" s="120" t="inlineStr"/>
      <s:c r="B26364" s="121" t="n"/>
      <s:c r="C26364" s="121" t="n"/>
      <s:c r="D26364" s="121" t="n"/>
      <s:c r="E26364" s="122" t="n"/>
    </s:row>
    <s:row r="26365" hidden="1" ht="1" customHeight="1">
      <s:c r="A26365" s="120" t="inlineStr"/>
      <s:c r="B26365" s="121" t="n"/>
      <s:c r="C26365" s="121" t="n"/>
      <s:c r="D26365" s="121" t="n"/>
      <s:c r="E26365" s="122" t="n"/>
    </s:row>
    <s:row r="26366" hidden="1" ht="1" customHeight="1">
      <s:c r="A26366" s="120" t="inlineStr"/>
      <s:c r="B26366" s="121" t="n"/>
      <s:c r="C26366" s="121" t="n"/>
      <s:c r="D26366" s="121" t="n"/>
      <s:c r="E26366" s="122" t="n"/>
    </s:row>
    <s:row r="26367" hidden="1" ht="1" customHeight="1">
      <s:c r="A26367" s="120" t="inlineStr"/>
      <s:c r="B26367" s="121" t="n"/>
      <s:c r="C26367" s="121" t="n"/>
      <s:c r="D26367" s="121" t="n"/>
      <s:c r="E26367" s="122" t="n"/>
    </s:row>
    <s:row r="26368" hidden="1" ht="1" customHeight="1">
      <s:c r="A26368" s="120" t="inlineStr"/>
      <s:c r="B26368" s="121" t="n"/>
      <s:c r="C26368" s="121" t="n"/>
      <s:c r="D26368" s="121" t="n"/>
      <s:c r="E26368" s="122" t="n"/>
    </s:row>
    <s:row r="26369" hidden="1" ht="1" customHeight="1">
      <s:c r="A26369" s="120" t="inlineStr"/>
      <s:c r="B26369" s="121" t="n"/>
      <s:c r="C26369" s="121" t="n"/>
      <s:c r="D26369" s="121" t="n"/>
      <s:c r="E26369" s="122" t="n"/>
    </s:row>
    <s:row r="26370" hidden="1" ht="1" customHeight="1">
      <s:c r="A26370" s="120" t="inlineStr"/>
      <s:c r="B26370" s="121" t="n"/>
      <s:c r="C26370" s="121" t="n"/>
      <s:c r="D26370" s="121" t="n"/>
      <s:c r="E26370" s="122" t="n"/>
    </s:row>
    <s:row r="26371" hidden="1" ht="1" customHeight="1">
      <s:c r="A26371" s="120" t="inlineStr"/>
      <s:c r="B26371" s="121" t="n"/>
      <s:c r="C26371" s="121" t="n"/>
      <s:c r="D26371" s="121" t="n"/>
      <s:c r="E26371" s="122" t="n"/>
    </s:row>
    <s:row r="26372" hidden="1" ht="1" customHeight="1">
      <s:c r="A26372" s="120" t="inlineStr"/>
      <s:c r="B26372" s="121" t="n"/>
      <s:c r="C26372" s="121" t="n"/>
      <s:c r="D26372" s="121" t="n"/>
      <s:c r="E26372" s="122" t="n"/>
    </s:row>
    <s:row r="26373" hidden="1" ht="1" customHeight="1">
      <s:c r="A26373" s="120" t="inlineStr"/>
      <s:c r="B26373" s="121" t="n"/>
      <s:c r="C26373" s="121" t="n"/>
      <s:c r="D26373" s="121" t="n"/>
      <s:c r="E26373" s="122" t="n"/>
    </s:row>
    <s:row r="26374" hidden="1" ht="1" customHeight="1">
      <s:c r="A26374" s="120" t="inlineStr"/>
      <s:c r="B26374" s="121" t="n"/>
      <s:c r="C26374" s="121" t="n"/>
      <s:c r="D26374" s="121" t="n"/>
      <s:c r="E26374" s="122" t="n"/>
    </s:row>
    <s:row r="26375" hidden="1" ht="1" customHeight="1">
      <s:c r="A26375" s="120" t="inlineStr"/>
      <s:c r="B26375" s="121" t="n"/>
      <s:c r="C26375" s="121" t="n"/>
      <s:c r="D26375" s="121" t="n"/>
      <s:c r="E26375" s="122" t="n"/>
    </s:row>
    <s:row r="26376" hidden="1" ht="1" customHeight="1">
      <s:c r="A26376" s="120" t="inlineStr"/>
      <s:c r="B26376" s="121" t="n"/>
      <s:c r="C26376" s="121" t="n"/>
      <s:c r="D26376" s="121" t="n"/>
      <s:c r="E26376" s="122" t="n"/>
    </s:row>
    <s:row r="26377" hidden="1" ht="1" customHeight="1">
      <s:c r="A26377" s="120" t="inlineStr"/>
      <s:c r="B26377" s="121" t="n"/>
      <s:c r="C26377" s="121" t="n"/>
      <s:c r="D26377" s="121" t="n"/>
      <s:c r="E26377" s="122" t="n"/>
    </s:row>
    <s:row r="26378" hidden="1" ht="1" customHeight="1">
      <s:c r="A26378" s="120" t="inlineStr"/>
      <s:c r="B26378" s="121" t="n"/>
      <s:c r="C26378" s="121" t="n"/>
      <s:c r="D26378" s="121" t="n"/>
      <s:c r="E26378" s="122" t="n"/>
    </s:row>
    <s:row r="26379" hidden="1" ht="1" customHeight="1">
      <s:c r="A26379" s="120" t="inlineStr"/>
      <s:c r="B26379" s="121" t="n"/>
      <s:c r="C26379" s="121" t="n"/>
      <s:c r="D26379" s="121" t="n"/>
      <s:c r="E26379" s="122" t="n"/>
    </s:row>
    <s:row r="26380" hidden="1" ht="1" customHeight="1">
      <s:c r="A26380" s="120" t="inlineStr"/>
      <s:c r="B26380" s="121" t="n"/>
      <s:c r="C26380" s="121" t="n"/>
      <s:c r="D26380" s="121" t="n"/>
      <s:c r="E26380" s="122" t="n"/>
    </s:row>
    <s:row r="26381" hidden="1" ht="1" customHeight="1">
      <s:c r="A26381" s="120" t="inlineStr"/>
      <s:c r="B26381" s="121" t="n"/>
      <s:c r="C26381" s="121" t="n"/>
      <s:c r="D26381" s="121" t="n"/>
      <s:c r="E26381" s="122" t="n"/>
    </s:row>
    <s:row r="26382" hidden="1" ht="1" customHeight="1">
      <s:c r="A26382" s="120" t="inlineStr"/>
      <s:c r="B26382" s="121" t="n"/>
      <s:c r="C26382" s="121" t="n"/>
      <s:c r="D26382" s="121" t="n"/>
      <s:c r="E26382" s="122" t="n"/>
    </s:row>
    <s:row r="26383" hidden="1" ht="1" customHeight="1">
      <s:c r="A26383" s="120" t="inlineStr"/>
      <s:c r="B26383" s="121" t="n"/>
      <s:c r="C26383" s="121" t="n"/>
      <s:c r="D26383" s="121" t="n"/>
      <s:c r="E26383" s="122" t="n"/>
    </s:row>
    <s:row r="26384" hidden="1" ht="1" customHeight="1">
      <s:c r="A26384" s="120" t="inlineStr"/>
      <s:c r="B26384" s="121" t="n"/>
      <s:c r="C26384" s="121" t="n"/>
      <s:c r="D26384" s="121" t="n"/>
      <s:c r="E26384" s="122" t="n"/>
    </s:row>
    <s:row r="26385" hidden="1" ht="1" customHeight="1">
      <s:c r="A26385" s="120" t="inlineStr"/>
      <s:c r="B26385" s="121" t="n"/>
      <s:c r="C26385" s="121" t="n"/>
      <s:c r="D26385" s="121" t="n"/>
      <s:c r="E26385" s="122" t="n"/>
    </s:row>
    <s:row r="26386" hidden="1" ht="1" customHeight="1">
      <s:c r="A26386" s="120" t="inlineStr"/>
      <s:c r="B26386" s="121" t="n"/>
      <s:c r="C26386" s="121" t="n"/>
      <s:c r="D26386" s="121" t="n"/>
      <s:c r="E26386" s="122" t="n"/>
    </s:row>
    <s:row r="26387" hidden="1" ht="1" customHeight="1">
      <s:c r="A26387" s="120" t="inlineStr"/>
      <s:c r="B26387" s="121" t="n"/>
      <s:c r="C26387" s="121" t="n"/>
      <s:c r="D26387" s="121" t="n"/>
      <s:c r="E26387" s="122" t="n"/>
    </s:row>
    <s:row r="26388" hidden="1" ht="1" customHeight="1">
      <s:c r="A26388" s="120" t="inlineStr"/>
      <s:c r="B26388" s="121" t="n"/>
      <s:c r="C26388" s="121" t="n"/>
      <s:c r="D26388" s="121" t="n"/>
      <s:c r="E26388" s="122" t="n"/>
    </s:row>
    <s:row r="26389" hidden="1" ht="1" customHeight="1">
      <s:c r="A26389" s="120" t="inlineStr"/>
      <s:c r="B26389" s="121" t="n"/>
      <s:c r="C26389" s="121" t="n"/>
      <s:c r="D26389" s="121" t="n"/>
      <s:c r="E26389" s="122" t="n"/>
    </s:row>
    <s:row r="26390" hidden="1" ht="1" customHeight="1">
      <s:c r="A26390" s="120" t="inlineStr"/>
      <s:c r="B26390" s="121" t="n"/>
      <s:c r="C26390" s="121" t="n"/>
      <s:c r="D26390" s="121" t="n"/>
      <s:c r="E26390" s="122" t="n"/>
    </s:row>
    <s:row r="26391" hidden="1" ht="1" customHeight="1">
      <s:c r="A26391" s="120" t="inlineStr"/>
      <s:c r="B26391" s="121" t="n"/>
      <s:c r="C26391" s="121" t="n"/>
      <s:c r="D26391" s="121" t="n"/>
      <s:c r="E26391" s="122" t="n"/>
    </s:row>
    <s:row r="26392" hidden="1" ht="1" customHeight="1">
      <s:c r="A26392" s="120" t="inlineStr"/>
      <s:c r="B26392" s="121" t="n"/>
      <s:c r="C26392" s="121" t="n"/>
      <s:c r="D26392" s="121" t="n"/>
      <s:c r="E26392" s="122" t="n"/>
    </s:row>
    <s:row r="26393" hidden="1" ht="1" customHeight="1">
      <s:c r="A26393" s="120" t="inlineStr"/>
      <s:c r="B26393" s="121" t="n"/>
      <s:c r="C26393" s="121" t="n"/>
      <s:c r="D26393" s="121" t="n"/>
      <s:c r="E26393" s="122" t="n"/>
    </s:row>
    <s:row r="26394" hidden="1" ht="1" customHeight="1">
      <s:c r="A26394" s="120" t="inlineStr"/>
      <s:c r="B26394" s="121" t="n"/>
      <s:c r="C26394" s="121" t="n"/>
      <s:c r="D26394" s="121" t="n"/>
      <s:c r="E26394" s="122" t="n"/>
    </s:row>
    <s:row r="26395" hidden="1" ht="1" customHeight="1">
      <s:c r="A26395" s="120" t="inlineStr"/>
      <s:c r="B26395" s="121" t="n"/>
      <s:c r="C26395" s="121" t="n"/>
      <s:c r="D26395" s="121" t="n"/>
      <s:c r="E26395" s="122" t="n"/>
    </s:row>
    <s:row r="26396" hidden="1" ht="1" customHeight="1">
      <s:c r="A26396" s="120" t="inlineStr"/>
      <s:c r="B26396" s="121" t="n"/>
      <s:c r="C26396" s="121" t="n"/>
      <s:c r="D26396" s="121" t="n"/>
      <s:c r="E26396" s="122" t="n"/>
    </s:row>
    <s:row r="26397" hidden="1" ht="1" customHeight="1">
      <s:c r="A26397" s="120" t="inlineStr"/>
      <s:c r="B26397" s="121" t="n"/>
      <s:c r="C26397" s="121" t="n"/>
      <s:c r="D26397" s="121" t="n"/>
      <s:c r="E26397" s="122" t="n"/>
    </s:row>
    <s:row r="26398" hidden="1" ht="1" customHeight="1">
      <s:c r="A26398" s="120" t="inlineStr"/>
      <s:c r="B26398" s="121" t="n"/>
      <s:c r="C26398" s="121" t="n"/>
      <s:c r="D26398" s="121" t="n"/>
      <s:c r="E26398" s="122" t="n"/>
    </s:row>
    <s:row r="26399" hidden="1" ht="1" customHeight="1">
      <s:c r="A26399" s="120" t="inlineStr"/>
      <s:c r="B26399" s="121" t="n"/>
      <s:c r="C26399" s="121" t="n"/>
      <s:c r="D26399" s="121" t="n"/>
      <s:c r="E26399" s="122" t="n"/>
    </s:row>
    <s:row r="26400" hidden="1" ht="1" customHeight="1">
      <s:c r="A26400" s="120" t="inlineStr"/>
      <s:c r="B26400" s="121" t="n"/>
      <s:c r="C26400" s="121" t="n"/>
      <s:c r="D26400" s="121" t="n"/>
      <s:c r="E26400" s="122" t="n"/>
    </s:row>
    <s:row r="26401" hidden="1" ht="1" customHeight="1">
      <s:c r="A26401" s="120" t="inlineStr"/>
      <s:c r="B26401" s="121" t="n"/>
      <s:c r="C26401" s="121" t="n"/>
      <s:c r="D26401" s="121" t="n"/>
      <s:c r="E26401" s="122" t="n"/>
    </s:row>
    <s:row r="26402" hidden="1" ht="1" customHeight="1">
      <s:c r="A26402" s="120" t="inlineStr"/>
      <s:c r="B26402" s="121" t="n"/>
      <s:c r="C26402" s="121" t="n"/>
      <s:c r="D26402" s="121" t="n"/>
      <s:c r="E26402" s="122" t="n"/>
    </s:row>
    <s:row r="26403" hidden="1" ht="1" customHeight="1">
      <s:c r="A26403" s="120" t="inlineStr"/>
      <s:c r="B26403" s="121" t="n"/>
      <s:c r="C26403" s="121" t="n"/>
      <s:c r="D26403" s="121" t="n"/>
      <s:c r="E26403" s="122" t="n"/>
    </s:row>
    <s:row r="26404" hidden="1" ht="1" customHeight="1">
      <s:c r="A26404" s="120" t="inlineStr"/>
      <s:c r="B26404" s="121" t="n"/>
      <s:c r="C26404" s="121" t="n"/>
      <s:c r="D26404" s="121" t="n"/>
      <s:c r="E26404" s="122" t="n"/>
    </s:row>
    <s:row r="26405" hidden="1" ht="1" customHeight="1">
      <s:c r="A26405" s="120" t="inlineStr"/>
      <s:c r="B26405" s="121" t="n"/>
      <s:c r="C26405" s="121" t="n"/>
      <s:c r="D26405" s="121" t="n"/>
      <s:c r="E26405" s="122" t="n"/>
    </s:row>
    <s:row r="26406" hidden="1" ht="1" customHeight="1">
      <s:c r="A26406" s="120" t="inlineStr"/>
      <s:c r="B26406" s="121" t="n"/>
      <s:c r="C26406" s="121" t="n"/>
      <s:c r="D26406" s="121" t="n"/>
      <s:c r="E26406" s="122" t="n"/>
    </s:row>
    <s:row r="26407" hidden="1" ht="1" customHeight="1">
      <s:c r="A26407" s="120" t="inlineStr"/>
      <s:c r="B26407" s="121" t="n"/>
      <s:c r="C26407" s="121" t="n"/>
      <s:c r="D26407" s="121" t="n"/>
      <s:c r="E26407" s="122" t="n"/>
    </s:row>
    <s:row r="26408" hidden="1" ht="1" customHeight="1">
      <s:c r="A26408" s="120" t="inlineStr"/>
      <s:c r="B26408" s="121" t="n"/>
      <s:c r="C26408" s="121" t="n"/>
      <s:c r="D26408" s="121" t="n"/>
      <s:c r="E26408" s="122" t="n"/>
    </s:row>
    <s:row r="26409" hidden="1" ht="1" customHeight="1">
      <s:c r="A26409" s="120" t="inlineStr"/>
      <s:c r="B26409" s="121" t="n"/>
      <s:c r="C26409" s="121" t="n"/>
      <s:c r="D26409" s="121" t="n"/>
      <s:c r="E26409" s="122" t="n"/>
    </s:row>
    <s:row r="26410" hidden="1" ht="1" customHeight="1">
      <s:c r="A26410" s="120" t="inlineStr"/>
      <s:c r="B26410" s="121" t="n"/>
      <s:c r="C26410" s="121" t="n"/>
      <s:c r="D26410" s="121" t="n"/>
      <s:c r="E26410" s="122" t="n"/>
    </s:row>
    <s:row r="26411" hidden="1" ht="1" customHeight="1">
      <s:c r="A26411" s="120" t="inlineStr"/>
      <s:c r="B26411" s="121" t="n"/>
      <s:c r="C26411" s="121" t="n"/>
      <s:c r="D26411" s="121" t="n"/>
      <s:c r="E26411" s="122" t="n"/>
    </s:row>
    <s:row r="26412" hidden="1" ht="1" customHeight="1">
      <s:c r="A26412" s="120" t="inlineStr"/>
      <s:c r="B26412" s="121" t="n"/>
      <s:c r="C26412" s="121" t="n"/>
      <s:c r="D26412" s="121" t="n"/>
      <s:c r="E26412" s="122" t="n"/>
    </s:row>
    <s:row r="26413" hidden="1" ht="1" customHeight="1">
      <s:c r="A26413" s="120" t="inlineStr"/>
      <s:c r="B26413" s="121" t="n"/>
      <s:c r="C26413" s="121" t="n"/>
      <s:c r="D26413" s="121" t="n"/>
      <s:c r="E26413" s="122" t="n"/>
    </s:row>
    <s:row r="26414" hidden="1" ht="1" customHeight="1">
      <s:c r="A26414" s="120" t="inlineStr"/>
      <s:c r="B26414" s="121" t="n"/>
      <s:c r="C26414" s="121" t="n"/>
      <s:c r="D26414" s="121" t="n"/>
      <s:c r="E26414" s="122" t="n"/>
    </s:row>
    <s:row r="26415" hidden="1" ht="1" customHeight="1">
      <s:c r="A26415" s="120" t="inlineStr"/>
      <s:c r="B26415" s="121" t="n"/>
      <s:c r="C26415" s="121" t="n"/>
      <s:c r="D26415" s="121" t="n"/>
      <s:c r="E26415" s="122" t="n"/>
    </s:row>
    <s:row r="26416" hidden="1" ht="1" customHeight="1">
      <s:c r="A26416" s="120" t="inlineStr"/>
      <s:c r="B26416" s="121" t="n"/>
      <s:c r="C26416" s="121" t="n"/>
      <s:c r="D26416" s="121" t="n"/>
      <s:c r="E26416" s="122" t="n"/>
    </s:row>
    <s:row r="26417" hidden="1" ht="1" customHeight="1">
      <s:c r="A26417" s="120" t="inlineStr"/>
      <s:c r="B26417" s="121" t="n"/>
      <s:c r="C26417" s="121" t="n"/>
      <s:c r="D26417" s="121" t="n"/>
      <s:c r="E26417" s="122" t="n"/>
    </s:row>
    <s:row r="26418" hidden="1" ht="1" customHeight="1">
      <s:c r="A26418" s="120" t="inlineStr"/>
      <s:c r="B26418" s="121" t="n"/>
      <s:c r="C26418" s="121" t="n"/>
      <s:c r="D26418" s="121" t="n"/>
      <s:c r="E26418" s="122" t="n"/>
    </s:row>
    <s:row r="26419" hidden="1" ht="1" customHeight="1">
      <s:c r="A26419" s="120" t="inlineStr"/>
      <s:c r="B26419" s="121" t="n"/>
      <s:c r="C26419" s="121" t="n"/>
      <s:c r="D26419" s="121" t="n"/>
      <s:c r="E26419" s="122" t="n"/>
    </s:row>
    <s:row r="26420" hidden="1" ht="1" customHeight="1">
      <s:c r="A26420" s="120" t="inlineStr"/>
      <s:c r="B26420" s="121" t="n"/>
      <s:c r="C26420" s="121" t="n"/>
      <s:c r="D26420" s="121" t="n"/>
      <s:c r="E26420" s="122" t="n"/>
    </s:row>
    <s:row r="26421" hidden="1" ht="1" customHeight="1">
      <s:c r="A26421" s="120" t="inlineStr"/>
      <s:c r="B26421" s="121" t="n"/>
      <s:c r="C26421" s="121" t="n"/>
      <s:c r="D26421" s="121" t="n"/>
      <s:c r="E26421" s="122" t="n"/>
    </s:row>
    <s:row r="26422" hidden="1" ht="1" customHeight="1">
      <s:c r="A26422" s="83" t="inlineStr">
        <s:is>
          <s:t>PASS</s:t>
        </s:is>
      </s:c>
      <s:c r="B26422" s="83">
        <s:f>SUM(IF(EXACT('Kiểm thử'!E26222,"Đạt"),1,0),IF(EXACT('Kiểm thử'!E26224,"Đạt"),1,0),IF(EXACT('Kiểm thử'!E26226,"Đạt"),1,0),IF(EXACT('Kiểm thử'!E26228,"Đạt"),1,0))</s:f>
        <s:v/>
      </s:c>
      <s:c r="C26422" s="19" t="n"/>
      <s:c r="D26422" s="19" t="n"/>
      <s:c r="E26422" s="19" t="n"/>
    </s:row>
    <s:row r="26423" hidden="1" ht="1" customHeight="1">
      <s:c r="A26423" s="83" t="inlineStr">
        <s:is>
          <s:t>FAIL</s:t>
        </s:is>
      </s:c>
      <s:c r="B26423" s="83">
        <s:f>SUM(IF(EXACT('Kiểm thử'!E26222,"Không đạt"),1,0),IF(EXACT('Kiểm thử'!E26224,"Không đạt"),1,0),IF(EXACT('Kiểm thử'!E26226,"Không đạt"),1,0),IF(EXACT('Kiểm thử'!E26228,"Không đạt"),1,0))</s:f>
        <s:v/>
      </s:c>
      <s:c r="C26423" s="19" t="n"/>
      <s:c r="D26423" s="19" t="n"/>
      <s:c r="E26423" s="19" t="n"/>
    </s:row>
    <s:row r="26424" hidden="1" ht="1" customHeight="1">
      <s:c r="A26424" s="83" t="inlineStr">
        <s:is>
          <s:t>BLOCKED</s:t>
        </s:is>
      </s:c>
      <s:c r="B26424" s="83">
        <s:f>SUM(IF(EXACT('Kiểm thử'!E26222,"Bị chặn"),1,0),IF(EXACT('Kiểm thử'!E26224,"Bị chặn"),1,0),IF(EXACT('Kiểm thử'!E26226,"Bị chặn"),1,0),IF(EXACT('Kiểm thử'!E26228,"Bị chặn"),1,0))</s:f>
        <s:v/>
      </s:c>
      <s:c r="C26424" s="19" t="n"/>
      <s:c r="D26424" s="19" t="n"/>
      <s:c r="E26424" s="19" t="n"/>
    </s:row>
    <s:row r="26425" hidden="1" ht="1" customHeight="1">
      <s:c r="A26425" s="83" t="inlineStr">
        <s:is>
          <s:t>SKIPPED</s:t>
        </s:is>
      </s:c>
      <s:c r="B26425" s="83">
        <s:f>SUM(IF(EXACT('Kiểm thử'!E26222,"Không thực hiện"),1,0),IF(EXACT('Kiểm thử'!E26224,"Không thực hiện"),1,0),IF(EXACT('Kiểm thử'!E26226,"Không thực hiện"),1,0),IF(EXACT('Kiểm thử'!E26228,"Không thực hiện"),1,0))</s:f>
        <s:v/>
      </s:c>
      <s:c r="C26425" s="19" t="n"/>
      <s:c r="D26425" s="19" t="n"/>
      <s:c r="E26425" s="19" t="n"/>
    </s:row>
    <s:row r="26426" hidden="1" ht="1" customHeight="1">
      <s:c r="A26426" s="83" t="inlineStr">
        <s:is>
          <s:t>NOT RUN</s:t>
        </s:is>
      </s:c>
      <s:c r="B26426" s="83">
        <s:f>SUM(IF(EXACT('Kiểm thử'!E26222,"Chưa thực hiện"),1,0),IF(EXACT('Kiểm thử'!E26224,"Chưa thực hiện"),1,0),IF(EXACT('Kiểm thử'!E26226,"Chưa thực hiện"),1,0),IF(EXACT('Kiểm thử'!E26228,"Chưa thực hiện"),1,0))</s:f>
        <s:v/>
      </s:c>
      <s:c r="C26426" s="19" t="n"/>
      <s:c r="D26426" s="19" t="n"/>
      <s:c r="E26426" s="19" t="n"/>
    </s:row>
    <s:row r="26427" hidden="1" ht="6" customHeight="1">
      <s:c r="A26427" s="83" t="inlineStr"/>
      <s:c r="B26427" s="19" t="n"/>
      <s:c r="C26427" s="19" t="n"/>
      <s:c r="D26427" s="19" t="n"/>
      <s:c r="E26427" s="19" t="n"/>
    </s:row>
    <s:row r="26428" ht="28" customHeight="1">
      <s:c r="A26428" s="108" t="inlineStr">
        <s:is>
          <s:t>TC-RS-CALC-010 — Tỷ lệ với M = 0, M &lt; 0 hoặc không xác định → Chưa xét được; cố định vẫn xét</s:t>
        </s:is>
      </s:c>
      <s:c r="B26428" s="111" t="n"/>
      <s:c r="C26428" s="111" t="n"/>
      <s:c r="D26428" s="111" t="n"/>
      <s:c r="E26428" s="111" t="n"/>
    </s:row>
    <s:row r="26429" ht="20" customHeight="1">
      <s:c r="A26429" s="112" t="inlineStr">
        <s:is>
          <s:t>Kết quả tình huống</s:t>
        </s:is>
      </s:c>
      <s:c r="B26429" s="113">
        <s:f>IF(SUM(IF(EXACT('Kiểm thử'!E26437,"Không đạt"),1,0),IF(EXACT('Kiểm thử'!E26439,"Không đạt"),1,0),IF(EXACT('Kiểm thử'!E26441,"Không đạt"),1,0),IF(EXACT('Kiểm thử'!E26443,"Không đạt"),1,0))&gt;0,"Không đạt",IF(SUM(IF(EXACT('Kiểm thử'!E26437,"Đạt"),1,0),IF(EXACT('Kiểm thử'!E26439,"Đạt"),1,0),IF(EXACT('Kiểm thử'!E26441,"Đạt"),1,0),IF(EXACT('Kiểm thử'!E26443,"Đạt"),1,0))=4,"Đạt",IF(SUM(IF(EXACT('Kiểm thử'!E26437,"Không thực hiện"),1,0),IF(EXACT('Kiểm thử'!E26439,"Không thực hiện"),1,0),IF(EXACT('Kiểm thử'!E26441,"Không thực hiện"),1,0),IF(EXACT('Kiểm thử'!E26443,"Không thực hiện"),1,0))=4,"Không thực hiện",IF(SUM(IF(EXACT('Kiểm thử'!E26437,"Bị chặn"),1,0),IF(EXACT('Kiểm thử'!E26439,"Bị chặn"),1,0),IF(EXACT('Kiểm thử'!E26441,"Bị chặn"),1,0),IF(EXACT('Kiểm thử'!E26443,"Bị chặn"),1,0))&gt;0,"Bị chặn",IF(SUM(IF(EXACT('Kiểm thử'!E26437,"Chưa thực hiện"),1,0),IF(EXACT('Kiểm thử'!E26439,"Chưa thực hiện"),1,0),IF(EXACT('Kiểm thử'!E26441,"Chưa thực hiện"),1,0),IF(EXACT('Kiểm thử'!E26443,"Chưa thực hiện"),1,0))=4,"Chưa thực hiện","Đang thực hiện")))))</s:f>
        <s:v/>
      </s:c>
      <s:c r="C26429" s="114" t="n"/>
      <s:c r="D26429" s="114" t="n"/>
      <s:c r="E26429" s="114" t="n"/>
    </s:row>
    <s:row r="26430" ht="20" customHeight="1">
      <s:c r="A26430" s="112" t="inlineStr">
        <s:is>
          <s:t>Màn hình / chức năng</s:t>
        </s:is>
      </s:c>
      <s:c r="B26430" s="113" t="inlineStr">
        <s:is>
          <s:r>
            <s:rPr>
              <s:b val="1"/>
            </s:rPr>
            <s:t>Thiết lập ngưỡng（基準設定）</s:t>
          </s:r>
        </s:is>
      </s:c>
      <s:c r="C26430" s="28" t="n"/>
      <s:c r="D26430" s="28" t="n"/>
      <s:c r="E26430" s="28" t="n"/>
    </s:row>
    <s:row r="26431" ht="20" customHeight="1">
      <s:c r="A26431" s="112" t="inlineStr">
        <s:is>
          <s:t>Cấu hình</s:t>
        </s:is>
      </s:c>
      <s:c r="B26431" s="113" t="inlineStr">
        <s:is>
          <s:t>• Mục có M không hợp lệ (M không hợp lệ). Ô trước đó Đỏ theo quy tắc khác.</s:t>
        </s:is>
      </s:c>
      <s:c r="C26431" s="28" t="n"/>
      <s:c r="D26431" s="28" t="n"/>
      <s:c r="E26431" s="28" t="n"/>
    </s:row>
    <s:row r="26432" ht="62" customHeight="1">
      <s:c r="A26432" s="112" t="inlineStr">
        <s:is>
          <s:t>Dữ liệu test</s:t>
        </s:is>
      </s:c>
      <s:c r="B26432" s="113" t="inlineStr">
        <s:is>
          <s:t>• Mục có M không hợp lệ;
• Quy tắc tỷ lệ 30%;
• Quy tắc “Cố định 30” (dưới 30);
• S = 0</s:t>
        </s:is>
      </s:c>
      <s:c r="C26432" s="28" t="n"/>
      <s:c r="D26432" s="28" t="n"/>
      <s:c r="E26432" s="28" t="n"/>
    </s:row>
    <s:row r="26433" ht="20" customHeight="1">
      <s:c r="A26433" s="112" t="inlineStr">
        <s:is>
          <s:t>Bước 1</s:t>
        </s:is>
      </s:c>
      <s:c r="B26433" s="113" t="inlineStr">
        <s:is>
          <s:r>
            <s:t xml:space="preserve">Chỉ có quy tắc tỷ lệ 30% (30%): chạy lại với </s:t>
          </s:r>
          <s:r>
            <s:rPr>
              <s:b val="1"/>
            </s:rPr>
            <s:t>M=0</s:t>
          </s:r>
          <s:r>
            <s:t>, M=−10, M không xác định.</s:t>
          </s:r>
        </s:is>
      </s:c>
      <s:c r="C26433" s="28" t="n"/>
      <s:c r="D26433" s="28" t="n"/>
      <s:c r="E26433" s="28" t="n"/>
    </s:row>
    <s:row r="26434" ht="20" customHeight="1">
      <s:c r="A26434" s="112" t="inlineStr">
        <s:is>
          <s:t>Bước 2</s:t>
        </s:is>
      </s:c>
      <s:c r="B26434" s="113" t="inlineStr">
        <s:is>
          <s:r>
            <s:t xml:space="preserve">Chỉ có quy tắc “Cố định 30” (dưới 30) (cố định 30) trên cùng mục, </s:t>
          </s:r>
          <s:r>
            <s:rPr>
              <s:b val="1"/>
            </s:rPr>
            <s:t>M=0</s:t>
          </s:r>
          <s:r>
            <s:t>: chạy lại.</s:t>
          </s:r>
        </s:is>
      </s:c>
      <s:c r="C26434" s="28" t="n"/>
      <s:c r="D26434" s="28" t="n"/>
      <s:c r="E26434" s="28" t="n"/>
    </s:row>
    <s:row r="26435" ht="28" customHeight="1">
      <s:c r="A26435" s="115" t="inlineStr">
        <s:is>
          <s:t>Trường hợp</s:t>
        </s:is>
      </s:c>
      <s:c r="B26435" s="115" t="inlineStr">
        <s:is>
          <s:t>Dữ liệu / thao tác riêng</s:t>
        </s:is>
      </s:c>
      <s:c r="C26435" s="115" t="inlineStr">
        <s:is>
          <s:t>Kết quả mong đợi</s:t>
        </s:is>
      </s:c>
      <s:c r="D26435" s="115" t="inlineStr">
        <s:is>
          <s:t>Kết quả thực tế</s:t>
        </s:is>
      </s:c>
      <s:c r="E26435" s="115" t="inlineStr">
        <s:is>
          <s:t>Đánh giá</s:t>
        </s:is>
      </s:c>
    </s:row>
    <s:row r="26436" ht="3" customHeight="1">
      <s:c r="A26436" s="102" t="inlineStr"/>
      <s:c r="B26436" s="99" t="n"/>
      <s:c r="C26436" s="99" t="n"/>
      <s:c r="D26436" s="116" t="n"/>
      <s:c r="E26436" s="116" t="n"/>
    </s:row>
    <s:row r="26437" ht="34" customHeight="1">
      <s:c r="A26437" s="83" t="inlineStr">
        <s:is>
          <s:t>Tỷ lệ M0 (ratio-zero)</s:t>
        </s:is>
      </s:c>
      <s:c r="B26437" s="83" t="inlineStr">
        <s:is>
          <s:r>
            <s:t xml:space="preserve">Reset ô trước đó Đỏ; chỉ rule tỷ lệ30%, </s:t>
          </s:r>
          <s:r>
            <s:rPr>
              <s:b val="1"/>
            </s:rPr>
            <s:t>M=0</s:t>
          </s:r>
          <s:r>
            <s:t>,</s:t>
          </s:r>
          <s:r>
            <s:rPr>
              <s:b val="1"/>
            </s:rPr>
            <s:t>S=0</s:t>
          </s:r>
          <s:r>
            <s:t>; chạy lại.</s:t>
          </s:r>
        </s:is>
      </s:c>
      <s:c r="C26437" s="83" t="inlineStr">
        <s:is>
          <s:r>
            <s:t xml:space="preserve">Tỷ lệ với </s:t>
          </s:r>
          <s:r>
            <s:rPr>
              <s:b val="1"/>
            </s:rPr>
            <s:t>M=0</s:t>
          </s:r>
          <s:r>
            <s:t>: Chưa xét được; ngừng kết quả cũ, không thay M bằng 100.</s:t>
          </s:r>
        </s:is>
      </s:c>
      <s:c r="D26437" s="117" t="inlineStr"/>
      <s:c r="E26437" s="118" t="inlineStr">
        <s:is>
          <s:t>Chưa thực hiện</s:t>
        </s:is>
      </s:c>
    </s:row>
    <s:row r="26438" ht="3" customHeight="1">
      <s:c r="A26438" s="102" t="inlineStr"/>
      <s:c r="B26438" s="99" t="n"/>
      <s:c r="C26438" s="99" t="n"/>
      <s:c r="D26438" s="116" t="n"/>
      <s:c r="E26438" s="116" t="n"/>
    </s:row>
    <s:row r="26439" ht="34" customHeight="1">
      <s:c r="A26439" s="83" t="inlineStr">
        <s:is>
          <s:t>Tỷ lệ M âm (ratio-negative)</s:t>
        </s:is>
      </s:c>
      <s:c r="B26439" s="83" t="inlineStr">
        <s:is>
          <s:r>
            <s:t>Reset ô trước đó Đỏ; chỉ rule tỷ lệ30%, M=−10,</s:t>
          </s:r>
          <s:r>
            <s:rPr>
              <s:b val="1"/>
            </s:rPr>
            <s:t>S=0</s:t>
          </s:r>
          <s:r>
            <s:t>; chạy lại.</s:t>
          </s:r>
        </s:is>
      </s:c>
      <s:c r="C26439" s="83" t="inlineStr">
        <s:is>
          <s:t>Tỷ lệ với M=−10: Chưa xét được; ngừng kết quả cũ, không thay M bằng 100.</s:t>
        </s:is>
      </s:c>
      <s:c r="D26439" s="117" t="inlineStr"/>
      <s:c r="E26439" s="118" t="inlineStr">
        <s:is>
          <s:t>Chưa thực hiện</s:t>
        </s:is>
      </s:c>
    </s:row>
    <s:row r="26440" ht="3" customHeight="1">
      <s:c r="A26440" s="102" t="inlineStr"/>
      <s:c r="B26440" s="99" t="n"/>
      <s:c r="C26440" s="99" t="n"/>
      <s:c r="D26440" s="116" t="n"/>
      <s:c r="E26440" s="116" t="n"/>
    </s:row>
    <s:row r="26441" ht="48" customHeight="1">
      <s:c r="A26441" s="83" t="inlineStr">
        <s:is>
          <s:t>Tỷ lệ M không xác định (ratio-missing)</s:t>
        </s:is>
      </s:c>
      <s:c r="B26441" s="83" t="inlineStr">
        <s:is>
          <s:r>
            <s:t>Reset ô trước đó Đỏ; chỉ rule tỷ lệ30%, M không xác định,</s:t>
          </s:r>
          <s:r>
            <s:rPr>
              <s:b val="1"/>
            </s:rPr>
            <s:t>S=0</s:t>
          </s:r>
          <s:r>
            <s:t>; chạy lại.</s:t>
          </s:r>
        </s:is>
      </s:c>
      <s:c r="C26441" s="83" t="inlineStr">
        <s:is>
          <s:t>Tỷ lệ với M không xác định: Chưa xét được; ngừng kết quả cũ, không thay M bằng 100.</s:t>
        </s:is>
      </s:c>
      <s:c r="D26441" s="117" t="inlineStr"/>
      <s:c r="E26441" s="118" t="inlineStr">
        <s:is>
          <s:t>Chưa thực hiện</s:t>
        </s:is>
      </s:c>
    </s:row>
    <s:row r="26442" ht="3" customHeight="1">
      <s:c r="A26442" s="102" t="inlineStr"/>
      <s:c r="B26442" s="99" t="n"/>
      <s:c r="C26442" s="99" t="n"/>
      <s:c r="D26442" s="116" t="n"/>
      <s:c r="E26442" s="116" t="n"/>
    </s:row>
    <s:row r="26443" ht="34" customHeight="1">
      <s:c r="A26443" s="83" t="inlineStr">
        <s:is>
          <s:t>Cố định với M0 (fixed-zero)</s:t>
        </s:is>
      </s:c>
      <s:c r="B26443" s="83" t="inlineStr">
        <s:is>
          <s:r>
            <s:t xml:space="preserve">Chỉ rule cố định30, </s:t>
          </s:r>
          <s:r>
            <s:rPr>
              <s:b val="1"/>
            </s:rPr>
            <s:t>M=0</s:t>
          </s:r>
          <s:r>
            <s:t>,</s:t>
          </s:r>
          <s:r>
            <s:rPr>
              <s:b val="1"/>
            </s:rPr>
            <s:t>S=0</s:t>
          </s:r>
          <s:r>
            <s:t>; chạy lại.</s:t>
          </s:r>
        </s:is>
      </s:c>
      <s:c r="C26443" s="83" t="inlineStr">
        <s:is>
          <s:r>
            <s:t xml:space="preserve">Cố định </s:t>
          </s:r>
          <s:r>
            <s:rPr>
              <s:b val="1"/>
            </s:rPr>
            <s:t>T=30</s:t>
          </s:r>
          <s:r>
            <s:t xml:space="preserve">, </s:t>
          </s:r>
          <s:r>
            <s:rPr>
              <s:b val="1"/>
            </s:rPr>
            <s:t>M=0</s:t>
          </s:r>
          <s:r>
            <s:t xml:space="preserve">, </s:t>
          </s:r>
          <s:r>
            <s:rPr>
              <s:b val="1"/>
            </s:rPr>
            <s:t>S=0</s:t>
          </s:r>
          <s:r>
            <s:t xml:space="preserve">: 0&lt;30 → </s:t>
          </s:r>
          <s:r>
            <s:rPr>
              <s:b val="1"/>
            </s:rPr>
            <s:t>Đỏ</s:t>
          </s:r>
          <s:r>
            <s:t>; không bỏ xét cố định vì M không dương.</s:t>
          </s:r>
        </s:is>
      </s:c>
      <s:c r="D26443" s="117" t="inlineStr"/>
      <s:c r="E26443" s="118" t="inlineStr">
        <s:is>
          <s:t>Chưa thực hiện</s:t>
        </s:is>
      </s:c>
    </s:row>
    <s:row r="26444" ht="20" customHeight="1">
      <s:c r="A26444" s="119" t="inlineStr">
        <s:is>
          <s:t>Ảnh minh chứng — Chưa có ảnh</s:t>
        </s:is>
      </s:c>
      <s:c r="B26444" s="19" t="n"/>
      <s:c r="C26444" s="19" t="n"/>
      <s:c r="D26444" s="19" t="n"/>
      <s:c r="E26444" s="19" t="n"/>
    </s:row>
    <s:row r="26445" hidden="1" ht="1" customHeight="1">
      <s:c r="A26445" s="120" t="inlineStr"/>
      <s:c r="B26445" s="121" t="n"/>
      <s:c r="C26445" s="121" t="n"/>
      <s:c r="D26445" s="121" t="n"/>
      <s:c r="E26445" s="122" t="n"/>
    </s:row>
    <s:row r="26446" hidden="1" ht="1" customHeight="1">
      <s:c r="A26446" s="120" t="inlineStr"/>
      <s:c r="B26446" s="121" t="n"/>
      <s:c r="C26446" s="121" t="n"/>
      <s:c r="D26446" s="121" t="n"/>
      <s:c r="E26446" s="122" t="n"/>
    </s:row>
    <s:row r="26447" hidden="1" ht="1" customHeight="1">
      <s:c r="A26447" s="120" t="inlineStr"/>
      <s:c r="B26447" s="121" t="n"/>
      <s:c r="C26447" s="121" t="n"/>
      <s:c r="D26447" s="121" t="n"/>
      <s:c r="E26447" s="122" t="n"/>
    </s:row>
    <s:row r="26448" hidden="1" ht="1" customHeight="1">
      <s:c r="A26448" s="120" t="inlineStr"/>
      <s:c r="B26448" s="121" t="n"/>
      <s:c r="C26448" s="121" t="n"/>
      <s:c r="D26448" s="121" t="n"/>
      <s:c r="E26448" s="122" t="n"/>
    </s:row>
    <s:row r="26449" hidden="1" ht="1" customHeight="1">
      <s:c r="A26449" s="120" t="inlineStr"/>
      <s:c r="B26449" s="121" t="n"/>
      <s:c r="C26449" s="121" t="n"/>
      <s:c r="D26449" s="121" t="n"/>
      <s:c r="E26449" s="122" t="n"/>
    </s:row>
    <s:row r="26450" hidden="1" ht="1" customHeight="1">
      <s:c r="A26450" s="120" t="inlineStr"/>
      <s:c r="B26450" s="121" t="n"/>
      <s:c r="C26450" s="121" t="n"/>
      <s:c r="D26450" s="121" t="n"/>
      <s:c r="E26450" s="122" t="n"/>
    </s:row>
    <s:row r="26451" hidden="1" ht="1" customHeight="1">
      <s:c r="A26451" s="120" t="inlineStr"/>
      <s:c r="B26451" s="121" t="n"/>
      <s:c r="C26451" s="121" t="n"/>
      <s:c r="D26451" s="121" t="n"/>
      <s:c r="E26451" s="122" t="n"/>
    </s:row>
    <s:row r="26452" hidden="1" ht="1" customHeight="1">
      <s:c r="A26452" s="120" t="inlineStr"/>
      <s:c r="B26452" s="121" t="n"/>
      <s:c r="C26452" s="121" t="n"/>
      <s:c r="D26452" s="121" t="n"/>
      <s:c r="E26452" s="122" t="n"/>
    </s:row>
    <s:row r="26453" hidden="1" ht="1" customHeight="1">
      <s:c r="A26453" s="120" t="inlineStr"/>
      <s:c r="B26453" s="121" t="n"/>
      <s:c r="C26453" s="121" t="n"/>
      <s:c r="D26453" s="121" t="n"/>
      <s:c r="E26453" s="122" t="n"/>
    </s:row>
    <s:row r="26454" hidden="1" ht="1" customHeight="1">
      <s:c r="A26454" s="120" t="inlineStr"/>
      <s:c r="B26454" s="121" t="n"/>
      <s:c r="C26454" s="121" t="n"/>
      <s:c r="D26454" s="121" t="n"/>
      <s:c r="E26454" s="122" t="n"/>
    </s:row>
    <s:row r="26455" hidden="1" ht="1" customHeight="1">
      <s:c r="A26455" s="120" t="inlineStr"/>
      <s:c r="B26455" s="121" t="n"/>
      <s:c r="C26455" s="121" t="n"/>
      <s:c r="D26455" s="121" t="n"/>
      <s:c r="E26455" s="122" t="n"/>
    </s:row>
    <s:row r="26456" hidden="1" ht="1" customHeight="1">
      <s:c r="A26456" s="120" t="inlineStr"/>
      <s:c r="B26456" s="121" t="n"/>
      <s:c r="C26456" s="121" t="n"/>
      <s:c r="D26456" s="121" t="n"/>
      <s:c r="E26456" s="122" t="n"/>
    </s:row>
    <s:row r="26457" hidden="1" ht="1" customHeight="1">
      <s:c r="A26457" s="120" t="inlineStr"/>
      <s:c r="B26457" s="121" t="n"/>
      <s:c r="C26457" s="121" t="n"/>
      <s:c r="D26457" s="121" t="n"/>
      <s:c r="E26457" s="122" t="n"/>
    </s:row>
    <s:row r="26458" hidden="1" ht="1" customHeight="1">
      <s:c r="A26458" s="120" t="inlineStr"/>
      <s:c r="B26458" s="121" t="n"/>
      <s:c r="C26458" s="121" t="n"/>
      <s:c r="D26458" s="121" t="n"/>
      <s:c r="E26458" s="122" t="n"/>
    </s:row>
    <s:row r="26459" hidden="1" ht="1" customHeight="1">
      <s:c r="A26459" s="120" t="inlineStr"/>
      <s:c r="B26459" s="121" t="n"/>
      <s:c r="C26459" s="121" t="n"/>
      <s:c r="D26459" s="121" t="n"/>
      <s:c r="E26459" s="122" t="n"/>
    </s:row>
    <s:row r="26460" hidden="1" ht="1" customHeight="1">
      <s:c r="A26460" s="120" t="inlineStr"/>
      <s:c r="B26460" s="121" t="n"/>
      <s:c r="C26460" s="121" t="n"/>
      <s:c r="D26460" s="121" t="n"/>
      <s:c r="E26460" s="122" t="n"/>
    </s:row>
    <s:row r="26461" hidden="1" ht="1" customHeight="1">
      <s:c r="A26461" s="120" t="inlineStr"/>
      <s:c r="B26461" s="121" t="n"/>
      <s:c r="C26461" s="121" t="n"/>
      <s:c r="D26461" s="121" t="n"/>
      <s:c r="E26461" s="122" t="n"/>
    </s:row>
    <s:row r="26462" hidden="1" ht="1" customHeight="1">
      <s:c r="A26462" s="120" t="inlineStr"/>
      <s:c r="B26462" s="121" t="n"/>
      <s:c r="C26462" s="121" t="n"/>
      <s:c r="D26462" s="121" t="n"/>
      <s:c r="E26462" s="122" t="n"/>
    </s:row>
    <s:row r="26463" hidden="1" ht="1" customHeight="1">
      <s:c r="A26463" s="120" t="inlineStr"/>
      <s:c r="B26463" s="121" t="n"/>
      <s:c r="C26463" s="121" t="n"/>
      <s:c r="D26463" s="121" t="n"/>
      <s:c r="E26463" s="122" t="n"/>
    </s:row>
    <s:row r="26464" hidden="1" ht="1" customHeight="1">
      <s:c r="A26464" s="120" t="inlineStr"/>
      <s:c r="B26464" s="121" t="n"/>
      <s:c r="C26464" s="121" t="n"/>
      <s:c r="D26464" s="121" t="n"/>
      <s:c r="E26464" s="122" t="n"/>
    </s:row>
    <s:row r="26465" hidden="1" ht="1" customHeight="1">
      <s:c r="A26465" s="120" t="inlineStr"/>
      <s:c r="B26465" s="121" t="n"/>
      <s:c r="C26465" s="121" t="n"/>
      <s:c r="D26465" s="121" t="n"/>
      <s:c r="E26465" s="122" t="n"/>
    </s:row>
    <s:row r="26466" hidden="1" ht="1" customHeight="1">
      <s:c r="A26466" s="120" t="inlineStr"/>
      <s:c r="B26466" s="121" t="n"/>
      <s:c r="C26466" s="121" t="n"/>
      <s:c r="D26466" s="121" t="n"/>
      <s:c r="E26466" s="122" t="n"/>
    </s:row>
    <s:row r="26467" hidden="1" ht="1" customHeight="1">
      <s:c r="A26467" s="120" t="inlineStr"/>
      <s:c r="B26467" s="121" t="n"/>
      <s:c r="C26467" s="121" t="n"/>
      <s:c r="D26467" s="121" t="n"/>
      <s:c r="E26467" s="122" t="n"/>
    </s:row>
    <s:row r="26468" hidden="1" ht="1" customHeight="1">
      <s:c r="A26468" s="120" t="inlineStr"/>
      <s:c r="B26468" s="121" t="n"/>
      <s:c r="C26468" s="121" t="n"/>
      <s:c r="D26468" s="121" t="n"/>
      <s:c r="E26468" s="122" t="n"/>
    </s:row>
    <s:row r="26469" hidden="1" ht="1" customHeight="1">
      <s:c r="A26469" s="120" t="inlineStr"/>
      <s:c r="B26469" s="121" t="n"/>
      <s:c r="C26469" s="121" t="n"/>
      <s:c r="D26469" s="121" t="n"/>
      <s:c r="E26469" s="122" t="n"/>
    </s:row>
    <s:row r="26470" hidden="1" ht="1" customHeight="1">
      <s:c r="A26470" s="120" t="inlineStr"/>
      <s:c r="B26470" s="121" t="n"/>
      <s:c r="C26470" s="121" t="n"/>
      <s:c r="D26470" s="121" t="n"/>
      <s:c r="E26470" s="122" t="n"/>
    </s:row>
    <s:row r="26471" hidden="1" ht="1" customHeight="1">
      <s:c r="A26471" s="120" t="inlineStr"/>
      <s:c r="B26471" s="121" t="n"/>
      <s:c r="C26471" s="121" t="n"/>
      <s:c r="D26471" s="121" t="n"/>
      <s:c r="E26471" s="122" t="n"/>
    </s:row>
    <s:row r="26472" hidden="1" ht="1" customHeight="1">
      <s:c r="A26472" s="120" t="inlineStr"/>
      <s:c r="B26472" s="121" t="n"/>
      <s:c r="C26472" s="121" t="n"/>
      <s:c r="D26472" s="121" t="n"/>
      <s:c r="E26472" s="122" t="n"/>
    </s:row>
    <s:row r="26473" hidden="1" ht="1" customHeight="1">
      <s:c r="A26473" s="120" t="inlineStr"/>
      <s:c r="B26473" s="121" t="n"/>
      <s:c r="C26473" s="121" t="n"/>
      <s:c r="D26473" s="121" t="n"/>
      <s:c r="E26473" s="122" t="n"/>
    </s:row>
    <s:row r="26474" hidden="1" ht="1" customHeight="1">
      <s:c r="A26474" s="120" t="inlineStr"/>
      <s:c r="B26474" s="121" t="n"/>
      <s:c r="C26474" s="121" t="n"/>
      <s:c r="D26474" s="121" t="n"/>
      <s:c r="E26474" s="122" t="n"/>
    </s:row>
    <s:row r="26475" hidden="1" ht="1" customHeight="1">
      <s:c r="A26475" s="120" t="inlineStr"/>
      <s:c r="B26475" s="121" t="n"/>
      <s:c r="C26475" s="121" t="n"/>
      <s:c r="D26475" s="121" t="n"/>
      <s:c r="E26475" s="122" t="n"/>
    </s:row>
    <s:row r="26476" hidden="1" ht="1" customHeight="1">
      <s:c r="A26476" s="120" t="inlineStr"/>
      <s:c r="B26476" s="121" t="n"/>
      <s:c r="C26476" s="121" t="n"/>
      <s:c r="D26476" s="121" t="n"/>
      <s:c r="E26476" s="122" t="n"/>
    </s:row>
    <s:row r="26477" hidden="1" ht="1" customHeight="1">
      <s:c r="A26477" s="120" t="inlineStr"/>
      <s:c r="B26477" s="121" t="n"/>
      <s:c r="C26477" s="121" t="n"/>
      <s:c r="D26477" s="121" t="n"/>
      <s:c r="E26477" s="122" t="n"/>
    </s:row>
    <s:row r="26478" hidden="1" ht="1" customHeight="1">
      <s:c r="A26478" s="120" t="inlineStr"/>
      <s:c r="B26478" s="121" t="n"/>
      <s:c r="C26478" s="121" t="n"/>
      <s:c r="D26478" s="121" t="n"/>
      <s:c r="E26478" s="122" t="n"/>
    </s:row>
    <s:row r="26479" hidden="1" ht="1" customHeight="1">
      <s:c r="A26479" s="120" t="inlineStr"/>
      <s:c r="B26479" s="121" t="n"/>
      <s:c r="C26479" s="121" t="n"/>
      <s:c r="D26479" s="121" t="n"/>
      <s:c r="E26479" s="122" t="n"/>
    </s:row>
    <s:row r="26480" hidden="1" ht="1" customHeight="1">
      <s:c r="A26480" s="120" t="inlineStr"/>
      <s:c r="B26480" s="121" t="n"/>
      <s:c r="C26480" s="121" t="n"/>
      <s:c r="D26480" s="121" t="n"/>
      <s:c r="E26480" s="122" t="n"/>
    </s:row>
    <s:row r="26481" hidden="1" ht="1" customHeight="1">
      <s:c r="A26481" s="120" t="inlineStr"/>
      <s:c r="B26481" s="121" t="n"/>
      <s:c r="C26481" s="121" t="n"/>
      <s:c r="D26481" s="121" t="n"/>
      <s:c r="E26481" s="122" t="n"/>
    </s:row>
    <s:row r="26482" hidden="1" ht="1" customHeight="1">
      <s:c r="A26482" s="120" t="inlineStr"/>
      <s:c r="B26482" s="121" t="n"/>
      <s:c r="C26482" s="121" t="n"/>
      <s:c r="D26482" s="121" t="n"/>
      <s:c r="E26482" s="122" t="n"/>
    </s:row>
    <s:row r="26483" hidden="1" ht="1" customHeight="1">
      <s:c r="A26483" s="120" t="inlineStr"/>
      <s:c r="B26483" s="121" t="n"/>
      <s:c r="C26483" s="121" t="n"/>
      <s:c r="D26483" s="121" t="n"/>
      <s:c r="E26483" s="122" t="n"/>
    </s:row>
    <s:row r="26484" hidden="1" ht="1" customHeight="1">
      <s:c r="A26484" s="120" t="inlineStr"/>
      <s:c r="B26484" s="121" t="n"/>
      <s:c r="C26484" s="121" t="n"/>
      <s:c r="D26484" s="121" t="n"/>
      <s:c r="E26484" s="122" t="n"/>
    </s:row>
    <s:row r="26485" hidden="1" ht="1" customHeight="1">
      <s:c r="A26485" s="120" t="inlineStr"/>
      <s:c r="B26485" s="121" t="n"/>
      <s:c r="C26485" s="121" t="n"/>
      <s:c r="D26485" s="121" t="n"/>
      <s:c r="E26485" s="122" t="n"/>
    </s:row>
    <s:row r="26486" hidden="1" ht="1" customHeight="1">
      <s:c r="A26486" s="120" t="inlineStr"/>
      <s:c r="B26486" s="121" t="n"/>
      <s:c r="C26486" s="121" t="n"/>
      <s:c r="D26486" s="121" t="n"/>
      <s:c r="E26486" s="122" t="n"/>
    </s:row>
    <s:row r="26487" hidden="1" ht="1" customHeight="1">
      <s:c r="A26487" s="120" t="inlineStr"/>
      <s:c r="B26487" s="121" t="n"/>
      <s:c r="C26487" s="121" t="n"/>
      <s:c r="D26487" s="121" t="n"/>
      <s:c r="E26487" s="122" t="n"/>
    </s:row>
    <s:row r="26488" hidden="1" ht="1" customHeight="1">
      <s:c r="A26488" s="120" t="inlineStr"/>
      <s:c r="B26488" s="121" t="n"/>
      <s:c r="C26488" s="121" t="n"/>
      <s:c r="D26488" s="121" t="n"/>
      <s:c r="E26488" s="122" t="n"/>
    </s:row>
    <s:row r="26489" hidden="1" ht="1" customHeight="1">
      <s:c r="A26489" s="120" t="inlineStr"/>
      <s:c r="B26489" s="121" t="n"/>
      <s:c r="C26489" s="121" t="n"/>
      <s:c r="D26489" s="121" t="n"/>
      <s:c r="E26489" s="122" t="n"/>
    </s:row>
    <s:row r="26490" hidden="1" ht="1" customHeight="1">
      <s:c r="A26490" s="120" t="inlineStr"/>
      <s:c r="B26490" s="121" t="n"/>
      <s:c r="C26490" s="121" t="n"/>
      <s:c r="D26490" s="121" t="n"/>
      <s:c r="E26490" s="122" t="n"/>
    </s:row>
    <s:row r="26491" hidden="1" ht="1" customHeight="1">
      <s:c r="A26491" s="120" t="inlineStr"/>
      <s:c r="B26491" s="121" t="n"/>
      <s:c r="C26491" s="121" t="n"/>
      <s:c r="D26491" s="121" t="n"/>
      <s:c r="E26491" s="122" t="n"/>
    </s:row>
    <s:row r="26492" hidden="1" ht="1" customHeight="1">
      <s:c r="A26492" s="120" t="inlineStr"/>
      <s:c r="B26492" s="121" t="n"/>
      <s:c r="C26492" s="121" t="n"/>
      <s:c r="D26492" s="121" t="n"/>
      <s:c r="E26492" s="122" t="n"/>
    </s:row>
    <s:row r="26493" hidden="1" ht="1" customHeight="1">
      <s:c r="A26493" s="120" t="inlineStr"/>
      <s:c r="B26493" s="121" t="n"/>
      <s:c r="C26493" s="121" t="n"/>
      <s:c r="D26493" s="121" t="n"/>
      <s:c r="E26493" s="122" t="n"/>
    </s:row>
    <s:row r="26494" hidden="1" ht="1" customHeight="1">
      <s:c r="A26494" s="120" t="inlineStr"/>
      <s:c r="B26494" s="121" t="n"/>
      <s:c r="C26494" s="121" t="n"/>
      <s:c r="D26494" s="121" t="n"/>
      <s:c r="E26494" s="122" t="n"/>
    </s:row>
    <s:row r="26495" hidden="1" ht="1" customHeight="1">
      <s:c r="A26495" s="120" t="inlineStr"/>
      <s:c r="B26495" s="121" t="n"/>
      <s:c r="C26495" s="121" t="n"/>
      <s:c r="D26495" s="121" t="n"/>
      <s:c r="E26495" s="122" t="n"/>
    </s:row>
    <s:row r="26496" hidden="1" ht="1" customHeight="1">
      <s:c r="A26496" s="120" t="inlineStr"/>
      <s:c r="B26496" s="121" t="n"/>
      <s:c r="C26496" s="121" t="n"/>
      <s:c r="D26496" s="121" t="n"/>
      <s:c r="E26496" s="122" t="n"/>
    </s:row>
    <s:row r="26497" hidden="1" ht="1" customHeight="1">
      <s:c r="A26497" s="120" t="inlineStr"/>
      <s:c r="B26497" s="121" t="n"/>
      <s:c r="C26497" s="121" t="n"/>
      <s:c r="D26497" s="121" t="n"/>
      <s:c r="E26497" s="122" t="n"/>
    </s:row>
    <s:row r="26498" hidden="1" ht="1" customHeight="1">
      <s:c r="A26498" s="120" t="inlineStr"/>
      <s:c r="B26498" s="121" t="n"/>
      <s:c r="C26498" s="121" t="n"/>
      <s:c r="D26498" s="121" t="n"/>
      <s:c r="E26498" s="122" t="n"/>
    </s:row>
    <s:row r="26499" hidden="1" ht="1" customHeight="1">
      <s:c r="A26499" s="120" t="inlineStr"/>
      <s:c r="B26499" s="121" t="n"/>
      <s:c r="C26499" s="121" t="n"/>
      <s:c r="D26499" s="121" t="n"/>
      <s:c r="E26499" s="122" t="n"/>
    </s:row>
    <s:row r="26500" hidden="1" ht="1" customHeight="1">
      <s:c r="A26500" s="120" t="inlineStr"/>
      <s:c r="B26500" s="121" t="n"/>
      <s:c r="C26500" s="121" t="n"/>
      <s:c r="D26500" s="121" t="n"/>
      <s:c r="E26500" s="122" t="n"/>
    </s:row>
    <s:row r="26501" hidden="1" ht="1" customHeight="1">
      <s:c r="A26501" s="120" t="inlineStr"/>
      <s:c r="B26501" s="121" t="n"/>
      <s:c r="C26501" s="121" t="n"/>
      <s:c r="D26501" s="121" t="n"/>
      <s:c r="E26501" s="122" t="n"/>
    </s:row>
    <s:row r="26502" hidden="1" ht="1" customHeight="1">
      <s:c r="A26502" s="120" t="inlineStr"/>
      <s:c r="B26502" s="121" t="n"/>
      <s:c r="C26502" s="121" t="n"/>
      <s:c r="D26502" s="121" t="n"/>
      <s:c r="E26502" s="122" t="n"/>
    </s:row>
    <s:row r="26503" hidden="1" ht="1" customHeight="1">
      <s:c r="A26503" s="120" t="inlineStr"/>
      <s:c r="B26503" s="121" t="n"/>
      <s:c r="C26503" s="121" t="n"/>
      <s:c r="D26503" s="121" t="n"/>
      <s:c r="E26503" s="122" t="n"/>
    </s:row>
    <s:row r="26504" hidden="1" ht="1" customHeight="1">
      <s:c r="A26504" s="120" t="inlineStr"/>
      <s:c r="B26504" s="121" t="n"/>
      <s:c r="C26504" s="121" t="n"/>
      <s:c r="D26504" s="121" t="n"/>
      <s:c r="E26504" s="122" t="n"/>
    </s:row>
    <s:row r="26505" hidden="1" ht="1" customHeight="1">
      <s:c r="A26505" s="120" t="inlineStr"/>
      <s:c r="B26505" s="121" t="n"/>
      <s:c r="C26505" s="121" t="n"/>
      <s:c r="D26505" s="121" t="n"/>
      <s:c r="E26505" s="122" t="n"/>
    </s:row>
    <s:row r="26506" hidden="1" ht="1" customHeight="1">
      <s:c r="A26506" s="120" t="inlineStr"/>
      <s:c r="B26506" s="121" t="n"/>
      <s:c r="C26506" s="121" t="n"/>
      <s:c r="D26506" s="121" t="n"/>
      <s:c r="E26506" s="122" t="n"/>
    </s:row>
    <s:row r="26507" hidden="1" ht="1" customHeight="1">
      <s:c r="A26507" s="120" t="inlineStr"/>
      <s:c r="B26507" s="121" t="n"/>
      <s:c r="C26507" s="121" t="n"/>
      <s:c r="D26507" s="121" t="n"/>
      <s:c r="E26507" s="122" t="n"/>
    </s:row>
    <s:row r="26508" hidden="1" ht="1" customHeight="1">
      <s:c r="A26508" s="120" t="inlineStr"/>
      <s:c r="B26508" s="121" t="n"/>
      <s:c r="C26508" s="121" t="n"/>
      <s:c r="D26508" s="121" t="n"/>
      <s:c r="E26508" s="122" t="n"/>
    </s:row>
    <s:row r="26509" hidden="1" ht="1" customHeight="1">
      <s:c r="A26509" s="120" t="inlineStr"/>
      <s:c r="B26509" s="121" t="n"/>
      <s:c r="C26509" s="121" t="n"/>
      <s:c r="D26509" s="121" t="n"/>
      <s:c r="E26509" s="122" t="n"/>
    </s:row>
    <s:row r="26510" hidden="1" ht="1" customHeight="1">
      <s:c r="A26510" s="120" t="inlineStr"/>
      <s:c r="B26510" s="121" t="n"/>
      <s:c r="C26510" s="121" t="n"/>
      <s:c r="D26510" s="121" t="n"/>
      <s:c r="E26510" s="122" t="n"/>
    </s:row>
    <s:row r="26511" hidden="1" ht="1" customHeight="1">
      <s:c r="A26511" s="120" t="inlineStr"/>
      <s:c r="B26511" s="121" t="n"/>
      <s:c r="C26511" s="121" t="n"/>
      <s:c r="D26511" s="121" t="n"/>
      <s:c r="E26511" s="122" t="n"/>
    </s:row>
    <s:row r="26512" hidden="1" ht="1" customHeight="1">
      <s:c r="A26512" s="120" t="inlineStr"/>
      <s:c r="B26512" s="121" t="n"/>
      <s:c r="C26512" s="121" t="n"/>
      <s:c r="D26512" s="121" t="n"/>
      <s:c r="E26512" s="122" t="n"/>
    </s:row>
    <s:row r="26513" hidden="1" ht="1" customHeight="1">
      <s:c r="A26513" s="120" t="inlineStr"/>
      <s:c r="B26513" s="121" t="n"/>
      <s:c r="C26513" s="121" t="n"/>
      <s:c r="D26513" s="121" t="n"/>
      <s:c r="E26513" s="122" t="n"/>
    </s:row>
    <s:row r="26514" hidden="1" ht="1" customHeight="1">
      <s:c r="A26514" s="120" t="inlineStr"/>
      <s:c r="B26514" s="121" t="n"/>
      <s:c r="C26514" s="121" t="n"/>
      <s:c r="D26514" s="121" t="n"/>
      <s:c r="E26514" s="122" t="n"/>
    </s:row>
    <s:row r="26515" hidden="1" ht="1" customHeight="1">
      <s:c r="A26515" s="120" t="inlineStr"/>
      <s:c r="B26515" s="121" t="n"/>
      <s:c r="C26515" s="121" t="n"/>
      <s:c r="D26515" s="121" t="n"/>
      <s:c r="E26515" s="122" t="n"/>
    </s:row>
    <s:row r="26516" hidden="1" ht="1" customHeight="1">
      <s:c r="A26516" s="120" t="inlineStr"/>
      <s:c r="B26516" s="121" t="n"/>
      <s:c r="C26516" s="121" t="n"/>
      <s:c r="D26516" s="121" t="n"/>
      <s:c r="E26516" s="122" t="n"/>
    </s:row>
    <s:row r="26517" hidden="1" ht="1" customHeight="1">
      <s:c r="A26517" s="120" t="inlineStr"/>
      <s:c r="B26517" s="121" t="n"/>
      <s:c r="C26517" s="121" t="n"/>
      <s:c r="D26517" s="121" t="n"/>
      <s:c r="E26517" s="122" t="n"/>
    </s:row>
    <s:row r="26518" hidden="1" ht="1" customHeight="1">
      <s:c r="A26518" s="120" t="inlineStr"/>
      <s:c r="B26518" s="121" t="n"/>
      <s:c r="C26518" s="121" t="n"/>
      <s:c r="D26518" s="121" t="n"/>
      <s:c r="E26518" s="122" t="n"/>
    </s:row>
    <s:row r="26519" hidden="1" ht="1" customHeight="1">
      <s:c r="A26519" s="120" t="inlineStr"/>
      <s:c r="B26519" s="121" t="n"/>
      <s:c r="C26519" s="121" t="n"/>
      <s:c r="D26519" s="121" t="n"/>
      <s:c r="E26519" s="122" t="n"/>
    </s:row>
    <s:row r="26520" hidden="1" ht="1" customHeight="1">
      <s:c r="A26520" s="120" t="inlineStr"/>
      <s:c r="B26520" s="121" t="n"/>
      <s:c r="C26520" s="121" t="n"/>
      <s:c r="D26520" s="121" t="n"/>
      <s:c r="E26520" s="122" t="n"/>
    </s:row>
    <s:row r="26521" hidden="1" ht="1" customHeight="1">
      <s:c r="A26521" s="120" t="inlineStr"/>
      <s:c r="B26521" s="121" t="n"/>
      <s:c r="C26521" s="121" t="n"/>
      <s:c r="D26521" s="121" t="n"/>
      <s:c r="E26521" s="122" t="n"/>
    </s:row>
    <s:row r="26522" hidden="1" ht="1" customHeight="1">
      <s:c r="A26522" s="120" t="inlineStr"/>
      <s:c r="B26522" s="121" t="n"/>
      <s:c r="C26522" s="121" t="n"/>
      <s:c r="D26522" s="121" t="n"/>
      <s:c r="E26522" s="122" t="n"/>
    </s:row>
    <s:row r="26523" hidden="1" ht="1" customHeight="1">
      <s:c r="A26523" s="120" t="inlineStr"/>
      <s:c r="B26523" s="121" t="n"/>
      <s:c r="C26523" s="121" t="n"/>
      <s:c r="D26523" s="121" t="n"/>
      <s:c r="E26523" s="122" t="n"/>
    </s:row>
    <s:row r="26524" hidden="1" ht="1" customHeight="1">
      <s:c r="A26524" s="120" t="inlineStr"/>
      <s:c r="B26524" s="121" t="n"/>
      <s:c r="C26524" s="121" t="n"/>
      <s:c r="D26524" s="121" t="n"/>
      <s:c r="E26524" s="122" t="n"/>
    </s:row>
    <s:row r="26525" hidden="1" ht="1" customHeight="1">
      <s:c r="A26525" s="120" t="inlineStr"/>
      <s:c r="B26525" s="121" t="n"/>
      <s:c r="C26525" s="121" t="n"/>
      <s:c r="D26525" s="121" t="n"/>
      <s:c r="E26525" s="122" t="n"/>
    </s:row>
    <s:row r="26526" hidden="1" ht="1" customHeight="1">
      <s:c r="A26526" s="120" t="inlineStr"/>
      <s:c r="B26526" s="121" t="n"/>
      <s:c r="C26526" s="121" t="n"/>
      <s:c r="D26526" s="121" t="n"/>
      <s:c r="E26526" s="122" t="n"/>
    </s:row>
    <s:row r="26527" hidden="1" ht="1" customHeight="1">
      <s:c r="A26527" s="120" t="inlineStr"/>
      <s:c r="B26527" s="121" t="n"/>
      <s:c r="C26527" s="121" t="n"/>
      <s:c r="D26527" s="121" t="n"/>
      <s:c r="E26527" s="122" t="n"/>
    </s:row>
    <s:row r="26528" hidden="1" ht="1" customHeight="1">
      <s:c r="A26528" s="120" t="inlineStr"/>
      <s:c r="B26528" s="121" t="n"/>
      <s:c r="C26528" s="121" t="n"/>
      <s:c r="D26528" s="121" t="n"/>
      <s:c r="E26528" s="122" t="n"/>
    </s:row>
    <s:row r="26529" hidden="1" ht="1" customHeight="1">
      <s:c r="A26529" s="120" t="inlineStr"/>
      <s:c r="B26529" s="121" t="n"/>
      <s:c r="C26529" s="121" t="n"/>
      <s:c r="D26529" s="121" t="n"/>
      <s:c r="E26529" s="122" t="n"/>
    </s:row>
    <s:row r="26530" hidden="1" ht="1" customHeight="1">
      <s:c r="A26530" s="120" t="inlineStr"/>
      <s:c r="B26530" s="121" t="n"/>
      <s:c r="C26530" s="121" t="n"/>
      <s:c r="D26530" s="121" t="n"/>
      <s:c r="E26530" s="122" t="n"/>
    </s:row>
    <s:row r="26531" hidden="1" ht="1" customHeight="1">
      <s:c r="A26531" s="120" t="inlineStr"/>
      <s:c r="B26531" s="121" t="n"/>
      <s:c r="C26531" s="121" t="n"/>
      <s:c r="D26531" s="121" t="n"/>
      <s:c r="E26531" s="122" t="n"/>
    </s:row>
    <s:row r="26532" hidden="1" ht="1" customHeight="1">
      <s:c r="A26532" s="120" t="inlineStr"/>
      <s:c r="B26532" s="121" t="n"/>
      <s:c r="C26532" s="121" t="n"/>
      <s:c r="D26532" s="121" t="n"/>
      <s:c r="E26532" s="122" t="n"/>
    </s:row>
    <s:row r="26533" hidden="1" ht="1" customHeight="1">
      <s:c r="A26533" s="120" t="inlineStr"/>
      <s:c r="B26533" s="121" t="n"/>
      <s:c r="C26533" s="121" t="n"/>
      <s:c r="D26533" s="121" t="n"/>
      <s:c r="E26533" s="122" t="n"/>
    </s:row>
    <s:row r="26534" hidden="1" ht="1" customHeight="1">
      <s:c r="A26534" s="120" t="inlineStr"/>
      <s:c r="B26534" s="121" t="n"/>
      <s:c r="C26534" s="121" t="n"/>
      <s:c r="D26534" s="121" t="n"/>
      <s:c r="E26534" s="122" t="n"/>
    </s:row>
    <s:row r="26535" hidden="1" ht="1" customHeight="1">
      <s:c r="A26535" s="120" t="inlineStr"/>
      <s:c r="B26535" s="121" t="n"/>
      <s:c r="C26535" s="121" t="n"/>
      <s:c r="D26535" s="121" t="n"/>
      <s:c r="E26535" s="122" t="n"/>
    </s:row>
    <s:row r="26536" hidden="1" ht="1" customHeight="1">
      <s:c r="A26536" s="120" t="inlineStr"/>
      <s:c r="B26536" s="121" t="n"/>
      <s:c r="C26536" s="121" t="n"/>
      <s:c r="D26536" s="121" t="n"/>
      <s:c r="E26536" s="122" t="n"/>
    </s:row>
    <s:row r="26537" hidden="1" ht="1" customHeight="1">
      <s:c r="A26537" s="120" t="inlineStr"/>
      <s:c r="B26537" s="121" t="n"/>
      <s:c r="C26537" s="121" t="n"/>
      <s:c r="D26537" s="121" t="n"/>
      <s:c r="E26537" s="122" t="n"/>
    </s:row>
    <s:row r="26538" hidden="1" ht="1" customHeight="1">
      <s:c r="A26538" s="120" t="inlineStr"/>
      <s:c r="B26538" s="121" t="n"/>
      <s:c r="C26538" s="121" t="n"/>
      <s:c r="D26538" s="121" t="n"/>
      <s:c r="E26538" s="122" t="n"/>
    </s:row>
    <s:row r="26539" hidden="1" ht="1" customHeight="1">
      <s:c r="A26539" s="120" t="inlineStr"/>
      <s:c r="B26539" s="121" t="n"/>
      <s:c r="C26539" s="121" t="n"/>
      <s:c r="D26539" s="121" t="n"/>
      <s:c r="E26539" s="122" t="n"/>
    </s:row>
    <s:row r="26540" hidden="1" ht="1" customHeight="1">
      <s:c r="A26540" s="120" t="inlineStr"/>
      <s:c r="B26540" s="121" t="n"/>
      <s:c r="C26540" s="121" t="n"/>
      <s:c r="D26540" s="121" t="n"/>
      <s:c r="E26540" s="122" t="n"/>
    </s:row>
    <s:row r="26541" hidden="1" ht="1" customHeight="1">
      <s:c r="A26541" s="120" t="inlineStr"/>
      <s:c r="B26541" s="121" t="n"/>
      <s:c r="C26541" s="121" t="n"/>
      <s:c r="D26541" s="121" t="n"/>
      <s:c r="E26541" s="122" t="n"/>
    </s:row>
    <s:row r="26542" hidden="1" ht="1" customHeight="1">
      <s:c r="A26542" s="120" t="inlineStr"/>
      <s:c r="B26542" s="121" t="n"/>
      <s:c r="C26542" s="121" t="n"/>
      <s:c r="D26542" s="121" t="n"/>
      <s:c r="E26542" s="122" t="n"/>
    </s:row>
    <s:row r="26543" hidden="1" ht="1" customHeight="1">
      <s:c r="A26543" s="120" t="inlineStr"/>
      <s:c r="B26543" s="121" t="n"/>
      <s:c r="C26543" s="121" t="n"/>
      <s:c r="D26543" s="121" t="n"/>
      <s:c r="E26543" s="122" t="n"/>
    </s:row>
    <s:row r="26544" hidden="1" ht="1" customHeight="1">
      <s:c r="A26544" s="120" t="inlineStr"/>
      <s:c r="B26544" s="121" t="n"/>
      <s:c r="C26544" s="121" t="n"/>
      <s:c r="D26544" s="121" t="n"/>
      <s:c r="E26544" s="122" t="n"/>
    </s:row>
    <s:row r="26545" hidden="1" ht="1" customHeight="1">
      <s:c r="A26545" s="120" t="inlineStr"/>
      <s:c r="B26545" s="121" t="n"/>
      <s:c r="C26545" s="121" t="n"/>
      <s:c r="D26545" s="121" t="n"/>
      <s:c r="E26545" s="122" t="n"/>
    </s:row>
    <s:row r="26546" hidden="1" ht="1" customHeight="1">
      <s:c r="A26546" s="120" t="inlineStr"/>
      <s:c r="B26546" s="121" t="n"/>
      <s:c r="C26546" s="121" t="n"/>
      <s:c r="D26546" s="121" t="n"/>
      <s:c r="E26546" s="122" t="n"/>
    </s:row>
    <s:row r="26547" hidden="1" ht="1" customHeight="1">
      <s:c r="A26547" s="120" t="inlineStr"/>
      <s:c r="B26547" s="121" t="n"/>
      <s:c r="C26547" s="121" t="n"/>
      <s:c r="D26547" s="121" t="n"/>
      <s:c r="E26547" s="122" t="n"/>
    </s:row>
    <s:row r="26548" hidden="1" ht="1" customHeight="1">
      <s:c r="A26548" s="120" t="inlineStr"/>
      <s:c r="B26548" s="121" t="n"/>
      <s:c r="C26548" s="121" t="n"/>
      <s:c r="D26548" s="121" t="n"/>
      <s:c r="E26548" s="122" t="n"/>
    </s:row>
    <s:row r="26549" hidden="1" ht="1" customHeight="1">
      <s:c r="A26549" s="120" t="inlineStr"/>
      <s:c r="B26549" s="121" t="n"/>
      <s:c r="C26549" s="121" t="n"/>
      <s:c r="D26549" s="121" t="n"/>
      <s:c r="E26549" s="122" t="n"/>
    </s:row>
    <s:row r="26550" hidden="1" ht="1" customHeight="1">
      <s:c r="A26550" s="120" t="inlineStr"/>
      <s:c r="B26550" s="121" t="n"/>
      <s:c r="C26550" s="121" t="n"/>
      <s:c r="D26550" s="121" t="n"/>
      <s:c r="E26550" s="122" t="n"/>
    </s:row>
    <s:row r="26551" hidden="1" ht="1" customHeight="1">
      <s:c r="A26551" s="120" t="inlineStr"/>
      <s:c r="B26551" s="121" t="n"/>
      <s:c r="C26551" s="121" t="n"/>
      <s:c r="D26551" s="121" t="n"/>
      <s:c r="E26551" s="122" t="n"/>
    </s:row>
    <s:row r="26552" hidden="1" ht="1" customHeight="1">
      <s:c r="A26552" s="120" t="inlineStr"/>
      <s:c r="B26552" s="121" t="n"/>
      <s:c r="C26552" s="121" t="n"/>
      <s:c r="D26552" s="121" t="n"/>
      <s:c r="E26552" s="122" t="n"/>
    </s:row>
    <s:row r="26553" hidden="1" ht="1" customHeight="1">
      <s:c r="A26553" s="120" t="inlineStr"/>
      <s:c r="B26553" s="121" t="n"/>
      <s:c r="C26553" s="121" t="n"/>
      <s:c r="D26553" s="121" t="n"/>
      <s:c r="E26553" s="122" t="n"/>
    </s:row>
    <s:row r="26554" hidden="1" ht="1" customHeight="1">
      <s:c r="A26554" s="120" t="inlineStr"/>
      <s:c r="B26554" s="121" t="n"/>
      <s:c r="C26554" s="121" t="n"/>
      <s:c r="D26554" s="121" t="n"/>
      <s:c r="E26554" s="122" t="n"/>
    </s:row>
    <s:row r="26555" hidden="1" ht="1" customHeight="1">
      <s:c r="A26555" s="120" t="inlineStr"/>
      <s:c r="B26555" s="121" t="n"/>
      <s:c r="C26555" s="121" t="n"/>
      <s:c r="D26555" s="121" t="n"/>
      <s:c r="E26555" s="122" t="n"/>
    </s:row>
    <s:row r="26556" hidden="1" ht="1" customHeight="1">
      <s:c r="A26556" s="120" t="inlineStr"/>
      <s:c r="B26556" s="121" t="n"/>
      <s:c r="C26556" s="121" t="n"/>
      <s:c r="D26556" s="121" t="n"/>
      <s:c r="E26556" s="122" t="n"/>
    </s:row>
    <s:row r="26557" hidden="1" ht="1" customHeight="1">
      <s:c r="A26557" s="120" t="inlineStr"/>
      <s:c r="B26557" s="121" t="n"/>
      <s:c r="C26557" s="121" t="n"/>
      <s:c r="D26557" s="121" t="n"/>
      <s:c r="E26557" s="122" t="n"/>
    </s:row>
    <s:row r="26558" hidden="1" ht="1" customHeight="1">
      <s:c r="A26558" s="120" t="inlineStr"/>
      <s:c r="B26558" s="121" t="n"/>
      <s:c r="C26558" s="121" t="n"/>
      <s:c r="D26558" s="121" t="n"/>
      <s:c r="E26558" s="122" t="n"/>
    </s:row>
    <s:row r="26559" hidden="1" ht="1" customHeight="1">
      <s:c r="A26559" s="120" t="inlineStr"/>
      <s:c r="B26559" s="121" t="n"/>
      <s:c r="C26559" s="121" t="n"/>
      <s:c r="D26559" s="121" t="n"/>
      <s:c r="E26559" s="122" t="n"/>
    </s:row>
    <s:row r="26560" hidden="1" ht="1" customHeight="1">
      <s:c r="A26560" s="120" t="inlineStr"/>
      <s:c r="B26560" s="121" t="n"/>
      <s:c r="C26560" s="121" t="n"/>
      <s:c r="D26560" s="121" t="n"/>
      <s:c r="E26560" s="122" t="n"/>
    </s:row>
    <s:row r="26561" hidden="1" ht="1" customHeight="1">
      <s:c r="A26561" s="120" t="inlineStr"/>
      <s:c r="B26561" s="121" t="n"/>
      <s:c r="C26561" s="121" t="n"/>
      <s:c r="D26561" s="121" t="n"/>
      <s:c r="E26561" s="122" t="n"/>
    </s:row>
    <s:row r="26562" hidden="1" ht="1" customHeight="1">
      <s:c r="A26562" s="120" t="inlineStr"/>
      <s:c r="B26562" s="121" t="n"/>
      <s:c r="C26562" s="121" t="n"/>
      <s:c r="D26562" s="121" t="n"/>
      <s:c r="E26562" s="122" t="n"/>
    </s:row>
    <s:row r="26563" hidden="1" ht="1" customHeight="1">
      <s:c r="A26563" s="120" t="inlineStr"/>
      <s:c r="B26563" s="121" t="n"/>
      <s:c r="C26563" s="121" t="n"/>
      <s:c r="D26563" s="121" t="n"/>
      <s:c r="E26563" s="122" t="n"/>
    </s:row>
    <s:row r="26564" hidden="1" ht="1" customHeight="1">
      <s:c r="A26564" s="120" t="inlineStr"/>
      <s:c r="B26564" s="121" t="n"/>
      <s:c r="C26564" s="121" t="n"/>
      <s:c r="D26564" s="121" t="n"/>
      <s:c r="E26564" s="122" t="n"/>
    </s:row>
    <s:row r="26565" hidden="1" ht="1" customHeight="1">
      <s:c r="A26565" s="120" t="inlineStr"/>
      <s:c r="B26565" s="121" t="n"/>
      <s:c r="C26565" s="121" t="n"/>
      <s:c r="D26565" s="121" t="n"/>
      <s:c r="E26565" s="122" t="n"/>
    </s:row>
    <s:row r="26566" hidden="1" ht="1" customHeight="1">
      <s:c r="A26566" s="120" t="inlineStr"/>
      <s:c r="B26566" s="121" t="n"/>
      <s:c r="C26566" s="121" t="n"/>
      <s:c r="D26566" s="121" t="n"/>
      <s:c r="E26566" s="122" t="n"/>
    </s:row>
    <s:row r="26567" hidden="1" ht="1" customHeight="1">
      <s:c r="A26567" s="120" t="inlineStr"/>
      <s:c r="B26567" s="121" t="n"/>
      <s:c r="C26567" s="121" t="n"/>
      <s:c r="D26567" s="121" t="n"/>
      <s:c r="E26567" s="122" t="n"/>
    </s:row>
    <s:row r="26568" hidden="1" ht="1" customHeight="1">
      <s:c r="A26568" s="120" t="inlineStr"/>
      <s:c r="B26568" s="121" t="n"/>
      <s:c r="C26568" s="121" t="n"/>
      <s:c r="D26568" s="121" t="n"/>
      <s:c r="E26568" s="122" t="n"/>
    </s:row>
    <s:row r="26569" hidden="1" ht="1" customHeight="1">
      <s:c r="A26569" s="120" t="inlineStr"/>
      <s:c r="B26569" s="121" t="n"/>
      <s:c r="C26569" s="121" t="n"/>
      <s:c r="D26569" s="121" t="n"/>
      <s:c r="E26569" s="122" t="n"/>
    </s:row>
    <s:row r="26570" hidden="1" ht="1" customHeight="1">
      <s:c r="A26570" s="120" t="inlineStr"/>
      <s:c r="B26570" s="121" t="n"/>
      <s:c r="C26570" s="121" t="n"/>
      <s:c r="D26570" s="121" t="n"/>
      <s:c r="E26570" s="122" t="n"/>
    </s:row>
    <s:row r="26571" hidden="1" ht="1" customHeight="1">
      <s:c r="A26571" s="120" t="inlineStr"/>
      <s:c r="B26571" s="121" t="n"/>
      <s:c r="C26571" s="121" t="n"/>
      <s:c r="D26571" s="121" t="n"/>
      <s:c r="E26571" s="122" t="n"/>
    </s:row>
    <s:row r="26572" hidden="1" ht="1" customHeight="1">
      <s:c r="A26572" s="120" t="inlineStr"/>
      <s:c r="B26572" s="121" t="n"/>
      <s:c r="C26572" s="121" t="n"/>
      <s:c r="D26572" s="121" t="n"/>
      <s:c r="E26572" s="122" t="n"/>
    </s:row>
    <s:row r="26573" hidden="1" ht="1" customHeight="1">
      <s:c r="A26573" s="120" t="inlineStr"/>
      <s:c r="B26573" s="121" t="n"/>
      <s:c r="C26573" s="121" t="n"/>
      <s:c r="D26573" s="121" t="n"/>
      <s:c r="E26573" s="122" t="n"/>
    </s:row>
    <s:row r="26574" hidden="1" ht="1" customHeight="1">
      <s:c r="A26574" s="120" t="inlineStr"/>
      <s:c r="B26574" s="121" t="n"/>
      <s:c r="C26574" s="121" t="n"/>
      <s:c r="D26574" s="121" t="n"/>
      <s:c r="E26574" s="122" t="n"/>
    </s:row>
    <s:row r="26575" hidden="1" ht="1" customHeight="1">
      <s:c r="A26575" s="120" t="inlineStr"/>
      <s:c r="B26575" s="121" t="n"/>
      <s:c r="C26575" s="121" t="n"/>
      <s:c r="D26575" s="121" t="n"/>
      <s:c r="E26575" s="122" t="n"/>
    </s:row>
    <s:row r="26576" hidden="1" ht="1" customHeight="1">
      <s:c r="A26576" s="120" t="inlineStr"/>
      <s:c r="B26576" s="121" t="n"/>
      <s:c r="C26576" s="121" t="n"/>
      <s:c r="D26576" s="121" t="n"/>
      <s:c r="E26576" s="122" t="n"/>
    </s:row>
    <s:row r="26577" hidden="1" ht="1" customHeight="1">
      <s:c r="A26577" s="120" t="inlineStr"/>
      <s:c r="B26577" s="121" t="n"/>
      <s:c r="C26577" s="121" t="n"/>
      <s:c r="D26577" s="121" t="n"/>
      <s:c r="E26577" s="122" t="n"/>
    </s:row>
    <s:row r="26578" hidden="1" ht="1" customHeight="1">
      <s:c r="A26578" s="120" t="inlineStr"/>
      <s:c r="B26578" s="121" t="n"/>
      <s:c r="C26578" s="121" t="n"/>
      <s:c r="D26578" s="121" t="n"/>
      <s:c r="E26578" s="122" t="n"/>
    </s:row>
    <s:row r="26579" hidden="1" ht="1" customHeight="1">
      <s:c r="A26579" s="120" t="inlineStr"/>
      <s:c r="B26579" s="121" t="n"/>
      <s:c r="C26579" s="121" t="n"/>
      <s:c r="D26579" s="121" t="n"/>
      <s:c r="E26579" s="122" t="n"/>
    </s:row>
    <s:row r="26580" hidden="1" ht="1" customHeight="1">
      <s:c r="A26580" s="120" t="inlineStr"/>
      <s:c r="B26580" s="121" t="n"/>
      <s:c r="C26580" s="121" t="n"/>
      <s:c r="D26580" s="121" t="n"/>
      <s:c r="E26580" s="122" t="n"/>
    </s:row>
    <s:row r="26581" hidden="1" ht="1" customHeight="1">
      <s:c r="A26581" s="120" t="inlineStr"/>
      <s:c r="B26581" s="121" t="n"/>
      <s:c r="C26581" s="121" t="n"/>
      <s:c r="D26581" s="121" t="n"/>
      <s:c r="E26581" s="122" t="n"/>
    </s:row>
    <s:row r="26582" hidden="1" ht="1" customHeight="1">
      <s:c r="A26582" s="120" t="inlineStr"/>
      <s:c r="B26582" s="121" t="n"/>
      <s:c r="C26582" s="121" t="n"/>
      <s:c r="D26582" s="121" t="n"/>
      <s:c r="E26582" s="122" t="n"/>
    </s:row>
    <s:row r="26583" hidden="1" ht="1" customHeight="1">
      <s:c r="A26583" s="120" t="inlineStr"/>
      <s:c r="B26583" s="121" t="n"/>
      <s:c r="C26583" s="121" t="n"/>
      <s:c r="D26583" s="121" t="n"/>
      <s:c r="E26583" s="122" t="n"/>
    </s:row>
    <s:row r="26584" hidden="1" ht="1" customHeight="1">
      <s:c r="A26584" s="120" t="inlineStr"/>
      <s:c r="B26584" s="121" t="n"/>
      <s:c r="C26584" s="121" t="n"/>
      <s:c r="D26584" s="121" t="n"/>
      <s:c r="E26584" s="122" t="n"/>
    </s:row>
    <s:row r="26585" hidden="1" ht="1" customHeight="1">
      <s:c r="A26585" s="120" t="inlineStr"/>
      <s:c r="B26585" s="121" t="n"/>
      <s:c r="C26585" s="121" t="n"/>
      <s:c r="D26585" s="121" t="n"/>
      <s:c r="E26585" s="122" t="n"/>
    </s:row>
    <s:row r="26586" hidden="1" ht="1" customHeight="1">
      <s:c r="A26586" s="120" t="inlineStr"/>
      <s:c r="B26586" s="121" t="n"/>
      <s:c r="C26586" s="121" t="n"/>
      <s:c r="D26586" s="121" t="n"/>
      <s:c r="E26586" s="122" t="n"/>
    </s:row>
    <s:row r="26587" hidden="1" ht="1" customHeight="1">
      <s:c r="A26587" s="120" t="inlineStr"/>
      <s:c r="B26587" s="121" t="n"/>
      <s:c r="C26587" s="121" t="n"/>
      <s:c r="D26587" s="121" t="n"/>
      <s:c r="E26587" s="122" t="n"/>
    </s:row>
    <s:row r="26588" hidden="1" ht="1" customHeight="1">
      <s:c r="A26588" s="120" t="inlineStr"/>
      <s:c r="B26588" s="121" t="n"/>
      <s:c r="C26588" s="121" t="n"/>
      <s:c r="D26588" s="121" t="n"/>
      <s:c r="E26588" s="122" t="n"/>
    </s:row>
    <s:row r="26589" hidden="1" ht="1" customHeight="1">
      <s:c r="A26589" s="120" t="inlineStr"/>
      <s:c r="B26589" s="121" t="n"/>
      <s:c r="C26589" s="121" t="n"/>
      <s:c r="D26589" s="121" t="n"/>
      <s:c r="E26589" s="122" t="n"/>
    </s:row>
    <s:row r="26590" hidden="1" ht="1" customHeight="1">
      <s:c r="A26590" s="120" t="inlineStr"/>
      <s:c r="B26590" s="121" t="n"/>
      <s:c r="C26590" s="121" t="n"/>
      <s:c r="D26590" s="121" t="n"/>
      <s:c r="E26590" s="122" t="n"/>
    </s:row>
    <s:row r="26591" hidden="1" ht="1" customHeight="1">
      <s:c r="A26591" s="120" t="inlineStr"/>
      <s:c r="B26591" s="121" t="n"/>
      <s:c r="C26591" s="121" t="n"/>
      <s:c r="D26591" s="121" t="n"/>
      <s:c r="E26591" s="122" t="n"/>
    </s:row>
    <s:row r="26592" hidden="1" ht="1" customHeight="1">
      <s:c r="A26592" s="120" t="inlineStr"/>
      <s:c r="B26592" s="121" t="n"/>
      <s:c r="C26592" s="121" t="n"/>
      <s:c r="D26592" s="121" t="n"/>
      <s:c r="E26592" s="122" t="n"/>
    </s:row>
    <s:row r="26593" hidden="1" ht="1" customHeight="1">
      <s:c r="A26593" s="120" t="inlineStr"/>
      <s:c r="B26593" s="121" t="n"/>
      <s:c r="C26593" s="121" t="n"/>
      <s:c r="D26593" s="121" t="n"/>
      <s:c r="E26593" s="122" t="n"/>
    </s:row>
    <s:row r="26594" hidden="1" ht="1" customHeight="1">
      <s:c r="A26594" s="120" t="inlineStr"/>
      <s:c r="B26594" s="121" t="n"/>
      <s:c r="C26594" s="121" t="n"/>
      <s:c r="D26594" s="121" t="n"/>
      <s:c r="E26594" s="122" t="n"/>
    </s:row>
    <s:row r="26595" hidden="1" ht="1" customHeight="1">
      <s:c r="A26595" s="120" t="inlineStr"/>
      <s:c r="B26595" s="121" t="n"/>
      <s:c r="C26595" s="121" t="n"/>
      <s:c r="D26595" s="121" t="n"/>
      <s:c r="E26595" s="122" t="n"/>
    </s:row>
    <s:row r="26596" hidden="1" ht="1" customHeight="1">
      <s:c r="A26596" s="120" t="inlineStr"/>
      <s:c r="B26596" s="121" t="n"/>
      <s:c r="C26596" s="121" t="n"/>
      <s:c r="D26596" s="121" t="n"/>
      <s:c r="E26596" s="122" t="n"/>
    </s:row>
    <s:row r="26597" hidden="1" ht="1" customHeight="1">
      <s:c r="A26597" s="120" t="inlineStr"/>
      <s:c r="B26597" s="121" t="n"/>
      <s:c r="C26597" s="121" t="n"/>
      <s:c r="D26597" s="121" t="n"/>
      <s:c r="E26597" s="122" t="n"/>
    </s:row>
    <s:row r="26598" hidden="1" ht="1" customHeight="1">
      <s:c r="A26598" s="120" t="inlineStr"/>
      <s:c r="B26598" s="121" t="n"/>
      <s:c r="C26598" s="121" t="n"/>
      <s:c r="D26598" s="121" t="n"/>
      <s:c r="E26598" s="122" t="n"/>
    </s:row>
    <s:row r="26599" hidden="1" ht="1" customHeight="1">
      <s:c r="A26599" s="120" t="inlineStr"/>
      <s:c r="B26599" s="121" t="n"/>
      <s:c r="C26599" s="121" t="n"/>
      <s:c r="D26599" s="121" t="n"/>
      <s:c r="E26599" s="122" t="n"/>
    </s:row>
    <s:row r="26600" hidden="1" ht="1" customHeight="1">
      <s:c r="A26600" s="120" t="inlineStr"/>
      <s:c r="B26600" s="121" t="n"/>
      <s:c r="C26600" s="121" t="n"/>
      <s:c r="D26600" s="121" t="n"/>
      <s:c r="E26600" s="122" t="n"/>
    </s:row>
    <s:row r="26601" hidden="1" ht="1" customHeight="1">
      <s:c r="A26601" s="120" t="inlineStr"/>
      <s:c r="B26601" s="121" t="n"/>
      <s:c r="C26601" s="121" t="n"/>
      <s:c r="D26601" s="121" t="n"/>
      <s:c r="E26601" s="122" t="n"/>
    </s:row>
    <s:row r="26602" hidden="1" ht="1" customHeight="1">
      <s:c r="A26602" s="120" t="inlineStr"/>
      <s:c r="B26602" s="121" t="n"/>
      <s:c r="C26602" s="121" t="n"/>
      <s:c r="D26602" s="121" t="n"/>
      <s:c r="E26602" s="122" t="n"/>
    </s:row>
    <s:row r="26603" hidden="1" ht="1" customHeight="1">
      <s:c r="A26603" s="120" t="inlineStr"/>
      <s:c r="B26603" s="121" t="n"/>
      <s:c r="C26603" s="121" t="n"/>
      <s:c r="D26603" s="121" t="n"/>
      <s:c r="E26603" s="122" t="n"/>
    </s:row>
    <s:row r="26604" hidden="1" ht="1" customHeight="1">
      <s:c r="A26604" s="120" t="inlineStr"/>
      <s:c r="B26604" s="121" t="n"/>
      <s:c r="C26604" s="121" t="n"/>
      <s:c r="D26604" s="121" t="n"/>
      <s:c r="E26604" s="122" t="n"/>
    </s:row>
    <s:row r="26605" hidden="1" ht="1" customHeight="1">
      <s:c r="A26605" s="120" t="inlineStr"/>
      <s:c r="B26605" s="121" t="n"/>
      <s:c r="C26605" s="121" t="n"/>
      <s:c r="D26605" s="121" t="n"/>
      <s:c r="E26605" s="122" t="n"/>
    </s:row>
    <s:row r="26606" hidden="1" ht="1" customHeight="1">
      <s:c r="A26606" s="120" t="inlineStr"/>
      <s:c r="B26606" s="121" t="n"/>
      <s:c r="C26606" s="121" t="n"/>
      <s:c r="D26606" s="121" t="n"/>
      <s:c r="E26606" s="122" t="n"/>
    </s:row>
    <s:row r="26607" hidden="1" ht="1" customHeight="1">
      <s:c r="A26607" s="120" t="inlineStr"/>
      <s:c r="B26607" s="121" t="n"/>
      <s:c r="C26607" s="121" t="n"/>
      <s:c r="D26607" s="121" t="n"/>
      <s:c r="E26607" s="122" t="n"/>
    </s:row>
    <s:row r="26608" hidden="1" ht="1" customHeight="1">
      <s:c r="A26608" s="120" t="inlineStr"/>
      <s:c r="B26608" s="121" t="n"/>
      <s:c r="C26608" s="121" t="n"/>
      <s:c r="D26608" s="121" t="n"/>
      <s:c r="E26608" s="122" t="n"/>
    </s:row>
    <s:row r="26609" hidden="1" ht="1" customHeight="1">
      <s:c r="A26609" s="120" t="inlineStr"/>
      <s:c r="B26609" s="121" t="n"/>
      <s:c r="C26609" s="121" t="n"/>
      <s:c r="D26609" s="121" t="n"/>
      <s:c r="E26609" s="122" t="n"/>
    </s:row>
    <s:row r="26610" hidden="1" ht="1" customHeight="1">
      <s:c r="A26610" s="120" t="inlineStr"/>
      <s:c r="B26610" s="121" t="n"/>
      <s:c r="C26610" s="121" t="n"/>
      <s:c r="D26610" s="121" t="n"/>
      <s:c r="E26610" s="122" t="n"/>
    </s:row>
    <s:row r="26611" hidden="1" ht="1" customHeight="1">
      <s:c r="A26611" s="120" t="inlineStr"/>
      <s:c r="B26611" s="121" t="n"/>
      <s:c r="C26611" s="121" t="n"/>
      <s:c r="D26611" s="121" t="n"/>
      <s:c r="E26611" s="122" t="n"/>
    </s:row>
    <s:row r="26612" hidden="1" ht="1" customHeight="1">
      <s:c r="A26612" s="120" t="inlineStr"/>
      <s:c r="B26612" s="121" t="n"/>
      <s:c r="C26612" s="121" t="n"/>
      <s:c r="D26612" s="121" t="n"/>
      <s:c r="E26612" s="122" t="n"/>
    </s:row>
    <s:row r="26613" hidden="1" ht="1" customHeight="1">
      <s:c r="A26613" s="120" t="inlineStr"/>
      <s:c r="B26613" s="121" t="n"/>
      <s:c r="C26613" s="121" t="n"/>
      <s:c r="D26613" s="121" t="n"/>
      <s:c r="E26613" s="122" t="n"/>
    </s:row>
    <s:row r="26614" hidden="1" ht="1" customHeight="1">
      <s:c r="A26614" s="120" t="inlineStr"/>
      <s:c r="B26614" s="121" t="n"/>
      <s:c r="C26614" s="121" t="n"/>
      <s:c r="D26614" s="121" t="n"/>
      <s:c r="E26614" s="122" t="n"/>
    </s:row>
    <s:row r="26615" hidden="1" ht="1" customHeight="1">
      <s:c r="A26615" s="120" t="inlineStr"/>
      <s:c r="B26615" s="121" t="n"/>
      <s:c r="C26615" s="121" t="n"/>
      <s:c r="D26615" s="121" t="n"/>
      <s:c r="E26615" s="122" t="n"/>
    </s:row>
    <s:row r="26616" hidden="1" ht="1" customHeight="1">
      <s:c r="A26616" s="120" t="inlineStr"/>
      <s:c r="B26616" s="121" t="n"/>
      <s:c r="C26616" s="121" t="n"/>
      <s:c r="D26616" s="121" t="n"/>
      <s:c r="E26616" s="122" t="n"/>
    </s:row>
    <s:row r="26617" hidden="1" ht="1" customHeight="1">
      <s:c r="A26617" s="120" t="inlineStr"/>
      <s:c r="B26617" s="121" t="n"/>
      <s:c r="C26617" s="121" t="n"/>
      <s:c r="D26617" s="121" t="n"/>
      <s:c r="E26617" s="122" t="n"/>
    </s:row>
    <s:row r="26618" hidden="1" ht="1" customHeight="1">
      <s:c r="A26618" s="120" t="inlineStr"/>
      <s:c r="B26618" s="121" t="n"/>
      <s:c r="C26618" s="121" t="n"/>
      <s:c r="D26618" s="121" t="n"/>
      <s:c r="E26618" s="122" t="n"/>
    </s:row>
    <s:row r="26619" hidden="1" ht="1" customHeight="1">
      <s:c r="A26619" s="120" t="inlineStr"/>
      <s:c r="B26619" s="121" t="n"/>
      <s:c r="C26619" s="121" t="n"/>
      <s:c r="D26619" s="121" t="n"/>
      <s:c r="E26619" s="122" t="n"/>
    </s:row>
    <s:row r="26620" hidden="1" ht="1" customHeight="1">
      <s:c r="A26620" s="120" t="inlineStr"/>
      <s:c r="B26620" s="121" t="n"/>
      <s:c r="C26620" s="121" t="n"/>
      <s:c r="D26620" s="121" t="n"/>
      <s:c r="E26620" s="122" t="n"/>
    </s:row>
    <s:row r="26621" hidden="1" ht="1" customHeight="1">
      <s:c r="A26621" s="120" t="inlineStr"/>
      <s:c r="B26621" s="121" t="n"/>
      <s:c r="C26621" s="121" t="n"/>
      <s:c r="D26621" s="121" t="n"/>
      <s:c r="E26621" s="122" t="n"/>
    </s:row>
    <s:row r="26622" hidden="1" ht="1" customHeight="1">
      <s:c r="A26622" s="120" t="inlineStr"/>
      <s:c r="B26622" s="121" t="n"/>
      <s:c r="C26622" s="121" t="n"/>
      <s:c r="D26622" s="121" t="n"/>
      <s:c r="E26622" s="122" t="n"/>
    </s:row>
    <s:row r="26623" hidden="1" ht="1" customHeight="1">
      <s:c r="A26623" s="120" t="inlineStr"/>
      <s:c r="B26623" s="121" t="n"/>
      <s:c r="C26623" s="121" t="n"/>
      <s:c r="D26623" s="121" t="n"/>
      <s:c r="E26623" s="122" t="n"/>
    </s:row>
    <s:row r="26624" hidden="1" ht="1" customHeight="1">
      <s:c r="A26624" s="120" t="inlineStr"/>
      <s:c r="B26624" s="121" t="n"/>
      <s:c r="C26624" s="121" t="n"/>
      <s:c r="D26624" s="121" t="n"/>
      <s:c r="E26624" s="122" t="n"/>
    </s:row>
    <s:row r="26625" hidden="1" ht="1" customHeight="1">
      <s:c r="A26625" s="120" t="inlineStr"/>
      <s:c r="B26625" s="121" t="n"/>
      <s:c r="C26625" s="121" t="n"/>
      <s:c r="D26625" s="121" t="n"/>
      <s:c r="E26625" s="122" t="n"/>
    </s:row>
    <s:row r="26626" hidden="1" ht="1" customHeight="1">
      <s:c r="A26626" s="120" t="inlineStr"/>
      <s:c r="B26626" s="121" t="n"/>
      <s:c r="C26626" s="121" t="n"/>
      <s:c r="D26626" s="121" t="n"/>
      <s:c r="E26626" s="122" t="n"/>
    </s:row>
    <s:row r="26627" hidden="1" ht="1" customHeight="1">
      <s:c r="A26627" s="120" t="inlineStr"/>
      <s:c r="B26627" s="121" t="n"/>
      <s:c r="C26627" s="121" t="n"/>
      <s:c r="D26627" s="121" t="n"/>
      <s:c r="E26627" s="122" t="n"/>
    </s:row>
    <s:row r="26628" hidden="1" ht="1" customHeight="1">
      <s:c r="A26628" s="120" t="inlineStr"/>
      <s:c r="B26628" s="121" t="n"/>
      <s:c r="C26628" s="121" t="n"/>
      <s:c r="D26628" s="121" t="n"/>
      <s:c r="E26628" s="122" t="n"/>
    </s:row>
    <s:row r="26629" hidden="1" ht="1" customHeight="1">
      <s:c r="A26629" s="120" t="inlineStr"/>
      <s:c r="B26629" s="121" t="n"/>
      <s:c r="C26629" s="121" t="n"/>
      <s:c r="D26629" s="121" t="n"/>
      <s:c r="E26629" s="122" t="n"/>
    </s:row>
    <s:row r="26630" hidden="1" ht="1" customHeight="1">
      <s:c r="A26630" s="120" t="inlineStr"/>
      <s:c r="B26630" s="121" t="n"/>
      <s:c r="C26630" s="121" t="n"/>
      <s:c r="D26630" s="121" t="n"/>
      <s:c r="E26630" s="122" t="n"/>
    </s:row>
    <s:row r="26631" hidden="1" ht="1" customHeight="1">
      <s:c r="A26631" s="120" t="inlineStr"/>
      <s:c r="B26631" s="121" t="n"/>
      <s:c r="C26631" s="121" t="n"/>
      <s:c r="D26631" s="121" t="n"/>
      <s:c r="E26631" s="122" t="n"/>
    </s:row>
    <s:row r="26632" hidden="1" ht="1" customHeight="1">
      <s:c r="A26632" s="120" t="inlineStr"/>
      <s:c r="B26632" s="121" t="n"/>
      <s:c r="C26632" s="121" t="n"/>
      <s:c r="D26632" s="121" t="n"/>
      <s:c r="E26632" s="122" t="n"/>
    </s:row>
    <s:row r="26633" hidden="1" ht="1" customHeight="1">
      <s:c r="A26633" s="120" t="inlineStr"/>
      <s:c r="B26633" s="121" t="n"/>
      <s:c r="C26633" s="121" t="n"/>
      <s:c r="D26633" s="121" t="n"/>
      <s:c r="E26633" s="122" t="n"/>
    </s:row>
    <s:row r="26634" hidden="1" ht="1" customHeight="1">
      <s:c r="A26634" s="120" t="inlineStr"/>
      <s:c r="B26634" s="121" t="n"/>
      <s:c r="C26634" s="121" t="n"/>
      <s:c r="D26634" s="121" t="n"/>
      <s:c r="E26634" s="122" t="n"/>
    </s:row>
    <s:row r="26635" hidden="1" ht="1" customHeight="1">
      <s:c r="A26635" s="120" t="inlineStr"/>
      <s:c r="B26635" s="121" t="n"/>
      <s:c r="C26635" s="121" t="n"/>
      <s:c r="D26635" s="121" t="n"/>
      <s:c r="E26635" s="122" t="n"/>
    </s:row>
    <s:row r="26636" hidden="1" ht="1" customHeight="1">
      <s:c r="A26636" s="120" t="inlineStr"/>
      <s:c r="B26636" s="121" t="n"/>
      <s:c r="C26636" s="121" t="n"/>
      <s:c r="D26636" s="121" t="n"/>
      <s:c r="E26636" s="122" t="n"/>
    </s:row>
    <s:row r="26637" hidden="1" ht="1" customHeight="1">
      <s:c r="A26637" s="83" t="inlineStr">
        <s:is>
          <s:t>PASS</s:t>
        </s:is>
      </s:c>
      <s:c r="B26637" s="83">
        <s:f>SUM(IF(EXACT('Kiểm thử'!E26437,"Đạt"),1,0),IF(EXACT('Kiểm thử'!E26439,"Đạt"),1,0),IF(EXACT('Kiểm thử'!E26441,"Đạt"),1,0),IF(EXACT('Kiểm thử'!E26443,"Đạt"),1,0))</s:f>
        <s:v/>
      </s:c>
      <s:c r="C26637" s="19" t="n"/>
      <s:c r="D26637" s="19" t="n"/>
      <s:c r="E26637" s="19" t="n"/>
    </s:row>
    <s:row r="26638" hidden="1" ht="1" customHeight="1">
      <s:c r="A26638" s="83" t="inlineStr">
        <s:is>
          <s:t>FAIL</s:t>
        </s:is>
      </s:c>
      <s:c r="B26638" s="83">
        <s:f>SUM(IF(EXACT('Kiểm thử'!E26437,"Không đạt"),1,0),IF(EXACT('Kiểm thử'!E26439,"Không đạt"),1,0),IF(EXACT('Kiểm thử'!E26441,"Không đạt"),1,0),IF(EXACT('Kiểm thử'!E26443,"Không đạt"),1,0))</s:f>
        <s:v/>
      </s:c>
      <s:c r="C26638" s="19" t="n"/>
      <s:c r="D26638" s="19" t="n"/>
      <s:c r="E26638" s="19" t="n"/>
    </s:row>
    <s:row r="26639" hidden="1" ht="1" customHeight="1">
      <s:c r="A26639" s="83" t="inlineStr">
        <s:is>
          <s:t>BLOCKED</s:t>
        </s:is>
      </s:c>
      <s:c r="B26639" s="83">
        <s:f>SUM(IF(EXACT('Kiểm thử'!E26437,"Bị chặn"),1,0),IF(EXACT('Kiểm thử'!E26439,"Bị chặn"),1,0),IF(EXACT('Kiểm thử'!E26441,"Bị chặn"),1,0),IF(EXACT('Kiểm thử'!E26443,"Bị chặn"),1,0))</s:f>
        <s:v/>
      </s:c>
      <s:c r="C26639" s="19" t="n"/>
      <s:c r="D26639" s="19" t="n"/>
      <s:c r="E26639" s="19" t="n"/>
    </s:row>
    <s:row r="26640" hidden="1" ht="1" customHeight="1">
      <s:c r="A26640" s="83" t="inlineStr">
        <s:is>
          <s:t>SKIPPED</s:t>
        </s:is>
      </s:c>
      <s:c r="B26640" s="83">
        <s:f>SUM(IF(EXACT('Kiểm thử'!E26437,"Không thực hiện"),1,0),IF(EXACT('Kiểm thử'!E26439,"Không thực hiện"),1,0),IF(EXACT('Kiểm thử'!E26441,"Không thực hiện"),1,0),IF(EXACT('Kiểm thử'!E26443,"Không thực hiện"),1,0))</s:f>
        <s:v/>
      </s:c>
      <s:c r="C26640" s="19" t="n"/>
      <s:c r="D26640" s="19" t="n"/>
      <s:c r="E26640" s="19" t="n"/>
    </s:row>
    <s:row r="26641" hidden="1" ht="1" customHeight="1">
      <s:c r="A26641" s="83" t="inlineStr">
        <s:is>
          <s:t>NOT RUN</s:t>
        </s:is>
      </s:c>
      <s:c r="B26641" s="83">
        <s:f>SUM(IF(EXACT('Kiểm thử'!E26437,"Chưa thực hiện"),1,0),IF(EXACT('Kiểm thử'!E26439,"Chưa thực hiện"),1,0),IF(EXACT('Kiểm thử'!E26441,"Chưa thực hiện"),1,0),IF(EXACT('Kiểm thử'!E26443,"Chưa thực hiện"),1,0))</s:f>
        <s:v/>
      </s:c>
      <s:c r="C26641" s="19" t="n"/>
      <s:c r="D26641" s="19" t="n"/>
      <s:c r="E26641" s="19" t="n"/>
    </s:row>
    <s:row r="26642" hidden="1" ht="6" customHeight="1">
      <s:c r="A26642" s="83" t="inlineStr"/>
      <s:c r="B26642" s="19" t="n"/>
      <s:c r="C26642" s="19" t="n"/>
      <s:c r="D26642" s="19" t="n"/>
      <s:c r="E26642" s="19" t="n"/>
    </s:row>
    <s:row r="26643" ht="28" customHeight="1">
      <s:c r="A26643" s="108" t="inlineStr">
        <s:is>
          <s:t>TC-RS-CALC-011 — Phân giải M: mặc định → đơn vị → lựa chọn lớp</s:t>
        </s:is>
      </s:c>
      <s:c r="B26643" s="111" t="n"/>
      <s:c r="C26643" s="111" t="n"/>
      <s:c r="D26643" s="111" t="n"/>
      <s:c r="E26643" s="111" t="n"/>
    </s:row>
    <s:row r="26644" ht="20" customHeight="1">
      <s:c r="A26644" s="112" t="inlineStr">
        <s:is>
          <s:t>Kết quả tình huống</s:t>
        </s:is>
      </s:c>
      <s:c r="B26644" s="113">
        <s:f>IF(SUM(IF(EXACT('Kiểm thử'!E26653,"Không đạt"),1,0),IF(EXACT('Kiểm thử'!E26655,"Không đạt"),1,0),IF(EXACT('Kiểm thử'!E26657,"Không đạt"),1,0))&gt;0,"Không đạt",IF(SUM(IF(EXACT('Kiểm thử'!E26653,"Đạt"),1,0),IF(EXACT('Kiểm thử'!E26655,"Đạt"),1,0),IF(EXACT('Kiểm thử'!E26657,"Đạt"),1,0))=3,"Đạt",IF(SUM(IF(EXACT('Kiểm thử'!E26653,"Không thực hiện"),1,0),IF(EXACT('Kiểm thử'!E26655,"Không thực hiện"),1,0),IF(EXACT('Kiểm thử'!E26657,"Không thực hiện"),1,0))=3,"Không thực hiện",IF(SUM(IF(EXACT('Kiểm thử'!E26653,"Bị chặn"),1,0),IF(EXACT('Kiểm thử'!E26655,"Bị chặn"),1,0),IF(EXACT('Kiểm thử'!E26657,"Bị chặn"),1,0))&gt;0,"Bị chặn",IF(SUM(IF(EXACT('Kiểm thử'!E26653,"Chưa thực hiện"),1,0),IF(EXACT('Kiểm thử'!E26655,"Chưa thực hiện"),1,0),IF(EXACT('Kiểm thử'!E26657,"Chưa thực hiện"),1,0))=3,"Chưa thực hiện","Đang thực hiện")))))</s:f>
        <s:v/>
      </s:c>
      <s:c r="C26644" s="114" t="n"/>
      <s:c r="D26644" s="114" t="n"/>
      <s:c r="E26644" s="114" t="n"/>
    </s:row>
    <s:row r="26645" ht="20" customHeight="1">
      <s:c r="A26645" s="112" t="inlineStr">
        <s:is>
          <s:t>Màn hình / chức năng</s:t>
        </s:is>
      </s:c>
      <s:c r="B26645" s="113" t="inlineStr">
        <s:is>
          <s:r>
            <s:rPr>
              <s:b val="1"/>
            </s:rPr>
            <s:t>Thiết lập ngưỡng（基準設定）</s:t>
          </s:r>
        </s:is>
      </s:c>
      <s:c r="C26645" s="28" t="n"/>
      <s:c r="D26645" s="28" t="n"/>
      <s:c r="E26645" s="28" t="n"/>
    </s:row>
    <s:row r="26646" ht="48" customHeight="1">
      <s:c r="A26646" s="112" t="inlineStr">
        <s:is>
          <s:t>Cấu hình</s:t>
        </s:is>
      </s:c>
      <s:c r="B26646" s="113" t="inlineStr">
        <s:is>
          <s:t>• Mục điểm đơn vị (đơn vị U1 có M riêng 40): mặc định 100;
• U1 riêng 40;
• Lựa chọn lớp ghi đè 50 áp dụng cho G-A. Tỷ lệ 30%, [&lt;].</s:t>
        </s:is>
      </s:c>
      <s:c r="C26646" s="28" t="n"/>
      <s:c r="D26646" s="28" t="n"/>
      <s:c r="E26646" s="28" t="n"/>
    </s:row>
    <s:row r="26647" ht="48" customHeight="1">
      <s:c r="A26647" s="112" t="inlineStr">
        <s:is>
          <s:t>Dữ liệu test</s:t>
        </s:is>
      </s:c>
      <s:c r="B26647" s="113" t="inlineStr">
        <s:is>
          <s:t>• Mục điểm đơn vị (đơn vị U1 có M riêng 40);
• S01 (G-A) U1=14;
• S06 (G-B) U1=14, U2=29</s:t>
        </s:is>
      </s:c>
      <s:c r="C26647" s="28" t="n"/>
      <s:c r="D26647" s="28" t="n"/>
      <s:c r="E26647" s="28" t="n"/>
    </s:row>
    <s:row r="26648" ht="20" customHeight="1">
      <s:c r="A26648" s="112" t="inlineStr">
        <s:is>
          <s:t>Bước 1</s:t>
        </s:is>
      </s:c>
      <s:c r="B26648" s="113" t="inlineStr">
        <s:is>
          <s:r>
            <s:t xml:space="preserve">Xác minh M mặc định100, M riêng U1=40 và lựa chọn lớp </s:t>
          </s:r>
          <s:r>
            <s:rPr>
              <s:b val="1"/>
            </s:rPr>
            <s:t>M=50</s:t>
          </s:r>
          <s:r>
            <s:t xml:space="preserve"> áp dụng G-A.</s:t>
          </s:r>
        </s:is>
      </s:c>
      <s:c r="C26648" s="28" t="n"/>
      <s:c r="D26648" s="28" t="n"/>
      <s:c r="E26648" s="28" t="n"/>
    </s:row>
    <s:row r="26649" ht="20" customHeight="1">
      <s:c r="A26649" s="112" t="inlineStr">
        <s:is>
          <s:t>Bước 2</s:t>
        </s:is>
      </s:c>
      <s:c r="B26649" s="113" t="inlineStr">
        <s:is>
          <s:t>Chuẩn bị thay đổi riêng của trường hợp, đăng ký đúng điểm/ô được chỉ định.</s:t>
        </s:is>
      </s:c>
      <s:c r="C26649" s="28" t="n"/>
      <s:c r="D26649" s="28" t="n"/>
      <s:c r="E26649" s="28" t="n"/>
    </s:row>
    <s:row r="26650" ht="34" customHeight="1">
      <s:c r="A26650" s="112" t="inlineStr">
        <s:is>
          <s:t>Bước 3</s:t>
        </s:is>
      </s:c>
      <s:c r="B26650" s="113" t="inlineStr">
        <s:is>
          <s:t>Đọc M/ngưỡng/kết quả của ô và đối chứng; không lấy định nghĩa chưa gán hoặc điểm cao nhất thực tế thay M.</s:t>
        </s:is>
      </s:c>
      <s:c r="C26650" s="28" t="n"/>
      <s:c r="D26650" s="28" t="n"/>
      <s:c r="E26650" s="28" t="n"/>
    </s:row>
    <s:row r="26651" ht="28" customHeight="1">
      <s:c r="A26651" s="115" t="inlineStr">
        <s:is>
          <s:t>Trường hợp</s:t>
        </s:is>
      </s:c>
      <s:c r="B26651" s="115" t="inlineStr">
        <s:is>
          <s:t>Dữ liệu / thao tác riêng</s:t>
        </s:is>
      </s:c>
      <s:c r="C26651" s="115" t="inlineStr">
        <s:is>
          <s:t>Kết quả mong đợi</s:t>
        </s:is>
      </s:c>
      <s:c r="D26651" s="115" t="inlineStr">
        <s:is>
          <s:t>Kết quả thực tế</s:t>
        </s:is>
      </s:c>
      <s:c r="E26651" s="115" t="inlineStr">
        <s:is>
          <s:t>Đánh giá</s:t>
        </s:is>
      </s:c>
    </s:row>
    <s:row r="26652" ht="3" customHeight="1">
      <s:c r="A26652" s="102" t="inlineStr"/>
      <s:c r="B26652" s="99" t="n"/>
      <s:c r="C26652" s="99" t="n"/>
      <s:c r="D26652" s="116" t="n"/>
      <s:c r="E26652" s="116" t="n"/>
    </s:row>
    <s:row r="26653" ht="62" customHeight="1">
      <s:c r="A26653" s="83" t="inlineStr">
        <s:is>
          <s:t>Chọn M theo ngữ cảnh (resolution)</s:t>
        </s:is>
      </s:c>
      <s:c r="B26653" s="83" t="inlineStr">
        <s:is>
          <s:t>Tỷ lệ30%,&lt;; đăng ký S01/G-A U1=14 (M lớp50), S06/G-B U1=14 (M đơn vị40), U2=29 (M mặc định100); đọc M/T/kết quả từng ô.</s:t>
        </s:is>
      </s:c>
      <s:c r="C26653" s="83" t="inlineStr">
        <s:is>
          <s:r>
            <s:t xml:space="preserve">S01/G-A U1: </s:t>
          </s:r>
          <s:r>
            <s:rPr>
              <s:b val="1"/>
            </s:rPr>
            <s:t>M=50</s:t>
          </s:r>
          <s:r>
            <s:t>,</s:t>
          </s:r>
          <s:r>
            <s:rPr>
              <s:b val="1"/>
            </s:rPr>
            <s:t>T=15</s:t>
          </s:r>
          <s:r>
            <s:t>,</s:t>
          </s:r>
          <s:r>
            <s:rPr>
              <s:b val="1"/>
            </s:rPr>
            <s:t>S=14</s:t>
          </s:r>
          <s:r>
            <s:t xml:space="preserve"> → </s:t>
          </s:r>
          <s:r>
            <s:rPr>
              <s:b val="1"/>
            </s:rPr>
            <s:t>Đỏ</s:t>
          </s:r>
          <s:r>
            <s:t xml:space="preserve">. S06/G-B U1: </s:t>
          </s:r>
          <s:r>
            <s:rPr>
              <s:b val="1"/>
            </s:rPr>
            <s:t>M=40</s:t>
          </s:r>
          <s:r>
            <s:t>,</s:t>
          </s:r>
          <s:r>
            <s:rPr>
              <s:b val="1"/>
            </s:rPr>
            <s:t>T=12</s:t>
          </s:r>
          <s:r>
            <s:t>,</s:t>
          </s:r>
          <s:r>
            <s:rPr>
              <s:b val="1"/>
            </s:rPr>
            <s:t>S=14</s:t>
          </s:r>
          <s:r>
            <s:t xml:space="preserve"> → </s:t>
          </s:r>
          <s:r>
            <s:rPr>
              <s:b val="1"/>
            </s:rPr>
            <s:t>Không đỏ</s:t>
          </s:r>
          <s:r>
            <s:t xml:space="preserve">. S06/G-B U2: </s:t>
          </s:r>
          <s:r>
            <s:rPr>
              <s:b val="1"/>
            </s:rPr>
            <s:t>M=100</s:t>
          </s:r>
          <s:r>
            <s:t>,</s:t>
          </s:r>
          <s:r>
            <s:rPr>
              <s:b val="1"/>
            </s:rPr>
            <s:t>T=30</s:t>
          </s:r>
          <s:r>
            <s:t>,</s:t>
          </s:r>
          <s:r>
            <s:rPr>
              <s:b val="1"/>
            </s:rPr>
            <s:t>S=29</s:t>
          </s:r>
          <s:r>
            <s:t xml:space="preserve"> → </s:t>
          </s:r>
          <s:r>
            <s:rPr>
              <s:b val="1"/>
            </s:rPr>
            <s:t>Đỏ</s:t>
          </s:r>
          <s:r>
            <s:t>.</s:t>
          </s:r>
        </s:is>
      </s:c>
      <s:c r="D26653" s="117" t="inlineStr"/>
      <s:c r="E26653" s="118" t="inlineStr">
        <s:is>
          <s:t>Chưa thực hiện</s:t>
        </s:is>
      </s:c>
    </s:row>
    <s:row r="26654" ht="3" customHeight="1">
      <s:c r="A26654" s="102" t="inlineStr"/>
      <s:c r="B26654" s="99" t="n"/>
      <s:c r="C26654" s="99" t="n"/>
      <s:c r="D26654" s="116" t="n"/>
      <s:c r="E26654" s="116" t="n"/>
    </s:row>
    <s:row r="26655" ht="48" customHeight="1">
      <s:c r="A26655" s="83" t="inlineStr">
        <s:is>
          <s:t>Định nghĩa chưa gán (unassigned)</s:t>
        </s:is>
      </s:c>
      <s:c r="B26655" s="83" t="inlineStr">
        <s:is>
          <s:r>
            <s:t xml:space="preserve">Dựng các M trên; tạo thêm định nghĩa lựa chọn </s:t>
          </s:r>
          <s:r>
            <s:rPr>
              <s:b val="1"/>
            </s:rPr>
            <s:t>M=20</s:t>
          </s:r>
          <s:r>
            <s:t xml:space="preserve"> nhưng không gán G-B, đăng ký lại S06 U1=14.</s:t>
          </s:r>
        </s:is>
      </s:c>
      <s:c r="C26655" s="83" t="inlineStr">
        <s:is>
          <s:r>
            <s:t xml:space="preserve">Định nghĩa </s:t>
          </s:r>
          <s:r>
            <s:rPr>
              <s:b val="1"/>
            </s:rPr>
            <s:t>M=20</s:t>
          </s:r>
          <s:r>
            <s:t xml:space="preserve"> chưa gán cho G-B không được dùng: S06 U1 vẫn </s:t>
          </s:r>
          <s:r>
            <s:rPr>
              <s:b val="1"/>
            </s:rPr>
            <s:t>M=40</s:t>
          </s:r>
          <s:r>
            <s:t>,</s:t>
          </s:r>
          <s:r>
            <s:rPr>
              <s:b val="1"/>
            </s:rPr>
            <s:t>T=12</s:t>
          </s:r>
          <s:r>
            <s:t>,</s:t>
          </s:r>
          <s:r>
            <s:rPr>
              <s:b val="1"/>
            </s:rPr>
            <s:t>S=14</s:t>
          </s:r>
          <s:r>
            <s:t xml:space="preserve"> → </s:t>
          </s:r>
          <s:r>
            <s:rPr>
              <s:b val="1"/>
            </s:rPr>
            <s:t>Không đỏ</s:t>
          </s:r>
          <s:r>
            <s:t>.</s:t>
          </s:r>
        </s:is>
      </s:c>
      <s:c r="D26655" s="117" t="inlineStr"/>
      <s:c r="E26655" s="118" t="inlineStr">
        <s:is>
          <s:t>Chưa thực hiện</s:t>
        </s:is>
      </s:c>
    </s:row>
    <s:row r="26656" ht="3" customHeight="1">
      <s:c r="A26656" s="102" t="inlineStr"/>
      <s:c r="B26656" s="99" t="n"/>
      <s:c r="C26656" s="99" t="n"/>
      <s:c r="D26656" s="116" t="n"/>
      <s:c r="E26656" s="116" t="n"/>
    </s:row>
    <s:row r="26657" ht="76" customHeight="1">
      <s:c r="A26657" s="83" t="inlineStr">
        <s:is>
          <s:t>Điểm cao nhất không thay M (actual80)</s:t>
        </s:is>
      </s:c>
      <s:c r="B26657" s="83" t="inlineStr">
        <s:is>
          <s:t>Chuẩn bị G-B có điểm cao nhất thực tế U2=80 và nhóm tổng hợp chứa lớp khác M; đăng ký lại S06 U2=29, giữ M mặc định100/tỷ lệ30%, không đổi M thành80.</s:t>
        </s:is>
      </s:c>
      <s:c r="C26657" s="83" t="inlineStr">
        <s:is>
          <s:r>
            <s:t xml:space="preserve">S06 U2 vẫn </s:t>
          </s:r>
          <s:r>
            <s:rPr>
              <s:b val="1"/>
            </s:rPr>
            <s:t>M=100</s:t>
          </s:r>
          <s:r>
            <s:t>,</s:t>
          </s:r>
          <s:r>
            <s:rPr>
              <s:b val="1"/>
            </s:rPr>
            <s:t>T=30</s:t>
          </s:r>
          <s:r>
            <s:t>,</s:t>
          </s:r>
          <s:r>
            <s:rPr>
              <s:b val="1"/>
            </s:rPr>
            <s:t>S=29</s:t>
          </s:r>
          <s:r>
            <s:t xml:space="preserve"> → </s:t>
          </s:r>
          <s:r>
            <s:rPr>
              <s:b val="1"/>
            </s:rPr>
            <s:t>Đỏ</s:t>
          </s:r>
          <s:r>
            <s:t xml:space="preserve">; không dùng điểm cao nhất thực tế 80 (sẽ cho </s:t>
          </s:r>
          <s:r>
            <s:rPr>
              <s:b val="1"/>
            </s:rPr>
            <s:t>T=24</s:t>
          </s:r>
          <s:r>
            <s:t>/</s:t>
          </s:r>
          <s:r>
            <s:rPr>
              <s:b val="1"/>
            </s:rPr>
            <s:t>Không đỏ</s:t>
          </s:r>
          <s:r>
            <s:t xml:space="preserve"> — sai) hay tổng điểm tối đa nhóm.</s:t>
          </s:r>
        </s:is>
      </s:c>
      <s:c r="D26657" s="117" t="inlineStr"/>
      <s:c r="E26657" s="118" t="inlineStr">
        <s:is>
          <s:t>Chưa thực hiện</s:t>
        </s:is>
      </s:c>
    </s:row>
    <s:row r="26658" ht="20" customHeight="1">
      <s:c r="A26658" s="119" t="inlineStr">
        <s:is>
          <s:t>Ảnh minh chứng — Chưa có ảnh</s:t>
        </s:is>
      </s:c>
      <s:c r="B26658" s="19" t="n"/>
      <s:c r="C26658" s="19" t="n"/>
      <s:c r="D26658" s="19" t="n"/>
      <s:c r="E26658" s="19" t="n"/>
    </s:row>
    <s:row r="26659" hidden="1" ht="1" customHeight="1">
      <s:c r="A26659" s="120" t="inlineStr"/>
      <s:c r="B26659" s="121" t="n"/>
      <s:c r="C26659" s="121" t="n"/>
      <s:c r="D26659" s="121" t="n"/>
      <s:c r="E26659" s="122" t="n"/>
    </s:row>
    <s:row r="26660" hidden="1" ht="1" customHeight="1">
      <s:c r="A26660" s="120" t="inlineStr"/>
      <s:c r="B26660" s="121" t="n"/>
      <s:c r="C26660" s="121" t="n"/>
      <s:c r="D26660" s="121" t="n"/>
      <s:c r="E26660" s="122" t="n"/>
    </s:row>
    <s:row r="26661" hidden="1" ht="1" customHeight="1">
      <s:c r="A26661" s="120" t="inlineStr"/>
      <s:c r="B26661" s="121" t="n"/>
      <s:c r="C26661" s="121" t="n"/>
      <s:c r="D26661" s="121" t="n"/>
      <s:c r="E26661" s="122" t="n"/>
    </s:row>
    <s:row r="26662" hidden="1" ht="1" customHeight="1">
      <s:c r="A26662" s="120" t="inlineStr"/>
      <s:c r="B26662" s="121" t="n"/>
      <s:c r="C26662" s="121" t="n"/>
      <s:c r="D26662" s="121" t="n"/>
      <s:c r="E26662" s="122" t="n"/>
    </s:row>
    <s:row r="26663" hidden="1" ht="1" customHeight="1">
      <s:c r="A26663" s="120" t="inlineStr"/>
      <s:c r="B26663" s="121" t="n"/>
      <s:c r="C26663" s="121" t="n"/>
      <s:c r="D26663" s="121" t="n"/>
      <s:c r="E26663" s="122" t="n"/>
    </s:row>
    <s:row r="26664" hidden="1" ht="1" customHeight="1">
      <s:c r="A26664" s="120" t="inlineStr"/>
      <s:c r="B26664" s="121" t="n"/>
      <s:c r="C26664" s="121" t="n"/>
      <s:c r="D26664" s="121" t="n"/>
      <s:c r="E26664" s="122" t="n"/>
    </s:row>
    <s:row r="26665" hidden="1" ht="1" customHeight="1">
      <s:c r="A26665" s="120" t="inlineStr"/>
      <s:c r="B26665" s="121" t="n"/>
      <s:c r="C26665" s="121" t="n"/>
      <s:c r="D26665" s="121" t="n"/>
      <s:c r="E26665" s="122" t="n"/>
    </s:row>
    <s:row r="26666" hidden="1" ht="1" customHeight="1">
      <s:c r="A26666" s="120" t="inlineStr"/>
      <s:c r="B26666" s="121" t="n"/>
      <s:c r="C26666" s="121" t="n"/>
      <s:c r="D26666" s="121" t="n"/>
      <s:c r="E26666" s="122" t="n"/>
    </s:row>
    <s:row r="26667" hidden="1" ht="1" customHeight="1">
      <s:c r="A26667" s="120" t="inlineStr"/>
      <s:c r="B26667" s="121" t="n"/>
      <s:c r="C26667" s="121" t="n"/>
      <s:c r="D26667" s="121" t="n"/>
      <s:c r="E26667" s="122" t="n"/>
    </s:row>
    <s:row r="26668" hidden="1" ht="1" customHeight="1">
      <s:c r="A26668" s="120" t="inlineStr"/>
      <s:c r="B26668" s="121" t="n"/>
      <s:c r="C26668" s="121" t="n"/>
      <s:c r="D26668" s="121" t="n"/>
      <s:c r="E26668" s="122" t="n"/>
    </s:row>
    <s:row r="26669" hidden="1" ht="1" customHeight="1">
      <s:c r="A26669" s="120" t="inlineStr"/>
      <s:c r="B26669" s="121" t="n"/>
      <s:c r="C26669" s="121" t="n"/>
      <s:c r="D26669" s="121" t="n"/>
      <s:c r="E26669" s="122" t="n"/>
    </s:row>
    <s:row r="26670" hidden="1" ht="1" customHeight="1">
      <s:c r="A26670" s="120" t="inlineStr"/>
      <s:c r="B26670" s="121" t="n"/>
      <s:c r="C26670" s="121" t="n"/>
      <s:c r="D26670" s="121" t="n"/>
      <s:c r="E26670" s="122" t="n"/>
    </s:row>
    <s:row r="26671" hidden="1" ht="1" customHeight="1">
      <s:c r="A26671" s="120" t="inlineStr"/>
      <s:c r="B26671" s="121" t="n"/>
      <s:c r="C26671" s="121" t="n"/>
      <s:c r="D26671" s="121" t="n"/>
      <s:c r="E26671" s="122" t="n"/>
    </s:row>
    <s:row r="26672" hidden="1" ht="1" customHeight="1">
      <s:c r="A26672" s="120" t="inlineStr"/>
      <s:c r="B26672" s="121" t="n"/>
      <s:c r="C26672" s="121" t="n"/>
      <s:c r="D26672" s="121" t="n"/>
      <s:c r="E26672" s="122" t="n"/>
    </s:row>
    <s:row r="26673" hidden="1" ht="1" customHeight="1">
      <s:c r="A26673" s="120" t="inlineStr"/>
      <s:c r="B26673" s="121" t="n"/>
      <s:c r="C26673" s="121" t="n"/>
      <s:c r="D26673" s="121" t="n"/>
      <s:c r="E26673" s="122" t="n"/>
    </s:row>
    <s:row r="26674" hidden="1" ht="1" customHeight="1">
      <s:c r="A26674" s="120" t="inlineStr"/>
      <s:c r="B26674" s="121" t="n"/>
      <s:c r="C26674" s="121" t="n"/>
      <s:c r="D26674" s="121" t="n"/>
      <s:c r="E26674" s="122" t="n"/>
    </s:row>
    <s:row r="26675" hidden="1" ht="1" customHeight="1">
      <s:c r="A26675" s="120" t="inlineStr"/>
      <s:c r="B26675" s="121" t="n"/>
      <s:c r="C26675" s="121" t="n"/>
      <s:c r="D26675" s="121" t="n"/>
      <s:c r="E26675" s="122" t="n"/>
    </s:row>
    <s:row r="26676" hidden="1" ht="1" customHeight="1">
      <s:c r="A26676" s="120" t="inlineStr"/>
      <s:c r="B26676" s="121" t="n"/>
      <s:c r="C26676" s="121" t="n"/>
      <s:c r="D26676" s="121" t="n"/>
      <s:c r="E26676" s="122" t="n"/>
    </s:row>
    <s:row r="26677" hidden="1" ht="1" customHeight="1">
      <s:c r="A26677" s="120" t="inlineStr"/>
      <s:c r="B26677" s="121" t="n"/>
      <s:c r="C26677" s="121" t="n"/>
      <s:c r="D26677" s="121" t="n"/>
      <s:c r="E26677" s="122" t="n"/>
    </s:row>
    <s:row r="26678" hidden="1" ht="1" customHeight="1">
      <s:c r="A26678" s="120" t="inlineStr"/>
      <s:c r="B26678" s="121" t="n"/>
      <s:c r="C26678" s="121" t="n"/>
      <s:c r="D26678" s="121" t="n"/>
      <s:c r="E26678" s="122" t="n"/>
    </s:row>
    <s:row r="26679" hidden="1" ht="1" customHeight="1">
      <s:c r="A26679" s="120" t="inlineStr"/>
      <s:c r="B26679" s="121" t="n"/>
      <s:c r="C26679" s="121" t="n"/>
      <s:c r="D26679" s="121" t="n"/>
      <s:c r="E26679" s="122" t="n"/>
    </s:row>
    <s:row r="26680" hidden="1" ht="1" customHeight="1">
      <s:c r="A26680" s="120" t="inlineStr"/>
      <s:c r="B26680" s="121" t="n"/>
      <s:c r="C26680" s="121" t="n"/>
      <s:c r="D26680" s="121" t="n"/>
      <s:c r="E26680" s="122" t="n"/>
    </s:row>
    <s:row r="26681" hidden="1" ht="1" customHeight="1">
      <s:c r="A26681" s="120" t="inlineStr"/>
      <s:c r="B26681" s="121" t="n"/>
      <s:c r="C26681" s="121" t="n"/>
      <s:c r="D26681" s="121" t="n"/>
      <s:c r="E26681" s="122" t="n"/>
    </s:row>
    <s:row r="26682" hidden="1" ht="1" customHeight="1">
      <s:c r="A26682" s="120" t="inlineStr"/>
      <s:c r="B26682" s="121" t="n"/>
      <s:c r="C26682" s="121" t="n"/>
      <s:c r="D26682" s="121" t="n"/>
      <s:c r="E26682" s="122" t="n"/>
    </s:row>
    <s:row r="26683" hidden="1" ht="1" customHeight="1">
      <s:c r="A26683" s="120" t="inlineStr"/>
      <s:c r="B26683" s="121" t="n"/>
      <s:c r="C26683" s="121" t="n"/>
      <s:c r="D26683" s="121" t="n"/>
      <s:c r="E26683" s="122" t="n"/>
    </s:row>
    <s:row r="26684" hidden="1" ht="1" customHeight="1">
      <s:c r="A26684" s="120" t="inlineStr"/>
      <s:c r="B26684" s="121" t="n"/>
      <s:c r="C26684" s="121" t="n"/>
      <s:c r="D26684" s="121" t="n"/>
      <s:c r="E26684" s="122" t="n"/>
    </s:row>
    <s:row r="26685" hidden="1" ht="1" customHeight="1">
      <s:c r="A26685" s="120" t="inlineStr"/>
      <s:c r="B26685" s="121" t="n"/>
      <s:c r="C26685" s="121" t="n"/>
      <s:c r="D26685" s="121" t="n"/>
      <s:c r="E26685" s="122" t="n"/>
    </s:row>
    <s:row r="26686" hidden="1" ht="1" customHeight="1">
      <s:c r="A26686" s="120" t="inlineStr"/>
      <s:c r="B26686" s="121" t="n"/>
      <s:c r="C26686" s="121" t="n"/>
      <s:c r="D26686" s="121" t="n"/>
      <s:c r="E26686" s="122" t="n"/>
    </s:row>
    <s:row r="26687" hidden="1" ht="1" customHeight="1">
      <s:c r="A26687" s="120" t="inlineStr"/>
      <s:c r="B26687" s="121" t="n"/>
      <s:c r="C26687" s="121" t="n"/>
      <s:c r="D26687" s="121" t="n"/>
      <s:c r="E26687" s="122" t="n"/>
    </s:row>
    <s:row r="26688" hidden="1" ht="1" customHeight="1">
      <s:c r="A26688" s="120" t="inlineStr"/>
      <s:c r="B26688" s="121" t="n"/>
      <s:c r="C26688" s="121" t="n"/>
      <s:c r="D26688" s="121" t="n"/>
      <s:c r="E26688" s="122" t="n"/>
    </s:row>
    <s:row r="26689" hidden="1" ht="1" customHeight="1">
      <s:c r="A26689" s="120" t="inlineStr"/>
      <s:c r="B26689" s="121" t="n"/>
      <s:c r="C26689" s="121" t="n"/>
      <s:c r="D26689" s="121" t="n"/>
      <s:c r="E26689" s="122" t="n"/>
    </s:row>
    <s:row r="26690" hidden="1" ht="1" customHeight="1">
      <s:c r="A26690" s="120" t="inlineStr"/>
      <s:c r="B26690" s="121" t="n"/>
      <s:c r="C26690" s="121" t="n"/>
      <s:c r="D26690" s="121" t="n"/>
      <s:c r="E26690" s="122" t="n"/>
    </s:row>
    <s:row r="26691" hidden="1" ht="1" customHeight="1">
      <s:c r="A26691" s="120" t="inlineStr"/>
      <s:c r="B26691" s="121" t="n"/>
      <s:c r="C26691" s="121" t="n"/>
      <s:c r="D26691" s="121" t="n"/>
      <s:c r="E26691" s="122" t="n"/>
    </s:row>
    <s:row r="26692" hidden="1" ht="1" customHeight="1">
      <s:c r="A26692" s="120" t="inlineStr"/>
      <s:c r="B26692" s="121" t="n"/>
      <s:c r="C26692" s="121" t="n"/>
      <s:c r="D26692" s="121" t="n"/>
      <s:c r="E26692" s="122" t="n"/>
    </s:row>
    <s:row r="26693" hidden="1" ht="1" customHeight="1">
      <s:c r="A26693" s="120" t="inlineStr"/>
      <s:c r="B26693" s="121" t="n"/>
      <s:c r="C26693" s="121" t="n"/>
      <s:c r="D26693" s="121" t="n"/>
      <s:c r="E26693" s="122" t="n"/>
    </s:row>
    <s:row r="26694" hidden="1" ht="1" customHeight="1">
      <s:c r="A26694" s="120" t="inlineStr"/>
      <s:c r="B26694" s="121" t="n"/>
      <s:c r="C26694" s="121" t="n"/>
      <s:c r="D26694" s="121" t="n"/>
      <s:c r="E26694" s="122" t="n"/>
    </s:row>
    <s:row r="26695" hidden="1" ht="1" customHeight="1">
      <s:c r="A26695" s="120" t="inlineStr"/>
      <s:c r="B26695" s="121" t="n"/>
      <s:c r="C26695" s="121" t="n"/>
      <s:c r="D26695" s="121" t="n"/>
      <s:c r="E26695" s="122" t="n"/>
    </s:row>
    <s:row r="26696" hidden="1" ht="1" customHeight="1">
      <s:c r="A26696" s="120" t="inlineStr"/>
      <s:c r="B26696" s="121" t="n"/>
      <s:c r="C26696" s="121" t="n"/>
      <s:c r="D26696" s="121" t="n"/>
      <s:c r="E26696" s="122" t="n"/>
    </s:row>
    <s:row r="26697" hidden="1" ht="1" customHeight="1">
      <s:c r="A26697" s="120" t="inlineStr"/>
      <s:c r="B26697" s="121" t="n"/>
      <s:c r="C26697" s="121" t="n"/>
      <s:c r="D26697" s="121" t="n"/>
      <s:c r="E26697" s="122" t="n"/>
    </s:row>
    <s:row r="26698" hidden="1" ht="1" customHeight="1">
      <s:c r="A26698" s="120" t="inlineStr"/>
      <s:c r="B26698" s="121" t="n"/>
      <s:c r="C26698" s="121" t="n"/>
      <s:c r="D26698" s="121" t="n"/>
      <s:c r="E26698" s="122" t="n"/>
    </s:row>
    <s:row r="26699" hidden="1" ht="1" customHeight="1">
      <s:c r="A26699" s="120" t="inlineStr"/>
      <s:c r="B26699" s="121" t="n"/>
      <s:c r="C26699" s="121" t="n"/>
      <s:c r="D26699" s="121" t="n"/>
      <s:c r="E26699" s="122" t="n"/>
    </s:row>
    <s:row r="26700" hidden="1" ht="1" customHeight="1">
      <s:c r="A26700" s="120" t="inlineStr"/>
      <s:c r="B26700" s="121" t="n"/>
      <s:c r="C26700" s="121" t="n"/>
      <s:c r="D26700" s="121" t="n"/>
      <s:c r="E26700" s="122" t="n"/>
    </s:row>
    <s:row r="26701" hidden="1" ht="1" customHeight="1">
      <s:c r="A26701" s="120" t="inlineStr"/>
      <s:c r="B26701" s="121" t="n"/>
      <s:c r="C26701" s="121" t="n"/>
      <s:c r="D26701" s="121" t="n"/>
      <s:c r="E26701" s="122" t="n"/>
    </s:row>
    <s:row r="26702" hidden="1" ht="1" customHeight="1">
      <s:c r="A26702" s="120" t="inlineStr"/>
      <s:c r="B26702" s="121" t="n"/>
      <s:c r="C26702" s="121" t="n"/>
      <s:c r="D26702" s="121" t="n"/>
      <s:c r="E26702" s="122" t="n"/>
    </s:row>
    <s:row r="26703" hidden="1" ht="1" customHeight="1">
      <s:c r="A26703" s="120" t="inlineStr"/>
      <s:c r="B26703" s="121" t="n"/>
      <s:c r="C26703" s="121" t="n"/>
      <s:c r="D26703" s="121" t="n"/>
      <s:c r="E26703" s="122" t="n"/>
    </s:row>
    <s:row r="26704" hidden="1" ht="1" customHeight="1">
      <s:c r="A26704" s="120" t="inlineStr"/>
      <s:c r="B26704" s="121" t="n"/>
      <s:c r="C26704" s="121" t="n"/>
      <s:c r="D26704" s="121" t="n"/>
      <s:c r="E26704" s="122" t="n"/>
    </s:row>
    <s:row r="26705" hidden="1" ht="1" customHeight="1">
      <s:c r="A26705" s="120" t="inlineStr"/>
      <s:c r="B26705" s="121" t="n"/>
      <s:c r="C26705" s="121" t="n"/>
      <s:c r="D26705" s="121" t="n"/>
      <s:c r="E26705" s="122" t="n"/>
    </s:row>
    <s:row r="26706" hidden="1" ht="1" customHeight="1">
      <s:c r="A26706" s="120" t="inlineStr"/>
      <s:c r="B26706" s="121" t="n"/>
      <s:c r="C26706" s="121" t="n"/>
      <s:c r="D26706" s="121" t="n"/>
      <s:c r="E26706" s="122" t="n"/>
    </s:row>
    <s:row r="26707" hidden="1" ht="1" customHeight="1">
      <s:c r="A26707" s="120" t="inlineStr"/>
      <s:c r="B26707" s="121" t="n"/>
      <s:c r="C26707" s="121" t="n"/>
      <s:c r="D26707" s="121" t="n"/>
      <s:c r="E26707" s="122" t="n"/>
    </s:row>
    <s:row r="26708" hidden="1" ht="1" customHeight="1">
      <s:c r="A26708" s="120" t="inlineStr"/>
      <s:c r="B26708" s="121" t="n"/>
      <s:c r="C26708" s="121" t="n"/>
      <s:c r="D26708" s="121" t="n"/>
      <s:c r="E26708" s="122" t="n"/>
    </s:row>
    <s:row r="26709" hidden="1" ht="1" customHeight="1">
      <s:c r="A26709" s="120" t="inlineStr"/>
      <s:c r="B26709" s="121" t="n"/>
      <s:c r="C26709" s="121" t="n"/>
      <s:c r="D26709" s="121" t="n"/>
      <s:c r="E26709" s="122" t="n"/>
    </s:row>
    <s:row r="26710" hidden="1" ht="1" customHeight="1">
      <s:c r="A26710" s="120" t="inlineStr"/>
      <s:c r="B26710" s="121" t="n"/>
      <s:c r="C26710" s="121" t="n"/>
      <s:c r="D26710" s="121" t="n"/>
      <s:c r="E26710" s="122" t="n"/>
    </s:row>
    <s:row r="26711" hidden="1" ht="1" customHeight="1">
      <s:c r="A26711" s="120" t="inlineStr"/>
      <s:c r="B26711" s="121" t="n"/>
      <s:c r="C26711" s="121" t="n"/>
      <s:c r="D26711" s="121" t="n"/>
      <s:c r="E26711" s="122" t="n"/>
    </s:row>
    <s:row r="26712" hidden="1" ht="1" customHeight="1">
      <s:c r="A26712" s="120" t="inlineStr"/>
      <s:c r="B26712" s="121" t="n"/>
      <s:c r="C26712" s="121" t="n"/>
      <s:c r="D26712" s="121" t="n"/>
      <s:c r="E26712" s="122" t="n"/>
    </s:row>
    <s:row r="26713" hidden="1" ht="1" customHeight="1">
      <s:c r="A26713" s="120" t="inlineStr"/>
      <s:c r="B26713" s="121" t="n"/>
      <s:c r="C26713" s="121" t="n"/>
      <s:c r="D26713" s="121" t="n"/>
      <s:c r="E26713" s="122" t="n"/>
    </s:row>
    <s:row r="26714" hidden="1" ht="1" customHeight="1">
      <s:c r="A26714" s="120" t="inlineStr"/>
      <s:c r="B26714" s="121" t="n"/>
      <s:c r="C26714" s="121" t="n"/>
      <s:c r="D26714" s="121" t="n"/>
      <s:c r="E26714" s="122" t="n"/>
    </s:row>
    <s:row r="26715" hidden="1" ht="1" customHeight="1">
      <s:c r="A26715" s="120" t="inlineStr"/>
      <s:c r="B26715" s="121" t="n"/>
      <s:c r="C26715" s="121" t="n"/>
      <s:c r="D26715" s="121" t="n"/>
      <s:c r="E26715" s="122" t="n"/>
    </s:row>
    <s:row r="26716" hidden="1" ht="1" customHeight="1">
      <s:c r="A26716" s="120" t="inlineStr"/>
      <s:c r="B26716" s="121" t="n"/>
      <s:c r="C26716" s="121" t="n"/>
      <s:c r="D26716" s="121" t="n"/>
      <s:c r="E26716" s="122" t="n"/>
    </s:row>
    <s:row r="26717" hidden="1" ht="1" customHeight="1">
      <s:c r="A26717" s="120" t="inlineStr"/>
      <s:c r="B26717" s="121" t="n"/>
      <s:c r="C26717" s="121" t="n"/>
      <s:c r="D26717" s="121" t="n"/>
      <s:c r="E26717" s="122" t="n"/>
    </s:row>
    <s:row r="26718" hidden="1" ht="1" customHeight="1">
      <s:c r="A26718" s="120" t="inlineStr"/>
      <s:c r="B26718" s="121" t="n"/>
      <s:c r="C26718" s="121" t="n"/>
      <s:c r="D26718" s="121" t="n"/>
      <s:c r="E26718" s="122" t="n"/>
    </s:row>
    <s:row r="26719" hidden="1" ht="1" customHeight="1">
      <s:c r="A26719" s="120" t="inlineStr"/>
      <s:c r="B26719" s="121" t="n"/>
      <s:c r="C26719" s="121" t="n"/>
      <s:c r="D26719" s="121" t="n"/>
      <s:c r="E26719" s="122" t="n"/>
    </s:row>
    <s:row r="26720" hidden="1" ht="1" customHeight="1">
      <s:c r="A26720" s="120" t="inlineStr"/>
      <s:c r="B26720" s="121" t="n"/>
      <s:c r="C26720" s="121" t="n"/>
      <s:c r="D26720" s="121" t="n"/>
      <s:c r="E26720" s="122" t="n"/>
    </s:row>
    <s:row r="26721" hidden="1" ht="1" customHeight="1">
      <s:c r="A26721" s="120" t="inlineStr"/>
      <s:c r="B26721" s="121" t="n"/>
      <s:c r="C26721" s="121" t="n"/>
      <s:c r="D26721" s="121" t="n"/>
      <s:c r="E26721" s="122" t="n"/>
    </s:row>
    <s:row r="26722" hidden="1" ht="1" customHeight="1">
      <s:c r="A26722" s="120" t="inlineStr"/>
      <s:c r="B26722" s="121" t="n"/>
      <s:c r="C26722" s="121" t="n"/>
      <s:c r="D26722" s="121" t="n"/>
      <s:c r="E26722" s="122" t="n"/>
    </s:row>
    <s:row r="26723" hidden="1" ht="1" customHeight="1">
      <s:c r="A26723" s="120" t="inlineStr"/>
      <s:c r="B26723" s="121" t="n"/>
      <s:c r="C26723" s="121" t="n"/>
      <s:c r="D26723" s="121" t="n"/>
      <s:c r="E26723" s="122" t="n"/>
    </s:row>
    <s:row r="26724" hidden="1" ht="1" customHeight="1">
      <s:c r="A26724" s="120" t="inlineStr"/>
      <s:c r="B26724" s="121" t="n"/>
      <s:c r="C26724" s="121" t="n"/>
      <s:c r="D26724" s="121" t="n"/>
      <s:c r="E26724" s="122" t="n"/>
    </s:row>
    <s:row r="26725" hidden="1" ht="1" customHeight="1">
      <s:c r="A26725" s="120" t="inlineStr"/>
      <s:c r="B26725" s="121" t="n"/>
      <s:c r="C26725" s="121" t="n"/>
      <s:c r="D26725" s="121" t="n"/>
      <s:c r="E26725" s="122" t="n"/>
    </s:row>
    <s:row r="26726" hidden="1" ht="1" customHeight="1">
      <s:c r="A26726" s="120" t="inlineStr"/>
      <s:c r="B26726" s="121" t="n"/>
      <s:c r="C26726" s="121" t="n"/>
      <s:c r="D26726" s="121" t="n"/>
      <s:c r="E26726" s="122" t="n"/>
    </s:row>
    <s:row r="26727" hidden="1" ht="1" customHeight="1">
      <s:c r="A26727" s="120" t="inlineStr"/>
      <s:c r="B26727" s="121" t="n"/>
      <s:c r="C26727" s="121" t="n"/>
      <s:c r="D26727" s="121" t="n"/>
      <s:c r="E26727" s="122" t="n"/>
    </s:row>
    <s:row r="26728" hidden="1" ht="1" customHeight="1">
      <s:c r="A26728" s="120" t="inlineStr"/>
      <s:c r="B26728" s="121" t="n"/>
      <s:c r="C26728" s="121" t="n"/>
      <s:c r="D26728" s="121" t="n"/>
      <s:c r="E26728" s="122" t="n"/>
    </s:row>
    <s:row r="26729" hidden="1" ht="1" customHeight="1">
      <s:c r="A26729" s="120" t="inlineStr"/>
      <s:c r="B26729" s="121" t="n"/>
      <s:c r="C26729" s="121" t="n"/>
      <s:c r="D26729" s="121" t="n"/>
      <s:c r="E26729" s="122" t="n"/>
    </s:row>
    <s:row r="26730" hidden="1" ht="1" customHeight="1">
      <s:c r="A26730" s="120" t="inlineStr"/>
      <s:c r="B26730" s="121" t="n"/>
      <s:c r="C26730" s="121" t="n"/>
      <s:c r="D26730" s="121" t="n"/>
      <s:c r="E26730" s="122" t="n"/>
    </s:row>
    <s:row r="26731" hidden="1" ht="1" customHeight="1">
      <s:c r="A26731" s="120" t="inlineStr"/>
      <s:c r="B26731" s="121" t="n"/>
      <s:c r="C26731" s="121" t="n"/>
      <s:c r="D26731" s="121" t="n"/>
      <s:c r="E26731" s="122" t="n"/>
    </s:row>
    <s:row r="26732" hidden="1" ht="1" customHeight="1">
      <s:c r="A26732" s="120" t="inlineStr"/>
      <s:c r="B26732" s="121" t="n"/>
      <s:c r="C26732" s="121" t="n"/>
      <s:c r="D26732" s="121" t="n"/>
      <s:c r="E26732" s="122" t="n"/>
    </s:row>
    <s:row r="26733" hidden="1" ht="1" customHeight="1">
      <s:c r="A26733" s="120" t="inlineStr"/>
      <s:c r="B26733" s="121" t="n"/>
      <s:c r="C26733" s="121" t="n"/>
      <s:c r="D26733" s="121" t="n"/>
      <s:c r="E26733" s="122" t="n"/>
    </s:row>
    <s:row r="26734" hidden="1" ht="1" customHeight="1">
      <s:c r="A26734" s="120" t="inlineStr"/>
      <s:c r="B26734" s="121" t="n"/>
      <s:c r="C26734" s="121" t="n"/>
      <s:c r="D26734" s="121" t="n"/>
      <s:c r="E26734" s="122" t="n"/>
    </s:row>
    <s:row r="26735" hidden="1" ht="1" customHeight="1">
      <s:c r="A26735" s="120" t="inlineStr"/>
      <s:c r="B26735" s="121" t="n"/>
      <s:c r="C26735" s="121" t="n"/>
      <s:c r="D26735" s="121" t="n"/>
      <s:c r="E26735" s="122" t="n"/>
    </s:row>
    <s:row r="26736" hidden="1" ht="1" customHeight="1">
      <s:c r="A26736" s="120" t="inlineStr"/>
      <s:c r="B26736" s="121" t="n"/>
      <s:c r="C26736" s="121" t="n"/>
      <s:c r="D26736" s="121" t="n"/>
      <s:c r="E26736" s="122" t="n"/>
    </s:row>
    <s:row r="26737" hidden="1" ht="1" customHeight="1">
      <s:c r="A26737" s="120" t="inlineStr"/>
      <s:c r="B26737" s="121" t="n"/>
      <s:c r="C26737" s="121" t="n"/>
      <s:c r="D26737" s="121" t="n"/>
      <s:c r="E26737" s="122" t="n"/>
    </s:row>
    <s:row r="26738" hidden="1" ht="1" customHeight="1">
      <s:c r="A26738" s="120" t="inlineStr"/>
      <s:c r="B26738" s="121" t="n"/>
      <s:c r="C26738" s="121" t="n"/>
      <s:c r="D26738" s="121" t="n"/>
      <s:c r="E26738" s="122" t="n"/>
    </s:row>
    <s:row r="26739" hidden="1" ht="1" customHeight="1">
      <s:c r="A26739" s="120" t="inlineStr"/>
      <s:c r="B26739" s="121" t="n"/>
      <s:c r="C26739" s="121" t="n"/>
      <s:c r="D26739" s="121" t="n"/>
      <s:c r="E26739" s="122" t="n"/>
    </s:row>
    <s:row r="26740" hidden="1" ht="1" customHeight="1">
      <s:c r="A26740" s="120" t="inlineStr"/>
      <s:c r="B26740" s="121" t="n"/>
      <s:c r="C26740" s="121" t="n"/>
      <s:c r="D26740" s="121" t="n"/>
      <s:c r="E26740" s="122" t="n"/>
    </s:row>
    <s:row r="26741" hidden="1" ht="1" customHeight="1">
      <s:c r="A26741" s="120" t="inlineStr"/>
      <s:c r="B26741" s="121" t="n"/>
      <s:c r="C26741" s="121" t="n"/>
      <s:c r="D26741" s="121" t="n"/>
      <s:c r="E26741" s="122" t="n"/>
    </s:row>
    <s:row r="26742" hidden="1" ht="1" customHeight="1">
      <s:c r="A26742" s="120" t="inlineStr"/>
      <s:c r="B26742" s="121" t="n"/>
      <s:c r="C26742" s="121" t="n"/>
      <s:c r="D26742" s="121" t="n"/>
      <s:c r="E26742" s="122" t="n"/>
    </s:row>
    <s:row r="26743" hidden="1" ht="1" customHeight="1">
      <s:c r="A26743" s="120" t="inlineStr"/>
      <s:c r="B26743" s="121" t="n"/>
      <s:c r="C26743" s="121" t="n"/>
      <s:c r="D26743" s="121" t="n"/>
      <s:c r="E26743" s="122" t="n"/>
    </s:row>
    <s:row r="26744" hidden="1" ht="1" customHeight="1">
      <s:c r="A26744" s="120" t="inlineStr"/>
      <s:c r="B26744" s="121" t="n"/>
      <s:c r="C26744" s="121" t="n"/>
      <s:c r="D26744" s="121" t="n"/>
      <s:c r="E26744" s="122" t="n"/>
    </s:row>
    <s:row r="26745" hidden="1" ht="1" customHeight="1">
      <s:c r="A26745" s="120" t="inlineStr"/>
      <s:c r="B26745" s="121" t="n"/>
      <s:c r="C26745" s="121" t="n"/>
      <s:c r="D26745" s="121" t="n"/>
      <s:c r="E26745" s="122" t="n"/>
    </s:row>
    <s:row r="26746" hidden="1" ht="1" customHeight="1">
      <s:c r="A26746" s="120" t="inlineStr"/>
      <s:c r="B26746" s="121" t="n"/>
      <s:c r="C26746" s="121" t="n"/>
      <s:c r="D26746" s="121" t="n"/>
      <s:c r="E26746" s="122" t="n"/>
    </s:row>
    <s:row r="26747" hidden="1" ht="1" customHeight="1">
      <s:c r="A26747" s="120" t="inlineStr"/>
      <s:c r="B26747" s="121" t="n"/>
      <s:c r="C26747" s="121" t="n"/>
      <s:c r="D26747" s="121" t="n"/>
      <s:c r="E26747" s="122" t="n"/>
    </s:row>
    <s:row r="26748" hidden="1" ht="1" customHeight="1">
      <s:c r="A26748" s="120" t="inlineStr"/>
      <s:c r="B26748" s="121" t="n"/>
      <s:c r="C26748" s="121" t="n"/>
      <s:c r="D26748" s="121" t="n"/>
      <s:c r="E26748" s="122" t="n"/>
    </s:row>
    <s:row r="26749" hidden="1" ht="1" customHeight="1">
      <s:c r="A26749" s="120" t="inlineStr"/>
      <s:c r="B26749" s="121" t="n"/>
      <s:c r="C26749" s="121" t="n"/>
      <s:c r="D26749" s="121" t="n"/>
      <s:c r="E26749" s="122" t="n"/>
    </s:row>
    <s:row r="26750" hidden="1" ht="1" customHeight="1">
      <s:c r="A26750" s="120" t="inlineStr"/>
      <s:c r="B26750" s="121" t="n"/>
      <s:c r="C26750" s="121" t="n"/>
      <s:c r="D26750" s="121" t="n"/>
      <s:c r="E26750" s="122" t="n"/>
    </s:row>
    <s:row r="26751" hidden="1" ht="1" customHeight="1">
      <s:c r="A26751" s="120" t="inlineStr"/>
      <s:c r="B26751" s="121" t="n"/>
      <s:c r="C26751" s="121" t="n"/>
      <s:c r="D26751" s="121" t="n"/>
      <s:c r="E26751" s="122" t="n"/>
    </s:row>
    <s:row r="26752" hidden="1" ht="1" customHeight="1">
      <s:c r="A26752" s="120" t="inlineStr"/>
      <s:c r="B26752" s="121" t="n"/>
      <s:c r="C26752" s="121" t="n"/>
      <s:c r="D26752" s="121" t="n"/>
      <s:c r="E26752" s="122" t="n"/>
    </s:row>
    <s:row r="26753" hidden="1" ht="1" customHeight="1">
      <s:c r="A26753" s="120" t="inlineStr"/>
      <s:c r="B26753" s="121" t="n"/>
      <s:c r="C26753" s="121" t="n"/>
      <s:c r="D26753" s="121" t="n"/>
      <s:c r="E26753" s="122" t="n"/>
    </s:row>
    <s:row r="26754" hidden="1" ht="1" customHeight="1">
      <s:c r="A26754" s="120" t="inlineStr"/>
      <s:c r="B26754" s="121" t="n"/>
      <s:c r="C26754" s="121" t="n"/>
      <s:c r="D26754" s="121" t="n"/>
      <s:c r="E26754" s="122" t="n"/>
    </s:row>
    <s:row r="26755" hidden="1" ht="1" customHeight="1">
      <s:c r="A26755" s="120" t="inlineStr"/>
      <s:c r="B26755" s="121" t="n"/>
      <s:c r="C26755" s="121" t="n"/>
      <s:c r="D26755" s="121" t="n"/>
      <s:c r="E26755" s="122" t="n"/>
    </s:row>
    <s:row r="26756" hidden="1" ht="1" customHeight="1">
      <s:c r="A26756" s="120" t="inlineStr"/>
      <s:c r="B26756" s="121" t="n"/>
      <s:c r="C26756" s="121" t="n"/>
      <s:c r="D26756" s="121" t="n"/>
      <s:c r="E26756" s="122" t="n"/>
    </s:row>
    <s:row r="26757" hidden="1" ht="1" customHeight="1">
      <s:c r="A26757" s="120" t="inlineStr"/>
      <s:c r="B26757" s="121" t="n"/>
      <s:c r="C26757" s="121" t="n"/>
      <s:c r="D26757" s="121" t="n"/>
      <s:c r="E26757" s="122" t="n"/>
    </s:row>
    <s:row r="26758" hidden="1" ht="1" customHeight="1">
      <s:c r="A26758" s="120" t="inlineStr"/>
      <s:c r="B26758" s="121" t="n"/>
      <s:c r="C26758" s="121" t="n"/>
      <s:c r="D26758" s="121" t="n"/>
      <s:c r="E26758" s="122" t="n"/>
    </s:row>
    <s:row r="26759" hidden="1" ht="1" customHeight="1">
      <s:c r="A26759" s="120" t="inlineStr"/>
      <s:c r="B26759" s="121" t="n"/>
      <s:c r="C26759" s="121" t="n"/>
      <s:c r="D26759" s="121" t="n"/>
      <s:c r="E26759" s="122" t="n"/>
    </s:row>
    <s:row r="26760" hidden="1" ht="1" customHeight="1">
      <s:c r="A26760" s="120" t="inlineStr"/>
      <s:c r="B26760" s="121" t="n"/>
      <s:c r="C26760" s="121" t="n"/>
      <s:c r="D26760" s="121" t="n"/>
      <s:c r="E26760" s="122" t="n"/>
    </s:row>
    <s:row r="26761" hidden="1" ht="1" customHeight="1">
      <s:c r="A26761" s="120" t="inlineStr"/>
      <s:c r="B26761" s="121" t="n"/>
      <s:c r="C26761" s="121" t="n"/>
      <s:c r="D26761" s="121" t="n"/>
      <s:c r="E26761" s="122" t="n"/>
    </s:row>
    <s:row r="26762" hidden="1" ht="1" customHeight="1">
      <s:c r="A26762" s="120" t="inlineStr"/>
      <s:c r="B26762" s="121" t="n"/>
      <s:c r="C26762" s="121" t="n"/>
      <s:c r="D26762" s="121" t="n"/>
      <s:c r="E26762" s="122" t="n"/>
    </s:row>
    <s:row r="26763" hidden="1" ht="1" customHeight="1">
      <s:c r="A26763" s="120" t="inlineStr"/>
      <s:c r="B26763" s="121" t="n"/>
      <s:c r="C26763" s="121" t="n"/>
      <s:c r="D26763" s="121" t="n"/>
      <s:c r="E26763" s="122" t="n"/>
    </s:row>
    <s:row r="26764" hidden="1" ht="1" customHeight="1">
      <s:c r="A26764" s="120" t="inlineStr"/>
      <s:c r="B26764" s="121" t="n"/>
      <s:c r="C26764" s="121" t="n"/>
      <s:c r="D26764" s="121" t="n"/>
      <s:c r="E26764" s="122" t="n"/>
    </s:row>
    <s:row r="26765" hidden="1" ht="1" customHeight="1">
      <s:c r="A26765" s="120" t="inlineStr"/>
      <s:c r="B26765" s="121" t="n"/>
      <s:c r="C26765" s="121" t="n"/>
      <s:c r="D26765" s="121" t="n"/>
      <s:c r="E26765" s="122" t="n"/>
    </s:row>
    <s:row r="26766" hidden="1" ht="1" customHeight="1">
      <s:c r="A26766" s="120" t="inlineStr"/>
      <s:c r="B26766" s="121" t="n"/>
      <s:c r="C26766" s="121" t="n"/>
      <s:c r="D26766" s="121" t="n"/>
      <s:c r="E26766" s="122" t="n"/>
    </s:row>
    <s:row r="26767" hidden="1" ht="1" customHeight="1">
      <s:c r="A26767" s="120" t="inlineStr"/>
      <s:c r="B26767" s="121" t="n"/>
      <s:c r="C26767" s="121" t="n"/>
      <s:c r="D26767" s="121" t="n"/>
      <s:c r="E26767" s="122" t="n"/>
    </s:row>
    <s:row r="26768" hidden="1" ht="1" customHeight="1">
      <s:c r="A26768" s="120" t="inlineStr"/>
      <s:c r="B26768" s="121" t="n"/>
      <s:c r="C26768" s="121" t="n"/>
      <s:c r="D26768" s="121" t="n"/>
      <s:c r="E26768" s="122" t="n"/>
    </s:row>
    <s:row r="26769" hidden="1" ht="1" customHeight="1">
      <s:c r="A26769" s="120" t="inlineStr"/>
      <s:c r="B26769" s="121" t="n"/>
      <s:c r="C26769" s="121" t="n"/>
      <s:c r="D26769" s="121" t="n"/>
      <s:c r="E26769" s="122" t="n"/>
    </s:row>
    <s:row r="26770" hidden="1" ht="1" customHeight="1">
      <s:c r="A26770" s="120" t="inlineStr"/>
      <s:c r="B26770" s="121" t="n"/>
      <s:c r="C26770" s="121" t="n"/>
      <s:c r="D26770" s="121" t="n"/>
      <s:c r="E26770" s="122" t="n"/>
    </s:row>
    <s:row r="26771" hidden="1" ht="1" customHeight="1">
      <s:c r="A26771" s="120" t="inlineStr"/>
      <s:c r="B26771" s="121" t="n"/>
      <s:c r="C26771" s="121" t="n"/>
      <s:c r="D26771" s="121" t="n"/>
      <s:c r="E26771" s="122" t="n"/>
    </s:row>
    <s:row r="26772" hidden="1" ht="1" customHeight="1">
      <s:c r="A26772" s="120" t="inlineStr"/>
      <s:c r="B26772" s="121" t="n"/>
      <s:c r="C26772" s="121" t="n"/>
      <s:c r="D26772" s="121" t="n"/>
      <s:c r="E26772" s="122" t="n"/>
    </s:row>
    <s:row r="26773" hidden="1" ht="1" customHeight="1">
      <s:c r="A26773" s="120" t="inlineStr"/>
      <s:c r="B26773" s="121" t="n"/>
      <s:c r="C26773" s="121" t="n"/>
      <s:c r="D26773" s="121" t="n"/>
      <s:c r="E26773" s="122" t="n"/>
    </s:row>
    <s:row r="26774" hidden="1" ht="1" customHeight="1">
      <s:c r="A26774" s="120" t="inlineStr"/>
      <s:c r="B26774" s="121" t="n"/>
      <s:c r="C26774" s="121" t="n"/>
      <s:c r="D26774" s="121" t="n"/>
      <s:c r="E26774" s="122" t="n"/>
    </s:row>
    <s:row r="26775" hidden="1" ht="1" customHeight="1">
      <s:c r="A26775" s="120" t="inlineStr"/>
      <s:c r="B26775" s="121" t="n"/>
      <s:c r="C26775" s="121" t="n"/>
      <s:c r="D26775" s="121" t="n"/>
      <s:c r="E26775" s="122" t="n"/>
    </s:row>
    <s:row r="26776" hidden="1" ht="1" customHeight="1">
      <s:c r="A26776" s="120" t="inlineStr"/>
      <s:c r="B26776" s="121" t="n"/>
      <s:c r="C26776" s="121" t="n"/>
      <s:c r="D26776" s="121" t="n"/>
      <s:c r="E26776" s="122" t="n"/>
    </s:row>
    <s:row r="26777" hidden="1" ht="1" customHeight="1">
      <s:c r="A26777" s="120" t="inlineStr"/>
      <s:c r="B26777" s="121" t="n"/>
      <s:c r="C26777" s="121" t="n"/>
      <s:c r="D26777" s="121" t="n"/>
      <s:c r="E26777" s="122" t="n"/>
    </s:row>
    <s:row r="26778" hidden="1" ht="1" customHeight="1">
      <s:c r="A26778" s="120" t="inlineStr"/>
      <s:c r="B26778" s="121" t="n"/>
      <s:c r="C26778" s="121" t="n"/>
      <s:c r="D26778" s="121" t="n"/>
      <s:c r="E26778" s="122" t="n"/>
    </s:row>
    <s:row r="26779" hidden="1" ht="1" customHeight="1">
      <s:c r="A26779" s="120" t="inlineStr"/>
      <s:c r="B26779" s="121" t="n"/>
      <s:c r="C26779" s="121" t="n"/>
      <s:c r="D26779" s="121" t="n"/>
      <s:c r="E26779" s="122" t="n"/>
    </s:row>
    <s:row r="26780" hidden="1" ht="1" customHeight="1">
      <s:c r="A26780" s="120" t="inlineStr"/>
      <s:c r="B26780" s="121" t="n"/>
      <s:c r="C26780" s="121" t="n"/>
      <s:c r="D26780" s="121" t="n"/>
      <s:c r="E26780" s="122" t="n"/>
    </s:row>
    <s:row r="26781" hidden="1" ht="1" customHeight="1">
      <s:c r="A26781" s="120" t="inlineStr"/>
      <s:c r="B26781" s="121" t="n"/>
      <s:c r="C26781" s="121" t="n"/>
      <s:c r="D26781" s="121" t="n"/>
      <s:c r="E26781" s="122" t="n"/>
    </s:row>
    <s:row r="26782" hidden="1" ht="1" customHeight="1">
      <s:c r="A26782" s="120" t="inlineStr"/>
      <s:c r="B26782" s="121" t="n"/>
      <s:c r="C26782" s="121" t="n"/>
      <s:c r="D26782" s="121" t="n"/>
      <s:c r="E26782" s="122" t="n"/>
    </s:row>
    <s:row r="26783" hidden="1" ht="1" customHeight="1">
      <s:c r="A26783" s="120" t="inlineStr"/>
      <s:c r="B26783" s="121" t="n"/>
      <s:c r="C26783" s="121" t="n"/>
      <s:c r="D26783" s="121" t="n"/>
      <s:c r="E26783" s="122" t="n"/>
    </s:row>
    <s:row r="26784" hidden="1" ht="1" customHeight="1">
      <s:c r="A26784" s="120" t="inlineStr"/>
      <s:c r="B26784" s="121" t="n"/>
      <s:c r="C26784" s="121" t="n"/>
      <s:c r="D26784" s="121" t="n"/>
      <s:c r="E26784" s="122" t="n"/>
    </s:row>
    <s:row r="26785" hidden="1" ht="1" customHeight="1">
      <s:c r="A26785" s="120" t="inlineStr"/>
      <s:c r="B26785" s="121" t="n"/>
      <s:c r="C26785" s="121" t="n"/>
      <s:c r="D26785" s="121" t="n"/>
      <s:c r="E26785" s="122" t="n"/>
    </s:row>
    <s:row r="26786" hidden="1" ht="1" customHeight="1">
      <s:c r="A26786" s="120" t="inlineStr"/>
      <s:c r="B26786" s="121" t="n"/>
      <s:c r="C26786" s="121" t="n"/>
      <s:c r="D26786" s="121" t="n"/>
      <s:c r="E26786" s="122" t="n"/>
    </s:row>
    <s:row r="26787" hidden="1" ht="1" customHeight="1">
      <s:c r="A26787" s="120" t="inlineStr"/>
      <s:c r="B26787" s="121" t="n"/>
      <s:c r="C26787" s="121" t="n"/>
      <s:c r="D26787" s="121" t="n"/>
      <s:c r="E26787" s="122" t="n"/>
    </s:row>
    <s:row r="26788" hidden="1" ht="1" customHeight="1">
      <s:c r="A26788" s="120" t="inlineStr"/>
      <s:c r="B26788" s="121" t="n"/>
      <s:c r="C26788" s="121" t="n"/>
      <s:c r="D26788" s="121" t="n"/>
      <s:c r="E26788" s="122" t="n"/>
    </s:row>
    <s:row r="26789" hidden="1" ht="1" customHeight="1">
      <s:c r="A26789" s="120" t="inlineStr"/>
      <s:c r="B26789" s="121" t="n"/>
      <s:c r="C26789" s="121" t="n"/>
      <s:c r="D26789" s="121" t="n"/>
      <s:c r="E26789" s="122" t="n"/>
    </s:row>
    <s:row r="26790" hidden="1" ht="1" customHeight="1">
      <s:c r="A26790" s="120" t="inlineStr"/>
      <s:c r="B26790" s="121" t="n"/>
      <s:c r="C26790" s="121" t="n"/>
      <s:c r="D26790" s="121" t="n"/>
      <s:c r="E26790" s="122" t="n"/>
    </s:row>
    <s:row r="26791" hidden="1" ht="1" customHeight="1">
      <s:c r="A26791" s="120" t="inlineStr"/>
      <s:c r="B26791" s="121" t="n"/>
      <s:c r="C26791" s="121" t="n"/>
      <s:c r="D26791" s="121" t="n"/>
      <s:c r="E26791" s="122" t="n"/>
    </s:row>
    <s:row r="26792" hidden="1" ht="1" customHeight="1">
      <s:c r="A26792" s="120" t="inlineStr"/>
      <s:c r="B26792" s="121" t="n"/>
      <s:c r="C26792" s="121" t="n"/>
      <s:c r="D26792" s="121" t="n"/>
      <s:c r="E26792" s="122" t="n"/>
    </s:row>
    <s:row r="26793" hidden="1" ht="1" customHeight="1">
      <s:c r="A26793" s="120" t="inlineStr"/>
      <s:c r="B26793" s="121" t="n"/>
      <s:c r="C26793" s="121" t="n"/>
      <s:c r="D26793" s="121" t="n"/>
      <s:c r="E26793" s="122" t="n"/>
    </s:row>
    <s:row r="26794" hidden="1" ht="1" customHeight="1">
      <s:c r="A26794" s="120" t="inlineStr"/>
      <s:c r="B26794" s="121" t="n"/>
      <s:c r="C26794" s="121" t="n"/>
      <s:c r="D26794" s="121" t="n"/>
      <s:c r="E26794" s="122" t="n"/>
    </s:row>
    <s:row r="26795" hidden="1" ht="1" customHeight="1">
      <s:c r="A26795" s="120" t="inlineStr"/>
      <s:c r="B26795" s="121" t="n"/>
      <s:c r="C26795" s="121" t="n"/>
      <s:c r="D26795" s="121" t="n"/>
      <s:c r="E26795" s="122" t="n"/>
    </s:row>
    <s:row r="26796" hidden="1" ht="1" customHeight="1">
      <s:c r="A26796" s="120" t="inlineStr"/>
      <s:c r="B26796" s="121" t="n"/>
      <s:c r="C26796" s="121" t="n"/>
      <s:c r="D26796" s="121" t="n"/>
      <s:c r="E26796" s="122" t="n"/>
    </s:row>
    <s:row r="26797" hidden="1" ht="1" customHeight="1">
      <s:c r="A26797" s="120" t="inlineStr"/>
      <s:c r="B26797" s="121" t="n"/>
      <s:c r="C26797" s="121" t="n"/>
      <s:c r="D26797" s="121" t="n"/>
      <s:c r="E26797" s="122" t="n"/>
    </s:row>
    <s:row r="26798" hidden="1" ht="1" customHeight="1">
      <s:c r="A26798" s="120" t="inlineStr"/>
      <s:c r="B26798" s="121" t="n"/>
      <s:c r="C26798" s="121" t="n"/>
      <s:c r="D26798" s="121" t="n"/>
      <s:c r="E26798" s="122" t="n"/>
    </s:row>
    <s:row r="26799" hidden="1" ht="1" customHeight="1">
      <s:c r="A26799" s="120" t="inlineStr"/>
      <s:c r="B26799" s="121" t="n"/>
      <s:c r="C26799" s="121" t="n"/>
      <s:c r="D26799" s="121" t="n"/>
      <s:c r="E26799" s="122" t="n"/>
    </s:row>
    <s:row r="26800" hidden="1" ht="1" customHeight="1">
      <s:c r="A26800" s="120" t="inlineStr"/>
      <s:c r="B26800" s="121" t="n"/>
      <s:c r="C26800" s="121" t="n"/>
      <s:c r="D26800" s="121" t="n"/>
      <s:c r="E26800" s="122" t="n"/>
    </s:row>
    <s:row r="26801" hidden="1" ht="1" customHeight="1">
      <s:c r="A26801" s="120" t="inlineStr"/>
      <s:c r="B26801" s="121" t="n"/>
      <s:c r="C26801" s="121" t="n"/>
      <s:c r="D26801" s="121" t="n"/>
      <s:c r="E26801" s="122" t="n"/>
    </s:row>
    <s:row r="26802" hidden="1" ht="1" customHeight="1">
      <s:c r="A26802" s="120" t="inlineStr"/>
      <s:c r="B26802" s="121" t="n"/>
      <s:c r="C26802" s="121" t="n"/>
      <s:c r="D26802" s="121" t="n"/>
      <s:c r="E26802" s="122" t="n"/>
    </s:row>
    <s:row r="26803" hidden="1" ht="1" customHeight="1">
      <s:c r="A26803" s="83" t="inlineStr">
        <s:is>
          <s:t>PASS</s:t>
        </s:is>
      </s:c>
      <s:c r="B26803" s="83">
        <s:f>SUM(IF(EXACT('Kiểm thử'!E26653,"Đạt"),1,0),IF(EXACT('Kiểm thử'!E26655,"Đạt"),1,0),IF(EXACT('Kiểm thử'!E26657,"Đạt"),1,0))</s:f>
        <s:v/>
      </s:c>
      <s:c r="C26803" s="19" t="n"/>
      <s:c r="D26803" s="19" t="n"/>
      <s:c r="E26803" s="19" t="n"/>
    </s:row>
    <s:row r="26804" hidden="1" ht="1" customHeight="1">
      <s:c r="A26804" s="83" t="inlineStr">
        <s:is>
          <s:t>FAIL</s:t>
        </s:is>
      </s:c>
      <s:c r="B26804" s="83">
        <s:f>SUM(IF(EXACT('Kiểm thử'!E26653,"Không đạt"),1,0),IF(EXACT('Kiểm thử'!E26655,"Không đạt"),1,0),IF(EXACT('Kiểm thử'!E26657,"Không đạt"),1,0))</s:f>
        <s:v/>
      </s:c>
      <s:c r="C26804" s="19" t="n"/>
      <s:c r="D26804" s="19" t="n"/>
      <s:c r="E26804" s="19" t="n"/>
    </s:row>
    <s:row r="26805" hidden="1" ht="1" customHeight="1">
      <s:c r="A26805" s="83" t="inlineStr">
        <s:is>
          <s:t>BLOCKED</s:t>
        </s:is>
      </s:c>
      <s:c r="B26805" s="83">
        <s:f>SUM(IF(EXACT('Kiểm thử'!E26653,"Bị chặn"),1,0),IF(EXACT('Kiểm thử'!E26655,"Bị chặn"),1,0),IF(EXACT('Kiểm thử'!E26657,"Bị chặn"),1,0))</s:f>
        <s:v/>
      </s:c>
      <s:c r="C26805" s="19" t="n"/>
      <s:c r="D26805" s="19" t="n"/>
      <s:c r="E26805" s="19" t="n"/>
    </s:row>
    <s:row r="26806" hidden="1" ht="1" customHeight="1">
      <s:c r="A26806" s="83" t="inlineStr">
        <s:is>
          <s:t>SKIPPED</s:t>
        </s:is>
      </s:c>
      <s:c r="B26806" s="83">
        <s:f>SUM(IF(EXACT('Kiểm thử'!E26653,"Không thực hiện"),1,0),IF(EXACT('Kiểm thử'!E26655,"Không thực hiện"),1,0),IF(EXACT('Kiểm thử'!E26657,"Không thực hiện"),1,0))</s:f>
        <s:v/>
      </s:c>
      <s:c r="C26806" s="19" t="n"/>
      <s:c r="D26806" s="19" t="n"/>
      <s:c r="E26806" s="19" t="n"/>
    </s:row>
    <s:row r="26807" hidden="1" ht="1" customHeight="1">
      <s:c r="A26807" s="83" t="inlineStr">
        <s:is>
          <s:t>NOT RUN</s:t>
        </s:is>
      </s:c>
      <s:c r="B26807" s="83">
        <s:f>SUM(IF(EXACT('Kiểm thử'!E26653,"Chưa thực hiện"),1,0),IF(EXACT('Kiểm thử'!E26655,"Chưa thực hiện"),1,0),IF(EXACT('Kiểm thử'!E26657,"Chưa thực hiện"),1,0))</s:f>
        <s:v/>
      </s:c>
      <s:c r="C26807" s="19" t="n"/>
      <s:c r="D26807" s="19" t="n"/>
      <s:c r="E26807" s="19" t="n"/>
    </s:row>
    <s:row r="26808" hidden="1" ht="6" customHeight="1">
      <s:c r="A26808" s="83" t="inlineStr"/>
      <s:c r="B26808" s="19" t="n"/>
      <s:c r="C26808" s="19" t="n"/>
      <s:c r="D26808" s="19" t="n"/>
      <s:c r="E26808" s="19" t="n"/>
    </s:row>
    <s:row r="26809" ht="28" customHeight="1">
      <s:c r="A26809" s="108" t="inlineStr">
        <s:is>
          <s:t>TC-RS-CALC-012 — Tỷ lệ dùng M hiện hành, không dùng M của bản tổng hợp đã chốt</s:t>
        </s:is>
      </s:c>
      <s:c r="B26809" s="111" t="n"/>
      <s:c r="C26809" s="111" t="n"/>
      <s:c r="D26809" s="111" t="n"/>
      <s:c r="E26809" s="111" t="n"/>
    </s:row>
    <s:row r="26810" ht="20" customHeight="1">
      <s:c r="A26810" s="112" t="inlineStr">
        <s:is>
          <s:t>Kết quả tình huống</s:t>
        </s:is>
      </s:c>
      <s:c r="B26810" s="113">
        <s:f>IF(SUM(IF(EXACT('Kiểm thử'!E26817,"Không đạt"),1,0))&gt;0,"Không đạt",IF(SUM(IF(EXACT('Kiểm thử'!E26817,"Đạt"),1,0))=1,"Đạt",IF(SUM(IF(EXACT('Kiểm thử'!E26817,"Không thực hiện"),1,0))=1,"Không thực hiện",IF(SUM(IF(EXACT('Kiểm thử'!E26817,"Bị chặn"),1,0))&gt;0,"Bị chặn",IF(SUM(IF(EXACT('Kiểm thử'!E26817,"Chưa thực hiện"),1,0))=1,"Chưa thực hiện","Đang thực hiện")))))</s:f>
        <s:v/>
      </s:c>
      <s:c r="C26810" s="114" t="n"/>
      <s:c r="D26810" s="114" t="n"/>
      <s:c r="E26810" s="114" t="n"/>
    </s:row>
    <s:row r="26811" ht="20" customHeight="1">
      <s:c r="A26811" s="112" t="inlineStr">
        <s:is>
          <s:t>Màn hình / chức năng</s:t>
        </s:is>
      </s:c>
      <s:c r="B26811" s="113" t="inlineStr">
        <s:is>
          <s:r>
            <s:rPr>
              <s:b val="1"/>
            </s:rPr>
            <s:t>Thiết lập ngưỡng（基準設定）</s:t>
          </s:r>
        </s:is>
      </s:c>
      <s:c r="C26811" s="28" t="n"/>
      <s:c r="D26811" s="28" t="n"/>
      <s:c r="E26811" s="28" t="n"/>
    </s:row>
    <s:row r="26812" ht="20" customHeight="1">
      <s:c r="A26812" s="112" t="inlineStr">
        <s:is>
          <s:t>Cấu hình</s:t>
        </s:is>
      </s:c>
      <s:c r="B26812" s="113" t="inlineStr">
        <s:is>
          <s:r>
            <s:t xml:space="preserve">• Có bản chốt (dummy) tạo khi </s:t>
          </s:r>
          <s:r>
            <s:rPr>
              <s:b val="1"/>
            </s:rPr>
            <s:t>M=100</s:t>
          </s:r>
          <s:r>
            <s:t>. Sau đó M hiện hành của mục số nguyên (</s:t>
          </s:r>
          <s:r>
            <s:rPr>
              <s:b val="1"/>
            </s:rPr>
            <s:t>M=100</s:t>
          </s:r>
          <s:r>
            <s:t>) đổi thành 50.</s:t>
          </s:r>
        </s:is>
      </s:c>
      <s:c r="C26812" s="28" t="n"/>
      <s:c r="D26812" s="28" t="n"/>
      <s:c r="E26812" s="28" t="n"/>
    </s:row>
    <s:row r="26813" ht="62" customHeight="1">
      <s:c r="A26813" s="112" t="inlineStr">
        <s:is>
          <s:t>Dữ liệu test</s:t>
        </s:is>
      </s:c>
      <s:c r="B26813" s="113" t="inlineStr">
        <s:is>
          <s:r>
            <s:t>• Mục số nguyên (</s:t>
          </s:r>
          <s:r>
            <s:rPr>
              <s:b val="1"/>
            </s:rPr>
            <s:t>M=100</s:t>
          </s:r>
          <s:r>
            <s:t>);
• Quy tắc tỷ lệ 30%;
• S = 20;
• Bản tổng hợp đã chốt (trung bình 49.99)</s:t>
          </s:r>
        </s:is>
      </s:c>
      <s:c r="C26813" s="28" t="n"/>
      <s:c r="D26813" s="28" t="n"/>
      <s:c r="E26813" s="28" t="n"/>
    </s:row>
    <s:row r="26814" ht="20" customHeight="1">
      <s:c r="A26814" s="112" t="inlineStr">
        <s:is>
          <s:t>•</s:t>
        </s:is>
      </s:c>
      <s:c r="B26814" s="113" t="inlineStr">
        <s:is>
          <s:r>
            <s:t xml:space="preserve">Đăng ký </s:t>
          </s:r>
          <s:r>
            <s:rPr>
              <s:b val="1"/>
            </s:rPr>
            <s:t>S=20</s:t>
          </s:r>
          <s:r>
            <s:t>, xem kết quả.</s:t>
          </s:r>
        </s:is>
      </s:c>
      <s:c r="C26814" s="28" t="n"/>
      <s:c r="D26814" s="28" t="n"/>
      <s:c r="E26814" s="28" t="n"/>
    </s:row>
    <s:row r="26815" ht="28" customHeight="1">
      <s:c r="A26815" s="115" t="inlineStr">
        <s:is>
          <s:t>Trường hợp</s:t>
        </s:is>
      </s:c>
      <s:c r="B26815" s="115" t="inlineStr">
        <s:is>
          <s:t>Dữ liệu / thao tác riêng</s:t>
        </s:is>
      </s:c>
      <s:c r="C26815" s="115" t="inlineStr">
        <s:is>
          <s:t>Kết quả mong đợi</s:t>
        </s:is>
      </s:c>
      <s:c r="D26815" s="115" t="inlineStr">
        <s:is>
          <s:t>Kết quả thực tế</s:t>
        </s:is>
      </s:c>
      <s:c r="E26815" s="115" t="inlineStr">
        <s:is>
          <s:t>Đánh giá</s:t>
        </s:is>
      </s:c>
    </s:row>
    <s:row r="26816" ht="3" customHeight="1">
      <s:c r="A26816" s="102" t="inlineStr"/>
      <s:c r="B26816" s="99" t="n"/>
      <s:c r="C26816" s="99" t="n"/>
      <s:c r="D26816" s="116" t="n"/>
      <s:c r="E26816" s="116" t="n"/>
    </s:row>
    <s:row r="26817" ht="62" customHeight="1">
      <s:c r="A26817" s="83" t="inlineStr">
        <s:is>
          <s:t>Trường hợp cơ bản (Base)</s:t>
        </s:is>
      </s:c>
      <s:c r="B26817" s="83" t="inlineStr">
        <s:is>
          <s:t>Toàn bộ tình huống: Thực hiện đủ các bước chung theo thứ tự; kiểm cả đối tượng đích và đối chứng cùng fixture, không bỏ bước.</s:t>
        </s:is>
      </s:c>
      <s:c r="C26817" s="83" t="inlineStr">
        <s:is>
          <s:r>
            <s:t>[</s:t>
          </s:r>
          <s:r>
            <s:rPr>
              <s:b val="1"/>
            </s:rPr>
            <s:t>T=50</s:t>
          </s:r>
          <s:r>
            <s:t xml:space="preserve">×30/100=15] → [20&lt;15] sai → </s:t>
          </s:r>
          <s:r>
            <s:rPr>
              <s:b val="1"/>
            </s:rPr>
            <s:t>Không đỏ</s:t>
          </s:r>
          <s:r>
            <s:t xml:space="preserve">. (Nếu dùng </s:t>
          </s:r>
          <s:r>
            <s:rPr>
              <s:b val="1"/>
            </s:rPr>
            <s:t>M=100</s:t>
          </s:r>
          <s:r>
            <s:t xml:space="preserve"> của bản chốt: [</s:t>
          </s:r>
          <s:r>
            <s:rPr>
              <s:b val="1"/>
            </s:rPr>
            <s:t>T=30</s:t>
          </s:r>
          <s:r>
            <s:t xml:space="preserve">] → </s:t>
          </s:r>
          <s:r>
            <s:rPr>
              <s:b val="1"/>
            </s:rPr>
            <s:t>Đỏ</s:t>
          </s:r>
          <s:r>
            <s:t xml:space="preserve"> — sai.)</s:t>
          </s:r>
        </s:is>
      </s:c>
      <s:c r="D26817" s="117" t="inlineStr"/>
      <s:c r="E26817" s="118" t="inlineStr">
        <s:is>
          <s:t>Chưa thực hiện</s:t>
        </s:is>
      </s:c>
    </s:row>
    <s:row r="26818" ht="20" customHeight="1">
      <s:c r="A26818" s="119" t="inlineStr">
        <s:is>
          <s:t>Ảnh minh chứng — Chưa có ảnh</s:t>
        </s:is>
      </s:c>
      <s:c r="B26818" s="19" t="n"/>
      <s:c r="C26818" s="19" t="n"/>
      <s:c r="D26818" s="19" t="n"/>
      <s:c r="E26818" s="19" t="n"/>
    </s:row>
    <s:row r="26819" hidden="1" ht="1" customHeight="1">
      <s:c r="A26819" s="120" t="inlineStr"/>
      <s:c r="B26819" s="121" t="n"/>
      <s:c r="C26819" s="121" t="n"/>
      <s:c r="D26819" s="121" t="n"/>
      <s:c r="E26819" s="122" t="n"/>
    </s:row>
    <s:row r="26820" hidden="1" ht="1" customHeight="1">
      <s:c r="A26820" s="120" t="inlineStr"/>
      <s:c r="B26820" s="121" t="n"/>
      <s:c r="C26820" s="121" t="n"/>
      <s:c r="D26820" s="121" t="n"/>
      <s:c r="E26820" s="122" t="n"/>
    </s:row>
    <s:row r="26821" hidden="1" ht="1" customHeight="1">
      <s:c r="A26821" s="120" t="inlineStr"/>
      <s:c r="B26821" s="121" t="n"/>
      <s:c r="C26821" s="121" t="n"/>
      <s:c r="D26821" s="121" t="n"/>
      <s:c r="E26821" s="122" t="n"/>
    </s:row>
    <s:row r="26822" hidden="1" ht="1" customHeight="1">
      <s:c r="A26822" s="120" t="inlineStr"/>
      <s:c r="B26822" s="121" t="n"/>
      <s:c r="C26822" s="121" t="n"/>
      <s:c r="D26822" s="121" t="n"/>
      <s:c r="E26822" s="122" t="n"/>
    </s:row>
    <s:row r="26823" hidden="1" ht="1" customHeight="1">
      <s:c r="A26823" s="120" t="inlineStr"/>
      <s:c r="B26823" s="121" t="n"/>
      <s:c r="C26823" s="121" t="n"/>
      <s:c r="D26823" s="121" t="n"/>
      <s:c r="E26823" s="122" t="n"/>
    </s:row>
    <s:row r="26824" hidden="1" ht="1" customHeight="1">
      <s:c r="A26824" s="120" t="inlineStr"/>
      <s:c r="B26824" s="121" t="n"/>
      <s:c r="C26824" s="121" t="n"/>
      <s:c r="D26824" s="121" t="n"/>
      <s:c r="E26824" s="122" t="n"/>
    </s:row>
    <s:row r="26825" hidden="1" ht="1" customHeight="1">
      <s:c r="A26825" s="120" t="inlineStr"/>
      <s:c r="B26825" s="121" t="n"/>
      <s:c r="C26825" s="121" t="n"/>
      <s:c r="D26825" s="121" t="n"/>
      <s:c r="E26825" s="122" t="n"/>
    </s:row>
    <s:row r="26826" hidden="1" ht="1" customHeight="1">
      <s:c r="A26826" s="120" t="inlineStr"/>
      <s:c r="B26826" s="121" t="n"/>
      <s:c r="C26826" s="121" t="n"/>
      <s:c r="D26826" s="121" t="n"/>
      <s:c r="E26826" s="122" t="n"/>
    </s:row>
    <s:row r="26827" hidden="1" ht="1" customHeight="1">
      <s:c r="A26827" s="120" t="inlineStr"/>
      <s:c r="B26827" s="121" t="n"/>
      <s:c r="C26827" s="121" t="n"/>
      <s:c r="D26827" s="121" t="n"/>
      <s:c r="E26827" s="122" t="n"/>
    </s:row>
    <s:row r="26828" hidden="1" ht="1" customHeight="1">
      <s:c r="A26828" s="120" t="inlineStr"/>
      <s:c r="B26828" s="121" t="n"/>
      <s:c r="C26828" s="121" t="n"/>
      <s:c r="D26828" s="121" t="n"/>
      <s:c r="E26828" s="122" t="n"/>
    </s:row>
    <s:row r="26829" hidden="1" ht="1" customHeight="1">
      <s:c r="A26829" s="120" t="inlineStr"/>
      <s:c r="B26829" s="121" t="n"/>
      <s:c r="C26829" s="121" t="n"/>
      <s:c r="D26829" s="121" t="n"/>
      <s:c r="E26829" s="122" t="n"/>
    </s:row>
    <s:row r="26830" hidden="1" ht="1" customHeight="1">
      <s:c r="A26830" s="120" t="inlineStr"/>
      <s:c r="B26830" s="121" t="n"/>
      <s:c r="C26830" s="121" t="n"/>
      <s:c r="D26830" s="121" t="n"/>
      <s:c r="E26830" s="122" t="n"/>
    </s:row>
    <s:row r="26831" hidden="1" ht="1" customHeight="1">
      <s:c r="A26831" s="120" t="inlineStr"/>
      <s:c r="B26831" s="121" t="n"/>
      <s:c r="C26831" s="121" t="n"/>
      <s:c r="D26831" s="121" t="n"/>
      <s:c r="E26831" s="122" t="n"/>
    </s:row>
    <s:row r="26832" hidden="1" ht="1" customHeight="1">
      <s:c r="A26832" s="120" t="inlineStr"/>
      <s:c r="B26832" s="121" t="n"/>
      <s:c r="C26832" s="121" t="n"/>
      <s:c r="D26832" s="121" t="n"/>
      <s:c r="E26832" s="122" t="n"/>
    </s:row>
    <s:row r="26833" hidden="1" ht="1" customHeight="1">
      <s:c r="A26833" s="120" t="inlineStr"/>
      <s:c r="B26833" s="121" t="n"/>
      <s:c r="C26833" s="121" t="n"/>
      <s:c r="D26833" s="121" t="n"/>
      <s:c r="E26833" s="122" t="n"/>
    </s:row>
    <s:row r="26834" hidden="1" ht="1" customHeight="1">
      <s:c r="A26834" s="120" t="inlineStr"/>
      <s:c r="B26834" s="121" t="n"/>
      <s:c r="C26834" s="121" t="n"/>
      <s:c r="D26834" s="121" t="n"/>
      <s:c r="E26834" s="122" t="n"/>
    </s:row>
    <s:row r="26835" hidden="1" ht="1" customHeight="1">
      <s:c r="A26835" s="120" t="inlineStr"/>
      <s:c r="B26835" s="121" t="n"/>
      <s:c r="C26835" s="121" t="n"/>
      <s:c r="D26835" s="121" t="n"/>
      <s:c r="E26835" s="122" t="n"/>
    </s:row>
    <s:row r="26836" hidden="1" ht="1" customHeight="1">
      <s:c r="A26836" s="120" t="inlineStr"/>
      <s:c r="B26836" s="121" t="n"/>
      <s:c r="C26836" s="121" t="n"/>
      <s:c r="D26836" s="121" t="n"/>
      <s:c r="E26836" s="122" t="n"/>
    </s:row>
    <s:row r="26837" hidden="1" ht="1" customHeight="1">
      <s:c r="A26837" s="120" t="inlineStr"/>
      <s:c r="B26837" s="121" t="n"/>
      <s:c r="C26837" s="121" t="n"/>
      <s:c r="D26837" s="121" t="n"/>
      <s:c r="E26837" s="122" t="n"/>
    </s:row>
    <s:row r="26838" hidden="1" ht="1" customHeight="1">
      <s:c r="A26838" s="120" t="inlineStr"/>
      <s:c r="B26838" s="121" t="n"/>
      <s:c r="C26838" s="121" t="n"/>
      <s:c r="D26838" s="121" t="n"/>
      <s:c r="E26838" s="122" t="n"/>
    </s:row>
    <s:row r="26839" hidden="1" ht="1" customHeight="1">
      <s:c r="A26839" s="120" t="inlineStr"/>
      <s:c r="B26839" s="121" t="n"/>
      <s:c r="C26839" s="121" t="n"/>
      <s:c r="D26839" s="121" t="n"/>
      <s:c r="E26839" s="122" t="n"/>
    </s:row>
    <s:row r="26840" hidden="1" ht="1" customHeight="1">
      <s:c r="A26840" s="120" t="inlineStr"/>
      <s:c r="B26840" s="121" t="n"/>
      <s:c r="C26840" s="121" t="n"/>
      <s:c r="D26840" s="121" t="n"/>
      <s:c r="E26840" s="122" t="n"/>
    </s:row>
    <s:row r="26841" hidden="1" ht="1" customHeight="1">
      <s:c r="A26841" s="120" t="inlineStr"/>
      <s:c r="B26841" s="121" t="n"/>
      <s:c r="C26841" s="121" t="n"/>
      <s:c r="D26841" s="121" t="n"/>
      <s:c r="E26841" s="122" t="n"/>
    </s:row>
    <s:row r="26842" hidden="1" ht="1" customHeight="1">
      <s:c r="A26842" s="120" t="inlineStr"/>
      <s:c r="B26842" s="121" t="n"/>
      <s:c r="C26842" s="121" t="n"/>
      <s:c r="D26842" s="121" t="n"/>
      <s:c r="E26842" s="122" t="n"/>
    </s:row>
    <s:row r="26843" hidden="1" ht="1" customHeight="1">
      <s:c r="A26843" s="120" t="inlineStr"/>
      <s:c r="B26843" s="121" t="n"/>
      <s:c r="C26843" s="121" t="n"/>
      <s:c r="D26843" s="121" t="n"/>
      <s:c r="E26843" s="122" t="n"/>
    </s:row>
    <s:row r="26844" hidden="1" ht="1" customHeight="1">
      <s:c r="A26844" s="120" t="inlineStr"/>
      <s:c r="B26844" s="121" t="n"/>
      <s:c r="C26844" s="121" t="n"/>
      <s:c r="D26844" s="121" t="n"/>
      <s:c r="E26844" s="122" t="n"/>
    </s:row>
    <s:row r="26845" hidden="1" ht="1" customHeight="1">
      <s:c r="A26845" s="120" t="inlineStr"/>
      <s:c r="B26845" s="121" t="n"/>
      <s:c r="C26845" s="121" t="n"/>
      <s:c r="D26845" s="121" t="n"/>
      <s:c r="E26845" s="122" t="n"/>
    </s:row>
    <s:row r="26846" hidden="1" ht="1" customHeight="1">
      <s:c r="A26846" s="120" t="inlineStr"/>
      <s:c r="B26846" s="121" t="n"/>
      <s:c r="C26846" s="121" t="n"/>
      <s:c r="D26846" s="121" t="n"/>
      <s:c r="E26846" s="122" t="n"/>
    </s:row>
    <s:row r="26847" hidden="1" ht="1" customHeight="1">
      <s:c r="A26847" s="120" t="inlineStr"/>
      <s:c r="B26847" s="121" t="n"/>
      <s:c r="C26847" s="121" t="n"/>
      <s:c r="D26847" s="121" t="n"/>
      <s:c r="E26847" s="122" t="n"/>
    </s:row>
    <s:row r="26848" hidden="1" ht="1" customHeight="1">
      <s:c r="A26848" s="120" t="inlineStr"/>
      <s:c r="B26848" s="121" t="n"/>
      <s:c r="C26848" s="121" t="n"/>
      <s:c r="D26848" s="121" t="n"/>
      <s:c r="E26848" s="122" t="n"/>
    </s:row>
    <s:row r="26849" hidden="1" ht="1" customHeight="1">
      <s:c r="A26849" s="120" t="inlineStr"/>
      <s:c r="B26849" s="121" t="n"/>
      <s:c r="C26849" s="121" t="n"/>
      <s:c r="D26849" s="121" t="n"/>
      <s:c r="E26849" s="122" t="n"/>
    </s:row>
    <s:row r="26850" hidden="1" ht="1" customHeight="1">
      <s:c r="A26850" s="120" t="inlineStr"/>
      <s:c r="B26850" s="121" t="n"/>
      <s:c r="C26850" s="121" t="n"/>
      <s:c r="D26850" s="121" t="n"/>
      <s:c r="E26850" s="122" t="n"/>
    </s:row>
    <s:row r="26851" hidden="1" ht="1" customHeight="1">
      <s:c r="A26851" s="120" t="inlineStr"/>
      <s:c r="B26851" s="121" t="n"/>
      <s:c r="C26851" s="121" t="n"/>
      <s:c r="D26851" s="121" t="n"/>
      <s:c r="E26851" s="122" t="n"/>
    </s:row>
    <s:row r="26852" hidden="1" ht="1" customHeight="1">
      <s:c r="A26852" s="120" t="inlineStr"/>
      <s:c r="B26852" s="121" t="n"/>
      <s:c r="C26852" s="121" t="n"/>
      <s:c r="D26852" s="121" t="n"/>
      <s:c r="E26852" s="122" t="n"/>
    </s:row>
    <s:row r="26853" hidden="1" ht="1" customHeight="1">
      <s:c r="A26853" s="120" t="inlineStr"/>
      <s:c r="B26853" s="121" t="n"/>
      <s:c r="C26853" s="121" t="n"/>
      <s:c r="D26853" s="121" t="n"/>
      <s:c r="E26853" s="122" t="n"/>
    </s:row>
    <s:row r="26854" hidden="1" ht="1" customHeight="1">
      <s:c r="A26854" s="120" t="inlineStr"/>
      <s:c r="B26854" s="121" t="n"/>
      <s:c r="C26854" s="121" t="n"/>
      <s:c r="D26854" s="121" t="n"/>
      <s:c r="E26854" s="122" t="n"/>
    </s:row>
    <s:row r="26855" hidden="1" ht="1" customHeight="1">
      <s:c r="A26855" s="120" t="inlineStr"/>
      <s:c r="B26855" s="121" t="n"/>
      <s:c r="C26855" s="121" t="n"/>
      <s:c r="D26855" s="121" t="n"/>
      <s:c r="E26855" s="122" t="n"/>
    </s:row>
    <s:row r="26856" hidden="1" ht="1" customHeight="1">
      <s:c r="A26856" s="120" t="inlineStr"/>
      <s:c r="B26856" s="121" t="n"/>
      <s:c r="C26856" s="121" t="n"/>
      <s:c r="D26856" s="121" t="n"/>
      <s:c r="E26856" s="122" t="n"/>
    </s:row>
    <s:row r="26857" hidden="1" ht="1" customHeight="1">
      <s:c r="A26857" s="120" t="inlineStr"/>
      <s:c r="B26857" s="121" t="n"/>
      <s:c r="C26857" s="121" t="n"/>
      <s:c r="D26857" s="121" t="n"/>
      <s:c r="E26857" s="122" t="n"/>
    </s:row>
    <s:row r="26858" hidden="1" ht="1" customHeight="1">
      <s:c r="A26858" s="120" t="inlineStr"/>
      <s:c r="B26858" s="121" t="n"/>
      <s:c r="C26858" s="121" t="n"/>
      <s:c r="D26858" s="121" t="n"/>
      <s:c r="E26858" s="122" t="n"/>
    </s:row>
    <s:row r="26859" hidden="1" ht="1" customHeight="1">
      <s:c r="A26859" s="120" t="inlineStr"/>
      <s:c r="B26859" s="121" t="n"/>
      <s:c r="C26859" s="121" t="n"/>
      <s:c r="D26859" s="121" t="n"/>
      <s:c r="E26859" s="122" t="n"/>
    </s:row>
    <s:row r="26860" hidden="1" ht="1" customHeight="1">
      <s:c r="A26860" s="120" t="inlineStr"/>
      <s:c r="B26860" s="121" t="n"/>
      <s:c r="C26860" s="121" t="n"/>
      <s:c r="D26860" s="121" t="n"/>
      <s:c r="E26860" s="122" t="n"/>
    </s:row>
    <s:row r="26861" hidden="1" ht="1" customHeight="1">
      <s:c r="A26861" s="120" t="inlineStr"/>
      <s:c r="B26861" s="121" t="n"/>
      <s:c r="C26861" s="121" t="n"/>
      <s:c r="D26861" s="121" t="n"/>
      <s:c r="E26861" s="122" t="n"/>
    </s:row>
    <s:row r="26862" hidden="1" ht="1" customHeight="1">
      <s:c r="A26862" s="120" t="inlineStr"/>
      <s:c r="B26862" s="121" t="n"/>
      <s:c r="C26862" s="121" t="n"/>
      <s:c r="D26862" s="121" t="n"/>
      <s:c r="E26862" s="122" t="n"/>
    </s:row>
    <s:row r="26863" hidden="1" ht="1" customHeight="1">
      <s:c r="A26863" s="120" t="inlineStr"/>
      <s:c r="B26863" s="121" t="n"/>
      <s:c r="C26863" s="121" t="n"/>
      <s:c r="D26863" s="121" t="n"/>
      <s:c r="E26863" s="122" t="n"/>
    </s:row>
    <s:row r="26864" hidden="1" ht="1" customHeight="1">
      <s:c r="A26864" s="120" t="inlineStr"/>
      <s:c r="B26864" s="121" t="n"/>
      <s:c r="C26864" s="121" t="n"/>
      <s:c r="D26864" s="121" t="n"/>
      <s:c r="E26864" s="122" t="n"/>
    </s:row>
    <s:row r="26865" hidden="1" ht="1" customHeight="1">
      <s:c r="A26865" s="120" t="inlineStr"/>
      <s:c r="B26865" s="121" t="n"/>
      <s:c r="C26865" s="121" t="n"/>
      <s:c r="D26865" s="121" t="n"/>
      <s:c r="E26865" s="122" t="n"/>
    </s:row>
    <s:row r="26866" hidden="1" ht="1" customHeight="1">
      <s:c r="A26866" s="120" t="inlineStr"/>
      <s:c r="B26866" s="121" t="n"/>
      <s:c r="C26866" s="121" t="n"/>
      <s:c r="D26866" s="121" t="n"/>
      <s:c r="E26866" s="122" t="n"/>
    </s:row>
    <s:row r="26867" hidden="1" ht="1" customHeight="1">
      <s:c r="A26867" s="83" t="inlineStr">
        <s:is>
          <s:t>PASS</s:t>
        </s:is>
      </s:c>
      <s:c r="B26867" s="83">
        <s:f>SUM(IF(EXACT('Kiểm thử'!E26817,"Đạt"),1,0))</s:f>
        <s:v/>
      </s:c>
      <s:c r="C26867" s="19" t="n"/>
      <s:c r="D26867" s="19" t="n"/>
      <s:c r="E26867" s="19" t="n"/>
    </s:row>
    <s:row r="26868" hidden="1" ht="1" customHeight="1">
      <s:c r="A26868" s="83" t="inlineStr">
        <s:is>
          <s:t>FAIL</s:t>
        </s:is>
      </s:c>
      <s:c r="B26868" s="83">
        <s:f>SUM(IF(EXACT('Kiểm thử'!E26817,"Không đạt"),1,0))</s:f>
        <s:v/>
      </s:c>
      <s:c r="C26868" s="19" t="n"/>
      <s:c r="D26868" s="19" t="n"/>
      <s:c r="E26868" s="19" t="n"/>
    </s:row>
    <s:row r="26869" hidden="1" ht="1" customHeight="1">
      <s:c r="A26869" s="83" t="inlineStr">
        <s:is>
          <s:t>BLOCKED</s:t>
        </s:is>
      </s:c>
      <s:c r="B26869" s="83">
        <s:f>SUM(IF(EXACT('Kiểm thử'!E26817,"Bị chặn"),1,0))</s:f>
        <s:v/>
      </s:c>
      <s:c r="C26869" s="19" t="n"/>
      <s:c r="D26869" s="19" t="n"/>
      <s:c r="E26869" s="19" t="n"/>
    </s:row>
    <s:row r="26870" hidden="1" ht="1" customHeight="1">
      <s:c r="A26870" s="83" t="inlineStr">
        <s:is>
          <s:t>SKIPPED</s:t>
        </s:is>
      </s:c>
      <s:c r="B26870" s="83">
        <s:f>SUM(IF(EXACT('Kiểm thử'!E26817,"Không thực hiện"),1,0))</s:f>
        <s:v/>
      </s:c>
      <s:c r="C26870" s="19" t="n"/>
      <s:c r="D26870" s="19" t="n"/>
      <s:c r="E26870" s="19" t="n"/>
    </s:row>
    <s:row r="26871" hidden="1" ht="1" customHeight="1">
      <s:c r="A26871" s="83" t="inlineStr">
        <s:is>
          <s:t>NOT RUN</s:t>
        </s:is>
      </s:c>
      <s:c r="B26871" s="83">
        <s:f>SUM(IF(EXACT('Kiểm thử'!E26817,"Chưa thực hiện"),1,0))</s:f>
        <s:v/>
      </s:c>
      <s:c r="C26871" s="19" t="n"/>
      <s:c r="D26871" s="19" t="n"/>
      <s:c r="E26871" s="19" t="n"/>
    </s:row>
    <s:row r="26872" hidden="1" ht="6" customHeight="1">
      <s:c r="A26872" s="83" t="inlineStr"/>
      <s:c r="B26872" s="19" t="n"/>
      <s:c r="C26872" s="19" t="n"/>
      <s:c r="D26872" s="19" t="n"/>
      <s:c r="E26872" s="19" t="n"/>
    </s:row>
    <s:row r="26873" ht="28" customHeight="1">
      <s:c r="A26873" s="108" t="inlineStr">
        <s:is>
          <s:t>TC-RS-UI-014 — Màn Tỷ lệ điểm tối đa（得点率）: mô tả M và xử lý phần lẻ</s:t>
        </s:is>
      </s:c>
      <s:c r="B26873" s="111" t="n"/>
      <s:c r="C26873" s="111" t="n"/>
      <s:c r="D26873" s="111" t="n"/>
      <s:c r="E26873" s="111" t="n"/>
    </s:row>
    <s:row r="26874" ht="20" customHeight="1">
      <s:c r="A26874" s="112" t="inlineStr">
        <s:is>
          <s:t>Kết quả tình huống</s:t>
        </s:is>
      </s:c>
      <s:c r="B26874" s="113">
        <s:f>IF(SUM(IF(EXACT('Kiểm thử'!E26882,"Không đạt"),1,0))&gt;0,"Không đạt",IF(SUM(IF(EXACT('Kiểm thử'!E26882,"Đạt"),1,0))=1,"Đạt",IF(SUM(IF(EXACT('Kiểm thử'!E26882,"Không thực hiện"),1,0))=1,"Không thực hiện",IF(SUM(IF(EXACT('Kiểm thử'!E26882,"Bị chặn"),1,0))&gt;0,"Bị chặn",IF(SUM(IF(EXACT('Kiểm thử'!E26882,"Chưa thực hiện"),1,0))=1,"Chưa thực hiện","Đang thực hiện")))))</s:f>
        <s:v/>
      </s:c>
      <s:c r="C26874" s="114" t="n"/>
      <s:c r="D26874" s="114" t="n"/>
      <s:c r="E26874" s="114" t="n"/>
    </s:row>
    <s:row r="26875" ht="20" customHeight="1">
      <s:c r="A26875" s="112" t="inlineStr">
        <s:is>
          <s:t>Màn hình / chức năng</s:t>
        </s:is>
      </s:c>
      <s:c r="B26875" s="113" t="inlineStr">
        <s:is>
          <s:r>
            <s:rPr>
              <s:b val="1"/>
            </s:rPr>
            <s:t>Thiết lập ngưỡng（基準設定）</s:t>
          </s:r>
        </s:is>
      </s:c>
      <s:c r="C26875" s="28" t="n"/>
      <s:c r="D26875" s="28" t="n"/>
      <s:c r="E26875" s="28" t="n"/>
    </s:row>
    <s:row r="26876" ht="20" customHeight="1">
      <s:c r="A26876" s="112" t="inlineStr">
        <s:is>
          <s:t>Cấu hình</s:t>
        </s:is>
      </s:c>
      <s:c r="B26876" s="113" t="inlineStr">
        <s:is>
          <s:r>
            <s:t xml:space="preserve">• Mở ngưỡng, chọn Tỷ </s:t>
          </s:r>
          <s:r>
            <s:rPr>
              <s:b val="1"/>
            </s:rPr>
            <s:t>lệ điểm tối đa（得点率）</s:t>
          </s:r>
          <s:r>
            <s:t>.</s:t>
          </s:r>
        </s:is>
      </s:c>
      <s:c r="C26876" s="28" t="n"/>
      <s:c r="D26876" s="28" t="n"/>
      <s:c r="E26876" s="28" t="n"/>
    </s:row>
    <s:row r="26877" ht="20" customHeight="1">
      <s:c r="A26877" s="112" t="inlineStr">
        <s:is>
          <s:t>Dữ liệu test</s:t>
        </s:is>
      </s:c>
      <s:c r="B26877" s="113" t="inlineStr">
        <s:is>
          <s:r>
            <s:t>• Mục số nguyên (</s:t>
          </s:r>
          <s:r>
            <s:rPr>
              <s:b val="1"/>
            </s:rPr>
            <s:t>M=100</s:t>
          </s:r>
          <s:r>
            <s:t>)</s:t>
          </s:r>
        </s:is>
      </s:c>
      <s:c r="C26877" s="28" t="n"/>
      <s:c r="D26877" s="28" t="n"/>
      <s:c r="E26877" s="28" t="n"/>
    </s:row>
    <s:row r="26878" ht="20" customHeight="1">
      <s:c r="A26878" s="112" t="inlineStr">
        <s:is>
          <s:t>Bước 1</s:t>
        </s:is>
      </s:c>
      <s:c r="B26878" s="113" t="inlineStr">
        <s:is>
          <s:t>Xem màn.</s:t>
        </s:is>
      </s:c>
      <s:c r="C26878" s="28" t="n"/>
      <s:c r="D26878" s="28" t="n"/>
      <s:c r="E26878" s="28" t="n"/>
    </s:row>
    <s:row r="26879" ht="20" customHeight="1">
      <s:c r="A26879" s="112" t="inlineStr">
        <s:is>
          <s:t>Bước 2</s:t>
        </s:is>
      </s:c>
      <s:c r="B26879" s="113" t="inlineStr">
        <s:is>
          <s:r>
            <s:rPr>
              <s:b val="1"/>
            </s:rPr>
            <s:t>Chọn Có（する）</s:t>
          </s:r>
          <s:r>
            <s:t xml:space="preserve"> ở Xử lý phần lẻ.</s:t>
          </s:r>
        </s:is>
      </s:c>
      <s:c r="C26879" s="28" t="n"/>
      <s:c r="D26879" s="28" t="n"/>
      <s:c r="E26879" s="28" t="n"/>
    </s:row>
    <s:row r="26880" ht="28" customHeight="1">
      <s:c r="A26880" s="115" t="inlineStr">
        <s:is>
          <s:t>Trường hợp</s:t>
        </s:is>
      </s:c>
      <s:c r="B26880" s="115" t="inlineStr">
        <s:is>
          <s:t>Dữ liệu / thao tác riêng</s:t>
        </s:is>
      </s:c>
      <s:c r="C26880" s="115" t="inlineStr">
        <s:is>
          <s:t>Kết quả mong đợi</s:t>
        </s:is>
      </s:c>
      <s:c r="D26880" s="115" t="inlineStr">
        <s:is>
          <s:t>Kết quả thực tế</s:t>
        </s:is>
      </s:c>
      <s:c r="E26880" s="115" t="inlineStr">
        <s:is>
          <s:t>Đánh giá</s:t>
        </s:is>
      </s:c>
    </s:row>
    <s:row r="26881" ht="3" customHeight="1">
      <s:c r="A26881" s="102" t="inlineStr"/>
      <s:c r="B26881" s="99" t="n"/>
      <s:c r="C26881" s="99" t="n"/>
      <s:c r="D26881" s="116" t="n"/>
      <s:c r="E26881" s="116" t="n"/>
    </s:row>
    <s:row r="26882" ht="146" customHeight="1">
      <s:c r="A26882" s="83" t="inlineStr">
        <s:is>
          <s:t>Trường hợp cơ bản (Base)</s:t>
        </s:is>
      </s:c>
      <s:c r="B26882" s="83" t="inlineStr">
        <s:is>
          <s:t>Toàn bộ tình huống: Thực hiện đủ các bước chung theo thứ tự; kiểm cả đối tượng đích và đối chứng cùng fixture, không bỏ bước.</s:t>
        </s:is>
      </s:c>
      <s:c r="C26882" s="83" t="inlineStr">
        <s:is>
          <s:r>
            <s:t xml:space="preserve">Không có khối nguồn trung bình (đặc tả v2 mục 5.6 “Khi nào không cần nguồn?”); Xử lý </s:t>
          </s:r>
          <s:r>
            <s:rPr>
              <s:b val="1"/>
            </s:rPr>
            <s:t>phần lẻ có Không（しない）</s:t>
          </s:r>
          <s:r>
            <s:rPr>
              <s:b val="1"/>
            </s:rPr>
            <s:t>/Có（する）</s:t>
          </s:r>
          <s:r>
            <s:t>, mặc định Không; khi Có thì hiện ô vị trí chữ số và phương thức.
Mô tả M theo Figma (PROPOSED): câu chung 「対象の授業・時期・単元に適用される満点を使用」 (dùng điểm tối đa áp dụng cho lớp/kỳ/đơn vị).</s:t>
          </s:r>
        </s:is>
      </s:c>
      <s:c r="D26882" s="117" t="inlineStr"/>
      <s:c r="E26882" s="118" t="inlineStr">
        <s:is>
          <s:t>Chưa thực hiện</s:t>
        </s:is>
      </s:c>
    </s:row>
    <s:row r="26883" ht="20" customHeight="1">
      <s:c r="A26883" s="119" t="inlineStr">
        <s:is>
          <s:t>Ảnh minh chứng — Chưa có ảnh</s:t>
        </s:is>
      </s:c>
      <s:c r="B26883" s="19" t="n"/>
      <s:c r="C26883" s="19" t="n"/>
      <s:c r="D26883" s="19" t="n"/>
      <s:c r="E26883" s="19" t="n"/>
    </s:row>
    <s:row r="26884" hidden="1" ht="1" customHeight="1">
      <s:c r="A26884" s="120" t="inlineStr"/>
      <s:c r="B26884" s="121" t="n"/>
      <s:c r="C26884" s="121" t="n"/>
      <s:c r="D26884" s="121" t="n"/>
      <s:c r="E26884" s="122" t="n"/>
    </s:row>
    <s:row r="26885" hidden="1" ht="1" customHeight="1">
      <s:c r="A26885" s="120" t="inlineStr"/>
      <s:c r="B26885" s="121" t="n"/>
      <s:c r="C26885" s="121" t="n"/>
      <s:c r="D26885" s="121" t="n"/>
      <s:c r="E26885" s="122" t="n"/>
    </s:row>
    <s:row r="26886" hidden="1" ht="1" customHeight="1">
      <s:c r="A26886" s="120" t="inlineStr"/>
      <s:c r="B26886" s="121" t="n"/>
      <s:c r="C26886" s="121" t="n"/>
      <s:c r="D26886" s="121" t="n"/>
      <s:c r="E26886" s="122" t="n"/>
    </s:row>
    <s:row r="26887" hidden="1" ht="1" customHeight="1">
      <s:c r="A26887" s="120" t="inlineStr"/>
      <s:c r="B26887" s="121" t="n"/>
      <s:c r="C26887" s="121" t="n"/>
      <s:c r="D26887" s="121" t="n"/>
      <s:c r="E26887" s="122" t="n"/>
    </s:row>
    <s:row r="26888" hidden="1" ht="1" customHeight="1">
      <s:c r="A26888" s="120" t="inlineStr"/>
      <s:c r="B26888" s="121" t="n"/>
      <s:c r="C26888" s="121" t="n"/>
      <s:c r="D26888" s="121" t="n"/>
      <s:c r="E26888" s="122" t="n"/>
    </s:row>
    <s:row r="26889" hidden="1" ht="1" customHeight="1">
      <s:c r="A26889" s="120" t="inlineStr"/>
      <s:c r="B26889" s="121" t="n"/>
      <s:c r="C26889" s="121" t="n"/>
      <s:c r="D26889" s="121" t="n"/>
      <s:c r="E26889" s="122" t="n"/>
    </s:row>
    <s:row r="26890" hidden="1" ht="1" customHeight="1">
      <s:c r="A26890" s="120" t="inlineStr"/>
      <s:c r="B26890" s="121" t="n"/>
      <s:c r="C26890" s="121" t="n"/>
      <s:c r="D26890" s="121" t="n"/>
      <s:c r="E26890" s="122" t="n"/>
    </s:row>
    <s:row r="26891" hidden="1" ht="1" customHeight="1">
      <s:c r="A26891" s="120" t="inlineStr"/>
      <s:c r="B26891" s="121" t="n"/>
      <s:c r="C26891" s="121" t="n"/>
      <s:c r="D26891" s="121" t="n"/>
      <s:c r="E26891" s="122" t="n"/>
    </s:row>
    <s:row r="26892" hidden="1" ht="1" customHeight="1">
      <s:c r="A26892" s="120" t="inlineStr"/>
      <s:c r="B26892" s="121" t="n"/>
      <s:c r="C26892" s="121" t="n"/>
      <s:c r="D26892" s="121" t="n"/>
      <s:c r="E26892" s="122" t="n"/>
    </s:row>
    <s:row r="26893" hidden="1" ht="1" customHeight="1">
      <s:c r="A26893" s="120" t="inlineStr"/>
      <s:c r="B26893" s="121" t="n"/>
      <s:c r="C26893" s="121" t="n"/>
      <s:c r="D26893" s="121" t="n"/>
      <s:c r="E26893" s="122" t="n"/>
    </s:row>
    <s:row r="26894" hidden="1" ht="1" customHeight="1">
      <s:c r="A26894" s="120" t="inlineStr"/>
      <s:c r="B26894" s="121" t="n"/>
      <s:c r="C26894" s="121" t="n"/>
      <s:c r="D26894" s="121" t="n"/>
      <s:c r="E26894" s="122" t="n"/>
    </s:row>
    <s:row r="26895" hidden="1" ht="1" customHeight="1">
      <s:c r="A26895" s="120" t="inlineStr"/>
      <s:c r="B26895" s="121" t="n"/>
      <s:c r="C26895" s="121" t="n"/>
      <s:c r="D26895" s="121" t="n"/>
      <s:c r="E26895" s="122" t="n"/>
    </s:row>
    <s:row r="26896" hidden="1" ht="1" customHeight="1">
      <s:c r="A26896" s="120" t="inlineStr"/>
      <s:c r="B26896" s="121" t="n"/>
      <s:c r="C26896" s="121" t="n"/>
      <s:c r="D26896" s="121" t="n"/>
      <s:c r="E26896" s="122" t="n"/>
    </s:row>
    <s:row r="26897" hidden="1" ht="1" customHeight="1">
      <s:c r="A26897" s="120" t="inlineStr"/>
      <s:c r="B26897" s="121" t="n"/>
      <s:c r="C26897" s="121" t="n"/>
      <s:c r="D26897" s="121" t="n"/>
      <s:c r="E26897" s="122" t="n"/>
    </s:row>
    <s:row r="26898" hidden="1" ht="1" customHeight="1">
      <s:c r="A26898" s="120" t="inlineStr"/>
      <s:c r="B26898" s="121" t="n"/>
      <s:c r="C26898" s="121" t="n"/>
      <s:c r="D26898" s="121" t="n"/>
      <s:c r="E26898" s="122" t="n"/>
    </s:row>
    <s:row r="26899" hidden="1" ht="1" customHeight="1">
      <s:c r="A26899" s="120" t="inlineStr"/>
      <s:c r="B26899" s="121" t="n"/>
      <s:c r="C26899" s="121" t="n"/>
      <s:c r="D26899" s="121" t="n"/>
      <s:c r="E26899" s="122" t="n"/>
    </s:row>
    <s:row r="26900" hidden="1" ht="1" customHeight="1">
      <s:c r="A26900" s="120" t="inlineStr"/>
      <s:c r="B26900" s="121" t="n"/>
      <s:c r="C26900" s="121" t="n"/>
      <s:c r="D26900" s="121" t="n"/>
      <s:c r="E26900" s="122" t="n"/>
    </s:row>
    <s:row r="26901" hidden="1" ht="1" customHeight="1">
      <s:c r="A26901" s="120" t="inlineStr"/>
      <s:c r="B26901" s="121" t="n"/>
      <s:c r="C26901" s="121" t="n"/>
      <s:c r="D26901" s="121" t="n"/>
      <s:c r="E26901" s="122" t="n"/>
    </s:row>
    <s:row r="26902" hidden="1" ht="1" customHeight="1">
      <s:c r="A26902" s="120" t="inlineStr"/>
      <s:c r="B26902" s="121" t="n"/>
      <s:c r="C26902" s="121" t="n"/>
      <s:c r="D26902" s="121" t="n"/>
      <s:c r="E26902" s="122" t="n"/>
    </s:row>
    <s:row r="26903" hidden="1" ht="1" customHeight="1">
      <s:c r="A26903" s="120" t="inlineStr"/>
      <s:c r="B26903" s="121" t="n"/>
      <s:c r="C26903" s="121" t="n"/>
      <s:c r="D26903" s="121" t="n"/>
      <s:c r="E26903" s="122" t="n"/>
    </s:row>
    <s:row r="26904" hidden="1" ht="1" customHeight="1">
      <s:c r="A26904" s="120" t="inlineStr"/>
      <s:c r="B26904" s="121" t="n"/>
      <s:c r="C26904" s="121" t="n"/>
      <s:c r="D26904" s="121" t="n"/>
      <s:c r="E26904" s="122" t="n"/>
    </s:row>
    <s:row r="26905" hidden="1" ht="1" customHeight="1">
      <s:c r="A26905" s="120" t="inlineStr"/>
      <s:c r="B26905" s="121" t="n"/>
      <s:c r="C26905" s="121" t="n"/>
      <s:c r="D26905" s="121" t="n"/>
      <s:c r="E26905" s="122" t="n"/>
    </s:row>
    <s:row r="26906" hidden="1" ht="1" customHeight="1">
      <s:c r="A26906" s="120" t="inlineStr"/>
      <s:c r="B26906" s="121" t="n"/>
      <s:c r="C26906" s="121" t="n"/>
      <s:c r="D26906" s="121" t="n"/>
      <s:c r="E26906" s="122" t="n"/>
    </s:row>
    <s:row r="26907" hidden="1" ht="1" customHeight="1">
      <s:c r="A26907" s="120" t="inlineStr"/>
      <s:c r="B26907" s="121" t="n"/>
      <s:c r="C26907" s="121" t="n"/>
      <s:c r="D26907" s="121" t="n"/>
      <s:c r="E26907" s="122" t="n"/>
    </s:row>
    <s:row r="26908" hidden="1" ht="1" customHeight="1">
      <s:c r="A26908" s="120" t="inlineStr"/>
      <s:c r="B26908" s="121" t="n"/>
      <s:c r="C26908" s="121" t="n"/>
      <s:c r="D26908" s="121" t="n"/>
      <s:c r="E26908" s="122" t="n"/>
    </s:row>
    <s:row r="26909" hidden="1" ht="1" customHeight="1">
      <s:c r="A26909" s="120" t="inlineStr"/>
      <s:c r="B26909" s="121" t="n"/>
      <s:c r="C26909" s="121" t="n"/>
      <s:c r="D26909" s="121" t="n"/>
      <s:c r="E26909" s="122" t="n"/>
    </s:row>
    <s:row r="26910" hidden="1" ht="1" customHeight="1">
      <s:c r="A26910" s="120" t="inlineStr"/>
      <s:c r="B26910" s="121" t="n"/>
      <s:c r="C26910" s="121" t="n"/>
      <s:c r="D26910" s="121" t="n"/>
      <s:c r="E26910" s="122" t="n"/>
    </s:row>
    <s:row r="26911" hidden="1" ht="1" customHeight="1">
      <s:c r="A26911" s="120" t="inlineStr"/>
      <s:c r="B26911" s="121" t="n"/>
      <s:c r="C26911" s="121" t="n"/>
      <s:c r="D26911" s="121" t="n"/>
      <s:c r="E26911" s="122" t="n"/>
    </s:row>
    <s:row r="26912" hidden="1" ht="1" customHeight="1">
      <s:c r="A26912" s="120" t="inlineStr"/>
      <s:c r="B26912" s="121" t="n"/>
      <s:c r="C26912" s="121" t="n"/>
      <s:c r="D26912" s="121" t="n"/>
      <s:c r="E26912" s="122" t="n"/>
    </s:row>
    <s:row r="26913" hidden="1" ht="1" customHeight="1">
      <s:c r="A26913" s="120" t="inlineStr"/>
      <s:c r="B26913" s="121" t="n"/>
      <s:c r="C26913" s="121" t="n"/>
      <s:c r="D26913" s="121" t="n"/>
      <s:c r="E26913" s="122" t="n"/>
    </s:row>
    <s:row r="26914" hidden="1" ht="1" customHeight="1">
      <s:c r="A26914" s="120" t="inlineStr"/>
      <s:c r="B26914" s="121" t="n"/>
      <s:c r="C26914" s="121" t="n"/>
      <s:c r="D26914" s="121" t="n"/>
      <s:c r="E26914" s="122" t="n"/>
    </s:row>
    <s:row r="26915" hidden="1" ht="1" customHeight="1">
      <s:c r="A26915" s="120" t="inlineStr"/>
      <s:c r="B26915" s="121" t="n"/>
      <s:c r="C26915" s="121" t="n"/>
      <s:c r="D26915" s="121" t="n"/>
      <s:c r="E26915" s="122" t="n"/>
    </s:row>
    <s:row r="26916" hidden="1" ht="1" customHeight="1">
      <s:c r="A26916" s="120" t="inlineStr"/>
      <s:c r="B26916" s="121" t="n"/>
      <s:c r="C26916" s="121" t="n"/>
      <s:c r="D26916" s="121" t="n"/>
      <s:c r="E26916" s="122" t="n"/>
    </s:row>
    <s:row r="26917" hidden="1" ht="1" customHeight="1">
      <s:c r="A26917" s="120" t="inlineStr"/>
      <s:c r="B26917" s="121" t="n"/>
      <s:c r="C26917" s="121" t="n"/>
      <s:c r="D26917" s="121" t="n"/>
      <s:c r="E26917" s="122" t="n"/>
    </s:row>
    <s:row r="26918" hidden="1" ht="1" customHeight="1">
      <s:c r="A26918" s="120" t="inlineStr"/>
      <s:c r="B26918" s="121" t="n"/>
      <s:c r="C26918" s="121" t="n"/>
      <s:c r="D26918" s="121" t="n"/>
      <s:c r="E26918" s="122" t="n"/>
    </s:row>
    <s:row r="26919" hidden="1" ht="1" customHeight="1">
      <s:c r="A26919" s="120" t="inlineStr"/>
      <s:c r="B26919" s="121" t="n"/>
      <s:c r="C26919" s="121" t="n"/>
      <s:c r="D26919" s="121" t="n"/>
      <s:c r="E26919" s="122" t="n"/>
    </s:row>
    <s:row r="26920" hidden="1" ht="1" customHeight="1">
      <s:c r="A26920" s="120" t="inlineStr"/>
      <s:c r="B26920" s="121" t="n"/>
      <s:c r="C26920" s="121" t="n"/>
      <s:c r="D26920" s="121" t="n"/>
      <s:c r="E26920" s="122" t="n"/>
    </s:row>
    <s:row r="26921" hidden="1" ht="1" customHeight="1">
      <s:c r="A26921" s="120" t="inlineStr"/>
      <s:c r="B26921" s="121" t="n"/>
      <s:c r="C26921" s="121" t="n"/>
      <s:c r="D26921" s="121" t="n"/>
      <s:c r="E26921" s="122" t="n"/>
    </s:row>
    <s:row r="26922" hidden="1" ht="1" customHeight="1">
      <s:c r="A26922" s="120" t="inlineStr"/>
      <s:c r="B26922" s="121" t="n"/>
      <s:c r="C26922" s="121" t="n"/>
      <s:c r="D26922" s="121" t="n"/>
      <s:c r="E26922" s="122" t="n"/>
    </s:row>
    <s:row r="26923" hidden="1" ht="1" customHeight="1">
      <s:c r="A26923" s="120" t="inlineStr"/>
      <s:c r="B26923" s="121" t="n"/>
      <s:c r="C26923" s="121" t="n"/>
      <s:c r="D26923" s="121" t="n"/>
      <s:c r="E26923" s="122" t="n"/>
    </s:row>
    <s:row r="26924" hidden="1" ht="1" customHeight="1">
      <s:c r="A26924" s="120" t="inlineStr"/>
      <s:c r="B26924" s="121" t="n"/>
      <s:c r="C26924" s="121" t="n"/>
      <s:c r="D26924" s="121" t="n"/>
      <s:c r="E26924" s="122" t="n"/>
    </s:row>
    <s:row r="26925" hidden="1" ht="1" customHeight="1">
      <s:c r="A26925" s="120" t="inlineStr"/>
      <s:c r="B26925" s="121" t="n"/>
      <s:c r="C26925" s="121" t="n"/>
      <s:c r="D26925" s="121" t="n"/>
      <s:c r="E26925" s="122" t="n"/>
    </s:row>
    <s:row r="26926" hidden="1" ht="1" customHeight="1">
      <s:c r="A26926" s="120" t="inlineStr"/>
      <s:c r="B26926" s="121" t="n"/>
      <s:c r="C26926" s="121" t="n"/>
      <s:c r="D26926" s="121" t="n"/>
      <s:c r="E26926" s="122" t="n"/>
    </s:row>
    <s:row r="26927" hidden="1" ht="1" customHeight="1">
      <s:c r="A26927" s="120" t="inlineStr"/>
      <s:c r="B26927" s="121" t="n"/>
      <s:c r="C26927" s="121" t="n"/>
      <s:c r="D26927" s="121" t="n"/>
      <s:c r="E26927" s="122" t="n"/>
    </s:row>
    <s:row r="26928" hidden="1" ht="1" customHeight="1">
      <s:c r="A26928" s="120" t="inlineStr"/>
      <s:c r="B26928" s="121" t="n"/>
      <s:c r="C26928" s="121" t="n"/>
      <s:c r="D26928" s="121" t="n"/>
      <s:c r="E26928" s="122" t="n"/>
    </s:row>
    <s:row r="26929" hidden="1" ht="1" customHeight="1">
      <s:c r="A26929" s="120" t="inlineStr"/>
      <s:c r="B26929" s="121" t="n"/>
      <s:c r="C26929" s="121" t="n"/>
      <s:c r="D26929" s="121" t="n"/>
      <s:c r="E26929" s="122" t="n"/>
    </s:row>
    <s:row r="26930" hidden="1" ht="1" customHeight="1">
      <s:c r="A26930" s="120" t="inlineStr"/>
      <s:c r="B26930" s="121" t="n"/>
      <s:c r="C26930" s="121" t="n"/>
      <s:c r="D26930" s="121" t="n"/>
      <s:c r="E26930" s="122" t="n"/>
    </s:row>
    <s:row r="26931" hidden="1" ht="1" customHeight="1">
      <s:c r="A26931" s="120" t="inlineStr"/>
      <s:c r="B26931" s="121" t="n"/>
      <s:c r="C26931" s="121" t="n"/>
      <s:c r="D26931" s="121" t="n"/>
      <s:c r="E26931" s="122" t="n"/>
    </s:row>
    <s:row r="26932" hidden="1" ht="1" customHeight="1">
      <s:c r="A26932" s="83" t="inlineStr">
        <s:is>
          <s:t>PASS</s:t>
        </s:is>
      </s:c>
      <s:c r="B26932" s="83">
        <s:f>SUM(IF(EXACT('Kiểm thử'!E26882,"Đạt"),1,0))</s:f>
        <s:v/>
      </s:c>
      <s:c r="C26932" s="19" t="n"/>
      <s:c r="D26932" s="19" t="n"/>
      <s:c r="E26932" s="19" t="n"/>
    </s:row>
    <s:row r="26933" hidden="1" ht="1" customHeight="1">
      <s:c r="A26933" s="83" t="inlineStr">
        <s:is>
          <s:t>FAIL</s:t>
        </s:is>
      </s:c>
      <s:c r="B26933" s="83">
        <s:f>SUM(IF(EXACT('Kiểm thử'!E26882,"Không đạt"),1,0))</s:f>
        <s:v/>
      </s:c>
      <s:c r="C26933" s="19" t="n"/>
      <s:c r="D26933" s="19" t="n"/>
      <s:c r="E26933" s="19" t="n"/>
    </s:row>
    <s:row r="26934" hidden="1" ht="1" customHeight="1">
      <s:c r="A26934" s="83" t="inlineStr">
        <s:is>
          <s:t>BLOCKED</s:t>
        </s:is>
      </s:c>
      <s:c r="B26934" s="83">
        <s:f>SUM(IF(EXACT('Kiểm thử'!E26882,"Bị chặn"),1,0))</s:f>
        <s:v/>
      </s:c>
      <s:c r="C26934" s="19" t="n"/>
      <s:c r="D26934" s="19" t="n"/>
      <s:c r="E26934" s="19" t="n"/>
    </s:row>
    <s:row r="26935" hidden="1" ht="1" customHeight="1">
      <s:c r="A26935" s="83" t="inlineStr">
        <s:is>
          <s:t>SKIPPED</s:t>
        </s:is>
      </s:c>
      <s:c r="B26935" s="83">
        <s:f>SUM(IF(EXACT('Kiểm thử'!E26882,"Không thực hiện"),1,0))</s:f>
        <s:v/>
      </s:c>
      <s:c r="C26935" s="19" t="n"/>
      <s:c r="D26935" s="19" t="n"/>
      <s:c r="E26935" s="19" t="n"/>
    </s:row>
    <s:row r="26936" hidden="1" ht="1" customHeight="1">
      <s:c r="A26936" s="83" t="inlineStr">
        <s:is>
          <s:t>NOT RUN</s:t>
        </s:is>
      </s:c>
      <s:c r="B26936" s="83">
        <s:f>SUM(IF(EXACT('Kiểm thử'!E26882,"Chưa thực hiện"),1,0))</s:f>
        <s:v/>
      </s:c>
      <s:c r="C26936" s="19" t="n"/>
      <s:c r="D26936" s="19" t="n"/>
      <s:c r="E26936" s="19" t="n"/>
    </s:row>
    <s:row r="26937" hidden="1" ht="6" customHeight="1">
      <s:c r="A26937" s="83" t="inlineStr"/>
      <s:c r="B26937" s="19" t="n"/>
      <s:c r="C26937" s="19" t="n"/>
      <s:c r="D26937" s="19" t="n"/>
      <s:c r="E26937" s="19" t="n"/>
    </s:row>
    <s:row r="26938" ht="28" customHeight="1">
      <s:c r="A26938" s="108" t="inlineStr">
        <s:is>
          <s:t>TC-RS-DATA-002 — Kết quả lưu theo định danh ô; mỗi ô chỉ một kết quả hiện hành</s:t>
        </s:is>
      </s:c>
      <s:c r="B26938" s="111" t="n"/>
      <s:c r="C26938" s="111" t="n"/>
      <s:c r="D26938" s="111" t="n"/>
      <s:c r="E26938" s="111" t="n"/>
    </s:row>
    <s:row r="26939" ht="20" customHeight="1">
      <s:c r="A26939" s="112" t="inlineStr">
        <s:is>
          <s:t>Kết quả tình huống</s:t>
        </s:is>
      </s:c>
      <s:c r="B26939" s="113">
        <s:f>IF(SUM(IF(EXACT('Kiểm thử'!E26950,"Không đạt"),1,0))&gt;0,"Không đạt",IF(SUM(IF(EXACT('Kiểm thử'!E26950,"Đạt"),1,0))=1,"Đạt",IF(SUM(IF(EXACT('Kiểm thử'!E26950,"Không thực hiện"),1,0))=1,"Không thực hiện",IF(SUM(IF(EXACT('Kiểm thử'!E26950,"Bị chặn"),1,0))&gt;0,"Bị chặn",IF(SUM(IF(EXACT('Kiểm thử'!E26950,"Chưa thực hiện"),1,0))=1,"Chưa thực hiện","Đang thực hiện")))))</s:f>
        <s:v/>
      </s:c>
      <s:c r="C26939" s="114" t="n"/>
      <s:c r="D26939" s="114" t="n"/>
      <s:c r="E26939" s="114" t="n"/>
    </s:row>
    <s:row r="26940" ht="20" customHeight="1">
      <s:c r="A26940" s="112" t="inlineStr">
        <s:is>
          <s:t>Màn hình / chức năng</s:t>
        </s:is>
      </s:c>
      <s:c r="B26940" s="113" t="inlineStr">
        <s:is>
          <s:t>Bảo toàn dữ liệu và cấu hình</s:t>
        </s:is>
      </s:c>
      <s:c r="C26940" s="28" t="n"/>
      <s:c r="D26940" s="28" t="n"/>
      <s:c r="E26940" s="28" t="n"/>
    </s:row>
    <s:row r="26941" ht="20" customHeight="1">
      <s:c r="A26941" s="112" t="inlineStr">
        <s:is>
          <s:t>Cấu hình</s:t>
        </s:is>
      </s:c>
      <s:c r="B26941" s="113" t="inlineStr">
        <s:is>
          <s:r>
            <s:t>• Đã xét S01 (mục số nguyên (</s:t>
          </s:r>
          <s:r>
            <s:rPr>
              <s:b val="1"/>
            </s:rPr>
            <s:t>M=100</s:t>
          </s:r>
          <s:r>
            <s:t>)) và S06 U1/U2 (mục điểm đơn vị (đơn vị U1 có M riêng 40)).</s:t>
          </s:r>
        </s:is>
      </s:c>
      <s:c r="C26941" s="28" t="n"/>
      <s:c r="D26941" s="28" t="n"/>
      <s:c r="E26941" s="28" t="n"/>
    </s:row>
    <s:row r="26942" ht="48" customHeight="1">
      <s:c r="A26942" s="112" t="inlineStr">
        <s:is>
          <s:t>Dữ liệu test</s:t>
        </s:is>
      </s:c>
      <s:c r="B26942" s="113" t="inlineStr">
        <s:is>
          <s:r>
            <s:t>• Mục số nguyên (</s:t>
          </s:r>
          <s:r>
            <s:rPr>
              <s:b val="1"/>
            </s:rPr>
            <s:t>M=100</s:t>
          </s:r>
          <s:r>
            <s:t>);
• Học sinh S01 (điểm 29), mục điểm đơn vị (đơn vị U1 có M riêng 40);
• Quy tắc “Cố định 30” (dưới 30) (bước 4)</s:t>
          </s:r>
        </s:is>
      </s:c>
      <s:c r="C26942" s="28" t="n"/>
      <s:c r="D26942" s="28" t="n"/>
      <s:c r="E26942" s="28" t="n"/>
    </s:row>
    <s:row r="26943" ht="34" customHeight="1">
      <s:c r="A26943" s="112" t="inlineStr">
        <s:is>
          <s:t>Bước 1</s:t>
        </s:is>
      </s:c>
      <s:c r="B26943" s="113" t="inlineStr">
        <s:is>
          <s:t>SELECT [red_score_results] theo [school_id], [year], [evaluate_frame_item_id], [group_id], [student_id], [tangen_id] của các ô.</s:t>
        </s:is>
      </s:c>
      <s:c r="C26943" s="28" t="n"/>
      <s:c r="D26943" s="28" t="n"/>
      <s:c r="E26943" s="28" t="n"/>
    </s:row>
    <s:row r="26944" ht="20" customHeight="1">
      <s:c r="A26944" s="112" t="inlineStr">
        <s:is>
          <s:t>Bước 2</s:t>
        </s:is>
      </s:c>
      <s:c r="B26944" s="113" t="inlineStr">
        <s:is>
          <s:t>Chạy lại nút cam, SELECT lại.</s:t>
        </s:is>
      </s:c>
      <s:c r="C26944" s="28" t="n"/>
      <s:c r="D26944" s="28" t="n"/>
      <s:c r="E26944" s="28" t="n"/>
    </s:row>
    <s:row r="26945" ht="20" customHeight="1">
      <s:c r="A26945" s="112" t="inlineStr">
        <s:is>
          <s:t>Bước 3</s:t>
        </s:is>
      </s:c>
      <s:c r="B26945" s="113" t="inlineStr">
        <s:is>
          <s:t>[SHOW INDEX FROM red_score_results].</s:t>
        </s:is>
      </s:c>
      <s:c r="C26945" s="28" t="n"/>
      <s:c r="D26945" s="28" t="n"/>
      <s:c r="E26945" s="28" t="n"/>
    </s:row>
    <s:row r="26946" ht="34" customHeight="1">
      <s:c r="A26946" s="112" t="inlineStr">
        <s:is>
          <s:t>Bước 4</s:t>
        </s:is>
      </s:c>
      <s:c r="B26946" s="113" t="inlineStr">
        <s:is>
          <s:r>
            <s:t xml:space="preserve">Chuẩn bị hai mục cùng </s:t>
          </s:r>
          <s:r>
            <s:rPr>
              <s:b val="1"/>
            </s:rPr>
            <s:t>tên Điểm đánh giá（評点）</s:t>
          </s:r>
          <s:r>
            <s:t xml:space="preserve"> ở hai kỳ khác nhau; chỉ mục kỳ 1 có quy tắc “Cố định 30” (dưới 30). Đăng ký S01 = 25 ở cả hai mục, xem đầu ra và SELECT.</s:t>
          </s:r>
        </s:is>
      </s:c>
      <s:c r="C26946" s="28" t="n"/>
      <s:c r="D26946" s="28" t="n"/>
      <s:c r="E26946" s="28" t="n"/>
    </s:row>
    <s:row r="26947" ht="34" customHeight="1">
      <s:c r="A26947" s="112" t="inlineStr">
        <s:is>
          <s:t>Bước 5</s:t>
        </s:is>
      </s:c>
      <s:c r="B26947" s="113" t="inlineStr">
        <s:is>
          <s:t>Đổi tên mục kỳ 1 và đổi thứ tự cột mục trên khung đánh giá (nếu màn hỗ trợ); xem đầu ra và SELECT lại, chưa chạy xét.</s:t>
        </s:is>
      </s:c>
      <s:c r="C26947" s="28" t="n"/>
      <s:c r="D26947" s="28" t="n"/>
      <s:c r="E26947" s="28" t="n"/>
    </s:row>
    <s:row r="26948" ht="28" customHeight="1">
      <s:c r="A26948" s="115" t="inlineStr">
        <s:is>
          <s:t>Trường hợp</s:t>
        </s:is>
      </s:c>
      <s:c r="B26948" s="115" t="inlineStr">
        <s:is>
          <s:t>Dữ liệu / thao tác riêng</s:t>
        </s:is>
      </s:c>
      <s:c r="C26948" s="115" t="inlineStr">
        <s:is>
          <s:t>Kết quả mong đợi</s:t>
        </s:is>
      </s:c>
      <s:c r="D26948" s="115" t="inlineStr">
        <s:is>
          <s:t>Kết quả thực tế</s:t>
        </s:is>
      </s:c>
      <s:c r="E26948" s="115" t="inlineStr">
        <s:is>
          <s:t>Đánh giá</s:t>
        </s:is>
      </s:c>
    </s:row>
    <s:row r="26949" ht="3" customHeight="1">
      <s:c r="A26949" s="102" t="inlineStr"/>
      <s:c r="B26949" s="99" t="n"/>
      <s:c r="C26949" s="99" t="n"/>
      <s:c r="D26949" s="116" t="n"/>
      <s:c r="E26949" s="116" t="n"/>
    </s:row>
    <s:row r="26950" ht="188" customHeight="1">
      <s:c r="A26950" s="83" t="inlineStr">
        <s:is>
          <s:t>Trường hợp cơ bản (Base)</s:t>
        </s:is>
      </s:c>
      <s:c r="B26950" s="83" t="inlineStr">
        <s:is>
          <s:t>Toàn bộ tình huống: Thực hiện đủ các bước chung theo thứ tự; kiểm cả đối tượng đích và đối chứng cùng fixture, không bỏ bước.</s:t>
        </s:is>
      </s:c>
      <s:c r="C26950" s="83" t="inlineStr">
        <s:is>
          <s:r>
            <s:t xml:space="preserve">1–3. Mỗi ô (trường, năm, mục trên khung đánh giá — gồm kỳ/thời điểm, lớp, học sinh, đơn vị) có đúng một dòng hiện hành; U1/U2 của S06 là hai dòng; ô điểm thường có [tangen_id=0]. Chạy lại không tạo dòng thứ hai.
4. Ô kỳ 1 </s:t>
          </s:r>
          <s:r>
            <s:rPr>
              <s:b val="1"/>
            </s:rPr>
            <s:t>Đỏ</s:t>
          </s:r>
          <s:r>
            <s:t xml:space="preserve">; ô kỳ 2 không có dấu đỏ (không mượn quy tắc hay kết quả của mục cùng tên); hai kết quả gắn đúng [evaluate_frame_item_id] của từng mục.
5. Kết quả </s:t>
          </s:r>
          <s:r>
            <s:rPr>
              <s:b val="1"/>
            </s:rPr>
            <s:t>Đỏ</s:t>
          </s:r>
          <s:r>
            <s:t xml:space="preserve"> vẫn gắn với đúng mục kỳ 1 (không theo số thứ tự cột hay tên mục).</s:t>
          </s:r>
        </s:is>
      </s:c>
      <s:c r="D26950" s="117" t="inlineStr"/>
      <s:c r="E26950" s="118" t="inlineStr">
        <s:is>
          <s:t>Chưa thực hiện</s:t>
        </s:is>
      </s:c>
    </s:row>
    <s:row r="26951" ht="20" customHeight="1">
      <s:c r="A26951" s="119" t="inlineStr">
        <s:is>
          <s:t>Ảnh minh chứng — Chưa có ảnh</s:t>
        </s:is>
      </s:c>
      <s:c r="B26951" s="19" t="n"/>
      <s:c r="C26951" s="19" t="n"/>
      <s:c r="D26951" s="19" t="n"/>
      <s:c r="E26951" s="19" t="n"/>
    </s:row>
    <s:row r="26952" hidden="1" ht="1" customHeight="1">
      <s:c r="A26952" s="120" t="inlineStr"/>
      <s:c r="B26952" s="121" t="n"/>
      <s:c r="C26952" s="121" t="n"/>
      <s:c r="D26952" s="121" t="n"/>
      <s:c r="E26952" s="122" t="n"/>
    </s:row>
    <s:row r="26953" hidden="1" ht="1" customHeight="1">
      <s:c r="A26953" s="120" t="inlineStr"/>
      <s:c r="B26953" s="121" t="n"/>
      <s:c r="C26953" s="121" t="n"/>
      <s:c r="D26953" s="121" t="n"/>
      <s:c r="E26953" s="122" t="n"/>
    </s:row>
    <s:row r="26954" hidden="1" ht="1" customHeight="1">
      <s:c r="A26954" s="120" t="inlineStr"/>
      <s:c r="B26954" s="121" t="n"/>
      <s:c r="C26954" s="121" t="n"/>
      <s:c r="D26954" s="121" t="n"/>
      <s:c r="E26954" s="122" t="n"/>
    </s:row>
    <s:row r="26955" hidden="1" ht="1" customHeight="1">
      <s:c r="A26955" s="120" t="inlineStr"/>
      <s:c r="B26955" s="121" t="n"/>
      <s:c r="C26955" s="121" t="n"/>
      <s:c r="D26955" s="121" t="n"/>
      <s:c r="E26955" s="122" t="n"/>
    </s:row>
    <s:row r="26956" hidden="1" ht="1" customHeight="1">
      <s:c r="A26956" s="120" t="inlineStr"/>
      <s:c r="B26956" s="121" t="n"/>
      <s:c r="C26956" s="121" t="n"/>
      <s:c r="D26956" s="121" t="n"/>
      <s:c r="E26956" s="122" t="n"/>
    </s:row>
    <s:row r="26957" hidden="1" ht="1" customHeight="1">
      <s:c r="A26957" s="120" t="inlineStr"/>
      <s:c r="B26957" s="121" t="n"/>
      <s:c r="C26957" s="121" t="n"/>
      <s:c r="D26957" s="121" t="n"/>
      <s:c r="E26957" s="122" t="n"/>
    </s:row>
    <s:row r="26958" hidden="1" ht="1" customHeight="1">
      <s:c r="A26958" s="120" t="inlineStr"/>
      <s:c r="B26958" s="121" t="n"/>
      <s:c r="C26958" s="121" t="n"/>
      <s:c r="D26958" s="121" t="n"/>
      <s:c r="E26958" s="122" t="n"/>
    </s:row>
    <s:row r="26959" hidden="1" ht="1" customHeight="1">
      <s:c r="A26959" s="120" t="inlineStr"/>
      <s:c r="B26959" s="121" t="n"/>
      <s:c r="C26959" s="121" t="n"/>
      <s:c r="D26959" s="121" t="n"/>
      <s:c r="E26959" s="122" t="n"/>
    </s:row>
    <s:row r="26960" hidden="1" ht="1" customHeight="1">
      <s:c r="A26960" s="120" t="inlineStr"/>
      <s:c r="B26960" s="121" t="n"/>
      <s:c r="C26960" s="121" t="n"/>
      <s:c r="D26960" s="121" t="n"/>
      <s:c r="E26960" s="122" t="n"/>
    </s:row>
    <s:row r="26961" hidden="1" ht="1" customHeight="1">
      <s:c r="A26961" s="120" t="inlineStr"/>
      <s:c r="B26961" s="121" t="n"/>
      <s:c r="C26961" s="121" t="n"/>
      <s:c r="D26961" s="121" t="n"/>
      <s:c r="E26961" s="122" t="n"/>
    </s:row>
    <s:row r="26962" hidden="1" ht="1" customHeight="1">
      <s:c r="A26962" s="120" t="inlineStr"/>
      <s:c r="B26962" s="121" t="n"/>
      <s:c r="C26962" s="121" t="n"/>
      <s:c r="D26962" s="121" t="n"/>
      <s:c r="E26962" s="122" t="n"/>
    </s:row>
    <s:row r="26963" hidden="1" ht="1" customHeight="1">
      <s:c r="A26963" s="120" t="inlineStr"/>
      <s:c r="B26963" s="121" t="n"/>
      <s:c r="C26963" s="121" t="n"/>
      <s:c r="D26963" s="121" t="n"/>
      <s:c r="E26963" s="122" t="n"/>
    </s:row>
    <s:row r="26964" hidden="1" ht="1" customHeight="1">
      <s:c r="A26964" s="120" t="inlineStr"/>
      <s:c r="B26964" s="121" t="n"/>
      <s:c r="C26964" s="121" t="n"/>
      <s:c r="D26964" s="121" t="n"/>
      <s:c r="E26964" s="122" t="n"/>
    </s:row>
    <s:row r="26965" hidden="1" ht="1" customHeight="1">
      <s:c r="A26965" s="120" t="inlineStr"/>
      <s:c r="B26965" s="121" t="n"/>
      <s:c r="C26965" s="121" t="n"/>
      <s:c r="D26965" s="121" t="n"/>
      <s:c r="E26965" s="122" t="n"/>
    </s:row>
    <s:row r="26966" hidden="1" ht="1" customHeight="1">
      <s:c r="A26966" s="120" t="inlineStr"/>
      <s:c r="B26966" s="121" t="n"/>
      <s:c r="C26966" s="121" t="n"/>
      <s:c r="D26966" s="121" t="n"/>
      <s:c r="E26966" s="122" t="n"/>
    </s:row>
    <s:row r="26967" hidden="1" ht="1" customHeight="1">
      <s:c r="A26967" s="120" t="inlineStr"/>
      <s:c r="B26967" s="121" t="n"/>
      <s:c r="C26967" s="121" t="n"/>
      <s:c r="D26967" s="121" t="n"/>
      <s:c r="E26967" s="122" t="n"/>
    </s:row>
    <s:row r="26968" hidden="1" ht="1" customHeight="1">
      <s:c r="A26968" s="120" t="inlineStr"/>
      <s:c r="B26968" s="121" t="n"/>
      <s:c r="C26968" s="121" t="n"/>
      <s:c r="D26968" s="121" t="n"/>
      <s:c r="E26968" s="122" t="n"/>
    </s:row>
    <s:row r="26969" hidden="1" ht="1" customHeight="1">
      <s:c r="A26969" s="120" t="inlineStr"/>
      <s:c r="B26969" s="121" t="n"/>
      <s:c r="C26969" s="121" t="n"/>
      <s:c r="D26969" s="121" t="n"/>
      <s:c r="E26969" s="122" t="n"/>
    </s:row>
    <s:row r="26970" hidden="1" ht="1" customHeight="1">
      <s:c r="A26970" s="120" t="inlineStr"/>
      <s:c r="B26970" s="121" t="n"/>
      <s:c r="C26970" s="121" t="n"/>
      <s:c r="D26970" s="121" t="n"/>
      <s:c r="E26970" s="122" t="n"/>
    </s:row>
    <s:row r="26971" hidden="1" ht="1" customHeight="1">
      <s:c r="A26971" s="120" t="inlineStr"/>
      <s:c r="B26971" s="121" t="n"/>
      <s:c r="C26971" s="121" t="n"/>
      <s:c r="D26971" s="121" t="n"/>
      <s:c r="E26971" s="122" t="n"/>
    </s:row>
    <s:row r="26972" hidden="1" ht="1" customHeight="1">
      <s:c r="A26972" s="120" t="inlineStr"/>
      <s:c r="B26972" s="121" t="n"/>
      <s:c r="C26972" s="121" t="n"/>
      <s:c r="D26972" s="121" t="n"/>
      <s:c r="E26972" s="122" t="n"/>
    </s:row>
    <s:row r="26973" hidden="1" ht="1" customHeight="1">
      <s:c r="A26973" s="120" t="inlineStr"/>
      <s:c r="B26973" s="121" t="n"/>
      <s:c r="C26973" s="121" t="n"/>
      <s:c r="D26973" s="121" t="n"/>
      <s:c r="E26973" s="122" t="n"/>
    </s:row>
    <s:row r="26974" hidden="1" ht="1" customHeight="1">
      <s:c r="A26974" s="120" t="inlineStr"/>
      <s:c r="B26974" s="121" t="n"/>
      <s:c r="C26974" s="121" t="n"/>
      <s:c r="D26974" s="121" t="n"/>
      <s:c r="E26974" s="122" t="n"/>
    </s:row>
    <s:row r="26975" hidden="1" ht="1" customHeight="1">
      <s:c r="A26975" s="120" t="inlineStr"/>
      <s:c r="B26975" s="121" t="n"/>
      <s:c r="C26975" s="121" t="n"/>
      <s:c r="D26975" s="121" t="n"/>
      <s:c r="E26975" s="122" t="n"/>
    </s:row>
    <s:row r="26976" hidden="1" ht="1" customHeight="1">
      <s:c r="A26976" s="120" t="inlineStr"/>
      <s:c r="B26976" s="121" t="n"/>
      <s:c r="C26976" s="121" t="n"/>
      <s:c r="D26976" s="121" t="n"/>
      <s:c r="E26976" s="122" t="n"/>
    </s:row>
    <s:row r="26977" hidden="1" ht="1" customHeight="1">
      <s:c r="A26977" s="120" t="inlineStr"/>
      <s:c r="B26977" s="121" t="n"/>
      <s:c r="C26977" s="121" t="n"/>
      <s:c r="D26977" s="121" t="n"/>
      <s:c r="E26977" s="122" t="n"/>
    </s:row>
    <s:row r="26978" hidden="1" ht="1" customHeight="1">
      <s:c r="A26978" s="120" t="inlineStr"/>
      <s:c r="B26978" s="121" t="n"/>
      <s:c r="C26978" s="121" t="n"/>
      <s:c r="D26978" s="121" t="n"/>
      <s:c r="E26978" s="122" t="n"/>
    </s:row>
    <s:row r="26979" hidden="1" ht="1" customHeight="1">
      <s:c r="A26979" s="120" t="inlineStr"/>
      <s:c r="B26979" s="121" t="n"/>
      <s:c r="C26979" s="121" t="n"/>
      <s:c r="D26979" s="121" t="n"/>
      <s:c r="E26979" s="122" t="n"/>
    </s:row>
    <s:row r="26980" hidden="1" ht="1" customHeight="1">
      <s:c r="A26980" s="120" t="inlineStr"/>
      <s:c r="B26980" s="121" t="n"/>
      <s:c r="C26980" s="121" t="n"/>
      <s:c r="D26980" s="121" t="n"/>
      <s:c r="E26980" s="122" t="n"/>
    </s:row>
    <s:row r="26981" hidden="1" ht="1" customHeight="1">
      <s:c r="A26981" s="120" t="inlineStr"/>
      <s:c r="B26981" s="121" t="n"/>
      <s:c r="C26981" s="121" t="n"/>
      <s:c r="D26981" s="121" t="n"/>
      <s:c r="E26981" s="122" t="n"/>
    </s:row>
    <s:row r="26982" hidden="1" ht="1" customHeight="1">
      <s:c r="A26982" s="120" t="inlineStr"/>
      <s:c r="B26982" s="121" t="n"/>
      <s:c r="C26982" s="121" t="n"/>
      <s:c r="D26982" s="121" t="n"/>
      <s:c r="E26982" s="122" t="n"/>
    </s:row>
    <s:row r="26983" hidden="1" ht="1" customHeight="1">
      <s:c r="A26983" s="120" t="inlineStr"/>
      <s:c r="B26983" s="121" t="n"/>
      <s:c r="C26983" s="121" t="n"/>
      <s:c r="D26983" s="121" t="n"/>
      <s:c r="E26983" s="122" t="n"/>
    </s:row>
    <s:row r="26984" hidden="1" ht="1" customHeight="1">
      <s:c r="A26984" s="120" t="inlineStr"/>
      <s:c r="B26984" s="121" t="n"/>
      <s:c r="C26984" s="121" t="n"/>
      <s:c r="D26984" s="121" t="n"/>
      <s:c r="E26984" s="122" t="n"/>
    </s:row>
    <s:row r="26985" hidden="1" ht="1" customHeight="1">
      <s:c r="A26985" s="120" t="inlineStr"/>
      <s:c r="B26985" s="121" t="n"/>
      <s:c r="C26985" s="121" t="n"/>
      <s:c r="D26985" s="121" t="n"/>
      <s:c r="E26985" s="122" t="n"/>
    </s:row>
    <s:row r="26986" hidden="1" ht="1" customHeight="1">
      <s:c r="A26986" s="120" t="inlineStr"/>
      <s:c r="B26986" s="121" t="n"/>
      <s:c r="C26986" s="121" t="n"/>
      <s:c r="D26986" s="121" t="n"/>
      <s:c r="E26986" s="122" t="n"/>
    </s:row>
    <s:row r="26987" hidden="1" ht="1" customHeight="1">
      <s:c r="A26987" s="120" t="inlineStr"/>
      <s:c r="B26987" s="121" t="n"/>
      <s:c r="C26987" s="121" t="n"/>
      <s:c r="D26987" s="121" t="n"/>
      <s:c r="E26987" s="122" t="n"/>
    </s:row>
    <s:row r="26988" hidden="1" ht="1" customHeight="1">
      <s:c r="A26988" s="120" t="inlineStr"/>
      <s:c r="B26988" s="121" t="n"/>
      <s:c r="C26988" s="121" t="n"/>
      <s:c r="D26988" s="121" t="n"/>
      <s:c r="E26988" s="122" t="n"/>
    </s:row>
    <s:row r="26989" hidden="1" ht="1" customHeight="1">
      <s:c r="A26989" s="120" t="inlineStr"/>
      <s:c r="B26989" s="121" t="n"/>
      <s:c r="C26989" s="121" t="n"/>
      <s:c r="D26989" s="121" t="n"/>
      <s:c r="E26989" s="122" t="n"/>
    </s:row>
    <s:row r="26990" hidden="1" ht="1" customHeight="1">
      <s:c r="A26990" s="120" t="inlineStr"/>
      <s:c r="B26990" s="121" t="n"/>
      <s:c r="C26990" s="121" t="n"/>
      <s:c r="D26990" s="121" t="n"/>
      <s:c r="E26990" s="122" t="n"/>
    </s:row>
    <s:row r="26991" hidden="1" ht="1" customHeight="1">
      <s:c r="A26991" s="120" t="inlineStr"/>
      <s:c r="B26991" s="121" t="n"/>
      <s:c r="C26991" s="121" t="n"/>
      <s:c r="D26991" s="121" t="n"/>
      <s:c r="E26991" s="122" t="n"/>
    </s:row>
    <s:row r="26992" hidden="1" ht="1" customHeight="1">
      <s:c r="A26992" s="120" t="inlineStr"/>
      <s:c r="B26992" s="121" t="n"/>
      <s:c r="C26992" s="121" t="n"/>
      <s:c r="D26992" s="121" t="n"/>
      <s:c r="E26992" s="122" t="n"/>
    </s:row>
    <s:row r="26993" hidden="1" ht="1" customHeight="1">
      <s:c r="A26993" s="120" t="inlineStr"/>
      <s:c r="B26993" s="121" t="n"/>
      <s:c r="C26993" s="121" t="n"/>
      <s:c r="D26993" s="121" t="n"/>
      <s:c r="E26993" s="122" t="n"/>
    </s:row>
    <s:row r="26994" hidden="1" ht="1" customHeight="1">
      <s:c r="A26994" s="120" t="inlineStr"/>
      <s:c r="B26994" s="121" t="n"/>
      <s:c r="C26994" s="121" t="n"/>
      <s:c r="D26994" s="121" t="n"/>
      <s:c r="E26994" s="122" t="n"/>
    </s:row>
    <s:row r="26995" hidden="1" ht="1" customHeight="1">
      <s:c r="A26995" s="120" t="inlineStr"/>
      <s:c r="B26995" s="121" t="n"/>
      <s:c r="C26995" s="121" t="n"/>
      <s:c r="D26995" s="121" t="n"/>
      <s:c r="E26995" s="122" t="n"/>
    </s:row>
    <s:row r="26996" hidden="1" ht="1" customHeight="1">
      <s:c r="A26996" s="120" t="inlineStr"/>
      <s:c r="B26996" s="121" t="n"/>
      <s:c r="C26996" s="121" t="n"/>
      <s:c r="D26996" s="121" t="n"/>
      <s:c r="E26996" s="122" t="n"/>
    </s:row>
    <s:row r="26997" hidden="1" ht="1" customHeight="1">
      <s:c r="A26997" s="120" t="inlineStr"/>
      <s:c r="B26997" s="121" t="n"/>
      <s:c r="C26997" s="121" t="n"/>
      <s:c r="D26997" s="121" t="n"/>
      <s:c r="E26997" s="122" t="n"/>
    </s:row>
    <s:row r="26998" hidden="1" ht="1" customHeight="1">
      <s:c r="A26998" s="120" t="inlineStr"/>
      <s:c r="B26998" s="121" t="n"/>
      <s:c r="C26998" s="121" t="n"/>
      <s:c r="D26998" s="121" t="n"/>
      <s:c r="E26998" s="122" t="n"/>
    </s:row>
    <s:row r="26999" hidden="1" ht="1" customHeight="1">
      <s:c r="A26999" s="120" t="inlineStr"/>
      <s:c r="B26999" s="121" t="n"/>
      <s:c r="C26999" s="121" t="n"/>
      <s:c r="D26999" s="121" t="n"/>
      <s:c r="E26999" s="122" t="n"/>
    </s:row>
    <s:row r="27000" hidden="1" ht="1" customHeight="1">
      <s:c r="A27000" s="83" t="inlineStr">
        <s:is>
          <s:t>PASS</s:t>
        </s:is>
      </s:c>
      <s:c r="B27000" s="83">
        <s:f>SUM(IF(EXACT('Kiểm thử'!E26950,"Đạt"),1,0))</s:f>
        <s:v/>
      </s:c>
      <s:c r="C27000" s="19" t="n"/>
      <s:c r="D27000" s="19" t="n"/>
      <s:c r="E27000" s="19" t="n"/>
    </s:row>
    <s:row r="27001" hidden="1" ht="1" customHeight="1">
      <s:c r="A27001" s="83" t="inlineStr">
        <s:is>
          <s:t>FAIL</s:t>
        </s:is>
      </s:c>
      <s:c r="B27001" s="83">
        <s:f>SUM(IF(EXACT('Kiểm thử'!E26950,"Không đạt"),1,0))</s:f>
        <s:v/>
      </s:c>
      <s:c r="C27001" s="19" t="n"/>
      <s:c r="D27001" s="19" t="n"/>
      <s:c r="E27001" s="19" t="n"/>
    </s:row>
    <s:row r="27002" hidden="1" ht="1" customHeight="1">
      <s:c r="A27002" s="83" t="inlineStr">
        <s:is>
          <s:t>BLOCKED</s:t>
        </s:is>
      </s:c>
      <s:c r="B27002" s="83">
        <s:f>SUM(IF(EXACT('Kiểm thử'!E26950,"Bị chặn"),1,0))</s:f>
        <s:v/>
      </s:c>
      <s:c r="C27002" s="19" t="n"/>
      <s:c r="D27002" s="19" t="n"/>
      <s:c r="E27002" s="19" t="n"/>
    </s:row>
    <s:row r="27003" hidden="1" ht="1" customHeight="1">
      <s:c r="A27003" s="83" t="inlineStr">
        <s:is>
          <s:t>SKIPPED</s:t>
        </s:is>
      </s:c>
      <s:c r="B27003" s="83">
        <s:f>SUM(IF(EXACT('Kiểm thử'!E26950,"Không thực hiện"),1,0))</s:f>
        <s:v/>
      </s:c>
      <s:c r="C27003" s="19" t="n"/>
      <s:c r="D27003" s="19" t="n"/>
      <s:c r="E27003" s="19" t="n"/>
    </s:row>
    <s:row r="27004" hidden="1" ht="1" customHeight="1">
      <s:c r="A27004" s="83" t="inlineStr">
        <s:is>
          <s:t>NOT RUN</s:t>
        </s:is>
      </s:c>
      <s:c r="B27004" s="83">
        <s:f>SUM(IF(EXACT('Kiểm thử'!E26950,"Chưa thực hiện"),1,0))</s:f>
        <s:v/>
      </s:c>
      <s:c r="C27004" s="19" t="n"/>
      <s:c r="D27004" s="19" t="n"/>
      <s:c r="E27004" s="19" t="n"/>
    </s:row>
    <s:row r="27005" hidden="1" ht="6" customHeight="1">
      <s:c r="A27005" s="83" t="inlineStr"/>
      <s:c r="B27005" s="19" t="n"/>
      <s:c r="C27005" s="19" t="n"/>
      <s:c r="D27005" s="19" t="n"/>
      <s:c r="E27005" s="19" t="n"/>
    </s:row>
    <s:row r="27006" ht="28" customHeight="1">
      <s:c r="A27006" s="108" t="inlineStr">
        <s:is>
          <s:t>TC-RS-DATA-003 — Sáu trạng thái phân biệt được khi lưu</s:t>
        </s:is>
      </s:c>
      <s:c r="B27006" s="111" t="n"/>
      <s:c r="C27006" s="111" t="n"/>
      <s:c r="D27006" s="111" t="n"/>
      <s:c r="E27006" s="111" t="n"/>
    </s:row>
    <s:row r="27007" ht="20" customHeight="1">
      <s:c r="A27007" s="112" t="inlineStr">
        <s:is>
          <s:t>Kết quả tình huống</s:t>
        </s:is>
      </s:c>
      <s:c r="B27007" s="113">
        <s:f>IF(SUM(IF(EXACT('Kiểm thử'!E27015,"Không đạt"),1,0))&gt;0,"Không đạt",IF(SUM(IF(EXACT('Kiểm thử'!E27015,"Đạt"),1,0))=1,"Đạt",IF(SUM(IF(EXACT('Kiểm thử'!E27015,"Không thực hiện"),1,0))=1,"Không thực hiện",IF(SUM(IF(EXACT('Kiểm thử'!E27015,"Bị chặn"),1,0))&gt;0,"Bị chặn",IF(SUM(IF(EXACT('Kiểm thử'!E27015,"Chưa thực hiện"),1,0))=1,"Chưa thực hiện","Đang thực hiện")))))</s:f>
        <s:v/>
      </s:c>
      <s:c r="C27007" s="114" t="n"/>
      <s:c r="D27007" s="114" t="n"/>
      <s:c r="E27007" s="114" t="n"/>
    </s:row>
    <s:row r="27008" ht="20" customHeight="1">
      <s:c r="A27008" s="112" t="inlineStr">
        <s:is>
          <s:t>Màn hình / chức năng</s:t>
        </s:is>
      </s:c>
      <s:c r="B27008" s="113" t="inlineStr">
        <s:is>
          <s:t>Bảo toàn dữ liệu và cấu hình</s:t>
        </s:is>
      </s:c>
      <s:c r="C27008" s="28" t="n"/>
      <s:c r="D27008" s="28" t="n"/>
      <s:c r="E27008" s="28" t="n"/>
    </s:row>
    <s:row r="27009" ht="48" customHeight="1">
      <s:c r="A27009" s="112" t="inlineStr">
        <s:is>
          <s:t>Cấu hình</s:t>
        </s:is>
      </s:c>
      <s:c r="B27009" s="113" t="inlineStr">
        <s:is>
          <s:t>•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s:t>
        </s:is>
      </s:c>
      <s:c r="C27009" s="28" t="n"/>
      <s:c r="D27009" s="28" t="n"/>
      <s:c r="E27009" s="28" t="n"/>
    </s:row>
    <s:row r="27010" ht="34" customHeight="1">
      <s:c r="A27010" s="112" t="inlineStr">
        <s:is>
          <s:t>Dữ liệu test</s:t>
        </s:is>
      </s:c>
      <s:c r="B27010" s="113" t="inlineStr">
        <s:is>
          <s:t>• Quy tắc “Cố định 30” (dưới 30);
• Học sinh S01 (điểm 29), học sinh S03 (điểm 31), học sinh S05 (ô trống)</s:t>
        </s:is>
      </s:c>
      <s:c r="C27010" s="28" t="n"/>
      <s:c r="D27010" s="28" t="n"/>
      <s:c r="E27010" s="28" t="n"/>
    </s:row>
    <s:row r="27011" ht="20" customHeight="1">
      <s:c r="A27011" s="112" t="inlineStr">
        <s:is>
          <s:t>Bước 1</s:t>
        </s:is>
      </s:c>
      <s:c r="B27011" s="113" t="inlineStr">
        <s:is>
          <s:t>SELECT [judgment_status], [is_red], [red_score_setting_id], [reason_code] của các ô.</s:t>
        </s:is>
      </s:c>
      <s:c r="C27011" s="28" t="n"/>
      <s:c r="D27011" s="28" t="n"/>
      <s:c r="E27011" s="28" t="n"/>
    </s:row>
    <s:row r="27012" ht="20" customHeight="1">
      <s:c r="A27012" s="112" t="inlineStr">
        <s:is>
          <s:t>Bước 2</s:t>
        </s:is>
      </s:c>
      <s:c r="B27012" s="113" t="inlineStr">
        <s:is>
          <s:t>Đổi ngưỡng quy tắc “Cố định 30” (dưới 30) thành 35 (chỉ lưu), SELECT lại ô S03.</s:t>
        </s:is>
      </s:c>
      <s:c r="C27012" s="28" t="n"/>
      <s:c r="D27012" s="28" t="n"/>
      <s:c r="E27012" s="28" t="n"/>
    </s:row>
    <s:row r="27013" ht="28" customHeight="1">
      <s:c r="A27013" s="115" t="inlineStr">
        <s:is>
          <s:t>Trường hợp</s:t>
        </s:is>
      </s:c>
      <s:c r="B27013" s="115" t="inlineStr">
        <s:is>
          <s:t>Dữ liệu / thao tác riêng</s:t>
        </s:is>
      </s:c>
      <s:c r="C27013" s="115" t="inlineStr">
        <s:is>
          <s:t>Kết quả mong đợi</s:t>
        </s:is>
      </s:c>
      <s:c r="D27013" s="115" t="inlineStr">
        <s:is>
          <s:t>Kết quả thực tế</s:t>
        </s:is>
      </s:c>
      <s:c r="E27013" s="115" t="inlineStr">
        <s:is>
          <s:t>Đánh giá</s:t>
        </s:is>
      </s:c>
    </s:row>
    <s:row r="27014" ht="3" customHeight="1">
      <s:c r="A27014" s="102" t="inlineStr"/>
      <s:c r="B27014" s="99" t="n"/>
      <s:c r="C27014" s="99" t="n"/>
      <s:c r="D27014" s="116" t="n"/>
      <s:c r="E27014" s="116" t="n"/>
    </s:row>
    <s:row r="27015" ht="160" customHeight="1">
      <s:c r="A27015" s="83" t="inlineStr">
        <s:is>
          <s:t>Trường hợp cơ bản (Base)</s:t>
        </s:is>
      </s:c>
      <s:c r="B27015" s="83" t="inlineStr">
        <s:is>
          <s:t>Toàn bộ tình huống: Thực hiện đủ các bước chung theo thứ tự; kiểm cả đối tượng đích và đối chứng cùng fixture, không bỏ bước.</s:t>
        </s:is>
      </s:c>
      <s:c r="C27015" s="83" t="inlineStr">
        <s:is>
          <s:r>
            <s:t xml:space="preserve">1. Sáu trạng thái phân biệt được, không gộp Chưa xét được với </s:t>
          </s:r>
          <s:r>
            <s:rPr>
              <s:b val="1"/>
            </s:rPr>
            <s:t>Không áp dụng</s:t>
          </s:r>
          <s:r>
            <s:t xml:space="preserve"> hay </s:t>
          </s:r>
          <s:r>
            <s:rPr>
              <s:b val="1"/>
            </s:rPr>
            <s:t>Không đỏ</s:t>
          </s:r>
          <s:r>
            <s:t>.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s:t>
          </s:r>
        </s:is>
      </s:c>
      <s:c r="D27015" s="117" t="inlineStr"/>
      <s:c r="E27015" s="118" t="inlineStr">
        <s:is>
          <s:t>Chưa thực hiện</s:t>
        </s:is>
      </s:c>
    </s:row>
    <s:row r="27016" ht="20" customHeight="1">
      <s:c r="A27016" s="119" t="inlineStr">
        <s:is>
          <s:t>Ảnh minh chứng — Chưa có ảnh</s:t>
        </s:is>
      </s:c>
      <s:c r="B27016" s="19" t="n"/>
      <s:c r="C27016" s="19" t="n"/>
      <s:c r="D27016" s="19" t="n"/>
      <s:c r="E27016" s="19" t="n"/>
    </s:row>
    <s:row r="27017" hidden="1" ht="1" customHeight="1">
      <s:c r="A27017" s="120" t="inlineStr"/>
      <s:c r="B27017" s="121" t="n"/>
      <s:c r="C27017" s="121" t="n"/>
      <s:c r="D27017" s="121" t="n"/>
      <s:c r="E27017" s="122" t="n"/>
    </s:row>
    <s:row r="27018" hidden="1" ht="1" customHeight="1">
      <s:c r="A27018" s="120" t="inlineStr"/>
      <s:c r="B27018" s="121" t="n"/>
      <s:c r="C27018" s="121" t="n"/>
      <s:c r="D27018" s="121" t="n"/>
      <s:c r="E27018" s="122" t="n"/>
    </s:row>
    <s:row r="27019" hidden="1" ht="1" customHeight="1">
      <s:c r="A27019" s="120" t="inlineStr"/>
      <s:c r="B27019" s="121" t="n"/>
      <s:c r="C27019" s="121" t="n"/>
      <s:c r="D27019" s="121" t="n"/>
      <s:c r="E27019" s="122" t="n"/>
    </s:row>
    <s:row r="27020" hidden="1" ht="1" customHeight="1">
      <s:c r="A27020" s="120" t="inlineStr"/>
      <s:c r="B27020" s="121" t="n"/>
      <s:c r="C27020" s="121" t="n"/>
      <s:c r="D27020" s="121" t="n"/>
      <s:c r="E27020" s="122" t="n"/>
    </s:row>
    <s:row r="27021" hidden="1" ht="1" customHeight="1">
      <s:c r="A27021" s="120" t="inlineStr"/>
      <s:c r="B27021" s="121" t="n"/>
      <s:c r="C27021" s="121" t="n"/>
      <s:c r="D27021" s="121" t="n"/>
      <s:c r="E27021" s="122" t="n"/>
    </s:row>
    <s:row r="27022" hidden="1" ht="1" customHeight="1">
      <s:c r="A27022" s="120" t="inlineStr"/>
      <s:c r="B27022" s="121" t="n"/>
      <s:c r="C27022" s="121" t="n"/>
      <s:c r="D27022" s="121" t="n"/>
      <s:c r="E27022" s="122" t="n"/>
    </s:row>
    <s:row r="27023" hidden="1" ht="1" customHeight="1">
      <s:c r="A27023" s="120" t="inlineStr"/>
      <s:c r="B27023" s="121" t="n"/>
      <s:c r="C27023" s="121" t="n"/>
      <s:c r="D27023" s="121" t="n"/>
      <s:c r="E27023" s="122" t="n"/>
    </s:row>
    <s:row r="27024" hidden="1" ht="1" customHeight="1">
      <s:c r="A27024" s="120" t="inlineStr"/>
      <s:c r="B27024" s="121" t="n"/>
      <s:c r="C27024" s="121" t="n"/>
      <s:c r="D27024" s="121" t="n"/>
      <s:c r="E27024" s="122" t="n"/>
    </s:row>
    <s:row r="27025" hidden="1" ht="1" customHeight="1">
      <s:c r="A27025" s="120" t="inlineStr"/>
      <s:c r="B27025" s="121" t="n"/>
      <s:c r="C27025" s="121" t="n"/>
      <s:c r="D27025" s="121" t="n"/>
      <s:c r="E27025" s="122" t="n"/>
    </s:row>
    <s:row r="27026" hidden="1" ht="1" customHeight="1">
      <s:c r="A27026" s="120" t="inlineStr"/>
      <s:c r="B27026" s="121" t="n"/>
      <s:c r="C27026" s="121" t="n"/>
      <s:c r="D27026" s="121" t="n"/>
      <s:c r="E27026" s="122" t="n"/>
    </s:row>
    <s:row r="27027" hidden="1" ht="1" customHeight="1">
      <s:c r="A27027" s="120" t="inlineStr"/>
      <s:c r="B27027" s="121" t="n"/>
      <s:c r="C27027" s="121" t="n"/>
      <s:c r="D27027" s="121" t="n"/>
      <s:c r="E27027" s="122" t="n"/>
    </s:row>
    <s:row r="27028" hidden="1" ht="1" customHeight="1">
      <s:c r="A27028" s="120" t="inlineStr"/>
      <s:c r="B27028" s="121" t="n"/>
      <s:c r="C27028" s="121" t="n"/>
      <s:c r="D27028" s="121" t="n"/>
      <s:c r="E27028" s="122" t="n"/>
    </s:row>
    <s:row r="27029" hidden="1" ht="1" customHeight="1">
      <s:c r="A27029" s="120" t="inlineStr"/>
      <s:c r="B27029" s="121" t="n"/>
      <s:c r="C27029" s="121" t="n"/>
      <s:c r="D27029" s="121" t="n"/>
      <s:c r="E27029" s="122" t="n"/>
    </s:row>
    <s:row r="27030" hidden="1" ht="1" customHeight="1">
      <s:c r="A27030" s="120" t="inlineStr"/>
      <s:c r="B27030" s="121" t="n"/>
      <s:c r="C27030" s="121" t="n"/>
      <s:c r="D27030" s="121" t="n"/>
      <s:c r="E27030" s="122" t="n"/>
    </s:row>
    <s:row r="27031" hidden="1" ht="1" customHeight="1">
      <s:c r="A27031" s="120" t="inlineStr"/>
      <s:c r="B27031" s="121" t="n"/>
      <s:c r="C27031" s="121" t="n"/>
      <s:c r="D27031" s="121" t="n"/>
      <s:c r="E27031" s="122" t="n"/>
    </s:row>
    <s:row r="27032" hidden="1" ht="1" customHeight="1">
      <s:c r="A27032" s="120" t="inlineStr"/>
      <s:c r="B27032" s="121" t="n"/>
      <s:c r="C27032" s="121" t="n"/>
      <s:c r="D27032" s="121" t="n"/>
      <s:c r="E27032" s="122" t="n"/>
    </s:row>
    <s:row r="27033" hidden="1" ht="1" customHeight="1">
      <s:c r="A27033" s="120" t="inlineStr"/>
      <s:c r="B27033" s="121" t="n"/>
      <s:c r="C27033" s="121" t="n"/>
      <s:c r="D27033" s="121" t="n"/>
      <s:c r="E27033" s="122" t="n"/>
    </s:row>
    <s:row r="27034" hidden="1" ht="1" customHeight="1">
      <s:c r="A27034" s="120" t="inlineStr"/>
      <s:c r="B27034" s="121" t="n"/>
      <s:c r="C27034" s="121" t="n"/>
      <s:c r="D27034" s="121" t="n"/>
      <s:c r="E27034" s="122" t="n"/>
    </s:row>
    <s:row r="27035" hidden="1" ht="1" customHeight="1">
      <s:c r="A27035" s="120" t="inlineStr"/>
      <s:c r="B27035" s="121" t="n"/>
      <s:c r="C27035" s="121" t="n"/>
      <s:c r="D27035" s="121" t="n"/>
      <s:c r="E27035" s="122" t="n"/>
    </s:row>
    <s:row r="27036" hidden="1" ht="1" customHeight="1">
      <s:c r="A27036" s="120" t="inlineStr"/>
      <s:c r="B27036" s="121" t="n"/>
      <s:c r="C27036" s="121" t="n"/>
      <s:c r="D27036" s="121" t="n"/>
      <s:c r="E27036" s="122" t="n"/>
    </s:row>
    <s:row r="27037" hidden="1" ht="1" customHeight="1">
      <s:c r="A27037" s="120" t="inlineStr"/>
      <s:c r="B27037" s="121" t="n"/>
      <s:c r="C27037" s="121" t="n"/>
      <s:c r="D27037" s="121" t="n"/>
      <s:c r="E27037" s="122" t="n"/>
    </s:row>
    <s:row r="27038" hidden="1" ht="1" customHeight="1">
      <s:c r="A27038" s="120" t="inlineStr"/>
      <s:c r="B27038" s="121" t="n"/>
      <s:c r="C27038" s="121" t="n"/>
      <s:c r="D27038" s="121" t="n"/>
      <s:c r="E27038" s="122" t="n"/>
    </s:row>
    <s:row r="27039" hidden="1" ht="1" customHeight="1">
      <s:c r="A27039" s="120" t="inlineStr"/>
      <s:c r="B27039" s="121" t="n"/>
      <s:c r="C27039" s="121" t="n"/>
      <s:c r="D27039" s="121" t="n"/>
      <s:c r="E27039" s="122" t="n"/>
    </s:row>
    <s:row r="27040" hidden="1" ht="1" customHeight="1">
      <s:c r="A27040" s="120" t="inlineStr"/>
      <s:c r="B27040" s="121" t="n"/>
      <s:c r="C27040" s="121" t="n"/>
      <s:c r="D27040" s="121" t="n"/>
      <s:c r="E27040" s="122" t="n"/>
    </s:row>
    <s:row r="27041" hidden="1" ht="1" customHeight="1">
      <s:c r="A27041" s="120" t="inlineStr"/>
      <s:c r="B27041" s="121" t="n"/>
      <s:c r="C27041" s="121" t="n"/>
      <s:c r="D27041" s="121" t="n"/>
      <s:c r="E27041" s="122" t="n"/>
    </s:row>
    <s:row r="27042" hidden="1" ht="1" customHeight="1">
      <s:c r="A27042" s="120" t="inlineStr"/>
      <s:c r="B27042" s="121" t="n"/>
      <s:c r="C27042" s="121" t="n"/>
      <s:c r="D27042" s="121" t="n"/>
      <s:c r="E27042" s="122" t="n"/>
    </s:row>
    <s:row r="27043" hidden="1" ht="1" customHeight="1">
      <s:c r="A27043" s="120" t="inlineStr"/>
      <s:c r="B27043" s="121" t="n"/>
      <s:c r="C27043" s="121" t="n"/>
      <s:c r="D27043" s="121" t="n"/>
      <s:c r="E27043" s="122" t="n"/>
    </s:row>
    <s:row r="27044" hidden="1" ht="1" customHeight="1">
      <s:c r="A27044" s="120" t="inlineStr"/>
      <s:c r="B27044" s="121" t="n"/>
      <s:c r="C27044" s="121" t="n"/>
      <s:c r="D27044" s="121" t="n"/>
      <s:c r="E27044" s="122" t="n"/>
    </s:row>
    <s:row r="27045" hidden="1" ht="1" customHeight="1">
      <s:c r="A27045" s="120" t="inlineStr"/>
      <s:c r="B27045" s="121" t="n"/>
      <s:c r="C27045" s="121" t="n"/>
      <s:c r="D27045" s="121" t="n"/>
      <s:c r="E27045" s="122" t="n"/>
    </s:row>
    <s:row r="27046" hidden="1" ht="1" customHeight="1">
      <s:c r="A27046" s="120" t="inlineStr"/>
      <s:c r="B27046" s="121" t="n"/>
      <s:c r="C27046" s="121" t="n"/>
      <s:c r="D27046" s="121" t="n"/>
      <s:c r="E27046" s="122" t="n"/>
    </s:row>
    <s:row r="27047" hidden="1" ht="1" customHeight="1">
      <s:c r="A27047" s="120" t="inlineStr"/>
      <s:c r="B27047" s="121" t="n"/>
      <s:c r="C27047" s="121" t="n"/>
      <s:c r="D27047" s="121" t="n"/>
      <s:c r="E27047" s="122" t="n"/>
    </s:row>
    <s:row r="27048" hidden="1" ht="1" customHeight="1">
      <s:c r="A27048" s="120" t="inlineStr"/>
      <s:c r="B27048" s="121" t="n"/>
      <s:c r="C27048" s="121" t="n"/>
      <s:c r="D27048" s="121" t="n"/>
      <s:c r="E27048" s="122" t="n"/>
    </s:row>
    <s:row r="27049" hidden="1" ht="1" customHeight="1">
      <s:c r="A27049" s="120" t="inlineStr"/>
      <s:c r="B27049" s="121" t="n"/>
      <s:c r="C27049" s="121" t="n"/>
      <s:c r="D27049" s="121" t="n"/>
      <s:c r="E27049" s="122" t="n"/>
    </s:row>
    <s:row r="27050" hidden="1" ht="1" customHeight="1">
      <s:c r="A27050" s="120" t="inlineStr"/>
      <s:c r="B27050" s="121" t="n"/>
      <s:c r="C27050" s="121" t="n"/>
      <s:c r="D27050" s="121" t="n"/>
      <s:c r="E27050" s="122" t="n"/>
    </s:row>
    <s:row r="27051" hidden="1" ht="1" customHeight="1">
      <s:c r="A27051" s="120" t="inlineStr"/>
      <s:c r="B27051" s="121" t="n"/>
      <s:c r="C27051" s="121" t="n"/>
      <s:c r="D27051" s="121" t="n"/>
      <s:c r="E27051" s="122" t="n"/>
    </s:row>
    <s:row r="27052" hidden="1" ht="1" customHeight="1">
      <s:c r="A27052" s="120" t="inlineStr"/>
      <s:c r="B27052" s="121" t="n"/>
      <s:c r="C27052" s="121" t="n"/>
      <s:c r="D27052" s="121" t="n"/>
      <s:c r="E27052" s="122" t="n"/>
    </s:row>
    <s:row r="27053" hidden="1" ht="1" customHeight="1">
      <s:c r="A27053" s="120" t="inlineStr"/>
      <s:c r="B27053" s="121" t="n"/>
      <s:c r="C27053" s="121" t="n"/>
      <s:c r="D27053" s="121" t="n"/>
      <s:c r="E27053" s="122" t="n"/>
    </s:row>
    <s:row r="27054" hidden="1" ht="1" customHeight="1">
      <s:c r="A27054" s="120" t="inlineStr"/>
      <s:c r="B27054" s="121" t="n"/>
      <s:c r="C27054" s="121" t="n"/>
      <s:c r="D27054" s="121" t="n"/>
      <s:c r="E27054" s="122" t="n"/>
    </s:row>
    <s:row r="27055" hidden="1" ht="1" customHeight="1">
      <s:c r="A27055" s="120" t="inlineStr"/>
      <s:c r="B27055" s="121" t="n"/>
      <s:c r="C27055" s="121" t="n"/>
      <s:c r="D27055" s="121" t="n"/>
      <s:c r="E27055" s="122" t="n"/>
    </s:row>
    <s:row r="27056" hidden="1" ht="1" customHeight="1">
      <s:c r="A27056" s="120" t="inlineStr"/>
      <s:c r="B27056" s="121" t="n"/>
      <s:c r="C27056" s="121" t="n"/>
      <s:c r="D27056" s="121" t="n"/>
      <s:c r="E27056" s="122" t="n"/>
    </s:row>
    <s:row r="27057" hidden="1" ht="1" customHeight="1">
      <s:c r="A27057" s="120" t="inlineStr"/>
      <s:c r="B27057" s="121" t="n"/>
      <s:c r="C27057" s="121" t="n"/>
      <s:c r="D27057" s="121" t="n"/>
      <s:c r="E27057" s="122" t="n"/>
    </s:row>
    <s:row r="27058" hidden="1" ht="1" customHeight="1">
      <s:c r="A27058" s="120" t="inlineStr"/>
      <s:c r="B27058" s="121" t="n"/>
      <s:c r="C27058" s="121" t="n"/>
      <s:c r="D27058" s="121" t="n"/>
      <s:c r="E27058" s="122" t="n"/>
    </s:row>
    <s:row r="27059" hidden="1" ht="1" customHeight="1">
      <s:c r="A27059" s="120" t="inlineStr"/>
      <s:c r="B27059" s="121" t="n"/>
      <s:c r="C27059" s="121" t="n"/>
      <s:c r="D27059" s="121" t="n"/>
      <s:c r="E27059" s="122" t="n"/>
    </s:row>
    <s:row r="27060" hidden="1" ht="1" customHeight="1">
      <s:c r="A27060" s="120" t="inlineStr"/>
      <s:c r="B27060" s="121" t="n"/>
      <s:c r="C27060" s="121" t="n"/>
      <s:c r="D27060" s="121" t="n"/>
      <s:c r="E27060" s="122" t="n"/>
    </s:row>
    <s:row r="27061" hidden="1" ht="1" customHeight="1">
      <s:c r="A27061" s="120" t="inlineStr"/>
      <s:c r="B27061" s="121" t="n"/>
      <s:c r="C27061" s="121" t="n"/>
      <s:c r="D27061" s="121" t="n"/>
      <s:c r="E27061" s="122" t="n"/>
    </s:row>
    <s:row r="27062" hidden="1" ht="1" customHeight="1">
      <s:c r="A27062" s="120" t="inlineStr"/>
      <s:c r="B27062" s="121" t="n"/>
      <s:c r="C27062" s="121" t="n"/>
      <s:c r="D27062" s="121" t="n"/>
      <s:c r="E27062" s="122" t="n"/>
    </s:row>
    <s:row r="27063" hidden="1" ht="1" customHeight="1">
      <s:c r="A27063" s="120" t="inlineStr"/>
      <s:c r="B27063" s="121" t="n"/>
      <s:c r="C27063" s="121" t="n"/>
      <s:c r="D27063" s="121" t="n"/>
      <s:c r="E27063" s="122" t="n"/>
    </s:row>
    <s:row r="27064" hidden="1" ht="1" customHeight="1">
      <s:c r="A27064" s="120" t="inlineStr"/>
      <s:c r="B27064" s="121" t="n"/>
      <s:c r="C27064" s="121" t="n"/>
      <s:c r="D27064" s="121" t="n"/>
      <s:c r="E27064" s="122" t="n"/>
    </s:row>
    <s:row r="27065" hidden="1" ht="1" customHeight="1">
      <s:c r="A27065" s="83" t="inlineStr">
        <s:is>
          <s:t>PASS</s:t>
        </s:is>
      </s:c>
      <s:c r="B27065" s="83">
        <s:f>SUM(IF(EXACT('Kiểm thử'!E27015,"Đạt"),1,0))</s:f>
        <s:v/>
      </s:c>
      <s:c r="C27065" s="19" t="n"/>
      <s:c r="D27065" s="19" t="n"/>
      <s:c r="E27065" s="19" t="n"/>
    </s:row>
    <s:row r="27066" hidden="1" ht="1" customHeight="1">
      <s:c r="A27066" s="83" t="inlineStr">
        <s:is>
          <s:t>FAIL</s:t>
        </s:is>
      </s:c>
      <s:c r="B27066" s="83">
        <s:f>SUM(IF(EXACT('Kiểm thử'!E27015,"Không đạt"),1,0))</s:f>
        <s:v/>
      </s:c>
      <s:c r="C27066" s="19" t="n"/>
      <s:c r="D27066" s="19" t="n"/>
      <s:c r="E27066" s="19" t="n"/>
    </s:row>
    <s:row r="27067" hidden="1" ht="1" customHeight="1">
      <s:c r="A27067" s="83" t="inlineStr">
        <s:is>
          <s:t>BLOCKED</s:t>
        </s:is>
      </s:c>
      <s:c r="B27067" s="83">
        <s:f>SUM(IF(EXACT('Kiểm thử'!E27015,"Bị chặn"),1,0))</s:f>
        <s:v/>
      </s:c>
      <s:c r="C27067" s="19" t="n"/>
      <s:c r="D27067" s="19" t="n"/>
      <s:c r="E27067" s="19" t="n"/>
    </s:row>
    <s:row r="27068" hidden="1" ht="1" customHeight="1">
      <s:c r="A27068" s="83" t="inlineStr">
        <s:is>
          <s:t>SKIPPED</s:t>
        </s:is>
      </s:c>
      <s:c r="B27068" s="83">
        <s:f>SUM(IF(EXACT('Kiểm thử'!E27015,"Không thực hiện"),1,0))</s:f>
        <s:v/>
      </s:c>
      <s:c r="C27068" s="19" t="n"/>
      <s:c r="D27068" s="19" t="n"/>
      <s:c r="E27068" s="19" t="n"/>
    </s:row>
    <s:row r="27069" hidden="1" ht="1" customHeight="1">
      <s:c r="A27069" s="83" t="inlineStr">
        <s:is>
          <s:t>NOT RUN</s:t>
        </s:is>
      </s:c>
      <s:c r="B27069" s="83">
        <s:f>SUM(IF(EXACT('Kiểm thử'!E27015,"Chưa thực hiện"),1,0))</s:f>
        <s:v/>
      </s:c>
      <s:c r="C27069" s="19" t="n"/>
      <s:c r="D27069" s="19" t="n"/>
      <s:c r="E27069" s="19" t="n"/>
    </s:row>
    <s:row r="27070" hidden="1" ht="6" customHeight="1">
      <s:c r="A27070" s="83" t="inlineStr"/>
      <s:c r="B27070" s="19" t="n"/>
      <s:c r="C27070" s="19" t="n"/>
      <s:c r="D27070" s="19" t="n"/>
      <s:c r="E27070" s="19" t="n"/>
    </s:row>
    <s:row r="27071" ht="28" customHeight="1">
      <s:c r="A27071" s="108" t="inlineStr">
        <s:is>
          <s:t>TC-RS-DATA-005 — Xét điểm đỏ không ghi đè điểm học sinh</s:t>
        </s:is>
      </s:c>
      <s:c r="B27071" s="111" t="n"/>
      <s:c r="C27071" s="111" t="n"/>
      <s:c r="D27071" s="111" t="n"/>
      <s:c r="E27071" s="111" t="n"/>
    </s:row>
    <s:row r="27072" ht="20" customHeight="1">
      <s:c r="A27072" s="112" t="inlineStr">
        <s:is>
          <s:t>Kết quả tình huống</s:t>
        </s:is>
      </s:c>
      <s:c r="B27072" s="113">
        <s:f>IF(SUM(IF(EXACT('Kiểm thử'!E27081,"Không đạt"),1,0))&gt;0,"Không đạt",IF(SUM(IF(EXACT('Kiểm thử'!E27081,"Đạt"),1,0))=1,"Đạt",IF(SUM(IF(EXACT('Kiểm thử'!E27081,"Không thực hiện"),1,0))=1,"Không thực hiện",IF(SUM(IF(EXACT('Kiểm thử'!E27081,"Bị chặn"),1,0))&gt;0,"Bị chặn",IF(SUM(IF(EXACT('Kiểm thử'!E27081,"Chưa thực hiện"),1,0))=1,"Chưa thực hiện","Đang thực hiện")))))</s:f>
        <s:v/>
      </s:c>
      <s:c r="C27072" s="114" t="n"/>
      <s:c r="D27072" s="114" t="n"/>
      <s:c r="E27072" s="114" t="n"/>
    </s:row>
    <s:row r="27073" ht="20" customHeight="1">
      <s:c r="A27073" s="112" t="inlineStr">
        <s:is>
          <s:t>Màn hình / chức năng</s:t>
        </s:is>
      </s:c>
      <s:c r="B27073" s="113" t="inlineStr">
        <s:is>
          <s:t>Bảo toàn dữ liệu và cấu hình</s:t>
        </s:is>
      </s:c>
      <s:c r="C27073" s="28" t="n"/>
      <s:c r="D27073" s="28" t="n"/>
      <s:c r="E27073" s="28" t="n"/>
    </s:row>
    <s:row r="27074" ht="20" customHeight="1">
      <s:c r="A27074" s="112" t="inlineStr">
        <s:is>
          <s:t>Cấu hình</s:t>
        </s:is>
      </s:c>
      <s:c r="B27074" s="113" t="inlineStr">
        <s:is>
          <s:t>• Học sinh S01–S09 có điểm. quy tắc công thức hai dòng (trung bình ÷ 2 × 0.8) (có làm tròn).</s:t>
        </s:is>
      </s:c>
      <s:c r="C27074" s="28" t="n"/>
      <s:c r="D27074" s="28" t="n"/>
      <s:c r="E27074" s="28" t="n"/>
    </s:row>
    <s:row r="27075" ht="34" customHeight="1">
      <s:c r="A27075" s="112" t="inlineStr">
        <s:is>
          <s:t>Dữ liệu test</s:t>
        </s:is>
      </s:c>
      <s:c r="B27075" s="113" t="inlineStr">
        <s:is>
          <s:t>• Quy tắc công thức hai dòng (trung bình ÷ 2 × 0.8);
• Học sinh S01–S09</s:t>
        </s:is>
      </s:c>
      <s:c r="C27075" s="28" t="n"/>
      <s:c r="D27075" s="28" t="n"/>
      <s:c r="E27075" s="28" t="n"/>
    </s:row>
    <s:row r="27076" ht="20" customHeight="1">
      <s:c r="A27076" s="112" t="inlineStr">
        <s:is>
          <s:t>Bước 1</s:t>
        </s:is>
      </s:c>
      <s:c r="B27076" s="113" t="inlineStr">
        <s:is>
          <s:t>SELECT điểm trước.</s:t>
        </s:is>
      </s:c>
      <s:c r="C27076" s="28" t="n"/>
      <s:c r="D27076" s="28" t="n"/>
      <s:c r="E27076" s="28" t="n"/>
    </s:row>
    <s:row r="27077" ht="20" customHeight="1">
      <s:c r="A27077" s="112" t="inlineStr">
        <s:is>
          <s:t>Bước 2</s:t>
        </s:is>
      </s:c>
      <s:c r="B27077" s="113" t="inlineStr">
        <s:is>
          <s:t>Chạy nút cam.</s:t>
        </s:is>
      </s:c>
      <s:c r="C27077" s="28" t="n"/>
      <s:c r="D27077" s="28" t="n"/>
      <s:c r="E27077" s="28" t="n"/>
    </s:row>
    <s:row r="27078" ht="20" customHeight="1">
      <s:c r="A27078" s="112" t="inlineStr">
        <s:is>
          <s:t>Bước 3</s:t>
        </s:is>
      </s:c>
      <s:c r="B27078" s="113" t="inlineStr">
        <s:is>
          <s:t>SELECT điểm sau.</s:t>
        </s:is>
      </s:c>
      <s:c r="C27078" s="28" t="n"/>
      <s:c r="D27078" s="28" t="n"/>
      <s:c r="E27078" s="28" t="n"/>
    </s:row>
    <s:row r="27079" ht="28" customHeight="1">
      <s:c r="A27079" s="115" t="inlineStr">
        <s:is>
          <s:t>Trường hợp</s:t>
        </s:is>
      </s:c>
      <s:c r="B27079" s="115" t="inlineStr">
        <s:is>
          <s:t>Dữ liệu / thao tác riêng</s:t>
        </s:is>
      </s:c>
      <s:c r="C27079" s="115" t="inlineStr">
        <s:is>
          <s:t>Kết quả mong đợi</s:t>
        </s:is>
      </s:c>
      <s:c r="D27079" s="115" t="inlineStr">
        <s:is>
          <s:t>Kết quả thực tế</s:t>
        </s:is>
      </s:c>
      <s:c r="E27079" s="115" t="inlineStr">
        <s:is>
          <s:t>Đánh giá</s:t>
        </s:is>
      </s:c>
    </s:row>
    <s:row r="27080" ht="3" customHeight="1">
      <s:c r="A27080" s="102" t="inlineStr"/>
      <s:c r="B27080" s="99" t="n"/>
      <s:c r="C27080" s="99" t="n"/>
      <s:c r="D27080" s="116" t="n"/>
      <s:c r="E27080" s="116" t="n"/>
    </s:row>
    <s:row r="27081" ht="62" customHeight="1">
      <s:c r="A27081" s="83" t="inlineStr">
        <s:is>
          <s:t>Trường hợp cơ bản (Base)</s:t>
        </s:is>
      </s:c>
      <s:c r="B27081" s="83" t="inlineStr">
        <s:is>
          <s:t>Toàn bộ tình huống: Thực hiện đủ các bước chung theo thứ tự; kiểm cả đối tượng đích và đối chứng cùng fixture, không bỏ bước.</s:t>
        </s:is>
      </s:c>
      <s:c r="C27081" s="83" t="inlineStr">
        <s:is>
          <s:t>Mọi điểm giữ nguyên (kể cả S09=29.5).</s:t>
        </s:is>
      </s:c>
      <s:c r="D27081" s="117" t="inlineStr"/>
      <s:c r="E27081" s="118" t="inlineStr">
        <s:is>
          <s:t>Chưa thực hiện</s:t>
        </s:is>
      </s:c>
    </s:row>
    <s:row r="27082" ht="20" customHeight="1">
      <s:c r="A27082" s="119" t="inlineStr">
        <s:is>
          <s:t>Ảnh minh chứng — Chưa có ảnh</s:t>
        </s:is>
      </s:c>
      <s:c r="B27082" s="19" t="n"/>
      <s:c r="C27082" s="19" t="n"/>
      <s:c r="D27082" s="19" t="n"/>
      <s:c r="E27082" s="19" t="n"/>
    </s:row>
    <s:row r="27083" hidden="1" ht="1" customHeight="1">
      <s:c r="A27083" s="120" t="inlineStr"/>
      <s:c r="B27083" s="121" t="n"/>
      <s:c r="C27083" s="121" t="n"/>
      <s:c r="D27083" s="121" t="n"/>
      <s:c r="E27083" s="122" t="n"/>
    </s:row>
    <s:row r="27084" hidden="1" ht="1" customHeight="1">
      <s:c r="A27084" s="120" t="inlineStr"/>
      <s:c r="B27084" s="121" t="n"/>
      <s:c r="C27084" s="121" t="n"/>
      <s:c r="D27084" s="121" t="n"/>
      <s:c r="E27084" s="122" t="n"/>
    </s:row>
    <s:row r="27085" hidden="1" ht="1" customHeight="1">
      <s:c r="A27085" s="120" t="inlineStr"/>
      <s:c r="B27085" s="121" t="n"/>
      <s:c r="C27085" s="121" t="n"/>
      <s:c r="D27085" s="121" t="n"/>
      <s:c r="E27085" s="122" t="n"/>
    </s:row>
    <s:row r="27086" hidden="1" ht="1" customHeight="1">
      <s:c r="A27086" s="120" t="inlineStr"/>
      <s:c r="B27086" s="121" t="n"/>
      <s:c r="C27086" s="121" t="n"/>
      <s:c r="D27086" s="121" t="n"/>
      <s:c r="E27086" s="122" t="n"/>
    </s:row>
    <s:row r="27087" hidden="1" ht="1" customHeight="1">
      <s:c r="A27087" s="120" t="inlineStr"/>
      <s:c r="B27087" s="121" t="n"/>
      <s:c r="C27087" s="121" t="n"/>
      <s:c r="D27087" s="121" t="n"/>
      <s:c r="E27087" s="122" t="n"/>
    </s:row>
    <s:row r="27088" hidden="1" ht="1" customHeight="1">
      <s:c r="A27088" s="120" t="inlineStr"/>
      <s:c r="B27088" s="121" t="n"/>
      <s:c r="C27088" s="121" t="n"/>
      <s:c r="D27088" s="121" t="n"/>
      <s:c r="E27088" s="122" t="n"/>
    </s:row>
    <s:row r="27089" hidden="1" ht="1" customHeight="1">
      <s:c r="A27089" s="120" t="inlineStr"/>
      <s:c r="B27089" s="121" t="n"/>
      <s:c r="C27089" s="121" t="n"/>
      <s:c r="D27089" s="121" t="n"/>
      <s:c r="E27089" s="122" t="n"/>
    </s:row>
    <s:row r="27090" hidden="1" ht="1" customHeight="1">
      <s:c r="A27090" s="120" t="inlineStr"/>
      <s:c r="B27090" s="121" t="n"/>
      <s:c r="C27090" s="121" t="n"/>
      <s:c r="D27090" s="121" t="n"/>
      <s:c r="E27090" s="122" t="n"/>
    </s:row>
    <s:row r="27091" hidden="1" ht="1" customHeight="1">
      <s:c r="A27091" s="120" t="inlineStr"/>
      <s:c r="B27091" s="121" t="n"/>
      <s:c r="C27091" s="121" t="n"/>
      <s:c r="D27091" s="121" t="n"/>
      <s:c r="E27091" s="122" t="n"/>
    </s:row>
    <s:row r="27092" hidden="1" ht="1" customHeight="1">
      <s:c r="A27092" s="120" t="inlineStr"/>
      <s:c r="B27092" s="121" t="n"/>
      <s:c r="C27092" s="121" t="n"/>
      <s:c r="D27092" s="121" t="n"/>
      <s:c r="E27092" s="122" t="n"/>
    </s:row>
    <s:row r="27093" hidden="1" ht="1" customHeight="1">
      <s:c r="A27093" s="120" t="inlineStr"/>
      <s:c r="B27093" s="121" t="n"/>
      <s:c r="C27093" s="121" t="n"/>
      <s:c r="D27093" s="121" t="n"/>
      <s:c r="E27093" s="122" t="n"/>
    </s:row>
    <s:row r="27094" hidden="1" ht="1" customHeight="1">
      <s:c r="A27094" s="120" t="inlineStr"/>
      <s:c r="B27094" s="121" t="n"/>
      <s:c r="C27094" s="121" t="n"/>
      <s:c r="D27094" s="121" t="n"/>
      <s:c r="E27094" s="122" t="n"/>
    </s:row>
    <s:row r="27095" hidden="1" ht="1" customHeight="1">
      <s:c r="A27095" s="120" t="inlineStr"/>
      <s:c r="B27095" s="121" t="n"/>
      <s:c r="C27095" s="121" t="n"/>
      <s:c r="D27095" s="121" t="n"/>
      <s:c r="E27095" s="122" t="n"/>
    </s:row>
    <s:row r="27096" hidden="1" ht="1" customHeight="1">
      <s:c r="A27096" s="120" t="inlineStr"/>
      <s:c r="B27096" s="121" t="n"/>
      <s:c r="C27096" s="121" t="n"/>
      <s:c r="D27096" s="121" t="n"/>
      <s:c r="E27096" s="122" t="n"/>
    </s:row>
    <s:row r="27097" hidden="1" ht="1" customHeight="1">
      <s:c r="A27097" s="120" t="inlineStr"/>
      <s:c r="B27097" s="121" t="n"/>
      <s:c r="C27097" s="121" t="n"/>
      <s:c r="D27097" s="121" t="n"/>
      <s:c r="E27097" s="122" t="n"/>
    </s:row>
    <s:row r="27098" hidden="1" ht="1" customHeight="1">
      <s:c r="A27098" s="120" t="inlineStr"/>
      <s:c r="B27098" s="121" t="n"/>
      <s:c r="C27098" s="121" t="n"/>
      <s:c r="D27098" s="121" t="n"/>
      <s:c r="E27098" s="122" t="n"/>
    </s:row>
    <s:row r="27099" hidden="1" ht="1" customHeight="1">
      <s:c r="A27099" s="120" t="inlineStr"/>
      <s:c r="B27099" s="121" t="n"/>
      <s:c r="C27099" s="121" t="n"/>
      <s:c r="D27099" s="121" t="n"/>
      <s:c r="E27099" s="122" t="n"/>
    </s:row>
    <s:row r="27100" hidden="1" ht="1" customHeight="1">
      <s:c r="A27100" s="120" t="inlineStr"/>
      <s:c r="B27100" s="121" t="n"/>
      <s:c r="C27100" s="121" t="n"/>
      <s:c r="D27100" s="121" t="n"/>
      <s:c r="E27100" s="122" t="n"/>
    </s:row>
    <s:row r="27101" hidden="1" ht="1" customHeight="1">
      <s:c r="A27101" s="120" t="inlineStr"/>
      <s:c r="B27101" s="121" t="n"/>
      <s:c r="C27101" s="121" t="n"/>
      <s:c r="D27101" s="121" t="n"/>
      <s:c r="E27101" s="122" t="n"/>
    </s:row>
    <s:row r="27102" hidden="1" ht="1" customHeight="1">
      <s:c r="A27102" s="120" t="inlineStr"/>
      <s:c r="B27102" s="121" t="n"/>
      <s:c r="C27102" s="121" t="n"/>
      <s:c r="D27102" s="121" t="n"/>
      <s:c r="E27102" s="122" t="n"/>
    </s:row>
    <s:row r="27103" hidden="1" ht="1" customHeight="1">
      <s:c r="A27103" s="120" t="inlineStr"/>
      <s:c r="B27103" s="121" t="n"/>
      <s:c r="C27103" s="121" t="n"/>
      <s:c r="D27103" s="121" t="n"/>
      <s:c r="E27103" s="122" t="n"/>
    </s:row>
    <s:row r="27104" hidden="1" ht="1" customHeight="1">
      <s:c r="A27104" s="120" t="inlineStr"/>
      <s:c r="B27104" s="121" t="n"/>
      <s:c r="C27104" s="121" t="n"/>
      <s:c r="D27104" s="121" t="n"/>
      <s:c r="E27104" s="122" t="n"/>
    </s:row>
    <s:row r="27105" hidden="1" ht="1" customHeight="1">
      <s:c r="A27105" s="120" t="inlineStr"/>
      <s:c r="B27105" s="121" t="n"/>
      <s:c r="C27105" s="121" t="n"/>
      <s:c r="D27105" s="121" t="n"/>
      <s:c r="E27105" s="122" t="n"/>
    </s:row>
    <s:row r="27106" hidden="1" ht="1" customHeight="1">
      <s:c r="A27106" s="120" t="inlineStr"/>
      <s:c r="B27106" s="121" t="n"/>
      <s:c r="C27106" s="121" t="n"/>
      <s:c r="D27106" s="121" t="n"/>
      <s:c r="E27106" s="122" t="n"/>
    </s:row>
    <s:row r="27107" hidden="1" ht="1" customHeight="1">
      <s:c r="A27107" s="120" t="inlineStr"/>
      <s:c r="B27107" s="121" t="n"/>
      <s:c r="C27107" s="121" t="n"/>
      <s:c r="D27107" s="121" t="n"/>
      <s:c r="E27107" s="122" t="n"/>
    </s:row>
    <s:row r="27108" hidden="1" ht="1" customHeight="1">
      <s:c r="A27108" s="120" t="inlineStr"/>
      <s:c r="B27108" s="121" t="n"/>
      <s:c r="C27108" s="121" t="n"/>
      <s:c r="D27108" s="121" t="n"/>
      <s:c r="E27108" s="122" t="n"/>
    </s:row>
    <s:row r="27109" hidden="1" ht="1" customHeight="1">
      <s:c r="A27109" s="120" t="inlineStr"/>
      <s:c r="B27109" s="121" t="n"/>
      <s:c r="C27109" s="121" t="n"/>
      <s:c r="D27109" s="121" t="n"/>
      <s:c r="E27109" s="122" t="n"/>
    </s:row>
    <s:row r="27110" hidden="1" ht="1" customHeight="1">
      <s:c r="A27110" s="120" t="inlineStr"/>
      <s:c r="B27110" s="121" t="n"/>
      <s:c r="C27110" s="121" t="n"/>
      <s:c r="D27110" s="121" t="n"/>
      <s:c r="E27110" s="122" t="n"/>
    </s:row>
    <s:row r="27111" hidden="1" ht="1" customHeight="1">
      <s:c r="A27111" s="120" t="inlineStr"/>
      <s:c r="B27111" s="121" t="n"/>
      <s:c r="C27111" s="121" t="n"/>
      <s:c r="D27111" s="121" t="n"/>
      <s:c r="E27111" s="122" t="n"/>
    </s:row>
    <s:row r="27112" hidden="1" ht="1" customHeight="1">
      <s:c r="A27112" s="120" t="inlineStr"/>
      <s:c r="B27112" s="121" t="n"/>
      <s:c r="C27112" s="121" t="n"/>
      <s:c r="D27112" s="121" t="n"/>
      <s:c r="E27112" s="122" t="n"/>
    </s:row>
    <s:row r="27113" hidden="1" ht="1" customHeight="1">
      <s:c r="A27113" s="120" t="inlineStr"/>
      <s:c r="B27113" s="121" t="n"/>
      <s:c r="C27113" s="121" t="n"/>
      <s:c r="D27113" s="121" t="n"/>
      <s:c r="E27113" s="122" t="n"/>
    </s:row>
    <s:row r="27114" hidden="1" ht="1" customHeight="1">
      <s:c r="A27114" s="120" t="inlineStr"/>
      <s:c r="B27114" s="121" t="n"/>
      <s:c r="C27114" s="121" t="n"/>
      <s:c r="D27114" s="121" t="n"/>
      <s:c r="E27114" s="122" t="n"/>
    </s:row>
    <s:row r="27115" hidden="1" ht="1" customHeight="1">
      <s:c r="A27115" s="120" t="inlineStr"/>
      <s:c r="B27115" s="121" t="n"/>
      <s:c r="C27115" s="121" t="n"/>
      <s:c r="D27115" s="121" t="n"/>
      <s:c r="E27115" s="122" t="n"/>
    </s:row>
    <s:row r="27116" hidden="1" ht="1" customHeight="1">
      <s:c r="A27116" s="120" t="inlineStr"/>
      <s:c r="B27116" s="121" t="n"/>
      <s:c r="C27116" s="121" t="n"/>
      <s:c r="D27116" s="121" t="n"/>
      <s:c r="E27116" s="122" t="n"/>
    </s:row>
    <s:row r="27117" hidden="1" ht="1" customHeight="1">
      <s:c r="A27117" s="120" t="inlineStr"/>
      <s:c r="B27117" s="121" t="n"/>
      <s:c r="C27117" s="121" t="n"/>
      <s:c r="D27117" s="121" t="n"/>
      <s:c r="E27117" s="122" t="n"/>
    </s:row>
    <s:row r="27118" hidden="1" ht="1" customHeight="1">
      <s:c r="A27118" s="120" t="inlineStr"/>
      <s:c r="B27118" s="121" t="n"/>
      <s:c r="C27118" s="121" t="n"/>
      <s:c r="D27118" s="121" t="n"/>
      <s:c r="E27118" s="122" t="n"/>
    </s:row>
    <s:row r="27119" hidden="1" ht="1" customHeight="1">
      <s:c r="A27119" s="120" t="inlineStr"/>
      <s:c r="B27119" s="121" t="n"/>
      <s:c r="C27119" s="121" t="n"/>
      <s:c r="D27119" s="121" t="n"/>
      <s:c r="E27119" s="122" t="n"/>
    </s:row>
    <s:row r="27120" hidden="1" ht="1" customHeight="1">
      <s:c r="A27120" s="120" t="inlineStr"/>
      <s:c r="B27120" s="121" t="n"/>
      <s:c r="C27120" s="121" t="n"/>
      <s:c r="D27120" s="121" t="n"/>
      <s:c r="E27120" s="122" t="n"/>
    </s:row>
    <s:row r="27121" hidden="1" ht="1" customHeight="1">
      <s:c r="A27121" s="120" t="inlineStr"/>
      <s:c r="B27121" s="121" t="n"/>
      <s:c r="C27121" s="121" t="n"/>
      <s:c r="D27121" s="121" t="n"/>
      <s:c r="E27121" s="122" t="n"/>
    </s:row>
    <s:row r="27122" hidden="1" ht="1" customHeight="1">
      <s:c r="A27122" s="120" t="inlineStr"/>
      <s:c r="B27122" s="121" t="n"/>
      <s:c r="C27122" s="121" t="n"/>
      <s:c r="D27122" s="121" t="n"/>
      <s:c r="E27122" s="122" t="n"/>
    </s:row>
    <s:row r="27123" hidden="1" ht="1" customHeight="1">
      <s:c r="A27123" s="120" t="inlineStr"/>
      <s:c r="B27123" s="121" t="n"/>
      <s:c r="C27123" s="121" t="n"/>
      <s:c r="D27123" s="121" t="n"/>
      <s:c r="E27123" s="122" t="n"/>
    </s:row>
    <s:row r="27124" hidden="1" ht="1" customHeight="1">
      <s:c r="A27124" s="120" t="inlineStr"/>
      <s:c r="B27124" s="121" t="n"/>
      <s:c r="C27124" s="121" t="n"/>
      <s:c r="D27124" s="121" t="n"/>
      <s:c r="E27124" s="122" t="n"/>
    </s:row>
    <s:row r="27125" hidden="1" ht="1" customHeight="1">
      <s:c r="A27125" s="120" t="inlineStr"/>
      <s:c r="B27125" s="121" t="n"/>
      <s:c r="C27125" s="121" t="n"/>
      <s:c r="D27125" s="121" t="n"/>
      <s:c r="E27125" s="122" t="n"/>
    </s:row>
    <s:row r="27126" hidden="1" ht="1" customHeight="1">
      <s:c r="A27126" s="120" t="inlineStr"/>
      <s:c r="B27126" s="121" t="n"/>
      <s:c r="C27126" s="121" t="n"/>
      <s:c r="D27126" s="121" t="n"/>
      <s:c r="E27126" s="122" t="n"/>
    </s:row>
    <s:row r="27127" hidden="1" ht="1" customHeight="1">
      <s:c r="A27127" s="120" t="inlineStr"/>
      <s:c r="B27127" s="121" t="n"/>
      <s:c r="C27127" s="121" t="n"/>
      <s:c r="D27127" s="121" t="n"/>
      <s:c r="E27127" s="122" t="n"/>
    </s:row>
    <s:row r="27128" hidden="1" ht="1" customHeight="1">
      <s:c r="A27128" s="120" t="inlineStr"/>
      <s:c r="B27128" s="121" t="n"/>
      <s:c r="C27128" s="121" t="n"/>
      <s:c r="D27128" s="121" t="n"/>
      <s:c r="E27128" s="122" t="n"/>
    </s:row>
    <s:row r="27129" hidden="1" ht="1" customHeight="1">
      <s:c r="A27129" s="120" t="inlineStr"/>
      <s:c r="B27129" s="121" t="n"/>
      <s:c r="C27129" s="121" t="n"/>
      <s:c r="D27129" s="121" t="n"/>
      <s:c r="E27129" s="122" t="n"/>
    </s:row>
    <s:row r="27130" hidden="1" ht="1" customHeight="1">
      <s:c r="A27130" s="120" t="inlineStr"/>
      <s:c r="B27130" s="121" t="n"/>
      <s:c r="C27130" s="121" t="n"/>
      <s:c r="D27130" s="121" t="n"/>
      <s:c r="E27130" s="122" t="n"/>
    </s:row>
    <s:row r="27131" hidden="1" ht="1" customHeight="1">
      <s:c r="A27131" s="83" t="inlineStr">
        <s:is>
          <s:t>PASS</s:t>
        </s:is>
      </s:c>
      <s:c r="B27131" s="83">
        <s:f>SUM(IF(EXACT('Kiểm thử'!E27081,"Đạt"),1,0))</s:f>
        <s:v/>
      </s:c>
      <s:c r="C27131" s="19" t="n"/>
      <s:c r="D27131" s="19" t="n"/>
      <s:c r="E27131" s="19" t="n"/>
    </s:row>
    <s:row r="27132" hidden="1" ht="1" customHeight="1">
      <s:c r="A27132" s="83" t="inlineStr">
        <s:is>
          <s:t>FAIL</s:t>
        </s:is>
      </s:c>
      <s:c r="B27132" s="83">
        <s:f>SUM(IF(EXACT('Kiểm thử'!E27081,"Không đạt"),1,0))</s:f>
        <s:v/>
      </s:c>
      <s:c r="C27132" s="19" t="n"/>
      <s:c r="D27132" s="19" t="n"/>
      <s:c r="E27132" s="19" t="n"/>
    </s:row>
    <s:row r="27133" hidden="1" ht="1" customHeight="1">
      <s:c r="A27133" s="83" t="inlineStr">
        <s:is>
          <s:t>BLOCKED</s:t>
        </s:is>
      </s:c>
      <s:c r="B27133" s="83">
        <s:f>SUM(IF(EXACT('Kiểm thử'!E27081,"Bị chặn"),1,0))</s:f>
        <s:v/>
      </s:c>
      <s:c r="C27133" s="19" t="n"/>
      <s:c r="D27133" s="19" t="n"/>
      <s:c r="E27133" s="19" t="n"/>
    </s:row>
    <s:row r="27134" hidden="1" ht="1" customHeight="1">
      <s:c r="A27134" s="83" t="inlineStr">
        <s:is>
          <s:t>SKIPPED</s:t>
        </s:is>
      </s:c>
      <s:c r="B27134" s="83">
        <s:f>SUM(IF(EXACT('Kiểm thử'!E27081,"Không thực hiện"),1,0))</s:f>
        <s:v/>
      </s:c>
      <s:c r="C27134" s="19" t="n"/>
      <s:c r="D27134" s="19" t="n"/>
      <s:c r="E27134" s="19" t="n"/>
    </s:row>
    <s:row r="27135" hidden="1" ht="1" customHeight="1">
      <s:c r="A27135" s="83" t="inlineStr">
        <s:is>
          <s:t>NOT RUN</s:t>
        </s:is>
      </s:c>
      <s:c r="B27135" s="83">
        <s:f>SUM(IF(EXACT('Kiểm thử'!E27081,"Chưa thực hiện"),1,0))</s:f>
        <s:v/>
      </s:c>
      <s:c r="C27135" s="19" t="n"/>
      <s:c r="D27135" s="19" t="n"/>
      <s:c r="E27135" s="19" t="n"/>
    </s:row>
    <s:row r="27136" hidden="1" ht="6" customHeight="1">
      <s:c r="A27136" s="83" t="inlineStr"/>
      <s:c r="B27136" s="19" t="n"/>
      <s:c r="C27136" s="19" t="n"/>
      <s:c r="D27136" s="19" t="n"/>
      <s:c r="E27136" s="19" t="n"/>
    </s:row>
    <s:row r="27137" ht="28" customHeight="1">
      <s:c r="A27137" s="108" t="inlineStr">
        <s:is>
          <s:t>TC-RS-DATA-007 — Cấu hình trình bày ở từng đầu ra lưu riêng, không làm đổi quy tắc/kết quả</s:t>
        </s:is>
      </s:c>
      <s:c r="B27137" s="111" t="n"/>
      <s:c r="C27137" s="111" t="n"/>
      <s:c r="D27137" s="111" t="n"/>
      <s:c r="E27137" s="111" t="n"/>
    </s:row>
    <s:row r="27138" ht="20" customHeight="1">
      <s:c r="A27138" s="112" t="inlineStr">
        <s:is>
          <s:t>Kết quả tình huống</s:t>
        </s:is>
      </s:c>
      <s:c r="B27138" s="113">
        <s:f>IF(SUM(IF(EXACT('Kiểm thử'!E27147,"Không đạt"),1,0),IF(EXACT('Kiểm thử'!E27149,"Không đạt"),1,0),IF(EXACT('Kiểm thử'!E27151,"Không đạt"),1,0))&gt;0,"Không đạt",IF(SUM(IF(EXACT('Kiểm thử'!E27147,"Đạt"),1,0),IF(EXACT('Kiểm thử'!E27149,"Đạt"),1,0),IF(EXACT('Kiểm thử'!E27151,"Đạt"),1,0))=3,"Đạt",IF(SUM(IF(EXACT('Kiểm thử'!E27147,"Không thực hiện"),1,0),IF(EXACT('Kiểm thử'!E27149,"Không thực hiện"),1,0),IF(EXACT('Kiểm thử'!E27151,"Không thực hiện"),1,0))=3,"Không thực hiện",IF(SUM(IF(EXACT('Kiểm thử'!E27147,"Bị chặn"),1,0),IF(EXACT('Kiểm thử'!E27149,"Bị chặn"),1,0),IF(EXACT('Kiểm thử'!E27151,"Bị chặn"),1,0))&gt;0,"Bị chặn",IF(SUM(IF(EXACT('Kiểm thử'!E27147,"Chưa thực hiện"),1,0),IF(EXACT('Kiểm thử'!E27149,"Chưa thực hiện"),1,0),IF(EXACT('Kiểm thử'!E27151,"Chưa thực hiện"),1,0))=3,"Chưa thực hiện","Đang thực hiện")))))</s:f>
        <s:v/>
      </s:c>
      <s:c r="C27138" s="114" t="n"/>
      <s:c r="D27138" s="114" t="n"/>
      <s:c r="E27138" s="114" t="n"/>
    </s:row>
    <s:row r="27139" ht="20" customHeight="1">
      <s:c r="A27139" s="112" t="inlineStr">
        <s:is>
          <s:t>Màn hình / chức năng</s:t>
        </s:is>
      </s:c>
      <s:c r="B27139" s="113" t="inlineStr">
        <s:is>
          <s:t>Bảo toàn dữ liệu và cấu hình</s:t>
        </s:is>
      </s:c>
      <s:c r="C27139" s="28" t="n"/>
      <s:c r="D27139" s="28" t="n"/>
      <s:c r="E27139" s="28" t="n"/>
    </s:row>
    <s:row r="27140" ht="34" customHeight="1">
      <s:c r="A27140" s="112" t="inlineStr">
        <s:is>
          <s:t>Cấu hình</s:t>
        </s:is>
      </s:c>
      <s:c r="B27140" s="113" t="inlineStr">
        <s:is>
          <s:t>• Cấu hình trích xuất: lọc, ký hiệu “*” phía trước, tô màu, cấu hình công khai: “*” phía trước, cấu hình phiếu điểm: ký tự “※” phía trước.</s:t>
        </s:is>
      </s:c>
      <s:c r="C27140" s="28" t="n"/>
      <s:c r="D27140" s="28" t="n"/>
      <s:c r="E27140" s="28" t="n"/>
    </s:row>
    <s:row r="27141" ht="34" customHeight="1">
      <s:c r="A27141" s="112" t="inlineStr">
        <s:is>
          <s:t>Dữ liệu test</s:t>
        </s:is>
      </s:c>
      <s:c r="B27141" s="113" t="inlineStr">
        <s:is>
          <s:t>• Cấu hình trích xuất: lọc, ký hiệu “*” phía trước, tô màu, cấu hình công khai: “*” phía trước, cấu hình phiếu điểm: ký tự “※” phía trước</s:t>
        </s:is>
      </s:c>
      <s:c r="C27141" s="28" t="n"/>
      <s:c r="D27141" s="28" t="n"/>
      <s:c r="E27141" s="28" t="n"/>
    </s:row>
    <s:row r="27142" ht="20" customHeight="1">
      <s:c r="A27142" s="112" t="inlineStr">
        <s:is>
          <s:t>Bước 1</s:t>
        </s:is>
      </s:c>
      <s:c r="B27142" s="113" t="inlineStr">
        <s:is>
          <s:t>Ghi baseline các cấu hình đầu ra, rule và kết quả.</s:t>
        </s:is>
      </s:c>
      <s:c r="C27142" s="28" t="n"/>
      <s:c r="D27142" s="28" t="n"/>
      <s:c r="E27142" s="28" t="n"/>
    </s:row>
    <s:row r="27143" ht="20" customHeight="1">
      <s:c r="A27143" s="112" t="inlineStr">
        <s:is>
          <s:t>Bước 2</s:t>
        </s:is>
      </s:c>
      <s:c r="B27143" s="113" t="inlineStr">
        <s:is>
          <s:t>Chỉ đổi/lưu cấu hình của trường hợp đang chạy.</s:t>
        </s:is>
      </s:c>
      <s:c r="C27143" s="28" t="n"/>
      <s:c r="D27143" s="28" t="n"/>
      <s:c r="E27143" s="28" t="n"/>
    </s:row>
    <s:row r="27144" ht="20" customHeight="1">
      <s:c r="A27144" s="112" t="inlineStr">
        <s:is>
          <s:t>Bước 3</s:t>
        </s:is>
      </s:c>
      <s:c r="B27144" s="113" t="inlineStr">
        <s:is>
          <s:t>Đọc lại cả cấu hình đó, các đầu ra khác, rule và kết quả để kiểm độc lập.</s:t>
        </s:is>
      </s:c>
      <s:c r="C27144" s="28" t="n"/>
      <s:c r="D27144" s="28" t="n"/>
      <s:c r="E27144" s="28" t="n"/>
    </s:row>
    <s:row r="27145" ht="28" customHeight="1">
      <s:c r="A27145" s="115" t="inlineStr">
        <s:is>
          <s:t>Trường hợp</s:t>
        </s:is>
      </s:c>
      <s:c r="B27145" s="115" t="inlineStr">
        <s:is>
          <s:t>Dữ liệu / thao tác riêng</s:t>
        </s:is>
      </s:c>
      <s:c r="C27145" s="115" t="inlineStr">
        <s:is>
          <s:t>Kết quả mong đợi</s:t>
        </s:is>
      </s:c>
      <s:c r="D27145" s="115" t="inlineStr">
        <s:is>
          <s:t>Kết quả thực tế</s:t>
        </s:is>
      </s:c>
      <s:c r="E27145" s="115" t="inlineStr">
        <s:is>
          <s:t>Đánh giá</s:t>
        </s:is>
      </s:c>
    </s:row>
    <s:row r="27146" ht="3" customHeight="1">
      <s:c r="A27146" s="102" t="inlineStr"/>
      <s:c r="B27146" s="99" t="n"/>
      <s:c r="C27146" s="99" t="n"/>
      <s:c r="D27146" s="116" t="n"/>
      <s:c r="E27146" s="116" t="n"/>
    </s:row>
    <s:row r="27147" ht="62" customHeight="1">
      <s:c r="A27147" s="83" t="inlineStr">
        <s:is>
          <s:t>Cấu hình trích xuất (extract)</s:t>
        </s:is>
      </s:c>
      <s:c r="B27147" s="83" t="inlineStr">
        <s:is>
          <s:r>
            <s:t xml:space="preserve">Chỉ đổi/lưu tùy chọn </s:t>
          </s:r>
          <s:r>
            <s:rPr>
              <s:b val="1"/>
            </s:rPr>
            <s:t>Trích xuất thành tích（成績抽出）</s:t>
          </s:r>
          <s:r>
            <s:t xml:space="preserve"> của fixture; đọc lại cấu hình công khai/phiếu điểm, rule và kết quả.</s:t>
          </s:r>
        </s:is>
      </s:c>
      <s:c r="C27147" s="83" t="inlineStr">
        <s:is>
          <s:t>Quy tắc và kết quả không đổi; cấu hình mỗi đầu ra độc lập (đổi công khai không đổi trích xuất).</s:t>
        </s:is>
      </s:c>
      <s:c r="D27147" s="117" t="inlineStr"/>
      <s:c r="E27147" s="118" t="inlineStr">
        <s:is>
          <s:t>Chưa thực hiện</s:t>
        </s:is>
      </s:c>
    </s:row>
    <s:row r="27148" ht="3" customHeight="1">
      <s:c r="A27148" s="102" t="inlineStr"/>
      <s:c r="B27148" s="99" t="n"/>
      <s:c r="C27148" s="99" t="n"/>
      <s:c r="D27148" s="116" t="n"/>
      <s:c r="E27148" s="116" t="n"/>
    </s:row>
    <s:row r="27149" ht="62" customHeight="1">
      <s:c r="A27149" s="83" t="inlineStr">
        <s:is>
          <s:t>Cấu hình công khai (publish)</s:t>
        </s:is>
      </s:c>
      <s:c r="B27149" s="83" t="inlineStr">
        <s:is>
          <s:r>
            <s:t xml:space="preserve">Chỉ đổi/lưu hiệu ứng </s:t>
          </s:r>
          <s:r>
            <s:rPr>
              <s:b val="1"/>
            </s:rPr>
            <s:t>Công khai thành tích（成績公開）</s:t>
          </s:r>
          <s:r>
            <s:t xml:space="preserve"> của fixture; đọc lại cấu hình trích xuất/phiếu điểm, rule và kết quả.</s:t>
          </s:r>
        </s:is>
      </s:c>
      <s:c r="C27149" s="83" t="inlineStr">
        <s:is>
          <s:t>Quy tắc và kết quả không đổi; cấu hình mỗi đầu ra độc lập (đổi công khai không đổi trích xuất).</s:t>
        </s:is>
      </s:c>
      <s:c r="D27149" s="117" t="inlineStr"/>
      <s:c r="E27149" s="118" t="inlineStr">
        <s:is>
          <s:t>Chưa thực hiện</s:t>
        </s:is>
      </s:c>
    </s:row>
    <s:row r="27150" ht="3" customHeight="1">
      <s:c r="A27150" s="102" t="inlineStr"/>
      <s:c r="B27150" s="99" t="n"/>
      <s:c r="C27150" s="99" t="n"/>
      <s:c r="D27150" s="116" t="n"/>
      <s:c r="E27150" s="116" t="n"/>
    </s:row>
    <s:row r="27151" ht="62" customHeight="1">
      <s:c r="A27151" s="83" t="inlineStr">
        <s:is>
          <s:t>Cấu hình phiếu điểm (report)</s:t>
        </s:is>
      </s:c>
      <s:c r="B27151" s="83" t="inlineStr">
        <s:is>
          <s:r>
            <s:t xml:space="preserve">Chỉ đổi/lưu hiệu ứng </s:t>
          </s:r>
          <s:r>
            <s:rPr>
              <s:b val="1"/>
            </s:rPr>
            <s:t>Công cụ phiếu điểm（通知表ツール）</s:t>
          </s:r>
          <s:r>
            <s:t xml:space="preserve"> của fixture; đọc lại cấu hình trích xuất/công khai, rule và kết quả.</s:t>
          </s:r>
        </s:is>
      </s:c>
      <s:c r="C27151" s="83" t="inlineStr">
        <s:is>
          <s:t>Quy tắc và kết quả không đổi; cấu hình mỗi đầu ra độc lập (đổi công khai không đổi trích xuất).</s:t>
        </s:is>
      </s:c>
      <s:c r="D27151" s="117" t="inlineStr"/>
      <s:c r="E27151" s="118" t="inlineStr">
        <s:is>
          <s:t>Chưa thực hiện</s:t>
        </s:is>
      </s:c>
    </s:row>
    <s:row r="27152" ht="20" customHeight="1">
      <s:c r="A27152" s="119" t="inlineStr">
        <s:is>
          <s:t>Ảnh minh chứng — Chưa có ảnh</s:t>
        </s:is>
      </s:c>
      <s:c r="B27152" s="19" t="n"/>
      <s:c r="C27152" s="19" t="n"/>
      <s:c r="D27152" s="19" t="n"/>
      <s:c r="E27152" s="19" t="n"/>
    </s:row>
    <s:row r="27153" hidden="1" ht="1" customHeight="1">
      <s:c r="A27153" s="120" t="inlineStr"/>
      <s:c r="B27153" s="121" t="n"/>
      <s:c r="C27153" s="121" t="n"/>
      <s:c r="D27153" s="121" t="n"/>
      <s:c r="E27153" s="122" t="n"/>
    </s:row>
    <s:row r="27154" hidden="1" ht="1" customHeight="1">
      <s:c r="A27154" s="120" t="inlineStr"/>
      <s:c r="B27154" s="121" t="n"/>
      <s:c r="C27154" s="121" t="n"/>
      <s:c r="D27154" s="121" t="n"/>
      <s:c r="E27154" s="122" t="n"/>
    </s:row>
    <s:row r="27155" hidden="1" ht="1" customHeight="1">
      <s:c r="A27155" s="120" t="inlineStr"/>
      <s:c r="B27155" s="121" t="n"/>
      <s:c r="C27155" s="121" t="n"/>
      <s:c r="D27155" s="121" t="n"/>
      <s:c r="E27155" s="122" t="n"/>
    </s:row>
    <s:row r="27156" hidden="1" ht="1" customHeight="1">
      <s:c r="A27156" s="120" t="inlineStr"/>
      <s:c r="B27156" s="121" t="n"/>
      <s:c r="C27156" s="121" t="n"/>
      <s:c r="D27156" s="121" t="n"/>
      <s:c r="E27156" s="122" t="n"/>
    </s:row>
    <s:row r="27157" hidden="1" ht="1" customHeight="1">
      <s:c r="A27157" s="120" t="inlineStr"/>
      <s:c r="B27157" s="121" t="n"/>
      <s:c r="C27157" s="121" t="n"/>
      <s:c r="D27157" s="121" t="n"/>
      <s:c r="E27157" s="122" t="n"/>
    </s:row>
    <s:row r="27158" hidden="1" ht="1" customHeight="1">
      <s:c r="A27158" s="120" t="inlineStr"/>
      <s:c r="B27158" s="121" t="n"/>
      <s:c r="C27158" s="121" t="n"/>
      <s:c r="D27158" s="121" t="n"/>
      <s:c r="E27158" s="122" t="n"/>
    </s:row>
    <s:row r="27159" hidden="1" ht="1" customHeight="1">
      <s:c r="A27159" s="120" t="inlineStr"/>
      <s:c r="B27159" s="121" t="n"/>
      <s:c r="C27159" s="121" t="n"/>
      <s:c r="D27159" s="121" t="n"/>
      <s:c r="E27159" s="122" t="n"/>
    </s:row>
    <s:row r="27160" hidden="1" ht="1" customHeight="1">
      <s:c r="A27160" s="120" t="inlineStr"/>
      <s:c r="B27160" s="121" t="n"/>
      <s:c r="C27160" s="121" t="n"/>
      <s:c r="D27160" s="121" t="n"/>
      <s:c r="E27160" s="122" t="n"/>
    </s:row>
    <s:row r="27161" hidden="1" ht="1" customHeight="1">
      <s:c r="A27161" s="120" t="inlineStr"/>
      <s:c r="B27161" s="121" t="n"/>
      <s:c r="C27161" s="121" t="n"/>
      <s:c r="D27161" s="121" t="n"/>
      <s:c r="E27161" s="122" t="n"/>
    </s:row>
    <s:row r="27162" hidden="1" ht="1" customHeight="1">
      <s:c r="A27162" s="120" t="inlineStr"/>
      <s:c r="B27162" s="121" t="n"/>
      <s:c r="C27162" s="121" t="n"/>
      <s:c r="D27162" s="121" t="n"/>
      <s:c r="E27162" s="122" t="n"/>
    </s:row>
    <s:row r="27163" hidden="1" ht="1" customHeight="1">
      <s:c r="A27163" s="120" t="inlineStr"/>
      <s:c r="B27163" s="121" t="n"/>
      <s:c r="C27163" s="121" t="n"/>
      <s:c r="D27163" s="121" t="n"/>
      <s:c r="E27163" s="122" t="n"/>
    </s:row>
    <s:row r="27164" hidden="1" ht="1" customHeight="1">
      <s:c r="A27164" s="120" t="inlineStr"/>
      <s:c r="B27164" s="121" t="n"/>
      <s:c r="C27164" s="121" t="n"/>
      <s:c r="D27164" s="121" t="n"/>
      <s:c r="E27164" s="122" t="n"/>
    </s:row>
    <s:row r="27165" hidden="1" ht="1" customHeight="1">
      <s:c r="A27165" s="120" t="inlineStr"/>
      <s:c r="B27165" s="121" t="n"/>
      <s:c r="C27165" s="121" t="n"/>
      <s:c r="D27165" s="121" t="n"/>
      <s:c r="E27165" s="122" t="n"/>
    </s:row>
    <s:row r="27166" hidden="1" ht="1" customHeight="1">
      <s:c r="A27166" s="120" t="inlineStr"/>
      <s:c r="B27166" s="121" t="n"/>
      <s:c r="C27166" s="121" t="n"/>
      <s:c r="D27166" s="121" t="n"/>
      <s:c r="E27166" s="122" t="n"/>
    </s:row>
    <s:row r="27167" hidden="1" ht="1" customHeight="1">
      <s:c r="A27167" s="120" t="inlineStr"/>
      <s:c r="B27167" s="121" t="n"/>
      <s:c r="C27167" s="121" t="n"/>
      <s:c r="D27167" s="121" t="n"/>
      <s:c r="E27167" s="122" t="n"/>
    </s:row>
    <s:row r="27168" hidden="1" ht="1" customHeight="1">
      <s:c r="A27168" s="120" t="inlineStr"/>
      <s:c r="B27168" s="121" t="n"/>
      <s:c r="C27168" s="121" t="n"/>
      <s:c r="D27168" s="121" t="n"/>
      <s:c r="E27168" s="122" t="n"/>
    </s:row>
    <s:row r="27169" hidden="1" ht="1" customHeight="1">
      <s:c r="A27169" s="120" t="inlineStr"/>
      <s:c r="B27169" s="121" t="n"/>
      <s:c r="C27169" s="121" t="n"/>
      <s:c r="D27169" s="121" t="n"/>
      <s:c r="E27169" s="122" t="n"/>
    </s:row>
    <s:row r="27170" hidden="1" ht="1" customHeight="1">
      <s:c r="A27170" s="120" t="inlineStr"/>
      <s:c r="B27170" s="121" t="n"/>
      <s:c r="C27170" s="121" t="n"/>
      <s:c r="D27170" s="121" t="n"/>
      <s:c r="E27170" s="122" t="n"/>
    </s:row>
    <s:row r="27171" hidden="1" ht="1" customHeight="1">
      <s:c r="A27171" s="120" t="inlineStr"/>
      <s:c r="B27171" s="121" t="n"/>
      <s:c r="C27171" s="121" t="n"/>
      <s:c r="D27171" s="121" t="n"/>
      <s:c r="E27171" s="122" t="n"/>
    </s:row>
    <s:row r="27172" hidden="1" ht="1" customHeight="1">
      <s:c r="A27172" s="120" t="inlineStr"/>
      <s:c r="B27172" s="121" t="n"/>
      <s:c r="C27172" s="121" t="n"/>
      <s:c r="D27172" s="121" t="n"/>
      <s:c r="E27172" s="122" t="n"/>
    </s:row>
    <s:row r="27173" hidden="1" ht="1" customHeight="1">
      <s:c r="A27173" s="120" t="inlineStr"/>
      <s:c r="B27173" s="121" t="n"/>
      <s:c r="C27173" s="121" t="n"/>
      <s:c r="D27173" s="121" t="n"/>
      <s:c r="E27173" s="122" t="n"/>
    </s:row>
    <s:row r="27174" hidden="1" ht="1" customHeight="1">
      <s:c r="A27174" s="120" t="inlineStr"/>
      <s:c r="B27174" s="121" t="n"/>
      <s:c r="C27174" s="121" t="n"/>
      <s:c r="D27174" s="121" t="n"/>
      <s:c r="E27174" s="122" t="n"/>
    </s:row>
    <s:row r="27175" hidden="1" ht="1" customHeight="1">
      <s:c r="A27175" s="120" t="inlineStr"/>
      <s:c r="B27175" s="121" t="n"/>
      <s:c r="C27175" s="121" t="n"/>
      <s:c r="D27175" s="121" t="n"/>
      <s:c r="E27175" s="122" t="n"/>
    </s:row>
    <s:row r="27176" hidden="1" ht="1" customHeight="1">
      <s:c r="A27176" s="120" t="inlineStr"/>
      <s:c r="B27176" s="121" t="n"/>
      <s:c r="C27176" s="121" t="n"/>
      <s:c r="D27176" s="121" t="n"/>
      <s:c r="E27176" s="122" t="n"/>
    </s:row>
    <s:row r="27177" hidden="1" ht="1" customHeight="1">
      <s:c r="A27177" s="120" t="inlineStr"/>
      <s:c r="B27177" s="121" t="n"/>
      <s:c r="C27177" s="121" t="n"/>
      <s:c r="D27177" s="121" t="n"/>
      <s:c r="E27177" s="122" t="n"/>
    </s:row>
    <s:row r="27178" hidden="1" ht="1" customHeight="1">
      <s:c r="A27178" s="120" t="inlineStr"/>
      <s:c r="B27178" s="121" t="n"/>
      <s:c r="C27178" s="121" t="n"/>
      <s:c r="D27178" s="121" t="n"/>
      <s:c r="E27178" s="122" t="n"/>
    </s:row>
    <s:row r="27179" hidden="1" ht="1" customHeight="1">
      <s:c r="A27179" s="120" t="inlineStr"/>
      <s:c r="B27179" s="121" t="n"/>
      <s:c r="C27179" s="121" t="n"/>
      <s:c r="D27179" s="121" t="n"/>
      <s:c r="E27179" s="122" t="n"/>
    </s:row>
    <s:row r="27180" hidden="1" ht="1" customHeight="1">
      <s:c r="A27180" s="120" t="inlineStr"/>
      <s:c r="B27180" s="121" t="n"/>
      <s:c r="C27180" s="121" t="n"/>
      <s:c r="D27180" s="121" t="n"/>
      <s:c r="E27180" s="122" t="n"/>
    </s:row>
    <s:row r="27181" hidden="1" ht="1" customHeight="1">
      <s:c r="A27181" s="120" t="inlineStr"/>
      <s:c r="B27181" s="121" t="n"/>
      <s:c r="C27181" s="121" t="n"/>
      <s:c r="D27181" s="121" t="n"/>
      <s:c r="E27181" s="122" t="n"/>
    </s:row>
    <s:row r="27182" hidden="1" ht="1" customHeight="1">
      <s:c r="A27182" s="120" t="inlineStr"/>
      <s:c r="B27182" s="121" t="n"/>
      <s:c r="C27182" s="121" t="n"/>
      <s:c r="D27182" s="121" t="n"/>
      <s:c r="E27182" s="122" t="n"/>
    </s:row>
    <s:row r="27183" hidden="1" ht="1" customHeight="1">
      <s:c r="A27183" s="120" t="inlineStr"/>
      <s:c r="B27183" s="121" t="n"/>
      <s:c r="C27183" s="121" t="n"/>
      <s:c r="D27183" s="121" t="n"/>
      <s:c r="E27183" s="122" t="n"/>
    </s:row>
    <s:row r="27184" hidden="1" ht="1" customHeight="1">
      <s:c r="A27184" s="120" t="inlineStr"/>
      <s:c r="B27184" s="121" t="n"/>
      <s:c r="C27184" s="121" t="n"/>
      <s:c r="D27184" s="121" t="n"/>
      <s:c r="E27184" s="122" t="n"/>
    </s:row>
    <s:row r="27185" hidden="1" ht="1" customHeight="1">
      <s:c r="A27185" s="120" t="inlineStr"/>
      <s:c r="B27185" s="121" t="n"/>
      <s:c r="C27185" s="121" t="n"/>
      <s:c r="D27185" s="121" t="n"/>
      <s:c r="E27185" s="122" t="n"/>
    </s:row>
    <s:row r="27186" hidden="1" ht="1" customHeight="1">
      <s:c r="A27186" s="120" t="inlineStr"/>
      <s:c r="B27186" s="121" t="n"/>
      <s:c r="C27186" s="121" t="n"/>
      <s:c r="D27186" s="121" t="n"/>
      <s:c r="E27186" s="122" t="n"/>
    </s:row>
    <s:row r="27187" hidden="1" ht="1" customHeight="1">
      <s:c r="A27187" s="120" t="inlineStr"/>
      <s:c r="B27187" s="121" t="n"/>
      <s:c r="C27187" s="121" t="n"/>
      <s:c r="D27187" s="121" t="n"/>
      <s:c r="E27187" s="122" t="n"/>
    </s:row>
    <s:row r="27188" hidden="1" ht="1" customHeight="1">
      <s:c r="A27188" s="120" t="inlineStr"/>
      <s:c r="B27188" s="121" t="n"/>
      <s:c r="C27188" s="121" t="n"/>
      <s:c r="D27188" s="121" t="n"/>
      <s:c r="E27188" s="122" t="n"/>
    </s:row>
    <s:row r="27189" hidden="1" ht="1" customHeight="1">
      <s:c r="A27189" s="120" t="inlineStr"/>
      <s:c r="B27189" s="121" t="n"/>
      <s:c r="C27189" s="121" t="n"/>
      <s:c r="D27189" s="121" t="n"/>
      <s:c r="E27189" s="122" t="n"/>
    </s:row>
    <s:row r="27190" hidden="1" ht="1" customHeight="1">
      <s:c r="A27190" s="120" t="inlineStr"/>
      <s:c r="B27190" s="121" t="n"/>
      <s:c r="C27190" s="121" t="n"/>
      <s:c r="D27190" s="121" t="n"/>
      <s:c r="E27190" s="122" t="n"/>
    </s:row>
    <s:row r="27191" hidden="1" ht="1" customHeight="1">
      <s:c r="A27191" s="120" t="inlineStr"/>
      <s:c r="B27191" s="121" t="n"/>
      <s:c r="C27191" s="121" t="n"/>
      <s:c r="D27191" s="121" t="n"/>
      <s:c r="E27191" s="122" t="n"/>
    </s:row>
    <s:row r="27192" hidden="1" ht="1" customHeight="1">
      <s:c r="A27192" s="120" t="inlineStr"/>
      <s:c r="B27192" s="121" t="n"/>
      <s:c r="C27192" s="121" t="n"/>
      <s:c r="D27192" s="121" t="n"/>
      <s:c r="E27192" s="122" t="n"/>
    </s:row>
    <s:row r="27193" hidden="1" ht="1" customHeight="1">
      <s:c r="A27193" s="120" t="inlineStr"/>
      <s:c r="B27193" s="121" t="n"/>
      <s:c r="C27193" s="121" t="n"/>
      <s:c r="D27193" s="121" t="n"/>
      <s:c r="E27193" s="122" t="n"/>
    </s:row>
    <s:row r="27194" hidden="1" ht="1" customHeight="1">
      <s:c r="A27194" s="120" t="inlineStr"/>
      <s:c r="B27194" s="121" t="n"/>
      <s:c r="C27194" s="121" t="n"/>
      <s:c r="D27194" s="121" t="n"/>
      <s:c r="E27194" s="122" t="n"/>
    </s:row>
    <s:row r="27195" hidden="1" ht="1" customHeight="1">
      <s:c r="A27195" s="120" t="inlineStr"/>
      <s:c r="B27195" s="121" t="n"/>
      <s:c r="C27195" s="121" t="n"/>
      <s:c r="D27195" s="121" t="n"/>
      <s:c r="E27195" s="122" t="n"/>
    </s:row>
    <s:row r="27196" hidden="1" ht="1" customHeight="1">
      <s:c r="A27196" s="120" t="inlineStr"/>
      <s:c r="B27196" s="121" t="n"/>
      <s:c r="C27196" s="121" t="n"/>
      <s:c r="D27196" s="121" t="n"/>
      <s:c r="E27196" s="122" t="n"/>
    </s:row>
    <s:row r="27197" hidden="1" ht="1" customHeight="1">
      <s:c r="A27197" s="120" t="inlineStr"/>
      <s:c r="B27197" s="121" t="n"/>
      <s:c r="C27197" s="121" t="n"/>
      <s:c r="D27197" s="121" t="n"/>
      <s:c r="E27197" s="122" t="n"/>
    </s:row>
    <s:row r="27198" hidden="1" ht="1" customHeight="1">
      <s:c r="A27198" s="120" t="inlineStr"/>
      <s:c r="B27198" s="121" t="n"/>
      <s:c r="C27198" s="121" t="n"/>
      <s:c r="D27198" s="121" t="n"/>
      <s:c r="E27198" s="122" t="n"/>
    </s:row>
    <s:row r="27199" hidden="1" ht="1" customHeight="1">
      <s:c r="A27199" s="120" t="inlineStr"/>
      <s:c r="B27199" s="121" t="n"/>
      <s:c r="C27199" s="121" t="n"/>
      <s:c r="D27199" s="121" t="n"/>
      <s:c r="E27199" s="122" t="n"/>
    </s:row>
    <s:row r="27200" hidden="1" ht="1" customHeight="1">
      <s:c r="A27200" s="120" t="inlineStr"/>
      <s:c r="B27200" s="121" t="n"/>
      <s:c r="C27200" s="121" t="n"/>
      <s:c r="D27200" s="121" t="n"/>
      <s:c r="E27200" s="122" t="n"/>
    </s:row>
    <s:row r="27201" hidden="1" ht="1" customHeight="1">
      <s:c r="A27201" s="120" t="inlineStr"/>
      <s:c r="B27201" s="121" t="n"/>
      <s:c r="C27201" s="121" t="n"/>
      <s:c r="D27201" s="121" t="n"/>
      <s:c r="E27201" s="122" t="n"/>
    </s:row>
    <s:row r="27202" hidden="1" ht="1" customHeight="1">
      <s:c r="A27202" s="120" t="inlineStr"/>
      <s:c r="B27202" s="121" t="n"/>
      <s:c r="C27202" s="121" t="n"/>
      <s:c r="D27202" s="121" t="n"/>
      <s:c r="E27202" s="122" t="n"/>
    </s:row>
    <s:row r="27203" hidden="1" ht="1" customHeight="1">
      <s:c r="A27203" s="120" t="inlineStr"/>
      <s:c r="B27203" s="121" t="n"/>
      <s:c r="C27203" s="121" t="n"/>
      <s:c r="D27203" s="121" t="n"/>
      <s:c r="E27203" s="122" t="n"/>
    </s:row>
    <s:row r="27204" hidden="1" ht="1" customHeight="1">
      <s:c r="A27204" s="120" t="inlineStr"/>
      <s:c r="B27204" s="121" t="n"/>
      <s:c r="C27204" s="121" t="n"/>
      <s:c r="D27204" s="121" t="n"/>
      <s:c r="E27204" s="122" t="n"/>
    </s:row>
    <s:row r="27205" hidden="1" ht="1" customHeight="1">
      <s:c r="A27205" s="120" t="inlineStr"/>
      <s:c r="B27205" s="121" t="n"/>
      <s:c r="C27205" s="121" t="n"/>
      <s:c r="D27205" s="121" t="n"/>
      <s:c r="E27205" s="122" t="n"/>
    </s:row>
    <s:row r="27206" hidden="1" ht="1" customHeight="1">
      <s:c r="A27206" s="120" t="inlineStr"/>
      <s:c r="B27206" s="121" t="n"/>
      <s:c r="C27206" s="121" t="n"/>
      <s:c r="D27206" s="121" t="n"/>
      <s:c r="E27206" s="122" t="n"/>
    </s:row>
    <s:row r="27207" hidden="1" ht="1" customHeight="1">
      <s:c r="A27207" s="120" t="inlineStr"/>
      <s:c r="B27207" s="121" t="n"/>
      <s:c r="C27207" s="121" t="n"/>
      <s:c r="D27207" s="121" t="n"/>
      <s:c r="E27207" s="122" t="n"/>
    </s:row>
    <s:row r="27208" hidden="1" ht="1" customHeight="1">
      <s:c r="A27208" s="120" t="inlineStr"/>
      <s:c r="B27208" s="121" t="n"/>
      <s:c r="C27208" s="121" t="n"/>
      <s:c r="D27208" s="121" t="n"/>
      <s:c r="E27208" s="122" t="n"/>
    </s:row>
    <s:row r="27209" hidden="1" ht="1" customHeight="1">
      <s:c r="A27209" s="120" t="inlineStr"/>
      <s:c r="B27209" s="121" t="n"/>
      <s:c r="C27209" s="121" t="n"/>
      <s:c r="D27209" s="121" t="n"/>
      <s:c r="E27209" s="122" t="n"/>
    </s:row>
    <s:row r="27210" hidden="1" ht="1" customHeight="1">
      <s:c r="A27210" s="120" t="inlineStr"/>
      <s:c r="B27210" s="121" t="n"/>
      <s:c r="C27210" s="121" t="n"/>
      <s:c r="D27210" s="121" t="n"/>
      <s:c r="E27210" s="122" t="n"/>
    </s:row>
    <s:row r="27211" hidden="1" ht="1" customHeight="1">
      <s:c r="A27211" s="120" t="inlineStr"/>
      <s:c r="B27211" s="121" t="n"/>
      <s:c r="C27211" s="121" t="n"/>
      <s:c r="D27211" s="121" t="n"/>
      <s:c r="E27211" s="122" t="n"/>
    </s:row>
    <s:row r="27212" hidden="1" ht="1" customHeight="1">
      <s:c r="A27212" s="120" t="inlineStr"/>
      <s:c r="B27212" s="121" t="n"/>
      <s:c r="C27212" s="121" t="n"/>
      <s:c r="D27212" s="121" t="n"/>
      <s:c r="E27212" s="122" t="n"/>
    </s:row>
    <s:row r="27213" hidden="1" ht="1" customHeight="1">
      <s:c r="A27213" s="120" t="inlineStr"/>
      <s:c r="B27213" s="121" t="n"/>
      <s:c r="C27213" s="121" t="n"/>
      <s:c r="D27213" s="121" t="n"/>
      <s:c r="E27213" s="122" t="n"/>
    </s:row>
    <s:row r="27214" hidden="1" ht="1" customHeight="1">
      <s:c r="A27214" s="120" t="inlineStr"/>
      <s:c r="B27214" s="121" t="n"/>
      <s:c r="C27214" s="121" t="n"/>
      <s:c r="D27214" s="121" t="n"/>
      <s:c r="E27214" s="122" t="n"/>
    </s:row>
    <s:row r="27215" hidden="1" ht="1" customHeight="1">
      <s:c r="A27215" s="120" t="inlineStr"/>
      <s:c r="B27215" s="121" t="n"/>
      <s:c r="C27215" s="121" t="n"/>
      <s:c r="D27215" s="121" t="n"/>
      <s:c r="E27215" s="122" t="n"/>
    </s:row>
    <s:row r="27216" hidden="1" ht="1" customHeight="1">
      <s:c r="A27216" s="120" t="inlineStr"/>
      <s:c r="B27216" s="121" t="n"/>
      <s:c r="C27216" s="121" t="n"/>
      <s:c r="D27216" s="121" t="n"/>
      <s:c r="E27216" s="122" t="n"/>
    </s:row>
    <s:row r="27217" hidden="1" ht="1" customHeight="1">
      <s:c r="A27217" s="120" t="inlineStr"/>
      <s:c r="B27217" s="121" t="n"/>
      <s:c r="C27217" s="121" t="n"/>
      <s:c r="D27217" s="121" t="n"/>
      <s:c r="E27217" s="122" t="n"/>
    </s:row>
    <s:row r="27218" hidden="1" ht="1" customHeight="1">
      <s:c r="A27218" s="120" t="inlineStr"/>
      <s:c r="B27218" s="121" t="n"/>
      <s:c r="C27218" s="121" t="n"/>
      <s:c r="D27218" s="121" t="n"/>
      <s:c r="E27218" s="122" t="n"/>
    </s:row>
    <s:row r="27219" hidden="1" ht="1" customHeight="1">
      <s:c r="A27219" s="120" t="inlineStr"/>
      <s:c r="B27219" s="121" t="n"/>
      <s:c r="C27219" s="121" t="n"/>
      <s:c r="D27219" s="121" t="n"/>
      <s:c r="E27219" s="122" t="n"/>
    </s:row>
    <s:row r="27220" hidden="1" ht="1" customHeight="1">
      <s:c r="A27220" s="120" t="inlineStr"/>
      <s:c r="B27220" s="121" t="n"/>
      <s:c r="C27220" s="121" t="n"/>
      <s:c r="D27220" s="121" t="n"/>
      <s:c r="E27220" s="122" t="n"/>
    </s:row>
    <s:row r="27221" hidden="1" ht="1" customHeight="1">
      <s:c r="A27221" s="120" t="inlineStr"/>
      <s:c r="B27221" s="121" t="n"/>
      <s:c r="C27221" s="121" t="n"/>
      <s:c r="D27221" s="121" t="n"/>
      <s:c r="E27221" s="122" t="n"/>
    </s:row>
    <s:row r="27222" hidden="1" ht="1" customHeight="1">
      <s:c r="A27222" s="120" t="inlineStr"/>
      <s:c r="B27222" s="121" t="n"/>
      <s:c r="C27222" s="121" t="n"/>
      <s:c r="D27222" s="121" t="n"/>
      <s:c r="E27222" s="122" t="n"/>
    </s:row>
    <s:row r="27223" hidden="1" ht="1" customHeight="1">
      <s:c r="A27223" s="120" t="inlineStr"/>
      <s:c r="B27223" s="121" t="n"/>
      <s:c r="C27223" s="121" t="n"/>
      <s:c r="D27223" s="121" t="n"/>
      <s:c r="E27223" s="122" t="n"/>
    </s:row>
    <s:row r="27224" hidden="1" ht="1" customHeight="1">
      <s:c r="A27224" s="120" t="inlineStr"/>
      <s:c r="B27224" s="121" t="n"/>
      <s:c r="C27224" s="121" t="n"/>
      <s:c r="D27224" s="121" t="n"/>
      <s:c r="E27224" s="122" t="n"/>
    </s:row>
    <s:row r="27225" hidden="1" ht="1" customHeight="1">
      <s:c r="A27225" s="120" t="inlineStr"/>
      <s:c r="B27225" s="121" t="n"/>
      <s:c r="C27225" s="121" t="n"/>
      <s:c r="D27225" s="121" t="n"/>
      <s:c r="E27225" s="122" t="n"/>
    </s:row>
    <s:row r="27226" hidden="1" ht="1" customHeight="1">
      <s:c r="A27226" s="120" t="inlineStr"/>
      <s:c r="B27226" s="121" t="n"/>
      <s:c r="C27226" s="121" t="n"/>
      <s:c r="D27226" s="121" t="n"/>
      <s:c r="E27226" s="122" t="n"/>
    </s:row>
    <s:row r="27227" hidden="1" ht="1" customHeight="1">
      <s:c r="A27227" s="120" t="inlineStr"/>
      <s:c r="B27227" s="121" t="n"/>
      <s:c r="C27227" s="121" t="n"/>
      <s:c r="D27227" s="121" t="n"/>
      <s:c r="E27227" s="122" t="n"/>
    </s:row>
    <s:row r="27228" hidden="1" ht="1" customHeight="1">
      <s:c r="A27228" s="120" t="inlineStr"/>
      <s:c r="B27228" s="121" t="n"/>
      <s:c r="C27228" s="121" t="n"/>
      <s:c r="D27228" s="121" t="n"/>
      <s:c r="E27228" s="122" t="n"/>
    </s:row>
    <s:row r="27229" hidden="1" ht="1" customHeight="1">
      <s:c r="A27229" s="120" t="inlineStr"/>
      <s:c r="B27229" s="121" t="n"/>
      <s:c r="C27229" s="121" t="n"/>
      <s:c r="D27229" s="121" t="n"/>
      <s:c r="E27229" s="122" t="n"/>
    </s:row>
    <s:row r="27230" hidden="1" ht="1" customHeight="1">
      <s:c r="A27230" s="120" t="inlineStr"/>
      <s:c r="B27230" s="121" t="n"/>
      <s:c r="C27230" s="121" t="n"/>
      <s:c r="D27230" s="121" t="n"/>
      <s:c r="E27230" s="122" t="n"/>
    </s:row>
    <s:row r="27231" hidden="1" ht="1" customHeight="1">
      <s:c r="A27231" s="120" t="inlineStr"/>
      <s:c r="B27231" s="121" t="n"/>
      <s:c r="C27231" s="121" t="n"/>
      <s:c r="D27231" s="121" t="n"/>
      <s:c r="E27231" s="122" t="n"/>
    </s:row>
    <s:row r="27232" hidden="1" ht="1" customHeight="1">
      <s:c r="A27232" s="120" t="inlineStr"/>
      <s:c r="B27232" s="121" t="n"/>
      <s:c r="C27232" s="121" t="n"/>
      <s:c r="D27232" s="121" t="n"/>
      <s:c r="E27232" s="122" t="n"/>
    </s:row>
    <s:row r="27233" hidden="1" ht="1" customHeight="1">
      <s:c r="A27233" s="120" t="inlineStr"/>
      <s:c r="B27233" s="121" t="n"/>
      <s:c r="C27233" s="121" t="n"/>
      <s:c r="D27233" s="121" t="n"/>
      <s:c r="E27233" s="122" t="n"/>
    </s:row>
    <s:row r="27234" hidden="1" ht="1" customHeight="1">
      <s:c r="A27234" s="120" t="inlineStr"/>
      <s:c r="B27234" s="121" t="n"/>
      <s:c r="C27234" s="121" t="n"/>
      <s:c r="D27234" s="121" t="n"/>
      <s:c r="E27234" s="122" t="n"/>
    </s:row>
    <s:row r="27235" hidden="1" ht="1" customHeight="1">
      <s:c r="A27235" s="120" t="inlineStr"/>
      <s:c r="B27235" s="121" t="n"/>
      <s:c r="C27235" s="121" t="n"/>
      <s:c r="D27235" s="121" t="n"/>
      <s:c r="E27235" s="122" t="n"/>
    </s:row>
    <s:row r="27236" hidden="1" ht="1" customHeight="1">
      <s:c r="A27236" s="120" t="inlineStr"/>
      <s:c r="B27236" s="121" t="n"/>
      <s:c r="C27236" s="121" t="n"/>
      <s:c r="D27236" s="121" t="n"/>
      <s:c r="E27236" s="122" t="n"/>
    </s:row>
    <s:row r="27237" hidden="1" ht="1" customHeight="1">
      <s:c r="A27237" s="120" t="inlineStr"/>
      <s:c r="B27237" s="121" t="n"/>
      <s:c r="C27237" s="121" t="n"/>
      <s:c r="D27237" s="121" t="n"/>
      <s:c r="E27237" s="122" t="n"/>
    </s:row>
    <s:row r="27238" hidden="1" ht="1" customHeight="1">
      <s:c r="A27238" s="120" t="inlineStr"/>
      <s:c r="B27238" s="121" t="n"/>
      <s:c r="C27238" s="121" t="n"/>
      <s:c r="D27238" s="121" t="n"/>
      <s:c r="E27238" s="122" t="n"/>
    </s:row>
    <s:row r="27239" hidden="1" ht="1" customHeight="1">
      <s:c r="A27239" s="120" t="inlineStr"/>
      <s:c r="B27239" s="121" t="n"/>
      <s:c r="C27239" s="121" t="n"/>
      <s:c r="D27239" s="121" t="n"/>
      <s:c r="E27239" s="122" t="n"/>
    </s:row>
    <s:row r="27240" hidden="1" ht="1" customHeight="1">
      <s:c r="A27240" s="120" t="inlineStr"/>
      <s:c r="B27240" s="121" t="n"/>
      <s:c r="C27240" s="121" t="n"/>
      <s:c r="D27240" s="121" t="n"/>
      <s:c r="E27240" s="122" t="n"/>
    </s:row>
    <s:row r="27241" hidden="1" ht="1" customHeight="1">
      <s:c r="A27241" s="120" t="inlineStr"/>
      <s:c r="B27241" s="121" t="n"/>
      <s:c r="C27241" s="121" t="n"/>
      <s:c r="D27241" s="121" t="n"/>
      <s:c r="E27241" s="122" t="n"/>
    </s:row>
    <s:row r="27242" hidden="1" ht="1" customHeight="1">
      <s:c r="A27242" s="120" t="inlineStr"/>
      <s:c r="B27242" s="121" t="n"/>
      <s:c r="C27242" s="121" t="n"/>
      <s:c r="D27242" s="121" t="n"/>
      <s:c r="E27242" s="122" t="n"/>
    </s:row>
    <s:row r="27243" hidden="1" ht="1" customHeight="1">
      <s:c r="A27243" s="120" t="inlineStr"/>
      <s:c r="B27243" s="121" t="n"/>
      <s:c r="C27243" s="121" t="n"/>
      <s:c r="D27243" s="121" t="n"/>
      <s:c r="E27243" s="122" t="n"/>
    </s:row>
    <s:row r="27244" hidden="1" ht="1" customHeight="1">
      <s:c r="A27244" s="120" t="inlineStr"/>
      <s:c r="B27244" s="121" t="n"/>
      <s:c r="C27244" s="121" t="n"/>
      <s:c r="D27244" s="121" t="n"/>
      <s:c r="E27244" s="122" t="n"/>
    </s:row>
    <s:row r="27245" hidden="1" ht="1" customHeight="1">
      <s:c r="A27245" s="120" t="inlineStr"/>
      <s:c r="B27245" s="121" t="n"/>
      <s:c r="C27245" s="121" t="n"/>
      <s:c r="D27245" s="121" t="n"/>
      <s:c r="E27245" s="122" t="n"/>
    </s:row>
    <s:row r="27246" hidden="1" ht="1" customHeight="1">
      <s:c r="A27246" s="120" t="inlineStr"/>
      <s:c r="B27246" s="121" t="n"/>
      <s:c r="C27246" s="121" t="n"/>
      <s:c r="D27246" s="121" t="n"/>
      <s:c r="E27246" s="122" t="n"/>
    </s:row>
    <s:row r="27247" hidden="1" ht="1" customHeight="1">
      <s:c r="A27247" s="120" t="inlineStr"/>
      <s:c r="B27247" s="121" t="n"/>
      <s:c r="C27247" s="121" t="n"/>
      <s:c r="D27247" s="121" t="n"/>
      <s:c r="E27247" s="122" t="n"/>
    </s:row>
    <s:row r="27248" hidden="1" ht="1" customHeight="1">
      <s:c r="A27248" s="120" t="inlineStr"/>
      <s:c r="B27248" s="121" t="n"/>
      <s:c r="C27248" s="121" t="n"/>
      <s:c r="D27248" s="121" t="n"/>
      <s:c r="E27248" s="122" t="n"/>
    </s:row>
    <s:row r="27249" hidden="1" ht="1" customHeight="1">
      <s:c r="A27249" s="120" t="inlineStr"/>
      <s:c r="B27249" s="121" t="n"/>
      <s:c r="C27249" s="121" t="n"/>
      <s:c r="D27249" s="121" t="n"/>
      <s:c r="E27249" s="122" t="n"/>
    </s:row>
    <s:row r="27250" hidden="1" ht="1" customHeight="1">
      <s:c r="A27250" s="120" t="inlineStr"/>
      <s:c r="B27250" s="121" t="n"/>
      <s:c r="C27250" s="121" t="n"/>
      <s:c r="D27250" s="121" t="n"/>
      <s:c r="E27250" s="122" t="n"/>
    </s:row>
    <s:row r="27251" hidden="1" ht="1" customHeight="1">
      <s:c r="A27251" s="120" t="inlineStr"/>
      <s:c r="B27251" s="121" t="n"/>
      <s:c r="C27251" s="121" t="n"/>
      <s:c r="D27251" s="121" t="n"/>
      <s:c r="E27251" s="122" t="n"/>
    </s:row>
    <s:row r="27252" hidden="1" ht="1" customHeight="1">
      <s:c r="A27252" s="120" t="inlineStr"/>
      <s:c r="B27252" s="121" t="n"/>
      <s:c r="C27252" s="121" t="n"/>
      <s:c r="D27252" s="121" t="n"/>
      <s:c r="E27252" s="122" t="n"/>
    </s:row>
    <s:row r="27253" hidden="1" ht="1" customHeight="1">
      <s:c r="A27253" s="120" t="inlineStr"/>
      <s:c r="B27253" s="121" t="n"/>
      <s:c r="C27253" s="121" t="n"/>
      <s:c r="D27253" s="121" t="n"/>
      <s:c r="E27253" s="122" t="n"/>
    </s:row>
    <s:row r="27254" hidden="1" ht="1" customHeight="1">
      <s:c r="A27254" s="120" t="inlineStr"/>
      <s:c r="B27254" s="121" t="n"/>
      <s:c r="C27254" s="121" t="n"/>
      <s:c r="D27254" s="121" t="n"/>
      <s:c r="E27254" s="122" t="n"/>
    </s:row>
    <s:row r="27255" hidden="1" ht="1" customHeight="1">
      <s:c r="A27255" s="120" t="inlineStr"/>
      <s:c r="B27255" s="121" t="n"/>
      <s:c r="C27255" s="121" t="n"/>
      <s:c r="D27255" s="121" t="n"/>
      <s:c r="E27255" s="122" t="n"/>
    </s:row>
    <s:row r="27256" hidden="1" ht="1" customHeight="1">
      <s:c r="A27256" s="120" t="inlineStr"/>
      <s:c r="B27256" s="121" t="n"/>
      <s:c r="C27256" s="121" t="n"/>
      <s:c r="D27256" s="121" t="n"/>
      <s:c r="E27256" s="122" t="n"/>
    </s:row>
    <s:row r="27257" hidden="1" ht="1" customHeight="1">
      <s:c r="A27257" s="120" t="inlineStr"/>
      <s:c r="B27257" s="121" t="n"/>
      <s:c r="C27257" s="121" t="n"/>
      <s:c r="D27257" s="121" t="n"/>
      <s:c r="E27257" s="122" t="n"/>
    </s:row>
    <s:row r="27258" hidden="1" ht="1" customHeight="1">
      <s:c r="A27258" s="120" t="inlineStr"/>
      <s:c r="B27258" s="121" t="n"/>
      <s:c r="C27258" s="121" t="n"/>
      <s:c r="D27258" s="121" t="n"/>
      <s:c r="E27258" s="122" t="n"/>
    </s:row>
    <s:row r="27259" hidden="1" ht="1" customHeight="1">
      <s:c r="A27259" s="120" t="inlineStr"/>
      <s:c r="B27259" s="121" t="n"/>
      <s:c r="C27259" s="121" t="n"/>
      <s:c r="D27259" s="121" t="n"/>
      <s:c r="E27259" s="122" t="n"/>
    </s:row>
    <s:row r="27260" hidden="1" ht="1" customHeight="1">
      <s:c r="A27260" s="120" t="inlineStr"/>
      <s:c r="B27260" s="121" t="n"/>
      <s:c r="C27260" s="121" t="n"/>
      <s:c r="D27260" s="121" t="n"/>
      <s:c r="E27260" s="122" t="n"/>
    </s:row>
    <s:row r="27261" hidden="1" ht="1" customHeight="1">
      <s:c r="A27261" s="120" t="inlineStr"/>
      <s:c r="B27261" s="121" t="n"/>
      <s:c r="C27261" s="121" t="n"/>
      <s:c r="D27261" s="121" t="n"/>
      <s:c r="E27261" s="122" t="n"/>
    </s:row>
    <s:row r="27262" hidden="1" ht="1" customHeight="1">
      <s:c r="A27262" s="120" t="inlineStr"/>
      <s:c r="B27262" s="121" t="n"/>
      <s:c r="C27262" s="121" t="n"/>
      <s:c r="D27262" s="121" t="n"/>
      <s:c r="E27262" s="122" t="n"/>
    </s:row>
    <s:row r="27263" hidden="1" ht="1" customHeight="1">
      <s:c r="A27263" s="120" t="inlineStr"/>
      <s:c r="B27263" s="121" t="n"/>
      <s:c r="C27263" s="121" t="n"/>
      <s:c r="D27263" s="121" t="n"/>
      <s:c r="E27263" s="122" t="n"/>
    </s:row>
    <s:row r="27264" hidden="1" ht="1" customHeight="1">
      <s:c r="A27264" s="120" t="inlineStr"/>
      <s:c r="B27264" s="121" t="n"/>
      <s:c r="C27264" s="121" t="n"/>
      <s:c r="D27264" s="121" t="n"/>
      <s:c r="E27264" s="122" t="n"/>
    </s:row>
    <s:row r="27265" hidden="1" ht="1" customHeight="1">
      <s:c r="A27265" s="120" t="inlineStr"/>
      <s:c r="B27265" s="121" t="n"/>
      <s:c r="C27265" s="121" t="n"/>
      <s:c r="D27265" s="121" t="n"/>
      <s:c r="E27265" s="122" t="n"/>
    </s:row>
    <s:row r="27266" hidden="1" ht="1" customHeight="1">
      <s:c r="A27266" s="120" t="inlineStr"/>
      <s:c r="B27266" s="121" t="n"/>
      <s:c r="C27266" s="121" t="n"/>
      <s:c r="D27266" s="121" t="n"/>
      <s:c r="E27266" s="122" t="n"/>
    </s:row>
    <s:row r="27267" hidden="1" ht="1" customHeight="1">
      <s:c r="A27267" s="120" t="inlineStr"/>
      <s:c r="B27267" s="121" t="n"/>
      <s:c r="C27267" s="121" t="n"/>
      <s:c r="D27267" s="121" t="n"/>
      <s:c r="E27267" s="122" t="n"/>
    </s:row>
    <s:row r="27268" hidden="1" ht="1" customHeight="1">
      <s:c r="A27268" s="120" t="inlineStr"/>
      <s:c r="B27268" s="121" t="n"/>
      <s:c r="C27268" s="121" t="n"/>
      <s:c r="D27268" s="121" t="n"/>
      <s:c r="E27268" s="122" t="n"/>
    </s:row>
    <s:row r="27269" hidden="1" ht="1" customHeight="1">
      <s:c r="A27269" s="120" t="inlineStr"/>
      <s:c r="B27269" s="121" t="n"/>
      <s:c r="C27269" s="121" t="n"/>
      <s:c r="D27269" s="121" t="n"/>
      <s:c r="E27269" s="122" t="n"/>
    </s:row>
    <s:row r="27270" hidden="1" ht="1" customHeight="1">
      <s:c r="A27270" s="120" t="inlineStr"/>
      <s:c r="B27270" s="121" t="n"/>
      <s:c r="C27270" s="121" t="n"/>
      <s:c r="D27270" s="121" t="n"/>
      <s:c r="E27270" s="122" t="n"/>
    </s:row>
    <s:row r="27271" hidden="1" ht="1" customHeight="1">
      <s:c r="A27271" s="120" t="inlineStr"/>
      <s:c r="B27271" s="121" t="n"/>
      <s:c r="C27271" s="121" t="n"/>
      <s:c r="D27271" s="121" t="n"/>
      <s:c r="E27271" s="122" t="n"/>
    </s:row>
    <s:row r="27272" hidden="1" ht="1" customHeight="1">
      <s:c r="A27272" s="120" t="inlineStr"/>
      <s:c r="B27272" s="121" t="n"/>
      <s:c r="C27272" s="121" t="n"/>
      <s:c r="D27272" s="121" t="n"/>
      <s:c r="E27272" s="122" t="n"/>
    </s:row>
    <s:row r="27273" hidden="1" ht="1" customHeight="1">
      <s:c r="A27273" s="120" t="inlineStr"/>
      <s:c r="B27273" s="121" t="n"/>
      <s:c r="C27273" s="121" t="n"/>
      <s:c r="D27273" s="121" t="n"/>
      <s:c r="E27273" s="122" t="n"/>
    </s:row>
    <s:row r="27274" hidden="1" ht="1" customHeight="1">
      <s:c r="A27274" s="120" t="inlineStr"/>
      <s:c r="B27274" s="121" t="n"/>
      <s:c r="C27274" s="121" t="n"/>
      <s:c r="D27274" s="121" t="n"/>
      <s:c r="E27274" s="122" t="n"/>
    </s:row>
    <s:row r="27275" hidden="1" ht="1" customHeight="1">
      <s:c r="A27275" s="120" t="inlineStr"/>
      <s:c r="B27275" s="121" t="n"/>
      <s:c r="C27275" s="121" t="n"/>
      <s:c r="D27275" s="121" t="n"/>
      <s:c r="E27275" s="122" t="n"/>
    </s:row>
    <s:row r="27276" hidden="1" ht="1" customHeight="1">
      <s:c r="A27276" s="120" t="inlineStr"/>
      <s:c r="B27276" s="121" t="n"/>
      <s:c r="C27276" s="121" t="n"/>
      <s:c r="D27276" s="121" t="n"/>
      <s:c r="E27276" s="122" t="n"/>
    </s:row>
    <s:row r="27277" hidden="1" ht="1" customHeight="1">
      <s:c r="A27277" s="120" t="inlineStr"/>
      <s:c r="B27277" s="121" t="n"/>
      <s:c r="C27277" s="121" t="n"/>
      <s:c r="D27277" s="121" t="n"/>
      <s:c r="E27277" s="122" t="n"/>
    </s:row>
    <s:row r="27278" hidden="1" ht="1" customHeight="1">
      <s:c r="A27278" s="120" t="inlineStr"/>
      <s:c r="B27278" s="121" t="n"/>
      <s:c r="C27278" s="121" t="n"/>
      <s:c r="D27278" s="121" t="n"/>
      <s:c r="E27278" s="122" t="n"/>
    </s:row>
    <s:row r="27279" hidden="1" ht="1" customHeight="1">
      <s:c r="A27279" s="120" t="inlineStr"/>
      <s:c r="B27279" s="121" t="n"/>
      <s:c r="C27279" s="121" t="n"/>
      <s:c r="D27279" s="121" t="n"/>
      <s:c r="E27279" s="122" t="n"/>
    </s:row>
    <s:row r="27280" hidden="1" ht="1" customHeight="1">
      <s:c r="A27280" s="120" t="inlineStr"/>
      <s:c r="B27280" s="121" t="n"/>
      <s:c r="C27280" s="121" t="n"/>
      <s:c r="D27280" s="121" t="n"/>
      <s:c r="E27280" s="122" t="n"/>
    </s:row>
    <s:row r="27281" hidden="1" ht="1" customHeight="1">
      <s:c r="A27281" s="120" t="inlineStr"/>
      <s:c r="B27281" s="121" t="n"/>
      <s:c r="C27281" s="121" t="n"/>
      <s:c r="D27281" s="121" t="n"/>
      <s:c r="E27281" s="122" t="n"/>
    </s:row>
    <s:row r="27282" hidden="1" ht="1" customHeight="1">
      <s:c r="A27282" s="120" t="inlineStr"/>
      <s:c r="B27282" s="121" t="n"/>
      <s:c r="C27282" s="121" t="n"/>
      <s:c r="D27282" s="121" t="n"/>
      <s:c r="E27282" s="122" t="n"/>
    </s:row>
    <s:row r="27283" hidden="1" ht="1" customHeight="1">
      <s:c r="A27283" s="120" t="inlineStr"/>
      <s:c r="B27283" s="121" t="n"/>
      <s:c r="C27283" s="121" t="n"/>
      <s:c r="D27283" s="121" t="n"/>
      <s:c r="E27283" s="122" t="n"/>
    </s:row>
    <s:row r="27284" hidden="1" ht="1" customHeight="1">
      <s:c r="A27284" s="120" t="inlineStr"/>
      <s:c r="B27284" s="121" t="n"/>
      <s:c r="C27284" s="121" t="n"/>
      <s:c r="D27284" s="121" t="n"/>
      <s:c r="E27284" s="122" t="n"/>
    </s:row>
    <s:row r="27285" hidden="1" ht="1" customHeight="1">
      <s:c r="A27285" s="120" t="inlineStr"/>
      <s:c r="B27285" s="121" t="n"/>
      <s:c r="C27285" s="121" t="n"/>
      <s:c r="D27285" s="121" t="n"/>
      <s:c r="E27285" s="122" t="n"/>
    </s:row>
    <s:row r="27286" hidden="1" ht="1" customHeight="1">
      <s:c r="A27286" s="120" t="inlineStr"/>
      <s:c r="B27286" s="121" t="n"/>
      <s:c r="C27286" s="121" t="n"/>
      <s:c r="D27286" s="121" t="n"/>
      <s:c r="E27286" s="122" t="n"/>
    </s:row>
    <s:row r="27287" hidden="1" ht="1" customHeight="1">
      <s:c r="A27287" s="120" t="inlineStr"/>
      <s:c r="B27287" s="121" t="n"/>
      <s:c r="C27287" s="121" t="n"/>
      <s:c r="D27287" s="121" t="n"/>
      <s:c r="E27287" s="122" t="n"/>
    </s:row>
    <s:row r="27288" hidden="1" ht="1" customHeight="1">
      <s:c r="A27288" s="120" t="inlineStr"/>
      <s:c r="B27288" s="121" t="n"/>
      <s:c r="C27288" s="121" t="n"/>
      <s:c r="D27288" s="121" t="n"/>
      <s:c r="E27288" s="122" t="n"/>
    </s:row>
    <s:row r="27289" hidden="1" ht="1" customHeight="1">
      <s:c r="A27289" s="120" t="inlineStr"/>
      <s:c r="B27289" s="121" t="n"/>
      <s:c r="C27289" s="121" t="n"/>
      <s:c r="D27289" s="121" t="n"/>
      <s:c r="E27289" s="122" t="n"/>
    </s:row>
    <s:row r="27290" hidden="1" ht="1" customHeight="1">
      <s:c r="A27290" s="120" t="inlineStr"/>
      <s:c r="B27290" s="121" t="n"/>
      <s:c r="C27290" s="121" t="n"/>
      <s:c r="D27290" s="121" t="n"/>
      <s:c r="E27290" s="122" t="n"/>
    </s:row>
    <s:row r="27291" hidden="1" ht="1" customHeight="1">
      <s:c r="A27291" s="120" t="inlineStr"/>
      <s:c r="B27291" s="121" t="n"/>
      <s:c r="C27291" s="121" t="n"/>
      <s:c r="D27291" s="121" t="n"/>
      <s:c r="E27291" s="122" t="n"/>
    </s:row>
    <s:row r="27292" hidden="1" ht="1" customHeight="1">
      <s:c r="A27292" s="120" t="inlineStr"/>
      <s:c r="B27292" s="121" t="n"/>
      <s:c r="C27292" s="121" t="n"/>
      <s:c r="D27292" s="121" t="n"/>
      <s:c r="E27292" s="122" t="n"/>
    </s:row>
    <s:row r="27293" hidden="1" ht="1" customHeight="1">
      <s:c r="A27293" s="120" t="inlineStr"/>
      <s:c r="B27293" s="121" t="n"/>
      <s:c r="C27293" s="121" t="n"/>
      <s:c r="D27293" s="121" t="n"/>
      <s:c r="E27293" s="122" t="n"/>
    </s:row>
    <s:row r="27294" hidden="1" ht="1" customHeight="1">
      <s:c r="A27294" s="120" t="inlineStr"/>
      <s:c r="B27294" s="121" t="n"/>
      <s:c r="C27294" s="121" t="n"/>
      <s:c r="D27294" s="121" t="n"/>
      <s:c r="E27294" s="122" t="n"/>
    </s:row>
    <s:row r="27295" hidden="1" ht="1" customHeight="1">
      <s:c r="A27295" s="120" t="inlineStr"/>
      <s:c r="B27295" s="121" t="n"/>
      <s:c r="C27295" s="121" t="n"/>
      <s:c r="D27295" s="121" t="n"/>
      <s:c r="E27295" s="122" t="n"/>
    </s:row>
    <s:row r="27296" hidden="1" ht="1" customHeight="1">
      <s:c r="A27296" s="120" t="inlineStr"/>
      <s:c r="B27296" s="121" t="n"/>
      <s:c r="C27296" s="121" t="n"/>
      <s:c r="D27296" s="121" t="n"/>
      <s:c r="E27296" s="122" t="n"/>
    </s:row>
    <s:row r="27297" hidden="1" ht="1" customHeight="1">
      <s:c r="A27297" s="83" t="inlineStr">
        <s:is>
          <s:t>PASS</s:t>
        </s:is>
      </s:c>
      <s:c r="B27297" s="83">
        <s:f>SUM(IF(EXACT('Kiểm thử'!E27147,"Đạt"),1,0),IF(EXACT('Kiểm thử'!E27149,"Đạt"),1,0),IF(EXACT('Kiểm thử'!E27151,"Đạt"),1,0))</s:f>
        <s:v/>
      </s:c>
      <s:c r="C27297" s="19" t="n"/>
      <s:c r="D27297" s="19" t="n"/>
      <s:c r="E27297" s="19" t="n"/>
    </s:row>
    <s:row r="27298" hidden="1" ht="1" customHeight="1">
      <s:c r="A27298" s="83" t="inlineStr">
        <s:is>
          <s:t>FAIL</s:t>
        </s:is>
      </s:c>
      <s:c r="B27298" s="83">
        <s:f>SUM(IF(EXACT('Kiểm thử'!E27147,"Không đạt"),1,0),IF(EXACT('Kiểm thử'!E27149,"Không đạt"),1,0),IF(EXACT('Kiểm thử'!E27151,"Không đạt"),1,0))</s:f>
        <s:v/>
      </s:c>
      <s:c r="C27298" s="19" t="n"/>
      <s:c r="D27298" s="19" t="n"/>
      <s:c r="E27298" s="19" t="n"/>
    </s:row>
    <s:row r="27299" hidden="1" ht="1" customHeight="1">
      <s:c r="A27299" s="83" t="inlineStr">
        <s:is>
          <s:t>BLOCKED</s:t>
        </s:is>
      </s:c>
      <s:c r="B27299" s="83">
        <s:f>SUM(IF(EXACT('Kiểm thử'!E27147,"Bị chặn"),1,0),IF(EXACT('Kiểm thử'!E27149,"Bị chặn"),1,0),IF(EXACT('Kiểm thử'!E27151,"Bị chặn"),1,0))</s:f>
        <s:v/>
      </s:c>
      <s:c r="C27299" s="19" t="n"/>
      <s:c r="D27299" s="19" t="n"/>
      <s:c r="E27299" s="19" t="n"/>
    </s:row>
    <s:row r="27300" hidden="1" ht="1" customHeight="1">
      <s:c r="A27300" s="83" t="inlineStr">
        <s:is>
          <s:t>SKIPPED</s:t>
        </s:is>
      </s:c>
      <s:c r="B27300" s="83">
        <s:f>SUM(IF(EXACT('Kiểm thử'!E27147,"Không thực hiện"),1,0),IF(EXACT('Kiểm thử'!E27149,"Không thực hiện"),1,0),IF(EXACT('Kiểm thử'!E27151,"Không thực hiện"),1,0))</s:f>
        <s:v/>
      </s:c>
      <s:c r="C27300" s="19" t="n"/>
      <s:c r="D27300" s="19" t="n"/>
      <s:c r="E27300" s="19" t="n"/>
    </s:row>
    <s:row r="27301" hidden="1" ht="1" customHeight="1">
      <s:c r="A27301" s="83" t="inlineStr">
        <s:is>
          <s:t>NOT RUN</s:t>
        </s:is>
      </s:c>
      <s:c r="B27301" s="83">
        <s:f>SUM(IF(EXACT('Kiểm thử'!E27147,"Chưa thực hiện"),1,0),IF(EXACT('Kiểm thử'!E27149,"Chưa thực hiện"),1,0),IF(EXACT('Kiểm thử'!E27151,"Chưa thực hiện"),1,0))</s:f>
        <s:v/>
      </s:c>
      <s:c r="C27301" s="19" t="n"/>
      <s:c r="D27301" s="19" t="n"/>
      <s:c r="E27301" s="19" t="n"/>
    </s:row>
    <s:row r="27302" hidden="1" ht="6" customHeight="1">
      <s:c r="A27302" s="83" t="inlineStr"/>
      <s:c r="B27302" s="19" t="n"/>
      <s:c r="C27302" s="19" t="n"/>
      <s:c r="D27302" s="19" t="n"/>
      <s:c r="E27302" s="19" t="n"/>
    </s:row>
    <s:row r="27303" ht="28" customHeight="1">
      <s:c r="A27303" s="108" t="inlineStr">
        <s:is>
          <s:t>TC-RS-DATA-008 — Lưu thông tin giải thích kết quả</s:t>
        </s:is>
      </s:c>
      <s:c r="B27303" s="111" t="n"/>
      <s:c r="C27303" s="111" t="n"/>
      <s:c r="D27303" s="111" t="n"/>
      <s:c r="E27303" s="111" t="n"/>
    </s:row>
    <s:row r="27304" ht="20" customHeight="1">
      <s:c r="A27304" s="112" t="inlineStr">
        <s:is>
          <s:t>Kết quả tình huống</s:t>
        </s:is>
      </s:c>
      <s:c r="B27304" s="113">
        <s:f>IF(SUM(IF(EXACT('Kiểm thử'!E27312,"Không đạt"),1,0))&gt;0,"Không đạt",IF(SUM(IF(EXACT('Kiểm thử'!E27312,"Đạt"),1,0))=1,"Đạt",IF(SUM(IF(EXACT('Kiểm thử'!E27312,"Không thực hiện"),1,0))=1,"Không thực hiện",IF(SUM(IF(EXACT('Kiểm thử'!E27312,"Bị chặn"),1,0))&gt;0,"Bị chặn",IF(SUM(IF(EXACT('Kiểm thử'!E27312,"Chưa thực hiện"),1,0))=1,"Chưa thực hiện","Đang thực hiện")))))</s:f>
        <s:v/>
      </s:c>
      <s:c r="C27304" s="114" t="n"/>
      <s:c r="D27304" s="114" t="n"/>
      <s:c r="E27304" s="114" t="n"/>
    </s:row>
    <s:row r="27305" ht="20" customHeight="1">
      <s:c r="A27305" s="112" t="inlineStr">
        <s:is>
          <s:t>Màn hình / chức năng</s:t>
        </s:is>
      </s:c>
      <s:c r="B27305" s="113" t="inlineStr">
        <s:is>
          <s:t>Bảo toàn dữ liệu và cấu hình</s:t>
        </s:is>
      </s:c>
      <s:c r="C27305" s="28" t="n"/>
      <s:c r="D27305" s="28" t="n"/>
      <s:c r="E27305" s="28" t="n"/>
    </s:row>
    <s:row r="27306" ht="62" customHeight="1">
      <s:c r="A27306" s="112" t="inlineStr">
        <s:is>
          <s:t>Cấu hình</s:t>
        </s:is>
      </s:c>
      <s:c r="B27306" s="113" t="inlineStr">
        <s:is>
          <s:t>• Có ô Đỏ, ô Chưa xét được, ô Không áp dụng và (nếu tạo được) một ô chưa từng xét đã có dòng điều khiển;
• Một ô dùng quy tắc Tỷ lệ (quy tắc tỷ lệ 30%);
• Một ô dùng quy tắc có nguồn trung bình (quy tắc công thức hai dòng (trung bình ÷ 2 × 0.8)).</s:t>
        </s:is>
      </s:c>
      <s:c r="C27306" s="28" t="n"/>
      <s:c r="D27306" s="28" t="n"/>
      <s:c r="E27306" s="28" t="n"/>
    </s:row>
    <s:row r="27307" ht="48" customHeight="1">
      <s:c r="A27307" s="112" t="inlineStr">
        <s:is>
          <s:t>Dữ liệu test</s:t>
        </s:is>
      </s:c>
      <s:c r="B27307" s="113" t="inlineStr">
        <s:is>
          <s:t>• Học sinh S01 (điểm 29);
• Quy tắc tỷ lệ 30%;
• Quy tắc công thức hai dòng (trung bình ÷ 2 × 0.8)</s:t>
        </s:is>
      </s:c>
      <s:c r="C27307" s="28" t="n"/>
      <s:c r="D27307" s="28" t="n"/>
      <s:c r="E27307" s="28" t="n"/>
    </s:row>
    <s:row r="27308" ht="34" customHeight="1">
      <s:c r="A27308" s="112" t="inlineStr">
        <s:is>
          <s:t>Bước 1</s:t>
        </s:is>
      </s:c>
      <s:c r="B27308" s="113" t="inlineStr">
        <s:is>
          <s:t>SELECT [red_score_setting_id], [reason_code], [judgment_context], [judged_at] của ô Đỏ (S01), ô Chưa xét được, ô Không áp dụng, ô chưa từng xét, ô Tỷ lệ và ô có nguồn.</s:t>
        </s:is>
      </s:c>
      <s:c r="C27308" s="28" t="n"/>
      <s:c r="D27308" s="28" t="n"/>
      <s:c r="E27308" s="28" t="n"/>
    </s:row>
    <s:row r="27309" ht="34" customHeight="1">
      <s:c r="A27309" s="112" t="inlineStr">
        <s:is>
          <s:t>Bước 2</s:t>
        </s:is>
      </s:c>
      <s:c r="B27309" s="113" t="inlineStr">
        <s:is>
          <s:t>Làm ô S01 chuyển từ Đỏ sang Không áp dụng (như case “Xóa quy tắc cuối: giữ kết quả tới lần chạy lại; chạy lại → Không áp dụng”), SELECT lại.</s:t>
        </s:is>
      </s:c>
      <s:c r="C27309" s="28" t="n"/>
      <s:c r="D27309" s="28" t="n"/>
      <s:c r="E27309" s="28" t="n"/>
    </s:row>
    <s:row r="27310" ht="28" customHeight="1">
      <s:c r="A27310" s="115" t="inlineStr">
        <s:is>
          <s:t>Trường hợp</s:t>
        </s:is>
      </s:c>
      <s:c r="B27310" s="115" t="inlineStr">
        <s:is>
          <s:t>Dữ liệu / thao tác riêng</s:t>
        </s:is>
      </s:c>
      <s:c r="C27310" s="115" t="inlineStr">
        <s:is>
          <s:t>Kết quả mong đợi</s:t>
        </s:is>
      </s:c>
      <s:c r="D27310" s="115" t="inlineStr">
        <s:is>
          <s:t>Kết quả thực tế</s:t>
        </s:is>
      </s:c>
      <s:c r="E27310" s="115" t="inlineStr">
        <s:is>
          <s:t>Đánh giá</s:t>
        </s:is>
      </s:c>
    </s:row>
    <s:row r="27311" ht="3" customHeight="1">
      <s:c r="A27311" s="102" t="inlineStr"/>
      <s:c r="B27311" s="99" t="n"/>
      <s:c r="C27311" s="99" t="n"/>
      <s:c r="D27311" s="116" t="n"/>
      <s:c r="E27311" s="116" t="n"/>
    </s:row>
    <s:row r="27312" ht="286" customHeight="1">
      <s:c r="A27312" s="83" t="inlineStr">
        <s:is>
          <s:t>Trường hợp cơ bản (Base)</s:t>
        </s:is>
      </s:c>
      <s:c r="B27312" s="83" t="inlineStr">
        <s:is>
          <s:t>Toàn bộ tình huống: Thực hiện đủ các bước chung theo thứ tự; kiểm cả đối tượng đích và đối chứng cùng fixture, không bỏ bước.</s:t>
        </s:is>
      </s:c>
      <s:c r="C27312" s="83" t="inlineStr">
        <s:is>
          <s:r>
            <s:t xml:space="preserve">1. Ô </s:t>
          </s:r>
          <s:r>
            <s:rPr>
              <s:b val="1"/>
            </s:rPr>
            <s:t>Đỏ</s:t>
          </s:r>
          <s:r>
            <s:t xml:space="preserve">: có quy tắc được chọn; [judgment_context] có [score]="29", [threshold] dạng tử/mẫu (30/1), [compare_type]=1, [sources] rỗng với quy tắc cố định. Ô Chưa xét được: có [reason_code] (ví dụ [source_missing]). [judged_at] có giá trị cho cả ô Chưa xét được và </s:t>
          </s:r>
          <s:r>
            <s:rPr>
              <s:b val="1"/>
            </s:rPr>
            <s:t>Không áp dụng</s:t>
          </s:r>
          <s:r>
            <s:t xml:space="preserve">; NULL ở ô chưa từng xét. Ô có điểm hợp lệ: [judgment_context] có [grade_id] (ID dòng điểm nguồn). Ô Tỷ lệ: [judgment_context] có [maximum]. Ô có nguồn: [sources[]] có [usage], [kind], [reference], [population_key]; </s:t>
          </s:r>
          <s:r>
            <s:rPr>
              <s:b val="1"/>
            </s:rPr>
            <s:t>với nhóm môn học（科目グループ）</s:t>
          </s:r>
          <s:r>
            <s:t xml:space="preserve"> có thêm [resolved_population_type]/[resolved_population_ref_id] nhưng vẫn giữ loại/ID đã chọn. Không có tên học sinh, thông tin liên hệ hay câu lỗi SQL.
2. Sau khi chuyển sang </s:t>
          </s:r>
          <s:r>
            <s:rPr>
              <s:b val="1"/>
            </s:rPr>
            <s:t>Không áp dụng</s:t>
          </s:r>
          <s:r>
            <s:t xml:space="preserve">: không còn giữ ngưỡng, dấu so sánh hay nguồn của lần </s:t>
          </s:r>
          <s:r>
            <s:rPr>
              <s:b val="1"/>
            </s:rPr>
            <s:t>Đỏ</s:t>
          </s:r>
          <s:r>
            <s:t xml:space="preserve"> trước.</s:t>
          </s:r>
        </s:is>
      </s:c>
      <s:c r="D27312" s="117" t="inlineStr"/>
      <s:c r="E27312" s="118" t="inlineStr">
        <s:is>
          <s:t>Chưa thực hiện</s:t>
        </s:is>
      </s:c>
    </s:row>
    <s:row r="27313" ht="20" customHeight="1">
      <s:c r="A27313" s="119" t="inlineStr">
        <s:is>
          <s:t>Ảnh minh chứng — Chưa có ảnh</s:t>
        </s:is>
      </s:c>
      <s:c r="B27313" s="19" t="n"/>
      <s:c r="C27313" s="19" t="n"/>
      <s:c r="D27313" s="19" t="n"/>
      <s:c r="E27313" s="19" t="n"/>
    </s:row>
    <s:row r="27314" hidden="1" ht="1" customHeight="1">
      <s:c r="A27314" s="120" t="inlineStr"/>
      <s:c r="B27314" s="121" t="n"/>
      <s:c r="C27314" s="121" t="n"/>
      <s:c r="D27314" s="121" t="n"/>
      <s:c r="E27314" s="122" t="n"/>
    </s:row>
    <s:row r="27315" hidden="1" ht="1" customHeight="1">
      <s:c r="A27315" s="120" t="inlineStr"/>
      <s:c r="B27315" s="121" t="n"/>
      <s:c r="C27315" s="121" t="n"/>
      <s:c r="D27315" s="121" t="n"/>
      <s:c r="E27315" s="122" t="n"/>
    </s:row>
    <s:row r="27316" hidden="1" ht="1" customHeight="1">
      <s:c r="A27316" s="120" t="inlineStr"/>
      <s:c r="B27316" s="121" t="n"/>
      <s:c r="C27316" s="121" t="n"/>
      <s:c r="D27316" s="121" t="n"/>
      <s:c r="E27316" s="122" t="n"/>
    </s:row>
    <s:row r="27317" hidden="1" ht="1" customHeight="1">
      <s:c r="A27317" s="120" t="inlineStr"/>
      <s:c r="B27317" s="121" t="n"/>
      <s:c r="C27317" s="121" t="n"/>
      <s:c r="D27317" s="121" t="n"/>
      <s:c r="E27317" s="122" t="n"/>
    </s:row>
    <s:row r="27318" hidden="1" ht="1" customHeight="1">
      <s:c r="A27318" s="120" t="inlineStr"/>
      <s:c r="B27318" s="121" t="n"/>
      <s:c r="C27318" s="121" t="n"/>
      <s:c r="D27318" s="121" t="n"/>
      <s:c r="E27318" s="122" t="n"/>
    </s:row>
    <s:row r="27319" hidden="1" ht="1" customHeight="1">
      <s:c r="A27319" s="120" t="inlineStr"/>
      <s:c r="B27319" s="121" t="n"/>
      <s:c r="C27319" s="121" t="n"/>
      <s:c r="D27319" s="121" t="n"/>
      <s:c r="E27319" s="122" t="n"/>
    </s:row>
    <s:row r="27320" hidden="1" ht="1" customHeight="1">
      <s:c r="A27320" s="120" t="inlineStr"/>
      <s:c r="B27320" s="121" t="n"/>
      <s:c r="C27320" s="121" t="n"/>
      <s:c r="D27320" s="121" t="n"/>
      <s:c r="E27320" s="122" t="n"/>
    </s:row>
    <s:row r="27321" hidden="1" ht="1" customHeight="1">
      <s:c r="A27321" s="120" t="inlineStr"/>
      <s:c r="B27321" s="121" t="n"/>
      <s:c r="C27321" s="121" t="n"/>
      <s:c r="D27321" s="121" t="n"/>
      <s:c r="E27321" s="122" t="n"/>
    </s:row>
    <s:row r="27322" hidden="1" ht="1" customHeight="1">
      <s:c r="A27322" s="120" t="inlineStr"/>
      <s:c r="B27322" s="121" t="n"/>
      <s:c r="C27322" s="121" t="n"/>
      <s:c r="D27322" s="121" t="n"/>
      <s:c r="E27322" s="122" t="n"/>
    </s:row>
    <s:row r="27323" hidden="1" ht="1" customHeight="1">
      <s:c r="A27323" s="120" t="inlineStr"/>
      <s:c r="B27323" s="121" t="n"/>
      <s:c r="C27323" s="121" t="n"/>
      <s:c r="D27323" s="121" t="n"/>
      <s:c r="E27323" s="122" t="n"/>
    </s:row>
    <s:row r="27324" hidden="1" ht="1" customHeight="1">
      <s:c r="A27324" s="120" t="inlineStr"/>
      <s:c r="B27324" s="121" t="n"/>
      <s:c r="C27324" s="121" t="n"/>
      <s:c r="D27324" s="121" t="n"/>
      <s:c r="E27324" s="122" t="n"/>
    </s:row>
    <s:row r="27325" hidden="1" ht="1" customHeight="1">
      <s:c r="A27325" s="120" t="inlineStr"/>
      <s:c r="B27325" s="121" t="n"/>
      <s:c r="C27325" s="121" t="n"/>
      <s:c r="D27325" s="121" t="n"/>
      <s:c r="E27325" s="122" t="n"/>
    </s:row>
    <s:row r="27326" hidden="1" ht="1" customHeight="1">
      <s:c r="A27326" s="120" t="inlineStr"/>
      <s:c r="B27326" s="121" t="n"/>
      <s:c r="C27326" s="121" t="n"/>
      <s:c r="D27326" s="121" t="n"/>
      <s:c r="E27326" s="122" t="n"/>
    </s:row>
    <s:row r="27327" hidden="1" ht="1" customHeight="1">
      <s:c r="A27327" s="120" t="inlineStr"/>
      <s:c r="B27327" s="121" t="n"/>
      <s:c r="C27327" s="121" t="n"/>
      <s:c r="D27327" s="121" t="n"/>
      <s:c r="E27327" s="122" t="n"/>
    </s:row>
    <s:row r="27328" hidden="1" ht="1" customHeight="1">
      <s:c r="A27328" s="120" t="inlineStr"/>
      <s:c r="B27328" s="121" t="n"/>
      <s:c r="C27328" s="121" t="n"/>
      <s:c r="D27328" s="121" t="n"/>
      <s:c r="E27328" s="122" t="n"/>
    </s:row>
    <s:row r="27329" hidden="1" ht="1" customHeight="1">
      <s:c r="A27329" s="120" t="inlineStr"/>
      <s:c r="B27329" s="121" t="n"/>
      <s:c r="C27329" s="121" t="n"/>
      <s:c r="D27329" s="121" t="n"/>
      <s:c r="E27329" s="122" t="n"/>
    </s:row>
    <s:row r="27330" hidden="1" ht="1" customHeight="1">
      <s:c r="A27330" s="120" t="inlineStr"/>
      <s:c r="B27330" s="121" t="n"/>
      <s:c r="C27330" s="121" t="n"/>
      <s:c r="D27330" s="121" t="n"/>
      <s:c r="E27330" s="122" t="n"/>
    </s:row>
    <s:row r="27331" hidden="1" ht="1" customHeight="1">
      <s:c r="A27331" s="120" t="inlineStr"/>
      <s:c r="B27331" s="121" t="n"/>
      <s:c r="C27331" s="121" t="n"/>
      <s:c r="D27331" s="121" t="n"/>
      <s:c r="E27331" s="122" t="n"/>
    </s:row>
    <s:row r="27332" hidden="1" ht="1" customHeight="1">
      <s:c r="A27332" s="120" t="inlineStr"/>
      <s:c r="B27332" s="121" t="n"/>
      <s:c r="C27332" s="121" t="n"/>
      <s:c r="D27332" s="121" t="n"/>
      <s:c r="E27332" s="122" t="n"/>
    </s:row>
    <s:row r="27333" hidden="1" ht="1" customHeight="1">
      <s:c r="A27333" s="120" t="inlineStr"/>
      <s:c r="B27333" s="121" t="n"/>
      <s:c r="C27333" s="121" t="n"/>
      <s:c r="D27333" s="121" t="n"/>
      <s:c r="E27333" s="122" t="n"/>
    </s:row>
    <s:row r="27334" hidden="1" ht="1" customHeight="1">
      <s:c r="A27334" s="120" t="inlineStr"/>
      <s:c r="B27334" s="121" t="n"/>
      <s:c r="C27334" s="121" t="n"/>
      <s:c r="D27334" s="121" t="n"/>
      <s:c r="E27334" s="122" t="n"/>
    </s:row>
    <s:row r="27335" hidden="1" ht="1" customHeight="1">
      <s:c r="A27335" s="120" t="inlineStr"/>
      <s:c r="B27335" s="121" t="n"/>
      <s:c r="C27335" s="121" t="n"/>
      <s:c r="D27335" s="121" t="n"/>
      <s:c r="E27335" s="122" t="n"/>
    </s:row>
    <s:row r="27336" hidden="1" ht="1" customHeight="1">
      <s:c r="A27336" s="120" t="inlineStr"/>
      <s:c r="B27336" s="121" t="n"/>
      <s:c r="C27336" s="121" t="n"/>
      <s:c r="D27336" s="121" t="n"/>
      <s:c r="E27336" s="122" t="n"/>
    </s:row>
    <s:row r="27337" hidden="1" ht="1" customHeight="1">
      <s:c r="A27337" s="120" t="inlineStr"/>
      <s:c r="B27337" s="121" t="n"/>
      <s:c r="C27337" s="121" t="n"/>
      <s:c r="D27337" s="121" t="n"/>
      <s:c r="E27337" s="122" t="n"/>
    </s:row>
    <s:row r="27338" hidden="1" ht="1" customHeight="1">
      <s:c r="A27338" s="120" t="inlineStr"/>
      <s:c r="B27338" s="121" t="n"/>
      <s:c r="C27338" s="121" t="n"/>
      <s:c r="D27338" s="121" t="n"/>
      <s:c r="E27338" s="122" t="n"/>
    </s:row>
    <s:row r="27339" hidden="1" ht="1" customHeight="1">
      <s:c r="A27339" s="120" t="inlineStr"/>
      <s:c r="B27339" s="121" t="n"/>
      <s:c r="C27339" s="121" t="n"/>
      <s:c r="D27339" s="121" t="n"/>
      <s:c r="E27339" s="122" t="n"/>
    </s:row>
    <s:row r="27340" hidden="1" ht="1" customHeight="1">
      <s:c r="A27340" s="120" t="inlineStr"/>
      <s:c r="B27340" s="121" t="n"/>
      <s:c r="C27340" s="121" t="n"/>
      <s:c r="D27340" s="121" t="n"/>
      <s:c r="E27340" s="122" t="n"/>
    </s:row>
    <s:row r="27341" hidden="1" ht="1" customHeight="1">
      <s:c r="A27341" s="120" t="inlineStr"/>
      <s:c r="B27341" s="121" t="n"/>
      <s:c r="C27341" s="121" t="n"/>
      <s:c r="D27341" s="121" t="n"/>
      <s:c r="E27341" s="122" t="n"/>
    </s:row>
    <s:row r="27342" hidden="1" ht="1" customHeight="1">
      <s:c r="A27342" s="120" t="inlineStr"/>
      <s:c r="B27342" s="121" t="n"/>
      <s:c r="C27342" s="121" t="n"/>
      <s:c r="D27342" s="121" t="n"/>
      <s:c r="E27342" s="122" t="n"/>
    </s:row>
    <s:row r="27343" hidden="1" ht="1" customHeight="1">
      <s:c r="A27343" s="120" t="inlineStr"/>
      <s:c r="B27343" s="121" t="n"/>
      <s:c r="C27343" s="121" t="n"/>
      <s:c r="D27343" s="121" t="n"/>
      <s:c r="E27343" s="122" t="n"/>
    </s:row>
    <s:row r="27344" hidden="1" ht="1" customHeight="1">
      <s:c r="A27344" s="120" t="inlineStr"/>
      <s:c r="B27344" s="121" t="n"/>
      <s:c r="C27344" s="121" t="n"/>
      <s:c r="D27344" s="121" t="n"/>
      <s:c r="E27344" s="122" t="n"/>
    </s:row>
    <s:row r="27345" hidden="1" ht="1" customHeight="1">
      <s:c r="A27345" s="120" t="inlineStr"/>
      <s:c r="B27345" s="121" t="n"/>
      <s:c r="C27345" s="121" t="n"/>
      <s:c r="D27345" s="121" t="n"/>
      <s:c r="E27345" s="122" t="n"/>
    </s:row>
    <s:row r="27346" hidden="1" ht="1" customHeight="1">
      <s:c r="A27346" s="120" t="inlineStr"/>
      <s:c r="B27346" s="121" t="n"/>
      <s:c r="C27346" s="121" t="n"/>
      <s:c r="D27346" s="121" t="n"/>
      <s:c r="E27346" s="122" t="n"/>
    </s:row>
    <s:row r="27347" hidden="1" ht="1" customHeight="1">
      <s:c r="A27347" s="120" t="inlineStr"/>
      <s:c r="B27347" s="121" t="n"/>
      <s:c r="C27347" s="121" t="n"/>
      <s:c r="D27347" s="121" t="n"/>
      <s:c r="E27347" s="122" t="n"/>
    </s:row>
    <s:row r="27348" hidden="1" ht="1" customHeight="1">
      <s:c r="A27348" s="120" t="inlineStr"/>
      <s:c r="B27348" s="121" t="n"/>
      <s:c r="C27348" s="121" t="n"/>
      <s:c r="D27348" s="121" t="n"/>
      <s:c r="E27348" s="122" t="n"/>
    </s:row>
    <s:row r="27349" hidden="1" ht="1" customHeight="1">
      <s:c r="A27349" s="120" t="inlineStr"/>
      <s:c r="B27349" s="121" t="n"/>
      <s:c r="C27349" s="121" t="n"/>
      <s:c r="D27349" s="121" t="n"/>
      <s:c r="E27349" s="122" t="n"/>
    </s:row>
    <s:row r="27350" hidden="1" ht="1" customHeight="1">
      <s:c r="A27350" s="120" t="inlineStr"/>
      <s:c r="B27350" s="121" t="n"/>
      <s:c r="C27350" s="121" t="n"/>
      <s:c r="D27350" s="121" t="n"/>
      <s:c r="E27350" s="122" t="n"/>
    </s:row>
    <s:row r="27351" hidden="1" ht="1" customHeight="1">
      <s:c r="A27351" s="120" t="inlineStr"/>
      <s:c r="B27351" s="121" t="n"/>
      <s:c r="C27351" s="121" t="n"/>
      <s:c r="D27351" s="121" t="n"/>
      <s:c r="E27351" s="122" t="n"/>
    </s:row>
    <s:row r="27352" hidden="1" ht="1" customHeight="1">
      <s:c r="A27352" s="120" t="inlineStr"/>
      <s:c r="B27352" s="121" t="n"/>
      <s:c r="C27352" s="121" t="n"/>
      <s:c r="D27352" s="121" t="n"/>
      <s:c r="E27352" s="122" t="n"/>
    </s:row>
    <s:row r="27353" hidden="1" ht="1" customHeight="1">
      <s:c r="A27353" s="120" t="inlineStr"/>
      <s:c r="B27353" s="121" t="n"/>
      <s:c r="C27353" s="121" t="n"/>
      <s:c r="D27353" s="121" t="n"/>
      <s:c r="E27353" s="122" t="n"/>
    </s:row>
    <s:row r="27354" hidden="1" ht="1" customHeight="1">
      <s:c r="A27354" s="120" t="inlineStr"/>
      <s:c r="B27354" s="121" t="n"/>
      <s:c r="C27354" s="121" t="n"/>
      <s:c r="D27354" s="121" t="n"/>
      <s:c r="E27354" s="122" t="n"/>
    </s:row>
    <s:row r="27355" hidden="1" ht="1" customHeight="1">
      <s:c r="A27355" s="120" t="inlineStr"/>
      <s:c r="B27355" s="121" t="n"/>
      <s:c r="C27355" s="121" t="n"/>
      <s:c r="D27355" s="121" t="n"/>
      <s:c r="E27355" s="122" t="n"/>
    </s:row>
    <s:row r="27356" hidden="1" ht="1" customHeight="1">
      <s:c r="A27356" s="120" t="inlineStr"/>
      <s:c r="B27356" s="121" t="n"/>
      <s:c r="C27356" s="121" t="n"/>
      <s:c r="D27356" s="121" t="n"/>
      <s:c r="E27356" s="122" t="n"/>
    </s:row>
    <s:row r="27357" hidden="1" ht="1" customHeight="1">
      <s:c r="A27357" s="120" t="inlineStr"/>
      <s:c r="B27357" s="121" t="n"/>
      <s:c r="C27357" s="121" t="n"/>
      <s:c r="D27357" s="121" t="n"/>
      <s:c r="E27357" s="122" t="n"/>
    </s:row>
    <s:row r="27358" hidden="1" ht="1" customHeight="1">
      <s:c r="A27358" s="120" t="inlineStr"/>
      <s:c r="B27358" s="121" t="n"/>
      <s:c r="C27358" s="121" t="n"/>
      <s:c r="D27358" s="121" t="n"/>
      <s:c r="E27358" s="122" t="n"/>
    </s:row>
    <s:row r="27359" hidden="1" ht="1" customHeight="1">
      <s:c r="A27359" s="120" t="inlineStr"/>
      <s:c r="B27359" s="121" t="n"/>
      <s:c r="C27359" s="121" t="n"/>
      <s:c r="D27359" s="121" t="n"/>
      <s:c r="E27359" s="122" t="n"/>
    </s:row>
    <s:row r="27360" hidden="1" ht="1" customHeight="1">
      <s:c r="A27360" s="120" t="inlineStr"/>
      <s:c r="B27360" s="121" t="n"/>
      <s:c r="C27360" s="121" t="n"/>
      <s:c r="D27360" s="121" t="n"/>
      <s:c r="E27360" s="122" t="n"/>
    </s:row>
    <s:row r="27361" hidden="1" ht="1" customHeight="1">
      <s:c r="A27361" s="120" t="inlineStr"/>
      <s:c r="B27361" s="121" t="n"/>
      <s:c r="C27361" s="121" t="n"/>
      <s:c r="D27361" s="121" t="n"/>
      <s:c r="E27361" s="122" t="n"/>
    </s:row>
    <s:row r="27362" hidden="1" ht="1" customHeight="1">
      <s:c r="A27362" s="83" t="inlineStr">
        <s:is>
          <s:t>PASS</s:t>
        </s:is>
      </s:c>
      <s:c r="B27362" s="83">
        <s:f>SUM(IF(EXACT('Kiểm thử'!E27312,"Đạt"),1,0))</s:f>
        <s:v/>
      </s:c>
      <s:c r="C27362" s="19" t="n"/>
      <s:c r="D27362" s="19" t="n"/>
      <s:c r="E27362" s="19" t="n"/>
    </s:row>
    <s:row r="27363" hidden="1" ht="1" customHeight="1">
      <s:c r="A27363" s="83" t="inlineStr">
        <s:is>
          <s:t>FAIL</s:t>
        </s:is>
      </s:c>
      <s:c r="B27363" s="83">
        <s:f>SUM(IF(EXACT('Kiểm thử'!E27312,"Không đạt"),1,0))</s:f>
        <s:v/>
      </s:c>
      <s:c r="C27363" s="19" t="n"/>
      <s:c r="D27363" s="19" t="n"/>
      <s:c r="E27363" s="19" t="n"/>
    </s:row>
    <s:row r="27364" hidden="1" ht="1" customHeight="1">
      <s:c r="A27364" s="83" t="inlineStr">
        <s:is>
          <s:t>BLOCKED</s:t>
        </s:is>
      </s:c>
      <s:c r="B27364" s="83">
        <s:f>SUM(IF(EXACT('Kiểm thử'!E27312,"Bị chặn"),1,0))</s:f>
        <s:v/>
      </s:c>
      <s:c r="C27364" s="19" t="n"/>
      <s:c r="D27364" s="19" t="n"/>
      <s:c r="E27364" s="19" t="n"/>
    </s:row>
    <s:row r="27365" hidden="1" ht="1" customHeight="1">
      <s:c r="A27365" s="83" t="inlineStr">
        <s:is>
          <s:t>SKIPPED</s:t>
        </s:is>
      </s:c>
      <s:c r="B27365" s="83">
        <s:f>SUM(IF(EXACT('Kiểm thử'!E27312,"Không thực hiện"),1,0))</s:f>
        <s:v/>
      </s:c>
      <s:c r="C27365" s="19" t="n"/>
      <s:c r="D27365" s="19" t="n"/>
      <s:c r="E27365" s="19" t="n"/>
    </s:row>
    <s:row r="27366" hidden="1" ht="1" customHeight="1">
      <s:c r="A27366" s="83" t="inlineStr">
        <s:is>
          <s:t>NOT RUN</s:t>
        </s:is>
      </s:c>
      <s:c r="B27366" s="83">
        <s:f>SUM(IF(EXACT('Kiểm thử'!E27312,"Chưa thực hiện"),1,0))</s:f>
        <s:v/>
      </s:c>
      <s:c r="C27366" s="19" t="n"/>
      <s:c r="D27366" s="19" t="n"/>
      <s:c r="E27366" s="19" t="n"/>
    </s:row>
    <s:row r="27367" hidden="1" ht="6" customHeight="1">
      <s:c r="A27367" s="83" t="inlineStr"/>
      <s:c r="B27367" s="19" t="n"/>
      <s:c r="C27367" s="19" t="n"/>
      <s:c r="D27367" s="19" t="n"/>
      <s:c r="E27367" s="19" t="n"/>
    </s:row>
    <s:row r="27368" ht="28" customHeight="1">
      <s:c r="A27368" s="108" t="inlineStr">
        <s:is>
          <s:t>TC-RS-DATA-011 — Bảng/cột mới theo quy tắc schema của BLEND</s:t>
        </s:is>
      </s:c>
      <s:c r="B27368" s="111" t="n"/>
      <s:c r="C27368" s="111" t="n"/>
      <s:c r="D27368" s="111" t="n"/>
      <s:c r="E27368" s="111" t="n"/>
    </s:row>
    <s:row r="27369" ht="20" customHeight="1">
      <s:c r="A27369" s="112" t="inlineStr">
        <s:is>
          <s:t>Kết quả tình huống</s:t>
        </s:is>
      </s:c>
      <s:c r="B27369" s="113">
        <s:f>IF(SUM(IF(EXACT('Kiểm thử'!E27377,"Không đạt"),1,0))&gt;0,"Không đạt",IF(SUM(IF(EXACT('Kiểm thử'!E27377,"Đạt"),1,0))=1,"Đạt",IF(SUM(IF(EXACT('Kiểm thử'!E27377,"Không thực hiện"),1,0))=1,"Không thực hiện",IF(SUM(IF(EXACT('Kiểm thử'!E27377,"Bị chặn"),1,0))&gt;0,"Bị chặn",IF(SUM(IF(EXACT('Kiểm thử'!E27377,"Chưa thực hiện"),1,0))=1,"Chưa thực hiện","Đang thực hiện")))))</s:f>
        <s:v/>
      </s:c>
      <s:c r="C27369" s="114" t="n"/>
      <s:c r="D27369" s="114" t="n"/>
      <s:c r="E27369" s="114" t="n"/>
    </s:row>
    <s:row r="27370" ht="20" customHeight="1">
      <s:c r="A27370" s="112" t="inlineStr">
        <s:is>
          <s:t>Màn hình / chức năng</s:t>
        </s:is>
      </s:c>
      <s:c r="B27370" s="113" t="inlineStr">
        <s:is>
          <s:t>Bảo toàn dữ liệu và cấu hình</s:t>
        </s:is>
      </s:c>
      <s:c r="C27370" s="28" t="n"/>
      <s:c r="D27370" s="28" t="n"/>
      <s:c r="E27370" s="28" t="n"/>
    </s:row>
    <s:row r="27371" ht="20" customHeight="1">
      <s:c r="A27371" s="112" t="inlineStr">
        <s:is>
          <s:t>Cấu hình</s:t>
        </s:is>
      </s:c>
      <s:c r="B27371" s="113" t="inlineStr">
        <s:is>
          <s:t>• Build có migration của tính năng.</s:t>
        </s:is>
      </s:c>
      <s:c r="C27371" s="28" t="n"/>
      <s:c r="D27371" s="28" t="n"/>
      <s:c r="E27371" s="28" t="n"/>
    </s:row>
    <s:row r="27372" ht="20" customHeight="1">
      <s:c r="A27372" s="112" t="inlineStr">
        <s:is>
          <s:t>Dữ liệu test</s:t>
        </s:is>
      </s:c>
      <s:c r="B27372" s="113" t="inlineStr">
        <s:is>
          <s:t>• Quyền đọc DB local (chỉ SELECT/SHOW)</s:t>
        </s:is>
      </s:c>
      <s:c r="C27372" s="28" t="n"/>
      <s:c r="D27372" s="28" t="n"/>
      <s:c r="E27372" s="28" t="n"/>
    </s:row>
    <s:row r="27373" ht="20" customHeight="1">
      <s:c r="A27373" s="112" t="inlineStr">
        <s:is>
          <s:t>Bước 1</s:t>
        </s:is>
      </s:c>
      <s:c r="B27373" s="113" t="inlineStr">
        <s:is>
          <s:t>[SHOW CREATE TABLE] và [SHOW FULL COLUMNS] cho [red_score_settings], [red_score_results].</s:t>
        </s:is>
      </s:c>
      <s:c r="C27373" s="28" t="n"/>
      <s:c r="D27373" s="28" t="n"/>
      <s:c r="E27373" s="28" t="n"/>
    </s:row>
    <s:row r="27374" ht="34" customHeight="1">
      <s:c r="A27374" s="112" t="inlineStr">
        <s:is>
          <s:t>Bước 2</s:t>
        </s:is>
      </s:c>
      <s:c r="B27374" s="113" t="inlineStr">
        <s:is>
          <s:t>[SHOW CREATE TABLE] cho [grade_publish_conf_grade_items] và [grade_evaluate_frame_items]; so với bản trước migration (hoặc DDL gốc trong source).</s:t>
        </s:is>
      </s:c>
      <s:c r="C27374" s="28" t="n"/>
      <s:c r="D27374" s="28" t="n"/>
      <s:c r="E27374" s="28" t="n"/>
    </s:row>
    <s:row r="27375" ht="28" customHeight="1">
      <s:c r="A27375" s="115" t="inlineStr">
        <s:is>
          <s:t>Trường hợp</s:t>
        </s:is>
      </s:c>
      <s:c r="B27375" s="115" t="inlineStr">
        <s:is>
          <s:t>Dữ liệu / thao tác riêng</s:t>
        </s:is>
      </s:c>
      <s:c r="C27375" s="115" t="inlineStr">
        <s:is>
          <s:t>Kết quả mong đợi</s:t>
        </s:is>
      </s:c>
      <s:c r="D27375" s="115" t="inlineStr">
        <s:is>
          <s:t>Kết quả thực tế</s:t>
        </s:is>
      </s:c>
      <s:c r="E27375" s="115" t="inlineStr">
        <s:is>
          <s:t>Đánh giá</s:t>
        </s:is>
      </s:c>
    </s:row>
    <s:row r="27376" ht="3" customHeight="1">
      <s:c r="A27376" s="102" t="inlineStr"/>
      <s:c r="B27376" s="99" t="n"/>
      <s:c r="C27376" s="99" t="n"/>
      <s:c r="D27376" s="116" t="n"/>
      <s:c r="E27376" s="116" t="n"/>
    </s:row>
    <s:row r="27377" ht="356" customHeight="1">
      <s:c r="A27377" s="83" t="inlineStr">
        <s:is>
          <s:t>Trường hợp cơ bản (Base)</s:t>
        </s:is>
      </s:c>
      <s:c r="B27377" s="83" t="inlineStr">
        <s:is>
          <s:t>Toàn bộ tình huống: Thực hiện đủ các bước chung theo thứ tự; kiểm cả đối tượng đích và đối chứng cùng fixture, không bỏ bước.</s:t>
        </s:is>
      </s:c>
      <s:c r="C27377" s="83" t="inlineStr">
        <s:is>
          <s:r>
            <s:t xml:space="preserve">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
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s:t>
          </s:r>
          <s:r>
            <s:rPr>
              <s:b val="1"/>
            </s:rPr>
            <s:t>Trích xuất thành tích（成績抽出）</s:t>
          </s:r>
          <s:r>
            <s:t xml:space="preserve"> và </s:t>
          </s:r>
          <s:r>
            <s:rPr>
              <s:b val="1"/>
            </s:rPr>
            <s:t>Công cụ phiếu điểm（通知表ツール）</s:t>
          </s:r>
          <s:r>
            <s:t xml:space="preserve"> không có cột/bảng mới (dùng JSON [grade_extract_conf.extract_setting] và phần lưu bảng/điều kiện phiế</s:t>
          </s:r>
        </s:is>
      </s:c>
      <s:c r="D27377" s="117" t="inlineStr"/>
      <s:c r="E27377" s="118" t="inlineStr">
        <s:is>
          <s:t>Chưa thực hiện</s:t>
        </s:is>
      </s:c>
    </s:row>
    <s:row r="27378" ht="20" customHeight="1">
      <s:c r="A27378" s="83" t="inlineStr"/>
      <s:c r="B27378" s="83" t="inlineStr"/>
      <s:c r="C27378" s="83" t="inlineStr">
        <s:is>
          <s:t>u điểm hiện có).</s:t>
        </s:is>
      </s:c>
      <s:c r="D27378" s="78" t="n"/>
      <s:c r="E27378" s="78" t="n"/>
    </s:row>
    <s:row r="27379" ht="20" customHeight="1">
      <s:c r="A27379" s="119" t="inlineStr">
        <s:is>
          <s:t>Ảnh minh chứng — Chưa có ảnh</s:t>
        </s:is>
      </s:c>
      <s:c r="B27379" s="19" t="n"/>
      <s:c r="C27379" s="19" t="n"/>
      <s:c r="D27379" s="19" t="n"/>
      <s:c r="E27379" s="19" t="n"/>
    </s:row>
    <s:row r="27380" hidden="1" ht="1" customHeight="1">
      <s:c r="A27380" s="120" t="inlineStr"/>
      <s:c r="B27380" s="121" t="n"/>
      <s:c r="C27380" s="121" t="n"/>
      <s:c r="D27380" s="121" t="n"/>
      <s:c r="E27380" s="122" t="n"/>
    </s:row>
    <s:row r="27381" hidden="1" ht="1" customHeight="1">
      <s:c r="A27381" s="120" t="inlineStr"/>
      <s:c r="B27381" s="121" t="n"/>
      <s:c r="C27381" s="121" t="n"/>
      <s:c r="D27381" s="121" t="n"/>
      <s:c r="E27381" s="122" t="n"/>
    </s:row>
    <s:row r="27382" hidden="1" ht="1" customHeight="1">
      <s:c r="A27382" s="120" t="inlineStr"/>
      <s:c r="B27382" s="121" t="n"/>
      <s:c r="C27382" s="121" t="n"/>
      <s:c r="D27382" s="121" t="n"/>
      <s:c r="E27382" s="122" t="n"/>
    </s:row>
    <s:row r="27383" hidden="1" ht="1" customHeight="1">
      <s:c r="A27383" s="120" t="inlineStr"/>
      <s:c r="B27383" s="121" t="n"/>
      <s:c r="C27383" s="121" t="n"/>
      <s:c r="D27383" s="121" t="n"/>
      <s:c r="E27383" s="122" t="n"/>
    </s:row>
    <s:row r="27384" hidden="1" ht="1" customHeight="1">
      <s:c r="A27384" s="120" t="inlineStr"/>
      <s:c r="B27384" s="121" t="n"/>
      <s:c r="C27384" s="121" t="n"/>
      <s:c r="D27384" s="121" t="n"/>
      <s:c r="E27384" s="122" t="n"/>
    </s:row>
    <s:row r="27385" hidden="1" ht="1" customHeight="1">
      <s:c r="A27385" s="120" t="inlineStr"/>
      <s:c r="B27385" s="121" t="n"/>
      <s:c r="C27385" s="121" t="n"/>
      <s:c r="D27385" s="121" t="n"/>
      <s:c r="E27385" s="122" t="n"/>
    </s:row>
    <s:row r="27386" hidden="1" ht="1" customHeight="1">
      <s:c r="A27386" s="120" t="inlineStr"/>
      <s:c r="B27386" s="121" t="n"/>
      <s:c r="C27386" s="121" t="n"/>
      <s:c r="D27386" s="121" t="n"/>
      <s:c r="E27386" s="122" t="n"/>
    </s:row>
    <s:row r="27387" hidden="1" ht="1" customHeight="1">
      <s:c r="A27387" s="120" t="inlineStr"/>
      <s:c r="B27387" s="121" t="n"/>
      <s:c r="C27387" s="121" t="n"/>
      <s:c r="D27387" s="121" t="n"/>
      <s:c r="E27387" s="122" t="n"/>
    </s:row>
    <s:row r="27388" hidden="1" ht="1" customHeight="1">
      <s:c r="A27388" s="120" t="inlineStr"/>
      <s:c r="B27388" s="121" t="n"/>
      <s:c r="C27388" s="121" t="n"/>
      <s:c r="D27388" s="121" t="n"/>
      <s:c r="E27388" s="122" t="n"/>
    </s:row>
    <s:row r="27389" hidden="1" ht="1" customHeight="1">
      <s:c r="A27389" s="120" t="inlineStr"/>
      <s:c r="B27389" s="121" t="n"/>
      <s:c r="C27389" s="121" t="n"/>
      <s:c r="D27389" s="121" t="n"/>
      <s:c r="E27389" s="122" t="n"/>
    </s:row>
    <s:row r="27390" hidden="1" ht="1" customHeight="1">
      <s:c r="A27390" s="120" t="inlineStr"/>
      <s:c r="B27390" s="121" t="n"/>
      <s:c r="C27390" s="121" t="n"/>
      <s:c r="D27390" s="121" t="n"/>
      <s:c r="E27390" s="122" t="n"/>
    </s:row>
    <s:row r="27391" hidden="1" ht="1" customHeight="1">
      <s:c r="A27391" s="120" t="inlineStr"/>
      <s:c r="B27391" s="121" t="n"/>
      <s:c r="C27391" s="121" t="n"/>
      <s:c r="D27391" s="121" t="n"/>
      <s:c r="E27391" s="122" t="n"/>
    </s:row>
    <s:row r="27392" hidden="1" ht="1" customHeight="1">
      <s:c r="A27392" s="120" t="inlineStr"/>
      <s:c r="B27392" s="121" t="n"/>
      <s:c r="C27392" s="121" t="n"/>
      <s:c r="D27392" s="121" t="n"/>
      <s:c r="E27392" s="122" t="n"/>
    </s:row>
    <s:row r="27393" hidden="1" ht="1" customHeight="1">
      <s:c r="A27393" s="120" t="inlineStr"/>
      <s:c r="B27393" s="121" t="n"/>
      <s:c r="C27393" s="121" t="n"/>
      <s:c r="D27393" s="121" t="n"/>
      <s:c r="E27393" s="122" t="n"/>
    </s:row>
    <s:row r="27394" hidden="1" ht="1" customHeight="1">
      <s:c r="A27394" s="120" t="inlineStr"/>
      <s:c r="B27394" s="121" t="n"/>
      <s:c r="C27394" s="121" t="n"/>
      <s:c r="D27394" s="121" t="n"/>
      <s:c r="E27394" s="122" t="n"/>
    </s:row>
    <s:row r="27395" hidden="1" ht="1" customHeight="1">
      <s:c r="A27395" s="120" t="inlineStr"/>
      <s:c r="B27395" s="121" t="n"/>
      <s:c r="C27395" s="121" t="n"/>
      <s:c r="D27395" s="121" t="n"/>
      <s:c r="E27395" s="122" t="n"/>
    </s:row>
    <s:row r="27396" hidden="1" ht="1" customHeight="1">
      <s:c r="A27396" s="120" t="inlineStr"/>
      <s:c r="B27396" s="121" t="n"/>
      <s:c r="C27396" s="121" t="n"/>
      <s:c r="D27396" s="121" t="n"/>
      <s:c r="E27396" s="122" t="n"/>
    </s:row>
    <s:row r="27397" hidden="1" ht="1" customHeight="1">
      <s:c r="A27397" s="120" t="inlineStr"/>
      <s:c r="B27397" s="121" t="n"/>
      <s:c r="C27397" s="121" t="n"/>
      <s:c r="D27397" s="121" t="n"/>
      <s:c r="E27397" s="122" t="n"/>
    </s:row>
    <s:row r="27398" hidden="1" ht="1" customHeight="1">
      <s:c r="A27398" s="120" t="inlineStr"/>
      <s:c r="B27398" s="121" t="n"/>
      <s:c r="C27398" s="121" t="n"/>
      <s:c r="D27398" s="121" t="n"/>
      <s:c r="E27398" s="122" t="n"/>
    </s:row>
    <s:row r="27399" hidden="1" ht="1" customHeight="1">
      <s:c r="A27399" s="120" t="inlineStr"/>
      <s:c r="B27399" s="121" t="n"/>
      <s:c r="C27399" s="121" t="n"/>
      <s:c r="D27399" s="121" t="n"/>
      <s:c r="E27399" s="122" t="n"/>
    </s:row>
    <s:row r="27400" hidden="1" ht="1" customHeight="1">
      <s:c r="A27400" s="120" t="inlineStr"/>
      <s:c r="B27400" s="121" t="n"/>
      <s:c r="C27400" s="121" t="n"/>
      <s:c r="D27400" s="121" t="n"/>
      <s:c r="E27400" s="122" t="n"/>
    </s:row>
    <s:row r="27401" hidden="1" ht="1" customHeight="1">
      <s:c r="A27401" s="120" t="inlineStr"/>
      <s:c r="B27401" s="121" t="n"/>
      <s:c r="C27401" s="121" t="n"/>
      <s:c r="D27401" s="121" t="n"/>
      <s:c r="E27401" s="122" t="n"/>
    </s:row>
    <s:row r="27402" hidden="1" ht="1" customHeight="1">
      <s:c r="A27402" s="120" t="inlineStr"/>
      <s:c r="B27402" s="121" t="n"/>
      <s:c r="C27402" s="121" t="n"/>
      <s:c r="D27402" s="121" t="n"/>
      <s:c r="E27402" s="122" t="n"/>
    </s:row>
    <s:row r="27403" hidden="1" ht="1" customHeight="1">
      <s:c r="A27403" s="120" t="inlineStr"/>
      <s:c r="B27403" s="121" t="n"/>
      <s:c r="C27403" s="121" t="n"/>
      <s:c r="D27403" s="121" t="n"/>
      <s:c r="E27403" s="122" t="n"/>
    </s:row>
    <s:row r="27404" hidden="1" ht="1" customHeight="1">
      <s:c r="A27404" s="120" t="inlineStr"/>
      <s:c r="B27404" s="121" t="n"/>
      <s:c r="C27404" s="121" t="n"/>
      <s:c r="D27404" s="121" t="n"/>
      <s:c r="E27404" s="122" t="n"/>
    </s:row>
    <s:row r="27405" hidden="1" ht="1" customHeight="1">
      <s:c r="A27405" s="120" t="inlineStr"/>
      <s:c r="B27405" s="121" t="n"/>
      <s:c r="C27405" s="121" t="n"/>
      <s:c r="D27405" s="121" t="n"/>
      <s:c r="E27405" s="122" t="n"/>
    </s:row>
    <s:row r="27406" hidden="1" ht="1" customHeight="1">
      <s:c r="A27406" s="120" t="inlineStr"/>
      <s:c r="B27406" s="121" t="n"/>
      <s:c r="C27406" s="121" t="n"/>
      <s:c r="D27406" s="121" t="n"/>
      <s:c r="E27406" s="122" t="n"/>
    </s:row>
    <s:row r="27407" hidden="1" ht="1" customHeight="1">
      <s:c r="A27407" s="120" t="inlineStr"/>
      <s:c r="B27407" s="121" t="n"/>
      <s:c r="C27407" s="121" t="n"/>
      <s:c r="D27407" s="121" t="n"/>
      <s:c r="E27407" s="122" t="n"/>
    </s:row>
    <s:row r="27408" hidden="1" ht="1" customHeight="1">
      <s:c r="A27408" s="120" t="inlineStr"/>
      <s:c r="B27408" s="121" t="n"/>
      <s:c r="C27408" s="121" t="n"/>
      <s:c r="D27408" s="121" t="n"/>
      <s:c r="E27408" s="122" t="n"/>
    </s:row>
    <s:row r="27409" hidden="1" ht="1" customHeight="1">
      <s:c r="A27409" s="120" t="inlineStr"/>
      <s:c r="B27409" s="121" t="n"/>
      <s:c r="C27409" s="121" t="n"/>
      <s:c r="D27409" s="121" t="n"/>
      <s:c r="E27409" s="122" t="n"/>
    </s:row>
    <s:row r="27410" hidden="1" ht="1" customHeight="1">
      <s:c r="A27410" s="120" t="inlineStr"/>
      <s:c r="B27410" s="121" t="n"/>
      <s:c r="C27410" s="121" t="n"/>
      <s:c r="D27410" s="121" t="n"/>
      <s:c r="E27410" s="122" t="n"/>
    </s:row>
    <s:row r="27411" hidden="1" ht="1" customHeight="1">
      <s:c r="A27411" s="120" t="inlineStr"/>
      <s:c r="B27411" s="121" t="n"/>
      <s:c r="C27411" s="121" t="n"/>
      <s:c r="D27411" s="121" t="n"/>
      <s:c r="E27411" s="122" t="n"/>
    </s:row>
    <s:row r="27412" hidden="1" ht="1" customHeight="1">
      <s:c r="A27412" s="120" t="inlineStr"/>
      <s:c r="B27412" s="121" t="n"/>
      <s:c r="C27412" s="121" t="n"/>
      <s:c r="D27412" s="121" t="n"/>
      <s:c r="E27412" s="122" t="n"/>
    </s:row>
    <s:row r="27413" hidden="1" ht="1" customHeight="1">
      <s:c r="A27413" s="120" t="inlineStr"/>
      <s:c r="B27413" s="121" t="n"/>
      <s:c r="C27413" s="121" t="n"/>
      <s:c r="D27413" s="121" t="n"/>
      <s:c r="E27413" s="122" t="n"/>
    </s:row>
    <s:row r="27414" hidden="1" ht="1" customHeight="1">
      <s:c r="A27414" s="120" t="inlineStr"/>
      <s:c r="B27414" s="121" t="n"/>
      <s:c r="C27414" s="121" t="n"/>
      <s:c r="D27414" s="121" t="n"/>
      <s:c r="E27414" s="122" t="n"/>
    </s:row>
    <s:row r="27415" hidden="1" ht="1" customHeight="1">
      <s:c r="A27415" s="120" t="inlineStr"/>
      <s:c r="B27415" s="121" t="n"/>
      <s:c r="C27415" s="121" t="n"/>
      <s:c r="D27415" s="121" t="n"/>
      <s:c r="E27415" s="122" t="n"/>
    </s:row>
    <s:row r="27416" hidden="1" ht="1" customHeight="1">
      <s:c r="A27416" s="120" t="inlineStr"/>
      <s:c r="B27416" s="121" t="n"/>
      <s:c r="C27416" s="121" t="n"/>
      <s:c r="D27416" s="121" t="n"/>
      <s:c r="E27416" s="122" t="n"/>
    </s:row>
    <s:row r="27417" hidden="1" ht="1" customHeight="1">
      <s:c r="A27417" s="120" t="inlineStr"/>
      <s:c r="B27417" s="121" t="n"/>
      <s:c r="C27417" s="121" t="n"/>
      <s:c r="D27417" s="121" t="n"/>
      <s:c r="E27417" s="122" t="n"/>
    </s:row>
    <s:row r="27418" hidden="1" ht="1" customHeight="1">
      <s:c r="A27418" s="120" t="inlineStr"/>
      <s:c r="B27418" s="121" t="n"/>
      <s:c r="C27418" s="121" t="n"/>
      <s:c r="D27418" s="121" t="n"/>
      <s:c r="E27418" s="122" t="n"/>
    </s:row>
    <s:row r="27419" hidden="1" ht="1" customHeight="1">
      <s:c r="A27419" s="120" t="inlineStr"/>
      <s:c r="B27419" s="121" t="n"/>
      <s:c r="C27419" s="121" t="n"/>
      <s:c r="D27419" s="121" t="n"/>
      <s:c r="E27419" s="122" t="n"/>
    </s:row>
    <s:row r="27420" hidden="1" ht="1" customHeight="1">
      <s:c r="A27420" s="120" t="inlineStr"/>
      <s:c r="B27420" s="121" t="n"/>
      <s:c r="C27420" s="121" t="n"/>
      <s:c r="D27420" s="121" t="n"/>
      <s:c r="E27420" s="122" t="n"/>
    </s:row>
    <s:row r="27421" hidden="1" ht="1" customHeight="1">
      <s:c r="A27421" s="120" t="inlineStr"/>
      <s:c r="B27421" s="121" t="n"/>
      <s:c r="C27421" s="121" t="n"/>
      <s:c r="D27421" s="121" t="n"/>
      <s:c r="E27421" s="122" t="n"/>
    </s:row>
    <s:row r="27422" hidden="1" ht="1" customHeight="1">
      <s:c r="A27422" s="120" t="inlineStr"/>
      <s:c r="B27422" s="121" t="n"/>
      <s:c r="C27422" s="121" t="n"/>
      <s:c r="D27422" s="121" t="n"/>
      <s:c r="E27422" s="122" t="n"/>
    </s:row>
    <s:row r="27423" hidden="1" ht="1" customHeight="1">
      <s:c r="A27423" s="120" t="inlineStr"/>
      <s:c r="B27423" s="121" t="n"/>
      <s:c r="C27423" s="121" t="n"/>
      <s:c r="D27423" s="121" t="n"/>
      <s:c r="E27423" s="122" t="n"/>
    </s:row>
    <s:row r="27424" hidden="1" ht="1" customHeight="1">
      <s:c r="A27424" s="120" t="inlineStr"/>
      <s:c r="B27424" s="121" t="n"/>
      <s:c r="C27424" s="121" t="n"/>
      <s:c r="D27424" s="121" t="n"/>
      <s:c r="E27424" s="122" t="n"/>
    </s:row>
    <s:row r="27425" hidden="1" ht="1" customHeight="1">
      <s:c r="A27425" s="120" t="inlineStr"/>
      <s:c r="B27425" s="121" t="n"/>
      <s:c r="C27425" s="121" t="n"/>
      <s:c r="D27425" s="121" t="n"/>
      <s:c r="E27425" s="122" t="n"/>
    </s:row>
    <s:row r="27426" hidden="1" ht="1" customHeight="1">
      <s:c r="A27426" s="120" t="inlineStr"/>
      <s:c r="B27426" s="121" t="n"/>
      <s:c r="C27426" s="121" t="n"/>
      <s:c r="D27426" s="121" t="n"/>
      <s:c r="E27426" s="122" t="n"/>
    </s:row>
    <s:row r="27427" hidden="1" ht="1" customHeight="1">
      <s:c r="A27427" s="120" t="inlineStr"/>
      <s:c r="B27427" s="121" t="n"/>
      <s:c r="C27427" s="121" t="n"/>
      <s:c r="D27427" s="121" t="n"/>
      <s:c r="E27427" s="122" t="n"/>
    </s:row>
    <s:row r="27428" hidden="1" ht="1" customHeight="1">
      <s:c r="A27428" s="83" t="inlineStr">
        <s:is>
          <s:t>PASS</s:t>
        </s:is>
      </s:c>
      <s:c r="B27428" s="83">
        <s:f>SUM(IF(EXACT('Kiểm thử'!E27377,"Đạt"),1,0))</s:f>
        <s:v/>
      </s:c>
      <s:c r="C27428" s="19" t="n"/>
      <s:c r="D27428" s="19" t="n"/>
      <s:c r="E27428" s="19" t="n"/>
    </s:row>
    <s:row r="27429" hidden="1" ht="1" customHeight="1">
      <s:c r="A27429" s="83" t="inlineStr">
        <s:is>
          <s:t>FAIL</s:t>
        </s:is>
      </s:c>
      <s:c r="B27429" s="83">
        <s:f>SUM(IF(EXACT('Kiểm thử'!E27377,"Không đạt"),1,0))</s:f>
        <s:v/>
      </s:c>
      <s:c r="C27429" s="19" t="n"/>
      <s:c r="D27429" s="19" t="n"/>
      <s:c r="E27429" s="19" t="n"/>
    </s:row>
    <s:row r="27430" hidden="1" ht="1" customHeight="1">
      <s:c r="A27430" s="83" t="inlineStr">
        <s:is>
          <s:t>BLOCKED</s:t>
        </s:is>
      </s:c>
      <s:c r="B27430" s="83">
        <s:f>SUM(IF(EXACT('Kiểm thử'!E27377,"Bị chặn"),1,0))</s:f>
        <s:v/>
      </s:c>
      <s:c r="C27430" s="19" t="n"/>
      <s:c r="D27430" s="19" t="n"/>
      <s:c r="E27430" s="19" t="n"/>
    </s:row>
    <s:row r="27431" hidden="1" ht="1" customHeight="1">
      <s:c r="A27431" s="83" t="inlineStr">
        <s:is>
          <s:t>SKIPPED</s:t>
        </s:is>
      </s:c>
      <s:c r="B27431" s="83">
        <s:f>SUM(IF(EXACT('Kiểm thử'!E27377,"Không thực hiện"),1,0))</s:f>
        <s:v/>
      </s:c>
      <s:c r="C27431" s="19" t="n"/>
      <s:c r="D27431" s="19" t="n"/>
      <s:c r="E27431" s="19" t="n"/>
    </s:row>
    <s:row r="27432" hidden="1" ht="1" customHeight="1">
      <s:c r="A27432" s="83" t="inlineStr">
        <s:is>
          <s:t>NOT RUN</s:t>
        </s:is>
      </s:c>
      <s:c r="B27432" s="83">
        <s:f>SUM(IF(EXACT('Kiểm thử'!E27377,"Chưa thực hiện"),1,0))</s:f>
        <s:v/>
      </s:c>
      <s:c r="C27432" s="19" t="n"/>
      <s:c r="D27432" s="19" t="n"/>
      <s:c r="E27432" s="19" t="n"/>
    </s:row>
    <s:row r="27433" hidden="1" ht="6" customHeight="1">
      <s:c r="A27433" s="83" t="inlineStr"/>
      <s:c r="B27433" s="19" t="n"/>
      <s:c r="C27433" s="19" t="n"/>
      <s:c r="D27433" s="19" t="n"/>
      <s:c r="E27433" s="19" t="n"/>
    </s:row>
    <s:row r="27434" ht="28" customHeight="1">
      <s:c r="A27434" s="108" t="inlineStr">
        <s:is>
          <s:t>TC-RS-DATA-012 — Lưu, đọc lại và sao chép hiệu ứng đỏ theo dòng mục của cấu hình công khai</s:t>
        </s:is>
      </s:c>
      <s:c r="B27434" s="111" t="n"/>
      <s:c r="C27434" s="111" t="n"/>
      <s:c r="D27434" s="111" t="n"/>
      <s:c r="E27434" s="111" t="n"/>
    </s:row>
    <s:row r="27435" ht="20" customHeight="1">
      <s:c r="A27435" s="112" t="inlineStr">
        <s:is>
          <s:t>Kết quả tình huống</s:t>
        </s:is>
      </s:c>
      <s:c r="B27435" s="113">
        <s:f>IF(SUM(IF(EXACT('Kiểm thử'!E27444,"Không đạt"),1,0),IF(EXACT('Kiểm thử'!E27446,"Không đạt"),1,0),IF(EXACT('Kiểm thử'!E27448,"Không đạt"),1,0))&gt;0,"Không đạt",IF(SUM(IF(EXACT('Kiểm thử'!E27444,"Đạt"),1,0),IF(EXACT('Kiểm thử'!E27446,"Đạt"),1,0),IF(EXACT('Kiểm thử'!E27448,"Đạt"),1,0))=3,"Đạt",IF(SUM(IF(EXACT('Kiểm thử'!E27444,"Không thực hiện"),1,0),IF(EXACT('Kiểm thử'!E27446,"Không thực hiện"),1,0),IF(EXACT('Kiểm thử'!E27448,"Không thực hiện"),1,0))=3,"Không thực hiện",IF(SUM(IF(EXACT('Kiểm thử'!E27444,"Bị chặn"),1,0),IF(EXACT('Kiểm thử'!E27446,"Bị chặn"),1,0),IF(EXACT('Kiểm thử'!E27448,"Bị chặn"),1,0))&gt;0,"Bị chặn",IF(SUM(IF(EXACT('Kiểm thử'!E27444,"Chưa thực hiện"),1,0),IF(EXACT('Kiểm thử'!E27446,"Chưa thực hiện"),1,0),IF(EXACT('Kiểm thử'!E27448,"Chưa thực hiện"),1,0))=3,"Chưa thực hiện","Đang thực hiện")))))</s:f>
        <s:v/>
      </s:c>
      <s:c r="C27435" s="114" t="n"/>
      <s:c r="D27435" s="114" t="n"/>
      <s:c r="E27435" s="114" t="n"/>
    </s:row>
    <s:row r="27436" ht="20" customHeight="1">
      <s:c r="A27436" s="112" t="inlineStr">
        <s:is>
          <s:t>Màn hình / chức năng</s:t>
        </s:is>
      </s:c>
      <s:c r="B27436" s="113" t="inlineStr">
        <s:is>
          <s:t>Bảo toàn dữ liệu và cấu hình</s:t>
        </s:is>
      </s:c>
      <s:c r="C27436" s="28" t="n"/>
      <s:c r="D27436" s="28" t="n"/>
      <s:c r="E27436" s="28" t="n"/>
    </s:row>
    <s:row r="27437" ht="48" customHeight="1">
      <s:c r="A27437" s="112" t="inlineStr">
        <s:is>
          <s:t>Cấu hình</s:t>
        </s:is>
      </s:c>
      <s:c r="B27437" s="113" t="inlineStr">
        <s:is>
          <s:t>• Build có migration thêm [red_score_display_type];
• Cấu hình công khai tạo trước khi migrate (dòng cũ) và hai cấu hình X, Y theo hai cấu hình công khai cùng một mục.</s:t>
        </s:is>
      </s:c>
      <s:c r="C27437" s="28" t="n"/>
      <s:c r="D27437" s="28" t="n"/>
      <s:c r="E27437" s="28" t="n"/>
    </s:row>
    <s:row r="27438" ht="48" customHeight="1">
      <s:c r="A27438" s="112" t="inlineStr">
        <s:is>
          <s:t>Dữ liệu test</s:t>
        </s:is>
      </s:c>
      <s:c r="B27438" s="113" t="inlineStr">
        <s:is>
          <s:t>• Hai cấu hình công khai cùng một mục, cấu hình công khai có mục điểm thường và mục điểm đơn vị;
• Quyền đọc DB local (chỉ SELECT/SHOW);
• Tài khoản phụ trách đầu ra (trích xuất, công khai, phiếu điểm), tài khoản của trường B</s:t>
        </s:is>
      </s:c>
      <s:c r="C27438" s="28" t="n"/>
      <s:c r="D27438" s="28" t="n"/>
      <s:c r="E27438" s="28" t="n"/>
    </s:row>
    <s:row r="27439" ht="20" customHeight="1">
      <s:c r="A27439" s="112" t="inlineStr">
        <s:is>
          <s:t>Bước 1</s:t>
        </s:is>
      </s:c>
      <s:c r="B27439" s="113" t="inlineStr">
        <s:is>
          <s:t>Xác minh build có migration và identity của X/Y/cấu hình cũ; dùng quyền đọc DB local SELECT/SHOW.</s:t>
        </s:is>
      </s:c>
      <s:c r="C27439" s="28" t="n"/>
      <s:c r="D27439" s="28" t="n"/>
      <s:c r="E27439" s="28" t="n"/>
    </s:row>
    <s:row r="27440" ht="20" customHeight="1">
      <s:c r="A27440" s="112" t="inlineStr">
        <s:is>
          <s:t>Bước 2</s:t>
        </s:is>
      </s:c>
      <s:c r="B27440" s="113" t="inlineStr">
        <s:is>
          <s:t>Thực hiện thao tác/giá trị request riêng của trường hợp trên baseline độc lập.</s:t>
        </s:is>
      </s:c>
      <s:c r="C27440" s="28" t="n"/>
      <s:c r="D27440" s="28" t="n"/>
      <s:c r="E27440" s="28" t="n"/>
    </s:row>
    <s:row r="27441" ht="20" customHeight="1">
      <s:c r="A27441" s="112" t="inlineStr">
        <s:is>
          <s:t>Bước 3</s:t>
        </s:is>
      </s:c>
      <s:c r="B27441" s="113" t="inlineStr">
        <s:is>
          <s:t>Đọc response và cấu hình/identity trước sau; không copy hoặc đổi kết quả học sinh.</s:t>
        </s:is>
      </s:c>
      <s:c r="C27441" s="28" t="n"/>
      <s:c r="D27441" s="28" t="n"/>
      <s:c r="E27441" s="28" t="n"/>
    </s:row>
    <s:row r="27442" ht="28" customHeight="1">
      <s:c r="A27442" s="115" t="inlineStr">
        <s:is>
          <s:t>Trường hợp</s:t>
        </s:is>
      </s:c>
      <s:c r="B27442" s="115" t="inlineStr">
        <s:is>
          <s:t>Dữ liệu / thao tác riêng</s:t>
        </s:is>
      </s:c>
      <s:c r="C27442" s="115" t="inlineStr">
        <s:is>
          <s:t>Kết quả mong đợi</s:t>
        </s:is>
      </s:c>
      <s:c r="D27442" s="115" t="inlineStr">
        <s:is>
          <s:t>Kết quả thực tế</s:t>
        </s:is>
      </s:c>
      <s:c r="E27442" s="115" t="inlineStr">
        <s:is>
          <s:t>Đánh giá</s:t>
        </s:is>
      </s:c>
    </s:row>
    <s:row r="27443" ht="3" customHeight="1">
      <s:c r="A27443" s="102" t="inlineStr"/>
      <s:c r="B27443" s="99" t="n"/>
      <s:c r="C27443" s="99" t="n"/>
      <s:c r="D27443" s="116" t="n"/>
      <s:c r="E27443" s="116" t="n"/>
    </s:row>
    <s:row r="27444" ht="104" customHeight="1">
      <s:c r="A27444" s="83" t="inlineStr">
        <s:is>
          <s:t>Đọc dữ liệu cũ và sao chép (read-copy)</s:t>
        </s:is>
      </s:c>
      <s:c r="B27444" s="83" t="inlineStr">
        <s:is>
          <s:t>SELECT grade_publish_conf_id/year/evaluate_item_id/tangen_flg/red_score_display_type của X/Y/cấu hình cũ; mở cấu hình cũ và màn học sinh. Sao chép X, SELECT bản sao và kiểm không có kết quả học sinh được copy.</s:t>
        </s:is>
      </s:c>
      <s:c r="C27444" s="83" t="inlineStr">
        <s:is>
          <s:t>X có 1 (ngoặc) ở dòng mục số nguyên, Y có 2 ([*] trước); dòng thường/đơn vị tách theo tangen_flg. Không có cột hiệu ứng trong bảng kết quả học sinh. Dòng cũ có 0, hiển thị như trước. Bản sao X có ID cấu hình mới, giữ 1, không sao chép kết quả học sinh.</s:t>
        </s:is>
      </s:c>
      <s:c r="D27444" s="117" t="inlineStr"/>
      <s:c r="E27444" s="118" t="inlineStr">
        <s:is>
          <s:t>Chưa thực hiện</s:t>
        </s:is>
      </s:c>
    </s:row>
    <s:row r="27445" ht="3" customHeight="1">
      <s:c r="A27445" s="102" t="inlineStr"/>
      <s:c r="B27445" s="99" t="n"/>
      <s:c r="C27445" s="99" t="n"/>
      <s:c r="D27445" s="116" t="n"/>
      <s:c r="E27445" s="116" t="n"/>
    </s:row>
    <s:row r="27446" ht="48" customHeight="1">
      <s:c r="A27446" s="83" t="inlineStr">
        <s:is>
          <s:t>Giá trị hiệu ứng ngoài miền (invalid-enum)</s:t>
        </s:is>
      </s:c>
      <s:c r="B27446" s="83" t="inlineStr">
        <s:is>
          <s:t>Từ request hợp lệ, gửi red_score_display_type=4; đọc response và giá trị đã lưu.</s:t>
        </s:is>
      </s:c>
      <s:c r="C27446" s="83" t="inlineStr">
        <s:is>
          <s:t>Request red_score_display_type=4 bị từ chối; giá trị đã lưu không đổi.</s:t>
        </s:is>
      </s:c>
      <s:c r="D27446" s="117" t="inlineStr"/>
      <s:c r="E27446" s="118" t="inlineStr">
        <s:is>
          <s:t>Chưa thực hiện</s:t>
        </s:is>
      </s:c>
    </s:row>
    <s:row r="27447" ht="3" customHeight="1">
      <s:c r="A27447" s="102" t="inlineStr"/>
      <s:c r="B27447" s="99" t="n"/>
      <s:c r="C27447" s="99" t="n"/>
      <s:c r="D27447" s="116" t="n"/>
      <s:c r="E27447" s="116" t="n"/>
    </s:row>
    <s:row r="27448" ht="62" customHeight="1">
      <s:c r="A27448" s="83" t="inlineStr">
        <s:is>
          <s:t>ID cấu hình ngoài trường/quyền (foreign-school)</s:t>
        </s:is>
      </s:c>
      <s:c r="B27448" s="83" t="inlineStr">
        <s:is>
          <s:t>Từ request hợp lệ, dùng ID cấu hình công khai của trường B ngoài quyền; đọc response và giá trị đã lưu.</s:t>
        </s:is>
      </s:c>
      <s:c r="C27448" s="83" t="inlineStr">
        <s:is>
          <s:t>Request dùng ID cấu hình công khai trường B ngoài quyền bị từ chối; giá trị đã lưu không đổi.</s:t>
        </s:is>
      </s:c>
      <s:c r="D27448" s="117" t="inlineStr"/>
      <s:c r="E27448" s="118" t="inlineStr">
        <s:is>
          <s:t>Chưa thực hiện</s:t>
        </s:is>
      </s:c>
    </s:row>
    <s:row r="27449" ht="20" customHeight="1">
      <s:c r="A27449" s="119" t="inlineStr">
        <s:is>
          <s:t>Ảnh minh chứng — Chưa có ảnh</s:t>
        </s:is>
      </s:c>
      <s:c r="B27449" s="19" t="n"/>
      <s:c r="C27449" s="19" t="n"/>
      <s:c r="D27449" s="19" t="n"/>
      <s:c r="E27449" s="19" t="n"/>
    </s:row>
    <s:row r="27450" hidden="1" ht="1" customHeight="1">
      <s:c r="A27450" s="120" t="inlineStr"/>
      <s:c r="B27450" s="121" t="n"/>
      <s:c r="C27450" s="121" t="n"/>
      <s:c r="D27450" s="121" t="n"/>
      <s:c r="E27450" s="122" t="n"/>
    </s:row>
    <s:row r="27451" hidden="1" ht="1" customHeight="1">
      <s:c r="A27451" s="120" t="inlineStr"/>
      <s:c r="B27451" s="121" t="n"/>
      <s:c r="C27451" s="121" t="n"/>
      <s:c r="D27451" s="121" t="n"/>
      <s:c r="E27451" s="122" t="n"/>
    </s:row>
    <s:row r="27452" hidden="1" ht="1" customHeight="1">
      <s:c r="A27452" s="120" t="inlineStr"/>
      <s:c r="B27452" s="121" t="n"/>
      <s:c r="C27452" s="121" t="n"/>
      <s:c r="D27452" s="121" t="n"/>
      <s:c r="E27452" s="122" t="n"/>
    </s:row>
    <s:row r="27453" hidden="1" ht="1" customHeight="1">
      <s:c r="A27453" s="120" t="inlineStr"/>
      <s:c r="B27453" s="121" t="n"/>
      <s:c r="C27453" s="121" t="n"/>
      <s:c r="D27453" s="121" t="n"/>
      <s:c r="E27453" s="122" t="n"/>
    </s:row>
    <s:row r="27454" hidden="1" ht="1" customHeight="1">
      <s:c r="A27454" s="120" t="inlineStr"/>
      <s:c r="B27454" s="121" t="n"/>
      <s:c r="C27454" s="121" t="n"/>
      <s:c r="D27454" s="121" t="n"/>
      <s:c r="E27454" s="122" t="n"/>
    </s:row>
    <s:row r="27455" hidden="1" ht="1" customHeight="1">
      <s:c r="A27455" s="120" t="inlineStr"/>
      <s:c r="B27455" s="121" t="n"/>
      <s:c r="C27455" s="121" t="n"/>
      <s:c r="D27455" s="121" t="n"/>
      <s:c r="E27455" s="122" t="n"/>
    </s:row>
    <s:row r="27456" hidden="1" ht="1" customHeight="1">
      <s:c r="A27456" s="120" t="inlineStr"/>
      <s:c r="B27456" s="121" t="n"/>
      <s:c r="C27456" s="121" t="n"/>
      <s:c r="D27456" s="121" t="n"/>
      <s:c r="E27456" s="122" t="n"/>
    </s:row>
    <s:row r="27457" hidden="1" ht="1" customHeight="1">
      <s:c r="A27457" s="120" t="inlineStr"/>
      <s:c r="B27457" s="121" t="n"/>
      <s:c r="C27457" s="121" t="n"/>
      <s:c r="D27457" s="121" t="n"/>
      <s:c r="E27457" s="122" t="n"/>
    </s:row>
    <s:row r="27458" hidden="1" ht="1" customHeight="1">
      <s:c r="A27458" s="120" t="inlineStr"/>
      <s:c r="B27458" s="121" t="n"/>
      <s:c r="C27458" s="121" t="n"/>
      <s:c r="D27458" s="121" t="n"/>
      <s:c r="E27458" s="122" t="n"/>
    </s:row>
    <s:row r="27459" hidden="1" ht="1" customHeight="1">
      <s:c r="A27459" s="120" t="inlineStr"/>
      <s:c r="B27459" s="121" t="n"/>
      <s:c r="C27459" s="121" t="n"/>
      <s:c r="D27459" s="121" t="n"/>
      <s:c r="E27459" s="122" t="n"/>
    </s:row>
    <s:row r="27460" hidden="1" ht="1" customHeight="1">
      <s:c r="A27460" s="120" t="inlineStr"/>
      <s:c r="B27460" s="121" t="n"/>
      <s:c r="C27460" s="121" t="n"/>
      <s:c r="D27460" s="121" t="n"/>
      <s:c r="E27460" s="122" t="n"/>
    </s:row>
    <s:row r="27461" hidden="1" ht="1" customHeight="1">
      <s:c r="A27461" s="120" t="inlineStr"/>
      <s:c r="B27461" s="121" t="n"/>
      <s:c r="C27461" s="121" t="n"/>
      <s:c r="D27461" s="121" t="n"/>
      <s:c r="E27461" s="122" t="n"/>
    </s:row>
    <s:row r="27462" hidden="1" ht="1" customHeight="1">
      <s:c r="A27462" s="120" t="inlineStr"/>
      <s:c r="B27462" s="121" t="n"/>
      <s:c r="C27462" s="121" t="n"/>
      <s:c r="D27462" s="121" t="n"/>
      <s:c r="E27462" s="122" t="n"/>
    </s:row>
    <s:row r="27463" hidden="1" ht="1" customHeight="1">
      <s:c r="A27463" s="120" t="inlineStr"/>
      <s:c r="B27463" s="121" t="n"/>
      <s:c r="C27463" s="121" t="n"/>
      <s:c r="D27463" s="121" t="n"/>
      <s:c r="E27463" s="122" t="n"/>
    </s:row>
    <s:row r="27464" hidden="1" ht="1" customHeight="1">
      <s:c r="A27464" s="120" t="inlineStr"/>
      <s:c r="B27464" s="121" t="n"/>
      <s:c r="C27464" s="121" t="n"/>
      <s:c r="D27464" s="121" t="n"/>
      <s:c r="E27464" s="122" t="n"/>
    </s:row>
    <s:row r="27465" hidden="1" ht="1" customHeight="1">
      <s:c r="A27465" s="120" t="inlineStr"/>
      <s:c r="B27465" s="121" t="n"/>
      <s:c r="C27465" s="121" t="n"/>
      <s:c r="D27465" s="121" t="n"/>
      <s:c r="E27465" s="122" t="n"/>
    </s:row>
    <s:row r="27466" hidden="1" ht="1" customHeight="1">
      <s:c r="A27466" s="120" t="inlineStr"/>
      <s:c r="B27466" s="121" t="n"/>
      <s:c r="C27466" s="121" t="n"/>
      <s:c r="D27466" s="121" t="n"/>
      <s:c r="E27466" s="122" t="n"/>
    </s:row>
    <s:row r="27467" hidden="1" ht="1" customHeight="1">
      <s:c r="A27467" s="120" t="inlineStr"/>
      <s:c r="B27467" s="121" t="n"/>
      <s:c r="C27467" s="121" t="n"/>
      <s:c r="D27467" s="121" t="n"/>
      <s:c r="E27467" s="122" t="n"/>
    </s:row>
    <s:row r="27468" hidden="1" ht="1" customHeight="1">
      <s:c r="A27468" s="120" t="inlineStr"/>
      <s:c r="B27468" s="121" t="n"/>
      <s:c r="C27468" s="121" t="n"/>
      <s:c r="D27468" s="121" t="n"/>
      <s:c r="E27468" s="122" t="n"/>
    </s:row>
    <s:row r="27469" hidden="1" ht="1" customHeight="1">
      <s:c r="A27469" s="120" t="inlineStr"/>
      <s:c r="B27469" s="121" t="n"/>
      <s:c r="C27469" s="121" t="n"/>
      <s:c r="D27469" s="121" t="n"/>
      <s:c r="E27469" s="122" t="n"/>
    </s:row>
    <s:row r="27470" hidden="1" ht="1" customHeight="1">
      <s:c r="A27470" s="120" t="inlineStr"/>
      <s:c r="B27470" s="121" t="n"/>
      <s:c r="C27470" s="121" t="n"/>
      <s:c r="D27470" s="121" t="n"/>
      <s:c r="E27470" s="122" t="n"/>
    </s:row>
    <s:row r="27471" hidden="1" ht="1" customHeight="1">
      <s:c r="A27471" s="120" t="inlineStr"/>
      <s:c r="B27471" s="121" t="n"/>
      <s:c r="C27471" s="121" t="n"/>
      <s:c r="D27471" s="121" t="n"/>
      <s:c r="E27471" s="122" t="n"/>
    </s:row>
    <s:row r="27472" hidden="1" ht="1" customHeight="1">
      <s:c r="A27472" s="120" t="inlineStr"/>
      <s:c r="B27472" s="121" t="n"/>
      <s:c r="C27472" s="121" t="n"/>
      <s:c r="D27472" s="121" t="n"/>
      <s:c r="E27472" s="122" t="n"/>
    </s:row>
    <s:row r="27473" hidden="1" ht="1" customHeight="1">
      <s:c r="A27473" s="120" t="inlineStr"/>
      <s:c r="B27473" s="121" t="n"/>
      <s:c r="C27473" s="121" t="n"/>
      <s:c r="D27473" s="121" t="n"/>
      <s:c r="E27473" s="122" t="n"/>
    </s:row>
    <s:row r="27474" hidden="1" ht="1" customHeight="1">
      <s:c r="A27474" s="120" t="inlineStr"/>
      <s:c r="B27474" s="121" t="n"/>
      <s:c r="C27474" s="121" t="n"/>
      <s:c r="D27474" s="121" t="n"/>
      <s:c r="E27474" s="122" t="n"/>
    </s:row>
    <s:row r="27475" hidden="1" ht="1" customHeight="1">
      <s:c r="A27475" s="120" t="inlineStr"/>
      <s:c r="B27475" s="121" t="n"/>
      <s:c r="C27475" s="121" t="n"/>
      <s:c r="D27475" s="121" t="n"/>
      <s:c r="E27475" s="122" t="n"/>
    </s:row>
    <s:row r="27476" hidden="1" ht="1" customHeight="1">
      <s:c r="A27476" s="120" t="inlineStr"/>
      <s:c r="B27476" s="121" t="n"/>
      <s:c r="C27476" s="121" t="n"/>
      <s:c r="D27476" s="121" t="n"/>
      <s:c r="E27476" s="122" t="n"/>
    </s:row>
    <s:row r="27477" hidden="1" ht="1" customHeight="1">
      <s:c r="A27477" s="120" t="inlineStr"/>
      <s:c r="B27477" s="121" t="n"/>
      <s:c r="C27477" s="121" t="n"/>
      <s:c r="D27477" s="121" t="n"/>
      <s:c r="E27477" s="122" t="n"/>
    </s:row>
    <s:row r="27478" hidden="1" ht="1" customHeight="1">
      <s:c r="A27478" s="120" t="inlineStr"/>
      <s:c r="B27478" s="121" t="n"/>
      <s:c r="C27478" s="121" t="n"/>
      <s:c r="D27478" s="121" t="n"/>
      <s:c r="E27478" s="122" t="n"/>
    </s:row>
    <s:row r="27479" hidden="1" ht="1" customHeight="1">
      <s:c r="A27479" s="120" t="inlineStr"/>
      <s:c r="B27479" s="121" t="n"/>
      <s:c r="C27479" s="121" t="n"/>
      <s:c r="D27479" s="121" t="n"/>
      <s:c r="E27479" s="122" t="n"/>
    </s:row>
    <s:row r="27480" hidden="1" ht="1" customHeight="1">
      <s:c r="A27480" s="120" t="inlineStr"/>
      <s:c r="B27480" s="121" t="n"/>
      <s:c r="C27480" s="121" t="n"/>
      <s:c r="D27480" s="121" t="n"/>
      <s:c r="E27480" s="122" t="n"/>
    </s:row>
    <s:row r="27481" hidden="1" ht="1" customHeight="1">
      <s:c r="A27481" s="120" t="inlineStr"/>
      <s:c r="B27481" s="121" t="n"/>
      <s:c r="C27481" s="121" t="n"/>
      <s:c r="D27481" s="121" t="n"/>
      <s:c r="E27481" s="122" t="n"/>
    </s:row>
    <s:row r="27482" hidden="1" ht="1" customHeight="1">
      <s:c r="A27482" s="120" t="inlineStr"/>
      <s:c r="B27482" s="121" t="n"/>
      <s:c r="C27482" s="121" t="n"/>
      <s:c r="D27482" s="121" t="n"/>
      <s:c r="E27482" s="122" t="n"/>
    </s:row>
    <s:row r="27483" hidden="1" ht="1" customHeight="1">
      <s:c r="A27483" s="120" t="inlineStr"/>
      <s:c r="B27483" s="121" t="n"/>
      <s:c r="C27483" s="121" t="n"/>
      <s:c r="D27483" s="121" t="n"/>
      <s:c r="E27483" s="122" t="n"/>
    </s:row>
    <s:row r="27484" hidden="1" ht="1" customHeight="1">
      <s:c r="A27484" s="120" t="inlineStr"/>
      <s:c r="B27484" s="121" t="n"/>
      <s:c r="C27484" s="121" t="n"/>
      <s:c r="D27484" s="121" t="n"/>
      <s:c r="E27484" s="122" t="n"/>
    </s:row>
    <s:row r="27485" hidden="1" ht="1" customHeight="1">
      <s:c r="A27485" s="120" t="inlineStr"/>
      <s:c r="B27485" s="121" t="n"/>
      <s:c r="C27485" s="121" t="n"/>
      <s:c r="D27485" s="121" t="n"/>
      <s:c r="E27485" s="122" t="n"/>
    </s:row>
    <s:row r="27486" hidden="1" ht="1" customHeight="1">
      <s:c r="A27486" s="120" t="inlineStr"/>
      <s:c r="B27486" s="121" t="n"/>
      <s:c r="C27486" s="121" t="n"/>
      <s:c r="D27486" s="121" t="n"/>
      <s:c r="E27486" s="122" t="n"/>
    </s:row>
    <s:row r="27487" hidden="1" ht="1" customHeight="1">
      <s:c r="A27487" s="120" t="inlineStr"/>
      <s:c r="B27487" s="121" t="n"/>
      <s:c r="C27487" s="121" t="n"/>
      <s:c r="D27487" s="121" t="n"/>
      <s:c r="E27487" s="122" t="n"/>
    </s:row>
    <s:row r="27488" hidden="1" ht="1" customHeight="1">
      <s:c r="A27488" s="120" t="inlineStr"/>
      <s:c r="B27488" s="121" t="n"/>
      <s:c r="C27488" s="121" t="n"/>
      <s:c r="D27488" s="121" t="n"/>
      <s:c r="E27488" s="122" t="n"/>
    </s:row>
    <s:row r="27489" hidden="1" ht="1" customHeight="1">
      <s:c r="A27489" s="120" t="inlineStr"/>
      <s:c r="B27489" s="121" t="n"/>
      <s:c r="C27489" s="121" t="n"/>
      <s:c r="D27489" s="121" t="n"/>
      <s:c r="E27489" s="122" t="n"/>
    </s:row>
    <s:row r="27490" hidden="1" ht="1" customHeight="1">
      <s:c r="A27490" s="120" t="inlineStr"/>
      <s:c r="B27490" s="121" t="n"/>
      <s:c r="C27490" s="121" t="n"/>
      <s:c r="D27490" s="121" t="n"/>
      <s:c r="E27490" s="122" t="n"/>
    </s:row>
    <s:row r="27491" hidden="1" ht="1" customHeight="1">
      <s:c r="A27491" s="120" t="inlineStr"/>
      <s:c r="B27491" s="121" t="n"/>
      <s:c r="C27491" s="121" t="n"/>
      <s:c r="D27491" s="121" t="n"/>
      <s:c r="E27491" s="122" t="n"/>
    </s:row>
    <s:row r="27492" hidden="1" ht="1" customHeight="1">
      <s:c r="A27492" s="120" t="inlineStr"/>
      <s:c r="B27492" s="121" t="n"/>
      <s:c r="C27492" s="121" t="n"/>
      <s:c r="D27492" s="121" t="n"/>
      <s:c r="E27492" s="122" t="n"/>
    </s:row>
    <s:row r="27493" hidden="1" ht="1" customHeight="1">
      <s:c r="A27493" s="120" t="inlineStr"/>
      <s:c r="B27493" s="121" t="n"/>
      <s:c r="C27493" s="121" t="n"/>
      <s:c r="D27493" s="121" t="n"/>
      <s:c r="E27493" s="122" t="n"/>
    </s:row>
    <s:row r="27494" hidden="1" ht="1" customHeight="1">
      <s:c r="A27494" s="120" t="inlineStr"/>
      <s:c r="B27494" s="121" t="n"/>
      <s:c r="C27494" s="121" t="n"/>
      <s:c r="D27494" s="121" t="n"/>
      <s:c r="E27494" s="122" t="n"/>
    </s:row>
    <s:row r="27495" hidden="1" ht="1" customHeight="1">
      <s:c r="A27495" s="120" t="inlineStr"/>
      <s:c r="B27495" s="121" t="n"/>
      <s:c r="C27495" s="121" t="n"/>
      <s:c r="D27495" s="121" t="n"/>
      <s:c r="E27495" s="122" t="n"/>
    </s:row>
    <s:row r="27496" hidden="1" ht="1" customHeight="1">
      <s:c r="A27496" s="120" t="inlineStr"/>
      <s:c r="B27496" s="121" t="n"/>
      <s:c r="C27496" s="121" t="n"/>
      <s:c r="D27496" s="121" t="n"/>
      <s:c r="E27496" s="122" t="n"/>
    </s:row>
    <s:row r="27497" hidden="1" ht="1" customHeight="1">
      <s:c r="A27497" s="120" t="inlineStr"/>
      <s:c r="B27497" s="121" t="n"/>
      <s:c r="C27497" s="121" t="n"/>
      <s:c r="D27497" s="121" t="n"/>
      <s:c r="E27497" s="122" t="n"/>
    </s:row>
    <s:row r="27498" hidden="1" ht="1" customHeight="1">
      <s:c r="A27498" s="120" t="inlineStr"/>
      <s:c r="B27498" s="121" t="n"/>
      <s:c r="C27498" s="121" t="n"/>
      <s:c r="D27498" s="121" t="n"/>
      <s:c r="E27498" s="122" t="n"/>
    </s:row>
    <s:row r="27499" hidden="1" ht="1" customHeight="1">
      <s:c r="A27499" s="120" t="inlineStr"/>
      <s:c r="B27499" s="121" t="n"/>
      <s:c r="C27499" s="121" t="n"/>
      <s:c r="D27499" s="121" t="n"/>
      <s:c r="E27499" s="122" t="n"/>
    </s:row>
    <s:row r="27500" hidden="1" ht="1" customHeight="1">
      <s:c r="A27500" s="120" t="inlineStr"/>
      <s:c r="B27500" s="121" t="n"/>
      <s:c r="C27500" s="121" t="n"/>
      <s:c r="D27500" s="121" t="n"/>
      <s:c r="E27500" s="122" t="n"/>
    </s:row>
    <s:row r="27501" hidden="1" ht="1" customHeight="1">
      <s:c r="A27501" s="120" t="inlineStr"/>
      <s:c r="B27501" s="121" t="n"/>
      <s:c r="C27501" s="121" t="n"/>
      <s:c r="D27501" s="121" t="n"/>
      <s:c r="E27501" s="122" t="n"/>
    </s:row>
    <s:row r="27502" hidden="1" ht="1" customHeight="1">
      <s:c r="A27502" s="120" t="inlineStr"/>
      <s:c r="B27502" s="121" t="n"/>
      <s:c r="C27502" s="121" t="n"/>
      <s:c r="D27502" s="121" t="n"/>
      <s:c r="E27502" s="122" t="n"/>
    </s:row>
    <s:row r="27503" hidden="1" ht="1" customHeight="1">
      <s:c r="A27503" s="120" t="inlineStr"/>
      <s:c r="B27503" s="121" t="n"/>
      <s:c r="C27503" s="121" t="n"/>
      <s:c r="D27503" s="121" t="n"/>
      <s:c r="E27503" s="122" t="n"/>
    </s:row>
    <s:row r="27504" hidden="1" ht="1" customHeight="1">
      <s:c r="A27504" s="120" t="inlineStr"/>
      <s:c r="B27504" s="121" t="n"/>
      <s:c r="C27504" s="121" t="n"/>
      <s:c r="D27504" s="121" t="n"/>
      <s:c r="E27504" s="122" t="n"/>
    </s:row>
    <s:row r="27505" hidden="1" ht="1" customHeight="1">
      <s:c r="A27505" s="120" t="inlineStr"/>
      <s:c r="B27505" s="121" t="n"/>
      <s:c r="C27505" s="121" t="n"/>
      <s:c r="D27505" s="121" t="n"/>
      <s:c r="E27505" s="122" t="n"/>
    </s:row>
    <s:row r="27506" hidden="1" ht="1" customHeight="1">
      <s:c r="A27506" s="120" t="inlineStr"/>
      <s:c r="B27506" s="121" t="n"/>
      <s:c r="C27506" s="121" t="n"/>
      <s:c r="D27506" s="121" t="n"/>
      <s:c r="E27506" s="122" t="n"/>
    </s:row>
    <s:row r="27507" hidden="1" ht="1" customHeight="1">
      <s:c r="A27507" s="120" t="inlineStr"/>
      <s:c r="B27507" s="121" t="n"/>
      <s:c r="C27507" s="121" t="n"/>
      <s:c r="D27507" s="121" t="n"/>
      <s:c r="E27507" s="122" t="n"/>
    </s:row>
    <s:row r="27508" hidden="1" ht="1" customHeight="1">
      <s:c r="A27508" s="120" t="inlineStr"/>
      <s:c r="B27508" s="121" t="n"/>
      <s:c r="C27508" s="121" t="n"/>
      <s:c r="D27508" s="121" t="n"/>
      <s:c r="E27508" s="122" t="n"/>
    </s:row>
    <s:row r="27509" hidden="1" ht="1" customHeight="1">
      <s:c r="A27509" s="120" t="inlineStr"/>
      <s:c r="B27509" s="121" t="n"/>
      <s:c r="C27509" s="121" t="n"/>
      <s:c r="D27509" s="121" t="n"/>
      <s:c r="E27509" s="122" t="n"/>
    </s:row>
    <s:row r="27510" hidden="1" ht="1" customHeight="1">
      <s:c r="A27510" s="120" t="inlineStr"/>
      <s:c r="B27510" s="121" t="n"/>
      <s:c r="C27510" s="121" t="n"/>
      <s:c r="D27510" s="121" t="n"/>
      <s:c r="E27510" s="122" t="n"/>
    </s:row>
    <s:row r="27511" hidden="1" ht="1" customHeight="1">
      <s:c r="A27511" s="120" t="inlineStr"/>
      <s:c r="B27511" s="121" t="n"/>
      <s:c r="C27511" s="121" t="n"/>
      <s:c r="D27511" s="121" t="n"/>
      <s:c r="E27511" s="122" t="n"/>
    </s:row>
    <s:row r="27512" hidden="1" ht="1" customHeight="1">
      <s:c r="A27512" s="120" t="inlineStr"/>
      <s:c r="B27512" s="121" t="n"/>
      <s:c r="C27512" s="121" t="n"/>
      <s:c r="D27512" s="121" t="n"/>
      <s:c r="E27512" s="122" t="n"/>
    </s:row>
    <s:row r="27513" hidden="1" ht="1" customHeight="1">
      <s:c r="A27513" s="120" t="inlineStr"/>
      <s:c r="B27513" s="121" t="n"/>
      <s:c r="C27513" s="121" t="n"/>
      <s:c r="D27513" s="121" t="n"/>
      <s:c r="E27513" s="122" t="n"/>
    </s:row>
    <s:row r="27514" hidden="1" ht="1" customHeight="1">
      <s:c r="A27514" s="120" t="inlineStr"/>
      <s:c r="B27514" s="121" t="n"/>
      <s:c r="C27514" s="121" t="n"/>
      <s:c r="D27514" s="121" t="n"/>
      <s:c r="E27514" s="122" t="n"/>
    </s:row>
    <s:row r="27515" hidden="1" ht="1" customHeight="1">
      <s:c r="A27515" s="120" t="inlineStr"/>
      <s:c r="B27515" s="121" t="n"/>
      <s:c r="C27515" s="121" t="n"/>
      <s:c r="D27515" s="121" t="n"/>
      <s:c r="E27515" s="122" t="n"/>
    </s:row>
    <s:row r="27516" hidden="1" ht="1" customHeight="1">
      <s:c r="A27516" s="120" t="inlineStr"/>
      <s:c r="B27516" s="121" t="n"/>
      <s:c r="C27516" s="121" t="n"/>
      <s:c r="D27516" s="121" t="n"/>
      <s:c r="E27516" s="122" t="n"/>
    </s:row>
    <s:row r="27517" hidden="1" ht="1" customHeight="1">
      <s:c r="A27517" s="120" t="inlineStr"/>
      <s:c r="B27517" s="121" t="n"/>
      <s:c r="C27517" s="121" t="n"/>
      <s:c r="D27517" s="121" t="n"/>
      <s:c r="E27517" s="122" t="n"/>
    </s:row>
    <s:row r="27518" hidden="1" ht="1" customHeight="1">
      <s:c r="A27518" s="120" t="inlineStr"/>
      <s:c r="B27518" s="121" t="n"/>
      <s:c r="C27518" s="121" t="n"/>
      <s:c r="D27518" s="121" t="n"/>
      <s:c r="E27518" s="122" t="n"/>
    </s:row>
    <s:row r="27519" hidden="1" ht="1" customHeight="1">
      <s:c r="A27519" s="120" t="inlineStr"/>
      <s:c r="B27519" s="121" t="n"/>
      <s:c r="C27519" s="121" t="n"/>
      <s:c r="D27519" s="121" t="n"/>
      <s:c r="E27519" s="122" t="n"/>
    </s:row>
    <s:row r="27520" hidden="1" ht="1" customHeight="1">
      <s:c r="A27520" s="120" t="inlineStr"/>
      <s:c r="B27520" s="121" t="n"/>
      <s:c r="C27520" s="121" t="n"/>
      <s:c r="D27520" s="121" t="n"/>
      <s:c r="E27520" s="122" t="n"/>
    </s:row>
    <s:row r="27521" hidden="1" ht="1" customHeight="1">
      <s:c r="A27521" s="120" t="inlineStr"/>
      <s:c r="B27521" s="121" t="n"/>
      <s:c r="C27521" s="121" t="n"/>
      <s:c r="D27521" s="121" t="n"/>
      <s:c r="E27521" s="122" t="n"/>
    </s:row>
    <s:row r="27522" hidden="1" ht="1" customHeight="1">
      <s:c r="A27522" s="120" t="inlineStr"/>
      <s:c r="B27522" s="121" t="n"/>
      <s:c r="C27522" s="121" t="n"/>
      <s:c r="D27522" s="121" t="n"/>
      <s:c r="E27522" s="122" t="n"/>
    </s:row>
    <s:row r="27523" hidden="1" ht="1" customHeight="1">
      <s:c r="A27523" s="120" t="inlineStr"/>
      <s:c r="B27523" s="121" t="n"/>
      <s:c r="C27523" s="121" t="n"/>
      <s:c r="D27523" s="121" t="n"/>
      <s:c r="E27523" s="122" t="n"/>
    </s:row>
    <s:row r="27524" hidden="1" ht="1" customHeight="1">
      <s:c r="A27524" s="120" t="inlineStr"/>
      <s:c r="B27524" s="121" t="n"/>
      <s:c r="C27524" s="121" t="n"/>
      <s:c r="D27524" s="121" t="n"/>
      <s:c r="E27524" s="122" t="n"/>
    </s:row>
    <s:row r="27525" hidden="1" ht="1" customHeight="1">
      <s:c r="A27525" s="120" t="inlineStr"/>
      <s:c r="B27525" s="121" t="n"/>
      <s:c r="C27525" s="121" t="n"/>
      <s:c r="D27525" s="121" t="n"/>
      <s:c r="E27525" s="122" t="n"/>
    </s:row>
    <s:row r="27526" hidden="1" ht="1" customHeight="1">
      <s:c r="A27526" s="120" t="inlineStr"/>
      <s:c r="B27526" s="121" t="n"/>
      <s:c r="C27526" s="121" t="n"/>
      <s:c r="D27526" s="121" t="n"/>
      <s:c r="E27526" s="122" t="n"/>
    </s:row>
    <s:row r="27527" hidden="1" ht="1" customHeight="1">
      <s:c r="A27527" s="120" t="inlineStr"/>
      <s:c r="B27527" s="121" t="n"/>
      <s:c r="C27527" s="121" t="n"/>
      <s:c r="D27527" s="121" t="n"/>
      <s:c r="E27527" s="122" t="n"/>
    </s:row>
    <s:row r="27528" hidden="1" ht="1" customHeight="1">
      <s:c r="A27528" s="120" t="inlineStr"/>
      <s:c r="B27528" s="121" t="n"/>
      <s:c r="C27528" s="121" t="n"/>
      <s:c r="D27528" s="121" t="n"/>
      <s:c r="E27528" s="122" t="n"/>
    </s:row>
    <s:row r="27529" hidden="1" ht="1" customHeight="1">
      <s:c r="A27529" s="120" t="inlineStr"/>
      <s:c r="B27529" s="121" t="n"/>
      <s:c r="C27529" s="121" t="n"/>
      <s:c r="D27529" s="121" t="n"/>
      <s:c r="E27529" s="122" t="n"/>
    </s:row>
    <s:row r="27530" hidden="1" ht="1" customHeight="1">
      <s:c r="A27530" s="120" t="inlineStr"/>
      <s:c r="B27530" s="121" t="n"/>
      <s:c r="C27530" s="121" t="n"/>
      <s:c r="D27530" s="121" t="n"/>
      <s:c r="E27530" s="122" t="n"/>
    </s:row>
    <s:row r="27531" hidden="1" ht="1" customHeight="1">
      <s:c r="A27531" s="120" t="inlineStr"/>
      <s:c r="B27531" s="121" t="n"/>
      <s:c r="C27531" s="121" t="n"/>
      <s:c r="D27531" s="121" t="n"/>
      <s:c r="E27531" s="122" t="n"/>
    </s:row>
    <s:row r="27532" hidden="1" ht="1" customHeight="1">
      <s:c r="A27532" s="120" t="inlineStr"/>
      <s:c r="B27532" s="121" t="n"/>
      <s:c r="C27532" s="121" t="n"/>
      <s:c r="D27532" s="121" t="n"/>
      <s:c r="E27532" s="122" t="n"/>
    </s:row>
    <s:row r="27533" hidden="1" ht="1" customHeight="1">
      <s:c r="A27533" s="120" t="inlineStr"/>
      <s:c r="B27533" s="121" t="n"/>
      <s:c r="C27533" s="121" t="n"/>
      <s:c r="D27533" s="121" t="n"/>
      <s:c r="E27533" s="122" t="n"/>
    </s:row>
    <s:row r="27534" hidden="1" ht="1" customHeight="1">
      <s:c r="A27534" s="120" t="inlineStr"/>
      <s:c r="B27534" s="121" t="n"/>
      <s:c r="C27534" s="121" t="n"/>
      <s:c r="D27534" s="121" t="n"/>
      <s:c r="E27534" s="122" t="n"/>
    </s:row>
    <s:row r="27535" hidden="1" ht="1" customHeight="1">
      <s:c r="A27535" s="120" t="inlineStr"/>
      <s:c r="B27535" s="121" t="n"/>
      <s:c r="C27535" s="121" t="n"/>
      <s:c r="D27535" s="121" t="n"/>
      <s:c r="E27535" s="122" t="n"/>
    </s:row>
    <s:row r="27536" hidden="1" ht="1" customHeight="1">
      <s:c r="A27536" s="120" t="inlineStr"/>
      <s:c r="B27536" s="121" t="n"/>
      <s:c r="C27536" s="121" t="n"/>
      <s:c r="D27536" s="121" t="n"/>
      <s:c r="E27536" s="122" t="n"/>
    </s:row>
    <s:row r="27537" hidden="1" ht="1" customHeight="1">
      <s:c r="A27537" s="120" t="inlineStr"/>
      <s:c r="B27537" s="121" t="n"/>
      <s:c r="C27537" s="121" t="n"/>
      <s:c r="D27537" s="121" t="n"/>
      <s:c r="E27537" s="122" t="n"/>
    </s:row>
    <s:row r="27538" hidden="1" ht="1" customHeight="1">
      <s:c r="A27538" s="120" t="inlineStr"/>
      <s:c r="B27538" s="121" t="n"/>
      <s:c r="C27538" s="121" t="n"/>
      <s:c r="D27538" s="121" t="n"/>
      <s:c r="E27538" s="122" t="n"/>
    </s:row>
    <s:row r="27539" hidden="1" ht="1" customHeight="1">
      <s:c r="A27539" s="120" t="inlineStr"/>
      <s:c r="B27539" s="121" t="n"/>
      <s:c r="C27539" s="121" t="n"/>
      <s:c r="D27539" s="121" t="n"/>
      <s:c r="E27539" s="122" t="n"/>
    </s:row>
    <s:row r="27540" hidden="1" ht="1" customHeight="1">
      <s:c r="A27540" s="120" t="inlineStr"/>
      <s:c r="B27540" s="121" t="n"/>
      <s:c r="C27540" s="121" t="n"/>
      <s:c r="D27540" s="121" t="n"/>
      <s:c r="E27540" s="122" t="n"/>
    </s:row>
    <s:row r="27541" hidden="1" ht="1" customHeight="1">
      <s:c r="A27541" s="120" t="inlineStr"/>
      <s:c r="B27541" s="121" t="n"/>
      <s:c r="C27541" s="121" t="n"/>
      <s:c r="D27541" s="121" t="n"/>
      <s:c r="E27541" s="122" t="n"/>
    </s:row>
    <s:row r="27542" hidden="1" ht="1" customHeight="1">
      <s:c r="A27542" s="120" t="inlineStr"/>
      <s:c r="B27542" s="121" t="n"/>
      <s:c r="C27542" s="121" t="n"/>
      <s:c r="D27542" s="121" t="n"/>
      <s:c r="E27542" s="122" t="n"/>
    </s:row>
    <s:row r="27543" hidden="1" ht="1" customHeight="1">
      <s:c r="A27543" s="120" t="inlineStr"/>
      <s:c r="B27543" s="121" t="n"/>
      <s:c r="C27543" s="121" t="n"/>
      <s:c r="D27543" s="121" t="n"/>
      <s:c r="E27543" s="122" t="n"/>
    </s:row>
    <s:row r="27544" hidden="1" ht="1" customHeight="1">
      <s:c r="A27544" s="120" t="inlineStr"/>
      <s:c r="B27544" s="121" t="n"/>
      <s:c r="C27544" s="121" t="n"/>
      <s:c r="D27544" s="121" t="n"/>
      <s:c r="E27544" s="122" t="n"/>
    </s:row>
    <s:row r="27545" hidden="1" ht="1" customHeight="1">
      <s:c r="A27545" s="120" t="inlineStr"/>
      <s:c r="B27545" s="121" t="n"/>
      <s:c r="C27545" s="121" t="n"/>
      <s:c r="D27545" s="121" t="n"/>
      <s:c r="E27545" s="122" t="n"/>
    </s:row>
    <s:row r="27546" hidden="1" ht="1" customHeight="1">
      <s:c r="A27546" s="120" t="inlineStr"/>
      <s:c r="B27546" s="121" t="n"/>
      <s:c r="C27546" s="121" t="n"/>
      <s:c r="D27546" s="121" t="n"/>
      <s:c r="E27546" s="122" t="n"/>
    </s:row>
    <s:row r="27547" hidden="1" ht="1" customHeight="1">
      <s:c r="A27547" s="120" t="inlineStr"/>
      <s:c r="B27547" s="121" t="n"/>
      <s:c r="C27547" s="121" t="n"/>
      <s:c r="D27547" s="121" t="n"/>
      <s:c r="E27547" s="122" t="n"/>
    </s:row>
    <s:row r="27548" hidden="1" ht="1" customHeight="1">
      <s:c r="A27548" s="120" t="inlineStr"/>
      <s:c r="B27548" s="121" t="n"/>
      <s:c r="C27548" s="121" t="n"/>
      <s:c r="D27548" s="121" t="n"/>
      <s:c r="E27548" s="122" t="n"/>
    </s:row>
    <s:row r="27549" hidden="1" ht="1" customHeight="1">
      <s:c r="A27549" s="120" t="inlineStr"/>
      <s:c r="B27549" s="121" t="n"/>
      <s:c r="C27549" s="121" t="n"/>
      <s:c r="D27549" s="121" t="n"/>
      <s:c r="E27549" s="122" t="n"/>
    </s:row>
    <s:row r="27550" hidden="1" ht="1" customHeight="1">
      <s:c r="A27550" s="120" t="inlineStr"/>
      <s:c r="B27550" s="121" t="n"/>
      <s:c r="C27550" s="121" t="n"/>
      <s:c r="D27550" s="121" t="n"/>
      <s:c r="E27550" s="122" t="n"/>
    </s:row>
    <s:row r="27551" hidden="1" ht="1" customHeight="1">
      <s:c r="A27551" s="120" t="inlineStr"/>
      <s:c r="B27551" s="121" t="n"/>
      <s:c r="C27551" s="121" t="n"/>
      <s:c r="D27551" s="121" t="n"/>
      <s:c r="E27551" s="122" t="n"/>
    </s:row>
    <s:row r="27552" hidden="1" ht="1" customHeight="1">
      <s:c r="A27552" s="120" t="inlineStr"/>
      <s:c r="B27552" s="121" t="n"/>
      <s:c r="C27552" s="121" t="n"/>
      <s:c r="D27552" s="121" t="n"/>
      <s:c r="E27552" s="122" t="n"/>
    </s:row>
    <s:row r="27553" hidden="1" ht="1" customHeight="1">
      <s:c r="A27553" s="120" t="inlineStr"/>
      <s:c r="B27553" s="121" t="n"/>
      <s:c r="C27553" s="121" t="n"/>
      <s:c r="D27553" s="121" t="n"/>
      <s:c r="E27553" s="122" t="n"/>
    </s:row>
    <s:row r="27554" hidden="1" ht="1" customHeight="1">
      <s:c r="A27554" s="120" t="inlineStr"/>
      <s:c r="B27554" s="121" t="n"/>
      <s:c r="C27554" s="121" t="n"/>
      <s:c r="D27554" s="121" t="n"/>
      <s:c r="E27554" s="122" t="n"/>
    </s:row>
    <s:row r="27555" hidden="1" ht="1" customHeight="1">
      <s:c r="A27555" s="120" t="inlineStr"/>
      <s:c r="B27555" s="121" t="n"/>
      <s:c r="C27555" s="121" t="n"/>
      <s:c r="D27555" s="121" t="n"/>
      <s:c r="E27555" s="122" t="n"/>
    </s:row>
    <s:row r="27556" hidden="1" ht="1" customHeight="1">
      <s:c r="A27556" s="120" t="inlineStr"/>
      <s:c r="B27556" s="121" t="n"/>
      <s:c r="C27556" s="121" t="n"/>
      <s:c r="D27556" s="121" t="n"/>
      <s:c r="E27556" s="122" t="n"/>
    </s:row>
    <s:row r="27557" hidden="1" ht="1" customHeight="1">
      <s:c r="A27557" s="120" t="inlineStr"/>
      <s:c r="B27557" s="121" t="n"/>
      <s:c r="C27557" s="121" t="n"/>
      <s:c r="D27557" s="121" t="n"/>
      <s:c r="E27557" s="122" t="n"/>
    </s:row>
    <s:row r="27558" hidden="1" ht="1" customHeight="1">
      <s:c r="A27558" s="120" t="inlineStr"/>
      <s:c r="B27558" s="121" t="n"/>
      <s:c r="C27558" s="121" t="n"/>
      <s:c r="D27558" s="121" t="n"/>
      <s:c r="E27558" s="122" t="n"/>
    </s:row>
    <s:row r="27559" hidden="1" ht="1" customHeight="1">
      <s:c r="A27559" s="120" t="inlineStr"/>
      <s:c r="B27559" s="121" t="n"/>
      <s:c r="C27559" s="121" t="n"/>
      <s:c r="D27559" s="121" t="n"/>
      <s:c r="E27559" s="122" t="n"/>
    </s:row>
    <s:row r="27560" hidden="1" ht="1" customHeight="1">
      <s:c r="A27560" s="120" t="inlineStr"/>
      <s:c r="B27560" s="121" t="n"/>
      <s:c r="C27560" s="121" t="n"/>
      <s:c r="D27560" s="121" t="n"/>
      <s:c r="E27560" s="122" t="n"/>
    </s:row>
    <s:row r="27561" hidden="1" ht="1" customHeight="1">
      <s:c r="A27561" s="120" t="inlineStr"/>
      <s:c r="B27561" s="121" t="n"/>
      <s:c r="C27561" s="121" t="n"/>
      <s:c r="D27561" s="121" t="n"/>
      <s:c r="E27561" s="122" t="n"/>
    </s:row>
    <s:row r="27562" hidden="1" ht="1" customHeight="1">
      <s:c r="A27562" s="120" t="inlineStr"/>
      <s:c r="B27562" s="121" t="n"/>
      <s:c r="C27562" s="121" t="n"/>
      <s:c r="D27562" s="121" t="n"/>
      <s:c r="E27562" s="122" t="n"/>
    </s:row>
    <s:row r="27563" hidden="1" ht="1" customHeight="1">
      <s:c r="A27563" s="120" t="inlineStr"/>
      <s:c r="B27563" s="121" t="n"/>
      <s:c r="C27563" s="121" t="n"/>
      <s:c r="D27563" s="121" t="n"/>
      <s:c r="E27563" s="122" t="n"/>
    </s:row>
    <s:row r="27564" hidden="1" ht="1" customHeight="1">
      <s:c r="A27564" s="120" t="inlineStr"/>
      <s:c r="B27564" s="121" t="n"/>
      <s:c r="C27564" s="121" t="n"/>
      <s:c r="D27564" s="121" t="n"/>
      <s:c r="E27564" s="122" t="n"/>
    </s:row>
    <s:row r="27565" hidden="1" ht="1" customHeight="1">
      <s:c r="A27565" s="120" t="inlineStr"/>
      <s:c r="B27565" s="121" t="n"/>
      <s:c r="C27565" s="121" t="n"/>
      <s:c r="D27565" s="121" t="n"/>
      <s:c r="E27565" s="122" t="n"/>
    </s:row>
    <s:row r="27566" hidden="1" ht="1" customHeight="1">
      <s:c r="A27566" s="120" t="inlineStr"/>
      <s:c r="B27566" s="121" t="n"/>
      <s:c r="C27566" s="121" t="n"/>
      <s:c r="D27566" s="121" t="n"/>
      <s:c r="E27566" s="122" t="n"/>
    </s:row>
    <s:row r="27567" hidden="1" ht="1" customHeight="1">
      <s:c r="A27567" s="120" t="inlineStr"/>
      <s:c r="B27567" s="121" t="n"/>
      <s:c r="C27567" s="121" t="n"/>
      <s:c r="D27567" s="121" t="n"/>
      <s:c r="E27567" s="122" t="n"/>
    </s:row>
    <s:row r="27568" hidden="1" ht="1" customHeight="1">
      <s:c r="A27568" s="120" t="inlineStr"/>
      <s:c r="B27568" s="121" t="n"/>
      <s:c r="C27568" s="121" t="n"/>
      <s:c r="D27568" s="121" t="n"/>
      <s:c r="E27568" s="122" t="n"/>
    </s:row>
    <s:row r="27569" hidden="1" ht="1" customHeight="1">
      <s:c r="A27569" s="120" t="inlineStr"/>
      <s:c r="B27569" s="121" t="n"/>
      <s:c r="C27569" s="121" t="n"/>
      <s:c r="D27569" s="121" t="n"/>
      <s:c r="E27569" s="122" t="n"/>
    </s:row>
    <s:row r="27570" hidden="1" ht="1" customHeight="1">
      <s:c r="A27570" s="120" t="inlineStr"/>
      <s:c r="B27570" s="121" t="n"/>
      <s:c r="C27570" s="121" t="n"/>
      <s:c r="D27570" s="121" t="n"/>
      <s:c r="E27570" s="122" t="n"/>
    </s:row>
    <s:row r="27571" hidden="1" ht="1" customHeight="1">
      <s:c r="A27571" s="120" t="inlineStr"/>
      <s:c r="B27571" s="121" t="n"/>
      <s:c r="C27571" s="121" t="n"/>
      <s:c r="D27571" s="121" t="n"/>
      <s:c r="E27571" s="122" t="n"/>
    </s:row>
    <s:row r="27572" hidden="1" ht="1" customHeight="1">
      <s:c r="A27572" s="120" t="inlineStr"/>
      <s:c r="B27572" s="121" t="n"/>
      <s:c r="C27572" s="121" t="n"/>
      <s:c r="D27572" s="121" t="n"/>
      <s:c r="E27572" s="122" t="n"/>
    </s:row>
    <s:row r="27573" hidden="1" ht="1" customHeight="1">
      <s:c r="A27573" s="120" t="inlineStr"/>
      <s:c r="B27573" s="121" t="n"/>
      <s:c r="C27573" s="121" t="n"/>
      <s:c r="D27573" s="121" t="n"/>
      <s:c r="E27573" s="122" t="n"/>
    </s:row>
    <s:row r="27574" hidden="1" ht="1" customHeight="1">
      <s:c r="A27574" s="120" t="inlineStr"/>
      <s:c r="B27574" s="121" t="n"/>
      <s:c r="C27574" s="121" t="n"/>
      <s:c r="D27574" s="121" t="n"/>
      <s:c r="E27574" s="122" t="n"/>
    </s:row>
    <s:row r="27575" hidden="1" ht="1" customHeight="1">
      <s:c r="A27575" s="120" t="inlineStr"/>
      <s:c r="B27575" s="121" t="n"/>
      <s:c r="C27575" s="121" t="n"/>
      <s:c r="D27575" s="121" t="n"/>
      <s:c r="E27575" s="122" t="n"/>
    </s:row>
    <s:row r="27576" hidden="1" ht="1" customHeight="1">
      <s:c r="A27576" s="120" t="inlineStr"/>
      <s:c r="B27576" s="121" t="n"/>
      <s:c r="C27576" s="121" t="n"/>
      <s:c r="D27576" s="121" t="n"/>
      <s:c r="E27576" s="122" t="n"/>
    </s:row>
    <s:row r="27577" hidden="1" ht="1" customHeight="1">
      <s:c r="A27577" s="120" t="inlineStr"/>
      <s:c r="B27577" s="121" t="n"/>
      <s:c r="C27577" s="121" t="n"/>
      <s:c r="D27577" s="121" t="n"/>
      <s:c r="E27577" s="122" t="n"/>
    </s:row>
    <s:row r="27578" hidden="1" ht="1" customHeight="1">
      <s:c r="A27578" s="120" t="inlineStr"/>
      <s:c r="B27578" s="121" t="n"/>
      <s:c r="C27578" s="121" t="n"/>
      <s:c r="D27578" s="121" t="n"/>
      <s:c r="E27578" s="122" t="n"/>
    </s:row>
    <s:row r="27579" hidden="1" ht="1" customHeight="1">
      <s:c r="A27579" s="120" t="inlineStr"/>
      <s:c r="B27579" s="121" t="n"/>
      <s:c r="C27579" s="121" t="n"/>
      <s:c r="D27579" s="121" t="n"/>
      <s:c r="E27579" s="122" t="n"/>
    </s:row>
    <s:row r="27580" hidden="1" ht="1" customHeight="1">
      <s:c r="A27580" s="120" t="inlineStr"/>
      <s:c r="B27580" s="121" t="n"/>
      <s:c r="C27580" s="121" t="n"/>
      <s:c r="D27580" s="121" t="n"/>
      <s:c r="E27580" s="122" t="n"/>
    </s:row>
    <s:row r="27581" hidden="1" ht="1" customHeight="1">
      <s:c r="A27581" s="120" t="inlineStr"/>
      <s:c r="B27581" s="121" t="n"/>
      <s:c r="C27581" s="121" t="n"/>
      <s:c r="D27581" s="121" t="n"/>
      <s:c r="E27581" s="122" t="n"/>
    </s:row>
    <s:row r="27582" hidden="1" ht="1" customHeight="1">
      <s:c r="A27582" s="120" t="inlineStr"/>
      <s:c r="B27582" s="121" t="n"/>
      <s:c r="C27582" s="121" t="n"/>
      <s:c r="D27582" s="121" t="n"/>
      <s:c r="E27582" s="122" t="n"/>
    </s:row>
    <s:row r="27583" hidden="1" ht="1" customHeight="1">
      <s:c r="A27583" s="120" t="inlineStr"/>
      <s:c r="B27583" s="121" t="n"/>
      <s:c r="C27583" s="121" t="n"/>
      <s:c r="D27583" s="121" t="n"/>
      <s:c r="E27583" s="122" t="n"/>
    </s:row>
    <s:row r="27584" hidden="1" ht="1" customHeight="1">
      <s:c r="A27584" s="120" t="inlineStr"/>
      <s:c r="B27584" s="121" t="n"/>
      <s:c r="C27584" s="121" t="n"/>
      <s:c r="D27584" s="121" t="n"/>
      <s:c r="E27584" s="122" t="n"/>
    </s:row>
    <s:row r="27585" hidden="1" ht="1" customHeight="1">
      <s:c r="A27585" s="120" t="inlineStr"/>
      <s:c r="B27585" s="121" t="n"/>
      <s:c r="C27585" s="121" t="n"/>
      <s:c r="D27585" s="121" t="n"/>
      <s:c r="E27585" s="122" t="n"/>
    </s:row>
    <s:row r="27586" hidden="1" ht="1" customHeight="1">
      <s:c r="A27586" s="120" t="inlineStr"/>
      <s:c r="B27586" s="121" t="n"/>
      <s:c r="C27586" s="121" t="n"/>
      <s:c r="D27586" s="121" t="n"/>
      <s:c r="E27586" s="122" t="n"/>
    </s:row>
    <s:row r="27587" hidden="1" ht="1" customHeight="1">
      <s:c r="A27587" s="120" t="inlineStr"/>
      <s:c r="B27587" s="121" t="n"/>
      <s:c r="C27587" s="121" t="n"/>
      <s:c r="D27587" s="121" t="n"/>
      <s:c r="E27587" s="122" t="n"/>
    </s:row>
    <s:row r="27588" hidden="1" ht="1" customHeight="1">
      <s:c r="A27588" s="120" t="inlineStr"/>
      <s:c r="B27588" s="121" t="n"/>
      <s:c r="C27588" s="121" t="n"/>
      <s:c r="D27588" s="121" t="n"/>
      <s:c r="E27588" s="122" t="n"/>
    </s:row>
    <s:row r="27589" hidden="1" ht="1" customHeight="1">
      <s:c r="A27589" s="120" t="inlineStr"/>
      <s:c r="B27589" s="121" t="n"/>
      <s:c r="C27589" s="121" t="n"/>
      <s:c r="D27589" s="121" t="n"/>
      <s:c r="E27589" s="122" t="n"/>
    </s:row>
    <s:row r="27590" hidden="1" ht="1" customHeight="1">
      <s:c r="A27590" s="120" t="inlineStr"/>
      <s:c r="B27590" s="121" t="n"/>
      <s:c r="C27590" s="121" t="n"/>
      <s:c r="D27590" s="121" t="n"/>
      <s:c r="E27590" s="122" t="n"/>
    </s:row>
    <s:row r="27591" hidden="1" ht="1" customHeight="1">
      <s:c r="A27591" s="120" t="inlineStr"/>
      <s:c r="B27591" s="121" t="n"/>
      <s:c r="C27591" s="121" t="n"/>
      <s:c r="D27591" s="121" t="n"/>
      <s:c r="E27591" s="122" t="n"/>
    </s:row>
    <s:row r="27592" hidden="1" ht="1" customHeight="1">
      <s:c r="A27592" s="120" t="inlineStr"/>
      <s:c r="B27592" s="121" t="n"/>
      <s:c r="C27592" s="121" t="n"/>
      <s:c r="D27592" s="121" t="n"/>
      <s:c r="E27592" s="122" t="n"/>
    </s:row>
    <s:row r="27593" hidden="1" ht="1" customHeight="1">
      <s:c r="A27593" s="120" t="inlineStr"/>
      <s:c r="B27593" s="121" t="n"/>
      <s:c r="C27593" s="121" t="n"/>
      <s:c r="D27593" s="121" t="n"/>
      <s:c r="E27593" s="122" t="n"/>
    </s:row>
    <s:row r="27594" hidden="1" ht="1" customHeight="1">
      <s:c r="A27594" s="83" t="inlineStr">
        <s:is>
          <s:t>PASS</s:t>
        </s:is>
      </s:c>
      <s:c r="B27594" s="83">
        <s:f>SUM(IF(EXACT('Kiểm thử'!E27444,"Đạt"),1,0),IF(EXACT('Kiểm thử'!E27446,"Đạt"),1,0),IF(EXACT('Kiểm thử'!E27448,"Đạt"),1,0))</s:f>
        <s:v/>
      </s:c>
      <s:c r="C27594" s="19" t="n"/>
      <s:c r="D27594" s="19" t="n"/>
      <s:c r="E27594" s="19" t="n"/>
    </s:row>
    <s:row r="27595" hidden="1" ht="1" customHeight="1">
      <s:c r="A27595" s="83" t="inlineStr">
        <s:is>
          <s:t>FAIL</s:t>
        </s:is>
      </s:c>
      <s:c r="B27595" s="83">
        <s:f>SUM(IF(EXACT('Kiểm thử'!E27444,"Không đạt"),1,0),IF(EXACT('Kiểm thử'!E27446,"Không đạt"),1,0),IF(EXACT('Kiểm thử'!E27448,"Không đạt"),1,0))</s:f>
        <s:v/>
      </s:c>
      <s:c r="C27595" s="19" t="n"/>
      <s:c r="D27595" s="19" t="n"/>
      <s:c r="E27595" s="19" t="n"/>
    </s:row>
    <s:row r="27596" hidden="1" ht="1" customHeight="1">
      <s:c r="A27596" s="83" t="inlineStr">
        <s:is>
          <s:t>BLOCKED</s:t>
        </s:is>
      </s:c>
      <s:c r="B27596" s="83">
        <s:f>SUM(IF(EXACT('Kiểm thử'!E27444,"Bị chặn"),1,0),IF(EXACT('Kiểm thử'!E27446,"Bị chặn"),1,0),IF(EXACT('Kiểm thử'!E27448,"Bị chặn"),1,0))</s:f>
        <s:v/>
      </s:c>
      <s:c r="C27596" s="19" t="n"/>
      <s:c r="D27596" s="19" t="n"/>
      <s:c r="E27596" s="19" t="n"/>
    </s:row>
    <s:row r="27597" hidden="1" ht="1" customHeight="1">
      <s:c r="A27597" s="83" t="inlineStr">
        <s:is>
          <s:t>SKIPPED</s:t>
        </s:is>
      </s:c>
      <s:c r="B27597" s="83">
        <s:f>SUM(IF(EXACT('Kiểm thử'!E27444,"Không thực hiện"),1,0),IF(EXACT('Kiểm thử'!E27446,"Không thực hiện"),1,0),IF(EXACT('Kiểm thử'!E27448,"Không thực hiện"),1,0))</s:f>
        <s:v/>
      </s:c>
      <s:c r="C27597" s="19" t="n"/>
      <s:c r="D27597" s="19" t="n"/>
      <s:c r="E27597" s="19" t="n"/>
    </s:row>
    <s:row r="27598" hidden="1" ht="1" customHeight="1">
      <s:c r="A27598" s="83" t="inlineStr">
        <s:is>
          <s:t>NOT RUN</s:t>
        </s:is>
      </s:c>
      <s:c r="B27598" s="83">
        <s:f>SUM(IF(EXACT('Kiểm thử'!E27444,"Chưa thực hiện"),1,0),IF(EXACT('Kiểm thử'!E27446,"Chưa thực hiện"),1,0),IF(EXACT('Kiểm thử'!E27448,"Chưa thực hiện"),1,0))</s:f>
        <s:v/>
      </s:c>
      <s:c r="C27598" s="19" t="n"/>
      <s:c r="D27598" s="19" t="n"/>
      <s:c r="E27598" s="19" t="n"/>
    </s:row>
    <s:row r="27599" hidden="1" ht="6" customHeight="1">
      <s:c r="A27599" s="83" t="inlineStr"/>
      <s:c r="B27599" s="19" t="n"/>
      <s:c r="C27599" s="19" t="n"/>
      <s:c r="D27599" s="19" t="n"/>
      <s:c r="E27599" s="19" t="n"/>
    </s:row>
    <s:row r="27600" ht="28" customHeight="1">
      <s:c r="A27600" s="108" t="inlineStr">
        <s:is>
          <s:t>TC-RS-DATA-013 — Phiên bản quy tắc, dòng điều khiển và thế hệ ô được cập nhật đúng sự kiện</s:t>
        </s:is>
      </s:c>
      <s:c r="B27600" s="111" t="n"/>
      <s:c r="C27600" s="111" t="n"/>
      <s:c r="D27600" s="111" t="n"/>
      <s:c r="E27600" s="111" t="n"/>
    </s:row>
    <s:row r="27601" ht="20" customHeight="1">
      <s:c r="A27601" s="112" t="inlineStr">
        <s:is>
          <s:t>Kết quả tình huống</s:t>
        </s:is>
      </s:c>
      <s:c r="B27601" s="113">
        <s:f>IF(SUM(IF(EXACT('Kiểm thử'!E27610,"Không đạt"),1,0),IF(EXACT('Kiểm thử'!E27612,"Không đạt"),1,0),IF(EXACT('Kiểm thử'!E27614,"Không đạt"),1,0),IF(EXACT('Kiểm thử'!E27616,"Không đạt"),1,0))&gt;0,"Không đạt",IF(SUM(IF(EXACT('Kiểm thử'!E27610,"Đạt"),1,0),IF(EXACT('Kiểm thử'!E27612,"Đạt"),1,0),IF(EXACT('Kiểm thử'!E27614,"Đạt"),1,0),IF(EXACT('Kiểm thử'!E27616,"Đạt"),1,0))=4,"Đạt",IF(SUM(IF(EXACT('Kiểm thử'!E27610,"Không thực hiện"),1,0),IF(EXACT('Kiểm thử'!E27612,"Không thực hiện"),1,0),IF(EXACT('Kiểm thử'!E27614,"Không thực hiện"),1,0),IF(EXACT('Kiểm thử'!E27616,"Không thực hiện"),1,0))=4,"Không thực hiện",IF(SUM(IF(EXACT('Kiểm thử'!E27610,"Bị chặn"),1,0),IF(EXACT('Kiểm thử'!E27612,"Bị chặn"),1,0),IF(EXACT('Kiểm thử'!E27614,"Bị chặn"),1,0),IF(EXACT('Kiểm thử'!E27616,"Bị chặn"),1,0))&gt;0,"Bị chặn",IF(SUM(IF(EXACT('Kiểm thử'!E27610,"Chưa thực hiện"),1,0),IF(EXACT('Kiểm thử'!E27612,"Chưa thực hiện"),1,0),IF(EXACT('Kiểm thử'!E27614,"Chưa thực hiện"),1,0),IF(EXACT('Kiểm thử'!E27616,"Chưa thực hiện"),1,0))=4,"Chưa thực hiện","Đang thực hiện")))))</s:f>
        <s:v/>
      </s:c>
      <s:c r="C27601" s="114" t="n"/>
      <s:c r="D27601" s="114" t="n"/>
      <s:c r="E27601" s="114" t="n"/>
    </s:row>
    <s:row r="27602" ht="20" customHeight="1">
      <s:c r="A27602" s="112" t="inlineStr">
        <s:is>
          <s:t>Màn hình / chức năng</s:t>
        </s:is>
      </s:c>
      <s:c r="B27602" s="113" t="inlineStr">
        <s:is>
          <s:t>Bảo toàn dữ liệu và cấu hình</s:t>
        </s:is>
      </s:c>
      <s:c r="C27602" s="28" t="n"/>
      <s:c r="D27602" s="28" t="n"/>
      <s:c r="E27602" s="28" t="n"/>
    </s:row>
    <s:row r="27603" ht="62" customHeight="1">
      <s:c r="A27603" s="112" t="inlineStr">
        <s:is>
          <s:t>Cấu hình</s:t>
        </s:is>
      </s:c>
      <s:c r="B27603" s="113" t="inlineStr">
        <s:is>
          <s:r>
            <s:t>• Build có migration v2. mục số nguyên (</s:t>
          </s:r>
          <s:r>
            <s:rPr>
              <s:b val="1"/>
            </s:rPr>
            <s:t>M=100</s:t>
          </s:r>
          <s:r>
            <s:t>) có quy tắc “Cố định 30” (dưới 30) và cặp quy tắc cùng áp dụng (dưới 20 và dưới 30);
• S01 = 29 đã được xét (Đỏ);
• Ô S02 chưa từng xét.</s:t>
          </s:r>
        </s:is>
      </s:c>
      <s:c r="C27603" s="28" t="n"/>
      <s:c r="D27603" s="28" t="n"/>
      <s:c r="E27603" s="28" t="n"/>
    </s:row>
    <s:row r="27604" ht="62" customHeight="1">
      <s:c r="A27604" s="112" t="inlineStr">
        <s:is>
          <s:t>Dữ liệu test</s:t>
        </s:is>
      </s:c>
      <s:c r="B27604" s="113" t="inlineStr">
        <s:is>
          <s:r>
            <s:t>• Mục số nguyên (</s:t>
          </s:r>
          <s:r>
            <s:rPr>
              <s:b val="1"/>
            </s:rPr>
            <s:t>M=100</s:t>
          </s:r>
          <s:r>
            <s:t>);
• Quy tắc “Cố định 30” (dưới 30), cặp quy tắc cùng áp dụng (dưới 20 và dưới 30);
• Học sinh S01 (điểm 29), học sinh S02 (điểm 30);
• Quyền đọc DB local (chỉ SELECT/SHOW)</s:t>
          </s:r>
        </s:is>
      </s:c>
      <s:c r="C27604" s="28" t="n"/>
      <s:c r="D27604" s="28" t="n"/>
      <s:c r="E27604" s="28" t="n"/>
    </s:row>
    <s:row r="27605" ht="34" customHeight="1">
      <s:c r="A27605" s="112" t="inlineStr">
        <s:is>
          <s:t>Bước 1</s:t>
        </s:is>
      </s:c>
      <s:c r="B27605" s="113" t="inlineStr">
        <s:is>
          <s:t>Dựng baseline độc lập của fixture trong trường hợp đang chạy; chỉ dùng quyền đọc DB local SELECT/SHOW đã nêu.</s:t>
        </s:is>
      </s:c>
      <s:c r="C27605" s="28" t="n"/>
      <s:c r="D27605" s="28" t="n"/>
      <s:c r="E27605" s="28" t="n"/>
    </s:row>
    <s:row r="27606" ht="20" customHeight="1">
      <s:c r="A27606" s="112" t="inlineStr">
        <s:is>
          <s:t>Bước 2</s:t>
        </s:is>
      </s:c>
      <s:c r="B27606" s="113" t="inlineStr">
        <s:is>
          <s:t>Đọc giá trị ban đầu, thực hiện chuỗi sự kiện riêng ở bảng trường hợp rồi đọc lại sau từng sự kiện.</s:t>
        </s:is>
      </s:c>
      <s:c r="C27606" s="28" t="n"/>
      <s:c r="D27606" s="28" t="n"/>
      <s:c r="E27606" s="28" t="n"/>
    </s:row>
    <s:row r="27607" ht="20" customHeight="1">
      <s:c r="A27607" s="112" t="inlineStr">
        <s:is>
          <s:t>Bước 3</s:t>
        </s:is>
      </s:c>
      <s:c r="B27607" s="113" t="inlineStr">
        <s:is>
          <s:t>Đối chiếu đúng identity ô, phiên bản và trạng thái; không dùng fixture của nhánh khác để kết luận.</s:t>
        </s:is>
      </s:c>
      <s:c r="C27607" s="28" t="n"/>
      <s:c r="D27607" s="28" t="n"/>
      <s:c r="E27607" s="28" t="n"/>
    </s:row>
    <s:row r="27608" ht="28" customHeight="1">
      <s:c r="A27608" s="115" t="inlineStr">
        <s:is>
          <s:t>Trường hợp</s:t>
        </s:is>
      </s:c>
      <s:c r="B27608" s="115" t="inlineStr">
        <s:is>
          <s:t>Dữ liệu / thao tác riêng</s:t>
        </s:is>
      </s:c>
      <s:c r="C27608" s="115" t="inlineStr">
        <s:is>
          <s:t>Kết quả mong đợi</s:t>
        </s:is>
      </s:c>
      <s:c r="D27608" s="115" t="inlineStr">
        <s:is>
          <s:t>Kết quả thực tế</s:t>
        </s:is>
      </s:c>
      <s:c r="E27608" s="115" t="inlineStr">
        <s:is>
          <s:t>Đánh giá</s:t>
        </s:is>
      </s:c>
    </s:row>
    <s:row r="27609" ht="3" customHeight="1">
      <s:c r="A27609" s="102" t="inlineStr"/>
      <s:c r="B27609" s="99" t="n"/>
      <s:c r="C27609" s="99" t="n"/>
      <s:c r="D27609" s="116" t="n"/>
      <s:c r="E27609" s="116" t="n"/>
    </s:row>
    <s:row r="27610" ht="132" customHeight="1">
      <s:c r="A27610" s="83" t="inlineStr">
        <s:is>
          <s:t>Phiên bản sau từng thay đổi cấu hình (revision)</s:t>
        </s:is>
      </s:c>
      <s:c r="B27610" s="83" t="inlineStr">
        <s:is>
          <s:t>Fixture A độc lập: SELECT red_score_revision của grade_evaluate_frame_items và cell_generation/write_version/judged_version/rule_revision/judgment_status của S01 trước lượt. Lần lượt thêm rule, sửa ngưỡng, đổi thứ tự, xóa rule; SELECT revision/kết quả S01 sau mỗi thao tác, chưa chạy xét.</s:t>
        </s:is>
      </s:c>
      <s:c r="C27610" s="83" t="inlineStr">
        <s:is>
          <s:t>Có giá trị ban đầu; judged_version của S01 bằng phiên bản lần ghi hoàn tất. Trên fixture A, red_score_revision tăng sau mỗi thao tác cấu hình; đối chiếu S01 trước trigger chạy lại.</s:t>
        </s:is>
      </s:c>
      <s:c r="D27610" s="117" t="inlineStr"/>
      <s:c r="E27610" s="118" t="inlineStr">
        <s:is>
          <s:t>Chưa thực hiện</s:t>
        </s:is>
      </s:c>
    </s:row>
    <s:row r="27611" ht="3" customHeight="1">
      <s:c r="A27611" s="102" t="inlineStr"/>
      <s:c r="B27611" s="99" t="n"/>
      <s:c r="C27611" s="99" t="n"/>
      <s:c r="D27611" s="116" t="n"/>
      <s:c r="E27611" s="116" t="n"/>
    </s:row>
    <s:row r="27612" ht="90" customHeight="1">
      <s:c r="A27612" s="83" t="inlineStr">
        <s:is>
          <s:t>Xóa quy tắc cuối và xét lại (delete-last-rule)</s:t>
        </s:is>
      </s:c>
      <s:c r="B27612" s="83" t="inlineStr">
        <s:is>
          <s:t>Fixture B độc lập: dựng S01=29 Đỏ, SELECT các giá trị ban đầu như fixture A; xóa tới rule cuối rồi chạy lại. Đọc trạng thái/phiên bản S01; không dùng kết quả fixture A làm baseline.</s:t>
        </s:is>
      </s:c>
      <s:c r="C27612" s="83" t="inlineStr">
        <s:is>
          <s:r>
            <s:t xml:space="preserve">Có giá trị ban đầu; judged_version của S01 bằng phiên bản lần ghi hoàn tất. Trên fixture B độc lập, sau xóa rule cuối và chạy lại, S01 </s:t>
          </s:r>
          <s:r>
            <s:rPr>
              <s:b val="1"/>
            </s:rPr>
            <s:t>Không áp dụng</s:t>
          </s:r>
          <s:r>
            <s:t>/ngừng kết quả cũ theo G20/G21; không dùng fixture A.</s:t>
          </s:r>
        </s:is>
      </s:c>
      <s:c r="D27612" s="117" t="inlineStr"/>
      <s:c r="E27612" s="118" t="inlineStr">
        <s:is>
          <s:t>Chưa thực hiện</s:t>
        </s:is>
      </s:c>
    </s:row>
    <s:row r="27613" ht="3" customHeight="1">
      <s:c r="A27613" s="102" t="inlineStr"/>
      <s:c r="B27613" s="99" t="n"/>
      <s:c r="C27613" s="99" t="n"/>
      <s:c r="D27613" s="116" t="n"/>
      <s:c r="E27613" s="116" t="n"/>
    </s:row>
    <s:row r="27614" ht="90" customHeight="1">
      <s:c r="A27614" s="83" t="inlineStr">
        <s:is>
          <s:t>Đặt batch chưa hoàn tất (reservation)</s:t>
        </s:is>
      </s:c>
      <s:c r="B27614" s="83" t="inlineStr">
        <s:is>
          <s:t>Fixture C độc lập: SELECT các giá trị ban đầu của S01; đặt batch nhưng chưa hoàn tất, SELECT S01. Đối chiếu chính sách trạng thái R18 §7.5/§8.2, không mặc định payload cũ giữ nguyên.</s:t>
        </s:is>
      </s:c>
      <s:c r="C27614" s="83" t="inlineStr">
        <s:is>
          <s:r>
            <s:t xml:space="preserve">Có giá trị ban đầu; judged_version của S01 bằng phiên bản lần ghi hoàn tất. Trên fixture C độc lập, ghi chính sách trạng thái theo R18 §7.5/§8.2; không dùng payload </s:t>
          </s:r>
          <s:r>
            <s:rPr>
              <s:b val="1"/>
            </s:rPr>
            <s:t>Đỏ</s:t>
          </s:r>
          <s:r>
            <s:t xml:space="preserve"> còn lại làm expected cố định khi phiên bản lệch.</s:t>
          </s:r>
        </s:is>
      </s:c>
      <s:c r="D27614" s="117" t="inlineStr"/>
      <s:c r="E27614" s="118" t="inlineStr">
        <s:is>
          <s:t>Chưa thực hiện</s:t>
        </s:is>
      </s:c>
    </s:row>
    <s:row r="27615" ht="3" customHeight="1">
      <s:c r="A27615" s="102" t="inlineStr"/>
      <s:c r="B27615" s="99" t="n"/>
      <s:c r="C27615" s="99" t="n"/>
      <s:c r="D27615" s="116" t="n"/>
      <s:c r="E27615" s="116" t="n"/>
    </s:row>
    <s:row r="27616" ht="104" customHeight="1">
      <s:c r="A27616" s="83" t="inlineStr">
        <s:is>
          <s:t>Lưu lần đầu rồi xóa ô (cell-generation)</s:t>
        </s:is>
      </s:c>
      <s:c r="B27616" s="83" t="inlineStr">
        <s:is>
          <s:t>Fixture D độc lập: SELECT các giá trị ban đầu; lưu S02 lần đầu, rồi xóa trống ô S01. SELECT từng ô gồm cell_generation/write_version/judged_version/rule_revision/judgment_status, dòng điều khiển và judged_at.</s:t>
        </s:is>
      </s:c>
      <s:c r="C27616" s="83" t="inlineStr">
        <s:is>
          <s:t>Có giá trị ban đầu; judged_version của S01 bằng phiên bản lần ghi hoàn tất. Trên fixture D độc lập, mỗi ô có đúng một dòng điều khiển; sau hoàn tất có trạng thái/judged_at. Sau xóa ô S01, cell_generation mới, xóa thông tin rule/ngưỡng/nguồn cũ theo trạng thái xóa ô, giữ dòng điều khiển.</s:t>
        </s:is>
      </s:c>
      <s:c r="D27616" s="117" t="inlineStr"/>
      <s:c r="E27616" s="118" t="inlineStr">
        <s:is>
          <s:t>Chưa thực hiện</s:t>
        </s:is>
      </s:c>
    </s:row>
    <s:row r="27617" ht="20" customHeight="1">
      <s:c r="A27617" s="119" t="inlineStr">
        <s:is>
          <s:t>Ảnh minh chứng — Chưa có ảnh</s:t>
        </s:is>
      </s:c>
      <s:c r="B27617" s="19" t="n"/>
      <s:c r="C27617" s="19" t="n"/>
      <s:c r="D27617" s="19" t="n"/>
      <s:c r="E27617" s="19" t="n"/>
    </s:row>
    <s:row r="27618" hidden="1" ht="1" customHeight="1">
      <s:c r="A27618" s="120" t="inlineStr"/>
      <s:c r="B27618" s="121" t="n"/>
      <s:c r="C27618" s="121" t="n"/>
      <s:c r="D27618" s="121" t="n"/>
      <s:c r="E27618" s="122" t="n"/>
    </s:row>
    <s:row r="27619" hidden="1" ht="1" customHeight="1">
      <s:c r="A27619" s="120" t="inlineStr"/>
      <s:c r="B27619" s="121" t="n"/>
      <s:c r="C27619" s="121" t="n"/>
      <s:c r="D27619" s="121" t="n"/>
      <s:c r="E27619" s="122" t="n"/>
    </s:row>
    <s:row r="27620" hidden="1" ht="1" customHeight="1">
      <s:c r="A27620" s="120" t="inlineStr"/>
      <s:c r="B27620" s="121" t="n"/>
      <s:c r="C27620" s="121" t="n"/>
      <s:c r="D27620" s="121" t="n"/>
      <s:c r="E27620" s="122" t="n"/>
    </s:row>
    <s:row r="27621" hidden="1" ht="1" customHeight="1">
      <s:c r="A27621" s="120" t="inlineStr"/>
      <s:c r="B27621" s="121" t="n"/>
      <s:c r="C27621" s="121" t="n"/>
      <s:c r="D27621" s="121" t="n"/>
      <s:c r="E27621" s="122" t="n"/>
    </s:row>
    <s:row r="27622" hidden="1" ht="1" customHeight="1">
      <s:c r="A27622" s="120" t="inlineStr"/>
      <s:c r="B27622" s="121" t="n"/>
      <s:c r="C27622" s="121" t="n"/>
      <s:c r="D27622" s="121" t="n"/>
      <s:c r="E27622" s="122" t="n"/>
    </s:row>
    <s:row r="27623" hidden="1" ht="1" customHeight="1">
      <s:c r="A27623" s="120" t="inlineStr"/>
      <s:c r="B27623" s="121" t="n"/>
      <s:c r="C27623" s="121" t="n"/>
      <s:c r="D27623" s="121" t="n"/>
      <s:c r="E27623" s="122" t="n"/>
    </s:row>
    <s:row r="27624" hidden="1" ht="1" customHeight="1">
      <s:c r="A27624" s="120" t="inlineStr"/>
      <s:c r="B27624" s="121" t="n"/>
      <s:c r="C27624" s="121" t="n"/>
      <s:c r="D27624" s="121" t="n"/>
      <s:c r="E27624" s="122" t="n"/>
    </s:row>
    <s:row r="27625" hidden="1" ht="1" customHeight="1">
      <s:c r="A27625" s="120" t="inlineStr"/>
      <s:c r="B27625" s="121" t="n"/>
      <s:c r="C27625" s="121" t="n"/>
      <s:c r="D27625" s="121" t="n"/>
      <s:c r="E27625" s="122" t="n"/>
    </s:row>
    <s:row r="27626" hidden="1" ht="1" customHeight="1">
      <s:c r="A27626" s="120" t="inlineStr"/>
      <s:c r="B27626" s="121" t="n"/>
      <s:c r="C27626" s="121" t="n"/>
      <s:c r="D27626" s="121" t="n"/>
      <s:c r="E27626" s="122" t="n"/>
    </s:row>
    <s:row r="27627" hidden="1" ht="1" customHeight="1">
      <s:c r="A27627" s="120" t="inlineStr"/>
      <s:c r="B27627" s="121" t="n"/>
      <s:c r="C27627" s="121" t="n"/>
      <s:c r="D27627" s="121" t="n"/>
      <s:c r="E27627" s="122" t="n"/>
    </s:row>
    <s:row r="27628" hidden="1" ht="1" customHeight="1">
      <s:c r="A27628" s="120" t="inlineStr"/>
      <s:c r="B27628" s="121" t="n"/>
      <s:c r="C27628" s="121" t="n"/>
      <s:c r="D27628" s="121" t="n"/>
      <s:c r="E27628" s="122" t="n"/>
    </s:row>
    <s:row r="27629" hidden="1" ht="1" customHeight="1">
      <s:c r="A27629" s="120" t="inlineStr"/>
      <s:c r="B27629" s="121" t="n"/>
      <s:c r="C27629" s="121" t="n"/>
      <s:c r="D27629" s="121" t="n"/>
      <s:c r="E27629" s="122" t="n"/>
    </s:row>
    <s:row r="27630" hidden="1" ht="1" customHeight="1">
      <s:c r="A27630" s="120" t="inlineStr"/>
      <s:c r="B27630" s="121" t="n"/>
      <s:c r="C27630" s="121" t="n"/>
      <s:c r="D27630" s="121" t="n"/>
      <s:c r="E27630" s="122" t="n"/>
    </s:row>
    <s:row r="27631" hidden="1" ht="1" customHeight="1">
      <s:c r="A27631" s="120" t="inlineStr"/>
      <s:c r="B27631" s="121" t="n"/>
      <s:c r="C27631" s="121" t="n"/>
      <s:c r="D27631" s="121" t="n"/>
      <s:c r="E27631" s="122" t="n"/>
    </s:row>
    <s:row r="27632" hidden="1" ht="1" customHeight="1">
      <s:c r="A27632" s="120" t="inlineStr"/>
      <s:c r="B27632" s="121" t="n"/>
      <s:c r="C27632" s="121" t="n"/>
      <s:c r="D27632" s="121" t="n"/>
      <s:c r="E27632" s="122" t="n"/>
    </s:row>
    <s:row r="27633" hidden="1" ht="1" customHeight="1">
      <s:c r="A27633" s="120" t="inlineStr"/>
      <s:c r="B27633" s="121" t="n"/>
      <s:c r="C27633" s="121" t="n"/>
      <s:c r="D27633" s="121" t="n"/>
      <s:c r="E27633" s="122" t="n"/>
    </s:row>
    <s:row r="27634" hidden="1" ht="1" customHeight="1">
      <s:c r="A27634" s="120" t="inlineStr"/>
      <s:c r="B27634" s="121" t="n"/>
      <s:c r="C27634" s="121" t="n"/>
      <s:c r="D27634" s="121" t="n"/>
      <s:c r="E27634" s="122" t="n"/>
    </s:row>
    <s:row r="27635" hidden="1" ht="1" customHeight="1">
      <s:c r="A27635" s="120" t="inlineStr"/>
      <s:c r="B27635" s="121" t="n"/>
      <s:c r="C27635" s="121" t="n"/>
      <s:c r="D27635" s="121" t="n"/>
      <s:c r="E27635" s="122" t="n"/>
    </s:row>
    <s:row r="27636" hidden="1" ht="1" customHeight="1">
      <s:c r="A27636" s="120" t="inlineStr"/>
      <s:c r="B27636" s="121" t="n"/>
      <s:c r="C27636" s="121" t="n"/>
      <s:c r="D27636" s="121" t="n"/>
      <s:c r="E27636" s="122" t="n"/>
    </s:row>
    <s:row r="27637" hidden="1" ht="1" customHeight="1">
      <s:c r="A27637" s="120" t="inlineStr"/>
      <s:c r="B27637" s="121" t="n"/>
      <s:c r="C27637" s="121" t="n"/>
      <s:c r="D27637" s="121" t="n"/>
      <s:c r="E27637" s="122" t="n"/>
    </s:row>
    <s:row r="27638" hidden="1" ht="1" customHeight="1">
      <s:c r="A27638" s="120" t="inlineStr"/>
      <s:c r="B27638" s="121" t="n"/>
      <s:c r="C27638" s="121" t="n"/>
      <s:c r="D27638" s="121" t="n"/>
      <s:c r="E27638" s="122" t="n"/>
    </s:row>
    <s:row r="27639" hidden="1" ht="1" customHeight="1">
      <s:c r="A27639" s="120" t="inlineStr"/>
      <s:c r="B27639" s="121" t="n"/>
      <s:c r="C27639" s="121" t="n"/>
      <s:c r="D27639" s="121" t="n"/>
      <s:c r="E27639" s="122" t="n"/>
    </s:row>
    <s:row r="27640" hidden="1" ht="1" customHeight="1">
      <s:c r="A27640" s="120" t="inlineStr"/>
      <s:c r="B27640" s="121" t="n"/>
      <s:c r="C27640" s="121" t="n"/>
      <s:c r="D27640" s="121" t="n"/>
      <s:c r="E27640" s="122" t="n"/>
    </s:row>
    <s:row r="27641" hidden="1" ht="1" customHeight="1">
      <s:c r="A27641" s="120" t="inlineStr"/>
      <s:c r="B27641" s="121" t="n"/>
      <s:c r="C27641" s="121" t="n"/>
      <s:c r="D27641" s="121" t="n"/>
      <s:c r="E27641" s="122" t="n"/>
    </s:row>
    <s:row r="27642" hidden="1" ht="1" customHeight="1">
      <s:c r="A27642" s="120" t="inlineStr"/>
      <s:c r="B27642" s="121" t="n"/>
      <s:c r="C27642" s="121" t="n"/>
      <s:c r="D27642" s="121" t="n"/>
      <s:c r="E27642" s="122" t="n"/>
    </s:row>
    <s:row r="27643" hidden="1" ht="1" customHeight="1">
      <s:c r="A27643" s="120" t="inlineStr"/>
      <s:c r="B27643" s="121" t="n"/>
      <s:c r="C27643" s="121" t="n"/>
      <s:c r="D27643" s="121" t="n"/>
      <s:c r="E27643" s="122" t="n"/>
    </s:row>
    <s:row r="27644" hidden="1" ht="1" customHeight="1">
      <s:c r="A27644" s="120" t="inlineStr"/>
      <s:c r="B27644" s="121" t="n"/>
      <s:c r="C27644" s="121" t="n"/>
      <s:c r="D27644" s="121" t="n"/>
      <s:c r="E27644" s="122" t="n"/>
    </s:row>
    <s:row r="27645" hidden="1" ht="1" customHeight="1">
      <s:c r="A27645" s="120" t="inlineStr"/>
      <s:c r="B27645" s="121" t="n"/>
      <s:c r="C27645" s="121" t="n"/>
      <s:c r="D27645" s="121" t="n"/>
      <s:c r="E27645" s="122" t="n"/>
    </s:row>
    <s:row r="27646" hidden="1" ht="1" customHeight="1">
      <s:c r="A27646" s="120" t="inlineStr"/>
      <s:c r="B27646" s="121" t="n"/>
      <s:c r="C27646" s="121" t="n"/>
      <s:c r="D27646" s="121" t="n"/>
      <s:c r="E27646" s="122" t="n"/>
    </s:row>
    <s:row r="27647" hidden="1" ht="1" customHeight="1">
      <s:c r="A27647" s="120" t="inlineStr"/>
      <s:c r="B27647" s="121" t="n"/>
      <s:c r="C27647" s="121" t="n"/>
      <s:c r="D27647" s="121" t="n"/>
      <s:c r="E27647" s="122" t="n"/>
    </s:row>
    <s:row r="27648" hidden="1" ht="1" customHeight="1">
      <s:c r="A27648" s="120" t="inlineStr"/>
      <s:c r="B27648" s="121" t="n"/>
      <s:c r="C27648" s="121" t="n"/>
      <s:c r="D27648" s="121" t="n"/>
      <s:c r="E27648" s="122" t="n"/>
    </s:row>
    <s:row r="27649" hidden="1" ht="1" customHeight="1">
      <s:c r="A27649" s="120" t="inlineStr"/>
      <s:c r="B27649" s="121" t="n"/>
      <s:c r="C27649" s="121" t="n"/>
      <s:c r="D27649" s="121" t="n"/>
      <s:c r="E27649" s="122" t="n"/>
    </s:row>
    <s:row r="27650" hidden="1" ht="1" customHeight="1">
      <s:c r="A27650" s="120" t="inlineStr"/>
      <s:c r="B27650" s="121" t="n"/>
      <s:c r="C27650" s="121" t="n"/>
      <s:c r="D27650" s="121" t="n"/>
      <s:c r="E27650" s="122" t="n"/>
    </s:row>
    <s:row r="27651" hidden="1" ht="1" customHeight="1">
      <s:c r="A27651" s="120" t="inlineStr"/>
      <s:c r="B27651" s="121" t="n"/>
      <s:c r="C27651" s="121" t="n"/>
      <s:c r="D27651" s="121" t="n"/>
      <s:c r="E27651" s="122" t="n"/>
    </s:row>
    <s:row r="27652" hidden="1" ht="1" customHeight="1">
      <s:c r="A27652" s="120" t="inlineStr"/>
      <s:c r="B27652" s="121" t="n"/>
      <s:c r="C27652" s="121" t="n"/>
      <s:c r="D27652" s="121" t="n"/>
      <s:c r="E27652" s="122" t="n"/>
    </s:row>
    <s:row r="27653" hidden="1" ht="1" customHeight="1">
      <s:c r="A27653" s="120" t="inlineStr"/>
      <s:c r="B27653" s="121" t="n"/>
      <s:c r="C27653" s="121" t="n"/>
      <s:c r="D27653" s="121" t="n"/>
      <s:c r="E27653" s="122" t="n"/>
    </s:row>
    <s:row r="27654" hidden="1" ht="1" customHeight="1">
      <s:c r="A27654" s="120" t="inlineStr"/>
      <s:c r="B27654" s="121" t="n"/>
      <s:c r="C27654" s="121" t="n"/>
      <s:c r="D27654" s="121" t="n"/>
      <s:c r="E27654" s="122" t="n"/>
    </s:row>
    <s:row r="27655" hidden="1" ht="1" customHeight="1">
      <s:c r="A27655" s="120" t="inlineStr"/>
      <s:c r="B27655" s="121" t="n"/>
      <s:c r="C27655" s="121" t="n"/>
      <s:c r="D27655" s="121" t="n"/>
      <s:c r="E27655" s="122" t="n"/>
    </s:row>
    <s:row r="27656" hidden="1" ht="1" customHeight="1">
      <s:c r="A27656" s="120" t="inlineStr"/>
      <s:c r="B27656" s="121" t="n"/>
      <s:c r="C27656" s="121" t="n"/>
      <s:c r="D27656" s="121" t="n"/>
      <s:c r="E27656" s="122" t="n"/>
    </s:row>
    <s:row r="27657" hidden="1" ht="1" customHeight="1">
      <s:c r="A27657" s="120" t="inlineStr"/>
      <s:c r="B27657" s="121" t="n"/>
      <s:c r="C27657" s="121" t="n"/>
      <s:c r="D27657" s="121" t="n"/>
      <s:c r="E27657" s="122" t="n"/>
    </s:row>
    <s:row r="27658" hidden="1" ht="1" customHeight="1">
      <s:c r="A27658" s="120" t="inlineStr"/>
      <s:c r="B27658" s="121" t="n"/>
      <s:c r="C27658" s="121" t="n"/>
      <s:c r="D27658" s="121" t="n"/>
      <s:c r="E27658" s="122" t="n"/>
    </s:row>
    <s:row r="27659" hidden="1" ht="1" customHeight="1">
      <s:c r="A27659" s="120" t="inlineStr"/>
      <s:c r="B27659" s="121" t="n"/>
      <s:c r="C27659" s="121" t="n"/>
      <s:c r="D27659" s="121" t="n"/>
      <s:c r="E27659" s="122" t="n"/>
    </s:row>
    <s:row r="27660" hidden="1" ht="1" customHeight="1">
      <s:c r="A27660" s="120" t="inlineStr"/>
      <s:c r="B27660" s="121" t="n"/>
      <s:c r="C27660" s="121" t="n"/>
      <s:c r="D27660" s="121" t="n"/>
      <s:c r="E27660" s="122" t="n"/>
    </s:row>
    <s:row r="27661" hidden="1" ht="1" customHeight="1">
      <s:c r="A27661" s="120" t="inlineStr"/>
      <s:c r="B27661" s="121" t="n"/>
      <s:c r="C27661" s="121" t="n"/>
      <s:c r="D27661" s="121" t="n"/>
      <s:c r="E27661" s="122" t="n"/>
    </s:row>
    <s:row r="27662" hidden="1" ht="1" customHeight="1">
      <s:c r="A27662" s="120" t="inlineStr"/>
      <s:c r="B27662" s="121" t="n"/>
      <s:c r="C27662" s="121" t="n"/>
      <s:c r="D27662" s="121" t="n"/>
      <s:c r="E27662" s="122" t="n"/>
    </s:row>
    <s:row r="27663" hidden="1" ht="1" customHeight="1">
      <s:c r="A27663" s="120" t="inlineStr"/>
      <s:c r="B27663" s="121" t="n"/>
      <s:c r="C27663" s="121" t="n"/>
      <s:c r="D27663" s="121" t="n"/>
      <s:c r="E27663" s="122" t="n"/>
    </s:row>
    <s:row r="27664" hidden="1" ht="1" customHeight="1">
      <s:c r="A27664" s="120" t="inlineStr"/>
      <s:c r="B27664" s="121" t="n"/>
      <s:c r="C27664" s="121" t="n"/>
      <s:c r="D27664" s="121" t="n"/>
      <s:c r="E27664" s="122" t="n"/>
    </s:row>
    <s:row r="27665" hidden="1" ht="1" customHeight="1">
      <s:c r="A27665" s="120" t="inlineStr"/>
      <s:c r="B27665" s="121" t="n"/>
      <s:c r="C27665" s="121" t="n"/>
      <s:c r="D27665" s="121" t="n"/>
      <s:c r="E27665" s="122" t="n"/>
    </s:row>
    <s:row r="27666" hidden="1" ht="1" customHeight="1">
      <s:c r="A27666" s="120" t="inlineStr"/>
      <s:c r="B27666" s="121" t="n"/>
      <s:c r="C27666" s="121" t="n"/>
      <s:c r="D27666" s="121" t="n"/>
      <s:c r="E27666" s="122" t="n"/>
    </s:row>
    <s:row r="27667" hidden="1" ht="1" customHeight="1">
      <s:c r="A27667" s="120" t="inlineStr"/>
      <s:c r="B27667" s="121" t="n"/>
      <s:c r="C27667" s="121" t="n"/>
      <s:c r="D27667" s="121" t="n"/>
      <s:c r="E27667" s="122" t="n"/>
    </s:row>
    <s:row r="27668" hidden="1" ht="1" customHeight="1">
      <s:c r="A27668" s="120" t="inlineStr"/>
      <s:c r="B27668" s="121" t="n"/>
      <s:c r="C27668" s="121" t="n"/>
      <s:c r="D27668" s="121" t="n"/>
      <s:c r="E27668" s="122" t="n"/>
    </s:row>
    <s:row r="27669" hidden="1" ht="1" customHeight="1">
      <s:c r="A27669" s="120" t="inlineStr"/>
      <s:c r="B27669" s="121" t="n"/>
      <s:c r="C27669" s="121" t="n"/>
      <s:c r="D27669" s="121" t="n"/>
      <s:c r="E27669" s="122" t="n"/>
    </s:row>
    <s:row r="27670" hidden="1" ht="1" customHeight="1">
      <s:c r="A27670" s="120" t="inlineStr"/>
      <s:c r="B27670" s="121" t="n"/>
      <s:c r="C27670" s="121" t="n"/>
      <s:c r="D27670" s="121" t="n"/>
      <s:c r="E27670" s="122" t="n"/>
    </s:row>
    <s:row r="27671" hidden="1" ht="1" customHeight="1">
      <s:c r="A27671" s="120" t="inlineStr"/>
      <s:c r="B27671" s="121" t="n"/>
      <s:c r="C27671" s="121" t="n"/>
      <s:c r="D27671" s="121" t="n"/>
      <s:c r="E27671" s="122" t="n"/>
    </s:row>
    <s:row r="27672" hidden="1" ht="1" customHeight="1">
      <s:c r="A27672" s="120" t="inlineStr"/>
      <s:c r="B27672" s="121" t="n"/>
      <s:c r="C27672" s="121" t="n"/>
      <s:c r="D27672" s="121" t="n"/>
      <s:c r="E27672" s="122" t="n"/>
    </s:row>
    <s:row r="27673" hidden="1" ht="1" customHeight="1">
      <s:c r="A27673" s="120" t="inlineStr"/>
      <s:c r="B27673" s="121" t="n"/>
      <s:c r="C27673" s="121" t="n"/>
      <s:c r="D27673" s="121" t="n"/>
      <s:c r="E27673" s="122" t="n"/>
    </s:row>
    <s:row r="27674" hidden="1" ht="1" customHeight="1">
      <s:c r="A27674" s="120" t="inlineStr"/>
      <s:c r="B27674" s="121" t="n"/>
      <s:c r="C27674" s="121" t="n"/>
      <s:c r="D27674" s="121" t="n"/>
      <s:c r="E27674" s="122" t="n"/>
    </s:row>
    <s:row r="27675" hidden="1" ht="1" customHeight="1">
      <s:c r="A27675" s="120" t="inlineStr"/>
      <s:c r="B27675" s="121" t="n"/>
      <s:c r="C27675" s="121" t="n"/>
      <s:c r="D27675" s="121" t="n"/>
      <s:c r="E27675" s="122" t="n"/>
    </s:row>
    <s:row r="27676" hidden="1" ht="1" customHeight="1">
      <s:c r="A27676" s="120" t="inlineStr"/>
      <s:c r="B27676" s="121" t="n"/>
      <s:c r="C27676" s="121" t="n"/>
      <s:c r="D27676" s="121" t="n"/>
      <s:c r="E27676" s="122" t="n"/>
    </s:row>
    <s:row r="27677" hidden="1" ht="1" customHeight="1">
      <s:c r="A27677" s="120" t="inlineStr"/>
      <s:c r="B27677" s="121" t="n"/>
      <s:c r="C27677" s="121" t="n"/>
      <s:c r="D27677" s="121" t="n"/>
      <s:c r="E27677" s="122" t="n"/>
    </s:row>
    <s:row r="27678" hidden="1" ht="1" customHeight="1">
      <s:c r="A27678" s="120" t="inlineStr"/>
      <s:c r="B27678" s="121" t="n"/>
      <s:c r="C27678" s="121" t="n"/>
      <s:c r="D27678" s="121" t="n"/>
      <s:c r="E27678" s="122" t="n"/>
    </s:row>
    <s:row r="27679" hidden="1" ht="1" customHeight="1">
      <s:c r="A27679" s="120" t="inlineStr"/>
      <s:c r="B27679" s="121" t="n"/>
      <s:c r="C27679" s="121" t="n"/>
      <s:c r="D27679" s="121" t="n"/>
      <s:c r="E27679" s="122" t="n"/>
    </s:row>
    <s:row r="27680" hidden="1" ht="1" customHeight="1">
      <s:c r="A27680" s="120" t="inlineStr"/>
      <s:c r="B27680" s="121" t="n"/>
      <s:c r="C27680" s="121" t="n"/>
      <s:c r="D27680" s="121" t="n"/>
      <s:c r="E27680" s="122" t="n"/>
    </s:row>
    <s:row r="27681" hidden="1" ht="1" customHeight="1">
      <s:c r="A27681" s="120" t="inlineStr"/>
      <s:c r="B27681" s="121" t="n"/>
      <s:c r="C27681" s="121" t="n"/>
      <s:c r="D27681" s="121" t="n"/>
      <s:c r="E27681" s="122" t="n"/>
    </s:row>
    <s:row r="27682" hidden="1" ht="1" customHeight="1">
      <s:c r="A27682" s="120" t="inlineStr"/>
      <s:c r="B27682" s="121" t="n"/>
      <s:c r="C27682" s="121" t="n"/>
      <s:c r="D27682" s="121" t="n"/>
      <s:c r="E27682" s="122" t="n"/>
    </s:row>
    <s:row r="27683" hidden="1" ht="1" customHeight="1">
      <s:c r="A27683" s="120" t="inlineStr"/>
      <s:c r="B27683" s="121" t="n"/>
      <s:c r="C27683" s="121" t="n"/>
      <s:c r="D27683" s="121" t="n"/>
      <s:c r="E27683" s="122" t="n"/>
    </s:row>
    <s:row r="27684" hidden="1" ht="1" customHeight="1">
      <s:c r="A27684" s="120" t="inlineStr"/>
      <s:c r="B27684" s="121" t="n"/>
      <s:c r="C27684" s="121" t="n"/>
      <s:c r="D27684" s="121" t="n"/>
      <s:c r="E27684" s="122" t="n"/>
    </s:row>
    <s:row r="27685" hidden="1" ht="1" customHeight="1">
      <s:c r="A27685" s="120" t="inlineStr"/>
      <s:c r="B27685" s="121" t="n"/>
      <s:c r="C27685" s="121" t="n"/>
      <s:c r="D27685" s="121" t="n"/>
      <s:c r="E27685" s="122" t="n"/>
    </s:row>
    <s:row r="27686" hidden="1" ht="1" customHeight="1">
      <s:c r="A27686" s="120" t="inlineStr"/>
      <s:c r="B27686" s="121" t="n"/>
      <s:c r="C27686" s="121" t="n"/>
      <s:c r="D27686" s="121" t="n"/>
      <s:c r="E27686" s="122" t="n"/>
    </s:row>
    <s:row r="27687" hidden="1" ht="1" customHeight="1">
      <s:c r="A27687" s="120" t="inlineStr"/>
      <s:c r="B27687" s="121" t="n"/>
      <s:c r="C27687" s="121" t="n"/>
      <s:c r="D27687" s="121" t="n"/>
      <s:c r="E27687" s="122" t="n"/>
    </s:row>
    <s:row r="27688" hidden="1" ht="1" customHeight="1">
      <s:c r="A27688" s="120" t="inlineStr"/>
      <s:c r="B27688" s="121" t="n"/>
      <s:c r="C27688" s="121" t="n"/>
      <s:c r="D27688" s="121" t="n"/>
      <s:c r="E27688" s="122" t="n"/>
    </s:row>
    <s:row r="27689" hidden="1" ht="1" customHeight="1">
      <s:c r="A27689" s="120" t="inlineStr"/>
      <s:c r="B27689" s="121" t="n"/>
      <s:c r="C27689" s="121" t="n"/>
      <s:c r="D27689" s="121" t="n"/>
      <s:c r="E27689" s="122" t="n"/>
    </s:row>
    <s:row r="27690" hidden="1" ht="1" customHeight="1">
      <s:c r="A27690" s="120" t="inlineStr"/>
      <s:c r="B27690" s="121" t="n"/>
      <s:c r="C27690" s="121" t="n"/>
      <s:c r="D27690" s="121" t="n"/>
      <s:c r="E27690" s="122" t="n"/>
    </s:row>
    <s:row r="27691" hidden="1" ht="1" customHeight="1">
      <s:c r="A27691" s="120" t="inlineStr"/>
      <s:c r="B27691" s="121" t="n"/>
      <s:c r="C27691" s="121" t="n"/>
      <s:c r="D27691" s="121" t="n"/>
      <s:c r="E27691" s="122" t="n"/>
    </s:row>
    <s:row r="27692" hidden="1" ht="1" customHeight="1">
      <s:c r="A27692" s="120" t="inlineStr"/>
      <s:c r="B27692" s="121" t="n"/>
      <s:c r="C27692" s="121" t="n"/>
      <s:c r="D27692" s="121" t="n"/>
      <s:c r="E27692" s="122" t="n"/>
    </s:row>
    <s:row r="27693" hidden="1" ht="1" customHeight="1">
      <s:c r="A27693" s="120" t="inlineStr"/>
      <s:c r="B27693" s="121" t="n"/>
      <s:c r="C27693" s="121" t="n"/>
      <s:c r="D27693" s="121" t="n"/>
      <s:c r="E27693" s="122" t="n"/>
    </s:row>
    <s:row r="27694" hidden="1" ht="1" customHeight="1">
      <s:c r="A27694" s="120" t="inlineStr"/>
      <s:c r="B27694" s="121" t="n"/>
      <s:c r="C27694" s="121" t="n"/>
      <s:c r="D27694" s="121" t="n"/>
      <s:c r="E27694" s="122" t="n"/>
    </s:row>
    <s:row r="27695" hidden="1" ht="1" customHeight="1">
      <s:c r="A27695" s="120" t="inlineStr"/>
      <s:c r="B27695" s="121" t="n"/>
      <s:c r="C27695" s="121" t="n"/>
      <s:c r="D27695" s="121" t="n"/>
      <s:c r="E27695" s="122" t="n"/>
    </s:row>
    <s:row r="27696" hidden="1" ht="1" customHeight="1">
      <s:c r="A27696" s="120" t="inlineStr"/>
      <s:c r="B27696" s="121" t="n"/>
      <s:c r="C27696" s="121" t="n"/>
      <s:c r="D27696" s="121" t="n"/>
      <s:c r="E27696" s="122" t="n"/>
    </s:row>
    <s:row r="27697" hidden="1" ht="1" customHeight="1">
      <s:c r="A27697" s="120" t="inlineStr"/>
      <s:c r="B27697" s="121" t="n"/>
      <s:c r="C27697" s="121" t="n"/>
      <s:c r="D27697" s="121" t="n"/>
      <s:c r="E27697" s="122" t="n"/>
    </s:row>
    <s:row r="27698" hidden="1" ht="1" customHeight="1">
      <s:c r="A27698" s="120" t="inlineStr"/>
      <s:c r="B27698" s="121" t="n"/>
      <s:c r="C27698" s="121" t="n"/>
      <s:c r="D27698" s="121" t="n"/>
      <s:c r="E27698" s="122" t="n"/>
    </s:row>
    <s:row r="27699" hidden="1" ht="1" customHeight="1">
      <s:c r="A27699" s="120" t="inlineStr"/>
      <s:c r="B27699" s="121" t="n"/>
      <s:c r="C27699" s="121" t="n"/>
      <s:c r="D27699" s="121" t="n"/>
      <s:c r="E27699" s="122" t="n"/>
    </s:row>
    <s:row r="27700" hidden="1" ht="1" customHeight="1">
      <s:c r="A27700" s="120" t="inlineStr"/>
      <s:c r="B27700" s="121" t="n"/>
      <s:c r="C27700" s="121" t="n"/>
      <s:c r="D27700" s="121" t="n"/>
      <s:c r="E27700" s="122" t="n"/>
    </s:row>
    <s:row r="27701" hidden="1" ht="1" customHeight="1">
      <s:c r="A27701" s="120" t="inlineStr"/>
      <s:c r="B27701" s="121" t="n"/>
      <s:c r="C27701" s="121" t="n"/>
      <s:c r="D27701" s="121" t="n"/>
      <s:c r="E27701" s="122" t="n"/>
    </s:row>
    <s:row r="27702" hidden="1" ht="1" customHeight="1">
      <s:c r="A27702" s="120" t="inlineStr"/>
      <s:c r="B27702" s="121" t="n"/>
      <s:c r="C27702" s="121" t="n"/>
      <s:c r="D27702" s="121" t="n"/>
      <s:c r="E27702" s="122" t="n"/>
    </s:row>
    <s:row r="27703" hidden="1" ht="1" customHeight="1">
      <s:c r="A27703" s="120" t="inlineStr"/>
      <s:c r="B27703" s="121" t="n"/>
      <s:c r="C27703" s="121" t="n"/>
      <s:c r="D27703" s="121" t="n"/>
      <s:c r="E27703" s="122" t="n"/>
    </s:row>
    <s:row r="27704" hidden="1" ht="1" customHeight="1">
      <s:c r="A27704" s="120" t="inlineStr"/>
      <s:c r="B27704" s="121" t="n"/>
      <s:c r="C27704" s="121" t="n"/>
      <s:c r="D27704" s="121" t="n"/>
      <s:c r="E27704" s="122" t="n"/>
    </s:row>
    <s:row r="27705" hidden="1" ht="1" customHeight="1">
      <s:c r="A27705" s="120" t="inlineStr"/>
      <s:c r="B27705" s="121" t="n"/>
      <s:c r="C27705" s="121" t="n"/>
      <s:c r="D27705" s="121" t="n"/>
      <s:c r="E27705" s="122" t="n"/>
    </s:row>
    <s:row r="27706" hidden="1" ht="1" customHeight="1">
      <s:c r="A27706" s="120" t="inlineStr"/>
      <s:c r="B27706" s="121" t="n"/>
      <s:c r="C27706" s="121" t="n"/>
      <s:c r="D27706" s="121" t="n"/>
      <s:c r="E27706" s="122" t="n"/>
    </s:row>
    <s:row r="27707" hidden="1" ht="1" customHeight="1">
      <s:c r="A27707" s="120" t="inlineStr"/>
      <s:c r="B27707" s="121" t="n"/>
      <s:c r="C27707" s="121" t="n"/>
      <s:c r="D27707" s="121" t="n"/>
      <s:c r="E27707" s="122" t="n"/>
    </s:row>
    <s:row r="27708" hidden="1" ht="1" customHeight="1">
      <s:c r="A27708" s="120" t="inlineStr"/>
      <s:c r="B27708" s="121" t="n"/>
      <s:c r="C27708" s="121" t="n"/>
      <s:c r="D27708" s="121" t="n"/>
      <s:c r="E27708" s="122" t="n"/>
    </s:row>
    <s:row r="27709" hidden="1" ht="1" customHeight="1">
      <s:c r="A27709" s="120" t="inlineStr"/>
      <s:c r="B27709" s="121" t="n"/>
      <s:c r="C27709" s="121" t="n"/>
      <s:c r="D27709" s="121" t="n"/>
      <s:c r="E27709" s="122" t="n"/>
    </s:row>
    <s:row r="27710" hidden="1" ht="1" customHeight="1">
      <s:c r="A27710" s="120" t="inlineStr"/>
      <s:c r="B27710" s="121" t="n"/>
      <s:c r="C27710" s="121" t="n"/>
      <s:c r="D27710" s="121" t="n"/>
      <s:c r="E27710" s="122" t="n"/>
    </s:row>
    <s:row r="27711" hidden="1" ht="1" customHeight="1">
      <s:c r="A27711" s="120" t="inlineStr"/>
      <s:c r="B27711" s="121" t="n"/>
      <s:c r="C27711" s="121" t="n"/>
      <s:c r="D27711" s="121" t="n"/>
      <s:c r="E27711" s="122" t="n"/>
    </s:row>
    <s:row r="27712" hidden="1" ht="1" customHeight="1">
      <s:c r="A27712" s="120" t="inlineStr"/>
      <s:c r="B27712" s="121" t="n"/>
      <s:c r="C27712" s="121" t="n"/>
      <s:c r="D27712" s="121" t="n"/>
      <s:c r="E27712" s="122" t="n"/>
    </s:row>
    <s:row r="27713" hidden="1" ht="1" customHeight="1">
      <s:c r="A27713" s="120" t="inlineStr"/>
      <s:c r="B27713" s="121" t="n"/>
      <s:c r="C27713" s="121" t="n"/>
      <s:c r="D27713" s="121" t="n"/>
      <s:c r="E27713" s="122" t="n"/>
    </s:row>
    <s:row r="27714" hidden="1" ht="1" customHeight="1">
      <s:c r="A27714" s="120" t="inlineStr"/>
      <s:c r="B27714" s="121" t="n"/>
      <s:c r="C27714" s="121" t="n"/>
      <s:c r="D27714" s="121" t="n"/>
      <s:c r="E27714" s="122" t="n"/>
    </s:row>
    <s:row r="27715" hidden="1" ht="1" customHeight="1">
      <s:c r="A27715" s="120" t="inlineStr"/>
      <s:c r="B27715" s="121" t="n"/>
      <s:c r="C27715" s="121" t="n"/>
      <s:c r="D27715" s="121" t="n"/>
      <s:c r="E27715" s="122" t="n"/>
    </s:row>
    <s:row r="27716" hidden="1" ht="1" customHeight="1">
      <s:c r="A27716" s="120" t="inlineStr"/>
      <s:c r="B27716" s="121" t="n"/>
      <s:c r="C27716" s="121" t="n"/>
      <s:c r="D27716" s="121" t="n"/>
      <s:c r="E27716" s="122" t="n"/>
    </s:row>
    <s:row r="27717" hidden="1" ht="1" customHeight="1">
      <s:c r="A27717" s="120" t="inlineStr"/>
      <s:c r="B27717" s="121" t="n"/>
      <s:c r="C27717" s="121" t="n"/>
      <s:c r="D27717" s="121" t="n"/>
      <s:c r="E27717" s="122" t="n"/>
    </s:row>
    <s:row r="27718" hidden="1" ht="1" customHeight="1">
      <s:c r="A27718" s="120" t="inlineStr"/>
      <s:c r="B27718" s="121" t="n"/>
      <s:c r="C27718" s="121" t="n"/>
      <s:c r="D27718" s="121" t="n"/>
      <s:c r="E27718" s="122" t="n"/>
    </s:row>
    <s:row r="27719" hidden="1" ht="1" customHeight="1">
      <s:c r="A27719" s="120" t="inlineStr"/>
      <s:c r="B27719" s="121" t="n"/>
      <s:c r="C27719" s="121" t="n"/>
      <s:c r="D27719" s="121" t="n"/>
      <s:c r="E27719" s="122" t="n"/>
    </s:row>
    <s:row r="27720" hidden="1" ht="1" customHeight="1">
      <s:c r="A27720" s="120" t="inlineStr"/>
      <s:c r="B27720" s="121" t="n"/>
      <s:c r="C27720" s="121" t="n"/>
      <s:c r="D27720" s="121" t="n"/>
      <s:c r="E27720" s="122" t="n"/>
    </s:row>
    <s:row r="27721" hidden="1" ht="1" customHeight="1">
      <s:c r="A27721" s="120" t="inlineStr"/>
      <s:c r="B27721" s="121" t="n"/>
      <s:c r="C27721" s="121" t="n"/>
      <s:c r="D27721" s="121" t="n"/>
      <s:c r="E27721" s="122" t="n"/>
    </s:row>
    <s:row r="27722" hidden="1" ht="1" customHeight="1">
      <s:c r="A27722" s="120" t="inlineStr"/>
      <s:c r="B27722" s="121" t="n"/>
      <s:c r="C27722" s="121" t="n"/>
      <s:c r="D27722" s="121" t="n"/>
      <s:c r="E27722" s="122" t="n"/>
    </s:row>
    <s:row r="27723" hidden="1" ht="1" customHeight="1">
      <s:c r="A27723" s="120" t="inlineStr"/>
      <s:c r="B27723" s="121" t="n"/>
      <s:c r="C27723" s="121" t="n"/>
      <s:c r="D27723" s="121" t="n"/>
      <s:c r="E27723" s="122" t="n"/>
    </s:row>
    <s:row r="27724" hidden="1" ht="1" customHeight="1">
      <s:c r="A27724" s="120" t="inlineStr"/>
      <s:c r="B27724" s="121" t="n"/>
      <s:c r="C27724" s="121" t="n"/>
      <s:c r="D27724" s="121" t="n"/>
      <s:c r="E27724" s="122" t="n"/>
    </s:row>
    <s:row r="27725" hidden="1" ht="1" customHeight="1">
      <s:c r="A27725" s="120" t="inlineStr"/>
      <s:c r="B27725" s="121" t="n"/>
      <s:c r="C27725" s="121" t="n"/>
      <s:c r="D27725" s="121" t="n"/>
      <s:c r="E27725" s="122" t="n"/>
    </s:row>
    <s:row r="27726" hidden="1" ht="1" customHeight="1">
      <s:c r="A27726" s="120" t="inlineStr"/>
      <s:c r="B27726" s="121" t="n"/>
      <s:c r="C27726" s="121" t="n"/>
      <s:c r="D27726" s="121" t="n"/>
      <s:c r="E27726" s="122" t="n"/>
    </s:row>
    <s:row r="27727" hidden="1" ht="1" customHeight="1">
      <s:c r="A27727" s="120" t="inlineStr"/>
      <s:c r="B27727" s="121" t="n"/>
      <s:c r="C27727" s="121" t="n"/>
      <s:c r="D27727" s="121" t="n"/>
      <s:c r="E27727" s="122" t="n"/>
    </s:row>
    <s:row r="27728" hidden="1" ht="1" customHeight="1">
      <s:c r="A27728" s="120" t="inlineStr"/>
      <s:c r="B27728" s="121" t="n"/>
      <s:c r="C27728" s="121" t="n"/>
      <s:c r="D27728" s="121" t="n"/>
      <s:c r="E27728" s="122" t="n"/>
    </s:row>
    <s:row r="27729" hidden="1" ht="1" customHeight="1">
      <s:c r="A27729" s="120" t="inlineStr"/>
      <s:c r="B27729" s="121" t="n"/>
      <s:c r="C27729" s="121" t="n"/>
      <s:c r="D27729" s="121" t="n"/>
      <s:c r="E27729" s="122" t="n"/>
    </s:row>
    <s:row r="27730" hidden="1" ht="1" customHeight="1">
      <s:c r="A27730" s="120" t="inlineStr"/>
      <s:c r="B27730" s="121" t="n"/>
      <s:c r="C27730" s="121" t="n"/>
      <s:c r="D27730" s="121" t="n"/>
      <s:c r="E27730" s="122" t="n"/>
    </s:row>
    <s:row r="27731" hidden="1" ht="1" customHeight="1">
      <s:c r="A27731" s="120" t="inlineStr"/>
      <s:c r="B27731" s="121" t="n"/>
      <s:c r="C27731" s="121" t="n"/>
      <s:c r="D27731" s="121" t="n"/>
      <s:c r="E27731" s="122" t="n"/>
    </s:row>
    <s:row r="27732" hidden="1" ht="1" customHeight="1">
      <s:c r="A27732" s="120" t="inlineStr"/>
      <s:c r="B27732" s="121" t="n"/>
      <s:c r="C27732" s="121" t="n"/>
      <s:c r="D27732" s="121" t="n"/>
      <s:c r="E27732" s="122" t="n"/>
    </s:row>
    <s:row r="27733" hidden="1" ht="1" customHeight="1">
      <s:c r="A27733" s="120" t="inlineStr"/>
      <s:c r="B27733" s="121" t="n"/>
      <s:c r="C27733" s="121" t="n"/>
      <s:c r="D27733" s="121" t="n"/>
      <s:c r="E27733" s="122" t="n"/>
    </s:row>
    <s:row r="27734" hidden="1" ht="1" customHeight="1">
      <s:c r="A27734" s="120" t="inlineStr"/>
      <s:c r="B27734" s="121" t="n"/>
      <s:c r="C27734" s="121" t="n"/>
      <s:c r="D27734" s="121" t="n"/>
      <s:c r="E27734" s="122" t="n"/>
    </s:row>
    <s:row r="27735" hidden="1" ht="1" customHeight="1">
      <s:c r="A27735" s="120" t="inlineStr"/>
      <s:c r="B27735" s="121" t="n"/>
      <s:c r="C27735" s="121" t="n"/>
      <s:c r="D27735" s="121" t="n"/>
      <s:c r="E27735" s="122" t="n"/>
    </s:row>
    <s:row r="27736" hidden="1" ht="1" customHeight="1">
      <s:c r="A27736" s="120" t="inlineStr"/>
      <s:c r="B27736" s="121" t="n"/>
      <s:c r="C27736" s="121" t="n"/>
      <s:c r="D27736" s="121" t="n"/>
      <s:c r="E27736" s="122" t="n"/>
    </s:row>
    <s:row r="27737" hidden="1" ht="1" customHeight="1">
      <s:c r="A27737" s="120" t="inlineStr"/>
      <s:c r="B27737" s="121" t="n"/>
      <s:c r="C27737" s="121" t="n"/>
      <s:c r="D27737" s="121" t="n"/>
      <s:c r="E27737" s="122" t="n"/>
    </s:row>
    <s:row r="27738" hidden="1" ht="1" customHeight="1">
      <s:c r="A27738" s="120" t="inlineStr"/>
      <s:c r="B27738" s="121" t="n"/>
      <s:c r="C27738" s="121" t="n"/>
      <s:c r="D27738" s="121" t="n"/>
      <s:c r="E27738" s="122" t="n"/>
    </s:row>
    <s:row r="27739" hidden="1" ht="1" customHeight="1">
      <s:c r="A27739" s="120" t="inlineStr"/>
      <s:c r="B27739" s="121" t="n"/>
      <s:c r="C27739" s="121" t="n"/>
      <s:c r="D27739" s="121" t="n"/>
      <s:c r="E27739" s="122" t="n"/>
    </s:row>
    <s:row r="27740" hidden="1" ht="1" customHeight="1">
      <s:c r="A27740" s="120" t="inlineStr"/>
      <s:c r="B27740" s="121" t="n"/>
      <s:c r="C27740" s="121" t="n"/>
      <s:c r="D27740" s="121" t="n"/>
      <s:c r="E27740" s="122" t="n"/>
    </s:row>
    <s:row r="27741" hidden="1" ht="1" customHeight="1">
      <s:c r="A27741" s="120" t="inlineStr"/>
      <s:c r="B27741" s="121" t="n"/>
      <s:c r="C27741" s="121" t="n"/>
      <s:c r="D27741" s="121" t="n"/>
      <s:c r="E27741" s="122" t="n"/>
    </s:row>
    <s:row r="27742" hidden="1" ht="1" customHeight="1">
      <s:c r="A27742" s="120" t="inlineStr"/>
      <s:c r="B27742" s="121" t="n"/>
      <s:c r="C27742" s="121" t="n"/>
      <s:c r="D27742" s="121" t="n"/>
      <s:c r="E27742" s="122" t="n"/>
    </s:row>
    <s:row r="27743" hidden="1" ht="1" customHeight="1">
      <s:c r="A27743" s="120" t="inlineStr"/>
      <s:c r="B27743" s="121" t="n"/>
      <s:c r="C27743" s="121" t="n"/>
      <s:c r="D27743" s="121" t="n"/>
      <s:c r="E27743" s="122" t="n"/>
    </s:row>
    <s:row r="27744" hidden="1" ht="1" customHeight="1">
      <s:c r="A27744" s="120" t="inlineStr"/>
      <s:c r="B27744" s="121" t="n"/>
      <s:c r="C27744" s="121" t="n"/>
      <s:c r="D27744" s="121" t="n"/>
      <s:c r="E27744" s="122" t="n"/>
    </s:row>
    <s:row r="27745" hidden="1" ht="1" customHeight="1">
      <s:c r="A27745" s="120" t="inlineStr"/>
      <s:c r="B27745" s="121" t="n"/>
      <s:c r="C27745" s="121" t="n"/>
      <s:c r="D27745" s="121" t="n"/>
      <s:c r="E27745" s="122" t="n"/>
    </s:row>
    <s:row r="27746" hidden="1" ht="1" customHeight="1">
      <s:c r="A27746" s="120" t="inlineStr"/>
      <s:c r="B27746" s="121" t="n"/>
      <s:c r="C27746" s="121" t="n"/>
      <s:c r="D27746" s="121" t="n"/>
      <s:c r="E27746" s="122" t="n"/>
    </s:row>
    <s:row r="27747" hidden="1" ht="1" customHeight="1">
      <s:c r="A27747" s="120" t="inlineStr"/>
      <s:c r="B27747" s="121" t="n"/>
      <s:c r="C27747" s="121" t="n"/>
      <s:c r="D27747" s="121" t="n"/>
      <s:c r="E27747" s="122" t="n"/>
    </s:row>
    <s:row r="27748" hidden="1" ht="1" customHeight="1">
      <s:c r="A27748" s="120" t="inlineStr"/>
      <s:c r="B27748" s="121" t="n"/>
      <s:c r="C27748" s="121" t="n"/>
      <s:c r="D27748" s="121" t="n"/>
      <s:c r="E27748" s="122" t="n"/>
    </s:row>
    <s:row r="27749" hidden="1" ht="1" customHeight="1">
      <s:c r="A27749" s="120" t="inlineStr"/>
      <s:c r="B27749" s="121" t="n"/>
      <s:c r="C27749" s="121" t="n"/>
      <s:c r="D27749" s="121" t="n"/>
      <s:c r="E27749" s="122" t="n"/>
    </s:row>
    <s:row r="27750" hidden="1" ht="1" customHeight="1">
      <s:c r="A27750" s="120" t="inlineStr"/>
      <s:c r="B27750" s="121" t="n"/>
      <s:c r="C27750" s="121" t="n"/>
      <s:c r="D27750" s="121" t="n"/>
      <s:c r="E27750" s="122" t="n"/>
    </s:row>
    <s:row r="27751" hidden="1" ht="1" customHeight="1">
      <s:c r="A27751" s="120" t="inlineStr"/>
      <s:c r="B27751" s="121" t="n"/>
      <s:c r="C27751" s="121" t="n"/>
      <s:c r="D27751" s="121" t="n"/>
      <s:c r="E27751" s="122" t="n"/>
    </s:row>
    <s:row r="27752" hidden="1" ht="1" customHeight="1">
      <s:c r="A27752" s="120" t="inlineStr"/>
      <s:c r="B27752" s="121" t="n"/>
      <s:c r="C27752" s="121" t="n"/>
      <s:c r="D27752" s="121" t="n"/>
      <s:c r="E27752" s="122" t="n"/>
    </s:row>
    <s:row r="27753" hidden="1" ht="1" customHeight="1">
      <s:c r="A27753" s="120" t="inlineStr"/>
      <s:c r="B27753" s="121" t="n"/>
      <s:c r="C27753" s="121" t="n"/>
      <s:c r="D27753" s="121" t="n"/>
      <s:c r="E27753" s="122" t="n"/>
    </s:row>
    <s:row r="27754" hidden="1" ht="1" customHeight="1">
      <s:c r="A27754" s="120" t="inlineStr"/>
      <s:c r="B27754" s="121" t="n"/>
      <s:c r="C27754" s="121" t="n"/>
      <s:c r="D27754" s="121" t="n"/>
      <s:c r="E27754" s="122" t="n"/>
    </s:row>
    <s:row r="27755" hidden="1" ht="1" customHeight="1">
      <s:c r="A27755" s="120" t="inlineStr"/>
      <s:c r="B27755" s="121" t="n"/>
      <s:c r="C27755" s="121" t="n"/>
      <s:c r="D27755" s="121" t="n"/>
      <s:c r="E27755" s="122" t="n"/>
    </s:row>
    <s:row r="27756" hidden="1" ht="1" customHeight="1">
      <s:c r="A27756" s="120" t="inlineStr"/>
      <s:c r="B27756" s="121" t="n"/>
      <s:c r="C27756" s="121" t="n"/>
      <s:c r="D27756" s="121" t="n"/>
      <s:c r="E27756" s="122" t="n"/>
    </s:row>
    <s:row r="27757" hidden="1" ht="1" customHeight="1">
      <s:c r="A27757" s="120" t="inlineStr"/>
      <s:c r="B27757" s="121" t="n"/>
      <s:c r="C27757" s="121" t="n"/>
      <s:c r="D27757" s="121" t="n"/>
      <s:c r="E27757" s="122" t="n"/>
    </s:row>
    <s:row r="27758" hidden="1" ht="1" customHeight="1">
      <s:c r="A27758" s="120" t="inlineStr"/>
      <s:c r="B27758" s="121" t="n"/>
      <s:c r="C27758" s="121" t="n"/>
      <s:c r="D27758" s="121" t="n"/>
      <s:c r="E27758" s="122" t="n"/>
    </s:row>
    <s:row r="27759" hidden="1" ht="1" customHeight="1">
      <s:c r="A27759" s="120" t="inlineStr"/>
      <s:c r="B27759" s="121" t="n"/>
      <s:c r="C27759" s="121" t="n"/>
      <s:c r="D27759" s="121" t="n"/>
      <s:c r="E27759" s="122" t="n"/>
    </s:row>
    <s:row r="27760" hidden="1" ht="1" customHeight="1">
      <s:c r="A27760" s="120" t="inlineStr"/>
      <s:c r="B27760" s="121" t="n"/>
      <s:c r="C27760" s="121" t="n"/>
      <s:c r="D27760" s="121" t="n"/>
      <s:c r="E27760" s="122" t="n"/>
    </s:row>
    <s:row r="27761" hidden="1" ht="1" customHeight="1">
      <s:c r="A27761" s="120" t="inlineStr"/>
      <s:c r="B27761" s="121" t="n"/>
      <s:c r="C27761" s="121" t="n"/>
      <s:c r="D27761" s="121" t="n"/>
      <s:c r="E27761" s="122" t="n"/>
    </s:row>
    <s:row r="27762" hidden="1" ht="1" customHeight="1">
      <s:c r="A27762" s="120" t="inlineStr"/>
      <s:c r="B27762" s="121" t="n"/>
      <s:c r="C27762" s="121" t="n"/>
      <s:c r="D27762" s="121" t="n"/>
      <s:c r="E27762" s="122" t="n"/>
    </s:row>
    <s:row r="27763" hidden="1" ht="1" customHeight="1">
      <s:c r="A27763" s="120" t="inlineStr"/>
      <s:c r="B27763" s="121" t="n"/>
      <s:c r="C27763" s="121" t="n"/>
      <s:c r="D27763" s="121" t="n"/>
      <s:c r="E27763" s="122" t="n"/>
    </s:row>
    <s:row r="27764" hidden="1" ht="1" customHeight="1">
      <s:c r="A27764" s="120" t="inlineStr"/>
      <s:c r="B27764" s="121" t="n"/>
      <s:c r="C27764" s="121" t="n"/>
      <s:c r="D27764" s="121" t="n"/>
      <s:c r="E27764" s="122" t="n"/>
    </s:row>
    <s:row r="27765" hidden="1" ht="1" customHeight="1">
      <s:c r="A27765" s="120" t="inlineStr"/>
      <s:c r="B27765" s="121" t="n"/>
      <s:c r="C27765" s="121" t="n"/>
      <s:c r="D27765" s="121" t="n"/>
      <s:c r="E27765" s="122" t="n"/>
    </s:row>
    <s:row r="27766" hidden="1" ht="1" customHeight="1">
      <s:c r="A27766" s="120" t="inlineStr"/>
      <s:c r="B27766" s="121" t="n"/>
      <s:c r="C27766" s="121" t="n"/>
      <s:c r="D27766" s="121" t="n"/>
      <s:c r="E27766" s="122" t="n"/>
    </s:row>
    <s:row r="27767" hidden="1" ht="1" customHeight="1">
      <s:c r="A27767" s="120" t="inlineStr"/>
      <s:c r="B27767" s="121" t="n"/>
      <s:c r="C27767" s="121" t="n"/>
      <s:c r="D27767" s="121" t="n"/>
      <s:c r="E27767" s="122" t="n"/>
    </s:row>
    <s:row r="27768" hidden="1" ht="1" customHeight="1">
      <s:c r="A27768" s="120" t="inlineStr"/>
      <s:c r="B27768" s="121" t="n"/>
      <s:c r="C27768" s="121" t="n"/>
      <s:c r="D27768" s="121" t="n"/>
      <s:c r="E27768" s="122" t="n"/>
    </s:row>
    <s:row r="27769" hidden="1" ht="1" customHeight="1">
      <s:c r="A27769" s="120" t="inlineStr"/>
      <s:c r="B27769" s="121" t="n"/>
      <s:c r="C27769" s="121" t="n"/>
      <s:c r="D27769" s="121" t="n"/>
      <s:c r="E27769" s="122" t="n"/>
    </s:row>
    <s:row r="27770" hidden="1" ht="1" customHeight="1">
      <s:c r="A27770" s="120" t="inlineStr"/>
      <s:c r="B27770" s="121" t="n"/>
      <s:c r="C27770" s="121" t="n"/>
      <s:c r="D27770" s="121" t="n"/>
      <s:c r="E27770" s="122" t="n"/>
    </s:row>
    <s:row r="27771" hidden="1" ht="1" customHeight="1">
      <s:c r="A27771" s="120" t="inlineStr"/>
      <s:c r="B27771" s="121" t="n"/>
      <s:c r="C27771" s="121" t="n"/>
      <s:c r="D27771" s="121" t="n"/>
      <s:c r="E27771" s="122" t="n"/>
    </s:row>
    <s:row r="27772" hidden="1" ht="1" customHeight="1">
      <s:c r="A27772" s="120" t="inlineStr"/>
      <s:c r="B27772" s="121" t="n"/>
      <s:c r="C27772" s="121" t="n"/>
      <s:c r="D27772" s="121" t="n"/>
      <s:c r="E27772" s="122" t="n"/>
    </s:row>
    <s:row r="27773" hidden="1" ht="1" customHeight="1">
      <s:c r="A27773" s="120" t="inlineStr"/>
      <s:c r="B27773" s="121" t="n"/>
      <s:c r="C27773" s="121" t="n"/>
      <s:c r="D27773" s="121" t="n"/>
      <s:c r="E27773" s="122" t="n"/>
    </s:row>
    <s:row r="27774" hidden="1" ht="1" customHeight="1">
      <s:c r="A27774" s="120" t="inlineStr"/>
      <s:c r="B27774" s="121" t="n"/>
      <s:c r="C27774" s="121" t="n"/>
      <s:c r="D27774" s="121" t="n"/>
      <s:c r="E27774" s="122" t="n"/>
    </s:row>
    <s:row r="27775" hidden="1" ht="1" customHeight="1">
      <s:c r="A27775" s="120" t="inlineStr"/>
      <s:c r="B27775" s="121" t="n"/>
      <s:c r="C27775" s="121" t="n"/>
      <s:c r="D27775" s="121" t="n"/>
      <s:c r="E27775" s="122" t="n"/>
    </s:row>
    <s:row r="27776" hidden="1" ht="1" customHeight="1">
      <s:c r="A27776" s="120" t="inlineStr"/>
      <s:c r="B27776" s="121" t="n"/>
      <s:c r="C27776" s="121" t="n"/>
      <s:c r="D27776" s="121" t="n"/>
      <s:c r="E27776" s="122" t="n"/>
    </s:row>
    <s:row r="27777" hidden="1" ht="1" customHeight="1">
      <s:c r="A27777" s="120" t="inlineStr"/>
      <s:c r="B27777" s="121" t="n"/>
      <s:c r="C27777" s="121" t="n"/>
      <s:c r="D27777" s="121" t="n"/>
      <s:c r="E27777" s="122" t="n"/>
    </s:row>
    <s:row r="27778" hidden="1" ht="1" customHeight="1">
      <s:c r="A27778" s="120" t="inlineStr"/>
      <s:c r="B27778" s="121" t="n"/>
      <s:c r="C27778" s="121" t="n"/>
      <s:c r="D27778" s="121" t="n"/>
      <s:c r="E27778" s="122" t="n"/>
    </s:row>
    <s:row r="27779" hidden="1" ht="1" customHeight="1">
      <s:c r="A27779" s="120" t="inlineStr"/>
      <s:c r="B27779" s="121" t="n"/>
      <s:c r="C27779" s="121" t="n"/>
      <s:c r="D27779" s="121" t="n"/>
      <s:c r="E27779" s="122" t="n"/>
    </s:row>
    <s:row r="27780" hidden="1" ht="1" customHeight="1">
      <s:c r="A27780" s="120" t="inlineStr"/>
      <s:c r="B27780" s="121" t="n"/>
      <s:c r="C27780" s="121" t="n"/>
      <s:c r="D27780" s="121" t="n"/>
      <s:c r="E27780" s="122" t="n"/>
    </s:row>
    <s:row r="27781" hidden="1" ht="1" customHeight="1">
      <s:c r="A27781" s="120" t="inlineStr"/>
      <s:c r="B27781" s="121" t="n"/>
      <s:c r="C27781" s="121" t="n"/>
      <s:c r="D27781" s="121" t="n"/>
      <s:c r="E27781" s="122" t="n"/>
    </s:row>
    <s:row r="27782" hidden="1" ht="1" customHeight="1">
      <s:c r="A27782" s="120" t="inlineStr"/>
      <s:c r="B27782" s="121" t="n"/>
      <s:c r="C27782" s="121" t="n"/>
      <s:c r="D27782" s="121" t="n"/>
      <s:c r="E27782" s="122" t="n"/>
    </s:row>
    <s:row r="27783" hidden="1" ht="1" customHeight="1">
      <s:c r="A27783" s="120" t="inlineStr"/>
      <s:c r="B27783" s="121" t="n"/>
      <s:c r="C27783" s="121" t="n"/>
      <s:c r="D27783" s="121" t="n"/>
      <s:c r="E27783" s="122" t="n"/>
    </s:row>
    <s:row r="27784" hidden="1" ht="1" customHeight="1">
      <s:c r="A27784" s="120" t="inlineStr"/>
      <s:c r="B27784" s="121" t="n"/>
      <s:c r="C27784" s="121" t="n"/>
      <s:c r="D27784" s="121" t="n"/>
      <s:c r="E27784" s="122" t="n"/>
    </s:row>
    <s:row r="27785" hidden="1" ht="1" customHeight="1">
      <s:c r="A27785" s="120" t="inlineStr"/>
      <s:c r="B27785" s="121" t="n"/>
      <s:c r="C27785" s="121" t="n"/>
      <s:c r="D27785" s="121" t="n"/>
      <s:c r="E27785" s="122" t="n"/>
    </s:row>
    <s:row r="27786" hidden="1" ht="1" customHeight="1">
      <s:c r="A27786" s="120" t="inlineStr"/>
      <s:c r="B27786" s="121" t="n"/>
      <s:c r="C27786" s="121" t="n"/>
      <s:c r="D27786" s="121" t="n"/>
      <s:c r="E27786" s="122" t="n"/>
    </s:row>
    <s:row r="27787" hidden="1" ht="1" customHeight="1">
      <s:c r="A27787" s="120" t="inlineStr"/>
      <s:c r="B27787" s="121" t="n"/>
      <s:c r="C27787" s="121" t="n"/>
      <s:c r="D27787" s="121" t="n"/>
      <s:c r="E27787" s="122" t="n"/>
    </s:row>
    <s:row r="27788" hidden="1" ht="1" customHeight="1">
      <s:c r="A27788" s="120" t="inlineStr"/>
      <s:c r="B27788" s="121" t="n"/>
      <s:c r="C27788" s="121" t="n"/>
      <s:c r="D27788" s="121" t="n"/>
      <s:c r="E27788" s="122" t="n"/>
    </s:row>
    <s:row r="27789" hidden="1" ht="1" customHeight="1">
      <s:c r="A27789" s="120" t="inlineStr"/>
      <s:c r="B27789" s="121" t="n"/>
      <s:c r="C27789" s="121" t="n"/>
      <s:c r="D27789" s="121" t="n"/>
      <s:c r="E27789" s="122" t="n"/>
    </s:row>
    <s:row r="27790" hidden="1" ht="1" customHeight="1">
      <s:c r="A27790" s="120" t="inlineStr"/>
      <s:c r="B27790" s="121" t="n"/>
      <s:c r="C27790" s="121" t="n"/>
      <s:c r="D27790" s="121" t="n"/>
      <s:c r="E27790" s="122" t="n"/>
    </s:row>
    <s:row r="27791" hidden="1" ht="1" customHeight="1">
      <s:c r="A27791" s="120" t="inlineStr"/>
      <s:c r="B27791" s="121" t="n"/>
      <s:c r="C27791" s="121" t="n"/>
      <s:c r="D27791" s="121" t="n"/>
      <s:c r="E27791" s="122" t="n"/>
    </s:row>
    <s:row r="27792" hidden="1" ht="1" customHeight="1">
      <s:c r="A27792" s="120" t="inlineStr"/>
      <s:c r="B27792" s="121" t="n"/>
      <s:c r="C27792" s="121" t="n"/>
      <s:c r="D27792" s="121" t="n"/>
      <s:c r="E27792" s="122" t="n"/>
    </s:row>
    <s:row r="27793" hidden="1" ht="1" customHeight="1">
      <s:c r="A27793" s="120" t="inlineStr"/>
      <s:c r="B27793" s="121" t="n"/>
      <s:c r="C27793" s="121" t="n"/>
      <s:c r="D27793" s="121" t="n"/>
      <s:c r="E27793" s="122" t="n"/>
    </s:row>
    <s:row r="27794" hidden="1" ht="1" customHeight="1">
      <s:c r="A27794" s="120" t="inlineStr"/>
      <s:c r="B27794" s="121" t="n"/>
      <s:c r="C27794" s="121" t="n"/>
      <s:c r="D27794" s="121" t="n"/>
      <s:c r="E27794" s="122" t="n"/>
    </s:row>
    <s:row r="27795" hidden="1" ht="1" customHeight="1">
      <s:c r="A27795" s="120" t="inlineStr"/>
      <s:c r="B27795" s="121" t="n"/>
      <s:c r="C27795" s="121" t="n"/>
      <s:c r="D27795" s="121" t="n"/>
      <s:c r="E27795" s="122" t="n"/>
    </s:row>
    <s:row r="27796" hidden="1" ht="1" customHeight="1">
      <s:c r="A27796" s="120" t="inlineStr"/>
      <s:c r="B27796" s="121" t="n"/>
      <s:c r="C27796" s="121" t="n"/>
      <s:c r="D27796" s="121" t="n"/>
      <s:c r="E27796" s="122" t="n"/>
    </s:row>
    <s:row r="27797" hidden="1" ht="1" customHeight="1">
      <s:c r="A27797" s="120" t="inlineStr"/>
      <s:c r="B27797" s="121" t="n"/>
      <s:c r="C27797" s="121" t="n"/>
      <s:c r="D27797" s="121" t="n"/>
      <s:c r="E27797" s="122" t="n"/>
    </s:row>
    <s:row r="27798" hidden="1" ht="1" customHeight="1">
      <s:c r="A27798" s="120" t="inlineStr"/>
      <s:c r="B27798" s="121" t="n"/>
      <s:c r="C27798" s="121" t="n"/>
      <s:c r="D27798" s="121" t="n"/>
      <s:c r="E27798" s="122" t="n"/>
    </s:row>
    <s:row r="27799" hidden="1" ht="1" customHeight="1">
      <s:c r="A27799" s="120" t="inlineStr"/>
      <s:c r="B27799" s="121" t="n"/>
      <s:c r="C27799" s="121" t="n"/>
      <s:c r="D27799" s="121" t="n"/>
      <s:c r="E27799" s="122" t="n"/>
    </s:row>
    <s:row r="27800" hidden="1" ht="1" customHeight="1">
      <s:c r="A27800" s="120" t="inlineStr"/>
      <s:c r="B27800" s="121" t="n"/>
      <s:c r="C27800" s="121" t="n"/>
      <s:c r="D27800" s="121" t="n"/>
      <s:c r="E27800" s="122" t="n"/>
    </s:row>
    <s:row r="27801" hidden="1" ht="1" customHeight="1">
      <s:c r="A27801" s="120" t="inlineStr"/>
      <s:c r="B27801" s="121" t="n"/>
      <s:c r="C27801" s="121" t="n"/>
      <s:c r="D27801" s="121" t="n"/>
      <s:c r="E27801" s="122" t="n"/>
    </s:row>
    <s:row r="27802" hidden="1" ht="1" customHeight="1">
      <s:c r="A27802" s="120" t="inlineStr"/>
      <s:c r="B27802" s="121" t="n"/>
      <s:c r="C27802" s="121" t="n"/>
      <s:c r="D27802" s="121" t="n"/>
      <s:c r="E27802" s="122" t="n"/>
    </s:row>
    <s:row r="27803" hidden="1" ht="1" customHeight="1">
      <s:c r="A27803" s="120" t="inlineStr"/>
      <s:c r="B27803" s="121" t="n"/>
      <s:c r="C27803" s="121" t="n"/>
      <s:c r="D27803" s="121" t="n"/>
      <s:c r="E27803" s="122" t="n"/>
    </s:row>
    <s:row r="27804" hidden="1" ht="1" customHeight="1">
      <s:c r="A27804" s="120" t="inlineStr"/>
      <s:c r="B27804" s="121" t="n"/>
      <s:c r="C27804" s="121" t="n"/>
      <s:c r="D27804" s="121" t="n"/>
      <s:c r="E27804" s="122" t="n"/>
    </s:row>
    <s:row r="27805" hidden="1" ht="1" customHeight="1">
      <s:c r="A27805" s="120" t="inlineStr"/>
      <s:c r="B27805" s="121" t="n"/>
      <s:c r="C27805" s="121" t="n"/>
      <s:c r="D27805" s="121" t="n"/>
      <s:c r="E27805" s="122" t="n"/>
    </s:row>
    <s:row r="27806" hidden="1" ht="1" customHeight="1">
      <s:c r="A27806" s="120" t="inlineStr"/>
      <s:c r="B27806" s="121" t="n"/>
      <s:c r="C27806" s="121" t="n"/>
      <s:c r="D27806" s="121" t="n"/>
      <s:c r="E27806" s="122" t="n"/>
    </s:row>
    <s:row r="27807" hidden="1" ht="1" customHeight="1">
      <s:c r="A27807" s="120" t="inlineStr"/>
      <s:c r="B27807" s="121" t="n"/>
      <s:c r="C27807" s="121" t="n"/>
      <s:c r="D27807" s="121" t="n"/>
      <s:c r="E27807" s="122" t="n"/>
    </s:row>
    <s:row r="27808" hidden="1" ht="1" customHeight="1">
      <s:c r="A27808" s="120" t="inlineStr"/>
      <s:c r="B27808" s="121" t="n"/>
      <s:c r="C27808" s="121" t="n"/>
      <s:c r="D27808" s="121" t="n"/>
      <s:c r="E27808" s="122" t="n"/>
    </s:row>
    <s:row r="27809" hidden="1" ht="1" customHeight="1">
      <s:c r="A27809" s="120" t="inlineStr"/>
      <s:c r="B27809" s="121" t="n"/>
      <s:c r="C27809" s="121" t="n"/>
      <s:c r="D27809" s="121" t="n"/>
      <s:c r="E27809" s="122" t="n"/>
    </s:row>
    <s:row r="27810" hidden="1" ht="1" customHeight="1">
      <s:c r="A27810" s="83" t="inlineStr">
        <s:is>
          <s:t>PASS</s:t>
        </s:is>
      </s:c>
      <s:c r="B27810" s="83">
        <s:f>SUM(IF(EXACT('Kiểm thử'!E27610,"Đạt"),1,0),IF(EXACT('Kiểm thử'!E27612,"Đạt"),1,0),IF(EXACT('Kiểm thử'!E27614,"Đạt"),1,0),IF(EXACT('Kiểm thử'!E27616,"Đạt"),1,0))</s:f>
        <s:v/>
      </s:c>
      <s:c r="C27810" s="19" t="n"/>
      <s:c r="D27810" s="19" t="n"/>
      <s:c r="E27810" s="19" t="n"/>
    </s:row>
    <s:row r="27811" hidden="1" ht="1" customHeight="1">
      <s:c r="A27811" s="83" t="inlineStr">
        <s:is>
          <s:t>FAIL</s:t>
        </s:is>
      </s:c>
      <s:c r="B27811" s="83">
        <s:f>SUM(IF(EXACT('Kiểm thử'!E27610,"Không đạt"),1,0),IF(EXACT('Kiểm thử'!E27612,"Không đạt"),1,0),IF(EXACT('Kiểm thử'!E27614,"Không đạt"),1,0),IF(EXACT('Kiểm thử'!E27616,"Không đạt"),1,0))</s:f>
        <s:v/>
      </s:c>
      <s:c r="C27811" s="19" t="n"/>
      <s:c r="D27811" s="19" t="n"/>
      <s:c r="E27811" s="19" t="n"/>
    </s:row>
    <s:row r="27812" hidden="1" ht="1" customHeight="1">
      <s:c r="A27812" s="83" t="inlineStr">
        <s:is>
          <s:t>BLOCKED</s:t>
        </s:is>
      </s:c>
      <s:c r="B27812" s="83">
        <s:f>SUM(IF(EXACT('Kiểm thử'!E27610,"Bị chặn"),1,0),IF(EXACT('Kiểm thử'!E27612,"Bị chặn"),1,0),IF(EXACT('Kiểm thử'!E27614,"Bị chặn"),1,0),IF(EXACT('Kiểm thử'!E27616,"Bị chặn"),1,0))</s:f>
        <s:v/>
      </s:c>
      <s:c r="C27812" s="19" t="n"/>
      <s:c r="D27812" s="19" t="n"/>
      <s:c r="E27812" s="19" t="n"/>
    </s:row>
    <s:row r="27813" hidden="1" ht="1" customHeight="1">
      <s:c r="A27813" s="83" t="inlineStr">
        <s:is>
          <s:t>SKIPPED</s:t>
        </s:is>
      </s:c>
      <s:c r="B27813" s="83">
        <s:f>SUM(IF(EXACT('Kiểm thử'!E27610,"Không thực hiện"),1,0),IF(EXACT('Kiểm thử'!E27612,"Không thực hiện"),1,0),IF(EXACT('Kiểm thử'!E27614,"Không thực hiện"),1,0),IF(EXACT('Kiểm thử'!E27616,"Không thực hiện"),1,0))</s:f>
        <s:v/>
      </s:c>
      <s:c r="C27813" s="19" t="n"/>
      <s:c r="D27813" s="19" t="n"/>
      <s:c r="E27813" s="19" t="n"/>
    </s:row>
    <s:row r="27814" hidden="1" ht="1" customHeight="1">
      <s:c r="A27814" s="83" t="inlineStr">
        <s:is>
          <s:t>NOT RUN</s:t>
        </s:is>
      </s:c>
      <s:c r="B27814" s="83">
        <s:f>SUM(IF(EXACT('Kiểm thử'!E27610,"Chưa thực hiện"),1,0),IF(EXACT('Kiểm thử'!E27612,"Chưa thực hiện"),1,0),IF(EXACT('Kiểm thử'!E27614,"Chưa thực hiện"),1,0),IF(EXACT('Kiểm thử'!E27616,"Chưa thực hiện"),1,0))</s:f>
        <s:v/>
      </s:c>
      <s:c r="C27814" s="19" t="n"/>
      <s:c r="D27814" s="19" t="n"/>
      <s:c r="E27814" s="19" t="n"/>
    </s:row>
    <s:row r="27815" hidden="1" ht="6" customHeight="1">
      <s:c r="A27815" s="83" t="inlineStr"/>
      <s:c r="B27815" s="19" t="n"/>
      <s:c r="C27815" s="19" t="n"/>
      <s:c r="D27815" s="19" t="n"/>
      <s:c r="E27815" s="19" t="n"/>
    </s:row>
    <s:row r="27816" ht="28" customHeight="1">
      <s:c r="A27816" s="108" t="inlineStr">
        <s:is>
          <s:t>TC-RS-DATA-014 — Legacy: báo cáo riêng trường vẫn giữ cách dùng điểm đỏ cũ</s:t>
        </s:is>
      </s:c>
      <s:c r="B27816" s="111" t="n"/>
      <s:c r="C27816" s="111" t="n"/>
      <s:c r="D27816" s="111" t="n"/>
      <s:c r="E27816" s="111" t="n"/>
    </s:row>
    <s:row r="27817" ht="20" customHeight="1">
      <s:c r="A27817" s="112" t="inlineStr">
        <s:is>
          <s:t>Kết quả tình huống</s:t>
        </s:is>
      </s:c>
      <s:c r="B27817" s="113">
        <s:f>IF(SUM(IF(EXACT('Kiểm thử'!E27825,"Không đạt"),1,0))&gt;0,"Không đạt",IF(SUM(IF(EXACT('Kiểm thử'!E27825,"Đạt"),1,0))=1,"Đạt",IF(SUM(IF(EXACT('Kiểm thử'!E27825,"Không thực hiện"),1,0))=1,"Không thực hiện",IF(SUM(IF(EXACT('Kiểm thử'!E27825,"Bị chặn"),1,0))&gt;0,"Bị chặn",IF(SUM(IF(EXACT('Kiểm thử'!E27825,"Chưa thực hiện"),1,0))=1,"Chưa thực hiện","Đang thực hiện")))))</s:f>
        <s:v/>
      </s:c>
      <s:c r="C27817" s="114" t="n"/>
      <s:c r="D27817" s="114" t="n"/>
      <s:c r="E27817" s="114" t="n"/>
    </s:row>
    <s:row r="27818" ht="20" customHeight="1">
      <s:c r="A27818" s="112" t="inlineStr">
        <s:is>
          <s:t>Màn hình / chức năng</s:t>
        </s:is>
      </s:c>
      <s:c r="B27818" s="113" t="inlineStr">
        <s:is>
          <s:t>Bảo toàn dữ liệu và cấu hình</s:t>
        </s:is>
      </s:c>
      <s:c r="C27818" s="28" t="n"/>
      <s:c r="D27818" s="28" t="n"/>
      <s:c r="E27818" s="28" t="n"/>
    </s:row>
    <s:row r="27819" ht="34" customHeight="1">
      <s:c r="A27819" s="112" t="inlineStr">
        <s:is>
          <s:t>Cấu hình</s:t>
        </s:is>
      </s:c>
      <s:c r="B27819" s="113" t="inlineStr">
        <s:is>
          <s:t>• Có dữ liệu legacy [red_score] trước khi bật cấu hình mới;
• Có cùng mục được cấu hình rule mới.</s:t>
        </s:is>
      </s:c>
      <s:c r="C27819" s="28" t="n"/>
      <s:c r="D27819" s="28" t="n"/>
      <s:c r="E27819" s="28" t="n"/>
    </s:row>
    <s:row r="27820" ht="34" customHeight="1">
      <s:c r="A27820" s="112" t="inlineStr">
        <s:is>
          <s:t>Dữ liệu test</s:t>
        </s:is>
      </s:c>
      <s:c r="B27820" s="113" t="inlineStr">
        <s:is>
          <s:t>• Có dữ liệu legacy [red_score] trước khi bật cấu hình mới;
• Có cùng mục được cấu hình rule mới.</s:t>
        </s:is>
      </s:c>
      <s:c r="C27820" s="28" t="n"/>
      <s:c r="D27820" s="28" t="n"/>
      <s:c r="E27820" s="28" t="n"/>
    </s:row>
    <s:row r="27821" ht="20" customHeight="1">
      <s:c r="A27821" s="112" t="inlineStr">
        <s:is>
          <s:t>Bước 1</s:t>
        </s:is>
      </s:c>
      <s:c r="B27821" s="113" t="inlineStr">
        <s:is>
          <s:t>Xem báo cáo riêng trường trước và sau khi cấu hình/chạy rule mới.</s:t>
        </s:is>
      </s:c>
      <s:c r="C27821" s="28" t="n"/>
      <s:c r="D27821" s="28" t="n"/>
      <s:c r="E27821" s="28" t="n"/>
    </s:row>
    <s:row r="27822" ht="20" customHeight="1">
      <s:c r="A27822" s="112" t="inlineStr">
        <s:is>
          <s:t>Bước 2</s:t>
        </s:is>
      </s:c>
      <s:c r="B27822" s="113" t="inlineStr">
        <s:is>
          <s:t>Đối chiếu giá trị legacy và kết luận của rule mới.</s:t>
        </s:is>
      </s:c>
      <s:c r="C27822" s="28" t="n"/>
      <s:c r="D27822" s="28" t="n"/>
      <s:c r="E27822" s="28" t="n"/>
    </s:row>
    <s:row r="27823" ht="28" customHeight="1">
      <s:c r="A27823" s="115" t="inlineStr">
        <s:is>
          <s:t>Trường hợp</s:t>
        </s:is>
      </s:c>
      <s:c r="B27823" s="115" t="inlineStr">
        <s:is>
          <s:t>Dữ liệu / thao tác riêng</s:t>
        </s:is>
      </s:c>
      <s:c r="C27823" s="115" t="inlineStr">
        <s:is>
          <s:t>Kết quả mong đợi</s:t>
        </s:is>
      </s:c>
      <s:c r="D27823" s="115" t="inlineStr">
        <s:is>
          <s:t>Kết quả thực tế</s:t>
        </s:is>
      </s:c>
      <s:c r="E27823" s="115" t="inlineStr">
        <s:is>
          <s:t>Đánh giá</s:t>
        </s:is>
      </s:c>
    </s:row>
    <s:row r="27824" ht="3" customHeight="1">
      <s:c r="A27824" s="102" t="inlineStr"/>
      <s:c r="B27824" s="99" t="n"/>
      <s:c r="C27824" s="99" t="n"/>
      <s:c r="D27824" s="116" t="n"/>
      <s:c r="E27824" s="116" t="n"/>
    </s:row>
    <s:row r="27825" ht="62" customHeight="1">
      <s:c r="A27825" s="83" t="inlineStr">
        <s:is>
          <s:t>Trường hợp cơ bản (Base)</s:t>
        </s:is>
      </s:c>
      <s:c r="B27825" s="83" t="inlineStr">
        <s:is>
          <s:t>Toàn bộ tình huống: Thực hiện đủ các bước chung theo thứ tự; kiểm cả đối tượng đích và đối chứng cùng fixture, không bỏ bước.</s:t>
        </s:is>
      </s:c>
      <s:c r="C27825" s="83" t="inlineStr">
        <s:is>
          <s:t>Legacy không bị chuyển thành rule mới, reset hoặc dùng thay cho rule mới; hai nguồn được giữ riêng và báo cáo legacy vẫn giữ cách dùng cũ.</s:t>
        </s:is>
      </s:c>
      <s:c r="D27825" s="117" t="inlineStr"/>
      <s:c r="E27825" s="118" t="inlineStr">
        <s:is>
          <s:t>Chưa thực hiện</s:t>
        </s:is>
      </s:c>
    </s:row>
    <s:row r="27826" ht="20" customHeight="1">
      <s:c r="A27826" s="119" t="inlineStr">
        <s:is>
          <s:t>Ảnh minh chứng — Chưa có ảnh</s:t>
        </s:is>
      </s:c>
      <s:c r="B27826" s="19" t="n"/>
      <s:c r="C27826" s="19" t="n"/>
      <s:c r="D27826" s="19" t="n"/>
      <s:c r="E27826" s="19" t="n"/>
    </s:row>
    <s:row r="27827" hidden="1" ht="1" customHeight="1">
      <s:c r="A27827" s="120" t="inlineStr"/>
      <s:c r="B27827" s="121" t="n"/>
      <s:c r="C27827" s="121" t="n"/>
      <s:c r="D27827" s="121" t="n"/>
      <s:c r="E27827" s="122" t="n"/>
    </s:row>
    <s:row r="27828" hidden="1" ht="1" customHeight="1">
      <s:c r="A27828" s="120" t="inlineStr"/>
      <s:c r="B27828" s="121" t="n"/>
      <s:c r="C27828" s="121" t="n"/>
      <s:c r="D27828" s="121" t="n"/>
      <s:c r="E27828" s="122" t="n"/>
    </s:row>
    <s:row r="27829" hidden="1" ht="1" customHeight="1">
      <s:c r="A27829" s="120" t="inlineStr"/>
      <s:c r="B27829" s="121" t="n"/>
      <s:c r="C27829" s="121" t="n"/>
      <s:c r="D27829" s="121" t="n"/>
      <s:c r="E27829" s="122" t="n"/>
    </s:row>
    <s:row r="27830" hidden="1" ht="1" customHeight="1">
      <s:c r="A27830" s="120" t="inlineStr"/>
      <s:c r="B27830" s="121" t="n"/>
      <s:c r="C27830" s="121" t="n"/>
      <s:c r="D27830" s="121" t="n"/>
      <s:c r="E27830" s="122" t="n"/>
    </s:row>
    <s:row r="27831" hidden="1" ht="1" customHeight="1">
      <s:c r="A27831" s="120" t="inlineStr"/>
      <s:c r="B27831" s="121" t="n"/>
      <s:c r="C27831" s="121" t="n"/>
      <s:c r="D27831" s="121" t="n"/>
      <s:c r="E27831" s="122" t="n"/>
    </s:row>
    <s:row r="27832" hidden="1" ht="1" customHeight="1">
      <s:c r="A27832" s="120" t="inlineStr"/>
      <s:c r="B27832" s="121" t="n"/>
      <s:c r="C27832" s="121" t="n"/>
      <s:c r="D27832" s="121" t="n"/>
      <s:c r="E27832" s="122" t="n"/>
    </s:row>
    <s:row r="27833" hidden="1" ht="1" customHeight="1">
      <s:c r="A27833" s="120" t="inlineStr"/>
      <s:c r="B27833" s="121" t="n"/>
      <s:c r="C27833" s="121" t="n"/>
      <s:c r="D27833" s="121" t="n"/>
      <s:c r="E27833" s="122" t="n"/>
    </s:row>
    <s:row r="27834" hidden="1" ht="1" customHeight="1">
      <s:c r="A27834" s="120" t="inlineStr"/>
      <s:c r="B27834" s="121" t="n"/>
      <s:c r="C27834" s="121" t="n"/>
      <s:c r="D27834" s="121" t="n"/>
      <s:c r="E27834" s="122" t="n"/>
    </s:row>
    <s:row r="27835" hidden="1" ht="1" customHeight="1">
      <s:c r="A27835" s="120" t="inlineStr"/>
      <s:c r="B27835" s="121" t="n"/>
      <s:c r="C27835" s="121" t="n"/>
      <s:c r="D27835" s="121" t="n"/>
      <s:c r="E27835" s="122" t="n"/>
    </s:row>
    <s:row r="27836" hidden="1" ht="1" customHeight="1">
      <s:c r="A27836" s="120" t="inlineStr"/>
      <s:c r="B27836" s="121" t="n"/>
      <s:c r="C27836" s="121" t="n"/>
      <s:c r="D27836" s="121" t="n"/>
      <s:c r="E27836" s="122" t="n"/>
    </s:row>
    <s:row r="27837" hidden="1" ht="1" customHeight="1">
      <s:c r="A27837" s="120" t="inlineStr"/>
      <s:c r="B27837" s="121" t="n"/>
      <s:c r="C27837" s="121" t="n"/>
      <s:c r="D27837" s="121" t="n"/>
      <s:c r="E27837" s="122" t="n"/>
    </s:row>
    <s:row r="27838" hidden="1" ht="1" customHeight="1">
      <s:c r="A27838" s="120" t="inlineStr"/>
      <s:c r="B27838" s="121" t="n"/>
      <s:c r="C27838" s="121" t="n"/>
      <s:c r="D27838" s="121" t="n"/>
      <s:c r="E27838" s="122" t="n"/>
    </s:row>
    <s:row r="27839" hidden="1" ht="1" customHeight="1">
      <s:c r="A27839" s="120" t="inlineStr"/>
      <s:c r="B27839" s="121" t="n"/>
      <s:c r="C27839" s="121" t="n"/>
      <s:c r="D27839" s="121" t="n"/>
      <s:c r="E27839" s="122" t="n"/>
    </s:row>
    <s:row r="27840" hidden="1" ht="1" customHeight="1">
      <s:c r="A27840" s="120" t="inlineStr"/>
      <s:c r="B27840" s="121" t="n"/>
      <s:c r="C27840" s="121" t="n"/>
      <s:c r="D27840" s="121" t="n"/>
      <s:c r="E27840" s="122" t="n"/>
    </s:row>
    <s:row r="27841" hidden="1" ht="1" customHeight="1">
      <s:c r="A27841" s="120" t="inlineStr"/>
      <s:c r="B27841" s="121" t="n"/>
      <s:c r="C27841" s="121" t="n"/>
      <s:c r="D27841" s="121" t="n"/>
      <s:c r="E27841" s="122" t="n"/>
    </s:row>
    <s:row r="27842" hidden="1" ht="1" customHeight="1">
      <s:c r="A27842" s="120" t="inlineStr"/>
      <s:c r="B27842" s="121" t="n"/>
      <s:c r="C27842" s="121" t="n"/>
      <s:c r="D27842" s="121" t="n"/>
      <s:c r="E27842" s="122" t="n"/>
    </s:row>
    <s:row r="27843" hidden="1" ht="1" customHeight="1">
      <s:c r="A27843" s="120" t="inlineStr"/>
      <s:c r="B27843" s="121" t="n"/>
      <s:c r="C27843" s="121" t="n"/>
      <s:c r="D27843" s="121" t="n"/>
      <s:c r="E27843" s="122" t="n"/>
    </s:row>
    <s:row r="27844" hidden="1" ht="1" customHeight="1">
      <s:c r="A27844" s="120" t="inlineStr"/>
      <s:c r="B27844" s="121" t="n"/>
      <s:c r="C27844" s="121" t="n"/>
      <s:c r="D27844" s="121" t="n"/>
      <s:c r="E27844" s="122" t="n"/>
    </s:row>
    <s:row r="27845" hidden="1" ht="1" customHeight="1">
      <s:c r="A27845" s="120" t="inlineStr"/>
      <s:c r="B27845" s="121" t="n"/>
      <s:c r="C27845" s="121" t="n"/>
      <s:c r="D27845" s="121" t="n"/>
      <s:c r="E27845" s="122" t="n"/>
    </s:row>
    <s:row r="27846" hidden="1" ht="1" customHeight="1">
      <s:c r="A27846" s="120" t="inlineStr"/>
      <s:c r="B27846" s="121" t="n"/>
      <s:c r="C27846" s="121" t="n"/>
      <s:c r="D27846" s="121" t="n"/>
      <s:c r="E27846" s="122" t="n"/>
    </s:row>
    <s:row r="27847" hidden="1" ht="1" customHeight="1">
      <s:c r="A27847" s="120" t="inlineStr"/>
      <s:c r="B27847" s="121" t="n"/>
      <s:c r="C27847" s="121" t="n"/>
      <s:c r="D27847" s="121" t="n"/>
      <s:c r="E27847" s="122" t="n"/>
    </s:row>
    <s:row r="27848" hidden="1" ht="1" customHeight="1">
      <s:c r="A27848" s="120" t="inlineStr"/>
      <s:c r="B27848" s="121" t="n"/>
      <s:c r="C27848" s="121" t="n"/>
      <s:c r="D27848" s="121" t="n"/>
      <s:c r="E27848" s="122" t="n"/>
    </s:row>
    <s:row r="27849" hidden="1" ht="1" customHeight="1">
      <s:c r="A27849" s="120" t="inlineStr"/>
      <s:c r="B27849" s="121" t="n"/>
      <s:c r="C27849" s="121" t="n"/>
      <s:c r="D27849" s="121" t="n"/>
      <s:c r="E27849" s="122" t="n"/>
    </s:row>
    <s:row r="27850" hidden="1" ht="1" customHeight="1">
      <s:c r="A27850" s="120" t="inlineStr"/>
      <s:c r="B27850" s="121" t="n"/>
      <s:c r="C27850" s="121" t="n"/>
      <s:c r="D27850" s="121" t="n"/>
      <s:c r="E27850" s="122" t="n"/>
    </s:row>
    <s:row r="27851" hidden="1" ht="1" customHeight="1">
      <s:c r="A27851" s="120" t="inlineStr"/>
      <s:c r="B27851" s="121" t="n"/>
      <s:c r="C27851" s="121" t="n"/>
      <s:c r="D27851" s="121" t="n"/>
      <s:c r="E27851" s="122" t="n"/>
    </s:row>
    <s:row r="27852" hidden="1" ht="1" customHeight="1">
      <s:c r="A27852" s="120" t="inlineStr"/>
      <s:c r="B27852" s="121" t="n"/>
      <s:c r="C27852" s="121" t="n"/>
      <s:c r="D27852" s="121" t="n"/>
      <s:c r="E27852" s="122" t="n"/>
    </s:row>
    <s:row r="27853" hidden="1" ht="1" customHeight="1">
      <s:c r="A27853" s="120" t="inlineStr"/>
      <s:c r="B27853" s="121" t="n"/>
      <s:c r="C27853" s="121" t="n"/>
      <s:c r="D27853" s="121" t="n"/>
      <s:c r="E27853" s="122" t="n"/>
    </s:row>
    <s:row r="27854" hidden="1" ht="1" customHeight="1">
      <s:c r="A27854" s="120" t="inlineStr"/>
      <s:c r="B27854" s="121" t="n"/>
      <s:c r="C27854" s="121" t="n"/>
      <s:c r="D27854" s="121" t="n"/>
      <s:c r="E27854" s="122" t="n"/>
    </s:row>
    <s:row r="27855" hidden="1" ht="1" customHeight="1">
      <s:c r="A27855" s="120" t="inlineStr"/>
      <s:c r="B27855" s="121" t="n"/>
      <s:c r="C27855" s="121" t="n"/>
      <s:c r="D27855" s="121" t="n"/>
      <s:c r="E27855" s="122" t="n"/>
    </s:row>
    <s:row r="27856" hidden="1" ht="1" customHeight="1">
      <s:c r="A27856" s="120" t="inlineStr"/>
      <s:c r="B27856" s="121" t="n"/>
      <s:c r="C27856" s="121" t="n"/>
      <s:c r="D27856" s="121" t="n"/>
      <s:c r="E27856" s="122" t="n"/>
    </s:row>
    <s:row r="27857" hidden="1" ht="1" customHeight="1">
      <s:c r="A27857" s="120" t="inlineStr"/>
      <s:c r="B27857" s="121" t="n"/>
      <s:c r="C27857" s="121" t="n"/>
      <s:c r="D27857" s="121" t="n"/>
      <s:c r="E27857" s="122" t="n"/>
    </s:row>
    <s:row r="27858" hidden="1" ht="1" customHeight="1">
      <s:c r="A27858" s="120" t="inlineStr"/>
      <s:c r="B27858" s="121" t="n"/>
      <s:c r="C27858" s="121" t="n"/>
      <s:c r="D27858" s="121" t="n"/>
      <s:c r="E27858" s="122" t="n"/>
    </s:row>
    <s:row r="27859" hidden="1" ht="1" customHeight="1">
      <s:c r="A27859" s="120" t="inlineStr"/>
      <s:c r="B27859" s="121" t="n"/>
      <s:c r="C27859" s="121" t="n"/>
      <s:c r="D27859" s="121" t="n"/>
      <s:c r="E27859" s="122" t="n"/>
    </s:row>
    <s:row r="27860" hidden="1" ht="1" customHeight="1">
      <s:c r="A27860" s="120" t="inlineStr"/>
      <s:c r="B27860" s="121" t="n"/>
      <s:c r="C27860" s="121" t="n"/>
      <s:c r="D27860" s="121" t="n"/>
      <s:c r="E27860" s="122" t="n"/>
    </s:row>
    <s:row r="27861" hidden="1" ht="1" customHeight="1">
      <s:c r="A27861" s="120" t="inlineStr"/>
      <s:c r="B27861" s="121" t="n"/>
      <s:c r="C27861" s="121" t="n"/>
      <s:c r="D27861" s="121" t="n"/>
      <s:c r="E27861" s="122" t="n"/>
    </s:row>
    <s:row r="27862" hidden="1" ht="1" customHeight="1">
      <s:c r="A27862" s="120" t="inlineStr"/>
      <s:c r="B27862" s="121" t="n"/>
      <s:c r="C27862" s="121" t="n"/>
      <s:c r="D27862" s="121" t="n"/>
      <s:c r="E27862" s="122" t="n"/>
    </s:row>
    <s:row r="27863" hidden="1" ht="1" customHeight="1">
      <s:c r="A27863" s="120" t="inlineStr"/>
      <s:c r="B27863" s="121" t="n"/>
      <s:c r="C27863" s="121" t="n"/>
      <s:c r="D27863" s="121" t="n"/>
      <s:c r="E27863" s="122" t="n"/>
    </s:row>
    <s:row r="27864" hidden="1" ht="1" customHeight="1">
      <s:c r="A27864" s="120" t="inlineStr"/>
      <s:c r="B27864" s="121" t="n"/>
      <s:c r="C27864" s="121" t="n"/>
      <s:c r="D27864" s="121" t="n"/>
      <s:c r="E27864" s="122" t="n"/>
    </s:row>
    <s:row r="27865" hidden="1" ht="1" customHeight="1">
      <s:c r="A27865" s="120" t="inlineStr"/>
      <s:c r="B27865" s="121" t="n"/>
      <s:c r="C27865" s="121" t="n"/>
      <s:c r="D27865" s="121" t="n"/>
      <s:c r="E27865" s="122" t="n"/>
    </s:row>
    <s:row r="27866" hidden="1" ht="1" customHeight="1">
      <s:c r="A27866" s="120" t="inlineStr"/>
      <s:c r="B27866" s="121" t="n"/>
      <s:c r="C27866" s="121" t="n"/>
      <s:c r="D27866" s="121" t="n"/>
      <s:c r="E27866" s="122" t="n"/>
    </s:row>
    <s:row r="27867" hidden="1" ht="1" customHeight="1">
      <s:c r="A27867" s="120" t="inlineStr"/>
      <s:c r="B27867" s="121" t="n"/>
      <s:c r="C27867" s="121" t="n"/>
      <s:c r="D27867" s="121" t="n"/>
      <s:c r="E27867" s="122" t="n"/>
    </s:row>
    <s:row r="27868" hidden="1" ht="1" customHeight="1">
      <s:c r="A27868" s="120" t="inlineStr"/>
      <s:c r="B27868" s="121" t="n"/>
      <s:c r="C27868" s="121" t="n"/>
      <s:c r="D27868" s="121" t="n"/>
      <s:c r="E27868" s="122" t="n"/>
    </s:row>
    <s:row r="27869" hidden="1" ht="1" customHeight="1">
      <s:c r="A27869" s="120" t="inlineStr"/>
      <s:c r="B27869" s="121" t="n"/>
      <s:c r="C27869" s="121" t="n"/>
      <s:c r="D27869" s="121" t="n"/>
      <s:c r="E27869" s="122" t="n"/>
    </s:row>
    <s:row r="27870" hidden="1" ht="1" customHeight="1">
      <s:c r="A27870" s="120" t="inlineStr"/>
      <s:c r="B27870" s="121" t="n"/>
      <s:c r="C27870" s="121" t="n"/>
      <s:c r="D27870" s="121" t="n"/>
      <s:c r="E27870" s="122" t="n"/>
    </s:row>
    <s:row r="27871" hidden="1" ht="1" customHeight="1">
      <s:c r="A27871" s="120" t="inlineStr"/>
      <s:c r="B27871" s="121" t="n"/>
      <s:c r="C27871" s="121" t="n"/>
      <s:c r="D27871" s="121" t="n"/>
      <s:c r="E27871" s="122" t="n"/>
    </s:row>
    <s:row r="27872" hidden="1" ht="1" customHeight="1">
      <s:c r="A27872" s="120" t="inlineStr"/>
      <s:c r="B27872" s="121" t="n"/>
      <s:c r="C27872" s="121" t="n"/>
      <s:c r="D27872" s="121" t="n"/>
      <s:c r="E27872" s="122" t="n"/>
    </s:row>
    <s:row r="27873" hidden="1" ht="1" customHeight="1">
      <s:c r="A27873" s="120" t="inlineStr"/>
      <s:c r="B27873" s="121" t="n"/>
      <s:c r="C27873" s="121" t="n"/>
      <s:c r="D27873" s="121" t="n"/>
      <s:c r="E27873" s="122" t="n"/>
    </s:row>
    <s:row r="27874" hidden="1" ht="1" customHeight="1">
      <s:c r="A27874" s="120" t="inlineStr"/>
      <s:c r="B27874" s="121" t="n"/>
      <s:c r="C27874" s="121" t="n"/>
      <s:c r="D27874" s="121" t="n"/>
      <s:c r="E27874" s="122" t="n"/>
    </s:row>
    <s:row r="27875" hidden="1" ht="1" customHeight="1">
      <s:c r="A27875" s="83" t="inlineStr">
        <s:is>
          <s:t>PASS</s:t>
        </s:is>
      </s:c>
      <s:c r="B27875" s="83">
        <s:f>SUM(IF(EXACT('Kiểm thử'!E27825,"Đạt"),1,0))</s:f>
        <s:v/>
      </s:c>
      <s:c r="C27875" s="19" t="n"/>
      <s:c r="D27875" s="19" t="n"/>
      <s:c r="E27875" s="19" t="n"/>
    </s:row>
    <s:row r="27876" hidden="1" ht="1" customHeight="1">
      <s:c r="A27876" s="83" t="inlineStr">
        <s:is>
          <s:t>FAIL</s:t>
        </s:is>
      </s:c>
      <s:c r="B27876" s="83">
        <s:f>SUM(IF(EXACT('Kiểm thử'!E27825,"Không đạt"),1,0))</s:f>
        <s:v/>
      </s:c>
      <s:c r="C27876" s="19" t="n"/>
      <s:c r="D27876" s="19" t="n"/>
      <s:c r="E27876" s="19" t="n"/>
    </s:row>
    <s:row r="27877" hidden="1" ht="1" customHeight="1">
      <s:c r="A27877" s="83" t="inlineStr">
        <s:is>
          <s:t>BLOCKED</s:t>
        </s:is>
      </s:c>
      <s:c r="B27877" s="83">
        <s:f>SUM(IF(EXACT('Kiểm thử'!E27825,"Bị chặn"),1,0))</s:f>
        <s:v/>
      </s:c>
      <s:c r="C27877" s="19" t="n"/>
      <s:c r="D27877" s="19" t="n"/>
      <s:c r="E27877" s="19" t="n"/>
    </s:row>
    <s:row r="27878" hidden="1" ht="1" customHeight="1">
      <s:c r="A27878" s="83" t="inlineStr">
        <s:is>
          <s:t>SKIPPED</s:t>
        </s:is>
      </s:c>
      <s:c r="B27878" s="83">
        <s:f>SUM(IF(EXACT('Kiểm thử'!E27825,"Không thực hiện"),1,0))</s:f>
        <s:v/>
      </s:c>
      <s:c r="C27878" s="19" t="n"/>
      <s:c r="D27878" s="19" t="n"/>
      <s:c r="E27878" s="19" t="n"/>
    </s:row>
    <s:row r="27879" hidden="1" ht="1" customHeight="1">
      <s:c r="A27879" s="83" t="inlineStr">
        <s:is>
          <s:t>NOT RUN</s:t>
        </s:is>
      </s:c>
      <s:c r="B27879" s="83">
        <s:f>SUM(IF(EXACT('Kiểm thử'!E27825,"Chưa thực hiện"),1,0))</s:f>
        <s:v/>
      </s:c>
      <s:c r="C27879" s="19" t="n"/>
      <s:c r="D27879" s="19" t="n"/>
      <s:c r="E27879" s="19" t="n"/>
    </s:row>
    <s:row r="27880" hidden="1" ht="6" customHeight="1">
      <s:c r="A27880" s="83" t="inlineStr"/>
      <s:c r="B27880" s="19" t="n"/>
      <s:c r="C27880" s="19" t="n"/>
      <s:c r="D27880" s="19" t="n"/>
      <s:c r="E27880" s="19" t="n"/>
    </s:row>
    <s:row r="27881" ht="28" customHeight="1">
      <s:c r="A27881" s="108" t="inlineStr">
        <s:is>
          <s:t>TC-RS-DATA-015 — Sao chép cấu hình giữ riêng legacy và không sao chép kết quả cá nhân</s:t>
        </s:is>
      </s:c>
      <s:c r="B27881" s="111" t="n"/>
      <s:c r="C27881" s="111" t="n"/>
      <s:c r="D27881" s="111" t="n"/>
      <s:c r="E27881" s="111" t="n"/>
    </s:row>
    <s:row r="27882" ht="20" customHeight="1">
      <s:c r="A27882" s="112" t="inlineStr">
        <s:is>
          <s:t>Kết quả tình huống</s:t>
        </s:is>
      </s:c>
      <s:c r="B27882" s="113">
        <s:f>IF(SUM(IF(EXACT('Kiểm thử'!E27891,"Không đạt"),1,0))&gt;0,"Không đạt",IF(SUM(IF(EXACT('Kiểm thử'!E27891,"Đạt"),1,0))=1,"Đạt",IF(SUM(IF(EXACT('Kiểm thử'!E27891,"Không thực hiện"),1,0))=1,"Không thực hiện",IF(SUM(IF(EXACT('Kiểm thử'!E27891,"Bị chặn"),1,0))&gt;0,"Bị chặn",IF(SUM(IF(EXACT('Kiểm thử'!E27891,"Chưa thực hiện"),1,0))=1,"Chưa thực hiện","Đang thực hiện")))))</s:f>
        <s:v/>
      </s:c>
      <s:c r="C27882" s="114" t="n"/>
      <s:c r="D27882" s="114" t="n"/>
      <s:c r="E27882" s="114" t="n"/>
    </s:row>
    <s:row r="27883" ht="20" customHeight="1">
      <s:c r="A27883" s="112" t="inlineStr">
        <s:is>
          <s:t>Màn hình / chức năng</s:t>
        </s:is>
      </s:c>
      <s:c r="B27883" s="113" t="inlineStr">
        <s:is>
          <s:t>Bảo toàn dữ liệu và cấu hình</s:t>
        </s:is>
      </s:c>
      <s:c r="C27883" s="28" t="n"/>
      <s:c r="D27883" s="28" t="n"/>
      <s:c r="E27883" s="28" t="n"/>
    </s:row>
    <s:row r="27884" ht="62" customHeight="1">
      <s:c r="A27884" s="112" t="inlineStr">
        <s:is>
          <s:t>Cấu hình</s:t>
        </s:is>
      </s:c>
      <s:c r="B27884" s="113" t="inlineStr">
        <s:is>
          <s: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 Mapping môn Toán và identity ô đích khác nguồn. Có chức năng sao chép cấu hình trong phạm vi đợt.</s:t>
        </s:is>
      </s:c>
      <s:c r="C27884" s="28" t="n"/>
      <s:c r="D27884" s="28" t="n"/>
      <s:c r="E27884" s="28" t="n"/>
    </s:row>
    <s:row r="27885" ht="62" customHeight="1">
      <s:c r="A27885" s="112" t="inlineStr">
        <s:is>
          <s:t>Dữ liệu test</s:t>
        </s:is>
      </s:c>
      <s:c r="B27885" s="113" t="inlineStr">
        <s:is>
          <s: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 Mapping môn Toán và identity ô đích khác nguồn. Có chức năng sao chép cấu hình trong phạm vi đợt.</s:t>
        </s:is>
      </s:c>
      <s:c r="C27885" s="28" t="n"/>
      <s:c r="D27885" s="28" t="n"/>
      <s:c r="E27885" s="28" t="n"/>
    </s:row>
    <s:row r="27886" ht="20" customHeight="1">
      <s:c r="A27886" s="112" t="inlineStr">
        <s:is>
          <s:t>Bước 1</s:t>
        </s:is>
      </s:c>
      <s:c r="B27886" s="113" t="inlineStr">
        <s:is>
          <s:t>Ghi snapshot trước thao tác: rule, mapping mục/môn/nhóm, legacy và kết quả riêng của S01 ở nguồn.</s:t>
        </s:is>
      </s:c>
      <s:c r="C27886" s="28" t="n"/>
      <s:c r="D27886" s="28" t="n"/>
      <s:c r="E27886" s="28" t="n"/>
    </s:row>
    <s:row r="27887" ht="20" customHeight="1">
      <s:c r="A27887" s="112" t="inlineStr">
        <s:is>
          <s:t>Bước 2</s:t>
        </s:is>
      </s:c>
      <s:c r="B27887" s="113" t="inlineStr">
        <s:is>
          <s:t>Sao chép cấu hình sang mục/đối tượng đích; ghi identity nguồn/đích và mapping thực tế.</s:t>
        </s:is>
      </s:c>
      <s:c r="C27887" s="28" t="n"/>
      <s:c r="D27887" s="28" t="n"/>
      <s:c r="E27887" s="28" t="n"/>
    </s:row>
    <s:row r="27888" ht="20" customHeight="1">
      <s:c r="A27888" s="112" t="inlineStr">
        <s:is>
          <s:t>Bước 3</s:t>
        </s:is>
      </s:c>
      <s:c r="B27888" s="113" t="inlineStr">
        <s:is>
          <s:t>Mở cấu hình, legacy và kết quả của đích; không dùng dữ liệu nguồn làm baseline cho đích.</s:t>
        </s:is>
      </s:c>
      <s:c r="C27888" s="28" t="n"/>
      <s:c r="D27888" s="28" t="n"/>
      <s:c r="E27888" s="28" t="n"/>
    </s:row>
    <s:row r="27889" ht="28" customHeight="1">
      <s:c r="A27889" s="115" t="inlineStr">
        <s:is>
          <s:t>Trường hợp</s:t>
        </s:is>
      </s:c>
      <s:c r="B27889" s="115" t="inlineStr">
        <s:is>
          <s:t>Dữ liệu / thao tác riêng</s:t>
        </s:is>
      </s:c>
      <s:c r="C27889" s="115" t="inlineStr">
        <s:is>
          <s:t>Kết quả mong đợi</s:t>
        </s:is>
      </s:c>
      <s:c r="D27889" s="115" t="inlineStr">
        <s:is>
          <s:t>Kết quả thực tế</s:t>
        </s:is>
      </s:c>
      <s:c r="E27889" s="115" t="inlineStr">
        <s:is>
          <s:t>Đánh giá</s:t>
        </s:is>
      </s:c>
    </s:row>
    <s:row r="27890" ht="3" customHeight="1">
      <s:c r="A27890" s="102" t="inlineStr"/>
      <s:c r="B27890" s="99" t="n"/>
      <s:c r="C27890" s="99" t="n"/>
      <s:c r="D27890" s="116" t="n"/>
      <s:c r="E27890" s="116" t="n"/>
    </s:row>
    <s:row r="27891" ht="174" customHeight="1">
      <s:c r="A27891" s="83" t="inlineStr">
        <s:is>
          <s:t>Trường hợp cơ bản (Base)</s:t>
        </s:is>
      </s:c>
      <s:c r="B27891" s="83" t="inlineStr">
        <s:is>
          <s:t>Toàn bộ tình huống: Thực hiện đủ các bước chung theo thứ tự; kiểm cả đối tượng đích và đối chứng cùng fixture, không bỏ bước.</s:t>
        </s:is>
      </s:c>
      <s:c r="C27891" s="83" t="inlineStr">
        <s:is>
          <s:t>Cấu hình [&lt;30] được ánh xạ theo identity đích. Ngưỡng legacy [red_score=25] có mapping hợp lệ cũng được sao chép theo đường legacy hiện hữu: nguồn và đích đều đọc ra 25 tại cấu hình/báo cáo legacy riêng; không xóa, đổi nghĩa hoặc biến thành rule/fallback mới. Nếu đường sao chép legacy của build chưa được xác minh, giữ nhánh BLOCKED và ghi seam/mapping thiếu. Đích không có kết quả đỏ/bản chốt cá nhân của S01 nguồn; chỉ lần xét mới trên identity đích mới tạo kết quả cá nhân ở đích.</s:t>
        </s:is>
      </s:c>
      <s:c r="D27891" s="117" t="inlineStr"/>
      <s:c r="E27891" s="118" t="inlineStr">
        <s:is>
          <s:t>Chưa thực hiện</s:t>
        </s:is>
      </s:c>
    </s:row>
    <s:row r="27892" ht="20" customHeight="1">
      <s:c r="A27892" s="119" t="inlineStr">
        <s:is>
          <s:t>Ảnh minh chứng — Chưa có ảnh</s:t>
        </s:is>
      </s:c>
      <s:c r="B27892" s="19" t="n"/>
      <s:c r="C27892" s="19" t="n"/>
      <s:c r="D27892" s="19" t="n"/>
      <s:c r="E27892" s="19" t="n"/>
    </s:row>
    <s:row r="27893" hidden="1" ht="1" customHeight="1">
      <s:c r="A27893" s="120" t="inlineStr"/>
      <s:c r="B27893" s="121" t="n"/>
      <s:c r="C27893" s="121" t="n"/>
      <s:c r="D27893" s="121" t="n"/>
      <s:c r="E27893" s="122" t="n"/>
    </s:row>
    <s:row r="27894" hidden="1" ht="1" customHeight="1">
      <s:c r="A27894" s="120" t="inlineStr"/>
      <s:c r="B27894" s="121" t="n"/>
      <s:c r="C27894" s="121" t="n"/>
      <s:c r="D27894" s="121" t="n"/>
      <s:c r="E27894" s="122" t="n"/>
    </s:row>
    <s:row r="27895" hidden="1" ht="1" customHeight="1">
      <s:c r="A27895" s="120" t="inlineStr"/>
      <s:c r="B27895" s="121" t="n"/>
      <s:c r="C27895" s="121" t="n"/>
      <s:c r="D27895" s="121" t="n"/>
      <s:c r="E27895" s="122" t="n"/>
    </s:row>
    <s:row r="27896" hidden="1" ht="1" customHeight="1">
      <s:c r="A27896" s="120" t="inlineStr"/>
      <s:c r="B27896" s="121" t="n"/>
      <s:c r="C27896" s="121" t="n"/>
      <s:c r="D27896" s="121" t="n"/>
      <s:c r="E27896" s="122" t="n"/>
    </s:row>
    <s:row r="27897" hidden="1" ht="1" customHeight="1">
      <s:c r="A27897" s="120" t="inlineStr"/>
      <s:c r="B27897" s="121" t="n"/>
      <s:c r="C27897" s="121" t="n"/>
      <s:c r="D27897" s="121" t="n"/>
      <s:c r="E27897" s="122" t="n"/>
    </s:row>
    <s:row r="27898" hidden="1" ht="1" customHeight="1">
      <s:c r="A27898" s="120" t="inlineStr"/>
      <s:c r="B27898" s="121" t="n"/>
      <s:c r="C27898" s="121" t="n"/>
      <s:c r="D27898" s="121" t="n"/>
      <s:c r="E27898" s="122" t="n"/>
    </s:row>
    <s:row r="27899" hidden="1" ht="1" customHeight="1">
      <s:c r="A27899" s="120" t="inlineStr"/>
      <s:c r="B27899" s="121" t="n"/>
      <s:c r="C27899" s="121" t="n"/>
      <s:c r="D27899" s="121" t="n"/>
      <s:c r="E27899" s="122" t="n"/>
    </s:row>
    <s:row r="27900" hidden="1" ht="1" customHeight="1">
      <s:c r="A27900" s="120" t="inlineStr"/>
      <s:c r="B27900" s="121" t="n"/>
      <s:c r="C27900" s="121" t="n"/>
      <s:c r="D27900" s="121" t="n"/>
      <s:c r="E27900" s="122" t="n"/>
    </s:row>
    <s:row r="27901" hidden="1" ht="1" customHeight="1">
      <s:c r="A27901" s="120" t="inlineStr"/>
      <s:c r="B27901" s="121" t="n"/>
      <s:c r="C27901" s="121" t="n"/>
      <s:c r="D27901" s="121" t="n"/>
      <s:c r="E27901" s="122" t="n"/>
    </s:row>
    <s:row r="27902" hidden="1" ht="1" customHeight="1">
      <s:c r="A27902" s="120" t="inlineStr"/>
      <s:c r="B27902" s="121" t="n"/>
      <s:c r="C27902" s="121" t="n"/>
      <s:c r="D27902" s="121" t="n"/>
      <s:c r="E27902" s="122" t="n"/>
    </s:row>
    <s:row r="27903" hidden="1" ht="1" customHeight="1">
      <s:c r="A27903" s="120" t="inlineStr"/>
      <s:c r="B27903" s="121" t="n"/>
      <s:c r="C27903" s="121" t="n"/>
      <s:c r="D27903" s="121" t="n"/>
      <s:c r="E27903" s="122" t="n"/>
    </s:row>
    <s:row r="27904" hidden="1" ht="1" customHeight="1">
      <s:c r="A27904" s="120" t="inlineStr"/>
      <s:c r="B27904" s="121" t="n"/>
      <s:c r="C27904" s="121" t="n"/>
      <s:c r="D27904" s="121" t="n"/>
      <s:c r="E27904" s="122" t="n"/>
    </s:row>
    <s:row r="27905" hidden="1" ht="1" customHeight="1">
      <s:c r="A27905" s="120" t="inlineStr"/>
      <s:c r="B27905" s="121" t="n"/>
      <s:c r="C27905" s="121" t="n"/>
      <s:c r="D27905" s="121" t="n"/>
      <s:c r="E27905" s="122" t="n"/>
    </s:row>
    <s:row r="27906" hidden="1" ht="1" customHeight="1">
      <s:c r="A27906" s="120" t="inlineStr"/>
      <s:c r="B27906" s="121" t="n"/>
      <s:c r="C27906" s="121" t="n"/>
      <s:c r="D27906" s="121" t="n"/>
      <s:c r="E27906" s="122" t="n"/>
    </s:row>
    <s:row r="27907" hidden="1" ht="1" customHeight="1">
      <s:c r="A27907" s="120" t="inlineStr"/>
      <s:c r="B27907" s="121" t="n"/>
      <s:c r="C27907" s="121" t="n"/>
      <s:c r="D27907" s="121" t="n"/>
      <s:c r="E27907" s="122" t="n"/>
    </s:row>
    <s:row r="27908" hidden="1" ht="1" customHeight="1">
      <s:c r="A27908" s="120" t="inlineStr"/>
      <s:c r="B27908" s="121" t="n"/>
      <s:c r="C27908" s="121" t="n"/>
      <s:c r="D27908" s="121" t="n"/>
      <s:c r="E27908" s="122" t="n"/>
    </s:row>
    <s:row r="27909" hidden="1" ht="1" customHeight="1">
      <s:c r="A27909" s="120" t="inlineStr"/>
      <s:c r="B27909" s="121" t="n"/>
      <s:c r="C27909" s="121" t="n"/>
      <s:c r="D27909" s="121" t="n"/>
      <s:c r="E27909" s="122" t="n"/>
    </s:row>
    <s:row r="27910" hidden="1" ht="1" customHeight="1">
      <s:c r="A27910" s="120" t="inlineStr"/>
      <s:c r="B27910" s="121" t="n"/>
      <s:c r="C27910" s="121" t="n"/>
      <s:c r="D27910" s="121" t="n"/>
      <s:c r="E27910" s="122" t="n"/>
    </s:row>
    <s:row r="27911" hidden="1" ht="1" customHeight="1">
      <s:c r="A27911" s="120" t="inlineStr"/>
      <s:c r="B27911" s="121" t="n"/>
      <s:c r="C27911" s="121" t="n"/>
      <s:c r="D27911" s="121" t="n"/>
      <s:c r="E27911" s="122" t="n"/>
    </s:row>
    <s:row r="27912" hidden="1" ht="1" customHeight="1">
      <s:c r="A27912" s="120" t="inlineStr"/>
      <s:c r="B27912" s="121" t="n"/>
      <s:c r="C27912" s="121" t="n"/>
      <s:c r="D27912" s="121" t="n"/>
      <s:c r="E27912" s="122" t="n"/>
    </s:row>
    <s:row r="27913" hidden="1" ht="1" customHeight="1">
      <s:c r="A27913" s="120" t="inlineStr"/>
      <s:c r="B27913" s="121" t="n"/>
      <s:c r="C27913" s="121" t="n"/>
      <s:c r="D27913" s="121" t="n"/>
      <s:c r="E27913" s="122" t="n"/>
    </s:row>
    <s:row r="27914" hidden="1" ht="1" customHeight="1">
      <s:c r="A27914" s="120" t="inlineStr"/>
      <s:c r="B27914" s="121" t="n"/>
      <s:c r="C27914" s="121" t="n"/>
      <s:c r="D27914" s="121" t="n"/>
      <s:c r="E27914" s="122" t="n"/>
    </s:row>
    <s:row r="27915" hidden="1" ht="1" customHeight="1">
      <s:c r="A27915" s="120" t="inlineStr"/>
      <s:c r="B27915" s="121" t="n"/>
      <s:c r="C27915" s="121" t="n"/>
      <s:c r="D27915" s="121" t="n"/>
      <s:c r="E27915" s="122" t="n"/>
    </s:row>
    <s:row r="27916" hidden="1" ht="1" customHeight="1">
      <s:c r="A27916" s="120" t="inlineStr"/>
      <s:c r="B27916" s="121" t="n"/>
      <s:c r="C27916" s="121" t="n"/>
      <s:c r="D27916" s="121" t="n"/>
      <s:c r="E27916" s="122" t="n"/>
    </s:row>
    <s:row r="27917" hidden="1" ht="1" customHeight="1">
      <s:c r="A27917" s="120" t="inlineStr"/>
      <s:c r="B27917" s="121" t="n"/>
      <s:c r="C27917" s="121" t="n"/>
      <s:c r="D27917" s="121" t="n"/>
      <s:c r="E27917" s="122" t="n"/>
    </s:row>
    <s:row r="27918" hidden="1" ht="1" customHeight="1">
      <s:c r="A27918" s="120" t="inlineStr"/>
      <s:c r="B27918" s="121" t="n"/>
      <s:c r="C27918" s="121" t="n"/>
      <s:c r="D27918" s="121" t="n"/>
      <s:c r="E27918" s="122" t="n"/>
    </s:row>
    <s:row r="27919" hidden="1" ht="1" customHeight="1">
      <s:c r="A27919" s="120" t="inlineStr"/>
      <s:c r="B27919" s="121" t="n"/>
      <s:c r="C27919" s="121" t="n"/>
      <s:c r="D27919" s="121" t="n"/>
      <s:c r="E27919" s="122" t="n"/>
    </s:row>
    <s:row r="27920" hidden="1" ht="1" customHeight="1">
      <s:c r="A27920" s="120" t="inlineStr"/>
      <s:c r="B27920" s="121" t="n"/>
      <s:c r="C27920" s="121" t="n"/>
      <s:c r="D27920" s="121" t="n"/>
      <s:c r="E27920" s="122" t="n"/>
    </s:row>
    <s:row r="27921" hidden="1" ht="1" customHeight="1">
      <s:c r="A27921" s="120" t="inlineStr"/>
      <s:c r="B27921" s="121" t="n"/>
      <s:c r="C27921" s="121" t="n"/>
      <s:c r="D27921" s="121" t="n"/>
      <s:c r="E27921" s="122" t="n"/>
    </s:row>
    <s:row r="27922" hidden="1" ht="1" customHeight="1">
      <s:c r="A27922" s="120" t="inlineStr"/>
      <s:c r="B27922" s="121" t="n"/>
      <s:c r="C27922" s="121" t="n"/>
      <s:c r="D27922" s="121" t="n"/>
      <s:c r="E27922" s="122" t="n"/>
    </s:row>
    <s:row r="27923" hidden="1" ht="1" customHeight="1">
      <s:c r="A27923" s="120" t="inlineStr"/>
      <s:c r="B27923" s="121" t="n"/>
      <s:c r="C27923" s="121" t="n"/>
      <s:c r="D27923" s="121" t="n"/>
      <s:c r="E27923" s="122" t="n"/>
    </s:row>
    <s:row r="27924" hidden="1" ht="1" customHeight="1">
      <s:c r="A27924" s="120" t="inlineStr"/>
      <s:c r="B27924" s="121" t="n"/>
      <s:c r="C27924" s="121" t="n"/>
      <s:c r="D27924" s="121" t="n"/>
      <s:c r="E27924" s="122" t="n"/>
    </s:row>
    <s:row r="27925" hidden="1" ht="1" customHeight="1">
      <s:c r="A27925" s="120" t="inlineStr"/>
      <s:c r="B27925" s="121" t="n"/>
      <s:c r="C27925" s="121" t="n"/>
      <s:c r="D27925" s="121" t="n"/>
      <s:c r="E27925" s="122" t="n"/>
    </s:row>
    <s:row r="27926" hidden="1" ht="1" customHeight="1">
      <s:c r="A27926" s="120" t="inlineStr"/>
      <s:c r="B27926" s="121" t="n"/>
      <s:c r="C27926" s="121" t="n"/>
      <s:c r="D27926" s="121" t="n"/>
      <s:c r="E27926" s="122" t="n"/>
    </s:row>
    <s:row r="27927" hidden="1" ht="1" customHeight="1">
      <s:c r="A27927" s="120" t="inlineStr"/>
      <s:c r="B27927" s="121" t="n"/>
      <s:c r="C27927" s="121" t="n"/>
      <s:c r="D27927" s="121" t="n"/>
      <s:c r="E27927" s="122" t="n"/>
    </s:row>
    <s:row r="27928" hidden="1" ht="1" customHeight="1">
      <s:c r="A27928" s="120" t="inlineStr"/>
      <s:c r="B27928" s="121" t="n"/>
      <s:c r="C27928" s="121" t="n"/>
      <s:c r="D27928" s="121" t="n"/>
      <s:c r="E27928" s="122" t="n"/>
    </s:row>
    <s:row r="27929" hidden="1" ht="1" customHeight="1">
      <s:c r="A27929" s="120" t="inlineStr"/>
      <s:c r="B27929" s="121" t="n"/>
      <s:c r="C27929" s="121" t="n"/>
      <s:c r="D27929" s="121" t="n"/>
      <s:c r="E27929" s="122" t="n"/>
    </s:row>
    <s:row r="27930" hidden="1" ht="1" customHeight="1">
      <s:c r="A27930" s="120" t="inlineStr"/>
      <s:c r="B27930" s="121" t="n"/>
      <s:c r="C27930" s="121" t="n"/>
      <s:c r="D27930" s="121" t="n"/>
      <s:c r="E27930" s="122" t="n"/>
    </s:row>
    <s:row r="27931" hidden="1" ht="1" customHeight="1">
      <s:c r="A27931" s="120" t="inlineStr"/>
      <s:c r="B27931" s="121" t="n"/>
      <s:c r="C27931" s="121" t="n"/>
      <s:c r="D27931" s="121" t="n"/>
      <s:c r="E27931" s="122" t="n"/>
    </s:row>
    <s:row r="27932" hidden="1" ht="1" customHeight="1">
      <s:c r="A27932" s="120" t="inlineStr"/>
      <s:c r="B27932" s="121" t="n"/>
      <s:c r="C27932" s="121" t="n"/>
      <s:c r="D27932" s="121" t="n"/>
      <s:c r="E27932" s="122" t="n"/>
    </s:row>
    <s:row r="27933" hidden="1" ht="1" customHeight="1">
      <s:c r="A27933" s="120" t="inlineStr"/>
      <s:c r="B27933" s="121" t="n"/>
      <s:c r="C27933" s="121" t="n"/>
      <s:c r="D27933" s="121" t="n"/>
      <s:c r="E27933" s="122" t="n"/>
    </s:row>
    <s:row r="27934" hidden="1" ht="1" customHeight="1">
      <s:c r="A27934" s="120" t="inlineStr"/>
      <s:c r="B27934" s="121" t="n"/>
      <s:c r="C27934" s="121" t="n"/>
      <s:c r="D27934" s="121" t="n"/>
      <s:c r="E27934" s="122" t="n"/>
    </s:row>
    <s:row r="27935" hidden="1" ht="1" customHeight="1">
      <s:c r="A27935" s="120" t="inlineStr"/>
      <s:c r="B27935" s="121" t="n"/>
      <s:c r="C27935" s="121" t="n"/>
      <s:c r="D27935" s="121" t="n"/>
      <s:c r="E27935" s="122" t="n"/>
    </s:row>
    <s:row r="27936" hidden="1" ht="1" customHeight="1">
      <s:c r="A27936" s="120" t="inlineStr"/>
      <s:c r="B27936" s="121" t="n"/>
      <s:c r="C27936" s="121" t="n"/>
      <s:c r="D27936" s="121" t="n"/>
      <s:c r="E27936" s="122" t="n"/>
    </s:row>
    <s:row r="27937" hidden="1" ht="1" customHeight="1">
      <s:c r="A27937" s="120" t="inlineStr"/>
      <s:c r="B27937" s="121" t="n"/>
      <s:c r="C27937" s="121" t="n"/>
      <s:c r="D27937" s="121" t="n"/>
      <s:c r="E27937" s="122" t="n"/>
    </s:row>
    <s:row r="27938" hidden="1" ht="1" customHeight="1">
      <s:c r="A27938" s="120" t="inlineStr"/>
      <s:c r="B27938" s="121" t="n"/>
      <s:c r="C27938" s="121" t="n"/>
      <s:c r="D27938" s="121" t="n"/>
      <s:c r="E27938" s="122" t="n"/>
    </s:row>
    <s:row r="27939" hidden="1" ht="1" customHeight="1">
      <s:c r="A27939" s="120" t="inlineStr"/>
      <s:c r="B27939" s="121" t="n"/>
      <s:c r="C27939" s="121" t="n"/>
      <s:c r="D27939" s="121" t="n"/>
      <s:c r="E27939" s="122" t="n"/>
    </s:row>
    <s:row r="27940" hidden="1" ht="1" customHeight="1">
      <s:c r="A27940" s="120" t="inlineStr"/>
      <s:c r="B27940" s="121" t="n"/>
      <s:c r="C27940" s="121" t="n"/>
      <s:c r="D27940" s="121" t="n"/>
      <s:c r="E27940" s="122" t="n"/>
    </s:row>
    <s:row r="27941" hidden="1" ht="1" customHeight="1">
      <s:c r="A27941" s="83" t="inlineStr">
        <s:is>
          <s:t>PASS</s:t>
        </s:is>
      </s:c>
      <s:c r="B27941" s="83">
        <s:f>SUM(IF(EXACT('Kiểm thử'!E27891,"Đạt"),1,0))</s:f>
        <s:v/>
      </s:c>
      <s:c r="C27941" s="19" t="n"/>
      <s:c r="D27941" s="19" t="n"/>
      <s:c r="E27941" s="19" t="n"/>
    </s:row>
    <s:row r="27942" hidden="1" ht="1" customHeight="1">
      <s:c r="A27942" s="83" t="inlineStr">
        <s:is>
          <s:t>FAIL</s:t>
        </s:is>
      </s:c>
      <s:c r="B27942" s="83">
        <s:f>SUM(IF(EXACT('Kiểm thử'!E27891,"Không đạt"),1,0))</s:f>
        <s:v/>
      </s:c>
      <s:c r="C27942" s="19" t="n"/>
      <s:c r="D27942" s="19" t="n"/>
      <s:c r="E27942" s="19" t="n"/>
    </s:row>
    <s:row r="27943" hidden="1" ht="1" customHeight="1">
      <s:c r="A27943" s="83" t="inlineStr">
        <s:is>
          <s:t>BLOCKED</s:t>
        </s:is>
      </s:c>
      <s:c r="B27943" s="83">
        <s:f>SUM(IF(EXACT('Kiểm thử'!E27891,"Bị chặn"),1,0))</s:f>
        <s:v/>
      </s:c>
      <s:c r="C27943" s="19" t="n"/>
      <s:c r="D27943" s="19" t="n"/>
      <s:c r="E27943" s="19" t="n"/>
    </s:row>
    <s:row r="27944" hidden="1" ht="1" customHeight="1">
      <s:c r="A27944" s="83" t="inlineStr">
        <s:is>
          <s:t>SKIPPED</s:t>
        </s:is>
      </s:c>
      <s:c r="B27944" s="83">
        <s:f>SUM(IF(EXACT('Kiểm thử'!E27891,"Không thực hiện"),1,0))</s:f>
        <s:v/>
      </s:c>
      <s:c r="C27944" s="19" t="n"/>
      <s:c r="D27944" s="19" t="n"/>
      <s:c r="E27944" s="19" t="n"/>
    </s:row>
    <s:row r="27945" hidden="1" ht="1" customHeight="1">
      <s:c r="A27945" s="83" t="inlineStr">
        <s:is>
          <s:t>NOT RUN</s:t>
        </s:is>
      </s:c>
      <s:c r="B27945" s="83">
        <s:f>SUM(IF(EXACT('Kiểm thử'!E27891,"Chưa thực hiện"),1,0))</s:f>
        <s:v/>
      </s:c>
      <s:c r="C27945" s="19" t="n"/>
      <s:c r="D27945" s="19" t="n"/>
      <s:c r="E27945" s="19" t="n"/>
    </s:row>
    <s:row r="27946" hidden="1" ht="6" customHeight="1">
      <s:c r="A27946" s="83" t="inlineStr"/>
      <s:c r="B27946" s="19" t="n"/>
      <s:c r="C27946" s="19" t="n"/>
      <s:c r="D27946" s="19" t="n"/>
      <s:c r="E27946" s="19" t="n"/>
    </s:row>
    <s:row r="27947" ht="28" customHeight="1">
      <s:c r="A27947" s="108" t="inlineStr">
        <s:is>
          <s:t>TC-RS-DATA-016 — Kế thừa năm mới không dùng bản chốt hoặc kết quả cá nhân của năm cũ</s:t>
        </s:is>
      </s:c>
      <s:c r="B27947" s="111" t="n"/>
      <s:c r="C27947" s="111" t="n"/>
      <s:c r="D27947" s="111" t="n"/>
      <s:c r="E27947" s="111" t="n"/>
    </s:row>
    <s:row r="27948" ht="20" customHeight="1">
      <s:c r="A27948" s="112" t="inlineStr">
        <s:is>
          <s:t>Kết quả tình huống</s:t>
        </s:is>
      </s:c>
      <s:c r="B27948" s="113">
        <s:f>IF(SUM(IF(EXACT('Kiểm thử'!E27957,"Không đạt"),1,0))&gt;0,"Không đạt",IF(SUM(IF(EXACT('Kiểm thử'!E27957,"Đạt"),1,0))=1,"Đạt",IF(SUM(IF(EXACT('Kiểm thử'!E27957,"Không thực hiện"),1,0))=1,"Không thực hiện",IF(SUM(IF(EXACT('Kiểm thử'!E27957,"Bị chặn"),1,0))&gt;0,"Bị chặn",IF(SUM(IF(EXACT('Kiểm thử'!E27957,"Chưa thực hiện"),1,0))=1,"Chưa thực hiện","Đang thực hiện")))))</s:f>
        <s:v/>
      </s:c>
      <s:c r="C27948" s="114" t="n"/>
      <s:c r="D27948" s="114" t="n"/>
      <s:c r="E27948" s="114" t="n"/>
    </s:row>
    <s:row r="27949" ht="20" customHeight="1">
      <s:c r="A27949" s="112" t="inlineStr">
        <s:is>
          <s:t>Màn hình / chức năng</s:t>
        </s:is>
      </s:c>
      <s:c r="B27949" s="113" t="inlineStr">
        <s:is>
          <s:t>Bảo toàn dữ liệu và cấu hình</s:t>
        </s:is>
      </s:c>
      <s:c r="C27949" s="28" t="n"/>
      <s:c r="D27949" s="28" t="n"/>
      <s:c r="E27949" s="28" t="n"/>
    </s:row>
    <s:row r="27950" ht="76" customHeight="1">
      <s:c r="A27950" s="112" t="inlineStr">
        <s:is>
          <s:t>Cấu hình</s:t>
        </s:is>
      </s:c>
      <s:c r="B27950" s="113" t="inlineStr">
        <s:is>
          <s: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 Ghi identity học sinh đích riêng. Đường tạo/kế thừa năm cần provision và xác minh mapping thực tế.</s:t>
        </s:is>
      </s:c>
      <s:c r="C27950" s="28" t="n"/>
      <s:c r="D27950" s="28" t="n"/>
      <s:c r="E27950" s="28" t="n"/>
    </s:row>
    <s:row r="27951" ht="76" customHeight="1">
      <s:c r="A27951" s="112" t="inlineStr">
        <s:is>
          <s:t>Dữ liệu test</s:t>
        </s:is>
      </s:c>
      <s:c r="B27951" s="113" t="inlineStr">
        <s:is>
          <s: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 Ghi identity học sinh đích riêng. Đường tạo/kế thừa năm cần provision và xác minh mapping thực tế.</s:t>
        </s:is>
      </s:c>
      <s:c r="C27951" s="28" t="n"/>
      <s:c r="D27951" s="28" t="n"/>
      <s:c r="E27951" s="28" t="n"/>
    </s:row>
    <s:row r="27952" ht="34" customHeight="1">
      <s:c r="A27952" s="112" t="inlineStr">
        <s:is>
          <s:t>Bước 1</s:t>
        </s:is>
      </s:c>
      <s:c r="B27952" s="113" t="inlineStr">
        <s:is>
          <s:t>Chụp riêng rule mới, giá trị legacy 25 tại nguồn, snapshot và kết quả cá nhân S01 năm 2025; ghi đích chưa có legacy/kết quả.</s:t>
        </s:is>
      </s:c>
      <s:c r="C27952" s="28" t="n"/>
      <s:c r="D27952" s="28" t="n"/>
      <s:c r="E27952" s="28" t="n"/>
    </s:row>
    <s:row r="27953" ht="34" customHeight="1">
      <s:c r="A27953" s="112" t="inlineStr">
        <s:is>
          <s:t>Bước 2</s:t>
        </s:is>
      </s:c>
      <s:c r="B27953" s="113" t="inlineStr">
        <s:is>
          <s:t>Tạo năm 2026/kế thừa cấu hình; ghi mapping kỳ/mục Toán/môn Toán/nhóm G-A, identity ô và học sinh đích thực tế.</s:t>
        </s:is>
      </s:c>
      <s:c r="C27953" s="28" t="n"/>
      <s:c r="D27953" s="28" t="n"/>
      <s:c r="E27953" s="28" t="n"/>
    </s:row>
    <s:row r="27954" ht="34" customHeight="1">
      <s:c r="A27954" s="112" t="inlineStr">
        <s:is>
          <s:t>Bước 3</s:t>
        </s:is>
      </s:c>
      <s:c r="B27954" s="113" t="inlineStr">
        <s:is>
          <s:t>Đọc lại ngưỡng/báo cáo legacy của hai năm; mở kết quả cá nhân năm 2026 trước khi chạy xét, rồi chạy xét riêng ở đích.</s:t>
        </s:is>
      </s:c>
      <s:c r="C27954" s="28" t="n"/>
      <s:c r="D27954" s="28" t="n"/>
      <s:c r="E27954" s="28" t="n"/>
    </s:row>
    <s:row r="27955" ht="28" customHeight="1">
      <s:c r="A27955" s="115" t="inlineStr">
        <s:is>
          <s:t>Trường hợp</s:t>
        </s:is>
      </s:c>
      <s:c r="B27955" s="115" t="inlineStr">
        <s:is>
          <s:t>Dữ liệu / thao tác riêng</s:t>
        </s:is>
      </s:c>
      <s:c r="C27955" s="115" t="inlineStr">
        <s:is>
          <s:t>Kết quả mong đợi</s:t>
        </s:is>
      </s:c>
      <s:c r="D27955" s="115" t="inlineStr">
        <s:is>
          <s:t>Kết quả thực tế</s:t>
        </s:is>
      </s:c>
      <s:c r="E27955" s="115" t="inlineStr">
        <s:is>
          <s:t>Đánh giá</s:t>
        </s:is>
      </s:c>
    </s:row>
    <s:row r="27956" ht="3" customHeight="1">
      <s:c r="A27956" s="102" t="inlineStr"/>
      <s:c r="B27956" s="99" t="n"/>
      <s:c r="C27956" s="99" t="n"/>
      <s:c r="D27956" s="116" t="n"/>
      <s:c r="E27956" s="116" t="n"/>
    </s:row>
    <s:row r="27957" ht="146" customHeight="1">
      <s:c r="A27957" s="83" t="inlineStr">
        <s:is>
          <s:t>Trường hợp cơ bản (Base)</s:t>
        </s:is>
      </s:c>
      <s:c r="B27957" s="83" t="inlineStr">
        <s:is>
          <s:t>Toàn bộ tình huống: Thực hiện đủ các bước chung theo thứ tự; kiểm cả đối tượng đích và đối chứng cùng fixture, không bỏ bước.</s:t>
        </s:is>
      </s:c>
      <s:c r="C27957" s="83" t="inlineStr">
        <s:is>
          <s:t>Rule mới [&lt;30] và ngưỡng legacy 25 được kế thừa đúng mapping: nguồn vẫn 25, đích đọc 25 ở cấu hình/báo cáo legacy riêng; không thành rule/fallback mới. Trước lần xét mới, đích không có snapshot/kết quả cá nhân của S01 năm 2025; sau lần xét riêng, kết quả chỉ mang identity năm 2026. Nếu chưa xác minh được seam kế thừa/mapping hoặc reader legacy ở đích thì BLOCKED, không chỉ kiểm nguồn giữ nguyên.</s:t>
        </s:is>
      </s:c>
      <s:c r="D27957" s="117" t="inlineStr"/>
      <s:c r="E27957" s="118" t="inlineStr">
        <s:is>
          <s:t>Chưa thực hiện</s:t>
        </s:is>
      </s:c>
    </s:row>
    <s:row r="27958" ht="20" customHeight="1">
      <s:c r="A27958" s="119" t="inlineStr">
        <s:is>
          <s:t>Ảnh minh chứng — Chưa có ảnh</s:t>
        </s:is>
      </s:c>
      <s:c r="B27958" s="19" t="n"/>
      <s:c r="C27958" s="19" t="n"/>
      <s:c r="D27958" s="19" t="n"/>
      <s:c r="E27958" s="19" t="n"/>
    </s:row>
    <s:row r="27959" hidden="1" ht="1" customHeight="1">
      <s:c r="A27959" s="120" t="inlineStr"/>
      <s:c r="B27959" s="121" t="n"/>
      <s:c r="C27959" s="121" t="n"/>
      <s:c r="D27959" s="121" t="n"/>
      <s:c r="E27959" s="122" t="n"/>
    </s:row>
    <s:row r="27960" hidden="1" ht="1" customHeight="1">
      <s:c r="A27960" s="120" t="inlineStr"/>
      <s:c r="B27960" s="121" t="n"/>
      <s:c r="C27960" s="121" t="n"/>
      <s:c r="D27960" s="121" t="n"/>
      <s:c r="E27960" s="122" t="n"/>
    </s:row>
    <s:row r="27961" hidden="1" ht="1" customHeight="1">
      <s:c r="A27961" s="120" t="inlineStr"/>
      <s:c r="B27961" s="121" t="n"/>
      <s:c r="C27961" s="121" t="n"/>
      <s:c r="D27961" s="121" t="n"/>
      <s:c r="E27961" s="122" t="n"/>
    </s:row>
    <s:row r="27962" hidden="1" ht="1" customHeight="1">
      <s:c r="A27962" s="120" t="inlineStr"/>
      <s:c r="B27962" s="121" t="n"/>
      <s:c r="C27962" s="121" t="n"/>
      <s:c r="D27962" s="121" t="n"/>
      <s:c r="E27962" s="122" t="n"/>
    </s:row>
    <s:row r="27963" hidden="1" ht="1" customHeight="1">
      <s:c r="A27963" s="120" t="inlineStr"/>
      <s:c r="B27963" s="121" t="n"/>
      <s:c r="C27963" s="121" t="n"/>
      <s:c r="D27963" s="121" t="n"/>
      <s:c r="E27963" s="122" t="n"/>
    </s:row>
    <s:row r="27964" hidden="1" ht="1" customHeight="1">
      <s:c r="A27964" s="120" t="inlineStr"/>
      <s:c r="B27964" s="121" t="n"/>
      <s:c r="C27964" s="121" t="n"/>
      <s:c r="D27964" s="121" t="n"/>
      <s:c r="E27964" s="122" t="n"/>
    </s:row>
    <s:row r="27965" hidden="1" ht="1" customHeight="1">
      <s:c r="A27965" s="120" t="inlineStr"/>
      <s:c r="B27965" s="121" t="n"/>
      <s:c r="C27965" s="121" t="n"/>
      <s:c r="D27965" s="121" t="n"/>
      <s:c r="E27965" s="122" t="n"/>
    </s:row>
    <s:row r="27966" hidden="1" ht="1" customHeight="1">
      <s:c r="A27966" s="120" t="inlineStr"/>
      <s:c r="B27966" s="121" t="n"/>
      <s:c r="C27966" s="121" t="n"/>
      <s:c r="D27966" s="121" t="n"/>
      <s:c r="E27966" s="122" t="n"/>
    </s:row>
    <s:row r="27967" hidden="1" ht="1" customHeight="1">
      <s:c r="A27967" s="120" t="inlineStr"/>
      <s:c r="B27967" s="121" t="n"/>
      <s:c r="C27967" s="121" t="n"/>
      <s:c r="D27967" s="121" t="n"/>
      <s:c r="E27967" s="122" t="n"/>
    </s:row>
    <s:row r="27968" hidden="1" ht="1" customHeight="1">
      <s:c r="A27968" s="120" t="inlineStr"/>
      <s:c r="B27968" s="121" t="n"/>
      <s:c r="C27968" s="121" t="n"/>
      <s:c r="D27968" s="121" t="n"/>
      <s:c r="E27968" s="122" t="n"/>
    </s:row>
    <s:row r="27969" hidden="1" ht="1" customHeight="1">
      <s:c r="A27969" s="120" t="inlineStr"/>
      <s:c r="B27969" s="121" t="n"/>
      <s:c r="C27969" s="121" t="n"/>
      <s:c r="D27969" s="121" t="n"/>
      <s:c r="E27969" s="122" t="n"/>
    </s:row>
    <s:row r="27970" hidden="1" ht="1" customHeight="1">
      <s:c r="A27970" s="120" t="inlineStr"/>
      <s:c r="B27970" s="121" t="n"/>
      <s:c r="C27970" s="121" t="n"/>
      <s:c r="D27970" s="121" t="n"/>
      <s:c r="E27970" s="122" t="n"/>
    </s:row>
    <s:row r="27971" hidden="1" ht="1" customHeight="1">
      <s:c r="A27971" s="120" t="inlineStr"/>
      <s:c r="B27971" s="121" t="n"/>
      <s:c r="C27971" s="121" t="n"/>
      <s:c r="D27971" s="121" t="n"/>
      <s:c r="E27971" s="122" t="n"/>
    </s:row>
    <s:row r="27972" hidden="1" ht="1" customHeight="1">
      <s:c r="A27972" s="120" t="inlineStr"/>
      <s:c r="B27972" s="121" t="n"/>
      <s:c r="C27972" s="121" t="n"/>
      <s:c r="D27972" s="121" t="n"/>
      <s:c r="E27972" s="122" t="n"/>
    </s:row>
    <s:row r="27973" hidden="1" ht="1" customHeight="1">
      <s:c r="A27973" s="120" t="inlineStr"/>
      <s:c r="B27973" s="121" t="n"/>
      <s:c r="C27973" s="121" t="n"/>
      <s:c r="D27973" s="121" t="n"/>
      <s:c r="E27973" s="122" t="n"/>
    </s:row>
    <s:row r="27974" hidden="1" ht="1" customHeight="1">
      <s:c r="A27974" s="120" t="inlineStr"/>
      <s:c r="B27974" s="121" t="n"/>
      <s:c r="C27974" s="121" t="n"/>
      <s:c r="D27974" s="121" t="n"/>
      <s:c r="E27974" s="122" t="n"/>
    </s:row>
    <s:row r="27975" hidden="1" ht="1" customHeight="1">
      <s:c r="A27975" s="120" t="inlineStr"/>
      <s:c r="B27975" s="121" t="n"/>
      <s:c r="C27975" s="121" t="n"/>
      <s:c r="D27975" s="121" t="n"/>
      <s:c r="E27975" s="122" t="n"/>
    </s:row>
    <s:row r="27976" hidden="1" ht="1" customHeight="1">
      <s:c r="A27976" s="120" t="inlineStr"/>
      <s:c r="B27976" s="121" t="n"/>
      <s:c r="C27976" s="121" t="n"/>
      <s:c r="D27976" s="121" t="n"/>
      <s:c r="E27976" s="122" t="n"/>
    </s:row>
    <s:row r="27977" hidden="1" ht="1" customHeight="1">
      <s:c r="A27977" s="120" t="inlineStr"/>
      <s:c r="B27977" s="121" t="n"/>
      <s:c r="C27977" s="121" t="n"/>
      <s:c r="D27977" s="121" t="n"/>
      <s:c r="E27977" s="122" t="n"/>
    </s:row>
    <s:row r="27978" hidden="1" ht="1" customHeight="1">
      <s:c r="A27978" s="120" t="inlineStr"/>
      <s:c r="B27978" s="121" t="n"/>
      <s:c r="C27978" s="121" t="n"/>
      <s:c r="D27978" s="121" t="n"/>
      <s:c r="E27978" s="122" t="n"/>
    </s:row>
    <s:row r="27979" hidden="1" ht="1" customHeight="1">
      <s:c r="A27979" s="120" t="inlineStr"/>
      <s:c r="B27979" s="121" t="n"/>
      <s:c r="C27979" s="121" t="n"/>
      <s:c r="D27979" s="121" t="n"/>
      <s:c r="E27979" s="122" t="n"/>
    </s:row>
    <s:row r="27980" hidden="1" ht="1" customHeight="1">
      <s:c r="A27980" s="120" t="inlineStr"/>
      <s:c r="B27980" s="121" t="n"/>
      <s:c r="C27980" s="121" t="n"/>
      <s:c r="D27980" s="121" t="n"/>
      <s:c r="E27980" s="122" t="n"/>
    </s:row>
    <s:row r="27981" hidden="1" ht="1" customHeight="1">
      <s:c r="A27981" s="120" t="inlineStr"/>
      <s:c r="B27981" s="121" t="n"/>
      <s:c r="C27981" s="121" t="n"/>
      <s:c r="D27981" s="121" t="n"/>
      <s:c r="E27981" s="122" t="n"/>
    </s:row>
    <s:row r="27982" hidden="1" ht="1" customHeight="1">
      <s:c r="A27982" s="120" t="inlineStr"/>
      <s:c r="B27982" s="121" t="n"/>
      <s:c r="C27982" s="121" t="n"/>
      <s:c r="D27982" s="121" t="n"/>
      <s:c r="E27982" s="122" t="n"/>
    </s:row>
    <s:row r="27983" hidden="1" ht="1" customHeight="1">
      <s:c r="A27983" s="120" t="inlineStr"/>
      <s:c r="B27983" s="121" t="n"/>
      <s:c r="C27983" s="121" t="n"/>
      <s:c r="D27983" s="121" t="n"/>
      <s:c r="E27983" s="122" t="n"/>
    </s:row>
    <s:row r="27984" hidden="1" ht="1" customHeight="1">
      <s:c r="A27984" s="120" t="inlineStr"/>
      <s:c r="B27984" s="121" t="n"/>
      <s:c r="C27984" s="121" t="n"/>
      <s:c r="D27984" s="121" t="n"/>
      <s:c r="E27984" s="122" t="n"/>
    </s:row>
    <s:row r="27985" hidden="1" ht="1" customHeight="1">
      <s:c r="A27985" s="120" t="inlineStr"/>
      <s:c r="B27985" s="121" t="n"/>
      <s:c r="C27985" s="121" t="n"/>
      <s:c r="D27985" s="121" t="n"/>
      <s:c r="E27985" s="122" t="n"/>
    </s:row>
    <s:row r="27986" hidden="1" ht="1" customHeight="1">
      <s:c r="A27986" s="120" t="inlineStr"/>
      <s:c r="B27986" s="121" t="n"/>
      <s:c r="C27986" s="121" t="n"/>
      <s:c r="D27986" s="121" t="n"/>
      <s:c r="E27986" s="122" t="n"/>
    </s:row>
    <s:row r="27987" hidden="1" ht="1" customHeight="1">
      <s:c r="A27987" s="120" t="inlineStr"/>
      <s:c r="B27987" s="121" t="n"/>
      <s:c r="C27987" s="121" t="n"/>
      <s:c r="D27987" s="121" t="n"/>
      <s:c r="E27987" s="122" t="n"/>
    </s:row>
    <s:row r="27988" hidden="1" ht="1" customHeight="1">
      <s:c r="A27988" s="120" t="inlineStr"/>
      <s:c r="B27988" s="121" t="n"/>
      <s:c r="C27988" s="121" t="n"/>
      <s:c r="D27988" s="121" t="n"/>
      <s:c r="E27988" s="122" t="n"/>
    </s:row>
    <s:row r="27989" hidden="1" ht="1" customHeight="1">
      <s:c r="A27989" s="120" t="inlineStr"/>
      <s:c r="B27989" s="121" t="n"/>
      <s:c r="C27989" s="121" t="n"/>
      <s:c r="D27989" s="121" t="n"/>
      <s:c r="E27989" s="122" t="n"/>
    </s:row>
    <s:row r="27990" hidden="1" ht="1" customHeight="1">
      <s:c r="A27990" s="120" t="inlineStr"/>
      <s:c r="B27990" s="121" t="n"/>
      <s:c r="C27990" s="121" t="n"/>
      <s:c r="D27990" s="121" t="n"/>
      <s:c r="E27990" s="122" t="n"/>
    </s:row>
    <s:row r="27991" hidden="1" ht="1" customHeight="1">
      <s:c r="A27991" s="120" t="inlineStr"/>
      <s:c r="B27991" s="121" t="n"/>
      <s:c r="C27991" s="121" t="n"/>
      <s:c r="D27991" s="121" t="n"/>
      <s:c r="E27991" s="122" t="n"/>
    </s:row>
    <s:row r="27992" hidden="1" ht="1" customHeight="1">
      <s:c r="A27992" s="120" t="inlineStr"/>
      <s:c r="B27992" s="121" t="n"/>
      <s:c r="C27992" s="121" t="n"/>
      <s:c r="D27992" s="121" t="n"/>
      <s:c r="E27992" s="122" t="n"/>
    </s:row>
    <s:row r="27993" hidden="1" ht="1" customHeight="1">
      <s:c r="A27993" s="120" t="inlineStr"/>
      <s:c r="B27993" s="121" t="n"/>
      <s:c r="C27993" s="121" t="n"/>
      <s:c r="D27993" s="121" t="n"/>
      <s:c r="E27993" s="122" t="n"/>
    </s:row>
    <s:row r="27994" hidden="1" ht="1" customHeight="1">
      <s:c r="A27994" s="120" t="inlineStr"/>
      <s:c r="B27994" s="121" t="n"/>
      <s:c r="C27994" s="121" t="n"/>
      <s:c r="D27994" s="121" t="n"/>
      <s:c r="E27994" s="122" t="n"/>
    </s:row>
    <s:row r="27995" hidden="1" ht="1" customHeight="1">
      <s:c r="A27995" s="120" t="inlineStr"/>
      <s:c r="B27995" s="121" t="n"/>
      <s:c r="C27995" s="121" t="n"/>
      <s:c r="D27995" s="121" t="n"/>
      <s:c r="E27995" s="122" t="n"/>
    </s:row>
    <s:row r="27996" hidden="1" ht="1" customHeight="1">
      <s:c r="A27996" s="120" t="inlineStr"/>
      <s:c r="B27996" s="121" t="n"/>
      <s:c r="C27996" s="121" t="n"/>
      <s:c r="D27996" s="121" t="n"/>
      <s:c r="E27996" s="122" t="n"/>
    </s:row>
    <s:row r="27997" hidden="1" ht="1" customHeight="1">
      <s:c r="A27997" s="120" t="inlineStr"/>
      <s:c r="B27997" s="121" t="n"/>
      <s:c r="C27997" s="121" t="n"/>
      <s:c r="D27997" s="121" t="n"/>
      <s:c r="E27997" s="122" t="n"/>
    </s:row>
    <s:row r="27998" hidden="1" ht="1" customHeight="1">
      <s:c r="A27998" s="120" t="inlineStr"/>
      <s:c r="B27998" s="121" t="n"/>
      <s:c r="C27998" s="121" t="n"/>
      <s:c r="D27998" s="121" t="n"/>
      <s:c r="E27998" s="122" t="n"/>
    </s:row>
    <s:row r="27999" hidden="1" ht="1" customHeight="1">
      <s:c r="A27999" s="120" t="inlineStr"/>
      <s:c r="B27999" s="121" t="n"/>
      <s:c r="C27999" s="121" t="n"/>
      <s:c r="D27999" s="121" t="n"/>
      <s:c r="E27999" s="122" t="n"/>
    </s:row>
    <s:row r="28000" hidden="1" ht="1" customHeight="1">
      <s:c r="A28000" s="120" t="inlineStr"/>
      <s:c r="B28000" s="121" t="n"/>
      <s:c r="C28000" s="121" t="n"/>
      <s:c r="D28000" s="121" t="n"/>
      <s:c r="E28000" s="122" t="n"/>
    </s:row>
    <s:row r="28001" hidden="1" ht="1" customHeight="1">
      <s:c r="A28001" s="120" t="inlineStr"/>
      <s:c r="B28001" s="121" t="n"/>
      <s:c r="C28001" s="121" t="n"/>
      <s:c r="D28001" s="121" t="n"/>
      <s:c r="E28001" s="122" t="n"/>
    </s:row>
    <s:row r="28002" hidden="1" ht="1" customHeight="1">
      <s:c r="A28002" s="120" t="inlineStr"/>
      <s:c r="B28002" s="121" t="n"/>
      <s:c r="C28002" s="121" t="n"/>
      <s:c r="D28002" s="121" t="n"/>
      <s:c r="E28002" s="122" t="n"/>
    </s:row>
    <s:row r="28003" hidden="1" ht="1" customHeight="1">
      <s:c r="A28003" s="120" t="inlineStr"/>
      <s:c r="B28003" s="121" t="n"/>
      <s:c r="C28003" s="121" t="n"/>
      <s:c r="D28003" s="121" t="n"/>
      <s:c r="E28003" s="122" t="n"/>
    </s:row>
    <s:row r="28004" hidden="1" ht="1" customHeight="1">
      <s:c r="A28004" s="120" t="inlineStr"/>
      <s:c r="B28004" s="121" t="n"/>
      <s:c r="C28004" s="121" t="n"/>
      <s:c r="D28004" s="121" t="n"/>
      <s:c r="E28004" s="122" t="n"/>
    </s:row>
    <s:row r="28005" hidden="1" ht="1" customHeight="1">
      <s:c r="A28005" s="120" t="inlineStr"/>
      <s:c r="B28005" s="121" t="n"/>
      <s:c r="C28005" s="121" t="n"/>
      <s:c r="D28005" s="121" t="n"/>
      <s:c r="E28005" s="122" t="n"/>
    </s:row>
    <s:row r="28006" hidden="1" ht="1" customHeight="1">
      <s:c r="A28006" s="120" t="inlineStr"/>
      <s:c r="B28006" s="121" t="n"/>
      <s:c r="C28006" s="121" t="n"/>
      <s:c r="D28006" s="121" t="n"/>
      <s:c r="E28006" s="122" t="n"/>
    </s:row>
    <s:row r="28007" hidden="1" ht="1" customHeight="1">
      <s:c r="A28007" s="83" t="inlineStr">
        <s:is>
          <s:t>PASS</s:t>
        </s:is>
      </s:c>
      <s:c r="B28007" s="83">
        <s:f>SUM(IF(EXACT('Kiểm thử'!E27957,"Đạt"),1,0))</s:f>
        <s:v/>
      </s:c>
      <s:c r="C28007" s="19" t="n"/>
      <s:c r="D28007" s="19" t="n"/>
      <s:c r="E28007" s="19" t="n"/>
    </s:row>
    <s:row r="28008" hidden="1" ht="1" customHeight="1">
      <s:c r="A28008" s="83" t="inlineStr">
        <s:is>
          <s:t>FAIL</s:t>
        </s:is>
      </s:c>
      <s:c r="B28008" s="83">
        <s:f>SUM(IF(EXACT('Kiểm thử'!E27957,"Không đạt"),1,0))</s:f>
        <s:v/>
      </s:c>
      <s:c r="C28008" s="19" t="n"/>
      <s:c r="D28008" s="19" t="n"/>
      <s:c r="E28008" s="19" t="n"/>
    </s:row>
    <s:row r="28009" hidden="1" ht="1" customHeight="1">
      <s:c r="A28009" s="83" t="inlineStr">
        <s:is>
          <s:t>BLOCKED</s:t>
        </s:is>
      </s:c>
      <s:c r="B28009" s="83">
        <s:f>SUM(IF(EXACT('Kiểm thử'!E27957,"Bị chặn"),1,0))</s:f>
        <s:v/>
      </s:c>
      <s:c r="C28009" s="19" t="n"/>
      <s:c r="D28009" s="19" t="n"/>
      <s:c r="E28009" s="19" t="n"/>
    </s:row>
    <s:row r="28010" hidden="1" ht="1" customHeight="1">
      <s:c r="A28010" s="83" t="inlineStr">
        <s:is>
          <s:t>SKIPPED</s:t>
        </s:is>
      </s:c>
      <s:c r="B28010" s="83">
        <s:f>SUM(IF(EXACT('Kiểm thử'!E27957,"Không thực hiện"),1,0))</s:f>
        <s:v/>
      </s:c>
      <s:c r="C28010" s="19" t="n"/>
      <s:c r="D28010" s="19" t="n"/>
      <s:c r="E28010" s="19" t="n"/>
    </s:row>
    <s:row r="28011" hidden="1" ht="1" customHeight="1">
      <s:c r="A28011" s="83" t="inlineStr">
        <s:is>
          <s:t>NOT RUN</s:t>
        </s:is>
      </s:c>
      <s:c r="B28011" s="83">
        <s:f>SUM(IF(EXACT('Kiểm thử'!E27957,"Chưa thực hiện"),1,0))</s:f>
        <s:v/>
      </s:c>
      <s:c r="C28011" s="19" t="n"/>
      <s:c r="D28011" s="19" t="n"/>
      <s:c r="E28011" s="19" t="n"/>
    </s:row>
    <s:row r="28012" hidden="1" ht="6" customHeight="1">
      <s:c r="A28012" s="83" t="inlineStr"/>
      <s:c r="B28012" s="19" t="n"/>
      <s:c r="C28012" s="19" t="n"/>
      <s:c r="D28012" s="19" t="n"/>
      <s:c r="E28012" s="19" t="n"/>
    </s:row>
    <s:row r="28013" ht="28" customHeight="1">
      <s:c r="A28013" s="108" t="inlineStr">
        <s:is>
          <s:t>TC-RS-DATA-017 — Xuất/nhập cấu hình giữ legacy riêng và không nhập kết quả cá nhân</s:t>
        </s:is>
      </s:c>
      <s:c r="B28013" s="111" t="n"/>
      <s:c r="C28013" s="111" t="n"/>
      <s:c r="D28013" s="111" t="n"/>
      <s:c r="E28013" s="111" t="n"/>
    </s:row>
    <s:row r="28014" ht="20" customHeight="1">
      <s:c r="A28014" s="112" t="inlineStr">
        <s:is>
          <s:t>Kết quả tình huống</s:t>
        </s:is>
      </s:c>
      <s:c r="B28014" s="113">
        <s:f>IF(SUM(IF(EXACT('Kiểm thử'!E28023,"Không đạt"),1,0))&gt;0,"Không đạt",IF(SUM(IF(EXACT('Kiểm thử'!E28023,"Đạt"),1,0))=1,"Đạt",IF(SUM(IF(EXACT('Kiểm thử'!E28023,"Không thực hiện"),1,0))=1,"Không thực hiện",IF(SUM(IF(EXACT('Kiểm thử'!E28023,"Bị chặn"),1,0))&gt;0,"Bị chặn",IF(SUM(IF(EXACT('Kiểm thử'!E28023,"Chưa thực hiện"),1,0))=1,"Chưa thực hiện","Đang thực hiện")))))</s:f>
        <s:v/>
      </s:c>
      <s:c r="C28014" s="114" t="n"/>
      <s:c r="D28014" s="114" t="n"/>
      <s:c r="E28014" s="114" t="n"/>
    </s:row>
    <s:row r="28015" ht="20" customHeight="1">
      <s:c r="A28015" s="112" t="inlineStr">
        <s:is>
          <s:t>Màn hình / chức năng</s:t>
        </s:is>
      </s:c>
      <s:c r="B28015" s="113" t="inlineStr">
        <s:is>
          <s:t>Bảo toàn dữ liệu và cấu hình</s:t>
        </s:is>
      </s:c>
      <s:c r="C28015" s="28" t="n"/>
      <s:c r="D28015" s="28" t="n"/>
      <s:c r="E28015" s="28" t="n"/>
    </s:row>
    <s:row r="28016" ht="104" customHeight="1">
      <s:c r="A28016" s="112" t="inlineStr">
        <s:is>
          <s:t>Cấu hình</s:t>
        </s:is>
      </s:c>
      <s:c r="B28016" s="113" t="inlineStr">
        <s:is>
          <s:t>• Nguồn: TD-LEGACY-01 trường A/năm 2025/kỳ Cuối kỳ học kỳ 1/mục Toán/nhóm G-A. File cấu hình xuất phải chứa mapping kỳ/môn Toán/mục Toán/nhóm G-A và giá trị legacy [red_score=25], không chỉ metadata/tên field;
•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 Quyền nhập hợp lệ.</s:t>
        </s:is>
      </s:c>
      <s:c r="C28016" s="28" t="n"/>
      <s:c r="D28016" s="28" t="n"/>
      <s:c r="E28016" s="28" t="n"/>
    </s:row>
    <s:row r="28017" ht="104" customHeight="1">
      <s:c r="A28017" s="112" t="inlineStr">
        <s:is>
          <s:t>Dữ liệu test</s:t>
        </s:is>
      </s:c>
      <s:c r="B28017" s="113" t="inlineStr">
        <s:is>
          <s:t>• Nguồn: TD-LEGACY-01 trường A/năm 2025/kỳ Cuối kỳ học kỳ 1/mục Toán/nhóm G-A. File cấu hình xuất phải chứa mapping kỳ/môn Toán/mục Toán/nhóm G-A và giá trị legacy [red_score=25], không chỉ metadata/tên field;
•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 Quyền nhập hợp lệ.</s:t>
        </s:is>
      </s:c>
      <s:c r="C28017" s="28" t="n"/>
      <s:c r="D28017" s="28" t="n"/>
      <s:c r="E28017" s="28" t="n"/>
    </s:row>
    <s:row r="28018" ht="34" customHeight="1">
      <s:c r="A28018" s="112" t="inlineStr">
        <s:is>
          <s:t>Bước 1</s:t>
        </s:is>
      </s:c>
      <s:c r="B28018" s="113" t="inlineStr">
        <s:is>
          <s:t>Ghi file xuất thật, vị trí giá trị legacy 25, mapping nguồn→đích và sự vắng mặt của snapshot/kết quả cá nhân trong phần cấu hình.</s:t>
        </s:is>
      </s:c>
      <s:c r="C28018" s="28" t="n"/>
      <s:c r="D28018" s="28" t="n"/>
      <s:c r="E28018" s="28" t="n"/>
    </s:row>
    <s:row r="28019" ht="20" customHeight="1">
      <s:c r="A28019" s="112" t="inlineStr">
        <s:is>
          <s:t>Bước 2</s:t>
        </s:is>
      </s:c>
      <s:c r="B28019" s="113" t="inlineStr">
        <s:is>
          <s:t>Nhập file vào trường/năm đích bằng đường import được hỗ trợ; ghi response/lỗi ánh xạ nếu có.</s:t>
        </s:is>
      </s:c>
      <s:c r="C28019" s="28" t="n"/>
      <s:c r="D28019" s="28" t="n"/>
      <s:c r="E28019" s="28" t="n"/>
    </s:row>
    <s:row r="28020" ht="34" customHeight="1">
      <s:c r="A28020" s="112" t="inlineStr">
        <s:is>
          <s:t>Bước 3</s:t>
        </s:is>
      </s:c>
      <s:c r="B28020" s="113" t="inlineStr">
        <s:is>
          <s:t>Đọc lại legacy ở nguồn và đích qua cấu hình/báo cáo riêng, rule mới và kết quả cá nhân đích trước/sau lần xét riêng.</s:t>
        </s:is>
      </s:c>
      <s:c r="C28020" s="28" t="n"/>
      <s:c r="D28020" s="28" t="n"/>
      <s:c r="E28020" s="28" t="n"/>
    </s:row>
    <s:row r="28021" ht="28" customHeight="1">
      <s:c r="A28021" s="115" t="inlineStr">
        <s:is>
          <s:t>Trường hợp</s:t>
        </s:is>
      </s:c>
      <s:c r="B28021" s="115" t="inlineStr">
        <s:is>
          <s:t>Dữ liệu / thao tác riêng</s:t>
        </s:is>
      </s:c>
      <s:c r="C28021" s="115" t="inlineStr">
        <s:is>
          <s:t>Kết quả mong đợi</s:t>
        </s:is>
      </s:c>
      <s:c r="D28021" s="115" t="inlineStr">
        <s:is>
          <s:t>Kết quả thực tế</s:t>
        </s:is>
      </s:c>
      <s:c r="E28021" s="115" t="inlineStr">
        <s:is>
          <s:t>Đánh giá</s:t>
        </s:is>
      </s:c>
    </s:row>
    <s:row r="28022" ht="3" customHeight="1">
      <s:c r="A28022" s="102" t="inlineStr"/>
      <s:c r="B28022" s="99" t="n"/>
      <s:c r="C28022" s="99" t="n"/>
      <s:c r="D28022" s="116" t="n"/>
      <s:c r="E28022" s="116" t="n"/>
    </s:row>
    <s:row r="28023" ht="174" customHeight="1">
      <s:c r="A28023" s="83" t="inlineStr">
        <s:is>
          <s:t>Trường hợp cơ bản (Base)</s:t>
        </s:is>
      </s:c>
      <s:c r="B28023" s="83" t="inlineStr">
        <s:is>
          <s:t>Toàn bộ tình huống: Thực hiện đủ các bước chung theo thứ tự; kiểm cả đối tượng đích và đối chứng cùng fixture, không bỏ bước.</s:t>
        </s:is>
      </s:c>
      <s:c r="C28023" s="83" t="inlineStr">
        <s:is>
          <s:t>Chỉ payload cấu hình có mapping hợp lệ được nhập: ngưỡng legacy nguồn 25 vẫn là 25, file chứa 25 và đích đọc ra 25 ở cấu hình/báo cáo legacy riêng; rule mới [&lt;30] giữ riêng, không dùng 25 như fallback. Snapshot/kết quả cá nhân của S01 nguồn không được nhập hoặc gắn vào identity đích trước lần xét riêng; kết quả mới phải mang identity đích. Nếu format/đường import hoặc reader legacy chưa xác minh thì BLOCKED đúng nhánh, ghi seam thiếu, không suy giá trị từ metadata trống.</s:t>
        </s:is>
      </s:c>
      <s:c r="D28023" s="117" t="inlineStr"/>
      <s:c r="E28023" s="118" t="inlineStr">
        <s:is>
          <s:t>Chưa thực hiện</s:t>
        </s:is>
      </s:c>
    </s:row>
    <s:row r="28024" ht="20" customHeight="1">
      <s:c r="A28024" s="119" t="inlineStr">
        <s:is>
          <s:t>Ảnh minh chứng — Chưa có ảnh</s:t>
        </s:is>
      </s:c>
      <s:c r="B28024" s="19" t="n"/>
      <s:c r="C28024" s="19" t="n"/>
      <s:c r="D28024" s="19" t="n"/>
      <s:c r="E28024" s="19" t="n"/>
    </s:row>
    <s:row r="28025" hidden="1" ht="1" customHeight="1">
      <s:c r="A28025" s="120" t="inlineStr"/>
      <s:c r="B28025" s="121" t="n"/>
      <s:c r="C28025" s="121" t="n"/>
      <s:c r="D28025" s="121" t="n"/>
      <s:c r="E28025" s="122" t="n"/>
    </s:row>
    <s:row r="28026" hidden="1" ht="1" customHeight="1">
      <s:c r="A28026" s="120" t="inlineStr"/>
      <s:c r="B28026" s="121" t="n"/>
      <s:c r="C28026" s="121" t="n"/>
      <s:c r="D28026" s="121" t="n"/>
      <s:c r="E28026" s="122" t="n"/>
    </s:row>
    <s:row r="28027" hidden="1" ht="1" customHeight="1">
      <s:c r="A28027" s="120" t="inlineStr"/>
      <s:c r="B28027" s="121" t="n"/>
      <s:c r="C28027" s="121" t="n"/>
      <s:c r="D28027" s="121" t="n"/>
      <s:c r="E28027" s="122" t="n"/>
    </s:row>
    <s:row r="28028" hidden="1" ht="1" customHeight="1">
      <s:c r="A28028" s="120" t="inlineStr"/>
      <s:c r="B28028" s="121" t="n"/>
      <s:c r="C28028" s="121" t="n"/>
      <s:c r="D28028" s="121" t="n"/>
      <s:c r="E28028" s="122" t="n"/>
    </s:row>
    <s:row r="28029" hidden="1" ht="1" customHeight="1">
      <s:c r="A28029" s="120" t="inlineStr"/>
      <s:c r="B28029" s="121" t="n"/>
      <s:c r="C28029" s="121" t="n"/>
      <s:c r="D28029" s="121" t="n"/>
      <s:c r="E28029" s="122" t="n"/>
    </s:row>
    <s:row r="28030" hidden="1" ht="1" customHeight="1">
      <s:c r="A28030" s="120" t="inlineStr"/>
      <s:c r="B28030" s="121" t="n"/>
      <s:c r="C28030" s="121" t="n"/>
      <s:c r="D28030" s="121" t="n"/>
      <s:c r="E28030" s="122" t="n"/>
    </s:row>
    <s:row r="28031" hidden="1" ht="1" customHeight="1">
      <s:c r="A28031" s="120" t="inlineStr"/>
      <s:c r="B28031" s="121" t="n"/>
      <s:c r="C28031" s="121" t="n"/>
      <s:c r="D28031" s="121" t="n"/>
      <s:c r="E28031" s="122" t="n"/>
    </s:row>
    <s:row r="28032" hidden="1" ht="1" customHeight="1">
      <s:c r="A28032" s="120" t="inlineStr"/>
      <s:c r="B28032" s="121" t="n"/>
      <s:c r="C28032" s="121" t="n"/>
      <s:c r="D28032" s="121" t="n"/>
      <s:c r="E28032" s="122" t="n"/>
    </s:row>
    <s:row r="28033" hidden="1" ht="1" customHeight="1">
      <s:c r="A28033" s="120" t="inlineStr"/>
      <s:c r="B28033" s="121" t="n"/>
      <s:c r="C28033" s="121" t="n"/>
      <s:c r="D28033" s="121" t="n"/>
      <s:c r="E28033" s="122" t="n"/>
    </s:row>
    <s:row r="28034" hidden="1" ht="1" customHeight="1">
      <s:c r="A28034" s="120" t="inlineStr"/>
      <s:c r="B28034" s="121" t="n"/>
      <s:c r="C28034" s="121" t="n"/>
      <s:c r="D28034" s="121" t="n"/>
      <s:c r="E28034" s="122" t="n"/>
    </s:row>
    <s:row r="28035" hidden="1" ht="1" customHeight="1">
      <s:c r="A28035" s="120" t="inlineStr"/>
      <s:c r="B28035" s="121" t="n"/>
      <s:c r="C28035" s="121" t="n"/>
      <s:c r="D28035" s="121" t="n"/>
      <s:c r="E28035" s="122" t="n"/>
    </s:row>
    <s:row r="28036" hidden="1" ht="1" customHeight="1">
      <s:c r="A28036" s="120" t="inlineStr"/>
      <s:c r="B28036" s="121" t="n"/>
      <s:c r="C28036" s="121" t="n"/>
      <s:c r="D28036" s="121" t="n"/>
      <s:c r="E28036" s="122" t="n"/>
    </s:row>
    <s:row r="28037" hidden="1" ht="1" customHeight="1">
      <s:c r="A28037" s="120" t="inlineStr"/>
      <s:c r="B28037" s="121" t="n"/>
      <s:c r="C28037" s="121" t="n"/>
      <s:c r="D28037" s="121" t="n"/>
      <s:c r="E28037" s="122" t="n"/>
    </s:row>
    <s:row r="28038" hidden="1" ht="1" customHeight="1">
      <s:c r="A28038" s="120" t="inlineStr"/>
      <s:c r="B28038" s="121" t="n"/>
      <s:c r="C28038" s="121" t="n"/>
      <s:c r="D28038" s="121" t="n"/>
      <s:c r="E28038" s="122" t="n"/>
    </s:row>
    <s:row r="28039" hidden="1" ht="1" customHeight="1">
      <s:c r="A28039" s="120" t="inlineStr"/>
      <s:c r="B28039" s="121" t="n"/>
      <s:c r="C28039" s="121" t="n"/>
      <s:c r="D28039" s="121" t="n"/>
      <s:c r="E28039" s="122" t="n"/>
    </s:row>
    <s:row r="28040" hidden="1" ht="1" customHeight="1">
      <s:c r="A28040" s="120" t="inlineStr"/>
      <s:c r="B28040" s="121" t="n"/>
      <s:c r="C28040" s="121" t="n"/>
      <s:c r="D28040" s="121" t="n"/>
      <s:c r="E28040" s="122" t="n"/>
    </s:row>
    <s:row r="28041" hidden="1" ht="1" customHeight="1">
      <s:c r="A28041" s="120" t="inlineStr"/>
      <s:c r="B28041" s="121" t="n"/>
      <s:c r="C28041" s="121" t="n"/>
      <s:c r="D28041" s="121" t="n"/>
      <s:c r="E28041" s="122" t="n"/>
    </s:row>
    <s:row r="28042" hidden="1" ht="1" customHeight="1">
      <s:c r="A28042" s="120" t="inlineStr"/>
      <s:c r="B28042" s="121" t="n"/>
      <s:c r="C28042" s="121" t="n"/>
      <s:c r="D28042" s="121" t="n"/>
      <s:c r="E28042" s="122" t="n"/>
    </s:row>
    <s:row r="28043" hidden="1" ht="1" customHeight="1">
      <s:c r="A28043" s="120" t="inlineStr"/>
      <s:c r="B28043" s="121" t="n"/>
      <s:c r="C28043" s="121" t="n"/>
      <s:c r="D28043" s="121" t="n"/>
      <s:c r="E28043" s="122" t="n"/>
    </s:row>
    <s:row r="28044" hidden="1" ht="1" customHeight="1">
      <s:c r="A28044" s="120" t="inlineStr"/>
      <s:c r="B28044" s="121" t="n"/>
      <s:c r="C28044" s="121" t="n"/>
      <s:c r="D28044" s="121" t="n"/>
      <s:c r="E28044" s="122" t="n"/>
    </s:row>
    <s:row r="28045" hidden="1" ht="1" customHeight="1">
      <s:c r="A28045" s="120" t="inlineStr"/>
      <s:c r="B28045" s="121" t="n"/>
      <s:c r="C28045" s="121" t="n"/>
      <s:c r="D28045" s="121" t="n"/>
      <s:c r="E28045" s="122" t="n"/>
    </s:row>
    <s:row r="28046" hidden="1" ht="1" customHeight="1">
      <s:c r="A28046" s="120" t="inlineStr"/>
      <s:c r="B28046" s="121" t="n"/>
      <s:c r="C28046" s="121" t="n"/>
      <s:c r="D28046" s="121" t="n"/>
      <s:c r="E28046" s="122" t="n"/>
    </s:row>
    <s:row r="28047" hidden="1" ht="1" customHeight="1">
      <s:c r="A28047" s="120" t="inlineStr"/>
      <s:c r="B28047" s="121" t="n"/>
      <s:c r="C28047" s="121" t="n"/>
      <s:c r="D28047" s="121" t="n"/>
      <s:c r="E28047" s="122" t="n"/>
    </s:row>
    <s:row r="28048" hidden="1" ht="1" customHeight="1">
      <s:c r="A28048" s="120" t="inlineStr"/>
      <s:c r="B28048" s="121" t="n"/>
      <s:c r="C28048" s="121" t="n"/>
      <s:c r="D28048" s="121" t="n"/>
      <s:c r="E28048" s="122" t="n"/>
    </s:row>
    <s:row r="28049" hidden="1" ht="1" customHeight="1">
      <s:c r="A28049" s="120" t="inlineStr"/>
      <s:c r="B28049" s="121" t="n"/>
      <s:c r="C28049" s="121" t="n"/>
      <s:c r="D28049" s="121" t="n"/>
      <s:c r="E28049" s="122" t="n"/>
    </s:row>
    <s:row r="28050" hidden="1" ht="1" customHeight="1">
      <s:c r="A28050" s="120" t="inlineStr"/>
      <s:c r="B28050" s="121" t="n"/>
      <s:c r="C28050" s="121" t="n"/>
      <s:c r="D28050" s="121" t="n"/>
      <s:c r="E28050" s="122" t="n"/>
    </s:row>
    <s:row r="28051" hidden="1" ht="1" customHeight="1">
      <s:c r="A28051" s="120" t="inlineStr"/>
      <s:c r="B28051" s="121" t="n"/>
      <s:c r="C28051" s="121" t="n"/>
      <s:c r="D28051" s="121" t="n"/>
      <s:c r="E28051" s="122" t="n"/>
    </s:row>
    <s:row r="28052" hidden="1" ht="1" customHeight="1">
      <s:c r="A28052" s="120" t="inlineStr"/>
      <s:c r="B28052" s="121" t="n"/>
      <s:c r="C28052" s="121" t="n"/>
      <s:c r="D28052" s="121" t="n"/>
      <s:c r="E28052" s="122" t="n"/>
    </s:row>
    <s:row r="28053" hidden="1" ht="1" customHeight="1">
      <s:c r="A28053" s="120" t="inlineStr"/>
      <s:c r="B28053" s="121" t="n"/>
      <s:c r="C28053" s="121" t="n"/>
      <s:c r="D28053" s="121" t="n"/>
      <s:c r="E28053" s="122" t="n"/>
    </s:row>
    <s:row r="28054" hidden="1" ht="1" customHeight="1">
      <s:c r="A28054" s="120" t="inlineStr"/>
      <s:c r="B28054" s="121" t="n"/>
      <s:c r="C28054" s="121" t="n"/>
      <s:c r="D28054" s="121" t="n"/>
      <s:c r="E28054" s="122" t="n"/>
    </s:row>
    <s:row r="28055" hidden="1" ht="1" customHeight="1">
      <s:c r="A28055" s="120" t="inlineStr"/>
      <s:c r="B28055" s="121" t="n"/>
      <s:c r="C28055" s="121" t="n"/>
      <s:c r="D28055" s="121" t="n"/>
      <s:c r="E28055" s="122" t="n"/>
    </s:row>
    <s:row r="28056" hidden="1" ht="1" customHeight="1">
      <s:c r="A28056" s="120" t="inlineStr"/>
      <s:c r="B28056" s="121" t="n"/>
      <s:c r="C28056" s="121" t="n"/>
      <s:c r="D28056" s="121" t="n"/>
      <s:c r="E28056" s="122" t="n"/>
    </s:row>
    <s:row r="28057" hidden="1" ht="1" customHeight="1">
      <s:c r="A28057" s="120" t="inlineStr"/>
      <s:c r="B28057" s="121" t="n"/>
      <s:c r="C28057" s="121" t="n"/>
      <s:c r="D28057" s="121" t="n"/>
      <s:c r="E28057" s="122" t="n"/>
    </s:row>
    <s:row r="28058" hidden="1" ht="1" customHeight="1">
      <s:c r="A28058" s="120" t="inlineStr"/>
      <s:c r="B28058" s="121" t="n"/>
      <s:c r="C28058" s="121" t="n"/>
      <s:c r="D28058" s="121" t="n"/>
      <s:c r="E28058" s="122" t="n"/>
    </s:row>
    <s:row r="28059" hidden="1" ht="1" customHeight="1">
      <s:c r="A28059" s="120" t="inlineStr"/>
      <s:c r="B28059" s="121" t="n"/>
      <s:c r="C28059" s="121" t="n"/>
      <s:c r="D28059" s="121" t="n"/>
      <s:c r="E28059" s="122" t="n"/>
    </s:row>
    <s:row r="28060" hidden="1" ht="1" customHeight="1">
      <s:c r="A28060" s="120" t="inlineStr"/>
      <s:c r="B28060" s="121" t="n"/>
      <s:c r="C28060" s="121" t="n"/>
      <s:c r="D28060" s="121" t="n"/>
      <s:c r="E28060" s="122" t="n"/>
    </s:row>
    <s:row r="28061" hidden="1" ht="1" customHeight="1">
      <s:c r="A28061" s="120" t="inlineStr"/>
      <s:c r="B28061" s="121" t="n"/>
      <s:c r="C28061" s="121" t="n"/>
      <s:c r="D28061" s="121" t="n"/>
      <s:c r="E28061" s="122" t="n"/>
    </s:row>
    <s:row r="28062" hidden="1" ht="1" customHeight="1">
      <s:c r="A28062" s="120" t="inlineStr"/>
      <s:c r="B28062" s="121" t="n"/>
      <s:c r="C28062" s="121" t="n"/>
      <s:c r="D28062" s="121" t="n"/>
      <s:c r="E28062" s="122" t="n"/>
    </s:row>
    <s:row r="28063" hidden="1" ht="1" customHeight="1">
      <s:c r="A28063" s="120" t="inlineStr"/>
      <s:c r="B28063" s="121" t="n"/>
      <s:c r="C28063" s="121" t="n"/>
      <s:c r="D28063" s="121" t="n"/>
      <s:c r="E28063" s="122" t="n"/>
    </s:row>
    <s:row r="28064" hidden="1" ht="1" customHeight="1">
      <s:c r="A28064" s="120" t="inlineStr"/>
      <s:c r="B28064" s="121" t="n"/>
      <s:c r="C28064" s="121" t="n"/>
      <s:c r="D28064" s="121" t="n"/>
      <s:c r="E28064" s="122" t="n"/>
    </s:row>
    <s:row r="28065" hidden="1" ht="1" customHeight="1">
      <s:c r="A28065" s="120" t="inlineStr"/>
      <s:c r="B28065" s="121" t="n"/>
      <s:c r="C28065" s="121" t="n"/>
      <s:c r="D28065" s="121" t="n"/>
      <s:c r="E28065" s="122" t="n"/>
    </s:row>
    <s:row r="28066" hidden="1" ht="1" customHeight="1">
      <s:c r="A28066" s="120" t="inlineStr"/>
      <s:c r="B28066" s="121" t="n"/>
      <s:c r="C28066" s="121" t="n"/>
      <s:c r="D28066" s="121" t="n"/>
      <s:c r="E28066" s="122" t="n"/>
    </s:row>
    <s:row r="28067" hidden="1" ht="1" customHeight="1">
      <s:c r="A28067" s="120" t="inlineStr"/>
      <s:c r="B28067" s="121" t="n"/>
      <s:c r="C28067" s="121" t="n"/>
      <s:c r="D28067" s="121" t="n"/>
      <s:c r="E28067" s="122" t="n"/>
    </s:row>
    <s:row r="28068" hidden="1" ht="1" customHeight="1">
      <s:c r="A28068" s="120" t="inlineStr"/>
      <s:c r="B28068" s="121" t="n"/>
      <s:c r="C28068" s="121" t="n"/>
      <s:c r="D28068" s="121" t="n"/>
      <s:c r="E28068" s="122" t="n"/>
    </s:row>
    <s:row r="28069" hidden="1" ht="1" customHeight="1">
      <s:c r="A28069" s="120" t="inlineStr"/>
      <s:c r="B28069" s="121" t="n"/>
      <s:c r="C28069" s="121" t="n"/>
      <s:c r="D28069" s="121" t="n"/>
      <s:c r="E28069" s="122" t="n"/>
    </s:row>
    <s:row r="28070" hidden="1" ht="1" customHeight="1">
      <s:c r="A28070" s="120" t="inlineStr"/>
      <s:c r="B28070" s="121" t="n"/>
      <s:c r="C28070" s="121" t="n"/>
      <s:c r="D28070" s="121" t="n"/>
      <s:c r="E28070" s="122" t="n"/>
    </s:row>
    <s:row r="28071" hidden="1" ht="1" customHeight="1">
      <s:c r="A28071" s="120" t="inlineStr"/>
      <s:c r="B28071" s="121" t="n"/>
      <s:c r="C28071" s="121" t="n"/>
      <s:c r="D28071" s="121" t="n"/>
      <s:c r="E28071" s="122" t="n"/>
    </s:row>
    <s:row r="28072" hidden="1" ht="1" customHeight="1">
      <s:c r="A28072" s="120" t="inlineStr"/>
      <s:c r="B28072" s="121" t="n"/>
      <s:c r="C28072" s="121" t="n"/>
      <s:c r="D28072" s="121" t="n"/>
      <s:c r="E28072" s="122" t="n"/>
    </s:row>
    <s:row r="28073" hidden="1" ht="1" customHeight="1">
      <s:c r="A28073" s="83" t="inlineStr">
        <s:is>
          <s:t>PASS</s:t>
        </s:is>
      </s:c>
      <s:c r="B28073" s="83">
        <s:f>SUM(IF(EXACT('Kiểm thử'!E28023,"Đạt"),1,0))</s:f>
        <s:v/>
      </s:c>
      <s:c r="C28073" s="19" t="n"/>
      <s:c r="D28073" s="19" t="n"/>
      <s:c r="E28073" s="19" t="n"/>
    </s:row>
    <s:row r="28074" hidden="1" ht="1" customHeight="1">
      <s:c r="A28074" s="83" t="inlineStr">
        <s:is>
          <s:t>FAIL</s:t>
        </s:is>
      </s:c>
      <s:c r="B28074" s="83">
        <s:f>SUM(IF(EXACT('Kiểm thử'!E28023,"Không đạt"),1,0))</s:f>
        <s:v/>
      </s:c>
      <s:c r="C28074" s="19" t="n"/>
      <s:c r="D28074" s="19" t="n"/>
      <s:c r="E28074" s="19" t="n"/>
    </s:row>
    <s:row r="28075" hidden="1" ht="1" customHeight="1">
      <s:c r="A28075" s="83" t="inlineStr">
        <s:is>
          <s:t>BLOCKED</s:t>
        </s:is>
      </s:c>
      <s:c r="B28075" s="83">
        <s:f>SUM(IF(EXACT('Kiểm thử'!E28023,"Bị chặn"),1,0))</s:f>
        <s:v/>
      </s:c>
      <s:c r="C28075" s="19" t="n"/>
      <s:c r="D28075" s="19" t="n"/>
      <s:c r="E28075" s="19" t="n"/>
    </s:row>
    <s:row r="28076" hidden="1" ht="1" customHeight="1">
      <s:c r="A28076" s="83" t="inlineStr">
        <s:is>
          <s:t>SKIPPED</s:t>
        </s:is>
      </s:c>
      <s:c r="B28076" s="83">
        <s:f>SUM(IF(EXACT('Kiểm thử'!E28023,"Không thực hiện"),1,0))</s:f>
        <s:v/>
      </s:c>
      <s:c r="C28076" s="19" t="n"/>
      <s:c r="D28076" s="19" t="n"/>
      <s:c r="E28076" s="19" t="n"/>
    </s:row>
    <s:row r="28077" hidden="1" ht="1" customHeight="1">
      <s:c r="A28077" s="83" t="inlineStr">
        <s:is>
          <s:t>NOT RUN</s:t>
        </s:is>
      </s:c>
      <s:c r="B28077" s="83">
        <s:f>SUM(IF(EXACT('Kiểm thử'!E28023,"Chưa thực hiện"),1,0))</s:f>
        <s:v/>
      </s:c>
      <s:c r="C28077" s="19" t="n"/>
      <s:c r="D28077" s="19" t="n"/>
      <s:c r="E28077" s="19" t="n"/>
    </s:row>
    <s:row r="28078" hidden="1" ht="6" customHeight="1">
      <s:c r="A28078" s="83" t="inlineStr"/>
      <s:c r="B28078" s="19" t="n"/>
      <s:c r="C28078" s="19" t="n"/>
      <s:c r="D28078" s="19" t="n"/>
      <s:c r="E28078" s="19" t="n"/>
    </s:row>
    <s:row r="28079" ht="28" customHeight="1">
      <s:c r="A28079" s="108" t="inlineStr">
        <s:is>
          <s:t>TC-RS-DATA-018 — Khôi phục/thay khung không gắn kết quả vào ô mới</s:t>
        </s:is>
      </s:c>
      <s:c r="B28079" s="111" t="n"/>
      <s:c r="C28079" s="111" t="n"/>
      <s:c r="D28079" s="111" t="n"/>
      <s:c r="E28079" s="111" t="n"/>
    </s:row>
    <s:row r="28080" ht="20" customHeight="1">
      <s:c r="A28080" s="112" t="inlineStr">
        <s:is>
          <s:t>Kết quả tình huống</s:t>
        </s:is>
      </s:c>
      <s:c r="B28080" s="113">
        <s:f>IF(SUM(IF(EXACT('Kiểm thử'!E28089,"Không đạt"),1,0))&gt;0,"Không đạt",IF(SUM(IF(EXACT('Kiểm thử'!E28089,"Đạt"),1,0))=1,"Đạt",IF(SUM(IF(EXACT('Kiểm thử'!E28089,"Không thực hiện"),1,0))=1,"Không thực hiện",IF(SUM(IF(EXACT('Kiểm thử'!E28089,"Bị chặn"),1,0))&gt;0,"Bị chặn",IF(SUM(IF(EXACT('Kiểm thử'!E28089,"Chưa thực hiện"),1,0))=1,"Chưa thực hiện","Đang thực hiện")))))</s:f>
        <s:v/>
      </s:c>
      <s:c r="C28080" s="114" t="n"/>
      <s:c r="D28080" s="114" t="n"/>
      <s:c r="E28080" s="114" t="n"/>
    </s:row>
    <s:row r="28081" ht="20" customHeight="1">
      <s:c r="A28081" s="112" t="inlineStr">
        <s:is>
          <s:t>Màn hình / chức năng</s:t>
        </s:is>
      </s:c>
      <s:c r="B28081" s="113" t="inlineStr">
        <s:is>
          <s:t>Bảo toàn dữ liệu và cấu hình</s:t>
        </s:is>
      </s:c>
      <s:c r="C28081" s="28" t="n"/>
      <s:c r="D28081" s="28" t="n"/>
      <s:c r="E28081" s="28" t="n"/>
    </s:row>
    <s:row r="28082" ht="62" customHeight="1">
      <s:c r="A28082" s="112" t="inlineStr">
        <s:is>
          <s:t>Cấu hình</s:t>
        </s:is>
      </s:c>
      <s:c r="B28082" s="113" t="inlineStr">
        <s:is>
          <s: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 Đường khôi phục cần provision.</s:t>
        </s:is>
      </s:c>
      <s:c r="C28082" s="28" t="n"/>
      <s:c r="D28082" s="28" t="n"/>
      <s:c r="E28082" s="28" t="n"/>
    </s:row>
    <s:row r="28083" ht="62" customHeight="1">
      <s:c r="A28083" s="112" t="inlineStr">
        <s:is>
          <s:t>Dữ liệu test</s:t>
        </s:is>
      </s:c>
      <s:c r="B28083" s="113" t="inlineStr">
        <s:is>
          <s: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 Đường khôi phục cần provision.</s:t>
        </s:is>
      </s:c>
      <s:c r="C28083" s="28" t="n"/>
      <s:c r="D28083" s="28" t="n"/>
      <s:c r="E28083" s="28" t="n"/>
    </s:row>
    <s:row r="28084" ht="20" customHeight="1">
      <s:c r="A28084" s="112" t="inlineStr">
        <s:is>
          <s:t>Bước 1</s:t>
        </s:is>
      </s:c>
      <s:c r="B28084" s="113" t="inlineStr">
        <s:is>
          <s:t>Chụp identity, rule mới, ngưỡng legacy 25 và kết quả cá nhân ô cũ; ghi ô đích chưa có các giá trị đó.</s:t>
        </s:is>
      </s:c>
      <s:c r="C28084" s="28" t="n"/>
      <s:c r="D28084" s="28" t="n"/>
      <s:c r="E28084" s="28" t="n"/>
    </s:row>
    <s:row r="28085" ht="34" customHeight="1">
      <s:c r="A28085" s="112" t="inlineStr">
        <s:is>
          <s:t>Bước 2</s:t>
        </s:is>
      </s:c>
      <s:c r="B28085" s="113" t="inlineStr">
        <s:is>
          <s:t>Khôi phục/thay khung theo đường được hỗ trợ; ghi mapping kỳ/môn/mục/nhóm và ô cũ → ô mới, không tự ghép theo tên giống nhau.</s:t>
        </s:is>
      </s:c>
      <s:c r="C28085" s="28" t="n"/>
      <s:c r="D28085" s="28" t="n"/>
      <s:c r="E28085" s="28" t="n"/>
    </s:row>
    <s:row r="28086" ht="34" customHeight="1">
      <s:c r="A28086" s="112" t="inlineStr">
        <s:is>
          <s:t>Bước 3</s:t>
        </s:is>
      </s:c>
      <s:c r="B28086" s="113" t="inlineStr">
        <s:is>
          <s:t>Đọc lại ngưỡng/báo cáo legacy nguồn và đích, rule mới và kết quả cá nhân ô mới trước/sau khi xét riêng; kiểm ba đầu ra theo identity ô.</s:t>
        </s:is>
      </s:c>
      <s:c r="C28086" s="28" t="n"/>
      <s:c r="D28086" s="28" t="n"/>
      <s:c r="E28086" s="28" t="n"/>
    </s:row>
    <s:row r="28087" ht="28" customHeight="1">
      <s:c r="A28087" s="115" t="inlineStr">
        <s:is>
          <s:t>Trường hợp</s:t>
        </s:is>
      </s:c>
      <s:c r="B28087" s="115" t="inlineStr">
        <s:is>
          <s:t>Dữ liệu / thao tác riêng</s:t>
        </s:is>
      </s:c>
      <s:c r="C28087" s="115" t="inlineStr">
        <s:is>
          <s:t>Kết quả mong đợi</s:t>
        </s:is>
      </s:c>
      <s:c r="D28087" s="115" t="inlineStr">
        <s:is>
          <s:t>Kết quả thực tế</s:t>
        </s:is>
      </s:c>
      <s:c r="E28087" s="115" t="inlineStr">
        <s:is>
          <s:t>Đánh giá</s:t>
        </s:is>
      </s:c>
    </s:row>
    <s:row r="28088" ht="3" customHeight="1">
      <s:c r="A28088" s="102" t="inlineStr"/>
      <s:c r="B28088" s="99" t="n"/>
      <s:c r="C28088" s="99" t="n"/>
      <s:c r="D28088" s="116" t="n"/>
      <s:c r="E28088" s="116" t="n"/>
    </s:row>
    <s:row r="28089" ht="132" customHeight="1">
      <s:c r="A28089" s="83" t="inlineStr">
        <s:is>
          <s:t>Trường hợp cơ bản (Base)</s:t>
        </s:is>
      </s:c>
      <s:c r="B28089" s="83" t="inlineStr">
        <s:is>
          <s:t>Toàn bộ tình huống: Thực hiện đủ các bước chung theo thứ tự; kiểm cả đối tượng đích và đối chứng cùng fixture, không bỏ bước.</s:t>
        </s:is>
      </s:c>
      <s:c r="C28089" s="83" t="inlineStr">
        <s:is>
          <s:t>Nguồn giữ ngưỡng legacy 25; ô/khung mới có mapping hợp lệ cũng đọc 25 qua cấu hình/báo cáo legacy riêng, không thành rule/fallback mới. Ô mới không nhận snapshot/kết quả cá nhân của ô cũ trước lần xét riêng; sau đó kết quả phải mang identity ô mới. Nếu chưa xác minh đường khôi phục/mapping hoặc reader legacy ở đích thì BLOCKED, không bỏ nhánh.</s:t>
        </s:is>
      </s:c>
      <s:c r="D28089" s="117" t="inlineStr"/>
      <s:c r="E28089" s="118" t="inlineStr">
        <s:is>
          <s:t>Chưa thực hiện</s:t>
        </s:is>
      </s:c>
    </s:row>
    <s:row r="28090" ht="20" customHeight="1">
      <s:c r="A28090" s="119" t="inlineStr">
        <s:is>
          <s:t>Ảnh minh chứng — Chưa có ảnh</s:t>
        </s:is>
      </s:c>
      <s:c r="B28090" s="19" t="n"/>
      <s:c r="C28090" s="19" t="n"/>
      <s:c r="D28090" s="19" t="n"/>
      <s:c r="E28090" s="19" t="n"/>
    </s:row>
    <s:row r="28091" hidden="1" ht="1" customHeight="1">
      <s:c r="A28091" s="120" t="inlineStr"/>
      <s:c r="B28091" s="121" t="n"/>
      <s:c r="C28091" s="121" t="n"/>
      <s:c r="D28091" s="121" t="n"/>
      <s:c r="E28091" s="122" t="n"/>
    </s:row>
    <s:row r="28092" hidden="1" ht="1" customHeight="1">
      <s:c r="A28092" s="120" t="inlineStr"/>
      <s:c r="B28092" s="121" t="n"/>
      <s:c r="C28092" s="121" t="n"/>
      <s:c r="D28092" s="121" t="n"/>
      <s:c r="E28092" s="122" t="n"/>
    </s:row>
    <s:row r="28093" hidden="1" ht="1" customHeight="1">
      <s:c r="A28093" s="120" t="inlineStr"/>
      <s:c r="B28093" s="121" t="n"/>
      <s:c r="C28093" s="121" t="n"/>
      <s:c r="D28093" s="121" t="n"/>
      <s:c r="E28093" s="122" t="n"/>
    </s:row>
    <s:row r="28094" hidden="1" ht="1" customHeight="1">
      <s:c r="A28094" s="120" t="inlineStr"/>
      <s:c r="B28094" s="121" t="n"/>
      <s:c r="C28094" s="121" t="n"/>
      <s:c r="D28094" s="121" t="n"/>
      <s:c r="E28094" s="122" t="n"/>
    </s:row>
    <s:row r="28095" hidden="1" ht="1" customHeight="1">
      <s:c r="A28095" s="120" t="inlineStr"/>
      <s:c r="B28095" s="121" t="n"/>
      <s:c r="C28095" s="121" t="n"/>
      <s:c r="D28095" s="121" t="n"/>
      <s:c r="E28095" s="122" t="n"/>
    </s:row>
    <s:row r="28096" hidden="1" ht="1" customHeight="1">
      <s:c r="A28096" s="120" t="inlineStr"/>
      <s:c r="B28096" s="121" t="n"/>
      <s:c r="C28096" s="121" t="n"/>
      <s:c r="D28096" s="121" t="n"/>
      <s:c r="E28096" s="122" t="n"/>
    </s:row>
    <s:row r="28097" hidden="1" ht="1" customHeight="1">
      <s:c r="A28097" s="120" t="inlineStr"/>
      <s:c r="B28097" s="121" t="n"/>
      <s:c r="C28097" s="121" t="n"/>
      <s:c r="D28097" s="121" t="n"/>
      <s:c r="E28097" s="122" t="n"/>
    </s:row>
    <s:row r="28098" hidden="1" ht="1" customHeight="1">
      <s:c r="A28098" s="120" t="inlineStr"/>
      <s:c r="B28098" s="121" t="n"/>
      <s:c r="C28098" s="121" t="n"/>
      <s:c r="D28098" s="121" t="n"/>
      <s:c r="E28098" s="122" t="n"/>
    </s:row>
    <s:row r="28099" hidden="1" ht="1" customHeight="1">
      <s:c r="A28099" s="120" t="inlineStr"/>
      <s:c r="B28099" s="121" t="n"/>
      <s:c r="C28099" s="121" t="n"/>
      <s:c r="D28099" s="121" t="n"/>
      <s:c r="E28099" s="122" t="n"/>
    </s:row>
    <s:row r="28100" hidden="1" ht="1" customHeight="1">
      <s:c r="A28100" s="120" t="inlineStr"/>
      <s:c r="B28100" s="121" t="n"/>
      <s:c r="C28100" s="121" t="n"/>
      <s:c r="D28100" s="121" t="n"/>
      <s:c r="E28100" s="122" t="n"/>
    </s:row>
    <s:row r="28101" hidden="1" ht="1" customHeight="1">
      <s:c r="A28101" s="120" t="inlineStr"/>
      <s:c r="B28101" s="121" t="n"/>
      <s:c r="C28101" s="121" t="n"/>
      <s:c r="D28101" s="121" t="n"/>
      <s:c r="E28101" s="122" t="n"/>
    </s:row>
    <s:row r="28102" hidden="1" ht="1" customHeight="1">
      <s:c r="A28102" s="120" t="inlineStr"/>
      <s:c r="B28102" s="121" t="n"/>
      <s:c r="C28102" s="121" t="n"/>
      <s:c r="D28102" s="121" t="n"/>
      <s:c r="E28102" s="122" t="n"/>
    </s:row>
    <s:row r="28103" hidden="1" ht="1" customHeight="1">
      <s:c r="A28103" s="120" t="inlineStr"/>
      <s:c r="B28103" s="121" t="n"/>
      <s:c r="C28103" s="121" t="n"/>
      <s:c r="D28103" s="121" t="n"/>
      <s:c r="E28103" s="122" t="n"/>
    </s:row>
    <s:row r="28104" hidden="1" ht="1" customHeight="1">
      <s:c r="A28104" s="120" t="inlineStr"/>
      <s:c r="B28104" s="121" t="n"/>
      <s:c r="C28104" s="121" t="n"/>
      <s:c r="D28104" s="121" t="n"/>
      <s:c r="E28104" s="122" t="n"/>
    </s:row>
    <s:row r="28105" hidden="1" ht="1" customHeight="1">
      <s:c r="A28105" s="120" t="inlineStr"/>
      <s:c r="B28105" s="121" t="n"/>
      <s:c r="C28105" s="121" t="n"/>
      <s:c r="D28105" s="121" t="n"/>
      <s:c r="E28105" s="122" t="n"/>
    </s:row>
    <s:row r="28106" hidden="1" ht="1" customHeight="1">
      <s:c r="A28106" s="120" t="inlineStr"/>
      <s:c r="B28106" s="121" t="n"/>
      <s:c r="C28106" s="121" t="n"/>
      <s:c r="D28106" s="121" t="n"/>
      <s:c r="E28106" s="122" t="n"/>
    </s:row>
    <s:row r="28107" hidden="1" ht="1" customHeight="1">
      <s:c r="A28107" s="120" t="inlineStr"/>
      <s:c r="B28107" s="121" t="n"/>
      <s:c r="C28107" s="121" t="n"/>
      <s:c r="D28107" s="121" t="n"/>
      <s:c r="E28107" s="122" t="n"/>
    </s:row>
    <s:row r="28108" hidden="1" ht="1" customHeight="1">
      <s:c r="A28108" s="120" t="inlineStr"/>
      <s:c r="B28108" s="121" t="n"/>
      <s:c r="C28108" s="121" t="n"/>
      <s:c r="D28108" s="121" t="n"/>
      <s:c r="E28108" s="122" t="n"/>
    </s:row>
    <s:row r="28109" hidden="1" ht="1" customHeight="1">
      <s:c r="A28109" s="120" t="inlineStr"/>
      <s:c r="B28109" s="121" t="n"/>
      <s:c r="C28109" s="121" t="n"/>
      <s:c r="D28109" s="121" t="n"/>
      <s:c r="E28109" s="122" t="n"/>
    </s:row>
    <s:row r="28110" hidden="1" ht="1" customHeight="1">
      <s:c r="A28110" s="120" t="inlineStr"/>
      <s:c r="B28110" s="121" t="n"/>
      <s:c r="C28110" s="121" t="n"/>
      <s:c r="D28110" s="121" t="n"/>
      <s:c r="E28110" s="122" t="n"/>
    </s:row>
    <s:row r="28111" hidden="1" ht="1" customHeight="1">
      <s:c r="A28111" s="120" t="inlineStr"/>
      <s:c r="B28111" s="121" t="n"/>
      <s:c r="C28111" s="121" t="n"/>
      <s:c r="D28111" s="121" t="n"/>
      <s:c r="E28111" s="122" t="n"/>
    </s:row>
    <s:row r="28112" hidden="1" ht="1" customHeight="1">
      <s:c r="A28112" s="120" t="inlineStr"/>
      <s:c r="B28112" s="121" t="n"/>
      <s:c r="C28112" s="121" t="n"/>
      <s:c r="D28112" s="121" t="n"/>
      <s:c r="E28112" s="122" t="n"/>
    </s:row>
    <s:row r="28113" hidden="1" ht="1" customHeight="1">
      <s:c r="A28113" s="120" t="inlineStr"/>
      <s:c r="B28113" s="121" t="n"/>
      <s:c r="C28113" s="121" t="n"/>
      <s:c r="D28113" s="121" t="n"/>
      <s:c r="E28113" s="122" t="n"/>
    </s:row>
    <s:row r="28114" hidden="1" ht="1" customHeight="1">
      <s:c r="A28114" s="120" t="inlineStr"/>
      <s:c r="B28114" s="121" t="n"/>
      <s:c r="C28114" s="121" t="n"/>
      <s:c r="D28114" s="121" t="n"/>
      <s:c r="E28114" s="122" t="n"/>
    </s:row>
    <s:row r="28115" hidden="1" ht="1" customHeight="1">
      <s:c r="A28115" s="120" t="inlineStr"/>
      <s:c r="B28115" s="121" t="n"/>
      <s:c r="C28115" s="121" t="n"/>
      <s:c r="D28115" s="121" t="n"/>
      <s:c r="E28115" s="122" t="n"/>
    </s:row>
    <s:row r="28116" hidden="1" ht="1" customHeight="1">
      <s:c r="A28116" s="120" t="inlineStr"/>
      <s:c r="B28116" s="121" t="n"/>
      <s:c r="C28116" s="121" t="n"/>
      <s:c r="D28116" s="121" t="n"/>
      <s:c r="E28116" s="122" t="n"/>
    </s:row>
    <s:row r="28117" hidden="1" ht="1" customHeight="1">
      <s:c r="A28117" s="120" t="inlineStr"/>
      <s:c r="B28117" s="121" t="n"/>
      <s:c r="C28117" s="121" t="n"/>
      <s:c r="D28117" s="121" t="n"/>
      <s:c r="E28117" s="122" t="n"/>
    </s:row>
    <s:row r="28118" hidden="1" ht="1" customHeight="1">
      <s:c r="A28118" s="120" t="inlineStr"/>
      <s:c r="B28118" s="121" t="n"/>
      <s:c r="C28118" s="121" t="n"/>
      <s:c r="D28118" s="121" t="n"/>
      <s:c r="E28118" s="122" t="n"/>
    </s:row>
    <s:row r="28119" hidden="1" ht="1" customHeight="1">
      <s:c r="A28119" s="120" t="inlineStr"/>
      <s:c r="B28119" s="121" t="n"/>
      <s:c r="C28119" s="121" t="n"/>
      <s:c r="D28119" s="121" t="n"/>
      <s:c r="E28119" s="122" t="n"/>
    </s:row>
    <s:row r="28120" hidden="1" ht="1" customHeight="1">
      <s:c r="A28120" s="120" t="inlineStr"/>
      <s:c r="B28120" s="121" t="n"/>
      <s:c r="C28120" s="121" t="n"/>
      <s:c r="D28120" s="121" t="n"/>
      <s:c r="E28120" s="122" t="n"/>
    </s:row>
    <s:row r="28121" hidden="1" ht="1" customHeight="1">
      <s:c r="A28121" s="120" t="inlineStr"/>
      <s:c r="B28121" s="121" t="n"/>
      <s:c r="C28121" s="121" t="n"/>
      <s:c r="D28121" s="121" t="n"/>
      <s:c r="E28121" s="122" t="n"/>
    </s:row>
    <s:row r="28122" hidden="1" ht="1" customHeight="1">
      <s:c r="A28122" s="120" t="inlineStr"/>
      <s:c r="B28122" s="121" t="n"/>
      <s:c r="C28122" s="121" t="n"/>
      <s:c r="D28122" s="121" t="n"/>
      <s:c r="E28122" s="122" t="n"/>
    </s:row>
    <s:row r="28123" hidden="1" ht="1" customHeight="1">
      <s:c r="A28123" s="120" t="inlineStr"/>
      <s:c r="B28123" s="121" t="n"/>
      <s:c r="C28123" s="121" t="n"/>
      <s:c r="D28123" s="121" t="n"/>
      <s:c r="E28123" s="122" t="n"/>
    </s:row>
    <s:row r="28124" hidden="1" ht="1" customHeight="1">
      <s:c r="A28124" s="120" t="inlineStr"/>
      <s:c r="B28124" s="121" t="n"/>
      <s:c r="C28124" s="121" t="n"/>
      <s:c r="D28124" s="121" t="n"/>
      <s:c r="E28124" s="122" t="n"/>
    </s:row>
    <s:row r="28125" hidden="1" ht="1" customHeight="1">
      <s:c r="A28125" s="120" t="inlineStr"/>
      <s:c r="B28125" s="121" t="n"/>
      <s:c r="C28125" s="121" t="n"/>
      <s:c r="D28125" s="121" t="n"/>
      <s:c r="E28125" s="122" t="n"/>
    </s:row>
    <s:row r="28126" hidden="1" ht="1" customHeight="1">
      <s:c r="A28126" s="120" t="inlineStr"/>
      <s:c r="B28126" s="121" t="n"/>
      <s:c r="C28126" s="121" t="n"/>
      <s:c r="D28126" s="121" t="n"/>
      <s:c r="E28126" s="122" t="n"/>
    </s:row>
    <s:row r="28127" hidden="1" ht="1" customHeight="1">
      <s:c r="A28127" s="120" t="inlineStr"/>
      <s:c r="B28127" s="121" t="n"/>
      <s:c r="C28127" s="121" t="n"/>
      <s:c r="D28127" s="121" t="n"/>
      <s:c r="E28127" s="122" t="n"/>
    </s:row>
    <s:row r="28128" hidden="1" ht="1" customHeight="1">
      <s:c r="A28128" s="120" t="inlineStr"/>
      <s:c r="B28128" s="121" t="n"/>
      <s:c r="C28128" s="121" t="n"/>
      <s:c r="D28128" s="121" t="n"/>
      <s:c r="E28128" s="122" t="n"/>
    </s:row>
    <s:row r="28129" hidden="1" ht="1" customHeight="1">
      <s:c r="A28129" s="120" t="inlineStr"/>
      <s:c r="B28129" s="121" t="n"/>
      <s:c r="C28129" s="121" t="n"/>
      <s:c r="D28129" s="121" t="n"/>
      <s:c r="E28129" s="122" t="n"/>
    </s:row>
    <s:row r="28130" hidden="1" ht="1" customHeight="1">
      <s:c r="A28130" s="120" t="inlineStr"/>
      <s:c r="B28130" s="121" t="n"/>
      <s:c r="C28130" s="121" t="n"/>
      <s:c r="D28130" s="121" t="n"/>
      <s:c r="E28130" s="122" t="n"/>
    </s:row>
    <s:row r="28131" hidden="1" ht="1" customHeight="1">
      <s:c r="A28131" s="120" t="inlineStr"/>
      <s:c r="B28131" s="121" t="n"/>
      <s:c r="C28131" s="121" t="n"/>
      <s:c r="D28131" s="121" t="n"/>
      <s:c r="E28131" s="122" t="n"/>
    </s:row>
    <s:row r="28132" hidden="1" ht="1" customHeight="1">
      <s:c r="A28132" s="120" t="inlineStr"/>
      <s:c r="B28132" s="121" t="n"/>
      <s:c r="C28132" s="121" t="n"/>
      <s:c r="D28132" s="121" t="n"/>
      <s:c r="E28132" s="122" t="n"/>
    </s:row>
    <s:row r="28133" hidden="1" ht="1" customHeight="1">
      <s:c r="A28133" s="120" t="inlineStr"/>
      <s:c r="B28133" s="121" t="n"/>
      <s:c r="C28133" s="121" t="n"/>
      <s:c r="D28133" s="121" t="n"/>
      <s:c r="E28133" s="122" t="n"/>
    </s:row>
    <s:row r="28134" hidden="1" ht="1" customHeight="1">
      <s:c r="A28134" s="120" t="inlineStr"/>
      <s:c r="B28134" s="121" t="n"/>
      <s:c r="C28134" s="121" t="n"/>
      <s:c r="D28134" s="121" t="n"/>
      <s:c r="E28134" s="122" t="n"/>
    </s:row>
    <s:row r="28135" hidden="1" ht="1" customHeight="1">
      <s:c r="A28135" s="120" t="inlineStr"/>
      <s:c r="B28135" s="121" t="n"/>
      <s:c r="C28135" s="121" t="n"/>
      <s:c r="D28135" s="121" t="n"/>
      <s:c r="E28135" s="122" t="n"/>
    </s:row>
    <s:row r="28136" hidden="1" ht="1" customHeight="1">
      <s:c r="A28136" s="120" t="inlineStr"/>
      <s:c r="B28136" s="121" t="n"/>
      <s:c r="C28136" s="121" t="n"/>
      <s:c r="D28136" s="121" t="n"/>
      <s:c r="E28136" s="122" t="n"/>
    </s:row>
    <s:row r="28137" hidden="1" ht="1" customHeight="1">
      <s:c r="A28137" s="120" t="inlineStr"/>
      <s:c r="B28137" s="121" t="n"/>
      <s:c r="C28137" s="121" t="n"/>
      <s:c r="D28137" s="121" t="n"/>
      <s:c r="E28137" s="122" t="n"/>
    </s:row>
    <s:row r="28138" hidden="1" ht="1" customHeight="1">
      <s:c r="A28138" s="120" t="inlineStr"/>
      <s:c r="B28138" s="121" t="n"/>
      <s:c r="C28138" s="121" t="n"/>
      <s:c r="D28138" s="121" t="n"/>
      <s:c r="E28138" s="122" t="n"/>
    </s:row>
    <s:row r="28139" hidden="1" ht="1" customHeight="1">
      <s:c r="A28139" s="83" t="inlineStr">
        <s:is>
          <s:t>PASS</s:t>
        </s:is>
      </s:c>
      <s:c r="B28139" s="83">
        <s:f>SUM(IF(EXACT('Kiểm thử'!E28089,"Đạt"),1,0))</s:f>
        <s:v/>
      </s:c>
      <s:c r="C28139" s="19" t="n"/>
      <s:c r="D28139" s="19" t="n"/>
      <s:c r="E28139" s="19" t="n"/>
    </s:row>
    <s:row r="28140" hidden="1" ht="1" customHeight="1">
      <s:c r="A28140" s="83" t="inlineStr">
        <s:is>
          <s:t>FAIL</s:t>
        </s:is>
      </s:c>
      <s:c r="B28140" s="83">
        <s:f>SUM(IF(EXACT('Kiểm thử'!E28089,"Không đạt"),1,0))</s:f>
        <s:v/>
      </s:c>
      <s:c r="C28140" s="19" t="n"/>
      <s:c r="D28140" s="19" t="n"/>
      <s:c r="E28140" s="19" t="n"/>
    </s:row>
    <s:row r="28141" hidden="1" ht="1" customHeight="1">
      <s:c r="A28141" s="83" t="inlineStr">
        <s:is>
          <s:t>BLOCKED</s:t>
        </s:is>
      </s:c>
      <s:c r="B28141" s="83">
        <s:f>SUM(IF(EXACT('Kiểm thử'!E28089,"Bị chặn"),1,0))</s:f>
        <s:v/>
      </s:c>
      <s:c r="C28141" s="19" t="n"/>
      <s:c r="D28141" s="19" t="n"/>
      <s:c r="E28141" s="19" t="n"/>
    </s:row>
    <s:row r="28142" hidden="1" ht="1" customHeight="1">
      <s:c r="A28142" s="83" t="inlineStr">
        <s:is>
          <s:t>SKIPPED</s:t>
        </s:is>
      </s:c>
      <s:c r="B28142" s="83">
        <s:f>SUM(IF(EXACT('Kiểm thử'!E28089,"Không thực hiện"),1,0))</s:f>
        <s:v/>
      </s:c>
      <s:c r="C28142" s="19" t="n"/>
      <s:c r="D28142" s="19" t="n"/>
      <s:c r="E28142" s="19" t="n"/>
    </s:row>
    <s:row r="28143" hidden="1" ht="1" customHeight="1">
      <s:c r="A28143" s="83" t="inlineStr">
        <s:is>
          <s:t>NOT RUN</s:t>
        </s:is>
      </s:c>
      <s:c r="B28143" s="83">
        <s:f>SUM(IF(EXACT('Kiểm thử'!E28089,"Chưa thực hiện"),1,0))</s:f>
        <s:v/>
      </s:c>
      <s:c r="C28143" s="19" t="n"/>
      <s:c r="D28143" s="19" t="n"/>
      <s:c r="E28143" s="19" t="n"/>
    </s:row>
    <s:row r="28144" hidden="1" ht="6" customHeight="1">
      <s:c r="A28144" s="83" t="inlineStr"/>
      <s:c r="B28144" s="19" t="n"/>
      <s:c r="C28144" s="19" t="n"/>
      <s:c r="D28144" s="19" t="n"/>
      <s:c r="E28144" s="19" t="n"/>
    </s:row>
    <s:row r="28145" ht="28" customHeight="1">
      <s:c r="A28145" s="108" t="inlineStr">
        <s:is>
          <s:t>TC-RS-DATA-019 — Đồng bộ cấu hình không đồng nghĩa đã xét</s:t>
        </s:is>
      </s:c>
      <s:c r="B28145" s="111" t="n"/>
      <s:c r="C28145" s="111" t="n"/>
      <s:c r="D28145" s="111" t="n"/>
      <s:c r="E28145" s="111" t="n"/>
    </s:row>
    <s:row r="28146" ht="20" customHeight="1">
      <s:c r="A28146" s="112" t="inlineStr">
        <s:is>
          <s:t>Kết quả tình huống</s:t>
        </s:is>
      </s:c>
      <s:c r="B28146" s="113">
        <s:f>IF(SUM(IF(EXACT('Kiểm thử'!E28155,"Không đạt"),1,0))&gt;0,"Không đạt",IF(SUM(IF(EXACT('Kiểm thử'!E28155,"Đạt"),1,0))=1,"Đạt",IF(SUM(IF(EXACT('Kiểm thử'!E28155,"Không thực hiện"),1,0))=1,"Không thực hiện",IF(SUM(IF(EXACT('Kiểm thử'!E28155,"Bị chặn"),1,0))&gt;0,"Bị chặn",IF(SUM(IF(EXACT('Kiểm thử'!E28155,"Chưa thực hiện"),1,0))=1,"Chưa thực hiện","Đang thực hiện")))))</s:f>
        <s:v/>
      </s:c>
      <s:c r="C28146" s="114" t="n"/>
      <s:c r="D28146" s="114" t="n"/>
      <s:c r="E28146" s="114" t="n"/>
    </s:row>
    <s:row r="28147" ht="20" customHeight="1">
      <s:c r="A28147" s="112" t="inlineStr">
        <s:is>
          <s:t>Màn hình / chức năng</s:t>
        </s:is>
      </s:c>
      <s:c r="B28147" s="113" t="inlineStr">
        <s:is>
          <s:t>Bảo toàn dữ liệu và cấu hình</s:t>
        </s:is>
      </s:c>
      <s:c r="C28147" s="28" t="n"/>
      <s:c r="D28147" s="28" t="n"/>
      <s:c r="E28147" s="28" t="n"/>
    </s:row>
    <s:row r="28148" ht="62" customHeight="1">
      <s:c r="A28148" s="112" t="inlineStr">
        <s:is>
          <s:t>Cấu hình</s:t>
        </s:is>
      </s:c>
      <s:c r="B28148" s="113" t="inlineStr">
        <s:is>
          <s: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 Đường sync cấu hình cần provision.</s:t>
        </s:is>
      </s:c>
      <s:c r="C28148" s="28" t="n"/>
      <s:c r="D28148" s="28" t="n"/>
      <s:c r="E28148" s="28" t="n"/>
    </s:row>
    <s:row r="28149" ht="62" customHeight="1">
      <s:c r="A28149" s="112" t="inlineStr">
        <s:is>
          <s:t>Dữ liệu test</s:t>
        </s:is>
      </s:c>
      <s:c r="B28149" s="113" t="inlineStr">
        <s:is>
          <s: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 Đường sync cấu hình cần provision.</s:t>
        </s:is>
      </s:c>
      <s:c r="C28149" s="28" t="n"/>
      <s:c r="D28149" s="28" t="n"/>
      <s:c r="E28149" s="28" t="n"/>
    </s:row>
    <s:row r="28150" ht="34" customHeight="1">
      <s:c r="A28150" s="112" t="inlineStr">
        <s:is>
          <s:t>Bước 1</s:t>
        </s:is>
      </s:c>
      <s:c r="B28150" s="113" t="inlineStr">
        <s:is>
          <s:t>Ghi mapping kỳ/môn/mục/nhóm, identity nguồn/đích, giá trị legacy nguồn 25 và snapshot/kết quả cá nhân nguồn; ghi trạng thái đích ban đầu.</s:t>
        </s:is>
      </s:c>
      <s:c r="C28150" s="28" t="n"/>
      <s:c r="D28150" s="28" t="n"/>
      <s:c r="E28150" s="28" t="n"/>
    </s:row>
    <s:row r="28151" ht="20" customHeight="1">
      <s:c r="A28151" s="112" t="inlineStr">
        <s:is>
          <s:t>Bước 2</s:t>
        </s:is>
      </s:c>
      <s:c r="B28151" s="113" t="inlineStr">
        <s:is>
          <s:t>Đồng bộ cấu hình; đọc lại rule mới và ngưỡng/báo cáo legacy ở cả nguồn lẫn đích.</s:t>
        </s:is>
      </s:c>
      <s:c r="C28151" s="28" t="n"/>
      <s:c r="D28151" s="28" t="n"/>
      <s:c r="E28151" s="28" t="n"/>
    </s:row>
    <s:row r="28152" ht="20" customHeight="1">
      <s:c r="A28152" s="112" t="inlineStr">
        <s:is>
          <s:t>Bước 3</s:t>
        </s:is>
      </s:c>
      <s:c r="B28152" s="113" t="inlineStr">
        <s:is>
          <s:t>Mở kết quả cá nhân và ba đầu ra của đích trước khi chạy xét, sau đó chạy xét riêng ở đích và đọc lại.</s:t>
        </s:is>
      </s:c>
      <s:c r="C28152" s="28" t="n"/>
      <s:c r="D28152" s="28" t="n"/>
      <s:c r="E28152" s="28" t="n"/>
    </s:row>
    <s:row r="28153" ht="28" customHeight="1">
      <s:c r="A28153" s="115" t="inlineStr">
        <s:is>
          <s:t>Trường hợp</s:t>
        </s:is>
      </s:c>
      <s:c r="B28153" s="115" t="inlineStr">
        <s:is>
          <s:t>Dữ liệu / thao tác riêng</s:t>
        </s:is>
      </s:c>
      <s:c r="C28153" s="115" t="inlineStr">
        <s:is>
          <s:t>Kết quả mong đợi</s:t>
        </s:is>
      </s:c>
      <s:c r="D28153" s="115" t="inlineStr">
        <s:is>
          <s:t>Kết quả thực tế</s:t>
        </s:is>
      </s:c>
      <s:c r="E28153" s="115" t="inlineStr">
        <s:is>
          <s:t>Đánh giá</s:t>
        </s:is>
      </s:c>
    </s:row>
    <s:row r="28154" ht="3" customHeight="1">
      <s:c r="A28154" s="102" t="inlineStr"/>
      <s:c r="B28154" s="99" t="n"/>
      <s:c r="C28154" s="99" t="n"/>
      <s:c r="D28154" s="116" t="n"/>
      <s:c r="E28154" s="116" t="n"/>
    </s:row>
    <s:row r="28155" ht="146" customHeight="1">
      <s:c r="A28155" s="83" t="inlineStr">
        <s:is>
          <s:t>Trường hợp cơ bản (Base)</s:t>
        </s:is>
      </s:c>
      <s:c r="B28155" s="83" t="inlineStr">
        <s:is>
          <s:t>Toàn bộ tình huống: Thực hiện đủ các bước chung theo thứ tự; kiểm cả đối tượng đích và đối chứng cùng fixture, không bỏ bước.</s:t>
        </s:is>
      </s:c>
      <s:c r="C28155" s="83" t="inlineStr">
        <s:is>
          <s:t>Đồng bộ cấu hình có mapping hợp lệ giữ ngưỡng legacy 25 ở nguồn và đưa 25 tới cấu hình/báo cáo legacy riêng của đích; không thành rule/fallback mới. Trước lần xét riêng, đích chưa được coi là đã xét và không dùng snapshot/kết quả cá nhân nguồn; sau đó kết quả chỉ thuộc identity đích. Nếu seam sync/mapping hoặc reader legacy ở đích chưa xác minh thì BLOCKED, không coi chỉ bảo toàn nguồn là đủ.</s:t>
        </s:is>
      </s:c>
      <s:c r="D28155" s="117" t="inlineStr"/>
      <s:c r="E28155" s="118" t="inlineStr">
        <s:is>
          <s:t>Chưa thực hiện</s:t>
        </s:is>
      </s:c>
    </s:row>
    <s:row r="28156" ht="20" customHeight="1">
      <s:c r="A28156" s="119" t="inlineStr">
        <s:is>
          <s:t>Ảnh minh chứng — Chưa có ảnh</s:t>
        </s:is>
      </s:c>
      <s:c r="B28156" s="19" t="n"/>
      <s:c r="C28156" s="19" t="n"/>
      <s:c r="D28156" s="19" t="n"/>
      <s:c r="E28156" s="19" t="n"/>
    </s:row>
    <s:row r="28157" hidden="1" ht="1" customHeight="1">
      <s:c r="A28157" s="120" t="inlineStr"/>
      <s:c r="B28157" s="121" t="n"/>
      <s:c r="C28157" s="121" t="n"/>
      <s:c r="D28157" s="121" t="n"/>
      <s:c r="E28157" s="122" t="n"/>
    </s:row>
    <s:row r="28158" hidden="1" ht="1" customHeight="1">
      <s:c r="A28158" s="120" t="inlineStr"/>
      <s:c r="B28158" s="121" t="n"/>
      <s:c r="C28158" s="121" t="n"/>
      <s:c r="D28158" s="121" t="n"/>
      <s:c r="E28158" s="122" t="n"/>
    </s:row>
    <s:row r="28159" hidden="1" ht="1" customHeight="1">
      <s:c r="A28159" s="120" t="inlineStr"/>
      <s:c r="B28159" s="121" t="n"/>
      <s:c r="C28159" s="121" t="n"/>
      <s:c r="D28159" s="121" t="n"/>
      <s:c r="E28159" s="122" t="n"/>
    </s:row>
    <s:row r="28160" hidden="1" ht="1" customHeight="1">
      <s:c r="A28160" s="120" t="inlineStr"/>
      <s:c r="B28160" s="121" t="n"/>
      <s:c r="C28160" s="121" t="n"/>
      <s:c r="D28160" s="121" t="n"/>
      <s:c r="E28160" s="122" t="n"/>
    </s:row>
    <s:row r="28161" hidden="1" ht="1" customHeight="1">
      <s:c r="A28161" s="120" t="inlineStr"/>
      <s:c r="B28161" s="121" t="n"/>
      <s:c r="C28161" s="121" t="n"/>
      <s:c r="D28161" s="121" t="n"/>
      <s:c r="E28161" s="122" t="n"/>
    </s:row>
    <s:row r="28162" hidden="1" ht="1" customHeight="1">
      <s:c r="A28162" s="120" t="inlineStr"/>
      <s:c r="B28162" s="121" t="n"/>
      <s:c r="C28162" s="121" t="n"/>
      <s:c r="D28162" s="121" t="n"/>
      <s:c r="E28162" s="122" t="n"/>
    </s:row>
    <s:row r="28163" hidden="1" ht="1" customHeight="1">
      <s:c r="A28163" s="120" t="inlineStr"/>
      <s:c r="B28163" s="121" t="n"/>
      <s:c r="C28163" s="121" t="n"/>
      <s:c r="D28163" s="121" t="n"/>
      <s:c r="E28163" s="122" t="n"/>
    </s:row>
    <s:row r="28164" hidden="1" ht="1" customHeight="1">
      <s:c r="A28164" s="120" t="inlineStr"/>
      <s:c r="B28164" s="121" t="n"/>
      <s:c r="C28164" s="121" t="n"/>
      <s:c r="D28164" s="121" t="n"/>
      <s:c r="E28164" s="122" t="n"/>
    </s:row>
    <s:row r="28165" hidden="1" ht="1" customHeight="1">
      <s:c r="A28165" s="120" t="inlineStr"/>
      <s:c r="B28165" s="121" t="n"/>
      <s:c r="C28165" s="121" t="n"/>
      <s:c r="D28165" s="121" t="n"/>
      <s:c r="E28165" s="122" t="n"/>
    </s:row>
    <s:row r="28166" hidden="1" ht="1" customHeight="1">
      <s:c r="A28166" s="120" t="inlineStr"/>
      <s:c r="B28166" s="121" t="n"/>
      <s:c r="C28166" s="121" t="n"/>
      <s:c r="D28166" s="121" t="n"/>
      <s:c r="E28166" s="122" t="n"/>
    </s:row>
    <s:row r="28167" hidden="1" ht="1" customHeight="1">
      <s:c r="A28167" s="120" t="inlineStr"/>
      <s:c r="B28167" s="121" t="n"/>
      <s:c r="C28167" s="121" t="n"/>
      <s:c r="D28167" s="121" t="n"/>
      <s:c r="E28167" s="122" t="n"/>
    </s:row>
    <s:row r="28168" hidden="1" ht="1" customHeight="1">
      <s:c r="A28168" s="120" t="inlineStr"/>
      <s:c r="B28168" s="121" t="n"/>
      <s:c r="C28168" s="121" t="n"/>
      <s:c r="D28168" s="121" t="n"/>
      <s:c r="E28168" s="122" t="n"/>
    </s:row>
    <s:row r="28169" hidden="1" ht="1" customHeight="1">
      <s:c r="A28169" s="120" t="inlineStr"/>
      <s:c r="B28169" s="121" t="n"/>
      <s:c r="C28169" s="121" t="n"/>
      <s:c r="D28169" s="121" t="n"/>
      <s:c r="E28169" s="122" t="n"/>
    </s:row>
    <s:row r="28170" hidden="1" ht="1" customHeight="1">
      <s:c r="A28170" s="120" t="inlineStr"/>
      <s:c r="B28170" s="121" t="n"/>
      <s:c r="C28170" s="121" t="n"/>
      <s:c r="D28170" s="121" t="n"/>
      <s:c r="E28170" s="122" t="n"/>
    </s:row>
    <s:row r="28171" hidden="1" ht="1" customHeight="1">
      <s:c r="A28171" s="120" t="inlineStr"/>
      <s:c r="B28171" s="121" t="n"/>
      <s:c r="C28171" s="121" t="n"/>
      <s:c r="D28171" s="121" t="n"/>
      <s:c r="E28171" s="122" t="n"/>
    </s:row>
    <s:row r="28172" hidden="1" ht="1" customHeight="1">
      <s:c r="A28172" s="120" t="inlineStr"/>
      <s:c r="B28172" s="121" t="n"/>
      <s:c r="C28172" s="121" t="n"/>
      <s:c r="D28172" s="121" t="n"/>
      <s:c r="E28172" s="122" t="n"/>
    </s:row>
    <s:row r="28173" hidden="1" ht="1" customHeight="1">
      <s:c r="A28173" s="120" t="inlineStr"/>
      <s:c r="B28173" s="121" t="n"/>
      <s:c r="C28173" s="121" t="n"/>
      <s:c r="D28173" s="121" t="n"/>
      <s:c r="E28173" s="122" t="n"/>
    </s:row>
    <s:row r="28174" hidden="1" ht="1" customHeight="1">
      <s:c r="A28174" s="120" t="inlineStr"/>
      <s:c r="B28174" s="121" t="n"/>
      <s:c r="C28174" s="121" t="n"/>
      <s:c r="D28174" s="121" t="n"/>
      <s:c r="E28174" s="122" t="n"/>
    </s:row>
    <s:row r="28175" hidden="1" ht="1" customHeight="1">
      <s:c r="A28175" s="120" t="inlineStr"/>
      <s:c r="B28175" s="121" t="n"/>
      <s:c r="C28175" s="121" t="n"/>
      <s:c r="D28175" s="121" t="n"/>
      <s:c r="E28175" s="122" t="n"/>
    </s:row>
    <s:row r="28176" hidden="1" ht="1" customHeight="1">
      <s:c r="A28176" s="120" t="inlineStr"/>
      <s:c r="B28176" s="121" t="n"/>
      <s:c r="C28176" s="121" t="n"/>
      <s:c r="D28176" s="121" t="n"/>
      <s:c r="E28176" s="122" t="n"/>
    </s:row>
    <s:row r="28177" hidden="1" ht="1" customHeight="1">
      <s:c r="A28177" s="120" t="inlineStr"/>
      <s:c r="B28177" s="121" t="n"/>
      <s:c r="C28177" s="121" t="n"/>
      <s:c r="D28177" s="121" t="n"/>
      <s:c r="E28177" s="122" t="n"/>
    </s:row>
    <s:row r="28178" hidden="1" ht="1" customHeight="1">
      <s:c r="A28178" s="120" t="inlineStr"/>
      <s:c r="B28178" s="121" t="n"/>
      <s:c r="C28178" s="121" t="n"/>
      <s:c r="D28178" s="121" t="n"/>
      <s:c r="E28178" s="122" t="n"/>
    </s:row>
    <s:row r="28179" hidden="1" ht="1" customHeight="1">
      <s:c r="A28179" s="120" t="inlineStr"/>
      <s:c r="B28179" s="121" t="n"/>
      <s:c r="C28179" s="121" t="n"/>
      <s:c r="D28179" s="121" t="n"/>
      <s:c r="E28179" s="122" t="n"/>
    </s:row>
    <s:row r="28180" hidden="1" ht="1" customHeight="1">
      <s:c r="A28180" s="120" t="inlineStr"/>
      <s:c r="B28180" s="121" t="n"/>
      <s:c r="C28180" s="121" t="n"/>
      <s:c r="D28180" s="121" t="n"/>
      <s:c r="E28180" s="122" t="n"/>
    </s:row>
    <s:row r="28181" hidden="1" ht="1" customHeight="1">
      <s:c r="A28181" s="120" t="inlineStr"/>
      <s:c r="B28181" s="121" t="n"/>
      <s:c r="C28181" s="121" t="n"/>
      <s:c r="D28181" s="121" t="n"/>
      <s:c r="E28181" s="122" t="n"/>
    </s:row>
    <s:row r="28182" hidden="1" ht="1" customHeight="1">
      <s:c r="A28182" s="120" t="inlineStr"/>
      <s:c r="B28182" s="121" t="n"/>
      <s:c r="C28182" s="121" t="n"/>
      <s:c r="D28182" s="121" t="n"/>
      <s:c r="E28182" s="122" t="n"/>
    </s:row>
    <s:row r="28183" hidden="1" ht="1" customHeight="1">
      <s:c r="A28183" s="120" t="inlineStr"/>
      <s:c r="B28183" s="121" t="n"/>
      <s:c r="C28183" s="121" t="n"/>
      <s:c r="D28183" s="121" t="n"/>
      <s:c r="E28183" s="122" t="n"/>
    </s:row>
    <s:row r="28184" hidden="1" ht="1" customHeight="1">
      <s:c r="A28184" s="120" t="inlineStr"/>
      <s:c r="B28184" s="121" t="n"/>
      <s:c r="C28184" s="121" t="n"/>
      <s:c r="D28184" s="121" t="n"/>
      <s:c r="E28184" s="122" t="n"/>
    </s:row>
    <s:row r="28185" hidden="1" ht="1" customHeight="1">
      <s:c r="A28185" s="120" t="inlineStr"/>
      <s:c r="B28185" s="121" t="n"/>
      <s:c r="C28185" s="121" t="n"/>
      <s:c r="D28185" s="121" t="n"/>
      <s:c r="E28185" s="122" t="n"/>
    </s:row>
    <s:row r="28186" hidden="1" ht="1" customHeight="1">
      <s:c r="A28186" s="120" t="inlineStr"/>
      <s:c r="B28186" s="121" t="n"/>
      <s:c r="C28186" s="121" t="n"/>
      <s:c r="D28186" s="121" t="n"/>
      <s:c r="E28186" s="122" t="n"/>
    </s:row>
    <s:row r="28187" hidden="1" ht="1" customHeight="1">
      <s:c r="A28187" s="120" t="inlineStr"/>
      <s:c r="B28187" s="121" t="n"/>
      <s:c r="C28187" s="121" t="n"/>
      <s:c r="D28187" s="121" t="n"/>
      <s:c r="E28187" s="122" t="n"/>
    </s:row>
    <s:row r="28188" hidden="1" ht="1" customHeight="1">
      <s:c r="A28188" s="120" t="inlineStr"/>
      <s:c r="B28188" s="121" t="n"/>
      <s:c r="C28188" s="121" t="n"/>
      <s:c r="D28188" s="121" t="n"/>
      <s:c r="E28188" s="122" t="n"/>
    </s:row>
    <s:row r="28189" hidden="1" ht="1" customHeight="1">
      <s:c r="A28189" s="120" t="inlineStr"/>
      <s:c r="B28189" s="121" t="n"/>
      <s:c r="C28189" s="121" t="n"/>
      <s:c r="D28189" s="121" t="n"/>
      <s:c r="E28189" s="122" t="n"/>
    </s:row>
    <s:row r="28190" hidden="1" ht="1" customHeight="1">
      <s:c r="A28190" s="120" t="inlineStr"/>
      <s:c r="B28190" s="121" t="n"/>
      <s:c r="C28190" s="121" t="n"/>
      <s:c r="D28190" s="121" t="n"/>
      <s:c r="E28190" s="122" t="n"/>
    </s:row>
    <s:row r="28191" hidden="1" ht="1" customHeight="1">
      <s:c r="A28191" s="120" t="inlineStr"/>
      <s:c r="B28191" s="121" t="n"/>
      <s:c r="C28191" s="121" t="n"/>
      <s:c r="D28191" s="121" t="n"/>
      <s:c r="E28191" s="122" t="n"/>
    </s:row>
    <s:row r="28192" hidden="1" ht="1" customHeight="1">
      <s:c r="A28192" s="120" t="inlineStr"/>
      <s:c r="B28192" s="121" t="n"/>
      <s:c r="C28192" s="121" t="n"/>
      <s:c r="D28192" s="121" t="n"/>
      <s:c r="E28192" s="122" t="n"/>
    </s:row>
    <s:row r="28193" hidden="1" ht="1" customHeight="1">
      <s:c r="A28193" s="120" t="inlineStr"/>
      <s:c r="B28193" s="121" t="n"/>
      <s:c r="C28193" s="121" t="n"/>
      <s:c r="D28193" s="121" t="n"/>
      <s:c r="E28193" s="122" t="n"/>
    </s:row>
    <s:row r="28194" hidden="1" ht="1" customHeight="1">
      <s:c r="A28194" s="120" t="inlineStr"/>
      <s:c r="B28194" s="121" t="n"/>
      <s:c r="C28194" s="121" t="n"/>
      <s:c r="D28194" s="121" t="n"/>
      <s:c r="E28194" s="122" t="n"/>
    </s:row>
    <s:row r="28195" hidden="1" ht="1" customHeight="1">
      <s:c r="A28195" s="120" t="inlineStr"/>
      <s:c r="B28195" s="121" t="n"/>
      <s:c r="C28195" s="121" t="n"/>
      <s:c r="D28195" s="121" t="n"/>
      <s:c r="E28195" s="122" t="n"/>
    </s:row>
    <s:row r="28196" hidden="1" ht="1" customHeight="1">
      <s:c r="A28196" s="120" t="inlineStr"/>
      <s:c r="B28196" s="121" t="n"/>
      <s:c r="C28196" s="121" t="n"/>
      <s:c r="D28196" s="121" t="n"/>
      <s:c r="E28196" s="122" t="n"/>
    </s:row>
    <s:row r="28197" hidden="1" ht="1" customHeight="1">
      <s:c r="A28197" s="120" t="inlineStr"/>
      <s:c r="B28197" s="121" t="n"/>
      <s:c r="C28197" s="121" t="n"/>
      <s:c r="D28197" s="121" t="n"/>
      <s:c r="E28197" s="122" t="n"/>
    </s:row>
    <s:row r="28198" hidden="1" ht="1" customHeight="1">
      <s:c r="A28198" s="120" t="inlineStr"/>
      <s:c r="B28198" s="121" t="n"/>
      <s:c r="C28198" s="121" t="n"/>
      <s:c r="D28198" s="121" t="n"/>
      <s:c r="E28198" s="122" t="n"/>
    </s:row>
    <s:row r="28199" hidden="1" ht="1" customHeight="1">
      <s:c r="A28199" s="120" t="inlineStr"/>
      <s:c r="B28199" s="121" t="n"/>
      <s:c r="C28199" s="121" t="n"/>
      <s:c r="D28199" s="121" t="n"/>
      <s:c r="E28199" s="122" t="n"/>
    </s:row>
    <s:row r="28200" hidden="1" ht="1" customHeight="1">
      <s:c r="A28200" s="120" t="inlineStr"/>
      <s:c r="B28200" s="121" t="n"/>
      <s:c r="C28200" s="121" t="n"/>
      <s:c r="D28200" s="121" t="n"/>
      <s:c r="E28200" s="122" t="n"/>
    </s:row>
    <s:row r="28201" hidden="1" ht="1" customHeight="1">
      <s:c r="A28201" s="120" t="inlineStr"/>
      <s:c r="B28201" s="121" t="n"/>
      <s:c r="C28201" s="121" t="n"/>
      <s:c r="D28201" s="121" t="n"/>
      <s:c r="E28201" s="122" t="n"/>
    </s:row>
    <s:row r="28202" hidden="1" ht="1" customHeight="1">
      <s:c r="A28202" s="120" t="inlineStr"/>
      <s:c r="B28202" s="121" t="n"/>
      <s:c r="C28202" s="121" t="n"/>
      <s:c r="D28202" s="121" t="n"/>
      <s:c r="E28202" s="122" t="n"/>
    </s:row>
    <s:row r="28203" hidden="1" ht="1" customHeight="1">
      <s:c r="A28203" s="120" t="inlineStr"/>
      <s:c r="B28203" s="121" t="n"/>
      <s:c r="C28203" s="121" t="n"/>
      <s:c r="D28203" s="121" t="n"/>
      <s:c r="E28203" s="122" t="n"/>
    </s:row>
    <s:row r="28204" hidden="1" ht="1" customHeight="1">
      <s:c r="A28204" s="120" t="inlineStr"/>
      <s:c r="B28204" s="121" t="n"/>
      <s:c r="C28204" s="121" t="n"/>
      <s:c r="D28204" s="121" t="n"/>
      <s:c r="E28204" s="122" t="n"/>
    </s:row>
    <s:row r="28205" hidden="1" ht="1" customHeight="1">
      <s:c r="A28205" s="83" t="inlineStr">
        <s:is>
          <s:t>PASS</s:t>
        </s:is>
      </s:c>
      <s:c r="B28205" s="83">
        <s:f>SUM(IF(EXACT('Kiểm thử'!E28155,"Đạt"),1,0))</s:f>
        <s:v/>
      </s:c>
      <s:c r="C28205" s="19" t="n"/>
      <s:c r="D28205" s="19" t="n"/>
      <s:c r="E28205" s="19" t="n"/>
    </s:row>
    <s:row r="28206" hidden="1" ht="1" customHeight="1">
      <s:c r="A28206" s="83" t="inlineStr">
        <s:is>
          <s:t>FAIL</s:t>
        </s:is>
      </s:c>
      <s:c r="B28206" s="83">
        <s:f>SUM(IF(EXACT('Kiểm thử'!E28155,"Không đạt"),1,0))</s:f>
        <s:v/>
      </s:c>
      <s:c r="C28206" s="19" t="n"/>
      <s:c r="D28206" s="19" t="n"/>
      <s:c r="E28206" s="19" t="n"/>
    </s:row>
    <s:row r="28207" hidden="1" ht="1" customHeight="1">
      <s:c r="A28207" s="83" t="inlineStr">
        <s:is>
          <s:t>BLOCKED</s:t>
        </s:is>
      </s:c>
      <s:c r="B28207" s="83">
        <s:f>SUM(IF(EXACT('Kiểm thử'!E28155,"Bị chặn"),1,0))</s:f>
        <s:v/>
      </s:c>
      <s:c r="C28207" s="19" t="n"/>
      <s:c r="D28207" s="19" t="n"/>
      <s:c r="E28207" s="19" t="n"/>
    </s:row>
    <s:row r="28208" hidden="1" ht="1" customHeight="1">
      <s:c r="A28208" s="83" t="inlineStr">
        <s:is>
          <s:t>SKIPPED</s:t>
        </s:is>
      </s:c>
      <s:c r="B28208" s="83">
        <s:f>SUM(IF(EXACT('Kiểm thử'!E28155,"Không thực hiện"),1,0))</s:f>
        <s:v/>
      </s:c>
      <s:c r="C28208" s="19" t="n"/>
      <s:c r="D28208" s="19" t="n"/>
      <s:c r="E28208" s="19" t="n"/>
    </s:row>
    <s:row r="28209" hidden="1" ht="1" customHeight="1">
      <s:c r="A28209" s="83" t="inlineStr">
        <s:is>
          <s:t>NOT RUN</s:t>
        </s:is>
      </s:c>
      <s:c r="B28209" s="83">
        <s:f>SUM(IF(EXACT('Kiểm thử'!E28155,"Chưa thực hiện"),1,0))</s:f>
        <s:v/>
      </s:c>
      <s:c r="C28209" s="19" t="n"/>
      <s:c r="D28209" s="19" t="n"/>
      <s:c r="E28209" s="19" t="n"/>
    </s:row>
    <s:row r="28210" hidden="1" ht="6" customHeight="1">
      <s:c r="A28210" s="83" t="inlineStr"/>
      <s:c r="B28210" s="19" t="n"/>
      <s:c r="C28210" s="19" t="n"/>
      <s:c r="D28210" s="19" t="n"/>
      <s:c r="E28210" s="19" t="n"/>
    </s:row>
    <s:row r="28211" ht="28" customHeight="1">
      <s:c r="A28211" s="108" t="inlineStr">
        <s:is>
          <s:t>TC-RS-DATA-006 — Giá trị legacy giữ nguyên khi thay đổi rule mới</s:t>
        </s:is>
      </s:c>
      <s:c r="B28211" s="111" t="n"/>
      <s:c r="C28211" s="111" t="n"/>
      <s:c r="D28211" s="111" t="n"/>
      <s:c r="E28211" s="111" t="n"/>
    </s:row>
    <s:row r="28212" ht="20" customHeight="1">
      <s:c r="A28212" s="112" t="inlineStr">
        <s:is>
          <s:t>Kết quả tình huống</s:t>
        </s:is>
      </s:c>
      <s:c r="B28212" s="113">
        <s:f>IF(SUM(IF(EXACT('Kiểm thử'!E28220,"Không đạt"),1,0))&gt;0,"Không đạt",IF(SUM(IF(EXACT('Kiểm thử'!E28220,"Đạt"),1,0))=1,"Đạt",IF(SUM(IF(EXACT('Kiểm thử'!E28220,"Không thực hiện"),1,0))=1,"Không thực hiện",IF(SUM(IF(EXACT('Kiểm thử'!E28220,"Bị chặn"),1,0))&gt;0,"Bị chặn",IF(SUM(IF(EXACT('Kiểm thử'!E28220,"Chưa thực hiện"),1,0))=1,"Chưa thực hiện","Đang thực hiện")))))</s:f>
        <s:v/>
      </s:c>
      <s:c r="C28212" s="114" t="n"/>
      <s:c r="D28212" s="114" t="n"/>
      <s:c r="E28212" s="114" t="n"/>
    </s:row>
    <s:row r="28213" ht="20" customHeight="1">
      <s:c r="A28213" s="112" t="inlineStr">
        <s:is>
          <s:t>Màn hình / chức năng</s:t>
        </s:is>
      </s:c>
      <s:c r="B28213" s="113" t="inlineStr">
        <s:is>
          <s:t>Bảo toàn dữ liệu và cấu hình</s:t>
        </s:is>
      </s:c>
      <s:c r="C28213" s="28" t="n"/>
      <s:c r="D28213" s="28" t="n"/>
      <s:c r="E28213" s="28" t="n"/>
    </s:row>
    <s:row r="28214" ht="20" customHeight="1">
      <s:c r="A28214" s="112" t="inlineStr">
        <s:is>
          <s:t>Cấu hình</s:t>
        </s:is>
      </s:c>
      <s:c r="B28214" s="113" t="inlineStr">
        <s:is>
          <s:t>• Có giá trị và kết quả legacy trước khi thêm rule mới.</s:t>
        </s:is>
      </s:c>
      <s:c r="C28214" s="28" t="n"/>
      <s:c r="D28214" s="28" t="n"/>
      <s:c r="E28214" s="28" t="n"/>
    </s:row>
    <s:row r="28215" ht="20" customHeight="1">
      <s:c r="A28215" s="112" t="inlineStr">
        <s:is>
          <s:t>Dữ liệu test</s:t>
        </s:is>
      </s:c>
      <s:c r="B28215" s="113" t="inlineStr">
        <s:is>
          <s:t>• Có giá trị và kết quả legacy trước khi thêm rule mới.</s:t>
        </s:is>
      </s:c>
      <s:c r="C28215" s="28" t="n"/>
      <s:c r="D28215" s="28" t="n"/>
      <s:c r="E28215" s="28" t="n"/>
    </s:row>
    <s:row r="28216" ht="20" customHeight="1">
      <s:c r="A28216" s="112" t="inlineStr">
        <s:is>
          <s:t>Bước 1</s:t>
        </s:is>
      </s:c>
      <s:c r="B28216" s="113" t="inlineStr">
        <s:is>
          <s:t>Thêm, sửa, xóa và chạy rule mới.</s:t>
        </s:is>
      </s:c>
      <s:c r="C28216" s="28" t="n"/>
      <s:c r="D28216" s="28" t="n"/>
      <s:c r="E28216" s="28" t="n"/>
    </s:row>
    <s:row r="28217" ht="20" customHeight="1">
      <s:c r="A28217" s="112" t="inlineStr">
        <s:is>
          <s:t>Bước 2</s:t>
        </s:is>
      </s:c>
      <s:c r="B28217" s="113" t="inlineStr">
        <s:is>
          <s:t>Đọc lại giá trị legacy và kết quả legacy.</s:t>
        </s:is>
      </s:c>
      <s:c r="C28217" s="28" t="n"/>
      <s:c r="D28217" s="28" t="n"/>
      <s:c r="E28217" s="28" t="n"/>
    </s:row>
    <s:row r="28218" ht="28" customHeight="1">
      <s:c r="A28218" s="115" t="inlineStr">
        <s:is>
          <s:t>Trường hợp</s:t>
        </s:is>
      </s:c>
      <s:c r="B28218" s="115" t="inlineStr">
        <s:is>
          <s:t>Dữ liệu / thao tác riêng</s:t>
        </s:is>
      </s:c>
      <s:c r="C28218" s="115" t="inlineStr">
        <s:is>
          <s:t>Kết quả mong đợi</s:t>
        </s:is>
      </s:c>
      <s:c r="D28218" s="115" t="inlineStr">
        <s:is>
          <s:t>Kết quả thực tế</s:t>
        </s:is>
      </s:c>
      <s:c r="E28218" s="115" t="inlineStr">
        <s:is>
          <s:t>Đánh giá</s:t>
        </s:is>
      </s:c>
    </s:row>
    <s:row r="28219" ht="3" customHeight="1">
      <s:c r="A28219" s="102" t="inlineStr"/>
      <s:c r="B28219" s="99" t="n"/>
      <s:c r="C28219" s="99" t="n"/>
      <s:c r="D28219" s="116" t="n"/>
      <s:c r="E28219" s="116" t="n"/>
    </s:row>
    <s:row r="28220" ht="62" customHeight="1">
      <s:c r="A28220" s="83" t="inlineStr">
        <s:is>
          <s:t>Trường hợp cơ bản (Base)</s:t>
        </s:is>
      </s:c>
      <s:c r="B28220" s="83" t="inlineStr">
        <s:is>
          <s:t>Toàn bộ tình huống: Thực hiện đủ các bước chung theo thứ tự; kiểm cả đối tượng đích và đối chứng cùng fixture, không bỏ bước.</s:t>
        </s:is>
      </s:c>
      <s:c r="C28220" s="83" t="inlineStr">
        <s:is>
          <s:t>Giá trị legacy không bị sửa, xóa hoặc dùng lại làm kết quả cá nhân của rule mới.</s:t>
        </s:is>
      </s:c>
      <s:c r="D28220" s="117" t="inlineStr"/>
      <s:c r="E28220" s="118" t="inlineStr">
        <s:is>
          <s:t>Chưa thực hiện</s:t>
        </s:is>
      </s:c>
    </s:row>
    <s:row r="28221" ht="20" customHeight="1">
      <s:c r="A28221" s="119" t="inlineStr">
        <s:is>
          <s:t>Ảnh minh chứng — Chưa có ảnh</s:t>
        </s:is>
      </s:c>
      <s:c r="B28221" s="19" t="n"/>
      <s:c r="C28221" s="19" t="n"/>
      <s:c r="D28221" s="19" t="n"/>
      <s:c r="E28221" s="19" t="n"/>
    </s:row>
    <s:row r="28222" hidden="1" ht="1" customHeight="1">
      <s:c r="A28222" s="120" t="inlineStr"/>
      <s:c r="B28222" s="121" t="n"/>
      <s:c r="C28222" s="121" t="n"/>
      <s:c r="D28222" s="121" t="n"/>
      <s:c r="E28222" s="122" t="n"/>
    </s:row>
    <s:row r="28223" hidden="1" ht="1" customHeight="1">
      <s:c r="A28223" s="120" t="inlineStr"/>
      <s:c r="B28223" s="121" t="n"/>
      <s:c r="C28223" s="121" t="n"/>
      <s:c r="D28223" s="121" t="n"/>
      <s:c r="E28223" s="122" t="n"/>
    </s:row>
    <s:row r="28224" hidden="1" ht="1" customHeight="1">
      <s:c r="A28224" s="120" t="inlineStr"/>
      <s:c r="B28224" s="121" t="n"/>
      <s:c r="C28224" s="121" t="n"/>
      <s:c r="D28224" s="121" t="n"/>
      <s:c r="E28224" s="122" t="n"/>
    </s:row>
    <s:row r="28225" hidden="1" ht="1" customHeight="1">
      <s:c r="A28225" s="120" t="inlineStr"/>
      <s:c r="B28225" s="121" t="n"/>
      <s:c r="C28225" s="121" t="n"/>
      <s:c r="D28225" s="121" t="n"/>
      <s:c r="E28225" s="122" t="n"/>
    </s:row>
    <s:row r="28226" hidden="1" ht="1" customHeight="1">
      <s:c r="A28226" s="120" t="inlineStr"/>
      <s:c r="B28226" s="121" t="n"/>
      <s:c r="C28226" s="121" t="n"/>
      <s:c r="D28226" s="121" t="n"/>
      <s:c r="E28226" s="122" t="n"/>
    </s:row>
    <s:row r="28227" hidden="1" ht="1" customHeight="1">
      <s:c r="A28227" s="120" t="inlineStr"/>
      <s:c r="B28227" s="121" t="n"/>
      <s:c r="C28227" s="121" t="n"/>
      <s:c r="D28227" s="121" t="n"/>
      <s:c r="E28227" s="122" t="n"/>
    </s:row>
    <s:row r="28228" hidden="1" ht="1" customHeight="1">
      <s:c r="A28228" s="120" t="inlineStr"/>
      <s:c r="B28228" s="121" t="n"/>
      <s:c r="C28228" s="121" t="n"/>
      <s:c r="D28228" s="121" t="n"/>
      <s:c r="E28228" s="122" t="n"/>
    </s:row>
    <s:row r="28229" hidden="1" ht="1" customHeight="1">
      <s:c r="A28229" s="120" t="inlineStr"/>
      <s:c r="B28229" s="121" t="n"/>
      <s:c r="C28229" s="121" t="n"/>
      <s:c r="D28229" s="121" t="n"/>
      <s:c r="E28229" s="122" t="n"/>
    </s:row>
    <s:row r="28230" hidden="1" ht="1" customHeight="1">
      <s:c r="A28230" s="120" t="inlineStr"/>
      <s:c r="B28230" s="121" t="n"/>
      <s:c r="C28230" s="121" t="n"/>
      <s:c r="D28230" s="121" t="n"/>
      <s:c r="E28230" s="122" t="n"/>
    </s:row>
    <s:row r="28231" hidden="1" ht="1" customHeight="1">
      <s:c r="A28231" s="120" t="inlineStr"/>
      <s:c r="B28231" s="121" t="n"/>
      <s:c r="C28231" s="121" t="n"/>
      <s:c r="D28231" s="121" t="n"/>
      <s:c r="E28231" s="122" t="n"/>
    </s:row>
    <s:row r="28232" hidden="1" ht="1" customHeight="1">
      <s:c r="A28232" s="120" t="inlineStr"/>
      <s:c r="B28232" s="121" t="n"/>
      <s:c r="C28232" s="121" t="n"/>
      <s:c r="D28232" s="121" t="n"/>
      <s:c r="E28232" s="122" t="n"/>
    </s:row>
    <s:row r="28233" hidden="1" ht="1" customHeight="1">
      <s:c r="A28233" s="120" t="inlineStr"/>
      <s:c r="B28233" s="121" t="n"/>
      <s:c r="C28233" s="121" t="n"/>
      <s:c r="D28233" s="121" t="n"/>
      <s:c r="E28233" s="122" t="n"/>
    </s:row>
    <s:row r="28234" hidden="1" ht="1" customHeight="1">
      <s:c r="A28234" s="120" t="inlineStr"/>
      <s:c r="B28234" s="121" t="n"/>
      <s:c r="C28234" s="121" t="n"/>
      <s:c r="D28234" s="121" t="n"/>
      <s:c r="E28234" s="122" t="n"/>
    </s:row>
    <s:row r="28235" hidden="1" ht="1" customHeight="1">
      <s:c r="A28235" s="120" t="inlineStr"/>
      <s:c r="B28235" s="121" t="n"/>
      <s:c r="C28235" s="121" t="n"/>
      <s:c r="D28235" s="121" t="n"/>
      <s:c r="E28235" s="122" t="n"/>
    </s:row>
    <s:row r="28236" hidden="1" ht="1" customHeight="1">
      <s:c r="A28236" s="120" t="inlineStr"/>
      <s:c r="B28236" s="121" t="n"/>
      <s:c r="C28236" s="121" t="n"/>
      <s:c r="D28236" s="121" t="n"/>
      <s:c r="E28236" s="122" t="n"/>
    </s:row>
    <s:row r="28237" hidden="1" ht="1" customHeight="1">
      <s:c r="A28237" s="120" t="inlineStr"/>
      <s:c r="B28237" s="121" t="n"/>
      <s:c r="C28237" s="121" t="n"/>
      <s:c r="D28237" s="121" t="n"/>
      <s:c r="E28237" s="122" t="n"/>
    </s:row>
    <s:row r="28238" hidden="1" ht="1" customHeight="1">
      <s:c r="A28238" s="120" t="inlineStr"/>
      <s:c r="B28238" s="121" t="n"/>
      <s:c r="C28238" s="121" t="n"/>
      <s:c r="D28238" s="121" t="n"/>
      <s:c r="E28238" s="122" t="n"/>
    </s:row>
    <s:row r="28239" hidden="1" ht="1" customHeight="1">
      <s:c r="A28239" s="120" t="inlineStr"/>
      <s:c r="B28239" s="121" t="n"/>
      <s:c r="C28239" s="121" t="n"/>
      <s:c r="D28239" s="121" t="n"/>
      <s:c r="E28239" s="122" t="n"/>
    </s:row>
    <s:row r="28240" hidden="1" ht="1" customHeight="1">
      <s:c r="A28240" s="120" t="inlineStr"/>
      <s:c r="B28240" s="121" t="n"/>
      <s:c r="C28240" s="121" t="n"/>
      <s:c r="D28240" s="121" t="n"/>
      <s:c r="E28240" s="122" t="n"/>
    </s:row>
    <s:row r="28241" hidden="1" ht="1" customHeight="1">
      <s:c r="A28241" s="120" t="inlineStr"/>
      <s:c r="B28241" s="121" t="n"/>
      <s:c r="C28241" s="121" t="n"/>
      <s:c r="D28241" s="121" t="n"/>
      <s:c r="E28241" s="122" t="n"/>
    </s:row>
    <s:row r="28242" hidden="1" ht="1" customHeight="1">
      <s:c r="A28242" s="120" t="inlineStr"/>
      <s:c r="B28242" s="121" t="n"/>
      <s:c r="C28242" s="121" t="n"/>
      <s:c r="D28242" s="121" t="n"/>
      <s:c r="E28242" s="122" t="n"/>
    </s:row>
    <s:row r="28243" hidden="1" ht="1" customHeight="1">
      <s:c r="A28243" s="120" t="inlineStr"/>
      <s:c r="B28243" s="121" t="n"/>
      <s:c r="C28243" s="121" t="n"/>
      <s:c r="D28243" s="121" t="n"/>
      <s:c r="E28243" s="122" t="n"/>
    </s:row>
    <s:row r="28244" hidden="1" ht="1" customHeight="1">
      <s:c r="A28244" s="120" t="inlineStr"/>
      <s:c r="B28244" s="121" t="n"/>
      <s:c r="C28244" s="121" t="n"/>
      <s:c r="D28244" s="121" t="n"/>
      <s:c r="E28244" s="122" t="n"/>
    </s:row>
    <s:row r="28245" hidden="1" ht="1" customHeight="1">
      <s:c r="A28245" s="120" t="inlineStr"/>
      <s:c r="B28245" s="121" t="n"/>
      <s:c r="C28245" s="121" t="n"/>
      <s:c r="D28245" s="121" t="n"/>
      <s:c r="E28245" s="122" t="n"/>
    </s:row>
    <s:row r="28246" hidden="1" ht="1" customHeight="1">
      <s:c r="A28246" s="120" t="inlineStr"/>
      <s:c r="B28246" s="121" t="n"/>
      <s:c r="C28246" s="121" t="n"/>
      <s:c r="D28246" s="121" t="n"/>
      <s:c r="E28246" s="122" t="n"/>
    </s:row>
    <s:row r="28247" hidden="1" ht="1" customHeight="1">
      <s:c r="A28247" s="120" t="inlineStr"/>
      <s:c r="B28247" s="121" t="n"/>
      <s:c r="C28247" s="121" t="n"/>
      <s:c r="D28247" s="121" t="n"/>
      <s:c r="E28247" s="122" t="n"/>
    </s:row>
    <s:row r="28248" hidden="1" ht="1" customHeight="1">
      <s:c r="A28248" s="120" t="inlineStr"/>
      <s:c r="B28248" s="121" t="n"/>
      <s:c r="C28248" s="121" t="n"/>
      <s:c r="D28248" s="121" t="n"/>
      <s:c r="E28248" s="122" t="n"/>
    </s:row>
    <s:row r="28249" hidden="1" ht="1" customHeight="1">
      <s:c r="A28249" s="120" t="inlineStr"/>
      <s:c r="B28249" s="121" t="n"/>
      <s:c r="C28249" s="121" t="n"/>
      <s:c r="D28249" s="121" t="n"/>
      <s:c r="E28249" s="122" t="n"/>
    </s:row>
    <s:row r="28250" hidden="1" ht="1" customHeight="1">
      <s:c r="A28250" s="120" t="inlineStr"/>
      <s:c r="B28250" s="121" t="n"/>
      <s:c r="C28250" s="121" t="n"/>
      <s:c r="D28250" s="121" t="n"/>
      <s:c r="E28250" s="122" t="n"/>
    </s:row>
    <s:row r="28251" hidden="1" ht="1" customHeight="1">
      <s:c r="A28251" s="120" t="inlineStr"/>
      <s:c r="B28251" s="121" t="n"/>
      <s:c r="C28251" s="121" t="n"/>
      <s:c r="D28251" s="121" t="n"/>
      <s:c r="E28251" s="122" t="n"/>
    </s:row>
    <s:row r="28252" hidden="1" ht="1" customHeight="1">
      <s:c r="A28252" s="120" t="inlineStr"/>
      <s:c r="B28252" s="121" t="n"/>
      <s:c r="C28252" s="121" t="n"/>
      <s:c r="D28252" s="121" t="n"/>
      <s:c r="E28252" s="122" t="n"/>
    </s:row>
    <s:row r="28253" hidden="1" ht="1" customHeight="1">
      <s:c r="A28253" s="120" t="inlineStr"/>
      <s:c r="B28253" s="121" t="n"/>
      <s:c r="C28253" s="121" t="n"/>
      <s:c r="D28253" s="121" t="n"/>
      <s:c r="E28253" s="122" t="n"/>
    </s:row>
    <s:row r="28254" hidden="1" ht="1" customHeight="1">
      <s:c r="A28254" s="120" t="inlineStr"/>
      <s:c r="B28254" s="121" t="n"/>
      <s:c r="C28254" s="121" t="n"/>
      <s:c r="D28254" s="121" t="n"/>
      <s:c r="E28254" s="122" t="n"/>
    </s:row>
    <s:row r="28255" hidden="1" ht="1" customHeight="1">
      <s:c r="A28255" s="120" t="inlineStr"/>
      <s:c r="B28255" s="121" t="n"/>
      <s:c r="C28255" s="121" t="n"/>
      <s:c r="D28255" s="121" t="n"/>
      <s:c r="E28255" s="122" t="n"/>
    </s:row>
    <s:row r="28256" hidden="1" ht="1" customHeight="1">
      <s:c r="A28256" s="120" t="inlineStr"/>
      <s:c r="B28256" s="121" t="n"/>
      <s:c r="C28256" s="121" t="n"/>
      <s:c r="D28256" s="121" t="n"/>
      <s:c r="E28256" s="122" t="n"/>
    </s:row>
    <s:row r="28257" hidden="1" ht="1" customHeight="1">
      <s:c r="A28257" s="120" t="inlineStr"/>
      <s:c r="B28257" s="121" t="n"/>
      <s:c r="C28257" s="121" t="n"/>
      <s:c r="D28257" s="121" t="n"/>
      <s:c r="E28257" s="122" t="n"/>
    </s:row>
    <s:row r="28258" hidden="1" ht="1" customHeight="1">
      <s:c r="A28258" s="120" t="inlineStr"/>
      <s:c r="B28258" s="121" t="n"/>
      <s:c r="C28258" s="121" t="n"/>
      <s:c r="D28258" s="121" t="n"/>
      <s:c r="E28258" s="122" t="n"/>
    </s:row>
    <s:row r="28259" hidden="1" ht="1" customHeight="1">
      <s:c r="A28259" s="120" t="inlineStr"/>
      <s:c r="B28259" s="121" t="n"/>
      <s:c r="C28259" s="121" t="n"/>
      <s:c r="D28259" s="121" t="n"/>
      <s:c r="E28259" s="122" t="n"/>
    </s:row>
    <s:row r="28260" hidden="1" ht="1" customHeight="1">
      <s:c r="A28260" s="120" t="inlineStr"/>
      <s:c r="B28260" s="121" t="n"/>
      <s:c r="C28260" s="121" t="n"/>
      <s:c r="D28260" s="121" t="n"/>
      <s:c r="E28260" s="122" t="n"/>
    </s:row>
    <s:row r="28261" hidden="1" ht="1" customHeight="1">
      <s:c r="A28261" s="120" t="inlineStr"/>
      <s:c r="B28261" s="121" t="n"/>
      <s:c r="C28261" s="121" t="n"/>
      <s:c r="D28261" s="121" t="n"/>
      <s:c r="E28261" s="122" t="n"/>
    </s:row>
    <s:row r="28262" hidden="1" ht="1" customHeight="1">
      <s:c r="A28262" s="120" t="inlineStr"/>
      <s:c r="B28262" s="121" t="n"/>
      <s:c r="C28262" s="121" t="n"/>
      <s:c r="D28262" s="121" t="n"/>
      <s:c r="E28262" s="122" t="n"/>
    </s:row>
    <s:row r="28263" hidden="1" ht="1" customHeight="1">
      <s:c r="A28263" s="120" t="inlineStr"/>
      <s:c r="B28263" s="121" t="n"/>
      <s:c r="C28263" s="121" t="n"/>
      <s:c r="D28263" s="121" t="n"/>
      <s:c r="E28263" s="122" t="n"/>
    </s:row>
    <s:row r="28264" hidden="1" ht="1" customHeight="1">
      <s:c r="A28264" s="120" t="inlineStr"/>
      <s:c r="B28264" s="121" t="n"/>
      <s:c r="C28264" s="121" t="n"/>
      <s:c r="D28264" s="121" t="n"/>
      <s:c r="E28264" s="122" t="n"/>
    </s:row>
    <s:row r="28265" hidden="1" ht="1" customHeight="1">
      <s:c r="A28265" s="120" t="inlineStr"/>
      <s:c r="B28265" s="121" t="n"/>
      <s:c r="C28265" s="121" t="n"/>
      <s:c r="D28265" s="121" t="n"/>
      <s:c r="E28265" s="122" t="n"/>
    </s:row>
    <s:row r="28266" hidden="1" ht="1" customHeight="1">
      <s:c r="A28266" s="120" t="inlineStr"/>
      <s:c r="B28266" s="121" t="n"/>
      <s:c r="C28266" s="121" t="n"/>
      <s:c r="D28266" s="121" t="n"/>
      <s:c r="E28266" s="122" t="n"/>
    </s:row>
    <s:row r="28267" hidden="1" ht="1" customHeight="1">
      <s:c r="A28267" s="120" t="inlineStr"/>
      <s:c r="B28267" s="121" t="n"/>
      <s:c r="C28267" s="121" t="n"/>
      <s:c r="D28267" s="121" t="n"/>
      <s:c r="E28267" s="122" t="n"/>
    </s:row>
    <s:row r="28268" hidden="1" ht="1" customHeight="1">
      <s:c r="A28268" s="120" t="inlineStr"/>
      <s:c r="B28268" s="121" t="n"/>
      <s:c r="C28268" s="121" t="n"/>
      <s:c r="D28268" s="121" t="n"/>
      <s:c r="E28268" s="122" t="n"/>
    </s:row>
    <s:row r="28269" hidden="1" ht="1" customHeight="1">
      <s:c r="A28269" s="120" t="inlineStr"/>
      <s:c r="B28269" s="121" t="n"/>
      <s:c r="C28269" s="121" t="n"/>
      <s:c r="D28269" s="121" t="n"/>
      <s:c r="E28269" s="122" t="n"/>
    </s:row>
    <s:row r="28270" hidden="1" ht="1" customHeight="1">
      <s:c r="A28270" s="83" t="inlineStr">
        <s:is>
          <s:t>PASS</s:t>
        </s:is>
      </s:c>
      <s:c r="B28270" s="83">
        <s:f>SUM(IF(EXACT('Kiểm thử'!E28220,"Đạt"),1,0))</s:f>
        <s:v/>
      </s:c>
      <s:c r="C28270" s="19" t="n"/>
      <s:c r="D28270" s="19" t="n"/>
      <s:c r="E28270" s="19" t="n"/>
    </s:row>
    <s:row r="28271" hidden="1" ht="1" customHeight="1">
      <s:c r="A28271" s="83" t="inlineStr">
        <s:is>
          <s:t>FAIL</s:t>
        </s:is>
      </s:c>
      <s:c r="B28271" s="83">
        <s:f>SUM(IF(EXACT('Kiểm thử'!E28220,"Không đạt"),1,0))</s:f>
        <s:v/>
      </s:c>
      <s:c r="C28271" s="19" t="n"/>
      <s:c r="D28271" s="19" t="n"/>
      <s:c r="E28271" s="19" t="n"/>
    </s:row>
    <s:row r="28272" hidden="1" ht="1" customHeight="1">
      <s:c r="A28272" s="83" t="inlineStr">
        <s:is>
          <s:t>BLOCKED</s:t>
        </s:is>
      </s:c>
      <s:c r="B28272" s="83">
        <s:f>SUM(IF(EXACT('Kiểm thử'!E28220,"Bị chặn"),1,0))</s:f>
        <s:v/>
      </s:c>
      <s:c r="C28272" s="19" t="n"/>
      <s:c r="D28272" s="19" t="n"/>
      <s:c r="E28272" s="19" t="n"/>
    </s:row>
    <s:row r="28273" hidden="1" ht="1" customHeight="1">
      <s:c r="A28273" s="83" t="inlineStr">
        <s:is>
          <s:t>SKIPPED</s:t>
        </s:is>
      </s:c>
      <s:c r="B28273" s="83">
        <s:f>SUM(IF(EXACT('Kiểm thử'!E28220,"Không thực hiện"),1,0))</s:f>
        <s:v/>
      </s:c>
      <s:c r="C28273" s="19" t="n"/>
      <s:c r="D28273" s="19" t="n"/>
      <s:c r="E28273" s="19" t="n"/>
    </s:row>
    <s:row r="28274" hidden="1" ht="1" customHeight="1">
      <s:c r="A28274" s="83" t="inlineStr">
        <s:is>
          <s:t>NOT RUN</s:t>
        </s:is>
      </s:c>
      <s:c r="B28274" s="83">
        <s:f>SUM(IF(EXACT('Kiểm thử'!E28220,"Chưa thực hiện"),1,0))</s:f>
        <s:v/>
      </s:c>
      <s:c r="C28274" s="19" t="n"/>
      <s:c r="D28274" s="19" t="n"/>
      <s:c r="E28274" s="19" t="n"/>
    </s:row>
    <s:row r="28275" hidden="1" ht="6" customHeight="1">
      <s:c r="A28275" s="83" t="inlineStr"/>
      <s:c r="B28275" s="19" t="n"/>
      <s:c r="C28275" s="19" t="n"/>
      <s:c r="D28275" s="19" t="n"/>
      <s:c r="E28275" s="19" t="n"/>
    </s:row>
    <s:row r="28276" ht="28" customHeight="1">
      <s:c r="A28276" s="108" t="inlineStr">
        <s:is>
          <s:t>TC-RS-DATA-009 — Copy, kế thừa năm, import/export và sync không mang kết quả cũ</s:t>
        </s:is>
      </s:c>
      <s:c r="B28276" s="111" t="n"/>
      <s:c r="C28276" s="111" t="n"/>
      <s:c r="D28276" s="111" t="n"/>
      <s:c r="E28276" s="111" t="n"/>
    </s:row>
    <s:row r="28277" ht="20" customHeight="1">
      <s:c r="A28277" s="112" t="inlineStr">
        <s:is>
          <s:t>Kết quả tình huống</s:t>
        </s:is>
      </s:c>
      <s:c r="B28277" s="113">
        <s:f>IF(SUM(IF(EXACT('Kiểm thử'!E28286,"Không đạt"),1,0),IF(EXACT('Kiểm thử'!E28288,"Không đạt"),1,0),IF(EXACT('Kiểm thử'!E28290,"Không đạt"),1,0),IF(EXACT('Kiểm thử'!E28292,"Không đạt"),1,0))&gt;0,"Không đạt",IF(SUM(IF(EXACT('Kiểm thử'!E28286,"Đạt"),1,0),IF(EXACT('Kiểm thử'!E28288,"Đạt"),1,0),IF(EXACT('Kiểm thử'!E28290,"Đạt"),1,0),IF(EXACT('Kiểm thử'!E28292,"Đạt"),1,0))=4,"Đạt",IF(SUM(IF(EXACT('Kiểm thử'!E28286,"Không thực hiện"),1,0),IF(EXACT('Kiểm thử'!E28288,"Không thực hiện"),1,0),IF(EXACT('Kiểm thử'!E28290,"Không thực hiện"),1,0),IF(EXACT('Kiểm thử'!E28292,"Không thực hiện"),1,0))=4,"Không thực hiện",IF(SUM(IF(EXACT('Kiểm thử'!E28286,"Bị chặn"),1,0),IF(EXACT('Kiểm thử'!E28288,"Bị chặn"),1,0),IF(EXACT('Kiểm thử'!E28290,"Bị chặn"),1,0),IF(EXACT('Kiểm thử'!E28292,"Bị chặn"),1,0))&gt;0,"Bị chặn",IF(SUM(IF(EXACT('Kiểm thử'!E28286,"Chưa thực hiện"),1,0),IF(EXACT('Kiểm thử'!E28288,"Chưa thực hiện"),1,0),IF(EXACT('Kiểm thử'!E28290,"Chưa thực hiện"),1,0),IF(EXACT('Kiểm thử'!E28292,"Chưa thực hiện"),1,0))=4,"Chưa thực hiện","Đang thực hiện")))))</s:f>
        <s:v/>
      </s:c>
      <s:c r="C28277" s="114" t="n"/>
      <s:c r="D28277" s="114" t="n"/>
      <s:c r="E28277" s="114" t="n"/>
    </s:row>
    <s:row r="28278" ht="20" customHeight="1">
      <s:c r="A28278" s="112" t="inlineStr">
        <s:is>
          <s:t>Màn hình / chức năng</s:t>
        </s:is>
      </s:c>
      <s:c r="B28278" s="113" t="inlineStr">
        <s:is>
          <s:t>Bảo toàn dữ liệu và cấu hình</s:t>
        </s:is>
      </s:c>
      <s:c r="C28278" s="28" t="n"/>
      <s:c r="D28278" s="28" t="n"/>
      <s:c r="E28278" s="28" t="n"/>
    </s:row>
    <s:row r="28279" ht="34" customHeight="1">
      <s:c r="A28279" s="112" t="inlineStr">
        <s:is>
          <s:t>Cấu hình</s:t>
        </s:is>
      </s:c>
      <s:c r="B28279" s="113" t="inlineStr">
        <s:is>
          <s:t>• Nguồn có cấu hình, bản chốt và kết quả cá nhân legacy;
• Đích là năm mới/đối tượng mới.</s:t>
        </s:is>
      </s:c>
      <s:c r="C28279" s="28" t="n"/>
      <s:c r="D28279" s="28" t="n"/>
      <s:c r="E28279" s="28" t="n"/>
    </s:row>
    <s:row r="28280" ht="34" customHeight="1">
      <s:c r="A28280" s="112" t="inlineStr">
        <s:is>
          <s:t>Dữ liệu test</s:t>
        </s:is>
      </s:c>
      <s:c r="B28280" s="113" t="inlineStr">
        <s:is>
          <s:t>• Nguồn có cấu hình, bản chốt và kết quả cá nhân legacy;
• Đích là năm mới/đối tượng mới.</s:t>
        </s:is>
      </s:c>
      <s:c r="C28280" s="28" t="n"/>
      <s:c r="D28280" s="28" t="n"/>
      <s:c r="E28280" s="28" t="n"/>
    </s:row>
    <s:row r="28281" ht="20" customHeight="1">
      <s:c r="A28281" s="112" t="inlineStr">
        <s:is>
          <s:t>Bước 1</s:t>
        </s:is>
      </s:c>
      <s:c r="B28281" s="113" t="inlineStr">
        <s:is>
          <s:t>Xác minh nguồn/đích, dữ liệu legacy/bản chốt/kết quả cá nhân và mapping fixture của trường hợp.</s:t>
        </s:is>
      </s:c>
      <s:c r="C28281" s="28" t="n"/>
      <s:c r="D28281" s="28" t="n"/>
      <s:c r="E28281" s="28" t="n"/>
    </s:row>
    <s:row r="28282" ht="20" customHeight="1">
      <s:c r="A28282" s="112" t="inlineStr">
        <s:is>
          <s:t>Bước 2</s:t>
        </s:is>
      </s:c>
      <s:c r="B28282" s="113" t="inlineStr">
        <s:is>
          <s:t>Chuyển cấu hình qua đường được hỗ trợ của trường hợp.</s:t>
        </s:is>
      </s:c>
      <s:c r="C28282" s="28" t="n"/>
      <s:c r="D28282" s="28" t="n"/>
      <s:c r="E28282" s="28" t="n"/>
    </s:row>
    <s:row r="28283" ht="20" customHeight="1">
      <s:c r="A28283" s="112" t="inlineStr">
        <s:is>
          <s:t>Bước 3</s:t>
        </s:is>
      </s:c>
      <s:c r="B28283" s="113" t="inlineStr">
        <s:is>
          <s:t>Đọc phần chuyển, mapping, bản chốt và kết quả cá nhân trước khi xét ở đích.</s:t>
        </s:is>
      </s:c>
      <s:c r="C28283" s="28" t="n"/>
      <s:c r="D28283" s="28" t="n"/>
      <s:c r="E28283" s="28" t="n"/>
    </s:row>
    <s:row r="28284" ht="28" customHeight="1">
      <s:c r="A28284" s="115" t="inlineStr">
        <s:is>
          <s:t>Trường hợp</s:t>
        </s:is>
      </s:c>
      <s:c r="B28284" s="115" t="inlineStr">
        <s:is>
          <s:t>Dữ liệu / thao tác riêng</s:t>
        </s:is>
      </s:c>
      <s:c r="C28284" s="115" t="inlineStr">
        <s:is>
          <s:t>Kết quả mong đợi</s:t>
        </s:is>
      </s:c>
      <s:c r="D28284" s="115" t="inlineStr">
        <s:is>
          <s:t>Kết quả thực tế</s:t>
        </s:is>
      </s:c>
      <s:c r="E28284" s="115" t="inlineStr">
        <s:is>
          <s:t>Đánh giá</s:t>
        </s:is>
      </s:c>
    </s:row>
    <s:row r="28285" ht="3" customHeight="1">
      <s:c r="A28285" s="102" t="inlineStr"/>
      <s:c r="B28285" s="99" t="n"/>
      <s:c r="C28285" s="99" t="n"/>
      <s:c r="D28285" s="116" t="n"/>
      <s:c r="E28285" s="116" t="n"/>
    </s:row>
    <s:row r="28286" ht="104" customHeight="1">
      <s:c r="A28286" s="83" t="inlineStr">
        <s:is>
          <s:t>Sao chép cấu hình (copy)</s:t>
        </s:is>
      </s:c>
      <s:c r="B28286" s="83" t="inlineStr">
        <s:is>
          <s:t>Dùng fixture/đường DATA-015 đã nêu, có cấu hình/legacy/bản chốt/kết quả cá nhân ở nguồn; thực hiện copy qua chức năng được hỗ trợ, đọc nguồn/đích và mapping identity trước khi xét ở đích. Không tự dựng route/ID.</s:t>
        </s:is>
      </s:c>
      <s:c r="C28286" s="83" t="inlineStr">
        <s:is>
          <s:t>Chỉ phần được phép copy/sync được chuyển; không chuyển kết quả cá nhân hoặc bản chốt legacy sang identity đích. Mapping đúng; đích chỉ có kết quả sau lượt xét riêng.</s:t>
        </s:is>
      </s:c>
      <s:c r="D28286" s="117" t="inlineStr"/>
      <s:c r="E28286" s="118" t="inlineStr">
        <s:is>
          <s:t>Chưa thực hiện</s:t>
        </s:is>
      </s:c>
    </s:row>
    <s:row r="28287" ht="3" customHeight="1">
      <s:c r="A28287" s="102" t="inlineStr"/>
      <s:c r="B28287" s="99" t="n"/>
      <s:c r="C28287" s="99" t="n"/>
      <s:c r="D28287" s="116" t="n"/>
      <s:c r="E28287" s="116" t="n"/>
    </s:row>
    <s:row r="28288" ht="104" customHeight="1">
      <s:c r="A28288" s="83" t="inlineStr">
        <s:is>
          <s:t>Kế thừa năm (year)</s:t>
        </s:is>
      </s:c>
      <s:c r="B28288" s="83" t="inlineStr">
        <s:is>
          <s:t>Dùng fixture/đường DATA-016 đã nêu, có cấu hình/legacy/bản chốt/kết quả cá nhân ở nguồn; thực hiện kế thừa năm qua chức năng được hỗ trợ, đọc nguồn/đích và mapping identity trước khi xét ở đích. Không tự dựng route/ID.</s:t>
        </s:is>
      </s:c>
      <s:c r="C28288" s="83" t="inlineStr">
        <s:is>
          <s:t>Chỉ phần được phép copy/sync được chuyển; không chuyển kết quả cá nhân hoặc bản chốt legacy sang identity đích. Mapping đúng; đích chỉ có kết quả sau lượt xét riêng.</s:t>
        </s:is>
      </s:c>
      <s:c r="D28288" s="117" t="inlineStr"/>
      <s:c r="E28288" s="118" t="inlineStr">
        <s:is>
          <s:t>Chưa thực hiện</s:t>
        </s:is>
      </s:c>
    </s:row>
    <s:row r="28289" ht="3" customHeight="1">
      <s:c r="A28289" s="102" t="inlineStr"/>
      <s:c r="B28289" s="99" t="n"/>
      <s:c r="C28289" s="99" t="n"/>
      <s:c r="D28289" s="116" t="n"/>
      <s:c r="E28289" s="116" t="n"/>
    </s:row>
    <s:row r="28290" ht="104" customHeight="1">
      <s:c r="A28290" s="83" t="inlineStr">
        <s:is>
          <s:t>Xuất và nhập cấu hình (import-export)</s:t>
        </s:is>
      </s:c>
      <s:c r="B28290" s="83" t="inlineStr">
        <s:is>
          <s:t>Dùng fixture/đường DATA-017 đã nêu, có cấu hình/legacy/bản chốt/kết quả cá nhân ở nguồn; thực hiện xuất/nhập qua chức năng được hỗ trợ, đọc nguồn/đích và mapping identity trước khi xét ở đích. Không tự dựng route/ID.</s:t>
        </s:is>
      </s:c>
      <s:c r="C28290" s="83" t="inlineStr">
        <s:is>
          <s:t>Chỉ phần được phép copy/sync được chuyển; không chuyển kết quả cá nhân hoặc bản chốt legacy sang identity đích. Mapping đúng; đích chỉ có kết quả sau lượt xét riêng.</s:t>
        </s:is>
      </s:c>
      <s:c r="D28290" s="117" t="inlineStr"/>
      <s:c r="E28290" s="118" t="inlineStr">
        <s:is>
          <s:t>Chưa thực hiện</s:t>
        </s:is>
      </s:c>
    </s:row>
    <s:row r="28291" ht="3" customHeight="1">
      <s:c r="A28291" s="102" t="inlineStr"/>
      <s:c r="B28291" s="99" t="n"/>
      <s:c r="C28291" s="99" t="n"/>
      <s:c r="D28291" s="116" t="n"/>
      <s:c r="E28291" s="116" t="n"/>
    </s:row>
    <s:row r="28292" ht="104" customHeight="1">
      <s:c r="A28292" s="83" t="inlineStr">
        <s:is>
          <s:t>Đồng bộ cấu hình (sync)</s:t>
        </s:is>
      </s:c>
      <s:c r="B28292" s="83" t="inlineStr">
        <s:is>
          <s:t>Dùng fixture/đường DATA-019 đã nêu, có cấu hình/legacy/bản chốt/kết quả cá nhân ở nguồn; thực hiện sync qua chức năng được hỗ trợ, đọc nguồn/đích và mapping identity trước khi xét ở đích. Không tự dựng route/ID.</s:t>
        </s:is>
      </s:c>
      <s:c r="C28292" s="83" t="inlineStr">
        <s:is>
          <s:t>Chỉ phần được phép copy/sync được chuyển; không chuyển kết quả cá nhân hoặc bản chốt legacy sang identity đích. Mapping đúng; đích chỉ có kết quả sau lượt xét riêng.</s:t>
        </s:is>
      </s:c>
      <s:c r="D28292" s="117" t="inlineStr"/>
      <s:c r="E28292" s="118" t="inlineStr">
        <s:is>
          <s:t>Chưa thực hiện</s:t>
        </s:is>
      </s:c>
    </s:row>
    <s:row r="28293" ht="20" customHeight="1">
      <s:c r="A28293" s="119" t="inlineStr">
        <s:is>
          <s:t>Ảnh minh chứng — Chưa có ảnh</s:t>
        </s:is>
      </s:c>
      <s:c r="B28293" s="19" t="n"/>
      <s:c r="C28293" s="19" t="n"/>
      <s:c r="D28293" s="19" t="n"/>
      <s:c r="E28293" s="19" t="n"/>
    </s:row>
    <s:row r="28294" hidden="1" ht="1" customHeight="1">
      <s:c r="A28294" s="120" t="inlineStr"/>
      <s:c r="B28294" s="121" t="n"/>
      <s:c r="C28294" s="121" t="n"/>
      <s:c r="D28294" s="121" t="n"/>
      <s:c r="E28294" s="122" t="n"/>
    </s:row>
    <s:row r="28295" hidden="1" ht="1" customHeight="1">
      <s:c r="A28295" s="120" t="inlineStr"/>
      <s:c r="B28295" s="121" t="n"/>
      <s:c r="C28295" s="121" t="n"/>
      <s:c r="D28295" s="121" t="n"/>
      <s:c r="E28295" s="122" t="n"/>
    </s:row>
    <s:row r="28296" hidden="1" ht="1" customHeight="1">
      <s:c r="A28296" s="120" t="inlineStr"/>
      <s:c r="B28296" s="121" t="n"/>
      <s:c r="C28296" s="121" t="n"/>
      <s:c r="D28296" s="121" t="n"/>
      <s:c r="E28296" s="122" t="n"/>
    </s:row>
    <s:row r="28297" hidden="1" ht="1" customHeight="1">
      <s:c r="A28297" s="120" t="inlineStr"/>
      <s:c r="B28297" s="121" t="n"/>
      <s:c r="C28297" s="121" t="n"/>
      <s:c r="D28297" s="121" t="n"/>
      <s:c r="E28297" s="122" t="n"/>
    </s:row>
    <s:row r="28298" hidden="1" ht="1" customHeight="1">
      <s:c r="A28298" s="120" t="inlineStr"/>
      <s:c r="B28298" s="121" t="n"/>
      <s:c r="C28298" s="121" t="n"/>
      <s:c r="D28298" s="121" t="n"/>
      <s:c r="E28298" s="122" t="n"/>
    </s:row>
    <s:row r="28299" hidden="1" ht="1" customHeight="1">
      <s:c r="A28299" s="120" t="inlineStr"/>
      <s:c r="B28299" s="121" t="n"/>
      <s:c r="C28299" s="121" t="n"/>
      <s:c r="D28299" s="121" t="n"/>
      <s:c r="E28299" s="122" t="n"/>
    </s:row>
    <s:row r="28300" hidden="1" ht="1" customHeight="1">
      <s:c r="A28300" s="120" t="inlineStr"/>
      <s:c r="B28300" s="121" t="n"/>
      <s:c r="C28300" s="121" t="n"/>
      <s:c r="D28300" s="121" t="n"/>
      <s:c r="E28300" s="122" t="n"/>
    </s:row>
    <s:row r="28301" hidden="1" ht="1" customHeight="1">
      <s:c r="A28301" s="120" t="inlineStr"/>
      <s:c r="B28301" s="121" t="n"/>
      <s:c r="C28301" s="121" t="n"/>
      <s:c r="D28301" s="121" t="n"/>
      <s:c r="E28301" s="122" t="n"/>
    </s:row>
    <s:row r="28302" hidden="1" ht="1" customHeight="1">
      <s:c r="A28302" s="120" t="inlineStr"/>
      <s:c r="B28302" s="121" t="n"/>
      <s:c r="C28302" s="121" t="n"/>
      <s:c r="D28302" s="121" t="n"/>
      <s:c r="E28302" s="122" t="n"/>
    </s:row>
    <s:row r="28303" hidden="1" ht="1" customHeight="1">
      <s:c r="A28303" s="120" t="inlineStr"/>
      <s:c r="B28303" s="121" t="n"/>
      <s:c r="C28303" s="121" t="n"/>
      <s:c r="D28303" s="121" t="n"/>
      <s:c r="E28303" s="122" t="n"/>
    </s:row>
    <s:row r="28304" hidden="1" ht="1" customHeight="1">
      <s:c r="A28304" s="120" t="inlineStr"/>
      <s:c r="B28304" s="121" t="n"/>
      <s:c r="C28304" s="121" t="n"/>
      <s:c r="D28304" s="121" t="n"/>
      <s:c r="E28304" s="122" t="n"/>
    </s:row>
    <s:row r="28305" hidden="1" ht="1" customHeight="1">
      <s:c r="A28305" s="120" t="inlineStr"/>
      <s:c r="B28305" s="121" t="n"/>
      <s:c r="C28305" s="121" t="n"/>
      <s:c r="D28305" s="121" t="n"/>
      <s:c r="E28305" s="122" t="n"/>
    </s:row>
    <s:row r="28306" hidden="1" ht="1" customHeight="1">
      <s:c r="A28306" s="120" t="inlineStr"/>
      <s:c r="B28306" s="121" t="n"/>
      <s:c r="C28306" s="121" t="n"/>
      <s:c r="D28306" s="121" t="n"/>
      <s:c r="E28306" s="122" t="n"/>
    </s:row>
    <s:row r="28307" hidden="1" ht="1" customHeight="1">
      <s:c r="A28307" s="120" t="inlineStr"/>
      <s:c r="B28307" s="121" t="n"/>
      <s:c r="C28307" s="121" t="n"/>
      <s:c r="D28307" s="121" t="n"/>
      <s:c r="E28307" s="122" t="n"/>
    </s:row>
    <s:row r="28308" hidden="1" ht="1" customHeight="1">
      <s:c r="A28308" s="120" t="inlineStr"/>
      <s:c r="B28308" s="121" t="n"/>
      <s:c r="C28308" s="121" t="n"/>
      <s:c r="D28308" s="121" t="n"/>
      <s:c r="E28308" s="122" t="n"/>
    </s:row>
    <s:row r="28309" hidden="1" ht="1" customHeight="1">
      <s:c r="A28309" s="120" t="inlineStr"/>
      <s:c r="B28309" s="121" t="n"/>
      <s:c r="C28309" s="121" t="n"/>
      <s:c r="D28309" s="121" t="n"/>
      <s:c r="E28309" s="122" t="n"/>
    </s:row>
    <s:row r="28310" hidden="1" ht="1" customHeight="1">
      <s:c r="A28310" s="120" t="inlineStr"/>
      <s:c r="B28310" s="121" t="n"/>
      <s:c r="C28310" s="121" t="n"/>
      <s:c r="D28310" s="121" t="n"/>
      <s:c r="E28310" s="122" t="n"/>
    </s:row>
    <s:row r="28311" hidden="1" ht="1" customHeight="1">
      <s:c r="A28311" s="120" t="inlineStr"/>
      <s:c r="B28311" s="121" t="n"/>
      <s:c r="C28311" s="121" t="n"/>
      <s:c r="D28311" s="121" t="n"/>
      <s:c r="E28311" s="122" t="n"/>
    </s:row>
    <s:row r="28312" hidden="1" ht="1" customHeight="1">
      <s:c r="A28312" s="120" t="inlineStr"/>
      <s:c r="B28312" s="121" t="n"/>
      <s:c r="C28312" s="121" t="n"/>
      <s:c r="D28312" s="121" t="n"/>
      <s:c r="E28312" s="122" t="n"/>
    </s:row>
    <s:row r="28313" hidden="1" ht="1" customHeight="1">
      <s:c r="A28313" s="120" t="inlineStr"/>
      <s:c r="B28313" s="121" t="n"/>
      <s:c r="C28313" s="121" t="n"/>
      <s:c r="D28313" s="121" t="n"/>
      <s:c r="E28313" s="122" t="n"/>
    </s:row>
    <s:row r="28314" hidden="1" ht="1" customHeight="1">
      <s:c r="A28314" s="120" t="inlineStr"/>
      <s:c r="B28314" s="121" t="n"/>
      <s:c r="C28314" s="121" t="n"/>
      <s:c r="D28314" s="121" t="n"/>
      <s:c r="E28314" s="122" t="n"/>
    </s:row>
    <s:row r="28315" hidden="1" ht="1" customHeight="1">
      <s:c r="A28315" s="120" t="inlineStr"/>
      <s:c r="B28315" s="121" t="n"/>
      <s:c r="C28315" s="121" t="n"/>
      <s:c r="D28315" s="121" t="n"/>
      <s:c r="E28315" s="122" t="n"/>
    </s:row>
    <s:row r="28316" hidden="1" ht="1" customHeight="1">
      <s:c r="A28316" s="120" t="inlineStr"/>
      <s:c r="B28316" s="121" t="n"/>
      <s:c r="C28316" s="121" t="n"/>
      <s:c r="D28316" s="121" t="n"/>
      <s:c r="E28316" s="122" t="n"/>
    </s:row>
    <s:row r="28317" hidden="1" ht="1" customHeight="1">
      <s:c r="A28317" s="120" t="inlineStr"/>
      <s:c r="B28317" s="121" t="n"/>
      <s:c r="C28317" s="121" t="n"/>
      <s:c r="D28317" s="121" t="n"/>
      <s:c r="E28317" s="122" t="n"/>
    </s:row>
    <s:row r="28318" hidden="1" ht="1" customHeight="1">
      <s:c r="A28318" s="120" t="inlineStr"/>
      <s:c r="B28318" s="121" t="n"/>
      <s:c r="C28318" s="121" t="n"/>
      <s:c r="D28318" s="121" t="n"/>
      <s:c r="E28318" s="122" t="n"/>
    </s:row>
    <s:row r="28319" hidden="1" ht="1" customHeight="1">
      <s:c r="A28319" s="120" t="inlineStr"/>
      <s:c r="B28319" s="121" t="n"/>
      <s:c r="C28319" s="121" t="n"/>
      <s:c r="D28319" s="121" t="n"/>
      <s:c r="E28319" s="122" t="n"/>
    </s:row>
    <s:row r="28320" hidden="1" ht="1" customHeight="1">
      <s:c r="A28320" s="120" t="inlineStr"/>
      <s:c r="B28320" s="121" t="n"/>
      <s:c r="C28320" s="121" t="n"/>
      <s:c r="D28320" s="121" t="n"/>
      <s:c r="E28320" s="122" t="n"/>
    </s:row>
    <s:row r="28321" hidden="1" ht="1" customHeight="1">
      <s:c r="A28321" s="120" t="inlineStr"/>
      <s:c r="B28321" s="121" t="n"/>
      <s:c r="C28321" s="121" t="n"/>
      <s:c r="D28321" s="121" t="n"/>
      <s:c r="E28321" s="122" t="n"/>
    </s:row>
    <s:row r="28322" hidden="1" ht="1" customHeight="1">
      <s:c r="A28322" s="120" t="inlineStr"/>
      <s:c r="B28322" s="121" t="n"/>
      <s:c r="C28322" s="121" t="n"/>
      <s:c r="D28322" s="121" t="n"/>
      <s:c r="E28322" s="122" t="n"/>
    </s:row>
    <s:row r="28323" hidden="1" ht="1" customHeight="1">
      <s:c r="A28323" s="120" t="inlineStr"/>
      <s:c r="B28323" s="121" t="n"/>
      <s:c r="C28323" s="121" t="n"/>
      <s:c r="D28323" s="121" t="n"/>
      <s:c r="E28323" s="122" t="n"/>
    </s:row>
    <s:row r="28324" hidden="1" ht="1" customHeight="1">
      <s:c r="A28324" s="120" t="inlineStr"/>
      <s:c r="B28324" s="121" t="n"/>
      <s:c r="C28324" s="121" t="n"/>
      <s:c r="D28324" s="121" t="n"/>
      <s:c r="E28324" s="122" t="n"/>
    </s:row>
    <s:row r="28325" hidden="1" ht="1" customHeight="1">
      <s:c r="A28325" s="120" t="inlineStr"/>
      <s:c r="B28325" s="121" t="n"/>
      <s:c r="C28325" s="121" t="n"/>
      <s:c r="D28325" s="121" t="n"/>
      <s:c r="E28325" s="122" t="n"/>
    </s:row>
    <s:row r="28326" hidden="1" ht="1" customHeight="1">
      <s:c r="A28326" s="120" t="inlineStr"/>
      <s:c r="B28326" s="121" t="n"/>
      <s:c r="C28326" s="121" t="n"/>
      <s:c r="D28326" s="121" t="n"/>
      <s:c r="E28326" s="122" t="n"/>
    </s:row>
    <s:row r="28327" hidden="1" ht="1" customHeight="1">
      <s:c r="A28327" s="120" t="inlineStr"/>
      <s:c r="B28327" s="121" t="n"/>
      <s:c r="C28327" s="121" t="n"/>
      <s:c r="D28327" s="121" t="n"/>
      <s:c r="E28327" s="122" t="n"/>
    </s:row>
    <s:row r="28328" hidden="1" ht="1" customHeight="1">
      <s:c r="A28328" s="120" t="inlineStr"/>
      <s:c r="B28328" s="121" t="n"/>
      <s:c r="C28328" s="121" t="n"/>
      <s:c r="D28328" s="121" t="n"/>
      <s:c r="E28328" s="122" t="n"/>
    </s:row>
    <s:row r="28329" hidden="1" ht="1" customHeight="1">
      <s:c r="A28329" s="120" t="inlineStr"/>
      <s:c r="B28329" s="121" t="n"/>
      <s:c r="C28329" s="121" t="n"/>
      <s:c r="D28329" s="121" t="n"/>
      <s:c r="E28329" s="122" t="n"/>
    </s:row>
    <s:row r="28330" hidden="1" ht="1" customHeight="1">
      <s:c r="A28330" s="120" t="inlineStr"/>
      <s:c r="B28330" s="121" t="n"/>
      <s:c r="C28330" s="121" t="n"/>
      <s:c r="D28330" s="121" t="n"/>
      <s:c r="E28330" s="122" t="n"/>
    </s:row>
    <s:row r="28331" hidden="1" ht="1" customHeight="1">
      <s:c r="A28331" s="120" t="inlineStr"/>
      <s:c r="B28331" s="121" t="n"/>
      <s:c r="C28331" s="121" t="n"/>
      <s:c r="D28331" s="121" t="n"/>
      <s:c r="E28331" s="122" t="n"/>
    </s:row>
    <s:row r="28332" hidden="1" ht="1" customHeight="1">
      <s:c r="A28332" s="120" t="inlineStr"/>
      <s:c r="B28332" s="121" t="n"/>
      <s:c r="C28332" s="121" t="n"/>
      <s:c r="D28332" s="121" t="n"/>
      <s:c r="E28332" s="122" t="n"/>
    </s:row>
    <s:row r="28333" hidden="1" ht="1" customHeight="1">
      <s:c r="A28333" s="120" t="inlineStr"/>
      <s:c r="B28333" s="121" t="n"/>
      <s:c r="C28333" s="121" t="n"/>
      <s:c r="D28333" s="121" t="n"/>
      <s:c r="E28333" s="122" t="n"/>
    </s:row>
    <s:row r="28334" hidden="1" ht="1" customHeight="1">
      <s:c r="A28334" s="120" t="inlineStr"/>
      <s:c r="B28334" s="121" t="n"/>
      <s:c r="C28334" s="121" t="n"/>
      <s:c r="D28334" s="121" t="n"/>
      <s:c r="E28334" s="122" t="n"/>
    </s:row>
    <s:row r="28335" hidden="1" ht="1" customHeight="1">
      <s:c r="A28335" s="120" t="inlineStr"/>
      <s:c r="B28335" s="121" t="n"/>
      <s:c r="C28335" s="121" t="n"/>
      <s:c r="D28335" s="121" t="n"/>
      <s:c r="E28335" s="122" t="n"/>
    </s:row>
    <s:row r="28336" hidden="1" ht="1" customHeight="1">
      <s:c r="A28336" s="120" t="inlineStr"/>
      <s:c r="B28336" s="121" t="n"/>
      <s:c r="C28336" s="121" t="n"/>
      <s:c r="D28336" s="121" t="n"/>
      <s:c r="E28336" s="122" t="n"/>
    </s:row>
    <s:row r="28337" hidden="1" ht="1" customHeight="1">
      <s:c r="A28337" s="120" t="inlineStr"/>
      <s:c r="B28337" s="121" t="n"/>
      <s:c r="C28337" s="121" t="n"/>
      <s:c r="D28337" s="121" t="n"/>
      <s:c r="E28337" s="122" t="n"/>
    </s:row>
    <s:row r="28338" hidden="1" ht="1" customHeight="1">
      <s:c r="A28338" s="120" t="inlineStr"/>
      <s:c r="B28338" s="121" t="n"/>
      <s:c r="C28338" s="121" t="n"/>
      <s:c r="D28338" s="121" t="n"/>
      <s:c r="E28338" s="122" t="n"/>
    </s:row>
    <s:row r="28339" hidden="1" ht="1" customHeight="1">
      <s:c r="A28339" s="120" t="inlineStr"/>
      <s:c r="B28339" s="121" t="n"/>
      <s:c r="C28339" s="121" t="n"/>
      <s:c r="D28339" s="121" t="n"/>
      <s:c r="E28339" s="122" t="n"/>
    </s:row>
    <s:row r="28340" hidden="1" ht="1" customHeight="1">
      <s:c r="A28340" s="120" t="inlineStr"/>
      <s:c r="B28340" s="121" t="n"/>
      <s:c r="C28340" s="121" t="n"/>
      <s:c r="D28340" s="121" t="n"/>
      <s:c r="E28340" s="122" t="n"/>
    </s:row>
    <s:row r="28341" hidden="1" ht="1" customHeight="1">
      <s:c r="A28341" s="120" t="inlineStr"/>
      <s:c r="B28341" s="121" t="n"/>
      <s:c r="C28341" s="121" t="n"/>
      <s:c r="D28341" s="121" t="n"/>
      <s:c r="E28341" s="122" t="n"/>
    </s:row>
    <s:row r="28342" hidden="1" ht="1" customHeight="1">
      <s:c r="A28342" s="120" t="inlineStr"/>
      <s:c r="B28342" s="121" t="n"/>
      <s:c r="C28342" s="121" t="n"/>
      <s:c r="D28342" s="121" t="n"/>
      <s:c r="E28342" s="122" t="n"/>
    </s:row>
    <s:row r="28343" hidden="1" ht="1" customHeight="1">
      <s:c r="A28343" s="120" t="inlineStr"/>
      <s:c r="B28343" s="121" t="n"/>
      <s:c r="C28343" s="121" t="n"/>
      <s:c r="D28343" s="121" t="n"/>
      <s:c r="E28343" s="122" t="n"/>
    </s:row>
    <s:row r="28344" hidden="1" ht="1" customHeight="1">
      <s:c r="A28344" s="120" t="inlineStr"/>
      <s:c r="B28344" s="121" t="n"/>
      <s:c r="C28344" s="121" t="n"/>
      <s:c r="D28344" s="121" t="n"/>
      <s:c r="E28344" s="122" t="n"/>
    </s:row>
    <s:row r="28345" hidden="1" ht="1" customHeight="1">
      <s:c r="A28345" s="120" t="inlineStr"/>
      <s:c r="B28345" s="121" t="n"/>
      <s:c r="C28345" s="121" t="n"/>
      <s:c r="D28345" s="121" t="n"/>
      <s:c r="E28345" s="122" t="n"/>
    </s:row>
    <s:row r="28346" hidden="1" ht="1" customHeight="1">
      <s:c r="A28346" s="120" t="inlineStr"/>
      <s:c r="B28346" s="121" t="n"/>
      <s:c r="C28346" s="121" t="n"/>
      <s:c r="D28346" s="121" t="n"/>
      <s:c r="E28346" s="122" t="n"/>
    </s:row>
    <s:row r="28347" hidden="1" ht="1" customHeight="1">
      <s:c r="A28347" s="120" t="inlineStr"/>
      <s:c r="B28347" s="121" t="n"/>
      <s:c r="C28347" s="121" t="n"/>
      <s:c r="D28347" s="121" t="n"/>
      <s:c r="E28347" s="122" t="n"/>
    </s:row>
    <s:row r="28348" hidden="1" ht="1" customHeight="1">
      <s:c r="A28348" s="120" t="inlineStr"/>
      <s:c r="B28348" s="121" t="n"/>
      <s:c r="C28348" s="121" t="n"/>
      <s:c r="D28348" s="121" t="n"/>
      <s:c r="E28348" s="122" t="n"/>
    </s:row>
    <s:row r="28349" hidden="1" ht="1" customHeight="1">
      <s:c r="A28349" s="120" t="inlineStr"/>
      <s:c r="B28349" s="121" t="n"/>
      <s:c r="C28349" s="121" t="n"/>
      <s:c r="D28349" s="121" t="n"/>
      <s:c r="E28349" s="122" t="n"/>
    </s:row>
    <s:row r="28350" hidden="1" ht="1" customHeight="1">
      <s:c r="A28350" s="120" t="inlineStr"/>
      <s:c r="B28350" s="121" t="n"/>
      <s:c r="C28350" s="121" t="n"/>
      <s:c r="D28350" s="121" t="n"/>
      <s:c r="E28350" s="122" t="n"/>
    </s:row>
    <s:row r="28351" hidden="1" ht="1" customHeight="1">
      <s:c r="A28351" s="120" t="inlineStr"/>
      <s:c r="B28351" s="121" t="n"/>
      <s:c r="C28351" s="121" t="n"/>
      <s:c r="D28351" s="121" t="n"/>
      <s:c r="E28351" s="122" t="n"/>
    </s:row>
    <s:row r="28352" hidden="1" ht="1" customHeight="1">
      <s:c r="A28352" s="120" t="inlineStr"/>
      <s:c r="B28352" s="121" t="n"/>
      <s:c r="C28352" s="121" t="n"/>
      <s:c r="D28352" s="121" t="n"/>
      <s:c r="E28352" s="122" t="n"/>
    </s:row>
    <s:row r="28353" hidden="1" ht="1" customHeight="1">
      <s:c r="A28353" s="120" t="inlineStr"/>
      <s:c r="B28353" s="121" t="n"/>
      <s:c r="C28353" s="121" t="n"/>
      <s:c r="D28353" s="121" t="n"/>
      <s:c r="E28353" s="122" t="n"/>
    </s:row>
    <s:row r="28354" hidden="1" ht="1" customHeight="1">
      <s:c r="A28354" s="120" t="inlineStr"/>
      <s:c r="B28354" s="121" t="n"/>
      <s:c r="C28354" s="121" t="n"/>
      <s:c r="D28354" s="121" t="n"/>
      <s:c r="E28354" s="122" t="n"/>
    </s:row>
    <s:row r="28355" hidden="1" ht="1" customHeight="1">
      <s:c r="A28355" s="120" t="inlineStr"/>
      <s:c r="B28355" s="121" t="n"/>
      <s:c r="C28355" s="121" t="n"/>
      <s:c r="D28355" s="121" t="n"/>
      <s:c r="E28355" s="122" t="n"/>
    </s:row>
    <s:row r="28356" hidden="1" ht="1" customHeight="1">
      <s:c r="A28356" s="120" t="inlineStr"/>
      <s:c r="B28356" s="121" t="n"/>
      <s:c r="C28356" s="121" t="n"/>
      <s:c r="D28356" s="121" t="n"/>
      <s:c r="E28356" s="122" t="n"/>
    </s:row>
    <s:row r="28357" hidden="1" ht="1" customHeight="1">
      <s:c r="A28357" s="120" t="inlineStr"/>
      <s:c r="B28357" s="121" t="n"/>
      <s:c r="C28357" s="121" t="n"/>
      <s:c r="D28357" s="121" t="n"/>
      <s:c r="E28357" s="122" t="n"/>
    </s:row>
    <s:row r="28358" hidden="1" ht="1" customHeight="1">
      <s:c r="A28358" s="120" t="inlineStr"/>
      <s:c r="B28358" s="121" t="n"/>
      <s:c r="C28358" s="121" t="n"/>
      <s:c r="D28358" s="121" t="n"/>
      <s:c r="E28358" s="122" t="n"/>
    </s:row>
    <s:row r="28359" hidden="1" ht="1" customHeight="1">
      <s:c r="A28359" s="120" t="inlineStr"/>
      <s:c r="B28359" s="121" t="n"/>
      <s:c r="C28359" s="121" t="n"/>
      <s:c r="D28359" s="121" t="n"/>
      <s:c r="E28359" s="122" t="n"/>
    </s:row>
    <s:row r="28360" hidden="1" ht="1" customHeight="1">
      <s:c r="A28360" s="120" t="inlineStr"/>
      <s:c r="B28360" s="121" t="n"/>
      <s:c r="C28360" s="121" t="n"/>
      <s:c r="D28360" s="121" t="n"/>
      <s:c r="E28360" s="122" t="n"/>
    </s:row>
    <s:row r="28361" hidden="1" ht="1" customHeight="1">
      <s:c r="A28361" s="120" t="inlineStr"/>
      <s:c r="B28361" s="121" t="n"/>
      <s:c r="C28361" s="121" t="n"/>
      <s:c r="D28361" s="121" t="n"/>
      <s:c r="E28361" s="122" t="n"/>
    </s:row>
    <s:row r="28362" hidden="1" ht="1" customHeight="1">
      <s:c r="A28362" s="120" t="inlineStr"/>
      <s:c r="B28362" s="121" t="n"/>
      <s:c r="C28362" s="121" t="n"/>
      <s:c r="D28362" s="121" t="n"/>
      <s:c r="E28362" s="122" t="n"/>
    </s:row>
    <s:row r="28363" hidden="1" ht="1" customHeight="1">
      <s:c r="A28363" s="120" t="inlineStr"/>
      <s:c r="B28363" s="121" t="n"/>
      <s:c r="C28363" s="121" t="n"/>
      <s:c r="D28363" s="121" t="n"/>
      <s:c r="E28363" s="122" t="n"/>
    </s:row>
    <s:row r="28364" hidden="1" ht="1" customHeight="1">
      <s:c r="A28364" s="120" t="inlineStr"/>
      <s:c r="B28364" s="121" t="n"/>
      <s:c r="C28364" s="121" t="n"/>
      <s:c r="D28364" s="121" t="n"/>
      <s:c r="E28364" s="122" t="n"/>
    </s:row>
    <s:row r="28365" hidden="1" ht="1" customHeight="1">
      <s:c r="A28365" s="120" t="inlineStr"/>
      <s:c r="B28365" s="121" t="n"/>
      <s:c r="C28365" s="121" t="n"/>
      <s:c r="D28365" s="121" t="n"/>
      <s:c r="E28365" s="122" t="n"/>
    </s:row>
    <s:row r="28366" hidden="1" ht="1" customHeight="1">
      <s:c r="A28366" s="120" t="inlineStr"/>
      <s:c r="B28366" s="121" t="n"/>
      <s:c r="C28366" s="121" t="n"/>
      <s:c r="D28366" s="121" t="n"/>
      <s:c r="E28366" s="122" t="n"/>
    </s:row>
    <s:row r="28367" hidden="1" ht="1" customHeight="1">
      <s:c r="A28367" s="120" t="inlineStr"/>
      <s:c r="B28367" s="121" t="n"/>
      <s:c r="C28367" s="121" t="n"/>
      <s:c r="D28367" s="121" t="n"/>
      <s:c r="E28367" s="122" t="n"/>
    </s:row>
    <s:row r="28368" hidden="1" ht="1" customHeight="1">
      <s:c r="A28368" s="120" t="inlineStr"/>
      <s:c r="B28368" s="121" t="n"/>
      <s:c r="C28368" s="121" t="n"/>
      <s:c r="D28368" s="121" t="n"/>
      <s:c r="E28368" s="122" t="n"/>
    </s:row>
    <s:row r="28369" hidden="1" ht="1" customHeight="1">
      <s:c r="A28369" s="120" t="inlineStr"/>
      <s:c r="B28369" s="121" t="n"/>
      <s:c r="C28369" s="121" t="n"/>
      <s:c r="D28369" s="121" t="n"/>
      <s:c r="E28369" s="122" t="n"/>
    </s:row>
    <s:row r="28370" hidden="1" ht="1" customHeight="1">
      <s:c r="A28370" s="120" t="inlineStr"/>
      <s:c r="B28370" s="121" t="n"/>
      <s:c r="C28370" s="121" t="n"/>
      <s:c r="D28370" s="121" t="n"/>
      <s:c r="E28370" s="122" t="n"/>
    </s:row>
    <s:row r="28371" hidden="1" ht="1" customHeight="1">
      <s:c r="A28371" s="120" t="inlineStr"/>
      <s:c r="B28371" s="121" t="n"/>
      <s:c r="C28371" s="121" t="n"/>
      <s:c r="D28371" s="121" t="n"/>
      <s:c r="E28371" s="122" t="n"/>
    </s:row>
    <s:row r="28372" hidden="1" ht="1" customHeight="1">
      <s:c r="A28372" s="120" t="inlineStr"/>
      <s:c r="B28372" s="121" t="n"/>
      <s:c r="C28372" s="121" t="n"/>
      <s:c r="D28372" s="121" t="n"/>
      <s:c r="E28372" s="122" t="n"/>
    </s:row>
    <s:row r="28373" hidden="1" ht="1" customHeight="1">
      <s:c r="A28373" s="120" t="inlineStr"/>
      <s:c r="B28373" s="121" t="n"/>
      <s:c r="C28373" s="121" t="n"/>
      <s:c r="D28373" s="121" t="n"/>
      <s:c r="E28373" s="122" t="n"/>
    </s:row>
    <s:row r="28374" hidden="1" ht="1" customHeight="1">
      <s:c r="A28374" s="120" t="inlineStr"/>
      <s:c r="B28374" s="121" t="n"/>
      <s:c r="C28374" s="121" t="n"/>
      <s:c r="D28374" s="121" t="n"/>
      <s:c r="E28374" s="122" t="n"/>
    </s:row>
    <s:row r="28375" hidden="1" ht="1" customHeight="1">
      <s:c r="A28375" s="120" t="inlineStr"/>
      <s:c r="B28375" s="121" t="n"/>
      <s:c r="C28375" s="121" t="n"/>
      <s:c r="D28375" s="121" t="n"/>
      <s:c r="E28375" s="122" t="n"/>
    </s:row>
    <s:row r="28376" hidden="1" ht="1" customHeight="1">
      <s:c r="A28376" s="120" t="inlineStr"/>
      <s:c r="B28376" s="121" t="n"/>
      <s:c r="C28376" s="121" t="n"/>
      <s:c r="D28376" s="121" t="n"/>
      <s:c r="E28376" s="122" t="n"/>
    </s:row>
    <s:row r="28377" hidden="1" ht="1" customHeight="1">
      <s:c r="A28377" s="120" t="inlineStr"/>
      <s:c r="B28377" s="121" t="n"/>
      <s:c r="C28377" s="121" t="n"/>
      <s:c r="D28377" s="121" t="n"/>
      <s:c r="E28377" s="122" t="n"/>
    </s:row>
    <s:row r="28378" hidden="1" ht="1" customHeight="1">
      <s:c r="A28378" s="120" t="inlineStr"/>
      <s:c r="B28378" s="121" t="n"/>
      <s:c r="C28378" s="121" t="n"/>
      <s:c r="D28378" s="121" t="n"/>
      <s:c r="E28378" s="122" t="n"/>
    </s:row>
    <s:row r="28379" hidden="1" ht="1" customHeight="1">
      <s:c r="A28379" s="120" t="inlineStr"/>
      <s:c r="B28379" s="121" t="n"/>
      <s:c r="C28379" s="121" t="n"/>
      <s:c r="D28379" s="121" t="n"/>
      <s:c r="E28379" s="122" t="n"/>
    </s:row>
    <s:row r="28380" hidden="1" ht="1" customHeight="1">
      <s:c r="A28380" s="120" t="inlineStr"/>
      <s:c r="B28380" s="121" t="n"/>
      <s:c r="C28380" s="121" t="n"/>
      <s:c r="D28380" s="121" t="n"/>
      <s:c r="E28380" s="122" t="n"/>
    </s:row>
    <s:row r="28381" hidden="1" ht="1" customHeight="1">
      <s:c r="A28381" s="120" t="inlineStr"/>
      <s:c r="B28381" s="121" t="n"/>
      <s:c r="C28381" s="121" t="n"/>
      <s:c r="D28381" s="121" t="n"/>
      <s:c r="E28381" s="122" t="n"/>
    </s:row>
    <s:row r="28382" hidden="1" ht="1" customHeight="1">
      <s:c r="A28382" s="120" t="inlineStr"/>
      <s:c r="B28382" s="121" t="n"/>
      <s:c r="C28382" s="121" t="n"/>
      <s:c r="D28382" s="121" t="n"/>
      <s:c r="E28382" s="122" t="n"/>
    </s:row>
    <s:row r="28383" hidden="1" ht="1" customHeight="1">
      <s:c r="A28383" s="120" t="inlineStr"/>
      <s:c r="B28383" s="121" t="n"/>
      <s:c r="C28383" s="121" t="n"/>
      <s:c r="D28383" s="121" t="n"/>
      <s:c r="E28383" s="122" t="n"/>
    </s:row>
    <s:row r="28384" hidden="1" ht="1" customHeight="1">
      <s:c r="A28384" s="120" t="inlineStr"/>
      <s:c r="B28384" s="121" t="n"/>
      <s:c r="C28384" s="121" t="n"/>
      <s:c r="D28384" s="121" t="n"/>
      <s:c r="E28384" s="122" t="n"/>
    </s:row>
    <s:row r="28385" hidden="1" ht="1" customHeight="1">
      <s:c r="A28385" s="120" t="inlineStr"/>
      <s:c r="B28385" s="121" t="n"/>
      <s:c r="C28385" s="121" t="n"/>
      <s:c r="D28385" s="121" t="n"/>
      <s:c r="E28385" s="122" t="n"/>
    </s:row>
    <s:row r="28386" hidden="1" ht="1" customHeight="1">
      <s:c r="A28386" s="120" t="inlineStr"/>
      <s:c r="B28386" s="121" t="n"/>
      <s:c r="C28386" s="121" t="n"/>
      <s:c r="D28386" s="121" t="n"/>
      <s:c r="E28386" s="122" t="n"/>
    </s:row>
    <s:row r="28387" hidden="1" ht="1" customHeight="1">
      <s:c r="A28387" s="120" t="inlineStr"/>
      <s:c r="B28387" s="121" t="n"/>
      <s:c r="C28387" s="121" t="n"/>
      <s:c r="D28387" s="121" t="n"/>
      <s:c r="E28387" s="122" t="n"/>
    </s:row>
    <s:row r="28388" hidden="1" ht="1" customHeight="1">
      <s:c r="A28388" s="120" t="inlineStr"/>
      <s:c r="B28388" s="121" t="n"/>
      <s:c r="C28388" s="121" t="n"/>
      <s:c r="D28388" s="121" t="n"/>
      <s:c r="E28388" s="122" t="n"/>
    </s:row>
    <s:row r="28389" hidden="1" ht="1" customHeight="1">
      <s:c r="A28389" s="120" t="inlineStr"/>
      <s:c r="B28389" s="121" t="n"/>
      <s:c r="C28389" s="121" t="n"/>
      <s:c r="D28389" s="121" t="n"/>
      <s:c r="E28389" s="122" t="n"/>
    </s:row>
    <s:row r="28390" hidden="1" ht="1" customHeight="1">
      <s:c r="A28390" s="120" t="inlineStr"/>
      <s:c r="B28390" s="121" t="n"/>
      <s:c r="C28390" s="121" t="n"/>
      <s:c r="D28390" s="121" t="n"/>
      <s:c r="E28390" s="122" t="n"/>
    </s:row>
    <s:row r="28391" hidden="1" ht="1" customHeight="1">
      <s:c r="A28391" s="120" t="inlineStr"/>
      <s:c r="B28391" s="121" t="n"/>
      <s:c r="C28391" s="121" t="n"/>
      <s:c r="D28391" s="121" t="n"/>
      <s:c r="E28391" s="122" t="n"/>
    </s:row>
    <s:row r="28392" hidden="1" ht="1" customHeight="1">
      <s:c r="A28392" s="120" t="inlineStr"/>
      <s:c r="B28392" s="121" t="n"/>
      <s:c r="C28392" s="121" t="n"/>
      <s:c r="D28392" s="121" t="n"/>
      <s:c r="E28392" s="122" t="n"/>
    </s:row>
    <s:row r="28393" hidden="1" ht="1" customHeight="1">
      <s:c r="A28393" s="120" t="inlineStr"/>
      <s:c r="B28393" s="121" t="n"/>
      <s:c r="C28393" s="121" t="n"/>
      <s:c r="D28393" s="121" t="n"/>
      <s:c r="E28393" s="122" t="n"/>
    </s:row>
    <s:row r="28394" hidden="1" ht="1" customHeight="1">
      <s:c r="A28394" s="120" t="inlineStr"/>
      <s:c r="B28394" s="121" t="n"/>
      <s:c r="C28394" s="121" t="n"/>
      <s:c r="D28394" s="121" t="n"/>
      <s:c r="E28394" s="122" t="n"/>
    </s:row>
    <s:row r="28395" hidden="1" ht="1" customHeight="1">
      <s:c r="A28395" s="120" t="inlineStr"/>
      <s:c r="B28395" s="121" t="n"/>
      <s:c r="C28395" s="121" t="n"/>
      <s:c r="D28395" s="121" t="n"/>
      <s:c r="E28395" s="122" t="n"/>
    </s:row>
    <s:row r="28396" hidden="1" ht="1" customHeight="1">
      <s:c r="A28396" s="120" t="inlineStr"/>
      <s:c r="B28396" s="121" t="n"/>
      <s:c r="C28396" s="121" t="n"/>
      <s:c r="D28396" s="121" t="n"/>
      <s:c r="E28396" s="122" t="n"/>
    </s:row>
    <s:row r="28397" hidden="1" ht="1" customHeight="1">
      <s:c r="A28397" s="120" t="inlineStr"/>
      <s:c r="B28397" s="121" t="n"/>
      <s:c r="C28397" s="121" t="n"/>
      <s:c r="D28397" s="121" t="n"/>
      <s:c r="E28397" s="122" t="n"/>
    </s:row>
    <s:row r="28398" hidden="1" ht="1" customHeight="1">
      <s:c r="A28398" s="120" t="inlineStr"/>
      <s:c r="B28398" s="121" t="n"/>
      <s:c r="C28398" s="121" t="n"/>
      <s:c r="D28398" s="121" t="n"/>
      <s:c r="E28398" s="122" t="n"/>
    </s:row>
    <s:row r="28399" hidden="1" ht="1" customHeight="1">
      <s:c r="A28399" s="120" t="inlineStr"/>
      <s:c r="B28399" s="121" t="n"/>
      <s:c r="C28399" s="121" t="n"/>
      <s:c r="D28399" s="121" t="n"/>
      <s:c r="E28399" s="122" t="n"/>
    </s:row>
    <s:row r="28400" hidden="1" ht="1" customHeight="1">
      <s:c r="A28400" s="120" t="inlineStr"/>
      <s:c r="B28400" s="121" t="n"/>
      <s:c r="C28400" s="121" t="n"/>
      <s:c r="D28400" s="121" t="n"/>
      <s:c r="E28400" s="122" t="n"/>
    </s:row>
    <s:row r="28401" hidden="1" ht="1" customHeight="1">
      <s:c r="A28401" s="120" t="inlineStr"/>
      <s:c r="B28401" s="121" t="n"/>
      <s:c r="C28401" s="121" t="n"/>
      <s:c r="D28401" s="121" t="n"/>
      <s:c r="E28401" s="122" t="n"/>
    </s:row>
    <s:row r="28402" hidden="1" ht="1" customHeight="1">
      <s:c r="A28402" s="120" t="inlineStr"/>
      <s:c r="B28402" s="121" t="n"/>
      <s:c r="C28402" s="121" t="n"/>
      <s:c r="D28402" s="121" t="n"/>
      <s:c r="E28402" s="122" t="n"/>
    </s:row>
    <s:row r="28403" hidden="1" ht="1" customHeight="1">
      <s:c r="A28403" s="120" t="inlineStr"/>
      <s:c r="B28403" s="121" t="n"/>
      <s:c r="C28403" s="121" t="n"/>
      <s:c r="D28403" s="121" t="n"/>
      <s:c r="E28403" s="122" t="n"/>
    </s:row>
    <s:row r="28404" hidden="1" ht="1" customHeight="1">
      <s:c r="A28404" s="120" t="inlineStr"/>
      <s:c r="B28404" s="121" t="n"/>
      <s:c r="C28404" s="121" t="n"/>
      <s:c r="D28404" s="121" t="n"/>
      <s:c r="E28404" s="122" t="n"/>
    </s:row>
    <s:row r="28405" hidden="1" ht="1" customHeight="1">
      <s:c r="A28405" s="120" t="inlineStr"/>
      <s:c r="B28405" s="121" t="n"/>
      <s:c r="C28405" s="121" t="n"/>
      <s:c r="D28405" s="121" t="n"/>
      <s:c r="E28405" s="122" t="n"/>
    </s:row>
    <s:row r="28406" hidden="1" ht="1" customHeight="1">
      <s:c r="A28406" s="120" t="inlineStr"/>
      <s:c r="B28406" s="121" t="n"/>
      <s:c r="C28406" s="121" t="n"/>
      <s:c r="D28406" s="121" t="n"/>
      <s:c r="E28406" s="122" t="n"/>
    </s:row>
    <s:row r="28407" hidden="1" ht="1" customHeight="1">
      <s:c r="A28407" s="120" t="inlineStr"/>
      <s:c r="B28407" s="121" t="n"/>
      <s:c r="C28407" s="121" t="n"/>
      <s:c r="D28407" s="121" t="n"/>
      <s:c r="E28407" s="122" t="n"/>
    </s:row>
    <s:row r="28408" hidden="1" ht="1" customHeight="1">
      <s:c r="A28408" s="120" t="inlineStr"/>
      <s:c r="B28408" s="121" t="n"/>
      <s:c r="C28408" s="121" t="n"/>
      <s:c r="D28408" s="121" t="n"/>
      <s:c r="E28408" s="122" t="n"/>
    </s:row>
    <s:row r="28409" hidden="1" ht="1" customHeight="1">
      <s:c r="A28409" s="120" t="inlineStr"/>
      <s:c r="B28409" s="121" t="n"/>
      <s:c r="C28409" s="121" t="n"/>
      <s:c r="D28409" s="121" t="n"/>
      <s:c r="E28409" s="122" t="n"/>
    </s:row>
    <s:row r="28410" hidden="1" ht="1" customHeight="1">
      <s:c r="A28410" s="120" t="inlineStr"/>
      <s:c r="B28410" s="121" t="n"/>
      <s:c r="C28410" s="121" t="n"/>
      <s:c r="D28410" s="121" t="n"/>
      <s:c r="E28410" s="122" t="n"/>
    </s:row>
    <s:row r="28411" hidden="1" ht="1" customHeight="1">
      <s:c r="A28411" s="120" t="inlineStr"/>
      <s:c r="B28411" s="121" t="n"/>
      <s:c r="C28411" s="121" t="n"/>
      <s:c r="D28411" s="121" t="n"/>
      <s:c r="E28411" s="122" t="n"/>
    </s:row>
    <s:row r="28412" hidden="1" ht="1" customHeight="1">
      <s:c r="A28412" s="120" t="inlineStr"/>
      <s:c r="B28412" s="121" t="n"/>
      <s:c r="C28412" s="121" t="n"/>
      <s:c r="D28412" s="121" t="n"/>
      <s:c r="E28412" s="122" t="n"/>
    </s:row>
    <s:row r="28413" hidden="1" ht="1" customHeight="1">
      <s:c r="A28413" s="120" t="inlineStr"/>
      <s:c r="B28413" s="121" t="n"/>
      <s:c r="C28413" s="121" t="n"/>
      <s:c r="D28413" s="121" t="n"/>
      <s:c r="E28413" s="122" t="n"/>
    </s:row>
    <s:row r="28414" hidden="1" ht="1" customHeight="1">
      <s:c r="A28414" s="120" t="inlineStr"/>
      <s:c r="B28414" s="121" t="n"/>
      <s:c r="C28414" s="121" t="n"/>
      <s:c r="D28414" s="121" t="n"/>
      <s:c r="E28414" s="122" t="n"/>
    </s:row>
    <s:row r="28415" hidden="1" ht="1" customHeight="1">
      <s:c r="A28415" s="120" t="inlineStr"/>
      <s:c r="B28415" s="121" t="n"/>
      <s:c r="C28415" s="121" t="n"/>
      <s:c r="D28415" s="121" t="n"/>
      <s:c r="E28415" s="122" t="n"/>
    </s:row>
    <s:row r="28416" hidden="1" ht="1" customHeight="1">
      <s:c r="A28416" s="120" t="inlineStr"/>
      <s:c r="B28416" s="121" t="n"/>
      <s:c r="C28416" s="121" t="n"/>
      <s:c r="D28416" s="121" t="n"/>
      <s:c r="E28416" s="122" t="n"/>
    </s:row>
    <s:row r="28417" hidden="1" ht="1" customHeight="1">
      <s:c r="A28417" s="120" t="inlineStr"/>
      <s:c r="B28417" s="121" t="n"/>
      <s:c r="C28417" s="121" t="n"/>
      <s:c r="D28417" s="121" t="n"/>
      <s:c r="E28417" s="122" t="n"/>
    </s:row>
    <s:row r="28418" hidden="1" ht="1" customHeight="1">
      <s:c r="A28418" s="120" t="inlineStr"/>
      <s:c r="B28418" s="121" t="n"/>
      <s:c r="C28418" s="121" t="n"/>
      <s:c r="D28418" s="121" t="n"/>
      <s:c r="E28418" s="122" t="n"/>
    </s:row>
    <s:row r="28419" hidden="1" ht="1" customHeight="1">
      <s:c r="A28419" s="120" t="inlineStr"/>
      <s:c r="B28419" s="121" t="n"/>
      <s:c r="C28419" s="121" t="n"/>
      <s:c r="D28419" s="121" t="n"/>
      <s:c r="E28419" s="122" t="n"/>
    </s:row>
    <s:row r="28420" hidden="1" ht="1" customHeight="1">
      <s:c r="A28420" s="120" t="inlineStr"/>
      <s:c r="B28420" s="121" t="n"/>
      <s:c r="C28420" s="121" t="n"/>
      <s:c r="D28420" s="121" t="n"/>
      <s:c r="E28420" s="122" t="n"/>
    </s:row>
    <s:row r="28421" hidden="1" ht="1" customHeight="1">
      <s:c r="A28421" s="120" t="inlineStr"/>
      <s:c r="B28421" s="121" t="n"/>
      <s:c r="C28421" s="121" t="n"/>
      <s:c r="D28421" s="121" t="n"/>
      <s:c r="E28421" s="122" t="n"/>
    </s:row>
    <s:row r="28422" hidden="1" ht="1" customHeight="1">
      <s:c r="A28422" s="120" t="inlineStr"/>
      <s:c r="B28422" s="121" t="n"/>
      <s:c r="C28422" s="121" t="n"/>
      <s:c r="D28422" s="121" t="n"/>
      <s:c r="E28422" s="122" t="n"/>
    </s:row>
    <s:row r="28423" hidden="1" ht="1" customHeight="1">
      <s:c r="A28423" s="120" t="inlineStr"/>
      <s:c r="B28423" s="121" t="n"/>
      <s:c r="C28423" s="121" t="n"/>
      <s:c r="D28423" s="121" t="n"/>
      <s:c r="E28423" s="122" t="n"/>
    </s:row>
    <s:row r="28424" hidden="1" ht="1" customHeight="1">
      <s:c r="A28424" s="120" t="inlineStr"/>
      <s:c r="B28424" s="121" t="n"/>
      <s:c r="C28424" s="121" t="n"/>
      <s:c r="D28424" s="121" t="n"/>
      <s:c r="E28424" s="122" t="n"/>
    </s:row>
    <s:row r="28425" hidden="1" ht="1" customHeight="1">
      <s:c r="A28425" s="120" t="inlineStr"/>
      <s:c r="B28425" s="121" t="n"/>
      <s:c r="C28425" s="121" t="n"/>
      <s:c r="D28425" s="121" t="n"/>
      <s:c r="E28425" s="122" t="n"/>
    </s:row>
    <s:row r="28426" hidden="1" ht="1" customHeight="1">
      <s:c r="A28426" s="120" t="inlineStr"/>
      <s:c r="B28426" s="121" t="n"/>
      <s:c r="C28426" s="121" t="n"/>
      <s:c r="D28426" s="121" t="n"/>
      <s:c r="E28426" s="122" t="n"/>
    </s:row>
    <s:row r="28427" hidden="1" ht="1" customHeight="1">
      <s:c r="A28427" s="120" t="inlineStr"/>
      <s:c r="B28427" s="121" t="n"/>
      <s:c r="C28427" s="121" t="n"/>
      <s:c r="D28427" s="121" t="n"/>
      <s:c r="E28427" s="122" t="n"/>
    </s:row>
    <s:row r="28428" hidden="1" ht="1" customHeight="1">
      <s:c r="A28428" s="120" t="inlineStr"/>
      <s:c r="B28428" s="121" t="n"/>
      <s:c r="C28428" s="121" t="n"/>
      <s:c r="D28428" s="121" t="n"/>
      <s:c r="E28428" s="122" t="n"/>
    </s:row>
    <s:row r="28429" hidden="1" ht="1" customHeight="1">
      <s:c r="A28429" s="120" t="inlineStr"/>
      <s:c r="B28429" s="121" t="n"/>
      <s:c r="C28429" s="121" t="n"/>
      <s:c r="D28429" s="121" t="n"/>
      <s:c r="E28429" s="122" t="n"/>
    </s:row>
    <s:row r="28430" hidden="1" ht="1" customHeight="1">
      <s:c r="A28430" s="120" t="inlineStr"/>
      <s:c r="B28430" s="121" t="n"/>
      <s:c r="C28430" s="121" t="n"/>
      <s:c r="D28430" s="121" t="n"/>
      <s:c r="E28430" s="122" t="n"/>
    </s:row>
    <s:row r="28431" hidden="1" ht="1" customHeight="1">
      <s:c r="A28431" s="120" t="inlineStr"/>
      <s:c r="B28431" s="121" t="n"/>
      <s:c r="C28431" s="121" t="n"/>
      <s:c r="D28431" s="121" t="n"/>
      <s:c r="E28431" s="122" t="n"/>
    </s:row>
    <s:row r="28432" hidden="1" ht="1" customHeight="1">
      <s:c r="A28432" s="120" t="inlineStr"/>
      <s:c r="B28432" s="121" t="n"/>
      <s:c r="C28432" s="121" t="n"/>
      <s:c r="D28432" s="121" t="n"/>
      <s:c r="E28432" s="122" t="n"/>
    </s:row>
    <s:row r="28433" hidden="1" ht="1" customHeight="1">
      <s:c r="A28433" s="120" t="inlineStr"/>
      <s:c r="B28433" s="121" t="n"/>
      <s:c r="C28433" s="121" t="n"/>
      <s:c r="D28433" s="121" t="n"/>
      <s:c r="E28433" s="122" t="n"/>
    </s:row>
    <s:row r="28434" hidden="1" ht="1" customHeight="1">
      <s:c r="A28434" s="120" t="inlineStr"/>
      <s:c r="B28434" s="121" t="n"/>
      <s:c r="C28434" s="121" t="n"/>
      <s:c r="D28434" s="121" t="n"/>
      <s:c r="E28434" s="122" t="n"/>
    </s:row>
    <s:row r="28435" hidden="1" ht="1" customHeight="1">
      <s:c r="A28435" s="120" t="inlineStr"/>
      <s:c r="B28435" s="121" t="n"/>
      <s:c r="C28435" s="121" t="n"/>
      <s:c r="D28435" s="121" t="n"/>
      <s:c r="E28435" s="122" t="n"/>
    </s:row>
    <s:row r="28436" hidden="1" ht="1" customHeight="1">
      <s:c r="A28436" s="120" t="inlineStr"/>
      <s:c r="B28436" s="121" t="n"/>
      <s:c r="C28436" s="121" t="n"/>
      <s:c r="D28436" s="121" t="n"/>
      <s:c r="E28436" s="122" t="n"/>
    </s:row>
    <s:row r="28437" hidden="1" ht="1" customHeight="1">
      <s:c r="A28437" s="120" t="inlineStr"/>
      <s:c r="B28437" s="121" t="n"/>
      <s:c r="C28437" s="121" t="n"/>
      <s:c r="D28437" s="121" t="n"/>
      <s:c r="E28437" s="122" t="n"/>
    </s:row>
    <s:row r="28438" hidden="1" ht="1" customHeight="1">
      <s:c r="A28438" s="120" t="inlineStr"/>
      <s:c r="B28438" s="121" t="n"/>
      <s:c r="C28438" s="121" t="n"/>
      <s:c r="D28438" s="121" t="n"/>
      <s:c r="E28438" s="122" t="n"/>
    </s:row>
    <s:row r="28439" hidden="1" ht="1" customHeight="1">
      <s:c r="A28439" s="120" t="inlineStr"/>
      <s:c r="B28439" s="121" t="n"/>
      <s:c r="C28439" s="121" t="n"/>
      <s:c r="D28439" s="121" t="n"/>
      <s:c r="E28439" s="122" t="n"/>
    </s:row>
    <s:row r="28440" hidden="1" ht="1" customHeight="1">
      <s:c r="A28440" s="120" t="inlineStr"/>
      <s:c r="B28440" s="121" t="n"/>
      <s:c r="C28440" s="121" t="n"/>
      <s:c r="D28440" s="121" t="n"/>
      <s:c r="E28440" s="122" t="n"/>
    </s:row>
    <s:row r="28441" hidden="1" ht="1" customHeight="1">
      <s:c r="A28441" s="120" t="inlineStr"/>
      <s:c r="B28441" s="121" t="n"/>
      <s:c r="C28441" s="121" t="n"/>
      <s:c r="D28441" s="121" t="n"/>
      <s:c r="E28441" s="122" t="n"/>
    </s:row>
    <s:row r="28442" hidden="1" ht="1" customHeight="1">
      <s:c r="A28442" s="120" t="inlineStr"/>
      <s:c r="B28442" s="121" t="n"/>
      <s:c r="C28442" s="121" t="n"/>
      <s:c r="D28442" s="121" t="n"/>
      <s:c r="E28442" s="122" t="n"/>
    </s:row>
    <s:row r="28443" hidden="1" ht="1" customHeight="1">
      <s:c r="A28443" s="120" t="inlineStr"/>
      <s:c r="B28443" s="121" t="n"/>
      <s:c r="C28443" s="121" t="n"/>
      <s:c r="D28443" s="121" t="n"/>
      <s:c r="E28443" s="122" t="n"/>
    </s:row>
    <s:row r="28444" hidden="1" ht="1" customHeight="1">
      <s:c r="A28444" s="120" t="inlineStr"/>
      <s:c r="B28444" s="121" t="n"/>
      <s:c r="C28444" s="121" t="n"/>
      <s:c r="D28444" s="121" t="n"/>
      <s:c r="E28444" s="122" t="n"/>
    </s:row>
    <s:row r="28445" hidden="1" ht="1" customHeight="1">
      <s:c r="A28445" s="120" t="inlineStr"/>
      <s:c r="B28445" s="121" t="n"/>
      <s:c r="C28445" s="121" t="n"/>
      <s:c r="D28445" s="121" t="n"/>
      <s:c r="E28445" s="122" t="n"/>
    </s:row>
    <s:row r="28446" hidden="1" ht="1" customHeight="1">
      <s:c r="A28446" s="120" t="inlineStr"/>
      <s:c r="B28446" s="121" t="n"/>
      <s:c r="C28446" s="121" t="n"/>
      <s:c r="D28446" s="121" t="n"/>
      <s:c r="E28446" s="122" t="n"/>
    </s:row>
    <s:row r="28447" hidden="1" ht="1" customHeight="1">
      <s:c r="A28447" s="120" t="inlineStr"/>
      <s:c r="B28447" s="121" t="n"/>
      <s:c r="C28447" s="121" t="n"/>
      <s:c r="D28447" s="121" t="n"/>
      <s:c r="E28447" s="122" t="n"/>
    </s:row>
    <s:row r="28448" hidden="1" ht="1" customHeight="1">
      <s:c r="A28448" s="120" t="inlineStr"/>
      <s:c r="B28448" s="121" t="n"/>
      <s:c r="C28448" s="121" t="n"/>
      <s:c r="D28448" s="121" t="n"/>
      <s:c r="E28448" s="122" t="n"/>
    </s:row>
    <s:row r="28449" hidden="1" ht="1" customHeight="1">
      <s:c r="A28449" s="120" t="inlineStr"/>
      <s:c r="B28449" s="121" t="n"/>
      <s:c r="C28449" s="121" t="n"/>
      <s:c r="D28449" s="121" t="n"/>
      <s:c r="E28449" s="122" t="n"/>
    </s:row>
    <s:row r="28450" hidden="1" ht="1" customHeight="1">
      <s:c r="A28450" s="120" t="inlineStr"/>
      <s:c r="B28450" s="121" t="n"/>
      <s:c r="C28450" s="121" t="n"/>
      <s:c r="D28450" s="121" t="n"/>
      <s:c r="E28450" s="122" t="n"/>
    </s:row>
    <s:row r="28451" hidden="1" ht="1" customHeight="1">
      <s:c r="A28451" s="120" t="inlineStr"/>
      <s:c r="B28451" s="121" t="n"/>
      <s:c r="C28451" s="121" t="n"/>
      <s:c r="D28451" s="121" t="n"/>
      <s:c r="E28451" s="122" t="n"/>
    </s:row>
    <s:row r="28452" hidden="1" ht="1" customHeight="1">
      <s:c r="A28452" s="120" t="inlineStr"/>
      <s:c r="B28452" s="121" t="n"/>
      <s:c r="C28452" s="121" t="n"/>
      <s:c r="D28452" s="121" t="n"/>
      <s:c r="E28452" s="122" t="n"/>
    </s:row>
    <s:row r="28453" hidden="1" ht="1" customHeight="1">
      <s:c r="A28453" s="120" t="inlineStr"/>
      <s:c r="B28453" s="121" t="n"/>
      <s:c r="C28453" s="121" t="n"/>
      <s:c r="D28453" s="121" t="n"/>
      <s:c r="E28453" s="122" t="n"/>
    </s:row>
    <s:row r="28454" hidden="1" ht="1" customHeight="1">
      <s:c r="A28454" s="120" t="inlineStr"/>
      <s:c r="B28454" s="121" t="n"/>
      <s:c r="C28454" s="121" t="n"/>
      <s:c r="D28454" s="121" t="n"/>
      <s:c r="E28454" s="122" t="n"/>
    </s:row>
    <s:row r="28455" hidden="1" ht="1" customHeight="1">
      <s:c r="A28455" s="120" t="inlineStr"/>
      <s:c r="B28455" s="121" t="n"/>
      <s:c r="C28455" s="121" t="n"/>
      <s:c r="D28455" s="121" t="n"/>
      <s:c r="E28455" s="122" t="n"/>
    </s:row>
    <s:row r="28456" hidden="1" ht="1" customHeight="1">
      <s:c r="A28456" s="120" t="inlineStr"/>
      <s:c r="B28456" s="121" t="n"/>
      <s:c r="C28456" s="121" t="n"/>
      <s:c r="D28456" s="121" t="n"/>
      <s:c r="E28456" s="122" t="n"/>
    </s:row>
    <s:row r="28457" hidden="1" ht="1" customHeight="1">
      <s:c r="A28457" s="120" t="inlineStr"/>
      <s:c r="B28457" s="121" t="n"/>
      <s:c r="C28457" s="121" t="n"/>
      <s:c r="D28457" s="121" t="n"/>
      <s:c r="E28457" s="122" t="n"/>
    </s:row>
    <s:row r="28458" hidden="1" ht="1" customHeight="1">
      <s:c r="A28458" s="120" t="inlineStr"/>
      <s:c r="B28458" s="121" t="n"/>
      <s:c r="C28458" s="121" t="n"/>
      <s:c r="D28458" s="121" t="n"/>
      <s:c r="E28458" s="122" t="n"/>
    </s:row>
    <s:row r="28459" hidden="1" ht="1" customHeight="1">
      <s:c r="A28459" s="120" t="inlineStr"/>
      <s:c r="B28459" s="121" t="n"/>
      <s:c r="C28459" s="121" t="n"/>
      <s:c r="D28459" s="121" t="n"/>
      <s:c r="E28459" s="122" t="n"/>
    </s:row>
    <s:row r="28460" hidden="1" ht="1" customHeight="1">
      <s:c r="A28460" s="120" t="inlineStr"/>
      <s:c r="B28460" s="121" t="n"/>
      <s:c r="C28460" s="121" t="n"/>
      <s:c r="D28460" s="121" t="n"/>
      <s:c r="E28460" s="122" t="n"/>
    </s:row>
    <s:row r="28461" hidden="1" ht="1" customHeight="1">
      <s:c r="A28461" s="120" t="inlineStr"/>
      <s:c r="B28461" s="121" t="n"/>
      <s:c r="C28461" s="121" t="n"/>
      <s:c r="D28461" s="121" t="n"/>
      <s:c r="E28461" s="122" t="n"/>
    </s:row>
    <s:row r="28462" hidden="1" ht="1" customHeight="1">
      <s:c r="A28462" s="120" t="inlineStr"/>
      <s:c r="B28462" s="121" t="n"/>
      <s:c r="C28462" s="121" t="n"/>
      <s:c r="D28462" s="121" t="n"/>
      <s:c r="E28462" s="122" t="n"/>
    </s:row>
    <s:row r="28463" hidden="1" ht="1" customHeight="1">
      <s:c r="A28463" s="120" t="inlineStr"/>
      <s:c r="B28463" s="121" t="n"/>
      <s:c r="C28463" s="121" t="n"/>
      <s:c r="D28463" s="121" t="n"/>
      <s:c r="E28463" s="122" t="n"/>
    </s:row>
    <s:row r="28464" hidden="1" ht="1" customHeight="1">
      <s:c r="A28464" s="120" t="inlineStr"/>
      <s:c r="B28464" s="121" t="n"/>
      <s:c r="C28464" s="121" t="n"/>
      <s:c r="D28464" s="121" t="n"/>
      <s:c r="E28464" s="122" t="n"/>
    </s:row>
    <s:row r="28465" hidden="1" ht="1" customHeight="1">
      <s:c r="A28465" s="120" t="inlineStr"/>
      <s:c r="B28465" s="121" t="n"/>
      <s:c r="C28465" s="121" t="n"/>
      <s:c r="D28465" s="121" t="n"/>
      <s:c r="E28465" s="122" t="n"/>
    </s:row>
    <s:row r="28466" hidden="1" ht="1" customHeight="1">
      <s:c r="A28466" s="120" t="inlineStr"/>
      <s:c r="B28466" s="121" t="n"/>
      <s:c r="C28466" s="121" t="n"/>
      <s:c r="D28466" s="121" t="n"/>
      <s:c r="E28466" s="122" t="n"/>
    </s:row>
    <s:row r="28467" hidden="1" ht="1" customHeight="1">
      <s:c r="A28467" s="120" t="inlineStr"/>
      <s:c r="B28467" s="121" t="n"/>
      <s:c r="C28467" s="121" t="n"/>
      <s:c r="D28467" s="121" t="n"/>
      <s:c r="E28467" s="122" t="n"/>
    </s:row>
    <s:row r="28468" hidden="1" ht="1" customHeight="1">
      <s:c r="A28468" s="120" t="inlineStr"/>
      <s:c r="B28468" s="121" t="n"/>
      <s:c r="C28468" s="121" t="n"/>
      <s:c r="D28468" s="121" t="n"/>
      <s:c r="E28468" s="122" t="n"/>
    </s:row>
    <s:row r="28469" hidden="1" ht="1" customHeight="1">
      <s:c r="A28469" s="120" t="inlineStr"/>
      <s:c r="B28469" s="121" t="n"/>
      <s:c r="C28469" s="121" t="n"/>
      <s:c r="D28469" s="121" t="n"/>
      <s:c r="E28469" s="122" t="n"/>
    </s:row>
    <s:row r="28470" hidden="1" ht="1" customHeight="1">
      <s:c r="A28470" s="120" t="inlineStr"/>
      <s:c r="B28470" s="121" t="n"/>
      <s:c r="C28470" s="121" t="n"/>
      <s:c r="D28470" s="121" t="n"/>
      <s:c r="E28470" s="122" t="n"/>
    </s:row>
    <s:row r="28471" hidden="1" ht="1" customHeight="1">
      <s:c r="A28471" s="120" t="inlineStr"/>
      <s:c r="B28471" s="121" t="n"/>
      <s:c r="C28471" s="121" t="n"/>
      <s:c r="D28471" s="121" t="n"/>
      <s:c r="E28471" s="122" t="n"/>
    </s:row>
    <s:row r="28472" hidden="1" ht="1" customHeight="1">
      <s:c r="A28472" s="120" t="inlineStr"/>
      <s:c r="B28472" s="121" t="n"/>
      <s:c r="C28472" s="121" t="n"/>
      <s:c r="D28472" s="121" t="n"/>
      <s:c r="E28472" s="122" t="n"/>
    </s:row>
    <s:row r="28473" hidden="1" ht="1" customHeight="1">
      <s:c r="A28473" s="120" t="inlineStr"/>
      <s:c r="B28473" s="121" t="n"/>
      <s:c r="C28473" s="121" t="n"/>
      <s:c r="D28473" s="121" t="n"/>
      <s:c r="E28473" s="122" t="n"/>
    </s:row>
    <s:row r="28474" hidden="1" ht="1" customHeight="1">
      <s:c r="A28474" s="120" t="inlineStr"/>
      <s:c r="B28474" s="121" t="n"/>
      <s:c r="C28474" s="121" t="n"/>
      <s:c r="D28474" s="121" t="n"/>
      <s:c r="E28474" s="122" t="n"/>
    </s:row>
    <s:row r="28475" hidden="1" ht="1" customHeight="1">
      <s:c r="A28475" s="120" t="inlineStr"/>
      <s:c r="B28475" s="121" t="n"/>
      <s:c r="C28475" s="121" t="n"/>
      <s:c r="D28475" s="121" t="n"/>
      <s:c r="E28475" s="122" t="n"/>
    </s:row>
    <s:row r="28476" hidden="1" ht="1" customHeight="1">
      <s:c r="A28476" s="120" t="inlineStr"/>
      <s:c r="B28476" s="121" t="n"/>
      <s:c r="C28476" s="121" t="n"/>
      <s:c r="D28476" s="121" t="n"/>
      <s:c r="E28476" s="122" t="n"/>
    </s:row>
    <s:row r="28477" hidden="1" ht="1" customHeight="1">
      <s:c r="A28477" s="120" t="inlineStr"/>
      <s:c r="B28477" s="121" t="n"/>
      <s:c r="C28477" s="121" t="n"/>
      <s:c r="D28477" s="121" t="n"/>
      <s:c r="E28477" s="122" t="n"/>
    </s:row>
    <s:row r="28478" hidden="1" ht="1" customHeight="1">
      <s:c r="A28478" s="120" t="inlineStr"/>
      <s:c r="B28478" s="121" t="n"/>
      <s:c r="C28478" s="121" t="n"/>
      <s:c r="D28478" s="121" t="n"/>
      <s:c r="E28478" s="122" t="n"/>
    </s:row>
    <s:row r="28479" hidden="1" ht="1" customHeight="1">
      <s:c r="A28479" s="120" t="inlineStr"/>
      <s:c r="B28479" s="121" t="n"/>
      <s:c r="C28479" s="121" t="n"/>
      <s:c r="D28479" s="121" t="n"/>
      <s:c r="E28479" s="122" t="n"/>
    </s:row>
    <s:row r="28480" hidden="1" ht="1" customHeight="1">
      <s:c r="A28480" s="120" t="inlineStr"/>
      <s:c r="B28480" s="121" t="n"/>
      <s:c r="C28480" s="121" t="n"/>
      <s:c r="D28480" s="121" t="n"/>
      <s:c r="E28480" s="122" t="n"/>
    </s:row>
    <s:row r="28481" hidden="1" ht="1" customHeight="1">
      <s:c r="A28481" s="120" t="inlineStr"/>
      <s:c r="B28481" s="121" t="n"/>
      <s:c r="C28481" s="121" t="n"/>
      <s:c r="D28481" s="121" t="n"/>
      <s:c r="E28481" s="122" t="n"/>
    </s:row>
    <s:row r="28482" hidden="1" ht="1" customHeight="1">
      <s:c r="A28482" s="120" t="inlineStr"/>
      <s:c r="B28482" s="121" t="n"/>
      <s:c r="C28482" s="121" t="n"/>
      <s:c r="D28482" s="121" t="n"/>
      <s:c r="E28482" s="122" t="n"/>
    </s:row>
    <s:row r="28483" hidden="1" ht="1" customHeight="1">
      <s:c r="A28483" s="120" t="inlineStr"/>
      <s:c r="B28483" s="121" t="n"/>
      <s:c r="C28483" s="121" t="n"/>
      <s:c r="D28483" s="121" t="n"/>
      <s:c r="E28483" s="122" t="n"/>
    </s:row>
    <s:row r="28484" hidden="1" ht="1" customHeight="1">
      <s:c r="A28484" s="120" t="inlineStr"/>
      <s:c r="B28484" s="121" t="n"/>
      <s:c r="C28484" s="121" t="n"/>
      <s:c r="D28484" s="121" t="n"/>
      <s:c r="E28484" s="122" t="n"/>
    </s:row>
    <s:row r="28485" hidden="1" ht="1" customHeight="1">
      <s:c r="A28485" s="120" t="inlineStr"/>
      <s:c r="B28485" s="121" t="n"/>
      <s:c r="C28485" s="121" t="n"/>
      <s:c r="D28485" s="121" t="n"/>
      <s:c r="E28485" s="122" t="n"/>
    </s:row>
    <s:row r="28486" hidden="1" ht="1" customHeight="1">
      <s:c r="A28486" s="83" t="inlineStr">
        <s:is>
          <s:t>PASS</s:t>
        </s:is>
      </s:c>
      <s:c r="B28486" s="83">
        <s:f>SUM(IF(EXACT('Kiểm thử'!E28286,"Đạt"),1,0),IF(EXACT('Kiểm thử'!E28288,"Đạt"),1,0),IF(EXACT('Kiểm thử'!E28290,"Đạt"),1,0),IF(EXACT('Kiểm thử'!E28292,"Đạt"),1,0))</s:f>
        <s:v/>
      </s:c>
      <s:c r="C28486" s="19" t="n"/>
      <s:c r="D28486" s="19" t="n"/>
      <s:c r="E28486" s="19" t="n"/>
    </s:row>
    <s:row r="28487" hidden="1" ht="1" customHeight="1">
      <s:c r="A28487" s="83" t="inlineStr">
        <s:is>
          <s:t>FAIL</s:t>
        </s:is>
      </s:c>
      <s:c r="B28487" s="83">
        <s:f>SUM(IF(EXACT('Kiểm thử'!E28286,"Không đạt"),1,0),IF(EXACT('Kiểm thử'!E28288,"Không đạt"),1,0),IF(EXACT('Kiểm thử'!E28290,"Không đạt"),1,0),IF(EXACT('Kiểm thử'!E28292,"Không đạt"),1,0))</s:f>
        <s:v/>
      </s:c>
      <s:c r="C28487" s="19" t="n"/>
      <s:c r="D28487" s="19" t="n"/>
      <s:c r="E28487" s="19" t="n"/>
    </s:row>
    <s:row r="28488" hidden="1" ht="1" customHeight="1">
      <s:c r="A28488" s="83" t="inlineStr">
        <s:is>
          <s:t>BLOCKED</s:t>
        </s:is>
      </s:c>
      <s:c r="B28488" s="83">
        <s:f>SUM(IF(EXACT('Kiểm thử'!E28286,"Bị chặn"),1,0),IF(EXACT('Kiểm thử'!E28288,"Bị chặn"),1,0),IF(EXACT('Kiểm thử'!E28290,"Bị chặn"),1,0),IF(EXACT('Kiểm thử'!E28292,"Bị chặn"),1,0))</s:f>
        <s:v/>
      </s:c>
      <s:c r="C28488" s="19" t="n"/>
      <s:c r="D28488" s="19" t="n"/>
      <s:c r="E28488" s="19" t="n"/>
    </s:row>
    <s:row r="28489" hidden="1" ht="1" customHeight="1">
      <s:c r="A28489" s="83" t="inlineStr">
        <s:is>
          <s:t>SKIPPED</s:t>
        </s:is>
      </s:c>
      <s:c r="B28489" s="83">
        <s:f>SUM(IF(EXACT('Kiểm thử'!E28286,"Không thực hiện"),1,0),IF(EXACT('Kiểm thử'!E28288,"Không thực hiện"),1,0),IF(EXACT('Kiểm thử'!E28290,"Không thực hiện"),1,0),IF(EXACT('Kiểm thử'!E28292,"Không thực hiện"),1,0))</s:f>
        <s:v/>
      </s:c>
      <s:c r="C28489" s="19" t="n"/>
      <s:c r="D28489" s="19" t="n"/>
      <s:c r="E28489" s="19" t="n"/>
    </s:row>
    <s:row r="28490" hidden="1" ht="1" customHeight="1">
      <s:c r="A28490" s="83" t="inlineStr">
        <s:is>
          <s:t>NOT RUN</s:t>
        </s:is>
      </s:c>
      <s:c r="B28490" s="83">
        <s:f>SUM(IF(EXACT('Kiểm thử'!E28286,"Chưa thực hiện"),1,0),IF(EXACT('Kiểm thử'!E28288,"Chưa thực hiện"),1,0),IF(EXACT('Kiểm thử'!E28290,"Chưa thực hiện"),1,0),IF(EXACT('Kiểm thử'!E28292,"Chưa thực hiện"),1,0))</s:f>
        <s:v/>
      </s:c>
      <s:c r="C28490" s="19" t="n"/>
      <s:c r="D28490" s="19" t="n"/>
      <s:c r="E28490" s="19" t="n"/>
    </s:row>
    <s:row r="28491" hidden="1" ht="6" customHeight="1">
      <s:c r="A28491" s="83" t="inlineStr"/>
      <s:c r="B28491" s="19" t="n"/>
      <s:c r="C28491" s="19" t="n"/>
      <s:c r="D28491" s="19" t="n"/>
      <s:c r="E28491" s="19" t="n"/>
    </s:row>
    <s:row r="28492" ht="28" customHeight="1">
      <s:c r="A28492" s="108" t="inlineStr">
        <s:is>
          <s:t>TC-RS-UI-018 — Màn Tổng hợp thành tích（成績集計）: nút xanh/cam và lần chạy trước</s:t>
        </s:is>
      </s:c>
      <s:c r="B28492" s="111" t="n"/>
      <s:c r="C28492" s="111" t="n"/>
      <s:c r="D28492" s="111" t="n"/>
      <s:c r="E28492" s="111" t="n"/>
    </s:row>
    <s:row r="28493" ht="20" customHeight="1">
      <s:c r="A28493" s="112" t="inlineStr">
        <s:is>
          <s:t>Kết quả tình huống</s:t>
        </s:is>
      </s:c>
      <s:c r="B28493" s="113">
        <s:f>IF(SUM(IF(EXACT('Kiểm thử'!E28500,"Không đạt"),1,0))&gt;0,"Không đạt",IF(SUM(IF(EXACT('Kiểm thử'!E28500,"Đạt"),1,0))=1,"Đạt",IF(SUM(IF(EXACT('Kiểm thử'!E28500,"Không thực hiện"),1,0))=1,"Không thực hiện",IF(SUM(IF(EXACT('Kiểm thử'!E28500,"Bị chặn"),1,0))&gt;0,"Bị chặn",IF(SUM(IF(EXACT('Kiểm thử'!E28500,"Chưa thực hiện"),1,0))=1,"Chưa thực hiện","Đang thực hiện")))))</s:f>
        <s:v/>
      </s:c>
      <s:c r="C28493" s="114" t="n"/>
      <s:c r="D28493" s="114" t="n"/>
      <s:c r="E28493" s="114" t="n"/>
    </s:row>
    <s:row r="28494" ht="20" customHeight="1">
      <s:c r="A28494" s="112" t="inlineStr">
        <s:is>
          <s:t>Màn hình / chức năng</s:t>
        </s:is>
      </s:c>
      <s:c r="B28494" s="113" t="inlineStr">
        <s:is>
          <s:t>Lỗi và cập nhật kết quả</s:t>
        </s:is>
      </s:c>
      <s:c r="C28494" s="28" t="n"/>
      <s:c r="D28494" s="28" t="n"/>
      <s:c r="E28494" s="28" t="n"/>
    </s:row>
    <s:row r="28495" ht="34" customHeight="1">
      <s:c r="A28495" s="112" t="inlineStr">
        <s:is>
          <s:t>Cấu hình</s:t>
        </s:is>
      </s:c>
      <s:c r="B28495" s="113" t="inlineStr">
        <s:is>
          <s:t>• Tài khoản có quyền chạy hàng loạt;
• Trường có tính tự động.</s:t>
        </s:is>
      </s:c>
      <s:c r="C28495" s="28" t="n"/>
      <s:c r="D28495" s="28" t="n"/>
      <s:c r="E28495" s="28" t="n"/>
    </s:row>
    <s:row r="28496" ht="20" customHeight="1">
      <s:c r="A28496" s="112" t="inlineStr">
        <s:is>
          <s:t>Dữ liệu test</s:t>
        </s:is>
      </s:c>
      <s:c r="B28496" s="113" t="inlineStr">
        <s:is>
          <s:t>• Tài khoản có quyền chạy hàng loạt</s:t>
        </s:is>
      </s:c>
      <s:c r="C28496" s="28" t="n"/>
      <s:c r="D28496" s="28" t="n"/>
      <s:c r="E28496" s="28" t="n"/>
    </s:row>
    <s:row r="28497" ht="20" customHeight="1">
      <s:c r="A28497" s="112" t="inlineStr">
        <s:is>
          <s:t>•</s:t>
        </s:is>
      </s:c>
      <s:c r="B28497" s="113" t="inlineStr">
        <s:is>
          <s:r>
            <s:t xml:space="preserve">Mở </s:t>
          </s:r>
          <s:r>
            <s:rPr>
              <s:b val="1"/>
            </s:rPr>
            <s:t>Tổng hợp thành tích（成績集計）</s:t>
          </s:r>
          <s:r>
            <s:t>.</s:t>
          </s:r>
        </s:is>
      </s:c>
      <s:c r="C28497" s="28" t="n"/>
      <s:c r="D28497" s="28" t="n"/>
      <s:c r="E28497" s="28" t="n"/>
    </s:row>
    <s:row r="28498" ht="28" customHeight="1">
      <s:c r="A28498" s="115" t="inlineStr">
        <s:is>
          <s:t>Trường hợp</s:t>
        </s:is>
      </s:c>
      <s:c r="B28498" s="115" t="inlineStr">
        <s:is>
          <s:t>Dữ liệu / thao tác riêng</s:t>
        </s:is>
      </s:c>
      <s:c r="C28498" s="115" t="inlineStr">
        <s:is>
          <s:t>Kết quả mong đợi</s:t>
        </s:is>
      </s:c>
      <s:c r="D28498" s="115" t="inlineStr">
        <s:is>
          <s:t>Kết quả thực tế</s:t>
        </s:is>
      </s:c>
      <s:c r="E28498" s="115" t="inlineStr">
        <s:is>
          <s:t>Đánh giá</s:t>
        </s:is>
      </s:c>
    </s:row>
    <s:row r="28499" ht="3" customHeight="1">
      <s:c r="A28499" s="102" t="inlineStr"/>
      <s:c r="B28499" s="99" t="n"/>
      <s:c r="C28499" s="99" t="n"/>
      <s:c r="D28499" s="116" t="n"/>
      <s:c r="E28499" s="116" t="n"/>
    </s:row>
    <s:row r="28500" ht="62" customHeight="1">
      <s:c r="A28500" s="83" t="inlineStr">
        <s:is>
          <s:t>Trường hợp cơ bản (Base)</s:t>
        </s:is>
      </s:c>
      <s:c r="B28500" s="83" t="inlineStr">
        <s:is>
          <s:t>Toàn bộ tình huống: Thực hiện đủ các bước chung theo thứ tự; kiểm cả đối tượng đích và đối chứng cùng fixture, không bỏ bước.</s:t>
        </s:is>
      </s:c>
      <s:c r="C28500" s="83" t="inlineStr">
        <s:is>
          <s:r>
            <s:t xml:space="preserve">Mỗi khối có </s:t>
          </s:r>
          <s:r>
            <s:rPr>
              <s:b val="1"/>
            </s:rPr>
            <s:t>Thực hiện tổng hợp（集計実行）</s:t>
          </s:r>
          <s:r>
            <s:t xml:space="preserve"> và Thực hiện </s:t>
          </s:r>
          <s:r>
            <s:rPr>
              <s:b val="1"/>
            </s:rPr>
            <s:t>tính toán tự động（自動算出実行）</s:t>
          </s:r>
          <s:r>
            <s:t xml:space="preserve"> kèm thời điểm chạy trước, như màn hiện có.</s:t>
          </s:r>
        </s:is>
      </s:c>
      <s:c r="D28500" s="117" t="inlineStr"/>
      <s:c r="E28500" s="118" t="inlineStr">
        <s:is>
          <s:t>Chưa thực hiện</s:t>
        </s:is>
      </s:c>
    </s:row>
    <s:row r="28501" ht="20" customHeight="1">
      <s:c r="A28501" s="119" t="inlineStr">
        <s:is>
          <s:t>Ảnh minh chứng — Chưa có ảnh</s:t>
        </s:is>
      </s:c>
      <s:c r="B28501" s="19" t="n"/>
      <s:c r="C28501" s="19" t="n"/>
      <s:c r="D28501" s="19" t="n"/>
      <s:c r="E28501" s="19" t="n"/>
    </s:row>
    <s:row r="28502" hidden="1" ht="1" customHeight="1">
      <s:c r="A28502" s="120" t="inlineStr"/>
      <s:c r="B28502" s="121" t="n"/>
      <s:c r="C28502" s="121" t="n"/>
      <s:c r="D28502" s="121" t="n"/>
      <s:c r="E28502" s="122" t="n"/>
    </s:row>
    <s:row r="28503" hidden="1" ht="1" customHeight="1">
      <s:c r="A28503" s="120" t="inlineStr"/>
      <s:c r="B28503" s="121" t="n"/>
      <s:c r="C28503" s="121" t="n"/>
      <s:c r="D28503" s="121" t="n"/>
      <s:c r="E28503" s="122" t="n"/>
    </s:row>
    <s:row r="28504" hidden="1" ht="1" customHeight="1">
      <s:c r="A28504" s="120" t="inlineStr"/>
      <s:c r="B28504" s="121" t="n"/>
      <s:c r="C28504" s="121" t="n"/>
      <s:c r="D28504" s="121" t="n"/>
      <s:c r="E28504" s="122" t="n"/>
    </s:row>
    <s:row r="28505" hidden="1" ht="1" customHeight="1">
      <s:c r="A28505" s="120" t="inlineStr"/>
      <s:c r="B28505" s="121" t="n"/>
      <s:c r="C28505" s="121" t="n"/>
      <s:c r="D28505" s="121" t="n"/>
      <s:c r="E28505" s="122" t="n"/>
    </s:row>
    <s:row r="28506" hidden="1" ht="1" customHeight="1">
      <s:c r="A28506" s="120" t="inlineStr"/>
      <s:c r="B28506" s="121" t="n"/>
      <s:c r="C28506" s="121" t="n"/>
      <s:c r="D28506" s="121" t="n"/>
      <s:c r="E28506" s="122" t="n"/>
    </s:row>
    <s:row r="28507" hidden="1" ht="1" customHeight="1">
      <s:c r="A28507" s="120" t="inlineStr"/>
      <s:c r="B28507" s="121" t="n"/>
      <s:c r="C28507" s="121" t="n"/>
      <s:c r="D28507" s="121" t="n"/>
      <s:c r="E28507" s="122" t="n"/>
    </s:row>
    <s:row r="28508" hidden="1" ht="1" customHeight="1">
      <s:c r="A28508" s="120" t="inlineStr"/>
      <s:c r="B28508" s="121" t="n"/>
      <s:c r="C28508" s="121" t="n"/>
      <s:c r="D28508" s="121" t="n"/>
      <s:c r="E28508" s="122" t="n"/>
    </s:row>
    <s:row r="28509" hidden="1" ht="1" customHeight="1">
      <s:c r="A28509" s="120" t="inlineStr"/>
      <s:c r="B28509" s="121" t="n"/>
      <s:c r="C28509" s="121" t="n"/>
      <s:c r="D28509" s="121" t="n"/>
      <s:c r="E28509" s="122" t="n"/>
    </s:row>
    <s:row r="28510" hidden="1" ht="1" customHeight="1">
      <s:c r="A28510" s="120" t="inlineStr"/>
      <s:c r="B28510" s="121" t="n"/>
      <s:c r="C28510" s="121" t="n"/>
      <s:c r="D28510" s="121" t="n"/>
      <s:c r="E28510" s="122" t="n"/>
    </s:row>
    <s:row r="28511" hidden="1" ht="1" customHeight="1">
      <s:c r="A28511" s="120" t="inlineStr"/>
      <s:c r="B28511" s="121" t="n"/>
      <s:c r="C28511" s="121" t="n"/>
      <s:c r="D28511" s="121" t="n"/>
      <s:c r="E28511" s="122" t="n"/>
    </s:row>
    <s:row r="28512" hidden="1" ht="1" customHeight="1">
      <s:c r="A28512" s="120" t="inlineStr"/>
      <s:c r="B28512" s="121" t="n"/>
      <s:c r="C28512" s="121" t="n"/>
      <s:c r="D28512" s="121" t="n"/>
      <s:c r="E28512" s="122" t="n"/>
    </s:row>
    <s:row r="28513" hidden="1" ht="1" customHeight="1">
      <s:c r="A28513" s="120" t="inlineStr"/>
      <s:c r="B28513" s="121" t="n"/>
      <s:c r="C28513" s="121" t="n"/>
      <s:c r="D28513" s="121" t="n"/>
      <s:c r="E28513" s="122" t="n"/>
    </s:row>
    <s:row r="28514" hidden="1" ht="1" customHeight="1">
      <s:c r="A28514" s="120" t="inlineStr"/>
      <s:c r="B28514" s="121" t="n"/>
      <s:c r="C28514" s="121" t="n"/>
      <s:c r="D28514" s="121" t="n"/>
      <s:c r="E28514" s="122" t="n"/>
    </s:row>
    <s:row r="28515" hidden="1" ht="1" customHeight="1">
      <s:c r="A28515" s="120" t="inlineStr"/>
      <s:c r="B28515" s="121" t="n"/>
      <s:c r="C28515" s="121" t="n"/>
      <s:c r="D28515" s="121" t="n"/>
      <s:c r="E28515" s="122" t="n"/>
    </s:row>
    <s:row r="28516" hidden="1" ht="1" customHeight="1">
      <s:c r="A28516" s="120" t="inlineStr"/>
      <s:c r="B28516" s="121" t="n"/>
      <s:c r="C28516" s="121" t="n"/>
      <s:c r="D28516" s="121" t="n"/>
      <s:c r="E28516" s="122" t="n"/>
    </s:row>
    <s:row r="28517" hidden="1" ht="1" customHeight="1">
      <s:c r="A28517" s="120" t="inlineStr"/>
      <s:c r="B28517" s="121" t="n"/>
      <s:c r="C28517" s="121" t="n"/>
      <s:c r="D28517" s="121" t="n"/>
      <s:c r="E28517" s="122" t="n"/>
    </s:row>
    <s:row r="28518" hidden="1" ht="1" customHeight="1">
      <s:c r="A28518" s="120" t="inlineStr"/>
      <s:c r="B28518" s="121" t="n"/>
      <s:c r="C28518" s="121" t="n"/>
      <s:c r="D28518" s="121" t="n"/>
      <s:c r="E28518" s="122" t="n"/>
    </s:row>
    <s:row r="28519" hidden="1" ht="1" customHeight="1">
      <s:c r="A28519" s="120" t="inlineStr"/>
      <s:c r="B28519" s="121" t="n"/>
      <s:c r="C28519" s="121" t="n"/>
      <s:c r="D28519" s="121" t="n"/>
      <s:c r="E28519" s="122" t="n"/>
    </s:row>
    <s:row r="28520" hidden="1" ht="1" customHeight="1">
      <s:c r="A28520" s="120" t="inlineStr"/>
      <s:c r="B28520" s="121" t="n"/>
      <s:c r="C28520" s="121" t="n"/>
      <s:c r="D28520" s="121" t="n"/>
      <s:c r="E28520" s="122" t="n"/>
    </s:row>
    <s:row r="28521" hidden="1" ht="1" customHeight="1">
      <s:c r="A28521" s="120" t="inlineStr"/>
      <s:c r="B28521" s="121" t="n"/>
      <s:c r="C28521" s="121" t="n"/>
      <s:c r="D28521" s="121" t="n"/>
      <s:c r="E28521" s="122" t="n"/>
    </s:row>
    <s:row r="28522" hidden="1" ht="1" customHeight="1">
      <s:c r="A28522" s="120" t="inlineStr"/>
      <s:c r="B28522" s="121" t="n"/>
      <s:c r="C28522" s="121" t="n"/>
      <s:c r="D28522" s="121" t="n"/>
      <s:c r="E28522" s="122" t="n"/>
    </s:row>
    <s:row r="28523" hidden="1" ht="1" customHeight="1">
      <s:c r="A28523" s="120" t="inlineStr"/>
      <s:c r="B28523" s="121" t="n"/>
      <s:c r="C28523" s="121" t="n"/>
      <s:c r="D28523" s="121" t="n"/>
      <s:c r="E28523" s="122" t="n"/>
    </s:row>
    <s:row r="28524" hidden="1" ht="1" customHeight="1">
      <s:c r="A28524" s="120" t="inlineStr"/>
      <s:c r="B28524" s="121" t="n"/>
      <s:c r="C28524" s="121" t="n"/>
      <s:c r="D28524" s="121" t="n"/>
      <s:c r="E28524" s="122" t="n"/>
    </s:row>
    <s:row r="28525" hidden="1" ht="1" customHeight="1">
      <s:c r="A28525" s="120" t="inlineStr"/>
      <s:c r="B28525" s="121" t="n"/>
      <s:c r="C28525" s="121" t="n"/>
      <s:c r="D28525" s="121" t="n"/>
      <s:c r="E28525" s="122" t="n"/>
    </s:row>
    <s:row r="28526" hidden="1" ht="1" customHeight="1">
      <s:c r="A28526" s="120" t="inlineStr"/>
      <s:c r="B28526" s="121" t="n"/>
      <s:c r="C28526" s="121" t="n"/>
      <s:c r="D28526" s="121" t="n"/>
      <s:c r="E28526" s="122" t="n"/>
    </s:row>
    <s:row r="28527" hidden="1" ht="1" customHeight="1">
      <s:c r="A28527" s="120" t="inlineStr"/>
      <s:c r="B28527" s="121" t="n"/>
      <s:c r="C28527" s="121" t="n"/>
      <s:c r="D28527" s="121" t="n"/>
      <s:c r="E28527" s="122" t="n"/>
    </s:row>
    <s:row r="28528" hidden="1" ht="1" customHeight="1">
      <s:c r="A28528" s="120" t="inlineStr"/>
      <s:c r="B28528" s="121" t="n"/>
      <s:c r="C28528" s="121" t="n"/>
      <s:c r="D28528" s="121" t="n"/>
      <s:c r="E28528" s="122" t="n"/>
    </s:row>
    <s:row r="28529" hidden="1" ht="1" customHeight="1">
      <s:c r="A28529" s="120" t="inlineStr"/>
      <s:c r="B28529" s="121" t="n"/>
      <s:c r="C28529" s="121" t="n"/>
      <s:c r="D28529" s="121" t="n"/>
      <s:c r="E28529" s="122" t="n"/>
    </s:row>
    <s:row r="28530" hidden="1" ht="1" customHeight="1">
      <s:c r="A28530" s="120" t="inlineStr"/>
      <s:c r="B28530" s="121" t="n"/>
      <s:c r="C28530" s="121" t="n"/>
      <s:c r="D28530" s="121" t="n"/>
      <s:c r="E28530" s="122" t="n"/>
    </s:row>
    <s:row r="28531" hidden="1" ht="1" customHeight="1">
      <s:c r="A28531" s="120" t="inlineStr"/>
      <s:c r="B28531" s="121" t="n"/>
      <s:c r="C28531" s="121" t="n"/>
      <s:c r="D28531" s="121" t="n"/>
      <s:c r="E28531" s="122" t="n"/>
    </s:row>
    <s:row r="28532" hidden="1" ht="1" customHeight="1">
      <s:c r="A28532" s="120" t="inlineStr"/>
      <s:c r="B28532" s="121" t="n"/>
      <s:c r="C28532" s="121" t="n"/>
      <s:c r="D28532" s="121" t="n"/>
      <s:c r="E28532" s="122" t="n"/>
    </s:row>
    <s:row r="28533" hidden="1" ht="1" customHeight="1">
      <s:c r="A28533" s="120" t="inlineStr"/>
      <s:c r="B28533" s="121" t="n"/>
      <s:c r="C28533" s="121" t="n"/>
      <s:c r="D28533" s="121" t="n"/>
      <s:c r="E28533" s="122" t="n"/>
    </s:row>
    <s:row r="28534" hidden="1" ht="1" customHeight="1">
      <s:c r="A28534" s="120" t="inlineStr"/>
      <s:c r="B28534" s="121" t="n"/>
      <s:c r="C28534" s="121" t="n"/>
      <s:c r="D28534" s="121" t="n"/>
      <s:c r="E28534" s="122" t="n"/>
    </s:row>
    <s:row r="28535" hidden="1" ht="1" customHeight="1">
      <s:c r="A28535" s="120" t="inlineStr"/>
      <s:c r="B28535" s="121" t="n"/>
      <s:c r="C28535" s="121" t="n"/>
      <s:c r="D28535" s="121" t="n"/>
      <s:c r="E28535" s="122" t="n"/>
    </s:row>
    <s:row r="28536" hidden="1" ht="1" customHeight="1">
      <s:c r="A28536" s="120" t="inlineStr"/>
      <s:c r="B28536" s="121" t="n"/>
      <s:c r="C28536" s="121" t="n"/>
      <s:c r="D28536" s="121" t="n"/>
      <s:c r="E28536" s="122" t="n"/>
    </s:row>
    <s:row r="28537" hidden="1" ht="1" customHeight="1">
      <s:c r="A28537" s="120" t="inlineStr"/>
      <s:c r="B28537" s="121" t="n"/>
      <s:c r="C28537" s="121" t="n"/>
      <s:c r="D28537" s="121" t="n"/>
      <s:c r="E28537" s="122" t="n"/>
    </s:row>
    <s:row r="28538" hidden="1" ht="1" customHeight="1">
      <s:c r="A28538" s="120" t="inlineStr"/>
      <s:c r="B28538" s="121" t="n"/>
      <s:c r="C28538" s="121" t="n"/>
      <s:c r="D28538" s="121" t="n"/>
      <s:c r="E28538" s="122" t="n"/>
    </s:row>
    <s:row r="28539" hidden="1" ht="1" customHeight="1">
      <s:c r="A28539" s="120" t="inlineStr"/>
      <s:c r="B28539" s="121" t="n"/>
      <s:c r="C28539" s="121" t="n"/>
      <s:c r="D28539" s="121" t="n"/>
      <s:c r="E28539" s="122" t="n"/>
    </s:row>
    <s:row r="28540" hidden="1" ht="1" customHeight="1">
      <s:c r="A28540" s="120" t="inlineStr"/>
      <s:c r="B28540" s="121" t="n"/>
      <s:c r="C28540" s="121" t="n"/>
      <s:c r="D28540" s="121" t="n"/>
      <s:c r="E28540" s="122" t="n"/>
    </s:row>
    <s:row r="28541" hidden="1" ht="1" customHeight="1">
      <s:c r="A28541" s="120" t="inlineStr"/>
      <s:c r="B28541" s="121" t="n"/>
      <s:c r="C28541" s="121" t="n"/>
      <s:c r="D28541" s="121" t="n"/>
      <s:c r="E28541" s="122" t="n"/>
    </s:row>
    <s:row r="28542" hidden="1" ht="1" customHeight="1">
      <s:c r="A28542" s="120" t="inlineStr"/>
      <s:c r="B28542" s="121" t="n"/>
      <s:c r="C28542" s="121" t="n"/>
      <s:c r="D28542" s="121" t="n"/>
      <s:c r="E28542" s="122" t="n"/>
    </s:row>
    <s:row r="28543" hidden="1" ht="1" customHeight="1">
      <s:c r="A28543" s="120" t="inlineStr"/>
      <s:c r="B28543" s="121" t="n"/>
      <s:c r="C28543" s="121" t="n"/>
      <s:c r="D28543" s="121" t="n"/>
      <s:c r="E28543" s="122" t="n"/>
    </s:row>
    <s:row r="28544" hidden="1" ht="1" customHeight="1">
      <s:c r="A28544" s="120" t="inlineStr"/>
      <s:c r="B28544" s="121" t="n"/>
      <s:c r="C28544" s="121" t="n"/>
      <s:c r="D28544" s="121" t="n"/>
      <s:c r="E28544" s="122" t="n"/>
    </s:row>
    <s:row r="28545" hidden="1" ht="1" customHeight="1">
      <s:c r="A28545" s="120" t="inlineStr"/>
      <s:c r="B28545" s="121" t="n"/>
      <s:c r="C28545" s="121" t="n"/>
      <s:c r="D28545" s="121" t="n"/>
      <s:c r="E28545" s="122" t="n"/>
    </s:row>
    <s:row r="28546" hidden="1" ht="1" customHeight="1">
      <s:c r="A28546" s="120" t="inlineStr"/>
      <s:c r="B28546" s="121" t="n"/>
      <s:c r="C28546" s="121" t="n"/>
      <s:c r="D28546" s="121" t="n"/>
      <s:c r="E28546" s="122" t="n"/>
    </s:row>
    <s:row r="28547" hidden="1" ht="1" customHeight="1">
      <s:c r="A28547" s="120" t="inlineStr"/>
      <s:c r="B28547" s="121" t="n"/>
      <s:c r="C28547" s="121" t="n"/>
      <s:c r="D28547" s="121" t="n"/>
      <s:c r="E28547" s="122" t="n"/>
    </s:row>
    <s:row r="28548" hidden="1" ht="1" customHeight="1">
      <s:c r="A28548" s="120" t="inlineStr"/>
      <s:c r="B28548" s="121" t="n"/>
      <s:c r="C28548" s="121" t="n"/>
      <s:c r="D28548" s="121" t="n"/>
      <s:c r="E28548" s="122" t="n"/>
    </s:row>
    <s:row r="28549" hidden="1" ht="1" customHeight="1">
      <s:c r="A28549" s="120" t="inlineStr"/>
      <s:c r="B28549" s="121" t="n"/>
      <s:c r="C28549" s="121" t="n"/>
      <s:c r="D28549" s="121" t="n"/>
      <s:c r="E28549" s="122" t="n"/>
    </s:row>
    <s:row r="28550" hidden="1" ht="1" customHeight="1">
      <s:c r="A28550" s="83" t="inlineStr">
        <s:is>
          <s:t>PASS</s:t>
        </s:is>
      </s:c>
      <s:c r="B28550" s="83">
        <s:f>SUM(IF(EXACT('Kiểm thử'!E28500,"Đạt"),1,0))</s:f>
        <s:v/>
      </s:c>
      <s:c r="C28550" s="19" t="n"/>
      <s:c r="D28550" s="19" t="n"/>
      <s:c r="E28550" s="19" t="n"/>
    </s:row>
    <s:row r="28551" hidden="1" ht="1" customHeight="1">
      <s:c r="A28551" s="83" t="inlineStr">
        <s:is>
          <s:t>FAIL</s:t>
        </s:is>
      </s:c>
      <s:c r="B28551" s="83">
        <s:f>SUM(IF(EXACT('Kiểm thử'!E28500,"Không đạt"),1,0))</s:f>
        <s:v/>
      </s:c>
      <s:c r="C28551" s="19" t="n"/>
      <s:c r="D28551" s="19" t="n"/>
      <s:c r="E28551" s="19" t="n"/>
    </s:row>
    <s:row r="28552" hidden="1" ht="1" customHeight="1">
      <s:c r="A28552" s="83" t="inlineStr">
        <s:is>
          <s:t>BLOCKED</s:t>
        </s:is>
      </s:c>
      <s:c r="B28552" s="83">
        <s:f>SUM(IF(EXACT('Kiểm thử'!E28500,"Bị chặn"),1,0))</s:f>
        <s:v/>
      </s:c>
      <s:c r="C28552" s="19" t="n"/>
      <s:c r="D28552" s="19" t="n"/>
      <s:c r="E28552" s="19" t="n"/>
    </s:row>
    <s:row r="28553" hidden="1" ht="1" customHeight="1">
      <s:c r="A28553" s="83" t="inlineStr">
        <s:is>
          <s:t>SKIPPED</s:t>
        </s:is>
      </s:c>
      <s:c r="B28553" s="83">
        <s:f>SUM(IF(EXACT('Kiểm thử'!E28500,"Không thực hiện"),1,0))</s:f>
        <s:v/>
      </s:c>
      <s:c r="C28553" s="19" t="n"/>
      <s:c r="D28553" s="19" t="n"/>
      <s:c r="E28553" s="19" t="n"/>
    </s:row>
    <s:row r="28554" hidden="1" ht="1" customHeight="1">
      <s:c r="A28554" s="83" t="inlineStr">
        <s:is>
          <s:t>NOT RUN</s:t>
        </s:is>
      </s:c>
      <s:c r="B28554" s="83">
        <s:f>SUM(IF(EXACT('Kiểm thử'!E28500,"Chưa thực hiện"),1,0))</s:f>
        <s:v/>
      </s:c>
      <s:c r="C28554" s="19" t="n"/>
      <s:c r="D28554" s="19" t="n"/>
      <s:c r="E28554" s="19" t="n"/>
    </s:row>
    <s:row r="28555" hidden="1" ht="6" customHeight="1">
      <s:c r="A28555" s="83" t="inlineStr"/>
      <s:c r="B28555" s="19" t="n"/>
      <s:c r="C28555" s="19" t="n"/>
      <s:c r="D28555" s="19" t="n"/>
      <s:c r="E28555" s="19" t="n"/>
    </s:row>
    <s:row r="28556" ht="28" customHeight="1">
      <s:c r="A28556" s="108" t="inlineStr">
        <s:is>
          <s:t>TC-RS-UI-019 — Thông báo kết quả sau khi chạy: hoàn tất, chưa xét được, thất bại một phần</s:t>
        </s:is>
      </s:c>
      <s:c r="B28556" s="111" t="n"/>
      <s:c r="C28556" s="111" t="n"/>
      <s:c r="D28556" s="111" t="n"/>
      <s:c r="E28556" s="111" t="n"/>
    </s:row>
    <s:row r="28557" ht="20" customHeight="1">
      <s:c r="A28557" s="112" t="inlineStr">
        <s:is>
          <s:t>Kết quả tình huống</s:t>
        </s:is>
      </s:c>
      <s:c r="B28557" s="113">
        <s:f>IF(SUM(IF(EXACT('Kiểm thử'!E28565,"Không đạt"),1,0),IF(EXACT('Kiểm thử'!E28567,"Không đạt"),1,0))&gt;0,"Không đạt",IF(SUM(IF(EXACT('Kiểm thử'!E28565,"Đạt"),1,0),IF(EXACT('Kiểm thử'!E28567,"Đạt"),1,0))=2,"Đạt",IF(SUM(IF(EXACT('Kiểm thử'!E28565,"Không thực hiện"),1,0),IF(EXACT('Kiểm thử'!E28567,"Không thực hiện"),1,0))=2,"Không thực hiện",IF(SUM(IF(EXACT('Kiểm thử'!E28565,"Bị chặn"),1,0),IF(EXACT('Kiểm thử'!E28567,"Bị chặn"),1,0))&gt;0,"Bị chặn",IF(SUM(IF(EXACT('Kiểm thử'!E28565,"Chưa thực hiện"),1,0),IF(EXACT('Kiểm thử'!E28567,"Chưa thực hiện"),1,0))=2,"Chưa thực hiện","Đang thực hiện")))))</s:f>
        <s:v/>
      </s:c>
      <s:c r="C28557" s="114" t="n"/>
      <s:c r="D28557" s="114" t="n"/>
      <s:c r="E28557" s="114" t="n"/>
    </s:row>
    <s:row r="28558" ht="20" customHeight="1">
      <s:c r="A28558" s="112" t="inlineStr">
        <s:is>
          <s:t>Màn hình / chức năng</s:t>
        </s:is>
      </s:c>
      <s:c r="B28558" s="113" t="inlineStr">
        <s:is>
          <s:t>Lỗi và cập nhật kết quả</s:t>
        </s:is>
      </s:c>
      <s:c r="C28558" s="28" t="n"/>
      <s:c r="D28558" s="28" t="n"/>
      <s:c r="E28558" s="28" t="n"/>
    </s:row>
    <s:row r="28559" ht="34" customHeight="1">
      <s:c r="A28559" s="112" t="inlineStr">
        <s:is>
          <s:t>Cấu hình</s:t>
        </s:is>
      </s:c>
      <s:c r="B28559" s="113" t="inlineStr">
        <s:is>
          <s:t>• Như case “Chưa có kết quả tổng hợp → Chưa xét được, không thay bằng 0 hay nhóm khác” (thiếu nguồn) và case “Batch hoàn tất một phần: báo đúng phạm vi đã/không cập nhật” (lỗi một phần).</s:t>
        </s:is>
      </s:c>
      <s:c r="C28559" s="28" t="n"/>
      <s:c r="D28559" s="28" t="n"/>
      <s:c r="E28559" s="28" t="n"/>
    </s:row>
    <s:row r="28560" ht="20" customHeight="1">
      <s:c r="A28560" s="112" t="inlineStr">
        <s:is>
          <s:t>Dữ liệu test</s:t>
        </s:is>
      </s:c>
      <s:c r="B28560" s="113" t="inlineStr">
        <s:is>
          <s:t>• Nguồn chưa có kết quả tổng hợp</s:t>
        </s:is>
      </s:c>
      <s:c r="C28560" s="28" t="n"/>
      <s:c r="D28560" s="28" t="n"/>
      <s:c r="E28560" s="28" t="n"/>
    </s:row>
    <s:row r="28561" ht="20" customHeight="1">
      <s:c r="A28561" s="112" t="inlineStr">
        <s:is>
          <s:t>Bước 1</s:t>
        </s:is>
      </s:c>
      <s:c r="B28561" s="113" t="inlineStr">
        <s:is>
          <s:t>Chạy nút cam khi thiếu nguồn.</s:t>
        </s:is>
      </s:c>
      <s:c r="C28561" s="28" t="n"/>
      <s:c r="D28561" s="28" t="n"/>
      <s:c r="E28561" s="28" t="n"/>
    </s:row>
    <s:row r="28562" ht="20" customHeight="1">
      <s:c r="A28562" s="112" t="inlineStr">
        <s:is>
          <s:t>Bước 2</s:t>
        </s:is>
      </s:c>
      <s:c r="B28562" s="113" t="inlineStr">
        <s:is>
          <s:t>Chạy khi có lỗi một phần (theo cách giả lập được team dev cho phép).</s:t>
        </s:is>
      </s:c>
      <s:c r="C28562" s="28" t="n"/>
      <s:c r="D28562" s="28" t="n"/>
      <s:c r="E28562" s="28" t="n"/>
    </s:row>
    <s:row r="28563" ht="28" customHeight="1">
      <s:c r="A28563" s="115" t="inlineStr">
        <s:is>
          <s:t>Trường hợp</s:t>
        </s:is>
      </s:c>
      <s:c r="B28563" s="115" t="inlineStr">
        <s:is>
          <s:t>Dữ liệu / thao tác riêng</s:t>
        </s:is>
      </s:c>
      <s:c r="C28563" s="115" t="inlineStr">
        <s:is>
          <s:t>Kết quả mong đợi</s:t>
        </s:is>
      </s:c>
      <s:c r="D28563" s="115" t="inlineStr">
        <s:is>
          <s:t>Kết quả thực tế</s:t>
        </s:is>
      </s:c>
      <s:c r="E28563" s="115" t="inlineStr">
        <s:is>
          <s:t>Đánh giá</s:t>
        </s:is>
      </s:c>
    </s:row>
    <s:row r="28564" ht="3" customHeight="1">
      <s:c r="A28564" s="102" t="inlineStr"/>
      <s:c r="B28564" s="99" t="n"/>
      <s:c r="C28564" s="99" t="n"/>
      <s:c r="D28564" s="116" t="n"/>
      <s:c r="E28564" s="116" t="n"/>
    </s:row>
    <s:row r="28565" ht="62" customHeight="1">
      <s:c r="A28565" s="83" t="inlineStr">
        <s:is>
          <s:t>Thông báo thiếu nguồn (missing)</s:t>
        </s:is>
      </s:c>
      <s:c r="B28565" s="83" t="inlineStr">
        <s:is>
          <s:t>Dùng fixture của BR-010: nguồn chưa có kết quả tổng hợp; chạy nút cam, ghi thông báo/phạm vi/trạng thái.</s:t>
        </s:is>
      </s:c>
      <s:c r="C28565" s="83" t="inlineStr">
        <s:is>
          <s:t>Thông báo hoàn tất nêu có mục Chưa xét được, phạm vi và lý do; kết quả trước không còn dùng.</s:t>
        </s:is>
      </s:c>
      <s:c r="D28565" s="117" t="inlineStr"/>
      <s:c r="E28565" s="118" t="inlineStr">
        <s:is>
          <s:t>Chưa thực hiện</s:t>
        </s:is>
      </s:c>
    </s:row>
    <s:row r="28566" ht="3" customHeight="1">
      <s:c r="A28566" s="102" t="inlineStr"/>
      <s:c r="B28566" s="99" t="n"/>
      <s:c r="C28566" s="99" t="n"/>
      <s:c r="D28566" s="116" t="n"/>
      <s:c r="E28566" s="116" t="n"/>
    </s:row>
    <s:row r="28567" ht="62" customHeight="1">
      <s:c r="A28567" s="83" t="inlineStr">
        <s:is>
          <s:t>Thông báo lỗi một phần (partial)</s:t>
        </s:is>
      </s:c>
      <s:c r="B28567" s="83" t="inlineStr">
        <s:is>
          <s:t>Dùng fixture ERR-003 và seam lỗi được team cho phép; chạy batch với lỗi một phần, ghi thông báo/phạm vi/hướng dẫn chạy lại.</s:t>
        </s:is>
      </s:c>
      <s:c r="C28567" s="83" t="inlineStr">
        <s:is>
          <s:t>Thông báo nêu phạm vi đã cập nhật/chưa cập nhật và hướng dẫn chạy lại; không báo hoàn tất toàn bộ.</s:t>
        </s:is>
      </s:c>
      <s:c r="D28567" s="117" t="inlineStr"/>
      <s:c r="E28567" s="118" t="inlineStr">
        <s:is>
          <s:t>Chưa thực hiện</s:t>
        </s:is>
      </s:c>
    </s:row>
    <s:row r="28568" ht="20" customHeight="1">
      <s:c r="A28568" s="119" t="inlineStr">
        <s:is>
          <s:t>Ảnh minh chứng — Chưa có ảnh</s:t>
        </s:is>
      </s:c>
      <s:c r="B28568" s="19" t="n"/>
      <s:c r="C28568" s="19" t="n"/>
      <s:c r="D28568" s="19" t="n"/>
      <s:c r="E28568" s="19" t="n"/>
    </s:row>
    <s:row r="28569" hidden="1" ht="1" customHeight="1">
      <s:c r="A28569" s="120" t="inlineStr"/>
      <s:c r="B28569" s="121" t="n"/>
      <s:c r="C28569" s="121" t="n"/>
      <s:c r="D28569" s="121" t="n"/>
      <s:c r="E28569" s="122" t="n"/>
    </s:row>
    <s:row r="28570" hidden="1" ht="1" customHeight="1">
      <s:c r="A28570" s="120" t="inlineStr"/>
      <s:c r="B28570" s="121" t="n"/>
      <s:c r="C28570" s="121" t="n"/>
      <s:c r="D28570" s="121" t="n"/>
      <s:c r="E28570" s="122" t="n"/>
    </s:row>
    <s:row r="28571" hidden="1" ht="1" customHeight="1">
      <s:c r="A28571" s="120" t="inlineStr"/>
      <s:c r="B28571" s="121" t="n"/>
      <s:c r="C28571" s="121" t="n"/>
      <s:c r="D28571" s="121" t="n"/>
      <s:c r="E28571" s="122" t="n"/>
    </s:row>
    <s:row r="28572" hidden="1" ht="1" customHeight="1">
      <s:c r="A28572" s="120" t="inlineStr"/>
      <s:c r="B28572" s="121" t="n"/>
      <s:c r="C28572" s="121" t="n"/>
      <s:c r="D28572" s="121" t="n"/>
      <s:c r="E28572" s="122" t="n"/>
    </s:row>
    <s:row r="28573" hidden="1" ht="1" customHeight="1">
      <s:c r="A28573" s="120" t="inlineStr"/>
      <s:c r="B28573" s="121" t="n"/>
      <s:c r="C28573" s="121" t="n"/>
      <s:c r="D28573" s="121" t="n"/>
      <s:c r="E28573" s="122" t="n"/>
    </s:row>
    <s:row r="28574" hidden="1" ht="1" customHeight="1">
      <s:c r="A28574" s="120" t="inlineStr"/>
      <s:c r="B28574" s="121" t="n"/>
      <s:c r="C28574" s="121" t="n"/>
      <s:c r="D28574" s="121" t="n"/>
      <s:c r="E28574" s="122" t="n"/>
    </s:row>
    <s:row r="28575" hidden="1" ht="1" customHeight="1">
      <s:c r="A28575" s="120" t="inlineStr"/>
      <s:c r="B28575" s="121" t="n"/>
      <s:c r="C28575" s="121" t="n"/>
      <s:c r="D28575" s="121" t="n"/>
      <s:c r="E28575" s="122" t="n"/>
    </s:row>
    <s:row r="28576" hidden="1" ht="1" customHeight="1">
      <s:c r="A28576" s="120" t="inlineStr"/>
      <s:c r="B28576" s="121" t="n"/>
      <s:c r="C28576" s="121" t="n"/>
      <s:c r="D28576" s="121" t="n"/>
      <s:c r="E28576" s="122" t="n"/>
    </s:row>
    <s:row r="28577" hidden="1" ht="1" customHeight="1">
      <s:c r="A28577" s="120" t="inlineStr"/>
      <s:c r="B28577" s="121" t="n"/>
      <s:c r="C28577" s="121" t="n"/>
      <s:c r="D28577" s="121" t="n"/>
      <s:c r="E28577" s="122" t="n"/>
    </s:row>
    <s:row r="28578" hidden="1" ht="1" customHeight="1">
      <s:c r="A28578" s="120" t="inlineStr"/>
      <s:c r="B28578" s="121" t="n"/>
      <s:c r="C28578" s="121" t="n"/>
      <s:c r="D28578" s="121" t="n"/>
      <s:c r="E28578" s="122" t="n"/>
    </s:row>
    <s:row r="28579" hidden="1" ht="1" customHeight="1">
      <s:c r="A28579" s="120" t="inlineStr"/>
      <s:c r="B28579" s="121" t="n"/>
      <s:c r="C28579" s="121" t="n"/>
      <s:c r="D28579" s="121" t="n"/>
      <s:c r="E28579" s="122" t="n"/>
    </s:row>
    <s:row r="28580" hidden="1" ht="1" customHeight="1">
      <s:c r="A28580" s="120" t="inlineStr"/>
      <s:c r="B28580" s="121" t="n"/>
      <s:c r="C28580" s="121" t="n"/>
      <s:c r="D28580" s="121" t="n"/>
      <s:c r="E28580" s="122" t="n"/>
    </s:row>
    <s:row r="28581" hidden="1" ht="1" customHeight="1">
      <s:c r="A28581" s="120" t="inlineStr"/>
      <s:c r="B28581" s="121" t="n"/>
      <s:c r="C28581" s="121" t="n"/>
      <s:c r="D28581" s="121" t="n"/>
      <s:c r="E28581" s="122" t="n"/>
    </s:row>
    <s:row r="28582" hidden="1" ht="1" customHeight="1">
      <s:c r="A28582" s="120" t="inlineStr"/>
      <s:c r="B28582" s="121" t="n"/>
      <s:c r="C28582" s="121" t="n"/>
      <s:c r="D28582" s="121" t="n"/>
      <s:c r="E28582" s="122" t="n"/>
    </s:row>
    <s:row r="28583" hidden="1" ht="1" customHeight="1">
      <s:c r="A28583" s="120" t="inlineStr"/>
      <s:c r="B28583" s="121" t="n"/>
      <s:c r="C28583" s="121" t="n"/>
      <s:c r="D28583" s="121" t="n"/>
      <s:c r="E28583" s="122" t="n"/>
    </s:row>
    <s:row r="28584" hidden="1" ht="1" customHeight="1">
      <s:c r="A28584" s="120" t="inlineStr"/>
      <s:c r="B28584" s="121" t="n"/>
      <s:c r="C28584" s="121" t="n"/>
      <s:c r="D28584" s="121" t="n"/>
      <s:c r="E28584" s="122" t="n"/>
    </s:row>
    <s:row r="28585" hidden="1" ht="1" customHeight="1">
      <s:c r="A28585" s="120" t="inlineStr"/>
      <s:c r="B28585" s="121" t="n"/>
      <s:c r="C28585" s="121" t="n"/>
      <s:c r="D28585" s="121" t="n"/>
      <s:c r="E28585" s="122" t="n"/>
    </s:row>
    <s:row r="28586" hidden="1" ht="1" customHeight="1">
      <s:c r="A28586" s="120" t="inlineStr"/>
      <s:c r="B28586" s="121" t="n"/>
      <s:c r="C28586" s="121" t="n"/>
      <s:c r="D28586" s="121" t="n"/>
      <s:c r="E28586" s="122" t="n"/>
    </s:row>
    <s:row r="28587" hidden="1" ht="1" customHeight="1">
      <s:c r="A28587" s="120" t="inlineStr"/>
      <s:c r="B28587" s="121" t="n"/>
      <s:c r="C28587" s="121" t="n"/>
      <s:c r="D28587" s="121" t="n"/>
      <s:c r="E28587" s="122" t="n"/>
    </s:row>
    <s:row r="28588" hidden="1" ht="1" customHeight="1">
      <s:c r="A28588" s="120" t="inlineStr"/>
      <s:c r="B28588" s="121" t="n"/>
      <s:c r="C28588" s="121" t="n"/>
      <s:c r="D28588" s="121" t="n"/>
      <s:c r="E28588" s="122" t="n"/>
    </s:row>
    <s:row r="28589" hidden="1" ht="1" customHeight="1">
      <s:c r="A28589" s="120" t="inlineStr"/>
      <s:c r="B28589" s="121" t="n"/>
      <s:c r="C28589" s="121" t="n"/>
      <s:c r="D28589" s="121" t="n"/>
      <s:c r="E28589" s="122" t="n"/>
    </s:row>
    <s:row r="28590" hidden="1" ht="1" customHeight="1">
      <s:c r="A28590" s="120" t="inlineStr"/>
      <s:c r="B28590" s="121" t="n"/>
      <s:c r="C28590" s="121" t="n"/>
      <s:c r="D28590" s="121" t="n"/>
      <s:c r="E28590" s="122" t="n"/>
    </s:row>
    <s:row r="28591" hidden="1" ht="1" customHeight="1">
      <s:c r="A28591" s="120" t="inlineStr"/>
      <s:c r="B28591" s="121" t="n"/>
      <s:c r="C28591" s="121" t="n"/>
      <s:c r="D28591" s="121" t="n"/>
      <s:c r="E28591" s="122" t="n"/>
    </s:row>
    <s:row r="28592" hidden="1" ht="1" customHeight="1">
      <s:c r="A28592" s="120" t="inlineStr"/>
      <s:c r="B28592" s="121" t="n"/>
      <s:c r="C28592" s="121" t="n"/>
      <s:c r="D28592" s="121" t="n"/>
      <s:c r="E28592" s="122" t="n"/>
    </s:row>
    <s:row r="28593" hidden="1" ht="1" customHeight="1">
      <s:c r="A28593" s="120" t="inlineStr"/>
      <s:c r="B28593" s="121" t="n"/>
      <s:c r="C28593" s="121" t="n"/>
      <s:c r="D28593" s="121" t="n"/>
      <s:c r="E28593" s="122" t="n"/>
    </s:row>
    <s:row r="28594" hidden="1" ht="1" customHeight="1">
      <s:c r="A28594" s="120" t="inlineStr"/>
      <s:c r="B28594" s="121" t="n"/>
      <s:c r="C28594" s="121" t="n"/>
      <s:c r="D28594" s="121" t="n"/>
      <s:c r="E28594" s="122" t="n"/>
    </s:row>
    <s:row r="28595" hidden="1" ht="1" customHeight="1">
      <s:c r="A28595" s="120" t="inlineStr"/>
      <s:c r="B28595" s="121" t="n"/>
      <s:c r="C28595" s="121" t="n"/>
      <s:c r="D28595" s="121" t="n"/>
      <s:c r="E28595" s="122" t="n"/>
    </s:row>
    <s:row r="28596" hidden="1" ht="1" customHeight="1">
      <s:c r="A28596" s="120" t="inlineStr"/>
      <s:c r="B28596" s="121" t="n"/>
      <s:c r="C28596" s="121" t="n"/>
      <s:c r="D28596" s="121" t="n"/>
      <s:c r="E28596" s="122" t="n"/>
    </s:row>
    <s:row r="28597" hidden="1" ht="1" customHeight="1">
      <s:c r="A28597" s="120" t="inlineStr"/>
      <s:c r="B28597" s="121" t="n"/>
      <s:c r="C28597" s="121" t="n"/>
      <s:c r="D28597" s="121" t="n"/>
      <s:c r="E28597" s="122" t="n"/>
    </s:row>
    <s:row r="28598" hidden="1" ht="1" customHeight="1">
      <s:c r="A28598" s="120" t="inlineStr"/>
      <s:c r="B28598" s="121" t="n"/>
      <s:c r="C28598" s="121" t="n"/>
      <s:c r="D28598" s="121" t="n"/>
      <s:c r="E28598" s="122" t="n"/>
    </s:row>
    <s:row r="28599" hidden="1" ht="1" customHeight="1">
      <s:c r="A28599" s="120" t="inlineStr"/>
      <s:c r="B28599" s="121" t="n"/>
      <s:c r="C28599" s="121" t="n"/>
      <s:c r="D28599" s="121" t="n"/>
      <s:c r="E28599" s="122" t="n"/>
    </s:row>
    <s:row r="28600" hidden="1" ht="1" customHeight="1">
      <s:c r="A28600" s="120" t="inlineStr"/>
      <s:c r="B28600" s="121" t="n"/>
      <s:c r="C28600" s="121" t="n"/>
      <s:c r="D28600" s="121" t="n"/>
      <s:c r="E28600" s="122" t="n"/>
    </s:row>
    <s:row r="28601" hidden="1" ht="1" customHeight="1">
      <s:c r="A28601" s="120" t="inlineStr"/>
      <s:c r="B28601" s="121" t="n"/>
      <s:c r="C28601" s="121" t="n"/>
      <s:c r="D28601" s="121" t="n"/>
      <s:c r="E28601" s="122" t="n"/>
    </s:row>
    <s:row r="28602" hidden="1" ht="1" customHeight="1">
      <s:c r="A28602" s="120" t="inlineStr"/>
      <s:c r="B28602" s="121" t="n"/>
      <s:c r="C28602" s="121" t="n"/>
      <s:c r="D28602" s="121" t="n"/>
      <s:c r="E28602" s="122" t="n"/>
    </s:row>
    <s:row r="28603" hidden="1" ht="1" customHeight="1">
      <s:c r="A28603" s="120" t="inlineStr"/>
      <s:c r="B28603" s="121" t="n"/>
      <s:c r="C28603" s="121" t="n"/>
      <s:c r="D28603" s="121" t="n"/>
      <s:c r="E28603" s="122" t="n"/>
    </s:row>
    <s:row r="28604" hidden="1" ht="1" customHeight="1">
      <s:c r="A28604" s="120" t="inlineStr"/>
      <s:c r="B28604" s="121" t="n"/>
      <s:c r="C28604" s="121" t="n"/>
      <s:c r="D28604" s="121" t="n"/>
      <s:c r="E28604" s="122" t="n"/>
    </s:row>
    <s:row r="28605" hidden="1" ht="1" customHeight="1">
      <s:c r="A28605" s="120" t="inlineStr"/>
      <s:c r="B28605" s="121" t="n"/>
      <s:c r="C28605" s="121" t="n"/>
      <s:c r="D28605" s="121" t="n"/>
      <s:c r="E28605" s="122" t="n"/>
    </s:row>
    <s:row r="28606" hidden="1" ht="1" customHeight="1">
      <s:c r="A28606" s="120" t="inlineStr"/>
      <s:c r="B28606" s="121" t="n"/>
      <s:c r="C28606" s="121" t="n"/>
      <s:c r="D28606" s="121" t="n"/>
      <s:c r="E28606" s="122" t="n"/>
    </s:row>
    <s:row r="28607" hidden="1" ht="1" customHeight="1">
      <s:c r="A28607" s="120" t="inlineStr"/>
      <s:c r="B28607" s="121" t="n"/>
      <s:c r="C28607" s="121" t="n"/>
      <s:c r="D28607" s="121" t="n"/>
      <s:c r="E28607" s="122" t="n"/>
    </s:row>
    <s:row r="28608" hidden="1" ht="1" customHeight="1">
      <s:c r="A28608" s="120" t="inlineStr"/>
      <s:c r="B28608" s="121" t="n"/>
      <s:c r="C28608" s="121" t="n"/>
      <s:c r="D28608" s="121" t="n"/>
      <s:c r="E28608" s="122" t="n"/>
    </s:row>
    <s:row r="28609" hidden="1" ht="1" customHeight="1">
      <s:c r="A28609" s="120" t="inlineStr"/>
      <s:c r="B28609" s="121" t="n"/>
      <s:c r="C28609" s="121" t="n"/>
      <s:c r="D28609" s="121" t="n"/>
      <s:c r="E28609" s="122" t="n"/>
    </s:row>
    <s:row r="28610" hidden="1" ht="1" customHeight="1">
      <s:c r="A28610" s="120" t="inlineStr"/>
      <s:c r="B28610" s="121" t="n"/>
      <s:c r="C28610" s="121" t="n"/>
      <s:c r="D28610" s="121" t="n"/>
      <s:c r="E28610" s="122" t="n"/>
    </s:row>
    <s:row r="28611" hidden="1" ht="1" customHeight="1">
      <s:c r="A28611" s="120" t="inlineStr"/>
      <s:c r="B28611" s="121" t="n"/>
      <s:c r="C28611" s="121" t="n"/>
      <s:c r="D28611" s="121" t="n"/>
      <s:c r="E28611" s="122" t="n"/>
    </s:row>
    <s:row r="28612" hidden="1" ht="1" customHeight="1">
      <s:c r="A28612" s="120" t="inlineStr"/>
      <s:c r="B28612" s="121" t="n"/>
      <s:c r="C28612" s="121" t="n"/>
      <s:c r="D28612" s="121" t="n"/>
      <s:c r="E28612" s="122" t="n"/>
    </s:row>
    <s:row r="28613" hidden="1" ht="1" customHeight="1">
      <s:c r="A28613" s="120" t="inlineStr"/>
      <s:c r="B28613" s="121" t="n"/>
      <s:c r="C28613" s="121" t="n"/>
      <s:c r="D28613" s="121" t="n"/>
      <s:c r="E28613" s="122" t="n"/>
    </s:row>
    <s:row r="28614" hidden="1" ht="1" customHeight="1">
      <s:c r="A28614" s="120" t="inlineStr"/>
      <s:c r="B28614" s="121" t="n"/>
      <s:c r="C28614" s="121" t="n"/>
      <s:c r="D28614" s="121" t="n"/>
      <s:c r="E28614" s="122" t="n"/>
    </s:row>
    <s:row r="28615" hidden="1" ht="1" customHeight="1">
      <s:c r="A28615" s="120" t="inlineStr"/>
      <s:c r="B28615" s="121" t="n"/>
      <s:c r="C28615" s="121" t="n"/>
      <s:c r="D28615" s="121" t="n"/>
      <s:c r="E28615" s="122" t="n"/>
    </s:row>
    <s:row r="28616" hidden="1" ht="1" customHeight="1">
      <s:c r="A28616" s="120" t="inlineStr"/>
      <s:c r="B28616" s="121" t="n"/>
      <s:c r="C28616" s="121" t="n"/>
      <s:c r="D28616" s="121" t="n"/>
      <s:c r="E28616" s="122" t="n"/>
    </s:row>
    <s:row r="28617" hidden="1" ht="1" customHeight="1">
      <s:c r="A28617" s="120" t="inlineStr"/>
      <s:c r="B28617" s="121" t="n"/>
      <s:c r="C28617" s="121" t="n"/>
      <s:c r="D28617" s="121" t="n"/>
      <s:c r="E28617" s="122" t="n"/>
    </s:row>
    <s:row r="28618" hidden="1" ht="1" customHeight="1">
      <s:c r="A28618" s="120" t="inlineStr"/>
      <s:c r="B28618" s="121" t="n"/>
      <s:c r="C28618" s="121" t="n"/>
      <s:c r="D28618" s="121" t="n"/>
      <s:c r="E28618" s="122" t="n"/>
    </s:row>
    <s:row r="28619" hidden="1" ht="1" customHeight="1">
      <s:c r="A28619" s="120" t="inlineStr"/>
      <s:c r="B28619" s="121" t="n"/>
      <s:c r="C28619" s="121" t="n"/>
      <s:c r="D28619" s="121" t="n"/>
      <s:c r="E28619" s="122" t="n"/>
    </s:row>
    <s:row r="28620" hidden="1" ht="1" customHeight="1">
      <s:c r="A28620" s="120" t="inlineStr"/>
      <s:c r="B28620" s="121" t="n"/>
      <s:c r="C28620" s="121" t="n"/>
      <s:c r="D28620" s="121" t="n"/>
      <s:c r="E28620" s="122" t="n"/>
    </s:row>
    <s:row r="28621" hidden="1" ht="1" customHeight="1">
      <s:c r="A28621" s="120" t="inlineStr"/>
      <s:c r="B28621" s="121" t="n"/>
      <s:c r="C28621" s="121" t="n"/>
      <s:c r="D28621" s="121" t="n"/>
      <s:c r="E28621" s="122" t="n"/>
    </s:row>
    <s:row r="28622" hidden="1" ht="1" customHeight="1">
      <s:c r="A28622" s="120" t="inlineStr"/>
      <s:c r="B28622" s="121" t="n"/>
      <s:c r="C28622" s="121" t="n"/>
      <s:c r="D28622" s="121" t="n"/>
      <s:c r="E28622" s="122" t="n"/>
    </s:row>
    <s:row r="28623" hidden="1" ht="1" customHeight="1">
      <s:c r="A28623" s="120" t="inlineStr"/>
      <s:c r="B28623" s="121" t="n"/>
      <s:c r="C28623" s="121" t="n"/>
      <s:c r="D28623" s="121" t="n"/>
      <s:c r="E28623" s="122" t="n"/>
    </s:row>
    <s:row r="28624" hidden="1" ht="1" customHeight="1">
      <s:c r="A28624" s="120" t="inlineStr"/>
      <s:c r="B28624" s="121" t="n"/>
      <s:c r="C28624" s="121" t="n"/>
      <s:c r="D28624" s="121" t="n"/>
      <s:c r="E28624" s="122" t="n"/>
    </s:row>
    <s:row r="28625" hidden="1" ht="1" customHeight="1">
      <s:c r="A28625" s="120" t="inlineStr"/>
      <s:c r="B28625" s="121" t="n"/>
      <s:c r="C28625" s="121" t="n"/>
      <s:c r="D28625" s="121" t="n"/>
      <s:c r="E28625" s="122" t="n"/>
    </s:row>
    <s:row r="28626" hidden="1" ht="1" customHeight="1">
      <s:c r="A28626" s="120" t="inlineStr"/>
      <s:c r="B28626" s="121" t="n"/>
      <s:c r="C28626" s="121" t="n"/>
      <s:c r="D28626" s="121" t="n"/>
      <s:c r="E28626" s="122" t="n"/>
    </s:row>
    <s:row r="28627" hidden="1" ht="1" customHeight="1">
      <s:c r="A28627" s="120" t="inlineStr"/>
      <s:c r="B28627" s="121" t="n"/>
      <s:c r="C28627" s="121" t="n"/>
      <s:c r="D28627" s="121" t="n"/>
      <s:c r="E28627" s="122" t="n"/>
    </s:row>
    <s:row r="28628" hidden="1" ht="1" customHeight="1">
      <s:c r="A28628" s="120" t="inlineStr"/>
      <s:c r="B28628" s="121" t="n"/>
      <s:c r="C28628" s="121" t="n"/>
      <s:c r="D28628" s="121" t="n"/>
      <s:c r="E28628" s="122" t="n"/>
    </s:row>
    <s:row r="28629" hidden="1" ht="1" customHeight="1">
      <s:c r="A28629" s="120" t="inlineStr"/>
      <s:c r="B28629" s="121" t="n"/>
      <s:c r="C28629" s="121" t="n"/>
      <s:c r="D28629" s="121" t="n"/>
      <s:c r="E28629" s="122" t="n"/>
    </s:row>
    <s:row r="28630" hidden="1" ht="1" customHeight="1">
      <s:c r="A28630" s="120" t="inlineStr"/>
      <s:c r="B28630" s="121" t="n"/>
      <s:c r="C28630" s="121" t="n"/>
      <s:c r="D28630" s="121" t="n"/>
      <s:c r="E28630" s="122" t="n"/>
    </s:row>
    <s:row r="28631" hidden="1" ht="1" customHeight="1">
      <s:c r="A28631" s="120" t="inlineStr"/>
      <s:c r="B28631" s="121" t="n"/>
      <s:c r="C28631" s="121" t="n"/>
      <s:c r="D28631" s="121" t="n"/>
      <s:c r="E28631" s="122" t="n"/>
    </s:row>
    <s:row r="28632" hidden="1" ht="1" customHeight="1">
      <s:c r="A28632" s="120" t="inlineStr"/>
      <s:c r="B28632" s="121" t="n"/>
      <s:c r="C28632" s="121" t="n"/>
      <s:c r="D28632" s="121" t="n"/>
      <s:c r="E28632" s="122" t="n"/>
    </s:row>
    <s:row r="28633" hidden="1" ht="1" customHeight="1">
      <s:c r="A28633" s="120" t="inlineStr"/>
      <s:c r="B28633" s="121" t="n"/>
      <s:c r="C28633" s="121" t="n"/>
      <s:c r="D28633" s="121" t="n"/>
      <s:c r="E28633" s="122" t="n"/>
    </s:row>
    <s:row r="28634" hidden="1" ht="1" customHeight="1">
      <s:c r="A28634" s="120" t="inlineStr"/>
      <s:c r="B28634" s="121" t="n"/>
      <s:c r="C28634" s="121" t="n"/>
      <s:c r="D28634" s="121" t="n"/>
      <s:c r="E28634" s="122" t="n"/>
    </s:row>
    <s:row r="28635" hidden="1" ht="1" customHeight="1">
      <s:c r="A28635" s="120" t="inlineStr"/>
      <s:c r="B28635" s="121" t="n"/>
      <s:c r="C28635" s="121" t="n"/>
      <s:c r="D28635" s="121" t="n"/>
      <s:c r="E28635" s="122" t="n"/>
    </s:row>
    <s:row r="28636" hidden="1" ht="1" customHeight="1">
      <s:c r="A28636" s="120" t="inlineStr"/>
      <s:c r="B28636" s="121" t="n"/>
      <s:c r="C28636" s="121" t="n"/>
      <s:c r="D28636" s="121" t="n"/>
      <s:c r="E28636" s="122" t="n"/>
    </s:row>
    <s:row r="28637" hidden="1" ht="1" customHeight="1">
      <s:c r="A28637" s="120" t="inlineStr"/>
      <s:c r="B28637" s="121" t="n"/>
      <s:c r="C28637" s="121" t="n"/>
      <s:c r="D28637" s="121" t="n"/>
      <s:c r="E28637" s="122" t="n"/>
    </s:row>
    <s:row r="28638" hidden="1" ht="1" customHeight="1">
      <s:c r="A28638" s="120" t="inlineStr"/>
      <s:c r="B28638" s="121" t="n"/>
      <s:c r="C28638" s="121" t="n"/>
      <s:c r="D28638" s="121" t="n"/>
      <s:c r="E28638" s="122" t="n"/>
    </s:row>
    <s:row r="28639" hidden="1" ht="1" customHeight="1">
      <s:c r="A28639" s="120" t="inlineStr"/>
      <s:c r="B28639" s="121" t="n"/>
      <s:c r="C28639" s="121" t="n"/>
      <s:c r="D28639" s="121" t="n"/>
      <s:c r="E28639" s="122" t="n"/>
    </s:row>
    <s:row r="28640" hidden="1" ht="1" customHeight="1">
      <s:c r="A28640" s="120" t="inlineStr"/>
      <s:c r="B28640" s="121" t="n"/>
      <s:c r="C28640" s="121" t="n"/>
      <s:c r="D28640" s="121" t="n"/>
      <s:c r="E28640" s="122" t="n"/>
    </s:row>
    <s:row r="28641" hidden="1" ht="1" customHeight="1">
      <s:c r="A28641" s="120" t="inlineStr"/>
      <s:c r="B28641" s="121" t="n"/>
      <s:c r="C28641" s="121" t="n"/>
      <s:c r="D28641" s="121" t="n"/>
      <s:c r="E28641" s="122" t="n"/>
    </s:row>
    <s:row r="28642" hidden="1" ht="1" customHeight="1">
      <s:c r="A28642" s="120" t="inlineStr"/>
      <s:c r="B28642" s="121" t="n"/>
      <s:c r="C28642" s="121" t="n"/>
      <s:c r="D28642" s="121" t="n"/>
      <s:c r="E28642" s="122" t="n"/>
    </s:row>
    <s:row r="28643" hidden="1" ht="1" customHeight="1">
      <s:c r="A28643" s="120" t="inlineStr"/>
      <s:c r="B28643" s="121" t="n"/>
      <s:c r="C28643" s="121" t="n"/>
      <s:c r="D28643" s="121" t="n"/>
      <s:c r="E28643" s="122" t="n"/>
    </s:row>
    <s:row r="28644" hidden="1" ht="1" customHeight="1">
      <s:c r="A28644" s="120" t="inlineStr"/>
      <s:c r="B28644" s="121" t="n"/>
      <s:c r="C28644" s="121" t="n"/>
      <s:c r="D28644" s="121" t="n"/>
      <s:c r="E28644" s="122" t="n"/>
    </s:row>
    <s:row r="28645" hidden="1" ht="1" customHeight="1">
      <s:c r="A28645" s="120" t="inlineStr"/>
      <s:c r="B28645" s="121" t="n"/>
      <s:c r="C28645" s="121" t="n"/>
      <s:c r="D28645" s="121" t="n"/>
      <s:c r="E28645" s="122" t="n"/>
    </s:row>
    <s:row r="28646" hidden="1" ht="1" customHeight="1">
      <s:c r="A28646" s="120" t="inlineStr"/>
      <s:c r="B28646" s="121" t="n"/>
      <s:c r="C28646" s="121" t="n"/>
      <s:c r="D28646" s="121" t="n"/>
      <s:c r="E28646" s="122" t="n"/>
    </s:row>
    <s:row r="28647" hidden="1" ht="1" customHeight="1">
      <s:c r="A28647" s="120" t="inlineStr"/>
      <s:c r="B28647" s="121" t="n"/>
      <s:c r="C28647" s="121" t="n"/>
      <s:c r="D28647" s="121" t="n"/>
      <s:c r="E28647" s="122" t="n"/>
    </s:row>
    <s:row r="28648" hidden="1" ht="1" customHeight="1">
      <s:c r="A28648" s="120" t="inlineStr"/>
      <s:c r="B28648" s="121" t="n"/>
      <s:c r="C28648" s="121" t="n"/>
      <s:c r="D28648" s="121" t="n"/>
      <s:c r="E28648" s="122" t="n"/>
    </s:row>
    <s:row r="28649" hidden="1" ht="1" customHeight="1">
      <s:c r="A28649" s="120" t="inlineStr"/>
      <s:c r="B28649" s="121" t="n"/>
      <s:c r="C28649" s="121" t="n"/>
      <s:c r="D28649" s="121" t="n"/>
      <s:c r="E28649" s="122" t="n"/>
    </s:row>
    <s:row r="28650" hidden="1" ht="1" customHeight="1">
      <s:c r="A28650" s="120" t="inlineStr"/>
      <s:c r="B28650" s="121" t="n"/>
      <s:c r="C28650" s="121" t="n"/>
      <s:c r="D28650" s="121" t="n"/>
      <s:c r="E28650" s="122" t="n"/>
    </s:row>
    <s:row r="28651" hidden="1" ht="1" customHeight="1">
      <s:c r="A28651" s="120" t="inlineStr"/>
      <s:c r="B28651" s="121" t="n"/>
      <s:c r="C28651" s="121" t="n"/>
      <s:c r="D28651" s="121" t="n"/>
      <s:c r="E28651" s="122" t="n"/>
    </s:row>
    <s:row r="28652" hidden="1" ht="1" customHeight="1">
      <s:c r="A28652" s="120" t="inlineStr"/>
      <s:c r="B28652" s="121" t="n"/>
      <s:c r="C28652" s="121" t="n"/>
      <s:c r="D28652" s="121" t="n"/>
      <s:c r="E28652" s="122" t="n"/>
    </s:row>
    <s:row r="28653" hidden="1" ht="1" customHeight="1">
      <s:c r="A28653" s="120" t="inlineStr"/>
      <s:c r="B28653" s="121" t="n"/>
      <s:c r="C28653" s="121" t="n"/>
      <s:c r="D28653" s="121" t="n"/>
      <s:c r="E28653" s="122" t="n"/>
    </s:row>
    <s:row r="28654" hidden="1" ht="1" customHeight="1">
      <s:c r="A28654" s="120" t="inlineStr"/>
      <s:c r="B28654" s="121" t="n"/>
      <s:c r="C28654" s="121" t="n"/>
      <s:c r="D28654" s="121" t="n"/>
      <s:c r="E28654" s="122" t="n"/>
    </s:row>
    <s:row r="28655" hidden="1" ht="1" customHeight="1">
      <s:c r="A28655" s="120" t="inlineStr"/>
      <s:c r="B28655" s="121" t="n"/>
      <s:c r="C28655" s="121" t="n"/>
      <s:c r="D28655" s="121" t="n"/>
      <s:c r="E28655" s="122" t="n"/>
    </s:row>
    <s:row r="28656" hidden="1" ht="1" customHeight="1">
      <s:c r="A28656" s="120" t="inlineStr"/>
      <s:c r="B28656" s="121" t="n"/>
      <s:c r="C28656" s="121" t="n"/>
      <s:c r="D28656" s="121" t="n"/>
      <s:c r="E28656" s="122" t="n"/>
    </s:row>
    <s:row r="28657" hidden="1" ht="1" customHeight="1">
      <s:c r="A28657" s="120" t="inlineStr"/>
      <s:c r="B28657" s="121" t="n"/>
      <s:c r="C28657" s="121" t="n"/>
      <s:c r="D28657" s="121" t="n"/>
      <s:c r="E28657" s="122" t="n"/>
    </s:row>
    <s:row r="28658" hidden="1" ht="1" customHeight="1">
      <s:c r="A28658" s="120" t="inlineStr"/>
      <s:c r="B28658" s="121" t="n"/>
      <s:c r="C28658" s="121" t="n"/>
      <s:c r="D28658" s="121" t="n"/>
      <s:c r="E28658" s="122" t="n"/>
    </s:row>
    <s:row r="28659" hidden="1" ht="1" customHeight="1">
      <s:c r="A28659" s="120" t="inlineStr"/>
      <s:c r="B28659" s="121" t="n"/>
      <s:c r="C28659" s="121" t="n"/>
      <s:c r="D28659" s="121" t="n"/>
      <s:c r="E28659" s="122" t="n"/>
    </s:row>
    <s:row r="28660" hidden="1" ht="1" customHeight="1">
      <s:c r="A28660" s="120" t="inlineStr"/>
      <s:c r="B28660" s="121" t="n"/>
      <s:c r="C28660" s="121" t="n"/>
      <s:c r="D28660" s="121" t="n"/>
      <s:c r="E28660" s="122" t="n"/>
    </s:row>
    <s:row r="28661" hidden="1" ht="1" customHeight="1">
      <s:c r="A28661" s="120" t="inlineStr"/>
      <s:c r="B28661" s="121" t="n"/>
      <s:c r="C28661" s="121" t="n"/>
      <s:c r="D28661" s="121" t="n"/>
      <s:c r="E28661" s="122" t="n"/>
    </s:row>
    <s:row r="28662" hidden="1" ht="1" customHeight="1">
      <s:c r="A28662" s="120" t="inlineStr"/>
      <s:c r="B28662" s="121" t="n"/>
      <s:c r="C28662" s="121" t="n"/>
      <s:c r="D28662" s="121" t="n"/>
      <s:c r="E28662" s="122" t="n"/>
    </s:row>
    <s:row r="28663" hidden="1" ht="1" customHeight="1">
      <s:c r="A28663" s="120" t="inlineStr"/>
      <s:c r="B28663" s="121" t="n"/>
      <s:c r="C28663" s="121" t="n"/>
      <s:c r="D28663" s="121" t="n"/>
      <s:c r="E28663" s="122" t="n"/>
    </s:row>
    <s:row r="28664" hidden="1" ht="1" customHeight="1">
      <s:c r="A28664" s="120" t="inlineStr"/>
      <s:c r="B28664" s="121" t="n"/>
      <s:c r="C28664" s="121" t="n"/>
      <s:c r="D28664" s="121" t="n"/>
      <s:c r="E28664" s="122" t="n"/>
    </s:row>
    <s:row r="28665" hidden="1" ht="1" customHeight="1">
      <s:c r="A28665" s="83" t="inlineStr">
        <s:is>
          <s:t>PASS</s:t>
        </s:is>
      </s:c>
      <s:c r="B28665" s="83">
        <s:f>SUM(IF(EXACT('Kiểm thử'!E28565,"Đạt"),1,0),IF(EXACT('Kiểm thử'!E28567,"Đạt"),1,0))</s:f>
        <s:v/>
      </s:c>
      <s:c r="C28665" s="19" t="n"/>
      <s:c r="D28665" s="19" t="n"/>
      <s:c r="E28665" s="19" t="n"/>
    </s:row>
    <s:row r="28666" hidden="1" ht="1" customHeight="1">
      <s:c r="A28666" s="83" t="inlineStr">
        <s:is>
          <s:t>FAIL</s:t>
        </s:is>
      </s:c>
      <s:c r="B28666" s="83">
        <s:f>SUM(IF(EXACT('Kiểm thử'!E28565,"Không đạt"),1,0),IF(EXACT('Kiểm thử'!E28567,"Không đạt"),1,0))</s:f>
        <s:v/>
      </s:c>
      <s:c r="C28666" s="19" t="n"/>
      <s:c r="D28666" s="19" t="n"/>
      <s:c r="E28666" s="19" t="n"/>
    </s:row>
    <s:row r="28667" hidden="1" ht="1" customHeight="1">
      <s:c r="A28667" s="83" t="inlineStr">
        <s:is>
          <s:t>BLOCKED</s:t>
        </s:is>
      </s:c>
      <s:c r="B28667" s="83">
        <s:f>SUM(IF(EXACT('Kiểm thử'!E28565,"Bị chặn"),1,0),IF(EXACT('Kiểm thử'!E28567,"Bị chặn"),1,0))</s:f>
        <s:v/>
      </s:c>
      <s:c r="C28667" s="19" t="n"/>
      <s:c r="D28667" s="19" t="n"/>
      <s:c r="E28667" s="19" t="n"/>
    </s:row>
    <s:row r="28668" hidden="1" ht="1" customHeight="1">
      <s:c r="A28668" s="83" t="inlineStr">
        <s:is>
          <s:t>SKIPPED</s:t>
        </s:is>
      </s:c>
      <s:c r="B28668" s="83">
        <s:f>SUM(IF(EXACT('Kiểm thử'!E28565,"Không thực hiện"),1,0),IF(EXACT('Kiểm thử'!E28567,"Không thực hiện"),1,0))</s:f>
        <s:v/>
      </s:c>
      <s:c r="C28668" s="19" t="n"/>
      <s:c r="D28668" s="19" t="n"/>
      <s:c r="E28668" s="19" t="n"/>
    </s:row>
    <s:row r="28669" hidden="1" ht="1" customHeight="1">
      <s:c r="A28669" s="83" t="inlineStr">
        <s:is>
          <s:t>NOT RUN</s:t>
        </s:is>
      </s:c>
      <s:c r="B28669" s="83">
        <s:f>SUM(IF(EXACT('Kiểm thử'!E28565,"Chưa thực hiện"),1,0),IF(EXACT('Kiểm thử'!E28567,"Chưa thực hiện"),1,0))</s:f>
        <s:v/>
      </s:c>
      <s:c r="C28669" s="19" t="n"/>
      <s:c r="D28669" s="19" t="n"/>
      <s:c r="E28669" s="19" t="n"/>
    </s:row>
    <s:row r="28670" hidden="1" ht="6" customHeight="1">
      <s:c r="A28670" s="83" t="inlineStr"/>
      <s:c r="B28670" s="19" t="n"/>
      <s:c r="C28670" s="19" t="n"/>
      <s:c r="D28670" s="19" t="n"/>
      <s:c r="E28670" s="19" t="n"/>
    </s:row>
    <s:row r="28671" ht="28" customHeight="1">
      <s:c r="A28671" s="108" t="inlineStr">
        <s:is>
          <s:t>TC-RS-ERR-001 — Hiển thị theo từng trạng thái kết quả ở ba đầu ra</s:t>
        </s:is>
      </s:c>
      <s:c r="B28671" s="111" t="n"/>
      <s:c r="C28671" s="111" t="n"/>
      <s:c r="D28671" s="111" t="n"/>
      <s:c r="E28671" s="111" t="n"/>
    </s:row>
    <s:row r="28672" ht="20" customHeight="1">
      <s:c r="A28672" s="112" t="inlineStr">
        <s:is>
          <s:t>Kết quả tình huống</s:t>
        </s:is>
      </s:c>
      <s:c r="B28672" s="113">
        <s:f>IF(SUM(IF(EXACT('Kiểm thử'!E28681,"Không đạt"),1,0),IF(EXACT('Kiểm thử'!E28683,"Không đạt"),1,0),IF(EXACT('Kiểm thử'!E28685,"Không đạt"),1,0))&gt;0,"Không đạt",IF(SUM(IF(EXACT('Kiểm thử'!E28681,"Đạt"),1,0),IF(EXACT('Kiểm thử'!E28683,"Đạt"),1,0),IF(EXACT('Kiểm thử'!E28685,"Đạt"),1,0))=3,"Đạt",IF(SUM(IF(EXACT('Kiểm thử'!E28681,"Không thực hiện"),1,0),IF(EXACT('Kiểm thử'!E28683,"Không thực hiện"),1,0),IF(EXACT('Kiểm thử'!E28685,"Không thực hiện"),1,0))=3,"Không thực hiện",IF(SUM(IF(EXACT('Kiểm thử'!E28681,"Bị chặn"),1,0),IF(EXACT('Kiểm thử'!E28683,"Bị chặn"),1,0),IF(EXACT('Kiểm thử'!E28685,"Bị chặn"),1,0))&gt;0,"Bị chặn",IF(SUM(IF(EXACT('Kiểm thử'!E28681,"Chưa thực hiện"),1,0),IF(EXACT('Kiểm thử'!E28683,"Chưa thực hiện"),1,0),IF(EXACT('Kiểm thử'!E28685,"Chưa thực hiện"),1,0))=3,"Chưa thực hiện","Đang thực hiện")))))</s:f>
        <s:v/>
      </s:c>
      <s:c r="C28672" s="114" t="n"/>
      <s:c r="D28672" s="114" t="n"/>
      <s:c r="E28672" s="114" t="n"/>
    </s:row>
    <s:row r="28673" ht="20" customHeight="1">
      <s:c r="A28673" s="112" t="inlineStr">
        <s:is>
          <s:t>Màn hình / chức năng</s:t>
        </s:is>
      </s:c>
      <s:c r="B28673" s="113" t="inlineStr">
        <s:is>
          <s:t>Lỗi và cập nhật kết quả</s:t>
        </s:is>
      </s:c>
      <s:c r="C28673" s="28" t="n"/>
      <s:c r="D28673" s="28" t="n"/>
      <s:c r="E28673" s="28" t="n"/>
    </s:row>
    <s:row r="28674" ht="118" customHeight="1">
      <s:c r="A28674" s="112" t="inlineStr">
        <s:is>
          <s:t>Cấu hình</s:t>
        </s:is>
      </s:c>
      <s:c r="B28674" s="113" t="inlineStr">
        <s:is>
          <s:r>
            <s:t>• Chuẩn bị bảy ô cùng mục mục số nguyên (</s:t>
          </s:r>
          <s:r>
            <s:rPr>
              <s:b val="1"/>
            </s:rPr>
            <s:t>M=100</s:t>
          </s:r>
          <s:r>
            <s:t>): (1) Đỏ;
• (2) Không đỏ;
• (3) Chưa từng xét (ô mới, chưa có lượt xét);
• (4) Chưa xét được (như case “Chưa có kết quả tổng hợp → Chưa xét được, không thay bằng 0 hay nhóm khác”);
• (5) Không áp dụng (như case “Không quy tắc nào khớp khi đủ dữ liệu → Không áp dụng”);
• (6) Không có điểm (S05);
• (7) Đang chờ chạy lại: Đỏ trước đó, sau đó đổi ngưỡng và chưa chạy lại.</s:t>
          </s:r>
        </s:is>
      </s:c>
      <s:c r="C28674" s="28" t="n"/>
      <s:c r="D28674" s="28" t="n"/>
      <s:c r="E28674" s="28" t="n"/>
    </s:row>
    <s:row r="28675" ht="48" customHeight="1">
      <s:c r="A28675" s="112" t="inlineStr">
        <s:is>
          <s:t>Dữ liệu test</s:t>
        </s:is>
      </s:c>
      <s:c r="B28675" s="113" t="inlineStr">
        <s:is>
          <s:r>
            <s:t>• Mục số nguyên (</s:t>
          </s:r>
          <s:r>
            <s:rPr>
              <s:b val="1"/>
            </s:rPr>
            <s:t>M=100</s:t>
          </s:r>
          <s:r>
            <s:t>);
• Cấu hình trích xuất: lọc, ký hiệu “*” phía trước, tô màu, cấu hình công khai: “*” phía trước, cấu hình phiếu điểm: ký tự “※” phía trước</s:t>
          </s:r>
        </s:is>
      </s:c>
      <s:c r="C28675" s="28" t="n"/>
      <s:c r="D28675" s="28" t="n"/>
      <s:c r="E28675" s="28" t="n"/>
    </s:row>
    <s:row r="28676" ht="20" customHeight="1">
      <s:c r="A28676" s="112" t="inlineStr">
        <s:is>
          <s:t>Bước 1</s:t>
        </s:is>
      </s:c>
      <s:c r="B28676" s="113" t="inlineStr">
        <s:is>
          <s:t>Xác minh đủ bảy trạng thái cùng mục/kỳ và đúng cấu hình đầu ra, quyền xem.</s:t>
        </s:is>
      </s:c>
      <s:c r="C28676" s="28" t="n"/>
      <s:c r="D28676" s="28" t="n"/>
      <s:c r="E28676" s="28" t="n"/>
    </s:row>
    <s:row r="28677" ht="34" customHeight="1">
      <s:c r="A28677" s="112" t="inlineStr">
        <s:is>
          <s:t>Bước 2</s:t>
        </s:is>
      </s:c>
      <s:c r="B28677" s="113" t="inlineStr">
        <s:is>
          <s:t>Xem/xuất kênh của trường hợp, giữ cả các ô đối chứng trong lượt không lọc; kiểm membership thêm ở lượt có lọc theo nguồn.</s:t>
        </s:is>
      </s:c>
      <s:c r="C28677" s="28" t="n"/>
      <s:c r="D28677" s="28" t="n"/>
      <s:c r="E28677" s="28" t="n"/>
    </s:row>
    <s:row r="28678" ht="20" customHeight="1">
      <s:c r="A28678" s="112" t="inlineStr">
        <s:is>
          <s:t>Bước 3</s:t>
        </s:is>
      </s:c>
      <s:c r="B28678" s="113" t="inlineStr">
        <s:is>
          <s:t>Đối chiếu trạng thái/dấu của từng ô với kết quả đã lưu và các đầu ra khác.</s:t>
        </s:is>
      </s:c>
      <s:c r="C28678" s="28" t="n"/>
      <s:c r="D28678" s="28" t="n"/>
      <s:c r="E28678" s="28" t="n"/>
    </s:row>
    <s:row r="28679" ht="28" customHeight="1">
      <s:c r="A28679" s="115" t="inlineStr">
        <s:is>
          <s:t>Trường hợp</s:t>
        </s:is>
      </s:c>
      <s:c r="B28679" s="115" t="inlineStr">
        <s:is>
          <s:t>Dữ liệu / thao tác riêng</s:t>
        </s:is>
      </s:c>
      <s:c r="C28679" s="115" t="inlineStr">
        <s:is>
          <s:t>Kết quả mong đợi</s:t>
        </s:is>
      </s:c>
      <s:c r="D28679" s="115" t="inlineStr">
        <s:is>
          <s:t>Kết quả thực tế</s:t>
        </s:is>
      </s:c>
      <s:c r="E28679" s="115" t="inlineStr">
        <s:is>
          <s:t>Đánh giá</s:t>
        </s:is>
      </s:c>
    </s:row>
    <s:row r="28680" ht="3" customHeight="1">
      <s:c r="A28680" s="102" t="inlineStr"/>
      <s:c r="B28680" s="99" t="n"/>
      <s:c r="C28680" s="99" t="n"/>
      <s:c r="D28680" s="116" t="n"/>
      <s:c r="E28680" s="116" t="n"/>
    </s:row>
    <s:row r="28681" ht="90" customHeight="1">
      <s:c r="A28681" s="83" t="inlineStr">
        <s:is>
          <s:t>Trích xuất (extract)</s:t>
        </s:is>
      </s:c>
      <s:c r="B28681" s="83" t="inlineStr">
        <s:is>
          <s:t>Chuẩn bị đủ bảy trạng thái đã nêu; trích xuất không lọc để thấy cả đối chứng, rồi lượt có lọc và Excel theo thao tác nguồn; đối chiếu membership/dấu với đúng identity từng ô.</s:t>
        </s:is>
      </s:c>
      <s:c r="C28681" s="83" t="inlineStr">
        <s:is>
          <s:t>Chỉ ô (1) và (7) có dấu đỏ và làm học sinh thỏa lọc đỏ. Ô (2)–(6) không có dấu đỏ, không thỏa lọc; (3), (4), (5) không được hiển thị như "đạt". Ba đầu ra cho cùng kết luận.</s:t>
        </s:is>
      </s:c>
      <s:c r="D28681" s="117" t="inlineStr"/>
      <s:c r="E28681" s="118" t="inlineStr">
        <s:is>
          <s:t>Chưa thực hiện</s:t>
        </s:is>
      </s:c>
    </s:row>
    <s:row r="28682" ht="3" customHeight="1">
      <s:c r="A28682" s="102" t="inlineStr"/>
      <s:c r="B28682" s="99" t="n"/>
      <s:c r="C28682" s="99" t="n"/>
      <s:c r="D28682" s="116" t="n"/>
      <s:c r="E28682" s="116" t="n"/>
    </s:row>
    <s:row r="28683" ht="76" customHeight="1">
      <s:c r="A28683" s="83" t="inlineStr">
        <s:is>
          <s:t>Công khai (publish)</s:t>
        </s:is>
      </s:c>
      <s:c r="B28683" s="83" t="inlineStr">
        <s:is>
          <s:r>
            <s:t xml:space="preserve">Cùng fixture đủ bảy trạng thái đã nêu; xem/xuất màn </s:t>
          </s:r>
          <s:r>
            <s:rPr>
              <s:b val="1"/>
            </s:rPr>
            <s:t>Công khai thành tích（成績公開）</s:t>
          </s:r>
          <s:r>
            <s:t xml:space="preserve"> của đúng học sinh/kỳ, đối chiếu từng ô với kết quả đã lưu và đầu ra khác.</s:t>
          </s:r>
        </s:is>
      </s:c>
      <s:c r="C28683" s="83" t="inlineStr">
        <s:is>
          <s:t>Chỉ ô (1) và (7) có dấu đỏ và làm học sinh thỏa lọc đỏ. Ô (2)–(6) không có dấu đỏ, không thỏa lọc; (3), (4), (5) không được hiển thị như "đạt". Ba đầu ra cho cùng kết luận.</s:t>
        </s:is>
      </s:c>
      <s:c r="D28683" s="117" t="inlineStr"/>
      <s:c r="E28683" s="118" t="inlineStr">
        <s:is>
          <s:t>Chưa thực hiện</s:t>
        </s:is>
      </s:c>
    </s:row>
    <s:row r="28684" ht="3" customHeight="1">
      <s:c r="A28684" s="102" t="inlineStr"/>
      <s:c r="B28684" s="99" t="n"/>
      <s:c r="C28684" s="99" t="n"/>
      <s:c r="D28684" s="116" t="n"/>
      <s:c r="E28684" s="116" t="n"/>
    </s:row>
    <s:row r="28685" ht="76" customHeight="1">
      <s:c r="A28685" s="83" t="inlineStr">
        <s:is>
          <s:t>Phiếu điểm (report)</s:t>
        </s:is>
      </s:c>
      <s:c r="B28685" s="83" t="inlineStr">
        <s:is>
          <s:r>
            <s:t xml:space="preserve">Cùng fixture đủ bảy trạng thái đã nêu; xem/xuất PDF </s:t>
          </s:r>
          <s:r>
            <s:rPr>
              <s:b val="1"/>
            </s:rPr>
            <s:t>Công cụ phiếu điểm（通知表ツール）</s:t>
          </s:r>
          <s:r>
            <s:t xml:space="preserve"> của đúng học sinh/kỳ, đối chiếu từng ô với kết quả đã lưu và đầu ra khác.</s:t>
          </s:r>
        </s:is>
      </s:c>
      <s:c r="C28685" s="83" t="inlineStr">
        <s:is>
          <s:t>Chỉ ô (1) và (7) có dấu đỏ và làm học sinh thỏa lọc đỏ. Ô (2)–(6) không có dấu đỏ, không thỏa lọc; (3), (4), (5) không được hiển thị như "đạt". Ba đầu ra cho cùng kết luận.</s:t>
        </s:is>
      </s:c>
      <s:c r="D28685" s="117" t="inlineStr"/>
      <s:c r="E28685" s="118" t="inlineStr">
        <s:is>
          <s:t>Chưa thực hiện</s:t>
        </s:is>
      </s:c>
    </s:row>
    <s:row r="28686" ht="20" customHeight="1">
      <s:c r="A28686" s="119" t="inlineStr">
        <s:is>
          <s:t>Ảnh minh chứng — Chưa có ảnh</s:t>
        </s:is>
      </s:c>
      <s:c r="B28686" s="19" t="n"/>
      <s:c r="C28686" s="19" t="n"/>
      <s:c r="D28686" s="19" t="n"/>
      <s:c r="E28686" s="19" t="n"/>
    </s:row>
    <s:row r="28687" hidden="1" ht="1" customHeight="1">
      <s:c r="A28687" s="120" t="inlineStr"/>
      <s:c r="B28687" s="121" t="n"/>
      <s:c r="C28687" s="121" t="n"/>
      <s:c r="D28687" s="121" t="n"/>
      <s:c r="E28687" s="122" t="n"/>
    </s:row>
    <s:row r="28688" hidden="1" ht="1" customHeight="1">
      <s:c r="A28688" s="120" t="inlineStr"/>
      <s:c r="B28688" s="121" t="n"/>
      <s:c r="C28688" s="121" t="n"/>
      <s:c r="D28688" s="121" t="n"/>
      <s:c r="E28688" s="122" t="n"/>
    </s:row>
    <s:row r="28689" hidden="1" ht="1" customHeight="1">
      <s:c r="A28689" s="120" t="inlineStr"/>
      <s:c r="B28689" s="121" t="n"/>
      <s:c r="C28689" s="121" t="n"/>
      <s:c r="D28689" s="121" t="n"/>
      <s:c r="E28689" s="122" t="n"/>
    </s:row>
    <s:row r="28690" hidden="1" ht="1" customHeight="1">
      <s:c r="A28690" s="120" t="inlineStr"/>
      <s:c r="B28690" s="121" t="n"/>
      <s:c r="C28690" s="121" t="n"/>
      <s:c r="D28690" s="121" t="n"/>
      <s:c r="E28690" s="122" t="n"/>
    </s:row>
    <s:row r="28691" hidden="1" ht="1" customHeight="1">
      <s:c r="A28691" s="120" t="inlineStr"/>
      <s:c r="B28691" s="121" t="n"/>
      <s:c r="C28691" s="121" t="n"/>
      <s:c r="D28691" s="121" t="n"/>
      <s:c r="E28691" s="122" t="n"/>
    </s:row>
    <s:row r="28692" hidden="1" ht="1" customHeight="1">
      <s:c r="A28692" s="120" t="inlineStr"/>
      <s:c r="B28692" s="121" t="n"/>
      <s:c r="C28692" s="121" t="n"/>
      <s:c r="D28692" s="121" t="n"/>
      <s:c r="E28692" s="122" t="n"/>
    </s:row>
    <s:row r="28693" hidden="1" ht="1" customHeight="1">
      <s:c r="A28693" s="120" t="inlineStr"/>
      <s:c r="B28693" s="121" t="n"/>
      <s:c r="C28693" s="121" t="n"/>
      <s:c r="D28693" s="121" t="n"/>
      <s:c r="E28693" s="122" t="n"/>
    </s:row>
    <s:row r="28694" hidden="1" ht="1" customHeight="1">
      <s:c r="A28694" s="120" t="inlineStr"/>
      <s:c r="B28694" s="121" t="n"/>
      <s:c r="C28694" s="121" t="n"/>
      <s:c r="D28694" s="121" t="n"/>
      <s:c r="E28694" s="122" t="n"/>
    </s:row>
    <s:row r="28695" hidden="1" ht="1" customHeight="1">
      <s:c r="A28695" s="120" t="inlineStr"/>
      <s:c r="B28695" s="121" t="n"/>
      <s:c r="C28695" s="121" t="n"/>
      <s:c r="D28695" s="121" t="n"/>
      <s:c r="E28695" s="122" t="n"/>
    </s:row>
    <s:row r="28696" hidden="1" ht="1" customHeight="1">
      <s:c r="A28696" s="120" t="inlineStr"/>
      <s:c r="B28696" s="121" t="n"/>
      <s:c r="C28696" s="121" t="n"/>
      <s:c r="D28696" s="121" t="n"/>
      <s:c r="E28696" s="122" t="n"/>
    </s:row>
    <s:row r="28697" hidden="1" ht="1" customHeight="1">
      <s:c r="A28697" s="120" t="inlineStr"/>
      <s:c r="B28697" s="121" t="n"/>
      <s:c r="C28697" s="121" t="n"/>
      <s:c r="D28697" s="121" t="n"/>
      <s:c r="E28697" s="122" t="n"/>
    </s:row>
    <s:row r="28698" hidden="1" ht="1" customHeight="1">
      <s:c r="A28698" s="120" t="inlineStr"/>
      <s:c r="B28698" s="121" t="n"/>
      <s:c r="C28698" s="121" t="n"/>
      <s:c r="D28698" s="121" t="n"/>
      <s:c r="E28698" s="122" t="n"/>
    </s:row>
    <s:row r="28699" hidden="1" ht="1" customHeight="1">
      <s:c r="A28699" s="120" t="inlineStr"/>
      <s:c r="B28699" s="121" t="n"/>
      <s:c r="C28699" s="121" t="n"/>
      <s:c r="D28699" s="121" t="n"/>
      <s:c r="E28699" s="122" t="n"/>
    </s:row>
    <s:row r="28700" hidden="1" ht="1" customHeight="1">
      <s:c r="A28700" s="120" t="inlineStr"/>
      <s:c r="B28700" s="121" t="n"/>
      <s:c r="C28700" s="121" t="n"/>
      <s:c r="D28700" s="121" t="n"/>
      <s:c r="E28700" s="122" t="n"/>
    </s:row>
    <s:row r="28701" hidden="1" ht="1" customHeight="1">
      <s:c r="A28701" s="120" t="inlineStr"/>
      <s:c r="B28701" s="121" t="n"/>
      <s:c r="C28701" s="121" t="n"/>
      <s:c r="D28701" s="121" t="n"/>
      <s:c r="E28701" s="122" t="n"/>
    </s:row>
    <s:row r="28702" hidden="1" ht="1" customHeight="1">
      <s:c r="A28702" s="120" t="inlineStr"/>
      <s:c r="B28702" s="121" t="n"/>
      <s:c r="C28702" s="121" t="n"/>
      <s:c r="D28702" s="121" t="n"/>
      <s:c r="E28702" s="122" t="n"/>
    </s:row>
    <s:row r="28703" hidden="1" ht="1" customHeight="1">
      <s:c r="A28703" s="120" t="inlineStr"/>
      <s:c r="B28703" s="121" t="n"/>
      <s:c r="C28703" s="121" t="n"/>
      <s:c r="D28703" s="121" t="n"/>
      <s:c r="E28703" s="122" t="n"/>
    </s:row>
    <s:row r="28704" hidden="1" ht="1" customHeight="1">
      <s:c r="A28704" s="120" t="inlineStr"/>
      <s:c r="B28704" s="121" t="n"/>
      <s:c r="C28704" s="121" t="n"/>
      <s:c r="D28704" s="121" t="n"/>
      <s:c r="E28704" s="122" t="n"/>
    </s:row>
    <s:row r="28705" hidden="1" ht="1" customHeight="1">
      <s:c r="A28705" s="120" t="inlineStr"/>
      <s:c r="B28705" s="121" t="n"/>
      <s:c r="C28705" s="121" t="n"/>
      <s:c r="D28705" s="121" t="n"/>
      <s:c r="E28705" s="122" t="n"/>
    </s:row>
    <s:row r="28706" hidden="1" ht="1" customHeight="1">
      <s:c r="A28706" s="120" t="inlineStr"/>
      <s:c r="B28706" s="121" t="n"/>
      <s:c r="C28706" s="121" t="n"/>
      <s:c r="D28706" s="121" t="n"/>
      <s:c r="E28706" s="122" t="n"/>
    </s:row>
    <s:row r="28707" hidden="1" ht="1" customHeight="1">
      <s:c r="A28707" s="120" t="inlineStr"/>
      <s:c r="B28707" s="121" t="n"/>
      <s:c r="C28707" s="121" t="n"/>
      <s:c r="D28707" s="121" t="n"/>
      <s:c r="E28707" s="122" t="n"/>
    </s:row>
    <s:row r="28708" hidden="1" ht="1" customHeight="1">
      <s:c r="A28708" s="120" t="inlineStr"/>
      <s:c r="B28708" s="121" t="n"/>
      <s:c r="C28708" s="121" t="n"/>
      <s:c r="D28708" s="121" t="n"/>
      <s:c r="E28708" s="122" t="n"/>
    </s:row>
    <s:row r="28709" hidden="1" ht="1" customHeight="1">
      <s:c r="A28709" s="120" t="inlineStr"/>
      <s:c r="B28709" s="121" t="n"/>
      <s:c r="C28709" s="121" t="n"/>
      <s:c r="D28709" s="121" t="n"/>
      <s:c r="E28709" s="122" t="n"/>
    </s:row>
    <s:row r="28710" hidden="1" ht="1" customHeight="1">
      <s:c r="A28710" s="120" t="inlineStr"/>
      <s:c r="B28710" s="121" t="n"/>
      <s:c r="C28710" s="121" t="n"/>
      <s:c r="D28710" s="121" t="n"/>
      <s:c r="E28710" s="122" t="n"/>
    </s:row>
    <s:row r="28711" hidden="1" ht="1" customHeight="1">
      <s:c r="A28711" s="120" t="inlineStr"/>
      <s:c r="B28711" s="121" t="n"/>
      <s:c r="C28711" s="121" t="n"/>
      <s:c r="D28711" s="121" t="n"/>
      <s:c r="E28711" s="122" t="n"/>
    </s:row>
    <s:row r="28712" hidden="1" ht="1" customHeight="1">
      <s:c r="A28712" s="120" t="inlineStr"/>
      <s:c r="B28712" s="121" t="n"/>
      <s:c r="C28712" s="121" t="n"/>
      <s:c r="D28712" s="121" t="n"/>
      <s:c r="E28712" s="122" t="n"/>
    </s:row>
    <s:row r="28713" hidden="1" ht="1" customHeight="1">
      <s:c r="A28713" s="120" t="inlineStr"/>
      <s:c r="B28713" s="121" t="n"/>
      <s:c r="C28713" s="121" t="n"/>
      <s:c r="D28713" s="121" t="n"/>
      <s:c r="E28713" s="122" t="n"/>
    </s:row>
    <s:row r="28714" hidden="1" ht="1" customHeight="1">
      <s:c r="A28714" s="120" t="inlineStr"/>
      <s:c r="B28714" s="121" t="n"/>
      <s:c r="C28714" s="121" t="n"/>
      <s:c r="D28714" s="121" t="n"/>
      <s:c r="E28714" s="122" t="n"/>
    </s:row>
    <s:row r="28715" hidden="1" ht="1" customHeight="1">
      <s:c r="A28715" s="120" t="inlineStr"/>
      <s:c r="B28715" s="121" t="n"/>
      <s:c r="C28715" s="121" t="n"/>
      <s:c r="D28715" s="121" t="n"/>
      <s:c r="E28715" s="122" t="n"/>
    </s:row>
    <s:row r="28716" hidden="1" ht="1" customHeight="1">
      <s:c r="A28716" s="120" t="inlineStr"/>
      <s:c r="B28716" s="121" t="n"/>
      <s:c r="C28716" s="121" t="n"/>
      <s:c r="D28716" s="121" t="n"/>
      <s:c r="E28716" s="122" t="n"/>
    </s:row>
    <s:row r="28717" hidden="1" ht="1" customHeight="1">
      <s:c r="A28717" s="120" t="inlineStr"/>
      <s:c r="B28717" s="121" t="n"/>
      <s:c r="C28717" s="121" t="n"/>
      <s:c r="D28717" s="121" t="n"/>
      <s:c r="E28717" s="122" t="n"/>
    </s:row>
    <s:row r="28718" hidden="1" ht="1" customHeight="1">
      <s:c r="A28718" s="120" t="inlineStr"/>
      <s:c r="B28718" s="121" t="n"/>
      <s:c r="C28718" s="121" t="n"/>
      <s:c r="D28718" s="121" t="n"/>
      <s:c r="E28718" s="122" t="n"/>
    </s:row>
    <s:row r="28719" hidden="1" ht="1" customHeight="1">
      <s:c r="A28719" s="120" t="inlineStr"/>
      <s:c r="B28719" s="121" t="n"/>
      <s:c r="C28719" s="121" t="n"/>
      <s:c r="D28719" s="121" t="n"/>
      <s:c r="E28719" s="122" t="n"/>
    </s:row>
    <s:row r="28720" hidden="1" ht="1" customHeight="1">
      <s:c r="A28720" s="120" t="inlineStr"/>
      <s:c r="B28720" s="121" t="n"/>
      <s:c r="C28720" s="121" t="n"/>
      <s:c r="D28720" s="121" t="n"/>
      <s:c r="E28720" s="122" t="n"/>
    </s:row>
    <s:row r="28721" hidden="1" ht="1" customHeight="1">
      <s:c r="A28721" s="120" t="inlineStr"/>
      <s:c r="B28721" s="121" t="n"/>
      <s:c r="C28721" s="121" t="n"/>
      <s:c r="D28721" s="121" t="n"/>
      <s:c r="E28721" s="122" t="n"/>
    </s:row>
    <s:row r="28722" hidden="1" ht="1" customHeight="1">
      <s:c r="A28722" s="120" t="inlineStr"/>
      <s:c r="B28722" s="121" t="n"/>
      <s:c r="C28722" s="121" t="n"/>
      <s:c r="D28722" s="121" t="n"/>
      <s:c r="E28722" s="122" t="n"/>
    </s:row>
    <s:row r="28723" hidden="1" ht="1" customHeight="1">
      <s:c r="A28723" s="120" t="inlineStr"/>
      <s:c r="B28723" s="121" t="n"/>
      <s:c r="C28723" s="121" t="n"/>
      <s:c r="D28723" s="121" t="n"/>
      <s:c r="E28723" s="122" t="n"/>
    </s:row>
    <s:row r="28724" hidden="1" ht="1" customHeight="1">
      <s:c r="A28724" s="120" t="inlineStr"/>
      <s:c r="B28724" s="121" t="n"/>
      <s:c r="C28724" s="121" t="n"/>
      <s:c r="D28724" s="121" t="n"/>
      <s:c r="E28724" s="122" t="n"/>
    </s:row>
    <s:row r="28725" hidden="1" ht="1" customHeight="1">
      <s:c r="A28725" s="120" t="inlineStr"/>
      <s:c r="B28725" s="121" t="n"/>
      <s:c r="C28725" s="121" t="n"/>
      <s:c r="D28725" s="121" t="n"/>
      <s:c r="E28725" s="122" t="n"/>
    </s:row>
    <s:row r="28726" hidden="1" ht="1" customHeight="1">
      <s:c r="A28726" s="120" t="inlineStr"/>
      <s:c r="B28726" s="121" t="n"/>
      <s:c r="C28726" s="121" t="n"/>
      <s:c r="D28726" s="121" t="n"/>
      <s:c r="E28726" s="122" t="n"/>
    </s:row>
    <s:row r="28727" hidden="1" ht="1" customHeight="1">
      <s:c r="A28727" s="120" t="inlineStr"/>
      <s:c r="B28727" s="121" t="n"/>
      <s:c r="C28727" s="121" t="n"/>
      <s:c r="D28727" s="121" t="n"/>
      <s:c r="E28727" s="122" t="n"/>
    </s:row>
    <s:row r="28728" hidden="1" ht="1" customHeight="1">
      <s:c r="A28728" s="120" t="inlineStr"/>
      <s:c r="B28728" s="121" t="n"/>
      <s:c r="C28728" s="121" t="n"/>
      <s:c r="D28728" s="121" t="n"/>
      <s:c r="E28728" s="122" t="n"/>
    </s:row>
    <s:row r="28729" hidden="1" ht="1" customHeight="1">
      <s:c r="A28729" s="120" t="inlineStr"/>
      <s:c r="B28729" s="121" t="n"/>
      <s:c r="C28729" s="121" t="n"/>
      <s:c r="D28729" s="121" t="n"/>
      <s:c r="E28729" s="122" t="n"/>
    </s:row>
    <s:row r="28730" hidden="1" ht="1" customHeight="1">
      <s:c r="A28730" s="120" t="inlineStr"/>
      <s:c r="B28730" s="121" t="n"/>
      <s:c r="C28730" s="121" t="n"/>
      <s:c r="D28730" s="121" t="n"/>
      <s:c r="E28730" s="122" t="n"/>
    </s:row>
    <s:row r="28731" hidden="1" ht="1" customHeight="1">
      <s:c r="A28731" s="120" t="inlineStr"/>
      <s:c r="B28731" s="121" t="n"/>
      <s:c r="C28731" s="121" t="n"/>
      <s:c r="D28731" s="121" t="n"/>
      <s:c r="E28731" s="122" t="n"/>
    </s:row>
    <s:row r="28732" hidden="1" ht="1" customHeight="1">
      <s:c r="A28732" s="120" t="inlineStr"/>
      <s:c r="B28732" s="121" t="n"/>
      <s:c r="C28732" s="121" t="n"/>
      <s:c r="D28732" s="121" t="n"/>
      <s:c r="E28732" s="122" t="n"/>
    </s:row>
    <s:row r="28733" hidden="1" ht="1" customHeight="1">
      <s:c r="A28733" s="120" t="inlineStr"/>
      <s:c r="B28733" s="121" t="n"/>
      <s:c r="C28733" s="121" t="n"/>
      <s:c r="D28733" s="121" t="n"/>
      <s:c r="E28733" s="122" t="n"/>
    </s:row>
    <s:row r="28734" hidden="1" ht="1" customHeight="1">
      <s:c r="A28734" s="120" t="inlineStr"/>
      <s:c r="B28734" s="121" t="n"/>
      <s:c r="C28734" s="121" t="n"/>
      <s:c r="D28734" s="121" t="n"/>
      <s:c r="E28734" s="122" t="n"/>
    </s:row>
    <s:row r="28735" hidden="1" ht="1" customHeight="1">
      <s:c r="A28735" s="120" t="inlineStr"/>
      <s:c r="B28735" s="121" t="n"/>
      <s:c r="C28735" s="121" t="n"/>
      <s:c r="D28735" s="121" t="n"/>
      <s:c r="E28735" s="122" t="n"/>
    </s:row>
    <s:row r="28736" hidden="1" ht="1" customHeight="1">
      <s:c r="A28736" s="120" t="inlineStr"/>
      <s:c r="B28736" s="121" t="n"/>
      <s:c r="C28736" s="121" t="n"/>
      <s:c r="D28736" s="121" t="n"/>
      <s:c r="E28736" s="122" t="n"/>
    </s:row>
    <s:row r="28737" hidden="1" ht="1" customHeight="1">
      <s:c r="A28737" s="120" t="inlineStr"/>
      <s:c r="B28737" s="121" t="n"/>
      <s:c r="C28737" s="121" t="n"/>
      <s:c r="D28737" s="121" t="n"/>
      <s:c r="E28737" s="122" t="n"/>
    </s:row>
    <s:row r="28738" hidden="1" ht="1" customHeight="1">
      <s:c r="A28738" s="120" t="inlineStr"/>
      <s:c r="B28738" s="121" t="n"/>
      <s:c r="C28738" s="121" t="n"/>
      <s:c r="D28738" s="121" t="n"/>
      <s:c r="E28738" s="122" t="n"/>
    </s:row>
    <s:row r="28739" hidden="1" ht="1" customHeight="1">
      <s:c r="A28739" s="120" t="inlineStr"/>
      <s:c r="B28739" s="121" t="n"/>
      <s:c r="C28739" s="121" t="n"/>
      <s:c r="D28739" s="121" t="n"/>
      <s:c r="E28739" s="122" t="n"/>
    </s:row>
    <s:row r="28740" hidden="1" ht="1" customHeight="1">
      <s:c r="A28740" s="120" t="inlineStr"/>
      <s:c r="B28740" s="121" t="n"/>
      <s:c r="C28740" s="121" t="n"/>
      <s:c r="D28740" s="121" t="n"/>
      <s:c r="E28740" s="122" t="n"/>
    </s:row>
    <s:row r="28741" hidden="1" ht="1" customHeight="1">
      <s:c r="A28741" s="120" t="inlineStr"/>
      <s:c r="B28741" s="121" t="n"/>
      <s:c r="C28741" s="121" t="n"/>
      <s:c r="D28741" s="121" t="n"/>
      <s:c r="E28741" s="122" t="n"/>
    </s:row>
    <s:row r="28742" hidden="1" ht="1" customHeight="1">
      <s:c r="A28742" s="120" t="inlineStr"/>
      <s:c r="B28742" s="121" t="n"/>
      <s:c r="C28742" s="121" t="n"/>
      <s:c r="D28742" s="121" t="n"/>
      <s:c r="E28742" s="122" t="n"/>
    </s:row>
    <s:row r="28743" hidden="1" ht="1" customHeight="1">
      <s:c r="A28743" s="120" t="inlineStr"/>
      <s:c r="B28743" s="121" t="n"/>
      <s:c r="C28743" s="121" t="n"/>
      <s:c r="D28743" s="121" t="n"/>
      <s:c r="E28743" s="122" t="n"/>
    </s:row>
    <s:row r="28744" hidden="1" ht="1" customHeight="1">
      <s:c r="A28744" s="120" t="inlineStr"/>
      <s:c r="B28744" s="121" t="n"/>
      <s:c r="C28744" s="121" t="n"/>
      <s:c r="D28744" s="121" t="n"/>
      <s:c r="E28744" s="122" t="n"/>
    </s:row>
    <s:row r="28745" hidden="1" ht="1" customHeight="1">
      <s:c r="A28745" s="120" t="inlineStr"/>
      <s:c r="B28745" s="121" t="n"/>
      <s:c r="C28745" s="121" t="n"/>
      <s:c r="D28745" s="121" t="n"/>
      <s:c r="E28745" s="122" t="n"/>
    </s:row>
    <s:row r="28746" hidden="1" ht="1" customHeight="1">
      <s:c r="A28746" s="120" t="inlineStr"/>
      <s:c r="B28746" s="121" t="n"/>
      <s:c r="C28746" s="121" t="n"/>
      <s:c r="D28746" s="121" t="n"/>
      <s:c r="E28746" s="122" t="n"/>
    </s:row>
    <s:row r="28747" hidden="1" ht="1" customHeight="1">
      <s:c r="A28747" s="120" t="inlineStr"/>
      <s:c r="B28747" s="121" t="n"/>
      <s:c r="C28747" s="121" t="n"/>
      <s:c r="D28747" s="121" t="n"/>
      <s:c r="E28747" s="122" t="n"/>
    </s:row>
    <s:row r="28748" hidden="1" ht="1" customHeight="1">
      <s:c r="A28748" s="120" t="inlineStr"/>
      <s:c r="B28748" s="121" t="n"/>
      <s:c r="C28748" s="121" t="n"/>
      <s:c r="D28748" s="121" t="n"/>
      <s:c r="E28748" s="122" t="n"/>
    </s:row>
    <s:row r="28749" hidden="1" ht="1" customHeight="1">
      <s:c r="A28749" s="120" t="inlineStr"/>
      <s:c r="B28749" s="121" t="n"/>
      <s:c r="C28749" s="121" t="n"/>
      <s:c r="D28749" s="121" t="n"/>
      <s:c r="E28749" s="122" t="n"/>
    </s:row>
    <s:row r="28750" hidden="1" ht="1" customHeight="1">
      <s:c r="A28750" s="120" t="inlineStr"/>
      <s:c r="B28750" s="121" t="n"/>
      <s:c r="C28750" s="121" t="n"/>
      <s:c r="D28750" s="121" t="n"/>
      <s:c r="E28750" s="122" t="n"/>
    </s:row>
    <s:row r="28751" hidden="1" ht="1" customHeight="1">
      <s:c r="A28751" s="120" t="inlineStr"/>
      <s:c r="B28751" s="121" t="n"/>
      <s:c r="C28751" s="121" t="n"/>
      <s:c r="D28751" s="121" t="n"/>
      <s:c r="E28751" s="122" t="n"/>
    </s:row>
    <s:row r="28752" hidden="1" ht="1" customHeight="1">
      <s:c r="A28752" s="120" t="inlineStr"/>
      <s:c r="B28752" s="121" t="n"/>
      <s:c r="C28752" s="121" t="n"/>
      <s:c r="D28752" s="121" t="n"/>
      <s:c r="E28752" s="122" t="n"/>
    </s:row>
    <s:row r="28753" hidden="1" ht="1" customHeight="1">
      <s:c r="A28753" s="120" t="inlineStr"/>
      <s:c r="B28753" s="121" t="n"/>
      <s:c r="C28753" s="121" t="n"/>
      <s:c r="D28753" s="121" t="n"/>
      <s:c r="E28753" s="122" t="n"/>
    </s:row>
    <s:row r="28754" hidden="1" ht="1" customHeight="1">
      <s:c r="A28754" s="120" t="inlineStr"/>
      <s:c r="B28754" s="121" t="n"/>
      <s:c r="C28754" s="121" t="n"/>
      <s:c r="D28754" s="121" t="n"/>
      <s:c r="E28754" s="122" t="n"/>
    </s:row>
    <s:row r="28755" hidden="1" ht="1" customHeight="1">
      <s:c r="A28755" s="120" t="inlineStr"/>
      <s:c r="B28755" s="121" t="n"/>
      <s:c r="C28755" s="121" t="n"/>
      <s:c r="D28755" s="121" t="n"/>
      <s:c r="E28755" s="122" t="n"/>
    </s:row>
    <s:row r="28756" hidden="1" ht="1" customHeight="1">
      <s:c r="A28756" s="120" t="inlineStr"/>
      <s:c r="B28756" s="121" t="n"/>
      <s:c r="C28756" s="121" t="n"/>
      <s:c r="D28756" s="121" t="n"/>
      <s:c r="E28756" s="122" t="n"/>
    </s:row>
    <s:row r="28757" hidden="1" ht="1" customHeight="1">
      <s:c r="A28757" s="120" t="inlineStr"/>
      <s:c r="B28757" s="121" t="n"/>
      <s:c r="C28757" s="121" t="n"/>
      <s:c r="D28757" s="121" t="n"/>
      <s:c r="E28757" s="122" t="n"/>
    </s:row>
    <s:row r="28758" hidden="1" ht="1" customHeight="1">
      <s:c r="A28758" s="120" t="inlineStr"/>
      <s:c r="B28758" s="121" t="n"/>
      <s:c r="C28758" s="121" t="n"/>
      <s:c r="D28758" s="121" t="n"/>
      <s:c r="E28758" s="122" t="n"/>
    </s:row>
    <s:row r="28759" hidden="1" ht="1" customHeight="1">
      <s:c r="A28759" s="120" t="inlineStr"/>
      <s:c r="B28759" s="121" t="n"/>
      <s:c r="C28759" s="121" t="n"/>
      <s:c r="D28759" s="121" t="n"/>
      <s:c r="E28759" s="122" t="n"/>
    </s:row>
    <s:row r="28760" hidden="1" ht="1" customHeight="1">
      <s:c r="A28760" s="120" t="inlineStr"/>
      <s:c r="B28760" s="121" t="n"/>
      <s:c r="C28760" s="121" t="n"/>
      <s:c r="D28760" s="121" t="n"/>
      <s:c r="E28760" s="122" t="n"/>
    </s:row>
    <s:row r="28761" hidden="1" ht="1" customHeight="1">
      <s:c r="A28761" s="120" t="inlineStr"/>
      <s:c r="B28761" s="121" t="n"/>
      <s:c r="C28761" s="121" t="n"/>
      <s:c r="D28761" s="121" t="n"/>
      <s:c r="E28761" s="122" t="n"/>
    </s:row>
    <s:row r="28762" hidden="1" ht="1" customHeight="1">
      <s:c r="A28762" s="120" t="inlineStr"/>
      <s:c r="B28762" s="121" t="n"/>
      <s:c r="C28762" s="121" t="n"/>
      <s:c r="D28762" s="121" t="n"/>
      <s:c r="E28762" s="122" t="n"/>
    </s:row>
    <s:row r="28763" hidden="1" ht="1" customHeight="1">
      <s:c r="A28763" s="120" t="inlineStr"/>
      <s:c r="B28763" s="121" t="n"/>
      <s:c r="C28763" s="121" t="n"/>
      <s:c r="D28763" s="121" t="n"/>
      <s:c r="E28763" s="122" t="n"/>
    </s:row>
    <s:row r="28764" hidden="1" ht="1" customHeight="1">
      <s:c r="A28764" s="120" t="inlineStr"/>
      <s:c r="B28764" s="121" t="n"/>
      <s:c r="C28764" s="121" t="n"/>
      <s:c r="D28764" s="121" t="n"/>
      <s:c r="E28764" s="122" t="n"/>
    </s:row>
    <s:row r="28765" hidden="1" ht="1" customHeight="1">
      <s:c r="A28765" s="120" t="inlineStr"/>
      <s:c r="B28765" s="121" t="n"/>
      <s:c r="C28765" s="121" t="n"/>
      <s:c r="D28765" s="121" t="n"/>
      <s:c r="E28765" s="122" t="n"/>
    </s:row>
    <s:row r="28766" hidden="1" ht="1" customHeight="1">
      <s:c r="A28766" s="120" t="inlineStr"/>
      <s:c r="B28766" s="121" t="n"/>
      <s:c r="C28766" s="121" t="n"/>
      <s:c r="D28766" s="121" t="n"/>
      <s:c r="E28766" s="122" t="n"/>
    </s:row>
    <s:row r="28767" hidden="1" ht="1" customHeight="1">
      <s:c r="A28767" s="120" t="inlineStr"/>
      <s:c r="B28767" s="121" t="n"/>
      <s:c r="C28767" s="121" t="n"/>
      <s:c r="D28767" s="121" t="n"/>
      <s:c r="E28767" s="122" t="n"/>
    </s:row>
    <s:row r="28768" hidden="1" ht="1" customHeight="1">
      <s:c r="A28768" s="120" t="inlineStr"/>
      <s:c r="B28768" s="121" t="n"/>
      <s:c r="C28768" s="121" t="n"/>
      <s:c r="D28768" s="121" t="n"/>
      <s:c r="E28768" s="122" t="n"/>
    </s:row>
    <s:row r="28769" hidden="1" ht="1" customHeight="1">
      <s:c r="A28769" s="120" t="inlineStr"/>
      <s:c r="B28769" s="121" t="n"/>
      <s:c r="C28769" s="121" t="n"/>
      <s:c r="D28769" s="121" t="n"/>
      <s:c r="E28769" s="122" t="n"/>
    </s:row>
    <s:row r="28770" hidden="1" ht="1" customHeight="1">
      <s:c r="A28770" s="120" t="inlineStr"/>
      <s:c r="B28770" s="121" t="n"/>
      <s:c r="C28770" s="121" t="n"/>
      <s:c r="D28770" s="121" t="n"/>
      <s:c r="E28770" s="122" t="n"/>
    </s:row>
    <s:row r="28771" hidden="1" ht="1" customHeight="1">
      <s:c r="A28771" s="120" t="inlineStr"/>
      <s:c r="B28771" s="121" t="n"/>
      <s:c r="C28771" s="121" t="n"/>
      <s:c r="D28771" s="121" t="n"/>
      <s:c r="E28771" s="122" t="n"/>
    </s:row>
    <s:row r="28772" hidden="1" ht="1" customHeight="1">
      <s:c r="A28772" s="120" t="inlineStr"/>
      <s:c r="B28772" s="121" t="n"/>
      <s:c r="C28772" s="121" t="n"/>
      <s:c r="D28772" s="121" t="n"/>
      <s:c r="E28772" s="122" t="n"/>
    </s:row>
    <s:row r="28773" hidden="1" ht="1" customHeight="1">
      <s:c r="A28773" s="120" t="inlineStr"/>
      <s:c r="B28773" s="121" t="n"/>
      <s:c r="C28773" s="121" t="n"/>
      <s:c r="D28773" s="121" t="n"/>
      <s:c r="E28773" s="122" t="n"/>
    </s:row>
    <s:row r="28774" hidden="1" ht="1" customHeight="1">
      <s:c r="A28774" s="120" t="inlineStr"/>
      <s:c r="B28774" s="121" t="n"/>
      <s:c r="C28774" s="121" t="n"/>
      <s:c r="D28774" s="121" t="n"/>
      <s:c r="E28774" s="122" t="n"/>
    </s:row>
    <s:row r="28775" hidden="1" ht="1" customHeight="1">
      <s:c r="A28775" s="120" t="inlineStr"/>
      <s:c r="B28775" s="121" t="n"/>
      <s:c r="C28775" s="121" t="n"/>
      <s:c r="D28775" s="121" t="n"/>
      <s:c r="E28775" s="122" t="n"/>
    </s:row>
    <s:row r="28776" hidden="1" ht="1" customHeight="1">
      <s:c r="A28776" s="120" t="inlineStr"/>
      <s:c r="B28776" s="121" t="n"/>
      <s:c r="C28776" s="121" t="n"/>
      <s:c r="D28776" s="121" t="n"/>
      <s:c r="E28776" s="122" t="n"/>
    </s:row>
    <s:row r="28777" hidden="1" ht="1" customHeight="1">
      <s:c r="A28777" s="120" t="inlineStr"/>
      <s:c r="B28777" s="121" t="n"/>
      <s:c r="C28777" s="121" t="n"/>
      <s:c r="D28777" s="121" t="n"/>
      <s:c r="E28777" s="122" t="n"/>
    </s:row>
    <s:row r="28778" hidden="1" ht="1" customHeight="1">
      <s:c r="A28778" s="120" t="inlineStr"/>
      <s:c r="B28778" s="121" t="n"/>
      <s:c r="C28778" s="121" t="n"/>
      <s:c r="D28778" s="121" t="n"/>
      <s:c r="E28778" s="122" t="n"/>
    </s:row>
    <s:row r="28779" hidden="1" ht="1" customHeight="1">
      <s:c r="A28779" s="120" t="inlineStr"/>
      <s:c r="B28779" s="121" t="n"/>
      <s:c r="C28779" s="121" t="n"/>
      <s:c r="D28779" s="121" t="n"/>
      <s:c r="E28779" s="122" t="n"/>
    </s:row>
    <s:row r="28780" hidden="1" ht="1" customHeight="1">
      <s:c r="A28780" s="120" t="inlineStr"/>
      <s:c r="B28780" s="121" t="n"/>
      <s:c r="C28780" s="121" t="n"/>
      <s:c r="D28780" s="121" t="n"/>
      <s:c r="E28780" s="122" t="n"/>
    </s:row>
    <s:row r="28781" hidden="1" ht="1" customHeight="1">
      <s:c r="A28781" s="120" t="inlineStr"/>
      <s:c r="B28781" s="121" t="n"/>
      <s:c r="C28781" s="121" t="n"/>
      <s:c r="D28781" s="121" t="n"/>
      <s:c r="E28781" s="122" t="n"/>
    </s:row>
    <s:row r="28782" hidden="1" ht="1" customHeight="1">
      <s:c r="A28782" s="120" t="inlineStr"/>
      <s:c r="B28782" s="121" t="n"/>
      <s:c r="C28782" s="121" t="n"/>
      <s:c r="D28782" s="121" t="n"/>
      <s:c r="E28782" s="122" t="n"/>
    </s:row>
    <s:row r="28783" hidden="1" ht="1" customHeight="1">
      <s:c r="A28783" s="120" t="inlineStr"/>
      <s:c r="B28783" s="121" t="n"/>
      <s:c r="C28783" s="121" t="n"/>
      <s:c r="D28783" s="121" t="n"/>
      <s:c r="E28783" s="122" t="n"/>
    </s:row>
    <s:row r="28784" hidden="1" ht="1" customHeight="1">
      <s:c r="A28784" s="120" t="inlineStr"/>
      <s:c r="B28784" s="121" t="n"/>
      <s:c r="C28784" s="121" t="n"/>
      <s:c r="D28784" s="121" t="n"/>
      <s:c r="E28784" s="122" t="n"/>
    </s:row>
    <s:row r="28785" hidden="1" ht="1" customHeight="1">
      <s:c r="A28785" s="120" t="inlineStr"/>
      <s:c r="B28785" s="121" t="n"/>
      <s:c r="C28785" s="121" t="n"/>
      <s:c r="D28785" s="121" t="n"/>
      <s:c r="E28785" s="122" t="n"/>
    </s:row>
    <s:row r="28786" hidden="1" ht="1" customHeight="1">
      <s:c r="A28786" s="120" t="inlineStr"/>
      <s:c r="B28786" s="121" t="n"/>
      <s:c r="C28786" s="121" t="n"/>
      <s:c r="D28786" s="121" t="n"/>
      <s:c r="E28786" s="122" t="n"/>
    </s:row>
    <s:row r="28787" hidden="1" ht="1" customHeight="1">
      <s:c r="A28787" s="120" t="inlineStr"/>
      <s:c r="B28787" s="121" t="n"/>
      <s:c r="C28787" s="121" t="n"/>
      <s:c r="D28787" s="121" t="n"/>
      <s:c r="E28787" s="122" t="n"/>
    </s:row>
    <s:row r="28788" hidden="1" ht="1" customHeight="1">
      <s:c r="A28788" s="120" t="inlineStr"/>
      <s:c r="B28788" s="121" t="n"/>
      <s:c r="C28788" s="121" t="n"/>
      <s:c r="D28788" s="121" t="n"/>
      <s:c r="E28788" s="122" t="n"/>
    </s:row>
    <s:row r="28789" hidden="1" ht="1" customHeight="1">
      <s:c r="A28789" s="120" t="inlineStr"/>
      <s:c r="B28789" s="121" t="n"/>
      <s:c r="C28789" s="121" t="n"/>
      <s:c r="D28789" s="121" t="n"/>
      <s:c r="E28789" s="122" t="n"/>
    </s:row>
    <s:row r="28790" hidden="1" ht="1" customHeight="1">
      <s:c r="A28790" s="120" t="inlineStr"/>
      <s:c r="B28790" s="121" t="n"/>
      <s:c r="C28790" s="121" t="n"/>
      <s:c r="D28790" s="121" t="n"/>
      <s:c r="E28790" s="122" t="n"/>
    </s:row>
    <s:row r="28791" hidden="1" ht="1" customHeight="1">
      <s:c r="A28791" s="120" t="inlineStr"/>
      <s:c r="B28791" s="121" t="n"/>
      <s:c r="C28791" s="121" t="n"/>
      <s:c r="D28791" s="121" t="n"/>
      <s:c r="E28791" s="122" t="n"/>
    </s:row>
    <s:row r="28792" hidden="1" ht="1" customHeight="1">
      <s:c r="A28792" s="120" t="inlineStr"/>
      <s:c r="B28792" s="121" t="n"/>
      <s:c r="C28792" s="121" t="n"/>
      <s:c r="D28792" s="121" t="n"/>
      <s:c r="E28792" s="122" t="n"/>
    </s:row>
    <s:row r="28793" hidden="1" ht="1" customHeight="1">
      <s:c r="A28793" s="120" t="inlineStr"/>
      <s:c r="B28793" s="121" t="n"/>
      <s:c r="C28793" s="121" t="n"/>
      <s:c r="D28793" s="121" t="n"/>
      <s:c r="E28793" s="122" t="n"/>
    </s:row>
    <s:row r="28794" hidden="1" ht="1" customHeight="1">
      <s:c r="A28794" s="120" t="inlineStr"/>
      <s:c r="B28794" s="121" t="n"/>
      <s:c r="C28794" s="121" t="n"/>
      <s:c r="D28794" s="121" t="n"/>
      <s:c r="E28794" s="122" t="n"/>
    </s:row>
    <s:row r="28795" hidden="1" ht="1" customHeight="1">
      <s:c r="A28795" s="120" t="inlineStr"/>
      <s:c r="B28795" s="121" t="n"/>
      <s:c r="C28795" s="121" t="n"/>
      <s:c r="D28795" s="121" t="n"/>
      <s:c r="E28795" s="122" t="n"/>
    </s:row>
    <s:row r="28796" hidden="1" ht="1" customHeight="1">
      <s:c r="A28796" s="120" t="inlineStr"/>
      <s:c r="B28796" s="121" t="n"/>
      <s:c r="C28796" s="121" t="n"/>
      <s:c r="D28796" s="121" t="n"/>
      <s:c r="E28796" s="122" t="n"/>
    </s:row>
    <s:row r="28797" hidden="1" ht="1" customHeight="1">
      <s:c r="A28797" s="120" t="inlineStr"/>
      <s:c r="B28797" s="121" t="n"/>
      <s:c r="C28797" s="121" t="n"/>
      <s:c r="D28797" s="121" t="n"/>
      <s:c r="E28797" s="122" t="n"/>
    </s:row>
    <s:row r="28798" hidden="1" ht="1" customHeight="1">
      <s:c r="A28798" s="120" t="inlineStr"/>
      <s:c r="B28798" s="121" t="n"/>
      <s:c r="C28798" s="121" t="n"/>
      <s:c r="D28798" s="121" t="n"/>
      <s:c r="E28798" s="122" t="n"/>
    </s:row>
    <s:row r="28799" hidden="1" ht="1" customHeight="1">
      <s:c r="A28799" s="120" t="inlineStr"/>
      <s:c r="B28799" s="121" t="n"/>
      <s:c r="C28799" s="121" t="n"/>
      <s:c r="D28799" s="121" t="n"/>
      <s:c r="E28799" s="122" t="n"/>
    </s:row>
    <s:row r="28800" hidden="1" ht="1" customHeight="1">
      <s:c r="A28800" s="120" t="inlineStr"/>
      <s:c r="B28800" s="121" t="n"/>
      <s:c r="C28800" s="121" t="n"/>
      <s:c r="D28800" s="121" t="n"/>
      <s:c r="E28800" s="122" t="n"/>
    </s:row>
    <s:row r="28801" hidden="1" ht="1" customHeight="1">
      <s:c r="A28801" s="120" t="inlineStr"/>
      <s:c r="B28801" s="121" t="n"/>
      <s:c r="C28801" s="121" t="n"/>
      <s:c r="D28801" s="121" t="n"/>
      <s:c r="E28801" s="122" t="n"/>
    </s:row>
    <s:row r="28802" hidden="1" ht="1" customHeight="1">
      <s:c r="A28802" s="120" t="inlineStr"/>
      <s:c r="B28802" s="121" t="n"/>
      <s:c r="C28802" s="121" t="n"/>
      <s:c r="D28802" s="121" t="n"/>
      <s:c r="E28802" s="122" t="n"/>
    </s:row>
    <s:row r="28803" hidden="1" ht="1" customHeight="1">
      <s:c r="A28803" s="120" t="inlineStr"/>
      <s:c r="B28803" s="121" t="n"/>
      <s:c r="C28803" s="121" t="n"/>
      <s:c r="D28803" s="121" t="n"/>
      <s:c r="E28803" s="122" t="n"/>
    </s:row>
    <s:row r="28804" hidden="1" ht="1" customHeight="1">
      <s:c r="A28804" s="120" t="inlineStr"/>
      <s:c r="B28804" s="121" t="n"/>
      <s:c r="C28804" s="121" t="n"/>
      <s:c r="D28804" s="121" t="n"/>
      <s:c r="E28804" s="122" t="n"/>
    </s:row>
    <s:row r="28805" hidden="1" ht="1" customHeight="1">
      <s:c r="A28805" s="120" t="inlineStr"/>
      <s:c r="B28805" s="121" t="n"/>
      <s:c r="C28805" s="121" t="n"/>
      <s:c r="D28805" s="121" t="n"/>
      <s:c r="E28805" s="122" t="n"/>
    </s:row>
    <s:row r="28806" hidden="1" ht="1" customHeight="1">
      <s:c r="A28806" s="120" t="inlineStr"/>
      <s:c r="B28806" s="121" t="n"/>
      <s:c r="C28806" s="121" t="n"/>
      <s:c r="D28806" s="121" t="n"/>
      <s:c r="E28806" s="122" t="n"/>
    </s:row>
    <s:row r="28807" hidden="1" ht="1" customHeight="1">
      <s:c r="A28807" s="120" t="inlineStr"/>
      <s:c r="B28807" s="121" t="n"/>
      <s:c r="C28807" s="121" t="n"/>
      <s:c r="D28807" s="121" t="n"/>
      <s:c r="E28807" s="122" t="n"/>
    </s:row>
    <s:row r="28808" hidden="1" ht="1" customHeight="1">
      <s:c r="A28808" s="120" t="inlineStr"/>
      <s:c r="B28808" s="121" t="n"/>
      <s:c r="C28808" s="121" t="n"/>
      <s:c r="D28808" s="121" t="n"/>
      <s:c r="E28808" s="122" t="n"/>
    </s:row>
    <s:row r="28809" hidden="1" ht="1" customHeight="1">
      <s:c r="A28809" s="120" t="inlineStr"/>
      <s:c r="B28809" s="121" t="n"/>
      <s:c r="C28809" s="121" t="n"/>
      <s:c r="D28809" s="121" t="n"/>
      <s:c r="E28809" s="122" t="n"/>
    </s:row>
    <s:row r="28810" hidden="1" ht="1" customHeight="1">
      <s:c r="A28810" s="120" t="inlineStr"/>
      <s:c r="B28810" s="121" t="n"/>
      <s:c r="C28810" s="121" t="n"/>
      <s:c r="D28810" s="121" t="n"/>
      <s:c r="E28810" s="122" t="n"/>
    </s:row>
    <s:row r="28811" hidden="1" ht="1" customHeight="1">
      <s:c r="A28811" s="120" t="inlineStr"/>
      <s:c r="B28811" s="121" t="n"/>
      <s:c r="C28811" s="121" t="n"/>
      <s:c r="D28811" s="121" t="n"/>
      <s:c r="E28811" s="122" t="n"/>
    </s:row>
    <s:row r="28812" hidden="1" ht="1" customHeight="1">
      <s:c r="A28812" s="120" t="inlineStr"/>
      <s:c r="B28812" s="121" t="n"/>
      <s:c r="C28812" s="121" t="n"/>
      <s:c r="D28812" s="121" t="n"/>
      <s:c r="E28812" s="122" t="n"/>
    </s:row>
    <s:row r="28813" hidden="1" ht="1" customHeight="1">
      <s:c r="A28813" s="120" t="inlineStr"/>
      <s:c r="B28813" s="121" t="n"/>
      <s:c r="C28813" s="121" t="n"/>
      <s:c r="D28813" s="121" t="n"/>
      <s:c r="E28813" s="122" t="n"/>
    </s:row>
    <s:row r="28814" hidden="1" ht="1" customHeight="1">
      <s:c r="A28814" s="120" t="inlineStr"/>
      <s:c r="B28814" s="121" t="n"/>
      <s:c r="C28814" s="121" t="n"/>
      <s:c r="D28814" s="121" t="n"/>
      <s:c r="E28814" s="122" t="n"/>
    </s:row>
    <s:row r="28815" hidden="1" ht="1" customHeight="1">
      <s:c r="A28815" s="120" t="inlineStr"/>
      <s:c r="B28815" s="121" t="n"/>
      <s:c r="C28815" s="121" t="n"/>
      <s:c r="D28815" s="121" t="n"/>
      <s:c r="E28815" s="122" t="n"/>
    </s:row>
    <s:row r="28816" hidden="1" ht="1" customHeight="1">
      <s:c r="A28816" s="120" t="inlineStr"/>
      <s:c r="B28816" s="121" t="n"/>
      <s:c r="C28816" s="121" t="n"/>
      <s:c r="D28816" s="121" t="n"/>
      <s:c r="E28816" s="122" t="n"/>
    </s:row>
    <s:row r="28817" hidden="1" ht="1" customHeight="1">
      <s:c r="A28817" s="120" t="inlineStr"/>
      <s:c r="B28817" s="121" t="n"/>
      <s:c r="C28817" s="121" t="n"/>
      <s:c r="D28817" s="121" t="n"/>
      <s:c r="E28817" s="122" t="n"/>
    </s:row>
    <s:row r="28818" hidden="1" ht="1" customHeight="1">
      <s:c r="A28818" s="120" t="inlineStr"/>
      <s:c r="B28818" s="121" t="n"/>
      <s:c r="C28818" s="121" t="n"/>
      <s:c r="D28818" s="121" t="n"/>
      <s:c r="E28818" s="122" t="n"/>
    </s:row>
    <s:row r="28819" hidden="1" ht="1" customHeight="1">
      <s:c r="A28819" s="120" t="inlineStr"/>
      <s:c r="B28819" s="121" t="n"/>
      <s:c r="C28819" s="121" t="n"/>
      <s:c r="D28819" s="121" t="n"/>
      <s:c r="E28819" s="122" t="n"/>
    </s:row>
    <s:row r="28820" hidden="1" ht="1" customHeight="1">
      <s:c r="A28820" s="120" t="inlineStr"/>
      <s:c r="B28820" s="121" t="n"/>
      <s:c r="C28820" s="121" t="n"/>
      <s:c r="D28820" s="121" t="n"/>
      <s:c r="E28820" s="122" t="n"/>
    </s:row>
    <s:row r="28821" hidden="1" ht="1" customHeight="1">
      <s:c r="A28821" s="120" t="inlineStr"/>
      <s:c r="B28821" s="121" t="n"/>
      <s:c r="C28821" s="121" t="n"/>
      <s:c r="D28821" s="121" t="n"/>
      <s:c r="E28821" s="122" t="n"/>
    </s:row>
    <s:row r="28822" hidden="1" ht="1" customHeight="1">
      <s:c r="A28822" s="120" t="inlineStr"/>
      <s:c r="B28822" s="121" t="n"/>
      <s:c r="C28822" s="121" t="n"/>
      <s:c r="D28822" s="121" t="n"/>
      <s:c r="E28822" s="122" t="n"/>
    </s:row>
    <s:row r="28823" hidden="1" ht="1" customHeight="1">
      <s:c r="A28823" s="120" t="inlineStr"/>
      <s:c r="B28823" s="121" t="n"/>
      <s:c r="C28823" s="121" t="n"/>
      <s:c r="D28823" s="121" t="n"/>
      <s:c r="E28823" s="122" t="n"/>
    </s:row>
    <s:row r="28824" hidden="1" ht="1" customHeight="1">
      <s:c r="A28824" s="120" t="inlineStr"/>
      <s:c r="B28824" s="121" t="n"/>
      <s:c r="C28824" s="121" t="n"/>
      <s:c r="D28824" s="121" t="n"/>
      <s:c r="E28824" s="122" t="n"/>
    </s:row>
    <s:row r="28825" hidden="1" ht="1" customHeight="1">
      <s:c r="A28825" s="120" t="inlineStr"/>
      <s:c r="B28825" s="121" t="n"/>
      <s:c r="C28825" s="121" t="n"/>
      <s:c r="D28825" s="121" t="n"/>
      <s:c r="E28825" s="122" t="n"/>
    </s:row>
    <s:row r="28826" hidden="1" ht="1" customHeight="1">
      <s:c r="A28826" s="120" t="inlineStr"/>
      <s:c r="B28826" s="121" t="n"/>
      <s:c r="C28826" s="121" t="n"/>
      <s:c r="D28826" s="121" t="n"/>
      <s:c r="E28826" s="122" t="n"/>
    </s:row>
    <s:row r="28827" hidden="1" ht="1" customHeight="1">
      <s:c r="A28827" s="120" t="inlineStr"/>
      <s:c r="B28827" s="121" t="n"/>
      <s:c r="C28827" s="121" t="n"/>
      <s:c r="D28827" s="121" t="n"/>
      <s:c r="E28827" s="122" t="n"/>
    </s:row>
    <s:row r="28828" hidden="1" ht="1" customHeight="1">
      <s:c r="A28828" s="120" t="inlineStr"/>
      <s:c r="B28828" s="121" t="n"/>
      <s:c r="C28828" s="121" t="n"/>
      <s:c r="D28828" s="121" t="n"/>
      <s:c r="E28828" s="122" t="n"/>
    </s:row>
    <s:row r="28829" hidden="1" ht="1" customHeight="1">
      <s:c r="A28829" s="120" t="inlineStr"/>
      <s:c r="B28829" s="121" t="n"/>
      <s:c r="C28829" s="121" t="n"/>
      <s:c r="D28829" s="121" t="n"/>
      <s:c r="E28829" s="122" t="n"/>
    </s:row>
    <s:row r="28830" hidden="1" ht="1" customHeight="1">
      <s:c r="A28830" s="120" t="inlineStr"/>
      <s:c r="B28830" s="121" t="n"/>
      <s:c r="C28830" s="121" t="n"/>
      <s:c r="D28830" s="121" t="n"/>
      <s:c r="E28830" s="122" t="n"/>
    </s:row>
    <s:row r="28831" hidden="1" ht="1" customHeight="1">
      <s:c r="A28831" s="83" t="inlineStr">
        <s:is>
          <s:t>PASS</s:t>
        </s:is>
      </s:c>
      <s:c r="B28831" s="83">
        <s:f>SUM(IF(EXACT('Kiểm thử'!E28681,"Đạt"),1,0),IF(EXACT('Kiểm thử'!E28683,"Đạt"),1,0),IF(EXACT('Kiểm thử'!E28685,"Đạt"),1,0))</s:f>
        <s:v/>
      </s:c>
      <s:c r="C28831" s="19" t="n"/>
      <s:c r="D28831" s="19" t="n"/>
      <s:c r="E28831" s="19" t="n"/>
    </s:row>
    <s:row r="28832" hidden="1" ht="1" customHeight="1">
      <s:c r="A28832" s="83" t="inlineStr">
        <s:is>
          <s:t>FAIL</s:t>
        </s:is>
      </s:c>
      <s:c r="B28832" s="83">
        <s:f>SUM(IF(EXACT('Kiểm thử'!E28681,"Không đạt"),1,0),IF(EXACT('Kiểm thử'!E28683,"Không đạt"),1,0),IF(EXACT('Kiểm thử'!E28685,"Không đạt"),1,0))</s:f>
        <s:v/>
      </s:c>
      <s:c r="C28832" s="19" t="n"/>
      <s:c r="D28832" s="19" t="n"/>
      <s:c r="E28832" s="19" t="n"/>
    </s:row>
    <s:row r="28833" hidden="1" ht="1" customHeight="1">
      <s:c r="A28833" s="83" t="inlineStr">
        <s:is>
          <s:t>BLOCKED</s:t>
        </s:is>
      </s:c>
      <s:c r="B28833" s="83">
        <s:f>SUM(IF(EXACT('Kiểm thử'!E28681,"Bị chặn"),1,0),IF(EXACT('Kiểm thử'!E28683,"Bị chặn"),1,0),IF(EXACT('Kiểm thử'!E28685,"Bị chặn"),1,0))</s:f>
        <s:v/>
      </s:c>
      <s:c r="C28833" s="19" t="n"/>
      <s:c r="D28833" s="19" t="n"/>
      <s:c r="E28833" s="19" t="n"/>
    </s:row>
    <s:row r="28834" hidden="1" ht="1" customHeight="1">
      <s:c r="A28834" s="83" t="inlineStr">
        <s:is>
          <s:t>SKIPPED</s:t>
        </s:is>
      </s:c>
      <s:c r="B28834" s="83">
        <s:f>SUM(IF(EXACT('Kiểm thử'!E28681,"Không thực hiện"),1,0),IF(EXACT('Kiểm thử'!E28683,"Không thực hiện"),1,0),IF(EXACT('Kiểm thử'!E28685,"Không thực hiện"),1,0))</s:f>
        <s:v/>
      </s:c>
      <s:c r="C28834" s="19" t="n"/>
      <s:c r="D28834" s="19" t="n"/>
      <s:c r="E28834" s="19" t="n"/>
    </s:row>
    <s:row r="28835" hidden="1" ht="1" customHeight="1">
      <s:c r="A28835" s="83" t="inlineStr">
        <s:is>
          <s:t>NOT RUN</s:t>
        </s:is>
      </s:c>
      <s:c r="B28835" s="83">
        <s:f>SUM(IF(EXACT('Kiểm thử'!E28681,"Chưa thực hiện"),1,0),IF(EXACT('Kiểm thử'!E28683,"Chưa thực hiện"),1,0),IF(EXACT('Kiểm thử'!E28685,"Chưa thực hiện"),1,0))</s:f>
        <s:v/>
      </s:c>
      <s:c r="C28835" s="19" t="n"/>
      <s:c r="D28835" s="19" t="n"/>
      <s:c r="E28835" s="19" t="n"/>
    </s:row>
    <s:row r="28836" hidden="1" ht="6" customHeight="1">
      <s:c r="A28836" s="83" t="inlineStr"/>
      <s:c r="B28836" s="19" t="n"/>
      <s:c r="C28836" s="19" t="n"/>
      <s:c r="D28836" s="19" t="n"/>
      <s:c r="E28836" s="19" t="n"/>
    </s:row>
    <s:row r="28837" ht="28" customHeight="1">
      <s:c r="A28837" s="108" t="inlineStr">
        <s:is>
          <s:t>TC-RS-ERR-002 — Lỗi kỹ thuật khi lưu kết quả khác với Chưa xét được; không báo thành công giả</s:t>
        </s:is>
      </s:c>
      <s:c r="B28837" s="111" t="n"/>
      <s:c r="C28837" s="111" t="n"/>
      <s:c r="D28837" s="111" t="n"/>
      <s:c r="E28837" s="111" t="n"/>
    </s:row>
    <s:row r="28838" ht="20" customHeight="1">
      <s:c r="A28838" s="112" t="inlineStr">
        <s:is>
          <s:t>Kết quả tình huống</s:t>
        </s:is>
      </s:c>
      <s:c r="B28838" s="113">
        <s:f>IF(SUM(IF(EXACT('Kiểm thử'!E28848,"Không đạt"),1,0),IF(EXACT('Kiểm thử'!E28850,"Không đạt"),1,0),IF(EXACT('Kiểm thử'!E28852,"Không đạt"),1,0),IF(EXACT('Kiểm thử'!E28854,"Không đạt"),1,0),IF(EXACT('Kiểm thử'!E28856,"Không đạt"),1,0),IF(EXACT('Kiểm thử'!E28858,"Không đạt"),1,0),IF(EXACT('Kiểm thử'!E28860,"Không đạt"),1,0),IF(EXACT('Kiểm thử'!E28862,"Không đạt"),1,0),IF(EXACT('Kiểm thử'!E28864,"Không đạt"),1,0),IF(EXACT('Kiểm thử'!E28866,"Không đạt"),1,0),IF(EXACT('Kiểm thử'!E28868,"Không đạt"),1,0),IF(EXACT('Kiểm thử'!E28870,"Không đạt"),1,0),IF(EXACT('Kiểm thử'!E28872,"Không đạt"),1,0),IF(EXACT('Kiểm thử'!E28874,"Không đạt"),1,0),IF(EXACT('Kiểm thử'!E28876,"Không đạt"),1,0))&gt;0,"Không đạt",IF(SUM(IF(EXACT('Kiểm thử'!E28848,"Đạt"),1,0),IF(EXACT('Kiểm thử'!E28850,"Đạt"),1,0),IF(EXACT('Kiểm thử'!E28852,"Đạt"),1,0),IF(EXACT('Kiểm thử'!E28854,"Đạt"),1,0),IF(EXACT('Kiểm thử'!E28856,"Đạt"),1,0),IF(EXACT('Kiểm thử'!E28858,"Đạt"),1,0),IF(EXACT('Kiểm thử'!E28860,"Đạt"),1,0),IF(EXACT('Kiểm thử'!E28862,"Đạt"),1,0),IF(EXACT('Kiểm thử'!E28864,"Đạt"),1,0),IF(EXACT('Kiểm thử'!E28866,"Đạt"),1,0),IF(EXACT('Kiểm thử'!E28868,"Đạt"),1,0),IF(EXACT('Kiểm thử'!E28870,"Đạt"),1,0),IF(EXACT('Kiểm thử'!E28872,"Đạt"),1,0),IF(EXACT('Kiểm thử'!E28874,"Đạt"),1,0),IF(EXACT('Kiểm thử'!E28876,"Đạt"),1,0))=15,"Đạt",IF(SUM(IF(EXACT('Kiểm thử'!E28848,"Không thực hiện"),1,0),IF(EXACT('Kiểm thử'!E28850,"Không thực hiện"),1,0),IF(EXACT('Kiểm thử'!E28852,"Không thực hiện"),1,0),IF(EXACT('Kiểm thử'!E28854,"Không thực hiện"),1,0),IF(EXACT('Kiểm thử'!E28856,"Không thực hiện"),1,0),IF(EXACT('Kiểm thử'!E28858,"Không thực hiện"),1,0),IF(EXACT('Kiểm thử'!E28860,"Không thực hiện"),1,0),IF(EXACT('Kiểm thử'!E28862,"Không thực hiện"),1,0),IF(EXACT('Kiểm thử'!E28864,"Không thực hiện"),1,0),IF(EXACT('Kiểm thử'!E28866,"Không thực hiện"),1,0),IF(EXACT('Kiểm thử'!E28868,"Không thực hiện"),1,0),IF(EXACT('Kiểm thử'!E28870,"Không thực hiện"),1,0),IF(EXACT('Kiểm thử'!E28872,"Không thực hiện"),1,0),IF(EXACT('Kiểm thử'!E28874,"Không thực hiện"),1,0),IF(EXACT('Kiểm thử'!E28876,"Không thực hiện"),1,0))=15,"Không thực hiện",IF(SUM(IF(EXACT('Kiểm thử'!E28848,"Bị chặn"),1,0),IF(EXACT('Kiểm thử'!E28850,"Bị chặn"),1,0),IF(EXACT('Kiểm thử'!E28852,"Bị chặn"),1,0),IF(EXACT('Kiểm thử'!E28854,"Bị chặn"),1,0),IF(EXACT('Kiểm thử'!E28856,"Bị chặn"),1,0),IF(EXACT('Kiểm thử'!E28858,"Bị chặn"),1,0),IF(EXACT('Kiểm thử'!E28860,"Bị chặn"),1,0),IF(EXACT('Kiểm thử'!E28862,"Bị chặn"),1,0),IF(EXACT('Kiểm thử'!E28864,"Bị chặn"),1,0),IF(EXACT('Kiểm thử'!E28866,"Bị chặn"),1,0),IF(EXACT('Kiểm thử'!E28868,"Bị chặn"),1,0),IF(EXACT('Kiểm thử'!E28870,"Bị chặn"),1,0),IF(EXACT('Kiểm thử'!E28872,"Bị chặn"),1,0),IF(EXACT('Kiểm thử'!E28874,"Bị chặn"),1,0),IF(EXACT('Kiểm thử'!E28876,"Bị chặn"),1,0))&gt;0,"Bị chặn",IF(SUM(IF(EXACT('Kiểm thử'!E28848,"Chưa thực hiện"),1,0),IF(EXACT('Kiểm thử'!E28850,"Chưa thực hiện"),1,0),IF(EXACT('Kiểm thử'!E28852,"Chưa thực hiện"),1,0),IF(EXACT('Kiểm thử'!E28854,"Chưa thực hiện"),1,0),IF(EXACT('Kiểm thử'!E28856,"Chưa thực hiện"),1,0),IF(EXACT('Kiểm thử'!E28858,"Chưa thực hiện"),1,0),IF(EXACT('Kiểm thử'!E28860,"Chưa thực hiện"),1,0),IF(EXACT('Kiểm thử'!E28862,"Chưa thực hiện"),1,0),IF(EXACT('Kiểm thử'!E28864,"Chưa thực hiện"),1,0),IF(EXACT('Kiểm thử'!E28866,"Chưa thực hiện"),1,0),IF(EXACT('Kiểm thử'!E28868,"Chưa thực hiện"),1,0),IF(EXACT('Kiểm thử'!E28870,"Chưa thực hiện"),1,0),IF(EXACT('Kiểm thử'!E28872,"Chưa thực hiện"),1,0),IF(EXACT('Kiểm thử'!E28874,"Chưa thực hiện"),1,0),IF(EXACT('Kiểm thử'!E28876,"Chưa thực hiện"),1,0))=15,"Chưa thực hiện","Đang thực hiện")))))</s:f>
        <s:v/>
      </s:c>
      <s:c r="C28838" s="114" t="n"/>
      <s:c r="D28838" s="114" t="n"/>
      <s:c r="E28838" s="114" t="n"/>
    </s:row>
    <s:row r="28839" ht="20" customHeight="1">
      <s:c r="A28839" s="112" t="inlineStr">
        <s:is>
          <s:t>Màn hình / chức năng</s:t>
        </s:is>
      </s:c>
      <s:c r="B28839" s="113" t="inlineStr">
        <s:is>
          <s:t>Lỗi và cập nhật kết quả</s:t>
        </s:is>
      </s:c>
      <s:c r="C28839" s="28" t="n"/>
      <s:c r="D28839" s="28" t="n"/>
      <s:c r="E28839" s="28" t="n"/>
    </s:row>
    <s:row r="28840" ht="104" customHeight="1">
      <s:c r="A28840" s="112" t="inlineStr">
        <s:is>
          <s:t>Cấu hình</s:t>
        </s:is>
      </s:c>
      <s:c r="B28840" s="113" t="inlineStr">
        <s:is>
          <s:r>
            <s:t xml:space="preserve">• Chuẩn bị bản reset độc lập cho từng biến thể và từng đường nhập trực tiếp, Đăng ký </s:t>
          </s:r>
          <s:r>
            <s:rPr>
              <s:b val="1"/>
            </s:rPr>
            <s:t>thành tích bằng CSV（成績CSV登録）</s:t>
          </s:r>
          <s:r>
            <s:t xml:space="preserve"> và liên kết điểm thi. Mỗi bản có điểm Toán 24 đang Đỏ, Ngữ văn 20 đang Đỏ và bằng chứng điểm/kết quả trước thao tác;
• File CSV và bài thi đã chấm phải ánh xạ tới đúng ô Toán của S01 (</s:t>
          </s:r>
          <s:r>
            <s:rPr>
              <s:b val="1"/>
            </s:rPr>
            <s:t>M=100</s:t>
          </s:r>
          <s:r>
            <s:t>). Chuẩn bị hai seam lỗi riêng trên từng đường, cho cả xóa và sửa nếu build hỗ trợ: lỗi lưu điểm và lỗi ghi kết quả đỏ;
• Ghi thời điểm lỗi và ranh giới giao dịch thực tế. Chưa có seam/đường đọc đáng tin thì giữ biến thể tương ứng BLOCKED.</s:t>
          </s:r>
        </s:is>
      </s:c>
      <s:c r="C28840" s="28" t="n"/>
      <s:c r="D28840" s="28" t="n"/>
      <s:c r="E28840" s="28" t="n"/>
    </s:row>
    <s:row r="28841" ht="48" customHeight="1">
      <s:c r="A28841" s="112" t="inlineStr">
        <s:is>
          <s:t>Dữ liệu test</s:t>
        </s:is>
      </s:c>
      <s:c r="B28841" s="113" t="inlineStr">
        <s:is>
          <s:t>• S01, Toán 24 → sửa thành 35 (không đỏ nếu xét thành công), Ngữ văn 20 giữ nguyên;
• Rule “Cố định 30” với dấu [&lt;]. Biến thể xóa dùng cùng điểm ban đầu nhưng bản reset khác biến thể sửa.</s:t>
        </s:is>
      </s:c>
      <s:c r="C28841" s="28" t="n"/>
      <s:c r="D28841" s="28" t="n"/>
      <s:c r="E28841" s="28" t="n"/>
    </s:row>
    <s:row r="28842" ht="34" customHeight="1">
      <s:c r="A28842" s="112" t="inlineStr">
        <s:is>
          <s:t>Bước 1</s:t>
        </s:is>
      </s:c>
      <s:c r="B28842" s="113" t="inlineStr">
        <s:is>
          <s:r>
            <s:t xml:space="preserve">Với [*-success-delete], dùng ba bản reset riêng và xóa ô Toán lần lượt bằng nhập trực tiếp, Đăng ký </s:t>
          </s:r>
          <s:r>
            <s:rPr>
              <s:b val="1"/>
            </s:rPr>
            <s:t>thành tích bằng CSV（成績CSV登録）</s:t>
          </s:r>
          <s:r>
            <s:t xml:space="preserve"> và liên kết điểm thi; không giả lập lỗi.</s:t>
          </s:r>
        </s:is>
      </s:c>
      <s:c r="C28842" s="28" t="n"/>
      <s:c r="D28842" s="28" t="n"/>
      <s:c r="E28842" s="28" t="n"/>
    </s:row>
    <s:row r="28843" ht="62" customHeight="1">
      <s:c r="A28843" s="112" t="inlineStr">
        <s:is>
          <s:t>Bước 2</s:t>
        </s:is>
      </s:c>
      <s:c r="B28843" s="113" t="inlineStr">
        <s:is>
          <s:t>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s:t>
        </s:is>
      </s:c>
      <s:c r="C28843" s="28" t="n"/>
      <s:c r="D28843" s="28" t="n"/>
      <s:c r="E28843" s="28" t="n"/>
    </s:row>
    <s:row r="28844" ht="48" customHeight="1">
      <s:c r="A28844" s="112" t="inlineStr">
        <s:is>
          <s:t>Bước 3</s:t>
        </s:is>
      </s:c>
      <s:c r="B28844" s="113" t="inlineStr">
        <s:is>
          <s:t>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s:t>
        </s:is>
      </s:c>
      <s:c r="C28844" s="28" t="n"/>
      <s:c r="D28844" s="28" t="n"/>
      <s:c r="E28844" s="28" t="n"/>
    </s:row>
    <s:row r="28845" ht="48" customHeight="1">
      <s:c r="A28845" s="112" t="inlineStr">
        <s:is>
          <s:t>Bước 4</s:t>
        </s:is>
      </s:c>
      <s:c r="B28845" s="113" t="inlineStr">
        <s:is>
          <s:t>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s:t>
        </s:is>
      </s:c>
      <s:c r="C28845" s="28" t="n"/>
      <s:c r="D28845" s="28" t="n"/>
      <s:c r="E28845" s="28" t="n"/>
    </s:row>
    <s:row r="28846" ht="28" customHeight="1">
      <s:c r="A28846" s="115" t="inlineStr">
        <s:is>
          <s:t>Trường hợp</s:t>
        </s:is>
      </s:c>
      <s:c r="B28846" s="115" t="inlineStr">
        <s:is>
          <s:t>Dữ liệu / thao tác riêng</s:t>
        </s:is>
      </s:c>
      <s:c r="C28846" s="115" t="inlineStr">
        <s:is>
          <s:t>Kết quả mong đợi</s:t>
        </s:is>
      </s:c>
      <s:c r="D28846" s="115" t="inlineStr">
        <s:is>
          <s:t>Kết quả thực tế</s:t>
        </s:is>
      </s:c>
      <s:c r="E28846" s="115" t="inlineStr">
        <s:is>
          <s:t>Đánh giá</s:t>
        </s:is>
      </s:c>
    </s:row>
    <s:row r="28847" ht="3" customHeight="1">
      <s:c r="A28847" s="102" t="inlineStr"/>
      <s:c r="B28847" s="99" t="n"/>
      <s:c r="C28847" s="99" t="n"/>
      <s:c r="D28847" s="116" t="n"/>
      <s:c r="E28847" s="116" t="n"/>
    </s:row>
    <s:row r="28848" ht="132" customHeight="1">
      <s:c r="A28848" s="83" t="inlineStr">
        <s:is>
          <s:t>Xóa thành công qua nhập trực tiếp (direct-success-delete)</s:t>
        </s:is>
      </s:c>
      <s:c r="B28848" s="83" t="inlineStr">
        <s:is>
          <s:r>
            <s:t xml:space="preserve">Reset độc lập S01/Toán 24 Đỏ, Ngữ văn 20 Đỏ, rule </s:t>
          </s:r>
          <s:r>
            <s:rPr>
              <s:b val="1"/>
            </s:rPr>
            <s:t>T=30</s:t>
          </s:r>
          <s:r>
            <s:t>, dấu &lt;. Qua nhập trực tiếp, xóa điểm Toán 24, không giả lập lỗi; xác minh mapping đúng ô Toán, không dùng kết quả của lượt trước.</s:t>
          </s:r>
        </s:is>
      </s:c>
      <s:c r="C28848" s="83" t="inlineStr">
        <s:is>
          <s:r>
            <s:t xml:space="preserve">Chỉ điểm/kết quả Toán của identity đích được xóa; S01 vẫn qua bộ lọc nhờ Ngữ văn </s:t>
          </s:r>
          <s:r>
            <s:rPr>
              <s:b val="1"/>
            </s:rPr>
            <s:t>Đỏ</s:t>
          </s:r>
          <s:r>
            <s:t xml:space="preserve">.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48" s="117" t="inlineStr"/>
      <s:c r="E28848" s="118" t="inlineStr">
        <s:is>
          <s:t>Chưa thực hiện</s:t>
        </s:is>
      </s:c>
    </s:row>
    <s:row r="28849" ht="3" customHeight="1">
      <s:c r="A28849" s="102" t="inlineStr"/>
      <s:c r="B28849" s="99" t="n"/>
      <s:c r="C28849" s="99" t="n"/>
      <s:c r="D28849" s="116" t="n"/>
      <s:c r="E28849" s="116" t="n"/>
    </s:row>
    <s:row r="28850" ht="146" customHeight="1">
      <s:c r="A28850" s="83" t="inlineStr">
        <s:is>
          <s:r>
            <s:t xml:space="preserve">Xóa thành công qua Đăng ký </s:t>
          </s:r>
          <s:r>
            <s:rPr>
              <s:b val="1"/>
            </s:rPr>
            <s:t>thành tích bằng CSV（成績CSV登録）</s:t>
          </s:r>
          <s:r>
            <s:t xml:space="preserve"> (csv-success-delete)</s:t>
          </s:r>
        </s:is>
      </s:c>
      <s:c r="B28850" s="83" t="inlineStr">
        <s:is>
          <s:r>
            <s:t xml:space="preserve">Reset độc lập S01/Toán 24 Đỏ, Ngữ văn 20 Đỏ, rule </s:t>
          </s:r>
          <s:r>
            <s:rPr>
              <s:b val="1"/>
            </s:rPr>
            <s:t>T=30</s:t>
          </s:r>
          <s:r>
            <s:t xml:space="preserve">, dấu &lt;. Qua Đăng ký </s:t>
          </s:r>
          <s:r>
            <s:rPr>
              <s:b val="1"/>
            </s:rPr>
            <s:t>thành tích bằng CSV（成績CSV登録）</s:t>
          </s:r>
          <s:r>
            <s:t>, xóa điểm Toán 24, không giả lập lỗi; xác minh mapping đúng ô Toán, không dùng kết quả của lượt trước.</s:t>
          </s:r>
        </s:is>
      </s:c>
      <s:c r="C28850" s="83" t="inlineStr">
        <s:is>
          <s:r>
            <s:t xml:space="preserve">Chỉ điểm/kết quả Toán của identity đích được xóa; S01 vẫn qua bộ lọc nhờ Ngữ văn </s:t>
          </s:r>
          <s:r>
            <s:rPr>
              <s:b val="1"/>
            </s:rPr>
            <s:t>Đỏ</s:t>
          </s:r>
          <s:r>
            <s:t xml:space="preserve">. CSV ánh xạ đúng ô.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50" s="117" t="inlineStr"/>
      <s:c r="E28850" s="118" t="inlineStr">
        <s:is>
          <s:t>Chưa thực hiện</s:t>
        </s:is>
      </s:c>
    </s:row>
    <s:row r="28851" ht="3" customHeight="1">
      <s:c r="A28851" s="102" t="inlineStr"/>
      <s:c r="B28851" s="99" t="n"/>
      <s:c r="C28851" s="99" t="n"/>
      <s:c r="D28851" s="116" t="n"/>
      <s:c r="E28851" s="116" t="n"/>
    </s:row>
    <s:row r="28852" ht="132" customHeight="1">
      <s:c r="A28852" s="83" t="inlineStr">
        <s:is>
          <s:t>Xóa thành công qua liên kết điểm thi (linked-success-delete)</s:t>
        </s:is>
      </s:c>
      <s:c r="B28852" s="83" t="inlineStr">
        <s:is>
          <s:r>
            <s:t xml:space="preserve">Reset độc lập S01/Toán 24 Đỏ, Ngữ văn 20 Đỏ, rule </s:t>
          </s:r>
          <s:r>
            <s:rPr>
              <s:b val="1"/>
            </s:rPr>
            <s:t>T=30</s:t>
          </s:r>
          <s:r>
            <s:t>, dấu &lt;. Qua liên kết điểm thi, xóa điểm Toán 24, không giả lập lỗi; xác minh mapping đúng ô Toán, không dùng kết quả của lượt trước.</s:t>
          </s:r>
        </s:is>
      </s:c>
      <s:c r="C28852" s="83" t="inlineStr">
        <s:is>
          <s:r>
            <s:t xml:space="preserve">Chỉ điểm/kết quả Toán của identity đích được xóa; S01 vẫn qua bộ lọc nhờ Ngữ văn </s:t>
          </s:r>
          <s:r>
            <s:rPr>
              <s:b val="1"/>
            </s:rPr>
            <s:t>Đỏ</s:t>
          </s:r>
          <s:r>
            <s:t xml:space="preserve">.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52" s="117" t="inlineStr"/>
      <s:c r="E28852" s="118" t="inlineStr">
        <s:is>
          <s:t>Chưa thực hiện</s:t>
        </s:is>
      </s:c>
    </s:row>
    <s:row r="28853" ht="3" customHeight="1">
      <s:c r="A28853" s="102" t="inlineStr"/>
      <s:c r="B28853" s="99" t="n"/>
      <s:c r="C28853" s="99" t="n"/>
      <s:c r="D28853" s="116" t="n"/>
      <s:c r="E28853" s="116" t="n"/>
    </s:row>
    <s:row r="28854" ht="160" customHeight="1">
      <s:c r="A28854" s="83" t="inlineStr">
        <s:is>
          <s:t>Xóa bị lỗi lưu điểm qua nhập trực tiếp (direct-delete-save-failure)</s:t>
        </s:is>
      </s:c>
      <s:c r="B28854" s="83" t="inlineStr">
        <s:is>
          <s:r>
            <s:t xml:space="preserve">Reset độc lập S01/Toán 24 Đỏ, Ngữ văn 20 Đỏ, rule </s:t>
          </s:r>
          <s:r>
            <s:rPr>
              <s:b val="1"/>
            </s:rPr>
            <s:t>T=30</s:t>
          </s:r>
          <s:r>
            <s:t>, dấu &lt;. Qua nhập trực tiếp, xóa điểm Toán 24, gây lỗi lưu điểm; xác minh mapping đúng ô Toán, không dùng kết quả của lượt trước.</s:t>
          </s:r>
        </s:is>
      </s:c>
      <s:c r="C28854" s="83" t="inlineStr">
        <s:is>
          <s:r>
            <s:t>Không báo đã xóa/xét thành công. Đối chiếu điểm và kết quả Toán với baseline 24/</s:t>
          </s:r>
          <s:r>
            <s:rPr>
              <s:b val="1"/>
            </s:rPr>
            <s:t>Đỏ</s:t>
          </s:r>
          <s:r>
            <s:t xml:space="preserve">; không tự coi ô trống/Chưa xét được hoặc mặc định rollback.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54" s="117" t="inlineStr"/>
      <s:c r="E28854" s="118" t="inlineStr">
        <s:is>
          <s:t>Chưa thực hiện</s:t>
        </s:is>
      </s:c>
    </s:row>
    <s:row r="28855" ht="3" customHeight="1">
      <s:c r="A28855" s="102" t="inlineStr"/>
      <s:c r="B28855" s="99" t="n"/>
      <s:c r="C28855" s="99" t="n"/>
      <s:c r="D28855" s="116" t="n"/>
      <s:c r="E28855" s="116" t="n"/>
    </s:row>
    <s:row r="28856" ht="160" customHeight="1">
      <s:c r="A28856" s="83" t="inlineStr">
        <s:is>
          <s:r>
            <s:t xml:space="preserve">Xóa bị lỗi lưu điểm qua Đăng ký </s:t>
          </s:r>
          <s:r>
            <s:rPr>
              <s:b val="1"/>
            </s:rPr>
            <s:t>thành tích bằng CSV（成績CSV登録）</s:t>
          </s:r>
          <s:r>
            <s:t xml:space="preserve"> (csv-delete-save-failure)</s:t>
          </s:r>
        </s:is>
      </s:c>
      <s:c r="B28856" s="83" t="inlineStr">
        <s:is>
          <s:r>
            <s:t xml:space="preserve">Reset độc lập S01/Toán 24 Đỏ, Ngữ văn 20 Đỏ, rule </s:t>
          </s:r>
          <s:r>
            <s:rPr>
              <s:b val="1"/>
            </s:rPr>
            <s:t>T=30</s:t>
          </s:r>
          <s:r>
            <s:t xml:space="preserve">, dấu &lt;. Qua Đăng ký </s:t>
          </s:r>
          <s:r>
            <s:rPr>
              <s:b val="1"/>
            </s:rPr>
            <s:t>thành tích bằng CSV（成績CSV登録）</s:t>
          </s:r>
          <s:r>
            <s:t>, xóa điểm Toán 24, gây lỗi lưu điểm; xác minh mapping đúng ô Toán, không dùng kết quả của lượt trước.</s:t>
          </s:r>
        </s:is>
      </s:c>
      <s:c r="C28856" s="83" t="inlineStr">
        <s:is>
          <s:r>
            <s:t>Không báo đã xóa/xét thành công. Đối chiếu điểm và kết quả Toán với baseline 24/</s:t>
          </s:r>
          <s:r>
            <s:rPr>
              <s:b val="1"/>
            </s:rPr>
            <s:t>Đỏ</s:t>
          </s:r>
          <s:r>
            <s:t xml:space="preserve">; không tự coi ô trống/Chưa xét được hoặc mặc định rollback.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56" s="117" t="inlineStr"/>
      <s:c r="E28856" s="118" t="inlineStr">
        <s:is>
          <s:t>Chưa thực hiện</s:t>
        </s:is>
      </s:c>
    </s:row>
    <s:row r="28857" ht="3" customHeight="1">
      <s:c r="A28857" s="102" t="inlineStr"/>
      <s:c r="B28857" s="99" t="n"/>
      <s:c r="C28857" s="99" t="n"/>
      <s:c r="D28857" s="116" t="n"/>
      <s:c r="E28857" s="116" t="n"/>
    </s:row>
    <s:row r="28858" ht="160" customHeight="1">
      <s:c r="A28858" s="83" t="inlineStr">
        <s:is>
          <s:t>Xóa bị lỗi lưu điểm qua liên kết điểm thi (linked-delete-save-failure)</s:t>
        </s:is>
      </s:c>
      <s:c r="B28858" s="83" t="inlineStr">
        <s:is>
          <s:r>
            <s:t xml:space="preserve">Reset độc lập S01/Toán 24 Đỏ, Ngữ văn 20 Đỏ, rule </s:t>
          </s:r>
          <s:r>
            <s:rPr>
              <s:b val="1"/>
            </s:rPr>
            <s:t>T=30</s:t>
          </s:r>
          <s:r>
            <s:t>, dấu &lt;. Qua liên kết điểm thi, xóa điểm Toán 24, gây lỗi lưu điểm; xác minh mapping đúng ô Toán, không dùng kết quả của lượt trước.</s:t>
          </s:r>
        </s:is>
      </s:c>
      <s:c r="C28858" s="83" t="inlineStr">
        <s:is>
          <s:r>
            <s:t>Không báo đã xóa/xét thành công. Đối chiếu điểm và kết quả Toán với baseline 24/</s:t>
          </s:r>
          <s:r>
            <s:rPr>
              <s:b val="1"/>
            </s:rPr>
            <s:t>Đỏ</s:t>
          </s:r>
          <s:r>
            <s:t xml:space="preserve">; không tự coi ô trống/Chưa xét được hoặc mặc định rollback.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58" s="117" t="inlineStr"/>
      <s:c r="E28858" s="118" t="inlineStr">
        <s:is>
          <s:t>Chưa thực hiện</s:t>
        </s:is>
      </s:c>
    </s:row>
    <s:row r="28859" ht="3" customHeight="1">
      <s:c r="A28859" s="102" t="inlineStr"/>
      <s:c r="B28859" s="99" t="n"/>
      <s:c r="C28859" s="99" t="n"/>
      <s:c r="D28859" s="116" t="n"/>
      <s:c r="E28859" s="116" t="n"/>
    </s:row>
    <s:row r="28860" ht="160" customHeight="1">
      <s:c r="A28860" s="83" t="inlineStr">
        <s:is>
          <s:t>Xóa bị lỗi ghi kết quả qua nhập trực tiếp (direct-delete-result-write-failure)</s:t>
        </s:is>
      </s:c>
      <s:c r="B28860" s="83" t="inlineStr">
        <s:is>
          <s:r>
            <s:t xml:space="preserve">Reset độc lập S01/Toán 24 Đỏ, Ngữ văn 20 Đỏ, rule </s:t>
          </s:r>
          <s:r>
            <s:rPr>
              <s:b val="1"/>
            </s:rPr>
            <s:t>T=30</s:t>
          </s:r>
          <s:r>
            <s:t>, dấu &lt;. Qua nhập trực tiếp, xóa điểm Toán 24, gây lỗi ghi kết quả đỏ; xác minh mapping đúng ô Toán, không dùng kết quả của lượt trước.</s:t>
          </s:r>
        </s:is>
      </s:c>
      <s:c r="C28860" s="83" t="inlineStr">
        <s:is>
          <s:r>
            <s:t xml:space="preserve">Không báo xóa/xét thành công giả. Phân biệt điểm Toán đã bị xóa hay chưa theo ranh giới giao dịch thực tế; không tự coi ô trống/Chưa xét được hoặc mặc định rollback.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60" s="117" t="inlineStr"/>
      <s:c r="E28860" s="118" t="inlineStr">
        <s:is>
          <s:t>Chưa thực hiện</s:t>
        </s:is>
      </s:c>
    </s:row>
    <s:row r="28861" ht="3" customHeight="1">
      <s:c r="A28861" s="102" t="inlineStr"/>
      <s:c r="B28861" s="99" t="n"/>
      <s:c r="C28861" s="99" t="n"/>
      <s:c r="D28861" s="116" t="n"/>
      <s:c r="E28861" s="116" t="n"/>
    </s:row>
    <s:row r="28862" ht="160" customHeight="1">
      <s:c r="A28862" s="83" t="inlineStr">
        <s:is>
          <s:r>
            <s:t xml:space="preserve">Xóa bị lỗi ghi kết quả qua Đăng ký </s:t>
          </s:r>
          <s:r>
            <s:rPr>
              <s:b val="1"/>
            </s:rPr>
            <s:t>thành tích bằng CSV（成績CSV登録）</s:t>
          </s:r>
          <s:r>
            <s:t xml:space="preserve"> (csv-delete-result-write-failure)</s:t>
          </s:r>
        </s:is>
      </s:c>
      <s:c r="B28862" s="83" t="inlineStr">
        <s:is>
          <s:r>
            <s:t xml:space="preserve">Reset độc lập S01/Toán 24 Đỏ, Ngữ văn 20 Đỏ, rule </s:t>
          </s:r>
          <s:r>
            <s:rPr>
              <s:b val="1"/>
            </s:rPr>
            <s:t>T=30</s:t>
          </s:r>
          <s:r>
            <s:t xml:space="preserve">, dấu &lt;. Qua Đăng ký </s:t>
          </s:r>
          <s:r>
            <s:rPr>
              <s:b val="1"/>
            </s:rPr>
            <s:t>thành tích bằng CSV（成績CSV登録）</s:t>
          </s:r>
          <s:r>
            <s:t>, xóa điểm Toán 24, gây lỗi ghi kết quả đỏ; xác minh mapping đúng ô Toán, không dùng kết quả của lượt trước.</s:t>
          </s:r>
        </s:is>
      </s:c>
      <s:c r="C28862" s="83" t="inlineStr">
        <s:is>
          <s:r>
            <s:t xml:space="preserve">Không báo xóa/xét thành công giả. Phân biệt điểm Toán đã bị xóa hay chưa theo ranh giới giao dịch thực tế; không tự coi ô trống/Chưa xét được hoặc mặc định rollback.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62" s="117" t="inlineStr"/>
      <s:c r="E28862" s="118" t="inlineStr">
        <s:is>
          <s:t>Chưa thực hiện</s:t>
        </s:is>
      </s:c>
    </s:row>
    <s:row r="28863" ht="3" customHeight="1">
      <s:c r="A28863" s="102" t="inlineStr"/>
      <s:c r="B28863" s="99" t="n"/>
      <s:c r="C28863" s="99" t="n"/>
      <s:c r="D28863" s="116" t="n"/>
      <s:c r="E28863" s="116" t="n"/>
    </s:row>
    <s:row r="28864" ht="160" customHeight="1">
      <s:c r="A28864" s="83" t="inlineStr">
        <s:is>
          <s:t>Xóa bị lỗi ghi kết quả qua liên kết điểm thi (linked-delete-result-write-failure)</s:t>
        </s:is>
      </s:c>
      <s:c r="B28864" s="83" t="inlineStr">
        <s:is>
          <s:r>
            <s:t xml:space="preserve">Reset độc lập S01/Toán 24 Đỏ, Ngữ văn 20 Đỏ, rule </s:t>
          </s:r>
          <s:r>
            <s:rPr>
              <s:b val="1"/>
            </s:rPr>
            <s:t>T=30</s:t>
          </s:r>
          <s:r>
            <s:t>, dấu &lt;. Qua liên kết điểm thi, xóa điểm Toán 24, gây lỗi ghi kết quả đỏ; xác minh mapping đúng ô Toán, không dùng kết quả của lượt trước.</s:t>
          </s:r>
        </s:is>
      </s:c>
      <s:c r="C28864" s="83" t="inlineStr">
        <s:is>
          <s:r>
            <s:t xml:space="preserve">Không báo xóa/xét thành công giả. Phân biệt điểm Toán đã bị xóa hay chưa theo ranh giới giao dịch thực tế; không tự coi ô trống/Chưa xét được hoặc mặc định rollback.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64" s="117" t="inlineStr"/>
      <s:c r="E28864" s="118" t="inlineStr">
        <s:is>
          <s:t>Chưa thực hiện</s:t>
        </s:is>
      </s:c>
    </s:row>
    <s:row r="28865" ht="3" customHeight="1">
      <s:c r="A28865" s="102" t="inlineStr"/>
      <s:c r="B28865" s="99" t="n"/>
      <s:c r="C28865" s="99" t="n"/>
      <s:c r="D28865" s="116" t="n"/>
      <s:c r="E28865" s="116" t="n"/>
    </s:row>
    <s:row r="28866" ht="174" customHeight="1">
      <s:c r="A28866" s="83" t="inlineStr">
        <s:is>
          <s:t>Sửa bị lỗi lưu điểm qua nhập trực tiếp (direct-edit-save-failure)</s:t>
        </s:is>
      </s:c>
      <s:c r="B28866" s="83" t="inlineStr">
        <s:is>
          <s:r>
            <s:t xml:space="preserve">Reset độc lập S01/Toán 24 Đỏ, Ngữ văn 20 Đỏ, rule </s:t>
          </s:r>
          <s:r>
            <s:rPr>
              <s:b val="1"/>
            </s:rPr>
            <s:t>T=30</s:t>
          </s:r>
          <s:r>
            <s:t>, dấu &lt;. Qua nhập trực tiếp, sửa điểm Toán 24→35, gây lỗi lưu điểm; xác minh mapping đúng ô Toán, không dùng kết quả của lượt trước.</s:t>
          </s:r>
        </s:is>
      </s:c>
      <s:c r="C28866" s="83" t="inlineStr">
        <s:is>
          <s:r>
            <s:t>Không báo sửa/xét thành công giả. Đối chiếu lỗi lưu điểm với baseline 24/</s:t>
          </s:r>
          <s:r>
            <s:rPr>
              <s:b val="1"/>
            </s:rPr>
            <s:t>Đỏ</s:t>
          </s:r>
          <s:r>
            <s:t xml:space="preserve">; không trình bày </s:t>
          </s:r>
          <s:r>
            <s:rPr>
              <s:b val="1"/>
            </s:rPr>
            <s:t>Đỏ</s:t>
          </s:r>
          <s:r>
            <s:t xml:space="preserve"> cũ như kết luận mới cho 35, không tự đổi thành Chưa xét được vì lỗi kỹ thuật.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66" s="117" t="inlineStr"/>
      <s:c r="E28866" s="118" t="inlineStr">
        <s:is>
          <s:t>Chưa thực hiện</s:t>
        </s:is>
      </s:c>
    </s:row>
    <s:row r="28867" ht="3" customHeight="1">
      <s:c r="A28867" s="102" t="inlineStr"/>
      <s:c r="B28867" s="99" t="n"/>
      <s:c r="C28867" s="99" t="n"/>
      <s:c r="D28867" s="116" t="n"/>
      <s:c r="E28867" s="116" t="n"/>
    </s:row>
    <s:row r="28868" ht="174" customHeight="1">
      <s:c r="A28868" s="83" t="inlineStr">
        <s:is>
          <s:r>
            <s:t xml:space="preserve">Sửa bị lỗi lưu điểm qua Đăng ký </s:t>
          </s:r>
          <s:r>
            <s:rPr>
              <s:b val="1"/>
            </s:rPr>
            <s:t>thành tích bằng CSV（成績CSV登録）</s:t>
          </s:r>
          <s:r>
            <s:t xml:space="preserve"> (csv-edit-save-failure)</s:t>
          </s:r>
        </s:is>
      </s:c>
      <s:c r="B28868" s="83" t="inlineStr">
        <s:is>
          <s:r>
            <s:t xml:space="preserve">Reset độc lập S01/Toán 24 Đỏ, Ngữ văn 20 Đỏ, rule </s:t>
          </s:r>
          <s:r>
            <s:rPr>
              <s:b val="1"/>
            </s:rPr>
            <s:t>T=30</s:t>
          </s:r>
          <s:r>
            <s:t xml:space="preserve">, dấu &lt;. Qua Đăng ký </s:t>
          </s:r>
          <s:r>
            <s:rPr>
              <s:b val="1"/>
            </s:rPr>
            <s:t>thành tích bằng CSV（成績CSV登録）</s:t>
          </s:r>
          <s:r>
            <s:t>, sửa điểm Toán 24→35, gây lỗi lưu điểm; xác minh mapping đúng ô Toán, không dùng kết quả của lượt trước.</s:t>
          </s:r>
        </s:is>
      </s:c>
      <s:c r="C28868" s="83" t="inlineStr">
        <s:is>
          <s:r>
            <s:t>Không báo sửa/xét thành công giả. Đối chiếu lỗi lưu điểm với baseline 24/</s:t>
          </s:r>
          <s:r>
            <s:rPr>
              <s:b val="1"/>
            </s:rPr>
            <s:t>Đỏ</s:t>
          </s:r>
          <s:r>
            <s:t xml:space="preserve">; không trình bày </s:t>
          </s:r>
          <s:r>
            <s:rPr>
              <s:b val="1"/>
            </s:rPr>
            <s:t>Đỏ</s:t>
          </s:r>
          <s:r>
            <s:t xml:space="preserve"> cũ như kết luận mới cho 35, không tự đổi thành Chưa xét được vì lỗi kỹ thuật.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68" s="117" t="inlineStr"/>
      <s:c r="E28868" s="118" t="inlineStr">
        <s:is>
          <s:t>Chưa thực hiện</s:t>
        </s:is>
      </s:c>
    </s:row>
    <s:row r="28869" ht="3" customHeight="1">
      <s:c r="A28869" s="102" t="inlineStr"/>
      <s:c r="B28869" s="99" t="n"/>
      <s:c r="C28869" s="99" t="n"/>
      <s:c r="D28869" s="116" t="n"/>
      <s:c r="E28869" s="116" t="n"/>
    </s:row>
    <s:row r="28870" ht="174" customHeight="1">
      <s:c r="A28870" s="83" t="inlineStr">
        <s:is>
          <s:t>Sửa bị lỗi lưu điểm qua liên kết điểm thi (linked-edit-save-failure)</s:t>
        </s:is>
      </s:c>
      <s:c r="B28870" s="83" t="inlineStr">
        <s:is>
          <s:r>
            <s:t xml:space="preserve">Reset độc lập S01/Toán 24 Đỏ, Ngữ văn 20 Đỏ, rule </s:t>
          </s:r>
          <s:r>
            <s:rPr>
              <s:b val="1"/>
            </s:rPr>
            <s:t>T=30</s:t>
          </s:r>
          <s:r>
            <s:t>, dấu &lt;. Qua liên kết điểm thi, sửa điểm Toán 24→35, gây lỗi lưu điểm; xác minh mapping đúng ô Toán, không dùng kết quả của lượt trước.</s:t>
          </s:r>
        </s:is>
      </s:c>
      <s:c r="C28870" s="83" t="inlineStr">
        <s:is>
          <s:r>
            <s:t>Không báo sửa/xét thành công giả. Đối chiếu lỗi lưu điểm với baseline 24/</s:t>
          </s:r>
          <s:r>
            <s:rPr>
              <s:b val="1"/>
            </s:rPr>
            <s:t>Đỏ</s:t>
          </s:r>
          <s:r>
            <s:t xml:space="preserve">; không trình bày </s:t>
          </s:r>
          <s:r>
            <s:rPr>
              <s:b val="1"/>
            </s:rPr>
            <s:t>Đỏ</s:t>
          </s:r>
          <s:r>
            <s:t xml:space="preserve"> cũ như kết luận mới cho 35, không tự đổi thành Chưa xét được vì lỗi kỹ thuật.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70" s="117" t="inlineStr"/>
      <s:c r="E28870" s="118" t="inlineStr">
        <s:is>
          <s:t>Chưa thực hiện</s:t>
        </s:is>
      </s:c>
    </s:row>
    <s:row r="28871" ht="3" customHeight="1">
      <s:c r="A28871" s="102" t="inlineStr"/>
      <s:c r="B28871" s="99" t="n"/>
      <s:c r="C28871" s="99" t="n"/>
      <s:c r="D28871" s="116" t="n"/>
      <s:c r="E28871" s="116" t="n"/>
    </s:row>
    <s:row r="28872" ht="174" customHeight="1">
      <s:c r="A28872" s="83" t="inlineStr">
        <s:is>
          <s:t>Sửa bị lỗi ghi kết quả qua nhập trực tiếp (direct-edit-result-write-failure)</s:t>
        </s:is>
      </s:c>
      <s:c r="B28872" s="83" t="inlineStr">
        <s:is>
          <s:r>
            <s:t xml:space="preserve">Reset độc lập S01/Toán 24 Đỏ, Ngữ văn 20 Đỏ, rule </s:t>
          </s:r>
          <s:r>
            <s:rPr>
              <s:b val="1"/>
            </s:rPr>
            <s:t>T=30</s:t>
          </s:r>
          <s:r>
            <s:t>, dấu &lt;. Qua nhập trực tiếp, sửa điểm Toán 24→35, gây lỗi ghi kết quả đỏ; xác minh mapping đúng ô Toán, không dùng kết quả của lượt trước.</s:t>
          </s:r>
        </s:is>
      </s:c>
      <s:c r="C28872" s="83" t="inlineStr">
        <s:is>
          <s:r>
            <s:t xml:space="preserve">Không báo sửa/xét thành công giả. Phân biệt 35 đã lưu hay chưa theo ranh giới giao dịch thực tế; không trình bày </s:t>
          </s:r>
          <s:r>
            <s:rPr>
              <s:b val="1"/>
            </s:rPr>
            <s:t>Đỏ</s:t>
          </s:r>
          <s:r>
            <s:t xml:space="preserve"> cũ như kết luận mới cho 35 và không tự đổi thành Chưa xét được vì lỗi kỹ thuật.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72" s="117" t="inlineStr"/>
      <s:c r="E28872" s="118" t="inlineStr">
        <s:is>
          <s:t>Chưa thực hiện</s:t>
        </s:is>
      </s:c>
    </s:row>
    <s:row r="28873" ht="3" customHeight="1">
      <s:c r="A28873" s="102" t="inlineStr"/>
      <s:c r="B28873" s="99" t="n"/>
      <s:c r="C28873" s="99" t="n"/>
      <s:c r="D28873" s="116" t="n"/>
      <s:c r="E28873" s="116" t="n"/>
    </s:row>
    <s:row r="28874" ht="174" customHeight="1">
      <s:c r="A28874" s="83" t="inlineStr">
        <s:is>
          <s:r>
            <s:t xml:space="preserve">Sửa bị lỗi ghi kết quả qua Đăng ký </s:t>
          </s:r>
          <s:r>
            <s:rPr>
              <s:b val="1"/>
            </s:rPr>
            <s:t>thành tích bằng CSV（成績CSV登録）</s:t>
          </s:r>
          <s:r>
            <s:t xml:space="preserve"> (csv-edit-result-write-failure)</s:t>
          </s:r>
        </s:is>
      </s:c>
      <s:c r="B28874" s="83" t="inlineStr">
        <s:is>
          <s:r>
            <s:t xml:space="preserve">Reset độc lập S01/Toán 24 Đỏ, Ngữ văn 20 Đỏ, rule </s:t>
          </s:r>
          <s:r>
            <s:rPr>
              <s:b val="1"/>
            </s:rPr>
            <s:t>T=30</s:t>
          </s:r>
          <s:r>
            <s:t xml:space="preserve">, dấu &lt;. Qua Đăng ký </s:t>
          </s:r>
          <s:r>
            <s:rPr>
              <s:b val="1"/>
            </s:rPr>
            <s:t>thành tích bằng CSV（成績CSV登録）</s:t>
          </s:r>
          <s:r>
            <s:t>, sửa điểm Toán 24→35, gây lỗi ghi kết quả đỏ; xác minh mapping đúng ô Toán, không dùng kết quả của lượt trước.</s:t>
          </s:r>
        </s:is>
      </s:c>
      <s:c r="C28874" s="83" t="inlineStr">
        <s:is>
          <s:r>
            <s:t xml:space="preserve">Không báo sửa/xét thành công giả. Phân biệt 35 đã lưu hay chưa theo ranh giới giao dịch thực tế; không trình bày </s:t>
          </s:r>
          <s:r>
            <s:rPr>
              <s:b val="1"/>
            </s:rPr>
            <s:t>Đỏ</s:t>
          </s:r>
          <s:r>
            <s:t xml:space="preserve"> cũ như kết luận mới cho 35 và không tự đổi thành Chưa xét được vì lỗi kỹ thuật.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74" s="117" t="inlineStr"/>
      <s:c r="E28874" s="118" t="inlineStr">
        <s:is>
          <s:t>Chưa thực hiện</s:t>
        </s:is>
      </s:c>
    </s:row>
    <s:row r="28875" ht="3" customHeight="1">
      <s:c r="A28875" s="102" t="inlineStr"/>
      <s:c r="B28875" s="99" t="n"/>
      <s:c r="C28875" s="99" t="n"/>
      <s:c r="D28875" s="116" t="n"/>
      <s:c r="E28875" s="116" t="n"/>
    </s:row>
    <s:row r="28876" ht="174" customHeight="1">
      <s:c r="A28876" s="83" t="inlineStr">
        <s:is>
          <s:t>Sửa bị lỗi ghi kết quả qua liên kết điểm thi (linked-edit-result-write-failure)</s:t>
        </s:is>
      </s:c>
      <s:c r="B28876" s="83" t="inlineStr">
        <s:is>
          <s:r>
            <s:t xml:space="preserve">Reset độc lập S01/Toán 24 Đỏ, Ngữ văn 20 Đỏ, rule </s:t>
          </s:r>
          <s:r>
            <s:rPr>
              <s:b val="1"/>
            </s:rPr>
            <s:t>T=30</s:t>
          </s:r>
          <s:r>
            <s:t>, dấu &lt;. Qua liên kết điểm thi, sửa điểm Toán 24→35, gây lỗi ghi kết quả đỏ; xác minh mapping đúng ô Toán, không dùng kết quả của lượt trước.</s:t>
          </s:r>
        </s:is>
      </s:c>
      <s:c r="C28876" s="83" t="inlineStr">
        <s:is>
          <s:r>
            <s:t xml:space="preserve">Không báo sửa/xét thành công giả. Phân biệt 35 đã lưu hay chưa theo ranh giới giao dịch thực tế; không trình bày </s:t>
          </s:r>
          <s:r>
            <s:rPr>
              <s:b val="1"/>
            </s:rPr>
            <s:t>Đỏ</s:t>
          </s:r>
          <s:r>
            <s:t xml:space="preserve"> cũ như kết luận mới cho 35 và không tự đổi thành Chưa xét được vì lỗi kỹ thuật. Ngữ văn 20 và kết quả </s:t>
          </s:r>
          <s:r>
            <s:rPr>
              <s:b val="1"/>
            </s:rPr>
            <s:t>Đỏ</s:t>
          </s:r>
          <s:r>
            <s:t xml:space="preserve">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s:t>
          </s:r>
        </s:is>
      </s:c>
      <s:c r="D28876" s="117" t="inlineStr"/>
      <s:c r="E28876" s="118" t="inlineStr">
        <s:is>
          <s:t>Chưa thực hiện</s:t>
        </s:is>
      </s:c>
    </s:row>
    <s:row r="28877" ht="20" customHeight="1">
      <s:c r="A28877" s="119" t="inlineStr">
        <s:is>
          <s:t>Ảnh minh chứng — Chưa có ảnh</s:t>
        </s:is>
      </s:c>
      <s:c r="B28877" s="19" t="n"/>
      <s:c r="C28877" s="19" t="n"/>
      <s:c r="D28877" s="19" t="n"/>
      <s:c r="E28877" s="19" t="n"/>
    </s:row>
    <s:row r="28878" hidden="1" ht="1" customHeight="1">
      <s:c r="A28878" s="120" t="inlineStr"/>
      <s:c r="B28878" s="121" t="n"/>
      <s:c r="C28878" s="121" t="n"/>
      <s:c r="D28878" s="121" t="n"/>
      <s:c r="E28878" s="122" t="n"/>
    </s:row>
    <s:row r="28879" hidden="1" ht="1" customHeight="1">
      <s:c r="A28879" s="120" t="inlineStr"/>
      <s:c r="B28879" s="121" t="n"/>
      <s:c r="C28879" s="121" t="n"/>
      <s:c r="D28879" s="121" t="n"/>
      <s:c r="E28879" s="122" t="n"/>
    </s:row>
    <s:row r="28880" hidden="1" ht="1" customHeight="1">
      <s:c r="A28880" s="120" t="inlineStr"/>
      <s:c r="B28880" s="121" t="n"/>
      <s:c r="C28880" s="121" t="n"/>
      <s:c r="D28880" s="121" t="n"/>
      <s:c r="E28880" s="122" t="n"/>
    </s:row>
    <s:row r="28881" hidden="1" ht="1" customHeight="1">
      <s:c r="A28881" s="120" t="inlineStr"/>
      <s:c r="B28881" s="121" t="n"/>
      <s:c r="C28881" s="121" t="n"/>
      <s:c r="D28881" s="121" t="n"/>
      <s:c r="E28881" s="122" t="n"/>
    </s:row>
    <s:row r="28882" hidden="1" ht="1" customHeight="1">
      <s:c r="A28882" s="120" t="inlineStr"/>
      <s:c r="B28882" s="121" t="n"/>
      <s:c r="C28882" s="121" t="n"/>
      <s:c r="D28882" s="121" t="n"/>
      <s:c r="E28882" s="122" t="n"/>
    </s:row>
    <s:row r="28883" hidden="1" ht="1" customHeight="1">
      <s:c r="A28883" s="120" t="inlineStr"/>
      <s:c r="B28883" s="121" t="n"/>
      <s:c r="C28883" s="121" t="n"/>
      <s:c r="D28883" s="121" t="n"/>
      <s:c r="E28883" s="122" t="n"/>
    </s:row>
    <s:row r="28884" hidden="1" ht="1" customHeight="1">
      <s:c r="A28884" s="120" t="inlineStr"/>
      <s:c r="B28884" s="121" t="n"/>
      <s:c r="C28884" s="121" t="n"/>
      <s:c r="D28884" s="121" t="n"/>
      <s:c r="E28884" s="122" t="n"/>
    </s:row>
    <s:row r="28885" hidden="1" ht="1" customHeight="1">
      <s:c r="A28885" s="120" t="inlineStr"/>
      <s:c r="B28885" s="121" t="n"/>
      <s:c r="C28885" s="121" t="n"/>
      <s:c r="D28885" s="121" t="n"/>
      <s:c r="E28885" s="122" t="n"/>
    </s:row>
    <s:row r="28886" hidden="1" ht="1" customHeight="1">
      <s:c r="A28886" s="120" t="inlineStr"/>
      <s:c r="B28886" s="121" t="n"/>
      <s:c r="C28886" s="121" t="n"/>
      <s:c r="D28886" s="121" t="n"/>
      <s:c r="E28886" s="122" t="n"/>
    </s:row>
    <s:row r="28887" hidden="1" ht="1" customHeight="1">
      <s:c r="A28887" s="120" t="inlineStr"/>
      <s:c r="B28887" s="121" t="n"/>
      <s:c r="C28887" s="121" t="n"/>
      <s:c r="D28887" s="121" t="n"/>
      <s:c r="E28887" s="122" t="n"/>
    </s:row>
    <s:row r="28888" hidden="1" ht="1" customHeight="1">
      <s:c r="A28888" s="120" t="inlineStr"/>
      <s:c r="B28888" s="121" t="n"/>
      <s:c r="C28888" s="121" t="n"/>
      <s:c r="D28888" s="121" t="n"/>
      <s:c r="E28888" s="122" t="n"/>
    </s:row>
    <s:row r="28889" hidden="1" ht="1" customHeight="1">
      <s:c r="A28889" s="120" t="inlineStr"/>
      <s:c r="B28889" s="121" t="n"/>
      <s:c r="C28889" s="121" t="n"/>
      <s:c r="D28889" s="121" t="n"/>
      <s:c r="E28889" s="122" t="n"/>
    </s:row>
    <s:row r="28890" hidden="1" ht="1" customHeight="1">
      <s:c r="A28890" s="120" t="inlineStr"/>
      <s:c r="B28890" s="121" t="n"/>
      <s:c r="C28890" s="121" t="n"/>
      <s:c r="D28890" s="121" t="n"/>
      <s:c r="E28890" s="122" t="n"/>
    </s:row>
    <s:row r="28891" hidden="1" ht="1" customHeight="1">
      <s:c r="A28891" s="120" t="inlineStr"/>
      <s:c r="B28891" s="121" t="n"/>
      <s:c r="C28891" s="121" t="n"/>
      <s:c r="D28891" s="121" t="n"/>
      <s:c r="E28891" s="122" t="n"/>
    </s:row>
    <s:row r="28892" hidden="1" ht="1" customHeight="1">
      <s:c r="A28892" s="120" t="inlineStr"/>
      <s:c r="B28892" s="121" t="n"/>
      <s:c r="C28892" s="121" t="n"/>
      <s:c r="D28892" s="121" t="n"/>
      <s:c r="E28892" s="122" t="n"/>
    </s:row>
    <s:row r="28893" hidden="1" ht="1" customHeight="1">
      <s:c r="A28893" s="120" t="inlineStr"/>
      <s:c r="B28893" s="121" t="n"/>
      <s:c r="C28893" s="121" t="n"/>
      <s:c r="D28893" s="121" t="n"/>
      <s:c r="E28893" s="122" t="n"/>
    </s:row>
    <s:row r="28894" hidden="1" ht="1" customHeight="1">
      <s:c r="A28894" s="120" t="inlineStr"/>
      <s:c r="B28894" s="121" t="n"/>
      <s:c r="C28894" s="121" t="n"/>
      <s:c r="D28894" s="121" t="n"/>
      <s:c r="E28894" s="122" t="n"/>
    </s:row>
    <s:row r="28895" hidden="1" ht="1" customHeight="1">
      <s:c r="A28895" s="120" t="inlineStr"/>
      <s:c r="B28895" s="121" t="n"/>
      <s:c r="C28895" s="121" t="n"/>
      <s:c r="D28895" s="121" t="n"/>
      <s:c r="E28895" s="122" t="n"/>
    </s:row>
    <s:row r="28896" hidden="1" ht="1" customHeight="1">
      <s:c r="A28896" s="120" t="inlineStr"/>
      <s:c r="B28896" s="121" t="n"/>
      <s:c r="C28896" s="121" t="n"/>
      <s:c r="D28896" s="121" t="n"/>
      <s:c r="E28896" s="122" t="n"/>
    </s:row>
    <s:row r="28897" hidden="1" ht="1" customHeight="1">
      <s:c r="A28897" s="120" t="inlineStr"/>
      <s:c r="B28897" s="121" t="n"/>
      <s:c r="C28897" s="121" t="n"/>
      <s:c r="D28897" s="121" t="n"/>
      <s:c r="E28897" s="122" t="n"/>
    </s:row>
    <s:row r="28898" hidden="1" ht="1" customHeight="1">
      <s:c r="A28898" s="120" t="inlineStr"/>
      <s:c r="B28898" s="121" t="n"/>
      <s:c r="C28898" s="121" t="n"/>
      <s:c r="D28898" s="121" t="n"/>
      <s:c r="E28898" s="122" t="n"/>
    </s:row>
    <s:row r="28899" hidden="1" ht="1" customHeight="1">
      <s:c r="A28899" s="120" t="inlineStr"/>
      <s:c r="B28899" s="121" t="n"/>
      <s:c r="C28899" s="121" t="n"/>
      <s:c r="D28899" s="121" t="n"/>
      <s:c r="E28899" s="122" t="n"/>
    </s:row>
    <s:row r="28900" hidden="1" ht="1" customHeight="1">
      <s:c r="A28900" s="120" t="inlineStr"/>
      <s:c r="B28900" s="121" t="n"/>
      <s:c r="C28900" s="121" t="n"/>
      <s:c r="D28900" s="121" t="n"/>
      <s:c r="E28900" s="122" t="n"/>
    </s:row>
    <s:row r="28901" hidden="1" ht="1" customHeight="1">
      <s:c r="A28901" s="120" t="inlineStr"/>
      <s:c r="B28901" s="121" t="n"/>
      <s:c r="C28901" s="121" t="n"/>
      <s:c r="D28901" s="121" t="n"/>
      <s:c r="E28901" s="122" t="n"/>
    </s:row>
    <s:row r="28902" hidden="1" ht="1" customHeight="1">
      <s:c r="A28902" s="120" t="inlineStr"/>
      <s:c r="B28902" s="121" t="n"/>
      <s:c r="C28902" s="121" t="n"/>
      <s:c r="D28902" s="121" t="n"/>
      <s:c r="E28902" s="122" t="n"/>
    </s:row>
    <s:row r="28903" hidden="1" ht="1" customHeight="1">
      <s:c r="A28903" s="120" t="inlineStr"/>
      <s:c r="B28903" s="121" t="n"/>
      <s:c r="C28903" s="121" t="n"/>
      <s:c r="D28903" s="121" t="n"/>
      <s:c r="E28903" s="122" t="n"/>
    </s:row>
    <s:row r="28904" hidden="1" ht="1" customHeight="1">
      <s:c r="A28904" s="120" t="inlineStr"/>
      <s:c r="B28904" s="121" t="n"/>
      <s:c r="C28904" s="121" t="n"/>
      <s:c r="D28904" s="121" t="n"/>
      <s:c r="E28904" s="122" t="n"/>
    </s:row>
    <s:row r="28905" hidden="1" ht="1" customHeight="1">
      <s:c r="A28905" s="120" t="inlineStr"/>
      <s:c r="B28905" s="121" t="n"/>
      <s:c r="C28905" s="121" t="n"/>
      <s:c r="D28905" s="121" t="n"/>
      <s:c r="E28905" s="122" t="n"/>
    </s:row>
    <s:row r="28906" hidden="1" ht="1" customHeight="1">
      <s:c r="A28906" s="120" t="inlineStr"/>
      <s:c r="B28906" s="121" t="n"/>
      <s:c r="C28906" s="121" t="n"/>
      <s:c r="D28906" s="121" t="n"/>
      <s:c r="E28906" s="122" t="n"/>
    </s:row>
    <s:row r="28907" hidden="1" ht="1" customHeight="1">
      <s:c r="A28907" s="120" t="inlineStr"/>
      <s:c r="B28907" s="121" t="n"/>
      <s:c r="C28907" s="121" t="n"/>
      <s:c r="D28907" s="121" t="n"/>
      <s:c r="E28907" s="122" t="n"/>
    </s:row>
    <s:row r="28908" hidden="1" ht="1" customHeight="1">
      <s:c r="A28908" s="120" t="inlineStr"/>
      <s:c r="B28908" s="121" t="n"/>
      <s:c r="C28908" s="121" t="n"/>
      <s:c r="D28908" s="121" t="n"/>
      <s:c r="E28908" s="122" t="n"/>
    </s:row>
    <s:row r="28909" hidden="1" ht="1" customHeight="1">
      <s:c r="A28909" s="120" t="inlineStr"/>
      <s:c r="B28909" s="121" t="n"/>
      <s:c r="C28909" s="121" t="n"/>
      <s:c r="D28909" s="121" t="n"/>
      <s:c r="E28909" s="122" t="n"/>
    </s:row>
    <s:row r="28910" hidden="1" ht="1" customHeight="1">
      <s:c r="A28910" s="120" t="inlineStr"/>
      <s:c r="B28910" s="121" t="n"/>
      <s:c r="C28910" s="121" t="n"/>
      <s:c r="D28910" s="121" t="n"/>
      <s:c r="E28910" s="122" t="n"/>
    </s:row>
    <s:row r="28911" hidden="1" ht="1" customHeight="1">
      <s:c r="A28911" s="120" t="inlineStr"/>
      <s:c r="B28911" s="121" t="n"/>
      <s:c r="C28911" s="121" t="n"/>
      <s:c r="D28911" s="121" t="n"/>
      <s:c r="E28911" s="122" t="n"/>
    </s:row>
    <s:row r="28912" hidden="1" ht="1" customHeight="1">
      <s:c r="A28912" s="120" t="inlineStr"/>
      <s:c r="B28912" s="121" t="n"/>
      <s:c r="C28912" s="121" t="n"/>
      <s:c r="D28912" s="121" t="n"/>
      <s:c r="E28912" s="122" t="n"/>
    </s:row>
    <s:row r="28913" hidden="1" ht="1" customHeight="1">
      <s:c r="A28913" s="120" t="inlineStr"/>
      <s:c r="B28913" s="121" t="n"/>
      <s:c r="C28913" s="121" t="n"/>
      <s:c r="D28913" s="121" t="n"/>
      <s:c r="E28913" s="122" t="n"/>
    </s:row>
    <s:row r="28914" hidden="1" ht="1" customHeight="1">
      <s:c r="A28914" s="120" t="inlineStr"/>
      <s:c r="B28914" s="121" t="n"/>
      <s:c r="C28914" s="121" t="n"/>
      <s:c r="D28914" s="121" t="n"/>
      <s:c r="E28914" s="122" t="n"/>
    </s:row>
    <s:row r="28915" hidden="1" ht="1" customHeight="1">
      <s:c r="A28915" s="120" t="inlineStr"/>
      <s:c r="B28915" s="121" t="n"/>
      <s:c r="C28915" s="121" t="n"/>
      <s:c r="D28915" s="121" t="n"/>
      <s:c r="E28915" s="122" t="n"/>
    </s:row>
    <s:row r="28916" hidden="1" ht="1" customHeight="1">
      <s:c r="A28916" s="120" t="inlineStr"/>
      <s:c r="B28916" s="121" t="n"/>
      <s:c r="C28916" s="121" t="n"/>
      <s:c r="D28916" s="121" t="n"/>
      <s:c r="E28916" s="122" t="n"/>
    </s:row>
    <s:row r="28917" hidden="1" ht="1" customHeight="1">
      <s:c r="A28917" s="120" t="inlineStr"/>
      <s:c r="B28917" s="121" t="n"/>
      <s:c r="C28917" s="121" t="n"/>
      <s:c r="D28917" s="121" t="n"/>
      <s:c r="E28917" s="122" t="n"/>
    </s:row>
    <s:row r="28918" hidden="1" ht="1" customHeight="1">
      <s:c r="A28918" s="120" t="inlineStr"/>
      <s:c r="B28918" s="121" t="n"/>
      <s:c r="C28918" s="121" t="n"/>
      <s:c r="D28918" s="121" t="n"/>
      <s:c r="E28918" s="122" t="n"/>
    </s:row>
    <s:row r="28919" hidden="1" ht="1" customHeight="1">
      <s:c r="A28919" s="120" t="inlineStr"/>
      <s:c r="B28919" s="121" t="n"/>
      <s:c r="C28919" s="121" t="n"/>
      <s:c r="D28919" s="121" t="n"/>
      <s:c r="E28919" s="122" t="n"/>
    </s:row>
    <s:row r="28920" hidden="1" ht="1" customHeight="1">
      <s:c r="A28920" s="120" t="inlineStr"/>
      <s:c r="B28920" s="121" t="n"/>
      <s:c r="C28920" s="121" t="n"/>
      <s:c r="D28920" s="121" t="n"/>
      <s:c r="E28920" s="122" t="n"/>
    </s:row>
    <s:row r="28921" hidden="1" ht="1" customHeight="1">
      <s:c r="A28921" s="120" t="inlineStr"/>
      <s:c r="B28921" s="121" t="n"/>
      <s:c r="C28921" s="121" t="n"/>
      <s:c r="D28921" s="121" t="n"/>
      <s:c r="E28921" s="122" t="n"/>
    </s:row>
    <s:row r="28922" hidden="1" ht="1" customHeight="1">
      <s:c r="A28922" s="120" t="inlineStr"/>
      <s:c r="B28922" s="121" t="n"/>
      <s:c r="C28922" s="121" t="n"/>
      <s:c r="D28922" s="121" t="n"/>
      <s:c r="E28922" s="122" t="n"/>
    </s:row>
    <s:row r="28923" hidden="1" ht="1" customHeight="1">
      <s:c r="A28923" s="120" t="inlineStr"/>
      <s:c r="B28923" s="121" t="n"/>
      <s:c r="C28923" s="121" t="n"/>
      <s:c r="D28923" s="121" t="n"/>
      <s:c r="E28923" s="122" t="n"/>
    </s:row>
    <s:row r="28924" hidden="1" ht="1" customHeight="1">
      <s:c r="A28924" s="120" t="inlineStr"/>
      <s:c r="B28924" s="121" t="n"/>
      <s:c r="C28924" s="121" t="n"/>
      <s:c r="D28924" s="121" t="n"/>
      <s:c r="E28924" s="122" t="n"/>
    </s:row>
    <s:row r="28925" hidden="1" ht="1" customHeight="1">
      <s:c r="A28925" s="120" t="inlineStr"/>
      <s:c r="B28925" s="121" t="n"/>
      <s:c r="C28925" s="121" t="n"/>
      <s:c r="D28925" s="121" t="n"/>
      <s:c r="E28925" s="122" t="n"/>
    </s:row>
    <s:row r="28926" hidden="1" ht="1" customHeight="1">
      <s:c r="A28926" s="120" t="inlineStr"/>
      <s:c r="B28926" s="121" t="n"/>
      <s:c r="C28926" s="121" t="n"/>
      <s:c r="D28926" s="121" t="n"/>
      <s:c r="E28926" s="122" t="n"/>
    </s:row>
    <s:row r="28927" hidden="1" ht="1" customHeight="1">
      <s:c r="A28927" s="120" t="inlineStr"/>
      <s:c r="B28927" s="121" t="n"/>
      <s:c r="C28927" s="121" t="n"/>
      <s:c r="D28927" s="121" t="n"/>
      <s:c r="E28927" s="122" t="n"/>
    </s:row>
    <s:row r="28928" hidden="1" ht="1" customHeight="1">
      <s:c r="A28928" s="120" t="inlineStr"/>
      <s:c r="B28928" s="121" t="n"/>
      <s:c r="C28928" s="121" t="n"/>
      <s:c r="D28928" s="121" t="n"/>
      <s:c r="E28928" s="122" t="n"/>
    </s:row>
    <s:row r="28929" hidden="1" ht="1" customHeight="1">
      <s:c r="A28929" s="120" t="inlineStr"/>
      <s:c r="B28929" s="121" t="n"/>
      <s:c r="C28929" s="121" t="n"/>
      <s:c r="D28929" s="121" t="n"/>
      <s:c r="E28929" s="122" t="n"/>
    </s:row>
    <s:row r="28930" hidden="1" ht="1" customHeight="1">
      <s:c r="A28930" s="120" t="inlineStr"/>
      <s:c r="B28930" s="121" t="n"/>
      <s:c r="C28930" s="121" t="n"/>
      <s:c r="D28930" s="121" t="n"/>
      <s:c r="E28930" s="122" t="n"/>
    </s:row>
    <s:row r="28931" hidden="1" ht="1" customHeight="1">
      <s:c r="A28931" s="120" t="inlineStr"/>
      <s:c r="B28931" s="121" t="n"/>
      <s:c r="C28931" s="121" t="n"/>
      <s:c r="D28931" s="121" t="n"/>
      <s:c r="E28931" s="122" t="n"/>
    </s:row>
    <s:row r="28932" hidden="1" ht="1" customHeight="1">
      <s:c r="A28932" s="120" t="inlineStr"/>
      <s:c r="B28932" s="121" t="n"/>
      <s:c r="C28932" s="121" t="n"/>
      <s:c r="D28932" s="121" t="n"/>
      <s:c r="E28932" s="122" t="n"/>
    </s:row>
    <s:row r="28933" hidden="1" ht="1" customHeight="1">
      <s:c r="A28933" s="120" t="inlineStr"/>
      <s:c r="B28933" s="121" t="n"/>
      <s:c r="C28933" s="121" t="n"/>
      <s:c r="D28933" s="121" t="n"/>
      <s:c r="E28933" s="122" t="n"/>
    </s:row>
    <s:row r="28934" hidden="1" ht="1" customHeight="1">
      <s:c r="A28934" s="120" t="inlineStr"/>
      <s:c r="B28934" s="121" t="n"/>
      <s:c r="C28934" s="121" t="n"/>
      <s:c r="D28934" s="121" t="n"/>
      <s:c r="E28934" s="122" t="n"/>
    </s:row>
    <s:row r="28935" hidden="1" ht="1" customHeight="1">
      <s:c r="A28935" s="120" t="inlineStr"/>
      <s:c r="B28935" s="121" t="n"/>
      <s:c r="C28935" s="121" t="n"/>
      <s:c r="D28935" s="121" t="n"/>
      <s:c r="E28935" s="122" t="n"/>
    </s:row>
    <s:row r="28936" hidden="1" ht="1" customHeight="1">
      <s:c r="A28936" s="120" t="inlineStr"/>
      <s:c r="B28936" s="121" t="n"/>
      <s:c r="C28936" s="121" t="n"/>
      <s:c r="D28936" s="121" t="n"/>
      <s:c r="E28936" s="122" t="n"/>
    </s:row>
    <s:row r="28937" hidden="1" ht="1" customHeight="1">
      <s:c r="A28937" s="120" t="inlineStr"/>
      <s:c r="B28937" s="121" t="n"/>
      <s:c r="C28937" s="121" t="n"/>
      <s:c r="D28937" s="121" t="n"/>
      <s:c r="E28937" s="122" t="n"/>
    </s:row>
    <s:row r="28938" hidden="1" ht="1" customHeight="1">
      <s:c r="A28938" s="120" t="inlineStr"/>
      <s:c r="B28938" s="121" t="n"/>
      <s:c r="C28938" s="121" t="n"/>
      <s:c r="D28938" s="121" t="n"/>
      <s:c r="E28938" s="122" t="n"/>
    </s:row>
    <s:row r="28939" hidden="1" ht="1" customHeight="1">
      <s:c r="A28939" s="120" t="inlineStr"/>
      <s:c r="B28939" s="121" t="n"/>
      <s:c r="C28939" s="121" t="n"/>
      <s:c r="D28939" s="121" t="n"/>
      <s:c r="E28939" s="122" t="n"/>
    </s:row>
    <s:row r="28940" hidden="1" ht="1" customHeight="1">
      <s:c r="A28940" s="120" t="inlineStr"/>
      <s:c r="B28940" s="121" t="n"/>
      <s:c r="C28940" s="121" t="n"/>
      <s:c r="D28940" s="121" t="n"/>
      <s:c r="E28940" s="122" t="n"/>
    </s:row>
    <s:row r="28941" hidden="1" ht="1" customHeight="1">
      <s:c r="A28941" s="120" t="inlineStr"/>
      <s:c r="B28941" s="121" t="n"/>
      <s:c r="C28941" s="121" t="n"/>
      <s:c r="D28941" s="121" t="n"/>
      <s:c r="E28941" s="122" t="n"/>
    </s:row>
    <s:row r="28942" hidden="1" ht="1" customHeight="1">
      <s:c r="A28942" s="120" t="inlineStr"/>
      <s:c r="B28942" s="121" t="n"/>
      <s:c r="C28942" s="121" t="n"/>
      <s:c r="D28942" s="121" t="n"/>
      <s:c r="E28942" s="122" t="n"/>
    </s:row>
    <s:row r="28943" hidden="1" ht="1" customHeight="1">
      <s:c r="A28943" s="120" t="inlineStr"/>
      <s:c r="B28943" s="121" t="n"/>
      <s:c r="C28943" s="121" t="n"/>
      <s:c r="D28943" s="121" t="n"/>
      <s:c r="E28943" s="122" t="n"/>
    </s:row>
    <s:row r="28944" hidden="1" ht="1" customHeight="1">
      <s:c r="A28944" s="120" t="inlineStr"/>
      <s:c r="B28944" s="121" t="n"/>
      <s:c r="C28944" s="121" t="n"/>
      <s:c r="D28944" s="121" t="n"/>
      <s:c r="E28944" s="122" t="n"/>
    </s:row>
    <s:row r="28945" hidden="1" ht="1" customHeight="1">
      <s:c r="A28945" s="120" t="inlineStr"/>
      <s:c r="B28945" s="121" t="n"/>
      <s:c r="C28945" s="121" t="n"/>
      <s:c r="D28945" s="121" t="n"/>
      <s:c r="E28945" s="122" t="n"/>
    </s:row>
    <s:row r="28946" hidden="1" ht="1" customHeight="1">
      <s:c r="A28946" s="120" t="inlineStr"/>
      <s:c r="B28946" s="121" t="n"/>
      <s:c r="C28946" s="121" t="n"/>
      <s:c r="D28946" s="121" t="n"/>
      <s:c r="E28946" s="122" t="n"/>
    </s:row>
    <s:row r="28947" hidden="1" ht="1" customHeight="1">
      <s:c r="A28947" s="120" t="inlineStr"/>
      <s:c r="B28947" s="121" t="n"/>
      <s:c r="C28947" s="121" t="n"/>
      <s:c r="D28947" s="121" t="n"/>
      <s:c r="E28947" s="122" t="n"/>
    </s:row>
    <s:row r="28948" hidden="1" ht="1" customHeight="1">
      <s:c r="A28948" s="120" t="inlineStr"/>
      <s:c r="B28948" s="121" t="n"/>
      <s:c r="C28948" s="121" t="n"/>
      <s:c r="D28948" s="121" t="n"/>
      <s:c r="E28948" s="122" t="n"/>
    </s:row>
    <s:row r="28949" hidden="1" ht="1" customHeight="1">
      <s:c r="A28949" s="120" t="inlineStr"/>
      <s:c r="B28949" s="121" t="n"/>
      <s:c r="C28949" s="121" t="n"/>
      <s:c r="D28949" s="121" t="n"/>
      <s:c r="E28949" s="122" t="n"/>
    </s:row>
    <s:row r="28950" hidden="1" ht="1" customHeight="1">
      <s:c r="A28950" s="120" t="inlineStr"/>
      <s:c r="B28950" s="121" t="n"/>
      <s:c r="C28950" s="121" t="n"/>
      <s:c r="D28950" s="121" t="n"/>
      <s:c r="E28950" s="122" t="n"/>
    </s:row>
    <s:row r="28951" hidden="1" ht="1" customHeight="1">
      <s:c r="A28951" s="120" t="inlineStr"/>
      <s:c r="B28951" s="121" t="n"/>
      <s:c r="C28951" s="121" t="n"/>
      <s:c r="D28951" s="121" t="n"/>
      <s:c r="E28951" s="122" t="n"/>
    </s:row>
    <s:row r="28952" hidden="1" ht="1" customHeight="1">
      <s:c r="A28952" s="120" t="inlineStr"/>
      <s:c r="B28952" s="121" t="n"/>
      <s:c r="C28952" s="121" t="n"/>
      <s:c r="D28952" s="121" t="n"/>
      <s:c r="E28952" s="122" t="n"/>
    </s:row>
    <s:row r="28953" hidden="1" ht="1" customHeight="1">
      <s:c r="A28953" s="120" t="inlineStr"/>
      <s:c r="B28953" s="121" t="n"/>
      <s:c r="C28953" s="121" t="n"/>
      <s:c r="D28953" s="121" t="n"/>
      <s:c r="E28953" s="122" t="n"/>
    </s:row>
    <s:row r="28954" hidden="1" ht="1" customHeight="1">
      <s:c r="A28954" s="120" t="inlineStr"/>
      <s:c r="B28954" s="121" t="n"/>
      <s:c r="C28954" s="121" t="n"/>
      <s:c r="D28954" s="121" t="n"/>
      <s:c r="E28954" s="122" t="n"/>
    </s:row>
    <s:row r="28955" hidden="1" ht="1" customHeight="1">
      <s:c r="A28955" s="120" t="inlineStr"/>
      <s:c r="B28955" s="121" t="n"/>
      <s:c r="C28955" s="121" t="n"/>
      <s:c r="D28955" s="121" t="n"/>
      <s:c r="E28955" s="122" t="n"/>
    </s:row>
    <s:row r="28956" hidden="1" ht="1" customHeight="1">
      <s:c r="A28956" s="120" t="inlineStr"/>
      <s:c r="B28956" s="121" t="n"/>
      <s:c r="C28956" s="121" t="n"/>
      <s:c r="D28956" s="121" t="n"/>
      <s:c r="E28956" s="122" t="n"/>
    </s:row>
    <s:row r="28957" hidden="1" ht="1" customHeight="1">
      <s:c r="A28957" s="120" t="inlineStr"/>
      <s:c r="B28957" s="121" t="n"/>
      <s:c r="C28957" s="121" t="n"/>
      <s:c r="D28957" s="121" t="n"/>
      <s:c r="E28957" s="122" t="n"/>
    </s:row>
    <s:row r="28958" hidden="1" ht="1" customHeight="1">
      <s:c r="A28958" s="120" t="inlineStr"/>
      <s:c r="B28958" s="121" t="n"/>
      <s:c r="C28958" s="121" t="n"/>
      <s:c r="D28958" s="121" t="n"/>
      <s:c r="E28958" s="122" t="n"/>
    </s:row>
    <s:row r="28959" hidden="1" ht="1" customHeight="1">
      <s:c r="A28959" s="120" t="inlineStr"/>
      <s:c r="B28959" s="121" t="n"/>
      <s:c r="C28959" s="121" t="n"/>
      <s:c r="D28959" s="121" t="n"/>
      <s:c r="E28959" s="122" t="n"/>
    </s:row>
    <s:row r="28960" hidden="1" ht="1" customHeight="1">
      <s:c r="A28960" s="120" t="inlineStr"/>
      <s:c r="B28960" s="121" t="n"/>
      <s:c r="C28960" s="121" t="n"/>
      <s:c r="D28960" s="121" t="n"/>
      <s:c r="E28960" s="122" t="n"/>
    </s:row>
    <s:row r="28961" hidden="1" ht="1" customHeight="1">
      <s:c r="A28961" s="120" t="inlineStr"/>
      <s:c r="B28961" s="121" t="n"/>
      <s:c r="C28961" s="121" t="n"/>
      <s:c r="D28961" s="121" t="n"/>
      <s:c r="E28961" s="122" t="n"/>
    </s:row>
    <s:row r="28962" hidden="1" ht="1" customHeight="1">
      <s:c r="A28962" s="120" t="inlineStr"/>
      <s:c r="B28962" s="121" t="n"/>
      <s:c r="C28962" s="121" t="n"/>
      <s:c r="D28962" s="121" t="n"/>
      <s:c r="E28962" s="122" t="n"/>
    </s:row>
    <s:row r="28963" hidden="1" ht="1" customHeight="1">
      <s:c r="A28963" s="120" t="inlineStr"/>
      <s:c r="B28963" s="121" t="n"/>
      <s:c r="C28963" s="121" t="n"/>
      <s:c r="D28963" s="121" t="n"/>
      <s:c r="E28963" s="122" t="n"/>
    </s:row>
    <s:row r="28964" hidden="1" ht="1" customHeight="1">
      <s:c r="A28964" s="120" t="inlineStr"/>
      <s:c r="B28964" s="121" t="n"/>
      <s:c r="C28964" s="121" t="n"/>
      <s:c r="D28964" s="121" t="n"/>
      <s:c r="E28964" s="122" t="n"/>
    </s:row>
    <s:row r="28965" hidden="1" ht="1" customHeight="1">
      <s:c r="A28965" s="120" t="inlineStr"/>
      <s:c r="B28965" s="121" t="n"/>
      <s:c r="C28965" s="121" t="n"/>
      <s:c r="D28965" s="121" t="n"/>
      <s:c r="E28965" s="122" t="n"/>
    </s:row>
    <s:row r="28966" hidden="1" ht="1" customHeight="1">
      <s:c r="A28966" s="120" t="inlineStr"/>
      <s:c r="B28966" s="121" t="n"/>
      <s:c r="C28966" s="121" t="n"/>
      <s:c r="D28966" s="121" t="n"/>
      <s:c r="E28966" s="122" t="n"/>
    </s:row>
    <s:row r="28967" hidden="1" ht="1" customHeight="1">
      <s:c r="A28967" s="120" t="inlineStr"/>
      <s:c r="B28967" s="121" t="n"/>
      <s:c r="C28967" s="121" t="n"/>
      <s:c r="D28967" s="121" t="n"/>
      <s:c r="E28967" s="122" t="n"/>
    </s:row>
    <s:row r="28968" hidden="1" ht="1" customHeight="1">
      <s:c r="A28968" s="120" t="inlineStr"/>
      <s:c r="B28968" s="121" t="n"/>
      <s:c r="C28968" s="121" t="n"/>
      <s:c r="D28968" s="121" t="n"/>
      <s:c r="E28968" s="122" t="n"/>
    </s:row>
    <s:row r="28969" hidden="1" ht="1" customHeight="1">
      <s:c r="A28969" s="120" t="inlineStr"/>
      <s:c r="B28969" s="121" t="n"/>
      <s:c r="C28969" s="121" t="n"/>
      <s:c r="D28969" s="121" t="n"/>
      <s:c r="E28969" s="122" t="n"/>
    </s:row>
    <s:row r="28970" hidden="1" ht="1" customHeight="1">
      <s:c r="A28970" s="120" t="inlineStr"/>
      <s:c r="B28970" s="121" t="n"/>
      <s:c r="C28970" s="121" t="n"/>
      <s:c r="D28970" s="121" t="n"/>
      <s:c r="E28970" s="122" t="n"/>
    </s:row>
    <s:row r="28971" hidden="1" ht="1" customHeight="1">
      <s:c r="A28971" s="120" t="inlineStr"/>
      <s:c r="B28971" s="121" t="n"/>
      <s:c r="C28971" s="121" t="n"/>
      <s:c r="D28971" s="121" t="n"/>
      <s:c r="E28971" s="122" t="n"/>
    </s:row>
    <s:row r="28972" hidden="1" ht="1" customHeight="1">
      <s:c r="A28972" s="120" t="inlineStr"/>
      <s:c r="B28972" s="121" t="n"/>
      <s:c r="C28972" s="121" t="n"/>
      <s:c r="D28972" s="121" t="n"/>
      <s:c r="E28972" s="122" t="n"/>
    </s:row>
    <s:row r="28973" hidden="1" ht="1" customHeight="1">
      <s:c r="A28973" s="120" t="inlineStr"/>
      <s:c r="B28973" s="121" t="n"/>
      <s:c r="C28973" s="121" t="n"/>
      <s:c r="D28973" s="121" t="n"/>
      <s:c r="E28973" s="122" t="n"/>
    </s:row>
    <s:row r="28974" hidden="1" ht="1" customHeight="1">
      <s:c r="A28974" s="120" t="inlineStr"/>
      <s:c r="B28974" s="121" t="n"/>
      <s:c r="C28974" s="121" t="n"/>
      <s:c r="D28974" s="121" t="n"/>
      <s:c r="E28974" s="122" t="n"/>
    </s:row>
    <s:row r="28975" hidden="1" ht="1" customHeight="1">
      <s:c r="A28975" s="120" t="inlineStr"/>
      <s:c r="B28975" s="121" t="n"/>
      <s:c r="C28975" s="121" t="n"/>
      <s:c r="D28975" s="121" t="n"/>
      <s:c r="E28975" s="122" t="n"/>
    </s:row>
    <s:row r="28976" hidden="1" ht="1" customHeight="1">
      <s:c r="A28976" s="120" t="inlineStr"/>
      <s:c r="B28976" s="121" t="n"/>
      <s:c r="C28976" s="121" t="n"/>
      <s:c r="D28976" s="121" t="n"/>
      <s:c r="E28976" s="122" t="n"/>
    </s:row>
    <s:row r="28977" hidden="1" ht="1" customHeight="1">
      <s:c r="A28977" s="120" t="inlineStr"/>
      <s:c r="B28977" s="121" t="n"/>
      <s:c r="C28977" s="121" t="n"/>
      <s:c r="D28977" s="121" t="n"/>
      <s:c r="E28977" s="122" t="n"/>
    </s:row>
    <s:row r="28978" hidden="1" ht="1" customHeight="1">
      <s:c r="A28978" s="120" t="inlineStr"/>
      <s:c r="B28978" s="121" t="n"/>
      <s:c r="C28978" s="121" t="n"/>
      <s:c r="D28978" s="121" t="n"/>
      <s:c r="E28978" s="122" t="n"/>
    </s:row>
    <s:row r="28979" hidden="1" ht="1" customHeight="1">
      <s:c r="A28979" s="120" t="inlineStr"/>
      <s:c r="B28979" s="121" t="n"/>
      <s:c r="C28979" s="121" t="n"/>
      <s:c r="D28979" s="121" t="n"/>
      <s:c r="E28979" s="122" t="n"/>
    </s:row>
    <s:row r="28980" hidden="1" ht="1" customHeight="1">
      <s:c r="A28980" s="120" t="inlineStr"/>
      <s:c r="B28980" s="121" t="n"/>
      <s:c r="C28980" s="121" t="n"/>
      <s:c r="D28980" s="121" t="n"/>
      <s:c r="E28980" s="122" t="n"/>
    </s:row>
    <s:row r="28981" hidden="1" ht="1" customHeight="1">
      <s:c r="A28981" s="120" t="inlineStr"/>
      <s:c r="B28981" s="121" t="n"/>
      <s:c r="C28981" s="121" t="n"/>
      <s:c r="D28981" s="121" t="n"/>
      <s:c r="E28981" s="122" t="n"/>
    </s:row>
    <s:row r="28982" hidden="1" ht="1" customHeight="1">
      <s:c r="A28982" s="120" t="inlineStr"/>
      <s:c r="B28982" s="121" t="n"/>
      <s:c r="C28982" s="121" t="n"/>
      <s:c r="D28982" s="121" t="n"/>
      <s:c r="E28982" s="122" t="n"/>
    </s:row>
    <s:row r="28983" hidden="1" ht="1" customHeight="1">
      <s:c r="A28983" s="120" t="inlineStr"/>
      <s:c r="B28983" s="121" t="n"/>
      <s:c r="C28983" s="121" t="n"/>
      <s:c r="D28983" s="121" t="n"/>
      <s:c r="E28983" s="122" t="n"/>
    </s:row>
    <s:row r="28984" hidden="1" ht="1" customHeight="1">
      <s:c r="A28984" s="120" t="inlineStr"/>
      <s:c r="B28984" s="121" t="n"/>
      <s:c r="C28984" s="121" t="n"/>
      <s:c r="D28984" s="121" t="n"/>
      <s:c r="E28984" s="122" t="n"/>
    </s:row>
    <s:row r="28985" hidden="1" ht="1" customHeight="1">
      <s:c r="A28985" s="120" t="inlineStr"/>
      <s:c r="B28985" s="121" t="n"/>
      <s:c r="C28985" s="121" t="n"/>
      <s:c r="D28985" s="121" t="n"/>
      <s:c r="E28985" s="122" t="n"/>
    </s:row>
    <s:row r="28986" hidden="1" ht="1" customHeight="1">
      <s:c r="A28986" s="120" t="inlineStr"/>
      <s:c r="B28986" s="121" t="n"/>
      <s:c r="C28986" s="121" t="n"/>
      <s:c r="D28986" s="121" t="n"/>
      <s:c r="E28986" s="122" t="n"/>
    </s:row>
    <s:row r="28987" hidden="1" ht="1" customHeight="1">
      <s:c r="A28987" s="120" t="inlineStr"/>
      <s:c r="B28987" s="121" t="n"/>
      <s:c r="C28987" s="121" t="n"/>
      <s:c r="D28987" s="121" t="n"/>
      <s:c r="E28987" s="122" t="n"/>
    </s:row>
    <s:row r="28988" hidden="1" ht="1" customHeight="1">
      <s:c r="A28988" s="120" t="inlineStr"/>
      <s:c r="B28988" s="121" t="n"/>
      <s:c r="C28988" s="121" t="n"/>
      <s:c r="D28988" s="121" t="n"/>
      <s:c r="E28988" s="122" t="n"/>
    </s:row>
    <s:row r="28989" hidden="1" ht="1" customHeight="1">
      <s:c r="A28989" s="120" t="inlineStr"/>
      <s:c r="B28989" s="121" t="n"/>
      <s:c r="C28989" s="121" t="n"/>
      <s:c r="D28989" s="121" t="n"/>
      <s:c r="E28989" s="122" t="n"/>
    </s:row>
    <s:row r="28990" hidden="1" ht="1" customHeight="1">
      <s:c r="A28990" s="120" t="inlineStr"/>
      <s:c r="B28990" s="121" t="n"/>
      <s:c r="C28990" s="121" t="n"/>
      <s:c r="D28990" s="121" t="n"/>
      <s:c r="E28990" s="122" t="n"/>
    </s:row>
    <s:row r="28991" hidden="1" ht="1" customHeight="1">
      <s:c r="A28991" s="120" t="inlineStr"/>
      <s:c r="B28991" s="121" t="n"/>
      <s:c r="C28991" s="121" t="n"/>
      <s:c r="D28991" s="121" t="n"/>
      <s:c r="E28991" s="122" t="n"/>
    </s:row>
    <s:row r="28992" hidden="1" ht="1" customHeight="1">
      <s:c r="A28992" s="120" t="inlineStr"/>
      <s:c r="B28992" s="121" t="n"/>
      <s:c r="C28992" s="121" t="n"/>
      <s:c r="D28992" s="121" t="n"/>
      <s:c r="E28992" s="122" t="n"/>
    </s:row>
    <s:row r="28993" hidden="1" ht="1" customHeight="1">
      <s:c r="A28993" s="120" t="inlineStr"/>
      <s:c r="B28993" s="121" t="n"/>
      <s:c r="C28993" s="121" t="n"/>
      <s:c r="D28993" s="121" t="n"/>
      <s:c r="E28993" s="122" t="n"/>
    </s:row>
    <s:row r="28994" hidden="1" ht="1" customHeight="1">
      <s:c r="A28994" s="120" t="inlineStr"/>
      <s:c r="B28994" s="121" t="n"/>
      <s:c r="C28994" s="121" t="n"/>
      <s:c r="D28994" s="121" t="n"/>
      <s:c r="E28994" s="122" t="n"/>
    </s:row>
    <s:row r="28995" hidden="1" ht="1" customHeight="1">
      <s:c r="A28995" s="120" t="inlineStr"/>
      <s:c r="B28995" s="121" t="n"/>
      <s:c r="C28995" s="121" t="n"/>
      <s:c r="D28995" s="121" t="n"/>
      <s:c r="E28995" s="122" t="n"/>
    </s:row>
    <s:row r="28996" hidden="1" ht="1" customHeight="1">
      <s:c r="A28996" s="120" t="inlineStr"/>
      <s:c r="B28996" s="121" t="n"/>
      <s:c r="C28996" s="121" t="n"/>
      <s:c r="D28996" s="121" t="n"/>
      <s:c r="E28996" s="122" t="n"/>
    </s:row>
    <s:row r="28997" hidden="1" ht="1" customHeight="1">
      <s:c r="A28997" s="120" t="inlineStr"/>
      <s:c r="B28997" s="121" t="n"/>
      <s:c r="C28997" s="121" t="n"/>
      <s:c r="D28997" s="121" t="n"/>
      <s:c r="E28997" s="122" t="n"/>
    </s:row>
    <s:row r="28998" hidden="1" ht="1" customHeight="1">
      <s:c r="A28998" s="120" t="inlineStr"/>
      <s:c r="B28998" s="121" t="n"/>
      <s:c r="C28998" s="121" t="n"/>
      <s:c r="D28998" s="121" t="n"/>
      <s:c r="E28998" s="122" t="n"/>
    </s:row>
    <s:row r="28999" hidden="1" ht="1" customHeight="1">
      <s:c r="A28999" s="120" t="inlineStr"/>
      <s:c r="B28999" s="121" t="n"/>
      <s:c r="C28999" s="121" t="n"/>
      <s:c r="D28999" s="121" t="n"/>
      <s:c r="E28999" s="122" t="n"/>
    </s:row>
    <s:row r="29000" hidden="1" ht="1" customHeight="1">
      <s:c r="A29000" s="120" t="inlineStr"/>
      <s:c r="B29000" s="121" t="n"/>
      <s:c r="C29000" s="121" t="n"/>
      <s:c r="D29000" s="121" t="n"/>
      <s:c r="E29000" s="122" t="n"/>
    </s:row>
    <s:row r="29001" hidden="1" ht="1" customHeight="1">
      <s:c r="A29001" s="120" t="inlineStr"/>
      <s:c r="B29001" s="121" t="n"/>
      <s:c r="C29001" s="121" t="n"/>
      <s:c r="D29001" s="121" t="n"/>
      <s:c r="E29001" s="122" t="n"/>
    </s:row>
    <s:row r="29002" hidden="1" ht="1" customHeight="1">
      <s:c r="A29002" s="120" t="inlineStr"/>
      <s:c r="B29002" s="121" t="n"/>
      <s:c r="C29002" s="121" t="n"/>
      <s:c r="D29002" s="121" t="n"/>
      <s:c r="E29002" s="122" t="n"/>
    </s:row>
    <s:row r="29003" hidden="1" ht="1" customHeight="1">
      <s:c r="A29003" s="120" t="inlineStr"/>
      <s:c r="B29003" s="121" t="n"/>
      <s:c r="C29003" s="121" t="n"/>
      <s:c r="D29003" s="121" t="n"/>
      <s:c r="E29003" s="122" t="n"/>
    </s:row>
    <s:row r="29004" hidden="1" ht="1" customHeight="1">
      <s:c r="A29004" s="120" t="inlineStr"/>
      <s:c r="B29004" s="121" t="n"/>
      <s:c r="C29004" s="121" t="n"/>
      <s:c r="D29004" s="121" t="n"/>
      <s:c r="E29004" s="122" t="n"/>
    </s:row>
    <s:row r="29005" hidden="1" ht="1" customHeight="1">
      <s:c r="A29005" s="120" t="inlineStr"/>
      <s:c r="B29005" s="121" t="n"/>
      <s:c r="C29005" s="121" t="n"/>
      <s:c r="D29005" s="121" t="n"/>
      <s:c r="E29005" s="122" t="n"/>
    </s:row>
    <s:row r="29006" hidden="1" ht="1" customHeight="1">
      <s:c r="A29006" s="120" t="inlineStr"/>
      <s:c r="B29006" s="121" t="n"/>
      <s:c r="C29006" s="121" t="n"/>
      <s:c r="D29006" s="121" t="n"/>
      <s:c r="E29006" s="122" t="n"/>
    </s:row>
    <s:row r="29007" hidden="1" ht="1" customHeight="1">
      <s:c r="A29007" s="120" t="inlineStr"/>
      <s:c r="B29007" s="121" t="n"/>
      <s:c r="C29007" s="121" t="n"/>
      <s:c r="D29007" s="121" t="n"/>
      <s:c r="E29007" s="122" t="n"/>
    </s:row>
    <s:row r="29008" hidden="1" ht="1" customHeight="1">
      <s:c r="A29008" s="120" t="inlineStr"/>
      <s:c r="B29008" s="121" t="n"/>
      <s:c r="C29008" s="121" t="n"/>
      <s:c r="D29008" s="121" t="n"/>
      <s:c r="E29008" s="122" t="n"/>
    </s:row>
    <s:row r="29009" hidden="1" ht="1" customHeight="1">
      <s:c r="A29009" s="120" t="inlineStr"/>
      <s:c r="B29009" s="121" t="n"/>
      <s:c r="C29009" s="121" t="n"/>
      <s:c r="D29009" s="121" t="n"/>
      <s:c r="E29009" s="122" t="n"/>
    </s:row>
    <s:row r="29010" hidden="1" ht="1" customHeight="1">
      <s:c r="A29010" s="120" t="inlineStr"/>
      <s:c r="B29010" s="121" t="n"/>
      <s:c r="C29010" s="121" t="n"/>
      <s:c r="D29010" s="121" t="n"/>
      <s:c r="E29010" s="122" t="n"/>
    </s:row>
    <s:row r="29011" hidden="1" ht="1" customHeight="1">
      <s:c r="A29011" s="120" t="inlineStr"/>
      <s:c r="B29011" s="121" t="n"/>
      <s:c r="C29011" s="121" t="n"/>
      <s:c r="D29011" s="121" t="n"/>
      <s:c r="E29011" s="122" t="n"/>
    </s:row>
    <s:row r="29012" hidden="1" ht="1" customHeight="1">
      <s:c r="A29012" s="120" t="inlineStr"/>
      <s:c r="B29012" s="121" t="n"/>
      <s:c r="C29012" s="121" t="n"/>
      <s:c r="D29012" s="121" t="n"/>
      <s:c r="E29012" s="122" t="n"/>
    </s:row>
    <s:row r="29013" hidden="1" ht="1" customHeight="1">
      <s:c r="A29013" s="120" t="inlineStr"/>
      <s:c r="B29013" s="121" t="n"/>
      <s:c r="C29013" s="121" t="n"/>
      <s:c r="D29013" s="121" t="n"/>
      <s:c r="E29013" s="122" t="n"/>
    </s:row>
    <s:row r="29014" hidden="1" ht="1" customHeight="1">
      <s:c r="A29014" s="120" t="inlineStr"/>
      <s:c r="B29014" s="121" t="n"/>
      <s:c r="C29014" s="121" t="n"/>
      <s:c r="D29014" s="121" t="n"/>
      <s:c r="E29014" s="122" t="n"/>
    </s:row>
    <s:row r="29015" hidden="1" ht="1" customHeight="1">
      <s:c r="A29015" s="120" t="inlineStr"/>
      <s:c r="B29015" s="121" t="n"/>
      <s:c r="C29015" s="121" t="n"/>
      <s:c r="D29015" s="121" t="n"/>
      <s:c r="E29015" s="122" t="n"/>
    </s:row>
    <s:row r="29016" hidden="1" ht="1" customHeight="1">
      <s:c r="A29016" s="120" t="inlineStr"/>
      <s:c r="B29016" s="121" t="n"/>
      <s:c r="C29016" s="121" t="n"/>
      <s:c r="D29016" s="121" t="n"/>
      <s:c r="E29016" s="122" t="n"/>
    </s:row>
    <s:row r="29017" hidden="1" ht="1" customHeight="1">
      <s:c r="A29017" s="120" t="inlineStr"/>
      <s:c r="B29017" s="121" t="n"/>
      <s:c r="C29017" s="121" t="n"/>
      <s:c r="D29017" s="121" t="n"/>
      <s:c r="E29017" s="122" t="n"/>
    </s:row>
    <s:row r="29018" hidden="1" ht="1" customHeight="1">
      <s:c r="A29018" s="120" t="inlineStr"/>
      <s:c r="B29018" s="121" t="n"/>
      <s:c r="C29018" s="121" t="n"/>
      <s:c r="D29018" s="121" t="n"/>
      <s:c r="E29018" s="122" t="n"/>
    </s:row>
    <s:row r="29019" hidden="1" ht="1" customHeight="1">
      <s:c r="A29019" s="120" t="inlineStr"/>
      <s:c r="B29019" s="121" t="n"/>
      <s:c r="C29019" s="121" t="n"/>
      <s:c r="D29019" s="121" t="n"/>
      <s:c r="E29019" s="122" t="n"/>
    </s:row>
    <s:row r="29020" hidden="1" ht="1" customHeight="1">
      <s:c r="A29020" s="120" t="inlineStr"/>
      <s:c r="B29020" s="121" t="n"/>
      <s:c r="C29020" s="121" t="n"/>
      <s:c r="D29020" s="121" t="n"/>
      <s:c r="E29020" s="122" t="n"/>
    </s:row>
    <s:row r="29021" hidden="1" ht="1" customHeight="1">
      <s:c r="A29021" s="120" t="inlineStr"/>
      <s:c r="B29021" s="121" t="n"/>
      <s:c r="C29021" s="121" t="n"/>
      <s:c r="D29021" s="121" t="n"/>
      <s:c r="E29021" s="122" t="n"/>
    </s:row>
    <s:row r="29022" hidden="1" ht="1" customHeight="1">
      <s:c r="A29022" s="120" t="inlineStr"/>
      <s:c r="B29022" s="121" t="n"/>
      <s:c r="C29022" s="121" t="n"/>
      <s:c r="D29022" s="121" t="n"/>
      <s:c r="E29022" s="122" t="n"/>
    </s:row>
    <s:row r="29023" hidden="1" ht="1" customHeight="1">
      <s:c r="A29023" s="120" t="inlineStr"/>
      <s:c r="B29023" s="121" t="n"/>
      <s:c r="C29023" s="121" t="n"/>
      <s:c r="D29023" s="121" t="n"/>
      <s:c r="E29023" s="122" t="n"/>
    </s:row>
    <s:row r="29024" hidden="1" ht="1" customHeight="1">
      <s:c r="A29024" s="120" t="inlineStr"/>
      <s:c r="B29024" s="121" t="n"/>
      <s:c r="C29024" s="121" t="n"/>
      <s:c r="D29024" s="121" t="n"/>
      <s:c r="E29024" s="122" t="n"/>
    </s:row>
    <s:row r="29025" hidden="1" ht="1" customHeight="1">
      <s:c r="A29025" s="120" t="inlineStr"/>
      <s:c r="B29025" s="121" t="n"/>
      <s:c r="C29025" s="121" t="n"/>
      <s:c r="D29025" s="121" t="n"/>
      <s:c r="E29025" s="122" t="n"/>
    </s:row>
    <s:row r="29026" hidden="1" ht="1" customHeight="1">
      <s:c r="A29026" s="120" t="inlineStr"/>
      <s:c r="B29026" s="121" t="n"/>
      <s:c r="C29026" s="121" t="n"/>
      <s:c r="D29026" s="121" t="n"/>
      <s:c r="E29026" s="122" t="n"/>
    </s:row>
    <s:row r="29027" hidden="1" ht="1" customHeight="1">
      <s:c r="A29027" s="120" t="inlineStr"/>
      <s:c r="B29027" s="121" t="n"/>
      <s:c r="C29027" s="121" t="n"/>
      <s:c r="D29027" s="121" t="n"/>
      <s:c r="E29027" s="122" t="n"/>
    </s:row>
    <s:row r="29028" hidden="1" ht="1" customHeight="1">
      <s:c r="A29028" s="120" t="inlineStr"/>
      <s:c r="B29028" s="121" t="n"/>
      <s:c r="C29028" s="121" t="n"/>
      <s:c r="D29028" s="121" t="n"/>
      <s:c r="E29028" s="122" t="n"/>
    </s:row>
    <s:row r="29029" hidden="1" ht="1" customHeight="1">
      <s:c r="A29029" s="120" t="inlineStr"/>
      <s:c r="B29029" s="121" t="n"/>
      <s:c r="C29029" s="121" t="n"/>
      <s:c r="D29029" s="121" t="n"/>
      <s:c r="E29029" s="122" t="n"/>
    </s:row>
    <s:row r="29030" hidden="1" ht="1" customHeight="1">
      <s:c r="A29030" s="120" t="inlineStr"/>
      <s:c r="B29030" s="121" t="n"/>
      <s:c r="C29030" s="121" t="n"/>
      <s:c r="D29030" s="121" t="n"/>
      <s:c r="E29030" s="122" t="n"/>
    </s:row>
    <s:row r="29031" hidden="1" ht="1" customHeight="1">
      <s:c r="A29031" s="120" t="inlineStr"/>
      <s:c r="B29031" s="121" t="n"/>
      <s:c r="C29031" s="121" t="n"/>
      <s:c r="D29031" s="121" t="n"/>
      <s:c r="E29031" s="122" t="n"/>
    </s:row>
    <s:row r="29032" hidden="1" ht="1" customHeight="1">
      <s:c r="A29032" s="120" t="inlineStr"/>
      <s:c r="B29032" s="121" t="n"/>
      <s:c r="C29032" s="121" t="n"/>
      <s:c r="D29032" s="121" t="n"/>
      <s:c r="E29032" s="122" t="n"/>
    </s:row>
    <s:row r="29033" hidden="1" ht="1" customHeight="1">
      <s:c r="A29033" s="120" t="inlineStr"/>
      <s:c r="B29033" s="121" t="n"/>
      <s:c r="C29033" s="121" t="n"/>
      <s:c r="D29033" s="121" t="n"/>
      <s:c r="E29033" s="122" t="n"/>
    </s:row>
    <s:row r="29034" hidden="1" ht="1" customHeight="1">
      <s:c r="A29034" s="120" t="inlineStr"/>
      <s:c r="B29034" s="121" t="n"/>
      <s:c r="C29034" s="121" t="n"/>
      <s:c r="D29034" s="121" t="n"/>
      <s:c r="E29034" s="122" t="n"/>
    </s:row>
    <s:row r="29035" hidden="1" ht="1" customHeight="1">
      <s:c r="A29035" s="120" t="inlineStr"/>
      <s:c r="B29035" s="121" t="n"/>
      <s:c r="C29035" s="121" t="n"/>
      <s:c r="D29035" s="121" t="n"/>
      <s:c r="E29035" s="122" t="n"/>
    </s:row>
    <s:row r="29036" hidden="1" ht="1" customHeight="1">
      <s:c r="A29036" s="120" t="inlineStr"/>
      <s:c r="B29036" s="121" t="n"/>
      <s:c r="C29036" s="121" t="n"/>
      <s:c r="D29036" s="121" t="n"/>
      <s:c r="E29036" s="122" t="n"/>
    </s:row>
    <s:row r="29037" hidden="1" ht="1" customHeight="1">
      <s:c r="A29037" s="120" t="inlineStr"/>
      <s:c r="B29037" s="121" t="n"/>
      <s:c r="C29037" s="121" t="n"/>
      <s:c r="D29037" s="121" t="n"/>
      <s:c r="E29037" s="122" t="n"/>
    </s:row>
    <s:row r="29038" hidden="1" ht="1" customHeight="1">
      <s:c r="A29038" s="120" t="inlineStr"/>
      <s:c r="B29038" s="121" t="n"/>
      <s:c r="C29038" s="121" t="n"/>
      <s:c r="D29038" s="121" t="n"/>
      <s:c r="E29038" s="122" t="n"/>
    </s:row>
    <s:row r="29039" hidden="1" ht="1" customHeight="1">
      <s:c r="A29039" s="120" t="inlineStr"/>
      <s:c r="B29039" s="121" t="n"/>
      <s:c r="C29039" s="121" t="n"/>
      <s:c r="D29039" s="121" t="n"/>
      <s:c r="E29039" s="122" t="n"/>
    </s:row>
    <s:row r="29040" hidden="1" ht="1" customHeight="1">
      <s:c r="A29040" s="120" t="inlineStr"/>
      <s:c r="B29040" s="121" t="n"/>
      <s:c r="C29040" s="121" t="n"/>
      <s:c r="D29040" s="121" t="n"/>
      <s:c r="E29040" s="122" t="n"/>
    </s:row>
    <s:row r="29041" hidden="1" ht="1" customHeight="1">
      <s:c r="A29041" s="120" t="inlineStr"/>
      <s:c r="B29041" s="121" t="n"/>
      <s:c r="C29041" s="121" t="n"/>
      <s:c r="D29041" s="121" t="n"/>
      <s:c r="E29041" s="122" t="n"/>
    </s:row>
    <s:row r="29042" hidden="1" ht="1" customHeight="1">
      <s:c r="A29042" s="120" t="inlineStr"/>
      <s:c r="B29042" s="121" t="n"/>
      <s:c r="C29042" s="121" t="n"/>
      <s:c r="D29042" s="121" t="n"/>
      <s:c r="E29042" s="122" t="n"/>
    </s:row>
    <s:row r="29043" hidden="1" ht="1" customHeight="1">
      <s:c r="A29043" s="120" t="inlineStr"/>
      <s:c r="B29043" s="121" t="n"/>
      <s:c r="C29043" s="121" t="n"/>
      <s:c r="D29043" s="121" t="n"/>
      <s:c r="E29043" s="122" t="n"/>
    </s:row>
    <s:row r="29044" hidden="1" ht="1" customHeight="1">
      <s:c r="A29044" s="120" t="inlineStr"/>
      <s:c r="B29044" s="121" t="n"/>
      <s:c r="C29044" s="121" t="n"/>
      <s:c r="D29044" s="121" t="n"/>
      <s:c r="E29044" s="122" t="n"/>
    </s:row>
    <s:row r="29045" hidden="1" ht="1" customHeight="1">
      <s:c r="A29045" s="120" t="inlineStr"/>
      <s:c r="B29045" s="121" t="n"/>
      <s:c r="C29045" s="121" t="n"/>
      <s:c r="D29045" s="121" t="n"/>
      <s:c r="E29045" s="122" t="n"/>
    </s:row>
    <s:row r="29046" hidden="1" ht="1" customHeight="1">
      <s:c r="A29046" s="120" t="inlineStr"/>
      <s:c r="B29046" s="121" t="n"/>
      <s:c r="C29046" s="121" t="n"/>
      <s:c r="D29046" s="121" t="n"/>
      <s:c r="E29046" s="122" t="n"/>
    </s:row>
    <s:row r="29047" hidden="1" ht="1" customHeight="1">
      <s:c r="A29047" s="120" t="inlineStr"/>
      <s:c r="B29047" s="121" t="n"/>
      <s:c r="C29047" s="121" t="n"/>
      <s:c r="D29047" s="121" t="n"/>
      <s:c r="E29047" s="122" t="n"/>
    </s:row>
    <s:row r="29048" hidden="1" ht="1" customHeight="1">
      <s:c r="A29048" s="120" t="inlineStr"/>
      <s:c r="B29048" s="121" t="n"/>
      <s:c r="C29048" s="121" t="n"/>
      <s:c r="D29048" s="121" t="n"/>
      <s:c r="E29048" s="122" t="n"/>
    </s:row>
    <s:row r="29049" hidden="1" ht="1" customHeight="1">
      <s:c r="A29049" s="120" t="inlineStr"/>
      <s:c r="B29049" s="121" t="n"/>
      <s:c r="C29049" s="121" t="n"/>
      <s:c r="D29049" s="121" t="n"/>
      <s:c r="E29049" s="122" t="n"/>
    </s:row>
    <s:row r="29050" hidden="1" ht="1" customHeight="1">
      <s:c r="A29050" s="120" t="inlineStr"/>
      <s:c r="B29050" s="121" t="n"/>
      <s:c r="C29050" s="121" t="n"/>
      <s:c r="D29050" s="121" t="n"/>
      <s:c r="E29050" s="122" t="n"/>
    </s:row>
    <s:row r="29051" hidden="1" ht="1" customHeight="1">
      <s:c r="A29051" s="120" t="inlineStr"/>
      <s:c r="B29051" s="121" t="n"/>
      <s:c r="C29051" s="121" t="n"/>
      <s:c r="D29051" s="121" t="n"/>
      <s:c r="E29051" s="122" t="n"/>
    </s:row>
    <s:row r="29052" hidden="1" ht="1" customHeight="1">
      <s:c r="A29052" s="120" t="inlineStr"/>
      <s:c r="B29052" s="121" t="n"/>
      <s:c r="C29052" s="121" t="n"/>
      <s:c r="D29052" s="121" t="n"/>
      <s:c r="E29052" s="122" t="n"/>
    </s:row>
    <s:row r="29053" hidden="1" ht="1" customHeight="1">
      <s:c r="A29053" s="120" t="inlineStr"/>
      <s:c r="B29053" s="121" t="n"/>
      <s:c r="C29053" s="121" t="n"/>
      <s:c r="D29053" s="121" t="n"/>
      <s:c r="E29053" s="122" t="n"/>
    </s:row>
    <s:row r="29054" hidden="1" ht="1" customHeight="1">
      <s:c r="A29054" s="120" t="inlineStr"/>
      <s:c r="B29054" s="121" t="n"/>
      <s:c r="C29054" s="121" t="n"/>
      <s:c r="D29054" s="121" t="n"/>
      <s:c r="E29054" s="122" t="n"/>
    </s:row>
    <s:row r="29055" hidden="1" ht="1" customHeight="1">
      <s:c r="A29055" s="120" t="inlineStr"/>
      <s:c r="B29055" s="121" t="n"/>
      <s:c r="C29055" s="121" t="n"/>
      <s:c r="D29055" s="121" t="n"/>
      <s:c r="E29055" s="122" t="n"/>
    </s:row>
    <s:row r="29056" hidden="1" ht="1" customHeight="1">
      <s:c r="A29056" s="120" t="inlineStr"/>
      <s:c r="B29056" s="121" t="n"/>
      <s:c r="C29056" s="121" t="n"/>
      <s:c r="D29056" s="121" t="n"/>
      <s:c r="E29056" s="122" t="n"/>
    </s:row>
    <s:row r="29057" hidden="1" ht="1" customHeight="1">
      <s:c r="A29057" s="120" t="inlineStr"/>
      <s:c r="B29057" s="121" t="n"/>
      <s:c r="C29057" s="121" t="n"/>
      <s:c r="D29057" s="121" t="n"/>
      <s:c r="E29057" s="122" t="n"/>
    </s:row>
    <s:row r="29058" hidden="1" ht="1" customHeight="1">
      <s:c r="A29058" s="120" t="inlineStr"/>
      <s:c r="B29058" s="121" t="n"/>
      <s:c r="C29058" s="121" t="n"/>
      <s:c r="D29058" s="121" t="n"/>
      <s:c r="E29058" s="122" t="n"/>
    </s:row>
    <s:row r="29059" hidden="1" ht="1" customHeight="1">
      <s:c r="A29059" s="120" t="inlineStr"/>
      <s:c r="B29059" s="121" t="n"/>
      <s:c r="C29059" s="121" t="n"/>
      <s:c r="D29059" s="121" t="n"/>
      <s:c r="E29059" s="122" t="n"/>
    </s:row>
    <s:row r="29060" hidden="1" ht="1" customHeight="1">
      <s:c r="A29060" s="120" t="inlineStr"/>
      <s:c r="B29060" s="121" t="n"/>
      <s:c r="C29060" s="121" t="n"/>
      <s:c r="D29060" s="121" t="n"/>
      <s:c r="E29060" s="122" t="n"/>
    </s:row>
    <s:row r="29061" hidden="1" ht="1" customHeight="1">
      <s:c r="A29061" s="120" t="inlineStr"/>
      <s:c r="B29061" s="121" t="n"/>
      <s:c r="C29061" s="121" t="n"/>
      <s:c r="D29061" s="121" t="n"/>
      <s:c r="E29061" s="122" t="n"/>
    </s:row>
    <s:row r="29062" hidden="1" ht="1" customHeight="1">
      <s:c r="A29062" s="120" t="inlineStr"/>
      <s:c r="B29062" s="121" t="n"/>
      <s:c r="C29062" s="121" t="n"/>
      <s:c r="D29062" s="121" t="n"/>
      <s:c r="E29062" s="122" t="n"/>
    </s:row>
    <s:row r="29063" hidden="1" ht="1" customHeight="1">
      <s:c r="A29063" s="120" t="inlineStr"/>
      <s:c r="B29063" s="121" t="n"/>
      <s:c r="C29063" s="121" t="n"/>
      <s:c r="D29063" s="121" t="n"/>
      <s:c r="E29063" s="122" t="n"/>
    </s:row>
    <s:row r="29064" hidden="1" ht="1" customHeight="1">
      <s:c r="A29064" s="120" t="inlineStr"/>
      <s:c r="B29064" s="121" t="n"/>
      <s:c r="C29064" s="121" t="n"/>
      <s:c r="D29064" s="121" t="n"/>
      <s:c r="E29064" s="122" t="n"/>
    </s:row>
    <s:row r="29065" hidden="1" ht="1" customHeight="1">
      <s:c r="A29065" s="120" t="inlineStr"/>
      <s:c r="B29065" s="121" t="n"/>
      <s:c r="C29065" s="121" t="n"/>
      <s:c r="D29065" s="121" t="n"/>
      <s:c r="E29065" s="122" t="n"/>
    </s:row>
    <s:row r="29066" hidden="1" ht="1" customHeight="1">
      <s:c r="A29066" s="120" t="inlineStr"/>
      <s:c r="B29066" s="121" t="n"/>
      <s:c r="C29066" s="121" t="n"/>
      <s:c r="D29066" s="121" t="n"/>
      <s:c r="E29066" s="122" t="n"/>
    </s:row>
    <s:row r="29067" hidden="1" ht="1" customHeight="1">
      <s:c r="A29067" s="120" t="inlineStr"/>
      <s:c r="B29067" s="121" t="n"/>
      <s:c r="C29067" s="121" t="n"/>
      <s:c r="D29067" s="121" t="n"/>
      <s:c r="E29067" s="122" t="n"/>
    </s:row>
    <s:row r="29068" hidden="1" ht="1" customHeight="1">
      <s:c r="A29068" s="120" t="inlineStr"/>
      <s:c r="B29068" s="121" t="n"/>
      <s:c r="C29068" s="121" t="n"/>
      <s:c r="D29068" s="121" t="n"/>
      <s:c r="E29068" s="122" t="n"/>
    </s:row>
    <s:row r="29069" hidden="1" ht="1" customHeight="1">
      <s:c r="A29069" s="120" t="inlineStr"/>
      <s:c r="B29069" s="121" t="n"/>
      <s:c r="C29069" s="121" t="n"/>
      <s:c r="D29069" s="121" t="n"/>
      <s:c r="E29069" s="122" t="n"/>
    </s:row>
    <s:row r="29070" hidden="1" ht="1" customHeight="1">
      <s:c r="A29070" s="120" t="inlineStr"/>
      <s:c r="B29070" s="121" t="n"/>
      <s:c r="C29070" s="121" t="n"/>
      <s:c r="D29070" s="121" t="n"/>
      <s:c r="E29070" s="122" t="n"/>
    </s:row>
    <s:row r="29071" hidden="1" ht="1" customHeight="1">
      <s:c r="A29071" s="120" t="inlineStr"/>
      <s:c r="B29071" s="121" t="n"/>
      <s:c r="C29071" s="121" t="n"/>
      <s:c r="D29071" s="121" t="n"/>
      <s:c r="E29071" s="122" t="n"/>
    </s:row>
    <s:row r="29072" hidden="1" ht="1" customHeight="1">
      <s:c r="A29072" s="120" t="inlineStr"/>
      <s:c r="B29072" s="121" t="n"/>
      <s:c r="C29072" s="121" t="n"/>
      <s:c r="D29072" s="121" t="n"/>
      <s:c r="E29072" s="122" t="n"/>
    </s:row>
    <s:row r="29073" hidden="1" ht="1" customHeight="1">
      <s:c r="A29073" s="120" t="inlineStr"/>
      <s:c r="B29073" s="121" t="n"/>
      <s:c r="C29073" s="121" t="n"/>
      <s:c r="D29073" s="121" t="n"/>
      <s:c r="E29073" s="122" t="n"/>
    </s:row>
    <s:row r="29074" hidden="1" ht="1" customHeight="1">
      <s:c r="A29074" s="120" t="inlineStr"/>
      <s:c r="B29074" s="121" t="n"/>
      <s:c r="C29074" s="121" t="n"/>
      <s:c r="D29074" s="121" t="n"/>
      <s:c r="E29074" s="122" t="n"/>
    </s:row>
    <s:row r="29075" hidden="1" ht="1" customHeight="1">
      <s:c r="A29075" s="120" t="inlineStr"/>
      <s:c r="B29075" s="121" t="n"/>
      <s:c r="C29075" s="121" t="n"/>
      <s:c r="D29075" s="121" t="n"/>
      <s:c r="E29075" s="122" t="n"/>
    </s:row>
    <s:row r="29076" hidden="1" ht="1" customHeight="1">
      <s:c r="A29076" s="120" t="inlineStr"/>
      <s:c r="B29076" s="121" t="n"/>
      <s:c r="C29076" s="121" t="n"/>
      <s:c r="D29076" s="121" t="n"/>
      <s:c r="E29076" s="122" t="n"/>
    </s:row>
    <s:row r="29077" hidden="1" ht="1" customHeight="1">
      <s:c r="A29077" s="120" t="inlineStr"/>
      <s:c r="B29077" s="121" t="n"/>
      <s:c r="C29077" s="121" t="n"/>
      <s:c r="D29077" s="121" t="n"/>
      <s:c r="E29077" s="122" t="n"/>
    </s:row>
    <s:row r="29078" hidden="1" ht="1" customHeight="1">
      <s:c r="A29078" s="120" t="inlineStr"/>
      <s:c r="B29078" s="121" t="n"/>
      <s:c r="C29078" s="121" t="n"/>
      <s:c r="D29078" s="121" t="n"/>
      <s:c r="E29078" s="122" t="n"/>
    </s:row>
    <s:row r="29079" hidden="1" ht="1" customHeight="1">
      <s:c r="A29079" s="120" t="inlineStr"/>
      <s:c r="B29079" s="121" t="n"/>
      <s:c r="C29079" s="121" t="n"/>
      <s:c r="D29079" s="121" t="n"/>
      <s:c r="E29079" s="122" t="n"/>
    </s:row>
    <s:row r="29080" hidden="1" ht="1" customHeight="1">
      <s:c r="A29080" s="120" t="inlineStr"/>
      <s:c r="B29080" s="121" t="n"/>
      <s:c r="C29080" s="121" t="n"/>
      <s:c r="D29080" s="121" t="n"/>
      <s:c r="E29080" s="122" t="n"/>
    </s:row>
    <s:row r="29081" hidden="1" ht="1" customHeight="1">
      <s:c r="A29081" s="120" t="inlineStr"/>
      <s:c r="B29081" s="121" t="n"/>
      <s:c r="C29081" s="121" t="n"/>
      <s:c r="D29081" s="121" t="n"/>
      <s:c r="E29081" s="122" t="n"/>
    </s:row>
    <s:row r="29082" hidden="1" ht="1" customHeight="1">
      <s:c r="A29082" s="120" t="inlineStr"/>
      <s:c r="B29082" s="121" t="n"/>
      <s:c r="C29082" s="121" t="n"/>
      <s:c r="D29082" s="121" t="n"/>
      <s:c r="E29082" s="122" t="n"/>
    </s:row>
    <s:row r="29083" hidden="1" ht="1" customHeight="1">
      <s:c r="A29083" s="120" t="inlineStr"/>
      <s:c r="B29083" s="121" t="n"/>
      <s:c r="C29083" s="121" t="n"/>
      <s:c r="D29083" s="121" t="n"/>
      <s:c r="E29083" s="122" t="n"/>
    </s:row>
    <s:row r="29084" hidden="1" ht="1" customHeight="1">
      <s:c r="A29084" s="120" t="inlineStr"/>
      <s:c r="B29084" s="121" t="n"/>
      <s:c r="C29084" s="121" t="n"/>
      <s:c r="D29084" s="121" t="n"/>
      <s:c r="E29084" s="122" t="n"/>
    </s:row>
    <s:row r="29085" hidden="1" ht="1" customHeight="1">
      <s:c r="A29085" s="120" t="inlineStr"/>
      <s:c r="B29085" s="121" t="n"/>
      <s:c r="C29085" s="121" t="n"/>
      <s:c r="D29085" s="121" t="n"/>
      <s:c r="E29085" s="122" t="n"/>
    </s:row>
    <s:row r="29086" hidden="1" ht="1" customHeight="1">
      <s:c r="A29086" s="120" t="inlineStr"/>
      <s:c r="B29086" s="121" t="n"/>
      <s:c r="C29086" s="121" t="n"/>
      <s:c r="D29086" s="121" t="n"/>
      <s:c r="E29086" s="122" t="n"/>
    </s:row>
    <s:row r="29087" hidden="1" ht="1" customHeight="1">
      <s:c r="A29087" s="120" t="inlineStr"/>
      <s:c r="B29087" s="121" t="n"/>
      <s:c r="C29087" s="121" t="n"/>
      <s:c r="D29087" s="121" t="n"/>
      <s:c r="E29087" s="122" t="n"/>
    </s:row>
    <s:row r="29088" hidden="1" ht="1" customHeight="1">
      <s:c r="A29088" s="120" t="inlineStr"/>
      <s:c r="B29088" s="121" t="n"/>
      <s:c r="C29088" s="121" t="n"/>
      <s:c r="D29088" s="121" t="n"/>
      <s:c r="E29088" s="122" t="n"/>
    </s:row>
    <s:row r="29089" hidden="1" ht="1" customHeight="1">
      <s:c r="A29089" s="120" t="inlineStr"/>
      <s:c r="B29089" s="121" t="n"/>
      <s:c r="C29089" s="121" t="n"/>
      <s:c r="D29089" s="121" t="n"/>
      <s:c r="E29089" s="122" t="n"/>
    </s:row>
    <s:row r="29090" hidden="1" ht="1" customHeight="1">
      <s:c r="A29090" s="120" t="inlineStr"/>
      <s:c r="B29090" s="121" t="n"/>
      <s:c r="C29090" s="121" t="n"/>
      <s:c r="D29090" s="121" t="n"/>
      <s:c r="E29090" s="122" t="n"/>
    </s:row>
    <s:row r="29091" hidden="1" ht="1" customHeight="1">
      <s:c r="A29091" s="120" t="inlineStr"/>
      <s:c r="B29091" s="121" t="n"/>
      <s:c r="C29091" s="121" t="n"/>
      <s:c r="D29091" s="121" t="n"/>
      <s:c r="E29091" s="122" t="n"/>
    </s:row>
    <s:row r="29092" hidden="1" ht="1" customHeight="1">
      <s:c r="A29092" s="120" t="inlineStr"/>
      <s:c r="B29092" s="121" t="n"/>
      <s:c r="C29092" s="121" t="n"/>
      <s:c r="D29092" s="121" t="n"/>
      <s:c r="E29092" s="122" t="n"/>
    </s:row>
    <s:row r="29093" hidden="1" ht="1" customHeight="1">
      <s:c r="A29093" s="120" t="inlineStr"/>
      <s:c r="B29093" s="121" t="n"/>
      <s:c r="C29093" s="121" t="n"/>
      <s:c r="D29093" s="121" t="n"/>
      <s:c r="E29093" s="122" t="n"/>
    </s:row>
    <s:row r="29094" hidden="1" ht="1" customHeight="1">
      <s:c r="A29094" s="120" t="inlineStr"/>
      <s:c r="B29094" s="121" t="n"/>
      <s:c r="C29094" s="121" t="n"/>
      <s:c r="D29094" s="121" t="n"/>
      <s:c r="E29094" s="122" t="n"/>
    </s:row>
    <s:row r="29095" hidden="1" ht="1" customHeight="1">
      <s:c r="A29095" s="120" t="inlineStr"/>
      <s:c r="B29095" s="121" t="n"/>
      <s:c r="C29095" s="121" t="n"/>
      <s:c r="D29095" s="121" t="n"/>
      <s:c r="E29095" s="122" t="n"/>
    </s:row>
    <s:row r="29096" hidden="1" ht="1" customHeight="1">
      <s:c r="A29096" s="120" t="inlineStr"/>
      <s:c r="B29096" s="121" t="n"/>
      <s:c r="C29096" s="121" t="n"/>
      <s:c r="D29096" s="121" t="n"/>
      <s:c r="E29096" s="122" t="n"/>
    </s:row>
    <s:row r="29097" hidden="1" ht="1" customHeight="1">
      <s:c r="A29097" s="120" t="inlineStr"/>
      <s:c r="B29097" s="121" t="n"/>
      <s:c r="C29097" s="121" t="n"/>
      <s:c r="D29097" s="121" t="n"/>
      <s:c r="E29097" s="122" t="n"/>
    </s:row>
    <s:row r="29098" hidden="1" ht="1" customHeight="1">
      <s:c r="A29098" s="120" t="inlineStr"/>
      <s:c r="B29098" s="121" t="n"/>
      <s:c r="C29098" s="121" t="n"/>
      <s:c r="D29098" s="121" t="n"/>
      <s:c r="E29098" s="122" t="n"/>
    </s:row>
    <s:row r="29099" hidden="1" ht="1" customHeight="1">
      <s:c r="A29099" s="120" t="inlineStr"/>
      <s:c r="B29099" s="121" t="n"/>
      <s:c r="C29099" s="121" t="n"/>
      <s:c r="D29099" s="121" t="n"/>
      <s:c r="E29099" s="122" t="n"/>
    </s:row>
    <s:row r="29100" hidden="1" ht="1" customHeight="1">
      <s:c r="A29100" s="120" t="inlineStr"/>
      <s:c r="B29100" s="121" t="n"/>
      <s:c r="C29100" s="121" t="n"/>
      <s:c r="D29100" s="121" t="n"/>
      <s:c r="E29100" s="122" t="n"/>
    </s:row>
    <s:row r="29101" hidden="1" ht="1" customHeight="1">
      <s:c r="A29101" s="120" t="inlineStr"/>
      <s:c r="B29101" s="121" t="n"/>
      <s:c r="C29101" s="121" t="n"/>
      <s:c r="D29101" s="121" t="n"/>
      <s:c r="E29101" s="122" t="n"/>
    </s:row>
    <s:row r="29102" hidden="1" ht="1" customHeight="1">
      <s:c r="A29102" s="120" t="inlineStr"/>
      <s:c r="B29102" s="121" t="n"/>
      <s:c r="C29102" s="121" t="n"/>
      <s:c r="D29102" s="121" t="n"/>
      <s:c r="E29102" s="122" t="n"/>
    </s:row>
    <s:row r="29103" hidden="1" ht="1" customHeight="1">
      <s:c r="A29103" s="120" t="inlineStr"/>
      <s:c r="B29103" s="121" t="n"/>
      <s:c r="C29103" s="121" t="n"/>
      <s:c r="D29103" s="121" t="n"/>
      <s:c r="E29103" s="122" t="n"/>
    </s:row>
    <s:row r="29104" hidden="1" ht="1" customHeight="1">
      <s:c r="A29104" s="120" t="inlineStr"/>
      <s:c r="B29104" s="121" t="n"/>
      <s:c r="C29104" s="121" t="n"/>
      <s:c r="D29104" s="121" t="n"/>
      <s:c r="E29104" s="122" t="n"/>
    </s:row>
    <s:row r="29105" hidden="1" ht="1" customHeight="1">
      <s:c r="A29105" s="120" t="inlineStr"/>
      <s:c r="B29105" s="121" t="n"/>
      <s:c r="C29105" s="121" t="n"/>
      <s:c r="D29105" s="121" t="n"/>
      <s:c r="E29105" s="122" t="n"/>
    </s:row>
    <s:row r="29106" hidden="1" ht="1" customHeight="1">
      <s:c r="A29106" s="120" t="inlineStr"/>
      <s:c r="B29106" s="121" t="n"/>
      <s:c r="C29106" s="121" t="n"/>
      <s:c r="D29106" s="121" t="n"/>
      <s:c r="E29106" s="122" t="n"/>
    </s:row>
    <s:row r="29107" hidden="1" ht="1" customHeight="1">
      <s:c r="A29107" s="120" t="inlineStr"/>
      <s:c r="B29107" s="121" t="n"/>
      <s:c r="C29107" s="121" t="n"/>
      <s:c r="D29107" s="121" t="n"/>
      <s:c r="E29107" s="122" t="n"/>
    </s:row>
    <s:row r="29108" hidden="1" ht="1" customHeight="1">
      <s:c r="A29108" s="120" t="inlineStr"/>
      <s:c r="B29108" s="121" t="n"/>
      <s:c r="C29108" s="121" t="n"/>
      <s:c r="D29108" s="121" t="n"/>
      <s:c r="E29108" s="122" t="n"/>
    </s:row>
    <s:row r="29109" hidden="1" ht="1" customHeight="1">
      <s:c r="A29109" s="120" t="inlineStr"/>
      <s:c r="B29109" s="121" t="n"/>
      <s:c r="C29109" s="121" t="n"/>
      <s:c r="D29109" s="121" t="n"/>
      <s:c r="E29109" s="122" t="n"/>
    </s:row>
    <s:row r="29110" hidden="1" ht="1" customHeight="1">
      <s:c r="A29110" s="120" t="inlineStr"/>
      <s:c r="B29110" s="121" t="n"/>
      <s:c r="C29110" s="121" t="n"/>
      <s:c r="D29110" s="121" t="n"/>
      <s:c r="E29110" s="122" t="n"/>
    </s:row>
    <s:row r="29111" hidden="1" ht="1" customHeight="1">
      <s:c r="A29111" s="120" t="inlineStr"/>
      <s:c r="B29111" s="121" t="n"/>
      <s:c r="C29111" s="121" t="n"/>
      <s:c r="D29111" s="121" t="n"/>
      <s:c r="E29111" s="122" t="n"/>
    </s:row>
    <s:row r="29112" hidden="1" ht="1" customHeight="1">
      <s:c r="A29112" s="120" t="inlineStr"/>
      <s:c r="B29112" s="121" t="n"/>
      <s:c r="C29112" s="121" t="n"/>
      <s:c r="D29112" s="121" t="n"/>
      <s:c r="E29112" s="122" t="n"/>
    </s:row>
    <s:row r="29113" hidden="1" ht="1" customHeight="1">
      <s:c r="A29113" s="120" t="inlineStr"/>
      <s:c r="B29113" s="121" t="n"/>
      <s:c r="C29113" s="121" t="n"/>
      <s:c r="D29113" s="121" t="n"/>
      <s:c r="E29113" s="122" t="n"/>
    </s:row>
    <s:row r="29114" hidden="1" ht="1" customHeight="1">
      <s:c r="A29114" s="120" t="inlineStr"/>
      <s:c r="B29114" s="121" t="n"/>
      <s:c r="C29114" s="121" t="n"/>
      <s:c r="D29114" s="121" t="n"/>
      <s:c r="E29114" s="122" t="n"/>
    </s:row>
    <s:row r="29115" hidden="1" ht="1" customHeight="1">
      <s:c r="A29115" s="120" t="inlineStr"/>
      <s:c r="B29115" s="121" t="n"/>
      <s:c r="C29115" s="121" t="n"/>
      <s:c r="D29115" s="121" t="n"/>
      <s:c r="E29115" s="122" t="n"/>
    </s:row>
    <s:row r="29116" hidden="1" ht="1" customHeight="1">
      <s:c r="A29116" s="120" t="inlineStr"/>
      <s:c r="B29116" s="121" t="n"/>
      <s:c r="C29116" s="121" t="n"/>
      <s:c r="D29116" s="121" t="n"/>
      <s:c r="E29116" s="122" t="n"/>
    </s:row>
    <s:row r="29117" hidden="1" ht="1" customHeight="1">
      <s:c r="A29117" s="120" t="inlineStr"/>
      <s:c r="B29117" s="121" t="n"/>
      <s:c r="C29117" s="121" t="n"/>
      <s:c r="D29117" s="121" t="n"/>
      <s:c r="E29117" s="122" t="n"/>
    </s:row>
    <s:row r="29118" hidden="1" ht="1" customHeight="1">
      <s:c r="A29118" s="120" t="inlineStr"/>
      <s:c r="B29118" s="121" t="n"/>
      <s:c r="C29118" s="121" t="n"/>
      <s:c r="D29118" s="121" t="n"/>
      <s:c r="E29118" s="122" t="n"/>
    </s:row>
    <s:row r="29119" hidden="1" ht="1" customHeight="1">
      <s:c r="A29119" s="120" t="inlineStr"/>
      <s:c r="B29119" s="121" t="n"/>
      <s:c r="C29119" s="121" t="n"/>
      <s:c r="D29119" s="121" t="n"/>
      <s:c r="E29119" s="122" t="n"/>
    </s:row>
    <s:row r="29120" hidden="1" ht="1" customHeight="1">
      <s:c r="A29120" s="120" t="inlineStr"/>
      <s:c r="B29120" s="121" t="n"/>
      <s:c r="C29120" s="121" t="n"/>
      <s:c r="D29120" s="121" t="n"/>
      <s:c r="E29120" s="122" t="n"/>
    </s:row>
    <s:row r="29121" hidden="1" ht="1" customHeight="1">
      <s:c r="A29121" s="120" t="inlineStr"/>
      <s:c r="B29121" s="121" t="n"/>
      <s:c r="C29121" s="121" t="n"/>
      <s:c r="D29121" s="121" t="n"/>
      <s:c r="E29121" s="122" t="n"/>
    </s:row>
    <s:row r="29122" hidden="1" ht="1" customHeight="1">
      <s:c r="A29122" s="120" t="inlineStr"/>
      <s:c r="B29122" s="121" t="n"/>
      <s:c r="C29122" s="121" t="n"/>
      <s:c r="D29122" s="121" t="n"/>
      <s:c r="E29122" s="122" t="n"/>
    </s:row>
    <s:row r="29123" hidden="1" ht="1" customHeight="1">
      <s:c r="A29123" s="120" t="inlineStr"/>
      <s:c r="B29123" s="121" t="n"/>
      <s:c r="C29123" s="121" t="n"/>
      <s:c r="D29123" s="121" t="n"/>
      <s:c r="E29123" s="122" t="n"/>
    </s:row>
    <s:row r="29124" hidden="1" ht="1" customHeight="1">
      <s:c r="A29124" s="120" t="inlineStr"/>
      <s:c r="B29124" s="121" t="n"/>
      <s:c r="C29124" s="121" t="n"/>
      <s:c r="D29124" s="121" t="n"/>
      <s:c r="E29124" s="122" t="n"/>
    </s:row>
    <s:row r="29125" hidden="1" ht="1" customHeight="1">
      <s:c r="A29125" s="120" t="inlineStr"/>
      <s:c r="B29125" s="121" t="n"/>
      <s:c r="C29125" s="121" t="n"/>
      <s:c r="D29125" s="121" t="n"/>
      <s:c r="E29125" s="122" t="n"/>
    </s:row>
    <s:row r="29126" hidden="1" ht="1" customHeight="1">
      <s:c r="A29126" s="120" t="inlineStr"/>
      <s:c r="B29126" s="121" t="n"/>
      <s:c r="C29126" s="121" t="n"/>
      <s:c r="D29126" s="121" t="n"/>
      <s:c r="E29126" s="122" t="n"/>
    </s:row>
    <s:row r="29127" hidden="1" ht="1" customHeight="1">
      <s:c r="A29127" s="120" t="inlineStr"/>
      <s:c r="B29127" s="121" t="n"/>
      <s:c r="C29127" s="121" t="n"/>
      <s:c r="D29127" s="121" t="n"/>
      <s:c r="E29127" s="122" t="n"/>
    </s:row>
    <s:row r="29128" hidden="1" ht="1" customHeight="1">
      <s:c r="A29128" s="120" t="inlineStr"/>
      <s:c r="B29128" s="121" t="n"/>
      <s:c r="C29128" s="121" t="n"/>
      <s:c r="D29128" s="121" t="n"/>
      <s:c r="E29128" s="122" t="n"/>
    </s:row>
    <s:row r="29129" hidden="1" ht="1" customHeight="1">
      <s:c r="A29129" s="120" t="inlineStr"/>
      <s:c r="B29129" s="121" t="n"/>
      <s:c r="C29129" s="121" t="n"/>
      <s:c r="D29129" s="121" t="n"/>
      <s:c r="E29129" s="122" t="n"/>
    </s:row>
    <s:row r="29130" hidden="1" ht="1" customHeight="1">
      <s:c r="A29130" s="120" t="inlineStr"/>
      <s:c r="B29130" s="121" t="n"/>
      <s:c r="C29130" s="121" t="n"/>
      <s:c r="D29130" s="121" t="n"/>
      <s:c r="E29130" s="122" t="n"/>
    </s:row>
    <s:row r="29131" hidden="1" ht="1" customHeight="1">
      <s:c r="A29131" s="120" t="inlineStr"/>
      <s:c r="B29131" s="121" t="n"/>
      <s:c r="C29131" s="121" t="n"/>
      <s:c r="D29131" s="121" t="n"/>
      <s:c r="E29131" s="122" t="n"/>
    </s:row>
    <s:row r="29132" hidden="1" ht="1" customHeight="1">
      <s:c r="A29132" s="120" t="inlineStr"/>
      <s:c r="B29132" s="121" t="n"/>
      <s:c r="C29132" s="121" t="n"/>
      <s:c r="D29132" s="121" t="n"/>
      <s:c r="E29132" s="122" t="n"/>
    </s:row>
    <s:row r="29133" hidden="1" ht="1" customHeight="1">
      <s:c r="A29133" s="120" t="inlineStr"/>
      <s:c r="B29133" s="121" t="n"/>
      <s:c r="C29133" s="121" t="n"/>
      <s:c r="D29133" s="121" t="n"/>
      <s:c r="E29133" s="122" t="n"/>
    </s:row>
    <s:row r="29134" hidden="1" ht="1" customHeight="1">
      <s:c r="A29134" s="120" t="inlineStr"/>
      <s:c r="B29134" s="121" t="n"/>
      <s:c r="C29134" s="121" t="n"/>
      <s:c r="D29134" s="121" t="n"/>
      <s:c r="E29134" s="122" t="n"/>
    </s:row>
    <s:row r="29135" hidden="1" ht="1" customHeight="1">
      <s:c r="A29135" s="120" t="inlineStr"/>
      <s:c r="B29135" s="121" t="n"/>
      <s:c r="C29135" s="121" t="n"/>
      <s:c r="D29135" s="121" t="n"/>
      <s:c r="E29135" s="122" t="n"/>
    </s:row>
    <s:row r="29136" hidden="1" ht="1" customHeight="1">
      <s:c r="A29136" s="120" t="inlineStr"/>
      <s:c r="B29136" s="121" t="n"/>
      <s:c r="C29136" s="121" t="n"/>
      <s:c r="D29136" s="121" t="n"/>
      <s:c r="E29136" s="122" t="n"/>
    </s:row>
    <s:row r="29137" hidden="1" ht="1" customHeight="1">
      <s:c r="A29137" s="120" t="inlineStr"/>
      <s:c r="B29137" s="121" t="n"/>
      <s:c r="C29137" s="121" t="n"/>
      <s:c r="D29137" s="121" t="n"/>
      <s:c r="E29137" s="122" t="n"/>
    </s:row>
    <s:row r="29138" hidden="1" ht="1" customHeight="1">
      <s:c r="A29138" s="120" t="inlineStr"/>
      <s:c r="B29138" s="121" t="n"/>
      <s:c r="C29138" s="121" t="n"/>
      <s:c r="D29138" s="121" t="n"/>
      <s:c r="E29138" s="122" t="n"/>
    </s:row>
    <s:row r="29139" hidden="1" ht="1" customHeight="1">
      <s:c r="A29139" s="120" t="inlineStr"/>
      <s:c r="B29139" s="121" t="n"/>
      <s:c r="C29139" s="121" t="n"/>
      <s:c r="D29139" s="121" t="n"/>
      <s:c r="E29139" s="122" t="n"/>
    </s:row>
    <s:row r="29140" hidden="1" ht="1" customHeight="1">
      <s:c r="A29140" s="120" t="inlineStr"/>
      <s:c r="B29140" s="121" t="n"/>
      <s:c r="C29140" s="121" t="n"/>
      <s:c r="D29140" s="121" t="n"/>
      <s:c r="E29140" s="122" t="n"/>
    </s:row>
    <s:row r="29141" hidden="1" ht="1" customHeight="1">
      <s:c r="A29141" s="120" t="inlineStr"/>
      <s:c r="B29141" s="121" t="n"/>
      <s:c r="C29141" s="121" t="n"/>
      <s:c r="D29141" s="121" t="n"/>
      <s:c r="E29141" s="122" t="n"/>
    </s:row>
    <s:row r="29142" hidden="1" ht="1" customHeight="1">
      <s:c r="A29142" s="120" t="inlineStr"/>
      <s:c r="B29142" s="121" t="n"/>
      <s:c r="C29142" s="121" t="n"/>
      <s:c r="D29142" s="121" t="n"/>
      <s:c r="E29142" s="122" t="n"/>
    </s:row>
    <s:row r="29143" hidden="1" ht="1" customHeight="1">
      <s:c r="A29143" s="120" t="inlineStr"/>
      <s:c r="B29143" s="121" t="n"/>
      <s:c r="C29143" s="121" t="n"/>
      <s:c r="D29143" s="121" t="n"/>
      <s:c r="E29143" s="122" t="n"/>
    </s:row>
    <s:row r="29144" hidden="1" ht="1" customHeight="1">
      <s:c r="A29144" s="120" t="inlineStr"/>
      <s:c r="B29144" s="121" t="n"/>
      <s:c r="C29144" s="121" t="n"/>
      <s:c r="D29144" s="121" t="n"/>
      <s:c r="E29144" s="122" t="n"/>
    </s:row>
    <s:row r="29145" hidden="1" ht="1" customHeight="1">
      <s:c r="A29145" s="120" t="inlineStr"/>
      <s:c r="B29145" s="121" t="n"/>
      <s:c r="C29145" s="121" t="n"/>
      <s:c r="D29145" s="121" t="n"/>
      <s:c r="E29145" s="122" t="n"/>
    </s:row>
    <s:row r="29146" hidden="1" ht="1" customHeight="1">
      <s:c r="A29146" s="120" t="inlineStr"/>
      <s:c r="B29146" s="121" t="n"/>
      <s:c r="C29146" s="121" t="n"/>
      <s:c r="D29146" s="121" t="n"/>
      <s:c r="E29146" s="122" t="n"/>
    </s:row>
    <s:row r="29147" hidden="1" ht="1" customHeight="1">
      <s:c r="A29147" s="120" t="inlineStr"/>
      <s:c r="B29147" s="121" t="n"/>
      <s:c r="C29147" s="121" t="n"/>
      <s:c r="D29147" s="121" t="n"/>
      <s:c r="E29147" s="122" t="n"/>
    </s:row>
    <s:row r="29148" hidden="1" ht="1" customHeight="1">
      <s:c r="A29148" s="120" t="inlineStr"/>
      <s:c r="B29148" s="121" t="n"/>
      <s:c r="C29148" s="121" t="n"/>
      <s:c r="D29148" s="121" t="n"/>
      <s:c r="E29148" s="122" t="n"/>
    </s:row>
    <s:row r="29149" hidden="1" ht="1" customHeight="1">
      <s:c r="A29149" s="120" t="inlineStr"/>
      <s:c r="B29149" s="121" t="n"/>
      <s:c r="C29149" s="121" t="n"/>
      <s:c r="D29149" s="121" t="n"/>
      <s:c r="E29149" s="122" t="n"/>
    </s:row>
    <s:row r="29150" hidden="1" ht="1" customHeight="1">
      <s:c r="A29150" s="120" t="inlineStr"/>
      <s:c r="B29150" s="121" t="n"/>
      <s:c r="C29150" s="121" t="n"/>
      <s:c r="D29150" s="121" t="n"/>
      <s:c r="E29150" s="122" t="n"/>
    </s:row>
    <s:row r="29151" hidden="1" ht="1" customHeight="1">
      <s:c r="A29151" s="120" t="inlineStr"/>
      <s:c r="B29151" s="121" t="n"/>
      <s:c r="C29151" s="121" t="n"/>
      <s:c r="D29151" s="121" t="n"/>
      <s:c r="E29151" s="122" t="n"/>
    </s:row>
    <s:row r="29152" hidden="1" ht="1" customHeight="1">
      <s:c r="A29152" s="120" t="inlineStr"/>
      <s:c r="B29152" s="121" t="n"/>
      <s:c r="C29152" s="121" t="n"/>
      <s:c r="D29152" s="121" t="n"/>
      <s:c r="E29152" s="122" t="n"/>
    </s:row>
    <s:row r="29153" hidden="1" ht="1" customHeight="1">
      <s:c r="A29153" s="120" t="inlineStr"/>
      <s:c r="B29153" s="121" t="n"/>
      <s:c r="C29153" s="121" t="n"/>
      <s:c r="D29153" s="121" t="n"/>
      <s:c r="E29153" s="122" t="n"/>
    </s:row>
    <s:row r="29154" hidden="1" ht="1" customHeight="1">
      <s:c r="A29154" s="120" t="inlineStr"/>
      <s:c r="B29154" s="121" t="n"/>
      <s:c r="C29154" s="121" t="n"/>
      <s:c r="D29154" s="121" t="n"/>
      <s:c r="E29154" s="122" t="n"/>
    </s:row>
    <s:row r="29155" hidden="1" ht="1" customHeight="1">
      <s:c r="A29155" s="120" t="inlineStr"/>
      <s:c r="B29155" s="121" t="n"/>
      <s:c r="C29155" s="121" t="n"/>
      <s:c r="D29155" s="121" t="n"/>
      <s:c r="E29155" s="122" t="n"/>
    </s:row>
    <s:row r="29156" hidden="1" ht="1" customHeight="1">
      <s:c r="A29156" s="120" t="inlineStr"/>
      <s:c r="B29156" s="121" t="n"/>
      <s:c r="C29156" s="121" t="n"/>
      <s:c r="D29156" s="121" t="n"/>
      <s:c r="E29156" s="122" t="n"/>
    </s:row>
    <s:row r="29157" hidden="1" ht="1" customHeight="1">
      <s:c r="A29157" s="120" t="inlineStr"/>
      <s:c r="B29157" s="121" t="n"/>
      <s:c r="C29157" s="121" t="n"/>
      <s:c r="D29157" s="121" t="n"/>
      <s:c r="E29157" s="122" t="n"/>
    </s:row>
    <s:row r="29158" hidden="1" ht="1" customHeight="1">
      <s:c r="A29158" s="120" t="inlineStr"/>
      <s:c r="B29158" s="121" t="n"/>
      <s:c r="C29158" s="121" t="n"/>
      <s:c r="D29158" s="121" t="n"/>
      <s:c r="E29158" s="122" t="n"/>
    </s:row>
    <s:row r="29159" hidden="1" ht="1" customHeight="1">
      <s:c r="A29159" s="120" t="inlineStr"/>
      <s:c r="B29159" s="121" t="n"/>
      <s:c r="C29159" s="121" t="n"/>
      <s:c r="D29159" s="121" t="n"/>
      <s:c r="E29159" s="122" t="n"/>
    </s:row>
    <s:row r="29160" hidden="1" ht="1" customHeight="1">
      <s:c r="A29160" s="120" t="inlineStr"/>
      <s:c r="B29160" s="121" t="n"/>
      <s:c r="C29160" s="121" t="n"/>
      <s:c r="D29160" s="121" t="n"/>
      <s:c r="E29160" s="122" t="n"/>
    </s:row>
    <s:row r="29161" hidden="1" ht="1" customHeight="1">
      <s:c r="A29161" s="120" t="inlineStr"/>
      <s:c r="B29161" s="121" t="n"/>
      <s:c r="C29161" s="121" t="n"/>
      <s:c r="D29161" s="121" t="n"/>
      <s:c r="E29161" s="122" t="n"/>
    </s:row>
    <s:row r="29162" hidden="1" ht="1" customHeight="1">
      <s:c r="A29162" s="120" t="inlineStr"/>
      <s:c r="B29162" s="121" t="n"/>
      <s:c r="C29162" s="121" t="n"/>
      <s:c r="D29162" s="121" t="n"/>
      <s:c r="E29162" s="122" t="n"/>
    </s:row>
    <s:row r="29163" hidden="1" ht="1" customHeight="1">
      <s:c r="A29163" s="120" t="inlineStr"/>
      <s:c r="B29163" s="121" t="n"/>
      <s:c r="C29163" s="121" t="n"/>
      <s:c r="D29163" s="121" t="n"/>
      <s:c r="E29163" s="122" t="n"/>
    </s:row>
    <s:row r="29164" hidden="1" ht="1" customHeight="1">
      <s:c r="A29164" s="120" t="inlineStr"/>
      <s:c r="B29164" s="121" t="n"/>
      <s:c r="C29164" s="121" t="n"/>
      <s:c r="D29164" s="121" t="n"/>
      <s:c r="E29164" s="122" t="n"/>
    </s:row>
    <s:row r="29165" hidden="1" ht="1" customHeight="1">
      <s:c r="A29165" s="120" t="inlineStr"/>
      <s:c r="B29165" s="121" t="n"/>
      <s:c r="C29165" s="121" t="n"/>
      <s:c r="D29165" s="121" t="n"/>
      <s:c r="E29165" s="122" t="n"/>
    </s:row>
    <s:row r="29166" hidden="1" ht="1" customHeight="1">
      <s:c r="A29166" s="120" t="inlineStr"/>
      <s:c r="B29166" s="121" t="n"/>
      <s:c r="C29166" s="121" t="n"/>
      <s:c r="D29166" s="121" t="n"/>
      <s:c r="E29166" s="122" t="n"/>
    </s:row>
    <s:row r="29167" hidden="1" ht="1" customHeight="1">
      <s:c r="A29167" s="120" t="inlineStr"/>
      <s:c r="B29167" s="121" t="n"/>
      <s:c r="C29167" s="121" t="n"/>
      <s:c r="D29167" s="121" t="n"/>
      <s:c r="E29167" s="122" t="n"/>
    </s:row>
    <s:row r="29168" hidden="1" ht="1" customHeight="1">
      <s:c r="A29168" s="120" t="inlineStr"/>
      <s:c r="B29168" s="121" t="n"/>
      <s:c r="C29168" s="121" t="n"/>
      <s:c r="D29168" s="121" t="n"/>
      <s:c r="E29168" s="122" t="n"/>
    </s:row>
    <s:row r="29169" hidden="1" ht="1" customHeight="1">
      <s:c r="A29169" s="120" t="inlineStr"/>
      <s:c r="B29169" s="121" t="n"/>
      <s:c r="C29169" s="121" t="n"/>
      <s:c r="D29169" s="121" t="n"/>
      <s:c r="E29169" s="122" t="n"/>
    </s:row>
    <s:row r="29170" hidden="1" ht="1" customHeight="1">
      <s:c r="A29170" s="120" t="inlineStr"/>
      <s:c r="B29170" s="121" t="n"/>
      <s:c r="C29170" s="121" t="n"/>
      <s:c r="D29170" s="121" t="n"/>
      <s:c r="E29170" s="122" t="n"/>
    </s:row>
    <s:row r="29171" hidden="1" ht="1" customHeight="1">
      <s:c r="A29171" s="120" t="inlineStr"/>
      <s:c r="B29171" s="121" t="n"/>
      <s:c r="C29171" s="121" t="n"/>
      <s:c r="D29171" s="121" t="n"/>
      <s:c r="E29171" s="122" t="n"/>
    </s:row>
    <s:row r="29172" hidden="1" ht="1" customHeight="1">
      <s:c r="A29172" s="120" t="inlineStr"/>
      <s:c r="B29172" s="121" t="n"/>
      <s:c r="C29172" s="121" t="n"/>
      <s:c r="D29172" s="121" t="n"/>
      <s:c r="E29172" s="122" t="n"/>
    </s:row>
    <s:row r="29173" hidden="1" ht="1" customHeight="1">
      <s:c r="A29173" s="120" t="inlineStr"/>
      <s:c r="B29173" s="121" t="n"/>
      <s:c r="C29173" s="121" t="n"/>
      <s:c r="D29173" s="121" t="n"/>
      <s:c r="E29173" s="122" t="n"/>
    </s:row>
    <s:row r="29174" hidden="1" ht="1" customHeight="1">
      <s:c r="A29174" s="120" t="inlineStr"/>
      <s:c r="B29174" s="121" t="n"/>
      <s:c r="C29174" s="121" t="n"/>
      <s:c r="D29174" s="121" t="n"/>
      <s:c r="E29174" s="122" t="n"/>
    </s:row>
    <s:row r="29175" hidden="1" ht="1" customHeight="1">
      <s:c r="A29175" s="120" t="inlineStr"/>
      <s:c r="B29175" s="121" t="n"/>
      <s:c r="C29175" s="121" t="n"/>
      <s:c r="D29175" s="121" t="n"/>
      <s:c r="E29175" s="122" t="n"/>
    </s:row>
    <s:row r="29176" hidden="1" ht="1" customHeight="1">
      <s:c r="A29176" s="120" t="inlineStr"/>
      <s:c r="B29176" s="121" t="n"/>
      <s:c r="C29176" s="121" t="n"/>
      <s:c r="D29176" s="121" t="n"/>
      <s:c r="E29176" s="122" t="n"/>
    </s:row>
    <s:row r="29177" hidden="1" ht="1" customHeight="1">
      <s:c r="A29177" s="120" t="inlineStr"/>
      <s:c r="B29177" s="121" t="n"/>
      <s:c r="C29177" s="121" t="n"/>
      <s:c r="D29177" s="121" t="n"/>
      <s:c r="E29177" s="122" t="n"/>
    </s:row>
    <s:row r="29178" hidden="1" ht="1" customHeight="1">
      <s:c r="A29178" s="120" t="inlineStr"/>
      <s:c r="B29178" s="121" t="n"/>
      <s:c r="C29178" s="121" t="n"/>
      <s:c r="D29178" s="121" t="n"/>
      <s:c r="E29178" s="122" t="n"/>
    </s:row>
    <s:row r="29179" hidden="1" ht="1" customHeight="1">
      <s:c r="A29179" s="120" t="inlineStr"/>
      <s:c r="B29179" s="121" t="n"/>
      <s:c r="C29179" s="121" t="n"/>
      <s:c r="D29179" s="121" t="n"/>
      <s:c r="E29179" s="122" t="n"/>
    </s:row>
    <s:row r="29180" hidden="1" ht="1" customHeight="1">
      <s:c r="A29180" s="120" t="inlineStr"/>
      <s:c r="B29180" s="121" t="n"/>
      <s:c r="C29180" s="121" t="n"/>
      <s:c r="D29180" s="121" t="n"/>
      <s:c r="E29180" s="122" t="n"/>
    </s:row>
    <s:row r="29181" hidden="1" ht="1" customHeight="1">
      <s:c r="A29181" s="120" t="inlineStr"/>
      <s:c r="B29181" s="121" t="n"/>
      <s:c r="C29181" s="121" t="n"/>
      <s:c r="D29181" s="121" t="n"/>
      <s:c r="E29181" s="122" t="n"/>
    </s:row>
    <s:row r="29182" hidden="1" ht="1" customHeight="1">
      <s:c r="A29182" s="120" t="inlineStr"/>
      <s:c r="B29182" s="121" t="n"/>
      <s:c r="C29182" s="121" t="n"/>
      <s:c r="D29182" s="121" t="n"/>
      <s:c r="E29182" s="122" t="n"/>
    </s:row>
    <s:row r="29183" hidden="1" ht="1" customHeight="1">
      <s:c r="A29183" s="120" t="inlineStr"/>
      <s:c r="B29183" s="121" t="n"/>
      <s:c r="C29183" s="121" t="n"/>
      <s:c r="D29183" s="121" t="n"/>
      <s:c r="E29183" s="122" t="n"/>
    </s:row>
    <s:row r="29184" hidden="1" ht="1" customHeight="1">
      <s:c r="A29184" s="120" t="inlineStr"/>
      <s:c r="B29184" s="121" t="n"/>
      <s:c r="C29184" s="121" t="n"/>
      <s:c r="D29184" s="121" t="n"/>
      <s:c r="E29184" s="122" t="n"/>
    </s:row>
    <s:row r="29185" hidden="1" ht="1" customHeight="1">
      <s:c r="A29185" s="120" t="inlineStr"/>
      <s:c r="B29185" s="121" t="n"/>
      <s:c r="C29185" s="121" t="n"/>
      <s:c r="D29185" s="121" t="n"/>
      <s:c r="E29185" s="122" t="n"/>
    </s:row>
    <s:row r="29186" hidden="1" ht="1" customHeight="1">
      <s:c r="A29186" s="120" t="inlineStr"/>
      <s:c r="B29186" s="121" t="n"/>
      <s:c r="C29186" s="121" t="n"/>
      <s:c r="D29186" s="121" t="n"/>
      <s:c r="E29186" s="122" t="n"/>
    </s:row>
    <s:row r="29187" hidden="1" ht="1" customHeight="1">
      <s:c r="A29187" s="120" t="inlineStr"/>
      <s:c r="B29187" s="121" t="n"/>
      <s:c r="C29187" s="121" t="n"/>
      <s:c r="D29187" s="121" t="n"/>
      <s:c r="E29187" s="122" t="n"/>
    </s:row>
    <s:row r="29188" hidden="1" ht="1" customHeight="1">
      <s:c r="A29188" s="120" t="inlineStr"/>
      <s:c r="B29188" s="121" t="n"/>
      <s:c r="C29188" s="121" t="n"/>
      <s:c r="D29188" s="121" t="n"/>
      <s:c r="E29188" s="122" t="n"/>
    </s:row>
    <s:row r="29189" hidden="1" ht="1" customHeight="1">
      <s:c r="A29189" s="120" t="inlineStr"/>
      <s:c r="B29189" s="121" t="n"/>
      <s:c r="C29189" s="121" t="n"/>
      <s:c r="D29189" s="121" t="n"/>
      <s:c r="E29189" s="122" t="n"/>
    </s:row>
    <s:row r="29190" hidden="1" ht="1" customHeight="1">
      <s:c r="A29190" s="120" t="inlineStr"/>
      <s:c r="B29190" s="121" t="n"/>
      <s:c r="C29190" s="121" t="n"/>
      <s:c r="D29190" s="121" t="n"/>
      <s:c r="E29190" s="122" t="n"/>
    </s:row>
    <s:row r="29191" hidden="1" ht="1" customHeight="1">
      <s:c r="A29191" s="120" t="inlineStr"/>
      <s:c r="B29191" s="121" t="n"/>
      <s:c r="C29191" s="121" t="n"/>
      <s:c r="D29191" s="121" t="n"/>
      <s:c r="E29191" s="122" t="n"/>
    </s:row>
    <s:row r="29192" hidden="1" ht="1" customHeight="1">
      <s:c r="A29192" s="120" t="inlineStr"/>
      <s:c r="B29192" s="121" t="n"/>
      <s:c r="C29192" s="121" t="n"/>
      <s:c r="D29192" s="121" t="n"/>
      <s:c r="E29192" s="122" t="n"/>
    </s:row>
    <s:row r="29193" hidden="1" ht="1" customHeight="1">
      <s:c r="A29193" s="120" t="inlineStr"/>
      <s:c r="B29193" s="121" t="n"/>
      <s:c r="C29193" s="121" t="n"/>
      <s:c r="D29193" s="121" t="n"/>
      <s:c r="E29193" s="122" t="n"/>
    </s:row>
    <s:row r="29194" hidden="1" ht="1" customHeight="1">
      <s:c r="A29194" s="120" t="inlineStr"/>
      <s:c r="B29194" s="121" t="n"/>
      <s:c r="C29194" s="121" t="n"/>
      <s:c r="D29194" s="121" t="n"/>
      <s:c r="E29194" s="122" t="n"/>
    </s:row>
    <s:row r="29195" hidden="1" ht="1" customHeight="1">
      <s:c r="A29195" s="120" t="inlineStr"/>
      <s:c r="B29195" s="121" t="n"/>
      <s:c r="C29195" s="121" t="n"/>
      <s:c r="D29195" s="121" t="n"/>
      <s:c r="E29195" s="122" t="n"/>
    </s:row>
    <s:row r="29196" hidden="1" ht="1" customHeight="1">
      <s:c r="A29196" s="120" t="inlineStr"/>
      <s:c r="B29196" s="121" t="n"/>
      <s:c r="C29196" s="121" t="n"/>
      <s:c r="D29196" s="121" t="n"/>
      <s:c r="E29196" s="122" t="n"/>
    </s:row>
    <s:row r="29197" hidden="1" ht="1" customHeight="1">
      <s:c r="A29197" s="120" t="inlineStr"/>
      <s:c r="B29197" s="121" t="n"/>
      <s:c r="C29197" s="121" t="n"/>
      <s:c r="D29197" s="121" t="n"/>
      <s:c r="E29197" s="122" t="n"/>
    </s:row>
    <s:row r="29198" hidden="1" ht="1" customHeight="1">
      <s:c r="A29198" s="120" t="inlineStr"/>
      <s:c r="B29198" s="121" t="n"/>
      <s:c r="C29198" s="121" t="n"/>
      <s:c r="D29198" s="121" t="n"/>
      <s:c r="E29198" s="122" t="n"/>
    </s:row>
    <s:row r="29199" hidden="1" ht="1" customHeight="1">
      <s:c r="A29199" s="120" t="inlineStr"/>
      <s:c r="B29199" s="121" t="n"/>
      <s:c r="C29199" s="121" t="n"/>
      <s:c r="D29199" s="121" t="n"/>
      <s:c r="E29199" s="122" t="n"/>
    </s:row>
    <s:row r="29200" hidden="1" ht="1" customHeight="1">
      <s:c r="A29200" s="120" t="inlineStr"/>
      <s:c r="B29200" s="121" t="n"/>
      <s:c r="C29200" s="121" t="n"/>
      <s:c r="D29200" s="121" t="n"/>
      <s:c r="E29200" s="122" t="n"/>
    </s:row>
    <s:row r="29201" hidden="1" ht="1" customHeight="1">
      <s:c r="A29201" s="120" t="inlineStr"/>
      <s:c r="B29201" s="121" t="n"/>
      <s:c r="C29201" s="121" t="n"/>
      <s:c r="D29201" s="121" t="n"/>
      <s:c r="E29201" s="122" t="n"/>
    </s:row>
    <s:row r="29202" hidden="1" ht="1" customHeight="1">
      <s:c r="A29202" s="120" t="inlineStr"/>
      <s:c r="B29202" s="121" t="n"/>
      <s:c r="C29202" s="121" t="n"/>
      <s:c r="D29202" s="121" t="n"/>
      <s:c r="E29202" s="122" t="n"/>
    </s:row>
    <s:row r="29203" hidden="1" ht="1" customHeight="1">
      <s:c r="A29203" s="120" t="inlineStr"/>
      <s:c r="B29203" s="121" t="n"/>
      <s:c r="C29203" s="121" t="n"/>
      <s:c r="D29203" s="121" t="n"/>
      <s:c r="E29203" s="122" t="n"/>
    </s:row>
    <s:row r="29204" hidden="1" ht="1" customHeight="1">
      <s:c r="A29204" s="120" t="inlineStr"/>
      <s:c r="B29204" s="121" t="n"/>
      <s:c r="C29204" s="121" t="n"/>
      <s:c r="D29204" s="121" t="n"/>
      <s:c r="E29204" s="122" t="n"/>
    </s:row>
    <s:row r="29205" hidden="1" ht="1" customHeight="1">
      <s:c r="A29205" s="120" t="inlineStr"/>
      <s:c r="B29205" s="121" t="n"/>
      <s:c r="C29205" s="121" t="n"/>
      <s:c r="D29205" s="121" t="n"/>
      <s:c r="E29205" s="122" t="n"/>
    </s:row>
    <s:row r="29206" hidden="1" ht="1" customHeight="1">
      <s:c r="A29206" s="120" t="inlineStr"/>
      <s:c r="B29206" s="121" t="n"/>
      <s:c r="C29206" s="121" t="n"/>
      <s:c r="D29206" s="121" t="n"/>
      <s:c r="E29206" s="122" t="n"/>
    </s:row>
    <s:row r="29207" hidden="1" ht="1" customHeight="1">
      <s:c r="A29207" s="120" t="inlineStr"/>
      <s:c r="B29207" s="121" t="n"/>
      <s:c r="C29207" s="121" t="n"/>
      <s:c r="D29207" s="121" t="n"/>
      <s:c r="E29207" s="122" t="n"/>
    </s:row>
    <s:row r="29208" hidden="1" ht="1" customHeight="1">
      <s:c r="A29208" s="120" t="inlineStr"/>
      <s:c r="B29208" s="121" t="n"/>
      <s:c r="C29208" s="121" t="n"/>
      <s:c r="D29208" s="121" t="n"/>
      <s:c r="E29208" s="122" t="n"/>
    </s:row>
    <s:row r="29209" hidden="1" ht="1" customHeight="1">
      <s:c r="A29209" s="120" t="inlineStr"/>
      <s:c r="B29209" s="121" t="n"/>
      <s:c r="C29209" s="121" t="n"/>
      <s:c r="D29209" s="121" t="n"/>
      <s:c r="E29209" s="122" t="n"/>
    </s:row>
    <s:row r="29210" hidden="1" ht="1" customHeight="1">
      <s:c r="A29210" s="120" t="inlineStr"/>
      <s:c r="B29210" s="121" t="n"/>
      <s:c r="C29210" s="121" t="n"/>
      <s:c r="D29210" s="121" t="n"/>
      <s:c r="E29210" s="122" t="n"/>
    </s:row>
    <s:row r="29211" hidden="1" ht="1" customHeight="1">
      <s:c r="A29211" s="120" t="inlineStr"/>
      <s:c r="B29211" s="121" t="n"/>
      <s:c r="C29211" s="121" t="n"/>
      <s:c r="D29211" s="121" t="n"/>
      <s:c r="E29211" s="122" t="n"/>
    </s:row>
    <s:row r="29212" hidden="1" ht="1" customHeight="1">
      <s:c r="A29212" s="120" t="inlineStr"/>
      <s:c r="B29212" s="121" t="n"/>
      <s:c r="C29212" s="121" t="n"/>
      <s:c r="D29212" s="121" t="n"/>
      <s:c r="E29212" s="122" t="n"/>
    </s:row>
    <s:row r="29213" hidden="1" ht="1" customHeight="1">
      <s:c r="A29213" s="120" t="inlineStr"/>
      <s:c r="B29213" s="121" t="n"/>
      <s:c r="C29213" s="121" t="n"/>
      <s:c r="D29213" s="121" t="n"/>
      <s:c r="E29213" s="122" t="n"/>
    </s:row>
    <s:row r="29214" hidden="1" ht="1" customHeight="1">
      <s:c r="A29214" s="120" t="inlineStr"/>
      <s:c r="B29214" s="121" t="n"/>
      <s:c r="C29214" s="121" t="n"/>
      <s:c r="D29214" s="121" t="n"/>
      <s:c r="E29214" s="122" t="n"/>
    </s:row>
    <s:row r="29215" hidden="1" ht="1" customHeight="1">
      <s:c r="A29215" s="120" t="inlineStr"/>
      <s:c r="B29215" s="121" t="n"/>
      <s:c r="C29215" s="121" t="n"/>
      <s:c r="D29215" s="121" t="n"/>
      <s:c r="E29215" s="122" t="n"/>
    </s:row>
    <s:row r="29216" hidden="1" ht="1" customHeight="1">
      <s:c r="A29216" s="120" t="inlineStr"/>
      <s:c r="B29216" s="121" t="n"/>
      <s:c r="C29216" s="121" t="n"/>
      <s:c r="D29216" s="121" t="n"/>
      <s:c r="E29216" s="122" t="n"/>
    </s:row>
    <s:row r="29217" hidden="1" ht="1" customHeight="1">
      <s:c r="A29217" s="120" t="inlineStr"/>
      <s:c r="B29217" s="121" t="n"/>
      <s:c r="C29217" s="121" t="n"/>
      <s:c r="D29217" s="121" t="n"/>
      <s:c r="E29217" s="122" t="n"/>
    </s:row>
    <s:row r="29218" hidden="1" ht="1" customHeight="1">
      <s:c r="A29218" s="120" t="inlineStr"/>
      <s:c r="B29218" s="121" t="n"/>
      <s:c r="C29218" s="121" t="n"/>
      <s:c r="D29218" s="121" t="n"/>
      <s:c r="E29218" s="122" t="n"/>
    </s:row>
    <s:row r="29219" hidden="1" ht="1" customHeight="1">
      <s:c r="A29219" s="120" t="inlineStr"/>
      <s:c r="B29219" s="121" t="n"/>
      <s:c r="C29219" s="121" t="n"/>
      <s:c r="D29219" s="121" t="n"/>
      <s:c r="E29219" s="122" t="n"/>
    </s:row>
    <s:row r="29220" hidden="1" ht="1" customHeight="1">
      <s:c r="A29220" s="120" t="inlineStr"/>
      <s:c r="B29220" s="121" t="n"/>
      <s:c r="C29220" s="121" t="n"/>
      <s:c r="D29220" s="121" t="n"/>
      <s:c r="E29220" s="122" t="n"/>
    </s:row>
    <s:row r="29221" hidden="1" ht="1" customHeight="1">
      <s:c r="A29221" s="120" t="inlineStr"/>
      <s:c r="B29221" s="121" t="n"/>
      <s:c r="C29221" s="121" t="n"/>
      <s:c r="D29221" s="121" t="n"/>
      <s:c r="E29221" s="122" t="n"/>
    </s:row>
    <s:row r="29222" hidden="1" ht="1" customHeight="1">
      <s:c r="A29222" s="120" t="inlineStr"/>
      <s:c r="B29222" s="121" t="n"/>
      <s:c r="C29222" s="121" t="n"/>
      <s:c r="D29222" s="121" t="n"/>
      <s:c r="E29222" s="122" t="n"/>
    </s:row>
    <s:row r="29223" hidden="1" ht="1" customHeight="1">
      <s:c r="A29223" s="120" t="inlineStr"/>
      <s:c r="B29223" s="121" t="n"/>
      <s:c r="C29223" s="121" t="n"/>
      <s:c r="D29223" s="121" t="n"/>
      <s:c r="E29223" s="122" t="n"/>
    </s:row>
    <s:row r="29224" hidden="1" ht="1" customHeight="1">
      <s:c r="A29224" s="120" t="inlineStr"/>
      <s:c r="B29224" s="121" t="n"/>
      <s:c r="C29224" s="121" t="n"/>
      <s:c r="D29224" s="121" t="n"/>
      <s:c r="E29224" s="122" t="n"/>
    </s:row>
    <s:row r="29225" hidden="1" ht="1" customHeight="1">
      <s:c r="A29225" s="120" t="inlineStr"/>
      <s:c r="B29225" s="121" t="n"/>
      <s:c r="C29225" s="121" t="n"/>
      <s:c r="D29225" s="121" t="n"/>
      <s:c r="E29225" s="122" t="n"/>
    </s:row>
    <s:row r="29226" hidden="1" ht="1" customHeight="1">
      <s:c r="A29226" s="120" t="inlineStr"/>
      <s:c r="B29226" s="121" t="n"/>
      <s:c r="C29226" s="121" t="n"/>
      <s:c r="D29226" s="121" t="n"/>
      <s:c r="E29226" s="122" t="n"/>
    </s:row>
    <s:row r="29227" hidden="1" ht="1" customHeight="1">
      <s:c r="A29227" s="120" t="inlineStr"/>
      <s:c r="B29227" s="121" t="n"/>
      <s:c r="C29227" s="121" t="n"/>
      <s:c r="D29227" s="121" t="n"/>
      <s:c r="E29227" s="122" t="n"/>
    </s:row>
    <s:row r="29228" hidden="1" ht="1" customHeight="1">
      <s:c r="A29228" s="120" t="inlineStr"/>
      <s:c r="B29228" s="121" t="n"/>
      <s:c r="C29228" s="121" t="n"/>
      <s:c r="D29228" s="121" t="n"/>
      <s:c r="E29228" s="122" t="n"/>
    </s:row>
    <s:row r="29229" hidden="1" ht="1" customHeight="1">
      <s:c r="A29229" s="120" t="inlineStr"/>
      <s:c r="B29229" s="121" t="n"/>
      <s:c r="C29229" s="121" t="n"/>
      <s:c r="D29229" s="121" t="n"/>
      <s:c r="E29229" s="122" t="n"/>
    </s:row>
    <s:row r="29230" hidden="1" ht="1" customHeight="1">
      <s:c r="A29230" s="120" t="inlineStr"/>
      <s:c r="B29230" s="121" t="n"/>
      <s:c r="C29230" s="121" t="n"/>
      <s:c r="D29230" s="121" t="n"/>
      <s:c r="E29230" s="122" t="n"/>
    </s:row>
    <s:row r="29231" hidden="1" ht="1" customHeight="1">
      <s:c r="A29231" s="120" t="inlineStr"/>
      <s:c r="B29231" s="121" t="n"/>
      <s:c r="C29231" s="121" t="n"/>
      <s:c r="D29231" s="121" t="n"/>
      <s:c r="E29231" s="122" t="n"/>
    </s:row>
    <s:row r="29232" hidden="1" ht="1" customHeight="1">
      <s:c r="A29232" s="120" t="inlineStr"/>
      <s:c r="B29232" s="121" t="n"/>
      <s:c r="C29232" s="121" t="n"/>
      <s:c r="D29232" s="121" t="n"/>
      <s:c r="E29232" s="122" t="n"/>
    </s:row>
    <s:row r="29233" hidden="1" ht="1" customHeight="1">
      <s:c r="A29233" s="120" t="inlineStr"/>
      <s:c r="B29233" s="121" t="n"/>
      <s:c r="C29233" s="121" t="n"/>
      <s:c r="D29233" s="121" t="n"/>
      <s:c r="E29233" s="122" t="n"/>
    </s:row>
    <s:row r="29234" hidden="1" ht="1" customHeight="1">
      <s:c r="A29234" s="120" t="inlineStr"/>
      <s:c r="B29234" s="121" t="n"/>
      <s:c r="C29234" s="121" t="n"/>
      <s:c r="D29234" s="121" t="n"/>
      <s:c r="E29234" s="122" t="n"/>
    </s:row>
    <s:row r="29235" hidden="1" ht="1" customHeight="1">
      <s:c r="A29235" s="120" t="inlineStr"/>
      <s:c r="B29235" s="121" t="n"/>
      <s:c r="C29235" s="121" t="n"/>
      <s:c r="D29235" s="121" t="n"/>
      <s:c r="E29235" s="122" t="n"/>
    </s:row>
    <s:row r="29236" hidden="1" ht="1" customHeight="1">
      <s:c r="A29236" s="120" t="inlineStr"/>
      <s:c r="B29236" s="121" t="n"/>
      <s:c r="C29236" s="121" t="n"/>
      <s:c r="D29236" s="121" t="n"/>
      <s:c r="E29236" s="122" t="n"/>
    </s:row>
    <s:row r="29237" hidden="1" ht="1" customHeight="1">
      <s:c r="A29237" s="120" t="inlineStr"/>
      <s:c r="B29237" s="121" t="n"/>
      <s:c r="C29237" s="121" t="n"/>
      <s:c r="D29237" s="121" t="n"/>
      <s:c r="E29237" s="122" t="n"/>
    </s:row>
    <s:row r="29238" hidden="1" ht="1" customHeight="1">
      <s:c r="A29238" s="120" t="inlineStr"/>
      <s:c r="B29238" s="121" t="n"/>
      <s:c r="C29238" s="121" t="n"/>
      <s:c r="D29238" s="121" t="n"/>
      <s:c r="E29238" s="122" t="n"/>
    </s:row>
    <s:row r="29239" hidden="1" ht="1" customHeight="1">
      <s:c r="A29239" s="120" t="inlineStr"/>
      <s:c r="B29239" s="121" t="n"/>
      <s:c r="C29239" s="121" t="n"/>
      <s:c r="D29239" s="121" t="n"/>
      <s:c r="E29239" s="122" t="n"/>
    </s:row>
    <s:row r="29240" hidden="1" ht="1" customHeight="1">
      <s:c r="A29240" s="120" t="inlineStr"/>
      <s:c r="B29240" s="121" t="n"/>
      <s:c r="C29240" s="121" t="n"/>
      <s:c r="D29240" s="121" t="n"/>
      <s:c r="E29240" s="122" t="n"/>
    </s:row>
    <s:row r="29241" hidden="1" ht="1" customHeight="1">
      <s:c r="A29241" s="120" t="inlineStr"/>
      <s:c r="B29241" s="121" t="n"/>
      <s:c r="C29241" s="121" t="n"/>
      <s:c r="D29241" s="121" t="n"/>
      <s:c r="E29241" s="122" t="n"/>
    </s:row>
    <s:row r="29242" hidden="1" ht="1" customHeight="1">
      <s:c r="A29242" s="120" t="inlineStr"/>
      <s:c r="B29242" s="121" t="n"/>
      <s:c r="C29242" s="121" t="n"/>
      <s:c r="D29242" s="121" t="n"/>
      <s:c r="E29242" s="122" t="n"/>
    </s:row>
    <s:row r="29243" hidden="1" ht="1" customHeight="1">
      <s:c r="A29243" s="120" t="inlineStr"/>
      <s:c r="B29243" s="121" t="n"/>
      <s:c r="C29243" s="121" t="n"/>
      <s:c r="D29243" s="121" t="n"/>
      <s:c r="E29243" s="122" t="n"/>
    </s:row>
    <s:row r="29244" hidden="1" ht="1" customHeight="1">
      <s:c r="A29244" s="120" t="inlineStr"/>
      <s:c r="B29244" s="121" t="n"/>
      <s:c r="C29244" s="121" t="n"/>
      <s:c r="D29244" s="121" t="n"/>
      <s:c r="E29244" s="122" t="n"/>
    </s:row>
    <s:row r="29245" hidden="1" ht="1" customHeight="1">
      <s:c r="A29245" s="120" t="inlineStr"/>
      <s:c r="B29245" s="121" t="n"/>
      <s:c r="C29245" s="121" t="n"/>
      <s:c r="D29245" s="121" t="n"/>
      <s:c r="E29245" s="122" t="n"/>
    </s:row>
    <s:row r="29246" hidden="1" ht="1" customHeight="1">
      <s:c r="A29246" s="120" t="inlineStr"/>
      <s:c r="B29246" s="121" t="n"/>
      <s:c r="C29246" s="121" t="n"/>
      <s:c r="D29246" s="121" t="n"/>
      <s:c r="E29246" s="122" t="n"/>
    </s:row>
    <s:row r="29247" hidden="1" ht="1" customHeight="1">
      <s:c r="A29247" s="120" t="inlineStr"/>
      <s:c r="B29247" s="121" t="n"/>
      <s:c r="C29247" s="121" t="n"/>
      <s:c r="D29247" s="121" t="n"/>
      <s:c r="E29247" s="122" t="n"/>
    </s:row>
    <s:row r="29248" hidden="1" ht="1" customHeight="1">
      <s:c r="A29248" s="120" t="inlineStr"/>
      <s:c r="B29248" s="121" t="n"/>
      <s:c r="C29248" s="121" t="n"/>
      <s:c r="D29248" s="121" t="n"/>
      <s:c r="E29248" s="122" t="n"/>
    </s:row>
    <s:row r="29249" hidden="1" ht="1" customHeight="1">
      <s:c r="A29249" s="120" t="inlineStr"/>
      <s:c r="B29249" s="121" t="n"/>
      <s:c r="C29249" s="121" t="n"/>
      <s:c r="D29249" s="121" t="n"/>
      <s:c r="E29249" s="122" t="n"/>
    </s:row>
    <s:row r="29250" hidden="1" ht="1" customHeight="1">
      <s:c r="A29250" s="120" t="inlineStr"/>
      <s:c r="B29250" s="121" t="n"/>
      <s:c r="C29250" s="121" t="n"/>
      <s:c r="D29250" s="121" t="n"/>
      <s:c r="E29250" s="122" t="n"/>
    </s:row>
    <s:row r="29251" hidden="1" ht="1" customHeight="1">
      <s:c r="A29251" s="120" t="inlineStr"/>
      <s:c r="B29251" s="121" t="n"/>
      <s:c r="C29251" s="121" t="n"/>
      <s:c r="D29251" s="121" t="n"/>
      <s:c r="E29251" s="122" t="n"/>
    </s:row>
    <s:row r="29252" hidden="1" ht="1" customHeight="1">
      <s:c r="A29252" s="120" t="inlineStr"/>
      <s:c r="B29252" s="121" t="n"/>
      <s:c r="C29252" s="121" t="n"/>
      <s:c r="D29252" s="121" t="n"/>
      <s:c r="E29252" s="122" t="n"/>
    </s:row>
    <s:row r="29253" hidden="1" ht="1" customHeight="1">
      <s:c r="A29253" s="120" t="inlineStr"/>
      <s:c r="B29253" s="121" t="n"/>
      <s:c r="C29253" s="121" t="n"/>
      <s:c r="D29253" s="121" t="n"/>
      <s:c r="E29253" s="122" t="n"/>
    </s:row>
    <s:row r="29254" hidden="1" ht="1" customHeight="1">
      <s:c r="A29254" s="120" t="inlineStr"/>
      <s:c r="B29254" s="121" t="n"/>
      <s:c r="C29254" s="121" t="n"/>
      <s:c r="D29254" s="121" t="n"/>
      <s:c r="E29254" s="122" t="n"/>
    </s:row>
    <s:row r="29255" hidden="1" ht="1" customHeight="1">
      <s:c r="A29255" s="120" t="inlineStr"/>
      <s:c r="B29255" s="121" t="n"/>
      <s:c r="C29255" s="121" t="n"/>
      <s:c r="D29255" s="121" t="n"/>
      <s:c r="E29255" s="122" t="n"/>
    </s:row>
    <s:row r="29256" hidden="1" ht="1" customHeight="1">
      <s:c r="A29256" s="120" t="inlineStr"/>
      <s:c r="B29256" s="121" t="n"/>
      <s:c r="C29256" s="121" t="n"/>
      <s:c r="D29256" s="121" t="n"/>
      <s:c r="E29256" s="122" t="n"/>
    </s:row>
    <s:row r="29257" hidden="1" ht="1" customHeight="1">
      <s:c r="A29257" s="120" t="inlineStr"/>
      <s:c r="B29257" s="121" t="n"/>
      <s:c r="C29257" s="121" t="n"/>
      <s:c r="D29257" s="121" t="n"/>
      <s:c r="E29257" s="122" t="n"/>
    </s:row>
    <s:row r="29258" hidden="1" ht="1" customHeight="1">
      <s:c r="A29258" s="120" t="inlineStr"/>
      <s:c r="B29258" s="121" t="n"/>
      <s:c r="C29258" s="121" t="n"/>
      <s:c r="D29258" s="121" t="n"/>
      <s:c r="E29258" s="122" t="n"/>
    </s:row>
    <s:row r="29259" hidden="1" ht="1" customHeight="1">
      <s:c r="A29259" s="120" t="inlineStr"/>
      <s:c r="B29259" s="121" t="n"/>
      <s:c r="C29259" s="121" t="n"/>
      <s:c r="D29259" s="121" t="n"/>
      <s:c r="E29259" s="122" t="n"/>
    </s:row>
    <s:row r="29260" hidden="1" ht="1" customHeight="1">
      <s:c r="A29260" s="120" t="inlineStr"/>
      <s:c r="B29260" s="121" t="n"/>
      <s:c r="C29260" s="121" t="n"/>
      <s:c r="D29260" s="121" t="n"/>
      <s:c r="E29260" s="122" t="n"/>
    </s:row>
    <s:row r="29261" hidden="1" ht="1" customHeight="1">
      <s:c r="A29261" s="120" t="inlineStr"/>
      <s:c r="B29261" s="121" t="n"/>
      <s:c r="C29261" s="121" t="n"/>
      <s:c r="D29261" s="121" t="n"/>
      <s:c r="E29261" s="122" t="n"/>
    </s:row>
    <s:row r="29262" hidden="1" ht="1" customHeight="1">
      <s:c r="A29262" s="120" t="inlineStr"/>
      <s:c r="B29262" s="121" t="n"/>
      <s:c r="C29262" s="121" t="n"/>
      <s:c r="D29262" s="121" t="n"/>
      <s:c r="E29262" s="122" t="n"/>
    </s:row>
    <s:row r="29263" hidden="1" ht="1" customHeight="1">
      <s:c r="A29263" s="120" t="inlineStr"/>
      <s:c r="B29263" s="121" t="n"/>
      <s:c r="C29263" s="121" t="n"/>
      <s:c r="D29263" s="121" t="n"/>
      <s:c r="E29263" s="122" t="n"/>
    </s:row>
    <s:row r="29264" hidden="1" ht="1" customHeight="1">
      <s:c r="A29264" s="120" t="inlineStr"/>
      <s:c r="B29264" s="121" t="n"/>
      <s:c r="C29264" s="121" t="n"/>
      <s:c r="D29264" s="121" t="n"/>
      <s:c r="E29264" s="122" t="n"/>
    </s:row>
    <s:row r="29265" hidden="1" ht="1" customHeight="1">
      <s:c r="A29265" s="120" t="inlineStr"/>
      <s:c r="B29265" s="121" t="n"/>
      <s:c r="C29265" s="121" t="n"/>
      <s:c r="D29265" s="121" t="n"/>
      <s:c r="E29265" s="122" t="n"/>
    </s:row>
    <s:row r="29266" hidden="1" ht="1" customHeight="1">
      <s:c r="A29266" s="120" t="inlineStr"/>
      <s:c r="B29266" s="121" t="n"/>
      <s:c r="C29266" s="121" t="n"/>
      <s:c r="D29266" s="121" t="n"/>
      <s:c r="E29266" s="122" t="n"/>
    </s:row>
    <s:row r="29267" hidden="1" ht="1" customHeight="1">
      <s:c r="A29267" s="120" t="inlineStr"/>
      <s:c r="B29267" s="121" t="n"/>
      <s:c r="C29267" s="121" t="n"/>
      <s:c r="D29267" s="121" t="n"/>
      <s:c r="E29267" s="122" t="n"/>
    </s:row>
    <s:row r="29268" hidden="1" ht="1" customHeight="1">
      <s:c r="A29268" s="120" t="inlineStr"/>
      <s:c r="B29268" s="121" t="n"/>
      <s:c r="C29268" s="121" t="n"/>
      <s:c r="D29268" s="121" t="n"/>
      <s:c r="E29268" s="122" t="n"/>
    </s:row>
    <s:row r="29269" hidden="1" ht="1" customHeight="1">
      <s:c r="A29269" s="120" t="inlineStr"/>
      <s:c r="B29269" s="121" t="n"/>
      <s:c r="C29269" s="121" t="n"/>
      <s:c r="D29269" s="121" t="n"/>
      <s:c r="E29269" s="122" t="n"/>
    </s:row>
    <s:row r="29270" hidden="1" ht="1" customHeight="1">
      <s:c r="A29270" s="120" t="inlineStr"/>
      <s:c r="B29270" s="121" t="n"/>
      <s:c r="C29270" s="121" t="n"/>
      <s:c r="D29270" s="121" t="n"/>
      <s:c r="E29270" s="122" t="n"/>
    </s:row>
    <s:row r="29271" hidden="1" ht="1" customHeight="1">
      <s:c r="A29271" s="120" t="inlineStr"/>
      <s:c r="B29271" s="121" t="n"/>
      <s:c r="C29271" s="121" t="n"/>
      <s:c r="D29271" s="121" t="n"/>
      <s:c r="E29271" s="122" t="n"/>
    </s:row>
    <s:row r="29272" hidden="1" ht="1" customHeight="1">
      <s:c r="A29272" s="120" t="inlineStr"/>
      <s:c r="B29272" s="121" t="n"/>
      <s:c r="C29272" s="121" t="n"/>
      <s:c r="D29272" s="121" t="n"/>
      <s:c r="E29272" s="122" t="n"/>
    </s:row>
    <s:row r="29273" hidden="1" ht="1" customHeight="1">
      <s:c r="A29273" s="120" t="inlineStr"/>
      <s:c r="B29273" s="121" t="n"/>
      <s:c r="C29273" s="121" t="n"/>
      <s:c r="D29273" s="121" t="n"/>
      <s:c r="E29273" s="122" t="n"/>
    </s:row>
    <s:row r="29274" hidden="1" ht="1" customHeight="1">
      <s:c r="A29274" s="120" t="inlineStr"/>
      <s:c r="B29274" s="121" t="n"/>
      <s:c r="C29274" s="121" t="n"/>
      <s:c r="D29274" s="121" t="n"/>
      <s:c r="E29274" s="122" t="n"/>
    </s:row>
    <s:row r="29275" hidden="1" ht="1" customHeight="1">
      <s:c r="A29275" s="120" t="inlineStr"/>
      <s:c r="B29275" s="121" t="n"/>
      <s:c r="C29275" s="121" t="n"/>
      <s:c r="D29275" s="121" t="n"/>
      <s:c r="E29275" s="122" t="n"/>
    </s:row>
    <s:row r="29276" hidden="1" ht="1" customHeight="1">
      <s:c r="A29276" s="120" t="inlineStr"/>
      <s:c r="B29276" s="121" t="n"/>
      <s:c r="C29276" s="121" t="n"/>
      <s:c r="D29276" s="121" t="n"/>
      <s:c r="E29276" s="122" t="n"/>
    </s:row>
    <s:row r="29277" hidden="1" ht="1" customHeight="1">
      <s:c r="A29277" s="120" t="inlineStr"/>
      <s:c r="B29277" s="121" t="n"/>
      <s:c r="C29277" s="121" t="n"/>
      <s:c r="D29277" s="121" t="n"/>
      <s:c r="E29277" s="122" t="n"/>
    </s:row>
    <s:row r="29278" hidden="1" ht="1" customHeight="1">
      <s:c r="A29278" s="120" t="inlineStr"/>
      <s:c r="B29278" s="121" t="n"/>
      <s:c r="C29278" s="121" t="n"/>
      <s:c r="D29278" s="121" t="n"/>
      <s:c r="E29278" s="122" t="n"/>
    </s:row>
    <s:row r="29279" hidden="1" ht="1" customHeight="1">
      <s:c r="A29279" s="120" t="inlineStr"/>
      <s:c r="B29279" s="121" t="n"/>
      <s:c r="C29279" s="121" t="n"/>
      <s:c r="D29279" s="121" t="n"/>
      <s:c r="E29279" s="122" t="n"/>
    </s:row>
    <s:row r="29280" hidden="1" ht="1" customHeight="1">
      <s:c r="A29280" s="120" t="inlineStr"/>
      <s:c r="B29280" s="121" t="n"/>
      <s:c r="C29280" s="121" t="n"/>
      <s:c r="D29280" s="121" t="n"/>
      <s:c r="E29280" s="122" t="n"/>
    </s:row>
    <s:row r="29281" hidden="1" ht="1" customHeight="1">
      <s:c r="A29281" s="120" t="inlineStr"/>
      <s:c r="B29281" s="121" t="n"/>
      <s:c r="C29281" s="121" t="n"/>
      <s:c r="D29281" s="121" t="n"/>
      <s:c r="E29281" s="122" t="n"/>
    </s:row>
    <s:row r="29282" hidden="1" ht="1" customHeight="1">
      <s:c r="A29282" s="120" t="inlineStr"/>
      <s:c r="B29282" s="121" t="n"/>
      <s:c r="C29282" s="121" t="n"/>
      <s:c r="D29282" s="121" t="n"/>
      <s:c r="E29282" s="122" t="n"/>
    </s:row>
    <s:row r="29283" hidden="1" ht="1" customHeight="1">
      <s:c r="A29283" s="120" t="inlineStr"/>
      <s:c r="B29283" s="121" t="n"/>
      <s:c r="C29283" s="121" t="n"/>
      <s:c r="D29283" s="121" t="n"/>
      <s:c r="E29283" s="122" t="n"/>
    </s:row>
    <s:row r="29284" hidden="1" ht="1" customHeight="1">
      <s:c r="A29284" s="120" t="inlineStr"/>
      <s:c r="B29284" s="121" t="n"/>
      <s:c r="C29284" s="121" t="n"/>
      <s:c r="D29284" s="121" t="n"/>
      <s:c r="E29284" s="122" t="n"/>
    </s:row>
    <s:row r="29285" hidden="1" ht="1" customHeight="1">
      <s:c r="A29285" s="120" t="inlineStr"/>
      <s:c r="B29285" s="121" t="n"/>
      <s:c r="C29285" s="121" t="n"/>
      <s:c r="D29285" s="121" t="n"/>
      <s:c r="E29285" s="122" t="n"/>
    </s:row>
    <s:row r="29286" hidden="1" ht="1" customHeight="1">
      <s:c r="A29286" s="120" t="inlineStr"/>
      <s:c r="B29286" s="121" t="n"/>
      <s:c r="C29286" s="121" t="n"/>
      <s:c r="D29286" s="121" t="n"/>
      <s:c r="E29286" s="122" t="n"/>
    </s:row>
    <s:row r="29287" hidden="1" ht="1" customHeight="1">
      <s:c r="A29287" s="120" t="inlineStr"/>
      <s:c r="B29287" s="121" t="n"/>
      <s:c r="C29287" s="121" t="n"/>
      <s:c r="D29287" s="121" t="n"/>
      <s:c r="E29287" s="122" t="n"/>
    </s:row>
    <s:row r="29288" hidden="1" ht="1" customHeight="1">
      <s:c r="A29288" s="120" t="inlineStr"/>
      <s:c r="B29288" s="121" t="n"/>
      <s:c r="C29288" s="121" t="n"/>
      <s:c r="D29288" s="121" t="n"/>
      <s:c r="E29288" s="122" t="n"/>
    </s:row>
    <s:row r="29289" hidden="1" ht="1" customHeight="1">
      <s:c r="A29289" s="120" t="inlineStr"/>
      <s:c r="B29289" s="121" t="n"/>
      <s:c r="C29289" s="121" t="n"/>
      <s:c r="D29289" s="121" t="n"/>
      <s:c r="E29289" s="122" t="n"/>
    </s:row>
    <s:row r="29290" hidden="1" ht="1" customHeight="1">
      <s:c r="A29290" s="120" t="inlineStr"/>
      <s:c r="B29290" s="121" t="n"/>
      <s:c r="C29290" s="121" t="n"/>
      <s:c r="D29290" s="121" t="n"/>
      <s:c r="E29290" s="122" t="n"/>
    </s:row>
    <s:row r="29291" hidden="1" ht="1" customHeight="1">
      <s:c r="A29291" s="120" t="inlineStr"/>
      <s:c r="B29291" s="121" t="n"/>
      <s:c r="C29291" s="121" t="n"/>
      <s:c r="D29291" s="121" t="n"/>
      <s:c r="E29291" s="122" t="n"/>
    </s:row>
    <s:row r="29292" hidden="1" ht="1" customHeight="1">
      <s:c r="A29292" s="120" t="inlineStr"/>
      <s:c r="B29292" s="121" t="n"/>
      <s:c r="C29292" s="121" t="n"/>
      <s:c r="D29292" s="121" t="n"/>
      <s:c r="E29292" s="122" t="n"/>
    </s:row>
    <s:row r="29293" hidden="1" ht="1" customHeight="1">
      <s:c r="A29293" s="120" t="inlineStr"/>
      <s:c r="B29293" s="121" t="n"/>
      <s:c r="C29293" s="121" t="n"/>
      <s:c r="D29293" s="121" t="n"/>
      <s:c r="E29293" s="122" t="n"/>
    </s:row>
    <s:row r="29294" hidden="1" ht="1" customHeight="1">
      <s:c r="A29294" s="120" t="inlineStr"/>
      <s:c r="B29294" s="121" t="n"/>
      <s:c r="C29294" s="121" t="n"/>
      <s:c r="D29294" s="121" t="n"/>
      <s:c r="E29294" s="122" t="n"/>
    </s:row>
    <s:row r="29295" hidden="1" ht="1" customHeight="1">
      <s:c r="A29295" s="120" t="inlineStr"/>
      <s:c r="B29295" s="121" t="n"/>
      <s:c r="C29295" s="121" t="n"/>
      <s:c r="D29295" s="121" t="n"/>
      <s:c r="E29295" s="122" t="n"/>
    </s:row>
    <s:row r="29296" hidden="1" ht="1" customHeight="1">
      <s:c r="A29296" s="120" t="inlineStr"/>
      <s:c r="B29296" s="121" t="n"/>
      <s:c r="C29296" s="121" t="n"/>
      <s:c r="D29296" s="121" t="n"/>
      <s:c r="E29296" s="122" t="n"/>
    </s:row>
    <s:row r="29297" hidden="1" ht="1" customHeight="1">
      <s:c r="A29297" s="120" t="inlineStr"/>
      <s:c r="B29297" s="121" t="n"/>
      <s:c r="C29297" s="121" t="n"/>
      <s:c r="D29297" s="121" t="n"/>
      <s:c r="E29297" s="122" t="n"/>
    </s:row>
    <s:row r="29298" hidden="1" ht="1" customHeight="1">
      <s:c r="A29298" s="120" t="inlineStr"/>
      <s:c r="B29298" s="121" t="n"/>
      <s:c r="C29298" s="121" t="n"/>
      <s:c r="D29298" s="121" t="n"/>
      <s:c r="E29298" s="122" t="n"/>
    </s:row>
    <s:row r="29299" hidden="1" ht="1" customHeight="1">
      <s:c r="A29299" s="120" t="inlineStr"/>
      <s:c r="B29299" s="121" t="n"/>
      <s:c r="C29299" s="121" t="n"/>
      <s:c r="D29299" s="121" t="n"/>
      <s:c r="E29299" s="122" t="n"/>
    </s:row>
    <s:row r="29300" hidden="1" ht="1" customHeight="1">
      <s:c r="A29300" s="120" t="inlineStr"/>
      <s:c r="B29300" s="121" t="n"/>
      <s:c r="C29300" s="121" t="n"/>
      <s:c r="D29300" s="121" t="n"/>
      <s:c r="E29300" s="122" t="n"/>
    </s:row>
    <s:row r="29301" hidden="1" ht="1" customHeight="1">
      <s:c r="A29301" s="120" t="inlineStr"/>
      <s:c r="B29301" s="121" t="n"/>
      <s:c r="C29301" s="121" t="n"/>
      <s:c r="D29301" s="121" t="n"/>
      <s:c r="E29301" s="122" t="n"/>
    </s:row>
    <s:row r="29302" hidden="1" ht="1" customHeight="1">
      <s:c r="A29302" s="120" t="inlineStr"/>
      <s:c r="B29302" s="121" t="n"/>
      <s:c r="C29302" s="121" t="n"/>
      <s:c r="D29302" s="121" t="n"/>
      <s:c r="E29302" s="122" t="n"/>
    </s:row>
    <s:row r="29303" hidden="1" ht="1" customHeight="1">
      <s:c r="A29303" s="120" t="inlineStr"/>
      <s:c r="B29303" s="121" t="n"/>
      <s:c r="C29303" s="121" t="n"/>
      <s:c r="D29303" s="121" t="n"/>
      <s:c r="E29303" s="122" t="n"/>
    </s:row>
    <s:row r="29304" hidden="1" ht="1" customHeight="1">
      <s:c r="A29304" s="120" t="inlineStr"/>
      <s:c r="B29304" s="121" t="n"/>
      <s:c r="C29304" s="121" t="n"/>
      <s:c r="D29304" s="121" t="n"/>
      <s:c r="E29304" s="122" t="n"/>
    </s:row>
    <s:row r="29305" hidden="1" ht="1" customHeight="1">
      <s:c r="A29305" s="120" t="inlineStr"/>
      <s:c r="B29305" s="121" t="n"/>
      <s:c r="C29305" s="121" t="n"/>
      <s:c r="D29305" s="121" t="n"/>
      <s:c r="E29305" s="122" t="n"/>
    </s:row>
    <s:row r="29306" hidden="1" ht="1" customHeight="1">
      <s:c r="A29306" s="120" t="inlineStr"/>
      <s:c r="B29306" s="121" t="n"/>
      <s:c r="C29306" s="121" t="n"/>
      <s:c r="D29306" s="121" t="n"/>
      <s:c r="E29306" s="122" t="n"/>
    </s:row>
    <s:row r="29307" hidden="1" ht="1" customHeight="1">
      <s:c r="A29307" s="120" t="inlineStr"/>
      <s:c r="B29307" s="121" t="n"/>
      <s:c r="C29307" s="121" t="n"/>
      <s:c r="D29307" s="121" t="n"/>
      <s:c r="E29307" s="122" t="n"/>
    </s:row>
    <s:row r="29308" hidden="1" ht="1" customHeight="1">
      <s:c r="A29308" s="120" t="inlineStr"/>
      <s:c r="B29308" s="121" t="n"/>
      <s:c r="C29308" s="121" t="n"/>
      <s:c r="D29308" s="121" t="n"/>
      <s:c r="E29308" s="122" t="n"/>
    </s:row>
    <s:row r="29309" hidden="1" ht="1" customHeight="1">
      <s:c r="A29309" s="120" t="inlineStr"/>
      <s:c r="B29309" s="121" t="n"/>
      <s:c r="C29309" s="121" t="n"/>
      <s:c r="D29309" s="121" t="n"/>
      <s:c r="E29309" s="122" t="n"/>
    </s:row>
    <s:row r="29310" hidden="1" ht="1" customHeight="1">
      <s:c r="A29310" s="120" t="inlineStr"/>
      <s:c r="B29310" s="121" t="n"/>
      <s:c r="C29310" s="121" t="n"/>
      <s:c r="D29310" s="121" t="n"/>
      <s:c r="E29310" s="122" t="n"/>
    </s:row>
    <s:row r="29311" hidden="1" ht="1" customHeight="1">
      <s:c r="A29311" s="120" t="inlineStr"/>
      <s:c r="B29311" s="121" t="n"/>
      <s:c r="C29311" s="121" t="n"/>
      <s:c r="D29311" s="121" t="n"/>
      <s:c r="E29311" s="122" t="n"/>
    </s:row>
    <s:row r="29312" hidden="1" ht="1" customHeight="1">
      <s:c r="A29312" s="120" t="inlineStr"/>
      <s:c r="B29312" s="121" t="n"/>
      <s:c r="C29312" s="121" t="n"/>
      <s:c r="D29312" s="121" t="n"/>
      <s:c r="E29312" s="122" t="n"/>
    </s:row>
    <s:row r="29313" hidden="1" ht="1" customHeight="1">
      <s:c r="A29313" s="120" t="inlineStr"/>
      <s:c r="B29313" s="121" t="n"/>
      <s:c r="C29313" s="121" t="n"/>
      <s:c r="D29313" s="121" t="n"/>
      <s:c r="E29313" s="122" t="n"/>
    </s:row>
    <s:row r="29314" hidden="1" ht="1" customHeight="1">
      <s:c r="A29314" s="120" t="inlineStr"/>
      <s:c r="B29314" s="121" t="n"/>
      <s:c r="C29314" s="121" t="n"/>
      <s:c r="D29314" s="121" t="n"/>
      <s:c r="E29314" s="122" t="n"/>
    </s:row>
    <s:row r="29315" hidden="1" ht="1" customHeight="1">
      <s:c r="A29315" s="120" t="inlineStr"/>
      <s:c r="B29315" s="121" t="n"/>
      <s:c r="C29315" s="121" t="n"/>
      <s:c r="D29315" s="121" t="n"/>
      <s:c r="E29315" s="122" t="n"/>
    </s:row>
    <s:row r="29316" hidden="1" ht="1" customHeight="1">
      <s:c r="A29316" s="120" t="inlineStr"/>
      <s:c r="B29316" s="121" t="n"/>
      <s:c r="C29316" s="121" t="n"/>
      <s:c r="D29316" s="121" t="n"/>
      <s:c r="E29316" s="122" t="n"/>
    </s:row>
    <s:row r="29317" hidden="1" ht="1" customHeight="1">
      <s:c r="A29317" s="120" t="inlineStr"/>
      <s:c r="B29317" s="121" t="n"/>
      <s:c r="C29317" s="121" t="n"/>
      <s:c r="D29317" s="121" t="n"/>
      <s:c r="E29317" s="122" t="n"/>
    </s:row>
    <s:row r="29318" hidden="1" ht="1" customHeight="1">
      <s:c r="A29318" s="120" t="inlineStr"/>
      <s:c r="B29318" s="121" t="n"/>
      <s:c r="C29318" s="121" t="n"/>
      <s:c r="D29318" s="121" t="n"/>
      <s:c r="E29318" s="122" t="n"/>
    </s:row>
    <s:row r="29319" hidden="1" ht="1" customHeight="1">
      <s:c r="A29319" s="120" t="inlineStr"/>
      <s:c r="B29319" s="121" t="n"/>
      <s:c r="C29319" s="121" t="n"/>
      <s:c r="D29319" s="121" t="n"/>
      <s:c r="E29319" s="122" t="n"/>
    </s:row>
    <s:row r="29320" hidden="1" ht="1" customHeight="1">
      <s:c r="A29320" s="120" t="inlineStr"/>
      <s:c r="B29320" s="121" t="n"/>
      <s:c r="C29320" s="121" t="n"/>
      <s:c r="D29320" s="121" t="n"/>
      <s:c r="E29320" s="122" t="n"/>
    </s:row>
    <s:row r="29321" hidden="1" ht="1" customHeight="1">
      <s:c r="A29321" s="120" t="inlineStr"/>
      <s:c r="B29321" s="121" t="n"/>
      <s:c r="C29321" s="121" t="n"/>
      <s:c r="D29321" s="121" t="n"/>
      <s:c r="E29321" s="122" t="n"/>
    </s:row>
    <s:row r="29322" hidden="1" ht="1" customHeight="1">
      <s:c r="A29322" s="120" t="inlineStr"/>
      <s:c r="B29322" s="121" t="n"/>
      <s:c r="C29322" s="121" t="n"/>
      <s:c r="D29322" s="121" t="n"/>
      <s:c r="E29322" s="122" t="n"/>
    </s:row>
    <s:row r="29323" hidden="1" ht="1" customHeight="1">
      <s:c r="A29323" s="120" t="inlineStr"/>
      <s:c r="B29323" s="121" t="n"/>
      <s:c r="C29323" s="121" t="n"/>
      <s:c r="D29323" s="121" t="n"/>
      <s:c r="E29323" s="122" t="n"/>
    </s:row>
    <s:row r="29324" hidden="1" ht="1" customHeight="1">
      <s:c r="A29324" s="120" t="inlineStr"/>
      <s:c r="B29324" s="121" t="n"/>
      <s:c r="C29324" s="121" t="n"/>
      <s:c r="D29324" s="121" t="n"/>
      <s:c r="E29324" s="122" t="n"/>
    </s:row>
    <s:row r="29325" hidden="1" ht="1" customHeight="1">
      <s:c r="A29325" s="120" t="inlineStr"/>
      <s:c r="B29325" s="121" t="n"/>
      <s:c r="C29325" s="121" t="n"/>
      <s:c r="D29325" s="121" t="n"/>
      <s:c r="E29325" s="122" t="n"/>
    </s:row>
    <s:row r="29326" hidden="1" ht="1" customHeight="1">
      <s:c r="A29326" s="120" t="inlineStr"/>
      <s:c r="B29326" s="121" t="n"/>
      <s:c r="C29326" s="121" t="n"/>
      <s:c r="D29326" s="121" t="n"/>
      <s:c r="E29326" s="122" t="n"/>
    </s:row>
    <s:row r="29327" hidden="1" ht="1" customHeight="1">
      <s:c r="A29327" s="120" t="inlineStr"/>
      <s:c r="B29327" s="121" t="n"/>
      <s:c r="C29327" s="121" t="n"/>
      <s:c r="D29327" s="121" t="n"/>
      <s:c r="E29327" s="122" t="n"/>
    </s:row>
    <s:row r="29328" hidden="1" ht="1" customHeight="1">
      <s:c r="A29328" s="120" t="inlineStr"/>
      <s:c r="B29328" s="121" t="n"/>
      <s:c r="C29328" s="121" t="n"/>
      <s:c r="D29328" s="121" t="n"/>
      <s:c r="E29328" s="122" t="n"/>
    </s:row>
    <s:row r="29329" hidden="1" ht="1" customHeight="1">
      <s:c r="A29329" s="120" t="inlineStr"/>
      <s:c r="B29329" s="121" t="n"/>
      <s:c r="C29329" s="121" t="n"/>
      <s:c r="D29329" s="121" t="n"/>
      <s:c r="E29329" s="122" t="n"/>
    </s:row>
    <s:row r="29330" hidden="1" ht="1" customHeight="1">
      <s:c r="A29330" s="120" t="inlineStr"/>
      <s:c r="B29330" s="121" t="n"/>
      <s:c r="C29330" s="121" t="n"/>
      <s:c r="D29330" s="121" t="n"/>
      <s:c r="E29330" s="122" t="n"/>
    </s:row>
    <s:row r="29331" hidden="1" ht="1" customHeight="1">
      <s:c r="A29331" s="120" t="inlineStr"/>
      <s:c r="B29331" s="121" t="n"/>
      <s:c r="C29331" s="121" t="n"/>
      <s:c r="D29331" s="121" t="n"/>
      <s:c r="E29331" s="122" t="n"/>
    </s:row>
    <s:row r="29332" hidden="1" ht="1" customHeight="1">
      <s:c r="A29332" s="120" t="inlineStr"/>
      <s:c r="B29332" s="121" t="n"/>
      <s:c r="C29332" s="121" t="n"/>
      <s:c r="D29332" s="121" t="n"/>
      <s:c r="E29332" s="122" t="n"/>
    </s:row>
    <s:row r="29333" hidden="1" ht="1" customHeight="1">
      <s:c r="A29333" s="120" t="inlineStr"/>
      <s:c r="B29333" s="121" t="n"/>
      <s:c r="C29333" s="121" t="n"/>
      <s:c r="D29333" s="121" t="n"/>
      <s:c r="E29333" s="122" t="n"/>
    </s:row>
    <s:row r="29334" hidden="1" ht="1" customHeight="1">
      <s:c r="A29334" s="120" t="inlineStr"/>
      <s:c r="B29334" s="121" t="n"/>
      <s:c r="C29334" s="121" t="n"/>
      <s:c r="D29334" s="121" t="n"/>
      <s:c r="E29334" s="122" t="n"/>
    </s:row>
    <s:row r="29335" hidden="1" ht="1" customHeight="1">
      <s:c r="A29335" s="120" t="inlineStr"/>
      <s:c r="B29335" s="121" t="n"/>
      <s:c r="C29335" s="121" t="n"/>
      <s:c r="D29335" s="121" t="n"/>
      <s:c r="E29335" s="122" t="n"/>
    </s:row>
    <s:row r="29336" hidden="1" ht="1" customHeight="1">
      <s:c r="A29336" s="120" t="inlineStr"/>
      <s:c r="B29336" s="121" t="n"/>
      <s:c r="C29336" s="121" t="n"/>
      <s:c r="D29336" s="121" t="n"/>
      <s:c r="E29336" s="122" t="n"/>
    </s:row>
    <s:row r="29337" hidden="1" ht="1" customHeight="1">
      <s:c r="A29337" s="120" t="inlineStr"/>
      <s:c r="B29337" s="121" t="n"/>
      <s:c r="C29337" s="121" t="n"/>
      <s:c r="D29337" s="121" t="n"/>
      <s:c r="E29337" s="122" t="n"/>
    </s:row>
    <s:row r="29338" hidden="1" ht="1" customHeight="1">
      <s:c r="A29338" s="120" t="inlineStr"/>
      <s:c r="B29338" s="121" t="n"/>
      <s:c r="C29338" s="121" t="n"/>
      <s:c r="D29338" s="121" t="n"/>
      <s:c r="E29338" s="122" t="n"/>
    </s:row>
    <s:row r="29339" hidden="1" ht="1" customHeight="1">
      <s:c r="A29339" s="120" t="inlineStr"/>
      <s:c r="B29339" s="121" t="n"/>
      <s:c r="C29339" s="121" t="n"/>
      <s:c r="D29339" s="121" t="n"/>
      <s:c r="E29339" s="122" t="n"/>
    </s:row>
    <s:row r="29340" hidden="1" ht="1" customHeight="1">
      <s:c r="A29340" s="120" t="inlineStr"/>
      <s:c r="B29340" s="121" t="n"/>
      <s:c r="C29340" s="121" t="n"/>
      <s:c r="D29340" s="121" t="n"/>
      <s:c r="E29340" s="122" t="n"/>
    </s:row>
    <s:row r="29341" hidden="1" ht="1" customHeight="1">
      <s:c r="A29341" s="120" t="inlineStr"/>
      <s:c r="B29341" s="121" t="n"/>
      <s:c r="C29341" s="121" t="n"/>
      <s:c r="D29341" s="121" t="n"/>
      <s:c r="E29341" s="122" t="n"/>
    </s:row>
    <s:row r="29342" hidden="1" ht="1" customHeight="1">
      <s:c r="A29342" s="120" t="inlineStr"/>
      <s:c r="B29342" s="121" t="n"/>
      <s:c r="C29342" s="121" t="n"/>
      <s:c r="D29342" s="121" t="n"/>
      <s:c r="E29342" s="122" t="n"/>
    </s:row>
    <s:row r="29343" hidden="1" ht="1" customHeight="1">
      <s:c r="A29343" s="120" t="inlineStr"/>
      <s:c r="B29343" s="121" t="n"/>
      <s:c r="C29343" s="121" t="n"/>
      <s:c r="D29343" s="121" t="n"/>
      <s:c r="E29343" s="122" t="n"/>
    </s:row>
    <s:row r="29344" hidden="1" ht="1" customHeight="1">
      <s:c r="A29344" s="120" t="inlineStr"/>
      <s:c r="B29344" s="121" t="n"/>
      <s:c r="C29344" s="121" t="n"/>
      <s:c r="D29344" s="121" t="n"/>
      <s:c r="E29344" s="122" t="n"/>
    </s:row>
    <s:row r="29345" hidden="1" ht="1" customHeight="1">
      <s:c r="A29345" s="120" t="inlineStr"/>
      <s:c r="B29345" s="121" t="n"/>
      <s:c r="C29345" s="121" t="n"/>
      <s:c r="D29345" s="121" t="n"/>
      <s:c r="E29345" s="122" t="n"/>
    </s:row>
    <s:row r="29346" hidden="1" ht="1" customHeight="1">
      <s:c r="A29346" s="120" t="inlineStr"/>
      <s:c r="B29346" s="121" t="n"/>
      <s:c r="C29346" s="121" t="n"/>
      <s:c r="D29346" s="121" t="n"/>
      <s:c r="E29346" s="122" t="n"/>
    </s:row>
    <s:row r="29347" hidden="1" ht="1" customHeight="1">
      <s:c r="A29347" s="120" t="inlineStr"/>
      <s:c r="B29347" s="121" t="n"/>
      <s:c r="C29347" s="121" t="n"/>
      <s:c r="D29347" s="121" t="n"/>
      <s:c r="E29347" s="122" t="n"/>
    </s:row>
    <s:row r="29348" hidden="1" ht="1" customHeight="1">
      <s:c r="A29348" s="120" t="inlineStr"/>
      <s:c r="B29348" s="121" t="n"/>
      <s:c r="C29348" s="121" t="n"/>
      <s:c r="D29348" s="121" t="n"/>
      <s:c r="E29348" s="122" t="n"/>
    </s:row>
    <s:row r="29349" hidden="1" ht="1" customHeight="1">
      <s:c r="A29349" s="120" t="inlineStr"/>
      <s:c r="B29349" s="121" t="n"/>
      <s:c r="C29349" s="121" t="n"/>
      <s:c r="D29349" s="121" t="n"/>
      <s:c r="E29349" s="122" t="n"/>
    </s:row>
    <s:row r="29350" hidden="1" ht="1" customHeight="1">
      <s:c r="A29350" s="120" t="inlineStr"/>
      <s:c r="B29350" s="121" t="n"/>
      <s:c r="C29350" s="121" t="n"/>
      <s:c r="D29350" s="121" t="n"/>
      <s:c r="E29350" s="122" t="n"/>
    </s:row>
    <s:row r="29351" hidden="1" ht="1" customHeight="1">
      <s:c r="A29351" s="120" t="inlineStr"/>
      <s:c r="B29351" s="121" t="n"/>
      <s:c r="C29351" s="121" t="n"/>
      <s:c r="D29351" s="121" t="n"/>
      <s:c r="E29351" s="122" t="n"/>
    </s:row>
    <s:row r="29352" hidden="1" ht="1" customHeight="1">
      <s:c r="A29352" s="120" t="inlineStr"/>
      <s:c r="B29352" s="121" t="n"/>
      <s:c r="C29352" s="121" t="n"/>
      <s:c r="D29352" s="121" t="n"/>
      <s:c r="E29352" s="122" t="n"/>
    </s:row>
    <s:row r="29353" hidden="1" ht="1" customHeight="1">
      <s:c r="A29353" s="120" t="inlineStr"/>
      <s:c r="B29353" s="121" t="n"/>
      <s:c r="C29353" s="121" t="n"/>
      <s:c r="D29353" s="121" t="n"/>
      <s:c r="E29353" s="122" t="n"/>
    </s:row>
    <s:row r="29354" hidden="1" ht="1" customHeight="1">
      <s:c r="A29354" s="120" t="inlineStr"/>
      <s:c r="B29354" s="121" t="n"/>
      <s:c r="C29354" s="121" t="n"/>
      <s:c r="D29354" s="121" t="n"/>
      <s:c r="E29354" s="122" t="n"/>
    </s:row>
    <s:row r="29355" hidden="1" ht="1" customHeight="1">
      <s:c r="A29355" s="120" t="inlineStr"/>
      <s:c r="B29355" s="121" t="n"/>
      <s:c r="C29355" s="121" t="n"/>
      <s:c r="D29355" s="121" t="n"/>
      <s:c r="E29355" s="122" t="n"/>
    </s:row>
    <s:row r="29356" hidden="1" ht="1" customHeight="1">
      <s:c r="A29356" s="120" t="inlineStr"/>
      <s:c r="B29356" s="121" t="n"/>
      <s:c r="C29356" s="121" t="n"/>
      <s:c r="D29356" s="121" t="n"/>
      <s:c r="E29356" s="122" t="n"/>
    </s:row>
    <s:row r="29357" hidden="1" ht="1" customHeight="1">
      <s:c r="A29357" s="120" t="inlineStr"/>
      <s:c r="B29357" s="121" t="n"/>
      <s:c r="C29357" s="121" t="n"/>
      <s:c r="D29357" s="121" t="n"/>
      <s:c r="E29357" s="122" t="n"/>
    </s:row>
    <s:row r="29358" hidden="1" ht="1" customHeight="1">
      <s:c r="A29358" s="120" t="inlineStr"/>
      <s:c r="B29358" s="121" t="n"/>
      <s:c r="C29358" s="121" t="n"/>
      <s:c r="D29358" s="121" t="n"/>
      <s:c r="E29358" s="122" t="n"/>
    </s:row>
    <s:row r="29359" hidden="1" ht="1" customHeight="1">
      <s:c r="A29359" s="120" t="inlineStr"/>
      <s:c r="B29359" s="121" t="n"/>
      <s:c r="C29359" s="121" t="n"/>
      <s:c r="D29359" s="121" t="n"/>
      <s:c r="E29359" s="122" t="n"/>
    </s:row>
    <s:row r="29360" hidden="1" ht="1" customHeight="1">
      <s:c r="A29360" s="120" t="inlineStr"/>
      <s:c r="B29360" s="121" t="n"/>
      <s:c r="C29360" s="121" t="n"/>
      <s:c r="D29360" s="121" t="n"/>
      <s:c r="E29360" s="122" t="n"/>
    </s:row>
    <s:row r="29361" hidden="1" ht="1" customHeight="1">
      <s:c r="A29361" s="120" t="inlineStr"/>
      <s:c r="B29361" s="121" t="n"/>
      <s:c r="C29361" s="121" t="n"/>
      <s:c r="D29361" s="121" t="n"/>
      <s:c r="E29361" s="122" t="n"/>
    </s:row>
    <s:row r="29362" hidden="1" ht="1" customHeight="1">
      <s:c r="A29362" s="120" t="inlineStr"/>
      <s:c r="B29362" s="121" t="n"/>
      <s:c r="C29362" s="121" t="n"/>
      <s:c r="D29362" s="121" t="n"/>
      <s:c r="E29362" s="122" t="n"/>
    </s:row>
    <s:row r="29363" hidden="1" ht="1" customHeight="1">
      <s:c r="A29363" s="120" t="inlineStr"/>
      <s:c r="B29363" s="121" t="n"/>
      <s:c r="C29363" s="121" t="n"/>
      <s:c r="D29363" s="121" t="n"/>
      <s:c r="E29363" s="122" t="n"/>
    </s:row>
    <s:row r="29364" hidden="1" ht="1" customHeight="1">
      <s:c r="A29364" s="120" t="inlineStr"/>
      <s:c r="B29364" s="121" t="n"/>
      <s:c r="C29364" s="121" t="n"/>
      <s:c r="D29364" s="121" t="n"/>
      <s:c r="E29364" s="122" t="n"/>
    </s:row>
    <s:row r="29365" hidden="1" ht="1" customHeight="1">
      <s:c r="A29365" s="120" t="inlineStr"/>
      <s:c r="B29365" s="121" t="n"/>
      <s:c r="C29365" s="121" t="n"/>
      <s:c r="D29365" s="121" t="n"/>
      <s:c r="E29365" s="122" t="n"/>
    </s:row>
    <s:row r="29366" hidden="1" ht="1" customHeight="1">
      <s:c r="A29366" s="120" t="inlineStr"/>
      <s:c r="B29366" s="121" t="n"/>
      <s:c r="C29366" s="121" t="n"/>
      <s:c r="D29366" s="121" t="n"/>
      <s:c r="E29366" s="122" t="n"/>
    </s:row>
    <s:row r="29367" hidden="1" ht="1" customHeight="1">
      <s:c r="A29367" s="120" t="inlineStr"/>
      <s:c r="B29367" s="121" t="n"/>
      <s:c r="C29367" s="121" t="n"/>
      <s:c r="D29367" s="121" t="n"/>
      <s:c r="E29367" s="122" t="n"/>
    </s:row>
    <s:row r="29368" hidden="1" ht="1" customHeight="1">
      <s:c r="A29368" s="120" t="inlineStr"/>
      <s:c r="B29368" s="121" t="n"/>
      <s:c r="C29368" s="121" t="n"/>
      <s:c r="D29368" s="121" t="n"/>
      <s:c r="E29368" s="122" t="n"/>
    </s:row>
    <s:row r="29369" hidden="1" ht="1" customHeight="1">
      <s:c r="A29369" s="120" t="inlineStr"/>
      <s:c r="B29369" s="121" t="n"/>
      <s:c r="C29369" s="121" t="n"/>
      <s:c r="D29369" s="121" t="n"/>
      <s:c r="E29369" s="122" t="n"/>
    </s:row>
    <s:row r="29370" hidden="1" ht="1" customHeight="1">
      <s:c r="A29370" s="120" t="inlineStr"/>
      <s:c r="B29370" s="121" t="n"/>
      <s:c r="C29370" s="121" t="n"/>
      <s:c r="D29370" s="121" t="n"/>
      <s:c r="E29370" s="122" t="n"/>
    </s:row>
    <s:row r="29371" hidden="1" ht="1" customHeight="1">
      <s:c r="A29371" s="120" t="inlineStr"/>
      <s:c r="B29371" s="121" t="n"/>
      <s:c r="C29371" s="121" t="n"/>
      <s:c r="D29371" s="121" t="n"/>
      <s:c r="E29371" s="122" t="n"/>
    </s:row>
    <s:row r="29372" hidden="1" ht="1" customHeight="1">
      <s:c r="A29372" s="120" t="inlineStr"/>
      <s:c r="B29372" s="121" t="n"/>
      <s:c r="C29372" s="121" t="n"/>
      <s:c r="D29372" s="121" t="n"/>
      <s:c r="E29372" s="122" t="n"/>
    </s:row>
    <s:row r="29373" hidden="1" ht="1" customHeight="1">
      <s:c r="A29373" s="120" t="inlineStr"/>
      <s:c r="B29373" s="121" t="n"/>
      <s:c r="C29373" s="121" t="n"/>
      <s:c r="D29373" s="121" t="n"/>
      <s:c r="E29373" s="122" t="n"/>
    </s:row>
    <s:row r="29374" hidden="1" ht="1" customHeight="1">
      <s:c r="A29374" s="120" t="inlineStr"/>
      <s:c r="B29374" s="121" t="n"/>
      <s:c r="C29374" s="121" t="n"/>
      <s:c r="D29374" s="121" t="n"/>
      <s:c r="E29374" s="122" t="n"/>
    </s:row>
    <s:row r="29375" hidden="1" ht="1" customHeight="1">
      <s:c r="A29375" s="120" t="inlineStr"/>
      <s:c r="B29375" s="121" t="n"/>
      <s:c r="C29375" s="121" t="n"/>
      <s:c r="D29375" s="121" t="n"/>
      <s:c r="E29375" s="122" t="n"/>
    </s:row>
    <s:row r="29376" hidden="1" ht="1" customHeight="1">
      <s:c r="A29376" s="120" t="inlineStr"/>
      <s:c r="B29376" s="121" t="n"/>
      <s:c r="C29376" s="121" t="n"/>
      <s:c r="D29376" s="121" t="n"/>
      <s:c r="E29376" s="122" t="n"/>
    </s:row>
    <s:row r="29377" hidden="1" ht="1" customHeight="1">
      <s:c r="A29377" s="120" t="inlineStr"/>
      <s:c r="B29377" s="121" t="n"/>
      <s:c r="C29377" s="121" t="n"/>
      <s:c r="D29377" s="121" t="n"/>
      <s:c r="E29377" s="122" t="n"/>
    </s:row>
    <s:row r="29378" hidden="1" ht="1" customHeight="1">
      <s:c r="A29378" s="120" t="inlineStr"/>
      <s:c r="B29378" s="121" t="n"/>
      <s:c r="C29378" s="121" t="n"/>
      <s:c r="D29378" s="121" t="n"/>
      <s:c r="E29378" s="122" t="n"/>
    </s:row>
    <s:row r="29379" hidden="1" ht="1" customHeight="1">
      <s:c r="A29379" s="120" t="inlineStr"/>
      <s:c r="B29379" s="121" t="n"/>
      <s:c r="C29379" s="121" t="n"/>
      <s:c r="D29379" s="121" t="n"/>
      <s:c r="E29379" s="122" t="n"/>
    </s:row>
    <s:row r="29380" hidden="1" ht="1" customHeight="1">
      <s:c r="A29380" s="120" t="inlineStr"/>
      <s:c r="B29380" s="121" t="n"/>
      <s:c r="C29380" s="121" t="n"/>
      <s:c r="D29380" s="121" t="n"/>
      <s:c r="E29380" s="122" t="n"/>
    </s:row>
    <s:row r="29381" hidden="1" ht="1" customHeight="1">
      <s:c r="A29381" s="120" t="inlineStr"/>
      <s:c r="B29381" s="121" t="n"/>
      <s:c r="C29381" s="121" t="n"/>
      <s:c r="D29381" s="121" t="n"/>
      <s:c r="E29381" s="122" t="n"/>
    </s:row>
    <s:row r="29382" hidden="1" ht="1" customHeight="1">
      <s:c r="A29382" s="120" t="inlineStr"/>
      <s:c r="B29382" s="121" t="n"/>
      <s:c r="C29382" s="121" t="n"/>
      <s:c r="D29382" s="121" t="n"/>
      <s:c r="E29382" s="122" t="n"/>
    </s:row>
    <s:row r="29383" hidden="1" ht="1" customHeight="1">
      <s:c r="A29383" s="120" t="inlineStr"/>
      <s:c r="B29383" s="121" t="n"/>
      <s:c r="C29383" s="121" t="n"/>
      <s:c r="D29383" s="121" t="n"/>
      <s:c r="E29383" s="122" t="n"/>
    </s:row>
    <s:row r="29384" hidden="1" ht="1" customHeight="1">
      <s:c r="A29384" s="120" t="inlineStr"/>
      <s:c r="B29384" s="121" t="n"/>
      <s:c r="C29384" s="121" t="n"/>
      <s:c r="D29384" s="121" t="n"/>
      <s:c r="E29384" s="122" t="n"/>
    </s:row>
    <s:row r="29385" hidden="1" ht="1" customHeight="1">
      <s:c r="A29385" s="120" t="inlineStr"/>
      <s:c r="B29385" s="121" t="n"/>
      <s:c r="C29385" s="121" t="n"/>
      <s:c r="D29385" s="121" t="n"/>
      <s:c r="E29385" s="122" t="n"/>
    </s:row>
    <s:row r="29386" hidden="1" ht="1" customHeight="1">
      <s:c r="A29386" s="120" t="inlineStr"/>
      <s:c r="B29386" s="121" t="n"/>
      <s:c r="C29386" s="121" t="n"/>
      <s:c r="D29386" s="121" t="n"/>
      <s:c r="E29386" s="122" t="n"/>
    </s:row>
    <s:row r="29387" hidden="1" ht="1" customHeight="1">
      <s:c r="A29387" s="120" t="inlineStr"/>
      <s:c r="B29387" s="121" t="n"/>
      <s:c r="C29387" s="121" t="n"/>
      <s:c r="D29387" s="121" t="n"/>
      <s:c r="E29387" s="122" t="n"/>
    </s:row>
    <s:row r="29388" hidden="1" ht="1" customHeight="1">
      <s:c r="A29388" s="120" t="inlineStr"/>
      <s:c r="B29388" s="121" t="n"/>
      <s:c r="C29388" s="121" t="n"/>
      <s:c r="D29388" s="121" t="n"/>
      <s:c r="E29388" s="122" t="n"/>
    </s:row>
    <s:row r="29389" hidden="1" ht="1" customHeight="1">
      <s:c r="A29389" s="120" t="inlineStr"/>
      <s:c r="B29389" s="121" t="n"/>
      <s:c r="C29389" s="121" t="n"/>
      <s:c r="D29389" s="121" t="n"/>
      <s:c r="E29389" s="122" t="n"/>
    </s:row>
    <s:row r="29390" hidden="1" ht="1" customHeight="1">
      <s:c r="A29390" s="120" t="inlineStr"/>
      <s:c r="B29390" s="121" t="n"/>
      <s:c r="C29390" s="121" t="n"/>
      <s:c r="D29390" s="121" t="n"/>
      <s:c r="E29390" s="122" t="n"/>
    </s:row>
    <s:row r="29391" hidden="1" ht="1" customHeight="1">
      <s:c r="A29391" s="120" t="inlineStr"/>
      <s:c r="B29391" s="121" t="n"/>
      <s:c r="C29391" s="121" t="n"/>
      <s:c r="D29391" s="121" t="n"/>
      <s:c r="E29391" s="122" t="n"/>
    </s:row>
    <s:row r="29392" hidden="1" ht="1" customHeight="1">
      <s:c r="A29392" s="120" t="inlineStr"/>
      <s:c r="B29392" s="121" t="n"/>
      <s:c r="C29392" s="121" t="n"/>
      <s:c r="D29392" s="121" t="n"/>
      <s:c r="E29392" s="122" t="n"/>
    </s:row>
    <s:row r="29393" hidden="1" ht="1" customHeight="1">
      <s:c r="A29393" s="120" t="inlineStr"/>
      <s:c r="B29393" s="121" t="n"/>
      <s:c r="C29393" s="121" t="n"/>
      <s:c r="D29393" s="121" t="n"/>
      <s:c r="E29393" s="122" t="n"/>
    </s:row>
    <s:row r="29394" hidden="1" ht="1" customHeight="1">
      <s:c r="A29394" s="120" t="inlineStr"/>
      <s:c r="B29394" s="121" t="n"/>
      <s:c r="C29394" s="121" t="n"/>
      <s:c r="D29394" s="121" t="n"/>
      <s:c r="E29394" s="122" t="n"/>
    </s:row>
    <s:row r="29395" hidden="1" ht="1" customHeight="1">
      <s:c r="A29395" s="120" t="inlineStr"/>
      <s:c r="B29395" s="121" t="n"/>
      <s:c r="C29395" s="121" t="n"/>
      <s:c r="D29395" s="121" t="n"/>
      <s:c r="E29395" s="122" t="n"/>
    </s:row>
    <s:row r="29396" hidden="1" ht="1" customHeight="1">
      <s:c r="A29396" s="120" t="inlineStr"/>
      <s:c r="B29396" s="121" t="n"/>
      <s:c r="C29396" s="121" t="n"/>
      <s:c r="D29396" s="121" t="n"/>
      <s:c r="E29396" s="122" t="n"/>
    </s:row>
    <s:row r="29397" hidden="1" ht="1" customHeight="1">
      <s:c r="A29397" s="120" t="inlineStr"/>
      <s:c r="B29397" s="121" t="n"/>
      <s:c r="C29397" s="121" t="n"/>
      <s:c r="D29397" s="121" t="n"/>
      <s:c r="E29397" s="122" t="n"/>
    </s:row>
    <s:row r="29398" hidden="1" ht="1" customHeight="1">
      <s:c r="A29398" s="120" t="inlineStr"/>
      <s:c r="B29398" s="121" t="n"/>
      <s:c r="C29398" s="121" t="n"/>
      <s:c r="D29398" s="121" t="n"/>
      <s:c r="E29398" s="122" t="n"/>
    </s:row>
    <s:row r="29399" hidden="1" ht="1" customHeight="1">
      <s:c r="A29399" s="120" t="inlineStr"/>
      <s:c r="B29399" s="121" t="n"/>
      <s:c r="C29399" s="121" t="n"/>
      <s:c r="D29399" s="121" t="n"/>
      <s:c r="E29399" s="122" t="n"/>
    </s:row>
    <s:row r="29400" hidden="1" ht="1" customHeight="1">
      <s:c r="A29400" s="120" t="inlineStr"/>
      <s:c r="B29400" s="121" t="n"/>
      <s:c r="C29400" s="121" t="n"/>
      <s:c r="D29400" s="121" t="n"/>
      <s:c r="E29400" s="122" t="n"/>
    </s:row>
    <s:row r="29401" hidden="1" ht="1" customHeight="1">
      <s:c r="A29401" s="120" t="inlineStr"/>
      <s:c r="B29401" s="121" t="n"/>
      <s:c r="C29401" s="121" t="n"/>
      <s:c r="D29401" s="121" t="n"/>
      <s:c r="E29401" s="122" t="n"/>
    </s:row>
    <s:row r="29402" hidden="1" ht="1" customHeight="1">
      <s:c r="A29402" s="120" t="inlineStr"/>
      <s:c r="B29402" s="121" t="n"/>
      <s:c r="C29402" s="121" t="n"/>
      <s:c r="D29402" s="121" t="n"/>
      <s:c r="E29402" s="122" t="n"/>
    </s:row>
    <s:row r="29403" hidden="1" ht="1" customHeight="1">
      <s:c r="A29403" s="120" t="inlineStr"/>
      <s:c r="B29403" s="121" t="n"/>
      <s:c r="C29403" s="121" t="n"/>
      <s:c r="D29403" s="121" t="n"/>
      <s:c r="E29403" s="122" t="n"/>
    </s:row>
    <s:row r="29404" hidden="1" ht="1" customHeight="1">
      <s:c r="A29404" s="120" t="inlineStr"/>
      <s:c r="B29404" s="121" t="n"/>
      <s:c r="C29404" s="121" t="n"/>
      <s:c r="D29404" s="121" t="n"/>
      <s:c r="E29404" s="122" t="n"/>
    </s:row>
    <s:row r="29405" hidden="1" ht="1" customHeight="1">
      <s:c r="A29405" s="120" t="inlineStr"/>
      <s:c r="B29405" s="121" t="n"/>
      <s:c r="C29405" s="121" t="n"/>
      <s:c r="D29405" s="121" t="n"/>
      <s:c r="E29405" s="122" t="n"/>
    </s:row>
    <s:row r="29406" hidden="1" ht="1" customHeight="1">
      <s:c r="A29406" s="120" t="inlineStr"/>
      <s:c r="B29406" s="121" t="n"/>
      <s:c r="C29406" s="121" t="n"/>
      <s:c r="D29406" s="121" t="n"/>
      <s:c r="E29406" s="122" t="n"/>
    </s:row>
    <s:row r="29407" hidden="1" ht="1" customHeight="1">
      <s:c r="A29407" s="120" t="inlineStr"/>
      <s:c r="B29407" s="121" t="n"/>
      <s:c r="C29407" s="121" t="n"/>
      <s:c r="D29407" s="121" t="n"/>
      <s:c r="E29407" s="122" t="n"/>
    </s:row>
    <s:row r="29408" hidden="1" ht="1" customHeight="1">
      <s:c r="A29408" s="120" t="inlineStr"/>
      <s:c r="B29408" s="121" t="n"/>
      <s:c r="C29408" s="121" t="n"/>
      <s:c r="D29408" s="121" t="n"/>
      <s:c r="E29408" s="122" t="n"/>
    </s:row>
    <s:row r="29409" hidden="1" ht="1" customHeight="1">
      <s:c r="A29409" s="120" t="inlineStr"/>
      <s:c r="B29409" s="121" t="n"/>
      <s:c r="C29409" s="121" t="n"/>
      <s:c r="D29409" s="121" t="n"/>
      <s:c r="E29409" s="122" t="n"/>
    </s:row>
    <s:row r="29410" hidden="1" ht="1" customHeight="1">
      <s:c r="A29410" s="120" t="inlineStr"/>
      <s:c r="B29410" s="121" t="n"/>
      <s:c r="C29410" s="121" t="n"/>
      <s:c r="D29410" s="121" t="n"/>
      <s:c r="E29410" s="122" t="n"/>
    </s:row>
    <s:row r="29411" hidden="1" ht="1" customHeight="1">
      <s:c r="A29411" s="120" t="inlineStr"/>
      <s:c r="B29411" s="121" t="n"/>
      <s:c r="C29411" s="121" t="n"/>
      <s:c r="D29411" s="121" t="n"/>
      <s:c r="E29411" s="122" t="n"/>
    </s:row>
    <s:row r="29412" hidden="1" ht="1" customHeight="1">
      <s:c r="A29412" s="120" t="inlineStr"/>
      <s:c r="B29412" s="121" t="n"/>
      <s:c r="C29412" s="121" t="n"/>
      <s:c r="D29412" s="121" t="n"/>
      <s:c r="E29412" s="122" t="n"/>
    </s:row>
    <s:row r="29413" hidden="1" ht="1" customHeight="1">
      <s:c r="A29413" s="120" t="inlineStr"/>
      <s:c r="B29413" s="121" t="n"/>
      <s:c r="C29413" s="121" t="n"/>
      <s:c r="D29413" s="121" t="n"/>
      <s:c r="E29413" s="122" t="n"/>
    </s:row>
    <s:row r="29414" hidden="1" ht="1" customHeight="1">
      <s:c r="A29414" s="120" t="inlineStr"/>
      <s:c r="B29414" s="121" t="n"/>
      <s:c r="C29414" s="121" t="n"/>
      <s:c r="D29414" s="121" t="n"/>
      <s:c r="E29414" s="122" t="n"/>
    </s:row>
    <s:row r="29415" hidden="1" ht="1" customHeight="1">
      <s:c r="A29415" s="120" t="inlineStr"/>
      <s:c r="B29415" s="121" t="n"/>
      <s:c r="C29415" s="121" t="n"/>
      <s:c r="D29415" s="121" t="n"/>
      <s:c r="E29415" s="122" t="n"/>
    </s:row>
    <s:row r="29416" hidden="1" ht="1" customHeight="1">
      <s:c r="A29416" s="120" t="inlineStr"/>
      <s:c r="B29416" s="121" t="n"/>
      <s:c r="C29416" s="121" t="n"/>
      <s:c r="D29416" s="121" t="n"/>
      <s:c r="E29416" s="122" t="n"/>
    </s:row>
    <s:row r="29417" hidden="1" ht="1" customHeight="1">
      <s:c r="A29417" s="120" t="inlineStr"/>
      <s:c r="B29417" s="121" t="n"/>
      <s:c r="C29417" s="121" t="n"/>
      <s:c r="D29417" s="121" t="n"/>
      <s:c r="E29417" s="122" t="n"/>
    </s:row>
    <s:row r="29418" hidden="1" ht="1" customHeight="1">
      <s:c r="A29418" s="120" t="inlineStr"/>
      <s:c r="B29418" s="121" t="n"/>
      <s:c r="C29418" s="121" t="n"/>
      <s:c r="D29418" s="121" t="n"/>
      <s:c r="E29418" s="122" t="n"/>
    </s:row>
    <s:row r="29419" hidden="1" ht="1" customHeight="1">
      <s:c r="A29419" s="120" t="inlineStr"/>
      <s:c r="B29419" s="121" t="n"/>
      <s:c r="C29419" s="121" t="n"/>
      <s:c r="D29419" s="121" t="n"/>
      <s:c r="E29419" s="122" t="n"/>
    </s:row>
    <s:row r="29420" hidden="1" ht="1" customHeight="1">
      <s:c r="A29420" s="120" t="inlineStr"/>
      <s:c r="B29420" s="121" t="n"/>
      <s:c r="C29420" s="121" t="n"/>
      <s:c r="D29420" s="121" t="n"/>
      <s:c r="E29420" s="122" t="n"/>
    </s:row>
    <s:row r="29421" hidden="1" ht="1" customHeight="1">
      <s:c r="A29421" s="120" t="inlineStr"/>
      <s:c r="B29421" s="121" t="n"/>
      <s:c r="C29421" s="121" t="n"/>
      <s:c r="D29421" s="121" t="n"/>
      <s:c r="E29421" s="122" t="n"/>
    </s:row>
    <s:row r="29422" hidden="1" ht="1" customHeight="1">
      <s:c r="A29422" s="120" t="inlineStr"/>
      <s:c r="B29422" s="121" t="n"/>
      <s:c r="C29422" s="121" t="n"/>
      <s:c r="D29422" s="121" t="n"/>
      <s:c r="E29422" s="122" t="n"/>
    </s:row>
    <s:row r="29423" hidden="1" ht="1" customHeight="1">
      <s:c r="A29423" s="120" t="inlineStr"/>
      <s:c r="B29423" s="121" t="n"/>
      <s:c r="C29423" s="121" t="n"/>
      <s:c r="D29423" s="121" t="n"/>
      <s:c r="E29423" s="122" t="n"/>
    </s:row>
    <s:row r="29424" hidden="1" ht="1" customHeight="1">
      <s:c r="A29424" s="120" t="inlineStr"/>
      <s:c r="B29424" s="121" t="n"/>
      <s:c r="C29424" s="121" t="n"/>
      <s:c r="D29424" s="121" t="n"/>
      <s:c r="E29424" s="122" t="n"/>
    </s:row>
    <s:row r="29425" hidden="1" ht="1" customHeight="1">
      <s:c r="A29425" s="120" t="inlineStr"/>
      <s:c r="B29425" s="121" t="n"/>
      <s:c r="C29425" s="121" t="n"/>
      <s:c r="D29425" s="121" t="n"/>
      <s:c r="E29425" s="122" t="n"/>
    </s:row>
    <s:row r="29426" hidden="1" ht="1" customHeight="1">
      <s:c r="A29426" s="120" t="inlineStr"/>
      <s:c r="B29426" s="121" t="n"/>
      <s:c r="C29426" s="121" t="n"/>
      <s:c r="D29426" s="121" t="n"/>
      <s:c r="E29426" s="122" t="n"/>
    </s:row>
    <s:row r="29427" hidden="1" ht="1" customHeight="1">
      <s:c r="A29427" s="120" t="inlineStr"/>
      <s:c r="B29427" s="121" t="n"/>
      <s:c r="C29427" s="121" t="n"/>
      <s:c r="D29427" s="121" t="n"/>
      <s:c r="E29427" s="122" t="n"/>
    </s:row>
    <s:row r="29428" hidden="1" ht="1" customHeight="1">
      <s:c r="A29428" s="120" t="inlineStr"/>
      <s:c r="B29428" s="121" t="n"/>
      <s:c r="C29428" s="121" t="n"/>
      <s:c r="D29428" s="121" t="n"/>
      <s:c r="E29428" s="122" t="n"/>
    </s:row>
    <s:row r="29429" hidden="1" ht="1" customHeight="1">
      <s:c r="A29429" s="120" t="inlineStr"/>
      <s:c r="B29429" s="121" t="n"/>
      <s:c r="C29429" s="121" t="n"/>
      <s:c r="D29429" s="121" t="n"/>
      <s:c r="E29429" s="122" t="n"/>
    </s:row>
    <s:row r="29430" hidden="1" ht="1" customHeight="1">
      <s:c r="A29430" s="120" t="inlineStr"/>
      <s:c r="B29430" s="121" t="n"/>
      <s:c r="C29430" s="121" t="n"/>
      <s:c r="D29430" s="121" t="n"/>
      <s:c r="E29430" s="122" t="n"/>
    </s:row>
    <s:row r="29431" hidden="1" ht="1" customHeight="1">
      <s:c r="A29431" s="120" t="inlineStr"/>
      <s:c r="B29431" s="121" t="n"/>
      <s:c r="C29431" s="121" t="n"/>
      <s:c r="D29431" s="121" t="n"/>
      <s:c r="E29431" s="122" t="n"/>
    </s:row>
    <s:row r="29432" hidden="1" ht="1" customHeight="1">
      <s:c r="A29432" s="120" t="inlineStr"/>
      <s:c r="B29432" s="121" t="n"/>
      <s:c r="C29432" s="121" t="n"/>
      <s:c r="D29432" s="121" t="n"/>
      <s:c r="E29432" s="122" t="n"/>
    </s:row>
    <s:row r="29433" hidden="1" ht="1" customHeight="1">
      <s:c r="A29433" s="120" t="inlineStr"/>
      <s:c r="B29433" s="121" t="n"/>
      <s:c r="C29433" s="121" t="n"/>
      <s:c r="D29433" s="121" t="n"/>
      <s:c r="E29433" s="122" t="n"/>
    </s:row>
    <s:row r="29434" hidden="1" ht="1" customHeight="1">
      <s:c r="A29434" s="120" t="inlineStr"/>
      <s:c r="B29434" s="121" t="n"/>
      <s:c r="C29434" s="121" t="n"/>
      <s:c r="D29434" s="121" t="n"/>
      <s:c r="E29434" s="122" t="n"/>
    </s:row>
    <s:row r="29435" hidden="1" ht="1" customHeight="1">
      <s:c r="A29435" s="120" t="inlineStr"/>
      <s:c r="B29435" s="121" t="n"/>
      <s:c r="C29435" s="121" t="n"/>
      <s:c r="D29435" s="121" t="n"/>
      <s:c r="E29435" s="122" t="n"/>
    </s:row>
    <s:row r="29436" hidden="1" ht="1" customHeight="1">
      <s:c r="A29436" s="120" t="inlineStr"/>
      <s:c r="B29436" s="121" t="n"/>
      <s:c r="C29436" s="121" t="n"/>
      <s:c r="D29436" s="121" t="n"/>
      <s:c r="E29436" s="122" t="n"/>
    </s:row>
    <s:row r="29437" hidden="1" ht="1" customHeight="1">
      <s:c r="A29437" s="120" t="inlineStr"/>
      <s:c r="B29437" s="121" t="n"/>
      <s:c r="C29437" s="121" t="n"/>
      <s:c r="D29437" s="121" t="n"/>
      <s:c r="E29437" s="122" t="n"/>
    </s:row>
    <s:row r="29438" hidden="1" ht="1" customHeight="1">
      <s:c r="A29438" s="120" t="inlineStr"/>
      <s:c r="B29438" s="121" t="n"/>
      <s:c r="C29438" s="121" t="n"/>
      <s:c r="D29438" s="121" t="n"/>
      <s:c r="E29438" s="122" t="n"/>
    </s:row>
    <s:row r="29439" hidden="1" ht="1" customHeight="1">
      <s:c r="A29439" s="120" t="inlineStr"/>
      <s:c r="B29439" s="121" t="n"/>
      <s:c r="C29439" s="121" t="n"/>
      <s:c r="D29439" s="121" t="n"/>
      <s:c r="E29439" s="122" t="n"/>
    </s:row>
    <s:row r="29440" hidden="1" ht="1" customHeight="1">
      <s:c r="A29440" s="120" t="inlineStr"/>
      <s:c r="B29440" s="121" t="n"/>
      <s:c r="C29440" s="121" t="n"/>
      <s:c r="D29440" s="121" t="n"/>
      <s:c r="E29440" s="122" t="n"/>
    </s:row>
    <s:row r="29441" hidden="1" ht="1" customHeight="1">
      <s:c r="A29441" s="120" t="inlineStr"/>
      <s:c r="B29441" s="121" t="n"/>
      <s:c r="C29441" s="121" t="n"/>
      <s:c r="D29441" s="121" t="n"/>
      <s:c r="E29441" s="122" t="n"/>
    </s:row>
    <s:row r="29442" hidden="1" ht="1" customHeight="1">
      <s:c r="A29442" s="120" t="inlineStr"/>
      <s:c r="B29442" s="121" t="n"/>
      <s:c r="C29442" s="121" t="n"/>
      <s:c r="D29442" s="121" t="n"/>
      <s:c r="E29442" s="122" t="n"/>
    </s:row>
    <s:row r="29443" hidden="1" ht="1" customHeight="1">
      <s:c r="A29443" s="120" t="inlineStr"/>
      <s:c r="B29443" s="121" t="n"/>
      <s:c r="C29443" s="121" t="n"/>
      <s:c r="D29443" s="121" t="n"/>
      <s:c r="E29443" s="122" t="n"/>
    </s:row>
    <s:row r="29444" hidden="1" ht="1" customHeight="1">
      <s:c r="A29444" s="120" t="inlineStr"/>
      <s:c r="B29444" s="121" t="n"/>
      <s:c r="C29444" s="121" t="n"/>
      <s:c r="D29444" s="121" t="n"/>
      <s:c r="E29444" s="122" t="n"/>
    </s:row>
    <s:row r="29445" hidden="1" ht="1" customHeight="1">
      <s:c r="A29445" s="120" t="inlineStr"/>
      <s:c r="B29445" s="121" t="n"/>
      <s:c r="C29445" s="121" t="n"/>
      <s:c r="D29445" s="121" t="n"/>
      <s:c r="E29445" s="122" t="n"/>
    </s:row>
    <s:row r="29446" hidden="1" ht="1" customHeight="1">
      <s:c r="A29446" s="120" t="inlineStr"/>
      <s:c r="B29446" s="121" t="n"/>
      <s:c r="C29446" s="121" t="n"/>
      <s:c r="D29446" s="121" t="n"/>
      <s:c r="E29446" s="122" t="n"/>
    </s:row>
    <s:row r="29447" hidden="1" ht="1" customHeight="1">
      <s:c r="A29447" s="120" t="inlineStr"/>
      <s:c r="B29447" s="121" t="n"/>
      <s:c r="C29447" s="121" t="n"/>
      <s:c r="D29447" s="121" t="n"/>
      <s:c r="E29447" s="122" t="n"/>
    </s:row>
    <s:row r="29448" hidden="1" ht="1" customHeight="1">
      <s:c r="A29448" s="120" t="inlineStr"/>
      <s:c r="B29448" s="121" t="n"/>
      <s:c r="C29448" s="121" t="n"/>
      <s:c r="D29448" s="121" t="n"/>
      <s:c r="E29448" s="122" t="n"/>
    </s:row>
    <s:row r="29449" hidden="1" ht="1" customHeight="1">
      <s:c r="A29449" s="120" t="inlineStr"/>
      <s:c r="B29449" s="121" t="n"/>
      <s:c r="C29449" s="121" t="n"/>
      <s:c r="D29449" s="121" t="n"/>
      <s:c r="E29449" s="122" t="n"/>
    </s:row>
    <s:row r="29450" hidden="1" ht="1" customHeight="1">
      <s:c r="A29450" s="120" t="inlineStr"/>
      <s:c r="B29450" s="121" t="n"/>
      <s:c r="C29450" s="121" t="n"/>
      <s:c r="D29450" s="121" t="n"/>
      <s:c r="E29450" s="122" t="n"/>
    </s:row>
    <s:row r="29451" hidden="1" ht="1" customHeight="1">
      <s:c r="A29451" s="120" t="inlineStr"/>
      <s:c r="B29451" s="121" t="n"/>
      <s:c r="C29451" s="121" t="n"/>
      <s:c r="D29451" s="121" t="n"/>
      <s:c r="E29451" s="122" t="n"/>
    </s:row>
    <s:row r="29452" hidden="1" ht="1" customHeight="1">
      <s:c r="A29452" s="120" t="inlineStr"/>
      <s:c r="B29452" s="121" t="n"/>
      <s:c r="C29452" s="121" t="n"/>
      <s:c r="D29452" s="121" t="n"/>
      <s:c r="E29452" s="122" t="n"/>
    </s:row>
    <s:row r="29453" hidden="1" ht="1" customHeight="1">
      <s:c r="A29453" s="120" t="inlineStr"/>
      <s:c r="B29453" s="121" t="n"/>
      <s:c r="C29453" s="121" t="n"/>
      <s:c r="D29453" s="121" t="n"/>
      <s:c r="E29453" s="122" t="n"/>
    </s:row>
    <s:row r="29454" hidden="1" ht="1" customHeight="1">
      <s:c r="A29454" s="120" t="inlineStr"/>
      <s:c r="B29454" s="121" t="n"/>
      <s:c r="C29454" s="121" t="n"/>
      <s:c r="D29454" s="121" t="n"/>
      <s:c r="E29454" s="122" t="n"/>
    </s:row>
    <s:row r="29455" hidden="1" ht="1" customHeight="1">
      <s:c r="A29455" s="120" t="inlineStr"/>
      <s:c r="B29455" s="121" t="n"/>
      <s:c r="C29455" s="121" t="n"/>
      <s:c r="D29455" s="121" t="n"/>
      <s:c r="E29455" s="122" t="n"/>
    </s:row>
    <s:row r="29456" hidden="1" ht="1" customHeight="1">
      <s:c r="A29456" s="120" t="inlineStr"/>
      <s:c r="B29456" s="121" t="n"/>
      <s:c r="C29456" s="121" t="n"/>
      <s:c r="D29456" s="121" t="n"/>
      <s:c r="E29456" s="122" t="n"/>
    </s:row>
    <s:row r="29457" hidden="1" ht="1" customHeight="1">
      <s:c r="A29457" s="120" t="inlineStr"/>
      <s:c r="B29457" s="121" t="n"/>
      <s:c r="C29457" s="121" t="n"/>
      <s:c r="D29457" s="121" t="n"/>
      <s:c r="E29457" s="122" t="n"/>
    </s:row>
    <s:row r="29458" hidden="1" ht="1" customHeight="1">
      <s:c r="A29458" s="120" t="inlineStr"/>
      <s:c r="B29458" s="121" t="n"/>
      <s:c r="C29458" s="121" t="n"/>
      <s:c r="D29458" s="121" t="n"/>
      <s:c r="E29458" s="122" t="n"/>
    </s:row>
    <s:row r="29459" hidden="1" ht="1" customHeight="1">
      <s:c r="A29459" s="120" t="inlineStr"/>
      <s:c r="B29459" s="121" t="n"/>
      <s:c r="C29459" s="121" t="n"/>
      <s:c r="D29459" s="121" t="n"/>
      <s:c r="E29459" s="122" t="n"/>
    </s:row>
    <s:row r="29460" hidden="1" ht="1" customHeight="1">
      <s:c r="A29460" s="120" t="inlineStr"/>
      <s:c r="B29460" s="121" t="n"/>
      <s:c r="C29460" s="121" t="n"/>
      <s:c r="D29460" s="121" t="n"/>
      <s:c r="E29460" s="122" t="n"/>
    </s:row>
    <s:row r="29461" hidden="1" ht="1" customHeight="1">
      <s:c r="A29461" s="120" t="inlineStr"/>
      <s:c r="B29461" s="121" t="n"/>
      <s:c r="C29461" s="121" t="n"/>
      <s:c r="D29461" s="121" t="n"/>
      <s:c r="E29461" s="122" t="n"/>
    </s:row>
    <s:row r="29462" hidden="1" ht="1" customHeight="1">
      <s:c r="A29462" s="120" t="inlineStr"/>
      <s:c r="B29462" s="121" t="n"/>
      <s:c r="C29462" s="121" t="n"/>
      <s:c r="D29462" s="121" t="n"/>
      <s:c r="E29462" s="122" t="n"/>
    </s:row>
    <s:row r="29463" hidden="1" ht="1" customHeight="1">
      <s:c r="A29463" s="120" t="inlineStr"/>
      <s:c r="B29463" s="121" t="n"/>
      <s:c r="C29463" s="121" t="n"/>
      <s:c r="D29463" s="121" t="n"/>
      <s:c r="E29463" s="122" t="n"/>
    </s:row>
    <s:row r="29464" hidden="1" ht="1" customHeight="1">
      <s:c r="A29464" s="120" t="inlineStr"/>
      <s:c r="B29464" s="121" t="n"/>
      <s:c r="C29464" s="121" t="n"/>
      <s:c r="D29464" s="121" t="n"/>
      <s:c r="E29464" s="122" t="n"/>
    </s:row>
    <s:row r="29465" hidden="1" ht="1" customHeight="1">
      <s:c r="A29465" s="120" t="inlineStr"/>
      <s:c r="B29465" s="121" t="n"/>
      <s:c r="C29465" s="121" t="n"/>
      <s:c r="D29465" s="121" t="n"/>
      <s:c r="E29465" s="122" t="n"/>
    </s:row>
    <s:row r="29466" hidden="1" ht="1" customHeight="1">
      <s:c r="A29466" s="120" t="inlineStr"/>
      <s:c r="B29466" s="121" t="n"/>
      <s:c r="C29466" s="121" t="n"/>
      <s:c r="D29466" s="121" t="n"/>
      <s:c r="E29466" s="122" t="n"/>
    </s:row>
    <s:row r="29467" hidden="1" ht="1" customHeight="1">
      <s:c r="A29467" s="120" t="inlineStr"/>
      <s:c r="B29467" s="121" t="n"/>
      <s:c r="C29467" s="121" t="n"/>
      <s:c r="D29467" s="121" t="n"/>
      <s:c r="E29467" s="122" t="n"/>
    </s:row>
    <s:row r="29468" hidden="1" ht="1" customHeight="1">
      <s:c r="A29468" s="120" t="inlineStr"/>
      <s:c r="B29468" s="121" t="n"/>
      <s:c r="C29468" s="121" t="n"/>
      <s:c r="D29468" s="121" t="n"/>
      <s:c r="E29468" s="122" t="n"/>
    </s:row>
    <s:row r="29469" hidden="1" ht="1" customHeight="1">
      <s:c r="A29469" s="120" t="inlineStr"/>
      <s:c r="B29469" s="121" t="n"/>
      <s:c r="C29469" s="121" t="n"/>
      <s:c r="D29469" s="121" t="n"/>
      <s:c r="E29469" s="122" t="n"/>
    </s:row>
    <s:row r="29470" hidden="1" ht="1" customHeight="1">
      <s:c r="A29470" s="120" t="inlineStr"/>
      <s:c r="B29470" s="121" t="n"/>
      <s:c r="C29470" s="121" t="n"/>
      <s:c r="D29470" s="121" t="n"/>
      <s:c r="E29470" s="122" t="n"/>
    </s:row>
    <s:row r="29471" hidden="1" ht="1" customHeight="1">
      <s:c r="A29471" s="120" t="inlineStr"/>
      <s:c r="B29471" s="121" t="n"/>
      <s:c r="C29471" s="121" t="n"/>
      <s:c r="D29471" s="121" t="n"/>
      <s:c r="E29471" s="122" t="n"/>
    </s:row>
    <s:row r="29472" hidden="1" ht="1" customHeight="1">
      <s:c r="A29472" s="120" t="inlineStr"/>
      <s:c r="B29472" s="121" t="n"/>
      <s:c r="C29472" s="121" t="n"/>
      <s:c r="D29472" s="121" t="n"/>
      <s:c r="E29472" s="122" t="n"/>
    </s:row>
    <s:row r="29473" hidden="1" ht="1" customHeight="1">
      <s:c r="A29473" s="120" t="inlineStr"/>
      <s:c r="B29473" s="121" t="n"/>
      <s:c r="C29473" s="121" t="n"/>
      <s:c r="D29473" s="121" t="n"/>
      <s:c r="E29473" s="122" t="n"/>
    </s:row>
    <s:row r="29474" hidden="1" ht="1" customHeight="1">
      <s:c r="A29474" s="120" t="inlineStr"/>
      <s:c r="B29474" s="121" t="n"/>
      <s:c r="C29474" s="121" t="n"/>
      <s:c r="D29474" s="121" t="n"/>
      <s:c r="E29474" s="122" t="n"/>
    </s:row>
    <s:row r="29475" hidden="1" ht="1" customHeight="1">
      <s:c r="A29475" s="120" t="inlineStr"/>
      <s:c r="B29475" s="121" t="n"/>
      <s:c r="C29475" s="121" t="n"/>
      <s:c r="D29475" s="121" t="n"/>
      <s:c r="E29475" s="122" t="n"/>
    </s:row>
    <s:row r="29476" hidden="1" ht="1" customHeight="1">
      <s:c r="A29476" s="120" t="inlineStr"/>
      <s:c r="B29476" s="121" t="n"/>
      <s:c r="C29476" s="121" t="n"/>
      <s:c r="D29476" s="121" t="n"/>
      <s:c r="E29476" s="122" t="n"/>
    </s:row>
    <s:row r="29477" hidden="1" ht="1" customHeight="1">
      <s:c r="A29477" s="120" t="inlineStr"/>
      <s:c r="B29477" s="121" t="n"/>
      <s:c r="C29477" s="121" t="n"/>
      <s:c r="D29477" s="121" t="n"/>
      <s:c r="E29477" s="122" t="n"/>
    </s:row>
    <s:row r="29478" hidden="1" ht="1" customHeight="1">
      <s:c r="A29478" s="120" t="inlineStr"/>
      <s:c r="B29478" s="121" t="n"/>
      <s:c r="C29478" s="121" t="n"/>
      <s:c r="D29478" s="121" t="n"/>
      <s:c r="E29478" s="122" t="n"/>
    </s:row>
    <s:row r="29479" hidden="1" ht="1" customHeight="1">
      <s:c r="A29479" s="120" t="inlineStr"/>
      <s:c r="B29479" s="121" t="n"/>
      <s:c r="C29479" s="121" t="n"/>
      <s:c r="D29479" s="121" t="n"/>
      <s:c r="E29479" s="122" t="n"/>
    </s:row>
    <s:row r="29480" hidden="1" ht="1" customHeight="1">
      <s:c r="A29480" s="120" t="inlineStr"/>
      <s:c r="B29480" s="121" t="n"/>
      <s:c r="C29480" s="121" t="n"/>
      <s:c r="D29480" s="121" t="n"/>
      <s:c r="E29480" s="122" t="n"/>
    </s:row>
    <s:row r="29481" hidden="1" ht="1" customHeight="1">
      <s:c r="A29481" s="120" t="inlineStr"/>
      <s:c r="B29481" s="121" t="n"/>
      <s:c r="C29481" s="121" t="n"/>
      <s:c r="D29481" s="121" t="n"/>
      <s:c r="E29481" s="122" t="n"/>
    </s:row>
    <s:row r="29482" hidden="1" ht="1" customHeight="1">
      <s:c r="A29482" s="120" t="inlineStr"/>
      <s:c r="B29482" s="121" t="n"/>
      <s:c r="C29482" s="121" t="n"/>
      <s:c r="D29482" s="121" t="n"/>
      <s:c r="E29482" s="122" t="n"/>
    </s:row>
    <s:row r="29483" hidden="1" ht="1" customHeight="1">
      <s:c r="A29483" s="120" t="inlineStr"/>
      <s:c r="B29483" s="121" t="n"/>
      <s:c r="C29483" s="121" t="n"/>
      <s:c r="D29483" s="121" t="n"/>
      <s:c r="E29483" s="122" t="n"/>
    </s:row>
    <s:row r="29484" hidden="1" ht="1" customHeight="1">
      <s:c r="A29484" s="120" t="inlineStr"/>
      <s:c r="B29484" s="121" t="n"/>
      <s:c r="C29484" s="121" t="n"/>
      <s:c r="D29484" s="121" t="n"/>
      <s:c r="E29484" s="122" t="n"/>
    </s:row>
    <s:row r="29485" hidden="1" ht="1" customHeight="1">
      <s:c r="A29485" s="120" t="inlineStr"/>
      <s:c r="B29485" s="121" t="n"/>
      <s:c r="C29485" s="121" t="n"/>
      <s:c r="D29485" s="121" t="n"/>
      <s:c r="E29485" s="122" t="n"/>
    </s:row>
    <s:row r="29486" hidden="1" ht="1" customHeight="1">
      <s:c r="A29486" s="120" t="inlineStr"/>
      <s:c r="B29486" s="121" t="n"/>
      <s:c r="C29486" s="121" t="n"/>
      <s:c r="D29486" s="121" t="n"/>
      <s:c r="E29486" s="122" t="n"/>
    </s:row>
    <s:row r="29487" hidden="1" ht="1" customHeight="1">
      <s:c r="A29487" s="120" t="inlineStr"/>
      <s:c r="B29487" s="121" t="n"/>
      <s:c r="C29487" s="121" t="n"/>
      <s:c r="D29487" s="121" t="n"/>
      <s:c r="E29487" s="122" t="n"/>
    </s:row>
    <s:row r="29488" hidden="1" ht="1" customHeight="1">
      <s:c r="A29488" s="120" t="inlineStr"/>
      <s:c r="B29488" s="121" t="n"/>
      <s:c r="C29488" s="121" t="n"/>
      <s:c r="D29488" s="121" t="n"/>
      <s:c r="E29488" s="122" t="n"/>
    </s:row>
    <s:row r="29489" hidden="1" ht="1" customHeight="1">
      <s:c r="A29489" s="120" t="inlineStr"/>
      <s:c r="B29489" s="121" t="n"/>
      <s:c r="C29489" s="121" t="n"/>
      <s:c r="D29489" s="121" t="n"/>
      <s:c r="E29489" s="122" t="n"/>
    </s:row>
    <s:row r="29490" hidden="1" ht="1" customHeight="1">
      <s:c r="A29490" s="120" t="inlineStr"/>
      <s:c r="B29490" s="121" t="n"/>
      <s:c r="C29490" s="121" t="n"/>
      <s:c r="D29490" s="121" t="n"/>
      <s:c r="E29490" s="122" t="n"/>
    </s:row>
    <s:row r="29491" hidden="1" ht="1" customHeight="1">
      <s:c r="A29491" s="120" t="inlineStr"/>
      <s:c r="B29491" s="121" t="n"/>
      <s:c r="C29491" s="121" t="n"/>
      <s:c r="D29491" s="121" t="n"/>
      <s:c r="E29491" s="122" t="n"/>
    </s:row>
    <s:row r="29492" hidden="1" ht="1" customHeight="1">
      <s:c r="A29492" s="120" t="inlineStr"/>
      <s:c r="B29492" s="121" t="n"/>
      <s:c r="C29492" s="121" t="n"/>
      <s:c r="D29492" s="121" t="n"/>
      <s:c r="E29492" s="122" t="n"/>
    </s:row>
    <s:row r="29493" hidden="1" ht="1" customHeight="1">
      <s:c r="A29493" s="120" t="inlineStr"/>
      <s:c r="B29493" s="121" t="n"/>
      <s:c r="C29493" s="121" t="n"/>
      <s:c r="D29493" s="121" t="n"/>
      <s:c r="E29493" s="122" t="n"/>
    </s:row>
    <s:row r="29494" hidden="1" ht="1" customHeight="1">
      <s:c r="A29494" s="120" t="inlineStr"/>
      <s:c r="B29494" s="121" t="n"/>
      <s:c r="C29494" s="121" t="n"/>
      <s:c r="D29494" s="121" t="n"/>
      <s:c r="E29494" s="122" t="n"/>
    </s:row>
    <s:row r="29495" hidden="1" ht="1" customHeight="1">
      <s:c r="A29495" s="120" t="inlineStr"/>
      <s:c r="B29495" s="121" t="n"/>
      <s:c r="C29495" s="121" t="n"/>
      <s:c r="D29495" s="121" t="n"/>
      <s:c r="E29495" s="122" t="n"/>
    </s:row>
    <s:row r="29496" hidden="1" ht="1" customHeight="1">
      <s:c r="A29496" s="120" t="inlineStr"/>
      <s:c r="B29496" s="121" t="n"/>
      <s:c r="C29496" s="121" t="n"/>
      <s:c r="D29496" s="121" t="n"/>
      <s:c r="E29496" s="122" t="n"/>
    </s:row>
    <s:row r="29497" hidden="1" ht="1" customHeight="1">
      <s:c r="A29497" s="120" t="inlineStr"/>
      <s:c r="B29497" s="121" t="n"/>
      <s:c r="C29497" s="121" t="n"/>
      <s:c r="D29497" s="121" t="n"/>
      <s:c r="E29497" s="122" t="n"/>
    </s:row>
    <s:row r="29498" hidden="1" ht="1" customHeight="1">
      <s:c r="A29498" s="120" t="inlineStr"/>
      <s:c r="B29498" s="121" t="n"/>
      <s:c r="C29498" s="121" t="n"/>
      <s:c r="D29498" s="121" t="n"/>
      <s:c r="E29498" s="122" t="n"/>
    </s:row>
    <s:row r="29499" hidden="1" ht="1" customHeight="1">
      <s:c r="A29499" s="120" t="inlineStr"/>
      <s:c r="B29499" s="121" t="n"/>
      <s:c r="C29499" s="121" t="n"/>
      <s:c r="D29499" s="121" t="n"/>
      <s:c r="E29499" s="122" t="n"/>
    </s:row>
    <s:row r="29500" hidden="1" ht="1" customHeight="1">
      <s:c r="A29500" s="120" t="inlineStr"/>
      <s:c r="B29500" s="121" t="n"/>
      <s:c r="C29500" s="121" t="n"/>
      <s:c r="D29500" s="121" t="n"/>
      <s:c r="E29500" s="122" t="n"/>
    </s:row>
    <s:row r="29501" hidden="1" ht="1" customHeight="1">
      <s:c r="A29501" s="120" t="inlineStr"/>
      <s:c r="B29501" s="121" t="n"/>
      <s:c r="C29501" s="121" t="n"/>
      <s:c r="D29501" s="121" t="n"/>
      <s:c r="E29501" s="122" t="n"/>
    </s:row>
    <s:row r="29502" hidden="1" ht="1" customHeight="1">
      <s:c r="A29502" s="120" t="inlineStr"/>
      <s:c r="B29502" s="121" t="n"/>
      <s:c r="C29502" s="121" t="n"/>
      <s:c r="D29502" s="121" t="n"/>
      <s:c r="E29502" s="122" t="n"/>
    </s:row>
    <s:row r="29503" hidden="1" ht="1" customHeight="1">
      <s:c r="A29503" s="120" t="inlineStr"/>
      <s:c r="B29503" s="121" t="n"/>
      <s:c r="C29503" s="121" t="n"/>
      <s:c r="D29503" s="121" t="n"/>
      <s:c r="E29503" s="122" t="n"/>
    </s:row>
    <s:row r="29504" hidden="1" ht="1" customHeight="1">
      <s:c r="A29504" s="120" t="inlineStr"/>
      <s:c r="B29504" s="121" t="n"/>
      <s:c r="C29504" s="121" t="n"/>
      <s:c r="D29504" s="121" t="n"/>
      <s:c r="E29504" s="122" t="n"/>
    </s:row>
    <s:row r="29505" hidden="1" ht="1" customHeight="1">
      <s:c r="A29505" s="120" t="inlineStr"/>
      <s:c r="B29505" s="121" t="n"/>
      <s:c r="C29505" s="121" t="n"/>
      <s:c r="D29505" s="121" t="n"/>
      <s:c r="E29505" s="122" t="n"/>
    </s:row>
    <s:row r="29506" hidden="1" ht="1" customHeight="1">
      <s:c r="A29506" s="120" t="inlineStr"/>
      <s:c r="B29506" s="121" t="n"/>
      <s:c r="C29506" s="121" t="n"/>
      <s:c r="D29506" s="121" t="n"/>
      <s:c r="E29506" s="122" t="n"/>
    </s:row>
    <s:row r="29507" hidden="1" ht="1" customHeight="1">
      <s:c r="A29507" s="120" t="inlineStr"/>
      <s:c r="B29507" s="121" t="n"/>
      <s:c r="C29507" s="121" t="n"/>
      <s:c r="D29507" s="121" t="n"/>
      <s:c r="E29507" s="122" t="n"/>
    </s:row>
    <s:row r="29508" hidden="1" ht="1" customHeight="1">
      <s:c r="A29508" s="120" t="inlineStr"/>
      <s:c r="B29508" s="121" t="n"/>
      <s:c r="C29508" s="121" t="n"/>
      <s:c r="D29508" s="121" t="n"/>
      <s:c r="E29508" s="122" t="n"/>
    </s:row>
    <s:row r="29509" hidden="1" ht="1" customHeight="1">
      <s:c r="A29509" s="120" t="inlineStr"/>
      <s:c r="B29509" s="121" t="n"/>
      <s:c r="C29509" s="121" t="n"/>
      <s:c r="D29509" s="121" t="n"/>
      <s:c r="E29509" s="122" t="n"/>
    </s:row>
    <s:row r="29510" hidden="1" ht="1" customHeight="1">
      <s:c r="A29510" s="120" t="inlineStr"/>
      <s:c r="B29510" s="121" t="n"/>
      <s:c r="C29510" s="121" t="n"/>
      <s:c r="D29510" s="121" t="n"/>
      <s:c r="E29510" s="122" t="n"/>
    </s:row>
    <s:row r="29511" hidden="1" ht="1" customHeight="1">
      <s:c r="A29511" s="120" t="inlineStr"/>
      <s:c r="B29511" s="121" t="n"/>
      <s:c r="C29511" s="121" t="n"/>
      <s:c r="D29511" s="121" t="n"/>
      <s:c r="E29511" s="122" t="n"/>
    </s:row>
    <s:row r="29512" hidden="1" ht="1" customHeight="1">
      <s:c r="A29512" s="120" t="inlineStr"/>
      <s:c r="B29512" s="121" t="n"/>
      <s:c r="C29512" s="121" t="n"/>
      <s:c r="D29512" s="121" t="n"/>
      <s:c r="E29512" s="122" t="n"/>
    </s:row>
    <s:row r="29513" hidden="1" ht="1" customHeight="1">
      <s:c r="A29513" s="120" t="inlineStr"/>
      <s:c r="B29513" s="121" t="n"/>
      <s:c r="C29513" s="121" t="n"/>
      <s:c r="D29513" s="121" t="n"/>
      <s:c r="E29513" s="122" t="n"/>
    </s:row>
    <s:row r="29514" hidden="1" ht="1" customHeight="1">
      <s:c r="A29514" s="120" t="inlineStr"/>
      <s:c r="B29514" s="121" t="n"/>
      <s:c r="C29514" s="121" t="n"/>
      <s:c r="D29514" s="121" t="n"/>
      <s:c r="E29514" s="122" t="n"/>
    </s:row>
    <s:row r="29515" hidden="1" ht="1" customHeight="1">
      <s:c r="A29515" s="120" t="inlineStr"/>
      <s:c r="B29515" s="121" t="n"/>
      <s:c r="C29515" s="121" t="n"/>
      <s:c r="D29515" s="121" t="n"/>
      <s:c r="E29515" s="122" t="n"/>
    </s:row>
    <s:row r="29516" hidden="1" ht="1" customHeight="1">
      <s:c r="A29516" s="120" t="inlineStr"/>
      <s:c r="B29516" s="121" t="n"/>
      <s:c r="C29516" s="121" t="n"/>
      <s:c r="D29516" s="121" t="n"/>
      <s:c r="E29516" s="122" t="n"/>
    </s:row>
    <s:row r="29517" hidden="1" ht="1" customHeight="1">
      <s:c r="A29517" s="120" t="inlineStr"/>
      <s:c r="B29517" s="121" t="n"/>
      <s:c r="C29517" s="121" t="n"/>
      <s:c r="D29517" s="121" t="n"/>
      <s:c r="E29517" s="122" t="n"/>
    </s:row>
    <s:row r="29518" hidden="1" ht="1" customHeight="1">
      <s:c r="A29518" s="120" t="inlineStr"/>
      <s:c r="B29518" s="121" t="n"/>
      <s:c r="C29518" s="121" t="n"/>
      <s:c r="D29518" s="121" t="n"/>
      <s:c r="E29518" s="122" t="n"/>
    </s:row>
    <s:row r="29519" hidden="1" ht="1" customHeight="1">
      <s:c r="A29519" s="120" t="inlineStr"/>
      <s:c r="B29519" s="121" t="n"/>
      <s:c r="C29519" s="121" t="n"/>
      <s:c r="D29519" s="121" t="n"/>
      <s:c r="E29519" s="122" t="n"/>
    </s:row>
    <s:row r="29520" hidden="1" ht="1" customHeight="1">
      <s:c r="A29520" s="120" t="inlineStr"/>
      <s:c r="B29520" s="121" t="n"/>
      <s:c r="C29520" s="121" t="n"/>
      <s:c r="D29520" s="121" t="n"/>
      <s:c r="E29520" s="122" t="n"/>
    </s:row>
    <s:row r="29521" hidden="1" ht="1" customHeight="1">
      <s:c r="A29521" s="120" t="inlineStr"/>
      <s:c r="B29521" s="121" t="n"/>
      <s:c r="C29521" s="121" t="n"/>
      <s:c r="D29521" s="121" t="n"/>
      <s:c r="E29521" s="122" t="n"/>
    </s:row>
    <s:row r="29522" hidden="1" ht="1" customHeight="1">
      <s:c r="A29522" s="120" t="inlineStr"/>
      <s:c r="B29522" s="121" t="n"/>
      <s:c r="C29522" s="121" t="n"/>
      <s:c r="D29522" s="121" t="n"/>
      <s:c r="E29522" s="122" t="n"/>
    </s:row>
    <s:row r="29523" hidden="1" ht="1" customHeight="1">
      <s:c r="A29523" s="120" t="inlineStr"/>
      <s:c r="B29523" s="121" t="n"/>
      <s:c r="C29523" s="121" t="n"/>
      <s:c r="D29523" s="121" t="n"/>
      <s:c r="E29523" s="122" t="n"/>
    </s:row>
    <s:row r="29524" hidden="1" ht="1" customHeight="1">
      <s:c r="A29524" s="120" t="inlineStr"/>
      <s:c r="B29524" s="121" t="n"/>
      <s:c r="C29524" s="121" t="n"/>
      <s:c r="D29524" s="121" t="n"/>
      <s:c r="E29524" s="122" t="n"/>
    </s:row>
    <s:row r="29525" hidden="1" ht="1" customHeight="1">
      <s:c r="A29525" s="120" t="inlineStr"/>
      <s:c r="B29525" s="121" t="n"/>
      <s:c r="C29525" s="121" t="n"/>
      <s:c r="D29525" s="121" t="n"/>
      <s:c r="E29525" s="122" t="n"/>
    </s:row>
    <s:row r="29526" hidden="1" ht="1" customHeight="1">
      <s:c r="A29526" s="120" t="inlineStr"/>
      <s:c r="B29526" s="121" t="n"/>
      <s:c r="C29526" s="121" t="n"/>
      <s:c r="D29526" s="121" t="n"/>
      <s:c r="E29526" s="122" t="n"/>
    </s:row>
    <s:row r="29527" hidden="1" ht="1" customHeight="1">
      <s:c r="A29527" s="120" t="inlineStr"/>
      <s:c r="B29527" s="121" t="n"/>
      <s:c r="C29527" s="121" t="n"/>
      <s:c r="D29527" s="121" t="n"/>
      <s:c r="E29527" s="122" t="n"/>
    </s:row>
    <s:row r="29528" hidden="1" ht="1" customHeight="1">
      <s:c r="A29528" s="120" t="inlineStr"/>
      <s:c r="B29528" s="121" t="n"/>
      <s:c r="C29528" s="121" t="n"/>
      <s:c r="D29528" s="121" t="n"/>
      <s:c r="E29528" s="122" t="n"/>
    </s:row>
    <s:row r="29529" hidden="1" ht="1" customHeight="1">
      <s:c r="A29529" s="120" t="inlineStr"/>
      <s:c r="B29529" s="121" t="n"/>
      <s:c r="C29529" s="121" t="n"/>
      <s:c r="D29529" s="121" t="n"/>
      <s:c r="E29529" s="122" t="n"/>
    </s:row>
    <s:row r="29530" hidden="1" ht="1" customHeight="1">
      <s:c r="A29530" s="120" t="inlineStr"/>
      <s:c r="B29530" s="121" t="n"/>
      <s:c r="C29530" s="121" t="n"/>
      <s:c r="D29530" s="121" t="n"/>
      <s:c r="E29530" s="122" t="n"/>
    </s:row>
    <s:row r="29531" hidden="1" ht="1" customHeight="1">
      <s:c r="A29531" s="120" t="inlineStr"/>
      <s:c r="B29531" s="121" t="n"/>
      <s:c r="C29531" s="121" t="n"/>
      <s:c r="D29531" s="121" t="n"/>
      <s:c r="E29531" s="122" t="n"/>
    </s:row>
    <s:row r="29532" hidden="1" ht="1" customHeight="1">
      <s:c r="A29532" s="120" t="inlineStr"/>
      <s:c r="B29532" s="121" t="n"/>
      <s:c r="C29532" s="121" t="n"/>
      <s:c r="D29532" s="121" t="n"/>
      <s:c r="E29532" s="122" t="n"/>
    </s:row>
    <s:row r="29533" hidden="1" ht="1" customHeight="1">
      <s:c r="A29533" s="120" t="inlineStr"/>
      <s:c r="B29533" s="121" t="n"/>
      <s:c r="C29533" s="121" t="n"/>
      <s:c r="D29533" s="121" t="n"/>
      <s:c r="E29533" s="122" t="n"/>
    </s:row>
    <s:row r="29534" hidden="1" ht="1" customHeight="1">
      <s:c r="A29534" s="120" t="inlineStr"/>
      <s:c r="B29534" s="121" t="n"/>
      <s:c r="C29534" s="121" t="n"/>
      <s:c r="D29534" s="121" t="n"/>
      <s:c r="E29534" s="122" t="n"/>
    </s:row>
    <s:row r="29535" hidden="1" ht="1" customHeight="1">
      <s:c r="A29535" s="120" t="inlineStr"/>
      <s:c r="B29535" s="121" t="n"/>
      <s:c r="C29535" s="121" t="n"/>
      <s:c r="D29535" s="121" t="n"/>
      <s:c r="E29535" s="122" t="n"/>
    </s:row>
    <s:row r="29536" hidden="1" ht="1" customHeight="1">
      <s:c r="A29536" s="120" t="inlineStr"/>
      <s:c r="B29536" s="121" t="n"/>
      <s:c r="C29536" s="121" t="n"/>
      <s:c r="D29536" s="121" t="n"/>
      <s:c r="E29536" s="122" t="n"/>
    </s:row>
    <s:row r="29537" hidden="1" ht="1" customHeight="1">
      <s:c r="A29537" s="120" t="inlineStr"/>
      <s:c r="B29537" s="121" t="n"/>
      <s:c r="C29537" s="121" t="n"/>
      <s:c r="D29537" s="121" t="n"/>
      <s:c r="E29537" s="122" t="n"/>
    </s:row>
    <s:row r="29538" hidden="1" ht="1" customHeight="1">
      <s:c r="A29538" s="120" t="inlineStr"/>
      <s:c r="B29538" s="121" t="n"/>
      <s:c r="C29538" s="121" t="n"/>
      <s:c r="D29538" s="121" t="n"/>
      <s:c r="E29538" s="122" t="n"/>
    </s:row>
    <s:row r="29539" hidden="1" ht="1" customHeight="1">
      <s:c r="A29539" s="120" t="inlineStr"/>
      <s:c r="B29539" s="121" t="n"/>
      <s:c r="C29539" s="121" t="n"/>
      <s:c r="D29539" s="121" t="n"/>
      <s:c r="E29539" s="122" t="n"/>
    </s:row>
    <s:row r="29540" hidden="1" ht="1" customHeight="1">
      <s:c r="A29540" s="120" t="inlineStr"/>
      <s:c r="B29540" s="121" t="n"/>
      <s:c r="C29540" s="121" t="n"/>
      <s:c r="D29540" s="121" t="n"/>
      <s:c r="E29540" s="122" t="n"/>
    </s:row>
    <s:row r="29541" hidden="1" ht="1" customHeight="1">
      <s:c r="A29541" s="120" t="inlineStr"/>
      <s:c r="B29541" s="121" t="n"/>
      <s:c r="C29541" s="121" t="n"/>
      <s:c r="D29541" s="121" t="n"/>
      <s:c r="E29541" s="122" t="n"/>
    </s:row>
    <s:row r="29542" hidden="1" ht="1" customHeight="1">
      <s:c r="A29542" s="120" t="inlineStr"/>
      <s:c r="B29542" s="121" t="n"/>
      <s:c r="C29542" s="121" t="n"/>
      <s:c r="D29542" s="121" t="n"/>
      <s:c r="E29542" s="122" t="n"/>
    </s:row>
    <s:row r="29543" hidden="1" ht="1" customHeight="1">
      <s:c r="A29543" s="120" t="inlineStr"/>
      <s:c r="B29543" s="121" t="n"/>
      <s:c r="C29543" s="121" t="n"/>
      <s:c r="D29543" s="121" t="n"/>
      <s:c r="E29543" s="122" t="n"/>
    </s:row>
    <s:row r="29544" hidden="1" ht="1" customHeight="1">
      <s:c r="A29544" s="120" t="inlineStr"/>
      <s:c r="B29544" s="121" t="n"/>
      <s:c r="C29544" s="121" t="n"/>
      <s:c r="D29544" s="121" t="n"/>
      <s:c r="E29544" s="122" t="n"/>
    </s:row>
    <s:row r="29545" hidden="1" ht="1" customHeight="1">
      <s:c r="A29545" s="120" t="inlineStr"/>
      <s:c r="B29545" s="121" t="n"/>
      <s:c r="C29545" s="121" t="n"/>
      <s:c r="D29545" s="121" t="n"/>
      <s:c r="E29545" s="122" t="n"/>
    </s:row>
    <s:row r="29546" hidden="1" ht="1" customHeight="1">
      <s:c r="A29546" s="120" t="inlineStr"/>
      <s:c r="B29546" s="121" t="n"/>
      <s:c r="C29546" s="121" t="n"/>
      <s:c r="D29546" s="121" t="n"/>
      <s:c r="E29546" s="122" t="n"/>
    </s:row>
    <s:row r="29547" hidden="1" ht="1" customHeight="1">
      <s:c r="A29547" s="120" t="inlineStr"/>
      <s:c r="B29547" s="121" t="n"/>
      <s:c r="C29547" s="121" t="n"/>
      <s:c r="D29547" s="121" t="n"/>
      <s:c r="E29547" s="122" t="n"/>
    </s:row>
    <s:row r="29548" hidden="1" ht="1" customHeight="1">
      <s:c r="A29548" s="120" t="inlineStr"/>
      <s:c r="B29548" s="121" t="n"/>
      <s:c r="C29548" s="121" t="n"/>
      <s:c r="D29548" s="121" t="n"/>
      <s:c r="E29548" s="122" t="n"/>
    </s:row>
    <s:row r="29549" hidden="1" ht="1" customHeight="1">
      <s:c r="A29549" s="120" t="inlineStr"/>
      <s:c r="B29549" s="121" t="n"/>
      <s:c r="C29549" s="121" t="n"/>
      <s:c r="D29549" s="121" t="n"/>
      <s:c r="E29549" s="122" t="n"/>
    </s:row>
    <s:row r="29550" hidden="1" ht="1" customHeight="1">
      <s:c r="A29550" s="120" t="inlineStr"/>
      <s:c r="B29550" s="121" t="n"/>
      <s:c r="C29550" s="121" t="n"/>
      <s:c r="D29550" s="121" t="n"/>
      <s:c r="E29550" s="122" t="n"/>
    </s:row>
    <s:row r="29551" hidden="1" ht="1" customHeight="1">
      <s:c r="A29551" s="120" t="inlineStr"/>
      <s:c r="B29551" s="121" t="n"/>
      <s:c r="C29551" s="121" t="n"/>
      <s:c r="D29551" s="121" t="n"/>
      <s:c r="E29551" s="122" t="n"/>
    </s:row>
    <s:row r="29552" hidden="1" ht="1" customHeight="1">
      <s:c r="A29552" s="120" t="inlineStr"/>
      <s:c r="B29552" s="121" t="n"/>
      <s:c r="C29552" s="121" t="n"/>
      <s:c r="D29552" s="121" t="n"/>
      <s:c r="E29552" s="122" t="n"/>
    </s:row>
    <s:row r="29553" hidden="1" ht="1" customHeight="1">
      <s:c r="A29553" s="120" t="inlineStr"/>
      <s:c r="B29553" s="121" t="n"/>
      <s:c r="C29553" s="121" t="n"/>
      <s:c r="D29553" s="121" t="n"/>
      <s:c r="E29553" s="122" t="n"/>
    </s:row>
    <s:row r="29554" hidden="1" ht="1" customHeight="1">
      <s:c r="A29554" s="120" t="inlineStr"/>
      <s:c r="B29554" s="121" t="n"/>
      <s:c r="C29554" s="121" t="n"/>
      <s:c r="D29554" s="121" t="n"/>
      <s:c r="E29554" s="122" t="n"/>
    </s:row>
    <s:row r="29555" hidden="1" ht="1" customHeight="1">
      <s:c r="A29555" s="120" t="inlineStr"/>
      <s:c r="B29555" s="121" t="n"/>
      <s:c r="C29555" s="121" t="n"/>
      <s:c r="D29555" s="121" t="n"/>
      <s:c r="E29555" s="122" t="n"/>
    </s:row>
    <s:row r="29556" hidden="1" ht="1" customHeight="1">
      <s:c r="A29556" s="120" t="inlineStr"/>
      <s:c r="B29556" s="121" t="n"/>
      <s:c r="C29556" s="121" t="n"/>
      <s:c r="D29556" s="121" t="n"/>
      <s:c r="E29556" s="122" t="n"/>
    </s:row>
    <s:row r="29557" hidden="1" ht="1" customHeight="1">
      <s:c r="A29557" s="120" t="inlineStr"/>
      <s:c r="B29557" s="121" t="n"/>
      <s:c r="C29557" s="121" t="n"/>
      <s:c r="D29557" s="121" t="n"/>
      <s:c r="E29557" s="122" t="n"/>
    </s:row>
    <s:row r="29558" hidden="1" ht="1" customHeight="1">
      <s:c r="A29558" s="120" t="inlineStr"/>
      <s:c r="B29558" s="121" t="n"/>
      <s:c r="C29558" s="121" t="n"/>
      <s:c r="D29558" s="121" t="n"/>
      <s:c r="E29558" s="122" t="n"/>
    </s:row>
    <s:row r="29559" hidden="1" ht="1" customHeight="1">
      <s:c r="A29559" s="120" t="inlineStr"/>
      <s:c r="B29559" s="121" t="n"/>
      <s:c r="C29559" s="121" t="n"/>
      <s:c r="D29559" s="121" t="n"/>
      <s:c r="E29559" s="122" t="n"/>
    </s:row>
    <s:row r="29560" hidden="1" ht="1" customHeight="1">
      <s:c r="A29560" s="120" t="inlineStr"/>
      <s:c r="B29560" s="121" t="n"/>
      <s:c r="C29560" s="121" t="n"/>
      <s:c r="D29560" s="121" t="n"/>
      <s:c r="E29560" s="122" t="n"/>
    </s:row>
    <s:row r="29561" hidden="1" ht="1" customHeight="1">
      <s:c r="A29561" s="120" t="inlineStr"/>
      <s:c r="B29561" s="121" t="n"/>
      <s:c r="C29561" s="121" t="n"/>
      <s:c r="D29561" s="121" t="n"/>
      <s:c r="E29561" s="122" t="n"/>
    </s:row>
    <s:row r="29562" hidden="1" ht="1" customHeight="1">
      <s:c r="A29562" s="120" t="inlineStr"/>
      <s:c r="B29562" s="121" t="n"/>
      <s:c r="C29562" s="121" t="n"/>
      <s:c r="D29562" s="121" t="n"/>
      <s:c r="E29562" s="122" t="n"/>
    </s:row>
    <s:row r="29563" hidden="1" ht="1" customHeight="1">
      <s:c r="A29563" s="120" t="inlineStr"/>
      <s:c r="B29563" s="121" t="n"/>
      <s:c r="C29563" s="121" t="n"/>
      <s:c r="D29563" s="121" t="n"/>
      <s:c r="E29563" s="122" t="n"/>
    </s:row>
    <s:row r="29564" hidden="1" ht="1" customHeight="1">
      <s:c r="A29564" s="120" t="inlineStr"/>
      <s:c r="B29564" s="121" t="n"/>
      <s:c r="C29564" s="121" t="n"/>
      <s:c r="D29564" s="121" t="n"/>
      <s:c r="E29564" s="122" t="n"/>
    </s:row>
    <s:row r="29565" hidden="1" ht="1" customHeight="1">
      <s:c r="A29565" s="120" t="inlineStr"/>
      <s:c r="B29565" s="121" t="n"/>
      <s:c r="C29565" s="121" t="n"/>
      <s:c r="D29565" s="121" t="n"/>
      <s:c r="E29565" s="122" t="n"/>
    </s:row>
    <s:row r="29566" hidden="1" ht="1" customHeight="1">
      <s:c r="A29566" s="120" t="inlineStr"/>
      <s:c r="B29566" s="121" t="n"/>
      <s:c r="C29566" s="121" t="n"/>
      <s:c r="D29566" s="121" t="n"/>
      <s:c r="E29566" s="122" t="n"/>
    </s:row>
    <s:row r="29567" hidden="1" ht="1" customHeight="1">
      <s:c r="A29567" s="120" t="inlineStr"/>
      <s:c r="B29567" s="121" t="n"/>
      <s:c r="C29567" s="121" t="n"/>
      <s:c r="D29567" s="121" t="n"/>
      <s:c r="E29567" s="122" t="n"/>
    </s:row>
    <s:row r="29568" hidden="1" ht="1" customHeight="1">
      <s:c r="A29568" s="120" t="inlineStr"/>
      <s:c r="B29568" s="121" t="n"/>
      <s:c r="C29568" s="121" t="n"/>
      <s:c r="D29568" s="121" t="n"/>
      <s:c r="E29568" s="122" t="n"/>
    </s:row>
    <s:row r="29569" hidden="1" ht="1" customHeight="1">
      <s:c r="A29569" s="120" t="inlineStr"/>
      <s:c r="B29569" s="121" t="n"/>
      <s:c r="C29569" s="121" t="n"/>
      <s:c r="D29569" s="121" t="n"/>
      <s:c r="E29569" s="122" t="n"/>
    </s:row>
    <s:row r="29570" hidden="1" ht="1" customHeight="1">
      <s:c r="A29570" s="120" t="inlineStr"/>
      <s:c r="B29570" s="121" t="n"/>
      <s:c r="C29570" s="121" t="n"/>
      <s:c r="D29570" s="121" t="n"/>
      <s:c r="E29570" s="122" t="n"/>
    </s:row>
    <s:row r="29571" hidden="1" ht="1" customHeight="1">
      <s:c r="A29571" s="120" t="inlineStr"/>
      <s:c r="B29571" s="121" t="n"/>
      <s:c r="C29571" s="121" t="n"/>
      <s:c r="D29571" s="121" t="n"/>
      <s:c r="E29571" s="122" t="n"/>
    </s:row>
    <s:row r="29572" hidden="1" ht="1" customHeight="1">
      <s:c r="A29572" s="120" t="inlineStr"/>
      <s:c r="B29572" s="121" t="n"/>
      <s:c r="C29572" s="121" t="n"/>
      <s:c r="D29572" s="121" t="n"/>
      <s:c r="E29572" s="122" t="n"/>
    </s:row>
    <s:row r="29573" hidden="1" ht="1" customHeight="1">
      <s:c r="A29573" s="120" t="inlineStr"/>
      <s:c r="B29573" s="121" t="n"/>
      <s:c r="C29573" s="121" t="n"/>
      <s:c r="D29573" s="121" t="n"/>
      <s:c r="E29573" s="122" t="n"/>
    </s:row>
    <s:row r="29574" hidden="1" ht="1" customHeight="1">
      <s:c r="A29574" s="120" t="inlineStr"/>
      <s:c r="B29574" s="121" t="n"/>
      <s:c r="C29574" s="121" t="n"/>
      <s:c r="D29574" s="121" t="n"/>
      <s:c r="E29574" s="122" t="n"/>
    </s:row>
    <s:row r="29575" hidden="1" ht="1" customHeight="1">
      <s:c r="A29575" s="120" t="inlineStr"/>
      <s:c r="B29575" s="121" t="n"/>
      <s:c r="C29575" s="121" t="n"/>
      <s:c r="D29575" s="121" t="n"/>
      <s:c r="E29575" s="122" t="n"/>
    </s:row>
    <s:row r="29576" hidden="1" ht="1" customHeight="1">
      <s:c r="A29576" s="120" t="inlineStr"/>
      <s:c r="B29576" s="121" t="n"/>
      <s:c r="C29576" s="121" t="n"/>
      <s:c r="D29576" s="121" t="n"/>
      <s:c r="E29576" s="122" t="n"/>
    </s:row>
    <s:row r="29577" hidden="1" ht="1" customHeight="1">
      <s:c r="A29577" s="120" t="inlineStr"/>
      <s:c r="B29577" s="121" t="n"/>
      <s:c r="C29577" s="121" t="n"/>
      <s:c r="D29577" s="121" t="n"/>
      <s:c r="E29577" s="122" t="n"/>
    </s:row>
    <s:row r="29578" hidden="1" ht="1" customHeight="1">
      <s:c r="A29578" s="120" t="inlineStr"/>
      <s:c r="B29578" s="121" t="n"/>
      <s:c r="C29578" s="121" t="n"/>
      <s:c r="D29578" s="121" t="n"/>
      <s:c r="E29578" s="122" t="n"/>
    </s:row>
    <s:row r="29579" hidden="1" ht="1" customHeight="1">
      <s:c r="A29579" s="120" t="inlineStr"/>
      <s:c r="B29579" s="121" t="n"/>
      <s:c r="C29579" s="121" t="n"/>
      <s:c r="D29579" s="121" t="n"/>
      <s:c r="E29579" s="122" t="n"/>
    </s:row>
    <s:row r="29580" hidden="1" ht="1" customHeight="1">
      <s:c r="A29580" s="120" t="inlineStr"/>
      <s:c r="B29580" s="121" t="n"/>
      <s:c r="C29580" s="121" t="n"/>
      <s:c r="D29580" s="121" t="n"/>
      <s:c r="E29580" s="122" t="n"/>
    </s:row>
    <s:row r="29581" hidden="1" ht="1" customHeight="1">
      <s:c r="A29581" s="120" t="inlineStr"/>
      <s:c r="B29581" s="121" t="n"/>
      <s:c r="C29581" s="121" t="n"/>
      <s:c r="D29581" s="121" t="n"/>
      <s:c r="E29581" s="122" t="n"/>
    </s:row>
    <s:row r="29582" hidden="1" ht="1" customHeight="1">
      <s:c r="A29582" s="120" t="inlineStr"/>
      <s:c r="B29582" s="121" t="n"/>
      <s:c r="C29582" s="121" t="n"/>
      <s:c r="D29582" s="121" t="n"/>
      <s:c r="E29582" s="122" t="n"/>
    </s:row>
    <s:row r="29583" hidden="1" ht="1" customHeight="1">
      <s:c r="A29583" s="120" t="inlineStr"/>
      <s:c r="B29583" s="121" t="n"/>
      <s:c r="C29583" s="121" t="n"/>
      <s:c r="D29583" s="121" t="n"/>
      <s:c r="E29583" s="122" t="n"/>
    </s:row>
    <s:row r="29584" hidden="1" ht="1" customHeight="1">
      <s:c r="A29584" s="120" t="inlineStr"/>
      <s:c r="B29584" s="121" t="n"/>
      <s:c r="C29584" s="121" t="n"/>
      <s:c r="D29584" s="121" t="n"/>
      <s:c r="E29584" s="122" t="n"/>
    </s:row>
    <s:row r="29585" hidden="1" ht="1" customHeight="1">
      <s:c r="A29585" s="120" t="inlineStr"/>
      <s:c r="B29585" s="121" t="n"/>
      <s:c r="C29585" s="121" t="n"/>
      <s:c r="D29585" s="121" t="n"/>
      <s:c r="E29585" s="122" t="n"/>
    </s:row>
    <s:row r="29586" hidden="1" ht="1" customHeight="1">
      <s:c r="A29586" s="120" t="inlineStr"/>
      <s:c r="B29586" s="121" t="n"/>
      <s:c r="C29586" s="121" t="n"/>
      <s:c r="D29586" s="121" t="n"/>
      <s:c r="E29586" s="122" t="n"/>
    </s:row>
    <s:row r="29587" hidden="1" ht="1" customHeight="1">
      <s:c r="A29587" s="120" t="inlineStr"/>
      <s:c r="B29587" s="121" t="n"/>
      <s:c r="C29587" s="121" t="n"/>
      <s:c r="D29587" s="121" t="n"/>
      <s:c r="E29587" s="122" t="n"/>
    </s:row>
    <s:row r="29588" hidden="1" ht="1" customHeight="1">
      <s:c r="A29588" s="120" t="inlineStr"/>
      <s:c r="B29588" s="121" t="n"/>
      <s:c r="C29588" s="121" t="n"/>
      <s:c r="D29588" s="121" t="n"/>
      <s:c r="E29588" s="122" t="n"/>
    </s:row>
    <s:row r="29589" hidden="1" ht="1" customHeight="1">
      <s:c r="A29589" s="120" t="inlineStr"/>
      <s:c r="B29589" s="121" t="n"/>
      <s:c r="C29589" s="121" t="n"/>
      <s:c r="D29589" s="121" t="n"/>
      <s:c r="E29589" s="122" t="n"/>
    </s:row>
    <s:row r="29590" hidden="1" ht="1" customHeight="1">
      <s:c r="A29590" s="120" t="inlineStr"/>
      <s:c r="B29590" s="121" t="n"/>
      <s:c r="C29590" s="121" t="n"/>
      <s:c r="D29590" s="121" t="n"/>
      <s:c r="E29590" s="122" t="n"/>
    </s:row>
    <s:row r="29591" hidden="1" ht="1" customHeight="1">
      <s:c r="A29591" s="120" t="inlineStr"/>
      <s:c r="B29591" s="121" t="n"/>
      <s:c r="C29591" s="121" t="n"/>
      <s:c r="D29591" s="121" t="n"/>
      <s:c r="E29591" s="122" t="n"/>
    </s:row>
    <s:row r="29592" hidden="1" ht="1" customHeight="1">
      <s:c r="A29592" s="120" t="inlineStr"/>
      <s:c r="B29592" s="121" t="n"/>
      <s:c r="C29592" s="121" t="n"/>
      <s:c r="D29592" s="121" t="n"/>
      <s:c r="E29592" s="122" t="n"/>
    </s:row>
    <s:row r="29593" hidden="1" ht="1" customHeight="1">
      <s:c r="A29593" s="120" t="inlineStr"/>
      <s:c r="B29593" s="121" t="n"/>
      <s:c r="C29593" s="121" t="n"/>
      <s:c r="D29593" s="121" t="n"/>
      <s:c r="E29593" s="122" t="n"/>
    </s:row>
    <s:row r="29594" hidden="1" ht="1" customHeight="1">
      <s:c r="A29594" s="120" t="inlineStr"/>
      <s:c r="B29594" s="121" t="n"/>
      <s:c r="C29594" s="121" t="n"/>
      <s:c r="D29594" s="121" t="n"/>
      <s:c r="E29594" s="122" t="n"/>
    </s:row>
    <s:row r="29595" hidden="1" ht="1" customHeight="1">
      <s:c r="A29595" s="120" t="inlineStr"/>
      <s:c r="B29595" s="121" t="n"/>
      <s:c r="C29595" s="121" t="n"/>
      <s:c r="D29595" s="121" t="n"/>
      <s:c r="E29595" s="122" t="n"/>
    </s:row>
    <s:row r="29596" hidden="1" ht="1" customHeight="1">
      <s:c r="A29596" s="120" t="inlineStr"/>
      <s:c r="B29596" s="121" t="n"/>
      <s:c r="C29596" s="121" t="n"/>
      <s:c r="D29596" s="121" t="n"/>
      <s:c r="E29596" s="122" t="n"/>
    </s:row>
    <s:row r="29597" hidden="1" ht="1" customHeight="1">
      <s:c r="A29597" s="120" t="inlineStr"/>
      <s:c r="B29597" s="121" t="n"/>
      <s:c r="C29597" s="121" t="n"/>
      <s:c r="D29597" s="121" t="n"/>
      <s:c r="E29597" s="122" t="n"/>
    </s:row>
    <s:row r="29598" hidden="1" ht="1" customHeight="1">
      <s:c r="A29598" s="83" t="inlineStr">
        <s:is>
          <s:t>PASS</s:t>
        </s:is>
      </s:c>
      <s:c r="B29598" s="83">
        <s:f>SUM(IF(EXACT('Kiểm thử'!E28848,"Đạt"),1,0),IF(EXACT('Kiểm thử'!E28850,"Đạt"),1,0),IF(EXACT('Kiểm thử'!E28852,"Đạt"),1,0),IF(EXACT('Kiểm thử'!E28854,"Đạt"),1,0),IF(EXACT('Kiểm thử'!E28856,"Đạt"),1,0),IF(EXACT('Kiểm thử'!E28858,"Đạt"),1,0),IF(EXACT('Kiểm thử'!E28860,"Đạt"),1,0),IF(EXACT('Kiểm thử'!E28862,"Đạt"),1,0),IF(EXACT('Kiểm thử'!E28864,"Đạt"),1,0),IF(EXACT('Kiểm thử'!E28866,"Đạt"),1,0),IF(EXACT('Kiểm thử'!E28868,"Đạt"),1,0),IF(EXACT('Kiểm thử'!E28870,"Đạt"),1,0),IF(EXACT('Kiểm thử'!E28872,"Đạt"),1,0),IF(EXACT('Kiểm thử'!E28874,"Đạt"),1,0),IF(EXACT('Kiểm thử'!E28876,"Đạt"),1,0))</s:f>
        <s:v/>
      </s:c>
      <s:c r="C29598" s="19" t="n"/>
      <s:c r="D29598" s="19" t="n"/>
      <s:c r="E29598" s="19" t="n"/>
    </s:row>
    <s:row r="29599" hidden="1" ht="1" customHeight="1">
      <s:c r="A29599" s="83" t="inlineStr">
        <s:is>
          <s:t>FAIL</s:t>
        </s:is>
      </s:c>
      <s:c r="B29599" s="83">
        <s:f>SUM(IF(EXACT('Kiểm thử'!E28848,"Không đạt"),1,0),IF(EXACT('Kiểm thử'!E28850,"Không đạt"),1,0),IF(EXACT('Kiểm thử'!E28852,"Không đạt"),1,0),IF(EXACT('Kiểm thử'!E28854,"Không đạt"),1,0),IF(EXACT('Kiểm thử'!E28856,"Không đạt"),1,0),IF(EXACT('Kiểm thử'!E28858,"Không đạt"),1,0),IF(EXACT('Kiểm thử'!E28860,"Không đạt"),1,0),IF(EXACT('Kiểm thử'!E28862,"Không đạt"),1,0),IF(EXACT('Kiểm thử'!E28864,"Không đạt"),1,0),IF(EXACT('Kiểm thử'!E28866,"Không đạt"),1,0),IF(EXACT('Kiểm thử'!E28868,"Không đạt"),1,0),IF(EXACT('Kiểm thử'!E28870,"Không đạt"),1,0),IF(EXACT('Kiểm thử'!E28872,"Không đạt"),1,0),IF(EXACT('Kiểm thử'!E28874,"Không đạt"),1,0),IF(EXACT('Kiểm thử'!E28876,"Không đạt"),1,0))</s:f>
        <s:v/>
      </s:c>
      <s:c r="C29599" s="19" t="n"/>
      <s:c r="D29599" s="19" t="n"/>
      <s:c r="E29599" s="19" t="n"/>
    </s:row>
    <s:row r="29600" hidden="1" ht="1" customHeight="1">
      <s:c r="A29600" s="83" t="inlineStr">
        <s:is>
          <s:t>BLOCKED</s:t>
        </s:is>
      </s:c>
      <s:c r="B29600" s="83">
        <s:f>SUM(IF(EXACT('Kiểm thử'!E28848,"Bị chặn"),1,0),IF(EXACT('Kiểm thử'!E28850,"Bị chặn"),1,0),IF(EXACT('Kiểm thử'!E28852,"Bị chặn"),1,0),IF(EXACT('Kiểm thử'!E28854,"Bị chặn"),1,0),IF(EXACT('Kiểm thử'!E28856,"Bị chặn"),1,0),IF(EXACT('Kiểm thử'!E28858,"Bị chặn"),1,0),IF(EXACT('Kiểm thử'!E28860,"Bị chặn"),1,0),IF(EXACT('Kiểm thử'!E28862,"Bị chặn"),1,0),IF(EXACT('Kiểm thử'!E28864,"Bị chặn"),1,0),IF(EXACT('Kiểm thử'!E28866,"Bị chặn"),1,0),IF(EXACT('Kiểm thử'!E28868,"Bị chặn"),1,0),IF(EXACT('Kiểm thử'!E28870,"Bị chặn"),1,0),IF(EXACT('Kiểm thử'!E28872,"Bị chặn"),1,0),IF(EXACT('Kiểm thử'!E28874,"Bị chặn"),1,0),IF(EXACT('Kiểm thử'!E28876,"Bị chặn"),1,0))</s:f>
        <s:v/>
      </s:c>
      <s:c r="C29600" s="19" t="n"/>
      <s:c r="D29600" s="19" t="n"/>
      <s:c r="E29600" s="19" t="n"/>
    </s:row>
    <s:row r="29601" hidden="1" ht="1" customHeight="1">
      <s:c r="A29601" s="83" t="inlineStr">
        <s:is>
          <s:t>SKIPPED</s:t>
        </s:is>
      </s:c>
      <s:c r="B29601" s="83">
        <s:f>SUM(IF(EXACT('Kiểm thử'!E28848,"Không thực hiện"),1,0),IF(EXACT('Kiểm thử'!E28850,"Không thực hiện"),1,0),IF(EXACT('Kiểm thử'!E28852,"Không thực hiện"),1,0),IF(EXACT('Kiểm thử'!E28854,"Không thực hiện"),1,0),IF(EXACT('Kiểm thử'!E28856,"Không thực hiện"),1,0),IF(EXACT('Kiểm thử'!E28858,"Không thực hiện"),1,0),IF(EXACT('Kiểm thử'!E28860,"Không thực hiện"),1,0),IF(EXACT('Kiểm thử'!E28862,"Không thực hiện"),1,0),IF(EXACT('Kiểm thử'!E28864,"Không thực hiện"),1,0),IF(EXACT('Kiểm thử'!E28866,"Không thực hiện"),1,0),IF(EXACT('Kiểm thử'!E28868,"Không thực hiện"),1,0),IF(EXACT('Kiểm thử'!E28870,"Không thực hiện"),1,0),IF(EXACT('Kiểm thử'!E28872,"Không thực hiện"),1,0),IF(EXACT('Kiểm thử'!E28874,"Không thực hiện"),1,0),IF(EXACT('Kiểm thử'!E28876,"Không thực hiện"),1,0))</s:f>
        <s:v/>
      </s:c>
      <s:c r="C29601" s="19" t="n"/>
      <s:c r="D29601" s="19" t="n"/>
      <s:c r="E29601" s="19" t="n"/>
    </s:row>
    <s:row r="29602" hidden="1" ht="1" customHeight="1">
      <s:c r="A29602" s="83" t="inlineStr">
        <s:is>
          <s:t>NOT RUN</s:t>
        </s:is>
      </s:c>
      <s:c r="B29602" s="83">
        <s:f>SUM(IF(EXACT('Kiểm thử'!E28848,"Chưa thực hiện"),1,0),IF(EXACT('Kiểm thử'!E28850,"Chưa thực hiện"),1,0),IF(EXACT('Kiểm thử'!E28852,"Chưa thực hiện"),1,0),IF(EXACT('Kiểm thử'!E28854,"Chưa thực hiện"),1,0),IF(EXACT('Kiểm thử'!E28856,"Chưa thực hiện"),1,0),IF(EXACT('Kiểm thử'!E28858,"Chưa thực hiện"),1,0),IF(EXACT('Kiểm thử'!E28860,"Chưa thực hiện"),1,0),IF(EXACT('Kiểm thử'!E28862,"Chưa thực hiện"),1,0),IF(EXACT('Kiểm thử'!E28864,"Chưa thực hiện"),1,0),IF(EXACT('Kiểm thử'!E28866,"Chưa thực hiện"),1,0),IF(EXACT('Kiểm thử'!E28868,"Chưa thực hiện"),1,0),IF(EXACT('Kiểm thử'!E28870,"Chưa thực hiện"),1,0),IF(EXACT('Kiểm thử'!E28872,"Chưa thực hiện"),1,0),IF(EXACT('Kiểm thử'!E28874,"Chưa thực hiện"),1,0),IF(EXACT('Kiểm thử'!E28876,"Chưa thực hiện"),1,0))</s:f>
        <s:v/>
      </s:c>
      <s:c r="C29602" s="19" t="n"/>
      <s:c r="D29602" s="19" t="n"/>
      <s:c r="E29602" s="19" t="n"/>
    </s:row>
    <s:row r="29603" hidden="1" ht="6" customHeight="1">
      <s:c r="A29603" s="83" t="inlineStr"/>
      <s:c r="B29603" s="19" t="n"/>
      <s:c r="C29603" s="19" t="n"/>
      <s:c r="D29603" s="19" t="n"/>
      <s:c r="E29603" s="19" t="n"/>
    </s:row>
    <s:row r="29604" ht="28" customHeight="1">
      <s:c r="A29604" s="108" t="inlineStr">
        <s:is>
          <s:t>TC-RS-ERR-003 — Batch hoàn tất một phần: báo đúng phạm vi đã/không cập nhật</s:t>
        </s:is>
      </s:c>
      <s:c r="B29604" s="111" t="n"/>
      <s:c r="C29604" s="111" t="n"/>
      <s:c r="D29604" s="111" t="n"/>
      <s:c r="E29604" s="111" t="n"/>
    </s:row>
    <s:row r="29605" ht="20" customHeight="1">
      <s:c r="A29605" s="112" t="inlineStr">
        <s:is>
          <s:t>Kết quả tình huống</s:t>
        </s:is>
      </s:c>
      <s:c r="B29605" s="113">
        <s:f>IF(SUM(IF(EXACT('Kiểm thử'!E29616,"Không đạt"),1,0),IF(EXACT('Kiểm thử'!E29618,"Không đạt"),1,0),IF(EXACT('Kiểm thử'!E29620,"Không đạt"),1,0))&gt;0,"Không đạt",IF(SUM(IF(EXACT('Kiểm thử'!E29616,"Đạt"),1,0),IF(EXACT('Kiểm thử'!E29618,"Đạt"),1,0),IF(EXACT('Kiểm thử'!E29620,"Đạt"),1,0))=3,"Đạt",IF(SUM(IF(EXACT('Kiểm thử'!E29616,"Không thực hiện"),1,0),IF(EXACT('Kiểm thử'!E29618,"Không thực hiện"),1,0),IF(EXACT('Kiểm thử'!E29620,"Không thực hiện"),1,0))=3,"Không thực hiện",IF(SUM(IF(EXACT('Kiểm thử'!E29616,"Bị chặn"),1,0),IF(EXACT('Kiểm thử'!E29618,"Bị chặn"),1,0),IF(EXACT('Kiểm thử'!E29620,"Bị chặn"),1,0))&gt;0,"Bị chặn",IF(SUM(IF(EXACT('Kiểm thử'!E29616,"Chưa thực hiện"),1,0),IF(EXACT('Kiểm thử'!E29618,"Chưa thực hiện"),1,0),IF(EXACT('Kiểm thử'!E29620,"Chưa thực hiện"),1,0))=3,"Chưa thực hiện","Đang thực hiện")))))</s:f>
        <s:v/>
      </s:c>
      <s:c r="C29605" s="114" t="n"/>
      <s:c r="D29605" s="114" t="n"/>
      <s:c r="E29605" s="114" t="n"/>
    </s:row>
    <s:row r="29606" ht="20" customHeight="1">
      <s:c r="A29606" s="112" t="inlineStr">
        <s:is>
          <s:t>Màn hình / chức năng</s:t>
        </s:is>
      </s:c>
      <s:c r="B29606" s="113" t="inlineStr">
        <s:is>
          <s:t>Lỗi và cập nhật kết quả</s:t>
        </s:is>
      </s:c>
      <s:c r="C29606" s="28" t="n"/>
      <s:c r="D29606" s="28" t="n"/>
      <s:c r="E29606" s="28" t="n"/>
    </s:row>
    <s:row r="29607" ht="34" customHeight="1">
      <s:c r="A29607" s="112" t="inlineStr">
        <s:is>
          <s:t>Cấu hình</s:t>
        </s:is>
      </s:c>
      <s:c r="B29607" s="113" t="inlineStr">
        <s:is>
          <s:t>• Batch dùng [TD-GRP-03]: BATCH-GA1 và BATCH-GA2 cùng khối 1;
• Giả lập lỗi riêng ở BATCH-GA2.</s:t>
        </s:is>
      </s:c>
      <s:c r="C29607" s="28" t="n"/>
      <s:c r="D29607" s="28" t="n"/>
      <s:c r="E29607" s="28" t="n"/>
    </s:row>
    <s:row r="29608" ht="48" customHeight="1">
      <s:c r="A29608" s="112" t="inlineStr">
        <s:is>
          <s:t>Dữ liệu test</s:t>
        </s:is>
      </s:c>
      <s:c r="B29608" s="113" t="inlineStr">
        <s:is>
          <s:t>• BATCH-S01 thuộc BATCH-GA1, BATCH-S02 thuộc BATCH-GA2, BATCH-S03 thuộc BATCH-GC ngoài batch;
• Mỗi học sinh có identity ô điểm fixture riêng. Không dùng S01/G-A hoặc lớp master làm bằng chứng nếu chưa chứng minh mapping.</s:t>
        </s:is>
      </s:c>
      <s:c r="C29608" s="28" t="n"/>
      <s:c r="D29608" s="28" t="n"/>
      <s:c r="E29608" s="28" t="n"/>
    </s:row>
    <s:row r="29609" ht="20" customHeight="1">
      <s:c r="A29609" s="112" t="inlineStr">
        <s:is>
          <s:t>Bước 1</s:t>
        </s:is>
      </s:c>
      <s:c r="B29609" s="113" t="inlineStr">
        <s:is>
          <s:t>Chạy nút cam cho khối.</s:t>
        </s:is>
      </s:c>
      <s:c r="C29609" s="28" t="n"/>
      <s:c r="D29609" s="28" t="n"/>
      <s:c r="E29609" s="28" t="n"/>
    </s:row>
    <s:row r="29610" ht="20" customHeight="1">
      <s:c r="A29610" s="112" t="inlineStr">
        <s:is>
          <s:t>Bước 2</s:t>
        </s:is>
      </s:c>
      <s:c r="B29610" s="113" t="inlineStr">
        <s:is>
          <s:t>Xem thông báo và kết quả từng lớp.</s:t>
        </s:is>
      </s:c>
      <s:c r="C29610" s="28" t="n"/>
      <s:c r="D29610" s="28" t="n"/>
      <s:c r="E29610" s="28" t="n"/>
    </s:row>
    <s:row r="29611" ht="20" customHeight="1">
      <s:c r="A29611" s="112" t="inlineStr">
        <s:is>
          <s:t>Bước 3</s:t>
        </s:is>
      </s:c>
      <s:c r="B29611" s="113" t="inlineStr">
        <s:is>
          <s:t>Gỡ giả lập lỗi, chạy lại nút cam chỉ cho phạm vi BATCH-GA2.</s:t>
        </s:is>
      </s:c>
      <s:c r="C29611" s="28" t="n"/>
      <s:c r="D29611" s="28" t="n"/>
      <s:c r="E29611" s="28" t="n"/>
    </s:row>
    <s:row r="29612" ht="20" customHeight="1">
      <s:c r="A29612" s="112" t="inlineStr">
        <s:is>
          <s:t>Bước 4</s:t>
        </s:is>
      </s:c>
      <s:c r="B29612" s="113" t="inlineStr">
        <s:is>
          <s:t>Xem kết quả hai lớp.</s:t>
        </s:is>
      </s:c>
      <s:c r="C29612" s="28" t="n"/>
      <s:c r="D29612" s="28" t="n"/>
      <s:c r="E29612" s="28" t="n"/>
    </s:row>
    <s:row r="29613" ht="34" customHeight="1">
      <s:c r="A29613" s="112" t="inlineStr">
        <s:is>
          <s:t>Bước 5</s:t>
        </s:is>
      </s:c>
      <s:c r="B29613" s="113" t="inlineStr">
        <s:is>
          <s:t>Chạy nút cam cho BATCH-GA1; khi chưa xong, giáo viên sửa và lưu điểm BATCH-S01. Chờ batch xong, xem thông báo/tiến độ và kết quả BATCH-S01.</s:t>
        </s:is>
      </s:c>
      <s:c r="C29613" s="28" t="n"/>
      <s:c r="D29613" s="28" t="n"/>
      <s:c r="E29613" s="28" t="n"/>
    </s:row>
    <s:row r="29614" ht="28" customHeight="1">
      <s:c r="A29614" s="115" t="inlineStr">
        <s:is>
          <s:t>Trường hợp</s:t>
        </s:is>
      </s:c>
      <s:c r="B29614" s="115" t="inlineStr">
        <s:is>
          <s:t>Dữ liệu / thao tác riêng</s:t>
        </s:is>
      </s:c>
      <s:c r="C29614" s="115" t="inlineStr">
        <s:is>
          <s:t>Kết quả mong đợi</s:t>
        </s:is>
      </s:c>
      <s:c r="D29614" s="115" t="inlineStr">
        <s:is>
          <s:t>Kết quả thực tế</s:t>
        </s:is>
      </s:c>
      <s:c r="E29614" s="115" t="inlineStr">
        <s:is>
          <s:t>Đánh giá</s:t>
        </s:is>
      </s:c>
    </s:row>
    <s:row r="29615" ht="3" customHeight="1">
      <s:c r="A29615" s="102" t="inlineStr"/>
      <s:c r="B29615" s="99" t="n"/>
      <s:c r="C29615" s="99" t="n"/>
      <s:c r="D29615" s="116" t="n"/>
      <s:c r="E29615" s="116" t="n"/>
    </s:row>
    <s:row r="29616" ht="104" customHeight="1">
      <s:c r="A29616" s="83" t="inlineStr">
        <s:is>
          <s:t>Batch lỗi riêng lớp thứ hai (partial-G-A2-failure)</s:t>
        </s:is>
      </s:c>
      <s:c r="B29616" s="83" t="inlineStr">
        <s:is>
          <s:t>TD-GRP-03; chạy nút cam cho BATCH-GA1 và BATCH-GA2, giả lập lỗi riêng BATCH-GA2; đọc từng lớp và thông báo, BATCH-GC ngoài batch.</s:t>
        </s:is>
      </s:c>
      <s:c r="C29616" s="83" t="inlineStr">
        <s:is>
          <s: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s:t>
        </s:is>
      </s:c>
      <s:c r="D29616" s="117" t="inlineStr"/>
      <s:c r="E29616" s="118" t="inlineStr">
        <s:is>
          <s:t>Chưa thực hiện</s:t>
        </s:is>
      </s:c>
    </s:row>
    <s:row r="29617" ht="3" customHeight="1">
      <s:c r="A29617" s="102" t="inlineStr"/>
      <s:c r="B29617" s="99" t="n"/>
      <s:c r="C29617" s="99" t="n"/>
      <s:c r="D29617" s="116" t="n"/>
      <s:c r="E29617" s="116" t="n"/>
    </s:row>
    <s:row r="29618" ht="62" customHeight="1">
      <s:c r="A29618" s="83" t="inlineStr">
        <s:is>
          <s:t>Chạy lại riêng lớp lỗi (retry-G-A2-only)</s:t>
        </s:is>
      </s:c>
      <s:c r="B29618" s="83" t="inlineStr">
        <s:is>
          <s:t>Dựng trạng thái sau lượt lỗi BATCH-GA2, gỡ giả lập lỗi rồi chạy nút cam chỉ BATCH-GA2; đối chiếu BATCH-GA1 trước/sau.</s:t>
        </s:is>
      </s:c>
      <s:c r="C29618" s="83" t="inlineStr">
        <s:is>
          <s:t>3–4. BATCH-GA2 được cập nhật; BATCH-GA1 giữ kết quả của bước 1, mỗi ô chỉ có một kết quả hiệu lực, không trùng.</s:t>
        </s:is>
      </s:c>
      <s:c r="D29618" s="117" t="inlineStr"/>
      <s:c r="E29618" s="118" t="inlineStr">
        <s:is>
          <s:t>Chưa thực hiện</s:t>
        </s:is>
      </s:c>
    </s:row>
    <s:row r="29619" ht="3" customHeight="1">
      <s:c r="A29619" s="102" t="inlineStr"/>
      <s:c r="B29619" s="99" t="n"/>
      <s:c r="C29619" s="99" t="n"/>
      <s:c r="D29619" s="116" t="n"/>
      <s:c r="E29619" s="116" t="n"/>
    </s:row>
    <s:row r="29620" ht="146" customHeight="1">
      <s:c r="A29620" s="83" t="inlineStr">
        <s:is>
          <s:t>Sửa điểm khi batch đang chạy (concurrent-score-write)</s:t>
        </s:is>
      </s:c>
      <s:c r="B29620" s="83" t="inlineStr">
        <s:is>
          <s:t>Batch BATCH-GA1 chưa xong, giáo viên sửa/lưu BATCH-S01; chờ batch và đối chiếu thông báo, tiến độ, điểm/kết quả của lần lưu mới.</s:t>
        </s:is>
      </s:c>
      <s:c r="C29620" s="83" t="inlineStr">
        <s:is>
          <s:t>5. 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s:t>
        </s:is>
      </s:c>
      <s:c r="D29620" s="117" t="inlineStr"/>
      <s:c r="E29620" s="118" t="inlineStr">
        <s:is>
          <s:t>Chưa thực hiện</s:t>
        </s:is>
      </s:c>
    </s:row>
    <s:row r="29621" ht="20" customHeight="1">
      <s:c r="A29621" s="119" t="inlineStr">
        <s:is>
          <s:t>Ảnh minh chứng — Chưa có ảnh</s:t>
        </s:is>
      </s:c>
      <s:c r="B29621" s="19" t="n"/>
      <s:c r="C29621" s="19" t="n"/>
      <s:c r="D29621" s="19" t="n"/>
      <s:c r="E29621" s="19" t="n"/>
    </s:row>
    <s:row r="29622" hidden="1" ht="1" customHeight="1">
      <s:c r="A29622" s="120" t="inlineStr"/>
      <s:c r="B29622" s="121" t="n"/>
      <s:c r="C29622" s="121" t="n"/>
      <s:c r="D29622" s="121" t="n"/>
      <s:c r="E29622" s="122" t="n"/>
    </s:row>
    <s:row r="29623" hidden="1" ht="1" customHeight="1">
      <s:c r="A29623" s="120" t="inlineStr"/>
      <s:c r="B29623" s="121" t="n"/>
      <s:c r="C29623" s="121" t="n"/>
      <s:c r="D29623" s="121" t="n"/>
      <s:c r="E29623" s="122" t="n"/>
    </s:row>
    <s:row r="29624" hidden="1" ht="1" customHeight="1">
      <s:c r="A29624" s="120" t="inlineStr"/>
      <s:c r="B29624" s="121" t="n"/>
      <s:c r="C29624" s="121" t="n"/>
      <s:c r="D29624" s="121" t="n"/>
      <s:c r="E29624" s="122" t="n"/>
    </s:row>
    <s:row r="29625" hidden="1" ht="1" customHeight="1">
      <s:c r="A29625" s="120" t="inlineStr"/>
      <s:c r="B29625" s="121" t="n"/>
      <s:c r="C29625" s="121" t="n"/>
      <s:c r="D29625" s="121" t="n"/>
      <s:c r="E29625" s="122" t="n"/>
    </s:row>
    <s:row r="29626" hidden="1" ht="1" customHeight="1">
      <s:c r="A29626" s="120" t="inlineStr"/>
      <s:c r="B29626" s="121" t="n"/>
      <s:c r="C29626" s="121" t="n"/>
      <s:c r="D29626" s="121" t="n"/>
      <s:c r="E29626" s="122" t="n"/>
    </s:row>
    <s:row r="29627" hidden="1" ht="1" customHeight="1">
      <s:c r="A29627" s="120" t="inlineStr"/>
      <s:c r="B29627" s="121" t="n"/>
      <s:c r="C29627" s="121" t="n"/>
      <s:c r="D29627" s="121" t="n"/>
      <s:c r="E29627" s="122" t="n"/>
    </s:row>
    <s:row r="29628" hidden="1" ht="1" customHeight="1">
      <s:c r="A29628" s="120" t="inlineStr"/>
      <s:c r="B29628" s="121" t="n"/>
      <s:c r="C29628" s="121" t="n"/>
      <s:c r="D29628" s="121" t="n"/>
      <s:c r="E29628" s="122" t="n"/>
    </s:row>
    <s:row r="29629" hidden="1" ht="1" customHeight="1">
      <s:c r="A29629" s="120" t="inlineStr"/>
      <s:c r="B29629" s="121" t="n"/>
      <s:c r="C29629" s="121" t="n"/>
      <s:c r="D29629" s="121" t="n"/>
      <s:c r="E29629" s="122" t="n"/>
    </s:row>
    <s:row r="29630" hidden="1" ht="1" customHeight="1">
      <s:c r="A29630" s="120" t="inlineStr"/>
      <s:c r="B29630" s="121" t="n"/>
      <s:c r="C29630" s="121" t="n"/>
      <s:c r="D29630" s="121" t="n"/>
      <s:c r="E29630" s="122" t="n"/>
    </s:row>
    <s:row r="29631" hidden="1" ht="1" customHeight="1">
      <s:c r="A29631" s="120" t="inlineStr"/>
      <s:c r="B29631" s="121" t="n"/>
      <s:c r="C29631" s="121" t="n"/>
      <s:c r="D29631" s="121" t="n"/>
      <s:c r="E29631" s="122" t="n"/>
    </s:row>
    <s:row r="29632" hidden="1" ht="1" customHeight="1">
      <s:c r="A29632" s="120" t="inlineStr"/>
      <s:c r="B29632" s="121" t="n"/>
      <s:c r="C29632" s="121" t="n"/>
      <s:c r="D29632" s="121" t="n"/>
      <s:c r="E29632" s="122" t="n"/>
    </s:row>
    <s:row r="29633" hidden="1" ht="1" customHeight="1">
      <s:c r="A29633" s="120" t="inlineStr"/>
      <s:c r="B29633" s="121" t="n"/>
      <s:c r="C29633" s="121" t="n"/>
      <s:c r="D29633" s="121" t="n"/>
      <s:c r="E29633" s="122" t="n"/>
    </s:row>
    <s:row r="29634" hidden="1" ht="1" customHeight="1">
      <s:c r="A29634" s="120" t="inlineStr"/>
      <s:c r="B29634" s="121" t="n"/>
      <s:c r="C29634" s="121" t="n"/>
      <s:c r="D29634" s="121" t="n"/>
      <s:c r="E29634" s="122" t="n"/>
    </s:row>
    <s:row r="29635" hidden="1" ht="1" customHeight="1">
      <s:c r="A29635" s="120" t="inlineStr"/>
      <s:c r="B29635" s="121" t="n"/>
      <s:c r="C29635" s="121" t="n"/>
      <s:c r="D29635" s="121" t="n"/>
      <s:c r="E29635" s="122" t="n"/>
    </s:row>
    <s:row r="29636" hidden="1" ht="1" customHeight="1">
      <s:c r="A29636" s="120" t="inlineStr"/>
      <s:c r="B29636" s="121" t="n"/>
      <s:c r="C29636" s="121" t="n"/>
      <s:c r="D29636" s="121" t="n"/>
      <s:c r="E29636" s="122" t="n"/>
    </s:row>
    <s:row r="29637" hidden="1" ht="1" customHeight="1">
      <s:c r="A29637" s="120" t="inlineStr"/>
      <s:c r="B29637" s="121" t="n"/>
      <s:c r="C29637" s="121" t="n"/>
      <s:c r="D29637" s="121" t="n"/>
      <s:c r="E29637" s="122" t="n"/>
    </s:row>
    <s:row r="29638" hidden="1" ht="1" customHeight="1">
      <s:c r="A29638" s="120" t="inlineStr"/>
      <s:c r="B29638" s="121" t="n"/>
      <s:c r="C29638" s="121" t="n"/>
      <s:c r="D29638" s="121" t="n"/>
      <s:c r="E29638" s="122" t="n"/>
    </s:row>
    <s:row r="29639" hidden="1" ht="1" customHeight="1">
      <s:c r="A29639" s="120" t="inlineStr"/>
      <s:c r="B29639" s="121" t="n"/>
      <s:c r="C29639" s="121" t="n"/>
      <s:c r="D29639" s="121" t="n"/>
      <s:c r="E29639" s="122" t="n"/>
    </s:row>
    <s:row r="29640" hidden="1" ht="1" customHeight="1">
      <s:c r="A29640" s="120" t="inlineStr"/>
      <s:c r="B29640" s="121" t="n"/>
      <s:c r="C29640" s="121" t="n"/>
      <s:c r="D29640" s="121" t="n"/>
      <s:c r="E29640" s="122" t="n"/>
    </s:row>
    <s:row r="29641" hidden="1" ht="1" customHeight="1">
      <s:c r="A29641" s="120" t="inlineStr"/>
      <s:c r="B29641" s="121" t="n"/>
      <s:c r="C29641" s="121" t="n"/>
      <s:c r="D29641" s="121" t="n"/>
      <s:c r="E29641" s="122" t="n"/>
    </s:row>
    <s:row r="29642" hidden="1" ht="1" customHeight="1">
      <s:c r="A29642" s="120" t="inlineStr"/>
      <s:c r="B29642" s="121" t="n"/>
      <s:c r="C29642" s="121" t="n"/>
      <s:c r="D29642" s="121" t="n"/>
      <s:c r="E29642" s="122" t="n"/>
    </s:row>
    <s:row r="29643" hidden="1" ht="1" customHeight="1">
      <s:c r="A29643" s="120" t="inlineStr"/>
      <s:c r="B29643" s="121" t="n"/>
      <s:c r="C29643" s="121" t="n"/>
      <s:c r="D29643" s="121" t="n"/>
      <s:c r="E29643" s="122" t="n"/>
    </s:row>
    <s:row r="29644" hidden="1" ht="1" customHeight="1">
      <s:c r="A29644" s="120" t="inlineStr"/>
      <s:c r="B29644" s="121" t="n"/>
      <s:c r="C29644" s="121" t="n"/>
      <s:c r="D29644" s="121" t="n"/>
      <s:c r="E29644" s="122" t="n"/>
    </s:row>
    <s:row r="29645" hidden="1" ht="1" customHeight="1">
      <s:c r="A29645" s="120" t="inlineStr"/>
      <s:c r="B29645" s="121" t="n"/>
      <s:c r="C29645" s="121" t="n"/>
      <s:c r="D29645" s="121" t="n"/>
      <s:c r="E29645" s="122" t="n"/>
    </s:row>
    <s:row r="29646" hidden="1" ht="1" customHeight="1">
      <s:c r="A29646" s="120" t="inlineStr"/>
      <s:c r="B29646" s="121" t="n"/>
      <s:c r="C29646" s="121" t="n"/>
      <s:c r="D29646" s="121" t="n"/>
      <s:c r="E29646" s="122" t="n"/>
    </s:row>
    <s:row r="29647" hidden="1" ht="1" customHeight="1">
      <s:c r="A29647" s="120" t="inlineStr"/>
      <s:c r="B29647" s="121" t="n"/>
      <s:c r="C29647" s="121" t="n"/>
      <s:c r="D29647" s="121" t="n"/>
      <s:c r="E29647" s="122" t="n"/>
    </s:row>
    <s:row r="29648" hidden="1" ht="1" customHeight="1">
      <s:c r="A29648" s="120" t="inlineStr"/>
      <s:c r="B29648" s="121" t="n"/>
      <s:c r="C29648" s="121" t="n"/>
      <s:c r="D29648" s="121" t="n"/>
      <s:c r="E29648" s="122" t="n"/>
    </s:row>
    <s:row r="29649" hidden="1" ht="1" customHeight="1">
      <s:c r="A29649" s="120" t="inlineStr"/>
      <s:c r="B29649" s="121" t="n"/>
      <s:c r="C29649" s="121" t="n"/>
      <s:c r="D29649" s="121" t="n"/>
      <s:c r="E29649" s="122" t="n"/>
    </s:row>
    <s:row r="29650" hidden="1" ht="1" customHeight="1">
      <s:c r="A29650" s="120" t="inlineStr"/>
      <s:c r="B29650" s="121" t="n"/>
      <s:c r="C29650" s="121" t="n"/>
      <s:c r="D29650" s="121" t="n"/>
      <s:c r="E29650" s="122" t="n"/>
    </s:row>
    <s:row r="29651" hidden="1" ht="1" customHeight="1">
      <s:c r="A29651" s="120" t="inlineStr"/>
      <s:c r="B29651" s="121" t="n"/>
      <s:c r="C29651" s="121" t="n"/>
      <s:c r="D29651" s="121" t="n"/>
      <s:c r="E29651" s="122" t="n"/>
    </s:row>
    <s:row r="29652" hidden="1" ht="1" customHeight="1">
      <s:c r="A29652" s="120" t="inlineStr"/>
      <s:c r="B29652" s="121" t="n"/>
      <s:c r="C29652" s="121" t="n"/>
      <s:c r="D29652" s="121" t="n"/>
      <s:c r="E29652" s="122" t="n"/>
    </s:row>
    <s:row r="29653" hidden="1" ht="1" customHeight="1">
      <s:c r="A29653" s="120" t="inlineStr"/>
      <s:c r="B29653" s="121" t="n"/>
      <s:c r="C29653" s="121" t="n"/>
      <s:c r="D29653" s="121" t="n"/>
      <s:c r="E29653" s="122" t="n"/>
    </s:row>
    <s:row r="29654" hidden="1" ht="1" customHeight="1">
      <s:c r="A29654" s="120" t="inlineStr"/>
      <s:c r="B29654" s="121" t="n"/>
      <s:c r="C29654" s="121" t="n"/>
      <s:c r="D29654" s="121" t="n"/>
      <s:c r="E29654" s="122" t="n"/>
    </s:row>
    <s:row r="29655" hidden="1" ht="1" customHeight="1">
      <s:c r="A29655" s="120" t="inlineStr"/>
      <s:c r="B29655" s="121" t="n"/>
      <s:c r="C29655" s="121" t="n"/>
      <s:c r="D29655" s="121" t="n"/>
      <s:c r="E29655" s="122" t="n"/>
    </s:row>
    <s:row r="29656" hidden="1" ht="1" customHeight="1">
      <s:c r="A29656" s="120" t="inlineStr"/>
      <s:c r="B29656" s="121" t="n"/>
      <s:c r="C29656" s="121" t="n"/>
      <s:c r="D29656" s="121" t="n"/>
      <s:c r="E29656" s="122" t="n"/>
    </s:row>
    <s:row r="29657" hidden="1" ht="1" customHeight="1">
      <s:c r="A29657" s="120" t="inlineStr"/>
      <s:c r="B29657" s="121" t="n"/>
      <s:c r="C29657" s="121" t="n"/>
      <s:c r="D29657" s="121" t="n"/>
      <s:c r="E29657" s="122" t="n"/>
    </s:row>
    <s:row r="29658" hidden="1" ht="1" customHeight="1">
      <s:c r="A29658" s="120" t="inlineStr"/>
      <s:c r="B29658" s="121" t="n"/>
      <s:c r="C29658" s="121" t="n"/>
      <s:c r="D29658" s="121" t="n"/>
      <s:c r="E29658" s="122" t="n"/>
    </s:row>
    <s:row r="29659" hidden="1" ht="1" customHeight="1">
      <s:c r="A29659" s="120" t="inlineStr"/>
      <s:c r="B29659" s="121" t="n"/>
      <s:c r="C29659" s="121" t="n"/>
      <s:c r="D29659" s="121" t="n"/>
      <s:c r="E29659" s="122" t="n"/>
    </s:row>
    <s:row r="29660" hidden="1" ht="1" customHeight="1">
      <s:c r="A29660" s="120" t="inlineStr"/>
      <s:c r="B29660" s="121" t="n"/>
      <s:c r="C29660" s="121" t="n"/>
      <s:c r="D29660" s="121" t="n"/>
      <s:c r="E29660" s="122" t="n"/>
    </s:row>
    <s:row r="29661" hidden="1" ht="1" customHeight="1">
      <s:c r="A29661" s="120" t="inlineStr"/>
      <s:c r="B29661" s="121" t="n"/>
      <s:c r="C29661" s="121" t="n"/>
      <s:c r="D29661" s="121" t="n"/>
      <s:c r="E29661" s="122" t="n"/>
    </s:row>
    <s:row r="29662" hidden="1" ht="1" customHeight="1">
      <s:c r="A29662" s="120" t="inlineStr"/>
      <s:c r="B29662" s="121" t="n"/>
      <s:c r="C29662" s="121" t="n"/>
      <s:c r="D29662" s="121" t="n"/>
      <s:c r="E29662" s="122" t="n"/>
    </s:row>
    <s:row r="29663" hidden="1" ht="1" customHeight="1">
      <s:c r="A29663" s="120" t="inlineStr"/>
      <s:c r="B29663" s="121" t="n"/>
      <s:c r="C29663" s="121" t="n"/>
      <s:c r="D29663" s="121" t="n"/>
      <s:c r="E29663" s="122" t="n"/>
    </s:row>
    <s:row r="29664" hidden="1" ht="1" customHeight="1">
      <s:c r="A29664" s="120" t="inlineStr"/>
      <s:c r="B29664" s="121" t="n"/>
      <s:c r="C29664" s="121" t="n"/>
      <s:c r="D29664" s="121" t="n"/>
      <s:c r="E29664" s="122" t="n"/>
    </s:row>
    <s:row r="29665" hidden="1" ht="1" customHeight="1">
      <s:c r="A29665" s="120" t="inlineStr"/>
      <s:c r="B29665" s="121" t="n"/>
      <s:c r="C29665" s="121" t="n"/>
      <s:c r="D29665" s="121" t="n"/>
      <s:c r="E29665" s="122" t="n"/>
    </s:row>
    <s:row r="29666" hidden="1" ht="1" customHeight="1">
      <s:c r="A29666" s="120" t="inlineStr"/>
      <s:c r="B29666" s="121" t="n"/>
      <s:c r="C29666" s="121" t="n"/>
      <s:c r="D29666" s="121" t="n"/>
      <s:c r="E29666" s="122" t="n"/>
    </s:row>
    <s:row r="29667" hidden="1" ht="1" customHeight="1">
      <s:c r="A29667" s="120" t="inlineStr"/>
      <s:c r="B29667" s="121" t="n"/>
      <s:c r="C29667" s="121" t="n"/>
      <s:c r="D29667" s="121" t="n"/>
      <s:c r="E29667" s="122" t="n"/>
    </s:row>
    <s:row r="29668" hidden="1" ht="1" customHeight="1">
      <s:c r="A29668" s="120" t="inlineStr"/>
      <s:c r="B29668" s="121" t="n"/>
      <s:c r="C29668" s="121" t="n"/>
      <s:c r="D29668" s="121" t="n"/>
      <s:c r="E29668" s="122" t="n"/>
    </s:row>
    <s:row r="29669" hidden="1" ht="1" customHeight="1">
      <s:c r="A29669" s="120" t="inlineStr"/>
      <s:c r="B29669" s="121" t="n"/>
      <s:c r="C29669" s="121" t="n"/>
      <s:c r="D29669" s="121" t="n"/>
      <s:c r="E29669" s="122" t="n"/>
    </s:row>
    <s:row r="29670" hidden="1" ht="1" customHeight="1">
      <s:c r="A29670" s="120" t="inlineStr"/>
      <s:c r="B29670" s="121" t="n"/>
      <s:c r="C29670" s="121" t="n"/>
      <s:c r="D29670" s="121" t="n"/>
      <s:c r="E29670" s="122" t="n"/>
    </s:row>
    <s:row r="29671" hidden="1" ht="1" customHeight="1">
      <s:c r="A29671" s="120" t="inlineStr"/>
      <s:c r="B29671" s="121" t="n"/>
      <s:c r="C29671" s="121" t="n"/>
      <s:c r="D29671" s="121" t="n"/>
      <s:c r="E29671" s="122" t="n"/>
    </s:row>
    <s:row r="29672" hidden="1" ht="1" customHeight="1">
      <s:c r="A29672" s="120" t="inlineStr"/>
      <s:c r="B29672" s="121" t="n"/>
      <s:c r="C29672" s="121" t="n"/>
      <s:c r="D29672" s="121" t="n"/>
      <s:c r="E29672" s="122" t="n"/>
    </s:row>
    <s:row r="29673" hidden="1" ht="1" customHeight="1">
      <s:c r="A29673" s="120" t="inlineStr"/>
      <s:c r="B29673" s="121" t="n"/>
      <s:c r="C29673" s="121" t="n"/>
      <s:c r="D29673" s="121" t="n"/>
      <s:c r="E29673" s="122" t="n"/>
    </s:row>
    <s:row r="29674" hidden="1" ht="1" customHeight="1">
      <s:c r="A29674" s="120" t="inlineStr"/>
      <s:c r="B29674" s="121" t="n"/>
      <s:c r="C29674" s="121" t="n"/>
      <s:c r="D29674" s="121" t="n"/>
      <s:c r="E29674" s="122" t="n"/>
    </s:row>
    <s:row r="29675" hidden="1" ht="1" customHeight="1">
      <s:c r="A29675" s="120" t="inlineStr"/>
      <s:c r="B29675" s="121" t="n"/>
      <s:c r="C29675" s="121" t="n"/>
      <s:c r="D29675" s="121" t="n"/>
      <s:c r="E29675" s="122" t="n"/>
    </s:row>
    <s:row r="29676" hidden="1" ht="1" customHeight="1">
      <s:c r="A29676" s="120" t="inlineStr"/>
      <s:c r="B29676" s="121" t="n"/>
      <s:c r="C29676" s="121" t="n"/>
      <s:c r="D29676" s="121" t="n"/>
      <s:c r="E29676" s="122" t="n"/>
    </s:row>
    <s:row r="29677" hidden="1" ht="1" customHeight="1">
      <s:c r="A29677" s="120" t="inlineStr"/>
      <s:c r="B29677" s="121" t="n"/>
      <s:c r="C29677" s="121" t="n"/>
      <s:c r="D29677" s="121" t="n"/>
      <s:c r="E29677" s="122" t="n"/>
    </s:row>
    <s:row r="29678" hidden="1" ht="1" customHeight="1">
      <s:c r="A29678" s="120" t="inlineStr"/>
      <s:c r="B29678" s="121" t="n"/>
      <s:c r="C29678" s="121" t="n"/>
      <s:c r="D29678" s="121" t="n"/>
      <s:c r="E29678" s="122" t="n"/>
    </s:row>
    <s:row r="29679" hidden="1" ht="1" customHeight="1">
      <s:c r="A29679" s="120" t="inlineStr"/>
      <s:c r="B29679" s="121" t="n"/>
      <s:c r="C29679" s="121" t="n"/>
      <s:c r="D29679" s="121" t="n"/>
      <s:c r="E29679" s="122" t="n"/>
    </s:row>
    <s:row r="29680" hidden="1" ht="1" customHeight="1">
      <s:c r="A29680" s="120" t="inlineStr"/>
      <s:c r="B29680" s="121" t="n"/>
      <s:c r="C29680" s="121" t="n"/>
      <s:c r="D29680" s="121" t="n"/>
      <s:c r="E29680" s="122" t="n"/>
    </s:row>
    <s:row r="29681" hidden="1" ht="1" customHeight="1">
      <s:c r="A29681" s="120" t="inlineStr"/>
      <s:c r="B29681" s="121" t="n"/>
      <s:c r="C29681" s="121" t="n"/>
      <s:c r="D29681" s="121" t="n"/>
      <s:c r="E29681" s="122" t="n"/>
    </s:row>
    <s:row r="29682" hidden="1" ht="1" customHeight="1">
      <s:c r="A29682" s="120" t="inlineStr"/>
      <s:c r="B29682" s="121" t="n"/>
      <s:c r="C29682" s="121" t="n"/>
      <s:c r="D29682" s="121" t="n"/>
      <s:c r="E29682" s="122" t="n"/>
    </s:row>
    <s:row r="29683" hidden="1" ht="1" customHeight="1">
      <s:c r="A29683" s="120" t="inlineStr"/>
      <s:c r="B29683" s="121" t="n"/>
      <s:c r="C29683" s="121" t="n"/>
      <s:c r="D29683" s="121" t="n"/>
      <s:c r="E29683" s="122" t="n"/>
    </s:row>
    <s:row r="29684" hidden="1" ht="1" customHeight="1">
      <s:c r="A29684" s="120" t="inlineStr"/>
      <s:c r="B29684" s="121" t="n"/>
      <s:c r="C29684" s="121" t="n"/>
      <s:c r="D29684" s="121" t="n"/>
      <s:c r="E29684" s="122" t="n"/>
    </s:row>
    <s:row r="29685" hidden="1" ht="1" customHeight="1">
      <s:c r="A29685" s="120" t="inlineStr"/>
      <s:c r="B29685" s="121" t="n"/>
      <s:c r="C29685" s="121" t="n"/>
      <s:c r="D29685" s="121" t="n"/>
      <s:c r="E29685" s="122" t="n"/>
    </s:row>
    <s:row r="29686" hidden="1" ht="1" customHeight="1">
      <s:c r="A29686" s="120" t="inlineStr"/>
      <s:c r="B29686" s="121" t="n"/>
      <s:c r="C29686" s="121" t="n"/>
      <s:c r="D29686" s="121" t="n"/>
      <s:c r="E29686" s="122" t="n"/>
    </s:row>
    <s:row r="29687" hidden="1" ht="1" customHeight="1">
      <s:c r="A29687" s="120" t="inlineStr"/>
      <s:c r="B29687" s="121" t="n"/>
      <s:c r="C29687" s="121" t="n"/>
      <s:c r="D29687" s="121" t="n"/>
      <s:c r="E29687" s="122" t="n"/>
    </s:row>
    <s:row r="29688" hidden="1" ht="1" customHeight="1">
      <s:c r="A29688" s="120" t="inlineStr"/>
      <s:c r="B29688" s="121" t="n"/>
      <s:c r="C29688" s="121" t="n"/>
      <s:c r="D29688" s="121" t="n"/>
      <s:c r="E29688" s="122" t="n"/>
    </s:row>
    <s:row r="29689" hidden="1" ht="1" customHeight="1">
      <s:c r="A29689" s="120" t="inlineStr"/>
      <s:c r="B29689" s="121" t="n"/>
      <s:c r="C29689" s="121" t="n"/>
      <s:c r="D29689" s="121" t="n"/>
      <s:c r="E29689" s="122" t="n"/>
    </s:row>
    <s:row r="29690" hidden="1" ht="1" customHeight="1">
      <s:c r="A29690" s="120" t="inlineStr"/>
      <s:c r="B29690" s="121" t="n"/>
      <s:c r="C29690" s="121" t="n"/>
      <s:c r="D29690" s="121" t="n"/>
      <s:c r="E29690" s="122" t="n"/>
    </s:row>
    <s:row r="29691" hidden="1" ht="1" customHeight="1">
      <s:c r="A29691" s="120" t="inlineStr"/>
      <s:c r="B29691" s="121" t="n"/>
      <s:c r="C29691" s="121" t="n"/>
      <s:c r="D29691" s="121" t="n"/>
      <s:c r="E29691" s="122" t="n"/>
    </s:row>
    <s:row r="29692" hidden="1" ht="1" customHeight="1">
      <s:c r="A29692" s="120" t="inlineStr"/>
      <s:c r="B29692" s="121" t="n"/>
      <s:c r="C29692" s="121" t="n"/>
      <s:c r="D29692" s="121" t="n"/>
      <s:c r="E29692" s="122" t="n"/>
    </s:row>
    <s:row r="29693" hidden="1" ht="1" customHeight="1">
      <s:c r="A29693" s="120" t="inlineStr"/>
      <s:c r="B29693" s="121" t="n"/>
      <s:c r="C29693" s="121" t="n"/>
      <s:c r="D29693" s="121" t="n"/>
      <s:c r="E29693" s="122" t="n"/>
    </s:row>
    <s:row r="29694" hidden="1" ht="1" customHeight="1">
      <s:c r="A29694" s="120" t="inlineStr"/>
      <s:c r="B29694" s="121" t="n"/>
      <s:c r="C29694" s="121" t="n"/>
      <s:c r="D29694" s="121" t="n"/>
      <s:c r="E29694" s="122" t="n"/>
    </s:row>
    <s:row r="29695" hidden="1" ht="1" customHeight="1">
      <s:c r="A29695" s="120" t="inlineStr"/>
      <s:c r="B29695" s="121" t="n"/>
      <s:c r="C29695" s="121" t="n"/>
      <s:c r="D29695" s="121" t="n"/>
      <s:c r="E29695" s="122" t="n"/>
    </s:row>
    <s:row r="29696" hidden="1" ht="1" customHeight="1">
      <s:c r="A29696" s="120" t="inlineStr"/>
      <s:c r="B29696" s="121" t="n"/>
      <s:c r="C29696" s="121" t="n"/>
      <s:c r="D29696" s="121" t="n"/>
      <s:c r="E29696" s="122" t="n"/>
    </s:row>
    <s:row r="29697" hidden="1" ht="1" customHeight="1">
      <s:c r="A29697" s="120" t="inlineStr"/>
      <s:c r="B29697" s="121" t="n"/>
      <s:c r="C29697" s="121" t="n"/>
      <s:c r="D29697" s="121" t="n"/>
      <s:c r="E29697" s="122" t="n"/>
    </s:row>
    <s:row r="29698" hidden="1" ht="1" customHeight="1">
      <s:c r="A29698" s="120" t="inlineStr"/>
      <s:c r="B29698" s="121" t="n"/>
      <s:c r="C29698" s="121" t="n"/>
      <s:c r="D29698" s="121" t="n"/>
      <s:c r="E29698" s="122" t="n"/>
    </s:row>
    <s:row r="29699" hidden="1" ht="1" customHeight="1">
      <s:c r="A29699" s="120" t="inlineStr"/>
      <s:c r="B29699" s="121" t="n"/>
      <s:c r="C29699" s="121" t="n"/>
      <s:c r="D29699" s="121" t="n"/>
      <s:c r="E29699" s="122" t="n"/>
    </s:row>
    <s:row r="29700" hidden="1" ht="1" customHeight="1">
      <s:c r="A29700" s="120" t="inlineStr"/>
      <s:c r="B29700" s="121" t="n"/>
      <s:c r="C29700" s="121" t="n"/>
      <s:c r="D29700" s="121" t="n"/>
      <s:c r="E29700" s="122" t="n"/>
    </s:row>
    <s:row r="29701" hidden="1" ht="1" customHeight="1">
      <s:c r="A29701" s="120" t="inlineStr"/>
      <s:c r="B29701" s="121" t="n"/>
      <s:c r="C29701" s="121" t="n"/>
      <s:c r="D29701" s="121" t="n"/>
      <s:c r="E29701" s="122" t="n"/>
    </s:row>
    <s:row r="29702" hidden="1" ht="1" customHeight="1">
      <s:c r="A29702" s="120" t="inlineStr"/>
      <s:c r="B29702" s="121" t="n"/>
      <s:c r="C29702" s="121" t="n"/>
      <s:c r="D29702" s="121" t="n"/>
      <s:c r="E29702" s="122" t="n"/>
    </s:row>
    <s:row r="29703" hidden="1" ht="1" customHeight="1">
      <s:c r="A29703" s="120" t="inlineStr"/>
      <s:c r="B29703" s="121" t="n"/>
      <s:c r="C29703" s="121" t="n"/>
      <s:c r="D29703" s="121" t="n"/>
      <s:c r="E29703" s="122" t="n"/>
    </s:row>
    <s:row r="29704" hidden="1" ht="1" customHeight="1">
      <s:c r="A29704" s="120" t="inlineStr"/>
      <s:c r="B29704" s="121" t="n"/>
      <s:c r="C29704" s="121" t="n"/>
      <s:c r="D29704" s="121" t="n"/>
      <s:c r="E29704" s="122" t="n"/>
    </s:row>
    <s:row r="29705" hidden="1" ht="1" customHeight="1">
      <s:c r="A29705" s="120" t="inlineStr"/>
      <s:c r="B29705" s="121" t="n"/>
      <s:c r="C29705" s="121" t="n"/>
      <s:c r="D29705" s="121" t="n"/>
      <s:c r="E29705" s="122" t="n"/>
    </s:row>
    <s:row r="29706" hidden="1" ht="1" customHeight="1">
      <s:c r="A29706" s="120" t="inlineStr"/>
      <s:c r="B29706" s="121" t="n"/>
      <s:c r="C29706" s="121" t="n"/>
      <s:c r="D29706" s="121" t="n"/>
      <s:c r="E29706" s="122" t="n"/>
    </s:row>
    <s:row r="29707" hidden="1" ht="1" customHeight="1">
      <s:c r="A29707" s="120" t="inlineStr"/>
      <s:c r="B29707" s="121" t="n"/>
      <s:c r="C29707" s="121" t="n"/>
      <s:c r="D29707" s="121" t="n"/>
      <s:c r="E29707" s="122" t="n"/>
    </s:row>
    <s:row r="29708" hidden="1" ht="1" customHeight="1">
      <s:c r="A29708" s="120" t="inlineStr"/>
      <s:c r="B29708" s="121" t="n"/>
      <s:c r="C29708" s="121" t="n"/>
      <s:c r="D29708" s="121" t="n"/>
      <s:c r="E29708" s="122" t="n"/>
    </s:row>
    <s:row r="29709" hidden="1" ht="1" customHeight="1">
      <s:c r="A29709" s="120" t="inlineStr"/>
      <s:c r="B29709" s="121" t="n"/>
      <s:c r="C29709" s="121" t="n"/>
      <s:c r="D29709" s="121" t="n"/>
      <s:c r="E29709" s="122" t="n"/>
    </s:row>
    <s:row r="29710" hidden="1" ht="1" customHeight="1">
      <s:c r="A29710" s="120" t="inlineStr"/>
      <s:c r="B29710" s="121" t="n"/>
      <s:c r="C29710" s="121" t="n"/>
      <s:c r="D29710" s="121" t="n"/>
      <s:c r="E29710" s="122" t="n"/>
    </s:row>
    <s:row r="29711" hidden="1" ht="1" customHeight="1">
      <s:c r="A29711" s="120" t="inlineStr"/>
      <s:c r="B29711" s="121" t="n"/>
      <s:c r="C29711" s="121" t="n"/>
      <s:c r="D29711" s="121" t="n"/>
      <s:c r="E29711" s="122" t="n"/>
    </s:row>
    <s:row r="29712" hidden="1" ht="1" customHeight="1">
      <s:c r="A29712" s="120" t="inlineStr"/>
      <s:c r="B29712" s="121" t="n"/>
      <s:c r="C29712" s="121" t="n"/>
      <s:c r="D29712" s="121" t="n"/>
      <s:c r="E29712" s="122" t="n"/>
    </s:row>
    <s:row r="29713" hidden="1" ht="1" customHeight="1">
      <s:c r="A29713" s="120" t="inlineStr"/>
      <s:c r="B29713" s="121" t="n"/>
      <s:c r="C29713" s="121" t="n"/>
      <s:c r="D29713" s="121" t="n"/>
      <s:c r="E29713" s="122" t="n"/>
    </s:row>
    <s:row r="29714" hidden="1" ht="1" customHeight="1">
      <s:c r="A29714" s="120" t="inlineStr"/>
      <s:c r="B29714" s="121" t="n"/>
      <s:c r="C29714" s="121" t="n"/>
      <s:c r="D29714" s="121" t="n"/>
      <s:c r="E29714" s="122" t="n"/>
    </s:row>
    <s:row r="29715" hidden="1" ht="1" customHeight="1">
      <s:c r="A29715" s="120" t="inlineStr"/>
      <s:c r="B29715" s="121" t="n"/>
      <s:c r="C29715" s="121" t="n"/>
      <s:c r="D29715" s="121" t="n"/>
      <s:c r="E29715" s="122" t="n"/>
    </s:row>
    <s:row r="29716" hidden="1" ht="1" customHeight="1">
      <s:c r="A29716" s="120" t="inlineStr"/>
      <s:c r="B29716" s="121" t="n"/>
      <s:c r="C29716" s="121" t="n"/>
      <s:c r="D29716" s="121" t="n"/>
      <s:c r="E29716" s="122" t="n"/>
    </s:row>
    <s:row r="29717" hidden="1" ht="1" customHeight="1">
      <s:c r="A29717" s="120" t="inlineStr"/>
      <s:c r="B29717" s="121" t="n"/>
      <s:c r="C29717" s="121" t="n"/>
      <s:c r="D29717" s="121" t="n"/>
      <s:c r="E29717" s="122" t="n"/>
    </s:row>
    <s:row r="29718" hidden="1" ht="1" customHeight="1">
      <s:c r="A29718" s="120" t="inlineStr"/>
      <s:c r="B29718" s="121" t="n"/>
      <s:c r="C29718" s="121" t="n"/>
      <s:c r="D29718" s="121" t="n"/>
      <s:c r="E29718" s="122" t="n"/>
    </s:row>
    <s:row r="29719" hidden="1" ht="1" customHeight="1">
      <s:c r="A29719" s="120" t="inlineStr"/>
      <s:c r="B29719" s="121" t="n"/>
      <s:c r="C29719" s="121" t="n"/>
      <s:c r="D29719" s="121" t="n"/>
      <s:c r="E29719" s="122" t="n"/>
    </s:row>
    <s:row r="29720" hidden="1" ht="1" customHeight="1">
      <s:c r="A29720" s="120" t="inlineStr"/>
      <s:c r="B29720" s="121" t="n"/>
      <s:c r="C29720" s="121" t="n"/>
      <s:c r="D29720" s="121" t="n"/>
      <s:c r="E29720" s="122" t="n"/>
    </s:row>
    <s:row r="29721" hidden="1" ht="1" customHeight="1">
      <s:c r="A29721" s="120" t="inlineStr"/>
      <s:c r="B29721" s="121" t="n"/>
      <s:c r="C29721" s="121" t="n"/>
      <s:c r="D29721" s="121" t="n"/>
      <s:c r="E29721" s="122" t="n"/>
    </s:row>
    <s:row r="29722" hidden="1" ht="1" customHeight="1">
      <s:c r="A29722" s="120" t="inlineStr"/>
      <s:c r="B29722" s="121" t="n"/>
      <s:c r="C29722" s="121" t="n"/>
      <s:c r="D29722" s="121" t="n"/>
      <s:c r="E29722" s="122" t="n"/>
    </s:row>
    <s:row r="29723" hidden="1" ht="1" customHeight="1">
      <s:c r="A29723" s="120" t="inlineStr"/>
      <s:c r="B29723" s="121" t="n"/>
      <s:c r="C29723" s="121" t="n"/>
      <s:c r="D29723" s="121" t="n"/>
      <s:c r="E29723" s="122" t="n"/>
    </s:row>
    <s:row r="29724" hidden="1" ht="1" customHeight="1">
      <s:c r="A29724" s="120" t="inlineStr"/>
      <s:c r="B29724" s="121" t="n"/>
      <s:c r="C29724" s="121" t="n"/>
      <s:c r="D29724" s="121" t="n"/>
      <s:c r="E29724" s="122" t="n"/>
    </s:row>
    <s:row r="29725" hidden="1" ht="1" customHeight="1">
      <s:c r="A29725" s="120" t="inlineStr"/>
      <s:c r="B29725" s="121" t="n"/>
      <s:c r="C29725" s="121" t="n"/>
      <s:c r="D29725" s="121" t="n"/>
      <s:c r="E29725" s="122" t="n"/>
    </s:row>
    <s:row r="29726" hidden="1" ht="1" customHeight="1">
      <s:c r="A29726" s="120" t="inlineStr"/>
      <s:c r="B29726" s="121" t="n"/>
      <s:c r="C29726" s="121" t="n"/>
      <s:c r="D29726" s="121" t="n"/>
      <s:c r="E29726" s="122" t="n"/>
    </s:row>
    <s:row r="29727" hidden="1" ht="1" customHeight="1">
      <s:c r="A29727" s="120" t="inlineStr"/>
      <s:c r="B29727" s="121" t="n"/>
      <s:c r="C29727" s="121" t="n"/>
      <s:c r="D29727" s="121" t="n"/>
      <s:c r="E29727" s="122" t="n"/>
    </s:row>
    <s:row r="29728" hidden="1" ht="1" customHeight="1">
      <s:c r="A29728" s="120" t="inlineStr"/>
      <s:c r="B29728" s="121" t="n"/>
      <s:c r="C29728" s="121" t="n"/>
      <s:c r="D29728" s="121" t="n"/>
      <s:c r="E29728" s="122" t="n"/>
    </s:row>
    <s:row r="29729" hidden="1" ht="1" customHeight="1">
      <s:c r="A29729" s="120" t="inlineStr"/>
      <s:c r="B29729" s="121" t="n"/>
      <s:c r="C29729" s="121" t="n"/>
      <s:c r="D29729" s="121" t="n"/>
      <s:c r="E29729" s="122" t="n"/>
    </s:row>
    <s:row r="29730" hidden="1" ht="1" customHeight="1">
      <s:c r="A29730" s="120" t="inlineStr"/>
      <s:c r="B29730" s="121" t="n"/>
      <s:c r="C29730" s="121" t="n"/>
      <s:c r="D29730" s="121" t="n"/>
      <s:c r="E29730" s="122" t="n"/>
    </s:row>
    <s:row r="29731" hidden="1" ht="1" customHeight="1">
      <s:c r="A29731" s="120" t="inlineStr"/>
      <s:c r="B29731" s="121" t="n"/>
      <s:c r="C29731" s="121" t="n"/>
      <s:c r="D29731" s="121" t="n"/>
      <s:c r="E29731" s="122" t="n"/>
    </s:row>
    <s:row r="29732" hidden="1" ht="1" customHeight="1">
      <s:c r="A29732" s="120" t="inlineStr"/>
      <s:c r="B29732" s="121" t="n"/>
      <s:c r="C29732" s="121" t="n"/>
      <s:c r="D29732" s="121" t="n"/>
      <s:c r="E29732" s="122" t="n"/>
    </s:row>
    <s:row r="29733" hidden="1" ht="1" customHeight="1">
      <s:c r="A29733" s="120" t="inlineStr"/>
      <s:c r="B29733" s="121" t="n"/>
      <s:c r="C29733" s="121" t="n"/>
      <s:c r="D29733" s="121" t="n"/>
      <s:c r="E29733" s="122" t="n"/>
    </s:row>
    <s:row r="29734" hidden="1" ht="1" customHeight="1">
      <s:c r="A29734" s="120" t="inlineStr"/>
      <s:c r="B29734" s="121" t="n"/>
      <s:c r="C29734" s="121" t="n"/>
      <s:c r="D29734" s="121" t="n"/>
      <s:c r="E29734" s="122" t="n"/>
    </s:row>
    <s:row r="29735" hidden="1" ht="1" customHeight="1">
      <s:c r="A29735" s="120" t="inlineStr"/>
      <s:c r="B29735" s="121" t="n"/>
      <s:c r="C29735" s="121" t="n"/>
      <s:c r="D29735" s="121" t="n"/>
      <s:c r="E29735" s="122" t="n"/>
    </s:row>
    <s:row r="29736" hidden="1" ht="1" customHeight="1">
      <s:c r="A29736" s="120" t="inlineStr"/>
      <s:c r="B29736" s="121" t="n"/>
      <s:c r="C29736" s="121" t="n"/>
      <s:c r="D29736" s="121" t="n"/>
      <s:c r="E29736" s="122" t="n"/>
    </s:row>
    <s:row r="29737" hidden="1" ht="1" customHeight="1">
      <s:c r="A29737" s="120" t="inlineStr"/>
      <s:c r="B29737" s="121" t="n"/>
      <s:c r="C29737" s="121" t="n"/>
      <s:c r="D29737" s="121" t="n"/>
      <s:c r="E29737" s="122" t="n"/>
    </s:row>
    <s:row r="29738" hidden="1" ht="1" customHeight="1">
      <s:c r="A29738" s="120" t="inlineStr"/>
      <s:c r="B29738" s="121" t="n"/>
      <s:c r="C29738" s="121" t="n"/>
      <s:c r="D29738" s="121" t="n"/>
      <s:c r="E29738" s="122" t="n"/>
    </s:row>
    <s:row r="29739" hidden="1" ht="1" customHeight="1">
      <s:c r="A29739" s="120" t="inlineStr"/>
      <s:c r="B29739" s="121" t="n"/>
      <s:c r="C29739" s="121" t="n"/>
      <s:c r="D29739" s="121" t="n"/>
      <s:c r="E29739" s="122" t="n"/>
    </s:row>
    <s:row r="29740" hidden="1" ht="1" customHeight="1">
      <s:c r="A29740" s="120" t="inlineStr"/>
      <s:c r="B29740" s="121" t="n"/>
      <s:c r="C29740" s="121" t="n"/>
      <s:c r="D29740" s="121" t="n"/>
      <s:c r="E29740" s="122" t="n"/>
    </s:row>
    <s:row r="29741" hidden="1" ht="1" customHeight="1">
      <s:c r="A29741" s="120" t="inlineStr"/>
      <s:c r="B29741" s="121" t="n"/>
      <s:c r="C29741" s="121" t="n"/>
      <s:c r="D29741" s="121" t="n"/>
      <s:c r="E29741" s="122" t="n"/>
    </s:row>
    <s:row r="29742" hidden="1" ht="1" customHeight="1">
      <s:c r="A29742" s="120" t="inlineStr"/>
      <s:c r="B29742" s="121" t="n"/>
      <s:c r="C29742" s="121" t="n"/>
      <s:c r="D29742" s="121" t="n"/>
      <s:c r="E29742" s="122" t="n"/>
    </s:row>
    <s:row r="29743" hidden="1" ht="1" customHeight="1">
      <s:c r="A29743" s="120" t="inlineStr"/>
      <s:c r="B29743" s="121" t="n"/>
      <s:c r="C29743" s="121" t="n"/>
      <s:c r="D29743" s="121" t="n"/>
      <s:c r="E29743" s="122" t="n"/>
    </s:row>
    <s:row r="29744" hidden="1" ht="1" customHeight="1">
      <s:c r="A29744" s="120" t="inlineStr"/>
      <s:c r="B29744" s="121" t="n"/>
      <s:c r="C29744" s="121" t="n"/>
      <s:c r="D29744" s="121" t="n"/>
      <s:c r="E29744" s="122" t="n"/>
    </s:row>
    <s:row r="29745" hidden="1" ht="1" customHeight="1">
      <s:c r="A29745" s="120" t="inlineStr"/>
      <s:c r="B29745" s="121" t="n"/>
      <s:c r="C29745" s="121" t="n"/>
      <s:c r="D29745" s="121" t="n"/>
      <s:c r="E29745" s="122" t="n"/>
    </s:row>
    <s:row r="29746" hidden="1" ht="1" customHeight="1">
      <s:c r="A29746" s="120" t="inlineStr"/>
      <s:c r="B29746" s="121" t="n"/>
      <s:c r="C29746" s="121" t="n"/>
      <s:c r="D29746" s="121" t="n"/>
      <s:c r="E29746" s="122" t="n"/>
    </s:row>
    <s:row r="29747" hidden="1" ht="1" customHeight="1">
      <s:c r="A29747" s="120" t="inlineStr"/>
      <s:c r="B29747" s="121" t="n"/>
      <s:c r="C29747" s="121" t="n"/>
      <s:c r="D29747" s="121" t="n"/>
      <s:c r="E29747" s="122" t="n"/>
    </s:row>
    <s:row r="29748" hidden="1" ht="1" customHeight="1">
      <s:c r="A29748" s="120" t="inlineStr"/>
      <s:c r="B29748" s="121" t="n"/>
      <s:c r="C29748" s="121" t="n"/>
      <s:c r="D29748" s="121" t="n"/>
      <s:c r="E29748" s="122" t="n"/>
    </s:row>
    <s:row r="29749" hidden="1" ht="1" customHeight="1">
      <s:c r="A29749" s="120" t="inlineStr"/>
      <s:c r="B29749" s="121" t="n"/>
      <s:c r="C29749" s="121" t="n"/>
      <s:c r="D29749" s="121" t="n"/>
      <s:c r="E29749" s="122" t="n"/>
    </s:row>
    <s:row r="29750" hidden="1" ht="1" customHeight="1">
      <s:c r="A29750" s="120" t="inlineStr"/>
      <s:c r="B29750" s="121" t="n"/>
      <s:c r="C29750" s="121" t="n"/>
      <s:c r="D29750" s="121" t="n"/>
      <s:c r="E29750" s="122" t="n"/>
    </s:row>
    <s:row r="29751" hidden="1" ht="1" customHeight="1">
      <s:c r="A29751" s="120" t="inlineStr"/>
      <s:c r="B29751" s="121" t="n"/>
      <s:c r="C29751" s="121" t="n"/>
      <s:c r="D29751" s="121" t="n"/>
      <s:c r="E29751" s="122" t="n"/>
    </s:row>
    <s:row r="29752" hidden="1" ht="1" customHeight="1">
      <s:c r="A29752" s="120" t="inlineStr"/>
      <s:c r="B29752" s="121" t="n"/>
      <s:c r="C29752" s="121" t="n"/>
      <s:c r="D29752" s="121" t="n"/>
      <s:c r="E29752" s="122" t="n"/>
    </s:row>
    <s:row r="29753" hidden="1" ht="1" customHeight="1">
      <s:c r="A29753" s="120" t="inlineStr"/>
      <s:c r="B29753" s="121" t="n"/>
      <s:c r="C29753" s="121" t="n"/>
      <s:c r="D29753" s="121" t="n"/>
      <s:c r="E29753" s="122" t="n"/>
    </s:row>
    <s:row r="29754" hidden="1" ht="1" customHeight="1">
      <s:c r="A29754" s="120" t="inlineStr"/>
      <s:c r="B29754" s="121" t="n"/>
      <s:c r="C29754" s="121" t="n"/>
      <s:c r="D29754" s="121" t="n"/>
      <s:c r="E29754" s="122" t="n"/>
    </s:row>
    <s:row r="29755" hidden="1" ht="1" customHeight="1">
      <s:c r="A29755" s="120" t="inlineStr"/>
      <s:c r="B29755" s="121" t="n"/>
      <s:c r="C29755" s="121" t="n"/>
      <s:c r="D29755" s="121" t="n"/>
      <s:c r="E29755" s="122" t="n"/>
    </s:row>
    <s:row r="29756" hidden="1" ht="1" customHeight="1">
      <s:c r="A29756" s="120" t="inlineStr"/>
      <s:c r="B29756" s="121" t="n"/>
      <s:c r="C29756" s="121" t="n"/>
      <s:c r="D29756" s="121" t="n"/>
      <s:c r="E29756" s="122" t="n"/>
    </s:row>
    <s:row r="29757" hidden="1" ht="1" customHeight="1">
      <s:c r="A29757" s="120" t="inlineStr"/>
      <s:c r="B29757" s="121" t="n"/>
      <s:c r="C29757" s="121" t="n"/>
      <s:c r="D29757" s="121" t="n"/>
      <s:c r="E29757" s="122" t="n"/>
    </s:row>
    <s:row r="29758" hidden="1" ht="1" customHeight="1">
      <s:c r="A29758" s="120" t="inlineStr"/>
      <s:c r="B29758" s="121" t="n"/>
      <s:c r="C29758" s="121" t="n"/>
      <s:c r="D29758" s="121" t="n"/>
      <s:c r="E29758" s="122" t="n"/>
    </s:row>
    <s:row r="29759" hidden="1" ht="1" customHeight="1">
      <s:c r="A29759" s="120" t="inlineStr"/>
      <s:c r="B29759" s="121" t="n"/>
      <s:c r="C29759" s="121" t="n"/>
      <s:c r="D29759" s="121" t="n"/>
      <s:c r="E29759" s="122" t="n"/>
    </s:row>
    <s:row r="29760" hidden="1" ht="1" customHeight="1">
      <s:c r="A29760" s="120" t="inlineStr"/>
      <s:c r="B29760" s="121" t="n"/>
      <s:c r="C29760" s="121" t="n"/>
      <s:c r="D29760" s="121" t="n"/>
      <s:c r="E29760" s="122" t="n"/>
    </s:row>
    <s:row r="29761" hidden="1" ht="1" customHeight="1">
      <s:c r="A29761" s="120" t="inlineStr"/>
      <s:c r="B29761" s="121" t="n"/>
      <s:c r="C29761" s="121" t="n"/>
      <s:c r="D29761" s="121" t="n"/>
      <s:c r="E29761" s="122" t="n"/>
    </s:row>
    <s:row r="29762" hidden="1" ht="1" customHeight="1">
      <s:c r="A29762" s="120" t="inlineStr"/>
      <s:c r="B29762" s="121" t="n"/>
      <s:c r="C29762" s="121" t="n"/>
      <s:c r="D29762" s="121" t="n"/>
      <s:c r="E29762" s="122" t="n"/>
    </s:row>
    <s:row r="29763" hidden="1" ht="1" customHeight="1">
      <s:c r="A29763" s="120" t="inlineStr"/>
      <s:c r="B29763" s="121" t="n"/>
      <s:c r="C29763" s="121" t="n"/>
      <s:c r="D29763" s="121" t="n"/>
      <s:c r="E29763" s="122" t="n"/>
    </s:row>
    <s:row r="29764" hidden="1" ht="1" customHeight="1">
      <s:c r="A29764" s="120" t="inlineStr"/>
      <s:c r="B29764" s="121" t="n"/>
      <s:c r="C29764" s="121" t="n"/>
      <s:c r="D29764" s="121" t="n"/>
      <s:c r="E29764" s="122" t="n"/>
    </s:row>
    <s:row r="29765" hidden="1" ht="1" customHeight="1">
      <s:c r="A29765" s="120" t="inlineStr"/>
      <s:c r="B29765" s="121" t="n"/>
      <s:c r="C29765" s="121" t="n"/>
      <s:c r="D29765" s="121" t="n"/>
      <s:c r="E29765" s="122" t="n"/>
    </s:row>
    <s:row r="29766" hidden="1" ht="1" customHeight="1">
      <s:c r="A29766" s="83" t="inlineStr">
        <s:is>
          <s:t>PASS</s:t>
        </s:is>
      </s:c>
      <s:c r="B29766" s="83">
        <s:f>SUM(IF(EXACT('Kiểm thử'!E29616,"Đạt"),1,0),IF(EXACT('Kiểm thử'!E29618,"Đạt"),1,0),IF(EXACT('Kiểm thử'!E29620,"Đạt"),1,0))</s:f>
        <s:v/>
      </s:c>
      <s:c r="C29766" s="19" t="n"/>
      <s:c r="D29766" s="19" t="n"/>
      <s:c r="E29766" s="19" t="n"/>
    </s:row>
    <s:row r="29767" hidden="1" ht="1" customHeight="1">
      <s:c r="A29767" s="83" t="inlineStr">
        <s:is>
          <s:t>FAIL</s:t>
        </s:is>
      </s:c>
      <s:c r="B29767" s="83">
        <s:f>SUM(IF(EXACT('Kiểm thử'!E29616,"Không đạt"),1,0),IF(EXACT('Kiểm thử'!E29618,"Không đạt"),1,0),IF(EXACT('Kiểm thử'!E29620,"Không đạt"),1,0))</s:f>
        <s:v/>
      </s:c>
      <s:c r="C29767" s="19" t="n"/>
      <s:c r="D29767" s="19" t="n"/>
      <s:c r="E29767" s="19" t="n"/>
    </s:row>
    <s:row r="29768" hidden="1" ht="1" customHeight="1">
      <s:c r="A29768" s="83" t="inlineStr">
        <s:is>
          <s:t>BLOCKED</s:t>
        </s:is>
      </s:c>
      <s:c r="B29768" s="83">
        <s:f>SUM(IF(EXACT('Kiểm thử'!E29616,"Bị chặn"),1,0),IF(EXACT('Kiểm thử'!E29618,"Bị chặn"),1,0),IF(EXACT('Kiểm thử'!E29620,"Bị chặn"),1,0))</s:f>
        <s:v/>
      </s:c>
      <s:c r="C29768" s="19" t="n"/>
      <s:c r="D29768" s="19" t="n"/>
      <s:c r="E29768" s="19" t="n"/>
    </s:row>
    <s:row r="29769" hidden="1" ht="1" customHeight="1">
      <s:c r="A29769" s="83" t="inlineStr">
        <s:is>
          <s:t>SKIPPED</s:t>
        </s:is>
      </s:c>
      <s:c r="B29769" s="83">
        <s:f>SUM(IF(EXACT('Kiểm thử'!E29616,"Không thực hiện"),1,0),IF(EXACT('Kiểm thử'!E29618,"Không thực hiện"),1,0),IF(EXACT('Kiểm thử'!E29620,"Không thực hiện"),1,0))</s:f>
        <s:v/>
      </s:c>
      <s:c r="C29769" s="19" t="n"/>
      <s:c r="D29769" s="19" t="n"/>
      <s:c r="E29769" s="19" t="n"/>
    </s:row>
    <s:row r="29770" hidden="1" ht="1" customHeight="1">
      <s:c r="A29770" s="83" t="inlineStr">
        <s:is>
          <s:t>NOT RUN</s:t>
        </s:is>
      </s:c>
      <s:c r="B29770" s="83">
        <s:f>SUM(IF(EXACT('Kiểm thử'!E29616,"Chưa thực hiện"),1,0),IF(EXACT('Kiểm thử'!E29618,"Chưa thực hiện"),1,0),IF(EXACT('Kiểm thử'!E29620,"Chưa thực hiện"),1,0))</s:f>
        <s:v/>
      </s:c>
      <s:c r="C29770" s="19" t="n"/>
      <s:c r="D29770" s="19" t="n"/>
      <s:c r="E29770" s="19" t="n"/>
    </s:row>
    <s:row r="29771" hidden="1" ht="6" customHeight="1">
      <s:c r="A29771" s="83" t="inlineStr"/>
      <s:c r="B29771" s="19" t="n"/>
      <s:c r="C29771" s="19" t="n"/>
      <s:c r="D29771" s="19" t="n"/>
      <s:c r="E29771" s="19" t="n"/>
    </s:row>
    <s:row r="29772" ht="28" customHeight="1">
      <s:c r="A29772" s="108" t="inlineStr">
        <s:is>
          <s:t>TC-RS-ERR-004 — Đã xếp hàng không phải đã hoàn tất; bấm chạy trùng</s:t>
        </s:is>
      </s:c>
      <s:c r="B29772" s="111" t="n"/>
      <s:c r="C29772" s="111" t="n"/>
      <s:c r="D29772" s="111" t="n"/>
      <s:c r="E29772" s="111" t="n"/>
    </s:row>
    <s:row r="29773" ht="20" customHeight="1">
      <s:c r="A29773" s="112" t="inlineStr">
        <s:is>
          <s:t>Kết quả tình huống</s:t>
        </s:is>
      </s:c>
      <s:c r="B29773" s="113">
        <s:f>IF(SUM(IF(EXACT('Kiểm thử'!E29782,"Không đạt"),1,0))&gt;0,"Không đạt",IF(SUM(IF(EXACT('Kiểm thử'!E29782,"Đạt"),1,0))=1,"Đạt",IF(SUM(IF(EXACT('Kiểm thử'!E29782,"Không thực hiện"),1,0))=1,"Không thực hiện",IF(SUM(IF(EXACT('Kiểm thử'!E29782,"Bị chặn"),1,0))&gt;0,"Bị chặn",IF(SUM(IF(EXACT('Kiểm thử'!E29782,"Chưa thực hiện"),1,0))=1,"Chưa thực hiện","Đang thực hiện")))))</s:f>
        <s:v/>
      </s:c>
      <s:c r="C29773" s="114" t="n"/>
      <s:c r="D29773" s="114" t="n"/>
      <s:c r="E29773" s="114" t="n"/>
    </s:row>
    <s:row r="29774" ht="20" customHeight="1">
      <s:c r="A29774" s="112" t="inlineStr">
        <s:is>
          <s:t>Màn hình / chức năng</s:t>
        </s:is>
      </s:c>
      <s:c r="B29774" s="113" t="inlineStr">
        <s:is>
          <s:t>Lỗi và cập nhật kết quả</s:t>
        </s:is>
      </s:c>
      <s:c r="C29774" s="28" t="n"/>
      <s:c r="D29774" s="28" t="n"/>
      <s:c r="E29774" s="28" t="n"/>
    </s:row>
    <s:row r="29775" ht="20" customHeight="1">
      <s:c r="A29775" s="112" t="inlineStr">
        <s:is>
          <s:t>Cấu hình</s:t>
        </s:is>
      </s:c>
      <s:c r="B29775" s="113" t="inlineStr">
        <s:is>
          <s:t>• Tài khoản có quyền chạy hàng loạt. Đã đổi ngưỡng, chưa chạy lại.</s:t>
        </s:is>
      </s:c>
      <s:c r="C29775" s="28" t="n"/>
      <s:c r="D29775" s="28" t="n"/>
      <s:c r="E29775" s="28" t="n"/>
    </s:row>
    <s:row r="29776" ht="20" customHeight="1">
      <s:c r="A29776" s="112" t="inlineStr">
        <s:is>
          <s:t>Dữ liệu test</s:t>
        </s:is>
      </s:c>
      <s:c r="B29776" s="113" t="inlineStr">
        <s:is>
          <s:t>• Quy tắc “Cố định 30” (dưới 30)</s:t>
        </s:is>
      </s:c>
      <s:c r="C29776" s="28" t="n"/>
      <s:c r="D29776" s="28" t="n"/>
      <s:c r="E29776" s="28" t="n"/>
    </s:row>
    <s:row r="29777" ht="20" customHeight="1">
      <s:c r="A29777" s="112" t="inlineStr">
        <s:is>
          <s:t>Bước 1</s:t>
        </s:is>
      </s:c>
      <s:c r="B29777" s="113" t="inlineStr">
        <s:is>
          <s:r>
            <s:t xml:space="preserve">Bấm Thực hiện </s:t>
          </s:r>
          <s:r>
            <s:rPr>
              <s:b val="1"/>
            </s:rPr>
            <s:t>tính toán tự động（自動算出実行）</s:t>
          </s:r>
          <s:r>
            <s:t>, đọc thông báo ngay khi request trả về.</s:t>
          </s:r>
        </s:is>
      </s:c>
      <s:c r="C29777" s="28" t="n"/>
      <s:c r="D29777" s="28" t="n"/>
      <s:c r="E29777" s="28" t="n"/>
    </s:row>
    <s:row r="29778" ht="20" customHeight="1">
      <s:c r="A29778" s="112" t="inlineStr">
        <s:is>
          <s:t>Bước 2</s:t>
        </s:is>
      </s:c>
      <s:c r="B29778" s="113" t="inlineStr">
        <s:is>
          <s:t>Bấm lại lần nữa khi lượt đầu chưa xong.</s:t>
        </s:is>
      </s:c>
      <s:c r="C29778" s="28" t="n"/>
      <s:c r="D29778" s="28" t="n"/>
      <s:c r="E29778" s="28" t="n"/>
    </s:row>
    <s:row r="29779" ht="20" customHeight="1">
      <s:c r="A29779" s="112" t="inlineStr">
        <s:is>
          <s:t>Bước 3</s:t>
        </s:is>
      </s:c>
      <s:c r="B29779" s="113" t="inlineStr">
        <s:is>
          <s:t>Sau khi xong, xem kết quả.</s:t>
        </s:is>
      </s:c>
      <s:c r="C29779" s="28" t="n"/>
      <s:c r="D29779" s="28" t="n"/>
      <s:c r="E29779" s="28" t="n"/>
    </s:row>
    <s:row r="29780" ht="28" customHeight="1">
      <s:c r="A29780" s="115" t="inlineStr">
        <s:is>
          <s:t>Trường hợp</s:t>
        </s:is>
      </s:c>
      <s:c r="B29780" s="115" t="inlineStr">
        <s:is>
          <s:t>Dữ liệu / thao tác riêng</s:t>
        </s:is>
      </s:c>
      <s:c r="C29780" s="115" t="inlineStr">
        <s:is>
          <s:t>Kết quả mong đợi</s:t>
        </s:is>
      </s:c>
      <s:c r="D29780" s="115" t="inlineStr">
        <s:is>
          <s:t>Kết quả thực tế</s:t>
        </s:is>
      </s:c>
      <s:c r="E29780" s="115" t="inlineStr">
        <s:is>
          <s:t>Đánh giá</s:t>
        </s:is>
      </s:c>
    </s:row>
    <s:row r="29781" ht="3" customHeight="1">
      <s:c r="A29781" s="102" t="inlineStr"/>
      <s:c r="B29781" s="99" t="n"/>
      <s:c r="C29781" s="99" t="n"/>
      <s:c r="D29781" s="116" t="n"/>
      <s:c r="E29781" s="116" t="n"/>
    </s:row>
    <s:row r="29782" ht="104" customHeight="1">
      <s:c r="A29782" s="83" t="inlineStr">
        <s:is>
          <s:t>Trường hợp cơ bản (Base)</s:t>
        </s:is>
      </s:c>
      <s:c r="B29782" s="83" t="inlineStr">
        <s:is>
          <s:t>Toàn bộ tình huống: Thực hiện đủ các bước chung theo thứ tự; kiểm cả đối tượng đích và đối chứng cùng fixture, không bỏ bước.</s:t>
        </s:is>
      </s:c>
      <s:c r="C29782" s="83" t="inlineStr">
        <s:is>
          <s:t>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s:t>
        </s:is>
      </s:c>
      <s:c r="D29782" s="117" t="inlineStr"/>
      <s:c r="E29782" s="118" t="inlineStr">
        <s:is>
          <s:t>Chưa thực hiện</s:t>
        </s:is>
      </s:c>
    </s:row>
    <s:row r="29783" ht="20" customHeight="1">
      <s:c r="A29783" s="119" t="inlineStr">
        <s:is>
          <s:t>Ảnh minh chứng — Chưa có ảnh</s:t>
        </s:is>
      </s:c>
      <s:c r="B29783" s="19" t="n"/>
      <s:c r="C29783" s="19" t="n"/>
      <s:c r="D29783" s="19" t="n"/>
      <s:c r="E29783" s="19" t="n"/>
    </s:row>
    <s:row r="29784" hidden="1" ht="1" customHeight="1">
      <s:c r="A29784" s="120" t="inlineStr"/>
      <s:c r="B29784" s="121" t="n"/>
      <s:c r="C29784" s="121" t="n"/>
      <s:c r="D29784" s="121" t="n"/>
      <s:c r="E29784" s="122" t="n"/>
    </s:row>
    <s:row r="29785" hidden="1" ht="1" customHeight="1">
      <s:c r="A29785" s="120" t="inlineStr"/>
      <s:c r="B29785" s="121" t="n"/>
      <s:c r="C29785" s="121" t="n"/>
      <s:c r="D29785" s="121" t="n"/>
      <s:c r="E29785" s="122" t="n"/>
    </s:row>
    <s:row r="29786" hidden="1" ht="1" customHeight="1">
      <s:c r="A29786" s="120" t="inlineStr"/>
      <s:c r="B29786" s="121" t="n"/>
      <s:c r="C29786" s="121" t="n"/>
      <s:c r="D29786" s="121" t="n"/>
      <s:c r="E29786" s="122" t="n"/>
    </s:row>
    <s:row r="29787" hidden="1" ht="1" customHeight="1">
      <s:c r="A29787" s="120" t="inlineStr"/>
      <s:c r="B29787" s="121" t="n"/>
      <s:c r="C29787" s="121" t="n"/>
      <s:c r="D29787" s="121" t="n"/>
      <s:c r="E29787" s="122" t="n"/>
    </s:row>
    <s:row r="29788" hidden="1" ht="1" customHeight="1">
      <s:c r="A29788" s="120" t="inlineStr"/>
      <s:c r="B29788" s="121" t="n"/>
      <s:c r="C29788" s="121" t="n"/>
      <s:c r="D29788" s="121" t="n"/>
      <s:c r="E29788" s="122" t="n"/>
    </s:row>
    <s:row r="29789" hidden="1" ht="1" customHeight="1">
      <s:c r="A29789" s="120" t="inlineStr"/>
      <s:c r="B29789" s="121" t="n"/>
      <s:c r="C29789" s="121" t="n"/>
      <s:c r="D29789" s="121" t="n"/>
      <s:c r="E29789" s="122" t="n"/>
    </s:row>
    <s:row r="29790" hidden="1" ht="1" customHeight="1">
      <s:c r="A29790" s="120" t="inlineStr"/>
      <s:c r="B29790" s="121" t="n"/>
      <s:c r="C29790" s="121" t="n"/>
      <s:c r="D29790" s="121" t="n"/>
      <s:c r="E29790" s="122" t="n"/>
    </s:row>
    <s:row r="29791" hidden="1" ht="1" customHeight="1">
      <s:c r="A29791" s="120" t="inlineStr"/>
      <s:c r="B29791" s="121" t="n"/>
      <s:c r="C29791" s="121" t="n"/>
      <s:c r="D29791" s="121" t="n"/>
      <s:c r="E29791" s="122" t="n"/>
    </s:row>
    <s:row r="29792" hidden="1" ht="1" customHeight="1">
      <s:c r="A29792" s="120" t="inlineStr"/>
      <s:c r="B29792" s="121" t="n"/>
      <s:c r="C29792" s="121" t="n"/>
      <s:c r="D29792" s="121" t="n"/>
      <s:c r="E29792" s="122" t="n"/>
    </s:row>
    <s:row r="29793" hidden="1" ht="1" customHeight="1">
      <s:c r="A29793" s="120" t="inlineStr"/>
      <s:c r="B29793" s="121" t="n"/>
      <s:c r="C29793" s="121" t="n"/>
      <s:c r="D29793" s="121" t="n"/>
      <s:c r="E29793" s="122" t="n"/>
    </s:row>
    <s:row r="29794" hidden="1" ht="1" customHeight="1">
      <s:c r="A29794" s="120" t="inlineStr"/>
      <s:c r="B29794" s="121" t="n"/>
      <s:c r="C29794" s="121" t="n"/>
      <s:c r="D29794" s="121" t="n"/>
      <s:c r="E29794" s="122" t="n"/>
    </s:row>
    <s:row r="29795" hidden="1" ht="1" customHeight="1">
      <s:c r="A29795" s="120" t="inlineStr"/>
      <s:c r="B29795" s="121" t="n"/>
      <s:c r="C29795" s="121" t="n"/>
      <s:c r="D29795" s="121" t="n"/>
      <s:c r="E29795" s="122" t="n"/>
    </s:row>
    <s:row r="29796" hidden="1" ht="1" customHeight="1">
      <s:c r="A29796" s="120" t="inlineStr"/>
      <s:c r="B29796" s="121" t="n"/>
      <s:c r="C29796" s="121" t="n"/>
      <s:c r="D29796" s="121" t="n"/>
      <s:c r="E29796" s="122" t="n"/>
    </s:row>
    <s:row r="29797" hidden="1" ht="1" customHeight="1">
      <s:c r="A29797" s="120" t="inlineStr"/>
      <s:c r="B29797" s="121" t="n"/>
      <s:c r="C29797" s="121" t="n"/>
      <s:c r="D29797" s="121" t="n"/>
      <s:c r="E29797" s="122" t="n"/>
    </s:row>
    <s:row r="29798" hidden="1" ht="1" customHeight="1">
      <s:c r="A29798" s="120" t="inlineStr"/>
      <s:c r="B29798" s="121" t="n"/>
      <s:c r="C29798" s="121" t="n"/>
      <s:c r="D29798" s="121" t="n"/>
      <s:c r="E29798" s="122" t="n"/>
    </s:row>
    <s:row r="29799" hidden="1" ht="1" customHeight="1">
      <s:c r="A29799" s="120" t="inlineStr"/>
      <s:c r="B29799" s="121" t="n"/>
      <s:c r="C29799" s="121" t="n"/>
      <s:c r="D29799" s="121" t="n"/>
      <s:c r="E29799" s="122" t="n"/>
    </s:row>
    <s:row r="29800" hidden="1" ht="1" customHeight="1">
      <s:c r="A29800" s="120" t="inlineStr"/>
      <s:c r="B29800" s="121" t="n"/>
      <s:c r="C29800" s="121" t="n"/>
      <s:c r="D29800" s="121" t="n"/>
      <s:c r="E29800" s="122" t="n"/>
    </s:row>
    <s:row r="29801" hidden="1" ht="1" customHeight="1">
      <s:c r="A29801" s="120" t="inlineStr"/>
      <s:c r="B29801" s="121" t="n"/>
      <s:c r="C29801" s="121" t="n"/>
      <s:c r="D29801" s="121" t="n"/>
      <s:c r="E29801" s="122" t="n"/>
    </s:row>
    <s:row r="29802" hidden="1" ht="1" customHeight="1">
      <s:c r="A29802" s="120" t="inlineStr"/>
      <s:c r="B29802" s="121" t="n"/>
      <s:c r="C29802" s="121" t="n"/>
      <s:c r="D29802" s="121" t="n"/>
      <s:c r="E29802" s="122" t="n"/>
    </s:row>
    <s:row r="29803" hidden="1" ht="1" customHeight="1">
      <s:c r="A29803" s="120" t="inlineStr"/>
      <s:c r="B29803" s="121" t="n"/>
      <s:c r="C29803" s="121" t="n"/>
      <s:c r="D29803" s="121" t="n"/>
      <s:c r="E29803" s="122" t="n"/>
    </s:row>
    <s:row r="29804" hidden="1" ht="1" customHeight="1">
      <s:c r="A29804" s="120" t="inlineStr"/>
      <s:c r="B29804" s="121" t="n"/>
      <s:c r="C29804" s="121" t="n"/>
      <s:c r="D29804" s="121" t="n"/>
      <s:c r="E29804" s="122" t="n"/>
    </s:row>
    <s:row r="29805" hidden="1" ht="1" customHeight="1">
      <s:c r="A29805" s="120" t="inlineStr"/>
      <s:c r="B29805" s="121" t="n"/>
      <s:c r="C29805" s="121" t="n"/>
      <s:c r="D29805" s="121" t="n"/>
      <s:c r="E29805" s="122" t="n"/>
    </s:row>
    <s:row r="29806" hidden="1" ht="1" customHeight="1">
      <s:c r="A29806" s="120" t="inlineStr"/>
      <s:c r="B29806" s="121" t="n"/>
      <s:c r="C29806" s="121" t="n"/>
      <s:c r="D29806" s="121" t="n"/>
      <s:c r="E29806" s="122" t="n"/>
    </s:row>
    <s:row r="29807" hidden="1" ht="1" customHeight="1">
      <s:c r="A29807" s="120" t="inlineStr"/>
      <s:c r="B29807" s="121" t="n"/>
      <s:c r="C29807" s="121" t="n"/>
      <s:c r="D29807" s="121" t="n"/>
      <s:c r="E29807" s="122" t="n"/>
    </s:row>
    <s:row r="29808" hidden="1" ht="1" customHeight="1">
      <s:c r="A29808" s="120" t="inlineStr"/>
      <s:c r="B29808" s="121" t="n"/>
      <s:c r="C29808" s="121" t="n"/>
      <s:c r="D29808" s="121" t="n"/>
      <s:c r="E29808" s="122" t="n"/>
    </s:row>
    <s:row r="29809" hidden="1" ht="1" customHeight="1">
      <s:c r="A29809" s="120" t="inlineStr"/>
      <s:c r="B29809" s="121" t="n"/>
      <s:c r="C29809" s="121" t="n"/>
      <s:c r="D29809" s="121" t="n"/>
      <s:c r="E29809" s="122" t="n"/>
    </s:row>
    <s:row r="29810" hidden="1" ht="1" customHeight="1">
      <s:c r="A29810" s="120" t="inlineStr"/>
      <s:c r="B29810" s="121" t="n"/>
      <s:c r="C29810" s="121" t="n"/>
      <s:c r="D29810" s="121" t="n"/>
      <s:c r="E29810" s="122" t="n"/>
    </s:row>
    <s:row r="29811" hidden="1" ht="1" customHeight="1">
      <s:c r="A29811" s="120" t="inlineStr"/>
      <s:c r="B29811" s="121" t="n"/>
      <s:c r="C29811" s="121" t="n"/>
      <s:c r="D29811" s="121" t="n"/>
      <s:c r="E29811" s="122" t="n"/>
    </s:row>
    <s:row r="29812" hidden="1" ht="1" customHeight="1">
      <s:c r="A29812" s="120" t="inlineStr"/>
      <s:c r="B29812" s="121" t="n"/>
      <s:c r="C29812" s="121" t="n"/>
      <s:c r="D29812" s="121" t="n"/>
      <s:c r="E29812" s="122" t="n"/>
    </s:row>
    <s:row r="29813" hidden="1" ht="1" customHeight="1">
      <s:c r="A29813" s="120" t="inlineStr"/>
      <s:c r="B29813" s="121" t="n"/>
      <s:c r="C29813" s="121" t="n"/>
      <s:c r="D29813" s="121" t="n"/>
      <s:c r="E29813" s="122" t="n"/>
    </s:row>
    <s:row r="29814" hidden="1" ht="1" customHeight="1">
      <s:c r="A29814" s="120" t="inlineStr"/>
      <s:c r="B29814" s="121" t="n"/>
      <s:c r="C29814" s="121" t="n"/>
      <s:c r="D29814" s="121" t="n"/>
      <s:c r="E29814" s="122" t="n"/>
    </s:row>
    <s:row r="29815" hidden="1" ht="1" customHeight="1">
      <s:c r="A29815" s="120" t="inlineStr"/>
      <s:c r="B29815" s="121" t="n"/>
      <s:c r="C29815" s="121" t="n"/>
      <s:c r="D29815" s="121" t="n"/>
      <s:c r="E29815" s="122" t="n"/>
    </s:row>
    <s:row r="29816" hidden="1" ht="1" customHeight="1">
      <s:c r="A29816" s="120" t="inlineStr"/>
      <s:c r="B29816" s="121" t="n"/>
      <s:c r="C29816" s="121" t="n"/>
      <s:c r="D29816" s="121" t="n"/>
      <s:c r="E29816" s="122" t="n"/>
    </s:row>
    <s:row r="29817" hidden="1" ht="1" customHeight="1">
      <s:c r="A29817" s="120" t="inlineStr"/>
      <s:c r="B29817" s="121" t="n"/>
      <s:c r="C29817" s="121" t="n"/>
      <s:c r="D29817" s="121" t="n"/>
      <s:c r="E29817" s="122" t="n"/>
    </s:row>
    <s:row r="29818" hidden="1" ht="1" customHeight="1">
      <s:c r="A29818" s="120" t="inlineStr"/>
      <s:c r="B29818" s="121" t="n"/>
      <s:c r="C29818" s="121" t="n"/>
      <s:c r="D29818" s="121" t="n"/>
      <s:c r="E29818" s="122" t="n"/>
    </s:row>
    <s:row r="29819" hidden="1" ht="1" customHeight="1">
      <s:c r="A29819" s="120" t="inlineStr"/>
      <s:c r="B29819" s="121" t="n"/>
      <s:c r="C29819" s="121" t="n"/>
      <s:c r="D29819" s="121" t="n"/>
      <s:c r="E29819" s="122" t="n"/>
    </s:row>
    <s:row r="29820" hidden="1" ht="1" customHeight="1">
      <s:c r="A29820" s="120" t="inlineStr"/>
      <s:c r="B29820" s="121" t="n"/>
      <s:c r="C29820" s="121" t="n"/>
      <s:c r="D29820" s="121" t="n"/>
      <s:c r="E29820" s="122" t="n"/>
    </s:row>
    <s:row r="29821" hidden="1" ht="1" customHeight="1">
      <s:c r="A29821" s="120" t="inlineStr"/>
      <s:c r="B29821" s="121" t="n"/>
      <s:c r="C29821" s="121" t="n"/>
      <s:c r="D29821" s="121" t="n"/>
      <s:c r="E29821" s="122" t="n"/>
    </s:row>
    <s:row r="29822" hidden="1" ht="1" customHeight="1">
      <s:c r="A29822" s="120" t="inlineStr"/>
      <s:c r="B29822" s="121" t="n"/>
      <s:c r="C29822" s="121" t="n"/>
      <s:c r="D29822" s="121" t="n"/>
      <s:c r="E29822" s="122" t="n"/>
    </s:row>
    <s:row r="29823" hidden="1" ht="1" customHeight="1">
      <s:c r="A29823" s="120" t="inlineStr"/>
      <s:c r="B29823" s="121" t="n"/>
      <s:c r="C29823" s="121" t="n"/>
      <s:c r="D29823" s="121" t="n"/>
      <s:c r="E29823" s="122" t="n"/>
    </s:row>
    <s:row r="29824" hidden="1" ht="1" customHeight="1">
      <s:c r="A29824" s="120" t="inlineStr"/>
      <s:c r="B29824" s="121" t="n"/>
      <s:c r="C29824" s="121" t="n"/>
      <s:c r="D29824" s="121" t="n"/>
      <s:c r="E29824" s="122" t="n"/>
    </s:row>
    <s:row r="29825" hidden="1" ht="1" customHeight="1">
      <s:c r="A29825" s="120" t="inlineStr"/>
      <s:c r="B29825" s="121" t="n"/>
      <s:c r="C29825" s="121" t="n"/>
      <s:c r="D29825" s="121" t="n"/>
      <s:c r="E29825" s="122" t="n"/>
    </s:row>
    <s:row r="29826" hidden="1" ht="1" customHeight="1">
      <s:c r="A29826" s="120" t="inlineStr"/>
      <s:c r="B29826" s="121" t="n"/>
      <s:c r="C29826" s="121" t="n"/>
      <s:c r="D29826" s="121" t="n"/>
      <s:c r="E29826" s="122" t="n"/>
    </s:row>
    <s:row r="29827" hidden="1" ht="1" customHeight="1">
      <s:c r="A29827" s="120" t="inlineStr"/>
      <s:c r="B29827" s="121" t="n"/>
      <s:c r="C29827" s="121" t="n"/>
      <s:c r="D29827" s="121" t="n"/>
      <s:c r="E29827" s="122" t="n"/>
    </s:row>
    <s:row r="29828" hidden="1" ht="1" customHeight="1">
      <s:c r="A29828" s="120" t="inlineStr"/>
      <s:c r="B29828" s="121" t="n"/>
      <s:c r="C29828" s="121" t="n"/>
      <s:c r="D29828" s="121" t="n"/>
      <s:c r="E29828" s="122" t="n"/>
    </s:row>
    <s:row r="29829" hidden="1" ht="1" customHeight="1">
      <s:c r="A29829" s="120" t="inlineStr"/>
      <s:c r="B29829" s="121" t="n"/>
      <s:c r="C29829" s="121" t="n"/>
      <s:c r="D29829" s="121" t="n"/>
      <s:c r="E29829" s="122" t="n"/>
    </s:row>
    <s:row r="29830" hidden="1" ht="1" customHeight="1">
      <s:c r="A29830" s="120" t="inlineStr"/>
      <s:c r="B29830" s="121" t="n"/>
      <s:c r="C29830" s="121" t="n"/>
      <s:c r="D29830" s="121" t="n"/>
      <s:c r="E29830" s="122" t="n"/>
    </s:row>
    <s:row r="29831" hidden="1" ht="1" customHeight="1">
      <s:c r="A29831" s="120" t="inlineStr"/>
      <s:c r="B29831" s="121" t="n"/>
      <s:c r="C29831" s="121" t="n"/>
      <s:c r="D29831" s="121" t="n"/>
      <s:c r="E29831" s="122" t="n"/>
    </s:row>
    <s:row r="29832" hidden="1" ht="1" customHeight="1">
      <s:c r="A29832" s="83" t="inlineStr">
        <s:is>
          <s:t>PASS</s:t>
        </s:is>
      </s:c>
      <s:c r="B29832" s="83">
        <s:f>SUM(IF(EXACT('Kiểm thử'!E29782,"Đạt"),1,0))</s:f>
        <s:v/>
      </s:c>
      <s:c r="C29832" s="19" t="n"/>
      <s:c r="D29832" s="19" t="n"/>
      <s:c r="E29832" s="19" t="n"/>
    </s:row>
    <s:row r="29833" hidden="1" ht="1" customHeight="1">
      <s:c r="A29833" s="83" t="inlineStr">
        <s:is>
          <s:t>FAIL</s:t>
        </s:is>
      </s:c>
      <s:c r="B29833" s="83">
        <s:f>SUM(IF(EXACT('Kiểm thử'!E29782,"Không đạt"),1,0))</s:f>
        <s:v/>
      </s:c>
      <s:c r="C29833" s="19" t="n"/>
      <s:c r="D29833" s="19" t="n"/>
      <s:c r="E29833" s="19" t="n"/>
    </s:row>
    <s:row r="29834" hidden="1" ht="1" customHeight="1">
      <s:c r="A29834" s="83" t="inlineStr">
        <s:is>
          <s:t>BLOCKED</s:t>
        </s:is>
      </s:c>
      <s:c r="B29834" s="83">
        <s:f>SUM(IF(EXACT('Kiểm thử'!E29782,"Bị chặn"),1,0))</s:f>
        <s:v/>
      </s:c>
      <s:c r="C29834" s="19" t="n"/>
      <s:c r="D29834" s="19" t="n"/>
      <s:c r="E29834" s="19" t="n"/>
    </s:row>
    <s:row r="29835" hidden="1" ht="1" customHeight="1">
      <s:c r="A29835" s="83" t="inlineStr">
        <s:is>
          <s:t>SKIPPED</s:t>
        </s:is>
      </s:c>
      <s:c r="B29835" s="83">
        <s:f>SUM(IF(EXACT('Kiểm thử'!E29782,"Không thực hiện"),1,0))</s:f>
        <s:v/>
      </s:c>
      <s:c r="C29835" s="19" t="n"/>
      <s:c r="D29835" s="19" t="n"/>
      <s:c r="E29835" s="19" t="n"/>
    </s:row>
    <s:row r="29836" hidden="1" ht="1" customHeight="1">
      <s:c r="A29836" s="83" t="inlineStr">
        <s:is>
          <s:t>NOT RUN</s:t>
        </s:is>
      </s:c>
      <s:c r="B29836" s="83">
        <s:f>SUM(IF(EXACT('Kiểm thử'!E29782,"Chưa thực hiện"),1,0))</s:f>
        <s:v/>
      </s:c>
      <s:c r="C29836" s="19" t="n"/>
      <s:c r="D29836" s="19" t="n"/>
      <s:c r="E29836" s="19" t="n"/>
    </s:row>
    <s:row r="29837" hidden="1" ht="6" customHeight="1">
      <s:c r="A29837" s="83" t="inlineStr"/>
      <s:c r="B29837" s="19" t="n"/>
      <s:c r="C29837" s="19" t="n"/>
      <s:c r="D29837" s="19" t="n"/>
      <s:c r="E29837" s="19" t="n"/>
    </s:row>
    <s:row r="29838" ht="28" customHeight="1">
      <s:c r="A29838" s="108" t="inlineStr">
        <s:is>
          <s:t>TC-RS-ERR-005 — Thông báo lỗi không lộ SQL, stack trace hoặc dữ liệu ngoài quyền</s:t>
        </s:is>
      </s:c>
      <s:c r="B29838" s="111" t="n"/>
      <s:c r="C29838" s="111" t="n"/>
      <s:c r="D29838" s="111" t="n"/>
      <s:c r="E29838" s="111" t="n"/>
    </s:row>
    <s:row r="29839" ht="20" customHeight="1">
      <s:c r="A29839" s="112" t="inlineStr">
        <s:is>
          <s:t>Kết quả tình huống</s:t>
        </s:is>
      </s:c>
      <s:c r="B29839" s="113">
        <s:f>IF(SUM(IF(EXACT('Kiểm thử'!E29846,"Không đạt"),1,0),IF(EXACT('Kiểm thử'!E29848,"Không đạt"),1,0),IF(EXACT('Kiểm thử'!E29850,"Không đạt"),1,0),IF(EXACT('Kiểm thử'!E29852,"Không đạt"),1,0))&gt;0,"Không đạt",IF(SUM(IF(EXACT('Kiểm thử'!E29846,"Đạt"),1,0),IF(EXACT('Kiểm thử'!E29848,"Đạt"),1,0),IF(EXACT('Kiểm thử'!E29850,"Đạt"),1,0),IF(EXACT('Kiểm thử'!E29852,"Đạt"),1,0))=4,"Đạt",IF(SUM(IF(EXACT('Kiểm thử'!E29846,"Không thực hiện"),1,0),IF(EXACT('Kiểm thử'!E29848,"Không thực hiện"),1,0),IF(EXACT('Kiểm thử'!E29850,"Không thực hiện"),1,0),IF(EXACT('Kiểm thử'!E29852,"Không thực hiện"),1,0))=4,"Không thực hiện",IF(SUM(IF(EXACT('Kiểm thử'!E29846,"Bị chặn"),1,0),IF(EXACT('Kiểm thử'!E29848,"Bị chặn"),1,0),IF(EXACT('Kiểm thử'!E29850,"Bị chặn"),1,0),IF(EXACT('Kiểm thử'!E29852,"Bị chặn"),1,0))&gt;0,"Bị chặn",IF(SUM(IF(EXACT('Kiểm thử'!E29846,"Chưa thực hiện"),1,0),IF(EXACT('Kiểm thử'!E29848,"Chưa thực hiện"),1,0),IF(EXACT('Kiểm thử'!E29850,"Chưa thực hiện"),1,0),IF(EXACT('Kiểm thử'!E29852,"Chưa thực hiện"),1,0))=4,"Chưa thực hiện","Đang thực hiện")))))</s:f>
        <s:v/>
      </s:c>
      <s:c r="C29839" s="114" t="n"/>
      <s:c r="D29839" s="114" t="n"/>
      <s:c r="E29839" s="114" t="n"/>
    </s:row>
    <s:row r="29840" ht="20" customHeight="1">
      <s:c r="A29840" s="112" t="inlineStr">
        <s:is>
          <s:t>Màn hình / chức năng</s:t>
        </s:is>
      </s:c>
      <s:c r="B29840" s="113" t="inlineStr">
        <s:is>
          <s:t>Lỗi và cập nhật kết quả</s:t>
        </s:is>
      </s:c>
      <s:c r="C29840" s="28" t="n"/>
      <s:c r="D29840" s="28" t="n"/>
      <s:c r="E29840" s="28" t="n"/>
    </s:row>
    <s:row r="29841" ht="20" customHeight="1">
      <s:c r="A29841" s="112" t="inlineStr">
        <s:is>
          <s:t>Cấu hình</s:t>
        </s:is>
      </s:c>
      <s:c r="B29841" s="113" t="inlineStr">
        <s:is>
          <s:t>• Các tình huống lỗi của ERR-002, ERR-003, ERR-006, ERR-009.</s:t>
        </s:is>
      </s:c>
      <s:c r="C29841" s="28" t="n"/>
      <s:c r="D29841" s="28" t="n"/>
      <s:c r="E29841" s="28" t="n"/>
    </s:row>
    <s:row r="29842" ht="20" customHeight="1">
      <s:c r="A29842" s="112" t="inlineStr">
        <s:is>
          <s:t>Dữ liệu test</s:t>
        </s:is>
      </s:c>
      <s:c r="B29842" s="113" t="inlineStr">
        <s:is>
          <s:t>• —</s:t>
        </s:is>
      </s:c>
      <s:c r="C29842" s="28" t="n"/>
      <s:c r="D29842" s="28" t="n"/>
      <s:c r="E29842" s="28" t="n"/>
    </s:row>
    <s:row r="29843" ht="20" customHeight="1">
      <s:c r="A29843" s="112" t="inlineStr">
        <s:is>
          <s:t>•</s:t>
        </s:is>
      </s:c>
      <s:c r="B29843" s="113" t="inlineStr">
        <s:is>
          <s:t>Thu thập mọi thông báo lỗi hiển thị cho người dùng trong các case trên.</s:t>
        </s:is>
      </s:c>
      <s:c r="C29843" s="28" t="n"/>
      <s:c r="D29843" s="28" t="n"/>
      <s:c r="E29843" s="28" t="n"/>
    </s:row>
    <s:row r="29844" ht="28" customHeight="1">
      <s:c r="A29844" s="115" t="inlineStr">
        <s:is>
          <s:t>Trường hợp</s:t>
        </s:is>
      </s:c>
      <s:c r="B29844" s="115" t="inlineStr">
        <s:is>
          <s:t>Dữ liệu / thao tác riêng</s:t>
        </s:is>
      </s:c>
      <s:c r="C29844" s="115" t="inlineStr">
        <s:is>
          <s:t>Kết quả mong đợi</s:t>
        </s:is>
      </s:c>
      <s:c r="D29844" s="115" t="inlineStr">
        <s:is>
          <s:t>Kết quả thực tế</s:t>
        </s:is>
      </s:c>
      <s:c r="E29844" s="115" t="inlineStr">
        <s:is>
          <s:t>Đánh giá</s:t>
        </s:is>
      </s:c>
    </s:row>
    <s:row r="29845" ht="3" customHeight="1">
      <s:c r="A29845" s="102" t="inlineStr"/>
      <s:c r="B29845" s="99" t="n"/>
      <s:c r="C29845" s="99" t="n"/>
      <s:c r="D29845" s="116" t="n"/>
      <s:c r="E29845" s="116" t="n"/>
    </s:row>
    <s:row r="29846" ht="62" customHeight="1">
      <s:c r="A29846" s="83" t="inlineStr">
        <s:is>
          <s:t>Thông báo lỗi lưu (save-error)</s:t>
        </s:is>
      </s:c>
      <s:c r="B29846" s="83" t="inlineStr">
        <s:is>
          <s:t>Thu thập thông báo thật của các lượt lỗi lưu/ghi kết quả thuộc ERR-002; kiểm quyền người nhận và nội dung lộ dữ liệu.</s:t>
        </s:is>
      </s:c>
      <s:c r="C29846" s="83" t="inlineStr">
        <s:is>
          <s:t>Không có câu SQL, stack trace, đường dẫn file server hoặc tên/điểm học sinh ngoài quyền người thao tác.</s:t>
        </s:is>
      </s:c>
      <s:c r="D29846" s="117" t="inlineStr"/>
      <s:c r="E29846" s="118" t="inlineStr">
        <s:is>
          <s:t>Chưa thực hiện</s:t>
        </s:is>
      </s:c>
    </s:row>
    <s:row r="29847" ht="3" customHeight="1">
      <s:c r="A29847" s="102" t="inlineStr"/>
      <s:c r="B29847" s="99" t="n"/>
      <s:c r="C29847" s="99" t="n"/>
      <s:c r="D29847" s="116" t="n"/>
      <s:c r="E29847" s="116" t="n"/>
    </s:row>
    <s:row r="29848" ht="48" customHeight="1">
      <s:c r="A29848" s="83" t="inlineStr">
        <s:is>
          <s:t>Thông báo lỗi batch (batch-error)</s:t>
        </s:is>
      </s:c>
      <s:c r="B29848" s="83" t="inlineStr">
        <s:is>
          <s:t>Thu thập thông báo thật của lỗi một phần ERR-003; kiểm quyền người nhận và nội dung lộ dữ liệu.</s:t>
        </s:is>
      </s:c>
      <s:c r="C29848" s="83" t="inlineStr">
        <s:is>
          <s:t>Không có câu SQL, stack trace, đường dẫn file server hoặc tên/điểm học sinh ngoài quyền người thao tác.</s:t>
        </s:is>
      </s:c>
      <s:c r="D29848" s="117" t="inlineStr"/>
      <s:c r="E29848" s="118" t="inlineStr">
        <s:is>
          <s:t>Chưa thực hiện</s:t>
        </s:is>
      </s:c>
    </s:row>
    <s:row r="29849" ht="3" customHeight="1">
      <s:c r="A29849" s="102" t="inlineStr"/>
      <s:c r="B29849" s="99" t="n"/>
      <s:c r="C29849" s="99" t="n"/>
      <s:c r="D29849" s="116" t="n"/>
      <s:c r="E29849" s="116" t="n"/>
    </s:row>
    <s:row r="29850" ht="48" customHeight="1">
      <s:c r="A29850" s="83" t="inlineStr">
        <s:is>
          <s:t>Thông báo lỗi quyền (permission-error)</s:t>
        </s:is>
      </s:c>
      <s:c r="B29850" s="83" t="inlineStr">
        <s:is>
          <s:t>Thu thập thông báo từ request thiếu quyền ERR-006; kiểm nội dung lộ dữ liệu.</s:t>
        </s:is>
      </s:c>
      <s:c r="C29850" s="83" t="inlineStr">
        <s:is>
          <s:t>Không có câu SQL, stack trace, đường dẫn file server hoặc tên/điểm học sinh ngoài quyền người thao tác.</s:t>
        </s:is>
      </s:c>
      <s:c r="D29850" s="117" t="inlineStr"/>
      <s:c r="E29850" s="118" t="inlineStr">
        <s:is>
          <s:t>Chưa thực hiện</s:t>
        </s:is>
      </s:c>
    </s:row>
    <s:row r="29851" ht="3" customHeight="1">
      <s:c r="A29851" s="102" t="inlineStr"/>
      <s:c r="B29851" s="99" t="n"/>
      <s:c r="C29851" s="99" t="n"/>
      <s:c r="D29851" s="116" t="n"/>
      <s:c r="E29851" s="116" t="n"/>
    </s:row>
    <s:row r="29852" ht="48" customHeight="1">
      <s:c r="A29852" s="83" t="inlineStr">
        <s:is>
          <s:t>Thông báo dữ liệu không hợp lệ (input-error)</s:t>
        </s:is>
      </s:c>
      <s:c r="B29852" s="83" t="inlineStr">
        <s:is>
          <s:t>Thu thập thông báo từ request giá trị không hợp lệ ERR-009; kiểm nội dung lộ dữ liệu.</s:t>
        </s:is>
      </s:c>
      <s:c r="C29852" s="83" t="inlineStr">
        <s:is>
          <s:t>Không có câu SQL, stack trace, đường dẫn file server hoặc tên/điểm học sinh ngoài quyền người thao tác.</s:t>
        </s:is>
      </s:c>
      <s:c r="D29852" s="117" t="inlineStr"/>
      <s:c r="E29852" s="118" t="inlineStr">
        <s:is>
          <s:t>Chưa thực hiện</s:t>
        </s:is>
      </s:c>
    </s:row>
    <s:row r="29853" ht="20" customHeight="1">
      <s:c r="A29853" s="119" t="inlineStr">
        <s:is>
          <s:t>Ảnh minh chứng — Chưa có ảnh</s:t>
        </s:is>
      </s:c>
      <s:c r="B29853" s="19" t="n"/>
      <s:c r="C29853" s="19" t="n"/>
      <s:c r="D29853" s="19" t="n"/>
      <s:c r="E29853" s="19" t="n"/>
    </s:row>
    <s:row r="29854" hidden="1" ht="1" customHeight="1">
      <s:c r="A29854" s="120" t="inlineStr"/>
      <s:c r="B29854" s="121" t="n"/>
      <s:c r="C29854" s="121" t="n"/>
      <s:c r="D29854" s="121" t="n"/>
      <s:c r="E29854" s="122" t="n"/>
    </s:row>
    <s:row r="29855" hidden="1" ht="1" customHeight="1">
      <s:c r="A29855" s="120" t="inlineStr"/>
      <s:c r="B29855" s="121" t="n"/>
      <s:c r="C29855" s="121" t="n"/>
      <s:c r="D29855" s="121" t="n"/>
      <s:c r="E29855" s="122" t="n"/>
    </s:row>
    <s:row r="29856" hidden="1" ht="1" customHeight="1">
      <s:c r="A29856" s="120" t="inlineStr"/>
      <s:c r="B29856" s="121" t="n"/>
      <s:c r="C29856" s="121" t="n"/>
      <s:c r="D29856" s="121" t="n"/>
      <s:c r="E29856" s="122" t="n"/>
    </s:row>
    <s:row r="29857" hidden="1" ht="1" customHeight="1">
      <s:c r="A29857" s="120" t="inlineStr"/>
      <s:c r="B29857" s="121" t="n"/>
      <s:c r="C29857" s="121" t="n"/>
      <s:c r="D29857" s="121" t="n"/>
      <s:c r="E29857" s="122" t="n"/>
    </s:row>
    <s:row r="29858" hidden="1" ht="1" customHeight="1">
      <s:c r="A29858" s="120" t="inlineStr"/>
      <s:c r="B29858" s="121" t="n"/>
      <s:c r="C29858" s="121" t="n"/>
      <s:c r="D29858" s="121" t="n"/>
      <s:c r="E29858" s="122" t="n"/>
    </s:row>
    <s:row r="29859" hidden="1" ht="1" customHeight="1">
      <s:c r="A29859" s="120" t="inlineStr"/>
      <s:c r="B29859" s="121" t="n"/>
      <s:c r="C29859" s="121" t="n"/>
      <s:c r="D29859" s="121" t="n"/>
      <s:c r="E29859" s="122" t="n"/>
    </s:row>
    <s:row r="29860" hidden="1" ht="1" customHeight="1">
      <s:c r="A29860" s="120" t="inlineStr"/>
      <s:c r="B29860" s="121" t="n"/>
      <s:c r="C29860" s="121" t="n"/>
      <s:c r="D29860" s="121" t="n"/>
      <s:c r="E29860" s="122" t="n"/>
    </s:row>
    <s:row r="29861" hidden="1" ht="1" customHeight="1">
      <s:c r="A29861" s="120" t="inlineStr"/>
      <s:c r="B29861" s="121" t="n"/>
      <s:c r="C29861" s="121" t="n"/>
      <s:c r="D29861" s="121" t="n"/>
      <s:c r="E29861" s="122" t="n"/>
    </s:row>
    <s:row r="29862" hidden="1" ht="1" customHeight="1">
      <s:c r="A29862" s="120" t="inlineStr"/>
      <s:c r="B29862" s="121" t="n"/>
      <s:c r="C29862" s="121" t="n"/>
      <s:c r="D29862" s="121" t="n"/>
      <s:c r="E29862" s="122" t="n"/>
    </s:row>
    <s:row r="29863" hidden="1" ht="1" customHeight="1">
      <s:c r="A29863" s="120" t="inlineStr"/>
      <s:c r="B29863" s="121" t="n"/>
      <s:c r="C29863" s="121" t="n"/>
      <s:c r="D29863" s="121" t="n"/>
      <s:c r="E29863" s="122" t="n"/>
    </s:row>
    <s:row r="29864" hidden="1" ht="1" customHeight="1">
      <s:c r="A29864" s="120" t="inlineStr"/>
      <s:c r="B29864" s="121" t="n"/>
      <s:c r="C29864" s="121" t="n"/>
      <s:c r="D29864" s="121" t="n"/>
      <s:c r="E29864" s="122" t="n"/>
    </s:row>
    <s:row r="29865" hidden="1" ht="1" customHeight="1">
      <s:c r="A29865" s="120" t="inlineStr"/>
      <s:c r="B29865" s="121" t="n"/>
      <s:c r="C29865" s="121" t="n"/>
      <s:c r="D29865" s="121" t="n"/>
      <s:c r="E29865" s="122" t="n"/>
    </s:row>
    <s:row r="29866" hidden="1" ht="1" customHeight="1">
      <s:c r="A29866" s="120" t="inlineStr"/>
      <s:c r="B29866" s="121" t="n"/>
      <s:c r="C29866" s="121" t="n"/>
      <s:c r="D29866" s="121" t="n"/>
      <s:c r="E29866" s="122" t="n"/>
    </s:row>
    <s:row r="29867" hidden="1" ht="1" customHeight="1">
      <s:c r="A29867" s="120" t="inlineStr"/>
      <s:c r="B29867" s="121" t="n"/>
      <s:c r="C29867" s="121" t="n"/>
      <s:c r="D29867" s="121" t="n"/>
      <s:c r="E29867" s="122" t="n"/>
    </s:row>
    <s:row r="29868" hidden="1" ht="1" customHeight="1">
      <s:c r="A29868" s="120" t="inlineStr"/>
      <s:c r="B29868" s="121" t="n"/>
      <s:c r="C29868" s="121" t="n"/>
      <s:c r="D29868" s="121" t="n"/>
      <s:c r="E29868" s="122" t="n"/>
    </s:row>
    <s:row r="29869" hidden="1" ht="1" customHeight="1">
      <s:c r="A29869" s="120" t="inlineStr"/>
      <s:c r="B29869" s="121" t="n"/>
      <s:c r="C29869" s="121" t="n"/>
      <s:c r="D29869" s="121" t="n"/>
      <s:c r="E29869" s="122" t="n"/>
    </s:row>
    <s:row r="29870" hidden="1" ht="1" customHeight="1">
      <s:c r="A29870" s="120" t="inlineStr"/>
      <s:c r="B29870" s="121" t="n"/>
      <s:c r="C29870" s="121" t="n"/>
      <s:c r="D29870" s="121" t="n"/>
      <s:c r="E29870" s="122" t="n"/>
    </s:row>
    <s:row r="29871" hidden="1" ht="1" customHeight="1">
      <s:c r="A29871" s="120" t="inlineStr"/>
      <s:c r="B29871" s="121" t="n"/>
      <s:c r="C29871" s="121" t="n"/>
      <s:c r="D29871" s="121" t="n"/>
      <s:c r="E29871" s="122" t="n"/>
    </s:row>
    <s:row r="29872" hidden="1" ht="1" customHeight="1">
      <s:c r="A29872" s="120" t="inlineStr"/>
      <s:c r="B29872" s="121" t="n"/>
      <s:c r="C29872" s="121" t="n"/>
      <s:c r="D29872" s="121" t="n"/>
      <s:c r="E29872" s="122" t="n"/>
    </s:row>
    <s:row r="29873" hidden="1" ht="1" customHeight="1">
      <s:c r="A29873" s="120" t="inlineStr"/>
      <s:c r="B29873" s="121" t="n"/>
      <s:c r="C29873" s="121" t="n"/>
      <s:c r="D29873" s="121" t="n"/>
      <s:c r="E29873" s="122" t="n"/>
    </s:row>
    <s:row r="29874" hidden="1" ht="1" customHeight="1">
      <s:c r="A29874" s="120" t="inlineStr"/>
      <s:c r="B29874" s="121" t="n"/>
      <s:c r="C29874" s="121" t="n"/>
      <s:c r="D29874" s="121" t="n"/>
      <s:c r="E29874" s="122" t="n"/>
    </s:row>
    <s:row r="29875" hidden="1" ht="1" customHeight="1">
      <s:c r="A29875" s="120" t="inlineStr"/>
      <s:c r="B29875" s="121" t="n"/>
      <s:c r="C29875" s="121" t="n"/>
      <s:c r="D29875" s="121" t="n"/>
      <s:c r="E29875" s="122" t="n"/>
    </s:row>
    <s:row r="29876" hidden="1" ht="1" customHeight="1">
      <s:c r="A29876" s="120" t="inlineStr"/>
      <s:c r="B29876" s="121" t="n"/>
      <s:c r="C29876" s="121" t="n"/>
      <s:c r="D29876" s="121" t="n"/>
      <s:c r="E29876" s="122" t="n"/>
    </s:row>
    <s:row r="29877" hidden="1" ht="1" customHeight="1">
      <s:c r="A29877" s="120" t="inlineStr"/>
      <s:c r="B29877" s="121" t="n"/>
      <s:c r="C29877" s="121" t="n"/>
      <s:c r="D29877" s="121" t="n"/>
      <s:c r="E29877" s="122" t="n"/>
    </s:row>
    <s:row r="29878" hidden="1" ht="1" customHeight="1">
      <s:c r="A29878" s="120" t="inlineStr"/>
      <s:c r="B29878" s="121" t="n"/>
      <s:c r="C29878" s="121" t="n"/>
      <s:c r="D29878" s="121" t="n"/>
      <s:c r="E29878" s="122" t="n"/>
    </s:row>
    <s:row r="29879" hidden="1" ht="1" customHeight="1">
      <s:c r="A29879" s="120" t="inlineStr"/>
      <s:c r="B29879" s="121" t="n"/>
      <s:c r="C29879" s="121" t="n"/>
      <s:c r="D29879" s="121" t="n"/>
      <s:c r="E29879" s="122" t="n"/>
    </s:row>
    <s:row r="29880" hidden="1" ht="1" customHeight="1">
      <s:c r="A29880" s="120" t="inlineStr"/>
      <s:c r="B29880" s="121" t="n"/>
      <s:c r="C29880" s="121" t="n"/>
      <s:c r="D29880" s="121" t="n"/>
      <s:c r="E29880" s="122" t="n"/>
    </s:row>
    <s:row r="29881" hidden="1" ht="1" customHeight="1">
      <s:c r="A29881" s="120" t="inlineStr"/>
      <s:c r="B29881" s="121" t="n"/>
      <s:c r="C29881" s="121" t="n"/>
      <s:c r="D29881" s="121" t="n"/>
      <s:c r="E29881" s="122" t="n"/>
    </s:row>
    <s:row r="29882" hidden="1" ht="1" customHeight="1">
      <s:c r="A29882" s="120" t="inlineStr"/>
      <s:c r="B29882" s="121" t="n"/>
      <s:c r="C29882" s="121" t="n"/>
      <s:c r="D29882" s="121" t="n"/>
      <s:c r="E29882" s="122" t="n"/>
    </s:row>
    <s:row r="29883" hidden="1" ht="1" customHeight="1">
      <s:c r="A29883" s="120" t="inlineStr"/>
      <s:c r="B29883" s="121" t="n"/>
      <s:c r="C29883" s="121" t="n"/>
      <s:c r="D29883" s="121" t="n"/>
      <s:c r="E29883" s="122" t="n"/>
    </s:row>
    <s:row r="29884" hidden="1" ht="1" customHeight="1">
      <s:c r="A29884" s="120" t="inlineStr"/>
      <s:c r="B29884" s="121" t="n"/>
      <s:c r="C29884" s="121" t="n"/>
      <s:c r="D29884" s="121" t="n"/>
      <s:c r="E29884" s="122" t="n"/>
    </s:row>
    <s:row r="29885" hidden="1" ht="1" customHeight="1">
      <s:c r="A29885" s="120" t="inlineStr"/>
      <s:c r="B29885" s="121" t="n"/>
      <s:c r="C29885" s="121" t="n"/>
      <s:c r="D29885" s="121" t="n"/>
      <s:c r="E29885" s="122" t="n"/>
    </s:row>
    <s:row r="29886" hidden="1" ht="1" customHeight="1">
      <s:c r="A29886" s="120" t="inlineStr"/>
      <s:c r="B29886" s="121" t="n"/>
      <s:c r="C29886" s="121" t="n"/>
      <s:c r="D29886" s="121" t="n"/>
      <s:c r="E29886" s="122" t="n"/>
    </s:row>
    <s:row r="29887" hidden="1" ht="1" customHeight="1">
      <s:c r="A29887" s="120" t="inlineStr"/>
      <s:c r="B29887" s="121" t="n"/>
      <s:c r="C29887" s="121" t="n"/>
      <s:c r="D29887" s="121" t="n"/>
      <s:c r="E29887" s="122" t="n"/>
    </s:row>
    <s:row r="29888" hidden="1" ht="1" customHeight="1">
      <s:c r="A29888" s="120" t="inlineStr"/>
      <s:c r="B29888" s="121" t="n"/>
      <s:c r="C29888" s="121" t="n"/>
      <s:c r="D29888" s="121" t="n"/>
      <s:c r="E29888" s="122" t="n"/>
    </s:row>
    <s:row r="29889" hidden="1" ht="1" customHeight="1">
      <s:c r="A29889" s="120" t="inlineStr"/>
      <s:c r="B29889" s="121" t="n"/>
      <s:c r="C29889" s="121" t="n"/>
      <s:c r="D29889" s="121" t="n"/>
      <s:c r="E29889" s="122" t="n"/>
    </s:row>
    <s:row r="29890" hidden="1" ht="1" customHeight="1">
      <s:c r="A29890" s="120" t="inlineStr"/>
      <s:c r="B29890" s="121" t="n"/>
      <s:c r="C29890" s="121" t="n"/>
      <s:c r="D29890" s="121" t="n"/>
      <s:c r="E29890" s="122" t="n"/>
    </s:row>
    <s:row r="29891" hidden="1" ht="1" customHeight="1">
      <s:c r="A29891" s="120" t="inlineStr"/>
      <s:c r="B29891" s="121" t="n"/>
      <s:c r="C29891" s="121" t="n"/>
      <s:c r="D29891" s="121" t="n"/>
      <s:c r="E29891" s="122" t="n"/>
    </s:row>
    <s:row r="29892" hidden="1" ht="1" customHeight="1">
      <s:c r="A29892" s="120" t="inlineStr"/>
      <s:c r="B29892" s="121" t="n"/>
      <s:c r="C29892" s="121" t="n"/>
      <s:c r="D29892" s="121" t="n"/>
      <s:c r="E29892" s="122" t="n"/>
    </s:row>
    <s:row r="29893" hidden="1" ht="1" customHeight="1">
      <s:c r="A29893" s="120" t="inlineStr"/>
      <s:c r="B29893" s="121" t="n"/>
      <s:c r="C29893" s="121" t="n"/>
      <s:c r="D29893" s="121" t="n"/>
      <s:c r="E29893" s="122" t="n"/>
    </s:row>
    <s:row r="29894" hidden="1" ht="1" customHeight="1">
      <s:c r="A29894" s="120" t="inlineStr"/>
      <s:c r="B29894" s="121" t="n"/>
      <s:c r="C29894" s="121" t="n"/>
      <s:c r="D29894" s="121" t="n"/>
      <s:c r="E29894" s="122" t="n"/>
    </s:row>
    <s:row r="29895" hidden="1" ht="1" customHeight="1">
      <s:c r="A29895" s="120" t="inlineStr"/>
      <s:c r="B29895" s="121" t="n"/>
      <s:c r="C29895" s="121" t="n"/>
      <s:c r="D29895" s="121" t="n"/>
      <s:c r="E29895" s="122" t="n"/>
    </s:row>
    <s:row r="29896" hidden="1" ht="1" customHeight="1">
      <s:c r="A29896" s="120" t="inlineStr"/>
      <s:c r="B29896" s="121" t="n"/>
      <s:c r="C29896" s="121" t="n"/>
      <s:c r="D29896" s="121" t="n"/>
      <s:c r="E29896" s="122" t="n"/>
    </s:row>
    <s:row r="29897" hidden="1" ht="1" customHeight="1">
      <s:c r="A29897" s="120" t="inlineStr"/>
      <s:c r="B29897" s="121" t="n"/>
      <s:c r="C29897" s="121" t="n"/>
      <s:c r="D29897" s="121" t="n"/>
      <s:c r="E29897" s="122" t="n"/>
    </s:row>
    <s:row r="29898" hidden="1" ht="1" customHeight="1">
      <s:c r="A29898" s="120" t="inlineStr"/>
      <s:c r="B29898" s="121" t="n"/>
      <s:c r="C29898" s="121" t="n"/>
      <s:c r="D29898" s="121" t="n"/>
      <s:c r="E29898" s="122" t="n"/>
    </s:row>
    <s:row r="29899" hidden="1" ht="1" customHeight="1">
      <s:c r="A29899" s="120" t="inlineStr"/>
      <s:c r="B29899" s="121" t="n"/>
      <s:c r="C29899" s="121" t="n"/>
      <s:c r="D29899" s="121" t="n"/>
      <s:c r="E29899" s="122" t="n"/>
    </s:row>
    <s:row r="29900" hidden="1" ht="1" customHeight="1">
      <s:c r="A29900" s="120" t="inlineStr"/>
      <s:c r="B29900" s="121" t="n"/>
      <s:c r="C29900" s="121" t="n"/>
      <s:c r="D29900" s="121" t="n"/>
      <s:c r="E29900" s="122" t="n"/>
    </s:row>
    <s:row r="29901" hidden="1" ht="1" customHeight="1">
      <s:c r="A29901" s="120" t="inlineStr"/>
      <s:c r="B29901" s="121" t="n"/>
      <s:c r="C29901" s="121" t="n"/>
      <s:c r="D29901" s="121" t="n"/>
      <s:c r="E29901" s="122" t="n"/>
    </s:row>
    <s:row r="29902" hidden="1" ht="1" customHeight="1">
      <s:c r="A29902" s="120" t="inlineStr"/>
      <s:c r="B29902" s="121" t="n"/>
      <s:c r="C29902" s="121" t="n"/>
      <s:c r="D29902" s="121" t="n"/>
      <s:c r="E29902" s="122" t="n"/>
    </s:row>
    <s:row r="29903" hidden="1" ht="1" customHeight="1">
      <s:c r="A29903" s="120" t="inlineStr"/>
      <s:c r="B29903" s="121" t="n"/>
      <s:c r="C29903" s="121" t="n"/>
      <s:c r="D29903" s="121" t="n"/>
      <s:c r="E29903" s="122" t="n"/>
    </s:row>
    <s:row r="29904" hidden="1" ht="1" customHeight="1">
      <s:c r="A29904" s="120" t="inlineStr"/>
      <s:c r="B29904" s="121" t="n"/>
      <s:c r="C29904" s="121" t="n"/>
      <s:c r="D29904" s="121" t="n"/>
      <s:c r="E29904" s="122" t="n"/>
    </s:row>
    <s:row r="29905" hidden="1" ht="1" customHeight="1">
      <s:c r="A29905" s="120" t="inlineStr"/>
      <s:c r="B29905" s="121" t="n"/>
      <s:c r="C29905" s="121" t="n"/>
      <s:c r="D29905" s="121" t="n"/>
      <s:c r="E29905" s="122" t="n"/>
    </s:row>
    <s:row r="29906" hidden="1" ht="1" customHeight="1">
      <s:c r="A29906" s="120" t="inlineStr"/>
      <s:c r="B29906" s="121" t="n"/>
      <s:c r="C29906" s="121" t="n"/>
      <s:c r="D29906" s="121" t="n"/>
      <s:c r="E29906" s="122" t="n"/>
    </s:row>
    <s:row r="29907" hidden="1" ht="1" customHeight="1">
      <s:c r="A29907" s="120" t="inlineStr"/>
      <s:c r="B29907" s="121" t="n"/>
      <s:c r="C29907" s="121" t="n"/>
      <s:c r="D29907" s="121" t="n"/>
      <s:c r="E29907" s="122" t="n"/>
    </s:row>
    <s:row r="29908" hidden="1" ht="1" customHeight="1">
      <s:c r="A29908" s="120" t="inlineStr"/>
      <s:c r="B29908" s="121" t="n"/>
      <s:c r="C29908" s="121" t="n"/>
      <s:c r="D29908" s="121" t="n"/>
      <s:c r="E29908" s="122" t="n"/>
    </s:row>
    <s:row r="29909" hidden="1" ht="1" customHeight="1">
      <s:c r="A29909" s="120" t="inlineStr"/>
      <s:c r="B29909" s="121" t="n"/>
      <s:c r="C29909" s="121" t="n"/>
      <s:c r="D29909" s="121" t="n"/>
      <s:c r="E29909" s="122" t="n"/>
    </s:row>
    <s:row r="29910" hidden="1" ht="1" customHeight="1">
      <s:c r="A29910" s="120" t="inlineStr"/>
      <s:c r="B29910" s="121" t="n"/>
      <s:c r="C29910" s="121" t="n"/>
      <s:c r="D29910" s="121" t="n"/>
      <s:c r="E29910" s="122" t="n"/>
    </s:row>
    <s:row r="29911" hidden="1" ht="1" customHeight="1">
      <s:c r="A29911" s="120" t="inlineStr"/>
      <s:c r="B29911" s="121" t="n"/>
      <s:c r="C29911" s="121" t="n"/>
      <s:c r="D29911" s="121" t="n"/>
      <s:c r="E29911" s="122" t="n"/>
    </s:row>
    <s:row r="29912" hidden="1" ht="1" customHeight="1">
      <s:c r="A29912" s="120" t="inlineStr"/>
      <s:c r="B29912" s="121" t="n"/>
      <s:c r="C29912" s="121" t="n"/>
      <s:c r="D29912" s="121" t="n"/>
      <s:c r="E29912" s="122" t="n"/>
    </s:row>
    <s:row r="29913" hidden="1" ht="1" customHeight="1">
      <s:c r="A29913" s="120" t="inlineStr"/>
      <s:c r="B29913" s="121" t="n"/>
      <s:c r="C29913" s="121" t="n"/>
      <s:c r="D29913" s="121" t="n"/>
      <s:c r="E29913" s="122" t="n"/>
    </s:row>
    <s:row r="29914" hidden="1" ht="1" customHeight="1">
      <s:c r="A29914" s="120" t="inlineStr"/>
      <s:c r="B29914" s="121" t="n"/>
      <s:c r="C29914" s="121" t="n"/>
      <s:c r="D29914" s="121" t="n"/>
      <s:c r="E29914" s="122" t="n"/>
    </s:row>
    <s:row r="29915" hidden="1" ht="1" customHeight="1">
      <s:c r="A29915" s="120" t="inlineStr"/>
      <s:c r="B29915" s="121" t="n"/>
      <s:c r="C29915" s="121" t="n"/>
      <s:c r="D29915" s="121" t="n"/>
      <s:c r="E29915" s="122" t="n"/>
    </s:row>
    <s:row r="29916" hidden="1" ht="1" customHeight="1">
      <s:c r="A29916" s="120" t="inlineStr"/>
      <s:c r="B29916" s="121" t="n"/>
      <s:c r="C29916" s="121" t="n"/>
      <s:c r="D29916" s="121" t="n"/>
      <s:c r="E29916" s="122" t="n"/>
    </s:row>
    <s:row r="29917" hidden="1" ht="1" customHeight="1">
      <s:c r="A29917" s="120" t="inlineStr"/>
      <s:c r="B29917" s="121" t="n"/>
      <s:c r="C29917" s="121" t="n"/>
      <s:c r="D29917" s="121" t="n"/>
      <s:c r="E29917" s="122" t="n"/>
    </s:row>
    <s:row r="29918" hidden="1" ht="1" customHeight="1">
      <s:c r="A29918" s="120" t="inlineStr"/>
      <s:c r="B29918" s="121" t="n"/>
      <s:c r="C29918" s="121" t="n"/>
      <s:c r="D29918" s="121" t="n"/>
      <s:c r="E29918" s="122" t="n"/>
    </s:row>
    <s:row r="29919" hidden="1" ht="1" customHeight="1">
      <s:c r="A29919" s="120" t="inlineStr"/>
      <s:c r="B29919" s="121" t="n"/>
      <s:c r="C29919" s="121" t="n"/>
      <s:c r="D29919" s="121" t="n"/>
      <s:c r="E29919" s="122" t="n"/>
    </s:row>
    <s:row r="29920" hidden="1" ht="1" customHeight="1">
      <s:c r="A29920" s="120" t="inlineStr"/>
      <s:c r="B29920" s="121" t="n"/>
      <s:c r="C29920" s="121" t="n"/>
      <s:c r="D29920" s="121" t="n"/>
      <s:c r="E29920" s="122" t="n"/>
    </s:row>
    <s:row r="29921" hidden="1" ht="1" customHeight="1">
      <s:c r="A29921" s="120" t="inlineStr"/>
      <s:c r="B29921" s="121" t="n"/>
      <s:c r="C29921" s="121" t="n"/>
      <s:c r="D29921" s="121" t="n"/>
      <s:c r="E29921" s="122" t="n"/>
    </s:row>
    <s:row r="29922" hidden="1" ht="1" customHeight="1">
      <s:c r="A29922" s="120" t="inlineStr"/>
      <s:c r="B29922" s="121" t="n"/>
      <s:c r="C29922" s="121" t="n"/>
      <s:c r="D29922" s="121" t="n"/>
      <s:c r="E29922" s="122" t="n"/>
    </s:row>
    <s:row r="29923" hidden="1" ht="1" customHeight="1">
      <s:c r="A29923" s="120" t="inlineStr"/>
      <s:c r="B29923" s="121" t="n"/>
      <s:c r="C29923" s="121" t="n"/>
      <s:c r="D29923" s="121" t="n"/>
      <s:c r="E29923" s="122" t="n"/>
    </s:row>
    <s:row r="29924" hidden="1" ht="1" customHeight="1">
      <s:c r="A29924" s="120" t="inlineStr"/>
      <s:c r="B29924" s="121" t="n"/>
      <s:c r="C29924" s="121" t="n"/>
      <s:c r="D29924" s="121" t="n"/>
      <s:c r="E29924" s="122" t="n"/>
    </s:row>
    <s:row r="29925" hidden="1" ht="1" customHeight="1">
      <s:c r="A29925" s="120" t="inlineStr"/>
      <s:c r="B29925" s="121" t="n"/>
      <s:c r="C29925" s="121" t="n"/>
      <s:c r="D29925" s="121" t="n"/>
      <s:c r="E29925" s="122" t="n"/>
    </s:row>
    <s:row r="29926" hidden="1" ht="1" customHeight="1">
      <s:c r="A29926" s="120" t="inlineStr"/>
      <s:c r="B29926" s="121" t="n"/>
      <s:c r="C29926" s="121" t="n"/>
      <s:c r="D29926" s="121" t="n"/>
      <s:c r="E29926" s="122" t="n"/>
    </s:row>
    <s:row r="29927" hidden="1" ht="1" customHeight="1">
      <s:c r="A29927" s="120" t="inlineStr"/>
      <s:c r="B29927" s="121" t="n"/>
      <s:c r="C29927" s="121" t="n"/>
      <s:c r="D29927" s="121" t="n"/>
      <s:c r="E29927" s="122" t="n"/>
    </s:row>
    <s:row r="29928" hidden="1" ht="1" customHeight="1">
      <s:c r="A29928" s="120" t="inlineStr"/>
      <s:c r="B29928" s="121" t="n"/>
      <s:c r="C29928" s="121" t="n"/>
      <s:c r="D29928" s="121" t="n"/>
      <s:c r="E29928" s="122" t="n"/>
    </s:row>
    <s:row r="29929" hidden="1" ht="1" customHeight="1">
      <s:c r="A29929" s="120" t="inlineStr"/>
      <s:c r="B29929" s="121" t="n"/>
      <s:c r="C29929" s="121" t="n"/>
      <s:c r="D29929" s="121" t="n"/>
      <s:c r="E29929" s="122" t="n"/>
    </s:row>
    <s:row r="29930" hidden="1" ht="1" customHeight="1">
      <s:c r="A29930" s="120" t="inlineStr"/>
      <s:c r="B29930" s="121" t="n"/>
      <s:c r="C29930" s="121" t="n"/>
      <s:c r="D29930" s="121" t="n"/>
      <s:c r="E29930" s="122" t="n"/>
    </s:row>
    <s:row r="29931" hidden="1" ht="1" customHeight="1">
      <s:c r="A29931" s="120" t="inlineStr"/>
      <s:c r="B29931" s="121" t="n"/>
      <s:c r="C29931" s="121" t="n"/>
      <s:c r="D29931" s="121" t="n"/>
      <s:c r="E29931" s="122" t="n"/>
    </s:row>
    <s:row r="29932" hidden="1" ht="1" customHeight="1">
      <s:c r="A29932" s="120" t="inlineStr"/>
      <s:c r="B29932" s="121" t="n"/>
      <s:c r="C29932" s="121" t="n"/>
      <s:c r="D29932" s="121" t="n"/>
      <s:c r="E29932" s="122" t="n"/>
    </s:row>
    <s:row r="29933" hidden="1" ht="1" customHeight="1">
      <s:c r="A29933" s="120" t="inlineStr"/>
      <s:c r="B29933" s="121" t="n"/>
      <s:c r="C29933" s="121" t="n"/>
      <s:c r="D29933" s="121" t="n"/>
      <s:c r="E29933" s="122" t="n"/>
    </s:row>
    <s:row r="29934" hidden="1" ht="1" customHeight="1">
      <s:c r="A29934" s="120" t="inlineStr"/>
      <s:c r="B29934" s="121" t="n"/>
      <s:c r="C29934" s="121" t="n"/>
      <s:c r="D29934" s="121" t="n"/>
      <s:c r="E29934" s="122" t="n"/>
    </s:row>
    <s:row r="29935" hidden="1" ht="1" customHeight="1">
      <s:c r="A29935" s="120" t="inlineStr"/>
      <s:c r="B29935" s="121" t="n"/>
      <s:c r="C29935" s="121" t="n"/>
      <s:c r="D29935" s="121" t="n"/>
      <s:c r="E29935" s="122" t="n"/>
    </s:row>
    <s:row r="29936" hidden="1" ht="1" customHeight="1">
      <s:c r="A29936" s="120" t="inlineStr"/>
      <s:c r="B29936" s="121" t="n"/>
      <s:c r="C29936" s="121" t="n"/>
      <s:c r="D29936" s="121" t="n"/>
      <s:c r="E29936" s="122" t="n"/>
    </s:row>
    <s:row r="29937" hidden="1" ht="1" customHeight="1">
      <s:c r="A29937" s="120" t="inlineStr"/>
      <s:c r="B29937" s="121" t="n"/>
      <s:c r="C29937" s="121" t="n"/>
      <s:c r="D29937" s="121" t="n"/>
      <s:c r="E29937" s="122" t="n"/>
    </s:row>
    <s:row r="29938" hidden="1" ht="1" customHeight="1">
      <s:c r="A29938" s="120" t="inlineStr"/>
      <s:c r="B29938" s="121" t="n"/>
      <s:c r="C29938" s="121" t="n"/>
      <s:c r="D29938" s="121" t="n"/>
      <s:c r="E29938" s="122" t="n"/>
    </s:row>
    <s:row r="29939" hidden="1" ht="1" customHeight="1">
      <s:c r="A29939" s="120" t="inlineStr"/>
      <s:c r="B29939" s="121" t="n"/>
      <s:c r="C29939" s="121" t="n"/>
      <s:c r="D29939" s="121" t="n"/>
      <s:c r="E29939" s="122" t="n"/>
    </s:row>
    <s:row r="29940" hidden="1" ht="1" customHeight="1">
      <s:c r="A29940" s="120" t="inlineStr"/>
      <s:c r="B29940" s="121" t="n"/>
      <s:c r="C29940" s="121" t="n"/>
      <s:c r="D29940" s="121" t="n"/>
      <s:c r="E29940" s="122" t="n"/>
    </s:row>
    <s:row r="29941" hidden="1" ht="1" customHeight="1">
      <s:c r="A29941" s="120" t="inlineStr"/>
      <s:c r="B29941" s="121" t="n"/>
      <s:c r="C29941" s="121" t="n"/>
      <s:c r="D29941" s="121" t="n"/>
      <s:c r="E29941" s="122" t="n"/>
    </s:row>
    <s:row r="29942" hidden="1" ht="1" customHeight="1">
      <s:c r="A29942" s="120" t="inlineStr"/>
      <s:c r="B29942" s="121" t="n"/>
      <s:c r="C29942" s="121" t="n"/>
      <s:c r="D29942" s="121" t="n"/>
      <s:c r="E29942" s="122" t="n"/>
    </s:row>
    <s:row r="29943" hidden="1" ht="1" customHeight="1">
      <s:c r="A29943" s="120" t="inlineStr"/>
      <s:c r="B29943" s="121" t="n"/>
      <s:c r="C29943" s="121" t="n"/>
      <s:c r="D29943" s="121" t="n"/>
      <s:c r="E29943" s="122" t="n"/>
    </s:row>
    <s:row r="29944" hidden="1" ht="1" customHeight="1">
      <s:c r="A29944" s="120" t="inlineStr"/>
      <s:c r="B29944" s="121" t="n"/>
      <s:c r="C29944" s="121" t="n"/>
      <s:c r="D29944" s="121" t="n"/>
      <s:c r="E29944" s="122" t="n"/>
    </s:row>
    <s:row r="29945" hidden="1" ht="1" customHeight="1">
      <s:c r="A29945" s="120" t="inlineStr"/>
      <s:c r="B29945" s="121" t="n"/>
      <s:c r="C29945" s="121" t="n"/>
      <s:c r="D29945" s="121" t="n"/>
      <s:c r="E29945" s="122" t="n"/>
    </s:row>
    <s:row r="29946" hidden="1" ht="1" customHeight="1">
      <s:c r="A29946" s="120" t="inlineStr"/>
      <s:c r="B29946" s="121" t="n"/>
      <s:c r="C29946" s="121" t="n"/>
      <s:c r="D29946" s="121" t="n"/>
      <s:c r="E29946" s="122" t="n"/>
    </s:row>
    <s:row r="29947" hidden="1" ht="1" customHeight="1">
      <s:c r="A29947" s="120" t="inlineStr"/>
      <s:c r="B29947" s="121" t="n"/>
      <s:c r="C29947" s="121" t="n"/>
      <s:c r="D29947" s="121" t="n"/>
      <s:c r="E29947" s="122" t="n"/>
    </s:row>
    <s:row r="29948" hidden="1" ht="1" customHeight="1">
      <s:c r="A29948" s="120" t="inlineStr"/>
      <s:c r="B29948" s="121" t="n"/>
      <s:c r="C29948" s="121" t="n"/>
      <s:c r="D29948" s="121" t="n"/>
      <s:c r="E29948" s="122" t="n"/>
    </s:row>
    <s:row r="29949" hidden="1" ht="1" customHeight="1">
      <s:c r="A29949" s="120" t="inlineStr"/>
      <s:c r="B29949" s="121" t="n"/>
      <s:c r="C29949" s="121" t="n"/>
      <s:c r="D29949" s="121" t="n"/>
      <s:c r="E29949" s="122" t="n"/>
    </s:row>
    <s:row r="29950" hidden="1" ht="1" customHeight="1">
      <s:c r="A29950" s="120" t="inlineStr"/>
      <s:c r="B29950" s="121" t="n"/>
      <s:c r="C29950" s="121" t="n"/>
      <s:c r="D29950" s="121" t="n"/>
      <s:c r="E29950" s="122" t="n"/>
    </s:row>
    <s:row r="29951" hidden="1" ht="1" customHeight="1">
      <s:c r="A29951" s="120" t="inlineStr"/>
      <s:c r="B29951" s="121" t="n"/>
      <s:c r="C29951" s="121" t="n"/>
      <s:c r="D29951" s="121" t="n"/>
      <s:c r="E29951" s="122" t="n"/>
    </s:row>
    <s:row r="29952" hidden="1" ht="1" customHeight="1">
      <s:c r="A29952" s="120" t="inlineStr"/>
      <s:c r="B29952" s="121" t="n"/>
      <s:c r="C29952" s="121" t="n"/>
      <s:c r="D29952" s="121" t="n"/>
      <s:c r="E29952" s="122" t="n"/>
    </s:row>
    <s:row r="29953" hidden="1" ht="1" customHeight="1">
      <s:c r="A29953" s="120" t="inlineStr"/>
      <s:c r="B29953" s="121" t="n"/>
      <s:c r="C29953" s="121" t="n"/>
      <s:c r="D29953" s="121" t="n"/>
      <s:c r="E29953" s="122" t="n"/>
    </s:row>
    <s:row r="29954" hidden="1" ht="1" customHeight="1">
      <s:c r="A29954" s="120" t="inlineStr"/>
      <s:c r="B29954" s="121" t="n"/>
      <s:c r="C29954" s="121" t="n"/>
      <s:c r="D29954" s="121" t="n"/>
      <s:c r="E29954" s="122" t="n"/>
    </s:row>
    <s:row r="29955" hidden="1" ht="1" customHeight="1">
      <s:c r="A29955" s="120" t="inlineStr"/>
      <s:c r="B29955" s="121" t="n"/>
      <s:c r="C29955" s="121" t="n"/>
      <s:c r="D29955" s="121" t="n"/>
      <s:c r="E29955" s="122" t="n"/>
    </s:row>
    <s:row r="29956" hidden="1" ht="1" customHeight="1">
      <s:c r="A29956" s="120" t="inlineStr"/>
      <s:c r="B29956" s="121" t="n"/>
      <s:c r="C29956" s="121" t="n"/>
      <s:c r="D29956" s="121" t="n"/>
      <s:c r="E29956" s="122" t="n"/>
    </s:row>
    <s:row r="29957" hidden="1" ht="1" customHeight="1">
      <s:c r="A29957" s="120" t="inlineStr"/>
      <s:c r="B29957" s="121" t="n"/>
      <s:c r="C29957" s="121" t="n"/>
      <s:c r="D29957" s="121" t="n"/>
      <s:c r="E29957" s="122" t="n"/>
    </s:row>
    <s:row r="29958" hidden="1" ht="1" customHeight="1">
      <s:c r="A29958" s="120" t="inlineStr"/>
      <s:c r="B29958" s="121" t="n"/>
      <s:c r="C29958" s="121" t="n"/>
      <s:c r="D29958" s="121" t="n"/>
      <s:c r="E29958" s="122" t="n"/>
    </s:row>
    <s:row r="29959" hidden="1" ht="1" customHeight="1">
      <s:c r="A29959" s="120" t="inlineStr"/>
      <s:c r="B29959" s="121" t="n"/>
      <s:c r="C29959" s="121" t="n"/>
      <s:c r="D29959" s="121" t="n"/>
      <s:c r="E29959" s="122" t="n"/>
    </s:row>
    <s:row r="29960" hidden="1" ht="1" customHeight="1">
      <s:c r="A29960" s="120" t="inlineStr"/>
      <s:c r="B29960" s="121" t="n"/>
      <s:c r="C29960" s="121" t="n"/>
      <s:c r="D29960" s="121" t="n"/>
      <s:c r="E29960" s="122" t="n"/>
    </s:row>
    <s:row r="29961" hidden="1" ht="1" customHeight="1">
      <s:c r="A29961" s="120" t="inlineStr"/>
      <s:c r="B29961" s="121" t="n"/>
      <s:c r="C29961" s="121" t="n"/>
      <s:c r="D29961" s="121" t="n"/>
      <s:c r="E29961" s="122" t="n"/>
    </s:row>
    <s:row r="29962" hidden="1" ht="1" customHeight="1">
      <s:c r="A29962" s="120" t="inlineStr"/>
      <s:c r="B29962" s="121" t="n"/>
      <s:c r="C29962" s="121" t="n"/>
      <s:c r="D29962" s="121" t="n"/>
      <s:c r="E29962" s="122" t="n"/>
    </s:row>
    <s:row r="29963" hidden="1" ht="1" customHeight="1">
      <s:c r="A29963" s="120" t="inlineStr"/>
      <s:c r="B29963" s="121" t="n"/>
      <s:c r="C29963" s="121" t="n"/>
      <s:c r="D29963" s="121" t="n"/>
      <s:c r="E29963" s="122" t="n"/>
    </s:row>
    <s:row r="29964" hidden="1" ht="1" customHeight="1">
      <s:c r="A29964" s="120" t="inlineStr"/>
      <s:c r="B29964" s="121" t="n"/>
      <s:c r="C29964" s="121" t="n"/>
      <s:c r="D29964" s="121" t="n"/>
      <s:c r="E29964" s="122" t="n"/>
    </s:row>
    <s:row r="29965" hidden="1" ht="1" customHeight="1">
      <s:c r="A29965" s="120" t="inlineStr"/>
      <s:c r="B29965" s="121" t="n"/>
      <s:c r="C29965" s="121" t="n"/>
      <s:c r="D29965" s="121" t="n"/>
      <s:c r="E29965" s="122" t="n"/>
    </s:row>
    <s:row r="29966" hidden="1" ht="1" customHeight="1">
      <s:c r="A29966" s="120" t="inlineStr"/>
      <s:c r="B29966" s="121" t="n"/>
      <s:c r="C29966" s="121" t="n"/>
      <s:c r="D29966" s="121" t="n"/>
      <s:c r="E29966" s="122" t="n"/>
    </s:row>
    <s:row r="29967" hidden="1" ht="1" customHeight="1">
      <s:c r="A29967" s="120" t="inlineStr"/>
      <s:c r="B29967" s="121" t="n"/>
      <s:c r="C29967" s="121" t="n"/>
      <s:c r="D29967" s="121" t="n"/>
      <s:c r="E29967" s="122" t="n"/>
    </s:row>
    <s:row r="29968" hidden="1" ht="1" customHeight="1">
      <s:c r="A29968" s="120" t="inlineStr"/>
      <s:c r="B29968" s="121" t="n"/>
      <s:c r="C29968" s="121" t="n"/>
      <s:c r="D29968" s="121" t="n"/>
      <s:c r="E29968" s="122" t="n"/>
    </s:row>
    <s:row r="29969" hidden="1" ht="1" customHeight="1">
      <s:c r="A29969" s="120" t="inlineStr"/>
      <s:c r="B29969" s="121" t="n"/>
      <s:c r="C29969" s="121" t="n"/>
      <s:c r="D29969" s="121" t="n"/>
      <s:c r="E29969" s="122" t="n"/>
    </s:row>
    <s:row r="29970" hidden="1" ht="1" customHeight="1">
      <s:c r="A29970" s="120" t="inlineStr"/>
      <s:c r="B29970" s="121" t="n"/>
      <s:c r="C29970" s="121" t="n"/>
      <s:c r="D29970" s="121" t="n"/>
      <s:c r="E29970" s="122" t="n"/>
    </s:row>
    <s:row r="29971" hidden="1" ht="1" customHeight="1">
      <s:c r="A29971" s="120" t="inlineStr"/>
      <s:c r="B29971" s="121" t="n"/>
      <s:c r="C29971" s="121" t="n"/>
      <s:c r="D29971" s="121" t="n"/>
      <s:c r="E29971" s="122" t="n"/>
    </s:row>
    <s:row r="29972" hidden="1" ht="1" customHeight="1">
      <s:c r="A29972" s="120" t="inlineStr"/>
      <s:c r="B29972" s="121" t="n"/>
      <s:c r="C29972" s="121" t="n"/>
      <s:c r="D29972" s="121" t="n"/>
      <s:c r="E29972" s="122" t="n"/>
    </s:row>
    <s:row r="29973" hidden="1" ht="1" customHeight="1">
      <s:c r="A29973" s="120" t="inlineStr"/>
      <s:c r="B29973" s="121" t="n"/>
      <s:c r="C29973" s="121" t="n"/>
      <s:c r="D29973" s="121" t="n"/>
      <s:c r="E29973" s="122" t="n"/>
    </s:row>
    <s:row r="29974" hidden="1" ht="1" customHeight="1">
      <s:c r="A29974" s="120" t="inlineStr"/>
      <s:c r="B29974" s="121" t="n"/>
      <s:c r="C29974" s="121" t="n"/>
      <s:c r="D29974" s="121" t="n"/>
      <s:c r="E29974" s="122" t="n"/>
    </s:row>
    <s:row r="29975" hidden="1" ht="1" customHeight="1">
      <s:c r="A29975" s="120" t="inlineStr"/>
      <s:c r="B29975" s="121" t="n"/>
      <s:c r="C29975" s="121" t="n"/>
      <s:c r="D29975" s="121" t="n"/>
      <s:c r="E29975" s="122" t="n"/>
    </s:row>
    <s:row r="29976" hidden="1" ht="1" customHeight="1">
      <s:c r="A29976" s="120" t="inlineStr"/>
      <s:c r="B29976" s="121" t="n"/>
      <s:c r="C29976" s="121" t="n"/>
      <s:c r="D29976" s="121" t="n"/>
      <s:c r="E29976" s="122" t="n"/>
    </s:row>
    <s:row r="29977" hidden="1" ht="1" customHeight="1">
      <s:c r="A29977" s="120" t="inlineStr"/>
      <s:c r="B29977" s="121" t="n"/>
      <s:c r="C29977" s="121" t="n"/>
      <s:c r="D29977" s="121" t="n"/>
      <s:c r="E29977" s="122" t="n"/>
    </s:row>
    <s:row r="29978" hidden="1" ht="1" customHeight="1">
      <s:c r="A29978" s="120" t="inlineStr"/>
      <s:c r="B29978" s="121" t="n"/>
      <s:c r="C29978" s="121" t="n"/>
      <s:c r="D29978" s="121" t="n"/>
      <s:c r="E29978" s="122" t="n"/>
    </s:row>
    <s:row r="29979" hidden="1" ht="1" customHeight="1">
      <s:c r="A29979" s="120" t="inlineStr"/>
      <s:c r="B29979" s="121" t="n"/>
      <s:c r="C29979" s="121" t="n"/>
      <s:c r="D29979" s="121" t="n"/>
      <s:c r="E29979" s="122" t="n"/>
    </s:row>
    <s:row r="29980" hidden="1" ht="1" customHeight="1">
      <s:c r="A29980" s="120" t="inlineStr"/>
      <s:c r="B29980" s="121" t="n"/>
      <s:c r="C29980" s="121" t="n"/>
      <s:c r="D29980" s="121" t="n"/>
      <s:c r="E29980" s="122" t="n"/>
    </s:row>
    <s:row r="29981" hidden="1" ht="1" customHeight="1">
      <s:c r="A29981" s="120" t="inlineStr"/>
      <s:c r="B29981" s="121" t="n"/>
      <s:c r="C29981" s="121" t="n"/>
      <s:c r="D29981" s="121" t="n"/>
      <s:c r="E29981" s="122" t="n"/>
    </s:row>
    <s:row r="29982" hidden="1" ht="1" customHeight="1">
      <s:c r="A29982" s="120" t="inlineStr"/>
      <s:c r="B29982" s="121" t="n"/>
      <s:c r="C29982" s="121" t="n"/>
      <s:c r="D29982" s="121" t="n"/>
      <s:c r="E29982" s="122" t="n"/>
    </s:row>
    <s:row r="29983" hidden="1" ht="1" customHeight="1">
      <s:c r="A29983" s="120" t="inlineStr"/>
      <s:c r="B29983" s="121" t="n"/>
      <s:c r="C29983" s="121" t="n"/>
      <s:c r="D29983" s="121" t="n"/>
      <s:c r="E29983" s="122" t="n"/>
    </s:row>
    <s:row r="29984" hidden="1" ht="1" customHeight="1">
      <s:c r="A29984" s="120" t="inlineStr"/>
      <s:c r="B29984" s="121" t="n"/>
      <s:c r="C29984" s="121" t="n"/>
      <s:c r="D29984" s="121" t="n"/>
      <s:c r="E29984" s="122" t="n"/>
    </s:row>
    <s:row r="29985" hidden="1" ht="1" customHeight="1">
      <s:c r="A29985" s="120" t="inlineStr"/>
      <s:c r="B29985" s="121" t="n"/>
      <s:c r="C29985" s="121" t="n"/>
      <s:c r="D29985" s="121" t="n"/>
      <s:c r="E29985" s="122" t="n"/>
    </s:row>
    <s:row r="29986" hidden="1" ht="1" customHeight="1">
      <s:c r="A29986" s="120" t="inlineStr"/>
      <s:c r="B29986" s="121" t="n"/>
      <s:c r="C29986" s="121" t="n"/>
      <s:c r="D29986" s="121" t="n"/>
      <s:c r="E29986" s="122" t="n"/>
    </s:row>
    <s:row r="29987" hidden="1" ht="1" customHeight="1">
      <s:c r="A29987" s="120" t="inlineStr"/>
      <s:c r="B29987" s="121" t="n"/>
      <s:c r="C29987" s="121" t="n"/>
      <s:c r="D29987" s="121" t="n"/>
      <s:c r="E29987" s="122" t="n"/>
    </s:row>
    <s:row r="29988" hidden="1" ht="1" customHeight="1">
      <s:c r="A29988" s="120" t="inlineStr"/>
      <s:c r="B29988" s="121" t="n"/>
      <s:c r="C29988" s="121" t="n"/>
      <s:c r="D29988" s="121" t="n"/>
      <s:c r="E29988" s="122" t="n"/>
    </s:row>
    <s:row r="29989" hidden="1" ht="1" customHeight="1">
      <s:c r="A29989" s="120" t="inlineStr"/>
      <s:c r="B29989" s="121" t="n"/>
      <s:c r="C29989" s="121" t="n"/>
      <s:c r="D29989" s="121" t="n"/>
      <s:c r="E29989" s="122" t="n"/>
    </s:row>
    <s:row r="29990" hidden="1" ht="1" customHeight="1">
      <s:c r="A29990" s="120" t="inlineStr"/>
      <s:c r="B29990" s="121" t="n"/>
      <s:c r="C29990" s="121" t="n"/>
      <s:c r="D29990" s="121" t="n"/>
      <s:c r="E29990" s="122" t="n"/>
    </s:row>
    <s:row r="29991" hidden="1" ht="1" customHeight="1">
      <s:c r="A29991" s="120" t="inlineStr"/>
      <s:c r="B29991" s="121" t="n"/>
      <s:c r="C29991" s="121" t="n"/>
      <s:c r="D29991" s="121" t="n"/>
      <s:c r="E29991" s="122" t="n"/>
    </s:row>
    <s:row r="29992" hidden="1" ht="1" customHeight="1">
      <s:c r="A29992" s="120" t="inlineStr"/>
      <s:c r="B29992" s="121" t="n"/>
      <s:c r="C29992" s="121" t="n"/>
      <s:c r="D29992" s="121" t="n"/>
      <s:c r="E29992" s="122" t="n"/>
    </s:row>
    <s:row r="29993" hidden="1" ht="1" customHeight="1">
      <s:c r="A29993" s="120" t="inlineStr"/>
      <s:c r="B29993" s="121" t="n"/>
      <s:c r="C29993" s="121" t="n"/>
      <s:c r="D29993" s="121" t="n"/>
      <s:c r="E29993" s="122" t="n"/>
    </s:row>
    <s:row r="29994" hidden="1" ht="1" customHeight="1">
      <s:c r="A29994" s="120" t="inlineStr"/>
      <s:c r="B29994" s="121" t="n"/>
      <s:c r="C29994" s="121" t="n"/>
      <s:c r="D29994" s="121" t="n"/>
      <s:c r="E29994" s="122" t="n"/>
    </s:row>
    <s:row r="29995" hidden="1" ht="1" customHeight="1">
      <s:c r="A29995" s="120" t="inlineStr"/>
      <s:c r="B29995" s="121" t="n"/>
      <s:c r="C29995" s="121" t="n"/>
      <s:c r="D29995" s="121" t="n"/>
      <s:c r="E29995" s="122" t="n"/>
    </s:row>
    <s:row r="29996" hidden="1" ht="1" customHeight="1">
      <s:c r="A29996" s="120" t="inlineStr"/>
      <s:c r="B29996" s="121" t="n"/>
      <s:c r="C29996" s="121" t="n"/>
      <s:c r="D29996" s="121" t="n"/>
      <s:c r="E29996" s="122" t="n"/>
    </s:row>
    <s:row r="29997" hidden="1" ht="1" customHeight="1">
      <s:c r="A29997" s="120" t="inlineStr"/>
      <s:c r="B29997" s="121" t="n"/>
      <s:c r="C29997" s="121" t="n"/>
      <s:c r="D29997" s="121" t="n"/>
      <s:c r="E29997" s="122" t="n"/>
    </s:row>
    <s:row r="29998" hidden="1" ht="1" customHeight="1">
      <s:c r="A29998" s="120" t="inlineStr"/>
      <s:c r="B29998" s="121" t="n"/>
      <s:c r="C29998" s="121" t="n"/>
      <s:c r="D29998" s="121" t="n"/>
      <s:c r="E29998" s="122" t="n"/>
    </s:row>
    <s:row r="29999" hidden="1" ht="1" customHeight="1">
      <s:c r="A29999" s="120" t="inlineStr"/>
      <s:c r="B29999" s="121" t="n"/>
      <s:c r="C29999" s="121" t="n"/>
      <s:c r="D29999" s="121" t="n"/>
      <s:c r="E29999" s="122" t="n"/>
    </s:row>
    <s:row r="30000" hidden="1" ht="1" customHeight="1">
      <s:c r="A30000" s="120" t="inlineStr"/>
      <s:c r="B30000" s="121" t="n"/>
      <s:c r="C30000" s="121" t="n"/>
      <s:c r="D30000" s="121" t="n"/>
      <s:c r="E30000" s="122" t="n"/>
    </s:row>
    <s:row r="30001" hidden="1" ht="1" customHeight="1">
      <s:c r="A30001" s="120" t="inlineStr"/>
      <s:c r="B30001" s="121" t="n"/>
      <s:c r="C30001" s="121" t="n"/>
      <s:c r="D30001" s="121" t="n"/>
      <s:c r="E30001" s="122" t="n"/>
    </s:row>
    <s:row r="30002" hidden="1" ht="1" customHeight="1">
      <s:c r="A30002" s="120" t="inlineStr"/>
      <s:c r="B30002" s="121" t="n"/>
      <s:c r="C30002" s="121" t="n"/>
      <s:c r="D30002" s="121" t="n"/>
      <s:c r="E30002" s="122" t="n"/>
    </s:row>
    <s:row r="30003" hidden="1" ht="1" customHeight="1">
      <s:c r="A30003" s="120" t="inlineStr"/>
      <s:c r="B30003" s="121" t="n"/>
      <s:c r="C30003" s="121" t="n"/>
      <s:c r="D30003" s="121" t="n"/>
      <s:c r="E30003" s="122" t="n"/>
    </s:row>
    <s:row r="30004" hidden="1" ht="1" customHeight="1">
      <s:c r="A30004" s="120" t="inlineStr"/>
      <s:c r="B30004" s="121" t="n"/>
      <s:c r="C30004" s="121" t="n"/>
      <s:c r="D30004" s="121" t="n"/>
      <s:c r="E30004" s="122" t="n"/>
    </s:row>
    <s:row r="30005" hidden="1" ht="1" customHeight="1">
      <s:c r="A30005" s="120" t="inlineStr"/>
      <s:c r="B30005" s="121" t="n"/>
      <s:c r="C30005" s="121" t="n"/>
      <s:c r="D30005" s="121" t="n"/>
      <s:c r="E30005" s="122" t="n"/>
    </s:row>
    <s:row r="30006" hidden="1" ht="1" customHeight="1">
      <s:c r="A30006" s="120" t="inlineStr"/>
      <s:c r="B30006" s="121" t="n"/>
      <s:c r="C30006" s="121" t="n"/>
      <s:c r="D30006" s="121" t="n"/>
      <s:c r="E30006" s="122" t="n"/>
    </s:row>
    <s:row r="30007" hidden="1" ht="1" customHeight="1">
      <s:c r="A30007" s="120" t="inlineStr"/>
      <s:c r="B30007" s="121" t="n"/>
      <s:c r="C30007" s="121" t="n"/>
      <s:c r="D30007" s="121" t="n"/>
      <s:c r="E30007" s="122" t="n"/>
    </s:row>
    <s:row r="30008" hidden="1" ht="1" customHeight="1">
      <s:c r="A30008" s="120" t="inlineStr"/>
      <s:c r="B30008" s="121" t="n"/>
      <s:c r="C30008" s="121" t="n"/>
      <s:c r="D30008" s="121" t="n"/>
      <s:c r="E30008" s="122" t="n"/>
    </s:row>
    <s:row r="30009" hidden="1" ht="1" customHeight="1">
      <s:c r="A30009" s="120" t="inlineStr"/>
      <s:c r="B30009" s="121" t="n"/>
      <s:c r="C30009" s="121" t="n"/>
      <s:c r="D30009" s="121" t="n"/>
      <s:c r="E30009" s="122" t="n"/>
    </s:row>
    <s:row r="30010" hidden="1" ht="1" customHeight="1">
      <s:c r="A30010" s="120" t="inlineStr"/>
      <s:c r="B30010" s="121" t="n"/>
      <s:c r="C30010" s="121" t="n"/>
      <s:c r="D30010" s="121" t="n"/>
      <s:c r="E30010" s="122" t="n"/>
    </s:row>
    <s:row r="30011" hidden="1" ht="1" customHeight="1">
      <s:c r="A30011" s="120" t="inlineStr"/>
      <s:c r="B30011" s="121" t="n"/>
      <s:c r="C30011" s="121" t="n"/>
      <s:c r="D30011" s="121" t="n"/>
      <s:c r="E30011" s="122" t="n"/>
    </s:row>
    <s:row r="30012" hidden="1" ht="1" customHeight="1">
      <s:c r="A30012" s="120" t="inlineStr"/>
      <s:c r="B30012" s="121" t="n"/>
      <s:c r="C30012" s="121" t="n"/>
      <s:c r="D30012" s="121" t="n"/>
      <s:c r="E30012" s="122" t="n"/>
    </s:row>
    <s:row r="30013" hidden="1" ht="1" customHeight="1">
      <s:c r="A30013" s="120" t="inlineStr"/>
      <s:c r="B30013" s="121" t="n"/>
      <s:c r="C30013" s="121" t="n"/>
      <s:c r="D30013" s="121" t="n"/>
      <s:c r="E30013" s="122" t="n"/>
    </s:row>
    <s:row r="30014" hidden="1" ht="1" customHeight="1">
      <s:c r="A30014" s="120" t="inlineStr"/>
      <s:c r="B30014" s="121" t="n"/>
      <s:c r="C30014" s="121" t="n"/>
      <s:c r="D30014" s="121" t="n"/>
      <s:c r="E30014" s="122" t="n"/>
    </s:row>
    <s:row r="30015" hidden="1" ht="1" customHeight="1">
      <s:c r="A30015" s="120" t="inlineStr"/>
      <s:c r="B30015" s="121" t="n"/>
      <s:c r="C30015" s="121" t="n"/>
      <s:c r="D30015" s="121" t="n"/>
      <s:c r="E30015" s="122" t="n"/>
    </s:row>
    <s:row r="30016" hidden="1" ht="1" customHeight="1">
      <s:c r="A30016" s="120" t="inlineStr"/>
      <s:c r="B30016" s="121" t="n"/>
      <s:c r="C30016" s="121" t="n"/>
      <s:c r="D30016" s="121" t="n"/>
      <s:c r="E30016" s="122" t="n"/>
    </s:row>
    <s:row r="30017" hidden="1" ht="1" customHeight="1">
      <s:c r="A30017" s="120" t="inlineStr"/>
      <s:c r="B30017" s="121" t="n"/>
      <s:c r="C30017" s="121" t="n"/>
      <s:c r="D30017" s="121" t="n"/>
      <s:c r="E30017" s="122" t="n"/>
    </s:row>
    <s:row r="30018" hidden="1" ht="1" customHeight="1">
      <s:c r="A30018" s="120" t="inlineStr"/>
      <s:c r="B30018" s="121" t="n"/>
      <s:c r="C30018" s="121" t="n"/>
      <s:c r="D30018" s="121" t="n"/>
      <s:c r="E30018" s="122" t="n"/>
    </s:row>
    <s:row r="30019" hidden="1" ht="1" customHeight="1">
      <s:c r="A30019" s="120" t="inlineStr"/>
      <s:c r="B30019" s="121" t="n"/>
      <s:c r="C30019" s="121" t="n"/>
      <s:c r="D30019" s="121" t="n"/>
      <s:c r="E30019" s="122" t="n"/>
    </s:row>
    <s:row r="30020" hidden="1" ht="1" customHeight="1">
      <s:c r="A30020" s="120" t="inlineStr"/>
      <s:c r="B30020" s="121" t="n"/>
      <s:c r="C30020" s="121" t="n"/>
      <s:c r="D30020" s="121" t="n"/>
      <s:c r="E30020" s="122" t="n"/>
    </s:row>
    <s:row r="30021" hidden="1" ht="1" customHeight="1">
      <s:c r="A30021" s="120" t="inlineStr"/>
      <s:c r="B30021" s="121" t="n"/>
      <s:c r="C30021" s="121" t="n"/>
      <s:c r="D30021" s="121" t="n"/>
      <s:c r="E30021" s="122" t="n"/>
    </s:row>
    <s:row r="30022" hidden="1" ht="1" customHeight="1">
      <s:c r="A30022" s="120" t="inlineStr"/>
      <s:c r="B30022" s="121" t="n"/>
      <s:c r="C30022" s="121" t="n"/>
      <s:c r="D30022" s="121" t="n"/>
      <s:c r="E30022" s="122" t="n"/>
    </s:row>
    <s:row r="30023" hidden="1" ht="1" customHeight="1">
      <s:c r="A30023" s="120" t="inlineStr"/>
      <s:c r="B30023" s="121" t="n"/>
      <s:c r="C30023" s="121" t="n"/>
      <s:c r="D30023" s="121" t="n"/>
      <s:c r="E30023" s="122" t="n"/>
    </s:row>
    <s:row r="30024" hidden="1" ht="1" customHeight="1">
      <s:c r="A30024" s="120" t="inlineStr"/>
      <s:c r="B30024" s="121" t="n"/>
      <s:c r="C30024" s="121" t="n"/>
      <s:c r="D30024" s="121" t="n"/>
      <s:c r="E30024" s="122" t="n"/>
    </s:row>
    <s:row r="30025" hidden="1" ht="1" customHeight="1">
      <s:c r="A30025" s="120" t="inlineStr"/>
      <s:c r="B30025" s="121" t="n"/>
      <s:c r="C30025" s="121" t="n"/>
      <s:c r="D30025" s="121" t="n"/>
      <s:c r="E30025" s="122" t="n"/>
    </s:row>
    <s:row r="30026" hidden="1" ht="1" customHeight="1">
      <s:c r="A30026" s="120" t="inlineStr"/>
      <s:c r="B30026" s="121" t="n"/>
      <s:c r="C30026" s="121" t="n"/>
      <s:c r="D30026" s="121" t="n"/>
      <s:c r="E30026" s="122" t="n"/>
    </s:row>
    <s:row r="30027" hidden="1" ht="1" customHeight="1">
      <s:c r="A30027" s="120" t="inlineStr"/>
      <s:c r="B30027" s="121" t="n"/>
      <s:c r="C30027" s="121" t="n"/>
      <s:c r="D30027" s="121" t="n"/>
      <s:c r="E30027" s="122" t="n"/>
    </s:row>
    <s:row r="30028" hidden="1" ht="1" customHeight="1">
      <s:c r="A30028" s="120" t="inlineStr"/>
      <s:c r="B30028" s="121" t="n"/>
      <s:c r="C30028" s="121" t="n"/>
      <s:c r="D30028" s="121" t="n"/>
      <s:c r="E30028" s="122" t="n"/>
    </s:row>
    <s:row r="30029" hidden="1" ht="1" customHeight="1">
      <s:c r="A30029" s="120" t="inlineStr"/>
      <s:c r="B30029" s="121" t="n"/>
      <s:c r="C30029" s="121" t="n"/>
      <s:c r="D30029" s="121" t="n"/>
      <s:c r="E30029" s="122" t="n"/>
    </s:row>
    <s:row r="30030" hidden="1" ht="1" customHeight="1">
      <s:c r="A30030" s="120" t="inlineStr"/>
      <s:c r="B30030" s="121" t="n"/>
      <s:c r="C30030" s="121" t="n"/>
      <s:c r="D30030" s="121" t="n"/>
      <s:c r="E30030" s="122" t="n"/>
    </s:row>
    <s:row r="30031" hidden="1" ht="1" customHeight="1">
      <s:c r="A30031" s="120" t="inlineStr"/>
      <s:c r="B30031" s="121" t="n"/>
      <s:c r="C30031" s="121" t="n"/>
      <s:c r="D30031" s="121" t="n"/>
      <s:c r="E30031" s="122" t="n"/>
    </s:row>
    <s:row r="30032" hidden="1" ht="1" customHeight="1">
      <s:c r="A30032" s="120" t="inlineStr"/>
      <s:c r="B30032" s="121" t="n"/>
      <s:c r="C30032" s="121" t="n"/>
      <s:c r="D30032" s="121" t="n"/>
      <s:c r="E30032" s="122" t="n"/>
    </s:row>
    <s:row r="30033" hidden="1" ht="1" customHeight="1">
      <s:c r="A30033" s="120" t="inlineStr"/>
      <s:c r="B30033" s="121" t="n"/>
      <s:c r="C30033" s="121" t="n"/>
      <s:c r="D30033" s="121" t="n"/>
      <s:c r="E30033" s="122" t="n"/>
    </s:row>
    <s:row r="30034" hidden="1" ht="1" customHeight="1">
      <s:c r="A30034" s="120" t="inlineStr"/>
      <s:c r="B30034" s="121" t="n"/>
      <s:c r="C30034" s="121" t="n"/>
      <s:c r="D30034" s="121" t="n"/>
      <s:c r="E30034" s="122" t="n"/>
    </s:row>
    <s:row r="30035" hidden="1" ht="1" customHeight="1">
      <s:c r="A30035" s="120" t="inlineStr"/>
      <s:c r="B30035" s="121" t="n"/>
      <s:c r="C30035" s="121" t="n"/>
      <s:c r="D30035" s="121" t="n"/>
      <s:c r="E30035" s="122" t="n"/>
    </s:row>
    <s:row r="30036" hidden="1" ht="1" customHeight="1">
      <s:c r="A30036" s="120" t="inlineStr"/>
      <s:c r="B30036" s="121" t="n"/>
      <s:c r="C30036" s="121" t="n"/>
      <s:c r="D30036" s="121" t="n"/>
      <s:c r="E30036" s="122" t="n"/>
    </s:row>
    <s:row r="30037" hidden="1" ht="1" customHeight="1">
      <s:c r="A30037" s="120" t="inlineStr"/>
      <s:c r="B30037" s="121" t="n"/>
      <s:c r="C30037" s="121" t="n"/>
      <s:c r="D30037" s="121" t="n"/>
      <s:c r="E30037" s="122" t="n"/>
    </s:row>
    <s:row r="30038" hidden="1" ht="1" customHeight="1">
      <s:c r="A30038" s="120" t="inlineStr"/>
      <s:c r="B30038" s="121" t="n"/>
      <s:c r="C30038" s="121" t="n"/>
      <s:c r="D30038" s="121" t="n"/>
      <s:c r="E30038" s="122" t="n"/>
    </s:row>
    <s:row r="30039" hidden="1" ht="1" customHeight="1">
      <s:c r="A30039" s="120" t="inlineStr"/>
      <s:c r="B30039" s="121" t="n"/>
      <s:c r="C30039" s="121" t="n"/>
      <s:c r="D30039" s="121" t="n"/>
      <s:c r="E30039" s="122" t="n"/>
    </s:row>
    <s:row r="30040" hidden="1" ht="1" customHeight="1">
      <s:c r="A30040" s="120" t="inlineStr"/>
      <s:c r="B30040" s="121" t="n"/>
      <s:c r="C30040" s="121" t="n"/>
      <s:c r="D30040" s="121" t="n"/>
      <s:c r="E30040" s="122" t="n"/>
    </s:row>
    <s:row r="30041" hidden="1" ht="1" customHeight="1">
      <s:c r="A30041" s="120" t="inlineStr"/>
      <s:c r="B30041" s="121" t="n"/>
      <s:c r="C30041" s="121" t="n"/>
      <s:c r="D30041" s="121" t="n"/>
      <s:c r="E30041" s="122" t="n"/>
    </s:row>
    <s:row r="30042" hidden="1" ht="1" customHeight="1">
      <s:c r="A30042" s="120" t="inlineStr"/>
      <s:c r="B30042" s="121" t="n"/>
      <s:c r="C30042" s="121" t="n"/>
      <s:c r="D30042" s="121" t="n"/>
      <s:c r="E30042" s="122" t="n"/>
    </s:row>
    <s:row r="30043" hidden="1" ht="1" customHeight="1">
      <s:c r="A30043" s="120" t="inlineStr"/>
      <s:c r="B30043" s="121" t="n"/>
      <s:c r="C30043" s="121" t="n"/>
      <s:c r="D30043" s="121" t="n"/>
      <s:c r="E30043" s="122" t="n"/>
    </s:row>
    <s:row r="30044" hidden="1" ht="1" customHeight="1">
      <s:c r="A30044" s="120" t="inlineStr"/>
      <s:c r="B30044" s="121" t="n"/>
      <s:c r="C30044" s="121" t="n"/>
      <s:c r="D30044" s="121" t="n"/>
      <s:c r="E30044" s="122" t="n"/>
    </s:row>
    <s:row r="30045" hidden="1" ht="1" customHeight="1">
      <s:c r="A30045" s="120" t="inlineStr"/>
      <s:c r="B30045" s="121" t="n"/>
      <s:c r="C30045" s="121" t="n"/>
      <s:c r="D30045" s="121" t="n"/>
      <s:c r="E30045" s="122" t="n"/>
    </s:row>
    <s:row r="30046" hidden="1" ht="1" customHeight="1">
      <s:c r="A30046" s="83" t="inlineStr">
        <s:is>
          <s:t>PASS</s:t>
        </s:is>
      </s:c>
      <s:c r="B30046" s="83">
        <s:f>SUM(IF(EXACT('Kiểm thử'!E29846,"Đạt"),1,0),IF(EXACT('Kiểm thử'!E29848,"Đạt"),1,0),IF(EXACT('Kiểm thử'!E29850,"Đạt"),1,0),IF(EXACT('Kiểm thử'!E29852,"Đạt"),1,0))</s:f>
        <s:v/>
      </s:c>
      <s:c r="C30046" s="19" t="n"/>
      <s:c r="D30046" s="19" t="n"/>
      <s:c r="E30046" s="19" t="n"/>
    </s:row>
    <s:row r="30047" hidden="1" ht="1" customHeight="1">
      <s:c r="A30047" s="83" t="inlineStr">
        <s:is>
          <s:t>FAIL</s:t>
        </s:is>
      </s:c>
      <s:c r="B30047" s="83">
        <s:f>SUM(IF(EXACT('Kiểm thử'!E29846,"Không đạt"),1,0),IF(EXACT('Kiểm thử'!E29848,"Không đạt"),1,0),IF(EXACT('Kiểm thử'!E29850,"Không đạt"),1,0),IF(EXACT('Kiểm thử'!E29852,"Không đạt"),1,0))</s:f>
        <s:v/>
      </s:c>
      <s:c r="C30047" s="19" t="n"/>
      <s:c r="D30047" s="19" t="n"/>
      <s:c r="E30047" s="19" t="n"/>
    </s:row>
    <s:row r="30048" hidden="1" ht="1" customHeight="1">
      <s:c r="A30048" s="83" t="inlineStr">
        <s:is>
          <s:t>BLOCKED</s:t>
        </s:is>
      </s:c>
      <s:c r="B30048" s="83">
        <s:f>SUM(IF(EXACT('Kiểm thử'!E29846,"Bị chặn"),1,0),IF(EXACT('Kiểm thử'!E29848,"Bị chặn"),1,0),IF(EXACT('Kiểm thử'!E29850,"Bị chặn"),1,0),IF(EXACT('Kiểm thử'!E29852,"Bị chặn"),1,0))</s:f>
        <s:v/>
      </s:c>
      <s:c r="C30048" s="19" t="n"/>
      <s:c r="D30048" s="19" t="n"/>
      <s:c r="E30048" s="19" t="n"/>
    </s:row>
    <s:row r="30049" hidden="1" ht="1" customHeight="1">
      <s:c r="A30049" s="83" t="inlineStr">
        <s:is>
          <s:t>SKIPPED</s:t>
        </s:is>
      </s:c>
      <s:c r="B30049" s="83">
        <s:f>SUM(IF(EXACT('Kiểm thử'!E29846,"Không thực hiện"),1,0),IF(EXACT('Kiểm thử'!E29848,"Không thực hiện"),1,0),IF(EXACT('Kiểm thử'!E29850,"Không thực hiện"),1,0),IF(EXACT('Kiểm thử'!E29852,"Không thực hiện"),1,0))</s:f>
        <s:v/>
      </s:c>
      <s:c r="C30049" s="19" t="n"/>
      <s:c r="D30049" s="19" t="n"/>
      <s:c r="E30049" s="19" t="n"/>
    </s:row>
    <s:row r="30050" hidden="1" ht="1" customHeight="1">
      <s:c r="A30050" s="83" t="inlineStr">
        <s:is>
          <s:t>NOT RUN</s:t>
        </s:is>
      </s:c>
      <s:c r="B30050" s="83">
        <s:f>SUM(IF(EXACT('Kiểm thử'!E29846,"Chưa thực hiện"),1,0),IF(EXACT('Kiểm thử'!E29848,"Chưa thực hiện"),1,0),IF(EXACT('Kiểm thử'!E29850,"Chưa thực hiện"),1,0),IF(EXACT('Kiểm thử'!E29852,"Chưa thực hiện"),1,0))</s:f>
        <s:v/>
      </s:c>
      <s:c r="C30050" s="19" t="n"/>
      <s:c r="D30050" s="19" t="n"/>
      <s:c r="E30050" s="19" t="n"/>
    </s:row>
    <s:row r="30051" hidden="1" ht="6" customHeight="1">
      <s:c r="A30051" s="83" t="inlineStr"/>
      <s:c r="B30051" s="19" t="n"/>
      <s:c r="C30051" s="19" t="n"/>
      <s:c r="D30051" s="19" t="n"/>
      <s:c r="E30051" s="19" t="n"/>
    </s:row>
    <s:row r="30052" ht="28" customHeight="1">
      <s:c r="A30052" s="108" t="inlineStr">
        <s:is>
          <s:t>TC-RS-ERR-011 — Lượt cũ hoàn tất muộn không ghi đè kết quả của điểm/cấu hình mới hơn</s:t>
        </s:is>
      </s:c>
      <s:c r="B30052" s="111" t="n"/>
      <s:c r="C30052" s="111" t="n"/>
      <s:c r="D30052" s="111" t="n"/>
      <s:c r="E30052" s="111" t="n"/>
    </s:row>
    <s:row r="30053" ht="20" customHeight="1">
      <s:c r="A30053" s="112" t="inlineStr">
        <s:is>
          <s:t>Kết quả tình huống</s:t>
        </s:is>
      </s:c>
      <s:c r="B30053" s="113">
        <s:f>IF(SUM(IF(EXACT('Kiểm thử'!E30066,"Không đạt"),1,0),IF(EXACT('Kiểm thử'!E30068,"Không đạt"),1,0),IF(EXACT('Kiểm thử'!E30070,"Không đạt"),1,0),IF(EXACT('Kiểm thử'!E30072,"Không đạt"),1,0),IF(EXACT('Kiểm thử'!E30074,"Không đạt"),1,0),IF(EXACT('Kiểm thử'!E30076,"Không đạt"),1,0))&gt;0,"Không đạt",IF(SUM(IF(EXACT('Kiểm thử'!E30066,"Đạt"),1,0),IF(EXACT('Kiểm thử'!E30068,"Đạt"),1,0),IF(EXACT('Kiểm thử'!E30070,"Đạt"),1,0),IF(EXACT('Kiểm thử'!E30072,"Đạt"),1,0),IF(EXACT('Kiểm thử'!E30074,"Đạt"),1,0),IF(EXACT('Kiểm thử'!E30076,"Đạt"),1,0))=6,"Đạt",IF(SUM(IF(EXACT('Kiểm thử'!E30066,"Không thực hiện"),1,0),IF(EXACT('Kiểm thử'!E30068,"Không thực hiện"),1,0),IF(EXACT('Kiểm thử'!E30070,"Không thực hiện"),1,0),IF(EXACT('Kiểm thử'!E30072,"Không thực hiện"),1,0),IF(EXACT('Kiểm thử'!E30074,"Không thực hiện"),1,0),IF(EXACT('Kiểm thử'!E30076,"Không thực hiện"),1,0))=6,"Không thực hiện",IF(SUM(IF(EXACT('Kiểm thử'!E30066,"Bị chặn"),1,0),IF(EXACT('Kiểm thử'!E30068,"Bị chặn"),1,0),IF(EXACT('Kiểm thử'!E30070,"Bị chặn"),1,0),IF(EXACT('Kiểm thử'!E30072,"Bị chặn"),1,0),IF(EXACT('Kiểm thử'!E30074,"Bị chặn"),1,0),IF(EXACT('Kiểm thử'!E30076,"Bị chặn"),1,0))&gt;0,"Bị chặn",IF(SUM(IF(EXACT('Kiểm thử'!E30066,"Chưa thực hiện"),1,0),IF(EXACT('Kiểm thử'!E30068,"Chưa thực hiện"),1,0),IF(EXACT('Kiểm thử'!E30070,"Chưa thực hiện"),1,0),IF(EXACT('Kiểm thử'!E30072,"Chưa thực hiện"),1,0),IF(EXACT('Kiểm thử'!E30074,"Chưa thực hiện"),1,0),IF(EXACT('Kiểm thử'!E30076,"Chưa thực hiện"),1,0))=6,"Chưa thực hiện","Đang thực hiện")))))</s:f>
        <s:v/>
      </s:c>
      <s:c r="C30053" s="114" t="n"/>
      <s:c r="D30053" s="114" t="n"/>
      <s:c r="E30053" s="114" t="n"/>
    </s:row>
    <s:row r="30054" ht="20" customHeight="1">
      <s:c r="A30054" s="112" t="inlineStr">
        <s:is>
          <s:t>Màn hình / chức năng</s:t>
        </s:is>
      </s:c>
      <s:c r="B30054" s="113" t="inlineStr">
        <s:is>
          <s:t>Lỗi và cập nhật kết quả</s:t>
        </s:is>
      </s:c>
      <s:c r="C30054" s="28" t="n"/>
      <s:c r="D30054" s="28" t="n"/>
      <s:c r="E30054" s="28" t="n"/>
    </s:row>
    <s:row r="30055" ht="48" customHeight="1">
      <s:c r="A30055" s="112" t="inlineStr">
        <s:is>
          <s:t>Cấu hình</s:t>
        </s:is>
      </s:c>
      <s:c r="B30055" s="113" t="inlineStr">
        <s:is>
          <s:t>• Batch lớn đang chạy cho khối 1;
• Quy tắc “Cố định 30” (dưới 30) trên mục của S01;
• Nguồn trung bình của cặp quy tắc phân nhánh theo trung bình 60 đã có một bản tổng hợp.</s:t>
        </s:is>
      </s:c>
      <s:c r="C30055" s="28" t="n"/>
      <s:c r="D30055" s="28" t="n"/>
      <s:c r="E30055" s="28" t="n"/>
    </s:row>
    <s:row r="30056" ht="48" customHeight="1">
      <s:c r="A30056" s="112" t="inlineStr">
        <s:is>
          <s:t>Dữ liệu test</s:t>
        </s:is>
      </s:c>
      <s:c r="B30056" s="113" t="inlineStr">
        <s:is>
          <s:t>• Học sinh S01 (điểm 29);
• Quy tắc “Cố định 30” (dưới 30);
• Cặp quy tắc phân nhánh theo trung bình 60</s:t>
        </s:is>
      </s:c>
      <s:c r="C30056" s="28" t="n"/>
      <s:c r="D30056" s="28" t="n"/>
      <s:c r="E30056" s="28" t="n"/>
    </s:row>
    <s:row r="30057" ht="20" customHeight="1">
      <s:c r="A30057" s="112" t="inlineStr">
        <s:is>
          <s:t>Bước 1</s:t>
        </s:is>
      </s:c>
      <s:c r="B30057" s="113" t="inlineStr">
        <s:is>
          <s:t>Khi batch chưa xong, sửa S01 từ 29 thành 40 và lưu.</s:t>
        </s:is>
      </s:c>
      <s:c r="C30057" s="28" t="n"/>
      <s:c r="D30057" s="28" t="n"/>
      <s:c r="E30057" s="28" t="n"/>
    </s:row>
    <s:row r="30058" ht="20" customHeight="1">
      <s:c r="A30058" s="112" t="inlineStr">
        <s:is>
          <s:t>Bước 2</s:t>
        </s:is>
      </s:c>
      <s:c r="B30058" s="113" t="inlineStr">
        <s:is>
          <s:t>Chờ batch xong, xem S01.</s:t>
        </s:is>
      </s:c>
      <s:c r="C30058" s="28" t="n"/>
      <s:c r="D30058" s="28" t="n"/>
      <s:c r="E30058" s="28" t="n"/>
    </s:row>
    <s:row r="30059" ht="34" customHeight="1">
      <s:c r="A30059" s="112" t="inlineStr">
        <s:is>
          <s:t>Bước 3</s:t>
        </s:is>
      </s:c>
      <s:c r="B30059" s="113" t="inlineStr">
        <s:is>
          <s:t>Chạy lại batch; khi chưa xong, đổi ngưỡng quy tắc “Cố định 30” (dưới 30) thành 45, lưu, rồi đăng ký lại điểm S01 (40). Chờ batch cũ xong, xem S01.</s:t>
        </s:is>
      </s:c>
      <s:c r="C30059" s="28" t="n"/>
      <s:c r="D30059" s="28" t="n"/>
      <s:c r="E30059" s="28" t="n"/>
    </s:row>
    <s:row r="30060" ht="48" customHeight="1">
      <s:c r="A30060" s="112" t="inlineStr">
        <s:is>
          <s:t>Bước 4</s:t>
        </s:is>
      </s:c>
      <s:c r="B30060" s="113" t="inlineStr">
        <s:is>
          <s:r>
            <s:t xml:space="preserve">Với mục dùng cặp quy tắc phân nhánh theo trung bình 60: bắt đầu batch; khi chưa xong, bấm </s:t>
          </s:r>
          <s:r>
            <s:rPr>
              <s:b val="1"/>
            </s:rPr>
            <s:t>Thực hiện tổng hợp（集計実行）</s:t>
          </s:r>
          <s:r>
            <s:t xml:space="preserve"> cho cùng phạm vi, chờ cả hai xong. SELECT kết quả và bản nguồn được ghi nhận cho các ô của lượt batch.</s:t>
          </s:r>
        </s:is>
      </s:c>
      <s:c r="C30060" s="28" t="n"/>
      <s:c r="D30060" s="28" t="n"/>
      <s:c r="E30060" s="28" t="n"/>
    </s:row>
    <s:row r="30061" ht="34" customHeight="1">
      <s:c r="A30061" s="112" t="inlineStr">
        <s:is>
          <s:t>Bước 5</s:t>
        </s:is>
      </s:c>
      <s:c r="B30061" s="113" t="inlineStr">
        <s:is>
          <s:t>Khôi phục ngưỡng 30, S01 = 29 (Đỏ). Bắt đầu batch; khi batch đã đọc điểm 29 nhưng chưa xong, sửa S01 thành 40 và lưu, rồi sửa lại 29 và lưu. Chờ batch cũ xong, SELECT kết quả S01.</s:t>
        </s:is>
      </s:c>
      <s:c r="C30061" s="28" t="n"/>
      <s:c r="D30061" s="28" t="n"/>
      <s:c r="E30061" s="28" t="n"/>
    </s:row>
    <s:row r="30062" ht="20" customHeight="1">
      <s:c r="A30062" s="112" t="inlineStr">
        <s:is>
          <s:t>Bước 6</s:t>
        </s:is>
      </s:c>
      <s:c r="B30062" s="113" t="inlineStr">
        <s:is>
          <s:t>Lặp bước 5 nhưng thay bằng: xóa trống ô S01 và lưu, rồi nhập lại 29 và lưu.</s:t>
        </s:is>
      </s:c>
      <s:c r="C30062" s="28" t="n"/>
      <s:c r="D30062" s="28" t="n"/>
      <s:c r="E30062" s="28" t="n"/>
    </s:row>
    <s:row r="30063" ht="34" customHeight="1">
      <s:c r="A30063" s="112" t="inlineStr">
        <s:is>
          <s:t>Bước 7</s:t>
        </s:is>
      </s:c>
      <s:c r="B30063" s="113" t="inlineStr">
        <s:is>
          <s:t>S01 = 40 (Không đỏ). Bắt đầu batch; khi chưa xong, chỉ đổi ngưỡng quy tắc “Cố định 30” (dưới 30) thành 45 và lưu, không đăng ký lại điểm. Chờ batch cũ xong, xem S01; sau đó chạy lại batch và xem S01.</s:t>
        </s:is>
      </s:c>
      <s:c r="C30063" s="28" t="n"/>
      <s:c r="D30063" s="28" t="n"/>
      <s:c r="E30063" s="28" t="n"/>
    </s:row>
    <s:row r="30064" ht="28" customHeight="1">
      <s:c r="A30064" s="115" t="inlineStr">
        <s:is>
          <s:t>Trường hợp</s:t>
        </s:is>
      </s:c>
      <s:c r="B30064" s="115" t="inlineStr">
        <s:is>
          <s:t>Dữ liệu / thao tác riêng</s:t>
        </s:is>
      </s:c>
      <s:c r="C30064" s="115" t="inlineStr">
        <s:is>
          <s:t>Kết quả mong đợi</s:t>
        </s:is>
      </s:c>
      <s:c r="D30064" s="115" t="inlineStr">
        <s:is>
          <s:t>Kết quả thực tế</s:t>
        </s:is>
      </s:c>
      <s:c r="E30064" s="115" t="inlineStr">
        <s:is>
          <s:t>Đánh giá</s:t>
        </s:is>
      </s:c>
    </s:row>
    <s:row r="30065" ht="3" customHeight="1">
      <s:c r="A30065" s="102" t="inlineStr"/>
      <s:c r="B30065" s="99" t="n"/>
      <s:c r="C30065" s="99" t="n"/>
      <s:c r="D30065" s="116" t="n"/>
      <s:c r="E30065" s="116" t="n"/>
    </s:row>
    <s:row r="30066" ht="104" customHeight="1">
      <s:c r="A30066" s="83" t="inlineStr">
        <s:is>
          <s:t>Sửa điểm khi batch đang chạy (score-update)</s:t>
        </s:is>
      </s:c>
      <s:c r="B30066" s="83" t="inlineStr">
        <s:is>
          <s:t>S01 từ 29→40 rồi lưu; chờ batch cũ và đọc điểm/kết quả.</s:t>
        </s:is>
      </s:c>
      <s:c r="C30066" s="83" t="inlineStr">
        <s:is>
          <s:r>
            <s:t xml:space="preserve">1–2. S01 = 40 và </s:t>
          </s:r>
          <s:r>
            <s:rPr>
              <s:b val="1"/>
            </s:rPr>
            <s:t>Không đỏ</s:t>
          </s:r>
          <s:r>
            <s:t xml:space="preserve">; batch cũ không ghi lại kết quả </s:t>
          </s:r>
          <s:r>
            <s:rPr>
              <s:b val="1"/>
            </s:rPr>
            <s:t>Đỏ</s:t>
          </s:r>
          <s:r>
            <s:t xml:space="preserve"> của điểm 29.
8. (PROPOSED) SELECT [write_version], [judged_version], [rule_revision] của S01: [judged_version] bằng phiên bản của lần ghi hoàn tất sau cùng; lượt cũ không làm giảm hay ghi đè các giá trị này.</s:t>
          </s:r>
        </s:is>
      </s:c>
      <s:c r="D30066" s="117" t="inlineStr"/>
      <s:c r="E30066" s="118" t="inlineStr">
        <s:is>
          <s:t>Chưa thực hiện</s:t>
        </s:is>
      </s:c>
    </s:row>
    <s:row r="30067" ht="3" customHeight="1">
      <s:c r="A30067" s="102" t="inlineStr"/>
      <s:c r="B30067" s="99" t="n"/>
      <s:c r="C30067" s="99" t="n"/>
      <s:c r="D30067" s="116" t="n"/>
      <s:c r="E30067" s="116" t="n"/>
    </s:row>
    <s:row r="30068" ht="118" customHeight="1">
      <s:c r="A30068" s="83" t="inlineStr">
        <s:is>
          <s:t>Sửa ngưỡng và ghi lại điểm (rule-update)</s:t>
        </s:is>
      </s:c>
      <s:c r="B30068" s="83" t="inlineStr">
        <s:is>
          <s:r>
            <s:t xml:space="preserve">Khi batch chưa xong, đổi </s:t>
          </s:r>
          <s:r>
            <s:rPr>
              <s:b val="1"/>
            </s:rPr>
            <s:t>T=30</s:t>
          </s:r>
          <s:r>
            <s:t>→45 rồi đăng ký lại S01=40; chờ batch cũ và đọc kết quả.</s:t>
          </s:r>
        </s:is>
      </s:c>
      <s:c r="C30068" s="83" t="inlineStr">
        <s:is>
          <s:r>
            <s:t xml:space="preserve">3. S01 </s:t>
          </s:r>
          <s:r>
            <s:rPr>
              <s:b val="1"/>
            </s:rPr>
            <s:t>Đỏ</s:t>
          </s:r>
          <s:r>
            <s:t xml:space="preserve"> theo cấu hình mới ([40&lt;45]); batch cũ không ghi đè bằng kết quả theo ngưỡng 30.
8. (PROPOSED) SELECT [write_version], [judged_version], [rule_revision] của S01: [judged_version] bằng phiên bản của lần ghi hoàn tất sau cùng; lượt cũ không làm giảm hay ghi đè các giá trị này.</s:t>
          </s:r>
        </s:is>
      </s:c>
      <s:c r="D30068" s="117" t="inlineStr"/>
      <s:c r="E30068" s="118" t="inlineStr">
        <s:is>
          <s:t>Chưa thực hiện</s:t>
        </s:is>
      </s:c>
    </s:row>
    <s:row r="30069" ht="3" customHeight="1">
      <s:c r="A30069" s="102" t="inlineStr"/>
      <s:c r="B30069" s="99" t="n"/>
      <s:c r="C30069" s="99" t="n"/>
      <s:c r="D30069" s="116" t="n"/>
      <s:c r="E30069" s="116" t="n"/>
    </s:row>
    <s:row r="30070" ht="132" customHeight="1">
      <s:c r="A30070" s="83" t="inlineStr">
        <s:is>
          <s:t>Tổng hợp nguồn đồng thời (aggregation-snapshot-update)</s:t>
        </s:is>
      </s:c>
      <s:c r="B30070" s="83" t="inlineStr">
        <s:is>
          <s:r>
            <s:t xml:space="preserve">Mục dùng cặp rule phân nhánh trung bình 60; khi batch chưa xong, bấm </s:t>
          </s:r>
          <s:r>
            <s:rPr>
              <s:b val="1"/>
            </s:rPr>
            <s:t>Thực hiện tổng hợp（集計実行）</s:t>
          </s:r>
          <s:r>
            <s:t xml:space="preserve"> cùng scope; chờ cả hai và đối chiếu nguồn từng ô.</s:t>
          </s:r>
        </s:is>
      </s:c>
      <s:c r="C30070" s="83" t="inlineStr">
        <s:is>
          <s:t>4. Mọi ô của một lượt batch dùng cùng một bản nguồn (hoặc toàn bản cũ, hoặc toàn bản mới); không có lượt báo thành công mà ghép điểm/kết quả của hai thời điểm.
8. (PROPOSED) SELECT [write_version], [judged_version], [rule_revision] của S01: [judged_version] bằng phiên bản của lần ghi hoàn tất sau cùng; lượt cũ không làm giảm hay ghi đè các giá trị này.</s:t>
        </s:is>
      </s:c>
      <s:c r="D30070" s="117" t="inlineStr"/>
      <s:c r="E30070" s="118" t="inlineStr">
        <s:is>
          <s:t>Chưa thực hiện</s:t>
        </s:is>
      </s:c>
    </s:row>
    <s:row r="30071" ht="3" customHeight="1">
      <s:c r="A30071" s="102" t="inlineStr"/>
      <s:c r="B30071" s="99" t="n"/>
      <s:c r="C30071" s="99" t="n"/>
      <s:c r="D30071" s="116" t="n"/>
      <s:c r="E30071" s="116" t="n"/>
    </s:row>
    <s:row r="30072" ht="160" customHeight="1">
      <s:c r="A30072" s="83" t="inlineStr">
        <s:is>
          <s:t>Đổi điểm rồi trả về cùng giá trị (edit-away-and-back)</s:t>
        </s:is>
      </s:c>
      <s:c r="B30072" s="83" t="inlineStr">
        <s:is>
          <s:r>
            <s:t xml:space="preserve">Reset </s:t>
          </s:r>
          <s:r>
            <s:rPr>
              <s:b val="1"/>
            </s:rPr>
            <s:t>T=30</s:t>
          </s:r>
          <s:r>
            <s:t>/S01=29 Đỏ; khi batch đã đọc 29 nhưng chưa xong, lưu 40 rồi lưu lại 29; đọc kết quả sau batch.</s:t>
          </s:r>
        </s:is>
      </s:c>
      <s:c r="C30072" s="83" t="inlineStr">
        <s:is>
          <s:r>
            <s:t xml:space="preserve">5–6. Kết quả hiện hành của S01 là kết quả của lần lưu cuối (29 → </s:t>
          </s:r>
          <s:r>
            <s:rPr>
              <s:b val="1"/>
            </s:rPr>
            <s:t>Đỏ</s:t>
          </s:r>
          <s:r>
            <s:t>, xét bởi lần đăng ký sau cùng); lượt batch cũ không ghi đè dù giá trị điểm cuối trùng với giá trị batch đã đọc. Ô chỉ có một dòng kết quả hiện hành.
8. (PROPOSED) SELECT [write_version], [judged_version], [rule_revision] của S01: [judged_version] bằng phiên bản của lần ghi hoàn tất sau cùng; lượt cũ không làm giảm hay ghi đè các giá trị này.</s:t>
          </s:r>
        </s:is>
      </s:c>
      <s:c r="D30072" s="117" t="inlineStr"/>
      <s:c r="E30072" s="118" t="inlineStr">
        <s:is>
          <s:t>Chưa thực hiện</s:t>
        </s:is>
      </s:c>
    </s:row>
    <s:row r="30073" ht="3" customHeight="1">
      <s:c r="A30073" s="102" t="inlineStr"/>
      <s:c r="B30073" s="99" t="n"/>
      <s:c r="C30073" s="99" t="n"/>
      <s:c r="D30073" s="116" t="n"/>
      <s:c r="E30073" s="116" t="n"/>
    </s:row>
    <s:row r="30074" ht="160" customHeight="1">
      <s:c r="A30074" s="83" t="inlineStr">
        <s:is>
          <s:t>Xóa ô rồi nhập lại cùng giá trị (delete-and-recreate)</s:t>
        </s:is>
      </s:c>
      <s:c r="B30074" s="83" t="inlineStr">
        <s:is>
          <s:r>
            <s:t xml:space="preserve">Reset </s:t>
          </s:r>
          <s:r>
            <s:rPr>
              <s:b val="1"/>
            </s:rPr>
            <s:t>T=30</s:t>
          </s:r>
          <s:r>
            <s:t>/S01=29 Đỏ; khi batch đã đọc 29 nhưng chưa xong, xóa trống/lưu rồi nhập lại 29/lưu; đọc kết quả sau batch.</s:t>
          </s:r>
        </s:is>
      </s:c>
      <s:c r="C30074" s="83" t="inlineStr">
        <s:is>
          <s:r>
            <s:t xml:space="preserve">5–6. Kết quả hiện hành của S01 là kết quả của lần lưu cuối (29 → </s:t>
          </s:r>
          <s:r>
            <s:rPr>
              <s:b val="1"/>
            </s:rPr>
            <s:t>Đỏ</s:t>
          </s:r>
          <s:r>
            <s:t>, xét bởi lần đăng ký sau cùng); lượt batch cũ không ghi đè dù giá trị điểm cuối trùng với giá trị batch đã đọc. Ô chỉ có một dòng kết quả hiện hành.
8. (PROPOSED) SELECT [write_version], [judged_version], [rule_revision] của S01: [judged_version] bằng phiên bản của lần ghi hoàn tất sau cùng; lượt cũ không làm giảm hay ghi đè các giá trị này.</s:t>
          </s:r>
        </s:is>
      </s:c>
      <s:c r="D30074" s="117" t="inlineStr"/>
      <s:c r="E30074" s="118" t="inlineStr">
        <s:is>
          <s:t>Chưa thực hiện</s:t>
        </s:is>
      </s:c>
    </s:row>
    <s:row r="30075" ht="3" customHeight="1">
      <s:c r="A30075" s="102" t="inlineStr"/>
      <s:c r="B30075" s="99" t="n"/>
      <s:c r="C30075" s="99" t="n"/>
      <s:c r="D30075" s="116" t="n"/>
      <s:c r="E30075" s="116" t="n"/>
    </s:row>
    <s:row r="30076" ht="216" customHeight="1">
      <s:c r="A30076" s="83" t="inlineStr">
        <s:is>
          <s:t>Chỉ sửa ngưỡng khi batch đang chạy (rule-update-without-score-write)</s:t>
        </s:is>
      </s:c>
      <s:c r="B30076" s="83" t="inlineStr">
        <s:is>
          <s:r>
            <s:t>Reset S01=40 Không đỏ/</s:t>
          </s:r>
          <s:r>
            <s:rPr>
              <s:b val="1"/>
            </s:rPr>
            <s:t>T=30</s:t>
          </s:r>
          <s:r>
            <s:t xml:space="preserve">; khi batch chưa xong, chỉ lưu </s:t>
          </s:r>
          <s:r>
            <s:rPr>
              <s:b val="1"/>
            </s:rPr>
            <s:t>T=45</s:t>
          </s:r>
          <s:r>
            <s:t>, không đăng ký lại điểm; đọc sau batch cũ rồi chạy batch mới và đối chiếu.</s:t>
          </s:r>
        </s:is>
      </s:c>
      <s:c r="C30076" s="83" t="inlineStr">
        <s:is>
          <s:r>
            <s:t xml:space="preserve">7. Sau khi chỉ lưu ngưỡng: kết quả trước được giữ tới lần xét lại (tiêu chí nghiệm thu “Giữ kết quả trước khi chạy lại”). Chạy lại batch → S01 </s:t>
          </s:r>
          <s:r>
            <s:rPr>
              <s:b val="1"/>
            </s:rPr>
            <s:t>Đỏ</s:t>
          </s:r>
          <s:r>
            <s:t xml:space="preserve">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s:t>
          </s:r>
        </s:is>
      </s:c>
      <s:c r="D30076" s="117" t="inlineStr"/>
      <s:c r="E30076" s="118" t="inlineStr">
        <s:is>
          <s:t>Chưa thực hiện</s:t>
        </s:is>
      </s:c>
    </s:row>
    <s:row r="30077" ht="20" customHeight="1">
      <s:c r="A30077" s="119" t="inlineStr">
        <s:is>
          <s:t>Ảnh minh chứng — Chưa có ảnh</s:t>
        </s:is>
      </s:c>
      <s:c r="B30077" s="19" t="n"/>
      <s:c r="C30077" s="19" t="n"/>
      <s:c r="D30077" s="19" t="n"/>
      <s:c r="E30077" s="19" t="n"/>
    </s:row>
    <s:row r="30078" hidden="1" ht="1" customHeight="1">
      <s:c r="A30078" s="120" t="inlineStr"/>
      <s:c r="B30078" s="121" t="n"/>
      <s:c r="C30078" s="121" t="n"/>
      <s:c r="D30078" s="121" t="n"/>
      <s:c r="E30078" s="122" t="n"/>
    </s:row>
    <s:row r="30079" hidden="1" ht="1" customHeight="1">
      <s:c r="A30079" s="120" t="inlineStr"/>
      <s:c r="B30079" s="121" t="n"/>
      <s:c r="C30079" s="121" t="n"/>
      <s:c r="D30079" s="121" t="n"/>
      <s:c r="E30079" s="122" t="n"/>
    </s:row>
    <s:row r="30080" hidden="1" ht="1" customHeight="1">
      <s:c r="A30080" s="120" t="inlineStr"/>
      <s:c r="B30080" s="121" t="n"/>
      <s:c r="C30080" s="121" t="n"/>
      <s:c r="D30080" s="121" t="n"/>
      <s:c r="E30080" s="122" t="n"/>
    </s:row>
    <s:row r="30081" hidden="1" ht="1" customHeight="1">
      <s:c r="A30081" s="120" t="inlineStr"/>
      <s:c r="B30081" s="121" t="n"/>
      <s:c r="C30081" s="121" t="n"/>
      <s:c r="D30081" s="121" t="n"/>
      <s:c r="E30081" s="122" t="n"/>
    </s:row>
    <s:row r="30082" hidden="1" ht="1" customHeight="1">
      <s:c r="A30082" s="120" t="inlineStr"/>
      <s:c r="B30082" s="121" t="n"/>
      <s:c r="C30082" s="121" t="n"/>
      <s:c r="D30082" s="121" t="n"/>
      <s:c r="E30082" s="122" t="n"/>
    </s:row>
    <s:row r="30083" hidden="1" ht="1" customHeight="1">
      <s:c r="A30083" s="120" t="inlineStr"/>
      <s:c r="B30083" s="121" t="n"/>
      <s:c r="C30083" s="121" t="n"/>
      <s:c r="D30083" s="121" t="n"/>
      <s:c r="E30083" s="122" t="n"/>
    </s:row>
    <s:row r="30084" hidden="1" ht="1" customHeight="1">
      <s:c r="A30084" s="120" t="inlineStr"/>
      <s:c r="B30084" s="121" t="n"/>
      <s:c r="C30084" s="121" t="n"/>
      <s:c r="D30084" s="121" t="n"/>
      <s:c r="E30084" s="122" t="n"/>
    </s:row>
    <s:row r="30085" hidden="1" ht="1" customHeight="1">
      <s:c r="A30085" s="120" t="inlineStr"/>
      <s:c r="B30085" s="121" t="n"/>
      <s:c r="C30085" s="121" t="n"/>
      <s:c r="D30085" s="121" t="n"/>
      <s:c r="E30085" s="122" t="n"/>
    </s:row>
    <s:row r="30086" hidden="1" ht="1" customHeight="1">
      <s:c r="A30086" s="120" t="inlineStr"/>
      <s:c r="B30086" s="121" t="n"/>
      <s:c r="C30086" s="121" t="n"/>
      <s:c r="D30086" s="121" t="n"/>
      <s:c r="E30086" s="122" t="n"/>
    </s:row>
    <s:row r="30087" hidden="1" ht="1" customHeight="1">
      <s:c r="A30087" s="120" t="inlineStr"/>
      <s:c r="B30087" s="121" t="n"/>
      <s:c r="C30087" s="121" t="n"/>
      <s:c r="D30087" s="121" t="n"/>
      <s:c r="E30087" s="122" t="n"/>
    </s:row>
    <s:row r="30088" hidden="1" ht="1" customHeight="1">
      <s:c r="A30088" s="120" t="inlineStr"/>
      <s:c r="B30088" s="121" t="n"/>
      <s:c r="C30088" s="121" t="n"/>
      <s:c r="D30088" s="121" t="n"/>
      <s:c r="E30088" s="122" t="n"/>
    </s:row>
    <s:row r="30089" hidden="1" ht="1" customHeight="1">
      <s:c r="A30089" s="120" t="inlineStr"/>
      <s:c r="B30089" s="121" t="n"/>
      <s:c r="C30089" s="121" t="n"/>
      <s:c r="D30089" s="121" t="n"/>
      <s:c r="E30089" s="122" t="n"/>
    </s:row>
    <s:row r="30090" hidden="1" ht="1" customHeight="1">
      <s:c r="A30090" s="120" t="inlineStr"/>
      <s:c r="B30090" s="121" t="n"/>
      <s:c r="C30090" s="121" t="n"/>
      <s:c r="D30090" s="121" t="n"/>
      <s:c r="E30090" s="122" t="n"/>
    </s:row>
    <s:row r="30091" hidden="1" ht="1" customHeight="1">
      <s:c r="A30091" s="120" t="inlineStr"/>
      <s:c r="B30091" s="121" t="n"/>
      <s:c r="C30091" s="121" t="n"/>
      <s:c r="D30091" s="121" t="n"/>
      <s:c r="E30091" s="122" t="n"/>
    </s:row>
    <s:row r="30092" hidden="1" ht="1" customHeight="1">
      <s:c r="A30092" s="120" t="inlineStr"/>
      <s:c r="B30092" s="121" t="n"/>
      <s:c r="C30092" s="121" t="n"/>
      <s:c r="D30092" s="121" t="n"/>
      <s:c r="E30092" s="122" t="n"/>
    </s:row>
    <s:row r="30093" hidden="1" ht="1" customHeight="1">
      <s:c r="A30093" s="120" t="inlineStr"/>
      <s:c r="B30093" s="121" t="n"/>
      <s:c r="C30093" s="121" t="n"/>
      <s:c r="D30093" s="121" t="n"/>
      <s:c r="E30093" s="122" t="n"/>
    </s:row>
    <s:row r="30094" hidden="1" ht="1" customHeight="1">
      <s:c r="A30094" s="120" t="inlineStr"/>
      <s:c r="B30094" s="121" t="n"/>
      <s:c r="C30094" s="121" t="n"/>
      <s:c r="D30094" s="121" t="n"/>
      <s:c r="E30094" s="122" t="n"/>
    </s:row>
    <s:row r="30095" hidden="1" ht="1" customHeight="1">
      <s:c r="A30095" s="120" t="inlineStr"/>
      <s:c r="B30095" s="121" t="n"/>
      <s:c r="C30095" s="121" t="n"/>
      <s:c r="D30095" s="121" t="n"/>
      <s:c r="E30095" s="122" t="n"/>
    </s:row>
    <s:row r="30096" hidden="1" ht="1" customHeight="1">
      <s:c r="A30096" s="120" t="inlineStr"/>
      <s:c r="B30096" s="121" t="n"/>
      <s:c r="C30096" s="121" t="n"/>
      <s:c r="D30096" s="121" t="n"/>
      <s:c r="E30096" s="122" t="n"/>
    </s:row>
    <s:row r="30097" hidden="1" ht="1" customHeight="1">
      <s:c r="A30097" s="120" t="inlineStr"/>
      <s:c r="B30097" s="121" t="n"/>
      <s:c r="C30097" s="121" t="n"/>
      <s:c r="D30097" s="121" t="n"/>
      <s:c r="E30097" s="122" t="n"/>
    </s:row>
    <s:row r="30098" hidden="1" ht="1" customHeight="1">
      <s:c r="A30098" s="120" t="inlineStr"/>
      <s:c r="B30098" s="121" t="n"/>
      <s:c r="C30098" s="121" t="n"/>
      <s:c r="D30098" s="121" t="n"/>
      <s:c r="E30098" s="122" t="n"/>
    </s:row>
    <s:row r="30099" hidden="1" ht="1" customHeight="1">
      <s:c r="A30099" s="120" t="inlineStr"/>
      <s:c r="B30099" s="121" t="n"/>
      <s:c r="C30099" s="121" t="n"/>
      <s:c r="D30099" s="121" t="n"/>
      <s:c r="E30099" s="122" t="n"/>
    </s:row>
    <s:row r="30100" hidden="1" ht="1" customHeight="1">
      <s:c r="A30100" s="120" t="inlineStr"/>
      <s:c r="B30100" s="121" t="n"/>
      <s:c r="C30100" s="121" t="n"/>
      <s:c r="D30100" s="121" t="n"/>
      <s:c r="E30100" s="122" t="n"/>
    </s:row>
    <s:row r="30101" hidden="1" ht="1" customHeight="1">
      <s:c r="A30101" s="120" t="inlineStr"/>
      <s:c r="B30101" s="121" t="n"/>
      <s:c r="C30101" s="121" t="n"/>
      <s:c r="D30101" s="121" t="n"/>
      <s:c r="E30101" s="122" t="n"/>
    </s:row>
    <s:row r="30102" hidden="1" ht="1" customHeight="1">
      <s:c r="A30102" s="120" t="inlineStr"/>
      <s:c r="B30102" s="121" t="n"/>
      <s:c r="C30102" s="121" t="n"/>
      <s:c r="D30102" s="121" t="n"/>
      <s:c r="E30102" s="122" t="n"/>
    </s:row>
    <s:row r="30103" hidden="1" ht="1" customHeight="1">
      <s:c r="A30103" s="120" t="inlineStr"/>
      <s:c r="B30103" s="121" t="n"/>
      <s:c r="C30103" s="121" t="n"/>
      <s:c r="D30103" s="121" t="n"/>
      <s:c r="E30103" s="122" t="n"/>
    </s:row>
    <s:row r="30104" hidden="1" ht="1" customHeight="1">
      <s:c r="A30104" s="120" t="inlineStr"/>
      <s:c r="B30104" s="121" t="n"/>
      <s:c r="C30104" s="121" t="n"/>
      <s:c r="D30104" s="121" t="n"/>
      <s:c r="E30104" s="122" t="n"/>
    </s:row>
    <s:row r="30105" hidden="1" ht="1" customHeight="1">
      <s:c r="A30105" s="120" t="inlineStr"/>
      <s:c r="B30105" s="121" t="n"/>
      <s:c r="C30105" s="121" t="n"/>
      <s:c r="D30105" s="121" t="n"/>
      <s:c r="E30105" s="122" t="n"/>
    </s:row>
    <s:row r="30106" hidden="1" ht="1" customHeight="1">
      <s:c r="A30106" s="120" t="inlineStr"/>
      <s:c r="B30106" s="121" t="n"/>
      <s:c r="C30106" s="121" t="n"/>
      <s:c r="D30106" s="121" t="n"/>
      <s:c r="E30106" s="122" t="n"/>
    </s:row>
    <s:row r="30107" hidden="1" ht="1" customHeight="1">
      <s:c r="A30107" s="120" t="inlineStr"/>
      <s:c r="B30107" s="121" t="n"/>
      <s:c r="C30107" s="121" t="n"/>
      <s:c r="D30107" s="121" t="n"/>
      <s:c r="E30107" s="122" t="n"/>
    </s:row>
    <s:row r="30108" hidden="1" ht="1" customHeight="1">
      <s:c r="A30108" s="120" t="inlineStr"/>
      <s:c r="B30108" s="121" t="n"/>
      <s:c r="C30108" s="121" t="n"/>
      <s:c r="D30108" s="121" t="n"/>
      <s:c r="E30108" s="122" t="n"/>
    </s:row>
    <s:row r="30109" hidden="1" ht="1" customHeight="1">
      <s:c r="A30109" s="120" t="inlineStr"/>
      <s:c r="B30109" s="121" t="n"/>
      <s:c r="C30109" s="121" t="n"/>
      <s:c r="D30109" s="121" t="n"/>
      <s:c r="E30109" s="122" t="n"/>
    </s:row>
    <s:row r="30110" hidden="1" ht="1" customHeight="1">
      <s:c r="A30110" s="120" t="inlineStr"/>
      <s:c r="B30110" s="121" t="n"/>
      <s:c r="C30110" s="121" t="n"/>
      <s:c r="D30110" s="121" t="n"/>
      <s:c r="E30110" s="122" t="n"/>
    </s:row>
    <s:row r="30111" hidden="1" ht="1" customHeight="1">
      <s:c r="A30111" s="120" t="inlineStr"/>
      <s:c r="B30111" s="121" t="n"/>
      <s:c r="C30111" s="121" t="n"/>
      <s:c r="D30111" s="121" t="n"/>
      <s:c r="E30111" s="122" t="n"/>
    </s:row>
    <s:row r="30112" hidden="1" ht="1" customHeight="1">
      <s:c r="A30112" s="120" t="inlineStr"/>
      <s:c r="B30112" s="121" t="n"/>
      <s:c r="C30112" s="121" t="n"/>
      <s:c r="D30112" s="121" t="n"/>
      <s:c r="E30112" s="122" t="n"/>
    </s:row>
    <s:row r="30113" hidden="1" ht="1" customHeight="1">
      <s:c r="A30113" s="120" t="inlineStr"/>
      <s:c r="B30113" s="121" t="n"/>
      <s:c r="C30113" s="121" t="n"/>
      <s:c r="D30113" s="121" t="n"/>
      <s:c r="E30113" s="122" t="n"/>
    </s:row>
    <s:row r="30114" hidden="1" ht="1" customHeight="1">
      <s:c r="A30114" s="120" t="inlineStr"/>
      <s:c r="B30114" s="121" t="n"/>
      <s:c r="C30114" s="121" t="n"/>
      <s:c r="D30114" s="121" t="n"/>
      <s:c r="E30114" s="122" t="n"/>
    </s:row>
    <s:row r="30115" hidden="1" ht="1" customHeight="1">
      <s:c r="A30115" s="120" t="inlineStr"/>
      <s:c r="B30115" s="121" t="n"/>
      <s:c r="C30115" s="121" t="n"/>
      <s:c r="D30115" s="121" t="n"/>
      <s:c r="E30115" s="122" t="n"/>
    </s:row>
    <s:row r="30116" hidden="1" ht="1" customHeight="1">
      <s:c r="A30116" s="120" t="inlineStr"/>
      <s:c r="B30116" s="121" t="n"/>
      <s:c r="C30116" s="121" t="n"/>
      <s:c r="D30116" s="121" t="n"/>
      <s:c r="E30116" s="122" t="n"/>
    </s:row>
    <s:row r="30117" hidden="1" ht="1" customHeight="1">
      <s:c r="A30117" s="120" t="inlineStr"/>
      <s:c r="B30117" s="121" t="n"/>
      <s:c r="C30117" s="121" t="n"/>
      <s:c r="D30117" s="121" t="n"/>
      <s:c r="E30117" s="122" t="n"/>
    </s:row>
    <s:row r="30118" hidden="1" ht="1" customHeight="1">
      <s:c r="A30118" s="120" t="inlineStr"/>
      <s:c r="B30118" s="121" t="n"/>
      <s:c r="C30118" s="121" t="n"/>
      <s:c r="D30118" s="121" t="n"/>
      <s:c r="E30118" s="122" t="n"/>
    </s:row>
    <s:row r="30119" hidden="1" ht="1" customHeight="1">
      <s:c r="A30119" s="120" t="inlineStr"/>
      <s:c r="B30119" s="121" t="n"/>
      <s:c r="C30119" s="121" t="n"/>
      <s:c r="D30119" s="121" t="n"/>
      <s:c r="E30119" s="122" t="n"/>
    </s:row>
    <s:row r="30120" hidden="1" ht="1" customHeight="1">
      <s:c r="A30120" s="120" t="inlineStr"/>
      <s:c r="B30120" s="121" t="n"/>
      <s:c r="C30120" s="121" t="n"/>
      <s:c r="D30120" s="121" t="n"/>
      <s:c r="E30120" s="122" t="n"/>
    </s:row>
    <s:row r="30121" hidden="1" ht="1" customHeight="1">
      <s:c r="A30121" s="120" t="inlineStr"/>
      <s:c r="B30121" s="121" t="n"/>
      <s:c r="C30121" s="121" t="n"/>
      <s:c r="D30121" s="121" t="n"/>
      <s:c r="E30121" s="122" t="n"/>
    </s:row>
    <s:row r="30122" hidden="1" ht="1" customHeight="1">
      <s:c r="A30122" s="120" t="inlineStr"/>
      <s:c r="B30122" s="121" t="n"/>
      <s:c r="C30122" s="121" t="n"/>
      <s:c r="D30122" s="121" t="n"/>
      <s:c r="E30122" s="122" t="n"/>
    </s:row>
    <s:row r="30123" hidden="1" ht="1" customHeight="1">
      <s:c r="A30123" s="120" t="inlineStr"/>
      <s:c r="B30123" s="121" t="n"/>
      <s:c r="C30123" s="121" t="n"/>
      <s:c r="D30123" s="121" t="n"/>
      <s:c r="E30123" s="122" t="n"/>
    </s:row>
    <s:row r="30124" hidden="1" ht="1" customHeight="1">
      <s:c r="A30124" s="120" t="inlineStr"/>
      <s:c r="B30124" s="121" t="n"/>
      <s:c r="C30124" s="121" t="n"/>
      <s:c r="D30124" s="121" t="n"/>
      <s:c r="E30124" s="122" t="n"/>
    </s:row>
    <s:row r="30125" hidden="1" ht="1" customHeight="1">
      <s:c r="A30125" s="120" t="inlineStr"/>
      <s:c r="B30125" s="121" t="n"/>
      <s:c r="C30125" s="121" t="n"/>
      <s:c r="D30125" s="121" t="n"/>
      <s:c r="E30125" s="122" t="n"/>
    </s:row>
    <s:row r="30126" hidden="1" ht="1" customHeight="1">
      <s:c r="A30126" s="120" t="inlineStr"/>
      <s:c r="B30126" s="121" t="n"/>
      <s:c r="C30126" s="121" t="n"/>
      <s:c r="D30126" s="121" t="n"/>
      <s:c r="E30126" s="122" t="n"/>
    </s:row>
    <s:row r="30127" hidden="1" ht="1" customHeight="1">
      <s:c r="A30127" s="120" t="inlineStr"/>
      <s:c r="B30127" s="121" t="n"/>
      <s:c r="C30127" s="121" t="n"/>
      <s:c r="D30127" s="121" t="n"/>
      <s:c r="E30127" s="122" t="n"/>
    </s:row>
    <s:row r="30128" hidden="1" ht="1" customHeight="1">
      <s:c r="A30128" s="120" t="inlineStr"/>
      <s:c r="B30128" s="121" t="n"/>
      <s:c r="C30128" s="121" t="n"/>
      <s:c r="D30128" s="121" t="n"/>
      <s:c r="E30128" s="122" t="n"/>
    </s:row>
    <s:row r="30129" hidden="1" ht="1" customHeight="1">
      <s:c r="A30129" s="120" t="inlineStr"/>
      <s:c r="B30129" s="121" t="n"/>
      <s:c r="C30129" s="121" t="n"/>
      <s:c r="D30129" s="121" t="n"/>
      <s:c r="E30129" s="122" t="n"/>
    </s:row>
    <s:row r="30130" hidden="1" ht="1" customHeight="1">
      <s:c r="A30130" s="120" t="inlineStr"/>
      <s:c r="B30130" s="121" t="n"/>
      <s:c r="C30130" s="121" t="n"/>
      <s:c r="D30130" s="121" t="n"/>
      <s:c r="E30130" s="122" t="n"/>
    </s:row>
    <s:row r="30131" hidden="1" ht="1" customHeight="1">
      <s:c r="A30131" s="120" t="inlineStr"/>
      <s:c r="B30131" s="121" t="n"/>
      <s:c r="C30131" s="121" t="n"/>
      <s:c r="D30131" s="121" t="n"/>
      <s:c r="E30131" s="122" t="n"/>
    </s:row>
    <s:row r="30132" hidden="1" ht="1" customHeight="1">
      <s:c r="A30132" s="120" t="inlineStr"/>
      <s:c r="B30132" s="121" t="n"/>
      <s:c r="C30132" s="121" t="n"/>
      <s:c r="D30132" s="121" t="n"/>
      <s:c r="E30132" s="122" t="n"/>
    </s:row>
    <s:row r="30133" hidden="1" ht="1" customHeight="1">
      <s:c r="A30133" s="120" t="inlineStr"/>
      <s:c r="B30133" s="121" t="n"/>
      <s:c r="C30133" s="121" t="n"/>
      <s:c r="D30133" s="121" t="n"/>
      <s:c r="E30133" s="122" t="n"/>
    </s:row>
    <s:row r="30134" hidden="1" ht="1" customHeight="1">
      <s:c r="A30134" s="120" t="inlineStr"/>
      <s:c r="B30134" s="121" t="n"/>
      <s:c r="C30134" s="121" t="n"/>
      <s:c r="D30134" s="121" t="n"/>
      <s:c r="E30134" s="122" t="n"/>
    </s:row>
    <s:row r="30135" hidden="1" ht="1" customHeight="1">
      <s:c r="A30135" s="120" t="inlineStr"/>
      <s:c r="B30135" s="121" t="n"/>
      <s:c r="C30135" s="121" t="n"/>
      <s:c r="D30135" s="121" t="n"/>
      <s:c r="E30135" s="122" t="n"/>
    </s:row>
    <s:row r="30136" hidden="1" ht="1" customHeight="1">
      <s:c r="A30136" s="120" t="inlineStr"/>
      <s:c r="B30136" s="121" t="n"/>
      <s:c r="C30136" s="121" t="n"/>
      <s:c r="D30136" s="121" t="n"/>
      <s:c r="E30136" s="122" t="n"/>
    </s:row>
    <s:row r="30137" hidden="1" ht="1" customHeight="1">
      <s:c r="A30137" s="120" t="inlineStr"/>
      <s:c r="B30137" s="121" t="n"/>
      <s:c r="C30137" s="121" t="n"/>
      <s:c r="D30137" s="121" t="n"/>
      <s:c r="E30137" s="122" t="n"/>
    </s:row>
    <s:row r="30138" hidden="1" ht="1" customHeight="1">
      <s:c r="A30138" s="120" t="inlineStr"/>
      <s:c r="B30138" s="121" t="n"/>
      <s:c r="C30138" s="121" t="n"/>
      <s:c r="D30138" s="121" t="n"/>
      <s:c r="E30138" s="122" t="n"/>
    </s:row>
    <s:row r="30139" hidden="1" ht="1" customHeight="1">
      <s:c r="A30139" s="120" t="inlineStr"/>
      <s:c r="B30139" s="121" t="n"/>
      <s:c r="C30139" s="121" t="n"/>
      <s:c r="D30139" s="121" t="n"/>
      <s:c r="E30139" s="122" t="n"/>
    </s:row>
    <s:row r="30140" hidden="1" ht="1" customHeight="1">
      <s:c r="A30140" s="120" t="inlineStr"/>
      <s:c r="B30140" s="121" t="n"/>
      <s:c r="C30140" s="121" t="n"/>
      <s:c r="D30140" s="121" t="n"/>
      <s:c r="E30140" s="122" t="n"/>
    </s:row>
    <s:row r="30141" hidden="1" ht="1" customHeight="1">
      <s:c r="A30141" s="120" t="inlineStr"/>
      <s:c r="B30141" s="121" t="n"/>
      <s:c r="C30141" s="121" t="n"/>
      <s:c r="D30141" s="121" t="n"/>
      <s:c r="E30141" s="122" t="n"/>
    </s:row>
    <s:row r="30142" hidden="1" ht="1" customHeight="1">
      <s:c r="A30142" s="120" t="inlineStr"/>
      <s:c r="B30142" s="121" t="n"/>
      <s:c r="C30142" s="121" t="n"/>
      <s:c r="D30142" s="121" t="n"/>
      <s:c r="E30142" s="122" t="n"/>
    </s:row>
    <s:row r="30143" hidden="1" ht="1" customHeight="1">
      <s:c r="A30143" s="120" t="inlineStr"/>
      <s:c r="B30143" s="121" t="n"/>
      <s:c r="C30143" s="121" t="n"/>
      <s:c r="D30143" s="121" t="n"/>
      <s:c r="E30143" s="122" t="n"/>
    </s:row>
    <s:row r="30144" hidden="1" ht="1" customHeight="1">
      <s:c r="A30144" s="120" t="inlineStr"/>
      <s:c r="B30144" s="121" t="n"/>
      <s:c r="C30144" s="121" t="n"/>
      <s:c r="D30144" s="121" t="n"/>
      <s:c r="E30144" s="122" t="n"/>
    </s:row>
    <s:row r="30145" hidden="1" ht="1" customHeight="1">
      <s:c r="A30145" s="120" t="inlineStr"/>
      <s:c r="B30145" s="121" t="n"/>
      <s:c r="C30145" s="121" t="n"/>
      <s:c r="D30145" s="121" t="n"/>
      <s:c r="E30145" s="122" t="n"/>
    </s:row>
    <s:row r="30146" hidden="1" ht="1" customHeight="1">
      <s:c r="A30146" s="120" t="inlineStr"/>
      <s:c r="B30146" s="121" t="n"/>
      <s:c r="C30146" s="121" t="n"/>
      <s:c r="D30146" s="121" t="n"/>
      <s:c r="E30146" s="122" t="n"/>
    </s:row>
    <s:row r="30147" hidden="1" ht="1" customHeight="1">
      <s:c r="A30147" s="120" t="inlineStr"/>
      <s:c r="B30147" s="121" t="n"/>
      <s:c r="C30147" s="121" t="n"/>
      <s:c r="D30147" s="121" t="n"/>
      <s:c r="E30147" s="122" t="n"/>
    </s:row>
    <s:row r="30148" hidden="1" ht="1" customHeight="1">
      <s:c r="A30148" s="120" t="inlineStr"/>
      <s:c r="B30148" s="121" t="n"/>
      <s:c r="C30148" s="121" t="n"/>
      <s:c r="D30148" s="121" t="n"/>
      <s:c r="E30148" s="122" t="n"/>
    </s:row>
    <s:row r="30149" hidden="1" ht="1" customHeight="1">
      <s:c r="A30149" s="120" t="inlineStr"/>
      <s:c r="B30149" s="121" t="n"/>
      <s:c r="C30149" s="121" t="n"/>
      <s:c r="D30149" s="121" t="n"/>
      <s:c r="E30149" s="122" t="n"/>
    </s:row>
    <s:row r="30150" hidden="1" ht="1" customHeight="1">
      <s:c r="A30150" s="120" t="inlineStr"/>
      <s:c r="B30150" s="121" t="n"/>
      <s:c r="C30150" s="121" t="n"/>
      <s:c r="D30150" s="121" t="n"/>
      <s:c r="E30150" s="122" t="n"/>
    </s:row>
    <s:row r="30151" hidden="1" ht="1" customHeight="1">
      <s:c r="A30151" s="120" t="inlineStr"/>
      <s:c r="B30151" s="121" t="n"/>
      <s:c r="C30151" s="121" t="n"/>
      <s:c r="D30151" s="121" t="n"/>
      <s:c r="E30151" s="122" t="n"/>
    </s:row>
    <s:row r="30152" hidden="1" ht="1" customHeight="1">
      <s:c r="A30152" s="120" t="inlineStr"/>
      <s:c r="B30152" s="121" t="n"/>
      <s:c r="C30152" s="121" t="n"/>
      <s:c r="D30152" s="121" t="n"/>
      <s:c r="E30152" s="122" t="n"/>
    </s:row>
    <s:row r="30153" hidden="1" ht="1" customHeight="1">
      <s:c r="A30153" s="120" t="inlineStr"/>
      <s:c r="B30153" s="121" t="n"/>
      <s:c r="C30153" s="121" t="n"/>
      <s:c r="D30153" s="121" t="n"/>
      <s:c r="E30153" s="122" t="n"/>
    </s:row>
    <s:row r="30154" hidden="1" ht="1" customHeight="1">
      <s:c r="A30154" s="120" t="inlineStr"/>
      <s:c r="B30154" s="121" t="n"/>
      <s:c r="C30154" s="121" t="n"/>
      <s:c r="D30154" s="121" t="n"/>
      <s:c r="E30154" s="122" t="n"/>
    </s:row>
    <s:row r="30155" hidden="1" ht="1" customHeight="1">
      <s:c r="A30155" s="120" t="inlineStr"/>
      <s:c r="B30155" s="121" t="n"/>
      <s:c r="C30155" s="121" t="n"/>
      <s:c r="D30155" s="121" t="n"/>
      <s:c r="E30155" s="122" t="n"/>
    </s:row>
    <s:row r="30156" hidden="1" ht="1" customHeight="1">
      <s:c r="A30156" s="120" t="inlineStr"/>
      <s:c r="B30156" s="121" t="n"/>
      <s:c r="C30156" s="121" t="n"/>
      <s:c r="D30156" s="121" t="n"/>
      <s:c r="E30156" s="122" t="n"/>
    </s:row>
    <s:row r="30157" hidden="1" ht="1" customHeight="1">
      <s:c r="A30157" s="120" t="inlineStr"/>
      <s:c r="B30157" s="121" t="n"/>
      <s:c r="C30157" s="121" t="n"/>
      <s:c r="D30157" s="121" t="n"/>
      <s:c r="E30157" s="122" t="n"/>
    </s:row>
    <s:row r="30158" hidden="1" ht="1" customHeight="1">
      <s:c r="A30158" s="120" t="inlineStr"/>
      <s:c r="B30158" s="121" t="n"/>
      <s:c r="C30158" s="121" t="n"/>
      <s:c r="D30158" s="121" t="n"/>
      <s:c r="E30158" s="122" t="n"/>
    </s:row>
    <s:row r="30159" hidden="1" ht="1" customHeight="1">
      <s:c r="A30159" s="120" t="inlineStr"/>
      <s:c r="B30159" s="121" t="n"/>
      <s:c r="C30159" s="121" t="n"/>
      <s:c r="D30159" s="121" t="n"/>
      <s:c r="E30159" s="122" t="n"/>
    </s:row>
    <s:row r="30160" hidden="1" ht="1" customHeight="1">
      <s:c r="A30160" s="120" t="inlineStr"/>
      <s:c r="B30160" s="121" t="n"/>
      <s:c r="C30160" s="121" t="n"/>
      <s:c r="D30160" s="121" t="n"/>
      <s:c r="E30160" s="122" t="n"/>
    </s:row>
    <s:row r="30161" hidden="1" ht="1" customHeight="1">
      <s:c r="A30161" s="120" t="inlineStr"/>
      <s:c r="B30161" s="121" t="n"/>
      <s:c r="C30161" s="121" t="n"/>
      <s:c r="D30161" s="121" t="n"/>
      <s:c r="E30161" s="122" t="n"/>
    </s:row>
    <s:row r="30162" hidden="1" ht="1" customHeight="1">
      <s:c r="A30162" s="120" t="inlineStr"/>
      <s:c r="B30162" s="121" t="n"/>
      <s:c r="C30162" s="121" t="n"/>
      <s:c r="D30162" s="121" t="n"/>
      <s:c r="E30162" s="122" t="n"/>
    </s:row>
    <s:row r="30163" hidden="1" ht="1" customHeight="1">
      <s:c r="A30163" s="120" t="inlineStr"/>
      <s:c r="B30163" s="121" t="n"/>
      <s:c r="C30163" s="121" t="n"/>
      <s:c r="D30163" s="121" t="n"/>
      <s:c r="E30163" s="122" t="n"/>
    </s:row>
    <s:row r="30164" hidden="1" ht="1" customHeight="1">
      <s:c r="A30164" s="120" t="inlineStr"/>
      <s:c r="B30164" s="121" t="n"/>
      <s:c r="C30164" s="121" t="n"/>
      <s:c r="D30164" s="121" t="n"/>
      <s:c r="E30164" s="122" t="n"/>
    </s:row>
    <s:row r="30165" hidden="1" ht="1" customHeight="1">
      <s:c r="A30165" s="120" t="inlineStr"/>
      <s:c r="B30165" s="121" t="n"/>
      <s:c r="C30165" s="121" t="n"/>
      <s:c r="D30165" s="121" t="n"/>
      <s:c r="E30165" s="122" t="n"/>
    </s:row>
    <s:row r="30166" hidden="1" ht="1" customHeight="1">
      <s:c r="A30166" s="120" t="inlineStr"/>
      <s:c r="B30166" s="121" t="n"/>
      <s:c r="C30166" s="121" t="n"/>
      <s:c r="D30166" s="121" t="n"/>
      <s:c r="E30166" s="122" t="n"/>
    </s:row>
    <s:row r="30167" hidden="1" ht="1" customHeight="1">
      <s:c r="A30167" s="120" t="inlineStr"/>
      <s:c r="B30167" s="121" t="n"/>
      <s:c r="C30167" s="121" t="n"/>
      <s:c r="D30167" s="121" t="n"/>
      <s:c r="E30167" s="122" t="n"/>
    </s:row>
    <s:row r="30168" hidden="1" ht="1" customHeight="1">
      <s:c r="A30168" s="120" t="inlineStr"/>
      <s:c r="B30168" s="121" t="n"/>
      <s:c r="C30168" s="121" t="n"/>
      <s:c r="D30168" s="121" t="n"/>
      <s:c r="E30168" s="122" t="n"/>
    </s:row>
    <s:row r="30169" hidden="1" ht="1" customHeight="1">
      <s:c r="A30169" s="120" t="inlineStr"/>
      <s:c r="B30169" s="121" t="n"/>
      <s:c r="C30169" s="121" t="n"/>
      <s:c r="D30169" s="121" t="n"/>
      <s:c r="E30169" s="122" t="n"/>
    </s:row>
    <s:row r="30170" hidden="1" ht="1" customHeight="1">
      <s:c r="A30170" s="120" t="inlineStr"/>
      <s:c r="B30170" s="121" t="n"/>
      <s:c r="C30170" s="121" t="n"/>
      <s:c r="D30170" s="121" t="n"/>
      <s:c r="E30170" s="122" t="n"/>
    </s:row>
    <s:row r="30171" hidden="1" ht="1" customHeight="1">
      <s:c r="A30171" s="120" t="inlineStr"/>
      <s:c r="B30171" s="121" t="n"/>
      <s:c r="C30171" s="121" t="n"/>
      <s:c r="D30171" s="121" t="n"/>
      <s:c r="E30171" s="122" t="n"/>
    </s:row>
    <s:row r="30172" hidden="1" ht="1" customHeight="1">
      <s:c r="A30172" s="120" t="inlineStr"/>
      <s:c r="B30172" s="121" t="n"/>
      <s:c r="C30172" s="121" t="n"/>
      <s:c r="D30172" s="121" t="n"/>
      <s:c r="E30172" s="122" t="n"/>
    </s:row>
    <s:row r="30173" hidden="1" ht="1" customHeight="1">
      <s:c r="A30173" s="120" t="inlineStr"/>
      <s:c r="B30173" s="121" t="n"/>
      <s:c r="C30173" s="121" t="n"/>
      <s:c r="D30173" s="121" t="n"/>
      <s:c r="E30173" s="122" t="n"/>
    </s:row>
    <s:row r="30174" hidden="1" ht="1" customHeight="1">
      <s:c r="A30174" s="120" t="inlineStr"/>
      <s:c r="B30174" s="121" t="n"/>
      <s:c r="C30174" s="121" t="n"/>
      <s:c r="D30174" s="121" t="n"/>
      <s:c r="E30174" s="122" t="n"/>
    </s:row>
    <s:row r="30175" hidden="1" ht="1" customHeight="1">
      <s:c r="A30175" s="120" t="inlineStr"/>
      <s:c r="B30175" s="121" t="n"/>
      <s:c r="C30175" s="121" t="n"/>
      <s:c r="D30175" s="121" t="n"/>
      <s:c r="E30175" s="122" t="n"/>
    </s:row>
    <s:row r="30176" hidden="1" ht="1" customHeight="1">
      <s:c r="A30176" s="120" t="inlineStr"/>
      <s:c r="B30176" s="121" t="n"/>
      <s:c r="C30176" s="121" t="n"/>
      <s:c r="D30176" s="121" t="n"/>
      <s:c r="E30176" s="122" t="n"/>
    </s:row>
    <s:row r="30177" hidden="1" ht="1" customHeight="1">
      <s:c r="A30177" s="120" t="inlineStr"/>
      <s:c r="B30177" s="121" t="n"/>
      <s:c r="C30177" s="121" t="n"/>
      <s:c r="D30177" s="121" t="n"/>
      <s:c r="E30177" s="122" t="n"/>
    </s:row>
    <s:row r="30178" hidden="1" ht="1" customHeight="1">
      <s:c r="A30178" s="120" t="inlineStr"/>
      <s:c r="B30178" s="121" t="n"/>
      <s:c r="C30178" s="121" t="n"/>
      <s:c r="D30178" s="121" t="n"/>
      <s:c r="E30178" s="122" t="n"/>
    </s:row>
    <s:row r="30179" hidden="1" ht="1" customHeight="1">
      <s:c r="A30179" s="120" t="inlineStr"/>
      <s:c r="B30179" s="121" t="n"/>
      <s:c r="C30179" s="121" t="n"/>
      <s:c r="D30179" s="121" t="n"/>
      <s:c r="E30179" s="122" t="n"/>
    </s:row>
    <s:row r="30180" hidden="1" ht="1" customHeight="1">
      <s:c r="A30180" s="120" t="inlineStr"/>
      <s:c r="B30180" s="121" t="n"/>
      <s:c r="C30180" s="121" t="n"/>
      <s:c r="D30180" s="121" t="n"/>
      <s:c r="E30180" s="122" t="n"/>
    </s:row>
    <s:row r="30181" hidden="1" ht="1" customHeight="1">
      <s:c r="A30181" s="120" t="inlineStr"/>
      <s:c r="B30181" s="121" t="n"/>
      <s:c r="C30181" s="121" t="n"/>
      <s:c r="D30181" s="121" t="n"/>
      <s:c r="E30181" s="122" t="n"/>
    </s:row>
    <s:row r="30182" hidden="1" ht="1" customHeight="1">
      <s:c r="A30182" s="120" t="inlineStr"/>
      <s:c r="B30182" s="121" t="n"/>
      <s:c r="C30182" s="121" t="n"/>
      <s:c r="D30182" s="121" t="n"/>
      <s:c r="E30182" s="122" t="n"/>
    </s:row>
    <s:row r="30183" hidden="1" ht="1" customHeight="1">
      <s:c r="A30183" s="120" t="inlineStr"/>
      <s:c r="B30183" s="121" t="n"/>
      <s:c r="C30183" s="121" t="n"/>
      <s:c r="D30183" s="121" t="n"/>
      <s:c r="E30183" s="122" t="n"/>
    </s:row>
    <s:row r="30184" hidden="1" ht="1" customHeight="1">
      <s:c r="A30184" s="120" t="inlineStr"/>
      <s:c r="B30184" s="121" t="n"/>
      <s:c r="C30184" s="121" t="n"/>
      <s:c r="D30184" s="121" t="n"/>
      <s:c r="E30184" s="122" t="n"/>
    </s:row>
    <s:row r="30185" hidden="1" ht="1" customHeight="1">
      <s:c r="A30185" s="120" t="inlineStr"/>
      <s:c r="B30185" s="121" t="n"/>
      <s:c r="C30185" s="121" t="n"/>
      <s:c r="D30185" s="121" t="n"/>
      <s:c r="E30185" s="122" t="n"/>
    </s:row>
    <s:row r="30186" hidden="1" ht="1" customHeight="1">
      <s:c r="A30186" s="120" t="inlineStr"/>
      <s:c r="B30186" s="121" t="n"/>
      <s:c r="C30186" s="121" t="n"/>
      <s:c r="D30186" s="121" t="n"/>
      <s:c r="E30186" s="122" t="n"/>
    </s:row>
    <s:row r="30187" hidden="1" ht="1" customHeight="1">
      <s:c r="A30187" s="120" t="inlineStr"/>
      <s:c r="B30187" s="121" t="n"/>
      <s:c r="C30187" s="121" t="n"/>
      <s:c r="D30187" s="121" t="n"/>
      <s:c r="E30187" s="122" t="n"/>
    </s:row>
    <s:row r="30188" hidden="1" ht="1" customHeight="1">
      <s:c r="A30188" s="120" t="inlineStr"/>
      <s:c r="B30188" s="121" t="n"/>
      <s:c r="C30188" s="121" t="n"/>
      <s:c r="D30188" s="121" t="n"/>
      <s:c r="E30188" s="122" t="n"/>
    </s:row>
    <s:row r="30189" hidden="1" ht="1" customHeight="1">
      <s:c r="A30189" s="120" t="inlineStr"/>
      <s:c r="B30189" s="121" t="n"/>
      <s:c r="C30189" s="121" t="n"/>
      <s:c r="D30189" s="121" t="n"/>
      <s:c r="E30189" s="122" t="n"/>
    </s:row>
    <s:row r="30190" hidden="1" ht="1" customHeight="1">
      <s:c r="A30190" s="120" t="inlineStr"/>
      <s:c r="B30190" s="121" t="n"/>
      <s:c r="C30190" s="121" t="n"/>
      <s:c r="D30190" s="121" t="n"/>
      <s:c r="E30190" s="122" t="n"/>
    </s:row>
    <s:row r="30191" hidden="1" ht="1" customHeight="1">
      <s:c r="A30191" s="120" t="inlineStr"/>
      <s:c r="B30191" s="121" t="n"/>
      <s:c r="C30191" s="121" t="n"/>
      <s:c r="D30191" s="121" t="n"/>
      <s:c r="E30191" s="122" t="n"/>
    </s:row>
    <s:row r="30192" hidden="1" ht="1" customHeight="1">
      <s:c r="A30192" s="120" t="inlineStr"/>
      <s:c r="B30192" s="121" t="n"/>
      <s:c r="C30192" s="121" t="n"/>
      <s:c r="D30192" s="121" t="n"/>
      <s:c r="E30192" s="122" t="n"/>
    </s:row>
    <s:row r="30193" hidden="1" ht="1" customHeight="1">
      <s:c r="A30193" s="120" t="inlineStr"/>
      <s:c r="B30193" s="121" t="n"/>
      <s:c r="C30193" s="121" t="n"/>
      <s:c r="D30193" s="121" t="n"/>
      <s:c r="E30193" s="122" t="n"/>
    </s:row>
    <s:row r="30194" hidden="1" ht="1" customHeight="1">
      <s:c r="A30194" s="120" t="inlineStr"/>
      <s:c r="B30194" s="121" t="n"/>
      <s:c r="C30194" s="121" t="n"/>
      <s:c r="D30194" s="121" t="n"/>
      <s:c r="E30194" s="122" t="n"/>
    </s:row>
    <s:row r="30195" hidden="1" ht="1" customHeight="1">
      <s:c r="A30195" s="120" t="inlineStr"/>
      <s:c r="B30195" s="121" t="n"/>
      <s:c r="C30195" s="121" t="n"/>
      <s:c r="D30195" s="121" t="n"/>
      <s:c r="E30195" s="122" t="n"/>
    </s:row>
    <s:row r="30196" hidden="1" ht="1" customHeight="1">
      <s:c r="A30196" s="120" t="inlineStr"/>
      <s:c r="B30196" s="121" t="n"/>
      <s:c r="C30196" s="121" t="n"/>
      <s:c r="D30196" s="121" t="n"/>
      <s:c r="E30196" s="122" t="n"/>
    </s:row>
    <s:row r="30197" hidden="1" ht="1" customHeight="1">
      <s:c r="A30197" s="120" t="inlineStr"/>
      <s:c r="B30197" s="121" t="n"/>
      <s:c r="C30197" s="121" t="n"/>
      <s:c r="D30197" s="121" t="n"/>
      <s:c r="E30197" s="122" t="n"/>
    </s:row>
    <s:row r="30198" hidden="1" ht="1" customHeight="1">
      <s:c r="A30198" s="120" t="inlineStr"/>
      <s:c r="B30198" s="121" t="n"/>
      <s:c r="C30198" s="121" t="n"/>
      <s:c r="D30198" s="121" t="n"/>
      <s:c r="E30198" s="122" t="n"/>
    </s:row>
    <s:row r="30199" hidden="1" ht="1" customHeight="1">
      <s:c r="A30199" s="120" t="inlineStr"/>
      <s:c r="B30199" s="121" t="n"/>
      <s:c r="C30199" s="121" t="n"/>
      <s:c r="D30199" s="121" t="n"/>
      <s:c r="E30199" s="122" t="n"/>
    </s:row>
    <s:row r="30200" hidden="1" ht="1" customHeight="1">
      <s:c r="A30200" s="120" t="inlineStr"/>
      <s:c r="B30200" s="121" t="n"/>
      <s:c r="C30200" s="121" t="n"/>
      <s:c r="D30200" s="121" t="n"/>
      <s:c r="E30200" s="122" t="n"/>
    </s:row>
    <s:row r="30201" hidden="1" ht="1" customHeight="1">
      <s:c r="A30201" s="120" t="inlineStr"/>
      <s:c r="B30201" s="121" t="n"/>
      <s:c r="C30201" s="121" t="n"/>
      <s:c r="D30201" s="121" t="n"/>
      <s:c r="E30201" s="122" t="n"/>
    </s:row>
    <s:row r="30202" hidden="1" ht="1" customHeight="1">
      <s:c r="A30202" s="120" t="inlineStr"/>
      <s:c r="B30202" s="121" t="n"/>
      <s:c r="C30202" s="121" t="n"/>
      <s:c r="D30202" s="121" t="n"/>
      <s:c r="E30202" s="122" t="n"/>
    </s:row>
    <s:row r="30203" hidden="1" ht="1" customHeight="1">
      <s:c r="A30203" s="120" t="inlineStr"/>
      <s:c r="B30203" s="121" t="n"/>
      <s:c r="C30203" s="121" t="n"/>
      <s:c r="D30203" s="121" t="n"/>
      <s:c r="E30203" s="122" t="n"/>
    </s:row>
    <s:row r="30204" hidden="1" ht="1" customHeight="1">
      <s:c r="A30204" s="120" t="inlineStr"/>
      <s:c r="B30204" s="121" t="n"/>
      <s:c r="C30204" s="121" t="n"/>
      <s:c r="D30204" s="121" t="n"/>
      <s:c r="E30204" s="122" t="n"/>
    </s:row>
    <s:row r="30205" hidden="1" ht="1" customHeight="1">
      <s:c r="A30205" s="120" t="inlineStr"/>
      <s:c r="B30205" s="121" t="n"/>
      <s:c r="C30205" s="121" t="n"/>
      <s:c r="D30205" s="121" t="n"/>
      <s:c r="E30205" s="122" t="n"/>
    </s:row>
    <s:row r="30206" hidden="1" ht="1" customHeight="1">
      <s:c r="A30206" s="120" t="inlineStr"/>
      <s:c r="B30206" s="121" t="n"/>
      <s:c r="C30206" s="121" t="n"/>
      <s:c r="D30206" s="121" t="n"/>
      <s:c r="E30206" s="122" t="n"/>
    </s:row>
    <s:row r="30207" hidden="1" ht="1" customHeight="1">
      <s:c r="A30207" s="120" t="inlineStr"/>
      <s:c r="B30207" s="121" t="n"/>
      <s:c r="C30207" s="121" t="n"/>
      <s:c r="D30207" s="121" t="n"/>
      <s:c r="E30207" s="122" t="n"/>
    </s:row>
    <s:row r="30208" hidden="1" ht="1" customHeight="1">
      <s:c r="A30208" s="120" t="inlineStr"/>
      <s:c r="B30208" s="121" t="n"/>
      <s:c r="C30208" s="121" t="n"/>
      <s:c r="D30208" s="121" t="n"/>
      <s:c r="E30208" s="122" t="n"/>
    </s:row>
    <s:row r="30209" hidden="1" ht="1" customHeight="1">
      <s:c r="A30209" s="120" t="inlineStr"/>
      <s:c r="B30209" s="121" t="n"/>
      <s:c r="C30209" s="121" t="n"/>
      <s:c r="D30209" s="121" t="n"/>
      <s:c r="E30209" s="122" t="n"/>
    </s:row>
    <s:row r="30210" hidden="1" ht="1" customHeight="1">
      <s:c r="A30210" s="120" t="inlineStr"/>
      <s:c r="B30210" s="121" t="n"/>
      <s:c r="C30210" s="121" t="n"/>
      <s:c r="D30210" s="121" t="n"/>
      <s:c r="E30210" s="122" t="n"/>
    </s:row>
    <s:row r="30211" hidden="1" ht="1" customHeight="1">
      <s:c r="A30211" s="120" t="inlineStr"/>
      <s:c r="B30211" s="121" t="n"/>
      <s:c r="C30211" s="121" t="n"/>
      <s:c r="D30211" s="121" t="n"/>
      <s:c r="E30211" s="122" t="n"/>
    </s:row>
    <s:row r="30212" hidden="1" ht="1" customHeight="1">
      <s:c r="A30212" s="120" t="inlineStr"/>
      <s:c r="B30212" s="121" t="n"/>
      <s:c r="C30212" s="121" t="n"/>
      <s:c r="D30212" s="121" t="n"/>
      <s:c r="E30212" s="122" t="n"/>
    </s:row>
    <s:row r="30213" hidden="1" ht="1" customHeight="1">
      <s:c r="A30213" s="120" t="inlineStr"/>
      <s:c r="B30213" s="121" t="n"/>
      <s:c r="C30213" s="121" t="n"/>
      <s:c r="D30213" s="121" t="n"/>
      <s:c r="E30213" s="122" t="n"/>
    </s:row>
    <s:row r="30214" hidden="1" ht="1" customHeight="1">
      <s:c r="A30214" s="120" t="inlineStr"/>
      <s:c r="B30214" s="121" t="n"/>
      <s:c r="C30214" s="121" t="n"/>
      <s:c r="D30214" s="121" t="n"/>
      <s:c r="E30214" s="122" t="n"/>
    </s:row>
    <s:row r="30215" hidden="1" ht="1" customHeight="1">
      <s:c r="A30215" s="120" t="inlineStr"/>
      <s:c r="B30215" s="121" t="n"/>
      <s:c r="C30215" s="121" t="n"/>
      <s:c r="D30215" s="121" t="n"/>
      <s:c r="E30215" s="122" t="n"/>
    </s:row>
    <s:row r="30216" hidden="1" ht="1" customHeight="1">
      <s:c r="A30216" s="120" t="inlineStr"/>
      <s:c r="B30216" s="121" t="n"/>
      <s:c r="C30216" s="121" t="n"/>
      <s:c r="D30216" s="121" t="n"/>
      <s:c r="E30216" s="122" t="n"/>
    </s:row>
    <s:row r="30217" hidden="1" ht="1" customHeight="1">
      <s:c r="A30217" s="120" t="inlineStr"/>
      <s:c r="B30217" s="121" t="n"/>
      <s:c r="C30217" s="121" t="n"/>
      <s:c r="D30217" s="121" t="n"/>
      <s:c r="E30217" s="122" t="n"/>
    </s:row>
    <s:row r="30218" hidden="1" ht="1" customHeight="1">
      <s:c r="A30218" s="120" t="inlineStr"/>
      <s:c r="B30218" s="121" t="n"/>
      <s:c r="C30218" s="121" t="n"/>
      <s:c r="D30218" s="121" t="n"/>
      <s:c r="E30218" s="122" t="n"/>
    </s:row>
    <s:row r="30219" hidden="1" ht="1" customHeight="1">
      <s:c r="A30219" s="120" t="inlineStr"/>
      <s:c r="B30219" s="121" t="n"/>
      <s:c r="C30219" s="121" t="n"/>
      <s:c r="D30219" s="121" t="n"/>
      <s:c r="E30219" s="122" t="n"/>
    </s:row>
    <s:row r="30220" hidden="1" ht="1" customHeight="1">
      <s:c r="A30220" s="120" t="inlineStr"/>
      <s:c r="B30220" s="121" t="n"/>
      <s:c r="C30220" s="121" t="n"/>
      <s:c r="D30220" s="121" t="n"/>
      <s:c r="E30220" s="122" t="n"/>
    </s:row>
    <s:row r="30221" hidden="1" ht="1" customHeight="1">
      <s:c r="A30221" s="120" t="inlineStr"/>
      <s:c r="B30221" s="121" t="n"/>
      <s:c r="C30221" s="121" t="n"/>
      <s:c r="D30221" s="121" t="n"/>
      <s:c r="E30221" s="122" t="n"/>
    </s:row>
    <s:row r="30222" hidden="1" ht="1" customHeight="1">
      <s:c r="A30222" s="120" t="inlineStr"/>
      <s:c r="B30222" s="121" t="n"/>
      <s:c r="C30222" s="121" t="n"/>
      <s:c r="D30222" s="121" t="n"/>
      <s:c r="E30222" s="122" t="n"/>
    </s:row>
    <s:row r="30223" hidden="1" ht="1" customHeight="1">
      <s:c r="A30223" s="120" t="inlineStr"/>
      <s:c r="B30223" s="121" t="n"/>
      <s:c r="C30223" s="121" t="n"/>
      <s:c r="D30223" s="121" t="n"/>
      <s:c r="E30223" s="122" t="n"/>
    </s:row>
    <s:row r="30224" hidden="1" ht="1" customHeight="1">
      <s:c r="A30224" s="120" t="inlineStr"/>
      <s:c r="B30224" s="121" t="n"/>
      <s:c r="C30224" s="121" t="n"/>
      <s:c r="D30224" s="121" t="n"/>
      <s:c r="E30224" s="122" t="n"/>
    </s:row>
    <s:row r="30225" hidden="1" ht="1" customHeight="1">
      <s:c r="A30225" s="120" t="inlineStr"/>
      <s:c r="B30225" s="121" t="n"/>
      <s:c r="C30225" s="121" t="n"/>
      <s:c r="D30225" s="121" t="n"/>
      <s:c r="E30225" s="122" t="n"/>
    </s:row>
    <s:row r="30226" hidden="1" ht="1" customHeight="1">
      <s:c r="A30226" s="120" t="inlineStr"/>
      <s:c r="B30226" s="121" t="n"/>
      <s:c r="C30226" s="121" t="n"/>
      <s:c r="D30226" s="121" t="n"/>
      <s:c r="E30226" s="122" t="n"/>
    </s:row>
    <s:row r="30227" hidden="1" ht="1" customHeight="1">
      <s:c r="A30227" s="120" t="inlineStr"/>
      <s:c r="B30227" s="121" t="n"/>
      <s:c r="C30227" s="121" t="n"/>
      <s:c r="D30227" s="121" t="n"/>
      <s:c r="E30227" s="122" t="n"/>
    </s:row>
    <s:row r="30228" hidden="1" ht="1" customHeight="1">
      <s:c r="A30228" s="120" t="inlineStr"/>
      <s:c r="B30228" s="121" t="n"/>
      <s:c r="C30228" s="121" t="n"/>
      <s:c r="D30228" s="121" t="n"/>
      <s:c r="E30228" s="122" t="n"/>
    </s:row>
    <s:row r="30229" hidden="1" ht="1" customHeight="1">
      <s:c r="A30229" s="120" t="inlineStr"/>
      <s:c r="B30229" s="121" t="n"/>
      <s:c r="C30229" s="121" t="n"/>
      <s:c r="D30229" s="121" t="n"/>
      <s:c r="E30229" s="122" t="n"/>
    </s:row>
    <s:row r="30230" hidden="1" ht="1" customHeight="1">
      <s:c r="A30230" s="120" t="inlineStr"/>
      <s:c r="B30230" s="121" t="n"/>
      <s:c r="C30230" s="121" t="n"/>
      <s:c r="D30230" s="121" t="n"/>
      <s:c r="E30230" s="122" t="n"/>
    </s:row>
    <s:row r="30231" hidden="1" ht="1" customHeight="1">
      <s:c r="A30231" s="120" t="inlineStr"/>
      <s:c r="B30231" s="121" t="n"/>
      <s:c r="C30231" s="121" t="n"/>
      <s:c r="D30231" s="121" t="n"/>
      <s:c r="E30231" s="122" t="n"/>
    </s:row>
    <s:row r="30232" hidden="1" ht="1" customHeight="1">
      <s:c r="A30232" s="120" t="inlineStr"/>
      <s:c r="B30232" s="121" t="n"/>
      <s:c r="C30232" s="121" t="n"/>
      <s:c r="D30232" s="121" t="n"/>
      <s:c r="E30232" s="122" t="n"/>
    </s:row>
    <s:row r="30233" hidden="1" ht="1" customHeight="1">
      <s:c r="A30233" s="120" t="inlineStr"/>
      <s:c r="B30233" s="121" t="n"/>
      <s:c r="C30233" s="121" t="n"/>
      <s:c r="D30233" s="121" t="n"/>
      <s:c r="E30233" s="122" t="n"/>
    </s:row>
    <s:row r="30234" hidden="1" ht="1" customHeight="1">
      <s:c r="A30234" s="120" t="inlineStr"/>
      <s:c r="B30234" s="121" t="n"/>
      <s:c r="C30234" s="121" t="n"/>
      <s:c r="D30234" s="121" t="n"/>
      <s:c r="E30234" s="122" t="n"/>
    </s:row>
    <s:row r="30235" hidden="1" ht="1" customHeight="1">
      <s:c r="A30235" s="120" t="inlineStr"/>
      <s:c r="B30235" s="121" t="n"/>
      <s:c r="C30235" s="121" t="n"/>
      <s:c r="D30235" s="121" t="n"/>
      <s:c r="E30235" s="122" t="n"/>
    </s:row>
    <s:row r="30236" hidden="1" ht="1" customHeight="1">
      <s:c r="A30236" s="120" t="inlineStr"/>
      <s:c r="B30236" s="121" t="n"/>
      <s:c r="C30236" s="121" t="n"/>
      <s:c r="D30236" s="121" t="n"/>
      <s:c r="E30236" s="122" t="n"/>
    </s:row>
    <s:row r="30237" hidden="1" ht="1" customHeight="1">
      <s:c r="A30237" s="120" t="inlineStr"/>
      <s:c r="B30237" s="121" t="n"/>
      <s:c r="C30237" s="121" t="n"/>
      <s:c r="D30237" s="121" t="n"/>
      <s:c r="E30237" s="122" t="n"/>
    </s:row>
    <s:row r="30238" hidden="1" ht="1" customHeight="1">
      <s:c r="A30238" s="120" t="inlineStr"/>
      <s:c r="B30238" s="121" t="n"/>
      <s:c r="C30238" s="121" t="n"/>
      <s:c r="D30238" s="121" t="n"/>
      <s:c r="E30238" s="122" t="n"/>
    </s:row>
    <s:row r="30239" hidden="1" ht="1" customHeight="1">
      <s:c r="A30239" s="120" t="inlineStr"/>
      <s:c r="B30239" s="121" t="n"/>
      <s:c r="C30239" s="121" t="n"/>
      <s:c r="D30239" s="121" t="n"/>
      <s:c r="E30239" s="122" t="n"/>
    </s:row>
    <s:row r="30240" hidden="1" ht="1" customHeight="1">
      <s:c r="A30240" s="120" t="inlineStr"/>
      <s:c r="B30240" s="121" t="n"/>
      <s:c r="C30240" s="121" t="n"/>
      <s:c r="D30240" s="121" t="n"/>
      <s:c r="E30240" s="122" t="n"/>
    </s:row>
    <s:row r="30241" hidden="1" ht="1" customHeight="1">
      <s:c r="A30241" s="120" t="inlineStr"/>
      <s:c r="B30241" s="121" t="n"/>
      <s:c r="C30241" s="121" t="n"/>
      <s:c r="D30241" s="121" t="n"/>
      <s:c r="E30241" s="122" t="n"/>
    </s:row>
    <s:row r="30242" hidden="1" ht="1" customHeight="1">
      <s:c r="A30242" s="120" t="inlineStr"/>
      <s:c r="B30242" s="121" t="n"/>
      <s:c r="C30242" s="121" t="n"/>
      <s:c r="D30242" s="121" t="n"/>
      <s:c r="E30242" s="122" t="n"/>
    </s:row>
    <s:row r="30243" hidden="1" ht="1" customHeight="1">
      <s:c r="A30243" s="120" t="inlineStr"/>
      <s:c r="B30243" s="121" t="n"/>
      <s:c r="C30243" s="121" t="n"/>
      <s:c r="D30243" s="121" t="n"/>
      <s:c r="E30243" s="122" t="n"/>
    </s:row>
    <s:row r="30244" hidden="1" ht="1" customHeight="1">
      <s:c r="A30244" s="120" t="inlineStr"/>
      <s:c r="B30244" s="121" t="n"/>
      <s:c r="C30244" s="121" t="n"/>
      <s:c r="D30244" s="121" t="n"/>
      <s:c r="E30244" s="122" t="n"/>
    </s:row>
    <s:row r="30245" hidden="1" ht="1" customHeight="1">
      <s:c r="A30245" s="120" t="inlineStr"/>
      <s:c r="B30245" s="121" t="n"/>
      <s:c r="C30245" s="121" t="n"/>
      <s:c r="D30245" s="121" t="n"/>
      <s:c r="E30245" s="122" t="n"/>
    </s:row>
    <s:row r="30246" hidden="1" ht="1" customHeight="1">
      <s:c r="A30246" s="120" t="inlineStr"/>
      <s:c r="B30246" s="121" t="n"/>
      <s:c r="C30246" s="121" t="n"/>
      <s:c r="D30246" s="121" t="n"/>
      <s:c r="E30246" s="122" t="n"/>
    </s:row>
    <s:row r="30247" hidden="1" ht="1" customHeight="1">
      <s:c r="A30247" s="120" t="inlineStr"/>
      <s:c r="B30247" s="121" t="n"/>
      <s:c r="C30247" s="121" t="n"/>
      <s:c r="D30247" s="121" t="n"/>
      <s:c r="E30247" s="122" t="n"/>
    </s:row>
    <s:row r="30248" hidden="1" ht="1" customHeight="1">
      <s:c r="A30248" s="120" t="inlineStr"/>
      <s:c r="B30248" s="121" t="n"/>
      <s:c r="C30248" s="121" t="n"/>
      <s:c r="D30248" s="121" t="n"/>
      <s:c r="E30248" s="122" t="n"/>
    </s:row>
    <s:row r="30249" hidden="1" ht="1" customHeight="1">
      <s:c r="A30249" s="120" t="inlineStr"/>
      <s:c r="B30249" s="121" t="n"/>
      <s:c r="C30249" s="121" t="n"/>
      <s:c r="D30249" s="121" t="n"/>
      <s:c r="E30249" s="122" t="n"/>
    </s:row>
    <s:row r="30250" hidden="1" ht="1" customHeight="1">
      <s:c r="A30250" s="120" t="inlineStr"/>
      <s:c r="B30250" s="121" t="n"/>
      <s:c r="C30250" s="121" t="n"/>
      <s:c r="D30250" s="121" t="n"/>
      <s:c r="E30250" s="122" t="n"/>
    </s:row>
    <s:row r="30251" hidden="1" ht="1" customHeight="1">
      <s:c r="A30251" s="120" t="inlineStr"/>
      <s:c r="B30251" s="121" t="n"/>
      <s:c r="C30251" s="121" t="n"/>
      <s:c r="D30251" s="121" t="n"/>
      <s:c r="E30251" s="122" t="n"/>
    </s:row>
    <s:row r="30252" hidden="1" ht="1" customHeight="1">
      <s:c r="A30252" s="120" t="inlineStr"/>
      <s:c r="B30252" s="121" t="n"/>
      <s:c r="C30252" s="121" t="n"/>
      <s:c r="D30252" s="121" t="n"/>
      <s:c r="E30252" s="122" t="n"/>
    </s:row>
    <s:row r="30253" hidden="1" ht="1" customHeight="1">
      <s:c r="A30253" s="120" t="inlineStr"/>
      <s:c r="B30253" s="121" t="n"/>
      <s:c r="C30253" s="121" t="n"/>
      <s:c r="D30253" s="121" t="n"/>
      <s:c r="E30253" s="122" t="n"/>
    </s:row>
    <s:row r="30254" hidden="1" ht="1" customHeight="1">
      <s:c r="A30254" s="120" t="inlineStr"/>
      <s:c r="B30254" s="121" t="n"/>
      <s:c r="C30254" s="121" t="n"/>
      <s:c r="D30254" s="121" t="n"/>
      <s:c r="E30254" s="122" t="n"/>
    </s:row>
    <s:row r="30255" hidden="1" ht="1" customHeight="1">
      <s:c r="A30255" s="120" t="inlineStr"/>
      <s:c r="B30255" s="121" t="n"/>
      <s:c r="C30255" s="121" t="n"/>
      <s:c r="D30255" s="121" t="n"/>
      <s:c r="E30255" s="122" t="n"/>
    </s:row>
    <s:row r="30256" hidden="1" ht="1" customHeight="1">
      <s:c r="A30256" s="120" t="inlineStr"/>
      <s:c r="B30256" s="121" t="n"/>
      <s:c r="C30256" s="121" t="n"/>
      <s:c r="D30256" s="121" t="n"/>
      <s:c r="E30256" s="122" t="n"/>
    </s:row>
    <s:row r="30257" hidden="1" ht="1" customHeight="1">
      <s:c r="A30257" s="120" t="inlineStr"/>
      <s:c r="B30257" s="121" t="n"/>
      <s:c r="C30257" s="121" t="n"/>
      <s:c r="D30257" s="121" t="n"/>
      <s:c r="E30257" s="122" t="n"/>
    </s:row>
    <s:row r="30258" hidden="1" ht="1" customHeight="1">
      <s:c r="A30258" s="120" t="inlineStr"/>
      <s:c r="B30258" s="121" t="n"/>
      <s:c r="C30258" s="121" t="n"/>
      <s:c r="D30258" s="121" t="n"/>
      <s:c r="E30258" s="122" t="n"/>
    </s:row>
    <s:row r="30259" hidden="1" ht="1" customHeight="1">
      <s:c r="A30259" s="120" t="inlineStr"/>
      <s:c r="B30259" s="121" t="n"/>
      <s:c r="C30259" s="121" t="n"/>
      <s:c r="D30259" s="121" t="n"/>
      <s:c r="E30259" s="122" t="n"/>
    </s:row>
    <s:row r="30260" hidden="1" ht="1" customHeight="1">
      <s:c r="A30260" s="120" t="inlineStr"/>
      <s:c r="B30260" s="121" t="n"/>
      <s:c r="C30260" s="121" t="n"/>
      <s:c r="D30260" s="121" t="n"/>
      <s:c r="E30260" s="122" t="n"/>
    </s:row>
    <s:row r="30261" hidden="1" ht="1" customHeight="1">
      <s:c r="A30261" s="120" t="inlineStr"/>
      <s:c r="B30261" s="121" t="n"/>
      <s:c r="C30261" s="121" t="n"/>
      <s:c r="D30261" s="121" t="n"/>
      <s:c r="E30261" s="122" t="n"/>
    </s:row>
    <s:row r="30262" hidden="1" ht="1" customHeight="1">
      <s:c r="A30262" s="120" t="inlineStr"/>
      <s:c r="B30262" s="121" t="n"/>
      <s:c r="C30262" s="121" t="n"/>
      <s:c r="D30262" s="121" t="n"/>
      <s:c r="E30262" s="122" t="n"/>
    </s:row>
    <s:row r="30263" hidden="1" ht="1" customHeight="1">
      <s:c r="A30263" s="120" t="inlineStr"/>
      <s:c r="B30263" s="121" t="n"/>
      <s:c r="C30263" s="121" t="n"/>
      <s:c r="D30263" s="121" t="n"/>
      <s:c r="E30263" s="122" t="n"/>
    </s:row>
    <s:row r="30264" hidden="1" ht="1" customHeight="1">
      <s:c r="A30264" s="120" t="inlineStr"/>
      <s:c r="B30264" s="121" t="n"/>
      <s:c r="C30264" s="121" t="n"/>
      <s:c r="D30264" s="121" t="n"/>
      <s:c r="E30264" s="122" t="n"/>
    </s:row>
    <s:row r="30265" hidden="1" ht="1" customHeight="1">
      <s:c r="A30265" s="120" t="inlineStr"/>
      <s:c r="B30265" s="121" t="n"/>
      <s:c r="C30265" s="121" t="n"/>
      <s:c r="D30265" s="121" t="n"/>
      <s:c r="E30265" s="122" t="n"/>
    </s:row>
    <s:row r="30266" hidden="1" ht="1" customHeight="1">
      <s:c r="A30266" s="120" t="inlineStr"/>
      <s:c r="B30266" s="121" t="n"/>
      <s:c r="C30266" s="121" t="n"/>
      <s:c r="D30266" s="121" t="n"/>
      <s:c r="E30266" s="122" t="n"/>
    </s:row>
    <s:row r="30267" hidden="1" ht="1" customHeight="1">
      <s:c r="A30267" s="120" t="inlineStr"/>
      <s:c r="B30267" s="121" t="n"/>
      <s:c r="C30267" s="121" t="n"/>
      <s:c r="D30267" s="121" t="n"/>
      <s:c r="E30267" s="122" t="n"/>
    </s:row>
    <s:row r="30268" hidden="1" ht="1" customHeight="1">
      <s:c r="A30268" s="120" t="inlineStr"/>
      <s:c r="B30268" s="121" t="n"/>
      <s:c r="C30268" s="121" t="n"/>
      <s:c r="D30268" s="121" t="n"/>
      <s:c r="E30268" s="122" t="n"/>
    </s:row>
    <s:row r="30269" hidden="1" ht="1" customHeight="1">
      <s:c r="A30269" s="120" t="inlineStr"/>
      <s:c r="B30269" s="121" t="n"/>
      <s:c r="C30269" s="121" t="n"/>
      <s:c r="D30269" s="121" t="n"/>
      <s:c r="E30269" s="122" t="n"/>
    </s:row>
    <s:row r="30270" hidden="1" ht="1" customHeight="1">
      <s:c r="A30270" s="120" t="inlineStr"/>
      <s:c r="B30270" s="121" t="n"/>
      <s:c r="C30270" s="121" t="n"/>
      <s:c r="D30270" s="121" t="n"/>
      <s:c r="E30270" s="122" t="n"/>
    </s:row>
    <s:row r="30271" hidden="1" ht="1" customHeight="1">
      <s:c r="A30271" s="120" t="inlineStr"/>
      <s:c r="B30271" s="121" t="n"/>
      <s:c r="C30271" s="121" t="n"/>
      <s:c r="D30271" s="121" t="n"/>
      <s:c r="E30271" s="122" t="n"/>
    </s:row>
    <s:row r="30272" hidden="1" ht="1" customHeight="1">
      <s:c r="A30272" s="120" t="inlineStr"/>
      <s:c r="B30272" s="121" t="n"/>
      <s:c r="C30272" s="121" t="n"/>
      <s:c r="D30272" s="121" t="n"/>
      <s:c r="E30272" s="122" t="n"/>
    </s:row>
    <s:row r="30273" hidden="1" ht="1" customHeight="1">
      <s:c r="A30273" s="120" t="inlineStr"/>
      <s:c r="B30273" s="121" t="n"/>
      <s:c r="C30273" s="121" t="n"/>
      <s:c r="D30273" s="121" t="n"/>
      <s:c r="E30273" s="122" t="n"/>
    </s:row>
    <s:row r="30274" hidden="1" ht="1" customHeight="1">
      <s:c r="A30274" s="120" t="inlineStr"/>
      <s:c r="B30274" s="121" t="n"/>
      <s:c r="C30274" s="121" t="n"/>
      <s:c r="D30274" s="121" t="n"/>
      <s:c r="E30274" s="122" t="n"/>
    </s:row>
    <s:row r="30275" hidden="1" ht="1" customHeight="1">
      <s:c r="A30275" s="120" t="inlineStr"/>
      <s:c r="B30275" s="121" t="n"/>
      <s:c r="C30275" s="121" t="n"/>
      <s:c r="D30275" s="121" t="n"/>
      <s:c r="E30275" s="122" t="n"/>
    </s:row>
    <s:row r="30276" hidden="1" ht="1" customHeight="1">
      <s:c r="A30276" s="120" t="inlineStr"/>
      <s:c r="B30276" s="121" t="n"/>
      <s:c r="C30276" s="121" t="n"/>
      <s:c r="D30276" s="121" t="n"/>
      <s:c r="E30276" s="122" t="n"/>
    </s:row>
    <s:row r="30277" hidden="1" ht="1" customHeight="1">
      <s:c r="A30277" s="120" t="inlineStr"/>
      <s:c r="B30277" s="121" t="n"/>
      <s:c r="C30277" s="121" t="n"/>
      <s:c r="D30277" s="121" t="n"/>
      <s:c r="E30277" s="122" t="n"/>
    </s:row>
    <s:row r="30278" hidden="1" ht="1" customHeight="1">
      <s:c r="A30278" s="120" t="inlineStr"/>
      <s:c r="B30278" s="121" t="n"/>
      <s:c r="C30278" s="121" t="n"/>
      <s:c r="D30278" s="121" t="n"/>
      <s:c r="E30278" s="122" t="n"/>
    </s:row>
    <s:row r="30279" hidden="1" ht="1" customHeight="1">
      <s:c r="A30279" s="120" t="inlineStr"/>
      <s:c r="B30279" s="121" t="n"/>
      <s:c r="C30279" s="121" t="n"/>
      <s:c r="D30279" s="121" t="n"/>
      <s:c r="E30279" s="122" t="n"/>
    </s:row>
    <s:row r="30280" hidden="1" ht="1" customHeight="1">
      <s:c r="A30280" s="120" t="inlineStr"/>
      <s:c r="B30280" s="121" t="n"/>
      <s:c r="C30280" s="121" t="n"/>
      <s:c r="D30280" s="121" t="n"/>
      <s:c r="E30280" s="122" t="n"/>
    </s:row>
    <s:row r="30281" hidden="1" ht="1" customHeight="1">
      <s:c r="A30281" s="120" t="inlineStr"/>
      <s:c r="B30281" s="121" t="n"/>
      <s:c r="C30281" s="121" t="n"/>
      <s:c r="D30281" s="121" t="n"/>
      <s:c r="E30281" s="122" t="n"/>
    </s:row>
    <s:row r="30282" hidden="1" ht="1" customHeight="1">
      <s:c r="A30282" s="120" t="inlineStr"/>
      <s:c r="B30282" s="121" t="n"/>
      <s:c r="C30282" s="121" t="n"/>
      <s:c r="D30282" s="121" t="n"/>
      <s:c r="E30282" s="122" t="n"/>
    </s:row>
    <s:row r="30283" hidden="1" ht="1" customHeight="1">
      <s:c r="A30283" s="120" t="inlineStr"/>
      <s:c r="B30283" s="121" t="n"/>
      <s:c r="C30283" s="121" t="n"/>
      <s:c r="D30283" s="121" t="n"/>
      <s:c r="E30283" s="122" t="n"/>
    </s:row>
    <s:row r="30284" hidden="1" ht="1" customHeight="1">
      <s:c r="A30284" s="120" t="inlineStr"/>
      <s:c r="B30284" s="121" t="n"/>
      <s:c r="C30284" s="121" t="n"/>
      <s:c r="D30284" s="121" t="n"/>
      <s:c r="E30284" s="122" t="n"/>
    </s:row>
    <s:row r="30285" hidden="1" ht="1" customHeight="1">
      <s:c r="A30285" s="120" t="inlineStr"/>
      <s:c r="B30285" s="121" t="n"/>
      <s:c r="C30285" s="121" t="n"/>
      <s:c r="D30285" s="121" t="n"/>
      <s:c r="E30285" s="122" t="n"/>
    </s:row>
    <s:row r="30286" hidden="1" ht="1" customHeight="1">
      <s:c r="A30286" s="120" t="inlineStr"/>
      <s:c r="B30286" s="121" t="n"/>
      <s:c r="C30286" s="121" t="n"/>
      <s:c r="D30286" s="121" t="n"/>
      <s:c r="E30286" s="122" t="n"/>
    </s:row>
    <s:row r="30287" hidden="1" ht="1" customHeight="1">
      <s:c r="A30287" s="120" t="inlineStr"/>
      <s:c r="B30287" s="121" t="n"/>
      <s:c r="C30287" s="121" t="n"/>
      <s:c r="D30287" s="121" t="n"/>
      <s:c r="E30287" s="122" t="n"/>
    </s:row>
    <s:row r="30288" hidden="1" ht="1" customHeight="1">
      <s:c r="A30288" s="120" t="inlineStr"/>
      <s:c r="B30288" s="121" t="n"/>
      <s:c r="C30288" s="121" t="n"/>
      <s:c r="D30288" s="121" t="n"/>
      <s:c r="E30288" s="122" t="n"/>
    </s:row>
    <s:row r="30289" hidden="1" ht="1" customHeight="1">
      <s:c r="A30289" s="120" t="inlineStr"/>
      <s:c r="B30289" s="121" t="n"/>
      <s:c r="C30289" s="121" t="n"/>
      <s:c r="D30289" s="121" t="n"/>
      <s:c r="E30289" s="122" t="n"/>
    </s:row>
    <s:row r="30290" hidden="1" ht="1" customHeight="1">
      <s:c r="A30290" s="120" t="inlineStr"/>
      <s:c r="B30290" s="121" t="n"/>
      <s:c r="C30290" s="121" t="n"/>
      <s:c r="D30290" s="121" t="n"/>
      <s:c r="E30290" s="122" t="n"/>
    </s:row>
    <s:row r="30291" hidden="1" ht="1" customHeight="1">
      <s:c r="A30291" s="120" t="inlineStr"/>
      <s:c r="B30291" s="121" t="n"/>
      <s:c r="C30291" s="121" t="n"/>
      <s:c r="D30291" s="121" t="n"/>
      <s:c r="E30291" s="122" t="n"/>
    </s:row>
    <s:row r="30292" hidden="1" ht="1" customHeight="1">
      <s:c r="A30292" s="120" t="inlineStr"/>
      <s:c r="B30292" s="121" t="n"/>
      <s:c r="C30292" s="121" t="n"/>
      <s:c r="D30292" s="121" t="n"/>
      <s:c r="E30292" s="122" t="n"/>
    </s:row>
    <s:row r="30293" hidden="1" ht="1" customHeight="1">
      <s:c r="A30293" s="120" t="inlineStr"/>
      <s:c r="B30293" s="121" t="n"/>
      <s:c r="C30293" s="121" t="n"/>
      <s:c r="D30293" s="121" t="n"/>
      <s:c r="E30293" s="122" t="n"/>
    </s:row>
    <s:row r="30294" hidden="1" ht="1" customHeight="1">
      <s:c r="A30294" s="120" t="inlineStr"/>
      <s:c r="B30294" s="121" t="n"/>
      <s:c r="C30294" s="121" t="n"/>
      <s:c r="D30294" s="121" t="n"/>
      <s:c r="E30294" s="122" t="n"/>
    </s:row>
    <s:row r="30295" hidden="1" ht="1" customHeight="1">
      <s:c r="A30295" s="120" t="inlineStr"/>
      <s:c r="B30295" s="121" t="n"/>
      <s:c r="C30295" s="121" t="n"/>
      <s:c r="D30295" s="121" t="n"/>
      <s:c r="E30295" s="122" t="n"/>
    </s:row>
    <s:row r="30296" hidden="1" ht="1" customHeight="1">
      <s:c r="A30296" s="120" t="inlineStr"/>
      <s:c r="B30296" s="121" t="n"/>
      <s:c r="C30296" s="121" t="n"/>
      <s:c r="D30296" s="121" t="n"/>
      <s:c r="E30296" s="122" t="n"/>
    </s:row>
    <s:row r="30297" hidden="1" ht="1" customHeight="1">
      <s:c r="A30297" s="120" t="inlineStr"/>
      <s:c r="B30297" s="121" t="n"/>
      <s:c r="C30297" s="121" t="n"/>
      <s:c r="D30297" s="121" t="n"/>
      <s:c r="E30297" s="122" t="n"/>
    </s:row>
    <s:row r="30298" hidden="1" ht="1" customHeight="1">
      <s:c r="A30298" s="120" t="inlineStr"/>
      <s:c r="B30298" s="121" t="n"/>
      <s:c r="C30298" s="121" t="n"/>
      <s:c r="D30298" s="121" t="n"/>
      <s:c r="E30298" s="122" t="n"/>
    </s:row>
    <s:row r="30299" hidden="1" ht="1" customHeight="1">
      <s:c r="A30299" s="120" t="inlineStr"/>
      <s:c r="B30299" s="121" t="n"/>
      <s:c r="C30299" s="121" t="n"/>
      <s:c r="D30299" s="121" t="n"/>
      <s:c r="E30299" s="122" t="n"/>
    </s:row>
    <s:row r="30300" hidden="1" ht="1" customHeight="1">
      <s:c r="A30300" s="120" t="inlineStr"/>
      <s:c r="B30300" s="121" t="n"/>
      <s:c r="C30300" s="121" t="n"/>
      <s:c r="D30300" s="121" t="n"/>
      <s:c r="E30300" s="122" t="n"/>
    </s:row>
    <s:row r="30301" hidden="1" ht="1" customHeight="1">
      <s:c r="A30301" s="120" t="inlineStr"/>
      <s:c r="B30301" s="121" t="n"/>
      <s:c r="C30301" s="121" t="n"/>
      <s:c r="D30301" s="121" t="n"/>
      <s:c r="E30301" s="122" t="n"/>
    </s:row>
    <s:row r="30302" hidden="1" ht="1" customHeight="1">
      <s:c r="A30302" s="120" t="inlineStr"/>
      <s:c r="B30302" s="121" t="n"/>
      <s:c r="C30302" s="121" t="n"/>
      <s:c r="D30302" s="121" t="n"/>
      <s:c r="E30302" s="122" t="n"/>
    </s:row>
    <s:row r="30303" hidden="1" ht="1" customHeight="1">
      <s:c r="A30303" s="120" t="inlineStr"/>
      <s:c r="B30303" s="121" t="n"/>
      <s:c r="C30303" s="121" t="n"/>
      <s:c r="D30303" s="121" t="n"/>
      <s:c r="E30303" s="122" t="n"/>
    </s:row>
    <s:row r="30304" hidden="1" ht="1" customHeight="1">
      <s:c r="A30304" s="120" t="inlineStr"/>
      <s:c r="B30304" s="121" t="n"/>
      <s:c r="C30304" s="121" t="n"/>
      <s:c r="D30304" s="121" t="n"/>
      <s:c r="E30304" s="122" t="n"/>
    </s:row>
    <s:row r="30305" hidden="1" ht="1" customHeight="1">
      <s:c r="A30305" s="120" t="inlineStr"/>
      <s:c r="B30305" s="121" t="n"/>
      <s:c r="C30305" s="121" t="n"/>
      <s:c r="D30305" s="121" t="n"/>
      <s:c r="E30305" s="122" t="n"/>
    </s:row>
    <s:row r="30306" hidden="1" ht="1" customHeight="1">
      <s:c r="A30306" s="120" t="inlineStr"/>
      <s:c r="B30306" s="121" t="n"/>
      <s:c r="C30306" s="121" t="n"/>
      <s:c r="D30306" s="121" t="n"/>
      <s:c r="E30306" s="122" t="n"/>
    </s:row>
    <s:row r="30307" hidden="1" ht="1" customHeight="1">
      <s:c r="A30307" s="120" t="inlineStr"/>
      <s:c r="B30307" s="121" t="n"/>
      <s:c r="C30307" s="121" t="n"/>
      <s:c r="D30307" s="121" t="n"/>
      <s:c r="E30307" s="122" t="n"/>
    </s:row>
    <s:row r="30308" hidden="1" ht="1" customHeight="1">
      <s:c r="A30308" s="120" t="inlineStr"/>
      <s:c r="B30308" s="121" t="n"/>
      <s:c r="C30308" s="121" t="n"/>
      <s:c r="D30308" s="121" t="n"/>
      <s:c r="E30308" s="122" t="n"/>
    </s:row>
    <s:row r="30309" hidden="1" ht="1" customHeight="1">
      <s:c r="A30309" s="120" t="inlineStr"/>
      <s:c r="B30309" s="121" t="n"/>
      <s:c r="C30309" s="121" t="n"/>
      <s:c r="D30309" s="121" t="n"/>
      <s:c r="E30309" s="122" t="n"/>
    </s:row>
    <s:row r="30310" hidden="1" ht="1" customHeight="1">
      <s:c r="A30310" s="120" t="inlineStr"/>
      <s:c r="B30310" s="121" t="n"/>
      <s:c r="C30310" s="121" t="n"/>
      <s:c r="D30310" s="121" t="n"/>
      <s:c r="E30310" s="122" t="n"/>
    </s:row>
    <s:row r="30311" hidden="1" ht="1" customHeight="1">
      <s:c r="A30311" s="120" t="inlineStr"/>
      <s:c r="B30311" s="121" t="n"/>
      <s:c r="C30311" s="121" t="n"/>
      <s:c r="D30311" s="121" t="n"/>
      <s:c r="E30311" s="122" t="n"/>
    </s:row>
    <s:row r="30312" hidden="1" ht="1" customHeight="1">
      <s:c r="A30312" s="120" t="inlineStr"/>
      <s:c r="B30312" s="121" t="n"/>
      <s:c r="C30312" s="121" t="n"/>
      <s:c r="D30312" s="121" t="n"/>
      <s:c r="E30312" s="122" t="n"/>
    </s:row>
    <s:row r="30313" hidden="1" ht="1" customHeight="1">
      <s:c r="A30313" s="120" t="inlineStr"/>
      <s:c r="B30313" s="121" t="n"/>
      <s:c r="C30313" s="121" t="n"/>
      <s:c r="D30313" s="121" t="n"/>
      <s:c r="E30313" s="122" t="n"/>
    </s:row>
    <s:row r="30314" hidden="1" ht="1" customHeight="1">
      <s:c r="A30314" s="120" t="inlineStr"/>
      <s:c r="B30314" s="121" t="n"/>
      <s:c r="C30314" s="121" t="n"/>
      <s:c r="D30314" s="121" t="n"/>
      <s:c r="E30314" s="122" t="n"/>
    </s:row>
    <s:row r="30315" hidden="1" ht="1" customHeight="1">
      <s:c r="A30315" s="120" t="inlineStr"/>
      <s:c r="B30315" s="121" t="n"/>
      <s:c r="C30315" s="121" t="n"/>
      <s:c r="D30315" s="121" t="n"/>
      <s:c r="E30315" s="122" t="n"/>
    </s:row>
    <s:row r="30316" hidden="1" ht="1" customHeight="1">
      <s:c r="A30316" s="120" t="inlineStr"/>
      <s:c r="B30316" s="121" t="n"/>
      <s:c r="C30316" s="121" t="n"/>
      <s:c r="D30316" s="121" t="n"/>
      <s:c r="E30316" s="122" t="n"/>
    </s:row>
    <s:row r="30317" hidden="1" ht="1" customHeight="1">
      <s:c r="A30317" s="120" t="inlineStr"/>
      <s:c r="B30317" s="121" t="n"/>
      <s:c r="C30317" s="121" t="n"/>
      <s:c r="D30317" s="121" t="n"/>
      <s:c r="E30317" s="122" t="n"/>
    </s:row>
    <s:row r="30318" hidden="1" ht="1" customHeight="1">
      <s:c r="A30318" s="120" t="inlineStr"/>
      <s:c r="B30318" s="121" t="n"/>
      <s:c r="C30318" s="121" t="n"/>
      <s:c r="D30318" s="121" t="n"/>
      <s:c r="E30318" s="122" t="n"/>
    </s:row>
    <s:row r="30319" hidden="1" ht="1" customHeight="1">
      <s:c r="A30319" s="120" t="inlineStr"/>
      <s:c r="B30319" s="121" t="n"/>
      <s:c r="C30319" s="121" t="n"/>
      <s:c r="D30319" s="121" t="n"/>
      <s:c r="E30319" s="122" t="n"/>
    </s:row>
    <s:row r="30320" hidden="1" ht="1" customHeight="1">
      <s:c r="A30320" s="120" t="inlineStr"/>
      <s:c r="B30320" s="121" t="n"/>
      <s:c r="C30320" s="121" t="n"/>
      <s:c r="D30320" s="121" t="n"/>
      <s:c r="E30320" s="122" t="n"/>
    </s:row>
    <s:row r="30321" hidden="1" ht="1" customHeight="1">
      <s:c r="A30321" s="120" t="inlineStr"/>
      <s:c r="B30321" s="121" t="n"/>
      <s:c r="C30321" s="121" t="n"/>
      <s:c r="D30321" s="121" t="n"/>
      <s:c r="E30321" s="122" t="n"/>
    </s:row>
    <s:row r="30322" hidden="1" ht="1" customHeight="1">
      <s:c r="A30322" s="120" t="inlineStr"/>
      <s:c r="B30322" s="121" t="n"/>
      <s:c r="C30322" s="121" t="n"/>
      <s:c r="D30322" s="121" t="n"/>
      <s:c r="E30322" s="122" t="n"/>
    </s:row>
    <s:row r="30323" hidden="1" ht="1" customHeight="1">
      <s:c r="A30323" s="120" t="inlineStr"/>
      <s:c r="B30323" s="121" t="n"/>
      <s:c r="C30323" s="121" t="n"/>
      <s:c r="D30323" s="121" t="n"/>
      <s:c r="E30323" s="122" t="n"/>
    </s:row>
    <s:row r="30324" hidden="1" ht="1" customHeight="1">
      <s:c r="A30324" s="120" t="inlineStr"/>
      <s:c r="B30324" s="121" t="n"/>
      <s:c r="C30324" s="121" t="n"/>
      <s:c r="D30324" s="121" t="n"/>
      <s:c r="E30324" s="122" t="n"/>
    </s:row>
    <s:row r="30325" hidden="1" ht="1" customHeight="1">
      <s:c r="A30325" s="120" t="inlineStr"/>
      <s:c r="B30325" s="121" t="n"/>
      <s:c r="C30325" s="121" t="n"/>
      <s:c r="D30325" s="121" t="n"/>
      <s:c r="E30325" s="122" t="n"/>
    </s:row>
    <s:row r="30326" hidden="1" ht="1" customHeight="1">
      <s:c r="A30326" s="120" t="inlineStr"/>
      <s:c r="B30326" s="121" t="n"/>
      <s:c r="C30326" s="121" t="n"/>
      <s:c r="D30326" s="121" t="n"/>
      <s:c r="E30326" s="122" t="n"/>
    </s:row>
    <s:row r="30327" hidden="1" ht="1" customHeight="1">
      <s:c r="A30327" s="120" t="inlineStr"/>
      <s:c r="B30327" s="121" t="n"/>
      <s:c r="C30327" s="121" t="n"/>
      <s:c r="D30327" s="121" t="n"/>
      <s:c r="E30327" s="122" t="n"/>
    </s:row>
    <s:row r="30328" hidden="1" ht="1" customHeight="1">
      <s:c r="A30328" s="120" t="inlineStr"/>
      <s:c r="B30328" s="121" t="n"/>
      <s:c r="C30328" s="121" t="n"/>
      <s:c r="D30328" s="121" t="n"/>
      <s:c r="E30328" s="122" t="n"/>
    </s:row>
    <s:row r="30329" hidden="1" ht="1" customHeight="1">
      <s:c r="A30329" s="120" t="inlineStr"/>
      <s:c r="B30329" s="121" t="n"/>
      <s:c r="C30329" s="121" t="n"/>
      <s:c r="D30329" s="121" t="n"/>
      <s:c r="E30329" s="122" t="n"/>
    </s:row>
    <s:row r="30330" hidden="1" ht="1" customHeight="1">
      <s:c r="A30330" s="120" t="inlineStr"/>
      <s:c r="B30330" s="121" t="n"/>
      <s:c r="C30330" s="121" t="n"/>
      <s:c r="D30330" s="121" t="n"/>
      <s:c r="E30330" s="122" t="n"/>
    </s:row>
    <s:row r="30331" hidden="1" ht="1" customHeight="1">
      <s:c r="A30331" s="120" t="inlineStr"/>
      <s:c r="B30331" s="121" t="n"/>
      <s:c r="C30331" s="121" t="n"/>
      <s:c r="D30331" s="121" t="n"/>
      <s:c r="E30331" s="122" t="n"/>
    </s:row>
    <s:row r="30332" hidden="1" ht="1" customHeight="1">
      <s:c r="A30332" s="120" t="inlineStr"/>
      <s:c r="B30332" s="121" t="n"/>
      <s:c r="C30332" s="121" t="n"/>
      <s:c r="D30332" s="121" t="n"/>
      <s:c r="E30332" s="122" t="n"/>
    </s:row>
    <s:row r="30333" hidden="1" ht="1" customHeight="1">
      <s:c r="A30333" s="120" t="inlineStr"/>
      <s:c r="B30333" s="121" t="n"/>
      <s:c r="C30333" s="121" t="n"/>
      <s:c r="D30333" s="121" t="n"/>
      <s:c r="E30333" s="122" t="n"/>
    </s:row>
    <s:row r="30334" hidden="1" ht="1" customHeight="1">
      <s:c r="A30334" s="120" t="inlineStr"/>
      <s:c r="B30334" s="121" t="n"/>
      <s:c r="C30334" s="121" t="n"/>
      <s:c r="D30334" s="121" t="n"/>
      <s:c r="E30334" s="122" t="n"/>
    </s:row>
    <s:row r="30335" hidden="1" ht="1" customHeight="1">
      <s:c r="A30335" s="120" t="inlineStr"/>
      <s:c r="B30335" s="121" t="n"/>
      <s:c r="C30335" s="121" t="n"/>
      <s:c r="D30335" s="121" t="n"/>
      <s:c r="E30335" s="122" t="n"/>
    </s:row>
    <s:row r="30336" hidden="1" ht="1" customHeight="1">
      <s:c r="A30336" s="120" t="inlineStr"/>
      <s:c r="B30336" s="121" t="n"/>
      <s:c r="C30336" s="121" t="n"/>
      <s:c r="D30336" s="121" t="n"/>
      <s:c r="E30336" s="122" t="n"/>
    </s:row>
    <s:row r="30337" hidden="1" ht="1" customHeight="1">
      <s:c r="A30337" s="120" t="inlineStr"/>
      <s:c r="B30337" s="121" t="n"/>
      <s:c r="C30337" s="121" t="n"/>
      <s:c r="D30337" s="121" t="n"/>
      <s:c r="E30337" s="122" t="n"/>
    </s:row>
    <s:row r="30338" hidden="1" ht="1" customHeight="1">
      <s:c r="A30338" s="120" t="inlineStr"/>
      <s:c r="B30338" s="121" t="n"/>
      <s:c r="C30338" s="121" t="n"/>
      <s:c r="D30338" s="121" t="n"/>
      <s:c r="E30338" s="122" t="n"/>
    </s:row>
    <s:row r="30339" hidden="1" ht="1" customHeight="1">
      <s:c r="A30339" s="120" t="inlineStr"/>
      <s:c r="B30339" s="121" t="n"/>
      <s:c r="C30339" s="121" t="n"/>
      <s:c r="D30339" s="121" t="n"/>
      <s:c r="E30339" s="122" t="n"/>
    </s:row>
    <s:row r="30340" hidden="1" ht="1" customHeight="1">
      <s:c r="A30340" s="120" t="inlineStr"/>
      <s:c r="B30340" s="121" t="n"/>
      <s:c r="C30340" s="121" t="n"/>
      <s:c r="D30340" s="121" t="n"/>
      <s:c r="E30340" s="122" t="n"/>
    </s:row>
    <s:row r="30341" hidden="1" ht="1" customHeight="1">
      <s:c r="A30341" s="120" t="inlineStr"/>
      <s:c r="B30341" s="121" t="n"/>
      <s:c r="C30341" s="121" t="n"/>
      <s:c r="D30341" s="121" t="n"/>
      <s:c r="E30341" s="122" t="n"/>
    </s:row>
    <s:row r="30342" hidden="1" ht="1" customHeight="1">
      <s:c r="A30342" s="120" t="inlineStr"/>
      <s:c r="B30342" s="121" t="n"/>
      <s:c r="C30342" s="121" t="n"/>
      <s:c r="D30342" s="121" t="n"/>
      <s:c r="E30342" s="122" t="n"/>
    </s:row>
    <s:row r="30343" hidden="1" ht="1" customHeight="1">
      <s:c r="A30343" s="120" t="inlineStr"/>
      <s:c r="B30343" s="121" t="n"/>
      <s:c r="C30343" s="121" t="n"/>
      <s:c r="D30343" s="121" t="n"/>
      <s:c r="E30343" s="122" t="n"/>
    </s:row>
    <s:row r="30344" hidden="1" ht="1" customHeight="1">
      <s:c r="A30344" s="120" t="inlineStr"/>
      <s:c r="B30344" s="121" t="n"/>
      <s:c r="C30344" s="121" t="n"/>
      <s:c r="D30344" s="121" t="n"/>
      <s:c r="E30344" s="122" t="n"/>
    </s:row>
    <s:row r="30345" hidden="1" ht="1" customHeight="1">
      <s:c r="A30345" s="120" t="inlineStr"/>
      <s:c r="B30345" s="121" t="n"/>
      <s:c r="C30345" s="121" t="n"/>
      <s:c r="D30345" s="121" t="n"/>
      <s:c r="E30345" s="122" t="n"/>
    </s:row>
    <s:row r="30346" hidden="1" ht="1" customHeight="1">
      <s:c r="A30346" s="120" t="inlineStr"/>
      <s:c r="B30346" s="121" t="n"/>
      <s:c r="C30346" s="121" t="n"/>
      <s:c r="D30346" s="121" t="n"/>
      <s:c r="E30346" s="122" t="n"/>
    </s:row>
    <s:row r="30347" hidden="1" ht="1" customHeight="1">
      <s:c r="A30347" s="120" t="inlineStr"/>
      <s:c r="B30347" s="121" t="n"/>
      <s:c r="C30347" s="121" t="n"/>
      <s:c r="D30347" s="121" t="n"/>
      <s:c r="E30347" s="122" t="n"/>
    </s:row>
    <s:row r="30348" hidden="1" ht="1" customHeight="1">
      <s:c r="A30348" s="120" t="inlineStr"/>
      <s:c r="B30348" s="121" t="n"/>
      <s:c r="C30348" s="121" t="n"/>
      <s:c r="D30348" s="121" t="n"/>
      <s:c r="E30348" s="122" t="n"/>
    </s:row>
    <s:row r="30349" hidden="1" ht="1" customHeight="1">
      <s:c r="A30349" s="120" t="inlineStr"/>
      <s:c r="B30349" s="121" t="n"/>
      <s:c r="C30349" s="121" t="n"/>
      <s:c r="D30349" s="121" t="n"/>
      <s:c r="E30349" s="122" t="n"/>
    </s:row>
    <s:row r="30350" hidden="1" ht="1" customHeight="1">
      <s:c r="A30350" s="120" t="inlineStr"/>
      <s:c r="B30350" s="121" t="n"/>
      <s:c r="C30350" s="121" t="n"/>
      <s:c r="D30350" s="121" t="n"/>
      <s:c r="E30350" s="122" t="n"/>
    </s:row>
    <s:row r="30351" hidden="1" ht="1" customHeight="1">
      <s:c r="A30351" s="120" t="inlineStr"/>
      <s:c r="B30351" s="121" t="n"/>
      <s:c r="C30351" s="121" t="n"/>
      <s:c r="D30351" s="121" t="n"/>
      <s:c r="E30351" s="122" t="n"/>
    </s:row>
    <s:row r="30352" hidden="1" ht="1" customHeight="1">
      <s:c r="A30352" s="120" t="inlineStr"/>
      <s:c r="B30352" s="121" t="n"/>
      <s:c r="C30352" s="121" t="n"/>
      <s:c r="D30352" s="121" t="n"/>
      <s:c r="E30352" s="122" t="n"/>
    </s:row>
    <s:row r="30353" hidden="1" ht="1" customHeight="1">
      <s:c r="A30353" s="120" t="inlineStr"/>
      <s:c r="B30353" s="121" t="n"/>
      <s:c r="C30353" s="121" t="n"/>
      <s:c r="D30353" s="121" t="n"/>
      <s:c r="E30353" s="122" t="n"/>
    </s:row>
    <s:row r="30354" hidden="1" ht="1" customHeight="1">
      <s:c r="A30354" s="120" t="inlineStr"/>
      <s:c r="B30354" s="121" t="n"/>
      <s:c r="C30354" s="121" t="n"/>
      <s:c r="D30354" s="121" t="n"/>
      <s:c r="E30354" s="122" t="n"/>
    </s:row>
    <s:row r="30355" hidden="1" ht="1" customHeight="1">
      <s:c r="A30355" s="120" t="inlineStr"/>
      <s:c r="B30355" s="121" t="n"/>
      <s:c r="C30355" s="121" t="n"/>
      <s:c r="D30355" s="121" t="n"/>
      <s:c r="E30355" s="122" t="n"/>
    </s:row>
    <s:row r="30356" hidden="1" ht="1" customHeight="1">
      <s:c r="A30356" s="120" t="inlineStr"/>
      <s:c r="B30356" s="121" t="n"/>
      <s:c r="C30356" s="121" t="n"/>
      <s:c r="D30356" s="121" t="n"/>
      <s:c r="E30356" s="122" t="n"/>
    </s:row>
    <s:row r="30357" hidden="1" ht="1" customHeight="1">
      <s:c r="A30357" s="120" t="inlineStr"/>
      <s:c r="B30357" s="121" t="n"/>
      <s:c r="C30357" s="121" t="n"/>
      <s:c r="D30357" s="121" t="n"/>
      <s:c r="E30357" s="122" t="n"/>
    </s:row>
    <s:row r="30358" hidden="1" ht="1" customHeight="1">
      <s:c r="A30358" s="120" t="inlineStr"/>
      <s:c r="B30358" s="121" t="n"/>
      <s:c r="C30358" s="121" t="n"/>
      <s:c r="D30358" s="121" t="n"/>
      <s:c r="E30358" s="122" t="n"/>
    </s:row>
    <s:row r="30359" hidden="1" ht="1" customHeight="1">
      <s:c r="A30359" s="120" t="inlineStr"/>
      <s:c r="B30359" s="121" t="n"/>
      <s:c r="C30359" s="121" t="n"/>
      <s:c r="D30359" s="121" t="n"/>
      <s:c r="E30359" s="122" t="n"/>
    </s:row>
    <s:row r="30360" hidden="1" ht="1" customHeight="1">
      <s:c r="A30360" s="120" t="inlineStr"/>
      <s:c r="B30360" s="121" t="n"/>
      <s:c r="C30360" s="121" t="n"/>
      <s:c r="D30360" s="121" t="n"/>
      <s:c r="E30360" s="122" t="n"/>
    </s:row>
    <s:row r="30361" hidden="1" ht="1" customHeight="1">
      <s:c r="A30361" s="120" t="inlineStr"/>
      <s:c r="B30361" s="121" t="n"/>
      <s:c r="C30361" s="121" t="n"/>
      <s:c r="D30361" s="121" t="n"/>
      <s:c r="E30361" s="122" t="n"/>
    </s:row>
    <s:row r="30362" hidden="1" ht="1" customHeight="1">
      <s:c r="A30362" s="120" t="inlineStr"/>
      <s:c r="B30362" s="121" t="n"/>
      <s:c r="C30362" s="121" t="n"/>
      <s:c r="D30362" s="121" t="n"/>
      <s:c r="E30362" s="122" t="n"/>
    </s:row>
    <s:row r="30363" hidden="1" ht="1" customHeight="1">
      <s:c r="A30363" s="120" t="inlineStr"/>
      <s:c r="B30363" s="121" t="n"/>
      <s:c r="C30363" s="121" t="n"/>
      <s:c r="D30363" s="121" t="n"/>
      <s:c r="E30363" s="122" t="n"/>
    </s:row>
    <s:row r="30364" hidden="1" ht="1" customHeight="1">
      <s:c r="A30364" s="120" t="inlineStr"/>
      <s:c r="B30364" s="121" t="n"/>
      <s:c r="C30364" s="121" t="n"/>
      <s:c r="D30364" s="121" t="n"/>
      <s:c r="E30364" s="122" t="n"/>
    </s:row>
    <s:row r="30365" hidden="1" ht="1" customHeight="1">
      <s:c r="A30365" s="120" t="inlineStr"/>
      <s:c r="B30365" s="121" t="n"/>
      <s:c r="C30365" s="121" t="n"/>
      <s:c r="D30365" s="121" t="n"/>
      <s:c r="E30365" s="122" t="n"/>
    </s:row>
    <s:row r="30366" hidden="1" ht="1" customHeight="1">
      <s:c r="A30366" s="83" t="inlineStr">
        <s:is>
          <s:t>PASS</s:t>
        </s:is>
      </s:c>
      <s:c r="B30366" s="83">
        <s:f>SUM(IF(EXACT('Kiểm thử'!E30066,"Đạt"),1,0),IF(EXACT('Kiểm thử'!E30068,"Đạt"),1,0),IF(EXACT('Kiểm thử'!E30070,"Đạt"),1,0),IF(EXACT('Kiểm thử'!E30072,"Đạt"),1,0),IF(EXACT('Kiểm thử'!E30074,"Đạt"),1,0),IF(EXACT('Kiểm thử'!E30076,"Đạt"),1,0))</s:f>
        <s:v/>
      </s:c>
      <s:c r="C30366" s="19" t="n"/>
      <s:c r="D30366" s="19" t="n"/>
      <s:c r="E30366" s="19" t="n"/>
    </s:row>
    <s:row r="30367" hidden="1" ht="1" customHeight="1">
      <s:c r="A30367" s="83" t="inlineStr">
        <s:is>
          <s:t>FAIL</s:t>
        </s:is>
      </s:c>
      <s:c r="B30367" s="83">
        <s:f>SUM(IF(EXACT('Kiểm thử'!E30066,"Không đạt"),1,0),IF(EXACT('Kiểm thử'!E30068,"Không đạt"),1,0),IF(EXACT('Kiểm thử'!E30070,"Không đạt"),1,0),IF(EXACT('Kiểm thử'!E30072,"Không đạt"),1,0),IF(EXACT('Kiểm thử'!E30074,"Không đạt"),1,0),IF(EXACT('Kiểm thử'!E30076,"Không đạt"),1,0))</s:f>
        <s:v/>
      </s:c>
      <s:c r="C30367" s="19" t="n"/>
      <s:c r="D30367" s="19" t="n"/>
      <s:c r="E30367" s="19" t="n"/>
    </s:row>
    <s:row r="30368" hidden="1" ht="1" customHeight="1">
      <s:c r="A30368" s="83" t="inlineStr">
        <s:is>
          <s:t>BLOCKED</s:t>
        </s:is>
      </s:c>
      <s:c r="B30368" s="83">
        <s:f>SUM(IF(EXACT('Kiểm thử'!E30066,"Bị chặn"),1,0),IF(EXACT('Kiểm thử'!E30068,"Bị chặn"),1,0),IF(EXACT('Kiểm thử'!E30070,"Bị chặn"),1,0),IF(EXACT('Kiểm thử'!E30072,"Bị chặn"),1,0),IF(EXACT('Kiểm thử'!E30074,"Bị chặn"),1,0),IF(EXACT('Kiểm thử'!E30076,"Bị chặn"),1,0))</s:f>
        <s:v/>
      </s:c>
      <s:c r="C30368" s="19" t="n"/>
      <s:c r="D30368" s="19" t="n"/>
      <s:c r="E30368" s="19" t="n"/>
    </s:row>
    <s:row r="30369" hidden="1" ht="1" customHeight="1">
      <s:c r="A30369" s="83" t="inlineStr">
        <s:is>
          <s:t>SKIPPED</s:t>
        </s:is>
      </s:c>
      <s:c r="B30369" s="83">
        <s:f>SUM(IF(EXACT('Kiểm thử'!E30066,"Không thực hiện"),1,0),IF(EXACT('Kiểm thử'!E30068,"Không thực hiện"),1,0),IF(EXACT('Kiểm thử'!E30070,"Không thực hiện"),1,0),IF(EXACT('Kiểm thử'!E30072,"Không thực hiện"),1,0),IF(EXACT('Kiểm thử'!E30074,"Không thực hiện"),1,0),IF(EXACT('Kiểm thử'!E30076,"Không thực hiện"),1,0))</s:f>
        <s:v/>
      </s:c>
      <s:c r="C30369" s="19" t="n"/>
      <s:c r="D30369" s="19" t="n"/>
      <s:c r="E30369" s="19" t="n"/>
    </s:row>
    <s:row r="30370" hidden="1" ht="1" customHeight="1">
      <s:c r="A30370" s="83" t="inlineStr">
        <s:is>
          <s:t>NOT RUN</s:t>
        </s:is>
      </s:c>
      <s:c r="B30370" s="83">
        <s:f>SUM(IF(EXACT('Kiểm thử'!E30066,"Chưa thực hiện"),1,0),IF(EXACT('Kiểm thử'!E30068,"Chưa thực hiện"),1,0),IF(EXACT('Kiểm thử'!E30070,"Chưa thực hiện"),1,0),IF(EXACT('Kiểm thử'!E30072,"Chưa thực hiện"),1,0),IF(EXACT('Kiểm thử'!E30074,"Chưa thực hiện"),1,0),IF(EXACT('Kiểm thử'!E30076,"Chưa thực hiện"),1,0))</s:f>
        <s:v/>
      </s:c>
      <s:c r="C30370" s="19" t="n"/>
      <s:c r="D30370" s="19" t="n"/>
      <s:c r="E30370" s="19" t="n"/>
    </s:row>
    <s:row r="30371" hidden="1" ht="6" customHeight="1">
      <s:c r="A30371" s="83" t="inlineStr"/>
      <s:c r="B30371" s="19" t="n"/>
      <s:c r="C30371" s="19" t="n"/>
      <s:c r="D30371" s="19" t="n"/>
      <s:c r="E30371" s="19" t="n"/>
    </s:row>
    <s:row r="30372" ht="28" customHeight="1">
      <s:c r="A30372" s="108" t="inlineStr">
        <s:is>
          <s:t>TC-RS-ERR-018 — Hai lượt xét lần đầu đồng thời hoặc gửi lại thao tác hoàn tất chỉ tạo một kết quả</s:t>
        </s:is>
      </s:c>
      <s:c r="B30372" s="111" t="n"/>
      <s:c r="C30372" s="111" t="n"/>
      <s:c r="D30372" s="111" t="n"/>
      <s:c r="E30372" s="111" t="n"/>
    </s:row>
    <s:row r="30373" ht="20" customHeight="1">
      <s:c r="A30373" s="112" t="inlineStr">
        <s:is>
          <s:t>Kết quả tình huống</s:t>
        </s:is>
      </s:c>
      <s:c r="B30373" s="113">
        <s:f>IF(SUM(IF(EXACT('Kiểm thử'!E30382,"Không đạt"),1,0),IF(EXACT('Kiểm thử'!E30384,"Không đạt"),1,0),IF(EXACT('Kiểm thử'!E30386,"Không đạt"),1,0))&gt;0,"Không đạt",IF(SUM(IF(EXACT('Kiểm thử'!E30382,"Đạt"),1,0),IF(EXACT('Kiểm thử'!E30384,"Đạt"),1,0),IF(EXACT('Kiểm thử'!E30386,"Đạt"),1,0))=3,"Đạt",IF(SUM(IF(EXACT('Kiểm thử'!E30382,"Không thực hiện"),1,0),IF(EXACT('Kiểm thử'!E30384,"Không thực hiện"),1,0),IF(EXACT('Kiểm thử'!E30386,"Không thực hiện"),1,0))=3,"Không thực hiện",IF(SUM(IF(EXACT('Kiểm thử'!E30382,"Bị chặn"),1,0),IF(EXACT('Kiểm thử'!E30384,"Bị chặn"),1,0),IF(EXACT('Kiểm thử'!E30386,"Bị chặn"),1,0))&gt;0,"Bị chặn",IF(SUM(IF(EXACT('Kiểm thử'!E30382,"Chưa thực hiện"),1,0),IF(EXACT('Kiểm thử'!E30384,"Chưa thực hiện"),1,0),IF(EXACT('Kiểm thử'!E30386,"Chưa thực hiện"),1,0))=3,"Chưa thực hiện","Đang thực hiện")))))</s:f>
        <s:v/>
      </s:c>
      <s:c r="C30373" s="114" t="n"/>
      <s:c r="D30373" s="114" t="n"/>
      <s:c r="E30373" s="114" t="n"/>
    </s:row>
    <s:row r="30374" ht="20" customHeight="1">
      <s:c r="A30374" s="112" t="inlineStr">
        <s:is>
          <s:t>Màn hình / chức năng</s:t>
        </s:is>
      </s:c>
      <s:c r="B30374" s="113" t="inlineStr">
        <s:is>
          <s:t>Lỗi và cập nhật kết quả</s:t>
        </s:is>
      </s:c>
      <s:c r="C30374" s="28" t="n"/>
      <s:c r="D30374" s="28" t="n"/>
      <s:c r="E30374" s="28" t="n"/>
    </s:row>
    <s:row r="30375" ht="48" customHeight="1">
      <s:c r="A30375" s="112" t="inlineStr">
        <s:is>
          <s:t>Cấu hình</s:t>
        </s:is>
      </s:c>
      <s:c r="B30375" s="113" t="inlineStr">
        <s:is>
          <s:r>
            <s:t>• Ô S01 của mục số nguyên (</s:t>
          </s:r>
          <s:r>
            <s:rPr>
              <s:b val="1"/>
            </s:rPr>
            <s:t>M=100</s:t>
          </s:r>
          <s:r>
            <s:t>) chưa từng được xét (chưa có dòng kết quả);
• Quy tắc “Cố định 30” (dưới 30) là quy tắc duy nhất;
• Có cách cho hai lượt chạy gần như cùng lúc.</s:t>
          </s:r>
        </s:is>
      </s:c>
      <s:c r="C30375" s="28" t="n"/>
      <s:c r="D30375" s="28" t="n"/>
      <s:c r="E30375" s="28" t="n"/>
    </s:row>
    <s:row r="30376" ht="62" customHeight="1">
      <s:c r="A30376" s="112" t="inlineStr">
        <s:is>
          <s:t>Dữ liệu test</s:t>
        </s:is>
      </s:c>
      <s:c r="B30376" s="113" t="inlineStr">
        <s:is>
          <s:r>
            <s:t>• Mục số nguyên (</s:t>
          </s:r>
          <s:r>
            <s:rPr>
              <s:b val="1"/>
            </s:rPr>
            <s:t>M=100</s:t>
          </s:r>
          <s:r>
            <s:t>);
• Quy tắc “Cố định 30” (dưới 30);
• Học sinh S01 (điểm 29) (29);
• Tài khoản có quyền chạy hàng loạt, tài khoản giáo viên nhập điểm lớp G-A, G-B, G-C</s:t>
          </s:r>
        </s:is>
      </s:c>
      <s:c r="C30376" s="28" t="n"/>
      <s:c r="D30376" s="28" t="n"/>
      <s:c r="E30376" s="28" t="n"/>
    </s:row>
    <s:row r="30377" ht="20" customHeight="1">
      <s:c r="A30377" s="112" t="inlineStr">
        <s:is>
          <s:t>Bước 1</s:t>
        </s:is>
      </s:c>
      <s:c r="B30377" s="113" t="inlineStr">
        <s:is>
          <s:t>Xác minh baseline trước hoặc sau lần xét đầu đúng theo trường hợp, rule cố định30 và quyền actor.</s:t>
        </s:is>
      </s:c>
      <s:c r="C30377" s="28" t="n"/>
      <s:c r="D30377" s="28" t="n"/>
      <s:c r="E30377" s="28" t="n"/>
    </s:row>
    <s:row r="30378" ht="20" customHeight="1">
      <s:c r="A30378" s="112" t="inlineStr">
        <s:is>
          <s:t>Bước 2</s:t>
        </s:is>
      </s:c>
      <s:c r="B30378" s="113" t="inlineStr">
        <s:is>
          <s:t>Thực hiện lượt đồng thời/gửi lại riêng theo bảng trường hợp; seam không có thì ghi Bị chặn.</s:t>
        </s:is>
      </s:c>
      <s:c r="C30378" s="28" t="n"/>
      <s:c r="D30378" s="28" t="n"/>
      <s:c r="E30378" s="28" t="n"/>
    </s:row>
    <s:row r="30379" ht="20" customHeight="1">
      <s:c r="A30379" s="112" t="inlineStr">
        <s:is>
          <s:t>Bước 3</s:t>
        </s:is>
      </s:c>
      <s:c r="B30379" s="113" t="inlineStr">
        <s:is>
          <s:t>Đọc ba đầu ra và SELECT dòng kết quả đúng ô để kiểm số dòng/ký hiệu và tính idempotent.</s:t>
        </s:is>
      </s:c>
      <s:c r="C30379" s="28" t="n"/>
      <s:c r="D30379" s="28" t="n"/>
      <s:c r="E30379" s="28" t="n"/>
    </s:row>
    <s:row r="30380" ht="28" customHeight="1">
      <s:c r="A30380" s="115" t="inlineStr">
        <s:is>
          <s:t>Trường hợp</s:t>
        </s:is>
      </s:c>
      <s:c r="B30380" s="115" t="inlineStr">
        <s:is>
          <s:t>Dữ liệu / thao tác riêng</s:t>
        </s:is>
      </s:c>
      <s:c r="C30380" s="115" t="inlineStr">
        <s:is>
          <s:t>Kết quả mong đợi</s:t>
        </s:is>
      </s:c>
      <s:c r="D30380" s="115" t="inlineStr">
        <s:is>
          <s:t>Kết quả thực tế</s:t>
        </s:is>
      </s:c>
      <s:c r="E30380" s="115" t="inlineStr">
        <s:is>
          <s:t>Đánh giá</s:t>
        </s:is>
      </s:c>
    </s:row>
    <s:row r="30381" ht="3" customHeight="1">
      <s:c r="A30381" s="102" t="inlineStr"/>
      <s:c r="B30381" s="99" t="n"/>
      <s:c r="C30381" s="99" t="n"/>
      <s:c r="D30381" s="116" t="n"/>
      <s:c r="E30381" s="116" t="n"/>
    </s:row>
    <s:row r="30382" ht="76" customHeight="1">
      <s:c r="A30382" s="83" t="inlineStr">
        <s:is>
          <s:t>Hai lượt xét lần đầu (concurrent)</s:t>
        </s:is>
      </s:c>
      <s:c r="B30382" s="83" t="inlineStr">
        <s:is>
          <s:r>
            <s:t xml:space="preserve">Ô S01 chưa có kết quả: cùng lúc giáo viên lưu 29 ở </s:t>
          </s:r>
          <s:r>
            <s:rPr>
              <s:b val="1"/>
            </s:rPr>
            <s:t>Đăng ký thành tích（成績登録）</s:t>
          </s:r>
          <s:r>
            <s:t xml:space="preserve"> và tài khoản được batch chạy nút cam G-A; đọc ba đầu ra/SELECT.</s:t>
          </s:r>
        </s:is>
      </s:c>
      <s:c r="C30382" s="83" t="inlineStr">
        <s:is>
          <s:r>
            <s:t xml:space="preserve">S01 </s:t>
          </s:r>
          <s:r>
            <s:rPr>
              <s:b val="1"/>
            </s:rPr>
            <s:t>Đỏ</s:t>
          </s:r>
          <s:r>
            <s:t>; ô chỉ có một kết quả hiện hành, không nhân đôi ký hiệu ở đầu ra (không [**29], [((29))]).</s:t>
          </s:r>
        </s:is>
      </s:c>
      <s:c r="D30382" s="117" t="inlineStr"/>
      <s:c r="E30382" s="118" t="inlineStr">
        <s:is>
          <s:t>Chưa thực hiện</s:t>
        </s:is>
      </s:c>
    </s:row>
    <s:row r="30383" ht="3" customHeight="1">
      <s:c r="A30383" s="102" t="inlineStr"/>
      <s:c r="B30383" s="99" t="n"/>
      <s:c r="C30383" s="99" t="n"/>
      <s:c r="D30383" s="116" t="n"/>
      <s:c r="E30383" s="116" t="n"/>
    </s:row>
    <s:row r="30384" ht="76" customHeight="1">
      <s:c r="A30384" s="83" t="inlineStr">
        <s:is>
          <s:t>Gửi lại form hoàn tất (replay-form)</s:t>
        </s:is>
      </s:c>
      <s:c r="B30384" s="83" t="inlineStr">
        <s:is>
          <s:t>Dựng baseline sau hai lượt lần đầu của concurrent; gửi lại form đăng ký cùng dữ liệu29; xem/SELECT, không dùng ô chưa xét làm baseline.</s:t>
        </s:is>
      </s:c>
      <s:c r="C30384" s="83" t="inlineStr">
        <s:is>
          <s:r>
            <s:t xml:space="preserve">Gửi lại form sau baseline bước 1–2 không phát sinh dòng hoặc thao tác ghi thứ hai; kết quả S01 </s:t>
          </s:r>
          <s:r>
            <s:rPr>
              <s:b val="1"/>
            </s:rPr>
            <s:t>Đỏ</s:t>
          </s:r>
          <s:r>
            <s:t xml:space="preserve"> không đổi, không nhân đôi ký hiệu.</s:t>
          </s:r>
        </s:is>
      </s:c>
      <s:c r="D30384" s="117" t="inlineStr"/>
      <s:c r="E30384" s="118" t="inlineStr">
        <s:is>
          <s:t>Chưa thực hiện</s:t>
        </s:is>
      </s:c>
    </s:row>
    <s:row r="30385" ht="3" customHeight="1">
      <s:c r="A30385" s="102" t="inlineStr"/>
      <s:c r="B30385" s="99" t="n"/>
      <s:c r="C30385" s="99" t="n"/>
      <s:c r="D30385" s="116" t="n"/>
      <s:c r="E30385" s="116" t="n"/>
    </s:row>
    <s:row r="30386" ht="62" customHeight="1">
      <s:c r="A30386" s="83" t="inlineStr">
        <s:is>
          <s:t>Gửi lại job hoàn tất (replay-job)</s:t>
        </s:is>
      </s:c>
      <s:c r="B30386" s="83" t="inlineStr">
        <s:is>
          <s:t>Dựng baseline sau concurrent; chạy lại job cùng lượt nếu môi trường cho seam, xem/SELECT. Không có seam thì BLOCKED.</s:t>
        </s:is>
      </s:c>
      <s:c r="C30386" s="83" t="inlineStr">
        <s:is>
          <s:r>
            <s:t xml:space="preserve">Chạy lại job cùng lượt sau baseline bước 1–2 không phát sinh dòng/thao tác ghi thứ hai; kết quả S01 </s:t>
          </s:r>
          <s:r>
            <s:rPr>
              <s:b val="1"/>
            </s:rPr>
            <s:t>Đỏ</s:t>
          </s:r>
          <s:r>
            <s:t xml:space="preserve"> không đổi, không nhân đôi ký hiệu. Không có seam thì BLOCKED.</s:t>
          </s:r>
        </s:is>
      </s:c>
      <s:c r="D30386" s="117" t="inlineStr"/>
      <s:c r="E30386" s="118" t="inlineStr">
        <s:is>
          <s:t>Chưa thực hiện</s:t>
        </s:is>
      </s:c>
    </s:row>
    <s:row r="30387" ht="20" customHeight="1">
      <s:c r="A30387" s="119" t="inlineStr">
        <s:is>
          <s:t>Ảnh minh chứng — Chưa có ảnh</s:t>
        </s:is>
      </s:c>
      <s:c r="B30387" s="19" t="n"/>
      <s:c r="C30387" s="19" t="n"/>
      <s:c r="D30387" s="19" t="n"/>
      <s:c r="E30387" s="19" t="n"/>
    </s:row>
    <s:row r="30388" hidden="1" ht="1" customHeight="1">
      <s:c r="A30388" s="120" t="inlineStr"/>
      <s:c r="B30388" s="121" t="n"/>
      <s:c r="C30388" s="121" t="n"/>
      <s:c r="D30388" s="121" t="n"/>
      <s:c r="E30388" s="122" t="n"/>
    </s:row>
    <s:row r="30389" hidden="1" ht="1" customHeight="1">
      <s:c r="A30389" s="120" t="inlineStr"/>
      <s:c r="B30389" s="121" t="n"/>
      <s:c r="C30389" s="121" t="n"/>
      <s:c r="D30389" s="121" t="n"/>
      <s:c r="E30389" s="122" t="n"/>
    </s:row>
    <s:row r="30390" hidden="1" ht="1" customHeight="1">
      <s:c r="A30390" s="120" t="inlineStr"/>
      <s:c r="B30390" s="121" t="n"/>
      <s:c r="C30390" s="121" t="n"/>
      <s:c r="D30390" s="121" t="n"/>
      <s:c r="E30390" s="122" t="n"/>
    </s:row>
    <s:row r="30391" hidden="1" ht="1" customHeight="1">
      <s:c r="A30391" s="120" t="inlineStr"/>
      <s:c r="B30391" s="121" t="n"/>
      <s:c r="C30391" s="121" t="n"/>
      <s:c r="D30391" s="121" t="n"/>
      <s:c r="E30391" s="122" t="n"/>
    </s:row>
    <s:row r="30392" hidden="1" ht="1" customHeight="1">
      <s:c r="A30392" s="120" t="inlineStr"/>
      <s:c r="B30392" s="121" t="n"/>
      <s:c r="C30392" s="121" t="n"/>
      <s:c r="D30392" s="121" t="n"/>
      <s:c r="E30392" s="122" t="n"/>
    </s:row>
    <s:row r="30393" hidden="1" ht="1" customHeight="1">
      <s:c r="A30393" s="120" t="inlineStr"/>
      <s:c r="B30393" s="121" t="n"/>
      <s:c r="C30393" s="121" t="n"/>
      <s:c r="D30393" s="121" t="n"/>
      <s:c r="E30393" s="122" t="n"/>
    </s:row>
    <s:row r="30394" hidden="1" ht="1" customHeight="1">
      <s:c r="A30394" s="120" t="inlineStr"/>
      <s:c r="B30394" s="121" t="n"/>
      <s:c r="C30394" s="121" t="n"/>
      <s:c r="D30394" s="121" t="n"/>
      <s:c r="E30394" s="122" t="n"/>
    </s:row>
    <s:row r="30395" hidden="1" ht="1" customHeight="1">
      <s:c r="A30395" s="120" t="inlineStr"/>
      <s:c r="B30395" s="121" t="n"/>
      <s:c r="C30395" s="121" t="n"/>
      <s:c r="D30395" s="121" t="n"/>
      <s:c r="E30395" s="122" t="n"/>
    </s:row>
    <s:row r="30396" hidden="1" ht="1" customHeight="1">
      <s:c r="A30396" s="120" t="inlineStr"/>
      <s:c r="B30396" s="121" t="n"/>
      <s:c r="C30396" s="121" t="n"/>
      <s:c r="D30396" s="121" t="n"/>
      <s:c r="E30396" s="122" t="n"/>
    </s:row>
    <s:row r="30397" hidden="1" ht="1" customHeight="1">
      <s:c r="A30397" s="120" t="inlineStr"/>
      <s:c r="B30397" s="121" t="n"/>
      <s:c r="C30397" s="121" t="n"/>
      <s:c r="D30397" s="121" t="n"/>
      <s:c r="E30397" s="122" t="n"/>
    </s:row>
    <s:row r="30398" hidden="1" ht="1" customHeight="1">
      <s:c r="A30398" s="120" t="inlineStr"/>
      <s:c r="B30398" s="121" t="n"/>
      <s:c r="C30398" s="121" t="n"/>
      <s:c r="D30398" s="121" t="n"/>
      <s:c r="E30398" s="122" t="n"/>
    </s:row>
    <s:row r="30399" hidden="1" ht="1" customHeight="1">
      <s:c r="A30399" s="120" t="inlineStr"/>
      <s:c r="B30399" s="121" t="n"/>
      <s:c r="C30399" s="121" t="n"/>
      <s:c r="D30399" s="121" t="n"/>
      <s:c r="E30399" s="122" t="n"/>
    </s:row>
    <s:row r="30400" hidden="1" ht="1" customHeight="1">
      <s:c r="A30400" s="120" t="inlineStr"/>
      <s:c r="B30400" s="121" t="n"/>
      <s:c r="C30400" s="121" t="n"/>
      <s:c r="D30400" s="121" t="n"/>
      <s:c r="E30400" s="122" t="n"/>
    </s:row>
    <s:row r="30401" hidden="1" ht="1" customHeight="1">
      <s:c r="A30401" s="120" t="inlineStr"/>
      <s:c r="B30401" s="121" t="n"/>
      <s:c r="C30401" s="121" t="n"/>
      <s:c r="D30401" s="121" t="n"/>
      <s:c r="E30401" s="122" t="n"/>
    </s:row>
    <s:row r="30402" hidden="1" ht="1" customHeight="1">
      <s:c r="A30402" s="120" t="inlineStr"/>
      <s:c r="B30402" s="121" t="n"/>
      <s:c r="C30402" s="121" t="n"/>
      <s:c r="D30402" s="121" t="n"/>
      <s:c r="E30402" s="122" t="n"/>
    </s:row>
    <s:row r="30403" hidden="1" ht="1" customHeight="1">
      <s:c r="A30403" s="120" t="inlineStr"/>
      <s:c r="B30403" s="121" t="n"/>
      <s:c r="C30403" s="121" t="n"/>
      <s:c r="D30403" s="121" t="n"/>
      <s:c r="E30403" s="122" t="n"/>
    </s:row>
    <s:row r="30404" hidden="1" ht="1" customHeight="1">
      <s:c r="A30404" s="120" t="inlineStr"/>
      <s:c r="B30404" s="121" t="n"/>
      <s:c r="C30404" s="121" t="n"/>
      <s:c r="D30404" s="121" t="n"/>
      <s:c r="E30404" s="122" t="n"/>
    </s:row>
    <s:row r="30405" hidden="1" ht="1" customHeight="1">
      <s:c r="A30405" s="120" t="inlineStr"/>
      <s:c r="B30405" s="121" t="n"/>
      <s:c r="C30405" s="121" t="n"/>
      <s:c r="D30405" s="121" t="n"/>
      <s:c r="E30405" s="122" t="n"/>
    </s:row>
    <s:row r="30406" hidden="1" ht="1" customHeight="1">
      <s:c r="A30406" s="120" t="inlineStr"/>
      <s:c r="B30406" s="121" t="n"/>
      <s:c r="C30406" s="121" t="n"/>
      <s:c r="D30406" s="121" t="n"/>
      <s:c r="E30406" s="122" t="n"/>
    </s:row>
    <s:row r="30407" hidden="1" ht="1" customHeight="1">
      <s:c r="A30407" s="120" t="inlineStr"/>
      <s:c r="B30407" s="121" t="n"/>
      <s:c r="C30407" s="121" t="n"/>
      <s:c r="D30407" s="121" t="n"/>
      <s:c r="E30407" s="122" t="n"/>
    </s:row>
    <s:row r="30408" hidden="1" ht="1" customHeight="1">
      <s:c r="A30408" s="120" t="inlineStr"/>
      <s:c r="B30408" s="121" t="n"/>
      <s:c r="C30408" s="121" t="n"/>
      <s:c r="D30408" s="121" t="n"/>
      <s:c r="E30408" s="122" t="n"/>
    </s:row>
    <s:row r="30409" hidden="1" ht="1" customHeight="1">
      <s:c r="A30409" s="120" t="inlineStr"/>
      <s:c r="B30409" s="121" t="n"/>
      <s:c r="C30409" s="121" t="n"/>
      <s:c r="D30409" s="121" t="n"/>
      <s:c r="E30409" s="122" t="n"/>
    </s:row>
    <s:row r="30410" hidden="1" ht="1" customHeight="1">
      <s:c r="A30410" s="120" t="inlineStr"/>
      <s:c r="B30410" s="121" t="n"/>
      <s:c r="C30410" s="121" t="n"/>
      <s:c r="D30410" s="121" t="n"/>
      <s:c r="E30410" s="122" t="n"/>
    </s:row>
    <s:row r="30411" hidden="1" ht="1" customHeight="1">
      <s:c r="A30411" s="120" t="inlineStr"/>
      <s:c r="B30411" s="121" t="n"/>
      <s:c r="C30411" s="121" t="n"/>
      <s:c r="D30411" s="121" t="n"/>
      <s:c r="E30411" s="122" t="n"/>
    </s:row>
    <s:row r="30412" hidden="1" ht="1" customHeight="1">
      <s:c r="A30412" s="120" t="inlineStr"/>
      <s:c r="B30412" s="121" t="n"/>
      <s:c r="C30412" s="121" t="n"/>
      <s:c r="D30412" s="121" t="n"/>
      <s:c r="E30412" s="122" t="n"/>
    </s:row>
    <s:row r="30413" hidden="1" ht="1" customHeight="1">
      <s:c r="A30413" s="120" t="inlineStr"/>
      <s:c r="B30413" s="121" t="n"/>
      <s:c r="C30413" s="121" t="n"/>
      <s:c r="D30413" s="121" t="n"/>
      <s:c r="E30413" s="122" t="n"/>
    </s:row>
    <s:row r="30414" hidden="1" ht="1" customHeight="1">
      <s:c r="A30414" s="120" t="inlineStr"/>
      <s:c r="B30414" s="121" t="n"/>
      <s:c r="C30414" s="121" t="n"/>
      <s:c r="D30414" s="121" t="n"/>
      <s:c r="E30414" s="122" t="n"/>
    </s:row>
    <s:row r="30415" hidden="1" ht="1" customHeight="1">
      <s:c r="A30415" s="120" t="inlineStr"/>
      <s:c r="B30415" s="121" t="n"/>
      <s:c r="C30415" s="121" t="n"/>
      <s:c r="D30415" s="121" t="n"/>
      <s:c r="E30415" s="122" t="n"/>
    </s:row>
    <s:row r="30416" hidden="1" ht="1" customHeight="1">
      <s:c r="A30416" s="120" t="inlineStr"/>
      <s:c r="B30416" s="121" t="n"/>
      <s:c r="C30416" s="121" t="n"/>
      <s:c r="D30416" s="121" t="n"/>
      <s:c r="E30416" s="122" t="n"/>
    </s:row>
    <s:row r="30417" hidden="1" ht="1" customHeight="1">
      <s:c r="A30417" s="120" t="inlineStr"/>
      <s:c r="B30417" s="121" t="n"/>
      <s:c r="C30417" s="121" t="n"/>
      <s:c r="D30417" s="121" t="n"/>
      <s:c r="E30417" s="122" t="n"/>
    </s:row>
    <s:row r="30418" hidden="1" ht="1" customHeight="1">
      <s:c r="A30418" s="120" t="inlineStr"/>
      <s:c r="B30418" s="121" t="n"/>
      <s:c r="C30418" s="121" t="n"/>
      <s:c r="D30418" s="121" t="n"/>
      <s:c r="E30418" s="122" t="n"/>
    </s:row>
    <s:row r="30419" hidden="1" ht="1" customHeight="1">
      <s:c r="A30419" s="120" t="inlineStr"/>
      <s:c r="B30419" s="121" t="n"/>
      <s:c r="C30419" s="121" t="n"/>
      <s:c r="D30419" s="121" t="n"/>
      <s:c r="E30419" s="122" t="n"/>
    </s:row>
    <s:row r="30420" hidden="1" ht="1" customHeight="1">
      <s:c r="A30420" s="120" t="inlineStr"/>
      <s:c r="B30420" s="121" t="n"/>
      <s:c r="C30420" s="121" t="n"/>
      <s:c r="D30420" s="121" t="n"/>
      <s:c r="E30420" s="122" t="n"/>
    </s:row>
    <s:row r="30421" hidden="1" ht="1" customHeight="1">
      <s:c r="A30421" s="120" t="inlineStr"/>
      <s:c r="B30421" s="121" t="n"/>
      <s:c r="C30421" s="121" t="n"/>
      <s:c r="D30421" s="121" t="n"/>
      <s:c r="E30421" s="122" t="n"/>
    </s:row>
    <s:row r="30422" hidden="1" ht="1" customHeight="1">
      <s:c r="A30422" s="120" t="inlineStr"/>
      <s:c r="B30422" s="121" t="n"/>
      <s:c r="C30422" s="121" t="n"/>
      <s:c r="D30422" s="121" t="n"/>
      <s:c r="E30422" s="122" t="n"/>
    </s:row>
    <s:row r="30423" hidden="1" ht="1" customHeight="1">
      <s:c r="A30423" s="120" t="inlineStr"/>
      <s:c r="B30423" s="121" t="n"/>
      <s:c r="C30423" s="121" t="n"/>
      <s:c r="D30423" s="121" t="n"/>
      <s:c r="E30423" s="122" t="n"/>
    </s:row>
    <s:row r="30424" hidden="1" ht="1" customHeight="1">
      <s:c r="A30424" s="120" t="inlineStr"/>
      <s:c r="B30424" s="121" t="n"/>
      <s:c r="C30424" s="121" t="n"/>
      <s:c r="D30424" s="121" t="n"/>
      <s:c r="E30424" s="122" t="n"/>
    </s:row>
    <s:row r="30425" hidden="1" ht="1" customHeight="1">
      <s:c r="A30425" s="120" t="inlineStr"/>
      <s:c r="B30425" s="121" t="n"/>
      <s:c r="C30425" s="121" t="n"/>
      <s:c r="D30425" s="121" t="n"/>
      <s:c r="E30425" s="122" t="n"/>
    </s:row>
    <s:row r="30426" hidden="1" ht="1" customHeight="1">
      <s:c r="A30426" s="120" t="inlineStr"/>
      <s:c r="B30426" s="121" t="n"/>
      <s:c r="C30426" s="121" t="n"/>
      <s:c r="D30426" s="121" t="n"/>
      <s:c r="E30426" s="122" t="n"/>
    </s:row>
    <s:row r="30427" hidden="1" ht="1" customHeight="1">
      <s:c r="A30427" s="120" t="inlineStr"/>
      <s:c r="B30427" s="121" t="n"/>
      <s:c r="C30427" s="121" t="n"/>
      <s:c r="D30427" s="121" t="n"/>
      <s:c r="E30427" s="122" t="n"/>
    </s:row>
    <s:row r="30428" hidden="1" ht="1" customHeight="1">
      <s:c r="A30428" s="120" t="inlineStr"/>
      <s:c r="B30428" s="121" t="n"/>
      <s:c r="C30428" s="121" t="n"/>
      <s:c r="D30428" s="121" t="n"/>
      <s:c r="E30428" s="122" t="n"/>
    </s:row>
    <s:row r="30429" hidden="1" ht="1" customHeight="1">
      <s:c r="A30429" s="120" t="inlineStr"/>
      <s:c r="B30429" s="121" t="n"/>
      <s:c r="C30429" s="121" t="n"/>
      <s:c r="D30429" s="121" t="n"/>
      <s:c r="E30429" s="122" t="n"/>
    </s:row>
    <s:row r="30430" hidden="1" ht="1" customHeight="1">
      <s:c r="A30430" s="120" t="inlineStr"/>
      <s:c r="B30430" s="121" t="n"/>
      <s:c r="C30430" s="121" t="n"/>
      <s:c r="D30430" s="121" t="n"/>
      <s:c r="E30430" s="122" t="n"/>
    </s:row>
    <s:row r="30431" hidden="1" ht="1" customHeight="1">
      <s:c r="A30431" s="120" t="inlineStr"/>
      <s:c r="B30431" s="121" t="n"/>
      <s:c r="C30431" s="121" t="n"/>
      <s:c r="D30431" s="121" t="n"/>
      <s:c r="E30431" s="122" t="n"/>
    </s:row>
    <s:row r="30432" hidden="1" ht="1" customHeight="1">
      <s:c r="A30432" s="120" t="inlineStr"/>
      <s:c r="B30432" s="121" t="n"/>
      <s:c r="C30432" s="121" t="n"/>
      <s:c r="D30432" s="121" t="n"/>
      <s:c r="E30432" s="122" t="n"/>
    </s:row>
    <s:row r="30433" hidden="1" ht="1" customHeight="1">
      <s:c r="A30433" s="120" t="inlineStr"/>
      <s:c r="B30433" s="121" t="n"/>
      <s:c r="C30433" s="121" t="n"/>
      <s:c r="D30433" s="121" t="n"/>
      <s:c r="E30433" s="122" t="n"/>
    </s:row>
    <s:row r="30434" hidden="1" ht="1" customHeight="1">
      <s:c r="A30434" s="120" t="inlineStr"/>
      <s:c r="B30434" s="121" t="n"/>
      <s:c r="C30434" s="121" t="n"/>
      <s:c r="D30434" s="121" t="n"/>
      <s:c r="E30434" s="122" t="n"/>
    </s:row>
    <s:row r="30435" hidden="1" ht="1" customHeight="1">
      <s:c r="A30435" s="120" t="inlineStr"/>
      <s:c r="B30435" s="121" t="n"/>
      <s:c r="C30435" s="121" t="n"/>
      <s:c r="D30435" s="121" t="n"/>
      <s:c r="E30435" s="122" t="n"/>
    </s:row>
    <s:row r="30436" hidden="1" ht="1" customHeight="1">
      <s:c r="A30436" s="120" t="inlineStr"/>
      <s:c r="B30436" s="121" t="n"/>
      <s:c r="C30436" s="121" t="n"/>
      <s:c r="D30436" s="121" t="n"/>
      <s:c r="E30436" s="122" t="n"/>
    </s:row>
    <s:row r="30437" hidden="1" ht="1" customHeight="1">
      <s:c r="A30437" s="120" t="inlineStr"/>
      <s:c r="B30437" s="121" t="n"/>
      <s:c r="C30437" s="121" t="n"/>
      <s:c r="D30437" s="121" t="n"/>
      <s:c r="E30437" s="122" t="n"/>
    </s:row>
    <s:row r="30438" hidden="1" ht="1" customHeight="1">
      <s:c r="A30438" s="120" t="inlineStr"/>
      <s:c r="B30438" s="121" t="n"/>
      <s:c r="C30438" s="121" t="n"/>
      <s:c r="D30438" s="121" t="n"/>
      <s:c r="E30438" s="122" t="n"/>
    </s:row>
    <s:row r="30439" hidden="1" ht="1" customHeight="1">
      <s:c r="A30439" s="120" t="inlineStr"/>
      <s:c r="B30439" s="121" t="n"/>
      <s:c r="C30439" s="121" t="n"/>
      <s:c r="D30439" s="121" t="n"/>
      <s:c r="E30439" s="122" t="n"/>
    </s:row>
    <s:row r="30440" hidden="1" ht="1" customHeight="1">
      <s:c r="A30440" s="120" t="inlineStr"/>
      <s:c r="B30440" s="121" t="n"/>
      <s:c r="C30440" s="121" t="n"/>
      <s:c r="D30440" s="121" t="n"/>
      <s:c r="E30440" s="122" t="n"/>
    </s:row>
    <s:row r="30441" hidden="1" ht="1" customHeight="1">
      <s:c r="A30441" s="120" t="inlineStr"/>
      <s:c r="B30441" s="121" t="n"/>
      <s:c r="C30441" s="121" t="n"/>
      <s:c r="D30441" s="121" t="n"/>
      <s:c r="E30441" s="122" t="n"/>
    </s:row>
    <s:row r="30442" hidden="1" ht="1" customHeight="1">
      <s:c r="A30442" s="120" t="inlineStr"/>
      <s:c r="B30442" s="121" t="n"/>
      <s:c r="C30442" s="121" t="n"/>
      <s:c r="D30442" s="121" t="n"/>
      <s:c r="E30442" s="122" t="n"/>
    </s:row>
    <s:row r="30443" hidden="1" ht="1" customHeight="1">
      <s:c r="A30443" s="120" t="inlineStr"/>
      <s:c r="B30443" s="121" t="n"/>
      <s:c r="C30443" s="121" t="n"/>
      <s:c r="D30443" s="121" t="n"/>
      <s:c r="E30443" s="122" t="n"/>
    </s:row>
    <s:row r="30444" hidden="1" ht="1" customHeight="1">
      <s:c r="A30444" s="120" t="inlineStr"/>
      <s:c r="B30444" s="121" t="n"/>
      <s:c r="C30444" s="121" t="n"/>
      <s:c r="D30444" s="121" t="n"/>
      <s:c r="E30444" s="122" t="n"/>
    </s:row>
    <s:row r="30445" hidden="1" ht="1" customHeight="1">
      <s:c r="A30445" s="120" t="inlineStr"/>
      <s:c r="B30445" s="121" t="n"/>
      <s:c r="C30445" s="121" t="n"/>
      <s:c r="D30445" s="121" t="n"/>
      <s:c r="E30445" s="122" t="n"/>
    </s:row>
    <s:row r="30446" hidden="1" ht="1" customHeight="1">
      <s:c r="A30446" s="120" t="inlineStr"/>
      <s:c r="B30446" s="121" t="n"/>
      <s:c r="C30446" s="121" t="n"/>
      <s:c r="D30446" s="121" t="n"/>
      <s:c r="E30446" s="122" t="n"/>
    </s:row>
    <s:row r="30447" hidden="1" ht="1" customHeight="1">
      <s:c r="A30447" s="120" t="inlineStr"/>
      <s:c r="B30447" s="121" t="n"/>
      <s:c r="C30447" s="121" t="n"/>
      <s:c r="D30447" s="121" t="n"/>
      <s:c r="E30447" s="122" t="n"/>
    </s:row>
    <s:row r="30448" hidden="1" ht="1" customHeight="1">
      <s:c r="A30448" s="120" t="inlineStr"/>
      <s:c r="B30448" s="121" t="n"/>
      <s:c r="C30448" s="121" t="n"/>
      <s:c r="D30448" s="121" t="n"/>
      <s:c r="E30448" s="122" t="n"/>
    </s:row>
    <s:row r="30449" hidden="1" ht="1" customHeight="1">
      <s:c r="A30449" s="120" t="inlineStr"/>
      <s:c r="B30449" s="121" t="n"/>
      <s:c r="C30449" s="121" t="n"/>
      <s:c r="D30449" s="121" t="n"/>
      <s:c r="E30449" s="122" t="n"/>
    </s:row>
    <s:row r="30450" hidden="1" ht="1" customHeight="1">
      <s:c r="A30450" s="120" t="inlineStr"/>
      <s:c r="B30450" s="121" t="n"/>
      <s:c r="C30450" s="121" t="n"/>
      <s:c r="D30450" s="121" t="n"/>
      <s:c r="E30450" s="122" t="n"/>
    </s:row>
    <s:row r="30451" hidden="1" ht="1" customHeight="1">
      <s:c r="A30451" s="120" t="inlineStr"/>
      <s:c r="B30451" s="121" t="n"/>
      <s:c r="C30451" s="121" t="n"/>
      <s:c r="D30451" s="121" t="n"/>
      <s:c r="E30451" s="122" t="n"/>
    </s:row>
    <s:row r="30452" hidden="1" ht="1" customHeight="1">
      <s:c r="A30452" s="120" t="inlineStr"/>
      <s:c r="B30452" s="121" t="n"/>
      <s:c r="C30452" s="121" t="n"/>
      <s:c r="D30452" s="121" t="n"/>
      <s:c r="E30452" s="122" t="n"/>
    </s:row>
    <s:row r="30453" hidden="1" ht="1" customHeight="1">
      <s:c r="A30453" s="120" t="inlineStr"/>
      <s:c r="B30453" s="121" t="n"/>
      <s:c r="C30453" s="121" t="n"/>
      <s:c r="D30453" s="121" t="n"/>
      <s:c r="E30453" s="122" t="n"/>
    </s:row>
    <s:row r="30454" hidden="1" ht="1" customHeight="1">
      <s:c r="A30454" s="120" t="inlineStr"/>
      <s:c r="B30454" s="121" t="n"/>
      <s:c r="C30454" s="121" t="n"/>
      <s:c r="D30454" s="121" t="n"/>
      <s:c r="E30454" s="122" t="n"/>
    </s:row>
    <s:row r="30455" hidden="1" ht="1" customHeight="1">
      <s:c r="A30455" s="120" t="inlineStr"/>
      <s:c r="B30455" s="121" t="n"/>
      <s:c r="C30455" s="121" t="n"/>
      <s:c r="D30455" s="121" t="n"/>
      <s:c r="E30455" s="122" t="n"/>
    </s:row>
    <s:row r="30456" hidden="1" ht="1" customHeight="1">
      <s:c r="A30456" s="120" t="inlineStr"/>
      <s:c r="B30456" s="121" t="n"/>
      <s:c r="C30456" s="121" t="n"/>
      <s:c r="D30456" s="121" t="n"/>
      <s:c r="E30456" s="122" t="n"/>
    </s:row>
    <s:row r="30457" hidden="1" ht="1" customHeight="1">
      <s:c r="A30457" s="120" t="inlineStr"/>
      <s:c r="B30457" s="121" t="n"/>
      <s:c r="C30457" s="121" t="n"/>
      <s:c r="D30457" s="121" t="n"/>
      <s:c r="E30457" s="122" t="n"/>
    </s:row>
    <s:row r="30458" hidden="1" ht="1" customHeight="1">
      <s:c r="A30458" s="120" t="inlineStr"/>
      <s:c r="B30458" s="121" t="n"/>
      <s:c r="C30458" s="121" t="n"/>
      <s:c r="D30458" s="121" t="n"/>
      <s:c r="E30458" s="122" t="n"/>
    </s:row>
    <s:row r="30459" hidden="1" ht="1" customHeight="1">
      <s:c r="A30459" s="120" t="inlineStr"/>
      <s:c r="B30459" s="121" t="n"/>
      <s:c r="C30459" s="121" t="n"/>
      <s:c r="D30459" s="121" t="n"/>
      <s:c r="E30459" s="122" t="n"/>
    </s:row>
    <s:row r="30460" hidden="1" ht="1" customHeight="1">
      <s:c r="A30460" s="120" t="inlineStr"/>
      <s:c r="B30460" s="121" t="n"/>
      <s:c r="C30460" s="121" t="n"/>
      <s:c r="D30460" s="121" t="n"/>
      <s:c r="E30460" s="122" t="n"/>
    </s:row>
    <s:row r="30461" hidden="1" ht="1" customHeight="1">
      <s:c r="A30461" s="120" t="inlineStr"/>
      <s:c r="B30461" s="121" t="n"/>
      <s:c r="C30461" s="121" t="n"/>
      <s:c r="D30461" s="121" t="n"/>
      <s:c r="E30461" s="122" t="n"/>
    </s:row>
    <s:row r="30462" hidden="1" ht="1" customHeight="1">
      <s:c r="A30462" s="120" t="inlineStr"/>
      <s:c r="B30462" s="121" t="n"/>
      <s:c r="C30462" s="121" t="n"/>
      <s:c r="D30462" s="121" t="n"/>
      <s:c r="E30462" s="122" t="n"/>
    </s:row>
    <s:row r="30463" hidden="1" ht="1" customHeight="1">
      <s:c r="A30463" s="120" t="inlineStr"/>
      <s:c r="B30463" s="121" t="n"/>
      <s:c r="C30463" s="121" t="n"/>
      <s:c r="D30463" s="121" t="n"/>
      <s:c r="E30463" s="122" t="n"/>
    </s:row>
    <s:row r="30464" hidden="1" ht="1" customHeight="1">
      <s:c r="A30464" s="120" t="inlineStr"/>
      <s:c r="B30464" s="121" t="n"/>
      <s:c r="C30464" s="121" t="n"/>
      <s:c r="D30464" s="121" t="n"/>
      <s:c r="E30464" s="122" t="n"/>
    </s:row>
    <s:row r="30465" hidden="1" ht="1" customHeight="1">
      <s:c r="A30465" s="120" t="inlineStr"/>
      <s:c r="B30465" s="121" t="n"/>
      <s:c r="C30465" s="121" t="n"/>
      <s:c r="D30465" s="121" t="n"/>
      <s:c r="E30465" s="122" t="n"/>
    </s:row>
    <s:row r="30466" hidden="1" ht="1" customHeight="1">
      <s:c r="A30466" s="120" t="inlineStr"/>
      <s:c r="B30466" s="121" t="n"/>
      <s:c r="C30466" s="121" t="n"/>
      <s:c r="D30466" s="121" t="n"/>
      <s:c r="E30466" s="122" t="n"/>
    </s:row>
    <s:row r="30467" hidden="1" ht="1" customHeight="1">
      <s:c r="A30467" s="120" t="inlineStr"/>
      <s:c r="B30467" s="121" t="n"/>
      <s:c r="C30467" s="121" t="n"/>
      <s:c r="D30467" s="121" t="n"/>
      <s:c r="E30467" s="122" t="n"/>
    </s:row>
    <s:row r="30468" hidden="1" ht="1" customHeight="1">
      <s:c r="A30468" s="120" t="inlineStr"/>
      <s:c r="B30468" s="121" t="n"/>
      <s:c r="C30468" s="121" t="n"/>
      <s:c r="D30468" s="121" t="n"/>
      <s:c r="E30468" s="122" t="n"/>
    </s:row>
    <s:row r="30469" hidden="1" ht="1" customHeight="1">
      <s:c r="A30469" s="120" t="inlineStr"/>
      <s:c r="B30469" s="121" t="n"/>
      <s:c r="C30469" s="121" t="n"/>
      <s:c r="D30469" s="121" t="n"/>
      <s:c r="E30469" s="122" t="n"/>
    </s:row>
    <s:row r="30470" hidden="1" ht="1" customHeight="1">
      <s:c r="A30470" s="120" t="inlineStr"/>
      <s:c r="B30470" s="121" t="n"/>
      <s:c r="C30470" s="121" t="n"/>
      <s:c r="D30470" s="121" t="n"/>
      <s:c r="E30470" s="122" t="n"/>
    </s:row>
    <s:row r="30471" hidden="1" ht="1" customHeight="1">
      <s:c r="A30471" s="120" t="inlineStr"/>
      <s:c r="B30471" s="121" t="n"/>
      <s:c r="C30471" s="121" t="n"/>
      <s:c r="D30471" s="121" t="n"/>
      <s:c r="E30471" s="122" t="n"/>
    </s:row>
    <s:row r="30472" hidden="1" ht="1" customHeight="1">
      <s:c r="A30472" s="120" t="inlineStr"/>
      <s:c r="B30472" s="121" t="n"/>
      <s:c r="C30472" s="121" t="n"/>
      <s:c r="D30472" s="121" t="n"/>
      <s:c r="E30472" s="122" t="n"/>
    </s:row>
    <s:row r="30473" hidden="1" ht="1" customHeight="1">
      <s:c r="A30473" s="120" t="inlineStr"/>
      <s:c r="B30473" s="121" t="n"/>
      <s:c r="C30473" s="121" t="n"/>
      <s:c r="D30473" s="121" t="n"/>
      <s:c r="E30473" s="122" t="n"/>
    </s:row>
    <s:row r="30474" hidden="1" ht="1" customHeight="1">
      <s:c r="A30474" s="120" t="inlineStr"/>
      <s:c r="B30474" s="121" t="n"/>
      <s:c r="C30474" s="121" t="n"/>
      <s:c r="D30474" s="121" t="n"/>
      <s:c r="E30474" s="122" t="n"/>
    </s:row>
    <s:row r="30475" hidden="1" ht="1" customHeight="1">
      <s:c r="A30475" s="120" t="inlineStr"/>
      <s:c r="B30475" s="121" t="n"/>
      <s:c r="C30475" s="121" t="n"/>
      <s:c r="D30475" s="121" t="n"/>
      <s:c r="E30475" s="122" t="n"/>
    </s:row>
    <s:row r="30476" hidden="1" ht="1" customHeight="1">
      <s:c r="A30476" s="120" t="inlineStr"/>
      <s:c r="B30476" s="121" t="n"/>
      <s:c r="C30476" s="121" t="n"/>
      <s:c r="D30476" s="121" t="n"/>
      <s:c r="E30476" s="122" t="n"/>
    </s:row>
    <s:row r="30477" hidden="1" ht="1" customHeight="1">
      <s:c r="A30477" s="120" t="inlineStr"/>
      <s:c r="B30477" s="121" t="n"/>
      <s:c r="C30477" s="121" t="n"/>
      <s:c r="D30477" s="121" t="n"/>
      <s:c r="E30477" s="122" t="n"/>
    </s:row>
    <s:row r="30478" hidden="1" ht="1" customHeight="1">
      <s:c r="A30478" s="120" t="inlineStr"/>
      <s:c r="B30478" s="121" t="n"/>
      <s:c r="C30478" s="121" t="n"/>
      <s:c r="D30478" s="121" t="n"/>
      <s:c r="E30478" s="122" t="n"/>
    </s:row>
    <s:row r="30479" hidden="1" ht="1" customHeight="1">
      <s:c r="A30479" s="120" t="inlineStr"/>
      <s:c r="B30479" s="121" t="n"/>
      <s:c r="C30479" s="121" t="n"/>
      <s:c r="D30479" s="121" t="n"/>
      <s:c r="E30479" s="122" t="n"/>
    </s:row>
    <s:row r="30480" hidden="1" ht="1" customHeight="1">
      <s:c r="A30480" s="120" t="inlineStr"/>
      <s:c r="B30480" s="121" t="n"/>
      <s:c r="C30480" s="121" t="n"/>
      <s:c r="D30480" s="121" t="n"/>
      <s:c r="E30480" s="122" t="n"/>
    </s:row>
    <s:row r="30481" hidden="1" ht="1" customHeight="1">
      <s:c r="A30481" s="120" t="inlineStr"/>
      <s:c r="B30481" s="121" t="n"/>
      <s:c r="C30481" s="121" t="n"/>
      <s:c r="D30481" s="121" t="n"/>
      <s:c r="E30481" s="122" t="n"/>
    </s:row>
    <s:row r="30482" hidden="1" ht="1" customHeight="1">
      <s:c r="A30482" s="120" t="inlineStr"/>
      <s:c r="B30482" s="121" t="n"/>
      <s:c r="C30482" s="121" t="n"/>
      <s:c r="D30482" s="121" t="n"/>
      <s:c r="E30482" s="122" t="n"/>
    </s:row>
    <s:row r="30483" hidden="1" ht="1" customHeight="1">
      <s:c r="A30483" s="120" t="inlineStr"/>
      <s:c r="B30483" s="121" t="n"/>
      <s:c r="C30483" s="121" t="n"/>
      <s:c r="D30483" s="121" t="n"/>
      <s:c r="E30483" s="122" t="n"/>
    </s:row>
    <s:row r="30484" hidden="1" ht="1" customHeight="1">
      <s:c r="A30484" s="120" t="inlineStr"/>
      <s:c r="B30484" s="121" t="n"/>
      <s:c r="C30484" s="121" t="n"/>
      <s:c r="D30484" s="121" t="n"/>
      <s:c r="E30484" s="122" t="n"/>
    </s:row>
    <s:row r="30485" hidden="1" ht="1" customHeight="1">
      <s:c r="A30485" s="120" t="inlineStr"/>
      <s:c r="B30485" s="121" t="n"/>
      <s:c r="C30485" s="121" t="n"/>
      <s:c r="D30485" s="121" t="n"/>
      <s:c r="E30485" s="122" t="n"/>
    </s:row>
    <s:row r="30486" hidden="1" ht="1" customHeight="1">
      <s:c r="A30486" s="120" t="inlineStr"/>
      <s:c r="B30486" s="121" t="n"/>
      <s:c r="C30486" s="121" t="n"/>
      <s:c r="D30486" s="121" t="n"/>
      <s:c r="E30486" s="122" t="n"/>
    </s:row>
    <s:row r="30487" hidden="1" ht="1" customHeight="1">
      <s:c r="A30487" s="120" t="inlineStr"/>
      <s:c r="B30487" s="121" t="n"/>
      <s:c r="C30487" s="121" t="n"/>
      <s:c r="D30487" s="121" t="n"/>
      <s:c r="E30487" s="122" t="n"/>
    </s:row>
    <s:row r="30488" hidden="1" ht="1" customHeight="1">
      <s:c r="A30488" s="120" t="inlineStr"/>
      <s:c r="B30488" s="121" t="n"/>
      <s:c r="C30488" s="121" t="n"/>
      <s:c r="D30488" s="121" t="n"/>
      <s:c r="E30488" s="122" t="n"/>
    </s:row>
    <s:row r="30489" hidden="1" ht="1" customHeight="1">
      <s:c r="A30489" s="120" t="inlineStr"/>
      <s:c r="B30489" s="121" t="n"/>
      <s:c r="C30489" s="121" t="n"/>
      <s:c r="D30489" s="121" t="n"/>
      <s:c r="E30489" s="122" t="n"/>
    </s:row>
    <s:row r="30490" hidden="1" ht="1" customHeight="1">
      <s:c r="A30490" s="120" t="inlineStr"/>
      <s:c r="B30490" s="121" t="n"/>
      <s:c r="C30490" s="121" t="n"/>
      <s:c r="D30490" s="121" t="n"/>
      <s:c r="E30490" s="122" t="n"/>
    </s:row>
    <s:row r="30491" hidden="1" ht="1" customHeight="1">
      <s:c r="A30491" s="120" t="inlineStr"/>
      <s:c r="B30491" s="121" t="n"/>
      <s:c r="C30491" s="121" t="n"/>
      <s:c r="D30491" s="121" t="n"/>
      <s:c r="E30491" s="122" t="n"/>
    </s:row>
    <s:row r="30492" hidden="1" ht="1" customHeight="1">
      <s:c r="A30492" s="120" t="inlineStr"/>
      <s:c r="B30492" s="121" t="n"/>
      <s:c r="C30492" s="121" t="n"/>
      <s:c r="D30492" s="121" t="n"/>
      <s:c r="E30492" s="122" t="n"/>
    </s:row>
    <s:row r="30493" hidden="1" ht="1" customHeight="1">
      <s:c r="A30493" s="120" t="inlineStr"/>
      <s:c r="B30493" s="121" t="n"/>
      <s:c r="C30493" s="121" t="n"/>
      <s:c r="D30493" s="121" t="n"/>
      <s:c r="E30493" s="122" t="n"/>
    </s:row>
    <s:row r="30494" hidden="1" ht="1" customHeight="1">
      <s:c r="A30494" s="120" t="inlineStr"/>
      <s:c r="B30494" s="121" t="n"/>
      <s:c r="C30494" s="121" t="n"/>
      <s:c r="D30494" s="121" t="n"/>
      <s:c r="E30494" s="122" t="n"/>
    </s:row>
    <s:row r="30495" hidden="1" ht="1" customHeight="1">
      <s:c r="A30495" s="120" t="inlineStr"/>
      <s:c r="B30495" s="121" t="n"/>
      <s:c r="C30495" s="121" t="n"/>
      <s:c r="D30495" s="121" t="n"/>
      <s:c r="E30495" s="122" t="n"/>
    </s:row>
    <s:row r="30496" hidden="1" ht="1" customHeight="1">
      <s:c r="A30496" s="120" t="inlineStr"/>
      <s:c r="B30496" s="121" t="n"/>
      <s:c r="C30496" s="121" t="n"/>
      <s:c r="D30496" s="121" t="n"/>
      <s:c r="E30496" s="122" t="n"/>
    </s:row>
    <s:row r="30497" hidden="1" ht="1" customHeight="1">
      <s:c r="A30497" s="120" t="inlineStr"/>
      <s:c r="B30497" s="121" t="n"/>
      <s:c r="C30497" s="121" t="n"/>
      <s:c r="D30497" s="121" t="n"/>
      <s:c r="E30497" s="122" t="n"/>
    </s:row>
    <s:row r="30498" hidden="1" ht="1" customHeight="1">
      <s:c r="A30498" s="120" t="inlineStr"/>
      <s:c r="B30498" s="121" t="n"/>
      <s:c r="C30498" s="121" t="n"/>
      <s:c r="D30498" s="121" t="n"/>
      <s:c r="E30498" s="122" t="n"/>
    </s:row>
    <s:row r="30499" hidden="1" ht="1" customHeight="1">
      <s:c r="A30499" s="120" t="inlineStr"/>
      <s:c r="B30499" s="121" t="n"/>
      <s:c r="C30499" s="121" t="n"/>
      <s:c r="D30499" s="121" t="n"/>
      <s:c r="E30499" s="122" t="n"/>
    </s:row>
    <s:row r="30500" hidden="1" ht="1" customHeight="1">
      <s:c r="A30500" s="120" t="inlineStr"/>
      <s:c r="B30500" s="121" t="n"/>
      <s:c r="C30500" s="121" t="n"/>
      <s:c r="D30500" s="121" t="n"/>
      <s:c r="E30500" s="122" t="n"/>
    </s:row>
    <s:row r="30501" hidden="1" ht="1" customHeight="1">
      <s:c r="A30501" s="120" t="inlineStr"/>
      <s:c r="B30501" s="121" t="n"/>
      <s:c r="C30501" s="121" t="n"/>
      <s:c r="D30501" s="121" t="n"/>
      <s:c r="E30501" s="122" t="n"/>
    </s:row>
    <s:row r="30502" hidden="1" ht="1" customHeight="1">
      <s:c r="A30502" s="120" t="inlineStr"/>
      <s:c r="B30502" s="121" t="n"/>
      <s:c r="C30502" s="121" t="n"/>
      <s:c r="D30502" s="121" t="n"/>
      <s:c r="E30502" s="122" t="n"/>
    </s:row>
    <s:row r="30503" hidden="1" ht="1" customHeight="1">
      <s:c r="A30503" s="120" t="inlineStr"/>
      <s:c r="B30503" s="121" t="n"/>
      <s:c r="C30503" s="121" t="n"/>
      <s:c r="D30503" s="121" t="n"/>
      <s:c r="E30503" s="122" t="n"/>
    </s:row>
    <s:row r="30504" hidden="1" ht="1" customHeight="1">
      <s:c r="A30504" s="120" t="inlineStr"/>
      <s:c r="B30504" s="121" t="n"/>
      <s:c r="C30504" s="121" t="n"/>
      <s:c r="D30504" s="121" t="n"/>
      <s:c r="E30504" s="122" t="n"/>
    </s:row>
    <s:row r="30505" hidden="1" ht="1" customHeight="1">
      <s:c r="A30505" s="120" t="inlineStr"/>
      <s:c r="B30505" s="121" t="n"/>
      <s:c r="C30505" s="121" t="n"/>
      <s:c r="D30505" s="121" t="n"/>
      <s:c r="E30505" s="122" t="n"/>
    </s:row>
    <s:row r="30506" hidden="1" ht="1" customHeight="1">
      <s:c r="A30506" s="120" t="inlineStr"/>
      <s:c r="B30506" s="121" t="n"/>
      <s:c r="C30506" s="121" t="n"/>
      <s:c r="D30506" s="121" t="n"/>
      <s:c r="E30506" s="122" t="n"/>
    </s:row>
    <s:row r="30507" hidden="1" ht="1" customHeight="1">
      <s:c r="A30507" s="120" t="inlineStr"/>
      <s:c r="B30507" s="121" t="n"/>
      <s:c r="C30507" s="121" t="n"/>
      <s:c r="D30507" s="121" t="n"/>
      <s:c r="E30507" s="122" t="n"/>
    </s:row>
    <s:row r="30508" hidden="1" ht="1" customHeight="1">
      <s:c r="A30508" s="120" t="inlineStr"/>
      <s:c r="B30508" s="121" t="n"/>
      <s:c r="C30508" s="121" t="n"/>
      <s:c r="D30508" s="121" t="n"/>
      <s:c r="E30508" s="122" t="n"/>
    </s:row>
    <s:row r="30509" hidden="1" ht="1" customHeight="1">
      <s:c r="A30509" s="120" t="inlineStr"/>
      <s:c r="B30509" s="121" t="n"/>
      <s:c r="C30509" s="121" t="n"/>
      <s:c r="D30509" s="121" t="n"/>
      <s:c r="E30509" s="122" t="n"/>
    </s:row>
    <s:row r="30510" hidden="1" ht="1" customHeight="1">
      <s:c r="A30510" s="120" t="inlineStr"/>
      <s:c r="B30510" s="121" t="n"/>
      <s:c r="C30510" s="121" t="n"/>
      <s:c r="D30510" s="121" t="n"/>
      <s:c r="E30510" s="122" t="n"/>
    </s:row>
    <s:row r="30511" hidden="1" ht="1" customHeight="1">
      <s:c r="A30511" s="120" t="inlineStr"/>
      <s:c r="B30511" s="121" t="n"/>
      <s:c r="C30511" s="121" t="n"/>
      <s:c r="D30511" s="121" t="n"/>
      <s:c r="E30511" s="122" t="n"/>
    </s:row>
    <s:row r="30512" hidden="1" ht="1" customHeight="1">
      <s:c r="A30512" s="120" t="inlineStr"/>
      <s:c r="B30512" s="121" t="n"/>
      <s:c r="C30512" s="121" t="n"/>
      <s:c r="D30512" s="121" t="n"/>
      <s:c r="E30512" s="122" t="n"/>
    </s:row>
    <s:row r="30513" hidden="1" ht="1" customHeight="1">
      <s:c r="A30513" s="120" t="inlineStr"/>
      <s:c r="B30513" s="121" t="n"/>
      <s:c r="C30513" s="121" t="n"/>
      <s:c r="D30513" s="121" t="n"/>
      <s:c r="E30513" s="122" t="n"/>
    </s:row>
    <s:row r="30514" hidden="1" ht="1" customHeight="1">
      <s:c r="A30514" s="120" t="inlineStr"/>
      <s:c r="B30514" s="121" t="n"/>
      <s:c r="C30514" s="121" t="n"/>
      <s:c r="D30514" s="121" t="n"/>
      <s:c r="E30514" s="122" t="n"/>
    </s:row>
    <s:row r="30515" hidden="1" ht="1" customHeight="1">
      <s:c r="A30515" s="120" t="inlineStr"/>
      <s:c r="B30515" s="121" t="n"/>
      <s:c r="C30515" s="121" t="n"/>
      <s:c r="D30515" s="121" t="n"/>
      <s:c r="E30515" s="122" t="n"/>
    </s:row>
    <s:row r="30516" hidden="1" ht="1" customHeight="1">
      <s:c r="A30516" s="120" t="inlineStr"/>
      <s:c r="B30516" s="121" t="n"/>
      <s:c r="C30516" s="121" t="n"/>
      <s:c r="D30516" s="121" t="n"/>
      <s:c r="E30516" s="122" t="n"/>
    </s:row>
    <s:row r="30517" hidden="1" ht="1" customHeight="1">
      <s:c r="A30517" s="120" t="inlineStr"/>
      <s:c r="B30517" s="121" t="n"/>
      <s:c r="C30517" s="121" t="n"/>
      <s:c r="D30517" s="121" t="n"/>
      <s:c r="E30517" s="122" t="n"/>
    </s:row>
    <s:row r="30518" hidden="1" ht="1" customHeight="1">
      <s:c r="A30518" s="120" t="inlineStr"/>
      <s:c r="B30518" s="121" t="n"/>
      <s:c r="C30518" s="121" t="n"/>
      <s:c r="D30518" s="121" t="n"/>
      <s:c r="E30518" s="122" t="n"/>
    </s:row>
    <s:row r="30519" hidden="1" ht="1" customHeight="1">
      <s:c r="A30519" s="120" t="inlineStr"/>
      <s:c r="B30519" s="121" t="n"/>
      <s:c r="C30519" s="121" t="n"/>
      <s:c r="D30519" s="121" t="n"/>
      <s:c r="E30519" s="122" t="n"/>
    </s:row>
    <s:row r="30520" hidden="1" ht="1" customHeight="1">
      <s:c r="A30520" s="120" t="inlineStr"/>
      <s:c r="B30520" s="121" t="n"/>
      <s:c r="C30520" s="121" t="n"/>
      <s:c r="D30520" s="121" t="n"/>
      <s:c r="E30520" s="122" t="n"/>
    </s:row>
    <s:row r="30521" hidden="1" ht="1" customHeight="1">
      <s:c r="A30521" s="120" t="inlineStr"/>
      <s:c r="B30521" s="121" t="n"/>
      <s:c r="C30521" s="121" t="n"/>
      <s:c r="D30521" s="121" t="n"/>
      <s:c r="E30521" s="122" t="n"/>
    </s:row>
    <s:row r="30522" hidden="1" ht="1" customHeight="1">
      <s:c r="A30522" s="120" t="inlineStr"/>
      <s:c r="B30522" s="121" t="n"/>
      <s:c r="C30522" s="121" t="n"/>
      <s:c r="D30522" s="121" t="n"/>
      <s:c r="E30522" s="122" t="n"/>
    </s:row>
    <s:row r="30523" hidden="1" ht="1" customHeight="1">
      <s:c r="A30523" s="120" t="inlineStr"/>
      <s:c r="B30523" s="121" t="n"/>
      <s:c r="C30523" s="121" t="n"/>
      <s:c r="D30523" s="121" t="n"/>
      <s:c r="E30523" s="122" t="n"/>
    </s:row>
    <s:row r="30524" hidden="1" ht="1" customHeight="1">
      <s:c r="A30524" s="120" t="inlineStr"/>
      <s:c r="B30524" s="121" t="n"/>
      <s:c r="C30524" s="121" t="n"/>
      <s:c r="D30524" s="121" t="n"/>
      <s:c r="E30524" s="122" t="n"/>
    </s:row>
    <s:row r="30525" hidden="1" ht="1" customHeight="1">
      <s:c r="A30525" s="120" t="inlineStr"/>
      <s:c r="B30525" s="121" t="n"/>
      <s:c r="C30525" s="121" t="n"/>
      <s:c r="D30525" s="121" t="n"/>
      <s:c r="E30525" s="122" t="n"/>
    </s:row>
    <s:row r="30526" hidden="1" ht="1" customHeight="1">
      <s:c r="A30526" s="120" t="inlineStr"/>
      <s:c r="B30526" s="121" t="n"/>
      <s:c r="C30526" s="121" t="n"/>
      <s:c r="D30526" s="121" t="n"/>
      <s:c r="E30526" s="122" t="n"/>
    </s:row>
    <s:row r="30527" hidden="1" ht="1" customHeight="1">
      <s:c r="A30527" s="120" t="inlineStr"/>
      <s:c r="B30527" s="121" t="n"/>
      <s:c r="C30527" s="121" t="n"/>
      <s:c r="D30527" s="121" t="n"/>
      <s:c r="E30527" s="122" t="n"/>
    </s:row>
    <s:row r="30528" hidden="1" ht="1" customHeight="1">
      <s:c r="A30528" s="120" t="inlineStr"/>
      <s:c r="B30528" s="121" t="n"/>
      <s:c r="C30528" s="121" t="n"/>
      <s:c r="D30528" s="121" t="n"/>
      <s:c r="E30528" s="122" t="n"/>
    </s:row>
    <s:row r="30529" hidden="1" ht="1" customHeight="1">
      <s:c r="A30529" s="120" t="inlineStr"/>
      <s:c r="B30529" s="121" t="n"/>
      <s:c r="C30529" s="121" t="n"/>
      <s:c r="D30529" s="121" t="n"/>
      <s:c r="E30529" s="122" t="n"/>
    </s:row>
    <s:row r="30530" hidden="1" ht="1" customHeight="1">
      <s:c r="A30530" s="120" t="inlineStr"/>
      <s:c r="B30530" s="121" t="n"/>
      <s:c r="C30530" s="121" t="n"/>
      <s:c r="D30530" s="121" t="n"/>
      <s:c r="E30530" s="122" t="n"/>
    </s:row>
    <s:row r="30531" hidden="1" ht="1" customHeight="1">
      <s:c r="A30531" s="120" t="inlineStr"/>
      <s:c r="B30531" s="121" t="n"/>
      <s:c r="C30531" s="121" t="n"/>
      <s:c r="D30531" s="121" t="n"/>
      <s:c r="E30531" s="122" t="n"/>
    </s:row>
    <s:row r="30532" hidden="1" ht="1" customHeight="1">
      <s:c r="A30532" s="83" t="inlineStr">
        <s:is>
          <s:t>PASS</s:t>
        </s:is>
      </s:c>
      <s:c r="B30532" s="83">
        <s:f>SUM(IF(EXACT('Kiểm thử'!E30382,"Đạt"),1,0),IF(EXACT('Kiểm thử'!E30384,"Đạt"),1,0),IF(EXACT('Kiểm thử'!E30386,"Đạt"),1,0))</s:f>
        <s:v/>
      </s:c>
      <s:c r="C30532" s="19" t="n"/>
      <s:c r="D30532" s="19" t="n"/>
      <s:c r="E30532" s="19" t="n"/>
    </s:row>
    <s:row r="30533" hidden="1" ht="1" customHeight="1">
      <s:c r="A30533" s="83" t="inlineStr">
        <s:is>
          <s:t>FAIL</s:t>
        </s:is>
      </s:c>
      <s:c r="B30533" s="83">
        <s:f>SUM(IF(EXACT('Kiểm thử'!E30382,"Không đạt"),1,0),IF(EXACT('Kiểm thử'!E30384,"Không đạt"),1,0),IF(EXACT('Kiểm thử'!E30386,"Không đạt"),1,0))</s:f>
        <s:v/>
      </s:c>
      <s:c r="C30533" s="19" t="n"/>
      <s:c r="D30533" s="19" t="n"/>
      <s:c r="E30533" s="19" t="n"/>
    </s:row>
    <s:row r="30534" hidden="1" ht="1" customHeight="1">
      <s:c r="A30534" s="83" t="inlineStr">
        <s:is>
          <s:t>BLOCKED</s:t>
        </s:is>
      </s:c>
      <s:c r="B30534" s="83">
        <s:f>SUM(IF(EXACT('Kiểm thử'!E30382,"Bị chặn"),1,0),IF(EXACT('Kiểm thử'!E30384,"Bị chặn"),1,0),IF(EXACT('Kiểm thử'!E30386,"Bị chặn"),1,0))</s:f>
        <s:v/>
      </s:c>
      <s:c r="C30534" s="19" t="n"/>
      <s:c r="D30534" s="19" t="n"/>
      <s:c r="E30534" s="19" t="n"/>
    </s:row>
    <s:row r="30535" hidden="1" ht="1" customHeight="1">
      <s:c r="A30535" s="83" t="inlineStr">
        <s:is>
          <s:t>SKIPPED</s:t>
        </s:is>
      </s:c>
      <s:c r="B30535" s="83">
        <s:f>SUM(IF(EXACT('Kiểm thử'!E30382,"Không thực hiện"),1,0),IF(EXACT('Kiểm thử'!E30384,"Không thực hiện"),1,0),IF(EXACT('Kiểm thử'!E30386,"Không thực hiện"),1,0))</s:f>
        <s:v/>
      </s:c>
      <s:c r="C30535" s="19" t="n"/>
      <s:c r="D30535" s="19" t="n"/>
      <s:c r="E30535" s="19" t="n"/>
    </s:row>
    <s:row r="30536" hidden="1" ht="1" customHeight="1">
      <s:c r="A30536" s="83" t="inlineStr">
        <s:is>
          <s:t>NOT RUN</s:t>
        </s:is>
      </s:c>
      <s:c r="B30536" s="83">
        <s:f>SUM(IF(EXACT('Kiểm thử'!E30382,"Chưa thực hiện"),1,0),IF(EXACT('Kiểm thử'!E30384,"Chưa thực hiện"),1,0),IF(EXACT('Kiểm thử'!E30386,"Chưa thực hiện"),1,0))</s:f>
        <s:v/>
      </s:c>
      <s:c r="C30536" s="19" t="n"/>
      <s:c r="D30536" s="19" t="n"/>
      <s:c r="E30536" s="19" t="n"/>
    </s:row>
    <s:row r="30537" hidden="1" ht="6" customHeight="1">
      <s:c r="A30537" s="83" t="inlineStr"/>
      <s:c r="B30537" s="19" t="n"/>
      <s:c r="C30537" s="19" t="n"/>
      <s:c r="D30537" s="19" t="n"/>
      <s:c r="E30537" s="19" t="n"/>
    </s:row>
    <s:row r="30538" ht="28" customHeight="1">
      <s:c r="A30538" s="108" t="inlineStr">
        <s:is>
          <s:t>TC-RS-ERR-019 — Đăng ký lần đầu đồng thời hai mục khác nhau của cùng học sinh giữ đủ cả hai</s:t>
        </s:is>
      </s:c>
      <s:c r="B30538" s="111" t="n"/>
      <s:c r="C30538" s="111" t="n"/>
      <s:c r="D30538" s="111" t="n"/>
      <s:c r="E30538" s="111" t="n"/>
    </s:row>
    <s:row r="30539" ht="20" customHeight="1">
      <s:c r="A30539" s="112" t="inlineStr">
        <s:is>
          <s:t>Kết quả tình huống</s:t>
        </s:is>
      </s:c>
      <s:c r="B30539" s="113">
        <s:f>IF(SUM(IF(EXACT('Kiểm thử'!E30547,"Không đạt"),1,0))&gt;0,"Không đạt",IF(SUM(IF(EXACT('Kiểm thử'!E30547,"Đạt"),1,0))=1,"Đạt",IF(SUM(IF(EXACT('Kiểm thử'!E30547,"Không thực hiện"),1,0))=1,"Không thực hiện",IF(SUM(IF(EXACT('Kiểm thử'!E30547,"Bị chặn"),1,0))&gt;0,"Bị chặn",IF(SUM(IF(EXACT('Kiểm thử'!E30547,"Chưa thực hiện"),1,0))=1,"Chưa thực hiện","Đang thực hiện")))))</s:f>
        <s:v/>
      </s:c>
      <s:c r="C30539" s="114" t="n"/>
      <s:c r="D30539" s="114" t="n"/>
      <s:c r="E30539" s="114" t="n"/>
    </s:row>
    <s:row r="30540" ht="20" customHeight="1">
      <s:c r="A30540" s="112" t="inlineStr">
        <s:is>
          <s:t>Màn hình / chức năng</s:t>
        </s:is>
      </s:c>
      <s:c r="B30540" s="113" t="inlineStr">
        <s:is>
          <s:t>Lỗi và cập nhật kết quả</s:t>
        </s:is>
      </s:c>
      <s:c r="C30540" s="28" t="n"/>
      <s:c r="D30540" s="28" t="n"/>
      <s:c r="E30540" s="28" t="n"/>
    </s:row>
    <s:row r="30541" ht="62" customHeight="1">
      <s:c r="A30541" s="112" t="inlineStr">
        <s:is>
          <s:t>Cấu hình</s:t>
        </s:is>
      </s:c>
      <s:c r="B30541" s="113" t="inlineStr">
        <s:is>
          <s:r>
            <s:t xml:space="preserve">• Cùng học sinh S01, lớp G-A, cùng kỳ Cuối </s:t>
          </s:r>
          <s:r>
            <s:rPr>
              <s:b val="1"/>
            </s:rPr>
            <s:t>kỳ học kỳ 1（1学期期末）</s:t>
          </s:r>
          <s:r>
            <s:t>, điểm thường;
• Hai mục số khác nhau (mục số nguyên (</s:t>
          </s:r>
          <s:r>
            <s:rPr>
              <s:b val="1"/>
            </s:rPr>
            <s:t>M=100</s:t>
          </s:r>
          <s:r>
            <s:t>) và một mục số thứ hai của cùng khung) đều có quy tắc cố định 30 [&lt;];
• Chưa có dòng điểm vật lý nào của S01 cho kỳ này.</s:t>
          </s:r>
        </s:is>
      </s:c>
      <s:c r="C30541" s="28" t="n"/>
      <s:c r="D30541" s="28" t="n"/>
      <s:c r="E30541" s="28" t="n"/>
    </s:row>
    <s:row r="30542" ht="62" customHeight="1">
      <s:c r="A30542" s="112" t="inlineStr">
        <s:is>
          <s:t>Dữ liệu test</s:t>
        </s:is>
      </s:c>
      <s:c r="B30542" s="113" t="inlineStr">
        <s:is>
          <s:r>
            <s:t>• Mục số nguyên (</s:t>
          </s:r>
          <s:r>
            <s:rPr>
              <s:b val="1"/>
            </s:rPr>
            <s:t>M=100</s:t>
          </s:r>
          <s:r>
            <s:t>);
• Quy tắc “Cố định 30” (dưới 30);
• Học sinh S01 (điểm 29);
• Tài khoản giáo viên nhập điểm lớp G-A, G-B, G-C (hai phiên đăng nhập)</s:t>
          </s:r>
        </s:is>
      </s:c>
      <s:c r="C30542" s="28" t="n"/>
      <s:c r="D30542" s="28" t="n"/>
      <s:c r="E30542" s="28" t="n"/>
    </s:row>
    <s:row r="30543" ht="34" customHeight="1">
      <s:c r="A30543" s="112" t="inlineStr">
        <s:is>
          <s:t>Bước 1</s:t>
        </s:is>
      </s:c>
      <s:c r="B30543" s="113" t="inlineStr">
        <s:is>
          <s:r>
            <s:t>Hai phiên cùng lúc: phiên 1 lưu S01 = 29 cho mục số nguyên (</s:t>
          </s:r>
          <s:r>
            <s:rPr>
              <s:b val="1"/>
            </s:rPr>
            <s:t>M=100</s:t>
          </s:r>
          <s:r>
            <s:t>); phiên 2 lưu S01 = 45 cho mục thứ hai.</s:t>
          </s:r>
        </s:is>
      </s:c>
      <s:c r="C30543" s="28" t="n"/>
      <s:c r="D30543" s="28" t="n"/>
      <s:c r="E30543" s="28" t="n"/>
    </s:row>
    <s:row r="30544" ht="34" customHeight="1">
      <s:c r="A30544" s="112" t="inlineStr">
        <s:is>
          <s:t>Bước 2</s:t>
        </s:is>
      </s:c>
      <s:c r="B30544" s="113" t="inlineStr">
        <s:is>
          <s:r>
            <s:t xml:space="preserve">Mở lại </s:t>
          </s:r>
          <s:r>
            <s:rPr>
              <s:b val="1"/>
            </s:rPr>
            <s:t>Đăng ký thành tích（成績登録）</s:t>
          </s:r>
          <s:r>
            <s:t>; xem trích xuất; SELECT dòng điểm của S01 (trường/năm/học sinh/lớp/kỳ/đơn vị) và dòng kết quả của hai ô.</s:t>
          </s:r>
        </s:is>
      </s:c>
      <s:c r="C30544" s="28" t="n"/>
      <s:c r="D30544" s="28" t="n"/>
      <s:c r="E30544" s="28" t="n"/>
    </s:row>
    <s:row r="30545" ht="28" customHeight="1">
      <s:c r="A30545" s="115" t="inlineStr">
        <s:is>
          <s:t>Trường hợp</s:t>
        </s:is>
      </s:c>
      <s:c r="B30545" s="115" t="inlineStr">
        <s:is>
          <s:t>Dữ liệu / thao tác riêng</s:t>
        </s:is>
      </s:c>
      <s:c r="C30545" s="115" t="inlineStr">
        <s:is>
          <s:t>Kết quả mong đợi</s:t>
        </s:is>
      </s:c>
      <s:c r="D30545" s="115" t="inlineStr">
        <s:is>
          <s:t>Kết quả thực tế</s:t>
        </s:is>
      </s:c>
      <s:c r="E30545" s="115" t="inlineStr">
        <s:is>
          <s:t>Đánh giá</s:t>
        </s:is>
      </s:c>
    </s:row>
    <s:row r="30546" ht="3" customHeight="1">
      <s:c r="A30546" s="102" t="inlineStr"/>
      <s:c r="B30546" s="99" t="n"/>
      <s:c r="C30546" s="99" t="n"/>
      <s:c r="D30546" s="116" t="n"/>
      <s:c r="E30546" s="116" t="n"/>
    </s:row>
    <s:row r="30547" ht="76" customHeight="1">
      <s:c r="A30547" s="83" t="inlineStr">
        <s:is>
          <s:t>Trường hợp cơ bản (Base)</s:t>
        </s:is>
      </s:c>
      <s:c r="B30547" s="83" t="inlineStr">
        <s:is>
          <s:t>Toàn bộ tình huống: Thực hiện đủ các bước chung theo thứ tự; kiểm cả đối tượng đích và đối chứng cùng fixture, không bỏ bước.</s:t>
        </s:is>
      </s:c>
      <s:c r="C30547" s="83" t="inlineStr">
        <s:is>
          <s:r>
            <s:t>Cả hai điểm được giữ: mục số nguyên (</s:t>
          </s:r>
          <s:r>
            <s:rPr>
              <s:b val="1"/>
            </s:rPr>
            <s:t>M=100</s:t>
          </s:r>
          <s:r>
            <s:t>) = 29 (</s:t>
          </s:r>
          <s:r>
            <s:rPr>
              <s:b val="1"/>
            </s:rPr>
            <s:t>Đỏ</s:t>
          </s:r>
          <s:r>
            <s:t>), mục thứ hai = 45 (</s:t>
          </s:r>
          <s:r>
            <s:rPr>
              <s:b val="1"/>
            </s:rPr>
            <s:t>Không đỏ</s:t>
          </s:r>
          <s:r>
            <s:t>).
- Chỉ một dòng điểm vật lý cho S01/G-A/kỳ/điểm thường; không có dòng trùng; không mất điểm hoặc kết quả của mục nào.</s:t>
          </s:r>
        </s:is>
      </s:c>
      <s:c r="D30547" s="117" t="inlineStr"/>
      <s:c r="E30547" s="118" t="inlineStr">
        <s:is>
          <s:t>Chưa thực hiện</s:t>
        </s:is>
      </s:c>
    </s:row>
    <s:row r="30548" ht="20" customHeight="1">
      <s:c r="A30548" s="119" t="inlineStr">
        <s:is>
          <s:t>Ảnh minh chứng — Chưa có ảnh</s:t>
        </s:is>
      </s:c>
      <s:c r="B30548" s="19" t="n"/>
      <s:c r="C30548" s="19" t="n"/>
      <s:c r="D30548" s="19" t="n"/>
      <s:c r="E30548" s="19" t="n"/>
    </s:row>
    <s:row r="30549" hidden="1" ht="1" customHeight="1">
      <s:c r="A30549" s="120" t="inlineStr"/>
      <s:c r="B30549" s="121" t="n"/>
      <s:c r="C30549" s="121" t="n"/>
      <s:c r="D30549" s="121" t="n"/>
      <s:c r="E30549" s="122" t="n"/>
    </s:row>
    <s:row r="30550" hidden="1" ht="1" customHeight="1">
      <s:c r="A30550" s="120" t="inlineStr"/>
      <s:c r="B30550" s="121" t="n"/>
      <s:c r="C30550" s="121" t="n"/>
      <s:c r="D30550" s="121" t="n"/>
      <s:c r="E30550" s="122" t="n"/>
    </s:row>
    <s:row r="30551" hidden="1" ht="1" customHeight="1">
      <s:c r="A30551" s="120" t="inlineStr"/>
      <s:c r="B30551" s="121" t="n"/>
      <s:c r="C30551" s="121" t="n"/>
      <s:c r="D30551" s="121" t="n"/>
      <s:c r="E30551" s="122" t="n"/>
    </s:row>
    <s:row r="30552" hidden="1" ht="1" customHeight="1">
      <s:c r="A30552" s="120" t="inlineStr"/>
      <s:c r="B30552" s="121" t="n"/>
      <s:c r="C30552" s="121" t="n"/>
      <s:c r="D30552" s="121" t="n"/>
      <s:c r="E30552" s="122" t="n"/>
    </s:row>
    <s:row r="30553" hidden="1" ht="1" customHeight="1">
      <s:c r="A30553" s="120" t="inlineStr"/>
      <s:c r="B30553" s="121" t="n"/>
      <s:c r="C30553" s="121" t="n"/>
      <s:c r="D30553" s="121" t="n"/>
      <s:c r="E30553" s="122" t="n"/>
    </s:row>
    <s:row r="30554" hidden="1" ht="1" customHeight="1">
      <s:c r="A30554" s="120" t="inlineStr"/>
      <s:c r="B30554" s="121" t="n"/>
      <s:c r="C30554" s="121" t="n"/>
      <s:c r="D30554" s="121" t="n"/>
      <s:c r="E30554" s="122" t="n"/>
    </s:row>
    <s:row r="30555" hidden="1" ht="1" customHeight="1">
      <s:c r="A30555" s="120" t="inlineStr"/>
      <s:c r="B30555" s="121" t="n"/>
      <s:c r="C30555" s="121" t="n"/>
      <s:c r="D30555" s="121" t="n"/>
      <s:c r="E30555" s="122" t="n"/>
    </s:row>
    <s:row r="30556" hidden="1" ht="1" customHeight="1">
      <s:c r="A30556" s="120" t="inlineStr"/>
      <s:c r="B30556" s="121" t="n"/>
      <s:c r="C30556" s="121" t="n"/>
      <s:c r="D30556" s="121" t="n"/>
      <s:c r="E30556" s="122" t="n"/>
    </s:row>
    <s:row r="30557" hidden="1" ht="1" customHeight="1">
      <s:c r="A30557" s="120" t="inlineStr"/>
      <s:c r="B30557" s="121" t="n"/>
      <s:c r="C30557" s="121" t="n"/>
      <s:c r="D30557" s="121" t="n"/>
      <s:c r="E30557" s="122" t="n"/>
    </s:row>
    <s:row r="30558" hidden="1" ht="1" customHeight="1">
      <s:c r="A30558" s="120" t="inlineStr"/>
      <s:c r="B30558" s="121" t="n"/>
      <s:c r="C30558" s="121" t="n"/>
      <s:c r="D30558" s="121" t="n"/>
      <s:c r="E30558" s="122" t="n"/>
    </s:row>
    <s:row r="30559" hidden="1" ht="1" customHeight="1">
      <s:c r="A30559" s="120" t="inlineStr"/>
      <s:c r="B30559" s="121" t="n"/>
      <s:c r="C30559" s="121" t="n"/>
      <s:c r="D30559" s="121" t="n"/>
      <s:c r="E30559" s="122" t="n"/>
    </s:row>
    <s:row r="30560" hidden="1" ht="1" customHeight="1">
      <s:c r="A30560" s="120" t="inlineStr"/>
      <s:c r="B30560" s="121" t="n"/>
      <s:c r="C30560" s="121" t="n"/>
      <s:c r="D30560" s="121" t="n"/>
      <s:c r="E30560" s="122" t="n"/>
    </s:row>
    <s:row r="30561" hidden="1" ht="1" customHeight="1">
      <s:c r="A30561" s="120" t="inlineStr"/>
      <s:c r="B30561" s="121" t="n"/>
      <s:c r="C30561" s="121" t="n"/>
      <s:c r="D30561" s="121" t="n"/>
      <s:c r="E30561" s="122" t="n"/>
    </s:row>
    <s:row r="30562" hidden="1" ht="1" customHeight="1">
      <s:c r="A30562" s="120" t="inlineStr"/>
      <s:c r="B30562" s="121" t="n"/>
      <s:c r="C30562" s="121" t="n"/>
      <s:c r="D30562" s="121" t="n"/>
      <s:c r="E30562" s="122" t="n"/>
    </s:row>
    <s:row r="30563" hidden="1" ht="1" customHeight="1">
      <s:c r="A30563" s="120" t="inlineStr"/>
      <s:c r="B30563" s="121" t="n"/>
      <s:c r="C30563" s="121" t="n"/>
      <s:c r="D30563" s="121" t="n"/>
      <s:c r="E30563" s="122" t="n"/>
    </s:row>
    <s:row r="30564" hidden="1" ht="1" customHeight="1">
      <s:c r="A30564" s="120" t="inlineStr"/>
      <s:c r="B30564" s="121" t="n"/>
      <s:c r="C30564" s="121" t="n"/>
      <s:c r="D30564" s="121" t="n"/>
      <s:c r="E30564" s="122" t="n"/>
    </s:row>
    <s:row r="30565" hidden="1" ht="1" customHeight="1">
      <s:c r="A30565" s="120" t="inlineStr"/>
      <s:c r="B30565" s="121" t="n"/>
      <s:c r="C30565" s="121" t="n"/>
      <s:c r="D30565" s="121" t="n"/>
      <s:c r="E30565" s="122" t="n"/>
    </s:row>
    <s:row r="30566" hidden="1" ht="1" customHeight="1">
      <s:c r="A30566" s="120" t="inlineStr"/>
      <s:c r="B30566" s="121" t="n"/>
      <s:c r="C30566" s="121" t="n"/>
      <s:c r="D30566" s="121" t="n"/>
      <s:c r="E30566" s="122" t="n"/>
    </s:row>
    <s:row r="30567" hidden="1" ht="1" customHeight="1">
      <s:c r="A30567" s="120" t="inlineStr"/>
      <s:c r="B30567" s="121" t="n"/>
      <s:c r="C30567" s="121" t="n"/>
      <s:c r="D30567" s="121" t="n"/>
      <s:c r="E30567" s="122" t="n"/>
    </s:row>
    <s:row r="30568" hidden="1" ht="1" customHeight="1">
      <s:c r="A30568" s="120" t="inlineStr"/>
      <s:c r="B30568" s="121" t="n"/>
      <s:c r="C30568" s="121" t="n"/>
      <s:c r="D30568" s="121" t="n"/>
      <s:c r="E30568" s="122" t="n"/>
    </s:row>
    <s:row r="30569" hidden="1" ht="1" customHeight="1">
      <s:c r="A30569" s="120" t="inlineStr"/>
      <s:c r="B30569" s="121" t="n"/>
      <s:c r="C30569" s="121" t="n"/>
      <s:c r="D30569" s="121" t="n"/>
      <s:c r="E30569" s="122" t="n"/>
    </s:row>
    <s:row r="30570" hidden="1" ht="1" customHeight="1">
      <s:c r="A30570" s="120" t="inlineStr"/>
      <s:c r="B30570" s="121" t="n"/>
      <s:c r="C30570" s="121" t="n"/>
      <s:c r="D30570" s="121" t="n"/>
      <s:c r="E30570" s="122" t="n"/>
    </s:row>
    <s:row r="30571" hidden="1" ht="1" customHeight="1">
      <s:c r="A30571" s="120" t="inlineStr"/>
      <s:c r="B30571" s="121" t="n"/>
      <s:c r="C30571" s="121" t="n"/>
      <s:c r="D30571" s="121" t="n"/>
      <s:c r="E30571" s="122" t="n"/>
    </s:row>
    <s:row r="30572" hidden="1" ht="1" customHeight="1">
      <s:c r="A30572" s="120" t="inlineStr"/>
      <s:c r="B30572" s="121" t="n"/>
      <s:c r="C30572" s="121" t="n"/>
      <s:c r="D30572" s="121" t="n"/>
      <s:c r="E30572" s="122" t="n"/>
    </s:row>
    <s:row r="30573" hidden="1" ht="1" customHeight="1">
      <s:c r="A30573" s="120" t="inlineStr"/>
      <s:c r="B30573" s="121" t="n"/>
      <s:c r="C30573" s="121" t="n"/>
      <s:c r="D30573" s="121" t="n"/>
      <s:c r="E30573" s="122" t="n"/>
    </s:row>
    <s:row r="30574" hidden="1" ht="1" customHeight="1">
      <s:c r="A30574" s="120" t="inlineStr"/>
      <s:c r="B30574" s="121" t="n"/>
      <s:c r="C30574" s="121" t="n"/>
      <s:c r="D30574" s="121" t="n"/>
      <s:c r="E30574" s="122" t="n"/>
    </s:row>
    <s:row r="30575" hidden="1" ht="1" customHeight="1">
      <s:c r="A30575" s="120" t="inlineStr"/>
      <s:c r="B30575" s="121" t="n"/>
      <s:c r="C30575" s="121" t="n"/>
      <s:c r="D30575" s="121" t="n"/>
      <s:c r="E30575" s="122" t="n"/>
    </s:row>
    <s:row r="30576" hidden="1" ht="1" customHeight="1">
      <s:c r="A30576" s="120" t="inlineStr"/>
      <s:c r="B30576" s="121" t="n"/>
      <s:c r="C30576" s="121" t="n"/>
      <s:c r="D30576" s="121" t="n"/>
      <s:c r="E30576" s="122" t="n"/>
    </s:row>
    <s:row r="30577" hidden="1" ht="1" customHeight="1">
      <s:c r="A30577" s="120" t="inlineStr"/>
      <s:c r="B30577" s="121" t="n"/>
      <s:c r="C30577" s="121" t="n"/>
      <s:c r="D30577" s="121" t="n"/>
      <s:c r="E30577" s="122" t="n"/>
    </s:row>
    <s:row r="30578" hidden="1" ht="1" customHeight="1">
      <s:c r="A30578" s="120" t="inlineStr"/>
      <s:c r="B30578" s="121" t="n"/>
      <s:c r="C30578" s="121" t="n"/>
      <s:c r="D30578" s="121" t="n"/>
      <s:c r="E30578" s="122" t="n"/>
    </s:row>
    <s:row r="30579" hidden="1" ht="1" customHeight="1">
      <s:c r="A30579" s="120" t="inlineStr"/>
      <s:c r="B30579" s="121" t="n"/>
      <s:c r="C30579" s="121" t="n"/>
      <s:c r="D30579" s="121" t="n"/>
      <s:c r="E30579" s="122" t="n"/>
    </s:row>
    <s:row r="30580" hidden="1" ht="1" customHeight="1">
      <s:c r="A30580" s="120" t="inlineStr"/>
      <s:c r="B30580" s="121" t="n"/>
      <s:c r="C30580" s="121" t="n"/>
      <s:c r="D30580" s="121" t="n"/>
      <s:c r="E30580" s="122" t="n"/>
    </s:row>
    <s:row r="30581" hidden="1" ht="1" customHeight="1">
      <s:c r="A30581" s="120" t="inlineStr"/>
      <s:c r="B30581" s="121" t="n"/>
      <s:c r="C30581" s="121" t="n"/>
      <s:c r="D30581" s="121" t="n"/>
      <s:c r="E30581" s="122" t="n"/>
    </s:row>
    <s:row r="30582" hidden="1" ht="1" customHeight="1">
      <s:c r="A30582" s="120" t="inlineStr"/>
      <s:c r="B30582" s="121" t="n"/>
      <s:c r="C30582" s="121" t="n"/>
      <s:c r="D30582" s="121" t="n"/>
      <s:c r="E30582" s="122" t="n"/>
    </s:row>
    <s:row r="30583" hidden="1" ht="1" customHeight="1">
      <s:c r="A30583" s="120" t="inlineStr"/>
      <s:c r="B30583" s="121" t="n"/>
      <s:c r="C30583" s="121" t="n"/>
      <s:c r="D30583" s="121" t="n"/>
      <s:c r="E30583" s="122" t="n"/>
    </s:row>
    <s:row r="30584" hidden="1" ht="1" customHeight="1">
      <s:c r="A30584" s="120" t="inlineStr"/>
      <s:c r="B30584" s="121" t="n"/>
      <s:c r="C30584" s="121" t="n"/>
      <s:c r="D30584" s="121" t="n"/>
      <s:c r="E30584" s="122" t="n"/>
    </s:row>
    <s:row r="30585" hidden="1" ht="1" customHeight="1">
      <s:c r="A30585" s="120" t="inlineStr"/>
      <s:c r="B30585" s="121" t="n"/>
      <s:c r="C30585" s="121" t="n"/>
      <s:c r="D30585" s="121" t="n"/>
      <s:c r="E30585" s="122" t="n"/>
    </s:row>
    <s:row r="30586" hidden="1" ht="1" customHeight="1">
      <s:c r="A30586" s="120" t="inlineStr"/>
      <s:c r="B30586" s="121" t="n"/>
      <s:c r="C30586" s="121" t="n"/>
      <s:c r="D30586" s="121" t="n"/>
      <s:c r="E30586" s="122" t="n"/>
    </s:row>
    <s:row r="30587" hidden="1" ht="1" customHeight="1">
      <s:c r="A30587" s="120" t="inlineStr"/>
      <s:c r="B30587" s="121" t="n"/>
      <s:c r="C30587" s="121" t="n"/>
      <s:c r="D30587" s="121" t="n"/>
      <s:c r="E30587" s="122" t="n"/>
    </s:row>
    <s:row r="30588" hidden="1" ht="1" customHeight="1">
      <s:c r="A30588" s="120" t="inlineStr"/>
      <s:c r="B30588" s="121" t="n"/>
      <s:c r="C30588" s="121" t="n"/>
      <s:c r="D30588" s="121" t="n"/>
      <s:c r="E30588" s="122" t="n"/>
    </s:row>
    <s:row r="30589" hidden="1" ht="1" customHeight="1">
      <s:c r="A30589" s="120" t="inlineStr"/>
      <s:c r="B30589" s="121" t="n"/>
      <s:c r="C30589" s="121" t="n"/>
      <s:c r="D30589" s="121" t="n"/>
      <s:c r="E30589" s="122" t="n"/>
    </s:row>
    <s:row r="30590" hidden="1" ht="1" customHeight="1">
      <s:c r="A30590" s="120" t="inlineStr"/>
      <s:c r="B30590" s="121" t="n"/>
      <s:c r="C30590" s="121" t="n"/>
      <s:c r="D30590" s="121" t="n"/>
      <s:c r="E30590" s="122" t="n"/>
    </s:row>
    <s:row r="30591" hidden="1" ht="1" customHeight="1">
      <s:c r="A30591" s="120" t="inlineStr"/>
      <s:c r="B30591" s="121" t="n"/>
      <s:c r="C30591" s="121" t="n"/>
      <s:c r="D30591" s="121" t="n"/>
      <s:c r="E30591" s="122" t="n"/>
    </s:row>
    <s:row r="30592" hidden="1" ht="1" customHeight="1">
      <s:c r="A30592" s="120" t="inlineStr"/>
      <s:c r="B30592" s="121" t="n"/>
      <s:c r="C30592" s="121" t="n"/>
      <s:c r="D30592" s="121" t="n"/>
      <s:c r="E30592" s="122" t="n"/>
    </s:row>
    <s:row r="30593" hidden="1" ht="1" customHeight="1">
      <s:c r="A30593" s="120" t="inlineStr"/>
      <s:c r="B30593" s="121" t="n"/>
      <s:c r="C30593" s="121" t="n"/>
      <s:c r="D30593" s="121" t="n"/>
      <s:c r="E30593" s="122" t="n"/>
    </s:row>
    <s:row r="30594" hidden="1" ht="1" customHeight="1">
      <s:c r="A30594" s="120" t="inlineStr"/>
      <s:c r="B30594" s="121" t="n"/>
      <s:c r="C30594" s="121" t="n"/>
      <s:c r="D30594" s="121" t="n"/>
      <s:c r="E30594" s="122" t="n"/>
    </s:row>
    <s:row r="30595" hidden="1" ht="1" customHeight="1">
      <s:c r="A30595" s="120" t="inlineStr"/>
      <s:c r="B30595" s="121" t="n"/>
      <s:c r="C30595" s="121" t="n"/>
      <s:c r="D30595" s="121" t="n"/>
      <s:c r="E30595" s="122" t="n"/>
    </s:row>
    <s:row r="30596" hidden="1" ht="1" customHeight="1">
      <s:c r="A30596" s="120" t="inlineStr"/>
      <s:c r="B30596" s="121" t="n"/>
      <s:c r="C30596" s="121" t="n"/>
      <s:c r="D30596" s="121" t="n"/>
      <s:c r="E30596" s="122" t="n"/>
    </s:row>
    <s:row r="30597" hidden="1" ht="1" customHeight="1">
      <s:c r="A30597" s="83" t="inlineStr">
        <s:is>
          <s:t>PASS</s:t>
        </s:is>
      </s:c>
      <s:c r="B30597" s="83">
        <s:f>SUM(IF(EXACT('Kiểm thử'!E30547,"Đạt"),1,0))</s:f>
        <s:v/>
      </s:c>
      <s:c r="C30597" s="19" t="n"/>
      <s:c r="D30597" s="19" t="n"/>
      <s:c r="E30597" s="19" t="n"/>
    </s:row>
    <s:row r="30598" hidden="1" ht="1" customHeight="1">
      <s:c r="A30598" s="83" t="inlineStr">
        <s:is>
          <s:t>FAIL</s:t>
        </s:is>
      </s:c>
      <s:c r="B30598" s="83">
        <s:f>SUM(IF(EXACT('Kiểm thử'!E30547,"Không đạt"),1,0))</s:f>
        <s:v/>
      </s:c>
      <s:c r="C30598" s="19" t="n"/>
      <s:c r="D30598" s="19" t="n"/>
      <s:c r="E30598" s="19" t="n"/>
    </s:row>
    <s:row r="30599" hidden="1" ht="1" customHeight="1">
      <s:c r="A30599" s="83" t="inlineStr">
        <s:is>
          <s:t>BLOCKED</s:t>
        </s:is>
      </s:c>
      <s:c r="B30599" s="83">
        <s:f>SUM(IF(EXACT('Kiểm thử'!E30547,"Bị chặn"),1,0))</s:f>
        <s:v/>
      </s:c>
      <s:c r="C30599" s="19" t="n"/>
      <s:c r="D30599" s="19" t="n"/>
      <s:c r="E30599" s="19" t="n"/>
    </s:row>
    <s:row r="30600" hidden="1" ht="1" customHeight="1">
      <s:c r="A30600" s="83" t="inlineStr">
        <s:is>
          <s:t>SKIPPED</s:t>
        </s:is>
      </s:c>
      <s:c r="B30600" s="83">
        <s:f>SUM(IF(EXACT('Kiểm thử'!E30547,"Không thực hiện"),1,0))</s:f>
        <s:v/>
      </s:c>
      <s:c r="C30600" s="19" t="n"/>
      <s:c r="D30600" s="19" t="n"/>
      <s:c r="E30600" s="19" t="n"/>
    </s:row>
    <s:row r="30601" hidden="1" ht="1" customHeight="1">
      <s:c r="A30601" s="83" t="inlineStr">
        <s:is>
          <s:t>NOT RUN</s:t>
        </s:is>
      </s:c>
      <s:c r="B30601" s="83">
        <s:f>SUM(IF(EXACT('Kiểm thử'!E30547,"Chưa thực hiện"),1,0))</s:f>
        <s:v/>
      </s:c>
      <s:c r="C30601" s="19" t="n"/>
      <s:c r="D30601" s="19" t="n"/>
      <s:c r="E30601" s="19" t="n"/>
    </s:row>
    <s:row r="30602" hidden="1" ht="6" customHeight="1">
      <s:c r="A30602" s="83" t="inlineStr"/>
      <s:c r="B30602" s="19" t="n"/>
      <s:c r="C30602" s="19" t="n"/>
      <s:c r="D30602" s="19" t="n"/>
      <s:c r="E30602" s="19" t="n"/>
    </s:row>
    <s:row r="30603" ht="28" customHeight="1">
      <s:c r="A30603" s="108" t="inlineStr">
        <s:is>
          <s:t>TC-RS-UI-025 — Loại ngưỡng/điều kiện chưa thuộc phạm vi phát hành không hiện như đang hoạt động</s:t>
        </s:is>
      </s:c>
      <s:c r="B30603" s="111" t="n"/>
      <s:c r="C30603" s="111" t="n"/>
      <s:c r="D30603" s="111" t="n"/>
      <s:c r="E30603" s="111" t="n"/>
    </s:row>
    <s:row r="30604" ht="20" customHeight="1">
      <s:c r="A30604" s="112" t="inlineStr">
        <s:is>
          <s:t>Kết quả tình huống</s:t>
        </s:is>
      </s:c>
      <s:c r="B30604" s="113">
        <s:f>IF(SUM(IF(EXACT('Kiểm thử'!E30613,"Không đạt"),1,0))&gt;0,"Không đạt",IF(SUM(IF(EXACT('Kiểm thử'!E30613,"Đạt"),1,0))=1,"Đạt",IF(SUM(IF(EXACT('Kiểm thử'!E30613,"Không thực hiện"),1,0))=1,"Không thực hiện",IF(SUM(IF(EXACT('Kiểm thử'!E30613,"Bị chặn"),1,0))&gt;0,"Bị chặn",IF(SUM(IF(EXACT('Kiểm thử'!E30613,"Chưa thực hiện"),1,0))=1,"Chưa thực hiện","Đang thực hiện")))))</s:f>
        <s:v/>
      </s:c>
      <s:c r="C30604" s="114" t="n"/>
      <s:c r="D30604" s="114" t="n"/>
      <s:c r="E30604" s="114" t="n"/>
    </s:row>
    <s:row r="30605" ht="20" customHeight="1">
      <s:c r="A30605" s="112" t="inlineStr">
        <s:is>
          <s:t>Màn hình / chức năng</s:t>
        </s:is>
      </s:c>
      <s:c r="B30605" s="113" t="inlineStr">
        <s:is>
          <s:t>Phạm vi triển khai</s:t>
        </s:is>
      </s:c>
      <s:c r="C30605" s="28" t="n"/>
      <s:c r="D30605" s="28" t="n"/>
      <s:c r="E30605" s="28" t="n"/>
    </s:row>
    <s:row r="30606" ht="20" customHeight="1">
      <s:c r="A30606" s="112" t="inlineStr">
        <s:is>
          <s:t>Cấu hình</s:t>
        </s:is>
      </s:c>
      <s:c r="B30606" s="113" t="inlineStr">
        <s:is>
          <s:t>• Có danh sách phạm vi phát hành (đặc tả v2 mục 1.4, mục 13.1).</s:t>
        </s:is>
      </s:c>
      <s:c r="C30606" s="28" t="n"/>
      <s:c r="D30606" s="28" t="n"/>
      <s:c r="E30606" s="28" t="n"/>
    </s:row>
    <s:row r="30607" ht="20" customHeight="1">
      <s:c r="A30607" s="112" t="inlineStr">
        <s:is>
          <s:t>Dữ liệu test</s:t>
        </s:is>
      </s:c>
      <s:c r="B30607" s="113" t="inlineStr">
        <s:is>
          <s:t>• —</s:t>
        </s:is>
      </s:c>
      <s:c r="C30607" s="28" t="n"/>
      <s:c r="D30607" s="28" t="n"/>
      <s:c r="E30607" s="28" t="n"/>
    </s:row>
    <s:row r="30608" ht="20" customHeight="1">
      <s:c r="A30608" s="112" t="inlineStr">
        <s:is>
          <s:t>Bước 1</s:t>
        </s:is>
      </s:c>
      <s:c r="B30608" s="113" t="inlineStr">
        <s:is>
          <s:r>
            <s:t xml:space="preserve">Mở màn </s:t>
          </s:r>
          <s:r>
            <s:rPr>
              <s:b val="1"/>
            </s:rPr>
            <s:t>Điều kiện áp dụng（適用条件設定）</s:t>
          </s:r>
          <s:r>
            <s:t>, xem các loại điều kiện.</s:t>
          </s:r>
        </s:is>
      </s:c>
      <s:c r="C30608" s="28" t="n"/>
      <s:c r="D30608" s="28" t="n"/>
      <s:c r="E30608" s="28" t="n"/>
    </s:row>
    <s:row r="30609" ht="20" customHeight="1">
      <s:c r="A30609" s="112" t="inlineStr">
        <s:is>
          <s:t>Bước 2</s:t>
        </s:is>
      </s:c>
      <s:c r="B30609" s="113" t="inlineStr">
        <s:is>
          <s:r>
            <s:rPr>
              <s:b val="1"/>
            </s:rPr>
            <s:t>Mở màn Ngưỡng đỏ（赤点の基準）</s:t>
          </s:r>
          <s:r>
            <s:t>, xem các loại ngưỡng.</s:t>
          </s:r>
        </s:is>
      </s:c>
      <s:c r="C30609" s="28" t="n"/>
      <s:c r="D30609" s="28" t="n"/>
      <s:c r="E30609" s="28" t="n"/>
    </s:row>
    <s:row r="30610" ht="34" customHeight="1">
      <s:c r="A30610" s="112" t="inlineStr">
        <s:is>
          <s:t>Bước 3</s:t>
        </s:is>
      </s:c>
      <s:c r="B30610" s="113" t="inlineStr">
        <s:is>
          <s:r>
            <s:t>Với loại không có trong danh sách phát hành (</s:t>
          </s:r>
          <s:r>
            <s:rPr>
              <s:b val="1"/>
            </s:rPr>
            <s:t>ví dụ Công thức（計算式）</s:t>
          </s:r>
          <s:r>
            <s:t xml:space="preserve">, </s:t>
          </s:r>
          <s:r>
            <s:rPr>
              <s:b val="1"/>
            </s:rPr>
            <s:t>điều kiện Trung bình（平均点）</s:t>
          </s:r>
          <s:r>
            <s:t>）: nếu chọn được thì thử Lưu.</s:t>
          </s:r>
        </s:is>
      </s:c>
      <s:c r="C30610" s="28" t="n"/>
      <s:c r="D30610" s="28" t="n"/>
      <s:c r="E30610" s="28" t="n"/>
    </s:row>
    <s:row r="30611" ht="28" customHeight="1">
      <s:c r="A30611" s="115" t="inlineStr">
        <s:is>
          <s:t>Trường hợp</s:t>
        </s:is>
      </s:c>
      <s:c r="B30611" s="115" t="inlineStr">
        <s:is>
          <s:t>Dữ liệu / thao tác riêng</s:t>
        </s:is>
      </s:c>
      <s:c r="C30611" s="115" t="inlineStr">
        <s:is>
          <s:t>Kết quả mong đợi</s:t>
        </s:is>
      </s:c>
      <s:c r="D30611" s="115" t="inlineStr">
        <s:is>
          <s:t>Kết quả thực tế</s:t>
        </s:is>
      </s:c>
      <s:c r="E30611" s="115" t="inlineStr">
        <s:is>
          <s:t>Đánh giá</s:t>
        </s:is>
      </s:c>
    </s:row>
    <s:row r="30612" ht="3" customHeight="1">
      <s:c r="A30612" s="102" t="inlineStr"/>
      <s:c r="B30612" s="99" t="n"/>
      <s:c r="C30612" s="99" t="n"/>
      <s:c r="D30612" s="116" t="n"/>
      <s:c r="E30612" s="116" t="n"/>
    </s:row>
    <s:row r="30613" ht="62" customHeight="1">
      <s:c r="A30613" s="83" t="inlineStr">
        <s:is>
          <s:t>Trường hợp cơ bản (Base)</s:t>
        </s:is>
      </s:c>
      <s:c r="B30613" s="83" t="inlineStr">
        <s:is>
          <s:t>Toàn bộ tình huống: Thực hiện đủ các bước chung theo thứ tự; kiểm cả đối tượng đích và đối chứng cùng fixture, không bỏ bước.</s:t>
        </s:is>
      </s:c>
      <s:c r="C30613" s="83" t="inlineStr">
        <s:is>
          <s:t>Loại ngoài phạm vi không hiện như lựa chọn dùng được; không lưu được cấu hình dùng loại đó.</s:t>
        </s:is>
      </s:c>
      <s:c r="D30613" s="117" t="inlineStr"/>
      <s:c r="E30613" s="118" t="inlineStr">
        <s:is>
          <s:t>Chưa thực hiện</s:t>
        </s:is>
      </s:c>
    </s:row>
    <s:row r="30614" ht="20" customHeight="1">
      <s:c r="A30614" s="119" t="inlineStr">
        <s:is>
          <s:t>Ảnh minh chứng — Chưa có ảnh</s:t>
        </s:is>
      </s:c>
      <s:c r="B30614" s="19" t="n"/>
      <s:c r="C30614" s="19" t="n"/>
      <s:c r="D30614" s="19" t="n"/>
      <s:c r="E30614" s="19" t="n"/>
    </s:row>
    <s:row r="30615" hidden="1" ht="1" customHeight="1">
      <s:c r="A30615" s="120" t="inlineStr"/>
      <s:c r="B30615" s="121" t="n"/>
      <s:c r="C30615" s="121" t="n"/>
      <s:c r="D30615" s="121" t="n"/>
      <s:c r="E30615" s="122" t="n"/>
    </s:row>
    <s:row r="30616" hidden="1" ht="1" customHeight="1">
      <s:c r="A30616" s="120" t="inlineStr"/>
      <s:c r="B30616" s="121" t="n"/>
      <s:c r="C30616" s="121" t="n"/>
      <s:c r="D30616" s="121" t="n"/>
      <s:c r="E30616" s="122" t="n"/>
    </s:row>
    <s:row r="30617" hidden="1" ht="1" customHeight="1">
      <s:c r="A30617" s="120" t="inlineStr"/>
      <s:c r="B30617" s="121" t="n"/>
      <s:c r="C30617" s="121" t="n"/>
      <s:c r="D30617" s="121" t="n"/>
      <s:c r="E30617" s="122" t="n"/>
    </s:row>
    <s:row r="30618" hidden="1" ht="1" customHeight="1">
      <s:c r="A30618" s="120" t="inlineStr"/>
      <s:c r="B30618" s="121" t="n"/>
      <s:c r="C30618" s="121" t="n"/>
      <s:c r="D30618" s="121" t="n"/>
      <s:c r="E30618" s="122" t="n"/>
    </s:row>
    <s:row r="30619" hidden="1" ht="1" customHeight="1">
      <s:c r="A30619" s="120" t="inlineStr"/>
      <s:c r="B30619" s="121" t="n"/>
      <s:c r="C30619" s="121" t="n"/>
      <s:c r="D30619" s="121" t="n"/>
      <s:c r="E30619" s="122" t="n"/>
    </s:row>
    <s:row r="30620" hidden="1" ht="1" customHeight="1">
      <s:c r="A30620" s="120" t="inlineStr"/>
      <s:c r="B30620" s="121" t="n"/>
      <s:c r="C30620" s="121" t="n"/>
      <s:c r="D30620" s="121" t="n"/>
      <s:c r="E30620" s="122" t="n"/>
    </s:row>
    <s:row r="30621" hidden="1" ht="1" customHeight="1">
      <s:c r="A30621" s="120" t="inlineStr"/>
      <s:c r="B30621" s="121" t="n"/>
      <s:c r="C30621" s="121" t="n"/>
      <s:c r="D30621" s="121" t="n"/>
      <s:c r="E30621" s="122" t="n"/>
    </s:row>
    <s:row r="30622" hidden="1" ht="1" customHeight="1">
      <s:c r="A30622" s="120" t="inlineStr"/>
      <s:c r="B30622" s="121" t="n"/>
      <s:c r="C30622" s="121" t="n"/>
      <s:c r="D30622" s="121" t="n"/>
      <s:c r="E30622" s="122" t="n"/>
    </s:row>
    <s:row r="30623" hidden="1" ht="1" customHeight="1">
      <s:c r="A30623" s="120" t="inlineStr"/>
      <s:c r="B30623" s="121" t="n"/>
      <s:c r="C30623" s="121" t="n"/>
      <s:c r="D30623" s="121" t="n"/>
      <s:c r="E30623" s="122" t="n"/>
    </s:row>
    <s:row r="30624" hidden="1" ht="1" customHeight="1">
      <s:c r="A30624" s="120" t="inlineStr"/>
      <s:c r="B30624" s="121" t="n"/>
      <s:c r="C30624" s="121" t="n"/>
      <s:c r="D30624" s="121" t="n"/>
      <s:c r="E30624" s="122" t="n"/>
    </s:row>
    <s:row r="30625" hidden="1" ht="1" customHeight="1">
      <s:c r="A30625" s="120" t="inlineStr"/>
      <s:c r="B30625" s="121" t="n"/>
      <s:c r="C30625" s="121" t="n"/>
      <s:c r="D30625" s="121" t="n"/>
      <s:c r="E30625" s="122" t="n"/>
    </s:row>
    <s:row r="30626" hidden="1" ht="1" customHeight="1">
      <s:c r="A30626" s="120" t="inlineStr"/>
      <s:c r="B30626" s="121" t="n"/>
      <s:c r="C30626" s="121" t="n"/>
      <s:c r="D30626" s="121" t="n"/>
      <s:c r="E30626" s="122" t="n"/>
    </s:row>
    <s:row r="30627" hidden="1" ht="1" customHeight="1">
      <s:c r="A30627" s="120" t="inlineStr"/>
      <s:c r="B30627" s="121" t="n"/>
      <s:c r="C30627" s="121" t="n"/>
      <s:c r="D30627" s="121" t="n"/>
      <s:c r="E30627" s="122" t="n"/>
    </s:row>
    <s:row r="30628" hidden="1" ht="1" customHeight="1">
      <s:c r="A30628" s="120" t="inlineStr"/>
      <s:c r="B30628" s="121" t="n"/>
      <s:c r="C30628" s="121" t="n"/>
      <s:c r="D30628" s="121" t="n"/>
      <s:c r="E30628" s="122" t="n"/>
    </s:row>
    <s:row r="30629" hidden="1" ht="1" customHeight="1">
      <s:c r="A30629" s="120" t="inlineStr"/>
      <s:c r="B30629" s="121" t="n"/>
      <s:c r="C30629" s="121" t="n"/>
      <s:c r="D30629" s="121" t="n"/>
      <s:c r="E30629" s="122" t="n"/>
    </s:row>
    <s:row r="30630" hidden="1" ht="1" customHeight="1">
      <s:c r="A30630" s="120" t="inlineStr"/>
      <s:c r="B30630" s="121" t="n"/>
      <s:c r="C30630" s="121" t="n"/>
      <s:c r="D30630" s="121" t="n"/>
      <s:c r="E30630" s="122" t="n"/>
    </s:row>
    <s:row r="30631" hidden="1" ht="1" customHeight="1">
      <s:c r="A30631" s="120" t="inlineStr"/>
      <s:c r="B30631" s="121" t="n"/>
      <s:c r="C30631" s="121" t="n"/>
      <s:c r="D30631" s="121" t="n"/>
      <s:c r="E30631" s="122" t="n"/>
    </s:row>
    <s:row r="30632" hidden="1" ht="1" customHeight="1">
      <s:c r="A30632" s="120" t="inlineStr"/>
      <s:c r="B30632" s="121" t="n"/>
      <s:c r="C30632" s="121" t="n"/>
      <s:c r="D30632" s="121" t="n"/>
      <s:c r="E30632" s="122" t="n"/>
    </s:row>
    <s:row r="30633" hidden="1" ht="1" customHeight="1">
      <s:c r="A30633" s="120" t="inlineStr"/>
      <s:c r="B30633" s="121" t="n"/>
      <s:c r="C30633" s="121" t="n"/>
      <s:c r="D30633" s="121" t="n"/>
      <s:c r="E30633" s="122" t="n"/>
    </s:row>
    <s:row r="30634" hidden="1" ht="1" customHeight="1">
      <s:c r="A30634" s="120" t="inlineStr"/>
      <s:c r="B30634" s="121" t="n"/>
      <s:c r="C30634" s="121" t="n"/>
      <s:c r="D30634" s="121" t="n"/>
      <s:c r="E30634" s="122" t="n"/>
    </s:row>
    <s:row r="30635" hidden="1" ht="1" customHeight="1">
      <s:c r="A30635" s="120" t="inlineStr"/>
      <s:c r="B30635" s="121" t="n"/>
      <s:c r="C30635" s="121" t="n"/>
      <s:c r="D30635" s="121" t="n"/>
      <s:c r="E30635" s="122" t="n"/>
    </s:row>
    <s:row r="30636" hidden="1" ht="1" customHeight="1">
      <s:c r="A30636" s="120" t="inlineStr"/>
      <s:c r="B30636" s="121" t="n"/>
      <s:c r="C30636" s="121" t="n"/>
      <s:c r="D30636" s="121" t="n"/>
      <s:c r="E30636" s="122" t="n"/>
    </s:row>
    <s:row r="30637" hidden="1" ht="1" customHeight="1">
      <s:c r="A30637" s="120" t="inlineStr"/>
      <s:c r="B30637" s="121" t="n"/>
      <s:c r="C30637" s="121" t="n"/>
      <s:c r="D30637" s="121" t="n"/>
      <s:c r="E30637" s="122" t="n"/>
    </s:row>
    <s:row r="30638" hidden="1" ht="1" customHeight="1">
      <s:c r="A30638" s="120" t="inlineStr"/>
      <s:c r="B30638" s="121" t="n"/>
      <s:c r="C30638" s="121" t="n"/>
      <s:c r="D30638" s="121" t="n"/>
      <s:c r="E30638" s="122" t="n"/>
    </s:row>
    <s:row r="30639" hidden="1" ht="1" customHeight="1">
      <s:c r="A30639" s="120" t="inlineStr"/>
      <s:c r="B30639" s="121" t="n"/>
      <s:c r="C30639" s="121" t="n"/>
      <s:c r="D30639" s="121" t="n"/>
      <s:c r="E30639" s="122" t="n"/>
    </s:row>
    <s:row r="30640" hidden="1" ht="1" customHeight="1">
      <s:c r="A30640" s="120" t="inlineStr"/>
      <s:c r="B30640" s="121" t="n"/>
      <s:c r="C30640" s="121" t="n"/>
      <s:c r="D30640" s="121" t="n"/>
      <s:c r="E30640" s="122" t="n"/>
    </s:row>
    <s:row r="30641" hidden="1" ht="1" customHeight="1">
      <s:c r="A30641" s="120" t="inlineStr"/>
      <s:c r="B30641" s="121" t="n"/>
      <s:c r="C30641" s="121" t="n"/>
      <s:c r="D30641" s="121" t="n"/>
      <s:c r="E30641" s="122" t="n"/>
    </s:row>
    <s:row r="30642" hidden="1" ht="1" customHeight="1">
      <s:c r="A30642" s="120" t="inlineStr"/>
      <s:c r="B30642" s="121" t="n"/>
      <s:c r="C30642" s="121" t="n"/>
      <s:c r="D30642" s="121" t="n"/>
      <s:c r="E30642" s="122" t="n"/>
    </s:row>
    <s:row r="30643" hidden="1" ht="1" customHeight="1">
      <s:c r="A30643" s="120" t="inlineStr"/>
      <s:c r="B30643" s="121" t="n"/>
      <s:c r="C30643" s="121" t="n"/>
      <s:c r="D30643" s="121" t="n"/>
      <s:c r="E30643" s="122" t="n"/>
    </s:row>
    <s:row r="30644" hidden="1" ht="1" customHeight="1">
      <s:c r="A30644" s="120" t="inlineStr"/>
      <s:c r="B30644" s="121" t="n"/>
      <s:c r="C30644" s="121" t="n"/>
      <s:c r="D30644" s="121" t="n"/>
      <s:c r="E30644" s="122" t="n"/>
    </s:row>
    <s:row r="30645" hidden="1" ht="1" customHeight="1">
      <s:c r="A30645" s="120" t="inlineStr"/>
      <s:c r="B30645" s="121" t="n"/>
      <s:c r="C30645" s="121" t="n"/>
      <s:c r="D30645" s="121" t="n"/>
      <s:c r="E30645" s="122" t="n"/>
    </s:row>
    <s:row r="30646" hidden="1" ht="1" customHeight="1">
      <s:c r="A30646" s="120" t="inlineStr"/>
      <s:c r="B30646" s="121" t="n"/>
      <s:c r="C30646" s="121" t="n"/>
      <s:c r="D30646" s="121" t="n"/>
      <s:c r="E30646" s="122" t="n"/>
    </s:row>
    <s:row r="30647" hidden="1" ht="1" customHeight="1">
      <s:c r="A30647" s="120" t="inlineStr"/>
      <s:c r="B30647" s="121" t="n"/>
      <s:c r="C30647" s="121" t="n"/>
      <s:c r="D30647" s="121" t="n"/>
      <s:c r="E30647" s="122" t="n"/>
    </s:row>
    <s:row r="30648" hidden="1" ht="1" customHeight="1">
      <s:c r="A30648" s="120" t="inlineStr"/>
      <s:c r="B30648" s="121" t="n"/>
      <s:c r="C30648" s="121" t="n"/>
      <s:c r="D30648" s="121" t="n"/>
      <s:c r="E30648" s="122" t="n"/>
    </s:row>
    <s:row r="30649" hidden="1" ht="1" customHeight="1">
      <s:c r="A30649" s="120" t="inlineStr"/>
      <s:c r="B30649" s="121" t="n"/>
      <s:c r="C30649" s="121" t="n"/>
      <s:c r="D30649" s="121" t="n"/>
      <s:c r="E30649" s="122" t="n"/>
    </s:row>
    <s:row r="30650" hidden="1" ht="1" customHeight="1">
      <s:c r="A30650" s="120" t="inlineStr"/>
      <s:c r="B30650" s="121" t="n"/>
      <s:c r="C30650" s="121" t="n"/>
      <s:c r="D30650" s="121" t="n"/>
      <s:c r="E30650" s="122" t="n"/>
    </s:row>
    <s:row r="30651" hidden="1" ht="1" customHeight="1">
      <s:c r="A30651" s="120" t="inlineStr"/>
      <s:c r="B30651" s="121" t="n"/>
      <s:c r="C30651" s="121" t="n"/>
      <s:c r="D30651" s="121" t="n"/>
      <s:c r="E30651" s="122" t="n"/>
    </s:row>
    <s:row r="30652" hidden="1" ht="1" customHeight="1">
      <s:c r="A30652" s="120" t="inlineStr"/>
      <s:c r="B30652" s="121" t="n"/>
      <s:c r="C30652" s="121" t="n"/>
      <s:c r="D30652" s="121" t="n"/>
      <s:c r="E30652" s="122" t="n"/>
    </s:row>
    <s:row r="30653" hidden="1" ht="1" customHeight="1">
      <s:c r="A30653" s="120" t="inlineStr"/>
      <s:c r="B30653" s="121" t="n"/>
      <s:c r="C30653" s="121" t="n"/>
      <s:c r="D30653" s="121" t="n"/>
      <s:c r="E30653" s="122" t="n"/>
    </s:row>
    <s:row r="30654" hidden="1" ht="1" customHeight="1">
      <s:c r="A30654" s="120" t="inlineStr"/>
      <s:c r="B30654" s="121" t="n"/>
      <s:c r="C30654" s="121" t="n"/>
      <s:c r="D30654" s="121" t="n"/>
      <s:c r="E30654" s="122" t="n"/>
    </s:row>
    <s:row r="30655" hidden="1" ht="1" customHeight="1">
      <s:c r="A30655" s="120" t="inlineStr"/>
      <s:c r="B30655" s="121" t="n"/>
      <s:c r="C30655" s="121" t="n"/>
      <s:c r="D30655" s="121" t="n"/>
      <s:c r="E30655" s="122" t="n"/>
    </s:row>
    <s:row r="30656" hidden="1" ht="1" customHeight="1">
      <s:c r="A30656" s="120" t="inlineStr"/>
      <s:c r="B30656" s="121" t="n"/>
      <s:c r="C30656" s="121" t="n"/>
      <s:c r="D30656" s="121" t="n"/>
      <s:c r="E30656" s="122" t="n"/>
    </s:row>
    <s:row r="30657" hidden="1" ht="1" customHeight="1">
      <s:c r="A30657" s="120" t="inlineStr"/>
      <s:c r="B30657" s="121" t="n"/>
      <s:c r="C30657" s="121" t="n"/>
      <s:c r="D30657" s="121" t="n"/>
      <s:c r="E30657" s="122" t="n"/>
    </s:row>
    <s:row r="30658" hidden="1" ht="1" customHeight="1">
      <s:c r="A30658" s="120" t="inlineStr"/>
      <s:c r="B30658" s="121" t="n"/>
      <s:c r="C30658" s="121" t="n"/>
      <s:c r="D30658" s="121" t="n"/>
      <s:c r="E30658" s="122" t="n"/>
    </s:row>
    <s:row r="30659" hidden="1" ht="1" customHeight="1">
      <s:c r="A30659" s="120" t="inlineStr"/>
      <s:c r="B30659" s="121" t="n"/>
      <s:c r="C30659" s="121" t="n"/>
      <s:c r="D30659" s="121" t="n"/>
      <s:c r="E30659" s="122" t="n"/>
    </s:row>
    <s:row r="30660" hidden="1" ht="1" customHeight="1">
      <s:c r="A30660" s="120" t="inlineStr"/>
      <s:c r="B30660" s="121" t="n"/>
      <s:c r="C30660" s="121" t="n"/>
      <s:c r="D30660" s="121" t="n"/>
      <s:c r="E30660" s="122" t="n"/>
    </s:row>
    <s:row r="30661" hidden="1" ht="1" customHeight="1">
      <s:c r="A30661" s="120" t="inlineStr"/>
      <s:c r="B30661" s="121" t="n"/>
      <s:c r="C30661" s="121" t="n"/>
      <s:c r="D30661" s="121" t="n"/>
      <s:c r="E30661" s="122" t="n"/>
    </s:row>
    <s:row r="30662" hidden="1" ht="1" customHeight="1">
      <s:c r="A30662" s="120" t="inlineStr"/>
      <s:c r="B30662" s="121" t="n"/>
      <s:c r="C30662" s="121" t="n"/>
      <s:c r="D30662" s="121" t="n"/>
      <s:c r="E30662" s="122" t="n"/>
    </s:row>
    <s:row r="30663" hidden="1" ht="1" customHeight="1">
      <s:c r="A30663" s="83" t="inlineStr">
        <s:is>
          <s:t>PASS</s:t>
        </s:is>
      </s:c>
      <s:c r="B30663" s="83">
        <s:f>SUM(IF(EXACT('Kiểm thử'!E30613,"Đạt"),1,0))</s:f>
        <s:v/>
      </s:c>
      <s:c r="C30663" s="19" t="n"/>
      <s:c r="D30663" s="19" t="n"/>
      <s:c r="E30663" s="19" t="n"/>
    </s:row>
    <s:row r="30664" hidden="1" ht="1" customHeight="1">
      <s:c r="A30664" s="83" t="inlineStr">
        <s:is>
          <s:t>FAIL</s:t>
        </s:is>
      </s:c>
      <s:c r="B30664" s="83">
        <s:f>SUM(IF(EXACT('Kiểm thử'!E30613,"Không đạt"),1,0))</s:f>
        <s:v/>
      </s:c>
      <s:c r="C30664" s="19" t="n"/>
      <s:c r="D30664" s="19" t="n"/>
      <s:c r="E30664" s="19" t="n"/>
    </s:row>
    <s:row r="30665" hidden="1" ht="1" customHeight="1">
      <s:c r="A30665" s="83" t="inlineStr">
        <s:is>
          <s:t>BLOCKED</s:t>
        </s:is>
      </s:c>
      <s:c r="B30665" s="83">
        <s:f>SUM(IF(EXACT('Kiểm thử'!E30613,"Bị chặn"),1,0))</s:f>
        <s:v/>
      </s:c>
      <s:c r="C30665" s="19" t="n"/>
      <s:c r="D30665" s="19" t="n"/>
      <s:c r="E30665" s="19" t="n"/>
    </s:row>
    <s:row r="30666" hidden="1" ht="1" customHeight="1">
      <s:c r="A30666" s="83" t="inlineStr">
        <s:is>
          <s:t>SKIPPED</s:t>
        </s:is>
      </s:c>
      <s:c r="B30666" s="83">
        <s:f>SUM(IF(EXACT('Kiểm thử'!E30613,"Không thực hiện"),1,0))</s:f>
        <s:v/>
      </s:c>
      <s:c r="C30666" s="19" t="n"/>
      <s:c r="D30666" s="19" t="n"/>
      <s:c r="E30666" s="19" t="n"/>
    </s:row>
    <s:row r="30667" hidden="1" ht="1" customHeight="1">
      <s:c r="A30667" s="83" t="inlineStr">
        <s:is>
          <s:t>NOT RUN</s:t>
        </s:is>
      </s:c>
      <s:c r="B30667" s="83">
        <s:f>SUM(IF(EXACT('Kiểm thử'!E30613,"Chưa thực hiện"),1,0))</s:f>
        <s:v/>
      </s:c>
      <s:c r="C30667" s="19" t="n"/>
      <s:c r="D30667" s="19" t="n"/>
      <s:c r="E30667" s="19" t="n"/>
    </s:row>
    <s:row r="30668" hidden="1" ht="6" customHeight="1">
      <s:c r="A30668" s="83" t="inlineStr"/>
      <s:c r="B30668" s="19" t="n"/>
      <s:c r="C30668" s="19" t="n"/>
      <s:c r="D30668" s="19" t="n"/>
      <s:c r="E30668" s="19" t="n"/>
    </s:row>
    <s:row r="30669" ht="28" customHeight="1">
      <s:c r="A30669" s="108" t="inlineStr">
        <s:is>
          <s:t>TC-RS-REG-001 — Điểm do tính tự động（自動計算） tạo ra không đổi khi có quy tắc đỏ</s:t>
        </s:is>
      </s:c>
      <s:c r="B30669" s="111" t="n"/>
      <s:c r="C30669" s="111" t="n"/>
      <s:c r="D30669" s="111" t="n"/>
      <s:c r="E30669" s="111" t="n"/>
    </s:row>
    <s:row r="30670" ht="20" customHeight="1">
      <s:c r="A30670" s="112" t="inlineStr">
        <s:is>
          <s:t>Kết quả tình huống</s:t>
        </s:is>
      </s:c>
      <s:c r="B30670" s="113">
        <s:f>IF(SUM(IF(EXACT('Kiểm thử'!E30678,"Không đạt"),1,0))&gt;0,"Không đạt",IF(SUM(IF(EXACT('Kiểm thử'!E30678,"Đạt"),1,0))=1,"Đạt",IF(SUM(IF(EXACT('Kiểm thử'!E30678,"Không thực hiện"),1,0))=1,"Không thực hiện",IF(SUM(IF(EXACT('Kiểm thử'!E30678,"Bị chặn"),1,0))&gt;0,"Bị chặn",IF(SUM(IF(EXACT('Kiểm thử'!E30678,"Chưa thực hiện"),1,0))=1,"Chưa thực hiện","Đang thực hiện")))))</s:f>
        <s:v/>
      </s:c>
      <s:c r="C30670" s="114" t="n"/>
      <s:c r="D30670" s="114" t="n"/>
      <s:c r="E30670" s="114" t="n"/>
    </s:row>
    <s:row r="30671" ht="20" customHeight="1">
      <s:c r="A30671" s="112" t="inlineStr">
        <s:is>
          <s:t>Màn hình / chức năng</s:t>
        </s:is>
      </s:c>
      <s:c r="B30671" s="113" t="inlineStr">
        <s:is>
          <s:t>Hồi quy luồng hiện có</s:t>
        </s:is>
      </s:c>
      <s:c r="C30671" s="28" t="n"/>
      <s:c r="D30671" s="28" t="n"/>
      <s:c r="E30671" s="28" t="n"/>
    </s:row>
    <s:row r="30672" ht="34" customHeight="1">
      <s:c r="A30672" s="112" t="inlineStr">
        <s:is>
          <s:t>Cấu hình</s:t>
        </s:is>
      </s:c>
      <s:c r="B30672" s="113" t="inlineStr">
        <s:is>
          <s:t>• Mục số nguyên có thêm tính tự động có quy tắc tính tự động;
• Baseline điểm tự động của khối 1. Thêm quy tắc “Cố định 30” (dưới 30).</s:t>
        </s:is>
      </s:c>
      <s:c r="C30672" s="28" t="n"/>
      <s:c r="D30672" s="28" t="n"/>
      <s:c r="E30672" s="28" t="n"/>
    </s:row>
    <s:row r="30673" ht="20" customHeight="1">
      <s:c r="A30673" s="112" t="inlineStr">
        <s:is>
          <s:t>Dữ liệu test</s:t>
        </s:is>
      </s:c>
      <s:c r="B30673" s="113" t="inlineStr">
        <s:is>
          <s:t>• Mục số nguyên có thêm tính tự động, quy tắc “Cố định 30” (dưới 30)</s:t>
        </s:is>
      </s:c>
      <s:c r="C30673" s="28" t="n"/>
      <s:c r="D30673" s="28" t="n"/>
      <s:c r="E30673" s="28" t="n"/>
    </s:row>
    <s:row r="30674" ht="20" customHeight="1">
      <s:c r="A30674" s="112" t="inlineStr">
        <s:is>
          <s:t>Bước 1</s:t>
        </s:is>
      </s:c>
      <s:c r="B30674" s="113" t="inlineStr">
        <s:is>
          <s:t>Chạy nút cam cho khối 1.</s:t>
        </s:is>
      </s:c>
      <s:c r="C30674" s="28" t="n"/>
      <s:c r="D30674" s="28" t="n"/>
      <s:c r="E30674" s="28" t="n"/>
    </s:row>
    <s:row r="30675" ht="20" customHeight="1">
      <s:c r="A30675" s="112" t="inlineStr">
        <s:is>
          <s:t>Bước 2</s:t>
        </s:is>
      </s:c>
      <s:c r="B30675" s="113" t="inlineStr">
        <s:is>
          <s:t>So điểm của mục số nguyên có thêm tính tự động với baseline.</s:t>
        </s:is>
      </s:c>
      <s:c r="C30675" s="28" t="n"/>
      <s:c r="D30675" s="28" t="n"/>
      <s:c r="E30675" s="28" t="n"/>
    </s:row>
    <s:row r="30676" ht="28" customHeight="1">
      <s:c r="A30676" s="115" t="inlineStr">
        <s:is>
          <s:t>Trường hợp</s:t>
        </s:is>
      </s:c>
      <s:c r="B30676" s="115" t="inlineStr">
        <s:is>
          <s:t>Dữ liệu / thao tác riêng</s:t>
        </s:is>
      </s:c>
      <s:c r="C30676" s="115" t="inlineStr">
        <s:is>
          <s:t>Kết quả mong đợi</s:t>
        </s:is>
      </s:c>
      <s:c r="D30676" s="115" t="inlineStr">
        <s:is>
          <s:t>Kết quả thực tế</s:t>
        </s:is>
      </s:c>
      <s:c r="E30676" s="115" t="inlineStr">
        <s:is>
          <s:t>Đánh giá</s:t>
        </s:is>
      </s:c>
    </s:row>
    <s:row r="30677" ht="3" customHeight="1">
      <s:c r="A30677" s="102" t="inlineStr"/>
      <s:c r="B30677" s="99" t="n"/>
      <s:c r="C30677" s="99" t="n"/>
      <s:c r="D30677" s="116" t="n"/>
      <s:c r="E30677" s="116" t="n"/>
    </s:row>
    <s:row r="30678" ht="62" customHeight="1">
      <s:c r="A30678" s="83" t="inlineStr">
        <s:is>
          <s:t>Trường hợp cơ bản (Base)</s:t>
        </s:is>
      </s:c>
      <s:c r="B30678" s="83" t="inlineStr">
        <s:is>
          <s:t>Toàn bộ tình huống: Thực hiện đủ các bước chung theo thứ tự; kiểm cả đối tượng đích và đối chứng cùng fixture, không bỏ bước.</s:t>
        </s:is>
      </s:c>
      <s:c r="C30678" s="83" t="inlineStr">
        <s:is>
          <s:t>Mọi điểm tự động bằng baseline; chỉ có thêm kết quả đỏ.</s:t>
        </s:is>
      </s:c>
      <s:c r="D30678" s="117" t="inlineStr"/>
      <s:c r="E30678" s="118" t="inlineStr">
        <s:is>
          <s:t>Chưa thực hiện</s:t>
        </s:is>
      </s:c>
    </s:row>
    <s:row r="30679" ht="20" customHeight="1">
      <s:c r="A30679" s="119" t="inlineStr">
        <s:is>
          <s:t>Ảnh minh chứng — Chưa có ảnh</s:t>
        </s:is>
      </s:c>
      <s:c r="B30679" s="19" t="n"/>
      <s:c r="C30679" s="19" t="n"/>
      <s:c r="D30679" s="19" t="n"/>
      <s:c r="E30679" s="19" t="n"/>
    </s:row>
    <s:row r="30680" hidden="1" ht="1" customHeight="1">
      <s:c r="A30680" s="120" t="inlineStr"/>
      <s:c r="B30680" s="121" t="n"/>
      <s:c r="C30680" s="121" t="n"/>
      <s:c r="D30680" s="121" t="n"/>
      <s:c r="E30680" s="122" t="n"/>
    </s:row>
    <s:row r="30681" hidden="1" ht="1" customHeight="1">
      <s:c r="A30681" s="120" t="inlineStr"/>
      <s:c r="B30681" s="121" t="n"/>
      <s:c r="C30681" s="121" t="n"/>
      <s:c r="D30681" s="121" t="n"/>
      <s:c r="E30681" s="122" t="n"/>
    </s:row>
    <s:row r="30682" hidden="1" ht="1" customHeight="1">
      <s:c r="A30682" s="120" t="inlineStr"/>
      <s:c r="B30682" s="121" t="n"/>
      <s:c r="C30682" s="121" t="n"/>
      <s:c r="D30682" s="121" t="n"/>
      <s:c r="E30682" s="122" t="n"/>
    </s:row>
    <s:row r="30683" hidden="1" ht="1" customHeight="1">
      <s:c r="A30683" s="120" t="inlineStr"/>
      <s:c r="B30683" s="121" t="n"/>
      <s:c r="C30683" s="121" t="n"/>
      <s:c r="D30683" s="121" t="n"/>
      <s:c r="E30683" s="122" t="n"/>
    </s:row>
    <s:row r="30684" hidden="1" ht="1" customHeight="1">
      <s:c r="A30684" s="120" t="inlineStr"/>
      <s:c r="B30684" s="121" t="n"/>
      <s:c r="C30684" s="121" t="n"/>
      <s:c r="D30684" s="121" t="n"/>
      <s:c r="E30684" s="122" t="n"/>
    </s:row>
    <s:row r="30685" hidden="1" ht="1" customHeight="1">
      <s:c r="A30685" s="120" t="inlineStr"/>
      <s:c r="B30685" s="121" t="n"/>
      <s:c r="C30685" s="121" t="n"/>
      <s:c r="D30685" s="121" t="n"/>
      <s:c r="E30685" s="122" t="n"/>
    </s:row>
    <s:row r="30686" hidden="1" ht="1" customHeight="1">
      <s:c r="A30686" s="120" t="inlineStr"/>
      <s:c r="B30686" s="121" t="n"/>
      <s:c r="C30686" s="121" t="n"/>
      <s:c r="D30686" s="121" t="n"/>
      <s:c r="E30686" s="122" t="n"/>
    </s:row>
    <s:row r="30687" hidden="1" ht="1" customHeight="1">
      <s:c r="A30687" s="120" t="inlineStr"/>
      <s:c r="B30687" s="121" t="n"/>
      <s:c r="C30687" s="121" t="n"/>
      <s:c r="D30687" s="121" t="n"/>
      <s:c r="E30687" s="122" t="n"/>
    </s:row>
    <s:row r="30688" hidden="1" ht="1" customHeight="1">
      <s:c r="A30688" s="120" t="inlineStr"/>
      <s:c r="B30688" s="121" t="n"/>
      <s:c r="C30688" s="121" t="n"/>
      <s:c r="D30688" s="121" t="n"/>
      <s:c r="E30688" s="122" t="n"/>
    </s:row>
    <s:row r="30689" hidden="1" ht="1" customHeight="1">
      <s:c r="A30689" s="120" t="inlineStr"/>
      <s:c r="B30689" s="121" t="n"/>
      <s:c r="C30689" s="121" t="n"/>
      <s:c r="D30689" s="121" t="n"/>
      <s:c r="E30689" s="122" t="n"/>
    </s:row>
    <s:row r="30690" hidden="1" ht="1" customHeight="1">
      <s:c r="A30690" s="120" t="inlineStr"/>
      <s:c r="B30690" s="121" t="n"/>
      <s:c r="C30690" s="121" t="n"/>
      <s:c r="D30690" s="121" t="n"/>
      <s:c r="E30690" s="122" t="n"/>
    </s:row>
    <s:row r="30691" hidden="1" ht="1" customHeight="1">
      <s:c r="A30691" s="120" t="inlineStr"/>
      <s:c r="B30691" s="121" t="n"/>
      <s:c r="C30691" s="121" t="n"/>
      <s:c r="D30691" s="121" t="n"/>
      <s:c r="E30691" s="122" t="n"/>
    </s:row>
    <s:row r="30692" hidden="1" ht="1" customHeight="1">
      <s:c r="A30692" s="120" t="inlineStr"/>
      <s:c r="B30692" s="121" t="n"/>
      <s:c r="C30692" s="121" t="n"/>
      <s:c r="D30692" s="121" t="n"/>
      <s:c r="E30692" s="122" t="n"/>
    </s:row>
    <s:row r="30693" hidden="1" ht="1" customHeight="1">
      <s:c r="A30693" s="120" t="inlineStr"/>
      <s:c r="B30693" s="121" t="n"/>
      <s:c r="C30693" s="121" t="n"/>
      <s:c r="D30693" s="121" t="n"/>
      <s:c r="E30693" s="122" t="n"/>
    </s:row>
    <s:row r="30694" hidden="1" ht="1" customHeight="1">
      <s:c r="A30694" s="120" t="inlineStr"/>
      <s:c r="B30694" s="121" t="n"/>
      <s:c r="C30694" s="121" t="n"/>
      <s:c r="D30694" s="121" t="n"/>
      <s:c r="E30694" s="122" t="n"/>
    </s:row>
    <s:row r="30695" hidden="1" ht="1" customHeight="1">
      <s:c r="A30695" s="120" t="inlineStr"/>
      <s:c r="B30695" s="121" t="n"/>
      <s:c r="C30695" s="121" t="n"/>
      <s:c r="D30695" s="121" t="n"/>
      <s:c r="E30695" s="122" t="n"/>
    </s:row>
    <s:row r="30696" hidden="1" ht="1" customHeight="1">
      <s:c r="A30696" s="120" t="inlineStr"/>
      <s:c r="B30696" s="121" t="n"/>
      <s:c r="C30696" s="121" t="n"/>
      <s:c r="D30696" s="121" t="n"/>
      <s:c r="E30696" s="122" t="n"/>
    </s:row>
    <s:row r="30697" hidden="1" ht="1" customHeight="1">
      <s:c r="A30697" s="120" t="inlineStr"/>
      <s:c r="B30697" s="121" t="n"/>
      <s:c r="C30697" s="121" t="n"/>
      <s:c r="D30697" s="121" t="n"/>
      <s:c r="E30697" s="122" t="n"/>
    </s:row>
    <s:row r="30698" hidden="1" ht="1" customHeight="1">
      <s:c r="A30698" s="120" t="inlineStr"/>
      <s:c r="B30698" s="121" t="n"/>
      <s:c r="C30698" s="121" t="n"/>
      <s:c r="D30698" s="121" t="n"/>
      <s:c r="E30698" s="122" t="n"/>
    </s:row>
    <s:row r="30699" hidden="1" ht="1" customHeight="1">
      <s:c r="A30699" s="120" t="inlineStr"/>
      <s:c r="B30699" s="121" t="n"/>
      <s:c r="C30699" s="121" t="n"/>
      <s:c r="D30699" s="121" t="n"/>
      <s:c r="E30699" s="122" t="n"/>
    </s:row>
    <s:row r="30700" hidden="1" ht="1" customHeight="1">
      <s:c r="A30700" s="120" t="inlineStr"/>
      <s:c r="B30700" s="121" t="n"/>
      <s:c r="C30700" s="121" t="n"/>
      <s:c r="D30700" s="121" t="n"/>
      <s:c r="E30700" s="122" t="n"/>
    </s:row>
    <s:row r="30701" hidden="1" ht="1" customHeight="1">
      <s:c r="A30701" s="120" t="inlineStr"/>
      <s:c r="B30701" s="121" t="n"/>
      <s:c r="C30701" s="121" t="n"/>
      <s:c r="D30701" s="121" t="n"/>
      <s:c r="E30701" s="122" t="n"/>
    </s:row>
    <s:row r="30702" hidden="1" ht="1" customHeight="1">
      <s:c r="A30702" s="120" t="inlineStr"/>
      <s:c r="B30702" s="121" t="n"/>
      <s:c r="C30702" s="121" t="n"/>
      <s:c r="D30702" s="121" t="n"/>
      <s:c r="E30702" s="122" t="n"/>
    </s:row>
    <s:row r="30703" hidden="1" ht="1" customHeight="1">
      <s:c r="A30703" s="120" t="inlineStr"/>
      <s:c r="B30703" s="121" t="n"/>
      <s:c r="C30703" s="121" t="n"/>
      <s:c r="D30703" s="121" t="n"/>
      <s:c r="E30703" s="122" t="n"/>
    </s:row>
    <s:row r="30704" hidden="1" ht="1" customHeight="1">
      <s:c r="A30704" s="120" t="inlineStr"/>
      <s:c r="B30704" s="121" t="n"/>
      <s:c r="C30704" s="121" t="n"/>
      <s:c r="D30704" s="121" t="n"/>
      <s:c r="E30704" s="122" t="n"/>
    </s:row>
    <s:row r="30705" hidden="1" ht="1" customHeight="1">
      <s:c r="A30705" s="120" t="inlineStr"/>
      <s:c r="B30705" s="121" t="n"/>
      <s:c r="C30705" s="121" t="n"/>
      <s:c r="D30705" s="121" t="n"/>
      <s:c r="E30705" s="122" t="n"/>
    </s:row>
    <s:row r="30706" hidden="1" ht="1" customHeight="1">
      <s:c r="A30706" s="120" t="inlineStr"/>
      <s:c r="B30706" s="121" t="n"/>
      <s:c r="C30706" s="121" t="n"/>
      <s:c r="D30706" s="121" t="n"/>
      <s:c r="E30706" s="122" t="n"/>
    </s:row>
    <s:row r="30707" hidden="1" ht="1" customHeight="1">
      <s:c r="A30707" s="120" t="inlineStr"/>
      <s:c r="B30707" s="121" t="n"/>
      <s:c r="C30707" s="121" t="n"/>
      <s:c r="D30707" s="121" t="n"/>
      <s:c r="E30707" s="122" t="n"/>
    </s:row>
    <s:row r="30708" hidden="1" ht="1" customHeight="1">
      <s:c r="A30708" s="120" t="inlineStr"/>
      <s:c r="B30708" s="121" t="n"/>
      <s:c r="C30708" s="121" t="n"/>
      <s:c r="D30708" s="121" t="n"/>
      <s:c r="E30708" s="122" t="n"/>
    </s:row>
    <s:row r="30709" hidden="1" ht="1" customHeight="1">
      <s:c r="A30709" s="120" t="inlineStr"/>
      <s:c r="B30709" s="121" t="n"/>
      <s:c r="C30709" s="121" t="n"/>
      <s:c r="D30709" s="121" t="n"/>
      <s:c r="E30709" s="122" t="n"/>
    </s:row>
    <s:row r="30710" hidden="1" ht="1" customHeight="1">
      <s:c r="A30710" s="120" t="inlineStr"/>
      <s:c r="B30710" s="121" t="n"/>
      <s:c r="C30710" s="121" t="n"/>
      <s:c r="D30710" s="121" t="n"/>
      <s:c r="E30710" s="122" t="n"/>
    </s:row>
    <s:row r="30711" hidden="1" ht="1" customHeight="1">
      <s:c r="A30711" s="120" t="inlineStr"/>
      <s:c r="B30711" s="121" t="n"/>
      <s:c r="C30711" s="121" t="n"/>
      <s:c r="D30711" s="121" t="n"/>
      <s:c r="E30711" s="122" t="n"/>
    </s:row>
    <s:row r="30712" hidden="1" ht="1" customHeight="1">
      <s:c r="A30712" s="120" t="inlineStr"/>
      <s:c r="B30712" s="121" t="n"/>
      <s:c r="C30712" s="121" t="n"/>
      <s:c r="D30712" s="121" t="n"/>
      <s:c r="E30712" s="122" t="n"/>
    </s:row>
    <s:row r="30713" hidden="1" ht="1" customHeight="1">
      <s:c r="A30713" s="120" t="inlineStr"/>
      <s:c r="B30713" s="121" t="n"/>
      <s:c r="C30713" s="121" t="n"/>
      <s:c r="D30713" s="121" t="n"/>
      <s:c r="E30713" s="122" t="n"/>
    </s:row>
    <s:row r="30714" hidden="1" ht="1" customHeight="1">
      <s:c r="A30714" s="120" t="inlineStr"/>
      <s:c r="B30714" s="121" t="n"/>
      <s:c r="C30714" s="121" t="n"/>
      <s:c r="D30714" s="121" t="n"/>
      <s:c r="E30714" s="122" t="n"/>
    </s:row>
    <s:row r="30715" hidden="1" ht="1" customHeight="1">
      <s:c r="A30715" s="120" t="inlineStr"/>
      <s:c r="B30715" s="121" t="n"/>
      <s:c r="C30715" s="121" t="n"/>
      <s:c r="D30715" s="121" t="n"/>
      <s:c r="E30715" s="122" t="n"/>
    </s:row>
    <s:row r="30716" hidden="1" ht="1" customHeight="1">
      <s:c r="A30716" s="120" t="inlineStr"/>
      <s:c r="B30716" s="121" t="n"/>
      <s:c r="C30716" s="121" t="n"/>
      <s:c r="D30716" s="121" t="n"/>
      <s:c r="E30716" s="122" t="n"/>
    </s:row>
    <s:row r="30717" hidden="1" ht="1" customHeight="1">
      <s:c r="A30717" s="120" t="inlineStr"/>
      <s:c r="B30717" s="121" t="n"/>
      <s:c r="C30717" s="121" t="n"/>
      <s:c r="D30717" s="121" t="n"/>
      <s:c r="E30717" s="122" t="n"/>
    </s:row>
    <s:row r="30718" hidden="1" ht="1" customHeight="1">
      <s:c r="A30718" s="120" t="inlineStr"/>
      <s:c r="B30718" s="121" t="n"/>
      <s:c r="C30718" s="121" t="n"/>
      <s:c r="D30718" s="121" t="n"/>
      <s:c r="E30718" s="122" t="n"/>
    </s:row>
    <s:row r="30719" hidden="1" ht="1" customHeight="1">
      <s:c r="A30719" s="120" t="inlineStr"/>
      <s:c r="B30719" s="121" t="n"/>
      <s:c r="C30719" s="121" t="n"/>
      <s:c r="D30719" s="121" t="n"/>
      <s:c r="E30719" s="122" t="n"/>
    </s:row>
    <s:row r="30720" hidden="1" ht="1" customHeight="1">
      <s:c r="A30720" s="120" t="inlineStr"/>
      <s:c r="B30720" s="121" t="n"/>
      <s:c r="C30720" s="121" t="n"/>
      <s:c r="D30720" s="121" t="n"/>
      <s:c r="E30720" s="122" t="n"/>
    </s:row>
    <s:row r="30721" hidden="1" ht="1" customHeight="1">
      <s:c r="A30721" s="120" t="inlineStr"/>
      <s:c r="B30721" s="121" t="n"/>
      <s:c r="C30721" s="121" t="n"/>
      <s:c r="D30721" s="121" t="n"/>
      <s:c r="E30721" s="122" t="n"/>
    </s:row>
    <s:row r="30722" hidden="1" ht="1" customHeight="1">
      <s:c r="A30722" s="120" t="inlineStr"/>
      <s:c r="B30722" s="121" t="n"/>
      <s:c r="C30722" s="121" t="n"/>
      <s:c r="D30722" s="121" t="n"/>
      <s:c r="E30722" s="122" t="n"/>
    </s:row>
    <s:row r="30723" hidden="1" ht="1" customHeight="1">
      <s:c r="A30723" s="120" t="inlineStr"/>
      <s:c r="B30723" s="121" t="n"/>
      <s:c r="C30723" s="121" t="n"/>
      <s:c r="D30723" s="121" t="n"/>
      <s:c r="E30723" s="122" t="n"/>
    </s:row>
    <s:row r="30724" hidden="1" ht="1" customHeight="1">
      <s:c r="A30724" s="120" t="inlineStr"/>
      <s:c r="B30724" s="121" t="n"/>
      <s:c r="C30724" s="121" t="n"/>
      <s:c r="D30724" s="121" t="n"/>
      <s:c r="E30724" s="122" t="n"/>
    </s:row>
    <s:row r="30725" hidden="1" ht="1" customHeight="1">
      <s:c r="A30725" s="120" t="inlineStr"/>
      <s:c r="B30725" s="121" t="n"/>
      <s:c r="C30725" s="121" t="n"/>
      <s:c r="D30725" s="121" t="n"/>
      <s:c r="E30725" s="122" t="n"/>
    </s:row>
    <s:row r="30726" hidden="1" ht="1" customHeight="1">
      <s:c r="A30726" s="120" t="inlineStr"/>
      <s:c r="B30726" s="121" t="n"/>
      <s:c r="C30726" s="121" t="n"/>
      <s:c r="D30726" s="121" t="n"/>
      <s:c r="E30726" s="122" t="n"/>
    </s:row>
    <s:row r="30727" hidden="1" ht="1" customHeight="1">
      <s:c r="A30727" s="120" t="inlineStr"/>
      <s:c r="B30727" s="121" t="n"/>
      <s:c r="C30727" s="121" t="n"/>
      <s:c r="D30727" s="121" t="n"/>
      <s:c r="E30727" s="122" t="n"/>
    </s:row>
    <s:row r="30728" hidden="1" ht="1" customHeight="1">
      <s:c r="A30728" s="83" t="inlineStr">
        <s:is>
          <s:t>PASS</s:t>
        </s:is>
      </s:c>
      <s:c r="B30728" s="83">
        <s:f>SUM(IF(EXACT('Kiểm thử'!E30678,"Đạt"),1,0))</s:f>
        <s:v/>
      </s:c>
      <s:c r="C30728" s="19" t="n"/>
      <s:c r="D30728" s="19" t="n"/>
      <s:c r="E30728" s="19" t="n"/>
    </s:row>
    <s:row r="30729" hidden="1" ht="1" customHeight="1">
      <s:c r="A30729" s="83" t="inlineStr">
        <s:is>
          <s:t>FAIL</s:t>
        </s:is>
      </s:c>
      <s:c r="B30729" s="83">
        <s:f>SUM(IF(EXACT('Kiểm thử'!E30678,"Không đạt"),1,0))</s:f>
        <s:v/>
      </s:c>
      <s:c r="C30729" s="19" t="n"/>
      <s:c r="D30729" s="19" t="n"/>
      <s:c r="E30729" s="19" t="n"/>
    </s:row>
    <s:row r="30730" hidden="1" ht="1" customHeight="1">
      <s:c r="A30730" s="83" t="inlineStr">
        <s:is>
          <s:t>BLOCKED</s:t>
        </s:is>
      </s:c>
      <s:c r="B30730" s="83">
        <s:f>SUM(IF(EXACT('Kiểm thử'!E30678,"Bị chặn"),1,0))</s:f>
        <s:v/>
      </s:c>
      <s:c r="C30730" s="19" t="n"/>
      <s:c r="D30730" s="19" t="n"/>
      <s:c r="E30730" s="19" t="n"/>
    </s:row>
    <s:row r="30731" hidden="1" ht="1" customHeight="1">
      <s:c r="A30731" s="83" t="inlineStr">
        <s:is>
          <s:t>SKIPPED</s:t>
        </s:is>
      </s:c>
      <s:c r="B30731" s="83">
        <s:f>SUM(IF(EXACT('Kiểm thử'!E30678,"Không thực hiện"),1,0))</s:f>
        <s:v/>
      </s:c>
      <s:c r="C30731" s="19" t="n"/>
      <s:c r="D30731" s="19" t="n"/>
      <s:c r="E30731" s="19" t="n"/>
    </s:row>
    <s:row r="30732" hidden="1" ht="1" customHeight="1">
      <s:c r="A30732" s="83" t="inlineStr">
        <s:is>
          <s:t>NOT RUN</s:t>
        </s:is>
      </s:c>
      <s:c r="B30732" s="83">
        <s:f>SUM(IF(EXACT('Kiểm thử'!E30678,"Chưa thực hiện"),1,0))</s:f>
        <s:v/>
      </s:c>
      <s:c r="C30732" s="19" t="n"/>
      <s:c r="D30732" s="19" t="n"/>
      <s:c r="E30732" s="19" t="n"/>
    </s:row>
    <s:row r="30733" hidden="1" ht="6" customHeight="1">
      <s:c r="A30733" s="83" t="inlineStr"/>
      <s:c r="B30733" s="19" t="n"/>
      <s:c r="C30733" s="19" t="n"/>
      <s:c r="D30733" s="19" t="n"/>
      <s:c r="E30733" s="19" t="n"/>
    </s:row>
    <s:row r="30734" ht="28" customHeight="1">
      <s:c r="A30734" s="108" t="inlineStr">
        <s:is>
          <s:t>TC-RS-REG-002 — Quy tắc đỏ không kế thừa hành vi "không khớp thì ghi NULL" của AutoRating</s:t>
        </s:is>
      </s:c>
      <s:c r="B30734" s="111" t="n"/>
      <s:c r="C30734" s="111" t="n"/>
      <s:c r="D30734" s="111" t="n"/>
      <s:c r="E30734" s="111" t="n"/>
    </s:row>
    <s:row r="30735" ht="20" customHeight="1">
      <s:c r="A30735" s="112" t="inlineStr">
        <s:is>
          <s:t>Kết quả tình huống</s:t>
        </s:is>
      </s:c>
      <s:c r="B30735" s="113">
        <s:f>IF(SUM(IF(EXACT('Kiểm thử'!E30743,"Không đạt"),1,0))&gt;0,"Không đạt",IF(SUM(IF(EXACT('Kiểm thử'!E30743,"Đạt"),1,0))=1,"Đạt",IF(SUM(IF(EXACT('Kiểm thử'!E30743,"Không thực hiện"),1,0))=1,"Không thực hiện",IF(SUM(IF(EXACT('Kiểm thử'!E30743,"Bị chặn"),1,0))&gt;0,"Bị chặn",IF(SUM(IF(EXACT('Kiểm thử'!E30743,"Chưa thực hiện"),1,0))=1,"Chưa thực hiện","Đang thực hiện")))))</s:f>
        <s:v/>
      </s:c>
      <s:c r="C30735" s="114" t="n"/>
      <s:c r="D30735" s="114" t="n"/>
      <s:c r="E30735" s="114" t="n"/>
    </s:row>
    <s:row r="30736" ht="20" customHeight="1">
      <s:c r="A30736" s="112" t="inlineStr">
        <s:is>
          <s:t>Màn hình / chức năng</s:t>
        </s:is>
      </s:c>
      <s:c r="B30736" s="113" t="inlineStr">
        <s:is>
          <s:t>Hồi quy luồng hiện có</s:t>
        </s:is>
      </s:c>
      <s:c r="C30736" s="28" t="n"/>
      <s:c r="D30736" s="28" t="n"/>
      <s:c r="E30736" s="28" t="n"/>
    </s:row>
    <s:row r="30737" ht="48" customHeight="1">
      <s:c r="A30737" s="112" t="inlineStr">
        <s:is>
          <s:t>Cấu hình</s:t>
        </s:is>
      </s:c>
      <s:c r="B30737" s="113" t="inlineStr">
        <s:is>
          <s:r>
            <s:t>• Mục số nguyên (</s:t>
          </s:r>
          <s:r>
            <s:rPr>
              <s:b val="1"/>
            </s:rPr>
            <s:t>M=100</s:t>
          </s:r>
          <s:r>
            <s:t>) chỉ có quy tắc có bộ lọc kết hợp (khối 1 hoặc 2, nhóm Nâng cao);
• S07=20 không khớp (như case “Không quy tắc nào khớp khi đủ dữ liệu → Không áp dụng”). Mục không có quy tắc tính tự động.</s:t>
          </s:r>
        </s:is>
      </s:c>
      <s:c r="C30737" s="28" t="n"/>
      <s:c r="D30737" s="28" t="n"/>
      <s:c r="E30737" s="28" t="n"/>
    </s:row>
    <s:row r="30738" ht="48" customHeight="1">
      <s:c r="A30738" s="112" t="inlineStr">
        <s:is>
          <s:t>Dữ liệu test</s:t>
        </s:is>
      </s:c>
      <s:c r="B30738" s="113" t="inlineStr">
        <s:is>
          <s:r>
            <s:t>• Mục số nguyên (</s:t>
          </s:r>
          <s:r>
            <s:rPr>
              <s:b val="1"/>
            </s:rPr>
            <s:t>M=100</s:t>
          </s:r>
          <s:r>
            <s:t xml:space="preserve">);
• Quy tắc có bộ lọc kết hợp (khối 1 hoặc 2, nhóm Nâng cao), học sinh S07 (điểm 35, </s:t>
          </s:r>
          <s:r>
            <s:rPr>
              <s:b val="1"/>
            </s:rPr>
            <s:t>cờ Chưa dự thi（未受験）</s:t>
          </s:r>
          <s:r>
            <s:t>)</s:t>
          </s:r>
        </s:is>
      </s:c>
      <s:c r="C30738" s="28" t="n"/>
      <s:c r="D30738" s="28" t="n"/>
      <s:c r="E30738" s="28" t="n"/>
    </s:row>
    <s:row r="30739" ht="20" customHeight="1">
      <s:c r="A30739" s="112" t="inlineStr">
        <s:is>
          <s:t>Bước 1</s:t>
        </s:is>
      </s:c>
      <s:c r="B30739" s="113" t="inlineStr">
        <s:is>
          <s:t>Đăng ký S07=20; chạy nút cam.</s:t>
        </s:is>
      </s:c>
      <s:c r="C30739" s="28" t="n"/>
      <s:c r="D30739" s="28" t="n"/>
      <s:c r="E30739" s="28" t="n"/>
    </s:row>
    <s:row r="30740" ht="20" customHeight="1">
      <s:c r="A30740" s="112" t="inlineStr">
        <s:is>
          <s:t>Bước 2</s:t>
        </s:is>
      </s:c>
      <s:c r="B30740" s="113" t="inlineStr">
        <s:is>
          <s:t>Xem điểm S07 trên màn nhập điểm và DB.</s:t>
        </s:is>
      </s:c>
      <s:c r="C30740" s="28" t="n"/>
      <s:c r="D30740" s="28" t="n"/>
      <s:c r="E30740" s="28" t="n"/>
    </s:row>
    <s:row r="30741" ht="28" customHeight="1">
      <s:c r="A30741" s="115" t="inlineStr">
        <s:is>
          <s:t>Trường hợp</s:t>
        </s:is>
      </s:c>
      <s:c r="B30741" s="115" t="inlineStr">
        <s:is>
          <s:t>Dữ liệu / thao tác riêng</s:t>
        </s:is>
      </s:c>
      <s:c r="C30741" s="115" t="inlineStr">
        <s:is>
          <s:t>Kết quả mong đợi</s:t>
        </s:is>
      </s:c>
      <s:c r="D30741" s="115" t="inlineStr">
        <s:is>
          <s:t>Kết quả thực tế</s:t>
        </s:is>
      </s:c>
      <s:c r="E30741" s="115" t="inlineStr">
        <s:is>
          <s:t>Đánh giá</s:t>
        </s:is>
      </s:c>
    </s:row>
    <s:row r="30742" ht="3" customHeight="1">
      <s:c r="A30742" s="102" t="inlineStr"/>
      <s:c r="B30742" s="99" t="n"/>
      <s:c r="C30742" s="99" t="n"/>
      <s:c r="D30742" s="116" t="n"/>
      <s:c r="E30742" s="116" t="n"/>
    </s:row>
    <s:row r="30743" ht="62" customHeight="1">
      <s:c r="A30743" s="83" t="inlineStr">
        <s:is>
          <s:t>Trường hợp cơ bản (Base)</s:t>
        </s:is>
      </s:c>
      <s:c r="B30743" s="83" t="inlineStr">
        <s:is>
          <s:t>Toàn bộ tình huống: Thực hiện đủ các bước chung theo thứ tự; kiểm cả đối tượng đích và đối chứng cùng fixture, không bỏ bước.</s:t>
        </s:is>
      </s:c>
      <s:c r="C30743" s="83" t="inlineStr">
        <s:is>
          <s:r>
            <s:t xml:space="preserve">Điểm S07 vẫn 20 (không bị xóa/NULL); kết quả là </s:t>
          </s:r>
          <s:r>
            <s:rPr>
              <s:b val="1"/>
            </s:rPr>
            <s:t>Không áp dụng</s:t>
          </s:r>
          <s:r>
            <s:t>.</s:t>
          </s:r>
        </s:is>
      </s:c>
      <s:c r="D30743" s="117" t="inlineStr"/>
      <s:c r="E30743" s="118" t="inlineStr">
        <s:is>
          <s:t>Chưa thực hiện</s:t>
        </s:is>
      </s:c>
    </s:row>
    <s:row r="30744" ht="20" customHeight="1">
      <s:c r="A30744" s="119" t="inlineStr">
        <s:is>
          <s:t>Ảnh minh chứng — Chưa có ảnh</s:t>
        </s:is>
      </s:c>
      <s:c r="B30744" s="19" t="n"/>
      <s:c r="C30744" s="19" t="n"/>
      <s:c r="D30744" s="19" t="n"/>
      <s:c r="E30744" s="19" t="n"/>
    </s:row>
    <s:row r="30745" hidden="1" ht="1" customHeight="1">
      <s:c r="A30745" s="120" t="inlineStr"/>
      <s:c r="B30745" s="121" t="n"/>
      <s:c r="C30745" s="121" t="n"/>
      <s:c r="D30745" s="121" t="n"/>
      <s:c r="E30745" s="122" t="n"/>
    </s:row>
    <s:row r="30746" hidden="1" ht="1" customHeight="1">
      <s:c r="A30746" s="120" t="inlineStr"/>
      <s:c r="B30746" s="121" t="n"/>
      <s:c r="C30746" s="121" t="n"/>
      <s:c r="D30746" s="121" t="n"/>
      <s:c r="E30746" s="122" t="n"/>
    </s:row>
    <s:row r="30747" hidden="1" ht="1" customHeight="1">
      <s:c r="A30747" s="120" t="inlineStr"/>
      <s:c r="B30747" s="121" t="n"/>
      <s:c r="C30747" s="121" t="n"/>
      <s:c r="D30747" s="121" t="n"/>
      <s:c r="E30747" s="122" t="n"/>
    </s:row>
    <s:row r="30748" hidden="1" ht="1" customHeight="1">
      <s:c r="A30748" s="120" t="inlineStr"/>
      <s:c r="B30748" s="121" t="n"/>
      <s:c r="C30748" s="121" t="n"/>
      <s:c r="D30748" s="121" t="n"/>
      <s:c r="E30748" s="122" t="n"/>
    </s:row>
    <s:row r="30749" hidden="1" ht="1" customHeight="1">
      <s:c r="A30749" s="120" t="inlineStr"/>
      <s:c r="B30749" s="121" t="n"/>
      <s:c r="C30749" s="121" t="n"/>
      <s:c r="D30749" s="121" t="n"/>
      <s:c r="E30749" s="122" t="n"/>
    </s:row>
    <s:row r="30750" hidden="1" ht="1" customHeight="1">
      <s:c r="A30750" s="120" t="inlineStr"/>
      <s:c r="B30750" s="121" t="n"/>
      <s:c r="C30750" s="121" t="n"/>
      <s:c r="D30750" s="121" t="n"/>
      <s:c r="E30750" s="122" t="n"/>
    </s:row>
    <s:row r="30751" hidden="1" ht="1" customHeight="1">
      <s:c r="A30751" s="120" t="inlineStr"/>
      <s:c r="B30751" s="121" t="n"/>
      <s:c r="C30751" s="121" t="n"/>
      <s:c r="D30751" s="121" t="n"/>
      <s:c r="E30751" s="122" t="n"/>
    </s:row>
    <s:row r="30752" hidden="1" ht="1" customHeight="1">
      <s:c r="A30752" s="120" t="inlineStr"/>
      <s:c r="B30752" s="121" t="n"/>
      <s:c r="C30752" s="121" t="n"/>
      <s:c r="D30752" s="121" t="n"/>
      <s:c r="E30752" s="122" t="n"/>
    </s:row>
    <s:row r="30753" hidden="1" ht="1" customHeight="1">
      <s:c r="A30753" s="120" t="inlineStr"/>
      <s:c r="B30753" s="121" t="n"/>
      <s:c r="C30753" s="121" t="n"/>
      <s:c r="D30753" s="121" t="n"/>
      <s:c r="E30753" s="122" t="n"/>
    </s:row>
    <s:row r="30754" hidden="1" ht="1" customHeight="1">
      <s:c r="A30754" s="120" t="inlineStr"/>
      <s:c r="B30754" s="121" t="n"/>
      <s:c r="C30754" s="121" t="n"/>
      <s:c r="D30754" s="121" t="n"/>
      <s:c r="E30754" s="122" t="n"/>
    </s:row>
    <s:row r="30755" hidden="1" ht="1" customHeight="1">
      <s:c r="A30755" s="120" t="inlineStr"/>
      <s:c r="B30755" s="121" t="n"/>
      <s:c r="C30755" s="121" t="n"/>
      <s:c r="D30755" s="121" t="n"/>
      <s:c r="E30755" s="122" t="n"/>
    </s:row>
    <s:row r="30756" hidden="1" ht="1" customHeight="1">
      <s:c r="A30756" s="120" t="inlineStr"/>
      <s:c r="B30756" s="121" t="n"/>
      <s:c r="C30756" s="121" t="n"/>
      <s:c r="D30756" s="121" t="n"/>
      <s:c r="E30756" s="122" t="n"/>
    </s:row>
    <s:row r="30757" hidden="1" ht="1" customHeight="1">
      <s:c r="A30757" s="120" t="inlineStr"/>
      <s:c r="B30757" s="121" t="n"/>
      <s:c r="C30757" s="121" t="n"/>
      <s:c r="D30757" s="121" t="n"/>
      <s:c r="E30757" s="122" t="n"/>
    </s:row>
    <s:row r="30758" hidden="1" ht="1" customHeight="1">
      <s:c r="A30758" s="120" t="inlineStr"/>
      <s:c r="B30758" s="121" t="n"/>
      <s:c r="C30758" s="121" t="n"/>
      <s:c r="D30758" s="121" t="n"/>
      <s:c r="E30758" s="122" t="n"/>
    </s:row>
    <s:row r="30759" hidden="1" ht="1" customHeight="1">
      <s:c r="A30759" s="120" t="inlineStr"/>
      <s:c r="B30759" s="121" t="n"/>
      <s:c r="C30759" s="121" t="n"/>
      <s:c r="D30759" s="121" t="n"/>
      <s:c r="E30759" s="122" t="n"/>
    </s:row>
    <s:row r="30760" hidden="1" ht="1" customHeight="1">
      <s:c r="A30760" s="120" t="inlineStr"/>
      <s:c r="B30760" s="121" t="n"/>
      <s:c r="C30760" s="121" t="n"/>
      <s:c r="D30760" s="121" t="n"/>
      <s:c r="E30760" s="122" t="n"/>
    </s:row>
    <s:row r="30761" hidden="1" ht="1" customHeight="1">
      <s:c r="A30761" s="120" t="inlineStr"/>
      <s:c r="B30761" s="121" t="n"/>
      <s:c r="C30761" s="121" t="n"/>
      <s:c r="D30761" s="121" t="n"/>
      <s:c r="E30761" s="122" t="n"/>
    </s:row>
    <s:row r="30762" hidden="1" ht="1" customHeight="1">
      <s:c r="A30762" s="120" t="inlineStr"/>
      <s:c r="B30762" s="121" t="n"/>
      <s:c r="C30762" s="121" t="n"/>
      <s:c r="D30762" s="121" t="n"/>
      <s:c r="E30762" s="122" t="n"/>
    </s:row>
    <s:row r="30763" hidden="1" ht="1" customHeight="1">
      <s:c r="A30763" s="120" t="inlineStr"/>
      <s:c r="B30763" s="121" t="n"/>
      <s:c r="C30763" s="121" t="n"/>
      <s:c r="D30763" s="121" t="n"/>
      <s:c r="E30763" s="122" t="n"/>
    </s:row>
    <s:row r="30764" hidden="1" ht="1" customHeight="1">
      <s:c r="A30764" s="120" t="inlineStr"/>
      <s:c r="B30764" s="121" t="n"/>
      <s:c r="C30764" s="121" t="n"/>
      <s:c r="D30764" s="121" t="n"/>
      <s:c r="E30764" s="122" t="n"/>
    </s:row>
    <s:row r="30765" hidden="1" ht="1" customHeight="1">
      <s:c r="A30765" s="120" t="inlineStr"/>
      <s:c r="B30765" s="121" t="n"/>
      <s:c r="C30765" s="121" t="n"/>
      <s:c r="D30765" s="121" t="n"/>
      <s:c r="E30765" s="122" t="n"/>
    </s:row>
    <s:row r="30766" hidden="1" ht="1" customHeight="1">
      <s:c r="A30766" s="120" t="inlineStr"/>
      <s:c r="B30766" s="121" t="n"/>
      <s:c r="C30766" s="121" t="n"/>
      <s:c r="D30766" s="121" t="n"/>
      <s:c r="E30766" s="122" t="n"/>
    </s:row>
    <s:row r="30767" hidden="1" ht="1" customHeight="1">
      <s:c r="A30767" s="120" t="inlineStr"/>
      <s:c r="B30767" s="121" t="n"/>
      <s:c r="C30767" s="121" t="n"/>
      <s:c r="D30767" s="121" t="n"/>
      <s:c r="E30767" s="122" t="n"/>
    </s:row>
    <s:row r="30768" hidden="1" ht="1" customHeight="1">
      <s:c r="A30768" s="120" t="inlineStr"/>
      <s:c r="B30768" s="121" t="n"/>
      <s:c r="C30768" s="121" t="n"/>
      <s:c r="D30768" s="121" t="n"/>
      <s:c r="E30768" s="122" t="n"/>
    </s:row>
    <s:row r="30769" hidden="1" ht="1" customHeight="1">
      <s:c r="A30769" s="120" t="inlineStr"/>
      <s:c r="B30769" s="121" t="n"/>
      <s:c r="C30769" s="121" t="n"/>
      <s:c r="D30769" s="121" t="n"/>
      <s:c r="E30769" s="122" t="n"/>
    </s:row>
    <s:row r="30770" hidden="1" ht="1" customHeight="1">
      <s:c r="A30770" s="120" t="inlineStr"/>
      <s:c r="B30770" s="121" t="n"/>
      <s:c r="C30770" s="121" t="n"/>
      <s:c r="D30770" s="121" t="n"/>
      <s:c r="E30770" s="122" t="n"/>
    </s:row>
    <s:row r="30771" hidden="1" ht="1" customHeight="1">
      <s:c r="A30771" s="120" t="inlineStr"/>
      <s:c r="B30771" s="121" t="n"/>
      <s:c r="C30771" s="121" t="n"/>
      <s:c r="D30771" s="121" t="n"/>
      <s:c r="E30771" s="122" t="n"/>
    </s:row>
    <s:row r="30772" hidden="1" ht="1" customHeight="1">
      <s:c r="A30772" s="120" t="inlineStr"/>
      <s:c r="B30772" s="121" t="n"/>
      <s:c r="C30772" s="121" t="n"/>
      <s:c r="D30772" s="121" t="n"/>
      <s:c r="E30772" s="122" t="n"/>
    </s:row>
    <s:row r="30773" hidden="1" ht="1" customHeight="1">
      <s:c r="A30773" s="120" t="inlineStr"/>
      <s:c r="B30773" s="121" t="n"/>
      <s:c r="C30773" s="121" t="n"/>
      <s:c r="D30773" s="121" t="n"/>
      <s:c r="E30773" s="122" t="n"/>
    </s:row>
    <s:row r="30774" hidden="1" ht="1" customHeight="1">
      <s:c r="A30774" s="120" t="inlineStr"/>
      <s:c r="B30774" s="121" t="n"/>
      <s:c r="C30774" s="121" t="n"/>
      <s:c r="D30774" s="121" t="n"/>
      <s:c r="E30774" s="122" t="n"/>
    </s:row>
    <s:row r="30775" hidden="1" ht="1" customHeight="1">
      <s:c r="A30775" s="120" t="inlineStr"/>
      <s:c r="B30775" s="121" t="n"/>
      <s:c r="C30775" s="121" t="n"/>
      <s:c r="D30775" s="121" t="n"/>
      <s:c r="E30775" s="122" t="n"/>
    </s:row>
    <s:row r="30776" hidden="1" ht="1" customHeight="1">
      <s:c r="A30776" s="120" t="inlineStr"/>
      <s:c r="B30776" s="121" t="n"/>
      <s:c r="C30776" s="121" t="n"/>
      <s:c r="D30776" s="121" t="n"/>
      <s:c r="E30776" s="122" t="n"/>
    </s:row>
    <s:row r="30777" hidden="1" ht="1" customHeight="1">
      <s:c r="A30777" s="120" t="inlineStr"/>
      <s:c r="B30777" s="121" t="n"/>
      <s:c r="C30777" s="121" t="n"/>
      <s:c r="D30777" s="121" t="n"/>
      <s:c r="E30777" s="122" t="n"/>
    </s:row>
    <s:row r="30778" hidden="1" ht="1" customHeight="1">
      <s:c r="A30778" s="120" t="inlineStr"/>
      <s:c r="B30778" s="121" t="n"/>
      <s:c r="C30778" s="121" t="n"/>
      <s:c r="D30778" s="121" t="n"/>
      <s:c r="E30778" s="122" t="n"/>
    </s:row>
    <s:row r="30779" hidden="1" ht="1" customHeight="1">
      <s:c r="A30779" s="120" t="inlineStr"/>
      <s:c r="B30779" s="121" t="n"/>
      <s:c r="C30779" s="121" t="n"/>
      <s:c r="D30779" s="121" t="n"/>
      <s:c r="E30779" s="122" t="n"/>
    </s:row>
    <s:row r="30780" hidden="1" ht="1" customHeight="1">
      <s:c r="A30780" s="120" t="inlineStr"/>
      <s:c r="B30780" s="121" t="n"/>
      <s:c r="C30780" s="121" t="n"/>
      <s:c r="D30780" s="121" t="n"/>
      <s:c r="E30780" s="122" t="n"/>
    </s:row>
    <s:row r="30781" hidden="1" ht="1" customHeight="1">
      <s:c r="A30781" s="120" t="inlineStr"/>
      <s:c r="B30781" s="121" t="n"/>
      <s:c r="C30781" s="121" t="n"/>
      <s:c r="D30781" s="121" t="n"/>
      <s:c r="E30781" s="122" t="n"/>
    </s:row>
    <s:row r="30782" hidden="1" ht="1" customHeight="1">
      <s:c r="A30782" s="120" t="inlineStr"/>
      <s:c r="B30782" s="121" t="n"/>
      <s:c r="C30782" s="121" t="n"/>
      <s:c r="D30782" s="121" t="n"/>
      <s:c r="E30782" s="122" t="n"/>
    </s:row>
    <s:row r="30783" hidden="1" ht="1" customHeight="1">
      <s:c r="A30783" s="120" t="inlineStr"/>
      <s:c r="B30783" s="121" t="n"/>
      <s:c r="C30783" s="121" t="n"/>
      <s:c r="D30783" s="121" t="n"/>
      <s:c r="E30783" s="122" t="n"/>
    </s:row>
    <s:row r="30784" hidden="1" ht="1" customHeight="1">
      <s:c r="A30784" s="120" t="inlineStr"/>
      <s:c r="B30784" s="121" t="n"/>
      <s:c r="C30784" s="121" t="n"/>
      <s:c r="D30784" s="121" t="n"/>
      <s:c r="E30784" s="122" t="n"/>
    </s:row>
    <s:row r="30785" hidden="1" ht="1" customHeight="1">
      <s:c r="A30785" s="120" t="inlineStr"/>
      <s:c r="B30785" s="121" t="n"/>
      <s:c r="C30785" s="121" t="n"/>
      <s:c r="D30785" s="121" t="n"/>
      <s:c r="E30785" s="122" t="n"/>
    </s:row>
    <s:row r="30786" hidden="1" ht="1" customHeight="1">
      <s:c r="A30786" s="120" t="inlineStr"/>
      <s:c r="B30786" s="121" t="n"/>
      <s:c r="C30786" s="121" t="n"/>
      <s:c r="D30786" s="121" t="n"/>
      <s:c r="E30786" s="122" t="n"/>
    </s:row>
    <s:row r="30787" hidden="1" ht="1" customHeight="1">
      <s:c r="A30787" s="120" t="inlineStr"/>
      <s:c r="B30787" s="121" t="n"/>
      <s:c r="C30787" s="121" t="n"/>
      <s:c r="D30787" s="121" t="n"/>
      <s:c r="E30787" s="122" t="n"/>
    </s:row>
    <s:row r="30788" hidden="1" ht="1" customHeight="1">
      <s:c r="A30788" s="120" t="inlineStr"/>
      <s:c r="B30788" s="121" t="n"/>
      <s:c r="C30788" s="121" t="n"/>
      <s:c r="D30788" s="121" t="n"/>
      <s:c r="E30788" s="122" t="n"/>
    </s:row>
    <s:row r="30789" hidden="1" ht="1" customHeight="1">
      <s:c r="A30789" s="120" t="inlineStr"/>
      <s:c r="B30789" s="121" t="n"/>
      <s:c r="C30789" s="121" t="n"/>
      <s:c r="D30789" s="121" t="n"/>
      <s:c r="E30789" s="122" t="n"/>
    </s:row>
    <s:row r="30790" hidden="1" ht="1" customHeight="1">
      <s:c r="A30790" s="120" t="inlineStr"/>
      <s:c r="B30790" s="121" t="n"/>
      <s:c r="C30790" s="121" t="n"/>
      <s:c r="D30790" s="121" t="n"/>
      <s:c r="E30790" s="122" t="n"/>
    </s:row>
    <s:row r="30791" hidden="1" ht="1" customHeight="1">
      <s:c r="A30791" s="120" t="inlineStr"/>
      <s:c r="B30791" s="121" t="n"/>
      <s:c r="C30791" s="121" t="n"/>
      <s:c r="D30791" s="121" t="n"/>
      <s:c r="E30791" s="122" t="n"/>
    </s:row>
    <s:row r="30792" hidden="1" ht="1" customHeight="1">
      <s:c r="A30792" s="120" t="inlineStr"/>
      <s:c r="B30792" s="121" t="n"/>
      <s:c r="C30792" s="121" t="n"/>
      <s:c r="D30792" s="121" t="n"/>
      <s:c r="E30792" s="122" t="n"/>
    </s:row>
    <s:row r="30793" hidden="1" ht="1" customHeight="1">
      <s:c r="A30793" s="83" t="inlineStr">
        <s:is>
          <s:t>PASS</s:t>
        </s:is>
      </s:c>
      <s:c r="B30793" s="83">
        <s:f>SUM(IF(EXACT('Kiểm thử'!E30743,"Đạt"),1,0))</s:f>
        <s:v/>
      </s:c>
      <s:c r="C30793" s="19" t="n"/>
      <s:c r="D30793" s="19" t="n"/>
      <s:c r="E30793" s="19" t="n"/>
    </s:row>
    <s:row r="30794" hidden="1" ht="1" customHeight="1">
      <s:c r="A30794" s="83" t="inlineStr">
        <s:is>
          <s:t>FAIL</s:t>
        </s:is>
      </s:c>
      <s:c r="B30794" s="83">
        <s:f>SUM(IF(EXACT('Kiểm thử'!E30743,"Không đạt"),1,0))</s:f>
        <s:v/>
      </s:c>
      <s:c r="C30794" s="19" t="n"/>
      <s:c r="D30794" s="19" t="n"/>
      <s:c r="E30794" s="19" t="n"/>
    </s:row>
    <s:row r="30795" hidden="1" ht="1" customHeight="1">
      <s:c r="A30795" s="83" t="inlineStr">
        <s:is>
          <s:t>BLOCKED</s:t>
        </s:is>
      </s:c>
      <s:c r="B30795" s="83">
        <s:f>SUM(IF(EXACT('Kiểm thử'!E30743,"Bị chặn"),1,0))</s:f>
        <s:v/>
      </s:c>
      <s:c r="C30795" s="19" t="n"/>
      <s:c r="D30795" s="19" t="n"/>
      <s:c r="E30795" s="19" t="n"/>
    </s:row>
    <s:row r="30796" hidden="1" ht="1" customHeight="1">
      <s:c r="A30796" s="83" t="inlineStr">
        <s:is>
          <s:t>SKIPPED</s:t>
        </s:is>
      </s:c>
      <s:c r="B30796" s="83">
        <s:f>SUM(IF(EXACT('Kiểm thử'!E30743,"Không thực hiện"),1,0))</s:f>
        <s:v/>
      </s:c>
      <s:c r="C30796" s="19" t="n"/>
      <s:c r="D30796" s="19" t="n"/>
      <s:c r="E30796" s="19" t="n"/>
    </s:row>
    <s:row r="30797" hidden="1" ht="1" customHeight="1">
      <s:c r="A30797" s="83" t="inlineStr">
        <s:is>
          <s:t>NOT RUN</s:t>
        </s:is>
      </s:c>
      <s:c r="B30797" s="83">
        <s:f>SUM(IF(EXACT('Kiểm thử'!E30743,"Chưa thực hiện"),1,0))</s:f>
        <s:v/>
      </s:c>
      <s:c r="C30797" s="19" t="n"/>
      <s:c r="D30797" s="19" t="n"/>
      <s:c r="E30797" s="19" t="n"/>
    </s:row>
    <s:row r="30798" hidden="1" ht="6" customHeight="1">
      <s:c r="A30798" s="83" t="inlineStr"/>
      <s:c r="B30798" s="19" t="n"/>
      <s:c r="C30798" s="19" t="n"/>
      <s:c r="D30798" s="19" t="n"/>
      <s:c r="E30798" s="19" t="n"/>
    </s:row>
    <s:row r="30799" ht="28" customHeight="1">
      <s:c r="A30799" s="108" t="inlineStr">
        <s:is>
          <s:t>TC-RS-REG-004 — Nút cam/nút xanh của trường đang dùng AutoRating hoạt động như trước</s:t>
        </s:is>
      </s:c>
      <s:c r="B30799" s="111" t="n"/>
      <s:c r="C30799" s="111" t="n"/>
      <s:c r="D30799" s="111" t="n"/>
      <s:c r="E30799" s="111" t="n"/>
    </s:row>
    <s:row r="30800" ht="20" customHeight="1">
      <s:c r="A30800" s="112" t="inlineStr">
        <s:is>
          <s:t>Kết quả tình huống</s:t>
        </s:is>
      </s:c>
      <s:c r="B30800" s="113">
        <s:f>IF(SUM(IF(EXACT('Kiểm thử'!E30808,"Không đạt"),1,0),IF(EXACT('Kiểm thử'!E30810,"Không đạt"),1,0))&gt;0,"Không đạt",IF(SUM(IF(EXACT('Kiểm thử'!E30808,"Đạt"),1,0),IF(EXACT('Kiểm thử'!E30810,"Đạt"),1,0))=2,"Đạt",IF(SUM(IF(EXACT('Kiểm thử'!E30808,"Không thực hiện"),1,0),IF(EXACT('Kiểm thử'!E30810,"Không thực hiện"),1,0))=2,"Không thực hiện",IF(SUM(IF(EXACT('Kiểm thử'!E30808,"Bị chặn"),1,0),IF(EXACT('Kiểm thử'!E30810,"Bị chặn"),1,0))&gt;0,"Bị chặn",IF(SUM(IF(EXACT('Kiểm thử'!E30808,"Chưa thực hiện"),1,0),IF(EXACT('Kiểm thử'!E30810,"Chưa thực hiện"),1,0))=2,"Chưa thực hiện","Đang thực hiện")))))</s:f>
        <s:v/>
      </s:c>
      <s:c r="C30800" s="114" t="n"/>
      <s:c r="D30800" s="114" t="n"/>
      <s:c r="E30800" s="114" t="n"/>
    </s:row>
    <s:row r="30801" ht="20" customHeight="1">
      <s:c r="A30801" s="112" t="inlineStr">
        <s:is>
          <s:t>Màn hình / chức năng</s:t>
        </s:is>
      </s:c>
      <s:c r="B30801" s="113" t="inlineStr">
        <s:is>
          <s:t>Hồi quy luồng hiện có</s:t>
        </s:is>
      </s:c>
      <s:c r="C30801" s="28" t="n"/>
      <s:c r="D30801" s="28" t="n"/>
      <s:c r="E30801" s="28" t="n"/>
    </s:row>
    <s:row r="30802" ht="34" customHeight="1">
      <s:c r="A30802" s="112" t="inlineStr">
        <s:is>
          <s:t>Cấu hình</s:t>
        </s:is>
      </s:c>
      <s:c r="B30802" s="113" t="inlineStr">
        <s:is>
          <s:t>• Trường có AutoRating active;
• Tài khoản có quyền chạy hàng loạt. Baseline: phạm vi chọn được và danh sách lớp được xếp hàng.</s:t>
        </s:is>
      </s:c>
      <s:c r="C30802" s="28" t="n"/>
      <s:c r="D30802" s="28" t="n"/>
      <s:c r="E30802" s="28" t="n"/>
    </s:row>
    <s:row r="30803" ht="20" customHeight="1">
      <s:c r="A30803" s="112" t="inlineStr">
        <s:is>
          <s:t>Dữ liệu test</s:t>
        </s:is>
      </s:c>
      <s:c r="B30803" s="113" t="inlineStr">
        <s:is>
          <s:t>• Mục số nguyên có thêm tính tự động</s:t>
        </s:is>
      </s:c>
      <s:c r="C30803" s="28" t="n"/>
      <s:c r="D30803" s="28" t="n"/>
      <s:c r="E30803" s="28" t="n"/>
    </s:row>
    <s:row r="30804" ht="20" customHeight="1">
      <s:c r="A30804" s="112" t="inlineStr">
        <s:is>
          <s:t>Bước 1</s:t>
        </s:is>
      </s:c>
      <s:c r="B30804" s="113" t="inlineStr">
        <s:is>
          <s:t>Mở màn, chọn cùng phạm vi như baseline.</s:t>
        </s:is>
      </s:c>
      <s:c r="C30804" s="28" t="n"/>
      <s:c r="D30804" s="28" t="n"/>
      <s:c r="E30804" s="28" t="n"/>
    </s:row>
    <s:row r="30805" ht="20" customHeight="1">
      <s:c r="A30805" s="112" t="inlineStr">
        <s:is>
          <s:t>Bước 2</s:t>
        </s:is>
      </s:c>
      <s:c r="B30805" s="113" t="inlineStr">
        <s:is>
          <s:t>Chạy nút cam rồi nút xanh.</s:t>
        </s:is>
      </s:c>
      <s:c r="C30805" s="28" t="n"/>
      <s:c r="D30805" s="28" t="n"/>
      <s:c r="E30805" s="28" t="n"/>
    </s:row>
    <s:row r="30806" ht="28" customHeight="1">
      <s:c r="A30806" s="115" t="inlineStr">
        <s:is>
          <s:t>Trường hợp</s:t>
        </s:is>
      </s:c>
      <s:c r="B30806" s="115" t="inlineStr">
        <s:is>
          <s:t>Dữ liệu / thao tác riêng</s:t>
        </s:is>
      </s:c>
      <s:c r="C30806" s="115" t="inlineStr">
        <s:is>
          <s:t>Kết quả mong đợi</s:t>
        </s:is>
      </s:c>
      <s:c r="D30806" s="115" t="inlineStr">
        <s:is>
          <s:t>Kết quả thực tế</s:t>
        </s:is>
      </s:c>
      <s:c r="E30806" s="115" t="inlineStr">
        <s:is>
          <s:t>Đánh giá</s:t>
        </s:is>
      </s:c>
    </s:row>
    <s:row r="30807" ht="3" customHeight="1">
      <s:c r="A30807" s="102" t="inlineStr"/>
      <s:c r="B30807" s="99" t="n"/>
      <s:c r="C30807" s="99" t="n"/>
      <s:c r="D30807" s="116" t="n"/>
      <s:c r="E30807" s="116" t="n"/>
    </s:row>
    <s:row r="30808" ht="76" customHeight="1">
      <s:c r="A30808" s="83" t="inlineStr">
        <s:is>
          <s:t>Nút cam (orange)</s:t>
        </s:is>
      </s:c>
      <s:c r="B30808" s="83" t="inlineStr">
        <s:is>
          <s:t>Trường AutoRating active; tài khoản được chạy batch, chọn cùng scope baseline và chạy nút cam, đối chiếu danh sách lớp/job/kết quả.</s:t>
        </s:is>
      </s:c>
      <s:c r="C30808" s="83" t="inlineStr">
        <s:is>
          <s:t>Nút hiện, phạm vi chọn và danh sách lớp xếp hàng như baseline; AutoRating tính như baseline (REG-001).</s:t>
        </s:is>
      </s:c>
      <s:c r="D30808" s="117" t="inlineStr"/>
      <s:c r="E30808" s="118" t="inlineStr">
        <s:is>
          <s:t>Chưa thực hiện</s:t>
        </s:is>
      </s:c>
    </s:row>
    <s:row r="30809" ht="3" customHeight="1">
      <s:c r="A30809" s="102" t="inlineStr"/>
      <s:c r="B30809" s="99" t="n"/>
      <s:c r="C30809" s="99" t="n"/>
      <s:c r="D30809" s="116" t="n"/>
      <s:c r="E30809" s="116" t="n"/>
    </s:row>
    <s:row r="30810" ht="62" customHeight="1">
      <s:c r="A30810" s="83" t="inlineStr">
        <s:is>
          <s:t>Nút xanh (green)</s:t>
        </s:is>
      </s:c>
      <s:c r="B30810" s="83" t="inlineStr">
        <s:is>
          <s:t>Cùng trường/quyền/scope baseline, chạy nút xanh sau chuỗi nút cam của nguồn; đối chiếu danh sách lớp/job/kết quả.</s:t>
        </s:is>
      </s:c>
      <s:c r="C30810" s="83" t="inlineStr">
        <s:is>
          <s:t>Nút hiện, phạm vi chọn và danh sách lớp xếp hàng như baseline; AutoRating tính như baseline (REG-001).</s:t>
        </s:is>
      </s:c>
      <s:c r="D30810" s="117" t="inlineStr"/>
      <s:c r="E30810" s="118" t="inlineStr">
        <s:is>
          <s:t>Chưa thực hiện</s:t>
        </s:is>
      </s:c>
    </s:row>
    <s:row r="30811" ht="20" customHeight="1">
      <s:c r="A30811" s="119" t="inlineStr">
        <s:is>
          <s:t>Ảnh minh chứng — Chưa có ảnh</s:t>
        </s:is>
      </s:c>
      <s:c r="B30811" s="19" t="n"/>
      <s:c r="C30811" s="19" t="n"/>
      <s:c r="D30811" s="19" t="n"/>
      <s:c r="E30811" s="19" t="n"/>
    </s:row>
    <s:row r="30812" hidden="1" ht="1" customHeight="1">
      <s:c r="A30812" s="120" t="inlineStr"/>
      <s:c r="B30812" s="121" t="n"/>
      <s:c r="C30812" s="121" t="n"/>
      <s:c r="D30812" s="121" t="n"/>
      <s:c r="E30812" s="122" t="n"/>
    </s:row>
    <s:row r="30813" hidden="1" ht="1" customHeight="1">
      <s:c r="A30813" s="120" t="inlineStr"/>
      <s:c r="B30813" s="121" t="n"/>
      <s:c r="C30813" s="121" t="n"/>
      <s:c r="D30813" s="121" t="n"/>
      <s:c r="E30813" s="122" t="n"/>
    </s:row>
    <s:row r="30814" hidden="1" ht="1" customHeight="1">
      <s:c r="A30814" s="120" t="inlineStr"/>
      <s:c r="B30814" s="121" t="n"/>
      <s:c r="C30814" s="121" t="n"/>
      <s:c r="D30814" s="121" t="n"/>
      <s:c r="E30814" s="122" t="n"/>
    </s:row>
    <s:row r="30815" hidden="1" ht="1" customHeight="1">
      <s:c r="A30815" s="120" t="inlineStr"/>
      <s:c r="B30815" s="121" t="n"/>
      <s:c r="C30815" s="121" t="n"/>
      <s:c r="D30815" s="121" t="n"/>
      <s:c r="E30815" s="122" t="n"/>
    </s:row>
    <s:row r="30816" hidden="1" ht="1" customHeight="1">
      <s:c r="A30816" s="120" t="inlineStr"/>
      <s:c r="B30816" s="121" t="n"/>
      <s:c r="C30816" s="121" t="n"/>
      <s:c r="D30816" s="121" t="n"/>
      <s:c r="E30816" s="122" t="n"/>
    </s:row>
    <s:row r="30817" hidden="1" ht="1" customHeight="1">
      <s:c r="A30817" s="120" t="inlineStr"/>
      <s:c r="B30817" s="121" t="n"/>
      <s:c r="C30817" s="121" t="n"/>
      <s:c r="D30817" s="121" t="n"/>
      <s:c r="E30817" s="122" t="n"/>
    </s:row>
    <s:row r="30818" hidden="1" ht="1" customHeight="1">
      <s:c r="A30818" s="120" t="inlineStr"/>
      <s:c r="B30818" s="121" t="n"/>
      <s:c r="C30818" s="121" t="n"/>
      <s:c r="D30818" s="121" t="n"/>
      <s:c r="E30818" s="122" t="n"/>
    </s:row>
    <s:row r="30819" hidden="1" ht="1" customHeight="1">
      <s:c r="A30819" s="120" t="inlineStr"/>
      <s:c r="B30819" s="121" t="n"/>
      <s:c r="C30819" s="121" t="n"/>
      <s:c r="D30819" s="121" t="n"/>
      <s:c r="E30819" s="122" t="n"/>
    </s:row>
    <s:row r="30820" hidden="1" ht="1" customHeight="1">
      <s:c r="A30820" s="120" t="inlineStr"/>
      <s:c r="B30820" s="121" t="n"/>
      <s:c r="C30820" s="121" t="n"/>
      <s:c r="D30820" s="121" t="n"/>
      <s:c r="E30820" s="122" t="n"/>
    </s:row>
    <s:row r="30821" hidden="1" ht="1" customHeight="1">
      <s:c r="A30821" s="120" t="inlineStr"/>
      <s:c r="B30821" s="121" t="n"/>
      <s:c r="C30821" s="121" t="n"/>
      <s:c r="D30821" s="121" t="n"/>
      <s:c r="E30821" s="122" t="n"/>
    </s:row>
    <s:row r="30822" hidden="1" ht="1" customHeight="1">
      <s:c r="A30822" s="120" t="inlineStr"/>
      <s:c r="B30822" s="121" t="n"/>
      <s:c r="C30822" s="121" t="n"/>
      <s:c r="D30822" s="121" t="n"/>
      <s:c r="E30822" s="122" t="n"/>
    </s:row>
    <s:row r="30823" hidden="1" ht="1" customHeight="1">
      <s:c r="A30823" s="120" t="inlineStr"/>
      <s:c r="B30823" s="121" t="n"/>
      <s:c r="C30823" s="121" t="n"/>
      <s:c r="D30823" s="121" t="n"/>
      <s:c r="E30823" s="122" t="n"/>
    </s:row>
    <s:row r="30824" hidden="1" ht="1" customHeight="1">
      <s:c r="A30824" s="120" t="inlineStr"/>
      <s:c r="B30824" s="121" t="n"/>
      <s:c r="C30824" s="121" t="n"/>
      <s:c r="D30824" s="121" t="n"/>
      <s:c r="E30824" s="122" t="n"/>
    </s:row>
    <s:row r="30825" hidden="1" ht="1" customHeight="1">
      <s:c r="A30825" s="120" t="inlineStr"/>
      <s:c r="B30825" s="121" t="n"/>
      <s:c r="C30825" s="121" t="n"/>
      <s:c r="D30825" s="121" t="n"/>
      <s:c r="E30825" s="122" t="n"/>
    </s:row>
    <s:row r="30826" hidden="1" ht="1" customHeight="1">
      <s:c r="A30826" s="120" t="inlineStr"/>
      <s:c r="B30826" s="121" t="n"/>
      <s:c r="C30826" s="121" t="n"/>
      <s:c r="D30826" s="121" t="n"/>
      <s:c r="E30826" s="122" t="n"/>
    </s:row>
    <s:row r="30827" hidden="1" ht="1" customHeight="1">
      <s:c r="A30827" s="120" t="inlineStr"/>
      <s:c r="B30827" s="121" t="n"/>
      <s:c r="C30827" s="121" t="n"/>
      <s:c r="D30827" s="121" t="n"/>
      <s:c r="E30827" s="122" t="n"/>
    </s:row>
    <s:row r="30828" hidden="1" ht="1" customHeight="1">
      <s:c r="A30828" s="120" t="inlineStr"/>
      <s:c r="B30828" s="121" t="n"/>
      <s:c r="C30828" s="121" t="n"/>
      <s:c r="D30828" s="121" t="n"/>
      <s:c r="E30828" s="122" t="n"/>
    </s:row>
    <s:row r="30829" hidden="1" ht="1" customHeight="1">
      <s:c r="A30829" s="120" t="inlineStr"/>
      <s:c r="B30829" s="121" t="n"/>
      <s:c r="C30829" s="121" t="n"/>
      <s:c r="D30829" s="121" t="n"/>
      <s:c r="E30829" s="122" t="n"/>
    </s:row>
    <s:row r="30830" hidden="1" ht="1" customHeight="1">
      <s:c r="A30830" s="120" t="inlineStr"/>
      <s:c r="B30830" s="121" t="n"/>
      <s:c r="C30830" s="121" t="n"/>
      <s:c r="D30830" s="121" t="n"/>
      <s:c r="E30830" s="122" t="n"/>
    </s:row>
    <s:row r="30831" hidden="1" ht="1" customHeight="1">
      <s:c r="A30831" s="120" t="inlineStr"/>
      <s:c r="B30831" s="121" t="n"/>
      <s:c r="C30831" s="121" t="n"/>
      <s:c r="D30831" s="121" t="n"/>
      <s:c r="E30831" s="122" t="n"/>
    </s:row>
    <s:row r="30832" hidden="1" ht="1" customHeight="1">
      <s:c r="A30832" s="120" t="inlineStr"/>
      <s:c r="B30832" s="121" t="n"/>
      <s:c r="C30832" s="121" t="n"/>
      <s:c r="D30832" s="121" t="n"/>
      <s:c r="E30832" s="122" t="n"/>
    </s:row>
    <s:row r="30833" hidden="1" ht="1" customHeight="1">
      <s:c r="A30833" s="120" t="inlineStr"/>
      <s:c r="B30833" s="121" t="n"/>
      <s:c r="C30833" s="121" t="n"/>
      <s:c r="D30833" s="121" t="n"/>
      <s:c r="E30833" s="122" t="n"/>
    </s:row>
    <s:row r="30834" hidden="1" ht="1" customHeight="1">
      <s:c r="A30834" s="120" t="inlineStr"/>
      <s:c r="B30834" s="121" t="n"/>
      <s:c r="C30834" s="121" t="n"/>
      <s:c r="D30834" s="121" t="n"/>
      <s:c r="E30834" s="122" t="n"/>
    </s:row>
    <s:row r="30835" hidden="1" ht="1" customHeight="1">
      <s:c r="A30835" s="120" t="inlineStr"/>
      <s:c r="B30835" s="121" t="n"/>
      <s:c r="C30835" s="121" t="n"/>
      <s:c r="D30835" s="121" t="n"/>
      <s:c r="E30835" s="122" t="n"/>
    </s:row>
    <s:row r="30836" hidden="1" ht="1" customHeight="1">
      <s:c r="A30836" s="120" t="inlineStr"/>
      <s:c r="B30836" s="121" t="n"/>
      <s:c r="C30836" s="121" t="n"/>
      <s:c r="D30836" s="121" t="n"/>
      <s:c r="E30836" s="122" t="n"/>
    </s:row>
    <s:row r="30837" hidden="1" ht="1" customHeight="1">
      <s:c r="A30837" s="120" t="inlineStr"/>
      <s:c r="B30837" s="121" t="n"/>
      <s:c r="C30837" s="121" t="n"/>
      <s:c r="D30837" s="121" t="n"/>
      <s:c r="E30837" s="122" t="n"/>
    </s:row>
    <s:row r="30838" hidden="1" ht="1" customHeight="1">
      <s:c r="A30838" s="120" t="inlineStr"/>
      <s:c r="B30838" s="121" t="n"/>
      <s:c r="C30838" s="121" t="n"/>
      <s:c r="D30838" s="121" t="n"/>
      <s:c r="E30838" s="122" t="n"/>
    </s:row>
    <s:row r="30839" hidden="1" ht="1" customHeight="1">
      <s:c r="A30839" s="120" t="inlineStr"/>
      <s:c r="B30839" s="121" t="n"/>
      <s:c r="C30839" s="121" t="n"/>
      <s:c r="D30839" s="121" t="n"/>
      <s:c r="E30839" s="122" t="n"/>
    </s:row>
    <s:row r="30840" hidden="1" ht="1" customHeight="1">
      <s:c r="A30840" s="120" t="inlineStr"/>
      <s:c r="B30840" s="121" t="n"/>
      <s:c r="C30840" s="121" t="n"/>
      <s:c r="D30840" s="121" t="n"/>
      <s:c r="E30840" s="122" t="n"/>
    </s:row>
    <s:row r="30841" hidden="1" ht="1" customHeight="1">
      <s:c r="A30841" s="120" t="inlineStr"/>
      <s:c r="B30841" s="121" t="n"/>
      <s:c r="C30841" s="121" t="n"/>
      <s:c r="D30841" s="121" t="n"/>
      <s:c r="E30841" s="122" t="n"/>
    </s:row>
    <s:row r="30842" hidden="1" ht="1" customHeight="1">
      <s:c r="A30842" s="120" t="inlineStr"/>
      <s:c r="B30842" s="121" t="n"/>
      <s:c r="C30842" s="121" t="n"/>
      <s:c r="D30842" s="121" t="n"/>
      <s:c r="E30842" s="122" t="n"/>
    </s:row>
    <s:row r="30843" hidden="1" ht="1" customHeight="1">
      <s:c r="A30843" s="120" t="inlineStr"/>
      <s:c r="B30843" s="121" t="n"/>
      <s:c r="C30843" s="121" t="n"/>
      <s:c r="D30843" s="121" t="n"/>
      <s:c r="E30843" s="122" t="n"/>
    </s:row>
    <s:row r="30844" hidden="1" ht="1" customHeight="1">
      <s:c r="A30844" s="120" t="inlineStr"/>
      <s:c r="B30844" s="121" t="n"/>
      <s:c r="C30844" s="121" t="n"/>
      <s:c r="D30844" s="121" t="n"/>
      <s:c r="E30844" s="122" t="n"/>
    </s:row>
    <s:row r="30845" hidden="1" ht="1" customHeight="1">
      <s:c r="A30845" s="120" t="inlineStr"/>
      <s:c r="B30845" s="121" t="n"/>
      <s:c r="C30845" s="121" t="n"/>
      <s:c r="D30845" s="121" t="n"/>
      <s:c r="E30845" s="122" t="n"/>
    </s:row>
    <s:row r="30846" hidden="1" ht="1" customHeight="1">
      <s:c r="A30846" s="120" t="inlineStr"/>
      <s:c r="B30846" s="121" t="n"/>
      <s:c r="C30846" s="121" t="n"/>
      <s:c r="D30846" s="121" t="n"/>
      <s:c r="E30846" s="122" t="n"/>
    </s:row>
    <s:row r="30847" hidden="1" ht="1" customHeight="1">
      <s:c r="A30847" s="120" t="inlineStr"/>
      <s:c r="B30847" s="121" t="n"/>
      <s:c r="C30847" s="121" t="n"/>
      <s:c r="D30847" s="121" t="n"/>
      <s:c r="E30847" s="122" t="n"/>
    </s:row>
    <s:row r="30848" hidden="1" ht="1" customHeight="1">
      <s:c r="A30848" s="120" t="inlineStr"/>
      <s:c r="B30848" s="121" t="n"/>
      <s:c r="C30848" s="121" t="n"/>
      <s:c r="D30848" s="121" t="n"/>
      <s:c r="E30848" s="122" t="n"/>
    </s:row>
    <s:row r="30849" hidden="1" ht="1" customHeight="1">
      <s:c r="A30849" s="120" t="inlineStr"/>
      <s:c r="B30849" s="121" t="n"/>
      <s:c r="C30849" s="121" t="n"/>
      <s:c r="D30849" s="121" t="n"/>
      <s:c r="E30849" s="122" t="n"/>
    </s:row>
    <s:row r="30850" hidden="1" ht="1" customHeight="1">
      <s:c r="A30850" s="120" t="inlineStr"/>
      <s:c r="B30850" s="121" t="n"/>
      <s:c r="C30850" s="121" t="n"/>
      <s:c r="D30850" s="121" t="n"/>
      <s:c r="E30850" s="122" t="n"/>
    </s:row>
    <s:row r="30851" hidden="1" ht="1" customHeight="1">
      <s:c r="A30851" s="120" t="inlineStr"/>
      <s:c r="B30851" s="121" t="n"/>
      <s:c r="C30851" s="121" t="n"/>
      <s:c r="D30851" s="121" t="n"/>
      <s:c r="E30851" s="122" t="n"/>
    </s:row>
    <s:row r="30852" hidden="1" ht="1" customHeight="1">
      <s:c r="A30852" s="120" t="inlineStr"/>
      <s:c r="B30852" s="121" t="n"/>
      <s:c r="C30852" s="121" t="n"/>
      <s:c r="D30852" s="121" t="n"/>
      <s:c r="E30852" s="122" t="n"/>
    </s:row>
    <s:row r="30853" hidden="1" ht="1" customHeight="1">
      <s:c r="A30853" s="120" t="inlineStr"/>
      <s:c r="B30853" s="121" t="n"/>
      <s:c r="C30853" s="121" t="n"/>
      <s:c r="D30853" s="121" t="n"/>
      <s:c r="E30853" s="122" t="n"/>
    </s:row>
    <s:row r="30854" hidden="1" ht="1" customHeight="1">
      <s:c r="A30854" s="120" t="inlineStr"/>
      <s:c r="B30854" s="121" t="n"/>
      <s:c r="C30854" s="121" t="n"/>
      <s:c r="D30854" s="121" t="n"/>
      <s:c r="E30854" s="122" t="n"/>
    </s:row>
    <s:row r="30855" hidden="1" ht="1" customHeight="1">
      <s:c r="A30855" s="120" t="inlineStr"/>
      <s:c r="B30855" s="121" t="n"/>
      <s:c r="C30855" s="121" t="n"/>
      <s:c r="D30855" s="121" t="n"/>
      <s:c r="E30855" s="122" t="n"/>
    </s:row>
    <s:row r="30856" hidden="1" ht="1" customHeight="1">
      <s:c r="A30856" s="120" t="inlineStr"/>
      <s:c r="B30856" s="121" t="n"/>
      <s:c r="C30856" s="121" t="n"/>
      <s:c r="D30856" s="121" t="n"/>
      <s:c r="E30856" s="122" t="n"/>
    </s:row>
    <s:row r="30857" hidden="1" ht="1" customHeight="1">
      <s:c r="A30857" s="120" t="inlineStr"/>
      <s:c r="B30857" s="121" t="n"/>
      <s:c r="C30857" s="121" t="n"/>
      <s:c r="D30857" s="121" t="n"/>
      <s:c r="E30857" s="122" t="n"/>
    </s:row>
    <s:row r="30858" hidden="1" ht="1" customHeight="1">
      <s:c r="A30858" s="120" t="inlineStr"/>
      <s:c r="B30858" s="121" t="n"/>
      <s:c r="C30858" s="121" t="n"/>
      <s:c r="D30858" s="121" t="n"/>
      <s:c r="E30858" s="122" t="n"/>
    </s:row>
    <s:row r="30859" hidden="1" ht="1" customHeight="1">
      <s:c r="A30859" s="120" t="inlineStr"/>
      <s:c r="B30859" s="121" t="n"/>
      <s:c r="C30859" s="121" t="n"/>
      <s:c r="D30859" s="121" t="n"/>
      <s:c r="E30859" s="122" t="n"/>
    </s:row>
    <s:row r="30860" hidden="1" ht="1" customHeight="1">
      <s:c r="A30860" s="120" t="inlineStr"/>
      <s:c r="B30860" s="121" t="n"/>
      <s:c r="C30860" s="121" t="n"/>
      <s:c r="D30860" s="121" t="n"/>
      <s:c r="E30860" s="122" t="n"/>
    </s:row>
    <s:row r="30861" hidden="1" ht="1" customHeight="1">
      <s:c r="A30861" s="120" t="inlineStr"/>
      <s:c r="B30861" s="121" t="n"/>
      <s:c r="C30861" s="121" t="n"/>
      <s:c r="D30861" s="121" t="n"/>
      <s:c r="E30861" s="122" t="n"/>
    </s:row>
    <s:row r="30862" hidden="1" ht="1" customHeight="1">
      <s:c r="A30862" s="120" t="inlineStr"/>
      <s:c r="B30862" s="121" t="n"/>
      <s:c r="C30862" s="121" t="n"/>
      <s:c r="D30862" s="121" t="n"/>
      <s:c r="E30862" s="122" t="n"/>
    </s:row>
    <s:row r="30863" hidden="1" ht="1" customHeight="1">
      <s:c r="A30863" s="120" t="inlineStr"/>
      <s:c r="B30863" s="121" t="n"/>
      <s:c r="C30863" s="121" t="n"/>
      <s:c r="D30863" s="121" t="n"/>
      <s:c r="E30863" s="122" t="n"/>
    </s:row>
    <s:row r="30864" hidden="1" ht="1" customHeight="1">
      <s:c r="A30864" s="120" t="inlineStr"/>
      <s:c r="B30864" s="121" t="n"/>
      <s:c r="C30864" s="121" t="n"/>
      <s:c r="D30864" s="121" t="n"/>
      <s:c r="E30864" s="122" t="n"/>
    </s:row>
    <s:row r="30865" hidden="1" ht="1" customHeight="1">
      <s:c r="A30865" s="120" t="inlineStr"/>
      <s:c r="B30865" s="121" t="n"/>
      <s:c r="C30865" s="121" t="n"/>
      <s:c r="D30865" s="121" t="n"/>
      <s:c r="E30865" s="122" t="n"/>
    </s:row>
    <s:row r="30866" hidden="1" ht="1" customHeight="1">
      <s:c r="A30866" s="120" t="inlineStr"/>
      <s:c r="B30866" s="121" t="n"/>
      <s:c r="C30866" s="121" t="n"/>
      <s:c r="D30866" s="121" t="n"/>
      <s:c r="E30866" s="122" t="n"/>
    </s:row>
    <s:row r="30867" hidden="1" ht="1" customHeight="1">
      <s:c r="A30867" s="120" t="inlineStr"/>
      <s:c r="B30867" s="121" t="n"/>
      <s:c r="C30867" s="121" t="n"/>
      <s:c r="D30867" s="121" t="n"/>
      <s:c r="E30867" s="122" t="n"/>
    </s:row>
    <s:row r="30868" hidden="1" ht="1" customHeight="1">
      <s:c r="A30868" s="120" t="inlineStr"/>
      <s:c r="B30868" s="121" t="n"/>
      <s:c r="C30868" s="121" t="n"/>
      <s:c r="D30868" s="121" t="n"/>
      <s:c r="E30868" s="122" t="n"/>
    </s:row>
    <s:row r="30869" hidden="1" ht="1" customHeight="1">
      <s:c r="A30869" s="120" t="inlineStr"/>
      <s:c r="B30869" s="121" t="n"/>
      <s:c r="C30869" s="121" t="n"/>
      <s:c r="D30869" s="121" t="n"/>
      <s:c r="E30869" s="122" t="n"/>
    </s:row>
    <s:row r="30870" hidden="1" ht="1" customHeight="1">
      <s:c r="A30870" s="120" t="inlineStr"/>
      <s:c r="B30870" s="121" t="n"/>
      <s:c r="C30870" s="121" t="n"/>
      <s:c r="D30870" s="121" t="n"/>
      <s:c r="E30870" s="122" t="n"/>
    </s:row>
    <s:row r="30871" hidden="1" ht="1" customHeight="1">
      <s:c r="A30871" s="120" t="inlineStr"/>
      <s:c r="B30871" s="121" t="n"/>
      <s:c r="C30871" s="121" t="n"/>
      <s:c r="D30871" s="121" t="n"/>
      <s:c r="E30871" s="122" t="n"/>
    </s:row>
    <s:row r="30872" hidden="1" ht="1" customHeight="1">
      <s:c r="A30872" s="120" t="inlineStr"/>
      <s:c r="B30872" s="121" t="n"/>
      <s:c r="C30872" s="121" t="n"/>
      <s:c r="D30872" s="121" t="n"/>
      <s:c r="E30872" s="122" t="n"/>
    </s:row>
    <s:row r="30873" hidden="1" ht="1" customHeight="1">
      <s:c r="A30873" s="120" t="inlineStr"/>
      <s:c r="B30873" s="121" t="n"/>
      <s:c r="C30873" s="121" t="n"/>
      <s:c r="D30873" s="121" t="n"/>
      <s:c r="E30873" s="122" t="n"/>
    </s:row>
    <s:row r="30874" hidden="1" ht="1" customHeight="1">
      <s:c r="A30874" s="120" t="inlineStr"/>
      <s:c r="B30874" s="121" t="n"/>
      <s:c r="C30874" s="121" t="n"/>
      <s:c r="D30874" s="121" t="n"/>
      <s:c r="E30874" s="122" t="n"/>
    </s:row>
    <s:row r="30875" hidden="1" ht="1" customHeight="1">
      <s:c r="A30875" s="120" t="inlineStr"/>
      <s:c r="B30875" s="121" t="n"/>
      <s:c r="C30875" s="121" t="n"/>
      <s:c r="D30875" s="121" t="n"/>
      <s:c r="E30875" s="122" t="n"/>
    </s:row>
    <s:row r="30876" hidden="1" ht="1" customHeight="1">
      <s:c r="A30876" s="120" t="inlineStr"/>
      <s:c r="B30876" s="121" t="n"/>
      <s:c r="C30876" s="121" t="n"/>
      <s:c r="D30876" s="121" t="n"/>
      <s:c r="E30876" s="122" t="n"/>
    </s:row>
    <s:row r="30877" hidden="1" ht="1" customHeight="1">
      <s:c r="A30877" s="120" t="inlineStr"/>
      <s:c r="B30877" s="121" t="n"/>
      <s:c r="C30877" s="121" t="n"/>
      <s:c r="D30877" s="121" t="n"/>
      <s:c r="E30877" s="122" t="n"/>
    </s:row>
    <s:row r="30878" hidden="1" ht="1" customHeight="1">
      <s:c r="A30878" s="120" t="inlineStr"/>
      <s:c r="B30878" s="121" t="n"/>
      <s:c r="C30878" s="121" t="n"/>
      <s:c r="D30878" s="121" t="n"/>
      <s:c r="E30878" s="122" t="n"/>
    </s:row>
    <s:row r="30879" hidden="1" ht="1" customHeight="1">
      <s:c r="A30879" s="120" t="inlineStr"/>
      <s:c r="B30879" s="121" t="n"/>
      <s:c r="C30879" s="121" t="n"/>
      <s:c r="D30879" s="121" t="n"/>
      <s:c r="E30879" s="122" t="n"/>
    </s:row>
    <s:row r="30880" hidden="1" ht="1" customHeight="1">
      <s:c r="A30880" s="120" t="inlineStr"/>
      <s:c r="B30880" s="121" t="n"/>
      <s:c r="C30880" s="121" t="n"/>
      <s:c r="D30880" s="121" t="n"/>
      <s:c r="E30880" s="122" t="n"/>
    </s:row>
    <s:row r="30881" hidden="1" ht="1" customHeight="1">
      <s:c r="A30881" s="120" t="inlineStr"/>
      <s:c r="B30881" s="121" t="n"/>
      <s:c r="C30881" s="121" t="n"/>
      <s:c r="D30881" s="121" t="n"/>
      <s:c r="E30881" s="122" t="n"/>
    </s:row>
    <s:row r="30882" hidden="1" ht="1" customHeight="1">
      <s:c r="A30882" s="120" t="inlineStr"/>
      <s:c r="B30882" s="121" t="n"/>
      <s:c r="C30882" s="121" t="n"/>
      <s:c r="D30882" s="121" t="n"/>
      <s:c r="E30882" s="122" t="n"/>
    </s:row>
    <s:row r="30883" hidden="1" ht="1" customHeight="1">
      <s:c r="A30883" s="120" t="inlineStr"/>
      <s:c r="B30883" s="121" t="n"/>
      <s:c r="C30883" s="121" t="n"/>
      <s:c r="D30883" s="121" t="n"/>
      <s:c r="E30883" s="122" t="n"/>
    </s:row>
    <s:row r="30884" hidden="1" ht="1" customHeight="1">
      <s:c r="A30884" s="120" t="inlineStr"/>
      <s:c r="B30884" s="121" t="n"/>
      <s:c r="C30884" s="121" t="n"/>
      <s:c r="D30884" s="121" t="n"/>
      <s:c r="E30884" s="122" t="n"/>
    </s:row>
    <s:row r="30885" hidden="1" ht="1" customHeight="1">
      <s:c r="A30885" s="120" t="inlineStr"/>
      <s:c r="B30885" s="121" t="n"/>
      <s:c r="C30885" s="121" t="n"/>
      <s:c r="D30885" s="121" t="n"/>
      <s:c r="E30885" s="122" t="n"/>
    </s:row>
    <s:row r="30886" hidden="1" ht="1" customHeight="1">
      <s:c r="A30886" s="120" t="inlineStr"/>
      <s:c r="B30886" s="121" t="n"/>
      <s:c r="C30886" s="121" t="n"/>
      <s:c r="D30886" s="121" t="n"/>
      <s:c r="E30886" s="122" t="n"/>
    </s:row>
    <s:row r="30887" hidden="1" ht="1" customHeight="1">
      <s:c r="A30887" s="120" t="inlineStr"/>
      <s:c r="B30887" s="121" t="n"/>
      <s:c r="C30887" s="121" t="n"/>
      <s:c r="D30887" s="121" t="n"/>
      <s:c r="E30887" s="122" t="n"/>
    </s:row>
    <s:row r="30888" hidden="1" ht="1" customHeight="1">
      <s:c r="A30888" s="120" t="inlineStr"/>
      <s:c r="B30888" s="121" t="n"/>
      <s:c r="C30888" s="121" t="n"/>
      <s:c r="D30888" s="121" t="n"/>
      <s:c r="E30888" s="122" t="n"/>
    </s:row>
    <s:row r="30889" hidden="1" ht="1" customHeight="1">
      <s:c r="A30889" s="120" t="inlineStr"/>
      <s:c r="B30889" s="121" t="n"/>
      <s:c r="C30889" s="121" t="n"/>
      <s:c r="D30889" s="121" t="n"/>
      <s:c r="E30889" s="122" t="n"/>
    </s:row>
    <s:row r="30890" hidden="1" ht="1" customHeight="1">
      <s:c r="A30890" s="120" t="inlineStr"/>
      <s:c r="B30890" s="121" t="n"/>
      <s:c r="C30890" s="121" t="n"/>
      <s:c r="D30890" s="121" t="n"/>
      <s:c r="E30890" s="122" t="n"/>
    </s:row>
    <s:row r="30891" hidden="1" ht="1" customHeight="1">
      <s:c r="A30891" s="120" t="inlineStr"/>
      <s:c r="B30891" s="121" t="n"/>
      <s:c r="C30891" s="121" t="n"/>
      <s:c r="D30891" s="121" t="n"/>
      <s:c r="E30891" s="122" t="n"/>
    </s:row>
    <s:row r="30892" hidden="1" ht="1" customHeight="1">
      <s:c r="A30892" s="120" t="inlineStr"/>
      <s:c r="B30892" s="121" t="n"/>
      <s:c r="C30892" s="121" t="n"/>
      <s:c r="D30892" s="121" t="n"/>
      <s:c r="E30892" s="122" t="n"/>
    </s:row>
    <s:row r="30893" hidden="1" ht="1" customHeight="1">
      <s:c r="A30893" s="120" t="inlineStr"/>
      <s:c r="B30893" s="121" t="n"/>
      <s:c r="C30893" s="121" t="n"/>
      <s:c r="D30893" s="121" t="n"/>
      <s:c r="E30893" s="122" t="n"/>
    </s:row>
    <s:row r="30894" hidden="1" ht="1" customHeight="1">
      <s:c r="A30894" s="120" t="inlineStr"/>
      <s:c r="B30894" s="121" t="n"/>
      <s:c r="C30894" s="121" t="n"/>
      <s:c r="D30894" s="121" t="n"/>
      <s:c r="E30894" s="122" t="n"/>
    </s:row>
    <s:row r="30895" hidden="1" ht="1" customHeight="1">
      <s:c r="A30895" s="120" t="inlineStr"/>
      <s:c r="B30895" s="121" t="n"/>
      <s:c r="C30895" s="121" t="n"/>
      <s:c r="D30895" s="121" t="n"/>
      <s:c r="E30895" s="122" t="n"/>
    </s:row>
    <s:row r="30896" hidden="1" ht="1" customHeight="1">
      <s:c r="A30896" s="120" t="inlineStr"/>
      <s:c r="B30896" s="121" t="n"/>
      <s:c r="C30896" s="121" t="n"/>
      <s:c r="D30896" s="121" t="n"/>
      <s:c r="E30896" s="122" t="n"/>
    </s:row>
    <s:row r="30897" hidden="1" ht="1" customHeight="1">
      <s:c r="A30897" s="120" t="inlineStr"/>
      <s:c r="B30897" s="121" t="n"/>
      <s:c r="C30897" s="121" t="n"/>
      <s:c r="D30897" s="121" t="n"/>
      <s:c r="E30897" s="122" t="n"/>
    </s:row>
    <s:row r="30898" hidden="1" ht="1" customHeight="1">
      <s:c r="A30898" s="120" t="inlineStr"/>
      <s:c r="B30898" s="121" t="n"/>
      <s:c r="C30898" s="121" t="n"/>
      <s:c r="D30898" s="121" t="n"/>
      <s:c r="E30898" s="122" t="n"/>
    </s:row>
    <s:row r="30899" hidden="1" ht="1" customHeight="1">
      <s:c r="A30899" s="120" t="inlineStr"/>
      <s:c r="B30899" s="121" t="n"/>
      <s:c r="C30899" s="121" t="n"/>
      <s:c r="D30899" s="121" t="n"/>
      <s:c r="E30899" s="122" t="n"/>
    </s:row>
    <s:row r="30900" hidden="1" ht="1" customHeight="1">
      <s:c r="A30900" s="120" t="inlineStr"/>
      <s:c r="B30900" s="121" t="n"/>
      <s:c r="C30900" s="121" t="n"/>
      <s:c r="D30900" s="121" t="n"/>
      <s:c r="E30900" s="122" t="n"/>
    </s:row>
    <s:row r="30901" hidden="1" ht="1" customHeight="1">
      <s:c r="A30901" s="120" t="inlineStr"/>
      <s:c r="B30901" s="121" t="n"/>
      <s:c r="C30901" s="121" t="n"/>
      <s:c r="D30901" s="121" t="n"/>
      <s:c r="E30901" s="122" t="n"/>
    </s:row>
    <s:row r="30902" hidden="1" ht="1" customHeight="1">
      <s:c r="A30902" s="120" t="inlineStr"/>
      <s:c r="B30902" s="121" t="n"/>
      <s:c r="C30902" s="121" t="n"/>
      <s:c r="D30902" s="121" t="n"/>
      <s:c r="E30902" s="122" t="n"/>
    </s:row>
    <s:row r="30903" hidden="1" ht="1" customHeight="1">
      <s:c r="A30903" s="120" t="inlineStr"/>
      <s:c r="B30903" s="121" t="n"/>
      <s:c r="C30903" s="121" t="n"/>
      <s:c r="D30903" s="121" t="n"/>
      <s:c r="E30903" s="122" t="n"/>
    </s:row>
    <s:row r="30904" hidden="1" ht="1" customHeight="1">
      <s:c r="A30904" s="120" t="inlineStr"/>
      <s:c r="B30904" s="121" t="n"/>
      <s:c r="C30904" s="121" t="n"/>
      <s:c r="D30904" s="121" t="n"/>
      <s:c r="E30904" s="122" t="n"/>
    </s:row>
    <s:row r="30905" hidden="1" ht="1" customHeight="1">
      <s:c r="A30905" s="120" t="inlineStr"/>
      <s:c r="B30905" s="121" t="n"/>
      <s:c r="C30905" s="121" t="n"/>
      <s:c r="D30905" s="121" t="n"/>
      <s:c r="E30905" s="122" t="n"/>
    </s:row>
    <s:row r="30906" hidden="1" ht="1" customHeight="1">
      <s:c r="A30906" s="120" t="inlineStr"/>
      <s:c r="B30906" s="121" t="n"/>
      <s:c r="C30906" s="121" t="n"/>
      <s:c r="D30906" s="121" t="n"/>
      <s:c r="E30906" s="122" t="n"/>
    </s:row>
    <s:row r="30907" hidden="1" ht="1" customHeight="1">
      <s:c r="A30907" s="120" t="inlineStr"/>
      <s:c r="B30907" s="121" t="n"/>
      <s:c r="C30907" s="121" t="n"/>
      <s:c r="D30907" s="121" t="n"/>
      <s:c r="E30907" s="122" t="n"/>
    </s:row>
    <s:row r="30908" hidden="1" ht="1" customHeight="1">
      <s:c r="A30908" s="83" t="inlineStr">
        <s:is>
          <s:t>PASS</s:t>
        </s:is>
      </s:c>
      <s:c r="B30908" s="83">
        <s:f>SUM(IF(EXACT('Kiểm thử'!E30808,"Đạt"),1,0),IF(EXACT('Kiểm thử'!E30810,"Đạt"),1,0))</s:f>
        <s:v/>
      </s:c>
      <s:c r="C30908" s="19" t="n"/>
      <s:c r="D30908" s="19" t="n"/>
      <s:c r="E30908" s="19" t="n"/>
    </s:row>
    <s:row r="30909" hidden="1" ht="1" customHeight="1">
      <s:c r="A30909" s="83" t="inlineStr">
        <s:is>
          <s:t>FAIL</s:t>
        </s:is>
      </s:c>
      <s:c r="B30909" s="83">
        <s:f>SUM(IF(EXACT('Kiểm thử'!E30808,"Không đạt"),1,0),IF(EXACT('Kiểm thử'!E30810,"Không đạt"),1,0))</s:f>
        <s:v/>
      </s:c>
      <s:c r="C30909" s="19" t="n"/>
      <s:c r="D30909" s="19" t="n"/>
      <s:c r="E30909" s="19" t="n"/>
    </s:row>
    <s:row r="30910" hidden="1" ht="1" customHeight="1">
      <s:c r="A30910" s="83" t="inlineStr">
        <s:is>
          <s:t>BLOCKED</s:t>
        </s:is>
      </s:c>
      <s:c r="B30910" s="83">
        <s:f>SUM(IF(EXACT('Kiểm thử'!E30808,"Bị chặn"),1,0),IF(EXACT('Kiểm thử'!E30810,"Bị chặn"),1,0))</s:f>
        <s:v/>
      </s:c>
      <s:c r="C30910" s="19" t="n"/>
      <s:c r="D30910" s="19" t="n"/>
      <s:c r="E30910" s="19" t="n"/>
    </s:row>
    <s:row r="30911" hidden="1" ht="1" customHeight="1">
      <s:c r="A30911" s="83" t="inlineStr">
        <s:is>
          <s:t>SKIPPED</s:t>
        </s:is>
      </s:c>
      <s:c r="B30911" s="83">
        <s:f>SUM(IF(EXACT('Kiểm thử'!E30808,"Không thực hiện"),1,0),IF(EXACT('Kiểm thử'!E30810,"Không thực hiện"),1,0))</s:f>
        <s:v/>
      </s:c>
      <s:c r="C30911" s="19" t="n"/>
      <s:c r="D30911" s="19" t="n"/>
      <s:c r="E30911" s="19" t="n"/>
    </s:row>
    <s:row r="30912" hidden="1" ht="1" customHeight="1">
      <s:c r="A30912" s="83" t="inlineStr">
        <s:is>
          <s:t>NOT RUN</s:t>
        </s:is>
      </s:c>
      <s:c r="B30912" s="83">
        <s:f>SUM(IF(EXACT('Kiểm thử'!E30808,"Chưa thực hiện"),1,0),IF(EXACT('Kiểm thử'!E30810,"Chưa thực hiện"),1,0))</s:f>
        <s:v/>
      </s:c>
      <s:c r="C30912" s="19" t="n"/>
      <s:c r="D30912" s="19" t="n"/>
      <s:c r="E30912" s="19" t="n"/>
    </s:row>
    <s:row r="30913" hidden="1" ht="6" customHeight="1">
      <s:c r="A30913" s="83" t="inlineStr"/>
      <s:c r="B30913" s="19" t="n"/>
      <s:c r="C30913" s="19" t="n"/>
      <s:c r="D30913" s="19" t="n"/>
      <s:c r="E30913" s="19" t="n"/>
    </s:row>
    <s:row r="30914" ht="28" customHeight="1">
      <s:c r="A30914" s="108" t="inlineStr">
        <s:is>
          <s:t>TC-RS-REG-005 — Kết quả tổng hợp thứ hạng（順位集計） không đổi khi có quy tắc đỏ đọc nguồn</s:t>
        </s:is>
      </s:c>
      <s:c r="B30914" s="111" t="n"/>
      <s:c r="C30914" s="111" t="n"/>
      <s:c r="D30914" s="111" t="n"/>
      <s:c r="E30914" s="111" t="n"/>
    </s:row>
    <s:row r="30915" ht="20" customHeight="1">
      <s:c r="A30915" s="112" t="inlineStr">
        <s:is>
          <s:t>Kết quả tình huống</s:t>
        </s:is>
      </s:c>
      <s:c r="B30915" s="113">
        <s:f>IF(SUM(IF(EXACT('Kiểm thử'!E30923,"Không đạt"),1,0))&gt;0,"Không đạt",IF(SUM(IF(EXACT('Kiểm thử'!E30923,"Đạt"),1,0))=1,"Đạt",IF(SUM(IF(EXACT('Kiểm thử'!E30923,"Không thực hiện"),1,0))=1,"Không thực hiện",IF(SUM(IF(EXACT('Kiểm thử'!E30923,"Bị chặn"),1,0))&gt;0,"Bị chặn",IF(SUM(IF(EXACT('Kiểm thử'!E30923,"Chưa thực hiện"),1,0))=1,"Chưa thực hiện","Đang thực hiện")))))</s:f>
        <s:v/>
      </s:c>
      <s:c r="C30915" s="114" t="n"/>
      <s:c r="D30915" s="114" t="n"/>
      <s:c r="E30915" s="114" t="n"/>
    </s:row>
    <s:row r="30916" ht="20" customHeight="1">
      <s:c r="A30916" s="112" t="inlineStr">
        <s:is>
          <s:t>Màn hình / chức năng</s:t>
        </s:is>
      </s:c>
      <s:c r="B30916" s="113" t="inlineStr">
        <s:is>
          <s:t>Hồi quy luồng hiện có</s:t>
        </s:is>
      </s:c>
      <s:c r="C30916" s="28" t="n"/>
      <s:c r="D30916" s="28" t="n"/>
      <s:c r="E30916" s="28" t="n"/>
    </s:row>
    <s:row r="30917" ht="48" customHeight="1">
      <s:c r="A30917" s="112" t="inlineStr">
        <s:is>
          <s:t>Cấu hình</s:t>
        </s:is>
      </s:c>
      <s:c r="B30917" s="113" t="inlineStr">
        <s:is>
          <s:t>• Cặp quy tắc phân nhánh theo trung bình 60 và quy tắc theo tỷ lệ điểm của nhóm từ 65% đang dùng nguồn của khối 1. Baseline: kết quả tổng hợp (trung bình, thứ hạng, số người) chạy trên build cũ với cùng dữ liệu.</s:t>
        </s:is>
      </s:c>
      <s:c r="C30917" s="28" t="n"/>
      <s:c r="D30917" s="28" t="n"/>
      <s:c r="E30917" s="28" t="n"/>
    </s:row>
    <s:row r="30918" ht="20" customHeight="1">
      <s:c r="A30918" s="112" t="inlineStr">
        <s:is>
          <s:t>Dữ liệu test</s:t>
        </s:is>
      </s:c>
      <s:c r="B30918" s="113" t="inlineStr">
        <s:is>
          <s:t>• Cặp quy tắc phân nhánh theo trung bình 60, quy tắc theo tỷ lệ điểm của nhóm từ 65%</s:t>
        </s:is>
      </s:c>
      <s:c r="C30918" s="28" t="n"/>
      <s:c r="D30918" s="28" t="n"/>
      <s:c r="E30918" s="28" t="n"/>
    </s:row>
    <s:row r="30919" ht="20" customHeight="1">
      <s:c r="A30919" s="112" t="inlineStr">
        <s:is>
          <s:t>Bước 1</s:t>
        </s:is>
      </s:c>
      <s:c r="B30919" s="113" t="inlineStr">
        <s:is>
          <s:t>Chạy nút xanh rồi nút cam cho khối 1.</s:t>
        </s:is>
      </s:c>
      <s:c r="C30919" s="28" t="n"/>
      <s:c r="D30919" s="28" t="n"/>
      <s:c r="E30919" s="28" t="n"/>
    </s:row>
    <s:row r="30920" ht="20" customHeight="1">
      <s:c r="A30920" s="112" t="inlineStr">
        <s:is>
          <s:t>Bước 2</s:t>
        </s:is>
      </s:c>
      <s:c r="B30920" s="113" t="inlineStr">
        <s:is>
          <s:t>So trung bình, thứ hạng, số người với baseline.</s:t>
        </s:is>
      </s:c>
      <s:c r="C30920" s="28" t="n"/>
      <s:c r="D30920" s="28" t="n"/>
      <s:c r="E30920" s="28" t="n"/>
    </s:row>
    <s:row r="30921" ht="28" customHeight="1">
      <s:c r="A30921" s="115" t="inlineStr">
        <s:is>
          <s:t>Trường hợp</s:t>
        </s:is>
      </s:c>
      <s:c r="B30921" s="115" t="inlineStr">
        <s:is>
          <s:t>Dữ liệu / thao tác riêng</s:t>
        </s:is>
      </s:c>
      <s:c r="C30921" s="115" t="inlineStr">
        <s:is>
          <s:t>Kết quả mong đợi</s:t>
        </s:is>
      </s:c>
      <s:c r="D30921" s="115" t="inlineStr">
        <s:is>
          <s:t>Kết quả thực tế</s:t>
        </s:is>
      </s:c>
      <s:c r="E30921" s="115" t="inlineStr">
        <s:is>
          <s:t>Đánh giá</s:t>
        </s:is>
      </s:c>
    </s:row>
    <s:row r="30922" ht="3" customHeight="1">
      <s:c r="A30922" s="102" t="inlineStr"/>
      <s:c r="B30922" s="99" t="n"/>
      <s:c r="C30922" s="99" t="n"/>
      <s:c r="D30922" s="116" t="n"/>
      <s:c r="E30922" s="116" t="n"/>
    </s:row>
    <s:row r="30923" ht="62" customHeight="1">
      <s:c r="A30923" s="83" t="inlineStr">
        <s:is>
          <s:t>Trường hợp cơ bản (Base)</s:t>
        </s:is>
      </s:c>
      <s:c r="B30923" s="83" t="inlineStr">
        <s:is>
          <s:t>Toàn bộ tình huống: Thực hiện đủ các bước chung theo thứ tự; kiểm cả đối tượng đích và đối chứng cùng fixture, không bỏ bước.</s:t>
        </s:is>
      </s:c>
      <s:c r="C30923" s="83" t="inlineStr">
        <s:is>
          <s:t>Trung bình, thứ hạng, số người bằng baseline; nút cam không ghi lại kết quả tổng hợp.</s:t>
        </s:is>
      </s:c>
      <s:c r="D30923" s="117" t="inlineStr"/>
      <s:c r="E30923" s="118" t="inlineStr">
        <s:is>
          <s:t>Chưa thực hiện</s:t>
        </s:is>
      </s:c>
    </s:row>
    <s:row r="30924" ht="20" customHeight="1">
      <s:c r="A30924" s="119" t="inlineStr">
        <s:is>
          <s:t>Ảnh minh chứng — Chưa có ảnh</s:t>
        </s:is>
      </s:c>
      <s:c r="B30924" s="19" t="n"/>
      <s:c r="C30924" s="19" t="n"/>
      <s:c r="D30924" s="19" t="n"/>
      <s:c r="E30924" s="19" t="n"/>
    </s:row>
    <s:row r="30925" hidden="1" ht="1" customHeight="1">
      <s:c r="A30925" s="120" t="inlineStr"/>
      <s:c r="B30925" s="121" t="n"/>
      <s:c r="C30925" s="121" t="n"/>
      <s:c r="D30925" s="121" t="n"/>
      <s:c r="E30925" s="122" t="n"/>
    </s:row>
    <s:row r="30926" hidden="1" ht="1" customHeight="1">
      <s:c r="A30926" s="120" t="inlineStr"/>
      <s:c r="B30926" s="121" t="n"/>
      <s:c r="C30926" s="121" t="n"/>
      <s:c r="D30926" s="121" t="n"/>
      <s:c r="E30926" s="122" t="n"/>
    </s:row>
    <s:row r="30927" hidden="1" ht="1" customHeight="1">
      <s:c r="A30927" s="120" t="inlineStr"/>
      <s:c r="B30927" s="121" t="n"/>
      <s:c r="C30927" s="121" t="n"/>
      <s:c r="D30927" s="121" t="n"/>
      <s:c r="E30927" s="122" t="n"/>
    </s:row>
    <s:row r="30928" hidden="1" ht="1" customHeight="1">
      <s:c r="A30928" s="120" t="inlineStr"/>
      <s:c r="B30928" s="121" t="n"/>
      <s:c r="C30928" s="121" t="n"/>
      <s:c r="D30928" s="121" t="n"/>
      <s:c r="E30928" s="122" t="n"/>
    </s:row>
    <s:row r="30929" hidden="1" ht="1" customHeight="1">
      <s:c r="A30929" s="120" t="inlineStr"/>
      <s:c r="B30929" s="121" t="n"/>
      <s:c r="C30929" s="121" t="n"/>
      <s:c r="D30929" s="121" t="n"/>
      <s:c r="E30929" s="122" t="n"/>
    </s:row>
    <s:row r="30930" hidden="1" ht="1" customHeight="1">
      <s:c r="A30930" s="120" t="inlineStr"/>
      <s:c r="B30930" s="121" t="n"/>
      <s:c r="C30930" s="121" t="n"/>
      <s:c r="D30930" s="121" t="n"/>
      <s:c r="E30930" s="122" t="n"/>
    </s:row>
    <s:row r="30931" hidden="1" ht="1" customHeight="1">
      <s:c r="A30931" s="120" t="inlineStr"/>
      <s:c r="B30931" s="121" t="n"/>
      <s:c r="C30931" s="121" t="n"/>
      <s:c r="D30931" s="121" t="n"/>
      <s:c r="E30931" s="122" t="n"/>
    </s:row>
    <s:row r="30932" hidden="1" ht="1" customHeight="1">
      <s:c r="A30932" s="120" t="inlineStr"/>
      <s:c r="B30932" s="121" t="n"/>
      <s:c r="C30932" s="121" t="n"/>
      <s:c r="D30932" s="121" t="n"/>
      <s:c r="E30932" s="122" t="n"/>
    </s:row>
    <s:row r="30933" hidden="1" ht="1" customHeight="1">
      <s:c r="A30933" s="120" t="inlineStr"/>
      <s:c r="B30933" s="121" t="n"/>
      <s:c r="C30933" s="121" t="n"/>
      <s:c r="D30933" s="121" t="n"/>
      <s:c r="E30933" s="122" t="n"/>
    </s:row>
    <s:row r="30934" hidden="1" ht="1" customHeight="1">
      <s:c r="A30934" s="120" t="inlineStr"/>
      <s:c r="B30934" s="121" t="n"/>
      <s:c r="C30934" s="121" t="n"/>
      <s:c r="D30934" s="121" t="n"/>
      <s:c r="E30934" s="122" t="n"/>
    </s:row>
    <s:row r="30935" hidden="1" ht="1" customHeight="1">
      <s:c r="A30935" s="120" t="inlineStr"/>
      <s:c r="B30935" s="121" t="n"/>
      <s:c r="C30935" s="121" t="n"/>
      <s:c r="D30935" s="121" t="n"/>
      <s:c r="E30935" s="122" t="n"/>
    </s:row>
    <s:row r="30936" hidden="1" ht="1" customHeight="1">
      <s:c r="A30936" s="120" t="inlineStr"/>
      <s:c r="B30936" s="121" t="n"/>
      <s:c r="C30936" s="121" t="n"/>
      <s:c r="D30936" s="121" t="n"/>
      <s:c r="E30936" s="122" t="n"/>
    </s:row>
    <s:row r="30937" hidden="1" ht="1" customHeight="1">
      <s:c r="A30937" s="120" t="inlineStr"/>
      <s:c r="B30937" s="121" t="n"/>
      <s:c r="C30937" s="121" t="n"/>
      <s:c r="D30937" s="121" t="n"/>
      <s:c r="E30937" s="122" t="n"/>
    </s:row>
    <s:row r="30938" hidden="1" ht="1" customHeight="1">
      <s:c r="A30938" s="120" t="inlineStr"/>
      <s:c r="B30938" s="121" t="n"/>
      <s:c r="C30938" s="121" t="n"/>
      <s:c r="D30938" s="121" t="n"/>
      <s:c r="E30938" s="122" t="n"/>
    </s:row>
    <s:row r="30939" hidden="1" ht="1" customHeight="1">
      <s:c r="A30939" s="120" t="inlineStr"/>
      <s:c r="B30939" s="121" t="n"/>
      <s:c r="C30939" s="121" t="n"/>
      <s:c r="D30939" s="121" t="n"/>
      <s:c r="E30939" s="122" t="n"/>
    </s:row>
    <s:row r="30940" hidden="1" ht="1" customHeight="1">
      <s:c r="A30940" s="120" t="inlineStr"/>
      <s:c r="B30940" s="121" t="n"/>
      <s:c r="C30940" s="121" t="n"/>
      <s:c r="D30940" s="121" t="n"/>
      <s:c r="E30940" s="122" t="n"/>
    </s:row>
    <s:row r="30941" hidden="1" ht="1" customHeight="1">
      <s:c r="A30941" s="120" t="inlineStr"/>
      <s:c r="B30941" s="121" t="n"/>
      <s:c r="C30941" s="121" t="n"/>
      <s:c r="D30941" s="121" t="n"/>
      <s:c r="E30941" s="122" t="n"/>
    </s:row>
    <s:row r="30942" hidden="1" ht="1" customHeight="1">
      <s:c r="A30942" s="120" t="inlineStr"/>
      <s:c r="B30942" s="121" t="n"/>
      <s:c r="C30942" s="121" t="n"/>
      <s:c r="D30942" s="121" t="n"/>
      <s:c r="E30942" s="122" t="n"/>
    </s:row>
    <s:row r="30943" hidden="1" ht="1" customHeight="1">
      <s:c r="A30943" s="120" t="inlineStr"/>
      <s:c r="B30943" s="121" t="n"/>
      <s:c r="C30943" s="121" t="n"/>
      <s:c r="D30943" s="121" t="n"/>
      <s:c r="E30943" s="122" t="n"/>
    </s:row>
    <s:row r="30944" hidden="1" ht="1" customHeight="1">
      <s:c r="A30944" s="120" t="inlineStr"/>
      <s:c r="B30944" s="121" t="n"/>
      <s:c r="C30944" s="121" t="n"/>
      <s:c r="D30944" s="121" t="n"/>
      <s:c r="E30944" s="122" t="n"/>
    </s:row>
    <s:row r="30945" hidden="1" ht="1" customHeight="1">
      <s:c r="A30945" s="120" t="inlineStr"/>
      <s:c r="B30945" s="121" t="n"/>
      <s:c r="C30945" s="121" t="n"/>
      <s:c r="D30945" s="121" t="n"/>
      <s:c r="E30945" s="122" t="n"/>
    </s:row>
    <s:row r="30946" hidden="1" ht="1" customHeight="1">
      <s:c r="A30946" s="120" t="inlineStr"/>
      <s:c r="B30946" s="121" t="n"/>
      <s:c r="C30946" s="121" t="n"/>
      <s:c r="D30946" s="121" t="n"/>
      <s:c r="E30946" s="122" t="n"/>
    </s:row>
    <s:row r="30947" hidden="1" ht="1" customHeight="1">
      <s:c r="A30947" s="120" t="inlineStr"/>
      <s:c r="B30947" s="121" t="n"/>
      <s:c r="C30947" s="121" t="n"/>
      <s:c r="D30947" s="121" t="n"/>
      <s:c r="E30947" s="122" t="n"/>
    </s:row>
    <s:row r="30948" hidden="1" ht="1" customHeight="1">
      <s:c r="A30948" s="120" t="inlineStr"/>
      <s:c r="B30948" s="121" t="n"/>
      <s:c r="C30948" s="121" t="n"/>
      <s:c r="D30948" s="121" t="n"/>
      <s:c r="E30948" s="122" t="n"/>
    </s:row>
    <s:row r="30949" hidden="1" ht="1" customHeight="1">
      <s:c r="A30949" s="120" t="inlineStr"/>
      <s:c r="B30949" s="121" t="n"/>
      <s:c r="C30949" s="121" t="n"/>
      <s:c r="D30949" s="121" t="n"/>
      <s:c r="E30949" s="122" t="n"/>
    </s:row>
    <s:row r="30950" hidden="1" ht="1" customHeight="1">
      <s:c r="A30950" s="120" t="inlineStr"/>
      <s:c r="B30950" s="121" t="n"/>
      <s:c r="C30950" s="121" t="n"/>
      <s:c r="D30950" s="121" t="n"/>
      <s:c r="E30950" s="122" t="n"/>
    </s:row>
    <s:row r="30951" hidden="1" ht="1" customHeight="1">
      <s:c r="A30951" s="120" t="inlineStr"/>
      <s:c r="B30951" s="121" t="n"/>
      <s:c r="C30951" s="121" t="n"/>
      <s:c r="D30951" s="121" t="n"/>
      <s:c r="E30951" s="122" t="n"/>
    </s:row>
    <s:row r="30952" hidden="1" ht="1" customHeight="1">
      <s:c r="A30952" s="120" t="inlineStr"/>
      <s:c r="B30952" s="121" t="n"/>
      <s:c r="C30952" s="121" t="n"/>
      <s:c r="D30952" s="121" t="n"/>
      <s:c r="E30952" s="122" t="n"/>
    </s:row>
    <s:row r="30953" hidden="1" ht="1" customHeight="1">
      <s:c r="A30953" s="120" t="inlineStr"/>
      <s:c r="B30953" s="121" t="n"/>
      <s:c r="C30953" s="121" t="n"/>
      <s:c r="D30953" s="121" t="n"/>
      <s:c r="E30953" s="122" t="n"/>
    </s:row>
    <s:row r="30954" hidden="1" ht="1" customHeight="1">
      <s:c r="A30954" s="120" t="inlineStr"/>
      <s:c r="B30954" s="121" t="n"/>
      <s:c r="C30954" s="121" t="n"/>
      <s:c r="D30954" s="121" t="n"/>
      <s:c r="E30954" s="122" t="n"/>
    </s:row>
    <s:row r="30955" hidden="1" ht="1" customHeight="1">
      <s:c r="A30955" s="120" t="inlineStr"/>
      <s:c r="B30955" s="121" t="n"/>
      <s:c r="C30955" s="121" t="n"/>
      <s:c r="D30955" s="121" t="n"/>
      <s:c r="E30955" s="122" t="n"/>
    </s:row>
    <s:row r="30956" hidden="1" ht="1" customHeight="1">
      <s:c r="A30956" s="120" t="inlineStr"/>
      <s:c r="B30956" s="121" t="n"/>
      <s:c r="C30956" s="121" t="n"/>
      <s:c r="D30956" s="121" t="n"/>
      <s:c r="E30956" s="122" t="n"/>
    </s:row>
    <s:row r="30957" hidden="1" ht="1" customHeight="1">
      <s:c r="A30957" s="120" t="inlineStr"/>
      <s:c r="B30957" s="121" t="n"/>
      <s:c r="C30957" s="121" t="n"/>
      <s:c r="D30957" s="121" t="n"/>
      <s:c r="E30957" s="122" t="n"/>
    </s:row>
    <s:row r="30958" hidden="1" ht="1" customHeight="1">
      <s:c r="A30958" s="120" t="inlineStr"/>
      <s:c r="B30958" s="121" t="n"/>
      <s:c r="C30958" s="121" t="n"/>
      <s:c r="D30958" s="121" t="n"/>
      <s:c r="E30958" s="122" t="n"/>
    </s:row>
    <s:row r="30959" hidden="1" ht="1" customHeight="1">
      <s:c r="A30959" s="120" t="inlineStr"/>
      <s:c r="B30959" s="121" t="n"/>
      <s:c r="C30959" s="121" t="n"/>
      <s:c r="D30959" s="121" t="n"/>
      <s:c r="E30959" s="122" t="n"/>
    </s:row>
    <s:row r="30960" hidden="1" ht="1" customHeight="1">
      <s:c r="A30960" s="120" t="inlineStr"/>
      <s:c r="B30960" s="121" t="n"/>
      <s:c r="C30960" s="121" t="n"/>
      <s:c r="D30960" s="121" t="n"/>
      <s:c r="E30960" s="122" t="n"/>
    </s:row>
    <s:row r="30961" hidden="1" ht="1" customHeight="1">
      <s:c r="A30961" s="120" t="inlineStr"/>
      <s:c r="B30961" s="121" t="n"/>
      <s:c r="C30961" s="121" t="n"/>
      <s:c r="D30961" s="121" t="n"/>
      <s:c r="E30961" s="122" t="n"/>
    </s:row>
    <s:row r="30962" hidden="1" ht="1" customHeight="1">
      <s:c r="A30962" s="120" t="inlineStr"/>
      <s:c r="B30962" s="121" t="n"/>
      <s:c r="C30962" s="121" t="n"/>
      <s:c r="D30962" s="121" t="n"/>
      <s:c r="E30962" s="122" t="n"/>
    </s:row>
    <s:row r="30963" hidden="1" ht="1" customHeight="1">
      <s:c r="A30963" s="120" t="inlineStr"/>
      <s:c r="B30963" s="121" t="n"/>
      <s:c r="C30963" s="121" t="n"/>
      <s:c r="D30963" s="121" t="n"/>
      <s:c r="E30963" s="122" t="n"/>
    </s:row>
    <s:row r="30964" hidden="1" ht="1" customHeight="1">
      <s:c r="A30964" s="120" t="inlineStr"/>
      <s:c r="B30964" s="121" t="n"/>
      <s:c r="C30964" s="121" t="n"/>
      <s:c r="D30964" s="121" t="n"/>
      <s:c r="E30964" s="122" t="n"/>
    </s:row>
    <s:row r="30965" hidden="1" ht="1" customHeight="1">
      <s:c r="A30965" s="120" t="inlineStr"/>
      <s:c r="B30965" s="121" t="n"/>
      <s:c r="C30965" s="121" t="n"/>
      <s:c r="D30965" s="121" t="n"/>
      <s:c r="E30965" s="122" t="n"/>
    </s:row>
    <s:row r="30966" hidden="1" ht="1" customHeight="1">
      <s:c r="A30966" s="120" t="inlineStr"/>
      <s:c r="B30966" s="121" t="n"/>
      <s:c r="C30966" s="121" t="n"/>
      <s:c r="D30966" s="121" t="n"/>
      <s:c r="E30966" s="122" t="n"/>
    </s:row>
    <s:row r="30967" hidden="1" ht="1" customHeight="1">
      <s:c r="A30967" s="120" t="inlineStr"/>
      <s:c r="B30967" s="121" t="n"/>
      <s:c r="C30967" s="121" t="n"/>
      <s:c r="D30967" s="121" t="n"/>
      <s:c r="E30967" s="122" t="n"/>
    </s:row>
    <s:row r="30968" hidden="1" ht="1" customHeight="1">
      <s:c r="A30968" s="120" t="inlineStr"/>
      <s:c r="B30968" s="121" t="n"/>
      <s:c r="C30968" s="121" t="n"/>
      <s:c r="D30968" s="121" t="n"/>
      <s:c r="E30968" s="122" t="n"/>
    </s:row>
    <s:row r="30969" hidden="1" ht="1" customHeight="1">
      <s:c r="A30969" s="120" t="inlineStr"/>
      <s:c r="B30969" s="121" t="n"/>
      <s:c r="C30969" s="121" t="n"/>
      <s:c r="D30969" s="121" t="n"/>
      <s:c r="E30969" s="122" t="n"/>
    </s:row>
    <s:row r="30970" hidden="1" ht="1" customHeight="1">
      <s:c r="A30970" s="120" t="inlineStr"/>
      <s:c r="B30970" s="121" t="n"/>
      <s:c r="C30970" s="121" t="n"/>
      <s:c r="D30970" s="121" t="n"/>
      <s:c r="E30970" s="122" t="n"/>
    </s:row>
    <s:row r="30971" hidden="1" ht="1" customHeight="1">
      <s:c r="A30971" s="120" t="inlineStr"/>
      <s:c r="B30971" s="121" t="n"/>
      <s:c r="C30971" s="121" t="n"/>
      <s:c r="D30971" s="121" t="n"/>
      <s:c r="E30971" s="122" t="n"/>
    </s:row>
    <s:row r="30972" hidden="1" ht="1" customHeight="1">
      <s:c r="A30972" s="120" t="inlineStr"/>
      <s:c r="B30972" s="121" t="n"/>
      <s:c r="C30972" s="121" t="n"/>
      <s:c r="D30972" s="121" t="n"/>
      <s:c r="E30972" s="122" t="n"/>
    </s:row>
    <s:row r="30973" hidden="1" ht="1" customHeight="1">
      <s:c r="A30973" s="83" t="inlineStr">
        <s:is>
          <s:t>PASS</s:t>
        </s:is>
      </s:c>
      <s:c r="B30973" s="83">
        <s:f>SUM(IF(EXACT('Kiểm thử'!E30923,"Đạt"),1,0))</s:f>
        <s:v/>
      </s:c>
      <s:c r="C30973" s="19" t="n"/>
      <s:c r="D30973" s="19" t="n"/>
      <s:c r="E30973" s="19" t="n"/>
    </s:row>
    <s:row r="30974" hidden="1" ht="1" customHeight="1">
      <s:c r="A30974" s="83" t="inlineStr">
        <s:is>
          <s:t>FAIL</s:t>
        </s:is>
      </s:c>
      <s:c r="B30974" s="83">
        <s:f>SUM(IF(EXACT('Kiểm thử'!E30923,"Không đạt"),1,0))</s:f>
        <s:v/>
      </s:c>
      <s:c r="C30974" s="19" t="n"/>
      <s:c r="D30974" s="19" t="n"/>
      <s:c r="E30974" s="19" t="n"/>
    </s:row>
    <s:row r="30975" hidden="1" ht="1" customHeight="1">
      <s:c r="A30975" s="83" t="inlineStr">
        <s:is>
          <s:t>BLOCKED</s:t>
        </s:is>
      </s:c>
      <s:c r="B30975" s="83">
        <s:f>SUM(IF(EXACT('Kiểm thử'!E30923,"Bị chặn"),1,0))</s:f>
        <s:v/>
      </s:c>
      <s:c r="C30975" s="19" t="n"/>
      <s:c r="D30975" s="19" t="n"/>
      <s:c r="E30975" s="19" t="n"/>
    </s:row>
    <s:row r="30976" hidden="1" ht="1" customHeight="1">
      <s:c r="A30976" s="83" t="inlineStr">
        <s:is>
          <s:t>SKIPPED</s:t>
        </s:is>
      </s:c>
      <s:c r="B30976" s="83">
        <s:f>SUM(IF(EXACT('Kiểm thử'!E30923,"Không thực hiện"),1,0))</s:f>
        <s:v/>
      </s:c>
      <s:c r="C30976" s="19" t="n"/>
      <s:c r="D30976" s="19" t="n"/>
      <s:c r="E30976" s="19" t="n"/>
    </s:row>
    <s:row r="30977" hidden="1" ht="1" customHeight="1">
      <s:c r="A30977" s="83" t="inlineStr">
        <s:is>
          <s:t>NOT RUN</s:t>
        </s:is>
      </s:c>
      <s:c r="B30977" s="83">
        <s:f>SUM(IF(EXACT('Kiểm thử'!E30923,"Chưa thực hiện"),1,0))</s:f>
        <s:v/>
      </s:c>
      <s:c r="C30977" s="19" t="n"/>
      <s:c r="D30977" s="19" t="n"/>
      <s:c r="E30977" s="19" t="n"/>
    </s:row>
    <s:row r="30978" hidden="1" ht="6" customHeight="1">
      <s:c r="A30978" s="83" t="inlineStr"/>
      <s:c r="B30978" s="19" t="n"/>
      <s:c r="C30978" s="19" t="n"/>
      <s:c r="D30978" s="19" t="n"/>
      <s:c r="E30978" s="19" t="n"/>
    </s:row>
    <s:row r="30979" ht="28" customHeight="1">
      <s:c r="A30979" s="108" t="inlineStr">
        <s:is>
          <s:t>TC-RS-REG-013 — Các màn điểm tối đa lưu và xếp hàng như trước</s:t>
        </s:is>
      </s:c>
      <s:c r="B30979" s="111" t="n"/>
      <s:c r="C30979" s="111" t="n"/>
      <s:c r="D30979" s="111" t="n"/>
      <s:c r="E30979" s="111" t="n"/>
    </s:row>
    <s:row r="30980" ht="20" customHeight="1">
      <s:c r="A30980" s="112" t="inlineStr">
        <s:is>
          <s:t>Kết quả tình huống</s:t>
        </s:is>
      </s:c>
      <s:c r="B30980" s="113">
        <s:f>IF(SUM(IF(EXACT('Kiểm thử'!E30989,"Không đạt"),1,0),IF(EXACT('Kiểm thử'!E30991,"Không đạt"),1,0),IF(EXACT('Kiểm thử'!E30993,"Không đạt"),1,0))&gt;0,"Không đạt",IF(SUM(IF(EXACT('Kiểm thử'!E30989,"Đạt"),1,0),IF(EXACT('Kiểm thử'!E30991,"Đạt"),1,0),IF(EXACT('Kiểm thử'!E30993,"Đạt"),1,0))=3,"Đạt",IF(SUM(IF(EXACT('Kiểm thử'!E30989,"Không thực hiện"),1,0),IF(EXACT('Kiểm thử'!E30991,"Không thực hiện"),1,0),IF(EXACT('Kiểm thử'!E30993,"Không thực hiện"),1,0))=3,"Không thực hiện",IF(SUM(IF(EXACT('Kiểm thử'!E30989,"Bị chặn"),1,0),IF(EXACT('Kiểm thử'!E30991,"Bị chặn"),1,0),IF(EXACT('Kiểm thử'!E30993,"Bị chặn"),1,0))&gt;0,"Bị chặn",IF(SUM(IF(EXACT('Kiểm thử'!E30989,"Chưa thực hiện"),1,0),IF(EXACT('Kiểm thử'!E30991,"Chưa thực hiện"),1,0),IF(EXACT('Kiểm thử'!E30993,"Chưa thực hiện"),1,0))=3,"Chưa thực hiện","Đang thực hiện")))))</s:f>
        <s:v/>
      </s:c>
      <s:c r="C30980" s="114" t="n"/>
      <s:c r="D30980" s="114" t="n"/>
      <s:c r="E30980" s="114" t="n"/>
    </s:row>
    <s:row r="30981" ht="20" customHeight="1">
      <s:c r="A30981" s="112" t="inlineStr">
        <s:is>
          <s:t>Màn hình / chức năng</s:t>
        </s:is>
      </s:c>
      <s:c r="B30981" s="113" t="inlineStr">
        <s:is>
          <s:t>Hồi quy luồng hiện có</s:t>
        </s:is>
      </s:c>
      <s:c r="C30981" s="28" t="n"/>
      <s:c r="D30981" s="28" t="n"/>
      <s:c r="E30981" s="28" t="n"/>
    </s:row>
    <s:row r="30982" ht="34" customHeight="1">
      <s:c r="A30982" s="112" t="inlineStr">
        <s:is>
          <s:t>Cấu hình</s:t>
        </s:is>
      </s:c>
      <s:c r="B30982" s="113" t="inlineStr">
        <s:is>
          <s:t>• Baseline trên build cũ: giá trị lưu, thông báo và danh sách job khi thực hiện ba bước dưới với cùng dữ liệu. mục điểm đơn vị (đơn vị U1 có M riêng 40) có quy tắc tỷ lệ 30%.</s:t>
        </s:is>
      </s:c>
      <s:c r="C30982" s="28" t="n"/>
      <s:c r="D30982" s="28" t="n"/>
      <s:c r="E30982" s="28" t="n"/>
    </s:row>
    <s:row r="30983" ht="34" customHeight="1">
      <s:c r="A30983" s="112" t="inlineStr">
        <s:is>
          <s:t>Dữ liệu test</s:t>
        </s:is>
      </s:c>
      <s:c r="B30983" s="113" t="inlineStr">
        <s:is>
          <s:t>• Quy tắc tỷ lệ 30%;
• Mục điểm đơn vị (đơn vị U1 có M riêng 40)</s:t>
        </s:is>
      </s:c>
      <s:c r="C30983" s="28" t="n"/>
      <s:c r="D30983" s="28" t="n"/>
      <s:c r="E30983" s="28" t="n"/>
    </s:row>
    <s:row r="30984" ht="20" customHeight="1">
      <s:c r="A30984" s="112" t="inlineStr">
        <s:is>
          <s:t>Bước 1</s:t>
        </s:is>
      </s:c>
      <s:c r="B30984" s="113" t="inlineStr">
        <s:is>
          <s:t>Chuẩn bị cùng dữ liệu và baseline build cũ của thao tác đang kiểm.</s:t>
        </s:is>
      </s:c>
      <s:c r="C30984" s="28" t="n"/>
      <s:c r="D30984" s="28" t="n"/>
      <s:c r="E30984" s="28" t="n"/>
    </s:row>
    <s:row r="30985" ht="20" customHeight="1">
      <s:c r="A30985" s="112" t="inlineStr">
        <s:is>
          <s:t>Bước 2</s:t>
        </s:is>
      </s:c>
      <s:c r="B30985" s="113" t="inlineStr">
        <s:is>
          <s:t>Lưu thay đổi điểm tối đa theo màn của trường hợp, mở lại khi có thể.</s:t>
        </s:is>
      </s:c>
      <s:c r="C30985" s="28" t="n"/>
      <s:c r="D30985" s="28" t="n"/>
      <s:c r="E30985" s="28" t="n"/>
    </s:row>
    <s:row r="30986" ht="20" customHeight="1">
      <s:c r="A30986" s="112" t="inlineStr">
        <s:is>
          <s:t>Bước 3</s:t>
        </s:is>
      </s:c>
      <s:c r="B30986" s="113" t="inlineStr">
        <s:is>
          <s:t>So giá trị, thông báo và danh sách job/lớp/kỳ với baseline.</s:t>
        </s:is>
      </s:c>
      <s:c r="C30986" s="28" t="n"/>
      <s:c r="D30986" s="28" t="n"/>
      <s:c r="E30986" s="28" t="n"/>
    </s:row>
    <s:row r="30987" ht="28" customHeight="1">
      <s:c r="A30987" s="115" t="inlineStr">
        <s:is>
          <s:t>Trường hợp</s:t>
        </s:is>
      </s:c>
      <s:c r="B30987" s="115" t="inlineStr">
        <s:is>
          <s:t>Dữ liệu / thao tác riêng</s:t>
        </s:is>
      </s:c>
      <s:c r="C30987" s="115" t="inlineStr">
        <s:is>
          <s:t>Kết quả mong đợi</s:t>
        </s:is>
      </s:c>
      <s:c r="D30987" s="115" t="inlineStr">
        <s:is>
          <s:t>Kết quả thực tế</s:t>
        </s:is>
      </s:c>
      <s:c r="E30987" s="115" t="inlineStr">
        <s:is>
          <s:t>Đánh giá</s:t>
        </s:is>
      </s:c>
    </s:row>
    <s:row r="30988" ht="3" customHeight="1">
      <s:c r="A30988" s="102" t="inlineStr"/>
      <s:c r="B30988" s="99" t="n"/>
      <s:c r="C30988" s="99" t="n"/>
      <s:c r="D30988" s="116" t="n"/>
      <s:c r="E30988" s="116" t="n"/>
    </s:row>
    <s:row r="30989" ht="62" customHeight="1">
      <s:c r="A30989" s="83" t="inlineStr">
        <s:is>
          <s:t>Định nghĩa điểm tối đa (definition)</s:t>
        </s:is>
      </s:c>
      <s:c r="B30989" s="83" t="inlineStr">
        <s:is>
          <s:r>
            <s:t xml:space="preserve">Đổi định nghĩa M ở Thiết </s:t>
          </s:r>
          <s:r>
            <s:rPr>
              <s:b val="1"/>
            </s:rPr>
            <s:t>lập điểm tối đa（満点設定）</s:t>
          </s:r>
          <s:r>
            <s:t>, lưu/mở lại; so giá trị/thông báo/job với baseline cùng dữ liệu.</s:t>
          </s:r>
        </s:is>
      </s:c>
      <s:c r="C30989" s="83" t="inlineStr">
        <s:is>
          <s:t>Giá trị lưu, thông báo và danh sách job (lớp/kỳ được xếp hàng) bằng baseline.</s:t>
        </s:is>
      </s:c>
      <s:c r="D30989" s="117" t="inlineStr"/>
      <s:c r="E30989" s="118" t="inlineStr">
        <s:is>
          <s:t>Chưa thực hiện</s:t>
        </s:is>
      </s:c>
    </s:row>
    <s:row r="30990" ht="3" customHeight="1">
      <s:c r="A30990" s="102" t="inlineStr"/>
      <s:c r="B30990" s="99" t="n"/>
      <s:c r="C30990" s="99" t="n"/>
      <s:c r="D30990" s="116" t="n"/>
      <s:c r="E30990" s="116" t="n"/>
    </s:row>
    <s:row r="30991" ht="48" customHeight="1">
      <s:c r="A30991" s="83" t="inlineStr">
        <s:is>
          <s:t>Giá trị tối đa (maximum)</s:t>
        </s:is>
      </s:c>
      <s:c r="B30991" s="83" t="inlineStr">
        <s:is>
          <s:r>
            <s:t xml:space="preserve">Đổi </s:t>
          </s:r>
          <s:r>
            <s:rPr>
              <s:b val="1"/>
            </s:rPr>
            <s:t>Giá trị tối đa（最大値）</s:t>
          </s:r>
          <s:r>
            <s:t>, lưu/mở lại; so giá trị/thông báo/job với baseline cùng dữ liệu.</s:t>
          </s:r>
        </s:is>
      </s:c>
      <s:c r="C30991" s="83" t="inlineStr">
        <s:is>
          <s:t>Giá trị lưu, thông báo và danh sách job (lớp/kỳ được xếp hàng) bằng baseline.</s:t>
        </s:is>
      </s:c>
      <s:c r="D30991" s="117" t="inlineStr"/>
      <s:c r="E30991" s="118" t="inlineStr">
        <s:is>
          <s:t>Chưa thực hiện</s:t>
        </s:is>
      </s:c>
    </s:row>
    <s:row r="30992" ht="3" customHeight="1">
      <s:c r="A30992" s="102" t="inlineStr"/>
      <s:c r="B30992" s="99" t="n"/>
      <s:c r="C30992" s="99" t="n"/>
      <s:c r="D30992" s="116" t="n"/>
      <s:c r="E30992" s="116" t="n"/>
    </s:row>
    <s:row r="30993" ht="62" customHeight="1">
      <s:c r="A30993" s="83" t="inlineStr">
        <s:is>
          <s:t>Điểm tối đa hàng loạt (batch)</s:t>
        </s:is>
      </s:c>
      <s:c r="B30993" s="83" t="inlineStr">
        <s:is>
          <s:r>
            <s:t xml:space="preserve">Lưu lựa chọn </s:t>
          </s:r>
          <s:r>
            <s:rPr>
              <s:b val="1"/>
            </s:rPr>
            <s:t>M=50</s:t>
          </s:r>
          <s:r>
            <s:t xml:space="preserve"> cho G-B ở Thiết lập điểm </s:t>
          </s:r>
          <s:r>
            <s:rPr>
              <s:b val="1"/>
            </s:rPr>
            <s:t>tối đa hàng loạt（満点一括設定）</s:t>
          </s:r>
          <s:r>
            <s:t>; xem job và so baseline.</s:t>
          </s:r>
        </s:is>
      </s:c>
      <s:c r="C30993" s="83" t="inlineStr">
        <s:is>
          <s:t>Giá trị lưu, thông báo và danh sách job (lớp/kỳ được xếp hàng) bằng baseline.</s:t>
        </s:is>
      </s:c>
      <s:c r="D30993" s="117" t="inlineStr"/>
      <s:c r="E30993" s="118" t="inlineStr">
        <s:is>
          <s:t>Chưa thực hiện</s:t>
        </s:is>
      </s:c>
    </s:row>
    <s:row r="30994" ht="20" customHeight="1">
      <s:c r="A30994" s="119" t="inlineStr">
        <s:is>
          <s:t>Ảnh minh chứng — Chưa có ảnh</s:t>
        </s:is>
      </s:c>
      <s:c r="B30994" s="19" t="n"/>
      <s:c r="C30994" s="19" t="n"/>
      <s:c r="D30994" s="19" t="n"/>
      <s:c r="E30994" s="19" t="n"/>
    </s:row>
    <s:row r="30995" hidden="1" ht="1" customHeight="1">
      <s:c r="A30995" s="120" t="inlineStr"/>
      <s:c r="B30995" s="121" t="n"/>
      <s:c r="C30995" s="121" t="n"/>
      <s:c r="D30995" s="121" t="n"/>
      <s:c r="E30995" s="122" t="n"/>
    </s:row>
    <s:row r="30996" hidden="1" ht="1" customHeight="1">
      <s:c r="A30996" s="120" t="inlineStr"/>
      <s:c r="B30996" s="121" t="n"/>
      <s:c r="C30996" s="121" t="n"/>
      <s:c r="D30996" s="121" t="n"/>
      <s:c r="E30996" s="122" t="n"/>
    </s:row>
    <s:row r="30997" hidden="1" ht="1" customHeight="1">
      <s:c r="A30997" s="120" t="inlineStr"/>
      <s:c r="B30997" s="121" t="n"/>
      <s:c r="C30997" s="121" t="n"/>
      <s:c r="D30997" s="121" t="n"/>
      <s:c r="E30997" s="122" t="n"/>
    </s:row>
    <s:row r="30998" hidden="1" ht="1" customHeight="1">
      <s:c r="A30998" s="120" t="inlineStr"/>
      <s:c r="B30998" s="121" t="n"/>
      <s:c r="C30998" s="121" t="n"/>
      <s:c r="D30998" s="121" t="n"/>
      <s:c r="E30998" s="122" t="n"/>
    </s:row>
    <s:row r="30999" hidden="1" ht="1" customHeight="1">
      <s:c r="A30999" s="120" t="inlineStr"/>
      <s:c r="B30999" s="121" t="n"/>
      <s:c r="C30999" s="121" t="n"/>
      <s:c r="D30999" s="121" t="n"/>
      <s:c r="E30999" s="122" t="n"/>
    </s:row>
    <s:row r="31000" hidden="1" ht="1" customHeight="1">
      <s:c r="A31000" s="120" t="inlineStr"/>
      <s:c r="B31000" s="121" t="n"/>
      <s:c r="C31000" s="121" t="n"/>
      <s:c r="D31000" s="121" t="n"/>
      <s:c r="E31000" s="122" t="n"/>
    </s:row>
    <s:row r="31001" hidden="1" ht="1" customHeight="1">
      <s:c r="A31001" s="120" t="inlineStr"/>
      <s:c r="B31001" s="121" t="n"/>
      <s:c r="C31001" s="121" t="n"/>
      <s:c r="D31001" s="121" t="n"/>
      <s:c r="E31001" s="122" t="n"/>
    </s:row>
    <s:row r="31002" hidden="1" ht="1" customHeight="1">
      <s:c r="A31002" s="120" t="inlineStr"/>
      <s:c r="B31002" s="121" t="n"/>
      <s:c r="C31002" s="121" t="n"/>
      <s:c r="D31002" s="121" t="n"/>
      <s:c r="E31002" s="122" t="n"/>
    </s:row>
    <s:row r="31003" hidden="1" ht="1" customHeight="1">
      <s:c r="A31003" s="120" t="inlineStr"/>
      <s:c r="B31003" s="121" t="n"/>
      <s:c r="C31003" s="121" t="n"/>
      <s:c r="D31003" s="121" t="n"/>
      <s:c r="E31003" s="122" t="n"/>
    </s:row>
    <s:row r="31004" hidden="1" ht="1" customHeight="1">
      <s:c r="A31004" s="120" t="inlineStr"/>
      <s:c r="B31004" s="121" t="n"/>
      <s:c r="C31004" s="121" t="n"/>
      <s:c r="D31004" s="121" t="n"/>
      <s:c r="E31004" s="122" t="n"/>
    </s:row>
    <s:row r="31005" hidden="1" ht="1" customHeight="1">
      <s:c r="A31005" s="120" t="inlineStr"/>
      <s:c r="B31005" s="121" t="n"/>
      <s:c r="C31005" s="121" t="n"/>
      <s:c r="D31005" s="121" t="n"/>
      <s:c r="E31005" s="122" t="n"/>
    </s:row>
    <s:row r="31006" hidden="1" ht="1" customHeight="1">
      <s:c r="A31006" s="120" t="inlineStr"/>
      <s:c r="B31006" s="121" t="n"/>
      <s:c r="C31006" s="121" t="n"/>
      <s:c r="D31006" s="121" t="n"/>
      <s:c r="E31006" s="122" t="n"/>
    </s:row>
    <s:row r="31007" hidden="1" ht="1" customHeight="1">
      <s:c r="A31007" s="120" t="inlineStr"/>
      <s:c r="B31007" s="121" t="n"/>
      <s:c r="C31007" s="121" t="n"/>
      <s:c r="D31007" s="121" t="n"/>
      <s:c r="E31007" s="122" t="n"/>
    </s:row>
    <s:row r="31008" hidden="1" ht="1" customHeight="1">
      <s:c r="A31008" s="120" t="inlineStr"/>
      <s:c r="B31008" s="121" t="n"/>
      <s:c r="C31008" s="121" t="n"/>
      <s:c r="D31008" s="121" t="n"/>
      <s:c r="E31008" s="122" t="n"/>
    </s:row>
    <s:row r="31009" hidden="1" ht="1" customHeight="1">
      <s:c r="A31009" s="120" t="inlineStr"/>
      <s:c r="B31009" s="121" t="n"/>
      <s:c r="C31009" s="121" t="n"/>
      <s:c r="D31009" s="121" t="n"/>
      <s:c r="E31009" s="122" t="n"/>
    </s:row>
    <s:row r="31010" hidden="1" ht="1" customHeight="1">
      <s:c r="A31010" s="120" t="inlineStr"/>
      <s:c r="B31010" s="121" t="n"/>
      <s:c r="C31010" s="121" t="n"/>
      <s:c r="D31010" s="121" t="n"/>
      <s:c r="E31010" s="122" t="n"/>
    </s:row>
    <s:row r="31011" hidden="1" ht="1" customHeight="1">
      <s:c r="A31011" s="120" t="inlineStr"/>
      <s:c r="B31011" s="121" t="n"/>
      <s:c r="C31011" s="121" t="n"/>
      <s:c r="D31011" s="121" t="n"/>
      <s:c r="E31011" s="122" t="n"/>
    </s:row>
    <s:row r="31012" hidden="1" ht="1" customHeight="1">
      <s:c r="A31012" s="120" t="inlineStr"/>
      <s:c r="B31012" s="121" t="n"/>
      <s:c r="C31012" s="121" t="n"/>
      <s:c r="D31012" s="121" t="n"/>
      <s:c r="E31012" s="122" t="n"/>
    </s:row>
    <s:row r="31013" hidden="1" ht="1" customHeight="1">
      <s:c r="A31013" s="120" t="inlineStr"/>
      <s:c r="B31013" s="121" t="n"/>
      <s:c r="C31013" s="121" t="n"/>
      <s:c r="D31013" s="121" t="n"/>
      <s:c r="E31013" s="122" t="n"/>
    </s:row>
    <s:row r="31014" hidden="1" ht="1" customHeight="1">
      <s:c r="A31014" s="120" t="inlineStr"/>
      <s:c r="B31014" s="121" t="n"/>
      <s:c r="C31014" s="121" t="n"/>
      <s:c r="D31014" s="121" t="n"/>
      <s:c r="E31014" s="122" t="n"/>
    </s:row>
    <s:row r="31015" hidden="1" ht="1" customHeight="1">
      <s:c r="A31015" s="120" t="inlineStr"/>
      <s:c r="B31015" s="121" t="n"/>
      <s:c r="C31015" s="121" t="n"/>
      <s:c r="D31015" s="121" t="n"/>
      <s:c r="E31015" s="122" t="n"/>
    </s:row>
    <s:row r="31016" hidden="1" ht="1" customHeight="1">
      <s:c r="A31016" s="120" t="inlineStr"/>
      <s:c r="B31016" s="121" t="n"/>
      <s:c r="C31016" s="121" t="n"/>
      <s:c r="D31016" s="121" t="n"/>
      <s:c r="E31016" s="122" t="n"/>
    </s:row>
    <s:row r="31017" hidden="1" ht="1" customHeight="1">
      <s:c r="A31017" s="120" t="inlineStr"/>
      <s:c r="B31017" s="121" t="n"/>
      <s:c r="C31017" s="121" t="n"/>
      <s:c r="D31017" s="121" t="n"/>
      <s:c r="E31017" s="122" t="n"/>
    </s:row>
    <s:row r="31018" hidden="1" ht="1" customHeight="1">
      <s:c r="A31018" s="120" t="inlineStr"/>
      <s:c r="B31018" s="121" t="n"/>
      <s:c r="C31018" s="121" t="n"/>
      <s:c r="D31018" s="121" t="n"/>
      <s:c r="E31018" s="122" t="n"/>
    </s:row>
    <s:row r="31019" hidden="1" ht="1" customHeight="1">
      <s:c r="A31019" s="120" t="inlineStr"/>
      <s:c r="B31019" s="121" t="n"/>
      <s:c r="C31019" s="121" t="n"/>
      <s:c r="D31019" s="121" t="n"/>
      <s:c r="E31019" s="122" t="n"/>
    </s:row>
    <s:row r="31020" hidden="1" ht="1" customHeight="1">
      <s:c r="A31020" s="120" t="inlineStr"/>
      <s:c r="B31020" s="121" t="n"/>
      <s:c r="C31020" s="121" t="n"/>
      <s:c r="D31020" s="121" t="n"/>
      <s:c r="E31020" s="122" t="n"/>
    </s:row>
    <s:row r="31021" hidden="1" ht="1" customHeight="1">
      <s:c r="A31021" s="120" t="inlineStr"/>
      <s:c r="B31021" s="121" t="n"/>
      <s:c r="C31021" s="121" t="n"/>
      <s:c r="D31021" s="121" t="n"/>
      <s:c r="E31021" s="122" t="n"/>
    </s:row>
    <s:row r="31022" hidden="1" ht="1" customHeight="1">
      <s:c r="A31022" s="120" t="inlineStr"/>
      <s:c r="B31022" s="121" t="n"/>
      <s:c r="C31022" s="121" t="n"/>
      <s:c r="D31022" s="121" t="n"/>
      <s:c r="E31022" s="122" t="n"/>
    </s:row>
    <s:row r="31023" hidden="1" ht="1" customHeight="1">
      <s:c r="A31023" s="120" t="inlineStr"/>
      <s:c r="B31023" s="121" t="n"/>
      <s:c r="C31023" s="121" t="n"/>
      <s:c r="D31023" s="121" t="n"/>
      <s:c r="E31023" s="122" t="n"/>
    </s:row>
    <s:row r="31024" hidden="1" ht="1" customHeight="1">
      <s:c r="A31024" s="120" t="inlineStr"/>
      <s:c r="B31024" s="121" t="n"/>
      <s:c r="C31024" s="121" t="n"/>
      <s:c r="D31024" s="121" t="n"/>
      <s:c r="E31024" s="122" t="n"/>
    </s:row>
    <s:row r="31025" hidden="1" ht="1" customHeight="1">
      <s:c r="A31025" s="120" t="inlineStr"/>
      <s:c r="B31025" s="121" t="n"/>
      <s:c r="C31025" s="121" t="n"/>
      <s:c r="D31025" s="121" t="n"/>
      <s:c r="E31025" s="122" t="n"/>
    </s:row>
    <s:row r="31026" hidden="1" ht="1" customHeight="1">
      <s:c r="A31026" s="120" t="inlineStr"/>
      <s:c r="B31026" s="121" t="n"/>
      <s:c r="C31026" s="121" t="n"/>
      <s:c r="D31026" s="121" t="n"/>
      <s:c r="E31026" s="122" t="n"/>
    </s:row>
    <s:row r="31027" hidden="1" ht="1" customHeight="1">
      <s:c r="A31027" s="120" t="inlineStr"/>
      <s:c r="B31027" s="121" t="n"/>
      <s:c r="C31027" s="121" t="n"/>
      <s:c r="D31027" s="121" t="n"/>
      <s:c r="E31027" s="122" t="n"/>
    </s:row>
    <s:row r="31028" hidden="1" ht="1" customHeight="1">
      <s:c r="A31028" s="120" t="inlineStr"/>
      <s:c r="B31028" s="121" t="n"/>
      <s:c r="C31028" s="121" t="n"/>
      <s:c r="D31028" s="121" t="n"/>
      <s:c r="E31028" s="122" t="n"/>
    </s:row>
    <s:row r="31029" hidden="1" ht="1" customHeight="1">
      <s:c r="A31029" s="120" t="inlineStr"/>
      <s:c r="B31029" s="121" t="n"/>
      <s:c r="C31029" s="121" t="n"/>
      <s:c r="D31029" s="121" t="n"/>
      <s:c r="E31029" s="122" t="n"/>
    </s:row>
    <s:row r="31030" hidden="1" ht="1" customHeight="1">
      <s:c r="A31030" s="120" t="inlineStr"/>
      <s:c r="B31030" s="121" t="n"/>
      <s:c r="C31030" s="121" t="n"/>
      <s:c r="D31030" s="121" t="n"/>
      <s:c r="E31030" s="122" t="n"/>
    </s:row>
    <s:row r="31031" hidden="1" ht="1" customHeight="1">
      <s:c r="A31031" s="120" t="inlineStr"/>
      <s:c r="B31031" s="121" t="n"/>
      <s:c r="C31031" s="121" t="n"/>
      <s:c r="D31031" s="121" t="n"/>
      <s:c r="E31031" s="122" t="n"/>
    </s:row>
    <s:row r="31032" hidden="1" ht="1" customHeight="1">
      <s:c r="A31032" s="120" t="inlineStr"/>
      <s:c r="B31032" s="121" t="n"/>
      <s:c r="C31032" s="121" t="n"/>
      <s:c r="D31032" s="121" t="n"/>
      <s:c r="E31032" s="122" t="n"/>
    </s:row>
    <s:row r="31033" hidden="1" ht="1" customHeight="1">
      <s:c r="A31033" s="120" t="inlineStr"/>
      <s:c r="B31033" s="121" t="n"/>
      <s:c r="C31033" s="121" t="n"/>
      <s:c r="D31033" s="121" t="n"/>
      <s:c r="E31033" s="122" t="n"/>
    </s:row>
    <s:row r="31034" hidden="1" ht="1" customHeight="1">
      <s:c r="A31034" s="120" t="inlineStr"/>
      <s:c r="B31034" s="121" t="n"/>
      <s:c r="C31034" s="121" t="n"/>
      <s:c r="D31034" s="121" t="n"/>
      <s:c r="E31034" s="122" t="n"/>
    </s:row>
    <s:row r="31035" hidden="1" ht="1" customHeight="1">
      <s:c r="A31035" s="120" t="inlineStr"/>
      <s:c r="B31035" s="121" t="n"/>
      <s:c r="C31035" s="121" t="n"/>
      <s:c r="D31035" s="121" t="n"/>
      <s:c r="E31035" s="122" t="n"/>
    </s:row>
    <s:row r="31036" hidden="1" ht="1" customHeight="1">
      <s:c r="A31036" s="120" t="inlineStr"/>
      <s:c r="B31036" s="121" t="n"/>
      <s:c r="C31036" s="121" t="n"/>
      <s:c r="D31036" s="121" t="n"/>
      <s:c r="E31036" s="122" t="n"/>
    </s:row>
    <s:row r="31037" hidden="1" ht="1" customHeight="1">
      <s:c r="A31037" s="120" t="inlineStr"/>
      <s:c r="B31037" s="121" t="n"/>
      <s:c r="C31037" s="121" t="n"/>
      <s:c r="D31037" s="121" t="n"/>
      <s:c r="E31037" s="122" t="n"/>
    </s:row>
    <s:row r="31038" hidden="1" ht="1" customHeight="1">
      <s:c r="A31038" s="120" t="inlineStr"/>
      <s:c r="B31038" s="121" t="n"/>
      <s:c r="C31038" s="121" t="n"/>
      <s:c r="D31038" s="121" t="n"/>
      <s:c r="E31038" s="122" t="n"/>
    </s:row>
    <s:row r="31039" hidden="1" ht="1" customHeight="1">
      <s:c r="A31039" s="120" t="inlineStr"/>
      <s:c r="B31039" s="121" t="n"/>
      <s:c r="C31039" s="121" t="n"/>
      <s:c r="D31039" s="121" t="n"/>
      <s:c r="E31039" s="122" t="n"/>
    </s:row>
    <s:row r="31040" hidden="1" ht="1" customHeight="1">
      <s:c r="A31040" s="120" t="inlineStr"/>
      <s:c r="B31040" s="121" t="n"/>
      <s:c r="C31040" s="121" t="n"/>
      <s:c r="D31040" s="121" t="n"/>
      <s:c r="E31040" s="122" t="n"/>
    </s:row>
    <s:row r="31041" hidden="1" ht="1" customHeight="1">
      <s:c r="A31041" s="120" t="inlineStr"/>
      <s:c r="B31041" s="121" t="n"/>
      <s:c r="C31041" s="121" t="n"/>
      <s:c r="D31041" s="121" t="n"/>
      <s:c r="E31041" s="122" t="n"/>
    </s:row>
    <s:row r="31042" hidden="1" ht="1" customHeight="1">
      <s:c r="A31042" s="120" t="inlineStr"/>
      <s:c r="B31042" s="121" t="n"/>
      <s:c r="C31042" s="121" t="n"/>
      <s:c r="D31042" s="121" t="n"/>
      <s:c r="E31042" s="122" t="n"/>
    </s:row>
    <s:row r="31043" hidden="1" ht="1" customHeight="1">
      <s:c r="A31043" s="120" t="inlineStr"/>
      <s:c r="B31043" s="121" t="n"/>
      <s:c r="C31043" s="121" t="n"/>
      <s:c r="D31043" s="121" t="n"/>
      <s:c r="E31043" s="122" t="n"/>
    </s:row>
    <s:row r="31044" hidden="1" ht="1" customHeight="1">
      <s:c r="A31044" s="120" t="inlineStr"/>
      <s:c r="B31044" s="121" t="n"/>
      <s:c r="C31044" s="121" t="n"/>
      <s:c r="D31044" s="121" t="n"/>
      <s:c r="E31044" s="122" t="n"/>
    </s:row>
    <s:row r="31045" hidden="1" ht="1" customHeight="1">
      <s:c r="A31045" s="120" t="inlineStr"/>
      <s:c r="B31045" s="121" t="n"/>
      <s:c r="C31045" s="121" t="n"/>
      <s:c r="D31045" s="121" t="n"/>
      <s:c r="E31045" s="122" t="n"/>
    </s:row>
    <s:row r="31046" hidden="1" ht="1" customHeight="1">
      <s:c r="A31046" s="120" t="inlineStr"/>
      <s:c r="B31046" s="121" t="n"/>
      <s:c r="C31046" s="121" t="n"/>
      <s:c r="D31046" s="121" t="n"/>
      <s:c r="E31046" s="122" t="n"/>
    </s:row>
    <s:row r="31047" hidden="1" ht="1" customHeight="1">
      <s:c r="A31047" s="120" t="inlineStr"/>
      <s:c r="B31047" s="121" t="n"/>
      <s:c r="C31047" s="121" t="n"/>
      <s:c r="D31047" s="121" t="n"/>
      <s:c r="E31047" s="122" t="n"/>
    </s:row>
    <s:row r="31048" hidden="1" ht="1" customHeight="1">
      <s:c r="A31048" s="120" t="inlineStr"/>
      <s:c r="B31048" s="121" t="n"/>
      <s:c r="C31048" s="121" t="n"/>
      <s:c r="D31048" s="121" t="n"/>
      <s:c r="E31048" s="122" t="n"/>
    </s:row>
    <s:row r="31049" hidden="1" ht="1" customHeight="1">
      <s:c r="A31049" s="120" t="inlineStr"/>
      <s:c r="B31049" s="121" t="n"/>
      <s:c r="C31049" s="121" t="n"/>
      <s:c r="D31049" s="121" t="n"/>
      <s:c r="E31049" s="122" t="n"/>
    </s:row>
    <s:row r="31050" hidden="1" ht="1" customHeight="1">
      <s:c r="A31050" s="120" t="inlineStr"/>
      <s:c r="B31050" s="121" t="n"/>
      <s:c r="C31050" s="121" t="n"/>
      <s:c r="D31050" s="121" t="n"/>
      <s:c r="E31050" s="122" t="n"/>
    </s:row>
    <s:row r="31051" hidden="1" ht="1" customHeight="1">
      <s:c r="A31051" s="120" t="inlineStr"/>
      <s:c r="B31051" s="121" t="n"/>
      <s:c r="C31051" s="121" t="n"/>
      <s:c r="D31051" s="121" t="n"/>
      <s:c r="E31051" s="122" t="n"/>
    </s:row>
    <s:row r="31052" hidden="1" ht="1" customHeight="1">
      <s:c r="A31052" s="120" t="inlineStr"/>
      <s:c r="B31052" s="121" t="n"/>
      <s:c r="C31052" s="121" t="n"/>
      <s:c r="D31052" s="121" t="n"/>
      <s:c r="E31052" s="122" t="n"/>
    </s:row>
    <s:row r="31053" hidden="1" ht="1" customHeight="1">
      <s:c r="A31053" s="120" t="inlineStr"/>
      <s:c r="B31053" s="121" t="n"/>
      <s:c r="C31053" s="121" t="n"/>
      <s:c r="D31053" s="121" t="n"/>
      <s:c r="E31053" s="122" t="n"/>
    </s:row>
    <s:row r="31054" hidden="1" ht="1" customHeight="1">
      <s:c r="A31054" s="120" t="inlineStr"/>
      <s:c r="B31054" s="121" t="n"/>
      <s:c r="C31054" s="121" t="n"/>
      <s:c r="D31054" s="121" t="n"/>
      <s:c r="E31054" s="122" t="n"/>
    </s:row>
    <s:row r="31055" hidden="1" ht="1" customHeight="1">
      <s:c r="A31055" s="120" t="inlineStr"/>
      <s:c r="B31055" s="121" t="n"/>
      <s:c r="C31055" s="121" t="n"/>
      <s:c r="D31055" s="121" t="n"/>
      <s:c r="E31055" s="122" t="n"/>
    </s:row>
    <s:row r="31056" hidden="1" ht="1" customHeight="1">
      <s:c r="A31056" s="120" t="inlineStr"/>
      <s:c r="B31056" s="121" t="n"/>
      <s:c r="C31056" s="121" t="n"/>
      <s:c r="D31056" s="121" t="n"/>
      <s:c r="E31056" s="122" t="n"/>
    </s:row>
    <s:row r="31057" hidden="1" ht="1" customHeight="1">
      <s:c r="A31057" s="120" t="inlineStr"/>
      <s:c r="B31057" s="121" t="n"/>
      <s:c r="C31057" s="121" t="n"/>
      <s:c r="D31057" s="121" t="n"/>
      <s:c r="E31057" s="122" t="n"/>
    </s:row>
    <s:row r="31058" hidden="1" ht="1" customHeight="1">
      <s:c r="A31058" s="120" t="inlineStr"/>
      <s:c r="B31058" s="121" t="n"/>
      <s:c r="C31058" s="121" t="n"/>
      <s:c r="D31058" s="121" t="n"/>
      <s:c r="E31058" s="122" t="n"/>
    </s:row>
    <s:row r="31059" hidden="1" ht="1" customHeight="1">
      <s:c r="A31059" s="120" t="inlineStr"/>
      <s:c r="B31059" s="121" t="n"/>
      <s:c r="C31059" s="121" t="n"/>
      <s:c r="D31059" s="121" t="n"/>
      <s:c r="E31059" s="122" t="n"/>
    </s:row>
    <s:row r="31060" hidden="1" ht="1" customHeight="1">
      <s:c r="A31060" s="120" t="inlineStr"/>
      <s:c r="B31060" s="121" t="n"/>
      <s:c r="C31060" s="121" t="n"/>
      <s:c r="D31060" s="121" t="n"/>
      <s:c r="E31060" s="122" t="n"/>
    </s:row>
    <s:row r="31061" hidden="1" ht="1" customHeight="1">
      <s:c r="A31061" s="120" t="inlineStr"/>
      <s:c r="B31061" s="121" t="n"/>
      <s:c r="C31061" s="121" t="n"/>
      <s:c r="D31061" s="121" t="n"/>
      <s:c r="E31061" s="122" t="n"/>
    </s:row>
    <s:row r="31062" hidden="1" ht="1" customHeight="1">
      <s:c r="A31062" s="120" t="inlineStr"/>
      <s:c r="B31062" s="121" t="n"/>
      <s:c r="C31062" s="121" t="n"/>
      <s:c r="D31062" s="121" t="n"/>
      <s:c r="E31062" s="122" t="n"/>
    </s:row>
    <s:row r="31063" hidden="1" ht="1" customHeight="1">
      <s:c r="A31063" s="120" t="inlineStr"/>
      <s:c r="B31063" s="121" t="n"/>
      <s:c r="C31063" s="121" t="n"/>
      <s:c r="D31063" s="121" t="n"/>
      <s:c r="E31063" s="122" t="n"/>
    </s:row>
    <s:row r="31064" hidden="1" ht="1" customHeight="1">
      <s:c r="A31064" s="120" t="inlineStr"/>
      <s:c r="B31064" s="121" t="n"/>
      <s:c r="C31064" s="121" t="n"/>
      <s:c r="D31064" s="121" t="n"/>
      <s:c r="E31064" s="122" t="n"/>
    </s:row>
    <s:row r="31065" hidden="1" ht="1" customHeight="1">
      <s:c r="A31065" s="120" t="inlineStr"/>
      <s:c r="B31065" s="121" t="n"/>
      <s:c r="C31065" s="121" t="n"/>
      <s:c r="D31065" s="121" t="n"/>
      <s:c r="E31065" s="122" t="n"/>
    </s:row>
    <s:row r="31066" hidden="1" ht="1" customHeight="1">
      <s:c r="A31066" s="120" t="inlineStr"/>
      <s:c r="B31066" s="121" t="n"/>
      <s:c r="C31066" s="121" t="n"/>
      <s:c r="D31066" s="121" t="n"/>
      <s:c r="E31066" s="122" t="n"/>
    </s:row>
    <s:row r="31067" hidden="1" ht="1" customHeight="1">
      <s:c r="A31067" s="120" t="inlineStr"/>
      <s:c r="B31067" s="121" t="n"/>
      <s:c r="C31067" s="121" t="n"/>
      <s:c r="D31067" s="121" t="n"/>
      <s:c r="E31067" s="122" t="n"/>
    </s:row>
    <s:row r="31068" hidden="1" ht="1" customHeight="1">
      <s:c r="A31068" s="120" t="inlineStr"/>
      <s:c r="B31068" s="121" t="n"/>
      <s:c r="C31068" s="121" t="n"/>
      <s:c r="D31068" s="121" t="n"/>
      <s:c r="E31068" s="122" t="n"/>
    </s:row>
    <s:row r="31069" hidden="1" ht="1" customHeight="1">
      <s:c r="A31069" s="120" t="inlineStr"/>
      <s:c r="B31069" s="121" t="n"/>
      <s:c r="C31069" s="121" t="n"/>
      <s:c r="D31069" s="121" t="n"/>
      <s:c r="E31069" s="122" t="n"/>
    </s:row>
    <s:row r="31070" hidden="1" ht="1" customHeight="1">
      <s:c r="A31070" s="120" t="inlineStr"/>
      <s:c r="B31070" s="121" t="n"/>
      <s:c r="C31070" s="121" t="n"/>
      <s:c r="D31070" s="121" t="n"/>
      <s:c r="E31070" s="122" t="n"/>
    </s:row>
    <s:row r="31071" hidden="1" ht="1" customHeight="1">
      <s:c r="A31071" s="120" t="inlineStr"/>
      <s:c r="B31071" s="121" t="n"/>
      <s:c r="C31071" s="121" t="n"/>
      <s:c r="D31071" s="121" t="n"/>
      <s:c r="E31071" s="122" t="n"/>
    </s:row>
    <s:row r="31072" hidden="1" ht="1" customHeight="1">
      <s:c r="A31072" s="120" t="inlineStr"/>
      <s:c r="B31072" s="121" t="n"/>
      <s:c r="C31072" s="121" t="n"/>
      <s:c r="D31072" s="121" t="n"/>
      <s:c r="E31072" s="122" t="n"/>
    </s:row>
    <s:row r="31073" hidden="1" ht="1" customHeight="1">
      <s:c r="A31073" s="120" t="inlineStr"/>
      <s:c r="B31073" s="121" t="n"/>
      <s:c r="C31073" s="121" t="n"/>
      <s:c r="D31073" s="121" t="n"/>
      <s:c r="E31073" s="122" t="n"/>
    </s:row>
    <s:row r="31074" hidden="1" ht="1" customHeight="1">
      <s:c r="A31074" s="120" t="inlineStr"/>
      <s:c r="B31074" s="121" t="n"/>
      <s:c r="C31074" s="121" t="n"/>
      <s:c r="D31074" s="121" t="n"/>
      <s:c r="E31074" s="122" t="n"/>
    </s:row>
    <s:row r="31075" hidden="1" ht="1" customHeight="1">
      <s:c r="A31075" s="120" t="inlineStr"/>
      <s:c r="B31075" s="121" t="n"/>
      <s:c r="C31075" s="121" t="n"/>
      <s:c r="D31075" s="121" t="n"/>
      <s:c r="E31075" s="122" t="n"/>
    </s:row>
    <s:row r="31076" hidden="1" ht="1" customHeight="1">
      <s:c r="A31076" s="120" t="inlineStr"/>
      <s:c r="B31076" s="121" t="n"/>
      <s:c r="C31076" s="121" t="n"/>
      <s:c r="D31076" s="121" t="n"/>
      <s:c r="E31076" s="122" t="n"/>
    </s:row>
    <s:row r="31077" hidden="1" ht="1" customHeight="1">
      <s:c r="A31077" s="120" t="inlineStr"/>
      <s:c r="B31077" s="121" t="n"/>
      <s:c r="C31077" s="121" t="n"/>
      <s:c r="D31077" s="121" t="n"/>
      <s:c r="E31077" s="122" t="n"/>
    </s:row>
    <s:row r="31078" hidden="1" ht="1" customHeight="1">
      <s:c r="A31078" s="120" t="inlineStr"/>
      <s:c r="B31078" s="121" t="n"/>
      <s:c r="C31078" s="121" t="n"/>
      <s:c r="D31078" s="121" t="n"/>
      <s:c r="E31078" s="122" t="n"/>
    </s:row>
    <s:row r="31079" hidden="1" ht="1" customHeight="1">
      <s:c r="A31079" s="120" t="inlineStr"/>
      <s:c r="B31079" s="121" t="n"/>
      <s:c r="C31079" s="121" t="n"/>
      <s:c r="D31079" s="121" t="n"/>
      <s:c r="E31079" s="122" t="n"/>
    </s:row>
    <s:row r="31080" hidden="1" ht="1" customHeight="1">
      <s:c r="A31080" s="120" t="inlineStr"/>
      <s:c r="B31080" s="121" t="n"/>
      <s:c r="C31080" s="121" t="n"/>
      <s:c r="D31080" s="121" t="n"/>
      <s:c r="E31080" s="122" t="n"/>
    </s:row>
    <s:row r="31081" hidden="1" ht="1" customHeight="1">
      <s:c r="A31081" s="120" t="inlineStr"/>
      <s:c r="B31081" s="121" t="n"/>
      <s:c r="C31081" s="121" t="n"/>
      <s:c r="D31081" s="121" t="n"/>
      <s:c r="E31081" s="122" t="n"/>
    </s:row>
    <s:row r="31082" hidden="1" ht="1" customHeight="1">
      <s:c r="A31082" s="120" t="inlineStr"/>
      <s:c r="B31082" s="121" t="n"/>
      <s:c r="C31082" s="121" t="n"/>
      <s:c r="D31082" s="121" t="n"/>
      <s:c r="E31082" s="122" t="n"/>
    </s:row>
    <s:row r="31083" hidden="1" ht="1" customHeight="1">
      <s:c r="A31083" s="120" t="inlineStr"/>
      <s:c r="B31083" s="121" t="n"/>
      <s:c r="C31083" s="121" t="n"/>
      <s:c r="D31083" s="121" t="n"/>
      <s:c r="E31083" s="122" t="n"/>
    </s:row>
    <s:row r="31084" hidden="1" ht="1" customHeight="1">
      <s:c r="A31084" s="120" t="inlineStr"/>
      <s:c r="B31084" s="121" t="n"/>
      <s:c r="C31084" s="121" t="n"/>
      <s:c r="D31084" s="121" t="n"/>
      <s:c r="E31084" s="122" t="n"/>
    </s:row>
    <s:row r="31085" hidden="1" ht="1" customHeight="1">
      <s:c r="A31085" s="120" t="inlineStr"/>
      <s:c r="B31085" s="121" t="n"/>
      <s:c r="C31085" s="121" t="n"/>
      <s:c r="D31085" s="121" t="n"/>
      <s:c r="E31085" s="122" t="n"/>
    </s:row>
    <s:row r="31086" hidden="1" ht="1" customHeight="1">
      <s:c r="A31086" s="120" t="inlineStr"/>
      <s:c r="B31086" s="121" t="n"/>
      <s:c r="C31086" s="121" t="n"/>
      <s:c r="D31086" s="121" t="n"/>
      <s:c r="E31086" s="122" t="n"/>
    </s:row>
    <s:row r="31087" hidden="1" ht="1" customHeight="1">
      <s:c r="A31087" s="120" t="inlineStr"/>
      <s:c r="B31087" s="121" t="n"/>
      <s:c r="C31087" s="121" t="n"/>
      <s:c r="D31087" s="121" t="n"/>
      <s:c r="E31087" s="122" t="n"/>
    </s:row>
    <s:row r="31088" hidden="1" ht="1" customHeight="1">
      <s:c r="A31088" s="120" t="inlineStr"/>
      <s:c r="B31088" s="121" t="n"/>
      <s:c r="C31088" s="121" t="n"/>
      <s:c r="D31088" s="121" t="n"/>
      <s:c r="E31088" s="122" t="n"/>
    </s:row>
    <s:row r="31089" hidden="1" ht="1" customHeight="1">
      <s:c r="A31089" s="120" t="inlineStr"/>
      <s:c r="B31089" s="121" t="n"/>
      <s:c r="C31089" s="121" t="n"/>
      <s:c r="D31089" s="121" t="n"/>
      <s:c r="E31089" s="122" t="n"/>
    </s:row>
    <s:row r="31090" hidden="1" ht="1" customHeight="1">
      <s:c r="A31090" s="120" t="inlineStr"/>
      <s:c r="B31090" s="121" t="n"/>
      <s:c r="C31090" s="121" t="n"/>
      <s:c r="D31090" s="121" t="n"/>
      <s:c r="E31090" s="122" t="n"/>
    </s:row>
    <s:row r="31091" hidden="1" ht="1" customHeight="1">
      <s:c r="A31091" s="120" t="inlineStr"/>
      <s:c r="B31091" s="121" t="n"/>
      <s:c r="C31091" s="121" t="n"/>
      <s:c r="D31091" s="121" t="n"/>
      <s:c r="E31091" s="122" t="n"/>
    </s:row>
    <s:row r="31092" hidden="1" ht="1" customHeight="1">
      <s:c r="A31092" s="120" t="inlineStr"/>
      <s:c r="B31092" s="121" t="n"/>
      <s:c r="C31092" s="121" t="n"/>
      <s:c r="D31092" s="121" t="n"/>
      <s:c r="E31092" s="122" t="n"/>
    </s:row>
    <s:row r="31093" hidden="1" ht="1" customHeight="1">
      <s:c r="A31093" s="120" t="inlineStr"/>
      <s:c r="B31093" s="121" t="n"/>
      <s:c r="C31093" s="121" t="n"/>
      <s:c r="D31093" s="121" t="n"/>
      <s:c r="E31093" s="122" t="n"/>
    </s:row>
    <s:row r="31094" hidden="1" ht="1" customHeight="1">
      <s:c r="A31094" s="120" t="inlineStr"/>
      <s:c r="B31094" s="121" t="n"/>
      <s:c r="C31094" s="121" t="n"/>
      <s:c r="D31094" s="121" t="n"/>
      <s:c r="E31094" s="122" t="n"/>
    </s:row>
    <s:row r="31095" hidden="1" ht="1" customHeight="1">
      <s:c r="A31095" s="120" t="inlineStr"/>
      <s:c r="B31095" s="121" t="n"/>
      <s:c r="C31095" s="121" t="n"/>
      <s:c r="D31095" s="121" t="n"/>
      <s:c r="E31095" s="122" t="n"/>
    </s:row>
    <s:row r="31096" hidden="1" ht="1" customHeight="1">
      <s:c r="A31096" s="120" t="inlineStr"/>
      <s:c r="B31096" s="121" t="n"/>
      <s:c r="C31096" s="121" t="n"/>
      <s:c r="D31096" s="121" t="n"/>
      <s:c r="E31096" s="122" t="n"/>
    </s:row>
    <s:row r="31097" hidden="1" ht="1" customHeight="1">
      <s:c r="A31097" s="120" t="inlineStr"/>
      <s:c r="B31097" s="121" t="n"/>
      <s:c r="C31097" s="121" t="n"/>
      <s:c r="D31097" s="121" t="n"/>
      <s:c r="E31097" s="122" t="n"/>
    </s:row>
    <s:row r="31098" hidden="1" ht="1" customHeight="1">
      <s:c r="A31098" s="120" t="inlineStr"/>
      <s:c r="B31098" s="121" t="n"/>
      <s:c r="C31098" s="121" t="n"/>
      <s:c r="D31098" s="121" t="n"/>
      <s:c r="E31098" s="122" t="n"/>
    </s:row>
    <s:row r="31099" hidden="1" ht="1" customHeight="1">
      <s:c r="A31099" s="120" t="inlineStr"/>
      <s:c r="B31099" s="121" t="n"/>
      <s:c r="C31099" s="121" t="n"/>
      <s:c r="D31099" s="121" t="n"/>
      <s:c r="E31099" s="122" t="n"/>
    </s:row>
    <s:row r="31100" hidden="1" ht="1" customHeight="1">
      <s:c r="A31100" s="120" t="inlineStr"/>
      <s:c r="B31100" s="121" t="n"/>
      <s:c r="C31100" s="121" t="n"/>
      <s:c r="D31100" s="121" t="n"/>
      <s:c r="E31100" s="122" t="n"/>
    </s:row>
    <s:row r="31101" hidden="1" ht="1" customHeight="1">
      <s:c r="A31101" s="120" t="inlineStr"/>
      <s:c r="B31101" s="121" t="n"/>
      <s:c r="C31101" s="121" t="n"/>
      <s:c r="D31101" s="121" t="n"/>
      <s:c r="E31101" s="122" t="n"/>
    </s:row>
    <s:row r="31102" hidden="1" ht="1" customHeight="1">
      <s:c r="A31102" s="120" t="inlineStr"/>
      <s:c r="B31102" s="121" t="n"/>
      <s:c r="C31102" s="121" t="n"/>
      <s:c r="D31102" s="121" t="n"/>
      <s:c r="E31102" s="122" t="n"/>
    </s:row>
    <s:row r="31103" hidden="1" ht="1" customHeight="1">
      <s:c r="A31103" s="120" t="inlineStr"/>
      <s:c r="B31103" s="121" t="n"/>
      <s:c r="C31103" s="121" t="n"/>
      <s:c r="D31103" s="121" t="n"/>
      <s:c r="E31103" s="122" t="n"/>
    </s:row>
    <s:row r="31104" hidden="1" ht="1" customHeight="1">
      <s:c r="A31104" s="120" t="inlineStr"/>
      <s:c r="B31104" s="121" t="n"/>
      <s:c r="C31104" s="121" t="n"/>
      <s:c r="D31104" s="121" t="n"/>
      <s:c r="E31104" s="122" t="n"/>
    </s:row>
    <s:row r="31105" hidden="1" ht="1" customHeight="1">
      <s:c r="A31105" s="120" t="inlineStr"/>
      <s:c r="B31105" s="121" t="n"/>
      <s:c r="C31105" s="121" t="n"/>
      <s:c r="D31105" s="121" t="n"/>
      <s:c r="E31105" s="122" t="n"/>
    </s:row>
    <s:row r="31106" hidden="1" ht="1" customHeight="1">
      <s:c r="A31106" s="120" t="inlineStr"/>
      <s:c r="B31106" s="121" t="n"/>
      <s:c r="C31106" s="121" t="n"/>
      <s:c r="D31106" s="121" t="n"/>
      <s:c r="E31106" s="122" t="n"/>
    </s:row>
    <s:row r="31107" hidden="1" ht="1" customHeight="1">
      <s:c r="A31107" s="120" t="inlineStr"/>
      <s:c r="B31107" s="121" t="n"/>
      <s:c r="C31107" s="121" t="n"/>
      <s:c r="D31107" s="121" t="n"/>
      <s:c r="E31107" s="122" t="n"/>
    </s:row>
    <s:row r="31108" hidden="1" ht="1" customHeight="1">
      <s:c r="A31108" s="120" t="inlineStr"/>
      <s:c r="B31108" s="121" t="n"/>
      <s:c r="C31108" s="121" t="n"/>
      <s:c r="D31108" s="121" t="n"/>
      <s:c r="E31108" s="122" t="n"/>
    </s:row>
    <s:row r="31109" hidden="1" ht="1" customHeight="1">
      <s:c r="A31109" s="120" t="inlineStr"/>
      <s:c r="B31109" s="121" t="n"/>
      <s:c r="C31109" s="121" t="n"/>
      <s:c r="D31109" s="121" t="n"/>
      <s:c r="E31109" s="122" t="n"/>
    </s:row>
    <s:row r="31110" hidden="1" ht="1" customHeight="1">
      <s:c r="A31110" s="120" t="inlineStr"/>
      <s:c r="B31110" s="121" t="n"/>
      <s:c r="C31110" s="121" t="n"/>
      <s:c r="D31110" s="121" t="n"/>
      <s:c r="E31110" s="122" t="n"/>
    </s:row>
    <s:row r="31111" hidden="1" ht="1" customHeight="1">
      <s:c r="A31111" s="120" t="inlineStr"/>
      <s:c r="B31111" s="121" t="n"/>
      <s:c r="C31111" s="121" t="n"/>
      <s:c r="D31111" s="121" t="n"/>
      <s:c r="E31111" s="122" t="n"/>
    </s:row>
    <s:row r="31112" hidden="1" ht="1" customHeight="1">
      <s:c r="A31112" s="120" t="inlineStr"/>
      <s:c r="B31112" s="121" t="n"/>
      <s:c r="C31112" s="121" t="n"/>
      <s:c r="D31112" s="121" t="n"/>
      <s:c r="E31112" s="122" t="n"/>
    </s:row>
    <s:row r="31113" hidden="1" ht="1" customHeight="1">
      <s:c r="A31113" s="120" t="inlineStr"/>
      <s:c r="B31113" s="121" t="n"/>
      <s:c r="C31113" s="121" t="n"/>
      <s:c r="D31113" s="121" t="n"/>
      <s:c r="E31113" s="122" t="n"/>
    </s:row>
    <s:row r="31114" hidden="1" ht="1" customHeight="1">
      <s:c r="A31114" s="120" t="inlineStr"/>
      <s:c r="B31114" s="121" t="n"/>
      <s:c r="C31114" s="121" t="n"/>
      <s:c r="D31114" s="121" t="n"/>
      <s:c r="E31114" s="122" t="n"/>
    </s:row>
    <s:row r="31115" hidden="1" ht="1" customHeight="1">
      <s:c r="A31115" s="120" t="inlineStr"/>
      <s:c r="B31115" s="121" t="n"/>
      <s:c r="C31115" s="121" t="n"/>
      <s:c r="D31115" s="121" t="n"/>
      <s:c r="E31115" s="122" t="n"/>
    </s:row>
    <s:row r="31116" hidden="1" ht="1" customHeight="1">
      <s:c r="A31116" s="120" t="inlineStr"/>
      <s:c r="B31116" s="121" t="n"/>
      <s:c r="C31116" s="121" t="n"/>
      <s:c r="D31116" s="121" t="n"/>
      <s:c r="E31116" s="122" t="n"/>
    </s:row>
    <s:row r="31117" hidden="1" ht="1" customHeight="1">
      <s:c r="A31117" s="120" t="inlineStr"/>
      <s:c r="B31117" s="121" t="n"/>
      <s:c r="C31117" s="121" t="n"/>
      <s:c r="D31117" s="121" t="n"/>
      <s:c r="E31117" s="122" t="n"/>
    </s:row>
    <s:row r="31118" hidden="1" ht="1" customHeight="1">
      <s:c r="A31118" s="120" t="inlineStr"/>
      <s:c r="B31118" s="121" t="n"/>
      <s:c r="C31118" s="121" t="n"/>
      <s:c r="D31118" s="121" t="n"/>
      <s:c r="E31118" s="122" t="n"/>
    </s:row>
    <s:row r="31119" hidden="1" ht="1" customHeight="1">
      <s:c r="A31119" s="120" t="inlineStr"/>
      <s:c r="B31119" s="121" t="n"/>
      <s:c r="C31119" s="121" t="n"/>
      <s:c r="D31119" s="121" t="n"/>
      <s:c r="E31119" s="122" t="n"/>
    </s:row>
    <s:row r="31120" hidden="1" ht="1" customHeight="1">
      <s:c r="A31120" s="120" t="inlineStr"/>
      <s:c r="B31120" s="121" t="n"/>
      <s:c r="C31120" s="121" t="n"/>
      <s:c r="D31120" s="121" t="n"/>
      <s:c r="E31120" s="122" t="n"/>
    </s:row>
    <s:row r="31121" hidden="1" ht="1" customHeight="1">
      <s:c r="A31121" s="120" t="inlineStr"/>
      <s:c r="B31121" s="121" t="n"/>
      <s:c r="C31121" s="121" t="n"/>
      <s:c r="D31121" s="121" t="n"/>
      <s:c r="E31121" s="122" t="n"/>
    </s:row>
    <s:row r="31122" hidden="1" ht="1" customHeight="1">
      <s:c r="A31122" s="120" t="inlineStr"/>
      <s:c r="B31122" s="121" t="n"/>
      <s:c r="C31122" s="121" t="n"/>
      <s:c r="D31122" s="121" t="n"/>
      <s:c r="E31122" s="122" t="n"/>
    </s:row>
    <s:row r="31123" hidden="1" ht="1" customHeight="1">
      <s:c r="A31123" s="120" t="inlineStr"/>
      <s:c r="B31123" s="121" t="n"/>
      <s:c r="C31123" s="121" t="n"/>
      <s:c r="D31123" s="121" t="n"/>
      <s:c r="E31123" s="122" t="n"/>
    </s:row>
    <s:row r="31124" hidden="1" ht="1" customHeight="1">
      <s:c r="A31124" s="120" t="inlineStr"/>
      <s:c r="B31124" s="121" t="n"/>
      <s:c r="C31124" s="121" t="n"/>
      <s:c r="D31124" s="121" t="n"/>
      <s:c r="E31124" s="122" t="n"/>
    </s:row>
    <s:row r="31125" hidden="1" ht="1" customHeight="1">
      <s:c r="A31125" s="120" t="inlineStr"/>
      <s:c r="B31125" s="121" t="n"/>
      <s:c r="C31125" s="121" t="n"/>
      <s:c r="D31125" s="121" t="n"/>
      <s:c r="E31125" s="122" t="n"/>
    </s:row>
    <s:row r="31126" hidden="1" ht="1" customHeight="1">
      <s:c r="A31126" s="120" t="inlineStr"/>
      <s:c r="B31126" s="121" t="n"/>
      <s:c r="C31126" s="121" t="n"/>
      <s:c r="D31126" s="121" t="n"/>
      <s:c r="E31126" s="122" t="n"/>
    </s:row>
    <s:row r="31127" hidden="1" ht="1" customHeight="1">
      <s:c r="A31127" s="120" t="inlineStr"/>
      <s:c r="B31127" s="121" t="n"/>
      <s:c r="C31127" s="121" t="n"/>
      <s:c r="D31127" s="121" t="n"/>
      <s:c r="E31127" s="122" t="n"/>
    </s:row>
    <s:row r="31128" hidden="1" ht="1" customHeight="1">
      <s:c r="A31128" s="120" t="inlineStr"/>
      <s:c r="B31128" s="121" t="n"/>
      <s:c r="C31128" s="121" t="n"/>
      <s:c r="D31128" s="121" t="n"/>
      <s:c r="E31128" s="122" t="n"/>
    </s:row>
    <s:row r="31129" hidden="1" ht="1" customHeight="1">
      <s:c r="A31129" s="120" t="inlineStr"/>
      <s:c r="B31129" s="121" t="n"/>
      <s:c r="C31129" s="121" t="n"/>
      <s:c r="D31129" s="121" t="n"/>
      <s:c r="E31129" s="122" t="n"/>
    </s:row>
    <s:row r="31130" hidden="1" ht="1" customHeight="1">
      <s:c r="A31130" s="120" t="inlineStr"/>
      <s:c r="B31130" s="121" t="n"/>
      <s:c r="C31130" s="121" t="n"/>
      <s:c r="D31130" s="121" t="n"/>
      <s:c r="E31130" s="122" t="n"/>
    </s:row>
    <s:row r="31131" hidden="1" ht="1" customHeight="1">
      <s:c r="A31131" s="120" t="inlineStr"/>
      <s:c r="B31131" s="121" t="n"/>
      <s:c r="C31131" s="121" t="n"/>
      <s:c r="D31131" s="121" t="n"/>
      <s:c r="E31131" s="122" t="n"/>
    </s:row>
    <s:row r="31132" hidden="1" ht="1" customHeight="1">
      <s:c r="A31132" s="120" t="inlineStr"/>
      <s:c r="B31132" s="121" t="n"/>
      <s:c r="C31132" s="121" t="n"/>
      <s:c r="D31132" s="121" t="n"/>
      <s:c r="E31132" s="122" t="n"/>
    </s:row>
    <s:row r="31133" hidden="1" ht="1" customHeight="1">
      <s:c r="A31133" s="120" t="inlineStr"/>
      <s:c r="B31133" s="121" t="n"/>
      <s:c r="C31133" s="121" t="n"/>
      <s:c r="D31133" s="121" t="n"/>
      <s:c r="E31133" s="122" t="n"/>
    </s:row>
    <s:row r="31134" hidden="1" ht="1" customHeight="1">
      <s:c r="A31134" s="120" t="inlineStr"/>
      <s:c r="B31134" s="121" t="n"/>
      <s:c r="C31134" s="121" t="n"/>
      <s:c r="D31134" s="121" t="n"/>
      <s:c r="E31134" s="122" t="n"/>
    </s:row>
    <s:row r="31135" hidden="1" ht="1" customHeight="1">
      <s:c r="A31135" s="120" t="inlineStr"/>
      <s:c r="B31135" s="121" t="n"/>
      <s:c r="C31135" s="121" t="n"/>
      <s:c r="D31135" s="121" t="n"/>
      <s:c r="E31135" s="122" t="n"/>
    </s:row>
    <s:row r="31136" hidden="1" ht="1" customHeight="1">
      <s:c r="A31136" s="120" t="inlineStr"/>
      <s:c r="B31136" s="121" t="n"/>
      <s:c r="C31136" s="121" t="n"/>
      <s:c r="D31136" s="121" t="n"/>
      <s:c r="E31136" s="122" t="n"/>
    </s:row>
    <s:row r="31137" hidden="1" ht="1" customHeight="1">
      <s:c r="A31137" s="120" t="inlineStr"/>
      <s:c r="B31137" s="121" t="n"/>
      <s:c r="C31137" s="121" t="n"/>
      <s:c r="D31137" s="121" t="n"/>
      <s:c r="E31137" s="122" t="n"/>
    </s:row>
    <s:row r="31138" hidden="1" ht="1" customHeight="1">
      <s:c r="A31138" s="120" t="inlineStr"/>
      <s:c r="B31138" s="121" t="n"/>
      <s:c r="C31138" s="121" t="n"/>
      <s:c r="D31138" s="121" t="n"/>
      <s:c r="E31138" s="122" t="n"/>
    </s:row>
    <s:row r="31139" hidden="1" ht="1" customHeight="1">
      <s:c r="A31139" s="83" t="inlineStr">
        <s:is>
          <s:t>PASS</s:t>
        </s:is>
      </s:c>
      <s:c r="B31139" s="83">
        <s:f>SUM(IF(EXACT('Kiểm thử'!E30989,"Đạt"),1,0),IF(EXACT('Kiểm thử'!E30991,"Đạt"),1,0),IF(EXACT('Kiểm thử'!E30993,"Đạt"),1,0))</s:f>
        <s:v/>
      </s:c>
      <s:c r="C31139" s="19" t="n"/>
      <s:c r="D31139" s="19" t="n"/>
      <s:c r="E31139" s="19" t="n"/>
    </s:row>
    <s:row r="31140" hidden="1" ht="1" customHeight="1">
      <s:c r="A31140" s="83" t="inlineStr">
        <s:is>
          <s:t>FAIL</s:t>
        </s:is>
      </s:c>
      <s:c r="B31140" s="83">
        <s:f>SUM(IF(EXACT('Kiểm thử'!E30989,"Không đạt"),1,0),IF(EXACT('Kiểm thử'!E30991,"Không đạt"),1,0),IF(EXACT('Kiểm thử'!E30993,"Không đạt"),1,0))</s:f>
        <s:v/>
      </s:c>
      <s:c r="C31140" s="19" t="n"/>
      <s:c r="D31140" s="19" t="n"/>
      <s:c r="E31140" s="19" t="n"/>
    </s:row>
    <s:row r="31141" hidden="1" ht="1" customHeight="1">
      <s:c r="A31141" s="83" t="inlineStr">
        <s:is>
          <s:t>BLOCKED</s:t>
        </s:is>
      </s:c>
      <s:c r="B31141" s="83">
        <s:f>SUM(IF(EXACT('Kiểm thử'!E30989,"Bị chặn"),1,0),IF(EXACT('Kiểm thử'!E30991,"Bị chặn"),1,0),IF(EXACT('Kiểm thử'!E30993,"Bị chặn"),1,0))</s:f>
        <s:v/>
      </s:c>
      <s:c r="C31141" s="19" t="n"/>
      <s:c r="D31141" s="19" t="n"/>
      <s:c r="E31141" s="19" t="n"/>
    </s:row>
    <s:row r="31142" hidden="1" ht="1" customHeight="1">
      <s:c r="A31142" s="83" t="inlineStr">
        <s:is>
          <s:t>SKIPPED</s:t>
        </s:is>
      </s:c>
      <s:c r="B31142" s="83">
        <s:f>SUM(IF(EXACT('Kiểm thử'!E30989,"Không thực hiện"),1,0),IF(EXACT('Kiểm thử'!E30991,"Không thực hiện"),1,0),IF(EXACT('Kiểm thử'!E30993,"Không thực hiện"),1,0))</s:f>
        <s:v/>
      </s:c>
      <s:c r="C31142" s="19" t="n"/>
      <s:c r="D31142" s="19" t="n"/>
      <s:c r="E31142" s="19" t="n"/>
    </s:row>
    <s:row r="31143" hidden="1" ht="1" customHeight="1">
      <s:c r="A31143" s="83" t="inlineStr">
        <s:is>
          <s:t>NOT RUN</s:t>
        </s:is>
      </s:c>
      <s:c r="B31143" s="83">
        <s:f>SUM(IF(EXACT('Kiểm thử'!E30989,"Chưa thực hiện"),1,0),IF(EXACT('Kiểm thử'!E30991,"Chưa thực hiện"),1,0),IF(EXACT('Kiểm thử'!E30993,"Chưa thực hiện"),1,0))</s:f>
        <s:v/>
      </s:c>
      <s:c r="C31143" s="19" t="n"/>
      <s:c r="D31143" s="19" t="n"/>
      <s:c r="E31143" s="19" t="n"/>
    </s:row>
    <s:row r="31144" hidden="1" ht="6" customHeight="1">
      <s:c r="A31144" s="83" t="inlineStr"/>
      <s:c r="B31144" s="19" t="n"/>
      <s:c r="C31144" s="19" t="n"/>
      <s:c r="D31144" s="19" t="n"/>
      <s:c r="E31144" s="19" t="n"/>
    </s:row>
    <s:row r="31145" ht="28" customHeight="1">
      <s:c r="A31145" s="108" t="inlineStr">
        <s:is>
          <s:t>TC-RS-REG-014 — Batch không phát sinh truy vấn theo từng ô（N+1）</s:t>
        </s:is>
      </s:c>
      <s:c r="B31145" s="111" t="n"/>
      <s:c r="C31145" s="111" t="n"/>
      <s:c r="D31145" s="111" t="n"/>
      <s:c r="E31145" s="111" t="n"/>
    </s:row>
    <s:row r="31146" ht="20" customHeight="1">
      <s:c r="A31146" s="112" t="inlineStr">
        <s:is>
          <s:t>Kết quả tình huống</s:t>
        </s:is>
      </s:c>
      <s:c r="B31146" s="113">
        <s:f>IF(SUM(IF(EXACT('Kiểm thử'!E31153,"Không đạt"),1,0),IF(EXACT('Kiểm thử'!E31155,"Không đạt"),1,0))&gt;0,"Không đạt",IF(SUM(IF(EXACT('Kiểm thử'!E31153,"Đạt"),1,0),IF(EXACT('Kiểm thử'!E31155,"Đạt"),1,0))=2,"Đạt",IF(SUM(IF(EXACT('Kiểm thử'!E31153,"Không thực hiện"),1,0),IF(EXACT('Kiểm thử'!E31155,"Không thực hiện"),1,0))=2,"Không thực hiện",IF(SUM(IF(EXACT('Kiểm thử'!E31153,"Bị chặn"),1,0),IF(EXACT('Kiểm thử'!E31155,"Bị chặn"),1,0))&gt;0,"Bị chặn",IF(SUM(IF(EXACT('Kiểm thử'!E31153,"Chưa thực hiện"),1,0),IF(EXACT('Kiểm thử'!E31155,"Chưa thực hiện"),1,0))=2,"Chưa thực hiện","Đang thực hiện")))))</s:f>
        <s:v/>
      </s:c>
      <s:c r="C31146" s="114" t="n"/>
      <s:c r="D31146" s="114" t="n"/>
      <s:c r="E31146" s="114" t="n"/>
    </s:row>
    <s:row r="31147" ht="20" customHeight="1">
      <s:c r="A31147" s="112" t="inlineStr">
        <s:is>
          <s:t>Màn hình / chức năng</s:t>
        </s:is>
      </s:c>
      <s:c r="B31147" s="113" t="inlineStr">
        <s:is>
          <s:t>Hồi quy luồng hiện có</s:t>
        </s:is>
      </s:c>
      <s:c r="C31147" s="28" t="n"/>
      <s:c r="D31147" s="28" t="n"/>
      <s:c r="E31147" s="28" t="n"/>
    </s:row>
    <s:row r="31148" ht="34" customHeight="1">
      <s:c r="A31148" s="112" t="inlineStr">
        <s:is>
          <s:t>Cấu hình</s:t>
        </s:is>
      </s:c>
      <s:c r="B31148" s="113" t="inlineStr">
        <s:is>
          <s:t>• Khối có ít nhất 2 cỡ dữ liệu khác nhau (ví dụ 10 và 100 học sinh) trên môi trường local;
• Bật log truy vấn.</s:t>
        </s:is>
      </s:c>
      <s:c r="C31148" s="28" t="n"/>
      <s:c r="D31148" s="28" t="n"/>
      <s:c r="E31148" s="28" t="n"/>
    </s:row>
    <s:row r="31149" ht="20" customHeight="1">
      <s:c r="A31149" s="112" t="inlineStr">
        <s:is>
          <s:t>Dữ liệu test</s:t>
        </s:is>
      </s:c>
      <s:c r="B31149" s="113" t="inlineStr">
        <s:is>
          <s:t>• Môi trường test (trường A, năm học 2026)</s:t>
        </s:is>
      </s:c>
      <s:c r="C31149" s="28" t="n"/>
      <s:c r="D31149" s="28" t="n"/>
      <s:c r="E31149" s="28" t="n"/>
    </s:row>
    <s:row r="31150" ht="20" customHeight="1">
      <s:c r="A31150" s="112" t="inlineStr">
        <s:is>
          <s:t>•</s:t>
        </s:is>
      </s:c>
      <s:c r="B31150" s="113" t="inlineStr">
        <s:is>
          <s:t>Chạy batch với từng cỡ dữ liệu; đếm truy vấn liên quan đến quy tắc/nguồn/kết quả đỏ.</s:t>
        </s:is>
      </s:c>
      <s:c r="C31150" s="28" t="n"/>
      <s:c r="D31150" s="28" t="n"/>
      <s:c r="E31150" s="28" t="n"/>
    </s:row>
    <s:row r="31151" ht="28" customHeight="1">
      <s:c r="A31151" s="115" t="inlineStr">
        <s:is>
          <s:t>Trường hợp</s:t>
        </s:is>
      </s:c>
      <s:c r="B31151" s="115" t="inlineStr">
        <s:is>
          <s:t>Dữ liệu / thao tác riêng</s:t>
        </s:is>
      </s:c>
      <s:c r="C31151" s="115" t="inlineStr">
        <s:is>
          <s:t>Kết quả mong đợi</s:t>
        </s:is>
      </s:c>
      <s:c r="D31151" s="115" t="inlineStr">
        <s:is>
          <s:t>Kết quả thực tế</s:t>
        </s:is>
      </s:c>
      <s:c r="E31151" s="115" t="inlineStr">
        <s:is>
          <s:t>Đánh giá</s:t>
        </s:is>
      </s:c>
    </s:row>
    <s:row r="31152" ht="3" customHeight="1">
      <s:c r="A31152" s="102" t="inlineStr"/>
      <s:c r="B31152" s="99" t="n"/>
      <s:c r="C31152" s="99" t="n"/>
      <s:c r="D31152" s="116" t="n"/>
      <s:c r="E31152" s="116" t="n"/>
    </s:row>
    <s:row r="31153" ht="62" customHeight="1">
      <s:c r="A31153" s="83" t="inlineStr">
        <s:is>
          <s:t>Batch cỡ nhỏ (size10)</s:t>
        </s:is>
      </s:c>
      <s:c r="B31153" s="83" t="inlineStr">
        <s:is>
          <s:t>Cỡ 10 học sinh trên môi trường local, bật log; chạy batch và đếm truy vấn đọc rule/nguồn/M/kết quả đỏ.</s:t>
        </s:is>
      </s:c>
      <s:c r="C31153" s="83" t="inlineStr">
        <s:is>
          <s:t>Số truy vấn đọc quy tắc/nguồn/M không tăng tuyến tính theo số ô. Thời gian chạy chỉ ghi lại để so, không có ngưỡng pass/fail (tài liệu chưa đặt ngưỡng).</s:t>
        </s:is>
      </s:c>
      <s:c r="D31153" s="117" t="inlineStr"/>
      <s:c r="E31153" s="118" t="inlineStr">
        <s:is>
          <s:t>Chưa thực hiện</s:t>
        </s:is>
      </s:c>
    </s:row>
    <s:row r="31154" ht="3" customHeight="1">
      <s:c r="A31154" s="102" t="inlineStr"/>
      <s:c r="B31154" s="99" t="n"/>
      <s:c r="C31154" s="99" t="n"/>
      <s:c r="D31154" s="116" t="n"/>
      <s:c r="E31154" s="116" t="n"/>
    </s:row>
    <s:row r="31155" ht="62" customHeight="1">
      <s:c r="A31155" s="83" t="inlineStr">
        <s:is>
          <s:t>Batch cỡ lớn (size100)</s:t>
        </s:is>
      </s:c>
      <s:c r="B31155" s="83" t="inlineStr">
        <s:is>
          <s:t>Cỡ 100 học sinh, cùng loại fixture/log; chạy batch, đếm truy vấn và so cả hai cỡ, ghi thời gian không tự đặt ngưỡng.</s:t>
        </s:is>
      </s:c>
      <s:c r="C31155" s="83" t="inlineStr">
        <s:is>
          <s:t>Số truy vấn đọc quy tắc/nguồn/M không tăng tuyến tính theo số ô. Thời gian chạy chỉ ghi lại để so, không có ngưỡng pass/fail (tài liệu chưa đặt ngưỡng).</s:t>
        </s:is>
      </s:c>
      <s:c r="D31155" s="117" t="inlineStr"/>
      <s:c r="E31155" s="118" t="inlineStr">
        <s:is>
          <s:t>Chưa thực hiện</s:t>
        </s:is>
      </s:c>
    </s:row>
    <s:row r="31156" ht="20" customHeight="1">
      <s:c r="A31156" s="119" t="inlineStr">
        <s:is>
          <s:t>Ảnh minh chứng — Chưa có ảnh</s:t>
        </s:is>
      </s:c>
      <s:c r="B31156" s="19" t="n"/>
      <s:c r="C31156" s="19" t="n"/>
      <s:c r="D31156" s="19" t="n"/>
      <s:c r="E31156" s="19" t="n"/>
    </s:row>
    <s:row r="31157" hidden="1" ht="1" customHeight="1">
      <s:c r="A31157" s="120" t="inlineStr"/>
      <s:c r="B31157" s="121" t="n"/>
      <s:c r="C31157" s="121" t="n"/>
      <s:c r="D31157" s="121" t="n"/>
      <s:c r="E31157" s="122" t="n"/>
    </s:row>
    <s:row r="31158" hidden="1" ht="1" customHeight="1">
      <s:c r="A31158" s="120" t="inlineStr"/>
      <s:c r="B31158" s="121" t="n"/>
      <s:c r="C31158" s="121" t="n"/>
      <s:c r="D31158" s="121" t="n"/>
      <s:c r="E31158" s="122" t="n"/>
    </s:row>
    <s:row r="31159" hidden="1" ht="1" customHeight="1">
      <s:c r="A31159" s="120" t="inlineStr"/>
      <s:c r="B31159" s="121" t="n"/>
      <s:c r="C31159" s="121" t="n"/>
      <s:c r="D31159" s="121" t="n"/>
      <s:c r="E31159" s="122" t="n"/>
    </s:row>
    <s:row r="31160" hidden="1" ht="1" customHeight="1">
      <s:c r="A31160" s="120" t="inlineStr"/>
      <s:c r="B31160" s="121" t="n"/>
      <s:c r="C31160" s="121" t="n"/>
      <s:c r="D31160" s="121" t="n"/>
      <s:c r="E31160" s="122" t="n"/>
    </s:row>
    <s:row r="31161" hidden="1" ht="1" customHeight="1">
      <s:c r="A31161" s="120" t="inlineStr"/>
      <s:c r="B31161" s="121" t="n"/>
      <s:c r="C31161" s="121" t="n"/>
      <s:c r="D31161" s="121" t="n"/>
      <s:c r="E31161" s="122" t="n"/>
    </s:row>
    <s:row r="31162" hidden="1" ht="1" customHeight="1">
      <s:c r="A31162" s="120" t="inlineStr"/>
      <s:c r="B31162" s="121" t="n"/>
      <s:c r="C31162" s="121" t="n"/>
      <s:c r="D31162" s="121" t="n"/>
      <s:c r="E31162" s="122" t="n"/>
    </s:row>
    <s:row r="31163" hidden="1" ht="1" customHeight="1">
      <s:c r="A31163" s="120" t="inlineStr"/>
      <s:c r="B31163" s="121" t="n"/>
      <s:c r="C31163" s="121" t="n"/>
      <s:c r="D31163" s="121" t="n"/>
      <s:c r="E31163" s="122" t="n"/>
    </s:row>
    <s:row r="31164" hidden="1" ht="1" customHeight="1">
      <s:c r="A31164" s="120" t="inlineStr"/>
      <s:c r="B31164" s="121" t="n"/>
      <s:c r="C31164" s="121" t="n"/>
      <s:c r="D31164" s="121" t="n"/>
      <s:c r="E31164" s="122" t="n"/>
    </s:row>
    <s:row r="31165" hidden="1" ht="1" customHeight="1">
      <s:c r="A31165" s="120" t="inlineStr"/>
      <s:c r="B31165" s="121" t="n"/>
      <s:c r="C31165" s="121" t="n"/>
      <s:c r="D31165" s="121" t="n"/>
      <s:c r="E31165" s="122" t="n"/>
    </s:row>
    <s:row r="31166" hidden="1" ht="1" customHeight="1">
      <s:c r="A31166" s="120" t="inlineStr"/>
      <s:c r="B31166" s="121" t="n"/>
      <s:c r="C31166" s="121" t="n"/>
      <s:c r="D31166" s="121" t="n"/>
      <s:c r="E31166" s="122" t="n"/>
    </s:row>
    <s:row r="31167" hidden="1" ht="1" customHeight="1">
      <s:c r="A31167" s="120" t="inlineStr"/>
      <s:c r="B31167" s="121" t="n"/>
      <s:c r="C31167" s="121" t="n"/>
      <s:c r="D31167" s="121" t="n"/>
      <s:c r="E31167" s="122" t="n"/>
    </s:row>
    <s:row r="31168" hidden="1" ht="1" customHeight="1">
      <s:c r="A31168" s="120" t="inlineStr"/>
      <s:c r="B31168" s="121" t="n"/>
      <s:c r="C31168" s="121" t="n"/>
      <s:c r="D31168" s="121" t="n"/>
      <s:c r="E31168" s="122" t="n"/>
    </s:row>
    <s:row r="31169" hidden="1" ht="1" customHeight="1">
      <s:c r="A31169" s="120" t="inlineStr"/>
      <s:c r="B31169" s="121" t="n"/>
      <s:c r="C31169" s="121" t="n"/>
      <s:c r="D31169" s="121" t="n"/>
      <s:c r="E31169" s="122" t="n"/>
    </s:row>
    <s:row r="31170" hidden="1" ht="1" customHeight="1">
      <s:c r="A31170" s="120" t="inlineStr"/>
      <s:c r="B31170" s="121" t="n"/>
      <s:c r="C31170" s="121" t="n"/>
      <s:c r="D31170" s="121" t="n"/>
      <s:c r="E31170" s="122" t="n"/>
    </s:row>
    <s:row r="31171" hidden="1" ht="1" customHeight="1">
      <s:c r="A31171" s="120" t="inlineStr"/>
      <s:c r="B31171" s="121" t="n"/>
      <s:c r="C31171" s="121" t="n"/>
      <s:c r="D31171" s="121" t="n"/>
      <s:c r="E31171" s="122" t="n"/>
    </s:row>
    <s:row r="31172" hidden="1" ht="1" customHeight="1">
      <s:c r="A31172" s="120" t="inlineStr"/>
      <s:c r="B31172" s="121" t="n"/>
      <s:c r="C31172" s="121" t="n"/>
      <s:c r="D31172" s="121" t="n"/>
      <s:c r="E31172" s="122" t="n"/>
    </s:row>
    <s:row r="31173" hidden="1" ht="1" customHeight="1">
      <s:c r="A31173" s="120" t="inlineStr"/>
      <s:c r="B31173" s="121" t="n"/>
      <s:c r="C31173" s="121" t="n"/>
      <s:c r="D31173" s="121" t="n"/>
      <s:c r="E31173" s="122" t="n"/>
    </s:row>
    <s:row r="31174" hidden="1" ht="1" customHeight="1">
      <s:c r="A31174" s="120" t="inlineStr"/>
      <s:c r="B31174" s="121" t="n"/>
      <s:c r="C31174" s="121" t="n"/>
      <s:c r="D31174" s="121" t="n"/>
      <s:c r="E31174" s="122" t="n"/>
    </s:row>
    <s:row r="31175" hidden="1" ht="1" customHeight="1">
      <s:c r="A31175" s="120" t="inlineStr"/>
      <s:c r="B31175" s="121" t="n"/>
      <s:c r="C31175" s="121" t="n"/>
      <s:c r="D31175" s="121" t="n"/>
      <s:c r="E31175" s="122" t="n"/>
    </s:row>
    <s:row r="31176" hidden="1" ht="1" customHeight="1">
      <s:c r="A31176" s="120" t="inlineStr"/>
      <s:c r="B31176" s="121" t="n"/>
      <s:c r="C31176" s="121" t="n"/>
      <s:c r="D31176" s="121" t="n"/>
      <s:c r="E31176" s="122" t="n"/>
    </s:row>
    <s:row r="31177" hidden="1" ht="1" customHeight="1">
      <s:c r="A31177" s="120" t="inlineStr"/>
      <s:c r="B31177" s="121" t="n"/>
      <s:c r="C31177" s="121" t="n"/>
      <s:c r="D31177" s="121" t="n"/>
      <s:c r="E31177" s="122" t="n"/>
    </s:row>
    <s:row r="31178" hidden="1" ht="1" customHeight="1">
      <s:c r="A31178" s="120" t="inlineStr"/>
      <s:c r="B31178" s="121" t="n"/>
      <s:c r="C31178" s="121" t="n"/>
      <s:c r="D31178" s="121" t="n"/>
      <s:c r="E31178" s="122" t="n"/>
    </s:row>
    <s:row r="31179" hidden="1" ht="1" customHeight="1">
      <s:c r="A31179" s="120" t="inlineStr"/>
      <s:c r="B31179" s="121" t="n"/>
      <s:c r="C31179" s="121" t="n"/>
      <s:c r="D31179" s="121" t="n"/>
      <s:c r="E31179" s="122" t="n"/>
    </s:row>
    <s:row r="31180" hidden="1" ht="1" customHeight="1">
      <s:c r="A31180" s="120" t="inlineStr"/>
      <s:c r="B31180" s="121" t="n"/>
      <s:c r="C31180" s="121" t="n"/>
      <s:c r="D31180" s="121" t="n"/>
      <s:c r="E31180" s="122" t="n"/>
    </s:row>
    <s:row r="31181" hidden="1" ht="1" customHeight="1">
      <s:c r="A31181" s="120" t="inlineStr"/>
      <s:c r="B31181" s="121" t="n"/>
      <s:c r="C31181" s="121" t="n"/>
      <s:c r="D31181" s="121" t="n"/>
      <s:c r="E31181" s="122" t="n"/>
    </s:row>
    <s:row r="31182" hidden="1" ht="1" customHeight="1">
      <s:c r="A31182" s="120" t="inlineStr"/>
      <s:c r="B31182" s="121" t="n"/>
      <s:c r="C31182" s="121" t="n"/>
      <s:c r="D31182" s="121" t="n"/>
      <s:c r="E31182" s="122" t="n"/>
    </s:row>
    <s:row r="31183" hidden="1" ht="1" customHeight="1">
      <s:c r="A31183" s="120" t="inlineStr"/>
      <s:c r="B31183" s="121" t="n"/>
      <s:c r="C31183" s="121" t="n"/>
      <s:c r="D31183" s="121" t="n"/>
      <s:c r="E31183" s="122" t="n"/>
    </s:row>
    <s:row r="31184" hidden="1" ht="1" customHeight="1">
      <s:c r="A31184" s="120" t="inlineStr"/>
      <s:c r="B31184" s="121" t="n"/>
      <s:c r="C31184" s="121" t="n"/>
      <s:c r="D31184" s="121" t="n"/>
      <s:c r="E31184" s="122" t="n"/>
    </s:row>
    <s:row r="31185" hidden="1" ht="1" customHeight="1">
      <s:c r="A31185" s="120" t="inlineStr"/>
      <s:c r="B31185" s="121" t="n"/>
      <s:c r="C31185" s="121" t="n"/>
      <s:c r="D31185" s="121" t="n"/>
      <s:c r="E31185" s="122" t="n"/>
    </s:row>
    <s:row r="31186" hidden="1" ht="1" customHeight="1">
      <s:c r="A31186" s="120" t="inlineStr"/>
      <s:c r="B31186" s="121" t="n"/>
      <s:c r="C31186" s="121" t="n"/>
      <s:c r="D31186" s="121" t="n"/>
      <s:c r="E31186" s="122" t="n"/>
    </s:row>
    <s:row r="31187" hidden="1" ht="1" customHeight="1">
      <s:c r="A31187" s="120" t="inlineStr"/>
      <s:c r="B31187" s="121" t="n"/>
      <s:c r="C31187" s="121" t="n"/>
      <s:c r="D31187" s="121" t="n"/>
      <s:c r="E31187" s="122" t="n"/>
    </s:row>
    <s:row r="31188" hidden="1" ht="1" customHeight="1">
      <s:c r="A31188" s="120" t="inlineStr"/>
      <s:c r="B31188" s="121" t="n"/>
      <s:c r="C31188" s="121" t="n"/>
      <s:c r="D31188" s="121" t="n"/>
      <s:c r="E31188" s="122" t="n"/>
    </s:row>
    <s:row r="31189" hidden="1" ht="1" customHeight="1">
      <s:c r="A31189" s="120" t="inlineStr"/>
      <s:c r="B31189" s="121" t="n"/>
      <s:c r="C31189" s="121" t="n"/>
      <s:c r="D31189" s="121" t="n"/>
      <s:c r="E31189" s="122" t="n"/>
    </s:row>
    <s:row r="31190" hidden="1" ht="1" customHeight="1">
      <s:c r="A31190" s="120" t="inlineStr"/>
      <s:c r="B31190" s="121" t="n"/>
      <s:c r="C31190" s="121" t="n"/>
      <s:c r="D31190" s="121" t="n"/>
      <s:c r="E31190" s="122" t="n"/>
    </s:row>
    <s:row r="31191" hidden="1" ht="1" customHeight="1">
      <s:c r="A31191" s="120" t="inlineStr"/>
      <s:c r="B31191" s="121" t="n"/>
      <s:c r="C31191" s="121" t="n"/>
      <s:c r="D31191" s="121" t="n"/>
      <s:c r="E31191" s="122" t="n"/>
    </s:row>
    <s:row r="31192" hidden="1" ht="1" customHeight="1">
      <s:c r="A31192" s="120" t="inlineStr"/>
      <s:c r="B31192" s="121" t="n"/>
      <s:c r="C31192" s="121" t="n"/>
      <s:c r="D31192" s="121" t="n"/>
      <s:c r="E31192" s="122" t="n"/>
    </s:row>
    <s:row r="31193" hidden="1" ht="1" customHeight="1">
      <s:c r="A31193" s="120" t="inlineStr"/>
      <s:c r="B31193" s="121" t="n"/>
      <s:c r="C31193" s="121" t="n"/>
      <s:c r="D31193" s="121" t="n"/>
      <s:c r="E31193" s="122" t="n"/>
    </s:row>
    <s:row r="31194" hidden="1" ht="1" customHeight="1">
      <s:c r="A31194" s="120" t="inlineStr"/>
      <s:c r="B31194" s="121" t="n"/>
      <s:c r="C31194" s="121" t="n"/>
      <s:c r="D31194" s="121" t="n"/>
      <s:c r="E31194" s="122" t="n"/>
    </s:row>
    <s:row r="31195" hidden="1" ht="1" customHeight="1">
      <s:c r="A31195" s="120" t="inlineStr"/>
      <s:c r="B31195" s="121" t="n"/>
      <s:c r="C31195" s="121" t="n"/>
      <s:c r="D31195" s="121" t="n"/>
      <s:c r="E31195" s="122" t="n"/>
    </s:row>
    <s:row r="31196" hidden="1" ht="1" customHeight="1">
      <s:c r="A31196" s="120" t="inlineStr"/>
      <s:c r="B31196" s="121" t="n"/>
      <s:c r="C31196" s="121" t="n"/>
      <s:c r="D31196" s="121" t="n"/>
      <s:c r="E31196" s="122" t="n"/>
    </s:row>
    <s:row r="31197" hidden="1" ht="1" customHeight="1">
      <s:c r="A31197" s="120" t="inlineStr"/>
      <s:c r="B31197" s="121" t="n"/>
      <s:c r="C31197" s="121" t="n"/>
      <s:c r="D31197" s="121" t="n"/>
      <s:c r="E31197" s="122" t="n"/>
    </s:row>
    <s:row r="31198" hidden="1" ht="1" customHeight="1">
      <s:c r="A31198" s="120" t="inlineStr"/>
      <s:c r="B31198" s="121" t="n"/>
      <s:c r="C31198" s="121" t="n"/>
      <s:c r="D31198" s="121" t="n"/>
      <s:c r="E31198" s="122" t="n"/>
    </s:row>
    <s:row r="31199" hidden="1" ht="1" customHeight="1">
      <s:c r="A31199" s="120" t="inlineStr"/>
      <s:c r="B31199" s="121" t="n"/>
      <s:c r="C31199" s="121" t="n"/>
      <s:c r="D31199" s="121" t="n"/>
      <s:c r="E31199" s="122" t="n"/>
    </s:row>
    <s:row r="31200" hidden="1" ht="1" customHeight="1">
      <s:c r="A31200" s="120" t="inlineStr"/>
      <s:c r="B31200" s="121" t="n"/>
      <s:c r="C31200" s="121" t="n"/>
      <s:c r="D31200" s="121" t="n"/>
      <s:c r="E31200" s="122" t="n"/>
    </s:row>
    <s:row r="31201" hidden="1" ht="1" customHeight="1">
      <s:c r="A31201" s="120" t="inlineStr"/>
      <s:c r="B31201" s="121" t="n"/>
      <s:c r="C31201" s="121" t="n"/>
      <s:c r="D31201" s="121" t="n"/>
      <s:c r="E31201" s="122" t="n"/>
    </s:row>
    <s:row r="31202" hidden="1" ht="1" customHeight="1">
      <s:c r="A31202" s="120" t="inlineStr"/>
      <s:c r="B31202" s="121" t="n"/>
      <s:c r="C31202" s="121" t="n"/>
      <s:c r="D31202" s="121" t="n"/>
      <s:c r="E31202" s="122" t="n"/>
    </s:row>
    <s:row r="31203" hidden="1" ht="1" customHeight="1">
      <s:c r="A31203" s="120" t="inlineStr"/>
      <s:c r="B31203" s="121" t="n"/>
      <s:c r="C31203" s="121" t="n"/>
      <s:c r="D31203" s="121" t="n"/>
      <s:c r="E31203" s="122" t="n"/>
    </s:row>
    <s:row r="31204" hidden="1" ht="1" customHeight="1">
      <s:c r="A31204" s="120" t="inlineStr"/>
      <s:c r="B31204" s="121" t="n"/>
      <s:c r="C31204" s="121" t="n"/>
      <s:c r="D31204" s="121" t="n"/>
      <s:c r="E31204" s="122" t="n"/>
    </s:row>
    <s:row r="31205" hidden="1" ht="1" customHeight="1">
      <s:c r="A31205" s="120" t="inlineStr"/>
      <s:c r="B31205" s="121" t="n"/>
      <s:c r="C31205" s="121" t="n"/>
      <s:c r="D31205" s="121" t="n"/>
      <s:c r="E31205" s="122" t="n"/>
    </s:row>
    <s:row r="31206" hidden="1" ht="1" customHeight="1">
      <s:c r="A31206" s="120" t="inlineStr"/>
      <s:c r="B31206" s="121" t="n"/>
      <s:c r="C31206" s="121" t="n"/>
      <s:c r="D31206" s="121" t="n"/>
      <s:c r="E31206" s="122" t="n"/>
    </s:row>
    <s:row r="31207" hidden="1" ht="1" customHeight="1">
      <s:c r="A31207" s="120" t="inlineStr"/>
      <s:c r="B31207" s="121" t="n"/>
      <s:c r="C31207" s="121" t="n"/>
      <s:c r="D31207" s="121" t="n"/>
      <s:c r="E31207" s="122" t="n"/>
    </s:row>
    <s:row r="31208" hidden="1" ht="1" customHeight="1">
      <s:c r="A31208" s="120" t="inlineStr"/>
      <s:c r="B31208" s="121" t="n"/>
      <s:c r="C31208" s="121" t="n"/>
      <s:c r="D31208" s="121" t="n"/>
      <s:c r="E31208" s="122" t="n"/>
    </s:row>
    <s:row r="31209" hidden="1" ht="1" customHeight="1">
      <s:c r="A31209" s="120" t="inlineStr"/>
      <s:c r="B31209" s="121" t="n"/>
      <s:c r="C31209" s="121" t="n"/>
      <s:c r="D31209" s="121" t="n"/>
      <s:c r="E31209" s="122" t="n"/>
    </s:row>
    <s:row r="31210" hidden="1" ht="1" customHeight="1">
      <s:c r="A31210" s="120" t="inlineStr"/>
      <s:c r="B31210" s="121" t="n"/>
      <s:c r="C31210" s="121" t="n"/>
      <s:c r="D31210" s="121" t="n"/>
      <s:c r="E31210" s="122" t="n"/>
    </s:row>
    <s:row r="31211" hidden="1" ht="1" customHeight="1">
      <s:c r="A31211" s="120" t="inlineStr"/>
      <s:c r="B31211" s="121" t="n"/>
      <s:c r="C31211" s="121" t="n"/>
      <s:c r="D31211" s="121" t="n"/>
      <s:c r="E31211" s="122" t="n"/>
    </s:row>
    <s:row r="31212" hidden="1" ht="1" customHeight="1">
      <s:c r="A31212" s="120" t="inlineStr"/>
      <s:c r="B31212" s="121" t="n"/>
      <s:c r="C31212" s="121" t="n"/>
      <s:c r="D31212" s="121" t="n"/>
      <s:c r="E31212" s="122" t="n"/>
    </s:row>
    <s:row r="31213" hidden="1" ht="1" customHeight="1">
      <s:c r="A31213" s="120" t="inlineStr"/>
      <s:c r="B31213" s="121" t="n"/>
      <s:c r="C31213" s="121" t="n"/>
      <s:c r="D31213" s="121" t="n"/>
      <s:c r="E31213" s="122" t="n"/>
    </s:row>
    <s:row r="31214" hidden="1" ht="1" customHeight="1">
      <s:c r="A31214" s="120" t="inlineStr"/>
      <s:c r="B31214" s="121" t="n"/>
      <s:c r="C31214" s="121" t="n"/>
      <s:c r="D31214" s="121" t="n"/>
      <s:c r="E31214" s="122" t="n"/>
    </s:row>
    <s:row r="31215" hidden="1" ht="1" customHeight="1">
      <s:c r="A31215" s="120" t="inlineStr"/>
      <s:c r="B31215" s="121" t="n"/>
      <s:c r="C31215" s="121" t="n"/>
      <s:c r="D31215" s="121" t="n"/>
      <s:c r="E31215" s="122" t="n"/>
    </s:row>
    <s:row r="31216" hidden="1" ht="1" customHeight="1">
      <s:c r="A31216" s="120" t="inlineStr"/>
      <s:c r="B31216" s="121" t="n"/>
      <s:c r="C31216" s="121" t="n"/>
      <s:c r="D31216" s="121" t="n"/>
      <s:c r="E31216" s="122" t="n"/>
    </s:row>
    <s:row r="31217" hidden="1" ht="1" customHeight="1">
      <s:c r="A31217" s="120" t="inlineStr"/>
      <s:c r="B31217" s="121" t="n"/>
      <s:c r="C31217" s="121" t="n"/>
      <s:c r="D31217" s="121" t="n"/>
      <s:c r="E31217" s="122" t="n"/>
    </s:row>
    <s:row r="31218" hidden="1" ht="1" customHeight="1">
      <s:c r="A31218" s="120" t="inlineStr"/>
      <s:c r="B31218" s="121" t="n"/>
      <s:c r="C31218" s="121" t="n"/>
      <s:c r="D31218" s="121" t="n"/>
      <s:c r="E31218" s="122" t="n"/>
    </s:row>
    <s:row r="31219" hidden="1" ht="1" customHeight="1">
      <s:c r="A31219" s="120" t="inlineStr"/>
      <s:c r="B31219" s="121" t="n"/>
      <s:c r="C31219" s="121" t="n"/>
      <s:c r="D31219" s="121" t="n"/>
      <s:c r="E31219" s="122" t="n"/>
    </s:row>
    <s:row r="31220" hidden="1" ht="1" customHeight="1">
      <s:c r="A31220" s="120" t="inlineStr"/>
      <s:c r="B31220" s="121" t="n"/>
      <s:c r="C31220" s="121" t="n"/>
      <s:c r="D31220" s="121" t="n"/>
      <s:c r="E31220" s="122" t="n"/>
    </s:row>
    <s:row r="31221" hidden="1" ht="1" customHeight="1">
      <s:c r="A31221" s="120" t="inlineStr"/>
      <s:c r="B31221" s="121" t="n"/>
      <s:c r="C31221" s="121" t="n"/>
      <s:c r="D31221" s="121" t="n"/>
      <s:c r="E31221" s="122" t="n"/>
    </s:row>
    <s:row r="31222" hidden="1" ht="1" customHeight="1">
      <s:c r="A31222" s="120" t="inlineStr"/>
      <s:c r="B31222" s="121" t="n"/>
      <s:c r="C31222" s="121" t="n"/>
      <s:c r="D31222" s="121" t="n"/>
      <s:c r="E31222" s="122" t="n"/>
    </s:row>
    <s:row r="31223" hidden="1" ht="1" customHeight="1">
      <s:c r="A31223" s="120" t="inlineStr"/>
      <s:c r="B31223" s="121" t="n"/>
      <s:c r="C31223" s="121" t="n"/>
      <s:c r="D31223" s="121" t="n"/>
      <s:c r="E31223" s="122" t="n"/>
    </s:row>
    <s:row r="31224" hidden="1" ht="1" customHeight="1">
      <s:c r="A31224" s="120" t="inlineStr"/>
      <s:c r="B31224" s="121" t="n"/>
      <s:c r="C31224" s="121" t="n"/>
      <s:c r="D31224" s="121" t="n"/>
      <s:c r="E31224" s="122" t="n"/>
    </s:row>
    <s:row r="31225" hidden="1" ht="1" customHeight="1">
      <s:c r="A31225" s="120" t="inlineStr"/>
      <s:c r="B31225" s="121" t="n"/>
      <s:c r="C31225" s="121" t="n"/>
      <s:c r="D31225" s="121" t="n"/>
      <s:c r="E31225" s="122" t="n"/>
    </s:row>
    <s:row r="31226" hidden="1" ht="1" customHeight="1">
      <s:c r="A31226" s="120" t="inlineStr"/>
      <s:c r="B31226" s="121" t="n"/>
      <s:c r="C31226" s="121" t="n"/>
      <s:c r="D31226" s="121" t="n"/>
      <s:c r="E31226" s="122" t="n"/>
    </s:row>
    <s:row r="31227" hidden="1" ht="1" customHeight="1">
      <s:c r="A31227" s="120" t="inlineStr"/>
      <s:c r="B31227" s="121" t="n"/>
      <s:c r="C31227" s="121" t="n"/>
      <s:c r="D31227" s="121" t="n"/>
      <s:c r="E31227" s="122" t="n"/>
    </s:row>
    <s:row r="31228" hidden="1" ht="1" customHeight="1">
      <s:c r="A31228" s="120" t="inlineStr"/>
      <s:c r="B31228" s="121" t="n"/>
      <s:c r="C31228" s="121" t="n"/>
      <s:c r="D31228" s="121" t="n"/>
      <s:c r="E31228" s="122" t="n"/>
    </s:row>
    <s:row r="31229" hidden="1" ht="1" customHeight="1">
      <s:c r="A31229" s="120" t="inlineStr"/>
      <s:c r="B31229" s="121" t="n"/>
      <s:c r="C31229" s="121" t="n"/>
      <s:c r="D31229" s="121" t="n"/>
      <s:c r="E31229" s="122" t="n"/>
    </s:row>
    <s:row r="31230" hidden="1" ht="1" customHeight="1">
      <s:c r="A31230" s="120" t="inlineStr"/>
      <s:c r="B31230" s="121" t="n"/>
      <s:c r="C31230" s="121" t="n"/>
      <s:c r="D31230" s="121" t="n"/>
      <s:c r="E31230" s="122" t="n"/>
    </s:row>
    <s:row r="31231" hidden="1" ht="1" customHeight="1">
      <s:c r="A31231" s="120" t="inlineStr"/>
      <s:c r="B31231" s="121" t="n"/>
      <s:c r="C31231" s="121" t="n"/>
      <s:c r="D31231" s="121" t="n"/>
      <s:c r="E31231" s="122" t="n"/>
    </s:row>
    <s:row r="31232" hidden="1" ht="1" customHeight="1">
      <s:c r="A31232" s="120" t="inlineStr"/>
      <s:c r="B31232" s="121" t="n"/>
      <s:c r="C31232" s="121" t="n"/>
      <s:c r="D31232" s="121" t="n"/>
      <s:c r="E31232" s="122" t="n"/>
    </s:row>
    <s:row r="31233" hidden="1" ht="1" customHeight="1">
      <s:c r="A31233" s="120" t="inlineStr"/>
      <s:c r="B31233" s="121" t="n"/>
      <s:c r="C31233" s="121" t="n"/>
      <s:c r="D31233" s="121" t="n"/>
      <s:c r="E31233" s="122" t="n"/>
    </s:row>
    <s:row r="31234" hidden="1" ht="1" customHeight="1">
      <s:c r="A31234" s="120" t="inlineStr"/>
      <s:c r="B31234" s="121" t="n"/>
      <s:c r="C31234" s="121" t="n"/>
      <s:c r="D31234" s="121" t="n"/>
      <s:c r="E31234" s="122" t="n"/>
    </s:row>
    <s:row r="31235" hidden="1" ht="1" customHeight="1">
      <s:c r="A31235" s="120" t="inlineStr"/>
      <s:c r="B31235" s="121" t="n"/>
      <s:c r="C31235" s="121" t="n"/>
      <s:c r="D31235" s="121" t="n"/>
      <s:c r="E31235" s="122" t="n"/>
    </s:row>
    <s:row r="31236" hidden="1" ht="1" customHeight="1">
      <s:c r="A31236" s="120" t="inlineStr"/>
      <s:c r="B31236" s="121" t="n"/>
      <s:c r="C31236" s="121" t="n"/>
      <s:c r="D31236" s="121" t="n"/>
      <s:c r="E31236" s="122" t="n"/>
    </s:row>
    <s:row r="31237" hidden="1" ht="1" customHeight="1">
      <s:c r="A31237" s="120" t="inlineStr"/>
      <s:c r="B31237" s="121" t="n"/>
      <s:c r="C31237" s="121" t="n"/>
      <s:c r="D31237" s="121" t="n"/>
      <s:c r="E31237" s="122" t="n"/>
    </s:row>
    <s:row r="31238" hidden="1" ht="1" customHeight="1">
      <s:c r="A31238" s="120" t="inlineStr"/>
      <s:c r="B31238" s="121" t="n"/>
      <s:c r="C31238" s="121" t="n"/>
      <s:c r="D31238" s="121" t="n"/>
      <s:c r="E31238" s="122" t="n"/>
    </s:row>
    <s:row r="31239" hidden="1" ht="1" customHeight="1">
      <s:c r="A31239" s="120" t="inlineStr"/>
      <s:c r="B31239" s="121" t="n"/>
      <s:c r="C31239" s="121" t="n"/>
      <s:c r="D31239" s="121" t="n"/>
      <s:c r="E31239" s="122" t="n"/>
    </s:row>
    <s:row r="31240" hidden="1" ht="1" customHeight="1">
      <s:c r="A31240" s="120" t="inlineStr"/>
      <s:c r="B31240" s="121" t="n"/>
      <s:c r="C31240" s="121" t="n"/>
      <s:c r="D31240" s="121" t="n"/>
      <s:c r="E31240" s="122" t="n"/>
    </s:row>
    <s:row r="31241" hidden="1" ht="1" customHeight="1">
      <s:c r="A31241" s="120" t="inlineStr"/>
      <s:c r="B31241" s="121" t="n"/>
      <s:c r="C31241" s="121" t="n"/>
      <s:c r="D31241" s="121" t="n"/>
      <s:c r="E31241" s="122" t="n"/>
    </s:row>
    <s:row r="31242" hidden="1" ht="1" customHeight="1">
      <s:c r="A31242" s="120" t="inlineStr"/>
      <s:c r="B31242" s="121" t="n"/>
      <s:c r="C31242" s="121" t="n"/>
      <s:c r="D31242" s="121" t="n"/>
      <s:c r="E31242" s="122" t="n"/>
    </s:row>
    <s:row r="31243" hidden="1" ht="1" customHeight="1">
      <s:c r="A31243" s="120" t="inlineStr"/>
      <s:c r="B31243" s="121" t="n"/>
      <s:c r="C31243" s="121" t="n"/>
      <s:c r="D31243" s="121" t="n"/>
      <s:c r="E31243" s="122" t="n"/>
    </s:row>
    <s:row r="31244" hidden="1" ht="1" customHeight="1">
      <s:c r="A31244" s="120" t="inlineStr"/>
      <s:c r="B31244" s="121" t="n"/>
      <s:c r="C31244" s="121" t="n"/>
      <s:c r="D31244" s="121" t="n"/>
      <s:c r="E31244" s="122" t="n"/>
    </s:row>
    <s:row r="31245" hidden="1" ht="1" customHeight="1">
      <s:c r="A31245" s="120" t="inlineStr"/>
      <s:c r="B31245" s="121" t="n"/>
      <s:c r="C31245" s="121" t="n"/>
      <s:c r="D31245" s="121" t="n"/>
      <s:c r="E31245" s="122" t="n"/>
    </s:row>
    <s:row r="31246" hidden="1" ht="1" customHeight="1">
      <s:c r="A31246" s="120" t="inlineStr"/>
      <s:c r="B31246" s="121" t="n"/>
      <s:c r="C31246" s="121" t="n"/>
      <s:c r="D31246" s="121" t="n"/>
      <s:c r="E31246" s="122" t="n"/>
    </s:row>
    <s:row r="31247" hidden="1" ht="1" customHeight="1">
      <s:c r="A31247" s="120" t="inlineStr"/>
      <s:c r="B31247" s="121" t="n"/>
      <s:c r="C31247" s="121" t="n"/>
      <s:c r="D31247" s="121" t="n"/>
      <s:c r="E31247" s="122" t="n"/>
    </s:row>
    <s:row r="31248" hidden="1" ht="1" customHeight="1">
      <s:c r="A31248" s="120" t="inlineStr"/>
      <s:c r="B31248" s="121" t="n"/>
      <s:c r="C31248" s="121" t="n"/>
      <s:c r="D31248" s="121" t="n"/>
      <s:c r="E31248" s="122" t="n"/>
    </s:row>
    <s:row r="31249" hidden="1" ht="1" customHeight="1">
      <s:c r="A31249" s="120" t="inlineStr"/>
      <s:c r="B31249" s="121" t="n"/>
      <s:c r="C31249" s="121" t="n"/>
      <s:c r="D31249" s="121" t="n"/>
      <s:c r="E31249" s="122" t="n"/>
    </s:row>
    <s:row r="31250" hidden="1" ht="1" customHeight="1">
      <s:c r="A31250" s="120" t="inlineStr"/>
      <s:c r="B31250" s="121" t="n"/>
      <s:c r="C31250" s="121" t="n"/>
      <s:c r="D31250" s="121" t="n"/>
      <s:c r="E31250" s="122" t="n"/>
    </s:row>
    <s:row r="31251" hidden="1" ht="1" customHeight="1">
      <s:c r="A31251" s="120" t="inlineStr"/>
      <s:c r="B31251" s="121" t="n"/>
      <s:c r="C31251" s="121" t="n"/>
      <s:c r="D31251" s="121" t="n"/>
      <s:c r="E31251" s="122" t="n"/>
    </s:row>
    <s:row r="31252" hidden="1" ht="1" customHeight="1">
      <s:c r="A31252" s="120" t="inlineStr"/>
      <s:c r="B31252" s="121" t="n"/>
      <s:c r="C31252" s="121" t="n"/>
      <s:c r="D31252" s="121" t="n"/>
      <s:c r="E31252" s="122" t="n"/>
    </s:row>
    <s:row r="31253" hidden="1" ht="1" customHeight="1">
      <s:c r="A31253" s="83" t="inlineStr">
        <s:is>
          <s:t>PASS</s:t>
        </s:is>
      </s:c>
      <s:c r="B31253" s="83">
        <s:f>SUM(IF(EXACT('Kiểm thử'!E31153,"Đạt"),1,0),IF(EXACT('Kiểm thử'!E31155,"Đạt"),1,0))</s:f>
        <s:v/>
      </s:c>
      <s:c r="C31253" s="19" t="n"/>
      <s:c r="D31253" s="19" t="n"/>
      <s:c r="E31253" s="19" t="n"/>
    </s:row>
    <s:row r="31254" hidden="1" ht="1" customHeight="1">
      <s:c r="A31254" s="83" t="inlineStr">
        <s:is>
          <s:t>FAIL</s:t>
        </s:is>
      </s:c>
      <s:c r="B31254" s="83">
        <s:f>SUM(IF(EXACT('Kiểm thử'!E31153,"Không đạt"),1,0),IF(EXACT('Kiểm thử'!E31155,"Không đạt"),1,0))</s:f>
        <s:v/>
      </s:c>
      <s:c r="C31254" s="19" t="n"/>
      <s:c r="D31254" s="19" t="n"/>
      <s:c r="E31254" s="19" t="n"/>
    </s:row>
    <s:row r="31255" hidden="1" ht="1" customHeight="1">
      <s:c r="A31255" s="83" t="inlineStr">
        <s:is>
          <s:t>BLOCKED</s:t>
        </s:is>
      </s:c>
      <s:c r="B31255" s="83">
        <s:f>SUM(IF(EXACT('Kiểm thử'!E31153,"Bị chặn"),1,0),IF(EXACT('Kiểm thử'!E31155,"Bị chặn"),1,0))</s:f>
        <s:v/>
      </s:c>
      <s:c r="C31255" s="19" t="n"/>
      <s:c r="D31255" s="19" t="n"/>
      <s:c r="E31255" s="19" t="n"/>
    </s:row>
    <s:row r="31256" hidden="1" ht="1" customHeight="1">
      <s:c r="A31256" s="83" t="inlineStr">
        <s:is>
          <s:t>SKIPPED</s:t>
        </s:is>
      </s:c>
      <s:c r="B31256" s="83">
        <s:f>SUM(IF(EXACT('Kiểm thử'!E31153,"Không thực hiện"),1,0),IF(EXACT('Kiểm thử'!E31155,"Không thực hiện"),1,0))</s:f>
        <s:v/>
      </s:c>
      <s:c r="C31256" s="19" t="n"/>
      <s:c r="D31256" s="19" t="n"/>
      <s:c r="E31256" s="19" t="n"/>
    </s:row>
    <s:row r="31257" hidden="1" ht="1" customHeight="1">
      <s:c r="A31257" s="83" t="inlineStr">
        <s:is>
          <s:t>NOT RUN</s:t>
        </s:is>
      </s:c>
      <s:c r="B31257" s="83">
        <s:f>SUM(IF(EXACT('Kiểm thử'!E31153,"Chưa thực hiện"),1,0),IF(EXACT('Kiểm thử'!E31155,"Chưa thực hiện"),1,0))</s:f>
        <s:v/>
      </s:c>
      <s:c r="C31257" s="19" t="n"/>
      <s:c r="D31257" s="19" t="n"/>
      <s:c r="E31257" s="19" t="n"/>
    </s:row>
    <s:row r="31258" hidden="1" ht="6" customHeight="1">
      <s:c r="A31258" s="83" t="inlineStr"/>
      <s:c r="B31258" s="19" t="n"/>
      <s:c r="C31258" s="19" t="n"/>
      <s:c r="D31258" s="19" t="n"/>
      <s:c r="E31258" s="19" t="n"/>
    </s:row>
    <s:row r="31259" ht="28" customHeight="1">
      <s:c r="A31259" s="108" t="inlineStr">
        <s:is>
          <s:t>TC-RS-REG-016 — Đăng ký điểm: xử lý điểm liên quan và giao dịch giữ như trước</s:t>
        </s:is>
      </s:c>
      <s:c r="B31259" s="111" t="n"/>
      <s:c r="C31259" s="111" t="n"/>
      <s:c r="D31259" s="111" t="n"/>
      <s:c r="E31259" s="111" t="n"/>
    </s:row>
    <s:row r="31260" ht="20" customHeight="1">
      <s:c r="A31260" s="112" t="inlineStr">
        <s:is>
          <s:t>Kết quả tình huống</s:t>
        </s:is>
      </s:c>
      <s:c r="B31260" s="113">
        <s:f>IF(SUM(IF(EXACT('Kiểm thử'!E31269,"Không đạt"),1,0),IF(EXACT('Kiểm thử'!E31271,"Không đạt"),1,0),IF(EXACT('Kiểm thử'!E31273,"Không đạt"),1,0))&gt;0,"Không đạt",IF(SUM(IF(EXACT('Kiểm thử'!E31269,"Đạt"),1,0),IF(EXACT('Kiểm thử'!E31271,"Đạt"),1,0),IF(EXACT('Kiểm thử'!E31273,"Đạt"),1,0))=3,"Đạt",IF(SUM(IF(EXACT('Kiểm thử'!E31269,"Không thực hiện"),1,0),IF(EXACT('Kiểm thử'!E31271,"Không thực hiện"),1,0),IF(EXACT('Kiểm thử'!E31273,"Không thực hiện"),1,0))=3,"Không thực hiện",IF(SUM(IF(EXACT('Kiểm thử'!E31269,"Bị chặn"),1,0),IF(EXACT('Kiểm thử'!E31271,"Bị chặn"),1,0),IF(EXACT('Kiểm thử'!E31273,"Bị chặn"),1,0))&gt;0,"Bị chặn",IF(SUM(IF(EXACT('Kiểm thử'!E31269,"Chưa thực hiện"),1,0),IF(EXACT('Kiểm thử'!E31271,"Chưa thực hiện"),1,0),IF(EXACT('Kiểm thử'!E31273,"Chưa thực hiện"),1,0))=3,"Chưa thực hiện","Đang thực hiện")))))</s:f>
        <s:v/>
      </s:c>
      <s:c r="C31260" s="114" t="n"/>
      <s:c r="D31260" s="114" t="n"/>
      <s:c r="E31260" s="114" t="n"/>
    </s:row>
    <s:row r="31261" ht="20" customHeight="1">
      <s:c r="A31261" s="112" t="inlineStr">
        <s:is>
          <s:t>Màn hình / chức năng</s:t>
        </s:is>
      </s:c>
      <s:c r="B31261" s="113" t="inlineStr">
        <s:is>
          <s:t>Hồi quy luồng hiện có</s:t>
        </s:is>
      </s:c>
      <s:c r="C31261" s="28" t="n"/>
      <s:c r="D31261" s="28" t="n"/>
      <s:c r="E31261" s="28" t="n"/>
    </s:row>
    <s:row r="31262" ht="62" customHeight="1">
      <s:c r="A31262" s="112" t="inlineStr">
        <s:is>
          <s:t>Cấu hình</s:t>
        </s:is>
      </s:c>
      <s:c r="B31262" s="113" t="inlineStr">
        <s:is>
          <s:r>
            <s:t xml:space="preserve">• Mục có môn chính/môn con và quan điểm, có quy </s:t>
          </s:r>
          <s:r>
            <s:rPr>
              <s:b val="1"/>
            </s:rPr>
            <s:t>tắc tính tự động（自動計算設定）</s:t>
          </s:r>
          <s:r>
            <s:t xml:space="preserve"> (mục số nguyên có thêm tính tự động) để các bước sau tính tự động chạy;
• Baseline điểm môn chính, điểm quan điểm được sao </s:t>
          </s:r>
          <s:r>
            <s:rPr>
              <s:b val="1"/>
            </s:rPr>
            <s:t>chép và tín chỉ（単位）</s:t>
          </s:r>
          <s:r>
            <s:t xml:space="preserve"> sau khi lưu điểm môn con. quy tắc “Cố định 30” (dưới 30) ở mục môn chính và ở mục nhận điểm sao chép theo quan điểm.</s:t>
          </s:r>
        </s:is>
      </s:c>
      <s:c r="C31262" s="28" t="n"/>
      <s:c r="D31262" s="28" t="n"/>
      <s:c r="E31262" s="28" t="n"/>
    </s:row>
    <s:row r="31263" ht="48" customHeight="1">
      <s:c r="A31263" s="112" t="inlineStr">
        <s:is>
          <s:t>Dữ liệu test</s:t>
        </s:is>
      </s:c>
      <s:c r="B31263" s="113" t="inlineStr">
        <s:is>
          <s:r>
            <s:t>• Quy tắc “Cố định 30” (dưới 30);
• Mục số nguyên (</s:t>
          </s:r>
          <s:r>
            <s:rPr>
              <s:b val="1"/>
            </s:rPr>
            <s:t>M=100</s:t>
          </s:r>
          <s:r>
            <s:t>);
• Mục số nguyên có thêm tính tự động</s:t>
          </s:r>
        </s:is>
      </s:c>
      <s:c r="C31263" s="28" t="n"/>
      <s:c r="D31263" s="28" t="n"/>
      <s:c r="E31263" s="28" t="n"/>
    </s:row>
    <s:row r="31264" ht="34" customHeight="1">
      <s:c r="A31264" s="112" t="inlineStr">
        <s:is>
          <s:t>Bước 1</s:t>
        </s:is>
      </s:c>
      <s:c r="B31264" s="113" t="inlineStr">
        <s:is>
          <s:t>Xác minh fixture môn chính/môn con/quan điểm, AutoRating và baseline tín chỉ, điểm sao chép; giá trị trung gian/cuối phải khác phía ngưỡng30.</s:t>
        </s:is>
      </s:c>
      <s:c r="C31264" s="28" t="n"/>
      <s:c r="D31264" s="28" t="n"/>
      <s:c r="E31264" s="28" t="n"/>
    </s:row>
    <s:row r="31265" ht="20" customHeight="1">
      <s:c r="A31265" s="112" t="inlineStr">
        <s:is>
          <s:t>Bước 2</s:t>
        </s:is>
      </s:c>
      <s:c r="B31265" s="113" t="inlineStr">
        <s:is>
          <s:t>Lưu điểm môn con qua đường riêng trong bảng trường hợp.</s:t>
        </s:is>
      </s:c>
      <s:c r="C31265" s="28" t="n"/>
      <s:c r="D31265" s="28" t="n"/>
      <s:c r="E31265" s="28" t="n"/>
    </s:row>
    <s:row r="31266" ht="34" customHeight="1">
      <s:c r="A31266" s="112" t="inlineStr">
        <s:is>
          <s:t>Bước 3</s:t>
        </s:is>
      </s:c>
      <s:c r="B31266" s="113" t="inlineStr">
        <s:is>
          <s:t>Đọc điểm môn chính/quan điểm/tín chỉ, thông báo/lỗi và kết quả đỏ sau các bước xử lý cuối, đối chiếu baseline của chính đường đó.</s:t>
        </s:is>
      </s:c>
      <s:c r="C31266" s="28" t="n"/>
      <s:c r="D31266" s="28" t="n"/>
      <s:c r="E31266" s="28" t="n"/>
    </s:row>
    <s:row r="31267" ht="28" customHeight="1">
      <s:c r="A31267" s="115" t="inlineStr">
        <s:is>
          <s:t>Trường hợp</s:t>
        </s:is>
      </s:c>
      <s:c r="B31267" s="115" t="inlineStr">
        <s:is>
          <s:t>Dữ liệu / thao tác riêng</s:t>
        </s:is>
      </s:c>
      <s:c r="C31267" s="115" t="inlineStr">
        <s:is>
          <s:t>Kết quả mong đợi</s:t>
        </s:is>
      </s:c>
      <s:c r="D31267" s="115" t="inlineStr">
        <s:is>
          <s:t>Kết quả thực tế</s:t>
        </s:is>
      </s:c>
      <s:c r="E31267" s="115" t="inlineStr">
        <s:is>
          <s:t>Đánh giá</s:t>
        </s:is>
      </s:c>
    </s:row>
    <s:row r="31268" ht="3" customHeight="1">
      <s:c r="A31268" s="102" t="inlineStr"/>
      <s:c r="B31268" s="99" t="n"/>
      <s:c r="C31268" s="99" t="n"/>
      <s:c r="D31268" s="116" t="n"/>
      <s:c r="E31268" s="116" t="n"/>
    </s:row>
    <s:row r="31269" ht="146" customHeight="1">
      <s:c r="A31269" s="83" t="inlineStr">
        <s:is>
          <s:t>Ghi trực tiếp NB (direct)</s:t>
        </s:is>
      </s:c>
      <s:c r="B31269" s="83" t="inlineStr">
        <s:is>
          <s:r>
            <s:t xml:space="preserve">Lưu điểm môn con qua Màn lớp NB </s:t>
          </s:r>
          <s:r>
            <s:rPr>
              <s:b val="1"/>
            </s:rPr>
            <s:t>Đăng ký thành tích（成績登録）</s:t>
          </s:r>
          <s:r>
            <s:t>; đọc môn chính/quan điểm sao chép/tín chỉ và ô đỏ. Dữ liệu trung gian/cuối nằm khác phía ngưỡng30 theo fixture.</s:t>
          </s:r>
        </s:is>
      </s:c>
      <s:c r="C31269" s="83" t="inlineStr">
        <s:is>
          <s: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s:t>
        </s:is>
      </s:c>
      <s:c r="D31269" s="117" t="inlineStr"/>
      <s:c r="E31269" s="118" t="inlineStr">
        <s:is>
          <s:t>Chưa thực hiện</s:t>
        </s:is>
      </s:c>
    </s:row>
    <s:row r="31270" ht="3" customHeight="1">
      <s:c r="A31270" s="102" t="inlineStr"/>
      <s:c r="B31270" s="99" t="n"/>
      <s:c r="C31270" s="99" t="n"/>
      <s:c r="D31270" s="116" t="n"/>
      <s:c r="E31270" s="116" t="n"/>
    </s:row>
    <s:row r="31271" ht="146" customHeight="1">
      <s:c r="A31271" s="83" t="inlineStr">
        <s:is>
          <s:t>CSV lớp NB (csv)</s:t>
        </s:is>
      </s:c>
      <s:c r="B31271" s="83" t="inlineStr">
        <s:is>
          <s:t>Lưu điểm môn con qua CSV lớp NB; đọc môn chính/quan điểm sao chép/tín chỉ và ô đỏ. Giữ fixture trung gian/cuối khác phía ngưỡng30.</s:t>
        </s:is>
      </s:c>
      <s:c r="C31271" s="83" t="inlineStr">
        <s:is>
          <s: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s:t>
        </s:is>
      </s:c>
      <s:c r="D31271" s="117" t="inlineStr"/>
      <s:c r="E31271" s="118" t="inlineStr">
        <s:is>
          <s:t>Chưa thực hiện</s:t>
        </s:is>
      </s:c>
    </s:row>
    <s:row r="31272" ht="3" customHeight="1">
      <s:c r="A31272" s="102" t="inlineStr"/>
      <s:c r="B31272" s="99" t="n"/>
      <s:c r="C31272" s="99" t="n"/>
      <s:c r="D31272" s="116" t="n"/>
      <s:c r="E31272" s="116" t="n"/>
    </s:row>
    <s:row r="31273" ht="146" customHeight="1">
      <s:c r="A31273" s="83" t="inlineStr">
        <s:is>
          <s:t>CSV lớp chủ nhiệm hàng loạt (hr-csv)</s:t>
        </s:is>
      </s:c>
      <s:c r="B31273" s="83" t="inlineStr">
        <s:is>
          <s:r>
            <s:t xml:space="preserve">Lưu điểm môn con qua Đăng ký điểm </s:t>
          </s:r>
          <s:r>
            <s:rPr>
              <s:b val="1"/>
            </s:rPr>
            <s:t>hàng loạt bằng CSV（HR成績CSV一括登録）</s:t>
          </s:r>
          <s:r>
            <s:t>; đọc môn chính/quan điểm sao chép/tín chỉ và ô đỏ. Giữ fixture trung gian/cuối khác phía ngưỡng30.</s:t>
          </s:r>
        </s:is>
      </s:c>
      <s:c r="C31273" s="83" t="inlineStr">
        <s:is>
          <s: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s:t>
        </s:is>
      </s:c>
      <s:c r="D31273" s="117" t="inlineStr"/>
      <s:c r="E31273" s="118" t="inlineStr">
        <s:is>
          <s:t>Chưa thực hiện</s:t>
        </s:is>
      </s:c>
    </s:row>
    <s:row r="31274" ht="20" customHeight="1">
      <s:c r="A31274" s="119" t="inlineStr">
        <s:is>
          <s:t>Ảnh minh chứng — Chưa có ảnh</s:t>
        </s:is>
      </s:c>
      <s:c r="B31274" s="19" t="n"/>
      <s:c r="C31274" s="19" t="n"/>
      <s:c r="D31274" s="19" t="n"/>
      <s:c r="E31274" s="19" t="n"/>
    </s:row>
    <s:row r="31275" hidden="1" ht="1" customHeight="1">
      <s:c r="A31275" s="120" t="inlineStr"/>
      <s:c r="B31275" s="121" t="n"/>
      <s:c r="C31275" s="121" t="n"/>
      <s:c r="D31275" s="121" t="n"/>
      <s:c r="E31275" s="122" t="n"/>
    </s:row>
    <s:row r="31276" hidden="1" ht="1" customHeight="1">
      <s:c r="A31276" s="120" t="inlineStr"/>
      <s:c r="B31276" s="121" t="n"/>
      <s:c r="C31276" s="121" t="n"/>
      <s:c r="D31276" s="121" t="n"/>
      <s:c r="E31276" s="122" t="n"/>
    </s:row>
    <s:row r="31277" hidden="1" ht="1" customHeight="1">
      <s:c r="A31277" s="120" t="inlineStr"/>
      <s:c r="B31277" s="121" t="n"/>
      <s:c r="C31277" s="121" t="n"/>
      <s:c r="D31277" s="121" t="n"/>
      <s:c r="E31277" s="122" t="n"/>
    </s:row>
    <s:row r="31278" hidden="1" ht="1" customHeight="1">
      <s:c r="A31278" s="120" t="inlineStr"/>
      <s:c r="B31278" s="121" t="n"/>
      <s:c r="C31278" s="121" t="n"/>
      <s:c r="D31278" s="121" t="n"/>
      <s:c r="E31278" s="122" t="n"/>
    </s:row>
    <s:row r="31279" hidden="1" ht="1" customHeight="1">
      <s:c r="A31279" s="120" t="inlineStr"/>
      <s:c r="B31279" s="121" t="n"/>
      <s:c r="C31279" s="121" t="n"/>
      <s:c r="D31279" s="121" t="n"/>
      <s:c r="E31279" s="122" t="n"/>
    </s:row>
    <s:row r="31280" hidden="1" ht="1" customHeight="1">
      <s:c r="A31280" s="120" t="inlineStr"/>
      <s:c r="B31280" s="121" t="n"/>
      <s:c r="C31280" s="121" t="n"/>
      <s:c r="D31280" s="121" t="n"/>
      <s:c r="E31280" s="122" t="n"/>
    </s:row>
    <s:row r="31281" hidden="1" ht="1" customHeight="1">
      <s:c r="A31281" s="120" t="inlineStr"/>
      <s:c r="B31281" s="121" t="n"/>
      <s:c r="C31281" s="121" t="n"/>
      <s:c r="D31281" s="121" t="n"/>
      <s:c r="E31281" s="122" t="n"/>
    </s:row>
    <s:row r="31282" hidden="1" ht="1" customHeight="1">
      <s:c r="A31282" s="120" t="inlineStr"/>
      <s:c r="B31282" s="121" t="n"/>
      <s:c r="C31282" s="121" t="n"/>
      <s:c r="D31282" s="121" t="n"/>
      <s:c r="E31282" s="122" t="n"/>
    </s:row>
    <s:row r="31283" hidden="1" ht="1" customHeight="1">
      <s:c r="A31283" s="120" t="inlineStr"/>
      <s:c r="B31283" s="121" t="n"/>
      <s:c r="C31283" s="121" t="n"/>
      <s:c r="D31283" s="121" t="n"/>
      <s:c r="E31283" s="122" t="n"/>
    </s:row>
    <s:row r="31284" hidden="1" ht="1" customHeight="1">
      <s:c r="A31284" s="120" t="inlineStr"/>
      <s:c r="B31284" s="121" t="n"/>
      <s:c r="C31284" s="121" t="n"/>
      <s:c r="D31284" s="121" t="n"/>
      <s:c r="E31284" s="122" t="n"/>
    </s:row>
    <s:row r="31285" hidden="1" ht="1" customHeight="1">
      <s:c r="A31285" s="120" t="inlineStr"/>
      <s:c r="B31285" s="121" t="n"/>
      <s:c r="C31285" s="121" t="n"/>
      <s:c r="D31285" s="121" t="n"/>
      <s:c r="E31285" s="122" t="n"/>
    </s:row>
    <s:row r="31286" hidden="1" ht="1" customHeight="1">
      <s:c r="A31286" s="120" t="inlineStr"/>
      <s:c r="B31286" s="121" t="n"/>
      <s:c r="C31286" s="121" t="n"/>
      <s:c r="D31286" s="121" t="n"/>
      <s:c r="E31286" s="122" t="n"/>
    </s:row>
    <s:row r="31287" hidden="1" ht="1" customHeight="1">
      <s:c r="A31287" s="120" t="inlineStr"/>
      <s:c r="B31287" s="121" t="n"/>
      <s:c r="C31287" s="121" t="n"/>
      <s:c r="D31287" s="121" t="n"/>
      <s:c r="E31287" s="122" t="n"/>
    </s:row>
    <s:row r="31288" hidden="1" ht="1" customHeight="1">
      <s:c r="A31288" s="120" t="inlineStr"/>
      <s:c r="B31288" s="121" t="n"/>
      <s:c r="C31288" s="121" t="n"/>
      <s:c r="D31288" s="121" t="n"/>
      <s:c r="E31288" s="122" t="n"/>
    </s:row>
    <s:row r="31289" hidden="1" ht="1" customHeight="1">
      <s:c r="A31289" s="120" t="inlineStr"/>
      <s:c r="B31289" s="121" t="n"/>
      <s:c r="C31289" s="121" t="n"/>
      <s:c r="D31289" s="121" t="n"/>
      <s:c r="E31289" s="122" t="n"/>
    </s:row>
    <s:row r="31290" hidden="1" ht="1" customHeight="1">
      <s:c r="A31290" s="120" t="inlineStr"/>
      <s:c r="B31290" s="121" t="n"/>
      <s:c r="C31290" s="121" t="n"/>
      <s:c r="D31290" s="121" t="n"/>
      <s:c r="E31290" s="122" t="n"/>
    </s:row>
    <s:row r="31291" hidden="1" ht="1" customHeight="1">
      <s:c r="A31291" s="120" t="inlineStr"/>
      <s:c r="B31291" s="121" t="n"/>
      <s:c r="C31291" s="121" t="n"/>
      <s:c r="D31291" s="121" t="n"/>
      <s:c r="E31291" s="122" t="n"/>
    </s:row>
    <s:row r="31292" hidden="1" ht="1" customHeight="1">
      <s:c r="A31292" s="120" t="inlineStr"/>
      <s:c r="B31292" s="121" t="n"/>
      <s:c r="C31292" s="121" t="n"/>
      <s:c r="D31292" s="121" t="n"/>
      <s:c r="E31292" s="122" t="n"/>
    </s:row>
    <s:row r="31293" hidden="1" ht="1" customHeight="1">
      <s:c r="A31293" s="120" t="inlineStr"/>
      <s:c r="B31293" s="121" t="n"/>
      <s:c r="C31293" s="121" t="n"/>
      <s:c r="D31293" s="121" t="n"/>
      <s:c r="E31293" s="122" t="n"/>
    </s:row>
    <s:row r="31294" hidden="1" ht="1" customHeight="1">
      <s:c r="A31294" s="120" t="inlineStr"/>
      <s:c r="B31294" s="121" t="n"/>
      <s:c r="C31294" s="121" t="n"/>
      <s:c r="D31294" s="121" t="n"/>
      <s:c r="E31294" s="122" t="n"/>
    </s:row>
    <s:row r="31295" hidden="1" ht="1" customHeight="1">
      <s:c r="A31295" s="120" t="inlineStr"/>
      <s:c r="B31295" s="121" t="n"/>
      <s:c r="C31295" s="121" t="n"/>
      <s:c r="D31295" s="121" t="n"/>
      <s:c r="E31295" s="122" t="n"/>
    </s:row>
    <s:row r="31296" hidden="1" ht="1" customHeight="1">
      <s:c r="A31296" s="120" t="inlineStr"/>
      <s:c r="B31296" s="121" t="n"/>
      <s:c r="C31296" s="121" t="n"/>
      <s:c r="D31296" s="121" t="n"/>
      <s:c r="E31296" s="122" t="n"/>
    </s:row>
    <s:row r="31297" hidden="1" ht="1" customHeight="1">
      <s:c r="A31297" s="120" t="inlineStr"/>
      <s:c r="B31297" s="121" t="n"/>
      <s:c r="C31297" s="121" t="n"/>
      <s:c r="D31297" s="121" t="n"/>
      <s:c r="E31297" s="122" t="n"/>
    </s:row>
    <s:row r="31298" hidden="1" ht="1" customHeight="1">
      <s:c r="A31298" s="120" t="inlineStr"/>
      <s:c r="B31298" s="121" t="n"/>
      <s:c r="C31298" s="121" t="n"/>
      <s:c r="D31298" s="121" t="n"/>
      <s:c r="E31298" s="122" t="n"/>
    </s:row>
    <s:row r="31299" hidden="1" ht="1" customHeight="1">
      <s:c r="A31299" s="120" t="inlineStr"/>
      <s:c r="B31299" s="121" t="n"/>
      <s:c r="C31299" s="121" t="n"/>
      <s:c r="D31299" s="121" t="n"/>
      <s:c r="E31299" s="122" t="n"/>
    </s:row>
    <s:row r="31300" hidden="1" ht="1" customHeight="1">
      <s:c r="A31300" s="120" t="inlineStr"/>
      <s:c r="B31300" s="121" t="n"/>
      <s:c r="C31300" s="121" t="n"/>
      <s:c r="D31300" s="121" t="n"/>
      <s:c r="E31300" s="122" t="n"/>
    </s:row>
    <s:row r="31301" hidden="1" ht="1" customHeight="1">
      <s:c r="A31301" s="120" t="inlineStr"/>
      <s:c r="B31301" s="121" t="n"/>
      <s:c r="C31301" s="121" t="n"/>
      <s:c r="D31301" s="121" t="n"/>
      <s:c r="E31301" s="122" t="n"/>
    </s:row>
    <s:row r="31302" hidden="1" ht="1" customHeight="1">
      <s:c r="A31302" s="120" t="inlineStr"/>
      <s:c r="B31302" s="121" t="n"/>
      <s:c r="C31302" s="121" t="n"/>
      <s:c r="D31302" s="121" t="n"/>
      <s:c r="E31302" s="122" t="n"/>
    </s:row>
    <s:row r="31303" hidden="1" ht="1" customHeight="1">
      <s:c r="A31303" s="120" t="inlineStr"/>
      <s:c r="B31303" s="121" t="n"/>
      <s:c r="C31303" s="121" t="n"/>
      <s:c r="D31303" s="121" t="n"/>
      <s:c r="E31303" s="122" t="n"/>
    </s:row>
    <s:row r="31304" hidden="1" ht="1" customHeight="1">
      <s:c r="A31304" s="120" t="inlineStr"/>
      <s:c r="B31304" s="121" t="n"/>
      <s:c r="C31304" s="121" t="n"/>
      <s:c r="D31304" s="121" t="n"/>
      <s:c r="E31304" s="122" t="n"/>
    </s:row>
    <s:row r="31305" hidden="1" ht="1" customHeight="1">
      <s:c r="A31305" s="120" t="inlineStr"/>
      <s:c r="B31305" s="121" t="n"/>
      <s:c r="C31305" s="121" t="n"/>
      <s:c r="D31305" s="121" t="n"/>
      <s:c r="E31305" s="122" t="n"/>
    </s:row>
    <s:row r="31306" hidden="1" ht="1" customHeight="1">
      <s:c r="A31306" s="120" t="inlineStr"/>
      <s:c r="B31306" s="121" t="n"/>
      <s:c r="C31306" s="121" t="n"/>
      <s:c r="D31306" s="121" t="n"/>
      <s:c r="E31306" s="122" t="n"/>
    </s:row>
    <s:row r="31307" hidden="1" ht="1" customHeight="1">
      <s:c r="A31307" s="120" t="inlineStr"/>
      <s:c r="B31307" s="121" t="n"/>
      <s:c r="C31307" s="121" t="n"/>
      <s:c r="D31307" s="121" t="n"/>
      <s:c r="E31307" s="122" t="n"/>
    </s:row>
    <s:row r="31308" hidden="1" ht="1" customHeight="1">
      <s:c r="A31308" s="120" t="inlineStr"/>
      <s:c r="B31308" s="121" t="n"/>
      <s:c r="C31308" s="121" t="n"/>
      <s:c r="D31308" s="121" t="n"/>
      <s:c r="E31308" s="122" t="n"/>
    </s:row>
    <s:row r="31309" hidden="1" ht="1" customHeight="1">
      <s:c r="A31309" s="120" t="inlineStr"/>
      <s:c r="B31309" s="121" t="n"/>
      <s:c r="C31309" s="121" t="n"/>
      <s:c r="D31309" s="121" t="n"/>
      <s:c r="E31309" s="122" t="n"/>
    </s:row>
    <s:row r="31310" hidden="1" ht="1" customHeight="1">
      <s:c r="A31310" s="120" t="inlineStr"/>
      <s:c r="B31310" s="121" t="n"/>
      <s:c r="C31310" s="121" t="n"/>
      <s:c r="D31310" s="121" t="n"/>
      <s:c r="E31310" s="122" t="n"/>
    </s:row>
    <s:row r="31311" hidden="1" ht="1" customHeight="1">
      <s:c r="A31311" s="120" t="inlineStr"/>
      <s:c r="B31311" s="121" t="n"/>
      <s:c r="C31311" s="121" t="n"/>
      <s:c r="D31311" s="121" t="n"/>
      <s:c r="E31311" s="122" t="n"/>
    </s:row>
    <s:row r="31312" hidden="1" ht="1" customHeight="1">
      <s:c r="A31312" s="120" t="inlineStr"/>
      <s:c r="B31312" s="121" t="n"/>
      <s:c r="C31312" s="121" t="n"/>
      <s:c r="D31312" s="121" t="n"/>
      <s:c r="E31312" s="122" t="n"/>
    </s:row>
    <s:row r="31313" hidden="1" ht="1" customHeight="1">
      <s:c r="A31313" s="120" t="inlineStr"/>
      <s:c r="B31313" s="121" t="n"/>
      <s:c r="C31313" s="121" t="n"/>
      <s:c r="D31313" s="121" t="n"/>
      <s:c r="E31313" s="122" t="n"/>
    </s:row>
    <s:row r="31314" hidden="1" ht="1" customHeight="1">
      <s:c r="A31314" s="120" t="inlineStr"/>
      <s:c r="B31314" s="121" t="n"/>
      <s:c r="C31314" s="121" t="n"/>
      <s:c r="D31314" s="121" t="n"/>
      <s:c r="E31314" s="122" t="n"/>
    </s:row>
    <s:row r="31315" hidden="1" ht="1" customHeight="1">
      <s:c r="A31315" s="120" t="inlineStr"/>
      <s:c r="B31315" s="121" t="n"/>
      <s:c r="C31315" s="121" t="n"/>
      <s:c r="D31315" s="121" t="n"/>
      <s:c r="E31315" s="122" t="n"/>
    </s:row>
    <s:row r="31316" hidden="1" ht="1" customHeight="1">
      <s:c r="A31316" s="120" t="inlineStr"/>
      <s:c r="B31316" s="121" t="n"/>
      <s:c r="C31316" s="121" t="n"/>
      <s:c r="D31316" s="121" t="n"/>
      <s:c r="E31316" s="122" t="n"/>
    </s:row>
    <s:row r="31317" hidden="1" ht="1" customHeight="1">
      <s:c r="A31317" s="120" t="inlineStr"/>
      <s:c r="B31317" s="121" t="n"/>
      <s:c r="C31317" s="121" t="n"/>
      <s:c r="D31317" s="121" t="n"/>
      <s:c r="E31317" s="122" t="n"/>
    </s:row>
    <s:row r="31318" hidden="1" ht="1" customHeight="1">
      <s:c r="A31318" s="120" t="inlineStr"/>
      <s:c r="B31318" s="121" t="n"/>
      <s:c r="C31318" s="121" t="n"/>
      <s:c r="D31318" s="121" t="n"/>
      <s:c r="E31318" s="122" t="n"/>
    </s:row>
    <s:row r="31319" hidden="1" ht="1" customHeight="1">
      <s:c r="A31319" s="120" t="inlineStr"/>
      <s:c r="B31319" s="121" t="n"/>
      <s:c r="C31319" s="121" t="n"/>
      <s:c r="D31319" s="121" t="n"/>
      <s:c r="E31319" s="122" t="n"/>
    </s:row>
    <s:row r="31320" hidden="1" ht="1" customHeight="1">
      <s:c r="A31320" s="120" t="inlineStr"/>
      <s:c r="B31320" s="121" t="n"/>
      <s:c r="C31320" s="121" t="n"/>
      <s:c r="D31320" s="121" t="n"/>
      <s:c r="E31320" s="122" t="n"/>
    </s:row>
    <s:row r="31321" hidden="1" ht="1" customHeight="1">
      <s:c r="A31321" s="120" t="inlineStr"/>
      <s:c r="B31321" s="121" t="n"/>
      <s:c r="C31321" s="121" t="n"/>
      <s:c r="D31321" s="121" t="n"/>
      <s:c r="E31321" s="122" t="n"/>
    </s:row>
    <s:row r="31322" hidden="1" ht="1" customHeight="1">
      <s:c r="A31322" s="120" t="inlineStr"/>
      <s:c r="B31322" s="121" t="n"/>
      <s:c r="C31322" s="121" t="n"/>
      <s:c r="D31322" s="121" t="n"/>
      <s:c r="E31322" s="122" t="n"/>
    </s:row>
    <s:row r="31323" hidden="1" ht="1" customHeight="1">
      <s:c r="A31323" s="120" t="inlineStr"/>
      <s:c r="B31323" s="121" t="n"/>
      <s:c r="C31323" s="121" t="n"/>
      <s:c r="D31323" s="121" t="n"/>
      <s:c r="E31323" s="122" t="n"/>
    </s:row>
    <s:row r="31324" hidden="1" ht="1" customHeight="1">
      <s:c r="A31324" s="120" t="inlineStr"/>
      <s:c r="B31324" s="121" t="n"/>
      <s:c r="C31324" s="121" t="n"/>
      <s:c r="D31324" s="121" t="n"/>
      <s:c r="E31324" s="122" t="n"/>
    </s:row>
    <s:row r="31325" hidden="1" ht="1" customHeight="1">
      <s:c r="A31325" s="120" t="inlineStr"/>
      <s:c r="B31325" s="121" t="n"/>
      <s:c r="C31325" s="121" t="n"/>
      <s:c r="D31325" s="121" t="n"/>
      <s:c r="E31325" s="122" t="n"/>
    </s:row>
    <s:row r="31326" hidden="1" ht="1" customHeight="1">
      <s:c r="A31326" s="120" t="inlineStr"/>
      <s:c r="B31326" s="121" t="n"/>
      <s:c r="C31326" s="121" t="n"/>
      <s:c r="D31326" s="121" t="n"/>
      <s:c r="E31326" s="122" t="n"/>
    </s:row>
    <s:row r="31327" hidden="1" ht="1" customHeight="1">
      <s:c r="A31327" s="120" t="inlineStr"/>
      <s:c r="B31327" s="121" t="n"/>
      <s:c r="C31327" s="121" t="n"/>
      <s:c r="D31327" s="121" t="n"/>
      <s:c r="E31327" s="122" t="n"/>
    </s:row>
    <s:row r="31328" hidden="1" ht="1" customHeight="1">
      <s:c r="A31328" s="120" t="inlineStr"/>
      <s:c r="B31328" s="121" t="n"/>
      <s:c r="C31328" s="121" t="n"/>
      <s:c r="D31328" s="121" t="n"/>
      <s:c r="E31328" s="122" t="n"/>
    </s:row>
    <s:row r="31329" hidden="1" ht="1" customHeight="1">
      <s:c r="A31329" s="120" t="inlineStr"/>
      <s:c r="B31329" s="121" t="n"/>
      <s:c r="C31329" s="121" t="n"/>
      <s:c r="D31329" s="121" t="n"/>
      <s:c r="E31329" s="122" t="n"/>
    </s:row>
    <s:row r="31330" hidden="1" ht="1" customHeight="1">
      <s:c r="A31330" s="120" t="inlineStr"/>
      <s:c r="B31330" s="121" t="n"/>
      <s:c r="C31330" s="121" t="n"/>
      <s:c r="D31330" s="121" t="n"/>
      <s:c r="E31330" s="122" t="n"/>
    </s:row>
    <s:row r="31331" hidden="1" ht="1" customHeight="1">
      <s:c r="A31331" s="120" t="inlineStr"/>
      <s:c r="B31331" s="121" t="n"/>
      <s:c r="C31331" s="121" t="n"/>
      <s:c r="D31331" s="121" t="n"/>
      <s:c r="E31331" s="122" t="n"/>
    </s:row>
    <s:row r="31332" hidden="1" ht="1" customHeight="1">
      <s:c r="A31332" s="120" t="inlineStr"/>
      <s:c r="B31332" s="121" t="n"/>
      <s:c r="C31332" s="121" t="n"/>
      <s:c r="D31332" s="121" t="n"/>
      <s:c r="E31332" s="122" t="n"/>
    </s:row>
    <s:row r="31333" hidden="1" ht="1" customHeight="1">
      <s:c r="A31333" s="120" t="inlineStr"/>
      <s:c r="B31333" s="121" t="n"/>
      <s:c r="C31333" s="121" t="n"/>
      <s:c r="D31333" s="121" t="n"/>
      <s:c r="E31333" s="122" t="n"/>
    </s:row>
    <s:row r="31334" hidden="1" ht="1" customHeight="1">
      <s:c r="A31334" s="120" t="inlineStr"/>
      <s:c r="B31334" s="121" t="n"/>
      <s:c r="C31334" s="121" t="n"/>
      <s:c r="D31334" s="121" t="n"/>
      <s:c r="E31334" s="122" t="n"/>
    </s:row>
    <s:row r="31335" hidden="1" ht="1" customHeight="1">
      <s:c r="A31335" s="120" t="inlineStr"/>
      <s:c r="B31335" s="121" t="n"/>
      <s:c r="C31335" s="121" t="n"/>
      <s:c r="D31335" s="121" t="n"/>
      <s:c r="E31335" s="122" t="n"/>
    </s:row>
    <s:row r="31336" hidden="1" ht="1" customHeight="1">
      <s:c r="A31336" s="120" t="inlineStr"/>
      <s:c r="B31336" s="121" t="n"/>
      <s:c r="C31336" s="121" t="n"/>
      <s:c r="D31336" s="121" t="n"/>
      <s:c r="E31336" s="122" t="n"/>
    </s:row>
    <s:row r="31337" hidden="1" ht="1" customHeight="1">
      <s:c r="A31337" s="120" t="inlineStr"/>
      <s:c r="B31337" s="121" t="n"/>
      <s:c r="C31337" s="121" t="n"/>
      <s:c r="D31337" s="121" t="n"/>
      <s:c r="E31337" s="122" t="n"/>
    </s:row>
    <s:row r="31338" hidden="1" ht="1" customHeight="1">
      <s:c r="A31338" s="120" t="inlineStr"/>
      <s:c r="B31338" s="121" t="n"/>
      <s:c r="C31338" s="121" t="n"/>
      <s:c r="D31338" s="121" t="n"/>
      <s:c r="E31338" s="122" t="n"/>
    </s:row>
    <s:row r="31339" hidden="1" ht="1" customHeight="1">
      <s:c r="A31339" s="120" t="inlineStr"/>
      <s:c r="B31339" s="121" t="n"/>
      <s:c r="C31339" s="121" t="n"/>
      <s:c r="D31339" s="121" t="n"/>
      <s:c r="E31339" s="122" t="n"/>
    </s:row>
    <s:row r="31340" hidden="1" ht="1" customHeight="1">
      <s:c r="A31340" s="120" t="inlineStr"/>
      <s:c r="B31340" s="121" t="n"/>
      <s:c r="C31340" s="121" t="n"/>
      <s:c r="D31340" s="121" t="n"/>
      <s:c r="E31340" s="122" t="n"/>
    </s:row>
    <s:row r="31341" hidden="1" ht="1" customHeight="1">
      <s:c r="A31341" s="120" t="inlineStr"/>
      <s:c r="B31341" s="121" t="n"/>
      <s:c r="C31341" s="121" t="n"/>
      <s:c r="D31341" s="121" t="n"/>
      <s:c r="E31341" s="122" t="n"/>
    </s:row>
    <s:row r="31342" hidden="1" ht="1" customHeight="1">
      <s:c r="A31342" s="120" t="inlineStr"/>
      <s:c r="B31342" s="121" t="n"/>
      <s:c r="C31342" s="121" t="n"/>
      <s:c r="D31342" s="121" t="n"/>
      <s:c r="E31342" s="122" t="n"/>
    </s:row>
    <s:row r="31343" hidden="1" ht="1" customHeight="1">
      <s:c r="A31343" s="120" t="inlineStr"/>
      <s:c r="B31343" s="121" t="n"/>
      <s:c r="C31343" s="121" t="n"/>
      <s:c r="D31343" s="121" t="n"/>
      <s:c r="E31343" s="122" t="n"/>
    </s:row>
    <s:row r="31344" hidden="1" ht="1" customHeight="1">
      <s:c r="A31344" s="120" t="inlineStr"/>
      <s:c r="B31344" s="121" t="n"/>
      <s:c r="C31344" s="121" t="n"/>
      <s:c r="D31344" s="121" t="n"/>
      <s:c r="E31344" s="122" t="n"/>
    </s:row>
    <s:row r="31345" hidden="1" ht="1" customHeight="1">
      <s:c r="A31345" s="120" t="inlineStr"/>
      <s:c r="B31345" s="121" t="n"/>
      <s:c r="C31345" s="121" t="n"/>
      <s:c r="D31345" s="121" t="n"/>
      <s:c r="E31345" s="122" t="n"/>
    </s:row>
    <s:row r="31346" hidden="1" ht="1" customHeight="1">
      <s:c r="A31346" s="120" t="inlineStr"/>
      <s:c r="B31346" s="121" t="n"/>
      <s:c r="C31346" s="121" t="n"/>
      <s:c r="D31346" s="121" t="n"/>
      <s:c r="E31346" s="122" t="n"/>
    </s:row>
    <s:row r="31347" hidden="1" ht="1" customHeight="1">
      <s:c r="A31347" s="120" t="inlineStr"/>
      <s:c r="B31347" s="121" t="n"/>
      <s:c r="C31347" s="121" t="n"/>
      <s:c r="D31347" s="121" t="n"/>
      <s:c r="E31347" s="122" t="n"/>
    </s:row>
    <s:row r="31348" hidden="1" ht="1" customHeight="1">
      <s:c r="A31348" s="120" t="inlineStr"/>
      <s:c r="B31348" s="121" t="n"/>
      <s:c r="C31348" s="121" t="n"/>
      <s:c r="D31348" s="121" t="n"/>
      <s:c r="E31348" s="122" t="n"/>
    </s:row>
    <s:row r="31349" hidden="1" ht="1" customHeight="1">
      <s:c r="A31349" s="120" t="inlineStr"/>
      <s:c r="B31349" s="121" t="n"/>
      <s:c r="C31349" s="121" t="n"/>
      <s:c r="D31349" s="121" t="n"/>
      <s:c r="E31349" s="122" t="n"/>
    </s:row>
    <s:row r="31350" hidden="1" ht="1" customHeight="1">
      <s:c r="A31350" s="120" t="inlineStr"/>
      <s:c r="B31350" s="121" t="n"/>
      <s:c r="C31350" s="121" t="n"/>
      <s:c r="D31350" s="121" t="n"/>
      <s:c r="E31350" s="122" t="n"/>
    </s:row>
    <s:row r="31351" hidden="1" ht="1" customHeight="1">
      <s:c r="A31351" s="120" t="inlineStr"/>
      <s:c r="B31351" s="121" t="n"/>
      <s:c r="C31351" s="121" t="n"/>
      <s:c r="D31351" s="121" t="n"/>
      <s:c r="E31351" s="122" t="n"/>
    </s:row>
    <s:row r="31352" hidden="1" ht="1" customHeight="1">
      <s:c r="A31352" s="120" t="inlineStr"/>
      <s:c r="B31352" s="121" t="n"/>
      <s:c r="C31352" s="121" t="n"/>
      <s:c r="D31352" s="121" t="n"/>
      <s:c r="E31352" s="122" t="n"/>
    </s:row>
    <s:row r="31353" hidden="1" ht="1" customHeight="1">
      <s:c r="A31353" s="120" t="inlineStr"/>
      <s:c r="B31353" s="121" t="n"/>
      <s:c r="C31353" s="121" t="n"/>
      <s:c r="D31353" s="121" t="n"/>
      <s:c r="E31353" s="122" t="n"/>
    </s:row>
    <s:row r="31354" hidden="1" ht="1" customHeight="1">
      <s:c r="A31354" s="120" t="inlineStr"/>
      <s:c r="B31354" s="121" t="n"/>
      <s:c r="C31354" s="121" t="n"/>
      <s:c r="D31354" s="121" t="n"/>
      <s:c r="E31354" s="122" t="n"/>
    </s:row>
    <s:row r="31355" hidden="1" ht="1" customHeight="1">
      <s:c r="A31355" s="120" t="inlineStr"/>
      <s:c r="B31355" s="121" t="n"/>
      <s:c r="C31355" s="121" t="n"/>
      <s:c r="D31355" s="121" t="n"/>
      <s:c r="E31355" s="122" t="n"/>
    </s:row>
    <s:row r="31356" hidden="1" ht="1" customHeight="1">
      <s:c r="A31356" s="120" t="inlineStr"/>
      <s:c r="B31356" s="121" t="n"/>
      <s:c r="C31356" s="121" t="n"/>
      <s:c r="D31356" s="121" t="n"/>
      <s:c r="E31356" s="122" t="n"/>
    </s:row>
    <s:row r="31357" hidden="1" ht="1" customHeight="1">
      <s:c r="A31357" s="120" t="inlineStr"/>
      <s:c r="B31357" s="121" t="n"/>
      <s:c r="C31357" s="121" t="n"/>
      <s:c r="D31357" s="121" t="n"/>
      <s:c r="E31357" s="122" t="n"/>
    </s:row>
    <s:row r="31358" hidden="1" ht="1" customHeight="1">
      <s:c r="A31358" s="120" t="inlineStr"/>
      <s:c r="B31358" s="121" t="n"/>
      <s:c r="C31358" s="121" t="n"/>
      <s:c r="D31358" s="121" t="n"/>
      <s:c r="E31358" s="122" t="n"/>
    </s:row>
    <s:row r="31359" hidden="1" ht="1" customHeight="1">
      <s:c r="A31359" s="120" t="inlineStr"/>
      <s:c r="B31359" s="121" t="n"/>
      <s:c r="C31359" s="121" t="n"/>
      <s:c r="D31359" s="121" t="n"/>
      <s:c r="E31359" s="122" t="n"/>
    </s:row>
    <s:row r="31360" hidden="1" ht="1" customHeight="1">
      <s:c r="A31360" s="120" t="inlineStr"/>
      <s:c r="B31360" s="121" t="n"/>
      <s:c r="C31360" s="121" t="n"/>
      <s:c r="D31360" s="121" t="n"/>
      <s:c r="E31360" s="122" t="n"/>
    </s:row>
    <s:row r="31361" hidden="1" ht="1" customHeight="1">
      <s:c r="A31361" s="120" t="inlineStr"/>
      <s:c r="B31361" s="121" t="n"/>
      <s:c r="C31361" s="121" t="n"/>
      <s:c r="D31361" s="121" t="n"/>
      <s:c r="E31361" s="122" t="n"/>
    </s:row>
    <s:row r="31362" hidden="1" ht="1" customHeight="1">
      <s:c r="A31362" s="120" t="inlineStr"/>
      <s:c r="B31362" s="121" t="n"/>
      <s:c r="C31362" s="121" t="n"/>
      <s:c r="D31362" s="121" t="n"/>
      <s:c r="E31362" s="122" t="n"/>
    </s:row>
    <s:row r="31363" hidden="1" ht="1" customHeight="1">
      <s:c r="A31363" s="120" t="inlineStr"/>
      <s:c r="B31363" s="121" t="n"/>
      <s:c r="C31363" s="121" t="n"/>
      <s:c r="D31363" s="121" t="n"/>
      <s:c r="E31363" s="122" t="n"/>
    </s:row>
    <s:row r="31364" hidden="1" ht="1" customHeight="1">
      <s:c r="A31364" s="120" t="inlineStr"/>
      <s:c r="B31364" s="121" t="n"/>
      <s:c r="C31364" s="121" t="n"/>
      <s:c r="D31364" s="121" t="n"/>
      <s:c r="E31364" s="122" t="n"/>
    </s:row>
    <s:row r="31365" hidden="1" ht="1" customHeight="1">
      <s:c r="A31365" s="120" t="inlineStr"/>
      <s:c r="B31365" s="121" t="n"/>
      <s:c r="C31365" s="121" t="n"/>
      <s:c r="D31365" s="121" t="n"/>
      <s:c r="E31365" s="122" t="n"/>
    </s:row>
    <s:row r="31366" hidden="1" ht="1" customHeight="1">
      <s:c r="A31366" s="120" t="inlineStr"/>
      <s:c r="B31366" s="121" t="n"/>
      <s:c r="C31366" s="121" t="n"/>
      <s:c r="D31366" s="121" t="n"/>
      <s:c r="E31366" s="122" t="n"/>
    </s:row>
    <s:row r="31367" hidden="1" ht="1" customHeight="1">
      <s:c r="A31367" s="120" t="inlineStr"/>
      <s:c r="B31367" s="121" t="n"/>
      <s:c r="C31367" s="121" t="n"/>
      <s:c r="D31367" s="121" t="n"/>
      <s:c r="E31367" s="122" t="n"/>
    </s:row>
    <s:row r="31368" hidden="1" ht="1" customHeight="1">
      <s:c r="A31368" s="120" t="inlineStr"/>
      <s:c r="B31368" s="121" t="n"/>
      <s:c r="C31368" s="121" t="n"/>
      <s:c r="D31368" s="121" t="n"/>
      <s:c r="E31368" s="122" t="n"/>
    </s:row>
    <s:row r="31369" hidden="1" ht="1" customHeight="1">
      <s:c r="A31369" s="120" t="inlineStr"/>
      <s:c r="B31369" s="121" t="n"/>
      <s:c r="C31369" s="121" t="n"/>
      <s:c r="D31369" s="121" t="n"/>
      <s:c r="E31369" s="122" t="n"/>
    </s:row>
    <s:row r="31370" hidden="1" ht="1" customHeight="1">
      <s:c r="A31370" s="120" t="inlineStr"/>
      <s:c r="B31370" s="121" t="n"/>
      <s:c r="C31370" s="121" t="n"/>
      <s:c r="D31370" s="121" t="n"/>
      <s:c r="E31370" s="122" t="n"/>
    </s:row>
    <s:row r="31371" hidden="1" ht="1" customHeight="1">
      <s:c r="A31371" s="120" t="inlineStr"/>
      <s:c r="B31371" s="121" t="n"/>
      <s:c r="C31371" s="121" t="n"/>
      <s:c r="D31371" s="121" t="n"/>
      <s:c r="E31371" s="122" t="n"/>
    </s:row>
    <s:row r="31372" hidden="1" ht="1" customHeight="1">
      <s:c r="A31372" s="120" t="inlineStr"/>
      <s:c r="B31372" s="121" t="n"/>
      <s:c r="C31372" s="121" t="n"/>
      <s:c r="D31372" s="121" t="n"/>
      <s:c r="E31372" s="122" t="n"/>
    </s:row>
    <s:row r="31373" hidden="1" ht="1" customHeight="1">
      <s:c r="A31373" s="120" t="inlineStr"/>
      <s:c r="B31373" s="121" t="n"/>
      <s:c r="C31373" s="121" t="n"/>
      <s:c r="D31373" s="121" t="n"/>
      <s:c r="E31373" s="122" t="n"/>
    </s:row>
    <s:row r="31374" hidden="1" ht="1" customHeight="1">
      <s:c r="A31374" s="120" t="inlineStr"/>
      <s:c r="B31374" s="121" t="n"/>
      <s:c r="C31374" s="121" t="n"/>
      <s:c r="D31374" s="121" t="n"/>
      <s:c r="E31374" s="122" t="n"/>
    </s:row>
    <s:row r="31375" hidden="1" ht="1" customHeight="1">
      <s:c r="A31375" s="120" t="inlineStr"/>
      <s:c r="B31375" s="121" t="n"/>
      <s:c r="C31375" s="121" t="n"/>
      <s:c r="D31375" s="121" t="n"/>
      <s:c r="E31375" s="122" t="n"/>
    </s:row>
    <s:row r="31376" hidden="1" ht="1" customHeight="1">
      <s:c r="A31376" s="120" t="inlineStr"/>
      <s:c r="B31376" s="121" t="n"/>
      <s:c r="C31376" s="121" t="n"/>
      <s:c r="D31376" s="121" t="n"/>
      <s:c r="E31376" s="122" t="n"/>
    </s:row>
    <s:row r="31377" hidden="1" ht="1" customHeight="1">
      <s:c r="A31377" s="120" t="inlineStr"/>
      <s:c r="B31377" s="121" t="n"/>
      <s:c r="C31377" s="121" t="n"/>
      <s:c r="D31377" s="121" t="n"/>
      <s:c r="E31377" s="122" t="n"/>
    </s:row>
    <s:row r="31378" hidden="1" ht="1" customHeight="1">
      <s:c r="A31378" s="120" t="inlineStr"/>
      <s:c r="B31378" s="121" t="n"/>
      <s:c r="C31378" s="121" t="n"/>
      <s:c r="D31378" s="121" t="n"/>
      <s:c r="E31378" s="122" t="n"/>
    </s:row>
    <s:row r="31379" hidden="1" ht="1" customHeight="1">
      <s:c r="A31379" s="120" t="inlineStr"/>
      <s:c r="B31379" s="121" t="n"/>
      <s:c r="C31379" s="121" t="n"/>
      <s:c r="D31379" s="121" t="n"/>
      <s:c r="E31379" s="122" t="n"/>
    </s:row>
    <s:row r="31380" hidden="1" ht="1" customHeight="1">
      <s:c r="A31380" s="120" t="inlineStr"/>
      <s:c r="B31380" s="121" t="n"/>
      <s:c r="C31380" s="121" t="n"/>
      <s:c r="D31380" s="121" t="n"/>
      <s:c r="E31380" s="122" t="n"/>
    </s:row>
    <s:row r="31381" hidden="1" ht="1" customHeight="1">
      <s:c r="A31381" s="120" t="inlineStr"/>
      <s:c r="B31381" s="121" t="n"/>
      <s:c r="C31381" s="121" t="n"/>
      <s:c r="D31381" s="121" t="n"/>
      <s:c r="E31381" s="122" t="n"/>
    </s:row>
    <s:row r="31382" hidden="1" ht="1" customHeight="1">
      <s:c r="A31382" s="120" t="inlineStr"/>
      <s:c r="B31382" s="121" t="n"/>
      <s:c r="C31382" s="121" t="n"/>
      <s:c r="D31382" s="121" t="n"/>
      <s:c r="E31382" s="122" t="n"/>
    </s:row>
    <s:row r="31383" hidden="1" ht="1" customHeight="1">
      <s:c r="A31383" s="120" t="inlineStr"/>
      <s:c r="B31383" s="121" t="n"/>
      <s:c r="C31383" s="121" t="n"/>
      <s:c r="D31383" s="121" t="n"/>
      <s:c r="E31383" s="122" t="n"/>
    </s:row>
    <s:row r="31384" hidden="1" ht="1" customHeight="1">
      <s:c r="A31384" s="120" t="inlineStr"/>
      <s:c r="B31384" s="121" t="n"/>
      <s:c r="C31384" s="121" t="n"/>
      <s:c r="D31384" s="121" t="n"/>
      <s:c r="E31384" s="122" t="n"/>
    </s:row>
    <s:row r="31385" hidden="1" ht="1" customHeight="1">
      <s:c r="A31385" s="120" t="inlineStr"/>
      <s:c r="B31385" s="121" t="n"/>
      <s:c r="C31385" s="121" t="n"/>
      <s:c r="D31385" s="121" t="n"/>
      <s:c r="E31385" s="122" t="n"/>
    </s:row>
    <s:row r="31386" hidden="1" ht="1" customHeight="1">
      <s:c r="A31386" s="120" t="inlineStr"/>
      <s:c r="B31386" s="121" t="n"/>
      <s:c r="C31386" s="121" t="n"/>
      <s:c r="D31386" s="121" t="n"/>
      <s:c r="E31386" s="122" t="n"/>
    </s:row>
    <s:row r="31387" hidden="1" ht="1" customHeight="1">
      <s:c r="A31387" s="120" t="inlineStr"/>
      <s:c r="B31387" s="121" t="n"/>
      <s:c r="C31387" s="121" t="n"/>
      <s:c r="D31387" s="121" t="n"/>
      <s:c r="E31387" s="122" t="n"/>
    </s:row>
    <s:row r="31388" hidden="1" ht="1" customHeight="1">
      <s:c r="A31388" s="120" t="inlineStr"/>
      <s:c r="B31388" s="121" t="n"/>
      <s:c r="C31388" s="121" t="n"/>
      <s:c r="D31388" s="121" t="n"/>
      <s:c r="E31388" s="122" t="n"/>
    </s:row>
    <s:row r="31389" hidden="1" ht="1" customHeight="1">
      <s:c r="A31389" s="120" t="inlineStr"/>
      <s:c r="B31389" s="121" t="n"/>
      <s:c r="C31389" s="121" t="n"/>
      <s:c r="D31389" s="121" t="n"/>
      <s:c r="E31389" s="122" t="n"/>
    </s:row>
    <s:row r="31390" hidden="1" ht="1" customHeight="1">
      <s:c r="A31390" s="120" t="inlineStr"/>
      <s:c r="B31390" s="121" t="n"/>
      <s:c r="C31390" s="121" t="n"/>
      <s:c r="D31390" s="121" t="n"/>
      <s:c r="E31390" s="122" t="n"/>
    </s:row>
    <s:row r="31391" hidden="1" ht="1" customHeight="1">
      <s:c r="A31391" s="120" t="inlineStr"/>
      <s:c r="B31391" s="121" t="n"/>
      <s:c r="C31391" s="121" t="n"/>
      <s:c r="D31391" s="121" t="n"/>
      <s:c r="E31391" s="122" t="n"/>
    </s:row>
    <s:row r="31392" hidden="1" ht="1" customHeight="1">
      <s:c r="A31392" s="120" t="inlineStr"/>
      <s:c r="B31392" s="121" t="n"/>
      <s:c r="C31392" s="121" t="n"/>
      <s:c r="D31392" s="121" t="n"/>
      <s:c r="E31392" s="122" t="n"/>
    </s:row>
    <s:row r="31393" hidden="1" ht="1" customHeight="1">
      <s:c r="A31393" s="120" t="inlineStr"/>
      <s:c r="B31393" s="121" t="n"/>
      <s:c r="C31393" s="121" t="n"/>
      <s:c r="D31393" s="121" t="n"/>
      <s:c r="E31393" s="122" t="n"/>
    </s:row>
    <s:row r="31394" hidden="1" ht="1" customHeight="1">
      <s:c r="A31394" s="120" t="inlineStr"/>
      <s:c r="B31394" s="121" t="n"/>
      <s:c r="C31394" s="121" t="n"/>
      <s:c r="D31394" s="121" t="n"/>
      <s:c r="E31394" s="122" t="n"/>
    </s:row>
    <s:row r="31395" hidden="1" ht="1" customHeight="1">
      <s:c r="A31395" s="120" t="inlineStr"/>
      <s:c r="B31395" s="121" t="n"/>
      <s:c r="C31395" s="121" t="n"/>
      <s:c r="D31395" s="121" t="n"/>
      <s:c r="E31395" s="122" t="n"/>
    </s:row>
    <s:row r="31396" hidden="1" ht="1" customHeight="1">
      <s:c r="A31396" s="120" t="inlineStr"/>
      <s:c r="B31396" s="121" t="n"/>
      <s:c r="C31396" s="121" t="n"/>
      <s:c r="D31396" s="121" t="n"/>
      <s:c r="E31396" s="122" t="n"/>
    </s:row>
    <s:row r="31397" hidden="1" ht="1" customHeight="1">
      <s:c r="A31397" s="120" t="inlineStr"/>
      <s:c r="B31397" s="121" t="n"/>
      <s:c r="C31397" s="121" t="n"/>
      <s:c r="D31397" s="121" t="n"/>
      <s:c r="E31397" s="122" t="n"/>
    </s:row>
    <s:row r="31398" hidden="1" ht="1" customHeight="1">
      <s:c r="A31398" s="120" t="inlineStr"/>
      <s:c r="B31398" s="121" t="n"/>
      <s:c r="C31398" s="121" t="n"/>
      <s:c r="D31398" s="121" t="n"/>
      <s:c r="E31398" s="122" t="n"/>
    </s:row>
    <s:row r="31399" hidden="1" ht="1" customHeight="1">
      <s:c r="A31399" s="120" t="inlineStr"/>
      <s:c r="B31399" s="121" t="n"/>
      <s:c r="C31399" s="121" t="n"/>
      <s:c r="D31399" s="121" t="n"/>
      <s:c r="E31399" s="122" t="n"/>
    </s:row>
    <s:row r="31400" hidden="1" ht="1" customHeight="1">
      <s:c r="A31400" s="120" t="inlineStr"/>
      <s:c r="B31400" s="121" t="n"/>
      <s:c r="C31400" s="121" t="n"/>
      <s:c r="D31400" s="121" t="n"/>
      <s:c r="E31400" s="122" t="n"/>
    </s:row>
    <s:row r="31401" hidden="1" ht="1" customHeight="1">
      <s:c r="A31401" s="120" t="inlineStr"/>
      <s:c r="B31401" s="121" t="n"/>
      <s:c r="C31401" s="121" t="n"/>
      <s:c r="D31401" s="121" t="n"/>
      <s:c r="E31401" s="122" t="n"/>
    </s:row>
    <s:row r="31402" hidden="1" ht="1" customHeight="1">
      <s:c r="A31402" s="120" t="inlineStr"/>
      <s:c r="B31402" s="121" t="n"/>
      <s:c r="C31402" s="121" t="n"/>
      <s:c r="D31402" s="121" t="n"/>
      <s:c r="E31402" s="122" t="n"/>
    </s:row>
    <s:row r="31403" hidden="1" ht="1" customHeight="1">
      <s:c r="A31403" s="120" t="inlineStr"/>
      <s:c r="B31403" s="121" t="n"/>
      <s:c r="C31403" s="121" t="n"/>
      <s:c r="D31403" s="121" t="n"/>
      <s:c r="E31403" s="122" t="n"/>
    </s:row>
    <s:row r="31404" hidden="1" ht="1" customHeight="1">
      <s:c r="A31404" s="120" t="inlineStr"/>
      <s:c r="B31404" s="121" t="n"/>
      <s:c r="C31404" s="121" t="n"/>
      <s:c r="D31404" s="121" t="n"/>
      <s:c r="E31404" s="122" t="n"/>
    </s:row>
    <s:row r="31405" hidden="1" ht="1" customHeight="1">
      <s:c r="A31405" s="120" t="inlineStr"/>
      <s:c r="B31405" s="121" t="n"/>
      <s:c r="C31405" s="121" t="n"/>
      <s:c r="D31405" s="121" t="n"/>
      <s:c r="E31405" s="122" t="n"/>
    </s:row>
    <s:row r="31406" hidden="1" ht="1" customHeight="1">
      <s:c r="A31406" s="120" t="inlineStr"/>
      <s:c r="B31406" s="121" t="n"/>
      <s:c r="C31406" s="121" t="n"/>
      <s:c r="D31406" s="121" t="n"/>
      <s:c r="E31406" s="122" t="n"/>
    </s:row>
    <s:row r="31407" hidden="1" ht="1" customHeight="1">
      <s:c r="A31407" s="120" t="inlineStr"/>
      <s:c r="B31407" s="121" t="n"/>
      <s:c r="C31407" s="121" t="n"/>
      <s:c r="D31407" s="121" t="n"/>
      <s:c r="E31407" s="122" t="n"/>
    </s:row>
    <s:row r="31408" hidden="1" ht="1" customHeight="1">
      <s:c r="A31408" s="120" t="inlineStr"/>
      <s:c r="B31408" s="121" t="n"/>
      <s:c r="C31408" s="121" t="n"/>
      <s:c r="D31408" s="121" t="n"/>
      <s:c r="E31408" s="122" t="n"/>
    </s:row>
    <s:row r="31409" hidden="1" ht="1" customHeight="1">
      <s:c r="A31409" s="120" t="inlineStr"/>
      <s:c r="B31409" s="121" t="n"/>
      <s:c r="C31409" s="121" t="n"/>
      <s:c r="D31409" s="121" t="n"/>
      <s:c r="E31409" s="122" t="n"/>
    </s:row>
    <s:row r="31410" hidden="1" ht="1" customHeight="1">
      <s:c r="A31410" s="120" t="inlineStr"/>
      <s:c r="B31410" s="121" t="n"/>
      <s:c r="C31410" s="121" t="n"/>
      <s:c r="D31410" s="121" t="n"/>
      <s:c r="E31410" s="122" t="n"/>
    </s:row>
    <s:row r="31411" hidden="1" ht="1" customHeight="1">
      <s:c r="A31411" s="120" t="inlineStr"/>
      <s:c r="B31411" s="121" t="n"/>
      <s:c r="C31411" s="121" t="n"/>
      <s:c r="D31411" s="121" t="n"/>
      <s:c r="E31411" s="122" t="n"/>
    </s:row>
    <s:row r="31412" hidden="1" ht="1" customHeight="1">
      <s:c r="A31412" s="120" t="inlineStr"/>
      <s:c r="B31412" s="121" t="n"/>
      <s:c r="C31412" s="121" t="n"/>
      <s:c r="D31412" s="121" t="n"/>
      <s:c r="E31412" s="122" t="n"/>
    </s:row>
    <s:row r="31413" hidden="1" ht="1" customHeight="1">
      <s:c r="A31413" s="120" t="inlineStr"/>
      <s:c r="B31413" s="121" t="n"/>
      <s:c r="C31413" s="121" t="n"/>
      <s:c r="D31413" s="121" t="n"/>
      <s:c r="E31413" s="122" t="n"/>
    </s:row>
    <s:row r="31414" hidden="1" ht="1" customHeight="1">
      <s:c r="A31414" s="120" t="inlineStr"/>
      <s:c r="B31414" s="121" t="n"/>
      <s:c r="C31414" s="121" t="n"/>
      <s:c r="D31414" s="121" t="n"/>
      <s:c r="E31414" s="122" t="n"/>
    </s:row>
    <s:row r="31415" hidden="1" ht="1" customHeight="1">
      <s:c r="A31415" s="120" t="inlineStr"/>
      <s:c r="B31415" s="121" t="n"/>
      <s:c r="C31415" s="121" t="n"/>
      <s:c r="D31415" s="121" t="n"/>
      <s:c r="E31415" s="122" t="n"/>
    </s:row>
    <s:row r="31416" hidden="1" ht="1" customHeight="1">
      <s:c r="A31416" s="120" t="inlineStr"/>
      <s:c r="B31416" s="121" t="n"/>
      <s:c r="C31416" s="121" t="n"/>
      <s:c r="D31416" s="121" t="n"/>
      <s:c r="E31416" s="122" t="n"/>
    </s:row>
    <s:row r="31417" hidden="1" ht="1" customHeight="1">
      <s:c r="A31417" s="120" t="inlineStr"/>
      <s:c r="B31417" s="121" t="n"/>
      <s:c r="C31417" s="121" t="n"/>
      <s:c r="D31417" s="121" t="n"/>
      <s:c r="E31417" s="122" t="n"/>
    </s:row>
    <s:row r="31418" hidden="1" ht="1" customHeight="1">
      <s:c r="A31418" s="120" t="inlineStr"/>
      <s:c r="B31418" s="121" t="n"/>
      <s:c r="C31418" s="121" t="n"/>
      <s:c r="D31418" s="121" t="n"/>
      <s:c r="E31418" s="122" t="n"/>
    </s:row>
    <s:row r="31419" hidden="1" ht="1" customHeight="1">
      <s:c r="A31419" s="83" t="inlineStr">
        <s:is>
          <s:t>PASS</s:t>
        </s:is>
      </s:c>
      <s:c r="B31419" s="83">
        <s:f>SUM(IF(EXACT('Kiểm thử'!E31269,"Đạt"),1,0),IF(EXACT('Kiểm thử'!E31271,"Đạt"),1,0),IF(EXACT('Kiểm thử'!E31273,"Đạt"),1,0))</s:f>
        <s:v/>
      </s:c>
      <s:c r="C31419" s="19" t="n"/>
      <s:c r="D31419" s="19" t="n"/>
      <s:c r="E31419" s="19" t="n"/>
    </s:row>
    <s:row r="31420" hidden="1" ht="1" customHeight="1">
      <s:c r="A31420" s="83" t="inlineStr">
        <s:is>
          <s:t>FAIL</s:t>
        </s:is>
      </s:c>
      <s:c r="B31420" s="83">
        <s:f>SUM(IF(EXACT('Kiểm thử'!E31269,"Không đạt"),1,0),IF(EXACT('Kiểm thử'!E31271,"Không đạt"),1,0),IF(EXACT('Kiểm thử'!E31273,"Không đạt"),1,0))</s:f>
        <s:v/>
      </s:c>
      <s:c r="C31420" s="19" t="n"/>
      <s:c r="D31420" s="19" t="n"/>
      <s:c r="E31420" s="19" t="n"/>
    </s:row>
    <s:row r="31421" hidden="1" ht="1" customHeight="1">
      <s:c r="A31421" s="83" t="inlineStr">
        <s:is>
          <s:t>BLOCKED</s:t>
        </s:is>
      </s:c>
      <s:c r="B31421" s="83">
        <s:f>SUM(IF(EXACT('Kiểm thử'!E31269,"Bị chặn"),1,0),IF(EXACT('Kiểm thử'!E31271,"Bị chặn"),1,0),IF(EXACT('Kiểm thử'!E31273,"Bị chặn"),1,0))</s:f>
        <s:v/>
      </s:c>
      <s:c r="C31421" s="19" t="n"/>
      <s:c r="D31421" s="19" t="n"/>
      <s:c r="E31421" s="19" t="n"/>
    </s:row>
    <s:row r="31422" hidden="1" ht="1" customHeight="1">
      <s:c r="A31422" s="83" t="inlineStr">
        <s:is>
          <s:t>SKIPPED</s:t>
        </s:is>
      </s:c>
      <s:c r="B31422" s="83">
        <s:f>SUM(IF(EXACT('Kiểm thử'!E31269,"Không thực hiện"),1,0),IF(EXACT('Kiểm thử'!E31271,"Không thực hiện"),1,0),IF(EXACT('Kiểm thử'!E31273,"Không thực hiện"),1,0))</s:f>
        <s:v/>
      </s:c>
      <s:c r="C31422" s="19" t="n"/>
      <s:c r="D31422" s="19" t="n"/>
      <s:c r="E31422" s="19" t="n"/>
    </s:row>
    <s:row r="31423" hidden="1" ht="1" customHeight="1">
      <s:c r="A31423" s="83" t="inlineStr">
        <s:is>
          <s:t>NOT RUN</s:t>
        </s:is>
      </s:c>
      <s:c r="B31423" s="83">
        <s:f>SUM(IF(EXACT('Kiểm thử'!E31269,"Chưa thực hiện"),1,0),IF(EXACT('Kiểm thử'!E31271,"Chưa thực hiện"),1,0),IF(EXACT('Kiểm thử'!E31273,"Chưa thực hiện"),1,0))</s:f>
        <s:v/>
      </s:c>
      <s:c r="C31423" s="19" t="n"/>
      <s:c r="D31423" s="19" t="n"/>
      <s:c r="E31423" s="19" t="n"/>
    </s:row>
    <s:row r="31424" hidden="1" ht="6" customHeight="1">
      <s:c r="A31424" s="83" t="inlineStr"/>
      <s:c r="B31424" s="19" t="n"/>
      <s:c r="C31424" s="19" t="n"/>
      <s:c r="D31424" s="19" t="n"/>
      <s:c r="E31424" s="19" t="n"/>
    </s:row>
    <s:row r="31425" ht="28" customHeight="1">
      <s:c r="A31425" s="108" t="inlineStr">
        <s:is>
          <s:t>TC-RS-REG-017 — Thiết lập ô nhập（入力欄設定）: các hàng hiện có không bị ảnh hưởng</s:t>
        </s:is>
      </s:c>
      <s:c r="B31425" s="111" t="n"/>
      <s:c r="C31425" s="111" t="n"/>
      <s:c r="D31425" s="111" t="n"/>
      <s:c r="E31425" s="111" t="n"/>
    </s:row>
    <s:row r="31426" ht="20" customHeight="1">
      <s:c r="A31426" s="112" t="inlineStr">
        <s:is>
          <s:t>Kết quả tình huống</s:t>
        </s:is>
      </s:c>
      <s:c r="B31426" s="113">
        <s:f>IF(SUM(IF(EXACT('Kiểm thử'!E31435,"Không đạt"),1,0))&gt;0,"Không đạt",IF(SUM(IF(EXACT('Kiểm thử'!E31435,"Đạt"),1,0))=1,"Đạt",IF(SUM(IF(EXACT('Kiểm thử'!E31435,"Không thực hiện"),1,0))=1,"Không thực hiện",IF(SUM(IF(EXACT('Kiểm thử'!E31435,"Bị chặn"),1,0))&gt;0,"Bị chặn",IF(SUM(IF(EXACT('Kiểm thử'!E31435,"Chưa thực hiện"),1,0))=1,"Chưa thực hiện","Đang thực hiện")))))</s:f>
        <s:v/>
      </s:c>
      <s:c r="C31426" s="114" t="n"/>
      <s:c r="D31426" s="114" t="n"/>
      <s:c r="E31426" s="114" t="n"/>
    </s:row>
    <s:row r="31427" ht="20" customHeight="1">
      <s:c r="A31427" s="112" t="inlineStr">
        <s:is>
          <s:t>Màn hình / chức năng</s:t>
        </s:is>
      </s:c>
      <s:c r="B31427" s="113" t="inlineStr">
        <s:is>
          <s:t>Hồi quy luồng hiện có</s:t>
        </s:is>
      </s:c>
      <s:c r="C31427" s="28" t="n"/>
      <s:c r="D31427" s="28" t="n"/>
      <s:c r="E31427" s="28" t="n"/>
    </s:row>
    <s:row r="31428" ht="34" customHeight="1">
      <s:c r="A31428" s="112" t="inlineStr">
        <s:is>
          <s:t>Cấu hình</s:t>
        </s:is>
      </s:c>
      <s:c r="B31428" s="113" t="inlineStr">
        <s:is>
          <s:t>• Baseline màn với nhiều mục;
• Có mục có tính tự động và mục bị ẩn.</s:t>
        </s:is>
      </s:c>
      <s:c r="C31428" s="28" t="n"/>
      <s:c r="D31428" s="28" t="n"/>
      <s:c r="E31428" s="28" t="n"/>
    </s:row>
    <s:row r="31429" ht="20" customHeight="1">
      <s:c r="A31429" s="112" t="inlineStr">
        <s:is>
          <s:t>Dữ liệu test</s:t>
        </s:is>
      </s:c>
      <s:c r="B31429" s="113" t="inlineStr">
        <s:is>
          <s:r>
            <s:t>• Mục số nguyên (</s:t>
          </s:r>
          <s:r>
            <s:rPr>
              <s:b val="1"/>
            </s:rPr>
            <s:t>M=100</s:t>
          </s:r>
          <s:r>
            <s:t>), mục số nguyên có thêm tính tự động</s:t>
          </s:r>
        </s:is>
      </s:c>
      <s:c r="C31429" s="28" t="n"/>
      <s:c r="D31429" s="28" t="n"/>
      <s:c r="E31429" s="28" t="n"/>
    </s:row>
    <s:row r="31430" ht="20" customHeight="1">
      <s:c r="A31430" s="112" t="inlineStr">
        <s:is>
          <s:t>Bước 1</s:t>
        </s:is>
      </s:c>
      <s:c r="B31430" s="113" t="inlineStr">
        <s:is>
          <s:t>Mở màn, so bố cục với baseline.</s:t>
        </s:is>
      </s:c>
      <s:c r="C31430" s="28" t="n"/>
      <s:c r="D31430" s="28" t="n"/>
      <s:c r="E31430" s="28" t="n"/>
    </s:row>
    <s:row r="31431" ht="20" customHeight="1">
      <s:c r="A31431" s="112" t="inlineStr">
        <s:is>
          <s:t>Bước 2</s:t>
        </s:is>
      </s:c>
      <s:c r="B31431" s="113" t="inlineStr">
        <s:is>
          <s:r>
            <s:t xml:space="preserve">Bấm link ở </s:t>
          </s:r>
          <s:r>
            <s:rPr>
              <s:b val="1"/>
            </s:rPr>
            <s:t>hàng Tính tự động（自動計算）</s:t>
          </s:r>
          <s:r>
            <s:t xml:space="preserve"> và Thiết </s:t>
          </s:r>
          <s:r>
            <s:rPr>
              <s:b val="1"/>
            </s:rPr>
            <s:t>lập ẩn mục nhập（入力項目の非表示設定）</s:t>
          </s:r>
          <s:r>
            <s:t>.</s:t>
          </s:r>
        </s:is>
      </s:c>
      <s:c r="C31431" s="28" t="n"/>
      <s:c r="D31431" s="28" t="n"/>
      <s:c r="E31431" s="28" t="n"/>
    </s:row>
    <s:row r="31432" ht="20" customHeight="1">
      <s:c r="A31432" s="112" t="inlineStr">
        <s:is>
          <s:t>Bước 3</s:t>
        </s:is>
      </s:c>
      <s:c r="B31432" s="113" t="inlineStr">
        <s:is>
          <s:t>Sửa một giá trị ở hàng khác, lưu.</s:t>
        </s:is>
      </s:c>
      <s:c r="C31432" s="28" t="n"/>
      <s:c r="D31432" s="28" t="n"/>
      <s:c r="E31432" s="28" t="n"/>
    </s:row>
    <s:row r="31433" ht="28" customHeight="1">
      <s:c r="A31433" s="115" t="inlineStr">
        <s:is>
          <s:t>Trường hợp</s:t>
        </s:is>
      </s:c>
      <s:c r="B31433" s="115" t="inlineStr">
        <s:is>
          <s:t>Dữ liệu / thao tác riêng</s:t>
        </s:is>
      </s:c>
      <s:c r="C31433" s="115" t="inlineStr">
        <s:is>
          <s:t>Kết quả mong đợi</s:t>
        </s:is>
      </s:c>
      <s:c r="D31433" s="115" t="inlineStr">
        <s:is>
          <s:t>Kết quả thực tế</s:t>
        </s:is>
      </s:c>
      <s:c r="E31433" s="115" t="inlineStr">
        <s:is>
          <s:t>Đánh giá</s:t>
        </s:is>
      </s:c>
    </s:row>
    <s:row r="31434" ht="3" customHeight="1">
      <s:c r="A31434" s="102" t="inlineStr"/>
      <s:c r="B31434" s="99" t="n"/>
      <s:c r="C31434" s="99" t="n"/>
      <s:c r="D31434" s="116" t="n"/>
      <s:c r="E31434" s="116" t="n"/>
    </s:row>
    <s:row r="31435" ht="62" customHeight="1">
      <s:c r="A31435" s="83" t="inlineStr">
        <s:is>
          <s:t>Trường hợp cơ bản (Base)</s:t>
        </s:is>
      </s:c>
      <s:c r="B31435" s="83" t="inlineStr">
        <s:is>
          <s:t>Toàn bộ tình huống: Thực hiện đủ các bước chung theo thứ tự; kiểm cả đối tượng đích và đối chứng cùng fixture, không bỏ bước.</s:t>
        </s:is>
      </s:c>
      <s:c r="C31435" s="83" t="inlineStr">
        <s:is>
          <s:t>Cột thẳng hàng, link mở đúng màn của đúng mục, lưu các hàng khác như baseline.</s:t>
        </s:is>
      </s:c>
      <s:c r="D31435" s="117" t="inlineStr"/>
      <s:c r="E31435" s="118" t="inlineStr">
        <s:is>
          <s:t>Chưa thực hiện</s:t>
        </s:is>
      </s:c>
    </s:row>
    <s:row r="31436" ht="20" customHeight="1">
      <s:c r="A31436" s="119" t="inlineStr">
        <s:is>
          <s:t>Ảnh minh chứng — Chưa có ảnh</s:t>
        </s:is>
      </s:c>
      <s:c r="B31436" s="19" t="n"/>
      <s:c r="C31436" s="19" t="n"/>
      <s:c r="D31436" s="19" t="n"/>
      <s:c r="E31436" s="19" t="n"/>
    </s:row>
    <s:row r="31437" hidden="1" ht="1" customHeight="1">
      <s:c r="A31437" s="120" t="inlineStr"/>
      <s:c r="B31437" s="121" t="n"/>
      <s:c r="C31437" s="121" t="n"/>
      <s:c r="D31437" s="121" t="n"/>
      <s:c r="E31437" s="122" t="n"/>
    </s:row>
    <s:row r="31438" hidden="1" ht="1" customHeight="1">
      <s:c r="A31438" s="120" t="inlineStr"/>
      <s:c r="B31438" s="121" t="n"/>
      <s:c r="C31438" s="121" t="n"/>
      <s:c r="D31438" s="121" t="n"/>
      <s:c r="E31438" s="122" t="n"/>
    </s:row>
    <s:row r="31439" hidden="1" ht="1" customHeight="1">
      <s:c r="A31439" s="120" t="inlineStr"/>
      <s:c r="B31439" s="121" t="n"/>
      <s:c r="C31439" s="121" t="n"/>
      <s:c r="D31439" s="121" t="n"/>
      <s:c r="E31439" s="122" t="n"/>
    </s:row>
    <s:row r="31440" hidden="1" ht="1" customHeight="1">
      <s:c r="A31440" s="120" t="inlineStr"/>
      <s:c r="B31440" s="121" t="n"/>
      <s:c r="C31440" s="121" t="n"/>
      <s:c r="D31440" s="121" t="n"/>
      <s:c r="E31440" s="122" t="n"/>
    </s:row>
    <s:row r="31441" hidden="1" ht="1" customHeight="1">
      <s:c r="A31441" s="120" t="inlineStr"/>
      <s:c r="B31441" s="121" t="n"/>
      <s:c r="C31441" s="121" t="n"/>
      <s:c r="D31441" s="121" t="n"/>
      <s:c r="E31441" s="122" t="n"/>
    </s:row>
    <s:row r="31442" hidden="1" ht="1" customHeight="1">
      <s:c r="A31442" s="120" t="inlineStr"/>
      <s:c r="B31442" s="121" t="n"/>
      <s:c r="C31442" s="121" t="n"/>
      <s:c r="D31442" s="121" t="n"/>
      <s:c r="E31442" s="122" t="n"/>
    </s:row>
    <s:row r="31443" hidden="1" ht="1" customHeight="1">
      <s:c r="A31443" s="120" t="inlineStr"/>
      <s:c r="B31443" s="121" t="n"/>
      <s:c r="C31443" s="121" t="n"/>
      <s:c r="D31443" s="121" t="n"/>
      <s:c r="E31443" s="122" t="n"/>
    </s:row>
    <s:row r="31444" hidden="1" ht="1" customHeight="1">
      <s:c r="A31444" s="120" t="inlineStr"/>
      <s:c r="B31444" s="121" t="n"/>
      <s:c r="C31444" s="121" t="n"/>
      <s:c r="D31444" s="121" t="n"/>
      <s:c r="E31444" s="122" t="n"/>
    </s:row>
    <s:row r="31445" hidden="1" ht="1" customHeight="1">
      <s:c r="A31445" s="120" t="inlineStr"/>
      <s:c r="B31445" s="121" t="n"/>
      <s:c r="C31445" s="121" t="n"/>
      <s:c r="D31445" s="121" t="n"/>
      <s:c r="E31445" s="122" t="n"/>
    </s:row>
    <s:row r="31446" hidden="1" ht="1" customHeight="1">
      <s:c r="A31446" s="120" t="inlineStr"/>
      <s:c r="B31446" s="121" t="n"/>
      <s:c r="C31446" s="121" t="n"/>
      <s:c r="D31446" s="121" t="n"/>
      <s:c r="E31446" s="122" t="n"/>
    </s:row>
    <s:row r="31447" hidden="1" ht="1" customHeight="1">
      <s:c r="A31447" s="120" t="inlineStr"/>
      <s:c r="B31447" s="121" t="n"/>
      <s:c r="C31447" s="121" t="n"/>
      <s:c r="D31447" s="121" t="n"/>
      <s:c r="E31447" s="122" t="n"/>
    </s:row>
    <s:row r="31448" hidden="1" ht="1" customHeight="1">
      <s:c r="A31448" s="120" t="inlineStr"/>
      <s:c r="B31448" s="121" t="n"/>
      <s:c r="C31448" s="121" t="n"/>
      <s:c r="D31448" s="121" t="n"/>
      <s:c r="E31448" s="122" t="n"/>
    </s:row>
    <s:row r="31449" hidden="1" ht="1" customHeight="1">
      <s:c r="A31449" s="120" t="inlineStr"/>
      <s:c r="B31449" s="121" t="n"/>
      <s:c r="C31449" s="121" t="n"/>
      <s:c r="D31449" s="121" t="n"/>
      <s:c r="E31449" s="122" t="n"/>
    </s:row>
    <s:row r="31450" hidden="1" ht="1" customHeight="1">
      <s:c r="A31450" s="120" t="inlineStr"/>
      <s:c r="B31450" s="121" t="n"/>
      <s:c r="C31450" s="121" t="n"/>
      <s:c r="D31450" s="121" t="n"/>
      <s:c r="E31450" s="122" t="n"/>
    </s:row>
    <s:row r="31451" hidden="1" ht="1" customHeight="1">
      <s:c r="A31451" s="120" t="inlineStr"/>
      <s:c r="B31451" s="121" t="n"/>
      <s:c r="C31451" s="121" t="n"/>
      <s:c r="D31451" s="121" t="n"/>
      <s:c r="E31451" s="122" t="n"/>
    </s:row>
    <s:row r="31452" hidden="1" ht="1" customHeight="1">
      <s:c r="A31452" s="120" t="inlineStr"/>
      <s:c r="B31452" s="121" t="n"/>
      <s:c r="C31452" s="121" t="n"/>
      <s:c r="D31452" s="121" t="n"/>
      <s:c r="E31452" s="122" t="n"/>
    </s:row>
    <s:row r="31453" hidden="1" ht="1" customHeight="1">
      <s:c r="A31453" s="120" t="inlineStr"/>
      <s:c r="B31453" s="121" t="n"/>
      <s:c r="C31453" s="121" t="n"/>
      <s:c r="D31453" s="121" t="n"/>
      <s:c r="E31453" s="122" t="n"/>
    </s:row>
    <s:row r="31454" hidden="1" ht="1" customHeight="1">
      <s:c r="A31454" s="120" t="inlineStr"/>
      <s:c r="B31454" s="121" t="n"/>
      <s:c r="C31454" s="121" t="n"/>
      <s:c r="D31454" s="121" t="n"/>
      <s:c r="E31454" s="122" t="n"/>
    </s:row>
    <s:row r="31455" hidden="1" ht="1" customHeight="1">
      <s:c r="A31455" s="120" t="inlineStr"/>
      <s:c r="B31455" s="121" t="n"/>
      <s:c r="C31455" s="121" t="n"/>
      <s:c r="D31455" s="121" t="n"/>
      <s:c r="E31455" s="122" t="n"/>
    </s:row>
    <s:row r="31456" hidden="1" ht="1" customHeight="1">
      <s:c r="A31456" s="120" t="inlineStr"/>
      <s:c r="B31456" s="121" t="n"/>
      <s:c r="C31456" s="121" t="n"/>
      <s:c r="D31456" s="121" t="n"/>
      <s:c r="E31456" s="122" t="n"/>
    </s:row>
    <s:row r="31457" hidden="1" ht="1" customHeight="1">
      <s:c r="A31457" s="120" t="inlineStr"/>
      <s:c r="B31457" s="121" t="n"/>
      <s:c r="C31457" s="121" t="n"/>
      <s:c r="D31457" s="121" t="n"/>
      <s:c r="E31457" s="122" t="n"/>
    </s:row>
    <s:row r="31458" hidden="1" ht="1" customHeight="1">
      <s:c r="A31458" s="120" t="inlineStr"/>
      <s:c r="B31458" s="121" t="n"/>
      <s:c r="C31458" s="121" t="n"/>
      <s:c r="D31458" s="121" t="n"/>
      <s:c r="E31458" s="122" t="n"/>
    </s:row>
    <s:row r="31459" hidden="1" ht="1" customHeight="1">
      <s:c r="A31459" s="120" t="inlineStr"/>
      <s:c r="B31459" s="121" t="n"/>
      <s:c r="C31459" s="121" t="n"/>
      <s:c r="D31459" s="121" t="n"/>
      <s:c r="E31459" s="122" t="n"/>
    </s:row>
    <s:row r="31460" hidden="1" ht="1" customHeight="1">
      <s:c r="A31460" s="120" t="inlineStr"/>
      <s:c r="B31460" s="121" t="n"/>
      <s:c r="C31460" s="121" t="n"/>
      <s:c r="D31460" s="121" t="n"/>
      <s:c r="E31460" s="122" t="n"/>
    </s:row>
    <s:row r="31461" hidden="1" ht="1" customHeight="1">
      <s:c r="A31461" s="120" t="inlineStr"/>
      <s:c r="B31461" s="121" t="n"/>
      <s:c r="C31461" s="121" t="n"/>
      <s:c r="D31461" s="121" t="n"/>
      <s:c r="E31461" s="122" t="n"/>
    </s:row>
    <s:row r="31462" hidden="1" ht="1" customHeight="1">
      <s:c r="A31462" s="120" t="inlineStr"/>
      <s:c r="B31462" s="121" t="n"/>
      <s:c r="C31462" s="121" t="n"/>
      <s:c r="D31462" s="121" t="n"/>
      <s:c r="E31462" s="122" t="n"/>
    </s:row>
    <s:row r="31463" hidden="1" ht="1" customHeight="1">
      <s:c r="A31463" s="120" t="inlineStr"/>
      <s:c r="B31463" s="121" t="n"/>
      <s:c r="C31463" s="121" t="n"/>
      <s:c r="D31463" s="121" t="n"/>
      <s:c r="E31463" s="122" t="n"/>
    </s:row>
    <s:row r="31464" hidden="1" ht="1" customHeight="1">
      <s:c r="A31464" s="120" t="inlineStr"/>
      <s:c r="B31464" s="121" t="n"/>
      <s:c r="C31464" s="121" t="n"/>
      <s:c r="D31464" s="121" t="n"/>
      <s:c r="E31464" s="122" t="n"/>
    </s:row>
    <s:row r="31465" hidden="1" ht="1" customHeight="1">
      <s:c r="A31465" s="120" t="inlineStr"/>
      <s:c r="B31465" s="121" t="n"/>
      <s:c r="C31465" s="121" t="n"/>
      <s:c r="D31465" s="121" t="n"/>
      <s:c r="E31465" s="122" t="n"/>
    </s:row>
    <s:row r="31466" hidden="1" ht="1" customHeight="1">
      <s:c r="A31466" s="120" t="inlineStr"/>
      <s:c r="B31466" s="121" t="n"/>
      <s:c r="C31466" s="121" t="n"/>
      <s:c r="D31466" s="121" t="n"/>
      <s:c r="E31466" s="122" t="n"/>
    </s:row>
    <s:row r="31467" hidden="1" ht="1" customHeight="1">
      <s:c r="A31467" s="120" t="inlineStr"/>
      <s:c r="B31467" s="121" t="n"/>
      <s:c r="C31467" s="121" t="n"/>
      <s:c r="D31467" s="121" t="n"/>
      <s:c r="E31467" s="122" t="n"/>
    </s:row>
    <s:row r="31468" hidden="1" ht="1" customHeight="1">
      <s:c r="A31468" s="120" t="inlineStr"/>
      <s:c r="B31468" s="121" t="n"/>
      <s:c r="C31468" s="121" t="n"/>
      <s:c r="D31468" s="121" t="n"/>
      <s:c r="E31468" s="122" t="n"/>
    </s:row>
    <s:row r="31469" hidden="1" ht="1" customHeight="1">
      <s:c r="A31469" s="120" t="inlineStr"/>
      <s:c r="B31469" s="121" t="n"/>
      <s:c r="C31469" s="121" t="n"/>
      <s:c r="D31469" s="121" t="n"/>
      <s:c r="E31469" s="122" t="n"/>
    </s:row>
    <s:row r="31470" hidden="1" ht="1" customHeight="1">
      <s:c r="A31470" s="120" t="inlineStr"/>
      <s:c r="B31470" s="121" t="n"/>
      <s:c r="C31470" s="121" t="n"/>
      <s:c r="D31470" s="121" t="n"/>
      <s:c r="E31470" s="122" t="n"/>
    </s:row>
    <s:row r="31471" hidden="1" ht="1" customHeight="1">
      <s:c r="A31471" s="120" t="inlineStr"/>
      <s:c r="B31471" s="121" t="n"/>
      <s:c r="C31471" s="121" t="n"/>
      <s:c r="D31471" s="121" t="n"/>
      <s:c r="E31471" s="122" t="n"/>
    </s:row>
    <s:row r="31472" hidden="1" ht="1" customHeight="1">
      <s:c r="A31472" s="120" t="inlineStr"/>
      <s:c r="B31472" s="121" t="n"/>
      <s:c r="C31472" s="121" t="n"/>
      <s:c r="D31472" s="121" t="n"/>
      <s:c r="E31472" s="122" t="n"/>
    </s:row>
    <s:row r="31473" hidden="1" ht="1" customHeight="1">
      <s:c r="A31473" s="120" t="inlineStr"/>
      <s:c r="B31473" s="121" t="n"/>
      <s:c r="C31473" s="121" t="n"/>
      <s:c r="D31473" s="121" t="n"/>
      <s:c r="E31473" s="122" t="n"/>
    </s:row>
    <s:row r="31474" hidden="1" ht="1" customHeight="1">
      <s:c r="A31474" s="120" t="inlineStr"/>
      <s:c r="B31474" s="121" t="n"/>
      <s:c r="C31474" s="121" t="n"/>
      <s:c r="D31474" s="121" t="n"/>
      <s:c r="E31474" s="122" t="n"/>
    </s:row>
    <s:row r="31475" hidden="1" ht="1" customHeight="1">
      <s:c r="A31475" s="120" t="inlineStr"/>
      <s:c r="B31475" s="121" t="n"/>
      <s:c r="C31475" s="121" t="n"/>
      <s:c r="D31475" s="121" t="n"/>
      <s:c r="E31475" s="122" t="n"/>
    </s:row>
    <s:row r="31476" hidden="1" ht="1" customHeight="1">
      <s:c r="A31476" s="120" t="inlineStr"/>
      <s:c r="B31476" s="121" t="n"/>
      <s:c r="C31476" s="121" t="n"/>
      <s:c r="D31476" s="121" t="n"/>
      <s:c r="E31476" s="122" t="n"/>
    </s:row>
    <s:row r="31477" hidden="1" ht="1" customHeight="1">
      <s:c r="A31477" s="120" t="inlineStr"/>
      <s:c r="B31477" s="121" t="n"/>
      <s:c r="C31477" s="121" t="n"/>
      <s:c r="D31477" s="121" t="n"/>
      <s:c r="E31477" s="122" t="n"/>
    </s:row>
    <s:row r="31478" hidden="1" ht="1" customHeight="1">
      <s:c r="A31478" s="120" t="inlineStr"/>
      <s:c r="B31478" s="121" t="n"/>
      <s:c r="C31478" s="121" t="n"/>
      <s:c r="D31478" s="121" t="n"/>
      <s:c r="E31478" s="122" t="n"/>
    </s:row>
    <s:row r="31479" hidden="1" ht="1" customHeight="1">
      <s:c r="A31479" s="120" t="inlineStr"/>
      <s:c r="B31479" s="121" t="n"/>
      <s:c r="C31479" s="121" t="n"/>
      <s:c r="D31479" s="121" t="n"/>
      <s:c r="E31479" s="122" t="n"/>
    </s:row>
    <s:row r="31480" hidden="1" ht="1" customHeight="1">
      <s:c r="A31480" s="120" t="inlineStr"/>
      <s:c r="B31480" s="121" t="n"/>
      <s:c r="C31480" s="121" t="n"/>
      <s:c r="D31480" s="121" t="n"/>
      <s:c r="E31480" s="122" t="n"/>
    </s:row>
    <s:row r="31481" hidden="1" ht="1" customHeight="1">
      <s:c r="A31481" s="120" t="inlineStr"/>
      <s:c r="B31481" s="121" t="n"/>
      <s:c r="C31481" s="121" t="n"/>
      <s:c r="D31481" s="121" t="n"/>
      <s:c r="E31481" s="122" t="n"/>
    </s:row>
    <s:row r="31482" hidden="1" ht="1" customHeight="1">
      <s:c r="A31482" s="120" t="inlineStr"/>
      <s:c r="B31482" s="121" t="n"/>
      <s:c r="C31482" s="121" t="n"/>
      <s:c r="D31482" s="121" t="n"/>
      <s:c r="E31482" s="122" t="n"/>
    </s:row>
    <s:row r="31483" hidden="1" ht="1" customHeight="1">
      <s:c r="A31483" s="120" t="inlineStr"/>
      <s:c r="B31483" s="121" t="n"/>
      <s:c r="C31483" s="121" t="n"/>
      <s:c r="D31483" s="121" t="n"/>
      <s:c r="E31483" s="122" t="n"/>
    </s:row>
    <s:row r="31484" hidden="1" ht="1" customHeight="1">
      <s:c r="A31484" s="120" t="inlineStr"/>
      <s:c r="B31484" s="121" t="n"/>
      <s:c r="C31484" s="121" t="n"/>
      <s:c r="D31484" s="121" t="n"/>
      <s:c r="E31484" s="122" t="n"/>
    </s:row>
    <s:row r="31485" hidden="1" ht="1" customHeight="1">
      <s:c r="A31485" s="83" t="inlineStr">
        <s:is>
          <s:t>PASS</s:t>
        </s:is>
      </s:c>
      <s:c r="B31485" s="83">
        <s:f>SUM(IF(EXACT('Kiểm thử'!E31435,"Đạt"),1,0))</s:f>
        <s:v/>
      </s:c>
      <s:c r="C31485" s="19" t="n"/>
      <s:c r="D31485" s="19" t="n"/>
      <s:c r="E31485" s="19" t="n"/>
    </s:row>
    <s:row r="31486" hidden="1" ht="1" customHeight="1">
      <s:c r="A31486" s="83" t="inlineStr">
        <s:is>
          <s:t>FAIL</s:t>
        </s:is>
      </s:c>
      <s:c r="B31486" s="83">
        <s:f>SUM(IF(EXACT('Kiểm thử'!E31435,"Không đạt"),1,0))</s:f>
        <s:v/>
      </s:c>
      <s:c r="C31486" s="19" t="n"/>
      <s:c r="D31486" s="19" t="n"/>
      <s:c r="E31486" s="19" t="n"/>
    </s:row>
    <s:row r="31487" hidden="1" ht="1" customHeight="1">
      <s:c r="A31487" s="83" t="inlineStr">
        <s:is>
          <s:t>BLOCKED</s:t>
        </s:is>
      </s:c>
      <s:c r="B31487" s="83">
        <s:f>SUM(IF(EXACT('Kiểm thử'!E31435,"Bị chặn"),1,0))</s:f>
        <s:v/>
      </s:c>
      <s:c r="C31487" s="19" t="n"/>
      <s:c r="D31487" s="19" t="n"/>
      <s:c r="E31487" s="19" t="n"/>
    </s:row>
    <s:row r="31488" hidden="1" ht="1" customHeight="1">
      <s:c r="A31488" s="83" t="inlineStr">
        <s:is>
          <s:t>SKIPPED</s:t>
        </s:is>
      </s:c>
      <s:c r="B31488" s="83">
        <s:f>SUM(IF(EXACT('Kiểm thử'!E31435,"Không thực hiện"),1,0))</s:f>
        <s:v/>
      </s:c>
      <s:c r="C31488" s="19" t="n"/>
      <s:c r="D31488" s="19" t="n"/>
      <s:c r="E31488" s="19" t="n"/>
    </s:row>
    <s:row r="31489" hidden="1" ht="1" customHeight="1">
      <s:c r="A31489" s="83" t="inlineStr">
        <s:is>
          <s:t>NOT RUN</s:t>
        </s:is>
      </s:c>
      <s:c r="B31489" s="83">
        <s:f>SUM(IF(EXACT('Kiểm thử'!E31435,"Chưa thực hiện"),1,0))</s:f>
        <s:v/>
      </s:c>
      <s:c r="C31489" s="19" t="n"/>
      <s:c r="D31489" s="19" t="n"/>
      <s:c r="E31489" s="19" t="n"/>
    </s:row>
    <s:row r="31490" hidden="1" ht="6" customHeight="1">
      <s:c r="A31490" s="83" t="inlineStr"/>
      <s:c r="B31490" s="19" t="n"/>
      <s:c r="C31490" s="19" t="n"/>
      <s:c r="D31490" s="19" t="n"/>
      <s:c r="E31490" s="19" t="n"/>
    </s:row>
    <s:row r="31491" ht="28" customHeight="1">
      <s:c r="A31491" s="108" t="inlineStr">
        <s:is>
          <s:t>TC-RS-REG-011 — Consumer legacy giữ hành vi sau khi thêm rule đỏ</s:t>
        </s:is>
      </s:c>
      <s:c r="B31491" s="111" t="n"/>
      <s:c r="C31491" s="111" t="n"/>
      <s:c r="D31491" s="111" t="n"/>
      <s:c r="E31491" s="111" t="n"/>
    </s:row>
    <s:row r="31492" ht="20" customHeight="1">
      <s:c r="A31492" s="112" t="inlineStr">
        <s:is>
          <s:t>Kết quả tình huống</s:t>
        </s:is>
      </s:c>
      <s:c r="B31492" s="113">
        <s:f>IF(SUM(IF(EXACT('Kiểm thử'!E31500,"Không đạt"),1,0))&gt;0,"Không đạt",IF(SUM(IF(EXACT('Kiểm thử'!E31500,"Đạt"),1,0))=1,"Đạt",IF(SUM(IF(EXACT('Kiểm thử'!E31500,"Không thực hiện"),1,0))=1,"Không thực hiện",IF(SUM(IF(EXACT('Kiểm thử'!E31500,"Bị chặn"),1,0))&gt;0,"Bị chặn",IF(SUM(IF(EXACT('Kiểm thử'!E31500,"Chưa thực hiện"),1,0))=1,"Chưa thực hiện","Đang thực hiện")))))</s:f>
        <s:v/>
      </s:c>
      <s:c r="C31492" s="114" t="n"/>
      <s:c r="D31492" s="114" t="n"/>
      <s:c r="E31492" s="114" t="n"/>
    </s:row>
    <s:row r="31493" ht="20" customHeight="1">
      <s:c r="A31493" s="112" t="inlineStr">
        <s:is>
          <s:t>Màn hình / chức năng</s:t>
        </s:is>
      </s:c>
      <s:c r="B31493" s="113" t="inlineStr">
        <s:is>
          <s:t>Hồi quy luồng hiện có</s:t>
        </s:is>
      </s:c>
      <s:c r="C31493" s="28" t="n"/>
      <s:c r="D31493" s="28" t="n"/>
      <s:c r="E31493" s="28" t="n"/>
    </s:row>
    <s:row r="31494" ht="20" customHeight="1">
      <s:c r="A31494" s="112" t="inlineStr">
        <s:is>
          <s:t>Cấu hình</s:t>
        </s:is>
      </s:c>
      <s:c r="B31494" s="113" t="inlineStr">
        <s:is>
          <s:t>• Consumer/báo cáo hiện có đang hiển thị giá trị legacy trước khi bật rule mới.</s:t>
        </s:is>
      </s:c>
      <s:c r="C31494" s="28" t="n"/>
      <s:c r="D31494" s="28" t="n"/>
      <s:c r="E31494" s="28" t="n"/>
    </s:row>
    <s:row r="31495" ht="20" customHeight="1">
      <s:c r="A31495" s="112" t="inlineStr">
        <s:is>
          <s:t>Dữ liệu test</s:t>
        </s:is>
      </s:c>
      <s:c r="B31495" s="113" t="inlineStr">
        <s:is>
          <s:t>• Consumer/báo cáo hiện có đang hiển thị giá trị legacy trước khi bật rule mới.</s:t>
        </s:is>
      </s:c>
      <s:c r="C31495" s="28" t="n"/>
      <s:c r="D31495" s="28" t="n"/>
      <s:c r="E31495" s="28" t="n"/>
    </s:row>
    <s:row r="31496" ht="20" customHeight="1">
      <s:c r="A31496" s="112" t="inlineStr">
        <s:is>
          <s:t>Bước 1</s:t>
        </s:is>
      </s:c>
      <s:c r="B31496" s="113" t="inlineStr">
        <s:is>
          <s:t>Thêm và chạy rule đỏ mới.</s:t>
        </s:is>
      </s:c>
      <s:c r="C31496" s="28" t="n"/>
      <s:c r="D31496" s="28" t="n"/>
      <s:c r="E31496" s="28" t="n"/>
    </s:row>
    <s:row r="31497" ht="20" customHeight="1">
      <s:c r="A31497" s="112" t="inlineStr">
        <s:is>
          <s:t>Bước 2</s:t>
        </s:is>
      </s:c>
      <s:c r="B31497" s="113" t="inlineStr">
        <s:is>
          <s:t>Mở consumer/báo cáo legacy cùng kỳ.</s:t>
        </s:is>
      </s:c>
      <s:c r="C31497" s="28" t="n"/>
      <s:c r="D31497" s="28" t="n"/>
      <s:c r="E31497" s="28" t="n"/>
    </s:row>
    <s:row r="31498" ht="28" customHeight="1">
      <s:c r="A31498" s="115" t="inlineStr">
        <s:is>
          <s:t>Trường hợp</s:t>
        </s:is>
      </s:c>
      <s:c r="B31498" s="115" t="inlineStr">
        <s:is>
          <s:t>Dữ liệu / thao tác riêng</s:t>
        </s:is>
      </s:c>
      <s:c r="C31498" s="115" t="inlineStr">
        <s:is>
          <s:t>Kết quả mong đợi</s:t>
        </s:is>
      </s:c>
      <s:c r="D31498" s="115" t="inlineStr">
        <s:is>
          <s:t>Kết quả thực tế</s:t>
        </s:is>
      </s:c>
      <s:c r="E31498" s="115" t="inlineStr">
        <s:is>
          <s:t>Đánh giá</s:t>
        </s:is>
      </s:c>
    </s:row>
    <s:row r="31499" ht="3" customHeight="1">
      <s:c r="A31499" s="102" t="inlineStr"/>
      <s:c r="B31499" s="99" t="n"/>
      <s:c r="C31499" s="99" t="n"/>
      <s:c r="D31499" s="116" t="n"/>
      <s:c r="E31499" s="116" t="n"/>
    </s:row>
    <s:row r="31500" ht="62" customHeight="1">
      <s:c r="A31500" s="83" t="inlineStr">
        <s:is>
          <s:t>Trường hợp cơ bản (Base)</s:t>
        </s:is>
      </s:c>
      <s:c r="B31500" s="83" t="inlineStr">
        <s:is>
          <s:t>Toàn bộ tình huống: Thực hiện đủ các bước chung theo thứ tự; kiểm cả đối tượng đích và đối chứng cùng fixture, không bỏ bước.</s:t>
        </s:is>
      </s:c>
      <s:c r="C31500" s="83" t="inlineStr">
        <s:is>
          <s:t>Consumer legacy giữ hành vi và giá trị trước đó, trừ phần tích hợp đỏ được xác nhận riêng; không đọc nhầm payload kết quả cá nhân mới.</s:t>
        </s:is>
      </s:c>
      <s:c r="D31500" s="117" t="inlineStr"/>
      <s:c r="E31500" s="118" t="inlineStr">
        <s:is>
          <s:t>Chưa thực hiện</s:t>
        </s:is>
      </s:c>
    </s:row>
    <s:row r="31501" ht="20" customHeight="1">
      <s:c r="A31501" s="119" t="inlineStr">
        <s:is>
          <s:t>Ảnh minh chứng — Chưa có ảnh</s:t>
        </s:is>
      </s:c>
      <s:c r="B31501" s="19" t="n"/>
      <s:c r="C31501" s="19" t="n"/>
      <s:c r="D31501" s="19" t="n"/>
      <s:c r="E31501" s="19" t="n"/>
    </s:row>
    <s:row r="31502" hidden="1" ht="1" customHeight="1">
      <s:c r="A31502" s="120" t="inlineStr"/>
      <s:c r="B31502" s="121" t="n"/>
      <s:c r="C31502" s="121" t="n"/>
      <s:c r="D31502" s="121" t="n"/>
      <s:c r="E31502" s="122" t="n"/>
    </s:row>
    <s:row r="31503" hidden="1" ht="1" customHeight="1">
      <s:c r="A31503" s="120" t="inlineStr"/>
      <s:c r="B31503" s="121" t="n"/>
      <s:c r="C31503" s="121" t="n"/>
      <s:c r="D31503" s="121" t="n"/>
      <s:c r="E31503" s="122" t="n"/>
    </s:row>
    <s:row r="31504" hidden="1" ht="1" customHeight="1">
      <s:c r="A31504" s="120" t="inlineStr"/>
      <s:c r="B31504" s="121" t="n"/>
      <s:c r="C31504" s="121" t="n"/>
      <s:c r="D31504" s="121" t="n"/>
      <s:c r="E31504" s="122" t="n"/>
    </s:row>
    <s:row r="31505" hidden="1" ht="1" customHeight="1">
      <s:c r="A31505" s="120" t="inlineStr"/>
      <s:c r="B31505" s="121" t="n"/>
      <s:c r="C31505" s="121" t="n"/>
      <s:c r="D31505" s="121" t="n"/>
      <s:c r="E31505" s="122" t="n"/>
    </s:row>
    <s:row r="31506" hidden="1" ht="1" customHeight="1">
      <s:c r="A31506" s="120" t="inlineStr"/>
      <s:c r="B31506" s="121" t="n"/>
      <s:c r="C31506" s="121" t="n"/>
      <s:c r="D31506" s="121" t="n"/>
      <s:c r="E31506" s="122" t="n"/>
    </s:row>
    <s:row r="31507" hidden="1" ht="1" customHeight="1">
      <s:c r="A31507" s="120" t="inlineStr"/>
      <s:c r="B31507" s="121" t="n"/>
      <s:c r="C31507" s="121" t="n"/>
      <s:c r="D31507" s="121" t="n"/>
      <s:c r="E31507" s="122" t="n"/>
    </s:row>
    <s:row r="31508" hidden="1" ht="1" customHeight="1">
      <s:c r="A31508" s="120" t="inlineStr"/>
      <s:c r="B31508" s="121" t="n"/>
      <s:c r="C31508" s="121" t="n"/>
      <s:c r="D31508" s="121" t="n"/>
      <s:c r="E31508" s="122" t="n"/>
    </s:row>
    <s:row r="31509" hidden="1" ht="1" customHeight="1">
      <s:c r="A31509" s="120" t="inlineStr"/>
      <s:c r="B31509" s="121" t="n"/>
      <s:c r="C31509" s="121" t="n"/>
      <s:c r="D31509" s="121" t="n"/>
      <s:c r="E31509" s="122" t="n"/>
    </s:row>
    <s:row r="31510" hidden="1" ht="1" customHeight="1">
      <s:c r="A31510" s="120" t="inlineStr"/>
      <s:c r="B31510" s="121" t="n"/>
      <s:c r="C31510" s="121" t="n"/>
      <s:c r="D31510" s="121" t="n"/>
      <s:c r="E31510" s="122" t="n"/>
    </s:row>
    <s:row r="31511" hidden="1" ht="1" customHeight="1">
      <s:c r="A31511" s="120" t="inlineStr"/>
      <s:c r="B31511" s="121" t="n"/>
      <s:c r="C31511" s="121" t="n"/>
      <s:c r="D31511" s="121" t="n"/>
      <s:c r="E31511" s="122" t="n"/>
    </s:row>
    <s:row r="31512" hidden="1" ht="1" customHeight="1">
      <s:c r="A31512" s="120" t="inlineStr"/>
      <s:c r="B31512" s="121" t="n"/>
      <s:c r="C31512" s="121" t="n"/>
      <s:c r="D31512" s="121" t="n"/>
      <s:c r="E31512" s="122" t="n"/>
    </s:row>
    <s:row r="31513" hidden="1" ht="1" customHeight="1">
      <s:c r="A31513" s="120" t="inlineStr"/>
      <s:c r="B31513" s="121" t="n"/>
      <s:c r="C31513" s="121" t="n"/>
      <s:c r="D31513" s="121" t="n"/>
      <s:c r="E31513" s="122" t="n"/>
    </s:row>
    <s:row r="31514" hidden="1" ht="1" customHeight="1">
      <s:c r="A31514" s="120" t="inlineStr"/>
      <s:c r="B31514" s="121" t="n"/>
      <s:c r="C31514" s="121" t="n"/>
      <s:c r="D31514" s="121" t="n"/>
      <s:c r="E31514" s="122" t="n"/>
    </s:row>
    <s:row r="31515" hidden="1" ht="1" customHeight="1">
      <s:c r="A31515" s="120" t="inlineStr"/>
      <s:c r="B31515" s="121" t="n"/>
      <s:c r="C31515" s="121" t="n"/>
      <s:c r="D31515" s="121" t="n"/>
      <s:c r="E31515" s="122" t="n"/>
    </s:row>
    <s:row r="31516" hidden="1" ht="1" customHeight="1">
      <s:c r="A31516" s="120" t="inlineStr"/>
      <s:c r="B31516" s="121" t="n"/>
      <s:c r="C31516" s="121" t="n"/>
      <s:c r="D31516" s="121" t="n"/>
      <s:c r="E31516" s="122" t="n"/>
    </s:row>
    <s:row r="31517" hidden="1" ht="1" customHeight="1">
      <s:c r="A31517" s="120" t="inlineStr"/>
      <s:c r="B31517" s="121" t="n"/>
      <s:c r="C31517" s="121" t="n"/>
      <s:c r="D31517" s="121" t="n"/>
      <s:c r="E31517" s="122" t="n"/>
    </s:row>
    <s:row r="31518" hidden="1" ht="1" customHeight="1">
      <s:c r="A31518" s="120" t="inlineStr"/>
      <s:c r="B31518" s="121" t="n"/>
      <s:c r="C31518" s="121" t="n"/>
      <s:c r="D31518" s="121" t="n"/>
      <s:c r="E31518" s="122" t="n"/>
    </s:row>
    <s:row r="31519" hidden="1" ht="1" customHeight="1">
      <s:c r="A31519" s="120" t="inlineStr"/>
      <s:c r="B31519" s="121" t="n"/>
      <s:c r="C31519" s="121" t="n"/>
      <s:c r="D31519" s="121" t="n"/>
      <s:c r="E31519" s="122" t="n"/>
    </s:row>
    <s:row r="31520" hidden="1" ht="1" customHeight="1">
      <s:c r="A31520" s="120" t="inlineStr"/>
      <s:c r="B31520" s="121" t="n"/>
      <s:c r="C31520" s="121" t="n"/>
      <s:c r="D31520" s="121" t="n"/>
      <s:c r="E31520" s="122" t="n"/>
    </s:row>
    <s:row r="31521" hidden="1" ht="1" customHeight="1">
      <s:c r="A31521" s="120" t="inlineStr"/>
      <s:c r="B31521" s="121" t="n"/>
      <s:c r="C31521" s="121" t="n"/>
      <s:c r="D31521" s="121" t="n"/>
      <s:c r="E31521" s="122" t="n"/>
    </s:row>
    <s:row r="31522" hidden="1" ht="1" customHeight="1">
      <s:c r="A31522" s="120" t="inlineStr"/>
      <s:c r="B31522" s="121" t="n"/>
      <s:c r="C31522" s="121" t="n"/>
      <s:c r="D31522" s="121" t="n"/>
      <s:c r="E31522" s="122" t="n"/>
    </s:row>
    <s:row r="31523" hidden="1" ht="1" customHeight="1">
      <s:c r="A31523" s="120" t="inlineStr"/>
      <s:c r="B31523" s="121" t="n"/>
      <s:c r="C31523" s="121" t="n"/>
      <s:c r="D31523" s="121" t="n"/>
      <s:c r="E31523" s="122" t="n"/>
    </s:row>
    <s:row r="31524" hidden="1" ht="1" customHeight="1">
      <s:c r="A31524" s="120" t="inlineStr"/>
      <s:c r="B31524" s="121" t="n"/>
      <s:c r="C31524" s="121" t="n"/>
      <s:c r="D31524" s="121" t="n"/>
      <s:c r="E31524" s="122" t="n"/>
    </s:row>
    <s:row r="31525" hidden="1" ht="1" customHeight="1">
      <s:c r="A31525" s="120" t="inlineStr"/>
      <s:c r="B31525" s="121" t="n"/>
      <s:c r="C31525" s="121" t="n"/>
      <s:c r="D31525" s="121" t="n"/>
      <s:c r="E31525" s="122" t="n"/>
    </s:row>
    <s:row r="31526" hidden="1" ht="1" customHeight="1">
      <s:c r="A31526" s="120" t="inlineStr"/>
      <s:c r="B31526" s="121" t="n"/>
      <s:c r="C31526" s="121" t="n"/>
      <s:c r="D31526" s="121" t="n"/>
      <s:c r="E31526" s="122" t="n"/>
    </s:row>
    <s:row r="31527" hidden="1" ht="1" customHeight="1">
      <s:c r="A31527" s="120" t="inlineStr"/>
      <s:c r="B31527" s="121" t="n"/>
      <s:c r="C31527" s="121" t="n"/>
      <s:c r="D31527" s="121" t="n"/>
      <s:c r="E31527" s="122" t="n"/>
    </s:row>
    <s:row r="31528" hidden="1" ht="1" customHeight="1">
      <s:c r="A31528" s="120" t="inlineStr"/>
      <s:c r="B31528" s="121" t="n"/>
      <s:c r="C31528" s="121" t="n"/>
      <s:c r="D31528" s="121" t="n"/>
      <s:c r="E31528" s="122" t="n"/>
    </s:row>
    <s:row r="31529" hidden="1" ht="1" customHeight="1">
      <s:c r="A31529" s="120" t="inlineStr"/>
      <s:c r="B31529" s="121" t="n"/>
      <s:c r="C31529" s="121" t="n"/>
      <s:c r="D31529" s="121" t="n"/>
      <s:c r="E31529" s="122" t="n"/>
    </s:row>
    <s:row r="31530" hidden="1" ht="1" customHeight="1">
      <s:c r="A31530" s="120" t="inlineStr"/>
      <s:c r="B31530" s="121" t="n"/>
      <s:c r="C31530" s="121" t="n"/>
      <s:c r="D31530" s="121" t="n"/>
      <s:c r="E31530" s="122" t="n"/>
    </s:row>
    <s:row r="31531" hidden="1" ht="1" customHeight="1">
      <s:c r="A31531" s="120" t="inlineStr"/>
      <s:c r="B31531" s="121" t="n"/>
      <s:c r="C31531" s="121" t="n"/>
      <s:c r="D31531" s="121" t="n"/>
      <s:c r="E31531" s="122" t="n"/>
    </s:row>
    <s:row r="31532" hidden="1" ht="1" customHeight="1">
      <s:c r="A31532" s="120" t="inlineStr"/>
      <s:c r="B31532" s="121" t="n"/>
      <s:c r="C31532" s="121" t="n"/>
      <s:c r="D31532" s="121" t="n"/>
      <s:c r="E31532" s="122" t="n"/>
    </s:row>
    <s:row r="31533" hidden="1" ht="1" customHeight="1">
      <s:c r="A31533" s="120" t="inlineStr"/>
      <s:c r="B31533" s="121" t="n"/>
      <s:c r="C31533" s="121" t="n"/>
      <s:c r="D31533" s="121" t="n"/>
      <s:c r="E31533" s="122" t="n"/>
    </s:row>
    <s:row r="31534" hidden="1" ht="1" customHeight="1">
      <s:c r="A31534" s="120" t="inlineStr"/>
      <s:c r="B31534" s="121" t="n"/>
      <s:c r="C31534" s="121" t="n"/>
      <s:c r="D31534" s="121" t="n"/>
      <s:c r="E31534" s="122" t="n"/>
    </s:row>
    <s:row r="31535" hidden="1" ht="1" customHeight="1">
      <s:c r="A31535" s="120" t="inlineStr"/>
      <s:c r="B31535" s="121" t="n"/>
      <s:c r="C31535" s="121" t="n"/>
      <s:c r="D31535" s="121" t="n"/>
      <s:c r="E31535" s="122" t="n"/>
    </s:row>
    <s:row r="31536" hidden="1" ht="1" customHeight="1">
      <s:c r="A31536" s="120" t="inlineStr"/>
      <s:c r="B31536" s="121" t="n"/>
      <s:c r="C31536" s="121" t="n"/>
      <s:c r="D31536" s="121" t="n"/>
      <s:c r="E31536" s="122" t="n"/>
    </s:row>
    <s:row r="31537" hidden="1" ht="1" customHeight="1">
      <s:c r="A31537" s="120" t="inlineStr"/>
      <s:c r="B31537" s="121" t="n"/>
      <s:c r="C31537" s="121" t="n"/>
      <s:c r="D31537" s="121" t="n"/>
      <s:c r="E31537" s="122" t="n"/>
    </s:row>
    <s:row r="31538" hidden="1" ht="1" customHeight="1">
      <s:c r="A31538" s="120" t="inlineStr"/>
      <s:c r="B31538" s="121" t="n"/>
      <s:c r="C31538" s="121" t="n"/>
      <s:c r="D31538" s="121" t="n"/>
      <s:c r="E31538" s="122" t="n"/>
    </s:row>
    <s:row r="31539" hidden="1" ht="1" customHeight="1">
      <s:c r="A31539" s="120" t="inlineStr"/>
      <s:c r="B31539" s="121" t="n"/>
      <s:c r="C31539" s="121" t="n"/>
      <s:c r="D31539" s="121" t="n"/>
      <s:c r="E31539" s="122" t="n"/>
    </s:row>
    <s:row r="31540" hidden="1" ht="1" customHeight="1">
      <s:c r="A31540" s="120" t="inlineStr"/>
      <s:c r="B31540" s="121" t="n"/>
      <s:c r="C31540" s="121" t="n"/>
      <s:c r="D31540" s="121" t="n"/>
      <s:c r="E31540" s="122" t="n"/>
    </s:row>
    <s:row r="31541" hidden="1" ht="1" customHeight="1">
      <s:c r="A31541" s="120" t="inlineStr"/>
      <s:c r="B31541" s="121" t="n"/>
      <s:c r="C31541" s="121" t="n"/>
      <s:c r="D31541" s="121" t="n"/>
      <s:c r="E31541" s="122" t="n"/>
    </s:row>
    <s:row r="31542" hidden="1" ht="1" customHeight="1">
      <s:c r="A31542" s="120" t="inlineStr"/>
      <s:c r="B31542" s="121" t="n"/>
      <s:c r="C31542" s="121" t="n"/>
      <s:c r="D31542" s="121" t="n"/>
      <s:c r="E31542" s="122" t="n"/>
    </s:row>
    <s:row r="31543" hidden="1" ht="1" customHeight="1">
      <s:c r="A31543" s="120" t="inlineStr"/>
      <s:c r="B31543" s="121" t="n"/>
      <s:c r="C31543" s="121" t="n"/>
      <s:c r="D31543" s="121" t="n"/>
      <s:c r="E31543" s="122" t="n"/>
    </s:row>
    <s:row r="31544" hidden="1" ht="1" customHeight="1">
      <s:c r="A31544" s="120" t="inlineStr"/>
      <s:c r="B31544" s="121" t="n"/>
      <s:c r="C31544" s="121" t="n"/>
      <s:c r="D31544" s="121" t="n"/>
      <s:c r="E31544" s="122" t="n"/>
    </s:row>
    <s:row r="31545" hidden="1" ht="1" customHeight="1">
      <s:c r="A31545" s="120" t="inlineStr"/>
      <s:c r="B31545" s="121" t="n"/>
      <s:c r="C31545" s="121" t="n"/>
      <s:c r="D31545" s="121" t="n"/>
      <s:c r="E31545" s="122" t="n"/>
    </s:row>
    <s:row r="31546" hidden="1" ht="1" customHeight="1">
      <s:c r="A31546" s="120" t="inlineStr"/>
      <s:c r="B31546" s="121" t="n"/>
      <s:c r="C31546" s="121" t="n"/>
      <s:c r="D31546" s="121" t="n"/>
      <s:c r="E31546" s="122" t="n"/>
    </s:row>
    <s:row r="31547" hidden="1" ht="1" customHeight="1">
      <s:c r="A31547" s="120" t="inlineStr"/>
      <s:c r="B31547" s="121" t="n"/>
      <s:c r="C31547" s="121" t="n"/>
      <s:c r="D31547" s="121" t="n"/>
      <s:c r="E31547" s="122" t="n"/>
    </s:row>
    <s:row r="31548" hidden="1" ht="1" customHeight="1">
      <s:c r="A31548" s="120" t="inlineStr"/>
      <s:c r="B31548" s="121" t="n"/>
      <s:c r="C31548" s="121" t="n"/>
      <s:c r="D31548" s="121" t="n"/>
      <s:c r="E31548" s="122" t="n"/>
    </s:row>
    <s:row r="31549" hidden="1" ht="1" customHeight="1">
      <s:c r="A31549" s="120" t="inlineStr"/>
      <s:c r="B31549" s="121" t="n"/>
      <s:c r="C31549" s="121" t="n"/>
      <s:c r="D31549" s="121" t="n"/>
      <s:c r="E31549" s="122" t="n"/>
    </s:row>
    <s:row r="31550" hidden="1" ht="1" customHeight="1">
      <s:c r="A31550" s="83" t="inlineStr">
        <s:is>
          <s:t>PASS</s:t>
        </s:is>
      </s:c>
      <s:c r="B31550" s="83">
        <s:f>SUM(IF(EXACT('Kiểm thử'!E31500,"Đạt"),1,0))</s:f>
        <s:v/>
      </s:c>
      <s:c r="C31550" s="19" t="n"/>
      <s:c r="D31550" s="19" t="n"/>
      <s:c r="E31550" s="19" t="n"/>
    </s:row>
    <s:row r="31551" hidden="1" ht="1" customHeight="1">
      <s:c r="A31551" s="83" t="inlineStr">
        <s:is>
          <s:t>FAIL</s:t>
        </s:is>
      </s:c>
      <s:c r="B31551" s="83">
        <s:f>SUM(IF(EXACT('Kiểm thử'!E31500,"Không đạt"),1,0))</s:f>
        <s:v/>
      </s:c>
      <s:c r="C31551" s="19" t="n"/>
      <s:c r="D31551" s="19" t="n"/>
      <s:c r="E31551" s="19" t="n"/>
    </s:row>
    <s:row r="31552" hidden="1" ht="1" customHeight="1">
      <s:c r="A31552" s="83" t="inlineStr">
        <s:is>
          <s:t>BLOCKED</s:t>
        </s:is>
      </s:c>
      <s:c r="B31552" s="83">
        <s:f>SUM(IF(EXACT('Kiểm thử'!E31500,"Bị chặn"),1,0))</s:f>
        <s:v/>
      </s:c>
      <s:c r="C31552" s="19" t="n"/>
      <s:c r="D31552" s="19" t="n"/>
      <s:c r="E31552" s="19" t="n"/>
    </s:row>
    <s:row r="31553" hidden="1" ht="1" customHeight="1">
      <s:c r="A31553" s="83" t="inlineStr">
        <s:is>
          <s:t>SKIPPED</s:t>
        </s:is>
      </s:c>
      <s:c r="B31553" s="83">
        <s:f>SUM(IF(EXACT('Kiểm thử'!E31500,"Không thực hiện"),1,0))</s:f>
        <s:v/>
      </s:c>
      <s:c r="C31553" s="19" t="n"/>
      <s:c r="D31553" s="19" t="n"/>
      <s:c r="E31553" s="19" t="n"/>
    </s:row>
    <s:row r="31554" hidden="1" ht="1" customHeight="1">
      <s:c r="A31554" s="83" t="inlineStr">
        <s:is>
          <s:t>NOT RUN</s:t>
        </s:is>
      </s:c>
      <s:c r="B31554" s="83">
        <s:f>SUM(IF(EXACT('Kiểm thử'!E31500,"Chưa thực hiện"),1,0))</s:f>
        <s:v/>
      </s:c>
      <s:c r="C31554" s="19" t="n"/>
      <s:c r="D31554" s="19" t="n"/>
      <s:c r="E31554" s="19" t="n"/>
    </s:row>
    <s:row r="31555" hidden="1" ht="6" customHeight="1">
      <s:c r="A31555" s="83" t="inlineStr"/>
      <s:c r="B31555" s="19" t="n"/>
      <s:c r="C31555" s="19" t="n"/>
      <s:c r="D31555" s="19" t="n"/>
      <s:c r="E31555" s="19" t="n"/>
    </s:row>
    <s:row r="31556" ht="28" customHeight="1">
      <s:c r="A31556" s="108" t="inlineStr">
        <s:is>
          <s:t>TC-RS-REG-012 — Các luồng chuyển cấu hình không làm mất legacy</s:t>
        </s:is>
      </s:c>
      <s:c r="B31556" s="111" t="n"/>
      <s:c r="C31556" s="111" t="n"/>
      <s:c r="D31556" s="111" t="n"/>
      <s:c r="E31556" s="111" t="n"/>
    </s:row>
    <s:row r="31557" ht="20" customHeight="1">
      <s:c r="A31557" s="112" t="inlineStr">
        <s:is>
          <s:t>Kết quả tình huống</s:t>
        </s:is>
      </s:c>
      <s:c r="B31557" s="113">
        <s:f>IF(SUM(IF(EXACT('Kiểm thử'!E31566,"Không đạt"),1,0),IF(EXACT('Kiểm thử'!E31568,"Không đạt"),1,0),IF(EXACT('Kiểm thử'!E31570,"Không đạt"),1,0),IF(EXACT('Kiểm thử'!E31572,"Không đạt"),1,0))&gt;0,"Không đạt",IF(SUM(IF(EXACT('Kiểm thử'!E31566,"Đạt"),1,0),IF(EXACT('Kiểm thử'!E31568,"Đạt"),1,0),IF(EXACT('Kiểm thử'!E31570,"Đạt"),1,0),IF(EXACT('Kiểm thử'!E31572,"Đạt"),1,0))=4,"Đạt",IF(SUM(IF(EXACT('Kiểm thử'!E31566,"Không thực hiện"),1,0),IF(EXACT('Kiểm thử'!E31568,"Không thực hiện"),1,0),IF(EXACT('Kiểm thử'!E31570,"Không thực hiện"),1,0),IF(EXACT('Kiểm thử'!E31572,"Không thực hiện"),1,0))=4,"Không thực hiện",IF(SUM(IF(EXACT('Kiểm thử'!E31566,"Bị chặn"),1,0),IF(EXACT('Kiểm thử'!E31568,"Bị chặn"),1,0),IF(EXACT('Kiểm thử'!E31570,"Bị chặn"),1,0),IF(EXACT('Kiểm thử'!E31572,"Bị chặn"),1,0))&gt;0,"Bị chặn",IF(SUM(IF(EXACT('Kiểm thử'!E31566,"Chưa thực hiện"),1,0),IF(EXACT('Kiểm thử'!E31568,"Chưa thực hiện"),1,0),IF(EXACT('Kiểm thử'!E31570,"Chưa thực hiện"),1,0),IF(EXACT('Kiểm thử'!E31572,"Chưa thực hiện"),1,0))=4,"Chưa thực hiện","Đang thực hiện")))))</s:f>
        <s:v/>
      </s:c>
      <s:c r="C31557" s="114" t="n"/>
      <s:c r="D31557" s="114" t="n"/>
      <s:c r="E31557" s="114" t="n"/>
    </s:row>
    <s:row r="31558" ht="20" customHeight="1">
      <s:c r="A31558" s="112" t="inlineStr">
        <s:is>
          <s:t>Màn hình / chức năng</s:t>
        </s:is>
      </s:c>
      <s:c r="B31558" s="113" t="inlineStr">
        <s:is>
          <s:t>Hồi quy luồng hiện có</s:t>
        </s:is>
      </s:c>
      <s:c r="C31558" s="28" t="n"/>
      <s:c r="D31558" s="28" t="n"/>
      <s:c r="E31558" s="28" t="n"/>
    </s:row>
    <s:row r="31559" ht="34" customHeight="1">
      <s:c r="A31559" s="112" t="inlineStr">
        <s:is>
          <s:t>Cấu hình</s:t>
        </s:is>
      </s:c>
      <s:c r="B31559" s="113" t="inlineStr">
        <s:is>
          <s:t>• Có dữ liệu legacy và kết quả cá nhân ở nguồn;
• Thực hiện một đường chuyển cấu hình được hỗ trợ.</s:t>
        </s:is>
      </s:c>
      <s:c r="C31559" s="28" t="n"/>
      <s:c r="D31559" s="28" t="n"/>
      <s:c r="E31559" s="28" t="n"/>
    </s:row>
    <s:row r="31560" ht="34" customHeight="1">
      <s:c r="A31560" s="112" t="inlineStr">
        <s:is>
          <s:t>Dữ liệu test</s:t>
        </s:is>
      </s:c>
      <s:c r="B31560" s="113" t="inlineStr">
        <s:is>
          <s:t>• Có dữ liệu legacy và kết quả cá nhân ở nguồn;
• Thực hiện một đường chuyển cấu hình được hỗ trợ.</s:t>
        </s:is>
      </s:c>
      <s:c r="C31560" s="28" t="n"/>
      <s:c r="D31560" s="28" t="n"/>
      <s:c r="E31560" s="28" t="n"/>
    </s:row>
    <s:row r="31561" ht="20" customHeight="1">
      <s:c r="A31561" s="112" t="inlineStr">
        <s:is>
          <s:t>Bước 1</s:t>
        </s:is>
      </s:c>
      <s:c r="B31561" s="113" t="inlineStr">
        <s:is>
          <s:t>Xác minh nguồn legacy/kết quả cá nhân và identity đích của đường đang kiểm.</s:t>
        </s:is>
      </s:c>
      <s:c r="C31561" s="28" t="n"/>
      <s:c r="D31561" s="28" t="n"/>
      <s:c r="E31561" s="28" t="n"/>
    </s:row>
    <s:row r="31562" ht="20" customHeight="1">
      <s:c r="A31562" s="112" t="inlineStr">
        <s:is>
          <s:t>Bước 2</s:t>
        </s:is>
      </s:c>
      <s:c r="B31562" s="113" t="inlineStr">
        <s:is>
          <s:t>Chuyển cấu hình qua đường trong bảng trường hợp.</s:t>
        </s:is>
      </s:c>
      <s:c r="C31562" s="28" t="n"/>
      <s:c r="D31562" s="28" t="n"/>
      <s:c r="E31562" s="28" t="n"/>
    </s:row>
    <s:row r="31563" ht="20" customHeight="1">
      <s:c r="A31563" s="112" t="inlineStr">
        <s:is>
          <s:t>Bước 3</s:t>
        </s:is>
      </s:c>
      <s:c r="B31563" s="113" t="inlineStr">
        <s:is>
          <s:t>Đọc nguồn/đích trên consumer/báo cáo, đối chiếu legacy và mapping kết quả.</s:t>
        </s:is>
      </s:c>
      <s:c r="C31563" s="28" t="n"/>
      <s:c r="D31563" s="28" t="n"/>
      <s:c r="E31563" s="28" t="n"/>
    </s:row>
    <s:row r="31564" ht="28" customHeight="1">
      <s:c r="A31564" s="115" t="inlineStr">
        <s:is>
          <s:t>Trường hợp</s:t>
        </s:is>
      </s:c>
      <s:c r="B31564" s="115" t="inlineStr">
        <s:is>
          <s:t>Dữ liệu / thao tác riêng</s:t>
        </s:is>
      </s:c>
      <s:c r="C31564" s="115" t="inlineStr">
        <s:is>
          <s:t>Kết quả mong đợi</s:t>
        </s:is>
      </s:c>
      <s:c r="D31564" s="115" t="inlineStr">
        <s:is>
          <s:t>Kết quả thực tế</s:t>
        </s:is>
      </s:c>
      <s:c r="E31564" s="115" t="inlineStr">
        <s:is>
          <s:t>Đánh giá</s:t>
        </s:is>
      </s:c>
    </s:row>
    <s:row r="31565" ht="3" customHeight="1">
      <s:c r="A31565" s="102" t="inlineStr"/>
      <s:c r="B31565" s="99" t="n"/>
      <s:c r="C31565" s="99" t="n"/>
      <s:c r="D31565" s="116" t="n"/>
      <s:c r="E31565" s="116" t="n"/>
    </s:row>
    <s:row r="31566" ht="104" customHeight="1">
      <s:c r="A31566" s="83" t="inlineStr">
        <s:is>
          <s:t>Sao chép giữ legacy (copy)</s:t>
        </s:is>
      </s:c>
      <s:c r="B31566" s="83" t="inlineStr">
        <s:is>
          <s:t>Dùng fixture/đường DATA-015 đã nêu, có cấu hình/legacy/bản chốt/kết quả cá nhân ở nguồn; thực hiện copy qua chức năng được hỗ trợ, đọc nguồn/đích và mapping identity trước khi xét ở đích. Không tự dựng route/ID.</s:t>
        </s:is>
      </s:c>
      <s:c r="C31566" s="83" t="inlineStr">
        <s:is>
          <s:t>Legacy ở nguồn vẫn nguyên vẹn; đích không nhận kết quả cá nhân ngoài mapping hợp lệ và không dùng lại kết quả nguồn.</s:t>
        </s:is>
      </s:c>
      <s:c r="D31566" s="117" t="inlineStr"/>
      <s:c r="E31566" s="118" t="inlineStr">
        <s:is>
          <s:t>Chưa thực hiện</s:t>
        </s:is>
      </s:c>
    </s:row>
    <s:row r="31567" ht="3" customHeight="1">
      <s:c r="A31567" s="102" t="inlineStr"/>
      <s:c r="B31567" s="99" t="n"/>
      <s:c r="C31567" s="99" t="n"/>
      <s:c r="D31567" s="116" t="n"/>
      <s:c r="E31567" s="116" t="n"/>
    </s:row>
    <s:row r="31568" ht="104" customHeight="1">
      <s:c r="A31568" s="83" t="inlineStr">
        <s:is>
          <s:t>Năm mới giữ legacy (year)</s:t>
        </s:is>
      </s:c>
      <s:c r="B31568" s="83" t="inlineStr">
        <s:is>
          <s:t>Dùng fixture/đường DATA-016 đã nêu, có cấu hình/legacy/bản chốt/kết quả cá nhân ở nguồn; thực hiện kế thừa năm qua chức năng được hỗ trợ, đọc nguồn/đích và mapping identity trước khi xét ở đích. Không tự dựng route/ID.</s:t>
        </s:is>
      </s:c>
      <s:c r="C31568" s="83" t="inlineStr">
        <s:is>
          <s:t>Legacy ở nguồn vẫn nguyên vẹn; đích không nhận kết quả cá nhân ngoài mapping hợp lệ và không dùng lại kết quả nguồn.</s:t>
        </s:is>
      </s:c>
      <s:c r="D31568" s="117" t="inlineStr"/>
      <s:c r="E31568" s="118" t="inlineStr">
        <s:is>
          <s:t>Chưa thực hiện</s:t>
        </s:is>
      </s:c>
    </s:row>
    <s:row r="31569" ht="3" customHeight="1">
      <s:c r="A31569" s="102" t="inlineStr"/>
      <s:c r="B31569" s="99" t="n"/>
      <s:c r="C31569" s="99" t="n"/>
      <s:c r="D31569" s="116" t="n"/>
      <s:c r="E31569" s="116" t="n"/>
    </s:row>
    <s:row r="31570" ht="104" customHeight="1">
      <s:c r="A31570" s="83" t="inlineStr">
        <s:is>
          <s:t>Nhập giữ legacy (import)</s:t>
        </s:is>
      </s:c>
      <s:c r="B31570" s="83" t="inlineStr">
        <s:is>
          <s:t>Dùng fixture/đường DATA-017 đã nêu, có cấu hình/legacy/bản chốt/kết quả cá nhân ở nguồn; thực hiện import qua chức năng được hỗ trợ, đọc nguồn/đích và mapping identity trước khi xét ở đích. Không tự dựng route/ID.</s:t>
        </s:is>
      </s:c>
      <s:c r="C31570" s="83" t="inlineStr">
        <s:is>
          <s:t>Legacy ở nguồn vẫn nguyên vẹn; đích không nhận kết quả cá nhân ngoài mapping hợp lệ và không dùng lại kết quả nguồn.</s:t>
        </s:is>
      </s:c>
      <s:c r="D31570" s="117" t="inlineStr"/>
      <s:c r="E31570" s="118" t="inlineStr">
        <s:is>
          <s:t>Chưa thực hiện</s:t>
        </s:is>
      </s:c>
    </s:row>
    <s:row r="31571" ht="3" customHeight="1">
      <s:c r="A31571" s="102" t="inlineStr"/>
      <s:c r="B31571" s="99" t="n"/>
      <s:c r="C31571" s="99" t="n"/>
      <s:c r="D31571" s="116" t="n"/>
      <s:c r="E31571" s="116" t="n"/>
    </s:row>
    <s:row r="31572" ht="104" customHeight="1">
      <s:c r="A31572" s="83" t="inlineStr">
        <s:is>
          <s:t>Đồng bộ giữ legacy (sync)</s:t>
        </s:is>
      </s:c>
      <s:c r="B31572" s="83" t="inlineStr">
        <s:is>
          <s:t>Dùng fixture/đường DATA-019 đã nêu, có cấu hình/legacy/bản chốt/kết quả cá nhân ở nguồn; thực hiện sync qua chức năng được hỗ trợ, đọc nguồn/đích và mapping identity trước khi xét ở đích. Không tự dựng route/ID.</s:t>
        </s:is>
      </s:c>
      <s:c r="C31572" s="83" t="inlineStr">
        <s:is>
          <s:t>Legacy ở nguồn vẫn nguyên vẹn; đích không nhận kết quả cá nhân ngoài mapping hợp lệ và không dùng lại kết quả nguồn.</s:t>
        </s:is>
      </s:c>
      <s:c r="D31572" s="117" t="inlineStr"/>
      <s:c r="E31572" s="118" t="inlineStr">
        <s:is>
          <s:t>Chưa thực hiện</s:t>
        </s:is>
      </s:c>
    </s:row>
    <s:row r="31573" ht="20" customHeight="1">
      <s:c r="A31573" s="119" t="inlineStr">
        <s:is>
          <s:t>Ảnh minh chứng — Chưa có ảnh</s:t>
        </s:is>
      </s:c>
      <s:c r="B31573" s="19" t="n"/>
      <s:c r="C31573" s="19" t="n"/>
      <s:c r="D31573" s="19" t="n"/>
      <s:c r="E31573" s="19" t="n"/>
    </s:row>
    <s:row r="31574" hidden="1" ht="1" customHeight="1">
      <s:c r="A31574" s="120" t="inlineStr"/>
      <s:c r="B31574" s="121" t="n"/>
      <s:c r="C31574" s="121" t="n"/>
      <s:c r="D31574" s="121" t="n"/>
      <s:c r="E31574" s="122" t="n"/>
    </s:row>
    <s:row r="31575" hidden="1" ht="1" customHeight="1">
      <s:c r="A31575" s="120" t="inlineStr"/>
      <s:c r="B31575" s="121" t="n"/>
      <s:c r="C31575" s="121" t="n"/>
      <s:c r="D31575" s="121" t="n"/>
      <s:c r="E31575" s="122" t="n"/>
    </s:row>
    <s:row r="31576" hidden="1" ht="1" customHeight="1">
      <s:c r="A31576" s="120" t="inlineStr"/>
      <s:c r="B31576" s="121" t="n"/>
      <s:c r="C31576" s="121" t="n"/>
      <s:c r="D31576" s="121" t="n"/>
      <s:c r="E31576" s="122" t="n"/>
    </s:row>
    <s:row r="31577" hidden="1" ht="1" customHeight="1">
      <s:c r="A31577" s="120" t="inlineStr"/>
      <s:c r="B31577" s="121" t="n"/>
      <s:c r="C31577" s="121" t="n"/>
      <s:c r="D31577" s="121" t="n"/>
      <s:c r="E31577" s="122" t="n"/>
    </s:row>
    <s:row r="31578" hidden="1" ht="1" customHeight="1">
      <s:c r="A31578" s="120" t="inlineStr"/>
      <s:c r="B31578" s="121" t="n"/>
      <s:c r="C31578" s="121" t="n"/>
      <s:c r="D31578" s="121" t="n"/>
      <s:c r="E31578" s="122" t="n"/>
    </s:row>
    <s:row r="31579" hidden="1" ht="1" customHeight="1">
      <s:c r="A31579" s="120" t="inlineStr"/>
      <s:c r="B31579" s="121" t="n"/>
      <s:c r="C31579" s="121" t="n"/>
      <s:c r="D31579" s="121" t="n"/>
      <s:c r="E31579" s="122" t="n"/>
    </s:row>
    <s:row r="31580" hidden="1" ht="1" customHeight="1">
      <s:c r="A31580" s="120" t="inlineStr"/>
      <s:c r="B31580" s="121" t="n"/>
      <s:c r="C31580" s="121" t="n"/>
      <s:c r="D31580" s="121" t="n"/>
      <s:c r="E31580" s="122" t="n"/>
    </s:row>
    <s:row r="31581" hidden="1" ht="1" customHeight="1">
      <s:c r="A31581" s="120" t="inlineStr"/>
      <s:c r="B31581" s="121" t="n"/>
      <s:c r="C31581" s="121" t="n"/>
      <s:c r="D31581" s="121" t="n"/>
      <s:c r="E31581" s="122" t="n"/>
    </s:row>
    <s:row r="31582" hidden="1" ht="1" customHeight="1">
      <s:c r="A31582" s="120" t="inlineStr"/>
      <s:c r="B31582" s="121" t="n"/>
      <s:c r="C31582" s="121" t="n"/>
      <s:c r="D31582" s="121" t="n"/>
      <s:c r="E31582" s="122" t="n"/>
    </s:row>
    <s:row r="31583" hidden="1" ht="1" customHeight="1">
      <s:c r="A31583" s="120" t="inlineStr"/>
      <s:c r="B31583" s="121" t="n"/>
      <s:c r="C31583" s="121" t="n"/>
      <s:c r="D31583" s="121" t="n"/>
      <s:c r="E31583" s="122" t="n"/>
    </s:row>
    <s:row r="31584" hidden="1" ht="1" customHeight="1">
      <s:c r="A31584" s="120" t="inlineStr"/>
      <s:c r="B31584" s="121" t="n"/>
      <s:c r="C31584" s="121" t="n"/>
      <s:c r="D31584" s="121" t="n"/>
      <s:c r="E31584" s="122" t="n"/>
    </s:row>
    <s:row r="31585" hidden="1" ht="1" customHeight="1">
      <s:c r="A31585" s="120" t="inlineStr"/>
      <s:c r="B31585" s="121" t="n"/>
      <s:c r="C31585" s="121" t="n"/>
      <s:c r="D31585" s="121" t="n"/>
      <s:c r="E31585" s="122" t="n"/>
    </s:row>
    <s:row r="31586" hidden="1" ht="1" customHeight="1">
      <s:c r="A31586" s="120" t="inlineStr"/>
      <s:c r="B31586" s="121" t="n"/>
      <s:c r="C31586" s="121" t="n"/>
      <s:c r="D31586" s="121" t="n"/>
      <s:c r="E31586" s="122" t="n"/>
    </s:row>
    <s:row r="31587" hidden="1" ht="1" customHeight="1">
      <s:c r="A31587" s="120" t="inlineStr"/>
      <s:c r="B31587" s="121" t="n"/>
      <s:c r="C31587" s="121" t="n"/>
      <s:c r="D31587" s="121" t="n"/>
      <s:c r="E31587" s="122" t="n"/>
    </s:row>
    <s:row r="31588" hidden="1" ht="1" customHeight="1">
      <s:c r="A31588" s="120" t="inlineStr"/>
      <s:c r="B31588" s="121" t="n"/>
      <s:c r="C31588" s="121" t="n"/>
      <s:c r="D31588" s="121" t="n"/>
      <s:c r="E31588" s="122" t="n"/>
    </s:row>
    <s:row r="31589" hidden="1" ht="1" customHeight="1">
      <s:c r="A31589" s="120" t="inlineStr"/>
      <s:c r="B31589" s="121" t="n"/>
      <s:c r="C31589" s="121" t="n"/>
      <s:c r="D31589" s="121" t="n"/>
      <s:c r="E31589" s="122" t="n"/>
    </s:row>
    <s:row r="31590" hidden="1" ht="1" customHeight="1">
      <s:c r="A31590" s="120" t="inlineStr"/>
      <s:c r="B31590" s="121" t="n"/>
      <s:c r="C31590" s="121" t="n"/>
      <s:c r="D31590" s="121" t="n"/>
      <s:c r="E31590" s="122" t="n"/>
    </s:row>
    <s:row r="31591" hidden="1" ht="1" customHeight="1">
      <s:c r="A31591" s="120" t="inlineStr"/>
      <s:c r="B31591" s="121" t="n"/>
      <s:c r="C31591" s="121" t="n"/>
      <s:c r="D31591" s="121" t="n"/>
      <s:c r="E31591" s="122" t="n"/>
    </s:row>
    <s:row r="31592" hidden="1" ht="1" customHeight="1">
      <s:c r="A31592" s="120" t="inlineStr"/>
      <s:c r="B31592" s="121" t="n"/>
      <s:c r="C31592" s="121" t="n"/>
      <s:c r="D31592" s="121" t="n"/>
      <s:c r="E31592" s="122" t="n"/>
    </s:row>
    <s:row r="31593" hidden="1" ht="1" customHeight="1">
      <s:c r="A31593" s="120" t="inlineStr"/>
      <s:c r="B31593" s="121" t="n"/>
      <s:c r="C31593" s="121" t="n"/>
      <s:c r="D31593" s="121" t="n"/>
      <s:c r="E31593" s="122" t="n"/>
    </s:row>
    <s:row r="31594" hidden="1" ht="1" customHeight="1">
      <s:c r="A31594" s="120" t="inlineStr"/>
      <s:c r="B31594" s="121" t="n"/>
      <s:c r="C31594" s="121" t="n"/>
      <s:c r="D31594" s="121" t="n"/>
      <s:c r="E31594" s="122" t="n"/>
    </s:row>
    <s:row r="31595" hidden="1" ht="1" customHeight="1">
      <s:c r="A31595" s="120" t="inlineStr"/>
      <s:c r="B31595" s="121" t="n"/>
      <s:c r="C31595" s="121" t="n"/>
      <s:c r="D31595" s="121" t="n"/>
      <s:c r="E31595" s="122" t="n"/>
    </s:row>
    <s:row r="31596" hidden="1" ht="1" customHeight="1">
      <s:c r="A31596" s="120" t="inlineStr"/>
      <s:c r="B31596" s="121" t="n"/>
      <s:c r="C31596" s="121" t="n"/>
      <s:c r="D31596" s="121" t="n"/>
      <s:c r="E31596" s="122" t="n"/>
    </s:row>
    <s:row r="31597" hidden="1" ht="1" customHeight="1">
      <s:c r="A31597" s="120" t="inlineStr"/>
      <s:c r="B31597" s="121" t="n"/>
      <s:c r="C31597" s="121" t="n"/>
      <s:c r="D31597" s="121" t="n"/>
      <s:c r="E31597" s="122" t="n"/>
    </s:row>
    <s:row r="31598" hidden="1" ht="1" customHeight="1">
      <s:c r="A31598" s="120" t="inlineStr"/>
      <s:c r="B31598" s="121" t="n"/>
      <s:c r="C31598" s="121" t="n"/>
      <s:c r="D31598" s="121" t="n"/>
      <s:c r="E31598" s="122" t="n"/>
    </s:row>
    <s:row r="31599" hidden="1" ht="1" customHeight="1">
      <s:c r="A31599" s="120" t="inlineStr"/>
      <s:c r="B31599" s="121" t="n"/>
      <s:c r="C31599" s="121" t="n"/>
      <s:c r="D31599" s="121" t="n"/>
      <s:c r="E31599" s="122" t="n"/>
    </s:row>
    <s:row r="31600" hidden="1" ht="1" customHeight="1">
      <s:c r="A31600" s="120" t="inlineStr"/>
      <s:c r="B31600" s="121" t="n"/>
      <s:c r="C31600" s="121" t="n"/>
      <s:c r="D31600" s="121" t="n"/>
      <s:c r="E31600" s="122" t="n"/>
    </s:row>
    <s:row r="31601" hidden="1" ht="1" customHeight="1">
      <s:c r="A31601" s="120" t="inlineStr"/>
      <s:c r="B31601" s="121" t="n"/>
      <s:c r="C31601" s="121" t="n"/>
      <s:c r="D31601" s="121" t="n"/>
      <s:c r="E31601" s="122" t="n"/>
    </s:row>
    <s:row r="31602" hidden="1" ht="1" customHeight="1">
      <s:c r="A31602" s="120" t="inlineStr"/>
      <s:c r="B31602" s="121" t="n"/>
      <s:c r="C31602" s="121" t="n"/>
      <s:c r="D31602" s="121" t="n"/>
      <s:c r="E31602" s="122" t="n"/>
    </s:row>
    <s:row r="31603" hidden="1" ht="1" customHeight="1">
      <s:c r="A31603" s="120" t="inlineStr"/>
      <s:c r="B31603" s="121" t="n"/>
      <s:c r="C31603" s="121" t="n"/>
      <s:c r="D31603" s="121" t="n"/>
      <s:c r="E31603" s="122" t="n"/>
    </s:row>
    <s:row r="31604" hidden="1" ht="1" customHeight="1">
      <s:c r="A31604" s="120" t="inlineStr"/>
      <s:c r="B31604" s="121" t="n"/>
      <s:c r="C31604" s="121" t="n"/>
      <s:c r="D31604" s="121" t="n"/>
      <s:c r="E31604" s="122" t="n"/>
    </s:row>
    <s:row r="31605" hidden="1" ht="1" customHeight="1">
      <s:c r="A31605" s="120" t="inlineStr"/>
      <s:c r="B31605" s="121" t="n"/>
      <s:c r="C31605" s="121" t="n"/>
      <s:c r="D31605" s="121" t="n"/>
      <s:c r="E31605" s="122" t="n"/>
    </s:row>
    <s:row r="31606" hidden="1" ht="1" customHeight="1">
      <s:c r="A31606" s="120" t="inlineStr"/>
      <s:c r="B31606" s="121" t="n"/>
      <s:c r="C31606" s="121" t="n"/>
      <s:c r="D31606" s="121" t="n"/>
      <s:c r="E31606" s="122" t="n"/>
    </s:row>
    <s:row r="31607" hidden="1" ht="1" customHeight="1">
      <s:c r="A31607" s="120" t="inlineStr"/>
      <s:c r="B31607" s="121" t="n"/>
      <s:c r="C31607" s="121" t="n"/>
      <s:c r="D31607" s="121" t="n"/>
      <s:c r="E31607" s="122" t="n"/>
    </s:row>
    <s:row r="31608" hidden="1" ht="1" customHeight="1">
      <s:c r="A31608" s="120" t="inlineStr"/>
      <s:c r="B31608" s="121" t="n"/>
      <s:c r="C31608" s="121" t="n"/>
      <s:c r="D31608" s="121" t="n"/>
      <s:c r="E31608" s="122" t="n"/>
    </s:row>
    <s:row r="31609" hidden="1" ht="1" customHeight="1">
      <s:c r="A31609" s="120" t="inlineStr"/>
      <s:c r="B31609" s="121" t="n"/>
      <s:c r="C31609" s="121" t="n"/>
      <s:c r="D31609" s="121" t="n"/>
      <s:c r="E31609" s="122" t="n"/>
    </s:row>
    <s:row r="31610" hidden="1" ht="1" customHeight="1">
      <s:c r="A31610" s="120" t="inlineStr"/>
      <s:c r="B31610" s="121" t="n"/>
      <s:c r="C31610" s="121" t="n"/>
      <s:c r="D31610" s="121" t="n"/>
      <s:c r="E31610" s="122" t="n"/>
    </s:row>
    <s:row r="31611" hidden="1" ht="1" customHeight="1">
      <s:c r="A31611" s="120" t="inlineStr"/>
      <s:c r="B31611" s="121" t="n"/>
      <s:c r="C31611" s="121" t="n"/>
      <s:c r="D31611" s="121" t="n"/>
      <s:c r="E31611" s="122" t="n"/>
    </s:row>
    <s:row r="31612" hidden="1" ht="1" customHeight="1">
      <s:c r="A31612" s="120" t="inlineStr"/>
      <s:c r="B31612" s="121" t="n"/>
      <s:c r="C31612" s="121" t="n"/>
      <s:c r="D31612" s="121" t="n"/>
      <s:c r="E31612" s="122" t="n"/>
    </s:row>
    <s:row r="31613" hidden="1" ht="1" customHeight="1">
      <s:c r="A31613" s="120" t="inlineStr"/>
      <s:c r="B31613" s="121" t="n"/>
      <s:c r="C31613" s="121" t="n"/>
      <s:c r="D31613" s="121" t="n"/>
      <s:c r="E31613" s="122" t="n"/>
    </s:row>
    <s:row r="31614" hidden="1" ht="1" customHeight="1">
      <s:c r="A31614" s="120" t="inlineStr"/>
      <s:c r="B31614" s="121" t="n"/>
      <s:c r="C31614" s="121" t="n"/>
      <s:c r="D31614" s="121" t="n"/>
      <s:c r="E31614" s="122" t="n"/>
    </s:row>
    <s:row r="31615" hidden="1" ht="1" customHeight="1">
      <s:c r="A31615" s="120" t="inlineStr"/>
      <s:c r="B31615" s="121" t="n"/>
      <s:c r="C31615" s="121" t="n"/>
      <s:c r="D31615" s="121" t="n"/>
      <s:c r="E31615" s="122" t="n"/>
    </s:row>
    <s:row r="31616" hidden="1" ht="1" customHeight="1">
      <s:c r="A31616" s="120" t="inlineStr"/>
      <s:c r="B31616" s="121" t="n"/>
      <s:c r="C31616" s="121" t="n"/>
      <s:c r="D31616" s="121" t="n"/>
      <s:c r="E31616" s="122" t="n"/>
    </s:row>
    <s:row r="31617" hidden="1" ht="1" customHeight="1">
      <s:c r="A31617" s="120" t="inlineStr"/>
      <s:c r="B31617" s="121" t="n"/>
      <s:c r="C31617" s="121" t="n"/>
      <s:c r="D31617" s="121" t="n"/>
      <s:c r="E31617" s="122" t="n"/>
    </s:row>
    <s:row r="31618" hidden="1" ht="1" customHeight="1">
      <s:c r="A31618" s="120" t="inlineStr"/>
      <s:c r="B31618" s="121" t="n"/>
      <s:c r="C31618" s="121" t="n"/>
      <s:c r="D31618" s="121" t="n"/>
      <s:c r="E31618" s="122" t="n"/>
    </s:row>
    <s:row r="31619" hidden="1" ht="1" customHeight="1">
      <s:c r="A31619" s="120" t="inlineStr"/>
      <s:c r="B31619" s="121" t="n"/>
      <s:c r="C31619" s="121" t="n"/>
      <s:c r="D31619" s="121" t="n"/>
      <s:c r="E31619" s="122" t="n"/>
    </s:row>
    <s:row r="31620" hidden="1" ht="1" customHeight="1">
      <s:c r="A31620" s="120" t="inlineStr"/>
      <s:c r="B31620" s="121" t="n"/>
      <s:c r="C31620" s="121" t="n"/>
      <s:c r="D31620" s="121" t="n"/>
      <s:c r="E31620" s="122" t="n"/>
    </s:row>
    <s:row r="31621" hidden="1" ht="1" customHeight="1">
      <s:c r="A31621" s="120" t="inlineStr"/>
      <s:c r="B31621" s="121" t="n"/>
      <s:c r="C31621" s="121" t="n"/>
      <s:c r="D31621" s="121" t="n"/>
      <s:c r="E31621" s="122" t="n"/>
    </s:row>
    <s:row r="31622" hidden="1" ht="1" customHeight="1">
      <s:c r="A31622" s="120" t="inlineStr"/>
      <s:c r="B31622" s="121" t="n"/>
      <s:c r="C31622" s="121" t="n"/>
      <s:c r="D31622" s="121" t="n"/>
      <s:c r="E31622" s="122" t="n"/>
    </s:row>
    <s:row r="31623" hidden="1" ht="1" customHeight="1">
      <s:c r="A31623" s="120" t="inlineStr"/>
      <s:c r="B31623" s="121" t="n"/>
      <s:c r="C31623" s="121" t="n"/>
      <s:c r="D31623" s="121" t="n"/>
      <s:c r="E31623" s="122" t="n"/>
    </s:row>
    <s:row r="31624" hidden="1" ht="1" customHeight="1">
      <s:c r="A31624" s="120" t="inlineStr"/>
      <s:c r="B31624" s="121" t="n"/>
      <s:c r="C31624" s="121" t="n"/>
      <s:c r="D31624" s="121" t="n"/>
      <s:c r="E31624" s="122" t="n"/>
    </s:row>
    <s:row r="31625" hidden="1" ht="1" customHeight="1">
      <s:c r="A31625" s="120" t="inlineStr"/>
      <s:c r="B31625" s="121" t="n"/>
      <s:c r="C31625" s="121" t="n"/>
      <s:c r="D31625" s="121" t="n"/>
      <s:c r="E31625" s="122" t="n"/>
    </s:row>
    <s:row r="31626" hidden="1" ht="1" customHeight="1">
      <s:c r="A31626" s="120" t="inlineStr"/>
      <s:c r="B31626" s="121" t="n"/>
      <s:c r="C31626" s="121" t="n"/>
      <s:c r="D31626" s="121" t="n"/>
      <s:c r="E31626" s="122" t="n"/>
    </s:row>
    <s:row r="31627" hidden="1" ht="1" customHeight="1">
      <s:c r="A31627" s="120" t="inlineStr"/>
      <s:c r="B31627" s="121" t="n"/>
      <s:c r="C31627" s="121" t="n"/>
      <s:c r="D31627" s="121" t="n"/>
      <s:c r="E31627" s="122" t="n"/>
    </s:row>
    <s:row r="31628" hidden="1" ht="1" customHeight="1">
      <s:c r="A31628" s="120" t="inlineStr"/>
      <s:c r="B31628" s="121" t="n"/>
      <s:c r="C31628" s="121" t="n"/>
      <s:c r="D31628" s="121" t="n"/>
      <s:c r="E31628" s="122" t="n"/>
    </s:row>
    <s:row r="31629" hidden="1" ht="1" customHeight="1">
      <s:c r="A31629" s="120" t="inlineStr"/>
      <s:c r="B31629" s="121" t="n"/>
      <s:c r="C31629" s="121" t="n"/>
      <s:c r="D31629" s="121" t="n"/>
      <s:c r="E31629" s="122" t="n"/>
    </s:row>
    <s:row r="31630" hidden="1" ht="1" customHeight="1">
      <s:c r="A31630" s="120" t="inlineStr"/>
      <s:c r="B31630" s="121" t="n"/>
      <s:c r="C31630" s="121" t="n"/>
      <s:c r="D31630" s="121" t="n"/>
      <s:c r="E31630" s="122" t="n"/>
    </s:row>
    <s:row r="31631" hidden="1" ht="1" customHeight="1">
      <s:c r="A31631" s="120" t="inlineStr"/>
      <s:c r="B31631" s="121" t="n"/>
      <s:c r="C31631" s="121" t="n"/>
      <s:c r="D31631" s="121" t="n"/>
      <s:c r="E31631" s="122" t="n"/>
    </s:row>
    <s:row r="31632" hidden="1" ht="1" customHeight="1">
      <s:c r="A31632" s="120" t="inlineStr"/>
      <s:c r="B31632" s="121" t="n"/>
      <s:c r="C31632" s="121" t="n"/>
      <s:c r="D31632" s="121" t="n"/>
      <s:c r="E31632" s="122" t="n"/>
    </s:row>
    <s:row r="31633" hidden="1" ht="1" customHeight="1">
      <s:c r="A31633" s="120" t="inlineStr"/>
      <s:c r="B31633" s="121" t="n"/>
      <s:c r="C31633" s="121" t="n"/>
      <s:c r="D31633" s="121" t="n"/>
      <s:c r="E31633" s="122" t="n"/>
    </s:row>
    <s:row r="31634" hidden="1" ht="1" customHeight="1">
      <s:c r="A31634" s="120" t="inlineStr"/>
      <s:c r="B31634" s="121" t="n"/>
      <s:c r="C31634" s="121" t="n"/>
      <s:c r="D31634" s="121" t="n"/>
      <s:c r="E31634" s="122" t="n"/>
    </s:row>
    <s:row r="31635" hidden="1" ht="1" customHeight="1">
      <s:c r="A31635" s="120" t="inlineStr"/>
      <s:c r="B31635" s="121" t="n"/>
      <s:c r="C31635" s="121" t="n"/>
      <s:c r="D31635" s="121" t="n"/>
      <s:c r="E31635" s="122" t="n"/>
    </s:row>
    <s:row r="31636" hidden="1" ht="1" customHeight="1">
      <s:c r="A31636" s="120" t="inlineStr"/>
      <s:c r="B31636" s="121" t="n"/>
      <s:c r="C31636" s="121" t="n"/>
      <s:c r="D31636" s="121" t="n"/>
      <s:c r="E31636" s="122" t="n"/>
    </s:row>
    <s:row r="31637" hidden="1" ht="1" customHeight="1">
      <s:c r="A31637" s="120" t="inlineStr"/>
      <s:c r="B31637" s="121" t="n"/>
      <s:c r="C31637" s="121" t="n"/>
      <s:c r="D31637" s="121" t="n"/>
      <s:c r="E31637" s="122" t="n"/>
    </s:row>
    <s:row r="31638" hidden="1" ht="1" customHeight="1">
      <s:c r="A31638" s="120" t="inlineStr"/>
      <s:c r="B31638" s="121" t="n"/>
      <s:c r="C31638" s="121" t="n"/>
      <s:c r="D31638" s="121" t="n"/>
      <s:c r="E31638" s="122" t="n"/>
    </s:row>
    <s:row r="31639" hidden="1" ht="1" customHeight="1">
      <s:c r="A31639" s="120" t="inlineStr"/>
      <s:c r="B31639" s="121" t="n"/>
      <s:c r="C31639" s="121" t="n"/>
      <s:c r="D31639" s="121" t="n"/>
      <s:c r="E31639" s="122" t="n"/>
    </s:row>
    <s:row r="31640" hidden="1" ht="1" customHeight="1">
      <s:c r="A31640" s="120" t="inlineStr"/>
      <s:c r="B31640" s="121" t="n"/>
      <s:c r="C31640" s="121" t="n"/>
      <s:c r="D31640" s="121" t="n"/>
      <s:c r="E31640" s="122" t="n"/>
    </s:row>
    <s:row r="31641" hidden="1" ht="1" customHeight="1">
      <s:c r="A31641" s="120" t="inlineStr"/>
      <s:c r="B31641" s="121" t="n"/>
      <s:c r="C31641" s="121" t="n"/>
      <s:c r="D31641" s="121" t="n"/>
      <s:c r="E31641" s="122" t="n"/>
    </s:row>
    <s:row r="31642" hidden="1" ht="1" customHeight="1">
      <s:c r="A31642" s="120" t="inlineStr"/>
      <s:c r="B31642" s="121" t="n"/>
      <s:c r="C31642" s="121" t="n"/>
      <s:c r="D31642" s="121" t="n"/>
      <s:c r="E31642" s="122" t="n"/>
    </s:row>
    <s:row r="31643" hidden="1" ht="1" customHeight="1">
      <s:c r="A31643" s="120" t="inlineStr"/>
      <s:c r="B31643" s="121" t="n"/>
      <s:c r="C31643" s="121" t="n"/>
      <s:c r="D31643" s="121" t="n"/>
      <s:c r="E31643" s="122" t="n"/>
    </s:row>
    <s:row r="31644" hidden="1" ht="1" customHeight="1">
      <s:c r="A31644" s="120" t="inlineStr"/>
      <s:c r="B31644" s="121" t="n"/>
      <s:c r="C31644" s="121" t="n"/>
      <s:c r="D31644" s="121" t="n"/>
      <s:c r="E31644" s="122" t="n"/>
    </s:row>
    <s:row r="31645" hidden="1" ht="1" customHeight="1">
      <s:c r="A31645" s="120" t="inlineStr"/>
      <s:c r="B31645" s="121" t="n"/>
      <s:c r="C31645" s="121" t="n"/>
      <s:c r="D31645" s="121" t="n"/>
      <s:c r="E31645" s="122" t="n"/>
    </s:row>
    <s:row r="31646" hidden="1" ht="1" customHeight="1">
      <s:c r="A31646" s="120" t="inlineStr"/>
      <s:c r="B31646" s="121" t="n"/>
      <s:c r="C31646" s="121" t="n"/>
      <s:c r="D31646" s="121" t="n"/>
      <s:c r="E31646" s="122" t="n"/>
    </s:row>
    <s:row r="31647" hidden="1" ht="1" customHeight="1">
      <s:c r="A31647" s="120" t="inlineStr"/>
      <s:c r="B31647" s="121" t="n"/>
      <s:c r="C31647" s="121" t="n"/>
      <s:c r="D31647" s="121" t="n"/>
      <s:c r="E31647" s="122" t="n"/>
    </s:row>
    <s:row r="31648" hidden="1" ht="1" customHeight="1">
      <s:c r="A31648" s="120" t="inlineStr"/>
      <s:c r="B31648" s="121" t="n"/>
      <s:c r="C31648" s="121" t="n"/>
      <s:c r="D31648" s="121" t="n"/>
      <s:c r="E31648" s="122" t="n"/>
    </s:row>
    <s:row r="31649" hidden="1" ht="1" customHeight="1">
      <s:c r="A31649" s="120" t="inlineStr"/>
      <s:c r="B31649" s="121" t="n"/>
      <s:c r="C31649" s="121" t="n"/>
      <s:c r="D31649" s="121" t="n"/>
      <s:c r="E31649" s="122" t="n"/>
    </s:row>
    <s:row r="31650" hidden="1" ht="1" customHeight="1">
      <s:c r="A31650" s="120" t="inlineStr"/>
      <s:c r="B31650" s="121" t="n"/>
      <s:c r="C31650" s="121" t="n"/>
      <s:c r="D31650" s="121" t="n"/>
      <s:c r="E31650" s="122" t="n"/>
    </s:row>
    <s:row r="31651" hidden="1" ht="1" customHeight="1">
      <s:c r="A31651" s="120" t="inlineStr"/>
      <s:c r="B31651" s="121" t="n"/>
      <s:c r="C31651" s="121" t="n"/>
      <s:c r="D31651" s="121" t="n"/>
      <s:c r="E31651" s="122" t="n"/>
    </s:row>
    <s:row r="31652" hidden="1" ht="1" customHeight="1">
      <s:c r="A31652" s="120" t="inlineStr"/>
      <s:c r="B31652" s="121" t="n"/>
      <s:c r="C31652" s="121" t="n"/>
      <s:c r="D31652" s="121" t="n"/>
      <s:c r="E31652" s="122" t="n"/>
    </s:row>
    <s:row r="31653" hidden="1" ht="1" customHeight="1">
      <s:c r="A31653" s="120" t="inlineStr"/>
      <s:c r="B31653" s="121" t="n"/>
      <s:c r="C31653" s="121" t="n"/>
      <s:c r="D31653" s="121" t="n"/>
      <s:c r="E31653" s="122" t="n"/>
    </s:row>
    <s:row r="31654" hidden="1" ht="1" customHeight="1">
      <s:c r="A31654" s="120" t="inlineStr"/>
      <s:c r="B31654" s="121" t="n"/>
      <s:c r="C31654" s="121" t="n"/>
      <s:c r="D31654" s="121" t="n"/>
      <s:c r="E31654" s="122" t="n"/>
    </s:row>
    <s:row r="31655" hidden="1" ht="1" customHeight="1">
      <s:c r="A31655" s="120" t="inlineStr"/>
      <s:c r="B31655" s="121" t="n"/>
      <s:c r="C31655" s="121" t="n"/>
      <s:c r="D31655" s="121" t="n"/>
      <s:c r="E31655" s="122" t="n"/>
    </s:row>
    <s:row r="31656" hidden="1" ht="1" customHeight="1">
      <s:c r="A31656" s="120" t="inlineStr"/>
      <s:c r="B31656" s="121" t="n"/>
      <s:c r="C31656" s="121" t="n"/>
      <s:c r="D31656" s="121" t="n"/>
      <s:c r="E31656" s="122" t="n"/>
    </s:row>
    <s:row r="31657" hidden="1" ht="1" customHeight="1">
      <s:c r="A31657" s="120" t="inlineStr"/>
      <s:c r="B31657" s="121" t="n"/>
      <s:c r="C31657" s="121" t="n"/>
      <s:c r="D31657" s="121" t="n"/>
      <s:c r="E31657" s="122" t="n"/>
    </s:row>
    <s:row r="31658" hidden="1" ht="1" customHeight="1">
      <s:c r="A31658" s="120" t="inlineStr"/>
      <s:c r="B31658" s="121" t="n"/>
      <s:c r="C31658" s="121" t="n"/>
      <s:c r="D31658" s="121" t="n"/>
      <s:c r="E31658" s="122" t="n"/>
    </s:row>
    <s:row r="31659" hidden="1" ht="1" customHeight="1">
      <s:c r="A31659" s="120" t="inlineStr"/>
      <s:c r="B31659" s="121" t="n"/>
      <s:c r="C31659" s="121" t="n"/>
      <s:c r="D31659" s="121" t="n"/>
      <s:c r="E31659" s="122" t="n"/>
    </s:row>
    <s:row r="31660" hidden="1" ht="1" customHeight="1">
      <s:c r="A31660" s="120" t="inlineStr"/>
      <s:c r="B31660" s="121" t="n"/>
      <s:c r="C31660" s="121" t="n"/>
      <s:c r="D31660" s="121" t="n"/>
      <s:c r="E31660" s="122" t="n"/>
    </s:row>
    <s:row r="31661" hidden="1" ht="1" customHeight="1">
      <s:c r="A31661" s="120" t="inlineStr"/>
      <s:c r="B31661" s="121" t="n"/>
      <s:c r="C31661" s="121" t="n"/>
      <s:c r="D31661" s="121" t="n"/>
      <s:c r="E31661" s="122" t="n"/>
    </s:row>
    <s:row r="31662" hidden="1" ht="1" customHeight="1">
      <s:c r="A31662" s="120" t="inlineStr"/>
      <s:c r="B31662" s="121" t="n"/>
      <s:c r="C31662" s="121" t="n"/>
      <s:c r="D31662" s="121" t="n"/>
      <s:c r="E31662" s="122" t="n"/>
    </s:row>
    <s:row r="31663" hidden="1" ht="1" customHeight="1">
      <s:c r="A31663" s="120" t="inlineStr"/>
      <s:c r="B31663" s="121" t="n"/>
      <s:c r="C31663" s="121" t="n"/>
      <s:c r="D31663" s="121" t="n"/>
      <s:c r="E31663" s="122" t="n"/>
    </s:row>
    <s:row r="31664" hidden="1" ht="1" customHeight="1">
      <s:c r="A31664" s="120" t="inlineStr"/>
      <s:c r="B31664" s="121" t="n"/>
      <s:c r="C31664" s="121" t="n"/>
      <s:c r="D31664" s="121" t="n"/>
      <s:c r="E31664" s="122" t="n"/>
    </s:row>
    <s:row r="31665" hidden="1" ht="1" customHeight="1">
      <s:c r="A31665" s="120" t="inlineStr"/>
      <s:c r="B31665" s="121" t="n"/>
      <s:c r="C31665" s="121" t="n"/>
      <s:c r="D31665" s="121" t="n"/>
      <s:c r="E31665" s="122" t="n"/>
    </s:row>
    <s:row r="31666" hidden="1" ht="1" customHeight="1">
      <s:c r="A31666" s="120" t="inlineStr"/>
      <s:c r="B31666" s="121" t="n"/>
      <s:c r="C31666" s="121" t="n"/>
      <s:c r="D31666" s="121" t="n"/>
      <s:c r="E31666" s="122" t="n"/>
    </s:row>
    <s:row r="31667" hidden="1" ht="1" customHeight="1">
      <s:c r="A31667" s="120" t="inlineStr"/>
      <s:c r="B31667" s="121" t="n"/>
      <s:c r="C31667" s="121" t="n"/>
      <s:c r="D31667" s="121" t="n"/>
      <s:c r="E31667" s="122" t="n"/>
    </s:row>
    <s:row r="31668" hidden="1" ht="1" customHeight="1">
      <s:c r="A31668" s="120" t="inlineStr"/>
      <s:c r="B31668" s="121" t="n"/>
      <s:c r="C31668" s="121" t="n"/>
      <s:c r="D31668" s="121" t="n"/>
      <s:c r="E31668" s="122" t="n"/>
    </s:row>
    <s:row r="31669" hidden="1" ht="1" customHeight="1">
      <s:c r="A31669" s="120" t="inlineStr"/>
      <s:c r="B31669" s="121" t="n"/>
      <s:c r="C31669" s="121" t="n"/>
      <s:c r="D31669" s="121" t="n"/>
      <s:c r="E31669" s="122" t="n"/>
    </s:row>
    <s:row r="31670" hidden="1" ht="1" customHeight="1">
      <s:c r="A31670" s="120" t="inlineStr"/>
      <s:c r="B31670" s="121" t="n"/>
      <s:c r="C31670" s="121" t="n"/>
      <s:c r="D31670" s="121" t="n"/>
      <s:c r="E31670" s="122" t="n"/>
    </s:row>
    <s:row r="31671" hidden="1" ht="1" customHeight="1">
      <s:c r="A31671" s="120" t="inlineStr"/>
      <s:c r="B31671" s="121" t="n"/>
      <s:c r="C31671" s="121" t="n"/>
      <s:c r="D31671" s="121" t="n"/>
      <s:c r="E31671" s="122" t="n"/>
    </s:row>
    <s:row r="31672" hidden="1" ht="1" customHeight="1">
      <s:c r="A31672" s="120" t="inlineStr"/>
      <s:c r="B31672" s="121" t="n"/>
      <s:c r="C31672" s="121" t="n"/>
      <s:c r="D31672" s="121" t="n"/>
      <s:c r="E31672" s="122" t="n"/>
    </s:row>
    <s:row r="31673" hidden="1" ht="1" customHeight="1">
      <s:c r="A31673" s="120" t="inlineStr"/>
      <s:c r="B31673" s="121" t="n"/>
      <s:c r="C31673" s="121" t="n"/>
      <s:c r="D31673" s="121" t="n"/>
      <s:c r="E31673" s="122" t="n"/>
    </s:row>
    <s:row r="31674" hidden="1" ht="1" customHeight="1">
      <s:c r="A31674" s="120" t="inlineStr"/>
      <s:c r="B31674" s="121" t="n"/>
      <s:c r="C31674" s="121" t="n"/>
      <s:c r="D31674" s="121" t="n"/>
      <s:c r="E31674" s="122" t="n"/>
    </s:row>
    <s:row r="31675" hidden="1" ht="1" customHeight="1">
      <s:c r="A31675" s="120" t="inlineStr"/>
      <s:c r="B31675" s="121" t="n"/>
      <s:c r="C31675" s="121" t="n"/>
      <s:c r="D31675" s="121" t="n"/>
      <s:c r="E31675" s="122" t="n"/>
    </s:row>
    <s:row r="31676" hidden="1" ht="1" customHeight="1">
      <s:c r="A31676" s="120" t="inlineStr"/>
      <s:c r="B31676" s="121" t="n"/>
      <s:c r="C31676" s="121" t="n"/>
      <s:c r="D31676" s="121" t="n"/>
      <s:c r="E31676" s="122" t="n"/>
    </s:row>
    <s:row r="31677" hidden="1" ht="1" customHeight="1">
      <s:c r="A31677" s="120" t="inlineStr"/>
      <s:c r="B31677" s="121" t="n"/>
      <s:c r="C31677" s="121" t="n"/>
      <s:c r="D31677" s="121" t="n"/>
      <s:c r="E31677" s="122" t="n"/>
    </s:row>
    <s:row r="31678" hidden="1" ht="1" customHeight="1">
      <s:c r="A31678" s="120" t="inlineStr"/>
      <s:c r="B31678" s="121" t="n"/>
      <s:c r="C31678" s="121" t="n"/>
      <s:c r="D31678" s="121" t="n"/>
      <s:c r="E31678" s="122" t="n"/>
    </s:row>
    <s:row r="31679" hidden="1" ht="1" customHeight="1">
      <s:c r="A31679" s="120" t="inlineStr"/>
      <s:c r="B31679" s="121" t="n"/>
      <s:c r="C31679" s="121" t="n"/>
      <s:c r="D31679" s="121" t="n"/>
      <s:c r="E31679" s="122" t="n"/>
    </s:row>
    <s:row r="31680" hidden="1" ht="1" customHeight="1">
      <s:c r="A31680" s="120" t="inlineStr"/>
      <s:c r="B31680" s="121" t="n"/>
      <s:c r="C31680" s="121" t="n"/>
      <s:c r="D31680" s="121" t="n"/>
      <s:c r="E31680" s="122" t="n"/>
    </s:row>
    <s:row r="31681" hidden="1" ht="1" customHeight="1">
      <s:c r="A31681" s="120" t="inlineStr"/>
      <s:c r="B31681" s="121" t="n"/>
      <s:c r="C31681" s="121" t="n"/>
      <s:c r="D31681" s="121" t="n"/>
      <s:c r="E31681" s="122" t="n"/>
    </s:row>
    <s:row r="31682" hidden="1" ht="1" customHeight="1">
      <s:c r="A31682" s="120" t="inlineStr"/>
      <s:c r="B31682" s="121" t="n"/>
      <s:c r="C31682" s="121" t="n"/>
      <s:c r="D31682" s="121" t="n"/>
      <s:c r="E31682" s="122" t="n"/>
    </s:row>
    <s:row r="31683" hidden="1" ht="1" customHeight="1">
      <s:c r="A31683" s="120" t="inlineStr"/>
      <s:c r="B31683" s="121" t="n"/>
      <s:c r="C31683" s="121" t="n"/>
      <s:c r="D31683" s="121" t="n"/>
      <s:c r="E31683" s="122" t="n"/>
    </s:row>
    <s:row r="31684" hidden="1" ht="1" customHeight="1">
      <s:c r="A31684" s="120" t="inlineStr"/>
      <s:c r="B31684" s="121" t="n"/>
      <s:c r="C31684" s="121" t="n"/>
      <s:c r="D31684" s="121" t="n"/>
      <s:c r="E31684" s="122" t="n"/>
    </s:row>
    <s:row r="31685" hidden="1" ht="1" customHeight="1">
      <s:c r="A31685" s="120" t="inlineStr"/>
      <s:c r="B31685" s="121" t="n"/>
      <s:c r="C31685" s="121" t="n"/>
      <s:c r="D31685" s="121" t="n"/>
      <s:c r="E31685" s="122" t="n"/>
    </s:row>
    <s:row r="31686" hidden="1" ht="1" customHeight="1">
      <s:c r="A31686" s="120" t="inlineStr"/>
      <s:c r="B31686" s="121" t="n"/>
      <s:c r="C31686" s="121" t="n"/>
      <s:c r="D31686" s="121" t="n"/>
      <s:c r="E31686" s="122" t="n"/>
    </s:row>
    <s:row r="31687" hidden="1" ht="1" customHeight="1">
      <s:c r="A31687" s="120" t="inlineStr"/>
      <s:c r="B31687" s="121" t="n"/>
      <s:c r="C31687" s="121" t="n"/>
      <s:c r="D31687" s="121" t="n"/>
      <s:c r="E31687" s="122" t="n"/>
    </s:row>
    <s:row r="31688" hidden="1" ht="1" customHeight="1">
      <s:c r="A31688" s="120" t="inlineStr"/>
      <s:c r="B31688" s="121" t="n"/>
      <s:c r="C31688" s="121" t="n"/>
      <s:c r="D31688" s="121" t="n"/>
      <s:c r="E31688" s="122" t="n"/>
    </s:row>
    <s:row r="31689" hidden="1" ht="1" customHeight="1">
      <s:c r="A31689" s="120" t="inlineStr"/>
      <s:c r="B31689" s="121" t="n"/>
      <s:c r="C31689" s="121" t="n"/>
      <s:c r="D31689" s="121" t="n"/>
      <s:c r="E31689" s="122" t="n"/>
    </s:row>
    <s:row r="31690" hidden="1" ht="1" customHeight="1">
      <s:c r="A31690" s="120" t="inlineStr"/>
      <s:c r="B31690" s="121" t="n"/>
      <s:c r="C31690" s="121" t="n"/>
      <s:c r="D31690" s="121" t="n"/>
      <s:c r="E31690" s="122" t="n"/>
    </s:row>
    <s:row r="31691" hidden="1" ht="1" customHeight="1">
      <s:c r="A31691" s="120" t="inlineStr"/>
      <s:c r="B31691" s="121" t="n"/>
      <s:c r="C31691" s="121" t="n"/>
      <s:c r="D31691" s="121" t="n"/>
      <s:c r="E31691" s="122" t="n"/>
    </s:row>
    <s:row r="31692" hidden="1" ht="1" customHeight="1">
      <s:c r="A31692" s="120" t="inlineStr"/>
      <s:c r="B31692" s="121" t="n"/>
      <s:c r="C31692" s="121" t="n"/>
      <s:c r="D31692" s="121" t="n"/>
      <s:c r="E31692" s="122" t="n"/>
    </s:row>
    <s:row r="31693" hidden="1" ht="1" customHeight="1">
      <s:c r="A31693" s="120" t="inlineStr"/>
      <s:c r="B31693" s="121" t="n"/>
      <s:c r="C31693" s="121" t="n"/>
      <s:c r="D31693" s="121" t="n"/>
      <s:c r="E31693" s="122" t="n"/>
    </s:row>
    <s:row r="31694" hidden="1" ht="1" customHeight="1">
      <s:c r="A31694" s="120" t="inlineStr"/>
      <s:c r="B31694" s="121" t="n"/>
      <s:c r="C31694" s="121" t="n"/>
      <s:c r="D31694" s="121" t="n"/>
      <s:c r="E31694" s="122" t="n"/>
    </s:row>
    <s:row r="31695" hidden="1" ht="1" customHeight="1">
      <s:c r="A31695" s="120" t="inlineStr"/>
      <s:c r="B31695" s="121" t="n"/>
      <s:c r="C31695" s="121" t="n"/>
      <s:c r="D31695" s="121" t="n"/>
      <s:c r="E31695" s="122" t="n"/>
    </s:row>
    <s:row r="31696" hidden="1" ht="1" customHeight="1">
      <s:c r="A31696" s="120" t="inlineStr"/>
      <s:c r="B31696" s="121" t="n"/>
      <s:c r="C31696" s="121" t="n"/>
      <s:c r="D31696" s="121" t="n"/>
      <s:c r="E31696" s="122" t="n"/>
    </s:row>
    <s:row r="31697" hidden="1" ht="1" customHeight="1">
      <s:c r="A31697" s="120" t="inlineStr"/>
      <s:c r="B31697" s="121" t="n"/>
      <s:c r="C31697" s="121" t="n"/>
      <s:c r="D31697" s="121" t="n"/>
      <s:c r="E31697" s="122" t="n"/>
    </s:row>
    <s:row r="31698" hidden="1" ht="1" customHeight="1">
      <s:c r="A31698" s="120" t="inlineStr"/>
      <s:c r="B31698" s="121" t="n"/>
      <s:c r="C31698" s="121" t="n"/>
      <s:c r="D31698" s="121" t="n"/>
      <s:c r="E31698" s="122" t="n"/>
    </s:row>
    <s:row r="31699" hidden="1" ht="1" customHeight="1">
      <s:c r="A31699" s="120" t="inlineStr"/>
      <s:c r="B31699" s="121" t="n"/>
      <s:c r="C31699" s="121" t="n"/>
      <s:c r="D31699" s="121" t="n"/>
      <s:c r="E31699" s="122" t="n"/>
    </s:row>
    <s:row r="31700" hidden="1" ht="1" customHeight="1">
      <s:c r="A31700" s="120" t="inlineStr"/>
      <s:c r="B31700" s="121" t="n"/>
      <s:c r="C31700" s="121" t="n"/>
      <s:c r="D31700" s="121" t="n"/>
      <s:c r="E31700" s="122" t="n"/>
    </s:row>
    <s:row r="31701" hidden="1" ht="1" customHeight="1">
      <s:c r="A31701" s="120" t="inlineStr"/>
      <s:c r="B31701" s="121" t="n"/>
      <s:c r="C31701" s="121" t="n"/>
      <s:c r="D31701" s="121" t="n"/>
      <s:c r="E31701" s="122" t="n"/>
    </s:row>
    <s:row r="31702" hidden="1" ht="1" customHeight="1">
      <s:c r="A31702" s="120" t="inlineStr"/>
      <s:c r="B31702" s="121" t="n"/>
      <s:c r="C31702" s="121" t="n"/>
      <s:c r="D31702" s="121" t="n"/>
      <s:c r="E31702" s="122" t="n"/>
    </s:row>
    <s:row r="31703" hidden="1" ht="1" customHeight="1">
      <s:c r="A31703" s="120" t="inlineStr"/>
      <s:c r="B31703" s="121" t="n"/>
      <s:c r="C31703" s="121" t="n"/>
      <s:c r="D31703" s="121" t="n"/>
      <s:c r="E31703" s="122" t="n"/>
    </s:row>
    <s:row r="31704" hidden="1" ht="1" customHeight="1">
      <s:c r="A31704" s="120" t="inlineStr"/>
      <s:c r="B31704" s="121" t="n"/>
      <s:c r="C31704" s="121" t="n"/>
      <s:c r="D31704" s="121" t="n"/>
      <s:c r="E31704" s="122" t="n"/>
    </s:row>
    <s:row r="31705" hidden="1" ht="1" customHeight="1">
      <s:c r="A31705" s="120" t="inlineStr"/>
      <s:c r="B31705" s="121" t="n"/>
      <s:c r="C31705" s="121" t="n"/>
      <s:c r="D31705" s="121" t="n"/>
      <s:c r="E31705" s="122" t="n"/>
    </s:row>
    <s:row r="31706" hidden="1" ht="1" customHeight="1">
      <s:c r="A31706" s="120" t="inlineStr"/>
      <s:c r="B31706" s="121" t="n"/>
      <s:c r="C31706" s="121" t="n"/>
      <s:c r="D31706" s="121" t="n"/>
      <s:c r="E31706" s="122" t="n"/>
    </s:row>
    <s:row r="31707" hidden="1" ht="1" customHeight="1">
      <s:c r="A31707" s="120" t="inlineStr"/>
      <s:c r="B31707" s="121" t="n"/>
      <s:c r="C31707" s="121" t="n"/>
      <s:c r="D31707" s="121" t="n"/>
      <s:c r="E31707" s="122" t="n"/>
    </s:row>
    <s:row r="31708" hidden="1" ht="1" customHeight="1">
      <s:c r="A31708" s="120" t="inlineStr"/>
      <s:c r="B31708" s="121" t="n"/>
      <s:c r="C31708" s="121" t="n"/>
      <s:c r="D31708" s="121" t="n"/>
      <s:c r="E31708" s="122" t="n"/>
    </s:row>
    <s:row r="31709" hidden="1" ht="1" customHeight="1">
      <s:c r="A31709" s="120" t="inlineStr"/>
      <s:c r="B31709" s="121" t="n"/>
      <s:c r="C31709" s="121" t="n"/>
      <s:c r="D31709" s="121" t="n"/>
      <s:c r="E31709" s="122" t="n"/>
    </s:row>
    <s:row r="31710" hidden="1" ht="1" customHeight="1">
      <s:c r="A31710" s="120" t="inlineStr"/>
      <s:c r="B31710" s="121" t="n"/>
      <s:c r="C31710" s="121" t="n"/>
      <s:c r="D31710" s="121" t="n"/>
      <s:c r="E31710" s="122" t="n"/>
    </s:row>
    <s:row r="31711" hidden="1" ht="1" customHeight="1">
      <s:c r="A31711" s="120" t="inlineStr"/>
      <s:c r="B31711" s="121" t="n"/>
      <s:c r="C31711" s="121" t="n"/>
      <s:c r="D31711" s="121" t="n"/>
      <s:c r="E31711" s="122" t="n"/>
    </s:row>
    <s:row r="31712" hidden="1" ht="1" customHeight="1">
      <s:c r="A31712" s="120" t="inlineStr"/>
      <s:c r="B31712" s="121" t="n"/>
      <s:c r="C31712" s="121" t="n"/>
      <s:c r="D31712" s="121" t="n"/>
      <s:c r="E31712" s="122" t="n"/>
    </s:row>
    <s:row r="31713" hidden="1" ht="1" customHeight="1">
      <s:c r="A31713" s="120" t="inlineStr"/>
      <s:c r="B31713" s="121" t="n"/>
      <s:c r="C31713" s="121" t="n"/>
      <s:c r="D31713" s="121" t="n"/>
      <s:c r="E31713" s="122" t="n"/>
    </s:row>
    <s:row r="31714" hidden="1" ht="1" customHeight="1">
      <s:c r="A31714" s="120" t="inlineStr"/>
      <s:c r="B31714" s="121" t="n"/>
      <s:c r="C31714" s="121" t="n"/>
      <s:c r="D31714" s="121" t="n"/>
      <s:c r="E31714" s="122" t="n"/>
    </s:row>
    <s:row r="31715" hidden="1" ht="1" customHeight="1">
      <s:c r="A31715" s="120" t="inlineStr"/>
      <s:c r="B31715" s="121" t="n"/>
      <s:c r="C31715" s="121" t="n"/>
      <s:c r="D31715" s="121" t="n"/>
      <s:c r="E31715" s="122" t="n"/>
    </s:row>
    <s:row r="31716" hidden="1" ht="1" customHeight="1">
      <s:c r="A31716" s="120" t="inlineStr"/>
      <s:c r="B31716" s="121" t="n"/>
      <s:c r="C31716" s="121" t="n"/>
      <s:c r="D31716" s="121" t="n"/>
      <s:c r="E31716" s="122" t="n"/>
    </s:row>
    <s:row r="31717" hidden="1" ht="1" customHeight="1">
      <s:c r="A31717" s="120" t="inlineStr"/>
      <s:c r="B31717" s="121" t="n"/>
      <s:c r="C31717" s="121" t="n"/>
      <s:c r="D31717" s="121" t="n"/>
      <s:c r="E31717" s="122" t="n"/>
    </s:row>
    <s:row r="31718" hidden="1" ht="1" customHeight="1">
      <s:c r="A31718" s="120" t="inlineStr"/>
      <s:c r="B31718" s="121" t="n"/>
      <s:c r="C31718" s="121" t="n"/>
      <s:c r="D31718" s="121" t="n"/>
      <s:c r="E31718" s="122" t="n"/>
    </s:row>
    <s:row r="31719" hidden="1" ht="1" customHeight="1">
      <s:c r="A31719" s="120" t="inlineStr"/>
      <s:c r="B31719" s="121" t="n"/>
      <s:c r="C31719" s="121" t="n"/>
      <s:c r="D31719" s="121" t="n"/>
      <s:c r="E31719" s="122" t="n"/>
    </s:row>
    <s:row r="31720" hidden="1" ht="1" customHeight="1">
      <s:c r="A31720" s="120" t="inlineStr"/>
      <s:c r="B31720" s="121" t="n"/>
      <s:c r="C31720" s="121" t="n"/>
      <s:c r="D31720" s="121" t="n"/>
      <s:c r="E31720" s="122" t="n"/>
    </s:row>
    <s:row r="31721" hidden="1" ht="1" customHeight="1">
      <s:c r="A31721" s="120" t="inlineStr"/>
      <s:c r="B31721" s="121" t="n"/>
      <s:c r="C31721" s="121" t="n"/>
      <s:c r="D31721" s="121" t="n"/>
      <s:c r="E31721" s="122" t="n"/>
    </s:row>
    <s:row r="31722" hidden="1" ht="1" customHeight="1">
      <s:c r="A31722" s="120" t="inlineStr"/>
      <s:c r="B31722" s="121" t="n"/>
      <s:c r="C31722" s="121" t="n"/>
      <s:c r="D31722" s="121" t="n"/>
      <s:c r="E31722" s="122" t="n"/>
    </s:row>
    <s:row r="31723" hidden="1" ht="1" customHeight="1">
      <s:c r="A31723" s="120" t="inlineStr"/>
      <s:c r="B31723" s="121" t="n"/>
      <s:c r="C31723" s="121" t="n"/>
      <s:c r="D31723" s="121" t="n"/>
      <s:c r="E31723" s="122" t="n"/>
    </s:row>
    <s:row r="31724" hidden="1" ht="1" customHeight="1">
      <s:c r="A31724" s="120" t="inlineStr"/>
      <s:c r="B31724" s="121" t="n"/>
      <s:c r="C31724" s="121" t="n"/>
      <s:c r="D31724" s="121" t="n"/>
      <s:c r="E31724" s="122" t="n"/>
    </s:row>
    <s:row r="31725" hidden="1" ht="1" customHeight="1">
      <s:c r="A31725" s="120" t="inlineStr"/>
      <s:c r="B31725" s="121" t="n"/>
      <s:c r="C31725" s="121" t="n"/>
      <s:c r="D31725" s="121" t="n"/>
      <s:c r="E31725" s="122" t="n"/>
    </s:row>
    <s:row r="31726" hidden="1" ht="1" customHeight="1">
      <s:c r="A31726" s="120" t="inlineStr"/>
      <s:c r="B31726" s="121" t="n"/>
      <s:c r="C31726" s="121" t="n"/>
      <s:c r="D31726" s="121" t="n"/>
      <s:c r="E31726" s="122" t="n"/>
    </s:row>
    <s:row r="31727" hidden="1" ht="1" customHeight="1">
      <s:c r="A31727" s="120" t="inlineStr"/>
      <s:c r="B31727" s="121" t="n"/>
      <s:c r="C31727" s="121" t="n"/>
      <s:c r="D31727" s="121" t="n"/>
      <s:c r="E31727" s="122" t="n"/>
    </s:row>
    <s:row r="31728" hidden="1" ht="1" customHeight="1">
      <s:c r="A31728" s="120" t="inlineStr"/>
      <s:c r="B31728" s="121" t="n"/>
      <s:c r="C31728" s="121" t="n"/>
      <s:c r="D31728" s="121" t="n"/>
      <s:c r="E31728" s="122" t="n"/>
    </s:row>
    <s:row r="31729" hidden="1" ht="1" customHeight="1">
      <s:c r="A31729" s="120" t="inlineStr"/>
      <s:c r="B31729" s="121" t="n"/>
      <s:c r="C31729" s="121" t="n"/>
      <s:c r="D31729" s="121" t="n"/>
      <s:c r="E31729" s="122" t="n"/>
    </s:row>
    <s:row r="31730" hidden="1" ht="1" customHeight="1">
      <s:c r="A31730" s="120" t="inlineStr"/>
      <s:c r="B31730" s="121" t="n"/>
      <s:c r="C31730" s="121" t="n"/>
      <s:c r="D31730" s="121" t="n"/>
      <s:c r="E31730" s="122" t="n"/>
    </s:row>
    <s:row r="31731" hidden="1" ht="1" customHeight="1">
      <s:c r="A31731" s="120" t="inlineStr"/>
      <s:c r="B31731" s="121" t="n"/>
      <s:c r="C31731" s="121" t="n"/>
      <s:c r="D31731" s="121" t="n"/>
      <s:c r="E31731" s="122" t="n"/>
    </s:row>
    <s:row r="31732" hidden="1" ht="1" customHeight="1">
      <s:c r="A31732" s="120" t="inlineStr"/>
      <s:c r="B31732" s="121" t="n"/>
      <s:c r="C31732" s="121" t="n"/>
      <s:c r="D31732" s="121" t="n"/>
      <s:c r="E31732" s="122" t="n"/>
    </s:row>
    <s:row r="31733" hidden="1" ht="1" customHeight="1">
      <s:c r="A31733" s="120" t="inlineStr"/>
      <s:c r="B31733" s="121" t="n"/>
      <s:c r="C31733" s="121" t="n"/>
      <s:c r="D31733" s="121" t="n"/>
      <s:c r="E31733" s="122" t="n"/>
    </s:row>
    <s:row r="31734" hidden="1" ht="1" customHeight="1">
      <s:c r="A31734" s="120" t="inlineStr"/>
      <s:c r="B31734" s="121" t="n"/>
      <s:c r="C31734" s="121" t="n"/>
      <s:c r="D31734" s="121" t="n"/>
      <s:c r="E31734" s="122" t="n"/>
    </s:row>
    <s:row r="31735" hidden="1" ht="1" customHeight="1">
      <s:c r="A31735" s="120" t="inlineStr"/>
      <s:c r="B31735" s="121" t="n"/>
      <s:c r="C31735" s="121" t="n"/>
      <s:c r="D31735" s="121" t="n"/>
      <s:c r="E31735" s="122" t="n"/>
    </s:row>
    <s:row r="31736" hidden="1" ht="1" customHeight="1">
      <s:c r="A31736" s="120" t="inlineStr"/>
      <s:c r="B31736" s="121" t="n"/>
      <s:c r="C31736" s="121" t="n"/>
      <s:c r="D31736" s="121" t="n"/>
      <s:c r="E31736" s="122" t="n"/>
    </s:row>
    <s:row r="31737" hidden="1" ht="1" customHeight="1">
      <s:c r="A31737" s="120" t="inlineStr"/>
      <s:c r="B31737" s="121" t="n"/>
      <s:c r="C31737" s="121" t="n"/>
      <s:c r="D31737" s="121" t="n"/>
      <s:c r="E31737" s="122" t="n"/>
    </s:row>
    <s:row r="31738" hidden="1" ht="1" customHeight="1">
      <s:c r="A31738" s="120" t="inlineStr"/>
      <s:c r="B31738" s="121" t="n"/>
      <s:c r="C31738" s="121" t="n"/>
      <s:c r="D31738" s="121" t="n"/>
      <s:c r="E31738" s="122" t="n"/>
    </s:row>
    <s:row r="31739" hidden="1" ht="1" customHeight="1">
      <s:c r="A31739" s="120" t="inlineStr"/>
      <s:c r="B31739" s="121" t="n"/>
      <s:c r="C31739" s="121" t="n"/>
      <s:c r="D31739" s="121" t="n"/>
      <s:c r="E31739" s="122" t="n"/>
    </s:row>
    <s:row r="31740" hidden="1" ht="1" customHeight="1">
      <s:c r="A31740" s="120" t="inlineStr"/>
      <s:c r="B31740" s="121" t="n"/>
      <s:c r="C31740" s="121" t="n"/>
      <s:c r="D31740" s="121" t="n"/>
      <s:c r="E31740" s="122" t="n"/>
    </s:row>
    <s:row r="31741" hidden="1" ht="1" customHeight="1">
      <s:c r="A31741" s="120" t="inlineStr"/>
      <s:c r="B31741" s="121" t="n"/>
      <s:c r="C31741" s="121" t="n"/>
      <s:c r="D31741" s="121" t="n"/>
      <s:c r="E31741" s="122" t="n"/>
    </s:row>
    <s:row r="31742" hidden="1" ht="1" customHeight="1">
      <s:c r="A31742" s="120" t="inlineStr"/>
      <s:c r="B31742" s="121" t="n"/>
      <s:c r="C31742" s="121" t="n"/>
      <s:c r="D31742" s="121" t="n"/>
      <s:c r="E31742" s="122" t="n"/>
    </s:row>
    <s:row r="31743" hidden="1" ht="1" customHeight="1">
      <s:c r="A31743" s="120" t="inlineStr"/>
      <s:c r="B31743" s="121" t="n"/>
      <s:c r="C31743" s="121" t="n"/>
      <s:c r="D31743" s="121" t="n"/>
      <s:c r="E31743" s="122" t="n"/>
    </s:row>
    <s:row r="31744" hidden="1" ht="1" customHeight="1">
      <s:c r="A31744" s="120" t="inlineStr"/>
      <s:c r="B31744" s="121" t="n"/>
      <s:c r="C31744" s="121" t="n"/>
      <s:c r="D31744" s="121" t="n"/>
      <s:c r="E31744" s="122" t="n"/>
    </s:row>
    <s:row r="31745" hidden="1" ht="1" customHeight="1">
      <s:c r="A31745" s="120" t="inlineStr"/>
      <s:c r="B31745" s="121" t="n"/>
      <s:c r="C31745" s="121" t="n"/>
      <s:c r="D31745" s="121" t="n"/>
      <s:c r="E31745" s="122" t="n"/>
    </s:row>
    <s:row r="31746" hidden="1" ht="1" customHeight="1">
      <s:c r="A31746" s="120" t="inlineStr"/>
      <s:c r="B31746" s="121" t="n"/>
      <s:c r="C31746" s="121" t="n"/>
      <s:c r="D31746" s="121" t="n"/>
      <s:c r="E31746" s="122" t="n"/>
    </s:row>
    <s:row r="31747" hidden="1" ht="1" customHeight="1">
      <s:c r="A31747" s="120" t="inlineStr"/>
      <s:c r="B31747" s="121" t="n"/>
      <s:c r="C31747" s="121" t="n"/>
      <s:c r="D31747" s="121" t="n"/>
      <s:c r="E31747" s="122" t="n"/>
    </s:row>
    <s:row r="31748" hidden="1" ht="1" customHeight="1">
      <s:c r="A31748" s="120" t="inlineStr"/>
      <s:c r="B31748" s="121" t="n"/>
      <s:c r="C31748" s="121" t="n"/>
      <s:c r="D31748" s="121" t="n"/>
      <s:c r="E31748" s="122" t="n"/>
    </s:row>
    <s:row r="31749" hidden="1" ht="1" customHeight="1">
      <s:c r="A31749" s="120" t="inlineStr"/>
      <s:c r="B31749" s="121" t="n"/>
      <s:c r="C31749" s="121" t="n"/>
      <s:c r="D31749" s="121" t="n"/>
      <s:c r="E31749" s="122" t="n"/>
    </s:row>
    <s:row r="31750" hidden="1" ht="1" customHeight="1">
      <s:c r="A31750" s="120" t="inlineStr"/>
      <s:c r="B31750" s="121" t="n"/>
      <s:c r="C31750" s="121" t="n"/>
      <s:c r="D31750" s="121" t="n"/>
      <s:c r="E31750" s="122" t="n"/>
    </s:row>
    <s:row r="31751" hidden="1" ht="1" customHeight="1">
      <s:c r="A31751" s="120" t="inlineStr"/>
      <s:c r="B31751" s="121" t="n"/>
      <s:c r="C31751" s="121" t="n"/>
      <s:c r="D31751" s="121" t="n"/>
      <s:c r="E31751" s="122" t="n"/>
    </s:row>
    <s:row r="31752" hidden="1" ht="1" customHeight="1">
      <s:c r="A31752" s="120" t="inlineStr"/>
      <s:c r="B31752" s="121" t="n"/>
      <s:c r="C31752" s="121" t="n"/>
      <s:c r="D31752" s="121" t="n"/>
      <s:c r="E31752" s="122" t="n"/>
    </s:row>
    <s:row r="31753" hidden="1" ht="1" customHeight="1">
      <s:c r="A31753" s="120" t="inlineStr"/>
      <s:c r="B31753" s="121" t="n"/>
      <s:c r="C31753" s="121" t="n"/>
      <s:c r="D31753" s="121" t="n"/>
      <s:c r="E31753" s="122" t="n"/>
    </s:row>
    <s:row r="31754" hidden="1" ht="1" customHeight="1">
      <s:c r="A31754" s="120" t="inlineStr"/>
      <s:c r="B31754" s="121" t="n"/>
      <s:c r="C31754" s="121" t="n"/>
      <s:c r="D31754" s="121" t="n"/>
      <s:c r="E31754" s="122" t="n"/>
    </s:row>
    <s:row r="31755" hidden="1" ht="1" customHeight="1">
      <s:c r="A31755" s="120" t="inlineStr"/>
      <s:c r="B31755" s="121" t="n"/>
      <s:c r="C31755" s="121" t="n"/>
      <s:c r="D31755" s="121" t="n"/>
      <s:c r="E31755" s="122" t="n"/>
    </s:row>
    <s:row r="31756" hidden="1" ht="1" customHeight="1">
      <s:c r="A31756" s="120" t="inlineStr"/>
      <s:c r="B31756" s="121" t="n"/>
      <s:c r="C31756" s="121" t="n"/>
      <s:c r="D31756" s="121" t="n"/>
      <s:c r="E31756" s="122" t="n"/>
    </s:row>
    <s:row r="31757" hidden="1" ht="1" customHeight="1">
      <s:c r="A31757" s="120" t="inlineStr"/>
      <s:c r="B31757" s="121" t="n"/>
      <s:c r="C31757" s="121" t="n"/>
      <s:c r="D31757" s="121" t="n"/>
      <s:c r="E31757" s="122" t="n"/>
    </s:row>
    <s:row r="31758" hidden="1" ht="1" customHeight="1">
      <s:c r="A31758" s="120" t="inlineStr"/>
      <s:c r="B31758" s="121" t="n"/>
      <s:c r="C31758" s="121" t="n"/>
      <s:c r="D31758" s="121" t="n"/>
      <s:c r="E31758" s="122" t="n"/>
    </s:row>
    <s:row r="31759" hidden="1" ht="1" customHeight="1">
      <s:c r="A31759" s="120" t="inlineStr"/>
      <s:c r="B31759" s="121" t="n"/>
      <s:c r="C31759" s="121" t="n"/>
      <s:c r="D31759" s="121" t="n"/>
      <s:c r="E31759" s="122" t="n"/>
    </s:row>
    <s:row r="31760" hidden="1" ht="1" customHeight="1">
      <s:c r="A31760" s="120" t="inlineStr"/>
      <s:c r="B31760" s="121" t="n"/>
      <s:c r="C31760" s="121" t="n"/>
      <s:c r="D31760" s="121" t="n"/>
      <s:c r="E31760" s="122" t="n"/>
    </s:row>
    <s:row r="31761" hidden="1" ht="1" customHeight="1">
      <s:c r="A31761" s="120" t="inlineStr"/>
      <s:c r="B31761" s="121" t="n"/>
      <s:c r="C31761" s="121" t="n"/>
      <s:c r="D31761" s="121" t="n"/>
      <s:c r="E31761" s="122" t="n"/>
    </s:row>
    <s:row r="31762" hidden="1" ht="1" customHeight="1">
      <s:c r="A31762" s="120" t="inlineStr"/>
      <s:c r="B31762" s="121" t="n"/>
      <s:c r="C31762" s="121" t="n"/>
      <s:c r="D31762" s="121" t="n"/>
      <s:c r="E31762" s="122" t="n"/>
    </s:row>
    <s:row r="31763" hidden="1" ht="1" customHeight="1">
      <s:c r="A31763" s="120" t="inlineStr"/>
      <s:c r="B31763" s="121" t="n"/>
      <s:c r="C31763" s="121" t="n"/>
      <s:c r="D31763" s="121" t="n"/>
      <s:c r="E31763" s="122" t="n"/>
    </s:row>
    <s:row r="31764" hidden="1" ht="1" customHeight="1">
      <s:c r="A31764" s="120" t="inlineStr"/>
      <s:c r="B31764" s="121" t="n"/>
      <s:c r="C31764" s="121" t="n"/>
      <s:c r="D31764" s="121" t="n"/>
      <s:c r="E31764" s="122" t="n"/>
    </s:row>
    <s:row r="31765" hidden="1" ht="1" customHeight="1">
      <s:c r="A31765" s="120" t="inlineStr"/>
      <s:c r="B31765" s="121" t="n"/>
      <s:c r="C31765" s="121" t="n"/>
      <s:c r="D31765" s="121" t="n"/>
      <s:c r="E31765" s="122" t="n"/>
    </s:row>
    <s:row r="31766" hidden="1" ht="1" customHeight="1">
      <s:c r="A31766" s="83" t="inlineStr">
        <s:is>
          <s:t>PASS</s:t>
        </s:is>
      </s:c>
      <s:c r="B31766" s="83">
        <s:f>SUM(IF(EXACT('Kiểm thử'!E31566,"Đạt"),1,0),IF(EXACT('Kiểm thử'!E31568,"Đạt"),1,0),IF(EXACT('Kiểm thử'!E31570,"Đạt"),1,0),IF(EXACT('Kiểm thử'!E31572,"Đạt"),1,0))</s:f>
        <s:v/>
      </s:c>
      <s:c r="C31766" s="19" t="n"/>
      <s:c r="D31766" s="19" t="n"/>
      <s:c r="E31766" s="19" t="n"/>
    </s:row>
    <s:row r="31767" hidden="1" ht="1" customHeight="1">
      <s:c r="A31767" s="83" t="inlineStr">
        <s:is>
          <s:t>FAIL</s:t>
        </s:is>
      </s:c>
      <s:c r="B31767" s="83">
        <s:f>SUM(IF(EXACT('Kiểm thử'!E31566,"Không đạt"),1,0),IF(EXACT('Kiểm thử'!E31568,"Không đạt"),1,0),IF(EXACT('Kiểm thử'!E31570,"Không đạt"),1,0),IF(EXACT('Kiểm thử'!E31572,"Không đạt"),1,0))</s:f>
        <s:v/>
      </s:c>
      <s:c r="C31767" s="19" t="n"/>
      <s:c r="D31767" s="19" t="n"/>
      <s:c r="E31767" s="19" t="n"/>
    </s:row>
    <s:row r="31768" hidden="1" ht="1" customHeight="1">
      <s:c r="A31768" s="83" t="inlineStr">
        <s:is>
          <s:t>BLOCKED</s:t>
        </s:is>
      </s:c>
      <s:c r="B31768" s="83">
        <s:f>SUM(IF(EXACT('Kiểm thử'!E31566,"Bị chặn"),1,0),IF(EXACT('Kiểm thử'!E31568,"Bị chặn"),1,0),IF(EXACT('Kiểm thử'!E31570,"Bị chặn"),1,0),IF(EXACT('Kiểm thử'!E31572,"Bị chặn"),1,0))</s:f>
        <s:v/>
      </s:c>
      <s:c r="C31768" s="19" t="n"/>
      <s:c r="D31768" s="19" t="n"/>
      <s:c r="E31768" s="19" t="n"/>
    </s:row>
    <s:row r="31769" hidden="1" ht="1" customHeight="1">
      <s:c r="A31769" s="83" t="inlineStr">
        <s:is>
          <s:t>SKIPPED</s:t>
        </s:is>
      </s:c>
      <s:c r="B31769" s="83">
        <s:f>SUM(IF(EXACT('Kiểm thử'!E31566,"Không thực hiện"),1,0),IF(EXACT('Kiểm thử'!E31568,"Không thực hiện"),1,0),IF(EXACT('Kiểm thử'!E31570,"Không thực hiện"),1,0),IF(EXACT('Kiểm thử'!E31572,"Không thực hiện"),1,0))</s:f>
        <s:v/>
      </s:c>
      <s:c r="C31769" s="19" t="n"/>
      <s:c r="D31769" s="19" t="n"/>
      <s:c r="E31769" s="19" t="n"/>
    </s:row>
    <s:row r="31770" hidden="1" ht="1" customHeight="1">
      <s:c r="A31770" s="83" t="inlineStr">
        <s:is>
          <s:t>NOT RUN</s:t>
        </s:is>
      </s:c>
      <s:c r="B31770" s="83">
        <s:f>SUM(IF(EXACT('Kiểm thử'!E31566,"Chưa thực hiện"),1,0),IF(EXACT('Kiểm thử'!E31568,"Chưa thực hiện"),1,0),IF(EXACT('Kiểm thử'!E31570,"Chưa thực hiện"),1,0),IF(EXACT('Kiểm thử'!E31572,"Chưa thực hiện"),1,0))</s:f>
        <s:v/>
      </s:c>
      <s:c r="C31770" s="19" t="n"/>
      <s:c r="D31770" s="19" t="n"/>
      <s:c r="E31770" s="19" t="n"/>
    </s:row>
    <s:row r="31771" hidden="1" ht="6" customHeight="1">
      <s:c r="A31771" s="83" t="inlineStr"/>
      <s:c r="B31771" s="19" t="n"/>
      <s:c r="C31771" s="19" t="n"/>
      <s:c r="D31771" s="19" t="n"/>
      <s:c r="E31771" s="19" t="n"/>
    </s:row>
  </s:sheetData>
  <s:mergeCells count="30196">
    <s:mergeCell ref="A23165:E23165"/>
    <s:mergeCell ref="A23159:E23159"/>
    <s:mergeCell ref="A21074:E21074"/>
    <s:mergeCell ref="A10641:E10641"/>
    <s:mergeCell ref="A8556:E8556"/>
    <s:mergeCell ref="A16258:E16258"/>
    <s:mergeCell ref="A21679:E21679"/>
    <s:mergeCell ref="A9161:E9161"/>
    <s:mergeCell ref="A7076:E7076"/>
    <s:mergeCell ref="A23465:E23465"/>
    <s:mergeCell ref="A1670:E1670"/>
    <s:mergeCell ref="A21374:E21374"/>
    <s:mergeCell ref="A8856:E8856"/>
    <s:mergeCell ref="A15974:E15974"/>
    <s:mergeCell ref="A15669:E15669"/>
    <s:mergeCell ref="A1970:E1970"/>
    <s:mergeCell ref="A9156:E9156"/>
    <s:mergeCell ref="A7071:E7071"/>
    <s:mergeCell ref="A16274:E16274"/>
    <s:mergeCell ref="A1665:E1665"/>
    <s:mergeCell ref="A7086:E7086"/>
    <s:mergeCell ref="A5001:E5001"/>
    <s:mergeCell ref="A185:E185"/>
    <s:mergeCell ref="A16574:E16574"/>
    <s:mergeCell ref="A14489:E14489"/>
    <s:mergeCell ref="A30878:E30878"/>
    <s:mergeCell ref="A28793:E28793"/>
    <s:mergeCell ref="A5301:E5301"/>
    <s:mergeCell ref="A7087:E7087"/>
    <s:mergeCell ref="A7081:E7081"/>
    <s:mergeCell ref="A4996:E4996"/>
    <s:mergeCell ref="B427:E427"/>
    <s:mergeCell ref="A28520:E28520"/>
    <s:mergeCell ref="A5601:E5601"/>
    <s:mergeCell ref="A7387:E7387"/>
    <s:mergeCell ref="A15697:E15697"/>
    <s:mergeCell ref="A5296:E5296"/>
    <s:mergeCell ref="A28820:E28820"/>
    <s:mergeCell ref="A28515:E28515"/>
    <s:mergeCell ref="A21418:E21418"/>
    <s:mergeCell ref="A19333:E19333"/>
    <s:mergeCell ref="A196:E196"/>
    <s:mergeCell ref="A14517:E14517"/>
    <s:mergeCell ref="A28821:E28821"/>
    <s:mergeCell ref="A19633:E19633"/>
    <s:mergeCell ref="A7115:E7115"/>
    <s:mergeCell ref="A21413:E21413"/>
    <s:mergeCell ref="A19328:E19328"/>
    <s:mergeCell ref="A12231:E12231"/>
    <s:mergeCell ref="A21630:E21630"/>
    <s:mergeCell ref="A19933:E19933"/>
    <s:mergeCell ref="A23715:E23715"/>
    <s:mergeCell ref="A7415:E7415"/>
    <s:mergeCell ref="A27051:E27051"/>
    <s:mergeCell ref="A14533:E14533"/>
    <s:mergeCell ref="A12442:E12442"/>
    <s:mergeCell ref="A26746:E26746"/>
    <s:mergeCell ref="A14228:E14228"/>
    <s:mergeCell ref="A12531:E12531"/>
    <s:mergeCell ref="A10446:E10446"/>
    <s:mergeCell ref="A21930:E21930"/>
    <s:mergeCell ref="A27351:E27351"/>
    <s:mergeCell ref="A25266:E25266"/>
    <s:mergeCell ref="A5040:E5040"/>
    <s:mergeCell ref="A12742:E12742"/>
    <s:mergeCell ref="A19344:E19344"/>
    <s:mergeCell ref="A27046:E27046"/>
    <s:mergeCell ref="A14528:E14528"/>
    <s:mergeCell ref="A12443:E12443"/>
    <s:mergeCell ref="A10746:E10746"/>
    <s:mergeCell ref="A5340:E5340"/>
    <s:mergeCell ref="A3255:E3255"/>
    <s:mergeCell ref="A19644:E19644"/>
    <s:mergeCell ref="A27346:E27346"/>
    <s:mergeCell ref="A5041:E5041"/>
    <s:mergeCell ref="A5551:E5551"/>
    <s:mergeCell ref="A2950:E2950"/>
    <s:mergeCell ref="A19861:E19861"/>
    <s:mergeCell ref="A18164:E18164"/>
    <s:mergeCell ref="A19855:E19855"/>
    <s:mergeCell ref="A26474:E26474"/>
    <s:mergeCell ref="A3555:E3555"/>
    <s:mergeCell ref="A10673:E10673"/>
    <s:mergeCell ref="A5341:E5341"/>
    <s:mergeCell ref="A24977:E24977"/>
    <s:mergeCell ref="A3250:E3250"/>
    <s:mergeCell ref="A12453:E12453"/>
    <s:mergeCell ref="A10368:E10368"/>
    <s:mergeCell ref="B18317:E18317"/>
    <s:mergeCell ref="A26774:E26774"/>
    <s:mergeCell ref="A10973:E10973"/>
    <s:mergeCell ref="A25277:E25277"/>
    <s:mergeCell ref="A10668:E10668"/>
    <s:mergeCell ref="A3571:E3571"/>
    <s:mergeCell ref="A9188:E9188"/>
    <s:mergeCell ref="A3266:E3266"/>
    <s:mergeCell ref="A10968:E10968"/>
    <s:mergeCell ref="A3483:E3483"/>
    <s:mergeCell ref="A1786:E1786"/>
    <s:mergeCell ref="B27821:E27821"/>
    <s:mergeCell ref="A3566:E3566"/>
    <s:mergeCell ref="A25005:E25005"/>
    <s:mergeCell ref="A3783:E3783"/>
    <s:mergeCell ref="A10396:E10396"/>
    <s:mergeCell ref="A18087:E18087"/>
    <s:mergeCell ref="A26785:E26785"/>
    <s:mergeCell ref="A24700:E24700"/>
    <s:mergeCell ref="A11001:E11001"/>
    <s:mergeCell ref="A1781:E1781"/>
    <s:mergeCell ref="B4330:E4330"/>
    <s:mergeCell ref="A25305:E25305"/>
    <s:mergeCell ref="B10943:E10943"/>
    <s:mergeCell ref="A17814:E17814"/>
    <s:mergeCell ref="A25000:E25000"/>
    <s:mergeCell ref="A17903:E17903"/>
    <s:mergeCell ref="A30632:E30632"/>
    <s:mergeCell ref="A18114:E18114"/>
    <s:mergeCell ref="A16029:E16029"/>
    <s:mergeCell ref="A25300:E25300"/>
    <s:mergeCell ref="A16118:E16118"/>
    <s:mergeCell ref="A17809:E17809"/>
    <s:mergeCell ref="A16112:E16112"/>
    <s:mergeCell ref="A23230:E23230"/>
    <s:mergeCell ref="A21145:E21145"/>
    <s:mergeCell ref="A10712:E10712"/>
    <s:mergeCell ref="A8627:E8627"/>
    <s:mergeCell ref="A16329:E16329"/>
    <s:mergeCell ref="A30633:E30633"/>
    <s:mergeCell ref="A18115:E18115"/>
    <s:mergeCell ref="A25227:E25227"/>
    <s:mergeCell ref="A21445:E21445"/>
    <s:mergeCell ref="A8927:E8927"/>
    <s:mergeCell ref="A23231:E23231"/>
    <s:mergeCell ref="A21140:E21140"/>
    <s:mergeCell ref="A8622:E8622"/>
    <s:mergeCell ref="A25527:E25527"/>
    <s:mergeCell ref="A23442:E23442"/>
    <s:mergeCell ref="A9227:E9227"/>
    <s:mergeCell ref="A7142:E7142"/>
    <s:mergeCell ref="A16345:E16345"/>
    <s:mergeCell ref="A25228:E25228"/>
    <s:mergeCell ref="A23531:E23531"/>
    <s:mergeCell ref="A8922:E8922"/>
    <s:mergeCell ref="A30643:E30643"/>
    <s:mergeCell ref="A23742:E23742"/>
    <s:mergeCell ref="A30361:E30361"/>
    <s:mergeCell ref="A16645:E16645"/>
    <s:mergeCell ref="A14044:E14044"/>
    <s:mergeCell ref="B21993:E21993"/>
    <s:mergeCell ref="A30949:E30949"/>
    <s:mergeCell ref="A16340:E16340"/>
    <s:mergeCell ref="A6063:E6063"/>
    <s:mergeCell ref="A3978:E3978"/>
    <s:mergeCell ref="A30644:E30644"/>
    <s:mergeCell ref="B31496:E31496"/>
    <s:mergeCell ref="A29158:E29158"/>
    <s:mergeCell ref="A4278:E4278"/>
    <s:mergeCell ref="A4578:E4578"/>
    <s:mergeCell ref="A28586:E28586"/>
    <s:mergeCell ref="A30372:E30372"/>
    <s:mergeCell ref="A28892:E28892"/>
    <s:mergeCell ref="A28587:E28587"/>
    <s:mergeCell ref="A21484:E21484"/>
    <s:mergeCell ref="A28887:E28887"/>
    <s:mergeCell ref="A2204:E2204"/>
    <s:mergeCell ref="A9422:E9422"/>
    <s:mergeCell ref="B15113:E15113"/>
    <s:mergeCell ref="A30844:E30844"/>
    <s:mergeCell ref="A2020:E2020"/>
    <s:mergeCell ref="A11419:E11419"/>
    <s:mergeCell ref="A16840:E16840"/>
    <s:mergeCell ref="A4322:E4322"/>
    <s:mergeCell ref="A31144:E31144"/>
    <s:mergeCell ref="A4017:E4017"/>
    <s:mergeCell ref="A235:E235"/>
    <s:mergeCell ref="A17140:E17140"/>
    <s:mergeCell ref="A2537:E2537"/>
    <s:mergeCell ref="A31444:E31444"/>
    <s:mergeCell ref="A29359:E29359"/>
    <s:mergeCell ref="A18926:E18926"/>
    <s:mergeCell ref="A16841:E16841"/>
    <s:mergeCell ref="A16835:E16835"/>
    <s:mergeCell ref="A7653:E7653"/>
    <s:mergeCell ref="A2837:E2837"/>
    <s:mergeCell ref="A9433:E9433"/>
    <s:mergeCell ref="A7348:E7348"/>
    <s:mergeCell ref="A11735:E11735"/>
    <s:mergeCell ref="A9650:E9650"/>
    <s:mergeCell ref="A5868:E5868"/>
    <s:mergeCell ref="A23954:E23954"/>
    <s:mergeCell ref="A9739:E9739"/>
    <s:mergeCell ref="A462:E462"/>
    <s:mergeCell ref="A7648:E7648"/>
    <s:mergeCell ref="A14766:E14766"/>
    <s:mergeCell ref="A9950:E9950"/>
    <s:mergeCell ref="A24254:E24254"/>
    <s:mergeCell ref="A762:E762"/>
    <s:mergeCell ref="A15066:E15066"/>
    <s:mergeCell ref="A2548:E2548"/>
    <s:mergeCell ref="A463:E463"/>
    <s:mergeCell ref="A10250:E10250"/>
    <s:mergeCell ref="B27370:E27370"/>
    <s:mergeCell ref="A21985:E21985"/>
    <s:mergeCell ref="A13281:E13281"/>
    <s:mergeCell ref="A763:E763"/>
    <s:mergeCell ref="A26067:E26067"/>
    <s:mergeCell ref="A23982:E23982"/>
    <s:mergeCell ref="A22285:E22285"/>
    <s:mergeCell ref="A14794:E14794"/>
    <s:mergeCell ref="A31183:E31183"/>
    <s:mergeCell ref="A29098:E29098"/>
    <s:mergeCell ref="A7876:E7876"/>
    <s:mergeCell ref="A24282:E24282"/>
    <s:mergeCell ref="A29309:E29309"/>
    <s:mergeCell ref="A15094:E15094"/>
    <s:mergeCell ref="A31095:E31095"/>
    <s:mergeCell ref="A29398:E29398"/>
    <s:mergeCell ref="B6332:E6332"/>
    <s:mergeCell ref="A31700:E31700"/>
    <s:mergeCell ref="A7692:E7692"/>
    <s:mergeCell ref="A5607:E5607"/>
    <s:mergeCell ref="A22512:E22512"/>
    <s:mergeCell ref="A20427:E20427"/>
    <s:mergeCell ref="A29698:E29698"/>
    <s:mergeCell ref="A7903:E7903"/>
    <s:mergeCell ref="A5818:E5818"/>
    <s:mergeCell ref="A22213:E22213"/>
    <s:mergeCell ref="A22207:E22207"/>
    <s:mergeCell ref="A5907:E5907"/>
    <s:mergeCell ref="A20727:E20727"/>
    <s:mergeCell ref="A12720:E12720"/>
    <s:mergeCell ref="A20422:E20422"/>
    <s:mergeCell ref="A7904:E7904"/>
    <s:mergeCell ref="A6207:E6207"/>
    <s:mergeCell ref="A13325:E13325"/>
    <s:mergeCell ref="A22208:E22208"/>
    <s:mergeCell ref="A27629:E27629"/>
    <s:mergeCell ref="A13020:E13020"/>
    <s:mergeCell ref="A8204:E8204"/>
    <s:mergeCell ref="A6119:E6119"/>
    <s:mergeCell ref="A13231:E13231"/>
    <s:mergeCell ref="A27929:E27929"/>
    <s:mergeCell ref="B13567:E13567"/>
    <s:mergeCell ref="A6134:E6134"/>
    <s:mergeCell ref="A4049:E4049"/>
    <s:mergeCell ref="A11235:E11235"/>
    <s:mergeCell ref="A802:E802"/>
    <s:mergeCell ref="A20438:E20438"/>
    <s:mergeCell ref="A4132:E4132"/>
    <s:mergeCell ref="B28082:E28082"/>
    <s:mergeCell ref="A20133:E20133"/>
    <s:mergeCell ref="A5918:E5918"/>
    <s:mergeCell ref="A3833:E3833"/>
    <s:mergeCell ref="A4349:E4349"/>
    <s:mergeCell ref="A20738:E20738"/>
    <s:mergeCell ref="A18653:E18653"/>
    <s:mergeCell ref="A6135:E6135"/>
    <s:mergeCell ref="A6129:E6129"/>
    <s:mergeCell ref="A4044:E4044"/>
    <s:mergeCell ref="A5830:E5830"/>
    <s:mergeCell ref="A4133:E4133"/>
    <s:mergeCell ref="A4649:E4649"/>
    <s:mergeCell ref="A27657:E27657"/>
    <s:mergeCell ref="A18953:E18953"/>
    <s:mergeCell ref="A4344:E4344"/>
    <s:mergeCell ref="A9765:E9765"/>
    <s:mergeCell ref="A4433:E4433"/>
    <s:mergeCell ref="A11551:E11551"/>
    <s:mergeCell ref="A27563:E27563"/>
    <s:mergeCell ref="A20466:E20466"/>
    <s:mergeCell ref="A18681:E18681"/>
    <s:mergeCell ref="A20461:E20461"/>
    <s:mergeCell ref="A18376:E18376"/>
    <s:mergeCell ref="A27579:E27579"/>
    <s:mergeCell ref="A23797:E23797"/>
    <s:mergeCell ref="A11279:E11279"/>
    <s:mergeCell ref="A18981:E18981"/>
    <s:mergeCell ref="A18964:E18964"/>
    <s:mergeCell ref="A16879:E16879"/>
    <s:mergeCell ref="A25583:E25583"/>
    <s:mergeCell ref="A26093:E26093"/>
    <s:mergeCell ref="A23492:E23492"/>
    <s:mergeCell ref="A6602:E6602"/>
    <s:mergeCell ref="A18676:E18676"/>
    <s:mergeCell ref="A25794:E25794"/>
    <s:mergeCell ref="A24097:E24097"/>
    <s:mergeCell ref="A11579:E11579"/>
    <s:mergeCell ref="A9494:E9494"/>
    <s:mergeCell ref="A25883:E25883"/>
    <s:mergeCell ref="A24314:E24314"/>
    <s:mergeCell ref="A26399:E26399"/>
    <s:mergeCell ref="A4088:E4088"/>
    <s:mergeCell ref="A6902:E6902"/>
    <s:mergeCell ref="A16906:E16906"/>
    <s:mergeCell ref="A4388:E4388"/>
    <s:mergeCell ref="A2303:E2303"/>
    <s:mergeCell ref="A31216:E31216"/>
    <s:mergeCell ref="A31210:E31210"/>
    <s:mergeCell ref="B26641:E26641"/>
    <s:mergeCell ref="A18692:E18692"/>
    <s:mergeCell ref="A16607:E16607"/>
    <s:mergeCell ref="A26394:E26394"/>
    <s:mergeCell ref="A4083:E4083"/>
    <s:mergeCell ref="A29730:E29730"/>
    <s:mergeCell ref="A2603:E2603"/>
    <s:mergeCell ref="A31510:E31510"/>
    <s:mergeCell ref="B26941:E26941"/>
    <s:mergeCell ref="A16907:E16907"/>
    <s:mergeCell ref="A24025:E24025"/>
    <s:mergeCell ref="A2298:E2298"/>
    <s:mergeCell ref="A31211:E31211"/>
    <s:mergeCell ref="A9505:E9505"/>
    <s:mergeCell ref="A24325:E24325"/>
    <s:mergeCell ref="A24319:E24319"/>
    <s:mergeCell ref="A30938:E30938"/>
    <s:mergeCell ref="A24020:E24020"/>
    <s:mergeCell ref="A9805:E9805"/>
    <s:mergeCell ref="A31238:E31238"/>
    <s:mergeCell ref="A4861:E4861"/>
    <s:mergeCell ref="B10563:E10563"/>
    <s:mergeCell ref="A4855:E4855"/>
    <s:mergeCell ref="A2770:E2770"/>
    <s:mergeCell ref="A23748:E23748"/>
    <s:mergeCell ref="A5161:E5161"/>
    <s:mergeCell ref="A4856:E4856"/>
    <s:mergeCell ref="B8277:E8277"/>
    <s:mergeCell ref="A24048:E24048"/>
    <s:mergeCell ref="A16951:E16951"/>
    <s:mergeCell ref="A29164:E29164"/>
    <s:mergeCell ref="A24348:E24348"/>
    <s:mergeCell ref="A27684:E27684"/>
    <s:mergeCell ref="A17407:E17407"/>
    <s:mergeCell ref="A4889:E4889"/>
    <s:mergeCell ref="A4883:E4883"/>
    <s:mergeCell ref="A29464:E29464"/>
    <s:mergeCell ref="A12574:E12574"/>
    <s:mergeCell ref="A27379:E27379"/>
    <s:mergeCell ref="A17102:E17102"/>
    <s:mergeCell ref="A29681:E29681"/>
    <s:mergeCell ref="A5189:E5189"/>
    <s:mergeCell ref="A9700:E9700"/>
    <s:mergeCell ref="A10216:E10216"/>
    <s:mergeCell ref="A26605:E26605"/>
    <s:mergeCell ref="A24520:E24520"/>
    <s:mergeCell ref="A12002:E12002"/>
    <s:mergeCell ref="A10305:E10305"/>
    <s:mergeCell ref="A19704:E19704"/>
    <s:mergeCell ref="A11697:E11697"/>
    <s:mergeCell ref="A10516:E10516"/>
    <s:mergeCell ref="A17118:E17118"/>
    <s:mergeCell ref="A24820:E24820"/>
    <s:mergeCell ref="A12302:E12302"/>
    <s:mergeCell ref="A26606:E26606"/>
    <s:mergeCell ref="A15632:E15632"/>
    <s:mergeCell ref="A3114:E3114"/>
    <s:mergeCell ref="A1029:E1029"/>
    <s:mergeCell ref="A17418:E17418"/>
    <s:mergeCell ref="A25120:E25120"/>
    <s:mergeCell ref="A2815:E2815"/>
    <s:mergeCell ref="A1329:E1329"/>
    <s:mergeCell ref="A19415:E19415"/>
    <s:mergeCell ref="A15633:E15633"/>
    <s:mergeCell ref="B30544:E30544"/>
    <s:mergeCell ref="A3115:E3115"/>
    <s:mergeCell ref="A3109:E3109"/>
    <s:mergeCell ref="A1024:E1024"/>
    <s:mergeCell ref="A10227:E10227"/>
    <s:mergeCell ref="B28148:E28148"/>
    <s:mergeCell ref="A17630:E17630"/>
    <s:mergeCell ref="A15933:E15933"/>
    <s:mergeCell ref="A22746:E22746"/>
    <s:mergeCell ref="A31661:E31661"/>
    <s:mergeCell ref="A29964:E29964"/>
    <s:mergeCell ref="A1040:E1040"/>
    <s:mergeCell ref="A17446:E17446"/>
    <s:mergeCell ref="A8742:E8742"/>
    <s:mergeCell ref="A10528:E10528"/>
    <s:mergeCell ref="A1340:E1340"/>
    <s:mergeCell ref="A15661:E15661"/>
    <s:mergeCell ref="A10255:E10255"/>
    <s:mergeCell ref="A8170:E8170"/>
    <s:mergeCell ref="A8470:E8470"/>
    <s:mergeCell ref="A24859:E24859"/>
    <s:mergeCell ref="A22774:E22774"/>
    <s:mergeCell ref="A29892:E29892"/>
    <s:mergeCell ref="A8165:E8165"/>
    <s:mergeCell ref="A23379:E23379"/>
    <s:mergeCell ref="B9017:E9017"/>
    <s:mergeCell ref="A1068:E1068"/>
    <s:mergeCell ref="A8753:E8753"/>
    <s:mergeCell ref="A6668:E6668"/>
    <s:mergeCell ref="A15888:E15888"/>
    <s:mergeCell ref="A23074:E23074"/>
    <s:mergeCell ref="A30192:E30192"/>
    <s:mergeCell ref="A15583:E15583"/>
    <s:mergeCell ref="A13886:E13886"/>
    <s:mergeCell ref="A1368:E1368"/>
    <s:mergeCell ref="A30281:E30281"/>
    <s:mergeCell ref="A29887:E29887"/>
    <s:mergeCell ref="A15672:E15672"/>
    <s:mergeCell ref="A13587:E13587"/>
    <s:mergeCell ref="A23374:E23374"/>
    <s:mergeCell ref="B30739:E30739"/>
    <s:mergeCell ref="A30492:E30492"/>
    <s:mergeCell ref="A28407:E28407"/>
    <s:mergeCell ref="A15883:E15883"/>
    <s:mergeCell ref="A21304:E21304"/>
    <s:mergeCell ref="A13887:E13887"/>
    <s:mergeCell ref="A21005:E21005"/>
    <s:mergeCell ref="A8481:E8481"/>
    <s:mergeCell ref="A6396:E6396"/>
    <s:mergeCell ref="A22785:E22785"/>
    <s:mergeCell ref="A7001:E7001"/>
    <s:mergeCell ref="A23002:E23002"/>
    <s:mergeCell ref="A21305:E21305"/>
    <s:mergeCell ref="B9028:E9028"/>
    <s:mergeCell ref="A13814:E13814"/>
    <s:mergeCell ref="A21000:E21000"/>
    <s:mergeCell ref="A23302:E23302"/>
    <s:mergeCell ref="A29915:E29915"/>
    <s:mergeCell ref="A6996:E6996"/>
    <s:mergeCell ref="B22063:E22063"/>
    <s:mergeCell ref="B28665:E28665"/>
    <s:mergeCell ref="A28418:E28418"/>
    <s:mergeCell ref="A26327:E26327"/>
    <s:mergeCell ref="A4926:E4926"/>
    <s:mergeCell ref="A4627:E4627"/>
    <s:mergeCell ref="A21033:E21033"/>
    <s:mergeCell ref="A12329:E12329"/>
    <s:mergeCell ref="A28718:E28718"/>
    <s:mergeCell ref="A4927:E4927"/>
    <s:mergeCell ref="A21333:E21333"/>
    <s:mergeCell ref="A4921:E4921"/>
    <s:mergeCell ref="B352:E352"/>
    <s:mergeCell ref="A19231:E19231"/>
    <s:mergeCell ref="A28445:E28445"/>
    <s:mergeCell ref="A26360:E26360"/>
    <s:mergeCell ref="B14656:E14656"/>
    <s:mergeCell ref="A4622:E4622"/>
    <s:mergeCell ref="A30231:E30231"/>
    <s:mergeCell ref="A5227:E5227"/>
    <s:mergeCell ref="A28446:E28446"/>
    <s:mergeCell ref="A13837:E13837"/>
    <s:mergeCell ref="A19258:E19258"/>
    <s:mergeCell ref="A6740:E6740"/>
    <s:mergeCell ref="A4655:E4655"/>
    <s:mergeCell ref="B12587:E12587"/>
    <s:mergeCell ref="A28746:E28746"/>
    <s:mergeCell ref="A26661:E26661"/>
    <s:mergeCell ref="A2063:E2063"/>
    <s:mergeCell ref="A14137:E14137"/>
    <s:mergeCell ref="B12282:E12282"/>
    <s:mergeCell ref="A4955:E4955"/>
    <s:mergeCell ref="A19259:E19259"/>
    <s:mergeCell ref="A19253:E19253"/>
    <s:mergeCell ref="A2363:E2363"/>
    <s:mergeCell ref="A278:E278"/>
    <s:mergeCell ref="B11102:E11102"/>
    <s:mergeCell ref="A26677:E26677"/>
    <s:mergeCell ref="A26671:E26671"/>
    <s:mergeCell ref="A24586:E24586"/>
    <s:mergeCell ref="A12068:E12068"/>
    <s:mergeCell ref="A10371:E10371"/>
    <s:mergeCell ref="A26372:E26372"/>
    <s:mergeCell ref="A25191:E25191"/>
    <s:mergeCell ref="A12673:E12673"/>
    <s:mergeCell ref="A17184:E17184"/>
    <s:mergeCell ref="A24886:E24886"/>
    <s:mergeCell ref="A12368:E12368"/>
    <s:mergeCell ref="A19486:E19486"/>
    <s:mergeCell ref="A26672:E26672"/>
    <s:mergeCell ref="A19181:E19181"/>
    <s:mergeCell ref="A17484:E17484"/>
    <s:mergeCell ref="A7207:E7207"/>
    <s:mergeCell ref="A5122:E5122"/>
    <s:mergeCell ref="A10583:E10583"/>
    <s:mergeCell ref="A9204:E9204"/>
    <s:mergeCell ref="A5422:E5422"/>
    <s:mergeCell ref="B18248:E18248"/>
    <s:mergeCell ref="B18242:E18242"/>
    <s:mergeCell ref="A6027:E6027"/>
    <s:mergeCell ref="A5722:E5722"/>
    <s:mergeCell ref="A322:E322"/>
    <s:mergeCell ref="B25144:E25144"/>
    <s:mergeCell ref="B18243:E18243"/>
    <s:mergeCell ref="A14620:E14620"/>
    <s:mergeCell ref="A12535:E12535"/>
    <s:mergeCell ref="A622:E622"/>
    <s:mergeCell ref="A12835:E12835"/>
    <s:mergeCell ref="B21879:E21879"/>
    <s:mergeCell ref="B14477:E14477"/>
    <s:mergeCell ref="A24625:E24625"/>
    <s:mergeCell ref="A23145:E23145"/>
    <s:mergeCell ref="A12868:E12868"/>
    <s:mergeCell ref="A5950:E5950"/>
    <s:mergeCell ref="A12563:E12563"/>
    <s:mergeCell ref="A23445:E23445"/>
    <s:mergeCell ref="A13168:E13168"/>
    <s:mergeCell ref="A19770:E19770"/>
    <s:mergeCell ref="A12863:E12863"/>
    <s:mergeCell ref="A30347:E30347"/>
    <s:mergeCell ref="A20070:E20070"/>
    <s:mergeCell ref="A17985:E17985"/>
    <s:mergeCell ref="A7158:E7158"/>
    <s:mergeCell ref="B30805:E30805"/>
    <s:mergeCell ref="A3376:E3376"/>
    <s:mergeCell ref="A20281:E20281"/>
    <s:mergeCell ref="A18196:E18196"/>
    <s:mergeCell ref="A3981:E3981"/>
    <s:mergeCell ref="A5672:E5672"/>
    <s:mergeCell ref="A18285:E18285"/>
    <s:mergeCell ref="A12879:E12879"/>
    <s:mergeCell ref="A10794:E10794"/>
    <s:mergeCell ref="A10489:E10489"/>
    <s:mergeCell ref="A11094:E11094"/>
    <s:mergeCell ref="A1906:E1906"/>
    <s:mergeCell ref="A17907:E17907"/>
    <s:mergeCell ref="A3692:E3692"/>
    <s:mergeCell ref="A11394:E11394"/>
    <s:mergeCell ref="A3909:E3909"/>
    <s:mergeCell ref="A3903:E3903"/>
    <s:mergeCell ref="A18207:E18207"/>
    <s:mergeCell ref="A1907:E1907"/>
    <s:mergeCell ref="B4450:E4450"/>
    <s:mergeCell ref="A10822:E10822"/>
    <s:mergeCell ref="A18507:E18507"/>
    <s:mergeCell ref="A16422:E16422"/>
    <s:mergeCell ref="A3904:E3904"/>
    <s:mergeCell ref="A2207:E2207"/>
    <s:mergeCell ref="A9325:E9325"/>
    <s:mergeCell ref="A11122:E11122"/>
    <s:mergeCell ref="A9020:E9020"/>
    <s:mergeCell ref="B4451:E4451"/>
    <s:mergeCell ref="A17935:E17935"/>
    <s:mergeCell ref="A16238:E16238"/>
    <s:mergeCell ref="A31058:E31058"/>
    <s:mergeCell ref="A18540:E18540"/>
    <s:mergeCell ref="A9320:E9320"/>
    <s:mergeCell ref="A1829:E1829"/>
    <s:mergeCell ref="A18235:E18235"/>
    <s:mergeCell ref="A25353:E25353"/>
    <s:mergeCell ref="A16755:E16755"/>
    <s:mergeCell ref="A23357:E23357"/>
    <s:mergeCell ref="A10833:E10833"/>
    <s:mergeCell ref="A8748:E8748"/>
    <s:mergeCell ref="A18535:E18535"/>
    <s:mergeCell ref="A25653:E25653"/>
    <s:mergeCell ref="A23568:E23568"/>
    <s:mergeCell ref="A30754:E30754"/>
    <s:mergeCell ref="A23657:E23657"/>
    <s:mergeCell ref="A25348:E25348"/>
    <s:mergeCell ref="A21566:E21566"/>
    <s:mergeCell ref="A30769:E30769"/>
    <s:mergeCell ref="A16166:E16166"/>
    <s:mergeCell ref="A23868:E23868"/>
    <s:mergeCell ref="B1196:E1196"/>
    <s:mergeCell ref="A25654:E25654"/>
    <s:mergeCell ref="A14680:E14680"/>
    <s:mergeCell ref="A23563:E23563"/>
    <s:mergeCell ref="B891:E891"/>
    <s:mergeCell ref="A7263:E7263"/>
    <s:mergeCell ref="A28984:E28984"/>
    <s:mergeCell ref="A16466:E16466"/>
    <s:mergeCell ref="A24168:E24168"/>
    <s:mergeCell ref="A1857:E1857"/>
    <s:mergeCell ref="A160:E160"/>
    <s:mergeCell ref="A16161:E16161"/>
    <s:mergeCell ref="A377:E377"/>
    <s:mergeCell ref="B17013:E17013"/>
    <s:mergeCell ref="A29284:E29284"/>
    <s:mergeCell ref="B24715:E24715"/>
    <s:mergeCell ref="A16766:E16766"/>
    <s:mergeCell ref="A14681:E14681"/>
    <s:mergeCell ref="A2157:E2157"/>
    <s:mergeCell ref="A72:E72"/>
    <s:mergeCell ref="A31070:E31070"/>
    <s:mergeCell ref="A9275:E9275"/>
    <s:mergeCell ref="A16461:E16461"/>
    <s:mergeCell ref="A7279:E7279"/>
    <s:mergeCell ref="A7273:E7273"/>
    <s:mergeCell ref="A5188:E5188"/>
    <s:mergeCell ref="A9575:E9575"/>
    <s:mergeCell ref="A5793:E5793"/>
    <s:mergeCell ref="A23879:E23879"/>
    <s:mergeCell ref="B1207:E1207"/>
    <s:mergeCell ref="A21794:E21794"/>
    <s:mergeCell ref="A7579:E7579"/>
    <s:mergeCell ref="A5488:E5488"/>
    <s:mergeCell ref="A14691:E14691"/>
    <s:mergeCell ref="A29012:E29012"/>
    <s:mergeCell ref="A88:E88"/>
    <s:mergeCell ref="A7790:E7790"/>
    <s:mergeCell ref="A22094:E22094"/>
    <s:mergeCell ref="A28707:E28707"/>
    <s:mergeCell ref="A12906:E12906"/>
    <s:mergeCell ref="A388:E388"/>
    <s:mergeCell ref="A8090:E8090"/>
    <s:mergeCell ref="A13206:E13206"/>
    <s:mergeCell ref="A14992:E14992"/>
    <s:mergeCell ref="A12907:E12907"/>
    <s:mergeCell ref="A12634:E12634"/>
    <s:mergeCell ref="A29023:E29023"/>
    <s:mergeCell ref="A26938:E26938"/>
    <s:mergeCell ref="A14420:E14420"/>
    <s:mergeCell ref="A12934:E12934"/>
    <s:mergeCell ref="B20872:E20872"/>
    <s:mergeCell ref="A19536:E19536"/>
    <s:mergeCell ref="A28935:E28935"/>
    <s:mergeCell ref="A27238:E27238"/>
    <s:mergeCell ref="A12635:E12635"/>
    <s:mergeCell ref="A18050:E18050"/>
    <s:mergeCell ref="A5532:E5532"/>
    <s:mergeCell ref="A19836:E19836"/>
    <s:mergeCell ref="A17751:E17751"/>
    <s:mergeCell ref="A20352:E20352"/>
    <s:mergeCell ref="A27538:E27538"/>
    <s:mergeCell ref="A29235:E29235"/>
    <s:mergeCell ref="A12935:E12935"/>
    <s:mergeCell ref="A20053:E20053"/>
    <s:mergeCell ref="A20047:E20047"/>
    <s:mergeCell ref="A3747:E3747"/>
    <s:mergeCell ref="B13376:E13376"/>
    <s:mergeCell ref="A21833:E21833"/>
    <s:mergeCell ref="B28085:E28085"/>
    <s:mergeCell ref="A18051:E18051"/>
    <s:mergeCell ref="A20347:E20347"/>
    <s:mergeCell ref="A20048:E20048"/>
    <s:mergeCell ref="A18351:E18351"/>
    <s:mergeCell ref="A25469:E25469"/>
    <s:mergeCell ref="A27249:E27249"/>
    <s:mergeCell ref="A25164:E25164"/>
    <s:mergeCell ref="A1188:E1188"/>
    <s:mergeCell ref="A27466:E27466"/>
    <s:mergeCell ref="A25769:E25769"/>
    <s:mergeCell ref="A23684:E23684"/>
    <s:mergeCell ref="B11407:E11407"/>
    <s:mergeCell ref="A13407:E13407"/>
    <s:mergeCell ref="B28007:E28007"/>
    <s:mergeCell ref="A13707:E13707"/>
    <s:mergeCell ref="A22605:E22605"/>
    <s:mergeCell ref="B18820:E18820"/>
    <s:mergeCell ref="A22905:E22905"/>
    <s:mergeCell ref="A20820:E20820"/>
    <s:mergeCell ref="A8302:E8302"/>
    <s:mergeCell ref="A6211:E6211"/>
    <s:mergeCell ref="A25797:E25797"/>
    <s:mergeCell ref="A21120:E21120"/>
    <s:mergeCell ref="A6244:E6244"/>
    <s:mergeCell ref="A30825:E30825"/>
    <s:mergeCell ref="A20548:E20548"/>
    <s:mergeCell ref="A1411:E1411"/>
    <s:mergeCell ref="A5939:E5939"/>
    <s:mergeCell ref="A31125:E31125"/>
    <s:mergeCell ref="A15442:E15442"/>
    <s:mergeCell ref="A13357:E13357"/>
    <s:mergeCell ref="A29746:E29746"/>
    <s:mergeCell ref="A13446:E13446"/>
    <s:mergeCell ref="A13657:E13657"/>
    <s:mergeCell ref="A27961:E27961"/>
    <s:mergeCell ref="A15443:E15443"/>
    <s:mergeCell ref="A13746:E13746"/>
    <s:mergeCell ref="A11661:E11661"/>
    <s:mergeCell ref="A20864:E20864"/>
    <s:mergeCell ref="A6255:E6255"/>
    <s:mergeCell ref="A13957:E13957"/>
    <s:mergeCell ref="A20559:E20559"/>
    <s:mergeCell ref="A28261:E28261"/>
    <s:mergeCell ref="A15743:E15743"/>
    <s:mergeCell ref="A13658:E13658"/>
    <s:mergeCell ref="A19079:E19079"/>
    <s:mergeCell ref="A19073:E19073"/>
    <s:mergeCell ref="A6555:E6555"/>
    <s:mergeCell ref="A4470:E4470"/>
    <s:mergeCell ref="A20859:E20859"/>
    <s:mergeCell ref="A18774:E18774"/>
    <s:mergeCell ref="A4165:E4165"/>
    <s:mergeCell ref="A21076:E21076"/>
    <s:mergeCell ref="B5017:E5017"/>
    <s:mergeCell ref="A4770:E4770"/>
    <s:mergeCell ref="B29598:E29598"/>
    <s:mergeCell ref="A11372:E11372"/>
    <s:mergeCell ref="A19074:E19074"/>
    <s:mergeCell ref="A13668:E13668"/>
    <s:mergeCell ref="A11583:E11583"/>
    <s:mergeCell ref="A11672:E11672"/>
    <s:mergeCell ref="A26492:E26492"/>
    <s:mergeCell ref="A11883:E11883"/>
    <s:mergeCell ref="B26434:E26434"/>
    <s:mergeCell ref="A4786:E4786"/>
    <s:mergeCell ref="A2701:E2701"/>
    <s:mergeCell ref="A11972:E11972"/>
    <s:mergeCell ref="A2695:E2695"/>
    <s:mergeCell ref="A4481:E4481"/>
    <s:mergeCell ref="A28005:E28005"/>
    <s:mergeCell ref="A25920:E25920"/>
    <s:mergeCell ref="A3001:E3001"/>
    <s:mergeCell ref="A9614:E9614"/>
    <s:mergeCell ref="B17552:E17552"/>
    <s:mergeCell ref="A27700:E27700"/>
    <s:mergeCell ref="A23918:E23918"/>
    <s:mergeCell ref="A4781:E4781"/>
    <s:mergeCell ref="A2696:E2696"/>
    <s:mergeCell ref="B16066:E16066"/>
    <s:mergeCell ref="A28000:E28000"/>
    <s:mergeCell ref="A25915:E25915"/>
    <s:mergeCell ref="A31336:E31336"/>
    <s:mergeCell ref="B17547:E17547"/>
    <s:mergeCell ref="A26520:E26520"/>
    <s:mergeCell ref="A4209:E4209"/>
    <s:mergeCell ref="A31031:E31031"/>
    <s:mergeCell ref="A31636:E31636"/>
    <s:mergeCell ref="A29551:E29551"/>
    <s:mergeCell ref="A19118:E19118"/>
    <s:mergeCell ref="A4509:E4509"/>
    <s:mergeCell ref="A3029:E3029"/>
    <s:mergeCell ref="A927:E927"/>
    <s:mergeCell ref="A9625:E9625"/>
    <s:mergeCell ref="A7540:E7540"/>
    <s:mergeCell ref="A10141:E10141"/>
    <s:mergeCell ref="A2724:E2724"/>
    <s:mergeCell ref="A24445:E24445"/>
    <s:mergeCell ref="A22360:E22360"/>
    <s:mergeCell ref="A11927:E11927"/>
    <s:mergeCell ref="A9842:E9842"/>
    <s:mergeCell ref="A11622:E11622"/>
    <s:mergeCell ref="A17043:E17043"/>
    <s:mergeCell ref="A14958:E14958"/>
    <s:mergeCell ref="A22660:E22660"/>
    <s:mergeCell ref="A10142:E10142"/>
    <s:mergeCell ref="A24446:E24446"/>
    <s:mergeCell ref="A954:E954"/>
    <s:mergeCell ref="A9837:E9837"/>
    <s:mergeCell ref="A8140:E8140"/>
    <s:mergeCell ref="A16955:E16955"/>
    <s:mergeCell ref="A15258:E15258"/>
    <s:mergeCell ref="A31664:E31664"/>
    <s:mergeCell ref="A2740:E2740"/>
    <s:mergeCell ref="A8357:E8357"/>
    <s:mergeCell ref="A14953:E14953"/>
    <s:mergeCell ref="A17255:E17255"/>
    <s:mergeCell ref="A15558:E15558"/>
    <s:mergeCell ref="A13473:E13473"/>
    <s:mergeCell ref="A955:E955"/>
    <s:mergeCell ref="A949:E949"/>
    <s:mergeCell ref="B8887:E8887"/>
    <s:mergeCell ref="A15259:E15259"/>
    <s:mergeCell ref="A24473:E24473"/>
    <s:mergeCell ref="A15253:E15253"/>
    <s:mergeCell ref="B10684:E10684"/>
    <s:mergeCell ref="A22371:E22371"/>
    <s:mergeCell ref="A15470:E15470"/>
    <s:mergeCell ref="A8373:E8373"/>
    <s:mergeCell ref="A8367:E8367"/>
    <s:mergeCell ref="A31375:E31375"/>
    <s:mergeCell ref="A22671:E22671"/>
    <s:mergeCell ref="A20586:E20586"/>
    <s:mergeCell ref="A29290:E29290"/>
    <s:mergeCell ref="A8068:E8068"/>
    <s:mergeCell ref="A15286:E15286"/>
    <s:mergeCell ref="A31287:E31287"/>
    <s:mergeCell ref="A29590:E29590"/>
    <s:mergeCell ref="A8368:E8368"/>
    <s:mergeCell ref="A29801:E29801"/>
    <s:mergeCell ref="A31587:E31587"/>
    <s:mergeCell ref="A29890:E29890"/>
    <s:mergeCell ref="A21186:E21186"/>
    <s:mergeCell ref="A27805:E27805"/>
    <s:mergeCell ref="A6010:E6010"/>
    <s:mergeCell ref="A29802:E29802"/>
    <s:mergeCell ref="A12912:E12912"/>
    <s:mergeCell ref="A20614:E20614"/>
    <s:mergeCell ref="A29817:E29817"/>
    <s:mergeCell ref="A20309:E20309"/>
    <s:mergeCell ref="B21161:E21161"/>
    <s:mergeCell ref="A13212:E13212"/>
    <s:mergeCell ref="A6311:E6311"/>
    <s:mergeCell ref="A28032:E28032"/>
    <s:mergeCell ref="B14243:E14243"/>
    <s:mergeCell ref="A13423:E13423"/>
    <s:mergeCell ref="A28121:E28121"/>
    <s:mergeCell ref="A26036:E26036"/>
    <s:mergeCell ref="A29812:E29812"/>
    <s:mergeCell ref="A27727:E27727"/>
    <s:mergeCell ref="A13512:E13512"/>
    <s:mergeCell ref="A11427:E11427"/>
    <s:mergeCell ref="A20630:E20630"/>
    <s:mergeCell ref="A28332:E28332"/>
    <s:mergeCell ref="A3446:E3446"/>
    <s:mergeCell ref="A20325:E20325"/>
    <s:mergeCell ref="B28274:E28274"/>
    <s:mergeCell ref="A28027:E28027"/>
    <s:mergeCell ref="A15509:E15509"/>
    <s:mergeCell ref="A11727:E11727"/>
    <s:mergeCell ref="A20930:E20930"/>
    <s:mergeCell ref="A8568:E8568"/>
    <s:mergeCell ref="B30665:E30665"/>
    <s:mergeCell ref="A20625:E20625"/>
    <s:mergeCell ref="A8868:E8868"/>
    <s:mergeCell ref="A20925:E20925"/>
    <s:mergeCell ref="A8563:E8563"/>
    <s:mergeCell ref="B21383:E21383"/>
    <s:mergeCell ref="A1466:E1466"/>
    <s:mergeCell ref="A9168:E9168"/>
    <s:mergeCell ref="A1161:E1161"/>
    <s:mergeCell ref="A8863:E8863"/>
    <s:mergeCell ref="A1766:E1766"/>
    <s:mergeCell ref="A20958:E20958"/>
    <s:mergeCell ref="A1461:E1461"/>
    <s:mergeCell ref="B26805:E26805"/>
    <s:mergeCell ref="B12590:E12590"/>
    <s:mergeCell ref="A16281:E16281"/>
    <s:mergeCell ref="A3763:E3763"/>
    <s:mergeCell ref="A27771:E27771"/>
    <s:mergeCell ref="A19173:E19173"/>
    <s:mergeCell ref="A6794:E6794"/>
    <s:mergeCell ref="A16581:E16581"/>
    <s:mergeCell ref="A14496:E14496"/>
    <s:mergeCell ref="A28071:E28071"/>
    <s:mergeCell ref="A27766:E27766"/>
    <s:mergeCell ref="A7094:E7094"/>
    <s:mergeCell ref="A26286:E26286"/>
    <s:mergeCell ref="A16009:E16009"/>
    <s:mergeCell ref="A25981:E25981"/>
    <s:mergeCell ref="A7394:E7394"/>
    <s:mergeCell ref="A26586:E26586"/>
    <s:mergeCell ref="A8607:E8607"/>
    <s:mergeCell ref="A16309:E16309"/>
    <s:mergeCell ref="A14207:E14207"/>
    <s:mergeCell ref="B27133:E27133"/>
    <s:mergeCell ref="A23122:E23122"/>
    <s:mergeCell ref="A21425:E21425"/>
    <s:mergeCell ref="A19340:E19340"/>
    <s:mergeCell ref="A8907:E8907"/>
    <s:mergeCell ref="A23211:E23211"/>
    <s:mergeCell ref="B539:E539"/>
    <s:mergeCell ref="A21126:E21126"/>
    <s:mergeCell ref="A23428:E23428"/>
    <s:mergeCell ref="A23422:E23422"/>
    <s:mergeCell ref="A7122:E7122"/>
    <s:mergeCell ref="A21426:E21426"/>
    <s:mergeCell ref="B5872:E5872"/>
    <s:mergeCell ref="A13935:E13935"/>
    <s:mergeCell ref="A21637:E21637"/>
    <s:mergeCell ref="A7422:E7422"/>
    <s:mergeCell ref="A14540:E14540"/>
    <s:mergeCell ref="A26753:E26753"/>
    <s:mergeCell ref="A28539:E28539"/>
    <s:mergeCell ref="A5047:E5047"/>
    <s:mergeCell ref="A14535:E14535"/>
    <s:mergeCell ref="A12450:E12450"/>
    <s:mergeCell ref="B173:E173"/>
    <s:mergeCell ref="A5353:E5353"/>
    <s:mergeCell ref="A7044:E7044"/>
    <s:mergeCell ref="A7133:E7133"/>
    <s:mergeCell ref="A5048:E5048"/>
    <s:mergeCell ref="A21953:E21953"/>
    <s:mergeCell ref="A28572:E28572"/>
    <s:mergeCell ref="A26481:E26481"/>
    <s:mergeCell ref="A5348:E5348"/>
    <s:mergeCell ref="A12466:E12466"/>
    <s:mergeCell ref="A12460:E12460"/>
    <s:mergeCell ref="A10375:E10375"/>
    <s:mergeCell ref="A3278:E3278"/>
    <s:mergeCell ref="A12161:E12161"/>
    <s:mergeCell ref="A5075:E5075"/>
    <s:mergeCell ref="B13013:E13013"/>
    <s:mergeCell ref="A12766:E12766"/>
    <s:mergeCell ref="A19379:E19379"/>
    <s:mergeCell ref="A10675:E10675"/>
    <s:mergeCell ref="B11527:E11527"/>
    <s:mergeCell ref="A3578:E3578"/>
    <s:mergeCell ref="A1493:E1493"/>
    <s:mergeCell ref="B13313:E13313"/>
    <s:mergeCell ref="A21376:E21376"/>
    <s:mergeCell ref="A26797:E26797"/>
    <s:mergeCell ref="A24712:E24712"/>
    <s:mergeCell ref="A12194:E12194"/>
    <s:mergeCell ref="A25012:E25012"/>
    <s:mergeCell ref="A12494:E12494"/>
    <s:mergeCell ref="A26798:E26798"/>
    <s:mergeCell ref="A26792:E26792"/>
    <s:mergeCell ref="B11238:E11238"/>
    <s:mergeCell ref="A17610:E17610"/>
    <s:mergeCell ref="A25312:E25312"/>
    <s:mergeCell ref="A12794:E12794"/>
    <s:mergeCell ref="A10709:E10709"/>
    <s:mergeCell ref="A17821:E17821"/>
    <s:mergeCell ref="A25007:E25007"/>
    <s:mergeCell ref="A19607:E19607"/>
    <s:mergeCell ref="A17910:E17910"/>
    <s:mergeCell ref="A15825:E15825"/>
    <s:mergeCell ref="A3301:E3301"/>
    <s:mergeCell ref="A1216:E1216"/>
    <s:mergeCell ref="A20212:E20212"/>
    <s:mergeCell ref="A18121:E18121"/>
    <s:mergeCell ref="B20154:E20154"/>
    <s:mergeCell ref="A19907:E19907"/>
    <s:mergeCell ref="A17822:E17822"/>
    <s:mergeCell ref="A16125:E16125"/>
    <s:mergeCell ref="A3213:E3213"/>
    <s:mergeCell ref="A23237:E23237"/>
    <s:mergeCell ref="A10719:E10719"/>
    <s:mergeCell ref="A8634:E8634"/>
    <s:mergeCell ref="A25023:E25023"/>
    <s:mergeCell ref="A22938:E22938"/>
    <s:mergeCell ref="A18122:E18122"/>
    <s:mergeCell ref="A23543:E23543"/>
    <s:mergeCell ref="A1232:E1232"/>
    <s:mergeCell ref="A8934:E8934"/>
    <s:mergeCell ref="B25570:E25570"/>
    <s:mergeCell ref="A23238:E23238"/>
    <s:mergeCell ref="A10720:E10720"/>
    <s:mergeCell ref="A8629:E8629"/>
    <s:mergeCell ref="A15747:E15747"/>
    <s:mergeCell ref="A1532:E1532"/>
    <s:mergeCell ref="A9234:E9234"/>
    <s:mergeCell ref="A3834:E3834"/>
    <s:mergeCell ref="A23538:E23538"/>
    <s:mergeCell ref="A1227:E1227"/>
    <s:mergeCell ref="A24751:E24751"/>
    <s:mergeCell ref="A16047:E16047"/>
    <s:mergeCell ref="A3529:E3529"/>
    <s:mergeCell ref="A30351:E30351"/>
    <s:mergeCell ref="A1527:E1527"/>
    <s:mergeCell ref="A8662:E8662"/>
    <s:mergeCell ref="A25051:E25051"/>
    <s:mergeCell ref="A16347:E16347"/>
    <s:mergeCell ref="B294:E294"/>
    <s:mergeCell ref="A3829:E3829"/>
    <s:mergeCell ref="A1744:E1744"/>
    <s:mergeCell ref="A47:E47"/>
    <s:mergeCell ref="A3985:E3985"/>
    <s:mergeCell ref="A14262:E14262"/>
    <s:mergeCell ref="A22966:E22966"/>
    <s:mergeCell ref="A23266:E23266"/>
    <s:mergeCell ref="A15775:E15775"/>
    <s:mergeCell ref="A30079:E30079"/>
    <s:mergeCell ref="A30684:E30684"/>
    <s:mergeCell ref="A23193:E23193"/>
    <s:mergeCell ref="A23282:E23282"/>
    <s:mergeCell ref="A28899:E28899"/>
    <s:mergeCell ref="B16622:E16622"/>
    <s:mergeCell ref="A6588:E6588"/>
    <s:mergeCell ref="A16375:E16375"/>
    <s:mergeCell ref="A23493:E23493"/>
    <s:mergeCell ref="A21408:E21408"/>
    <s:mergeCell ref="A30679:E30679"/>
    <s:mergeCell ref="A23188:E23188"/>
    <s:mergeCell ref="A21491:E21491"/>
    <s:mergeCell ref="A6888:E6888"/>
    <s:mergeCell ref="A21192:E21192"/>
    <s:mergeCell ref="A21708:E21708"/>
    <s:mergeCell ref="A7493:E7493"/>
    <s:mergeCell ref="A23494:E23494"/>
    <s:mergeCell ref="A23488:E23488"/>
    <s:mergeCell ref="A21403:E21403"/>
    <s:mergeCell ref="A4029:E4029"/>
    <s:mergeCell ref="A28610:E28610"/>
    <s:mergeCell ref="A14395:E14395"/>
    <s:mergeCell ref="A16086:E16086"/>
    <s:mergeCell ref="A28305:E28305"/>
    <s:mergeCell ref="A28910:E28910"/>
    <s:mergeCell ref="A4030:E4030"/>
    <s:mergeCell ref="A2333:E2333"/>
    <s:mergeCell ref="A4024:E4024"/>
    <s:mergeCell ref="B13068:E13068"/>
    <s:mergeCell ref="A9445:E9445"/>
    <s:mergeCell ref="A2544:E2544"/>
    <s:mergeCell ref="A9146:E9146"/>
    <s:mergeCell ref="A16848:E16848"/>
    <s:mergeCell ref="A30423:E30423"/>
    <s:mergeCell ref="A28338:E28338"/>
    <s:mergeCell ref="A11442:E11442"/>
    <s:mergeCell ref="B19970:E19970"/>
    <s:mergeCell ref="A9446:E9446"/>
    <s:mergeCell ref="A28638:E28638"/>
    <s:mergeCell ref="A1955:E1955"/>
    <s:mergeCell ref="A9657:E9657"/>
    <s:mergeCell ref="A26046:E26046"/>
    <s:mergeCell ref="A23961:E23961"/>
    <s:mergeCell ref="A11443:E11443"/>
    <s:mergeCell ref="A9746:E9746"/>
    <s:mergeCell ref="A28938:E28938"/>
    <s:mergeCell ref="A26853:E26853"/>
    <s:mergeCell ref="A2255:E2255"/>
    <s:mergeCell ref="A9957:E9957"/>
    <s:mergeCell ref="A2555:E2555"/>
    <s:mergeCell ref="A470:E470"/>
    <s:mergeCell ref="A16859:E16859"/>
    <s:mergeCell ref="B27594:E27594"/>
    <s:mergeCell ref="A770:E770"/>
    <s:mergeCell ref="A1983:E1983"/>
    <s:mergeCell ref="A16287:E16287"/>
    <s:mergeCell ref="A31107:E31107"/>
    <s:mergeCell ref="A14801:E14801"/>
    <s:mergeCell ref="A2283:E2283"/>
    <s:mergeCell ref="A29105:E29105"/>
    <s:mergeCell ref="A16587:E16587"/>
    <s:mergeCell ref="A31407:E31407"/>
    <s:mergeCell ref="A29710:E29710"/>
    <s:mergeCell ref="A7399:E7399"/>
    <s:mergeCell ref="A2583:E2583"/>
    <s:mergeCell ref="A498:E498"/>
    <s:mergeCell ref="A9701:E9701"/>
    <s:mergeCell ref="A7616:E7616"/>
    <s:mergeCell ref="A16887:E16887"/>
    <s:mergeCell ref="A14802:E14802"/>
    <s:mergeCell ref="A29405:E29405"/>
    <s:mergeCell ref="A31707:E31707"/>
    <s:mergeCell ref="A29622:E29622"/>
    <s:mergeCell ref="A9396:E9396"/>
    <s:mergeCell ref="A7699:E7699"/>
    <s:mergeCell ref="A5614:E5614"/>
    <s:mergeCell ref="A29705:E29705"/>
    <s:mergeCell ref="A7916:E7916"/>
    <s:mergeCell ref="A24305:E24305"/>
    <s:mergeCell ref="A22220:E22220"/>
    <s:mergeCell ref="A22214:E22214"/>
    <s:mergeCell ref="A9696:E9696"/>
    <s:mergeCell ref="A7611:E7611"/>
    <s:mergeCell ref="A5914:E5914"/>
    <s:mergeCell ref="A514:E514"/>
    <s:mergeCell ref="A8216:E8216"/>
    <s:mergeCell ref="A14812:E14812"/>
    <s:mergeCell ref="A12727:E12727"/>
    <s:mergeCell ref="A209:E209"/>
    <s:mergeCell ref="A7911:E7911"/>
    <s:mergeCell ref="A17114:E17114"/>
    <s:mergeCell ref="A13332:E13332"/>
    <s:mergeCell ref="A814:E814"/>
    <s:mergeCell ref="A29333:E29333"/>
    <s:mergeCell ref="A13027:E13027"/>
    <s:mergeCell ref="A509:E509"/>
    <s:mergeCell ref="A14813:E14813"/>
    <s:mergeCell ref="A29633:E29633"/>
    <s:mergeCell ref="A13327:E13327"/>
    <s:mergeCell ref="A809:E809"/>
    <s:mergeCell ref="A5842:E5842"/>
    <s:mergeCell ref="A15629:E15629"/>
    <s:mergeCell ref="B16176:E16176"/>
    <s:mergeCell ref="A6136:E6136"/>
    <s:mergeCell ref="A12755:E12755"/>
    <s:mergeCell ref="A20446:E20446"/>
    <s:mergeCell ref="A29660:E29660"/>
    <s:mergeCell ref="A29361:E29361"/>
    <s:mergeCell ref="A27664:E27664"/>
    <s:mergeCell ref="A13055:E13055"/>
    <s:mergeCell ref="A20173:E20173"/>
    <s:mergeCell ref="A29661:E29661"/>
    <s:mergeCell ref="A20473:E20473"/>
    <s:mergeCell ref="A18388:E18388"/>
    <s:mergeCell ref="B12105:E12105"/>
    <s:mergeCell ref="A20174:E20174"/>
    <s:mergeCell ref="A20168:E20168"/>
    <s:mergeCell ref="A13071:E13071"/>
    <s:mergeCell ref="A10986:E10986"/>
    <s:mergeCell ref="A25290:E25290"/>
    <s:mergeCell ref="B14102:E14102"/>
    <s:mergeCell ref="A4068:E4068"/>
    <s:mergeCell ref="A20474:E20474"/>
    <s:mergeCell ref="B20715:E20715"/>
    <s:mergeCell ref="A11197:E11197"/>
    <s:mergeCell ref="A20468:E20468"/>
    <s:mergeCell ref="A27586:E27586"/>
    <s:mergeCell ref="A11286:E11286"/>
    <s:mergeCell ref="A25590:E25590"/>
    <s:mergeCell ref="A18099:E18099"/>
    <s:mergeCell ref="A25801:E25801"/>
    <s:mergeCell ref="A3884:E3884"/>
    <s:mergeCell ref="A11586:E11586"/>
    <s:mergeCell ref="A27587:E27587"/>
    <s:mergeCell ref="A25890:E25890"/>
    <s:mergeCell ref="A4095:E4095"/>
    <s:mergeCell ref="A18399:E18399"/>
    <s:mergeCell ref="A2099:E2099"/>
    <s:mergeCell ref="A11498:E11498"/>
    <s:mergeCell ref="A19004:E19004"/>
    <s:mergeCell ref="A16919:E16919"/>
    <s:mergeCell ref="A31223:E31223"/>
    <s:mergeCell ref="B26648:E26648"/>
    <s:mergeCell ref="A18699:E18699"/>
    <s:mergeCell ref="A16614:E16614"/>
    <s:mergeCell ref="A6181:E6181"/>
    <s:mergeCell ref="A4096:E4096"/>
    <s:mergeCell ref="A2399:E2399"/>
    <s:mergeCell ref="A4090:E4090"/>
    <s:mergeCell ref="A9511:E9511"/>
    <s:mergeCell ref="A7426:E7426"/>
    <s:mergeCell ref="B31770:E31770"/>
    <s:mergeCell ref="A25512:E25512"/>
    <s:mergeCell ref="A9212:E9212"/>
    <s:mergeCell ref="A16914:E16914"/>
    <s:mergeCell ref="A11514:E11514"/>
    <s:mergeCell ref="A9817:E9817"/>
    <s:mergeCell ref="A11508:E11508"/>
    <s:mergeCell ref="A18127:E18127"/>
    <s:mergeCell ref="A25812:E25812"/>
    <s:mergeCell ref="A11209:E11209"/>
    <s:mergeCell ref="A9512:E9512"/>
    <s:mergeCell ref="A18427:E18427"/>
    <s:mergeCell ref="A9723:E9723"/>
    <s:mergeCell ref="A9812:E9812"/>
    <s:mergeCell ref="A7727:E7727"/>
    <s:mergeCell ref="A16930:E16930"/>
    <s:mergeCell ref="A31251:E31251"/>
    <s:mergeCell ref="A6653:E6653"/>
    <s:mergeCell ref="A18727:E18727"/>
    <s:mergeCell ref="A25845:E25845"/>
    <s:mergeCell ref="A6348:E6348"/>
    <s:mergeCell ref="A25540:E25540"/>
    <s:mergeCell ref="A23843:E23843"/>
    <s:mergeCell ref="A21758:E21758"/>
    <s:mergeCell ref="A4868:E4868"/>
    <s:mergeCell ref="A24060:E24060"/>
    <s:mergeCell ref="A4563:E4563"/>
    <s:mergeCell ref="B15692:E15692"/>
    <s:mergeCell ref="A25846:E25846"/>
    <s:mergeCell ref="A25840:E25840"/>
    <s:mergeCell ref="A23755:E23755"/>
    <s:mergeCell ref="A5168:E5168"/>
    <s:mergeCell ref="B10286:E10286"/>
    <s:mergeCell ref="A24360:E24360"/>
    <s:mergeCell ref="A16353:E16353"/>
    <s:mergeCell ref="A24055:E24055"/>
    <s:mergeCell ref="A31173:E31173"/>
    <s:mergeCell ref="A29476:E29476"/>
    <s:mergeCell ref="A16958:E16958"/>
    <s:mergeCell ref="A14873:E14873"/>
    <s:mergeCell ref="A29171:E29171"/>
    <s:mergeCell ref="A31473:E31473"/>
    <s:mergeCell ref="A29471:E29471"/>
    <s:mergeCell ref="A24071:E24071"/>
    <s:mergeCell ref="A24527:E24527"/>
    <s:mergeCell ref="A12009:E12009"/>
    <s:mergeCell ref="A2821:E2821"/>
    <s:mergeCell ref="A12309:E12309"/>
    <s:mergeCell ref="B22528:E22528"/>
    <s:mergeCell ref="A3121:E3121"/>
    <s:mergeCell ref="B27949:E27949"/>
    <s:mergeCell ref="A19122:E19122"/>
    <s:mergeCell ref="A4907:E4907"/>
    <s:mergeCell ref="A2822:E2822"/>
    <s:mergeCell ref="A2816:E2816"/>
    <s:mergeCell ref="A5118:E5118"/>
    <s:mergeCell ref="A19422:E19422"/>
    <s:mergeCell ref="A3122:E3122"/>
    <s:mergeCell ref="A3116:E3116"/>
    <s:mergeCell ref="A29215:E29215"/>
    <s:mergeCell ref="A10240:E10240"/>
    <s:mergeCell ref="A10540:E10540"/>
    <s:mergeCell ref="A17153:E17153"/>
    <s:mergeCell ref="A10235:E10235"/>
    <s:mergeCell ref="A29427:E29427"/>
    <s:mergeCell ref="A27730:E27730"/>
    <s:mergeCell ref="A2744:E2744"/>
    <s:mergeCell ref="A29727:E29727"/>
    <s:mergeCell ref="A3044:E3044"/>
    <s:mergeCell ref="A24871:E24871"/>
    <s:mergeCell ref="A1048:E1048"/>
    <s:mergeCell ref="A10262:E10262"/>
    <s:mergeCell ref="A24572:E24572"/>
    <s:mergeCell ref="A26263:E26263"/>
    <s:mergeCell ref="A24566:E24566"/>
    <s:mergeCell ref="A12048:E12048"/>
    <s:mergeCell ref="A9963:E9963"/>
    <s:mergeCell ref="A23086:E23086"/>
    <s:mergeCell ref="A17164:E17164"/>
    <s:mergeCell ref="A15079:E15079"/>
    <s:mergeCell ref="B1806:E1806"/>
    <s:mergeCell ref="A22781:E22781"/>
    <s:mergeCell ref="A10263:E10263"/>
    <s:mergeCell ref="A17381:E17381"/>
    <s:mergeCell ref="A24567:E24567"/>
    <s:mergeCell ref="A1075:E1075"/>
    <s:mergeCell ref="A15379:E15379"/>
    <s:mergeCell ref="B28205:E28205"/>
    <s:mergeCell ref="A22497:E22497"/>
    <s:mergeCell ref="A17681:E17681"/>
    <s:mergeCell ref="A13899:E13899"/>
    <s:mergeCell ref="A15590:E15590"/>
    <s:mergeCell ref="A29894:E29894"/>
    <s:mergeCell ref="A8493:E8493"/>
    <s:mergeCell ref="A15679:E15679"/>
    <s:mergeCell ref="A13594:E13594"/>
    <s:mergeCell ref="A22797:E22797"/>
    <s:mergeCell ref="A30499:E30499"/>
    <s:mergeCell ref="A8194:E8194"/>
    <s:mergeCell ref="A17981:E17981"/>
    <s:mergeCell ref="A22492:E22492"/>
    <s:mergeCell ref="A23097:E23097"/>
    <s:mergeCell ref="A21012:E21012"/>
    <s:mergeCell ref="B16443:E16443"/>
    <s:mergeCell ref="A8494:E8494"/>
    <s:mergeCell ref="A8488:E8488"/>
    <s:mergeCell ref="A6403:E6403"/>
    <s:mergeCell ref="A22792:E22792"/>
    <s:mergeCell ref="A29927:E29927"/>
    <s:mergeCell ref="A8189:E8189"/>
    <s:mergeCell ref="A25094:E25094"/>
    <s:mergeCell ref="A23009:E23009"/>
    <s:mergeCell ref="A21312:E21312"/>
    <s:mergeCell ref="A31713:E31713"/>
    <s:mergeCell ref="A30227:E30227"/>
    <s:mergeCell ref="A1303:E1303"/>
    <s:mergeCell ref="A30210:E30210"/>
    <s:mergeCell ref="A28125:E28125"/>
    <s:mergeCell ref="A13516:E13516"/>
    <s:mergeCell ref="A6419:E6419"/>
    <s:mergeCell ref="A22825:E22825"/>
    <s:mergeCell ref="A1603:E1603"/>
    <s:mergeCell ref="A28425:E28425"/>
    <s:mergeCell ref="A15907:E15907"/>
    <s:mergeCell ref="B1545:E1545"/>
    <s:mergeCell ref="A6719:E6719"/>
    <s:mergeCell ref="A4634:E4634"/>
    <s:mergeCell ref="A21040:E21040"/>
    <s:mergeCell ref="A6414:E6414"/>
    <s:mergeCell ref="A13549:E13549"/>
    <s:mergeCell ref="A29938:E29938"/>
    <s:mergeCell ref="B5181:E5181"/>
    <s:mergeCell ref="A8716:E8716"/>
    <s:mergeCell ref="A4934:E4934"/>
    <s:mergeCell ref="A13849:E13849"/>
    <s:mergeCell ref="A30238:E30238"/>
    <s:mergeCell ref="A5234:E5234"/>
    <s:mergeCell ref="A13544:E13544"/>
    <s:mergeCell ref="A28758:E28758"/>
    <s:mergeCell ref="A27848:E27848"/>
    <s:mergeCell ref="A20751:E20751"/>
    <s:mergeCell ref="A28453:E28453"/>
    <s:mergeCell ref="A13850:E13850"/>
    <s:mergeCell ref="A30239:E30239"/>
    <s:mergeCell ref="A20962:E20962"/>
    <s:mergeCell ref="A19265:E19265"/>
    <s:mergeCell ref="A6747:E6747"/>
    <s:mergeCell ref="A4662:E4662"/>
    <s:mergeCell ref="B12594:E12594"/>
    <s:mergeCell ref="A21051:E21051"/>
    <s:mergeCell ref="A18966:E18966"/>
    <s:mergeCell ref="A28753:E28753"/>
    <s:mergeCell ref="A4357:E4357"/>
    <s:mergeCell ref="A11863:E11863"/>
    <s:mergeCell ref="A21262:E21262"/>
    <s:mergeCell ref="A4962:E4962"/>
    <s:mergeCell ref="A23048:E23048"/>
    <s:mergeCell ref="A19266:E19266"/>
    <s:mergeCell ref="A26384:E26384"/>
    <s:mergeCell ref="A11775:E11775"/>
    <s:mergeCell ref="A21562:E21562"/>
    <s:mergeCell ref="B11109:E11109"/>
    <s:mergeCell ref="A12380:E12380"/>
    <s:mergeCell ref="A26684:E26684"/>
    <s:mergeCell ref="B14407:E14407"/>
    <s:mergeCell ref="A26678:E26678"/>
    <s:mergeCell ref="A12075:E12075"/>
    <s:mergeCell ref="A28464:E28464"/>
    <s:mergeCell ref="A26379:E26379"/>
    <s:mergeCell ref="A4673:E4673"/>
    <s:mergeCell ref="A12375:E12375"/>
    <s:mergeCell ref="A3193:E3193"/>
    <s:mergeCell ref="B14402:E14402"/>
    <s:mergeCell ref="A19188:E19188"/>
    <s:mergeCell ref="A4973:E4973"/>
    <s:mergeCell ref="A2888:E2888"/>
    <s:mergeCell ref="A19277:E19277"/>
    <s:mergeCell ref="A3188:E3188"/>
    <s:mergeCell ref="A26712:E26712"/>
    <s:mergeCell ref="A29:E29"/>
    <s:mergeCell ref="A24610:E24610"/>
    <s:mergeCell ref="A31739:E31739"/>
    <s:mergeCell ref="B3735:E3735"/>
    <s:mergeCell ref="B25456:E25456"/>
    <s:mergeCell ref="A17219:E17219"/>
    <s:mergeCell ref="A329:E329"/>
    <s:mergeCell ref="B18250:E18250"/>
    <s:mergeCell ref="A24:E24"/>
    <s:mergeCell ref="A629:E629"/>
    <s:mergeCell ref="B3662:E3662"/>
    <s:mergeCell ref="A24637:E24637"/>
    <s:mergeCell ref="A11814:E11814"/>
    <s:mergeCell ref="A22852:E22852"/>
    <s:mergeCell ref="A10334:E10334"/>
    <s:mergeCell ref="A26723:E26723"/>
    <s:mergeCell ref="A24638:E24638"/>
    <s:mergeCell ref="B16175:E16175"/>
    <s:mergeCell ref="A24632:E24632"/>
    <s:mergeCell ref="A10029:E10029"/>
    <s:mergeCell ref="A10634:E10634"/>
    <s:mergeCell ref="A7170:E7170"/>
    <s:mergeCell ref="A5473:E5473"/>
    <s:mergeCell ref="A31751:E31751"/>
    <s:mergeCell ref="A19994:E19994"/>
    <s:mergeCell ref="A19988:E19988"/>
    <s:mergeCell ref="A5474:E5474"/>
    <s:mergeCell ref="A5468:E5468"/>
    <s:mergeCell ref="A20288:E20288"/>
    <s:mergeCell ref="A5685:E5685"/>
    <s:mergeCell ref="A19989:E19989"/>
    <s:mergeCell ref="A12892:E12892"/>
    <s:mergeCell ref="A10496:E10496"/>
    <s:mergeCell ref="A12798:E12798"/>
    <s:mergeCell ref="A12887:E12887"/>
    <s:mergeCell ref="A19999:E19999"/>
    <s:mergeCell ref="A17914:E17914"/>
    <s:mergeCell ref="A5396:E5396"/>
    <s:mergeCell ref="A22891:E22891"/>
    <s:mergeCell ref="A6001:E6001"/>
    <s:mergeCell ref="A3916:E3916"/>
    <s:mergeCell ref="A10529:E10529"/>
    <s:mergeCell ref="A18214:E18214"/>
    <s:mergeCell ref="A5696:E5696"/>
    <s:mergeCell ref="A11117:E11117"/>
    <s:mergeCell ref="B4457:E4457"/>
    <s:mergeCell ref="B4458:E4458"/>
    <s:mergeCell ref="A20033:E20033"/>
    <s:mergeCell ref="A17942:E17942"/>
    <s:mergeCell ref="A19728:E19728"/>
    <s:mergeCell ref="A18547:E18547"/>
    <s:mergeCell ref="A30766:E30766"/>
    <s:mergeCell ref="A20333:E20333"/>
    <s:mergeCell ref="A20028:E20028"/>
    <s:mergeCell ref="A25449:E25449"/>
    <s:mergeCell ref="A23364:E23364"/>
    <s:mergeCell ref="A10840:E10840"/>
    <s:mergeCell ref="A8755:E8755"/>
    <s:mergeCell ref="A25660:E25660"/>
    <s:mergeCell ref="A9360:E9360"/>
    <s:mergeCell ref="A25361:E25361"/>
    <s:mergeCell ref="A23664:E23664"/>
    <s:mergeCell ref="A10752:E10752"/>
    <s:mergeCell ref="A18258:E18258"/>
    <s:mergeCell ref="A30477:E30477"/>
    <s:mergeCell ref="A25661:E25661"/>
    <s:mergeCell ref="A2169:E2169"/>
    <s:mergeCell ref="A31082:E31082"/>
    <s:mergeCell ref="A9355:E9355"/>
    <s:mergeCell ref="A16473:E16473"/>
    <s:mergeCell ref="A3955:E3955"/>
    <s:mergeCell ref="A1864:E1864"/>
    <s:mergeCell ref="A30777:E30777"/>
    <s:mergeCell ref="A16168:E16168"/>
    <s:mergeCell ref="A3650:E3650"/>
    <s:mergeCell ref="A23286:E23286"/>
    <s:mergeCell ref="B17020:E17020"/>
    <s:mergeCell ref="A9071:E9071"/>
    <s:mergeCell ref="A16773:E16773"/>
    <s:mergeCell ref="A14688:E14688"/>
    <s:mergeCell ref="B2411:E2411"/>
    <s:mergeCell ref="A2164:E2164"/>
    <s:mergeCell ref="A31077:E31077"/>
    <s:mergeCell ref="A9288:E9288"/>
    <s:mergeCell ref="A8766:E8766"/>
    <s:mergeCell ref="A23586:E23586"/>
    <s:mergeCell ref="A7286:E7286"/>
    <s:mergeCell ref="B17015:E17015"/>
    <s:mergeCell ref="A9066:E9066"/>
    <s:mergeCell ref="A16201:E16201"/>
    <s:mergeCell ref="B24133:E24133"/>
    <s:mergeCell ref="A23886:E23886"/>
    <s:mergeCell ref="B7833:E7833"/>
    <s:mergeCell ref="A21801:E21801"/>
    <s:mergeCell ref="A9283:E9283"/>
    <s:mergeCell ref="A7586:E7586"/>
    <s:mergeCell ref="A5501:E5501"/>
    <s:mergeCell ref="A30505:E30505"/>
    <s:mergeCell ref="A95:E95"/>
    <s:mergeCell ref="A16501:E16501"/>
    <s:mergeCell ref="B24134:E24134"/>
    <s:mergeCell ref="A395:E395"/>
    <s:mergeCell ref="A14699:E14699"/>
    <s:mergeCell ref="A31105:E31105"/>
    <s:mergeCell ref="A29020:E29020"/>
    <s:mergeCell ref="A96:E96"/>
    <s:mergeCell ref="A23614:E23614"/>
    <s:mergeCell ref="A16212:E16212"/>
    <s:mergeCell ref="A14127:E14127"/>
    <s:mergeCell ref="A23914:E23914"/>
    <s:mergeCell ref="A21829:E21829"/>
    <s:mergeCell ref="A23615:E23615"/>
    <s:mergeCell ref="A123:E123"/>
    <s:mergeCell ref="A29036:E29036"/>
    <s:mergeCell ref="A30727:E30727"/>
    <s:mergeCell ref="A29030:E29030"/>
    <s:mergeCell ref="A14427:E14427"/>
    <s:mergeCell ref="A28731:E28731"/>
    <s:mergeCell ref="A15032:E15032"/>
    <s:mergeCell ref="A28942:E28942"/>
    <s:mergeCell ref="A12642:E12642"/>
    <s:mergeCell ref="A21845:E21845"/>
    <s:mergeCell ref="A29031:E29031"/>
    <s:mergeCell ref="A7236:E7236"/>
    <s:mergeCell ref="A5539:E5539"/>
    <s:mergeCell ref="A21540:E21540"/>
    <s:mergeCell ref="A26961:E26961"/>
    <s:mergeCell ref="A22145:E22145"/>
    <s:mergeCell ref="A20060:E20060"/>
    <s:mergeCell ref="A7536:E7536"/>
    <s:mergeCell ref="A5451:E5451"/>
    <s:mergeCell ref="A21840:E21840"/>
    <s:mergeCell ref="A7237:E7237"/>
    <s:mergeCell ref="A6056:E6056"/>
    <s:mergeCell ref="B22692:E22692"/>
    <s:mergeCell ref="A12658:E12658"/>
    <s:mergeCell ref="A134:E134"/>
    <s:mergeCell ref="B22387:E22387"/>
    <s:mergeCell ref="A12353:E12353"/>
    <s:mergeCell ref="A29258:E29258"/>
    <s:mergeCell ref="A12958:E12958"/>
    <s:mergeCell ref="A590:E590"/>
    <s:mergeCell ref="A12653:E12653"/>
    <s:mergeCell ref="A27473:E27473"/>
    <s:mergeCell ref="B28020:E28020"/>
    <s:mergeCell ref="B13500:E13500"/>
    <s:mergeCell ref="A24899:E24899"/>
    <s:mergeCell ref="A8009:E8009"/>
    <s:mergeCell ref="A25504:E25504"/>
    <s:mergeCell ref="A10901:E10901"/>
    <s:mergeCell ref="B18827:E18827"/>
    <s:mergeCell ref="A8309:E8309"/>
    <s:mergeCell ref="A20099:E20099"/>
    <s:mergeCell ref="A18008:E18008"/>
    <s:mergeCell ref="A25215:E25215"/>
    <s:mergeCell ref="A15155:E15155"/>
    <s:mergeCell ref="A23430:E23430"/>
    <s:mergeCell ref="A13153:E13153"/>
    <s:mergeCell ref="A635:E635"/>
    <s:mergeCell ref="A25732:E25732"/>
    <s:mergeCell ref="A15455:E15455"/>
    <s:mergeCell ref="A15449:E15449"/>
    <s:mergeCell ref="A12848:E12848"/>
    <s:mergeCell ref="A27512:E27512"/>
    <s:mergeCell ref="A23730:E23730"/>
    <s:mergeCell ref="A27668:E27668"/>
    <s:mergeCell ref="A15150:E15150"/>
    <s:mergeCell ref="A13453:E13453"/>
    <s:mergeCell ref="A935:E935"/>
    <s:mergeCell ref="A20571:E20571"/>
    <s:mergeCell ref="A15755:E15755"/>
    <s:mergeCell ref="A20266:E20266"/>
    <s:mergeCell ref="A27968:E27968"/>
    <s:mergeCell ref="A15450:E15450"/>
    <s:mergeCell ref="A18786:E18786"/>
    <s:mergeCell ref="A6262:E6262"/>
    <s:mergeCell ref="A20566:E20566"/>
    <s:mergeCell ref="A19086:E19086"/>
    <s:mergeCell ref="A20866:E20866"/>
    <s:mergeCell ref="A18781:E18781"/>
    <s:mergeCell ref="A8348:E8348"/>
    <s:mergeCell ref="A30271:E30271"/>
    <s:mergeCell ref="A19081:E19081"/>
    <s:mergeCell ref="A30571:E30571"/>
    <s:mergeCell ref="A13675:E13675"/>
    <s:mergeCell ref="A11590:E11590"/>
    <s:mergeCell ref="A31176:E31176"/>
    <s:mergeCell ref="A6290:E6290"/>
    <s:mergeCell ref="A4188:E4188"/>
    <s:mergeCell ref="A27712:E27712"/>
    <s:mergeCell ref="A4488:E4488"/>
    <s:mergeCell ref="A28012:E28012"/>
    <s:mergeCell ref="A25927:E25927"/>
    <s:mergeCell ref="A11318:E11318"/>
    <s:mergeCell ref="A26016:E26016"/>
    <s:mergeCell ref="A27707:E27707"/>
    <s:mergeCell ref="A2219:E2219"/>
    <s:mergeCell ref="A28013:E28013"/>
    <s:mergeCell ref="A25922:E25922"/>
    <s:mergeCell ref="A13404:E13404"/>
    <s:mergeCell ref="A18825:E18825"/>
    <s:mergeCell ref="A26527:E26527"/>
    <s:mergeCell ref="A4216:E4216"/>
    <s:mergeCell ref="A2736:E2736"/>
    <s:mergeCell ref="A19125:E19125"/>
    <s:mergeCell ref="A17040:E17040"/>
    <s:mergeCell ref="A4516:E4516"/>
    <s:mergeCell ref="A11634:E11634"/>
    <s:mergeCell ref="A19336:E19336"/>
    <s:mergeCell ref="A25938:E25938"/>
    <s:mergeCell ref="A9638:E9638"/>
    <s:mergeCell ref="A26543:E26543"/>
    <s:mergeCell ref="A24458:E24458"/>
    <s:mergeCell ref="A2147:E2147"/>
    <s:mergeCell ref="A11934:E11934"/>
    <s:mergeCell ref="A9849:E9849"/>
    <s:mergeCell ref="A26238:E26238"/>
    <s:mergeCell ref="B1481:E1481"/>
    <s:mergeCell ref="A11635:E11635"/>
    <s:mergeCell ref="A9938:E9938"/>
    <s:mergeCell ref="A9544:E9544"/>
    <s:mergeCell ref="A17050:E17050"/>
    <s:mergeCell ref="A2447:E2447"/>
    <s:mergeCell ref="A10149:E10149"/>
    <s:mergeCell ref="A24453:E24453"/>
    <s:mergeCell ref="A2142:E2142"/>
    <s:mergeCell ref="A17356:E17356"/>
    <s:mergeCell ref="A25666:E25666"/>
    <s:mergeCell ref="A16962:E16962"/>
    <s:mergeCell ref="A2747:E2747"/>
    <s:mergeCell ref="A17051:E17051"/>
    <s:mergeCell ref="A2442:E2442"/>
    <s:mergeCell ref="A25966:E25966"/>
    <s:mergeCell ref="A17262:E17262"/>
    <s:mergeCell ref="A962:E962"/>
    <s:mergeCell ref="A17351:E17351"/>
    <s:mergeCell ref="A15266:E15266"/>
    <s:mergeCell ref="A9860:E9860"/>
    <s:mergeCell ref="A26266:E26266"/>
    <s:mergeCell ref="A24181:E24181"/>
    <s:mergeCell ref="B1204:E1204"/>
    <s:mergeCell ref="A31382:E31382"/>
    <s:mergeCell ref="A29297:E29297"/>
    <s:mergeCell ref="A10160:E10160"/>
    <s:mergeCell ref="A8075:E8075"/>
    <s:mergeCell ref="A24481:E24481"/>
    <s:mergeCell ref="A31599:E31599"/>
    <s:mergeCell ref="A31294:E31294"/>
    <s:mergeCell ref="A29597:E29597"/>
    <s:mergeCell ref="A8375:E8375"/>
    <s:mergeCell ref="A9588:E9588"/>
    <s:mergeCell ref="A31594:E31594"/>
    <s:mergeCell ref="A29897:E29897"/>
    <s:mergeCell ref="A973:E973"/>
    <s:mergeCell ref="A24497:E24497"/>
    <s:mergeCell ref="A22412:E22412"/>
    <s:mergeCell ref="A22406:E22406"/>
    <s:mergeCell ref="A9888:E9888"/>
    <s:mergeCell ref="A7803:E7803"/>
    <s:mergeCell ref="A24192:E24192"/>
    <s:mergeCell ref="A8408:E8408"/>
    <s:mergeCell ref="A12919:E12919"/>
    <s:mergeCell ref="A8103:E8103"/>
    <s:mergeCell ref="A17306:E17306"/>
    <s:mergeCell ref="A15221:E15221"/>
    <s:mergeCell ref="A24492:E24492"/>
    <s:mergeCell ref="A22407:E22407"/>
    <s:mergeCell ref="A15310:E15310"/>
    <s:mergeCell ref="A17001:E17001"/>
    <s:mergeCell ref="A13219:E13219"/>
    <s:mergeCell ref="A8403:E8403"/>
    <s:mergeCell ref="A15521:E15521"/>
    <s:mergeCell ref="A13824:E13824"/>
    <s:mergeCell ref="A29825:E29825"/>
    <s:mergeCell ref="B17548:E17548"/>
    <s:mergeCell ref="A29819:E29819"/>
    <s:mergeCell ref="A27734:E27734"/>
    <s:mergeCell ref="A17301:E17301"/>
    <s:mergeCell ref="A15216:E15216"/>
    <s:mergeCell ref="A13519:E13519"/>
    <s:mergeCell ref="B8950:E8950"/>
    <s:mergeCell ref="A20637:E20637"/>
    <s:mergeCell ref="A15821:E15821"/>
    <s:mergeCell ref="A13736:E13736"/>
    <s:mergeCell ref="B30366:E30366"/>
    <s:mergeCell ref="B28281:E28281"/>
    <s:mergeCell ref="A20332:E20332"/>
    <s:mergeCell ref="A7814:E7814"/>
    <s:mergeCell ref="A18852:E18852"/>
    <s:mergeCell ref="B30672:E30672"/>
    <s:mergeCell ref="A20638:E20638"/>
    <s:mergeCell ref="A20632:E20632"/>
    <s:mergeCell ref="A8114:E8114"/>
    <s:mergeCell ref="A6029:E6029"/>
    <s:mergeCell ref="A22934:E22934"/>
    <s:mergeCell ref="A19152:E19152"/>
    <s:mergeCell ref="A1173:E1173"/>
    <s:mergeCell ref="B6576:E6576"/>
    <s:mergeCell ref="A21149:E21149"/>
    <s:mergeCell ref="A3170:E3170"/>
    <s:mergeCell ref="A1473:E1473"/>
    <s:mergeCell ref="B13994:E13994"/>
    <s:mergeCell ref="A3470:E3470"/>
    <s:mergeCell ref="B26812:E26812"/>
    <s:mergeCell ref="A3770:E3770"/>
    <s:mergeCell ref="A27778:E27778"/>
    <s:mergeCell ref="B4801:E4801"/>
    <s:mergeCell ref="A28078:E28078"/>
    <s:mergeCell ref="A25993:E25993"/>
    <s:mergeCell ref="A11778:E11778"/>
    <s:mergeCell ref="A27779:E27779"/>
    <s:mergeCell ref="A26598:E26598"/>
    <s:mergeCell ref="A27773:E27773"/>
    <s:mergeCell ref="B4802:E4802"/>
    <s:mergeCell ref="A28079:E28079"/>
    <s:mergeCell ref="A8614:E8614"/>
    <s:mergeCell ref="A23129:E23129"/>
    <s:mergeCell ref="A6829:E6829"/>
    <s:mergeCell ref="A16032:E16032"/>
    <s:mergeCell ref="B2243:E2243"/>
    <s:mergeCell ref="A6524:E6524"/>
    <s:mergeCell ref="A23429:E23429"/>
    <s:mergeCell ref="A1729:E1729"/>
    <s:mergeCell ref="A30636:E30636"/>
    <s:mergeCell ref="A16027:E16027"/>
    <s:mergeCell ref="A13942:E13942"/>
    <s:mergeCell ref="A1424:E1424"/>
    <s:mergeCell ref="A30331:E30331"/>
    <s:mergeCell ref="A14547:E14547"/>
    <s:mergeCell ref="A12462:E12462"/>
    <s:mergeCell ref="A2029:E2029"/>
    <s:mergeCell ref="A6540:E6540"/>
    <s:mergeCell ref="A1724:E1724"/>
    <s:mergeCell ref="A7145:E7145"/>
    <s:mergeCell ref="A5060:E5060"/>
    <s:mergeCell ref="A5054:E5054"/>
    <s:mergeCell ref="A6840:E6840"/>
    <s:mergeCell ref="A26032:E26032"/>
    <s:mergeCell ref="A9142:E9142"/>
    <s:mergeCell ref="A7057:E7057"/>
    <s:mergeCell ref="A5360:E5360"/>
    <s:mergeCell ref="A7051:E7051"/>
    <s:mergeCell ref="A5055:E5055"/>
    <s:mergeCell ref="B19966:E19966"/>
    <s:mergeCell ref="A12173:E12173"/>
    <s:mergeCell ref="A13970:E13970"/>
    <s:mergeCell ref="A21088:E21088"/>
    <s:mergeCell ref="A5355:E5355"/>
    <s:mergeCell ref="A21177:E21177"/>
    <s:mergeCell ref="A12473:E12473"/>
    <s:mergeCell ref="A21477:E21477"/>
    <s:mergeCell ref="A12773:E12773"/>
    <s:mergeCell ref="A19392:E19392"/>
    <s:mergeCell ref="A21083:E21083"/>
    <s:mergeCell ref="A19386:E19386"/>
    <s:mergeCell ref="A21688:E21688"/>
    <s:mergeCell ref="A5388:E5388"/>
    <s:mergeCell ref="B13320:E13320"/>
    <s:mergeCell ref="A23474:E23474"/>
    <s:mergeCell ref="A12500:E12500"/>
    <s:mergeCell ref="A28501:E28501"/>
    <s:mergeCell ref="A14286:E14286"/>
    <s:mergeCell ref="A12201:E12201"/>
    <s:mergeCell ref="A26505:E26505"/>
    <s:mergeCell ref="A13981:E13981"/>
    <s:mergeCell ref="A19402:E19402"/>
    <s:mergeCell ref="A28801:E28801"/>
    <s:mergeCell ref="A12501:E12501"/>
    <s:mergeCell ref="A26799:E26799"/>
    <s:mergeCell ref="A5010:E5010"/>
    <s:mergeCell ref="A12196:E12196"/>
    <s:mergeCell ref="A19314:E19314"/>
    <s:mergeCell ref="A29101:E29101"/>
    <s:mergeCell ref="A27016:E27016"/>
    <s:mergeCell ref="A5099:E5099"/>
    <s:mergeCell ref="A3014:E3014"/>
    <s:mergeCell ref="A12801:E12801"/>
    <s:mergeCell ref="A19919:E19919"/>
    <s:mergeCell ref="A5310:E5310"/>
    <s:mergeCell ref="A19614:E19614"/>
    <s:mergeCell ref="A3314:E3314"/>
    <s:mergeCell ref="A19703:E19703"/>
    <s:mergeCell ref="A17618:E17618"/>
    <s:mergeCell ref="A26832:E26832"/>
    <s:mergeCell ref="A5610:E5610"/>
    <s:mergeCell ref="B3861:E3861"/>
    <s:mergeCell ref="A17829:E17829"/>
    <s:mergeCell ref="A10732:E10732"/>
    <s:mergeCell ref="A12423:E12423"/>
    <s:mergeCell ref="A10726:E10726"/>
    <s:mergeCell ref="A8641:E8641"/>
    <s:mergeCell ref="A26727:E26727"/>
    <s:mergeCell ref="A12512:E12512"/>
    <s:mergeCell ref="A10427:E10427"/>
    <s:mergeCell ref="A1239:E1239"/>
    <s:mergeCell ref="A10638:E10638"/>
    <s:mergeCell ref="A12723:E12723"/>
    <s:mergeCell ref="B25577:E25577"/>
    <s:mergeCell ref="A10727:E10727"/>
    <s:mergeCell ref="A3236:E3236"/>
    <s:mergeCell ref="A1539:E1539"/>
    <s:mergeCell ref="A17540:E17540"/>
    <s:mergeCell ref="A1240:E1240"/>
    <s:mergeCell ref="A18145:E18145"/>
    <s:mergeCell ref="A24758:E24758"/>
    <s:mergeCell ref="A3536:E3536"/>
    <s:mergeCell ref="A25058:E25058"/>
    <s:mergeCell ref="A17573:E17573"/>
    <s:mergeCell ref="A24970:E24970"/>
    <s:mergeCell ref="A30391:E30391"/>
    <s:mergeCell ref="A17873:E17873"/>
    <s:mergeCell ref="A15782:E15782"/>
    <s:mergeCell ref="A1567:E1567"/>
    <s:mergeCell ref="A30086:E30086"/>
    <s:mergeCell ref="A19653:E19653"/>
    <s:mergeCell ref="A17568:E17568"/>
    <s:mergeCell ref="A30691:E30691"/>
    <s:mergeCell ref="A18173:E18173"/>
    <s:mergeCell ref="A16088:E16088"/>
    <s:mergeCell ref="A17868:E17868"/>
    <s:mergeCell ref="A23289:E23289"/>
    <s:mergeCell ref="A21204:E21204"/>
    <s:mergeCell ref="A6595:E6595"/>
    <s:mergeCell ref="A25591:E25591"/>
    <s:mergeCell ref="A23506:E23506"/>
    <s:mergeCell ref="A22984:E22984"/>
    <s:mergeCell ref="A16083:E16083"/>
    <s:mergeCell ref="A25286:E25286"/>
    <s:mergeCell ref="A23195:E23195"/>
    <s:mergeCell ref="A16098:E16098"/>
    <s:mergeCell ref="A14013:E14013"/>
    <s:mergeCell ref="A23284:E23284"/>
    <s:mergeCell ref="A1495:E1495"/>
    <s:mergeCell ref="A21199:E21199"/>
    <s:mergeCell ref="A30402:E30402"/>
    <s:mergeCell ref="A28317:E28317"/>
    <s:mergeCell ref="A23501:E23501"/>
    <s:mergeCell ref="A1190:E1190"/>
    <s:mergeCell ref="A30097:E30097"/>
    <s:mergeCell ref="A14313:E14313"/>
    <s:mergeCell ref="A1795:E1795"/>
    <s:mergeCell ref="A28617:E28617"/>
    <s:mergeCell ref="A16099:E16099"/>
    <s:mergeCell ref="A14008:E14008"/>
    <s:mergeCell ref="A14613:E14613"/>
    <s:mergeCell ref="A28917:E28917"/>
    <s:mergeCell ref="A30130:E30130"/>
    <s:mergeCell ref="B14855:E14855"/>
    <s:mergeCell ref="A30430:E30430"/>
    <s:mergeCell ref="A28345:E28345"/>
    <s:mergeCell ref="A28645:E28645"/>
    <s:mergeCell ref="A4047:E4047"/>
    <s:mergeCell ref="A1962:E1962"/>
    <s:mergeCell ref="A28945:E28945"/>
    <s:mergeCell ref="A2262:E2262"/>
    <s:mergeCell ref="A21454:E21454"/>
    <s:mergeCell ref="A5154:E5154"/>
    <s:mergeCell ref="A2562:E2562"/>
    <s:mergeCell ref="A477:E477"/>
    <s:mergeCell ref="A21754:E21754"/>
    <s:mergeCell ref="B13386:E13386"/>
    <s:mergeCell ref="A21455:E21455"/>
    <s:mergeCell ref="A1990:E1990"/>
    <s:mergeCell ref="A28656:E28656"/>
    <s:mergeCell ref="A26571:E26571"/>
    <s:mergeCell ref="A16294:E16294"/>
    <s:mergeCell ref="A14814:E14814"/>
    <s:mergeCell ref="A4381:E4381"/>
    <s:mergeCell ref="A16505:E16505"/>
    <s:mergeCell ref="A2290:E2290"/>
    <s:mergeCell ref="A9408:E9408"/>
    <s:mergeCell ref="A16594:E16594"/>
    <s:mergeCell ref="A4076:E4076"/>
    <s:mergeCell ref="A23712:E23712"/>
    <s:mergeCell ref="A1985:E1985"/>
    <s:mergeCell ref="A7406:E7406"/>
    <s:mergeCell ref="A23407:E23407"/>
    <s:mergeCell ref="A9192:E9192"/>
    <s:mergeCell ref="A7623:E7623"/>
    <s:mergeCell ref="A9708:E9708"/>
    <s:mergeCell ref="A14809:E14809"/>
    <s:mergeCell ref="A4376:E4376"/>
    <s:mergeCell ref="A24012:E24012"/>
    <s:mergeCell ref="A9409:E9409"/>
    <s:mergeCell ref="A7712:E7712"/>
    <s:mergeCell ref="A9403:E9403"/>
    <s:mergeCell ref="A23707:E23707"/>
    <s:mergeCell ref="A9492:E9492"/>
    <s:mergeCell ref="A7407:E7407"/>
    <s:mergeCell ref="A7923:E7923"/>
    <s:mergeCell ref="A24312:E24312"/>
    <s:mergeCell ref="A22227:E22227"/>
    <s:mergeCell ref="A9703:E9703"/>
    <s:mergeCell ref="A7618:E7618"/>
    <s:mergeCell ref="A521:E521"/>
    <s:mergeCell ref="A7707:E7707"/>
    <s:mergeCell ref="A14825:E14825"/>
    <s:mergeCell ref="B20527:E20527"/>
    <s:mergeCell ref="A216:E216"/>
    <s:mergeCell ref="A14520:E14520"/>
    <s:mergeCell ref="A13339:E13339"/>
    <s:mergeCell ref="A821:E821"/>
    <s:mergeCell ref="A15125:E15125"/>
    <s:mergeCell ref="A13040:E13040"/>
    <s:mergeCell ref="A516:E516"/>
    <s:mergeCell ref="A7634:E7634"/>
    <s:mergeCell ref="A21955:E21955"/>
    <s:mergeCell ref="A30853:E30853"/>
    <s:mergeCell ref="A29156:E29156"/>
    <s:mergeCell ref="A16638:E16638"/>
    <s:mergeCell ref="A7934:E7934"/>
    <s:mergeCell ref="A5849:E5849"/>
    <s:mergeCell ref="A22255:E22255"/>
    <s:mergeCell ref="A31458:E31458"/>
    <s:mergeCell ref="A22238:E22238"/>
    <s:mergeCell ref="A21950:E21950"/>
    <s:mergeCell ref="A29157:E29157"/>
    <s:mergeCell ref="A29673:E29673"/>
    <s:mergeCell ref="A29151:E29151"/>
    <s:mergeCell ref="A7362:E7362"/>
    <s:mergeCell ref="A31453:E31453"/>
    <s:mergeCell ref="A29368:E29368"/>
    <s:mergeCell ref="B6696:E6696"/>
    <s:mergeCell ref="A15153:E15153"/>
    <s:mergeCell ref="A20180:E20180"/>
    <s:mergeCell ref="A7662:E7662"/>
    <s:mergeCell ref="A21966:E21966"/>
    <s:mergeCell ref="A29668:E29668"/>
    <s:mergeCell ref="A7357:E7357"/>
    <s:mergeCell ref="A22571:E22571"/>
    <s:mergeCell ref="A20480:E20480"/>
    <s:mergeCell ref="A22266:E22266"/>
    <s:mergeCell ref="A20181:E20181"/>
    <s:mergeCell ref="A7663:E7663"/>
    <s:mergeCell ref="A7657:E7657"/>
    <s:mergeCell ref="A5572:E5572"/>
    <s:mergeCell ref="A14775:E14775"/>
    <s:mergeCell ref="A10993:E10993"/>
    <s:mergeCell ref="A12779:E12779"/>
    <s:mergeCell ref="A4075:E4075"/>
    <s:mergeCell ref="A13295:E13295"/>
    <s:mergeCell ref="A10688:E10688"/>
    <s:mergeCell ref="A27599:E27599"/>
    <s:mergeCell ref="A27593:E27593"/>
    <s:mergeCell ref="A15075:E15075"/>
    <s:mergeCell ref="A12990:E12990"/>
    <s:mergeCell ref="A11293:E11293"/>
    <s:mergeCell ref="A29379:E29379"/>
    <s:mergeCell ref="A13595:E13595"/>
    <s:mergeCell ref="A10988:E10988"/>
    <s:mergeCell ref="B28140:E28140"/>
    <s:mergeCell ref="A18106:E18106"/>
    <s:mergeCell ref="A5588:E5588"/>
    <s:mergeCell ref="A3891:E3891"/>
    <s:mergeCell ref="A13290:E13290"/>
    <s:mergeCell ref="A6193:E6193"/>
    <s:mergeCell ref="A4108:E4108"/>
    <s:mergeCell ref="B11535:E11535"/>
    <s:mergeCell ref="A4102:E4102"/>
    <s:mergeCell ref="A18406:E18406"/>
    <s:mergeCell ref="A5888:E5888"/>
    <s:mergeCell ref="B28141:E28141"/>
    <s:mergeCell ref="B20650:E20650"/>
    <s:mergeCell ref="A18706:E18706"/>
    <s:mergeCell ref="A6188:E6188"/>
    <s:mergeCell ref="A4103:E4103"/>
    <s:mergeCell ref="A9524:E9524"/>
    <s:mergeCell ref="A18407:E18407"/>
    <s:mergeCell ref="A25519:E25519"/>
    <s:mergeCell ref="A27322:E27322"/>
    <s:mergeCell ref="B11768:E11768"/>
    <s:mergeCell ref="A11521:E11521"/>
    <s:mergeCell ref="A9824:E9824"/>
    <s:mergeCell ref="A18134:E18134"/>
    <s:mergeCell ref="A25825:E25825"/>
    <s:mergeCell ref="A27622:E27622"/>
    <s:mergeCell ref="A18434:E18434"/>
    <s:mergeCell ref="A25552:E25552"/>
    <s:mergeCell ref="A2334:E2334"/>
    <s:mergeCell ref="A25852:E25852"/>
    <s:mergeCell ref="A23767:E23767"/>
    <s:mergeCell ref="A23856:E23856"/>
    <s:mergeCell ref="A25547:E25547"/>
    <s:mergeCell ref="B15699:E15699"/>
    <s:mergeCell ref="A25853:E25853"/>
    <s:mergeCell ref="B26094:E26094"/>
    <s:mergeCell ref="A25847:E25847"/>
    <s:mergeCell ref="A16665:E16665"/>
    <s:mergeCell ref="A4147:E4147"/>
    <s:mergeCell ref="A30969:E30969"/>
    <s:mergeCell ref="A16360:E16360"/>
    <s:mergeCell ref="A31180:E31180"/>
    <s:mergeCell ref="A16965:E16965"/>
    <s:mergeCell ref="A14880:E14880"/>
    <s:mergeCell ref="A2362:E2362"/>
    <s:mergeCell ref="A9474:E9474"/>
    <s:mergeCell ref="A16660:E16660"/>
    <s:mergeCell ref="A23778:E23778"/>
    <s:mergeCell ref="A31480:E31480"/>
    <s:mergeCell ref="B31422:E31422"/>
    <s:mergeCell ref="A9774:E9774"/>
    <s:mergeCell ref="A24078:E24078"/>
    <s:mergeCell ref="A9475:E9475"/>
    <s:mergeCell ref="A7778:E7778"/>
    <s:mergeCell ref="A9469:E9469"/>
    <s:mergeCell ref="A22293:E22293"/>
    <s:mergeCell ref="A4314:E4314"/>
    <s:mergeCell ref="A9775:E9775"/>
    <s:mergeCell ref="A2828:E2828"/>
    <s:mergeCell ref="A31191:E31191"/>
    <s:mergeCell ref="A4614:E4614"/>
    <s:mergeCell ref="A23806:E23806"/>
    <s:mergeCell ref="A3134:E3134"/>
    <s:mergeCell ref="A4309:E4309"/>
    <s:mergeCell ref="A6611:E6611"/>
    <s:mergeCell ref="A4914:E4914"/>
    <s:mergeCell ref="A2829:E2829"/>
    <s:mergeCell ref="A24106:E24106"/>
    <s:mergeCell ref="A22021:E22021"/>
    <s:mergeCell ref="A31224:E31224"/>
    <s:mergeCell ref="A3129:E3129"/>
    <s:mergeCell ref="A29222:E29222"/>
    <s:mergeCell ref="A27137:E27137"/>
    <s:mergeCell ref="A31524:E31524"/>
    <s:mergeCell ref="A29439:E29439"/>
    <s:mergeCell ref="A12027:E12027"/>
    <s:mergeCell ref="A31219:E31219"/>
    <s:mergeCell ref="A29134:E29134"/>
    <s:mergeCell ref="A29739:E29739"/>
    <s:mergeCell ref="B31766:E31766"/>
    <s:mergeCell ref="A3145:E3145"/>
    <s:mergeCell ref="A29434:E29434"/>
    <s:mergeCell ref="A9758:E9758"/>
    <s:mergeCell ref="A22337:E22337"/>
    <s:mergeCell ref="A12060:E12060"/>
    <s:mergeCell ref="A22032:E22032"/>
    <s:mergeCell ref="A11755:E11755"/>
    <s:mergeCell ref="A22332:E22332"/>
    <s:mergeCell ref="A24573:E24573"/>
    <s:mergeCell ref="A12055:E12055"/>
    <s:mergeCell ref="A9970:E9970"/>
    <s:mergeCell ref="A10575:E10575"/>
    <s:mergeCell ref="A2568:E2568"/>
    <s:mergeCell ref="A10270:E10270"/>
    <s:mergeCell ref="A17388:E17388"/>
    <s:mergeCell ref="A3173:E3173"/>
    <s:mergeCell ref="A1088:E1088"/>
    <s:mergeCell ref="A4864:E4864"/>
    <s:mergeCell ref="A2779:E2779"/>
    <s:mergeCell ref="A31692:E31692"/>
    <s:mergeCell ref="A17477:E17477"/>
    <s:mergeCell ref="A17083:E17083"/>
    <s:mergeCell ref="A2868:E2868"/>
    <s:mergeCell ref="A24589:E24589"/>
    <s:mergeCell ref="B28206:E28206"/>
    <s:mergeCell ref="A17688:E17688"/>
    <s:mergeCell ref="A3079:E3079"/>
    <s:mergeCell ref="A1083:E1083"/>
    <s:mergeCell ref="A8201:E8201"/>
    <s:mergeCell ref="A17988:E17988"/>
    <s:mergeCell ref="B28207:E28207"/>
    <s:mergeCell ref="A1098:E1098"/>
    <s:mergeCell ref="A9981:E9981"/>
    <s:mergeCell ref="A8501:E8501"/>
    <s:mergeCell ref="A8495:E8495"/>
    <s:mergeCell ref="A3095:E3095"/>
    <s:mergeCell ref="A1010:E1010"/>
    <s:mergeCell ref="A10014:E10014"/>
    <s:mergeCell ref="A794:E794"/>
    <s:mergeCell ref="A1310:E1310"/>
    <s:mergeCell ref="A15614:E15614"/>
    <s:mergeCell ref="A1399:E1399"/>
    <s:mergeCell ref="A17411:E17411"/>
    <s:mergeCell ref="A6426:E6426"/>
    <s:mergeCell ref="A22832:E22832"/>
    <s:mergeCell ref="A10314:E10314"/>
    <s:mergeCell ref="A8229:E8229"/>
    <s:mergeCell ref="A24618:E24618"/>
    <s:mergeCell ref="B1552:E1552"/>
    <s:mergeCell ref="B6973:E6973"/>
    <s:mergeCell ref="A15430:E15430"/>
    <s:mergeCell ref="A6726:E6726"/>
    <s:mergeCell ref="A8529:E8529"/>
    <s:mergeCell ref="A6427:E6427"/>
    <s:mergeCell ref="A22833:E22833"/>
    <s:mergeCell ref="A15641:E15641"/>
    <s:mergeCell ref="A22827:E22827"/>
    <s:mergeCell ref="A29951:E29951"/>
    <s:mergeCell ref="A29945:E29945"/>
    <s:mergeCell ref="A17427:E17427"/>
    <s:mergeCell ref="A15342:E15342"/>
    <s:mergeCell ref="A13645:E13645"/>
    <s:mergeCell ref="B6974:E6974"/>
    <s:mergeCell ref="A28465:E28465"/>
    <s:mergeCell ref="A15947:E15947"/>
    <s:mergeCell ref="A20458:E20458"/>
    <s:mergeCell ref="A30245:E30245"/>
    <s:mergeCell ref="A28160:E28160"/>
    <s:mergeCell ref="A15642:E15642"/>
    <s:mergeCell ref="A13945:E13945"/>
    <s:mergeCell ref="A22760:E22760"/>
    <s:mergeCell ref="A29946:E29946"/>
    <s:mergeCell ref="A6454:E6454"/>
    <s:mergeCell ref="A20758:E20758"/>
    <s:mergeCell ref="A15942:E15942"/>
    <s:mergeCell ref="A13857:E13857"/>
    <s:mergeCell ref="A23060:E23060"/>
    <s:mergeCell ref="A20453:E20453"/>
    <s:mergeCell ref="A20969:E20969"/>
    <s:mergeCell ref="A6754:E6754"/>
    <s:mergeCell ref="A22755:E22755"/>
    <s:mergeCell ref="A21058:E21058"/>
    <s:mergeCell ref="A18973:E18973"/>
    <s:mergeCell ref="A8540:E8540"/>
    <s:mergeCell ref="A6455:E6455"/>
    <s:mergeCell ref="A28176:E28176"/>
    <s:mergeCell ref="A23360:E23360"/>
    <s:mergeCell ref="A20759:E20759"/>
    <s:mergeCell ref="A29973:E29973"/>
    <s:mergeCell ref="A27871:E27871"/>
    <s:mergeCell ref="A28476:E28476"/>
    <s:mergeCell ref="A26391:E26391"/>
    <s:mergeCell ref="A13873:E13873"/>
    <s:mergeCell ref="A11782:E11782"/>
    <s:mergeCell ref="A1349:E1349"/>
    <s:mergeCell ref="A28171:E28171"/>
    <s:mergeCell ref="A26691:E26691"/>
    <s:mergeCell ref="A6465:E6465"/>
    <s:mergeCell ref="A4380:E4380"/>
    <s:mergeCell ref="A12082:E12082"/>
    <s:mergeCell ref="A6682:E6682"/>
    <s:mergeCell ref="A4985:E4985"/>
    <s:mergeCell ref="A2900:E2900"/>
    <s:mergeCell ref="A6377:E6377"/>
    <s:mergeCell ref="B26933:E26933"/>
    <s:mergeCell ref="A4897:E4897"/>
    <s:mergeCell ref="A3200:E3200"/>
    <s:mergeCell ref="A27899:E27899"/>
    <s:mergeCell ref="A4980:E4980"/>
    <s:mergeCell ref="A2895:E2895"/>
    <s:mergeCell ref="A12098:E12098"/>
    <s:mergeCell ref="A26419:E26419"/>
    <s:mergeCell ref="A4681:E4681"/>
    <s:mergeCell ref="A11793:E11793"/>
    <s:mergeCell ref="A28199:E28199"/>
    <s:mergeCell ref="A26114:E26114"/>
    <s:mergeCell ref="A10313:E10313"/>
    <s:mergeCell ref="A26719:E26719"/>
    <s:mergeCell ref="A19228:E19228"/>
    <s:mergeCell ref="A19317:E19317"/>
    <s:mergeCell ref="A10613:E10613"/>
    <s:mergeCell ref="B10555:E10555"/>
    <s:mergeCell ref="A19528:E19528"/>
    <s:mergeCell ref="A26130:E26130"/>
    <s:mergeCell ref="A19223:E19223"/>
    <s:mergeCell ref="A24644:E24644"/>
    <s:mergeCell ref="A12126:E12126"/>
    <s:mergeCell ref="A10041:E10041"/>
    <s:mergeCell ref="A11827:E11827"/>
    <s:mergeCell ref="A11821:E11821"/>
    <s:mergeCell ref="A26125:E26125"/>
    <s:mergeCell ref="A10341:E10341"/>
    <s:mergeCell ref="B3670:E3670"/>
    <s:mergeCell ref="A24645:E24645"/>
    <s:mergeCell ref="A12127:E12127"/>
    <s:mergeCell ref="B10283:E10283"/>
    <s:mergeCell ref="A31763:E31763"/>
    <s:mergeCell ref="A10036:E10036"/>
    <s:mergeCell ref="A19239:E19239"/>
    <s:mergeCell ref="A17154:E17154"/>
    <s:mergeCell ref="A15457:E15457"/>
    <s:mergeCell ref="A2939:E2939"/>
    <s:mergeCell ref="B19786:E19786"/>
    <s:mergeCell ref="A17454:E17454"/>
    <s:mergeCell ref="A15757:E15757"/>
    <s:mergeCell ref="A31758:E31758"/>
    <s:mergeCell ref="A17543:E17543"/>
    <s:mergeCell ref="A15458:E15458"/>
    <s:mergeCell ref="A17754:E17754"/>
    <s:mergeCell ref="A5392:E5392"/>
    <s:mergeCell ref="A22876:E22876"/>
    <s:mergeCell ref="A75:E75"/>
    <s:mergeCell ref="A24656:E24656"/>
    <s:mergeCell ref="A12899:E12899"/>
    <s:mergeCell ref="A22871:E22871"/>
    <s:mergeCell ref="B8509:E8509"/>
    <s:mergeCell ref="A5103:E5103"/>
    <s:mergeCell ref="A22598:E22598"/>
    <s:mergeCell ref="A5403:E5403"/>
    <s:mergeCell ref="A22898:E22898"/>
    <s:mergeCell ref="A30017:E30017"/>
    <s:mergeCell ref="A7216:E7216"/>
    <s:mergeCell ref="A5131:E5131"/>
    <s:mergeCell ref="A3434:E3434"/>
    <s:mergeCell ref="A29712:E29712"/>
    <s:mergeCell ref="A19435:E19435"/>
    <s:mergeCell ref="A3651:E3651"/>
    <s:mergeCell ref="A30317:E30317"/>
    <s:mergeCell ref="A5431:E5431"/>
    <s:mergeCell ref="A12549:E12549"/>
    <s:mergeCell ref="A10553:E10553"/>
    <s:mergeCell ref="A5731:E5731"/>
    <s:mergeCell ref="A12849:E12849"/>
    <s:mergeCell ref="A9067:E9067"/>
    <s:mergeCell ref="A27153:E27153"/>
    <s:mergeCell ref="A10853:E10853"/>
    <s:mergeCell ref="B16555:E16555"/>
    <s:mergeCell ref="A10847:E10847"/>
    <s:mergeCell ref="A8762:E8762"/>
    <s:mergeCell ref="A3362:E3362"/>
    <s:mergeCell ref="A13149:E13149"/>
    <s:mergeCell ref="A10548:E10548"/>
    <s:mergeCell ref="A11064:E11064"/>
    <s:mergeCell ref="A27453:E27453"/>
    <s:mergeCell ref="A25368:E25368"/>
    <s:mergeCell ref="A12850:E12850"/>
    <s:mergeCell ref="A18265:E18265"/>
    <s:mergeCell ref="A1965:E1965"/>
    <s:mergeCell ref="A11364:E11364"/>
    <s:mergeCell ref="A15875:E15875"/>
    <s:mergeCell ref="A3357:E3357"/>
    <s:mergeCell ref="A8778:E8778"/>
    <s:mergeCell ref="A16480:E16480"/>
    <s:mergeCell ref="A3962:E3962"/>
    <s:mergeCell ref="A18266:E18266"/>
    <s:mergeCell ref="A9078:E9078"/>
    <s:mergeCell ref="A16780:E16780"/>
    <s:mergeCell ref="A11075:E11075"/>
    <s:mergeCell ref="A17694:E17694"/>
    <s:mergeCell ref="A25396:E25396"/>
    <s:mergeCell ref="A1887:E1887"/>
    <s:mergeCell ref="A16208:E16208"/>
    <s:mergeCell ref="B2419:E2419"/>
    <s:mergeCell ref="A22810:E22810"/>
    <s:mergeCell ref="A30512:E30512"/>
    <s:mergeCell ref="B7840:E7840"/>
    <s:mergeCell ref="A17994:E17994"/>
    <s:mergeCell ref="A31117:E31117"/>
    <s:mergeCell ref="A2193:E2193"/>
    <s:mergeCell ref="B349:E349"/>
    <s:mergeCell ref="A30207:E30207"/>
    <s:mergeCell ref="A102:E102"/>
    <s:mergeCell ref="A23110:E23110"/>
    <s:mergeCell ref="A30812:E30812"/>
    <s:mergeCell ref="A1888:E1888"/>
    <s:mergeCell ref="A18294:E18294"/>
    <s:mergeCell ref="A16209:E16209"/>
    <s:mergeCell ref="B649:E649"/>
    <s:mergeCell ref="A9106:E9106"/>
    <s:mergeCell ref="A402:E402"/>
    <s:mergeCell ref="A7021:E7021"/>
    <s:mergeCell ref="A25107:E25107"/>
    <s:mergeCell ref="A23410:E23410"/>
    <s:mergeCell ref="A21325:E21325"/>
    <s:mergeCell ref="A23926:E23926"/>
    <s:mergeCell ref="A103:E103"/>
    <s:mergeCell ref="A25712:E25712"/>
    <s:mergeCell ref="A23627:E23627"/>
    <s:mergeCell ref="A23621:E23621"/>
    <s:mergeCell ref="A25407:E25407"/>
    <s:mergeCell ref="B650:E650"/>
    <s:mergeCell ref="A21625:E21625"/>
    <s:mergeCell ref="A30828:E30828"/>
    <s:mergeCell ref="A28743:E28743"/>
    <s:mergeCell ref="A16219:E16219"/>
    <s:mergeCell ref="A14134:E14134"/>
    <s:mergeCell ref="A30523:E30523"/>
    <s:mergeCell ref="A14739:E14739"/>
    <s:mergeCell ref="A2221:E2221"/>
    <s:mergeCell ref="A136:E136"/>
    <s:mergeCell ref="A29043:E29043"/>
    <s:mergeCell ref="A30734:E30734"/>
    <s:mergeCell ref="A113:E113"/>
    <s:mergeCell ref="A6732:E6732"/>
    <s:mergeCell ref="A14434:E14434"/>
    <s:mergeCell ref="A1916:E1916"/>
    <s:mergeCell ref="A23637:E23637"/>
    <s:mergeCell ref="A21552:E21552"/>
    <s:mergeCell ref="A30823:E30823"/>
    <s:mergeCell ref="A28738:E28738"/>
    <s:mergeCell ref="A16220:E16220"/>
    <s:mergeCell ref="A31040:E31040"/>
    <s:mergeCell ref="B660:E660"/>
    <s:mergeCell ref="A7032:E7032"/>
    <s:mergeCell ref="A14734:E14734"/>
    <s:mergeCell ref="A2216:E2216"/>
    <s:mergeCell ref="A131:E131"/>
    <s:mergeCell ref="A21852:E21852"/>
    <s:mergeCell ref="A9334:E9334"/>
    <s:mergeCell ref="A7243:E7243"/>
    <s:mergeCell ref="A21547:E21547"/>
    <s:mergeCell ref="A7332:E7332"/>
    <s:mergeCell ref="A22152:E22152"/>
    <s:mergeCell ref="A20067:E20067"/>
    <s:mergeCell ref="A7543:E7543"/>
    <s:mergeCell ref="A5547:E5547"/>
    <s:mergeCell ref="A12665:E12665"/>
    <s:mergeCell ref="A29071:E29071"/>
    <s:mergeCell ref="A12659:E12659"/>
    <s:mergeCell ref="B22394:E22394"/>
    <s:mergeCell ref="A14445:E14445"/>
    <s:mergeCell ref="A12360:E12360"/>
    <s:mergeCell ref="A12965:E12965"/>
    <s:mergeCell ref="A21880:E21880"/>
    <s:mergeCell ref="A12660:E12660"/>
    <s:mergeCell ref="A19778:E19778"/>
    <s:mergeCell ref="A21575:E21575"/>
    <s:mergeCell ref="A5774:E5774"/>
    <s:mergeCell ref="A20078:E20078"/>
    <s:mergeCell ref="A28993:E28993"/>
    <s:mergeCell ref="B6321:E6321"/>
    <s:mergeCell ref="A12693:E12693"/>
    <s:mergeCell ref="A26997:E26997"/>
    <s:mergeCell ref="A18293:E18293"/>
    <s:mergeCell ref="A27513:E27513"/>
    <s:mergeCell ref="A26991:E26991"/>
    <s:mergeCell ref="A19506:E19506"/>
    <s:mergeCell ref="A29293:E29293"/>
    <s:mergeCell ref="A27208:E27208"/>
    <s:mergeCell ref="A12993:E12993"/>
    <s:mergeCell ref="A28994:E28994"/>
    <s:mergeCell ref="A19806:E19806"/>
    <s:mergeCell ref="A18109:E18109"/>
    <s:mergeCell ref="A5197:E5197"/>
    <s:mergeCell ref="A20411:E20411"/>
    <s:mergeCell ref="A19501:E19501"/>
    <s:mergeCell ref="A20106:E20106"/>
    <s:mergeCell ref="A18021:E18021"/>
    <s:mergeCell ref="A27224:E27224"/>
    <s:mergeCell ref="A5497:E5497"/>
    <s:mergeCell ref="A10918:E10918"/>
    <s:mergeCell ref="A26919:E26919"/>
    <s:mergeCell ref="B20653:E20653"/>
    <s:mergeCell ref="A12704:E12704"/>
    <s:mergeCell ref="A18321:E18321"/>
    <s:mergeCell ref="A27524:E27524"/>
    <s:mergeCell ref="A25439:E25439"/>
    <s:mergeCell ref="A12915:E12915"/>
    <s:mergeCell ref="A553:E553"/>
    <s:mergeCell ref="A27219:E27219"/>
    <s:mergeCell ref="B11166:E11166"/>
    <s:mergeCell ref="A10919:E10919"/>
    <s:mergeCell ref="A25739:E25739"/>
    <s:mergeCell ref="A853:E853"/>
    <s:mergeCell ref="A25434:E25434"/>
    <s:mergeCell ref="A8060:E8060"/>
    <s:mergeCell ref="A7755:E7755"/>
    <s:mergeCell ref="A8360:E8360"/>
    <s:mergeCell ref="A6275:E6275"/>
    <s:mergeCell ref="A8055:E8055"/>
    <s:mergeCell ref="B2490:E2490"/>
    <s:mergeCell ref="B11693:E11693"/>
    <s:mergeCell ref="A30278:E30278"/>
    <s:mergeCell ref="A864:E864"/>
    <s:mergeCell ref="B9908:E9908"/>
    <s:mergeCell ref="A30883:E30883"/>
    <s:mergeCell ref="A18365:E18365"/>
    <s:mergeCell ref="A30578:E30578"/>
    <s:mergeCell ref="A25178:E25178"/>
    <s:mergeCell ref="A13415:E13415"/>
    <s:mergeCell ref="A25478:E25478"/>
    <s:mergeCell ref="A27719:E27719"/>
    <s:mergeCell ref="A15201:E15201"/>
    <s:mergeCell ref="A25173:E25173"/>
    <s:mergeCell ref="A14896:E14896"/>
    <s:mergeCell ref="A13199:E13199"/>
    <s:mergeCell ref="B16805:E16805"/>
    <s:mergeCell ref="A25778:E25778"/>
    <s:mergeCell ref="A25934:E25934"/>
    <s:mergeCell ref="A15501:E15501"/>
    <s:mergeCell ref="A13416:E13416"/>
    <s:mergeCell ref="A11719:E11719"/>
    <s:mergeCell ref="A13111:E13111"/>
    <s:mergeCell ref="A11414:E11414"/>
    <s:mergeCell ref="A20617:E20617"/>
    <s:mergeCell ref="A18532:E18532"/>
    <s:mergeCell ref="A6014:E6014"/>
    <s:mergeCell ref="A13716:E13716"/>
    <s:mergeCell ref="A18227:E18227"/>
    <s:mergeCell ref="A5709:E5709"/>
    <s:mergeCell ref="A6314:E6314"/>
    <s:mergeCell ref="A4229:E4229"/>
    <s:mergeCell ref="A4223:E4223"/>
    <s:mergeCell ref="A6009:E6009"/>
    <s:mergeCell ref="A25645:E25645"/>
    <s:mergeCell ref="A20829:E20829"/>
    <s:mergeCell ref="A19132:E19132"/>
    <s:mergeCell ref="A11647:E11647"/>
    <s:mergeCell ref="A11641:E11641"/>
    <s:mergeCell ref="A25945:E25945"/>
    <s:mergeCell ref="A4239:E4239"/>
    <s:mergeCell ref="A2154:E2154"/>
    <s:mergeCell ref="A26245:E26245"/>
    <s:mergeCell ref="A24160:E24160"/>
    <s:mergeCell ref="A13727:E13727"/>
    <s:mergeCell ref="A11642:E11642"/>
    <s:mergeCell ref="A17063:E17063"/>
    <s:mergeCell ref="A2454:E2454"/>
    <s:mergeCell ref="A18860:E18860"/>
    <s:mergeCell ref="A24460:E24460"/>
    <s:mergeCell ref="A4234:E4234"/>
    <s:mergeCell ref="A2149:E2149"/>
    <s:mergeCell ref="A25673:E25673"/>
    <s:mergeCell ref="A2754:E2754"/>
    <s:mergeCell ref="A4540:E4540"/>
    <s:mergeCell ref="A2455:E2455"/>
    <s:mergeCell ref="A25979:E25979"/>
    <s:mergeCell ref="A9567:E9567"/>
    <s:mergeCell ref="A25973:E25973"/>
    <s:mergeCell ref="A25668:E25668"/>
    <s:mergeCell ref="A18571:E18571"/>
    <s:mergeCell ref="A9867:E9867"/>
    <s:mergeCell ref="A16486:E16486"/>
    <s:mergeCell ref="A26273:E26273"/>
    <s:mergeCell ref="A31306:E31306"/>
    <s:mergeCell ref="A685:E685"/>
    <s:mergeCell ref="A2482:E2482"/>
    <s:mergeCell ref="A31395:E31395"/>
    <s:mergeCell ref="B12111:E12111"/>
    <s:mergeCell ref="A16786:E16786"/>
    <s:mergeCell ref="A8082:E8082"/>
    <s:mergeCell ref="A31606:E31606"/>
    <s:mergeCell ref="A985:E985"/>
    <s:mergeCell ref="A17391:E17391"/>
    <s:mergeCell ref="A2782:E2782"/>
    <s:mergeCell ref="A31301:E31301"/>
    <s:mergeCell ref="A18783:E18783"/>
    <s:mergeCell ref="A17086:E17086"/>
    <s:mergeCell ref="A24204:E24204"/>
    <s:mergeCell ref="A9595:E9595"/>
    <s:mergeCell ref="A7898:E7898"/>
    <s:mergeCell ref="A23899:E23899"/>
    <s:mergeCell ref="A8115:E8115"/>
    <s:mergeCell ref="A24504:E24504"/>
    <s:mergeCell ref="A22419:E22419"/>
    <s:mergeCell ref="A9895:E9895"/>
    <s:mergeCell ref="A7810:E7810"/>
    <s:mergeCell ref="A24199:E24199"/>
    <s:mergeCell ref="A11681:E11681"/>
    <s:mergeCell ref="A9596:E9596"/>
    <s:mergeCell ref="A15017:E15017"/>
    <s:mergeCell ref="B10448:E10448"/>
    <s:mergeCell ref="B10442:E10442"/>
    <s:mergeCell ref="A408:E408"/>
    <s:mergeCell ref="A17313:E17313"/>
    <s:mergeCell ref="A15228:E15228"/>
    <s:mergeCell ref="A22414:E22414"/>
    <s:mergeCell ref="A1013:E1013"/>
    <s:mergeCell ref="A619:E619"/>
    <s:mergeCell ref="A29532:E29532"/>
    <s:mergeCell ref="A31617:E31617"/>
    <s:mergeCell ref="A15317:E15317"/>
    <s:mergeCell ref="A17008:E17008"/>
    <s:mergeCell ref="A708:E708"/>
    <s:mergeCell ref="A22429:E22429"/>
    <s:mergeCell ref="A7826:E7826"/>
    <s:mergeCell ref="A15012:E15012"/>
    <s:mergeCell ref="A15528:E15528"/>
    <s:mergeCell ref="B17555:E17555"/>
    <s:mergeCell ref="A7521:E7521"/>
    <s:mergeCell ref="A22735:E22735"/>
    <s:mergeCell ref="A1008:E1008"/>
    <s:mergeCell ref="A8126:E8126"/>
    <s:mergeCell ref="A6041:E6041"/>
    <s:mergeCell ref="A15312:E15312"/>
    <s:mergeCell ref="A15828:E15828"/>
    <s:mergeCell ref="A22447:E22447"/>
    <s:mergeCell ref="B30379:E30379"/>
    <s:mergeCell ref="A22430:E22430"/>
    <s:mergeCell ref="A7821:E7821"/>
    <s:mergeCell ref="A31345:E31345"/>
    <s:mergeCell ref="B8673:E8673"/>
    <s:mergeCell ref="A6341:E6341"/>
    <s:mergeCell ref="A22730:E22730"/>
    <s:mergeCell ref="A6036:E6036"/>
    <s:mergeCell ref="A15239:E15239"/>
    <s:mergeCell ref="A21858:E21858"/>
    <s:mergeCell ref="A29560:E29560"/>
    <s:mergeCell ref="A31645:E31645"/>
    <s:mergeCell ref="A31340:E31340"/>
    <s:mergeCell ref="A22158:E22158"/>
    <s:mergeCell ref="A13454:E13454"/>
    <s:mergeCell ref="A29860:E29860"/>
    <s:mergeCell ref="A936:E936"/>
    <s:mergeCell ref="A27758:E27758"/>
    <s:mergeCell ref="A8154:E8154"/>
    <s:mergeCell ref="A6069:E6069"/>
    <s:mergeCell ref="A13754:E13754"/>
    <s:mergeCell ref="B1477:E1477"/>
    <s:mergeCell ref="A14967:E14967"/>
    <s:mergeCell ref="A20673:E20673"/>
    <s:mergeCell ref="A29876:E29876"/>
    <s:mergeCell ref="A27791:E27791"/>
    <s:mergeCell ref="A27785:E27785"/>
    <s:mergeCell ref="A15267:E15267"/>
    <s:mergeCell ref="A13182:E13182"/>
    <s:mergeCell ref="A11485:E11485"/>
    <s:mergeCell ref="A29571:E29571"/>
    <s:mergeCell ref="A14962:E14962"/>
    <s:mergeCell ref="A28091:E28091"/>
    <s:mergeCell ref="A5780:E5780"/>
    <s:mergeCell ref="A13482:E13482"/>
    <s:mergeCell ref="A20600:E20600"/>
    <s:mergeCell ref="A29871:E29871"/>
    <s:mergeCell ref="A27786:E27786"/>
    <s:mergeCell ref="A15268:E15268"/>
    <s:mergeCell ref="A22380:E22380"/>
    <s:mergeCell ref="A18598:E18598"/>
    <s:mergeCell ref="A6080:E6080"/>
    <s:mergeCell ref="A13782:E13782"/>
    <s:mergeCell ref="A20900:E20900"/>
    <s:mergeCell ref="A22680:E22680"/>
    <s:mergeCell ref="A20595:E20595"/>
    <s:mergeCell ref="A18898:E18898"/>
    <s:mergeCell ref="A6380:E6380"/>
    <s:mergeCell ref="A20684:E20684"/>
    <s:mergeCell ref="A19115:E19115"/>
    <s:mergeCell ref="A21200:E21200"/>
    <s:mergeCell ref="A1219:E1219"/>
    <s:mergeCell ref="A3521:E3521"/>
    <s:mergeCell ref="A1436:E1436"/>
    <s:mergeCell ref="A26017:E26017"/>
    <s:mergeCell ref="A15740:E15740"/>
    <s:mergeCell ref="A3216:E3216"/>
    <s:mergeCell ref="A1131:E1131"/>
    <s:mergeCell ref="A1736:E1736"/>
    <s:mergeCell ref="A16040:E16040"/>
    <s:mergeCell ref="A16034:E16034"/>
    <s:mergeCell ref="A13949:E13949"/>
    <s:mergeCell ref="A1431:E1431"/>
    <s:mergeCell ref="A6852:E6852"/>
    <s:mergeCell ref="B10558:E10558"/>
    <s:mergeCell ref="A7152:E7152"/>
    <s:mergeCell ref="A5067:E5067"/>
    <s:mergeCell ref="A28130:E28130"/>
    <s:mergeCell ref="A26045:E26045"/>
    <s:mergeCell ref="A26039:E26039"/>
    <s:mergeCell ref="A31161:E31161"/>
    <s:mergeCell ref="A23180:E23180"/>
    <s:mergeCell ref="A21095:E21095"/>
    <s:mergeCell ref="A31461:E31461"/>
    <s:mergeCell ref="A6581:E6581"/>
    <s:mergeCell ref="A19399:E19399"/>
    <s:mergeCell ref="A21090:E21090"/>
    <s:mergeCell ref="A6875:E6875"/>
    <s:mergeCell ref="A28297:E28297"/>
    <s:mergeCell ref="A21396:E21396"/>
    <s:mergeCell ref="A14293:E14293"/>
    <s:mergeCell ref="A12208:E12208"/>
    <s:mergeCell ref="A28597:E28597"/>
    <s:mergeCell ref="A26512:E26512"/>
    <s:mergeCell ref="A13988:E13988"/>
    <s:mergeCell ref="A12508:E12508"/>
    <s:mergeCell ref="A6586:E6586"/>
    <s:mergeCell ref="A4501:E4501"/>
    <s:mergeCell ref="A21406:E21406"/>
    <s:mergeCell ref="A19321:E19321"/>
    <s:mergeCell ref="A6803:E6803"/>
    <s:mergeCell ref="A5106:E5106"/>
    <s:mergeCell ref="A3021:E3021"/>
    <s:mergeCell ref="A7408:E7408"/>
    <s:mergeCell ref="A14021:E14021"/>
    <s:mergeCell ref="A5317:E5317"/>
    <s:mergeCell ref="A11919:E11919"/>
    <s:mergeCell ref="B5653:E5653"/>
    <s:mergeCell ref="A19621:E19621"/>
    <s:mergeCell ref="A7103:E7103"/>
    <s:mergeCell ref="A3321:E3321"/>
    <s:mergeCell ref="A12524:E12524"/>
    <s:mergeCell ref="A10439:E10439"/>
    <s:mergeCell ref="A10433:E10433"/>
    <s:mergeCell ref="B5864:E5864"/>
    <s:mergeCell ref="A3016:E3016"/>
    <s:mergeCell ref="A12219:E12219"/>
    <s:mergeCell ref="A19921:E19921"/>
    <s:mergeCell ref="A26540:E26540"/>
    <s:mergeCell ref="A5318:E5318"/>
    <s:mergeCell ref="A10739:E10739"/>
    <s:mergeCell ref="A12519:E12519"/>
    <s:mergeCell ref="A10434:E10434"/>
    <s:mergeCell ref="B5865:E5865"/>
    <s:mergeCell ref="A3337:E3337"/>
    <s:mergeCell ref="A19349:E19349"/>
    <s:mergeCell ref="A19954:E19954"/>
    <s:mergeCell ref="A10734:E10734"/>
    <s:mergeCell ref="A11947:E11947"/>
    <s:mergeCell ref="A3243:E3243"/>
    <s:mergeCell ref="A19649:E19649"/>
    <s:mergeCell ref="A26251:E26251"/>
    <s:mergeCell ref="A26767:E26767"/>
    <s:mergeCell ref="A26856:E26856"/>
    <s:mergeCell ref="A24771:E24771"/>
    <s:mergeCell ref="A12253:E12253"/>
    <s:mergeCell ref="B3790:E3790"/>
    <s:mergeCell ref="A24765:E24765"/>
    <s:mergeCell ref="A12247:E12247"/>
    <s:mergeCell ref="A10162:E10162"/>
    <s:mergeCell ref="A26551:E26551"/>
    <s:mergeCell ref="A24982:E24982"/>
    <s:mergeCell ref="A10767:E10767"/>
    <s:mergeCell ref="A26762:E26762"/>
    <s:mergeCell ref="A10462:E10462"/>
    <s:mergeCell ref="A30098:E30098"/>
    <s:mergeCell ref="A19665:E19665"/>
    <s:mergeCell ref="A17580:E17580"/>
    <s:mergeCell ref="A24766:E24766"/>
    <s:mergeCell ref="A2971:E2971"/>
    <s:mergeCell ref="A17669:E17669"/>
    <s:mergeCell ref="A19360:E19360"/>
    <s:mergeCell ref="A24781:E24781"/>
    <s:mergeCell ref="A17880:E17880"/>
    <s:mergeCell ref="A3271:E3271"/>
    <s:mergeCell ref="A17575:E17575"/>
    <s:mergeCell ref="A24693:E24693"/>
    <s:mergeCell ref="A22996:E22996"/>
    <s:mergeCell ref="A10478:E10478"/>
    <s:mergeCell ref="A18180:E18180"/>
    <s:mergeCell ref="A10173:E10173"/>
    <s:mergeCell ref="A3272:E3272"/>
    <s:mergeCell ref="A24993:E24993"/>
    <s:mergeCell ref="A8693:E8693"/>
    <s:mergeCell ref="A10384:E10384"/>
    <s:mergeCell ref="A22997:E22997"/>
    <s:mergeCell ref="A3287:E3287"/>
    <s:mergeCell ref="A1202:E1202"/>
    <s:mergeCell ref="A10473:E10473"/>
    <s:mergeCell ref="A8388:E8388"/>
    <s:mergeCell ref="A8904:E8904"/>
    <s:mergeCell ref="A25293:E25293"/>
    <s:mergeCell ref="A23208:E23208"/>
    <s:mergeCell ref="A1291:E1291"/>
    <s:mergeCell ref="A16111:E16111"/>
    <s:mergeCell ref="A16105:E16105"/>
    <s:mergeCell ref="A1502:E1502"/>
    <s:mergeCell ref="A15806:E15806"/>
    <s:mergeCell ref="A23508:E23508"/>
    <s:mergeCell ref="A1591:E1591"/>
    <s:mergeCell ref="B11231:E11231"/>
    <s:mergeCell ref="A3282:E3282"/>
    <s:mergeCell ref="A6618:E6618"/>
    <s:mergeCell ref="B2049:E2049"/>
    <s:mergeCell ref="A16106:E16106"/>
    <s:mergeCell ref="A8615:E8615"/>
    <s:mergeCell ref="A6918:E6918"/>
    <s:mergeCell ref="B2349:E2349"/>
    <s:mergeCell ref="A30137:E30137"/>
    <s:mergeCell ref="A17619:E17619"/>
    <s:mergeCell ref="A8915:E8915"/>
    <s:mergeCell ref="A6919:E6919"/>
    <s:mergeCell ref="A30443:E30443"/>
    <s:mergeCell ref="A30437:E30437"/>
    <s:mergeCell ref="A28352:E28352"/>
    <s:mergeCell ref="A15834:E15834"/>
    <s:mergeCell ref="A30138:E30138"/>
    <s:mergeCell ref="B7466:E7466"/>
    <s:mergeCell ref="A30132:E30132"/>
    <s:mergeCell ref="B30984:E30984"/>
    <s:mergeCell ref="A16134:E16134"/>
    <s:mergeCell ref="A14049:E14049"/>
    <s:mergeCell ref="A23252:E23252"/>
    <s:mergeCell ref="A30438:E30438"/>
    <s:mergeCell ref="A6946:E6946"/>
    <s:mergeCell ref="A22947:E22947"/>
    <s:mergeCell ref="A21250:E21250"/>
    <s:mergeCell ref="A19165:E19165"/>
    <s:mergeCell ref="A23552:E23552"/>
    <s:mergeCell ref="A21467:E21467"/>
    <s:mergeCell ref="A26583:E26583"/>
    <s:mergeCell ref="A14065:E14065"/>
    <s:mergeCell ref="A14059:E14059"/>
    <s:mergeCell ref="A1541:E1541"/>
    <s:mergeCell ref="A28363:E28363"/>
    <s:mergeCell ref="A13760:E13760"/>
    <s:mergeCell ref="A21462:E21462"/>
    <s:mergeCell ref="A26883:E26883"/>
    <s:mergeCell ref="A28574:E28574"/>
    <s:mergeCell ref="A1997:E1997"/>
    <s:mergeCell ref="A28663:E28663"/>
    <s:mergeCell ref="A26578:E26578"/>
    <s:mergeCell ref="A14060:E14060"/>
    <s:mergeCell ref="A19481:E19481"/>
    <s:mergeCell ref="A28364:E28364"/>
    <s:mergeCell ref="A28880:E28880"/>
    <s:mergeCell ref="A9504:E9504"/>
    <s:mergeCell ref="A23414:E23414"/>
    <s:mergeCell ref="A2013:E2013"/>
    <s:mergeCell ref="A11501:E11501"/>
    <s:mergeCell ref="A9416:E9416"/>
    <s:mergeCell ref="A9410:E9410"/>
    <s:mergeCell ref="B21720:E21720"/>
    <s:mergeCell ref="A2313:E2313"/>
    <s:mergeCell ref="A228:E228"/>
    <s:mergeCell ref="A2008:E2008"/>
    <s:mergeCell ref="B27441:E27441"/>
    <s:mergeCell ref="A528:E528"/>
    <s:mergeCell ref="A2314:E2314"/>
    <s:mergeCell ref="A223:E223"/>
    <s:mergeCell ref="A26622:E26622"/>
    <s:mergeCell ref="A26922:E26922"/>
    <s:mergeCell ref="A14560:E14560"/>
    <s:mergeCell ref="A2042:E2042"/>
    <s:mergeCell ref="A2036:E2036"/>
    <s:mergeCell ref="A7642:E7642"/>
    <s:mergeCell ref="A14255:E14255"/>
    <s:mergeCell ref="A257:E257"/>
    <s:mergeCell ref="A7369:E7369"/>
    <s:mergeCell ref="B25684:E25684"/>
    <s:mergeCell ref="A23758:E23758"/>
    <s:mergeCell ref="A21673:E21673"/>
    <s:mergeCell ref="A29375:E29375"/>
    <s:mergeCell ref="A7458:E7458"/>
    <s:mergeCell ref="A5373:E5373"/>
    <s:mergeCell ref="A15160:E15160"/>
    <s:mergeCell ref="A22278:E22278"/>
    <s:mergeCell ref="A9760:E9760"/>
    <s:mergeCell ref="A7669:E7669"/>
    <s:mergeCell ref="A21973:E21973"/>
    <s:mergeCell ref="A9455:E9455"/>
    <s:mergeCell ref="A5673:E5673"/>
    <s:mergeCell ref="A7364:E7364"/>
    <s:mergeCell ref="A12785:E12785"/>
    <s:mergeCell ref="A267:E267"/>
    <s:mergeCell ref="A22273:E22273"/>
    <s:mergeCell ref="A20188:E20188"/>
    <s:mergeCell ref="A9755:E9755"/>
    <s:mergeCell ref="A7670:E7670"/>
    <s:mergeCell ref="A13091:E13091"/>
    <s:mergeCell ref="A29086:E29086"/>
    <s:mergeCell ref="A14871:E14871"/>
    <s:mergeCell ref="A12786:E12786"/>
    <s:mergeCell ref="A262:E262"/>
    <s:mergeCell ref="A15082:E15082"/>
    <s:mergeCell ref="A12997:E12997"/>
    <s:mergeCell ref="A21701:E21701"/>
    <s:mergeCell ref="A5900:E5900"/>
    <s:mergeCell ref="A13086:E13086"/>
    <s:mergeCell ref="A20204:E20204"/>
    <s:mergeCell ref="A20198:E20198"/>
    <s:mergeCell ref="A5595:E5595"/>
    <s:mergeCell ref="A29119:E29119"/>
    <s:mergeCell ref="A19899:E19899"/>
    <s:mergeCell ref="A6200:E6200"/>
    <s:mergeCell ref="A4115:E4115"/>
    <s:mergeCell ref="A20504:E20504"/>
    <s:mergeCell ref="B6142:E6142"/>
    <s:mergeCell ref="A27117:E27117"/>
    <s:mergeCell ref="A5895:E5895"/>
    <s:mergeCell ref="A22301:E22301"/>
    <s:mergeCell ref="A29419:E29419"/>
    <s:mergeCell ref="A27334:E27334"/>
    <s:mergeCell ref="A12708:E12708"/>
    <s:mergeCell ref="A29114:E29114"/>
    <s:mergeCell ref="A27417:E27417"/>
    <s:mergeCell ref="A6195:E6195"/>
    <s:mergeCell ref="A4110:E4110"/>
    <s:mergeCell ref="A27634:E27634"/>
    <s:mergeCell ref="A5323:E5323"/>
    <s:mergeCell ref="A29414:E29414"/>
    <s:mergeCell ref="A27329:E27329"/>
    <s:mergeCell ref="B13860:E13860"/>
    <s:mergeCell ref="A20232:E20232"/>
    <s:mergeCell ref="A5623:E5623"/>
    <s:mergeCell ref="B13555:E13555"/>
    <s:mergeCell ref="A19927:E19927"/>
    <s:mergeCell ref="A4126:E4126"/>
    <s:mergeCell ref="A2035:E2035"/>
    <s:mergeCell ref="A5923:E5923"/>
    <s:mergeCell ref="A25559:E25559"/>
    <s:mergeCell ref="A20227:E20227"/>
    <s:mergeCell ref="A27345:E27345"/>
    <s:mergeCell ref="A4426:E4426"/>
    <s:mergeCell ref="A11045:E11045"/>
    <s:mergeCell ref="A12736:E12736"/>
    <s:mergeCell ref="A11039:E11039"/>
    <s:mergeCell ref="A27040:E27040"/>
    <s:mergeCell ref="A25859:E25859"/>
    <s:mergeCell ref="A13341:E13341"/>
    <s:mergeCell ref="A11256:E11256"/>
    <s:mergeCell ref="A27645:E27645"/>
    <s:mergeCell ref="A25560:E25560"/>
    <s:mergeCell ref="A25554:E25554"/>
    <s:mergeCell ref="A13036:E13036"/>
    <s:mergeCell ref="A18457:E18457"/>
    <s:mergeCell ref="A16372:E16372"/>
    <s:mergeCell ref="A11556:E11556"/>
    <s:mergeCell ref="A18158:E18158"/>
    <s:mergeCell ref="A25860:E25860"/>
    <s:mergeCell ref="A5634:E5634"/>
    <s:mergeCell ref="A3549:E3549"/>
    <s:mergeCell ref="B27887:E27887"/>
    <s:mergeCell ref="A20454:E20454"/>
    <s:mergeCell ref="A18369:E18369"/>
    <s:mergeCell ref="A16672:E16672"/>
    <s:mergeCell ref="A4154:E4154"/>
    <s:mergeCell ref="A2069:E2069"/>
    <s:mergeCell ref="A18458:E18458"/>
    <s:mergeCell ref="A16367:E16367"/>
    <s:mergeCell ref="A3849:E3849"/>
    <s:mergeCell ref="A9270:E9270"/>
    <s:mergeCell ref="A7185:E7185"/>
    <s:mergeCell ref="A18669:E18669"/>
    <s:mergeCell ref="B26102:E26102"/>
    <s:mergeCell ref="A11572:E11572"/>
    <s:mergeCell ref="A9487:E9487"/>
    <s:mergeCell ref="A9481:E9481"/>
    <s:mergeCell ref="A2064:E2064"/>
    <s:mergeCell ref="A23785:E23785"/>
    <s:mergeCell ref="A11267:E11267"/>
    <s:mergeCell ref="A18969:E18969"/>
    <s:mergeCell ref="A9271:E9271"/>
    <s:mergeCell ref="A9781:E9781"/>
    <s:mergeCell ref="A16383:E16383"/>
    <s:mergeCell ref="A24085:E24085"/>
    <s:mergeCell ref="A30704:E30704"/>
    <s:mergeCell ref="A11567:E11567"/>
    <s:mergeCell ref="A9482:E9482"/>
    <s:mergeCell ref="A23786:E23786"/>
    <s:mergeCell ref="A2385:E2385"/>
    <s:mergeCell ref="B12114:E12114"/>
    <s:mergeCell ref="A31004:E31004"/>
    <s:mergeCell ref="A2080:E2080"/>
    <s:mergeCell ref="A15203:E15203"/>
    <s:mergeCell ref="A13118:E13118"/>
    <s:mergeCell ref="A23513:E23513"/>
    <s:mergeCell ref="B17230:E17230"/>
    <s:mergeCell ref="A25299:E25299"/>
    <s:mergeCell ref="A2380:E2380"/>
    <s:mergeCell ref="A25904:E25904"/>
    <s:mergeCell ref="A23819:E23819"/>
    <s:mergeCell ref="A23813:E23813"/>
    <s:mergeCell ref="A25599:E25599"/>
    <s:mergeCell ref="B17231:E17231"/>
    <s:mergeCell ref="B7954:E7954"/>
    <s:mergeCell ref="A16411:E16411"/>
    <s:mergeCell ref="A14326:E14326"/>
    <s:mergeCell ref="A30715:E30715"/>
    <s:mergeCell ref="A31231:E31231"/>
    <s:mergeCell ref="A25899:E25899"/>
    <s:mergeCell ref="A23814:E23814"/>
    <s:mergeCell ref="A30926:E30926"/>
    <s:mergeCell ref="A29229:E29229"/>
    <s:mergeCell ref="A14626:E14626"/>
    <s:mergeCell ref="A31015:E31015"/>
    <s:mergeCell ref="A28930:E28930"/>
    <s:mergeCell ref="A29446:E29446"/>
    <s:mergeCell ref="A31232:E31232"/>
    <s:mergeCell ref="A31226:E31226"/>
    <s:mergeCell ref="A14926:E14926"/>
    <s:mergeCell ref="A22044:E22044"/>
    <s:mergeCell ref="A29230:E29230"/>
    <s:mergeCell ref="A23824:E23824"/>
    <s:mergeCell ref="A21739:E21739"/>
    <s:mergeCell ref="A9221:E9221"/>
    <s:mergeCell ref="A22344:E22344"/>
    <s:mergeCell ref="A20259:E20259"/>
    <s:mergeCell ref="A9826:E9826"/>
    <s:mergeCell ref="A7741:E7741"/>
    <s:mergeCell ref="A9982:E9982"/>
    <s:mergeCell ref="A22039:E22039"/>
    <s:mergeCell ref="A9521:E9521"/>
    <s:mergeCell ref="A7436:E7436"/>
    <s:mergeCell ref="A22339:E22339"/>
    <s:mergeCell ref="A4360:E4360"/>
    <s:mergeCell ref="A2275:E2275"/>
    <s:mergeCell ref="A7736:E7736"/>
    <s:mergeCell ref="A4577:E4577"/>
    <s:mergeCell ref="A2880:E2880"/>
    <s:mergeCell ref="B15700:E15700"/>
    <s:mergeCell ref="A2575:E2575"/>
    <s:mergeCell ref="A9693:E9693"/>
    <s:mergeCell ref="B13310:E13310"/>
    <s:mergeCell ref="A4877:E4877"/>
    <s:mergeCell ref="A3180:E3180"/>
    <s:mergeCell ref="A1095:E1095"/>
    <s:mergeCell ref="A4871:E4871"/>
    <s:mergeCell ref="A2875:E2875"/>
    <s:mergeCell ref="A790:E790"/>
    <s:mergeCell ref="A9993:E9993"/>
    <s:mergeCell ref="A5177:E5177"/>
    <s:mergeCell ref="A3092:E3092"/>
    <s:mergeCell ref="A29185:E29185"/>
    <s:mergeCell ref="A9688:E9688"/>
    <s:mergeCell ref="A8208:E8208"/>
    <s:mergeCell ref="A29485:E29485"/>
    <s:mergeCell ref="A27400:E27400"/>
    <s:mergeCell ref="A29180:E29180"/>
    <s:mergeCell ref="B6508:E6508"/>
    <s:mergeCell ref="A9721:E9721"/>
    <s:mergeCell ref="A22539:E22539"/>
    <s:mergeCell ref="A10021:E10021"/>
    <s:mergeCell ref="A9716:E9716"/>
    <s:mergeCell ref="A24536:E24536"/>
    <s:mergeCell ref="A2619:E2619"/>
    <s:mergeCell ref="A10321:E10321"/>
    <s:mergeCell ref="A8236:E8236"/>
    <s:mergeCell ref="A22540:E22540"/>
    <s:mergeCell ref="A7931:E7931"/>
    <s:mergeCell ref="A17134:E17134"/>
    <s:mergeCell ref="A15437:E15437"/>
    <s:mergeCell ref="A834:E834"/>
    <s:mergeCell ref="A15654:E15654"/>
    <s:mergeCell ref="A29958:E29958"/>
    <s:mergeCell ref="A29952:E29952"/>
    <s:mergeCell ref="A17434:E17434"/>
    <s:mergeCell ref="A15349:E15349"/>
    <s:mergeCell ref="A1134:E1134"/>
    <s:mergeCell ref="A31738:E31738"/>
    <s:mergeCell ref="A15954:E15954"/>
    <s:mergeCell ref="A15649:E15649"/>
    <s:mergeCell ref="A21070:E21070"/>
    <s:mergeCell ref="A29953:E29953"/>
    <s:mergeCell ref="A8552:E8552"/>
    <s:mergeCell ref="A8158:E8158"/>
    <s:mergeCell ref="A6461:E6461"/>
    <s:mergeCell ref="A22856:E22856"/>
    <s:mergeCell ref="A24547:E24547"/>
    <s:mergeCell ref="B1875:E1875"/>
    <s:mergeCell ref="A8247:E8247"/>
    <s:mergeCell ref="A15949:E15949"/>
    <s:mergeCell ref="B23314:E23314"/>
    <s:mergeCell ref="A22551:E22551"/>
    <s:mergeCell ref="A8458:E8458"/>
    <s:mergeCell ref="A1361:E1361"/>
    <s:mergeCell ref="A8547:E8547"/>
    <s:mergeCell ref="A6462:E6462"/>
    <s:mergeCell ref="A13580:E13580"/>
    <s:mergeCell ref="A22851:E22851"/>
    <s:mergeCell ref="A1056:E1056"/>
    <s:mergeCell ref="A13880:E13880"/>
    <s:mergeCell ref="A13874:E13874"/>
    <s:mergeCell ref="A20493:E20493"/>
    <s:mergeCell ref="A28184:E28184"/>
    <s:mergeCell ref="B26945:E26945"/>
    <s:mergeCell ref="A4992:E4992"/>
    <s:mergeCell ref="B423:E423"/>
    <s:mergeCell ref="A6778:E6778"/>
    <s:mergeCell ref="A15088:E15088"/>
    <s:mergeCell ref="A28211:E28211"/>
    <s:mergeCell ref="A26126:E26126"/>
    <s:mergeCell ref="A13608:E13608"/>
    <s:mergeCell ref="A29997:E29997"/>
    <s:mergeCell ref="B9016:E9016"/>
    <s:mergeCell ref="A27906:E27906"/>
    <s:mergeCell ref="A15388:E15388"/>
    <s:mergeCell ref="A13908:E13908"/>
    <s:mergeCell ref="A11806:E11806"/>
    <s:mergeCell ref="A18935:E18935"/>
    <s:mergeCell ref="A13603:E13603"/>
    <s:mergeCell ref="A22806:E22806"/>
    <s:mergeCell ref="A19024:E19024"/>
    <s:mergeCell ref="B5235:E5235"/>
    <s:mergeCell ref="A6506:E6506"/>
    <s:mergeCell ref="A4415:E4415"/>
    <s:mergeCell ref="A18719:E18719"/>
    <s:mergeCell ref="A13903:E13903"/>
    <s:mergeCell ref="A21021:E21021"/>
    <s:mergeCell ref="A19324:E19324"/>
    <s:mergeCell ref="A19019:E19019"/>
    <s:mergeCell ref="A26137:E26137"/>
    <s:mergeCell ref="A21321:E21321"/>
    <s:mergeCell ref="A19236:E19236"/>
    <s:mergeCell ref="A26742:E26742"/>
    <s:mergeCell ref="A12133:E12133"/>
    <s:mergeCell ref="A28134:E28134"/>
    <s:mergeCell ref="A24352:E24352"/>
    <s:mergeCell ref="A11828:E11828"/>
    <s:mergeCell ref="A2646:E2646"/>
    <s:mergeCell ref="B14466:E14466"/>
    <s:mergeCell ref="A24652:E24652"/>
    <s:mergeCell ref="A2341:E2341"/>
    <s:mergeCell ref="A19252:E19252"/>
    <s:mergeCell ref="A19246:E19246"/>
    <s:mergeCell ref="A17161:E17161"/>
    <s:mergeCell ref="A6728:E6728"/>
    <s:mergeCell ref="A4643:E4643"/>
    <s:mergeCell ref="A2946:E2946"/>
    <s:mergeCell ref="A861:E861"/>
    <s:mergeCell ref="B19582:E19582"/>
    <s:mergeCell ref="A18947:E18947"/>
    <s:mergeCell ref="A4732:E4732"/>
    <s:mergeCell ref="A2641:E2641"/>
    <s:mergeCell ref="B19793:E19793"/>
    <s:mergeCell ref="A9759:E9759"/>
    <s:mergeCell ref="A26165:E26165"/>
    <s:mergeCell ref="A17461:E17461"/>
    <s:mergeCell ref="A4943:E4943"/>
    <s:mergeCell ref="A31765:E31765"/>
    <s:mergeCell ref="A10364:E10364"/>
    <s:mergeCell ref="A19247:E19247"/>
    <s:mergeCell ref="A24668:E24668"/>
    <s:mergeCell ref="A2941:E2941"/>
    <s:mergeCell ref="A11756:E11756"/>
    <s:mergeCell ref="A10059:E10059"/>
    <s:mergeCell ref="A26465:E26465"/>
    <s:mergeCell ref="A3158:E3158"/>
    <s:mergeCell ref="B19794:E19794"/>
    <s:mergeCell ref="A10359:E10359"/>
    <s:mergeCell ref="A10060:E10060"/>
    <s:mergeCell ref="A19274:E19274"/>
    <s:mergeCell ref="B8516:E8516"/>
    <s:mergeCell ref="A9787:E9787"/>
    <s:mergeCell ref="B17719:E17719"/>
    <s:mergeCell ref="A26176:E26176"/>
    <s:mergeCell ref="A24091:E24091"/>
    <s:mergeCell ref="A24696:E24696"/>
    <s:mergeCell ref="B30543:E30543"/>
    <s:mergeCell ref="A10087:E10087"/>
    <s:mergeCell ref="A8002:E8002"/>
    <s:mergeCell ref="A24391:E24391"/>
    <s:mergeCell ref="A22911:E22911"/>
    <s:mergeCell ref="A24602:E24602"/>
    <s:mergeCell ref="B1930:E1930"/>
    <s:mergeCell ref="A30023:E30023"/>
    <s:mergeCell ref="A17505:E17505"/>
    <s:mergeCell ref="A24691:E24691"/>
    <s:mergeCell ref="A22606:E22606"/>
    <s:mergeCell ref="A17200:E17200"/>
    <s:mergeCell ref="A31504:E31504"/>
    <s:mergeCell ref="A15720:E15720"/>
    <s:mergeCell ref="A5443:E5443"/>
    <s:mergeCell ref="A30024:E30024"/>
    <s:mergeCell ref="A17506:E17506"/>
    <s:mergeCell ref="A17500:E17500"/>
    <s:mergeCell ref="A5138:E5138"/>
    <s:mergeCell ref="A29719:E29719"/>
    <s:mergeCell ref="A16020:E16020"/>
    <s:mergeCell ref="A5743:E5743"/>
    <s:mergeCell ref="A22622:E22622"/>
    <s:mergeCell ref="A12345:E12345"/>
    <s:mergeCell ref="A5438:E5438"/>
    <s:mergeCell ref="A22317:E22317"/>
    <s:mergeCell ref="A12040:E12040"/>
    <s:mergeCell ref="A10859:E10859"/>
    <s:mergeCell ref="A22922:E22922"/>
    <s:mergeCell ref="A12645:E12645"/>
    <s:mergeCell ref="A10560:E10560"/>
    <s:mergeCell ref="A22617:E22617"/>
    <s:mergeCell ref="A29752:E29752"/>
    <s:mergeCell ref="A12340:E12340"/>
    <s:mergeCell ref="A24919:E24919"/>
    <s:mergeCell ref="A10860:E10860"/>
    <s:mergeCell ref="A30052:E30052"/>
    <s:mergeCell ref="A5454:E5454"/>
    <s:mergeCell ref="A3369:E3369"/>
    <s:mergeCell ref="A25375:E25375"/>
    <s:mergeCell ref="A12857:E12857"/>
    <s:mergeCell ref="B28497:E28497"/>
    <s:mergeCell ref="A20058:E20058"/>
    <s:mergeCell ref="A17973:E17973"/>
    <s:mergeCell ref="A3969:E3969"/>
    <s:mergeCell ref="A18273:E18273"/>
    <s:mergeCell ref="A29763:E29763"/>
    <s:mergeCell ref="A18000:E18000"/>
    <s:mergeCell ref="A3397:E3397"/>
    <s:mergeCell ref="A17701:E17701"/>
    <s:mergeCell ref="A3697:E3697"/>
    <s:mergeCell ref="A1595:E1595"/>
    <s:mergeCell ref="A18001:E18001"/>
    <s:mergeCell ref="A25119:E25119"/>
    <s:mergeCell ref="A3392:E3392"/>
    <s:mergeCell ref="A10510:E10510"/>
    <s:mergeCell ref="A8813:E8813"/>
    <s:mergeCell ref="A1895:E1895"/>
    <s:mergeCell ref="A18301:E18301"/>
    <s:mergeCell ref="A25419:E25419"/>
    <s:mergeCell ref="B662:E662"/>
    <s:mergeCell ref="A25114:E25114"/>
    <s:mergeCell ref="A9330:E9330"/>
    <s:mergeCell ref="A8808:E8808"/>
    <s:mergeCell ref="A25719:E25719"/>
    <s:mergeCell ref="A23634:E23634"/>
    <s:mergeCell ref="A3408:E3408"/>
    <s:mergeCell ref="A14446:E14446"/>
    <s:mergeCell ref="B657:E657"/>
    <s:mergeCell ref="A1928:E1928"/>
    <s:mergeCell ref="A16232:E16232"/>
    <s:mergeCell ref="A17923:E17923"/>
    <s:mergeCell ref="B1870:E1870"/>
    <s:mergeCell ref="A14141:E14141"/>
    <s:mergeCell ref="A16226:E16226"/>
    <s:mergeCell ref="A8741:E8741"/>
    <s:mergeCell ref="A15927:E15927"/>
    <s:mergeCell ref="A1923:E1923"/>
    <s:mergeCell ref="A7344:E7344"/>
    <s:mergeCell ref="A16227:E16227"/>
    <s:mergeCell ref="A7045:E7045"/>
    <s:mergeCell ref="A8736:E8736"/>
    <s:mergeCell ref="A2223:E2223"/>
    <s:mergeCell ref="A14157:E14157"/>
    <s:mergeCell ref="A9341:E9341"/>
    <s:mergeCell ref="A7256:E7256"/>
    <s:mergeCell ref="A5559:E5559"/>
    <s:mergeCell ref="A23645:E23645"/>
    <s:mergeCell ref="A30258:E30258"/>
    <s:mergeCell ref="A153:E153"/>
    <s:mergeCell ref="A14457:E14457"/>
    <s:mergeCell ref="A12372:E12372"/>
    <s:mergeCell ref="A28778:E28778"/>
    <s:mergeCell ref="A16260:E16260"/>
    <s:mergeCell ref="A28473:E28473"/>
    <s:mergeCell ref="A23073:E23073"/>
    <s:mergeCell ref="A154:E154"/>
    <s:mergeCell ref="A14458:E14458"/>
    <s:mergeCell ref="A21587:E21587"/>
    <s:mergeCell ref="A23373:E23373"/>
    <s:mergeCell ref="A21676:E21676"/>
    <s:mergeCell ref="A23673:E23673"/>
    <s:mergeCell ref="A21588:E21588"/>
    <s:mergeCell ref="A28700:E28700"/>
    <s:mergeCell ref="A14485:E14485"/>
    <s:mergeCell ref="A12400:E12400"/>
    <s:mergeCell ref="A28789:E28789"/>
    <s:mergeCell ref="A26704:E26704"/>
    <s:mergeCell ref="A7567:E7567"/>
    <s:mergeCell ref="A5482:E5482"/>
    <s:mergeCell ref="A31091:E31091"/>
    <s:mergeCell ref="A29006:E29006"/>
    <s:mergeCell ref="A29000:E29000"/>
    <s:mergeCell ref="A30786:E30786"/>
    <s:mergeCell ref="A7294:E7294"/>
    <s:mergeCell ref="A5209:E5209"/>
    <s:mergeCell ref="A21598:E21598"/>
    <s:mergeCell ref="A19513:E19513"/>
    <s:mergeCell ref="A29300:E29300"/>
    <s:mergeCell ref="A6995:E6995"/>
    <s:mergeCell ref="A5298:E5298"/>
    <s:mergeCell ref="A29001:E29001"/>
    <s:mergeCell ref="A6690:E6690"/>
    <s:mergeCell ref="A5509:E5509"/>
    <s:mergeCell ref="A19813:E19813"/>
    <s:mergeCell ref="A7295:E7295"/>
    <s:mergeCell ref="A3513:E3513"/>
    <s:mergeCell ref="A21599:E21599"/>
    <s:mergeCell ref="A20418:E20418"/>
    <s:mergeCell ref="B20360:E20360"/>
    <s:mergeCell ref="A12411:E12411"/>
    <s:mergeCell ref="A20113:E20113"/>
    <s:mergeCell ref="A7595:E7595"/>
    <s:mergeCell ref="A5510:E5510"/>
    <s:mergeCell ref="A12622:E12622"/>
    <s:mergeCell ref="A29011:E29011"/>
    <s:mergeCell ref="A26926:E26926"/>
    <s:mergeCell ref="A12711:E12711"/>
    <s:mergeCell ref="A15013:E15013"/>
    <s:mergeCell ref="A12928:E12928"/>
    <s:mergeCell ref="A21626:E21626"/>
    <s:mergeCell ref="A12922:E12922"/>
    <s:mergeCell ref="A19541:E19541"/>
    <s:mergeCell ref="B11173:E11173"/>
    <s:mergeCell ref="A12623:E12623"/>
    <s:mergeCell ref="A10926:E10926"/>
    <s:mergeCell ref="A5520:E5520"/>
    <s:mergeCell ref="A19824:E19824"/>
    <s:mergeCell ref="A17739:E17739"/>
    <s:mergeCell ref="B11473:E11473"/>
    <s:mergeCell ref="A18344:E18344"/>
    <s:mergeCell ref="A24957:E24957"/>
    <s:mergeCell ref="B20371:E20371"/>
    <s:mergeCell ref="A5521:E5521"/>
    <s:mergeCell ref="A26954:E26954"/>
    <s:mergeCell ref="A5977:E5977"/>
    <s:mergeCell ref="A19552:E19552"/>
    <s:mergeCell ref="A27254:E27254"/>
    <s:mergeCell ref="B16801:E16801"/>
    <s:mergeCell ref="A18072:E18072"/>
    <s:mergeCell ref="A19852:E19852"/>
    <s:mergeCell ref="A17767:E17767"/>
    <s:mergeCell ref="A877:E877"/>
    <s:mergeCell ref="A24885:E24885"/>
    <s:mergeCell ref="B11695:E11695"/>
    <s:mergeCell ref="A18067:E18067"/>
    <s:mergeCell ref="A25185:E25185"/>
    <s:mergeCell ref="A10970:E10970"/>
    <s:mergeCell ref="A25274:E25274"/>
    <s:mergeCell ref="A23189:E23189"/>
    <s:mergeCell ref="A26965:E26965"/>
    <s:mergeCell ref="A24880:E24880"/>
    <s:mergeCell ref="A18367:E18367"/>
    <s:mergeCell ref="A30301:E30301"/>
    <s:mergeCell ref="A25485:E25485"/>
    <s:mergeCell ref="A20324:E20324"/>
    <s:mergeCell ref="A23700:E23700"/>
    <s:mergeCell ref="A5721:E5721"/>
    <s:mergeCell ref="B31148:E31148"/>
    <s:mergeCell ref="A22321:E22321"/>
    <s:mergeCell ref="A6021:E6021"/>
    <s:mergeCell ref="A30602:E30602"/>
    <s:mergeCell ref="A7801:E7801"/>
    <s:mergeCell ref="A5716:E5716"/>
    <s:mergeCell ref="A22621:E22621"/>
    <s:mergeCell ref="B31149:E31149"/>
    <s:mergeCell ref="A4236:E4236"/>
    <s:mergeCell ref="A30629:E30629"/>
    <s:mergeCell ref="A28544:E28544"/>
    <s:mergeCell ref="A13434:E13434"/>
    <s:mergeCell ref="A4246:E4246"/>
    <s:mergeCell ref="A2161:E2161"/>
    <s:mergeCell ref="A3947:E3947"/>
    <s:mergeCell ref="A11649:E11649"/>
    <s:mergeCell ref="A4552:E4552"/>
    <s:mergeCell ref="B4793:E4793"/>
    <s:mergeCell ref="A12862:E12862"/>
    <s:mergeCell ref="A2461:E2461"/>
    <s:mergeCell ref="A4247:E4247"/>
    <s:mergeCell ref="A13162:E13162"/>
    <s:mergeCell ref="B4794:E4794"/>
    <s:mergeCell ref="A26285:E26285"/>
    <s:mergeCell ref="A4547:E4547"/>
    <s:mergeCell ref="A2462:E2462"/>
    <s:mergeCell ref="A11682:E11682"/>
    <s:mergeCell ref="A25986:E25986"/>
    <s:mergeCell ref="B5005:E5005"/>
    <s:mergeCell ref="A25980:E25980"/>
    <s:mergeCell ref="A13462:E13462"/>
    <s:mergeCell ref="A11377:E11377"/>
    <s:mergeCell ref="A20580:E20580"/>
    <s:mergeCell ref="A2189:E2189"/>
    <s:mergeCell ref="A11965:E11965"/>
    <s:mergeCell ref="A18584:E18584"/>
    <s:mergeCell ref="A20275:E20275"/>
    <s:mergeCell ref="A18578:E18578"/>
    <s:mergeCell ref="A16493:E16493"/>
    <s:mergeCell ref="A11677:E11677"/>
    <s:mergeCell ref="A18795:E18795"/>
    <s:mergeCell ref="A4580:E4580"/>
    <s:mergeCell ref="A20575:E20575"/>
    <s:mergeCell ref="A16793:E16793"/>
    <s:mergeCell ref="A25996:E25996"/>
    <s:mergeCell ref="A23911:E23911"/>
    <s:mergeCell ref="B29613:E29613"/>
    <s:mergeCell ref="A19095:E19095"/>
    <s:mergeCell ref="A11088:E11088"/>
    <s:mergeCell ref="A24211:E24211"/>
    <s:mergeCell ref="A9608:E9608"/>
    <s:mergeCell ref="A9602:E9602"/>
    <s:mergeCell ref="A23906:E23906"/>
    <s:mergeCell ref="A11388:E11388"/>
    <s:mergeCell ref="B22517:E22517"/>
    <s:mergeCell ref="A24511:E24511"/>
    <s:mergeCell ref="A720:E720"/>
    <s:mergeCell ref="A9603:E9603"/>
    <s:mergeCell ref="A26508:E26508"/>
    <s:mergeCell ref="A4197:E4197"/>
    <s:mergeCell ref="A7533:E7533"/>
    <s:mergeCell ref="A2717:E2717"/>
    <s:mergeCell ref="A1020:E1020"/>
    <s:mergeCell ref="A19106:E19106"/>
    <s:mergeCell ref="A715:E715"/>
    <s:mergeCell ref="A31325:E31325"/>
    <s:mergeCell ref="A24239:E24239"/>
    <s:mergeCell ref="B10450:E10450"/>
    <s:mergeCell ref="A3017:E3017"/>
    <s:mergeCell ref="A932:E932"/>
    <s:mergeCell ref="B13786:E13786"/>
    <s:mergeCell ref="A7528:E7528"/>
    <s:mergeCell ref="A23934:E23934"/>
    <s:mergeCell ref="B1262:E1262"/>
    <s:mergeCell ref="A31052:E31052"/>
    <s:mergeCell ref="A8133:E8133"/>
    <s:mergeCell ref="A6048:E6048"/>
    <s:mergeCell ref="B22684:E22684"/>
    <s:mergeCell ref="A31358:E31358"/>
    <s:mergeCell ref="A31352:E31352"/>
    <s:mergeCell ref="B8680:E8680"/>
    <s:mergeCell ref="A731:E731"/>
    <s:mergeCell ref="A15052:E15052"/>
    <s:mergeCell ref="A23950:E23950"/>
    <s:mergeCell ref="A21865:E21865"/>
    <s:mergeCell ref="A31652:E31652"/>
    <s:mergeCell ref="A643:E643"/>
    <s:mergeCell ref="A15352:E15352"/>
    <s:mergeCell ref="A31353:E31353"/>
    <s:mergeCell ref="B8675:E8675"/>
    <s:mergeCell ref="A7861:E7861"/>
    <s:mergeCell ref="A5759:E5759"/>
    <s:mergeCell ref="A22165:E22165"/>
    <s:mergeCell ref="A943:E943"/>
    <s:mergeCell ref="A7556:E7556"/>
    <s:mergeCell ref="A22376:E22376"/>
    <s:mergeCell ref="A8161:E8161"/>
    <s:mergeCell ref="A20380:E20380"/>
    <s:mergeCell ref="A29583:E29583"/>
    <s:mergeCell ref="A7856:E7856"/>
    <s:mergeCell ref="A14974:E14974"/>
    <s:mergeCell ref="A13277:E13277"/>
    <s:mergeCell ref="A29278:E29278"/>
    <s:mergeCell ref="A15063:E15063"/>
    <s:mergeCell ref="A12978:E12978"/>
    <s:mergeCell ref="A29883:E29883"/>
    <s:mergeCell ref="A27798:E27798"/>
    <s:mergeCell ref="A15280:E15280"/>
    <s:mergeCell ref="A15274:E15274"/>
    <s:mergeCell ref="A13189:E13189"/>
    <s:mergeCell ref="A29578:E29578"/>
    <s:mergeCell ref="A14975:E14975"/>
    <s:mergeCell ref="A13278:E13278"/>
    <s:mergeCell ref="A20396:E20396"/>
    <s:mergeCell ref="A18305:E18305"/>
    <s:mergeCell ref="A7872:E7872"/>
    <s:mergeCell ref="A5787:E5787"/>
    <s:mergeCell ref="A29878:E29878"/>
    <s:mergeCell ref="A27793:E27793"/>
    <s:mergeCell ref="A15275:E15275"/>
    <s:mergeCell ref="A20696:E20696"/>
    <s:mergeCell ref="A18605:E18605"/>
    <s:mergeCell ref="A6087:E6087"/>
    <s:mergeCell ref="A13205:E13205"/>
    <s:mergeCell ref="A20391:E20391"/>
    <s:mergeCell ref="A29306:E29306"/>
    <s:mergeCell ref="B6634:E6634"/>
    <s:mergeCell ref="A6387:E6387"/>
    <s:mergeCell ref="A4302:E4302"/>
    <s:mergeCell ref="B20938:E20938"/>
    <s:mergeCell ref="A13505:E13505"/>
    <s:mergeCell ref="A20691:E20691"/>
    <s:mergeCell ref="A18606:E18606"/>
    <s:mergeCell ref="A13200:E13200"/>
    <s:mergeCell ref="A27521:E27521"/>
    <s:mergeCell ref="A28109:E28109"/>
    <s:mergeCell ref="A26024:E26024"/>
    <s:mergeCell ref="A1138:E1138"/>
    <s:mergeCell ref="A27537:E27537"/>
    <s:mergeCell ref="A27232:E27232"/>
    <s:mergeCell ref="A26051:E26051"/>
    <s:mergeCell ref="A27837:E27837"/>
    <s:mergeCell ref="A25746:E25746"/>
    <s:mergeCell ref="A13228:E13228"/>
    <s:mergeCell ref="A27532:E27532"/>
    <s:mergeCell ref="A11748:E11748"/>
    <s:mergeCell ref="A18350:E18350"/>
    <s:mergeCell ref="A28137:E28137"/>
    <s:mergeCell ref="A26052:E26052"/>
    <s:mergeCell ref="A13528:E13528"/>
    <s:mergeCell ref="A18561:E18561"/>
    <s:mergeCell ref="A25747:E25747"/>
    <s:mergeCell ref="A4346:E4346"/>
    <s:mergeCell ref="B12278:E12278"/>
    <s:mergeCell ref="A18650:E18650"/>
    <s:mergeCell ref="A18644:E18644"/>
    <s:mergeCell ref="A1754:E1754"/>
    <s:mergeCell ref="A16559:E16559"/>
    <s:mergeCell ref="A18861:E18861"/>
    <s:mergeCell ref="A4646:E4646"/>
    <s:mergeCell ref="A8584:E8584"/>
    <s:mergeCell ref="A19161:E19161"/>
    <s:mergeCell ref="A1182:E1182"/>
    <s:mergeCell ref="A8884:E8884"/>
    <s:mergeCell ref="A14006:E14006"/>
    <s:mergeCell ref="A1482:E1482"/>
    <s:mergeCell ref="A26063:E26063"/>
    <s:mergeCell ref="A30001:E30001"/>
    <s:mergeCell ref="A1177:E1177"/>
    <s:mergeCell ref="B24824:E24824"/>
    <s:mergeCell ref="A6598:E6598"/>
    <s:mergeCell ref="A15997:E15997"/>
    <s:mergeCell ref="A4813:E4813"/>
    <s:mergeCell ref="A24005:E24005"/>
    <s:mergeCell ref="A21419:E21419"/>
    <s:mergeCell ref="A5113:E5113"/>
    <s:mergeCell ref="A6899:E6899"/>
    <s:mergeCell ref="A4814:E4814"/>
    <s:mergeCell ref="A21147:E21147"/>
    <s:mergeCell ref="A4841:E4841"/>
    <s:mergeCell ref="A21447:E21447"/>
    <s:mergeCell ref="A21142:E21142"/>
    <s:mergeCell ref="A26563:E26563"/>
    <s:mergeCell ref="A11954:E11954"/>
    <s:mergeCell ref="A26258:E26258"/>
    <s:mergeCell ref="A26863:E26863"/>
    <s:mergeCell ref="A24778:E24778"/>
    <s:mergeCell ref="B3797:E3797"/>
    <s:mergeCell ref="A12254:E12254"/>
    <s:mergeCell ref="A19372:E19372"/>
    <s:mergeCell ref="A26558:E26558"/>
    <s:mergeCell ref="A26775:E26775"/>
    <s:mergeCell ref="A2767:E2767"/>
    <s:mergeCell ref="A19672:E19672"/>
    <s:mergeCell ref="A17587:E17587"/>
    <s:mergeCell ref="A26858:E26858"/>
    <s:mergeCell ref="A5069:E5069"/>
    <s:mergeCell ref="A24773:E24773"/>
    <s:mergeCell ref="A19373:E19373"/>
    <s:mergeCell ref="A19367:E19367"/>
    <s:mergeCell ref="A17282:E17282"/>
    <s:mergeCell ref="A6849:E6849"/>
    <s:mergeCell ref="A4764:E4764"/>
    <s:mergeCell ref="A3067:E3067"/>
    <s:mergeCell ref="A10185:E10185"/>
    <s:mergeCell ref="A17887:E17887"/>
    <s:mergeCell ref="A5369:E5369"/>
    <s:mergeCell ref="A3284:E3284"/>
    <s:mergeCell ref="A9880:E9880"/>
    <s:mergeCell ref="A17582:E17582"/>
    <s:mergeCell ref="A12182:E12182"/>
    <s:mergeCell ref="A10485:E10485"/>
    <s:mergeCell ref="A8400:E8400"/>
    <s:mergeCell ref="A10180:E10180"/>
    <s:mergeCell ref="A998:E998"/>
    <s:mergeCell ref="A12482:E12482"/>
    <s:mergeCell ref="A8700:E8700"/>
    <s:mergeCell ref="B11243:E11243"/>
    <s:mergeCell ref="A3294:E3294"/>
    <s:mergeCell ref="A10480:E10480"/>
    <s:mergeCell ref="A8395:E8395"/>
    <s:mergeCell ref="A17598:E17598"/>
    <s:mergeCell ref="A1298:E1298"/>
    <s:mergeCell ref="A12782:E12782"/>
    <s:mergeCell ref="A19395:E19395"/>
    <s:mergeCell ref="A1509:E1509"/>
    <s:mergeCell ref="A17898:E17898"/>
    <s:mergeCell ref="A15813:E15813"/>
    <s:mergeCell ref="A3295:E3295"/>
    <s:mergeCell ref="A1598:E1598"/>
    <s:mergeCell ref="A24728:E24728"/>
    <s:mergeCell ref="B2056:E2056"/>
    <s:mergeCell ref="A10513:E10513"/>
    <s:mergeCell ref="B18445:E18445"/>
    <s:mergeCell ref="A16113:E16113"/>
    <s:mergeCell ref="A17326:E17326"/>
    <s:mergeCell ref="A25028:E25028"/>
    <s:mergeCell ref="B2356:E2356"/>
    <s:mergeCell ref="A31630:E31630"/>
    <s:mergeCell ref="B8958:E8958"/>
    <s:mergeCell ref="A30144:E30144"/>
    <s:mergeCell ref="A17626:E17626"/>
    <s:mergeCell ref="A30450:E30450"/>
    <s:mergeCell ref="A8139:E8139"/>
    <s:mergeCell ref="A15841:E15841"/>
    <s:mergeCell ref="A25044:E25044"/>
    <s:mergeCell ref="A22959:E22959"/>
    <s:mergeCell ref="A30145:E30145"/>
    <s:mergeCell ref="B14591:E14591"/>
    <s:mergeCell ref="A24739:E24739"/>
    <s:mergeCell ref="A8439:E8439"/>
    <s:mergeCell ref="A30445:E30445"/>
    <s:mergeCell ref="A8650:E8650"/>
    <s:mergeCell ref="A25039:E25039"/>
    <s:mergeCell ref="A22954:E22954"/>
    <s:mergeCell ref="B282:E282"/>
    <s:mergeCell ref="A8739:E8739"/>
    <s:mergeCell ref="A6654:E6654"/>
    <s:mergeCell ref="A28375:E28375"/>
    <s:mergeCell ref="A15857:E15857"/>
    <s:mergeCell ref="A23559:E23559"/>
    <s:mergeCell ref="A21474:E21474"/>
    <s:mergeCell ref="A1248:E1248"/>
    <s:mergeCell ref="A15552:E15552"/>
    <s:mergeCell ref="A26590:E26590"/>
    <s:mergeCell ref="A16157:E16157"/>
    <s:mergeCell ref="A14072:E14072"/>
    <s:mergeCell ref="A14066:E14066"/>
    <s:mergeCell ref="A1548:E1548"/>
    <s:mergeCell ref="A28376:E28376"/>
    <s:mergeCell ref="A15852:E15852"/>
    <s:mergeCell ref="A13767:E13767"/>
    <s:mergeCell ref="A68:E68"/>
    <s:mergeCell ref="B30919:E30919"/>
    <s:mergeCell ref="B10:E10"/>
    <s:mergeCell ref="A14067:E14067"/>
    <s:mergeCell ref="A21185:E21185"/>
    <s:mergeCell ref="A6970:E6970"/>
    <s:mergeCell ref="A4885:E4885"/>
    <s:mergeCell ref="A8661:E8661"/>
    <s:mergeCell ref="B30920:E30920"/>
    <s:mergeCell ref="A6665:E6665"/>
    <s:mergeCell ref="A21485:E21485"/>
    <s:mergeCell ref="A28098:E28098"/>
    <s:mergeCell ref="A4880:E4880"/>
    <s:mergeCell ref="A28398:E28398"/>
    <s:mergeCell ref="A9423:E9423"/>
    <s:mergeCell ref="A22998:E22998"/>
    <s:mergeCell ref="A2021:E2021"/>
    <s:mergeCell ref="A2015:E2015"/>
    <s:mergeCell ref="A21213:E21213"/>
    <s:mergeCell ref="A20908:E20908"/>
    <s:mergeCell ref="A2321:E2321"/>
    <s:mergeCell ref="A26329:E26329"/>
    <s:mergeCell ref="A12325:E12325"/>
    <s:mergeCell ref="A28326:E28326"/>
    <s:mergeCell ref="A26629:E26629"/>
    <s:mergeCell ref="B19975:E19975"/>
    <s:mergeCell ref="A12026:E12026"/>
    <s:mergeCell ref="A12020:E12020"/>
    <s:mergeCell ref="A28931:E28931"/>
    <s:mergeCell ref="A26846:E26846"/>
    <s:mergeCell ref="A26324:E26324"/>
    <s:mergeCell ref="A19227:E19227"/>
    <s:mergeCell ref="A28626:E28626"/>
    <s:mergeCell ref="A12326:E12326"/>
    <s:mergeCell ref="A12320:E12320"/>
    <s:mergeCell ref="A2043:E2043"/>
    <s:mergeCell ref="A26624:E26624"/>
    <s:mergeCell ref="A28926:E28926"/>
    <s:mergeCell ref="A26841:E26841"/>
    <s:mergeCell ref="A7165:E7165"/>
    <s:mergeCell ref="A264:E264"/>
    <s:mergeCell ref="A9467:E9467"/>
    <s:mergeCell ref="A7376:E7376"/>
    <s:mergeCell ref="A21680:E21680"/>
    <s:mergeCell ref="A9162:E9162"/>
    <s:mergeCell ref="A7465:E7465"/>
    <s:mergeCell ref="A9767:E9767"/>
    <s:mergeCell ref="A21980:E21980"/>
    <s:mergeCell ref="A9462:E9462"/>
    <s:mergeCell ref="A14883:E14883"/>
    <s:mergeCell ref="A280:E280"/>
    <s:mergeCell ref="A1971:E1971"/>
    <s:mergeCell ref="A274:E274"/>
    <s:mergeCell ref="A22280:E22280"/>
    <s:mergeCell ref="A9762:E9762"/>
    <s:mergeCell ref="A7677:E7677"/>
    <s:mergeCell ref="A16880:E16880"/>
    <s:mergeCell ref="A14795:E14795"/>
    <s:mergeCell ref="A13098:E13098"/>
    <s:mergeCell ref="A31685:E31685"/>
    <s:mergeCell ref="A2271:E2271"/>
    <s:mergeCell ref="A186:E186"/>
    <s:mergeCell ref="A275:E275"/>
    <s:mergeCell ref="A5302:E5302"/>
    <s:mergeCell ref="A486:E486"/>
    <s:mergeCell ref="A5602:E5602"/>
    <s:mergeCell ref="A29126:E29126"/>
    <s:mergeCell ref="A5902:E5902"/>
    <s:mergeCell ref="A29426:E29426"/>
    <s:mergeCell ref="A29121:E29121"/>
    <s:mergeCell ref="A22024:E22024"/>
    <s:mergeCell ref="A19939:E19939"/>
    <s:mergeCell ref="A7421:E7421"/>
    <s:mergeCell ref="A5330:E5330"/>
    <s:mergeCell ref="A13021:E13021"/>
    <s:mergeCell ref="A5935:E5935"/>
    <s:mergeCell ref="A20239:E20239"/>
    <s:mergeCell ref="A7721:E7721"/>
    <s:mergeCell ref="A5636:E5636"/>
    <s:mergeCell ref="A5630:E5630"/>
    <s:mergeCell ref="B13562:E13562"/>
    <s:mergeCell ref="A12748:E12748"/>
    <s:mergeCell ref="A14833:E14833"/>
    <s:mergeCell ref="A19934:E19934"/>
    <s:mergeCell ref="A27052:E27052"/>
    <s:mergeCell ref="A12837:E12837"/>
    <s:mergeCell ref="A13048:E13048"/>
    <s:mergeCell ref="A20234:E20234"/>
    <s:mergeCell ref="A27352:E27352"/>
    <s:mergeCell ref="B4680:E4680"/>
    <s:mergeCell ref="A11052:E11052"/>
    <s:mergeCell ref="A12743:E12743"/>
    <s:mergeCell ref="A5646:E5646"/>
    <s:mergeCell ref="A3561:E3561"/>
    <s:mergeCell ref="A13348:E13348"/>
    <s:mergeCell ref="A27652:E27652"/>
    <s:mergeCell ref="A15134:E15134"/>
    <s:mergeCell ref="A13049:E13049"/>
    <s:mergeCell ref="A18464:E18464"/>
    <s:mergeCell ref="A20250:E20250"/>
    <s:mergeCell ref="A18165:E18165"/>
    <s:mergeCell ref="A5641:E5641"/>
    <s:mergeCell ref="A3556:E3556"/>
    <s:mergeCell ref="A20467:E20467"/>
    <s:mergeCell ref="B20708:E20708"/>
    <s:mergeCell ref="A29165:E29165"/>
    <s:mergeCell ref="A4161:E4161"/>
    <s:mergeCell ref="A18465:E18465"/>
    <s:mergeCell ref="A13059:E13059"/>
    <s:mergeCell ref="A10974:E10974"/>
    <s:mergeCell ref="A27380:E27380"/>
    <s:mergeCell ref="A25278:E25278"/>
    <s:mergeCell ref="B20709:E20709"/>
    <s:mergeCell ref="A11274:E11274"/>
    <s:mergeCell ref="A27680:E27680"/>
    <s:mergeCell ref="A2086:E2086"/>
    <s:mergeCell ref="B26430:E26430"/>
    <s:mergeCell ref="A1787:E1787"/>
    <s:mergeCell ref="A11574:E11574"/>
    <s:mergeCell ref="A9489:E9489"/>
    <s:mergeCell ref="A2392:E2392"/>
    <s:mergeCell ref="A2087:E2087"/>
    <s:mergeCell ref="B26425:E26425"/>
    <s:mergeCell ref="A25611:E25611"/>
    <s:mergeCell ref="A11002:E11002"/>
    <s:mergeCell ref="A9305:E9305"/>
    <s:mergeCell ref="A27391:E27391"/>
    <s:mergeCell ref="A25306:E25306"/>
    <s:mergeCell ref="A2387:E2387"/>
    <s:mergeCell ref="A302:E302"/>
    <s:mergeCell ref="A25911:E25911"/>
    <s:mergeCell ref="A23826:E23826"/>
    <s:mergeCell ref="A11302:E11302"/>
    <s:mergeCell ref="A9200:E9200"/>
    <s:mergeCell ref="A25606:E25606"/>
    <s:mergeCell ref="A31027:E31027"/>
    <s:mergeCell ref="A16418:E16418"/>
    <s:mergeCell ref="A14333:E14333"/>
    <s:mergeCell ref="A3900:E3900"/>
    <s:mergeCell ref="A25906:E25906"/>
    <s:mergeCell ref="A23821:E23821"/>
    <s:mergeCell ref="A30933:E30933"/>
    <s:mergeCell ref="A6931:E6931"/>
    <s:mergeCell ref="A18415:E18415"/>
    <s:mergeCell ref="A23836:E23836"/>
    <s:mergeCell ref="A21751:E21751"/>
    <s:mergeCell ref="A9233:E9233"/>
    <s:mergeCell ref="A16935:E16935"/>
    <s:mergeCell ref="B31486:E31486"/>
    <s:mergeCell ref="A31239:E31239"/>
    <s:mergeCell ref="A8928:E8928"/>
    <s:mergeCell ref="A7231:E7231"/>
    <s:mergeCell ref="A22051:E22051"/>
    <s:mergeCell ref="A9533:E9533"/>
    <s:mergeCell ref="A23837:E23837"/>
    <s:mergeCell ref="A21746:E21746"/>
    <s:mergeCell ref="A9228:E9228"/>
    <s:mergeCell ref="A7531:E7531"/>
    <s:mergeCell ref="A23532:E23532"/>
    <s:mergeCell ref="A22351:E22351"/>
    <s:mergeCell ref="A7748:E7748"/>
    <s:mergeCell ref="A22046:E22046"/>
    <s:mergeCell ref="A9528:E9528"/>
    <s:mergeCell ref="A7443:E7443"/>
    <s:mergeCell ref="A16646:E16646"/>
    <s:mergeCell ref="A12864:E12864"/>
    <s:mergeCell ref="A2587:E2587"/>
    <s:mergeCell ref="A16946:E16946"/>
    <s:mergeCell ref="A23565:E23565"/>
    <s:mergeCell ref="A13164:E13164"/>
    <s:mergeCell ref="A4584:E4584"/>
    <s:mergeCell ref="A2887:E2887"/>
    <s:mergeCell ref="A11785:E11785"/>
    <s:mergeCell ref="A15161:E15161"/>
    <s:mergeCell ref="A4884:E4884"/>
    <s:mergeCell ref="A3187:E3187"/>
    <s:mergeCell ref="A28981:E28981"/>
    <s:mergeCell ref="A10000:E10000"/>
    <s:mergeCell ref="A31283:E31283"/>
    <s:mergeCell ref="A29192:E29192"/>
    <s:mergeCell ref="A30978:E30978"/>
    <s:mergeCell ref="A29281:E29281"/>
    <s:mergeCell ref="A27196:E27196"/>
    <s:mergeCell ref="A10300:E10300"/>
    <s:mergeCell ref="A21790:E21790"/>
    <s:mergeCell ref="A19705:E19705"/>
    <s:mergeCell ref="A29492:E29492"/>
    <s:mergeCell ref="A12086:E12086"/>
    <s:mergeCell ref="A10001:E10001"/>
    <s:mergeCell ref="A31278:E31278"/>
    <s:mergeCell ref="A29193:E29193"/>
    <s:mergeCell ref="A20005:E20005"/>
    <s:mergeCell ref="A21785:E21785"/>
    <s:mergeCell ref="A19700:E19700"/>
    <s:mergeCell ref="A2810:E2810"/>
    <s:mergeCell ref="A20305:E20305"/>
    <s:mergeCell ref="A7787:E7787"/>
    <s:mergeCell ref="A20000:E20000"/>
    <s:mergeCell ref="A29203:E29203"/>
    <s:mergeCell ref="A2626:E2626"/>
    <s:mergeCell ref="A17147:E17147"/>
    <s:mergeCell ref="A17141:E17141"/>
    <s:mergeCell ref="A4623:E4623"/>
    <s:mergeCell ref="A841:E841"/>
    <s:mergeCell ref="A29965:E29965"/>
    <s:mergeCell ref="A17441:E17441"/>
    <s:mergeCell ref="A15356:E15356"/>
    <s:mergeCell ref="A2838:E2838"/>
    <s:mergeCell ref="A1141:E1141"/>
    <s:mergeCell ref="B6259:E6259"/>
    <s:mergeCell ref="A9956:E9956"/>
    <s:mergeCell ref="A8259:E8259"/>
    <s:mergeCell ref="A17142:E17142"/>
    <s:mergeCell ref="A3138:E3138"/>
    <s:mergeCell ref="A10256:E10256"/>
    <s:mergeCell ref="A8559:E8559"/>
    <s:mergeCell ref="A6474:E6474"/>
    <s:mergeCell ref="A8254:E8254"/>
    <s:mergeCell ref="A8471:E8471"/>
    <s:mergeCell ref="A15067:E15067"/>
    <s:mergeCell ref="A852:E852"/>
    <s:mergeCell ref="A1069:E1069"/>
    <s:mergeCell ref="A1063:E1063"/>
    <s:mergeCell ref="A6185:E6185"/>
    <s:mergeCell ref="B1616:E1616"/>
    <s:mergeCell ref="A22591:E22591"/>
    <s:mergeCell ref="B1610:E1610"/>
    <s:mergeCell ref="A17185:E17185"/>
    <s:mergeCell ref="A22802:E22802"/>
    <s:mergeCell ref="A29404:E29404"/>
    <s:mergeCell ref="A6485:E6485"/>
    <s:mergeCell ref="A20806:E20806"/>
    <s:mergeCell ref="A24582:E24582"/>
    <s:mergeCell ref="A27918:E27918"/>
    <s:mergeCell ref="A15400:E15400"/>
    <s:mergeCell ref="B1611:E1611"/>
    <s:mergeCell ref="A29704:E29704"/>
    <s:mergeCell ref="A8482:E8482"/>
    <s:mergeCell ref="A6785:E6785"/>
    <s:mergeCell ref="A15095:E15095"/>
    <s:mergeCell ref="A13398:E13398"/>
    <s:mergeCell ref="A29399:E29399"/>
    <s:mergeCell ref="A13615:E13615"/>
    <s:mergeCell ref="B9029:E9029"/>
    <s:mergeCell ref="A27919:E27919"/>
    <s:mergeCell ref="A30004:E30004"/>
    <s:mergeCell ref="A15401:E15401"/>
    <s:mergeCell ref="A15395:E15395"/>
    <s:mergeCell ref="A22513:E22513"/>
    <s:mergeCell ref="A20816:E20816"/>
    <s:mergeCell ref="A18731:E18731"/>
    <s:mergeCell ref="A30215:E30215"/>
    <s:mergeCell ref="A6213:E6213"/>
    <s:mergeCell ref="A20517:E20517"/>
    <s:mergeCell ref="A22813:E22813"/>
    <s:mergeCell ref="A20728:E20728"/>
    <s:mergeCell ref="A19031:E19031"/>
    <s:mergeCell ref="A4428:E4428"/>
    <s:mergeCell ref="A20817:E20817"/>
    <s:mergeCell ref="A25844:E25844"/>
    <s:mergeCell ref="B21275:E21275"/>
    <s:mergeCell ref="A13326:E13326"/>
    <s:mergeCell ref="A21028:E21028"/>
    <s:mergeCell ref="A22814:E22814"/>
    <s:mergeCell ref="A11840:E11840"/>
    <s:mergeCell ref="A29926:E29926"/>
    <s:mergeCell ref="A13626:E13626"/>
    <s:mergeCell ref="A21328:E21328"/>
    <s:mergeCell ref="A27930:E27930"/>
    <s:mergeCell ref="A4438:E4438"/>
    <s:mergeCell ref="A4139:E4139"/>
    <s:mergeCell ref="B21875:E21875"/>
    <s:mergeCell ref="A11841:E11841"/>
    <s:mergeCell ref="A28230:E28230"/>
    <s:mergeCell ref="A26145:E26145"/>
    <s:mergeCell ref="A6435:E6435"/>
    <s:mergeCell ref="A2653:E2653"/>
    <s:mergeCell ref="B4686:E4686"/>
    <s:mergeCell ref="B14473:E14473"/>
    <s:mergeCell ref="A4439:E4439"/>
    <s:mergeCell ref="B6982:E6982"/>
    <s:mergeCell ref="A25872:E25872"/>
    <s:mergeCell ref="B14168:E14168"/>
    <s:mergeCell ref="A4650:E4650"/>
    <s:mergeCell ref="A18954:E18954"/>
    <s:mergeCell ref="A4739:E4739"/>
    <s:mergeCell ref="A2654:E2654"/>
    <s:mergeCell ref="A28263:E28263"/>
    <s:mergeCell ref="A9766:E9766"/>
    <s:mergeCell ref="A26172:E26172"/>
    <s:mergeCell ref="A4950:E4950"/>
    <s:mergeCell ref="A12157:E12157"/>
    <s:mergeCell ref="A18770:E18770"/>
    <s:mergeCell ref="A10066:E10066"/>
    <s:mergeCell ref="A16685:E16685"/>
    <s:mergeCell ref="A11852:E11852"/>
    <s:mergeCell ref="A18987:E18987"/>
    <s:mergeCell ref="B10619:E10619"/>
    <s:mergeCell ref="A20767:E20767"/>
    <s:mergeCell ref="A10366:E10366"/>
    <s:mergeCell ref="A16985:E16985"/>
    <s:mergeCell ref="A19287:E19287"/>
    <s:mergeCell ref="A21067:E21067"/>
    <s:mergeCell ref="A18982:E18982"/>
    <s:mergeCell ref="A26100:E26100"/>
    <s:mergeCell ref="A11885:E11885"/>
    <s:mergeCell ref="A17485:E17485"/>
    <s:mergeCell ref="A26183:E26183"/>
    <s:mergeCell ref="A24098:E24098"/>
    <s:mergeCell ref="A19282:E19282"/>
    <s:mergeCell ref="A26400:E26400"/>
    <s:mergeCell ref="A24703:E24703"/>
    <s:mergeCell ref="A12185:E12185"/>
    <s:mergeCell ref="A10100:E10100"/>
    <s:mergeCell ref="B18026:E18026"/>
    <s:mergeCell ref="A17212:E17212"/>
    <s:mergeCell ref="A24398:E24398"/>
    <s:mergeCell ref="A31516:E31516"/>
    <s:mergeCell ref="A26700:E26700"/>
    <s:mergeCell ref="A24615:E24615"/>
    <s:mergeCell ref="A4389:E4389"/>
    <s:mergeCell ref="A2692:E2692"/>
    <s:mergeCell ref="A607:E607"/>
    <s:mergeCell ref="A17512:E17512"/>
    <s:mergeCell ref="A15427:E15427"/>
    <s:mergeCell ref="A24698:E24698"/>
    <s:mergeCell ref="A29731:E29731"/>
    <s:mergeCell ref="A19298:E19298"/>
    <s:mergeCell ref="A17213:E17213"/>
    <s:mergeCell ref="A15516:E15516"/>
    <s:mergeCell ref="A17207:E17207"/>
    <s:mergeCell ref="A2604:E2604"/>
    <s:mergeCell ref="A907:E907"/>
    <s:mergeCell ref="B26942:E26942"/>
    <s:mergeCell ref="A30031:E30031"/>
    <s:mergeCell ref="A17513:E17513"/>
    <s:mergeCell ref="A2904:E2904"/>
    <s:mergeCell ref="A24326:E24326"/>
    <s:mergeCell ref="A31544:E31544"/>
    <s:mergeCell ref="A24626:E24626"/>
    <s:mergeCell ref="B10564:E10564"/>
    <s:mergeCell ref="A22357:E22357"/>
    <s:mergeCell ref="A5467:E5467"/>
    <s:mergeCell ref="A5461:E5461"/>
    <s:mergeCell ref="A5162:E5162"/>
    <s:mergeCell ref="B1682:E1682"/>
    <s:mergeCell ref="A22657:E22657"/>
    <s:mergeCell ref="B1676:E1676"/>
    <s:mergeCell ref="A3676:E3676"/>
    <s:mergeCell ref="A15166:E15166"/>
    <s:mergeCell ref="A5462:E5462"/>
    <s:mergeCell ref="A29470:E29470"/>
    <s:mergeCell ref="A15466:E15466"/>
    <s:mergeCell ref="A3104:E3104"/>
    <s:mergeCell ref="A29981:E29981"/>
    <s:mergeCell ref="A27985:E27985"/>
    <s:mergeCell ref="A3387:E3387"/>
    <s:mergeCell ref="A20004:E20004"/>
    <s:mergeCell ref="A10306:E10306"/>
    <s:mergeCell ref="A25126:E25126"/>
    <s:mergeCell ref="A10517:E10517"/>
    <s:mergeCell ref="A24821:E24821"/>
    <s:mergeCell ref="A12303:E12303"/>
    <s:mergeCell ref="A10606:E10606"/>
    <s:mergeCell ref="A25426:E25426"/>
    <s:mergeCell ref="A12908:E12908"/>
    <s:mergeCell ref="A10823:E10823"/>
    <s:mergeCell ref="A10817:E10817"/>
    <s:mergeCell ref="A3720:E3720"/>
    <s:mergeCell ref="A1635:E1635"/>
    <s:mergeCell ref="A10906:E10906"/>
    <s:mergeCell ref="A8821:E8821"/>
    <s:mergeCell ref="A18024:E18024"/>
    <s:mergeCell ref="A15939:E15939"/>
    <s:mergeCell ref="A25726:E25726"/>
    <s:mergeCell ref="A3415:E3415"/>
    <s:mergeCell ref="A1330:E1330"/>
    <s:mergeCell ref="A1935:E1935"/>
    <s:mergeCell ref="A16239:E16239"/>
    <s:mergeCell ref="B1877:E1877"/>
    <s:mergeCell ref="A16233:E16233"/>
    <s:mergeCell ref="A1630:E1630"/>
    <s:mergeCell ref="A15934:E15934"/>
    <s:mergeCell ref="A3416:E3416"/>
    <s:mergeCell ref="A8837:E8837"/>
    <s:mergeCell ref="A18236:E18236"/>
    <s:mergeCell ref="B28843:E28843"/>
    <s:mergeCell ref="A28329:E28329"/>
    <s:mergeCell ref="A30570:E30570"/>
    <s:mergeCell ref="A1646:E1646"/>
    <s:mergeCell ref="A18052:E18052"/>
    <s:mergeCell ref="A9348:E9348"/>
    <s:mergeCell ref="A15967:E15967"/>
    <s:mergeCell ref="A23652:E23652"/>
    <s:mergeCell ref="A30265:E30265"/>
    <s:mergeCell ref="A1341:E1341"/>
    <s:mergeCell ref="A16267:E16267"/>
    <s:mergeCell ref="A25165:E25165"/>
    <s:mergeCell ref="A23080:E23080"/>
    <s:mergeCell ref="A1858:E1858"/>
    <s:mergeCell ref="A161:E161"/>
    <s:mergeCell ref="B14712:E14712"/>
    <s:mergeCell ref="A24860:E24860"/>
    <s:mergeCell ref="A23380:E23380"/>
    <s:mergeCell ref="A30498:E30498"/>
    <s:mergeCell ref="A8771:E8771"/>
    <s:mergeCell ref="A14192:E14192"/>
    <s:mergeCell ref="A15978:E15978"/>
    <s:mergeCell ref="A7274:E7274"/>
    <s:mergeCell ref="A23680:E23680"/>
    <s:mergeCell ref="A21595:E21595"/>
    <s:mergeCell ref="A30798:E30798"/>
    <s:mergeCell ref="A14492:E14492"/>
    <s:mergeCell ref="A30493:E30493"/>
    <s:mergeCell ref="A16278:E16278"/>
    <s:mergeCell ref="A14193:E14193"/>
    <s:mergeCell ref="A14187:E14187"/>
    <s:mergeCell ref="A31098:E31098"/>
    <s:mergeCell ref="A29013:E29013"/>
    <s:mergeCell ref="A8787:E8787"/>
    <s:mergeCell ref="A16489:E16489"/>
    <s:mergeCell ref="A14404:E14404"/>
    <s:mergeCell ref="A189:E189"/>
    <s:mergeCell ref="A21611:E21611"/>
    <s:mergeCell ref="A21605:E21605"/>
    <s:mergeCell ref="A19520:E19520"/>
    <s:mergeCell ref="A9087:E9087"/>
    <s:mergeCell ref="A7002:E7002"/>
    <s:mergeCell ref="A5305:E5305"/>
    <s:mergeCell ref="A21306:E21306"/>
    <s:mergeCell ref="A7607:E7607"/>
    <s:mergeCell ref="A5522:E5522"/>
    <s:mergeCell ref="A14203:E14203"/>
    <s:mergeCell ref="A21606:E21606"/>
    <s:mergeCell ref="A12424:E12424"/>
    <s:mergeCell ref="B22064:E22064"/>
    <s:mergeCell ref="A12418:E12418"/>
    <s:mergeCell ref="A7602:E7602"/>
    <s:mergeCell ref="A10938:E10938"/>
    <s:mergeCell ref="A29024:E29024"/>
    <s:mergeCell ref="A12718:E12718"/>
    <s:mergeCell ref="A5233:E5233"/>
    <s:mergeCell ref="A14504:E14504"/>
    <s:mergeCell ref="A12419:E12419"/>
    <s:mergeCell ref="A21639:E21639"/>
    <s:mergeCell ref="B22453:E22453"/>
    <s:mergeCell ref="A28452:E28452"/>
    <s:mergeCell ref="A5533:E5533"/>
    <s:mergeCell ref="A12146:E12146"/>
    <s:mergeCell ref="A3442:E3442"/>
    <s:mergeCell ref="A26966:E26966"/>
    <s:mergeCell ref="A5228:E5228"/>
    <s:mergeCell ref="A28752:E28752"/>
    <s:mergeCell ref="A12446:E12446"/>
    <s:mergeCell ref="A28447:E28447"/>
    <s:mergeCell ref="A29052:E29052"/>
    <s:mergeCell ref="A19864:E19864"/>
    <s:mergeCell ref="A12946:E12946"/>
    <s:mergeCell ref="A19565:E19565"/>
    <s:mergeCell ref="A19559:E19559"/>
    <s:mergeCell ref="A18079:E18079"/>
    <s:mergeCell ref="B13493:E13493"/>
    <s:mergeCell ref="B11408:E11408"/>
    <s:mergeCell ref="A19865:E19865"/>
    <s:mergeCell ref="A10588:E10588"/>
    <s:mergeCell ref="A17774:E17774"/>
    <s:mergeCell ref="A26977:E26977"/>
    <s:mergeCell ref="A24892:E24892"/>
    <s:mergeCell ref="A12374:E12374"/>
    <s:mergeCell ref="A10372:E10372"/>
    <s:mergeCell ref="A10888:E10888"/>
    <s:mergeCell ref="A25192:E25192"/>
    <s:mergeCell ref="A12674:E12674"/>
    <s:mergeCell ref="A8892:E8892"/>
    <s:mergeCell ref="A8587:E8587"/>
    <s:mergeCell ref="A17790:E17790"/>
    <s:mergeCell ref="A25492:E25492"/>
    <s:mergeCell ref="A12974:E12974"/>
    <s:mergeCell ref="A10889:E10889"/>
    <s:mergeCell ref="A27278:E27278"/>
    <s:mergeCell ref="A18090:E18090"/>
    <s:mergeCell ref="A16005:E16005"/>
    <s:mergeCell ref="A1790:E1790"/>
    <s:mergeCell ref="A5728:E5728"/>
    <s:mergeCell ref="A24920:E24920"/>
    <s:mergeCell ref="A18002:E18002"/>
    <s:mergeCell ref="A16305:E16305"/>
    <s:mergeCell ref="B1943:E1943"/>
    <s:mergeCell ref="A6028:E6028"/>
    <s:mergeCell ref="A7725:E7725"/>
    <s:mergeCell ref="A25220:E25220"/>
    <s:mergeCell ref="A12841:E12841"/>
    <s:mergeCell ref="A24915:E24915"/>
    <s:mergeCell ref="A30336:E30336"/>
    <s:mergeCell ref="A17818:E17818"/>
    <s:mergeCell ref="A15733:E15733"/>
    <s:mergeCell ref="A3959:E3959"/>
    <s:mergeCell ref="A16033:E16033"/>
    <s:mergeCell ref="A13441:E13441"/>
    <s:mergeCell ref="A24931:E24931"/>
    <s:mergeCell ref="A4259:E4259"/>
    <s:mergeCell ref="A25231:E25231"/>
    <s:mergeCell ref="A23146:E23146"/>
    <s:mergeCell ref="A21449:E21449"/>
    <s:mergeCell ref="A4559:E4559"/>
    <s:mergeCell ref="B14778:E14778"/>
    <s:mergeCell ref="A23751:E23751"/>
    <s:mergeCell ref="A23446:E23446"/>
    <s:mergeCell ref="A20287:E20287"/>
    <s:mergeCell ref="A28568:E28568"/>
    <s:mergeCell ref="A18291:E18291"/>
    <s:mergeCell ref="A23746:E23746"/>
    <s:mergeCell ref="A5767:E5767"/>
    <s:mergeCell ref="A20587:E20587"/>
    <s:mergeCell ref="A18591:E18591"/>
    <s:mergeCell ref="A20282:E20282"/>
    <s:mergeCell ref="A18585:E18585"/>
    <s:mergeCell ref="A3982:E3982"/>
    <s:mergeCell ref="A20887:E20887"/>
    <s:mergeCell ref="A18286:E18286"/>
    <s:mergeCell ref="A18802:E18802"/>
    <s:mergeCell ref="A4587:E4587"/>
    <s:mergeCell ref="A20588:E20588"/>
    <s:mergeCell ref="A4282:E4282"/>
    <s:mergeCell ref="A26003:E26003"/>
    <s:mergeCell ref="A18586:E18586"/>
    <s:mergeCell ref="A19102:E19102"/>
    <s:mergeCell ref="A13180:E13180"/>
    <s:mergeCell ref="A11095:E11095"/>
    <s:mergeCell ref="A24218:E24218"/>
    <s:mergeCell ref="A9615:E9615"/>
    <s:mergeCell ref="A26004:E26004"/>
    <s:mergeCell ref="B22524:E22524"/>
    <s:mergeCell ref="A2213:E2213"/>
    <s:mergeCell ref="A122:E122"/>
    <s:mergeCell ref="A18813:E18813"/>
    <s:mergeCell ref="A25432:E25432"/>
    <s:mergeCell ref="A4210:E4210"/>
    <s:mergeCell ref="B22519:E22519"/>
    <s:mergeCell ref="A2208:E2208"/>
    <s:mergeCell ref="A19113:E19113"/>
    <s:mergeCell ref="A4510:E4510"/>
    <s:mergeCell ref="A9931:E9931"/>
    <s:mergeCell ref="A11728:E11728"/>
    <s:mergeCell ref="A9626:E9626"/>
    <s:mergeCell ref="A23947:E23947"/>
    <s:mergeCell ref="A31059:E31059"/>
    <s:mergeCell ref="A18541:E18541"/>
    <s:mergeCell ref="A16844:E16844"/>
    <s:mergeCell ref="A9926:E9926"/>
    <s:mergeCell ref="A31365:E31365"/>
    <s:mergeCell ref="A31359:E31359"/>
    <s:mergeCell ref="A2435:E2435"/>
    <s:mergeCell ref="A18841:E18841"/>
    <s:mergeCell ref="A16756:E16756"/>
    <s:mergeCell ref="A7568:E7568"/>
    <s:mergeCell ref="A23957:E23957"/>
    <s:mergeCell ref="A21872:E21872"/>
    <s:mergeCell ref="A2735:E2735"/>
    <s:mergeCell ref="A9354:E9354"/>
    <s:mergeCell ref="A17056:E17056"/>
    <s:mergeCell ref="A24174:E24174"/>
    <s:mergeCell ref="A31360:E31360"/>
    <s:mergeCell ref="A14470:E14470"/>
    <s:mergeCell ref="B9901:E9901"/>
    <s:mergeCell ref="B1197:E1197"/>
    <s:mergeCell ref="A22172:E22172"/>
    <s:mergeCell ref="A9654:E9654"/>
    <s:mergeCell ref="A25954:E25954"/>
    <s:mergeCell ref="A23958:E23958"/>
    <s:mergeCell ref="A24474:E24474"/>
    <s:mergeCell ref="A21867:E21867"/>
    <s:mergeCell ref="A466:E466"/>
    <s:mergeCell ref="A14770:E14770"/>
    <s:mergeCell ref="A24169:E24169"/>
    <s:mergeCell ref="A22472:E22472"/>
    <s:mergeCell ref="A9954:E9954"/>
    <s:mergeCell ref="A7869:E7869"/>
    <s:mergeCell ref="A17072:E17072"/>
    <s:mergeCell ref="A14981:E14981"/>
    <s:mergeCell ref="A29285:E29285"/>
    <s:mergeCell ref="B24716:E24716"/>
    <s:mergeCell ref="A16767:E16767"/>
    <s:mergeCell ref="A15287:E15287"/>
    <s:mergeCell ref="A15281:E15281"/>
    <s:mergeCell ref="A678:E678"/>
    <s:mergeCell ref="B29832:E29832"/>
    <s:mergeCell ref="A29585:E29585"/>
    <s:mergeCell ref="A17067:E17067"/>
    <s:mergeCell ref="A14982:E14982"/>
    <s:mergeCell ref="A20403:E20403"/>
    <s:mergeCell ref="A7885:E7885"/>
    <s:mergeCell ref="A9576:E9576"/>
    <s:mergeCell ref="A5794:E5794"/>
    <s:mergeCell ref="A978:E978"/>
    <s:mergeCell ref="A7580:E7580"/>
    <s:mergeCell ref="A6399:E6399"/>
    <s:mergeCell ref="A20703:E20703"/>
    <s:mergeCell ref="A6094:E6094"/>
    <s:mergeCell ref="B20645:E20645"/>
    <s:mergeCell ref="A7880:E7880"/>
    <s:mergeCell ref="A31404:E31404"/>
    <s:mergeCell ref="A29313:E29313"/>
    <s:mergeCell ref="A389:E389"/>
    <s:mergeCell ref="B6641:E6641"/>
    <s:mergeCell ref="B20945:E20945"/>
    <s:mergeCell ref="A994:E994"/>
    <s:mergeCell ref="B23247:E23247"/>
    <s:mergeCell ref="A13207:E13207"/>
    <s:mergeCell ref="A6110:E6110"/>
    <s:mergeCell ref="A5805:E5805"/>
    <s:mergeCell ref="A29329:E29329"/>
    <s:mergeCell ref="A27244:E27244"/>
    <s:mergeCell ref="A20731:E20731"/>
    <s:mergeCell ref="A22422:E22422"/>
    <s:mergeCell ref="A6105:E6105"/>
    <s:mergeCell ref="A13240:E13240"/>
    <s:mergeCell ref="A27544:E27544"/>
    <s:mergeCell ref="A15026:E15026"/>
    <s:mergeCell ref="A29324:E29324"/>
    <s:mergeCell ref="A27239:E27239"/>
    <s:mergeCell ref="A13540:E13540"/>
    <s:mergeCell ref="A27844:E27844"/>
    <s:mergeCell ref="B5172:E5172"/>
    <s:mergeCell ref="A15326:E15326"/>
    <s:mergeCell ref="A13241:E13241"/>
    <s:mergeCell ref="A13235:E13235"/>
    <s:mergeCell ref="A20353:E20353"/>
    <s:mergeCell ref="A18656:E18656"/>
    <s:mergeCell ref="A27539:E27539"/>
    <s:mergeCell ref="A20442:E20442"/>
    <s:mergeCell ref="A18357:E18357"/>
    <s:mergeCell ref="A3748:E3748"/>
    <s:mergeCell ref="A20659:E20659"/>
    <s:mergeCell ref="B28086:E28086"/>
    <s:mergeCell ref="A18568:E18568"/>
    <s:mergeCell ref="A4353:E4353"/>
    <s:mergeCell ref="A20354:E20354"/>
    <s:mergeCell ref="A18657:E18657"/>
    <s:mergeCell ref="A4048:E4048"/>
    <s:mergeCell ref="A25470:E25470"/>
    <s:mergeCell ref="A26075:E26075"/>
    <s:mergeCell ref="B13798:E13798"/>
    <s:mergeCell ref="A23984:E23984"/>
    <s:mergeCell ref="A1189:E1189"/>
    <s:mergeCell ref="A25770:E25770"/>
    <s:mergeCell ref="A28072:E28072"/>
    <s:mergeCell ref="A26070:E26070"/>
    <s:mergeCell ref="A6911:E6911"/>
    <s:mergeCell ref="A8602:E8602"/>
    <s:mergeCell ref="A6517:E6517"/>
    <s:mergeCell ref="A16610:E16610"/>
    <s:mergeCell ref="A18607:E18607"/>
    <s:mergeCell ref="A18907:E18907"/>
    <s:mergeCell ref="A6545:E6545"/>
    <s:mergeCell ref="A31126:E31126"/>
    <s:mergeCell ref="A26270:E26270"/>
    <s:mergeCell ref="A13752:E13752"/>
    <s:mergeCell ref="A13447:E13447"/>
    <s:mergeCell ref="A12266:E12266"/>
    <s:mergeCell ref="A28267:E28267"/>
    <s:mergeCell ref="A26570:E26570"/>
    <s:mergeCell ref="A14052:E14052"/>
    <s:mergeCell ref="A11967:E11967"/>
    <s:mergeCell ref="A11961:E11961"/>
    <s:mergeCell ref="A6561:E6561"/>
    <s:mergeCell ref="A13747:E13747"/>
    <s:mergeCell ref="A4565:E4565"/>
    <s:mergeCell ref="A2474:E2474"/>
    <s:mergeCell ref="A6861:E6861"/>
    <s:mergeCell ref="A4776:E4776"/>
    <s:mergeCell ref="A14047:E14047"/>
    <s:mergeCell ref="A11962:E11962"/>
    <s:mergeCell ref="A26782:E26782"/>
    <s:mergeCell ref="A4865:E4865"/>
    <s:mergeCell ref="A6556:E6556"/>
    <s:mergeCell ref="A2774:E2774"/>
    <s:mergeCell ref="A11977:E11977"/>
    <s:mergeCell ref="A9892:E9892"/>
    <s:mergeCell ref="A19679:E19679"/>
    <s:mergeCell ref="A5076:E5076"/>
    <s:mergeCell ref="A21465:E21465"/>
    <s:mergeCell ref="A19380:E19380"/>
    <s:mergeCell ref="A4771:E4771"/>
    <s:mergeCell ref="A10192:E10192"/>
    <s:mergeCell ref="A5376:E5376"/>
    <s:mergeCell ref="A20893:E20893"/>
    <s:mergeCell ref="A12189:E12189"/>
    <s:mergeCell ref="A10492:E10492"/>
    <s:mergeCell ref="A26493:E26493"/>
    <s:mergeCell ref="A10193:E10193"/>
    <s:mergeCell ref="A19407:E19407"/>
    <s:mergeCell ref="A17305:E17305"/>
    <s:mergeCell ref="A21193:E21193"/>
    <s:mergeCell ref="A12489:E12489"/>
    <s:mergeCell ref="A19108:E19108"/>
    <s:mergeCell ref="A3307:E3307"/>
    <s:mergeCell ref="A17611:E17611"/>
    <s:mergeCell ref="A26309:E26309"/>
    <s:mergeCell ref="A17605:E17605"/>
    <s:mergeCell ref="A24224:E24224"/>
    <s:mergeCell ref="A5087:E5087"/>
    <s:mergeCell ref="A3002:E3002"/>
    <s:mergeCell ref="A19408:E19408"/>
    <s:mergeCell ref="A26526:E26526"/>
    <s:mergeCell ref="A10220:E10220"/>
    <s:mergeCell ref="A17905:E17905"/>
    <s:mergeCell ref="A24524:E24524"/>
    <s:mergeCell ref="A3302:E3302"/>
    <s:mergeCell ref="A26826:E26826"/>
    <s:mergeCell ref="A28606:E28606"/>
    <s:mergeCell ref="A26521:E26521"/>
    <s:mergeCell ref="A17333:E17333"/>
    <s:mergeCell ref="A31637:E31637"/>
    <s:mergeCell ref="A26821:E26821"/>
    <s:mergeCell ref="A30157:E30157"/>
    <s:mergeCell ref="A19724:E19724"/>
    <s:mergeCell ref="A17639:E17639"/>
    <s:mergeCell ref="A17633:E17633"/>
    <s:mergeCell ref="A5115:E5115"/>
    <s:mergeCell ref="A3030:E3030"/>
    <s:mergeCell ref="A19419:E19419"/>
    <s:mergeCell ref="A17334:E17334"/>
    <s:mergeCell ref="A10231:E10231"/>
    <s:mergeCell ref="A8146:E8146"/>
    <s:mergeCell ref="A3330:E3330"/>
    <s:mergeCell ref="A30152:E30152"/>
    <s:mergeCell ref="A17634:E17634"/>
    <s:mergeCell ref="A24752:E24752"/>
    <s:mergeCell ref="A23055:E23055"/>
    <s:mergeCell ref="A24746:E24746"/>
    <s:mergeCell ref="A12228:E12228"/>
    <s:mergeCell ref="A10143:E10143"/>
    <s:mergeCell ref="A8446:E8446"/>
    <s:mergeCell ref="A15564:E15564"/>
    <s:mergeCell ref="A25052:E25052"/>
    <s:mergeCell ref="A22961:E22961"/>
    <s:mergeCell ref="B289:E289"/>
    <s:mergeCell ref="A1560:E1560"/>
    <s:mergeCell ref="A8746:E8746"/>
    <s:mergeCell ref="A15864:E15864"/>
    <s:mergeCell ref="A1255:E1255"/>
    <s:mergeCell ref="A15559:E15559"/>
    <s:mergeCell ref="A17861:E17861"/>
    <s:mergeCell ref="A14079:E14079"/>
    <s:mergeCell ref="B1802:E1802"/>
    <s:mergeCell ref="A15859:E15859"/>
    <s:mergeCell ref="A13774:E13774"/>
    <s:mergeCell ref="A3341:E3341"/>
    <s:mergeCell ref="A1256:E1256"/>
    <s:mergeCell ref="A22977:E22977"/>
    <s:mergeCell ref="A6677:E6677"/>
    <s:mergeCell ref="A16076:E16076"/>
    <s:mergeCell ref="A18161:E18161"/>
    <s:mergeCell ref="A24774:E24774"/>
    <s:mergeCell ref="B1803:E1803"/>
    <s:mergeCell ref="A23277:E23277"/>
    <s:mergeCell ref="A29896:E29896"/>
    <s:mergeCell ref="A6977:E6977"/>
    <s:mergeCell ref="A4892:E4892"/>
    <s:mergeCell ref="A6583:E6583"/>
    <s:mergeCell ref="A30107:E30107"/>
    <s:mergeCell ref="A15892:E15892"/>
    <s:mergeCell ref="A30196:E30196"/>
    <s:mergeCell ref="A21492:E21492"/>
    <s:mergeCell ref="A30407:E30407"/>
    <s:mergeCell ref="A14090:E14090"/>
    <s:mergeCell ref="A28411:E28411"/>
    <s:mergeCell ref="A23005:E23005"/>
    <s:mergeCell ref="A20920:E20920"/>
    <s:mergeCell ref="A13518:E13518"/>
    <s:mergeCell ref="A21220:E21220"/>
    <s:mergeCell ref="A23006:E23006"/>
    <s:mergeCell ref="A20915:E20915"/>
    <s:mergeCell ref="A30118:E30118"/>
    <s:mergeCell ref="A26336:E26336"/>
    <s:mergeCell ref="A13818:E13818"/>
    <s:mergeCell ref="A21520:E21520"/>
    <s:mergeCell ref="A28122:E28122"/>
    <s:mergeCell ref="A30418:E30418"/>
    <s:mergeCell ref="A28333:E28333"/>
    <s:mergeCell ref="A26636:E26636"/>
    <s:mergeCell ref="B22067:E22067"/>
    <s:mergeCell ref="A14118:E14118"/>
    <s:mergeCell ref="A12033:E12033"/>
    <s:mergeCell ref="B28669:E28669"/>
    <s:mergeCell ref="A28422:E28422"/>
    <s:mergeCell ref="A28633:E28633"/>
    <s:mergeCell ref="A12333:E12333"/>
    <s:mergeCell ref="A21536:E21536"/>
    <s:mergeCell ref="A19451:E19451"/>
    <s:mergeCell ref="B26878:E26878"/>
    <s:mergeCell ref="A9174:E9174"/>
    <s:mergeCell ref="A21231:E21231"/>
    <s:mergeCell ref="A19146:E19146"/>
    <s:mergeCell ref="A6628:E6628"/>
    <s:mergeCell ref="A8869:E8869"/>
    <s:mergeCell ref="B7474:E7474"/>
    <s:mergeCell ref="A19446:E19446"/>
    <s:mergeCell ref="A6928:E6928"/>
    <s:mergeCell ref="B7475:E7475"/>
    <s:mergeCell ref="A1767:E1767"/>
    <s:mergeCell ref="A287:E287"/>
    <s:mergeCell ref="A1978:E1978"/>
    <s:mergeCell ref="A2067:E2067"/>
    <s:mergeCell ref="A2284:E2284"/>
    <s:mergeCell ref="A193:E193"/>
    <s:mergeCell ref="B10806:E10806"/>
    <s:mergeCell ref="B10800:E10800"/>
    <s:mergeCell ref="A26375:E26375"/>
    <s:mergeCell ref="A24290:E24290"/>
    <s:mergeCell ref="A7400:E7400"/>
    <s:mergeCell ref="A5309:E5309"/>
    <s:mergeCell ref="A26592:E26592"/>
    <s:mergeCell ref="A7095:E7095"/>
    <s:mergeCell ref="A28372:E28372"/>
    <s:mergeCell ref="A26287:E26287"/>
    <s:mergeCell ref="A24590:E24590"/>
    <s:mergeCell ref="A7700:E7700"/>
    <s:mergeCell ref="A26892:E26892"/>
    <s:mergeCell ref="A26587:E26587"/>
    <s:mergeCell ref="A21731:E21731"/>
    <s:mergeCell ref="A9213:E9213"/>
    <s:mergeCell ref="A7128:E7128"/>
    <s:mergeCell ref="A14830:E14830"/>
    <s:mergeCell ref="B27134:E27134"/>
    <s:mergeCell ref="A8908:E8908"/>
    <s:mergeCell ref="A14525:E14525"/>
    <s:mergeCell ref="A23728:E23728"/>
    <s:mergeCell ref="A22031:E22031"/>
    <s:mergeCell ref="A19946:E19946"/>
    <s:mergeCell ref="A7428:E7428"/>
    <s:mergeCell ref="B15360:E15360"/>
    <s:mergeCell ref="A21732:E21732"/>
    <s:mergeCell ref="A19641:E19641"/>
    <s:mergeCell ref="A9208:E9208"/>
    <s:mergeCell ref="A7123:E7123"/>
    <s:mergeCell ref="B18252:E18252"/>
    <s:mergeCell ref="A12544:E12544"/>
    <s:mergeCell ref="A21943:E21943"/>
    <s:mergeCell ref="A24028:E24028"/>
    <s:mergeCell ref="A7728:E7728"/>
    <s:mergeCell ref="A5643:E5643"/>
    <s:mergeCell ref="A7423:E7423"/>
    <s:mergeCell ref="A29144:E29144"/>
    <s:mergeCell ref="A27059:E27059"/>
    <s:mergeCell ref="A14541:E14541"/>
    <s:mergeCell ref="A12844:E12844"/>
    <s:mergeCell ref="A10759:E10759"/>
    <s:mergeCell ref="A326:E326"/>
    <s:mergeCell ref="A22243:E22243"/>
    <s:mergeCell ref="A15146:E15146"/>
    <s:mergeCell ref="A13061:E13061"/>
    <s:mergeCell ref="A19657:E19657"/>
    <s:mergeCell ref="A27359:E27359"/>
    <s:mergeCell ref="A14841:E14841"/>
    <s:mergeCell ref="A29145:E29145"/>
    <s:mergeCell ref="A3568:E3568"/>
    <s:mergeCell ref="A19957:E19957"/>
    <s:mergeCell ref="A27659:E27659"/>
    <s:mergeCell ref="A5354:E5354"/>
    <s:mergeCell ref="A15141:E15141"/>
    <s:mergeCell ref="A13056:E13056"/>
    <s:mergeCell ref="A18477:E18477"/>
    <s:mergeCell ref="A5654:E5654"/>
    <s:mergeCell ref="A3563:E3563"/>
    <s:mergeCell ref="A27087:E27087"/>
    <s:mergeCell ref="A19685:E19685"/>
    <s:mergeCell ref="A10981:E10981"/>
    <s:mergeCell ref="B20716:E20716"/>
    <s:mergeCell ref="B11528:E11528"/>
    <s:mergeCell ref="A3579:E3579"/>
    <s:mergeCell ref="A19985:E19985"/>
    <s:mergeCell ref="A11281:E11281"/>
    <s:mergeCell ref="A17900:E17900"/>
    <s:mergeCell ref="A1794:E1794"/>
    <s:mergeCell ref="A18200:E18200"/>
    <s:mergeCell ref="A27403:E27403"/>
    <s:mergeCell ref="A25318:E25318"/>
    <s:mergeCell ref="A27098:E27098"/>
    <s:mergeCell ref="A12495:E12495"/>
    <s:mergeCell ref="A2094:E2094"/>
    <s:mergeCell ref="A25618:E25618"/>
    <s:mergeCell ref="A11009:E11009"/>
    <s:mergeCell ref="A25313:E25313"/>
    <s:mergeCell ref="A12795:E12795"/>
    <s:mergeCell ref="A18216:E18216"/>
    <s:mergeCell ref="A27099:E27099"/>
    <s:mergeCell ref="A25918:E25918"/>
    <s:mergeCell ref="A17911:E17911"/>
    <s:mergeCell ref="A25613:E25613"/>
    <s:mergeCell ref="A13095:E13095"/>
    <s:mergeCell ref="A11010:E11010"/>
    <s:mergeCell ref="A16431:E16431"/>
    <s:mergeCell ref="A3907:E3907"/>
    <s:mergeCell ref="A1822:E1822"/>
    <s:mergeCell ref="A11025:E11025"/>
    <s:mergeCell ref="A8940:E8940"/>
    <s:mergeCell ref="A18211:E18211"/>
    <s:mergeCell ref="A16126:E16126"/>
    <s:mergeCell ref="A2427:E2427"/>
    <s:mergeCell ref="A30946:E30946"/>
    <s:mergeCell ref="A20513:E20513"/>
    <s:mergeCell ref="A18428:E18428"/>
    <s:mergeCell ref="A18422:E18422"/>
    <s:mergeCell ref="A9240:E9240"/>
    <s:mergeCell ref="A16426:E16426"/>
    <s:mergeCell ref="A25629:E25629"/>
    <s:mergeCell ref="A23544:E23544"/>
    <s:mergeCell ref="B31493:E31493"/>
    <s:mergeCell ref="A31246:E31246"/>
    <s:mergeCell ref="A9329:E9329"/>
    <s:mergeCell ref="A7244:E7244"/>
    <s:mergeCell ref="A11020:E11020"/>
    <s:mergeCell ref="A8935:E8935"/>
    <s:mergeCell ref="A1838:E1838"/>
    <s:mergeCell ref="A9540:E9540"/>
    <s:mergeCell ref="A7455:E7455"/>
    <s:mergeCell ref="A25541:E25541"/>
    <s:mergeCell ref="A23844:E23844"/>
    <s:mergeCell ref="A1533:E1533"/>
    <s:mergeCell ref="A9235:E9235"/>
    <s:mergeCell ref="A2138:E2138"/>
    <s:mergeCell ref="A53:E53"/>
    <s:mergeCell ref="B9782:E9782"/>
    <s:mergeCell ref="A1833:E1833"/>
    <s:mergeCell ref="A25357:E25357"/>
    <s:mergeCell ref="A16653:E16653"/>
    <s:mergeCell ref="A23272:E23272"/>
    <s:mergeCell ref="A353:E353"/>
    <s:mergeCell ref="A30957:E30957"/>
    <s:mergeCell ref="A2133:E2133"/>
    <s:mergeCell ref="A48:E48"/>
    <s:mergeCell ref="A16953:E16953"/>
    <s:mergeCell ref="A14868:E14868"/>
    <s:mergeCell ref="A23572:E23572"/>
    <s:mergeCell ref="A28688:E28688"/>
    <s:mergeCell ref="A23872:E23872"/>
    <s:mergeCell ref="A30685:E30685"/>
    <s:mergeCell ref="B8013:E8013"/>
    <s:mergeCell ref="A28988:E28988"/>
    <s:mergeCell ref="A31290:E31290"/>
    <s:mergeCell ref="A29205:E29205"/>
    <s:mergeCell ref="B9793:E9793"/>
    <s:mergeCell ref="A8979:E8979"/>
    <s:mergeCell ref="A21797:E21797"/>
    <s:mergeCell ref="A19712:E19712"/>
    <s:mergeCell ref="A9279:E9279"/>
    <s:mergeCell ref="A21498:E21498"/>
    <s:mergeCell ref="A31285:E31285"/>
    <s:mergeCell ref="A29200:E29200"/>
    <s:mergeCell ref="A12310:E12310"/>
    <s:mergeCell ref="A23794:E23794"/>
    <s:mergeCell ref="A7494:E7494"/>
    <s:mergeCell ref="B823:E823"/>
    <s:mergeCell ref="A21798:E21798"/>
    <s:mergeCell ref="A21792:E21792"/>
    <s:mergeCell ref="A24094:E24094"/>
    <s:mergeCell ref="A22009:E22009"/>
    <s:mergeCell ref="A7794:E7794"/>
    <s:mergeCell ref="A14912:E14912"/>
    <s:mergeCell ref="A22098:E22098"/>
    <s:mergeCell ref="A4635:E4635"/>
    <s:mergeCell ref="A29216:E29216"/>
    <s:mergeCell ref="B14854:E14854"/>
    <s:mergeCell ref="A27125:E27125"/>
    <s:mergeCell ref="A29210:E29210"/>
    <s:mergeCell ref="A14607:E14607"/>
    <s:mergeCell ref="A12910:E12910"/>
    <s:mergeCell ref="A2633:E2633"/>
    <s:mergeCell ref="A28911:E28911"/>
    <s:mergeCell ref="A15212:E15212"/>
    <s:mergeCell ref="A21825:E21825"/>
    <s:mergeCell ref="A4935:E4935"/>
    <s:mergeCell ref="A2850:E2850"/>
    <s:mergeCell ref="A27425:E27425"/>
    <s:mergeCell ref="A14907:E14907"/>
    <s:mergeCell ref="A4630:E4630"/>
    <s:mergeCell ref="A2545:E2545"/>
    <s:mergeCell ref="B13674:E13674"/>
    <s:mergeCell ref="A10051:E10051"/>
    <s:mergeCell ref="B30063:E30063"/>
    <s:mergeCell ref="A3150:E3150"/>
    <s:mergeCell ref="A7661:E7661"/>
    <s:mergeCell ref="A2845:E2845"/>
    <s:mergeCell ref="A28944:E28944"/>
    <s:mergeCell ref="A8266:E8266"/>
    <s:mergeCell ref="A10052:E10052"/>
    <s:mergeCell ref="A29244:E29244"/>
    <s:mergeCell ref="A9747:E9747"/>
    <s:mergeCell ref="A8566:E8566"/>
    <s:mergeCell ref="B6267:E6267"/>
    <s:mergeCell ref="A19751:E19751"/>
    <s:mergeCell ref="A2861:E2861"/>
    <s:mergeCell ref="B6567:E6567"/>
    <s:mergeCell ref="A20051:E20051"/>
    <s:mergeCell ref="A3161:E3161"/>
    <s:mergeCell ref="A1076:E1076"/>
    <s:mergeCell ref="A1070:E1070"/>
    <s:mergeCell ref="A7689:E7689"/>
    <s:mergeCell ref="A15380:E15380"/>
    <s:mergeCell ref="B1617:E1617"/>
    <s:mergeCell ref="A7995:E7995"/>
    <s:mergeCell ref="A15107:E15107"/>
    <s:mergeCell ref="A29411:E29411"/>
    <s:mergeCell ref="A15196:E15196"/>
    <s:mergeCell ref="A15407:E15407"/>
    <s:mergeCell ref="A27470:E27470"/>
    <s:mergeCell ref="A29711:E29711"/>
    <s:mergeCell ref="A17193:E17193"/>
    <s:mergeCell ref="A15102:E15102"/>
    <s:mergeCell ref="A2584:E2584"/>
    <s:mergeCell ref="A8005:E8005"/>
    <s:mergeCell ref="A5920:E5920"/>
    <s:mergeCell ref="B28017:E28017"/>
    <s:mergeCell ref="A1104:E1104"/>
    <s:mergeCell ref="A30011:E30011"/>
    <s:mergeCell ref="A27926:E27926"/>
    <s:mergeCell ref="A17493:E17493"/>
    <s:mergeCell ref="A15408:E15408"/>
    <s:mergeCell ref="A15402:E15402"/>
    <s:mergeCell ref="A799:E799"/>
    <s:mergeCell ref="A22520:E22520"/>
    <s:mergeCell ref="A6220:E6220"/>
    <s:mergeCell ref="A8006:E8006"/>
    <s:mergeCell ref="A8000:E8000"/>
    <s:mergeCell ref="A5915:E5915"/>
    <s:mergeCell ref="A22826:E22826"/>
    <s:mergeCell ref="A22820:E22820"/>
    <s:mergeCell ref="A20735:E20735"/>
    <s:mergeCell ref="A8217:E8217"/>
    <s:mergeCell ref="A6520:E6520"/>
    <s:mergeCell ref="A22521:E22521"/>
    <s:mergeCell ref="A6215:E6215"/>
    <s:mergeCell ref="A13333:E13333"/>
    <s:mergeCell ref="A13938:E13938"/>
    <s:mergeCell ref="A11853:E11853"/>
    <s:mergeCell ref="A28242:E28242"/>
    <s:mergeCell ref="A13633:E13633"/>
    <s:mergeCell ref="A1115:E1115"/>
    <s:mergeCell ref="A6231:E6231"/>
    <s:mergeCell ref="A4146:E4146"/>
    <s:mergeCell ref="A4751:E4751"/>
    <s:mergeCell ref="A6442:E6442"/>
    <s:mergeCell ref="A29450:E29450"/>
    <s:mergeCell ref="A20746:E20746"/>
    <s:mergeCell ref="A11564:E11564"/>
    <s:mergeCell ref="A15452:E15452"/>
    <s:mergeCell ref="A13361:E13361"/>
    <s:mergeCell ref="A4657:E4657"/>
    <s:mergeCell ref="A29750:E29750"/>
    <s:mergeCell ref="A27665:E27665"/>
    <s:mergeCell ref="A11864:E11864"/>
    <s:mergeCell ref="A26185:E26185"/>
    <s:mergeCell ref="A29961:E29961"/>
    <s:mergeCell ref="A13661:E13661"/>
    <s:mergeCell ref="A20779:E20779"/>
    <s:mergeCell ref="A27965:E27965"/>
    <s:mergeCell ref="A12164:E12164"/>
    <s:mergeCell ref="A18777:E18777"/>
    <s:mergeCell ref="B12106:E12106"/>
    <s:mergeCell ref="A21079:E21079"/>
    <s:mergeCell ref="A18994:E18994"/>
    <s:mergeCell ref="A28265:E28265"/>
    <s:mergeCell ref="B14408:E14408"/>
    <s:mergeCell ref="B10626:E10626"/>
    <s:mergeCell ref="A20780:E20780"/>
    <s:mergeCell ref="A20774:E20774"/>
    <s:mergeCell ref="A27892:E27892"/>
    <s:mergeCell ref="A26195:E26195"/>
    <s:mergeCell ref="A11592:E11592"/>
    <s:mergeCell ref="A19294:E19294"/>
    <s:mergeCell ref="A25896:E25896"/>
    <s:mergeCell ref="A13372:E13372"/>
    <s:mergeCell ref="A11287:E11287"/>
    <s:mergeCell ref="A28192:E28192"/>
    <s:mergeCell ref="A24410:E24410"/>
    <s:mergeCell ref="A11892:E11892"/>
    <s:mergeCell ref="A26196:E26196"/>
    <s:mergeCell ref="B11834:E11834"/>
    <s:mergeCell ref="A4401:E4401"/>
    <s:mergeCell ref="A11587:E11587"/>
    <s:mergeCell ref="A18705:E18705"/>
    <s:mergeCell ref="A25891:E25891"/>
    <s:mergeCell ref="A26407:E26407"/>
    <s:mergeCell ref="A10107:E10107"/>
    <s:mergeCell ref="A11798:E11798"/>
    <s:mergeCell ref="A28193:E28193"/>
    <s:mergeCell ref="A4701:E4701"/>
    <s:mergeCell ref="A2616:E2616"/>
    <s:mergeCell ref="A9802:E9802"/>
    <s:mergeCell ref="A31523:E31523"/>
    <s:mergeCell ref="A19005:E19005"/>
    <s:mergeCell ref="A26707:E26707"/>
    <s:mergeCell ref="A4402:E4402"/>
    <s:mergeCell ref="A2705:E2705"/>
    <s:mergeCell ref="B26649:E26649"/>
    <s:mergeCell ref="A2916:E2916"/>
    <s:mergeCell ref="A19305:E19305"/>
    <s:mergeCell ref="A17220:E17220"/>
    <s:mergeCell ref="A4702:E4702"/>
    <s:mergeCell ref="A4696:E4696"/>
    <s:mergeCell ref="A2611:E2611"/>
    <s:mergeCell ref="A9818:E9818"/>
    <s:mergeCell ref="A17520:E17520"/>
    <s:mergeCell ref="B5243:E5243"/>
    <s:mergeCell ref="A9513:E9513"/>
    <s:mergeCell ref="A8332:E8332"/>
    <s:mergeCell ref="A26418:E26418"/>
    <s:mergeCell ref="A24333:E24333"/>
    <s:mergeCell ref="A10118:E10118"/>
    <s:mergeCell ref="A10329:E10329"/>
    <s:mergeCell ref="A16948:E16948"/>
    <s:mergeCell ref="A631:E631"/>
    <s:mergeCell ref="A15451:E15451"/>
    <s:mergeCell ref="B10876:E10876"/>
    <s:mergeCell ref="A26146:E26146"/>
    <s:mergeCell ref="A22364:E22364"/>
    <s:mergeCell ref="B11176:E11176"/>
    <s:mergeCell ref="B1478:E1478"/>
    <s:mergeCell ref="A15446:E15446"/>
    <s:mergeCell ref="A5169:E5169"/>
    <s:mergeCell ref="A26446:E26446"/>
    <s:mergeCell ref="A24361:E24361"/>
    <s:mergeCell ref="A15173:E15173"/>
    <s:mergeCell ref="A29477:E29477"/>
    <s:mergeCell ref="A16959:E16959"/>
    <s:mergeCell ref="A24661:E24661"/>
    <s:mergeCell ref="A30082:E30082"/>
    <s:mergeCell ref="A27997:E27997"/>
    <s:mergeCell ref="A17564:E17564"/>
    <s:mergeCell ref="A15479:E15479"/>
    <s:mergeCell ref="A15473:E15473"/>
    <s:mergeCell ref="A22075:E22075"/>
    <s:mergeCell ref="A17259:E17259"/>
    <s:mergeCell ref="A22375:E22375"/>
    <s:mergeCell ref="A30077:E30077"/>
    <s:mergeCell ref="A15474:E15474"/>
    <s:mergeCell ref="A22592:E22592"/>
    <s:mergeCell ref="A20895:E20895"/>
    <s:mergeCell ref="A22586:E22586"/>
    <s:mergeCell ref="A17431:E17431"/>
    <s:mergeCell ref="A22892:E22892"/>
    <s:mergeCell ref="A22886:E22886"/>
    <s:mergeCell ref="A8833:E8833"/>
    <s:mergeCell ref="A3427:E3427"/>
    <s:mergeCell ref="A10830:E10830"/>
    <s:mergeCell ref="A1642:E1642"/>
    <s:mergeCell ref="A18031:E18031"/>
    <s:mergeCell ref="A15946:E15946"/>
    <s:mergeCell ref="A5513:E5513"/>
    <s:mergeCell ref="A3428:E3428"/>
    <s:mergeCell ref="A3422:E3422"/>
    <s:mergeCell ref="A1337:E1337"/>
    <s:mergeCell ref="A3123:E3123"/>
    <s:mergeCell ref="B14246:E14246"/>
    <s:mergeCell ref="B19579:E19579"/>
    <s:mergeCell ref="A28036:E28036"/>
    <s:mergeCell ref="A1353:E1353"/>
    <s:mergeCell ref="A3156:E3156"/>
    <s:mergeCell ref="A10841:E10841"/>
    <s:mergeCell ref="A28336:E28336"/>
    <s:mergeCell ref="A1653:E1653"/>
    <s:mergeCell ref="A3456:E3456"/>
    <s:mergeCell ref="B19574:E19574"/>
    <s:mergeCell ref="A24872:E24872"/>
    <s:mergeCell ref="A1953:E1953"/>
    <s:mergeCell ref="A1654:E1654"/>
    <s:mergeCell ref="A8783:E8783"/>
    <s:mergeCell ref="A25172:E25172"/>
    <s:mergeCell ref="A23087:E23087"/>
    <s:mergeCell ref="B415:E415"/>
    <s:mergeCell ref="A10569:E10569"/>
    <s:mergeCell ref="A8872:E8872"/>
    <s:mergeCell ref="A6787:E6787"/>
    <s:mergeCell ref="A12654:E12654"/>
    <s:mergeCell ref="A24873:E24873"/>
    <s:mergeCell ref="A23692:E23692"/>
    <s:mergeCell ref="A1381:E1381"/>
    <s:mergeCell ref="A15685:E15685"/>
    <s:mergeCell ref="B21387:E21387"/>
    <s:mergeCell ref="B2412:E2412"/>
    <s:mergeCell ref="A23387:E23387"/>
    <s:mergeCell ref="A15896:E15896"/>
    <s:mergeCell ref="A17682:E17682"/>
    <s:mergeCell ref="A15985:E15985"/>
    <s:mergeCell ref="A1382:E1382"/>
    <s:mergeCell ref="A1376:E1376"/>
    <s:mergeCell ref="A30500:E30500"/>
    <s:mergeCell ref="A9099:E9099"/>
    <s:mergeCell ref="A6498:E6498"/>
    <s:mergeCell ref="A16285:E16285"/>
    <s:mergeCell ref="A14200:E14200"/>
    <s:mergeCell ref="A23403:E23403"/>
    <s:mergeCell ref="A21318:E21318"/>
    <s:mergeCell ref="A8794:E8794"/>
    <s:mergeCell ref="A23098:E23098"/>
    <s:mergeCell ref="A21618:E21618"/>
    <s:mergeCell ref="A21612:E21612"/>
    <s:mergeCell ref="A28231:E28231"/>
    <s:mergeCell ref="A7009:E7009"/>
    <s:mergeCell ref="A23398:E23398"/>
    <s:mergeCell ref="A21313:E21313"/>
    <s:mergeCell ref="A8795:E8795"/>
    <s:mergeCell ref="A7614:E7614"/>
    <s:mergeCell ref="A30228:E30228"/>
    <s:mergeCell ref="A14516:E14516"/>
    <s:mergeCell ref="A12431:E12431"/>
    <s:mergeCell ref="A14122:E14122"/>
    <s:mergeCell ref="A30528:E30528"/>
    <s:mergeCell ref="A23431:E23431"/>
    <s:mergeCell ref="A118:E118"/>
    <s:mergeCell ref="A23126:E23126"/>
    <s:mergeCell ref="A7325:E7325"/>
    <s:mergeCell ref="A5240:E5240"/>
    <s:mergeCell ref="A21646:E21646"/>
    <s:mergeCell ref="A7020:E7020"/>
    <s:mergeCell ref="A21341:E21341"/>
    <s:mergeCell ref="A28459:E28459"/>
    <s:mergeCell ref="A5540:E5540"/>
    <s:mergeCell ref="A12153:E12153"/>
    <s:mergeCell ref="B20091:E20091"/>
    <s:mergeCell ref="A28548:E28548"/>
    <s:mergeCell ref="A21641:E21641"/>
    <s:mergeCell ref="A28759:E28759"/>
    <s:mergeCell ref="A27062:E27062"/>
    <s:mergeCell ref="A12459:E12459"/>
    <s:mergeCell ref="A14150:E14150"/>
    <s:mergeCell ref="A28454:E28454"/>
    <s:mergeCell ref="A7053:E7053"/>
    <s:mergeCell ref="A29059:E29059"/>
    <s:mergeCell ref="A26974:E26974"/>
    <s:mergeCell ref="A6748:E6748"/>
    <s:mergeCell ref="A14450:E14450"/>
    <s:mergeCell ref="A21052:E21052"/>
    <s:mergeCell ref="A19871:E19871"/>
    <s:mergeCell ref="A5268:E5268"/>
    <s:mergeCell ref="B29606:E29606"/>
    <s:mergeCell ref="A21657:E21657"/>
    <s:mergeCell ref="A19566:E19566"/>
    <s:mergeCell ref="A7048:E7048"/>
    <s:mergeCell ref="A4963:E4963"/>
    <s:mergeCell ref="A21352:E21352"/>
    <s:mergeCell ref="A19783:E19783"/>
    <s:mergeCell ref="A5568:E5568"/>
    <s:mergeCell ref="A19872:E19872"/>
    <s:mergeCell ref="A26990:E26990"/>
    <s:mergeCell ref="A26984:E26984"/>
    <s:mergeCell ref="A12381:E12381"/>
    <s:mergeCell ref="A26685:E26685"/>
    <s:mergeCell ref="A12470:E12470"/>
    <s:mergeCell ref="A12986:E12986"/>
    <s:mergeCell ref="A17497:E17497"/>
    <s:mergeCell ref="A25199:E25199"/>
    <s:mergeCell ref="A12681:E12681"/>
    <s:mergeCell ref="A26985:E26985"/>
    <s:mergeCell ref="A3493:E3493"/>
    <s:mergeCell ref="A17803:E17803"/>
    <s:mergeCell ref="A19494:E19494"/>
    <s:mergeCell ref="A17797:E17797"/>
    <s:mergeCell ref="A5279:E5279"/>
    <s:mergeCell ref="A3194:E3194"/>
    <s:mergeCell ref="A12981:E12981"/>
    <s:mergeCell ref="A10896:E10896"/>
    <s:mergeCell ref="A18097:E18097"/>
    <s:mergeCell ref="A16012:E16012"/>
    <s:mergeCell ref="A3494:E3494"/>
    <s:mergeCell ref="A3488:E3488"/>
    <s:mergeCell ref="A17798:E17798"/>
    <s:mergeCell ref="A24910:E24910"/>
    <s:mergeCell ref="A28798:E28798"/>
    <s:mergeCell ref="A26713:E26713"/>
    <s:mergeCell ref="A17525:E17525"/>
    <s:mergeCell ref="A25210:E25210"/>
    <s:mergeCell ref="B20641:E20641"/>
    <s:mergeCell ref="A330:E330"/>
    <s:mergeCell ref="A17825:E17825"/>
    <s:mergeCell ref="A27313:E27313"/>
    <s:mergeCell ref="A630:E630"/>
    <s:mergeCell ref="A30649:E30649"/>
    <s:mergeCell ref="A25243:E25243"/>
    <s:mergeCell ref="A30344:E30344"/>
    <s:mergeCell ref="A24944:E24944"/>
    <s:mergeCell ref="A24938:E24938"/>
    <s:mergeCell ref="A10335:E10335"/>
    <s:mergeCell ref="A23458:E23458"/>
    <s:mergeCell ref="A25244:E25244"/>
    <s:mergeCell ref="A25238:E25238"/>
    <s:mergeCell ref="A23153:E23153"/>
    <s:mergeCell ref="A10635:E10635"/>
    <s:mergeCell ref="A24939:E24939"/>
    <s:mergeCell ref="A30360:E30360"/>
    <s:mergeCell ref="A15751:E15751"/>
    <s:mergeCell ref="B2478:E2478"/>
    <s:mergeCell ref="A8850:E8850"/>
    <s:mergeCell ref="A16356:E16356"/>
    <s:mergeCell ref="A30266:E30266"/>
    <s:mergeCell ref="A17748:E17748"/>
    <s:mergeCell ref="A16051:E16051"/>
    <s:mergeCell ref="A7471:E7471"/>
    <s:mergeCell ref="A3689:E3689"/>
    <s:mergeCell ref="A30871:E30871"/>
    <s:mergeCell ref="A4294:E4294"/>
    <s:mergeCell ref="A3989:E3989"/>
    <s:mergeCell ref="A13192:E13192"/>
    <s:mergeCell ref="A6291:E6291"/>
    <s:mergeCell ref="A4005:E4005"/>
    <s:mergeCell ref="A30294:E30294"/>
    <s:mergeCell ref="A23197:E23197"/>
    <s:mergeCell ref="A4305:E4305"/>
    <s:mergeCell ref="A2220:E2220"/>
    <s:mergeCell ref="A11135:E11135"/>
    <s:mergeCell ref="A6302:E6302"/>
    <s:mergeCell ref="A4217:E4217"/>
    <s:mergeCell ref="A25650:E25650"/>
    <s:mergeCell ref="A11435:E11435"/>
    <s:mergeCell ref="A9333:E9333"/>
    <s:mergeCell ref="A11130:E11130"/>
    <s:mergeCell ref="A16551:E16551"/>
    <s:mergeCell ref="A4033:E4033"/>
    <s:mergeCell ref="A18337:E18337"/>
    <s:mergeCell ref="A18853:E18853"/>
    <s:mergeCell ref="A18548:E18548"/>
    <s:mergeCell ref="A16851:E16851"/>
    <s:mergeCell ref="A16552:E16552"/>
    <s:mergeCell ref="A31372:E31372"/>
    <s:mergeCell ref="A11146:E11146"/>
    <s:mergeCell ref="A18848:E18848"/>
    <s:mergeCell ref="A20634:E20634"/>
    <s:mergeCell ref="A18549:E18549"/>
    <s:mergeCell ref="A23970:E23970"/>
    <s:mergeCell ref="A23964:E23964"/>
    <s:mergeCell ref="A9361:E9361"/>
    <s:mergeCell ref="A16479:E16479"/>
    <s:mergeCell ref="A25750:E25750"/>
    <s:mergeCell ref="A23665:E23665"/>
    <s:mergeCell ref="A9966:E9966"/>
    <s:mergeCell ref="A7881:E7881"/>
    <s:mergeCell ref="A25967:E25967"/>
    <s:mergeCell ref="A23876:E23876"/>
    <s:mergeCell ref="A1959:E1959"/>
    <s:mergeCell ref="A2475:E2475"/>
    <s:mergeCell ref="A9661:E9661"/>
    <s:mergeCell ref="A16779:E16779"/>
    <s:mergeCell ref="A23965:E23965"/>
    <s:mergeCell ref="A2170:E2170"/>
    <s:mergeCell ref="A473:E473"/>
    <s:mergeCell ref="A16474:E16474"/>
    <s:mergeCell ref="A2259:E2259"/>
    <s:mergeCell ref="A690:E690"/>
    <s:mergeCell ref="A2775:E2775"/>
    <s:mergeCell ref="A9961:E9961"/>
    <s:mergeCell ref="A17079:E17079"/>
    <s:mergeCell ref="A14994:E14994"/>
    <s:mergeCell ref="A2470:E2470"/>
    <s:mergeCell ref="A31383:E31383"/>
    <s:mergeCell ref="B17021:E17021"/>
    <s:mergeCell ref="A16774:E16774"/>
    <s:mergeCell ref="A4256:E4256"/>
    <s:mergeCell ref="A474:E474"/>
    <s:mergeCell ref="A7592:E7592"/>
    <s:mergeCell ref="A30811:E30811"/>
    <s:mergeCell ref="A7892:E7892"/>
    <s:mergeCell ref="A401:E401"/>
    <s:mergeCell ref="A9672:E9672"/>
    <s:mergeCell ref="A7587:E7587"/>
    <s:mergeCell ref="B15536:E15536"/>
    <s:mergeCell ref="A31111:E31111"/>
    <s:mergeCell ref="A9889:E9889"/>
    <s:mergeCell ref="A16502:E16502"/>
    <s:mergeCell ref="A701:E701"/>
    <s:mergeCell ref="A15005:E15005"/>
    <s:mergeCell ref="A31411:E31411"/>
    <s:mergeCell ref="A12914:E12914"/>
    <s:mergeCell ref="A396:E396"/>
    <s:mergeCell ref="A16802:E16802"/>
    <s:mergeCell ref="A31106:E31106"/>
    <s:mergeCell ref="A1001:E1001"/>
    <s:mergeCell ref="A21924:E21924"/>
    <s:mergeCell ref="A13220:E13220"/>
    <s:mergeCell ref="A21918:E21918"/>
    <s:mergeCell ref="A7920:E7920"/>
    <s:mergeCell ref="A22224:E22224"/>
    <s:mergeCell ref="A12947:E12947"/>
    <s:mergeCell ref="A29336:E29336"/>
    <s:mergeCell ref="A27251:E27251"/>
    <s:mergeCell ref="A14733:E14733"/>
    <s:mergeCell ref="A22435:E22435"/>
    <s:mergeCell ref="A19849:E19849"/>
    <s:mergeCell ref="A31333:E31333"/>
    <s:mergeCell ref="A27551:E27551"/>
    <s:mergeCell ref="A15033:E15033"/>
    <s:mergeCell ref="A11251:E11251"/>
    <s:mergeCell ref="A29337:E29337"/>
    <s:mergeCell ref="A28156:E28156"/>
    <s:mergeCell ref="A27246:E27246"/>
    <s:mergeCell ref="A5845:E5845"/>
    <s:mergeCell ref="A20149:E20149"/>
    <s:mergeCell ref="A29548:E29548"/>
    <s:mergeCell ref="A27851:E27851"/>
    <s:mergeCell ref="A5546:E5546"/>
    <s:mergeCell ref="A15333:E15333"/>
    <s:mergeCell ref="A724:E724"/>
    <s:mergeCell ref="A29637:E29637"/>
    <s:mergeCell ref="A4060:E4060"/>
    <s:mergeCell ref="A22146:E22146"/>
    <s:mergeCell ref="A20449:E20449"/>
    <s:mergeCell ref="A18364:E18364"/>
    <s:mergeCell ref="B13795:E13795"/>
    <s:mergeCell ref="A5846:E5846"/>
    <s:mergeCell ref="A5840:E5840"/>
    <s:mergeCell ref="A3755:E3755"/>
    <s:mergeCell ref="A22751:E22751"/>
    <s:mergeCell ref="A20150:E20150"/>
    <s:mergeCell ref="A20666:E20666"/>
    <s:mergeCell ref="A29364:E29364"/>
    <s:mergeCell ref="A20660:E20660"/>
    <s:mergeCell ref="A27279:E27279"/>
    <s:mergeCell ref="B22693:E22693"/>
    <s:mergeCell ref="A22446:E22446"/>
    <s:mergeCell ref="A27867:E27867"/>
    <s:mergeCell ref="A25782:E25782"/>
    <s:mergeCell ref="A6357:E6357"/>
    <s:mergeCell ref="A27562:E27562"/>
    <s:mergeCell ref="A26082:E26082"/>
    <s:mergeCell ref="A13170:E13170"/>
    <s:mergeCell ref="A11773:E11773"/>
    <s:mergeCell ref="A27290:E27290"/>
    <s:mergeCell ref="A4072:E4072"/>
    <s:mergeCell ref="A11201:E11201"/>
    <s:mergeCell ref="A27590:E27590"/>
    <s:mergeCell ref="A25505:E25505"/>
    <s:mergeCell ref="A25805:E25805"/>
    <s:mergeCell ref="A18919:E18919"/>
    <s:mergeCell ref="A20705:E20705"/>
    <s:mergeCell ref="A18620:E18620"/>
    <s:mergeCell ref="A18614:E18614"/>
    <s:mergeCell ref="A20400:E20400"/>
    <s:mergeCell ref="A25821:E25821"/>
    <s:mergeCell ref="A23736:E23736"/>
    <s:mergeCell ref="A31438:E31438"/>
    <s:mergeCell ref="A11212:E11212"/>
    <s:mergeCell ref="A18914:E18914"/>
    <s:mergeCell ref="A25516:E25516"/>
    <s:mergeCell ref="A24036:E24036"/>
    <s:mergeCell ref="A11518:E11518"/>
    <s:mergeCell ref="B11759:E11759"/>
    <s:mergeCell ref="A24030:E24030"/>
    <s:mergeCell ref="A25816:E25816"/>
    <s:mergeCell ref="A23731:E23731"/>
    <s:mergeCell ref="A26033:E26033"/>
    <s:mergeCell ref="A11974:E11974"/>
    <s:mergeCell ref="A6657:E6657"/>
    <s:mergeCell ref="A4572:E4572"/>
    <s:mergeCell ref="A6868:E6868"/>
    <s:mergeCell ref="A4783:E4783"/>
    <s:mergeCell ref="A21172:E21172"/>
    <s:mergeCell ref="A6569:E6569"/>
    <s:mergeCell ref="A4872:E4872"/>
    <s:mergeCell ref="A5083:E5083"/>
    <s:mergeCell ref="A21472:E21472"/>
    <s:mergeCell ref="A19387:E19387"/>
    <s:mergeCell ref="A30877:E30877"/>
    <s:mergeCell ref="A31177:E31177"/>
    <s:mergeCell ref="B8505:E8505"/>
    <s:mergeCell ref="A4494:E4494"/>
    <s:mergeCell ref="A31477:E31477"/>
    <s:mergeCell ref="A29392:E29392"/>
    <s:mergeCell ref="A28318:E28318"/>
    <s:mergeCell ref="A6591:E6591"/>
    <s:mergeCell ref="B23320:E23320"/>
    <s:mergeCell ref="A26316:E26316"/>
    <s:mergeCell ref="A24231:E24231"/>
    <s:mergeCell ref="A5094:E5094"/>
    <s:mergeCell ref="A3009:E3009"/>
    <s:mergeCell ref="A11713:E11713"/>
    <s:mergeCell ref="A28618:E28618"/>
    <s:mergeCell ref="A26533:E26533"/>
    <s:mergeCell ref="A28313:E28313"/>
    <s:mergeCell ref="A12013:E12013"/>
    <s:mergeCell ref="A19131:E19131"/>
    <s:mergeCell ref="A26833:E26833"/>
    <s:mergeCell ref="A12224:E12224"/>
    <s:mergeCell ref="A26528:E26528"/>
    <s:mergeCell ref="B3856:E3856"/>
    <s:mergeCell ref="A12313:E12313"/>
    <s:mergeCell ref="A10228:E10228"/>
    <s:mergeCell ref="A19431:E19431"/>
    <s:mergeCell ref="A4828:E4828"/>
    <s:mergeCell ref="A17340:E17340"/>
    <s:mergeCell ref="A4822:E4822"/>
    <s:mergeCell ref="A19126:E19126"/>
    <s:mergeCell ref="A3342:E3342"/>
    <s:mergeCell ref="A17646:E17646"/>
    <s:mergeCell ref="A3037:E3037"/>
    <s:mergeCell ref="A12240:E12240"/>
    <s:mergeCell ref="A10155:E10155"/>
    <s:mergeCell ref="A19426:E19426"/>
    <s:mergeCell ref="A17341:E17341"/>
    <s:mergeCell ref="A10244:E10244"/>
    <s:mergeCell ref="A11935:E11935"/>
    <s:mergeCell ref="A8153:E8153"/>
    <s:mergeCell ref="A15271:E15271"/>
    <s:mergeCell ref="A9939:E9939"/>
    <s:mergeCell ref="A8758:E8758"/>
    <s:mergeCell ref="A26844:E26844"/>
    <s:mergeCell ref="A24759:E24759"/>
    <s:mergeCell ref="A24753:E24753"/>
    <s:mergeCell ref="A10150:E10150"/>
    <s:mergeCell ref="A15571:E15571"/>
    <s:mergeCell ref="A3053:E3053"/>
    <s:mergeCell ref="A10239:E10239"/>
    <s:mergeCell ref="A10755:E10755"/>
    <s:mergeCell ref="A25059:E25059"/>
    <s:mergeCell ref="A31672:E31672"/>
    <s:mergeCell ref="A2748:E2748"/>
    <s:mergeCell ref="A15871:E15871"/>
    <s:mergeCell ref="A3353:E3353"/>
    <s:mergeCell ref="A17674:E17674"/>
    <s:mergeCell ref="A24786:E24786"/>
    <s:mergeCell ref="A3048:E3048"/>
    <s:mergeCell ref="A26572:E26572"/>
    <s:mergeCell ref="A24487:E24487"/>
    <s:mergeCell ref="A26267:E26267"/>
    <s:mergeCell ref="B3595:E3595"/>
    <s:mergeCell ref="A31688:E31688"/>
    <s:mergeCell ref="A29603:E29603"/>
    <s:mergeCell ref="A8381:E8381"/>
    <s:mergeCell ref="A24787:E24787"/>
    <s:mergeCell ref="B2115:E2115"/>
    <s:mergeCell ref="A23090:E23090"/>
    <s:mergeCell ref="A24482:E24482"/>
    <s:mergeCell ref="B1810:E1810"/>
    <s:mergeCell ref="A29903:E29903"/>
    <s:mergeCell ref="A17385:E17385"/>
    <s:mergeCell ref="A25087:E25087"/>
    <s:mergeCell ref="A31683:E31683"/>
    <s:mergeCell ref="A15899:E15899"/>
    <s:mergeCell ref="A22501:E22501"/>
    <s:mergeCell ref="A30203:E30203"/>
    <s:mergeCell ref="A28118:E28118"/>
    <s:mergeCell ref="A17685:E17685"/>
    <s:mergeCell ref="A15600:E15600"/>
    <s:mergeCell ref="A15594:E15594"/>
    <s:mergeCell ref="A29898:E29898"/>
    <s:mergeCell ref="A22801:E22801"/>
    <s:mergeCell ref="A1579:E1579"/>
    <s:mergeCell ref="A8708:E8708"/>
    <s:mergeCell ref="A23018:E23018"/>
    <s:mergeCell ref="A23012:E23012"/>
    <s:mergeCell ref="A20927:E20927"/>
    <s:mergeCell ref="A6712:E6712"/>
    <s:mergeCell ref="A24798:E24798"/>
    <s:mergeCell ref="A8104:E8104"/>
    <s:mergeCell ref="A15610:E15610"/>
    <s:mergeCell ref="A13525:E13525"/>
    <s:mergeCell ref="A1007:E1007"/>
    <s:mergeCell ref="A8709:E8709"/>
    <s:mergeCell ref="A23013:E23013"/>
    <s:mergeCell ref="A28434:E28434"/>
    <s:mergeCell ref="A30125:E30125"/>
    <s:mergeCell ref="A15522:E15522"/>
    <s:mergeCell ref="A13825:E13825"/>
    <s:mergeCell ref="A1307:E1307"/>
    <s:mergeCell ref="A13520:E13520"/>
    <s:mergeCell ref="A30431:E30431"/>
    <s:mergeCell ref="A30425:E30425"/>
    <s:mergeCell ref="A28340:E28340"/>
    <s:mergeCell ref="A6423:E6423"/>
    <s:mergeCell ref="A4338:E4338"/>
    <s:mergeCell ref="A14125:E14125"/>
    <s:mergeCell ref="A15822:E15822"/>
    <s:mergeCell ref="B28676:E28676"/>
    <s:mergeCell ref="A21243:E21243"/>
    <s:mergeCell ref="A4638:E4638"/>
    <s:mergeCell ref="B30673:E30673"/>
    <s:mergeCell ref="A6940:E6940"/>
    <s:mergeCell ref="A6934:E6934"/>
    <s:mergeCell ref="A21238:E21238"/>
    <s:mergeCell ref="A19153:E19153"/>
    <s:mergeCell ref="A8720:E8720"/>
    <s:mergeCell ref="A6635:E6635"/>
    <s:mergeCell ref="A4938:E4938"/>
    <s:mergeCell ref="B14584:E14584"/>
    <s:mergeCell ref="A12056:E12056"/>
    <s:mergeCell ref="A1779:E1779"/>
    <s:mergeCell ref="A28068:E28068"/>
    <s:mergeCell ref="A11751:E11751"/>
    <s:mergeCell ref="A19453:E19453"/>
    <s:mergeCell ref="A1474:E1474"/>
    <s:mergeCell ref="A14053:E14053"/>
    <s:mergeCell ref="A12356:E12356"/>
    <s:mergeCell ref="A2079:E2079"/>
    <s:mergeCell ref="A1774:E1774"/>
    <s:mergeCell ref="A14353:E14353"/>
    <s:mergeCell ref="A20972:E20972"/>
    <s:mergeCell ref="A20966:E20966"/>
    <s:mergeCell ref="B12598:E12598"/>
    <s:mergeCell ref="A2074:E2074"/>
    <s:mergeCell ref="A28384:E28384"/>
    <s:mergeCell ref="A26299:E26299"/>
    <s:mergeCell ref="B10813:E10813"/>
    <s:mergeCell ref="A26388:E26388"/>
    <s:mergeCell ref="A26382:E26382"/>
    <s:mergeCell ref="A24297:E24297"/>
    <s:mergeCell ref="A18897:E18897"/>
    <s:mergeCell ref="A26599:E26599"/>
    <s:mergeCell ref="A12384:E12384"/>
    <s:mergeCell ref="A28385:E28385"/>
    <s:mergeCell ref="A28379:E28379"/>
    <s:mergeCell ref="A26294:E26294"/>
    <s:mergeCell ref="A31715:E31715"/>
    <s:mergeCell ref="A19197:E19197"/>
    <s:mergeCell ref="A26899:E26899"/>
    <s:mergeCell ref="A18892:E18892"/>
    <s:mergeCell ref="A19497:E19497"/>
    <s:mergeCell ref="A7135:E7135"/>
    <s:mergeCell ref="B27141:E27141"/>
    <s:mergeCell ref="A19192:E19192"/>
    <s:mergeCell ref="A7435:E7435"/>
    <s:mergeCell ref="A7130:E7130"/>
    <s:mergeCell ref="A16333:E16333"/>
    <s:mergeCell ref="A33:E33"/>
    <s:mergeCell ref="A7735:E7735"/>
    <s:mergeCell ref="A244:E244"/>
    <s:mergeCell ref="A14548:E14548"/>
    <s:mergeCell ref="A2030:E2030"/>
    <s:mergeCell ref="A333:E333"/>
    <s:mergeCell ref="A14848:E14848"/>
    <s:mergeCell ref="A2330:E2330"/>
    <s:mergeCell ref="A245:E245"/>
    <s:mergeCell ref="B16184:E16184"/>
    <s:mergeCell ref="A7446:E7446"/>
    <s:mergeCell ref="A5361:E5361"/>
    <s:mergeCell ref="A14276:E14276"/>
    <s:mergeCell ref="B16185:E16185"/>
    <s:mergeCell ref="A24853:E24853"/>
    <s:mergeCell ref="A255:E255"/>
    <s:mergeCell ref="A6874:E6874"/>
    <s:mergeCell ref="A14576:E14576"/>
    <s:mergeCell ref="A19692:E19692"/>
    <s:mergeCell ref="A7174:E7174"/>
    <s:mergeCell ref="A14876:E14876"/>
    <s:mergeCell ref="A19998:E19998"/>
    <s:mergeCell ref="A21689:E21689"/>
    <s:mergeCell ref="A19992:E19992"/>
    <s:mergeCell ref="A5389:E5389"/>
    <s:mergeCell ref="A27110:E27110"/>
    <s:mergeCell ref="B13321:E13321"/>
    <s:mergeCell ref="A12507:E12507"/>
    <s:mergeCell ref="A19687:E19687"/>
    <s:mergeCell ref="A10505:E10505"/>
    <s:mergeCell ref="A21989:E21989"/>
    <s:mergeCell ref="A5689:E5689"/>
    <s:mergeCell ref="A27410:E27410"/>
    <s:mergeCell ref="A25325:E25325"/>
    <s:mergeCell ref="B11536:E11536"/>
    <s:mergeCell ref="A12807:E12807"/>
    <s:mergeCell ref="A27111:E27111"/>
    <s:mergeCell ref="B30728:E30728"/>
    <s:mergeCell ref="A27105:E27105"/>
    <s:mergeCell ref="A25020:E25020"/>
    <s:mergeCell ref="A14587:E14587"/>
    <s:mergeCell ref="A12502:E12502"/>
    <s:mergeCell ref="A25625:E25625"/>
    <s:mergeCell ref="A13107:E13107"/>
    <s:mergeCell ref="A11022:E11022"/>
    <s:mergeCell ref="A27411:E27411"/>
    <s:mergeCell ref="A12802:E12802"/>
    <s:mergeCell ref="A11105:E11105"/>
    <s:mergeCell ref="A19920:E19920"/>
    <s:mergeCell ref="A18223:E18223"/>
    <s:mergeCell ref="A16138:E16138"/>
    <s:mergeCell ref="A5705:E5705"/>
    <s:mergeCell ref="A3620:E3620"/>
    <s:mergeCell ref="A3614:E3614"/>
    <s:mergeCell ref="A5400:E5400"/>
    <s:mergeCell ref="A25036:E25036"/>
    <s:mergeCell ref="A20220:E20220"/>
    <s:mergeCell ref="A26839:E26839"/>
    <s:mergeCell ref="A16438:E16438"/>
    <s:mergeCell ref="A18129:E18129"/>
    <s:mergeCell ref="A5611:E5611"/>
    <s:mergeCell ref="A11032:E11032"/>
    <s:mergeCell ref="A8947:E8947"/>
    <s:mergeCell ref="A5700:E5700"/>
    <s:mergeCell ref="A3615:E3615"/>
    <s:mergeCell ref="A25336:E25336"/>
    <s:mergeCell ref="A10733:E10733"/>
    <s:mergeCell ref="A20520:E20520"/>
    <s:mergeCell ref="A18435:E18435"/>
    <s:mergeCell ref="A9247:E9247"/>
    <s:mergeCell ref="A25636:E25636"/>
    <s:mergeCell ref="A23551:E23551"/>
    <s:mergeCell ref="A11033:E11033"/>
    <s:mergeCell ref="A11027:E11027"/>
    <s:mergeCell ref="A8942:E8942"/>
    <s:mergeCell ref="B9794:E9794"/>
    <s:mergeCell ref="A1845:E1845"/>
    <s:mergeCell ref="A1540:E1540"/>
    <s:mergeCell ref="A25064:E25064"/>
    <s:mergeCell ref="A3842:E3842"/>
    <s:mergeCell ref="A2145:E2145"/>
    <s:mergeCell ref="A60:E60"/>
    <s:mergeCell ref="B26095:E26095"/>
    <s:mergeCell ref="A30770:E30770"/>
    <s:mergeCell ref="A1846:E1846"/>
    <s:mergeCell ref="A11060:E11060"/>
    <s:mergeCell ref="A1840:E1840"/>
    <s:mergeCell ref="A25364:E25364"/>
    <s:mergeCell ref="A23279:E23279"/>
    <s:mergeCell ref="A4142:E4142"/>
    <s:mergeCell ref="A10761:E10761"/>
    <s:mergeCell ref="A9258:E9258"/>
    <s:mergeCell ref="A7173:E7173"/>
    <s:mergeCell ref="A15877:E15877"/>
    <s:mergeCell ref="A23579:E23579"/>
    <s:mergeCell ref="A11061:E11061"/>
    <s:mergeCell ref="A25359:E25359"/>
    <s:mergeCell ref="A23274:E23274"/>
    <s:mergeCell ref="A17874:E17874"/>
    <s:mergeCell ref="B24126:E24126"/>
    <s:mergeCell ref="A30997:E30997"/>
    <s:mergeCell ref="A16388:E16388"/>
    <s:mergeCell ref="A30692:E30692"/>
    <s:mergeCell ref="B8020:E8020"/>
    <s:mergeCell ref="A18174:E18174"/>
    <s:mergeCell ref="A16477:E16477"/>
    <s:mergeCell ref="A7773:E7773"/>
    <s:mergeCell ref="A14392:E14392"/>
    <s:mergeCell ref="A31297:E31297"/>
    <s:mergeCell ref="A8986:E8986"/>
    <s:mergeCell ref="A23290:E23290"/>
    <s:mergeCell ref="A18474:E18474"/>
    <s:mergeCell ref="A16389:E16389"/>
    <s:mergeCell ref="A14692:E14692"/>
    <s:mergeCell ref="A23895:E23895"/>
    <s:mergeCell ref="A21810:E21810"/>
    <s:mergeCell ref="A9292:E9292"/>
    <s:mergeCell ref="A21804:E21804"/>
    <s:mergeCell ref="A9286:E9286"/>
    <s:mergeCell ref="A16404:E16404"/>
    <s:mergeCell ref="A23590:E23590"/>
    <s:mergeCell ref="A8987:E8987"/>
    <s:mergeCell ref="A7806:E7806"/>
    <s:mergeCell ref="A8981:E8981"/>
    <s:mergeCell ref="A6896:E6896"/>
    <s:mergeCell ref="A25892:E25892"/>
    <s:mergeCell ref="A23807:E23807"/>
    <s:mergeCell ref="A23801:E23801"/>
    <s:mergeCell ref="A30420:E30420"/>
    <s:mergeCell ref="A7501:E7501"/>
    <s:mergeCell ref="B24137:E24137"/>
    <s:mergeCell ref="A14619:E14619"/>
    <s:mergeCell ref="A21805:E21805"/>
    <s:mergeCell ref="A9287:E9287"/>
    <s:mergeCell ref="A28923:E28923"/>
    <s:mergeCell ref="A14708:E14708"/>
    <s:mergeCell ref="A16399:E16399"/>
    <s:mergeCell ref="A14314:E14314"/>
    <s:mergeCell ref="A30720:E30720"/>
    <s:mergeCell ref="A99:E99"/>
    <s:mergeCell ref="A14919:E14919"/>
    <s:mergeCell ref="A22105:E22105"/>
    <s:mergeCell ref="A29223:E29223"/>
    <s:mergeCell ref="A14614:E14614"/>
    <s:mergeCell ref="A2096:E2096"/>
    <s:mergeCell ref="B29770:E29770"/>
    <s:mergeCell ref="A311:E311"/>
    <s:mergeCell ref="A7512:E7512"/>
    <s:mergeCell ref="A28951:E28951"/>
    <s:mergeCell ref="A28646:E28646"/>
    <s:mergeCell ref="A29251:E29251"/>
    <s:mergeCell ref="A14642:E14642"/>
    <s:mergeCell ref="A28946:E28946"/>
    <s:mergeCell ref="A21849:E21849"/>
    <s:mergeCell ref="A19764:E19764"/>
    <s:mergeCell ref="A19758:E19758"/>
    <s:mergeCell ref="A5760:E5760"/>
    <s:mergeCell ref="A20064:E20064"/>
    <s:mergeCell ref="A21755:E21755"/>
    <s:mergeCell ref="A27176:E27176"/>
    <s:mergeCell ref="A2296:E2296"/>
    <s:mergeCell ref="A27482:E27482"/>
    <s:mergeCell ref="A15114:E15114"/>
    <s:mergeCell ref="A2596:E2596"/>
    <s:mergeCell ref="A27177:E27177"/>
    <s:mergeCell ref="A27171:E27171"/>
    <s:mergeCell ref="A600:E600"/>
    <s:mergeCell ref="A2291:E2291"/>
    <s:mergeCell ref="A594:E594"/>
    <s:mergeCell ref="A15420:E15420"/>
    <s:mergeCell ref="A2896:E2896"/>
    <s:mergeCell ref="A811:E811"/>
    <s:mergeCell ref="A27477:E27477"/>
    <s:mergeCell ref="A2597:E2597"/>
    <s:mergeCell ref="A2591:E2591"/>
    <s:mergeCell ref="A9709:E9709"/>
    <s:mergeCell ref="A5927:E5927"/>
    <s:mergeCell ref="A27204:E27204"/>
    <s:mergeCell ref="A7713:E7713"/>
    <s:mergeCell ref="A15415:E15415"/>
    <s:mergeCell ref="B20533:E20533"/>
    <s:mergeCell ref="A10009:E10009"/>
    <s:mergeCell ref="A7924:E7924"/>
    <s:mergeCell ref="A24313:E24313"/>
    <s:mergeCell ref="A8007:E8007"/>
    <s:mergeCell ref="A522:E522"/>
    <s:mergeCell ref="A8224:E8224"/>
    <s:mergeCell ref="B20534:E20534"/>
    <s:mergeCell ref="A1127:E1127"/>
    <s:mergeCell ref="A15431:E15431"/>
    <s:mergeCell ref="B19048:E19048"/>
    <s:mergeCell ref="A13340:E13340"/>
    <s:mergeCell ref="A15126:E15126"/>
    <s:mergeCell ref="A13640:E13640"/>
    <s:mergeCell ref="A1122:E1122"/>
    <s:mergeCell ref="A7935:E7935"/>
    <s:mergeCell ref="A29457:E29457"/>
    <s:mergeCell ref="A31759:E31759"/>
    <s:mergeCell ref="A29674:E29674"/>
    <s:mergeCell ref="A27977:E27977"/>
    <s:mergeCell ref="A15459:E15459"/>
    <s:mergeCell ref="A20486:E20486"/>
    <s:mergeCell ref="B6697:E6697"/>
    <s:mergeCell ref="A27672:E27672"/>
    <s:mergeCell ref="A29974:E29974"/>
    <s:mergeCell ref="A5966:E5966"/>
    <s:mergeCell ref="A20786:E20786"/>
    <s:mergeCell ref="A27972:E27972"/>
    <s:mergeCell ref="A22572:E22572"/>
    <s:mergeCell ref="A18790:E18790"/>
    <s:mergeCell ref="A20481:E20481"/>
    <s:mergeCell ref="A7963:E7963"/>
    <s:mergeCell ref="A4181:E4181"/>
    <s:mergeCell ref="A21086:E21086"/>
    <s:mergeCell ref="A22872:E22872"/>
    <s:mergeCell ref="A20787:E20787"/>
    <s:mergeCell ref="A20781:E20781"/>
    <s:mergeCell ref="A8263:E8263"/>
    <s:mergeCell ref="A6178:E6178"/>
    <s:mergeCell ref="A11599:E11599"/>
    <s:mergeCell ref="A27988:E27988"/>
    <s:mergeCell ref="A13379:E13379"/>
    <s:mergeCell ref="A11294:E11294"/>
    <s:mergeCell ref="A27900:E27900"/>
    <s:mergeCell ref="B13926:E13926"/>
    <s:mergeCell ref="A3892:E3892"/>
    <s:mergeCell ref="A4408:E4408"/>
    <s:mergeCell ref="A11594:E11594"/>
    <s:mergeCell ref="A20797:E20797"/>
    <s:mergeCell ref="A18712:E18712"/>
    <s:mergeCell ref="A4497:E4497"/>
    <s:mergeCell ref="A13896:E13896"/>
    <s:mergeCell ref="B14232:E14232"/>
    <s:mergeCell ref="A6799:E6799"/>
    <s:mergeCell ref="A4714:E4714"/>
    <s:mergeCell ref="A4192:E4192"/>
    <s:mergeCell ref="A4708:E4708"/>
    <s:mergeCell ref="A27716:E27716"/>
    <s:mergeCell ref="A19012:E19012"/>
    <s:mergeCell ref="A6494:E6494"/>
    <s:mergeCell ref="A4409:E4409"/>
    <s:mergeCell ref="A2712:E2712"/>
    <s:mergeCell ref="A4403:E4403"/>
    <s:mergeCell ref="A11610:E11610"/>
    <s:mergeCell ref="A9525:E9525"/>
    <s:mergeCell ref="A19312:E19312"/>
    <s:mergeCell ref="A17227:E17227"/>
    <s:mergeCell ref="A25931:E25931"/>
    <s:mergeCell ref="A4709:E4709"/>
    <s:mergeCell ref="A10130:E10130"/>
    <s:mergeCell ref="B10072:E10072"/>
    <s:mergeCell ref="A9825:E9825"/>
    <s:mergeCell ref="A26231:E26231"/>
    <s:mergeCell ref="A18740:E18740"/>
    <s:mergeCell ref="A10125:E10125"/>
    <s:mergeCell ref="A11338:E11338"/>
    <s:mergeCell ref="A2634:E2634"/>
    <s:mergeCell ref="A19040:E19040"/>
    <s:mergeCell ref="A26158:E26158"/>
    <s:mergeCell ref="A16938:E16938"/>
    <s:mergeCell ref="A18735:E18735"/>
    <s:mergeCell ref="A24156:E24156"/>
    <s:mergeCell ref="A11638:E11638"/>
    <s:mergeCell ref="A2934:E2934"/>
    <s:mergeCell ref="A9553:E9553"/>
    <s:mergeCell ref="A25942:E25942"/>
    <s:mergeCell ref="A23857:E23857"/>
    <s:mergeCell ref="A24373:E24373"/>
    <s:mergeCell ref="A26458:E26458"/>
    <s:mergeCell ref="A2635:E2635"/>
    <s:mergeCell ref="A26159:E26159"/>
    <s:mergeCell ref="A26153:E26153"/>
    <s:mergeCell ref="A9853:E9853"/>
    <s:mergeCell ref="A24157:E24157"/>
    <s:mergeCell ref="A24673:E24673"/>
    <s:mergeCell ref="A31275:E31275"/>
    <s:mergeCell ref="A18751:E18751"/>
    <s:mergeCell ref="A16666:E16666"/>
    <s:mergeCell ref="A26453:E26453"/>
    <s:mergeCell ref="A24368:E24368"/>
    <s:mergeCell ref="A10153:E10153"/>
    <s:mergeCell ref="A29789:E29789"/>
    <s:mergeCell ref="A17271:E17271"/>
    <s:mergeCell ref="A24457:E24457"/>
    <s:mergeCell ref="A2662:E2662"/>
    <s:mergeCell ref="A31575:E31575"/>
    <s:mergeCell ref="A9780:E9780"/>
    <s:mergeCell ref="A29484:E29484"/>
    <s:mergeCell ref="A16966:E16966"/>
    <s:mergeCell ref="A15486:E15486"/>
    <s:mergeCell ref="A2962:E2962"/>
    <s:mergeCell ref="A17266:E17266"/>
    <s:mergeCell ref="A4748:E4748"/>
    <s:mergeCell ref="A2663:E2663"/>
    <s:mergeCell ref="A24384:E24384"/>
    <s:mergeCell ref="A8084:E8084"/>
    <s:mergeCell ref="A8078:E8078"/>
    <s:mergeCell ref="A24079:E24079"/>
    <s:mergeCell ref="A9864:E9864"/>
    <s:mergeCell ref="A7779:E7779"/>
    <s:mergeCell ref="A8295:E8295"/>
    <s:mergeCell ref="A24684:E24684"/>
    <s:mergeCell ref="A22599:E22599"/>
    <s:mergeCell ref="A7990:E7990"/>
    <s:mergeCell ref="A8079:E8079"/>
    <s:mergeCell ref="A8595:E8595"/>
    <s:mergeCell ref="A15197:E15197"/>
    <s:mergeCell ref="A31603:E31603"/>
    <s:mergeCell ref="A22899:E22899"/>
    <s:mergeCell ref="A982:E982"/>
    <s:mergeCell ref="A4920:E4920"/>
    <s:mergeCell ref="B10622:E10622"/>
    <s:mergeCell ref="A14892:E14892"/>
    <s:mergeCell ref="A4615:E4615"/>
    <s:mergeCell ref="A15497:E15497"/>
    <s:mergeCell ref="B1740:E1740"/>
    <s:mergeCell ref="A4915:E4915"/>
    <s:mergeCell ref="A24107:E24107"/>
    <s:mergeCell ref="A3435:E3435"/>
    <s:mergeCell ref="A29528:E29528"/>
    <s:mergeCell ref="A22627:E22627"/>
    <s:mergeCell ref="A24407:E24407"/>
    <s:mergeCell ref="A22322:E22322"/>
    <s:mergeCell ref="A27743:E27743"/>
    <s:mergeCell ref="A15225:E15225"/>
    <s:mergeCell ref="A29529:E29529"/>
    <s:mergeCell ref="A29523:E29523"/>
    <s:mergeCell ref="A12633:E12633"/>
    <s:mergeCell ref="A30039:E30039"/>
    <s:mergeCell ref="A29740:E29740"/>
    <s:mergeCell ref="A28043:E28043"/>
    <s:mergeCell ref="A13440:E13440"/>
    <s:mergeCell ref="A29829:E29829"/>
    <s:mergeCell ref="A27738:E27738"/>
    <s:mergeCell ref="A22338:E22338"/>
    <s:mergeCell ref="A18556:E18556"/>
    <s:mergeCell ref="A30040:E30040"/>
    <s:mergeCell ref="A22943:E22943"/>
    <s:mergeCell ref="A22033:E22033"/>
    <s:mergeCell ref="A22638:E22638"/>
    <s:mergeCell ref="A18856:E18856"/>
    <s:mergeCell ref="A30340:E30340"/>
    <s:mergeCell ref="A8579:E8579"/>
    <s:mergeCell ref="A20853:E20853"/>
    <s:mergeCell ref="A10576:E10576"/>
    <s:mergeCell ref="A8879:E8879"/>
    <s:mergeCell ref="A1388:E1388"/>
    <s:mergeCell ref="B26216:E26216"/>
    <s:mergeCell ref="A3174:E3174"/>
    <s:mergeCell ref="A16297:E16297"/>
    <s:mergeCell ref="A14212:E14212"/>
    <s:mergeCell ref="A17689:E17689"/>
    <s:mergeCell ref="A15992:E15992"/>
    <s:mergeCell ref="A3474:E3474"/>
    <s:mergeCell ref="A1389:E1389"/>
    <s:mergeCell ref="A1383:E1383"/>
    <s:mergeCell ref="A17778:E17778"/>
    <s:mergeCell ref="B30598:E30598"/>
    <s:mergeCell ref="A8807:E8807"/>
    <s:mergeCell ref="A8801:E8801"/>
    <s:mergeCell ref="A6716:E6716"/>
    <s:mergeCell ref="A1311:E1311"/>
    <s:mergeCell ref="A23138:E23138"/>
    <s:mergeCell ref="B167:E167"/>
    <s:mergeCell ref="A23438:E23438"/>
    <s:mergeCell ref="A21353:E21353"/>
    <s:mergeCell ref="A8829:E8829"/>
    <s:mergeCell ref="A23139:E23139"/>
    <s:mergeCell ref="A6727:E6727"/>
    <s:mergeCell ref="A23133:E23133"/>
    <s:mergeCell ref="A21048:E21048"/>
    <s:mergeCell ref="A30251:E30251"/>
    <s:mergeCell ref="A7033:E7033"/>
    <s:mergeCell ref="A15731:E15731"/>
    <s:mergeCell ref="A13646:E13646"/>
    <s:mergeCell ref="A14162:E14162"/>
    <s:mergeCell ref="A30551:E30551"/>
    <s:mergeCell ref="A28466:E28466"/>
    <s:mergeCell ref="A15948:E15948"/>
    <s:mergeCell ref="A12166:E12166"/>
    <s:mergeCell ref="A1733:E1733"/>
    <s:mergeCell ref="A6760:E6760"/>
    <s:mergeCell ref="A15643:E15643"/>
    <s:mergeCell ref="A13946:E13946"/>
    <s:mergeCell ref="A21064:E21064"/>
    <s:mergeCell ref="A28766:E28766"/>
    <s:mergeCell ref="A16248:E16248"/>
    <s:mergeCell ref="A30552:E30552"/>
    <s:mergeCell ref="A7060:E7060"/>
    <s:mergeCell ref="A4975:E4975"/>
    <s:mergeCell ref="A21364:E21364"/>
    <s:mergeCell ref="A29066:E29066"/>
    <s:mergeCell ref="A6761:E6761"/>
    <s:mergeCell ref="A5064:E5064"/>
    <s:mergeCell ref="A6755:E6755"/>
    <s:mergeCell ref="A21059:E21059"/>
    <s:mergeCell ref="A5275:E5275"/>
    <s:mergeCell ref="A11877:E11877"/>
    <s:mergeCell ref="A21664:E21664"/>
    <s:mergeCell ref="A23361:E23361"/>
    <s:mergeCell ref="A7061:E7061"/>
    <s:mergeCell ref="B7302:E7302"/>
    <s:mergeCell ref="A7055:E7055"/>
    <s:mergeCell ref="B22122:E22122"/>
    <s:mergeCell ref="A14173:E14173"/>
    <s:mergeCell ref="A28477:E28477"/>
    <s:mergeCell ref="A12177:E12177"/>
    <s:mergeCell ref="A30274:E30274"/>
    <s:mergeCell ref="A28189:E28189"/>
    <s:mergeCell ref="B14720:E14720"/>
    <s:mergeCell ref="A21092:E21092"/>
    <s:mergeCell ref="A12388:E12388"/>
    <s:mergeCell ref="A28777:E28777"/>
    <s:mergeCell ref="A26692:E26692"/>
    <s:mergeCell ref="B22123:E22123"/>
    <s:mergeCell ref="A12477:E12477"/>
    <s:mergeCell ref="A4986:E4986"/>
    <s:mergeCell ref="A12688:E12688"/>
    <s:mergeCell ref="A19307:E19307"/>
    <s:mergeCell ref="B14721:E14721"/>
    <s:mergeCell ref="A3506:E3506"/>
    <s:mergeCell ref="B14715:E14715"/>
    <s:mergeCell ref="A19895:E19895"/>
    <s:mergeCell ref="A17810:E17810"/>
    <s:mergeCell ref="A5286:E5286"/>
    <s:mergeCell ref="A3201:E3201"/>
    <s:mergeCell ref="A28505:E28505"/>
    <s:mergeCell ref="A3501:E3501"/>
    <s:mergeCell ref="A27025:E27025"/>
    <s:mergeCell ref="A12399:E12399"/>
    <s:mergeCell ref="A19018:E19018"/>
    <s:mergeCell ref="A26720:E26720"/>
    <s:mergeCell ref="A28805:E28805"/>
    <s:mergeCell ref="A17532:E17532"/>
    <s:mergeCell ref="A19318:E19318"/>
    <s:mergeCell ref="A27020:E27020"/>
    <s:mergeCell ref="A19923:E19923"/>
    <s:mergeCell ref="A17838:E17838"/>
    <s:mergeCell ref="A5314:E5314"/>
    <s:mergeCell ref="A3229:E3229"/>
    <s:mergeCell ref="A12432:E12432"/>
    <s:mergeCell ref="A19618:E19618"/>
    <s:mergeCell ref="A17533:E17533"/>
    <s:mergeCell ref="A10430:E10430"/>
    <s:mergeCell ref="A8345:E8345"/>
    <s:mergeCell ref="A19829:E19829"/>
    <s:mergeCell ref="A25250:E25250"/>
    <s:mergeCell ref="B11461:E11461"/>
    <s:mergeCell ref="A10647:E10647"/>
    <s:mergeCell ref="A17833:E17833"/>
    <s:mergeCell ref="A27036:E27036"/>
    <s:mergeCell ref="A24951:E24951"/>
    <s:mergeCell ref="A24945:E24945"/>
    <s:mergeCell ref="A12427:E12427"/>
    <s:mergeCell ref="A10342:E10342"/>
    <s:mergeCell ref="A26731:E26731"/>
    <s:mergeCell ref="A25251:E25251"/>
    <s:mergeCell ref="A2940:E2940"/>
    <s:mergeCell ref="A10642:E10642"/>
    <s:mergeCell ref="A19845:E19845"/>
    <s:mergeCell ref="A17760:E17760"/>
    <s:mergeCell ref="A16063:E16063"/>
    <s:mergeCell ref="A3545:E3545"/>
    <s:mergeCell ref="A1460:E1460"/>
    <s:mergeCell ref="A17849:E17849"/>
    <s:mergeCell ref="A15758:E15758"/>
    <s:mergeCell ref="A3240:E3240"/>
    <s:mergeCell ref="B18307:E18307"/>
    <s:mergeCell ref="A18060:E18060"/>
    <s:mergeCell ref="A1760:E1760"/>
    <s:mergeCell ref="A3540:E3540"/>
    <s:mergeCell ref="A1455:E1455"/>
    <s:mergeCell ref="A23176:E23176"/>
    <s:mergeCell ref="A18360:E18360"/>
    <s:mergeCell ref="A15759:E15759"/>
    <s:mergeCell ref="A16275:E16275"/>
    <s:mergeCell ref="A24979:E24979"/>
    <s:mergeCell ref="A1755:E1755"/>
    <s:mergeCell ref="A23476:E23476"/>
    <s:mergeCell ref="A25279:E25279"/>
    <s:mergeCell ref="A23177:E23177"/>
    <s:mergeCell ref="A30395:E30395"/>
    <s:mergeCell ref="A23204:E23204"/>
    <s:mergeCell ref="A21119:E21119"/>
    <s:mergeCell ref="A24990:E24990"/>
    <s:mergeCell ref="A23205:E23205"/>
    <s:mergeCell ref="A23199:E23199"/>
    <s:mergeCell ref="A3740:E3740"/>
    <s:mergeCell ref="A30623:E30623"/>
    <s:mergeCell ref="A30617:E30617"/>
    <s:mergeCell ref="A4040:E4040"/>
    <s:mergeCell ref="A30318:E30318"/>
    <s:mergeCell ref="A29137:E29137"/>
    <s:mergeCell ref="A18555:E18555"/>
    <s:mergeCell ref="A25762:E25762"/>
    <s:mergeCell ref="A23677:E23677"/>
    <s:mergeCell ref="A11159:E11159"/>
    <s:mergeCell ref="A11153:E11153"/>
    <s:mergeCell ref="A9068:E9068"/>
    <s:mergeCell ref="A4252:E4252"/>
    <s:mergeCell ref="A9673:E9673"/>
    <s:mergeCell ref="A23977:E23977"/>
    <s:mergeCell ref="A1666:E1666"/>
    <s:mergeCell ref="A9368:E9368"/>
    <s:mergeCell ref="A11154:E11154"/>
    <s:mergeCell ref="A28059:E28059"/>
    <s:mergeCell ref="A25974:E25974"/>
    <s:mergeCell ref="A3663:E3663"/>
    <s:mergeCell ref="A1966:E1966"/>
    <s:mergeCell ref="A4268:E4268"/>
    <s:mergeCell ref="A2177:E2177"/>
    <s:mergeCell ref="A18566:E18566"/>
    <s:mergeCell ref="A16481:E16481"/>
    <s:mergeCell ref="A3963:E3963"/>
    <s:mergeCell ref="A2266:E2266"/>
    <s:mergeCell ref="A9384:E9384"/>
    <s:mergeCell ref="A4568:E4568"/>
    <s:mergeCell ref="A11181:E11181"/>
    <s:mergeCell ref="B27305:E27305"/>
    <s:mergeCell ref="B14787:E14787"/>
    <s:mergeCell ref="A9079:E9079"/>
    <s:mergeCell ref="A481:E481"/>
    <s:mergeCell ref="A9684:E9684"/>
    <s:mergeCell ref="A7599:E7599"/>
    <s:mergeCell ref="B27605:E27605"/>
    <s:mergeCell ref="A18599:E18599"/>
    <s:mergeCell ref="A9379:E9379"/>
    <s:mergeCell ref="A30818:E30818"/>
    <s:mergeCell ref="A18300:E18300"/>
    <s:mergeCell ref="A7899:E7899"/>
    <s:mergeCell ref="B7841:E7841"/>
    <s:mergeCell ref="A31118:E31118"/>
    <s:mergeCell ref="A18600:E18600"/>
    <s:mergeCell ref="A16509:E16509"/>
    <s:mergeCell ref="A30813:E30813"/>
    <s:mergeCell ref="A23716:E23716"/>
    <s:mergeCell ref="B10443:E10443"/>
    <s:mergeCell ref="A31418:E31418"/>
    <s:mergeCell ref="A9107:E9107"/>
    <s:mergeCell ref="A23927:E23927"/>
    <s:mergeCell ref="A22230:E22230"/>
    <s:mergeCell ref="B8441:E8441"/>
    <s:mergeCell ref="A7627:E7627"/>
    <s:mergeCell ref="A24016:E24016"/>
    <s:mergeCell ref="A21931:E21931"/>
    <s:mergeCell ref="A21925:E21925"/>
    <s:mergeCell ref="A9407:E9407"/>
    <s:mergeCell ref="A7322:E7322"/>
    <s:mergeCell ref="A16525:E16525"/>
    <s:mergeCell ref="A24227:E24227"/>
    <s:mergeCell ref="A7927:E7927"/>
    <s:mergeCell ref="A26013:E26013"/>
    <s:mergeCell ref="A23928:E23928"/>
    <s:mergeCell ref="A22231:E22231"/>
    <s:mergeCell ref="A436:E436"/>
    <s:mergeCell ref="A29349:E29349"/>
    <s:mergeCell ref="A7622:E7622"/>
    <s:mergeCell ref="A29343:E29343"/>
    <s:mergeCell ref="A27258:E27258"/>
    <s:mergeCell ref="A16825:E16825"/>
    <s:mergeCell ref="A14740:E14740"/>
    <s:mergeCell ref="A525:E525"/>
    <s:mergeCell ref="A29044:E29044"/>
    <s:mergeCell ref="A15345:E15345"/>
    <s:mergeCell ref="A14435:E14435"/>
    <s:mergeCell ref="A736:E736"/>
    <s:mergeCell ref="A31346:E31346"/>
    <s:mergeCell ref="A15040:E15040"/>
    <s:mergeCell ref="A437:E437"/>
    <s:mergeCell ref="A29344:E29344"/>
    <s:mergeCell ref="A7549:E7549"/>
    <s:mergeCell ref="A5852:E5852"/>
    <s:mergeCell ref="A21853:E21853"/>
    <s:mergeCell ref="A7638:E7638"/>
    <s:mergeCell ref="A5553:E5553"/>
    <s:mergeCell ref="A15340:E15340"/>
    <s:mergeCell ref="A7849:E7849"/>
    <s:mergeCell ref="A22153:E22153"/>
    <s:mergeCell ref="A5853:E5853"/>
    <s:mergeCell ref="A12971:E12971"/>
    <s:mergeCell ref="A29371:E29371"/>
    <s:mergeCell ref="A447:E447"/>
    <s:mergeCell ref="A13271:E13271"/>
    <s:mergeCell ref="A15051:E15051"/>
    <s:mergeCell ref="A12966:E12966"/>
    <s:mergeCell ref="A21881:E21881"/>
    <s:mergeCell ref="A20184:E20184"/>
    <s:mergeCell ref="A13266:E13266"/>
    <s:mergeCell ref="A4084:E4084"/>
    <s:mergeCell ref="B4325:E4325"/>
    <s:mergeCell ref="A5775:E5775"/>
    <s:mergeCell ref="A22181:E22181"/>
    <s:mergeCell ref="A27303:E27303"/>
    <s:mergeCell ref="B6322:E6322"/>
    <s:mergeCell ref="A12694:E12694"/>
    <s:mergeCell ref="A22481:E22481"/>
    <s:mergeCell ref="B4326:E4326"/>
    <s:mergeCell ref="A25817:E25817"/>
    <s:mergeCell ref="A13299:E13299"/>
    <s:mergeCell ref="A29294:E29294"/>
    <s:mergeCell ref="A12994:E12994"/>
    <s:mergeCell ref="A20112:E20112"/>
    <s:mergeCell ref="A3806:E3806"/>
    <s:mergeCell ref="B28150:E28150"/>
    <s:mergeCell ref="A11497:E11497"/>
    <s:mergeCell ref="A18110:E18110"/>
    <s:mergeCell ref="A1220:E1220"/>
    <s:mergeCell ref="A18626:E18626"/>
    <s:mergeCell ref="A13294:E13294"/>
    <s:mergeCell ref="A20412:E20412"/>
    <s:mergeCell ref="A28114:E28114"/>
    <s:mergeCell ref="A4106:E4106"/>
    <s:mergeCell ref="A22192:E22192"/>
    <s:mergeCell ref="A20107:E20107"/>
    <s:mergeCell ref="A18410:E18410"/>
    <s:mergeCell ref="A1520:E1520"/>
    <s:mergeCell ref="A25528:E25528"/>
    <s:mergeCell ref="A20712:E20712"/>
    <s:mergeCell ref="A18627:E18627"/>
    <s:mergeCell ref="A9439:E9439"/>
    <s:mergeCell ref="A25828:E25828"/>
    <s:mergeCell ref="A23743:E23743"/>
    <s:mergeCell ref="A11225:E11225"/>
    <s:mergeCell ref="A11219:E11219"/>
    <s:mergeCell ref="A9134:E9134"/>
    <s:mergeCell ref="A10920:E10920"/>
    <s:mergeCell ref="A25740:E25740"/>
    <s:mergeCell ref="A24043:E24043"/>
    <s:mergeCell ref="A11525:E11525"/>
    <s:mergeCell ref="B11766:E11766"/>
    <s:mergeCell ref="A18637:E18637"/>
    <s:mergeCell ref="A30856:E30856"/>
    <s:mergeCell ref="A26040:E26040"/>
    <s:mergeCell ref="A18638:E18638"/>
    <s:mergeCell ref="A23771:E23771"/>
    <s:mergeCell ref="A18938:E18938"/>
    <s:mergeCell ref="A16580:E16580"/>
    <s:mergeCell ref="A30884:E30884"/>
    <s:mergeCell ref="A18366:E18366"/>
    <s:mergeCell ref="A1470:E1470"/>
    <s:mergeCell ref="B31431:E31431"/>
    <s:mergeCell ref="A23482:E23482"/>
    <s:mergeCell ref="A31184:E31184"/>
    <s:mergeCell ref="A18666:E18666"/>
    <s:mergeCell ref="A23782:E23782"/>
    <s:mergeCell ref="A31484:E31484"/>
    <s:mergeCell ref="A25779:E25779"/>
    <s:mergeCell ref="A11720:E11720"/>
    <s:mergeCell ref="A14016:E14016"/>
    <s:mergeCell ref="A23994:E23994"/>
    <s:mergeCell ref="A22297:E22297"/>
    <s:mergeCell ref="A26235:E26235"/>
    <s:mergeCell ref="A13717:E13717"/>
    <s:mergeCell ref="A19138:E19138"/>
    <s:mergeCell ref="B24541:E24541"/>
    <s:mergeCell ref="A20918:E20918"/>
    <s:mergeCell ref="A5134:E5134"/>
    <s:mergeCell ref="A21135:E21135"/>
    <s:mergeCell ref="A19438:E19438"/>
    <s:mergeCell ref="A17353:E17353"/>
    <s:mergeCell ref="A6920:E6920"/>
    <s:mergeCell ref="A4835:E4835"/>
    <s:mergeCell ref="A4829:E4829"/>
    <s:mergeCell ref="A19133:E19133"/>
    <s:mergeCell ref="A6615:E6615"/>
    <s:mergeCell ref="A12036:E12036"/>
    <s:mergeCell ref="A9951:E9951"/>
    <s:mergeCell ref="A21435:E21435"/>
    <s:mergeCell ref="A11731:E11731"/>
    <s:mergeCell ref="A17348:E17348"/>
    <s:mergeCell ref="A11948:E11948"/>
    <s:mergeCell ref="A10251:E10251"/>
    <s:mergeCell ref="A11942:E11942"/>
    <s:mergeCell ref="A29443:E29443"/>
    <s:mergeCell ref="A2760:E2760"/>
    <s:mergeCell ref="A26851:E26851"/>
    <s:mergeCell ref="A12248:E12248"/>
    <s:mergeCell ref="A29743:E29743"/>
    <s:mergeCell ref="A3060:E3060"/>
    <s:mergeCell ref="A17364:E17364"/>
    <s:mergeCell ref="A2755:E2755"/>
    <s:mergeCell ref="A26279:E26279"/>
    <s:mergeCell ref="A3360:E3360"/>
    <s:mergeCell ref="A17664:E17664"/>
    <s:mergeCell ref="A24277:E24277"/>
    <s:mergeCell ref="A970:E970"/>
    <s:mergeCell ref="A26579:E26579"/>
    <s:mergeCell ref="A24494:E24494"/>
    <s:mergeCell ref="A26280:E26280"/>
    <s:mergeCell ref="A26274:E26274"/>
    <s:mergeCell ref="B3602:E3602"/>
    <s:mergeCell ref="A31695:E31695"/>
    <s:mergeCell ref="A19177:E19177"/>
    <s:mergeCell ref="A17092:E17092"/>
    <s:mergeCell ref="A24794:E24794"/>
    <s:mergeCell ref="A31396:E31396"/>
    <s:mergeCell ref="A3088:E3088"/>
    <s:mergeCell ref="A1003:E1003"/>
    <s:mergeCell ref="A29910:E29910"/>
    <s:mergeCell ref="A986:E986"/>
    <s:mergeCell ref="A17392:E17392"/>
    <s:mergeCell ref="A2783:E2783"/>
    <s:mergeCell ref="A31696:E31696"/>
    <s:mergeCell ref="A24205:E24205"/>
    <s:mergeCell ref="A1286:E1286"/>
    <s:mergeCell ref="A7905:E7905"/>
    <s:mergeCell ref="A15607:E15607"/>
    <s:mergeCell ref="A17692:E17692"/>
    <s:mergeCell ref="A24810:E24810"/>
    <s:mergeCell ref="A3083:E3083"/>
    <s:mergeCell ref="A22719:E22719"/>
    <s:mergeCell ref="A10201:E10201"/>
    <s:mergeCell ref="A24505:E24505"/>
    <s:mergeCell ref="A1586:E1586"/>
    <s:mergeCell ref="A8721:E8721"/>
    <s:mergeCell ref="A8199:E8199"/>
    <s:mergeCell ref="A23025:E23025"/>
    <s:mergeCell ref="A31723:E31723"/>
    <s:mergeCell ref="A714:E714"/>
    <s:mergeCell ref="A10501:E10501"/>
    <s:mergeCell ref="A8416:E8416"/>
    <s:mergeCell ref="A24805:E24805"/>
    <s:mergeCell ref="A22720:E22720"/>
    <s:mergeCell ref="A10202:E10202"/>
    <s:mergeCell ref="A15623:E15623"/>
    <s:mergeCell ref="A17314:E17314"/>
    <s:mergeCell ref="A15617:E15617"/>
    <s:mergeCell ref="A13532:E13532"/>
    <s:mergeCell ref="A1014:E1014"/>
    <s:mergeCell ref="A15318:E15318"/>
    <s:mergeCell ref="A23020:E23020"/>
    <s:mergeCell ref="A709:E709"/>
    <s:mergeCell ref="A17614:E17614"/>
    <s:mergeCell ref="A15529:E15529"/>
    <s:mergeCell ref="A13832:E13832"/>
    <s:mergeCell ref="A1314:E1314"/>
    <s:mergeCell ref="A8432:E8432"/>
    <s:mergeCell ref="A15618:E15618"/>
    <s:mergeCell ref="A8127:E8127"/>
    <s:mergeCell ref="A8732:E8732"/>
    <s:mergeCell ref="A6647:E6647"/>
    <s:mergeCell ref="B30985:E30985"/>
    <s:mergeCell ref="B8674:E8674"/>
    <s:mergeCell ref="A29649:E29649"/>
    <s:mergeCell ref="A8427:E8427"/>
    <s:mergeCell ref="A6947:E6947"/>
    <s:mergeCell ref="B7188:E7188"/>
    <s:mergeCell ref="A31646:E31646"/>
    <s:mergeCell ref="A29949:E29949"/>
    <s:mergeCell ref="A27864:E27864"/>
    <s:mergeCell ref="A30166:E30166"/>
    <s:mergeCell ref="A28469:E28469"/>
    <s:mergeCell ref="A1236:E1236"/>
    <s:mergeCell ref="A29861:E29861"/>
    <s:mergeCell ref="B7189:E7189"/>
    <s:mergeCell ref="A28164:E28164"/>
    <s:mergeCell ref="B21493:E21493"/>
    <s:mergeCell ref="A22764:E22764"/>
    <s:mergeCell ref="A30466:E30466"/>
    <s:mergeCell ref="A23064:E23064"/>
    <s:mergeCell ref="A20979:E20979"/>
    <s:mergeCell ref="A20973:E20973"/>
    <s:mergeCell ref="A6370:E6370"/>
    <s:mergeCell ref="A28180:E28180"/>
    <s:mergeCell ref="A11486:E11486"/>
    <s:mergeCell ref="A28397:E28397"/>
    <s:mergeCell ref="A6670:E6670"/>
    <s:mergeCell ref="A28391:E28391"/>
    <s:mergeCell ref="A26306:E26306"/>
    <s:mergeCell ref="A12091:E12091"/>
    <s:mergeCell ref="A26395:E26395"/>
    <s:mergeCell ref="A15568:E15568"/>
    <s:mergeCell ref="A11786:E11786"/>
    <s:mergeCell ref="A20989:E20989"/>
    <s:mergeCell ref="A18904:E18904"/>
    <s:mergeCell ref="A28392:E28392"/>
    <s:mergeCell ref="A4900:E4900"/>
    <s:mergeCell ref="A19204:E19204"/>
    <s:mergeCell ref="A6686:E6686"/>
    <s:mergeCell ref="A4595:E4595"/>
    <s:mergeCell ref="A18899:E18899"/>
    <s:mergeCell ref="A6381:E6381"/>
    <s:mergeCell ref="A11802:E11802"/>
    <s:mergeCell ref="A21201:E21201"/>
    <s:mergeCell ref="A19504:E19504"/>
    <s:mergeCell ref="A17419:E17419"/>
    <s:mergeCell ref="A4901:E4901"/>
    <s:mergeCell ref="A4895:E4895"/>
    <s:mergeCell ref="A21290:E21290"/>
    <s:mergeCell ref="A26317:E26317"/>
    <s:mergeCell ref="A19416:E19416"/>
    <s:mergeCell ref="A11797:E11797"/>
    <s:mergeCell ref="A26617:E26617"/>
    <s:mergeCell ref="A1737:E1737"/>
    <s:mergeCell ref="A40:E40"/>
    <s:mergeCell ref="A19232:E19232"/>
    <s:mergeCell ref="A2342:E2342"/>
    <s:mergeCell ref="B14646:E14646"/>
    <s:mergeCell ref="A6853:E6853"/>
    <s:mergeCell ref="A14555:E14555"/>
    <s:mergeCell ref="A2037:E2037"/>
    <s:mergeCell ref="A340:E340"/>
    <s:mergeCell ref="A7153:E7153"/>
    <s:mergeCell ref="A252:E252"/>
    <s:mergeCell ref="A26351:E26351"/>
    <s:mergeCell ref="A26345:E26345"/>
    <s:mergeCell ref="A7453:E7453"/>
    <s:mergeCell ref="A5368:E5368"/>
    <s:mergeCell ref="A18943:E18943"/>
    <s:mergeCell ref="B19974:E19974"/>
    <s:mergeCell ref="A14266:E14266"/>
    <s:mergeCell ref="B3668:E3668"/>
    <s:mergeCell ref="A31761:E31761"/>
    <s:mergeCell ref="A29676:E29676"/>
    <s:mergeCell ref="A6881:E6881"/>
    <s:mergeCell ref="A31462:E31462"/>
    <s:mergeCell ref="A17763:E17763"/>
    <s:mergeCell ref="A17458:E17458"/>
    <s:mergeCell ref="A7181:E7181"/>
    <s:mergeCell ref="A31762:E31762"/>
    <s:mergeCell ref="A14299:E14299"/>
    <s:mergeCell ref="A5701:E5701"/>
    <s:mergeCell ref="A21696:E21696"/>
    <s:mergeCell ref="A29977:E29977"/>
    <s:mergeCell ref="A14599:E14599"/>
    <s:mergeCell ref="A12514:E12514"/>
    <s:mergeCell ref="A28903:E28903"/>
    <s:mergeCell ref="A14294:E14294"/>
    <s:mergeCell ref="A28598:E28598"/>
    <s:mergeCell ref="A12814:E12814"/>
    <s:mergeCell ref="A27118:E27118"/>
    <s:mergeCell ref="A14600:E14600"/>
    <s:mergeCell ref="A27112:E27112"/>
    <s:mergeCell ref="A12509:E12509"/>
    <s:mergeCell ref="A5412:E5412"/>
    <s:mergeCell ref="A13114:E13114"/>
    <s:mergeCell ref="A5107:E5107"/>
    <s:mergeCell ref="A22012:E22012"/>
    <s:mergeCell ref="A5712:E5712"/>
    <s:mergeCell ref="A3627:E3627"/>
    <s:mergeCell ref="B30540:E30540"/>
    <s:mergeCell ref="A5407:E5407"/>
    <s:mergeCell ref="A5624:E5624"/>
    <s:mergeCell ref="A25349:E25349"/>
    <s:mergeCell ref="A3622:E3622"/>
    <s:mergeCell ref="A12825:E12825"/>
    <s:mergeCell ref="A10740:E10740"/>
    <s:mergeCell ref="A3637:E3637"/>
    <s:mergeCell ref="A11040:E11040"/>
    <s:mergeCell ref="A17653:E17653"/>
    <s:mergeCell ref="B13067:E13067"/>
    <s:mergeCell ref="A3655:E3655"/>
    <s:mergeCell ref="A19650:E19650"/>
    <s:mergeCell ref="A25071:E25071"/>
    <s:mergeCell ref="A12553:E12553"/>
    <s:mergeCell ref="A3938:E3938"/>
    <s:mergeCell ref="A1853:E1853"/>
    <s:mergeCell ref="A27462:E27462"/>
    <s:mergeCell ref="A25377:E25377"/>
    <s:mergeCell ref="A25371:E25371"/>
    <s:mergeCell ref="A12853:E12853"/>
    <s:mergeCell ref="A10768:E10768"/>
    <s:mergeCell ref="A27157:E27157"/>
    <s:mergeCell ref="A25072:E25072"/>
    <s:mergeCell ref="A25066:E25066"/>
    <s:mergeCell ref="A17969:E17969"/>
    <s:mergeCell ref="A15884:E15884"/>
    <s:mergeCell ref="A27368:E27368"/>
    <s:mergeCell ref="A11068:E11068"/>
    <s:mergeCell ref="A18186:E18186"/>
    <s:mergeCell ref="A25372:E25372"/>
    <s:mergeCell ref="A17881:E17881"/>
    <s:mergeCell ref="A1581:E1581"/>
    <s:mergeCell ref="A18486:E18486"/>
    <s:mergeCell ref="A25099:E25099"/>
    <s:mergeCell ref="A30699:E30699"/>
    <s:mergeCell ref="A18181:E18181"/>
    <s:mergeCell ref="A16484:E16484"/>
    <s:mergeCell ref="B31551:E31551"/>
    <s:mergeCell ref="A23602:E23602"/>
    <s:mergeCell ref="A8999:E8999"/>
    <s:mergeCell ref="A8993:E8993"/>
    <s:mergeCell ref="A23297:E23297"/>
    <s:mergeCell ref="A10779:E10779"/>
    <s:mergeCell ref="A16396:E16396"/>
    <s:mergeCell ref="A21817:E21817"/>
    <s:mergeCell ref="A9299:E9299"/>
    <s:mergeCell ref="A23597:E23597"/>
    <s:mergeCell ref="A1808:E1808"/>
    <s:mergeCell ref="A11079:E11079"/>
    <s:mergeCell ref="A8994:E8994"/>
    <s:mergeCell ref="A23298:E23298"/>
    <s:mergeCell ref="B22059:E22059"/>
    <s:mergeCell ref="A2108:E2108"/>
    <s:mergeCell ref="B31262:E31262"/>
    <s:mergeCell ref="A9294:E9294"/>
    <s:mergeCell ref="A16412:E16412"/>
    <s:mergeCell ref="B2050:E2050"/>
    <s:mergeCell ref="A14321:E14321"/>
    <s:mergeCell ref="A16406:E16406"/>
    <s:mergeCell ref="A106:E106"/>
    <s:mergeCell ref="A7224:E7224"/>
    <s:mergeCell ref="A2408:E2408"/>
    <s:mergeCell ref="A323:E323"/>
    <s:mergeCell ref="B31562:E31562"/>
    <s:mergeCell ref="A9021:E9021"/>
    <s:mergeCell ref="A16712:E16712"/>
    <s:mergeCell ref="B2350:E2350"/>
    <s:mergeCell ref="B31257:E31257"/>
    <s:mergeCell ref="A7524:E7524"/>
    <s:mergeCell ref="A5439:E5439"/>
    <s:mergeCell ref="B29777:E29777"/>
    <s:mergeCell ref="A7225:E7225"/>
    <s:mergeCell ref="A7219:E7219"/>
    <s:mergeCell ref="A23625:E23625"/>
    <s:mergeCell ref="A28658:E28658"/>
    <s:mergeCell ref="A5739:E5739"/>
    <s:mergeCell ref="A5434:E5434"/>
    <s:mergeCell ref="A28958:E28958"/>
    <s:mergeCell ref="A30744:E30744"/>
    <s:mergeCell ref="A28653:E28653"/>
    <s:mergeCell ref="B5981:E5981"/>
    <s:mergeCell ref="B15184:E15184"/>
    <s:mergeCell ref="A21556:E21556"/>
    <s:mergeCell ref="A21251:E21251"/>
    <s:mergeCell ref="A21767:E21767"/>
    <s:mergeCell ref="A23553:E23553"/>
    <s:mergeCell ref="B881:E881"/>
    <s:mergeCell ref="A19771:E19771"/>
    <s:mergeCell ref="A21856:E21856"/>
    <s:mergeCell ref="A7253:E7253"/>
    <s:mergeCell ref="A7247:E7247"/>
    <s:mergeCell ref="A14365:E14365"/>
    <s:mergeCell ref="A12369:E12369"/>
    <s:mergeCell ref="A21768:E21768"/>
    <s:mergeCell ref="A20071:E20071"/>
    <s:mergeCell ref="A23853:E23853"/>
    <s:mergeCell ref="A29274:E29274"/>
    <s:mergeCell ref="A14671:E14671"/>
    <s:mergeCell ref="A27183:E27183"/>
    <s:mergeCell ref="A14665:E14665"/>
    <s:mergeCell ref="A12580:E12580"/>
    <s:mergeCell ref="A28969:E28969"/>
    <s:mergeCell ref="A26884:E26884"/>
    <s:mergeCell ref="A14366:E14366"/>
    <s:mergeCell ref="A12669:E12669"/>
    <s:mergeCell ref="A14360:E14360"/>
    <s:mergeCell ref="A27489:E27489"/>
    <s:mergeCell ref="A12880:E12880"/>
    <s:mergeCell ref="B27431:E27431"/>
    <s:mergeCell ref="A27184:E27184"/>
    <s:mergeCell ref="A14666:E14666"/>
    <s:mergeCell ref="A21778:E21778"/>
    <s:mergeCell ref="A19782:E19782"/>
    <s:mergeCell ref="A27484:E27484"/>
    <s:mergeCell ref="A28697:E28697"/>
    <s:mergeCell ref="A7720:E7720"/>
    <s:mergeCell ref="A28997:E28997"/>
    <s:mergeCell ref="A26912:E26912"/>
    <s:mergeCell ref="A10022:E10022"/>
    <s:mergeCell ref="A10016:E10016"/>
    <s:mergeCell ref="B13138:E13138"/>
    <s:mergeCell ref="A15138:E15138"/>
    <s:mergeCell ref="A27212:E27212"/>
    <s:mergeCell ref="A2614:E2614"/>
    <s:mergeCell ref="A529:E529"/>
    <s:mergeCell ref="A15438:E15438"/>
    <s:mergeCell ref="A27228:E27228"/>
    <s:mergeCell ref="A26923:E26923"/>
    <s:mergeCell ref="A25443:E25443"/>
    <s:mergeCell ref="A25437:E25437"/>
    <s:mergeCell ref="A557:E557"/>
    <s:mergeCell ref="A27223:E27223"/>
    <s:mergeCell ref="A7675:E7675"/>
    <s:mergeCell ref="A1162:E1162"/>
    <s:mergeCell ref="A15072:E15072"/>
    <s:mergeCell ref="A857:E857"/>
    <s:mergeCell ref="A25438:E25438"/>
    <s:mergeCell ref="B6704:E6704"/>
    <s:mergeCell ref="A7975:E7975"/>
    <s:mergeCell ref="A22279:E22279"/>
    <s:mergeCell ref="A8064:E8064"/>
    <s:mergeCell ref="A5973:E5973"/>
    <s:mergeCell ref="A22884:E22884"/>
    <s:mergeCell ref="A21974:E21974"/>
    <s:mergeCell ref="A8275:E8275"/>
    <s:mergeCell ref="A6190:E6190"/>
    <s:mergeCell ref="A22579:E22579"/>
    <s:mergeCell ref="A7976:E7976"/>
    <s:mergeCell ref="A7970:E7970"/>
    <s:mergeCell ref="B17014:E17014"/>
    <s:mergeCell ref="A11306:E11306"/>
    <s:mergeCell ref="A873:E873"/>
    <s:mergeCell ref="A13092:E13092"/>
    <s:mergeCell ref="A22879:E22879"/>
    <s:mergeCell ref="A20794:E20794"/>
    <s:mergeCell ref="A568:E568"/>
    <s:mergeCell ref="A11606:E11606"/>
    <s:mergeCell ref="A29692:E29692"/>
    <s:mergeCell ref="A13392:E13392"/>
    <s:mergeCell ref="B26212:E26212"/>
    <s:mergeCell ref="A5901:E5901"/>
    <s:mergeCell ref="A27423:E27423"/>
    <s:mergeCell ref="A30799:E30799"/>
    <s:mergeCell ref="A6201:E6201"/>
    <s:mergeCell ref="A20522:E20522"/>
    <s:mergeCell ref="A20505:E20505"/>
    <s:mergeCell ref="A4205:E4205"/>
    <s:mergeCell ref="A29420:E29420"/>
    <s:mergeCell ref="A27723:E27723"/>
    <s:mergeCell ref="A25638:E25638"/>
    <s:mergeCell ref="A4416:E4416"/>
    <s:mergeCell ref="A29720:E29720"/>
    <s:mergeCell ref="A4716:E4716"/>
    <s:mergeCell ref="A20233:E20233"/>
    <s:mergeCell ref="A30020:E30020"/>
    <s:mergeCell ref="A27935:E27935"/>
    <s:mergeCell ref="A20838:E20838"/>
    <s:mergeCell ref="A18747:E18747"/>
    <s:mergeCell ref="A28235:E28235"/>
    <s:mergeCell ref="A11345:E11345"/>
    <s:mergeCell ref="A25649:E25649"/>
    <s:mergeCell ref="A20833:E20833"/>
    <s:mergeCell ref="A18748:E18748"/>
    <s:mergeCell ref="A11651:E11651"/>
    <s:mergeCell ref="A11645:E11645"/>
    <s:mergeCell ref="A9560:E9560"/>
    <s:mergeCell ref="A27646:E27646"/>
    <s:mergeCell ref="A25949:E25949"/>
    <s:mergeCell ref="A9255:E9255"/>
    <s:mergeCell ref="A28251:E28251"/>
    <s:mergeCell ref="A26166:E26166"/>
    <s:mergeCell ref="A26160:E26160"/>
    <s:mergeCell ref="A2158:E2158"/>
    <s:mergeCell ref="A11557:E11557"/>
    <s:mergeCell ref="B27012:E27012"/>
    <s:mergeCell ref="A16978:E16978"/>
    <s:mergeCell ref="A2369:E2369"/>
    <s:mergeCell ref="A31282:E31282"/>
    <s:mergeCell ref="A18758:E18758"/>
    <s:mergeCell ref="A16673:E16673"/>
    <s:mergeCell ref="A4155:E4155"/>
    <s:mergeCell ref="A2458:E2458"/>
    <s:mergeCell ref="A373:E373"/>
    <s:mergeCell ref="A2974:E2974"/>
    <s:mergeCell ref="A17278:E17278"/>
    <s:mergeCell ref="A4760:E4760"/>
    <s:mergeCell ref="A2675:E2675"/>
    <s:mergeCell ref="A31582:E31582"/>
    <s:mergeCell ref="A16973:E16973"/>
    <s:mergeCell ref="A673:E673"/>
    <s:mergeCell ref="A9876:E9876"/>
    <s:mergeCell ref="A7791:E7791"/>
    <s:mergeCell ref="A9571:E9571"/>
    <s:mergeCell ref="A17273:E17273"/>
    <s:mergeCell ref="A2670:E2670"/>
    <s:mergeCell ref="A11873:E11873"/>
    <s:mergeCell ref="A9788:E9788"/>
    <s:mergeCell ref="A8091:E8091"/>
    <s:mergeCell ref="A2685:E2685"/>
    <s:mergeCell ref="A9871:E9871"/>
    <s:mergeCell ref="A7786:E7786"/>
    <s:mergeCell ref="A14904:E14904"/>
    <s:mergeCell ref="A31310:E31310"/>
    <s:mergeCell ref="A10088:E10088"/>
    <s:mergeCell ref="A16701:E16701"/>
    <s:mergeCell ref="B12115:E12115"/>
    <s:mergeCell ref="A15204:E15204"/>
    <s:mergeCell ref="A31610:E31610"/>
    <s:mergeCell ref="B10629:E10629"/>
    <s:mergeCell ref="A24119:E24119"/>
    <s:mergeCell ref="A15504:E15504"/>
    <s:mergeCell ref="A22117:E22117"/>
    <s:mergeCell ref="A16717:E16717"/>
    <s:mergeCell ref="A24419:E24419"/>
    <s:mergeCell ref="B1747:E1747"/>
    <s:mergeCell ref="A26205:E26205"/>
    <s:mergeCell ref="A24114:E24114"/>
    <s:mergeCell ref="A29535:E29535"/>
    <s:mergeCell ref="A27450:E27450"/>
    <s:mergeCell ref="A17017:E17017"/>
    <s:mergeCell ref="A14932:E14932"/>
    <s:mergeCell ref="A928:E928"/>
    <s:mergeCell ref="A31538:E31538"/>
    <s:mergeCell ref="A31532:E31532"/>
    <s:mergeCell ref="A15232:E15232"/>
    <s:mergeCell ref="A623:E623"/>
    <s:mergeCell ref="A29536:E29536"/>
    <s:mergeCell ref="A29530:E29530"/>
    <s:mergeCell ref="A14927:E14927"/>
    <s:mergeCell ref="A22045:E22045"/>
    <s:mergeCell ref="A29747:E29747"/>
    <s:mergeCell ref="B21379:E21379"/>
    <s:mergeCell ref="A22650:E22650"/>
    <s:mergeCell ref="A8041:E8041"/>
    <s:mergeCell ref="A22345:E22345"/>
    <s:mergeCell ref="A6045:E6045"/>
    <s:mergeCell ref="A22950:E22950"/>
    <s:mergeCell ref="A20865:E20865"/>
    <s:mergeCell ref="A8341:E8341"/>
    <s:mergeCell ref="A22645:E22645"/>
    <s:mergeCell ref="A20560:E20560"/>
    <s:mergeCell ref="A8042:E8042"/>
    <s:mergeCell ref="A6345:E6345"/>
    <s:mergeCell ref="A27767:E27767"/>
    <s:mergeCell ref="A29458:E29458"/>
    <s:mergeCell ref="A15243:E15243"/>
    <s:mergeCell ref="A20860:E20860"/>
    <s:mergeCell ref="A2881:E2881"/>
    <s:mergeCell ref="A3486:E3486"/>
    <s:mergeCell ref="A1401:E1401"/>
    <s:mergeCell ref="A4878:E4878"/>
    <s:mergeCell ref="A3181:E3181"/>
    <s:mergeCell ref="B28009:E28009"/>
    <s:mergeCell ref="B30610:E30610"/>
    <s:mergeCell ref="A3481:E3481"/>
    <s:mergeCell ref="A1396:E1396"/>
    <s:mergeCell ref="A10599:E10599"/>
    <s:mergeCell ref="B30605:E30605"/>
    <s:mergeCell ref="A29486:E29486"/>
    <s:mergeCell ref="A27789:E27789"/>
    <s:mergeCell ref="A10899:E10899"/>
    <s:mergeCell ref="A8814:E8814"/>
    <s:mergeCell ref="A29786:E29786"/>
    <s:mergeCell ref="A1412:E1412"/>
    <s:mergeCell ref="A27701:E27701"/>
    <s:mergeCell ref="A20604:E20604"/>
    <s:mergeCell ref="A10327:E10327"/>
    <s:mergeCell ref="A1107:E1107"/>
    <s:mergeCell ref="A22384:E22384"/>
    <s:mergeCell ref="A1712:E1712"/>
    <s:mergeCell ref="A20904:E20904"/>
    <s:mergeCell ref="A8542:E8542"/>
    <s:mergeCell ref="B174:E174"/>
    <s:mergeCell ref="A20599:E20599"/>
    <s:mergeCell ref="A22840:E22840"/>
    <s:mergeCell ref="B168:E168"/>
    <s:mergeCell ref="A10322:E10322"/>
    <s:mergeCell ref="A8842:E8842"/>
    <s:mergeCell ref="A8537:E8537"/>
    <s:mergeCell ref="A17740:E17740"/>
    <s:mergeCell ref="A13958:E13958"/>
    <s:mergeCell ref="B169:E169"/>
    <s:mergeCell ref="A1440:E1440"/>
    <s:mergeCell ref="A9125:E9125"/>
    <s:mergeCell ref="A7040:E7040"/>
    <s:mergeCell ref="A15744:E15744"/>
    <s:mergeCell ref="A15738:E15738"/>
    <s:mergeCell ref="A13653:E13653"/>
    <s:mergeCell ref="A30564:E30564"/>
    <s:mergeCell ref="A30558:E30558"/>
    <s:mergeCell ref="A15955:E15955"/>
    <s:mergeCell ref="A14258:E14258"/>
    <s:mergeCell ref="A30259:E30259"/>
    <s:mergeCell ref="A6767:E6767"/>
    <s:mergeCell ref="A23156:E23156"/>
    <s:mergeCell ref="A21071:E21071"/>
    <s:mergeCell ref="A8553:E8553"/>
    <s:mergeCell ref="A16255:E16255"/>
    <s:mergeCell ref="A30559:E30559"/>
    <s:mergeCell ref="A8248:E8248"/>
    <s:mergeCell ref="A7067:E7067"/>
    <s:mergeCell ref="A23068:E23068"/>
    <s:mergeCell ref="A21371:E21371"/>
    <s:mergeCell ref="A8853:E8853"/>
    <s:mergeCell ref="A6768:E6768"/>
    <s:mergeCell ref="A6762:E6762"/>
    <s:mergeCell ref="A1362:E1362"/>
    <s:mergeCell ref="A21671:E21671"/>
    <s:mergeCell ref="A7068:E7068"/>
    <s:mergeCell ref="A14186:E14186"/>
    <s:mergeCell ref="A1662:E1662"/>
    <s:mergeCell ref="A28484:E28484"/>
    <s:mergeCell ref="A21099:E21099"/>
    <s:mergeCell ref="B22130:E22130"/>
    <s:mergeCell ref="A4993:E4993"/>
    <s:mergeCell ref="B424:E424"/>
    <s:mergeCell ref="A21399:E21399"/>
    <s:mergeCell ref="A5293:E5293"/>
    <s:mergeCell ref="A3208:E3208"/>
    <s:mergeCell ref="A28817:E28817"/>
    <s:mergeCell ref="A26732:E26732"/>
    <s:mergeCell ref="A4994:E4994"/>
    <s:mergeCell ref="A14208:E14208"/>
    <s:mergeCell ref="A28518:E28518"/>
    <s:mergeCell ref="A28512:E28512"/>
    <s:mergeCell ref="A13909:E13909"/>
    <s:mergeCell ref="A4721:E4721"/>
    <s:mergeCell ref="A21110:E21110"/>
    <s:mergeCell ref="A19025:E19025"/>
    <s:mergeCell ref="A14209:E14209"/>
    <s:mergeCell ref="A19630:E19630"/>
    <s:mergeCell ref="A7112:E7112"/>
    <s:mergeCell ref="A5027:E5027"/>
    <s:mergeCell ref="B19572:E19572"/>
    <s:mergeCell ref="B10868:E10868"/>
    <s:mergeCell ref="A19325:E19325"/>
    <s:mergeCell ref="A14509:E14509"/>
    <s:mergeCell ref="A17845:E17845"/>
    <s:mergeCell ref="A5321:E5321"/>
    <s:mergeCell ref="B11168:E11168"/>
    <s:mergeCell ref="A10354:E10354"/>
    <s:mergeCell ref="A12439:E12439"/>
    <s:mergeCell ref="A19625:E19625"/>
    <s:mergeCell ref="A26743:E26743"/>
    <s:mergeCell ref="A12134:E12134"/>
    <s:mergeCell ref="A10654:E10654"/>
    <s:mergeCell ref="A28740:E28740"/>
    <s:mergeCell ref="A27043:E27043"/>
    <s:mergeCell ref="A24958:E24958"/>
    <s:mergeCell ref="A12440:E12440"/>
    <s:mergeCell ref="A12434:E12434"/>
    <s:mergeCell ref="A10349:E10349"/>
    <s:mergeCell ref="A3252:E3252"/>
    <s:mergeCell ref="B20084:E20084"/>
    <s:mergeCell ref="A26955:E26955"/>
    <s:mergeCell ref="A25258:E25258"/>
    <s:mergeCell ref="A2947:E2947"/>
    <s:mergeCell ref="A3552:E3552"/>
    <s:mergeCell ref="A1467:E1467"/>
    <s:mergeCell ref="A17856:E17856"/>
    <s:mergeCell ref="A3247:E3247"/>
    <s:mergeCell ref="B18314:E18314"/>
    <s:mergeCell ref="A10365:E10365"/>
    <s:mergeCell ref="A26771:E26771"/>
    <s:mergeCell ref="A24686:E24686"/>
    <s:mergeCell ref="A19853:E19853"/>
    <s:mergeCell ref="A3547:E3547"/>
    <s:mergeCell ref="A10665:E10665"/>
    <s:mergeCell ref="A8580:E8580"/>
    <s:mergeCell ref="A24986:E24986"/>
    <s:mergeCell ref="A24969:E24969"/>
    <s:mergeCell ref="B18309:E18309"/>
    <s:mergeCell ref="A30102:E30102"/>
    <s:mergeCell ref="A8880:E8880"/>
    <s:mergeCell ref="A25269:E25269"/>
    <s:mergeCell ref="A24397:E24397"/>
    <s:mergeCell ref="A15799:E15799"/>
    <s:mergeCell ref="A17490:E17490"/>
    <s:mergeCell ref="A10393:E10393"/>
    <s:mergeCell ref="A24697:E24697"/>
    <s:mergeCell ref="A25302:E25302"/>
    <s:mergeCell ref="B2236:E2236"/>
    <s:mergeCell ref="A8608:E8608"/>
    <s:mergeCell ref="A24997:E24997"/>
    <s:mergeCell ref="A22912:E22912"/>
    <s:mergeCell ref="A10388:E10388"/>
    <s:mergeCell ref="A15809:E15809"/>
    <s:mergeCell ref="A13724:E13724"/>
    <s:mergeCell ref="A16026:E16026"/>
    <s:mergeCell ref="B2237:E2237"/>
    <s:mergeCell ref="A23212:E23212"/>
    <s:mergeCell ref="A30330:E30330"/>
    <s:mergeCell ref="A30324:E30324"/>
    <s:mergeCell ref="A17806:E17806"/>
    <s:mergeCell ref="A15721:E15721"/>
    <s:mergeCell ref="A14024:E14024"/>
    <s:mergeCell ref="A1506:E1506"/>
    <s:mergeCell ref="A16326:E16326"/>
    <s:mergeCell ref="A13719:E13719"/>
    <s:mergeCell ref="A30630:E30630"/>
    <s:mergeCell ref="A30624:E30624"/>
    <s:mergeCell ref="A16021:E16021"/>
    <s:mergeCell ref="A30325:E30325"/>
    <s:mergeCell ref="A16321:E16321"/>
    <s:mergeCell ref="A11160:E11160"/>
    <s:mergeCell ref="A23223:E23223"/>
    <s:mergeCell ref="A21138:E21138"/>
    <s:mergeCell ref="A13163:E13163"/>
    <s:mergeCell ref="A6060:E6060"/>
    <s:mergeCell ref="A3975:E3975"/>
    <s:mergeCell ref="A2278:E2278"/>
    <s:mergeCell ref="A11161:E11161"/>
    <s:mergeCell ref="B14582:E14582"/>
    <s:mergeCell ref="A18279:E18279"/>
    <s:mergeCell ref="A1979:E1979"/>
    <s:mergeCell ref="A5755:E5755"/>
    <s:mergeCell ref="A4275:E4275"/>
    <s:mergeCell ref="A18579:E18579"/>
    <s:mergeCell ref="A4575:E4575"/>
    <s:mergeCell ref="A28583:E28583"/>
    <s:mergeCell ref="A30669:E30669"/>
    <s:mergeCell ref="A28584:E28584"/>
    <s:mergeCell ref="A26887:E26887"/>
    <s:mergeCell ref="A28578:E28578"/>
    <s:mergeCell ref="A23423:E23423"/>
    <s:mergeCell ref="A2201:E2201"/>
    <s:mergeCell ref="A25725:E25725"/>
    <s:mergeCell ref="A3998:E3998"/>
    <s:mergeCell ref="A9419:E9419"/>
    <s:mergeCell ref="A7334:E7334"/>
    <s:mergeCell ref="A25420:E25420"/>
    <s:mergeCell ref="A23723:E23723"/>
    <s:mergeCell ref="A9120:E9120"/>
    <s:mergeCell ref="A9114:E9114"/>
    <s:mergeCell ref="A26025:E26025"/>
    <s:mergeCell ref="A25720:E25720"/>
    <s:mergeCell ref="A24023:E24023"/>
    <s:mergeCell ref="A21938:E21938"/>
    <s:mergeCell ref="A9420:E9420"/>
    <s:mergeCell ref="A143:E143"/>
    <s:mergeCell ref="A9414:E9414"/>
    <s:mergeCell ref="A16532:E16532"/>
    <s:mergeCell ref="A1929:E1929"/>
    <s:mergeCell ref="A232:E232"/>
    <s:mergeCell ref="A30836:E30836"/>
    <s:mergeCell ref="A23935:E23935"/>
    <s:mergeCell ref="A29356:E29356"/>
    <s:mergeCell ref="A16838:E16838"/>
    <s:mergeCell ref="B2476:E2476"/>
    <s:mergeCell ref="A14747:E14747"/>
    <s:mergeCell ref="A16533:E16533"/>
    <s:mergeCell ref="B15294:E15294"/>
    <s:mergeCell ref="A7345:E7345"/>
    <s:mergeCell ref="A15047:E15047"/>
    <s:mergeCell ref="A444:E444"/>
    <s:mergeCell ref="A9647:E9647"/>
    <s:mergeCell ref="A16833:E16833"/>
    <s:mergeCell ref="A23945:E23945"/>
    <s:mergeCell ref="A21860:E21860"/>
    <s:mergeCell ref="A9342:E9342"/>
    <s:mergeCell ref="A7645:E7645"/>
    <s:mergeCell ref="A5560:E5560"/>
    <s:mergeCell ref="A9947:E9947"/>
    <s:mergeCell ref="A7346:E7346"/>
    <s:mergeCell ref="A7862:E7862"/>
    <s:mergeCell ref="A30864:E30864"/>
    <s:mergeCell ref="A5860:E5860"/>
    <s:mergeCell ref="A29384:E29384"/>
    <s:mergeCell ref="A460:E460"/>
    <s:mergeCell ref="A454:E454"/>
    <s:mergeCell ref="A23978:E23978"/>
    <s:mergeCell ref="A14758:E14758"/>
    <s:mergeCell ref="A31164:E31164"/>
    <s:mergeCell ref="A29079:E29079"/>
    <s:mergeCell ref="A155:E155"/>
    <s:mergeCell ref="A22193:E22193"/>
    <s:mergeCell ref="A12973:E12973"/>
    <s:mergeCell ref="A455:E455"/>
    <s:mergeCell ref="A23674:E23674"/>
    <s:mergeCell ref="A22493:E22493"/>
    <s:mergeCell ref="A29095:E29095"/>
    <s:mergeCell ref="A14486:E14486"/>
    <s:mergeCell ref="A22188:E22188"/>
    <s:mergeCell ref="A28790:E28790"/>
    <s:mergeCell ref="A29395:E29395"/>
    <s:mergeCell ref="B6329:E6329"/>
    <s:mergeCell ref="A12701:E12701"/>
    <s:mergeCell ref="A21904:E21904"/>
    <s:mergeCell ref="A29090:E29090"/>
    <s:mergeCell ref="A13306:E13306"/>
    <s:mergeCell ref="A29307:E29307"/>
    <s:mergeCell ref="B13248:E13248"/>
    <s:mergeCell ref="A5815:E5815"/>
    <s:mergeCell ref="A13001:E13001"/>
    <s:mergeCell ref="A22204:E22204"/>
    <s:mergeCell ref="A20119:E20119"/>
    <s:mergeCell ref="A5904:E5904"/>
    <s:mergeCell ref="A20208:E20208"/>
    <s:mergeCell ref="A21899:E21899"/>
    <s:mergeCell ref="A7296:E7296"/>
    <s:mergeCell ref="A6115:E6115"/>
    <s:mergeCell ref="A20419:E20419"/>
    <s:mergeCell ref="A4119:E4119"/>
    <s:mergeCell ref="A5810:E5810"/>
    <s:mergeCell ref="B20361:E20361"/>
    <s:mergeCell ref="A13017:E13017"/>
    <s:mergeCell ref="A10932:E10932"/>
    <s:mergeCell ref="A12712:E12712"/>
    <s:mergeCell ref="B13564:E13564"/>
    <s:mergeCell ref="B21266:E21266"/>
    <s:mergeCell ref="A11226:E11226"/>
    <s:mergeCell ref="A5826:E5826"/>
    <s:mergeCell ref="A2044:E2044"/>
    <s:mergeCell ref="A10927:E10927"/>
    <s:mergeCell ref="A3830:E3830"/>
    <s:mergeCell ref="A13229:E13229"/>
    <s:mergeCell ref="A4041:E4041"/>
    <s:mergeCell ref="A2344:E2344"/>
    <s:mergeCell ref="A18345:E18345"/>
    <s:mergeCell ref="A4130:E4130"/>
    <s:mergeCell ref="A2045:E2045"/>
    <s:mergeCell ref="A25563:E25563"/>
    <s:mergeCell ref="A4341:E4341"/>
    <s:mergeCell ref="A10960:E10960"/>
    <s:mergeCell ref="B4677:E4677"/>
    <s:mergeCell ref="A18645:E18645"/>
    <s:mergeCell ref="B11701:E11701"/>
    <s:mergeCell ref="A18073:E18073"/>
    <s:mergeCell ref="A16376:E16376"/>
    <s:mergeCell ref="A18678:E18678"/>
    <s:mergeCell ref="A30891:E30891"/>
    <s:mergeCell ref="A16676:E16676"/>
    <s:mergeCell ref="A25491:E25491"/>
    <s:mergeCell ref="A9185:E9185"/>
    <s:mergeCell ref="A23489:E23489"/>
    <s:mergeCell ref="A18673:E18673"/>
    <s:mergeCell ref="A16588:E16588"/>
    <s:mergeCell ref="A25791:E25791"/>
    <s:mergeCell ref="A9485:E9485"/>
    <s:mergeCell ref="A25486:E25486"/>
    <s:mergeCell ref="A23789:E23789"/>
    <s:mergeCell ref="A21704:E21704"/>
    <s:mergeCell ref="A30907:E30907"/>
    <s:mergeCell ref="A9180:E9180"/>
    <s:mergeCell ref="A26091:E26091"/>
    <s:mergeCell ref="A24006:E24006"/>
    <s:mergeCell ref="A31207:E31207"/>
    <s:mergeCell ref="B26638:E26638"/>
    <s:mergeCell ref="B24553:E24553"/>
    <s:mergeCell ref="A29122:E29122"/>
    <s:mergeCell ref="A18845:E18845"/>
    <s:mergeCell ref="A6327:E6327"/>
    <s:mergeCell ref="A30902:E30902"/>
    <s:mergeCell ref="A6022:E6022"/>
    <s:mergeCell ref="A29422:E29422"/>
    <s:mergeCell ref="A19145:E19145"/>
    <s:mergeCell ref="A6627:E6627"/>
    <s:mergeCell ref="A4536:E4536"/>
    <s:mergeCell ref="A31202:E31202"/>
    <s:mergeCell ref="A29722:E29722"/>
    <s:mergeCell ref="A19445:E19445"/>
    <s:mergeCell ref="A6927:E6927"/>
    <s:mergeCell ref="A4842:E4842"/>
    <s:mergeCell ref="A4537:E4537"/>
    <s:mergeCell ref="B7958:E7958"/>
    <s:mergeCell ref="A29150:E29150"/>
    <s:mergeCell ref="B15361:E15361"/>
    <s:mergeCell ref="A30930:E30930"/>
    <s:mergeCell ref="A14040:E14040"/>
    <s:mergeCell ref="A11955:E11955"/>
    <s:mergeCell ref="A12255:E12255"/>
    <s:mergeCell ref="A22048:E22048"/>
    <s:mergeCell ref="A4853:E4853"/>
    <s:mergeCell ref="A11982:E11982"/>
    <s:mergeCell ref="A3367:E3367"/>
    <s:mergeCell ref="A9986:E9986"/>
    <s:mergeCell ref="A13463:E13463"/>
    <s:mergeCell ref="A18884:E18884"/>
    <s:mergeCell ref="A4281:E4281"/>
    <s:mergeCell ref="A11983:E11983"/>
    <s:mergeCell ref="A2795:E2795"/>
    <s:mergeCell ref="A31708:E31708"/>
    <s:mergeCell ref="A19184:E19184"/>
    <s:mergeCell ref="A17099:E17099"/>
    <s:mergeCell ref="A4581:E4581"/>
    <s:mergeCell ref="A18879:E18879"/>
    <s:mergeCell ref="A16794:E16794"/>
    <s:mergeCell ref="A9697:E9697"/>
    <s:mergeCell ref="A19096:E19096"/>
    <s:mergeCell ref="A17399:E17399"/>
    <s:mergeCell ref="A21181:E21181"/>
    <s:mergeCell ref="A4881:E4881"/>
    <s:mergeCell ref="A2796:E2796"/>
    <s:mergeCell ref="A24517:E24517"/>
    <s:mergeCell ref="A19185:E19185"/>
    <s:mergeCell ref="A8211:E8211"/>
    <s:mergeCell ref="A26297:E26297"/>
    <s:mergeCell ref="A24212:E24212"/>
    <s:mergeCell ref="A9997:E9997"/>
    <s:mergeCell ref="A7912:E7912"/>
    <s:mergeCell ref="A17699:E17699"/>
    <s:mergeCell ref="A24817:E24817"/>
    <s:mergeCell ref="A22732:E22732"/>
    <s:mergeCell ref="A12299:E12299"/>
    <s:mergeCell ref="A10214:E10214"/>
    <s:mergeCell ref="A10208:E10208"/>
    <s:mergeCell ref="A24512:E24512"/>
    <s:mergeCell ref="A11994:E11994"/>
    <s:mergeCell ref="A8212:E8212"/>
    <s:mergeCell ref="A15330:E15330"/>
    <s:mergeCell ref="A23032:E23032"/>
    <s:mergeCell ref="A2806:E2806"/>
    <s:mergeCell ref="A721:E721"/>
    <s:mergeCell ref="A24812:E24812"/>
    <s:mergeCell ref="A22727:E22727"/>
    <s:mergeCell ref="A10209:E10209"/>
    <s:mergeCell ref="A17327:E17327"/>
    <s:mergeCell ref="A15630:E15630"/>
    <s:mergeCell ref="A17321:E17321"/>
    <s:mergeCell ref="A1021:E1021"/>
    <s:mergeCell ref="A17410:E17410"/>
    <s:mergeCell ref="A15325:E15325"/>
    <s:mergeCell ref="A17627:E17627"/>
    <s:mergeCell ref="A24240:E24240"/>
    <s:mergeCell ref="A1321:E1321"/>
    <s:mergeCell ref="B1263:E1263"/>
    <s:mergeCell ref="A22743:E22743"/>
    <s:mergeCell ref="A26631:E26631"/>
    <s:mergeCell ref="A8134:E8134"/>
    <s:mergeCell ref="A24540:E24540"/>
    <s:mergeCell ref="B1868:E1868"/>
    <s:mergeCell ref="A31658:E31658"/>
    <s:mergeCell ref="A23043:E23043"/>
    <s:mergeCell ref="A29662:E29662"/>
    <s:mergeCell ref="B8681:E8681"/>
    <s:mergeCell ref="A29656:E29656"/>
    <s:mergeCell ref="A29873:E29873"/>
    <s:mergeCell ref="A15658:E15658"/>
    <s:mergeCell ref="B21505:E21505"/>
    <s:mergeCell ref="A29962:E29962"/>
    <s:mergeCell ref="A31653:E31653"/>
    <s:mergeCell ref="A1032:E1032"/>
    <s:mergeCell ref="A22471:E22471"/>
    <s:mergeCell ref="A30173:E30173"/>
    <s:mergeCell ref="A1249:E1249"/>
    <s:mergeCell ref="A6165:E6165"/>
    <s:mergeCell ref="B7196:E7196"/>
    <s:mergeCell ref="A6382:E6382"/>
    <s:mergeCell ref="A8467:E8467"/>
    <s:mergeCell ref="A22771:E22771"/>
    <s:mergeCell ref="A8162:E8162"/>
    <s:mergeCell ref="A22466:E22466"/>
    <s:mergeCell ref="A23071:E23071"/>
    <s:mergeCell ref="A20986:E20986"/>
    <s:mergeCell ref="A30189:E30189"/>
    <s:mergeCell ref="A8462:E8462"/>
    <s:mergeCell ref="A15580:E15580"/>
    <s:mergeCell ref="A29884:E29884"/>
    <s:mergeCell ref="A6965:E6965"/>
    <s:mergeCell ref="A13584:E13584"/>
    <s:mergeCell ref="A13578:E13578"/>
    <s:mergeCell ref="A30489:E30489"/>
    <s:mergeCell ref="A28404:E28404"/>
    <s:mergeCell ref="A6093:E6093"/>
    <s:mergeCell ref="A15880:E15880"/>
    <s:mergeCell ref="A30184:E30184"/>
    <s:mergeCell ref="A28099:E28099"/>
    <s:mergeCell ref="A15581:E15581"/>
    <s:mergeCell ref="A13884:E13884"/>
    <s:mergeCell ref="A4607:E4607"/>
    <s:mergeCell ref="A20996:E20996"/>
    <s:mergeCell ref="A18911:E18911"/>
    <s:mergeCell ref="A6393:E6393"/>
    <s:mergeCell ref="A14095:E14095"/>
    <s:mergeCell ref="B30731:E30731"/>
    <s:mergeCell ref="A20697:E20697"/>
    <s:mergeCell ref="A28399:E28399"/>
    <s:mergeCell ref="A8173:E8173"/>
    <s:mergeCell ref="A6088:E6088"/>
    <s:mergeCell ref="B19458:E19458"/>
    <s:mergeCell ref="A22993:E22993"/>
    <s:mergeCell ref="A19211:E19211"/>
    <s:mergeCell ref="A6693:E6693"/>
    <s:mergeCell ref="A4608:E4608"/>
    <s:mergeCell ref="A20997:E20997"/>
    <s:mergeCell ref="A21208:E21208"/>
    <s:mergeCell ref="A4908:E4908"/>
    <s:mergeCell ref="A13806:E13806"/>
    <s:mergeCell ref="A30212:E30212"/>
    <s:mergeCell ref="A28127:E28127"/>
    <s:mergeCell ref="B14658:E14658"/>
    <s:mergeCell ref="B26871:E26871"/>
    <s:mergeCell ref="B22055:E22055"/>
    <s:mergeCell ref="A12021:E12021"/>
    <s:mergeCell ref="A28427:E28427"/>
    <s:mergeCell ref="A9752:E9752"/>
    <s:mergeCell ref="A27838:E27838"/>
    <s:mergeCell ref="A7166:E7166"/>
    <s:mergeCell ref="A28443:E28443"/>
    <s:mergeCell ref="A26358:E26358"/>
    <s:mergeCell ref="A26352:E26352"/>
    <s:mergeCell ref="A28138:E28138"/>
    <s:mergeCell ref="A31474:E31474"/>
    <s:mergeCell ref="A18950:E18950"/>
    <s:mergeCell ref="A16865:E16865"/>
    <s:mergeCell ref="A26353:E26353"/>
    <s:mergeCell ref="A4952:E4952"/>
    <s:mergeCell ref="B10799:E10799"/>
    <s:mergeCell ref="A19256:E19256"/>
    <s:mergeCell ref="A17165:E17165"/>
    <s:mergeCell ref="A26368:E26368"/>
    <s:mergeCell ref="A17770:E17770"/>
    <s:mergeCell ref="B17712:E17712"/>
    <s:mergeCell ref="A17465:E17465"/>
    <s:mergeCell ref="A14306:E14306"/>
    <s:mergeCell ref="B30536:E30536"/>
    <s:mergeCell ref="A26363:E26363"/>
    <s:mergeCell ref="A1483:E1483"/>
    <s:mergeCell ref="A14612:E14612"/>
    <s:mergeCell ref="A14606:E14606"/>
    <s:mergeCell ref="A12521:E12521"/>
    <s:mergeCell ref="A2088:E2088"/>
    <s:mergeCell ref="A24584:E24584"/>
    <s:mergeCell ref="B24825:E24825"/>
    <s:mergeCell ref="A14307:E14307"/>
    <s:mergeCell ref="A14301:E14301"/>
    <s:mergeCell ref="A1783:E1783"/>
    <s:mergeCell ref="A5119:E5119"/>
    <s:mergeCell ref="A303:E303"/>
    <s:mergeCell ref="A7116:E7116"/>
    <s:mergeCell ref="A5419:E5419"/>
    <s:mergeCell ref="A24611:E24611"/>
    <s:mergeCell ref="A5114:E5114"/>
    <s:mergeCell ref="B3725:E3725"/>
    <s:mergeCell ref="A12232:E12232"/>
    <s:mergeCell ref="A24306:E24306"/>
    <s:mergeCell ref="A7416:E7416"/>
    <s:mergeCell ref="A5719:E5719"/>
    <s:mergeCell ref="A3634:E3634"/>
    <s:mergeCell ref="B18240:E18240"/>
    <s:mergeCell ref="A12532:E12532"/>
    <s:mergeCell ref="A24606:E24606"/>
    <s:mergeCell ref="A7716:E7716"/>
    <s:mergeCell ref="A5631:E5631"/>
    <s:mergeCell ref="A31724:E31724"/>
    <s:mergeCell ref="A12832:E12832"/>
    <s:mergeCell ref="A10747:E10747"/>
    <s:mergeCell ref="A21747:E21747"/>
    <s:mergeCell ref="A19662:E19662"/>
    <s:mergeCell ref="A5447:E5447"/>
    <s:mergeCell ref="A31725:E31725"/>
    <s:mergeCell ref="A20267:E20267"/>
    <s:mergeCell ref="A11047:E11047"/>
    <s:mergeCell ref="A12260:E12260"/>
    <s:mergeCell ref="A26564:E26564"/>
    <s:mergeCell ref="A17966:E17966"/>
    <s:mergeCell ref="A27169:E27169"/>
    <s:mergeCell ref="A12566:E12566"/>
    <s:mergeCell ref="A25078:E25078"/>
    <s:mergeCell ref="A12560:E12560"/>
    <s:mergeCell ref="A26864:E26864"/>
    <s:mergeCell ref="A25384:E25384"/>
    <s:mergeCell ref="A5158:E5158"/>
    <s:mergeCell ref="A3073:E3073"/>
    <s:mergeCell ref="A10775:E10775"/>
    <s:mergeCell ref="A17893:E17893"/>
    <s:mergeCell ref="A27164:E27164"/>
    <s:mergeCell ref="A25079:E25079"/>
    <s:mergeCell ref="A12561:E12561"/>
    <s:mergeCell ref="A17982:E17982"/>
    <s:mergeCell ref="A19673:E19673"/>
    <s:mergeCell ref="A3373:E3373"/>
    <s:mergeCell ref="A18193:E18193"/>
    <s:mergeCell ref="A25379:E25379"/>
    <s:mergeCell ref="A3584:E3584"/>
    <s:mergeCell ref="A17888:E17888"/>
    <s:mergeCell ref="A1588:E1588"/>
    <s:mergeCell ref="A10791:E10791"/>
    <s:mergeCell ref="A18493:E18493"/>
    <s:mergeCell ref="B30797:E30797"/>
    <s:mergeCell ref="A10486:E10486"/>
    <s:mergeCell ref="A18188:E18188"/>
    <s:mergeCell ref="A11091:E11091"/>
    <s:mergeCell ref="A9006:E9006"/>
    <s:mergeCell ref="A25395:E25395"/>
    <s:mergeCell ref="A10786:E10786"/>
    <s:mergeCell ref="A1604:E1604"/>
    <s:mergeCell ref="A1299:E1299"/>
    <s:mergeCell ref="A11086:E11086"/>
    <s:mergeCell ref="A9001:E9001"/>
    <s:mergeCell ref="A18204:E18204"/>
    <s:mergeCell ref="A16119:E16119"/>
    <s:mergeCell ref="A1904:E1904"/>
    <s:mergeCell ref="A1510:E1510"/>
    <s:mergeCell ref="A1599:E1599"/>
    <s:mergeCell ref="A25123:E25123"/>
    <s:mergeCell ref="A16419:E16419"/>
    <s:mergeCell ref="A3901:E3901"/>
    <s:mergeCell ref="B2057:E2057"/>
    <s:mergeCell ref="B360:E360"/>
    <s:mergeCell ref="B18446:E18446"/>
    <s:mergeCell ref="A1899:E1899"/>
    <s:mergeCell ref="B4448:E4448"/>
    <s:mergeCell ref="A25423:E25423"/>
    <s:mergeCell ref="A25029:E25029"/>
    <s:mergeCell ref="B2357:E2357"/>
    <s:mergeCell ref="A17932:E17932"/>
    <s:mergeCell ref="B361:E361"/>
    <s:mergeCell ref="A9317:E9317"/>
    <s:mergeCell ref="A7232:E7232"/>
    <s:mergeCell ref="A30750:E30750"/>
    <s:mergeCell ref="A18232:E18232"/>
    <s:mergeCell ref="A16147:E16147"/>
    <s:mergeCell ref="A30451:E30451"/>
    <s:mergeCell ref="A17927:E17927"/>
    <s:mergeCell ref="A21263:E21263"/>
    <s:mergeCell ref="A8745:E8745"/>
    <s:mergeCell ref="A14345:E14345"/>
    <s:mergeCell ref="A30751:E30751"/>
    <s:mergeCell ref="A7259:E7259"/>
    <s:mergeCell ref="A25345:E25345"/>
    <s:mergeCell ref="A21563:E21563"/>
    <s:mergeCell ref="A30962:E30962"/>
    <s:mergeCell ref="A6960:E6960"/>
    <s:mergeCell ref="A6954:E6954"/>
    <s:mergeCell ref="A23865:E23865"/>
    <s:mergeCell ref="B283:E283"/>
    <s:mergeCell ref="A21258:E21258"/>
    <s:mergeCell ref="A23560:E23560"/>
    <s:mergeCell ref="A21863:E21863"/>
    <s:mergeCell ref="A7260:E7260"/>
    <s:mergeCell ref="A14378:E14378"/>
    <s:mergeCell ref="A23649:E23649"/>
    <s:mergeCell ref="A14372:E14372"/>
    <s:mergeCell ref="A1854:E1854"/>
    <s:mergeCell ref="A23860:E23860"/>
    <s:mergeCell ref="A21775:E21775"/>
    <s:mergeCell ref="A14678:E14678"/>
    <s:mergeCell ref="A14672:E14672"/>
    <s:mergeCell ref="A69:E69"/>
    <s:mergeCell ref="A28976:E28976"/>
    <s:mergeCell ref="A26891:E26891"/>
    <s:mergeCell ref="A16458:E16458"/>
    <s:mergeCell ref="A14373:E14373"/>
    <s:mergeCell ref="A369:E369"/>
    <s:mergeCell ref="B27438:E27438"/>
    <s:mergeCell ref="A27191:E27191"/>
    <s:mergeCell ref="A14673:E14673"/>
    <s:mergeCell ref="A21791:E21791"/>
    <s:mergeCell ref="A9267:E9267"/>
    <s:mergeCell ref="A7182:E7182"/>
    <s:mergeCell ref="A5485:E5485"/>
    <s:mergeCell ref="A7271:E7271"/>
    <s:mergeCell ref="A22091:E22091"/>
    <s:mergeCell ref="A28710:E28710"/>
    <s:mergeCell ref="A28704:E28704"/>
    <s:mergeCell ref="A29004:E29004"/>
    <s:mergeCell ref="A5213:E5213"/>
    <s:mergeCell ref="A2627:E2627"/>
    <s:mergeCell ref="A2621:E2621"/>
    <s:mergeCell ref="A536:E536"/>
    <s:mergeCell ref="B3658:E3658"/>
    <s:mergeCell ref="A23599:E23599"/>
    <s:mergeCell ref="A836:E836"/>
    <s:mergeCell ref="A28715:E28715"/>
    <s:mergeCell ref="A26630:E26630"/>
    <s:mergeCell ref="A21814:E21814"/>
    <s:mergeCell ref="B6260:E6260"/>
    <s:mergeCell ref="A27235:E27235"/>
    <s:mergeCell ref="A14717:E14717"/>
    <s:mergeCell ref="A12632:E12632"/>
    <s:mergeCell ref="A12626:E12626"/>
    <s:mergeCell ref="A26930:E26930"/>
    <s:mergeCell ref="A25450:E25450"/>
    <s:mergeCell ref="A27230:E27230"/>
    <s:mergeCell ref="A7682:E7682"/>
    <s:mergeCell ref="A18048:E18048"/>
    <s:mergeCell ref="A7771:E7771"/>
    <s:mergeCell ref="A7982:E7982"/>
    <s:mergeCell ref="A20045:E20045"/>
    <s:mergeCell ref="A22286:E22286"/>
    <s:mergeCell ref="A9768:E9768"/>
    <s:mergeCell ref="A8071:E8071"/>
    <s:mergeCell ref="A580:E580"/>
    <s:mergeCell ref="A7766:E7766"/>
    <s:mergeCell ref="A8282:E8282"/>
    <s:mergeCell ref="A14884:E14884"/>
    <s:mergeCell ref="A7983:E7983"/>
    <s:mergeCell ref="B11099:E11099"/>
    <s:mergeCell ref="A13099:E13099"/>
    <s:mergeCell ref="A581:E581"/>
    <s:mergeCell ref="A575:E575"/>
    <s:mergeCell ref="B11405:E11405"/>
    <s:mergeCell ref="B11399:E11399"/>
    <s:mergeCell ref="A13399:E13399"/>
    <s:mergeCell ref="B26219:E26219"/>
    <s:mergeCell ref="A7993:E7993"/>
    <s:mergeCell ref="A5908:E5908"/>
    <s:mergeCell ref="A6208:E6208"/>
    <s:mergeCell ref="A13127:E13127"/>
    <s:mergeCell ref="A27947:E27947"/>
    <s:mergeCell ref="A22025:E22025"/>
    <s:mergeCell ref="A13427:E13427"/>
    <s:mergeCell ref="A20545:E20545"/>
    <s:mergeCell ref="A5936:E5936"/>
    <s:mergeCell ref="A22325:E22325"/>
    <s:mergeCell ref="A20240:E20240"/>
    <s:mergeCell ref="A7722:E7722"/>
    <s:mergeCell ref="A6541:E6541"/>
    <s:mergeCell ref="A20845:E20845"/>
    <s:mergeCell ref="A18760:E18760"/>
    <s:mergeCell ref="A6236:E6236"/>
    <s:mergeCell ref="A13354:E13354"/>
    <s:mergeCell ref="A27658:E27658"/>
    <s:mergeCell ref="A13443:E13443"/>
    <s:mergeCell ref="A11352:E11352"/>
    <s:mergeCell ref="A27353:E27353"/>
    <s:mergeCell ref="A13654:E13654"/>
    <s:mergeCell ref="A11569:E11569"/>
    <s:mergeCell ref="A20840:E20840"/>
    <s:mergeCell ref="A27958:E27958"/>
    <s:mergeCell ref="B11899:E11899"/>
    <s:mergeCell ref="A13349:E13349"/>
    <s:mergeCell ref="A6252:E6252"/>
    <s:mergeCell ref="A4167:E4167"/>
    <s:mergeCell ref="A13438:E13438"/>
    <s:mergeCell ref="A11353:E11353"/>
    <s:mergeCell ref="A11869:E11869"/>
    <s:mergeCell ref="A18471:E18471"/>
    <s:mergeCell ref="A28258:E28258"/>
    <s:mergeCell ref="A26173:E26173"/>
    <s:mergeCell ref="A5947:E5947"/>
    <s:mergeCell ref="A4467:E4467"/>
    <s:mergeCell ref="A11653:E11653"/>
    <s:mergeCell ref="A18771:E18771"/>
    <s:mergeCell ref="A18765:E18765"/>
    <s:mergeCell ref="A16680:E16680"/>
    <s:mergeCell ref="A4162:E4162"/>
    <s:mergeCell ref="A11280:E11280"/>
    <s:mergeCell ref="A9583:E9583"/>
    <s:mergeCell ref="A4767:E4767"/>
    <s:mergeCell ref="A2682:E2682"/>
    <s:mergeCell ref="A29466:E29466"/>
    <s:mergeCell ref="A27381:E27381"/>
    <s:mergeCell ref="A4462:E4462"/>
    <s:mergeCell ref="A11580:E11580"/>
    <s:mergeCell ref="A9584:E9584"/>
    <s:mergeCell ref="A27681:E27681"/>
    <s:mergeCell ref="B5009:E5009"/>
    <s:mergeCell ref="A31017:E31017"/>
    <s:mergeCell ref="A20584:E20584"/>
    <s:mergeCell ref="A11880:E11880"/>
    <s:mergeCell ref="A18499:E18499"/>
    <s:mergeCell ref="A26184:E26184"/>
    <s:mergeCell ref="B11822:E11822"/>
    <s:mergeCell ref="A31317:E31317"/>
    <s:mergeCell ref="A2393:E2393"/>
    <s:mergeCell ref="A18799:E18799"/>
    <s:mergeCell ref="A10095:E10095"/>
    <s:mergeCell ref="A31012:E31012"/>
    <s:mergeCell ref="A25612:E25612"/>
    <s:mergeCell ref="A23915:E23915"/>
    <s:mergeCell ref="A2693:E2693"/>
    <s:mergeCell ref="A25912:E25912"/>
    <s:mergeCell ref="A24215:E24215"/>
    <s:mergeCell ref="B17544:E17544"/>
    <s:mergeCell ref="A16724:E16724"/>
    <s:mergeCell ref="A31028:E31028"/>
    <s:mergeCell ref="A9806:E9806"/>
    <s:mergeCell ref="A31633:E31633"/>
    <s:mergeCell ref="A9518:E9518"/>
    <s:mergeCell ref="A14939:E14939"/>
    <s:mergeCell ref="A31328:E31328"/>
    <s:mergeCell ref="A29243:E29243"/>
    <s:mergeCell ref="A16725:E16725"/>
    <s:mergeCell ref="A16719:E16719"/>
    <s:mergeCell ref="A14634:E14634"/>
    <s:mergeCell ref="A31545:E31545"/>
    <s:mergeCell ref="A31539:E31539"/>
    <s:mergeCell ref="A7537:E7537"/>
    <s:mergeCell ref="A2721:E2721"/>
    <s:mergeCell ref="A636:E636"/>
    <s:mergeCell ref="A9839:E9839"/>
    <s:mergeCell ref="A22052:E22052"/>
    <s:mergeCell ref="A9534:E9534"/>
    <s:mergeCell ref="A5752:E5752"/>
    <s:mergeCell ref="A10139:E10139"/>
    <s:mergeCell ref="A8054:E8054"/>
    <s:mergeCell ref="A8048:E8048"/>
    <s:mergeCell ref="A24443:E24443"/>
    <s:mergeCell ref="A22352:E22352"/>
    <s:mergeCell ref="A9834:E9834"/>
    <s:mergeCell ref="A6052:E6052"/>
    <s:mergeCell ref="A15255:E15255"/>
    <s:mergeCell ref="A646:E646"/>
    <s:mergeCell ref="A14950:E14950"/>
    <s:mergeCell ref="A22652:E22652"/>
    <s:mergeCell ref="A347:E347"/>
    <s:mergeCell ref="A10134:E10134"/>
    <s:mergeCell ref="A8049:E8049"/>
    <s:mergeCell ref="A13470:E13470"/>
    <s:mergeCell ref="A952:E952"/>
    <s:mergeCell ref="A15250:E15250"/>
    <s:mergeCell ref="A13165:E13165"/>
    <s:mergeCell ref="A15467:E15467"/>
    <s:mergeCell ref="A24165:E24165"/>
    <s:mergeCell ref="A22080:E22080"/>
    <s:mergeCell ref="A1408:E1408"/>
    <s:mergeCell ref="A13465:E13465"/>
    <s:mergeCell ref="A947:E947"/>
    <s:mergeCell ref="A29498:E29498"/>
    <s:mergeCell ref="A29587:E29587"/>
    <s:mergeCell ref="A27496:E27496"/>
    <s:mergeCell ref="A29798:E29798"/>
    <s:mergeCell ref="A27713:E27713"/>
    <s:mergeCell ref="A27802:E27802"/>
    <s:mergeCell ref="A29493:E29493"/>
    <s:mergeCell ref="A20311:E20311"/>
    <s:mergeCell ref="A20611:E20611"/>
    <s:mergeCell ref="A22391:E22391"/>
    <s:mergeCell ref="A20306:E20306"/>
    <s:mergeCell ref="A20911:E20911"/>
    <s:mergeCell ref="A20606:E20606"/>
    <s:mergeCell ref="A17447:E17447"/>
    <s:mergeCell ref="A3232:E3232"/>
    <s:mergeCell ref="A1147:E1147"/>
    <s:mergeCell ref="A25728:E25728"/>
    <s:mergeCell ref="B21153:E21153"/>
    <s:mergeCell ref="A2927:E2927"/>
    <s:mergeCell ref="A842:E842"/>
    <s:mergeCell ref="A1358:E1358"/>
    <s:mergeCell ref="A28024:E28024"/>
    <s:mergeCell ref="B28271:E28271"/>
    <s:mergeCell ref="A17747:E17747"/>
    <s:mergeCell ref="A1447:E1447"/>
    <s:mergeCell ref="A1142:E1142"/>
    <s:mergeCell ref="B12271:E12271"/>
    <s:mergeCell ref="A8260:E8260"/>
    <s:mergeCell ref="A15962:E15962"/>
    <s:mergeCell ref="B28272:E28272"/>
    <s:mergeCell ref="A8865:E8865"/>
    <s:mergeCell ref="A23169:E23169"/>
    <s:mergeCell ref="A1442:E1442"/>
    <s:mergeCell ref="A8560:E8560"/>
    <s:mergeCell ref="A8860:E8860"/>
    <s:mergeCell ref="A6775:E6775"/>
    <s:mergeCell ref="A1369:E1369"/>
    <s:mergeCell ref="A15673:E15673"/>
    <s:mergeCell ref="A1458:E1458"/>
    <s:mergeCell ref="A7075:E7075"/>
    <s:mergeCell ref="A1669:E1669"/>
    <s:mergeCell ref="A8588:E8588"/>
    <s:mergeCell ref="A6486:E6486"/>
    <s:mergeCell ref="A7091:E7091"/>
    <s:mergeCell ref="A13704:E13704"/>
    <s:mergeCell ref="A28524:E28524"/>
    <s:mergeCell ref="A16006:E16006"/>
    <s:mergeCell ref="A6786:E6786"/>
    <s:mergeCell ref="A21107:E21107"/>
    <s:mergeCell ref="A30310:E30310"/>
    <s:mergeCell ref="A30005:E30005"/>
    <s:mergeCell ref="A28824:E28824"/>
    <s:mergeCell ref="A14221:E14221"/>
    <s:mergeCell ref="A28525:E28525"/>
    <s:mergeCell ref="A28519:E28519"/>
    <s:mergeCell ref="A16001:E16001"/>
    <s:mergeCell ref="A13916:E13916"/>
    <s:mergeCell ref="A23119:E23119"/>
    <s:mergeCell ref="A19337:E19337"/>
    <s:mergeCell ref="A4728:E4728"/>
    <s:mergeCell ref="A21123:E21123"/>
    <s:mergeCell ref="A21117:E21117"/>
    <s:mergeCell ref="A19032:E19032"/>
    <s:mergeCell ref="A14216:E14216"/>
    <s:mergeCell ref="A23419:E23419"/>
    <s:mergeCell ref="A20818:E20818"/>
    <s:mergeCell ref="A19637:E19637"/>
    <s:mergeCell ref="A21334:E21334"/>
    <s:mergeCell ref="A7119:E7119"/>
    <s:mergeCell ref="A5034:E5034"/>
    <s:mergeCell ref="A21423:E21423"/>
    <s:mergeCell ref="A19332:E19332"/>
    <s:mergeCell ref="A6814:E6814"/>
    <s:mergeCell ref="A28535:E28535"/>
    <s:mergeCell ref="A26450:E26450"/>
    <s:mergeCell ref="A21118:E21118"/>
    <s:mergeCell ref="A21634:E21634"/>
    <s:mergeCell ref="A14537:E14537"/>
    <s:mergeCell ref="A13627:E13627"/>
    <s:mergeCell ref="A7114:E7114"/>
    <s:mergeCell ref="A5029:E5029"/>
    <s:mergeCell ref="A26750:E26750"/>
    <s:mergeCell ref="A12147:E12147"/>
    <s:mergeCell ref="A12141:E12141"/>
    <s:mergeCell ref="A5044:E5044"/>
    <s:mergeCell ref="A2959:E2959"/>
    <s:mergeCell ref="B21876:E21876"/>
    <s:mergeCell ref="B27297:E27297"/>
    <s:mergeCell ref="B14779:E14779"/>
    <s:mergeCell ref="A27050:E27050"/>
    <s:mergeCell ref="A12447:E12447"/>
    <s:mergeCell ref="B14474:E14474"/>
    <s:mergeCell ref="A7041:E7041"/>
    <s:mergeCell ref="A4956:E4956"/>
    <s:mergeCell ref="A3259:E3259"/>
    <s:mergeCell ref="B27597:E27597"/>
    <s:mergeCell ref="A5045:E5045"/>
    <s:mergeCell ref="A2954:E2954"/>
    <s:mergeCell ref="A26478:E26478"/>
    <s:mergeCell ref="A4740:E4740"/>
    <s:mergeCell ref="A3559:E3559"/>
    <s:mergeCell ref="A28264:E28264"/>
    <s:mergeCell ref="A19560:E19560"/>
    <s:mergeCell ref="A3254:E3254"/>
    <s:mergeCell ref="A26778:E26778"/>
    <s:mergeCell ref="A5556:E5556"/>
    <s:mergeCell ref="A3471:E3471"/>
    <s:mergeCell ref="A26479:E26479"/>
    <s:mergeCell ref="A26473:E26473"/>
    <s:mergeCell ref="A19376:E19376"/>
    <s:mergeCell ref="A10672:E10672"/>
    <s:mergeCell ref="A17291:E17291"/>
    <s:mergeCell ref="A31595:E31595"/>
    <s:mergeCell ref="A10373:E10373"/>
    <s:mergeCell ref="A17591:E17591"/>
    <s:mergeCell ref="A26489:E26489"/>
    <s:mergeCell ref="A24404:E24404"/>
    <s:mergeCell ref="A17891:E17891"/>
    <s:mergeCell ref="A12491:E12491"/>
    <s:mergeCell ref="A10400:E10400"/>
    <s:mergeCell ref="A24704:E24704"/>
    <s:mergeCell ref="A12186:E12186"/>
    <s:mergeCell ref="B18438:E18438"/>
    <s:mergeCell ref="A19888:E19888"/>
    <s:mergeCell ref="A25309:E25309"/>
    <s:mergeCell ref="A23224:E23224"/>
    <s:mergeCell ref="A2998:E2998"/>
    <s:mergeCell ref="A913:E913"/>
    <s:mergeCell ref="A17302:E17302"/>
    <s:mergeCell ref="A25004:E25004"/>
    <s:mergeCell ref="A22919:E22919"/>
    <s:mergeCell ref="A12486:E12486"/>
    <s:mergeCell ref="A10401:E10401"/>
    <s:mergeCell ref="A24705:E24705"/>
    <s:mergeCell ref="B25462:E25462"/>
    <s:mergeCell ref="A15816:E15816"/>
    <s:mergeCell ref="A1213:E1213"/>
    <s:mergeCell ref="A17602:E17602"/>
    <s:mergeCell ref="A15517:E15517"/>
    <s:mergeCell ref="B10942:E10942"/>
    <s:mergeCell ref="A30337:E30337"/>
    <s:mergeCell ref="A17819:E17819"/>
    <s:mergeCell ref="A17813:E17813"/>
    <s:mergeCell ref="A15728:E15728"/>
    <s:mergeCell ref="A1513:E1513"/>
    <s:mergeCell ref="A8631:E8631"/>
    <s:mergeCell ref="A17514:E17514"/>
    <s:mergeCell ref="A15817:E15817"/>
    <s:mergeCell ref="A22935:E22935"/>
    <s:mergeCell ref="A30637:E30637"/>
    <s:mergeCell ref="A10411:E10411"/>
    <s:mergeCell ref="A8326:E8326"/>
    <s:mergeCell ref="A22630:E22630"/>
    <s:mergeCell ref="A8931:E8931"/>
    <s:mergeCell ref="A23235:E23235"/>
    <s:mergeCell ref="A8626:E8626"/>
    <s:mergeCell ref="A25232:E25232"/>
    <s:mergeCell ref="A8926:E8926"/>
    <s:mergeCell ref="A30365:E30365"/>
    <s:mergeCell ref="A22963:E22963"/>
    <s:mergeCell ref="A30648:E30648"/>
    <s:mergeCell ref="B30607:E30607"/>
    <s:mergeCell ref="A23263:E23263"/>
    <s:mergeCell ref="A21178:E21178"/>
    <s:mergeCell ref="A15772:E15772"/>
    <s:mergeCell ref="A13770:E13770"/>
    <s:mergeCell ref="A29771:E29771"/>
    <s:mergeCell ref="A28590:E28590"/>
    <s:mergeCell ref="A3710:E3710"/>
    <s:mergeCell ref="A15767:E15767"/>
    <s:mergeCell ref="A14287:E14287"/>
    <s:mergeCell ref="A4010:E4010"/>
    <s:mergeCell ref="A20889:E20889"/>
    <s:mergeCell ref="A28591:E28591"/>
    <s:mergeCell ref="A3705:E3705"/>
    <s:mergeCell ref="A9126:E9126"/>
    <s:mergeCell ref="A21189:E21189"/>
    <s:mergeCell ref="A10912:E10912"/>
    <s:mergeCell ref="A10607:E10607"/>
    <s:mergeCell ref="A9426:E9426"/>
    <s:mergeCell ref="A11123:E11123"/>
    <s:mergeCell ref="A23186:E23186"/>
    <s:mergeCell ref="A21489:E21489"/>
    <s:mergeCell ref="A25427:E25427"/>
    <s:mergeCell ref="A9127:E9127"/>
    <s:mergeCell ref="B14245:E14245"/>
    <s:mergeCell ref="A3721:E3721"/>
    <s:mergeCell ref="A11423:E11423"/>
    <s:mergeCell ref="A1725:E1725"/>
    <s:mergeCell ref="A9427:E9427"/>
    <s:mergeCell ref="A16545:E16545"/>
    <s:mergeCell ref="A16539:E16539"/>
    <s:mergeCell ref="A14454:E14454"/>
    <s:mergeCell ref="A4021:E4021"/>
    <s:mergeCell ref="A1936:E1936"/>
    <s:mergeCell ref="B14240:E14240"/>
    <s:mergeCell ref="A18325:E18325"/>
    <s:mergeCell ref="A2025:E2025"/>
    <s:mergeCell ref="A456:E456"/>
    <s:mergeCell ref="A2541:E2541"/>
    <s:mergeCell ref="B27363:E27363"/>
    <s:mergeCell ref="B14845:E14845"/>
    <s:mergeCell ref="A16540:E16540"/>
    <s:mergeCell ref="A4022:E4022"/>
    <s:mergeCell ref="A2536:E2536"/>
    <s:mergeCell ref="B27364:E27364"/>
    <s:mergeCell ref="A28635:E28635"/>
    <s:mergeCell ref="A9438:E9438"/>
    <s:mergeCell ref="A16573:E16573"/>
    <s:mergeCell ref="A16268:E16268"/>
    <s:mergeCell ref="A467:E467"/>
    <s:mergeCell ref="A461:E461"/>
    <s:mergeCell ref="A7080:E7080"/>
    <s:mergeCell ref="A14771:E14771"/>
    <s:mergeCell ref="A23469:E23469"/>
    <s:mergeCell ref="A21384:E21384"/>
    <s:mergeCell ref="A21900:E21900"/>
    <s:mergeCell ref="A23985:E23985"/>
    <s:mergeCell ref="A162:E162"/>
    <s:mergeCell ref="A25771:E25771"/>
    <s:mergeCell ref="A23686:E23686"/>
    <s:mergeCell ref="A31388:E31388"/>
    <s:mergeCell ref="A9471:E9471"/>
    <s:mergeCell ref="A7380:E7380"/>
    <s:mergeCell ref="A21684:E21684"/>
    <s:mergeCell ref="A16868:E16868"/>
    <s:mergeCell ref="A28802:E28802"/>
    <s:mergeCell ref="A23986:E23986"/>
    <s:mergeCell ref="A14798:E14798"/>
    <s:mergeCell ref="A2280:E2280"/>
    <s:mergeCell ref="A195:E195"/>
    <s:mergeCell ref="A21984:E21984"/>
    <s:mergeCell ref="A29102:E29102"/>
    <s:mergeCell ref="A14499:E14499"/>
    <s:mergeCell ref="A14493:E14493"/>
    <s:mergeCell ref="A1975:E1975"/>
    <s:mergeCell ref="A495:E495"/>
    <s:mergeCell ref="A31099:E31099"/>
    <s:mergeCell ref="A29402:E29402"/>
    <s:mergeCell ref="A27317:E27317"/>
    <s:mergeCell ref="A14799:E14799"/>
    <s:mergeCell ref="A190:E190"/>
    <s:mergeCell ref="A21911:E21911"/>
    <s:mergeCell ref="A7308:E7308"/>
    <s:mergeCell ref="A14494:E14494"/>
    <s:mergeCell ref="A31399:E31399"/>
    <s:mergeCell ref="A29314:E29314"/>
    <s:mergeCell ref="A27617:E27617"/>
    <s:mergeCell ref="A5306:E5306"/>
    <s:mergeCell ref="A22217:E22217"/>
    <s:mergeCell ref="A490:E490"/>
    <s:mergeCell ref="B22458:E22458"/>
    <s:mergeCell ref="A22211:E22211"/>
    <s:mergeCell ref="A20126:E20126"/>
    <s:mergeCell ref="A7608:E7608"/>
    <s:mergeCell ref="A5911:E5911"/>
    <s:mergeCell ref="A3826:E3826"/>
    <s:mergeCell ref="A21912:E21912"/>
    <s:mergeCell ref="A5606:E5606"/>
    <s:mergeCell ref="A12724:E12724"/>
    <s:mergeCell ref="A29130:E29130"/>
    <s:mergeCell ref="A20426:E20426"/>
    <s:mergeCell ref="A27045:E27045"/>
    <s:mergeCell ref="A7908:E7908"/>
    <s:mergeCell ref="A5823:E5823"/>
    <s:mergeCell ref="B22459:E22459"/>
    <s:mergeCell ref="A22212:E22212"/>
    <s:mergeCell ref="B20368:E20368"/>
    <s:mergeCell ref="A13024:E13024"/>
    <s:mergeCell ref="A10939:E10939"/>
    <s:mergeCell ref="A12725:E12725"/>
    <s:mergeCell ref="A21939:E21939"/>
    <s:mergeCell ref="A19854:E19854"/>
    <s:mergeCell ref="A21640:E21640"/>
    <s:mergeCell ref="A5833:E5833"/>
    <s:mergeCell ref="A20137:E20137"/>
    <s:mergeCell ref="A26756:E26756"/>
    <s:mergeCell ref="A21940:E21940"/>
    <s:mergeCell ref="A21934:E21934"/>
    <s:mergeCell ref="A25270:E25270"/>
    <s:mergeCell ref="B13566:E13566"/>
    <s:mergeCell ref="A12752:E12752"/>
    <s:mergeCell ref="A20437:E20437"/>
    <s:mergeCell ref="B4384:E4384"/>
    <s:mergeCell ref="A18352:E18352"/>
    <s:mergeCell ref="A5834:E5834"/>
    <s:mergeCell ref="A22240:E22240"/>
    <s:mergeCell ref="A27056:E27056"/>
    <s:mergeCell ref="A27572:E27572"/>
    <s:mergeCell ref="A11255:E11255"/>
    <s:mergeCell ref="A27267:E27267"/>
    <s:mergeCell ref="A13052:E13052"/>
    <s:mergeCell ref="A4348:E4348"/>
    <s:mergeCell ref="A10967:E10967"/>
    <s:mergeCell ref="A29053:E29053"/>
    <s:mergeCell ref="A27356:E27356"/>
    <s:mergeCell ref="B4684:E4684"/>
    <s:mergeCell ref="A25271:E25271"/>
    <s:mergeCell ref="A27872:E27872"/>
    <s:mergeCell ref="B27814:E27814"/>
    <s:mergeCell ref="A27567:E27567"/>
    <s:mergeCell ref="A25571:E25571"/>
    <s:mergeCell ref="A3776:E3776"/>
    <s:mergeCell ref="A18080:E18080"/>
    <s:mergeCell ref="A19866:E19866"/>
    <s:mergeCell ref="A18685:E18685"/>
    <s:mergeCell ref="A10678:E10678"/>
    <s:mergeCell ref="A27583:E27583"/>
    <s:mergeCell ref="A25498:E25498"/>
    <s:mergeCell ref="A25587:E25587"/>
    <s:mergeCell ref="A10978:E10978"/>
    <s:mergeCell ref="A25798:E25798"/>
    <s:mergeCell ref="A9498:E9498"/>
    <s:mergeCell ref="A11189:E11189"/>
    <s:mergeCell ref="A4092:E4092"/>
    <s:mergeCell ref="A11278:E11278"/>
    <s:mergeCell ref="A9193:E9193"/>
    <s:mergeCell ref="A18396:E18396"/>
    <s:mergeCell ref="A24013:E24013"/>
    <s:mergeCell ref="A3787:E3787"/>
    <s:mergeCell ref="A11489:E11489"/>
    <s:mergeCell ref="A18091:E18091"/>
    <s:mergeCell ref="A9493:E9493"/>
    <s:mergeCell ref="B26645:E26645"/>
    <s:mergeCell ref="A16611:E16611"/>
    <s:mergeCell ref="A4093:E4093"/>
    <s:mergeCell ref="A16605:E16605"/>
    <s:mergeCell ref="A4087:E4087"/>
    <s:mergeCell ref="A16306:E16306"/>
    <s:mergeCell ref="A3788:E3788"/>
    <s:mergeCell ref="A16911:E16911"/>
    <s:mergeCell ref="A25521:E25521"/>
    <s:mergeCell ref="A30942:E30942"/>
    <s:mergeCell ref="A18424:E18424"/>
    <s:mergeCell ref="A16339:E16339"/>
    <s:mergeCell ref="A16639:E16639"/>
    <s:mergeCell ref="A30943:E30943"/>
    <s:mergeCell ref="A30937:E30937"/>
    <s:mergeCell ref="A25537:E25537"/>
    <s:mergeCell ref="A23452:E23452"/>
    <s:mergeCell ref="A16939:E16939"/>
    <s:mergeCell ref="A4560:E4560"/>
    <s:mergeCell ref="A23752:E23752"/>
    <s:mergeCell ref="A24357:E24357"/>
    <s:mergeCell ref="A4860:E4860"/>
    <s:mergeCell ref="A24052:E24052"/>
    <s:mergeCell ref="A31170:E31170"/>
    <s:mergeCell ref="A30865:E30865"/>
    <s:mergeCell ref="A29168:E29168"/>
    <s:mergeCell ref="A16650:E16650"/>
    <s:mergeCell ref="A18891:E18891"/>
    <s:mergeCell ref="A6373:E6373"/>
    <s:mergeCell ref="A4288:E4288"/>
    <s:mergeCell ref="A31470:E31470"/>
    <s:mergeCell ref="A6068:E6068"/>
    <s:mergeCell ref="A31165:E31165"/>
    <s:mergeCell ref="B15112:E15112"/>
    <s:mergeCell ref="A20888:E20888"/>
    <s:mergeCell ref="A17106:E17106"/>
    <s:mergeCell ref="A4588:E4588"/>
    <s:mergeCell ref="A19103:E19103"/>
    <s:mergeCell ref="A4888:E4888"/>
    <s:mergeCell ref="A2803:E2803"/>
    <s:mergeCell ref="A12006:E12006"/>
    <s:mergeCell ref="A26304:E26304"/>
    <s:mergeCell ref="A24219:E24219"/>
    <s:mergeCell ref="A17122:E17122"/>
    <s:mergeCell ref="A12306:E12306"/>
    <s:mergeCell ref="A10221:E10221"/>
    <s:mergeCell ref="B22525:E22525"/>
    <s:mergeCell ref="A24519:E24519"/>
    <s:mergeCell ref="A2819:E2819"/>
    <s:mergeCell ref="A2813:E2813"/>
    <s:mergeCell ref="A728:E728"/>
    <s:mergeCell ref="A1333:E1333"/>
    <s:mergeCell ref="A1028:E1028"/>
    <s:mergeCell ref="A2814:E2814"/>
    <s:mergeCell ref="A24247:E24247"/>
    <s:mergeCell ref="A31454:E31454"/>
    <s:mergeCell ref="A16845:E16845"/>
    <s:mergeCell ref="A8141:E8141"/>
    <s:mergeCell ref="A9944:E9944"/>
    <s:mergeCell ref="A31665:E31665"/>
    <s:mergeCell ref="A1044:E1044"/>
    <s:mergeCell ref="B3661:E3661"/>
    <s:mergeCell ref="A2847:E2847"/>
    <s:mergeCell ref="A31754:E31754"/>
    <s:mergeCell ref="A29669:E29669"/>
    <s:mergeCell ref="A17151:E17151"/>
    <s:mergeCell ref="A18842:E18842"/>
    <s:mergeCell ref="A17145:E17145"/>
    <s:mergeCell ref="A15060:E15060"/>
    <s:mergeCell ref="A24263:E24263"/>
    <s:mergeCell ref="A15665:E15665"/>
    <s:mergeCell ref="A31666:E31666"/>
    <s:mergeCell ref="A29969:E29969"/>
    <s:mergeCell ref="A8174:E8174"/>
    <s:mergeCell ref="A24563:E24563"/>
    <s:mergeCell ref="A22478:E22478"/>
    <s:mergeCell ref="A9960:E9960"/>
    <s:mergeCell ref="A24258:E24258"/>
    <s:mergeCell ref="A22173:E22173"/>
    <s:mergeCell ref="A9655:E9655"/>
    <s:mergeCell ref="A8474:E8474"/>
    <s:mergeCell ref="A15076:E15076"/>
    <s:mergeCell ref="A22778:E22778"/>
    <s:mergeCell ref="A10260:E10260"/>
    <s:mergeCell ref="A8175:E8175"/>
    <s:mergeCell ref="A8169:E8169"/>
    <s:mergeCell ref="A24564:E24564"/>
    <s:mergeCell ref="A13590:E13590"/>
    <s:mergeCell ref="A22473:E22473"/>
    <s:mergeCell ref="A1072:E1072"/>
    <s:mergeCell ref="A29591:E29591"/>
    <s:mergeCell ref="A13291:E13291"/>
    <s:mergeCell ref="A23078:E23078"/>
    <s:mergeCell ref="A773:E773"/>
    <s:mergeCell ref="A24775:E24775"/>
    <s:mergeCell ref="A767:E767"/>
    <s:mergeCell ref="A15593:E15593"/>
    <s:mergeCell ref="A15071:E15071"/>
    <s:mergeCell ref="A15587:E15587"/>
    <s:mergeCell ref="A29891:E29891"/>
    <s:mergeCell ref="A13591:E13591"/>
    <s:mergeCell ref="A1073:E1073"/>
    <s:mergeCell ref="A8185:E8185"/>
    <s:mergeCell ref="A6100:E6100"/>
    <s:mergeCell ref="A15887:E15887"/>
    <s:mergeCell ref="A22506:E22506"/>
    <s:mergeCell ref="A30191:E30191"/>
    <s:mergeCell ref="A28106:E28106"/>
    <s:mergeCell ref="A17673:E17673"/>
    <s:mergeCell ref="A15588:E15588"/>
    <s:mergeCell ref="A21009:E21009"/>
    <s:mergeCell ref="A6400:E6400"/>
    <s:mergeCell ref="B30738:E30738"/>
    <s:mergeCell ref="A22789:E22789"/>
    <s:mergeCell ref="A20704:E20704"/>
    <s:mergeCell ref="A31704:E31704"/>
    <s:mergeCell ref="A27922:E27922"/>
    <s:mergeCell ref="A6700:E6700"/>
    <s:mergeCell ref="A30224:E30224"/>
    <s:mergeCell ref="A21004:E21004"/>
    <s:mergeCell ref="A8486:E8486"/>
    <s:mergeCell ref="B20946:E20946"/>
    <s:mergeCell ref="A13513:E13513"/>
    <s:mergeCell ref="A29919:E29919"/>
    <s:mergeCell ref="B23248:E23248"/>
    <s:mergeCell ref="A8213:E8213"/>
    <s:mergeCell ref="A6128:E6128"/>
    <s:mergeCell ref="A13813:E13813"/>
    <s:mergeCell ref="A20432:E20432"/>
    <s:mergeCell ref="A30219:E30219"/>
    <s:mergeCell ref="A4631:E4631"/>
    <s:mergeCell ref="A6428:E6428"/>
    <s:mergeCell ref="A20732:E20732"/>
    <s:mergeCell ref="A27850:E27850"/>
    <s:mergeCell ref="A4931:E4931"/>
    <s:mergeCell ref="A4626:E4626"/>
    <s:mergeCell ref="A21032:E21032"/>
    <s:mergeCell ref="A13541:E13541"/>
    <s:mergeCell ref="A11844:E11844"/>
    <s:mergeCell ref="A29930:E29930"/>
    <s:mergeCell ref="A27845:E27845"/>
    <s:mergeCell ref="B5173:E5173"/>
    <s:mergeCell ref="A28450:E28450"/>
    <s:mergeCell ref="A26365:E26365"/>
    <s:mergeCell ref="A6139:E6139"/>
    <s:mergeCell ref="A13841:E13841"/>
    <s:mergeCell ref="A20959:E20959"/>
    <s:mergeCell ref="A28145:E28145"/>
    <s:mergeCell ref="A13542:E13542"/>
    <s:mergeCell ref="A18963:E18963"/>
    <s:mergeCell ref="A18957:E18957"/>
    <s:mergeCell ref="A16872:E16872"/>
    <s:mergeCell ref="A4354:E4354"/>
    <s:mergeCell ref="A20743:E20743"/>
    <s:mergeCell ref="A18658:E18658"/>
    <s:mergeCell ref="A19174:E19174"/>
    <s:mergeCell ref="A21259:E21259"/>
    <s:mergeCell ref="A4959:E4959"/>
    <s:mergeCell ref="A2874:E2874"/>
    <s:mergeCell ref="A19263:E19263"/>
    <s:mergeCell ref="A4654:E4654"/>
    <s:mergeCell ref="A18958:E18958"/>
    <s:mergeCell ref="A19474:E19474"/>
    <s:mergeCell ref="A9776:E9776"/>
    <s:mergeCell ref="B21501:E21501"/>
    <s:mergeCell ref="A11467:E11467"/>
    <s:mergeCell ref="A26681:E26681"/>
    <s:mergeCell ref="A4954:E4954"/>
    <s:mergeCell ref="A12072:E12072"/>
    <s:mergeCell ref="A17173:E17173"/>
    <s:mergeCell ref="A26376:E26376"/>
    <s:mergeCell ref="A24285:E24285"/>
    <s:mergeCell ref="B25137:E25137"/>
    <s:mergeCell ref="A24890:E24890"/>
    <s:mergeCell ref="A26676:E26676"/>
    <s:mergeCell ref="B24832:E24832"/>
    <s:mergeCell ref="A310:E310"/>
    <s:mergeCell ref="A17189:E17189"/>
    <s:mergeCell ref="B25138:E25138"/>
    <s:mergeCell ref="A24318:E24318"/>
    <s:mergeCell ref="A6912:E6912"/>
    <s:mergeCell ref="A7212:E7212"/>
    <s:mergeCell ref="A31220:E31220"/>
    <s:mergeCell ref="A26404:E26404"/>
    <s:mergeCell ref="B3732:E3732"/>
    <s:mergeCell ref="A17216:E17216"/>
    <s:mergeCell ref="B25148:E25148"/>
    <s:mergeCell ref="A31520:E31520"/>
    <s:mergeCell ref="A21:E21"/>
    <s:mergeCell ref="A31737:E31737"/>
    <s:mergeCell ref="A31731:E31731"/>
    <s:mergeCell ref="A29735:E29735"/>
    <s:mergeCell ref="A31732:E31732"/>
    <s:mergeCell ref="A30035:E30035"/>
    <s:mergeCell ref="A24635:E24635"/>
    <s:mergeCell ref="A12267:E12267"/>
    <s:mergeCell ref="A24330:E24330"/>
    <s:mergeCell ref="A12872:E12872"/>
    <s:mergeCell ref="A25091:E25091"/>
    <s:mergeCell ref="A12573:E12573"/>
    <s:mergeCell ref="A12567:E12567"/>
    <s:mergeCell ref="A49:E49"/>
    <s:mergeCell ref="A24630:E24630"/>
    <s:mergeCell ref="A5165:E5165"/>
    <s:mergeCell ref="A3080:E3080"/>
    <s:mergeCell ref="A5382:E5382"/>
    <s:mergeCell ref="A12568:E12568"/>
    <s:mergeCell ref="A19686:E19686"/>
    <s:mergeCell ref="A19680:E19680"/>
    <s:mergeCell ref="A7162:E7162"/>
    <s:mergeCell ref="A5077:E5077"/>
    <s:mergeCell ref="A3380:E3380"/>
    <s:mergeCell ref="A12583:E12583"/>
    <s:mergeCell ref="A10498:E10498"/>
    <s:mergeCell ref="A5682:E5682"/>
    <s:mergeCell ref="A3075:E3075"/>
    <s:mergeCell ref="A19986:E19986"/>
    <s:mergeCell ref="A5377:E5377"/>
    <s:mergeCell ref="A3680:E3680"/>
    <s:mergeCell ref="B30804:E30804"/>
    <s:mergeCell ref="A10493:E10493"/>
    <s:mergeCell ref="A11098:E11098"/>
    <s:mergeCell ref="A9013:E9013"/>
    <s:mergeCell ref="A20013:E20013"/>
    <s:mergeCell ref="A10793:E10793"/>
    <s:mergeCell ref="A29991:E29991"/>
    <s:mergeCell ref="A19708:E19708"/>
    <s:mergeCell ref="A26915:E26915"/>
    <s:mergeCell ref="B30532:E30532"/>
    <s:mergeCell ref="A1517:E1517"/>
    <s:mergeCell ref="A26610:E26610"/>
    <s:mergeCell ref="A25041:E25041"/>
    <s:mergeCell ref="A27126:E27126"/>
    <s:mergeCell ref="A10826:E10826"/>
    <s:mergeCell ref="A26827:E26827"/>
    <s:mergeCell ref="A25130:E25130"/>
    <s:mergeCell ref="A3908:E3908"/>
    <s:mergeCell ref="A10527:E10527"/>
    <s:mergeCell ref="A10521:E10521"/>
    <s:mergeCell ref="A25341:E25341"/>
    <s:mergeCell ref="A27127:E27127"/>
    <s:mergeCell ref="B4455:E4455"/>
    <s:mergeCell ref="A25430:E25430"/>
    <s:mergeCell ref="A10821:E10821"/>
    <s:mergeCell ref="A30457:E30457"/>
    <s:mergeCell ref="A17939:E17939"/>
    <s:mergeCell ref="A25125:E25125"/>
    <s:mergeCell ref="A15943:E15943"/>
    <s:mergeCell ref="A25342:E25342"/>
    <s:mergeCell ref="A27427:E27427"/>
    <s:mergeCell ref="A30763:E30763"/>
    <s:mergeCell ref="A18239:E18239"/>
    <s:mergeCell ref="A16154:E16154"/>
    <s:mergeCell ref="A3630:E3630"/>
    <s:mergeCell ref="A30458:E30458"/>
    <s:mergeCell ref="A17940:E17940"/>
    <s:mergeCell ref="A15849:E15849"/>
    <s:mergeCell ref="A8752:E8752"/>
    <s:mergeCell ref="A23056:E23056"/>
    <s:mergeCell ref="A30758:E30758"/>
    <s:mergeCell ref="A10532:E10532"/>
    <s:mergeCell ref="A25352:E25352"/>
    <s:mergeCell ref="A23267:E23267"/>
    <s:mergeCell ref="A6967:E6967"/>
    <s:mergeCell ref="A16170:E16170"/>
    <s:mergeCell ref="A23356:E23356"/>
    <s:mergeCell ref="A1561:E1561"/>
    <s:mergeCell ref="A8747:E8747"/>
    <s:mergeCell ref="A15865:E15865"/>
    <s:mergeCell ref="A23567:E23567"/>
    <s:mergeCell ref="A1650:E1650"/>
    <s:mergeCell ref="A7267:E7267"/>
    <s:mergeCell ref="A16470:E16470"/>
    <s:mergeCell ref="A14385:E14385"/>
    <s:mergeCell ref="A14379:E14379"/>
    <s:mergeCell ref="A1861:E1861"/>
    <s:mergeCell ref="A16165:E16165"/>
    <s:mergeCell ref="A30486:E30486"/>
    <s:mergeCell ref="A1562:E1562"/>
    <s:mergeCell ref="A381:E381"/>
    <s:mergeCell ref="A14685:E14685"/>
    <s:mergeCell ref="A76:E76"/>
    <s:mergeCell ref="A6678:E6678"/>
    <s:mergeCell ref="A16465:E16465"/>
    <s:mergeCell ref="A14380:E14380"/>
    <s:mergeCell ref="A1862:E1862"/>
    <s:mergeCell ref="A7283:E7283"/>
    <s:mergeCell ref="A8974:E8974"/>
    <s:mergeCell ref="A5192:E5192"/>
    <s:mergeCell ref="A6978:E6978"/>
    <s:mergeCell ref="A30502:E30502"/>
    <s:mergeCell ref="A15893:E15893"/>
    <s:mergeCell ref="A30197:E30197"/>
    <s:mergeCell ref="A92:E92"/>
    <s:mergeCell ref="A7278:E7278"/>
    <s:mergeCell ref="A5193:E5193"/>
    <s:mergeCell ref="A28717:E28717"/>
    <s:mergeCell ref="A28711:E28711"/>
    <s:mergeCell ref="B24125:E24125"/>
    <s:mergeCell ref="A30497:E30497"/>
    <s:mergeCell ref="A14696:E14696"/>
    <s:mergeCell ref="A21309:E21309"/>
    <s:mergeCell ref="A19224:E19224"/>
    <s:mergeCell ref="A87:E87"/>
    <s:mergeCell ref="A23611:E23611"/>
    <s:mergeCell ref="A21526:E21526"/>
    <s:mergeCell ref="A28712:E28712"/>
    <s:mergeCell ref="A21615:E21615"/>
    <s:mergeCell ref="A23306:E23306"/>
    <s:mergeCell ref="A19524:E19524"/>
    <s:mergeCell ref="A28727:E28727"/>
    <s:mergeCell ref="A26642:E26642"/>
    <s:mergeCell ref="A14124:E14124"/>
    <s:mergeCell ref="A21826:E21826"/>
    <s:mergeCell ref="A13819:E13819"/>
    <s:mergeCell ref="A21521:E21521"/>
    <s:mergeCell ref="A28639:E28639"/>
    <s:mergeCell ref="A14424:E14424"/>
    <s:mergeCell ref="A22126:E22126"/>
    <s:mergeCell ref="A14119:E14119"/>
    <s:mergeCell ref="A28939:E28939"/>
    <s:mergeCell ref="A27242:E27242"/>
    <s:mergeCell ref="A12639:E12639"/>
    <s:mergeCell ref="A115:E115"/>
    <s:mergeCell ref="A29028:E29028"/>
    <s:mergeCell ref="A26937:E26937"/>
    <s:mergeCell ref="A14419:E14419"/>
    <s:mergeCell ref="A12334:E12334"/>
    <s:mergeCell ref="A29239:E29239"/>
    <s:mergeCell ref="A27154:E27154"/>
    <s:mergeCell ref="A5231:E5231"/>
    <s:mergeCell ref="A20057:E20057"/>
    <s:mergeCell ref="A21837:E21837"/>
    <s:mergeCell ref="A19752:E19752"/>
    <s:mergeCell ref="A20052:E20052"/>
    <s:mergeCell ref="A25473:E25473"/>
    <s:mergeCell ref="A587:E587"/>
    <s:mergeCell ref="B11112:E11112"/>
    <s:mergeCell ref="A2673:E2673"/>
    <s:mergeCell ref="A588:E588"/>
    <s:mergeCell ref="A24596:E24596"/>
    <s:mergeCell ref="B11406:E11406"/>
    <s:mergeCell ref="A10592:E10592"/>
    <s:mergeCell ref="A24896:E24896"/>
    <s:mergeCell ref="A27192:E27192"/>
    <s:mergeCell ref="A7701:E7701"/>
    <s:mergeCell ref="A10892:E10892"/>
    <s:mergeCell ref="A615:E615"/>
    <s:mergeCell ref="A25196:E25196"/>
    <s:mergeCell ref="A27193:E27193"/>
    <s:mergeCell ref="B4521:E4521"/>
    <s:mergeCell ref="A7517:E7517"/>
    <s:mergeCell ref="A5432:E5432"/>
    <s:mergeCell ref="A20252:E20252"/>
    <s:mergeCell ref="A7734:E7734"/>
    <s:mergeCell ref="A5732:E5732"/>
    <s:mergeCell ref="A20552:E20552"/>
    <s:mergeCell ref="A20247:E20247"/>
    <s:mergeCell ref="A7729:E7729"/>
    <s:mergeCell ref="A6032:E6032"/>
    <s:mergeCell ref="A13150:E13150"/>
    <s:mergeCell ref="A20852:E20852"/>
    <s:mergeCell ref="A12845:E12845"/>
    <s:mergeCell ref="A20547:E20547"/>
    <s:mergeCell ref="A15147:E15147"/>
    <s:mergeCell ref="A13450:E13450"/>
    <s:mergeCell ref="A11365:E11365"/>
    <s:mergeCell ref="A5959:E5959"/>
    <s:mergeCell ref="A15447:E15447"/>
    <s:mergeCell ref="A13362:E13362"/>
    <s:mergeCell ref="B21884:E21884"/>
    <s:mergeCell ref="A4174:E4174"/>
    <s:mergeCell ref="A11360:E11360"/>
    <s:mergeCell ref="A20563:E20563"/>
    <s:mergeCell ref="A18478:E18478"/>
    <s:mergeCell ref="A5954:E5954"/>
    <s:mergeCell ref="B29601:E29601"/>
    <s:mergeCell ref="A27393:E27393"/>
    <s:mergeCell ref="A4474:E4474"/>
    <s:mergeCell ref="A18778:E18778"/>
    <s:mergeCell ref="B6501:E6501"/>
    <s:mergeCell ref="A4169:E4169"/>
    <s:mergeCell ref="A27693:E27693"/>
    <s:mergeCell ref="A4774:E4774"/>
    <s:mergeCell ref="A27388:E27388"/>
    <s:mergeCell ref="B13919:E13919"/>
    <s:mergeCell ref="A20291:E20291"/>
    <s:mergeCell ref="B6502:E6502"/>
    <s:mergeCell ref="A27993:E27993"/>
    <s:mergeCell ref="A4202:E4202"/>
    <s:mergeCell ref="A4185:E4185"/>
    <s:mergeCell ref="A20591:E20591"/>
    <s:mergeCell ref="A3897:E3897"/>
    <s:mergeCell ref="A20286:E20286"/>
    <s:mergeCell ref="A18201:E18201"/>
    <s:mergeCell ref="A4485:E4485"/>
    <s:mergeCell ref="A2400:E2400"/>
    <s:mergeCell ref="A11104:E11104"/>
    <s:mergeCell ref="A18806:E18806"/>
    <s:mergeCell ref="A25924:E25924"/>
    <s:mergeCell ref="A11315:E11315"/>
    <s:mergeCell ref="B17556:E17556"/>
    <s:mergeCell ref="A18501:E18501"/>
    <s:mergeCell ref="A27704:E27704"/>
    <s:mergeCell ref="A25619:E25619"/>
    <s:mergeCell ref="A2700:E2700"/>
    <s:mergeCell ref="A9319:E9319"/>
    <s:mergeCell ref="A3913:E3913"/>
    <s:mergeCell ref="A11615:E11615"/>
    <s:mergeCell ref="A25919:E25919"/>
    <s:mergeCell ref="A9619:E9619"/>
    <s:mergeCell ref="A16731:E16731"/>
    <s:mergeCell ref="A4213:E4213"/>
    <s:mergeCell ref="A11915:E11915"/>
    <s:mergeCell ref="A17037:E17037"/>
    <s:mergeCell ref="A18728:E18728"/>
    <s:mergeCell ref="A2428:E2428"/>
    <s:mergeCell ref="A9546:E9546"/>
    <s:mergeCell ref="A18817:E18817"/>
    <s:mergeCell ref="A16726:E16726"/>
    <s:mergeCell ref="A11326:E11326"/>
    <s:mergeCell ref="A19028:E19028"/>
    <s:mergeCell ref="A16943:E16943"/>
    <s:mergeCell ref="A2728:E2728"/>
    <s:mergeCell ref="A9846:E9846"/>
    <s:mergeCell ref="B19575:E19575"/>
    <s:mergeCell ref="A9541:E9541"/>
    <s:mergeCell ref="A23845:E23845"/>
    <s:mergeCell ref="A9630:E9630"/>
    <s:mergeCell ref="A7545:E7545"/>
    <s:mergeCell ref="A8061:E8061"/>
    <s:mergeCell ref="A10146:E10146"/>
    <s:mergeCell ref="A24450:E24450"/>
    <s:mergeCell ref="A31063:E31063"/>
    <s:mergeCell ref="A9841:E9841"/>
    <s:mergeCell ref="A15262:E15262"/>
    <s:mergeCell ref="B10693:E10693"/>
    <s:mergeCell ref="A13177:E13177"/>
    <s:mergeCell ref="A653:E653"/>
    <s:mergeCell ref="A14963:E14963"/>
    <s:mergeCell ref="A31363:E31363"/>
    <s:mergeCell ref="A2439:E2439"/>
    <s:mergeCell ref="A354:E354"/>
    <s:mergeCell ref="A25963:E25963"/>
    <s:mergeCell ref="A23878:E23878"/>
    <s:mergeCell ref="B1200:E1200"/>
    <s:mergeCell ref="A25658:E25658"/>
    <s:mergeCell ref="A7772:E7772"/>
    <s:mergeCell ref="A24178:E24178"/>
    <s:mergeCell ref="A25958:E25958"/>
    <s:mergeCell ref="A23873:E23873"/>
    <s:mergeCell ref="A8072:E8072"/>
    <s:mergeCell ref="A24478:E24478"/>
    <s:mergeCell ref="A31074:E31074"/>
    <s:mergeCell ref="B8014:E8014"/>
    <s:mergeCell ref="A28989:E28989"/>
    <s:mergeCell ref="A29505:E29505"/>
    <s:mergeCell ref="A24173:E24173"/>
    <s:mergeCell ref="A31291:E31291"/>
    <s:mergeCell ref="A29594:E29594"/>
    <s:mergeCell ref="A27509:E27509"/>
    <s:mergeCell ref="A17076:E17076"/>
    <s:mergeCell ref="A14991:E14991"/>
    <s:mergeCell ref="A14985:E14985"/>
    <s:mergeCell ref="A29295:E29295"/>
    <s:mergeCell ref="A22103:E22103"/>
    <s:mergeCell ref="A29289:E29289"/>
    <s:mergeCell ref="A7500:E7500"/>
    <s:mergeCell ref="A31591:E31591"/>
    <s:mergeCell ref="A29506:E29506"/>
    <s:mergeCell ref="A27809:E27809"/>
    <s:mergeCell ref="B15532:E15532"/>
    <s:mergeCell ref="A22403:E22403"/>
    <s:mergeCell ref="A20318:E20318"/>
    <s:mergeCell ref="A29589:E29589"/>
    <s:mergeCell ref="A7800:E7800"/>
    <s:mergeCell ref="A22104:E22104"/>
    <s:mergeCell ref="A9580:E9580"/>
    <s:mergeCell ref="A7495:E7495"/>
    <s:mergeCell ref="A12916:E12916"/>
    <s:mergeCell ref="A20618:E20618"/>
    <s:mergeCell ref="A8100:E8100"/>
    <s:mergeCell ref="A22404:E22404"/>
    <s:mergeCell ref="A20313:E20313"/>
    <s:mergeCell ref="A7795:E7795"/>
    <s:mergeCell ref="A29516:E29516"/>
    <s:mergeCell ref="A14913:E14913"/>
    <s:mergeCell ref="A13216:E13216"/>
    <s:mergeCell ref="A698:E698"/>
    <s:mergeCell ref="A15518:E15518"/>
    <s:mergeCell ref="A13433:E13433"/>
    <s:mergeCell ref="A12911:E12911"/>
    <s:mergeCell ref="A27731:E27731"/>
    <s:mergeCell ref="A15213:E15213"/>
    <s:mergeCell ref="A11431:E11431"/>
    <s:mergeCell ref="A1154:E1154"/>
    <s:mergeCell ref="A13211:E13211"/>
    <s:mergeCell ref="A11126:E11126"/>
    <s:mergeCell ref="B28278:E28278"/>
    <s:mergeCell ref="A849:E849"/>
    <s:mergeCell ref="A28031:E28031"/>
    <s:mergeCell ref="A15513:E15513"/>
    <s:mergeCell ref="A13428:E13428"/>
    <s:mergeCell ref="A3151:E3151"/>
    <s:mergeCell ref="A1454:E1454"/>
    <s:mergeCell ref="B6572:E6572"/>
    <s:mergeCell ref="B16060:E16060"/>
    <s:mergeCell ref="A10352:E10352"/>
    <s:mergeCell ref="A8267:E8267"/>
    <s:mergeCell ref="A3451:E3451"/>
    <s:mergeCell ref="B28279:E28279"/>
    <s:mergeCell ref="A29544:E29544"/>
    <s:mergeCell ref="A27459:E27459"/>
    <s:mergeCell ref="A29245:E29245"/>
    <s:mergeCell ref="B6573:E6573"/>
    <s:mergeCell ref="A8567:E8567"/>
    <s:mergeCell ref="B20871:E20871"/>
    <s:mergeCell ref="A27759:E27759"/>
    <s:mergeCell ref="A10353:E10353"/>
    <s:mergeCell ref="A29545:E29545"/>
    <s:mergeCell ref="A8867:E8867"/>
    <s:mergeCell ref="B11900:E11900"/>
    <s:mergeCell ref="A20357:E20357"/>
    <s:mergeCell ref="A18272:E18272"/>
    <s:mergeCell ref="A27760:E27760"/>
    <s:mergeCell ref="A18572:E18572"/>
    <s:mergeCell ref="A27775:E27775"/>
    <s:mergeCell ref="B13986:E13986"/>
    <s:mergeCell ref="B26804:E26804"/>
    <s:mergeCell ref="B24719:E24719"/>
    <s:mergeCell ref="A26079:E26079"/>
    <s:mergeCell ref="A27770:E27770"/>
    <s:mergeCell ref="A1193:E1193"/>
    <s:mergeCell ref="A16013:E16013"/>
    <s:mergeCell ref="A1404:E1404"/>
    <s:mergeCell ref="A21129:E21129"/>
    <s:mergeCell ref="A8611:E8611"/>
    <s:mergeCell ref="A6526:E6526"/>
    <s:mergeCell ref="B18830:E18830"/>
    <s:mergeCell ref="A20830:E20830"/>
    <s:mergeCell ref="A28532:E28532"/>
    <s:mergeCell ref="A8306:E8306"/>
    <s:mergeCell ref="A6221:E6221"/>
    <s:mergeCell ref="A16008:E16008"/>
    <s:mergeCell ref="A21130:E21130"/>
    <s:mergeCell ref="A6521:E6521"/>
    <s:mergeCell ref="A13639:E13639"/>
    <s:mergeCell ref="A7126:E7126"/>
    <s:mergeCell ref="A23127:E23127"/>
    <s:mergeCell ref="A13939:E13939"/>
    <s:mergeCell ref="A28243:E28243"/>
    <s:mergeCell ref="B27004:E27004"/>
    <s:mergeCell ref="A20858:E20858"/>
    <s:mergeCell ref="A12154:E12154"/>
    <s:mergeCell ref="A1721:E1721"/>
    <s:mergeCell ref="A28543:E28543"/>
    <s:mergeCell ref="A5051:E5051"/>
    <s:mergeCell ref="A2966:E2966"/>
    <s:mergeCell ref="B14786:E14786"/>
    <s:mergeCell ref="A4752:E4752"/>
    <s:mergeCell ref="A12454:E12454"/>
    <s:mergeCell ref="B177:E177"/>
    <s:mergeCell ref="A15752:E15752"/>
    <s:mergeCell ref="A13667:E13667"/>
    <s:mergeCell ref="A27971:E27971"/>
    <s:mergeCell ref="A6749:E6749"/>
    <s:mergeCell ref="A5052:E5052"/>
    <s:mergeCell ref="A13967:E13967"/>
    <s:mergeCell ref="A13662:E13662"/>
    <s:mergeCell ref="A19083:E19083"/>
    <s:mergeCell ref="A4480:E4480"/>
    <s:mergeCell ref="A14267:E14267"/>
    <s:mergeCell ref="A21385:E21385"/>
    <s:mergeCell ref="A12165:E12165"/>
    <s:mergeCell ref="A28571:E28571"/>
    <s:mergeCell ref="A26486:E26486"/>
    <s:mergeCell ref="A21080:E21080"/>
    <s:mergeCell ref="A19383:E19383"/>
    <s:mergeCell ref="A17298:E17298"/>
    <s:mergeCell ref="A4780:E4780"/>
    <s:mergeCell ref="A19600:E19600"/>
    <s:mergeCell ref="A19078:E19078"/>
    <s:mergeCell ref="A16993:E16993"/>
    <s:mergeCell ref="A19295:E19295"/>
    <s:mergeCell ref="A5080:E5080"/>
    <s:mergeCell ref="A2995:E2995"/>
    <s:mergeCell ref="B13012:E13012"/>
    <s:mergeCell ref="A21081:E21081"/>
    <s:mergeCell ref="A19900:E19900"/>
    <s:mergeCell ref="A26496:E26496"/>
    <s:mergeCell ref="A24411:E24411"/>
    <s:mergeCell ref="A11893:E11893"/>
    <s:mergeCell ref="A19595:E19595"/>
    <s:mergeCell ref="A25016:E25016"/>
    <s:mergeCell ref="A12498:E12498"/>
    <s:mergeCell ref="A10413:E10413"/>
    <s:mergeCell ref="A26802:E26802"/>
    <s:mergeCell ref="B3736:E3736"/>
    <s:mergeCell ref="A24711:E24711"/>
    <s:mergeCell ref="A12193:E12193"/>
    <s:mergeCell ref="A26497:E26497"/>
    <s:mergeCell ref="A3005:E3005"/>
    <s:mergeCell ref="A920:E920"/>
    <s:mergeCell ref="A25011:E25011"/>
    <s:mergeCell ref="A2706:E2706"/>
    <s:mergeCell ref="A12493:E12493"/>
    <s:mergeCell ref="A10408:E10408"/>
    <s:mergeCell ref="A19611:E19611"/>
    <s:mergeCell ref="A17526:E17526"/>
    <s:mergeCell ref="A5002:E5002"/>
    <s:mergeCell ref="A10423:E10423"/>
    <s:mergeCell ref="A3006:E3006"/>
    <s:mergeCell ref="A3522:E3522"/>
    <s:mergeCell ref="A3000:E3000"/>
    <s:mergeCell ref="A26530:E26530"/>
    <s:mergeCell ref="A17826:E17826"/>
    <s:mergeCell ref="A17820:E17820"/>
    <s:mergeCell ref="A24439:E24439"/>
    <s:mergeCell ref="A3217:E3217"/>
    <s:mergeCell ref="A8638:E8638"/>
    <s:mergeCell ref="A3306:E3306"/>
    <s:mergeCell ref="B18373:E18373"/>
    <s:mergeCell ref="A10424:E10424"/>
    <s:mergeCell ref="A26830:E26830"/>
    <s:mergeCell ref="A8333:E8333"/>
    <s:mergeCell ref="B20153:E20153"/>
    <s:mergeCell ref="A10119:E10119"/>
    <s:mergeCell ref="A8938:E8938"/>
    <s:mergeCell ref="A8633:E8633"/>
    <s:mergeCell ref="A30161:E30161"/>
    <s:mergeCell ref="B10877:E10877"/>
    <s:mergeCell ref="A24755:E24755"/>
    <s:mergeCell ref="A3533:E3533"/>
    <s:mergeCell ref="A10152:E10152"/>
    <s:mergeCell ref="A17549:E17549"/>
    <s:mergeCell ref="A22970:E22970"/>
    <s:mergeCell ref="A22665:E22665"/>
    <s:mergeCell ref="A29783:E29783"/>
    <s:mergeCell ref="A23270:E23270"/>
    <s:mergeCell ref="A15779:E15779"/>
    <s:mergeCell ref="A22965:E22965"/>
    <s:mergeCell ref="B293:E293"/>
    <s:mergeCell ref="A30083:E30083"/>
    <s:mergeCell ref="A17565:E17565"/>
    <s:mergeCell ref="A13783:E13783"/>
    <s:mergeCell ref="A23182:E23182"/>
    <s:mergeCell ref="A30688:E30688"/>
    <s:mergeCell ref="A28603:E28603"/>
    <s:mergeCell ref="A8377:E8377"/>
    <s:mergeCell ref="A16079:E16079"/>
    <s:mergeCell ref="A28298:E28298"/>
    <s:mergeCell ref="A17865:E17865"/>
    <s:mergeCell ref="A15780:E15780"/>
    <s:mergeCell ref="A14083:E14083"/>
    <s:mergeCell ref="A15774:E15774"/>
    <s:mergeCell ref="A21195:E21195"/>
    <s:mergeCell ref="B16626:E16626"/>
    <s:mergeCell ref="A22981:E22981"/>
    <s:mergeCell ref="A20896:E20896"/>
    <s:mergeCell ref="B28845:E28845"/>
    <s:mergeCell ref="A8372:E8372"/>
    <s:mergeCell ref="A23198:E23198"/>
    <s:mergeCell ref="A23192:E23192"/>
    <s:mergeCell ref="A29811:E29811"/>
    <s:mergeCell ref="A22893:E22893"/>
    <s:mergeCell ref="A21196:E21196"/>
    <s:mergeCell ref="A28314:E28314"/>
    <s:mergeCell ref="A30111:E30111"/>
    <s:mergeCell ref="A28614:E28614"/>
    <s:mergeCell ref="A30411:E30411"/>
    <s:mergeCell ref="A3728:E3728"/>
    <s:mergeCell ref="A28309:E28309"/>
    <s:mergeCell ref="A4034:E4034"/>
    <s:mergeCell ref="A4028:E4028"/>
    <s:mergeCell ref="A18332:E18332"/>
    <s:mergeCell ref="A16247:E16247"/>
    <s:mergeCell ref="A3729:E3729"/>
    <s:mergeCell ref="B14852:E14852"/>
    <s:mergeCell ref="A13733:E13733"/>
    <s:mergeCell ref="A30122:E30122"/>
    <s:mergeCell ref="A28037:E28037"/>
    <s:mergeCell ref="B27371:E27371"/>
    <s:mergeCell ref="A26557:E26557"/>
    <s:mergeCell ref="A28642:E28642"/>
    <s:mergeCell ref="A14033:E14033"/>
    <s:mergeCell ref="A3756:E3756"/>
    <s:mergeCell ref="A28337:E28337"/>
    <s:mergeCell ref="A11447:E11447"/>
    <s:mergeCell ref="A28637:E28637"/>
    <s:mergeCell ref="A26552:E26552"/>
    <s:mergeCell ref="A1954:E1954"/>
    <s:mergeCell ref="A9389:E9389"/>
    <s:mergeCell ref="A23693:E23693"/>
    <s:mergeCell ref="A9478:E9478"/>
    <s:mergeCell ref="A7393:E7393"/>
    <s:mergeCell ref="A9084:E9084"/>
    <s:mergeCell ref="A14505:E14505"/>
    <s:mergeCell ref="A1987:E1987"/>
    <s:mergeCell ref="A16291:E16291"/>
    <s:mergeCell ref="A23993:E23993"/>
    <s:mergeCell ref="A15986:E15986"/>
    <s:mergeCell ref="A14805:E14805"/>
    <s:mergeCell ref="A2287:E2287"/>
    <s:mergeCell ref="A202:E202"/>
    <s:mergeCell ref="A16591:E16591"/>
    <s:mergeCell ref="A14506:E14506"/>
    <s:mergeCell ref="A1988:E1988"/>
    <s:mergeCell ref="A14500:E14500"/>
    <s:mergeCell ref="A1982:E1982"/>
    <s:mergeCell ref="A30895:E30895"/>
    <s:mergeCell ref="A9100:E9100"/>
    <s:mergeCell ref="A7403:E7403"/>
    <s:mergeCell ref="A502:E502"/>
    <s:mergeCell ref="A7104:E7104"/>
    <s:mergeCell ref="A14806:E14806"/>
    <s:mergeCell ref="A197:E197"/>
    <s:mergeCell ref="A9400:E9400"/>
    <s:mergeCell ref="A5618:E5618"/>
    <s:mergeCell ref="A7404:E7404"/>
    <s:mergeCell ref="A28837:E28837"/>
    <s:mergeCell ref="A16319:E16319"/>
    <s:mergeCell ref="A7615:E7615"/>
    <s:mergeCell ref="A24004:E24004"/>
    <s:mergeCell ref="A21919:E21919"/>
    <s:mergeCell ref="A213:E213"/>
    <s:mergeCell ref="A7915:E7915"/>
    <s:mergeCell ref="A14534:E14534"/>
    <s:mergeCell ref="B22460:E22460"/>
    <s:mergeCell ref="A23432:E23432"/>
    <s:mergeCell ref="A21735:E21735"/>
    <s:mergeCell ref="A513:E513"/>
    <s:mergeCell ref="A14834:E14834"/>
    <s:mergeCell ref="A14817:E14817"/>
    <s:mergeCell ref="A12732:E12732"/>
    <s:mergeCell ref="A21946:E21946"/>
    <s:mergeCell ref="A23732:E23732"/>
    <s:mergeCell ref="A21647:E21647"/>
    <s:mergeCell ref="A19950:E19950"/>
    <s:mergeCell ref="A22252:E22252"/>
    <s:mergeCell ref="A26763:E26763"/>
    <s:mergeCell ref="A7626:E7626"/>
    <s:mergeCell ref="A5541:E5541"/>
    <s:mergeCell ref="B13490:E13490"/>
    <s:mergeCell ref="A21947:E21947"/>
    <s:mergeCell ref="A29065:E29065"/>
    <s:mergeCell ref="A12759:E12759"/>
    <s:mergeCell ref="A241:E241"/>
    <s:mergeCell ref="A27063:E27063"/>
    <s:mergeCell ref="B13790:E13790"/>
    <s:mergeCell ref="A22247:E22247"/>
    <s:mergeCell ref="A29365:E29365"/>
    <s:mergeCell ref="A5357:E5357"/>
    <s:mergeCell ref="A20177:E20177"/>
    <s:mergeCell ref="A29060:E29060"/>
    <s:mergeCell ref="A29665:E29665"/>
    <s:mergeCell ref="A7354:E7354"/>
    <s:mergeCell ref="A3572:E3572"/>
    <s:mergeCell ref="A18392:E18392"/>
    <s:mergeCell ref="A20178:E20178"/>
    <s:mergeCell ref="A20172:E20172"/>
    <s:mergeCell ref="A7654:E7654"/>
    <s:mergeCell ref="A5569:E5569"/>
    <s:mergeCell ref="A12687:E12687"/>
    <s:mergeCell ref="A21958:E21958"/>
    <s:mergeCell ref="A19873:E19873"/>
    <s:mergeCell ref="A5869:E5869"/>
    <s:mergeCell ref="A12987:E12987"/>
    <s:mergeCell ref="A11290:E11290"/>
    <s:mergeCell ref="A9205:E9205"/>
    <s:mergeCell ref="A27291:E27291"/>
    <s:mergeCell ref="B11232:E11232"/>
    <s:mergeCell ref="A25200:E25200"/>
    <s:mergeCell ref="A10985:E10985"/>
    <s:mergeCell ref="A18103:E18103"/>
    <s:mergeCell ref="A13287:E13287"/>
    <s:mergeCell ref="A11202:E11202"/>
    <s:mergeCell ref="A27591:E27591"/>
    <s:mergeCell ref="A4099:E4099"/>
    <s:mergeCell ref="A2014:E2014"/>
    <s:mergeCell ref="A11285:E11285"/>
    <s:mergeCell ref="A18403:E18403"/>
    <s:mergeCell ref="A16318:E16318"/>
    <s:mergeCell ref="A2103:E2103"/>
    <s:mergeCell ref="A3794:E3794"/>
    <s:mergeCell ref="A27318:E27318"/>
    <s:mergeCell ref="A18098:E18098"/>
    <s:mergeCell ref="A25233:E25233"/>
    <s:mergeCell ref="A4100:E4100"/>
    <s:mergeCell ref="A25533:E25533"/>
    <s:mergeCell ref="B20947:E20947"/>
    <s:mergeCell ref="A25622:E25622"/>
    <s:mergeCell ref="A16918:E16918"/>
    <s:mergeCell ref="A23537:E23537"/>
    <s:mergeCell ref="A18131:E18131"/>
    <s:mergeCell ref="A11213:E11213"/>
    <s:mergeCell ref="A18431:E18431"/>
    <s:mergeCell ref="A16346:E16346"/>
    <s:mergeCell ref="A3822:E3822"/>
    <s:mergeCell ref="B11760:E11760"/>
    <s:mergeCell ref="B10063:E10063"/>
    <s:mergeCell ref="A30650:E30650"/>
    <s:mergeCell ref="A18132:E18132"/>
    <s:mergeCell ref="A18126:E18126"/>
    <s:mergeCell ref="A23547:E23547"/>
    <s:mergeCell ref="A30950:E30950"/>
    <s:mergeCell ref="A25544:E25544"/>
    <s:mergeCell ref="A23459:E23459"/>
    <s:mergeCell ref="A9244:E9244"/>
    <s:mergeCell ref="B31497:E31497"/>
    <s:mergeCell ref="A23548:E23548"/>
    <s:mergeCell ref="A24064:E24064"/>
    <s:mergeCell ref="A23759:E23759"/>
    <s:mergeCell ref="A25545:E25545"/>
    <s:mergeCell ref="A23848:E23848"/>
    <s:mergeCell ref="A30966:E30966"/>
    <s:mergeCell ref="A16357:E16357"/>
    <s:mergeCell ref="A24059:E24059"/>
    <s:mergeCell ref="A30661:E30661"/>
    <s:mergeCell ref="A29480:E29480"/>
    <s:mergeCell ref="A14877:E14877"/>
    <s:mergeCell ref="A16052:E16052"/>
    <s:mergeCell ref="A30872:E30872"/>
    <s:mergeCell ref="A16657:E16657"/>
    <s:mergeCell ref="A14572:E14572"/>
    <s:mergeCell ref="A4295:E4295"/>
    <s:mergeCell ref="A30961:E30961"/>
    <s:mergeCell ref="B815:E815"/>
    <s:mergeCell ref="B31419:E31419"/>
    <s:mergeCell ref="B15119:E15119"/>
    <s:mergeCell ref="A14872:E14872"/>
    <s:mergeCell ref="A24075:E24075"/>
    <s:mergeCell ref="A11708:E11708"/>
    <s:mergeCell ref="A4611:E4611"/>
    <s:mergeCell ref="A23803:E23803"/>
    <s:mergeCell ref="A4306:E4306"/>
    <s:mergeCell ref="A23498:E23498"/>
    <s:mergeCell ref="B826:E826"/>
    <s:mergeCell ref="A2826:E2826"/>
    <s:mergeCell ref="A2820:E2820"/>
    <s:mergeCell ref="A22018:E22018"/>
    <s:mergeCell ref="A4606:E4606"/>
    <s:mergeCell ref="A23798:E23798"/>
    <s:mergeCell ref="A4823:E4823"/>
    <s:mergeCell ref="A22318:E22318"/>
    <s:mergeCell ref="A28914:E28914"/>
    <s:mergeCell ref="A22013:E22013"/>
    <s:mergeCell ref="A18854:E18854"/>
    <s:mergeCell ref="A17157:E17157"/>
    <s:mergeCell ref="A4639:E4639"/>
    <s:mergeCell ref="A29220:E29220"/>
    <s:mergeCell ref="A16858:E16858"/>
    <s:mergeCell ref="A16852:E16852"/>
    <s:mergeCell ref="A19154:E19154"/>
    <s:mergeCell ref="A2854:E2854"/>
    <s:mergeCell ref="A17158:E17158"/>
    <s:mergeCell ref="A17152:E17152"/>
    <s:mergeCell ref="A24270:E24270"/>
    <s:mergeCell ref="A11752:E11752"/>
    <s:mergeCell ref="A9667:E9667"/>
    <s:mergeCell ref="A19454:E19454"/>
    <s:mergeCell ref="A17369:E17369"/>
    <s:mergeCell ref="A31673:E31673"/>
    <s:mergeCell ref="A24576:E24576"/>
    <s:mergeCell ref="A24570:E24570"/>
    <s:mergeCell ref="A22485:E22485"/>
    <s:mergeCell ref="A9967:E9967"/>
    <s:mergeCell ref="A24271:E24271"/>
    <s:mergeCell ref="A22180:E22180"/>
    <s:mergeCell ref="A779:E779"/>
    <s:mergeCell ref="A9662:E9662"/>
    <s:mergeCell ref="A10267:E10267"/>
    <s:mergeCell ref="A8182:E8182"/>
    <s:mergeCell ref="A24571:E24571"/>
    <s:mergeCell ref="A2776:E2776"/>
    <s:mergeCell ref="A1079:E1079"/>
    <s:mergeCell ref="B27604:E27604"/>
    <s:mergeCell ref="A17080:E17080"/>
    <s:mergeCell ref="A2865:E2865"/>
    <s:mergeCell ref="A780:E780"/>
    <s:mergeCell ref="B28209:E28209"/>
    <s:mergeCell ref="A774:E774"/>
    <s:mergeCell ref="A15084:E15084"/>
    <s:mergeCell ref="A24298:E24298"/>
    <s:mergeCell ref="A3076:E3076"/>
    <s:mergeCell ref="A991:E991"/>
    <s:mergeCell ref="A17380:E17380"/>
    <s:mergeCell ref="A1080:E1080"/>
    <s:mergeCell ref="A8198:E8198"/>
    <s:mergeCell ref="A8192:E8192"/>
    <s:mergeCell ref="A6107:E6107"/>
    <s:mergeCell ref="A29115:E29115"/>
    <s:mergeCell ref="A7893:E7893"/>
    <s:mergeCell ref="A24293:E24293"/>
    <s:mergeCell ref="A31417:E31417"/>
    <s:mergeCell ref="A6407:E6407"/>
    <s:mergeCell ref="B8440:E8440"/>
    <s:mergeCell ref="A8193:E8193"/>
    <s:mergeCell ref="A31717:E31717"/>
    <s:mergeCell ref="A29626:E29626"/>
    <s:mergeCell ref="A702:E702"/>
    <s:mergeCell ref="A15411:E15411"/>
    <s:mergeCell ref="A31412:E31412"/>
    <s:mergeCell ref="B8951:E8951"/>
    <s:mergeCell ref="A1002:E1002"/>
    <s:mergeCell ref="A31712:E31712"/>
    <s:mergeCell ref="A20439:E20439"/>
    <s:mergeCell ref="A29642:E29642"/>
    <s:mergeCell ref="A21044:E21044"/>
    <s:mergeCell ref="B31263:E31263"/>
    <s:mergeCell ref="A13037:E13037"/>
    <s:mergeCell ref="A13553:E13553"/>
    <s:mergeCell ref="A20739:E20739"/>
    <s:mergeCell ref="A29942:E29942"/>
    <s:mergeCell ref="A27857:E27857"/>
    <s:mergeCell ref="A15339:E15339"/>
    <s:mergeCell ref="A15034:E15034"/>
    <s:mergeCell ref="A13337:E13337"/>
    <s:mergeCell ref="A28157:E28157"/>
    <s:mergeCell ref="A15639:E15639"/>
    <s:mergeCell ref="A11857:E11857"/>
    <s:mergeCell ref="A13548:E13548"/>
    <s:mergeCell ref="A27852:E27852"/>
    <s:mergeCell ref="B5180:E5180"/>
    <s:mergeCell ref="A6451:E6451"/>
    <s:mergeCell ref="A13637:E13637"/>
    <s:mergeCell ref="A11552:E11552"/>
    <s:mergeCell ref="A15334:E15334"/>
    <s:mergeCell ref="A20755:E20755"/>
    <s:mergeCell ref="A18670:E18670"/>
    <s:mergeCell ref="B14101:E14101"/>
    <s:mergeCell ref="A28457:E28457"/>
    <s:mergeCell ref="A20450:E20450"/>
    <s:mergeCell ref="A4666:E4666"/>
    <s:mergeCell ref="A18970:E18970"/>
    <s:mergeCell ref="A6452:E6452"/>
    <s:mergeCell ref="A4361:E4361"/>
    <s:mergeCell ref="A11479:E11479"/>
    <s:mergeCell ref="A20750:E20750"/>
    <s:mergeCell ref="B16181:E16181"/>
    <s:mergeCell ref="A18665:E18665"/>
    <s:mergeCell ref="A4966:E4966"/>
    <s:mergeCell ref="A23052:E23052"/>
    <s:mergeCell ref="A20967:E20967"/>
    <s:mergeCell ref="A19270:E19270"/>
    <s:mergeCell ref="A27580:E27580"/>
    <s:mergeCell ref="B14111:E14111"/>
    <s:mergeCell ref="A11779:E11779"/>
    <s:mergeCell ref="A28185:E28185"/>
    <s:mergeCell ref="A28168:E28168"/>
    <s:mergeCell ref="A26083:E26083"/>
    <s:mergeCell ref="A27880:E27880"/>
    <s:mergeCell ref="A4377:E4377"/>
    <s:mergeCell ref="A20783:E20783"/>
    <s:mergeCell ref="A12079:E12079"/>
    <s:mergeCell ref="A9994:E9994"/>
    <s:mergeCell ref="A26383:E26383"/>
    <s:mergeCell ref="A18998:E18998"/>
    <s:mergeCell ref="A26683:E26683"/>
    <s:mergeCell ref="A4372:E4372"/>
    <s:mergeCell ref="A11507:E11507"/>
    <s:mergeCell ref="A27896:E27896"/>
    <s:mergeCell ref="A25811:E25811"/>
    <s:mergeCell ref="B25145:E25145"/>
    <s:mergeCell ref="A11807:E11807"/>
    <s:mergeCell ref="A26111:E26111"/>
    <s:mergeCell ref="A11502:E11502"/>
    <s:mergeCell ref="A25806:E25806"/>
    <s:mergeCell ref="A4405:E4405"/>
    <s:mergeCell ref="A18709:E18709"/>
    <s:mergeCell ref="A26411:E26411"/>
    <s:mergeCell ref="A18920:E18920"/>
    <s:mergeCell ref="A17223:E17223"/>
    <s:mergeCell ref="A2620:E2620"/>
    <s:mergeCell ref="A19009:E19009"/>
    <s:mergeCell ref="A16924:E16924"/>
    <s:mergeCell ref="A28:E28"/>
    <s:mergeCell ref="A31744:E31744"/>
    <s:mergeCell ref="A19220:E19220"/>
    <s:mergeCell ref="A17135:E17135"/>
    <s:mergeCell ref="A2920:E2920"/>
    <s:mergeCell ref="A18921:E18921"/>
    <s:mergeCell ref="A17224:E17224"/>
    <s:mergeCell ref="A24342:E24342"/>
    <s:mergeCell ref="A24336:E24336"/>
    <s:mergeCell ref="A22251:E22251"/>
    <s:mergeCell ref="A11818:E11818"/>
    <s:mergeCell ref="A8036:E8036"/>
    <s:mergeCell ref="A24037:E24037"/>
    <s:mergeCell ref="A10338:E10338"/>
    <s:mergeCell ref="A61:E61"/>
    <s:mergeCell ref="A24642:E24642"/>
    <s:mergeCell ref="A10033:E10033"/>
    <s:mergeCell ref="A24337:E24337"/>
    <s:mergeCell ref="A10333:E10333"/>
    <s:mergeCell ref="A56:E56"/>
    <s:mergeCell ref="A22552:E22552"/>
    <s:mergeCell ref="A31755:E31755"/>
    <s:mergeCell ref="A21478:E21478"/>
    <s:mergeCell ref="B10880:E10880"/>
    <s:mergeCell ref="A6869:E6869"/>
    <s:mergeCell ref="A24364:E24364"/>
    <s:mergeCell ref="A4873:E4873"/>
    <s:mergeCell ref="A19693:E19693"/>
    <s:mergeCell ref="A7175:E7175"/>
    <s:mergeCell ref="A5084:E5084"/>
    <s:mergeCell ref="A24670:E24670"/>
    <s:mergeCell ref="A22585:E22585"/>
    <s:mergeCell ref="A19993:E19993"/>
    <s:mergeCell ref="A31483:E31483"/>
    <s:mergeCell ref="A31178:E31178"/>
    <s:mergeCell ref="B8506:E8506"/>
    <s:mergeCell ref="A12591:E12591"/>
    <s:mergeCell ref="A31478:E31478"/>
    <s:mergeCell ref="A29998:E29998"/>
    <s:mergeCell ref="A12019:E12019"/>
    <s:mergeCell ref="A12319:E12319"/>
    <s:mergeCell ref="A24532:E24532"/>
    <s:mergeCell ref="A26834:E26834"/>
    <s:mergeCell ref="A12619:E12619"/>
    <s:mergeCell ref="A10534:E10534"/>
    <s:mergeCell ref="A5128:E5128"/>
    <s:mergeCell ref="A3126:E3126"/>
    <s:mergeCell ref="A1041:E1041"/>
    <s:mergeCell ref="A20037:E20037"/>
    <s:mergeCell ref="A17952:E17952"/>
    <s:mergeCell ref="A17946:E17946"/>
    <s:mergeCell ref="A5428:E5428"/>
    <s:mergeCell ref="A3343:E3343"/>
    <s:mergeCell ref="A19732:E19732"/>
    <s:mergeCell ref="B14167:E14167"/>
    <s:mergeCell ref="A10544:E10544"/>
    <s:mergeCell ref="A8459:E8459"/>
    <s:mergeCell ref="A3643:E3643"/>
    <s:mergeCell ref="A30465:E30465"/>
    <s:mergeCell ref="A20032:E20032"/>
    <s:mergeCell ref="A17947:E17947"/>
    <s:mergeCell ref="A25065:E25065"/>
    <s:mergeCell ref="B14467:E14467"/>
    <s:mergeCell ref="A1057:E1057"/>
    <s:mergeCell ref="A12541:E12541"/>
    <s:mergeCell ref="A8759:E8759"/>
    <s:mergeCell ref="A10545:E10545"/>
    <s:mergeCell ref="A25365:E25365"/>
    <s:mergeCell ref="A1357:E1357"/>
    <s:mergeCell ref="A10756:E10756"/>
    <s:mergeCell ref="A10845:E10845"/>
    <s:mergeCell ref="A1568:E1568"/>
    <s:mergeCell ref="A15872:E15872"/>
    <s:mergeCell ref="A3354:E3354"/>
    <s:mergeCell ref="A8487:E8487"/>
    <s:mergeCell ref="A16172:E16172"/>
    <s:mergeCell ref="A3654:E3654"/>
    <s:mergeCell ref="A1569:E1569"/>
    <s:mergeCell ref="B17024:E17024"/>
    <s:mergeCell ref="B2421:E2421"/>
    <s:mergeCell ref="B2415:E2415"/>
    <s:mergeCell ref="B419:E419"/>
    <s:mergeCell ref="A30209:E30209"/>
    <s:mergeCell ref="A7290:E7290"/>
    <s:mergeCell ref="A25088:E25088"/>
    <s:mergeCell ref="A30509:E30509"/>
    <s:mergeCell ref="A17991:E17991"/>
    <s:mergeCell ref="A15900:E15900"/>
    <s:mergeCell ref="A30204:E30204"/>
    <s:mergeCell ref="B14650:E14650"/>
    <s:mergeCell ref="A28724:E28724"/>
    <s:mergeCell ref="B16447:E16447"/>
    <s:mergeCell ref="A8498:E8498"/>
    <s:mergeCell ref="A30415:E30415"/>
    <s:mergeCell ref="A16200:E16200"/>
    <s:mergeCell ref="A30504:E30504"/>
    <s:mergeCell ref="A21322:E21322"/>
    <s:mergeCell ref="A30721:E30721"/>
    <s:mergeCell ref="A8798:E8798"/>
    <s:mergeCell ref="A6713:E6713"/>
    <s:mergeCell ref="A13831:E13831"/>
    <s:mergeCell ref="A23618:E23618"/>
    <s:mergeCell ref="A21533:E21533"/>
    <s:mergeCell ref="A9009:E9009"/>
    <s:mergeCell ref="A21622:E21622"/>
    <s:mergeCell ref="A21228:E21228"/>
    <s:mergeCell ref="A7013:E7013"/>
    <s:mergeCell ref="A28734:E28734"/>
    <s:mergeCell ref="A14131:E14131"/>
    <s:mergeCell ref="A28435:E28435"/>
    <s:mergeCell ref="A15911:E15911"/>
    <s:mergeCell ref="A13826:E13826"/>
    <s:mergeCell ref="A127:E127"/>
    <s:mergeCell ref="A14431:E14431"/>
    <s:mergeCell ref="A12346:E12346"/>
    <s:mergeCell ref="A1913:E1913"/>
    <s:mergeCell ref="A28735:E28735"/>
    <s:mergeCell ref="A14126:E14126"/>
    <s:mergeCell ref="B28677:E28677"/>
    <s:mergeCell ref="A21244:E21244"/>
    <s:mergeCell ref="A4944:E4944"/>
    <s:mergeCell ref="A12646:E12646"/>
    <s:mergeCell ref="A29035:E29035"/>
    <s:mergeCell ref="A7246:E7246"/>
    <s:mergeCell ref="A6724:E6724"/>
    <s:mergeCell ref="A5155:E5155"/>
    <s:mergeCell ref="A7240:E7240"/>
    <s:mergeCell ref="A21544:E21544"/>
    <s:mergeCell ref="A28163:E28163"/>
    <s:mergeCell ref="A6941:E6941"/>
    <s:mergeCell ref="A4939:E4939"/>
    <s:mergeCell ref="A5455:E5455"/>
    <s:mergeCell ref="A21844:E21844"/>
    <s:mergeCell ref="A19759:E19759"/>
    <s:mergeCell ref="A28463:E28463"/>
    <s:mergeCell ref="A7241:E7241"/>
    <s:mergeCell ref="A12662:E12662"/>
    <s:mergeCell ref="A14459:E14459"/>
    <s:mergeCell ref="A12357:E12357"/>
    <s:mergeCell ref="A20059:E20059"/>
    <s:mergeCell ref="A12657:E12657"/>
    <s:mergeCell ref="A10572:E10572"/>
    <s:mergeCell ref="B12599:E12599"/>
    <s:mergeCell ref="A21572:E21572"/>
    <s:mergeCell ref="A19487:E19487"/>
    <s:mergeCell ref="A595:E595"/>
    <s:mergeCell ref="A26688:E26688"/>
    <s:mergeCell ref="A24603:E24603"/>
    <s:mergeCell ref="A12085:E12085"/>
    <s:mergeCell ref="A28990:E28990"/>
    <s:mergeCell ref="A26905:E26905"/>
    <s:mergeCell ref="A26994:E26994"/>
    <s:mergeCell ref="A24903:E24903"/>
    <s:mergeCell ref="A12385:E12385"/>
    <s:mergeCell ref="A27205:E27205"/>
    <s:mergeCell ref="A25508:E25508"/>
    <s:mergeCell ref="A24598:E24598"/>
    <s:mergeCell ref="A28985:E28985"/>
    <s:mergeCell ref="A26900:E26900"/>
    <s:mergeCell ref="A12685:E12685"/>
    <s:mergeCell ref="A10600:E10600"/>
    <s:mergeCell ref="A27505:E27505"/>
    <s:mergeCell ref="A19498:E19498"/>
    <s:mergeCell ref="A20103:E20103"/>
    <s:mergeCell ref="A18018:E18018"/>
    <s:mergeCell ref="A18012:E18012"/>
    <s:mergeCell ref="A25219:E25219"/>
    <s:mergeCell ref="A14942:E14942"/>
    <s:mergeCell ref="A18013:E18013"/>
    <s:mergeCell ref="A34:E34"/>
    <s:mergeCell ref="A13157:E13157"/>
    <s:mergeCell ref="A639:E639"/>
    <s:mergeCell ref="B25461:E25461"/>
    <s:mergeCell ref="A334:E334"/>
    <s:mergeCell ref="B11463:E11463"/>
    <s:mergeCell ref="A15154:E15154"/>
    <s:mergeCell ref="B30794:E30794"/>
    <s:mergeCell ref="A634:E634"/>
    <s:mergeCell ref="B3667:E3667"/>
    <s:mergeCell ref="A15454:E15454"/>
    <s:mergeCell ref="A13369:E13369"/>
    <s:mergeCell ref="A8052:E8052"/>
    <s:mergeCell ref="A5967:E5967"/>
    <s:mergeCell ref="A5961:E5961"/>
    <s:mergeCell ref="A20271:E20271"/>
    <s:mergeCell ref="A23462:E23462"/>
    <s:mergeCell ref="A24854:E24854"/>
    <s:mergeCell ref="A20298:E20298"/>
    <s:mergeCell ref="A7780:E7780"/>
    <s:mergeCell ref="A5695:E5695"/>
    <s:mergeCell ref="A12896:E12896"/>
    <s:mergeCell ref="A20598:E20598"/>
    <s:mergeCell ref="B13927:E13927"/>
    <s:mergeCell ref="A13113:E13113"/>
    <s:mergeCell ref="A20299:E20299"/>
    <s:mergeCell ref="A20293:E20293"/>
    <s:mergeCell ref="A6295:E6295"/>
    <s:mergeCell ref="A13413:E13413"/>
    <s:mergeCell ref="A11322:E11322"/>
    <s:mergeCell ref="A27717:E27717"/>
    <s:mergeCell ref="A27711:E27711"/>
    <s:mergeCell ref="A25626:E25626"/>
    <s:mergeCell ref="A13108:E13108"/>
    <s:mergeCell ref="A9326:E9326"/>
    <s:mergeCell ref="A27412:E27412"/>
    <s:mergeCell ref="A3920:E3920"/>
    <s:mergeCell ref="A18224:E18224"/>
    <s:mergeCell ref="A25926:E25926"/>
    <s:mergeCell ref="A13408:E13408"/>
    <s:mergeCell ref="A4226:E4226"/>
    <s:mergeCell ref="A4220:E4220"/>
    <s:mergeCell ref="A2135:E2135"/>
    <s:mergeCell ref="A3921:E3921"/>
    <s:mergeCell ref="A20826:E20826"/>
    <s:mergeCell ref="A18741:E18741"/>
    <s:mergeCell ref="A17044:E17044"/>
    <s:mergeCell ref="A18824:E18824"/>
    <s:mergeCell ref="A4221:E4221"/>
    <s:mergeCell ref="A9642:E9642"/>
    <s:mergeCell ref="A11333:E11333"/>
    <s:mergeCell ref="A9248:E9248"/>
    <s:mergeCell ref="A25637:E25637"/>
    <s:mergeCell ref="A17039:E17039"/>
    <s:mergeCell ref="A11639:E11639"/>
    <s:mergeCell ref="A9548:E9548"/>
    <s:mergeCell ref="A2451:E2451"/>
    <s:mergeCell ref="A366:E366"/>
    <s:mergeCell ref="A31076:E31076"/>
    <s:mergeCell ref="A2146:E2146"/>
    <s:mergeCell ref="A25670:E25670"/>
    <s:mergeCell ref="A2446:E2446"/>
    <s:mergeCell ref="A25970:E25970"/>
    <s:mergeCell ref="A23885:E23885"/>
    <s:mergeCell ref="A11361:E11361"/>
    <s:mergeCell ref="A9276:E9276"/>
    <s:mergeCell ref="A25665:E25665"/>
    <s:mergeCell ref="A31086:E31086"/>
    <s:mergeCell ref="A24185:E24185"/>
    <s:mergeCell ref="B24127:E24127"/>
    <s:mergeCell ref="A16694:E16694"/>
    <s:mergeCell ref="A23880:E23880"/>
    <s:mergeCell ref="B1208:E1208"/>
    <s:mergeCell ref="A30998:E30998"/>
    <s:mergeCell ref="A16783:E16783"/>
    <s:mergeCell ref="A24485:E24485"/>
    <s:mergeCell ref="A2174:E2174"/>
    <s:mergeCell ref="A31087:E31087"/>
    <s:mergeCell ref="B8021:E8021"/>
    <s:mergeCell ref="A16994:E16994"/>
    <s:mergeCell ref="A694:E694"/>
    <s:mergeCell ref="A31298:E31298"/>
    <s:mergeCell ref="A677:E677"/>
    <s:mergeCell ref="A14998:E14998"/>
    <s:mergeCell ref="A16689:E16689"/>
    <s:mergeCell ref="A31387:E31387"/>
    <s:mergeCell ref="A22110:E22110"/>
    <s:mergeCell ref="A9592:E9592"/>
    <s:mergeCell ref="A7507:E7507"/>
    <s:mergeCell ref="A17294:E17294"/>
    <s:mergeCell ref="A31598:E31598"/>
    <s:mergeCell ref="A29513:E29513"/>
    <s:mergeCell ref="A7596:E7596"/>
    <s:mergeCell ref="B17236:E17236"/>
    <s:mergeCell ref="A22416:E22416"/>
    <s:mergeCell ref="A22410:E22410"/>
    <s:mergeCell ref="A105:E105"/>
    <s:mergeCell ref="A7807:E7807"/>
    <s:mergeCell ref="A24196:E24196"/>
    <s:mergeCell ref="A22111:E22111"/>
    <s:mergeCell ref="B30060:E30060"/>
    <s:mergeCell ref="A9593:E9593"/>
    <s:mergeCell ref="A9587:E9587"/>
    <s:mergeCell ref="A7502:E7502"/>
    <s:mergeCell ref="B24138:E24138"/>
    <s:mergeCell ref="A12923:E12923"/>
    <s:mergeCell ref="A405:E405"/>
    <s:mergeCell ref="A8107:E8107"/>
    <s:mergeCell ref="A22411:E22411"/>
    <s:mergeCell ref="A100:E100"/>
    <s:mergeCell ref="A17005:E17005"/>
    <s:mergeCell ref="A14920:E14920"/>
    <s:mergeCell ref="A13223:E13223"/>
    <s:mergeCell ref="A23624:E23624"/>
    <s:mergeCell ref="A705:E705"/>
    <s:mergeCell ref="A29224:E29224"/>
    <s:mergeCell ref="A15009:E15009"/>
    <s:mergeCell ref="A400:E400"/>
    <s:mergeCell ref="A15220:E15220"/>
    <s:mergeCell ref="A21839:E21839"/>
    <s:mergeCell ref="A8123:E8123"/>
    <s:mergeCell ref="B30376:E30376"/>
    <s:mergeCell ref="A20342:E20342"/>
    <s:mergeCell ref="A29040:E29040"/>
    <s:mergeCell ref="A7818:E7818"/>
    <s:mergeCell ref="A13435:E13435"/>
    <s:mergeCell ref="B20883:E20883"/>
    <s:mergeCell ref="A31037:E31037"/>
    <s:mergeCell ref="A27255:E27255"/>
    <s:mergeCell ref="B16067:E16067"/>
    <s:mergeCell ref="A29557:E29557"/>
    <s:mergeCell ref="A20337:E20337"/>
    <s:mergeCell ref="A31337:E31337"/>
    <s:mergeCell ref="A29252:E29252"/>
    <s:mergeCell ref="A27555:E27555"/>
    <s:mergeCell ref="B6574:E6574"/>
    <s:mergeCell ref="A29857:E29857"/>
    <s:mergeCell ref="A27772:E27772"/>
    <s:mergeCell ref="A7546:E7546"/>
    <s:mergeCell ref="A29552:E29552"/>
    <s:mergeCell ref="B4795:E4795"/>
    <s:mergeCell ref="A22455:E22455"/>
    <s:mergeCell ref="A5761:E5761"/>
    <s:mergeCell ref="A12962:E12962"/>
    <s:mergeCell ref="A6061:E6061"/>
    <s:mergeCell ref="A27782:E27782"/>
    <s:mergeCell ref="B13993:E13993"/>
    <s:mergeCell ref="A13179:E13179"/>
    <s:mergeCell ref="A27483:E27483"/>
    <s:mergeCell ref="A14959:E14959"/>
    <s:mergeCell ref="A12874:E12874"/>
    <s:mergeCell ref="A6361:E6361"/>
    <s:mergeCell ref="A25997:E25997"/>
    <s:mergeCell ref="A13479:E13479"/>
    <s:mergeCell ref="A27783:E27783"/>
    <s:mergeCell ref="A27777:E27777"/>
    <s:mergeCell ref="A13174:E13174"/>
    <s:mergeCell ref="A11477:E11477"/>
    <s:mergeCell ref="A2897:E2897"/>
    <s:mergeCell ref="A8318:E8318"/>
    <s:mergeCell ref="A13779:E13779"/>
    <s:mergeCell ref="A3502:E3502"/>
    <s:mergeCell ref="A1417:E1417"/>
    <s:mergeCell ref="A3197:E3197"/>
    <s:mergeCell ref="A1112:E1112"/>
    <s:mergeCell ref="A10315:E10315"/>
    <s:mergeCell ref="A8618:E8618"/>
    <s:mergeCell ref="A6533:E6533"/>
    <s:mergeCell ref="A8319:E8319"/>
    <s:mergeCell ref="A8313:E8313"/>
    <s:mergeCell ref="A6228:E6228"/>
    <s:mergeCell ref="A10615:E10615"/>
    <s:mergeCell ref="A8530:E8530"/>
    <s:mergeCell ref="A6833:E6833"/>
    <s:mergeCell ref="A8619:E8619"/>
    <s:mergeCell ref="A6528:E6528"/>
    <s:mergeCell ref="A1128:E1128"/>
    <s:mergeCell ref="A8830:E8830"/>
    <s:mergeCell ref="A1428:E1428"/>
    <s:mergeCell ref="B28552:E28552"/>
    <s:mergeCell ref="A6544:E6544"/>
    <s:mergeCell ref="A1728:E1728"/>
    <s:mergeCell ref="A27978:E27978"/>
    <s:mergeCell ref="A15460:E15460"/>
    <s:mergeCell ref="A6272:E6272"/>
    <s:mergeCell ref="A13974:E13974"/>
    <s:mergeCell ref="A20576:E20576"/>
    <s:mergeCell ref="B7303:E7303"/>
    <s:mergeCell ref="A15760:E15760"/>
    <s:mergeCell ref="A13669:E13669"/>
    <s:mergeCell ref="A19090:E19090"/>
    <s:mergeCell ref="A4487:E4487"/>
    <s:mergeCell ref="A20876:E20876"/>
    <s:mergeCell ref="A21093:E21093"/>
    <s:mergeCell ref="A19396:E19396"/>
    <s:mergeCell ref="A21087:E21087"/>
    <s:mergeCell ref="A4787:E4787"/>
    <s:mergeCell ref="A21176:E21176"/>
    <s:mergeCell ref="A19091:E19091"/>
    <s:mergeCell ref="A12205:E12205"/>
    <s:mergeCell ref="A19391:E19391"/>
    <s:mergeCell ref="A26509:E26509"/>
    <s:mergeCell ref="A26204:E26204"/>
    <s:mergeCell ref="A12505:E12505"/>
    <s:mergeCell ref="A10420:E10420"/>
    <s:mergeCell ref="A28506:E28506"/>
    <s:mergeCell ref="A26809:E26809"/>
    <s:mergeCell ref="A4498:E4498"/>
    <s:mergeCell ref="A12200:E12200"/>
    <s:mergeCell ref="A3018:E3018"/>
    <s:mergeCell ref="A3012:E3012"/>
    <s:mergeCell ref="A19013:E19013"/>
    <s:mergeCell ref="A2713:E2713"/>
    <s:mergeCell ref="A28322:E28322"/>
    <s:mergeCell ref="A11628:E11628"/>
    <s:mergeCell ref="A2924:E2924"/>
    <s:mergeCell ref="A3013:E3013"/>
    <s:mergeCell ref="A10131:E10131"/>
    <s:mergeCell ref="A26537:E26537"/>
    <s:mergeCell ref="A3313:E3313"/>
    <s:mergeCell ref="B18380:E18380"/>
    <s:mergeCell ref="A10431:E10431"/>
    <s:mergeCell ref="A26837:E26837"/>
    <s:mergeCell ref="A19346:E19346"/>
    <s:mergeCell ref="A17344:E17344"/>
    <s:mergeCell ref="A24462:E24462"/>
    <s:mergeCell ref="A11944:E11944"/>
    <s:mergeCell ref="A19646:E19646"/>
    <s:mergeCell ref="A19341:E19341"/>
    <s:mergeCell ref="A26459:E26459"/>
    <s:mergeCell ref="A24762:E24762"/>
    <s:mergeCell ref="A22677:E22677"/>
    <s:mergeCell ref="A10159:E10159"/>
    <s:mergeCell ref="A24463:E24463"/>
    <s:mergeCell ref="A22372:E22372"/>
    <s:mergeCell ref="A26759:E26759"/>
    <s:mergeCell ref="A24674:E24674"/>
    <s:mergeCell ref="A10459:E10459"/>
    <s:mergeCell ref="A8374:E8374"/>
    <s:mergeCell ref="A26460:E26460"/>
    <s:mergeCell ref="A24763:E24763"/>
    <s:mergeCell ref="A29790:E29790"/>
    <s:mergeCell ref="A17272:E17272"/>
    <s:mergeCell ref="A15575:E15575"/>
    <s:mergeCell ref="A24974:E24974"/>
    <s:mergeCell ref="A972:E972"/>
    <s:mergeCell ref="A966:E966"/>
    <s:mergeCell ref="A17877:E17877"/>
    <s:mergeCell ref="A15792:E15792"/>
    <s:mergeCell ref="B27001:E27001"/>
    <s:mergeCell ref="A1183:E1183"/>
    <s:mergeCell ref="A30090:E30090"/>
    <s:mergeCell ref="A17572:E17572"/>
    <s:mergeCell ref="A2963:E2963"/>
    <s:mergeCell ref="A8384:E8384"/>
    <s:mergeCell ref="A6299:E6299"/>
    <s:mergeCell ref="A30390:E30390"/>
    <s:mergeCell ref="A8085:E8085"/>
    <s:mergeCell ref="A17872:E17872"/>
    <s:mergeCell ref="A15787:E15787"/>
    <s:mergeCell ref="A30091:E30091"/>
    <s:mergeCell ref="A10381:E10381"/>
    <s:mergeCell ref="A6599:E6599"/>
    <s:mergeCell ref="A24685:E24685"/>
    <s:mergeCell ref="A8385:E8385"/>
    <s:mergeCell ref="A8379:E8379"/>
    <s:mergeCell ref="A6294:E6294"/>
    <s:mergeCell ref="A29818:E29818"/>
    <s:mergeCell ref="A10681:E10681"/>
    <s:mergeCell ref="A8596:E8596"/>
    <s:mergeCell ref="A30124:E30124"/>
    <s:mergeCell ref="A15797:E15797"/>
    <s:mergeCell ref="A8412:E8412"/>
    <s:mergeCell ref="A16103:E16103"/>
    <s:mergeCell ref="B1741:E1741"/>
    <s:mergeCell ref="A20631:E20631"/>
    <s:mergeCell ref="A3741:E3741"/>
    <s:mergeCell ref="A14312:E14312"/>
    <s:mergeCell ref="A20931:E20931"/>
    <s:mergeCell ref="A4035:E4035"/>
    <s:mergeCell ref="A30134:E30134"/>
    <s:mergeCell ref="B1742:E1742"/>
    <s:mergeCell ref="A28349:E28349"/>
    <s:mergeCell ref="A15831:E15831"/>
    <s:mergeCell ref="A13740:E13740"/>
    <s:mergeCell ref="A30129:E30129"/>
    <s:mergeCell ref="A28044:E28044"/>
    <s:mergeCell ref="A28649:E28649"/>
    <s:mergeCell ref="A16131:E16131"/>
    <s:mergeCell ref="A28344:E28344"/>
    <s:mergeCell ref="A21247:E21247"/>
    <s:mergeCell ref="A19162:E19162"/>
    <s:mergeCell ref="A20942:E20942"/>
    <s:mergeCell ref="A18857:E18857"/>
    <s:mergeCell ref="A1967:E1967"/>
    <s:mergeCell ref="A21458:E21458"/>
    <s:mergeCell ref="A23244:E23244"/>
    <s:mergeCell ref="A19157:E19157"/>
    <s:mergeCell ref="A1694:E1694"/>
    <s:mergeCell ref="A28360:E28360"/>
    <s:mergeCell ref="A15998:E15998"/>
    <s:mergeCell ref="A28055:E28055"/>
    <s:mergeCell ref="A1994:E1994"/>
    <s:mergeCell ref="A16298:E16298"/>
    <s:mergeCell ref="A1689:E1689"/>
    <s:mergeCell ref="A15993:E15993"/>
    <s:mergeCell ref="A18295:E18295"/>
    <s:mergeCell ref="A16598:E16598"/>
    <s:mergeCell ref="A14513:E14513"/>
    <s:mergeCell ref="A4080:E4080"/>
    <s:mergeCell ref="A1995:E1995"/>
    <s:mergeCell ref="A1989:E1989"/>
    <s:mergeCell ref="A23411:E23411"/>
    <s:mergeCell ref="A26303:E26303"/>
    <s:mergeCell ref="A9413:E9413"/>
    <s:mergeCell ref="A23711:E23711"/>
    <s:mergeCell ref="A9108:E9108"/>
    <s:mergeCell ref="A14529:E14529"/>
    <s:mergeCell ref="A26603:E26603"/>
    <s:mergeCell ref="A14829:E14829"/>
    <s:mergeCell ref="A21442:E21442"/>
    <s:mergeCell ref="A26903:E26903"/>
    <s:mergeCell ref="A1917:E1917"/>
    <s:mergeCell ref="A220:E220"/>
    <s:mergeCell ref="A23744:E23744"/>
    <s:mergeCell ref="A7050:E7050"/>
    <s:mergeCell ref="A23439:E23439"/>
    <s:mergeCell ref="A520:E520"/>
    <s:mergeCell ref="A21959:E21959"/>
    <s:mergeCell ref="A7333:E7333"/>
    <s:mergeCell ref="A23739:E23739"/>
    <s:mergeCell ref="A21654:E21654"/>
    <s:mergeCell ref="A30857:E30857"/>
    <s:mergeCell ref="A22259:E22259"/>
    <s:mergeCell ref="A31157:E31157"/>
    <s:mergeCell ref="A29072:E29072"/>
    <s:mergeCell ref="A12772:E12772"/>
    <s:mergeCell ref="A16548:E16548"/>
    <s:mergeCell ref="A14463:E14463"/>
    <s:mergeCell ref="A248:E248"/>
    <s:mergeCell ref="A29161:E29161"/>
    <s:mergeCell ref="A28767:E28767"/>
    <s:mergeCell ref="A7366:E7366"/>
    <s:mergeCell ref="A14552:E14552"/>
    <s:mergeCell ref="A21670:E21670"/>
    <s:mergeCell ref="A29372:E29372"/>
    <s:mergeCell ref="A5364:E5364"/>
    <s:mergeCell ref="A3279:E3279"/>
    <s:mergeCell ref="A14763:E14763"/>
    <s:mergeCell ref="A21365:E21365"/>
    <s:mergeCell ref="A7666:E7666"/>
    <s:mergeCell ref="A5581:E5581"/>
    <s:mergeCell ref="A12767:E12767"/>
    <s:mergeCell ref="A21970:E21970"/>
    <s:mergeCell ref="A19885:E19885"/>
    <s:mergeCell ref="A7367:E7367"/>
    <s:mergeCell ref="A19879:E19879"/>
    <s:mergeCell ref="A7361:E7361"/>
    <s:mergeCell ref="A21665:E21665"/>
    <s:mergeCell ref="A5881:E5881"/>
    <s:mergeCell ref="A20185:E20185"/>
    <s:mergeCell ref="A5576:E5576"/>
    <s:mergeCell ref="A10997:E10997"/>
    <s:mergeCell ref="A12783:E12783"/>
    <s:mergeCell ref="A21698:E21698"/>
    <s:mergeCell ref="A12478:E12478"/>
    <s:mergeCell ref="A11297:E11297"/>
    <s:mergeCell ref="A29383:E29383"/>
    <s:mergeCell ref="B11239:E11239"/>
    <s:mergeCell ref="A5592:E5592"/>
    <s:mergeCell ref="A5287:E5287"/>
    <s:mergeCell ref="A28811:E28811"/>
    <s:mergeCell ref="A5892:E5892"/>
    <s:mergeCell ref="A3807:E3807"/>
    <s:mergeCell ref="A20213:E20213"/>
    <s:mergeCell ref="A20196:E20196"/>
    <s:mergeCell ref="A18111:E18111"/>
    <s:mergeCell ref="A27325:E27325"/>
    <s:mergeCell ref="A29111:E29111"/>
    <s:mergeCell ref="B6439:E6439"/>
    <s:mergeCell ref="A25329:E25329"/>
    <s:mergeCell ref="A27026:E27026"/>
    <s:mergeCell ref="A4107:E4107"/>
    <s:mergeCell ref="A27631:E27631"/>
    <s:mergeCell ref="A27326:E27326"/>
    <s:mergeCell ref="A18138:E18138"/>
    <s:mergeCell ref="A3535:E3535"/>
    <s:mergeCell ref="A19924:E19924"/>
    <s:mergeCell ref="A27626:E27626"/>
    <s:mergeCell ref="A10736:E10736"/>
    <s:mergeCell ref="A3835:E3835"/>
    <s:mergeCell ref="B11767:E11767"/>
    <s:mergeCell ref="A30657:E30657"/>
    <s:mergeCell ref="A20224:E20224"/>
    <s:mergeCell ref="A18139:E18139"/>
    <s:mergeCell ref="A12733:E12733"/>
    <s:mergeCell ref="A4135:E4135"/>
    <s:mergeCell ref="A8646:E8646"/>
    <s:mergeCell ref="A25557:E25557"/>
    <s:mergeCell ref="A25551:E25551"/>
    <s:mergeCell ref="A23466:E23466"/>
    <s:mergeCell ref="A13033:E13033"/>
    <s:mergeCell ref="A9251:E9251"/>
    <s:mergeCell ref="A27337:E27337"/>
    <s:mergeCell ref="A25252:E25252"/>
    <s:mergeCell ref="A8946:E8946"/>
    <s:mergeCell ref="B26104:E26104"/>
    <s:mergeCell ref="B26098:E26098"/>
    <s:mergeCell ref="A18149:E18149"/>
    <s:mergeCell ref="A3546:E3546"/>
    <s:mergeCell ref="A1849:E1849"/>
    <s:mergeCell ref="B27884:E27884"/>
    <s:mergeCell ref="A16669:E16669"/>
    <s:mergeCell ref="A4151:E4151"/>
    <s:mergeCell ref="A2066:E2066"/>
    <s:mergeCell ref="A18061:E18061"/>
    <s:mergeCell ref="A16364:E16364"/>
    <s:mergeCell ref="A3846:E3846"/>
    <s:mergeCell ref="A1761:E1761"/>
    <s:mergeCell ref="A11548:E11548"/>
    <s:mergeCell ref="B4393:E4393"/>
    <s:mergeCell ref="A16664:E16664"/>
    <s:mergeCell ref="A16365:E16365"/>
    <s:mergeCell ref="A23477:E23477"/>
    <s:mergeCell ref="A4018:E4018"/>
    <s:mergeCell ref="A9479:E9479"/>
    <s:mergeCell ref="A16092:E16092"/>
    <s:mergeCell ref="A11415:E11415"/>
    <s:mergeCell ref="A31001:E31001"/>
    <s:mergeCell ref="A16392:E16392"/>
    <s:mergeCell ref="B533:E533"/>
    <s:mergeCell ref="A4618:E4618"/>
    <s:mergeCell ref="A23810:E23810"/>
    <s:mergeCell ref="A23511:E23511"/>
    <s:mergeCell ref="A23505:E23505"/>
    <s:mergeCell ref="B534:E534"/>
    <s:mergeCell ref="A28627:E28627"/>
    <s:mergeCell ref="A14018:E14018"/>
    <s:mergeCell ref="A23805:E23805"/>
    <s:mergeCell ref="A14623:E14623"/>
    <s:mergeCell ref="A2105:E2105"/>
    <s:mergeCell ref="A28927:E28927"/>
    <s:mergeCell ref="B7946:E7946"/>
    <s:mergeCell ref="A14318:E14318"/>
    <s:mergeCell ref="A29138:E29138"/>
    <s:mergeCell ref="A14923:E14923"/>
    <s:mergeCell ref="A2561:E2561"/>
    <s:mergeCell ref="A30924:E30924"/>
    <s:mergeCell ref="A29227:E29227"/>
    <s:mergeCell ref="A14618:E14618"/>
    <s:mergeCell ref="A2256:E2256"/>
    <s:mergeCell ref="A29438:E29438"/>
    <s:mergeCell ref="A11459:E11459"/>
    <s:mergeCell ref="B29774:E29774"/>
    <s:mergeCell ref="A24283:E24283"/>
    <s:mergeCell ref="A9674:E9674"/>
    <s:mergeCell ref="A24583:E24583"/>
    <s:mergeCell ref="A2272:E2272"/>
    <s:mergeCell ref="A9974:E9974"/>
    <s:mergeCell ref="A21464:E21464"/>
    <s:mergeCell ref="A24278:E24278"/>
    <s:mergeCell ref="A786:E786"/>
    <s:mergeCell ref="A18872:E18872"/>
    <s:mergeCell ref="A16787:E16787"/>
    <s:mergeCell ref="A2572:E2572"/>
    <s:mergeCell ref="A10274:E10274"/>
    <s:mergeCell ref="A21764:E21764"/>
    <s:mergeCell ref="A24578:E24578"/>
    <s:mergeCell ref="A2789:E2789"/>
    <s:mergeCell ref="A2267:E2267"/>
    <s:mergeCell ref="A17087:E17087"/>
    <s:mergeCell ref="A4569:E4569"/>
    <s:mergeCell ref="A2872:E2872"/>
    <s:mergeCell ref="A787:E787"/>
    <s:mergeCell ref="B28216:E28216"/>
    <s:mergeCell ref="A9702:E9702"/>
    <s:mergeCell ref="A8205:E8205"/>
    <s:mergeCell ref="A9985:E9985"/>
    <s:mergeCell ref="A7900:E7900"/>
    <s:mergeCell ref="A31424:E31424"/>
    <s:mergeCell ref="A18900:E18900"/>
    <s:mergeCell ref="A1103:E1103"/>
    <s:mergeCell ref="A17115:E17115"/>
    <s:mergeCell ref="A24233:E24233"/>
    <s:mergeCell ref="A18901:E18901"/>
    <s:mergeCell ref="A22237:E22237"/>
    <s:mergeCell ref="A9713:E9713"/>
    <s:mergeCell ref="A17415:E17415"/>
    <s:mergeCell ref="A24017:E24017"/>
    <s:mergeCell ref="A24533:E24533"/>
    <s:mergeCell ref="A8233:E8233"/>
    <s:mergeCell ref="A22537:E22537"/>
    <s:mergeCell ref="A7928:E7928"/>
    <s:mergeCell ref="A15046:E15046"/>
    <s:mergeCell ref="A24317:E24317"/>
    <s:mergeCell ref="A22232:E22232"/>
    <s:mergeCell ref="A22748:E22748"/>
    <s:mergeCell ref="A29955:E29955"/>
    <s:mergeCell ref="A8228:E8228"/>
    <s:mergeCell ref="A15346:E15346"/>
    <s:mergeCell ref="A13649:E13649"/>
    <s:mergeCell ref="A737:E737"/>
    <s:mergeCell ref="A29650:E29650"/>
    <s:mergeCell ref="A29644:E29644"/>
    <s:mergeCell ref="A27559:E27559"/>
    <s:mergeCell ref="A15041:E15041"/>
    <s:mergeCell ref="A20462:E20462"/>
    <s:mergeCell ref="A15646:E15646"/>
    <s:mergeCell ref="B27950:E27950"/>
    <s:mergeCell ref="A1037:E1037"/>
    <s:mergeCell ref="A29950:E29950"/>
    <s:mergeCell ref="A6458:E6458"/>
    <s:mergeCell ref="A4373:E4373"/>
    <s:mergeCell ref="A20762:E20762"/>
    <s:mergeCell ref="A8244:E8244"/>
    <s:mergeCell ref="A6159:E6159"/>
    <s:mergeCell ref="B14108:E14108"/>
    <s:mergeCell ref="A29677:E29677"/>
    <s:mergeCell ref="A7939:E7939"/>
    <s:mergeCell ref="A22759:E22759"/>
    <s:mergeCell ref="A29378:E29378"/>
    <s:mergeCell ref="A6459:E6459"/>
    <s:mergeCell ref="A1053:E1053"/>
    <s:mergeCell ref="A13272:E13272"/>
    <s:mergeCell ref="A29678:E29678"/>
    <s:mergeCell ref="A20974:E20974"/>
    <s:mergeCell ref="A29672:E29672"/>
    <s:mergeCell ref="A13877:E13877"/>
    <s:mergeCell ref="A29978:E29978"/>
    <s:mergeCell ref="A27893:E27893"/>
    <s:mergeCell ref="A20790:E20790"/>
    <s:mergeCell ref="B26637:E26637"/>
    <s:mergeCell ref="A13872:E13872"/>
    <s:mergeCell ref="B14113:E14113"/>
    <s:mergeCell ref="A2599:E2599"/>
    <s:mergeCell ref="A13599:E13599"/>
    <s:mergeCell ref="A27909:E27909"/>
    <s:mergeCell ref="A27903:E27903"/>
    <s:mergeCell ref="A25818:E25818"/>
    <s:mergeCell ref="A15385:E15385"/>
    <s:mergeCell ref="A13300:E13300"/>
    <s:mergeCell ref="A2899:E2899"/>
    <s:mergeCell ref="A13905:E13905"/>
    <s:mergeCell ref="A18416:E18416"/>
    <s:mergeCell ref="A26118:E26118"/>
    <s:mergeCell ref="A13600:E13600"/>
    <s:mergeCell ref="A27904:E27904"/>
    <s:mergeCell ref="A4412:E4412"/>
    <s:mergeCell ref="A2327:E2327"/>
    <s:mergeCell ref="A20413:E20413"/>
    <s:mergeCell ref="A18716:E18716"/>
    <s:mergeCell ref="A13900:E13900"/>
    <s:mergeCell ref="A21018:E21018"/>
    <s:mergeCell ref="A18927:E18927"/>
    <s:mergeCell ref="A19016:E19016"/>
    <s:mergeCell ref="A16931:E16931"/>
    <s:mergeCell ref="A26134:E26134"/>
    <s:mergeCell ref="A25829:E25829"/>
    <s:mergeCell ref="A10045:E10045"/>
    <s:mergeCell ref="A24349:E24349"/>
    <s:mergeCell ref="A24343:E24343"/>
    <s:mergeCell ref="A9740:E9740"/>
    <s:mergeCell ref="A26129:E26129"/>
    <s:mergeCell ref="A24044:E24044"/>
    <s:mergeCell ref="A10345:E10345"/>
    <s:mergeCell ref="A16947:E16947"/>
    <s:mergeCell ref="A26346:E26346"/>
    <s:mergeCell ref="A24649:E24649"/>
    <s:mergeCell ref="A28431:E28431"/>
    <s:mergeCell ref="B10287:E10287"/>
    <s:mergeCell ref="A10040:E10040"/>
    <s:mergeCell ref="A24344:E24344"/>
    <s:mergeCell ref="A9468:E9468"/>
    <s:mergeCell ref="A6876:E6876"/>
    <s:mergeCell ref="A24377:E24377"/>
    <s:mergeCell ref="B5182:E5182"/>
    <s:mergeCell ref="A31190:E31190"/>
    <s:mergeCell ref="B8518:E8518"/>
    <s:mergeCell ref="A24677:E24677"/>
    <s:mergeCell ref="A31490:E31490"/>
    <s:mergeCell ref="A29793:E29793"/>
    <s:mergeCell ref="A16881:E16881"/>
    <s:mergeCell ref="A31185:E31185"/>
    <s:mergeCell ref="B8513:E8513"/>
    <s:mergeCell ref="A24088:E24088"/>
    <s:mergeCell ref="A17181:E17181"/>
    <s:mergeCell ref="A24299:E24299"/>
    <s:mergeCell ref="A22602:E22602"/>
    <s:mergeCell ref="A24388:E24388"/>
    <s:mergeCell ref="A22303:E22303"/>
    <s:mergeCell ref="A9779:E9779"/>
    <s:mergeCell ref="A24599:E24599"/>
    <s:mergeCell ref="A12237:E12237"/>
    <s:mergeCell ref="A22603:E22603"/>
    <s:mergeCell ref="A4924:E4924"/>
    <s:mergeCell ref="A10541:E10541"/>
    <s:mergeCell ref="A19744:E19744"/>
    <s:mergeCell ref="A5135:E5135"/>
    <s:mergeCell ref="A19439:E19439"/>
    <s:mergeCell ref="A5224:E5224"/>
    <s:mergeCell ref="A3139:E3139"/>
    <s:mergeCell ref="A20044:E20044"/>
    <s:mergeCell ref="A17959:E17959"/>
    <s:mergeCell ref="A5435:E5435"/>
    <s:mergeCell ref="A3350:E3350"/>
    <s:mergeCell ref="A19739:E19739"/>
    <s:mergeCell ref="A7221:E7221"/>
    <s:mergeCell ref="A5136:E5136"/>
    <s:mergeCell ref="A3439:E3439"/>
    <s:mergeCell ref="A10551:E10551"/>
    <s:mergeCell ref="A8466:E8466"/>
    <s:mergeCell ref="A10252:E10252"/>
    <s:mergeCell ref="A17954:E17954"/>
    <s:mergeCell ref="A12548:E12548"/>
    <s:mergeCell ref="A10463:E10463"/>
    <s:mergeCell ref="A3366:E3366"/>
    <s:mergeCell ref="A10552:E10552"/>
    <s:mergeCell ref="A3061:E3061"/>
    <s:mergeCell ref="A26585:E26585"/>
    <s:mergeCell ref="B28488:E28488"/>
    <s:mergeCell ref="A17970:E17970"/>
    <s:mergeCell ref="A3361:E3361"/>
    <s:mergeCell ref="A26885:E26885"/>
    <s:mergeCell ref="A1881:E1881"/>
    <s:mergeCell ref="A26580:E26580"/>
    <s:mergeCell ref="A24883:E24883"/>
    <s:mergeCell ref="A22798:E22798"/>
    <s:mergeCell ref="B28489:E28489"/>
    <s:mergeCell ref="A1576:E1576"/>
    <s:mergeCell ref="A17398:E17398"/>
    <s:mergeCell ref="A27185:E27185"/>
    <s:mergeCell ref="A25100:E25100"/>
    <s:mergeCell ref="A24795:E24795"/>
    <s:mergeCell ref="B2123:E2123"/>
    <s:mergeCell ref="A30216:E30216"/>
    <s:mergeCell ref="A17698:E17698"/>
    <s:mergeCell ref="A25400:E25400"/>
    <s:mergeCell ref="A3089:E3089"/>
    <s:mergeCell ref="A29911:E29911"/>
    <s:mergeCell ref="A17393:E17393"/>
    <s:mergeCell ref="B2423:E2423"/>
    <s:mergeCell ref="B26431:E26431"/>
    <s:mergeCell ref="A30516:E30516"/>
    <s:mergeCell ref="A17998:E17998"/>
    <s:mergeCell ref="A15913:E15913"/>
    <s:mergeCell ref="A3389:E3389"/>
    <s:mergeCell ref="A30211:E30211"/>
    <s:mergeCell ref="A17693:E17693"/>
    <s:mergeCell ref="A30816:E30816"/>
    <s:mergeCell ref="A1892:E1892"/>
    <s:mergeCell ref="A8511:E8511"/>
    <s:mergeCell ref="A25416:E25416"/>
    <s:mergeCell ref="A8722:E8722"/>
    <s:mergeCell ref="A7025:E7025"/>
    <s:mergeCell ref="A15908:E15908"/>
    <s:mergeCell ref="A25111:E25111"/>
    <s:mergeCell ref="A8811:E8811"/>
    <s:mergeCell ref="B348:E348"/>
    <s:mergeCell ref="A10502:E10502"/>
    <s:mergeCell ref="A6720:E6720"/>
    <s:mergeCell ref="A15923:E15923"/>
    <s:mergeCell ref="A13838:E13838"/>
    <s:mergeCell ref="A1320:E1320"/>
    <s:mergeCell ref="A25411:E25411"/>
    <s:mergeCell ref="B648:E648"/>
    <s:mergeCell ref="A1015:E1015"/>
    <s:mergeCell ref="A28747:E28747"/>
    <s:mergeCell ref="A17920:E17920"/>
    <s:mergeCell ref="A14138:E14138"/>
    <s:mergeCell ref="A9322:E9322"/>
    <s:mergeCell ref="A15918:E15918"/>
    <s:mergeCell ref="A13833:E13833"/>
    <s:mergeCell ref="A1315:E1315"/>
    <s:mergeCell ref="A6736:E6736"/>
    <s:mergeCell ref="A16135:E16135"/>
    <s:mergeCell ref="A14438:E14438"/>
    <s:mergeCell ref="A18220:E18220"/>
    <s:mergeCell ref="A1920:E1920"/>
    <s:mergeCell ref="A16224:E16224"/>
    <s:mergeCell ref="A14139:E14139"/>
    <s:mergeCell ref="A7036:E7036"/>
    <s:mergeCell ref="A4951:E4951"/>
    <s:mergeCell ref="B30986:E30986"/>
    <s:mergeCell ref="A15951:E15951"/>
    <s:mergeCell ref="A30255:E30255"/>
    <s:mergeCell ref="A21551:E21551"/>
    <s:mergeCell ref="A28170:E28170"/>
    <s:mergeCell ref="A6948:E6948"/>
    <s:mergeCell ref="A14166:E14166"/>
    <s:mergeCell ref="A14149:E14149"/>
    <s:mergeCell ref="A28470:E28470"/>
    <s:mergeCell ref="A19766:E19766"/>
    <s:mergeCell ref="A7248:E7248"/>
    <s:mergeCell ref="A28770:E28770"/>
    <s:mergeCell ref="A4979:E4979"/>
    <s:mergeCell ref="A146:E146"/>
    <s:mergeCell ref="A23670:E23670"/>
    <s:mergeCell ref="A21579:E21579"/>
    <s:mergeCell ref="A23365:E23365"/>
    <s:mergeCell ref="A28786:E28786"/>
    <s:mergeCell ref="A26701:E26701"/>
    <s:mergeCell ref="A26695:E26695"/>
    <s:mergeCell ref="A12092:E12092"/>
    <s:mergeCell ref="A28481:E28481"/>
    <s:mergeCell ref="A26396:E26396"/>
    <s:mergeCell ref="A12697:E12697"/>
    <s:mergeCell ref="A28698:E28698"/>
    <s:mergeCell ref="A28692:E28692"/>
    <s:mergeCell ref="A12392:E12392"/>
    <s:mergeCell ref="B26943:E26943"/>
    <s:mergeCell ref="A19510:E19510"/>
    <s:mergeCell ref="A26696:E26696"/>
    <s:mergeCell ref="A3204:E3204"/>
    <s:mergeCell ref="A19205:E19205"/>
    <s:mergeCell ref="A5506:E5506"/>
    <s:mergeCell ref="A3421:E3421"/>
    <s:mergeCell ref="A12692:E12692"/>
    <s:mergeCell ref="A19810:E19810"/>
    <s:mergeCell ref="A7292:E7292"/>
    <s:mergeCell ref="A5207:E5207"/>
    <s:mergeCell ref="A26996:E26996"/>
    <s:mergeCell ref="A5201:E5201"/>
    <s:mergeCell ref="A19505:E19505"/>
    <s:mergeCell ref="A10323:E10323"/>
    <s:mergeCell ref="A5202:E5202"/>
    <s:mergeCell ref="A10623:E10623"/>
    <s:mergeCell ref="A346:E346"/>
    <s:mergeCell ref="A12403:E12403"/>
    <s:mergeCell ref="B7834:E7834"/>
    <s:mergeCell ref="A10318:E10318"/>
    <s:mergeCell ref="A41:E41"/>
    <s:mergeCell ref="A12620:E12620"/>
    <s:mergeCell ref="A10923:E10923"/>
    <s:mergeCell ref="A2343:E2343"/>
    <s:mergeCell ref="A19838:E19838"/>
    <s:mergeCell ref="A341:E341"/>
    <s:mergeCell ref="B11470:E11470"/>
    <s:mergeCell ref="A7459:E7459"/>
    <s:mergeCell ref="A2643:E2643"/>
    <s:mergeCell ref="B11165:E11165"/>
    <s:mergeCell ref="A7759:E7759"/>
    <s:mergeCell ref="B16797:E16797"/>
    <s:mergeCell ref="A26951:E26951"/>
    <s:mergeCell ref="A24866:E24866"/>
    <s:mergeCell ref="B11465:E11465"/>
    <s:mergeCell ref="A10651:E10651"/>
    <s:mergeCell ref="A24949:E24949"/>
    <s:mergeCell ref="A5974:E5974"/>
    <s:mergeCell ref="A29982:E29982"/>
    <s:mergeCell ref="A17464:E17464"/>
    <s:mergeCell ref="A25166:E25166"/>
    <s:mergeCell ref="B16798:E16798"/>
    <s:mergeCell ref="A26952:E26952"/>
    <s:mergeCell ref="A30282:E30282"/>
    <s:mergeCell ref="A17764:E17764"/>
    <s:mergeCell ref="A30582:E30582"/>
    <s:mergeCell ref="A18064:E18064"/>
    <s:mergeCell ref="A5702:E5702"/>
    <s:mergeCell ref="A12903:E12903"/>
    <s:mergeCell ref="A10818:E10818"/>
    <s:mergeCell ref="A6002:E6002"/>
    <s:mergeCell ref="A15205:E15205"/>
    <s:mergeCell ref="A13120:E13120"/>
    <s:mergeCell ref="A27424:E27424"/>
    <s:mergeCell ref="A27418:E27418"/>
    <s:mergeCell ref="A14900:E14900"/>
    <s:mergeCell ref="A12815:E12815"/>
    <s:mergeCell ref="A20321:E20321"/>
    <s:mergeCell ref="A12904:E12904"/>
    <s:mergeCell ref="A13420:E13420"/>
    <s:mergeCell ref="A27724:E27724"/>
    <s:mergeCell ref="A27718:E27718"/>
    <s:mergeCell ref="A13115:E13115"/>
    <s:mergeCell ref="A18536:E18536"/>
    <s:mergeCell ref="A6018:E6018"/>
    <s:mergeCell ref="A3933:E3933"/>
    <s:mergeCell ref="A13204:E13204"/>
    <s:mergeCell ref="A3927:E3927"/>
    <s:mergeCell ref="A5713:E5713"/>
    <s:mergeCell ref="A16751:E16751"/>
    <s:mergeCell ref="A4233:E4233"/>
    <s:mergeCell ref="A5924:E5924"/>
    <s:mergeCell ref="A4227:E4227"/>
    <s:mergeCell ref="A6013:E6013"/>
    <s:mergeCell ref="A3928:E3928"/>
    <s:mergeCell ref="A4228:E4228"/>
    <s:mergeCell ref="A11346:E11346"/>
    <s:mergeCell ref="A11340:E11340"/>
    <s:mergeCell ref="A11646:E11646"/>
    <s:mergeCell ref="B11887:E11887"/>
    <s:mergeCell ref="A18259:E18259"/>
    <s:mergeCell ref="B13673:E13673"/>
    <s:mergeCell ref="A4261:E4261"/>
    <s:mergeCell ref="A31083:E31083"/>
    <s:mergeCell ref="A2159:E2159"/>
    <s:mergeCell ref="A18559:E18559"/>
    <s:mergeCell ref="A25677:E25677"/>
    <s:mergeCell ref="A13159:E13159"/>
    <s:mergeCell ref="A11074:E11074"/>
    <s:mergeCell ref="A12854:E12854"/>
    <s:mergeCell ref="A18275:E18275"/>
    <s:mergeCell ref="A25977:E25977"/>
    <s:mergeCell ref="A23892:E23892"/>
    <s:mergeCell ref="A11374:E11374"/>
    <s:mergeCell ref="A9677:E9677"/>
    <s:mergeCell ref="A11368:E11368"/>
    <s:mergeCell ref="A25678:E25678"/>
    <s:mergeCell ref="A25672:E25672"/>
    <s:mergeCell ref="A23587:E23587"/>
    <s:mergeCell ref="A13154:E13154"/>
    <s:mergeCell ref="A11069:E11069"/>
    <s:mergeCell ref="A16490:E16490"/>
    <s:mergeCell ref="A3972:E3972"/>
    <s:mergeCell ref="A11674:E11674"/>
    <s:mergeCell ref="A9572:E9572"/>
    <s:mergeCell ref="A18270:E18270"/>
    <s:mergeCell ref="A31005:E31005"/>
    <s:mergeCell ref="A18487:E18487"/>
    <s:mergeCell ref="A16790:E16790"/>
    <s:mergeCell ref="A14705:E14705"/>
    <s:mergeCell ref="A4272:E4272"/>
    <s:mergeCell ref="A2187:E2187"/>
    <s:mergeCell ref="A2181:E2181"/>
    <s:mergeCell ref="A19092:E19092"/>
    <s:mergeCell ref="B16732:E16732"/>
    <s:mergeCell ref="A16485:E16485"/>
    <s:mergeCell ref="B31552:E31552"/>
    <s:mergeCell ref="A23603:E23603"/>
    <s:mergeCell ref="A31305:E31305"/>
    <s:mergeCell ref="A9388:E9388"/>
    <s:mergeCell ref="A18787:E18787"/>
    <s:mergeCell ref="A24208:E24208"/>
    <s:mergeCell ref="A9605:E9605"/>
    <s:mergeCell ref="A9599:E9599"/>
    <s:mergeCell ref="A7514:E7514"/>
    <s:mergeCell ref="A23903:E23903"/>
    <s:mergeCell ref="A31605:E31605"/>
    <s:mergeCell ref="A9300:E9300"/>
    <s:mergeCell ref="A22423:E22423"/>
    <s:mergeCell ref="A2197:E2197"/>
    <s:mergeCell ref="A112:E112"/>
    <s:mergeCell ref="A24203:E24203"/>
    <s:mergeCell ref="A22118:E22118"/>
    <s:mergeCell ref="A9600:E9600"/>
    <s:mergeCell ref="A15021:E15021"/>
    <s:mergeCell ref="A23904:E23904"/>
    <s:mergeCell ref="A31033:E31033"/>
    <s:mergeCell ref="A2109:E2109"/>
    <s:mergeCell ref="A412:E412"/>
    <s:mergeCell ref="A31016:E31016"/>
    <s:mergeCell ref="B8450:E8450"/>
    <s:mergeCell ref="A22418:E22418"/>
    <s:mergeCell ref="A107:E107"/>
    <s:mergeCell ref="A17018:E17018"/>
    <s:mergeCell ref="B15174:E15174"/>
    <s:mergeCell ref="A23631:E23631"/>
    <s:mergeCell ref="A2409:E2409"/>
    <s:mergeCell ref="A712:E712"/>
    <s:mergeCell ref="B31563:E31563"/>
    <s:mergeCell ref="A7525:E7525"/>
    <s:mergeCell ref="A23931:E23931"/>
    <s:mergeCell ref="A15227:E15227"/>
    <s:mergeCell ref="A21846:E21846"/>
    <s:mergeCell ref="A624:E624"/>
    <s:mergeCell ref="B29778:E29778"/>
    <s:mergeCell ref="A31049:E31049"/>
    <s:mergeCell ref="B22393:E22393"/>
    <s:mergeCell ref="A7825:E7825"/>
    <s:mergeCell ref="A5740:E5740"/>
    <s:mergeCell ref="A31349:E31349"/>
    <s:mergeCell ref="A29264:E29264"/>
    <s:mergeCell ref="A29353:E29353"/>
    <s:mergeCell ref="A31044:E31044"/>
    <s:mergeCell ref="A6040:E6040"/>
    <s:mergeCell ref="A29564:E29564"/>
    <s:mergeCell ref="A21557:E21557"/>
    <s:mergeCell ref="A31344:E31344"/>
    <s:mergeCell ref="B8284:E8284"/>
    <s:mergeCell ref="A29259:E29259"/>
    <s:mergeCell ref="A22162:E22162"/>
    <s:mergeCell ref="A29864:E29864"/>
    <s:mergeCell ref="A7559:E7559"/>
    <s:mergeCell ref="A7553:E7553"/>
    <s:mergeCell ref="A21857:E21857"/>
    <s:mergeCell ref="A6073:E6073"/>
    <s:mergeCell ref="A14956:E14956"/>
    <s:mergeCell ref="B1487:E1487"/>
    <s:mergeCell ref="A7853:E7853"/>
    <s:mergeCell ref="A5768:E5768"/>
    <s:mergeCell ref="A14971:E14971"/>
    <s:mergeCell ref="A12886:E12886"/>
    <s:mergeCell ref="A22157:E22157"/>
    <s:mergeCell ref="A20072:E20072"/>
    <s:mergeCell ref="A12975:E12975"/>
    <s:mergeCell ref="A12969:E12969"/>
    <s:mergeCell ref="A10884:E10884"/>
    <s:mergeCell ref="A13186:E13186"/>
    <s:mergeCell ref="A29575:E29575"/>
    <s:mergeCell ref="A27490:E27490"/>
    <s:mergeCell ref="A13275:E13275"/>
    <s:mergeCell ref="A14966:E14966"/>
    <s:mergeCell ref="A12881:E12881"/>
    <s:mergeCell ref="A18302:E18302"/>
    <s:mergeCell ref="A13486:E13486"/>
    <s:mergeCell ref="A27790:E27790"/>
    <s:mergeCell ref="A29003:E29003"/>
    <s:mergeCell ref="A18602:E18602"/>
    <s:mergeCell ref="A6084:E6084"/>
    <s:mergeCell ref="A8325:E8325"/>
    <s:mergeCell ref="A20388:E20388"/>
    <s:mergeCell ref="A29303:E29303"/>
    <s:mergeCell ref="B6631:E6631"/>
    <s:mergeCell ref="A27218:E27218"/>
    <s:mergeCell ref="A20688:E20688"/>
    <s:mergeCell ref="A20899:E20899"/>
    <s:mergeCell ref="A27518:E27518"/>
    <s:mergeCell ref="A835:E835"/>
    <s:mergeCell ref="A1135:E1135"/>
    <s:mergeCell ref="A15439:E15439"/>
    <s:mergeCell ref="A18630:E18630"/>
    <s:mergeCell ref="A1435:E1435"/>
    <s:mergeCell ref="A25749:E25749"/>
    <s:mergeCell ref="A25743:E25743"/>
    <s:mergeCell ref="A863:E863"/>
    <s:mergeCell ref="A27529:E27529"/>
    <s:mergeCell ref="B28076:E28076"/>
    <s:mergeCell ref="A1163:E1163"/>
    <s:mergeCell ref="A25744:E25744"/>
    <s:mergeCell ref="A858:E858"/>
    <s:mergeCell ref="A6279:E6279"/>
    <s:mergeCell ref="A1463:E1463"/>
    <s:mergeCell ref="B7310:E7310"/>
    <s:mergeCell ref="A22885:E22885"/>
    <s:mergeCell ref="A21188:E21188"/>
    <s:mergeCell ref="A6585:E6585"/>
    <s:mergeCell ref="A22580:E22580"/>
    <s:mergeCell ref="A8365:E8365"/>
    <s:mergeCell ref="A6280:E6280"/>
    <s:mergeCell ref="A28001:E28001"/>
    <s:mergeCell ref="A6274:E6274"/>
    <s:mergeCell ref="A23185:E23185"/>
    <s:mergeCell ref="A21100:E21100"/>
    <s:mergeCell ref="A21094:E21094"/>
    <s:mergeCell ref="A8576:E8576"/>
    <s:mergeCell ref="A6491:E6491"/>
    <s:mergeCell ref="A11912:E11912"/>
    <s:mergeCell ref="A7096:E7096"/>
    <s:mergeCell ref="A13698:E13698"/>
    <s:mergeCell ref="A13692:E13692"/>
    <s:mergeCell ref="A11607:E11607"/>
    <s:mergeCell ref="A1174:E1174"/>
    <s:mergeCell ref="A12212:E12212"/>
    <s:mergeCell ref="A2725:E2725"/>
    <s:mergeCell ref="A6202:E6202"/>
    <s:mergeCell ref="A28029:E28029"/>
    <s:mergeCell ref="A6807:E6807"/>
    <s:mergeCell ref="A3025:E3025"/>
    <s:mergeCell ref="A11923:E11923"/>
    <s:mergeCell ref="A26244:E26244"/>
    <s:mergeCell ref="A7107:E7107"/>
    <s:mergeCell ref="A4506:E4506"/>
    <s:mergeCell ref="A13726:E13726"/>
    <s:mergeCell ref="A13720:E13720"/>
    <s:mergeCell ref="A25939:E25939"/>
    <s:mergeCell ref="A12223:E12223"/>
    <s:mergeCell ref="A10138:E10138"/>
    <s:mergeCell ref="A26544:E26544"/>
    <s:mergeCell ref="A14026:E14026"/>
    <s:mergeCell ref="A26239:E26239"/>
    <s:mergeCell ref="B10685:E10685"/>
    <s:mergeCell ref="A20839:E20839"/>
    <s:mergeCell ref="A19142:E19142"/>
    <s:mergeCell ref="A17057:E17057"/>
    <s:mergeCell ref="A21444:E21444"/>
    <s:mergeCell ref="A19353:E19353"/>
    <s:mergeCell ref="A21139:E21139"/>
    <s:mergeCell ref="A17357:E17357"/>
    <s:mergeCell ref="A24469:E24469"/>
    <s:mergeCell ref="A11951:E11951"/>
    <s:mergeCell ref="A9866:E9866"/>
    <s:mergeCell ref="A26255:E26255"/>
    <s:mergeCell ref="A21439:E21439"/>
    <s:mergeCell ref="A25950:E25950"/>
    <s:mergeCell ref="A24769:E24769"/>
    <s:mergeCell ref="A26466:E26466"/>
    <s:mergeCell ref="A10166:E10166"/>
    <s:mergeCell ref="A26555:E26555"/>
    <s:mergeCell ref="A24470:E24470"/>
    <s:mergeCell ref="A11952:E11952"/>
    <s:mergeCell ref="A11946:E11946"/>
    <s:mergeCell ref="A9861:E9861"/>
    <s:mergeCell ref="A26766:E26766"/>
    <s:mergeCell ref="A2764:E2764"/>
    <s:mergeCell ref="A10466:E10466"/>
    <s:mergeCell ref="A17584:E17584"/>
    <s:mergeCell ref="A24770:E24770"/>
    <s:mergeCell ref="A2975:E2975"/>
    <s:mergeCell ref="A19364:E19364"/>
    <s:mergeCell ref="A17279:E17279"/>
    <s:mergeCell ref="A4761:E4761"/>
    <s:mergeCell ref="A3064:E3064"/>
    <s:mergeCell ref="A979:E979"/>
    <s:mergeCell ref="A31583:E31583"/>
    <s:mergeCell ref="A17884:E17884"/>
    <s:mergeCell ref="A3275:E3275"/>
    <s:mergeCell ref="A17579:E17579"/>
    <s:mergeCell ref="A5061:E5061"/>
    <s:mergeCell ref="A2976:E2976"/>
    <s:mergeCell ref="A8391:E8391"/>
    <s:mergeCell ref="A24392:E24392"/>
    <s:mergeCell ref="A10177:E10177"/>
    <s:mergeCell ref="A8092:E8092"/>
    <s:mergeCell ref="A17879:E17879"/>
    <s:mergeCell ref="B19912:E19912"/>
    <s:mergeCell ref="A10394:E10394"/>
    <s:mergeCell ref="A8697:E8697"/>
    <s:mergeCell ref="A17007:E17007"/>
    <s:mergeCell ref="A8392:E8392"/>
    <s:mergeCell ref="A15510:E15510"/>
    <s:mergeCell ref="A1295:E1295"/>
    <s:mergeCell ref="B10935:E10935"/>
    <s:mergeCell ref="A2986:E2986"/>
    <s:mergeCell ref="A17307:E17307"/>
    <s:mergeCell ref="A31611:E31611"/>
    <s:mergeCell ref="B16057:E16057"/>
    <s:mergeCell ref="A15810:E15810"/>
    <s:mergeCell ref="A30131:E30131"/>
    <s:mergeCell ref="A1201:E1201"/>
    <s:mergeCell ref="A17607:E17607"/>
    <s:mergeCell ref="B10936:E10936"/>
    <s:mergeCell ref="A24814:E24814"/>
    <s:mergeCell ref="A16110:E16110"/>
    <s:mergeCell ref="A22729:E22729"/>
    <s:mergeCell ref="A24420:E24420"/>
    <s:mergeCell ref="B1748:E1748"/>
    <s:mergeCell ref="A22723:E22723"/>
    <s:mergeCell ref="A1501:E1501"/>
    <s:mergeCell ref="A25025:E25025"/>
    <s:mergeCell ref="A22940:E22940"/>
    <s:mergeCell ref="B2048:E2048"/>
    <s:mergeCell ref="A30141:E30141"/>
    <s:mergeCell ref="A28056:E28056"/>
    <s:mergeCell ref="B1749:E1749"/>
    <s:mergeCell ref="A17318:E17318"/>
    <s:mergeCell ref="A15233:E15233"/>
    <s:mergeCell ref="A28356:E28356"/>
    <s:mergeCell ref="A15838:E15838"/>
    <s:mergeCell ref="A1229:E1229"/>
    <s:mergeCell ref="A30142:E30142"/>
    <s:mergeCell ref="A22651:E22651"/>
    <s:mergeCell ref="A30353:E30353"/>
    <s:mergeCell ref="A8436:E8436"/>
    <s:mergeCell ref="A6351:E6351"/>
    <s:mergeCell ref="A15833:E15833"/>
    <s:mergeCell ref="A22951:E22951"/>
    <s:mergeCell ref="A19169:E19169"/>
    <s:mergeCell ref="A30653:E30653"/>
    <s:mergeCell ref="A6651:E6651"/>
    <s:mergeCell ref="A8342:E8342"/>
    <s:mergeCell ref="B14583:E14583"/>
    <s:mergeCell ref="B21712:E21712"/>
    <s:mergeCell ref="A28067:E28067"/>
    <s:mergeCell ref="B21496:E21496"/>
    <s:mergeCell ref="A1701:E1701"/>
    <s:mergeCell ref="B21713:E21713"/>
    <s:mergeCell ref="A13764:E13764"/>
    <s:mergeCell ref="A3487:E3487"/>
    <s:mergeCell ref="B7:E7"/>
    <s:mergeCell ref="A3182:E3182"/>
    <s:mergeCell ref="A2001:E2001"/>
    <s:mergeCell ref="A14064:E14064"/>
    <s:mergeCell ref="B30911:E30911"/>
    <s:mergeCell ref="A2002:E2002"/>
    <s:mergeCell ref="A28095:E28095"/>
    <s:mergeCell ref="A26010:E26010"/>
    <s:mergeCell ref="B27429:E27429"/>
    <s:mergeCell ref="A10900:E10900"/>
    <s:mergeCell ref="A26310:E26310"/>
    <s:mergeCell ref="A20605:E20605"/>
    <s:mergeCell ref="A20905:E20905"/>
    <s:mergeCell ref="A227:E227"/>
    <s:mergeCell ref="A6846:E6846"/>
    <s:mergeCell ref="A19425:E19425"/>
    <s:mergeCell ref="A21666:E21666"/>
    <s:mergeCell ref="A9148:E9148"/>
    <s:mergeCell ref="A21205:E21205"/>
    <s:mergeCell ref="A7146:E7146"/>
    <s:mergeCell ref="A9448:E9448"/>
    <s:mergeCell ref="A16044:E16044"/>
    <s:mergeCell ref="A13959:E13959"/>
    <s:mergeCell ref="A19420:E19420"/>
    <s:mergeCell ref="A1441:E1441"/>
    <s:mergeCell ref="A9143:E9143"/>
    <s:mergeCell ref="A18346:E18346"/>
    <s:mergeCell ref="A16261:E16261"/>
    <s:mergeCell ref="A14564:E14564"/>
    <s:mergeCell ref="B26868:E26868"/>
    <s:mergeCell ref="B19967:E19967"/>
    <s:mergeCell ref="A14259:E14259"/>
    <s:mergeCell ref="A9443:E9443"/>
    <s:mergeCell ref="A21377:E21377"/>
    <s:mergeCell ref="A7373:E7373"/>
    <s:mergeCell ref="A14559:E14559"/>
    <s:mergeCell ref="A2041:E2041"/>
    <s:mergeCell ref="A21677:E21677"/>
    <s:mergeCell ref="A16861:E16861"/>
    <s:mergeCell ref="A23457:E23457"/>
    <s:mergeCell ref="A21372:E21372"/>
    <s:mergeCell ref="A7673:E7673"/>
    <s:mergeCell ref="A21977:E21977"/>
    <s:mergeCell ref="A19892:E19892"/>
    <s:mergeCell ref="A9459:E9459"/>
    <s:mergeCell ref="A7374:E7374"/>
    <s:mergeCell ref="A7368:E7368"/>
    <s:mergeCell ref="A21678:E21678"/>
    <s:mergeCell ref="A14575:E14575"/>
    <s:mergeCell ref="A20192:E20192"/>
    <s:mergeCell ref="A23490:E23490"/>
    <s:mergeCell ref="A14487:E14487"/>
    <s:mergeCell ref="A272:E272"/>
    <s:mergeCell ref="A5299:E5299"/>
    <s:mergeCell ref="A21705:E21705"/>
    <s:mergeCell ref="A483:E483"/>
    <s:mergeCell ref="B819:E819"/>
    <s:mergeCell ref="B425:E425"/>
    <s:mergeCell ref="A21400:E21400"/>
    <s:mergeCell ref="A5599:E5599"/>
    <s:mergeCell ref="A21706:E21706"/>
    <s:mergeCell ref="A21700:E21700"/>
    <s:mergeCell ref="A28818:E28818"/>
    <s:mergeCell ref="B6146:E6146"/>
    <s:mergeCell ref="A27121:E27121"/>
    <s:mergeCell ref="A5899:E5899"/>
    <s:mergeCell ref="A3814:E3814"/>
    <s:mergeCell ref="A12518:E12518"/>
    <s:mergeCell ref="B28152:E28152"/>
    <s:mergeCell ref="A26822:E26822"/>
    <s:mergeCell ref="A27338:E27338"/>
    <s:mergeCell ref="A28907:E28907"/>
    <s:mergeCell ref="A29118:E29118"/>
    <s:mergeCell ref="A27033:E27033"/>
    <s:mergeCell ref="A12818:E12818"/>
    <s:mergeCell ref="A28819:E28819"/>
    <s:mergeCell ref="A27122:E27122"/>
    <s:mergeCell ref="A27638:E27638"/>
    <s:mergeCell ref="A5327:E5327"/>
    <s:mergeCell ref="A19631:E19631"/>
    <s:mergeCell ref="A27333:E27333"/>
    <s:mergeCell ref="A20236:E20236"/>
    <s:mergeCell ref="A19326:E19326"/>
    <s:mergeCell ref="A19842:E19842"/>
    <s:mergeCell ref="A5627:E5627"/>
    <s:mergeCell ref="A3542:E3542"/>
    <s:mergeCell ref="A3525:E3525"/>
    <s:mergeCell ref="A19931:E19931"/>
    <s:mergeCell ref="A7413:E7413"/>
    <s:mergeCell ref="A5328:E5328"/>
    <s:mergeCell ref="A5322:E5322"/>
    <s:mergeCell ref="A10743:E10743"/>
    <s:mergeCell ref="A8658:E8658"/>
    <s:mergeCell ref="A20142:E20142"/>
    <s:mergeCell ref="A26744:E26744"/>
    <s:mergeCell ref="A13045:E13045"/>
    <s:mergeCell ref="A20231:E20231"/>
    <s:mergeCell ref="A18146:E18146"/>
    <s:mergeCell ref="A27349:E27349"/>
    <s:mergeCell ref="A12740:E12740"/>
    <s:mergeCell ref="A27044:E27044"/>
    <s:mergeCell ref="A10744:E10744"/>
    <s:mergeCell ref="A11260:E11260"/>
    <s:mergeCell ref="A25564:E25564"/>
    <s:mergeCell ref="A3253:E3253"/>
    <s:mergeCell ref="A10955:E10955"/>
    <s:mergeCell ref="A25259:E25259"/>
    <s:mergeCell ref="A3858:E3858"/>
    <s:mergeCell ref="A11044:E11044"/>
    <s:mergeCell ref="A18162:E18162"/>
    <s:mergeCell ref="B3800:E3800"/>
    <s:mergeCell ref="A3553:E3553"/>
    <s:mergeCell ref="A17857:E17857"/>
    <s:mergeCell ref="A2073:E2073"/>
    <s:mergeCell ref="A18462:E18462"/>
    <s:mergeCell ref="B16618:E16618"/>
    <s:mergeCell ref="A26772:E26772"/>
    <s:mergeCell ref="A1768:E1768"/>
    <s:mergeCell ref="A10971:E10971"/>
    <s:mergeCell ref="A18157:E18157"/>
    <s:mergeCell ref="A25292:E25292"/>
    <s:mergeCell ref="A3554:E3554"/>
    <s:mergeCell ref="A10666:E10666"/>
    <s:mergeCell ref="A2068:E2068"/>
    <s:mergeCell ref="A11271:E11271"/>
    <s:mergeCell ref="A9186:E9186"/>
    <s:mergeCell ref="A25592:E25592"/>
    <s:mergeCell ref="A25287:E25287"/>
    <s:mergeCell ref="A30708:E30708"/>
    <s:mergeCell ref="A18190:E18190"/>
    <s:mergeCell ref="A9486:E9486"/>
    <s:mergeCell ref="A30403:E30403"/>
    <s:mergeCell ref="A31008:E31008"/>
    <s:mergeCell ref="A18490:E18490"/>
    <s:mergeCell ref="A23517:E23517"/>
    <s:mergeCell ref="A30703:E30703"/>
    <s:mergeCell ref="A25303:E25303"/>
    <s:mergeCell ref="B540:E540"/>
    <s:mergeCell ref="A24998:E24998"/>
    <s:mergeCell ref="A23817:E23817"/>
    <s:mergeCell ref="A9214:E9214"/>
    <s:mergeCell ref="A25603:E25603"/>
    <s:mergeCell ref="A23518:E23518"/>
    <s:mergeCell ref="A23512:E23512"/>
    <s:mergeCell ref="A10994:E10994"/>
    <s:mergeCell ref="A8909:E8909"/>
    <s:mergeCell ref="A14330:E14330"/>
    <s:mergeCell ref="B541:E541"/>
    <s:mergeCell ref="A9514:E9514"/>
    <s:mergeCell ref="A16116:E16116"/>
    <s:mergeCell ref="A14025:E14025"/>
    <s:mergeCell ref="A30936:E30936"/>
    <s:mergeCell ref="A9209:E9209"/>
    <s:mergeCell ref="A18412:E18412"/>
    <s:mergeCell ref="A16327:E16327"/>
    <s:mergeCell ref="A14630:E14630"/>
    <s:mergeCell ref="A27:E27"/>
    <s:mergeCell ref="B31266:E31266"/>
    <s:mergeCell ref="A30631:E30631"/>
    <s:mergeCell ref="B7959:E7959"/>
    <s:mergeCell ref="A16416:E16416"/>
    <s:mergeCell ref="B7953:E7953"/>
    <s:mergeCell ref="A14325:E14325"/>
    <s:mergeCell ref="A23528:E23528"/>
    <s:mergeCell ref="A21443:E21443"/>
    <s:mergeCell ref="A7228:E7228"/>
    <s:mergeCell ref="A30931:E30931"/>
    <s:mergeCell ref="A9530:E9530"/>
    <s:mergeCell ref="A21749:E21749"/>
    <s:mergeCell ref="B21990:E21990"/>
    <s:mergeCell ref="A23440:E23440"/>
    <s:mergeCell ref="A21743:E21743"/>
    <s:mergeCell ref="A9225:E9225"/>
    <s:mergeCell ref="A11466:E11466"/>
    <s:mergeCell ref="A16927:E16927"/>
    <s:mergeCell ref="A22043:E22043"/>
    <s:mergeCell ref="A9681:E9681"/>
    <s:mergeCell ref="A23829:E23829"/>
    <s:mergeCell ref="A21744:E21744"/>
    <s:mergeCell ref="A2279:E2279"/>
    <s:mergeCell ref="A21471:E21471"/>
    <s:mergeCell ref="A2884:E2884"/>
    <s:mergeCell ref="A4276:E4276"/>
    <s:mergeCell ref="A2579:E2579"/>
    <s:mergeCell ref="A23862:E23862"/>
    <s:mergeCell ref="A21771:E21771"/>
    <s:mergeCell ref="B885:E885"/>
    <s:mergeCell ref="A29189:E29189"/>
    <s:mergeCell ref="A28890:E28890"/>
    <s:mergeCell ref="A28884:E28884"/>
    <s:mergeCell ref="A2307:E2307"/>
    <s:mergeCell ref="A27404:E27404"/>
    <s:mergeCell ref="A17127:E17127"/>
    <s:mergeCell ref="A29190:E29190"/>
    <s:mergeCell ref="A29184:E29184"/>
    <s:mergeCell ref="A16822:E16822"/>
    <s:mergeCell ref="A2607:E2607"/>
    <s:mergeCell ref="A28885:E28885"/>
    <s:mergeCell ref="A24029:E24029"/>
    <s:mergeCell ref="A23724:E23724"/>
    <s:mergeCell ref="A22543:E22543"/>
    <s:mergeCell ref="A10025:E10025"/>
    <s:mergeCell ref="A7940:E7940"/>
    <s:mergeCell ref="A24329:E24329"/>
    <s:mergeCell ref="A22244:E22244"/>
    <s:mergeCell ref="A9726:E9726"/>
    <s:mergeCell ref="A9720:E9720"/>
    <s:mergeCell ref="A7635:E7635"/>
    <s:mergeCell ref="A24024:E24024"/>
    <s:mergeCell ref="A8240:E8240"/>
    <s:mergeCell ref="A26326:E26326"/>
    <s:mergeCell ref="A22544:E22544"/>
    <s:mergeCell ref="A2318:E2318"/>
    <s:mergeCell ref="A233:E233"/>
    <s:mergeCell ref="A749:E749"/>
    <s:mergeCell ref="A17138:E17138"/>
    <s:mergeCell ref="A15053:E15053"/>
    <s:mergeCell ref="A22239:E22239"/>
    <s:mergeCell ref="A838:E838"/>
    <s:mergeCell ref="A31442:E31442"/>
    <s:mergeCell ref="A1049:E1049"/>
    <s:mergeCell ref="A7651:E7651"/>
    <s:mergeCell ref="A15353:E15353"/>
    <s:mergeCell ref="A2835:E2835"/>
    <s:mergeCell ref="A744:E744"/>
    <s:mergeCell ref="A29657:E29657"/>
    <s:mergeCell ref="A31742:E31742"/>
    <s:mergeCell ref="A17139:E17139"/>
    <s:mergeCell ref="A833:E833"/>
    <s:mergeCell ref="A15653:E15653"/>
    <s:mergeCell ref="A29957:E29957"/>
    <s:mergeCell ref="A7646:E7646"/>
    <s:mergeCell ref="A8251:E8251"/>
    <s:mergeCell ref="A6166:E6166"/>
    <s:mergeCell ref="A29684:E29684"/>
    <s:mergeCell ref="A760:E760"/>
    <s:mergeCell ref="A15081:E15081"/>
    <s:mergeCell ref="A5861:E5861"/>
    <s:mergeCell ref="A29385:E29385"/>
    <s:mergeCell ref="A8163:E8163"/>
    <s:mergeCell ref="A6466:E6466"/>
    <s:mergeCell ref="A14776:E14776"/>
    <s:mergeCell ref="A29990:E29990"/>
    <s:mergeCell ref="B23313:E23313"/>
    <s:mergeCell ref="A21983:E21983"/>
    <s:mergeCell ref="A13279:E13279"/>
    <s:mergeCell ref="A29685:E29685"/>
    <s:mergeCell ref="A24279:E24279"/>
    <s:mergeCell ref="A22194:E22194"/>
    <s:mergeCell ref="A20497:E20497"/>
    <s:mergeCell ref="A7979:E7979"/>
    <s:mergeCell ref="A5894:E5894"/>
    <s:mergeCell ref="A22283:E22283"/>
    <s:mergeCell ref="A13579:E13579"/>
    <s:mergeCell ref="A29985:E29985"/>
    <s:mergeCell ref="A1061:E1061"/>
    <s:mergeCell ref="A22494:E22494"/>
    <s:mergeCell ref="A6194:E6194"/>
    <s:mergeCell ref="B1608:E1608"/>
    <s:mergeCell ref="A20498:E20498"/>
    <s:mergeCell ref="A22583:E22583"/>
    <s:mergeCell ref="A15092:E15092"/>
    <s:mergeCell ref="A11310:E11310"/>
    <s:mergeCell ref="A22794:E22794"/>
    <s:mergeCell ref="B20939:E20939"/>
    <s:mergeCell ref="A13612:E13612"/>
    <s:mergeCell ref="A22495:E22495"/>
    <s:mergeCell ref="A27916:E27916"/>
    <s:mergeCell ref="A27910:E27910"/>
    <s:mergeCell ref="A15392:E15392"/>
    <s:mergeCell ref="A13307:E13307"/>
    <s:mergeCell ref="A783:E783"/>
    <s:mergeCell ref="A20425:E20425"/>
    <s:mergeCell ref="A29696:E29696"/>
    <s:mergeCell ref="A13912:E13912"/>
    <s:mergeCell ref="A20508:E20508"/>
    <s:mergeCell ref="B13854:E13854"/>
    <s:mergeCell ref="A5905:E5905"/>
    <s:mergeCell ref="A13607:E13607"/>
    <s:mergeCell ref="A27911:E27911"/>
    <s:mergeCell ref="A4419:E4419"/>
    <s:mergeCell ref="A20814:E20814"/>
    <s:mergeCell ref="A22505:E22505"/>
    <s:mergeCell ref="A20420:E20420"/>
    <s:mergeCell ref="A6205:E6205"/>
    <s:mergeCell ref="A4120:E4120"/>
    <s:mergeCell ref="A13907:E13907"/>
    <s:mergeCell ref="A25841:E25841"/>
    <s:mergeCell ref="A20509:E20509"/>
    <s:mergeCell ref="A18940:E18940"/>
    <s:mergeCell ref="A21025:E21025"/>
    <s:mergeCell ref="A6416:E6416"/>
    <s:mergeCell ref="A4420:E4420"/>
    <s:mergeCell ref="A26141:E26141"/>
    <s:mergeCell ref="A24056:E24056"/>
    <s:mergeCell ref="A20809:E20809"/>
    <s:mergeCell ref="A11532:E11532"/>
    <s:mergeCell ref="B21267:E21267"/>
    <s:mergeCell ref="A11838:E11838"/>
    <s:mergeCell ref="A4347:E4347"/>
    <s:mergeCell ref="A2650:E2650"/>
    <s:mergeCell ref="A2345:E2345"/>
    <s:mergeCell ref="A4647:E4647"/>
    <s:mergeCell ref="A18951:E18951"/>
    <s:mergeCell ref="A2645:E2645"/>
    <s:mergeCell ref="A26169:E26169"/>
    <s:mergeCell ref="A24084:E24084"/>
    <s:mergeCell ref="A4431:E4431"/>
    <s:mergeCell ref="A2862:E2862"/>
    <s:mergeCell ref="A4947:E4947"/>
    <s:mergeCell ref="A11560:E11560"/>
    <s:mergeCell ref="A11566:E11566"/>
    <s:mergeCell ref="A19251:E19251"/>
    <s:mergeCell ref="A25870:E25870"/>
    <s:mergeCell ref="A25864:E25864"/>
    <s:mergeCell ref="A11866:E11866"/>
    <s:mergeCell ref="B19798:E19798"/>
    <s:mergeCell ref="B17713:E17713"/>
    <s:mergeCell ref="A9764:E9764"/>
    <s:mergeCell ref="A18978:E18978"/>
    <s:mergeCell ref="A16893:E16893"/>
    <s:mergeCell ref="A31197:E31197"/>
    <s:mergeCell ref="A18679:E18679"/>
    <s:mergeCell ref="A16982:E16982"/>
    <s:mergeCell ref="A20459:E20459"/>
    <s:mergeCell ref="A23795:E23795"/>
    <s:mergeCell ref="A18979:E18979"/>
    <s:mergeCell ref="A7706:E7706"/>
    <s:mergeCell ref="A24095:E24095"/>
    <s:mergeCell ref="A19279:E19279"/>
    <s:mergeCell ref="A17194:E17194"/>
    <s:mergeCell ref="A23790:E23790"/>
    <s:mergeCell ref="A26092:E26092"/>
    <s:mergeCell ref="A24395:E24395"/>
    <s:mergeCell ref="A22310:E22310"/>
    <s:mergeCell ref="A31513:E31513"/>
    <s:mergeCell ref="A26697:E26697"/>
    <s:mergeCell ref="A24096:E24096"/>
    <s:mergeCell ref="A24612:E24612"/>
    <s:mergeCell ref="A31225:E31225"/>
    <s:mergeCell ref="A31208:E31208"/>
    <s:mergeCell ref="B26639:E26639"/>
    <s:mergeCell ref="A24307:E24307"/>
    <s:mergeCell ref="A22610:E22610"/>
    <s:mergeCell ref="A29728:E29728"/>
    <s:mergeCell ref="A17210:E17210"/>
    <s:mergeCell ref="A17204:E17204"/>
    <s:mergeCell ref="A31508:E31508"/>
    <s:mergeCell ref="A29423:E29423"/>
    <s:mergeCell ref="A16905:E16905"/>
    <s:mergeCell ref="A30028:E30028"/>
    <s:mergeCell ref="A5148:E5148"/>
    <s:mergeCell ref="A5142:E5142"/>
    <s:mergeCell ref="A29723:E29723"/>
    <s:mergeCell ref="B13670:E13670"/>
    <s:mergeCell ref="A17205:E17205"/>
    <s:mergeCell ref="A12349:E12349"/>
    <s:mergeCell ref="A10264:E10264"/>
    <s:mergeCell ref="A5143:E5143"/>
    <s:mergeCell ref="A31236:E31236"/>
    <s:mergeCell ref="A31542:E31542"/>
    <s:mergeCell ref="A31536:E31536"/>
    <s:mergeCell ref="A29451:E29451"/>
    <s:mergeCell ref="A29751:E29751"/>
    <s:mergeCell ref="A5153:E5153"/>
    <s:mergeCell ref="A3068:E3068"/>
    <s:mergeCell ref="A5186:E5186"/>
    <s:mergeCell ref="A19490:E19490"/>
    <s:mergeCell ref="A17405:E17405"/>
    <s:mergeCell ref="A1099:E1099"/>
    <s:mergeCell ref="A3401:E3401"/>
    <s:mergeCell ref="A17705:E17705"/>
    <s:mergeCell ref="A5187:E5187"/>
    <s:mergeCell ref="A3096:E3096"/>
    <s:mergeCell ref="A19485:E19485"/>
    <s:mergeCell ref="A17400:E17400"/>
    <s:mergeCell ref="A3701:E3701"/>
    <s:mergeCell ref="B13920:E13920"/>
    <s:mergeCell ref="A18005:E18005"/>
    <s:mergeCell ref="A15920:E15920"/>
    <s:mergeCell ref="A3396:E3396"/>
    <s:mergeCell ref="A9998:E9998"/>
    <s:mergeCell ref="A8817:E8817"/>
    <s:mergeCell ref="A10514:E10514"/>
    <s:mergeCell ref="B19036:E19036"/>
    <s:mergeCell ref="A24818:E24818"/>
    <s:mergeCell ref="A10603:E10603"/>
    <s:mergeCell ref="A10298:E10298"/>
    <s:mergeCell ref="A8729:E8729"/>
    <s:mergeCell ref="A25118:E25118"/>
    <s:mergeCell ref="A10515:E10515"/>
    <s:mergeCell ref="A8818:E8818"/>
    <s:mergeCell ref="A15936:E15936"/>
    <s:mergeCell ref="A15930:E15930"/>
    <s:mergeCell ref="A13845:E13845"/>
    <s:mergeCell ref="A3412:E3412"/>
    <s:mergeCell ref="A1327:E1327"/>
    <s:mergeCell ref="A15631:E15631"/>
    <s:mergeCell ref="A25418:E25418"/>
    <s:mergeCell ref="A1416:E1416"/>
    <s:mergeCell ref="A3107:E3107"/>
    <s:mergeCell ref="A1022:E1022"/>
    <s:mergeCell ref="A16236:E16236"/>
    <s:mergeCell ref="A24546:E24546"/>
    <s:mergeCell ref="B1874:E1874"/>
    <s:mergeCell ref="A14145:E14145"/>
    <s:mergeCell ref="A1627:E1627"/>
    <s:mergeCell ref="A15931:E15931"/>
    <s:mergeCell ref="A23149:E23149"/>
    <s:mergeCell ref="A1927:E1927"/>
    <s:mergeCell ref="A16231:E16231"/>
    <s:mergeCell ref="B1869:E1869"/>
    <s:mergeCell ref="A8740:E8740"/>
    <s:mergeCell ref="A23061:E23061"/>
    <s:mergeCell ref="A30268:E30268"/>
    <s:mergeCell ref="A30262:E30262"/>
    <s:mergeCell ref="A28177:E28177"/>
    <s:mergeCell ref="A17744:E17744"/>
    <s:mergeCell ref="A15659:E15659"/>
    <s:mergeCell ref="A6955:E6955"/>
    <s:mergeCell ref="A30479:E30479"/>
    <s:mergeCell ref="A22860:E22860"/>
    <s:mergeCell ref="A15959:E15959"/>
    <s:mergeCell ref="A23077:E23077"/>
    <s:mergeCell ref="A30779:E30779"/>
    <s:mergeCell ref="A8468:E8468"/>
    <s:mergeCell ref="A6771:E6771"/>
    <s:mergeCell ref="A22772:E22772"/>
    <s:mergeCell ref="A21591:E21591"/>
    <s:mergeCell ref="A16259:E16259"/>
    <s:mergeCell ref="A23377:E23377"/>
    <s:mergeCell ref="A21286:E21286"/>
    <s:mergeCell ref="A8768:E8768"/>
    <s:mergeCell ref="B23319:E23319"/>
    <s:mergeCell ref="A23072:E23072"/>
    <s:mergeCell ref="A13890:E13890"/>
    <s:mergeCell ref="A1366:E1366"/>
    <s:mergeCell ref="A21287:E21287"/>
    <s:mergeCell ref="A14190:E14190"/>
    <s:mergeCell ref="A15881:E15881"/>
    <s:mergeCell ref="A12099:E12099"/>
    <s:mergeCell ref="A21302:E21302"/>
    <s:mergeCell ref="A19217:E19217"/>
    <s:mergeCell ref="A6699:E6699"/>
    <s:mergeCell ref="A13885:E13885"/>
    <s:mergeCell ref="A30790:E30790"/>
    <s:mergeCell ref="A28705:E28705"/>
    <s:mergeCell ref="A4697:E4697"/>
    <s:mergeCell ref="B30732:E30732"/>
    <s:mergeCell ref="A19517:E19517"/>
    <s:mergeCell ref="A6999:E6999"/>
    <s:mergeCell ref="A14185:E14185"/>
    <s:mergeCell ref="A14701:E14701"/>
    <s:mergeCell ref="A21297:E21297"/>
    <s:mergeCell ref="B5244:E5244"/>
    <s:mergeCell ref="A19212:E19212"/>
    <s:mergeCell ref="A4997:E4997"/>
    <s:mergeCell ref="A19817:E19817"/>
    <s:mergeCell ref="A7299:E7299"/>
    <s:mergeCell ref="A5214:E5214"/>
    <s:mergeCell ref="A3517:E3517"/>
    <s:mergeCell ref="A21603:E21603"/>
    <s:mergeCell ref="A19512:E19512"/>
    <s:mergeCell ref="B20364:E20364"/>
    <s:mergeCell ref="A12415:E12415"/>
    <s:mergeCell ref="A10330:E10330"/>
    <s:mergeCell ref="A21031:E21031"/>
    <s:mergeCell ref="A12327:E12327"/>
    <s:mergeCell ref="A19545:E19545"/>
    <s:mergeCell ref="A17443:E17443"/>
    <s:mergeCell ref="B11177:E11177"/>
    <s:mergeCell ref="A21331:E21331"/>
    <s:mergeCell ref="A12627:E12627"/>
    <s:mergeCell ref="A19240:E19240"/>
    <s:mergeCell ref="A26447:E26447"/>
    <s:mergeCell ref="A21631:E21631"/>
    <s:mergeCell ref="A19546:E19546"/>
    <s:mergeCell ref="B19787:E19787"/>
    <s:mergeCell ref="A26658:E26658"/>
    <s:mergeCell ref="A24961:E24961"/>
    <s:mergeCell ref="A10358:E10358"/>
    <s:mergeCell ref="A26747:E26747"/>
    <s:mergeCell ref="A24662:E24662"/>
    <s:mergeCell ref="A5525:E5525"/>
    <s:mergeCell ref="A29049:E29049"/>
    <s:mergeCell ref="A26964:E26964"/>
    <s:mergeCell ref="A26958:E26958"/>
    <s:mergeCell ref="A10658:E10658"/>
    <s:mergeCell ref="A28744:E28744"/>
    <s:mergeCell ref="A26659:E26659"/>
    <s:mergeCell ref="A24962:E24962"/>
    <s:mergeCell ref="A3167:E3167"/>
    <s:mergeCell ref="A29989:E29989"/>
    <s:mergeCell ref="A19556:E19556"/>
    <s:mergeCell ref="A17471:E17471"/>
    <s:mergeCell ref="A4953:E4953"/>
    <s:mergeCell ref="A26959:E26959"/>
    <s:mergeCell ref="A3467:E3467"/>
    <s:mergeCell ref="A17771:E17771"/>
    <s:mergeCell ref="A3168:E3168"/>
    <s:mergeCell ref="A24889:E24889"/>
    <s:mergeCell ref="A3162:E3162"/>
    <s:mergeCell ref="B11100:E11100"/>
    <s:mergeCell ref="A19557:E19557"/>
    <s:mergeCell ref="A10369:E10369"/>
    <s:mergeCell ref="A18071:E18071"/>
    <s:mergeCell ref="A25189:E25189"/>
    <s:mergeCell ref="A24884:E24884"/>
    <s:mergeCell ref="A25489:E25489"/>
    <s:mergeCell ref="A603:E603"/>
    <s:mergeCell ref="A25184:E25184"/>
    <s:mergeCell ref="A12822:E12822"/>
    <s:mergeCell ref="A2389:E2389"/>
    <s:mergeCell ref="A304:E304"/>
    <s:mergeCell ref="A5725:E5725"/>
    <s:mergeCell ref="A7505:E7505"/>
    <s:mergeCell ref="A5420:E5420"/>
    <s:mergeCell ref="A13122:E13122"/>
    <s:mergeCell ref="B1940:E1940"/>
    <s:mergeCell ref="A6025:E6025"/>
    <s:mergeCell ref="A3940:E3940"/>
    <s:mergeCell ref="A5720:E5720"/>
    <s:mergeCell ref="A24912:E24912"/>
    <s:mergeCell ref="B2240:E2240"/>
    <s:mergeCell ref="A4240:E4240"/>
    <s:mergeCell ref="B18241:E18241"/>
    <s:mergeCell ref="A6020:E6020"/>
    <s:mergeCell ref="A3935:E3935"/>
    <s:mergeCell ref="A30034:E30034"/>
    <s:mergeCell ref="A25212:E25212"/>
    <s:mergeCell ref="A30334:E30334"/>
    <s:mergeCell ref="A30328:E30328"/>
    <s:mergeCell ref="A5448:E5448"/>
    <s:mergeCell ref="A16330:E16330"/>
    <s:mergeCell ref="A20268:E20268"/>
    <s:mergeCell ref="A6053:E6053"/>
    <s:mergeCell ref="A3968:E3968"/>
    <s:mergeCell ref="A3951:E3951"/>
    <s:mergeCell ref="A19963:E19963"/>
    <s:mergeCell ref="A5748:E5748"/>
    <s:mergeCell ref="A30845:E30845"/>
    <s:mergeCell ref="A12866:E12866"/>
    <s:mergeCell ref="A20568:E20568"/>
    <s:mergeCell ref="A4251:E4251"/>
    <s:mergeCell ref="A10864:E10864"/>
    <s:mergeCell ref="A26865:E26865"/>
    <s:mergeCell ref="A13166:E13166"/>
    <s:mergeCell ref="A11081:E11081"/>
    <s:mergeCell ref="A12867:E12867"/>
    <s:mergeCell ref="A11170:E11170"/>
    <s:mergeCell ref="A12861:E12861"/>
    <s:mergeCell ref="A18282:E18282"/>
    <s:mergeCell ref="A3679:E3679"/>
    <s:mergeCell ref="A11381:E11381"/>
    <s:mergeCell ref="A25685:E25685"/>
    <s:mergeCell ref="B30803:E30803"/>
    <s:mergeCell ref="A3374:E3374"/>
    <s:mergeCell ref="A20279:E20279"/>
    <s:mergeCell ref="A16497:E16497"/>
    <s:mergeCell ref="A3979:E3979"/>
    <s:mergeCell ref="A18283:E18283"/>
    <s:mergeCell ref="A3674:E3674"/>
    <s:mergeCell ref="A18494:E18494"/>
    <s:mergeCell ref="A4279:E4279"/>
    <s:mergeCell ref="A2194:E2194"/>
    <s:mergeCell ref="A18583:E18583"/>
    <s:mergeCell ref="A9306:E9306"/>
    <s:mergeCell ref="A1889:E1889"/>
    <s:mergeCell ref="A11092:E11092"/>
    <s:mergeCell ref="A18794:E18794"/>
    <s:mergeCell ref="A9612:E9612"/>
    <s:mergeCell ref="A9606:E9606"/>
    <s:mergeCell ref="A30529:E30529"/>
    <s:mergeCell ref="A11392:E11392"/>
    <s:mergeCell ref="A9307:E9307"/>
    <s:mergeCell ref="A119:E119"/>
    <s:mergeCell ref="A30829:E30829"/>
    <s:mergeCell ref="A9607:E9607"/>
    <s:mergeCell ref="A4201:E4201"/>
    <s:mergeCell ref="A2116:E2116"/>
    <s:mergeCell ref="A10820:E10820"/>
    <s:mergeCell ref="A31129:E31129"/>
    <s:mergeCell ref="A2205:E2205"/>
    <s:mergeCell ref="A25729:E25729"/>
    <s:mergeCell ref="A23638:E23638"/>
    <s:mergeCell ref="A11120:E11120"/>
    <s:mergeCell ref="A2416:E2416"/>
    <s:mergeCell ref="A719:E719"/>
    <s:mergeCell ref="B661:E661"/>
    <s:mergeCell ref="A7532:E7532"/>
    <s:mergeCell ref="A23938:E23938"/>
    <s:mergeCell ref="A11420:E11420"/>
    <s:mergeCell ref="A9335:E9335"/>
    <s:mergeCell ref="A31056:E31056"/>
    <s:mergeCell ref="A147:E147"/>
    <s:mergeCell ref="A18233:E18233"/>
    <s:mergeCell ref="A16536:E16536"/>
    <s:mergeCell ref="A14451:E14451"/>
    <s:mergeCell ref="A9635:E9635"/>
    <s:mergeCell ref="A31356:E31356"/>
    <s:mergeCell ref="A29271:E29271"/>
    <s:mergeCell ref="A16753:E16753"/>
    <s:mergeCell ref="A31057:E31057"/>
    <s:mergeCell ref="A31051:E31051"/>
    <s:mergeCell ref="A18533:E18533"/>
    <s:mergeCell ref="A14751:E14751"/>
    <s:mergeCell ref="A21869:E21869"/>
    <s:mergeCell ref="A17053:E17053"/>
    <s:mergeCell ref="A21564:E21564"/>
    <s:mergeCell ref="A7865:E7865"/>
    <s:mergeCell ref="A23866:E23866"/>
    <s:mergeCell ref="A22169:E22169"/>
    <s:mergeCell ref="A9651:E9651"/>
    <s:mergeCell ref="A7566:E7566"/>
    <s:mergeCell ref="A7560:E7560"/>
    <s:mergeCell ref="B889:E889"/>
    <s:mergeCell ref="A21864:E21864"/>
    <s:mergeCell ref="A9346:E9346"/>
    <s:mergeCell ref="A28982:E28982"/>
    <s:mergeCell ref="A14767:E14767"/>
    <s:mergeCell ref="A12682:E12682"/>
    <s:mergeCell ref="A24166:E24166"/>
    <s:mergeCell ref="A20384:E20384"/>
    <s:mergeCell ref="A158:E158"/>
    <s:mergeCell ref="A14978:E14978"/>
    <s:mergeCell ref="A12893:E12893"/>
    <s:mergeCell ref="A22164:E22164"/>
    <s:mergeCell ref="A7561:E7561"/>
    <s:mergeCell ref="A29282:E29282"/>
    <s:mergeCell ref="A14679:E14679"/>
    <s:mergeCell ref="A12982:E12982"/>
    <s:mergeCell ref="A22381:E22381"/>
    <s:mergeCell ref="A464:E464"/>
    <s:mergeCell ref="A24466:E24466"/>
    <s:mergeCell ref="A2155:E2155"/>
    <s:mergeCell ref="A31079:E31079"/>
    <s:mergeCell ref="B15525:E15525"/>
    <s:mergeCell ref="A5491:E5491"/>
    <s:mergeCell ref="A13193:E13193"/>
    <s:mergeCell ref="A29582:E29582"/>
    <s:mergeCell ref="A27497:E27497"/>
    <s:mergeCell ref="A14979:E14979"/>
    <s:mergeCell ref="A13282:E13282"/>
    <s:mergeCell ref="A12888:E12888"/>
    <s:mergeCell ref="A29283:E29283"/>
    <s:mergeCell ref="A5791:E5791"/>
    <s:mergeCell ref="A22197:E22197"/>
    <s:mergeCell ref="B15526:E15526"/>
    <s:mergeCell ref="A27797:E27797"/>
    <s:mergeCell ref="A5486:E5486"/>
    <s:mergeCell ref="A29010:E29010"/>
    <s:mergeCell ref="A7788:E7788"/>
    <s:mergeCell ref="A6091:E6091"/>
    <s:mergeCell ref="A4006:E4006"/>
    <s:mergeCell ref="B20642:E20642"/>
    <s:mergeCell ref="A5792:E5792"/>
    <s:mergeCell ref="A5786:E5786"/>
    <s:mergeCell ref="A29316:E29316"/>
    <s:mergeCell ref="A29310:E29310"/>
    <s:mergeCell ref="B6638:E6638"/>
    <s:mergeCell ref="A27225:E27225"/>
    <s:mergeCell ref="A8088:E8088"/>
    <s:mergeCell ref="A6003:E6003"/>
    <s:mergeCell ref="A29005:E29005"/>
    <s:mergeCell ref="B6333:E6333"/>
    <s:mergeCell ref="A21908:E21908"/>
    <s:mergeCell ref="A19823:E19823"/>
    <s:mergeCell ref="A27525:E27525"/>
    <s:mergeCell ref="A29311:E29311"/>
    <s:mergeCell ref="A5819:E5819"/>
    <s:mergeCell ref="A20123:E20123"/>
    <s:mergeCell ref="A20334:E20334"/>
    <s:mergeCell ref="A20423:E20423"/>
    <s:mergeCell ref="A18338:E18338"/>
    <s:mergeCell ref="A27541:E27541"/>
    <s:mergeCell ref="A12938:E12938"/>
    <s:mergeCell ref="A12932:E12932"/>
    <s:mergeCell ref="A27236:E27236"/>
    <s:mergeCell ref="A27841:E27841"/>
    <s:mergeCell ref="A25756:E25756"/>
    <s:mergeCell ref="A13232:E13232"/>
    <s:mergeCell ref="A11147:E11147"/>
    <s:mergeCell ref="A20350:E20350"/>
    <s:mergeCell ref="A27536:E27536"/>
    <s:mergeCell ref="A25451:E25451"/>
    <s:mergeCell ref="A12933:E12933"/>
    <s:mergeCell ref="A18348:E18348"/>
    <s:mergeCell ref="B11694:E11694"/>
    <s:mergeCell ref="B28083:E28083"/>
    <s:mergeCell ref="A18049:E18049"/>
    <s:mergeCell ref="A25751:E25751"/>
    <s:mergeCell ref="A18654:E18654"/>
    <s:mergeCell ref="A16569:E16569"/>
    <s:mergeCell ref="A20345:E20345"/>
    <s:mergeCell ref="A6292:E6292"/>
    <s:mergeCell ref="A6286:E6286"/>
    <s:mergeCell ref="A18349:E18349"/>
    <s:mergeCell ref="A6592:E6592"/>
    <s:mergeCell ref="A18649:E18649"/>
    <s:mergeCell ref="A1186:E1186"/>
    <s:mergeCell ref="A6287:E6287"/>
    <s:mergeCell ref="A6587:E6587"/>
    <s:mergeCell ref="A15790:E15790"/>
    <s:mergeCell ref="A13705:E13705"/>
    <s:mergeCell ref="A13699:E13699"/>
    <s:mergeCell ref="A1181:E1181"/>
    <s:mergeCell ref="A14005:E14005"/>
    <s:mergeCell ref="A25495:E25495"/>
    <s:mergeCell ref="A24009:E24009"/>
    <s:mergeCell ref="A25795:E25795"/>
    <s:mergeCell ref="A23710:E23710"/>
    <s:mergeCell ref="A24010:E24010"/>
    <s:mergeCell ref="A18849:E18849"/>
    <s:mergeCell ref="A4845:E4845"/>
    <s:mergeCell ref="A22931:E22931"/>
    <s:mergeCell ref="A20846:E20846"/>
    <s:mergeCell ref="A19149:E19149"/>
    <s:mergeCell ref="A4546:E4546"/>
    <s:mergeCell ref="A8322:E8322"/>
    <s:mergeCell ref="A6237:E6237"/>
    <s:mergeCell ref="A11658:E11658"/>
    <s:mergeCell ref="A21146:E21146"/>
    <s:mergeCell ref="A26567:E26567"/>
    <s:mergeCell ref="A13655:E13655"/>
    <s:mergeCell ref="A11958:E11958"/>
    <s:mergeCell ref="A9873:E9873"/>
    <s:mergeCell ref="A27959:E27959"/>
    <s:mergeCell ref="A13744:E13744"/>
    <s:mergeCell ref="A11659:E11659"/>
    <s:mergeCell ref="A21446:E21446"/>
    <s:mergeCell ref="A24782:E24782"/>
    <s:mergeCell ref="A4556:E4556"/>
    <s:mergeCell ref="A2471:E2471"/>
    <s:mergeCell ref="A13955:E13955"/>
    <s:mergeCell ref="A4773:E4773"/>
    <s:mergeCell ref="A11959:E11959"/>
    <s:mergeCell ref="A19071:E19071"/>
    <s:mergeCell ref="A4468:E4468"/>
    <s:mergeCell ref="A2771:E2771"/>
    <s:mergeCell ref="A12170:E12170"/>
    <s:mergeCell ref="A5073:E5073"/>
    <s:mergeCell ref="A19377:E19377"/>
    <s:mergeCell ref="B5015:E5015"/>
    <s:mergeCell ref="A17286:E17286"/>
    <s:mergeCell ref="A25990:E25990"/>
    <s:mergeCell ref="A4768:E4768"/>
    <s:mergeCell ref="A3071:E3071"/>
    <s:mergeCell ref="A10189:E10189"/>
    <s:mergeCell ref="A9884:E9884"/>
    <s:mergeCell ref="A26290:E26290"/>
    <s:mergeCell ref="A17586:E17586"/>
    <s:mergeCell ref="A5068:E5068"/>
    <s:mergeCell ref="A2983:E2983"/>
    <s:mergeCell ref="A8404:E8404"/>
    <s:mergeCell ref="A10184:E10184"/>
    <s:mergeCell ref="A31623:E31623"/>
    <s:mergeCell ref="A19105:E19105"/>
    <s:mergeCell ref="A9885:E9885"/>
    <s:mergeCell ref="A19099:E19099"/>
    <s:mergeCell ref="A18800:E18800"/>
    <s:mergeCell ref="A2999:E2999"/>
    <s:mergeCell ref="A19405:E19405"/>
    <s:mergeCell ref="A2993:E2993"/>
    <s:mergeCell ref="A908:E908"/>
    <s:mergeCell ref="A26517:E26517"/>
    <s:mergeCell ref="A23916:E23916"/>
    <s:mergeCell ref="A24432:E24432"/>
    <s:mergeCell ref="A31618:E31618"/>
    <s:mergeCell ref="A24521:E24521"/>
    <s:mergeCell ref="A3299:E3299"/>
    <s:mergeCell ref="A9918:E9918"/>
    <s:mergeCell ref="A24216:E24216"/>
    <s:mergeCell ref="A24732:E24732"/>
    <s:mergeCell ref="A26518:E26518"/>
    <s:mergeCell ref="A22736:E22736"/>
    <s:mergeCell ref="A24427:E24427"/>
    <s:mergeCell ref="A10212:E10212"/>
    <s:mergeCell ref="B16059:E16059"/>
    <s:mergeCell ref="A15245:E15245"/>
    <s:mergeCell ref="A17330:E17330"/>
    <s:mergeCell ref="A22431:E22431"/>
    <s:mergeCell ref="A24516:E24516"/>
    <s:mergeCell ref="A25032:E25032"/>
    <s:mergeCell ref="A31634:E31634"/>
    <s:mergeCell ref="A26818:E26818"/>
    <s:mergeCell ref="A24733:E24733"/>
    <s:mergeCell ref="A1241:E1241"/>
    <s:mergeCell ref="A31329:E31329"/>
    <s:mergeCell ref="A30148:E30148"/>
    <s:mergeCell ref="A22731:E22731"/>
    <s:mergeCell ref="A17331:E17331"/>
    <s:mergeCell ref="A17325:E17325"/>
    <s:mergeCell ref="A15240:E15240"/>
    <s:mergeCell ref="A2722:E2722"/>
    <s:mergeCell ref="A8143:E8143"/>
    <s:mergeCell ref="A15845:E15845"/>
    <s:mergeCell ref="A30149:E30149"/>
    <s:mergeCell ref="A8354:E8354"/>
    <s:mergeCell ref="A3022:E3022"/>
    <s:mergeCell ref="A24743:E24743"/>
    <s:mergeCell ref="A22658:E22658"/>
    <s:mergeCell ref="A10140:E10140"/>
    <s:mergeCell ref="A6358:E6358"/>
    <s:mergeCell ref="A8138:E8138"/>
    <s:mergeCell ref="A8654:E8654"/>
    <s:mergeCell ref="A31662:E31662"/>
    <s:mergeCell ref="A22958:E22958"/>
    <s:mergeCell ref="A29577:E29577"/>
    <s:mergeCell ref="A8355:E8355"/>
    <s:mergeCell ref="A6658:E6658"/>
    <s:mergeCell ref="A15861:E15861"/>
    <s:mergeCell ref="A1252:E1252"/>
    <s:mergeCell ref="A8438:E8438"/>
    <s:mergeCell ref="A6353:E6353"/>
    <s:mergeCell ref="A15556:E15556"/>
    <s:mergeCell ref="A13471:E13471"/>
    <s:mergeCell ref="A29877:E29877"/>
    <s:mergeCell ref="B8896:E8896"/>
    <s:mergeCell ref="A14076:E14076"/>
    <s:mergeCell ref="A13771:E13771"/>
    <s:mergeCell ref="A30177:E30177"/>
    <s:mergeCell ref="A1253:E1253"/>
    <s:mergeCell ref="A22686:E22686"/>
    <s:mergeCell ref="A6369:E6369"/>
    <s:mergeCell ref="A14071:E14071"/>
    <s:mergeCell ref="A11986:E11986"/>
    <s:mergeCell ref="A15284:E15284"/>
    <s:mergeCell ref="A22986:E22986"/>
    <s:mergeCell ref="B30918:E30918"/>
    <s:mergeCell ref="B28833:E28833"/>
    <s:mergeCell ref="A6669:E6669"/>
    <s:mergeCell ref="A30193:E30193"/>
    <s:mergeCell ref="A29799:E29799"/>
    <s:mergeCell ref="A28102:E28102"/>
    <s:mergeCell ref="A15584:E15584"/>
    <s:mergeCell ref="A29888:E29888"/>
    <s:mergeCell ref="A27803:E27803"/>
    <s:mergeCell ref="A20700:E20700"/>
    <s:mergeCell ref="A18615:E18615"/>
    <s:mergeCell ref="A30099:E30099"/>
    <s:mergeCell ref="A20917:E20917"/>
    <s:mergeCell ref="A28103:E28103"/>
    <s:mergeCell ref="A20612:E20612"/>
    <s:mergeCell ref="A18915:E18915"/>
    <s:mergeCell ref="A21217:E21217"/>
    <s:mergeCell ref="B21159:E21159"/>
    <s:mergeCell ref="A20912:E20912"/>
    <s:mergeCell ref="A19215:E19215"/>
    <s:mergeCell ref="A28030:E28030"/>
    <s:mergeCell ref="A26333:E26333"/>
    <s:mergeCell ref="A13815:E13815"/>
    <s:mergeCell ref="A21517:E21517"/>
    <s:mergeCell ref="A13510:E13510"/>
    <s:mergeCell ref="A21212:E21212"/>
    <s:mergeCell ref="A19127:E19127"/>
    <s:mergeCell ref="A28330:E28330"/>
    <s:mergeCell ref="A26633:E26633"/>
    <s:mergeCell ref="A14271:E14271"/>
    <s:mergeCell ref="A1753:E1753"/>
    <s:mergeCell ref="A26334:E26334"/>
    <s:mergeCell ref="A13810:E13810"/>
    <s:mergeCell ref="A1448:E1448"/>
    <s:mergeCell ref="A28630:E28630"/>
    <s:mergeCell ref="A26029:E26029"/>
    <s:mergeCell ref="A14571:E14571"/>
    <s:mergeCell ref="A1659:E1659"/>
    <s:mergeCell ref="B26875:E26875"/>
    <s:mergeCell ref="A8866:E8866"/>
    <s:mergeCell ref="A8561:E8561"/>
    <s:mergeCell ref="A9166:E9166"/>
    <s:mergeCell ref="A23470:E23470"/>
    <s:mergeCell ref="B3601:E3601"/>
    <s:mergeCell ref="A9466:E9466"/>
    <s:mergeCell ref="A7381:E7381"/>
    <s:mergeCell ref="A18871:E18871"/>
    <s:mergeCell ref="A23770:E23770"/>
    <s:mergeCell ref="A31689:E31689"/>
    <s:mergeCell ref="A19171:E19171"/>
    <s:mergeCell ref="A21412:E21412"/>
    <s:mergeCell ref="A31384:E31384"/>
    <s:mergeCell ref="A7109:E7109"/>
    <s:mergeCell ref="A16007:E16007"/>
    <s:mergeCell ref="A14310:E14310"/>
    <s:mergeCell ref="A12225:E12225"/>
    <s:mergeCell ref="A1792:E1792"/>
    <s:mergeCell ref="A7409:E7409"/>
    <s:mergeCell ref="A7392:E7392"/>
    <s:mergeCell ref="A14521:E14521"/>
    <s:mergeCell ref="A28825:E28825"/>
    <s:mergeCell ref="B6153:E6153"/>
    <s:mergeCell ref="A16307:E16307"/>
    <s:mergeCell ref="A12525:E12525"/>
    <s:mergeCell ref="A14305:E14305"/>
    <s:mergeCell ref="A12220:E12220"/>
    <s:mergeCell ref="A29125:E29125"/>
    <s:mergeCell ref="A5123:E5123"/>
    <s:mergeCell ref="A14522:E14522"/>
    <s:mergeCell ref="A19943:E19943"/>
    <s:mergeCell ref="A28826:E28826"/>
    <s:mergeCell ref="A7425:E7425"/>
    <s:mergeCell ref="A5334:E5334"/>
    <s:mergeCell ref="A19638:E19638"/>
    <s:mergeCell ref="A7120:E7120"/>
    <s:mergeCell ref="A5423:E5423"/>
    <s:mergeCell ref="A3338:E3338"/>
    <s:mergeCell ref="A14822:E14822"/>
    <s:mergeCell ref="A20243:E20243"/>
    <s:mergeCell ref="A12236:E12236"/>
    <s:mergeCell ref="A19938:E19938"/>
    <s:mergeCell ref="A7420:E7420"/>
    <s:mergeCell ref="A5335:E5335"/>
    <s:mergeCell ref="A28836:E28836"/>
    <s:mergeCell ref="A26751:E26751"/>
    <s:mergeCell ref="A12536:E12536"/>
    <s:mergeCell ref="A20238:E20238"/>
    <s:mergeCell ref="B27603:E27603"/>
    <s:mergeCell ref="A14838:E14838"/>
    <s:mergeCell ref="A12753:E12753"/>
    <s:mergeCell ref="A11056:E11056"/>
    <s:mergeCell ref="A21451:E21451"/>
    <s:mergeCell ref="A12747:E12747"/>
    <s:mergeCell ref="A19366:E19366"/>
    <s:mergeCell ref="B27298:E27298"/>
    <s:mergeCell ref="A3565:E3565"/>
    <s:mergeCell ref="A17869:E17869"/>
    <s:mergeCell ref="A5345:E5345"/>
    <s:mergeCell ref="A3260:E3260"/>
    <s:mergeCell ref="A19666:E19666"/>
    <s:mergeCell ref="B27598:E27598"/>
    <s:mergeCell ref="A1780:E1780"/>
    <s:mergeCell ref="A18169:E18169"/>
    <s:mergeCell ref="A3560:E3560"/>
    <s:mergeCell ref="A27084:E27084"/>
    <s:mergeCell ref="A26779:E26779"/>
    <s:mergeCell ref="A25082:E25082"/>
    <s:mergeCell ref="A27384:E27384"/>
    <s:mergeCell ref="A29170:E29170"/>
    <s:mergeCell ref="A27085:E27085"/>
    <s:mergeCell ref="A17897:E17897"/>
    <s:mergeCell ref="A3288:E3288"/>
    <s:mergeCell ref="A19677:E19677"/>
    <s:mergeCell ref="A17592:E17592"/>
    <s:mergeCell ref="B11825:E11825"/>
    <s:mergeCell ref="A1791:E1791"/>
    <s:mergeCell ref="A18197:E18197"/>
    <s:mergeCell ref="A5679:E5679"/>
    <s:mergeCell ref="A3588:E3588"/>
    <s:mergeCell ref="B11526:E11526"/>
    <s:mergeCell ref="A10706:E10706"/>
    <s:mergeCell ref="A17892:E17892"/>
    <s:mergeCell ref="A25010:E25010"/>
    <s:mergeCell ref="A10795:E10795"/>
    <s:mergeCell ref="A2091:E2091"/>
    <s:mergeCell ref="A8704:E8704"/>
    <s:mergeCell ref="A11006:E11006"/>
    <s:mergeCell ref="A8921:E8921"/>
    <s:mergeCell ref="A18192:E18192"/>
    <s:mergeCell ref="A25310:E25310"/>
    <s:mergeCell ref="A10707:E10707"/>
    <s:mergeCell ref="A9010:E9010"/>
    <s:mergeCell ref="A10701:E10701"/>
    <s:mergeCell ref="A16122:E16122"/>
    <s:mergeCell ref="A14037:E14037"/>
    <s:mergeCell ref="A1519:E1519"/>
    <s:mergeCell ref="A15823:E15823"/>
    <s:mergeCell ref="A25610:E25610"/>
    <s:mergeCell ref="A23525:E23525"/>
    <s:mergeCell ref="A18119:E18119"/>
    <s:mergeCell ref="A1819:E1819"/>
    <s:mergeCell ref="A16123:E16123"/>
    <s:mergeCell ref="A16117:E16117"/>
    <s:mergeCell ref="A1514:E1514"/>
    <s:mergeCell ref="A8632:E8632"/>
    <s:mergeCell ref="A18419:E18419"/>
    <s:mergeCell ref="A15818:E15818"/>
    <s:mergeCell ref="A16334:E16334"/>
    <s:mergeCell ref="A25038:E25038"/>
    <s:mergeCell ref="A30638:E30638"/>
    <s:mergeCell ref="A9237:E9237"/>
    <s:mergeCell ref="A18120:E18120"/>
    <s:mergeCell ref="A16423:E16423"/>
    <s:mergeCell ref="A23541:E23541"/>
    <s:mergeCell ref="A23535:E23535"/>
    <s:mergeCell ref="A21450:E21450"/>
    <s:mergeCell ref="A8932:E8932"/>
    <s:mergeCell ref="A25338:E25338"/>
    <s:mergeCell ref="A23253:E23253"/>
    <s:mergeCell ref="A23236:E23236"/>
    <s:mergeCell ref="A9537:E9537"/>
    <s:mergeCell ref="A7452:E7452"/>
    <s:mergeCell ref="A23841:E23841"/>
    <s:mergeCell ref="A21756:E21756"/>
    <s:mergeCell ref="A30454:E30454"/>
    <s:mergeCell ref="A21750:E21750"/>
    <s:mergeCell ref="A28369:E28369"/>
    <s:mergeCell ref="A9232:E9232"/>
    <s:mergeCell ref="A7147:E7147"/>
    <s:mergeCell ref="B31485:E31485"/>
    <s:mergeCell ref="A23536:E23536"/>
    <s:mergeCell ref="A7447:E7447"/>
    <s:mergeCell ref="A30971:E30971"/>
    <s:mergeCell ref="B21992:E21992"/>
    <s:mergeCell ref="A22964:E22964"/>
    <s:mergeCell ref="B292:E292"/>
    <s:mergeCell ref="A23569:E23569"/>
    <s:mergeCell ref="A23264:E23264"/>
    <s:mergeCell ref="A23869:E23869"/>
    <s:mergeCell ref="A21784:E21784"/>
    <s:mergeCell ref="A28896:E28896"/>
    <s:mergeCell ref="A23564:E23564"/>
    <s:mergeCell ref="B892:E892"/>
    <s:mergeCell ref="A21479:E21479"/>
    <s:mergeCell ref="A30682:E30682"/>
    <s:mergeCell ref="A14376:E14376"/>
    <s:mergeCell ref="A29196:E29196"/>
    <s:mergeCell ref="A21779:E21779"/>
    <s:mergeCell ref="A28897:E28897"/>
    <s:mergeCell ref="A27200:E27200"/>
    <s:mergeCell ref="A28891:E28891"/>
    <s:mergeCell ref="A16373:E16373"/>
    <s:mergeCell ref="A14288:E14288"/>
    <s:mergeCell ref="A9732:E9732"/>
    <s:mergeCell ref="A21795:E21795"/>
    <s:mergeCell ref="A21490:E21490"/>
    <s:mergeCell ref="A10032:E10032"/>
    <s:mergeCell ref="A9733:E9733"/>
    <s:mergeCell ref="A9727:E9727"/>
    <s:mergeCell ref="A9428:E9428"/>
    <s:mergeCell ref="A2325:E2325"/>
    <s:mergeCell ref="A240:E240"/>
    <s:mergeCell ref="B13066:E13066"/>
    <s:mergeCell ref="A2542:E2542"/>
    <s:mergeCell ref="A845:E845"/>
    <s:mergeCell ref="B14846:E14846"/>
    <s:mergeCell ref="A16846:E16846"/>
    <s:mergeCell ref="A7658:E7658"/>
    <s:mergeCell ref="A2842:E2842"/>
    <s:mergeCell ref="A26850:E26850"/>
    <s:mergeCell ref="A17146:E17146"/>
    <s:mergeCell ref="A16873:E16873"/>
    <s:mergeCell ref="A28936:E28936"/>
    <s:mergeCell ref="B6264:E6264"/>
    <s:mergeCell ref="A26845:E26845"/>
    <s:mergeCell ref="A8258:E8258"/>
    <s:mergeCell ref="A6173:E6173"/>
    <s:mergeCell ref="A29236:E29236"/>
    <s:mergeCell ref="A23992:E23992"/>
    <s:mergeCell ref="A7686:E7686"/>
    <s:mergeCell ref="A768:E768"/>
    <s:mergeCell ref="A24292:E24292"/>
    <s:mergeCell ref="B1620:E1620"/>
    <s:mergeCell ref="A24286:E24286"/>
    <s:mergeCell ref="A22201:E22201"/>
    <s:mergeCell ref="A7986:E7986"/>
    <s:mergeCell ref="A23987:E23987"/>
    <s:mergeCell ref="A22290:E22290"/>
    <s:mergeCell ref="A29408:E29408"/>
    <s:mergeCell ref="A7681:E7681"/>
    <s:mergeCell ref="A24592:E24592"/>
    <s:mergeCell ref="A22507:E22507"/>
    <s:mergeCell ref="A584:E584"/>
    <s:mergeCell ref="A29103:E29103"/>
    <s:mergeCell ref="A15404:E15404"/>
    <s:mergeCell ref="B1615:E1615"/>
    <s:mergeCell ref="A22590:E22590"/>
    <s:mergeCell ref="A795:E795"/>
    <s:mergeCell ref="A29708:E29708"/>
    <s:mergeCell ref="A27623:E27623"/>
    <s:mergeCell ref="A15105:E15105"/>
    <s:mergeCell ref="A15099:E15099"/>
    <s:mergeCell ref="A496:E496"/>
    <s:mergeCell ref="A29403:E29403"/>
    <s:mergeCell ref="A13619:E13619"/>
    <s:mergeCell ref="A20221:E20221"/>
    <s:mergeCell ref="A31705:E31705"/>
    <s:mergeCell ref="A27923:E27923"/>
    <s:mergeCell ref="A7697:E7697"/>
    <s:mergeCell ref="A5612:E5612"/>
    <s:mergeCell ref="A13314:E13314"/>
    <s:mergeCell ref="A796:E796"/>
    <s:mergeCell ref="A29703:E29703"/>
    <s:mergeCell ref="A27618:E27618"/>
    <s:mergeCell ref="A15100:E15100"/>
    <s:mergeCell ref="A20521:E20521"/>
    <s:mergeCell ref="A29920:E29920"/>
    <s:mergeCell ref="B13861:E13861"/>
    <s:mergeCell ref="A5912:E5912"/>
    <s:mergeCell ref="A1096:E1096"/>
    <s:mergeCell ref="A4432:E4432"/>
    <s:mergeCell ref="A6123:E6123"/>
    <s:mergeCell ref="A6212:E6212"/>
    <s:mergeCell ref="A4127:E4127"/>
    <s:mergeCell ref="A13330:E13330"/>
    <s:mergeCell ref="A29736:E29736"/>
    <s:mergeCell ref="A13025:E13025"/>
    <s:mergeCell ref="A13630:E13630"/>
    <s:mergeCell ref="B21274:E21274"/>
    <s:mergeCell ref="B14177:E14177"/>
    <s:mergeCell ref="A4143:E4143"/>
    <s:mergeCell ref="A20549:E20549"/>
    <s:mergeCell ref="A11845:E11845"/>
    <s:mergeCell ref="A4443:E4443"/>
    <s:mergeCell ref="A20455:E20455"/>
    <s:mergeCell ref="B4385:E4385"/>
    <s:mergeCell ref="A25876:E25876"/>
    <s:mergeCell ref="A13358:E13358"/>
    <s:mergeCell ref="A11273:E11273"/>
    <s:mergeCell ref="A27662:E27662"/>
    <s:mergeCell ref="A13053:E13053"/>
    <s:mergeCell ref="A27873:E27873"/>
    <s:mergeCell ref="B4685:E4685"/>
    <s:mergeCell ref="A11573:E11573"/>
    <s:mergeCell ref="A27962:E27962"/>
    <s:mergeCell ref="A25877:E25877"/>
    <s:mergeCell ref="A13353:E13353"/>
    <s:mergeCell ref="A11268:E11268"/>
    <s:mergeCell ref="A20471:E20471"/>
    <s:mergeCell ref="A28173:E28173"/>
    <s:mergeCell ref="A4171:E4171"/>
    <s:mergeCell ref="B26424:E26424"/>
    <s:mergeCell ref="A11856:E11856"/>
    <s:mergeCell ref="B17720:E17720"/>
    <s:mergeCell ref="A18475:E18475"/>
    <s:mergeCell ref="A18469:E18469"/>
    <s:mergeCell ref="A20771:E20771"/>
    <s:mergeCell ref="A18686:E18686"/>
    <s:mergeCell ref="A16989:E16989"/>
    <s:mergeCell ref="A4471:E4471"/>
    <s:mergeCell ref="A2386:E2386"/>
    <s:mergeCell ref="A4077:E4077"/>
    <s:mergeCell ref="A19291:E19291"/>
    <s:mergeCell ref="A25887:E25887"/>
    <s:mergeCell ref="A23802:E23802"/>
    <s:mergeCell ref="A11284:E11284"/>
    <s:mergeCell ref="A18986:E18986"/>
    <s:mergeCell ref="A10979:E10979"/>
    <s:mergeCell ref="A24108:E24108"/>
    <s:mergeCell ref="B11831:E11831"/>
    <s:mergeCell ref="A24102:E24102"/>
    <s:mergeCell ref="A25799:E25799"/>
    <s:mergeCell ref="A11584:E11584"/>
    <s:mergeCell ref="A9499:E9499"/>
    <s:mergeCell ref="A19286:E19286"/>
    <s:mergeCell ref="A2396:E2396"/>
    <s:mergeCell ref="A26099:E26099"/>
    <s:mergeCell ref="A24402:E24402"/>
    <s:mergeCell ref="A2097:E2097"/>
    <s:mergeCell ref="A16917:E16917"/>
    <s:mergeCell ref="A26188:E26188"/>
    <s:mergeCell ref="A24103:E24103"/>
    <s:mergeCell ref="A2308:E2308"/>
    <s:mergeCell ref="A611:E611"/>
    <s:mergeCell ref="B26646:E26646"/>
    <s:mergeCell ref="B3727:E3727"/>
    <s:mergeCell ref="A2397:E2397"/>
    <s:mergeCell ref="A2913:E2913"/>
    <s:mergeCell ref="A306:E306"/>
    <s:mergeCell ref="A17217:E17217"/>
    <s:mergeCell ref="A17211:E17211"/>
    <s:mergeCell ref="A23830:E23830"/>
    <s:mergeCell ref="A2608:E2608"/>
    <s:mergeCell ref="A31521:E31521"/>
    <s:mergeCell ref="B26946:E26946"/>
    <s:mergeCell ref="A18997:E18997"/>
    <s:mergeCell ref="A16912:E16912"/>
    <s:mergeCell ref="A2697:E2697"/>
    <s:mergeCell ref="A24130:E24130"/>
    <s:mergeCell ref="A2908:E2908"/>
    <s:mergeCell ref="A10115:E10115"/>
    <s:mergeCell ref="A18425:E18425"/>
    <s:mergeCell ref="A31548:E31548"/>
    <s:mergeCell ref="A9810:E9810"/>
    <s:mergeCell ref="A31249:E31249"/>
    <s:mergeCell ref="A31243:E31243"/>
    <s:mergeCell ref="A18725:E18725"/>
    <s:mergeCell ref="A16640:E16640"/>
    <s:mergeCell ref="A31549:E31549"/>
    <s:mergeCell ref="A22272:E22272"/>
    <s:mergeCell ref="A31543:E31543"/>
    <s:mergeCell ref="A16940:E16940"/>
    <s:mergeCell ref="A24058:E24058"/>
    <s:mergeCell ref="A9843:E9843"/>
    <s:mergeCell ref="A7752:E7752"/>
    <s:mergeCell ref="A5166:E5166"/>
    <s:mergeCell ref="A29174:E29174"/>
    <s:mergeCell ref="A24358:E24358"/>
    <s:mergeCell ref="A22661:E22661"/>
    <s:mergeCell ref="A22356:E22356"/>
    <s:mergeCell ref="A29474:E29474"/>
    <s:mergeCell ref="A24658:E24658"/>
    <s:mergeCell ref="A22573:E22573"/>
    <s:mergeCell ref="A29169:E29169"/>
    <s:mergeCell ref="A3108:E3108"/>
    <s:mergeCell ref="A31471:E31471"/>
    <s:mergeCell ref="A27689:E27689"/>
    <s:mergeCell ref="A17256:E17256"/>
    <s:mergeCell ref="A13474:E13474"/>
    <s:mergeCell ref="A17412:E17412"/>
    <s:mergeCell ref="A4894:E4894"/>
    <s:mergeCell ref="A29475:E29475"/>
    <s:mergeCell ref="A29469:E29469"/>
    <s:mergeCell ref="A4589:E4589"/>
    <s:mergeCell ref="A31771:E31771"/>
    <s:mergeCell ref="A29686:E29686"/>
    <s:mergeCell ref="A27989:E27989"/>
    <s:mergeCell ref="A10010:E10010"/>
    <s:mergeCell ref="A5194:E5194"/>
    <s:mergeCell ref="A10310:E10310"/>
    <s:mergeCell ref="A19709:E19709"/>
    <s:mergeCell ref="A29502:E29502"/>
    <s:mergeCell ref="B30533:E30533"/>
    <s:mergeCell ref="A12307:E12307"/>
    <s:mergeCell ref="A10610:E10610"/>
    <s:mergeCell ref="A3119:E3119"/>
    <s:mergeCell ref="A17423:E17423"/>
    <s:mergeCell ref="A10522:E10522"/>
    <s:mergeCell ref="A3425:E3425"/>
    <s:mergeCell ref="B3666:E3666"/>
    <s:mergeCell ref="A1334:E1334"/>
    <s:mergeCell ref="A3120:E3120"/>
    <s:mergeCell ref="A1634:E1634"/>
    <s:mergeCell ref="A8253:E8253"/>
    <s:mergeCell ref="A3420:E3420"/>
    <s:mergeCell ref="B1876:E1876"/>
    <s:mergeCell ref="A1062:E1062"/>
    <s:mergeCell ref="A3147:E3147"/>
    <s:mergeCell ref="A17451:E17451"/>
    <s:mergeCell ref="A30275:E30275"/>
    <s:mergeCell ref="A30269:E30269"/>
    <s:mergeCell ref="A1345:E1345"/>
    <s:mergeCell ref="A7964:E7964"/>
    <s:mergeCell ref="A15666:E15666"/>
    <s:mergeCell ref="A3142:E3142"/>
    <s:mergeCell ref="A22784:E22784"/>
    <s:mergeCell ref="A29970:E29970"/>
    <s:mergeCell ref="A6478:E6478"/>
    <s:mergeCell ref="A30181:E30181"/>
    <s:mergeCell ref="A8780:E8780"/>
    <s:mergeCell ref="A15966:E15966"/>
    <s:mergeCell ref="A23084:E23084"/>
    <s:mergeCell ref="A30270:E30270"/>
    <s:mergeCell ref="A8475:E8475"/>
    <s:mergeCell ref="A24864:E24864"/>
    <s:mergeCell ref="A22779:E22779"/>
    <s:mergeCell ref="A10261:E10261"/>
    <s:mergeCell ref="A9080:E9080"/>
    <s:mergeCell ref="A6479:E6479"/>
    <s:mergeCell ref="A23384:E23384"/>
    <s:mergeCell ref="A21299:E21299"/>
    <s:mergeCell ref="A8775:E8775"/>
    <s:mergeCell ref="A14196:E14196"/>
    <s:mergeCell ref="A23079:E23079"/>
    <s:mergeCell ref="A15982:E15982"/>
    <s:mergeCell ref="A13897:E13897"/>
    <s:mergeCell ref="A13891:E13891"/>
    <s:mergeCell ref="A1373:E1373"/>
    <s:mergeCell ref="B16440:E16440"/>
    <s:mergeCell ref="A15677:E15677"/>
    <s:mergeCell ref="B26806:E26806"/>
    <s:mergeCell ref="A15894:E15894"/>
    <s:mergeCell ref="A14197:E14197"/>
    <s:mergeCell ref="B16740:E16740"/>
    <s:mergeCell ref="A8791:E8791"/>
    <s:mergeCell ref="B14655:E14655"/>
    <s:mergeCell ref="A15977:E15977"/>
    <s:mergeCell ref="A13892:E13892"/>
    <s:mergeCell ref="A21010:E21010"/>
    <s:mergeCell ref="A6795:E6795"/>
    <s:mergeCell ref="A6401:E6401"/>
    <s:mergeCell ref="A29925:E29925"/>
    <s:mergeCell ref="A7006:E7006"/>
    <s:mergeCell ref="A23412:E23412"/>
    <s:mergeCell ref="A21310:E21310"/>
    <s:mergeCell ref="B16735:E16735"/>
    <s:mergeCell ref="A30225:E30225"/>
    <s:mergeCell ref="A28528:E28528"/>
    <s:mergeCell ref="A5221:E5221"/>
    <s:mergeCell ref="A21610:E21610"/>
    <s:mergeCell ref="A19525:E19525"/>
    <s:mergeCell ref="A28223:E28223"/>
    <s:mergeCell ref="A30525:E30525"/>
    <s:mergeCell ref="A28440:E28440"/>
    <s:mergeCell ref="A14225:E14225"/>
    <s:mergeCell ref="A21337:E21337"/>
    <s:mergeCell ref="A23123:E23123"/>
    <s:mergeCell ref="A21038:E21038"/>
    <s:mergeCell ref="A6429:E6429"/>
    <s:mergeCell ref="A28239:E28239"/>
    <s:mergeCell ref="A26154:E26154"/>
    <s:mergeCell ref="A4932:E4932"/>
    <s:mergeCell ref="A21338:E21338"/>
    <s:mergeCell ref="A28456:E28456"/>
    <s:mergeCell ref="A6729:E6729"/>
    <s:mergeCell ref="A12150:E12150"/>
    <s:mergeCell ref="A26454:E26454"/>
    <s:mergeCell ref="B21885:E21885"/>
    <s:mergeCell ref="A13936:E13936"/>
    <s:mergeCell ref="A5232:E5232"/>
    <s:mergeCell ref="A11851:E11851"/>
    <s:mergeCell ref="A19553:E19553"/>
    <s:mergeCell ref="A21638:E21638"/>
    <s:mergeCell ref="A28756:E28756"/>
    <s:mergeCell ref="A7029:E7029"/>
    <s:mergeCell ref="B5174:E5174"/>
    <s:mergeCell ref="A26665:E26665"/>
    <s:mergeCell ref="A28451:E28451"/>
    <s:mergeCell ref="A12151:E12151"/>
    <s:mergeCell ref="A12145:E12145"/>
    <s:mergeCell ref="B20083:E20083"/>
    <s:mergeCell ref="A29056:E29056"/>
    <s:mergeCell ref="A4660:E4660"/>
    <s:mergeCell ref="A12362:E12362"/>
    <s:mergeCell ref="B27301:E27301"/>
    <s:mergeCell ref="A28751:E28751"/>
    <s:mergeCell ref="A26666:E26666"/>
    <s:mergeCell ref="A19569:E19569"/>
    <s:mergeCell ref="A21260:E21260"/>
    <s:mergeCell ref="A19563:E19563"/>
    <s:mergeCell ref="A17478:E17478"/>
    <s:mergeCell ref="A4960:E4960"/>
    <s:mergeCell ref="A3263:E3263"/>
    <s:mergeCell ref="A19264:E19264"/>
    <s:mergeCell ref="A18083:E18083"/>
    <s:mergeCell ref="B18025:E18025"/>
    <s:mergeCell ref="A19475:E19475"/>
    <s:mergeCell ref="A3175:E3175"/>
    <s:mergeCell ref="A12378:E12378"/>
    <s:mergeCell ref="A19564:E19564"/>
    <s:mergeCell ref="A24591:E24591"/>
    <s:mergeCell ref="A12073:E12073"/>
    <s:mergeCell ref="A10376:E10376"/>
    <s:mergeCell ref="A17494:E17494"/>
    <s:mergeCell ref="A12678:E12678"/>
    <s:mergeCell ref="A10593:E10593"/>
    <s:mergeCell ref="A10587:E10587"/>
    <s:mergeCell ref="A17206:E17206"/>
    <s:mergeCell ref="A26982:E26982"/>
    <s:mergeCell ref="A24891:E24891"/>
    <s:mergeCell ref="A12373:E12373"/>
    <s:mergeCell ref="A8591:E8591"/>
    <s:mergeCell ref="A17794:E17794"/>
    <s:mergeCell ref="A17489:E17489"/>
    <s:mergeCell ref="B18036:E18036"/>
    <s:mergeCell ref="A17789:E17789"/>
    <s:mergeCell ref="A24924:E24924"/>
    <s:mergeCell ref="A5427:E5427"/>
    <s:mergeCell ref="B18253:E18253"/>
    <s:mergeCell ref="B16556:E16556"/>
    <s:mergeCell ref="A26710:E26710"/>
    <s:mergeCell ref="A24619:E24619"/>
    <s:mergeCell ref="B3733:E3733"/>
    <s:mergeCell ref="A25224:E25224"/>
    <s:mergeCell ref="A24925:E24925"/>
    <s:mergeCell ref="A30041:E30041"/>
    <s:mergeCell ref="A17523:E17523"/>
    <s:mergeCell ref="A17517:E17517"/>
    <s:mergeCell ref="A627:E627"/>
    <s:mergeCell ref="A15432:E15432"/>
    <s:mergeCell ref="A30252:E30252"/>
    <s:mergeCell ref="A16037:E16037"/>
    <s:mergeCell ref="A30341:E30341"/>
    <s:mergeCell ref="A15732:E15732"/>
    <s:mergeCell ref="A24935:E24935"/>
    <s:mergeCell ref="A30036:E30036"/>
    <s:mergeCell ref="A22939:E22939"/>
    <s:mergeCell ref="A12873:E12873"/>
    <s:mergeCell ref="A50:E50"/>
    <s:mergeCell ref="A23450:E23450"/>
    <s:mergeCell ref="A5471:E5471"/>
    <s:mergeCell ref="A13173:E13173"/>
    <s:mergeCell ref="A3686:E3686"/>
    <s:mergeCell ref="A5466:E5466"/>
    <s:mergeCell ref="A3381:E3381"/>
    <s:mergeCell ref="A20292:E20292"/>
    <s:mergeCell ref="A18595:E18595"/>
    <s:mergeCell ref="A7768:E7768"/>
    <s:mergeCell ref="A5683:E5683"/>
    <s:mergeCell ref="A3986:E3986"/>
    <s:mergeCell ref="B16806:E16806"/>
    <s:mergeCell ref="A3681:E3681"/>
    <s:mergeCell ref="A5983:E5983"/>
    <s:mergeCell ref="A4286:E4286"/>
    <s:mergeCell ref="A28294:E28294"/>
    <s:mergeCell ref="A30291:E30291"/>
    <s:mergeCell ref="A3714:E3714"/>
    <s:mergeCell ref="A9314:E9314"/>
    <s:mergeCell ref="A30591:E30591"/>
    <s:mergeCell ref="A2217:E2217"/>
    <s:mergeCell ref="A4014:E4014"/>
    <s:mergeCell ref="A3997:E3997"/>
    <s:mergeCell ref="A1912:E1912"/>
    <s:mergeCell ref="A25436:E25436"/>
    <s:mergeCell ref="A4214:E4214"/>
    <s:mergeCell ref="A10827:E10827"/>
    <s:mergeCell ref="A9130:E9130"/>
    <s:mergeCell ref="A25131:E25131"/>
    <s:mergeCell ref="A11432:E11432"/>
    <s:mergeCell ref="A25736:E25736"/>
    <s:mergeCell ref="A23651:E23651"/>
    <s:mergeCell ref="A11127:E11127"/>
    <s:mergeCell ref="A18245:E18245"/>
    <s:mergeCell ref="B4456:E4456"/>
    <s:mergeCell ref="A25431:E25431"/>
    <s:mergeCell ref="A16243:E16243"/>
    <s:mergeCell ref="A1640:E1640"/>
    <s:mergeCell ref="A18545:E18545"/>
    <s:mergeCell ref="A16460:E16460"/>
    <s:mergeCell ref="A25731:E25731"/>
    <s:mergeCell ref="A23646:E23646"/>
    <s:mergeCell ref="B27067:E27067"/>
    <s:mergeCell ref="A16549:E16549"/>
    <s:mergeCell ref="A23661:E23661"/>
    <s:mergeCell ref="A21576:E21576"/>
    <s:mergeCell ref="A16760:E16760"/>
    <s:mergeCell ref="A31064:E31064"/>
    <s:mergeCell ref="A7572:E7572"/>
    <s:mergeCell ref="A9358:E9358"/>
    <s:mergeCell ref="A17060:E17060"/>
    <s:mergeCell ref="A23662:E23662"/>
    <s:mergeCell ref="A23656:E23656"/>
    <s:mergeCell ref="A22176:E22176"/>
    <s:mergeCell ref="A9658:E9658"/>
    <s:mergeCell ref="A7573:E7573"/>
    <s:mergeCell ref="A23962:E23962"/>
    <s:mergeCell ref="A2167:E2167"/>
    <s:mergeCell ref="A9353:E9353"/>
    <s:mergeCell ref="A30792:E30792"/>
    <s:mergeCell ref="A171:E171"/>
    <s:mergeCell ref="B9900:E9900"/>
    <s:mergeCell ref="A2467:E2467"/>
    <s:mergeCell ref="A382:E382"/>
    <s:mergeCell ref="A16771:E16771"/>
    <s:mergeCell ref="A14686:E14686"/>
    <s:mergeCell ref="A31092:E31092"/>
    <s:mergeCell ref="A2168:E2168"/>
    <s:mergeCell ref="A471:E471"/>
    <s:mergeCell ref="A77:E77"/>
    <s:mergeCell ref="A7583:E7583"/>
    <s:mergeCell ref="A5498:E5498"/>
    <s:mergeCell ref="B29842:E29842"/>
    <s:mergeCell ref="A682:E682"/>
    <s:mergeCell ref="B29836:E29836"/>
    <s:mergeCell ref="A14986:E14986"/>
    <s:mergeCell ref="A7889:E7889"/>
    <s:mergeCell ref="A5798:E5798"/>
    <s:mergeCell ref="A28806:E28806"/>
    <s:mergeCell ref="B15533:E15533"/>
    <s:mergeCell ref="A7584:E7584"/>
    <s:mergeCell ref="A5493:E5493"/>
    <s:mergeCell ref="A31108:E31108"/>
    <s:mergeCell ref="A29017:E29017"/>
    <s:mergeCell ref="A6098:E6098"/>
    <s:mergeCell ref="A7884:E7884"/>
    <s:mergeCell ref="A31408:E31408"/>
    <s:mergeCell ref="A29317:E29317"/>
    <s:mergeCell ref="A393:E393"/>
    <s:mergeCell ref="A7012:E7012"/>
    <s:mergeCell ref="A31103:E31103"/>
    <s:mergeCell ref="A29018:E29018"/>
    <s:mergeCell ref="A5526:E5526"/>
    <s:mergeCell ref="A23612:E23612"/>
    <s:mergeCell ref="A21915:E21915"/>
    <s:mergeCell ref="A19830:E19830"/>
    <s:mergeCell ref="A693:E693"/>
    <s:mergeCell ref="A15014:E15014"/>
    <s:mergeCell ref="A29318:E29318"/>
    <s:mergeCell ref="A12428:E12428"/>
    <s:mergeCell ref="A21827:E21827"/>
    <s:mergeCell ref="A20130:E20130"/>
    <s:mergeCell ref="A23912:E23912"/>
    <s:mergeCell ref="A5527:E5527"/>
    <s:mergeCell ref="A27248:E27248"/>
    <s:mergeCell ref="A19825:E19825"/>
    <s:mergeCell ref="A12728:E12728"/>
    <s:mergeCell ref="A10643:E10643"/>
    <s:mergeCell ref="A20430:E20430"/>
    <s:mergeCell ref="A27548:E27548"/>
    <s:mergeCell ref="A15030:E15030"/>
    <s:mergeCell ref="A12945:E12945"/>
    <s:mergeCell ref="A12939:E12939"/>
    <s:mergeCell ref="B6268:E6268"/>
    <s:mergeCell ref="A27243:E27243"/>
    <s:mergeCell ref="A25763:E25763"/>
    <s:mergeCell ref="A5537:E5537"/>
    <s:mergeCell ref="A3452:E3452"/>
    <s:mergeCell ref="A13239:E13239"/>
    <s:mergeCell ref="A19841:E19841"/>
    <s:mergeCell ref="A27543:E27543"/>
    <s:mergeCell ref="A25458:E25458"/>
    <s:mergeCell ref="A15025:E15025"/>
    <s:mergeCell ref="A12940:E12940"/>
    <s:mergeCell ref="A18361:E18361"/>
    <s:mergeCell ref="A3752:E3752"/>
    <s:mergeCell ref="A3447:E3447"/>
    <s:mergeCell ref="A20358:E20358"/>
    <s:mergeCell ref="A18661:E18661"/>
    <s:mergeCell ref="A26971:E26971"/>
    <s:mergeCell ref="A18267:E18267"/>
    <s:mergeCell ref="A5749:E5749"/>
    <s:mergeCell ref="A4052:E4052"/>
    <s:mergeCell ref="B13787:E13787"/>
    <s:mergeCell ref="A25474:E25474"/>
    <s:mergeCell ref="A27271:E27271"/>
    <s:mergeCell ref="A25774:E25774"/>
    <s:mergeCell ref="A27571:E27571"/>
    <s:mergeCell ref="A1194:E1194"/>
    <s:mergeCell ref="A25202:E25202"/>
    <s:mergeCell ref="A18689:E18689"/>
    <s:mergeCell ref="A11198:E11198"/>
    <s:mergeCell ref="A25502:E25502"/>
    <s:mergeCell ref="A10893:E10893"/>
    <s:mergeCell ref="A27282:E27282"/>
    <s:mergeCell ref="A25197:E25197"/>
    <s:mergeCell ref="A25802:E25802"/>
    <s:mergeCell ref="A23717:E23717"/>
    <s:mergeCell ref="A13284:E13284"/>
    <s:mergeCell ref="A11199:E11199"/>
    <s:mergeCell ref="A11193:E11193"/>
    <s:mergeCell ref="A25497:E25497"/>
    <s:mergeCell ref="A18400:E18400"/>
    <s:mergeCell ref="A16315:E16315"/>
    <s:mergeCell ref="A6038:E6038"/>
    <s:mergeCell ref="A31135:E31135"/>
    <s:mergeCell ref="A8334:E8334"/>
    <s:mergeCell ref="A6249:E6249"/>
    <s:mergeCell ref="A30830:E30830"/>
    <s:mergeCell ref="A18312:E18312"/>
    <s:mergeCell ref="A16615:E16615"/>
    <s:mergeCell ref="A8035:E8035"/>
    <s:mergeCell ref="A6549:E6549"/>
    <s:mergeCell ref="A31130:E31130"/>
    <s:mergeCell ref="A13151:E13151"/>
    <s:mergeCell ref="A18612:E18612"/>
    <s:mergeCell ref="A8335:E8335"/>
    <s:mergeCell ref="A4553:E4553"/>
    <s:mergeCell ref="A13756:E13756"/>
    <s:mergeCell ref="A11665:E11665"/>
    <s:mergeCell ref="A13451:E13451"/>
    <s:mergeCell ref="A8635:E8635"/>
    <s:mergeCell ref="A6550:E6550"/>
    <s:mergeCell ref="A11971:E11971"/>
    <s:mergeCell ref="A13751:E13751"/>
    <s:mergeCell ref="A11666:E11666"/>
    <s:mergeCell ref="A16053:E16053"/>
    <s:mergeCell ref="A30858:E30858"/>
    <s:mergeCell ref="A11966:E11966"/>
    <s:mergeCell ref="B29602:E29602"/>
    <s:mergeCell ref="A21169:E21169"/>
    <s:mergeCell ref="A19084:E19084"/>
    <s:mergeCell ref="A6560:E6560"/>
    <s:mergeCell ref="A4475:E4475"/>
    <s:mergeCell ref="A19384:E19384"/>
    <s:mergeCell ref="A4775:E4775"/>
    <s:mergeCell ref="A20897:E20897"/>
    <s:mergeCell ref="A18812:E18812"/>
    <s:mergeCell ref="B10444:E10444"/>
    <s:mergeCell ref="A20592:E20592"/>
    <s:mergeCell ref="A19112:E19112"/>
    <s:mergeCell ref="A20892:E20892"/>
    <s:mergeCell ref="A18807:E18807"/>
    <s:mergeCell ref="A24228:E24228"/>
    <s:mergeCell ref="A11710:E11710"/>
    <s:mergeCell ref="A19412:E19412"/>
    <s:mergeCell ref="A19107:E19107"/>
    <s:mergeCell ref="A28310:E28310"/>
    <s:mergeCell ref="A24528:E24528"/>
    <s:mergeCell ref="A22443:E22443"/>
    <s:mergeCell ref="A12010:E12010"/>
    <s:mergeCell ref="A9925:E9925"/>
    <s:mergeCell ref="A11616:E11616"/>
    <s:mergeCell ref="A9919:E9919"/>
    <s:mergeCell ref="A31341:E31341"/>
    <s:mergeCell ref="A26525:E26525"/>
    <s:mergeCell ref="B3853:E3853"/>
    <s:mergeCell ref="A3033:E3033"/>
    <s:mergeCell ref="A17337:E17337"/>
    <s:mergeCell ref="A15252:E15252"/>
    <s:mergeCell ref="A4819:E4819"/>
    <s:mergeCell ref="A2734:E2734"/>
    <s:mergeCell ref="A31641:E31641"/>
    <s:mergeCell ref="A17038:E17038"/>
    <s:mergeCell ref="A26825:E26825"/>
    <s:mergeCell ref="A24740:E24740"/>
    <s:mergeCell ref="A2429:E2429"/>
    <s:mergeCell ref="A732:E732"/>
    <s:mergeCell ref="A9935:E9935"/>
    <s:mergeCell ref="A7850:E7850"/>
    <s:mergeCell ref="A3034:E3034"/>
    <s:mergeCell ref="A17338:E17338"/>
    <s:mergeCell ref="A17332:E17332"/>
    <s:mergeCell ref="A2729:E2729"/>
    <s:mergeCell ref="A31642:E31642"/>
    <s:mergeCell ref="A9847:E9847"/>
    <s:mergeCell ref="A8150:E8150"/>
    <s:mergeCell ref="A3334:E3334"/>
    <s:mergeCell ref="A24756:E24756"/>
    <s:mergeCell ref="A31369:E31369"/>
    <s:mergeCell ref="A10147:E10147"/>
    <s:mergeCell ref="A6365:E6365"/>
    <s:mergeCell ref="A24451:E24451"/>
    <s:mergeCell ref="A10236:E10236"/>
    <s:mergeCell ref="A959:E959"/>
    <s:mergeCell ref="A17365:E17365"/>
    <s:mergeCell ref="A15263:E15263"/>
    <s:mergeCell ref="B10694:E10694"/>
    <s:mergeCell ref="A29584:E29584"/>
    <s:mergeCell ref="A31669:E31669"/>
    <s:mergeCell ref="A8362:E8362"/>
    <s:mergeCell ref="A1259:E1259"/>
    <s:mergeCell ref="A15563:E15563"/>
    <s:mergeCell ref="A13478:E13478"/>
    <s:mergeCell ref="A22182:E22182"/>
    <s:mergeCell ref="A960:E960"/>
    <s:mergeCell ref="A15264:E15264"/>
    <s:mergeCell ref="A24179:E24179"/>
    <s:mergeCell ref="A13778:E13778"/>
    <s:mergeCell ref="A1260:E1260"/>
    <s:mergeCell ref="A24479:E24479"/>
    <s:mergeCell ref="A987:E987"/>
    <s:mergeCell ref="A29595:E29595"/>
    <s:mergeCell ref="A24779:E24779"/>
    <s:mergeCell ref="A30200:E30200"/>
    <s:mergeCell ref="A28115:E28115"/>
    <s:mergeCell ref="A29806:E29806"/>
    <s:mergeCell ref="A5804:E5804"/>
    <s:mergeCell ref="A15591:E15591"/>
    <s:mergeCell ref="A13506:E13506"/>
    <s:mergeCell ref="A988:E988"/>
    <s:mergeCell ref="A20624:E20624"/>
    <s:mergeCell ref="A29895:E29895"/>
    <s:mergeCell ref="A30112:E30112"/>
    <s:mergeCell ref="A30106:E30106"/>
    <s:mergeCell ref="A6104:E6104"/>
    <s:mergeCell ref="A20924:E20924"/>
    <s:mergeCell ref="A28110:E28110"/>
    <s:mergeCell ref="A6315:E6315"/>
    <s:mergeCell ref="A21013:E21013"/>
    <s:mergeCell ref="A18928:E18928"/>
    <s:mergeCell ref="A20619:E20619"/>
    <s:mergeCell ref="A10186:E10186"/>
    <s:mergeCell ref="A8101:E8101"/>
    <s:mergeCell ref="A6404:E6404"/>
    <s:mergeCell ref="A13522:E13522"/>
    <s:mergeCell ref="A22405:E22405"/>
    <s:mergeCell ref="A21224:E21224"/>
    <s:mergeCell ref="B23257:E23257"/>
    <s:mergeCell ref="B23251:E23251"/>
    <s:mergeCell ref="A13217:E13217"/>
    <s:mergeCell ref="A20919:E20919"/>
    <s:mergeCell ref="A8401:E8401"/>
    <s:mergeCell ref="A13822:E13822"/>
    <s:mergeCell ref="A11737:E11737"/>
    <s:mergeCell ref="A28126:E28126"/>
    <s:mergeCell ref="A13517:E13517"/>
    <s:mergeCell ref="A12037:E12037"/>
    <s:mergeCell ref="A13728:E13728"/>
    <s:mergeCell ref="B28673:E28673"/>
    <s:mergeCell ref="A13817:E13817"/>
    <s:mergeCell ref="A11732:E11732"/>
    <s:mergeCell ref="A20935:E20935"/>
    <s:mergeCell ref="A14034:E14034"/>
    <s:mergeCell ref="B12279:E12279"/>
    <s:mergeCell ref="A12032:E12032"/>
    <s:mergeCell ref="A27854:E27854"/>
    <s:mergeCell ref="A8873:E8873"/>
    <s:mergeCell ref="A26069:E26069"/>
    <s:mergeCell ref="A9173:E9173"/>
    <s:mergeCell ref="A20663:E20663"/>
    <s:mergeCell ref="A1771:E1771"/>
    <s:mergeCell ref="B10809:E10809"/>
    <s:mergeCell ref="A20963:E20963"/>
    <s:mergeCell ref="A18878:E18878"/>
    <s:mergeCell ref="B12595:E12595"/>
    <s:mergeCell ref="A20658:E20658"/>
    <s:mergeCell ref="A19178:E19178"/>
    <s:mergeCell ref="A28381:E28381"/>
    <s:mergeCell ref="A18873:E18873"/>
    <s:mergeCell ref="A24294:E24294"/>
    <s:mergeCell ref="A14017:E14017"/>
    <s:mergeCell ref="A19478:E19478"/>
    <s:mergeCell ref="A1499:E1499"/>
    <s:mergeCell ref="A26596:E26596"/>
    <s:mergeCell ref="A26291:E26291"/>
    <s:mergeCell ref="A24594:E24594"/>
    <s:mergeCell ref="A16014:E16014"/>
    <s:mergeCell ref="A14317:E14317"/>
    <s:mergeCell ref="A1799:E1799"/>
    <s:mergeCell ref="A26896:E26896"/>
    <s:mergeCell ref="A26591:E26591"/>
    <s:mergeCell ref="A16314:E16314"/>
    <s:mergeCell ref="A14229:E14229"/>
    <s:mergeCell ref="A7132:E7132"/>
    <s:mergeCell ref="A21436:E21436"/>
    <s:mergeCell ref="A21430:E21430"/>
    <s:mergeCell ref="A19345:E19345"/>
    <s:mergeCell ref="A8912:E8912"/>
    <s:mergeCell ref="A6827:E6827"/>
    <s:mergeCell ref="A7432:E7432"/>
    <s:mergeCell ref="A5347:E5347"/>
    <s:mergeCell ref="A21736:E21736"/>
    <s:mergeCell ref="A19645:E19645"/>
    <s:mergeCell ref="A7127:E7127"/>
    <s:mergeCell ref="A21431:E21431"/>
    <s:mergeCell ref="A13940:E13940"/>
    <s:mergeCell ref="A7427:E7427"/>
    <s:mergeCell ref="A5342:E5342"/>
    <s:mergeCell ref="A14545:E14545"/>
    <s:mergeCell ref="A25:E25"/>
    <s:mergeCell ref="A31741:E31741"/>
    <s:mergeCell ref="A31735:E31735"/>
    <s:mergeCell ref="A12760:E12760"/>
    <s:mergeCell ref="A236:E236"/>
    <s:mergeCell ref="A29149:E29149"/>
    <s:mergeCell ref="A27064:E27064"/>
    <s:mergeCell ref="A5358:E5358"/>
    <s:mergeCell ref="A5352:E5352"/>
    <s:mergeCell ref="A3267:E3267"/>
    <s:mergeCell ref="A26791:E26791"/>
    <s:mergeCell ref="B13002:E13002"/>
    <s:mergeCell ref="A5053:E5053"/>
    <s:mergeCell ref="A28577:E28577"/>
    <s:mergeCell ref="A13968:E13968"/>
    <s:mergeCell ref="A3567:E3567"/>
    <s:mergeCell ref="A27091:E27091"/>
    <s:mergeCell ref="A28877:E28877"/>
    <s:mergeCell ref="A26786:E26786"/>
    <s:mergeCell ref="A14268:E14268"/>
    <s:mergeCell ref="A19689:E19689"/>
    <s:mergeCell ref="A5086:E5086"/>
    <s:mergeCell ref="A12788:E12788"/>
    <s:mergeCell ref="A19390:E19390"/>
    <s:mergeCell ref="A29177:E29177"/>
    <s:mergeCell ref="A27092:E27092"/>
    <s:mergeCell ref="A14568:E14568"/>
    <s:mergeCell ref="A12483:E12483"/>
    <s:mergeCell ref="A17904:E17904"/>
    <s:mergeCell ref="A5386:E5386"/>
    <s:mergeCell ref="B13318:E13318"/>
    <s:mergeCell ref="A19690:E19690"/>
    <s:mergeCell ref="A19684:E19684"/>
    <s:mergeCell ref="A17599:E17599"/>
    <s:mergeCell ref="A21986:E21986"/>
    <s:mergeCell ref="A5686:E5686"/>
    <s:mergeCell ref="A10713:E10713"/>
    <s:mergeCell ref="A27102:E27102"/>
    <s:mergeCell ref="A25017:E25017"/>
    <s:mergeCell ref="A12499:E12499"/>
    <s:mergeCell ref="A8717:E8717"/>
    <s:mergeCell ref="A20201:E20201"/>
    <s:mergeCell ref="A3311:E3311"/>
    <s:mergeCell ref="A11013:E11013"/>
    <s:mergeCell ref="A17615:E17615"/>
    <s:mergeCell ref="A25317:E25317"/>
    <s:mergeCell ref="A12799:E12799"/>
    <s:mergeCell ref="A10714:E10714"/>
    <s:mergeCell ref="A27103:E27103"/>
    <s:mergeCell ref="A3611:E3611"/>
    <s:mergeCell ref="A1526:E1526"/>
    <s:mergeCell ref="A17915:E17915"/>
    <s:mergeCell ref="A15830:E15830"/>
    <s:mergeCell ref="A25617:E25617"/>
    <s:mergeCell ref="A3312:E3312"/>
    <s:mergeCell ref="A1221:E1221"/>
    <s:mergeCell ref="A16435:E16435"/>
    <s:mergeCell ref="A24745:E24745"/>
    <s:mergeCell ref="A1826:E1826"/>
    <s:mergeCell ref="A3612:E3612"/>
    <s:mergeCell ref="A1521:E1521"/>
    <s:mergeCell ref="A10724:E10724"/>
    <s:mergeCell ref="A8639:E8639"/>
    <s:mergeCell ref="A25045:E25045"/>
    <s:mergeCell ref="A17643:E17643"/>
    <s:mergeCell ref="A8939:E8939"/>
    <s:mergeCell ref="A30461:E30461"/>
    <s:mergeCell ref="A1537:E1537"/>
    <s:mergeCell ref="A9239:E9239"/>
    <s:mergeCell ref="A15858:E15858"/>
    <s:mergeCell ref="A57:E57"/>
    <s:mergeCell ref="B9786:E9786"/>
    <s:mergeCell ref="A1837:E1837"/>
    <s:mergeCell ref="A8667:E8667"/>
    <s:mergeCell ref="A16358:E16358"/>
    <s:mergeCell ref="A25056:E25056"/>
    <s:mergeCell ref="A22971:E22971"/>
    <s:mergeCell ref="A52:E52"/>
    <s:mergeCell ref="A23576:E23576"/>
    <s:mergeCell ref="A8967:E8967"/>
    <s:mergeCell ref="A16085:E16085"/>
    <s:mergeCell ref="A23271:E23271"/>
    <s:mergeCell ref="A30389:E30389"/>
    <s:mergeCell ref="A1565:E1565"/>
    <s:mergeCell ref="A16385:E16385"/>
    <s:mergeCell ref="A14300:E14300"/>
    <s:mergeCell ref="A23571:E23571"/>
    <s:mergeCell ref="A30689:E30689"/>
    <s:mergeCell ref="A14389:E14389"/>
    <s:mergeCell ref="A16080:E16080"/>
    <s:mergeCell ref="A14383:E14383"/>
    <s:mergeCell ref="A8983:E8983"/>
    <s:mergeCell ref="A28904:E28904"/>
    <s:mergeCell ref="A16386:E16386"/>
    <s:mergeCell ref="B16627:E16627"/>
    <s:mergeCell ref="A16380:E16380"/>
    <s:mergeCell ref="A80:E80"/>
    <s:mergeCell ref="A19716:E19716"/>
    <s:mergeCell ref="B8012:E8012"/>
    <s:mergeCell ref="A7287:E7287"/>
    <s:mergeCell ref="A19411:E19411"/>
    <s:mergeCell ref="A8978:E8978"/>
    <s:mergeCell ref="A6893:E6893"/>
    <s:mergeCell ref="A21197:E21197"/>
    <s:mergeCell ref="B16628:E16628"/>
    <s:mergeCell ref="A7498:E7498"/>
    <s:mergeCell ref="A23499:E23499"/>
    <s:mergeCell ref="B827:E827"/>
    <s:mergeCell ref="A21802:E21802"/>
    <s:mergeCell ref="A28632:E28632"/>
    <s:mergeCell ref="A12315:E12315"/>
    <s:mergeCell ref="A2038:E2038"/>
    <s:mergeCell ref="A21230:E21230"/>
    <s:mergeCell ref="A4334:E4334"/>
    <s:mergeCell ref="A2249:E2249"/>
    <s:mergeCell ref="A28915:E28915"/>
    <s:mergeCell ref="B29767:E29767"/>
    <s:mergeCell ref="A2338:E2338"/>
    <s:mergeCell ref="A21530:E21530"/>
    <s:mergeCell ref="A2549:E2549"/>
    <s:mergeCell ref="A27130:E27130"/>
    <s:mergeCell ref="B14853:E14853"/>
    <s:mergeCell ref="A16853:E16853"/>
    <s:mergeCell ref="A4335:E4335"/>
    <s:mergeCell ref="A28343:E28343"/>
    <s:mergeCell ref="A21830:E21830"/>
    <s:mergeCell ref="A19745:E19745"/>
    <s:mergeCell ref="A2849:E2849"/>
    <s:mergeCell ref="A26857:E26857"/>
    <s:mergeCell ref="A28643:E28643"/>
    <s:mergeCell ref="A24861:E24861"/>
    <s:mergeCell ref="A29248:E29248"/>
    <s:mergeCell ref="A27163:E27163"/>
    <s:mergeCell ref="A28943:E28943"/>
    <s:mergeCell ref="A14334:E14334"/>
    <s:mergeCell ref="A27158:E27158"/>
    <s:mergeCell ref="A2560:E2560"/>
    <s:mergeCell ref="A9179:E9179"/>
    <s:mergeCell ref="A7693:E7693"/>
    <s:mergeCell ref="B13384:E13384"/>
    <s:mergeCell ref="A2593:E2593"/>
    <s:mergeCell ref="A7694:E7694"/>
    <s:mergeCell ref="A29415:E29415"/>
    <s:mergeCell ref="A22514:E22514"/>
    <s:mergeCell ref="A2288:E2288"/>
    <s:mergeCell ref="A9990:E9990"/>
    <s:mergeCell ref="A16592:E16592"/>
    <s:mergeCell ref="A808:E808"/>
    <s:mergeCell ref="A29715:E29715"/>
    <s:mergeCell ref="A27630:E27630"/>
    <s:mergeCell ref="A17197:E17197"/>
    <s:mergeCell ref="A15106:E15106"/>
    <s:mergeCell ref="A2588:E2588"/>
    <s:mergeCell ref="A503:E503"/>
    <s:mergeCell ref="A29416:E29416"/>
    <s:mergeCell ref="A16892:E16892"/>
    <s:mergeCell ref="A2289:E2289"/>
    <s:mergeCell ref="A1108:E1108"/>
    <s:mergeCell ref="A7704:E7704"/>
    <s:mergeCell ref="A5619:E5619"/>
    <s:mergeCell ref="A803:E803"/>
    <s:mergeCell ref="A10006:E10006"/>
    <s:mergeCell ref="A7921:E7921"/>
    <s:mergeCell ref="A6224:E6224"/>
    <s:mergeCell ref="A22225:E22225"/>
    <s:mergeCell ref="A8010:E8010"/>
    <s:mergeCell ref="A5919:E5919"/>
    <s:mergeCell ref="A7705:E7705"/>
    <s:mergeCell ref="A8221:E8221"/>
    <s:mergeCell ref="A14840:E14840"/>
    <s:mergeCell ref="B20525:E20525"/>
    <s:mergeCell ref="B16743:E16743"/>
    <s:mergeCell ref="A6219:E6219"/>
    <s:mergeCell ref="A15140:E15140"/>
    <s:mergeCell ref="A13032:E13032"/>
    <s:mergeCell ref="A23733:E23733"/>
    <s:mergeCell ref="A24338:E24338"/>
    <s:mergeCell ref="A22253:E22253"/>
    <s:mergeCell ref="A20556:E20556"/>
    <s:mergeCell ref="A13065:E13065"/>
    <s:mergeCell ref="A29454:E29454"/>
    <s:mergeCell ref="A6147:E6147"/>
    <s:mergeCell ref="A22553:E22553"/>
    <s:mergeCell ref="A13365:E13365"/>
    <s:mergeCell ref="A29366:E29366"/>
    <s:mergeCell ref="B6694:E6694"/>
    <s:mergeCell ref="A27669:E27669"/>
    <s:mergeCell ref="A15151:E15151"/>
    <s:mergeCell ref="A13060:E13060"/>
    <s:mergeCell ref="A5963:E5963"/>
    <s:mergeCell ref="A18182:E18182"/>
    <s:mergeCell ref="A27969:E27969"/>
    <s:mergeCell ref="A25884:E25884"/>
    <s:mergeCell ref="A29666:E29666"/>
    <s:mergeCell ref="A6174:E6174"/>
    <s:mergeCell ref="A4089:E4089"/>
    <s:mergeCell ref="A13360:E13360"/>
    <s:mergeCell ref="A20484:E20484"/>
    <s:mergeCell ref="A20478:E20478"/>
    <s:mergeCell ref="A4178:E4178"/>
    <s:mergeCell ref="A10991:E10991"/>
    <s:mergeCell ref="A20778:E20778"/>
    <s:mergeCell ref="A18693:E18693"/>
    <s:mergeCell ref="A6175:E6175"/>
    <s:mergeCell ref="A4478:E4478"/>
    <s:mergeCell ref="A20479:E20479"/>
    <s:mergeCell ref="A25900:E25900"/>
    <s:mergeCell ref="B11538:E11538"/>
    <s:mergeCell ref="A11291:E11291"/>
    <s:mergeCell ref="A6475:E6475"/>
    <s:mergeCell ref="A9811:E9811"/>
    <s:mergeCell ref="A26200:E26200"/>
    <s:mergeCell ref="A13288:E13288"/>
    <s:mergeCell ref="A11591:E11591"/>
    <s:mergeCell ref="A9506:E9506"/>
    <s:mergeCell ref="A11292:E11292"/>
    <s:mergeCell ref="A2403:E2403"/>
    <s:mergeCell ref="A18404:E18404"/>
    <s:mergeCell ref="A4189:E4189"/>
    <s:mergeCell ref="A2104:E2104"/>
    <s:mergeCell ref="A4406:E4406"/>
    <s:mergeCell ref="A2709:E2709"/>
    <s:mergeCell ref="B11833:E11833"/>
    <s:mergeCell ref="A4400:E4400"/>
    <s:mergeCell ref="A2315:E2315"/>
    <s:mergeCell ref="A11019:E11019"/>
    <s:mergeCell ref="A18704:E18704"/>
    <s:mergeCell ref="A4101:E4101"/>
    <s:mergeCell ref="A2404:E2404"/>
    <s:mergeCell ref="A9522:E9522"/>
    <s:mergeCell ref="A11319:E11319"/>
    <s:mergeCell ref="A2615:E2615"/>
    <s:mergeCell ref="A9217:E9217"/>
    <s:mergeCell ref="A2704:E2704"/>
    <s:mergeCell ref="A9822:E9822"/>
    <s:mergeCell ref="A25834:E25834"/>
    <s:mergeCell ref="A18737:E18737"/>
    <s:mergeCell ref="B8278:E8278"/>
    <s:mergeCell ref="A18432:E18432"/>
    <s:mergeCell ref="B10064:E10064"/>
    <s:mergeCell ref="A31555:E31555"/>
    <s:mergeCell ref="A16952:E16952"/>
    <s:mergeCell ref="A18738:E18738"/>
    <s:mergeCell ref="B10275:E10275"/>
    <s:mergeCell ref="A31250:E31250"/>
    <s:mergeCell ref="A18732:E18732"/>
    <s:mergeCell ref="A16647:E16647"/>
    <s:mergeCell ref="A25850:E25850"/>
    <s:mergeCell ref="B8279:E8279"/>
    <s:mergeCell ref="A23854:E23854"/>
    <s:mergeCell ref="A21763:E21763"/>
    <s:mergeCell ref="A26150:E26150"/>
    <s:mergeCell ref="A24065:E24065"/>
    <s:mergeCell ref="A22368:E22368"/>
    <s:mergeCell ref="A9850:E9850"/>
    <s:mergeCell ref="A7765:E7765"/>
    <s:mergeCell ref="A29181:E29181"/>
    <s:mergeCell ref="A16663:E16663"/>
    <s:mergeCell ref="A24365:E24365"/>
    <s:mergeCell ref="A26151:E26151"/>
    <s:mergeCell ref="A2659:E2659"/>
    <s:mergeCell ref="A29487:E29487"/>
    <s:mergeCell ref="A29481:E29481"/>
    <s:mergeCell ref="A16963:E16963"/>
    <s:mergeCell ref="A24665:E24665"/>
    <s:mergeCell ref="A16658:E16658"/>
    <s:mergeCell ref="B816:E816"/>
    <s:mergeCell ref="A29482:E29482"/>
    <s:mergeCell ref="A29209:E29209"/>
    <s:mergeCell ref="A24376:E24376"/>
    <s:mergeCell ref="A12014:E12014"/>
    <s:mergeCell ref="A29509:E29509"/>
    <s:mergeCell ref="A29204:E29204"/>
    <s:mergeCell ref="A12314:E12314"/>
    <s:mergeCell ref="A22107:E22107"/>
    <s:mergeCell ref="A3132:E3132"/>
    <s:mergeCell ref="A15206:E15206"/>
    <s:mergeCell ref="B28559:E28559"/>
    <s:mergeCell ref="A22019:E22019"/>
    <s:mergeCell ref="A20322:E20322"/>
    <s:mergeCell ref="A3432:E3432"/>
    <s:mergeCell ref="A3127:E3127"/>
    <s:mergeCell ref="A22319:E22319"/>
    <s:mergeCell ref="A20622:E20622"/>
    <s:mergeCell ref="A22619:E22619"/>
    <s:mergeCell ref="A4640:E4640"/>
    <s:mergeCell ref="A28040:E28040"/>
    <s:mergeCell ref="A3154:E3154"/>
    <s:mergeCell ref="A29432:E29432"/>
    <s:mergeCell ref="A27735:E27735"/>
    <s:mergeCell ref="A19155:E19155"/>
    <s:mergeCell ref="A4940:E4940"/>
    <s:mergeCell ref="A2855:E2855"/>
    <s:mergeCell ref="A3460:E3460"/>
    <s:mergeCell ref="B28282:E28282"/>
    <s:mergeCell ref="A10056:E10056"/>
    <s:mergeCell ref="A7971:E7971"/>
    <s:mergeCell ref="A3155:E3155"/>
    <s:mergeCell ref="A24876:E24876"/>
    <s:mergeCell ref="A22791:E22791"/>
    <s:mergeCell ref="A10273:E10273"/>
    <s:mergeCell ref="A17975:E17975"/>
    <s:mergeCell ref="A9968:E9968"/>
    <s:mergeCell ref="A8271:E8271"/>
    <s:mergeCell ref="A3455:E3455"/>
    <s:mergeCell ref="A15389:E15389"/>
    <s:mergeCell ref="A23091:E23091"/>
    <s:mergeCell ref="A10573:E10573"/>
    <s:mergeCell ref="A6791:E6791"/>
    <s:mergeCell ref="A24877:E24877"/>
    <s:mergeCell ref="B28494:E28494"/>
    <s:mergeCell ref="A22786:E22786"/>
    <s:mergeCell ref="A1385:E1385"/>
    <s:mergeCell ref="A10268:E10268"/>
    <s:mergeCell ref="A8571:E8571"/>
    <s:mergeCell ref="A15689:E15689"/>
    <s:mergeCell ref="A23391:E23391"/>
    <s:mergeCell ref="A1086:E1086"/>
    <s:mergeCell ref="A17686:E17686"/>
    <s:mergeCell ref="A15989:E15989"/>
    <s:mergeCell ref="A13904:E13904"/>
    <s:mergeCell ref="A1386:E1386"/>
    <s:mergeCell ref="A1380:E1380"/>
    <s:mergeCell ref="B26208:E26208"/>
    <s:mergeCell ref="A22819:E22819"/>
    <s:mergeCell ref="A3166:E3166"/>
    <s:mergeCell ref="A1081:E1081"/>
    <s:mergeCell ref="B26813:E26813"/>
    <s:mergeCell ref="A17986:E17986"/>
    <s:mergeCell ref="B1933:E1933"/>
    <s:mergeCell ref="A14204:E14204"/>
    <s:mergeCell ref="A15901:E15901"/>
    <s:mergeCell ref="A23102:E23102"/>
    <s:mergeCell ref="A21017:E21017"/>
    <s:mergeCell ref="B16448:E16448"/>
    <s:mergeCell ref="A29721:E29721"/>
    <s:mergeCell ref="B16442:E16442"/>
    <s:mergeCell ref="A6408:E6408"/>
    <s:mergeCell ref="A29932:E29932"/>
    <s:mergeCell ref="A30021:E30021"/>
    <s:mergeCell ref="A8799:E8799"/>
    <s:mergeCell ref="A30232:E30232"/>
    <s:mergeCell ref="A30321:E30321"/>
    <s:mergeCell ref="A28236:E28236"/>
    <s:mergeCell ref="A8526:E8526"/>
    <s:mergeCell ref="A6441:E6441"/>
    <s:mergeCell ref="A22830:E22830"/>
    <s:mergeCell ref="A8227:E8227"/>
    <s:mergeCell ref="A30233:E30233"/>
    <s:mergeCell ref="A6741:E6741"/>
    <s:mergeCell ref="A13343:E13343"/>
    <s:mergeCell ref="A23130:E23130"/>
    <s:mergeCell ref="A21045:E21045"/>
    <s:mergeCell ref="A8527:E8527"/>
    <s:mergeCell ref="A22831:E22831"/>
    <s:mergeCell ref="A21650:E21650"/>
    <s:mergeCell ref="A20740:E20740"/>
    <s:mergeCell ref="A7024:E7024"/>
    <s:mergeCell ref="A13643:E13643"/>
    <s:mergeCell ref="A21345:E21345"/>
    <s:mergeCell ref="A8827:E8827"/>
    <s:mergeCell ref="A6742:E6742"/>
    <s:mergeCell ref="B6983:E6983"/>
    <s:mergeCell ref="A30243:E30243"/>
    <s:mergeCell ref="A28158:E28158"/>
    <s:mergeCell ref="A13943:E13943"/>
    <s:mergeCell ref="A11858:E11858"/>
    <s:mergeCell ref="A28763:E28763"/>
    <s:mergeCell ref="B14401:E14401"/>
    <s:mergeCell ref="A14154:E14154"/>
    <s:mergeCell ref="A28458:E28458"/>
    <s:mergeCell ref="A15940:E15940"/>
    <s:mergeCell ref="A12158:E12158"/>
    <s:mergeCell ref="A21361:E21361"/>
    <s:mergeCell ref="A19276:E19276"/>
    <s:mergeCell ref="A6752:E6752"/>
    <s:mergeCell ref="A4667:E4667"/>
    <s:mergeCell ref="A21056:E21056"/>
    <s:mergeCell ref="A5272:E5272"/>
    <s:mergeCell ref="A19576:E19576"/>
    <s:mergeCell ref="A26189:E26189"/>
    <s:mergeCell ref="A4967:E4967"/>
    <s:mergeCell ref="A21356:E21356"/>
    <s:mergeCell ref="A19271:E19271"/>
    <s:mergeCell ref="A6753:E6753"/>
    <s:mergeCell ref="A26389:E26389"/>
    <s:mergeCell ref="A21573:E21573"/>
    <s:mergeCell ref="A28186:E28186"/>
    <s:mergeCell ref="A5267:E5267"/>
    <s:mergeCell ref="B26936:E26936"/>
    <s:mergeCell ref="A26689:E26689"/>
    <s:mergeCell ref="A12474:E12474"/>
    <s:mergeCell ref="A12080:E12080"/>
    <s:mergeCell ref="A26989:E26989"/>
    <s:mergeCell ref="A3198:E3198"/>
    <s:mergeCell ref="A19604:E19604"/>
    <s:mergeCell ref="A17502:E17502"/>
    <s:mergeCell ref="A26716:E26716"/>
    <s:mergeCell ref="A4978:E4978"/>
    <s:mergeCell ref="A2893:E2893"/>
    <s:mergeCell ref="A28502:E28502"/>
    <s:mergeCell ref="A26417:E26417"/>
    <s:mergeCell ref="A3498:E3498"/>
    <s:mergeCell ref="A10111:E10111"/>
    <s:mergeCell ref="A28197:E28197"/>
    <s:mergeCell ref="A31533:E31533"/>
    <s:mergeCell ref="B16563:E16563"/>
    <s:mergeCell ref="A26717:E26717"/>
    <s:mergeCell ref="A12108:E12108"/>
    <s:mergeCell ref="A26412:E26412"/>
    <s:mergeCell ref="A5011:E5011"/>
    <s:mergeCell ref="A27017:E27017"/>
    <s:mergeCell ref="A24932:E24932"/>
    <s:mergeCell ref="A12408:E12408"/>
    <s:mergeCell ref="A3226:E3226"/>
    <s:mergeCell ref="A17530:E17530"/>
    <s:mergeCell ref="A17524:E17524"/>
    <s:mergeCell ref="A10039:E10039"/>
    <s:mergeCell ref="A3526:E3526"/>
    <s:mergeCell ref="A10122:E10122"/>
    <s:mergeCell ref="A8037:E8037"/>
    <s:mergeCell ref="A24948:E24948"/>
    <s:mergeCell ref="A24942:E24942"/>
    <s:mergeCell ref="A22857:E22857"/>
    <s:mergeCell ref="A10339:E10339"/>
    <s:mergeCell ref="A8642:E8642"/>
    <s:mergeCell ref="A24643:E24643"/>
    <s:mergeCell ref="A10034:E10034"/>
    <s:mergeCell ref="A8337:E8337"/>
    <s:mergeCell ref="A23157:E23157"/>
    <s:mergeCell ref="A10639:E10639"/>
    <s:mergeCell ref="A24943:E24943"/>
    <s:mergeCell ref="A8637:E8637"/>
    <s:mergeCell ref="A15761:E15761"/>
    <s:mergeCell ref="A5478:E5478"/>
    <s:mergeCell ref="A3393:E3393"/>
    <s:mergeCell ref="A8854:E8854"/>
    <s:mergeCell ref="A5784:E5784"/>
    <s:mergeCell ref="A3693:E3693"/>
    <s:mergeCell ref="A15756:E15756"/>
    <s:mergeCell ref="A5479:E5479"/>
    <s:mergeCell ref="A4298:E4298"/>
    <s:mergeCell ref="A5690:E5690"/>
    <s:mergeCell ref="A3993:E3993"/>
    <s:mergeCell ref="A15483:E15483"/>
    <s:mergeCell ref="A5779:E5779"/>
    <s:mergeCell ref="A12891:E12891"/>
    <s:mergeCell ref="A15783:E15783"/>
    <s:mergeCell ref="A30603:E30603"/>
    <s:mergeCell ref="A30304:E30304"/>
    <s:mergeCell ref="A30298:E30298"/>
    <s:mergeCell ref="A22902:E22902"/>
    <s:mergeCell ref="A22896:E22896"/>
    <s:mergeCell ref="A23202:E23202"/>
    <s:mergeCell ref="A10834:E10834"/>
    <s:mergeCell ref="A11439:E11439"/>
    <s:mergeCell ref="A23658:E23658"/>
    <s:mergeCell ref="A11134:E11134"/>
    <s:mergeCell ref="A18341:E18341"/>
    <s:mergeCell ref="A16256:E16256"/>
    <s:mergeCell ref="A5429:E5429"/>
    <s:mergeCell ref="A1647:E1647"/>
    <s:mergeCell ref="A10850:E10850"/>
    <s:mergeCell ref="A18552:E18552"/>
    <s:mergeCell ref="A16467:E16467"/>
    <s:mergeCell ref="A2252:E2252"/>
    <s:mergeCell ref="A3943:E3943"/>
    <s:mergeCell ref="A3644:E3644"/>
    <s:mergeCell ref="A11150:E11150"/>
    <s:mergeCell ref="A9065:E9065"/>
    <s:mergeCell ref="A31071:E31071"/>
    <s:mergeCell ref="A8760:E8760"/>
    <s:mergeCell ref="A23974:E23974"/>
    <s:mergeCell ref="A9365:E9365"/>
    <s:mergeCell ref="A16178:E16178"/>
    <s:mergeCell ref="A1963:E1963"/>
    <s:mergeCell ref="A11362:E11362"/>
    <s:mergeCell ref="A9665:E9665"/>
    <s:mergeCell ref="A2180:E2180"/>
    <s:mergeCell ref="A1658:E1658"/>
    <s:mergeCell ref="A25182:E25182"/>
    <s:mergeCell ref="A16478:E16478"/>
    <s:mergeCell ref="B9907:E9907"/>
    <s:mergeCell ref="A1958:E1958"/>
    <s:mergeCell ref="A9093:E9093"/>
    <s:mergeCell ref="B17025:E17025"/>
    <s:mergeCell ref="A25482:E25482"/>
    <s:mergeCell ref="A16778:E16778"/>
    <s:mergeCell ref="A14693:E14693"/>
    <s:mergeCell ref="A4260:E4260"/>
    <s:mergeCell ref="A2175:E2175"/>
    <s:mergeCell ref="A478:E478"/>
    <s:mergeCell ref="A23397:E23397"/>
    <s:mergeCell ref="A9393:E9393"/>
    <s:mergeCell ref="A7291:E7291"/>
    <s:mergeCell ref="A23697:E23697"/>
    <s:mergeCell ref="A14993:E14993"/>
    <s:mergeCell ref="A30815:E30815"/>
    <s:mergeCell ref="A16206:E16206"/>
    <s:mergeCell ref="A30510:E30510"/>
    <s:mergeCell ref="B7838:E7838"/>
    <s:mergeCell ref="A7591:E7591"/>
    <s:mergeCell ref="A23997:E23997"/>
    <s:mergeCell ref="A31115:E31115"/>
    <s:mergeCell ref="B8443:E8443"/>
    <s:mergeCell ref="A16512:E16512"/>
    <s:mergeCell ref="A16506:E16506"/>
    <s:mergeCell ref="A7891:E7891"/>
    <s:mergeCell ref="B647:E647"/>
    <s:mergeCell ref="A31021:E31021"/>
    <s:mergeCell ref="A9104:E9104"/>
    <s:mergeCell ref="A7019:E7019"/>
    <s:mergeCell ref="A23924:E23924"/>
    <s:mergeCell ref="A31110:E31110"/>
    <s:mergeCell ref="A29025:E29025"/>
    <s:mergeCell ref="A18592:E18592"/>
    <s:mergeCell ref="A16507:E16507"/>
    <s:mergeCell ref="A21928:E21928"/>
    <s:mergeCell ref="A23619:E23619"/>
    <s:mergeCell ref="A21922:E21922"/>
    <s:mergeCell ref="A19837:E19837"/>
    <s:mergeCell ref="A14437:E14437"/>
    <s:mergeCell ref="A23708:E23708"/>
    <s:mergeCell ref="A21623:E21623"/>
    <s:mergeCell ref="A29325:E29325"/>
    <s:mergeCell ref="A23925:E23925"/>
    <s:mergeCell ref="A23919:E23919"/>
    <s:mergeCell ref="A21834:E21834"/>
    <s:mergeCell ref="A7619:E7619"/>
    <s:mergeCell ref="A5534:E5534"/>
    <s:mergeCell ref="A14737:E14737"/>
    <s:mergeCell ref="A21923:E21923"/>
    <s:mergeCell ref="A22439:E22439"/>
    <s:mergeCell ref="A128:E128"/>
    <s:mergeCell ref="A14432:E14432"/>
    <s:mergeCell ref="A28736:E28736"/>
    <s:mergeCell ref="A15037:E15037"/>
    <s:mergeCell ref="A12952:E12952"/>
    <s:mergeCell ref="A29341:E29341"/>
    <s:mergeCell ref="B22681:E22681"/>
    <s:mergeCell ref="A14732:E14732"/>
    <s:mergeCell ref="A129:E129"/>
    <s:mergeCell ref="B13499:E13499"/>
    <s:mergeCell ref="A5550:E5550"/>
    <s:mergeCell ref="A5544:E5544"/>
    <s:mergeCell ref="A3459:E3459"/>
    <s:mergeCell ref="A4064:E4064"/>
    <s:mergeCell ref="A22150:E22150"/>
    <s:mergeCell ref="A20065:E20065"/>
    <s:mergeCell ref="A28769:E28769"/>
    <s:mergeCell ref="A5850:E5850"/>
    <s:mergeCell ref="A5456:E5456"/>
    <s:mergeCell ref="A5545:E5545"/>
    <s:mergeCell ref="A29069:E29069"/>
    <s:mergeCell ref="A20365:E20365"/>
    <s:mergeCell ref="A26978:E26978"/>
    <s:mergeCell ref="B27813:E27813"/>
    <s:mergeCell ref="A3760:E3760"/>
    <s:mergeCell ref="A12963:E12963"/>
    <s:mergeCell ref="A29369:E29369"/>
    <s:mergeCell ref="A27284:E27284"/>
    <s:mergeCell ref="A10872:E10872"/>
    <s:mergeCell ref="A13263:E13263"/>
    <s:mergeCell ref="A27294:E27294"/>
    <s:mergeCell ref="A25209:E25209"/>
    <s:mergeCell ref="A12691:E12691"/>
    <s:mergeCell ref="A20393:E20393"/>
    <s:mergeCell ref="A11205:E11205"/>
    <s:mergeCell ref="A17807:E17807"/>
    <s:mergeCell ref="A27206:E27206"/>
    <s:mergeCell ref="A25509:E25509"/>
    <s:mergeCell ref="A12991:E12991"/>
    <s:mergeCell ref="A27295:E27295"/>
    <s:mergeCell ref="A25204:E25204"/>
    <s:mergeCell ref="A18107:E18107"/>
    <s:mergeCell ref="A27506:E27506"/>
    <s:mergeCell ref="A25809:E25809"/>
    <s:mergeCell ref="A11206:E11206"/>
    <s:mergeCell ref="A18324:E18324"/>
    <s:mergeCell ref="A20104:E20104"/>
    <s:mergeCell ref="A16322:E16322"/>
    <s:mergeCell ref="A25721:E25721"/>
    <s:mergeCell ref="A18618:E18618"/>
    <s:mergeCell ref="B20651:E20651"/>
    <s:mergeCell ref="A30837:E30837"/>
    <s:mergeCell ref="A20404:E20404"/>
    <s:mergeCell ref="A23740:E23740"/>
    <s:mergeCell ref="A25520:E25520"/>
    <s:mergeCell ref="A23435:E23435"/>
    <s:mergeCell ref="A13158:E13158"/>
    <s:mergeCell ref="A18619:E18619"/>
    <s:mergeCell ref="A24040:E24040"/>
    <s:mergeCell ref="A13763:E13763"/>
    <s:mergeCell ref="A11678:E11678"/>
    <s:mergeCell ref="A1245:E1245"/>
    <s:mergeCell ref="A11217:E11217"/>
    <s:mergeCell ref="A13458:E13458"/>
    <s:mergeCell ref="A940:E940"/>
    <s:mergeCell ref="A11978:E11978"/>
    <s:mergeCell ref="A8859:E8859"/>
    <s:mergeCell ref="A13758:E13758"/>
    <s:mergeCell ref="A23163:E23163"/>
    <s:mergeCell ref="A6273:E6273"/>
    <s:mergeCell ref="A9159:E9159"/>
    <s:mergeCell ref="B2488:E2488"/>
    <s:mergeCell ref="A4482:E4482"/>
    <s:mergeCell ref="A24068:E24068"/>
    <s:mergeCell ref="B29610:E29610"/>
    <s:mergeCell ref="A30881:E30881"/>
    <s:mergeCell ref="A30576:E30576"/>
    <s:mergeCell ref="A6600:E6600"/>
    <s:mergeCell ref="A31181:E31181"/>
    <s:mergeCell ref="A30876:E30876"/>
    <s:mergeCell ref="A8081:E8081"/>
    <s:mergeCell ref="A11417:E11417"/>
    <s:mergeCell ref="A19119:E19119"/>
    <s:mergeCell ref="B31423:E31423"/>
    <s:mergeCell ref="A13713:E13713"/>
    <s:mergeCell ref="A18814:E18814"/>
    <s:mergeCell ref="A6296:E6296"/>
    <s:mergeCell ref="A13414:E13414"/>
    <s:mergeCell ref="A11717:E11717"/>
    <s:mergeCell ref="B22452:E22452"/>
    <s:mergeCell ref="A11412:E11412"/>
    <s:mergeCell ref="A11928:E11928"/>
    <s:mergeCell ref="A26232:E26232"/>
    <s:mergeCell ref="A13714:E13714"/>
    <s:mergeCell ref="A12017:E12017"/>
    <s:mergeCell ref="A9932:E9932"/>
    <s:mergeCell ref="A11623:E11623"/>
    <s:mergeCell ref="A11712:E11712"/>
    <s:mergeCell ref="A26532:E26532"/>
    <s:mergeCell ref="A14014:E14014"/>
    <s:mergeCell ref="A11929:E11929"/>
    <s:mergeCell ref="A17350:E17350"/>
    <s:mergeCell ref="A4826:E4826"/>
    <s:mergeCell ref="A2741:E2741"/>
    <s:mergeCell ref="A19130:E19130"/>
    <s:mergeCell ref="A17045:E17045"/>
    <s:mergeCell ref="A2830:E2830"/>
    <s:mergeCell ref="A2436:E2436"/>
    <s:mergeCell ref="A25960:E25960"/>
    <s:mergeCell ref="A3041:E3041"/>
    <s:mergeCell ref="A9643:E9643"/>
    <s:mergeCell ref="A17345:E17345"/>
    <s:mergeCell ref="A11939:E11939"/>
    <s:mergeCell ref="A9854:E9854"/>
    <s:mergeCell ref="A18558:E18558"/>
    <s:mergeCell ref="A26260:E26260"/>
    <s:mergeCell ref="A9943:E9943"/>
    <s:mergeCell ref="A31376:E31376"/>
    <s:mergeCell ref="A18858:E18858"/>
    <s:mergeCell ref="A10154:E10154"/>
    <s:mergeCell ref="A3057:E3057"/>
    <s:mergeCell ref="A10243:E10243"/>
    <s:mergeCell ref="A31676:E31676"/>
    <s:mergeCell ref="A2752:E2752"/>
    <s:mergeCell ref="A19158:E19158"/>
    <s:mergeCell ref="A17073:E17073"/>
    <s:mergeCell ref="A26276:E26276"/>
    <s:mergeCell ref="A31377:E31377"/>
    <s:mergeCell ref="A25971:E25971"/>
    <s:mergeCell ref="A24274:E24274"/>
    <s:mergeCell ref="A22189:E22189"/>
    <s:mergeCell ref="A3052:E3052"/>
    <s:mergeCell ref="A967:E967"/>
    <s:mergeCell ref="A17373:E17373"/>
    <s:mergeCell ref="A24491:E24491"/>
    <s:mergeCell ref="A31677:E31677"/>
    <s:mergeCell ref="A26271:E26271"/>
    <s:mergeCell ref="A24186:E24186"/>
    <s:mergeCell ref="A22489:E22489"/>
    <s:mergeCell ref="A1267:E1267"/>
    <s:mergeCell ref="A24791:E24791"/>
    <s:mergeCell ref="A29302:E29302"/>
    <s:mergeCell ref="A16784:E16784"/>
    <s:mergeCell ref="A24486:E24486"/>
    <s:mergeCell ref="A31604:E31604"/>
    <s:mergeCell ref="A29907:E29907"/>
    <s:mergeCell ref="A17389:E17389"/>
    <s:mergeCell ref="A2780:E2780"/>
    <s:mergeCell ref="A695:E695"/>
    <s:mergeCell ref="A17084:E17084"/>
    <s:mergeCell ref="A1300:E1300"/>
    <s:mergeCell ref="A7896:E7896"/>
    <s:mergeCell ref="A17295:E17295"/>
    <s:mergeCell ref="A5811:E5811"/>
    <s:mergeCell ref="A995:E995"/>
    <s:mergeCell ref="A10198:E10198"/>
    <s:mergeCell ref="A8113:E8113"/>
    <s:mergeCell ref="A17384:E17384"/>
    <s:mergeCell ref="A22417:E22417"/>
    <s:mergeCell ref="A30119:E30119"/>
    <s:mergeCell ref="A8202:E8202"/>
    <s:mergeCell ref="A9893:E9893"/>
    <s:mergeCell ref="A6111:E6111"/>
    <s:mergeCell ref="B1542:E1542"/>
    <s:mergeCell ref="A15314:E15314"/>
    <s:mergeCell ref="A8413:E8413"/>
    <s:mergeCell ref="B30666:E30666"/>
    <s:mergeCell ref="B10440:E10440"/>
    <s:mergeCell ref="A8108:E8108"/>
    <s:mergeCell ref="A6411:E6411"/>
    <s:mergeCell ref="A15226:E15226"/>
    <s:mergeCell ref="A13529:E13529"/>
    <s:mergeCell ref="B8960:E8960"/>
    <s:mergeCell ref="A1011:E1011"/>
    <s:mergeCell ref="A8713:E8713"/>
    <s:mergeCell ref="B23258:E23258"/>
    <s:mergeCell ref="A13224:E13224"/>
    <s:mergeCell ref="A706:E706"/>
    <s:mergeCell ref="A13829:E13829"/>
    <s:mergeCell ref="A11744:E11744"/>
    <s:mergeCell ref="A29830:E29830"/>
    <s:mergeCell ref="A13530:E13530"/>
    <s:mergeCell ref="A22744:E22744"/>
    <s:mergeCell ref="A13524:E13524"/>
    <s:mergeCell ref="A1006:E1006"/>
    <s:mergeCell ref="A15826:E15826"/>
    <s:mergeCell ref="A13741:E13741"/>
    <s:mergeCell ref="A22445:E22445"/>
    <s:mergeCell ref="B30377:E30377"/>
    <s:mergeCell ref="B1553:E1553"/>
    <s:mergeCell ref="A29646:E29646"/>
    <s:mergeCell ref="A6339:E6339"/>
    <s:mergeCell ref="A22745:E22745"/>
    <s:mergeCell ref="A29558:E29558"/>
    <s:mergeCell ref="A27861:E27861"/>
    <s:mergeCell ref="A29858:E29858"/>
    <s:mergeCell ref="B7186:E7186"/>
    <s:mergeCell ref="A26076:E26076"/>
    <s:mergeCell ref="A28161:E28161"/>
    <s:mergeCell ref="A20670:E20670"/>
    <s:mergeCell ref="A30158:E30158"/>
    <s:mergeCell ref="A20970:E20970"/>
    <s:mergeCell ref="A18885:E18885"/>
    <s:mergeCell ref="A4670:E4670"/>
    <s:mergeCell ref="A20671:E20671"/>
    <s:mergeCell ref="A20665:E20665"/>
    <s:mergeCell ref="A11483:E11483"/>
    <s:mergeCell ref="B295:E295"/>
    <s:mergeCell ref="A4582:E4582"/>
    <s:mergeCell ref="A20971:E20971"/>
    <s:mergeCell ref="A26392:E26392"/>
    <s:mergeCell ref="A25998:E25998"/>
    <s:mergeCell ref="A11783:E11783"/>
    <s:mergeCell ref="A9698:E9698"/>
    <s:mergeCell ref="A26298:E26298"/>
    <s:mergeCell ref="A13780:E13780"/>
    <s:mergeCell ref="A8924:E8924"/>
    <s:mergeCell ref="A11995:E11995"/>
    <s:mergeCell ref="A1718:E1718"/>
    <s:mergeCell ref="B26934:E26934"/>
    <s:mergeCell ref="A7139:E7139"/>
    <s:mergeCell ref="A8919:E8919"/>
    <s:mergeCell ref="A6834:E6834"/>
    <s:mergeCell ref="A8620:E8620"/>
    <s:mergeCell ref="A7439:E7439"/>
    <s:mergeCell ref="A7134:E7134"/>
    <s:mergeCell ref="A18624:E18624"/>
    <s:mergeCell ref="A37:E37"/>
    <s:mergeCell ref="A13947:E13947"/>
    <s:mergeCell ref="A31448:E31448"/>
    <s:mergeCell ref="A2034:E2034"/>
    <s:mergeCell ref="A16839:E16839"/>
    <s:mergeCell ref="A26042:E26042"/>
    <s:mergeCell ref="B10556:E10556"/>
    <s:mergeCell ref="A17444:E17444"/>
    <s:mergeCell ref="A31748:E31748"/>
    <s:mergeCell ref="A7150:E7150"/>
    <s:mergeCell ref="A5065:E5065"/>
    <s:mergeCell ref="A26342:E26342"/>
    <s:mergeCell ref="A6845:E6845"/>
    <s:mergeCell ref="A13980:E13980"/>
    <s:mergeCell ref="A26037:E26037"/>
    <s:mergeCell ref="A5365:E5365"/>
    <s:mergeCell ref="A14280:E14280"/>
    <s:mergeCell ref="A26343:E26343"/>
    <s:mergeCell ref="A26337:E26337"/>
    <s:mergeCell ref="A13975:E13975"/>
    <s:mergeCell ref="A6878:E6878"/>
    <s:mergeCell ref="A14580:E14580"/>
    <s:mergeCell ref="A14281:E14281"/>
    <s:mergeCell ref="A14275:E14275"/>
    <s:mergeCell ref="A19696:E19696"/>
    <s:mergeCell ref="A7178:E7178"/>
    <s:mergeCell ref="A5093:E5093"/>
    <s:mergeCell ref="A21482:E21482"/>
    <s:mergeCell ref="A19397:E19397"/>
    <s:mergeCell ref="A6873:E6873"/>
    <s:mergeCell ref="A4788:E4788"/>
    <s:mergeCell ref="A21699:E21699"/>
    <s:mergeCell ref="A21693:E21693"/>
    <s:mergeCell ref="A5393:E5393"/>
    <s:mergeCell ref="A19697:E19697"/>
    <s:mergeCell ref="A19691:E19691"/>
    <s:mergeCell ref="A5088:E5088"/>
    <s:mergeCell ref="A14291:E14291"/>
    <s:mergeCell ref="A12206:E12206"/>
    <s:mergeCell ref="A5693:E5693"/>
    <s:mergeCell ref="A12811:E12811"/>
    <s:mergeCell ref="A27115:E27115"/>
    <s:mergeCell ref="A25024:E25024"/>
    <s:mergeCell ref="A12506:E12506"/>
    <s:mergeCell ref="A3318:E3318"/>
    <s:mergeCell ref="A12806:E12806"/>
    <s:mergeCell ref="A10721:E10721"/>
    <s:mergeCell ref="A3624:E3624"/>
    <s:mergeCell ref="A5315:E5315"/>
    <s:mergeCell ref="A19619:E19619"/>
    <s:mergeCell ref="A5404:E5404"/>
    <s:mergeCell ref="A3319:E3319"/>
    <s:mergeCell ref="A5615:E5615"/>
    <s:mergeCell ref="A3530:E3530"/>
    <s:mergeCell ref="A28623:E28623"/>
    <s:mergeCell ref="A26538:E26538"/>
    <s:mergeCell ref="A3619:E3619"/>
    <s:mergeCell ref="A10737:E10737"/>
    <s:mergeCell ref="A10731:E10731"/>
    <s:mergeCell ref="B18381:E18381"/>
    <s:mergeCell ref="A10432:E10432"/>
    <s:mergeCell ref="A26838:E26838"/>
    <s:mergeCell ref="A3346:E3346"/>
    <s:mergeCell ref="A11037:E11037"/>
    <s:mergeCell ref="A17650:E17650"/>
    <s:mergeCell ref="A25053:E25053"/>
    <s:mergeCell ref="A30474:E30474"/>
    <s:mergeCell ref="A3241:E3241"/>
    <s:mergeCell ref="A19647:E19647"/>
    <s:mergeCell ref="A17950:E17950"/>
    <s:mergeCell ref="A25068:E25068"/>
    <s:mergeCell ref="A19947:E19947"/>
    <s:mergeCell ref="A17862:E17862"/>
    <s:mergeCell ref="A23283:E23283"/>
    <s:mergeCell ref="A10765:E10765"/>
    <s:mergeCell ref="A25069:E25069"/>
    <s:mergeCell ref="A25063:E25063"/>
    <s:mergeCell ref="A22978:E22978"/>
    <s:mergeCell ref="A12545:E12545"/>
    <s:mergeCell ref="A10460:E10460"/>
    <s:mergeCell ref="A24764:E24764"/>
    <s:mergeCell ref="A23583:E23583"/>
    <s:mergeCell ref="A11065:E11065"/>
    <s:mergeCell ref="A8980:E8980"/>
    <s:mergeCell ref="A15576:E15576"/>
    <s:mergeCell ref="A23278:E23278"/>
    <s:mergeCell ref="A10760:E10760"/>
    <s:mergeCell ref="A30396:E30396"/>
    <s:mergeCell ref="A17878:E17878"/>
    <s:mergeCell ref="A14096:E14096"/>
    <s:mergeCell ref="A1578:E1578"/>
    <s:mergeCell ref="A1572:E1572"/>
    <s:mergeCell ref="A18483:E18483"/>
    <s:mergeCell ref="A15882:E15882"/>
    <s:mergeCell ref="A15876:E15876"/>
    <s:mergeCell ref="A8975:E8975"/>
    <s:mergeCell ref="A30696:E30696"/>
    <s:mergeCell ref="A18178:E18178"/>
    <s:mergeCell ref="A16093:E16093"/>
    <s:mergeCell ref="A14396:E14396"/>
    <s:mergeCell ref="B2119:E2119"/>
    <s:mergeCell ref="A16087:E16087"/>
    <s:mergeCell ref="A8990:E8990"/>
    <s:mergeCell ref="A6905:E6905"/>
    <s:mergeCell ref="A23294:E23294"/>
    <s:mergeCell ref="A21209:E21209"/>
    <s:mergeCell ref="A30996:E30996"/>
    <s:mergeCell ref="A16393:E16393"/>
    <s:mergeCell ref="A7205:E7205"/>
    <s:mergeCell ref="A8991:E8991"/>
    <s:mergeCell ref="A6900:E6900"/>
    <s:mergeCell ref="A30424:E30424"/>
    <s:mergeCell ref="B22056:E22056"/>
    <s:mergeCell ref="A21809:E21809"/>
    <s:mergeCell ref="A23022:E23022"/>
    <s:mergeCell ref="A30724:E30724"/>
    <s:mergeCell ref="A1800:E1800"/>
    <s:mergeCell ref="A30707:E30707"/>
    <s:mergeCell ref="A28622:E28622"/>
    <s:mergeCell ref="A30419:E30419"/>
    <s:mergeCell ref="B2347:E2347"/>
    <s:mergeCell ref="A21237:E21237"/>
    <s:mergeCell ref="A2100:E2100"/>
    <s:mergeCell ref="B31254:E31254"/>
    <s:mergeCell ref="A14319:E14319"/>
    <s:mergeCell ref="A21537:E21537"/>
    <s:mergeCell ref="A14046:E14046"/>
    <s:mergeCell ref="A30435:E30435"/>
    <s:mergeCell ref="A28350:E28350"/>
    <s:mergeCell ref="A15832:E15832"/>
    <s:mergeCell ref="B29769:E29769"/>
    <s:mergeCell ref="A28955:E28955"/>
    <s:mergeCell ref="A14346:E14346"/>
    <s:mergeCell ref="B30982:E30982"/>
    <s:mergeCell ref="A28650:E28650"/>
    <s:mergeCell ref="B5978:E5978"/>
    <s:mergeCell ref="A16132:E16132"/>
    <s:mergeCell ref="A14041:E14041"/>
    <s:mergeCell ref="A29255:E29255"/>
    <s:mergeCell ref="A27170:E27170"/>
    <s:mergeCell ref="A6944:E6944"/>
    <s:mergeCell ref="A21248:E21248"/>
    <s:mergeCell ref="A28950:E28950"/>
    <s:mergeCell ref="A16432:E16432"/>
    <s:mergeCell ref="A14347:E14347"/>
    <s:mergeCell ref="A19768:E19768"/>
    <s:mergeCell ref="A21459:E21459"/>
    <s:mergeCell ref="A19762:E19762"/>
    <s:mergeCell ref="A21548:E21548"/>
    <s:mergeCell ref="A21765:E21765"/>
    <s:mergeCell ref="A21759:E21759"/>
    <s:mergeCell ref="A19674:E19674"/>
    <s:mergeCell ref="A5459:E5459"/>
    <s:mergeCell ref="A9397:E9397"/>
    <s:mergeCell ref="A19763:E19763"/>
    <s:mergeCell ref="A2300:E2300"/>
    <s:mergeCell ref="A12666:E12666"/>
    <s:mergeCell ref="A16604:E16604"/>
    <s:mergeCell ref="A26576:E26576"/>
    <s:mergeCell ref="A16299:E16299"/>
    <s:mergeCell ref="A2084:E2084"/>
    <s:mergeCell ref="A515:E515"/>
    <s:mergeCell ref="A2600:E2600"/>
    <s:mergeCell ref="A27181:E27181"/>
    <s:mergeCell ref="B27428:E27428"/>
    <s:mergeCell ref="A16904:E16904"/>
    <s:mergeCell ref="A2301:E2301"/>
    <s:mergeCell ref="A604:E604"/>
    <s:mergeCell ref="A2295:E2295"/>
    <s:mergeCell ref="A16599:E16599"/>
    <s:mergeCell ref="A7417:E7417"/>
    <s:mergeCell ref="A2595:E2595"/>
    <s:mergeCell ref="A28694:E28694"/>
    <s:mergeCell ref="A7717:E7717"/>
    <s:mergeCell ref="B20537:E20537"/>
    <s:mergeCell ref="A26909:E26909"/>
    <s:mergeCell ref="A226:E226"/>
    <s:mergeCell ref="A9714:E9714"/>
    <s:mergeCell ref="A8017:E8017"/>
    <s:mergeCell ref="A27209:E27209"/>
    <s:mergeCell ref="A25124:E25124"/>
    <s:mergeCell ref="A526:E526"/>
    <s:mergeCell ref="B18447:E18447"/>
    <s:mergeCell ref="A221:E221"/>
    <s:mergeCell ref="A30240:E30240"/>
    <s:mergeCell ref="B19052:E19052"/>
    <s:mergeCell ref="A15130:E15130"/>
    <s:mergeCell ref="A20263:E20263"/>
    <s:mergeCell ref="A7745:E7745"/>
    <s:mergeCell ref="A22565:E22565"/>
    <s:mergeCell ref="A254:E254"/>
    <s:mergeCell ref="A14558:E14558"/>
    <s:mergeCell ref="A22260:E22260"/>
    <s:mergeCell ref="A8045:E8045"/>
    <s:mergeCell ref="A13072:E13072"/>
    <s:mergeCell ref="A554:E554"/>
    <s:mergeCell ref="A31158:E31158"/>
    <s:mergeCell ref="A22560:E22560"/>
    <s:mergeCell ref="A249:E249"/>
    <s:mergeCell ref="A27981:E27981"/>
    <s:mergeCell ref="A5670:E5670"/>
    <s:mergeCell ref="A14553:E14553"/>
    <s:mergeCell ref="A854:E854"/>
    <s:mergeCell ref="B25682:E25682"/>
    <s:mergeCell ref="A29373:E29373"/>
    <s:mergeCell ref="A7972:E7972"/>
    <s:mergeCell ref="A27676:E27676"/>
    <s:mergeCell ref="A15158:E15158"/>
    <s:mergeCell ref="A555:E555"/>
    <s:mergeCell ref="A29462:E29462"/>
    <s:mergeCell ref="A7667:E7667"/>
    <s:mergeCell ref="A5970:E5970"/>
    <s:mergeCell ref="A3885:E3885"/>
    <s:mergeCell ref="A27976:E27976"/>
    <s:mergeCell ref="A5671:E5671"/>
    <s:mergeCell ref="A6187:E6187"/>
    <s:mergeCell ref="A3580:E3580"/>
    <s:mergeCell ref="A22576:E22576"/>
    <s:mergeCell ref="A20491:E20491"/>
    <s:mergeCell ref="A20485:E20485"/>
    <s:mergeCell ref="A27104:E27104"/>
    <s:mergeCell ref="A7967:E7967"/>
    <s:mergeCell ref="A5882:E5882"/>
    <s:mergeCell ref="A22271:E22271"/>
    <s:mergeCell ref="A5971:E5971"/>
    <s:mergeCell ref="A6487:E6487"/>
    <s:mergeCell ref="A13083:E13083"/>
    <s:mergeCell ref="B8514:E8514"/>
    <s:mergeCell ref="A10998:E10998"/>
    <s:mergeCell ref="A6182:E6182"/>
    <s:mergeCell ref="A11603:E11603"/>
    <s:mergeCell ref="A12995:E12995"/>
    <s:mergeCell ref="A11298:E11298"/>
    <s:mergeCell ref="A13084:E13084"/>
    <s:mergeCell ref="B28151:E28151"/>
    <s:mergeCell ref="A11598:E11598"/>
    <s:mergeCell ref="A4113:E4113"/>
    <s:mergeCell ref="A11299:E11299"/>
    <s:mergeCell ref="A18411:E18411"/>
    <s:mergeCell ref="A5893:E5893"/>
    <s:mergeCell ref="A22299:E22299"/>
    <s:mergeCell ref="A20214:E20214"/>
    <s:mergeCell ref="A4413:E4413"/>
    <s:mergeCell ref="A4407:E4407"/>
    <s:mergeCell ref="A11026:E11026"/>
    <s:mergeCell ref="A18717:E18717"/>
    <s:mergeCell ref="B6440:E6440"/>
    <s:mergeCell ref="A25330:E25330"/>
    <s:mergeCell ref="A27415:E27415"/>
    <s:mergeCell ref="A27931:E27931"/>
    <s:mergeCell ref="A20514:E20514"/>
    <s:mergeCell ref="A27632:E27632"/>
    <s:mergeCell ref="A25935:E25935"/>
    <s:mergeCell ref="A13417:E13417"/>
    <s:mergeCell ref="A11332:E11332"/>
    <s:mergeCell ref="A25630:E25630"/>
    <s:mergeCell ref="A27932:E27932"/>
    <s:mergeCell ref="A18744:E18744"/>
    <s:mergeCell ref="A16659:E16659"/>
    <s:mergeCell ref="A25930:E25930"/>
    <s:mergeCell ref="A20530:E20530"/>
    <s:mergeCell ref="A16748:E16748"/>
    <s:mergeCell ref="A11342:E11342"/>
    <s:mergeCell ref="A20225:E20225"/>
    <s:mergeCell ref="A23561:E23561"/>
    <s:mergeCell ref="A2339:E2339"/>
    <s:mergeCell ref="A18745:E18745"/>
    <s:mergeCell ref="A18739:E18739"/>
    <s:mergeCell ref="A4136:E4136"/>
    <s:mergeCell ref="A25857:E25857"/>
    <s:mergeCell ref="A9557:E9557"/>
    <s:mergeCell ref="A23861:E23861"/>
    <s:mergeCell ref="A9252:E9252"/>
    <s:mergeCell ref="A16370:E16370"/>
    <s:mergeCell ref="A26157:E26157"/>
    <s:mergeCell ref="A24072:E24072"/>
    <s:mergeCell ref="A9857:E9857"/>
    <s:mergeCell ref="A25858:E25858"/>
    <s:mergeCell ref="A24161:E24161"/>
    <s:mergeCell ref="A2366:E2366"/>
    <s:mergeCell ref="A31279:E31279"/>
    <s:mergeCell ref="A9552:E9552"/>
    <s:mergeCell ref="A16670:E16670"/>
    <s:mergeCell ref="A370:E370"/>
    <s:mergeCell ref="A9769:E9769"/>
    <s:mergeCell ref="B24708:E24708"/>
    <s:mergeCell ref="A17275:E17275"/>
    <s:mergeCell ref="A2666:E2666"/>
    <s:mergeCell ref="A31579:E31579"/>
    <s:mergeCell ref="A9852:E9852"/>
    <s:mergeCell ref="A29494:E29494"/>
    <s:mergeCell ref="A16970:E16970"/>
    <s:mergeCell ref="A14885:E14885"/>
    <s:mergeCell ref="A4452:E4452"/>
    <s:mergeCell ref="A2367:E2367"/>
    <s:mergeCell ref="A670:E670"/>
    <s:mergeCell ref="A7782:E7782"/>
    <s:mergeCell ref="A23783:E23783"/>
    <s:mergeCell ref="A9263:E9263"/>
    <s:mergeCell ref="A16398:E16398"/>
    <s:mergeCell ref="A24083:E24083"/>
    <s:mergeCell ref="A30702:E30702"/>
    <s:mergeCell ref="A9480:E9480"/>
    <s:mergeCell ref="A7783:E7783"/>
    <s:mergeCell ref="A25880:E25880"/>
    <s:mergeCell ref="A16698:E16698"/>
    <s:mergeCell ref="A31002:E31002"/>
    <s:mergeCell ref="A22298:E22298"/>
    <s:mergeCell ref="A8083:E8083"/>
    <s:mergeCell ref="A5998:E5998"/>
    <s:mergeCell ref="A31607:E31607"/>
    <s:mergeCell ref="A16998:E16998"/>
    <s:mergeCell ref="A31302:E31302"/>
    <s:mergeCell ref="A29217:E29217"/>
    <s:mergeCell ref="A4619:E4619"/>
    <s:mergeCell ref="A23811:E23811"/>
    <s:mergeCell ref="A22114:E22114"/>
    <s:mergeCell ref="B17545:E17545"/>
    <s:mergeCell ref="A20029:E20029"/>
    <s:mergeCell ref="A22331:E22331"/>
    <s:mergeCell ref="B10627:E10627"/>
    <s:mergeCell ref="A29517:E29517"/>
    <s:mergeCell ref="A4919:E4919"/>
    <s:mergeCell ref="A2834:E2834"/>
    <s:mergeCell ref="A24117:E24117"/>
    <s:mergeCell ref="A24111:E24111"/>
    <s:mergeCell ref="A22026:E22026"/>
    <s:mergeCell ref="A31229:E31229"/>
    <s:mergeCell ref="A23812:E23812"/>
    <s:mergeCell ref="A22631:E22631"/>
    <s:mergeCell ref="A16709:E16709"/>
    <s:mergeCell ref="A14624:E14624"/>
    <s:mergeCell ref="A22326:E22326"/>
    <s:mergeCell ref="A31529:E31529"/>
    <s:mergeCell ref="A28928:E28928"/>
    <s:mergeCell ref="A27747:E27747"/>
    <s:mergeCell ref="A29444:E29444"/>
    <s:mergeCell ref="A15229:E15229"/>
    <s:mergeCell ref="A29533:E29533"/>
    <s:mergeCell ref="A14924:E14924"/>
    <s:mergeCell ref="A29228:E29228"/>
    <s:mergeCell ref="A28047:E28047"/>
    <s:mergeCell ref="A29744:E29744"/>
    <s:mergeCell ref="A15224:E15224"/>
    <s:mergeCell ref="A22342:E22342"/>
    <s:mergeCell ref="A30044:E30044"/>
    <s:mergeCell ref="A12065:E12065"/>
    <s:mergeCell ref="A20346:E20346"/>
    <s:mergeCell ref="B8280:E8280"/>
    <s:mergeCell ref="A12365:E12365"/>
    <s:mergeCell ref="A10280:E10280"/>
    <s:mergeCell ref="A9975:E9975"/>
    <s:mergeCell ref="A10580:E10580"/>
    <s:mergeCell ref="A2573:E2573"/>
    <s:mergeCell ref="A1392:E1392"/>
    <s:mergeCell ref="A3178:E3178"/>
    <s:mergeCell ref="A1093:E1093"/>
    <s:mergeCell ref="A1087:E1087"/>
    <s:mergeCell ref="A2873:E2873"/>
    <s:mergeCell ref="B28217:E28217"/>
    <s:mergeCell ref="B15693:E15693"/>
    <s:mergeCell ref="A1393:E1393"/>
    <s:mergeCell ref="A2906:E2906"/>
    <s:mergeCell ref="A10591:E10591"/>
    <s:mergeCell ref="A29939:E29939"/>
    <s:mergeCell ref="A15724:E15724"/>
    <s:mergeCell ref="A3206:E3206"/>
    <s:mergeCell ref="A1121:E1121"/>
    <s:mergeCell ref="A8806:E8806"/>
    <s:mergeCell ref="A15425:E15425"/>
    <s:mergeCell ref="A15419:E15419"/>
    <s:mergeCell ref="A1421:E1421"/>
    <s:mergeCell ref="A8533:E8533"/>
    <s:mergeCell ref="A22843:E22843"/>
    <s:mergeCell ref="A24534:E24534"/>
    <s:mergeCell ref="A22837:E22837"/>
    <s:mergeCell ref="B165:E165"/>
    <s:mergeCell ref="A10319:E10319"/>
    <s:mergeCell ref="A8234:E8234"/>
    <s:mergeCell ref="A6537:E6537"/>
    <s:mergeCell ref="A21357:E21357"/>
    <s:mergeCell ref="A8839:E8839"/>
    <s:mergeCell ref="A15435:E15435"/>
    <s:mergeCell ref="A13350:E13350"/>
    <s:mergeCell ref="A8534:E8534"/>
    <s:mergeCell ref="A6837:E6837"/>
    <s:mergeCell ref="A15652:E15652"/>
    <s:mergeCell ref="A24923:E24923"/>
    <s:mergeCell ref="A22838:E22838"/>
    <s:mergeCell ref="A13650:E13650"/>
    <s:mergeCell ref="A1132:E1132"/>
    <s:mergeCell ref="A8834:E8834"/>
    <s:mergeCell ref="A20768:E20768"/>
    <s:mergeCell ref="A15952:E15952"/>
    <s:mergeCell ref="A30256:E30256"/>
    <s:mergeCell ref="A30250:E30250"/>
    <s:mergeCell ref="A28165:E28165"/>
    <s:mergeCell ref="A15647:E15647"/>
    <s:mergeCell ref="A13950:E13950"/>
    <s:mergeCell ref="A11865:E11865"/>
    <s:mergeCell ref="A1432:E1432"/>
    <s:mergeCell ref="A21068:E21068"/>
    <s:mergeCell ref="A16252:E16252"/>
    <s:mergeCell ref="A13651:E13651"/>
    <s:mergeCell ref="A22865:E22865"/>
    <s:mergeCell ref="A20763:E20763"/>
    <s:mergeCell ref="A21368:E21368"/>
    <s:mergeCell ref="A19283:E19283"/>
    <s:mergeCell ref="B14714:E14714"/>
    <s:mergeCell ref="A6765:E6765"/>
    <s:mergeCell ref="A6759:E6759"/>
    <s:mergeCell ref="A4674:E4674"/>
    <s:mergeCell ref="A30283:E30283"/>
    <s:mergeCell ref="A21063:E21063"/>
    <s:mergeCell ref="B14409:E14409"/>
    <s:mergeCell ref="A6460:E6460"/>
    <s:mergeCell ref="A29984:E29984"/>
    <s:mergeCell ref="B7312:E7312"/>
    <s:mergeCell ref="B7306:E7306"/>
    <s:mergeCell ref="A30284:E30284"/>
    <s:mergeCell ref="A11787:E11787"/>
    <s:mergeCell ref="A20791:E20791"/>
    <s:mergeCell ref="A4990:E4990"/>
    <s:mergeCell ref="A2905:E2905"/>
    <s:mergeCell ref="A19311:E19311"/>
    <s:mergeCell ref="B14725:E14725"/>
    <s:mergeCell ref="A21097:E21097"/>
    <s:mergeCell ref="A21091:E21091"/>
    <s:mergeCell ref="A19006:E19006"/>
    <s:mergeCell ref="A3205:E3205"/>
    <s:mergeCell ref="A26213:E26213"/>
    <s:mergeCell ref="A28509:E28509"/>
    <s:mergeCell ref="A12209:E12209"/>
    <s:mergeCell ref="A3505:E3505"/>
    <s:mergeCell ref="A11815:E11815"/>
    <s:mergeCell ref="A26513:E26513"/>
    <s:mergeCell ref="A27029:E27029"/>
    <s:mergeCell ref="A28204:E28204"/>
    <s:mergeCell ref="A26119:E26119"/>
    <s:mergeCell ref="A13601:E13601"/>
    <s:mergeCell ref="A19022:E19022"/>
    <s:mergeCell ref="A26724:E26724"/>
    <s:mergeCell ref="A28510:E28510"/>
    <s:mergeCell ref="A19233:E19233"/>
    <s:mergeCell ref="A17536:E17536"/>
    <s:mergeCell ref="A2933:E2933"/>
    <s:mergeCell ref="A19322:E19322"/>
    <s:mergeCell ref="A27024:E27024"/>
    <s:mergeCell ref="A4719:E4719"/>
    <s:mergeCell ref="A4713:E4713"/>
    <s:mergeCell ref="A19017:E19017"/>
    <s:mergeCell ref="A19533:E19533"/>
    <s:mergeCell ref="A3233:E3233"/>
    <s:mergeCell ref="A9835:E9835"/>
    <s:mergeCell ref="A21319:E21319"/>
    <s:mergeCell ref="A17537:E17537"/>
    <s:mergeCell ref="A24655:E24655"/>
    <s:mergeCell ref="B20080:E20080"/>
    <s:mergeCell ref="A12131:E12131"/>
    <s:mergeCell ref="A10046:E10046"/>
    <s:mergeCell ref="A19833:E19833"/>
    <s:mergeCell ref="A10135:E10135"/>
    <s:mergeCell ref="A24955:E24955"/>
    <s:mergeCell ref="A2644:E2644"/>
    <s:mergeCell ref="A10346:E10346"/>
    <s:mergeCell ref="A26735:E26735"/>
    <s:mergeCell ref="A24650:E24650"/>
    <s:mergeCell ref="A12132:E12132"/>
    <s:mergeCell ref="A10435:E10435"/>
    <s:mergeCell ref="A8350:E8350"/>
    <s:mergeCell ref="A2944:E2944"/>
    <s:mergeCell ref="A10646:E10646"/>
    <s:mergeCell ref="A24950:E24950"/>
    <s:mergeCell ref="A2639:E2639"/>
    <s:mergeCell ref="A17853:E17853"/>
    <s:mergeCell ref="A19544:E19544"/>
    <s:mergeCell ref="A17459:E17459"/>
    <s:mergeCell ref="A26163:E26163"/>
    <s:mergeCell ref="A3244:E3244"/>
    <s:mergeCell ref="A26463:E26463"/>
    <s:mergeCell ref="B3791:E3791"/>
    <s:mergeCell ref="A24378:E24378"/>
    <s:mergeCell ref="A24983:E24983"/>
    <s:mergeCell ref="A22881:E22881"/>
    <s:mergeCell ref="B18306:E18306"/>
    <s:mergeCell ref="A24678:E24678"/>
    <s:mergeCell ref="A15490:E15490"/>
    <s:mergeCell ref="A29794:E29794"/>
    <s:mergeCell ref="A24978:E24978"/>
    <s:mergeCell ref="A30399:E30399"/>
    <s:mergeCell ref="A30094:E30094"/>
    <s:mergeCell ref="A30311:E30311"/>
    <s:mergeCell ref="A10085:E10085"/>
    <s:mergeCell ref="A8605:E8605"/>
    <s:mergeCell ref="A24994:E24994"/>
    <s:mergeCell ref="B1934:E1934"/>
    <s:mergeCell ref="A22909:E22909"/>
    <s:mergeCell ref="A22903:E22903"/>
    <s:mergeCell ref="A10385:E10385"/>
    <s:mergeCell ref="A8300:E8300"/>
    <s:mergeCell ref="A24689:E24689"/>
    <s:mergeCell ref="A22604:E22604"/>
    <s:mergeCell ref="A8905:E8905"/>
    <s:mergeCell ref="B31141:E31141"/>
    <s:mergeCell ref="A30327:E30327"/>
    <s:mergeCell ref="A8600:E8600"/>
    <s:mergeCell ref="A22904:E22904"/>
    <s:mergeCell ref="A5441:E5441"/>
    <s:mergeCell ref="A30022:E30022"/>
    <s:mergeCell ref="A3445:E3445"/>
    <s:mergeCell ref="A5741:E5741"/>
    <s:mergeCell ref="A30322:E30322"/>
    <s:mergeCell ref="A3745:E3745"/>
    <s:mergeCell ref="B16565:E16565"/>
    <s:mergeCell ref="A10857:E10857"/>
    <s:mergeCell ref="A3956:E3956"/>
    <s:mergeCell ref="A18260:E18260"/>
    <s:mergeCell ref="A11163:E11163"/>
    <s:mergeCell ref="B14780:E14780"/>
    <s:mergeCell ref="A9072:E9072"/>
    <s:mergeCell ref="A10858:E10858"/>
    <s:mergeCell ref="B14475:E14475"/>
    <s:mergeCell ref="A10852:E10852"/>
    <s:mergeCell ref="A8767:E8767"/>
    <s:mergeCell ref="A9372:E9372"/>
    <s:mergeCell ref="A11158:E11158"/>
    <s:mergeCell ref="A30350:E30350"/>
    <s:mergeCell ref="A1671:E1671"/>
    <s:mergeCell ref="A10885:E10885"/>
    <s:mergeCell ref="A3967:E3967"/>
    <s:mergeCell ref="A10586:E10586"/>
    <s:mergeCell ref="B27309:E27309"/>
    <s:mergeCell ref="B4514:E4514"/>
    <s:mergeCell ref="A23404:E23404"/>
    <s:mergeCell ref="A10886:E10886"/>
    <s:mergeCell ref="A2182:E2182"/>
    <s:mergeCell ref="A23099:E23099"/>
    <s:mergeCell ref="A16002:E16002"/>
    <s:mergeCell ref="A25401:E25401"/>
    <s:mergeCell ref="A23704:E23704"/>
    <s:mergeCell ref="A11186:E11186"/>
    <s:mergeCell ref="A9101:E9101"/>
    <s:mergeCell ref="A30822:E30822"/>
    <s:mergeCell ref="A18304:E18304"/>
    <s:mergeCell ref="A16213:E16213"/>
    <s:mergeCell ref="A1998:E1998"/>
    <s:mergeCell ref="A30517:E30517"/>
    <s:mergeCell ref="A17999:E17999"/>
    <s:mergeCell ref="A16302:E16302"/>
    <s:mergeCell ref="A14217:E14217"/>
    <s:mergeCell ref="A31122:E31122"/>
    <s:mergeCell ref="A29037:E29037"/>
    <s:mergeCell ref="A18604:E18604"/>
    <s:mergeCell ref="A16519:E16519"/>
    <s:mergeCell ref="A16513:E16513"/>
    <s:mergeCell ref="A23115:E23115"/>
    <s:mergeCell ref="A30817:E30817"/>
    <s:mergeCell ref="A18299:E18299"/>
    <s:mergeCell ref="A23720:E23720"/>
    <s:mergeCell ref="A21635:E21635"/>
    <s:mergeCell ref="A9111:E9111"/>
    <s:mergeCell ref="A7026:E7026"/>
    <s:mergeCell ref="A23415:E23415"/>
    <s:mergeCell ref="A8812:E8812"/>
    <s:mergeCell ref="A7631:E7631"/>
    <s:mergeCell ref="A16514:E16514"/>
    <s:mergeCell ref="A23632:E23632"/>
    <s:mergeCell ref="A21935:E21935"/>
    <s:mergeCell ref="A23626:E23626"/>
    <s:mergeCell ref="A7326:E7326"/>
    <s:mergeCell ref="A16529:E16529"/>
    <s:mergeCell ref="A14444:E14444"/>
    <s:mergeCell ref="B655:E655"/>
    <s:mergeCell ref="A28748:E28748"/>
    <s:mergeCell ref="A23932:E23932"/>
    <s:mergeCell ref="A440:E440"/>
    <s:mergeCell ref="A14744:E14744"/>
    <s:mergeCell ref="A2226:E2226"/>
    <s:mergeCell ref="A141:E141"/>
    <s:mergeCell ref="A135:E135"/>
    <s:mergeCell ref="A29048:E29048"/>
    <s:mergeCell ref="A14439:E14439"/>
    <s:mergeCell ref="A1921:E1921"/>
    <s:mergeCell ref="A224:E224"/>
    <s:mergeCell ref="B15291:E15291"/>
    <s:mergeCell ref="A7342:E7342"/>
    <s:mergeCell ref="A15044:E15044"/>
    <s:mergeCell ref="A12959:E12959"/>
    <s:mergeCell ref="A435:E435"/>
    <s:mergeCell ref="A29348:E29348"/>
    <s:mergeCell ref="A7037:E7037"/>
    <s:mergeCell ref="A5557:E5557"/>
    <s:mergeCell ref="A21963:E21963"/>
    <s:mergeCell ref="B27810:E27810"/>
    <s:mergeCell ref="A7337:E7337"/>
    <s:mergeCell ref="A30861:E30861"/>
    <s:mergeCell ref="A28776:E28776"/>
    <s:mergeCell ref="A7554:E7554"/>
    <s:mergeCell ref="A5857:E5857"/>
    <s:mergeCell ref="A30556:E30556"/>
    <s:mergeCell ref="A14772:E14772"/>
    <s:mergeCell ref="A5552:E5552"/>
    <s:mergeCell ref="A12670:E12670"/>
    <s:mergeCell ref="A29076:E29076"/>
    <s:mergeCell ref="B4319:E4319"/>
    <s:mergeCell ref="A21585:E21585"/>
    <s:mergeCell ref="A28771:E28771"/>
    <s:mergeCell ref="A21674:E21674"/>
    <s:mergeCell ref="A12970:E12970"/>
    <s:mergeCell ref="A29376:E29376"/>
    <s:mergeCell ref="A5585:E5585"/>
    <s:mergeCell ref="A20405:E20405"/>
    <s:mergeCell ref="A13270:E13270"/>
    <s:mergeCell ref="A11185:E11185"/>
    <s:mergeCell ref="A19883:E19883"/>
    <s:mergeCell ref="A19889:E19889"/>
    <s:mergeCell ref="A21580:E21580"/>
    <s:mergeCell ref="A12398:E12398"/>
    <s:mergeCell ref="A22185:E22185"/>
    <s:mergeCell ref="A20100:E20100"/>
    <s:mergeCell ref="A5885:E5885"/>
    <s:mergeCell ref="A23971:E23971"/>
    <s:mergeCell ref="A28998:E28998"/>
    <s:mergeCell ref="A25216:E25216"/>
    <s:mergeCell ref="A12698:E12698"/>
    <s:mergeCell ref="A13303:E13303"/>
    <s:mergeCell ref="A12393:E12393"/>
    <s:mergeCell ref="A29298:E29298"/>
    <s:mergeCell ref="B13245:E13245"/>
    <s:mergeCell ref="A27213:E27213"/>
    <s:mergeCell ref="A12998:E12998"/>
    <s:mergeCell ref="A10913:E10913"/>
    <s:mergeCell ref="A20116:E20116"/>
    <s:mergeCell ref="A27302:E27302"/>
    <s:mergeCell ref="A5507:E5507"/>
    <s:mergeCell ref="A3810:E3810"/>
    <s:mergeCell ref="A19811:E19811"/>
    <s:mergeCell ref="A5596:E5596"/>
    <s:mergeCell ref="A3511:E3511"/>
    <s:mergeCell ref="A20416:E20416"/>
    <s:mergeCell ref="A18331:E18331"/>
    <s:mergeCell ref="A5807:E5807"/>
    <s:mergeCell ref="A3722:E3722"/>
    <s:mergeCell ref="A20111:E20111"/>
    <s:mergeCell ref="A5508:E5508"/>
    <s:mergeCell ref="A3811:E3811"/>
    <s:mergeCell ref="A10929:E10929"/>
    <s:mergeCell ref="A10624:E10624"/>
    <s:mergeCell ref="A18326:E18326"/>
    <s:mergeCell ref="A5808:E5808"/>
    <s:mergeCell ref="A11229:E11229"/>
    <s:mergeCell ref="A12920:E12920"/>
    <s:mergeCell ref="A10924:E10924"/>
    <s:mergeCell ref="B11471:E11471"/>
    <s:mergeCell ref="A11224:E11224"/>
    <s:mergeCell ref="A9139:E9139"/>
    <s:mergeCell ref="A18054:E18054"/>
    <s:mergeCell ref="A25261:E25261"/>
    <s:mergeCell ref="A25255:E25255"/>
    <s:mergeCell ref="A23170:E23170"/>
    <s:mergeCell ref="A11257:E11257"/>
    <s:mergeCell ref="A27252:E27252"/>
    <s:mergeCell ref="A30588:E30588"/>
    <s:mergeCell ref="A18070:E18070"/>
    <s:mergeCell ref="A17765:E17765"/>
    <s:mergeCell ref="A16584:E16584"/>
    <s:mergeCell ref="A6307:E6307"/>
    <s:mergeCell ref="A30888:E30888"/>
    <s:mergeCell ref="A16279:E16279"/>
    <s:mergeCell ref="A30583:E30583"/>
    <s:mergeCell ref="A18065:E18065"/>
    <s:mergeCell ref="A23486:E23486"/>
    <s:mergeCell ref="A31188:E31188"/>
    <s:mergeCell ref="A13209:E13209"/>
    <s:mergeCell ref="A16585:E16585"/>
    <s:mergeCell ref="A23181:E23181"/>
    <s:mergeCell ref="A16280:E16280"/>
    <s:mergeCell ref="A31100:E31100"/>
    <s:mergeCell ref="A13509:E13509"/>
    <s:mergeCell ref="A11424:E11424"/>
    <s:mergeCell ref="B31430:E31430"/>
    <s:mergeCell ref="A23481:E23481"/>
    <s:mergeCell ref="A11119:E11119"/>
    <s:mergeCell ref="A25783:E25783"/>
    <s:mergeCell ref="A15506:E15506"/>
    <s:mergeCell ref="A13421:E13421"/>
    <s:mergeCell ref="A11724:E11724"/>
    <s:mergeCell ref="B24544:E24544"/>
    <s:mergeCell ref="A18537:E18537"/>
    <s:mergeCell ref="A13721:E13721"/>
    <s:mergeCell ref="A12024:E12024"/>
    <s:mergeCell ref="A4539:E4539"/>
    <s:mergeCell ref="A4533:E4533"/>
    <s:mergeCell ref="B24545:E24545"/>
    <s:mergeCell ref="A6319:E6319"/>
    <s:mergeCell ref="A11936:E11936"/>
    <s:mergeCell ref="B15357:E15357"/>
    <s:mergeCell ref="A19137:E19137"/>
    <s:mergeCell ref="A17052:E17052"/>
    <s:mergeCell ref="A6619:E6619"/>
    <s:mergeCell ref="A4534:E4534"/>
    <s:mergeCell ref="A30627:E30627"/>
    <s:mergeCell ref="B27876:E27876"/>
    <s:mergeCell ref="A18565:E18565"/>
    <s:mergeCell ref="A4561:E4561"/>
    <s:mergeCell ref="A29142:E29142"/>
    <s:mergeCell ref="A2459:E2459"/>
    <s:mergeCell ref="A18865:E18865"/>
    <s:mergeCell ref="A25983:E25983"/>
    <s:mergeCell ref="A18560:E18560"/>
    <s:mergeCell ref="A2759:E2759"/>
    <s:mergeCell ref="A9378:E9378"/>
    <s:mergeCell ref="A4562:E4562"/>
    <s:mergeCell ref="A26283:E26283"/>
    <s:mergeCell ref="A24198:E24198"/>
    <s:mergeCell ref="A9589:E9589"/>
    <s:mergeCell ref="A24287:E24287"/>
    <s:mergeCell ref="A25978:E25978"/>
    <s:mergeCell ref="A9678:E9678"/>
    <s:mergeCell ref="A974:E974"/>
    <s:mergeCell ref="A24498:E24498"/>
    <s:mergeCell ref="A26284:E26284"/>
    <s:mergeCell ref="A26278:E26278"/>
    <s:mergeCell ref="A24193:E24193"/>
    <s:mergeCell ref="A11675:E11675"/>
    <s:mergeCell ref="A9978:E9978"/>
    <s:mergeCell ref="A17096:E17096"/>
    <s:mergeCell ref="A31400:E31400"/>
    <s:mergeCell ref="A16791:E16791"/>
    <s:mergeCell ref="A17396:E17396"/>
    <s:mergeCell ref="A15311:E15311"/>
    <s:mergeCell ref="A17002:E17002"/>
    <s:mergeCell ref="A2787:E2787"/>
    <s:mergeCell ref="A17091:E17091"/>
    <s:mergeCell ref="A24209:E24209"/>
    <s:mergeCell ref="A7909:E7909"/>
    <s:mergeCell ref="A17308:E17308"/>
    <s:mergeCell ref="A9689:E9689"/>
    <s:mergeCell ref="A7604:E7604"/>
    <s:mergeCell ref="A8120:E8120"/>
    <s:mergeCell ref="A10205:E10205"/>
    <s:mergeCell ref="A24509:E24509"/>
    <s:mergeCell ref="A22424:E22424"/>
    <s:mergeCell ref="A8209:E8209"/>
    <s:mergeCell ref="A7815:E7815"/>
    <s:mergeCell ref="A15321:E15321"/>
    <s:mergeCell ref="A718:E718"/>
    <s:mergeCell ref="A8420:E8420"/>
    <s:mergeCell ref="A22724:E22724"/>
    <s:mergeCell ref="A413:E413"/>
    <s:mergeCell ref="A15627:E15627"/>
    <s:mergeCell ref="A23937:E23937"/>
    <s:mergeCell ref="A1018:E1018"/>
    <s:mergeCell ref="A15322:E15322"/>
    <s:mergeCell ref="A31728:E31728"/>
    <s:mergeCell ref="A29643:E29643"/>
    <s:mergeCell ref="A31334:E31334"/>
    <s:mergeCell ref="A713:E713"/>
    <s:mergeCell ref="A24237:E24237"/>
    <s:mergeCell ref="A15622:E15622"/>
    <s:mergeCell ref="A13537:E13537"/>
    <s:mergeCell ref="A8131:E8131"/>
    <s:mergeCell ref="A24537:E24537"/>
    <s:mergeCell ref="A31655:E31655"/>
    <s:mergeCell ref="A24232:E24232"/>
    <s:mergeCell ref="A31350:E31350"/>
    <s:mergeCell ref="A29653:E29653"/>
    <s:mergeCell ref="A27568:E27568"/>
    <s:mergeCell ref="A8431:E8431"/>
    <s:mergeCell ref="A6346:E6346"/>
    <s:mergeCell ref="A15050:E15050"/>
    <s:mergeCell ref="A22752:E22752"/>
    <s:mergeCell ref="A29354:E29354"/>
    <s:mergeCell ref="A29870:E29870"/>
    <s:mergeCell ref="B21502:E21502"/>
    <s:mergeCell ref="A1046:E1046"/>
    <s:mergeCell ref="A31650:E31650"/>
    <s:mergeCell ref="A29565:E29565"/>
    <s:mergeCell ref="A27868:E27868"/>
    <s:mergeCell ref="A15350:E15350"/>
    <s:mergeCell ref="A6646:E6646"/>
    <s:mergeCell ref="A13265:E13265"/>
    <s:mergeCell ref="A30170:E30170"/>
    <s:mergeCell ref="A7859:E7859"/>
    <s:mergeCell ref="A29865:E29865"/>
    <s:mergeCell ref="B21497:E21497"/>
    <s:mergeCell ref="A20683:E20683"/>
    <s:mergeCell ref="A22768:E22768"/>
    <s:mergeCell ref="A20677:E20677"/>
    <s:mergeCell ref="A8159:E8159"/>
    <s:mergeCell ref="A6074:E6074"/>
    <s:mergeCell ref="A30165:E30165"/>
    <s:mergeCell ref="A7854:E7854"/>
    <s:mergeCell ref="A11190:E11190"/>
    <s:mergeCell ref="A20977:E20977"/>
    <s:mergeCell ref="A6374:E6374"/>
    <s:mergeCell ref="A15577:E15577"/>
    <s:mergeCell ref="A22763:E22763"/>
    <s:mergeCell ref="A20678:E20678"/>
    <s:mergeCell ref="A8160:E8160"/>
    <s:mergeCell ref="A13581:E13581"/>
    <s:mergeCell ref="A15272:E15272"/>
    <s:mergeCell ref="A11490:E11490"/>
    <s:mergeCell ref="A6674:E6674"/>
    <s:mergeCell ref="A13276:E13276"/>
    <s:mergeCell ref="A13792:E13792"/>
    <s:mergeCell ref="A20978:E20978"/>
    <s:mergeCell ref="A28096:E28096"/>
    <s:mergeCell ref="A28090:E28090"/>
    <s:mergeCell ref="A26005:E26005"/>
    <s:mergeCell ref="A15572:E15572"/>
    <s:mergeCell ref="A13487:E13487"/>
    <s:mergeCell ref="A11790:E11790"/>
    <s:mergeCell ref="A18908:E18908"/>
    <s:mergeCell ref="A13576:E13576"/>
    <s:mergeCell ref="A11491:E11491"/>
    <s:mergeCell ref="A12007:E12007"/>
    <s:mergeCell ref="A14092:E14092"/>
    <s:mergeCell ref="A18603:E18603"/>
    <s:mergeCell ref="A6085:E6085"/>
    <s:mergeCell ref="A19208:E19208"/>
    <s:mergeCell ref="A17123:E17123"/>
    <s:mergeCell ref="A18909:E18909"/>
    <s:mergeCell ref="B6632:E6632"/>
    <s:mergeCell ref="A18903:E18903"/>
    <s:mergeCell ref="A6385:E6385"/>
    <s:mergeCell ref="A1529:E1529"/>
    <s:mergeCell ref="B19456:E19456"/>
    <s:mergeCell ref="A29604:E29604"/>
    <s:mergeCell ref="A19203:E19203"/>
    <s:mergeCell ref="A4600:E4600"/>
    <s:mergeCell ref="A29904:E29904"/>
    <s:mergeCell ref="A18631:E18631"/>
    <s:mergeCell ref="A26322:E26322"/>
    <s:mergeCell ref="A16045:E16045"/>
    <s:mergeCell ref="A31455:E31455"/>
    <s:mergeCell ref="A21022:E21022"/>
    <s:mergeCell ref="A18937:E18937"/>
    <s:mergeCell ref="A18931:E18931"/>
    <s:mergeCell ref="B26869:E26869"/>
    <s:mergeCell ref="A26049:E26049"/>
    <s:mergeCell ref="A26138:E26138"/>
    <s:mergeCell ref="A24053:E24053"/>
    <s:mergeCell ref="A26355:E26355"/>
    <s:mergeCell ref="A26349:E26349"/>
    <s:mergeCell ref="A24264:E24264"/>
    <s:mergeCell ref="A26050:E26050"/>
    <s:mergeCell ref="A24353:E24353"/>
    <s:mergeCell ref="A26044:E26044"/>
    <s:mergeCell ref="A11441:E11441"/>
    <s:mergeCell ref="A31166:E31166"/>
    <s:mergeCell ref="A26350:E26350"/>
    <s:mergeCell ref="A1464:E1464"/>
    <s:mergeCell ref="A6885:E6885"/>
    <s:mergeCell ref="A31466:E31466"/>
    <s:mergeCell ref="B17709:E17709"/>
    <s:mergeCell ref="A5100:E5100"/>
    <s:mergeCell ref="A19404:E19404"/>
    <s:mergeCell ref="A6886:E6886"/>
    <s:mergeCell ref="A6880:E6880"/>
    <s:mergeCell ref="B24822:E24822"/>
    <s:mergeCell ref="A14298:E14298"/>
    <s:mergeCell ref="A12213:E12213"/>
    <s:mergeCell ref="A28602:E28602"/>
    <s:mergeCell ref="A300:E300"/>
    <s:mergeCell ref="A12513:E12513"/>
    <s:mergeCell ref="B24823:E24823"/>
    <s:mergeCell ref="A5416:E5416"/>
    <s:mergeCell ref="A3331:E3331"/>
    <s:mergeCell ref="A3325:E3325"/>
    <s:mergeCell ref="A5111:E5111"/>
    <s:mergeCell ref="A12813:E12813"/>
    <s:mergeCell ref="A3631:E3631"/>
    <s:mergeCell ref="A11941:E11941"/>
    <s:mergeCell ref="B5658:E5658"/>
    <s:mergeCell ref="A5411:E5411"/>
    <s:mergeCell ref="A3326:E3326"/>
    <s:mergeCell ref="B5875:E5875"/>
    <s:mergeCell ref="A5112:E5112"/>
    <s:mergeCell ref="A12241:E12241"/>
    <s:mergeCell ref="A19359:E19359"/>
    <s:mergeCell ref="A26545:E26545"/>
    <s:mergeCell ref="A3626:E3626"/>
    <s:mergeCell ref="A4839:E4839"/>
    <s:mergeCell ref="A19143:E19143"/>
    <s:mergeCell ref="A19659:E19659"/>
    <s:mergeCell ref="A19748:E19748"/>
    <s:mergeCell ref="A17663:E17663"/>
    <s:mergeCell ref="A19354:E19354"/>
    <s:mergeCell ref="A17657:E17657"/>
    <s:mergeCell ref="A5139:E5139"/>
    <s:mergeCell ref="A3054:E3054"/>
    <s:mergeCell ref="A12257:E12257"/>
    <s:mergeCell ref="A19959:E19959"/>
    <s:mergeCell ref="A21745:E21745"/>
    <s:mergeCell ref="A19660:E19660"/>
    <s:mergeCell ref="A19654:E19654"/>
    <s:mergeCell ref="A25075:E25075"/>
    <s:mergeCell ref="A22990:E22990"/>
    <s:mergeCell ref="A12557:E12557"/>
    <s:mergeCell ref="A10472:E10472"/>
    <s:mergeCell ref="A24776:E24776"/>
    <s:mergeCell ref="A12252:E12252"/>
    <s:mergeCell ref="A26556:E26556"/>
    <s:mergeCell ref="A10772:E10772"/>
    <s:mergeCell ref="A25076:E25076"/>
    <s:mergeCell ref="A25070:E25070"/>
    <s:mergeCell ref="A2765:E2765"/>
    <s:mergeCell ref="A3281:E3281"/>
    <s:mergeCell ref="A10467:E10467"/>
    <s:mergeCell ref="A17585:E17585"/>
    <s:mergeCell ref="A3370:E3370"/>
    <s:mergeCell ref="A1285:E1285"/>
    <s:mergeCell ref="A11072:E11072"/>
    <s:mergeCell ref="A3065:E3065"/>
    <s:mergeCell ref="A3581:E3581"/>
    <s:mergeCell ref="A26589:E26589"/>
    <s:mergeCell ref="A17885:E17885"/>
    <s:mergeCell ref="A1585:E1585"/>
    <s:mergeCell ref="A3276:E3276"/>
    <s:mergeCell ref="A17974:E17974"/>
    <s:mergeCell ref="A15889:E15889"/>
    <s:mergeCell ref="A3365:E3365"/>
    <s:mergeCell ref="A26889:E26889"/>
    <s:mergeCell ref="A18185:E18185"/>
    <s:mergeCell ref="A16100:E16100"/>
    <s:mergeCell ref="A24804:E24804"/>
    <s:mergeCell ref="A8997:E8997"/>
    <s:mergeCell ref="A1580:E1580"/>
    <s:mergeCell ref="A10783:E10783"/>
    <s:mergeCell ref="A8698:E8698"/>
    <s:mergeCell ref="A25104:E25104"/>
    <s:mergeCell ref="A30220:E30220"/>
    <s:mergeCell ref="A8998:E8998"/>
    <s:mergeCell ref="A3592:E3592"/>
    <s:mergeCell ref="A1507:E1507"/>
    <s:mergeCell ref="A10211:E10211"/>
    <s:mergeCell ref="A15811:E15811"/>
    <s:mergeCell ref="A30520:E30520"/>
    <s:mergeCell ref="A17608:E17608"/>
    <s:mergeCell ref="B2054:E2054"/>
    <s:mergeCell ref="B357:E357"/>
    <s:mergeCell ref="A10511:E10511"/>
    <s:mergeCell ref="A1807:E1807"/>
    <s:mergeCell ref="A8426:E8426"/>
    <s:mergeCell ref="A23029:E23029"/>
    <s:mergeCell ref="A30432:E30432"/>
    <s:mergeCell ref="B2354:E2354"/>
    <s:mergeCell ref="A2107:E2107"/>
    <s:mergeCell ref="A22:E22"/>
    <s:mergeCell ref="A8726:E8726"/>
    <s:mergeCell ref="A23030:E23030"/>
    <s:mergeCell ref="B358:E358"/>
    <s:mergeCell ref="A23024:E23024"/>
    <s:mergeCell ref="B7470:E7470"/>
    <s:mergeCell ref="A13842:E13842"/>
    <s:mergeCell ref="A23241:E23241"/>
    <s:mergeCell ref="A28662:E28662"/>
    <s:mergeCell ref="A16144:E16144"/>
    <s:mergeCell ref="A6924:E6924"/>
    <s:mergeCell ref="A30448:E30448"/>
    <s:mergeCell ref="A30442:E30442"/>
    <s:mergeCell ref="A28357:E28357"/>
    <s:mergeCell ref="A17924:E17924"/>
    <s:mergeCell ref="A15839:E15839"/>
    <s:mergeCell ref="A14142:E14142"/>
    <s:mergeCell ref="A12057:E12057"/>
    <s:mergeCell ref="A30143:E30143"/>
    <s:mergeCell ref="A28962:E28962"/>
    <s:mergeCell ref="A16444:E16444"/>
    <s:mergeCell ref="A14359:E14359"/>
    <s:mergeCell ref="A28657:E28657"/>
    <s:mergeCell ref="A16139:E16139"/>
    <s:mergeCell ref="A21560:E21560"/>
    <s:mergeCell ref="A6957:E6957"/>
    <s:mergeCell ref="A6951:E6951"/>
    <s:mergeCell ref="A4866:E4866"/>
    <s:mergeCell ref="A22952:E22952"/>
    <s:mergeCell ref="A21255:E21255"/>
    <s:mergeCell ref="A6652:E6652"/>
    <s:mergeCell ref="A14354:E14354"/>
    <s:mergeCell ref="A23557:E23557"/>
    <s:mergeCell ref="A19775:E19775"/>
    <s:mergeCell ref="A21466:E21466"/>
    <s:mergeCell ref="A14369:E14369"/>
    <s:mergeCell ref="A21555:E21555"/>
    <s:mergeCell ref="A6952:E6952"/>
    <s:mergeCell ref="A21772:E21772"/>
    <s:mergeCell ref="A30470:E30470"/>
    <s:mergeCell ref="A28368:E28368"/>
    <s:mergeCell ref="B27135:E27135"/>
    <s:mergeCell ref="A26888:E26888"/>
    <s:mergeCell ref="A14370:E14370"/>
    <s:mergeCell ref="B8:E8"/>
    <s:mergeCell ref="A12884:E12884"/>
    <s:mergeCell ref="A27188:E27188"/>
    <s:mergeCell ref="A2302:E2302"/>
    <s:mergeCell ref="B27430:E27430"/>
    <s:mergeCell ref="A26616:E26616"/>
    <s:mergeCell ref="A28701:E28701"/>
    <s:mergeCell ref="A28396:E28396"/>
    <s:mergeCell ref="A26916:E26916"/>
    <s:mergeCell ref="A28702:E28702"/>
    <s:mergeCell ref="A28696:E28696"/>
    <s:mergeCell ref="A26611:E26611"/>
    <s:mergeCell ref="A19514:E19514"/>
    <s:mergeCell ref="A27216:E27216"/>
    <s:mergeCell ref="A19725:E19725"/>
    <s:mergeCell ref="A19814:E19814"/>
    <s:mergeCell ref="A20025:E20025"/>
    <s:mergeCell ref="A9748:E9748"/>
    <s:mergeCell ref="A26627:E26627"/>
    <s:mergeCell ref="A19726:E19726"/>
    <s:mergeCell ref="A261:E261"/>
    <s:mergeCell ref="A26927:E26927"/>
    <s:mergeCell ref="A14565:E14565"/>
    <s:mergeCell ref="B25688:E25688"/>
    <s:mergeCell ref="A15170:E15170"/>
    <s:mergeCell ref="A2652:E2652"/>
    <s:mergeCell ref="A561:E561"/>
    <s:mergeCell ref="A256:E256"/>
    <s:mergeCell ref="A5677:E5677"/>
    <s:mergeCell ref="B25689:E25689"/>
    <s:mergeCell ref="A7463:E7463"/>
    <s:mergeCell ref="A15165:E15165"/>
    <s:mergeCell ref="A2647:E2647"/>
    <s:mergeCell ref="A7680:E7680"/>
    <s:mergeCell ref="A7674:E7674"/>
    <s:mergeCell ref="A21978:E21978"/>
    <s:mergeCell ref="A7763:E7763"/>
    <s:mergeCell ref="A5678:E5678"/>
    <s:mergeCell ref="A12796:E12796"/>
    <s:mergeCell ref="A7974:E7974"/>
    <s:mergeCell ref="A5889:E5889"/>
    <s:mergeCell ref="A13096:E13096"/>
    <s:mergeCell ref="B6436:E6436"/>
    <s:mergeCell ref="A12791:E12791"/>
    <s:mergeCell ref="A13396:E13396"/>
    <s:mergeCell ref="A20009:E20009"/>
    <s:mergeCell ref="A22311:E22311"/>
    <s:mergeCell ref="A20226:E20226"/>
    <s:mergeCell ref="A5600:E5600"/>
    <s:mergeCell ref="A22006:E22006"/>
    <s:mergeCell ref="A29124:E29124"/>
    <s:mergeCell ref="A27128:E27128"/>
    <s:mergeCell ref="A22306:E22306"/>
    <s:mergeCell ref="A29424:E29424"/>
    <s:mergeCell ref="A25642:E25642"/>
    <s:mergeCell ref="A13124:E13124"/>
    <s:mergeCell ref="B6447:E6447"/>
    <s:mergeCell ref="A5633:E5633"/>
    <s:mergeCell ref="A25337:E25337"/>
    <s:mergeCell ref="A27422:E27422"/>
    <s:mergeCell ref="A19937:E19937"/>
    <s:mergeCell ref="A29724:E29724"/>
    <s:mergeCell ref="A27639:E27639"/>
    <s:mergeCell ref="A13424:E13424"/>
    <s:mergeCell ref="A11339:E11339"/>
    <s:mergeCell ref="A29425:E29425"/>
    <s:mergeCell ref="A5933:E5933"/>
    <s:mergeCell ref="A20237:E20237"/>
    <s:mergeCell ref="A27939:E27939"/>
    <s:mergeCell ref="A3937:E3937"/>
    <s:mergeCell ref="A5628:E5628"/>
    <s:mergeCell ref="A3931:E3931"/>
    <s:mergeCell ref="A20842:E20842"/>
    <s:mergeCell ref="A19932:E19932"/>
    <s:mergeCell ref="A6233:E6233"/>
    <s:mergeCell ref="A4148:E4148"/>
    <s:mergeCell ref="A5928:E5928"/>
    <s:mergeCell ref="A3843:E3843"/>
    <s:mergeCell ref="A13046:E13046"/>
    <s:mergeCell ref="A11349:E11349"/>
    <s:mergeCell ref="A9264:E9264"/>
    <s:mergeCell ref="A11050:E11050"/>
    <s:mergeCell ref="A13346:E13346"/>
    <s:mergeCell ref="A11261:E11261"/>
    <s:mergeCell ref="A9564:E9564"/>
    <s:mergeCell ref="A27650:E27650"/>
    <s:mergeCell ref="A11350:E11350"/>
    <s:mergeCell ref="A9259:E9259"/>
    <s:mergeCell ref="A16377:E16377"/>
    <s:mergeCell ref="A3859:E3859"/>
    <s:mergeCell ref="A2162:E2162"/>
    <s:mergeCell ref="A11561:E11561"/>
    <s:mergeCell ref="B11897:E11897"/>
    <s:mergeCell ref="A4464:E4464"/>
    <s:mergeCell ref="A25865:E25865"/>
    <s:mergeCell ref="A2373:E2373"/>
    <s:mergeCell ref="A16677:E16677"/>
    <s:mergeCell ref="A4159:E4159"/>
    <s:mergeCell ref="A11861:E11861"/>
    <s:mergeCell ref="A16977:E16977"/>
    <s:mergeCell ref="A23596:E23596"/>
    <s:mergeCell ref="A2374:E2374"/>
    <s:mergeCell ref="A18763:E18763"/>
    <s:mergeCell ref="A16678:E16678"/>
    <s:mergeCell ref="B5006:E5006"/>
    <s:mergeCell ref="A23896:E23896"/>
    <s:mergeCell ref="A25593:E25593"/>
    <s:mergeCell ref="A8095:E8095"/>
    <s:mergeCell ref="A16405:E16405"/>
    <s:mergeCell ref="A30709:E30709"/>
    <s:mergeCell ref="A18191:E18191"/>
    <s:mergeCell ref="A25893:E25893"/>
    <s:mergeCell ref="A31314:E31314"/>
    <s:mergeCell ref="A18796:E18796"/>
    <s:mergeCell ref="A16705:E16705"/>
    <s:mergeCell ref="B31256:E31256"/>
    <s:mergeCell ref="A23307:E23307"/>
    <s:mergeCell ref="A31009:E31009"/>
    <s:mergeCell ref="A18491:E18491"/>
    <s:mergeCell ref="A16400:E16400"/>
    <s:mergeCell ref="A31614:E31614"/>
    <s:mergeCell ref="A2690:E2690"/>
    <s:mergeCell ref="A9303:E9303"/>
    <s:mergeCell ref="A7218:E7218"/>
    <s:mergeCell ref="A23607:E23607"/>
    <s:mergeCell ref="A22038:E22038"/>
    <s:mergeCell ref="A24123:E24123"/>
    <s:mergeCell ref="A31309:E31309"/>
    <s:mergeCell ref="A16706:E16706"/>
    <s:mergeCell ref="A23818:E23818"/>
    <s:mergeCell ref="A7518:E7518"/>
    <s:mergeCell ref="A23907:E23907"/>
    <s:mergeCell ref="A21822:E21822"/>
    <s:mergeCell ref="A24124:E24124"/>
    <s:mergeCell ref="A24118:E24118"/>
    <s:mergeCell ref="A14936:E14936"/>
    <s:mergeCell ref="A327:E327"/>
    <s:mergeCell ref="A29240:E29240"/>
    <s:mergeCell ref="A16716:E16716"/>
    <s:mergeCell ref="A14631:E14631"/>
    <s:mergeCell ref="A9815:E9815"/>
    <s:mergeCell ref="A31020:E31020"/>
    <s:mergeCell ref="A15236:E15236"/>
    <s:mergeCell ref="A2718:E2718"/>
    <s:mergeCell ref="A633:E633"/>
    <s:mergeCell ref="A31237:E31237"/>
    <s:mergeCell ref="A29540:E29540"/>
    <s:mergeCell ref="B15178:E15178"/>
    <s:mergeCell ref="A7229:E7229"/>
    <s:mergeCell ref="A14931:E14931"/>
    <s:mergeCell ref="A328:E328"/>
    <s:mergeCell ref="A22049:E22049"/>
    <s:mergeCell ref="A31537:E31537"/>
    <s:mergeCell ref="A7529:E7529"/>
    <s:mergeCell ref="A5444:E5444"/>
    <s:mergeCell ref="A15231:E15231"/>
    <s:mergeCell ref="A628:E628"/>
    <s:mergeCell ref="A22349:E22349"/>
    <s:mergeCell ref="A20264:E20264"/>
    <s:mergeCell ref="A9831:E9831"/>
    <s:mergeCell ref="A7746:E7746"/>
    <s:mergeCell ref="A6049:E6049"/>
    <s:mergeCell ref="A5744:E5744"/>
    <s:mergeCell ref="A29268:E29268"/>
    <s:mergeCell ref="A20564:E20564"/>
    <s:mergeCell ref="A2585:E2585"/>
    <s:mergeCell ref="A8046:E8046"/>
    <s:mergeCell ref="B8287:E8287"/>
    <s:mergeCell ref="A6044:E6044"/>
    <s:mergeCell ref="A29568:E29568"/>
    <s:mergeCell ref="A2885:E2885"/>
    <s:mergeCell ref="A22077:E22077"/>
    <s:mergeCell ref="A4665:E4665"/>
    <s:mergeCell ref="A2580:E2580"/>
    <s:mergeCell ref="A4882:E4882"/>
    <s:mergeCell ref="A3185:E3185"/>
    <s:mergeCell ref="A1100:E1100"/>
    <s:mergeCell ref="A22377:E22377"/>
    <s:mergeCell ref="A2886:E2886"/>
    <s:mergeCell ref="A24163:E24163"/>
    <s:mergeCell ref="A22078:E22078"/>
    <s:mergeCell ref="A22072:E22072"/>
    <s:mergeCell ref="A1400:E1400"/>
    <s:mergeCell ref="A27493:E27493"/>
    <s:mergeCell ref="A25408:E25408"/>
    <s:mergeCell ref="A12890:E12890"/>
    <s:mergeCell ref="A29795:E29795"/>
    <s:mergeCell ref="A27194:E27194"/>
    <s:mergeCell ref="B4522:E4522"/>
    <s:mergeCell ref="A27710:E27710"/>
    <s:mergeCell ref="A29490:E29490"/>
    <s:mergeCell ref="B6818:E6818"/>
    <s:mergeCell ref="A27405:E27405"/>
    <s:mergeCell ref="A13190:E13190"/>
    <s:mergeCell ref="B19037:E19037"/>
    <s:mergeCell ref="A27494:E27494"/>
    <s:mergeCell ref="B27952:E27952"/>
    <s:mergeCell ref="A27705:E27705"/>
    <s:mergeCell ref="A29491:E29491"/>
    <s:mergeCell ref="A10026:E10026"/>
    <s:mergeCell ref="A8546:E8546"/>
    <s:mergeCell ref="A22850:E22850"/>
    <s:mergeCell ref="A22844:E22844"/>
    <s:mergeCell ref="A10326:E10326"/>
    <s:mergeCell ref="A8241:E8241"/>
    <s:mergeCell ref="A10027:E10027"/>
    <s:mergeCell ref="A8846:E8846"/>
    <s:mergeCell ref="A24847:E24847"/>
    <s:mergeCell ref="A839:E839"/>
    <s:mergeCell ref="A8541:E8541"/>
    <s:mergeCell ref="A13962:E13962"/>
    <s:mergeCell ref="A22845:E22845"/>
    <s:mergeCell ref="A1444:E1444"/>
    <s:mergeCell ref="A3135:E3135"/>
    <s:mergeCell ref="A1050:E1050"/>
    <s:mergeCell ref="A29963:E29963"/>
    <s:mergeCell ref="A15748:E15748"/>
    <s:mergeCell ref="A17439:E17439"/>
    <s:mergeCell ref="A15354:E15354"/>
    <s:mergeCell ref="A1139:E1139"/>
    <s:mergeCell ref="A1350:E1350"/>
    <s:mergeCell ref="A30263:E30263"/>
    <s:mergeCell ref="A1439:E1439"/>
    <s:mergeCell ref="A8557:E8557"/>
    <s:mergeCell ref="A6472:E6472"/>
    <s:mergeCell ref="A8252:E8252"/>
    <s:mergeCell ref="A6772:E6772"/>
    <s:mergeCell ref="A6766:E6766"/>
    <s:mergeCell ref="A30290:E30290"/>
    <s:mergeCell ref="A6467:E6467"/>
    <s:mergeCell ref="B7313:E7313"/>
    <s:mergeCell ref="A7980:E7980"/>
    <s:mergeCell ref="A15682:E15682"/>
    <s:mergeCell ref="A21103:E21103"/>
    <s:mergeCell ref="A8585:E8585"/>
    <s:mergeCell ref="A22889:E22889"/>
    <s:mergeCell ref="A20804:E20804"/>
    <s:mergeCell ref="A20798:E20798"/>
    <s:mergeCell ref="B428:E428"/>
    <s:mergeCell ref="A6800:E6800"/>
    <s:mergeCell ref="A4698:E4698"/>
    <s:mergeCell ref="A21104:E21104"/>
    <s:mergeCell ref="A28222:E28222"/>
    <s:mergeCell ref="A13613:E13613"/>
    <s:mergeCell ref="A11916:E11916"/>
    <s:mergeCell ref="B5245:E5245"/>
    <s:mergeCell ref="A14218:E14218"/>
    <s:mergeCell ref="B5239:E5239"/>
    <s:mergeCell ref="A15393:E15393"/>
    <s:mergeCell ref="A11611:E11611"/>
    <s:mergeCell ref="A18729:E18729"/>
    <s:mergeCell ref="A28516:E28516"/>
    <s:mergeCell ref="A13913:E13913"/>
    <s:mergeCell ref="A12216:E12216"/>
    <s:mergeCell ref="A30302:E30302"/>
    <s:mergeCell ref="A4725:E4725"/>
    <s:mergeCell ref="A11911:E11911"/>
    <s:mergeCell ref="A19029:E19029"/>
    <s:mergeCell ref="A14213:E14213"/>
    <s:mergeCell ref="A12128:E12128"/>
    <s:mergeCell ref="A18724:E18724"/>
    <s:mergeCell ref="B21273:E21273"/>
    <s:mergeCell ref="A21026:E21026"/>
    <s:mergeCell ref="A19329:E19329"/>
    <s:mergeCell ref="A4726:E4726"/>
    <s:mergeCell ref="A4720:E4720"/>
    <s:mergeCell ref="A19030:E19030"/>
    <s:mergeCell ref="A28244:E28244"/>
    <s:mergeCell ref="A26142:E26142"/>
    <s:mergeCell ref="A12144:E12144"/>
    <s:mergeCell ref="B19571:E19571"/>
    <s:mergeCell ref="A12138:E12138"/>
    <s:mergeCell ref="A10053:E10053"/>
    <s:mergeCell ref="A11839:E11839"/>
    <s:mergeCell ref="A4736:E4736"/>
    <s:mergeCell ref="A2651:E2651"/>
    <s:mergeCell ref="A24657:E24657"/>
    <s:mergeCell ref="A3256:E3256"/>
    <s:mergeCell ref="A12139:E12139"/>
    <s:mergeCell ref="B20088:E20088"/>
    <s:mergeCell ref="A2957:E2957"/>
    <s:mergeCell ref="A4648:E4648"/>
    <s:mergeCell ref="A2951:E2951"/>
    <s:mergeCell ref="A19357:E19357"/>
    <s:mergeCell ref="A31576:E31576"/>
    <s:mergeCell ref="A1471:E1471"/>
    <s:mergeCell ref="A26170:E26170"/>
    <s:mergeCell ref="A3251:E3251"/>
    <s:mergeCell ref="A1166:E1166"/>
    <s:mergeCell ref="A24690:E24690"/>
    <s:mergeCell ref="A2952:E2952"/>
    <s:mergeCell ref="A26476:E26476"/>
    <s:mergeCell ref="A26470:E26470"/>
    <s:mergeCell ref="A24385:E24385"/>
    <s:mergeCell ref="A2679:E2679"/>
    <s:mergeCell ref="A31592:E31592"/>
    <s:mergeCell ref="A16983:E16983"/>
    <s:mergeCell ref="A17499:E17499"/>
    <s:mergeCell ref="A12167:E12167"/>
    <s:mergeCell ref="A17588:E17588"/>
    <s:mergeCell ref="A5070:E5070"/>
    <s:mergeCell ref="A2979:E2979"/>
    <s:mergeCell ref="A18980:E18980"/>
    <s:mergeCell ref="A17283:E17283"/>
    <s:mergeCell ref="A17799:E17799"/>
    <s:mergeCell ref="A24401:E24401"/>
    <s:mergeCell ref="A22915:E22915"/>
    <s:mergeCell ref="A10397:E10397"/>
    <s:mergeCell ref="A8312:E8312"/>
    <s:mergeCell ref="A17583:E17583"/>
    <s:mergeCell ref="A15498:E15498"/>
    <s:mergeCell ref="A24701:E24701"/>
    <s:mergeCell ref="A10098:E10098"/>
    <s:mergeCell ref="A10092:E10092"/>
    <s:mergeCell ref="A24396:E24396"/>
    <s:mergeCell ref="A8612:E8612"/>
    <s:mergeCell ref="B1941:E1941"/>
    <s:mergeCell ref="A22916:E22916"/>
    <s:mergeCell ref="A10398:E10398"/>
    <s:mergeCell ref="A8307:E8307"/>
    <s:mergeCell ref="A17510:E17510"/>
    <s:mergeCell ref="A22611:E22611"/>
    <s:mergeCell ref="A15514:E15514"/>
    <s:mergeCell ref="B10945:E10945"/>
    <s:mergeCell ref="A24913:E24913"/>
    <s:mergeCell ref="A31526:E31526"/>
    <s:mergeCell ref="A15209:E15209"/>
    <s:mergeCell ref="A14028:E14028"/>
    <s:mergeCell ref="A15725:E15725"/>
    <s:mergeCell ref="A3751:E3751"/>
    <s:mergeCell ref="A30029:E30029"/>
    <s:mergeCell ref="A15814:E15814"/>
    <s:mergeCell ref="A13729:E13729"/>
    <s:mergeCell ref="A24729:E24729"/>
    <s:mergeCell ref="A16025:E16025"/>
    <s:mergeCell ref="A22644:E22644"/>
    <s:mergeCell ref="A30329:E30329"/>
    <s:mergeCell ref="A17811:E17811"/>
    <s:mergeCell ref="B21388:E21388"/>
    <s:mergeCell ref="A22944:E22944"/>
    <s:mergeCell ref="A22927:E22927"/>
    <s:mergeCell ref="A29757:E29757"/>
    <s:mergeCell ref="A28060:E28060"/>
    <s:mergeCell ref="B21389:E21389"/>
    <s:mergeCell ref="A10865:E10865"/>
    <s:mergeCell ref="A22355:E22355"/>
    <s:mergeCell ref="A20869:E20869"/>
    <s:mergeCell ref="A8351:E8351"/>
    <s:mergeCell ref="A22655:E22655"/>
    <s:mergeCell ref="A30357:E30357"/>
    <s:mergeCell ref="A22955:E22955"/>
    <s:mergeCell ref="A20870:E20870"/>
    <s:mergeCell ref="A21170:E21170"/>
    <s:mergeCell ref="A18011:E18011"/>
    <s:mergeCell ref="A5487:E5487"/>
    <s:mergeCell ref="A3402:E3402"/>
    <s:mergeCell ref="A1705:E1705"/>
    <s:mergeCell ref="A17706:E17706"/>
    <s:mergeCell ref="A1922:E1922"/>
    <s:mergeCell ref="A18311:E18311"/>
    <s:mergeCell ref="A3702:E3702"/>
    <s:mergeCell ref="A30524:E30524"/>
    <s:mergeCell ref="A18006:E18006"/>
    <s:mergeCell ref="A8824:E8824"/>
    <s:mergeCell ref="A18611:E18611"/>
    <s:mergeCell ref="A4002:E4002"/>
    <s:mergeCell ref="A3703:E3703"/>
    <s:mergeCell ref="A25424:E25424"/>
    <s:mergeCell ref="A9124:E9124"/>
    <s:mergeCell ref="A9118:E9118"/>
    <s:mergeCell ref="A1633:E1633"/>
    <s:mergeCell ref="A10904:E10904"/>
    <s:mergeCell ref="A8819:E8819"/>
    <s:mergeCell ref="A25724:E25724"/>
    <s:mergeCell ref="A23639:E23639"/>
    <s:mergeCell ref="A11121:E11121"/>
    <s:mergeCell ref="A9119:E9119"/>
    <s:mergeCell ref="A16237:E16237"/>
    <s:mergeCell ref="B178:E178"/>
    <s:mergeCell ref="A3713:E3713"/>
    <s:mergeCell ref="A1628:E1628"/>
    <s:mergeCell ref="A14146:E14146"/>
    <s:mergeCell ref="A7049:E7049"/>
    <s:mergeCell ref="B2480:E2480"/>
    <s:mergeCell ref="A2233:E2233"/>
    <s:mergeCell ref="A148:E148"/>
    <s:mergeCell ref="A16537:E16537"/>
    <s:mergeCell ref="A7349:E7349"/>
    <s:mergeCell ref="A30568:E30568"/>
    <s:mergeCell ref="A15965:E15965"/>
    <s:mergeCell ref="A30868:E30868"/>
    <s:mergeCell ref="A28783:E28783"/>
    <s:mergeCell ref="A16265:E16265"/>
    <s:mergeCell ref="A30569:E30569"/>
    <s:mergeCell ref="A30563:E30563"/>
    <s:mergeCell ref="A28478:E28478"/>
    <s:mergeCell ref="A30780:E30780"/>
    <s:mergeCell ref="A29083:E29083"/>
    <s:mergeCell ref="A159:E159"/>
    <s:mergeCell ref="A30869:E30869"/>
    <s:mergeCell ref="A21592:E21592"/>
    <s:mergeCell ref="A7377:E7377"/>
    <s:mergeCell ref="A5292:E5292"/>
    <s:mergeCell ref="A23378:E23378"/>
    <s:mergeCell ref="A21681:E21681"/>
    <s:mergeCell ref="A19596:E19596"/>
    <s:mergeCell ref="A459:E459"/>
    <s:mergeCell ref="A7072:E7072"/>
    <s:mergeCell ref="A4987:E4987"/>
    <s:mergeCell ref="A23983:E23983"/>
    <s:mergeCell ref="A21898:E21898"/>
    <s:mergeCell ref="A23678:E23678"/>
    <s:mergeCell ref="A19896:E19896"/>
    <s:mergeCell ref="A29099:E29099"/>
    <s:mergeCell ref="A14490:E14490"/>
    <s:mergeCell ref="A12405:E12405"/>
    <s:mergeCell ref="A28794:E28794"/>
    <s:mergeCell ref="A21893:E21893"/>
    <s:mergeCell ref="A492:E492"/>
    <s:mergeCell ref="A27314:E27314"/>
    <s:mergeCell ref="A5003:E5003"/>
    <s:mergeCell ref="A12705:E12705"/>
    <s:mergeCell ref="A187:E187"/>
    <s:mergeCell ref="A29094:E29094"/>
    <s:mergeCell ref="A14491:E14491"/>
    <s:mergeCell ref="B13252:E13252"/>
    <s:mergeCell ref="A5303:E5303"/>
    <s:mergeCell ref="A487:E487"/>
    <s:mergeCell ref="A7605:E7605"/>
    <s:mergeCell ref="A4998:E4998"/>
    <s:mergeCell ref="A5514:E5514"/>
    <s:mergeCell ref="A28522:E28522"/>
    <s:mergeCell ref="A19818:E19818"/>
    <s:mergeCell ref="A7300:E7300"/>
    <s:mergeCell ref="A5603:E5603"/>
    <s:mergeCell ref="A3518:E3518"/>
    <s:mergeCell ref="A14518:E14518"/>
    <s:mergeCell ref="A5814:E5814"/>
    <s:mergeCell ref="A12433:E12433"/>
    <s:mergeCell ref="A12416:E12416"/>
    <s:mergeCell ref="B6150:E6150"/>
    <s:mergeCell ref="A20118:E20118"/>
    <s:mergeCell ref="A26737:E26737"/>
    <s:mergeCell ref="A5515:E5515"/>
    <s:mergeCell ref="A3818:E3818"/>
    <s:mergeCell ref="A10930:E10930"/>
    <s:mergeCell ref="A12716:E12716"/>
    <s:mergeCell ref="A27037:E27037"/>
    <s:mergeCell ref="B22451:E22451"/>
    <s:mergeCell ref="A11236:E11236"/>
    <s:mergeCell ref="A10931:E10931"/>
    <s:mergeCell ref="A19846:E19846"/>
    <s:mergeCell ref="A27053:E27053"/>
    <s:mergeCell ref="A12444:E12444"/>
    <s:mergeCell ref="A27264:E27264"/>
    <s:mergeCell ref="A25268:E25268"/>
    <s:mergeCell ref="A25262:E25262"/>
    <s:mergeCell ref="A12744:E12744"/>
    <s:mergeCell ref="A10659:E10659"/>
    <s:mergeCell ref="A17777:E17777"/>
    <s:mergeCell ref="A27564:E27564"/>
    <s:mergeCell ref="A25479:E25479"/>
    <s:mergeCell ref="A11264:E11264"/>
    <s:mergeCell ref="A27265:E27265"/>
    <s:mergeCell ref="A10959:E10959"/>
    <s:mergeCell ref="A30595:E30595"/>
    <s:mergeCell ref="A18077:E18077"/>
    <s:mergeCell ref="A3468:E3468"/>
    <s:mergeCell ref="A18166:E18166"/>
    <s:mergeCell ref="A16081:E16081"/>
    <s:mergeCell ref="A19857:E19857"/>
    <s:mergeCell ref="A17772:E17772"/>
    <s:mergeCell ref="B31142:E31142"/>
    <s:mergeCell ref="A16292:E16292"/>
    <s:mergeCell ref="A3768:E3768"/>
    <s:mergeCell ref="A25190:E25190"/>
    <s:mergeCell ref="A10975:E10975"/>
    <s:mergeCell ref="A10670:E10670"/>
    <s:mergeCell ref="A25490:E25490"/>
    <s:mergeCell ref="A9190:E9190"/>
    <s:mergeCell ref="A8885:E8885"/>
    <s:mergeCell ref="A25790:E25790"/>
    <s:mergeCell ref="A23705:E23705"/>
    <s:mergeCell ref="A5726:E5726"/>
    <s:mergeCell ref="A6026:E6026"/>
    <s:mergeCell ref="A23521:E23521"/>
    <s:mergeCell ref="A18850:E18850"/>
    <s:mergeCell ref="B24552:E24552"/>
    <s:mergeCell ref="B2241:E2241"/>
    <s:mergeCell ref="A6326:E6326"/>
    <s:mergeCell ref="A4541:E4541"/>
    <s:mergeCell ref="A30640:E30640"/>
    <s:mergeCell ref="A30634:E30634"/>
    <s:mergeCell ref="A28549:E28549"/>
    <s:mergeCell ref="A18116:E18116"/>
    <s:mergeCell ref="A16031:E16031"/>
    <s:mergeCell ref="A30940:E30940"/>
    <s:mergeCell ref="A16331:E16331"/>
    <s:mergeCell ref="A14546:E14546"/>
    <s:mergeCell ref="A4269:E4269"/>
    <s:mergeCell ref="A13472:E13472"/>
    <s:mergeCell ref="A4857:E4857"/>
    <s:mergeCell ref="A13167:E13167"/>
    <s:mergeCell ref="A9385:E9385"/>
    <s:mergeCell ref="A13772:E13772"/>
    <s:mergeCell ref="A11687:E11687"/>
    <s:mergeCell ref="A25991:E25991"/>
    <s:mergeCell ref="A25985:E25985"/>
    <s:mergeCell ref="A13467:E13467"/>
    <s:mergeCell ref="A11382:E11382"/>
    <s:mergeCell ref="A9685:E9685"/>
    <s:mergeCell ref="A18888:E18888"/>
    <s:mergeCell ref="A16803:E16803"/>
    <s:mergeCell ref="A4285:E4285"/>
    <s:mergeCell ref="A11987:E11987"/>
    <s:mergeCell ref="A16498:E16498"/>
    <s:mergeCell ref="A3980:E3980"/>
    <s:mergeCell ref="A2799:E2799"/>
    <s:mergeCell ref="A17103:E17103"/>
    <s:mergeCell ref="A4585:E4585"/>
    <s:mergeCell ref="A4280:E4280"/>
    <s:mergeCell ref="A19100:E19100"/>
    <s:mergeCell ref="A17403:E17403"/>
    <s:mergeCell ref="A17098:E17098"/>
    <s:mergeCell ref="A19400:E19400"/>
    <s:mergeCell ref="A17315:E17315"/>
    <s:mergeCell ref="A11998:E11998"/>
    <s:mergeCell ref="A16526:E16526"/>
    <s:mergeCell ref="A24217:E24217"/>
    <s:mergeCell ref="A725:E725"/>
    <s:mergeCell ref="A17131:E17131"/>
    <s:mergeCell ref="A420:E420"/>
    <s:mergeCell ref="A23944:E23944"/>
    <s:mergeCell ref="B1272:E1272"/>
    <s:mergeCell ref="A1025:E1025"/>
    <s:mergeCell ref="A2811:E2811"/>
    <s:mergeCell ref="A726:E726"/>
    <s:mergeCell ref="A24250:E24250"/>
    <s:mergeCell ref="A24244:E24244"/>
    <s:mergeCell ref="B1273:E1273"/>
    <s:mergeCell ref="A23939:E23939"/>
    <s:mergeCell ref="A16842:E16842"/>
    <s:mergeCell ref="A14757:E14757"/>
    <s:mergeCell ref="A26330:E26330"/>
    <s:mergeCell ref="A24245:E24245"/>
    <s:mergeCell ref="A753:E753"/>
    <s:mergeCell ref="A31357:E31357"/>
    <s:mergeCell ref="A15057:E15057"/>
    <s:mergeCell ref="A448:E448"/>
    <s:mergeCell ref="A31446:E31446"/>
    <s:mergeCell ref="A31663:E31663"/>
    <s:mergeCell ref="A31657:E31657"/>
    <s:mergeCell ref="A29572:E29572"/>
    <s:mergeCell ref="A7655:E7655"/>
    <s:mergeCell ref="A22475:E22475"/>
    <s:mergeCell ref="A7866:E7866"/>
    <s:mergeCell ref="A6169:E6169"/>
    <s:mergeCell ref="A24255:E24255"/>
    <s:mergeCell ref="A22170:E22170"/>
    <s:mergeCell ref="A29872:E29872"/>
    <s:mergeCell ref="A22775:E22775"/>
    <s:mergeCell ref="A20690:E20690"/>
    <s:mergeCell ref="A8172:E8172"/>
    <s:mergeCell ref="A8166:E8166"/>
    <s:mergeCell ref="A6081:E6081"/>
    <s:mergeCell ref="A22470:E22470"/>
    <s:mergeCell ref="A9952:E9952"/>
    <s:mergeCell ref="A7867:E7867"/>
    <s:mergeCell ref="A6170:E6170"/>
    <s:mergeCell ref="A764:E764"/>
    <s:mergeCell ref="A12983:E12983"/>
    <s:mergeCell ref="A22770:E22770"/>
    <s:mergeCell ref="A20685:E20685"/>
    <s:mergeCell ref="A8167:E8167"/>
    <s:mergeCell ref="A13588:E13588"/>
    <s:mergeCell ref="A15279:E15279"/>
    <s:mergeCell ref="A6097:E6097"/>
    <s:mergeCell ref="A13283:E13283"/>
    <s:mergeCell ref="A15585:E15585"/>
    <s:mergeCell ref="A22198:E22198"/>
    <s:mergeCell ref="A13494:E13494"/>
    <s:mergeCell ref="A6397:E6397"/>
    <s:mergeCell ref="A4312:E4312"/>
    <s:mergeCell ref="A13583:E13583"/>
    <s:mergeCell ref="A20701:E20701"/>
    <s:mergeCell ref="A6092:E6092"/>
    <s:mergeCell ref="A4612:E4612"/>
    <s:mergeCell ref="A21001:E21001"/>
    <s:mergeCell ref="A18916:E18916"/>
    <s:mergeCell ref="B6639:E6639"/>
    <s:mergeCell ref="A25529:E25529"/>
    <s:mergeCell ref="A6392:E6392"/>
    <s:mergeCell ref="A4307:E4307"/>
    <s:mergeCell ref="A29916:E29916"/>
    <s:mergeCell ref="A27831:E27831"/>
    <s:mergeCell ref="B19463:E19463"/>
    <s:mergeCell ref="B19457:E19457"/>
    <s:mergeCell ref="A20429:E20429"/>
    <s:mergeCell ref="B6640:E6640"/>
    <s:mergeCell ref="A28131:E28131"/>
    <s:mergeCell ref="A5820:E5820"/>
    <s:mergeCell ref="B28073:E28073"/>
    <s:mergeCell ref="A27826:E27826"/>
    <s:mergeCell ref="B12272:E12272"/>
    <s:mergeCell ref="B28678:E28678"/>
    <s:mergeCell ref="A20729:E20729"/>
    <s:mergeCell ref="A6120:E6120"/>
    <s:mergeCell ref="A13238:E13238"/>
    <s:mergeCell ref="B21276:E21276"/>
    <s:mergeCell ref="A18944:E18944"/>
    <s:mergeCell ref="B26876:E26876"/>
    <s:mergeCell ref="A6420:E6420"/>
    <s:mergeCell ref="A26056:E26056"/>
    <s:mergeCell ref="A13538:E13538"/>
    <s:mergeCell ref="A11453:E11453"/>
    <s:mergeCell ref="A27842:E27842"/>
    <s:mergeCell ref="A13233:E13233"/>
    <s:mergeCell ref="A26362:E26362"/>
    <s:mergeCell ref="A26356:E26356"/>
    <s:mergeCell ref="A11753:E11753"/>
    <s:mergeCell ref="A26057:E26057"/>
    <s:mergeCell ref="A13539:E13539"/>
    <s:mergeCell ref="B28084:E28084"/>
    <s:mergeCell ref="A16869:E16869"/>
    <s:mergeCell ref="A4351:E4351"/>
    <s:mergeCell ref="A12053:E12053"/>
    <s:mergeCell ref="A18655:E18655"/>
    <s:mergeCell ref="A26357:E26357"/>
    <s:mergeCell ref="A18866:E18866"/>
    <s:mergeCell ref="A17169:E17169"/>
    <s:mergeCell ref="A4651:E4651"/>
    <s:mergeCell ref="A8589:E8589"/>
    <s:mergeCell ref="A6892:E6892"/>
    <s:mergeCell ref="A18955:E18955"/>
    <s:mergeCell ref="A16864:E16864"/>
    <s:mergeCell ref="A19166:E19166"/>
    <s:mergeCell ref="B10798:E10798"/>
    <s:mergeCell ref="A30901:E30901"/>
    <s:mergeCell ref="A14011:E14011"/>
    <s:mergeCell ref="A26085:E26085"/>
    <s:mergeCell ref="A16897:E16897"/>
    <s:mergeCell ref="A31201:E31201"/>
    <s:mergeCell ref="A14311:E14311"/>
    <s:mergeCell ref="A26385:E26385"/>
    <s:mergeCell ref="A31501:E31501"/>
    <s:mergeCell ref="A2:E2"/>
    <s:mergeCell ref="B24830:E24830"/>
    <s:mergeCell ref="A25796:E25796"/>
    <s:mergeCell ref="A26401:E26401"/>
    <s:mergeCell ref="A24316:E24316"/>
    <s:mergeCell ref="A24310:E24310"/>
    <s:mergeCell ref="A24011:E24011"/>
    <s:mergeCell ref="A31517:E31517"/>
    <s:mergeCell ref="B18244:E18244"/>
    <s:mergeCell ref="A31212:E31212"/>
    <s:mergeCell ref="A29127:E29127"/>
    <s:mergeCell ref="A29732:E29732"/>
    <s:mergeCell ref="A6937:E6937"/>
    <s:mergeCell ref="A4852:E4852"/>
    <s:mergeCell ref="A4846:E4846"/>
    <s:mergeCell ref="A21757:E21757"/>
    <s:mergeCell ref="A19150:E19150"/>
    <s:mergeCell ref="A31729:E31729"/>
    <s:mergeCell ref="A21452:E21452"/>
    <s:mergeCell ref="A19755:E19755"/>
    <s:mergeCell ref="A17670:E17670"/>
    <s:mergeCell ref="A19361:E19361"/>
    <s:mergeCell ref="A5146:E5146"/>
    <s:mergeCell ref="A12264:E12264"/>
    <s:mergeCell ref="A19450:E19450"/>
    <s:mergeCell ref="A26568:E26568"/>
    <s:mergeCell ref="A21752:E21752"/>
    <s:mergeCell ref="A19667:E19667"/>
    <s:mergeCell ref="A12564:E12564"/>
    <s:mergeCell ref="A10479:E10479"/>
    <s:mergeCell ref="A24783:E24783"/>
    <s:mergeCell ref="A12265:E12265"/>
    <s:mergeCell ref="A12259:E12259"/>
    <s:mergeCell ref="A10174:E10174"/>
    <s:mergeCell ref="A3077:E3077"/>
    <s:mergeCell ref="A25083:E25083"/>
    <s:mergeCell ref="A2772:E2772"/>
    <s:mergeCell ref="A5074:E5074"/>
    <s:mergeCell ref="A3377:E3377"/>
    <s:mergeCell ref="A1292:E1292"/>
    <s:mergeCell ref="A3078:E3078"/>
    <s:mergeCell ref="A3072:E3072"/>
    <s:mergeCell ref="A10190:E10190"/>
    <s:mergeCell ref="A5374:E5374"/>
    <s:mergeCell ref="A1592:E1592"/>
    <s:mergeCell ref="A19678:E19678"/>
    <s:mergeCell ref="A3372:E3372"/>
    <s:mergeCell ref="A1287:E1287"/>
    <s:mergeCell ref="B18439:E18439"/>
    <s:mergeCell ref="A10490:E10490"/>
    <s:mergeCell ref="A24811:E24811"/>
    <s:mergeCell ref="A5674:E5674"/>
    <s:mergeCell ref="A3589:E3589"/>
    <s:mergeCell ref="A10790:E10790"/>
    <s:mergeCell ref="A8705:E8705"/>
    <s:mergeCell ref="A17620:E17620"/>
    <s:mergeCell ref="A3405:E3405"/>
    <s:mergeCell ref="A19406:E19406"/>
    <s:mergeCell ref="A18225:E18225"/>
    <s:mergeCell ref="A9005:E9005"/>
    <s:mergeCell ref="A10218:E10218"/>
    <s:mergeCell ref="A24522:E24522"/>
    <s:mergeCell ref="A19706:E19706"/>
    <s:mergeCell ref="A25127:E25127"/>
    <s:mergeCell ref="A10524:E10524"/>
    <s:mergeCell ref="A23036:E23036"/>
    <s:mergeCell ref="A10518:E10518"/>
    <s:mergeCell ref="A8433:E8433"/>
    <s:mergeCell ref="A25033:E25033"/>
    <s:mergeCell ref="A1031:E1031"/>
    <s:mergeCell ref="A8733:E8733"/>
    <s:mergeCell ref="A17936:E17936"/>
    <s:mergeCell ref="A15851:E15851"/>
    <s:mergeCell ref="A25122:E25122"/>
    <s:mergeCell ref="A23037:E23037"/>
    <s:mergeCell ref="A1242:E1242"/>
    <s:mergeCell ref="A17631:E17631"/>
    <s:mergeCell ref="A1331:E1331"/>
    <s:mergeCell ref="A16151:E16151"/>
    <s:mergeCell ref="A30455:E30455"/>
    <s:mergeCell ref="A30449:E30449"/>
    <s:mergeCell ref="A15846:E15846"/>
    <s:mergeCell ref="A30150:E30150"/>
    <s:mergeCell ref="A8749:E8749"/>
    <s:mergeCell ref="A16146:E16146"/>
    <s:mergeCell ref="A6964:E6964"/>
    <s:mergeCell ref="A8655:E8655"/>
    <s:mergeCell ref="A6958:E6958"/>
    <s:mergeCell ref="B30908:E30908"/>
    <s:mergeCell ref="A1558:E1558"/>
    <s:mergeCell ref="A8744:E8744"/>
    <s:mergeCell ref="A6659:E6659"/>
    <s:mergeCell ref="A30183:E30183"/>
    <s:mergeCell ref="A6959:E6959"/>
    <s:mergeCell ref="A14077:E14077"/>
    <s:mergeCell ref="A30483:E30483"/>
    <s:mergeCell ref="A73:E73"/>
    <s:mergeCell ref="B27142:E27142"/>
    <s:mergeCell ref="A14377:E14377"/>
    <s:mergeCell ref="A20990:E20990"/>
    <s:mergeCell ref="A28408:E28408"/>
    <s:mergeCell ref="A15890:E15890"/>
    <s:mergeCell ref="A13805:E13805"/>
    <s:mergeCell ref="A5190:E5190"/>
    <s:mergeCell ref="A28708:E28708"/>
    <s:mergeCell ref="A26623:E26623"/>
    <s:mergeCell ref="A14105:E14105"/>
    <s:mergeCell ref="A30494:E30494"/>
    <s:mergeCell ref="A28409:E28409"/>
    <s:mergeCell ref="A28403:E28403"/>
    <s:mergeCell ref="A19221:E19221"/>
    <s:mergeCell ref="A14405:E14405"/>
    <s:mergeCell ref="A21523:E21523"/>
    <s:mergeCell ref="A28709:E28709"/>
    <s:mergeCell ref="A19432:E19432"/>
    <s:mergeCell ref="A2026:E2026"/>
    <s:mergeCell ref="A5217:E5217"/>
    <s:mergeCell ref="A21218:E21218"/>
    <s:mergeCell ref="A19521:E19521"/>
    <s:mergeCell ref="A17436:E17436"/>
    <s:mergeCell ref="A7003:E7003"/>
    <s:mergeCell ref="A4918:E4918"/>
    <s:mergeCell ref="A4912:E4912"/>
    <s:mergeCell ref="A21823:E21823"/>
    <s:mergeCell ref="A19738:E19738"/>
    <s:mergeCell ref="A19216:E19216"/>
    <s:mergeCell ref="A2326:E2326"/>
    <s:mergeCell ref="A21518:E21518"/>
    <s:mergeCell ref="A5218:E5218"/>
    <s:mergeCell ref="A12330:E12330"/>
    <s:mergeCell ref="A19516:E19516"/>
    <s:mergeCell ref="B5659:E5659"/>
    <s:mergeCell ref="B22065:E22065"/>
    <s:mergeCell ref="A26634:E26634"/>
    <s:mergeCell ref="A12031:E12031"/>
    <s:mergeCell ref="A21818:E21818"/>
    <s:mergeCell ref="A19733:E19733"/>
    <s:mergeCell ref="A268:E268"/>
    <s:mergeCell ref="A24849:E24849"/>
    <s:mergeCell ref="A12331:E12331"/>
    <s:mergeCell ref="A26635:E26635"/>
    <s:mergeCell ref="A7775:E7775"/>
    <s:mergeCell ref="A21685:E21685"/>
    <s:mergeCell ref="A9167:E9167"/>
    <s:mergeCell ref="A26662:E26662"/>
    <s:mergeCell ref="A9772:E9772"/>
    <s:mergeCell ref="A7687:E7687"/>
    <s:mergeCell ref="A24577:E24577"/>
    <s:mergeCell ref="B18505:E18505"/>
    <s:mergeCell ref="B5987:E5987"/>
    <s:mergeCell ref="A279:E279"/>
    <s:mergeCell ref="B11103:E11103"/>
    <s:mergeCell ref="A585:E585"/>
    <s:mergeCell ref="A17687:E17687"/>
    <s:mergeCell ref="A7410:E7410"/>
    <s:mergeCell ref="A29131:E29131"/>
    <s:mergeCell ref="A14916:E14916"/>
    <s:mergeCell ref="A12831:E12831"/>
    <s:mergeCell ref="A313:E313"/>
    <s:mergeCell ref="A307:E307"/>
    <s:mergeCell ref="A5913:E5913"/>
    <s:mergeCell ref="A14611:E14611"/>
    <s:mergeCell ref="A12526:E12526"/>
    <s:mergeCell ref="A7710:E7710"/>
    <s:mergeCell ref="A29431:E29431"/>
    <s:mergeCell ref="A613:E613"/>
    <s:mergeCell ref="A5640:E5640"/>
    <s:mergeCell ref="A12826:E12826"/>
    <s:mergeCell ref="A22029:E22029"/>
    <s:mergeCell ref="A19944:E19944"/>
    <s:mergeCell ref="A5729:E5729"/>
    <s:mergeCell ref="A13431:E13431"/>
    <s:mergeCell ref="A5940:E5940"/>
    <s:mergeCell ref="A13126:E13126"/>
    <s:mergeCell ref="A20244:E20244"/>
    <s:mergeCell ref="A7726:E7726"/>
    <s:mergeCell ref="A3944:E3944"/>
    <s:mergeCell ref="A5635:E5635"/>
    <s:mergeCell ref="A6240:E6240"/>
    <s:mergeCell ref="A20544:E20544"/>
    <s:mergeCell ref="A18459:E18459"/>
    <s:mergeCell ref="A5941:E5941"/>
    <s:mergeCell ref="A12537:E12537"/>
    <s:mergeCell ref="A11356:E11356"/>
    <s:mergeCell ref="A27357:E27357"/>
    <s:mergeCell ref="A11057:E11057"/>
    <s:mergeCell ref="A19972:E19972"/>
    <s:mergeCell ref="A13054:E13054"/>
    <s:mergeCell ref="A11357:E11357"/>
    <s:mergeCell ref="A20272:E20272"/>
    <s:mergeCell ref="A18170:E18170"/>
    <s:mergeCell ref="A18775:E18775"/>
    <s:mergeCell ref="A25388:E25388"/>
    <s:mergeCell ref="A4166:E4166"/>
    <s:mergeCell ref="A20572:E20572"/>
    <s:mergeCell ref="A27690:E27690"/>
    <s:mergeCell ref="A18470:E18470"/>
    <s:mergeCell ref="A25605:E25605"/>
    <s:mergeCell ref="B17237:E17237"/>
    <s:mergeCell ref="A27385:E27385"/>
    <s:mergeCell ref="A4466:E4466"/>
    <s:mergeCell ref="A2381:E2381"/>
    <s:mergeCell ref="A25905:E25905"/>
    <s:mergeCell ref="A19983:E19983"/>
    <s:mergeCell ref="A27685:E27685"/>
    <s:mergeCell ref="A25600:E25600"/>
    <s:mergeCell ref="B17232:E17232"/>
    <s:mergeCell ref="A27386:E27386"/>
    <s:mergeCell ref="A3894:E3894"/>
    <s:mergeCell ref="B11826:E11826"/>
    <s:mergeCell ref="A30716:E30716"/>
    <s:mergeCell ref="A20283:E20283"/>
    <s:mergeCell ref="A18198:E18198"/>
    <s:mergeCell ref="A31321:E31321"/>
    <s:mergeCell ref="A18803:E18803"/>
    <s:mergeCell ref="A16718:E16718"/>
    <s:mergeCell ref="A4194:E4194"/>
    <s:mergeCell ref="A2092:E2092"/>
    <s:mergeCell ref="A18498:E18498"/>
    <s:mergeCell ref="A25616:E25616"/>
    <s:mergeCell ref="A11401:E11401"/>
    <s:mergeCell ref="A11007:E11007"/>
    <s:mergeCell ref="A9310:E9310"/>
    <s:mergeCell ref="A23620:E23620"/>
    <s:mergeCell ref="A25311:E25311"/>
    <s:mergeCell ref="B19045:E19045"/>
    <s:mergeCell ref="A11612:E11612"/>
    <s:mergeCell ref="A9527:E9527"/>
    <s:mergeCell ref="A18798:E18798"/>
    <s:mergeCell ref="A25916:E25916"/>
    <s:mergeCell ref="A23831:E23831"/>
    <s:mergeCell ref="A23825:E23825"/>
    <s:mergeCell ref="A1908:E1908"/>
    <s:mergeCell ref="A11307:E11307"/>
    <s:mergeCell ref="A16728:E16728"/>
    <s:mergeCell ref="A14643:E14643"/>
    <s:mergeCell ref="A9827:E9827"/>
    <s:mergeCell ref="A16429:E16429"/>
    <s:mergeCell ref="A24131:E24131"/>
    <s:mergeCell ref="A3905:E3905"/>
    <s:mergeCell ref="A1820:E1820"/>
    <s:mergeCell ref="A14943:E14943"/>
    <s:mergeCell ref="A16729:E16729"/>
    <s:mergeCell ref="A14638:E14638"/>
    <s:mergeCell ref="A9238:E9238"/>
    <s:mergeCell ref="A7541:E7541"/>
    <s:mergeCell ref="A16424:E16424"/>
    <s:mergeCell ref="A31244:E31244"/>
    <s:mergeCell ref="A18726:E18726"/>
    <s:mergeCell ref="B15185:E15185"/>
    <s:mergeCell ref="A335:E335"/>
    <s:mergeCell ref="B9785:E9785"/>
    <s:mergeCell ref="A9538:E9538"/>
    <s:mergeCell ref="A5756:E5756"/>
    <s:mergeCell ref="A7542:E7542"/>
    <s:mergeCell ref="B882:E882"/>
    <s:mergeCell ref="A31060:E31060"/>
    <s:mergeCell ref="A28975:E28975"/>
    <s:mergeCell ref="A9838:E9838"/>
    <s:mergeCell ref="A7753:E7753"/>
    <s:mergeCell ref="A29275:E29275"/>
    <s:mergeCell ref="A23570:E23570"/>
    <s:mergeCell ref="A21873:E21873"/>
    <s:mergeCell ref="A24175:E24175"/>
    <s:mergeCell ref="A14955:E14955"/>
    <s:mergeCell ref="A22084:E22084"/>
    <s:mergeCell ref="A23870:E23870"/>
    <s:mergeCell ref="B1198:E1198"/>
    <s:mergeCell ref="A14682:E14682"/>
    <s:mergeCell ref="B893:E893"/>
    <s:mergeCell ref="A79:E79"/>
    <s:mergeCell ref="B20529:E20529"/>
    <s:mergeCell ref="A28986:E28986"/>
    <s:mergeCell ref="A24170:E24170"/>
    <s:mergeCell ref="A22085:E22085"/>
    <s:mergeCell ref="A29197:E29197"/>
    <s:mergeCell ref="A27500:E27500"/>
    <s:mergeCell ref="A12897:E12897"/>
    <s:mergeCell ref="A379:E379"/>
    <s:mergeCell ref="A29286:E29286"/>
    <s:mergeCell ref="B24717:E24717"/>
    <s:mergeCell ref="A27201:E27201"/>
    <s:mergeCell ref="A14677:E14677"/>
    <s:mergeCell ref="A12592:E12592"/>
    <s:mergeCell ref="A31588:E31588"/>
    <s:mergeCell ref="A29503:E29503"/>
    <s:mergeCell ref="A29497:E29497"/>
    <s:mergeCell ref="A5495:E5495"/>
    <s:mergeCell ref="A13197:E13197"/>
    <s:mergeCell ref="A679:E679"/>
    <s:mergeCell ref="B29833:E29833"/>
    <s:mergeCell ref="A29198:E29198"/>
    <s:mergeCell ref="A27501:E27501"/>
    <s:mergeCell ref="B30050:E30050"/>
    <s:mergeCell ref="A22095:E22095"/>
    <s:mergeCell ref="A20010:E20010"/>
    <s:mergeCell ref="A5795:E5795"/>
    <s:mergeCell ref="A20615:E20615"/>
    <s:mergeCell ref="A8097:E8097"/>
    <s:mergeCell ref="A20310:E20310"/>
    <s:mergeCell ref="A7792:E7792"/>
    <s:mergeCell ref="A22096:E22096"/>
    <s:mergeCell ref="A20610:E20610"/>
    <s:mergeCell ref="A2631:E2631"/>
    <s:mergeCell ref="A2848:E2848"/>
    <s:mergeCell ref="A1151:E1151"/>
    <s:mergeCell ref="A846:E846"/>
    <s:mergeCell ref="A20038:E20038"/>
    <s:mergeCell ref="A3148:E3148"/>
    <s:mergeCell ref="A1451:E1451"/>
    <s:mergeCell ref="A17452:E17452"/>
    <s:mergeCell ref="A1146:E1146"/>
    <s:mergeCell ref="A8264:E8264"/>
    <s:mergeCell ref="A20338:E20338"/>
    <s:mergeCell ref="A2932:E2932"/>
    <s:mergeCell ref="A1363:E1363"/>
    <s:mergeCell ref="A3448:E3448"/>
    <s:mergeCell ref="B28270:E28270"/>
    <s:mergeCell ref="A27456:E27456"/>
    <s:mergeCell ref="A10044:E10044"/>
    <s:mergeCell ref="A8564:E8564"/>
    <s:mergeCell ref="A27756:E27756"/>
    <s:mergeCell ref="A25671:E25671"/>
    <s:mergeCell ref="A8265:E8265"/>
    <s:mergeCell ref="A15394:E15394"/>
    <s:mergeCell ref="A25760:E25760"/>
    <s:mergeCell ref="A27451:E27451"/>
    <s:mergeCell ref="A6779:E6779"/>
    <s:mergeCell ref="B6565:E6565"/>
    <s:mergeCell ref="A22296:E22296"/>
    <s:mergeCell ref="A27751:E27751"/>
    <s:mergeCell ref="A20810:E20810"/>
    <s:mergeCell ref="A22596:E22596"/>
    <s:mergeCell ref="A1374:E1374"/>
    <s:mergeCell ref="A7987:E7987"/>
    <s:mergeCell ref="A22291:E22291"/>
    <s:mergeCell ref="A22807:E22807"/>
    <s:mergeCell ref="A8592:E8592"/>
    <s:mergeCell ref="A24593:E24593"/>
    <s:mergeCell ref="A20811:E20811"/>
    <s:mergeCell ref="A10378:E10378"/>
    <s:mergeCell ref="A15405:E15405"/>
    <s:mergeCell ref="A13708:E13708"/>
    <s:mergeCell ref="A23107:E23107"/>
    <s:mergeCell ref="A29709:E29709"/>
    <s:mergeCell ref="A13409:E13409"/>
    <s:mergeCell ref="A30314:E30314"/>
    <s:mergeCell ref="A28229:E28229"/>
    <s:mergeCell ref="A13620:E13620"/>
    <s:mergeCell ref="A30009:E30009"/>
    <s:mergeCell ref="A15406:E15406"/>
    <s:mergeCell ref="A13709:E13709"/>
    <s:mergeCell ref="A6218:E6218"/>
    <s:mergeCell ref="A30309:E30309"/>
    <s:mergeCell ref="A28224:E28224"/>
    <s:mergeCell ref="A21127:E21127"/>
    <s:mergeCell ref="A22818:E22818"/>
    <s:mergeCell ref="A6518:E6518"/>
    <s:mergeCell ref="A20822:E20822"/>
    <s:mergeCell ref="A4733:E4733"/>
    <s:mergeCell ref="A21122:E21122"/>
    <s:mergeCell ref="A13631:E13631"/>
    <s:mergeCell ref="A18764:E18764"/>
    <s:mergeCell ref="A26455:E26455"/>
    <s:mergeCell ref="B14178:E14178"/>
    <s:mergeCell ref="A11846:E11846"/>
    <s:mergeCell ref="A28252:E28252"/>
    <s:mergeCell ref="A2658:E2658"/>
    <s:mergeCell ref="B27002:E27002"/>
    <s:mergeCell ref="B14478:E14478"/>
    <s:mergeCell ref="A5049:E5049"/>
    <s:mergeCell ref="A2964:E2964"/>
    <s:mergeCell ref="A13359:E13359"/>
    <s:mergeCell ref="A11662:E11662"/>
    <s:mergeCell ref="A9577:E9577"/>
    <s:mergeCell ref="A26482:E26482"/>
    <s:mergeCell ref="A13964:E13964"/>
    <s:mergeCell ref="A4744:E4744"/>
    <s:mergeCell ref="B175:E175"/>
    <s:mergeCell ref="A11879:E11879"/>
    <s:mergeCell ref="A28268:E28268"/>
    <s:mergeCell ref="A26177:E26177"/>
    <s:mergeCell ref="A13659:E13659"/>
    <s:mergeCell ref="A9877:E9877"/>
    <s:mergeCell ref="A27963:E27963"/>
    <s:mergeCell ref="A12179:E12179"/>
    <s:mergeCell ref="A26483:E26483"/>
    <s:mergeCell ref="A26477:E26477"/>
    <s:mergeCell ref="A11874:E11874"/>
    <s:mergeCell ref="A21077:E21077"/>
    <s:mergeCell ref="A18992:E18992"/>
    <s:mergeCell ref="A26178:E26178"/>
    <s:mergeCell ref="A4777:E4777"/>
    <s:mergeCell ref="A2686:E2686"/>
    <s:mergeCell ref="B10618:E10618"/>
    <s:mergeCell ref="A20772:E20772"/>
    <s:mergeCell ref="A16990:E16990"/>
    <s:mergeCell ref="A12174:E12174"/>
    <s:mergeCell ref="A19292:E19292"/>
    <s:mergeCell ref="A17595:E17595"/>
    <s:mergeCell ref="A2992:E2992"/>
    <s:mergeCell ref="A31505:E31505"/>
    <s:mergeCell ref="A10104:E10104"/>
    <s:mergeCell ref="A17290:E17290"/>
    <s:mergeCell ref="A24408:E24408"/>
    <s:mergeCell ref="A19592:E19592"/>
    <s:mergeCell ref="A17507:E17507"/>
    <s:mergeCell ref="A10404:E10404"/>
    <s:mergeCell ref="A26405:E26405"/>
    <s:mergeCell ref="A22623:E22623"/>
    <s:mergeCell ref="A12190:E12190"/>
    <s:mergeCell ref="A10105:E10105"/>
    <s:mergeCell ref="A10099:E10099"/>
    <s:mergeCell ref="A24403:E24403"/>
    <s:mergeCell ref="A26705:E26705"/>
    <s:mergeCell ref="A22923:E22923"/>
    <s:mergeCell ref="A612:E612"/>
    <s:mergeCell ref="A4999:E4999"/>
    <s:mergeCell ref="A2914:E2914"/>
    <s:mergeCell ref="A1217:E1217"/>
    <s:mergeCell ref="A17218:E17218"/>
    <s:mergeCell ref="A3003:E3003"/>
    <s:mergeCell ref="A912:E912"/>
    <s:mergeCell ref="A24436:E24436"/>
    <s:mergeCell ref="A3214:E3214"/>
    <s:mergeCell ref="B16068:E16068"/>
    <s:mergeCell ref="A17518:E17518"/>
    <s:mergeCell ref="A1212:E1212"/>
    <s:mergeCell ref="B18370:E18370"/>
    <s:mergeCell ref="A8336:E8336"/>
    <s:mergeCell ref="A24736:E24736"/>
    <s:mergeCell ref="A3514:E3514"/>
    <s:mergeCell ref="A1429:E1429"/>
    <s:mergeCell ref="A15249:E15249"/>
    <s:mergeCell ref="A8331:E8331"/>
    <s:mergeCell ref="A29764:E29764"/>
    <s:mergeCell ref="A15549:E15549"/>
    <s:mergeCell ref="A8058:E8058"/>
    <s:mergeCell ref="A24447:E24447"/>
    <s:mergeCell ref="A22362:E22362"/>
    <s:mergeCell ref="B11174:E11174"/>
    <s:mergeCell ref="A8358:E8358"/>
    <s:mergeCell ref="A22662:E22662"/>
    <s:mergeCell ref="A8053:E8053"/>
    <s:mergeCell ref="A21182:E21182"/>
    <s:mergeCell ref="A22873:E22873"/>
    <s:mergeCell ref="A956:E956"/>
    <s:mergeCell ref="A15776:E15776"/>
    <s:mergeCell ref="A13175:E13175"/>
    <s:mergeCell ref="A22962:E22962"/>
    <s:mergeCell ref="A20877:E20877"/>
    <s:mergeCell ref="A30080:E30080"/>
    <s:mergeCell ref="A8353:E8353"/>
    <s:mergeCell ref="A15477:E15477"/>
    <s:mergeCell ref="A15471:E15471"/>
    <s:mergeCell ref="A28295:E28295"/>
    <s:mergeCell ref="A15777:E15777"/>
    <s:mergeCell ref="A15771:E15771"/>
    <s:mergeCell ref="A5494:E5494"/>
    <s:mergeCell ref="A3409:E3409"/>
    <s:mergeCell ref="A27990:E27990"/>
    <s:mergeCell ref="A15472:E15472"/>
    <s:mergeCell ref="B28842:E28842"/>
    <s:mergeCell ref="A28595:E28595"/>
    <s:mergeCell ref="A10616:E10616"/>
    <s:mergeCell ref="B14233:E14233"/>
    <s:mergeCell ref="A3715:E3715"/>
    <s:mergeCell ref="A3709:E3709"/>
    <s:mergeCell ref="A10311:E10311"/>
    <s:mergeCell ref="B13928:E13928"/>
    <s:mergeCell ref="A1713:E1713"/>
    <s:mergeCell ref="A10916:E10916"/>
    <s:mergeCell ref="A8831:E8831"/>
    <s:mergeCell ref="A30108:E30108"/>
    <s:mergeCell ref="A10611:E10611"/>
    <s:mergeCell ref="A9131:E9131"/>
    <s:mergeCell ref="A28323:E28323"/>
    <s:mergeCell ref="A10911:E10911"/>
    <s:mergeCell ref="A8826:E8826"/>
    <s:mergeCell ref="A13213:E13213"/>
    <s:mergeCell ref="A11128:E11128"/>
    <s:mergeCell ref="B14244:E14244"/>
    <s:mergeCell ref="A18329:E18329"/>
    <s:mergeCell ref="A16244:E16244"/>
    <s:mergeCell ref="A21221:E21221"/>
    <s:mergeCell ref="A19136:E19136"/>
    <s:mergeCell ref="B2487:E2487"/>
    <s:mergeCell ref="B27068:E27068"/>
    <s:mergeCell ref="A16544:E16544"/>
    <s:mergeCell ref="A17757:E17757"/>
    <s:mergeCell ref="A16271:E16271"/>
    <s:mergeCell ref="A1668:E1668"/>
    <s:mergeCell ref="A28334:E28334"/>
    <s:mergeCell ref="A30575:E30575"/>
    <s:mergeCell ref="A18057:E18057"/>
    <s:mergeCell ref="A15972:E15972"/>
    <s:mergeCell ref="A17752:E17752"/>
    <s:mergeCell ref="A1968:E1968"/>
    <s:mergeCell ref="A16272:E16272"/>
    <s:mergeCell ref="A23390:E23390"/>
    <s:mergeCell ref="A1663:E1663"/>
    <s:mergeCell ref="A8781:E8781"/>
    <s:mergeCell ref="A7084:E7084"/>
    <s:mergeCell ref="A30787:E30787"/>
    <s:mergeCell ref="A8870:E8870"/>
    <s:mergeCell ref="A16572:E16572"/>
    <s:mergeCell ref="A23690:E23690"/>
    <s:mergeCell ref="A9081:E9081"/>
    <s:mergeCell ref="A7384:E7384"/>
    <s:mergeCell ref="A23385:E23385"/>
    <s:mergeCell ref="A9170:E9170"/>
    <s:mergeCell ref="A7085:E7085"/>
    <s:mergeCell ref="A23990:E23990"/>
    <s:mergeCell ref="A21905:E21905"/>
    <s:mergeCell ref="A1679:E1679"/>
    <s:mergeCell ref="A9381:E9381"/>
    <s:mergeCell ref="A23685:E23685"/>
    <s:mergeCell ref="A9082:E9082"/>
    <s:mergeCell ref="A14503:E14503"/>
    <s:mergeCell ref="A14497:E14497"/>
    <s:mergeCell ref="A12412:E12412"/>
    <s:mergeCell ref="A28807:E28807"/>
    <s:mergeCell ref="A16283:E16283"/>
    <s:mergeCell ref="A14198:E14198"/>
    <s:mergeCell ref="A499:E499"/>
    <s:mergeCell ref="A194:E194"/>
    <s:mergeCell ref="A14498:E14498"/>
    <s:mergeCell ref="A5316:E5316"/>
    <s:mergeCell ref="A7007:E7007"/>
    <s:mergeCell ref="A494:E494"/>
    <s:mergeCell ref="A7612:E7612"/>
    <s:mergeCell ref="A21916:E21916"/>
    <s:mergeCell ref="A28529:E28529"/>
    <s:mergeCell ref="A7307:E7307"/>
    <s:mergeCell ref="A7396:E7396"/>
    <s:mergeCell ref="A5311:E5311"/>
    <s:mergeCell ref="B20372:E20372"/>
    <s:mergeCell ref="A30526:E30526"/>
    <s:mergeCell ref="A28829:E28829"/>
    <s:mergeCell ref="A21344:E21344"/>
    <s:mergeCell ref="A5038:E5038"/>
    <s:mergeCell ref="A12729:E12729"/>
    <s:mergeCell ref="A19858:E19858"/>
    <s:mergeCell ref="A205:E205"/>
    <s:mergeCell ref="A21644:E21644"/>
    <s:mergeCell ref="A23424:E23424"/>
    <s:mergeCell ref="A21339:E21339"/>
    <s:mergeCell ref="A26760:E26760"/>
    <s:mergeCell ref="A5538:E5538"/>
    <s:mergeCell ref="A21944:E21944"/>
    <s:mergeCell ref="A19859:E19859"/>
    <s:mergeCell ref="A12756:E12756"/>
    <s:mergeCell ref="A27060:E27060"/>
    <s:mergeCell ref="A24975:E24975"/>
    <s:mergeCell ref="A5838:E5838"/>
    <s:mergeCell ref="A3753:E3753"/>
    <s:mergeCell ref="A12457:E12457"/>
    <s:mergeCell ref="A12451:E12451"/>
    <s:mergeCell ref="A29362:E29362"/>
    <s:mergeCell ref="A27277:E27277"/>
    <s:mergeCell ref="A26755:E26755"/>
    <s:mergeCell ref="A29057:E29057"/>
    <s:mergeCell ref="A25275:E25275"/>
    <s:mergeCell ref="A12757:E12757"/>
    <s:mergeCell ref="A5565:E5565"/>
    <s:mergeCell ref="A3480:E3480"/>
    <s:mergeCell ref="B27818:E27818"/>
    <s:mergeCell ref="A19869:E19869"/>
    <s:mergeCell ref="A17784:E17784"/>
    <s:mergeCell ref="A27055:E27055"/>
    <s:mergeCell ref="A5266:E5266"/>
    <s:mergeCell ref="A29357:E29357"/>
    <s:mergeCell ref="A27272:E27272"/>
    <s:mergeCell ref="A3780:E3780"/>
    <s:mergeCell ref="A10382:E10382"/>
    <s:mergeCell ref="B27602:E27602"/>
    <s:mergeCell ref="A18084:E18084"/>
    <s:mergeCell ref="A5566:E5566"/>
    <s:mergeCell ref="A1784:E1784"/>
    <s:mergeCell ref="B27819:E27819"/>
    <s:mergeCell ref="A19870:E19870"/>
    <s:mergeCell ref="A17779:E17779"/>
    <s:mergeCell ref="A10682:E10682"/>
    <s:mergeCell ref="A3781:E3781"/>
    <s:mergeCell ref="A10377:E10377"/>
    <s:mergeCell ref="A12679:E12679"/>
    <s:mergeCell ref="A10982:E10982"/>
    <s:mergeCell ref="B4328:E4328"/>
    <s:mergeCell ref="B20717:E20717"/>
    <s:mergeCell ref="A19897:E19897"/>
    <s:mergeCell ref="A10677:E10677"/>
    <s:mergeCell ref="A17812:E17812"/>
    <s:mergeCell ref="B11529:E11529"/>
    <s:mergeCell ref="A12979:E12979"/>
    <s:mergeCell ref="A10894:E10894"/>
    <s:mergeCell ref="A9197:E9197"/>
    <s:mergeCell ref="B11230:E11230"/>
    <s:mergeCell ref="A18095:E18095"/>
    <s:mergeCell ref="A16010:E16010"/>
    <s:mergeCell ref="A5733:E5733"/>
    <s:mergeCell ref="A23228:E23228"/>
    <s:mergeCell ref="A10710:E10710"/>
    <s:mergeCell ref="B16557:E16557"/>
    <s:mergeCell ref="A16310:E16310"/>
    <s:mergeCell ref="A6033:E6033"/>
    <s:mergeCell ref="B3734:E3734"/>
    <s:mergeCell ref="A25225:E25225"/>
    <s:mergeCell ref="A8925:E8925"/>
    <s:mergeCell ref="A4248:E4248"/>
    <s:mergeCell ref="A17823:E17823"/>
    <s:mergeCell ref="A25525:E25525"/>
    <s:mergeCell ref="A25226:E25226"/>
    <s:mergeCell ref="A30647:E30647"/>
    <s:mergeCell ref="A30641:E30641"/>
    <s:mergeCell ref="A18123:E18123"/>
    <s:mergeCell ref="A16038:E16038"/>
    <s:mergeCell ref="A30342:E30342"/>
    <s:mergeCell ref="A16643:E16643"/>
    <s:mergeCell ref="A30947:E30947"/>
    <s:mergeCell ref="A8636:E8636"/>
    <s:mergeCell ref="A16338:E16338"/>
    <s:mergeCell ref="A23456:E23456"/>
    <s:mergeCell ref="A30642:E30642"/>
    <s:mergeCell ref="B31494:E31494"/>
    <s:mergeCell ref="A23545:E23545"/>
    <s:mergeCell ref="A21460:E21460"/>
    <s:mergeCell ref="A25236:E25236"/>
    <s:mergeCell ref="A23151:E23151"/>
    <s:mergeCell ref="A23756:E23756"/>
    <s:mergeCell ref="B22001:E22001"/>
    <s:mergeCell ref="A23451:E23451"/>
    <s:mergeCell ref="B31489:E31489"/>
    <s:mergeCell ref="A3992:E3992"/>
    <s:mergeCell ref="A11389:E11389"/>
    <s:mergeCell ref="B22518:E22518"/>
    <s:mergeCell ref="A4292:E4292"/>
    <s:mergeCell ref="A18596:E18596"/>
    <s:mergeCell ref="A6072:E6072"/>
    <s:mergeCell ref="A3987:E3987"/>
    <s:mergeCell ref="A4592:E4592"/>
    <s:mergeCell ref="A18896:E18896"/>
    <s:mergeCell ref="A4287:E4287"/>
    <s:mergeCell ref="A28900:E28900"/>
    <s:mergeCell ref="B15111:E15111"/>
    <s:mergeCell ref="A26009:E26009"/>
    <s:mergeCell ref="A14597:E14597"/>
    <s:mergeCell ref="A2218:E2218"/>
    <s:mergeCell ref="A12005:E12005"/>
    <s:mergeCell ref="A9920:E9920"/>
    <s:mergeCell ref="A28895:E28895"/>
    <s:mergeCell ref="A2823:E2823"/>
    <s:mergeCell ref="A11133:E11133"/>
    <s:mergeCell ref="A4620:E4620"/>
    <s:mergeCell ref="A23951:E23951"/>
    <s:mergeCell ref="A11433:E11433"/>
    <s:mergeCell ref="A9736:E9736"/>
    <s:mergeCell ref="A25737:E25737"/>
    <s:mergeCell ref="A2818:E2818"/>
    <s:mergeCell ref="A733:E733"/>
    <s:mergeCell ref="A24257:E24257"/>
    <s:mergeCell ref="A24251:E24251"/>
    <s:mergeCell ref="A11733:E11733"/>
    <s:mergeCell ref="A9648:E9648"/>
    <s:mergeCell ref="A11434:E11434"/>
    <s:mergeCell ref="A18546:E18546"/>
    <s:mergeCell ref="A16849:E16849"/>
    <s:mergeCell ref="A14764:E14764"/>
    <s:mergeCell ref="A9948:E9948"/>
    <s:mergeCell ref="A19151:E19151"/>
    <s:mergeCell ref="A16550:E16550"/>
    <s:mergeCell ref="A17066:E17066"/>
    <s:mergeCell ref="A24252:E24252"/>
    <s:mergeCell ref="A31370:E31370"/>
    <s:mergeCell ref="A31364:E31364"/>
    <s:mergeCell ref="A18846:E18846"/>
    <s:mergeCell ref="A15064:E15064"/>
    <s:mergeCell ref="A2546:E2546"/>
    <s:mergeCell ref="A24267:E24267"/>
    <s:mergeCell ref="A9664:E9664"/>
    <s:mergeCell ref="A16850:E16850"/>
    <s:mergeCell ref="A17366:E17366"/>
    <s:mergeCell ref="A14759:E14759"/>
    <s:mergeCell ref="A31670:E31670"/>
    <s:mergeCell ref="A9359:E9359"/>
    <s:mergeCell ref="A17061:E17061"/>
    <s:mergeCell ref="A2846:E2846"/>
    <s:mergeCell ref="A761:E761"/>
    <s:mergeCell ref="A22482:E22482"/>
    <s:mergeCell ref="A9964:E9964"/>
    <s:mergeCell ref="A7879:E7879"/>
    <s:mergeCell ref="A7873:E7873"/>
    <s:mergeCell ref="B27885:E27885"/>
    <s:mergeCell ref="B9906:E9906"/>
    <s:mergeCell ref="A22177:E22177"/>
    <s:mergeCell ref="A9659:E9659"/>
    <s:mergeCell ref="A15080:E15080"/>
    <s:mergeCell ref="A22782:E22782"/>
    <s:mergeCell ref="A31697:E31697"/>
    <s:mergeCell ref="A22477:E22477"/>
    <s:mergeCell ref="A9959:E9959"/>
    <s:mergeCell ref="A7874:E7874"/>
    <s:mergeCell ref="A777:E777"/>
    <s:mergeCell ref="A31392:E31392"/>
    <s:mergeCell ref="A2468:E2468"/>
    <s:mergeCell ref="A472:E472"/>
    <s:mergeCell ref="A17377:E17377"/>
    <s:mergeCell ref="A23996:E23996"/>
    <s:mergeCell ref="A683:E683"/>
    <s:mergeCell ref="A29596:E29596"/>
    <s:mergeCell ref="A22510:E22510"/>
    <s:mergeCell ref="A31393:E31393"/>
    <s:mergeCell ref="A772:E772"/>
    <s:mergeCell ref="A1288:E1288"/>
    <s:mergeCell ref="A24296:E24296"/>
    <s:mergeCell ref="A5799:E5799"/>
    <s:mergeCell ref="A22205:E22205"/>
    <s:mergeCell ref="A29323:E29323"/>
    <s:mergeCell ref="B15534:E15534"/>
    <s:mergeCell ref="A29412:E29412"/>
    <s:mergeCell ref="A6099:E6099"/>
    <s:mergeCell ref="A29623:E29623"/>
    <s:mergeCell ref="A27627:E27627"/>
    <s:mergeCell ref="A22221:E22221"/>
    <s:mergeCell ref="A20136:E20136"/>
    <s:mergeCell ref="A29923:E29923"/>
    <s:mergeCell ref="A13623:E13623"/>
    <s:mergeCell ref="A31709:E31709"/>
    <s:mergeCell ref="A29624:E29624"/>
    <s:mergeCell ref="A6132:E6132"/>
    <s:mergeCell ref="A15015:E15015"/>
    <s:mergeCell ref="A20436:E20436"/>
    <s:mergeCell ref="A7918:E7918"/>
    <s:mergeCell ref="A5827:E5827"/>
    <s:mergeCell ref="A22216:E22216"/>
    <s:mergeCell ref="A20131:E20131"/>
    <s:mergeCell ref="A6432:E6432"/>
    <s:mergeCell ref="A13034:E13034"/>
    <s:mergeCell ref="A20736:E20736"/>
    <s:mergeCell ref="A18651:E18651"/>
    <s:mergeCell ref="A8218:E8218"/>
    <s:mergeCell ref="A6133:E6133"/>
    <s:mergeCell ref="A6127:E6127"/>
    <s:mergeCell ref="A20431:E20431"/>
    <s:mergeCell ref="A27549:E27549"/>
    <s:mergeCell ref="A13334:E13334"/>
    <s:mergeCell ref="A13551:E13551"/>
    <s:mergeCell ref="A13545:E13545"/>
    <s:mergeCell ref="A11460:E11460"/>
    <s:mergeCell ref="A27849:E27849"/>
    <s:mergeCell ref="A11549:E11549"/>
    <s:mergeCell ref="A16576:E16576"/>
    <s:mergeCell ref="A4058:E4058"/>
    <s:mergeCell ref="A18362:E18362"/>
    <s:mergeCell ref="A26064:E26064"/>
    <s:mergeCell ref="A13546:E13546"/>
    <s:mergeCell ref="A18967:E18967"/>
    <s:mergeCell ref="A4358:E4358"/>
    <s:mergeCell ref="A18662:E18662"/>
    <s:mergeCell ref="A4053:E4053"/>
    <s:mergeCell ref="A20964:E20964"/>
    <s:mergeCell ref="A27577:E27577"/>
    <s:mergeCell ref="A4658:E4658"/>
    <s:mergeCell ref="A18962:E18962"/>
    <s:mergeCell ref="A16877:E16877"/>
    <s:mergeCell ref="A26080:E26080"/>
    <s:mergeCell ref="A25792:E25792"/>
    <s:mergeCell ref="A25775:E25775"/>
    <s:mergeCell ref="A4086:E4086"/>
    <s:mergeCell ref="A26380:E26380"/>
    <s:mergeCell ref="A24295:E24295"/>
    <s:mergeCell ref="A1494:E1494"/>
    <s:mergeCell ref="B12107:E12107"/>
    <s:mergeCell ref="A25808:E25808"/>
    <s:mergeCell ref="A9502:E9502"/>
    <s:mergeCell ref="A25503:E25503"/>
    <s:mergeCell ref="A11499:E11499"/>
    <s:mergeCell ref="A25803:E25803"/>
    <s:mergeCell ref="A10019:E10019"/>
    <s:mergeCell ref="A26408:E26408"/>
    <s:mergeCell ref="A24323:E24323"/>
    <s:mergeCell ref="A4097:E4097"/>
    <s:mergeCell ref="A11799:E11799"/>
    <s:mergeCell ref="A24018:E24018"/>
    <s:mergeCell ref="A16921:E16921"/>
    <s:mergeCell ref="A16915:E16915"/>
    <s:mergeCell ref="B26650:E26650"/>
    <s:mergeCell ref="A6855:E6855"/>
    <s:mergeCell ref="A31436:E31436"/>
    <s:mergeCell ref="A4859:E4859"/>
    <s:mergeCell ref="A7155:E7155"/>
    <s:mergeCell ref="A31736:E31736"/>
    <s:mergeCell ref="B19459:E19459"/>
    <s:mergeCell ref="A14362:E14362"/>
    <s:mergeCell ref="A4854:E4854"/>
    <s:mergeCell ref="A14057:E14057"/>
    <s:mergeCell ref="A4869:E4869"/>
    <s:mergeCell ref="A2784:E2784"/>
    <s:mergeCell ref="A14357:E14357"/>
    <s:mergeCell ref="A6866:E6866"/>
    <s:mergeCell ref="A3084:E3084"/>
    <s:mergeCell ref="A5081:E5081"/>
    <s:mergeCell ref="A3384:E3384"/>
    <s:mergeCell ref="B15694:E15694"/>
    <s:mergeCell ref="A19385:E19385"/>
    <s:mergeCell ref="A5170:E5170"/>
    <s:mergeCell ref="A3085:E3085"/>
    <s:mergeCell ref="A29178:E29178"/>
    <s:mergeCell ref="A5381:E5381"/>
    <s:mergeCell ref="A19201:E19201"/>
    <s:mergeCell ref="A17116:E17116"/>
    <s:mergeCell ref="A19418:E19418"/>
    <s:mergeCell ref="A3112:E3112"/>
    <s:mergeCell ref="A31475:E31475"/>
    <s:mergeCell ref="B8959:E8959"/>
    <s:mergeCell ref="A21198:E21198"/>
    <s:mergeCell ref="A17416:E17416"/>
    <s:mergeCell ref="A19718:E19718"/>
    <s:mergeCell ref="A19413:E19413"/>
    <s:mergeCell ref="A26531:E26531"/>
    <s:mergeCell ref="A10225:E10225"/>
    <s:mergeCell ref="A24529:E24529"/>
    <s:mergeCell ref="A19713:E19713"/>
    <s:mergeCell ref="A26831:E26831"/>
    <s:mergeCell ref="A25134:E25134"/>
    <s:mergeCell ref="A23049:E23049"/>
    <s:mergeCell ref="A10525:E10525"/>
    <s:mergeCell ref="B3854:E3854"/>
    <s:mergeCell ref="A12311:E12311"/>
    <s:mergeCell ref="A10226:E10226"/>
    <s:mergeCell ref="A25046:E25046"/>
    <s:mergeCell ref="A1038:E1038"/>
    <s:mergeCell ref="A17943:E17943"/>
    <s:mergeCell ref="A25129:E25129"/>
    <s:mergeCell ref="A3340:E3340"/>
    <s:mergeCell ref="A10526:E10526"/>
    <s:mergeCell ref="A30162:E30162"/>
    <s:mergeCell ref="A17644:E17644"/>
    <s:mergeCell ref="A17638:E17638"/>
    <s:mergeCell ref="A15553:E15553"/>
    <s:mergeCell ref="A5120:E5120"/>
    <s:mergeCell ref="A3035:E3035"/>
    <s:mergeCell ref="A1338:E1338"/>
    <s:mergeCell ref="A8456:E8456"/>
    <s:mergeCell ref="A16158:E16158"/>
    <s:mergeCell ref="A3640:E3640"/>
    <s:mergeCell ref="A30462:E30462"/>
    <s:mergeCell ref="A8151:E8151"/>
    <s:mergeCell ref="A15853:E15853"/>
    <s:mergeCell ref="A3335:E3335"/>
    <s:mergeCell ref="A1638:E1638"/>
    <s:mergeCell ref="A8756:E8756"/>
    <s:mergeCell ref="A6671:E6671"/>
    <s:mergeCell ref="A10753:E10753"/>
    <s:mergeCell ref="A6971:E6971"/>
    <s:mergeCell ref="B10695:E10695"/>
    <s:mergeCell ref="A8751:E8751"/>
    <s:mergeCell ref="A6666:E6666"/>
    <s:mergeCell ref="A15869:E15869"/>
    <s:mergeCell ref="A30190:E30190"/>
    <s:mergeCell ref="A11053:E11053"/>
    <s:mergeCell ref="A8968:E8968"/>
    <s:mergeCell ref="A17666:E17666"/>
    <s:mergeCell ref="B2112:E2112"/>
    <s:mergeCell ref="B1813:E1813"/>
    <s:mergeCell ref="A14084:E14084"/>
    <s:mergeCell ref="A16169:E16169"/>
    <s:mergeCell ref="A1566:E1566"/>
    <s:mergeCell ref="A22788:E22788"/>
    <s:mergeCell ref="A30490:E30490"/>
    <s:mergeCell ref="A25084:E25084"/>
    <s:mergeCell ref="A22999:E22999"/>
    <s:mergeCell ref="B2113:E2113"/>
    <s:mergeCell ref="B416:E416"/>
    <s:mergeCell ref="A14384:E14384"/>
    <s:mergeCell ref="A23088:E23088"/>
    <s:mergeCell ref="A15597:E15597"/>
    <s:mergeCell ref="A23299:E23299"/>
    <s:mergeCell ref="A29901:E29901"/>
    <s:mergeCell ref="A21303:E21303"/>
    <s:mergeCell ref="A28415:E28415"/>
    <s:mergeCell ref="A15897:E15897"/>
    <s:mergeCell ref="A13812:E13812"/>
    <s:mergeCell ref="A30201:E30201"/>
    <s:mergeCell ref="A15598:E15598"/>
    <s:mergeCell ref="A15592:E15592"/>
    <s:mergeCell ref="A28721:E28721"/>
    <s:mergeCell ref="A30412:E30412"/>
    <s:mergeCell ref="A6410:E6410"/>
    <s:mergeCell ref="A30501:E30501"/>
    <s:mergeCell ref="A28416:E28416"/>
    <s:mergeCell ref="A15898:E15898"/>
    <s:mergeCell ref="A13807:E13807"/>
    <s:mergeCell ref="A23010:E23010"/>
    <s:mergeCell ref="A30712:E30712"/>
    <s:mergeCell ref="B14659:E14659"/>
    <s:mergeCell ref="A21014:E21014"/>
    <s:mergeCell ref="A28716:E28716"/>
    <s:mergeCell ref="B16439:E16439"/>
    <s:mergeCell ref="A23310:E23310"/>
    <s:mergeCell ref="A21225:E21225"/>
    <s:mergeCell ref="A7010:E7010"/>
    <s:mergeCell ref="A4925:E4925"/>
    <s:mergeCell ref="A14128:E14128"/>
    <s:mergeCell ref="A21314:E21314"/>
    <s:mergeCell ref="A13823:E13823"/>
    <s:mergeCell ref="A21525:E21525"/>
    <s:mergeCell ref="A14428:E14428"/>
    <s:mergeCell ref="A12343:E12343"/>
    <s:mergeCell ref="A12337:E12337"/>
    <s:mergeCell ref="A14123:E14123"/>
    <s:mergeCell ref="A12038:E12038"/>
    <s:mergeCell ref="A4636:E4636"/>
    <s:mergeCell ref="A12338:E12338"/>
    <s:mergeCell ref="A5241:E5241"/>
    <s:mergeCell ref="A4936:E4936"/>
    <s:mergeCell ref="A28460:E28460"/>
    <s:mergeCell ref="A19756:E19756"/>
    <s:mergeCell ref="A26369:E26369"/>
    <s:mergeCell ref="A28760:E28760"/>
    <s:mergeCell ref="A26675:E26675"/>
    <s:mergeCell ref="A26669:E26669"/>
    <s:mergeCell ref="B10810:E10810"/>
    <s:mergeCell ref="A17182:E17182"/>
    <s:mergeCell ref="A286:E286"/>
    <s:mergeCell ref="A19484:E19484"/>
    <s:mergeCell ref="B11110:E11110"/>
    <s:mergeCell ref="A21264:E21264"/>
    <s:mergeCell ref="A19179:E19179"/>
    <s:mergeCell ref="A592:E592"/>
    <s:mergeCell ref="B10811:E10811"/>
    <s:mergeCell ref="A19784:E19784"/>
    <s:mergeCell ref="A19479:E19479"/>
    <s:mergeCell ref="A26597:E26597"/>
    <s:mergeCell ref="A24900:E24900"/>
    <s:mergeCell ref="B11111:E11111"/>
    <s:mergeCell ref="A12382:E12382"/>
    <s:mergeCell ref="A20:E20"/>
    <s:mergeCell ref="A24595:E24595"/>
    <s:mergeCell ref="A26897:E26897"/>
    <s:mergeCell ref="A12838:E12838"/>
    <s:mergeCell ref="A320:E320"/>
    <s:mergeCell ref="A314:E314"/>
    <s:mergeCell ref="A24895:E24895"/>
    <s:mergeCell ref="A12533:E12533"/>
    <s:mergeCell ref="A27197:E27197"/>
    <s:mergeCell ref="A25112:E25112"/>
    <s:mergeCell ref="A5436:E5436"/>
    <s:mergeCell ref="A14835:E14835"/>
    <s:mergeCell ref="A620:E620"/>
    <s:mergeCell ref="B27139:E27139"/>
    <s:mergeCell ref="A7738:E7738"/>
    <s:mergeCell ref="A5647:E5647"/>
    <s:mergeCell ref="A315:E315"/>
    <s:mergeCell ref="A22036:E22036"/>
    <s:mergeCell ref="A19951:E19951"/>
    <s:mergeCell ref="A7433:E7433"/>
    <s:mergeCell ref="A5736:E5736"/>
    <s:mergeCell ref="A15135:E15135"/>
    <s:mergeCell ref="A8038:E8038"/>
    <s:mergeCell ref="A5437:E5437"/>
    <s:mergeCell ref="B18251:E18251"/>
    <s:mergeCell ref="A20251:E20251"/>
    <s:mergeCell ref="A7733:E7733"/>
    <s:mergeCell ref="A22037:E22037"/>
    <s:mergeCell ref="A242:E242"/>
    <s:mergeCell ref="A20551:E20551"/>
    <s:mergeCell ref="A5948:E5948"/>
    <s:mergeCell ref="A29956:E29956"/>
    <s:mergeCell ref="A11369:E11369"/>
    <s:mergeCell ref="A3573:E3573"/>
    <s:mergeCell ref="A5964:E5964"/>
    <s:mergeCell ref="A12577:E12577"/>
    <s:mergeCell ref="A27397:E27397"/>
    <s:mergeCell ref="B6511:E6511"/>
    <s:mergeCell ref="A12877:E12877"/>
    <s:mergeCell ref="A4173:E4173"/>
    <s:mergeCell ref="A10792:E10792"/>
    <s:mergeCell ref="A27697:E27697"/>
    <s:mergeCell ref="A27398:E27398"/>
    <s:mergeCell ref="A27392:E27392"/>
    <s:mergeCell ref="A20295:E20295"/>
    <s:mergeCell ref="A5692:E5692"/>
    <s:mergeCell ref="A19990:E19990"/>
    <s:mergeCell ref="A5387:E5387"/>
    <s:mergeCell ref="A13104:E13104"/>
    <s:mergeCell ref="A10503:E10503"/>
    <s:mergeCell ref="A18205:E18205"/>
    <s:mergeCell ref="A5687:E5687"/>
    <s:mergeCell ref="A27408:E27408"/>
    <s:mergeCell ref="A25323:E25323"/>
    <s:mergeCell ref="A19991:E19991"/>
    <s:mergeCell ref="A18810:E18810"/>
    <s:mergeCell ref="B2346:E2346"/>
    <s:mergeCell ref="A10803:E10803"/>
    <s:mergeCell ref="A3902:E3902"/>
    <s:mergeCell ref="A25623:E25623"/>
    <s:mergeCell ref="A13105:E13105"/>
    <s:mergeCell ref="A9323:E9323"/>
    <s:mergeCell ref="A11014:E11014"/>
    <s:mergeCell ref="A3917:E3917"/>
    <s:mergeCell ref="A1832:E1832"/>
    <s:mergeCell ref="A11619:E11619"/>
    <s:mergeCell ref="A25923:E25923"/>
    <s:mergeCell ref="A23838:E23838"/>
    <s:mergeCell ref="A13405:E13405"/>
    <s:mergeCell ref="A11320:E11320"/>
    <s:mergeCell ref="A11314:E11314"/>
    <s:mergeCell ref="A2132:E2132"/>
    <s:mergeCell ref="A9318:E9318"/>
    <s:mergeCell ref="A16436:E16436"/>
    <s:mergeCell ref="A3912:E3912"/>
    <s:mergeCell ref="A1827:E1827"/>
    <s:mergeCell ref="A25351:E25351"/>
    <s:mergeCell ref="A2432:E2432"/>
    <s:mergeCell ref="A18433:E18433"/>
    <s:mergeCell ref="A11330:E11330"/>
    <s:mergeCell ref="A9245:E9245"/>
    <s:mergeCell ref="A25651:E25651"/>
    <s:mergeCell ref="A23549:E23549"/>
    <s:mergeCell ref="A25346:E25346"/>
    <s:mergeCell ref="B9792:E9792"/>
    <s:mergeCell ref="A30767:E30767"/>
    <s:mergeCell ref="A9545:E9545"/>
    <s:mergeCell ref="A16164:E16164"/>
    <s:mergeCell ref="A25951:E25951"/>
    <s:mergeCell ref="A23849:E23849"/>
    <s:mergeCell ref="A25646:E25646"/>
    <s:mergeCell ref="A31067:E31067"/>
    <s:mergeCell ref="A58:E58"/>
    <s:mergeCell ref="A9845:E9845"/>
    <s:mergeCell ref="A7760:E7760"/>
    <s:mergeCell ref="A16464:E16464"/>
    <s:mergeCell ref="A30768:E30768"/>
    <s:mergeCell ref="A31284:E31284"/>
    <s:mergeCell ref="A30762:E30762"/>
    <s:mergeCell ref="A30979:E30979"/>
    <s:mergeCell ref="A16764:E16764"/>
    <s:mergeCell ref="A31068:E31068"/>
    <s:mergeCell ref="A9273:E9273"/>
    <s:mergeCell ref="A25662:E25662"/>
    <s:mergeCell ref="A23577:E23577"/>
    <s:mergeCell ref="A24182:E24182"/>
    <s:mergeCell ref="A22097:E22097"/>
    <s:mergeCell ref="A1871:E1871"/>
    <s:mergeCell ref="A9573:E9573"/>
    <s:mergeCell ref="A23877:E23877"/>
    <s:mergeCell ref="B1205:E1205"/>
    <s:mergeCell ref="A385:E385"/>
    <s:mergeCell ref="A30995:E30995"/>
    <s:mergeCell ref="A14689:E14689"/>
    <s:mergeCell ref="A2171:E2171"/>
    <s:mergeCell ref="A86:E86"/>
    <s:mergeCell ref="A28999:E28999"/>
    <s:mergeCell ref="A30690:E30690"/>
    <s:mergeCell ref="A16475:E16475"/>
    <s:mergeCell ref="A14390:E14390"/>
    <s:mergeCell ref="A24177:E24177"/>
    <s:mergeCell ref="A22092:E22092"/>
    <s:mergeCell ref="A31295:E31295"/>
    <s:mergeCell ref="A16686:E16686"/>
    <s:mergeCell ref="A386:E386"/>
    <s:mergeCell ref="A14690:E14690"/>
    <s:mergeCell ref="A14684:E14684"/>
    <s:mergeCell ref="A29510:E29510"/>
    <s:mergeCell ref="A5502:E5502"/>
    <s:mergeCell ref="A14901:E14901"/>
    <s:mergeCell ref="A16986:E16986"/>
    <s:mergeCell ref="A686:E686"/>
    <s:mergeCell ref="B29840:E29840"/>
    <s:mergeCell ref="A7804:E7804"/>
    <s:mergeCell ref="B30057:E30057"/>
    <s:mergeCell ref="A22108:E22108"/>
    <s:mergeCell ref="A22102:E22102"/>
    <s:mergeCell ref="A20017:E20017"/>
    <s:mergeCell ref="A7499:E7499"/>
    <s:mergeCell ref="A5802:E5802"/>
    <s:mergeCell ref="A21803:E21803"/>
    <s:mergeCell ref="A6019:E6019"/>
    <s:mergeCell ref="A7799:E7799"/>
    <s:mergeCell ref="A5714:E5714"/>
    <s:mergeCell ref="A14917:E14917"/>
    <s:mergeCell ref="A2943:E2943"/>
    <s:mergeCell ref="A12921:E12921"/>
    <s:mergeCell ref="A397:E397"/>
    <s:mergeCell ref="A2638:E2638"/>
    <s:mergeCell ref="A15217:E15217"/>
    <s:mergeCell ref="A1158:E1158"/>
    <s:mergeCell ref="A29521:E29521"/>
    <s:mergeCell ref="A29233:E29233"/>
    <s:mergeCell ref="B13679:E13679"/>
    <s:mergeCell ref="B20880:E20880"/>
    <s:mergeCell ref="A27463:E27463"/>
    <s:mergeCell ref="B4791:E4791"/>
    <s:mergeCell ref="A29249:E29249"/>
    <s:mergeCell ref="B6577:E6577"/>
    <s:mergeCell ref="A27552:E27552"/>
    <s:mergeCell ref="A20061:E20061"/>
    <s:mergeCell ref="A27763:E27763"/>
    <s:mergeCell ref="A10357:E10357"/>
    <s:mergeCell ref="A8272:E8272"/>
    <s:mergeCell ref="A29549:E29549"/>
    <s:mergeCell ref="A27464:E27464"/>
    <s:mergeCell ref="A25767:E25767"/>
    <s:mergeCell ref="A7999:E7999"/>
    <s:mergeCell ref="B28011:E28011"/>
    <s:mergeCell ref="A20062:E20062"/>
    <s:mergeCell ref="A20056:E20056"/>
    <s:mergeCell ref="A8299:E8299"/>
    <s:mergeCell ref="B26209:E26209"/>
    <s:mergeCell ref="A7994:E7994"/>
    <s:mergeCell ref="A15418:E15418"/>
    <s:mergeCell ref="A15412:E15412"/>
    <s:mergeCell ref="A2894:E2894"/>
    <s:mergeCell ref="A29716:E29716"/>
    <s:mergeCell ref="A1109:E1109"/>
    <s:mergeCell ref="A30016:E30016"/>
    <s:mergeCell ref="A17498:E17498"/>
    <s:mergeCell ref="A15413:E15413"/>
    <s:mergeCell ref="A6225:E6225"/>
    <s:mergeCell ref="A1409:E1409"/>
    <s:mergeCell ref="A25417:E25417"/>
    <s:mergeCell ref="A6830:E6830"/>
    <s:mergeCell ref="A4745:E4745"/>
    <s:mergeCell ref="A6525:E6525"/>
    <s:mergeCell ref="B18829:E18829"/>
    <s:mergeCell ref="B16744:E16744"/>
    <s:mergeCell ref="A25717:E25717"/>
    <s:mergeCell ref="A15440:E15440"/>
    <s:mergeCell ref="B19046:E19046"/>
    <s:mergeCell ref="A13338:E13338"/>
    <s:mergeCell ref="A5953:E5953"/>
    <s:mergeCell ref="A13638:E13638"/>
    <s:mergeCell ref="A6253:E6253"/>
    <s:mergeCell ref="A20557:E20557"/>
    <s:mergeCell ref="A21073:E21073"/>
    <s:mergeCell ref="A27675:E27675"/>
    <s:mergeCell ref="A4756:E4756"/>
    <s:mergeCell ref="A19077:E19077"/>
    <s:mergeCell ref="A22853:E22853"/>
    <s:mergeCell ref="A6553:E6553"/>
    <s:mergeCell ref="A20857:E20857"/>
    <s:mergeCell ref="A27975:E27975"/>
    <s:mergeCell ref="A5056:E5056"/>
    <s:mergeCell ref="A13366:E13366"/>
    <s:mergeCell ref="A11669:E11669"/>
    <s:mergeCell ref="A27670:E27670"/>
    <s:mergeCell ref="A13971:E13971"/>
    <s:mergeCell ref="A11886:E11886"/>
    <s:mergeCell ref="A21157:E21157"/>
    <s:mergeCell ref="A28275:E28275"/>
    <s:mergeCell ref="A26190:E26190"/>
    <s:mergeCell ref="A13666:E13666"/>
    <s:mergeCell ref="A11581:E11581"/>
    <s:mergeCell ref="A20784:E20784"/>
    <s:mergeCell ref="A19087:E19087"/>
    <s:mergeCell ref="A27970:E27970"/>
    <s:mergeCell ref="A18788:E18788"/>
    <s:mergeCell ref="A26490:E26490"/>
    <s:mergeCell ref="A4179:E4179"/>
    <s:mergeCell ref="A21084:E21084"/>
    <s:mergeCell ref="A18999:E18999"/>
    <s:mergeCell ref="A4784:E4784"/>
    <s:mergeCell ref="A2699:E2699"/>
    <s:mergeCell ref="B29612:E29612"/>
    <s:mergeCell ref="A19088:E19088"/>
    <s:mergeCell ref="A4479:E4479"/>
    <s:mergeCell ref="A24115:E24115"/>
    <s:mergeCell ref="A11597:E11597"/>
    <s:mergeCell ref="A20868:E20868"/>
    <s:mergeCell ref="A19299:E19299"/>
    <s:mergeCell ref="A28003:E28003"/>
    <s:mergeCell ref="A21085:E21085"/>
    <s:mergeCell ref="A26506:E26506"/>
    <s:mergeCell ref="A4779:E4779"/>
    <s:mergeCell ref="A28303:E28303"/>
    <s:mergeCell ref="A19599:E19599"/>
    <s:mergeCell ref="A26201:E26201"/>
    <s:mergeCell ref="A2410:E2410"/>
    <s:mergeCell ref="A12197:E12197"/>
    <s:mergeCell ref="A10112:E10112"/>
    <s:mergeCell ref="B20146:E20146"/>
    <s:mergeCell ref="A26501:E26501"/>
    <s:mergeCell ref="A24416:E24416"/>
    <s:mergeCell ref="A4706:E4706"/>
    <s:mergeCell ref="A924:E924"/>
    <s:mergeCell ref="A19010:E19010"/>
    <s:mergeCell ref="A2710:E2710"/>
    <s:mergeCell ref="A11625:E11625"/>
    <s:mergeCell ref="A2405:E2405"/>
    <s:mergeCell ref="A2921:E2921"/>
    <s:mergeCell ref="A19310:E19310"/>
    <s:mergeCell ref="A17225:E17225"/>
    <s:mergeCell ref="A25929:E25929"/>
    <s:mergeCell ref="A4707:E4707"/>
    <s:mergeCell ref="A3010:E3010"/>
    <s:mergeCell ref="A925:E925"/>
    <s:mergeCell ref="A11925:E11925"/>
    <s:mergeCell ref="A3221:E3221"/>
    <s:mergeCell ref="A9840:E9840"/>
    <s:mergeCell ref="A26229:E26229"/>
    <s:mergeCell ref="A10428:E10428"/>
    <s:mergeCell ref="A8343:E8343"/>
    <s:mergeCell ref="A17041:E17041"/>
    <s:mergeCell ref="A10123:E10123"/>
    <s:mergeCell ref="A26529:E26529"/>
    <s:mergeCell ref="A24444:E24444"/>
    <s:mergeCell ref="A31556:E31556"/>
    <s:mergeCell ref="A15256:E15256"/>
    <s:mergeCell ref="B18372:E18372"/>
    <s:mergeCell ref="A8338:E8338"/>
    <s:mergeCell ref="A9551:E9551"/>
    <s:mergeCell ref="A19338:E19338"/>
    <s:mergeCell ref="A24371:E24371"/>
    <s:mergeCell ref="A19039:E19039"/>
    <s:mergeCell ref="A8065:E8065"/>
    <s:mergeCell ref="A24454:E24454"/>
    <s:mergeCell ref="A22369:E22369"/>
    <s:mergeCell ref="A9851:E9851"/>
    <s:mergeCell ref="A24671:E24671"/>
    <s:mergeCell ref="A22974:E22974"/>
    <s:mergeCell ref="A8371:E8371"/>
    <s:mergeCell ref="A24366:E24366"/>
    <s:mergeCell ref="A22669:E22669"/>
    <s:mergeCell ref="A10151:E10151"/>
    <s:mergeCell ref="A8066:E8066"/>
    <s:mergeCell ref="A29787:E29787"/>
    <s:mergeCell ref="A24455:E24455"/>
    <s:mergeCell ref="A24971:E24971"/>
    <s:mergeCell ref="A2660:E2660"/>
    <s:mergeCell ref="A963:E963"/>
    <s:mergeCell ref="A22969:E22969"/>
    <s:mergeCell ref="A8366:E8366"/>
    <s:mergeCell ref="A30087:E30087"/>
    <s:mergeCell ref="A17569:E17569"/>
    <s:mergeCell ref="A15484:E15484"/>
    <s:mergeCell ref="A15478:E15478"/>
    <s:mergeCell ref="A2960:E2960"/>
    <s:mergeCell ref="A875:E875"/>
    <s:mergeCell ref="A17264:E17264"/>
    <s:mergeCell ref="A28302:E28302"/>
    <s:mergeCell ref="A15784:E15784"/>
    <s:mergeCell ref="A1175:E1175"/>
    <s:mergeCell ref="A22597:E22597"/>
    <s:mergeCell ref="A29815:E29815"/>
    <s:mergeCell ref="A8077:E8077"/>
    <s:mergeCell ref="A22897:E22897"/>
    <s:mergeCell ref="A30115:E30115"/>
    <s:mergeCell ref="A29816:E29816"/>
    <s:mergeCell ref="A29810:E29810"/>
    <s:mergeCell ref="B28560:E28560"/>
    <s:mergeCell ref="A3433:E3433"/>
    <s:mergeCell ref="A30110:E30110"/>
    <s:mergeCell ref="A20928:E20928"/>
    <s:mergeCell ref="A27741:E27741"/>
    <s:mergeCell ref="A1375:E1375"/>
    <s:mergeCell ref="A28041:E28041"/>
    <s:mergeCell ref="A27736:E27736"/>
    <s:mergeCell ref="B13985:E13985"/>
    <s:mergeCell ref="A26256:E26256"/>
    <s:mergeCell ref="A28341:E28341"/>
    <s:mergeCell ref="A13738:E13738"/>
    <s:mergeCell ref="A15979:E15979"/>
    <s:mergeCell ref="A3461:E3461"/>
    <s:mergeCell ref="A1764:E1764"/>
    <s:mergeCell ref="B28283:E28283"/>
    <s:mergeCell ref="B26803:E26803"/>
    <s:mergeCell ref="A8577:E8577"/>
    <s:mergeCell ref="A3761:E3761"/>
    <s:mergeCell ref="A8788:E8788"/>
    <s:mergeCell ref="A25177:E25177"/>
    <s:mergeCell ref="A23092:E23092"/>
    <s:mergeCell ref="A10574:E10574"/>
    <s:mergeCell ref="A8877:E8877"/>
    <s:mergeCell ref="A9094:E9094"/>
    <s:mergeCell ref="A8572:E8572"/>
    <s:mergeCell ref="A9088:E9088"/>
    <s:mergeCell ref="A15690:E15690"/>
    <s:mergeCell ref="A23392:E23392"/>
    <s:mergeCell ref="A1991:E1991"/>
    <s:mergeCell ref="A9177:E9177"/>
    <s:mergeCell ref="A7092:E7092"/>
    <s:mergeCell ref="A16295:E16295"/>
    <s:mergeCell ref="A14210:E14210"/>
    <s:mergeCell ref="A15990:E15990"/>
    <s:mergeCell ref="A206:E206"/>
    <s:mergeCell ref="A14510:E14510"/>
    <s:mergeCell ref="B26814:E26814"/>
    <s:mergeCell ref="A16290:E16290"/>
    <s:mergeCell ref="A14205:E14205"/>
    <s:mergeCell ref="A506:E506"/>
    <s:mergeCell ref="A7108:E7108"/>
    <s:mergeCell ref="B2228:E2228"/>
    <s:mergeCell ref="A7014:E7014"/>
    <s:mergeCell ref="A30538:E30538"/>
    <s:mergeCell ref="A16323:E16323"/>
    <s:mergeCell ref="B7955:E7955"/>
    <s:mergeCell ref="A28542:E28542"/>
    <s:mergeCell ref="A16024:E16024"/>
    <s:mergeCell ref="A28536:E28536"/>
    <s:mergeCell ref="A16018:E16018"/>
    <s:mergeCell ref="A30838:E30838"/>
    <s:mergeCell ref="A217:E217"/>
    <s:mergeCell ref="A14538:E14538"/>
    <s:mergeCell ref="A23436:E23436"/>
    <s:mergeCell ref="A21351:E21351"/>
    <s:mergeCell ref="A31138:E31138"/>
    <s:mergeCell ref="A21440:E21440"/>
    <s:mergeCell ref="A23131:E23131"/>
    <s:mergeCell ref="A21651:E21651"/>
    <s:mergeCell ref="A7042:E7042"/>
    <s:mergeCell ref="A12463:E12463"/>
    <s:mergeCell ref="A21346:E21346"/>
    <s:mergeCell ref="A21951:E21951"/>
    <s:mergeCell ref="A13944:E13944"/>
    <s:mergeCell ref="A12763:E12763"/>
    <s:mergeCell ref="A14460:E14460"/>
    <s:mergeCell ref="A30849:E30849"/>
    <s:mergeCell ref="A28764:E28764"/>
    <s:mergeCell ref="A14549:E14549"/>
    <s:mergeCell ref="A12464:E12464"/>
    <s:mergeCell ref="A12458:E12458"/>
    <s:mergeCell ref="A7058:E7058"/>
    <s:mergeCell ref="A14760:E14760"/>
    <s:mergeCell ref="A12675:E12675"/>
    <s:mergeCell ref="A29064:E29064"/>
    <s:mergeCell ref="B13011:E13011"/>
    <s:mergeCell ref="A5062:E5062"/>
    <s:mergeCell ref="B13005:E13005"/>
    <s:mergeCell ref="A19882:E19882"/>
    <s:mergeCell ref="A19876:E19876"/>
    <s:mergeCell ref="A17791:E17791"/>
    <s:mergeCell ref="A7358:E7358"/>
    <s:mergeCell ref="A5273:E5273"/>
    <s:mergeCell ref="A3576:E3576"/>
    <s:mergeCell ref="B29611:E29611"/>
    <s:mergeCell ref="A19577:E19577"/>
    <s:mergeCell ref="B13311:E13311"/>
    <s:mergeCell ref="A5362:E5362"/>
    <s:mergeCell ref="A4968:E4968"/>
    <s:mergeCell ref="A10389:E10389"/>
    <s:mergeCell ref="A26795:E26795"/>
    <s:mergeCell ref="A5573:E5573"/>
    <s:mergeCell ref="A19877:E19877"/>
    <s:mergeCell ref="A12386:E12386"/>
    <s:mergeCell ref="A10689:E10689"/>
    <s:mergeCell ref="A27095:E27095"/>
    <s:mergeCell ref="A12686:E12686"/>
    <s:mergeCell ref="A10989:E10989"/>
    <s:mergeCell ref="B4318:E4318"/>
    <s:mergeCell ref="A3504:E3504"/>
    <s:mergeCell ref="A12775:E12775"/>
    <s:mergeCell ref="A21690:E21690"/>
    <s:mergeCell ref="A19605:E19605"/>
    <s:mergeCell ref="A3804:E3804"/>
    <s:mergeCell ref="A10417:E10417"/>
    <s:mergeCell ref="A5584:E5584"/>
    <s:mergeCell ref="A3499:E3499"/>
    <s:mergeCell ref="A27023:E27023"/>
    <s:mergeCell ref="A10717:E10717"/>
    <s:mergeCell ref="B16564:E16564"/>
    <s:mergeCell ref="A26718:E26718"/>
    <s:mergeCell ref="A25021:E25021"/>
    <s:mergeCell ref="A27323:E27323"/>
    <s:mergeCell ref="A27018:E27018"/>
    <s:mergeCell ref="A25321:E25321"/>
    <s:mergeCell ref="A17836:E17836"/>
    <s:mergeCell ref="A17830:E17830"/>
    <s:mergeCell ref="A5312:E5312"/>
    <s:mergeCell ref="A3227:E3227"/>
    <s:mergeCell ref="A16350:E16350"/>
    <s:mergeCell ref="A30654:E30654"/>
    <s:mergeCell ref="A18136:E18136"/>
    <s:mergeCell ref="A18130:E18130"/>
    <s:mergeCell ref="A3527:E3527"/>
    <s:mergeCell ref="A25248:E25248"/>
    <s:mergeCell ref="A10645:E10645"/>
    <s:mergeCell ref="A30349:E30349"/>
    <s:mergeCell ref="A17831:E17831"/>
    <s:mergeCell ref="A8643:E8643"/>
    <s:mergeCell ref="A3827:E3827"/>
    <s:mergeCell ref="A23463:E23463"/>
    <s:mergeCell ref="A7163:E7163"/>
    <s:mergeCell ref="A25249:E25249"/>
    <s:mergeCell ref="A23158:E23158"/>
    <s:mergeCell ref="A10640:E10640"/>
    <s:mergeCell ref="A8943:E8943"/>
    <s:mergeCell ref="A6858:E6858"/>
    <s:mergeCell ref="A23763:E23763"/>
    <s:mergeCell ref="A9160:E9160"/>
    <s:mergeCell ref="A25549:E25549"/>
    <s:mergeCell ref="A30970:E30970"/>
    <s:mergeCell ref="A16361:E16361"/>
    <s:mergeCell ref="A3999:E3999"/>
    <s:mergeCell ref="B26096:E26096"/>
    <s:mergeCell ref="A16056:E16056"/>
    <s:mergeCell ref="A23191:E23191"/>
    <s:mergeCell ref="A18358:E18358"/>
    <s:mergeCell ref="A4299:E4299"/>
    <s:mergeCell ref="A23491:E23491"/>
    <s:mergeCell ref="A3994:E3994"/>
    <s:mergeCell ref="A30093:E30093"/>
    <s:mergeCell ref="A4599:E4599"/>
    <s:mergeCell ref="A16089:E16089"/>
    <s:mergeCell ref="A30393:E30393"/>
    <s:mergeCell ref="B15118:E15118"/>
    <s:mergeCell ref="A14304:E14304"/>
    <s:mergeCell ref="A30693:E30693"/>
    <s:mergeCell ref="A28608:E28608"/>
    <s:mergeCell ref="A30904:E30904"/>
    <s:mergeCell ref="A28908:E28908"/>
    <s:mergeCell ref="A4310:E4310"/>
    <s:mergeCell ref="A23502:E23502"/>
    <s:mergeCell ref="A19720:E19720"/>
    <s:mergeCell ref="A11140:E11140"/>
    <s:mergeCell ref="B531:E531"/>
    <s:mergeCell ref="A22022:E22022"/>
    <s:mergeCell ref="A11440:E11440"/>
    <s:mergeCell ref="A23503:E23503"/>
    <s:mergeCell ref="A22017:E22017"/>
    <s:mergeCell ref="A4038:E4038"/>
    <s:mergeCell ref="A11740:E11740"/>
    <s:mergeCell ref="A28619:E28619"/>
    <s:mergeCell ref="A16862:E16862"/>
    <s:mergeCell ref="A18553:E18553"/>
    <s:mergeCell ref="A16856:E16856"/>
    <s:mergeCell ref="A2253:E2253"/>
    <s:mergeCell ref="A28919:E28919"/>
    <s:mergeCell ref="A9371:E9371"/>
    <s:mergeCell ref="A18642:E18642"/>
    <s:mergeCell ref="A2858:E2858"/>
    <s:mergeCell ref="A18859:E18859"/>
    <s:mergeCell ref="B13077:E13077"/>
    <s:mergeCell ref="A16768:E16768"/>
    <s:mergeCell ref="A2553:E2553"/>
    <s:mergeCell ref="A9671:E9671"/>
    <s:mergeCell ref="A16857:E16857"/>
    <s:mergeCell ref="A23975:E23975"/>
    <s:mergeCell ref="B13377:E13377"/>
    <s:mergeCell ref="A11451:E11451"/>
    <s:mergeCell ref="A9366:E9366"/>
    <s:mergeCell ref="A2853:E2853"/>
    <s:mergeCell ref="A9971:E9971"/>
    <s:mergeCell ref="A7886:E7886"/>
    <s:mergeCell ref="A24275:E24275"/>
    <s:mergeCell ref="A9666:E9666"/>
    <s:mergeCell ref="A484:E484"/>
    <s:mergeCell ref="A2264:E2264"/>
    <s:mergeCell ref="A23703:E23703"/>
    <s:mergeCell ref="A2481:E2481"/>
    <s:mergeCell ref="A784:E784"/>
    <s:mergeCell ref="A479:E479"/>
    <s:mergeCell ref="A24003:E24003"/>
    <s:mergeCell ref="A2781:E2781"/>
    <s:mergeCell ref="A9394:E9394"/>
    <s:mergeCell ref="A23698:E23698"/>
    <s:mergeCell ref="A9999:E9999"/>
    <s:mergeCell ref="A7897:E7897"/>
    <s:mergeCell ref="A24303:E24303"/>
    <s:mergeCell ref="A22218:E22218"/>
    <s:mergeCell ref="A9694:E9694"/>
    <s:mergeCell ref="A29330:E29330"/>
    <s:mergeCell ref="A31116:E31116"/>
    <s:mergeCell ref="B8444:E8444"/>
    <s:mergeCell ref="A16901:E16901"/>
    <s:mergeCell ref="A8197:E8197"/>
    <s:mergeCell ref="A6112:E6112"/>
    <s:mergeCell ref="A14816:E14816"/>
    <s:mergeCell ref="A14810:E14810"/>
    <s:mergeCell ref="A31721:E31721"/>
    <s:mergeCell ref="A29636:E29636"/>
    <s:mergeCell ref="A29630:E29630"/>
    <s:mergeCell ref="A17112:E17112"/>
    <s:mergeCell ref="A15027:E15027"/>
    <s:mergeCell ref="A812:E812"/>
    <s:mergeCell ref="A31416:E31416"/>
    <s:mergeCell ref="A22228:E22228"/>
    <s:mergeCell ref="A20143:E20143"/>
    <s:mergeCell ref="A7625:E7625"/>
    <s:mergeCell ref="A15327:E15327"/>
    <s:mergeCell ref="A21929:E21929"/>
    <s:mergeCell ref="A31716:E31716"/>
    <s:mergeCell ref="A29631:E29631"/>
    <s:mergeCell ref="A9405:E9405"/>
    <s:mergeCell ref="A12741:E12741"/>
    <s:mergeCell ref="A24225:E24225"/>
    <s:mergeCell ref="A20443:E20443"/>
    <s:mergeCell ref="A7925:E7925"/>
    <s:mergeCell ref="A22229:E22229"/>
    <s:mergeCell ref="A22223:E22223"/>
    <s:mergeCell ref="A20138:E20138"/>
    <s:mergeCell ref="A7620:E7620"/>
    <s:mergeCell ref="A13041:E13041"/>
    <s:mergeCell ref="A22440:E22440"/>
    <s:mergeCell ref="A24525:E24525"/>
    <s:mergeCell ref="A8225:E8225"/>
    <s:mergeCell ref="A6140:E6140"/>
    <s:mergeCell ref="A15343:E15343"/>
    <s:mergeCell ref="A27556:E27556"/>
    <s:mergeCell ref="A15038:E15038"/>
    <s:mergeCell ref="A13042:E13042"/>
    <s:mergeCell ref="A22256:E22256"/>
    <s:mergeCell ref="A13552:E13552"/>
    <s:mergeCell ref="A27856:E27856"/>
    <s:mergeCell ref="A15338:E15338"/>
    <s:mergeCell ref="A29659:E29659"/>
    <s:mergeCell ref="A18674:E18674"/>
    <s:mergeCell ref="A7847:E7847"/>
    <s:mergeCell ref="B14099:E14099"/>
    <s:mergeCell ref="A4065:E4065"/>
    <s:mergeCell ref="A5851:E5851"/>
    <s:mergeCell ref="B12103:E12103"/>
    <s:mergeCell ref="A18974:E18974"/>
    <s:mergeCell ref="A6062:E6062"/>
    <s:mergeCell ref="A4365:E4365"/>
    <s:mergeCell ref="A29070:E29070"/>
    <s:mergeCell ref="B14100:E14100"/>
    <s:mergeCell ref="A29675:E29675"/>
    <s:mergeCell ref="A27584:E27584"/>
    <s:mergeCell ref="A29370:E29370"/>
    <s:mergeCell ref="B6698:E6698"/>
    <s:mergeCell ref="A20182:E20182"/>
    <s:mergeCell ref="A11478:E11478"/>
    <s:mergeCell ref="A27585:E27585"/>
    <s:mergeCell ref="A20488:E20488"/>
    <s:mergeCell ref="A20482:E20482"/>
    <s:mergeCell ref="A18397:E18397"/>
    <s:mergeCell ref="A27600:E27600"/>
    <s:mergeCell ref="A25515:E25515"/>
    <s:mergeCell ref="A19002:E19002"/>
    <s:mergeCell ref="A20693:E20693"/>
    <s:mergeCell ref="A18697:E18697"/>
    <s:mergeCell ref="A25815:E25815"/>
    <s:mergeCell ref="A13297:E13297"/>
    <s:mergeCell ref="A25510:E25510"/>
    <s:mergeCell ref="A12992:E12992"/>
    <s:mergeCell ref="A11811:E11811"/>
    <s:mergeCell ref="A26115:E26115"/>
    <s:mergeCell ref="A13597:E13597"/>
    <s:mergeCell ref="A11512:E11512"/>
    <s:mergeCell ref="A11506:E11506"/>
    <s:mergeCell ref="B28142:E28142"/>
    <s:mergeCell ref="A25810:E25810"/>
    <s:mergeCell ref="A13292:E13292"/>
    <s:mergeCell ref="A18713:E18713"/>
    <s:mergeCell ref="A4104:E4104"/>
    <s:mergeCell ref="A2019:E2019"/>
    <s:mergeCell ref="A18930:E18930"/>
    <s:mergeCell ref="A18408:E18408"/>
    <s:mergeCell ref="A18924:E18924"/>
    <s:mergeCell ref="A2624:E2624"/>
    <s:mergeCell ref="A18625:E18625"/>
    <s:mergeCell ref="A16928:E16928"/>
    <s:mergeCell ref="A2319:E2319"/>
    <s:mergeCell ref="A11522:E11522"/>
    <s:mergeCell ref="A18708:E18708"/>
    <s:mergeCell ref="A16623:E16623"/>
    <s:mergeCell ref="A23741:E23741"/>
    <s:mergeCell ref="A31443:E31443"/>
    <s:mergeCell ref="A9526:E9526"/>
    <s:mergeCell ref="A18925:E18925"/>
    <s:mergeCell ref="A24346:E24346"/>
    <s:mergeCell ref="A26143:E26143"/>
    <s:mergeCell ref="A16923:E16923"/>
    <s:mergeCell ref="A24041:E24041"/>
    <s:mergeCell ref="A31743:E31743"/>
    <s:mergeCell ref="B19466:E19466"/>
    <s:mergeCell ref="B10284:E10284"/>
    <s:mergeCell ref="A24341:E24341"/>
    <s:mergeCell ref="A31171:E31171"/>
    <s:mergeCell ref="B10279:E10279"/>
    <s:mergeCell ref="A25854:E25854"/>
    <s:mergeCell ref="A23769:E23769"/>
    <s:mergeCell ref="A24069:E24069"/>
    <s:mergeCell ref="B15701:E15701"/>
    <s:mergeCell ref="A30882:E30882"/>
    <s:mergeCell ref="A24369:E24369"/>
    <s:mergeCell ref="B31429:E31429"/>
    <s:mergeCell ref="A31182:E31182"/>
    <s:mergeCell ref="A4605:E4605"/>
    <s:mergeCell ref="A29702:E29702"/>
    <s:mergeCell ref="A4816:E4816"/>
    <s:mergeCell ref="A31482:E31482"/>
    <s:mergeCell ref="A29397:E29397"/>
    <s:mergeCell ref="A19120:E19120"/>
    <s:mergeCell ref="A26626:E26626"/>
    <s:mergeCell ref="A12023:E12023"/>
    <s:mergeCell ref="A29697:E29697"/>
    <s:mergeCell ref="A11718:E11718"/>
    <s:mergeCell ref="A12323:E12323"/>
    <s:mergeCell ref="A10238:E10238"/>
    <s:mergeCell ref="A10232:E10232"/>
    <s:mergeCell ref="A4832:E4832"/>
    <s:mergeCell ref="A12018:E12018"/>
    <s:mergeCell ref="A745:E745"/>
    <s:mergeCell ref="A12229:E12229"/>
    <s:mergeCell ref="A5132:E5132"/>
    <s:mergeCell ref="A3047:E3047"/>
    <s:mergeCell ref="A12318:E12318"/>
    <s:mergeCell ref="A10233:E10233"/>
    <s:mergeCell ref="A3136:E3136"/>
    <s:mergeCell ref="A4827:E4827"/>
    <s:mergeCell ref="A1045:E1045"/>
    <s:mergeCell ref="A10248:E10248"/>
    <s:mergeCell ref="A2831:E2831"/>
    <s:mergeCell ref="A3347:E3347"/>
    <s:mergeCell ref="A10533:E10533"/>
    <s:mergeCell ref="A19736:E19736"/>
    <s:mergeCell ref="A17651:E17651"/>
    <s:mergeCell ref="A5133:E5133"/>
    <s:mergeCell ref="A17645:E17645"/>
    <s:mergeCell ref="A5127:E5127"/>
    <s:mergeCell ref="A3042:E3042"/>
    <s:mergeCell ref="A8463:E8463"/>
    <s:mergeCell ref="A3647:E3647"/>
    <s:mergeCell ref="A31682:E31682"/>
    <s:mergeCell ref="A19164:E19164"/>
    <s:mergeCell ref="A8763:E8763"/>
    <s:mergeCell ref="A10549:E10549"/>
    <s:mergeCell ref="A8464:E8464"/>
    <s:mergeCell ref="A17678:E17678"/>
    <s:mergeCell ref="A17379:E17379"/>
    <s:mergeCell ref="A24580:E24580"/>
    <s:mergeCell ref="A3358:E3358"/>
    <s:mergeCell ref="A9977:E9977"/>
    <s:mergeCell ref="A17679:E17679"/>
    <s:mergeCell ref="A17374:E17374"/>
    <s:mergeCell ref="A22795:E22795"/>
    <s:mergeCell ref="A1573:E1573"/>
    <s:mergeCell ref="A8186:E8186"/>
    <s:mergeCell ref="A25097:E25097"/>
    <s:mergeCell ref="A24575:E24575"/>
    <s:mergeCell ref="A22490:E22490"/>
    <s:mergeCell ref="A24792:E24792"/>
    <s:mergeCell ref="B2120:E2120"/>
    <s:mergeCell ref="A23095:E23095"/>
    <s:mergeCell ref="A10577:E10577"/>
    <s:mergeCell ref="A8492:E8492"/>
    <s:mergeCell ref="A15604:E15604"/>
    <s:mergeCell ref="A22790:E22790"/>
    <s:mergeCell ref="A29908:E29908"/>
    <s:mergeCell ref="A25092:E25092"/>
    <s:mergeCell ref="A30513:E30513"/>
    <s:mergeCell ref="A28428:E28428"/>
    <s:mergeCell ref="A17995:E17995"/>
    <s:mergeCell ref="A15910:E15910"/>
    <s:mergeCell ref="A15904:E15904"/>
    <s:mergeCell ref="A3386:E3386"/>
    <s:mergeCell ref="A1301:E1301"/>
    <s:mergeCell ref="A30208:E30208"/>
    <s:mergeCell ref="A17690:E17690"/>
    <s:mergeCell ref="A15605:E15605"/>
    <s:mergeCell ref="A15599:E15599"/>
    <s:mergeCell ref="A996:E996"/>
    <s:mergeCell ref="A8502:E8502"/>
    <s:mergeCell ref="A6417:E6417"/>
    <s:mergeCell ref="A1601:E1601"/>
    <s:mergeCell ref="A30508:E30508"/>
    <s:mergeCell ref="A28423:E28423"/>
    <s:mergeCell ref="A15905:E15905"/>
    <s:mergeCell ref="A23023:E23023"/>
    <s:mergeCell ref="B351:E351"/>
    <s:mergeCell ref="A21326:E21326"/>
    <s:mergeCell ref="A23017:E23017"/>
    <s:mergeCell ref="A10499:E10499"/>
    <s:mergeCell ref="A8414:E8414"/>
    <s:mergeCell ref="A6717:E6717"/>
    <s:mergeCell ref="B21268:E21268"/>
    <s:mergeCell ref="A8503:E8503"/>
    <s:mergeCell ref="A6412:E6412"/>
    <s:mergeCell ref="A29936:E29936"/>
    <s:mergeCell ref="A21232:E21232"/>
    <s:mergeCell ref="A8714:E8714"/>
    <s:mergeCell ref="A7017:E7017"/>
    <s:mergeCell ref="A14135:E14135"/>
    <s:mergeCell ref="A13830:E13830"/>
    <s:mergeCell ref="A30236:E30236"/>
    <s:mergeCell ref="A6929:E6929"/>
    <s:mergeCell ref="A12350:E12350"/>
    <s:mergeCell ref="A14130:E14130"/>
    <s:mergeCell ref="A12045:E12045"/>
    <s:mergeCell ref="A1612:E1612"/>
    <s:mergeCell ref="B7476:E7476"/>
    <s:mergeCell ref="A4948:E4948"/>
    <s:mergeCell ref="A23045:E23045"/>
    <s:mergeCell ref="B30977:E30977"/>
    <s:mergeCell ref="A6945:E6945"/>
    <s:mergeCell ref="A3163:E3163"/>
    <s:mergeCell ref="A6939:E6939"/>
    <s:mergeCell ref="A29947:E29947"/>
    <s:mergeCell ref="A27862:E27862"/>
    <s:mergeCell ref="A28378:E28378"/>
    <s:mergeCell ref="A23046:E23046"/>
    <s:mergeCell ref="A12061:E12061"/>
    <s:mergeCell ref="A28467:E28467"/>
    <s:mergeCell ref="A20976:E20976"/>
    <s:mergeCell ref="B7187:E7187"/>
    <s:mergeCell ref="A28162:E28162"/>
    <s:mergeCell ref="A21261:E21261"/>
    <s:mergeCell ref="A12361:E12361"/>
    <s:mergeCell ref="A26682:E26682"/>
    <s:mergeCell ref="A28373:E28373"/>
    <s:mergeCell ref="A14158:E14158"/>
    <s:mergeCell ref="A19191:E19191"/>
    <s:mergeCell ref="A28462:E28462"/>
    <s:mergeCell ref="A26377:E26377"/>
    <s:mergeCell ref="A19280:E19280"/>
    <s:mergeCell ref="A19491:E19491"/>
    <s:mergeCell ref="A5276:E5276"/>
    <s:mergeCell ref="A21271:E21271"/>
    <s:mergeCell ref="A19186:E19186"/>
    <s:mergeCell ref="A28389:E28389"/>
    <s:mergeCell ref="A24607:E24607"/>
    <s:mergeCell ref="A12089:E12089"/>
    <s:mergeCell ref="A19791:E19791"/>
    <s:mergeCell ref="A26393:E26393"/>
    <s:mergeCell ref="A11784:E11784"/>
    <s:mergeCell ref="A28689:E28689"/>
    <s:mergeCell ref="A26088:E26088"/>
    <s:mergeCell ref="A24907:E24907"/>
    <s:mergeCell ref="A26604:E26604"/>
    <s:mergeCell ref="A12389:E12389"/>
    <s:mergeCell ref="A10304:E10304"/>
    <s:mergeCell ref="B26940:E26940"/>
    <s:mergeCell ref="A26693:E26693"/>
    <s:mergeCell ref="A12084:E12084"/>
    <s:mergeCell ref="A19202:E19202"/>
    <s:mergeCell ref="B25454:E25454"/>
    <s:mergeCell ref="A26904:E26904"/>
    <s:mergeCell ref="A10604:E10604"/>
    <s:mergeCell ref="A19807:E19807"/>
    <s:mergeCell ref="B25149:E25149"/>
    <s:mergeCell ref="A10299:E10299"/>
    <s:mergeCell ref="A19502:E19502"/>
    <s:mergeCell ref="A7140:E7140"/>
    <s:mergeCell ref="B3660:E3660"/>
    <s:mergeCell ref="A7440:E7440"/>
    <s:mergeCell ref="A38:E38"/>
    <s:mergeCell ref="A7740:E7740"/>
    <s:mergeCell ref="A19230:E19230"/>
    <s:mergeCell ref="A338:E338"/>
    <s:mergeCell ref="A19530:E19530"/>
    <s:mergeCell ref="A17445:E17445"/>
    <s:mergeCell ref="A24646:E24646"/>
    <s:mergeCell ref="A22561:E22561"/>
    <s:mergeCell ref="A17745:E17745"/>
    <s:mergeCell ref="A24863:E24863"/>
    <s:mergeCell ref="A24952:E24952"/>
    <s:mergeCell ref="A26643:E26643"/>
    <s:mergeCell ref="A22861:E22861"/>
    <s:mergeCell ref="A12584:E12584"/>
    <s:mergeCell ref="A66:E66"/>
    <s:mergeCell ref="A25163:E25163"/>
    <s:mergeCell ref="A24858:E24858"/>
    <s:mergeCell ref="A23161:E23161"/>
    <s:mergeCell ref="A20002:E20002"/>
    <s:mergeCell ref="A13101:E13101"/>
    <s:mergeCell ref="A12579:E12579"/>
    <s:mergeCell ref="A7179:E7179"/>
    <s:mergeCell ref="A14881:E14881"/>
    <s:mergeCell ref="A20302:E20302"/>
    <s:mergeCell ref="A18217:E18217"/>
    <s:mergeCell ref="A5699:E5699"/>
    <s:mergeCell ref="A20003:E20003"/>
    <s:mergeCell ref="A19997:E19997"/>
    <s:mergeCell ref="A17912:E17912"/>
    <s:mergeCell ref="A5394:E5394"/>
    <s:mergeCell ref="A5999:E5999"/>
    <s:mergeCell ref="A3914:E3914"/>
    <s:mergeCell ref="A5694:E5694"/>
    <s:mergeCell ref="A12812:E12812"/>
    <s:mergeCell ref="A17928:E17928"/>
    <s:mergeCell ref="A13112:E13112"/>
    <s:mergeCell ref="A27416:E27416"/>
    <s:mergeCell ref="A3924:E3924"/>
    <s:mergeCell ref="A1839:E1839"/>
    <s:mergeCell ref="A18228:E18228"/>
    <s:mergeCell ref="A3625:E3625"/>
    <s:mergeCell ref="A13412:E13412"/>
    <s:mergeCell ref="A11327:E11327"/>
    <s:mergeCell ref="A2139:E2139"/>
    <s:mergeCell ref="A3925:E3925"/>
    <s:mergeCell ref="A3919:E3919"/>
    <s:mergeCell ref="A1834:E1834"/>
    <s:mergeCell ref="A18229:E18229"/>
    <s:mergeCell ref="A25358:E25358"/>
    <s:mergeCell ref="A25447:E25447"/>
    <s:mergeCell ref="A23362:E23362"/>
    <s:mergeCell ref="A17956:E17956"/>
    <s:mergeCell ref="A3952:E3952"/>
    <s:mergeCell ref="A30774:E30774"/>
    <s:mergeCell ref="A1850:E1850"/>
    <s:mergeCell ref="A16171:E16171"/>
    <s:mergeCell ref="A5738:E5738"/>
    <s:mergeCell ref="A3653:E3653"/>
    <s:mergeCell ref="A17951:E17951"/>
    <s:mergeCell ref="A10854:E10854"/>
    <s:mergeCell ref="A2150:E2150"/>
    <s:mergeCell ref="A65:E65"/>
    <s:mergeCell ref="A16471:E16471"/>
    <s:mergeCell ref="A3953:E3953"/>
    <s:mergeCell ref="A25674:E25674"/>
    <s:mergeCell ref="A30775:E30775"/>
    <s:mergeCell ref="A25369:E25369"/>
    <s:mergeCell ref="A10766:E10766"/>
    <s:mergeCell ref="A9069:E9069"/>
    <s:mergeCell ref="A23889:E23889"/>
    <s:mergeCell ref="A31075:E31075"/>
    <s:mergeCell ref="A2151:E2151"/>
    <s:mergeCell ref="A9280:E9280"/>
    <s:mergeCell ref="A25669:E25669"/>
    <s:mergeCell ref="A23584:E23584"/>
    <s:mergeCell ref="A11066:E11066"/>
    <s:mergeCell ref="A9369:E9369"/>
    <s:mergeCell ref="A7284:E7284"/>
    <s:mergeCell ref="A25370:E25370"/>
    <s:mergeCell ref="A24189:E24189"/>
    <s:mergeCell ref="A23884:E23884"/>
    <s:mergeCell ref="A11366:E11366"/>
    <s:mergeCell ref="A9281:E9281"/>
    <s:mergeCell ref="A14702:E14702"/>
    <s:mergeCell ref="A2178:E2178"/>
    <s:mergeCell ref="A93:E93"/>
    <s:mergeCell ref="A30697:E30697"/>
    <s:mergeCell ref="A9296:E9296"/>
    <s:mergeCell ref="A16482:E16482"/>
    <s:mergeCell ref="A14397:E14397"/>
    <s:mergeCell ref="A18784:E18784"/>
    <s:mergeCell ref="A16699:E16699"/>
    <s:mergeCell ref="A25397:E25397"/>
    <s:mergeCell ref="A16693:E16693"/>
    <s:mergeCell ref="A7511:E7511"/>
    <s:mergeCell ref="A14697:E14697"/>
    <s:mergeCell ref="A2179:E2179"/>
    <s:mergeCell ref="A23900:E23900"/>
    <s:mergeCell ref="A21815:E21815"/>
    <s:mergeCell ref="A7600:E7600"/>
    <s:mergeCell ref="B17240:E17240"/>
    <s:mergeCell ref="A9291:E9291"/>
    <s:mergeCell ref="A7206:E7206"/>
    <s:mergeCell ref="B31550:E31550"/>
    <s:mergeCell ref="A23595:E23595"/>
    <s:mergeCell ref="A7811:E7811"/>
    <s:mergeCell ref="A22115:E22115"/>
    <s:mergeCell ref="A28728:E28728"/>
    <s:mergeCell ref="A7506:E7506"/>
    <s:mergeCell ref="A31030:E31030"/>
    <s:mergeCell ref="A409:E409"/>
    <s:mergeCell ref="A31119:E31119"/>
    <s:mergeCell ref="A29034:E29034"/>
    <s:mergeCell ref="A30725:E30725"/>
    <s:mergeCell ref="A104:E104"/>
    <s:mergeCell ref="A23628:E23628"/>
    <s:mergeCell ref="A31330:E31330"/>
    <s:mergeCell ref="A321:E321"/>
    <s:mergeCell ref="B651:E651"/>
    <s:mergeCell ref="A31025:E31025"/>
    <s:mergeCell ref="A404:E404"/>
    <s:mergeCell ref="A21843:E21843"/>
    <s:mergeCell ref="A621:E621"/>
    <s:mergeCell ref="B29775:E29775"/>
    <s:mergeCell ref="A7234:E7234"/>
    <s:mergeCell ref="A23623:E23623"/>
    <s:mergeCell ref="A21538:E21538"/>
    <s:mergeCell ref="A21838:E21838"/>
    <s:mergeCell ref="A31041:E31041"/>
    <s:mergeCell ref="A28956:E28956"/>
    <s:mergeCell ref="A27259:E27259"/>
    <s:mergeCell ref="B22690:E22690"/>
    <s:mergeCell ref="A14741:E14741"/>
    <s:mergeCell ref="A12656:E12656"/>
    <s:mergeCell ref="A12650:E12650"/>
    <s:mergeCell ref="A29045:E29045"/>
    <s:mergeCell ref="A27476:E27476"/>
    <s:mergeCell ref="A29561:E29561"/>
    <s:mergeCell ref="B5979:E5979"/>
    <s:mergeCell ref="A7250:E7250"/>
    <s:mergeCell ref="A29256:E29256"/>
    <s:mergeCell ref="A12956:E12956"/>
    <s:mergeCell ref="A20068:E20068"/>
    <s:mergeCell ref="A17983:E17983"/>
    <s:mergeCell ref="A7550:E7550"/>
    <s:mergeCell ref="A5465:E5465"/>
    <s:mergeCell ref="A29556:E29556"/>
    <s:mergeCell ref="A27471:E27471"/>
    <s:mergeCell ref="A7245:E7245"/>
    <s:mergeCell ref="A21549:E21549"/>
    <s:mergeCell ref="A5765:E5765"/>
    <s:mergeCell ref="B28018:E28018"/>
    <s:mergeCell ref="A20069:E20069"/>
    <s:mergeCell ref="A20063:E20063"/>
    <s:mergeCell ref="A5460:E5460"/>
    <s:mergeCell ref="A22365:E22365"/>
    <s:mergeCell ref="A20280:E20280"/>
    <s:mergeCell ref="A6065:E6065"/>
    <s:mergeCell ref="A27487:E27487"/>
    <s:mergeCell ref="A27481:E27481"/>
    <s:mergeCell ref="A2601:E2601"/>
    <s:mergeCell ref="A27182:E27182"/>
    <s:mergeCell ref="A12967:E12967"/>
    <s:mergeCell ref="B18831:E18831"/>
    <s:mergeCell ref="A605:E605"/>
    <s:mergeCell ref="A2907:E2907"/>
    <s:mergeCell ref="A2901:E2901"/>
    <s:mergeCell ref="A5932:E5932"/>
    <s:mergeCell ref="A1116:E1116"/>
    <s:mergeCell ref="B20538:E20538"/>
    <s:mergeCell ref="B6323:E6323"/>
    <s:mergeCell ref="A26910:E26910"/>
    <s:mergeCell ref="A8323:E8323"/>
    <s:mergeCell ref="A6232:E6232"/>
    <s:mergeCell ref="A27515:E27515"/>
    <s:mergeCell ref="A8018:E8018"/>
    <s:mergeCell ref="A27210:E27210"/>
    <s:mergeCell ref="A27510:E27510"/>
    <s:mergeCell ref="A25425:E25425"/>
    <s:mergeCell ref="A30846:E30846"/>
    <s:mergeCell ref="A18328:E18328"/>
    <s:mergeCell ref="A18322:E18322"/>
    <s:mergeCell ref="A5960:E5960"/>
    <s:mergeCell ref="A30841:E30841"/>
    <s:mergeCell ref="B1674:E1674"/>
    <s:mergeCell ref="A27682:E27682"/>
    <s:mergeCell ref="A27982:E27982"/>
    <s:mergeCell ref="A15464:E15464"/>
    <s:mergeCell ref="A13373:E13373"/>
    <s:mergeCell ref="A855:E855"/>
    <s:mergeCell ref="A27677:E27677"/>
    <s:mergeCell ref="A6276:E6276"/>
    <s:mergeCell ref="A15159:E15159"/>
    <s:mergeCell ref="A13978:E13978"/>
    <s:mergeCell ref="A29979:E29979"/>
    <s:mergeCell ref="A26197:E26197"/>
    <s:mergeCell ref="A15764:E15764"/>
    <s:mergeCell ref="A1155:E1155"/>
    <s:mergeCell ref="A4491:E4491"/>
    <s:mergeCell ref="A6277:E6277"/>
    <s:mergeCell ref="A4186:E4186"/>
    <s:mergeCell ref="A8573:E8573"/>
    <s:mergeCell ref="A6488:E6488"/>
    <s:mergeCell ref="A22877:E22877"/>
    <s:mergeCell ref="A20792:E20792"/>
    <s:mergeCell ref="A4486:E4486"/>
    <s:mergeCell ref="A13689:E13689"/>
    <s:mergeCell ref="A11604:E11604"/>
    <s:mergeCell ref="A6788:E6788"/>
    <s:mergeCell ref="A20608:E20608"/>
    <s:mergeCell ref="A4502:E4502"/>
    <s:mergeCell ref="A2417:E2417"/>
    <s:mergeCell ref="A12204:E12204"/>
    <s:mergeCell ref="A27721:E27721"/>
    <s:mergeCell ref="A19123:E19123"/>
    <s:mergeCell ref="A11632:E11632"/>
    <s:mergeCell ref="A25936:E25936"/>
    <s:mergeCell ref="A26541:E26541"/>
    <s:mergeCell ref="A28232:E28232"/>
    <s:mergeCell ref="A26147:E26147"/>
    <s:mergeCell ref="A4230:E4230"/>
    <s:mergeCell ref="A11932:E11932"/>
    <s:mergeCell ref="A26236:E26236"/>
    <s:mergeCell ref="B1479:E1479"/>
    <s:mergeCell ref="A11627:E11627"/>
    <s:mergeCell ref="A17048:E17048"/>
    <s:mergeCell ref="A2445:E2445"/>
    <s:mergeCell ref="A19350:E19350"/>
    <s:mergeCell ref="A16749:E16749"/>
    <s:mergeCell ref="A17265:E17265"/>
    <s:mergeCell ref="A26536:E26536"/>
    <s:mergeCell ref="B8897:E8897"/>
    <s:mergeCell ref="A2745:E2745"/>
    <s:mergeCell ref="A17049:E17049"/>
    <s:mergeCell ref="A24167:E24167"/>
    <s:mergeCell ref="A11643:E11643"/>
    <s:mergeCell ref="A9558:E9558"/>
    <s:mergeCell ref="A3045:E3045"/>
    <s:mergeCell ref="A10163:E10163"/>
    <s:mergeCell ref="A24467:E24467"/>
    <s:mergeCell ref="A2672:E2672"/>
    <s:mergeCell ref="A9858:E9858"/>
    <s:mergeCell ref="B27010:E27010"/>
    <s:mergeCell ref="A16976:E16976"/>
    <s:mergeCell ref="A26247:E26247"/>
    <s:mergeCell ref="A24162:E24162"/>
    <s:mergeCell ref="A8378:E8378"/>
    <s:mergeCell ref="A26464:E26464"/>
    <s:mergeCell ref="A2456:E2456"/>
    <s:mergeCell ref="A887:E887"/>
    <s:mergeCell ref="A2972:E2972"/>
    <s:mergeCell ref="A8073:E8073"/>
    <s:mergeCell ref="A10158:E10158"/>
    <s:mergeCell ref="B24709:E24709"/>
    <s:mergeCell ref="A17276:E17276"/>
    <s:mergeCell ref="A31597:E31597"/>
    <s:mergeCell ref="A976:E976"/>
    <s:mergeCell ref="A2667:E2667"/>
    <s:mergeCell ref="B27011:E27011"/>
    <s:mergeCell ref="A16971:E16971"/>
    <s:mergeCell ref="A2756:E2756"/>
    <s:mergeCell ref="A671:E671"/>
    <s:mergeCell ref="A1187:E1187"/>
    <s:mergeCell ref="A17576:E17576"/>
    <s:mergeCell ref="A15491:E15491"/>
    <s:mergeCell ref="A2973:E2973"/>
    <s:mergeCell ref="A2967:E2967"/>
    <s:mergeCell ref="A6303:E6303"/>
    <s:mergeCell ref="A971:E971"/>
    <s:mergeCell ref="A8089:E8089"/>
    <s:mergeCell ref="A24495:E24495"/>
    <s:mergeCell ref="A15791:E15791"/>
    <s:mergeCell ref="A7784:E7784"/>
    <s:mergeCell ref="A6603:E6603"/>
    <s:mergeCell ref="A31308:E31308"/>
    <s:mergeCell ref="A8389:E8389"/>
    <s:mergeCell ref="A29822:E29822"/>
    <s:mergeCell ref="A15219:E15219"/>
    <s:mergeCell ref="A31608:E31608"/>
    <s:mergeCell ref="A16999:E16999"/>
    <s:mergeCell ref="A9902:E9902"/>
    <s:mergeCell ref="A15519:E15519"/>
    <s:mergeCell ref="A15502:E15502"/>
    <s:mergeCell ref="B10933:E10933"/>
    <s:mergeCell ref="A29823:E29823"/>
    <s:mergeCell ref="A17299:E17299"/>
    <s:mergeCell ref="A15214:E15214"/>
    <s:mergeCell ref="A24417:E24417"/>
    <s:mergeCell ref="A20635:E20635"/>
    <s:mergeCell ref="A8117:E8117"/>
    <s:mergeCell ref="B30370:E30370"/>
    <s:mergeCell ref="A15802:E15802"/>
    <s:mergeCell ref="A22421:E22421"/>
    <s:mergeCell ref="A22415:E22415"/>
    <s:mergeCell ref="A20330:E20330"/>
    <s:mergeCell ref="A3440:E3440"/>
    <s:mergeCell ref="A14930:E14930"/>
    <s:mergeCell ref="A22632:E22632"/>
    <s:mergeCell ref="A8417:E8417"/>
    <s:mergeCell ref="A22721:E22721"/>
    <s:mergeCell ref="A13444:E13444"/>
    <s:mergeCell ref="A27748:E27748"/>
    <s:mergeCell ref="A15230:E15230"/>
    <s:mergeCell ref="A13533:E13533"/>
    <s:mergeCell ref="A11448:E11448"/>
    <s:mergeCell ref="A22932:E22932"/>
    <s:mergeCell ref="A28353:E28353"/>
    <s:mergeCell ref="A15835:E15835"/>
    <s:mergeCell ref="A14925:E14925"/>
    <s:mergeCell ref="A30139:E30139"/>
    <s:mergeCell ref="A29745:E29745"/>
    <s:mergeCell ref="A28048:E28048"/>
    <s:mergeCell ref="A13445:E13445"/>
    <s:mergeCell ref="A23232:E23232"/>
    <s:mergeCell ref="A921:E921"/>
    <s:mergeCell ref="A20646:E20646"/>
    <s:mergeCell ref="B13992:E13992"/>
    <s:mergeCell ref="A28348:E28348"/>
    <s:mergeCell ref="A13745:E13745"/>
    <s:mergeCell ref="A22948:E22948"/>
    <s:mergeCell ref="A22643:E22643"/>
    <s:mergeCell ref="A20647:E20647"/>
    <s:mergeCell ref="A27776:E27776"/>
    <s:mergeCell ref="A9189:E9189"/>
    <s:mergeCell ref="B4799:E4799"/>
    <s:mergeCell ref="A10581:E10581"/>
    <s:mergeCell ref="B21710:E21710"/>
    <s:mergeCell ref="A30167:E30167"/>
    <s:mergeCell ref="A3784:E3784"/>
    <s:mergeCell ref="A1699:E1699"/>
    <s:mergeCell ref="A1693:E1693"/>
    <s:mergeCell ref="A16003:E16003"/>
    <s:mergeCell ref="A3479:E3479"/>
    <s:mergeCell ref="A27787:E27787"/>
    <s:mergeCell ref="A26307:E26307"/>
    <s:mergeCell ref="A26002:E26002"/>
    <s:mergeCell ref="A9112:E9112"/>
    <s:mergeCell ref="A26607:E26607"/>
    <s:mergeCell ref="A1727:E1727"/>
    <s:mergeCell ref="A26302:E26302"/>
    <s:mergeCell ref="A23143:E23143"/>
    <s:mergeCell ref="B166:E166"/>
    <s:mergeCell ref="A6538:E6538"/>
    <s:mergeCell ref="A7054:E7054"/>
    <s:mergeCell ref="A23449:E23449"/>
    <s:mergeCell ref="A23443:E23443"/>
    <s:mergeCell ref="A21358:E21358"/>
    <s:mergeCell ref="A10925:E10925"/>
    <s:mergeCell ref="A8840:E8840"/>
    <s:mergeCell ref="A7143:E7143"/>
    <s:mergeCell ref="A5058:E5058"/>
    <s:mergeCell ref="A23144:E23144"/>
    <s:mergeCell ref="A8535:E8535"/>
    <s:mergeCell ref="A13956:E13956"/>
    <s:mergeCell ref="A21658:E21658"/>
    <s:mergeCell ref="A9140:E9140"/>
    <s:mergeCell ref="A23444:E23444"/>
    <s:mergeCell ref="A15953:E15953"/>
    <s:mergeCell ref="A14256:E14256"/>
    <s:mergeCell ref="B27076:E27076"/>
    <s:mergeCell ref="A13951:E13951"/>
    <s:mergeCell ref="A4769:E4769"/>
    <s:mergeCell ref="A14556:E14556"/>
    <s:mergeCell ref="A12471:E12471"/>
    <s:mergeCell ref="A16253:E16253"/>
    <s:mergeCell ref="A7065:E7065"/>
    <s:mergeCell ref="B27077:E27077"/>
    <s:mergeCell ref="A21369:E21369"/>
    <s:mergeCell ref="A5280:E5280"/>
    <s:mergeCell ref="A21669:E21669"/>
    <s:mergeCell ref="A7066:E7066"/>
    <s:mergeCell ref="A12487:E12487"/>
    <s:mergeCell ref="A30584:E30584"/>
    <s:mergeCell ref="A14284:E14284"/>
    <s:mergeCell ref="A5580:E5580"/>
    <s:mergeCell ref="A12199:E12199"/>
    <s:mergeCell ref="A30285:E30285"/>
    <s:mergeCell ref="A19884:E19884"/>
    <s:mergeCell ref="A12787:E12787"/>
    <s:mergeCell ref="A10702:E10702"/>
    <s:mergeCell ref="A28799:E28799"/>
    <s:mergeCell ref="A30585:E30585"/>
    <s:mergeCell ref="A4991:E4991"/>
    <s:mergeCell ref="A21397:E21397"/>
    <s:mergeCell ref="A19917:E19917"/>
    <s:mergeCell ref="A5291:E5291"/>
    <s:mergeCell ref="A11910:E11910"/>
    <s:mergeCell ref="A19612:E19612"/>
    <s:mergeCell ref="A21697:E21697"/>
    <s:mergeCell ref="A28815:E28815"/>
    <s:mergeCell ref="B6143:E6143"/>
    <s:mergeCell ref="A7088:E7088"/>
    <s:mergeCell ref="A26730:E26730"/>
    <s:mergeCell ref="A26819:E26819"/>
    <s:mergeCell ref="A12210:E12210"/>
    <s:mergeCell ref="A27030:E27030"/>
    <s:mergeCell ref="A25333:E25333"/>
    <s:mergeCell ref="A12421:E12421"/>
    <s:mergeCell ref="A28810:E28810"/>
    <s:mergeCell ref="A26725:E26725"/>
    <s:mergeCell ref="A12510:E12510"/>
    <s:mergeCell ref="A10425:E10425"/>
    <s:mergeCell ref="A19628:E19628"/>
    <s:mergeCell ref="A27330:E27330"/>
    <s:mergeCell ref="A25245:E25245"/>
    <s:mergeCell ref="A3322:E3322"/>
    <s:mergeCell ref="A1237:E1237"/>
    <s:mergeCell ref="A12721:E12721"/>
    <s:mergeCell ref="A19323:E19323"/>
    <s:mergeCell ref="A18142:E18142"/>
    <s:mergeCell ref="B25575:E25575"/>
    <s:mergeCell ref="A3539:E3539"/>
    <s:mergeCell ref="A10725:E10725"/>
    <s:mergeCell ref="B27877:E27877"/>
    <s:mergeCell ref="A19928:E19928"/>
    <s:mergeCell ref="A17843:E17843"/>
    <s:mergeCell ref="A5325:E5325"/>
    <s:mergeCell ref="A17837:E17837"/>
    <s:mergeCell ref="A5319:E5319"/>
    <s:mergeCell ref="A3234:E3234"/>
    <s:mergeCell ref="A19623:E19623"/>
    <s:mergeCell ref="A3839:E3839"/>
    <s:mergeCell ref="A18143:E18143"/>
    <s:mergeCell ref="B5866:E5866"/>
    <s:mergeCell ref="A3534:E3534"/>
    <s:mergeCell ref="A12737:E12737"/>
    <s:mergeCell ref="A10652:E10652"/>
    <s:mergeCell ref="A8955:E8955"/>
    <s:mergeCell ref="A24956:E24956"/>
    <s:mergeCell ref="A10741:E10741"/>
    <s:mergeCell ref="A10347:E10347"/>
    <s:mergeCell ref="A15768:E15768"/>
    <s:mergeCell ref="A25256:E25256"/>
    <s:mergeCell ref="A3550:E3550"/>
    <s:mergeCell ref="A1465:E1465"/>
    <s:mergeCell ref="A11252:E11252"/>
    <s:mergeCell ref="A17871:E17871"/>
    <s:mergeCell ref="A25556:E25556"/>
    <s:mergeCell ref="A3245:E3245"/>
    <s:mergeCell ref="A26769:E26769"/>
    <s:mergeCell ref="A16368:E16368"/>
    <s:mergeCell ref="A14283:E14283"/>
    <s:mergeCell ref="A1765:E1765"/>
    <s:mergeCell ref="A18171:E18171"/>
    <s:mergeCell ref="A1759:E1759"/>
    <s:mergeCell ref="B26103:E26103"/>
    <s:mergeCell ref="B3792:E3792"/>
    <s:mergeCell ref="A25283:E25283"/>
    <s:mergeCell ref="A24984:E24984"/>
    <s:mergeCell ref="A23287:E23287"/>
    <s:mergeCell ref="A30100:E30100"/>
    <s:mergeCell ref="A25284:E25284"/>
    <s:mergeCell ref="A16096:E16096"/>
    <s:mergeCell ref="A30400:E30400"/>
    <s:mergeCell ref="A17882:E17882"/>
    <s:mergeCell ref="A25584:E25584"/>
    <s:mergeCell ref="A30095:E30095"/>
    <s:mergeCell ref="A1793:E1793"/>
    <s:mergeCell ref="A30700:E30700"/>
    <s:mergeCell ref="A28615:E28615"/>
    <s:mergeCell ref="A16097:E16097"/>
    <s:mergeCell ref="A16091:E16091"/>
    <s:mergeCell ref="A23215:E23215"/>
    <s:mergeCell ref="A23209:E23209"/>
    <s:mergeCell ref="A8606:E8606"/>
    <s:mergeCell ref="A6909:E6909"/>
    <s:mergeCell ref="A23515:E23515"/>
    <s:mergeCell ref="A23509:E23509"/>
    <s:mergeCell ref="A21424:E21424"/>
    <s:mergeCell ref="A8906:E8906"/>
    <s:mergeCell ref="A7209:E7209"/>
    <s:mergeCell ref="A23210:E23210"/>
    <s:mergeCell ref="B532:E532"/>
    <s:mergeCell ref="A28631:E28631"/>
    <s:mergeCell ref="A9206:E9206"/>
    <s:mergeCell ref="A7121:E7121"/>
    <s:mergeCell ref="A23510:E23510"/>
    <s:mergeCell ref="B7956:E7956"/>
    <s:mergeCell ref="A30622:E30622"/>
    <s:mergeCell ref="A4051:E4051"/>
    <s:mergeCell ref="A5742:E5742"/>
    <s:mergeCell ref="A4045:E4045"/>
    <s:mergeCell ref="A1960:E1960"/>
    <s:mergeCell ref="A2565:E2565"/>
    <s:mergeCell ref="A30928:E30928"/>
    <s:mergeCell ref="A2260:E2260"/>
    <s:mergeCell ref="A4046:E4046"/>
    <s:mergeCell ref="A11458:E11458"/>
    <s:mergeCell ref="A9373:E9373"/>
    <s:mergeCell ref="A28959:E28959"/>
    <s:mergeCell ref="A2276:E2276"/>
    <s:mergeCell ref="A2576:E2576"/>
    <s:mergeCell ref="A491:E491"/>
    <s:mergeCell ref="A21469:E21469"/>
    <s:mergeCell ref="A21463:E21463"/>
    <s:mergeCell ref="A4573:E4573"/>
    <s:mergeCell ref="A791:E791"/>
    <s:mergeCell ref="A9706:E9706"/>
    <s:mergeCell ref="A16308:E16308"/>
    <s:mergeCell ref="A9401:E9401"/>
    <s:mergeCell ref="A16608:E16608"/>
    <s:mergeCell ref="A1999:E1999"/>
    <s:mergeCell ref="A16819:E16819"/>
    <s:mergeCell ref="A519:E519"/>
    <s:mergeCell ref="A31123:E31123"/>
    <s:mergeCell ref="B8451:E8451"/>
    <s:mergeCell ref="A16908:E16908"/>
    <s:mergeCell ref="A14823:E14823"/>
    <s:mergeCell ref="A214:E214"/>
    <s:mergeCell ref="A9417:E9417"/>
    <s:mergeCell ref="A17119:E17119"/>
    <s:mergeCell ref="A18905:E18905"/>
    <s:mergeCell ref="A16820:E16820"/>
    <s:mergeCell ref="A22241:E22241"/>
    <s:mergeCell ref="B27943:E27943"/>
    <s:mergeCell ref="A22235:E22235"/>
    <s:mergeCell ref="A9717:E9717"/>
    <s:mergeCell ref="A7632:E7632"/>
    <s:mergeCell ref="A24021:E24021"/>
    <s:mergeCell ref="A21936:E21936"/>
    <s:mergeCell ref="A8237:E8237"/>
    <s:mergeCell ref="A9412:E9412"/>
    <s:mergeCell ref="A7327:E7327"/>
    <s:mergeCell ref="A24238:E24238"/>
    <s:mergeCell ref="A230:E230"/>
    <s:mergeCell ref="A7932:E7932"/>
    <s:mergeCell ref="B1261:E1261"/>
    <s:mergeCell ref="A22236:E22236"/>
    <s:mergeCell ref="A9718:E9718"/>
    <s:mergeCell ref="A441:E441"/>
    <s:mergeCell ref="A16830:E16830"/>
    <s:mergeCell ref="A14745:E14745"/>
    <s:mergeCell ref="B22694:E22694"/>
    <s:mergeCell ref="A530:E530"/>
    <s:mergeCell ref="A8232:E8232"/>
    <s:mergeCell ref="A741:E741"/>
    <s:mergeCell ref="A29654:E29654"/>
    <s:mergeCell ref="B15292:E15292"/>
    <s:mergeCell ref="A15045:E15045"/>
    <s:mergeCell ref="A7660:E7660"/>
    <s:mergeCell ref="A13260:E13260"/>
    <s:mergeCell ref="B14112:E14112"/>
    <s:mergeCell ref="A6163:E6163"/>
    <s:mergeCell ref="A7943:E7943"/>
    <s:mergeCell ref="A5858:E5858"/>
    <s:mergeCell ref="A29382:E29382"/>
    <s:mergeCell ref="A14773:E14773"/>
    <s:mergeCell ref="A31162:E31162"/>
    <s:mergeCell ref="A29077:E29077"/>
    <s:mergeCell ref="A29682:E29682"/>
    <s:mergeCell ref="A7371:E7371"/>
    <s:mergeCell ref="A15073:E15073"/>
    <s:mergeCell ref="A29377:E29377"/>
    <s:mergeCell ref="B6705:E6705"/>
    <s:mergeCell ref="A20195:E20195"/>
    <s:mergeCell ref="A20189:E20189"/>
    <s:mergeCell ref="A7671:E7671"/>
    <s:mergeCell ref="A5586:E5586"/>
    <s:mergeCell ref="A20406:E20406"/>
    <s:mergeCell ref="A27592:E27592"/>
    <s:mergeCell ref="A6191:E6191"/>
    <s:mergeCell ref="A20495:E20495"/>
    <s:mergeCell ref="A22186:E22186"/>
    <s:mergeCell ref="A5886:E5886"/>
    <s:mergeCell ref="A25522:E25522"/>
    <s:mergeCell ref="A25822:E25822"/>
    <s:mergeCell ref="A13304:E13304"/>
    <s:mergeCell ref="B13246:E13246"/>
    <s:mergeCell ref="A25517:E25517"/>
    <s:mergeCell ref="B20948:E20948"/>
    <s:mergeCell ref="A12999:E12999"/>
    <s:mergeCell ref="A18420:E18420"/>
    <s:mergeCell ref="B13851:E13851"/>
    <s:mergeCell ref="A26122:E26122"/>
    <s:mergeCell ref="A13604:E13604"/>
    <s:mergeCell ref="A11519:E11519"/>
    <s:mergeCell ref="A27908:E27908"/>
    <s:mergeCell ref="B28149:E28149"/>
    <s:mergeCell ref="A2331:E2331"/>
    <s:mergeCell ref="A20417:E20417"/>
    <s:mergeCell ref="A18720:E18720"/>
    <s:mergeCell ref="A16635:E16635"/>
    <s:mergeCell ref="A4117:E4117"/>
    <s:mergeCell ref="A4111:E4111"/>
    <s:mergeCell ref="A18421:E18421"/>
    <s:mergeCell ref="A27635:E27635"/>
    <s:mergeCell ref="B11761:E11761"/>
    <s:mergeCell ref="B28666:E28666"/>
    <s:mergeCell ref="A18632:E18632"/>
    <s:mergeCell ref="A9444:E9444"/>
    <s:mergeCell ref="A25833:E25833"/>
    <s:mergeCell ref="A18932:E18932"/>
    <s:mergeCell ref="A9744:E9744"/>
    <s:mergeCell ref="B11472:E11472"/>
    <s:mergeCell ref="A30967:E30967"/>
    <s:mergeCell ref="A25561:E25561"/>
    <s:mergeCell ref="A10958:E10958"/>
    <s:mergeCell ref="A9472:E9472"/>
    <s:mergeCell ref="A25867:E25867"/>
    <s:mergeCell ref="A25861:E25861"/>
    <s:mergeCell ref="A23776:E23776"/>
    <s:mergeCell ref="A11258:E11258"/>
    <s:mergeCell ref="A23471:E23471"/>
    <s:mergeCell ref="A16374:E16374"/>
    <s:mergeCell ref="A24076:E24076"/>
    <s:mergeCell ref="A11558:E11558"/>
    <s:mergeCell ref="A9473:E9473"/>
    <s:mergeCell ref="A31194:E31194"/>
    <s:mergeCell ref="A2370:E2370"/>
    <s:mergeCell ref="A30889:E30889"/>
    <s:mergeCell ref="A16674:E16674"/>
    <s:mergeCell ref="A17190:E17190"/>
    <s:mergeCell ref="A18976:E18976"/>
    <s:mergeCell ref="A16891:E16891"/>
    <s:mergeCell ref="A16885:E16885"/>
    <s:mergeCell ref="A31189:E31189"/>
    <s:mergeCell ref="B8517:E8517"/>
    <s:mergeCell ref="A18671:E18671"/>
    <s:mergeCell ref="A14889:E14889"/>
    <s:mergeCell ref="A24092:E24092"/>
    <s:mergeCell ref="A22007:E22007"/>
    <s:mergeCell ref="A23787:E23787"/>
    <s:mergeCell ref="A16886:E16886"/>
    <s:mergeCell ref="A22307:E22307"/>
    <s:mergeCell ref="B7945:E7945"/>
    <s:mergeCell ref="A12030:E12030"/>
    <s:mergeCell ref="A24087:E24087"/>
    <s:mergeCell ref="A11725:E11725"/>
    <s:mergeCell ref="A24304:E24304"/>
    <s:mergeCell ref="A14027:E14027"/>
    <s:mergeCell ref="A10245:E10245"/>
    <s:mergeCell ref="A22302:E22302"/>
    <s:mergeCell ref="A12025:E12025"/>
    <s:mergeCell ref="A4928:E4928"/>
    <s:mergeCell ref="A2843:E2843"/>
    <s:mergeCell ref="A14327:E14327"/>
    <s:mergeCell ref="A31217:E31217"/>
    <s:mergeCell ref="B15358:E15358"/>
    <s:mergeCell ref="A19443:E19443"/>
    <s:mergeCell ref="A4840:E4840"/>
    <s:mergeCell ref="A3143:E3143"/>
    <s:mergeCell ref="A4834:E4834"/>
    <s:mergeCell ref="A22335:E22335"/>
    <s:mergeCell ref="A19743:E19743"/>
    <s:mergeCell ref="A17658:E17658"/>
    <s:mergeCell ref="A5140:E5140"/>
    <s:mergeCell ref="A31233:E31233"/>
    <s:mergeCell ref="A29148:E29148"/>
    <s:mergeCell ref="A29448:E29448"/>
    <s:mergeCell ref="A31228:E31228"/>
    <s:mergeCell ref="A29143:E29143"/>
    <s:mergeCell ref="A29748:E29748"/>
    <s:mergeCell ref="A17386:E17386"/>
    <s:mergeCell ref="A4862:E4862"/>
    <s:mergeCell ref="B9018:E9018"/>
    <s:mergeCell ref="A24587:E24587"/>
    <s:mergeCell ref="A22502:E22502"/>
    <s:mergeCell ref="A12069:E12069"/>
    <s:mergeCell ref="A9984:E9984"/>
    <s:mergeCell ref="A24288:E24288"/>
    <s:mergeCell ref="A26584:E26584"/>
    <s:mergeCell ref="A24588:E24588"/>
    <s:mergeCell ref="A2793:E2793"/>
    <s:mergeCell ref="A17097:E17097"/>
    <s:mergeCell ref="B20714:E20714"/>
    <s:mergeCell ref="A24799:E24799"/>
    <s:mergeCell ref="A10584:E10584"/>
    <s:mergeCell ref="A8499:E8499"/>
    <s:mergeCell ref="A17702:E17702"/>
    <s:mergeCell ref="A3099:E3099"/>
    <s:mergeCell ref="A15611:E15611"/>
    <s:mergeCell ref="A3093:E3093"/>
    <s:mergeCell ref="A17397:E17397"/>
    <s:mergeCell ref="A1613:E1613"/>
    <s:mergeCell ref="A2788:E2788"/>
    <s:mergeCell ref="A1091:E1091"/>
    <s:mergeCell ref="A31701:E31701"/>
    <s:mergeCell ref="A15917:E15917"/>
    <s:mergeCell ref="A1308:E1308"/>
    <s:mergeCell ref="A17697:E17697"/>
    <s:mergeCell ref="A15612:E15612"/>
    <s:mergeCell ref="A3094:E3094"/>
    <s:mergeCell ref="A10206:E10206"/>
    <s:mergeCell ref="A6424:E6424"/>
    <s:mergeCell ref="A8210:E8210"/>
    <s:mergeCell ref="A15912:E15912"/>
    <s:mergeCell ref="B1550:E1550"/>
    <s:mergeCell ref="A25115:E25115"/>
    <s:mergeCell ref="A10506:E10506"/>
    <s:mergeCell ref="A8421:E8421"/>
    <s:mergeCell ref="A1324:E1324"/>
    <s:mergeCell ref="A8510:E8510"/>
    <s:mergeCell ref="A29943:E29943"/>
    <s:mergeCell ref="A1019:E1019"/>
    <s:mergeCell ref="A15945:E15945"/>
    <s:mergeCell ref="A15928:E15928"/>
    <s:mergeCell ref="A22541:E22541"/>
    <s:mergeCell ref="A1319:E1319"/>
    <s:mergeCell ref="A22758:E22758"/>
    <s:mergeCell ref="A24538:E24538"/>
    <s:mergeCell ref="B1866:E1866"/>
    <s:mergeCell ref="A20756:E20756"/>
    <s:mergeCell ref="A29959:E29959"/>
    <s:mergeCell ref="A23058:E23058"/>
    <s:mergeCell ref="A22753:E22753"/>
    <s:mergeCell ref="B7199:E7199"/>
    <s:mergeCell ref="A28174:E28174"/>
    <s:mergeCell ref="A15656:E15656"/>
    <s:mergeCell ref="A23358:E23358"/>
    <s:mergeCell ref="A1047:E1047"/>
    <s:mergeCell ref="A21256:E21256"/>
    <s:mergeCell ref="A29954:E29954"/>
    <s:mergeCell ref="A27869:E27869"/>
    <s:mergeCell ref="A30171:E30171"/>
    <s:mergeCell ref="A28474:E28474"/>
    <s:mergeCell ref="A15956:E15956"/>
    <s:mergeCell ref="A13871:E13871"/>
    <s:mergeCell ref="A1347:E1347"/>
    <s:mergeCell ref="A30260:E30260"/>
    <s:mergeCell ref="A20983:E20983"/>
    <s:mergeCell ref="B7194:E7194"/>
    <s:mergeCell ref="A28169:E28169"/>
    <s:mergeCell ref="A21072:E21072"/>
    <s:mergeCell ref="A30471:E30471"/>
    <s:mergeCell ref="A6463:E6463"/>
    <s:mergeCell ref="A4378:E4378"/>
    <s:mergeCell ref="A21289:E21289"/>
    <s:mergeCell ref="A21283:E21283"/>
    <s:mergeCell ref="A19198:E19198"/>
    <s:mergeCell ref="A23069:E23069"/>
    <s:mergeCell ref="A20984:E20984"/>
    <s:mergeCell ref="A30771:E30771"/>
    <s:mergeCell ref="A8460:E8460"/>
    <s:mergeCell ref="A13881:E13881"/>
    <s:mergeCell ref="A11796:E11796"/>
    <s:mergeCell ref="A21284:E21284"/>
    <s:mergeCell ref="B23311:E23311"/>
    <s:mergeCell ref="A12096:E12096"/>
    <s:mergeCell ref="B26647:E26647"/>
    <s:mergeCell ref="A11791:E11791"/>
    <s:mergeCell ref="A4694:E4694"/>
    <s:mergeCell ref="A2609:E2609"/>
    <s:mergeCell ref="A12396:E12396"/>
    <s:mergeCell ref="A14093:E14093"/>
    <s:mergeCell ref="B26947:E26947"/>
    <s:mergeCell ref="A4911:E4911"/>
    <s:mergeCell ref="A4905:E4905"/>
    <s:mergeCell ref="A27913:E27913"/>
    <s:mergeCell ref="A19209:E19209"/>
    <s:mergeCell ref="A2909:E2909"/>
    <s:mergeCell ref="A12308:E12308"/>
    <s:mergeCell ref="A5211:E5211"/>
    <s:mergeCell ref="A5205:E5205"/>
    <s:mergeCell ref="A19509:E19509"/>
    <s:mergeCell ref="A17424:E17424"/>
    <s:mergeCell ref="A26128:E26128"/>
    <s:mergeCell ref="A4906:E4906"/>
    <s:mergeCell ref="A3209:E3209"/>
    <s:mergeCell ref="A19210:E19210"/>
    <s:mergeCell ref="A26339:E26339"/>
    <s:mergeCell ref="A26428:E26428"/>
    <s:mergeCell ref="A5206:E5206"/>
    <s:mergeCell ref="A26728:E26728"/>
    <s:mergeCell ref="A45:E45"/>
    <s:mergeCell ref="A19243:E19243"/>
    <s:mergeCell ref="A19237:E19237"/>
    <s:mergeCell ref="B10869:E10869"/>
    <s:mergeCell ref="A345:E345"/>
    <s:mergeCell ref="A9750:E9750"/>
    <s:mergeCell ref="A19537:E19537"/>
    <s:mergeCell ref="A46:E46"/>
    <s:mergeCell ref="B11169:E11169"/>
    <s:mergeCell ref="A31756:E31756"/>
    <s:mergeCell ref="A24659:E24659"/>
    <s:mergeCell ref="A24653:E24653"/>
    <s:mergeCell ref="A22568:E22568"/>
    <s:mergeCell ref="A10050:E10050"/>
    <s:mergeCell ref="A24354:E24354"/>
    <s:mergeCell ref="A24870:E24870"/>
    <s:mergeCell ref="A24565:E24565"/>
    <s:mergeCell ref="A10350:E10350"/>
    <s:mergeCell ref="A29986:E29986"/>
    <s:mergeCell ref="A25170:E25170"/>
    <s:mergeCell ref="A7191:E7191"/>
    <s:mergeCell ref="A19248:E19248"/>
    <s:mergeCell ref="A24865:E24865"/>
    <s:mergeCell ref="A31467:E31467"/>
    <s:mergeCell ref="A30286:E30286"/>
    <s:mergeCell ref="A17768:E17768"/>
    <s:mergeCell ref="A5406:E5406"/>
    <s:mergeCell ref="B17710:E17710"/>
    <s:mergeCell ref="B18315:E18315"/>
    <s:mergeCell ref="A5706:E5706"/>
    <s:mergeCell ref="A5401:E5401"/>
    <s:mergeCell ref="A14604:E14604"/>
    <s:mergeCell ref="A6006:E6006"/>
    <s:mergeCell ref="B18310:E18310"/>
    <s:mergeCell ref="A12819:E12819"/>
    <s:mergeCell ref="A301:E301"/>
    <s:mergeCell ref="A27123:E27123"/>
    <s:mergeCell ref="A30015:E30015"/>
    <s:mergeCell ref="A13119:E13119"/>
    <s:mergeCell ref="A601:E601"/>
    <s:mergeCell ref="A5717:E5717"/>
    <s:mergeCell ref="A3632:E3632"/>
    <s:mergeCell ref="A13419:E13419"/>
    <s:mergeCell ref="A12547:E12547"/>
    <s:mergeCell ref="A24604:E24604"/>
    <s:mergeCell ref="A3932:E3932"/>
    <s:mergeCell ref="A5145:E5145"/>
    <s:mergeCell ref="A12847:E12847"/>
    <s:mergeCell ref="A12542:E12542"/>
    <s:mergeCell ref="A17963:E17963"/>
    <s:mergeCell ref="A5445:E5445"/>
    <s:mergeCell ref="A13147:E13147"/>
    <s:mergeCell ref="A19749:E19749"/>
    <s:mergeCell ref="A18269:E18269"/>
    <s:mergeCell ref="A19960:E19960"/>
    <s:mergeCell ref="A18263:E18263"/>
    <s:mergeCell ref="A5745:E5745"/>
    <s:mergeCell ref="A20049:E20049"/>
    <s:mergeCell ref="A17964:E17964"/>
    <s:mergeCell ref="A17958:E17958"/>
    <s:mergeCell ref="A12558:E12558"/>
    <s:mergeCell ref="A10861:E10861"/>
    <s:mergeCell ref="A8776:E8776"/>
    <s:mergeCell ref="A20260:E20260"/>
    <s:mergeCell ref="A3960:E3960"/>
    <s:mergeCell ref="A11078:E11078"/>
    <s:mergeCell ref="A18264:E18264"/>
    <s:mergeCell ref="A25382:E25382"/>
    <s:mergeCell ref="A25376:E25376"/>
    <s:mergeCell ref="A12858:E12858"/>
    <s:mergeCell ref="A10773:E10773"/>
    <s:mergeCell ref="A9076:E9076"/>
    <s:mergeCell ref="A11378:E11378"/>
    <s:mergeCell ref="A9293:E9293"/>
    <s:mergeCell ref="A11073:E11073"/>
    <s:mergeCell ref="A9376:E9376"/>
    <s:mergeCell ref="A16494:E16494"/>
    <s:mergeCell ref="A3976:E3976"/>
    <s:mergeCell ref="A1891:E1891"/>
    <s:mergeCell ref="A1885:E1885"/>
    <s:mergeCell ref="A17886:E17886"/>
    <s:mergeCell ref="A11373:E11373"/>
    <s:mergeCell ref="A27195:E27195"/>
    <s:mergeCell ref="A14709:E14709"/>
    <s:mergeCell ref="B16736:E16736"/>
    <s:mergeCell ref="A3971:E3971"/>
    <s:mergeCell ref="A1886:E1886"/>
    <s:mergeCell ref="B19038:E19038"/>
    <s:mergeCell ref="A9004:E9004"/>
    <s:mergeCell ref="A18791:E18791"/>
    <s:mergeCell ref="A25410:E25410"/>
    <s:mergeCell ref="A25404:E25404"/>
    <s:mergeCell ref="A9304:E9304"/>
    <s:mergeCell ref="A25710:E25710"/>
    <s:mergeCell ref="A9298:E9298"/>
    <s:mergeCell ref="A7213:E7213"/>
    <s:mergeCell ref="A116:E116"/>
    <s:mergeCell ref="A30826:E30826"/>
    <s:mergeCell ref="A16217:E16217"/>
    <s:mergeCell ref="A29041:E29041"/>
    <s:mergeCell ref="A117:E117"/>
    <s:mergeCell ref="A111:E111"/>
    <s:mergeCell ref="A23635:E23635"/>
    <s:mergeCell ref="A21550:E21550"/>
    <s:mergeCell ref="B2355:E2355"/>
    <s:mergeCell ref="B658:E658"/>
    <s:mergeCell ref="A21850:E21850"/>
    <s:mergeCell ref="A9332:E9332"/>
    <s:mergeCell ref="A23636:E23636"/>
    <s:mergeCell ref="A23630:E23630"/>
    <s:mergeCell ref="A21545:E21545"/>
    <s:mergeCell ref="A30748:E30748"/>
    <s:mergeCell ref="A16145:E16145"/>
    <s:mergeCell ref="A14448:E14448"/>
    <s:mergeCell ref="B22397:E22397"/>
    <s:mergeCell ref="B659:E659"/>
    <s:mergeCell ref="A7530:E7530"/>
    <s:mergeCell ref="A31048:E31048"/>
    <s:mergeCell ref="A28963:E28963"/>
    <s:mergeCell ref="A16445:E16445"/>
    <s:mergeCell ref="A14748:E14748"/>
    <s:mergeCell ref="A12663:E12663"/>
    <s:mergeCell ref="A139:E139"/>
    <s:mergeCell ref="B5986:E5986"/>
    <s:mergeCell ref="A7257:E7257"/>
    <s:mergeCell ref="A21561:E21561"/>
    <s:mergeCell ref="B15295:E15295"/>
    <s:mergeCell ref="A29263:E29263"/>
    <s:mergeCell ref="B29599:E29599"/>
    <s:mergeCell ref="A22166:E22166"/>
    <s:mergeCell ref="A7563:E7563"/>
    <s:mergeCell ref="A20075:E20075"/>
    <s:mergeCell ref="A7557:E7557"/>
    <s:mergeCell ref="A5472:E5472"/>
    <s:mergeCell ref="A21861:E21861"/>
    <s:mergeCell ref="A19776:E19776"/>
    <s:mergeCell ref="A29563:E29563"/>
    <s:mergeCell ref="A7258:E7258"/>
    <s:mergeCell ref="A5561:E5561"/>
    <s:mergeCell ref="A7252:E7252"/>
    <s:mergeCell ref="A5167:E5167"/>
    <s:mergeCell ref="A30776:E30776"/>
    <s:mergeCell ref="A28691:E28691"/>
    <s:mergeCell ref="A5772:E5772"/>
    <s:mergeCell ref="A20076:E20076"/>
    <s:mergeCell ref="A7558:E7558"/>
    <s:mergeCell ref="A14670:E14670"/>
    <s:mergeCell ref="A12585:E12585"/>
    <s:mergeCell ref="A28991:E28991"/>
    <s:mergeCell ref="A28974:E28974"/>
    <s:mergeCell ref="B13132:E13132"/>
    <s:mergeCell ref="A21589:E21589"/>
    <s:mergeCell ref="A12885:E12885"/>
    <s:mergeCell ref="A367:E367"/>
    <s:mergeCell ref="A27189:E27189"/>
    <s:mergeCell ref="B15523:E15523"/>
    <s:mergeCell ref="A13185:E13185"/>
    <s:mergeCell ref="A19804:E19804"/>
    <s:mergeCell ref="A20392:E20392"/>
    <s:mergeCell ref="A27005:E27005"/>
    <s:mergeCell ref="A27222:E27222"/>
    <s:mergeCell ref="A29002:E29002"/>
    <s:mergeCell ref="B6330:E6330"/>
    <s:mergeCell ref="A26917:E26917"/>
    <s:mergeCell ref="A8330:E8330"/>
    <s:mergeCell ref="A27522:E27522"/>
    <s:mergeCell ref="A12913:E12913"/>
    <s:mergeCell ref="A19515:E19515"/>
    <s:mergeCell ref="A27217:E27217"/>
    <s:mergeCell ref="A20120:E20120"/>
    <s:mergeCell ref="A5517:E5517"/>
    <s:mergeCell ref="A5511:E5511"/>
    <s:mergeCell ref="A27517:E27517"/>
    <s:mergeCell ref="A18335:E18335"/>
    <s:mergeCell ref="A20026:E20026"/>
    <s:mergeCell ref="A18030:E18030"/>
    <s:mergeCell ref="A567:E567"/>
    <s:mergeCell ref="A867:E867"/>
    <s:mergeCell ref="A25448:E25448"/>
    <s:mergeCell ref="A15171:E15171"/>
    <s:mergeCell ref="A562:E562"/>
    <s:mergeCell ref="B11691:E11691"/>
    <s:mergeCell ref="A1167:E1167"/>
    <s:mergeCell ref="A25748:E25748"/>
    <s:mergeCell ref="A2953:E2953"/>
    <s:mergeCell ref="A868:E868"/>
    <s:mergeCell ref="B18504:E18504"/>
    <s:mergeCell ref="A862:E862"/>
    <s:mergeCell ref="B25690:E25690"/>
    <s:mergeCell ref="A6283:E6283"/>
    <s:mergeCell ref="A4198:E4198"/>
    <s:mergeCell ref="A22284:E22284"/>
    <s:mergeCell ref="A5984:E5984"/>
    <s:mergeCell ref="A27261:E27261"/>
    <s:mergeCell ref="A25176:E25176"/>
    <s:mergeCell ref="B16808:E16808"/>
    <s:mergeCell ref="A22584:E22584"/>
    <s:mergeCell ref="A6284:E6284"/>
    <s:mergeCell ref="A6278:E6278"/>
    <s:mergeCell ref="A25476:E25476"/>
    <s:mergeCell ref="A6495:E6495"/>
    <s:mergeCell ref="A20799:E20799"/>
    <s:mergeCell ref="A30592:E30592"/>
    <s:mergeCell ref="A13702:E13702"/>
    <s:mergeCell ref="A25776:E25776"/>
    <s:mergeCell ref="B11397:E11397"/>
    <s:mergeCell ref="A13397:E13397"/>
    <s:mergeCell ref="B26217:E26217"/>
    <s:mergeCell ref="A30892:E30892"/>
    <s:mergeCell ref="A18530:E18530"/>
    <s:mergeCell ref="A13697:E13697"/>
    <s:mergeCell ref="A20832:E20832"/>
    <s:mergeCell ref="A6206:E6206"/>
    <s:mergeCell ref="A21132:E21132"/>
    <s:mergeCell ref="A27728:E27728"/>
    <s:mergeCell ref="A31104:E31104"/>
    <s:mergeCell ref="A13125:E13125"/>
    <s:mergeCell ref="A20827:E20827"/>
    <s:mergeCell ref="A30030:E30030"/>
    <s:mergeCell ref="A26248:E26248"/>
    <s:mergeCell ref="A13730:E13730"/>
    <s:mergeCell ref="A28034:E28034"/>
    <s:mergeCell ref="A25943:E25943"/>
    <s:mergeCell ref="A13425:E13425"/>
    <s:mergeCell ref="A27729:E27729"/>
    <s:mergeCell ref="A26548:E26548"/>
    <s:mergeCell ref="A28245:E28245"/>
    <s:mergeCell ref="A4237:E4237"/>
    <s:mergeCell ref="A26243:E26243"/>
    <s:mergeCell ref="A13725:E13725"/>
    <s:mergeCell ref="A11640:E11640"/>
    <s:mergeCell ref="A20843:E20843"/>
    <s:mergeCell ref="A18752:E18752"/>
    <s:mergeCell ref="A6234:E6234"/>
    <s:mergeCell ref="A2452:E2452"/>
    <s:mergeCell ref="A21143:E21143"/>
    <s:mergeCell ref="A6534:E6534"/>
    <s:mergeCell ref="A9870:E9870"/>
    <s:mergeCell ref="A26259:E26259"/>
    <s:mergeCell ref="A11650:E11650"/>
    <s:mergeCell ref="A9565:E9565"/>
    <s:mergeCell ref="A4749:E4749"/>
    <s:mergeCell ref="A11351:E11351"/>
    <s:mergeCell ref="A10170:E10170"/>
    <s:mergeCell ref="A26171:E26171"/>
    <s:mergeCell ref="A2163:E2163"/>
    <s:mergeCell ref="A9865:E9865"/>
    <s:mergeCell ref="A2768:E2768"/>
    <s:mergeCell ref="A26471:E26471"/>
    <s:mergeCell ref="A2463:E2463"/>
    <s:mergeCell ref="A4765:E4765"/>
    <s:mergeCell ref="A2680:E2680"/>
    <s:mergeCell ref="A983:E983"/>
    <s:mergeCell ref="A2674:E2674"/>
    <s:mergeCell ref="A2763:E2763"/>
    <s:mergeCell ref="A9881:E9881"/>
    <s:mergeCell ref="A7796:E7796"/>
    <s:mergeCell ref="A24202:E24202"/>
    <s:mergeCell ref="A2980:E2980"/>
    <s:mergeCell ref="B5007:E5007"/>
    <s:mergeCell ref="A8096:E8096"/>
    <s:mergeCell ref="A24502:E24502"/>
    <s:mergeCell ref="A26193:E26193"/>
    <s:mergeCell ref="A17011:E17011"/>
    <s:mergeCell ref="A31315:E31315"/>
    <s:mergeCell ref="A18797:E18797"/>
    <s:mergeCell ref="A10093:E10093"/>
    <s:mergeCell ref="A8396:E8396"/>
    <s:mergeCell ref="A31010:E31010"/>
    <s:mergeCell ref="A17311:E17311"/>
    <s:mergeCell ref="A31615:E31615"/>
    <s:mergeCell ref="A19097:E19097"/>
    <s:mergeCell ref="A17006:E17006"/>
    <s:mergeCell ref="A22427:E22427"/>
    <s:mergeCell ref="A7824:E7824"/>
    <s:mergeCell ref="A24213:E24213"/>
    <s:mergeCell ref="B17553:E17553"/>
    <s:mergeCell ref="A24430:E24430"/>
    <s:mergeCell ref="A24424:E24424"/>
    <s:mergeCell ref="A8124:E8124"/>
    <s:mergeCell ref="A22428:E22428"/>
    <s:mergeCell ref="A29546:E29546"/>
    <s:mergeCell ref="A14937:E14937"/>
    <s:mergeCell ref="A22639:E22639"/>
    <s:mergeCell ref="A722:E722"/>
    <s:mergeCell ref="A8424:E8424"/>
    <s:mergeCell ref="A22728:E22728"/>
    <s:mergeCell ref="A933:E933"/>
    <s:mergeCell ref="A27755:E27755"/>
    <s:mergeCell ref="A15237:E15237"/>
    <s:mergeCell ref="A2719:E2719"/>
    <s:mergeCell ref="A29541:E29541"/>
    <s:mergeCell ref="A15842:E15842"/>
    <s:mergeCell ref="A13757:E13757"/>
    <s:mergeCell ref="B1480:E1480"/>
    <s:mergeCell ref="A1233:E1233"/>
    <s:mergeCell ref="A13452:E13452"/>
    <s:mergeCell ref="A3019:E3019"/>
    <s:mergeCell ref="A934:E934"/>
    <s:mergeCell ref="A15238:E15238"/>
    <s:mergeCell ref="A6349:E6349"/>
    <s:mergeCell ref="A22350:E22350"/>
    <s:mergeCell ref="A8135:E8135"/>
    <s:mergeCell ref="A6050:E6050"/>
    <s:mergeCell ref="A8352:E8352"/>
    <s:mergeCell ref="A8346:E8346"/>
    <s:mergeCell ref="A14965:E14965"/>
    <s:mergeCell ref="B30599:E30599"/>
    <s:mergeCell ref="B8682:E8682"/>
    <s:mergeCell ref="A6350:E6350"/>
    <s:mergeCell ref="A29874:E29874"/>
    <s:mergeCell ref="A3191:E3191"/>
    <s:mergeCell ref="B6808:E6808"/>
    <s:mergeCell ref="A15265:E15265"/>
    <s:mergeCell ref="B21717:E21717"/>
    <s:mergeCell ref="A20381:E20381"/>
    <s:mergeCell ref="A3491:E3491"/>
    <s:mergeCell ref="A15565:E15565"/>
    <s:mergeCell ref="B8894:E8894"/>
    <s:mergeCell ref="B7197:E7197"/>
    <s:mergeCell ref="A3186:E3186"/>
    <s:mergeCell ref="B13921:E13921"/>
    <s:mergeCell ref="A22378:E22378"/>
    <s:mergeCell ref="A20681:E20681"/>
    <s:mergeCell ref="A1706:E1706"/>
    <s:mergeCell ref="A20898:E20898"/>
    <s:mergeCell ref="A22678:E22678"/>
    <s:mergeCell ref="A20593:E20593"/>
    <s:mergeCell ref="A26014:E26014"/>
    <s:mergeCell ref="A27800:E27800"/>
    <s:mergeCell ref="B6819:E6819"/>
    <s:mergeCell ref="A25709:E25709"/>
    <s:mergeCell ref="A27794:E27794"/>
    <s:mergeCell ref="A13191:E13191"/>
    <s:mergeCell ref="A30096:E30096"/>
    <s:mergeCell ref="A26314:E26314"/>
    <s:mergeCell ref="A11711:E11711"/>
    <s:mergeCell ref="A28100:E28100"/>
    <s:mergeCell ref="A18912:E18912"/>
    <s:mergeCell ref="A28311:E28311"/>
    <s:mergeCell ref="A6394:E6394"/>
    <s:mergeCell ref="A10332:E10332"/>
    <s:mergeCell ref="A21214:E21214"/>
    <s:mergeCell ref="A1717:E1717"/>
    <s:mergeCell ref="A20909:E20909"/>
    <s:mergeCell ref="A23150:E23150"/>
    <s:mergeCell ref="A28611:E28611"/>
    <s:mergeCell ref="A6850:E6850"/>
    <s:mergeCell ref="B28553:E28553"/>
    <s:mergeCell ref="A2017:E2017"/>
    <s:mergeCell ref="A9152:E9152"/>
    <s:mergeCell ref="A8630:E8630"/>
    <s:mergeCell ref="A8847:E8847"/>
    <s:mergeCell ref="B21151:E21151"/>
    <s:mergeCell ref="A13963:E13963"/>
    <s:mergeCell ref="A1445:E1445"/>
    <s:mergeCell ref="A9147:E9147"/>
    <s:mergeCell ref="A1140:E1140"/>
    <s:mergeCell ref="A15960:E15960"/>
    <s:mergeCell ref="A14263:E14263"/>
    <s:mergeCell ref="A16049:E16049"/>
    <s:mergeCell ref="A14563:E14563"/>
    <s:mergeCell ref="A26053:E26053"/>
    <s:mergeCell ref="A7078:E7078"/>
    <s:mergeCell ref="A8858:E8858"/>
    <s:mergeCell ref="A7073:E7073"/>
    <s:mergeCell ref="A8586:E8586"/>
    <s:mergeCell ref="A19624:E19624"/>
    <s:mergeCell ref="A7100:E7100"/>
    <s:mergeCell ref="A23495:E23495"/>
    <s:mergeCell ref="A21410:E21410"/>
    <s:mergeCell ref="A21404:E21404"/>
    <s:mergeCell ref="A6801:E6801"/>
    <s:mergeCell ref="A23190:E23190"/>
    <s:mergeCell ref="A5304:E5304"/>
    <s:mergeCell ref="A14002:E14002"/>
    <s:mergeCell ref="A11917:E11917"/>
    <s:mergeCell ref="A7101:E7101"/>
    <s:mergeCell ref="A28822:E28822"/>
    <s:mergeCell ref="A14219:E14219"/>
    <s:mergeCell ref="A12522:E12522"/>
    <s:mergeCell ref="A21405:E21405"/>
    <s:mergeCell ref="A28523:E28523"/>
    <s:mergeCell ref="A28517:E28517"/>
    <s:mergeCell ref="A15999:E15999"/>
    <s:mergeCell ref="A13914:E13914"/>
    <s:mergeCell ref="A12217:E12217"/>
    <s:mergeCell ref="A19335:E19335"/>
    <s:mergeCell ref="A14519:E14519"/>
    <s:mergeCell ref="A28823:E28823"/>
    <s:mergeCell ref="A5331:E5331"/>
    <s:mergeCell ref="A3246:E3246"/>
    <s:mergeCell ref="A12517:E12517"/>
    <s:mergeCell ref="A19635:E19635"/>
    <s:mergeCell ref="A5032:E5032"/>
    <s:mergeCell ref="A5026:E5026"/>
    <s:mergeCell ref="A19330:E19330"/>
    <s:mergeCell ref="A10148:E10148"/>
    <s:mergeCell ref="A19935:E19935"/>
    <s:mergeCell ref="A17850:E17850"/>
    <s:mergeCell ref="A21632:E21632"/>
    <s:mergeCell ref="A5332:E5332"/>
    <s:mergeCell ref="A5326:E5326"/>
    <s:mergeCell ref="A26765:E26765"/>
    <s:mergeCell ref="A26748:E26748"/>
    <s:mergeCell ref="A19847:E19847"/>
    <s:mergeCell ref="A18150:E18150"/>
    <s:mergeCell ref="A28545:E28545"/>
    <s:mergeCell ref="B5873:E5873"/>
    <s:mergeCell ref="A12750:E12750"/>
    <s:mergeCell ref="A27048:E27048"/>
    <s:mergeCell ref="A24963:E24963"/>
    <s:mergeCell ref="A12445:E12445"/>
    <s:mergeCell ref="A10748:E10748"/>
    <s:mergeCell ref="A3257:E3257"/>
    <s:mergeCell ref="A19663:E19663"/>
    <s:mergeCell ref="A17578:E17578"/>
    <s:mergeCell ref="B27595:E27595"/>
    <s:mergeCell ref="A25263:E25263"/>
    <s:mergeCell ref="A12745:E12745"/>
    <s:mergeCell ref="A3557:E3557"/>
    <s:mergeCell ref="A1472:E1472"/>
    <s:mergeCell ref="A26776:E26776"/>
    <s:mergeCell ref="A22994:E22994"/>
    <s:mergeCell ref="A1772:E1772"/>
    <s:mergeCell ref="A25296:E25296"/>
    <s:mergeCell ref="B3799:E3799"/>
    <s:mergeCell ref="A17289:E17289"/>
    <s:mergeCell ref="A24991:E24991"/>
    <s:mergeCell ref="A12467:E12467"/>
    <s:mergeCell ref="A26777:E26777"/>
    <s:mergeCell ref="A15803:E15803"/>
    <s:mergeCell ref="A3285:E3285"/>
    <s:mergeCell ref="A17589:E17589"/>
    <s:mergeCell ref="A25291:E25291"/>
    <s:mergeCell ref="A18194:E18194"/>
    <s:mergeCell ref="A3585:E3585"/>
    <s:mergeCell ref="A1500:E1500"/>
    <s:mergeCell ref="A17889:E17889"/>
    <s:mergeCell ref="A15804:E15804"/>
    <s:mergeCell ref="A1195:E1195"/>
    <s:mergeCell ref="A8701:E8701"/>
    <s:mergeCell ref="A6616:E6616"/>
    <s:mergeCell ref="A18100:E18100"/>
    <s:mergeCell ref="B18436:E18436"/>
    <s:mergeCell ref="A8918:E8918"/>
    <s:mergeCell ref="A16104:E16104"/>
    <s:mergeCell ref="A25307:E25307"/>
    <s:mergeCell ref="A23222:E23222"/>
    <s:mergeCell ref="A23216:E23216"/>
    <s:mergeCell ref="B544:E544"/>
    <s:mergeCell ref="A8613:E8613"/>
    <s:mergeCell ref="A25002:E25002"/>
    <s:mergeCell ref="A10399:E10399"/>
    <s:mergeCell ref="A9218:E9218"/>
    <s:mergeCell ref="A23522:E23522"/>
    <s:mergeCell ref="A30135:E30135"/>
    <s:mergeCell ref="A8913:E8913"/>
    <s:mergeCell ref="B10946:E10946"/>
    <s:mergeCell ref="A23217:E23217"/>
    <s:mergeCell ref="A16120:E16120"/>
    <s:mergeCell ref="A14029:E14029"/>
    <s:mergeCell ref="A1511:E1511"/>
    <s:mergeCell ref="A15815:E15815"/>
    <s:mergeCell ref="A30635:E30635"/>
    <s:mergeCell ref="B2058:E2058"/>
    <s:mergeCell ref="A14329:E14329"/>
    <s:mergeCell ref="A16115:E16115"/>
    <s:mergeCell ref="A14030:E14030"/>
    <s:mergeCell ref="A30935:E30935"/>
    <s:mergeCell ref="B2358:E2358"/>
    <s:mergeCell ref="B21994:E21994"/>
    <s:mergeCell ref="A26:E26"/>
    <s:mergeCell ref="A23550:E23550"/>
    <s:mergeCell ref="A21448:E21448"/>
    <s:mergeCell ref="A30662:E30662"/>
    <s:mergeCell ref="A28061:E28061"/>
    <s:mergeCell ref="A11171:E11171"/>
    <s:mergeCell ref="A30363:E30363"/>
    <s:mergeCell ref="B19904:E19904"/>
    <s:mergeCell ref="A28966:E28966"/>
    <s:mergeCell ref="A21475:E21475"/>
    <s:mergeCell ref="A30963:E30963"/>
    <s:mergeCell ref="A28878:E28878"/>
    <s:mergeCell ref="A8652:E8652"/>
    <s:mergeCell ref="B284:E284"/>
    <s:mergeCell ref="A21476:E21476"/>
    <s:mergeCell ref="A21470:E21470"/>
    <s:mergeCell ref="A28594:E28594"/>
    <s:mergeCell ref="A6867:E6867"/>
    <s:mergeCell ref="A28894:E28894"/>
    <s:mergeCell ref="A28888:E28888"/>
    <s:mergeCell ref="A2311:E2311"/>
    <s:mergeCell ref="A28589:E28589"/>
    <s:mergeCell ref="A2012:E2012"/>
    <s:mergeCell ref="A2006:E2006"/>
    <s:mergeCell ref="A16832:E16832"/>
    <s:mergeCell ref="A16826:E16826"/>
    <s:mergeCell ref="B27439:E27439"/>
    <s:mergeCell ref="A28889:E28889"/>
    <s:mergeCell ref="A2312:E2312"/>
    <s:mergeCell ref="A24033:E24033"/>
    <s:mergeCell ref="A2306:E2306"/>
    <s:mergeCell ref="A21948:E21948"/>
    <s:mergeCell ref="A9430:E9430"/>
    <s:mergeCell ref="A9424:E9424"/>
    <s:mergeCell ref="A16827:E16827"/>
    <s:mergeCell ref="A22248:E22248"/>
    <s:mergeCell ref="A11421:E11421"/>
    <s:mergeCell ref="A7639:E7639"/>
    <s:mergeCell ref="A9425:E9425"/>
    <s:mergeCell ref="A237:E237"/>
    <s:mergeCell ref="A2539:E2539"/>
    <s:mergeCell ref="A16837:E16837"/>
    <s:mergeCell ref="A14752:E14752"/>
    <s:mergeCell ref="A2234:E2234"/>
    <s:mergeCell ref="A537:E537"/>
    <s:mergeCell ref="A2839:E2839"/>
    <s:mergeCell ref="A238:E238"/>
    <s:mergeCell ref="A754:E754"/>
    <s:mergeCell ref="A9452:E9452"/>
    <s:mergeCell ref="B25576:E25576"/>
    <s:mergeCell ref="B15299:E15299"/>
    <s:mergeCell ref="A7350:E7350"/>
    <s:mergeCell ref="B27362:E27362"/>
    <s:mergeCell ref="A30874:E30874"/>
    <s:mergeCell ref="A23967:E23967"/>
    <s:mergeCell ref="A7650:E7650"/>
    <s:mergeCell ref="A21971:E21971"/>
    <s:mergeCell ref="A31174:E31174"/>
    <s:mergeCell ref="A29089:E29089"/>
    <s:mergeCell ref="A16571:E16571"/>
    <s:mergeCell ref="A15085:E15085"/>
    <s:mergeCell ref="A29389:E29389"/>
    <s:mergeCell ref="A16871:E16871"/>
    <s:mergeCell ref="A31169:E31169"/>
    <s:mergeCell ref="A29084:E29084"/>
    <s:mergeCell ref="A21987:E21987"/>
    <s:mergeCell ref="A29689:E29689"/>
    <s:mergeCell ref="A7378:E7378"/>
    <s:mergeCell ref="A21682:E21682"/>
    <s:mergeCell ref="A20501:E20501"/>
    <s:mergeCell ref="A5898:E5898"/>
    <s:mergeCell ref="A22287:E22287"/>
    <s:mergeCell ref="A20202:E20202"/>
    <s:mergeCell ref="A7684:E7684"/>
    <s:mergeCell ref="A7678:E7678"/>
    <s:mergeCell ref="A5593:E5593"/>
    <s:mergeCell ref="A14796:E14796"/>
    <s:mergeCell ref="A21982:E21982"/>
    <s:mergeCell ref="A22498:E22498"/>
    <s:mergeCell ref="A6198:E6198"/>
    <s:mergeCell ref="A12800:E12800"/>
    <s:mergeCell ref="A22199:E22199"/>
    <s:mergeCell ref="A20502:E20502"/>
    <s:mergeCell ref="A24284:E24284"/>
    <s:mergeCell ref="A27620:E27620"/>
    <s:mergeCell ref="A15096:E15096"/>
    <s:mergeCell ref="A20197:E20197"/>
    <s:mergeCell ref="A29400:E29400"/>
    <s:mergeCell ref="A27315:E27315"/>
    <s:mergeCell ref="A13100:E13100"/>
    <s:mergeCell ref="A12706:E12706"/>
    <s:mergeCell ref="A188:E188"/>
    <s:mergeCell ref="B13558:E13558"/>
    <s:mergeCell ref="A5609:E5609"/>
    <s:mergeCell ref="A15097:E15097"/>
    <s:mergeCell ref="B13253:E13253"/>
    <s:mergeCell ref="A4123:E4123"/>
    <s:mergeCell ref="A20124:E20124"/>
    <s:mergeCell ref="A5909:E5909"/>
    <s:mergeCell ref="A3824:E3824"/>
    <s:mergeCell ref="A13611:E13611"/>
    <s:mergeCell ref="A27915:E27915"/>
    <s:mergeCell ref="A5604:E5604"/>
    <s:mergeCell ref="A29128:E29128"/>
    <s:mergeCell ref="A20424:E20424"/>
    <s:mergeCell ref="A4124:E4124"/>
    <s:mergeCell ref="B6151:E6151"/>
    <s:mergeCell ref="A27642:E27642"/>
    <s:mergeCell ref="B13853:E13853"/>
    <s:mergeCell ref="A3819:E3819"/>
    <s:mergeCell ref="A29428:E29428"/>
    <s:mergeCell ref="A27343:E27343"/>
    <s:mergeCell ref="A18639:E18639"/>
    <s:mergeCell ref="A6121:E6121"/>
    <s:mergeCell ref="A27643:E27643"/>
    <s:mergeCell ref="A18455:E18455"/>
    <s:mergeCell ref="A20452:E20452"/>
    <s:mergeCell ref="A13050:E13050"/>
    <s:mergeCell ref="A10965:E10965"/>
    <s:mergeCell ref="A9268:E9268"/>
    <s:mergeCell ref="A20752:E20752"/>
    <s:mergeCell ref="A25874:E25874"/>
    <s:mergeCell ref="A27565:E27565"/>
    <s:mergeCell ref="A25868:E25868"/>
    <s:mergeCell ref="A11265:E11265"/>
    <s:mergeCell ref="A9568:E9568"/>
    <s:mergeCell ref="A27654:E27654"/>
    <s:mergeCell ref="A2077:E2077"/>
    <s:mergeCell ref="A16381:E16381"/>
    <s:mergeCell ref="A11565:E11565"/>
    <s:mergeCell ref="A18683:E18683"/>
    <s:mergeCell ref="A25869:E25869"/>
    <s:mergeCell ref="A2377:E2377"/>
    <s:mergeCell ref="A30896:E30896"/>
    <s:mergeCell ref="A20463:E20463"/>
    <s:mergeCell ref="A16681:E16681"/>
    <s:mergeCell ref="B12112:E12112"/>
    <s:mergeCell ref="A23799:E23799"/>
    <s:mergeCell ref="A2072:E2072"/>
    <s:mergeCell ref="A18983:E18983"/>
    <s:mergeCell ref="A16898:E16898"/>
    <s:mergeCell ref="A25596:E25596"/>
    <s:mergeCell ref="B17228:E17228"/>
    <s:mergeCell ref="A31196:E31196"/>
    <s:mergeCell ref="A24099:E24099"/>
    <s:mergeCell ref="A22014:E22014"/>
    <s:mergeCell ref="A9496:E9496"/>
    <s:mergeCell ref="A9490:E9490"/>
    <s:mergeCell ref="A9191:E9191"/>
    <s:mergeCell ref="A22314:E22314"/>
    <s:mergeCell ref="B7952:E7952"/>
    <s:mergeCell ref="B11823:E11823"/>
    <s:mergeCell ref="A9491:E9491"/>
    <s:mergeCell ref="A24311:E24311"/>
    <s:mergeCell ref="B15370:E15370"/>
    <s:mergeCell ref="A31230:E31230"/>
    <s:mergeCell ref="A17209:E17209"/>
    <s:mergeCell ref="B15365:E15365"/>
    <s:mergeCell ref="A6932:E6932"/>
    <s:mergeCell ref="A4847:E4847"/>
    <s:mergeCell ref="A21737:E21737"/>
    <s:mergeCell ref="A31240:E31240"/>
    <s:mergeCell ref="A29155:E29155"/>
    <s:mergeCell ref="A16637:E16637"/>
    <s:mergeCell ref="A21753:E21753"/>
    <s:mergeCell ref="B10565:E10565"/>
    <s:mergeCell ref="A29455:E29455"/>
    <s:mergeCell ref="A16937:E16937"/>
    <s:mergeCell ref="B31488:E31488"/>
    <s:mergeCell ref="A31241:E31241"/>
    <s:mergeCell ref="A22053:E22053"/>
    <s:mergeCell ref="A29755:E29755"/>
    <s:mergeCell ref="A11776:E11776"/>
    <s:mergeCell ref="A24050:E24050"/>
    <s:mergeCell ref="A13773:E13773"/>
    <s:mergeCell ref="A9991:E9991"/>
    <s:mergeCell ref="A29183:E29183"/>
    <s:mergeCell ref="A9686:E9686"/>
    <s:mergeCell ref="A24350:E24350"/>
    <s:mergeCell ref="A24506:E24506"/>
    <s:mergeCell ref="A2589:E2589"/>
    <s:mergeCell ref="A11988:E11988"/>
    <s:mergeCell ref="A14073:E14073"/>
    <s:mergeCell ref="A17409:E17409"/>
    <s:mergeCell ref="A2800:E2800"/>
    <s:mergeCell ref="A19189:E19189"/>
    <s:mergeCell ref="A17104:E17104"/>
    <s:mergeCell ref="A2889:E2889"/>
    <s:mergeCell ref="A804:E804"/>
    <s:mergeCell ref="A15624:E15624"/>
    <s:mergeCell ref="A5191:E5191"/>
    <s:mergeCell ref="A3106:E3106"/>
    <s:mergeCell ref="A3100:E3100"/>
    <s:mergeCell ref="B13319:E13319"/>
    <s:mergeCell ref="A17404:E17404"/>
    <s:mergeCell ref="A4886:E4886"/>
    <s:mergeCell ref="B28139:E28139"/>
    <s:mergeCell ref="A10307:E10307"/>
    <s:mergeCell ref="A8222:E8222"/>
    <s:mergeCell ref="A10002:E10002"/>
    <s:mergeCell ref="A17704:E17704"/>
    <s:mergeCell ref="A3101:E3101"/>
    <s:mergeCell ref="A29194:E29194"/>
    <s:mergeCell ref="A10219:E10219"/>
    <s:mergeCell ref="A10213:E10213"/>
    <s:mergeCell ref="A15335:E15335"/>
    <s:mergeCell ref="A10519:E10519"/>
    <s:mergeCell ref="A17132:E17132"/>
    <s:mergeCell ref="A8428:E8428"/>
    <s:mergeCell ref="A17737:E17737"/>
    <s:mergeCell ref="A15635:E15635"/>
    <s:mergeCell ref="A31647:E31647"/>
    <s:mergeCell ref="A1026:E1026"/>
    <s:mergeCell ref="A17432:E17432"/>
    <s:mergeCell ref="A1631:E1631"/>
    <s:mergeCell ref="B16182:E16182"/>
    <s:mergeCell ref="A24639:E24639"/>
    <s:mergeCell ref="A15935:E15935"/>
    <s:mergeCell ref="A22554:E22554"/>
    <s:mergeCell ref="A22548:E22548"/>
    <s:mergeCell ref="A1326:E1326"/>
    <s:mergeCell ref="A24850:E24850"/>
    <s:mergeCell ref="A22765:E22765"/>
    <s:mergeCell ref="A22854:E22854"/>
    <s:mergeCell ref="A29966:E29966"/>
    <s:mergeCell ref="A27881:E27881"/>
    <s:mergeCell ref="B16177:E16177"/>
    <s:mergeCell ref="A15363:E15363"/>
    <s:mergeCell ref="A17448:E17448"/>
    <s:mergeCell ref="A23065:E23065"/>
    <s:mergeCell ref="A29667:E29667"/>
    <s:mergeCell ref="A17143:E17143"/>
    <s:mergeCell ref="A15058:E15058"/>
    <s:mergeCell ref="A1359:E1359"/>
    <s:mergeCell ref="A28181:E28181"/>
    <s:mergeCell ref="A15663:E15663"/>
    <s:mergeCell ref="A1060:E1060"/>
    <s:mergeCell ref="A1054:E1054"/>
    <s:mergeCell ref="A29967:E29967"/>
    <s:mergeCell ref="A22476:E22476"/>
    <s:mergeCell ref="A30178:E30178"/>
    <s:mergeCell ref="A6176:E6176"/>
    <s:mergeCell ref="A15963:E15963"/>
    <s:mergeCell ref="A13878:E13878"/>
    <s:mergeCell ref="A23081:E23081"/>
    <s:mergeCell ref="A1354:E1354"/>
    <s:mergeCell ref="A30267:E30267"/>
    <s:mergeCell ref="A8472:E8472"/>
    <s:mergeCell ref="A22776:E22776"/>
    <s:mergeCell ref="A30478:E30478"/>
    <s:mergeCell ref="A6476:E6476"/>
    <s:mergeCell ref="A6470:E6470"/>
    <s:mergeCell ref="A23381:E23381"/>
    <s:mergeCell ref="A21296:E21296"/>
    <s:mergeCell ref="B9019:E9019"/>
    <s:mergeCell ref="A8772:E8772"/>
    <s:mergeCell ref="A6687:E6687"/>
    <s:mergeCell ref="A23076:E23076"/>
    <s:mergeCell ref="A20991:E20991"/>
    <s:mergeCell ref="A8473:E8473"/>
    <s:mergeCell ref="A13888:E13888"/>
    <s:mergeCell ref="A11803:E11803"/>
    <s:mergeCell ref="A13589:E13589"/>
    <s:mergeCell ref="A21291:E21291"/>
    <s:mergeCell ref="A1065:E1065"/>
    <s:mergeCell ref="A15885:E15885"/>
    <s:mergeCell ref="A22504:E22504"/>
    <s:mergeCell ref="A13889:E13889"/>
    <s:mergeCell ref="A6398:E6398"/>
    <s:mergeCell ref="A22804:E22804"/>
    <s:mergeCell ref="B30736:E30736"/>
    <s:mergeCell ref="A27920:E27920"/>
    <s:mergeCell ref="B14647:E14647"/>
    <s:mergeCell ref="A23104:E23104"/>
    <s:mergeCell ref="A21019:E21019"/>
    <s:mergeCell ref="A28226:E28226"/>
    <s:mergeCell ref="A29917:E29917"/>
    <s:mergeCell ref="A26135:E26135"/>
    <s:mergeCell ref="A6998:E6998"/>
    <s:mergeCell ref="A4913:E4913"/>
    <s:mergeCell ref="A28437:E28437"/>
    <s:mergeCell ref="A30217:E30217"/>
    <s:mergeCell ref="A28132:E28132"/>
    <s:mergeCell ref="A21035:E21035"/>
    <s:mergeCell ref="A28737:E28737"/>
    <s:mergeCell ref="A4729:E4729"/>
    <s:mergeCell ref="A20730:E20730"/>
    <s:mergeCell ref="A19549:E19549"/>
    <s:mergeCell ref="A28432:E28432"/>
    <s:mergeCell ref="A21335:E21335"/>
    <s:mergeCell ref="A19250:E19250"/>
    <s:mergeCell ref="A19244:E19244"/>
    <s:mergeCell ref="A4641:E4641"/>
    <s:mergeCell ref="A21030:E21030"/>
    <s:mergeCell ref="A26451:E26451"/>
    <s:mergeCell ref="A11848:E11848"/>
    <s:mergeCell ref="A11842:E11842"/>
    <s:mergeCell ref="A9757:E9757"/>
    <s:mergeCell ref="A4941:E4941"/>
    <s:mergeCell ref="A21330:E21330"/>
    <s:mergeCell ref="A19245:E19245"/>
    <s:mergeCell ref="A24666:E24666"/>
    <s:mergeCell ref="A12148:E12148"/>
    <s:mergeCell ref="A13839:E13839"/>
    <s:mergeCell ref="A10057:E10057"/>
    <s:mergeCell ref="A19260:E19260"/>
    <s:mergeCell ref="A17175:E17175"/>
    <s:mergeCell ref="A26663:E26663"/>
    <s:mergeCell ref="A4352:E4352"/>
    <s:mergeCell ref="A2655:E2655"/>
    <s:mergeCell ref="A17475:E17475"/>
    <s:mergeCell ref="A4957:E4957"/>
    <s:mergeCell ref="A17170:E17170"/>
    <s:mergeCell ref="A4652:E4652"/>
    <s:mergeCell ref="A870:E870"/>
    <s:mergeCell ref="A17775:E17775"/>
    <s:mergeCell ref="A3172:E3172"/>
    <s:mergeCell ref="A5413:E5413"/>
    <s:mergeCell ref="A19561:E19561"/>
    <s:mergeCell ref="B17717:E17717"/>
    <s:mergeCell ref="A17470:E17470"/>
    <s:mergeCell ref="A19772:E19772"/>
    <s:mergeCell ref="B30541:E30541"/>
    <s:mergeCell ref="A31507:E31507"/>
    <s:mergeCell ref="A17503:E17503"/>
    <s:mergeCell ref="A5124:E5124"/>
    <s:mergeCell ref="A308:E308"/>
    <s:mergeCell ref="B25136:E25136"/>
    <s:mergeCell ref="A5424:E5424"/>
    <s:mergeCell ref="A608:E608"/>
    <s:mergeCell ref="A24616:E24616"/>
    <s:mergeCell ref="A22614:E22614"/>
    <s:mergeCell ref="A5724:E5724"/>
    <s:mergeCell ref="A3639:E3639"/>
    <s:mergeCell ref="A24916:E24916"/>
    <s:mergeCell ref="A5425:E5425"/>
    <s:mergeCell ref="A8616:E8616"/>
    <s:mergeCell ref="A26702:E26702"/>
    <s:mergeCell ref="A24617:E24617"/>
    <s:mergeCell ref="B1939:E1939"/>
    <s:mergeCell ref="A3939:E3939"/>
    <s:mergeCell ref="A30032:E30032"/>
    <s:mergeCell ref="B25463:E25463"/>
    <s:mergeCell ref="A5152:E5152"/>
    <s:mergeCell ref="A29733:E29733"/>
    <s:mergeCell ref="A30338:E30338"/>
    <s:mergeCell ref="A5458:E5458"/>
    <s:mergeCell ref="A5452:E5452"/>
    <s:mergeCell ref="A30033:E30033"/>
    <s:mergeCell ref="A5147:E5147"/>
    <s:mergeCell ref="A18276:E18276"/>
    <s:mergeCell ref="A30333:E30333"/>
    <s:mergeCell ref="A28248:E28248"/>
    <s:mergeCell ref="A12870:E12870"/>
    <s:mergeCell ref="A10785:E10785"/>
    <s:mergeCell ref="A17971:E17971"/>
    <s:mergeCell ref="A5453:E5453"/>
    <s:mergeCell ref="A27174:E27174"/>
    <s:mergeCell ref="A12565:E12565"/>
    <s:mergeCell ref="A11085:E11085"/>
    <s:mergeCell ref="A18271:E18271"/>
    <s:mergeCell ref="A27474:E27474"/>
    <s:mergeCell ref="A25389:E25389"/>
    <s:mergeCell ref="A12871:E12871"/>
    <s:mergeCell ref="A25383:E25383"/>
    <s:mergeCell ref="A12865:E12865"/>
    <s:mergeCell ref="A10780:E10780"/>
    <s:mergeCell ref="A3683:E3683"/>
    <s:mergeCell ref="A11385:E11385"/>
    <s:mergeCell ref="A3378:E3378"/>
    <s:mergeCell ref="A11080:E11080"/>
    <s:mergeCell ref="A3983:E3983"/>
    <s:mergeCell ref="A1898:E1898"/>
    <s:mergeCell ref="A18287:E18287"/>
    <s:mergeCell ref="A3678:E3678"/>
    <s:mergeCell ref="A25117:E25117"/>
    <s:mergeCell ref="A3895:E3895"/>
    <s:mergeCell ref="B30802:E30802"/>
    <s:mergeCell ref="A10508:E10508"/>
    <s:mergeCell ref="B18440:E18440"/>
    <s:mergeCell ref="A1893:E1893"/>
    <s:mergeCell ref="A11096:E11096"/>
    <s:mergeCell ref="A9011:E9011"/>
    <s:mergeCell ref="A18015:E18015"/>
    <s:mergeCell ref="A9311:E9311"/>
    <s:mergeCell ref="A15924:E15924"/>
    <s:mergeCell ref="A30833:E30833"/>
    <s:mergeCell ref="A1909:E1909"/>
    <s:mergeCell ref="A16230:E16230"/>
    <s:mergeCell ref="A20006:E20006"/>
    <s:mergeCell ref="A17921:E17921"/>
    <s:mergeCell ref="A10824:E10824"/>
    <s:mergeCell ref="A2209:E2209"/>
    <s:mergeCell ref="A124:E124"/>
    <s:mergeCell ref="A25733:E25733"/>
    <s:mergeCell ref="A25339:E25339"/>
    <s:mergeCell ref="A23642:E23642"/>
    <s:mergeCell ref="A11124:E11124"/>
    <s:mergeCell ref="A25428:E25428"/>
    <s:mergeCell ref="A10819:E10819"/>
    <s:mergeCell ref="A8734:E8734"/>
    <s:mergeCell ref="A16240:E16240"/>
    <s:mergeCell ref="A14155:E14155"/>
    <s:mergeCell ref="A25639:E25639"/>
    <s:mergeCell ref="A1637:E1637"/>
    <s:mergeCell ref="A9339:E9339"/>
    <s:mergeCell ref="A16457:E16457"/>
    <s:mergeCell ref="A23643:E23643"/>
    <s:mergeCell ref="A151:E151"/>
    <s:mergeCell ref="A30761:E30761"/>
    <s:mergeCell ref="A30755:E30755"/>
    <s:mergeCell ref="A18237:E18237"/>
    <s:mergeCell ref="A16152:E16152"/>
    <s:mergeCell ref="A14455:E14455"/>
    <s:mergeCell ref="A16241:E16241"/>
    <s:mergeCell ref="A16757:E16757"/>
    <s:mergeCell ref="A31061:E31061"/>
    <s:mergeCell ref="A28970:E28970"/>
    <s:mergeCell ref="B2484:E2484"/>
    <s:mergeCell ref="A14755:E14755"/>
    <s:mergeCell ref="A152:E152"/>
    <s:mergeCell ref="A30756:E30756"/>
    <s:mergeCell ref="A7264:E7264"/>
    <s:mergeCell ref="A21568:E21568"/>
    <s:mergeCell ref="B15302:E15302"/>
    <s:mergeCell ref="A16752:E16752"/>
    <s:mergeCell ref="A14667:E14667"/>
    <s:mergeCell ref="A7570:E7570"/>
    <s:mergeCell ref="A7564:E7564"/>
    <s:mergeCell ref="A21868:E21868"/>
    <s:mergeCell ref="A9350:E9350"/>
    <s:mergeCell ref="A7265:E7265"/>
    <s:mergeCell ref="A30789:E30789"/>
    <s:mergeCell ref="A21569:E21569"/>
    <s:mergeCell ref="A30783:E30783"/>
    <s:mergeCell ref="B9897:E9897"/>
    <s:mergeCell ref="A30484:E30484"/>
    <s:mergeCell ref="A7565:E7565"/>
    <s:mergeCell ref="A14683:E14683"/>
    <s:mergeCell ref="A31089:E31089"/>
    <s:mergeCell ref="A74:E74"/>
    <s:mergeCell ref="A30784:E30784"/>
    <s:mergeCell ref="A163:E163"/>
    <s:mergeCell ref="A23687:E23687"/>
    <s:mergeCell ref="A14983:E14983"/>
    <s:mergeCell ref="B13139:E13139"/>
    <s:mergeCell ref="A21596:E21596"/>
    <s:mergeCell ref="A374:E374"/>
    <s:mergeCell ref="A31084:E31084"/>
    <s:mergeCell ref="A5496:E5496"/>
    <s:mergeCell ref="A5490:E5490"/>
    <s:mergeCell ref="A21896:E21896"/>
    <s:mergeCell ref="A29014:E29014"/>
    <s:mergeCell ref="A26929:E26929"/>
    <s:mergeCell ref="A5790:E5790"/>
    <s:mergeCell ref="A27229:E27229"/>
    <s:mergeCell ref="A29015:E29015"/>
    <s:mergeCell ref="A29009:E29009"/>
    <s:mergeCell ref="A26924:E26924"/>
    <s:mergeCell ref="A16491:E16491"/>
    <s:mergeCell ref="A19827:E19827"/>
    <s:mergeCell ref="A21607:E21607"/>
    <s:mergeCell ref="A19522:E19522"/>
    <s:mergeCell ref="A14706:E14706"/>
    <s:mergeCell ref="A21824:E21824"/>
    <s:mergeCell ref="A20127:E20127"/>
    <s:mergeCell ref="A7609:E7609"/>
    <s:mergeCell ref="A5524:E5524"/>
    <s:mergeCell ref="A5518:E5518"/>
    <s:mergeCell ref="A12636:E12636"/>
    <s:mergeCell ref="A19822:E19822"/>
    <s:mergeCell ref="A20039:E20039"/>
    <s:mergeCell ref="A18342:E18342"/>
    <s:mergeCell ref="B22066:E22066"/>
    <s:mergeCell ref="B20369:E20369"/>
    <s:mergeCell ref="A12936:E12936"/>
    <s:mergeCell ref="A20122:E20122"/>
    <s:mergeCell ref="A574:E574"/>
    <s:mergeCell ref="A27240:E27240"/>
    <s:mergeCell ref="A12637:E12637"/>
    <s:mergeCell ref="A12631:E12631"/>
    <s:mergeCell ref="A11151:E11151"/>
    <s:mergeCell ref="A874:E874"/>
    <s:mergeCell ref="A17753:E17753"/>
    <s:mergeCell ref="A12937:E12937"/>
    <s:mergeCell ref="A569:E569"/>
    <s:mergeCell ref="A18053:E18053"/>
    <s:mergeCell ref="A25755:E25755"/>
    <s:mergeCell ref="A7776:E7776"/>
    <s:mergeCell ref="B18511:E18511"/>
    <s:mergeCell ref="A26968:E26968"/>
    <s:mergeCell ref="A18353:E18353"/>
    <s:mergeCell ref="A8076:E8076"/>
    <s:mergeCell ref="A27268:E27268"/>
    <s:mergeCell ref="A25183:E25183"/>
    <s:mergeCell ref="B18506:E18506"/>
    <s:mergeCell ref="A30299:E30299"/>
    <s:mergeCell ref="A25483:E25483"/>
    <s:mergeCell ref="A3777:E3777"/>
    <s:mergeCell ref="B11404:E11404"/>
    <s:mergeCell ref="A24894:E24894"/>
    <s:mergeCell ref="A25499:E25499"/>
    <s:mergeCell ref="B18822:E18822"/>
    <s:mergeCell ref="A25194:E25194"/>
    <s:mergeCell ref="A25955:E25955"/>
    <s:mergeCell ref="A13437:E13437"/>
    <s:mergeCell ref="A25494:E25494"/>
    <s:mergeCell ref="A614:E614"/>
    <s:mergeCell ref="A13737:E13737"/>
    <s:mergeCell ref="A11652:E11652"/>
    <s:mergeCell ref="A5730:E5730"/>
    <s:mergeCell ref="A6246:E6246"/>
    <s:mergeCell ref="A13432:E13432"/>
    <s:mergeCell ref="A914:E914"/>
    <s:mergeCell ref="A20550:E20550"/>
    <s:mergeCell ref="A4244:E4244"/>
    <s:mergeCell ref="A20245:E20245"/>
    <s:mergeCell ref="A6030:E6030"/>
    <s:mergeCell ref="A6546:E6546"/>
    <s:mergeCell ref="A13732:E13732"/>
    <s:mergeCell ref="A20850:E20850"/>
    <s:mergeCell ref="A6247:E6247"/>
    <s:mergeCell ref="A6241:E6241"/>
    <s:mergeCell ref="A4245:E4245"/>
    <s:mergeCell ref="A11363:E11363"/>
    <s:mergeCell ref="A21150:E21150"/>
    <s:mergeCell ref="A30555:E30555"/>
    <s:mergeCell ref="A11663:E11663"/>
    <s:mergeCell ref="A11657:E11657"/>
    <s:mergeCell ref="A30855:E30855"/>
    <s:mergeCell ref="A4172:E4172"/>
    <s:mergeCell ref="A11358:E11358"/>
    <s:mergeCell ref="A13660:E13660"/>
    <s:mergeCell ref="A20273:E20273"/>
    <s:mergeCell ref="A4472:E4472"/>
    <s:mergeCell ref="A18793:E18793"/>
    <s:mergeCell ref="A18776:E18776"/>
    <s:mergeCell ref="B12116:E12116"/>
    <s:mergeCell ref="A20573:E20573"/>
    <s:mergeCell ref="A27691:E27691"/>
    <s:mergeCell ref="A25994:E25994"/>
    <s:mergeCell ref="A23909:E23909"/>
    <s:mergeCell ref="A13476:E13476"/>
    <s:mergeCell ref="A4772:E4772"/>
    <s:mergeCell ref="A2687:E2687"/>
    <s:mergeCell ref="A11391:E11391"/>
    <s:mergeCell ref="A19076:E19076"/>
    <s:mergeCell ref="A27991:E27991"/>
    <s:mergeCell ref="A2987:E2987"/>
    <s:mergeCell ref="A25995:E25995"/>
    <s:mergeCell ref="B5014:E5014"/>
    <s:mergeCell ref="A25989:E25989"/>
    <s:mergeCell ref="A26206:E26206"/>
    <s:mergeCell ref="A19109:E19109"/>
    <s:mergeCell ref="A31322:E31322"/>
    <s:mergeCell ref="A18804:E18804"/>
    <s:mergeCell ref="A17107:E17107"/>
    <s:mergeCell ref="A15022:E15022"/>
    <s:mergeCell ref="A4195:E4195"/>
    <s:mergeCell ref="A9616:E9616"/>
    <s:mergeCell ref="A23920:E23920"/>
    <s:mergeCell ref="A31622:E31622"/>
    <s:mergeCell ref="A2698:E2698"/>
    <s:mergeCell ref="A19104:E19104"/>
    <s:mergeCell ref="A9916:E9916"/>
    <s:mergeCell ref="A25917:E25917"/>
    <s:mergeCell ref="A24220:E24220"/>
    <s:mergeCell ref="A9617:E9617"/>
    <s:mergeCell ref="A9611:E9611"/>
    <s:mergeCell ref="A7526:E7526"/>
    <s:mergeCell ref="A26522:E26522"/>
    <s:mergeCell ref="A23921:E23921"/>
    <s:mergeCell ref="A24437:E24437"/>
    <s:mergeCell ref="A24431:E24431"/>
    <s:mergeCell ref="A31050:E31050"/>
    <s:mergeCell ref="A9828:E9828"/>
    <s:mergeCell ref="B22682:E22682"/>
    <s:mergeCell ref="A2731:E2731"/>
    <s:mergeCell ref="A9917:E9917"/>
    <s:mergeCell ref="A640:E640"/>
    <s:mergeCell ref="B27069:E27069"/>
    <s:mergeCell ref="A29553:E29553"/>
    <s:mergeCell ref="A31638:E31638"/>
    <s:mergeCell ref="A14944:E14944"/>
    <s:mergeCell ref="A729:E729"/>
    <s:mergeCell ref="A10128:E10128"/>
    <s:mergeCell ref="A3031:E3031"/>
    <s:mergeCell ref="A946:E946"/>
    <s:mergeCell ref="A29853:E29853"/>
    <s:mergeCell ref="A17335:E17335"/>
    <s:mergeCell ref="A15244:E15244"/>
    <s:mergeCell ref="A2726:E2726"/>
    <s:mergeCell ref="A8147:E8147"/>
    <s:mergeCell ref="A3026:E3026"/>
    <s:mergeCell ref="A941:E941"/>
    <s:mergeCell ref="A10144:E10144"/>
    <s:mergeCell ref="A8059:E8059"/>
    <s:mergeCell ref="A6362:E6362"/>
    <s:mergeCell ref="A8142:E8142"/>
    <s:mergeCell ref="A6057:E6057"/>
    <s:mergeCell ref="B1488:E1488"/>
    <s:mergeCell ref="B10691:E10691"/>
    <s:mergeCell ref="A29581:E29581"/>
    <s:mergeCell ref="A8359:E8359"/>
    <s:mergeCell ref="A14972:E14972"/>
    <s:mergeCell ref="A31361:E31361"/>
    <s:mergeCell ref="A29276:E29276"/>
    <s:mergeCell ref="A13475:E13475"/>
    <s:mergeCell ref="A29881:E29881"/>
    <s:mergeCell ref="A17363:E17363"/>
    <s:mergeCell ref="A22390:E22390"/>
    <s:mergeCell ref="B10686:E10686"/>
    <s:mergeCell ref="A29576:E29576"/>
    <s:mergeCell ref="A652:E652"/>
    <s:mergeCell ref="A22479:E22479"/>
    <s:mergeCell ref="A13775:E13775"/>
    <s:mergeCell ref="B1199:E1199"/>
    <s:mergeCell ref="A24476:E24476"/>
    <s:mergeCell ref="B1804:E1804"/>
    <s:mergeCell ref="A20694:E20694"/>
    <s:mergeCell ref="A27806:E27806"/>
    <s:mergeCell ref="A15288:E15288"/>
    <s:mergeCell ref="A13203:E13203"/>
    <s:mergeCell ref="A29592:E29592"/>
    <s:mergeCell ref="A29809:E29809"/>
    <s:mergeCell ref="A29287:E29287"/>
    <s:mergeCell ref="A29803:E29803"/>
    <s:mergeCell ref="A27807:E27807"/>
    <s:mergeCell ref="A15289:E15289"/>
    <s:mergeCell ref="A27801:E27801"/>
    <s:mergeCell ref="A13198:E13198"/>
    <s:mergeCell ref="A20316:E20316"/>
    <s:mergeCell ref="A30103:E30103"/>
    <s:mergeCell ref="A27502:E27502"/>
    <s:mergeCell ref="A6101:E6101"/>
    <s:mergeCell ref="A13803:E13803"/>
    <s:mergeCell ref="A29804:E29804"/>
    <s:mergeCell ref="A28107:E28107"/>
    <s:mergeCell ref="A20616:E20616"/>
    <s:mergeCell ref="A4316:E4316"/>
    <s:mergeCell ref="A20916:E20916"/>
    <s:mergeCell ref="A6313:E6313"/>
    <s:mergeCell ref="A4616:E4616"/>
    <s:mergeCell ref="A8554:E8554"/>
    <s:mergeCell ref="A26038:E26038"/>
    <s:mergeCell ref="A3237:E3237"/>
    <s:mergeCell ref="A1152:E1152"/>
    <s:mergeCell ref="A1757:E1757"/>
    <s:mergeCell ref="A3149:E3149"/>
    <s:mergeCell ref="A1452:E1452"/>
    <s:mergeCell ref="A8565:E8565"/>
    <s:mergeCell ref="A27757:E27757"/>
    <s:mergeCell ref="A26060:E26060"/>
    <s:mergeCell ref="A6780:E6780"/>
    <s:mergeCell ref="A28057:E28057"/>
    <s:mergeCell ref="A25972:E25972"/>
    <s:mergeCell ref="A6596:E6596"/>
    <s:mergeCell ref="A21416:E21416"/>
    <s:mergeCell ref="A6813:E6813"/>
    <s:mergeCell ref="A8599:E8599"/>
    <s:mergeCell ref="A21111:E21111"/>
    <s:mergeCell ref="A8593:E8593"/>
    <s:mergeCell ref="A7113:E7113"/>
    <s:mergeCell ref="A21417:E21417"/>
    <s:mergeCell ref="A16011:E16011"/>
    <s:mergeCell ref="A14015:E14015"/>
    <s:mergeCell ref="A14009:E14009"/>
    <s:mergeCell ref="A11924:E11924"/>
    <s:mergeCell ref="A16311:E16311"/>
    <s:mergeCell ref="A13710:E13710"/>
    <s:mergeCell ref="A12529:E12529"/>
    <s:mergeCell ref="A14226:E14226"/>
    <s:mergeCell ref="B24833:E24833"/>
    <s:mergeCell ref="A28530:E28530"/>
    <s:mergeCell ref="A30615:E30615"/>
    <s:mergeCell ref="A21427:E21427"/>
    <s:mergeCell ref="A19342:E19342"/>
    <s:mergeCell ref="A14526:E14526"/>
    <s:mergeCell ref="A28830:E28830"/>
    <s:mergeCell ref="A6519:E6519"/>
    <s:mergeCell ref="A5338:E5338"/>
    <s:mergeCell ref="A19642:E19642"/>
    <s:mergeCell ref="A7124:E7124"/>
    <s:mergeCell ref="A5039:E5039"/>
    <s:mergeCell ref="A5033:E5033"/>
    <s:mergeCell ref="B21886:E21886"/>
    <s:mergeCell ref="A19942:E19942"/>
    <s:mergeCell ref="A5339:E5339"/>
    <s:mergeCell ref="A19370:E19370"/>
    <s:mergeCell ref="A21156:E21156"/>
    <s:mergeCell ref="A12452:E12452"/>
    <s:mergeCell ref="A3264:E3264"/>
    <s:mergeCell ref="A19670:E19670"/>
    <s:mergeCell ref="A26272:E26272"/>
    <s:mergeCell ref="A21456:E21456"/>
    <s:mergeCell ref="A19371:E19371"/>
    <s:mergeCell ref="A19365:E19365"/>
    <s:mergeCell ref="A12268:E12268"/>
    <s:mergeCell ref="A3564:E3564"/>
    <s:mergeCell ref="A10183:E10183"/>
    <s:mergeCell ref="A5367:E5367"/>
    <s:mergeCell ref="A27088:E27088"/>
    <s:mergeCell ref="A5350:E5350"/>
    <s:mergeCell ref="A3265:E3265"/>
    <s:mergeCell ref="A12479:E12479"/>
    <s:mergeCell ref="A26789:E26789"/>
    <s:mergeCell ref="A26783:E26783"/>
    <s:mergeCell ref="A12180:E12180"/>
    <s:mergeCell ref="A10483:E10483"/>
    <s:mergeCell ref="A19381:E19381"/>
    <s:mergeCell ref="A17296:E17296"/>
    <s:mergeCell ref="A4778:E4778"/>
    <s:mergeCell ref="A12480:E12480"/>
    <s:mergeCell ref="A26784:E26784"/>
    <s:mergeCell ref="A5383:E5383"/>
    <s:mergeCell ref="A3292:E3292"/>
    <s:mergeCell ref="A17596:E17596"/>
    <s:mergeCell ref="A5078:E5078"/>
    <s:mergeCell ref="A12780:E12780"/>
    <s:mergeCell ref="A10194:E10194"/>
    <s:mergeCell ref="A17896:E17896"/>
    <s:mergeCell ref="A5378:E5378"/>
    <s:mergeCell ref="A3293:E3293"/>
    <s:mergeCell ref="A25014:E25014"/>
    <s:mergeCell ref="A19682:E19682"/>
    <s:mergeCell ref="A10405:E10405"/>
    <s:mergeCell ref="A10494:E10494"/>
    <s:mergeCell ref="A8409:E8409"/>
    <s:mergeCell ref="A25314:E25314"/>
    <s:mergeCell ref="A23229:E23229"/>
    <s:mergeCell ref="A10711:E10711"/>
    <s:mergeCell ref="A10705:E10705"/>
    <s:mergeCell ref="A25009:E25009"/>
    <s:mergeCell ref="A10406:E10406"/>
    <s:mergeCell ref="A15827:E15827"/>
    <s:mergeCell ref="A23529:E23529"/>
    <s:mergeCell ref="A1218:E1218"/>
    <s:mergeCell ref="A1823:E1823"/>
    <s:mergeCell ref="A17824:E17824"/>
    <s:mergeCell ref="A16127:E16127"/>
    <s:mergeCell ref="A1518:E1518"/>
    <s:mergeCell ref="B16069:E16069"/>
    <s:mergeCell ref="A25042:E25042"/>
    <s:mergeCell ref="B18371:E18371"/>
    <s:mergeCell ref="B14589:E14589"/>
    <s:mergeCell ref="A18124:E18124"/>
    <s:mergeCell ref="A24737:E24737"/>
    <s:mergeCell ref="A1818:E1818"/>
    <s:mergeCell ref="A8936:E8936"/>
    <s:mergeCell ref="A23240:E23240"/>
    <s:mergeCell ref="A25037:E25037"/>
    <s:mergeCell ref="A23540:E23540"/>
    <s:mergeCell ref="A30159:E30159"/>
    <s:mergeCell ref="A30153:E30153"/>
    <s:mergeCell ref="A22668:E22668"/>
    <s:mergeCell ref="A16155:E16155"/>
    <s:mergeCell ref="A14070:E14070"/>
    <s:mergeCell ref="B22002:E22002"/>
    <s:mergeCell ref="A30459:E30459"/>
    <s:mergeCell ref="A8664:E8664"/>
    <s:mergeCell ref="B30917:E30917"/>
    <s:mergeCell ref="A22968:E22968"/>
    <s:mergeCell ref="A22663:E22663"/>
    <s:mergeCell ref="A6879:E6879"/>
    <s:mergeCell ref="A23268:E23268"/>
    <s:mergeCell ref="A21183:E21183"/>
    <s:mergeCell ref="A8665:E8665"/>
    <s:mergeCell ref="A8659:E8659"/>
    <s:mergeCell ref="A14080:E14080"/>
    <s:mergeCell ref="B30912:E30912"/>
    <s:mergeCell ref="B291:E291"/>
    <s:mergeCell ref="A13781:E13781"/>
    <s:mergeCell ref="A21483:E21483"/>
    <s:mergeCell ref="A30686:E30686"/>
    <s:mergeCell ref="A28601:E28601"/>
    <s:mergeCell ref="A16077:E16077"/>
    <s:mergeCell ref="A2018:E2018"/>
    <s:mergeCell ref="A14081:E14081"/>
    <s:mergeCell ref="A28901:E28901"/>
    <s:mergeCell ref="A14292:E14292"/>
    <s:mergeCell ref="A4015:E4015"/>
    <s:mergeCell ref="A30681:E30681"/>
    <s:mergeCell ref="A28596:E28596"/>
    <s:mergeCell ref="A16078:E16078"/>
    <s:mergeCell ref="A14381:E14381"/>
    <s:mergeCell ref="A4315:E4315"/>
    <s:mergeCell ref="A21194:E21194"/>
    <s:mergeCell ref="A30109:E30109"/>
    <s:mergeCell ref="A9437:E9437"/>
    <s:mergeCell ref="A9431:E9431"/>
    <s:mergeCell ref="A30409:E30409"/>
    <s:mergeCell ref="A28324:E28324"/>
    <s:mergeCell ref="B5652:E5652"/>
    <s:mergeCell ref="A9432:E9432"/>
    <s:mergeCell ref="A2335:E2335"/>
    <s:mergeCell ref="A28624:E28624"/>
    <s:mergeCell ref="A4026:E4026"/>
    <s:mergeCell ref="B13070:E13070"/>
    <s:mergeCell ref="A19436:E19436"/>
    <s:mergeCell ref="B27374:E27374"/>
    <s:mergeCell ref="A28924:E28924"/>
    <s:mergeCell ref="A28335:E28335"/>
    <s:mergeCell ref="A28940:E28940"/>
    <s:mergeCell ref="A29096:E29096"/>
    <s:mergeCell ref="A16578:E16578"/>
    <s:mergeCell ref="A16273:E16273"/>
    <s:mergeCell ref="A23779:E23779"/>
    <s:mergeCell ref="A21694:E21694"/>
    <s:mergeCell ref="A29396:E29396"/>
    <s:mergeCell ref="A16878:E16878"/>
    <s:mergeCell ref="A2269:E2269"/>
    <s:mergeCell ref="A29091:E29091"/>
    <s:mergeCell ref="A7690:E7690"/>
    <s:mergeCell ref="A23691:E23691"/>
    <s:mergeCell ref="A9476:E9476"/>
    <s:mergeCell ref="A7391:E7391"/>
    <s:mergeCell ref="A7385:E7385"/>
    <s:mergeCell ref="A2569:E2569"/>
    <s:mergeCell ref="A9171:E9171"/>
    <s:mergeCell ref="A23991:E23991"/>
    <s:mergeCell ref="A22294:E22294"/>
    <s:mergeCell ref="A20209:E20209"/>
    <s:mergeCell ref="A7691:E7691"/>
    <s:mergeCell ref="A7685:E7685"/>
    <s:mergeCell ref="A14803:E14803"/>
    <s:mergeCell ref="A200:E200"/>
    <s:mergeCell ref="A7386:E7386"/>
    <s:mergeCell ref="A29107:E29107"/>
    <s:mergeCell ref="A24291:E24291"/>
    <s:mergeCell ref="A22206:E22206"/>
    <s:mergeCell ref="A1980:E1980"/>
    <s:mergeCell ref="A13018:E13018"/>
    <s:mergeCell ref="A500:E500"/>
    <s:mergeCell ref="A29407:E29407"/>
    <s:mergeCell ref="A14804:E14804"/>
    <s:mergeCell ref="A12713:E12713"/>
    <s:mergeCell ref="B13565:E13565"/>
    <s:mergeCell ref="A5616:E5616"/>
    <s:mergeCell ref="A800:E800"/>
    <s:mergeCell ref="A15104:E15104"/>
    <s:mergeCell ref="A7613:E7613"/>
    <s:mergeCell ref="A5916:E5916"/>
    <s:mergeCell ref="A3831:E3831"/>
    <s:mergeCell ref="A5617:E5617"/>
    <s:mergeCell ref="A14831:E14831"/>
    <s:mergeCell ref="A12746:E12746"/>
    <s:mergeCell ref="A29141:E29141"/>
    <s:mergeCell ref="A29135:E29135"/>
    <s:mergeCell ref="A16617:E16617"/>
    <s:mergeCell ref="A7913:E7913"/>
    <s:mergeCell ref="A14532:E14532"/>
    <s:mergeCell ref="A4131:E4131"/>
    <s:mergeCell ref="A13029:E13029"/>
    <s:mergeCell ref="A19648:E19648"/>
    <s:mergeCell ref="A27350:E27350"/>
    <s:mergeCell ref="B4678:E4678"/>
    <s:mergeCell ref="A14832:E14832"/>
    <s:mergeCell ref="A29435:E29435"/>
    <s:mergeCell ref="A14826:E14826"/>
    <s:mergeCell ref="A5644:E5644"/>
    <s:mergeCell ref="A13329:E13329"/>
    <s:mergeCell ref="A19948:E19948"/>
    <s:mergeCell ref="A20464:E20464"/>
    <s:mergeCell ref="A15132:E15132"/>
    <s:mergeCell ref="A5944:E5944"/>
    <s:mergeCell ref="A21945:E21945"/>
    <s:mergeCell ref="A20248:E20248"/>
    <s:mergeCell ref="A18163:E18163"/>
    <s:mergeCell ref="A20764:E20764"/>
    <s:mergeCell ref="A22550:E22550"/>
    <s:mergeCell ref="B20706:E20706"/>
    <s:mergeCell ref="A27061:E27061"/>
    <s:mergeCell ref="A22245:E22245"/>
    <s:mergeCell ref="A18463:E18463"/>
    <s:mergeCell ref="A27666:E27666"/>
    <s:mergeCell ref="A13063:E13063"/>
    <s:mergeCell ref="A13057:E13057"/>
    <s:mergeCell ref="A10972:E10972"/>
    <s:mergeCell ref="A20175:E20175"/>
    <s:mergeCell ref="A27361:E27361"/>
    <s:mergeCell ref="A12758:E12758"/>
    <s:mergeCell ref="A11577:E11577"/>
    <s:mergeCell ref="A29663:E29663"/>
    <s:mergeCell ref="A27578:E27578"/>
    <s:mergeCell ref="A25881:E25881"/>
    <s:mergeCell ref="A5655:E5655"/>
    <s:mergeCell ref="A3570:E3570"/>
    <s:mergeCell ref="A11272:E11272"/>
    <s:mergeCell ref="A20475:E20475"/>
    <s:mergeCell ref="A18390:E18390"/>
    <s:mergeCell ref="A27661:E27661"/>
    <s:mergeCell ref="A13058:E13058"/>
    <s:mergeCell ref="A18479:E18479"/>
    <s:mergeCell ref="A20170:E20170"/>
    <s:mergeCell ref="A5567:E5567"/>
    <s:mergeCell ref="A18690:E18690"/>
    <s:mergeCell ref="A2390:E2390"/>
    <s:mergeCell ref="A4081:E4081"/>
    <s:mergeCell ref="A4170:E4170"/>
    <s:mergeCell ref="A2085:E2085"/>
    <s:mergeCell ref="A11288:E11288"/>
    <s:mergeCell ref="A9203:E9203"/>
    <s:mergeCell ref="A18990:E18990"/>
    <s:mergeCell ref="B26423:E26423"/>
    <s:mergeCell ref="A10983:E10983"/>
    <s:mergeCell ref="B20718:E20718"/>
    <s:mergeCell ref="A9503:E9503"/>
    <s:mergeCell ref="A25909:E25909"/>
    <s:mergeCell ref="A9497:E9497"/>
    <s:mergeCell ref="B11530:E11530"/>
    <s:mergeCell ref="A11283:E11283"/>
    <s:mergeCell ref="A9198:E9198"/>
    <s:mergeCell ref="A2101:E2101"/>
    <s:mergeCell ref="A11500:E11500"/>
    <s:mergeCell ref="A18113:E18113"/>
    <s:mergeCell ref="B11830:E11830"/>
    <s:mergeCell ref="A1796:E1796"/>
    <s:mergeCell ref="A25320:E25320"/>
    <s:mergeCell ref="A16616:E16616"/>
    <s:mergeCell ref="A2401:E2401"/>
    <s:mergeCell ref="A316:E316"/>
    <s:mergeCell ref="A18413:E18413"/>
    <s:mergeCell ref="A23834:E23834"/>
    <s:mergeCell ref="A11316:E11316"/>
    <s:mergeCell ref="A25620:E25620"/>
    <s:mergeCell ref="A16916:E16916"/>
    <s:mergeCell ref="A4398:E4398"/>
    <s:mergeCell ref="A9531:E9531"/>
    <s:mergeCell ref="A23835:E23835"/>
    <s:mergeCell ref="B31767:E31767"/>
    <s:mergeCell ref="A18429:E18429"/>
    <s:mergeCell ref="A16344:E16344"/>
    <s:mergeCell ref="A31247:E31247"/>
    <s:mergeCell ref="A29162:E29162"/>
    <s:mergeCell ref="A16644:E16644"/>
    <s:mergeCell ref="A14947:E14947"/>
    <s:mergeCell ref="A23762:E23762"/>
    <s:mergeCell ref="A30948:E30948"/>
    <s:mergeCell ref="B8276:E8276"/>
    <s:mergeCell ref="A21760:E21760"/>
    <s:mergeCell ref="A31159:E31159"/>
    <s:mergeCell ref="A9242:E9242"/>
    <s:mergeCell ref="A16944:E16944"/>
    <s:mergeCell ref="B31495:E31495"/>
    <s:mergeCell ref="A24062:E24062"/>
    <s:mergeCell ref="A31248:E31248"/>
    <s:mergeCell ref="A7756:E7756"/>
    <s:mergeCell ref="A25842:E25842"/>
    <s:mergeCell ref="A23757:E23757"/>
    <s:mergeCell ref="A22060:E22060"/>
    <s:mergeCell ref="A9542:E9542"/>
    <s:mergeCell ref="A7457:E7457"/>
    <s:mergeCell ref="A24362:E24362"/>
    <s:mergeCell ref="A22277:E22277"/>
    <s:mergeCell ref="A24057:E24057"/>
    <s:mergeCell ref="A7757:E7757"/>
    <s:mergeCell ref="A29478:E29478"/>
    <s:mergeCell ref="A4598:E4598"/>
    <s:mergeCell ref="A29173:E29173"/>
    <s:mergeCell ref="A4293:E4293"/>
    <s:mergeCell ref="A4898:E4898"/>
    <s:mergeCell ref="A2807:E2807"/>
    <s:mergeCell ref="B15117:E15117"/>
    <s:mergeCell ref="A29473:E29473"/>
    <s:mergeCell ref="A19196:E19196"/>
    <s:mergeCell ref="A17111:E17111"/>
    <s:mergeCell ref="A4593:E4593"/>
    <s:mergeCell ref="A5198:E5198"/>
    <s:mergeCell ref="A3113:E3113"/>
    <s:mergeCell ref="A4893:E4893"/>
    <s:mergeCell ref="A14897:E14897"/>
    <s:mergeCell ref="A29207:E29207"/>
    <s:mergeCell ref="A29201:E29201"/>
    <s:mergeCell ref="A27116:E27116"/>
    <s:mergeCell ref="A3124:E3124"/>
    <s:mergeCell ref="A9743:E9743"/>
    <s:mergeCell ref="A9737:E9737"/>
    <s:mergeCell ref="A1033:E1033"/>
    <s:mergeCell ref="A10253:E10253"/>
    <s:mergeCell ref="A11734:E11734"/>
    <s:mergeCell ref="A10037:E10037"/>
    <s:mergeCell ref="A17155:E17155"/>
    <s:mergeCell ref="A24857:E24857"/>
    <s:mergeCell ref="A2552:E2552"/>
    <s:mergeCell ref="A1066:E1066"/>
    <s:mergeCell ref="A17455:E17455"/>
    <s:mergeCell ref="A2852:E2852"/>
    <s:mergeCell ref="A17150:E17150"/>
    <s:mergeCell ref="A15065:E15065"/>
    <s:mergeCell ref="A2547:E2547"/>
    <s:mergeCell ref="A7968:E7968"/>
    <s:mergeCell ref="A17367:E17367"/>
    <s:mergeCell ref="A15670:E15670"/>
    <s:mergeCell ref="A19452:E19452"/>
    <s:mergeCell ref="A3152:E3152"/>
    <s:mergeCell ref="A1067:E1067"/>
    <s:mergeCell ref="B28490:E28490"/>
    <s:mergeCell ref="A17456:E17456"/>
    <s:mergeCell ref="A8179:E8179"/>
    <s:mergeCell ref="A6482:E6482"/>
    <s:mergeCell ref="A24568:E24568"/>
    <s:mergeCell ref="A22483:E22483"/>
    <s:mergeCell ref="A8268:E8268"/>
    <s:mergeCell ref="A6183:E6183"/>
    <s:mergeCell ref="A15970:E15970"/>
    <s:mergeCell ref="A17667:E17667"/>
    <s:mergeCell ref="A10570:E10570"/>
    <s:mergeCell ref="A8485:E8485"/>
    <s:mergeCell ref="A8479:E8479"/>
    <s:mergeCell ref="A22783:E22783"/>
    <s:mergeCell ref="A10265:E10265"/>
    <s:mergeCell ref="A6483:E6483"/>
    <s:mergeCell ref="B9026:E9026"/>
    <s:mergeCell ref="A1077:E1077"/>
    <s:mergeCell ref="A15398:E15398"/>
    <s:mergeCell ref="A15381:E15381"/>
    <s:mergeCell ref="A23083:E23083"/>
    <s:mergeCell ref="A20998:E20998"/>
    <s:mergeCell ref="A8480:E8480"/>
    <s:mergeCell ref="A13901:E13901"/>
    <s:mergeCell ref="A15681:E15681"/>
    <s:mergeCell ref="A13596:E13596"/>
    <s:mergeCell ref="B9027:E9027"/>
    <s:mergeCell ref="A1078:E1078"/>
    <s:mergeCell ref="A22511:E22511"/>
    <s:mergeCell ref="A23116:E23116"/>
    <s:mergeCell ref="B1619:E1619"/>
    <s:mergeCell ref="A24902:E24902"/>
    <s:mergeCell ref="A6405:E6405"/>
    <s:mergeCell ref="A22811:E22811"/>
    <s:mergeCell ref="A29929:E29929"/>
    <s:mergeCell ref="A30018:E30018"/>
    <s:mergeCell ref="A27927:E27927"/>
    <s:mergeCell ref="A15409:E15409"/>
    <s:mergeCell ref="A23111:E23111"/>
    <s:mergeCell ref="A29713:E29713"/>
    <s:mergeCell ref="A28144:E28144"/>
    <s:mergeCell ref="A30229:E30229"/>
    <s:mergeCell ref="A28233:E28233"/>
    <s:mergeCell ref="A29924:E29924"/>
    <s:mergeCell ref="A13624:E13624"/>
    <s:mergeCell ref="A20742:E20742"/>
    <s:mergeCell ref="A27928:E27928"/>
    <s:mergeCell ref="A28444:E28444"/>
    <s:mergeCell ref="A4436:E4436"/>
    <s:mergeCell ref="A6738:E6738"/>
    <s:mergeCell ref="A21042:E21042"/>
    <s:mergeCell ref="A6433:E6433"/>
    <s:mergeCell ref="A20737:E20737"/>
    <s:mergeCell ref="A8219:E8219"/>
    <s:mergeCell ref="A21342:E21342"/>
    <s:mergeCell ref="A19257:E19257"/>
    <s:mergeCell ref="B6980:E6980"/>
    <s:mergeCell ref="A6733:E6733"/>
    <s:mergeCell ref="A21037:E21037"/>
    <s:mergeCell ref="A6434:E6434"/>
    <s:mergeCell ref="A11855:E11855"/>
    <s:mergeCell ref="A11849:E11849"/>
    <s:mergeCell ref="A4364:E4364"/>
    <s:mergeCell ref="A13635:E13635"/>
    <s:mergeCell ref="A11550:E11550"/>
    <s:mergeCell ref="A12066:E12066"/>
    <s:mergeCell ref="A14151:E14151"/>
    <s:mergeCell ref="A28455:E28455"/>
    <s:mergeCell ref="A26370:E26370"/>
    <s:mergeCell ref="A12155:E12155"/>
    <s:mergeCell ref="A19267:E19267"/>
    <s:mergeCell ref="A4664:E4664"/>
    <s:mergeCell ref="A11850:E11850"/>
    <s:mergeCell ref="A12366:E12366"/>
    <s:mergeCell ref="A18968:E18968"/>
    <s:mergeCell ref="A26670:E26670"/>
    <s:mergeCell ref="A2668:E2668"/>
    <s:mergeCell ref="A4359:E4359"/>
    <s:mergeCell ref="A17482:E17482"/>
    <s:mergeCell ref="A4964:E4964"/>
    <s:mergeCell ref="A2879:E2879"/>
    <s:mergeCell ref="A19268:E19268"/>
    <s:mergeCell ref="A17177:E17177"/>
    <s:mergeCell ref="A4659:E4659"/>
    <s:mergeCell ref="A11777:E11777"/>
    <s:mergeCell ref="B18029:E18029"/>
    <s:mergeCell ref="A3179:E3179"/>
    <s:mergeCell ref="A19568:E19568"/>
    <s:mergeCell ref="A12077:E12077"/>
    <s:mergeCell ref="A18696:E18696"/>
    <s:mergeCell ref="A26398:E26398"/>
    <s:mergeCell ref="B3726:E3726"/>
    <s:mergeCell ref="A28483:E28483"/>
    <s:mergeCell ref="A31514:E31514"/>
    <s:mergeCell ref="A12377:E12377"/>
    <s:mergeCell ref="A18996:E18996"/>
    <s:mergeCell ref="B10628:E10628"/>
    <s:mergeCell ref="A24112:E24112"/>
    <s:mergeCell ref="A19296:E19296"/>
    <s:mergeCell ref="A26414:E26414"/>
    <s:mergeCell ref="A31509:E31509"/>
    <s:mergeCell ref="A10108:E10108"/>
    <s:mergeCell ref="A24412:E24412"/>
    <s:mergeCell ref="A22327:E22327"/>
    <s:mergeCell ref="A26714:E26714"/>
    <s:mergeCell ref="A24629:E24629"/>
    <s:mergeCell ref="A24623:E24623"/>
    <s:mergeCell ref="A26409:E26409"/>
    <s:mergeCell ref="A17221:E17221"/>
    <s:mergeCell ref="A15136:E15136"/>
    <s:mergeCell ref="A2618:E2618"/>
    <s:mergeCell ref="A31525:E31525"/>
    <s:mergeCell ref="A26709:E26709"/>
    <s:mergeCell ref="A24624:E24624"/>
    <s:mergeCell ref="A30045:E30045"/>
    <s:mergeCell ref="A17527:E17527"/>
    <s:mergeCell ref="A15436:E15436"/>
    <s:mergeCell ref="A2918:E2918"/>
    <s:mergeCell ref="A5159:E5159"/>
    <s:mergeCell ref="A17222:E17222"/>
    <s:mergeCell ref="A16041:E16041"/>
    <s:mergeCell ref="A15131:E15131"/>
    <s:mergeCell ref="A30345:E30345"/>
    <s:mergeCell ref="A17433:E17433"/>
    <s:mergeCell ref="A15736:E15736"/>
    <s:mergeCell ref="A3218:E3218"/>
    <s:mergeCell ref="A17522:E17522"/>
    <s:mergeCell ref="A59:E59"/>
    <s:mergeCell ref="A24634:E24634"/>
    <s:mergeCell ref="A12578:E12578"/>
    <s:mergeCell ref="A12572:E12572"/>
    <s:mergeCell ref="A54:E54"/>
    <s:mergeCell ref="A5475:E5475"/>
    <s:mergeCell ref="A3390:E3390"/>
    <s:mergeCell ref="B10878:E10878"/>
    <s:mergeCell ref="A12878:E12878"/>
    <s:mergeCell ref="A3690:E3690"/>
    <s:mergeCell ref="A3385:E3385"/>
    <s:mergeCell ref="A22577:E22577"/>
    <s:mergeCell ref="A3990:E3990"/>
    <s:mergeCell ref="A1905:E1905"/>
    <s:mergeCell ref="A3685:E3685"/>
    <s:mergeCell ref="A29784:E29784"/>
    <s:mergeCell ref="A24968:E24968"/>
    <s:mergeCell ref="A22883:E22883"/>
    <s:mergeCell ref="A30084:E30084"/>
    <s:mergeCell ref="A27999:E27999"/>
    <s:mergeCell ref="B4449:E4449"/>
    <s:mergeCell ref="A5204:E5204"/>
    <s:mergeCell ref="B30542:E30542"/>
    <s:mergeCell ref="A10804:E10804"/>
    <s:mergeCell ref="A20018:E20018"/>
    <s:mergeCell ref="A17417:E17417"/>
    <s:mergeCell ref="A17933:E17933"/>
    <s:mergeCell ref="A3718:E3718"/>
    <s:mergeCell ref="A29996:E29996"/>
    <s:mergeCell ref="A28299:E28299"/>
    <s:mergeCell ref="A19719:E19719"/>
    <s:mergeCell ref="A18022:E18022"/>
    <s:mergeCell ref="A3419:E3419"/>
    <s:mergeCell ref="A3413:E3413"/>
    <s:mergeCell ref="A10531:E10531"/>
    <s:mergeCell ref="A20019:E20019"/>
    <s:mergeCell ref="A10831:E10831"/>
    <s:mergeCell ref="A25135:E25135"/>
    <s:mergeCell ref="A8835:E8835"/>
    <s:mergeCell ref="A20319:E20319"/>
    <s:mergeCell ref="A23655:E23655"/>
    <s:mergeCell ref="A3429:E3429"/>
    <s:mergeCell ref="A1344:E1344"/>
    <s:mergeCell ref="A11131:E11131"/>
    <s:mergeCell ref="A25435:E25435"/>
    <s:mergeCell ref="A12917:E12917"/>
    <s:mergeCell ref="A10832:E10832"/>
    <s:mergeCell ref="A17944:E17944"/>
    <s:mergeCell ref="A1644:E1644"/>
    <s:mergeCell ref="A23650:E23650"/>
    <s:mergeCell ref="A3424:E3424"/>
    <s:mergeCell ref="A1339:E1339"/>
    <s:mergeCell ref="A1855:E1855"/>
    <s:mergeCell ref="A16159:E16159"/>
    <s:mergeCell ref="A9062:E9062"/>
    <s:mergeCell ref="A17945:E17945"/>
    <s:mergeCell ref="A1639:E1639"/>
    <s:mergeCell ref="A8757:E8757"/>
    <s:mergeCell ref="A16459:E16459"/>
    <s:mergeCell ref="A3941:E3941"/>
    <s:mergeCell ref="A9362:E9362"/>
    <s:mergeCell ref="A7277:E7277"/>
    <s:mergeCell ref="A23666:E23666"/>
    <s:mergeCell ref="A30279:E30279"/>
    <s:mergeCell ref="A30496:E30496"/>
    <s:mergeCell ref="B22128:E22128"/>
    <s:mergeCell ref="A30579:E30579"/>
    <s:mergeCell ref="A9357:E9357"/>
    <s:mergeCell ref="A7272:E7272"/>
    <s:mergeCell ref="A30491:E30491"/>
    <s:mergeCell ref="B17022:E17022"/>
    <s:mergeCell ref="A23394:E23394"/>
    <s:mergeCell ref="A31096:E31096"/>
    <s:mergeCell ref="A2172:E2172"/>
    <s:mergeCell ref="B2413:E2413"/>
    <s:mergeCell ref="A8785:E8785"/>
    <s:mergeCell ref="A81:E81"/>
    <s:mergeCell ref="A23089:E23089"/>
    <s:mergeCell ref="B417:E417"/>
    <s:mergeCell ref="A30791:E30791"/>
    <s:mergeCell ref="A170:E170"/>
    <s:mergeCell ref="A23694:E23694"/>
    <s:mergeCell ref="A21609:E21609"/>
    <s:mergeCell ref="A23300:E23300"/>
    <s:mergeCell ref="A9085:E9085"/>
    <s:mergeCell ref="A7000:E7000"/>
    <s:mergeCell ref="A16203:E16203"/>
    <s:mergeCell ref="B2414:E2414"/>
    <s:mergeCell ref="A23389:E23389"/>
    <s:mergeCell ref="B15537:E15537"/>
    <s:mergeCell ref="A7588:E7588"/>
    <s:mergeCell ref="A5503:E5503"/>
    <s:mergeCell ref="A14201:E14201"/>
    <s:mergeCell ref="A29021:E29021"/>
    <s:mergeCell ref="A16503:E16503"/>
    <s:mergeCell ref="A14418:E14418"/>
    <s:mergeCell ref="A21604:E21604"/>
    <s:mergeCell ref="A28722:E28722"/>
    <s:mergeCell ref="A14507:E14507"/>
    <s:mergeCell ref="A16198:E16198"/>
    <s:mergeCell ref="A21619:E21619"/>
    <s:mergeCell ref="A19534:E19534"/>
    <s:mergeCell ref="B7830:E7830"/>
    <s:mergeCell ref="A7016:E7016"/>
    <s:mergeCell ref="A14718:E14718"/>
    <s:mergeCell ref="A29022:E29022"/>
    <s:mergeCell ref="A29016:E29016"/>
    <s:mergeCell ref="A6711:E6711"/>
    <s:mergeCell ref="A23616:E23616"/>
    <s:mergeCell ref="A21531:E21531"/>
    <s:mergeCell ref="A19834:E19834"/>
    <s:mergeCell ref="A5225:E5225"/>
    <s:mergeCell ref="A21620:E21620"/>
    <s:mergeCell ref="A19529:E19529"/>
    <s:mergeCell ref="A7011:E7011"/>
    <s:mergeCell ref="A21831:E21831"/>
    <s:mergeCell ref="A20134:E20134"/>
    <s:mergeCell ref="A5531:E5531"/>
    <s:mergeCell ref="A21920:E21920"/>
    <s:mergeCell ref="A12643:E12643"/>
    <s:mergeCell ref="A125:E125"/>
    <s:mergeCell ref="A5226:E5226"/>
    <s:mergeCell ref="A30835:E30835"/>
    <s:mergeCell ref="A28750:E28750"/>
    <s:mergeCell ref="A20046:E20046"/>
    <s:mergeCell ref="A12949:E12949"/>
    <s:mergeCell ref="A12943:E12943"/>
    <s:mergeCell ref="A27247:E27247"/>
    <s:mergeCell ref="A14729:E14729"/>
    <s:mergeCell ref="A12644:E12644"/>
    <s:mergeCell ref="A29050:E29050"/>
    <s:mergeCell ref="A12638:E12638"/>
    <s:mergeCell ref="A12944:E12944"/>
    <s:mergeCell ref="A7538:E7538"/>
    <s:mergeCell ref="A19757:E19757"/>
    <s:mergeCell ref="B13491:E13491"/>
    <s:mergeCell ref="A5542:E5542"/>
    <s:mergeCell ref="A12671:E12671"/>
    <s:mergeCell ref="A26975:E26975"/>
    <s:mergeCell ref="A28761:E28761"/>
    <s:mergeCell ref="A17488:E17488"/>
    <s:mergeCell ref="A27275:E27275"/>
    <s:mergeCell ref="A12672:E12672"/>
    <s:mergeCell ref="A29061:E29061"/>
    <s:mergeCell ref="A26976:E26976"/>
    <s:mergeCell ref="A26970:E26970"/>
    <s:mergeCell ref="B27822:E27822"/>
    <s:mergeCell ref="A17788:E17788"/>
    <s:mergeCell ref="B4515:E4515"/>
    <s:mergeCell ref="A12972:E12972"/>
    <s:mergeCell ref="B18819:E18819"/>
    <s:mergeCell ref="A593:E593"/>
    <s:mergeCell ref="A21870:E21870"/>
    <s:mergeCell ref="A18088:E18088"/>
    <s:mergeCell ref="A26986:E26986"/>
    <s:mergeCell ref="A24901:E24901"/>
    <s:mergeCell ref="B2229:E2229"/>
    <s:mergeCell ref="A20085:E20085"/>
    <s:mergeCell ref="A25506:E25506"/>
    <s:mergeCell ref="A23421:E23421"/>
    <s:mergeCell ref="A12988:E12988"/>
    <s:mergeCell ref="A10903:E10903"/>
    <s:mergeCell ref="A10897:E10897"/>
    <s:mergeCell ref="A25207:E25207"/>
    <s:mergeCell ref="A25201:E25201"/>
    <s:mergeCell ref="A12683:E12683"/>
    <s:mergeCell ref="A10598:E10598"/>
    <s:mergeCell ref="B2230:E2230"/>
    <s:mergeCell ref="A23721:E23721"/>
    <s:mergeCell ref="A25412:E25412"/>
    <s:mergeCell ref="A25501:E25501"/>
    <s:mergeCell ref="A23416:E23416"/>
    <s:mergeCell ref="A10898:E10898"/>
    <s:mergeCell ref="A6042:E6042"/>
    <s:mergeCell ref="A5737:E5737"/>
    <s:mergeCell ref="A8039:E8039"/>
    <s:mergeCell ref="A6342:E6342"/>
    <s:mergeCell ref="A4257:E4257"/>
    <s:mergeCell ref="A6037:E6037"/>
    <s:mergeCell ref="A13155:E13155"/>
    <s:mergeCell ref="A8339:E8339"/>
    <s:mergeCell ref="A6254:E6254"/>
    <s:mergeCell ref="A13455:E13455"/>
    <s:mergeCell ref="A11370:E11370"/>
    <s:mergeCell ref="A30562:E30562"/>
    <s:mergeCell ref="A11670:E11670"/>
    <s:mergeCell ref="A30862:E30862"/>
    <s:mergeCell ref="A30557:E30557"/>
    <s:mergeCell ref="B6811:E6811"/>
    <s:mergeCell ref="A13183:E13183"/>
    <s:mergeCell ref="A23760:E23760"/>
    <s:mergeCell ref="A27698:E27698"/>
    <s:mergeCell ref="A26001:E26001"/>
    <s:mergeCell ref="A13483:E13483"/>
    <s:mergeCell ref="B29607:E29607"/>
    <s:mergeCell ref="A11093:E11093"/>
    <s:mergeCell ref="A20296:E20296"/>
    <s:mergeCell ref="A27998:E27998"/>
    <s:mergeCell ref="A3996:E3996"/>
    <s:mergeCell ref="A4207:E4207"/>
    <s:mergeCell ref="A20596:E20596"/>
    <s:mergeCell ref="A4296:E4296"/>
    <s:mergeCell ref="A2211:E2211"/>
    <s:mergeCell ref="A19116:E19116"/>
    <s:mergeCell ref="B31420:E31420"/>
    <s:mergeCell ref="A4507:E4507"/>
    <s:mergeCell ref="A18811:E18811"/>
    <s:mergeCell ref="A6293:E6293"/>
    <s:mergeCell ref="A9623:E9623"/>
    <s:mergeCell ref="A19111:E19111"/>
    <s:mergeCell ref="A9929:E9929"/>
    <s:mergeCell ref="A11620:E11620"/>
    <s:mergeCell ref="A2438:E2438"/>
    <s:mergeCell ref="A11709:E11709"/>
    <s:mergeCell ref="A9624:E9624"/>
    <s:mergeCell ref="A4218:E4218"/>
    <s:mergeCell ref="A11920:E11920"/>
    <s:mergeCell ref="A18539:E18539"/>
    <s:mergeCell ref="A2222:E2222"/>
    <s:mergeCell ref="A2738:E2738"/>
    <s:mergeCell ref="A9924:E9924"/>
    <s:mergeCell ref="A17042:E17042"/>
    <s:mergeCell ref="A17036:E17036"/>
    <s:mergeCell ref="A14951:E14951"/>
    <s:mergeCell ref="A2433:E2433"/>
    <s:mergeCell ref="A16737:E16737"/>
    <s:mergeCell ref="A3038:E3038"/>
    <s:mergeCell ref="A953:E953"/>
    <s:mergeCell ref="A27737:E27737"/>
    <s:mergeCell ref="A25652:E25652"/>
    <s:mergeCell ref="A23955:E23955"/>
    <s:mergeCell ref="A2733:E2733"/>
    <s:mergeCell ref="A7855:E7855"/>
    <s:mergeCell ref="A25952:E25952"/>
    <s:mergeCell ref="A31373:E31373"/>
    <s:mergeCell ref="A18855:E18855"/>
    <s:mergeCell ref="A16770:E16770"/>
    <s:mergeCell ref="A18550:E18550"/>
    <s:mergeCell ref="A26252:E26252"/>
    <s:mergeCell ref="A29588:E29588"/>
    <s:mergeCell ref="A17070:E17070"/>
    <s:mergeCell ref="A31374:E31374"/>
    <s:mergeCell ref="A31368:E31368"/>
    <s:mergeCell ref="A16765:E16765"/>
    <s:mergeCell ref="A23883:E23883"/>
    <s:mergeCell ref="A31585:E31585"/>
    <s:mergeCell ref="A9668:E9668"/>
    <s:mergeCell ref="A964:E964"/>
    <s:mergeCell ref="A7577:E7577"/>
    <s:mergeCell ref="A17065:E17065"/>
    <s:mergeCell ref="A24183:E24183"/>
    <s:mergeCell ref="A22486:E22486"/>
    <s:mergeCell ref="A20401:E20401"/>
    <s:mergeCell ref="A7883:E7883"/>
    <s:mergeCell ref="A7877:E7877"/>
    <s:mergeCell ref="A14995:E14995"/>
    <s:mergeCell ref="B1206:E1206"/>
    <s:mergeCell ref="A392:E392"/>
    <s:mergeCell ref="A29299:E29299"/>
    <s:mergeCell ref="A24483:E24483"/>
    <s:mergeCell ref="A9874:E9874"/>
    <s:mergeCell ref="A13210:E13210"/>
    <s:mergeCell ref="A692:E692"/>
    <s:mergeCell ref="A27514:E27514"/>
    <s:mergeCell ref="A14996:E14996"/>
    <s:mergeCell ref="A14990:E14990"/>
    <s:mergeCell ref="A12905:E12905"/>
    <s:mergeCell ref="A2472:E2472"/>
    <s:mergeCell ref="A387:E387"/>
    <s:mergeCell ref="A28119:E28119"/>
    <s:mergeCell ref="A992:E992"/>
    <s:mergeCell ref="A31596:E31596"/>
    <s:mergeCell ref="A15296:E15296"/>
    <s:mergeCell ref="A687:E687"/>
    <s:mergeCell ref="B29841:E29841"/>
    <s:mergeCell ref="A22408:E22408"/>
    <s:mergeCell ref="A20323:E20323"/>
    <s:mergeCell ref="A7805:E7805"/>
    <s:mergeCell ref="A6108:E6108"/>
    <s:mergeCell ref="A4023:E4023"/>
    <s:mergeCell ref="A8410:E8410"/>
    <s:mergeCell ref="A5803:E5803"/>
    <s:mergeCell ref="A29327:E29327"/>
    <s:mergeCell ref="A20623:E20623"/>
    <s:mergeCell ref="A8105:E8105"/>
    <s:mergeCell ref="A4323:E4323"/>
    <s:mergeCell ref="A22409:E22409"/>
    <s:mergeCell ref="A6103:E6103"/>
    <s:mergeCell ref="A13221:E13221"/>
    <s:mergeCell ref="A29627:E29627"/>
    <s:mergeCell ref="A20923:E20923"/>
    <s:mergeCell ref="A27542:E27542"/>
    <s:mergeCell ref="A8405:E8405"/>
    <s:mergeCell ref="A6320:E6320"/>
    <s:mergeCell ref="A11741:E11741"/>
    <s:mergeCell ref="A13521:E13521"/>
    <s:mergeCell ref="B8952:E8952"/>
    <s:mergeCell ref="A11436:E11436"/>
    <s:mergeCell ref="A1159:E1159"/>
    <s:mergeCell ref="B23256:E23256"/>
    <s:mergeCell ref="A13222:E13222"/>
    <s:mergeCell ref="A22436:E22436"/>
    <s:mergeCell ref="A20351:E20351"/>
    <s:mergeCell ref="A11736:E11736"/>
    <s:mergeCell ref="A1459:E1459"/>
    <s:mergeCell ref="A27253:E27253"/>
    <s:mergeCell ref="B16065:E16065"/>
    <s:mergeCell ref="A27769:E27769"/>
    <s:mergeCell ref="B12283:E12283"/>
    <s:mergeCell ref="A22437:E22437"/>
    <s:mergeCell ref="B4792:E4792"/>
    <s:mergeCell ref="A13249:E13249"/>
    <s:mergeCell ref="A11164:E11164"/>
    <s:mergeCell ref="A27553:E27553"/>
    <s:mergeCell ref="A25984:E25984"/>
    <s:mergeCell ref="A28069:E28069"/>
    <s:mergeCell ref="A22737:E22737"/>
    <s:mergeCell ref="A26073:E26073"/>
    <s:mergeCell ref="B13796:E13796"/>
    <s:mergeCell ref="A27764:E27764"/>
    <s:mergeCell ref="A20667:E20667"/>
    <s:mergeCell ref="A27853:E27853"/>
    <s:mergeCell ref="A25768:E25768"/>
    <s:mergeCell ref="A30155:E30155"/>
    <s:mergeCell ref="A28064:E28064"/>
    <s:mergeCell ref="A18882:E18882"/>
    <s:mergeCell ref="A26068:E26068"/>
    <s:mergeCell ref="A20662:E20662"/>
    <s:mergeCell ref="A18577:E18577"/>
    <s:mergeCell ref="A6059:E6059"/>
    <s:mergeCell ref="A19182:E19182"/>
    <s:mergeCell ref="A18877:E18877"/>
    <s:mergeCell ref="A6359:E6359"/>
    <s:mergeCell ref="A1503:E1503"/>
    <s:mergeCell ref="A26084:E26084"/>
    <s:mergeCell ref="A23999:E23999"/>
    <s:mergeCell ref="A13722:E13722"/>
    <s:mergeCell ref="A14022:E14022"/>
    <s:mergeCell ref="A6531:E6531"/>
    <s:mergeCell ref="A28537:E28537"/>
    <s:mergeCell ref="A16019:E16019"/>
    <s:mergeCell ref="A6831:E6831"/>
    <s:mergeCell ref="A25718:E25718"/>
    <s:mergeCell ref="A7131:E7131"/>
    <s:mergeCell ref="A5046:E5046"/>
    <s:mergeCell ref="A26018:E26018"/>
    <s:mergeCell ref="A5346:E5346"/>
    <s:mergeCell ref="A6559:E6559"/>
    <s:mergeCell ref="A20863:E20863"/>
    <s:mergeCell ref="A6859:E6859"/>
    <s:mergeCell ref="A31440:E31440"/>
    <s:mergeCell ref="A4757:E4757"/>
    <s:mergeCell ref="A6554:E6554"/>
    <s:mergeCell ref="A11975:E11975"/>
    <s:mergeCell ref="A7159:E7159"/>
    <s:mergeCell ref="B13006:E13006"/>
    <s:mergeCell ref="A5057:E5057"/>
    <s:mergeCell ref="A14277:E14277"/>
    <s:mergeCell ref="A19378:E19378"/>
    <s:mergeCell ref="A28581:E28581"/>
    <s:mergeCell ref="A13972:E13972"/>
    <s:mergeCell ref="A12275:E12275"/>
    <s:mergeCell ref="A28276:E28276"/>
    <s:mergeCell ref="A12492:E12492"/>
    <s:mergeCell ref="A11970:E11970"/>
    <s:mergeCell ref="A28881:E28881"/>
    <s:mergeCell ref="A26796:E26796"/>
    <s:mergeCell ref="A26790:E26790"/>
    <s:mergeCell ref="A14272:E14272"/>
    <s:mergeCell ref="A12187:E12187"/>
    <s:mergeCell ref="A28576:E28576"/>
    <s:mergeCell ref="A13973:E13973"/>
    <s:mergeCell ref="A19394:E19394"/>
    <s:mergeCell ref="A19388:E19388"/>
    <s:mergeCell ref="A17303:E17303"/>
    <s:mergeCell ref="A4785:E4785"/>
    <s:mergeCell ref="A19089:E19089"/>
    <s:mergeCell ref="A17908:E17908"/>
    <s:mergeCell ref="A5390:E5390"/>
    <s:mergeCell ref="A3305:E3305"/>
    <s:mergeCell ref="A19694:E19694"/>
    <s:mergeCell ref="A19300:E19300"/>
    <s:mergeCell ref="A17603:E17603"/>
    <s:mergeCell ref="A5085:E5085"/>
    <s:mergeCell ref="B20152:E20152"/>
    <s:mergeCell ref="A12203:E12203"/>
    <s:mergeCell ref="A19389:E19389"/>
    <s:mergeCell ref="A5385:E5385"/>
    <s:mergeCell ref="A3300:E3300"/>
    <s:mergeCell ref="A12503:E12503"/>
    <s:mergeCell ref="A10418:E10418"/>
    <s:mergeCell ref="A26824:E26824"/>
    <s:mergeCell ref="A10412:E10412"/>
    <s:mergeCell ref="A3315:E3315"/>
    <s:mergeCell ref="A12198:E12198"/>
    <s:mergeCell ref="B20147:E20147"/>
    <s:mergeCell ref="B25568:E25568"/>
    <s:mergeCell ref="A10718:E10718"/>
    <s:mergeCell ref="A31635:E31635"/>
    <s:mergeCell ref="A1530:E1530"/>
    <s:mergeCell ref="A3316:E3316"/>
    <s:mergeCell ref="A1225:E1225"/>
    <s:mergeCell ref="A24749:E24749"/>
    <s:mergeCell ref="A3011:E3011"/>
    <s:mergeCell ref="A1830:E1830"/>
    <s:mergeCell ref="A26535:E26535"/>
    <s:mergeCell ref="B3863:E3863"/>
    <s:mergeCell ref="A11926:E11926"/>
    <s:mergeCell ref="A1525:E1525"/>
    <s:mergeCell ref="A25049:E25049"/>
    <s:mergeCell ref="B18378:E18378"/>
    <s:mergeCell ref="A26835:E26835"/>
    <s:mergeCell ref="A24750:E24750"/>
    <s:mergeCell ref="A23053:E23053"/>
    <s:mergeCell ref="A24744:E24744"/>
    <s:mergeCell ref="A12226:E12226"/>
    <s:mergeCell ref="A17647:E17647"/>
    <s:mergeCell ref="A29866:E29866"/>
    <s:mergeCell ref="A8644:E8644"/>
    <s:mergeCell ref="A17342:E17342"/>
    <s:mergeCell ref="A17858:E17858"/>
    <s:mergeCell ref="A15862:E15862"/>
    <s:mergeCell ref="A3344:E3344"/>
    <s:mergeCell ref="A15557:E15557"/>
    <s:mergeCell ref="A24760:E24760"/>
    <s:mergeCell ref="A22675:E22675"/>
    <s:mergeCell ref="A17859:E17859"/>
    <s:mergeCell ref="A16162:E16162"/>
    <s:mergeCell ref="A22975:E22975"/>
    <s:mergeCell ref="A10457:E10457"/>
    <s:mergeCell ref="A6675:E6675"/>
    <s:mergeCell ref="A18159:E18159"/>
    <s:mergeCell ref="A23580:E23580"/>
    <s:mergeCell ref="A22670:E22670"/>
    <s:mergeCell ref="A8971:E8971"/>
    <s:mergeCell ref="A15573:E15573"/>
    <s:mergeCell ref="A24972:E24972"/>
    <s:mergeCell ref="A23275:E23275"/>
    <s:mergeCell ref="A21190:E21190"/>
    <s:mergeCell ref="A10757:E10757"/>
    <s:mergeCell ref="A8666:E8666"/>
    <s:mergeCell ref="A25061:E25061"/>
    <s:mergeCell ref="A14087:E14087"/>
    <s:mergeCell ref="A30088:E30088"/>
    <s:mergeCell ref="A15873:E15873"/>
    <s:mergeCell ref="A16090:E16090"/>
    <s:mergeCell ref="A24788:E24788"/>
    <s:mergeCell ref="A16084:E16084"/>
    <s:mergeCell ref="A30388:E30388"/>
    <s:mergeCell ref="A15785:E15785"/>
    <s:mergeCell ref="A14088:E14088"/>
    <s:mergeCell ref="A1570:E1570"/>
    <s:mergeCell ref="A21206:E21206"/>
    <s:mergeCell ref="A23003:E23003"/>
    <s:mergeCell ref="A20901:E20901"/>
    <s:mergeCell ref="A23303:E23303"/>
    <s:mergeCell ref="A30421:E30421"/>
    <s:mergeCell ref="A30116:E30116"/>
    <s:mergeCell ref="A28419:E28419"/>
    <s:mergeCell ref="A28636:E28636"/>
    <s:mergeCell ref="A30422:E30422"/>
    <s:mergeCell ref="B30663:E30663"/>
    <s:mergeCell ref="A30416:E30416"/>
    <s:mergeCell ref="A28331:E28331"/>
    <s:mergeCell ref="A6625:E6625"/>
    <s:mergeCell ref="A23014:E23014"/>
    <s:mergeCell ref="A20929:E20929"/>
    <s:mergeCell ref="A21534:E21534"/>
    <s:mergeCell ref="A19449:E19449"/>
    <s:mergeCell ref="A6925:E6925"/>
    <s:mergeCell ref="A14043:E14043"/>
    <s:mergeCell ref="A21229:E21229"/>
    <s:mergeCell ref="A28347:E28347"/>
    <s:mergeCell ref="A12041:E12041"/>
    <s:mergeCell ref="A28042:E28042"/>
    <s:mergeCell ref="A26861:E26861"/>
    <s:mergeCell ref="A14343:E14343"/>
    <s:mergeCell ref="A21529:E21529"/>
    <s:mergeCell ref="A4066:E4066"/>
    <s:mergeCell ref="A1981:E1981"/>
    <s:mergeCell ref="A28647:E28647"/>
    <s:mergeCell ref="A12347:E12347"/>
    <s:mergeCell ref="A14038:E14038"/>
    <s:mergeCell ref="A28342:E28342"/>
    <s:mergeCell ref="A2281:E2281"/>
    <s:mergeCell ref="A26862:E26862"/>
    <s:mergeCell ref="A8883:E8883"/>
    <s:mergeCell ref="B14585:E14585"/>
    <s:mergeCell ref="A14338:E14338"/>
    <s:mergeCell ref="A4061:E4061"/>
    <s:mergeCell ref="A1976:E1976"/>
    <s:mergeCell ref="A7397:E7397"/>
    <s:mergeCell ref="A9183:E9183"/>
    <s:mergeCell ref="A21240:E21240"/>
    <s:mergeCell ref="A8878:E8878"/>
    <s:mergeCell ref="A9483:E9483"/>
    <s:mergeCell ref="A7398:E7398"/>
    <s:mergeCell ref="A1992:E1992"/>
    <s:mergeCell ref="A9178:E9178"/>
    <s:mergeCell ref="B21998:E21998"/>
    <s:mergeCell ref="B19913:E19913"/>
    <s:mergeCell ref="A23998:E23998"/>
    <s:mergeCell ref="A11480:E11480"/>
    <s:mergeCell ref="A7698:E7698"/>
    <s:mergeCell ref="A2292:E2292"/>
    <s:mergeCell ref="A207:E207"/>
    <s:mergeCell ref="A16596:E16596"/>
    <s:mergeCell ref="A507:E507"/>
    <s:mergeCell ref="A16896:E16896"/>
    <s:mergeCell ref="A14811:E14811"/>
    <s:mergeCell ref="A2293:E2293"/>
    <s:mergeCell ref="A807:E807"/>
    <s:mergeCell ref="A26601:E26601"/>
    <s:mergeCell ref="A16324:E16324"/>
    <s:mergeCell ref="A14627:E14627"/>
    <s:mergeCell ref="A7709:E7709"/>
    <s:mergeCell ref="A26901:E26901"/>
    <s:mergeCell ref="A30839:E30839"/>
    <s:mergeCell ref="A16624:E16624"/>
    <s:mergeCell ref="A14539:E14539"/>
    <s:mergeCell ref="A12842:E12842"/>
    <s:mergeCell ref="A5351:E5351"/>
    <s:mergeCell ref="A21740:E21740"/>
    <s:mergeCell ref="A19655:E19655"/>
    <s:mergeCell ref="A518:E518"/>
    <s:mergeCell ref="A14839:E14839"/>
    <s:mergeCell ref="A24042:E24042"/>
    <s:mergeCell ref="A21957:E21957"/>
    <s:mergeCell ref="A23737:E23737"/>
    <s:mergeCell ref="A19955:E19955"/>
    <s:mergeCell ref="A15139:E15139"/>
    <s:mergeCell ref="A22257:E22257"/>
    <s:mergeCell ref="A21952:E21952"/>
    <s:mergeCell ref="A551:E551"/>
    <s:mergeCell ref="A20255:E20255"/>
    <s:mergeCell ref="A12770:E12770"/>
    <s:mergeCell ref="A12764:E12764"/>
    <s:mergeCell ref="A246:E246"/>
    <s:mergeCell ref="A27673:E27673"/>
    <s:mergeCell ref="A25588:E25588"/>
    <s:mergeCell ref="A13064:E13064"/>
    <s:mergeCell ref="A5579:E5579"/>
    <s:mergeCell ref="A12765:E12765"/>
    <s:mergeCell ref="A29670:E29670"/>
    <s:mergeCell ref="A25888:E25888"/>
    <s:mergeCell ref="A3577:E3577"/>
    <s:mergeCell ref="B13312:E13312"/>
    <s:mergeCell ref="A4182:E4182"/>
    <s:mergeCell ref="A20183:E20183"/>
    <s:mergeCell ref="A18092:E18092"/>
    <s:mergeCell ref="A5574:E5574"/>
    <s:mergeCell ref="A10995:E10995"/>
    <s:mergeCell ref="A27401:E27401"/>
    <s:mergeCell ref="A6179:E6179"/>
    <s:mergeCell ref="A4094:E4094"/>
    <s:mergeCell ref="A12792:E12792"/>
    <s:mergeCell ref="A20483:E20483"/>
    <s:mergeCell ref="A27096:E27096"/>
    <s:mergeCell ref="A4177:E4177"/>
    <s:mergeCell ref="A11295:E11295"/>
    <s:mergeCell ref="A9210:E9210"/>
    <s:mergeCell ref="A20210:E20210"/>
    <s:mergeCell ref="A10990:E10990"/>
    <s:mergeCell ref="A18125:E18125"/>
    <s:mergeCell ref="A9510:E9510"/>
    <s:mergeCell ref="B11537:E11537"/>
    <s:mergeCell ref="A25027:E25027"/>
    <s:mergeCell ref="A3805:E3805"/>
    <s:mergeCell ref="A20211:E20211"/>
    <s:mergeCell ref="A20205:E20205"/>
    <s:mergeCell ref="B28143:E28143"/>
    <s:mergeCell ref="A11023:E11023"/>
    <s:mergeCell ref="A25327:E25327"/>
    <s:mergeCell ref="A4105:E4105"/>
    <s:mergeCell ref="A20511:E20511"/>
    <s:mergeCell ref="A18426:E18426"/>
    <s:mergeCell ref="A25538:E25538"/>
    <s:mergeCell ref="A11323:E11323"/>
    <s:mergeCell ref="A27324:E27324"/>
    <s:mergeCell ref="A25627:E25627"/>
    <s:mergeCell ref="A23542:E23542"/>
    <s:mergeCell ref="A11018:E11018"/>
    <s:mergeCell ref="A25838:E25838"/>
    <s:mergeCell ref="A16140:E16140"/>
    <s:mergeCell ref="A27624:E27624"/>
    <s:mergeCell ref="A23842:E23842"/>
    <s:mergeCell ref="A30960:E30960"/>
    <s:mergeCell ref="A18442:E18442"/>
    <s:mergeCell ref="A30954:E30954"/>
    <s:mergeCell ref="A16351:E16351"/>
    <s:mergeCell ref="A2136:E2136"/>
    <s:mergeCell ref="A51:E51"/>
    <s:mergeCell ref="A18137:E18137"/>
    <s:mergeCell ref="A16956:E16956"/>
    <s:mergeCell ref="A8949:E8949"/>
    <s:mergeCell ref="A16651:E16651"/>
    <s:mergeCell ref="A30955:E30955"/>
    <s:mergeCell ref="A23858:E23858"/>
    <s:mergeCell ref="A9249:E9249"/>
    <s:mergeCell ref="A8944:E8944"/>
    <s:mergeCell ref="A9460:E9460"/>
    <s:mergeCell ref="A23764:E23764"/>
    <s:mergeCell ref="A9549:E9549"/>
    <s:mergeCell ref="A7464:E7464"/>
    <s:mergeCell ref="A16667:E16667"/>
    <s:mergeCell ref="A16362:E16362"/>
    <s:mergeCell ref="A30683:E30683"/>
    <s:mergeCell ref="A62:E62"/>
    <s:mergeCell ref="A7764:E7764"/>
    <s:mergeCell ref="A14882:E14882"/>
    <s:mergeCell ref="A31288:E31288"/>
    <s:mergeCell ref="A2364:E2364"/>
    <s:mergeCell ref="A29186:E29186"/>
    <s:mergeCell ref="A16662:E16662"/>
    <s:mergeCell ref="A14577:E14577"/>
    <s:mergeCell ref="A4300:E4300"/>
    <s:mergeCell ref="A23792:E23792"/>
    <s:mergeCell ref="A16695:E16695"/>
    <s:mergeCell ref="A30999:E30999"/>
    <s:mergeCell ref="A16390:E16390"/>
    <s:mergeCell ref="A30694:E30694"/>
    <s:mergeCell ref="B8022:E8022"/>
    <s:mergeCell ref="A14910:E14910"/>
    <s:mergeCell ref="A31299:E31299"/>
    <s:mergeCell ref="A29214:E29214"/>
    <s:mergeCell ref="A29208:E29208"/>
    <s:mergeCell ref="A16690:E16690"/>
    <s:mergeCell ref="A14605:E14605"/>
    <s:mergeCell ref="A23808:E23808"/>
    <s:mergeCell ref="A28909:E28909"/>
    <s:mergeCell ref="A15210:E15210"/>
    <s:mergeCell ref="A21812:E21812"/>
    <s:mergeCell ref="A21806:E21806"/>
    <s:mergeCell ref="A19721:E19721"/>
    <s:mergeCell ref="A14905:E14905"/>
    <s:mergeCell ref="A22023:E22023"/>
    <s:mergeCell ref="A20326:E20326"/>
    <s:mergeCell ref="A7808:E7808"/>
    <s:mergeCell ref="A22112:E22112"/>
    <s:mergeCell ref="A20027:E20027"/>
    <s:mergeCell ref="A22628:E22628"/>
    <s:mergeCell ref="A20021:E20021"/>
    <s:mergeCell ref="A3131:E3131"/>
    <s:mergeCell ref="A22323:E22323"/>
    <s:mergeCell ref="A17162:E17162"/>
    <s:mergeCell ref="A4644:E4644"/>
    <s:mergeCell ref="A2559:E2559"/>
    <s:mergeCell ref="A4339:E4339"/>
    <s:mergeCell ref="B13383:E13383"/>
    <s:mergeCell ref="A19159:E19159"/>
    <s:mergeCell ref="A2859:E2859"/>
    <s:mergeCell ref="A29525:E29525"/>
    <s:mergeCell ref="A17163:E17163"/>
    <s:mergeCell ref="A2554:E2554"/>
    <s:mergeCell ref="B13683:E13683"/>
    <s:mergeCell ref="A3159:E3159"/>
    <s:mergeCell ref="A1074:E1074"/>
    <s:mergeCell ref="A17463:E17463"/>
    <s:mergeCell ref="A9972:E9972"/>
    <s:mergeCell ref="A27467:E27467"/>
    <s:mergeCell ref="A10272:E10272"/>
    <s:mergeCell ref="A1090:E1090"/>
    <s:mergeCell ref="A1084:E1084"/>
    <s:mergeCell ref="B28214:E28214"/>
    <s:mergeCell ref="A785:E785"/>
    <s:mergeCell ref="A8003:E8003"/>
    <s:mergeCell ref="A1085:E1085"/>
    <s:mergeCell ref="B1543:E1543"/>
    <s:mergeCell ref="A8303:E8303"/>
    <s:mergeCell ref="A29725:E29725"/>
    <s:mergeCell ref="A8215:E8215"/>
    <s:mergeCell ref="B1932:E1932"/>
    <s:mergeCell ref="A30025:E30025"/>
    <s:mergeCell ref="A27940:E27940"/>
    <s:mergeCell ref="A15422:E15422"/>
    <s:mergeCell ref="A17113:E17113"/>
    <s:mergeCell ref="A15416:E15416"/>
    <s:mergeCell ref="A13331:E13331"/>
    <s:mergeCell ref="A29937:E29937"/>
    <s:mergeCell ref="A28240:E28240"/>
    <s:mergeCell ref="A29931:E29931"/>
    <s:mergeCell ref="A5929:E5929"/>
    <s:mergeCell ref="A15328:E15328"/>
    <s:mergeCell ref="A22834:E22834"/>
    <s:mergeCell ref="A20749:E20749"/>
    <s:mergeCell ref="A8231:E8231"/>
    <s:mergeCell ref="B1554:E1554"/>
    <s:mergeCell ref="A20444:E20444"/>
    <s:mergeCell ref="A7926:E7926"/>
    <s:mergeCell ref="A6229:E6229"/>
    <s:mergeCell ref="A6745:E6745"/>
    <s:mergeCell ref="A13347:E13347"/>
    <s:mergeCell ref="A21049:E21049"/>
    <s:mergeCell ref="A8531:E8531"/>
    <s:mergeCell ref="A22835:E22835"/>
    <s:mergeCell ref="A20744:E20744"/>
    <s:mergeCell ref="A8226:E8226"/>
    <s:mergeCell ref="A4444:E4444"/>
    <s:mergeCell ref="A13647:E13647"/>
    <s:mergeCell ref="A11562:E11562"/>
    <s:mergeCell ref="A21349:E21349"/>
    <s:mergeCell ref="A13342:E13342"/>
    <s:mergeCell ref="A15644:E15644"/>
    <s:mergeCell ref="A11862:E11862"/>
    <s:mergeCell ref="A6456:E6456"/>
    <s:mergeCell ref="A4371:E4371"/>
    <s:mergeCell ref="A13642:E13642"/>
    <s:mergeCell ref="A15944:E15944"/>
    <s:mergeCell ref="A22557:E22557"/>
    <s:mergeCell ref="A20472:E20472"/>
    <s:mergeCell ref="B12104:E12104"/>
    <s:mergeCell ref="A4671:E4671"/>
    <s:mergeCell ref="A21060:E21060"/>
    <s:mergeCell ref="A18975:E18975"/>
    <s:mergeCell ref="B14400:E14400"/>
    <s:mergeCell ref="A4366:E4366"/>
    <s:mergeCell ref="A29975:E29975"/>
    <s:mergeCell ref="A4971:E4971"/>
    <s:mergeCell ref="A19275:E19275"/>
    <s:mergeCell ref="A6757:E6757"/>
    <s:mergeCell ref="A28190:E28190"/>
    <s:mergeCell ref="A29976:E29976"/>
    <s:mergeCell ref="B7304:E7304"/>
    <s:mergeCell ref="A6484:E6484"/>
    <s:mergeCell ref="A4399:E4399"/>
    <s:mergeCell ref="A20788:E20788"/>
    <s:mergeCell ref="A18703:E18703"/>
    <s:mergeCell ref="A30276:E30276"/>
    <s:mergeCell ref="A28191:E28191"/>
    <s:mergeCell ref="A4699:E4699"/>
    <s:mergeCell ref="A11301:E11301"/>
    <s:mergeCell ref="A19003:E19003"/>
    <s:mergeCell ref="B26935:E26935"/>
    <s:mergeCell ref="A26121:E26121"/>
    <s:mergeCell ref="A11601:E11601"/>
    <s:mergeCell ref="A19303:E19303"/>
    <s:mergeCell ref="A26421:E26421"/>
    <s:mergeCell ref="A11812:E11812"/>
    <s:mergeCell ref="A28201:E28201"/>
    <s:mergeCell ref="A26116:E26116"/>
    <s:mergeCell ref="A9816:E9816"/>
    <s:mergeCell ref="A26721:E26721"/>
    <s:mergeCell ref="A24636:E24636"/>
    <s:mergeCell ref="A4410:E4410"/>
    <s:mergeCell ref="A26416:E26416"/>
    <s:mergeCell ref="A13898:E13898"/>
    <s:mergeCell ref="A11813:E11813"/>
    <s:mergeCell ref="A10116:E10116"/>
    <s:mergeCell ref="A19319:E19319"/>
    <s:mergeCell ref="A17234:E17234"/>
    <s:mergeCell ref="A15143:E15143"/>
    <s:mergeCell ref="A4710:E4710"/>
    <s:mergeCell ref="A2625:E2625"/>
    <s:mergeCell ref="B10557:E10557"/>
    <s:mergeCell ref="A19014:E19014"/>
    <s:mergeCell ref="A16929:E16929"/>
    <s:mergeCell ref="A24631:E24631"/>
    <s:mergeCell ref="A3230:E3230"/>
    <s:mergeCell ref="A2320:E2320"/>
    <s:mergeCell ref="A17534:E17534"/>
    <s:mergeCell ref="A19225:E19225"/>
    <s:mergeCell ref="A2925:E2925"/>
    <s:mergeCell ref="B1675:E1675"/>
    <s:mergeCell ref="A8047:E8047"/>
    <s:mergeCell ref="A26144:E26144"/>
    <s:mergeCell ref="A3225:E3225"/>
    <s:mergeCell ref="A10343:E10343"/>
    <s:mergeCell ref="A17529:E17529"/>
    <s:mergeCell ref="A15444:E15444"/>
    <s:mergeCell ref="A24647:E24647"/>
    <s:mergeCell ref="B10285:E10285"/>
    <s:mergeCell ref="A22556:E22556"/>
    <s:mergeCell ref="A10038:E10038"/>
    <s:mergeCell ref="A26444:E26444"/>
    <s:mergeCell ref="A24947:E24947"/>
    <s:mergeCell ref="B8888:E8888"/>
    <s:mergeCell ref="A24375:E24375"/>
    <s:mergeCell ref="A24070:E24070"/>
    <s:mergeCell ref="A5483:E5483"/>
    <s:mergeCell ref="B15702:E15702"/>
    <s:mergeCell ref="A24675:E24675"/>
    <s:mergeCell ref="B1609:E1609"/>
    <s:mergeCell ref="A29791:E29791"/>
    <s:mergeCell ref="A30008:E30008"/>
    <s:mergeCell ref="A30002:E30002"/>
    <s:mergeCell ref="A28006:E28006"/>
    <s:mergeCell ref="A15488:E15488"/>
    <s:mergeCell ref="A15482:E15482"/>
    <s:mergeCell ref="A30003:E30003"/>
    <s:mergeCell ref="A28306:E28306"/>
    <s:mergeCell ref="A3426:E3426"/>
    <s:mergeCell ref="A12629:E12629"/>
    <s:mergeCell ref="A10538:E10538"/>
    <s:mergeCell ref="A12324:E12324"/>
    <s:mergeCell ref="A12929:E12929"/>
    <s:mergeCell ref="A10844:E10844"/>
    <s:mergeCell ref="A10838:E10838"/>
    <s:mergeCell ref="A25142:E25142"/>
    <s:mergeCell ref="A12624:E12624"/>
    <s:mergeCell ref="A3436:E3436"/>
    <s:mergeCell ref="A1351:E1351"/>
    <s:mergeCell ref="A25442:E25442"/>
    <s:mergeCell ref="A12924:E12924"/>
    <s:mergeCell ref="A10839:E10839"/>
    <s:mergeCell ref="A17957:E17957"/>
    <s:mergeCell ref="A5433:E5433"/>
    <s:mergeCell ref="A3348:E3348"/>
    <s:mergeCell ref="A1651:E1651"/>
    <s:mergeCell ref="A3437:E3437"/>
    <s:mergeCell ref="A3431:E3431"/>
    <s:mergeCell ref="A1346:E1346"/>
    <s:mergeCell ref="A18257:E18257"/>
    <s:mergeCell ref="A3648:E3648"/>
    <s:mergeCell ref="A1951:E1951"/>
    <s:mergeCell ref="B14472:E14472"/>
    <s:mergeCell ref="A8764:E8764"/>
    <s:mergeCell ref="A29742:E29742"/>
    <s:mergeCell ref="A18284:E18284"/>
    <s:mergeCell ref="A9064:E9064"/>
    <s:mergeCell ref="A30503:E30503"/>
    <s:mergeCell ref="A17979:E17979"/>
    <s:mergeCell ref="A30042:E30042"/>
    <s:mergeCell ref="A19765:E19765"/>
    <s:mergeCell ref="A25186:E25186"/>
    <s:mergeCell ref="A24881:E24881"/>
    <s:mergeCell ref="A17980:E17980"/>
    <s:mergeCell ref="A25098:E25098"/>
    <s:mergeCell ref="A23401:E23401"/>
    <s:mergeCell ref="B2420:E2420"/>
    <s:mergeCell ref="A8792:E8792"/>
    <s:mergeCell ref="B2121:E2121"/>
    <s:mergeCell ref="A23096:E23096"/>
    <s:mergeCell ref="A30214:E30214"/>
    <s:mergeCell ref="A25398:E25398"/>
    <s:mergeCell ref="A23701:E23701"/>
    <s:mergeCell ref="A21616:E21616"/>
    <s:mergeCell ref="A1390:E1390"/>
    <s:mergeCell ref="A9092:E9092"/>
    <s:mergeCell ref="A16210:E16210"/>
    <s:mergeCell ref="A23396:E23396"/>
    <s:mergeCell ref="A30514:E30514"/>
    <s:mergeCell ref="A14214:E14214"/>
    <s:mergeCell ref="A23613:E23613"/>
    <s:mergeCell ref="A6723:E6723"/>
    <s:mergeCell ref="A16510:E16510"/>
    <s:mergeCell ref="A14425:E14425"/>
    <s:mergeCell ref="A210:E210"/>
    <s:mergeCell ref="A1901:E1901"/>
    <s:mergeCell ref="A30814:E30814"/>
    <s:mergeCell ref="A28729:E28729"/>
    <s:mergeCell ref="A16211:E16211"/>
    <s:mergeCell ref="A16205:E16205"/>
    <s:mergeCell ref="A14120:E14120"/>
    <s:mergeCell ref="A1602:E1602"/>
    <s:mergeCell ref="A7023:E7023"/>
    <s:mergeCell ref="A21327:E21327"/>
    <s:mergeCell ref="A29029:E29029"/>
    <s:mergeCell ref="A8803:E8803"/>
    <s:mergeCell ref="A6718:E6718"/>
    <s:mergeCell ref="A30242:E30242"/>
    <s:mergeCell ref="A7323:E7323"/>
    <s:mergeCell ref="A21627:E21627"/>
    <s:mergeCell ref="A7018:E7018"/>
    <s:mergeCell ref="A14136:E14136"/>
    <s:mergeCell ref="A138:E138"/>
    <s:mergeCell ref="A132:E132"/>
    <s:mergeCell ref="B22385:E22385"/>
    <s:mergeCell ref="A14436:E14436"/>
    <s:mergeCell ref="A30842:E30842"/>
    <s:mergeCell ref="A28757:E28757"/>
    <s:mergeCell ref="A4949:E4949"/>
    <s:mergeCell ref="A14736:E14736"/>
    <s:mergeCell ref="A12651:E12651"/>
    <s:mergeCell ref="B22685:E22685"/>
    <s:mergeCell ref="A133:E133"/>
    <s:mergeCell ref="A5554:E5554"/>
    <s:mergeCell ref="A3463:E3463"/>
    <s:mergeCell ref="A7351:E7351"/>
    <s:mergeCell ref="A12951:E12951"/>
    <s:mergeCell ref="A14164:E14164"/>
    <s:mergeCell ref="A28468:E28468"/>
    <s:mergeCell ref="B13498:E13498"/>
    <s:mergeCell ref="A5549:E5549"/>
    <s:mergeCell ref="A3464:E3464"/>
    <s:mergeCell ref="A29073:E29073"/>
    <s:mergeCell ref="A26988:E26988"/>
    <s:mergeCell ref="A12379:E12379"/>
    <s:mergeCell ref="B22396:E22396"/>
    <s:mergeCell ref="A21582:E21582"/>
    <s:mergeCell ref="A28768:E28768"/>
    <s:mergeCell ref="A12984:E12984"/>
    <s:mergeCell ref="A17495:E17495"/>
    <s:mergeCell ref="A7062:E7062"/>
    <s:mergeCell ref="A4977:E4977"/>
    <s:mergeCell ref="A28979:E28979"/>
    <s:mergeCell ref="A29068:E29068"/>
    <s:mergeCell ref="A26983:E26983"/>
    <s:mergeCell ref="A19886:E19886"/>
    <s:mergeCell ref="A21577:E21577"/>
    <s:mergeCell ref="A17795:E17795"/>
    <s:mergeCell ref="A5277:E5277"/>
    <s:mergeCell ref="A26998:E26998"/>
    <s:mergeCell ref="A20097:E20097"/>
    <s:mergeCell ref="B22124:E22124"/>
    <s:mergeCell ref="A12090:E12090"/>
    <s:mergeCell ref="A5577:E5577"/>
    <s:mergeCell ref="A3492:E3492"/>
    <s:mergeCell ref="A25213:E25213"/>
    <s:mergeCell ref="B20644:E20644"/>
    <s:mergeCell ref="A12695:E12695"/>
    <s:mergeCell ref="A20397:E20397"/>
    <s:mergeCell ref="B4327:E4327"/>
    <s:mergeCell ref="A26993:E26993"/>
    <s:mergeCell ref="A24908:E24908"/>
    <s:mergeCell ref="A12390:E12390"/>
    <s:mergeCell ref="A25513:E25513"/>
    <s:mergeCell ref="B20944:E20944"/>
    <s:mergeCell ref="A10910:E10910"/>
    <s:mergeCell ref="B25455:E25455"/>
    <s:mergeCell ref="A25208:E25208"/>
    <s:mergeCell ref="A12690:E12690"/>
    <s:mergeCell ref="A10605:E10605"/>
    <s:mergeCell ref="A3508:E3508"/>
    <s:mergeCell ref="A3203:E3203"/>
    <s:mergeCell ref="A10905:E10905"/>
    <s:mergeCell ref="A20108:E20108"/>
    <s:mergeCell ref="A18023:E18023"/>
    <s:mergeCell ref="A3808:E3808"/>
    <s:mergeCell ref="A3503:E3503"/>
    <s:mergeCell ref="A18323:E18323"/>
    <s:mergeCell ref="A24936:E24936"/>
    <s:mergeCell ref="A6261:E6261"/>
    <s:mergeCell ref="B25683:E25683"/>
    <s:mergeCell ref="A30358:E30358"/>
    <s:mergeCell ref="A19531:E19531"/>
    <s:mergeCell ref="A944:E944"/>
    <s:mergeCell ref="A30658:E30658"/>
    <s:mergeCell ref="A17746:E17746"/>
    <s:mergeCell ref="A23167:E23167"/>
    <s:mergeCell ref="A10649:E10649"/>
    <s:mergeCell ref="A22862:E22862"/>
    <s:mergeCell ref="A5972:E5972"/>
    <s:mergeCell ref="A23467:E23467"/>
    <s:mergeCell ref="A23162:E23162"/>
    <s:mergeCell ref="A5788:E5788"/>
    <s:mergeCell ref="A20303:E20303"/>
    <s:mergeCell ref="A23679:E23679"/>
    <s:mergeCell ref="A4003:E4003"/>
    <s:mergeCell ref="A13402:E13402"/>
    <s:mergeCell ref="A6305:E6305"/>
    <s:mergeCell ref="A20609:E20609"/>
    <s:mergeCell ref="A20603:E20603"/>
    <s:mergeCell ref="A6000:E6000"/>
    <s:mergeCell ref="A4303:E4303"/>
    <s:mergeCell ref="A30581:E30581"/>
    <s:mergeCell ref="A20304:E20304"/>
    <s:mergeCell ref="B31427:E31427"/>
    <s:mergeCell ref="A11116:E11116"/>
    <s:mergeCell ref="A18818:E18818"/>
    <s:mergeCell ref="A6300:E6300"/>
    <s:mergeCell ref="A30308:E30308"/>
    <s:mergeCell ref="A13418:E13418"/>
    <s:mergeCell ref="A11721:E11721"/>
    <s:mergeCell ref="A9636:E9636"/>
    <s:mergeCell ref="A25631:E25631"/>
    <s:mergeCell ref="A11416:E11416"/>
    <s:mergeCell ref="A30614:E30614"/>
    <s:mergeCell ref="A13718:E13718"/>
    <s:mergeCell ref="A11633:E11633"/>
    <s:mergeCell ref="B20155:E20155"/>
    <s:mergeCell ref="A9631:E9631"/>
    <s:mergeCell ref="A4225:E4225"/>
    <s:mergeCell ref="A2140:E2140"/>
    <s:mergeCell ref="A27749:E27749"/>
    <s:mergeCell ref="A25664:E25664"/>
    <s:mergeCell ref="A4531:E4531"/>
    <s:mergeCell ref="A2440:E2440"/>
    <s:mergeCell ref="A25964:E25964"/>
    <s:mergeCell ref="A23968:E23968"/>
    <s:mergeCell ref="A27744:E27744"/>
    <s:mergeCell ref="A25659:E25659"/>
    <s:mergeCell ref="A31080:E31080"/>
    <s:mergeCell ref="A18562:E18562"/>
    <s:mergeCell ref="A26264:E26264"/>
    <s:mergeCell ref="A25965:E25965"/>
    <s:mergeCell ref="A25959:E25959"/>
    <s:mergeCell ref="A31380:E31380"/>
    <s:mergeCell ref="A18862:E18862"/>
    <s:mergeCell ref="A16777:E16777"/>
    <s:mergeCell ref="A4253:E4253"/>
    <s:mergeCell ref="A31081:E31081"/>
    <s:mergeCell ref="A18563:E18563"/>
    <s:mergeCell ref="A18557:E18557"/>
    <s:mergeCell ref="A16472:E16472"/>
    <s:mergeCell ref="A17077:E17077"/>
    <s:mergeCell ref="A31381:E31381"/>
    <s:mergeCell ref="A9586:E9586"/>
    <s:mergeCell ref="A16772:E16772"/>
    <s:mergeCell ref="A25975:E25975"/>
    <s:mergeCell ref="A23890:E23890"/>
    <s:mergeCell ref="A9675:E9675"/>
    <s:mergeCell ref="A7590:E7590"/>
    <s:mergeCell ref="A23979:E23979"/>
    <s:mergeCell ref="A2184:E2184"/>
    <s:mergeCell ref="A9886:E9886"/>
    <s:mergeCell ref="A24190:E24190"/>
    <s:mergeCell ref="A7890:E7890"/>
    <s:mergeCell ref="A9581:E9581"/>
    <s:mergeCell ref="A15002:E15002"/>
    <s:mergeCell ref="A399:E399"/>
    <s:mergeCell ref="A16788:E16788"/>
    <s:mergeCell ref="A24490:E24490"/>
    <s:mergeCell ref="A15308:E15308"/>
    <s:mergeCell ref="A16483:E16483"/>
    <s:mergeCell ref="A699:E699"/>
    <s:mergeCell ref="A31303:E31303"/>
    <s:mergeCell ref="A17088:E17088"/>
    <s:mergeCell ref="A15003:E15003"/>
    <s:mergeCell ref="A14997:E14997"/>
    <s:mergeCell ref="A394:E394"/>
    <s:mergeCell ref="B17546:E17546"/>
    <s:mergeCell ref="A9597:E9597"/>
    <s:mergeCell ref="A999:E999"/>
    <s:mergeCell ref="A7601:E7601"/>
    <s:mergeCell ref="A7812:E7812"/>
    <s:mergeCell ref="B1546:E1546"/>
    <s:mergeCell ref="A22116:E22116"/>
    <s:mergeCell ref="A7901:E7901"/>
    <s:mergeCell ref="A5816:E5816"/>
    <s:mergeCell ref="A29334:E29334"/>
    <s:mergeCell ref="A8112:E8112"/>
    <s:mergeCell ref="B8448:E8448"/>
    <s:mergeCell ref="A13234:E13234"/>
    <s:mergeCell ref="A21932:E21932"/>
    <s:mergeCell ref="A31331:E31331"/>
    <s:mergeCell ref="A29634:E29634"/>
    <s:mergeCell ref="A710:E710"/>
    <s:mergeCell ref="A24234:E24234"/>
    <s:mergeCell ref="A23929:E23929"/>
    <s:mergeCell ref="A31631:E31631"/>
    <s:mergeCell ref="A22449:E22449"/>
    <s:mergeCell ref="A24229:E24229"/>
    <s:mergeCell ref="A22144:E22144"/>
    <s:mergeCell ref="A20447:E20447"/>
    <s:mergeCell ref="A29262:E29262"/>
    <s:mergeCell ref="A22749:E22749"/>
    <s:mergeCell ref="A438:E438"/>
    <s:mergeCell ref="A29345:E29345"/>
    <s:mergeCell ref="A27260:E27260"/>
    <s:mergeCell ref="B22691:E22691"/>
    <s:mergeCell ref="B13987:E13987"/>
    <s:mergeCell ref="A22444:E22444"/>
    <s:mergeCell ref="A29562:E29562"/>
    <s:mergeCell ref="A27865:E27865"/>
    <s:mergeCell ref="A25780:E25780"/>
    <s:mergeCell ref="A15347:E15347"/>
    <s:mergeCell ref="A13262:E13262"/>
    <s:mergeCell ref="A738:E738"/>
    <s:mergeCell ref="A27566:E27566"/>
    <s:mergeCell ref="A29257:E29257"/>
    <s:mergeCell ref="A27560:E27560"/>
    <s:mergeCell ref="A29862:E29862"/>
    <s:mergeCell ref="B7190:E7190"/>
    <s:mergeCell ref="A5854:E5854"/>
    <s:mergeCell ref="A3769:E3769"/>
    <s:mergeCell ref="A20674:E20674"/>
    <s:mergeCell ref="A18589:E18589"/>
    <s:mergeCell ref="A27860:E27860"/>
    <s:mergeCell ref="A6071:E6071"/>
    <s:mergeCell ref="A7851:E7851"/>
    <s:mergeCell ref="A5766:E5766"/>
    <s:mergeCell ref="A4069:E4069"/>
    <s:mergeCell ref="A18889:E18889"/>
    <s:mergeCell ref="A6371:E6371"/>
    <s:mergeCell ref="A20675:E20675"/>
    <s:mergeCell ref="A6066:E6066"/>
    <s:mergeCell ref="A4369:E4369"/>
    <s:mergeCell ref="A13184:E13184"/>
    <s:mergeCell ref="A11487:E11487"/>
    <s:mergeCell ref="A11182:E11182"/>
    <s:mergeCell ref="A13484:E13484"/>
    <s:mergeCell ref="A3207:E3207"/>
    <s:mergeCell ref="A27788:E27788"/>
    <s:mergeCell ref="A11482:E11482"/>
    <s:mergeCell ref="A13784:E13784"/>
    <s:mergeCell ref="A3507:E3507"/>
    <s:mergeCell ref="A1422:E1422"/>
    <s:mergeCell ref="A8623:E8623"/>
    <s:mergeCell ref="A1722:E1722"/>
    <s:mergeCell ref="A27815:E27815"/>
    <s:mergeCell ref="A25730:E25730"/>
    <s:mergeCell ref="A27516:E27516"/>
    <s:mergeCell ref="A25819:E25819"/>
    <s:mergeCell ref="A6838:E6838"/>
    <s:mergeCell ref="A26030:E26030"/>
    <s:mergeCell ref="A8624:E8624"/>
    <s:mergeCell ref="A27816:E27816"/>
    <s:mergeCell ref="A24034:E24034"/>
    <s:mergeCell ref="A7138:E7138"/>
    <s:mergeCell ref="A18628:E18628"/>
    <s:mergeCell ref="A28116:E28116"/>
    <s:mergeCell ref="A26031:E26031"/>
    <s:mergeCell ref="A1433:E1433"/>
    <s:mergeCell ref="A18623:E18623"/>
    <s:mergeCell ref="A23745:E23745"/>
    <s:mergeCell ref="A31447:E31447"/>
    <s:mergeCell ref="A13468:E13468"/>
    <s:mergeCell ref="A24045:E24045"/>
    <s:mergeCell ref="A27983:E27983"/>
    <s:mergeCell ref="A13768:E13768"/>
    <s:mergeCell ref="A28588:E28588"/>
    <s:mergeCell ref="A13979:E13979"/>
    <s:mergeCell ref="A6882:E6882"/>
    <s:mergeCell ref="A15765:E15765"/>
    <s:mergeCell ref="A14068:E14068"/>
    <s:mergeCell ref="A19101:E19101"/>
    <s:mergeCell ref="A4492:E4492"/>
    <s:mergeCell ref="A14279:E14279"/>
    <s:mergeCell ref="A5097:E5097"/>
    <s:mergeCell ref="A19401:E19401"/>
    <s:mergeCell ref="A5397:E5397"/>
    <s:mergeCell ref="A21398:E21398"/>
    <s:mergeCell ref="A5092:E5092"/>
    <s:mergeCell ref="A26514:E26514"/>
    <s:mergeCell ref="A31491:E31491"/>
    <s:mergeCell ref="A3023:E3023"/>
    <s:mergeCell ref="A19429:E19429"/>
    <s:mergeCell ref="A14023:E14023"/>
    <s:mergeCell ref="A11938:E11938"/>
    <s:mergeCell ref="A26242:E26242"/>
    <s:mergeCell ref="A3323:E3323"/>
    <s:mergeCell ref="A9936:E9936"/>
    <s:mergeCell ref="A12238:E12238"/>
    <s:mergeCell ref="A26542:E26542"/>
    <s:mergeCell ref="A11933:E11933"/>
    <s:mergeCell ref="A17354:E17354"/>
    <s:mergeCell ref="A26237:E26237"/>
    <s:mergeCell ref="A4836:E4836"/>
    <s:mergeCell ref="A12538:E12538"/>
    <s:mergeCell ref="A10436:E10436"/>
    <s:mergeCell ref="B5867:E5867"/>
    <s:mergeCell ref="A24757:E24757"/>
    <s:mergeCell ref="A14324:E14324"/>
    <s:mergeCell ref="A26842:E26842"/>
    <s:mergeCell ref="A12233:E12233"/>
    <s:mergeCell ref="A19351:E19351"/>
    <s:mergeCell ref="A17654:E17654"/>
    <s:mergeCell ref="A15569:E15569"/>
    <s:mergeCell ref="A3051:E3051"/>
    <s:mergeCell ref="A19440:E19440"/>
    <s:mergeCell ref="A17355:E17355"/>
    <s:mergeCell ref="A8651:E8651"/>
    <s:mergeCell ref="A17349:E17349"/>
    <s:mergeCell ref="A19651:E19651"/>
    <s:mergeCell ref="A17566:E17566"/>
    <s:mergeCell ref="A3351:E3351"/>
    <s:mergeCell ref="A1266:E1266"/>
    <s:mergeCell ref="A19352:E19352"/>
    <s:mergeCell ref="A17655:E17655"/>
    <s:mergeCell ref="A24767:E24767"/>
    <s:mergeCell ref="A10164:E10164"/>
    <s:mergeCell ref="A17866:E17866"/>
    <s:mergeCell ref="A24468:E24468"/>
    <s:mergeCell ref="A10769:E10769"/>
    <s:mergeCell ref="A9859:E9859"/>
    <s:mergeCell ref="A25073:E25073"/>
    <s:mergeCell ref="A22982:E22982"/>
    <s:mergeCell ref="A10464:E10464"/>
    <s:mergeCell ref="A24768:E24768"/>
    <s:mergeCell ref="A977:E977"/>
    <s:mergeCell ref="A10764:E10764"/>
    <s:mergeCell ref="A22983:E22983"/>
    <s:mergeCell ref="A3273:E3273"/>
    <s:mergeCell ref="A17577:E17577"/>
    <s:mergeCell ref="A1577:E1577"/>
    <s:mergeCell ref="A8695:E8695"/>
    <s:mergeCell ref="A25101:E25101"/>
    <s:mergeCell ref="A6604:E6604"/>
    <s:mergeCell ref="A1788:E1788"/>
    <s:mergeCell ref="A8390:E8390"/>
    <s:mergeCell ref="B2124:E2124"/>
    <s:mergeCell ref="A15608:E15608"/>
    <s:mergeCell ref="A6904:E6904"/>
    <s:mergeCell ref="A13523:E13523"/>
    <s:mergeCell ref="A31609:E31609"/>
    <s:mergeCell ref="A30428:E30428"/>
    <s:mergeCell ref="B11233:E11233"/>
    <s:mergeCell ref="A30123:E30123"/>
    <s:mergeCell ref="B1746:E1746"/>
    <s:mergeCell ref="A15820:E15820"/>
    <s:mergeCell ref="A21241:E21241"/>
    <s:mergeCell ref="A8723:E8723"/>
    <s:mergeCell ref="B30976:E30976"/>
    <s:mergeCell ref="A23027:E23027"/>
    <s:mergeCell ref="B2046:E2046"/>
    <s:mergeCell ref="A23021:E23021"/>
    <s:mergeCell ref="B7467:E7467"/>
    <s:mergeCell ref="A28054:E28054"/>
    <s:mergeCell ref="A21541:E21541"/>
    <s:mergeCell ref="A13534:E13534"/>
    <s:mergeCell ref="A14050:E14050"/>
    <s:mergeCell ref="A21236:E21236"/>
    <s:mergeCell ref="A28354:E28354"/>
    <s:mergeCell ref="A15836:E15836"/>
    <s:mergeCell ref="A12054:E12054"/>
    <s:mergeCell ref="A21453:E21453"/>
    <s:mergeCell ref="A28049:E28049"/>
    <s:mergeCell ref="A14350:E14350"/>
    <s:mergeCell ref="A11749:E11749"/>
    <s:mergeCell ref="A28654:E28654"/>
    <s:mergeCell ref="B5982:E5982"/>
    <s:mergeCell ref="A16136:E16136"/>
    <s:mergeCell ref="A14051:E14051"/>
    <s:mergeCell ref="A12354:E12354"/>
    <s:mergeCell ref="A26569:E26569"/>
    <s:mergeCell ref="A14045:E14045"/>
    <s:mergeCell ref="A21252:E21252"/>
    <s:mergeCell ref="A19167:E19167"/>
    <s:mergeCell ref="B14592:E14592"/>
    <s:mergeCell ref="A6949:E6949"/>
    <s:mergeCell ref="B21494:E21494"/>
    <s:mergeCell ref="A28382:E28382"/>
    <s:mergeCell ref="B14593:E14593"/>
    <s:mergeCell ref="B21711:E21711"/>
    <s:mergeCell ref="A19767:E19767"/>
    <s:mergeCell ref="A7405:E7405"/>
    <s:mergeCell ref="A20980:E20980"/>
    <s:mergeCell ref="A2005:E2005"/>
    <s:mergeCell ref="A16303:E16303"/>
    <s:mergeCell ref="A19195:E19195"/>
    <s:mergeCell ref="A2305:E2305"/>
    <s:mergeCell ref="A2299:E2299"/>
    <s:mergeCell ref="A16603:E16603"/>
    <s:mergeCell ref="A2000:E2000"/>
    <s:mergeCell ref="A19495:E19495"/>
    <s:mergeCell ref="A14818:E14818"/>
    <s:mergeCell ref="A28393:E28393"/>
    <s:mergeCell ref="A26308:E26308"/>
    <s:mergeCell ref="A26913:E26913"/>
    <s:mergeCell ref="A2027:E2027"/>
    <s:mergeCell ref="A26608:E26608"/>
    <s:mergeCell ref="A31730:E31730"/>
    <s:mergeCell ref="A26908:E26908"/>
    <s:mergeCell ref="A8929:E8929"/>
    <s:mergeCell ref="A225:E225"/>
    <s:mergeCell ref="A2028:E2028"/>
    <s:mergeCell ref="A23749:E23749"/>
    <s:mergeCell ref="A7144:E7144"/>
    <s:mergeCell ref="A2328:E2328"/>
    <s:mergeCell ref="A24049:E24049"/>
    <s:mergeCell ref="A21964:E21964"/>
    <s:mergeCell ref="A7749:E7749"/>
    <s:mergeCell ref="A9440:E9440"/>
    <s:mergeCell ref="A7355:E7355"/>
    <s:mergeCell ref="A21659:E21659"/>
    <s:mergeCell ref="A9141:E9141"/>
    <s:mergeCell ref="A7444:E7444"/>
    <s:mergeCell ref="A14562:E14562"/>
    <s:mergeCell ref="A22264:E22264"/>
    <s:mergeCell ref="A14257:E14257"/>
    <s:mergeCell ref="A558:E558"/>
    <s:mergeCell ref="A7744:E7744"/>
    <s:mergeCell ref="A12777:E12777"/>
    <s:mergeCell ref="A259:E259"/>
    <s:mergeCell ref="A12771:E12771"/>
    <s:mergeCell ref="A253:E253"/>
    <s:mergeCell ref="A29166:E29166"/>
    <s:mergeCell ref="A14557:E14557"/>
    <s:mergeCell ref="A5375:E5375"/>
    <s:mergeCell ref="A3889:E3889"/>
    <s:mergeCell ref="A5675:E5675"/>
    <s:mergeCell ref="B25681:E25681"/>
    <s:mergeCell ref="A5370:E5370"/>
    <s:mergeCell ref="A22275:E22275"/>
    <s:mergeCell ref="A20190:E20190"/>
    <s:mergeCell ref="A7672:E7672"/>
    <s:mergeCell ref="A14890:E14890"/>
    <s:mergeCell ref="A6186:E6186"/>
    <s:mergeCell ref="A12805:E12805"/>
    <s:mergeCell ref="A20490:E20490"/>
    <s:mergeCell ref="A27109:E27109"/>
    <s:mergeCell ref="A21703:E21703"/>
    <s:mergeCell ref="A13088:E13088"/>
    <s:mergeCell ref="A11003:E11003"/>
    <s:mergeCell ref="A20217:E20217"/>
    <s:mergeCell ref="A19918:E19918"/>
    <s:mergeCell ref="A18221:E18221"/>
    <s:mergeCell ref="A20523:E20523"/>
    <s:mergeCell ref="A27119:E27119"/>
    <s:mergeCell ref="A25034:E25034"/>
    <s:mergeCell ref="A5897:E5897"/>
    <s:mergeCell ref="A3812:E3812"/>
    <s:mergeCell ref="A20218:E20218"/>
    <s:mergeCell ref="A12516:E12516"/>
    <s:mergeCell ref="A27336:E27336"/>
    <s:mergeCell ref="A11030:E11030"/>
    <s:mergeCell ref="A29116:E29116"/>
    <s:mergeCell ref="B6444:E6444"/>
    <s:mergeCell ref="A25334:E25334"/>
    <s:mergeCell ref="A12816:E12816"/>
    <s:mergeCell ref="A4112:E4112"/>
    <s:mergeCell ref="A20518:E20518"/>
    <s:mergeCell ref="A27636:E27636"/>
    <s:mergeCell ref="A27114:E27114"/>
    <s:mergeCell ref="A27331:E27331"/>
    <s:mergeCell ref="A25634:E25634"/>
    <s:mergeCell ref="A13116:E13116"/>
    <s:mergeCell ref="A11031:E11031"/>
    <s:mergeCell ref="A27420:E27420"/>
    <s:mergeCell ref="A25335:E25335"/>
    <s:mergeCell ref="A27936:E27936"/>
    <s:mergeCell ref="A5625:E5625"/>
    <s:mergeCell ref="A1843:E1843"/>
    <s:mergeCell ref="B27878:E27878"/>
    <s:mergeCell ref="A4145:E4145"/>
    <s:mergeCell ref="A5925:E5925"/>
    <s:mergeCell ref="A3840:E3840"/>
    <s:mergeCell ref="A2143:E2143"/>
    <s:mergeCell ref="A20229:E20229"/>
    <s:mergeCell ref="A18144:E18144"/>
    <s:mergeCell ref="A11041:E11041"/>
    <s:mergeCell ref="A8956:E8956"/>
    <s:mergeCell ref="B4387:E4387"/>
    <s:mergeCell ref="A4140:E4140"/>
    <s:mergeCell ref="A9561:E9561"/>
    <s:mergeCell ref="A25562:E25562"/>
    <s:mergeCell ref="A9256:E9256"/>
    <s:mergeCell ref="B4687:E4687"/>
    <s:mergeCell ref="A4440:E4440"/>
    <s:mergeCell ref="A11042:E11042"/>
    <s:mergeCell ref="A25862:E25862"/>
    <s:mergeCell ref="A9556:E9556"/>
    <s:mergeCell ref="A2071:E2071"/>
    <s:mergeCell ref="A2065:E2065"/>
    <s:mergeCell ref="A25589:E25589"/>
    <s:mergeCell ref="A16369:E16369"/>
    <s:mergeCell ref="A2371:E2371"/>
    <s:mergeCell ref="A8984:E8984"/>
    <s:mergeCell ref="A30406:E30406"/>
    <s:mergeCell ref="A23893:E23893"/>
    <s:mergeCell ref="A9284:E9284"/>
    <s:mergeCell ref="A25285:E25285"/>
    <s:mergeCell ref="A30706:E30706"/>
    <s:mergeCell ref="A30401:E30401"/>
    <s:mergeCell ref="A16702:E16702"/>
    <s:mergeCell ref="A14617:E14617"/>
    <s:mergeCell ref="A2093:E2093"/>
    <s:mergeCell ref="A31006:E31006"/>
    <s:mergeCell ref="A16403:E16403"/>
    <s:mergeCell ref="A16397:E16397"/>
    <s:mergeCell ref="A30701:E30701"/>
    <s:mergeCell ref="B31553:E31553"/>
    <s:mergeCell ref="B19035:E19035"/>
    <s:mergeCell ref="A21519:E21519"/>
    <s:mergeCell ref="A29221:E29221"/>
    <s:mergeCell ref="A8995:E8995"/>
    <s:mergeCell ref="A6910:E6910"/>
    <s:mergeCell ref="A23815:E23815"/>
    <s:mergeCell ref="A21730:E21730"/>
    <s:mergeCell ref="A28916:E28916"/>
    <s:mergeCell ref="A7515:E7515"/>
    <s:mergeCell ref="B29768:E29768"/>
    <s:mergeCell ref="A21819:E21819"/>
    <s:mergeCell ref="A31218:E31218"/>
    <s:mergeCell ref="A7210:E7210"/>
    <s:mergeCell ref="A14328:E14328"/>
    <s:mergeCell ref="A22030:E22030"/>
    <s:mergeCell ref="A23816:E23816"/>
    <s:mergeCell ref="A22119:E22119"/>
    <s:mergeCell ref="A29237:E29237"/>
    <s:mergeCell ref="A14628:E14628"/>
    <s:mergeCell ref="A22330:E22330"/>
    <s:mergeCell ref="A28932:E28932"/>
    <s:mergeCell ref="A14323:E14323"/>
    <s:mergeCell ref="A29537:E29537"/>
    <s:mergeCell ref="B15175:E15175"/>
    <s:mergeCell ref="A14928:E14928"/>
    <s:mergeCell ref="A2566:E2566"/>
    <s:mergeCell ref="A29232:E29232"/>
    <s:mergeCell ref="A14629:E14629"/>
    <s:mergeCell ref="A3171:E3171"/>
    <s:mergeCell ref="B29779:E29779"/>
    <s:mergeCell ref="A2866:E2866"/>
    <s:mergeCell ref="B15176:E15176"/>
    <s:mergeCell ref="B5988:E5988"/>
    <s:mergeCell ref="A9679:E9679"/>
    <s:mergeCell ref="B13385:E13385"/>
    <s:mergeCell ref="A12571:E12571"/>
    <s:mergeCell ref="A9979:E9979"/>
    <s:mergeCell ref="A2882:E2882"/>
    <s:mergeCell ref="A797:E797"/>
    <s:mergeCell ref="B8285:E8285"/>
    <s:mergeCell ref="A2577:E2577"/>
    <s:mergeCell ref="A21769:E21769"/>
    <s:mergeCell ref="A17987:E17987"/>
    <s:mergeCell ref="A1097:E1097"/>
    <s:mergeCell ref="A20289:E20289"/>
    <s:mergeCell ref="A2877:E2877"/>
    <s:mergeCell ref="A792:E792"/>
    <s:mergeCell ref="A19984:E19984"/>
    <s:mergeCell ref="A9707:E9707"/>
    <s:mergeCell ref="A20589:E20589"/>
    <s:mergeCell ref="A10312:E10312"/>
    <s:mergeCell ref="A1092:E1092"/>
    <s:mergeCell ref="A20284:E20284"/>
    <s:mergeCell ref="A10007:E10007"/>
    <s:mergeCell ref="A17125:E17125"/>
    <s:mergeCell ref="A27491:E27491"/>
    <s:mergeCell ref="A17214:E17214"/>
    <s:mergeCell ref="A15129:E15129"/>
    <s:mergeCell ref="A2605:E2605"/>
    <s:mergeCell ref="B8452:E8452"/>
    <s:mergeCell ref="A16909:E16909"/>
    <s:mergeCell ref="A17425:E17425"/>
    <s:mergeCell ref="A1125:E1125"/>
    <s:mergeCell ref="A15429:E15429"/>
    <s:mergeCell ref="A17120:E17120"/>
    <s:mergeCell ref="A15423:E15423"/>
    <s:mergeCell ref="A820:E820"/>
    <s:mergeCell ref="A10023:E10023"/>
    <s:mergeCell ref="A7938:E7938"/>
    <s:mergeCell ref="A15640:E15640"/>
    <s:mergeCell ref="B27944:E27944"/>
    <s:mergeCell ref="A29944:E29944"/>
    <s:mergeCell ref="A19511:E19511"/>
    <s:mergeCell ref="A22847:E22847"/>
    <s:mergeCell ref="A1120:E1120"/>
    <s:mergeCell ref="A22841:E22841"/>
    <s:mergeCell ref="A8238:E8238"/>
    <s:mergeCell ref="A15424:E15424"/>
    <s:mergeCell ref="A22542:E22542"/>
    <s:mergeCell ref="A22536:E22536"/>
    <s:mergeCell ref="A20451:E20451"/>
    <s:mergeCell ref="A10018:E10018"/>
    <s:mergeCell ref="A7933:E7933"/>
    <s:mergeCell ref="A8538:E8538"/>
    <s:mergeCell ref="A6453:E6453"/>
    <s:mergeCell ref="A22842:E22842"/>
    <s:mergeCell ref="A15351:E15351"/>
    <s:mergeCell ref="A1136:E1136"/>
    <s:mergeCell ref="A13355:E13355"/>
    <s:mergeCell ref="A22569:E22569"/>
    <s:mergeCell ref="B1683:E1683"/>
    <s:mergeCell ref="A15651:E15651"/>
    <s:mergeCell ref="A22270:E22270"/>
    <s:mergeCell ref="A6469:E6469"/>
    <s:mergeCell ref="A6164:E6164"/>
    <s:mergeCell ref="A22570:E22570"/>
    <s:mergeCell ref="A22564:E22564"/>
    <s:mergeCell ref="A27686:E27686"/>
    <s:mergeCell ref="A6464:E6464"/>
    <s:mergeCell ref="A22870:E22870"/>
    <s:mergeCell ref="A20785:E20785"/>
    <s:mergeCell ref="A29988:E29988"/>
    <s:mergeCell ref="A27897:E27897"/>
    <s:mergeCell ref="A29683:E29683"/>
    <s:mergeCell ref="A27986:E27986"/>
    <s:mergeCell ref="A25901:E25901"/>
    <s:mergeCell ref="A6764:E6764"/>
    <s:mergeCell ref="A30288:E30288"/>
    <s:mergeCell ref="A29983:E29983"/>
    <s:mergeCell ref="B7311:E7311"/>
    <s:mergeCell ref="A20801:E20801"/>
    <s:mergeCell ref="A20795:E20795"/>
    <s:mergeCell ref="A18710:E18710"/>
    <s:mergeCell ref="A6192:E6192"/>
    <s:mergeCell ref="A20496:E20496"/>
    <s:mergeCell ref="A19315:E19315"/>
    <s:mergeCell ref="A28198:E28198"/>
    <s:mergeCell ref="A13393:E13393"/>
    <s:mergeCell ref="A11308:E11308"/>
    <s:mergeCell ref="A6492:E6492"/>
    <s:mergeCell ref="A13610:E13610"/>
    <s:mergeCell ref="A20796:E20796"/>
    <s:mergeCell ref="B5236:E5236"/>
    <s:mergeCell ref="A13305:E13305"/>
    <s:mergeCell ref="A11608:E11608"/>
    <s:mergeCell ref="A6792:E6792"/>
    <s:mergeCell ref="A13910:E13910"/>
    <s:mergeCell ref="A11819:E11819"/>
    <s:mergeCell ref="B13852:E13852"/>
    <s:mergeCell ref="A26123:E26123"/>
    <s:mergeCell ref="A13605:E13605"/>
    <s:mergeCell ref="A9823:E9823"/>
    <s:mergeCell ref="A19026:E19026"/>
    <s:mergeCell ref="B5237:E5237"/>
    <s:mergeCell ref="A4423:E4423"/>
    <s:mergeCell ref="A4417:E4417"/>
    <s:mergeCell ref="A18721:E18721"/>
    <s:mergeCell ref="A2937:E2937"/>
    <s:mergeCell ref="A11820:E11820"/>
    <s:mergeCell ref="A4723:E4723"/>
    <s:mergeCell ref="A2632:E2632"/>
    <s:mergeCell ref="A19021:E19021"/>
    <s:mergeCell ref="A16936:E16936"/>
    <s:mergeCell ref="A4418:E4418"/>
    <s:mergeCell ref="A21323:E21323"/>
    <s:mergeCell ref="A19238:E19238"/>
    <s:mergeCell ref="A17541:E17541"/>
    <s:mergeCell ref="A25851:E25851"/>
    <s:mergeCell ref="B21265:E21265"/>
    <s:mergeCell ref="A26456:E26456"/>
    <s:mergeCell ref="A4718:E4718"/>
    <s:mergeCell ref="B19785:E19785"/>
    <s:mergeCell ref="A9745:E9745"/>
    <s:mergeCell ref="A4445:E4445"/>
    <s:mergeCell ref="A24654:E24654"/>
    <s:mergeCell ref="A12136:E12136"/>
    <s:mergeCell ref="A17269:E17269"/>
    <s:mergeCell ref="A24954:E24954"/>
    <s:mergeCell ref="A31573:E31573"/>
    <s:mergeCell ref="A26167:E26167"/>
    <s:mergeCell ref="A24082:E24082"/>
    <s:mergeCell ref="A24382:E24382"/>
    <s:mergeCell ref="A9773:E9773"/>
    <s:mergeCell ref="A26162:E26162"/>
    <s:mergeCell ref="A24077:E24077"/>
    <s:mergeCell ref="A16980:E16980"/>
    <s:mergeCell ref="A24682:E24682"/>
    <s:mergeCell ref="A17191:E17191"/>
    <s:mergeCell ref="A15494:E15494"/>
    <s:mergeCell ref="A17280:E17280"/>
    <s:mergeCell ref="A15195:E15195"/>
    <s:mergeCell ref="A586:E586"/>
    <s:mergeCell ref="A31584:E31584"/>
    <s:mergeCell ref="A17491:E17491"/>
    <s:mergeCell ref="A1191:E1191"/>
    <s:mergeCell ref="A17192:E17192"/>
    <s:mergeCell ref="A15495:E15495"/>
    <s:mergeCell ref="B30046:E30046"/>
    <s:mergeCell ref="A22613:E22613"/>
    <s:mergeCell ref="A886:E886"/>
    <s:mergeCell ref="A22607:E22607"/>
    <s:mergeCell ref="A10089:E10089"/>
    <s:mergeCell ref="A22308:E22308"/>
    <s:mergeCell ref="A30010:E30010"/>
    <s:mergeCell ref="A17492:E17492"/>
    <s:mergeCell ref="A22913:E22913"/>
    <s:mergeCell ref="A22608:E22608"/>
    <s:mergeCell ref="A29826:E29826"/>
    <s:mergeCell ref="A10851:E10851"/>
    <s:mergeCell ref="A22908:E22908"/>
    <s:mergeCell ref="A3449:E3449"/>
    <s:mergeCell ref="A3443:E3443"/>
    <s:mergeCell ref="A19444:E19444"/>
    <s:mergeCell ref="A22635:E22635"/>
    <s:mergeCell ref="A5229:E5229"/>
    <s:mergeCell ref="A3144:E3144"/>
    <s:mergeCell ref="A10846:E10846"/>
    <s:mergeCell ref="A5446:E5446"/>
    <s:mergeCell ref="A5440:E5440"/>
    <s:mergeCell ref="A3355:E3355"/>
    <s:mergeCell ref="A22941:E22941"/>
    <s:mergeCell ref="A3444:E3444"/>
    <s:mergeCell ref="A27452:E27452"/>
    <s:mergeCell ref="B14179:E14179"/>
    <s:mergeCell ref="A29754:E29754"/>
    <s:mergeCell ref="A10257:E10257"/>
    <s:mergeCell ref="B21380:E21380"/>
    <s:mergeCell ref="A29449:E29449"/>
    <s:mergeCell ref="A27752:E27752"/>
    <s:mergeCell ref="A10862:E10862"/>
    <s:mergeCell ref="A29749:E29749"/>
    <s:mergeCell ref="B30601:E30601"/>
    <s:mergeCell ref="B21381:E21381"/>
    <s:mergeCell ref="A24893:E24893"/>
    <s:mergeCell ref="A28269:E28269"/>
    <s:mergeCell ref="A30354:E30354"/>
    <s:mergeCell ref="A27964:E27964"/>
    <s:mergeCell ref="A26890:E26890"/>
    <s:mergeCell ref="A25193:E25193"/>
    <s:mergeCell ref="A23108:E23108"/>
    <s:mergeCell ref="A10590:E10590"/>
    <s:mergeCell ref="A24888:E24888"/>
    <s:mergeCell ref="A22803:E22803"/>
    <s:mergeCell ref="A12370:E12370"/>
    <s:mergeCell ref="A27190:E27190"/>
    <s:mergeCell ref="A25105:E25105"/>
    <s:mergeCell ref="A23408:E23408"/>
    <s:mergeCell ref="A10890:E10890"/>
    <s:mergeCell ref="A8805:E8805"/>
    <s:mergeCell ref="A3399:E3399"/>
    <s:mergeCell ref="A23103:E23103"/>
    <s:mergeCell ref="A10585:E10585"/>
    <s:mergeCell ref="A30221:E30221"/>
    <s:mergeCell ref="A25405:E25405"/>
    <s:mergeCell ref="A1403:E1403"/>
    <s:mergeCell ref="A1397:E1397"/>
    <s:mergeCell ref="A16223:E16223"/>
    <s:mergeCell ref="A3699:E3699"/>
    <s:mergeCell ref="A8800:E8800"/>
    <s:mergeCell ref="A30521:E30521"/>
    <s:mergeCell ref="B13918:E13918"/>
    <s:mergeCell ref="A18003:E18003"/>
    <s:mergeCell ref="A1703:E1703"/>
    <s:mergeCell ref="A3394:E3394"/>
    <s:mergeCell ref="A8815:E8815"/>
    <s:mergeCell ref="A6730:E6730"/>
    <s:mergeCell ref="A1914:E1914"/>
    <s:mergeCell ref="A30821:E30821"/>
    <s:mergeCell ref="A18303:E18303"/>
    <s:mergeCell ref="A16218:E16218"/>
    <s:mergeCell ref="A30522:E30522"/>
    <s:mergeCell ref="A7030:E7030"/>
    <s:mergeCell ref="A8816:E8816"/>
    <s:mergeCell ref="A8810:E8810"/>
    <s:mergeCell ref="A6725:E6725"/>
    <s:mergeCell ref="A30249:E30249"/>
    <s:mergeCell ref="A7330:E7330"/>
    <s:mergeCell ref="A9116:E9116"/>
    <s:mergeCell ref="A14143:E14143"/>
    <s:mergeCell ref="A30549:E30549"/>
    <s:mergeCell ref="A1625:E1625"/>
    <s:mergeCell ref="A145:E145"/>
    <s:mergeCell ref="A30244:E30244"/>
    <s:mergeCell ref="A8843:E8843"/>
    <s:mergeCell ref="A23147:E23147"/>
    <s:mergeCell ref="A14443:E14443"/>
    <s:mergeCell ref="A21062:E21062"/>
    <s:mergeCell ref="A1925:E1925"/>
    <s:mergeCell ref="A16246:E16246"/>
    <s:mergeCell ref="B1867:E1867"/>
    <s:mergeCell ref="A14743:E14743"/>
    <s:mergeCell ref="A21362:E21362"/>
    <s:mergeCell ref="A140:E140"/>
    <s:mergeCell ref="A30565:E30565"/>
    <s:mergeCell ref="A25444:E25444"/>
    <s:mergeCell ref="A23359:E23359"/>
    <s:mergeCell ref="A21662:E21662"/>
    <s:mergeCell ref="A28780:E28780"/>
    <s:mergeCell ref="A16262:E16262"/>
    <s:mergeCell ref="A30560:E30560"/>
    <s:mergeCell ref="A28475:E28475"/>
    <s:mergeCell ref="A15957:E15957"/>
    <s:mergeCell ref="A29080:E29080"/>
    <s:mergeCell ref="A26995:E26995"/>
    <s:mergeCell ref="A28686:E28686"/>
    <s:mergeCell ref="A6769:E6769"/>
    <s:mergeCell ref="A28775:E28775"/>
    <s:mergeCell ref="A16257:E16257"/>
    <s:mergeCell ref="A14172:E14172"/>
    <s:mergeCell ref="A19593:E19593"/>
    <s:mergeCell ref="A28992:E28992"/>
    <s:mergeCell ref="A7069:E7069"/>
    <s:mergeCell ref="A4984:E4984"/>
    <s:mergeCell ref="A21373:E21373"/>
    <s:mergeCell ref="A19288:E19288"/>
    <s:mergeCell ref="A29075:E29075"/>
    <s:mergeCell ref="B14713:E14713"/>
    <s:mergeCell ref="A7280:E7280"/>
    <s:mergeCell ref="A21590:E21590"/>
    <s:mergeCell ref="A19893:E19893"/>
    <s:mergeCell ref="A21584:E21584"/>
    <s:mergeCell ref="A5284:E5284"/>
    <s:mergeCell ref="A12402:E12402"/>
    <s:mergeCell ref="A26706:E26706"/>
    <s:mergeCell ref="B22131:E22131"/>
    <s:mergeCell ref="A12097:E12097"/>
    <s:mergeCell ref="A12702:E12702"/>
    <s:mergeCell ref="A10617:E10617"/>
    <s:mergeCell ref="A184:E184"/>
    <s:mergeCell ref="A27006:E27006"/>
    <s:mergeCell ref="A12397:E12397"/>
    <s:mergeCell ref="A5300:E5300"/>
    <s:mergeCell ref="A3215:E3215"/>
    <s:mergeCell ref="B22132:E22132"/>
    <s:mergeCell ref="A10917:E10917"/>
    <s:mergeCell ref="A4995:E4995"/>
    <s:mergeCell ref="B426:E426"/>
    <s:mergeCell ref="A10612:E10612"/>
    <s:mergeCell ref="A19815:E19815"/>
    <s:mergeCell ref="A5212:E5212"/>
    <s:mergeCell ref="A3515:E3515"/>
    <s:mergeCell ref="B11464:E11464"/>
    <s:mergeCell ref="B13244:E13244"/>
    <s:mergeCell ref="A5295:E5295"/>
    <s:mergeCell ref="A3210:E3210"/>
    <s:mergeCell ref="B20362:E20362"/>
    <s:mergeCell ref="A10328:E10328"/>
    <s:mergeCell ref="A20115:E20115"/>
    <s:mergeCell ref="A26734:E26734"/>
    <s:mergeCell ref="A5512:E5512"/>
    <s:mergeCell ref="A12730:E12730"/>
    <s:mergeCell ref="A3510:E3510"/>
    <s:mergeCell ref="B10875:E10875"/>
    <s:mergeCell ref="A27034:E27034"/>
    <s:mergeCell ref="A18330:E18330"/>
    <s:mergeCell ref="B20363:E20363"/>
    <s:mergeCell ref="A19543:E19543"/>
    <s:mergeCell ref="B11175:E11175"/>
    <s:mergeCell ref="A10928:E10928"/>
    <s:mergeCell ref="B10870:E10870"/>
    <s:mergeCell ref="A19843:E19843"/>
    <s:mergeCell ref="A17758:E17758"/>
    <s:mergeCell ref="A19538:E19538"/>
    <s:mergeCell ref="A24959:E24959"/>
    <s:mergeCell ref="A22874:E22874"/>
    <s:mergeCell ref="A12441:E12441"/>
    <s:mergeCell ref="A10356:E10356"/>
    <s:mergeCell ref="A18058:E18058"/>
    <s:mergeCell ref="A24660:E24660"/>
    <s:mergeCell ref="A19844:E19844"/>
    <s:mergeCell ref="A25265:E25265"/>
    <s:mergeCell ref="A26956:E26956"/>
    <s:mergeCell ref="A23174:E23174"/>
    <s:mergeCell ref="A10656:E10656"/>
    <s:mergeCell ref="A24960:E24960"/>
    <s:mergeCell ref="A22869:E22869"/>
    <s:mergeCell ref="A17469:E17469"/>
    <s:mergeCell ref="A27256:E27256"/>
    <s:mergeCell ref="A25171:E25171"/>
    <s:mergeCell ref="A10956:E10956"/>
    <s:mergeCell ref="A8871:E8871"/>
    <s:mergeCell ref="A18074:E18074"/>
    <s:mergeCell ref="A25260:E25260"/>
    <s:mergeCell ref="A30287:E30287"/>
    <s:mergeCell ref="A17769:E17769"/>
    <s:mergeCell ref="A25471:E25471"/>
    <s:mergeCell ref="A6012:E6012"/>
    <s:mergeCell ref="A30593:E30593"/>
    <s:mergeCell ref="B18316:E18316"/>
    <s:mergeCell ref="B16619:E16619"/>
    <s:mergeCell ref="A30587:E30587"/>
    <s:mergeCell ref="A18069:E18069"/>
    <s:mergeCell ref="A5707:E5707"/>
    <s:mergeCell ref="A6312:E6312"/>
    <s:mergeCell ref="B31140:E31140"/>
    <s:mergeCell ref="A30887:E30887"/>
    <s:mergeCell ref="A6007:E6007"/>
    <s:mergeCell ref="A11428:E11428"/>
    <s:mergeCell ref="A30315:E30315"/>
    <s:mergeCell ref="A30621:E30621"/>
    <s:mergeCell ref="A23213:E23213"/>
    <s:mergeCell ref="A21128:E21128"/>
    <s:mergeCell ref="A4238:E4238"/>
    <s:mergeCell ref="A4232:E4232"/>
    <s:mergeCell ref="A18542:E18542"/>
    <s:mergeCell ref="A23125:E23125"/>
    <s:mergeCell ref="A21428:E21428"/>
    <s:mergeCell ref="A4538:E4538"/>
    <s:mergeCell ref="A5751:E5751"/>
    <s:mergeCell ref="A13148:E13148"/>
    <s:mergeCell ref="A18569:E18569"/>
    <s:mergeCell ref="A6051:E6051"/>
    <s:mergeCell ref="A3966:E3966"/>
    <s:mergeCell ref="B11898:E11898"/>
    <s:mergeCell ref="A5746:E5746"/>
    <s:mergeCell ref="A18869:E18869"/>
    <s:mergeCell ref="A4266:E4266"/>
    <s:mergeCell ref="A31088:E31088"/>
    <s:mergeCell ref="A18570:E18570"/>
    <s:mergeCell ref="A18564:E18564"/>
    <s:mergeCell ref="A6046:E6046"/>
    <s:mergeCell ref="A3961:E3961"/>
    <s:mergeCell ref="A9382:E9382"/>
    <s:mergeCell ref="A4566:E4566"/>
    <s:mergeCell ref="A11684:E11684"/>
    <s:mergeCell ref="A2464:E2464"/>
    <s:mergeCell ref="A11162:E11162"/>
    <s:mergeCell ref="A9077:E9077"/>
    <s:mergeCell ref="A25988:E25988"/>
    <s:mergeCell ref="A25982:E25982"/>
    <s:mergeCell ref="A23897:E23897"/>
    <s:mergeCell ref="A13464:E13464"/>
    <s:mergeCell ref="A11379:E11379"/>
    <s:mergeCell ref="A9682:E9682"/>
    <s:mergeCell ref="A7597:E7597"/>
    <s:mergeCell ref="A2191:E2191"/>
    <s:mergeCell ref="A9377:E9377"/>
    <s:mergeCell ref="A16495:E16495"/>
    <s:mergeCell ref="A24197:E24197"/>
    <s:mergeCell ref="A11679:E11679"/>
    <s:mergeCell ref="A17100:E17100"/>
    <s:mergeCell ref="A406:E406"/>
    <s:mergeCell ref="A18492:E18492"/>
    <s:mergeCell ref="A16795:E16795"/>
    <s:mergeCell ref="A2192:E2192"/>
    <s:mergeCell ref="A2186:E2186"/>
    <s:mergeCell ref="A15315:E15315"/>
    <s:mergeCell ref="A17095:E17095"/>
    <s:mergeCell ref="A15010:E15010"/>
    <s:mergeCell ref="A9604:E9604"/>
    <s:mergeCell ref="A23908:E23908"/>
    <s:mergeCell ref="A25711:E25711"/>
    <s:mergeCell ref="A16523:E16523"/>
    <s:mergeCell ref="A7819:E7819"/>
    <s:mergeCell ref="A30827:E30827"/>
    <s:mergeCell ref="A31343:E31343"/>
    <s:mergeCell ref="B17554:E17554"/>
    <s:mergeCell ref="A26011:E26011"/>
    <s:mergeCell ref="A31038:E31038"/>
    <s:mergeCell ref="A16823:E16823"/>
    <s:mergeCell ref="A8119:E8119"/>
    <s:mergeCell ref="A14738:E14738"/>
    <s:mergeCell ref="A31127:E31127"/>
    <s:mergeCell ref="A31643:E31643"/>
    <s:mergeCell ref="A31338:E31338"/>
    <s:mergeCell ref="A717:E717"/>
    <s:mergeCell ref="A24241:E24241"/>
    <s:mergeCell ref="A22156:E22156"/>
    <s:mergeCell ref="A29342:E29342"/>
    <s:mergeCell ref="A9632:E9632"/>
    <s:mergeCell ref="A7547:E7547"/>
    <s:mergeCell ref="B13788:E13788"/>
    <s:mergeCell ref="A23936:E23936"/>
    <s:mergeCell ref="B1264:E1264"/>
    <s:mergeCell ref="A22456:E22456"/>
    <s:mergeCell ref="A14449:E14449"/>
    <s:mergeCell ref="A22151:E22151"/>
    <s:mergeCell ref="A9633:E9633"/>
    <s:mergeCell ref="A31354:E31354"/>
    <s:mergeCell ref="A29269:E29269"/>
    <s:mergeCell ref="A15054:E15054"/>
    <s:mergeCell ref="A22756:E22756"/>
    <s:mergeCell ref="A451:E451"/>
    <s:mergeCell ref="A445:E445"/>
    <s:mergeCell ref="A29358:E29358"/>
    <s:mergeCell ref="A14749:E14749"/>
    <s:mergeCell ref="A7848:E7848"/>
    <s:mergeCell ref="A29569:E29569"/>
    <s:mergeCell ref="A13269:E13269"/>
    <s:mergeCell ref="A14960:E14960"/>
    <s:mergeCell ref="A29658:E29658"/>
    <s:mergeCell ref="A7863:E7863"/>
    <s:mergeCell ref="A5778:E5778"/>
    <s:mergeCell ref="A15049:E15049"/>
    <s:mergeCell ref="A12964:E12964"/>
    <s:mergeCell ref="A22167:E22167"/>
    <s:mergeCell ref="A29869:E29869"/>
    <s:mergeCell ref="A27784:E27784"/>
    <s:mergeCell ref="A21862:E21862"/>
    <s:mergeCell ref="A6078:E6078"/>
    <s:mergeCell ref="A13264:E13264"/>
    <s:mergeCell ref="A22467:E22467"/>
    <s:mergeCell ref="A20382:E20382"/>
    <s:mergeCell ref="A7864:E7864"/>
    <s:mergeCell ref="A7858:E7858"/>
    <s:mergeCell ref="A5773:E5773"/>
    <s:mergeCell ref="A11194:E11194"/>
    <s:mergeCell ref="A6378:E6378"/>
    <s:mergeCell ref="A20682:E20682"/>
    <s:mergeCell ref="A15276:E15276"/>
    <s:mergeCell ref="A21895:E21895"/>
    <s:mergeCell ref="A11494:E11494"/>
    <s:mergeCell ref="A27495:E27495"/>
    <s:mergeCell ref="A13280:E13280"/>
    <s:mergeCell ref="A29292:E29292"/>
    <s:mergeCell ref="A22195:E22195"/>
    <s:mergeCell ref="A20110:E20110"/>
    <s:mergeCell ref="A27795:E27795"/>
    <s:mergeCell ref="A18613:E18613"/>
    <s:mergeCell ref="A13791:E13791"/>
    <s:mergeCell ref="A20410:E20410"/>
    <s:mergeCell ref="A29308:E29308"/>
    <s:mergeCell ref="A25526:E25526"/>
    <s:mergeCell ref="A27828:E27828"/>
    <s:mergeCell ref="A18608:E18608"/>
    <s:mergeCell ref="B6331:E6331"/>
    <s:mergeCell ref="A27523:E27523"/>
    <s:mergeCell ref="A25826:E25826"/>
    <s:mergeCell ref="A28128:E28128"/>
    <s:mergeCell ref="A26043:E26043"/>
    <s:mergeCell ref="A5817:E5817"/>
    <s:mergeCell ref="A20726:E20726"/>
    <s:mergeCell ref="A18635:E18635"/>
    <s:mergeCell ref="A6117:E6117"/>
    <s:mergeCell ref="A4032:E4032"/>
    <s:mergeCell ref="A20421:E20421"/>
    <s:mergeCell ref="A18336:E18336"/>
    <s:mergeCell ref="A28123:E28123"/>
    <s:mergeCell ref="A31459:E31459"/>
    <s:mergeCell ref="A18636:E18636"/>
    <s:mergeCell ref="A25754:E25754"/>
    <s:mergeCell ref="A13230:E13230"/>
    <s:mergeCell ref="A4632:E4632"/>
    <s:mergeCell ref="A26054:E26054"/>
    <s:mergeCell ref="B11692:E11692"/>
    <s:mergeCell ref="A26048:E26048"/>
    <s:mergeCell ref="B5179:E5179"/>
    <s:mergeCell ref="A1168:E1168"/>
    <s:mergeCell ref="A1773:E1773"/>
    <s:mergeCell ref="A1468:E1468"/>
    <s:mergeCell ref="A6889:E6889"/>
    <s:mergeCell ref="A6590:E6590"/>
    <s:mergeCell ref="A6584:E6584"/>
    <s:mergeCell ref="A4499:E4499"/>
    <s:mergeCell ref="A5104:E5104"/>
    <s:mergeCell ref="A6890:E6890"/>
    <s:mergeCell ref="A31109:E31109"/>
    <s:mergeCell ref="B24826:E24826"/>
    <s:mergeCell ref="A31198:E31198"/>
    <s:mergeCell ref="A16589:E16589"/>
    <s:mergeCell ref="A31409:E31409"/>
    <s:mergeCell ref="A29413:E29413"/>
    <s:mergeCell ref="A4815:E4815"/>
    <s:mergeCell ref="A6612:E6612"/>
    <s:mergeCell ref="A14303:E14303"/>
    <s:mergeCell ref="A31410:E31410"/>
    <s:mergeCell ref="A11945:E11945"/>
    <s:mergeCell ref="A26249:E26249"/>
    <s:mergeCell ref="A13731:E13731"/>
    <s:mergeCell ref="A12034:E12034"/>
    <s:mergeCell ref="A9949:E9949"/>
    <s:mergeCell ref="A26854:E26854"/>
    <s:mergeCell ref="A4543:E4543"/>
    <s:mergeCell ref="A13426:E13426"/>
    <s:mergeCell ref="A12245:E12245"/>
    <s:mergeCell ref="A18847:E18847"/>
    <s:mergeCell ref="B24549:E24549"/>
    <s:mergeCell ref="A26549:E26549"/>
    <s:mergeCell ref="A14031:E14031"/>
    <s:mergeCell ref="A10249:E10249"/>
    <s:mergeCell ref="A11940:E11940"/>
    <s:mergeCell ref="A17361:E17361"/>
    <s:mergeCell ref="A4843:E4843"/>
    <s:mergeCell ref="A2758:E2758"/>
    <s:mergeCell ref="A19147:E19147"/>
    <s:mergeCell ref="B5874:E5874"/>
    <s:mergeCell ref="A4544:E4544"/>
    <s:mergeCell ref="A14331:E14331"/>
    <s:mergeCell ref="A26849:E26849"/>
    <s:mergeCell ref="A19358:E19358"/>
    <s:mergeCell ref="A3058:E3058"/>
    <s:mergeCell ref="A19447:E19447"/>
    <s:mergeCell ref="A17362:E17362"/>
    <s:mergeCell ref="A4844:E4844"/>
    <s:mergeCell ref="A4838:E4838"/>
    <s:mergeCell ref="A2753:E2753"/>
    <s:mergeCell ref="A11956:E11956"/>
    <s:mergeCell ref="A19658:E19658"/>
    <s:mergeCell ref="B3605:E3605"/>
    <s:mergeCell ref="A10476:E10476"/>
    <s:mergeCell ref="A17662:E17662"/>
    <s:mergeCell ref="A24780:E24780"/>
    <s:mergeCell ref="A10171:E10171"/>
    <s:mergeCell ref="A26560:E26560"/>
    <s:mergeCell ref="A24475:E24475"/>
    <s:mergeCell ref="A10776:E10776"/>
    <s:mergeCell ref="A25080:E25080"/>
    <s:mergeCell ref="A31693:E31693"/>
    <s:mergeCell ref="A2769:E2769"/>
    <s:mergeCell ref="A10471:E10471"/>
    <s:mergeCell ref="A19369:E19369"/>
    <s:mergeCell ref="A17284:E17284"/>
    <s:mergeCell ref="A3069:E3069"/>
    <s:mergeCell ref="A984:E984"/>
    <s:mergeCell ref="A10771:E10771"/>
    <s:mergeCell ref="A5371:E5371"/>
    <s:mergeCell ref="A3286:E3286"/>
    <s:mergeCell ref="A11984:E11984"/>
    <s:mergeCell ref="A3280:E3280"/>
    <s:mergeCell ref="A26288:E26288"/>
    <s:mergeCell ref="A1284:E1284"/>
    <s:mergeCell ref="A8402:E8402"/>
    <s:mergeCell ref="A24808:E24808"/>
    <s:mergeCell ref="A10199:E10199"/>
    <s:mergeCell ref="A26588:E26588"/>
    <s:mergeCell ref="A24503:E24503"/>
    <s:mergeCell ref="A1584:E1584"/>
    <s:mergeCell ref="A31621:E31621"/>
    <s:mergeCell ref="A8702:E8702"/>
    <s:mergeCell ref="A25108:E25108"/>
    <s:mergeCell ref="A17617:E17617"/>
    <s:mergeCell ref="A8397:E8397"/>
    <s:mergeCell ref="A24803:E24803"/>
    <s:mergeCell ref="A17312:E17312"/>
    <s:mergeCell ref="A15615:E15615"/>
    <s:mergeCell ref="A31616:E31616"/>
    <s:mergeCell ref="A17917:E17917"/>
    <s:mergeCell ref="A25103:E25103"/>
    <s:mergeCell ref="A30136:E30136"/>
    <s:mergeCell ref="A17612:E17612"/>
    <s:mergeCell ref="A24730:E24730"/>
    <s:mergeCell ref="A23033:E23033"/>
    <s:mergeCell ref="A8430:E8430"/>
    <s:mergeCell ref="A22734:E22734"/>
    <s:mergeCell ref="A10210:E10210"/>
    <s:mergeCell ref="A8125:E8125"/>
    <s:mergeCell ref="A24514:E24514"/>
    <s:mergeCell ref="A22945:E22945"/>
    <s:mergeCell ref="A25030:E25030"/>
    <s:mergeCell ref="A8730:E8730"/>
    <s:mergeCell ref="A6645:E6645"/>
    <s:mergeCell ref="A24731:E24731"/>
    <s:mergeCell ref="A23034:E23034"/>
    <s:mergeCell ref="B30983:E30983"/>
    <s:mergeCell ref="B8672:E8672"/>
    <s:mergeCell ref="A8425:E8425"/>
    <s:mergeCell ref="A30146:E30146"/>
    <s:mergeCell ref="A13846:E13846"/>
    <s:mergeCell ref="A23245:E23245"/>
    <s:mergeCell ref="A1328:E1328"/>
    <s:mergeCell ref="A16148:E16148"/>
    <s:mergeCell ref="A25031:E25031"/>
    <s:mergeCell ref="A30452:E30452"/>
    <s:mergeCell ref="A8725:E8725"/>
    <s:mergeCell ref="A28361:E28361"/>
    <s:mergeCell ref="A15843:E15843"/>
    <s:mergeCell ref="A1234:E1234"/>
    <s:mergeCell ref="A30147:E30147"/>
    <s:mergeCell ref="A6655:E6655"/>
    <s:mergeCell ref="A4570:E4570"/>
    <s:mergeCell ref="A28661:E28661"/>
    <s:mergeCell ref="A6356:E6356"/>
    <s:mergeCell ref="A16143:E16143"/>
    <s:mergeCell ref="A14058:E14058"/>
    <s:mergeCell ref="A30447:E30447"/>
    <s:mergeCell ref="A28362:E28362"/>
    <s:mergeCell ref="A4870:E4870"/>
    <s:mergeCell ref="B21506:E21506"/>
    <s:mergeCell ref="A22956:E22956"/>
    <s:mergeCell ref="A6656:E6656"/>
    <s:mergeCell ref="A6650:E6650"/>
    <s:mergeCell ref="A20960:E20960"/>
    <s:mergeCell ref="A30174:E30174"/>
    <s:mergeCell ref="A29875:E29875"/>
    <s:mergeCell ref="A21171:E21171"/>
    <s:mergeCell ref="A6956:E6956"/>
    <s:mergeCell ref="A30480:E30480"/>
    <s:mergeCell ref="A7167:E7167"/>
    <s:mergeCell ref="B21718:E21718"/>
    <s:mergeCell ref="A13769:E13769"/>
    <s:mergeCell ref="A30175:E30175"/>
    <s:mergeCell ref="A14374:E14374"/>
    <s:mergeCell ref="B12:E12"/>
    <s:mergeCell ref="A18902:E18902"/>
    <s:mergeCell ref="A20987:E20987"/>
    <s:mergeCell ref="A14069:E14069"/>
    <s:mergeCell ref="A30475:E30475"/>
    <s:mergeCell ref="A28390:E28390"/>
    <s:mergeCell ref="A2007:E2007"/>
    <s:mergeCell ref="A26620:E26620"/>
    <s:mergeCell ref="A12011:E12011"/>
    <s:mergeCell ref="A28406:E28406"/>
    <s:mergeCell ref="A28400:E28400"/>
    <s:mergeCell ref="A26315:E26315"/>
    <s:mergeCell ref="A21499:E21499"/>
    <s:mergeCell ref="A28101:E28101"/>
    <s:mergeCell ref="A26920:E26920"/>
    <s:mergeCell ref="A18913:E18913"/>
    <s:mergeCell ref="A26615:E26615"/>
    <s:mergeCell ref="A14097:E14097"/>
    <s:mergeCell ref="A12012:E12012"/>
    <s:mergeCell ref="A19518:E19518"/>
    <s:mergeCell ref="A28401:E28401"/>
    <s:mergeCell ref="A20910:E20910"/>
    <s:mergeCell ref="A19213:E19213"/>
    <s:mergeCell ref="A17128:E17128"/>
    <s:mergeCell ref="A6851:E6851"/>
    <s:mergeCell ref="A12312:E12312"/>
    <s:mergeCell ref="A19430:E19430"/>
    <s:mergeCell ref="A9153:E9153"/>
    <s:mergeCell ref="A7456:E7456"/>
    <s:mergeCell ref="A17428:E17428"/>
    <s:mergeCell ref="A7151:E7151"/>
    <s:mergeCell ref="B19977:E19977"/>
    <s:mergeCell ref="A16354:E16354"/>
    <s:mergeCell ref="A14269:E14269"/>
    <s:mergeCell ref="A9453:E9453"/>
    <s:mergeCell ref="A9447:E9447"/>
    <s:mergeCell ref="A265:E265"/>
    <s:mergeCell ref="A7451:E7451"/>
    <s:mergeCell ref="A14569:E14569"/>
    <s:mergeCell ref="A2051:E2051"/>
    <s:mergeCell ref="B22057:E22057"/>
    <s:mergeCell ref="A16349:E16349"/>
    <s:mergeCell ref="A14264:E14264"/>
    <s:mergeCell ref="A565:E565"/>
    <s:mergeCell ref="A14869:E14869"/>
    <s:mergeCell ref="A12784:E12784"/>
    <s:mergeCell ref="A2351:E2351"/>
    <s:mergeCell ref="A266:E266"/>
    <s:mergeCell ref="A260:E260"/>
    <s:mergeCell ref="A24574:E24574"/>
    <s:mergeCell ref="A7379:E7379"/>
    <s:mergeCell ref="B18502:E18502"/>
    <s:mergeCell ref="A24874:E24874"/>
    <s:mergeCell ref="A7679:E7679"/>
    <s:mergeCell ref="A25174:E25174"/>
    <s:mergeCell ref="A5410:E5410"/>
    <s:mergeCell ref="A19714:E19714"/>
    <s:mergeCell ref="A20230:E20230"/>
    <s:mergeCell ref="A22010:E22010"/>
    <s:mergeCell ref="A19925:E19925"/>
    <s:mergeCell ref="A5710:E5710"/>
    <s:mergeCell ref="A7401:E7401"/>
    <s:mergeCell ref="A20014:E20014"/>
    <s:mergeCell ref="A14608:E14608"/>
    <s:mergeCell ref="A12523:E12523"/>
    <s:mergeCell ref="A13128:E13128"/>
    <s:mergeCell ref="A14819:E14819"/>
    <s:mergeCell ref="A12218:E12218"/>
    <s:mergeCell ref="A12734:E12734"/>
    <s:mergeCell ref="A29123:E29123"/>
    <s:mergeCell ref="A27038:E27038"/>
    <s:mergeCell ref="A12823:E12823"/>
    <s:mergeCell ref="A305:E305"/>
    <s:mergeCell ref="A19941:E19941"/>
    <s:mergeCell ref="A3635:E3635"/>
    <s:mergeCell ref="A19636:E19636"/>
    <s:mergeCell ref="A5421:E5421"/>
    <s:mergeCell ref="A3336:E3336"/>
    <s:mergeCell ref="A3852:E3852"/>
    <s:mergeCell ref="A5937:E5937"/>
    <s:mergeCell ref="A11038:E11038"/>
    <s:mergeCell ref="A13123:E13123"/>
    <s:mergeCell ref="A20241:E20241"/>
    <s:mergeCell ref="A18156:E18156"/>
    <s:mergeCell ref="A5638:E5638"/>
    <s:mergeCell ref="A5632:E5632"/>
    <s:mergeCell ref="A19936:E19936"/>
    <s:mergeCell ref="A3636:E3636"/>
    <s:mergeCell ref="A4152:E4152"/>
    <s:mergeCell ref="A18456:E18456"/>
    <s:mergeCell ref="A3847:E3847"/>
    <s:mergeCell ref="A18151:E18151"/>
    <s:mergeCell ref="A3936:E3936"/>
    <s:mergeCell ref="A11054:E11054"/>
    <s:mergeCell ref="B4394:E4394"/>
    <s:mergeCell ref="A10749:E10749"/>
    <s:mergeCell ref="A19664:E19664"/>
    <s:mergeCell ref="A20269:E20269"/>
    <s:mergeCell ref="A11049:E11049"/>
    <s:mergeCell ref="A18184:E18184"/>
    <s:mergeCell ref="A3558:E3558"/>
    <s:mergeCell ref="A19964:E19964"/>
    <s:mergeCell ref="A27082:E27082"/>
    <s:mergeCell ref="A4163:E4163"/>
    <s:mergeCell ref="A2078:E2078"/>
    <s:mergeCell ref="A18484:E18484"/>
    <s:mergeCell ref="A18467:E18467"/>
    <s:mergeCell ref="A16382:E16382"/>
    <s:mergeCell ref="A25086:E25086"/>
    <s:mergeCell ref="A18179:E18179"/>
    <s:mergeCell ref="A27382:E27382"/>
    <s:mergeCell ref="A25297:E25297"/>
    <s:mergeCell ref="A23600:E23600"/>
    <s:mergeCell ref="A11082:E11082"/>
    <s:mergeCell ref="A2378:E2378"/>
    <s:mergeCell ref="A25386:E25386"/>
    <s:mergeCell ref="A25902:E25902"/>
    <s:mergeCell ref="A23295:E23295"/>
    <s:mergeCell ref="A30413:E30413"/>
    <s:mergeCell ref="A17895:E17895"/>
    <s:mergeCell ref="A25597:E25597"/>
    <s:mergeCell ref="A16409:E16409"/>
    <s:mergeCell ref="A30713:E30713"/>
    <s:mergeCell ref="A18195:E18195"/>
    <s:mergeCell ref="A25897:E25897"/>
    <s:mergeCell ref="A3586:E3586"/>
    <s:mergeCell ref="A30408:E30408"/>
    <s:mergeCell ref="A17890:E17890"/>
    <s:mergeCell ref="A2106:E2106"/>
    <s:mergeCell ref="A31013:E31013"/>
    <s:mergeCell ref="A18495:E18495"/>
    <s:mergeCell ref="A16410:E16410"/>
    <s:mergeCell ref="A3886:E3886"/>
    <s:mergeCell ref="A1801:E1801"/>
    <s:mergeCell ref="A11004:E11004"/>
    <s:mergeCell ref="A7222:E7222"/>
    <s:mergeCell ref="B31560:E31560"/>
    <s:mergeCell ref="B19042:E19042"/>
    <s:mergeCell ref="A9008:E9008"/>
    <s:mergeCell ref="A9002:E9002"/>
    <s:mergeCell ref="A6917:E6917"/>
    <s:mergeCell ref="B2348:E2348"/>
    <s:mergeCell ref="A25913:E25913"/>
    <s:mergeCell ref="A23828:E23828"/>
    <s:mergeCell ref="B31261:E31261"/>
    <s:mergeCell ref="B31255:E31255"/>
    <s:mergeCell ref="A23822:E23822"/>
    <s:mergeCell ref="A11304:E11304"/>
    <s:mergeCell ref="A9219:E9219"/>
    <s:mergeCell ref="A7522:E7522"/>
    <s:mergeCell ref="A25608:E25608"/>
    <s:mergeCell ref="A23523:E23523"/>
    <s:mergeCell ref="A9308:E9308"/>
    <s:mergeCell ref="A7217:E7217"/>
    <s:mergeCell ref="A16420:E16420"/>
    <s:mergeCell ref="A14335:E14335"/>
    <s:mergeCell ref="A1817:E1817"/>
    <s:mergeCell ref="A120:E120"/>
    <s:mergeCell ref="A9519:E9519"/>
    <s:mergeCell ref="A23823:E23823"/>
    <s:mergeCell ref="A1512:E1512"/>
    <s:mergeCell ref="A331:E331"/>
    <s:mergeCell ref="A18417:E18417"/>
    <s:mergeCell ref="A16332:E16332"/>
    <s:mergeCell ref="A14635:E14635"/>
    <s:mergeCell ref="A2117:E2117"/>
    <s:mergeCell ref="A32:E32"/>
    <s:mergeCell ref="A9819:E9819"/>
    <s:mergeCell ref="B15182:E15182"/>
    <s:mergeCell ref="A7233:E7233"/>
    <s:mergeCell ref="A14935:E14935"/>
    <s:mergeCell ref="A332:E332"/>
    <s:mergeCell ref="A16721:E16721"/>
    <s:mergeCell ref="A14636:E14636"/>
    <s:mergeCell ref="A21748:E21748"/>
    <s:mergeCell ref="B15183:E15183"/>
    <s:mergeCell ref="B15177:E15177"/>
    <s:mergeCell ref="A14363:E14363"/>
    <s:mergeCell ref="A30752:E30752"/>
    <s:mergeCell ref="A23851:E23851"/>
    <s:mergeCell ref="A16754:E16754"/>
    <s:mergeCell ref="A14663:E14663"/>
    <s:mergeCell ref="A28967:E28967"/>
    <s:mergeCell ref="A19779:E19779"/>
    <s:mergeCell ref="A22081:E22081"/>
    <s:mergeCell ref="A19996:E19996"/>
    <s:mergeCell ref="A29267:E29267"/>
    <s:mergeCell ref="A21782:E21782"/>
    <s:mergeCell ref="A21776:E21776"/>
    <s:mergeCell ref="B890:E890"/>
    <s:mergeCell ref="A26898:E26898"/>
    <s:mergeCell ref="A22076:E22076"/>
    <s:mergeCell ref="A21777:E21777"/>
    <s:mergeCell ref="A27198:E27198"/>
    <s:mergeCell ref="A28978:E28978"/>
    <s:mergeCell ref="A26893:E26893"/>
    <s:mergeCell ref="A13194:E13194"/>
    <s:mergeCell ref="A2917:E2917"/>
    <s:mergeCell ref="A832:E832"/>
    <s:mergeCell ref="A29195:E29195"/>
    <s:mergeCell ref="A27498:E27498"/>
    <s:mergeCell ref="A25413:E25413"/>
    <s:mergeCell ref="A2612:E2612"/>
    <s:mergeCell ref="A527:E527"/>
    <s:mergeCell ref="A27709:E27709"/>
    <s:mergeCell ref="A9730:E9730"/>
    <s:mergeCell ref="A10030:E10030"/>
    <s:mergeCell ref="A24334:E24334"/>
    <s:mergeCell ref="B27951:E27951"/>
    <s:mergeCell ref="A9725:E9725"/>
    <s:mergeCell ref="A8245:E8245"/>
    <s:mergeCell ref="A22549:E22549"/>
    <s:mergeCell ref="A10031:E10031"/>
    <s:mergeCell ref="A843:E843"/>
    <s:mergeCell ref="A8545:E8545"/>
    <s:mergeCell ref="A20035:E20035"/>
    <s:mergeCell ref="A22849:E22849"/>
    <s:mergeCell ref="A2840:E2840"/>
    <s:mergeCell ref="A1143:E1143"/>
    <s:mergeCell ref="A7973:E7973"/>
    <s:mergeCell ref="A1055:E1055"/>
    <s:mergeCell ref="A9753:E9753"/>
    <s:mergeCell ref="A7668:E7668"/>
    <s:mergeCell ref="A8256:E8256"/>
    <s:mergeCell ref="A6171:E6171"/>
    <s:mergeCell ref="A14875:E14875"/>
    <s:mergeCell ref="A29695:E29695"/>
    <s:mergeCell ref="A17171:E17171"/>
    <s:mergeCell ref="A15086:E15086"/>
    <s:mergeCell ref="A871:E871"/>
    <s:mergeCell ref="A6471:E6471"/>
    <s:mergeCell ref="A29995:E29995"/>
    <s:mergeCell ref="A15386:E15386"/>
    <s:mergeCell ref="A29690:E29690"/>
    <s:mergeCell ref="A17172:E17172"/>
    <s:mergeCell ref="A15475:E15475"/>
    <s:mergeCell ref="A22593:E22593"/>
    <s:mergeCell ref="B26210:E26210"/>
    <s:mergeCell ref="A30295:E30295"/>
    <s:mergeCell ref="A7984:E7984"/>
    <s:mergeCell ref="A15686:E15686"/>
    <s:mergeCell ref="A22288:E22288"/>
    <s:mergeCell ref="A15387:E15387"/>
    <s:mergeCell ref="A20808:E20808"/>
    <s:mergeCell ref="A22499:E22499"/>
    <s:mergeCell ref="B6446:E6446"/>
    <s:mergeCell ref="A20802:E20802"/>
    <s:mergeCell ref="A6199:E6199"/>
    <s:mergeCell ref="A22588:E22588"/>
    <s:mergeCell ref="A20503:E20503"/>
    <s:mergeCell ref="B17023:E17023"/>
    <s:mergeCell ref="A22805:E22805"/>
    <s:mergeCell ref="A6499:E6499"/>
    <s:mergeCell ref="A13617:E13617"/>
    <s:mergeCell ref="A20803:E20803"/>
    <s:mergeCell ref="A27921:E27921"/>
    <s:mergeCell ref="A25830:E25830"/>
    <s:mergeCell ref="A15397:E15397"/>
    <s:mergeCell ref="A18733:E18733"/>
    <s:mergeCell ref="A13401:E13401"/>
    <s:mergeCell ref="A28221:E28221"/>
    <s:mergeCell ref="B13859:E13859"/>
    <s:mergeCell ref="A19033:E19033"/>
    <s:mergeCell ref="B14464:E14464"/>
    <s:mergeCell ref="A6515:E6515"/>
    <s:mergeCell ref="A4430:E4430"/>
    <s:mergeCell ref="A20836:E20836"/>
    <s:mergeCell ref="A4424:E4424"/>
    <s:mergeCell ref="A6210:E6210"/>
    <s:mergeCell ref="B19580:E19580"/>
    <s:mergeCell ref="A29734:E29734"/>
    <s:mergeCell ref="A27649:E27649"/>
    <s:mergeCell ref="A4730:E4730"/>
    <s:mergeCell ref="A29429:E29429"/>
    <s:mergeCell ref="A4425:E4425"/>
    <s:mergeCell ref="A29729:E29729"/>
    <s:mergeCell ref="A27644:E27644"/>
    <s:mergeCell ref="B21877:E21877"/>
    <s:mergeCell ref="A11843:E11843"/>
    <s:mergeCell ref="A28249:E28249"/>
    <s:mergeCell ref="A26164:E26164"/>
    <s:mergeCell ref="A31280:E31280"/>
    <s:mergeCell ref="A20847:E20847"/>
    <s:mergeCell ref="A12143:E12143"/>
    <s:mergeCell ref="A10058:E10058"/>
    <s:mergeCell ref="A18762:E18762"/>
    <s:mergeCell ref="A18756:E18756"/>
    <s:mergeCell ref="A2955:E2955"/>
    <s:mergeCell ref="A4758:E4758"/>
    <s:mergeCell ref="A31580:E31580"/>
    <s:mergeCell ref="A2656:E2656"/>
    <s:mergeCell ref="A11870:E11870"/>
    <s:mergeCell ref="A26180:E26180"/>
    <s:mergeCell ref="A26174:E26174"/>
    <s:mergeCell ref="A24089:E24089"/>
    <s:mergeCell ref="A13656:E13656"/>
    <s:mergeCell ref="A11571:E11571"/>
    <s:mergeCell ref="A1170:E1170"/>
    <s:mergeCell ref="A25875:E25875"/>
    <s:mergeCell ref="A13351:E13351"/>
    <s:mergeCell ref="A16687:E16687"/>
    <s:mergeCell ref="A24389:E24389"/>
    <s:mergeCell ref="A11871:E11871"/>
    <s:mergeCell ref="B26422:E26422"/>
    <s:mergeCell ref="A18989:E18989"/>
    <s:mergeCell ref="A26175:E26175"/>
    <s:mergeCell ref="A2683:E2683"/>
    <s:mergeCell ref="A598:E598"/>
    <s:mergeCell ref="A18684:E18684"/>
    <s:mergeCell ref="A16987:E16987"/>
    <s:mergeCell ref="A4469:E4469"/>
    <s:mergeCell ref="A2384:E2384"/>
    <s:mergeCell ref="A12171:E12171"/>
    <s:mergeCell ref="A19289:E19289"/>
    <s:mergeCell ref="A16682:E16682"/>
    <s:mergeCell ref="A17198:E17198"/>
    <s:mergeCell ref="A31502:E31502"/>
    <s:mergeCell ref="A18984:E18984"/>
    <s:mergeCell ref="A17287:E17287"/>
    <s:mergeCell ref="A15202:E15202"/>
    <s:mergeCell ref="A2684:E2684"/>
    <s:mergeCell ref="A24405:E24405"/>
    <s:mergeCell ref="A2678:E2678"/>
    <s:mergeCell ref="A16988:E16988"/>
    <s:mergeCell ref="A26202:E26202"/>
    <s:mergeCell ref="A24100:E24100"/>
    <s:mergeCell ref="A17199:E17199"/>
    <s:mergeCell ref="A22620:E22620"/>
    <s:mergeCell ref="A10102:E10102"/>
    <s:mergeCell ref="A10096:E10096"/>
    <s:mergeCell ref="A8011:E8011"/>
    <s:mergeCell ref="A24400:E24400"/>
    <s:mergeCell ref="A22315:E22315"/>
    <s:mergeCell ref="A15218:E15218"/>
    <s:mergeCell ref="A22920:E22920"/>
    <s:mergeCell ref="A8311:E8311"/>
    <s:mergeCell ref="A22615:E22615"/>
    <s:mergeCell ref="A10097:E10097"/>
    <s:mergeCell ref="A31530:E31530"/>
    <s:mergeCell ref="A7739:E7739"/>
    <s:mergeCell ref="A31531:E31531"/>
    <s:mergeCell ref="A24428:E24428"/>
    <s:mergeCell ref="A22343:E22343"/>
    <s:mergeCell ref="A31546:E31546"/>
    <s:mergeCell ref="A29461:E29461"/>
    <s:mergeCell ref="A29550:E29550"/>
    <s:mergeCell ref="A29761:E29761"/>
    <s:mergeCell ref="A15152:E15152"/>
    <s:mergeCell ref="A27765:E27765"/>
    <s:mergeCell ref="A31541:E31541"/>
    <s:mergeCell ref="A29456:E29456"/>
    <s:mergeCell ref="A22359:E22359"/>
    <s:mergeCell ref="A22054:E22054"/>
    <s:mergeCell ref="A29756:E29756"/>
    <s:mergeCell ref="B30608:E30608"/>
    <s:mergeCell ref="A22659:E22659"/>
    <s:mergeCell ref="A20574:E20574"/>
    <s:mergeCell ref="A8056:E8056"/>
    <s:mergeCell ref="A10297:E10297"/>
    <s:mergeCell ref="A22354:E22354"/>
    <s:mergeCell ref="A10597:E10597"/>
    <s:mergeCell ref="A22654:E22654"/>
    <s:mergeCell ref="A20569:E20569"/>
    <s:mergeCell ref="A3195:E3195"/>
    <s:mergeCell ref="B6812:E6812"/>
    <s:mergeCell ref="B13930:E13930"/>
    <s:mergeCell ref="A2890:E2890"/>
    <s:mergeCell ref="A1709:E1709"/>
    <s:mergeCell ref="A3406:E3406"/>
    <s:mergeCell ref="A3495:E3495"/>
    <s:mergeCell ref="A1410:E1410"/>
    <s:mergeCell ref="A3706:E3706"/>
    <s:mergeCell ref="A1105:E1105"/>
    <s:mergeCell ref="B13925:E13925"/>
    <s:mergeCell ref="A18010:E18010"/>
    <s:mergeCell ref="A5492:E5492"/>
    <s:mergeCell ref="A3407:E3407"/>
    <s:mergeCell ref="A1710:E1710"/>
    <s:mergeCell ref="A29500:E29500"/>
    <s:mergeCell ref="A8828:E8828"/>
    <s:mergeCell ref="A8822:E8822"/>
    <s:mergeCell ref="A6737:E6737"/>
    <s:mergeCell ref="B28834:E28834"/>
    <s:mergeCell ref="A1405:E1405"/>
    <s:mergeCell ref="A16225:E16225"/>
    <s:mergeCell ref="A29800:E29800"/>
    <s:mergeCell ref="A27715:E27715"/>
    <s:mergeCell ref="A8823:E8823"/>
    <s:mergeCell ref="A1332:E1332"/>
    <s:mergeCell ref="A24856:E24856"/>
    <s:mergeCell ref="A9123:E9123"/>
    <s:mergeCell ref="B28562:E28562"/>
    <s:mergeCell ref="A28315:E28315"/>
    <s:mergeCell ref="A10336:E10336"/>
    <s:mergeCell ref="A1632:E1632"/>
    <s:mergeCell ref="A23160:E23160"/>
    <s:mergeCell ref="A24851:E24851"/>
    <s:mergeCell ref="A23154:E23154"/>
    <s:mergeCell ref="A21069:E21069"/>
    <s:mergeCell ref="A10636:E10636"/>
    <s:mergeCell ref="A8551:E8551"/>
    <s:mergeCell ref="A23371:E23371"/>
    <s:mergeCell ref="B2479:E2479"/>
    <s:mergeCell ref="A8851:E8851"/>
    <s:mergeCell ref="A30572:E30572"/>
    <s:mergeCell ref="A15969:E15969"/>
    <s:mergeCell ref="A23671:E23671"/>
    <s:mergeCell ref="A1360:E1360"/>
    <s:mergeCell ref="A15664:E15664"/>
    <s:mergeCell ref="A23366:E23366"/>
    <s:mergeCell ref="A28787:E28787"/>
    <s:mergeCell ref="A16269:E16269"/>
    <s:mergeCell ref="A14184:E14184"/>
    <s:mergeCell ref="A1660:E1660"/>
    <s:mergeCell ref="A30573:E30573"/>
    <s:mergeCell ref="A28482:E28482"/>
    <s:mergeCell ref="A15964:E15964"/>
    <s:mergeCell ref="A29087:E29087"/>
    <s:mergeCell ref="A6782:E6782"/>
    <s:mergeCell ref="A6776:E6776"/>
    <s:mergeCell ref="A28782:E28782"/>
    <s:mergeCell ref="A6993:E6993"/>
    <s:mergeCell ref="A16264:E16264"/>
    <s:mergeCell ref="A23382:E23382"/>
    <s:mergeCell ref="A7082:E7082"/>
    <s:mergeCell ref="B5238:E5238"/>
    <s:mergeCell ref="A8773:E8773"/>
    <s:mergeCell ref="A14194:E14194"/>
    <s:mergeCell ref="A12109:E12109"/>
    <s:mergeCell ref="A8862:E8862"/>
    <s:mergeCell ref="A6777:E6777"/>
    <s:mergeCell ref="A7293:E7293"/>
    <s:mergeCell ref="A23682:E23682"/>
    <s:mergeCell ref="A21597:E21597"/>
    <s:mergeCell ref="A28210:E28210"/>
    <s:mergeCell ref="A12409:E12409"/>
    <s:mergeCell ref="A7077:E7077"/>
    <s:mergeCell ref="A7593:E7593"/>
    <s:mergeCell ref="A14195:E14195"/>
    <s:mergeCell ref="A14189:E14189"/>
    <s:mergeCell ref="A12709:E12709"/>
    <s:mergeCell ref="A191:E191"/>
    <s:mergeCell ref="A14495:E14495"/>
    <s:mergeCell ref="A12404:E12404"/>
    <s:mergeCell ref="B13256:E13256"/>
    <s:mergeCell ref="A5307:E5307"/>
    <s:mergeCell ref="A3222:E3222"/>
    <s:mergeCell ref="A23105:E23105"/>
    <s:mergeCell ref="A28526:E28526"/>
    <s:mergeCell ref="A13923:E13923"/>
    <s:mergeCell ref="A5219:E5219"/>
    <s:mergeCell ref="A12437:E12437"/>
    <s:mergeCell ref="A12420:E12420"/>
    <s:mergeCell ref="A26741:E26741"/>
    <s:mergeCell ref="A14223:E14223"/>
    <s:mergeCell ref="A5519:E5519"/>
    <s:mergeCell ref="A28521:E28521"/>
    <s:mergeCell ref="A19339:E19339"/>
    <s:mergeCell ref="A27041:E27041"/>
    <s:mergeCell ref="A14523:E14523"/>
    <s:mergeCell ref="A12438:E12438"/>
    <s:mergeCell ref="B20370:E20370"/>
    <s:mergeCell ref="A19550:E19550"/>
    <s:mergeCell ref="A26736:E26736"/>
    <s:mergeCell ref="A21336:E21336"/>
    <s:mergeCell ref="A19639:E19639"/>
    <s:mergeCell ref="A29038:E29038"/>
    <s:mergeCell ref="A21941:E21941"/>
    <s:mergeCell ref="A19850:E19850"/>
    <s:mergeCell ref="B21883:E21883"/>
    <s:mergeCell ref="A21636:E21636"/>
    <s:mergeCell ref="A19551:E19551"/>
    <s:mergeCell ref="A17854:E17854"/>
    <s:mergeCell ref="A27057:E27057"/>
    <s:mergeCell ref="A24966:E24966"/>
    <s:mergeCell ref="A12448:E12448"/>
    <s:mergeCell ref="A10363:E10363"/>
    <s:mergeCell ref="A26752:E26752"/>
    <s:mergeCell ref="A24667:E24667"/>
    <s:mergeCell ref="A19851:E19851"/>
    <s:mergeCell ref="A26969:E26969"/>
    <s:mergeCell ref="A25272:E25272"/>
    <s:mergeCell ref="A26963:E26963"/>
    <s:mergeCell ref="A2961:E2961"/>
    <s:mergeCell ref="A10663:E10663"/>
    <s:mergeCell ref="B27299:E27299"/>
    <s:mergeCell ref="A17781:E17781"/>
    <s:mergeCell ref="A24967:E24967"/>
    <s:mergeCell ref="A12449:E12449"/>
    <s:mergeCell ref="A1475:E1475"/>
    <s:mergeCell ref="A17476:E17476"/>
    <s:mergeCell ref="A3261:E3261"/>
    <s:mergeCell ref="A1176:E1176"/>
    <s:mergeCell ref="A10963:E10963"/>
    <s:mergeCell ref="A18081:E18081"/>
    <s:mergeCell ref="A5563:E5563"/>
    <s:mergeCell ref="A3478:E3478"/>
    <s:mergeCell ref="A25267:E25267"/>
    <s:mergeCell ref="A3472:E3472"/>
    <s:mergeCell ref="A17776:E17776"/>
    <s:mergeCell ref="A1476:E1476"/>
    <s:mergeCell ref="A16296:E16296"/>
    <s:mergeCell ref="A3772:E3772"/>
    <s:mergeCell ref="A18076:E18076"/>
    <s:mergeCell ref="A15991:E15991"/>
    <s:mergeCell ref="A5558:E5558"/>
    <s:mergeCell ref="A3473:E3473"/>
    <s:mergeCell ref="A1776:E1776"/>
    <s:mergeCell ref="B31147:E31147"/>
    <s:mergeCell ref="A10674:E10674"/>
    <s:mergeCell ref="A17504:E17504"/>
    <s:mergeCell ref="A17804:E17804"/>
    <s:mergeCell ref="A24922:E24922"/>
    <s:mergeCell ref="B16554:E16554"/>
    <s:mergeCell ref="A22926:E22926"/>
    <s:mergeCell ref="A30628:E30628"/>
    <s:mergeCell ref="A18104:E18104"/>
    <s:mergeCell ref="A25222:E25222"/>
    <s:mergeCell ref="A23137:E23137"/>
    <s:mergeCell ref="A30323:E30323"/>
    <s:mergeCell ref="A23226:E23226"/>
    <s:mergeCell ref="A24917:E24917"/>
    <s:mergeCell ref="A23220:E23220"/>
    <s:mergeCell ref="A28253:E28253"/>
    <s:mergeCell ref="A23437:E23437"/>
    <s:mergeCell ref="A9222:E9222"/>
    <s:mergeCell ref="A25223:E25223"/>
    <s:mergeCell ref="A23132:E23132"/>
    <s:mergeCell ref="A16035:E16035"/>
    <s:mergeCell ref="A5758:E5758"/>
    <s:mergeCell ref="A30339:E30339"/>
    <s:mergeCell ref="A17815:E17815"/>
    <s:mergeCell ref="A30550:E30550"/>
    <s:mergeCell ref="A16335:E16335"/>
    <s:mergeCell ref="A18576:E18576"/>
    <s:mergeCell ref="A6058:E6058"/>
    <s:mergeCell ref="A3973:E3973"/>
    <s:mergeCell ref="A30639:E30639"/>
    <s:mergeCell ref="A16030:E16030"/>
    <s:mergeCell ref="A5753:E5753"/>
    <s:mergeCell ref="A30850:E30850"/>
    <s:mergeCell ref="A9089:E9089"/>
    <s:mergeCell ref="A4273:E4273"/>
    <s:mergeCell ref="A13171:E13171"/>
    <s:mergeCell ref="A11386:E11386"/>
    <s:mergeCell ref="A4289:E4289"/>
    <s:mergeCell ref="A2198:E2198"/>
    <s:mergeCell ref="A3984:E3984"/>
    <s:mergeCell ref="A11686:E11686"/>
    <s:mergeCell ref="A4284:E4284"/>
    <s:mergeCell ref="A2199:E2199"/>
    <s:mergeCell ref="A18588:E18588"/>
    <s:mergeCell ref="A3712:E3712"/>
    <s:mergeCell ref="A18621:E18621"/>
    <s:mergeCell ref="A16530:E16530"/>
    <s:mergeCell ref="A4012:E4012"/>
    <s:mergeCell ref="A30834:E30834"/>
    <s:mergeCell ref="A31439:E31439"/>
    <s:mergeCell ref="A9128:E9128"/>
    <s:mergeCell ref="A2227:E2227"/>
    <s:mergeCell ref="A23948:E23948"/>
    <s:mergeCell ref="A11430:E11430"/>
    <s:mergeCell ref="A9345:E9345"/>
    <s:mergeCell ref="A31134:E31134"/>
    <s:mergeCell ref="A31351:E31351"/>
    <s:mergeCell ref="A9434:E9434"/>
    <s:mergeCell ref="A11125:E11125"/>
    <s:mergeCell ref="A7343:E7343"/>
    <s:mergeCell ref="A24248:E24248"/>
    <s:mergeCell ref="A22163:E22163"/>
    <s:mergeCell ref="A9645:E9645"/>
    <s:mergeCell ref="A9639:E9639"/>
    <s:mergeCell ref="A26034:E26034"/>
    <s:mergeCell ref="A23949:E23949"/>
    <s:mergeCell ref="A23943:E23943"/>
    <s:mergeCell ref="B1271:E1271"/>
    <s:mergeCell ref="A11425:E11425"/>
    <s:mergeCell ref="A9340:E9340"/>
    <s:mergeCell ref="A7643:E7643"/>
    <s:mergeCell ref="A14761:E14761"/>
    <s:mergeCell ref="A9945:E9945"/>
    <s:mergeCell ref="B27065:E27065"/>
    <s:mergeCell ref="A16541:E16541"/>
    <s:mergeCell ref="A14456:E14456"/>
    <s:mergeCell ref="A757:E757"/>
    <s:mergeCell ref="A9640:E9640"/>
    <s:mergeCell ref="A16758:E16758"/>
    <s:mergeCell ref="A15061:E15061"/>
    <s:mergeCell ref="A12976:E12976"/>
    <s:mergeCell ref="A2543:E2543"/>
    <s:mergeCell ref="A458:E458"/>
    <s:mergeCell ref="B27365:E27365"/>
    <s:mergeCell ref="A452:E452"/>
    <s:mergeCell ref="A31062:E31062"/>
    <s:mergeCell ref="A14756:E14756"/>
    <s:mergeCell ref="A21874:E21874"/>
    <s:mergeCell ref="A7659:E7659"/>
    <s:mergeCell ref="A17058:E17058"/>
    <s:mergeCell ref="A31362:E31362"/>
    <s:mergeCell ref="B15303:E15303"/>
    <s:mergeCell ref="A7870:E7870"/>
    <s:mergeCell ref="A5785:E5785"/>
    <s:mergeCell ref="A15056:E15056"/>
    <s:mergeCell ref="A2538:E2538"/>
    <s:mergeCell ref="A453:E453"/>
    <s:mergeCell ref="A22174:E22174"/>
    <s:mergeCell ref="A7571:E7571"/>
    <s:mergeCell ref="A17358:E17358"/>
    <s:mergeCell ref="A468:E468"/>
    <s:mergeCell ref="A22474:E22474"/>
    <s:mergeCell ref="A20389:E20389"/>
    <s:mergeCell ref="A29093:E29093"/>
    <s:mergeCell ref="A7871:E7871"/>
    <s:mergeCell ref="A22175:E22175"/>
    <s:mergeCell ref="A31389:E31389"/>
    <s:mergeCell ref="A29304:E29304"/>
    <s:mergeCell ref="A380:E380"/>
    <s:mergeCell ref="A15089:E15089"/>
    <s:mergeCell ref="B24718:E24718"/>
    <s:mergeCell ref="B20936:E20936"/>
    <s:mergeCell ref="A31090:E31090"/>
    <s:mergeCell ref="A29393:E29393"/>
    <s:mergeCell ref="A20689:E20689"/>
    <s:mergeCell ref="A21902:E21902"/>
    <s:mergeCell ref="A680:E680"/>
    <s:mergeCell ref="B29834:E29834"/>
    <s:mergeCell ref="A14984:E14984"/>
    <s:mergeCell ref="A31390:E31390"/>
    <s:mergeCell ref="A769:E769"/>
    <s:mergeCell ref="A5796:E5796"/>
    <s:mergeCell ref="A22202:E22202"/>
    <s:mergeCell ref="A20117:E20117"/>
    <s:mergeCell ref="A980:E980"/>
    <s:mergeCell ref="B15531:E15531"/>
    <s:mergeCell ref="A21897:E21897"/>
    <s:mergeCell ref="A14800:E14800"/>
    <s:mergeCell ref="A6096:E6096"/>
    <s:mergeCell ref="A4011:E4011"/>
    <s:mergeCell ref="A12715:E12715"/>
    <s:mergeCell ref="A27019:E27019"/>
    <s:mergeCell ref="A27535:E27535"/>
    <s:mergeCell ref="A12926:E12926"/>
    <s:mergeCell ref="A29315:E29315"/>
    <s:mergeCell ref="A4311:E4311"/>
    <s:mergeCell ref="A27319:E27319"/>
    <s:mergeCell ref="A27835:E27835"/>
    <s:mergeCell ref="A19828:E19828"/>
    <s:mergeCell ref="A27530:E27530"/>
    <s:mergeCell ref="A13315:E13315"/>
    <s:mergeCell ref="A20433:E20433"/>
    <s:mergeCell ref="A27619:E27619"/>
    <s:mergeCell ref="A28135:E28135"/>
    <s:mergeCell ref="A5824:E5824"/>
    <s:mergeCell ref="B28077:E28077"/>
    <s:mergeCell ref="A20128:E20128"/>
    <s:mergeCell ref="A27830:E27830"/>
    <s:mergeCell ref="A13227:E13227"/>
    <s:mergeCell ref="A20733:E20733"/>
    <s:mergeCell ref="A18648:E18648"/>
    <s:mergeCell ref="A20339:E20339"/>
    <s:mergeCell ref="A6124:E6124"/>
    <s:mergeCell ref="A4039:E4039"/>
    <s:mergeCell ref="A13242:E13242"/>
    <s:mergeCell ref="A11157:E11157"/>
    <s:mergeCell ref="A20428:E20428"/>
    <s:mergeCell ref="A18343:E18343"/>
    <s:mergeCell ref="A7910:E7910"/>
    <s:mergeCell ref="A5825:E5825"/>
    <s:mergeCell ref="A9155:E9155"/>
    <s:mergeCell ref="A11457:E11457"/>
    <s:mergeCell ref="A18643:E18643"/>
    <s:mergeCell ref="A27846:E27846"/>
    <s:mergeCell ref="A25761:E25761"/>
    <s:mergeCell ref="A11546:E11546"/>
    <s:mergeCell ref="A13237:E13237"/>
    <s:mergeCell ref="A11152:E11152"/>
    <s:mergeCell ref="A26061:E26061"/>
    <s:mergeCell ref="B11699:E11699"/>
    <s:mergeCell ref="A11452:E11452"/>
    <s:mergeCell ref="A9456:E9456"/>
    <s:mergeCell ref="A18659:E18659"/>
    <s:mergeCell ref="A27574:E27574"/>
    <s:mergeCell ref="A18354:E18354"/>
    <s:mergeCell ref="A18959:E18959"/>
    <s:mergeCell ref="A27269:E27269"/>
    <s:mergeCell ref="A6597:E6597"/>
    <s:mergeCell ref="A25789:E25789"/>
    <s:mergeCell ref="A27575:E27575"/>
    <s:mergeCell ref="A27569:E27569"/>
    <s:mergeCell ref="A25484:E25484"/>
    <s:mergeCell ref="A8594:E8594"/>
    <s:mergeCell ref="A30905:E30905"/>
    <s:mergeCell ref="A18387:E18387"/>
    <s:mergeCell ref="A26089:E26089"/>
    <s:mergeCell ref="A25784:E25784"/>
    <s:mergeCell ref="A31205:E31205"/>
    <s:mergeCell ref="A18687:E18687"/>
    <s:mergeCell ref="A16602:E16602"/>
    <s:mergeCell ref="A30900:E30900"/>
    <s:mergeCell ref="A14010:E14010"/>
    <s:mergeCell ref="A31200:E31200"/>
    <s:mergeCell ref="A25800:E25800"/>
    <s:mergeCell ref="A24015:E24015"/>
    <s:mergeCell ref="A1214:E1214"/>
    <s:mergeCell ref="A4550:E4550"/>
    <s:mergeCell ref="A6547:E6547"/>
    <s:mergeCell ref="A4850:E4850"/>
    <s:mergeCell ref="A20851:E20851"/>
    <s:mergeCell ref="A6636:E6636"/>
    <s:mergeCell ref="A4551:E4551"/>
    <s:mergeCell ref="A4545:E4545"/>
    <s:mergeCell ref="A6847:E6847"/>
    <s:mergeCell ref="A4762:E4762"/>
    <s:mergeCell ref="B15369:E15369"/>
    <s:mergeCell ref="A4851:E4851"/>
    <s:mergeCell ref="A11969:E11969"/>
    <s:mergeCell ref="A11963:E11963"/>
    <s:mergeCell ref="A9878:E9878"/>
    <s:mergeCell ref="A12269:E12269"/>
    <s:mergeCell ref="A10178:E10178"/>
    <s:mergeCell ref="A3081:E3081"/>
    <s:mergeCell ref="A11964:E11964"/>
    <s:mergeCell ref="A31156:E31156"/>
    <s:mergeCell ref="A4473:E4473"/>
    <s:mergeCell ref="A1296:E1296"/>
    <s:mergeCell ref="A31456:E31456"/>
    <s:mergeCell ref="B22515:E22515"/>
    <s:mergeCell ref="A26600:E26600"/>
    <s:mergeCell ref="A24515:E24515"/>
    <s:mergeCell ref="A11997:E11997"/>
    <s:mergeCell ref="A2777:E2777"/>
    <s:mergeCell ref="A11991:E11991"/>
    <s:mergeCell ref="A26301:E26301"/>
    <s:mergeCell ref="A27992:E27992"/>
    <s:mergeCell ref="A26295:E26295"/>
    <s:mergeCell ref="A24815:E24815"/>
    <s:mergeCell ref="A12297:E12297"/>
    <s:mergeCell ref="A18893:E18893"/>
    <s:mergeCell ref="A17324:E17324"/>
    <s:mergeCell ref="A19409:E19409"/>
    <s:mergeCell ref="A24510:E24510"/>
    <s:mergeCell ref="A31628:E31628"/>
    <s:mergeCell ref="A19110:E19110"/>
    <s:mergeCell ref="A17413:E17413"/>
    <s:mergeCell ref="A2804:E2804"/>
    <s:mergeCell ref="A19715:E19715"/>
    <s:mergeCell ref="A18805:E18805"/>
    <s:mergeCell ref="A17108:E17108"/>
    <s:mergeCell ref="A17624:E17624"/>
    <s:mergeCell ref="A19410:E19410"/>
    <s:mergeCell ref="A15628:E15628"/>
    <s:mergeCell ref="A17319:E17319"/>
    <s:mergeCell ref="A22740:E22740"/>
    <s:mergeCell ref="A10222:E10222"/>
    <s:mergeCell ref="A8137:E8137"/>
    <s:mergeCell ref="A17408:E17408"/>
    <s:mergeCell ref="A15323:E15323"/>
    <s:mergeCell ref="A24526:E24526"/>
    <s:mergeCell ref="A19710:E19710"/>
    <s:mergeCell ref="A24221:E24221"/>
    <s:mergeCell ref="A23040:E23040"/>
    <s:mergeCell ref="A8437:E8437"/>
    <s:mergeCell ref="A22741:E22741"/>
    <s:mergeCell ref="A10223:E10223"/>
    <s:mergeCell ref="A10217:E10217"/>
    <s:mergeCell ref="A8132:E8132"/>
    <s:mergeCell ref="A31656:E31656"/>
    <s:mergeCell ref="A1035:E1035"/>
    <s:mergeCell ref="A8737:E8737"/>
    <s:mergeCell ref="A24738:E24738"/>
    <s:mergeCell ref="A23041:E23041"/>
    <s:mergeCell ref="B8679:E8679"/>
    <s:mergeCell ref="A730:E730"/>
    <s:mergeCell ref="A1246:E1246"/>
    <s:mergeCell ref="A17635:E17635"/>
    <s:mergeCell ref="A15550:E15550"/>
    <s:mergeCell ref="A3032:E3032"/>
    <s:mergeCell ref="A1335:E1335"/>
    <s:mergeCell ref="A29854:E29854"/>
    <s:mergeCell ref="A31651:E31651"/>
    <s:mergeCell ref="A1030:E1030"/>
    <s:mergeCell ref="A8148:E8148"/>
    <s:mergeCell ref="A15850:E15850"/>
    <s:mergeCell ref="A22469:E22469"/>
    <s:mergeCell ref="A3332:E3332"/>
    <s:mergeCell ref="A1247:E1247"/>
    <s:mergeCell ref="B16186:E16186"/>
    <s:mergeCell ref="A30154:E30154"/>
    <s:mergeCell ref="A17636:E17636"/>
    <s:mergeCell ref="A6662:E6662"/>
    <s:mergeCell ref="A6363:E6363"/>
    <s:mergeCell ref="A16150:E16150"/>
    <s:mergeCell ref="A22769:E22769"/>
    <s:mergeCell ref="A6968:E6968"/>
    <s:mergeCell ref="A15278:E15278"/>
    <s:mergeCell ref="A31667:E31667"/>
    <s:mergeCell ref="A6663:E6663"/>
    <s:mergeCell ref="A30187:E30187"/>
    <s:mergeCell ref="A1257:E1257"/>
    <s:mergeCell ref="A15578:E15578"/>
    <s:mergeCell ref="A29882:E29882"/>
    <s:mergeCell ref="A6963:E6963"/>
    <s:mergeCell ref="A15273:E15273"/>
    <s:mergeCell ref="A30487:E30487"/>
    <s:mergeCell ref="A28402:E28402"/>
    <s:mergeCell ref="A8176:E8176"/>
    <s:mergeCell ref="A15878:E15878"/>
    <s:mergeCell ref="A22480:E22480"/>
    <s:mergeCell ref="A13776:E13776"/>
    <s:mergeCell ref="A30182:E30182"/>
    <s:mergeCell ref="A23085:E23085"/>
    <s:mergeCell ref="A20994:E20994"/>
    <s:mergeCell ref="A8476:E8476"/>
    <s:mergeCell ref="A6391:E6391"/>
    <s:mergeCell ref="B30729:E30729"/>
    <s:mergeCell ref="A22780:E22780"/>
    <s:mergeCell ref="A20695:E20695"/>
    <s:mergeCell ref="A21211:E21211"/>
    <s:mergeCell ref="A23296:E23296"/>
    <s:mergeCell ref="A30482:E30482"/>
    <s:mergeCell ref="A13592:E13592"/>
    <s:mergeCell ref="A22991:E22991"/>
    <s:mergeCell ref="A6691:E6691"/>
    <s:mergeCell ref="A28412:E28412"/>
    <s:mergeCell ref="A13809:E13809"/>
    <s:mergeCell ref="A20995:E20995"/>
    <s:mergeCell ref="A28113:E28113"/>
    <s:mergeCell ref="A15589:E15589"/>
    <s:mergeCell ref="A23291:E23291"/>
    <s:mergeCell ref="A28413:E28413"/>
    <s:mergeCell ref="A13804:E13804"/>
    <s:mergeCell ref="A20922:E20922"/>
    <s:mergeCell ref="A28108:E28108"/>
    <s:mergeCell ref="A30410:E30410"/>
    <s:mergeCell ref="A6402:E6402"/>
    <s:mergeCell ref="A14104:E14104"/>
    <s:mergeCell ref="A21222:E21222"/>
    <s:mergeCell ref="A17440:E17440"/>
    <s:mergeCell ref="A4922:E4922"/>
    <s:mergeCell ref="A6613:E6613"/>
    <s:mergeCell ref="A4916:E4916"/>
    <s:mergeCell ref="A21311:E21311"/>
    <s:mergeCell ref="B19467:E19467"/>
    <s:mergeCell ref="A4617:E4617"/>
    <s:mergeCell ref="A26338:E26338"/>
    <s:mergeCell ref="A21522:E21522"/>
    <s:mergeCell ref="A19437:E19437"/>
    <s:mergeCell ref="A4917:E4917"/>
    <s:mergeCell ref="A28441:E28441"/>
    <s:mergeCell ref="A1758:E1758"/>
    <s:mergeCell ref="A1453:E1453"/>
    <s:mergeCell ref="A273:E273"/>
    <s:mergeCell ref="A26366:E26366"/>
    <s:mergeCell ref="A24281:E24281"/>
    <s:mergeCell ref="A13848:E13848"/>
    <s:mergeCell ref="A11763:E11763"/>
    <s:mergeCell ref="A24581:E24581"/>
    <s:mergeCell ref="A12063:E12063"/>
    <s:mergeCell ref="A26367:E26367"/>
    <s:mergeCell ref="A26361:E26361"/>
    <s:mergeCell ref="A24276:E24276"/>
    <s:mergeCell ref="B10807:E10807"/>
    <s:mergeCell ref="A17179:E17179"/>
    <s:mergeCell ref="A12363:E12363"/>
    <s:mergeCell ref="A31694:E31694"/>
    <s:mergeCell ref="A19176:E19176"/>
    <s:mergeCell ref="A17479:E17479"/>
    <s:mergeCell ref="A5117:E5117"/>
    <s:mergeCell ref="B10808:E10808"/>
    <s:mergeCell ref="A19781:E19781"/>
    <s:mergeCell ref="B10802:E10802"/>
    <s:mergeCell ref="A7419:E7419"/>
    <s:mergeCell ref="A6897:E6897"/>
    <s:mergeCell ref="A19476:E19476"/>
    <s:mergeCell ref="A9199:E9199"/>
    <s:mergeCell ref="A5417:E5417"/>
    <s:mergeCell ref="A7719:E7719"/>
    <s:mergeCell ref="A14315:E14315"/>
    <s:mergeCell ref="A7414:E7414"/>
    <s:mergeCell ref="A317:E317"/>
    <s:mergeCell ref="B25139:E25139"/>
    <s:mergeCell ref="A16312:E16312"/>
    <s:mergeCell ref="A12530:E12530"/>
    <s:mergeCell ref="A7714:E7714"/>
    <s:mergeCell ref="A31722:E31722"/>
    <s:mergeCell ref="A14316:E14316"/>
    <s:mergeCell ref="A13135:E13135"/>
    <s:mergeCell ref="A29136:E29136"/>
    <s:mergeCell ref="A12830:E12830"/>
    <s:mergeCell ref="A312:E312"/>
    <s:mergeCell ref="A14616:E14616"/>
    <s:mergeCell ref="B27436:E27436"/>
    <s:mergeCell ref="A19643:E19643"/>
    <s:mergeCell ref="A7730:E7730"/>
    <s:mergeCell ref="A5645:E5645"/>
    <s:mergeCell ref="A5639:E5639"/>
    <s:mergeCell ref="A12258:E12258"/>
    <s:mergeCell ref="A19949:E19949"/>
    <s:mergeCell ref="A12846:E12846"/>
    <s:mergeCell ref="B18249:E18249"/>
    <s:mergeCell ref="A21762:E21762"/>
    <s:mergeCell ref="A19671:E19671"/>
    <s:mergeCell ref="A20276:E20276"/>
    <s:mergeCell ref="A19971:E19971"/>
    <s:mergeCell ref="A27089:E27089"/>
    <s:mergeCell ref="A25392:E25392"/>
    <s:mergeCell ref="A10789:E10789"/>
    <s:mergeCell ref="A27178:E27178"/>
    <s:mergeCell ref="A25093:E25093"/>
    <s:mergeCell ref="A12569:E12569"/>
    <s:mergeCell ref="A10484:E10484"/>
    <s:mergeCell ref="A27389:E27389"/>
    <s:mergeCell ref="A25304:E25304"/>
    <s:mergeCell ref="A11089:E11089"/>
    <s:mergeCell ref="A27090:E27090"/>
    <s:mergeCell ref="A25393:E25393"/>
    <s:mergeCell ref="A3598:E3598"/>
    <s:mergeCell ref="A10784:E10784"/>
    <s:mergeCell ref="A19987:E19987"/>
    <s:mergeCell ref="A17902:E17902"/>
    <s:mergeCell ref="A25604:E25604"/>
    <s:mergeCell ref="A3687:E3687"/>
    <s:mergeCell ref="A1596:E1596"/>
    <s:mergeCell ref="A17597:E17597"/>
    <s:mergeCell ref="A3898:E3898"/>
    <s:mergeCell ref="B18449:E18449"/>
    <s:mergeCell ref="A18202:E18202"/>
    <s:mergeCell ref="A5684:E5684"/>
    <s:mergeCell ref="A3599:E3599"/>
    <s:mergeCell ref="A1902:E1902"/>
    <s:mergeCell ref="A9014:E9014"/>
    <s:mergeCell ref="A25015:E25015"/>
    <s:mergeCell ref="A8715:E8715"/>
    <s:mergeCell ref="A16417:E16417"/>
    <s:mergeCell ref="A3893:E3893"/>
    <s:mergeCell ref="A11017:E11017"/>
    <s:mergeCell ref="B18444:E18444"/>
    <s:mergeCell ref="A11011:E11011"/>
    <s:mergeCell ref="A25315:E25315"/>
    <s:mergeCell ref="B19049:E19049"/>
    <s:mergeCell ref="A1524:E1524"/>
    <s:mergeCell ref="A11311:E11311"/>
    <s:mergeCell ref="A9226:E9226"/>
    <s:mergeCell ref="A17930:E17930"/>
    <s:mergeCell ref="A25615:E25615"/>
    <s:mergeCell ref="A23530:E23530"/>
    <s:mergeCell ref="A11012:E11012"/>
    <s:mergeCell ref="A9315:E9315"/>
    <s:mergeCell ref="A7230:E7230"/>
    <s:mergeCell ref="A16433:E16433"/>
    <s:mergeCell ref="A14342:E14342"/>
    <s:mergeCell ref="A1824:E1824"/>
    <s:mergeCell ref="A18230:E18230"/>
    <s:mergeCell ref="A16128:E16128"/>
    <s:mergeCell ref="A344:E344"/>
    <s:mergeCell ref="A25043:E25043"/>
    <s:mergeCell ref="A39:E39"/>
    <s:mergeCell ref="A25648:E25648"/>
    <s:mergeCell ref="A16428:E16428"/>
    <s:mergeCell ref="A1825:E1825"/>
    <s:mergeCell ref="A8937:E8937"/>
    <s:mergeCell ref="A25343:E25343"/>
    <s:mergeCell ref="A339:E339"/>
    <s:mergeCell ref="A23863:E23863"/>
    <s:mergeCell ref="A15856:E15856"/>
    <s:mergeCell ref="A25643:E25643"/>
    <s:mergeCell ref="A23558:E23558"/>
    <s:mergeCell ref="A1852:E1852"/>
    <s:mergeCell ref="A30765:E30765"/>
    <s:mergeCell ref="B9784:E9784"/>
    <s:mergeCell ref="A30759:E30759"/>
    <s:mergeCell ref="A16156:E16156"/>
    <s:mergeCell ref="A29279:E29279"/>
    <s:mergeCell ref="A16761:E16761"/>
    <s:mergeCell ref="A2152:E2152"/>
    <s:mergeCell ref="A21788:E21788"/>
    <s:mergeCell ref="A16456:E16456"/>
    <s:mergeCell ref="A14371:E14371"/>
    <s:mergeCell ref="A23574:E23574"/>
    <s:mergeCell ref="A31276:E31276"/>
    <s:mergeCell ref="A7268:E7268"/>
    <s:mergeCell ref="A23269:E23269"/>
    <s:mergeCell ref="A22088:E22088"/>
    <s:mergeCell ref="A28690:E28690"/>
    <s:mergeCell ref="A23874:E23874"/>
    <s:mergeCell ref="A21789:E21789"/>
    <s:mergeCell ref="A21783:E21783"/>
    <s:mergeCell ref="A9265:E9265"/>
    <s:mergeCell ref="A7180:E7180"/>
    <s:mergeCell ref="A83:E83"/>
    <s:mergeCell ref="A7785:E7785"/>
    <s:mergeCell ref="A14387:E14387"/>
    <s:mergeCell ref="A1863:E1863"/>
    <s:mergeCell ref="A16683:E16683"/>
    <s:mergeCell ref="A14082:E14082"/>
    <s:mergeCell ref="A12901:E12901"/>
    <s:mergeCell ref="A14598:E14598"/>
    <s:mergeCell ref="A383:E383"/>
    <s:mergeCell ref="A28902:E28902"/>
    <s:mergeCell ref="A14687:E14687"/>
    <s:mergeCell ref="A78:E78"/>
    <s:mergeCell ref="A21799:E21799"/>
    <s:mergeCell ref="A14382:E14382"/>
    <s:mergeCell ref="A14898:E14898"/>
    <s:mergeCell ref="A29202:E29202"/>
    <s:mergeCell ref="A378:E378"/>
    <s:mergeCell ref="A20020:E20020"/>
    <s:mergeCell ref="A15198:E15198"/>
    <s:mergeCell ref="A10043:E10043"/>
    <s:mergeCell ref="A22100:E22100"/>
    <s:mergeCell ref="A20015:E20015"/>
    <s:mergeCell ref="A9738:E9738"/>
    <s:mergeCell ref="B6258:E6258"/>
    <s:mergeCell ref="A27233:E27233"/>
    <s:mergeCell ref="A550:E550"/>
    <s:mergeCell ref="A19742:E19742"/>
    <s:mergeCell ref="A21528:E21528"/>
    <s:mergeCell ref="A850:E850"/>
    <s:mergeCell ref="A20042:E20042"/>
    <s:mergeCell ref="A21828:E21828"/>
    <s:mergeCell ref="A19737:E19737"/>
    <s:mergeCell ref="A12640:E12640"/>
    <s:mergeCell ref="A27460:E27460"/>
    <s:mergeCell ref="B13671:E13671"/>
    <s:mergeCell ref="A20043:E20043"/>
    <s:mergeCell ref="A27161:E27161"/>
    <s:mergeCell ref="A27155:E27155"/>
    <s:mergeCell ref="A578:E578"/>
    <s:mergeCell ref="A27461:E27461"/>
    <s:mergeCell ref="A27455:E27455"/>
    <s:mergeCell ref="A17178:E17178"/>
    <s:mergeCell ref="A15093:E15093"/>
    <s:mergeCell ref="A878:E878"/>
    <s:mergeCell ref="A29241:E29241"/>
    <s:mergeCell ref="A27156:E27156"/>
    <s:mergeCell ref="B28008:E28008"/>
    <s:mergeCell ref="A22300:E22300"/>
    <s:mergeCell ref="B11702:E11702"/>
    <s:mergeCell ref="A21995:E21995"/>
    <s:mergeCell ref="A8296:E8296"/>
    <s:mergeCell ref="B18515:E18515"/>
    <s:mergeCell ref="A22600:E22600"/>
    <s:mergeCell ref="A20515:E20515"/>
    <s:mergeCell ref="A7997:E7997"/>
    <s:mergeCell ref="A7991:E7991"/>
    <s:mergeCell ref="A5906:E5906"/>
    <s:mergeCell ref="A22295:E22295"/>
    <s:mergeCell ref="B4511:E4511"/>
    <s:mergeCell ref="A24597:E24597"/>
    <s:mergeCell ref="A20815:E20815"/>
    <s:mergeCell ref="A589:E589"/>
    <s:mergeCell ref="A22595:E22595"/>
    <s:mergeCell ref="A806:E806"/>
    <s:mergeCell ref="A20510:E20510"/>
    <s:mergeCell ref="A7992:E7992"/>
    <s:mergeCell ref="A24897:E24897"/>
    <s:mergeCell ref="A501:E501"/>
    <s:mergeCell ref="A5922:E5922"/>
    <s:mergeCell ref="A1106:E1106"/>
    <s:mergeCell ref="A30013:E30013"/>
    <s:mergeCell ref="A15410:E15410"/>
    <s:mergeCell ref="A30820:E30820"/>
    <s:mergeCell ref="B14171:E14171"/>
    <s:mergeCell ref="A6222:E6222"/>
    <s:mergeCell ref="A28228:E28228"/>
    <s:mergeCell ref="A5917:E5917"/>
    <s:mergeCell ref="A29441:E29441"/>
    <s:mergeCell ref="A6522:E6522"/>
    <s:mergeCell ref="A4437:E4437"/>
    <s:mergeCell ref="A6217:E6217"/>
    <s:mergeCell ref="A13352:E13352"/>
    <s:mergeCell ref="A29741:E29741"/>
    <s:mergeCell ref="A27656:E27656"/>
    <s:mergeCell ref="A4737:E4737"/>
    <s:mergeCell ref="A13047:E13047"/>
    <s:mergeCell ref="A29436:E29436"/>
    <s:mergeCell ref="B4679:E4679"/>
    <s:mergeCell ref="A20254:E20254"/>
    <s:mergeCell ref="B6981:E6981"/>
    <s:mergeCell ref="B6975:E6975"/>
    <s:mergeCell ref="A20465:E20465"/>
    <s:mergeCell ref="A18768:E18768"/>
    <s:mergeCell ref="A27651:E27651"/>
    <s:mergeCell ref="A6250:E6250"/>
    <s:mergeCell ref="A20554:E20554"/>
    <s:mergeCell ref="A28256:E28256"/>
    <s:mergeCell ref="A5945:E5945"/>
    <s:mergeCell ref="A20765:E20765"/>
    <s:mergeCell ref="A4465:E4465"/>
    <s:mergeCell ref="A11067:E11067"/>
    <s:mergeCell ref="A20854:E20854"/>
    <s:mergeCell ref="A18769:E18769"/>
    <s:mergeCell ref="A6245:E6245"/>
    <s:mergeCell ref="A4160:E4160"/>
    <s:mergeCell ref="A13363:E13363"/>
    <s:mergeCell ref="A21065:E21065"/>
    <s:mergeCell ref="A20766:E20766"/>
    <s:mergeCell ref="A26187:E26187"/>
    <s:mergeCell ref="A26181:E26181"/>
    <s:mergeCell ref="A13663:E13663"/>
    <s:mergeCell ref="A11578:E11578"/>
    <s:mergeCell ref="A27967:E27967"/>
    <s:mergeCell ref="A25882:E25882"/>
    <s:mergeCell ref="A12183:E12183"/>
    <s:mergeCell ref="A18779:E18779"/>
    <s:mergeCell ref="A4176:E4176"/>
    <s:mergeCell ref="A11878:E11878"/>
    <s:mergeCell ref="A26182:E26182"/>
    <s:mergeCell ref="A19085:E19085"/>
    <s:mergeCell ref="B17241:E17241"/>
    <s:mergeCell ref="A20776:E20776"/>
    <s:mergeCell ref="A18691:E18691"/>
    <s:mergeCell ref="B26640:E26640"/>
    <s:mergeCell ref="A4476:E4476"/>
    <s:mergeCell ref="A2391:E2391"/>
    <s:mergeCell ref="A12178:E12178"/>
    <s:mergeCell ref="A18780:E18780"/>
    <s:mergeCell ref="A18991:E18991"/>
    <s:mergeCell ref="A2691:E2691"/>
    <s:mergeCell ref="A9809:E9809"/>
    <s:mergeCell ref="A19080:E19080"/>
    <s:mergeCell ref="A16995:E16995"/>
    <s:mergeCell ref="A9803:E9803"/>
    <s:mergeCell ref="A11589:E11589"/>
    <s:mergeCell ref="A10109:E10109"/>
    <s:mergeCell ref="A16722:E16722"/>
    <s:mergeCell ref="A31026:E31026"/>
    <s:mergeCell ref="A9804:E9804"/>
    <s:mergeCell ref="A616:E616"/>
    <s:mergeCell ref="A31326:E31326"/>
    <s:mergeCell ref="B10562:E10562"/>
    <s:mergeCell ref="A2613:E2613"/>
    <s:mergeCell ref="A916:E916"/>
    <s:mergeCell ref="A11317:E11317"/>
    <s:mergeCell ref="A24440:E24440"/>
    <s:mergeCell ref="A31626:E31626"/>
    <s:mergeCell ref="A2702:E2702"/>
    <s:mergeCell ref="A617:E617"/>
    <s:mergeCell ref="A11617:E11617"/>
    <s:mergeCell ref="A9532:E9532"/>
    <s:mergeCell ref="A10137:E10137"/>
    <s:mergeCell ref="A15164:E15164"/>
    <s:mergeCell ref="A24435:E24435"/>
    <s:mergeCell ref="A9832:E9832"/>
    <s:mergeCell ref="A29468:E29468"/>
    <s:mergeCell ref="A16950:E16950"/>
    <s:mergeCell ref="A644:E644"/>
    <s:mergeCell ref="A18730:E18730"/>
    <s:mergeCell ref="A14948:E14948"/>
    <s:mergeCell ref="A10132:E10132"/>
    <s:mergeCell ref="A29463:E29463"/>
    <s:mergeCell ref="A8062:E8062"/>
    <s:mergeCell ref="A16945:E16945"/>
    <s:mergeCell ref="A15248:E15248"/>
    <s:mergeCell ref="A24063:E24063"/>
    <s:mergeCell ref="A22366:E22366"/>
    <s:mergeCell ref="A17550:E17550"/>
    <s:mergeCell ref="A15465:E15465"/>
    <s:mergeCell ref="A22061:E22061"/>
    <s:mergeCell ref="A24363:E24363"/>
    <s:mergeCell ref="A22666:E22666"/>
    <s:mergeCell ref="A20581:E20581"/>
    <s:mergeCell ref="A8063:E8063"/>
    <s:mergeCell ref="A6366:E6366"/>
    <s:mergeCell ref="A8057:E8057"/>
    <s:mergeCell ref="A22367:E22367"/>
    <s:mergeCell ref="A31581:E31581"/>
    <s:mergeCell ref="A22361:E22361"/>
    <s:mergeCell ref="A7758:E7758"/>
    <s:mergeCell ref="A29479:E29479"/>
    <s:mergeCell ref="A24663:E24663"/>
    <s:mergeCell ref="A22578:E22578"/>
    <s:mergeCell ref="A2902:E2902"/>
    <s:mergeCell ref="A27694:E27694"/>
    <s:mergeCell ref="A4899:E4899"/>
    <s:mergeCell ref="A3202:E3202"/>
    <s:mergeCell ref="A5504:E5504"/>
    <s:mergeCell ref="A27994:E27994"/>
    <s:mergeCell ref="A15476:E15476"/>
    <s:mergeCell ref="A5199:E5199"/>
    <s:mergeCell ref="A18017:E18017"/>
    <s:mergeCell ref="A5499:E5499"/>
    <s:mergeCell ref="A3414:E3414"/>
    <s:mergeCell ref="A29507:E29507"/>
    <s:mergeCell ref="B28841:E28841"/>
    <s:mergeCell ref="A29813:E29813"/>
    <s:mergeCell ref="B30054:E30054"/>
    <s:mergeCell ref="A29807:E29807"/>
    <s:mergeCell ref="A27722:E27722"/>
    <s:mergeCell ref="A28327:E28327"/>
    <s:mergeCell ref="A20320:E20320"/>
    <s:mergeCell ref="A20620:E20620"/>
    <s:mergeCell ref="A8558:E8558"/>
    <s:mergeCell ref="A17761:E17761"/>
    <s:mergeCell ref="A15676:E15676"/>
    <s:mergeCell ref="B2486:E2486"/>
    <s:mergeCell ref="A1672:E1672"/>
    <s:mergeCell ref="B11891:E11891"/>
    <s:mergeCell ref="A15976:E15976"/>
    <s:mergeCell ref="A3458:E3458"/>
    <s:mergeCell ref="B28280:E28280"/>
    <s:mergeCell ref="A1367:E1367"/>
    <s:mergeCell ref="A30280:E30280"/>
    <s:mergeCell ref="A17756:E17756"/>
    <s:mergeCell ref="A15671:E15671"/>
    <s:mergeCell ref="A3153:E3153"/>
    <s:mergeCell ref="A1972:E1972"/>
    <s:mergeCell ref="A8574:E8574"/>
    <s:mergeCell ref="A16276:E16276"/>
    <s:mergeCell ref="A14191:E14191"/>
    <s:mergeCell ref="A1667:E1667"/>
    <s:mergeCell ref="A30580:E30580"/>
    <s:mergeCell ref="A8269:E8269"/>
    <s:mergeCell ref="A15971:E15971"/>
    <s:mergeCell ref="A3453:E3453"/>
    <s:mergeCell ref="A8874:E8874"/>
    <s:mergeCell ref="A6789:E6789"/>
    <s:mergeCell ref="A6783:E6783"/>
    <s:mergeCell ref="A28066:E28066"/>
    <s:mergeCell ref="A8569:E8569"/>
    <s:mergeCell ref="A8786:E8786"/>
    <s:mergeCell ref="A7089:E7089"/>
    <s:mergeCell ref="A26281:E26281"/>
    <s:mergeCell ref="A16004:E16004"/>
    <s:mergeCell ref="A6784:E6784"/>
    <s:mergeCell ref="A13902:E13902"/>
    <s:mergeCell ref="A23689:E23689"/>
    <s:mergeCell ref="A1378:E1378"/>
    <s:mergeCell ref="A22817:E22817"/>
    <s:mergeCell ref="A16304:E16304"/>
    <s:mergeCell ref="A14202:E14202"/>
    <s:mergeCell ref="A23117:E23117"/>
    <s:mergeCell ref="A21420:E21420"/>
    <s:mergeCell ref="A198:E198"/>
    <s:mergeCell ref="A14502:E14502"/>
    <s:mergeCell ref="A22812:E22812"/>
    <s:mergeCell ref="A21115:E21115"/>
    <s:mergeCell ref="A23417:E23417"/>
    <s:mergeCell ref="A21332:E21332"/>
    <s:mergeCell ref="A21315:E21315"/>
    <s:mergeCell ref="A25203:E25203"/>
    <s:mergeCell ref="A23118:E23118"/>
    <s:mergeCell ref="A30230:E30230"/>
    <s:mergeCell ref="A28533:E28533"/>
    <s:mergeCell ref="A26448:E26448"/>
    <s:mergeCell ref="A16015:E16015"/>
    <s:mergeCell ref="A1406:E1406"/>
    <s:mergeCell ref="A28234:E28234"/>
    <s:mergeCell ref="A21131:E21131"/>
    <s:mergeCell ref="A30530:E30530"/>
    <s:mergeCell ref="A14230:E14230"/>
    <s:mergeCell ref="A21348:E21348"/>
    <s:mergeCell ref="A28534:E28534"/>
    <s:mergeCell ref="A6739:E6739"/>
    <s:mergeCell ref="A5042:E5042"/>
    <s:mergeCell ref="A21043:E21043"/>
    <s:mergeCell ref="A28745:E28745"/>
    <s:mergeCell ref="A4743:E4743"/>
    <s:mergeCell ref="A14530:E14530"/>
    <s:mergeCell ref="A21648:E21648"/>
    <s:mergeCell ref="A7039:E7039"/>
    <s:mergeCell ref="A21343:E21343"/>
    <s:mergeCell ref="A26764:E26764"/>
    <s:mergeCell ref="A5037:E5037"/>
    <s:mergeCell ref="A7339:E7339"/>
    <s:mergeCell ref="A21643:E21643"/>
    <s:mergeCell ref="A19558:E19558"/>
    <s:mergeCell ref="A12461:E12461"/>
    <s:mergeCell ref="A14152:E14152"/>
    <s:mergeCell ref="A12455:E12455"/>
    <s:mergeCell ref="A10370:E10370"/>
    <s:mergeCell ref="A4970:E4970"/>
    <s:mergeCell ref="A12156:E12156"/>
    <s:mergeCell ref="A2968:E2968"/>
    <s:mergeCell ref="A12367:E12367"/>
    <s:mergeCell ref="B27306:E27306"/>
    <s:mergeCell ref="B14788:E14788"/>
    <s:mergeCell ref="A5270:E5270"/>
    <s:mergeCell ref="A12456:E12456"/>
    <s:mergeCell ref="B29608:E29608"/>
    <s:mergeCell ref="A17483:E17483"/>
    <s:mergeCell ref="A4965:E4965"/>
    <s:mergeCell ref="A3268:E3268"/>
    <s:mergeCell ref="A10386:E10386"/>
    <s:mergeCell ref="B13003:E13003"/>
    <s:mergeCell ref="A5570:E5570"/>
    <s:mergeCell ref="A3485:E3485"/>
    <s:mergeCell ref="A19874:E19874"/>
    <s:mergeCell ref="A26487:E26487"/>
    <s:mergeCell ref="A17783:E17783"/>
    <s:mergeCell ref="A5265:E5265"/>
    <s:mergeCell ref="A8601:E8601"/>
    <s:mergeCell ref="A26787:E26787"/>
    <s:mergeCell ref="A24702:E24702"/>
    <s:mergeCell ref="A19302:E19302"/>
    <s:mergeCell ref="A8901:E8901"/>
    <s:mergeCell ref="A17816:E17816"/>
    <s:mergeCell ref="A26699:E26699"/>
    <s:mergeCell ref="A19602:E19602"/>
    <s:mergeCell ref="A9201:E9201"/>
    <s:mergeCell ref="A17511:E17511"/>
    <s:mergeCell ref="A17817:E17817"/>
    <s:mergeCell ref="A24413:E24413"/>
    <s:mergeCell ref="A24929:E24929"/>
    <s:mergeCell ref="B16561:E16561"/>
    <s:mergeCell ref="A25018:E25018"/>
    <s:mergeCell ref="A22933:E22933"/>
    <s:mergeCell ref="A10415:E10415"/>
    <s:mergeCell ref="A10409:E10409"/>
    <s:mergeCell ref="A8324:E8324"/>
    <s:mergeCell ref="A27320:E27320"/>
    <s:mergeCell ref="A25235:E25235"/>
    <s:mergeCell ref="A25229:E25229"/>
    <s:mergeCell ref="A24930:E24930"/>
    <s:mergeCell ref="A23233:E23233"/>
    <s:mergeCell ref="A28260:E28260"/>
    <s:mergeCell ref="A17827:E17827"/>
    <s:mergeCell ref="A15742:E15742"/>
    <s:mergeCell ref="A3224:E3224"/>
    <s:mergeCell ref="A22928:E22928"/>
    <s:mergeCell ref="A25230:E25230"/>
    <s:mergeCell ref="A2919:E2919"/>
    <s:mergeCell ref="A30651:E30651"/>
    <s:mergeCell ref="B18374:E18374"/>
    <s:mergeCell ref="A16042:E16042"/>
    <s:mergeCell ref="A3524:E3524"/>
    <s:mergeCell ref="A30346:E30346"/>
    <s:mergeCell ref="A17828:E17828"/>
    <s:mergeCell ref="A15737:E15737"/>
    <s:mergeCell ref="A3219:E3219"/>
    <s:mergeCell ref="A16342:E16342"/>
    <s:mergeCell ref="A30646:E30646"/>
    <s:mergeCell ref="A15770:E15770"/>
    <s:mergeCell ref="A23455:E23455"/>
    <s:mergeCell ref="A13178:E13178"/>
    <s:mergeCell ref="A5776:E5776"/>
    <s:mergeCell ref="A3691:E3691"/>
    <s:mergeCell ref="A11393:E11393"/>
    <s:mergeCell ref="A3991:E3991"/>
    <s:mergeCell ref="B15120:E15120"/>
    <s:mergeCell ref="A23183:E23183"/>
    <s:mergeCell ref="A4291:E4291"/>
    <s:mergeCell ref="A2206:E2206"/>
    <s:mergeCell ref="A15781:E15781"/>
    <s:mergeCell ref="A23483:E23483"/>
    <s:mergeCell ref="A28605:E28605"/>
    <s:mergeCell ref="A30296:E30296"/>
    <s:mergeCell ref="A28599:E28599"/>
    <s:mergeCell ref="A3719:E3719"/>
    <s:mergeCell ref="A2022:E2022"/>
    <s:mergeCell ref="A28300:E28300"/>
    <s:mergeCell ref="A16543:E16543"/>
    <s:mergeCell ref="A18234:E18234"/>
    <s:mergeCell ref="A4019:E4019"/>
    <s:mergeCell ref="A28600:E28600"/>
    <s:mergeCell ref="A11137:E11137"/>
    <s:mergeCell ref="A25441:E25441"/>
    <s:mergeCell ref="B31143:E31143"/>
    <s:mergeCell ref="A9135:E9135"/>
    <s:mergeCell ref="A11437:E11437"/>
    <s:mergeCell ref="A9352:E9352"/>
    <s:mergeCell ref="A16538:E16538"/>
    <s:mergeCell ref="A25741:E25741"/>
    <s:mergeCell ref="A11138:E11138"/>
    <s:mergeCell ref="A9441:E9441"/>
    <s:mergeCell ref="A11132:E11132"/>
    <s:mergeCell ref="A1950:E1950"/>
    <s:mergeCell ref="A9652:E9652"/>
    <s:mergeCell ref="A26041:E26041"/>
    <s:mergeCell ref="A23956:E23956"/>
    <s:mergeCell ref="A1645:E1645"/>
    <s:mergeCell ref="A9347:E9347"/>
    <s:mergeCell ref="A14768:E14768"/>
    <s:mergeCell ref="A2250:E2250"/>
    <s:mergeCell ref="B27078:E27078"/>
    <s:mergeCell ref="B13074:E13074"/>
    <s:mergeCell ref="B17012:E17012"/>
    <s:mergeCell ref="A16249:E16249"/>
    <s:mergeCell ref="A15068:E15068"/>
    <s:mergeCell ref="A2550:E2550"/>
    <s:mergeCell ref="A465:E465"/>
    <s:mergeCell ref="B27372:E27372"/>
    <s:mergeCell ref="A31069:E31069"/>
    <s:mergeCell ref="A16854:E16854"/>
    <s:mergeCell ref="A9363:E9363"/>
    <s:mergeCell ref="A30885:E30885"/>
    <s:mergeCell ref="A28800:E28800"/>
    <s:mergeCell ref="A9663:E9663"/>
    <s:mergeCell ref="A7578:E7578"/>
    <s:mergeCell ref="A31102:E31102"/>
    <s:mergeCell ref="A475:E475"/>
    <s:mergeCell ref="A29100:E29100"/>
    <s:mergeCell ref="A7878:E7878"/>
    <s:mergeCell ref="A31402:E31402"/>
    <s:mergeCell ref="B9905:E9905"/>
    <s:mergeCell ref="A9091:E9091"/>
    <s:mergeCell ref="A31097:E31097"/>
    <s:mergeCell ref="A476:E476"/>
    <s:mergeCell ref="A24000:E24000"/>
    <s:mergeCell ref="B418:E418"/>
    <s:mergeCell ref="A21909:E21909"/>
    <s:mergeCell ref="A9391:E9391"/>
    <s:mergeCell ref="A23695:E23695"/>
    <s:mergeCell ref="A31397:E31397"/>
    <s:mergeCell ref="A24300:E24300"/>
    <s:mergeCell ref="A22209:E22209"/>
    <s:mergeCell ref="A9691:E9691"/>
    <s:mergeCell ref="A7606:E7606"/>
    <s:mergeCell ref="B15538:E15538"/>
    <s:mergeCell ref="A23995:E23995"/>
    <s:mergeCell ref="A21910:E21910"/>
    <s:mergeCell ref="A16504:E16504"/>
    <s:mergeCell ref="A14807:E14807"/>
    <s:mergeCell ref="A12722:E12722"/>
    <s:mergeCell ref="A7906:E7906"/>
    <s:mergeCell ref="A15024:E15024"/>
    <s:mergeCell ref="A15018:E15018"/>
    <s:mergeCell ref="A12417:E12417"/>
    <s:mergeCell ref="A29328:E29328"/>
    <s:mergeCell ref="A29322:E29322"/>
    <s:mergeCell ref="A5320:E5320"/>
    <s:mergeCell ref="A13022:E13022"/>
    <s:mergeCell ref="A20140:E20140"/>
    <s:mergeCell ref="A15324:E15324"/>
    <s:mergeCell ref="A19835:E19835"/>
    <s:mergeCell ref="A5620:E5620"/>
    <s:mergeCell ref="A15019:E15019"/>
    <s:mergeCell ref="A20440:E20440"/>
    <s:mergeCell ref="A7922:E7922"/>
    <s:mergeCell ref="A5837:E5837"/>
    <s:mergeCell ref="A5831:E5831"/>
    <s:mergeCell ref="A20135:E20135"/>
    <s:mergeCell ref="A7617:E7617"/>
    <s:mergeCell ref="A13038:E13038"/>
    <s:mergeCell ref="A20435:E20435"/>
    <s:mergeCell ref="A7917:E7917"/>
    <s:mergeCell ref="A5832:E5832"/>
    <s:mergeCell ref="A12950:E12950"/>
    <s:mergeCell ref="A11253:E11253"/>
    <s:mergeCell ref="A29350:E29350"/>
    <s:mergeCell ref="A5847:E5847"/>
    <s:mergeCell ref="A3762:E3762"/>
    <s:mergeCell ref="A18066:E18066"/>
    <s:mergeCell ref="B13497:E13497"/>
    <s:mergeCell ref="A13250:E13250"/>
    <s:mergeCell ref="A11553:E11553"/>
    <s:mergeCell ref="A19863:E19863"/>
    <s:mergeCell ref="A27554:E27554"/>
    <s:mergeCell ref="A4062:E4062"/>
    <s:mergeCell ref="B13797:E13797"/>
    <s:mergeCell ref="A3757:E3757"/>
    <s:mergeCell ref="A27281:E27281"/>
    <s:mergeCell ref="B13492:E13492"/>
    <s:mergeCell ref="A4362:E4362"/>
    <s:mergeCell ref="A4063:E4063"/>
    <s:mergeCell ref="A4057:E4057"/>
    <s:mergeCell ref="A27581:E27581"/>
    <s:mergeCell ref="A25496:E25496"/>
    <s:mergeCell ref="A27276:E27276"/>
    <s:mergeCell ref="A20179:E20179"/>
    <s:mergeCell ref="A18094:E18094"/>
    <s:mergeCell ref="A27582:E27582"/>
    <s:mergeCell ref="A27576:E27576"/>
    <s:mergeCell ref="A18394:E18394"/>
    <s:mergeCell ref="A3785:E3785"/>
    <s:mergeCell ref="A18089:E18089"/>
    <s:mergeCell ref="A18694:E18694"/>
    <s:mergeCell ref="A16609:E16609"/>
    <s:mergeCell ref="A4091:E4091"/>
    <s:mergeCell ref="A4085:E4085"/>
    <s:mergeCell ref="A11203:E11203"/>
    <s:mergeCell ref="A25507:E25507"/>
    <s:mergeCell ref="A9207:E9207"/>
    <s:mergeCell ref="A26112:E26112"/>
    <s:mergeCell ref="A24027:E24027"/>
    <s:mergeCell ref="A11503:E11503"/>
    <s:mergeCell ref="A9418:E9418"/>
    <s:mergeCell ref="A25807:E25807"/>
    <s:mergeCell ref="A23722:E23722"/>
    <s:mergeCell ref="A11204:E11204"/>
    <s:mergeCell ref="A9507:E9507"/>
    <s:mergeCell ref="A16320:E16320"/>
    <s:mergeCell ref="A24022:E24022"/>
    <s:mergeCell ref="A6043:E6043"/>
    <s:mergeCell ref="A16925:E16925"/>
    <s:mergeCell ref="A6648:E6648"/>
    <s:mergeCell ref="A4557:E4557"/>
    <s:mergeCell ref="A6343:E6343"/>
    <s:mergeCell ref="A25535:E25535"/>
    <s:mergeCell ref="A8645:E8645"/>
    <s:mergeCell ref="A4863:E4863"/>
    <s:mergeCell ref="A16920:E16920"/>
    <s:mergeCell ref="A4558:E4558"/>
    <s:mergeCell ref="A25835:E25835"/>
    <s:mergeCell ref="A23750:E23750"/>
    <s:mergeCell ref="A6854:E6854"/>
    <s:mergeCell ref="A4858:E4858"/>
    <s:mergeCell ref="A30951:E30951"/>
    <s:mergeCell ref="A14061:E14061"/>
    <s:mergeCell ref="A11976:E11976"/>
    <s:mergeCell ref="A31168:E31168"/>
    <s:mergeCell ref="A11671:E11671"/>
    <s:mergeCell ref="B10276:E10276"/>
    <s:mergeCell ref="A30863:E30863"/>
    <s:mergeCell ref="A12276:E12276"/>
    <s:mergeCell ref="A23766:E23766"/>
    <s:mergeCell ref="A31468:E31468"/>
    <s:mergeCell ref="A23461:E23461"/>
    <s:mergeCell ref="A4874:E4874"/>
    <s:mergeCell ref="A31163:E31163"/>
    <s:mergeCell ref="A24066:E24066"/>
    <s:mergeCell ref="A23761:E23761"/>
    <s:mergeCell ref="A12004:E12004"/>
    <s:mergeCell ref="A24061:E24061"/>
    <s:mergeCell ref="A26519:E26519"/>
    <s:mergeCell ref="A4602:E4602"/>
    <s:mergeCell ref="A12304:E12304"/>
    <s:mergeCell ref="A22276:E22276"/>
    <s:mergeCell ref="A11999:E11999"/>
    <s:mergeCell ref="A21202:E21202"/>
    <s:mergeCell ref="A19117:E19117"/>
    <s:mergeCell ref="A17420:E17420"/>
    <s:mergeCell ref="A4902:E4902"/>
    <s:mergeCell ref="A2817:E2817"/>
    <s:mergeCell ref="A6593:E6593"/>
    <s:mergeCell ref="A4508:E4508"/>
    <s:mergeCell ref="B31421:E31421"/>
    <s:mergeCell ref="A19206:E19206"/>
    <s:mergeCell ref="A19722:E19722"/>
    <s:mergeCell ref="A26318:E26318"/>
    <s:mergeCell ref="A19417:E19417"/>
    <s:mergeCell ref="A10229:E10229"/>
    <s:mergeCell ref="A8144:E8144"/>
    <s:mergeCell ref="A26230:E26230"/>
    <s:mergeCell ref="A12015:E12015"/>
    <s:mergeCell ref="A9930:E9930"/>
    <s:mergeCell ref="A19717:E19717"/>
    <s:mergeCell ref="A2827:E2827"/>
    <s:mergeCell ref="A742:E742"/>
    <s:mergeCell ref="A10230:E10230"/>
    <s:mergeCell ref="A10224:E10224"/>
    <s:mergeCell ref="A2739:E2739"/>
    <s:mergeCell ref="A1042:E1042"/>
    <s:mergeCell ref="A17648:E17648"/>
    <s:mergeCell ref="A24261:E24261"/>
    <s:mergeCell ref="A3039:E3039"/>
    <s:mergeCell ref="A1342:E1342"/>
    <s:mergeCell ref="A17343:E17343"/>
    <s:mergeCell ref="A3128:E3128"/>
    <s:mergeCell ref="A8155:E8155"/>
    <s:mergeCell ref="A24561:E24561"/>
    <s:mergeCell ref="A3339:E3339"/>
    <s:mergeCell ref="A1254:E1254"/>
    <s:mergeCell ref="A17376:E17376"/>
    <s:mergeCell ref="A8156:E8156"/>
    <s:mergeCell ref="A17370:E17370"/>
    <s:mergeCell ref="A15285:E15285"/>
    <s:mergeCell ref="A31680:E31680"/>
    <s:mergeCell ref="A31674:E31674"/>
    <s:mergeCell ref="A19156:E19156"/>
    <s:mergeCell ref="A17071:E17071"/>
    <s:mergeCell ref="A30194:E30194"/>
    <s:mergeCell ref="A17676:E17676"/>
    <s:mergeCell ref="A22187:E22187"/>
    <s:mergeCell ref="A29889:E29889"/>
    <s:mergeCell ref="A965:E965"/>
    <s:mergeCell ref="A17371:E17371"/>
    <s:mergeCell ref="A31675:E31675"/>
    <s:mergeCell ref="B1811:E1811"/>
    <s:mergeCell ref="A8183:E8183"/>
    <s:mergeCell ref="A22487:E22487"/>
    <s:mergeCell ref="A17671:E17671"/>
    <s:mergeCell ref="A15586:E15586"/>
    <s:mergeCell ref="A24789:E24789"/>
    <s:mergeCell ref="A21007:E21007"/>
    <s:mergeCell ref="A781:E781"/>
    <s:mergeCell ref="A8483:E8483"/>
    <s:mergeCell ref="A15601:E15601"/>
    <s:mergeCell ref="B1812:E1812"/>
    <s:mergeCell ref="A20702:E20702"/>
    <s:mergeCell ref="A22787:E22787"/>
    <s:mergeCell ref="A29905:E29905"/>
    <s:mergeCell ref="A25089:E25089"/>
    <s:mergeCell ref="A23004:E23004"/>
    <s:mergeCell ref="A13816:E13816"/>
    <s:mergeCell ref="A21002:E21002"/>
    <s:mergeCell ref="A30205:E30205"/>
    <s:mergeCell ref="A28120:E28120"/>
    <s:mergeCell ref="A15602:E15602"/>
    <s:mergeCell ref="A15596:E15596"/>
    <s:mergeCell ref="A13511:E13511"/>
    <s:mergeCell ref="A993:E993"/>
    <s:mergeCell ref="A29900:E29900"/>
    <s:mergeCell ref="A15297:E15297"/>
    <s:mergeCell ref="B28667:E28667"/>
    <s:mergeCell ref="A30117:E30117"/>
    <s:mergeCell ref="A28420:E28420"/>
    <s:mergeCell ref="A6109:E6109"/>
    <s:mergeCell ref="A13811:E13811"/>
    <s:mergeCell ref="A1293:E1293"/>
    <s:mergeCell ref="A8411:E8411"/>
    <s:mergeCell ref="A6714:E6714"/>
    <s:mergeCell ref="A4629:E4629"/>
    <s:mergeCell ref="B30664:E30664"/>
    <s:mergeCell ref="A6415:E6415"/>
    <s:mergeCell ref="A6409:E6409"/>
    <s:mergeCell ref="A29933:E29933"/>
    <s:mergeCell ref="A8711:E8711"/>
    <s:mergeCell ref="A6626:E6626"/>
    <s:mergeCell ref="A4929:E4929"/>
    <s:mergeCell ref="A6620:E6620"/>
    <s:mergeCell ref="A4624:E4624"/>
    <s:mergeCell ref="A13827:E13827"/>
    <s:mergeCell ref="A11742:E11742"/>
    <s:mergeCell ref="B8953:E8953"/>
    <s:mergeCell ref="B5171:E5171"/>
    <s:mergeCell ref="A12042:E12042"/>
    <s:mergeCell ref="A28448:E28448"/>
    <s:mergeCell ref="B12589:E12589"/>
    <s:mergeCell ref="A12342:E12342"/>
    <s:mergeCell ref="A18961:E18961"/>
    <s:mergeCell ref="A21257:E21257"/>
    <s:mergeCell ref="A27859:E27859"/>
    <s:mergeCell ref="A28070:E28070"/>
    <s:mergeCell ref="A26373:E26373"/>
    <s:mergeCell ref="A28159:E28159"/>
    <s:mergeCell ref="A26074:E26074"/>
    <s:mergeCell ref="A13550:E13550"/>
    <s:mergeCell ref="A18971:E18971"/>
    <s:mergeCell ref="A28370:E28370"/>
    <s:mergeCell ref="A4368:E4368"/>
    <s:mergeCell ref="A12070:E12070"/>
    <s:mergeCell ref="A26374:E26374"/>
    <s:mergeCell ref="A20968:E20968"/>
    <s:mergeCell ref="A18883:E18883"/>
    <s:mergeCell ref="A17186:E17186"/>
    <s:mergeCell ref="A28670:E28670"/>
    <s:mergeCell ref="A4668:E4668"/>
    <s:mergeCell ref="A19488:E19488"/>
    <s:mergeCell ref="A19183:E19183"/>
    <s:mergeCell ref="A17486:E17486"/>
    <s:mergeCell ref="A2883:E2883"/>
    <s:mergeCell ref="B18033:E18033"/>
    <s:mergeCell ref="A19483:E19483"/>
    <s:mergeCell ref="A1504:E1504"/>
    <s:mergeCell ref="A24904:E24904"/>
    <s:mergeCell ref="A24605:E24605"/>
    <s:mergeCell ref="A12081:E12081"/>
    <s:mergeCell ref="A14322:E14322"/>
    <s:mergeCell ref="A324:E324"/>
    <s:mergeCell ref="B25146:E25146"/>
    <s:mergeCell ref="A24600:E24600"/>
    <s:mergeCell ref="A7137:E7137"/>
    <s:mergeCell ref="B27143:E27143"/>
    <s:mergeCell ref="A6832:E6832"/>
    <s:mergeCell ref="A319:E319"/>
    <s:mergeCell ref="B25147:E25147"/>
    <s:mergeCell ref="A24327:E24327"/>
    <s:mergeCell ref="A7437:E7437"/>
    <s:mergeCell ref="A21741:E21741"/>
    <s:mergeCell ref="A24633:E24633"/>
    <s:mergeCell ref="A24627:E24627"/>
    <s:mergeCell ref="A7737:E7737"/>
    <s:mergeCell ref="A31745:E31745"/>
    <s:mergeCell ref="A22041:E22041"/>
    <s:mergeCell ref="A18922:E18922"/>
    <s:mergeCell ref="A19683:E19683"/>
    <s:mergeCell ref="A31746:E31746"/>
    <s:mergeCell ref="A31740:E31740"/>
    <s:mergeCell ref="A19222:E19222"/>
    <s:mergeCell ref="A247:E247"/>
    <s:mergeCell ref="A8945:E8945"/>
    <s:mergeCell ref="A6860:E6860"/>
    <s:mergeCell ref="A5380:E5380"/>
    <s:mergeCell ref="A7160:E7160"/>
    <s:mergeCell ref="A14278:E14278"/>
    <s:mergeCell ref="A12581:E12581"/>
    <s:mergeCell ref="A63:E63"/>
    <s:mergeCell ref="A29187:E29187"/>
    <s:mergeCell ref="A7460:E7460"/>
    <s:mergeCell ref="A14578:E14578"/>
    <s:mergeCell ref="A10796:E10796"/>
    <s:mergeCell ref="A28882:E28882"/>
    <s:mergeCell ref="A12582:E12582"/>
    <s:mergeCell ref="A12576:E12576"/>
    <s:mergeCell ref="A10491:E10491"/>
    <s:mergeCell ref="A27396:E27396"/>
    <s:mergeCell ref="A5091:E5091"/>
    <s:mergeCell ref="A14878:E14878"/>
    <s:mergeCell ref="A12793:E12793"/>
    <s:mergeCell ref="A29182:E29182"/>
    <s:mergeCell ref="B6510:E6510"/>
    <s:mergeCell ref="A27097:E27097"/>
    <s:mergeCell ref="A14579:E14579"/>
    <s:mergeCell ref="A21691:E21691"/>
    <s:mergeCell ref="A17909:E17909"/>
    <s:mergeCell ref="A5391:E5391"/>
    <s:mergeCell ref="A3694:E3694"/>
    <s:mergeCell ref="A13093:E13093"/>
    <s:mergeCell ref="A17604:E17604"/>
    <s:mergeCell ref="A10507:E10507"/>
    <s:mergeCell ref="A19906:E19906"/>
    <s:mergeCell ref="A18209:E18209"/>
    <s:mergeCell ref="A5691:E5691"/>
    <s:mergeCell ref="A19995:E19995"/>
    <s:mergeCell ref="B30730:E30730"/>
    <s:mergeCell ref="A27107:E27107"/>
    <s:mergeCell ref="A25022:E25022"/>
    <s:mergeCell ref="A13109:E13109"/>
    <s:mergeCell ref="A11024:E11024"/>
    <s:mergeCell ref="A9327:E9327"/>
    <s:mergeCell ref="A17637:E17637"/>
    <s:mergeCell ref="B25569:E25569"/>
    <s:mergeCell ref="A25322:E25322"/>
    <s:mergeCell ref="A12804:E12804"/>
    <s:mergeCell ref="A3616:E3616"/>
    <s:mergeCell ref="A1531:E1531"/>
    <s:mergeCell ref="A17937:E17937"/>
    <s:mergeCell ref="A1831:E1831"/>
    <s:mergeCell ref="A25355:E25355"/>
    <s:mergeCell ref="A3617:E3617"/>
    <s:mergeCell ref="A25050:E25050"/>
    <s:mergeCell ref="A2131:E2131"/>
    <s:mergeCell ref="A25655:E25655"/>
    <s:mergeCell ref="A25356:E25356"/>
    <s:mergeCell ref="A25350:E25350"/>
    <s:mergeCell ref="A27136:E27136"/>
    <s:mergeCell ref="A1559:E1559"/>
    <s:mergeCell ref="A30472:E30472"/>
    <s:mergeCell ref="A17948:E17948"/>
    <s:mergeCell ref="A15863:E15863"/>
    <s:mergeCell ref="A16468:E16468"/>
    <s:mergeCell ref="A3950:E3950"/>
    <s:mergeCell ref="A1859:E1859"/>
    <s:mergeCell ref="A30772:E30772"/>
    <s:mergeCell ref="B9791:E9791"/>
    <s:mergeCell ref="A1842:E1842"/>
    <s:mergeCell ref="A8977:E8977"/>
    <s:mergeCell ref="A16163:E16163"/>
    <s:mergeCell ref="A23281:E23281"/>
    <s:mergeCell ref="A30467:E30467"/>
    <s:mergeCell ref="A9277:E9277"/>
    <s:mergeCell ref="A7192:E7192"/>
    <s:mergeCell ref="A16463:E16463"/>
    <s:mergeCell ref="A23581:E23581"/>
    <s:mergeCell ref="A7281:E7281"/>
    <s:mergeCell ref="A8972:E8972"/>
    <s:mergeCell ref="A14393:E14393"/>
    <s:mergeCell ref="A23276:E23276"/>
    <s:mergeCell ref="B24128:E24128"/>
    <s:mergeCell ref="A14094:E14094"/>
    <s:mergeCell ref="A23881:E23881"/>
    <s:mergeCell ref="A21796:E21796"/>
    <s:mergeCell ref="A9272:E9272"/>
    <s:mergeCell ref="A90:E90"/>
    <s:mergeCell ref="A14394:E14394"/>
    <s:mergeCell ref="A14388:E14388"/>
    <s:mergeCell ref="A6903:E6903"/>
    <s:mergeCell ref="A23309:E23309"/>
    <s:mergeCell ref="A14089:E14089"/>
    <s:mergeCell ref="A390:E390"/>
    <s:mergeCell ref="A30994:E30994"/>
    <s:mergeCell ref="A16391:E16391"/>
    <s:mergeCell ref="A14694:E14694"/>
    <s:mergeCell ref="A85:E85"/>
    <s:mergeCell ref="A23609:E23609"/>
    <s:mergeCell ref="A21524:E21524"/>
    <s:mergeCell ref="B14847:E14847"/>
    <s:mergeCell ref="A6898:E6898"/>
    <s:mergeCell ref="A28725:E28725"/>
    <s:mergeCell ref="A7503:E7503"/>
    <s:mergeCell ref="B7839:E7839"/>
    <s:mergeCell ref="B17238:E17238"/>
    <s:mergeCell ref="A21807:E21807"/>
    <s:mergeCell ref="A30722:E30722"/>
    <s:mergeCell ref="A29242:E29242"/>
    <s:mergeCell ref="A20022:E20022"/>
    <s:mergeCell ref="A21235:E21235"/>
    <s:mergeCell ref="A31022:E31022"/>
    <s:mergeCell ref="A2648:E2648"/>
    <s:mergeCell ref="B6265:E6265"/>
    <s:mergeCell ref="A28937:E28937"/>
    <s:mergeCell ref="A30723:E30723"/>
    <s:mergeCell ref="A21535:E21535"/>
    <s:mergeCell ref="A6926:E6926"/>
    <s:mergeCell ref="A20055:E20055"/>
    <s:mergeCell ref="B31264:E31264"/>
    <s:mergeCell ref="B13378:E13378"/>
    <s:mergeCell ref="A21835:E21835"/>
    <s:mergeCell ref="A19750:E19750"/>
    <s:mergeCell ref="A28953:E28953"/>
    <s:mergeCell ref="A14344:E14344"/>
    <s:mergeCell ref="A12647:E12647"/>
    <s:mergeCell ref="A26957:E26957"/>
    <s:mergeCell ref="A28648:E28648"/>
    <s:mergeCell ref="B13678:E13678"/>
    <s:mergeCell ref="A20050:E20050"/>
    <s:mergeCell ref="A29253:E29253"/>
    <s:mergeCell ref="A27168:E27168"/>
    <s:mergeCell ref="A27162:E27162"/>
    <s:mergeCell ref="A14644:E14644"/>
    <s:mergeCell ref="A12559:E12559"/>
    <s:mergeCell ref="A2282:E2282"/>
    <s:mergeCell ref="A28948:E28948"/>
    <s:mergeCell ref="A12859:E12859"/>
    <s:mergeCell ref="A2582:E2582"/>
    <s:mergeCell ref="A19461:E19461"/>
    <s:mergeCell ref="B28015:E28015"/>
    <s:mergeCell ref="A20066:E20066"/>
    <s:mergeCell ref="A19761:E19761"/>
    <s:mergeCell ref="A9484:E9484"/>
    <s:mergeCell ref="A8004:E8004"/>
    <s:mergeCell ref="A7998:E7998"/>
    <s:mergeCell ref="B28010:E28010"/>
    <s:mergeCell ref="A2598:E2598"/>
    <s:mergeCell ref="A602:E602"/>
    <s:mergeCell ref="A596:E596"/>
    <s:mergeCell ref="A2898:E2898"/>
    <s:mergeCell ref="A813:E813"/>
    <s:mergeCell ref="A17703:E17703"/>
    <s:mergeCell ref="A508:E508"/>
    <s:mergeCell ref="A18009:E18009"/>
    <s:mergeCell ref="A597:E597"/>
    <s:mergeCell ref="A1113:E1113"/>
    <s:mergeCell ref="A15417:E15417"/>
    <s:mergeCell ref="A15144:E15144"/>
    <s:mergeCell ref="A27207:E27207"/>
    <s:mergeCell ref="A23425:E23425"/>
    <s:mergeCell ref="A6529:E6529"/>
    <s:mergeCell ref="A27507:E27507"/>
    <s:mergeCell ref="A25422:E25422"/>
    <s:mergeCell ref="A27663:E27663"/>
    <s:mergeCell ref="A15145:E15145"/>
    <s:mergeCell ref="A13448:E13448"/>
    <s:mergeCell ref="A22263:E22263"/>
    <s:mergeCell ref="A5957:E5957"/>
    <s:mergeCell ref="A22346:E22346"/>
    <s:mergeCell ref="A20261:E20261"/>
    <s:mergeCell ref="A1124:E1124"/>
    <s:mergeCell ref="A7743:E7743"/>
    <s:mergeCell ref="A15445:E15445"/>
    <s:mergeCell ref="A22563:E22563"/>
    <s:mergeCell ref="A19956:E19956"/>
    <s:mergeCell ref="A22258:E22258"/>
    <s:mergeCell ref="A20561:E20561"/>
    <s:mergeCell ref="A8043:E8043"/>
    <s:mergeCell ref="A5958:E5958"/>
    <s:mergeCell ref="A27679:E27679"/>
    <s:mergeCell ref="A5952:E5952"/>
    <s:mergeCell ref="A22863:E22863"/>
    <s:mergeCell ref="A20256:E20256"/>
    <s:mergeCell ref="A22558:E22558"/>
    <s:mergeCell ref="A20861:E20861"/>
    <s:mergeCell ref="A27979:E27979"/>
    <s:mergeCell ref="A25894:E25894"/>
    <s:mergeCell ref="A13370:E13370"/>
    <s:mergeCell ref="A27674:E27674"/>
    <s:mergeCell ref="A26194:E26194"/>
    <s:mergeCell ref="B13917:E13917"/>
    <s:mergeCell ref="A5968:E5968"/>
    <s:mergeCell ref="B11832:E11832"/>
    <s:mergeCell ref="A11585:E11585"/>
    <s:mergeCell ref="A27974:E27974"/>
    <s:mergeCell ref="A25889:E25889"/>
    <s:mergeCell ref="A15456:E15456"/>
    <s:mergeCell ref="A13371:E13371"/>
    <s:mergeCell ref="A18792:E18792"/>
    <s:mergeCell ref="A4183:E4183"/>
    <s:mergeCell ref="A2703:E2703"/>
    <s:mergeCell ref="A27402:E27402"/>
    <s:mergeCell ref="A18698:E18698"/>
    <s:mergeCell ref="A6180:E6180"/>
    <s:mergeCell ref="A4483:E4483"/>
    <s:mergeCell ref="A2398:E2398"/>
    <s:mergeCell ref="B19034:E19034"/>
    <s:mergeCell ref="A4184:E4184"/>
    <s:mergeCell ref="A27708:E27708"/>
    <s:mergeCell ref="A11296:E11296"/>
    <s:mergeCell ref="A27702:E27702"/>
    <s:mergeCell ref="A11596:E11596"/>
    <s:mergeCell ref="A28002:E28002"/>
    <s:mergeCell ref="A25633:E25633"/>
    <s:mergeCell ref="A2714:E2714"/>
    <s:mergeCell ref="A11629:E11629"/>
    <s:mergeCell ref="A20512:E20512"/>
    <s:mergeCell ref="A25933:E25933"/>
    <s:mergeCell ref="A4711:E4711"/>
    <s:mergeCell ref="A11324:E11324"/>
    <s:mergeCell ref="A9627:E9627"/>
    <s:mergeCell ref="A25628:E25628"/>
    <s:mergeCell ref="A9844:E9844"/>
    <s:mergeCell ref="A26233:E26233"/>
    <s:mergeCell ref="A11630:E11630"/>
    <s:mergeCell ref="A11624:E11624"/>
    <s:mergeCell ref="A9539:E9539"/>
    <s:mergeCell ref="A18742:E18742"/>
    <s:mergeCell ref="A25928:E25928"/>
    <s:mergeCell ref="A10127:E10127"/>
    <s:mergeCell ref="B10069:E10069"/>
    <s:mergeCell ref="A16957:E16957"/>
    <s:mergeCell ref="A15260:E15260"/>
    <s:mergeCell ref="A2742:E2742"/>
    <s:mergeCell ref="A17046:E17046"/>
    <s:mergeCell ref="A16652:E16652"/>
    <s:mergeCell ref="A24158:E24158"/>
    <s:mergeCell ref="A22073:E22073"/>
    <s:mergeCell ref="A9555:E9555"/>
    <s:mergeCell ref="A17257:E17257"/>
    <s:mergeCell ref="A9250:E9250"/>
    <s:mergeCell ref="A8069:E8069"/>
    <s:mergeCell ref="A22379:E22379"/>
    <s:mergeCell ref="A26155:E26155"/>
    <s:mergeCell ref="A22373:E22373"/>
    <s:mergeCell ref="A9855:E9855"/>
    <s:mergeCell ref="A7770:E7770"/>
    <s:mergeCell ref="A24159:E24159"/>
    <s:mergeCell ref="A9550:E9550"/>
    <s:mergeCell ref="A24370:E24370"/>
    <s:mergeCell ref="A22673:E22673"/>
    <s:mergeCell ref="A368:E368"/>
    <s:mergeCell ref="A8070:E8070"/>
    <s:mergeCell ref="B24706:E24706"/>
    <s:mergeCell ref="A24459:E24459"/>
    <s:mergeCell ref="A22374:E22374"/>
    <s:mergeCell ref="A2664:E2664"/>
    <s:mergeCell ref="A31289:E31289"/>
    <s:mergeCell ref="A22101:E22101"/>
    <s:mergeCell ref="A29792:E29792"/>
    <s:mergeCell ref="A17268:E17268"/>
    <s:mergeCell ref="A31589:E31589"/>
    <s:mergeCell ref="A968:E968"/>
    <s:mergeCell ref="A22401:E22401"/>
    <s:mergeCell ref="A7798:E7798"/>
    <s:mergeCell ref="A16696:E16696"/>
    <s:mergeCell ref="A14999:E14999"/>
    <s:mergeCell ref="A29520:E29520"/>
    <s:mergeCell ref="A29514:E29514"/>
    <s:mergeCell ref="A16996:E16996"/>
    <s:mergeCell ref="A14911:E14911"/>
    <s:mergeCell ref="A13214:E13214"/>
    <s:mergeCell ref="A31300:E31300"/>
    <s:mergeCell ref="A29820:E29820"/>
    <s:mergeCell ref="B30061:E30061"/>
    <s:mergeCell ref="A29814:E29814"/>
    <s:mergeCell ref="A15211:E15211"/>
    <s:mergeCell ref="A22329:E22329"/>
    <s:mergeCell ref="A31600:E31600"/>
    <s:mergeCell ref="A29515:E29515"/>
    <s:mergeCell ref="A6023:E6023"/>
    <s:mergeCell ref="B30367:E30367"/>
    <s:mergeCell ref="A20327:E20327"/>
    <s:mergeCell ref="A15511:E15511"/>
    <s:mergeCell ref="B30062:E30062"/>
    <s:mergeCell ref="A22629:E22629"/>
    <s:mergeCell ref="A20932:E20932"/>
    <s:mergeCell ref="B30056:E30056"/>
    <s:mergeCell ref="B20874:E20874"/>
    <s:mergeCell ref="A12925:E12925"/>
    <s:mergeCell ref="A22324:E22324"/>
    <s:mergeCell ref="A20627:E20627"/>
    <s:mergeCell ref="B16058:E16058"/>
    <s:mergeCell ref="A27745:E27745"/>
    <s:mergeCell ref="A17468:E17468"/>
    <s:mergeCell ref="A20844:E20844"/>
    <s:mergeCell ref="A22929:E22929"/>
    <s:mergeCell ref="A29542:E29542"/>
    <s:mergeCell ref="A13225:E13225"/>
    <s:mergeCell ref="A2948:E2948"/>
    <s:mergeCell ref="A28045:E28045"/>
    <s:mergeCell ref="A15683:E15683"/>
    <s:mergeCell ref="A3165:E3165"/>
    <s:mergeCell ref="A27746:E27746"/>
    <s:mergeCell ref="A27740:E27740"/>
    <s:mergeCell ref="A15222:E15222"/>
    <s:mergeCell ref="A4945:E4945"/>
    <s:mergeCell ref="A2860:E2860"/>
    <s:mergeCell ref="A8281:E8281"/>
    <s:mergeCell ref="B13983:E13983"/>
    <s:mergeCell ref="A15983:E15983"/>
    <s:mergeCell ref="A3465:E3465"/>
    <s:mergeCell ref="A15678:E15678"/>
    <s:mergeCell ref="A3160:E3160"/>
    <s:mergeCell ref="B26807:E26807"/>
    <s:mergeCell ref="A8581:E8581"/>
    <s:mergeCell ref="B13984:E13984"/>
    <s:mergeCell ref="A27468:E27468"/>
    <s:mergeCell ref="A10578:E10578"/>
    <s:mergeCell ref="A8881:E8881"/>
    <s:mergeCell ref="A6796:E6796"/>
    <s:mergeCell ref="A27768:E27768"/>
    <s:mergeCell ref="A8793:E8793"/>
    <s:mergeCell ref="A1696:E1696"/>
    <s:mergeCell ref="A15994:E15994"/>
    <s:mergeCell ref="A1391:E1391"/>
    <s:mergeCell ref="A22824:E22824"/>
    <s:mergeCell ref="A8609:E8609"/>
    <s:mergeCell ref="B1938:E1938"/>
    <s:mergeCell ref="A1691:E1691"/>
    <s:mergeCell ref="A23124:E23124"/>
    <s:mergeCell ref="B2238:E2238"/>
    <s:mergeCell ref="A1418:E1418"/>
    <s:mergeCell ref="A15722:E15722"/>
    <s:mergeCell ref="A1119:E1119"/>
    <s:mergeCell ref="A30026:E30026"/>
    <s:mergeCell ref="A28546:E28546"/>
    <s:mergeCell ref="A30237:E30237"/>
    <s:mergeCell ref="A28540:E28540"/>
    <s:mergeCell ref="A6235:E6235"/>
    <s:mergeCell ref="A16022:E16022"/>
    <s:mergeCell ref="A13937:E13937"/>
    <s:mergeCell ref="A1419:E1419"/>
    <s:mergeCell ref="A23140:E23140"/>
    <s:mergeCell ref="A1413:E1413"/>
    <s:mergeCell ref="A21055:E21055"/>
    <s:mergeCell ref="A28241:E28241"/>
    <s:mergeCell ref="A30326:E30326"/>
    <s:mergeCell ref="A15723:E15723"/>
    <s:mergeCell ref="A13632:E13632"/>
    <s:mergeCell ref="A30537:E30537"/>
    <s:mergeCell ref="A6535:E6535"/>
    <s:mergeCell ref="A14237:E14237"/>
    <s:mergeCell ref="A1719:E1719"/>
    <s:mergeCell ref="A21355:E21355"/>
    <s:mergeCell ref="A28541:E28541"/>
    <s:mergeCell ref="A6746:E6746"/>
    <s:mergeCell ref="A23135:E23135"/>
    <s:mergeCell ref="A21050:E21050"/>
    <s:mergeCell ref="A8532:E8532"/>
    <s:mergeCell ref="A6835:E6835"/>
    <s:mergeCell ref="A4750:E4750"/>
    <s:mergeCell ref="A21655:E21655"/>
    <s:mergeCell ref="A19570:E19570"/>
    <s:mergeCell ref="A9137:E9137"/>
    <s:mergeCell ref="A7046:E7046"/>
    <s:mergeCell ref="A21350:E21350"/>
    <s:mergeCell ref="A8832:E8832"/>
    <s:mergeCell ref="A5050:E5050"/>
    <s:mergeCell ref="A12168:E12168"/>
    <s:mergeCell ref="A12162:E12162"/>
    <s:mergeCell ref="A13948:E13948"/>
    <s:mergeCell ref="A14165:E14165"/>
    <s:mergeCell ref="A12468:E12468"/>
    <s:mergeCell ref="A14159:E14159"/>
    <s:mergeCell ref="A12163:E12163"/>
    <s:mergeCell ref="A19281:E19281"/>
    <s:mergeCell ref="A5066:E5066"/>
    <s:mergeCell ref="A4672:E4672"/>
    <s:mergeCell ref="A21078:E21078"/>
    <s:mergeCell ref="A28196:E28196"/>
    <s:mergeCell ref="A21683:E21683"/>
    <s:mergeCell ref="A4972:E4972"/>
    <s:mergeCell ref="A21378:E21378"/>
    <s:mergeCell ref="B13010:E13010"/>
    <s:mergeCell ref="A28585:E28585"/>
    <s:mergeCell ref="A19881:E19881"/>
    <s:mergeCell ref="A17796:E17796"/>
    <s:mergeCell ref="B18037:E18037"/>
    <s:mergeCell ref="A26494:E26494"/>
    <s:mergeCell ref="A26500:E26500"/>
    <s:mergeCell ref="A28796:E28796"/>
    <s:mergeCell ref="A26711:E26711"/>
    <s:mergeCell ref="A12496:E12496"/>
    <s:mergeCell ref="A19608:E19608"/>
    <s:mergeCell ref="B11240:E11240"/>
    <s:mergeCell ref="A19309:E19309"/>
    <s:mergeCell ref="A4700:E4700"/>
    <s:mergeCell ref="B10941:E10941"/>
    <s:mergeCell ref="A21089:E21089"/>
    <s:mergeCell ref="A26510:E26510"/>
    <s:mergeCell ref="A24425:E24425"/>
    <s:mergeCell ref="A19609:E19609"/>
    <s:mergeCell ref="A5000:E5000"/>
    <s:mergeCell ref="A19304:E19304"/>
    <s:mergeCell ref="A24725:E24725"/>
    <s:mergeCell ref="B20156:E20156"/>
    <s:mergeCell ref="A12207:E12207"/>
    <s:mergeCell ref="A27027:E27027"/>
    <s:mergeCell ref="A26722:E26722"/>
    <s:mergeCell ref="A10422:E10422"/>
    <s:mergeCell ref="A10416:E10416"/>
    <s:mergeCell ref="A27327:E27327"/>
    <s:mergeCell ref="A24726:E24726"/>
    <s:mergeCell ref="A2931:E2931"/>
    <s:mergeCell ref="A27022:E27022"/>
    <s:mergeCell ref="A24937:E24937"/>
    <s:mergeCell ref="A929:E929"/>
    <s:mergeCell ref="A17840:E17840"/>
    <s:mergeCell ref="A17834:E17834"/>
    <s:mergeCell ref="A15749:E15749"/>
    <s:mergeCell ref="A3231:E3231"/>
    <s:mergeCell ref="A1534:E1534"/>
    <s:mergeCell ref="A17535:E17535"/>
    <s:mergeCell ref="A25237:E25237"/>
    <s:mergeCell ref="A3836:E3836"/>
    <s:mergeCell ref="A2926:E2926"/>
    <s:mergeCell ref="A8347:E8347"/>
    <s:mergeCell ref="A19831:E19831"/>
    <s:mergeCell ref="A3531:E3531"/>
    <s:mergeCell ref="A1446:E1446"/>
    <s:mergeCell ref="B30600:E30600"/>
    <s:mergeCell ref="A17835:E17835"/>
    <s:mergeCell ref="A10344:E10344"/>
    <s:mergeCell ref="A8647:E8647"/>
    <s:mergeCell ref="A6562:E6562"/>
    <s:mergeCell ref="B18382:E18382"/>
    <s:mergeCell ref="A25253:E25253"/>
    <s:mergeCell ref="A10644:E10644"/>
    <s:mergeCell ref="A6862:E6862"/>
    <s:mergeCell ref="B8895:E8895"/>
    <s:mergeCell ref="B8889:E8889"/>
    <s:mergeCell ref="A30081:E30081"/>
    <s:mergeCell ref="A24681:E24681"/>
    <s:mergeCell ref="A5783:E5783"/>
    <s:mergeCell ref="A3698:E3698"/>
    <s:mergeCell ref="A24981:E24981"/>
    <s:mergeCell ref="A22890:E22890"/>
    <s:mergeCell ref="A24676:E24676"/>
    <s:mergeCell ref="A25281:E25281"/>
    <s:mergeCell ref="A23196:E23196"/>
    <s:mergeCell ref="A24976:E24976"/>
    <s:mergeCell ref="A30397:E30397"/>
    <s:mergeCell ref="A28312:E28312"/>
    <s:mergeCell ref="A15794:E15794"/>
    <s:mergeCell ref="A15788:E15788"/>
    <s:mergeCell ref="A13703:E13703"/>
    <s:mergeCell ref="A30092:E30092"/>
    <s:mergeCell ref="A14308:E14308"/>
    <s:mergeCell ref="A28612:E28612"/>
    <s:mergeCell ref="A30303:E30303"/>
    <s:mergeCell ref="A14003:E14003"/>
    <s:mergeCell ref="A23206:E23206"/>
    <s:mergeCell ref="A30392:E30392"/>
    <s:mergeCell ref="A28307:E28307"/>
    <s:mergeCell ref="A21210:E21210"/>
    <s:mergeCell ref="A28607:E28607"/>
    <s:mergeCell ref="A11144:E11144"/>
    <s:mergeCell ref="B31150:E31150"/>
    <s:mergeCell ref="A23201:E23201"/>
    <s:mergeCell ref="A3742:E3742"/>
    <s:mergeCell ref="A11444:E11444"/>
    <s:mergeCell ref="A11145:E11145"/>
    <s:mergeCell ref="A11139:E11139"/>
    <s:mergeCell ref="A4042:E4042"/>
    <s:mergeCell ref="A1957:E1957"/>
    <s:mergeCell ref="A23963:E23963"/>
    <s:mergeCell ref="A1652:E1652"/>
    <s:mergeCell ref="A16866:E16866"/>
    <s:mergeCell ref="A6039:E6039"/>
    <s:mergeCell ref="A3954:E3954"/>
    <s:mergeCell ref="A2257:E2257"/>
    <s:mergeCell ref="A4043:E4043"/>
    <s:mergeCell ref="A1952:E1952"/>
    <s:mergeCell ref="A9070:E9070"/>
    <s:mergeCell ref="A21144:E21144"/>
    <s:mergeCell ref="A4254:E4254"/>
    <s:mergeCell ref="A2557:E2557"/>
    <s:mergeCell ref="B27596:E27596"/>
    <s:mergeCell ref="A9370:E9370"/>
    <s:mergeCell ref="B13076:E13076"/>
    <s:mergeCell ref="A9670:E9670"/>
    <s:mergeCell ref="A7585:E7585"/>
    <s:mergeCell ref="A16289:E16289"/>
    <s:mergeCell ref="A488:E488"/>
    <s:mergeCell ref="A2285:E2285"/>
    <s:mergeCell ref="A2268:E2268"/>
    <s:mergeCell ref="A9098:E9098"/>
    <s:mergeCell ref="A25487:E25487"/>
    <s:mergeCell ref="A23402:E23402"/>
    <s:mergeCell ref="A24007:E24007"/>
    <s:mergeCell ref="A9398:E9398"/>
    <s:mergeCell ref="A16516:E16516"/>
    <s:mergeCell ref="A23702:E23702"/>
    <s:mergeCell ref="A11184:E11184"/>
    <s:mergeCell ref="A14514:E14514"/>
    <s:mergeCell ref="A23913:E23913"/>
    <s:mergeCell ref="A1996:E1996"/>
    <s:mergeCell ref="A14731:E14731"/>
    <s:mergeCell ref="A24002:E24002"/>
    <s:mergeCell ref="A21917:E21917"/>
    <s:mergeCell ref="A11484:E11484"/>
    <s:mergeCell ref="A9399:E9399"/>
    <s:mergeCell ref="A31120:E31120"/>
    <s:mergeCell ref="A14820:E14820"/>
    <s:mergeCell ref="A16511:E16511"/>
    <s:mergeCell ref="A211:E211"/>
    <s:mergeCell ref="A7329:E7329"/>
    <s:mergeCell ref="A16600:E16600"/>
    <s:mergeCell ref="A14515:E14515"/>
    <s:mergeCell ref="A15031:E15031"/>
    <s:mergeCell ref="A29335:E29335"/>
    <s:mergeCell ref="A511:E511"/>
    <s:mergeCell ref="A7629:E7629"/>
    <s:mergeCell ref="A14815:E14815"/>
    <s:mergeCell ref="A15331:E15331"/>
    <s:mergeCell ref="A21933:E21933"/>
    <s:mergeCell ref="A21927:E21927"/>
    <s:mergeCell ref="A7324:E7324"/>
    <s:mergeCell ref="A30848:E30848"/>
    <s:mergeCell ref="A21628:E21628"/>
    <s:mergeCell ref="A7929:E7929"/>
    <s:mergeCell ref="A5844:E5844"/>
    <s:mergeCell ref="A7535:E7535"/>
    <s:mergeCell ref="A22233:E22233"/>
    <s:mergeCell ref="A7624:E7624"/>
    <s:mergeCell ref="A14742:E14742"/>
    <s:mergeCell ref="A29063:E29063"/>
    <s:mergeCell ref="B22386:E22386"/>
    <s:mergeCell ref="A30843:E30843"/>
    <s:mergeCell ref="A5839:E5839"/>
    <s:mergeCell ref="A15042:E15042"/>
    <s:mergeCell ref="A12957:E12957"/>
    <s:mergeCell ref="A21661:E21661"/>
    <s:mergeCell ref="A439:E439"/>
    <s:mergeCell ref="A29363:E29363"/>
    <s:mergeCell ref="A29058:E29058"/>
    <s:mergeCell ref="A21961:E21961"/>
    <s:mergeCell ref="A27561:E27561"/>
    <s:mergeCell ref="A6160:E6160"/>
    <s:mergeCell ref="A5855:E5855"/>
    <s:mergeCell ref="A22261:E22261"/>
    <s:mergeCell ref="A20176:E20176"/>
    <s:mergeCell ref="A3764:E3764"/>
    <s:mergeCell ref="A27288:E27288"/>
    <s:mergeCell ref="A29074:E29074"/>
    <s:mergeCell ref="A29679:E29679"/>
    <s:mergeCell ref="A27588:E27588"/>
    <s:mergeCell ref="A5283:E5283"/>
    <s:mergeCell ref="A15070:E15070"/>
    <s:mergeCell ref="A12985:E12985"/>
    <s:mergeCell ref="A29374:E29374"/>
    <s:mergeCell ref="B6702:E6702"/>
    <s:mergeCell ref="A27289:E27289"/>
    <s:mergeCell ref="A27283:E27283"/>
    <s:mergeCell ref="A14765:E14765"/>
    <s:mergeCell ref="A12680:E12680"/>
    <s:mergeCell ref="A20186:E20186"/>
    <s:mergeCell ref="A18101:E18101"/>
    <s:mergeCell ref="A5583:E5583"/>
    <s:mergeCell ref="A13285:E13285"/>
    <s:mergeCell ref="A11183:E11183"/>
    <s:mergeCell ref="A27589:E27589"/>
    <s:mergeCell ref="A22183:E22183"/>
    <s:mergeCell ref="A20098:E20098"/>
    <s:mergeCell ref="A18401:E18401"/>
    <s:mergeCell ref="A5883:E5883"/>
    <s:mergeCell ref="A20187:E20187"/>
    <s:mergeCell ref="A18096:E18096"/>
    <s:mergeCell ref="A25214:E25214"/>
    <s:mergeCell ref="A10999:E10999"/>
    <s:mergeCell ref="A8914:E8914"/>
    <s:mergeCell ref="A18701:E18701"/>
    <s:mergeCell ref="A20398:E20398"/>
    <s:mergeCell ref="A13301:E13301"/>
    <s:mergeCell ref="A11216:E11216"/>
    <s:mergeCell ref="A11210:E11210"/>
    <s:mergeCell ref="A25514:E25514"/>
    <s:mergeCell ref="A12996:E12996"/>
    <s:mergeCell ref="B11757:E11757"/>
    <s:mergeCell ref="A11510:E11510"/>
    <s:mergeCell ref="A18112:E18112"/>
    <s:mergeCell ref="A25814:E25814"/>
    <s:mergeCell ref="A23729:E23729"/>
    <s:mergeCell ref="A13296:E13296"/>
    <s:mergeCell ref="A11211:E11211"/>
    <s:mergeCell ref="A4114:E4114"/>
    <s:mergeCell ref="B11758:E11758"/>
    <s:mergeCell ref="A3809:E3809"/>
    <s:mergeCell ref="A2628:E2628"/>
    <s:mergeCell ref="B10061:E10061"/>
    <s:mergeCell ref="B28147:E28147"/>
    <s:mergeCell ref="A18629:E18629"/>
    <s:mergeCell ref="A16932:E16932"/>
    <s:mergeCell ref="A25242:E25242"/>
    <s:mergeCell ref="A4109:E4109"/>
    <s:mergeCell ref="A2024:E2024"/>
    <s:mergeCell ref="A27633:E27633"/>
    <s:mergeCell ref="A25548:E25548"/>
    <s:mergeCell ref="A25542:E25542"/>
    <s:mergeCell ref="A30875:E30875"/>
    <s:mergeCell ref="A24345:E24345"/>
    <s:mergeCell ref="A30964:E30964"/>
    <s:mergeCell ref="A30958:E30958"/>
    <s:mergeCell ref="A25558:E25558"/>
    <s:mergeCell ref="A31175:E31175"/>
    <s:mergeCell ref="A16960:E16960"/>
    <s:mergeCell ref="A30870:E30870"/>
    <s:mergeCell ref="A23773:E23773"/>
    <s:mergeCell ref="A9164:E9164"/>
    <s:mergeCell ref="A25553:E25553"/>
    <s:mergeCell ref="A23468:E23468"/>
    <s:mergeCell ref="A24073:E24073"/>
    <s:mergeCell ref="A21988:E21988"/>
    <s:mergeCell ref="A11555:E11555"/>
    <s:mergeCell ref="A9470:E9470"/>
    <s:mergeCell ref="A9464:E9464"/>
    <s:mergeCell ref="A23768:E23768"/>
    <s:mergeCell ref="A30886:E30886"/>
    <s:mergeCell ref="A16671:E16671"/>
    <s:mergeCell ref="A6089:E6089"/>
    <s:mergeCell ref="A4004:E4004"/>
    <s:mergeCell ref="A6605:E6605"/>
    <s:mergeCell ref="A31186:E31186"/>
    <s:mergeCell ref="A6306:E6306"/>
    <s:mergeCell ref="A4609:E4609"/>
    <s:mergeCell ref="A4304:E4304"/>
    <s:mergeCell ref="A4820:E4820"/>
    <s:mergeCell ref="A11422:E11422"/>
    <s:mergeCell ref="A19124:E19124"/>
    <s:mergeCell ref="A6606:E6606"/>
    <s:mergeCell ref="A4909:E4909"/>
    <s:mergeCell ref="A2824:E2824"/>
    <s:mergeCell ref="B31428:E31428"/>
    <s:mergeCell ref="A4604:E4604"/>
    <s:mergeCell ref="A11722:E11722"/>
    <s:mergeCell ref="A19424:E19424"/>
    <s:mergeCell ref="A6906:E6906"/>
    <s:mergeCell ref="A4821:E4821"/>
    <s:mergeCell ref="B24542:E24542"/>
    <s:mergeCell ref="A30914:E30914"/>
    <s:mergeCell ref="A10242:E10242"/>
    <s:mergeCell ref="A12022:E12022"/>
    <s:mergeCell ref="A9937:E9937"/>
    <s:mergeCell ref="A31214:E31214"/>
    <s:mergeCell ref="A29129:E29129"/>
    <s:mergeCell ref="B24543:E24543"/>
    <s:mergeCell ref="B6152:E6152"/>
    <s:mergeCell ref="A10237:E10237"/>
    <s:mergeCell ref="A4831:E4831"/>
    <s:mergeCell ref="A2746:E2746"/>
    <s:mergeCell ref="A11450:E11450"/>
    <s:mergeCell ref="A19135:E19135"/>
    <s:mergeCell ref="A24268:E24268"/>
    <s:mergeCell ref="A11750:E11750"/>
    <s:mergeCell ref="A3046:E3046"/>
    <s:mergeCell ref="A26265:E26265"/>
    <s:mergeCell ref="B3593:E3593"/>
    <s:mergeCell ref="A12050:E12050"/>
    <s:mergeCell ref="A9965:E9965"/>
    <s:mergeCell ref="A31686:E31686"/>
    <s:mergeCell ref="A19168:E19168"/>
    <s:mergeCell ref="A18863:E18863"/>
    <s:mergeCell ref="A17166:E17166"/>
    <s:mergeCell ref="A26565:E26565"/>
    <s:mergeCell ref="A17383:E17383"/>
    <s:mergeCell ref="A31687:E31687"/>
    <s:mergeCell ref="A31681:E31681"/>
    <s:mergeCell ref="A19163:E19163"/>
    <s:mergeCell ref="A17078:E17078"/>
    <s:mergeCell ref="A2469:E2469"/>
    <s:mergeCell ref="A17683:E17683"/>
    <s:mergeCell ref="A9676:E9676"/>
    <s:mergeCell ref="A17378:E17378"/>
    <s:mergeCell ref="A26581:E26581"/>
    <s:mergeCell ref="A24496:E24496"/>
    <s:mergeCell ref="A22799:E22799"/>
    <s:mergeCell ref="A10281:E10281"/>
    <s:mergeCell ref="A8196:E8196"/>
    <s:mergeCell ref="A9887:E9887"/>
    <s:mergeCell ref="A8190:E8190"/>
    <s:mergeCell ref="A24585:E24585"/>
    <s:mergeCell ref="B3604:E3604"/>
    <s:mergeCell ref="A2790:E2790"/>
    <s:mergeCell ref="A24191:E24191"/>
    <s:mergeCell ref="A9976:E9976"/>
    <s:mergeCell ref="A24280:E24280"/>
    <s:mergeCell ref="A24796:E24796"/>
    <s:mergeCell ref="A788:E788"/>
    <s:mergeCell ref="A10187:E10187"/>
    <s:mergeCell ref="A3090:E3090"/>
    <s:mergeCell ref="A1005:E1005"/>
    <s:mergeCell ref="A8191:E8191"/>
    <s:mergeCell ref="A29912:E29912"/>
    <s:mergeCell ref="A15309:E15309"/>
    <s:mergeCell ref="A25096:E25096"/>
    <s:mergeCell ref="A23011:E23011"/>
    <s:mergeCell ref="A1094:E1094"/>
    <s:mergeCell ref="A2785:E2785"/>
    <s:mergeCell ref="A700:E700"/>
    <s:mergeCell ref="A8206:E8206"/>
    <s:mergeCell ref="A17089:E17089"/>
    <s:mergeCell ref="A1305:E1305"/>
    <s:mergeCell ref="A15609:E15609"/>
    <s:mergeCell ref="A15603:E15603"/>
    <s:mergeCell ref="A1000:E1000"/>
    <s:mergeCell ref="A29913:E29913"/>
    <s:mergeCell ref="A8118:E8118"/>
    <s:mergeCell ref="A6421:E6421"/>
    <s:mergeCell ref="A1605:E1605"/>
    <s:mergeCell ref="B28674:E28674"/>
    <s:mergeCell ref="A6116:E6116"/>
    <s:mergeCell ref="A29640:E29640"/>
    <s:mergeCell ref="A8418:E8418"/>
    <s:mergeCell ref="A6721:E6721"/>
    <s:mergeCell ref="B30671:E30671"/>
    <s:mergeCell ref="A22722:E22722"/>
    <s:mergeCell ref="A29940:E29940"/>
    <s:mergeCell ref="A27855:E27855"/>
    <s:mergeCell ref="A17422:E17422"/>
    <s:mergeCell ref="A8718:E8718"/>
    <s:mergeCell ref="A15337:E15337"/>
    <s:mergeCell ref="A31726:E31726"/>
    <s:mergeCell ref="A29641:E29641"/>
    <s:mergeCell ref="A29635:E29635"/>
    <s:mergeCell ref="A22538:E22538"/>
    <s:mergeCell ref="A13834:E13834"/>
    <s:mergeCell ref="A1316:E1316"/>
    <s:mergeCell ref="A15637:E15637"/>
    <s:mergeCell ref="A13535:E13535"/>
    <s:mergeCell ref="A29941:E29941"/>
    <s:mergeCell ref="A20664:E20664"/>
    <s:mergeCell ref="A29935:E29935"/>
    <s:mergeCell ref="A20753:E20753"/>
    <s:mergeCell ref="A12049:E12049"/>
    <s:mergeCell ref="A6344:E6344"/>
    <s:mergeCell ref="B12596:E12596"/>
    <s:mergeCell ref="A21053:E21053"/>
    <s:mergeCell ref="A22750:E22750"/>
    <s:mergeCell ref="A27866:E27866"/>
    <s:mergeCell ref="A23050:E23050"/>
    <s:mergeCell ref="A20965:E20965"/>
    <s:mergeCell ref="A30168:E30168"/>
    <s:mergeCell ref="A28471:E28471"/>
    <s:mergeCell ref="A26386:E26386"/>
    <s:mergeCell ref="A29863:E29863"/>
    <s:mergeCell ref="A28166:E28166"/>
    <s:mergeCell ref="A26081:E26081"/>
    <s:mergeCell ref="A15648:E15648"/>
    <s:mergeCell ref="A30468:E30468"/>
    <s:mergeCell ref="A28383:E28383"/>
    <s:mergeCell ref="A28377:E28377"/>
    <s:mergeCell ref="A4375:E4375"/>
    <s:mergeCell ref="A26381:E26381"/>
    <s:mergeCell ref="A4586:E4586"/>
    <s:mergeCell ref="A20981:E20981"/>
    <s:mergeCell ref="A19284:E19284"/>
    <s:mergeCell ref="A20975:E20975"/>
    <s:mergeCell ref="A18890:E18890"/>
    <s:mergeCell ref="A8457:E8457"/>
    <s:mergeCell ref="A6372:E6372"/>
    <s:mergeCell ref="A4675:E4675"/>
    <s:mergeCell ref="A2590:E2590"/>
    <s:mergeCell ref="A20676:E20676"/>
    <s:mergeCell ref="A11488:E11488"/>
    <s:mergeCell ref="A19190:E19190"/>
    <s:mergeCell ref="A6672:E6672"/>
    <s:mergeCell ref="A12093:E12093"/>
    <s:mergeCell ref="A10008:E10008"/>
    <s:mergeCell ref="A26397:E26397"/>
    <s:mergeCell ref="A13485:E13485"/>
    <s:mergeCell ref="A11788:E11788"/>
    <s:mergeCell ref="A4887:E4887"/>
    <s:mergeCell ref="A10308:E10308"/>
    <s:mergeCell ref="B26944:E26944"/>
    <s:mergeCell ref="A31:E31"/>
    <s:mergeCell ref="A12088:E12088"/>
    <s:mergeCell ref="A10003:E10003"/>
    <s:mergeCell ref="A11789:E11789"/>
    <s:mergeCell ref="A12305:E12305"/>
    <s:mergeCell ref="A21003:E21003"/>
    <s:mergeCell ref="A10303:E10303"/>
    <s:mergeCell ref="A6839:E6839"/>
    <s:mergeCell ref="A24340:E24340"/>
    <s:mergeCell ref="A18934:E18934"/>
    <s:mergeCell ref="B16183:E16183"/>
    <s:mergeCell ref="A24640:E24640"/>
    <s:mergeCell ref="A42:E42"/>
    <s:mergeCell ref="B3659:E3659"/>
    <s:mergeCell ref="A26331:E26331"/>
    <s:mergeCell ref="A31752:E31752"/>
    <s:mergeCell ref="A19234:E19234"/>
    <s:mergeCell ref="A17149:E17149"/>
    <s:mergeCell ref="B10866:E10866"/>
    <s:mergeCell ref="A18929:E18929"/>
    <s:mergeCell ref="A17449:E17449"/>
    <s:mergeCell ref="A31753:E31753"/>
    <s:mergeCell ref="A19235:E19235"/>
    <s:mergeCell ref="A31747:E31747"/>
    <s:mergeCell ref="A19229:E19229"/>
    <s:mergeCell ref="A17144:E17144"/>
    <s:mergeCell ref="A26347:E26347"/>
    <s:mergeCell ref="A17749:E17749"/>
    <s:mergeCell ref="A24351:E24351"/>
    <s:mergeCell ref="A14285:E14285"/>
    <s:mergeCell ref="A70:E70"/>
    <s:mergeCell ref="A24651:E24651"/>
    <s:mergeCell ref="A22566:E22566"/>
    <s:mergeCell ref="A19707:E19707"/>
    <s:mergeCell ref="A19701:E19701"/>
    <s:mergeCell ref="A17616:E17616"/>
    <s:mergeCell ref="A7183:E7183"/>
    <s:mergeCell ref="A5098:E5098"/>
    <s:mergeCell ref="A5703:E5703"/>
    <s:mergeCell ref="A3618:E3618"/>
    <s:mergeCell ref="A20007:E20007"/>
    <s:mergeCell ref="A17916:E17916"/>
    <s:mergeCell ref="A5398:E5398"/>
    <s:mergeCell ref="A21787:E21787"/>
    <s:mergeCell ref="A19702:E19702"/>
    <s:mergeCell ref="A12211:E12211"/>
    <s:mergeCell ref="A5698:E5698"/>
    <s:mergeCell ref="A3613:E3613"/>
    <s:mergeCell ref="B30737:E30737"/>
    <s:mergeCell ref="A12511:E12511"/>
    <s:mergeCell ref="A30012:E30012"/>
    <s:mergeCell ref="A30006:E30006"/>
    <s:mergeCell ref="A19729:E19729"/>
    <s:mergeCell ref="A5126:E5126"/>
    <s:mergeCell ref="A3629:E3629"/>
    <s:mergeCell ref="A3623:E3623"/>
    <s:mergeCell ref="A1538:E1538"/>
    <s:mergeCell ref="A5426:E5426"/>
    <s:mergeCell ref="A3324:E3324"/>
    <s:mergeCell ref="A26848:E26848"/>
    <s:mergeCell ref="A3929:E3929"/>
    <s:mergeCell ref="A12239:E12239"/>
    <s:mergeCell ref="A10542:E10542"/>
    <s:mergeCell ref="A25362:E25362"/>
    <s:mergeCell ref="A25057:E25057"/>
    <s:mergeCell ref="A12539:E12539"/>
    <s:mergeCell ref="A26843:E26843"/>
    <s:mergeCell ref="A5442:E5442"/>
    <s:mergeCell ref="A11059:E11059"/>
    <s:mergeCell ref="A17661:E17661"/>
    <s:mergeCell ref="A25363:E25363"/>
    <s:mergeCell ref="A5137:E5137"/>
    <s:mergeCell ref="A12839:E12839"/>
    <s:mergeCell ref="A10754:E10754"/>
    <s:mergeCell ref="A3657:E3657"/>
    <s:mergeCell ref="A17961:E17961"/>
    <s:mergeCell ref="A17955:E17955"/>
    <s:mergeCell ref="A15870:E15870"/>
    <s:mergeCell ref="A3352:E3352"/>
    <s:mergeCell ref="A20257:E20257"/>
    <s:mergeCell ref="A17656:E17656"/>
    <s:mergeCell ref="A18172:E18172"/>
    <s:mergeCell ref="A3957:E3957"/>
    <s:mergeCell ref="B11889:E11889"/>
    <s:mergeCell ref="A3652:E3652"/>
    <s:mergeCell ref="A25373:E25373"/>
    <s:mergeCell ref="A23288:E23288"/>
    <s:mergeCell ref="A10770:E10770"/>
    <s:mergeCell ref="A9073:E9073"/>
    <s:mergeCell ref="A18472:E18472"/>
    <s:mergeCell ref="A8774:E8774"/>
    <s:mergeCell ref="A1582:E1582"/>
    <s:mergeCell ref="B9015:E9015"/>
    <s:mergeCell ref="A10465:E10465"/>
    <s:mergeCell ref="A15886:E15886"/>
    <s:mergeCell ref="A23588:E23588"/>
    <s:mergeCell ref="A11070:E11070"/>
    <s:mergeCell ref="A8985:E8985"/>
    <s:mergeCell ref="A7288:E7288"/>
    <s:mergeCell ref="A25374:E25374"/>
    <s:mergeCell ref="A1882:E1882"/>
    <s:mergeCell ref="B24135:E24135"/>
    <s:mergeCell ref="A23888:E23888"/>
    <s:mergeCell ref="A1583:E1583"/>
    <s:mergeCell ref="A30507:E30507"/>
    <s:mergeCell ref="A23016:E23016"/>
    <s:mergeCell ref="A97:E97"/>
    <s:mergeCell ref="B16733:E16733"/>
    <s:mergeCell ref="B14648:E14648"/>
    <s:mergeCell ref="A18183:E18183"/>
    <s:mergeCell ref="A24802:E24802"/>
    <s:mergeCell ref="A1883:E1883"/>
    <s:mergeCell ref="A23316:E23316"/>
    <s:mergeCell ref="A25102:E25102"/>
    <s:mergeCell ref="B16734:E16734"/>
    <s:mergeCell ref="A15914:E15914"/>
    <s:mergeCell ref="A2394:E2394"/>
    <s:mergeCell ref="A30218:E30218"/>
    <s:mergeCell ref="A25402:E25402"/>
    <s:mergeCell ref="A23317:E23317"/>
    <s:mergeCell ref="A30429:E30429"/>
    <s:mergeCell ref="A28732:E28732"/>
    <s:mergeCell ref="A16214:E16214"/>
    <s:mergeCell ref="A7510:E7510"/>
    <s:mergeCell ref="A14129:E14129"/>
    <s:mergeCell ref="A30518:E30518"/>
    <s:mergeCell ref="A28433:E28433"/>
    <s:mergeCell ref="A28949:E28949"/>
    <s:mergeCell ref="A31034:E31034"/>
    <s:mergeCell ref="A7211:E7211"/>
    <s:mergeCell ref="A108:E108"/>
    <s:mergeCell ref="A14429:E14429"/>
    <s:mergeCell ref="A28733:E28733"/>
    <s:mergeCell ref="A6938:E6938"/>
    <s:mergeCell ref="A21242:E21242"/>
    <s:mergeCell ref="A31029:E31029"/>
    <s:mergeCell ref="A8724:E8724"/>
    <s:mergeCell ref="A21847:E21847"/>
    <s:mergeCell ref="B350:E350"/>
    <s:mergeCell ref="A7238:E7238"/>
    <s:mergeCell ref="A13840:E13840"/>
    <s:mergeCell ref="A21542:E21542"/>
    <s:mergeCell ref="A28660:E28660"/>
    <s:mergeCell ref="A6933:E6933"/>
    <s:mergeCell ref="A22147:E22147"/>
    <s:mergeCell ref="A14140:E14140"/>
    <s:mergeCell ref="A21842:E21842"/>
    <s:mergeCell ref="A9324:E9324"/>
    <s:mergeCell ref="A7239:E7239"/>
    <s:mergeCell ref="A28960:E28960"/>
    <s:mergeCell ref="A14351:E14351"/>
    <s:mergeCell ref="A28655:E28655"/>
    <s:mergeCell ref="B22389:E22389"/>
    <s:mergeCell ref="A14440:E14440"/>
    <s:mergeCell ref="A12355:E12355"/>
    <s:mergeCell ref="A29260:E29260"/>
    <s:mergeCell ref="A27175:E27175"/>
    <s:mergeCell ref="A14651:E14651"/>
    <s:mergeCell ref="A12655:E12655"/>
    <s:mergeCell ref="A19773:E19773"/>
    <s:mergeCell ref="A7249:E7249"/>
    <s:mergeCell ref="A21553:E21553"/>
    <s:mergeCell ref="A5769:E5769"/>
    <s:mergeCell ref="A21770:E21770"/>
    <s:mergeCell ref="A20073:E20073"/>
    <s:mergeCell ref="A5464:E5464"/>
    <s:mergeCell ref="A26886:E26886"/>
    <s:mergeCell ref="A309:E309"/>
    <s:mergeCell ref="A5764:E5764"/>
    <s:mergeCell ref="A21586:E21586"/>
    <s:mergeCell ref="A27186:E27186"/>
    <s:mergeCell ref="A28983:E28983"/>
    <s:mergeCell ref="A609:E609"/>
    <s:mergeCell ref="B13130:E13130"/>
    <s:mergeCell ref="A27486:E27486"/>
    <s:mergeCell ref="A2606:E2606"/>
    <s:mergeCell ref="A26614:E26614"/>
    <s:mergeCell ref="A20101:E20101"/>
    <s:mergeCell ref="A25128:E25128"/>
    <s:mergeCell ref="A26914:E26914"/>
    <s:mergeCell ref="A25217:E25217"/>
    <s:mergeCell ref="A10608:E10608"/>
    <s:mergeCell ref="A27519:E27519"/>
    <s:mergeCell ref="A26609:E26609"/>
    <s:mergeCell ref="A27214:E27214"/>
    <s:mergeCell ref="A25429:E25429"/>
    <s:mergeCell ref="A7450:E7450"/>
    <s:mergeCell ref="A7750:E7750"/>
    <s:mergeCell ref="A7445:E7445"/>
    <s:mergeCell ref="A22265:E22265"/>
    <s:mergeCell ref="A8050:E8050"/>
    <s:mergeCell ref="A5965:E5965"/>
    <s:mergeCell ref="A15168:E15168"/>
    <s:mergeCell ref="A559:E559"/>
    <s:mergeCell ref="A8261:E8261"/>
    <s:mergeCell ref="A15468:E15468"/>
    <s:mergeCell ref="A859:E859"/>
    <s:mergeCell ref="A15163:E15163"/>
    <s:mergeCell ref="A560:E560"/>
    <s:mergeCell ref="A5975:E5975"/>
    <s:mergeCell ref="A3890:E3890"/>
    <s:mergeCell ref="A4495:E4495"/>
    <s:mergeCell ref="B16799:E16799"/>
    <s:mergeCell ref="A6281:E6281"/>
    <s:mergeCell ref="B9898:E9898"/>
    <s:mergeCell ref="A5887:E5887"/>
    <s:mergeCell ref="A4190:E4190"/>
    <s:mergeCell ref="A5976:E5976"/>
    <s:mergeCell ref="A27409:E27409"/>
    <s:mergeCell ref="A14891:E14891"/>
    <s:mergeCell ref="A4490:E4490"/>
    <s:mergeCell ref="A13411:E13411"/>
    <s:mergeCell ref="A4191:E4191"/>
    <s:mergeCell ref="A11303:E11303"/>
    <s:mergeCell ref="A13106:E13106"/>
    <s:mergeCell ref="A22309:E22309"/>
    <s:mergeCell ref="A3918:E3918"/>
    <s:mergeCell ref="A20307:E20307"/>
    <s:mergeCell ref="A18222:E18222"/>
    <s:mergeCell ref="A20823:E20823"/>
    <s:mergeCell ref="A13406:E13406"/>
    <s:mergeCell ref="A22609:E22609"/>
    <s:mergeCell ref="A20524:E20524"/>
    <s:mergeCell ref="A6309:E6309"/>
    <s:mergeCell ref="B10065:E10065"/>
    <s:mergeCell ref="A20219:E20219"/>
    <s:mergeCell ref="A27725:E27725"/>
    <s:mergeCell ref="A25640:E25640"/>
    <s:mergeCell ref="A20824:E20824"/>
    <s:mergeCell ref="A11636:E11636"/>
    <s:mergeCell ref="A27637:E27637"/>
    <s:mergeCell ref="A25940:E25940"/>
    <s:mergeCell ref="A13422:E13422"/>
    <s:mergeCell ref="A11337:E11337"/>
    <s:mergeCell ref="A11331:E11331"/>
    <s:mergeCell ref="A25635:E25635"/>
    <s:mergeCell ref="A13117:E13117"/>
    <s:mergeCell ref="A18538:E18538"/>
    <s:mergeCell ref="A27937:E27937"/>
    <s:mergeCell ref="A26240:E26240"/>
    <s:mergeCell ref="A1844:E1844"/>
    <s:mergeCell ref="A11631:E11631"/>
    <s:mergeCell ref="A18755:E18755"/>
    <s:mergeCell ref="A18749:E18749"/>
    <s:mergeCell ref="A2449:E2449"/>
    <s:mergeCell ref="A26152:E26152"/>
    <s:mergeCell ref="A4235:E4235"/>
    <s:mergeCell ref="A2144:E2144"/>
    <s:mergeCell ref="A9262:E9262"/>
    <s:mergeCell ref="A16964:E16964"/>
    <s:mergeCell ref="A4446:E4446"/>
    <s:mergeCell ref="A2749:E2749"/>
    <s:mergeCell ref="A18750:E18750"/>
    <s:mergeCell ref="A24171:E24171"/>
    <s:mergeCell ref="A2444:E2444"/>
    <s:mergeCell ref="A9562:E9562"/>
    <s:mergeCell ref="A25968:E25968"/>
    <s:mergeCell ref="A4746:E4746"/>
    <s:mergeCell ref="A2661:E2661"/>
    <s:mergeCell ref="A10167:E10167"/>
    <s:mergeCell ref="A9257:E9257"/>
    <s:mergeCell ref="B4688:E4688"/>
    <s:mergeCell ref="A24471:E24471"/>
    <s:mergeCell ref="A11559:E11559"/>
    <s:mergeCell ref="A9862:E9862"/>
    <s:mergeCell ref="A7777:E7777"/>
    <s:mergeCell ref="A9563:E9563"/>
    <s:mergeCell ref="A674:E674"/>
    <s:mergeCell ref="A16675:E16675"/>
    <s:mergeCell ref="A2460:E2460"/>
    <s:mergeCell ref="A375:E375"/>
    <s:mergeCell ref="A31601:E31601"/>
    <s:mergeCell ref="A2677:E2677"/>
    <s:mergeCell ref="A11375:E11375"/>
    <s:mergeCell ref="A2671:E2671"/>
    <s:mergeCell ref="A9290:E9290"/>
    <s:mergeCell ref="A25679:E25679"/>
    <s:mergeCell ref="A16975:E16975"/>
    <s:mergeCell ref="A23594:E23594"/>
    <s:mergeCell ref="A31296:E31296"/>
    <s:mergeCell ref="A2372:E2372"/>
    <s:mergeCell ref="A675:E675"/>
    <s:mergeCell ref="A18772:E18772"/>
    <s:mergeCell ref="A7793:E7793"/>
    <s:mergeCell ref="A9590:E9590"/>
    <s:mergeCell ref="A23894:E23894"/>
    <s:mergeCell ref="B10621:E10621"/>
    <s:mergeCell ref="A975:E975"/>
    <s:mergeCell ref="A8093:E8093"/>
    <s:mergeCell ref="A24499:E24499"/>
    <s:mergeCell ref="A24105:E24105"/>
    <s:mergeCell ref="A9890:E9890"/>
    <s:mergeCell ref="A24194:E24194"/>
    <s:mergeCell ref="A22109:E22109"/>
    <s:mergeCell ref="A31312:E31312"/>
    <s:mergeCell ref="A16703:E16703"/>
    <s:mergeCell ref="A15006:E15006"/>
    <s:mergeCell ref="A31007:E31007"/>
    <s:mergeCell ref="A15223:E15223"/>
    <s:mergeCell ref="A31612:E31612"/>
    <s:mergeCell ref="A29527:E29527"/>
    <s:mergeCell ref="A17009:E17009"/>
    <s:mergeCell ref="A17003:E17003"/>
    <s:mergeCell ref="A14918:E14918"/>
    <s:mergeCell ref="B31554:E31554"/>
    <s:mergeCell ref="A24121:E24121"/>
    <s:mergeCell ref="A31307:E31307"/>
    <s:mergeCell ref="A16704:E16704"/>
    <s:mergeCell ref="A22125:E22125"/>
    <s:mergeCell ref="A20034:E20034"/>
    <s:mergeCell ref="A9601:E9601"/>
    <s:mergeCell ref="A7516:E7516"/>
    <s:mergeCell ref="A24421:E24421"/>
    <s:mergeCell ref="A21820:E21820"/>
    <s:mergeCell ref="A20639:E20639"/>
    <s:mergeCell ref="A22336:E22336"/>
    <s:mergeCell ref="A8121:E8121"/>
    <s:mergeCell ref="A29522:E29522"/>
    <s:mergeCell ref="B30374:E30374"/>
    <s:mergeCell ref="A22425:E22425"/>
    <s:mergeCell ref="A24116:E24116"/>
    <s:mergeCell ref="A7816:E7816"/>
    <s:mergeCell ref="A14934:E14934"/>
    <s:mergeCell ref="A22636:E22636"/>
    <s:mergeCell ref="A24422:E24422"/>
    <s:mergeCell ref="B20881:E20881"/>
    <s:mergeCell ref="A8116:E8116"/>
    <s:mergeCell ref="A6031:E6031"/>
    <s:mergeCell ref="A15234:E15234"/>
    <s:mergeCell ref="B30369:E30369"/>
    <s:mergeCell ref="A22420:E22420"/>
    <s:mergeCell ref="A20335:E20335"/>
    <s:mergeCell ref="A22936:E22936"/>
    <s:mergeCell ref="A29555:E29555"/>
    <s:mergeCell ref="A14929:E14929"/>
    <s:mergeCell ref="A28052:E28052"/>
    <s:mergeCell ref="A13449:E13449"/>
    <s:mergeCell ref="A29838:E29838"/>
    <s:mergeCell ref="A27753:E27753"/>
    <s:mergeCell ref="A2867:E2867"/>
    <s:mergeCell ref="B13996:E13996"/>
    <s:mergeCell ref="A22647:E22647"/>
    <s:mergeCell ref="A29266:E29266"/>
    <s:mergeCell ref="A27780:E27780"/>
    <s:mergeCell ref="B13991:E13991"/>
    <s:mergeCell ref="A29566:E29566"/>
    <s:mergeCell ref="B6500:E6500"/>
    <s:mergeCell ref="A27475:E27475"/>
    <s:mergeCell ref="A13477:E13477"/>
    <s:mergeCell ref="A27781:E27781"/>
    <s:mergeCell ref="A20290:E20290"/>
    <s:mergeCell ref="A18593:E18593"/>
    <s:mergeCell ref="A1398:E1398"/>
    <s:mergeCell ref="A20590:E20590"/>
    <s:mergeCell ref="A1698:E1698"/>
    <s:mergeCell ref="A20890:E20890"/>
    <s:mergeCell ref="A2911:E2911"/>
    <s:mergeCell ref="A1425:E1425"/>
    <s:mergeCell ref="A29788:E29788"/>
    <s:mergeCell ref="A15735:E15735"/>
    <s:mergeCell ref="A17426:E17426"/>
    <s:mergeCell ref="A15729:E15729"/>
    <s:mergeCell ref="A3211:E3211"/>
    <s:mergeCell ref="A1126:E1126"/>
    <s:mergeCell ref="A27792:E27792"/>
    <s:mergeCell ref="A1731:E1731"/>
    <s:mergeCell ref="A8327:E8327"/>
    <s:mergeCell ref="A6242:E6242"/>
    <s:mergeCell ref="A1426:E1426"/>
    <s:mergeCell ref="A8544:E8544"/>
    <s:mergeCell ref="A15730:E15730"/>
    <s:mergeCell ref="B28550:E28550"/>
    <s:mergeCell ref="B176:E176"/>
    <s:mergeCell ref="A8239:E8239"/>
    <s:mergeCell ref="A6542:E6542"/>
    <s:mergeCell ref="A1726:E1726"/>
    <s:mergeCell ref="A8844:E8844"/>
    <s:mergeCell ref="A23148:E23148"/>
    <s:mergeCell ref="A23142:E23142"/>
    <s:mergeCell ref="A21057:E21057"/>
    <s:mergeCell ref="A8539:E8539"/>
    <s:mergeCell ref="A6842:E6842"/>
    <s:mergeCell ref="A13960:E13960"/>
    <s:mergeCell ref="A9144:E9144"/>
    <s:mergeCell ref="A14260:E14260"/>
    <s:mergeCell ref="A12175:E12175"/>
    <s:mergeCell ref="A23175:E23175"/>
    <s:mergeCell ref="A1437:E1437"/>
    <s:mergeCell ref="A12475:E12475"/>
    <s:mergeCell ref="A6770:E6770"/>
    <s:mergeCell ref="A28203:E28203"/>
    <s:mergeCell ref="A7070:E7070"/>
    <s:mergeCell ref="A30594:E30594"/>
    <s:mergeCell ref="A27987:E27987"/>
    <s:mergeCell ref="A28503:E28503"/>
    <s:mergeCell ref="A30289:E30289"/>
    <s:mergeCell ref="A28592:E28592"/>
    <s:mergeCell ref="A26507:E26507"/>
    <s:mergeCell ref="A6797:E6797"/>
    <s:mergeCell ref="A21101:E21101"/>
    <s:mergeCell ref="A28803:E28803"/>
    <s:mergeCell ref="A30589:E30589"/>
    <s:mergeCell ref="A28504:E28504"/>
    <s:mergeCell ref="A11614:E11614"/>
    <s:mergeCell ref="A21401:E21401"/>
    <s:mergeCell ref="A19316:E19316"/>
    <s:mergeCell ref="A6798:E6798"/>
    <s:mergeCell ref="A5101:E5101"/>
    <s:mergeCell ref="A26502:E26502"/>
    <s:mergeCell ref="A21102:E21102"/>
    <s:mergeCell ref="A21096:E21096"/>
    <s:mergeCell ref="A19011:E19011"/>
    <s:mergeCell ref="A6493:E6493"/>
    <s:mergeCell ref="A11914:E11914"/>
    <s:mergeCell ref="A19616:E19616"/>
    <s:mergeCell ref="A7098:E7098"/>
    <s:mergeCell ref="B29835:E29835"/>
    <s:mergeCell ref="A11609:E11609"/>
    <s:mergeCell ref="A12125:E12125"/>
    <s:mergeCell ref="A26823:E26823"/>
    <s:mergeCell ref="A28514:E28514"/>
    <s:mergeCell ref="A13911:E13911"/>
    <s:mergeCell ref="A12214:E12214"/>
    <s:mergeCell ref="A10129:E10129"/>
    <s:mergeCell ref="A12425:E12425"/>
    <s:mergeCell ref="A26729:E26729"/>
    <s:mergeCell ref="A2727:E2727"/>
    <s:mergeCell ref="A14211:E14211"/>
    <s:mergeCell ref="A10429:E10429"/>
    <s:mergeCell ref="A19632:E19632"/>
    <s:mergeCell ref="A2938:E2938"/>
    <s:mergeCell ref="A10124:E10124"/>
    <s:mergeCell ref="A19327:E19327"/>
    <s:mergeCell ref="A3027:E3027"/>
    <s:mergeCell ref="A3543:E3543"/>
    <s:mergeCell ref="A12426:E12426"/>
    <s:mergeCell ref="A17847:E17847"/>
    <s:mergeCell ref="A3238:E3238"/>
    <s:mergeCell ref="A19627:E19627"/>
    <s:mergeCell ref="A17542:E17542"/>
    <s:mergeCell ref="A3327:E3327"/>
    <s:mergeCell ref="A26457:E26457"/>
    <s:mergeCell ref="A3538:E3538"/>
    <s:mergeCell ref="A17842:E17842"/>
    <s:mergeCell ref="A10745:E10745"/>
    <s:mergeCell ref="A10351:E10351"/>
    <s:mergeCell ref="A26757:E26757"/>
    <s:mergeCell ref="B10687:E10687"/>
    <s:mergeCell ref="A19355:E19355"/>
    <s:mergeCell ref="A17270:E17270"/>
    <s:mergeCell ref="A17875:E17875"/>
    <s:mergeCell ref="A15773:E15773"/>
    <s:mergeCell ref="A3249:E3249"/>
    <s:mergeCell ref="A17570:E17570"/>
    <s:mergeCell ref="A26773:E26773"/>
    <s:mergeCell ref="A24688:E24688"/>
    <s:mergeCell ref="A8382:E8382"/>
    <s:mergeCell ref="A24777:E24777"/>
    <s:mergeCell ref="A26468:E26468"/>
    <s:mergeCell ref="A17870:E17870"/>
    <s:mergeCell ref="A24988:E24988"/>
    <s:mergeCell ref="A10379:E10379"/>
    <s:mergeCell ref="A26768:E26768"/>
    <s:mergeCell ref="A24683:E24683"/>
    <s:mergeCell ref="A30104:E30104"/>
    <s:mergeCell ref="A25288:E25288"/>
    <s:mergeCell ref="A23203:E23203"/>
    <s:mergeCell ref="A2977:E2977"/>
    <s:mergeCell ref="A10679:E10679"/>
    <s:mergeCell ref="A17281:E17281"/>
    <s:mergeCell ref="A1497:E1497"/>
    <s:mergeCell ref="A30404:E30404"/>
    <s:mergeCell ref="A28319:E28319"/>
    <s:mergeCell ref="A15801:E15801"/>
    <s:mergeCell ref="A15795:E15795"/>
    <s:mergeCell ref="A3277:E3277"/>
    <s:mergeCell ref="A1192:E1192"/>
    <s:mergeCell ref="A30105:E30105"/>
    <s:mergeCell ref="A17581:E17581"/>
    <s:mergeCell ref="A15496:E15496"/>
    <s:mergeCell ref="A1797:E1797"/>
    <s:mergeCell ref="A30316:E30316"/>
    <s:mergeCell ref="A8393:E8393"/>
    <s:mergeCell ref="A6308:E6308"/>
    <s:mergeCell ref="B1739:E1739"/>
    <s:mergeCell ref="A23219:E23219"/>
    <s:mergeCell ref="A8610:E8610"/>
    <s:mergeCell ref="A6913:E6913"/>
    <s:mergeCell ref="A15796:E15796"/>
    <s:mergeCell ref="A22914:E22914"/>
    <s:mergeCell ref="A30616:E30616"/>
    <s:mergeCell ref="A8699:E8699"/>
    <s:mergeCell ref="A6614:E6614"/>
    <s:mergeCell ref="A9215:E9215"/>
    <s:mergeCell ref="A10390:E10390"/>
    <s:mergeCell ref="A6608:E6608"/>
    <s:mergeCell ref="A8910:E8910"/>
    <s:mergeCell ref="B2239:E2239"/>
    <s:mergeCell ref="A23214:E23214"/>
    <s:mergeCell ref="B10937:E10937"/>
    <s:mergeCell ref="A6908:E6908"/>
    <s:mergeCell ref="A3749:E3749"/>
    <s:mergeCell ref="A24727:E24727"/>
    <s:mergeCell ref="B2055:E2055"/>
    <s:mergeCell ref="A22642:E22642"/>
    <s:mergeCell ref="A4055:E4055"/>
    <s:mergeCell ref="A1964:E1964"/>
    <s:mergeCell ref="A3750:E3750"/>
    <s:mergeCell ref="A3744:E3744"/>
    <s:mergeCell ref="A22942:E22942"/>
    <s:mergeCell ref="A4050:E4050"/>
    <s:mergeCell ref="A28058:E28058"/>
    <s:mergeCell ref="A23242:E23242"/>
    <s:mergeCell ref="A14054:E14054"/>
    <s:mergeCell ref="B19901:E19901"/>
    <s:mergeCell ref="A28358:E28358"/>
    <s:mergeCell ref="A30660:E30660"/>
    <s:mergeCell ref="A28575:E28575"/>
    <s:mergeCell ref="A28569:E28569"/>
    <s:mergeCell ref="A30355:E30355"/>
    <s:mergeCell ref="A26573:E26573"/>
    <s:mergeCell ref="A28570:E28570"/>
    <s:mergeCell ref="A21473:E21473"/>
    <s:mergeCell ref="A23714:E23714"/>
    <s:mergeCell ref="A11196:E11196"/>
    <s:mergeCell ref="A9105:E9105"/>
    <s:mergeCell ref="B4519:E4519"/>
    <s:mergeCell ref="A23409:E23409"/>
    <s:mergeCell ref="A10891:E10891"/>
    <s:mergeCell ref="A9194:E9194"/>
    <s:mergeCell ref="A9710:E9710"/>
    <s:mergeCell ref="A24014:E24014"/>
    <s:mergeCell ref="A11496:E11496"/>
    <s:mergeCell ref="A21468:E21468"/>
    <s:mergeCell ref="B21709:E21709"/>
    <s:mergeCell ref="A23709:E23709"/>
    <s:mergeCell ref="A11191:E11191"/>
    <s:mergeCell ref="A16612:E16612"/>
    <s:mergeCell ref="A14527:E14527"/>
    <s:mergeCell ref="A2009:E2009"/>
    <s:mergeCell ref="A3700:E3700"/>
    <s:mergeCell ref="A2003:E2003"/>
    <s:mergeCell ref="A9121:E9121"/>
    <s:mergeCell ref="A523:E523"/>
    <s:mergeCell ref="A9406:E9406"/>
    <s:mergeCell ref="A2214:E2214"/>
    <s:mergeCell ref="A18609:E18609"/>
    <s:mergeCell ref="A16524:E16524"/>
    <s:mergeCell ref="A14827:E14827"/>
    <s:mergeCell ref="A16518:E16518"/>
    <s:mergeCell ref="A4000:E4000"/>
    <s:mergeCell ref="A1915:E1915"/>
    <s:mergeCell ref="A218:E218"/>
    <s:mergeCell ref="A9421:E9421"/>
    <s:mergeCell ref="A7336:E7336"/>
    <s:mergeCell ref="A7031:E7031"/>
    <s:mergeCell ref="A7636:E7636"/>
    <s:mergeCell ref="A7331:E7331"/>
    <s:mergeCell ref="A234:E234"/>
    <s:mergeCell ref="A7936:E7936"/>
    <s:mergeCell ref="A23453:E23453"/>
    <s:mergeCell ref="A229:E229"/>
    <s:mergeCell ref="A23753:E23753"/>
    <s:mergeCell ref="A21668:E21668"/>
    <s:mergeCell ref="A9150:E9150"/>
    <s:mergeCell ref="A446:E446"/>
    <s:mergeCell ref="B29600:E29600"/>
    <s:mergeCell ref="A7059:E7059"/>
    <s:mergeCell ref="A14750:E14750"/>
    <s:mergeCell ref="A23448:E23448"/>
    <s:mergeCell ref="A21363:E21363"/>
    <s:mergeCell ref="A7664:E7664"/>
    <s:mergeCell ref="A5562:E5562"/>
    <s:mergeCell ref="A21968:E21968"/>
    <s:mergeCell ref="A9450:E9450"/>
    <s:mergeCell ref="A7365:E7365"/>
    <s:mergeCell ref="A7359:E7359"/>
    <s:mergeCell ref="A21663:E21663"/>
    <s:mergeCell ref="A28781:E28781"/>
    <s:mergeCell ref="A14566:E14566"/>
    <s:mergeCell ref="A5862:E5862"/>
    <s:mergeCell ref="A12481:E12481"/>
    <s:mergeCell ref="A22268:E22268"/>
    <s:mergeCell ref="A29386:E29386"/>
    <s:mergeCell ref="A14783:E14783"/>
    <s:mergeCell ref="A14777:E14777"/>
    <s:mergeCell ref="A29081:E29081"/>
    <s:mergeCell ref="A6162:E6162"/>
    <s:mergeCell ref="A12781:E12781"/>
    <s:mergeCell ref="A7375:E7375"/>
    <s:mergeCell ref="A5290:E5290"/>
    <s:mergeCell ref="A15077:E15077"/>
    <s:mergeCell ref="A29381:E29381"/>
    <s:mergeCell ref="A27296:E27296"/>
    <s:mergeCell ref="A16863:E16863"/>
    <s:mergeCell ref="A20199:E20199"/>
    <s:mergeCell ref="A20193:E20193"/>
    <s:mergeCell ref="A18108:E18108"/>
    <s:mergeCell ref="A5590:E5590"/>
    <s:mergeCell ref="A21979:E21979"/>
    <s:mergeCell ref="A19894:E19894"/>
    <s:mergeCell ref="A7370:E7370"/>
    <s:mergeCell ref="A5285:E5285"/>
    <s:mergeCell ref="A22196:E22196"/>
    <s:mergeCell ref="A30894:E30894"/>
    <s:mergeCell ref="A22190:E22190"/>
    <s:mergeCell ref="A20105:E20105"/>
    <s:mergeCell ref="A28809:E28809"/>
    <s:mergeCell ref="A5890:E5890"/>
    <s:mergeCell ref="B22526:E22526"/>
    <s:mergeCell ref="A13008:E13008"/>
    <s:mergeCell ref="A20194:E20194"/>
    <s:mergeCell ref="A25221:E25221"/>
    <s:mergeCell ref="B20652:E20652"/>
    <s:mergeCell ref="A12703:E12703"/>
    <s:mergeCell ref="A29109:E29109"/>
    <s:mergeCell ref="B6437:E6437"/>
    <s:mergeCell ref="A13308:E13308"/>
    <s:mergeCell ref="A11223:E11223"/>
    <s:mergeCell ref="A29409:E29409"/>
    <s:mergeCell ref="A485:E485"/>
    <s:mergeCell ref="B13855:E13855"/>
    <s:mergeCell ref="A3821:E3821"/>
    <s:mergeCell ref="A3815:E3815"/>
    <s:mergeCell ref="A1730:E1730"/>
    <s:mergeCell ref="A3516:E3516"/>
    <s:mergeCell ref="A11218:E11218"/>
    <s:mergeCell ref="A4121:E4121"/>
    <s:mergeCell ref="A5812:E5812"/>
    <s:mergeCell ref="B11765:E11765"/>
    <s:mergeCell ref="A3816:E3816"/>
    <s:mergeCell ref="A27340:E27340"/>
    <s:mergeCell ref="A12731:E12731"/>
    <s:mergeCell ref="A29120:E29120"/>
    <s:mergeCell ref="A27035:E27035"/>
    <s:mergeCell ref="A4116:E4116"/>
    <s:mergeCell ref="A2031:E2031"/>
    <s:mergeCell ref="A27640:E27640"/>
    <s:mergeCell ref="A25555:E25555"/>
    <s:mergeCell ref="A13031:E13031"/>
    <s:mergeCell ref="A27335:E27335"/>
    <s:mergeCell ref="A18153:E18153"/>
    <s:mergeCell ref="A9449:E9449"/>
    <s:mergeCell ref="A18147:E18147"/>
    <s:mergeCell ref="A16062:E16062"/>
    <s:mergeCell ref="A25550:E25550"/>
    <s:mergeCell ref="A4149:E4149"/>
    <s:mergeCell ref="A25565:E25565"/>
    <s:mergeCell ref="A23480:E23480"/>
    <s:mergeCell ref="A10962:E10962"/>
    <s:mergeCell ref="A18664:E18664"/>
    <s:mergeCell ref="A10657:E10657"/>
    <s:mergeCell ref="A25477:E25477"/>
    <s:mergeCell ref="A23780:E23780"/>
    <s:mergeCell ref="A11262:E11262"/>
    <s:mergeCell ref="A23475:E23475"/>
    <s:mergeCell ref="A10957:E10957"/>
    <s:mergeCell ref="A16378:E16378"/>
    <s:mergeCell ref="A25777:E25777"/>
    <s:mergeCell ref="A24080:E24080"/>
    <s:mergeCell ref="A1775:E1775"/>
    <s:mergeCell ref="A9477:E9477"/>
    <s:mergeCell ref="A18680:E18680"/>
    <s:mergeCell ref="A16595:E16595"/>
    <s:mergeCell ref="A23775:E23775"/>
    <s:mergeCell ref="A9172:E9172"/>
    <s:mergeCell ref="A30893:E30893"/>
    <s:mergeCell ref="A18375:E18375"/>
    <s:mergeCell ref="A26077:E26077"/>
    <s:mergeCell ref="A2075:E2075"/>
    <s:mergeCell ref="A16379:E16379"/>
    <s:mergeCell ref="A16889:E16889"/>
    <s:mergeCell ref="A31193:E31193"/>
    <s:mergeCell ref="A29108:E29108"/>
    <s:mergeCell ref="A18675:E18675"/>
    <s:mergeCell ref="A16590:E16590"/>
    <s:mergeCell ref="A14893:E14893"/>
    <s:mergeCell ref="A23791:E23791"/>
    <s:mergeCell ref="A13514:E13514"/>
    <s:mergeCell ref="A11429:E11429"/>
    <s:mergeCell ref="A16890:E16890"/>
    <s:mergeCell ref="A11729:E11729"/>
    <s:mergeCell ref="A30927:E30927"/>
    <s:mergeCell ref="B7944:E7944"/>
    <s:mergeCell ref="A12029:E12029"/>
    <s:mergeCell ref="A23519:E23519"/>
    <s:mergeCell ref="A21434:E21434"/>
    <s:mergeCell ref="A31221:E31221"/>
    <s:mergeCell ref="A11730:E11730"/>
    <s:mergeCell ref="B24550:E24550"/>
    <s:mergeCell ref="B542:E542"/>
    <s:mergeCell ref="B15368:E15368"/>
    <s:mergeCell ref="B31768:E31768"/>
    <s:mergeCell ref="A21734:E21734"/>
    <s:mergeCell ref="A22034:E22034"/>
    <s:mergeCell ref="A18875:E18875"/>
    <s:mergeCell ref="A30932:E30932"/>
    <s:mergeCell ref="A4355:E4355"/>
    <s:mergeCell ref="A2270:E2270"/>
    <s:mergeCell ref="A29452:E29452"/>
    <s:mergeCell ref="A19175:E19175"/>
    <s:mergeCell ref="A17090:E17090"/>
    <s:mergeCell ref="A18876:E18876"/>
    <s:mergeCell ref="A18870:E18870"/>
    <s:mergeCell ref="A6352:E6352"/>
    <s:mergeCell ref="A4267:E4267"/>
    <s:mergeCell ref="A2570:E2570"/>
    <s:mergeCell ref="A17390:E17390"/>
    <s:mergeCell ref="A29447:E29447"/>
    <s:mergeCell ref="A9383:E9383"/>
    <s:mergeCell ref="A19170:E19170"/>
    <s:mergeCell ref="A17085:E17085"/>
    <s:mergeCell ref="A4567:E4567"/>
    <s:mergeCell ref="A2870:E2870"/>
    <s:mergeCell ref="A11685:E11685"/>
    <s:mergeCell ref="A9988:E9988"/>
    <s:mergeCell ref="A9683:E9683"/>
    <s:mergeCell ref="A11985:E11985"/>
    <s:mergeCell ref="A8203:E8203"/>
    <s:mergeCell ref="A11979:E11979"/>
    <s:mergeCell ref="A9894:E9894"/>
    <s:mergeCell ref="A2797:E2797"/>
    <s:mergeCell ref="A9983:E9983"/>
    <s:mergeCell ref="A17101:E17101"/>
    <s:mergeCell ref="A801:E801"/>
    <s:mergeCell ref="B6503:E6503"/>
    <s:mergeCell ref="A10200:E10200"/>
    <s:mergeCell ref="B10441:E10441"/>
    <s:mergeCell ref="A16796:E16796"/>
    <s:mergeCell ref="A2581:E2581"/>
    <s:mergeCell ref="A1012:E1012"/>
    <s:mergeCell ref="A3097:E3097"/>
    <s:mergeCell ref="A17401:E17401"/>
    <s:mergeCell ref="A15316:E15316"/>
    <s:mergeCell ref="A2798:E2798"/>
    <s:mergeCell ref="A1101:E1101"/>
    <s:mergeCell ref="A2792:E2792"/>
    <s:mergeCell ref="A707:E707"/>
    <s:mergeCell ref="A1312:E1312"/>
    <s:mergeCell ref="A7914:E7914"/>
    <s:mergeCell ref="A15616:E15616"/>
    <s:mergeCell ref="A16829:E16829"/>
    <s:mergeCell ref="A24531:E24531"/>
    <s:mergeCell ref="A31133:E31133"/>
    <s:mergeCell ref="A8214:E8214"/>
    <s:mergeCell ref="A24226:E24226"/>
    <s:mergeCell ref="A29647:E29647"/>
    <s:mergeCell ref="A723:E723"/>
    <s:mergeCell ref="A17129:E17129"/>
    <s:mergeCell ref="A16824:E16824"/>
    <s:mergeCell ref="B27953:E27953"/>
    <s:mergeCell ref="B1270:E1270"/>
    <s:mergeCell ref="A31644:E31644"/>
    <s:mergeCell ref="A1023:E1023"/>
    <s:mergeCell ref="A17429:E17429"/>
    <s:mergeCell ref="A15344:E15344"/>
    <s:mergeCell ref="A31733:E31733"/>
    <s:mergeCell ref="A29648:E29648"/>
    <s:mergeCell ref="B6976:E6976"/>
    <s:mergeCell ref="A17124:E17124"/>
    <s:mergeCell ref="A15039:E15039"/>
    <s:mergeCell ref="A24242:E24242"/>
    <s:mergeCell ref="A22545:E22545"/>
    <s:mergeCell ref="A20460:E20460"/>
    <s:mergeCell ref="A1323:E1323"/>
    <s:mergeCell ref="A7942:E7942"/>
    <s:mergeCell ref="A22762:E22762"/>
    <s:mergeCell ref="A29948:E29948"/>
    <s:mergeCell ref="B1265:E1265"/>
    <s:mergeCell ref="A20760:E20760"/>
    <s:mergeCell ref="A8242:E8242"/>
    <s:mergeCell ref="B16174:E16174"/>
    <s:mergeCell ref="A23062:E23062"/>
    <s:mergeCell ref="A751:E751"/>
    <s:mergeCell ref="A27573:E27573"/>
    <s:mergeCell ref="A15055:E15055"/>
    <s:mergeCell ref="A22757:E22757"/>
    <s:mergeCell ref="A28178:E28178"/>
    <s:mergeCell ref="A15660:E15660"/>
    <s:mergeCell ref="A13575:E13575"/>
    <s:mergeCell ref="A1051:E1051"/>
    <s:mergeCell ref="A15355:E15355"/>
    <s:mergeCell ref="A23057:E23057"/>
    <s:mergeCell ref="A752:E752"/>
    <s:mergeCell ref="A746:E746"/>
    <s:mergeCell ref="A6167:E6167"/>
    <s:mergeCell ref="A4082:E4082"/>
    <s:mergeCell ref="A15566:E15566"/>
    <s:mergeCell ref="B7198:E7198"/>
    <s:mergeCell ref="A6384:E6384"/>
    <s:mergeCell ref="A8469:E8469"/>
    <s:mergeCell ref="A15655:E15655"/>
    <s:mergeCell ref="A27874:E27874"/>
    <s:mergeCell ref="A6473:E6473"/>
    <s:mergeCell ref="A8164:E8164"/>
    <s:mergeCell ref="A4382:E4382"/>
    <s:mergeCell ref="A6168:E6168"/>
    <s:mergeCell ref="A6684:E6684"/>
    <s:mergeCell ref="A20988:E20988"/>
    <s:mergeCell ref="A20982:E20982"/>
    <s:mergeCell ref="A6379:E6379"/>
    <s:mergeCell ref="A4682:E4682"/>
    <s:mergeCell ref="A11800:E11800"/>
    <s:mergeCell ref="A6468:E6468"/>
    <s:mergeCell ref="A29992:E29992"/>
    <s:mergeCell ref="A27907:E27907"/>
    <s:mergeCell ref="A11495:E11495"/>
    <s:mergeCell ref="A27901:E27901"/>
    <s:mergeCell ref="A6679:E6679"/>
    <s:mergeCell ref="B23315:E23315"/>
    <s:mergeCell ref="A12100:E12100"/>
    <s:mergeCell ref="A10015:E10015"/>
    <s:mergeCell ref="A11801:E11801"/>
    <s:mergeCell ref="A11795:E11795"/>
    <s:mergeCell ref="A22496:E22496"/>
    <s:mergeCell ref="A12095:E12095"/>
    <s:mergeCell ref="A21016:E21016"/>
    <s:mergeCell ref="A22796:E22796"/>
    <s:mergeCell ref="A20711:E20711"/>
    <s:mergeCell ref="A27829:E27829"/>
    <s:mergeCell ref="A26132:E26132"/>
    <s:mergeCell ref="A13614:E13614"/>
    <s:mergeCell ref="A4910:E4910"/>
    <s:mergeCell ref="A11523:E11523"/>
    <s:mergeCell ref="A19214:E19214"/>
    <s:mergeCell ref="B19455:E19455"/>
    <s:mergeCell ref="A27912:E27912"/>
    <s:mergeCell ref="A25827:E25827"/>
    <s:mergeCell ref="A28129:E28129"/>
    <s:mergeCell ref="A24347:E24347"/>
    <s:mergeCell ref="A18941:E18941"/>
    <s:mergeCell ref="A26127:E26127"/>
    <s:mergeCell ref="A28429:E28429"/>
    <s:mergeCell ref="A26344:E26344"/>
    <s:mergeCell ref="A6118:E6118"/>
    <s:mergeCell ref="A19241:E19241"/>
    <s:mergeCell ref="A17156:E17156"/>
    <s:mergeCell ref="A26427:E26427"/>
    <s:mergeCell ref="A31460:E31460"/>
    <s:mergeCell ref="A21027:E21027"/>
    <s:mergeCell ref="A18942:E18942"/>
    <s:mergeCell ref="A18936:E18936"/>
    <s:mergeCell ref="A6418:E6418"/>
    <s:mergeCell ref="B19788:E19788"/>
    <s:mergeCell ref="A9754:E9754"/>
    <s:mergeCell ref="A31760:E31760"/>
    <s:mergeCell ref="A19242:E19242"/>
    <s:mergeCell ref="A26354:E26354"/>
    <s:mergeCell ref="A24269:E24269"/>
    <s:mergeCell ref="A10054:E10054"/>
    <s:mergeCell ref="B19789:E19789"/>
    <s:mergeCell ref="A9749:E9749"/>
    <s:mergeCell ref="A24569:E24569"/>
    <s:mergeCell ref="A12051:E12051"/>
    <s:mergeCell ref="A10049:E10049"/>
    <s:mergeCell ref="A24869:E24869"/>
    <s:mergeCell ref="A12351:E12351"/>
    <s:mergeCell ref="A5105:E5105"/>
    <s:mergeCell ref="A6891:E6891"/>
    <s:mergeCell ref="A5405:E5405"/>
    <s:mergeCell ref="A16895:E16895"/>
    <s:mergeCell ref="A31199:E31199"/>
    <s:mergeCell ref="A17201:E17201"/>
    <s:mergeCell ref="A17195:E17195"/>
    <s:mergeCell ref="A4833:E4833"/>
    <s:mergeCell ref="A30019:E30019"/>
    <s:mergeCell ref="A31710:E31710"/>
    <s:mergeCell ref="A29714:E29714"/>
    <s:mergeCell ref="A14336:E14336"/>
    <s:mergeCell ref="A5116:E5116"/>
    <s:mergeCell ref="A30014:E30014"/>
    <s:mergeCell ref="A12551:E12551"/>
    <s:mergeCell ref="A24614:E24614"/>
    <s:mergeCell ref="A26855:E26855"/>
    <s:mergeCell ref="A14337:E14337"/>
    <s:mergeCell ref="A12246:E12246"/>
    <s:mergeCell ref="A26550:E26550"/>
    <s:mergeCell ref="A14032:E14032"/>
    <s:mergeCell ref="A12851:E12851"/>
    <s:mergeCell ref="A14637:E14637"/>
    <s:mergeCell ref="A12552:E12552"/>
    <s:mergeCell ref="A12546:E12546"/>
    <s:mergeCell ref="A17967:E17967"/>
    <s:mergeCell ref="A5449:E5449"/>
    <s:mergeCell ref="A3364:E3364"/>
    <s:mergeCell ref="A19753:E19753"/>
    <s:mergeCell ref="A17668:E17668"/>
    <s:mergeCell ref="A5144:E5144"/>
    <s:mergeCell ref="A3059:E3059"/>
    <s:mergeCell ref="A19448:E19448"/>
    <s:mergeCell ref="A3664:E3664"/>
    <s:mergeCell ref="B28486:E28486"/>
    <s:mergeCell ref="A17968:E17968"/>
    <s:mergeCell ref="A17962:E17962"/>
    <s:mergeCell ref="A3359:E3359"/>
    <s:mergeCell ref="A12562:E12562"/>
    <s:mergeCell ref="A10477:E10477"/>
    <s:mergeCell ref="A3964:E3964"/>
    <s:mergeCell ref="A10777:E10777"/>
    <s:mergeCell ref="A25081:E25081"/>
    <s:mergeCell ref="A1589:E1589"/>
    <s:mergeCell ref="A11077:E11077"/>
    <s:mergeCell ref="A8992:E8992"/>
    <s:mergeCell ref="A17696:E17696"/>
    <s:mergeCell ref="A25381:E25381"/>
    <s:mergeCell ref="A3070:E3070"/>
    <s:mergeCell ref="A3675:E3675"/>
    <s:mergeCell ref="A1590:E1590"/>
    <s:mergeCell ref="A17996:E17996"/>
    <s:mergeCell ref="B18437:E18437"/>
    <s:mergeCell ref="A26894:E26894"/>
    <s:mergeCell ref="A24809:E24809"/>
    <s:mergeCell ref="A23112:E23112"/>
    <s:mergeCell ref="A1890:E1890"/>
    <s:mergeCell ref="B16441:E16441"/>
    <s:mergeCell ref="A25414:E25414"/>
    <s:mergeCell ref="A3103:E3103"/>
    <s:mergeCell ref="A8703:E8703"/>
    <s:mergeCell ref="A25109:E25109"/>
    <s:mergeCell ref="A10500:E10500"/>
    <s:mergeCell ref="B16741:E16741"/>
    <s:mergeCell ref="A15921:E15921"/>
    <s:mergeCell ref="A3403:E3403"/>
    <s:mergeCell ref="A1318:E1318"/>
    <s:mergeCell ref="A9003:E9003"/>
    <s:mergeCell ref="A25409:E25409"/>
    <s:mergeCell ref="A30436:E30436"/>
    <s:mergeCell ref="A17918:E17918"/>
    <s:mergeCell ref="A16221:E16221"/>
    <s:mergeCell ref="A15916:E15916"/>
    <s:mergeCell ref="B362:E362"/>
    <s:mergeCell ref="A6734:E6734"/>
    <s:mergeCell ref="A16133:E16133"/>
    <s:mergeCell ref="A18218:E18218"/>
    <s:mergeCell ref="A1918:E1918"/>
    <s:mergeCell ref="A21554:E21554"/>
    <s:mergeCell ref="A21249:E21249"/>
    <s:mergeCell ref="A8731:E8731"/>
    <s:mergeCell ref="A7034:E7034"/>
    <s:mergeCell ref="A23035:E23035"/>
    <s:mergeCell ref="A21854:E21854"/>
    <s:mergeCell ref="A9336:E9336"/>
    <s:mergeCell ref="A7251:E7251"/>
    <s:mergeCell ref="A15932:E15932"/>
    <s:mergeCell ref="A13847:E13847"/>
    <s:mergeCell ref="A16149:E16149"/>
    <s:mergeCell ref="A14452:E14452"/>
    <s:mergeCell ref="A14153:E14153"/>
    <s:mergeCell ref="A15844:E15844"/>
    <s:mergeCell ref="A14147:E14147"/>
    <s:mergeCell ref="A1629:E1629"/>
    <s:mergeCell ref="A9331:E9331"/>
    <s:mergeCell ref="A14364:E14364"/>
    <s:mergeCell ref="A12667:E12667"/>
    <s:mergeCell ref="A14358:E14358"/>
    <s:mergeCell ref="A30753:E30753"/>
    <s:mergeCell ref="A7261:E7261"/>
    <s:mergeCell ref="A5176:E5176"/>
    <s:mergeCell ref="A14447:E14447"/>
    <s:mergeCell ref="A21565:E21565"/>
    <s:mergeCell ref="A19480:E19480"/>
    <s:mergeCell ref="A6962:E6962"/>
    <s:mergeCell ref="A23368:E23368"/>
    <s:mergeCell ref="A14664:E14664"/>
    <s:mergeCell ref="A55:E55"/>
    <s:mergeCell ref="A5476:E5476"/>
    <s:mergeCell ref="A19780:E19780"/>
    <s:mergeCell ref="A7262:E7262"/>
    <s:mergeCell ref="A28695:E28695"/>
    <s:mergeCell ref="A30481:E30481"/>
    <s:mergeCell ref="A28784:E28784"/>
    <s:mergeCell ref="A28995:E28995"/>
    <s:mergeCell ref="A30781:E30781"/>
    <s:mergeCell ref="A21593:E21593"/>
    <s:mergeCell ref="A19508:E19508"/>
    <s:mergeCell ref="B27440:E27440"/>
    <s:mergeCell ref="A14675:E14675"/>
    <s:mergeCell ref="A21294:E21294"/>
    <s:mergeCell ref="A21288:E21288"/>
    <s:mergeCell ref="A19808:E19808"/>
    <s:mergeCell ref="B13131:E13131"/>
    <s:mergeCell ref="A12317:E12317"/>
    <s:mergeCell ref="A19503:E19503"/>
    <s:mergeCell ref="A28706:E28706"/>
    <s:mergeCell ref="A26621:E26621"/>
    <s:mergeCell ref="A12406:E12406"/>
    <s:mergeCell ref="A27226:E27226"/>
    <s:mergeCell ref="A12617:E12617"/>
    <s:mergeCell ref="A26921:E26921"/>
    <s:mergeCell ref="A27526:E27526"/>
    <s:mergeCell ref="A5215:E5215"/>
    <s:mergeCell ref="A19519:E19519"/>
    <s:mergeCell ref="A27221:E27221"/>
    <s:mergeCell ref="A14703:E14703"/>
    <s:mergeCell ref="A12618:E12618"/>
    <s:mergeCell ref="A29007:E29007"/>
    <s:mergeCell ref="A19730:E19730"/>
    <s:mergeCell ref="A19819:E19819"/>
    <s:mergeCell ref="A5216:E5216"/>
    <s:mergeCell ref="A5210:E5210"/>
    <s:mergeCell ref="A20036:E20036"/>
    <s:mergeCell ref="A20030:E20030"/>
    <s:mergeCell ref="A14570:E14570"/>
    <s:mergeCell ref="A572:E572"/>
    <s:mergeCell ref="A566:E566"/>
    <s:mergeCell ref="A14870:E14870"/>
    <s:mergeCell ref="A5688:E5688"/>
    <s:mergeCell ref="A866:E866"/>
    <s:mergeCell ref="A13085:E13085"/>
    <s:mergeCell ref="A26660:E26660"/>
    <s:mergeCell ref="A25180:E25180"/>
    <s:mergeCell ref="B18503:E18503"/>
    <s:mergeCell ref="A26960:E26960"/>
    <s:mergeCell ref="A24875:E24875"/>
    <s:mergeCell ref="A7985:E7985"/>
    <s:mergeCell ref="A6288:E6288"/>
    <s:mergeCell ref="A25480:E25480"/>
    <s:mergeCell ref="A23395:E23395"/>
    <s:mergeCell ref="A25175:E25175"/>
    <s:mergeCell ref="A30596:E30596"/>
    <s:mergeCell ref="B16807:E16807"/>
    <s:mergeCell ref="A18078:E18078"/>
    <s:mergeCell ref="A22016:E22016"/>
    <s:mergeCell ref="A30297:E30297"/>
    <s:mergeCell ref="A25475:E25475"/>
    <s:mergeCell ref="A22316:E22316"/>
    <s:mergeCell ref="A18534:E18534"/>
    <s:mergeCell ref="A6016:E6016"/>
    <s:mergeCell ref="A13701:E13701"/>
    <s:mergeCell ref="A22011:E22011"/>
    <s:mergeCell ref="A610:E610"/>
    <s:mergeCell ref="A20314:E20314"/>
    <s:mergeCell ref="A12829:E12829"/>
    <s:mergeCell ref="A22616:E22616"/>
    <s:mergeCell ref="A20531:E20531"/>
    <s:mergeCell ref="A6316:E6316"/>
    <s:mergeCell ref="A11343:E11343"/>
    <s:mergeCell ref="A27732:E27732"/>
    <s:mergeCell ref="A25647:E25647"/>
    <s:mergeCell ref="A13129:E13129"/>
    <s:mergeCell ref="A20831:E20831"/>
    <s:mergeCell ref="A27433:E27433"/>
    <s:mergeCell ref="A14909:E14909"/>
    <s:mergeCell ref="A12824:E12824"/>
    <s:mergeCell ref="A25947:E25947"/>
    <s:mergeCell ref="A13429:E13429"/>
    <s:mergeCell ref="A11344:E11344"/>
    <s:mergeCell ref="A911:E911"/>
    <s:mergeCell ref="A27733:E27733"/>
    <s:mergeCell ref="A5938:E5938"/>
    <s:mergeCell ref="A4241:E4241"/>
    <s:mergeCell ref="A2156:E2156"/>
    <s:mergeCell ref="A3942:E3942"/>
    <s:mergeCell ref="A1851:E1851"/>
    <s:mergeCell ref="A6238:E6238"/>
    <s:mergeCell ref="A4153:E4153"/>
    <s:mergeCell ref="A4242:E4242"/>
    <s:mergeCell ref="A11354:E11354"/>
    <s:mergeCell ref="A9269:E9269"/>
    <s:mergeCell ref="A25675:E25675"/>
    <s:mergeCell ref="A4453:E4453"/>
    <s:mergeCell ref="A18757:E18757"/>
    <s:mergeCell ref="A11660:E11660"/>
    <s:mergeCell ref="A9569:E9569"/>
    <s:mergeCell ref="A4753:E4753"/>
    <s:mergeCell ref="A11355:E11355"/>
    <s:mergeCell ref="A20270:E20270"/>
    <s:mergeCell ref="A18573:E18573"/>
    <s:mergeCell ref="A9869:E9869"/>
    <s:mergeCell ref="A16488:E16488"/>
    <s:mergeCell ref="A11655:E11655"/>
    <s:mergeCell ref="A9570:E9570"/>
    <s:mergeCell ref="B12113:E12113"/>
    <s:mergeCell ref="A4164:E4164"/>
    <s:mergeCell ref="A20570:E20570"/>
    <s:mergeCell ref="A18485:E18485"/>
    <s:mergeCell ref="B5016:E5016"/>
    <s:mergeCell ref="A9297:E9297"/>
    <s:mergeCell ref="B17229:E17229"/>
    <s:mergeCell ref="A25686:E25686"/>
    <s:mergeCell ref="A23601:E23601"/>
    <s:mergeCell ref="A11083:E11083"/>
    <s:mergeCell ref="A2379:E2379"/>
    <s:mergeCell ref="A18785:E18785"/>
    <s:mergeCell ref="A25903:E25903"/>
    <s:mergeCell ref="A24206:E24206"/>
    <s:mergeCell ref="A11688:E11688"/>
    <s:mergeCell ref="A16199:E16199"/>
    <s:mergeCell ref="A27683:E27683"/>
    <s:mergeCell ref="A23901:E23901"/>
    <s:mergeCell ref="A31019:E31019"/>
    <s:mergeCell ref="A26203:E26203"/>
    <s:mergeCell ref="A2195:E2195"/>
    <s:mergeCell ref="A110:E110"/>
    <s:mergeCell ref="A16499:E16499"/>
    <s:mergeCell ref="A24201:E24201"/>
    <s:mergeCell ref="A31319:E31319"/>
    <s:mergeCell ref="A18801:E18801"/>
    <s:mergeCell ref="A16710:E16710"/>
    <s:mergeCell ref="A410:E410"/>
    <s:mergeCell ref="A31014:E31014"/>
    <s:mergeCell ref="A18496:E18496"/>
    <s:mergeCell ref="A31619:E31619"/>
    <s:mergeCell ref="A29534:E29534"/>
    <s:mergeCell ref="A17010:E17010"/>
    <s:mergeCell ref="A2407:E2407"/>
    <s:mergeCell ref="B31561:E31561"/>
    <s:mergeCell ref="B19043:E19043"/>
    <s:mergeCell ref="A7828:E7828"/>
    <s:mergeCell ref="A16711:E16711"/>
    <s:mergeCell ref="A11305:E11305"/>
    <s:mergeCell ref="A7523:E7523"/>
    <s:mergeCell ref="A2707:E2707"/>
    <s:mergeCell ref="A14641:E14641"/>
    <s:mergeCell ref="B29776:E29776"/>
    <s:mergeCell ref="A8128:E8128"/>
    <s:mergeCell ref="A22432:E22432"/>
    <s:mergeCell ref="A121:E121"/>
    <s:mergeCell ref="A637:E637"/>
    <s:mergeCell ref="A7823:E7823"/>
    <s:mergeCell ref="A14941:E14941"/>
    <s:mergeCell ref="A31347:E31347"/>
    <s:mergeCell ref="A8040:E8040"/>
    <s:mergeCell ref="A24429:E24429"/>
    <s:mergeCell ref="A31042:E31042"/>
    <s:mergeCell ref="A421:E421"/>
    <s:mergeCell ref="A937:E937"/>
    <s:mergeCell ref="A15241:E15241"/>
    <s:mergeCell ref="A13156:E13156"/>
    <s:mergeCell ref="A2723:E2723"/>
    <s:mergeCell ref="A638:E638"/>
    <s:mergeCell ref="A632:E632"/>
    <s:mergeCell ref="A31342:E31342"/>
    <s:mergeCell ref="A5754:E5754"/>
    <s:mergeCell ref="A22160:E22160"/>
    <s:mergeCell ref="A13456:E13456"/>
    <s:mergeCell ref="A7534:E7534"/>
    <s:mergeCell ref="A28973:E28973"/>
    <s:mergeCell ref="A6054:E6054"/>
    <s:mergeCell ref="B1485:E1485"/>
    <s:mergeCell ref="A14969:E14969"/>
    <s:mergeCell ref="A29273:E29273"/>
    <s:mergeCell ref="A8051:E8051"/>
    <s:mergeCell ref="A6354:E6354"/>
    <s:mergeCell ref="A28968:E28968"/>
    <s:mergeCell ref="A15269:E15269"/>
    <s:mergeCell ref="A29573:E29573"/>
    <s:mergeCell ref="A27488:E27488"/>
    <s:mergeCell ref="A14970:E14970"/>
    <s:mergeCell ref="A14964:E14964"/>
    <s:mergeCell ref="A22082:E22082"/>
    <s:mergeCell ref="A20385:E20385"/>
    <s:mergeCell ref="A5782:E5782"/>
    <s:mergeCell ref="A22171:E22171"/>
    <s:mergeCell ref="A20086:E20086"/>
    <s:mergeCell ref="A20602:E20602"/>
    <s:mergeCell ref="A3190:E3190"/>
    <s:mergeCell ref="A22382:E22382"/>
    <s:mergeCell ref="A20297:E20297"/>
    <s:mergeCell ref="A6082:E6082"/>
    <s:mergeCell ref="A22083:E22083"/>
    <s:mergeCell ref="A20386:E20386"/>
    <s:mergeCell ref="A20902:E20902"/>
    <s:mergeCell ref="A27504:E27504"/>
    <s:mergeCell ref="A14980:E14980"/>
    <s:mergeCell ref="A12895:E12895"/>
    <s:mergeCell ref="A20597:E20597"/>
    <s:mergeCell ref="A27199:E27199"/>
    <s:mergeCell ref="A22383:E22383"/>
    <s:mergeCell ref="A27804:E27804"/>
    <s:mergeCell ref="B15527:E15527"/>
    <s:mergeCell ref="A29495:E29495"/>
    <s:mergeCell ref="A25713:E25713"/>
    <s:mergeCell ref="A13195:E13195"/>
    <s:mergeCell ref="A27499:E27499"/>
    <s:mergeCell ref="A1438:E1438"/>
    <s:mergeCell ref="A13495:E13495"/>
    <s:mergeCell ref="A1133:E1133"/>
    <s:mergeCell ref="A27799:E27799"/>
    <s:mergeCell ref="A18617:E18617"/>
    <s:mergeCell ref="A8340:E8340"/>
    <s:mergeCell ref="B21160:E21160"/>
    <s:mergeCell ref="A22855:E22855"/>
    <s:mergeCell ref="A8640:E8640"/>
    <s:mergeCell ref="A10331:E10331"/>
    <s:mergeCell ref="A8246:E8246"/>
    <s:mergeCell ref="A27832:E27832"/>
    <s:mergeCell ref="A1149:E1149"/>
    <s:mergeCell ref="B21155:E21155"/>
    <s:mergeCell ref="A23155:E23155"/>
    <s:mergeCell ref="A844:E844"/>
    <s:mergeCell ref="A1449:E1449"/>
    <s:mergeCell ref="A1144:E1144"/>
    <s:mergeCell ref="B12273:E12273"/>
    <s:mergeCell ref="A20336:E20336"/>
    <s:mergeCell ref="A20636:E20636"/>
    <s:mergeCell ref="A18551:E18551"/>
    <s:mergeCell ref="A8274:E8274"/>
    <s:mergeCell ref="A25758:E25758"/>
    <s:mergeCell ref="A15481:E15481"/>
    <s:mergeCell ref="A13696:E13696"/>
    <s:mergeCell ref="A13690:E13690"/>
    <s:mergeCell ref="B26211:E26211"/>
    <s:mergeCell ref="A6804:E6804"/>
    <s:mergeCell ref="A4203:E4203"/>
    <s:mergeCell ref="A21114:E21114"/>
    <s:mergeCell ref="A21108:E21108"/>
    <s:mergeCell ref="A8590:E8590"/>
    <s:mergeCell ref="A6505:E6505"/>
    <s:mergeCell ref="A28511:E28511"/>
    <s:mergeCell ref="A7110:E7110"/>
    <s:mergeCell ref="A4503:E4503"/>
    <s:mergeCell ref="A13706:E13706"/>
    <s:mergeCell ref="A11621:E11621"/>
    <s:mergeCell ref="A6805:E6805"/>
    <s:mergeCell ref="A5108:E5108"/>
    <s:mergeCell ref="A23194:E23194"/>
    <s:mergeCell ref="A21109:E21109"/>
    <s:mergeCell ref="A11921:E11921"/>
    <s:mergeCell ref="A7105:E7105"/>
    <s:mergeCell ref="A28527:E28527"/>
    <s:mergeCell ref="A12221:E12221"/>
    <s:mergeCell ref="A10136:E10136"/>
    <s:mergeCell ref="A14007:E14007"/>
    <s:mergeCell ref="A11922:E11922"/>
    <s:mergeCell ref="A21136:E21136"/>
    <s:mergeCell ref="B14465:E14465"/>
    <s:mergeCell ref="B10683:E10683"/>
    <s:mergeCell ref="A5036:E5036"/>
    <s:mergeCell ref="A13734:E13734"/>
    <s:mergeCell ref="A5030:E5030"/>
    <s:mergeCell ref="A2945:E2945"/>
    <s:mergeCell ref="B19581:E19581"/>
    <s:mergeCell ref="A19334:E19334"/>
    <s:mergeCell ref="A4731:E4731"/>
    <s:mergeCell ref="A28255:E28255"/>
    <s:mergeCell ref="A11949:E11949"/>
    <s:mergeCell ref="A19634:E19634"/>
    <s:mergeCell ref="A5031:E5031"/>
    <s:mergeCell ref="A28555:E28555"/>
    <s:mergeCell ref="A12249:E12249"/>
    <s:mergeCell ref="A30335:E30335"/>
    <s:mergeCell ref="A28250:E28250"/>
    <s:mergeCell ref="A19368:E19368"/>
    <s:mergeCell ref="A2956:E2956"/>
    <s:mergeCell ref="A19362:E19362"/>
    <s:mergeCell ref="A17277:E17277"/>
    <s:mergeCell ref="A26480:E26480"/>
    <s:mergeCell ref="A24484:E24484"/>
    <s:mergeCell ref="B19909:E19909"/>
    <s:mergeCell ref="A11960:E11960"/>
    <s:mergeCell ref="A9875:E9875"/>
    <s:mergeCell ref="A1171:E1171"/>
    <s:mergeCell ref="A10391:E10391"/>
    <s:mergeCell ref="A26780:E26780"/>
    <s:mergeCell ref="A24695:E24695"/>
    <s:mergeCell ref="A10086:E10086"/>
    <s:mergeCell ref="A24784:E24784"/>
    <s:mergeCell ref="A26475:E26475"/>
    <s:mergeCell ref="A11872:E11872"/>
    <s:mergeCell ref="A10175:E10175"/>
    <s:mergeCell ref="A17293:E17293"/>
    <s:mergeCell ref="A24995:E24995"/>
    <s:mergeCell ref="A10392:E10392"/>
    <s:mergeCell ref="A26781:E26781"/>
    <s:mergeCell ref="A15807:E15807"/>
    <s:mergeCell ref="A3289:E3289"/>
    <s:mergeCell ref="A10475:E10475"/>
    <s:mergeCell ref="A17593:E17593"/>
    <s:mergeCell ref="A15508:E15508"/>
    <s:mergeCell ref="A25295:E25295"/>
    <s:mergeCell ref="A2990:E2990"/>
    <s:mergeCell ref="A2984:E2984"/>
    <s:mergeCell ref="A17288:E17288"/>
    <s:mergeCell ref="A8106:E8106"/>
    <s:mergeCell ref="A15808:E15808"/>
    <s:mergeCell ref="A10402:E10402"/>
    <s:mergeCell ref="A8317:E8317"/>
    <s:mergeCell ref="A15503:E15503"/>
    <s:mergeCell ref="B10934:E10934"/>
    <s:mergeCell ref="A8406:E8406"/>
    <s:mergeCell ref="A17805:E17805"/>
    <s:mergeCell ref="A26503:E26503"/>
    <s:mergeCell ref="A24418:E24418"/>
    <s:mergeCell ref="A8617:E8617"/>
    <s:mergeCell ref="A25006:E25006"/>
    <s:mergeCell ref="A22921:E22921"/>
    <s:mergeCell ref="A31625:E31625"/>
    <s:mergeCell ref="A10403:E10403"/>
    <s:mergeCell ref="A8706:E8706"/>
    <s:mergeCell ref="A6621:E6621"/>
    <s:mergeCell ref="A17621:E17621"/>
    <s:mergeCell ref="A8917:E8917"/>
    <s:mergeCell ref="A23221:E23221"/>
    <s:mergeCell ref="B10944:E10944"/>
    <s:mergeCell ref="A16124:E16124"/>
    <s:mergeCell ref="A24434:E24434"/>
    <s:mergeCell ref="A1515:E1515"/>
    <s:mergeCell ref="A15819:E15819"/>
    <s:mergeCell ref="A24734:E24734"/>
    <s:mergeCell ref="A22649:E22649"/>
    <s:mergeCell ref="B16061:E16061"/>
    <s:mergeCell ref="A15247:E15247"/>
    <s:mergeCell ref="A22949:E22949"/>
    <s:mergeCell ref="B14581:E14581"/>
    <s:mergeCell ref="A13761:E13761"/>
    <s:mergeCell ref="A1243:E1243"/>
    <s:mergeCell ref="A28065:E28065"/>
    <s:mergeCell ref="A15547:E15547"/>
    <s:mergeCell ref="B21999:E21999"/>
    <s:mergeCell ref="A28365:E28365"/>
    <s:mergeCell ref="A15847:E15847"/>
    <s:mergeCell ref="A13762:E13762"/>
    <s:mergeCell ref="A28582:E28582"/>
    <s:mergeCell ref="A8356:E8356"/>
    <s:mergeCell ref="B30609:E30609"/>
    <s:mergeCell ref="A30362:E30362"/>
    <s:mergeCell ref="A14062:E14062"/>
    <s:mergeCell ref="A23265:E23265"/>
    <s:mergeCell ref="A21180:E21180"/>
    <s:mergeCell ref="A21174:E21174"/>
    <s:mergeCell ref="A8656:E8656"/>
    <s:mergeCell ref="B30909:E30909"/>
    <s:mergeCell ref="A22960:E22960"/>
    <s:mergeCell ref="B21721:E21721"/>
    <s:mergeCell ref="A21175:E21175"/>
    <s:mergeCell ref="A18016:E18016"/>
    <s:mergeCell ref="A1716:E1716"/>
    <s:mergeCell ref="B21722:E21722"/>
    <s:mergeCell ref="B28840:E28840"/>
    <s:mergeCell ref="A9113:E9113"/>
    <s:mergeCell ref="A2016:E2016"/>
    <s:mergeCell ref="A3707:E3707"/>
    <s:mergeCell ref="A2010:E2010"/>
    <s:mergeCell ref="A1711:E1711"/>
    <s:mergeCell ref="A18616:E18616"/>
    <s:mergeCell ref="A16531:E16531"/>
    <s:mergeCell ref="A4013:E4013"/>
    <s:mergeCell ref="B28835:E28835"/>
    <s:mergeCell ref="A2011:E2011"/>
    <s:mergeCell ref="A9129:E9129"/>
    <s:mergeCell ref="A7038:E7038"/>
    <s:mergeCell ref="A28321:E28321"/>
    <s:mergeCell ref="B5649:E5649"/>
    <s:mergeCell ref="A30101:E30101"/>
    <s:mergeCell ref="A9429:E9429"/>
    <s:mergeCell ref="A7338:E7338"/>
    <s:mergeCell ref="A28621:E28621"/>
    <s:mergeCell ref="A21219:E21219"/>
    <s:mergeCell ref="B2485:E2485"/>
    <s:mergeCell ref="A23460:E23460"/>
    <s:mergeCell ref="A8857:E8857"/>
    <s:mergeCell ref="A25457:E25457"/>
    <s:mergeCell ref="A21675:E21675"/>
    <s:mergeCell ref="A9157:E9157"/>
    <s:mergeCell ref="B27366:E27366"/>
    <s:mergeCell ref="A9151:E9151"/>
    <s:mergeCell ref="A21370:E21370"/>
    <s:mergeCell ref="A14273:E14273"/>
    <s:mergeCell ref="A23672:E23672"/>
    <s:mergeCell ref="A21975:E21975"/>
    <s:mergeCell ref="A25757:E25757"/>
    <s:mergeCell ref="A9457:E9457"/>
    <s:mergeCell ref="A7372:E7372"/>
    <s:mergeCell ref="B15304:E15304"/>
    <s:mergeCell ref="A16575:E16575"/>
    <s:mergeCell ref="A14484:E14484"/>
    <s:mergeCell ref="A269:E269"/>
    <s:mergeCell ref="A30873:E30873"/>
    <s:mergeCell ref="A28788:E28788"/>
    <s:mergeCell ref="A16270:E16270"/>
    <s:mergeCell ref="A14573:E14573"/>
    <s:mergeCell ref="A12488:E12488"/>
    <s:mergeCell ref="A23972:E23972"/>
    <s:mergeCell ref="A1661:E1661"/>
    <s:mergeCell ref="A16875:E16875"/>
    <s:mergeCell ref="A14784:E14784"/>
    <s:mergeCell ref="A29088:E29088"/>
    <s:mergeCell ref="A16570:E16570"/>
    <s:mergeCell ref="A7388:E7388"/>
    <s:mergeCell ref="A7382:E7382"/>
    <s:mergeCell ref="A5297:E5297"/>
    <s:mergeCell ref="A21686:E21686"/>
    <s:mergeCell ref="A29388:E29388"/>
    <s:mergeCell ref="A7083:E7083"/>
    <s:mergeCell ref="A16870:E16870"/>
    <s:mergeCell ref="A21903:E21903"/>
    <s:mergeCell ref="A20206:E20206"/>
    <s:mergeCell ref="A5597:E5597"/>
    <s:mergeCell ref="A7383:E7383"/>
    <s:mergeCell ref="B22450:E22450"/>
    <s:mergeCell ref="A22203:E22203"/>
    <s:mergeCell ref="A28816:E28816"/>
    <s:mergeCell ref="B6144:E6144"/>
    <s:mergeCell ref="A29421:E29421"/>
    <s:mergeCell ref="A497:E497"/>
    <s:mergeCell ref="A12710:E12710"/>
    <s:mergeCell ref="A192:E192"/>
    <s:mergeCell ref="A5613:E5613"/>
    <s:mergeCell ref="A3528:E3528"/>
    <s:mergeCell ref="A5308:E5308"/>
    <s:mergeCell ref="B13862:E13862"/>
    <s:mergeCell ref="A3828:E3828"/>
    <s:mergeCell ref="B13557:E13557"/>
    <s:mergeCell ref="A5608:E5608"/>
    <s:mergeCell ref="A3523:E3523"/>
    <s:mergeCell ref="A29132:E29132"/>
    <s:mergeCell ref="A27047:E27047"/>
    <s:mergeCell ref="A4128:E4128"/>
    <s:mergeCell ref="A20129:E20129"/>
    <s:mergeCell ref="A28827:E28827"/>
    <s:mergeCell ref="A13043:E13043"/>
    <s:mergeCell ref="A3823:E3823"/>
    <s:mergeCell ref="A27347:E27347"/>
    <s:mergeCell ref="A12738:E12738"/>
    <s:mergeCell ref="A19856:E19856"/>
    <s:mergeCell ref="A27042:E27042"/>
    <s:mergeCell ref="A19945:E19945"/>
    <s:mergeCell ref="A27647:E27647"/>
    <s:mergeCell ref="A5336:E5336"/>
    <s:mergeCell ref="A27342:E27342"/>
    <s:mergeCell ref="A18160:E18160"/>
    <s:mergeCell ref="A18154:E18154"/>
    <s:mergeCell ref="A3551:E3551"/>
    <s:mergeCell ref="A12754:E12754"/>
    <s:mergeCell ref="A10669:E10669"/>
    <s:mergeCell ref="A20456:E20456"/>
    <s:mergeCell ref="A4156:E4156"/>
    <s:mergeCell ref="A10758:E10758"/>
    <s:mergeCell ref="A22242:E22242"/>
    <s:mergeCell ref="A3851:E3851"/>
    <s:mergeCell ref="A25572:E25572"/>
    <s:mergeCell ref="A23487:E23487"/>
    <s:mergeCell ref="A10969:E10969"/>
    <s:mergeCell ref="A25273:E25273"/>
    <s:mergeCell ref="A8973:E8973"/>
    <s:mergeCell ref="A12749:E12749"/>
    <s:mergeCell ref="A10664:E10664"/>
    <s:mergeCell ref="A11269:E11269"/>
    <s:mergeCell ref="A9184:E9184"/>
    <s:mergeCell ref="A3262:E3262"/>
    <s:mergeCell ref="A2081:E2081"/>
    <s:mergeCell ref="A3778:E3778"/>
    <s:mergeCell ref="A10964:E10964"/>
    <s:mergeCell ref="A18082:E18082"/>
    <s:mergeCell ref="A1782:E1782"/>
    <s:mergeCell ref="A3562:E3562"/>
    <s:mergeCell ref="A1993:E1993"/>
    <s:mergeCell ref="A4078:E4078"/>
    <s:mergeCell ref="A25001:E25001"/>
    <s:mergeCell ref="A3779:E3779"/>
    <s:mergeCell ref="A2082:E2082"/>
    <s:mergeCell ref="A1777:E1777"/>
    <s:mergeCell ref="A18682:E18682"/>
    <s:mergeCell ref="A16597:E16597"/>
    <s:mergeCell ref="A25301:E25301"/>
    <s:mergeCell ref="A4079:E4079"/>
    <s:mergeCell ref="B4320:E4320"/>
    <s:mergeCell ref="A9500:E9500"/>
    <s:mergeCell ref="A30417:E30417"/>
    <s:mergeCell ref="A9195:E9195"/>
    <s:mergeCell ref="A23516:E23516"/>
    <s:mergeCell ref="A16413:E16413"/>
    <s:mergeCell ref="A30717:E30717"/>
    <s:mergeCell ref="A9495:E9495"/>
    <s:mergeCell ref="A30934:E30934"/>
    <s:mergeCell ref="A10708:E10708"/>
    <s:mergeCell ref="A16325:E16325"/>
    <s:mergeCell ref="B7957:E7957"/>
    <s:mergeCell ref="A23526:E23526"/>
    <s:mergeCell ref="A21441:E21441"/>
    <s:mergeCell ref="A11008:E11008"/>
    <s:mergeCell ref="A8923:E8923"/>
    <s:mergeCell ref="A30929:E30929"/>
    <s:mergeCell ref="A14039:E14039"/>
    <s:mergeCell ref="A25523:E25523"/>
    <s:mergeCell ref="A9223:E9223"/>
    <s:mergeCell ref="A30944:E30944"/>
    <s:mergeCell ref="A16341:E16341"/>
    <s:mergeCell ref="A16036:E16036"/>
    <s:mergeCell ref="A14339:E14339"/>
    <s:mergeCell ref="A23738:E23738"/>
    <s:mergeCell ref="A9523:E9523"/>
    <s:mergeCell ref="A29159:E29159"/>
    <s:mergeCell ref="A16641:E16641"/>
    <s:mergeCell ref="A30945:E30945"/>
    <s:mergeCell ref="A30939:E30939"/>
    <s:mergeCell ref="A16336:E16336"/>
    <s:mergeCell ref="A14639:E14639"/>
    <s:mergeCell ref="A12554:E12554"/>
    <s:mergeCell ref="A2277:E2277"/>
    <s:mergeCell ref="A29459:E29459"/>
    <s:mergeCell ref="A16941:E16941"/>
    <s:mergeCell ref="A4579:E4579"/>
    <s:mergeCell ref="A29154:E29154"/>
    <s:mergeCell ref="A16636:E16636"/>
    <s:mergeCell ref="A4274:E4274"/>
    <s:mergeCell ref="A11780:E11780"/>
    <s:mergeCell ref="A9695:E9695"/>
    <s:mergeCell ref="A4879:E4879"/>
    <s:mergeCell ref="A9390:E9390"/>
    <s:mergeCell ref="B31487:E31487"/>
    <s:mergeCell ref="A4574:E4574"/>
    <s:mergeCell ref="A13777:E13777"/>
    <s:mergeCell ref="A9995:E9995"/>
    <s:mergeCell ref="A11781:E11781"/>
    <s:mergeCell ref="A9690:E9690"/>
    <s:mergeCell ref="B22516:E22516"/>
    <s:mergeCell ref="A11992:E11992"/>
    <s:mergeCell ref="A10295:E10295"/>
    <s:mergeCell ref="A26296:E26296"/>
    <s:mergeCell ref="A4590:E4590"/>
    <s:mergeCell ref="A10207:E10207"/>
    <s:mergeCell ref="A4890:E4890"/>
    <s:mergeCell ref="A2805:E2805"/>
    <s:mergeCell ref="B15109:E15109"/>
    <s:mergeCell ref="A17109:E17109"/>
    <s:mergeCell ref="A16836:E16836"/>
    <s:mergeCell ref="A28893:E28893"/>
    <s:mergeCell ref="A17136:E17136"/>
    <s:mergeCell ref="A16831:E16831"/>
    <s:mergeCell ref="A9734:E9734"/>
    <s:mergeCell ref="A7649:E7649"/>
    <s:mergeCell ref="A2833:E2833"/>
    <s:mergeCell ref="A29655:E29655"/>
    <s:mergeCell ref="A17137:E17137"/>
    <s:mergeCell ref="A7860:E7860"/>
    <s:mergeCell ref="A24249:E24249"/>
    <s:mergeCell ref="A7949:E7949"/>
    <s:mergeCell ref="A9946:E9946"/>
    <s:mergeCell ref="A8249:E8249"/>
    <s:mergeCell ref="A758:E758"/>
    <s:mergeCell ref="A29671:E29671"/>
    <s:mergeCell ref="A15062:E15062"/>
    <s:mergeCell ref="A10246:E10246"/>
    <s:mergeCell ref="A15667:E15667"/>
    <s:mergeCell ref="A13582:E13582"/>
    <s:mergeCell ref="A1058:E1058"/>
    <s:mergeCell ref="A29971:E29971"/>
    <s:mergeCell ref="A15362:E15362"/>
    <s:mergeCell ref="A2844:E2844"/>
    <s:mergeCell ref="A759:E759"/>
    <s:mergeCell ref="A15579:E15579"/>
    <s:mergeCell ref="A15662:E15662"/>
    <s:mergeCell ref="A13577:E13577"/>
    <s:mergeCell ref="A8177:E8177"/>
    <s:mergeCell ref="A6480:E6480"/>
    <s:mergeCell ref="A8171:E8171"/>
    <s:mergeCell ref="A6086:E6086"/>
    <s:mergeCell ref="B8507:E8507"/>
    <s:mergeCell ref="B9023:E9023"/>
    <s:mergeCell ref="A29699:E29699"/>
    <s:mergeCell ref="B6633:E6633"/>
    <s:mergeCell ref="A6386:E6386"/>
    <s:mergeCell ref="A13593:E13593"/>
    <s:mergeCell ref="B9024:E9024"/>
    <s:mergeCell ref="A27914:E27914"/>
    <s:mergeCell ref="A29999:E29999"/>
    <s:mergeCell ref="A31690:E31690"/>
    <s:mergeCell ref="B23322:E23322"/>
    <s:mergeCell ref="A22508:E22508"/>
    <s:mergeCell ref="A13893:E13893"/>
    <s:mergeCell ref="A11808:E11808"/>
    <s:mergeCell ref="A20506:E20506"/>
    <s:mergeCell ref="A22808:E22808"/>
    <s:mergeCell ref="A22509:E22509"/>
    <s:mergeCell ref="A22503:E22503"/>
    <s:mergeCell ref="A29621:E29621"/>
    <s:mergeCell ref="A27924:E27924"/>
    <s:mergeCell ref="A25839:E25839"/>
    <s:mergeCell ref="A21023:E21023"/>
    <s:mergeCell ref="A21006:E21006"/>
    <s:mergeCell ref="A27625:E27625"/>
    <s:mergeCell ref="A29921:E29921"/>
    <s:mergeCell ref="A27836:E27836"/>
    <s:mergeCell ref="A26139:E26139"/>
    <s:mergeCell ref="A13621:E13621"/>
    <s:mergeCell ref="B19468:E19468"/>
    <s:mergeCell ref="A27925:E27925"/>
    <s:mergeCell ref="A6130:E6130"/>
    <s:mergeCell ref="A20434:E20434"/>
    <s:mergeCell ref="A28136:E28136"/>
    <s:mergeCell ref="A4134:E4134"/>
    <s:mergeCell ref="A21039:E21039"/>
    <s:mergeCell ref="A29922:E29922"/>
    <s:mergeCell ref="A18948:E18948"/>
    <s:mergeCell ref="A6430:E6430"/>
    <s:mergeCell ref="A4345:E4345"/>
    <s:mergeCell ref="A20734:E20734"/>
    <s:mergeCell ref="A28436:E28436"/>
    <s:mergeCell ref="A6131:E6131"/>
    <s:mergeCell ref="A4434:E4434"/>
    <s:mergeCell ref="A6125:E6125"/>
    <s:mergeCell ref="A9461:E9461"/>
    <s:mergeCell ref="A4645:E4645"/>
    <s:mergeCell ref="A21034:E21034"/>
    <s:mergeCell ref="A18949:E18949"/>
    <s:mergeCell ref="A6431:E6431"/>
    <s:mergeCell ref="A4340:E4340"/>
    <s:mergeCell ref="A13543:E13543"/>
    <s:mergeCell ref="A9761:E9761"/>
    <s:mergeCell ref="A11547:E11547"/>
    <s:mergeCell ref="A19249:E19249"/>
    <s:mergeCell ref="B6972:E6972"/>
    <s:mergeCell ref="A13843:E13843"/>
    <s:mergeCell ref="A26062:E26062"/>
    <s:mergeCell ref="A4661:E4661"/>
    <s:mergeCell ref="B19796:E19796"/>
    <s:mergeCell ref="A11847:E11847"/>
    <s:mergeCell ref="A9756:E9756"/>
    <s:mergeCell ref="A16874:E16874"/>
    <s:mergeCell ref="A12058:E12058"/>
    <s:mergeCell ref="A18677:E18677"/>
    <s:mergeCell ref="A4961:E4961"/>
    <s:mergeCell ref="A17180:E17180"/>
    <s:mergeCell ref="A25878:E25878"/>
    <s:mergeCell ref="A17174:E17174"/>
    <s:mergeCell ref="A23793:E23793"/>
    <s:mergeCell ref="A4656:E4656"/>
    <s:mergeCell ref="B21503:E21503"/>
    <s:mergeCell ref="B17721:E17721"/>
    <s:mergeCell ref="A17474:E17474"/>
    <s:mergeCell ref="A24093:E24093"/>
    <s:mergeCell ref="A28175:E28175"/>
    <s:mergeCell ref="A26090:E26090"/>
    <s:mergeCell ref="A24393:E24393"/>
    <s:mergeCell ref="A31511:E31511"/>
    <s:mergeCell ref="B17722:E17722"/>
    <s:mergeCell ref="A18993:E18993"/>
    <s:mergeCell ref="A16902:E16902"/>
    <s:mergeCell ref="A31206:E31206"/>
    <s:mergeCell ref="A26390:E26390"/>
    <s:mergeCell ref="A29726:E29726"/>
    <s:mergeCell ref="A19293:E19293"/>
    <s:mergeCell ref="A17208:E17208"/>
    <s:mergeCell ref="A17202:E17202"/>
    <s:mergeCell ref="B25140:E25140"/>
    <s:mergeCell ref="A23804:E23804"/>
    <s:mergeCell ref="A24320:E24320"/>
    <s:mergeCell ref="A31506:E31506"/>
    <s:mergeCell ref="A24409:E24409"/>
    <s:mergeCell ref="B10620:E10620"/>
    <s:mergeCell ref="A9800:E9800"/>
    <s:mergeCell ref="A24104:E24104"/>
    <s:mergeCell ref="A24620:E24620"/>
    <s:mergeCell ref="A24321:E24321"/>
    <s:mergeCell ref="A22624:E22624"/>
    <s:mergeCell ref="A24315:E24315"/>
    <s:mergeCell ref="A29437:E29437"/>
    <s:mergeCell ref="A19160:E19160"/>
    <s:mergeCell ref="A24621:E24621"/>
    <s:mergeCell ref="A5156:E5156"/>
    <s:mergeCell ref="A29737:E29737"/>
    <s:mergeCell ref="A19460:E19460"/>
    <s:mergeCell ref="A3371:E3371"/>
    <s:mergeCell ref="A30037:E30037"/>
    <s:mergeCell ref="A21457:E21457"/>
    <s:mergeCell ref="A19760:E19760"/>
    <s:mergeCell ref="A17675:E17675"/>
    <s:mergeCell ref="A5157:E5157"/>
    <s:mergeCell ref="A5151:E5151"/>
    <s:mergeCell ref="A3066:E3066"/>
    <s:mergeCell ref="B1677:E1677"/>
    <s:mergeCell ref="B30795:E30795"/>
    <s:mergeCell ref="A29465:E29465"/>
    <s:mergeCell ref="A26873:E26873"/>
    <s:mergeCell ref="A15461:E15461"/>
    <s:mergeCell ref="A29765:E29765"/>
    <s:mergeCell ref="A3082:E3082"/>
    <s:mergeCell ref="A12570:E12570"/>
    <s:mergeCell ref="A3382:E3382"/>
    <s:mergeCell ref="A11084:E11084"/>
    <s:mergeCell ref="A3682:E3682"/>
    <s:mergeCell ref="A1597:E1597"/>
    <s:mergeCell ref="A25121:E25121"/>
    <s:mergeCell ref="A3383:E3383"/>
    <s:mergeCell ref="A10512:E10512"/>
    <s:mergeCell ref="A10495:E10495"/>
    <s:mergeCell ref="A24816:E24816"/>
    <s:mergeCell ref="A12298:E12298"/>
    <s:mergeCell ref="A1897:E1897"/>
    <s:mergeCell ref="A25421:E25421"/>
    <s:mergeCell ref="A3110:E3110"/>
    <s:mergeCell ref="A17414:E17414"/>
    <s:mergeCell ref="A8710:E8710"/>
    <s:mergeCell ref="A25116:E25116"/>
    <s:mergeCell ref="A18019:E18019"/>
    <s:mergeCell ref="A17625:E17625"/>
    <s:mergeCell ref="A3410:E3410"/>
    <s:mergeCell ref="A1325:E1325"/>
    <s:mergeCell ref="A17714:E17714"/>
    <s:mergeCell ref="B30534:E30534"/>
    <s:mergeCell ref="A20016:E20016"/>
    <s:mergeCell ref="A17931:E17931"/>
    <s:mergeCell ref="A17925:E17925"/>
    <s:mergeCell ref="A10828:E10828"/>
    <s:mergeCell ref="A8743:E8743"/>
    <s:mergeCell ref="A18014:E18014"/>
    <s:mergeCell ref="A15929:E15929"/>
    <s:mergeCell ref="A25132:E25132"/>
    <s:mergeCell ref="A23047:E23047"/>
    <s:mergeCell ref="A30749:E30749"/>
    <s:mergeCell ref="A10523:E10523"/>
    <s:mergeCell ref="B30535:E30535"/>
    <s:mergeCell ref="A24827:E24827"/>
    <s:mergeCell ref="A1036:E1036"/>
    <s:mergeCell ref="A8738:E8738"/>
    <s:mergeCell ref="A23042:E23042"/>
    <s:mergeCell ref="A1641:E1641"/>
    <s:mergeCell ref="A9343:E9343"/>
    <s:mergeCell ref="A25344:E25344"/>
    <s:mergeCell ref="A1336:E1336"/>
    <s:mergeCell ref="A1547:E1547"/>
    <s:mergeCell ref="A30460:E30460"/>
    <s:mergeCell ref="A16245:E16245"/>
    <s:mergeCell ref="A14160:E14160"/>
    <s:mergeCell ref="A1636:E1636"/>
    <s:mergeCell ref="A23075:E23075"/>
    <s:mergeCell ref="A30760:E30760"/>
    <s:mergeCell ref="A6969:E6969"/>
    <s:mergeCell ref="A23375:E23375"/>
    <s:mergeCell ref="A30188:E30188"/>
    <s:mergeCell ref="A28491:E28491"/>
    <s:mergeCell ref="A8966:E8966"/>
    <s:mergeCell ref="A7269:E7269"/>
    <s:mergeCell ref="A13882:E13882"/>
    <s:mergeCell ref="A30488:E30488"/>
    <s:mergeCell ref="A28791:E28791"/>
    <s:mergeCell ref="A15879:E15879"/>
    <s:mergeCell ref="B22120:E22120"/>
    <s:mergeCell ref="A21300:E21300"/>
    <s:mergeCell ref="A8782:E8782"/>
    <s:mergeCell ref="A30788:E30788"/>
    <s:mergeCell ref="A28703:E28703"/>
    <s:mergeCell ref="A21600:E21600"/>
    <s:mergeCell ref="A6997:E6997"/>
    <s:mergeCell ref="A23386:E23386"/>
    <s:mergeCell ref="A21301:E21301"/>
    <s:mergeCell ref="A21295:E21295"/>
    <s:mergeCell ref="A7297:E7297"/>
    <s:mergeCell ref="A14415:E14415"/>
    <s:mergeCell ref="A5195:E5195"/>
    <s:mergeCell ref="A21601:E21601"/>
    <s:mergeCell ref="A28719:E28719"/>
    <s:mergeCell ref="A28713:E28713"/>
    <s:mergeCell ref="A26628:E26628"/>
    <s:mergeCell ref="A12413:E12413"/>
    <s:mergeCell ref="A28414:E28414"/>
    <s:mergeCell ref="A12630:E12630"/>
    <s:mergeCell ref="A19226:E19226"/>
    <s:mergeCell ref="B14657:E14657"/>
    <s:mergeCell ref="A26928:E26928"/>
    <s:mergeCell ref="A28714:E28714"/>
    <s:mergeCell ref="A5222:E5222"/>
    <s:mergeCell ref="A3137:E3137"/>
    <s:mergeCell ref="A19532:E19532"/>
    <s:mergeCell ref="A21223:E21223"/>
    <s:mergeCell ref="A19526:E19526"/>
    <s:mergeCell ref="A7008:E7008"/>
    <s:mergeCell ref="A4923:E4923"/>
    <s:mergeCell ref="A14710:E14710"/>
    <s:mergeCell ref="A12625:E12625"/>
    <s:mergeCell ref="A19826:E19826"/>
    <s:mergeCell ref="A17741:E17741"/>
    <s:mergeCell ref="A5223:E5223"/>
    <s:mergeCell ref="A19527:E19527"/>
    <s:mergeCell ref="A28741:E28741"/>
    <s:mergeCell ref="A12641:E12641"/>
    <s:mergeCell ref="A19254:E19254"/>
    <s:mergeCell ref="A12336:E12336"/>
    <s:mergeCell ref="A19554:E19554"/>
    <s:mergeCell ref="A579:E579"/>
    <s:mergeCell ref="A573:E573"/>
    <s:mergeCell ref="A26972:E26972"/>
    <s:mergeCell ref="A24887:E24887"/>
    <s:mergeCell ref="A26673:E26673"/>
    <s:mergeCell ref="A26667:E26667"/>
    <s:mergeCell ref="A25187:E25187"/>
    <s:mergeCell ref="B18516:E18516"/>
    <s:mergeCell ref="A26973:E26973"/>
    <s:mergeCell ref="B18510:E18510"/>
    <s:mergeCell ref="A26967:E26967"/>
    <s:mergeCell ref="A24882:E24882"/>
    <s:mergeCell ref="A17785:E17785"/>
    <s:mergeCell ref="B4512:E4512"/>
    <s:mergeCell ref="B11108:E11108"/>
    <s:mergeCell ref="A17480:E17480"/>
    <s:mergeCell ref="A18085:E18085"/>
    <s:mergeCell ref="A16000:E16000"/>
    <s:mergeCell ref="A3482:E3482"/>
    <s:mergeCell ref="A5723:E5723"/>
    <s:mergeCell ref="A17780:E17780"/>
    <s:mergeCell ref="A5418:E5418"/>
    <s:mergeCell ref="A17997:E17997"/>
    <s:mergeCell ref="A15995:E15995"/>
    <s:mergeCell ref="A5718:E5718"/>
    <s:mergeCell ref="A14921:E14921"/>
    <s:mergeCell ref="A12836:E12836"/>
    <s:mergeCell ref="A318:E318"/>
    <s:mergeCell ref="A923:E923"/>
    <s:mergeCell ref="A13136:E13136"/>
    <s:mergeCell ref="A618:E618"/>
    <s:mergeCell ref="A3948:E3948"/>
    <s:mergeCell ref="A5734:E5734"/>
    <s:mergeCell ref="A13436:E13436"/>
    <s:mergeCell ref="A918:E918"/>
    <s:mergeCell ref="A24926:E24926"/>
    <s:mergeCell ref="A5951:E5951"/>
    <s:mergeCell ref="A20249:E20249"/>
    <s:mergeCell ref="A6034:E6034"/>
    <s:mergeCell ref="A3949:E3949"/>
    <s:mergeCell ref="A23141:E23141"/>
    <s:mergeCell ref="A5946:E5946"/>
    <s:mergeCell ref="A4249:E4249"/>
    <s:mergeCell ref="A11367:E11367"/>
    <s:mergeCell ref="A23441:E23441"/>
    <s:mergeCell ref="A11062:E11062"/>
    <s:mergeCell ref="A11667:E11667"/>
    <s:mergeCell ref="A18280:E18280"/>
    <s:mergeCell ref="A20582:E20582"/>
    <s:mergeCell ref="A18497:E18497"/>
    <s:mergeCell ref="B30801:E30801"/>
    <s:mergeCell ref="A20277:E20277"/>
    <s:mergeCell ref="A18580:E18580"/>
    <s:mergeCell ref="A27395:E27395"/>
    <s:mergeCell ref="A12875:E12875"/>
    <s:mergeCell ref="A20577:E20577"/>
    <s:mergeCell ref="A27695:E27695"/>
    <s:mergeCell ref="A11395:E11395"/>
    <s:mergeCell ref="A20278:E20278"/>
    <s:mergeCell ref="A27390:E27390"/>
    <s:mergeCell ref="A23608:E23608"/>
    <s:mergeCell ref="A11090:E11090"/>
    <s:mergeCell ref="A18208:E18208"/>
    <s:mergeCell ref="A27479:E27479"/>
    <s:mergeCell ref="A25394:E25394"/>
    <s:mergeCell ref="A25910:E25910"/>
    <s:mergeCell ref="A27995:E27995"/>
    <s:mergeCell ref="A9610:E9610"/>
    <s:mergeCell ref="A27696:E27696"/>
    <s:mergeCell ref="B5018:E5018"/>
    <s:mergeCell ref="A4204:E4204"/>
    <s:mergeCell ref="A11390:E11390"/>
    <s:mergeCell ref="A18508:E18508"/>
    <s:mergeCell ref="A3899:E3899"/>
    <s:mergeCell ref="A2202:E2202"/>
    <s:mergeCell ref="A18203:E18203"/>
    <s:mergeCell ref="A4504:E4504"/>
    <s:mergeCell ref="A11690:E11690"/>
    <s:mergeCell ref="A18808:E18808"/>
    <s:mergeCell ref="A16723:E16723"/>
    <s:mergeCell ref="A4199:E4199"/>
    <s:mergeCell ref="A9620:E9620"/>
    <s:mergeCell ref="A9321:E9321"/>
    <s:mergeCell ref="B19050:E19050"/>
    <s:mergeCell ref="A7835:E7835"/>
    <s:mergeCell ref="A25921:E25921"/>
    <s:mergeCell ref="A9621:E9621"/>
    <s:mergeCell ref="A31054:E31054"/>
    <s:mergeCell ref="A9316:E9316"/>
    <s:mergeCell ref="A11618:E11618"/>
    <s:mergeCell ref="A2430:E2430"/>
    <s:mergeCell ref="A31055:E31055"/>
    <s:mergeCell ref="A23952:E23952"/>
    <s:mergeCell ref="A2730:E2730"/>
    <s:mergeCell ref="A645:E645"/>
    <s:mergeCell ref="A14949:E14949"/>
    <s:mergeCell ref="A23864:E23864"/>
    <s:mergeCell ref="A14676:E14676"/>
    <s:mergeCell ref="A31065:E31065"/>
    <s:mergeCell ref="A28980:E28980"/>
    <s:mergeCell ref="A16462:E16462"/>
    <s:mergeCell ref="A24164:E24164"/>
    <s:mergeCell ref="A14976:E14976"/>
    <s:mergeCell ref="A21578:E21578"/>
    <s:mergeCell ref="A29280:E29280"/>
    <s:mergeCell ref="A16762:E16762"/>
    <s:mergeCell ref="A31066:E31066"/>
    <s:mergeCell ref="A29885:E29885"/>
    <s:mergeCell ref="A7574:E7574"/>
    <s:mergeCell ref="A5489:E5489"/>
    <s:mergeCell ref="A29580:E29580"/>
    <s:mergeCell ref="A17062:E17062"/>
    <s:mergeCell ref="A14977:E14977"/>
    <s:mergeCell ref="A31366:E31366"/>
    <s:mergeCell ref="A22089:E22089"/>
    <s:mergeCell ref="A5789:E5789"/>
    <s:mergeCell ref="A23875:E23875"/>
    <s:mergeCell ref="A22178:E22178"/>
    <s:mergeCell ref="B15524:E15524"/>
    <s:mergeCell ref="A5484:E5484"/>
    <s:mergeCell ref="A24480:E24480"/>
    <s:mergeCell ref="A29008:E29008"/>
    <s:mergeCell ref="A84:E84"/>
    <s:mergeCell ref="A22090:E22090"/>
    <s:mergeCell ref="A689:E689"/>
    <s:mergeCell ref="A27511:E27511"/>
    <s:mergeCell ref="A14987:E14987"/>
    <s:mergeCell ref="A12902:E12902"/>
    <s:mergeCell ref="A384:E384"/>
    <s:mergeCell ref="A8086:E8086"/>
    <s:mergeCell ref="A29291:E29291"/>
    <s:mergeCell ref="B20940:E20940"/>
    <s:mergeCell ref="A13507:E13507"/>
    <s:mergeCell ref="A989:E989"/>
    <s:mergeCell ref="A29508:E29508"/>
    <s:mergeCell ref="A5500:E5500"/>
    <s:mergeCell ref="A13202:E13202"/>
    <s:mergeCell ref="A684:E684"/>
    <s:mergeCell ref="A14988:E14988"/>
    <s:mergeCell ref="B30055:E30055"/>
    <s:mergeCell ref="A29808:E29808"/>
    <s:mergeCell ref="B30049:E30049"/>
    <s:mergeCell ref="A5800:E5800"/>
    <s:mergeCell ref="B15535:E15535"/>
    <s:mergeCell ref="A8102:E8102"/>
    <s:mergeCell ref="A20315:E20315"/>
    <s:mergeCell ref="B6564:E6564"/>
    <s:mergeCell ref="A856:E856"/>
    <s:mergeCell ref="A12930:E12930"/>
    <s:mergeCell ref="A27839:E27839"/>
    <s:mergeCell ref="A1156:E1156"/>
    <s:mergeCell ref="B21162:E21162"/>
    <s:mergeCell ref="A20348:E20348"/>
    <s:mergeCell ref="A2936:E2936"/>
    <s:mergeCell ref="A851:E851"/>
    <s:mergeCell ref="A1456:E1456"/>
    <s:mergeCell ref="A1157:E1157"/>
    <s:mergeCell ref="B12280:E12280"/>
    <s:mergeCell ref="A22434:E22434"/>
    <s:mergeCell ref="A20349:E20349"/>
    <s:mergeCell ref="A20343:E20343"/>
    <s:mergeCell ref="A25764:E25764"/>
    <s:mergeCell ref="A27550:E27550"/>
    <s:mergeCell ref="A12941:E12941"/>
    <s:mergeCell ref="A27761:E27761"/>
    <s:mergeCell ref="A15399:E15399"/>
    <s:mergeCell ref="A1184:E1184"/>
    <s:mergeCell ref="A25765:E25765"/>
    <s:mergeCell ref="A25759:E25759"/>
    <s:mergeCell ref="A879:E879"/>
    <s:mergeCell ref="A25976:E25976"/>
    <s:mergeCell ref="A27762:E27762"/>
    <s:mergeCell ref="A11456:E11456"/>
    <s:mergeCell ref="B18821:E18821"/>
    <s:mergeCell ref="A22906:E22906"/>
    <s:mergeCell ref="A1179:E1179"/>
    <s:mergeCell ref="A8297:E8297"/>
    <s:mergeCell ref="A22601:E22601"/>
    <s:mergeCell ref="B26218:E26218"/>
    <s:mergeCell ref="A8386:E8386"/>
    <s:mergeCell ref="A6301:E6301"/>
    <s:mergeCell ref="A21121:E21121"/>
    <s:mergeCell ref="A8597:E8597"/>
    <s:mergeCell ref="A22901:E22901"/>
    <s:mergeCell ref="A8298:E8298"/>
    <s:mergeCell ref="A6601:E6601"/>
    <s:mergeCell ref="A7117:E7117"/>
    <s:mergeCell ref="A21116:E21116"/>
    <s:mergeCell ref="A14019:E14019"/>
    <s:mergeCell ref="A13625:E13625"/>
    <s:mergeCell ref="A6828:E6828"/>
    <s:mergeCell ref="A6523:E6523"/>
    <s:mergeCell ref="A5043:E5043"/>
    <s:mergeCell ref="A11656:E11656"/>
    <s:mergeCell ref="A21432:E21432"/>
    <s:mergeCell ref="A19347:E19347"/>
    <s:mergeCell ref="A4738:E4738"/>
    <s:mergeCell ref="A28262:E28262"/>
    <s:mergeCell ref="A6251:E6251"/>
    <s:mergeCell ref="A13953:E13953"/>
    <s:mergeCell ref="A20555:E20555"/>
    <s:mergeCell ref="A19374:E19374"/>
    <s:mergeCell ref="A28257:E28257"/>
    <s:mergeCell ref="A6856:E6856"/>
    <s:mergeCell ref="A19075:E19075"/>
    <s:mergeCell ref="A6557:E6557"/>
    <s:mergeCell ref="A6551:E6551"/>
    <s:mergeCell ref="A20855:E20855"/>
    <s:mergeCell ref="A5071:E5071"/>
    <s:mergeCell ref="A2969:E2969"/>
    <s:mergeCell ref="A19375:E19375"/>
    <s:mergeCell ref="B5013:E5013"/>
    <s:mergeCell ref="B27307:E27307"/>
    <s:mergeCell ref="A4766:E4766"/>
    <s:mergeCell ref="A13969:E13969"/>
    <s:mergeCell ref="A11884:E11884"/>
    <s:mergeCell ref="A19070:E19070"/>
    <s:mergeCell ref="A11973:E11973"/>
    <s:mergeCell ref="A13664:E13664"/>
    <s:mergeCell ref="A9882:E9882"/>
    <s:mergeCell ref="A17000:E17000"/>
    <s:mergeCell ref="A12184:E12184"/>
    <s:mergeCell ref="A10487:E10487"/>
    <s:mergeCell ref="A28573:E28573"/>
    <s:mergeCell ref="A26488:E26488"/>
    <s:mergeCell ref="A2996:E2996"/>
    <s:mergeCell ref="A10182:E10182"/>
    <s:mergeCell ref="A17300:E17300"/>
    <s:mergeCell ref="A4782:E4782"/>
    <s:mergeCell ref="A12484:E12484"/>
    <s:mergeCell ref="A26788:E26788"/>
    <s:mergeCell ref="A4477:E4477"/>
    <s:mergeCell ref="A3296:E3296"/>
    <s:mergeCell ref="A19297:E19297"/>
    <s:mergeCell ref="A17600:E17600"/>
    <s:mergeCell ref="A15515:E15515"/>
    <s:mergeCell ref="A5082:E5082"/>
    <s:mergeCell ref="A2997:E2997"/>
    <s:mergeCell ref="A2991:E2991"/>
    <s:mergeCell ref="A26515:E26515"/>
    <s:mergeCell ref="A28301:E28301"/>
    <s:mergeCell ref="A19597:E19597"/>
    <s:mergeCell ref="A31332:E31332"/>
    <s:mergeCell ref="B20144:E20144"/>
    <s:mergeCell ref="A10110:E10110"/>
    <s:mergeCell ref="A26516:E26516"/>
    <s:mergeCell ref="A3007:E3007"/>
    <s:mergeCell ref="A922:E922"/>
    <s:mergeCell ref="A17328:E17328"/>
    <s:mergeCell ref="A25013:E25013"/>
    <s:mergeCell ref="A31632:E31632"/>
    <s:mergeCell ref="A10410:E10410"/>
    <s:mergeCell ref="A1228:E1228"/>
    <s:mergeCell ref="A1222:E1222"/>
    <s:mergeCell ref="A17628:E17628"/>
    <s:mergeCell ref="A917:E917"/>
    <s:mergeCell ref="A24441:E24441"/>
    <s:mergeCell ref="A1522:E1522"/>
    <s:mergeCell ref="A3308:E3308"/>
    <s:mergeCell ref="A1223:E1223"/>
    <s:mergeCell ref="A24747:E24747"/>
    <s:mergeCell ref="A24741:E24741"/>
    <s:mergeCell ref="A22656:E22656"/>
    <s:mergeCell ref="B3855:E3855"/>
    <s:mergeCell ref="A24442:E24442"/>
    <s:mergeCell ref="A950:E950"/>
    <s:mergeCell ref="A17339:E17339"/>
    <s:mergeCell ref="A15254:E15254"/>
    <s:mergeCell ref="A10438:E10438"/>
    <s:mergeCell ref="A24742:E24742"/>
    <s:mergeCell ref="A1250:E1250"/>
    <s:mergeCell ref="A30163:E30163"/>
    <s:mergeCell ref="A15554:E15554"/>
    <s:mergeCell ref="A22672:E22672"/>
    <s:mergeCell ref="A945:E945"/>
    <s:mergeCell ref="A8668:E8668"/>
    <s:mergeCell ref="A15854:E15854"/>
    <s:mergeCell ref="A22972:E22972"/>
    <s:mergeCell ref="A8369:E8369"/>
    <s:mergeCell ref="A8363:E8363"/>
    <s:mergeCell ref="A22667:E22667"/>
    <s:mergeCell ref="A6883:E6883"/>
    <s:mergeCell ref="A21187:E21187"/>
    <s:mergeCell ref="A8669:E8669"/>
    <s:mergeCell ref="A8663:E8663"/>
    <s:mergeCell ref="B30916:E30916"/>
    <s:mergeCell ref="A22967:E22967"/>
    <s:mergeCell ref="A8364:E8364"/>
    <s:mergeCell ref="A13785:E13785"/>
    <s:mergeCell ref="A23184:E23184"/>
    <s:mergeCell ref="A29797:E29797"/>
    <s:mergeCell ref="A13480:E13480"/>
    <s:mergeCell ref="A14085:E14085"/>
    <s:mergeCell ref="A12000:E12000"/>
    <s:mergeCell ref="A1723:E1723"/>
    <s:mergeCell ref="A23000:E23000"/>
    <s:mergeCell ref="A16082:E16082"/>
    <s:mergeCell ref="A2023:E2023"/>
    <s:mergeCell ref="B14843:E14843"/>
    <s:mergeCell ref="A21215:E21215"/>
    <s:mergeCell ref="B16629:E16629"/>
    <s:mergeCell ref="A10921:E10921"/>
    <s:mergeCell ref="A30113:E30113"/>
    <s:mergeCell ref="A28028:E28028"/>
    <s:mergeCell ref="A28111:E28111"/>
    <s:mergeCell ref="A11221:E11221"/>
    <s:mergeCell ref="A9136:E9136"/>
    <s:mergeCell ref="A26026:E26026"/>
    <s:mergeCell ref="A20626:E20626"/>
    <s:mergeCell ref="A28328:E28328"/>
    <s:mergeCell ref="A12028:E12028"/>
    <s:mergeCell ref="A30114:E30114"/>
    <s:mergeCell ref="A9436:E9436"/>
    <s:mergeCell ref="A20926:E20926"/>
    <s:mergeCell ref="A28628:E28628"/>
    <s:mergeCell ref="B5651:E5651"/>
    <s:mergeCell ref="A9163:E9163"/>
    <s:mergeCell ref="A21226:E21226"/>
    <s:mergeCell ref="A19141:E19141"/>
    <s:mergeCell ref="A8864:E8864"/>
    <s:mergeCell ref="B27073:E27073"/>
    <s:mergeCell ref="B13069:E13069"/>
    <s:mergeCell ref="A19441:E19441"/>
    <s:mergeCell ref="A1462:E1462"/>
    <s:mergeCell ref="B27373:E27373"/>
    <s:mergeCell ref="A28644:E28644"/>
    <s:mergeCell ref="A16282:E16282"/>
    <s:mergeCell ref="A3758:E3758"/>
    <s:mergeCell ref="A1673:E1673"/>
    <s:mergeCell ref="A18062:E18062"/>
    <s:mergeCell ref="A1762:E1762"/>
    <s:mergeCell ref="A16582:E16582"/>
    <s:mergeCell ref="A1973:E1973"/>
    <s:mergeCell ref="A30880:E30880"/>
    <s:mergeCell ref="A28795:E28795"/>
    <s:mergeCell ref="A16277:E16277"/>
    <s:mergeCell ref="A3759:E3759"/>
    <s:mergeCell ref="A2062:E2062"/>
    <s:mergeCell ref="A16882:E16882"/>
    <s:mergeCell ref="A2273:E2273"/>
    <s:mergeCell ref="A16577:E16577"/>
    <s:mergeCell ref="A4059:E4059"/>
    <s:mergeCell ref="A1974:E1974"/>
    <s:mergeCell ref="A7395:E7395"/>
    <s:mergeCell ref="A9086:E9086"/>
    <s:mergeCell ref="A7389:E7389"/>
    <s:mergeCell ref="A9175:E9175"/>
    <s:mergeCell ref="A7090:E7090"/>
    <s:mergeCell ref="B19910:E19910"/>
    <s:mergeCell ref="A9392:E9392"/>
    <s:mergeCell ref="A7301:E7301"/>
    <s:mergeCell ref="A204:E204"/>
    <s:mergeCell ref="A7390:E7390"/>
    <s:mergeCell ref="A14508:E14508"/>
    <s:mergeCell ref="A1984:E1984"/>
    <s:mergeCell ref="A504:E504"/>
    <s:mergeCell ref="A14808:E14808"/>
    <s:mergeCell ref="A21421:E21421"/>
    <s:mergeCell ref="A12717:E12717"/>
    <s:mergeCell ref="A199:E199"/>
    <s:mergeCell ref="A23418:E23418"/>
    <s:mergeCell ref="A21633:E21633"/>
    <s:mergeCell ref="A29139:E29139"/>
    <s:mergeCell ref="A27054:E27054"/>
    <s:mergeCell ref="A14536:E14536"/>
    <s:mergeCell ref="A26749:E26749"/>
    <s:mergeCell ref="A16316:E16316"/>
    <s:mergeCell ref="A14231:E14231"/>
    <s:mergeCell ref="A19652:E19652"/>
    <s:mergeCell ref="A29051:E29051"/>
    <s:mergeCell ref="B5863:E5863"/>
    <s:mergeCell ref="A27354:E27354"/>
    <s:mergeCell ref="A14836:E14836"/>
    <s:mergeCell ref="A12751:E12751"/>
    <s:mergeCell ref="A31136:E31136"/>
    <s:mergeCell ref="A21954:E21954"/>
    <s:mergeCell ref="A29140:E29140"/>
    <s:mergeCell ref="A27049:E27049"/>
    <s:mergeCell ref="A5648:E5648"/>
    <s:mergeCell ref="A14531:E14531"/>
    <s:mergeCell ref="A21649:E21649"/>
    <s:mergeCell ref="A19952:E19952"/>
    <s:mergeCell ref="A17867:E17867"/>
    <s:mergeCell ref="A7434:E7434"/>
    <s:mergeCell ref="A5349:E5349"/>
    <s:mergeCell ref="A29351:E29351"/>
    <s:mergeCell ref="A5343:E5343"/>
    <s:mergeCell ref="A3258:E3258"/>
    <s:mergeCell ref="A22254:E22254"/>
    <s:mergeCell ref="A20169:E20169"/>
    <s:mergeCell ref="A21949:E21949"/>
    <s:mergeCell ref="A18167:E18167"/>
    <s:mergeCell ref="B20710:E20710"/>
    <s:mergeCell ref="A12761:E12761"/>
    <s:mergeCell ref="A10676:E10676"/>
    <s:mergeCell ref="A22249:E22249"/>
    <s:mergeCell ref="A25585:E25585"/>
    <s:mergeCell ref="A3274:E3274"/>
    <s:mergeCell ref="A10976:E10976"/>
    <s:mergeCell ref="A25280:E25280"/>
    <s:mergeCell ref="A12762:E12762"/>
    <s:mergeCell ref="A10671:E10671"/>
    <s:mergeCell ref="A3574:E3574"/>
    <s:mergeCell ref="A11276:E11276"/>
    <s:mergeCell ref="B13309:E13309"/>
    <s:mergeCell ref="A3269:E3269"/>
    <s:mergeCell ref="B27607:E27607"/>
    <s:mergeCell ref="A26793:E26793"/>
    <s:mergeCell ref="A5571:E5571"/>
    <s:mergeCell ref="A1789:E1789"/>
    <s:mergeCell ref="A3575:E3575"/>
    <s:mergeCell ref="A12789:E12789"/>
    <s:mergeCell ref="A3569:E3569"/>
    <s:mergeCell ref="A10704:E10704"/>
    <s:mergeCell ref="A27093:E27093"/>
    <s:mergeCell ref="A18389:E18389"/>
    <s:mergeCell ref="A25008:E25008"/>
    <s:mergeCell ref="A3786:E3786"/>
    <s:mergeCell ref="A2089:E2089"/>
    <s:mergeCell ref="B11234:E11234"/>
    <s:mergeCell ref="A10987:E10987"/>
    <s:mergeCell ref="A8902:E8902"/>
    <s:mergeCell ref="A25308:E25308"/>
    <s:mergeCell ref="B11534:E11534"/>
    <s:mergeCell ref="A19603:E19603"/>
    <s:mergeCell ref="A9202:E9202"/>
    <s:mergeCell ref="A18117:E18117"/>
    <s:mergeCell ref="A25324:E25324"/>
    <s:mergeCell ref="A30941:E30941"/>
    <s:mergeCell ref="A10715:E10715"/>
    <s:mergeCell ref="B16562:E16562"/>
    <s:mergeCell ref="A25019:E25019"/>
    <s:mergeCell ref="A20203:E20203"/>
    <s:mergeCell ref="A18118:E18118"/>
    <s:mergeCell ref="A25624:E25624"/>
    <s:mergeCell ref="A23539:E23539"/>
    <s:mergeCell ref="A11021:E11021"/>
    <s:mergeCell ref="A23533:E23533"/>
    <s:mergeCell ref="A11015:E11015"/>
    <s:mergeCell ref="A8930:E8930"/>
    <s:mergeCell ref="B25566:E25566"/>
    <s:mergeCell ref="A18133:E18133"/>
    <s:mergeCell ref="A16048:E16048"/>
    <s:mergeCell ref="A25319:E25319"/>
    <s:mergeCell ref="A23234:E23234"/>
    <s:mergeCell ref="A9535:E9535"/>
    <s:mergeCell ref="A27621:E27621"/>
    <s:mergeCell ref="A25536:E25536"/>
    <s:mergeCell ref="A9230:E9230"/>
    <s:mergeCell ref="A16348:E16348"/>
    <s:mergeCell ref="A23534:E23534"/>
    <s:mergeCell ref="A30652:E30652"/>
    <s:mergeCell ref="A16437:E16437"/>
    <s:mergeCell ref="A14352:E14352"/>
    <s:mergeCell ref="A18128:E18128"/>
    <s:mergeCell ref="A16043:E16043"/>
    <s:mergeCell ref="A16648:E16648"/>
    <s:mergeCell ref="A2039:E2039"/>
    <s:mergeCell ref="A30952:E30952"/>
    <s:mergeCell ref="A16343:E16343"/>
    <s:mergeCell ref="A3825:E3825"/>
    <s:mergeCell ref="A9246:E9246"/>
    <s:mergeCell ref="B15110:E15110"/>
    <s:mergeCell ref="A8941:E8941"/>
    <s:mergeCell ref="A23850:E23850"/>
    <s:mergeCell ref="A9241:E9241"/>
    <s:mergeCell ref="B20526:E20526"/>
    <s:mergeCell ref="A30680:E30680"/>
    <s:mergeCell ref="B22523:E22523"/>
    <s:mergeCell ref="A4297:E4297"/>
    <s:mergeCell ref="B817:E817"/>
    <s:mergeCell ref="B15121:E15121"/>
    <s:mergeCell ref="A21487:E21487"/>
    <s:mergeCell ref="A4597:E4597"/>
    <s:mergeCell ref="A2812:E2812"/>
    <s:mergeCell ref="A28905:E28905"/>
    <s:mergeCell ref="A26820:E26820"/>
    <s:mergeCell ref="A16387:E16387"/>
    <s:mergeCell ref="A4025:E4025"/>
    <s:mergeCell ref="A29211:E29211"/>
    <s:mergeCell ref="A27120:E27120"/>
    <s:mergeCell ref="A14602:E14602"/>
    <s:mergeCell ref="A16843:E16843"/>
    <s:mergeCell ref="A28906:E28906"/>
    <s:mergeCell ref="A4020:E4020"/>
    <s:mergeCell ref="A29117:E29117"/>
    <s:mergeCell ref="A14902:E14902"/>
    <s:mergeCell ref="A4625:E4625"/>
    <s:mergeCell ref="A2540:E2540"/>
    <s:mergeCell ref="A29206:E29206"/>
    <s:mergeCell ref="A11743:E11743"/>
    <s:mergeCell ref="A11438:E11438"/>
    <s:mergeCell ref="A9741:E9741"/>
    <s:mergeCell ref="A7656:E7656"/>
    <s:mergeCell ref="A28933:E28933"/>
    <s:mergeCell ref="A12043:E12043"/>
    <s:mergeCell ref="A9442:E9442"/>
    <s:mergeCell ref="A9958:E9958"/>
    <s:mergeCell ref="A24262:E24262"/>
    <s:mergeCell ref="A24256:E24256"/>
    <s:mergeCell ref="A11738:E11738"/>
    <s:mergeCell ref="A9653:E9653"/>
    <s:mergeCell ref="A17159:E17159"/>
    <s:mergeCell ref="A15074:E15074"/>
    <s:mergeCell ref="A2556:E2556"/>
    <s:mergeCell ref="A9742:E9742"/>
    <s:mergeCell ref="A10258:E10258"/>
    <s:mergeCell ref="A14769:E14769"/>
    <s:mergeCell ref="A2251:E2251"/>
    <s:mergeCell ref="A9953:E9953"/>
    <s:mergeCell ref="B13374:E13374"/>
    <s:mergeCell ref="A2856:E2856"/>
    <s:mergeCell ref="A771:E771"/>
    <s:mergeCell ref="A765:E765"/>
    <s:mergeCell ref="B13075:E13075"/>
    <s:mergeCell ref="A17160:E17160"/>
    <s:mergeCell ref="A15069:E15069"/>
    <s:mergeCell ref="A2551:E2551"/>
    <s:mergeCell ref="B13680:E13680"/>
    <s:mergeCell ref="A16855:E16855"/>
    <s:mergeCell ref="A15674:E15674"/>
    <s:mergeCell ref="B13375:E13375"/>
    <s:mergeCell ref="A2851:E2851"/>
    <s:mergeCell ref="A766:E766"/>
    <s:mergeCell ref="A29406:E29406"/>
    <s:mergeCell ref="A10269:E10269"/>
    <s:mergeCell ref="A8184:E8184"/>
    <s:mergeCell ref="A16888:E16888"/>
    <s:mergeCell ref="A8178:E8178"/>
    <s:mergeCell ref="A14797:E14797"/>
    <s:mergeCell ref="A22488:E22488"/>
    <s:mergeCell ref="A31702:E31702"/>
    <s:mergeCell ref="A31403:E31403"/>
    <s:mergeCell ref="A29706:E29706"/>
    <s:mergeCell ref="A17188:E17188"/>
    <s:mergeCell ref="A15103:E15103"/>
    <s:mergeCell ref="A776:E776"/>
    <s:mergeCell ref="A22215:E22215"/>
    <s:mergeCell ref="A29401:E29401"/>
    <s:mergeCell ref="A22304:E22304"/>
    <s:mergeCell ref="A31703:E31703"/>
    <s:mergeCell ref="A1082:E1082"/>
    <s:mergeCell ref="A29701:E29701"/>
    <s:mergeCell ref="A24301:E24301"/>
    <s:mergeCell ref="A20519:E20519"/>
    <s:mergeCell ref="A22210:E22210"/>
    <s:mergeCell ref="A9692:E9692"/>
    <s:mergeCell ref="A13028:E13028"/>
    <s:mergeCell ref="A22815:E22815"/>
    <s:mergeCell ref="A510:E510"/>
    <s:mergeCell ref="A24601:E24601"/>
    <s:mergeCell ref="A7907:E7907"/>
    <s:mergeCell ref="A29628:E29628"/>
    <s:mergeCell ref="A13328:E13328"/>
    <s:mergeCell ref="A810:E810"/>
    <s:mergeCell ref="A29717:E29717"/>
    <s:mergeCell ref="A15108:E15108"/>
    <s:mergeCell ref="A13023:E13023"/>
    <s:mergeCell ref="A29934:E29934"/>
    <s:mergeCell ref="A29928:E29928"/>
    <s:mergeCell ref="A27843:E27843"/>
    <s:mergeCell ref="A5926:E5926"/>
    <s:mergeCell ref="A13628:E13628"/>
    <s:mergeCell ref="A1110:E1110"/>
    <s:mergeCell ref="A29629:E29629"/>
    <s:mergeCell ref="A6137:E6137"/>
    <s:mergeCell ref="A20441:E20441"/>
    <s:mergeCell ref="B14175:E14175"/>
    <s:mergeCell ref="A6226:E6226"/>
    <s:mergeCell ref="A4141:E4141"/>
    <s:mergeCell ref="A15625:E15625"/>
    <s:mergeCell ref="A21046:E21046"/>
    <s:mergeCell ref="A8528:E8528"/>
    <s:mergeCell ref="A20741:E20741"/>
    <s:mergeCell ref="A8223:E8223"/>
    <s:mergeCell ref="A6138:E6138"/>
    <s:mergeCell ref="A4441:E4441"/>
    <s:mergeCell ref="A11254:E11254"/>
    <s:mergeCell ref="A21041:E21041"/>
    <s:mergeCell ref="A18956:E18956"/>
    <s:mergeCell ref="A11859:E11859"/>
    <s:mergeCell ref="A11554:E11554"/>
    <s:mergeCell ref="B14103:E14103"/>
    <s:mergeCell ref="A13856:E13856"/>
    <s:mergeCell ref="A20469:E20469"/>
    <s:mergeCell ref="A11854:E11854"/>
    <s:mergeCell ref="A18972:E18972"/>
    <s:mergeCell ref="B14403:E14403"/>
    <s:mergeCell ref="A4363:E4363"/>
    <s:mergeCell ref="A20769:E20769"/>
    <s:mergeCell ref="A18667:E18667"/>
    <s:mergeCell ref="A19272:E19272"/>
    <s:mergeCell ref="A17187:E17187"/>
    <s:mergeCell ref="A25885:E25885"/>
    <s:mergeCell ref="A23800:E23800"/>
    <s:mergeCell ref="A4663:E4663"/>
    <s:mergeCell ref="A2578:E2578"/>
    <s:mergeCell ref="A28187:E28187"/>
    <s:mergeCell ref="B26432:E26432"/>
    <s:mergeCell ref="A2878:E2878"/>
    <s:mergeCell ref="A18700:E18700"/>
    <s:mergeCell ref="A26402:E26402"/>
    <s:mergeCell ref="A18395:E18395"/>
    <s:mergeCell ref="A28182:E28182"/>
    <s:mergeCell ref="A31518:E31518"/>
    <s:mergeCell ref="A19000:E19000"/>
    <s:mergeCell ref="A11509:E11509"/>
    <s:mergeCell ref="A31213:E31213"/>
    <s:mergeCell ref="A18695:E18695"/>
    <s:mergeCell ref="A17215:E17215"/>
    <s:mergeCell ref="A11809:E11809"/>
    <s:mergeCell ref="A9724:E9724"/>
    <s:mergeCell ref="A18995:E18995"/>
    <s:mergeCell ref="A16910:E16910"/>
    <s:mergeCell ref="A26113:E26113"/>
    <s:mergeCell ref="A9813:E9813"/>
    <s:mergeCell ref="A11504:E11504"/>
    <s:mergeCell ref="A9807:E9807"/>
    <s:mergeCell ref="A10024:E10024"/>
    <s:mergeCell ref="A26413:E26413"/>
    <s:mergeCell ref="A24328:E24328"/>
    <s:mergeCell ref="A11810:E11810"/>
    <s:mergeCell ref="A24322:E24322"/>
    <s:mergeCell ref="A9719:E9719"/>
    <s:mergeCell ref="A10324:E10324"/>
    <s:mergeCell ref="A16926:E16926"/>
    <s:mergeCell ref="A24628:E24628"/>
    <s:mergeCell ref="A5163:E5163"/>
    <s:mergeCell ref="A31441:E31441"/>
    <s:mergeCell ref="A17226:E17226"/>
    <s:mergeCell ref="A5164:E5164"/>
    <s:mergeCell ref="A29172:E29172"/>
    <s:mergeCell ref="A24356:E24356"/>
    <s:mergeCell ref="B1684:E1684"/>
    <s:mergeCell ref="A29472:E29472"/>
    <s:mergeCell ref="B10277:E10277"/>
    <s:mergeCell ref="A31469:E31469"/>
    <s:mergeCell ref="A29772:E29772"/>
    <s:mergeCell ref="A24372:E24372"/>
    <s:mergeCell ref="A24067:E24067"/>
    <s:mergeCell ref="A24672:E24672"/>
    <s:mergeCell ref="A22587:E22587"/>
    <s:mergeCell ref="A22581:E22581"/>
    <s:mergeCell ref="A24367:E24367"/>
    <s:mergeCell ref="A22282:E22282"/>
    <s:mergeCell ref="A29483:E29483"/>
    <s:mergeCell ref="A22582:E22582"/>
    <s:mergeCell ref="A19423:E19423"/>
    <s:mergeCell ref="A5208:E5208"/>
    <s:mergeCell ref="A3117:E3117"/>
    <s:mergeCell ref="B27945:E27945"/>
    <s:mergeCell ref="A17421:E17421"/>
    <s:mergeCell ref="A4903:E4903"/>
    <s:mergeCell ref="A24539:E24539"/>
    <s:mergeCell ref="A19723:E19723"/>
    <s:mergeCell ref="A15941:E15941"/>
    <s:mergeCell ref="A17632:E17632"/>
    <s:mergeCell ref="A3417:E3417"/>
    <s:mergeCell ref="A10535:E10535"/>
    <s:mergeCell ref="A5203:E5203"/>
    <s:mergeCell ref="A3118:E3118"/>
    <s:mergeCell ref="B14241:E14241"/>
    <s:mergeCell ref="A17938:E17938"/>
    <s:mergeCell ref="A20023:E20023"/>
    <s:mergeCell ref="A3329:E3329"/>
    <s:mergeCell ref="A10835:E10835"/>
    <s:mergeCell ref="A8750:E8750"/>
    <s:mergeCell ref="A23054:E23054"/>
    <s:mergeCell ref="A10536:E10536"/>
    <s:mergeCell ref="A10530:E10530"/>
    <s:mergeCell ref="A8445:E8445"/>
    <s:mergeCell ref="A1348:E1348"/>
    <s:mergeCell ref="A1043:E1043"/>
    <s:mergeCell ref="A3345:E3345"/>
    <s:mergeCell ref="A1648:E1648"/>
    <s:mergeCell ref="A1343:E1343"/>
    <s:mergeCell ref="A8461:E8461"/>
    <s:mergeCell ref="A24867:E24867"/>
    <s:mergeCell ref="A3645:E3645"/>
    <s:mergeCell ref="A17949:E17949"/>
    <s:mergeCell ref="A24562:E24562"/>
    <s:mergeCell ref="A1643:E1643"/>
    <s:mergeCell ref="A8761:E8761"/>
    <s:mergeCell ref="A25167:E25167"/>
    <s:mergeCell ref="A23082:E23082"/>
    <s:mergeCell ref="A3945:E3945"/>
    <s:mergeCell ref="A1860:E1860"/>
    <s:mergeCell ref="A24862:E24862"/>
    <s:mergeCell ref="A22777:E22777"/>
    <s:mergeCell ref="A9061:E9061"/>
    <s:mergeCell ref="A15680:E15680"/>
    <s:mergeCell ref="A15891:E15891"/>
    <s:mergeCell ref="A30195:E30195"/>
    <s:mergeCell ref="A17677:E17677"/>
    <s:mergeCell ref="A15980:E15980"/>
    <s:mergeCell ref="A7276:E7276"/>
    <s:mergeCell ref="A13895:E13895"/>
    <s:mergeCell ref="A8489:E8489"/>
    <s:mergeCell ref="A22793:E22793"/>
    <s:mergeCell ref="B28495:E28495"/>
    <s:mergeCell ref="A30495:E30495"/>
    <s:mergeCell ref="A17977:E17977"/>
    <s:mergeCell ref="A21307:E21307"/>
    <s:mergeCell ref="A8789:E8789"/>
    <s:mergeCell ref="A23093:E23093"/>
    <s:mergeCell ref="A8490:E8490"/>
    <s:mergeCell ref="A8484:E8484"/>
    <s:mergeCell ref="A23304:E23304"/>
    <s:mergeCell ref="A1387:E1387"/>
    <s:mergeCell ref="A7004:E7004"/>
    <s:mergeCell ref="A16207:E16207"/>
    <s:mergeCell ref="A13606:E13606"/>
    <s:mergeCell ref="A23393:E23393"/>
    <s:mergeCell ref="A21308:E21308"/>
    <s:mergeCell ref="A8790:E8790"/>
    <s:mergeCell ref="A8784:E8784"/>
    <s:mergeCell ref="A15902:E15902"/>
    <s:mergeCell ref="A23604:E23604"/>
    <s:mergeCell ref="A30223:E30223"/>
    <s:mergeCell ref="A13906:E13906"/>
    <s:mergeCell ref="A14422:E14422"/>
    <s:mergeCell ref="A28726:E28726"/>
    <s:mergeCell ref="B16449:E16449"/>
    <s:mergeCell ref="A28720:E28720"/>
    <s:mergeCell ref="A16202:E16202"/>
    <s:mergeCell ref="A30506:E30506"/>
    <s:mergeCell ref="A28421:E28421"/>
    <s:mergeCell ref="A15903:E15903"/>
    <s:mergeCell ref="A14206:E14206"/>
    <s:mergeCell ref="A6715:E6715"/>
    <s:mergeCell ref="A14417:E14417"/>
    <s:mergeCell ref="B16450:E16450"/>
    <s:mergeCell ref="A21624:E21624"/>
    <s:mergeCell ref="A19539:E19539"/>
    <s:mergeCell ref="A7015:E7015"/>
    <s:mergeCell ref="A4930:E4930"/>
    <s:mergeCell ref="A7226:E7226"/>
    <s:mergeCell ref="A30234:E30234"/>
    <s:mergeCell ref="A5230:E5230"/>
    <s:mergeCell ref="A14433:E14433"/>
    <s:mergeCell ref="A12348:E12348"/>
    <s:mergeCell ref="A28754:E28754"/>
    <s:mergeCell ref="A28449:E28449"/>
    <s:mergeCell ref="B20081:E20081"/>
    <s:mergeCell ref="A12648:E12648"/>
    <s:mergeCell ref="A19261:E19261"/>
    <s:mergeCell ref="A28749:E28749"/>
    <s:mergeCell ref="A21652:E21652"/>
    <s:mergeCell ref="A19567:E19567"/>
    <s:mergeCell ref="A26679:E26679"/>
    <s:mergeCell ref="A14161:E14161"/>
    <s:mergeCell ref="A12076:E12076"/>
    <s:mergeCell ref="A21558:E21558"/>
    <s:mergeCell ref="A26979:E26979"/>
    <s:mergeCell ref="A12376:E12376"/>
    <s:mergeCell ref="A28765:E28765"/>
    <s:mergeCell ref="A26680:E26680"/>
    <s:mergeCell ref="A26674:E26674"/>
    <s:mergeCell ref="A14156:E14156"/>
    <s:mergeCell ref="A12071:E12071"/>
    <s:mergeCell ref="A4974:E4974"/>
    <s:mergeCell ref="A12676:E12676"/>
    <s:mergeCell ref="A26980:E26980"/>
    <s:mergeCell ref="A12371:E12371"/>
    <s:mergeCell ref="A21574:E21574"/>
    <s:mergeCell ref="A19489:E19489"/>
    <s:mergeCell ref="A17792:E17792"/>
    <s:mergeCell ref="A5274:E5274"/>
    <s:mergeCell ref="A3189:E3189"/>
    <s:mergeCell ref="A3183:E3183"/>
    <s:mergeCell ref="A17487:E17487"/>
    <s:mergeCell ref="B22121:E22121"/>
    <s:mergeCell ref="A3489:E3489"/>
    <s:mergeCell ref="B18034:E18034"/>
    <s:mergeCell ref="A17787:E17787"/>
    <s:mergeCell ref="A26602:E26602"/>
    <s:mergeCell ref="A24905:E24905"/>
    <s:mergeCell ref="A18004:E18004"/>
    <s:mergeCell ref="B25452:E25452"/>
    <s:mergeCell ref="A26902:E26902"/>
    <s:mergeCell ref="A25205:E25205"/>
    <s:mergeCell ref="A23120:E23120"/>
    <s:mergeCell ref="A12843:E12843"/>
    <s:mergeCell ref="A325:E325"/>
    <s:mergeCell ref="A24906:E24906"/>
    <s:mergeCell ref="A23420:E23420"/>
    <s:mergeCell ref="A10902:E10902"/>
    <s:mergeCell ref="A625:E625"/>
    <s:mergeCell ref="B25453:E25453"/>
    <s:mergeCell ref="A7438:E7438"/>
    <s:mergeCell ref="A24933:E24933"/>
    <s:mergeCell ref="A22848:E22848"/>
    <s:mergeCell ref="A5469:E5469"/>
    <s:mergeCell ref="A30566:E30566"/>
    <s:mergeCell ref="A30261:E30261"/>
    <s:mergeCell ref="A17743:E17743"/>
    <s:mergeCell ref="A3684:E3684"/>
    <s:mergeCell ref="A30866:E30866"/>
    <s:mergeCell ref="A30561:E30561"/>
    <s:mergeCell ref="A5681:E5681"/>
    <s:mergeCell ref="A13187:E13187"/>
    <s:mergeCell ref="A25406:E25406"/>
    <s:mergeCell ref="A12882:E12882"/>
    <s:mergeCell ref="A10797:E10797"/>
    <s:mergeCell ref="A11402:E11402"/>
    <s:mergeCell ref="A3395:E3395"/>
    <s:mergeCell ref="A3911:E3911"/>
    <s:mergeCell ref="A11097:E11097"/>
    <s:mergeCell ref="A20300:E20300"/>
    <s:mergeCell ref="A18215:E18215"/>
    <s:mergeCell ref="A27703:E27703"/>
    <s:mergeCell ref="A3695:E3695"/>
    <s:mergeCell ref="A4211:E4211"/>
    <s:mergeCell ref="A5997:E5997"/>
    <s:mergeCell ref="A2215:E2215"/>
    <s:mergeCell ref="A3906:E3906"/>
    <s:mergeCell ref="A18210:E18210"/>
    <s:mergeCell ref="A3995:E3995"/>
    <s:mergeCell ref="A1910:E1910"/>
    <s:mergeCell ref="A18815:E18815"/>
    <s:mergeCell ref="A16730:E16730"/>
    <s:mergeCell ref="A6297:E6297"/>
    <s:mergeCell ref="A4212:E4212"/>
    <s:mergeCell ref="A4206:E4206"/>
    <s:mergeCell ref="A2210:E2210"/>
    <s:mergeCell ref="A11413:E11413"/>
    <s:mergeCell ref="A9328:E9328"/>
    <s:mergeCell ref="A20328:E20328"/>
    <s:mergeCell ref="A11325:E11325"/>
    <s:mergeCell ref="A9628:E9628"/>
    <s:mergeCell ref="A4222:E4222"/>
    <s:mergeCell ref="A2137:E2137"/>
    <s:mergeCell ref="A18543:E18543"/>
    <s:mergeCell ref="A20329:E20329"/>
    <s:mergeCell ref="A18238:E18238"/>
    <s:mergeCell ref="A23659:E23659"/>
    <s:mergeCell ref="A11141:E11141"/>
    <s:mergeCell ref="A2437:E2437"/>
    <s:mergeCell ref="A18843:E18843"/>
    <s:mergeCell ref="A25445:E25445"/>
    <s:mergeCell ref="A25961:E25961"/>
    <s:mergeCell ref="A25656:E25656"/>
    <s:mergeCell ref="A23959:E23959"/>
    <s:mergeCell ref="A2737:E2737"/>
    <s:mergeCell ref="A9356:E9356"/>
    <s:mergeCell ref="A25745:E25745"/>
    <s:mergeCell ref="A23660:E23660"/>
    <s:mergeCell ref="A24176:E24176"/>
    <s:mergeCell ref="A23654:E23654"/>
    <s:mergeCell ref="A1865:E1865"/>
    <s:mergeCell ref="A25956:E25956"/>
    <s:mergeCell ref="A23871:E23871"/>
    <s:mergeCell ref="A9656:E9656"/>
    <s:mergeCell ref="A27742:E27742"/>
    <s:mergeCell ref="A25657:E25657"/>
    <s:mergeCell ref="A23960:E23960"/>
    <s:mergeCell ref="A2165:E2165"/>
    <s:mergeCell ref="A31078:E31078"/>
    <s:mergeCell ref="A31072:E31072"/>
    <s:mergeCell ref="A28987:E28987"/>
    <s:mergeCell ref="A18554:E18554"/>
    <s:mergeCell ref="A16469:E16469"/>
    <s:mergeCell ref="A30773:E30773"/>
    <s:mergeCell ref="A17074:E17074"/>
    <s:mergeCell ref="A14989:E14989"/>
    <s:mergeCell ref="A2465:E2465"/>
    <s:mergeCell ref="B17016:E17016"/>
    <s:mergeCell ref="A16769:E16769"/>
    <s:mergeCell ref="A2166:E2166"/>
    <s:mergeCell ref="A23887:E23887"/>
    <s:mergeCell ref="A2160:E2160"/>
    <s:mergeCell ref="A31073:E31073"/>
    <s:mergeCell ref="A9278:E9278"/>
    <s:mergeCell ref="A7581:E7581"/>
    <s:mergeCell ref="A23582:E23582"/>
    <s:mergeCell ref="A9367:E9367"/>
    <s:mergeCell ref="A7282:E7282"/>
    <s:mergeCell ref="A9883:E9883"/>
    <s:mergeCell ref="A17069:E17069"/>
    <s:mergeCell ref="A24187:E24187"/>
    <s:mergeCell ref="A9578:E9578"/>
    <s:mergeCell ref="B24129:E24129"/>
    <s:mergeCell ref="A23882:E23882"/>
    <s:mergeCell ref="A7582:E7582"/>
    <s:mergeCell ref="A7576:E7576"/>
    <s:mergeCell ref="A14700:E14700"/>
    <s:mergeCell ref="A22402:E22402"/>
    <s:mergeCell ref="A2176:E2176"/>
    <s:mergeCell ref="A91:E91"/>
    <s:mergeCell ref="A696:E696"/>
    <s:mergeCell ref="A15000:E15000"/>
    <s:mergeCell ref="A12909:E12909"/>
    <s:mergeCell ref="A391:E391"/>
    <s:mergeCell ref="A7509:E7509"/>
    <s:mergeCell ref="A14695:E14695"/>
    <s:mergeCell ref="A16997:E16997"/>
    <s:mergeCell ref="A23610:E23610"/>
    <s:mergeCell ref="A691:E691"/>
    <s:mergeCell ref="A7809:E7809"/>
    <s:mergeCell ref="A4027:E4027"/>
    <s:mergeCell ref="A5813:E5813"/>
    <s:mergeCell ref="A7504:E7504"/>
    <s:mergeCell ref="A23910:E23910"/>
    <s:mergeCell ref="A29331:E29331"/>
    <s:mergeCell ref="A8109:E8109"/>
    <s:mergeCell ref="A6024:E6024"/>
    <s:mergeCell ref="A22413:E22413"/>
    <s:mergeCell ref="A29032:E29032"/>
    <s:mergeCell ref="A29026:E29026"/>
    <s:mergeCell ref="A24210:E24210"/>
    <s:mergeCell ref="A27546:E27546"/>
    <s:mergeCell ref="A15028:E15028"/>
    <s:mergeCell ref="B20875:E20875"/>
    <s:mergeCell ref="A29332:E29332"/>
    <s:mergeCell ref="A29326:E29326"/>
    <s:mergeCell ref="B6266:E6266"/>
    <s:mergeCell ref="A27241:E27241"/>
    <s:mergeCell ref="A21841:E21841"/>
    <s:mergeCell ref="A29543:E29543"/>
    <s:mergeCell ref="A13226:E13226"/>
    <s:mergeCell ref="A20355:E20355"/>
    <s:mergeCell ref="B6566:E6566"/>
    <s:mergeCell ref="B22388:E22388"/>
    <s:mergeCell ref="A18359:E18359"/>
    <s:mergeCell ref="A12953:E12953"/>
    <s:mergeCell ref="A21836:E21836"/>
    <s:mergeCell ref="A27257:E27257"/>
    <s:mergeCell ref="A22441:E22441"/>
    <s:mergeCell ref="A20356:E20356"/>
    <s:mergeCell ref="A5747:E5747"/>
    <s:mergeCell ref="A27557:E27557"/>
    <s:mergeCell ref="A25472:E25472"/>
    <s:mergeCell ref="A12954:E12954"/>
    <s:mergeCell ref="A12948:E12948"/>
    <s:mergeCell ref="A10863:E10863"/>
    <s:mergeCell ref="A29859:E29859"/>
    <s:mergeCell ref="A27774:E27774"/>
    <s:mergeCell ref="A29554:E29554"/>
    <s:mergeCell ref="A27469:E27469"/>
    <s:mergeCell ref="A25772:E25772"/>
    <s:mergeCell ref="A20366:E20366"/>
    <s:mergeCell ref="B28016:E28016"/>
    <s:mergeCell ref="B18828:E18828"/>
    <s:mergeCell ref="A8310:E8310"/>
    <s:mergeCell ref="A8304:E8304"/>
    <s:mergeCell ref="A18881:E18881"/>
    <s:mergeCell ref="A8604:E8604"/>
    <s:mergeCell ref="B18823:E18823"/>
    <s:mergeCell ref="A8305:E8305"/>
    <s:mergeCell ref="A1114:E1114"/>
    <s:mergeCell ref="A25727:E25727"/>
    <s:mergeCell ref="A8315:E8315"/>
    <s:mergeCell ref="A6230:E6230"/>
    <s:mergeCell ref="A23725:E23725"/>
    <s:mergeCell ref="A930:E930"/>
    <s:mergeCell ref="A26027:E26027"/>
    <s:mergeCell ref="A6536:E6536"/>
    <s:mergeCell ref="A15750:E15750"/>
    <s:mergeCell ref="A6530:E6530"/>
    <s:mergeCell ref="A13665:E13665"/>
    <s:mergeCell ref="A24031:E24031"/>
    <s:mergeCell ref="A25722:E25722"/>
    <s:mergeCell ref="A27508:E27508"/>
    <s:mergeCell ref="A20567:E20567"/>
    <s:mergeCell ref="A26022:E26022"/>
    <s:mergeCell ref="A15745:E15745"/>
    <s:mergeCell ref="A6563:E6563"/>
    <s:mergeCell ref="A20867:E20867"/>
    <s:mergeCell ref="A20562:E20562"/>
    <s:mergeCell ref="A6863:E6863"/>
    <s:mergeCell ref="A22864:E22864"/>
    <s:mergeCell ref="A19082:E19082"/>
    <s:mergeCell ref="A8649:E8649"/>
    <s:mergeCell ref="A6558:E6558"/>
    <s:mergeCell ref="A13676:E13676"/>
    <s:mergeCell ref="A20862:E20862"/>
    <s:mergeCell ref="A27980:E27980"/>
    <s:mergeCell ref="A11680:E11680"/>
    <s:mergeCell ref="A23164:E23164"/>
    <s:mergeCell ref="A13982:E13982"/>
    <s:mergeCell ref="A13460:E13460"/>
    <s:mergeCell ref="A13976:E13976"/>
    <s:mergeCell ref="A11980:E11980"/>
    <s:mergeCell ref="A4489:E4489"/>
    <s:mergeCell ref="A12191:E12191"/>
    <s:mergeCell ref="A28580:E28580"/>
    <s:mergeCell ref="A26495:E26495"/>
    <s:mergeCell ref="A13977:E13977"/>
    <s:mergeCell ref="A19398:E19398"/>
    <s:mergeCell ref="A4789:E4789"/>
    <s:mergeCell ref="A19093:E19093"/>
    <s:mergeCell ref="A4484:E4484"/>
    <s:mergeCell ref="A26311:E26311"/>
    <s:mergeCell ref="A5089:E5089"/>
    <s:mergeCell ref="A3004:E3004"/>
    <s:mergeCell ref="A19393:E19393"/>
    <s:mergeCell ref="A28308:E28308"/>
    <s:mergeCell ref="A17035:E17035"/>
    <s:mergeCell ref="A4517:E4517"/>
    <s:mergeCell ref="A31339:E31339"/>
    <s:mergeCell ref="A12202:E12202"/>
    <s:mergeCell ref="A10117:E10117"/>
    <s:mergeCell ref="A26523:E26523"/>
    <s:mergeCell ref="A4817:E4817"/>
    <s:mergeCell ref="A2732:E2732"/>
    <s:mergeCell ref="A31639:E31639"/>
    <s:mergeCell ref="A2715:E2715"/>
    <s:mergeCell ref="A19121:E19121"/>
    <s:mergeCell ref="A3320:E3320"/>
    <s:mergeCell ref="A1235:E1235"/>
    <s:mergeCell ref="A9933:E9933"/>
    <s:mergeCell ref="A12235:E12235"/>
    <s:mergeCell ref="A3015:E3015"/>
    <s:mergeCell ref="A19421:E19421"/>
    <s:mergeCell ref="A17336:E17336"/>
    <s:mergeCell ref="A26539:E26539"/>
    <s:mergeCell ref="A24448:E24448"/>
    <s:mergeCell ref="A11930:E11930"/>
    <s:mergeCell ref="A26234:E26234"/>
    <s:mergeCell ref="A1230:E1230"/>
    <s:mergeCell ref="A24754:E24754"/>
    <s:mergeCell ref="A24748:E24748"/>
    <s:mergeCell ref="A2443:E2443"/>
    <s:mergeCell ref="A12230:E12230"/>
    <s:mergeCell ref="A10145:E10145"/>
    <s:mergeCell ref="A19348:E19348"/>
    <s:mergeCell ref="A17263:E17263"/>
    <s:mergeCell ref="A26534:E26534"/>
    <s:mergeCell ref="B3862:E3862"/>
    <s:mergeCell ref="A24449:E24449"/>
    <s:mergeCell ref="A957:E957"/>
    <s:mergeCell ref="A17352:E17352"/>
    <s:mergeCell ref="A17346:E17346"/>
    <s:mergeCell ref="A15261:E15261"/>
    <s:mergeCell ref="B10692:E10692"/>
    <s:mergeCell ref="A2743:E2743"/>
    <s:mergeCell ref="A10445:E10445"/>
    <s:mergeCell ref="A17047:E17047"/>
    <s:mergeCell ref="A15866:E15866"/>
    <s:mergeCell ref="A17258:E17258"/>
    <s:mergeCell ref="A15561:E15561"/>
    <s:mergeCell ref="A3043:E3043"/>
    <s:mergeCell ref="A958:E958"/>
    <s:mergeCell ref="A22679:E22679"/>
    <s:mergeCell ref="B8890:E8890"/>
    <s:mergeCell ref="A17347:E17347"/>
    <s:mergeCell ref="A15778:E15778"/>
    <s:mergeCell ref="A17863:E17863"/>
    <s:mergeCell ref="A9856:E9856"/>
    <s:mergeCell ref="A1258:E1258"/>
    <s:mergeCell ref="A22979:E22979"/>
    <s:mergeCell ref="A20894:E20894"/>
    <s:mergeCell ref="A10461:E10461"/>
    <s:mergeCell ref="A8376:E8376"/>
    <s:mergeCell ref="A8370:E8370"/>
    <s:mergeCell ref="A22674:E22674"/>
    <s:mergeCell ref="A10156:E10156"/>
    <s:mergeCell ref="A3270:E3270"/>
    <s:mergeCell ref="A1185:E1185"/>
    <s:mergeCell ref="A15489:E15489"/>
    <s:mergeCell ref="A30198:E30198"/>
    <s:mergeCell ref="A880:E880"/>
    <s:mergeCell ref="A31590:E31590"/>
    <s:mergeCell ref="A969:E969"/>
    <s:mergeCell ref="A24493:E24493"/>
    <s:mergeCell ref="A15789:E15789"/>
    <s:mergeCell ref="A23007:E23007"/>
    <s:mergeCell ref="A1785:E1785"/>
    <s:mergeCell ref="B21152:E21152"/>
    <s:mergeCell ref="A24793:E24793"/>
    <s:mergeCell ref="A29909:E29909"/>
    <s:mergeCell ref="B23249:E23249"/>
    <s:mergeCell ref="A30126:E30126"/>
    <s:mergeCell ref="A30120:E30120"/>
    <s:mergeCell ref="A28035:E28035"/>
    <s:mergeCell ref="A13820:E13820"/>
    <s:mergeCell ref="A29821:E29821"/>
    <s:mergeCell ref="A28124:E28124"/>
    <s:mergeCell ref="A28640:E28640"/>
    <s:mergeCell ref="B30667:E30667"/>
    <s:mergeCell ref="A22718:E22718"/>
    <s:mergeCell ref="A20633:E20633"/>
    <s:mergeCell ref="B30368:E30368"/>
    <s:mergeCell ref="A30121:E30121"/>
    <s:mergeCell ref="A6629:E6629"/>
    <s:mergeCell ref="A20933:E20933"/>
    <s:mergeCell ref="A8415:E8415"/>
    <s:mergeCell ref="A28051:E28051"/>
    <s:mergeCell ref="A20628:E20628"/>
    <s:mergeCell ref="A13531:E13531"/>
    <s:mergeCell ref="A11446:E11446"/>
    <s:mergeCell ref="A21233:E21233"/>
    <s:mergeCell ref="A19148:E19148"/>
    <s:mergeCell ref="A22930:E22930"/>
    <s:mergeCell ref="A28351:E28351"/>
    <s:mergeCell ref="A6624:E6624"/>
    <s:mergeCell ref="A23019:E23019"/>
    <s:mergeCell ref="A28046:E28046"/>
    <s:mergeCell ref="A11746:E11746"/>
    <s:mergeCell ref="A1469:E1469"/>
    <s:mergeCell ref="A28651:E28651"/>
    <s:mergeCell ref="A26566:E26566"/>
    <s:mergeCell ref="A14048:E14048"/>
    <s:mergeCell ref="A3771:E3771"/>
    <s:mergeCell ref="A3765:E3765"/>
    <s:mergeCell ref="A1164:E1164"/>
    <s:mergeCell ref="A1680:E1680"/>
    <s:mergeCell ref="A28346:E28346"/>
    <s:mergeCell ref="A26261:E26261"/>
    <s:mergeCell ref="A13743:E13743"/>
    <s:mergeCell ref="A12046:E12046"/>
    <s:mergeCell ref="A15984:E15984"/>
    <s:mergeCell ref="A3466:E3466"/>
    <s:mergeCell ref="A1769:E1769"/>
    <s:mergeCell ref="A26866:E26866"/>
    <s:mergeCell ref="A4071:E4071"/>
    <s:mergeCell ref="A1986:E1986"/>
    <s:mergeCell ref="A26561:E26561"/>
    <s:mergeCell ref="A8582:E8582"/>
    <s:mergeCell ref="A16284:E16284"/>
    <s:mergeCell ref="A3766:E3766"/>
    <s:mergeCell ref="A9187:E9187"/>
    <s:mergeCell ref="A7102:E7102"/>
    <s:mergeCell ref="B14590:E14590"/>
    <s:mergeCell ref="A8882:E8882"/>
    <s:mergeCell ref="A7402:E7402"/>
    <s:mergeCell ref="A26594:E26594"/>
    <s:mergeCell ref="A9182:E9182"/>
    <s:mergeCell ref="A7097:E7097"/>
    <s:mergeCell ref="A28374:E28374"/>
    <s:mergeCell ref="A26289:E26289"/>
    <s:mergeCell ref="A31405:E31405"/>
    <s:mergeCell ref="A19492:E19492"/>
    <s:mergeCell ref="A16028:E16028"/>
    <s:mergeCell ref="A7430:E7430"/>
    <s:mergeCell ref="A14542:E14542"/>
    <s:mergeCell ref="A7125:E7125"/>
    <s:mergeCell ref="A16328:E16328"/>
    <s:mergeCell ref="A14332:E14332"/>
    <s:mergeCell ref="A16023:E16023"/>
    <s:mergeCell ref="A1420:E1420"/>
    <s:mergeCell ref="A239:E239"/>
    <s:mergeCell ref="A29146:E29146"/>
    <s:mergeCell ref="A6841:E6841"/>
    <s:mergeCell ref="A14543:E14543"/>
    <s:mergeCell ref="A7052:E7052"/>
    <s:mergeCell ref="A14238:E14238"/>
    <s:mergeCell ref="A7141:E7141"/>
    <s:mergeCell ref="A6836:E6836"/>
    <s:mergeCell ref="A7352:E7352"/>
    <s:mergeCell ref="A21656:E21656"/>
    <s:mergeCell ref="A7441:E7441"/>
    <s:mergeCell ref="A5356:E5356"/>
    <s:mergeCell ref="A7136:E7136"/>
    <s:mergeCell ref="A7652:E7652"/>
    <s:mergeCell ref="A21956:E21956"/>
    <s:mergeCell ref="A7353:E7353"/>
    <s:mergeCell ref="A12774:E12774"/>
    <s:mergeCell ref="A12768:E12768"/>
    <s:mergeCell ref="A250:E250"/>
    <s:mergeCell ref="A14554:E14554"/>
    <s:mergeCell ref="A12469:E12469"/>
    <s:mergeCell ref="A20171:E20171"/>
    <s:mergeCell ref="A5366:E5366"/>
    <s:mergeCell ref="A12769:E12769"/>
    <s:mergeCell ref="A3587:E3587"/>
    <s:mergeCell ref="A7363:E7363"/>
    <s:mergeCell ref="A5278:E5278"/>
    <s:mergeCell ref="A26800:E26800"/>
    <s:mergeCell ref="A14282:E14282"/>
    <s:mergeCell ref="A5578:E5578"/>
    <s:mergeCell ref="A3582:E3582"/>
    <s:mergeCell ref="A29191:E29191"/>
    <s:mergeCell ref="A27106:E27106"/>
    <s:mergeCell ref="A28797:E28797"/>
    <s:mergeCell ref="A27100:E27100"/>
    <s:mergeCell ref="A12497:E12497"/>
    <s:mergeCell ref="A19615:E19615"/>
    <s:mergeCell ref="A3309:E3309"/>
    <s:mergeCell ref="A11000:E11000"/>
    <s:mergeCell ref="B11241:E11241"/>
    <s:mergeCell ref="A19698:E19698"/>
    <s:mergeCell ref="A17613:E17613"/>
    <s:mergeCell ref="A12797:E12797"/>
    <s:mergeCell ref="A3609:E3609"/>
    <s:mergeCell ref="A21695:E21695"/>
    <s:mergeCell ref="A19610:E19610"/>
    <s:mergeCell ref="A17913:E17913"/>
    <s:mergeCell ref="B11242:E11242"/>
    <s:mergeCell ref="A20215:E20215"/>
    <s:mergeCell ref="B20157:E20157"/>
    <s:mergeCell ref="A18213:E18213"/>
    <s:mergeCell ref="A27028:E27028"/>
    <s:mergeCell ref="A25331:E25331"/>
    <s:mergeCell ref="A10728:E10728"/>
    <s:mergeCell ref="A10722:E10722"/>
    <s:mergeCell ref="A25026:E25026"/>
    <s:mergeCell ref="A27328:E27328"/>
    <s:mergeCell ref="A23546:E23546"/>
    <s:mergeCell ref="A11028:E11028"/>
    <s:mergeCell ref="A18140:E18140"/>
    <s:mergeCell ref="A16055:E16055"/>
    <s:mergeCell ref="A25326:E25326"/>
    <s:mergeCell ref="A3537:E3537"/>
    <s:mergeCell ref="A12808:E12808"/>
    <s:mergeCell ref="A10723:E10723"/>
    <s:mergeCell ref="B27875:E27875"/>
    <s:mergeCell ref="A27628:E27628"/>
    <s:mergeCell ref="A25543:E25543"/>
    <s:mergeCell ref="A1535:E1535"/>
    <s:mergeCell ref="A8653:E8653"/>
    <s:mergeCell ref="A16355:E16355"/>
    <s:mergeCell ref="A3837:E3837"/>
    <s:mergeCell ref="A30659:E30659"/>
    <s:mergeCell ref="A18141:E18141"/>
    <s:mergeCell ref="A18135:E18135"/>
    <s:mergeCell ref="A16050:E16050"/>
    <s:mergeCell ref="A3532:E3532"/>
    <s:mergeCell ref="A1835:E1835"/>
    <s:mergeCell ref="A16655:E16655"/>
    <s:mergeCell ref="A4137:E4137"/>
    <s:mergeCell ref="A2052:E2052"/>
    <s:mergeCell ref="A30959:E30959"/>
    <s:mergeCell ref="A8648:E8648"/>
    <s:mergeCell ref="B18383:E18383"/>
    <s:mergeCell ref="A9253:E9253"/>
    <s:mergeCell ref="A7168:E7168"/>
    <s:mergeCell ref="A18168:E18168"/>
    <s:mergeCell ref="A8948:E8948"/>
    <s:mergeCell ref="A30387:E30387"/>
    <s:mergeCell ref="A9165:E9165"/>
    <s:mergeCell ref="A16366:E16366"/>
    <s:mergeCell ref="A22985:E22985"/>
    <s:mergeCell ref="A30687:E30687"/>
    <s:mergeCell ref="B8015:E8015"/>
    <s:mergeCell ref="A9465:E9465"/>
    <s:mergeCell ref="A23285:E23285"/>
    <s:mergeCell ref="A23496:E23496"/>
    <s:mergeCell ref="B824:E824"/>
    <s:mergeCell ref="A25282:E25282"/>
    <s:mergeCell ref="A23585:E23585"/>
    <s:mergeCell ref="A16094:E16094"/>
    <s:mergeCell ref="A23796:E23796"/>
    <s:mergeCell ref="A30398:E30398"/>
    <s:mergeCell ref="A23497:E23497"/>
    <s:mergeCell ref="A21800:E21800"/>
    <s:mergeCell ref="A31003:E31003"/>
    <s:mergeCell ref="A28918:E28918"/>
    <s:mergeCell ref="A28912:E28912"/>
    <s:mergeCell ref="A16394:E16394"/>
    <s:mergeCell ref="A14309:E14309"/>
    <s:mergeCell ref="A30698:E30698"/>
    <s:mergeCell ref="A28613:E28613"/>
    <s:mergeCell ref="A16095:E16095"/>
    <s:mergeCell ref="A14914:E14914"/>
    <s:mergeCell ref="A14004:E14004"/>
    <s:mergeCell ref="A29218:E29218"/>
    <s:mergeCell ref="B14856:E14856"/>
    <s:mergeCell ref="A14609:E14609"/>
    <s:mergeCell ref="A28913:E28913"/>
    <s:mergeCell ref="A16395:E16395"/>
    <s:mergeCell ref="A21816:E21816"/>
    <s:mergeCell ref="A19731:E19731"/>
    <s:mergeCell ref="A23507:E23507"/>
    <s:mergeCell ref="A22027:E22027"/>
    <s:mergeCell ref="A29213:E29213"/>
    <s:mergeCell ref="A11445:E11445"/>
    <s:mergeCell ref="A21811:E21811"/>
    <s:mergeCell ref="A2263:E2263"/>
    <s:mergeCell ref="A11745:E11745"/>
    <s:mergeCell ref="A9660:E9660"/>
    <s:mergeCell ref="A29246:E29246"/>
    <s:mergeCell ref="A2563:E2563"/>
    <s:mergeCell ref="A16867:E16867"/>
    <s:mergeCell ref="A4343:E4343"/>
    <s:mergeCell ref="A2258:E2258"/>
    <s:mergeCell ref="A2863:E2863"/>
    <s:mergeCell ref="A778:E778"/>
    <s:mergeCell ref="A17167:E17167"/>
    <s:mergeCell ref="A2558:E2558"/>
    <s:mergeCell ref="B13382:E13382"/>
    <s:mergeCell ref="A28957:E28957"/>
    <s:mergeCell ref="A26872:E26872"/>
    <s:mergeCell ref="B5980:E5980"/>
    <s:mergeCell ref="B13682:E13682"/>
    <s:mergeCell ref="A27172:E27172"/>
    <s:mergeCell ref="A489:E489"/>
    <s:mergeCell ref="A27166:E27166"/>
    <s:mergeCell ref="A2286:E2286"/>
    <s:mergeCell ref="A9404:E9404"/>
    <s:mergeCell ref="A2891:E2891"/>
    <s:mergeCell ref="A789:E789"/>
    <s:mergeCell ref="A2586:E2586"/>
    <s:mergeCell ref="A22222:E22222"/>
    <s:mergeCell ref="A9704:E9704"/>
    <s:mergeCell ref="A24008:E24008"/>
    <s:mergeCell ref="A1089:E1089"/>
    <s:mergeCell ref="A7708:E7708"/>
    <s:mergeCell ref="A7702:E7702"/>
    <s:mergeCell ref="B20528:E20528"/>
    <s:mergeCell ref="A24613:E24613"/>
    <s:mergeCell ref="A10004:E10004"/>
    <s:mergeCell ref="A7919:E7919"/>
    <s:mergeCell ref="A24308:E24308"/>
    <s:mergeCell ref="A9705:E9705"/>
    <s:mergeCell ref="A13035:E13035"/>
    <s:mergeCell ref="A2602:E2602"/>
    <s:mergeCell ref="A517:E517"/>
    <s:mergeCell ref="A14821:E14821"/>
    <s:mergeCell ref="A24608:E24608"/>
    <s:mergeCell ref="A2297:E2297"/>
    <s:mergeCell ref="A212:E212"/>
    <s:mergeCell ref="A17117:E17117"/>
    <s:mergeCell ref="A13335:E13335"/>
    <s:mergeCell ref="A15115:E15115"/>
    <s:mergeCell ref="A13030:E13030"/>
    <s:mergeCell ref="B27941:E27941"/>
    <s:mergeCell ref="A512:E512"/>
    <s:mergeCell ref="A7630:E7630"/>
    <s:mergeCell ref="A15332:E15332"/>
    <s:mergeCell ref="A1117:E1117"/>
    <s:mergeCell ref="A8235:E8235"/>
    <s:mergeCell ref="A29152:E29152"/>
    <s:mergeCell ref="A20448:E20448"/>
    <s:mergeCell ref="A7930:E7930"/>
    <s:mergeCell ref="A29968:E29968"/>
    <s:mergeCell ref="A20748:E20748"/>
    <s:mergeCell ref="A27367:E27367"/>
    <s:mergeCell ref="A8230:E8230"/>
    <s:mergeCell ref="A739:E739"/>
    <s:mergeCell ref="A31449:E31449"/>
    <s:mergeCell ref="A27667:E27667"/>
    <s:mergeCell ref="A22267:E22267"/>
    <s:mergeCell ref="A1039:E1039"/>
    <s:mergeCell ref="A21962:E21962"/>
    <s:mergeCell ref="A31749:E31749"/>
    <s:mergeCell ref="A29664:E29664"/>
    <s:mergeCell ref="B14110:E14110"/>
    <s:mergeCell ref="A22567:E22567"/>
    <s:mergeCell ref="A4070:E4070"/>
    <s:mergeCell ref="A20476:E20476"/>
    <s:mergeCell ref="B14410:E14410"/>
    <s:mergeCell ref="A4370:E4370"/>
    <s:mergeCell ref="A27894:E27894"/>
    <s:mergeCell ref="A25898:E25898"/>
    <s:mergeCell ref="A13380:E13380"/>
    <s:mergeCell ref="A11289:E11289"/>
    <s:mergeCell ref="A20492:E20492"/>
    <s:mergeCell ref="B6703:E6703"/>
    <s:mergeCell ref="A27678:E27678"/>
    <s:mergeCell ref="A28194:E28194"/>
    <s:mergeCell ref="A29980:E29980"/>
    <s:mergeCell ref="A27895:E27895"/>
    <s:mergeCell ref="A13286:E13286"/>
    <s:mergeCell ref="A18707:E18707"/>
    <s:mergeCell ref="A6189:E6189"/>
    <s:mergeCell ref="A4098:E4098"/>
    <s:mergeCell ref="A20487:E20487"/>
    <s:mergeCell ref="A18402:E18402"/>
    <s:mergeCell ref="A5884:E5884"/>
    <s:mergeCell ref="A4703:E4703"/>
    <s:mergeCell ref="A19007:E19007"/>
    <s:mergeCell ref="A16922:E16922"/>
    <s:mergeCell ref="A6489:E6489"/>
    <s:mergeCell ref="A4404:E4404"/>
    <s:mergeCell ref="A20793:E20793"/>
    <s:mergeCell ref="A11516:E11516"/>
    <s:mergeCell ref="A18702:E18702"/>
    <s:mergeCell ref="A6184:E6184"/>
    <s:mergeCell ref="A25820:E25820"/>
    <s:mergeCell ref="A11605:E11605"/>
    <s:mergeCell ref="A9520:E9520"/>
    <s:mergeCell ref="A11300:E11300"/>
    <s:mergeCell ref="A9731:E9731"/>
    <s:mergeCell ref="A11816:E11816"/>
    <s:mergeCell ref="A26120:E26120"/>
    <s:mergeCell ref="A13602:E13602"/>
    <s:mergeCell ref="A11517:E11517"/>
    <s:mergeCell ref="A9820:E9820"/>
    <s:mergeCell ref="A11511:E11511"/>
    <s:mergeCell ref="A4414:E4414"/>
    <s:mergeCell ref="A2329:E2329"/>
    <s:mergeCell ref="B10278:E10278"/>
    <s:mergeCell ref="A9515:E9515"/>
    <s:mergeCell ref="A11600:E11600"/>
    <s:mergeCell ref="A26420:E26420"/>
    <s:mergeCell ref="A24335:E24335"/>
    <s:mergeCell ref="A11817:E11817"/>
    <s:mergeCell ref="A2629:E2629"/>
    <s:mergeCell ref="A16933:E16933"/>
    <s:mergeCell ref="A2324:E2324"/>
    <s:mergeCell ref="A25848:E25848"/>
    <s:mergeCell ref="A2929:E2929"/>
    <s:mergeCell ref="A17233:E17233"/>
    <s:mergeCell ref="A15148:E15148"/>
    <s:mergeCell ref="A26148:E26148"/>
    <s:mergeCell ref="A24046:E24046"/>
    <s:mergeCell ref="B15695:E15695"/>
    <s:mergeCell ref="A25849:E25849"/>
    <s:mergeCell ref="A25843:E25843"/>
    <s:mergeCell ref="A29179:E29179"/>
    <s:mergeCell ref="A18746:E18746"/>
    <s:mergeCell ref="A16661:E16661"/>
    <s:mergeCell ref="A30965:E30965"/>
    <s:mergeCell ref="A31481:E31481"/>
    <s:mergeCell ref="A2657:E2657"/>
    <s:mergeCell ref="A16961:E16961"/>
    <s:mergeCell ref="A31259:E31259"/>
    <s:mergeCell ref="A23774:E23774"/>
    <s:mergeCell ref="A31476:E31476"/>
    <s:mergeCell ref="A17261:E17261"/>
    <s:mergeCell ref="A24379:E24379"/>
    <s:mergeCell ref="A9770:E9770"/>
    <s:mergeCell ref="A24074:E24074"/>
    <s:mergeCell ref="A24679:E24679"/>
    <s:mergeCell ref="A22594:E22594"/>
    <s:mergeCell ref="A24374:E24374"/>
    <s:mergeCell ref="A22289:E22289"/>
    <s:mergeCell ref="A9771:E9771"/>
    <s:mergeCell ref="A29496:E29496"/>
    <s:mergeCell ref="A31187:E31187"/>
    <s:mergeCell ref="B8515:E8515"/>
    <s:mergeCell ref="A16972:E16972"/>
    <s:mergeCell ref="A14887:E14887"/>
    <s:mergeCell ref="A22589:E22589"/>
    <s:mergeCell ref="A4610:E4610"/>
    <s:mergeCell ref="A29707:E29707"/>
    <s:mergeCell ref="A3130:E3130"/>
    <s:mergeCell ref="A30007:E30007"/>
    <s:mergeCell ref="A5121:E5121"/>
    <s:mergeCell ref="A3125:E3125"/>
    <s:mergeCell ref="A12328:E12328"/>
    <s:mergeCell ref="A3140:E3140"/>
    <s:mergeCell ref="A31215:E31215"/>
    <s:mergeCell ref="A12628:E12628"/>
    <s:mergeCell ref="A10543:E10543"/>
    <s:mergeCell ref="A10537:E10537"/>
    <s:mergeCell ref="A1355:E1355"/>
    <s:mergeCell ref="A31515:E31515"/>
    <s:mergeCell ref="A3141:E3141"/>
    <s:mergeCell ref="A29430:E29430"/>
    <s:mergeCell ref="A22333:E22333"/>
    <s:mergeCell ref="A2836:E2836"/>
    <s:mergeCell ref="A1655:E1655"/>
    <s:mergeCell ref="A3441:E3441"/>
    <s:mergeCell ref="A1356:E1356"/>
    <s:mergeCell ref="A22633:E22633"/>
    <s:mergeCell ref="A10271:E10271"/>
    <s:mergeCell ref="B3594:E3594"/>
    <s:mergeCell ref="A17472:E17472"/>
    <s:mergeCell ref="B2114:E2114"/>
    <s:mergeCell ref="A2869:E2869"/>
    <s:mergeCell ref="A10571:E10571"/>
    <s:mergeCell ref="A19774:E19774"/>
    <s:mergeCell ref="A15687:E15687"/>
    <s:mergeCell ref="A3169:E3169"/>
    <s:mergeCell ref="A17989:E17989"/>
    <s:mergeCell ref="A8769:E8769"/>
    <s:mergeCell ref="A17467:E17467"/>
    <s:mergeCell ref="A15382:E15382"/>
    <s:mergeCell ref="B28208:E28208"/>
    <s:mergeCell ref="A30202:E30202"/>
    <s:mergeCell ref="A19769:E19769"/>
    <s:mergeCell ref="A17684:E17684"/>
    <s:mergeCell ref="A15987:E15987"/>
    <s:mergeCell ref="A3469:E3469"/>
    <s:mergeCell ref="A1384:E1384"/>
    <s:mergeCell ref="A8496:E8496"/>
    <s:mergeCell ref="B26811:E26811"/>
    <s:mergeCell ref="A22800:E22800"/>
    <s:mergeCell ref="A17984:E17984"/>
    <s:mergeCell ref="A23405:E23405"/>
    <s:mergeCell ref="A21320:E21320"/>
    <s:mergeCell ref="A8802:E8802"/>
    <s:mergeCell ref="A8796:E8796"/>
    <s:mergeCell ref="A24797:E24797"/>
    <s:mergeCell ref="B2125:E2125"/>
    <s:mergeCell ref="A23100:E23100"/>
    <s:mergeCell ref="A10582:E10582"/>
    <s:mergeCell ref="A8497:E8497"/>
    <s:mergeCell ref="A8491:E8491"/>
    <s:mergeCell ref="A1394:E1394"/>
    <s:mergeCell ref="A23400:E23400"/>
    <s:mergeCell ref="A8797:E8797"/>
    <s:mergeCell ref="A15915:E15915"/>
    <s:mergeCell ref="A15909:E15909"/>
    <s:mergeCell ref="A3391:E3391"/>
    <s:mergeCell ref="A1306:E1306"/>
    <s:mergeCell ref="A30213:E30213"/>
    <s:mergeCell ref="A1911:E1911"/>
    <s:mergeCell ref="A6422:E6422"/>
    <s:mergeCell ref="A22828:E22828"/>
    <s:mergeCell ref="A1606:E1606"/>
    <s:mergeCell ref="A7027:E7027"/>
    <s:mergeCell ref="A4942:E4942"/>
    <s:mergeCell ref="A6722:E6722"/>
    <s:mergeCell ref="A23128:E23128"/>
    <s:mergeCell ref="A30246:E30246"/>
    <s:mergeCell ref="B21878:E21878"/>
    <s:mergeCell ref="A7022:E7022"/>
    <s:mergeCell ref="A4937:E4937"/>
    <s:mergeCell ref="A28461:E28461"/>
    <s:mergeCell ref="A15937:E15937"/>
    <s:mergeCell ref="A30247:E30247"/>
    <s:mergeCell ref="A13835:E13835"/>
    <s:mergeCell ref="A30241:E30241"/>
    <s:mergeCell ref="A15638:E15638"/>
    <s:mergeCell ref="A22839:E22839"/>
    <s:mergeCell ref="A20754:E20754"/>
    <s:mergeCell ref="A21270:E21270"/>
    <s:mergeCell ref="A21359:E21359"/>
    <s:mergeCell ref="A8841:E8841"/>
    <s:mergeCell ref="A6756:E6756"/>
    <s:mergeCell ref="A6750:E6750"/>
    <s:mergeCell ref="B12597:E12597"/>
    <s:mergeCell ref="A13868:E13868"/>
    <s:mergeCell ref="A21054:E21054"/>
    <s:mergeCell ref="A21570:E21570"/>
    <s:mergeCell ref="A28172:E28172"/>
    <s:mergeCell ref="A26686:E26686"/>
    <s:mergeCell ref="A12083:E12083"/>
    <s:mergeCell ref="A21354:E21354"/>
    <s:mergeCell ref="A19269:E19269"/>
    <s:mergeCell ref="A28472:E28472"/>
    <s:mergeCell ref="A13869:E13869"/>
    <s:mergeCell ref="A12172:E12172"/>
    <s:mergeCell ref="A26992:E26992"/>
    <s:mergeCell ref="A28167:E28167"/>
    <s:mergeCell ref="A12383:E12383"/>
    <s:mergeCell ref="A30469:E30469"/>
    <s:mergeCell ref="A28772:E28772"/>
    <s:mergeCell ref="A26687:E26687"/>
    <s:mergeCell ref="A14163:E14163"/>
    <s:mergeCell ref="A12078:E12078"/>
    <s:mergeCell ref="A4981:E4981"/>
    <s:mergeCell ref="A19285:E19285"/>
    <s:mergeCell ref="B14716:E14716"/>
    <s:mergeCell ref="A26987:E26987"/>
    <s:mergeCell ref="A21581:E21581"/>
    <s:mergeCell ref="A19496:E19496"/>
    <s:mergeCell ref="A28200:E28200"/>
    <s:mergeCell ref="A5281:E5281"/>
    <s:mergeCell ref="A3196:E3196"/>
    <s:mergeCell ref="A4976:E4976"/>
    <s:mergeCell ref="A12094:E12094"/>
    <s:mergeCell ref="A26415:E26415"/>
    <s:mergeCell ref="A12699:E12699"/>
    <s:mergeCell ref="A10614:E10614"/>
    <s:mergeCell ref="A24918:E24918"/>
    <s:mergeCell ref="A12394:E12394"/>
    <s:mergeCell ref="A10309:E10309"/>
    <s:mergeCell ref="A20096:E20096"/>
    <s:mergeCell ref="A26715:E26715"/>
    <s:mergeCell ref="A26698:E26698"/>
    <s:mergeCell ref="B22129:E22129"/>
    <s:mergeCell ref="B20643:E20643"/>
    <s:mergeCell ref="A10609:E10609"/>
    <s:mergeCell ref="A19219:E19219"/>
    <s:mergeCell ref="B25460:E25460"/>
    <s:mergeCell ref="A27031:E27031"/>
    <s:mergeCell ref="A24946:E24946"/>
    <s:mergeCell ref="A24940:E24940"/>
    <s:mergeCell ref="A12422:E12422"/>
    <s:mergeCell ref="A10337:E10337"/>
    <s:mergeCell ref="A19540:E19540"/>
    <s:mergeCell ref="A26726:E26726"/>
    <s:mergeCell ref="A24641:E24641"/>
    <s:mergeCell ref="A17538:E17538"/>
    <s:mergeCell ref="A15453:E15453"/>
    <s:mergeCell ref="A30273:E30273"/>
    <s:mergeCell ref="A17755:E17755"/>
    <s:mergeCell ref="A24941:E24941"/>
    <s:mergeCell ref="A343:E343"/>
    <s:mergeCell ref="A19535:E19535"/>
    <s:mergeCell ref="A17450:E17450"/>
    <s:mergeCell ref="A15753:E15753"/>
    <s:mergeCell ref="B11167:E11167"/>
    <s:mergeCell ref="A18055:E18055"/>
    <s:mergeCell ref="B20082:E20082"/>
    <s:mergeCell ref="A17750:E17750"/>
    <s:mergeCell ref="A24868:E24868"/>
    <s:mergeCell ref="A23171:E23171"/>
    <s:mergeCell ref="A10653:E10653"/>
    <s:mergeCell ref="A12894:E12894"/>
    <s:mergeCell ref="A376:E376"/>
    <s:mergeCell ref="A22866:E22866"/>
    <s:mergeCell ref="A10348:E10348"/>
    <s:mergeCell ref="A71:E71"/>
    <s:mergeCell ref="A25168:E25168"/>
    <s:mergeCell ref="B16800:E16800"/>
    <s:mergeCell ref="A23166:E23166"/>
    <s:mergeCell ref="A10648:E10648"/>
    <s:mergeCell ref="A12889:E12889"/>
    <s:mergeCell ref="A371:E371"/>
    <s:mergeCell ref="A22867:E22867"/>
    <s:mergeCell ref="A5704:E5704"/>
    <s:mergeCell ref="A4007:E4007"/>
    <s:mergeCell ref="A20008:E20008"/>
    <s:mergeCell ref="A3708:E3708"/>
    <s:mergeCell ref="A5399:E5399"/>
    <s:mergeCell ref="A6004:E6004"/>
    <s:mergeCell ref="B18308:E18308"/>
    <s:mergeCell ref="A20308:E20308"/>
    <s:mergeCell ref="A6304:E6304"/>
    <s:mergeCell ref="A4219:E4219"/>
    <s:mergeCell ref="A30312:E30312"/>
    <s:mergeCell ref="A30313:E30313"/>
    <s:mergeCell ref="A30307:E30307"/>
    <s:mergeCell ref="A10848:E10848"/>
    <s:mergeCell ref="A3930:E3930"/>
    <s:mergeCell ref="A11148:E11148"/>
    <s:mergeCell ref="A9063:E9063"/>
    <s:mergeCell ref="A10843:E10843"/>
    <s:mergeCell ref="A27754:E27754"/>
    <s:mergeCell ref="A25663:E25663"/>
    <s:mergeCell ref="A3746:E3746"/>
    <s:mergeCell ref="A27449:E27449"/>
    <s:mergeCell ref="A25752:E25752"/>
    <s:mergeCell ref="A23667:E23667"/>
    <s:mergeCell ref="A1872:E1872"/>
    <s:mergeCell ref="A11143:E11143"/>
    <s:mergeCell ref="A30785:E30785"/>
    <s:mergeCell ref="A18261:E18261"/>
    <s:mergeCell ref="A1961:E1961"/>
    <s:mergeCell ref="A16781:E16781"/>
    <s:mergeCell ref="A4263:E4263"/>
    <s:mergeCell ref="B27000:E27000"/>
    <s:mergeCell ref="A31085:E31085"/>
    <s:mergeCell ref="A18567:E18567"/>
    <s:mergeCell ref="A16476:E16476"/>
    <s:mergeCell ref="A3958:E3958"/>
    <s:mergeCell ref="A2261:E2261"/>
    <s:mergeCell ref="A18262:E18262"/>
    <s:mergeCell ref="A17081:E17081"/>
    <s:mergeCell ref="B27300:E27300"/>
    <s:mergeCell ref="A9074:E9074"/>
    <s:mergeCell ref="A16776:E16776"/>
    <s:mergeCell ref="A4258:E4258"/>
    <s:mergeCell ref="A2173:E2173"/>
    <s:mergeCell ref="A11376:E11376"/>
    <s:mergeCell ref="A7594:E7594"/>
    <s:mergeCell ref="A9285:E9285"/>
    <s:mergeCell ref="A23589:E23589"/>
    <s:mergeCell ref="A2188:E2188"/>
    <s:mergeCell ref="A11071:E11071"/>
    <s:mergeCell ref="A9374:E9374"/>
    <s:mergeCell ref="A7289:E7289"/>
    <s:mergeCell ref="A11676:E11676"/>
    <s:mergeCell ref="A9591:E9591"/>
    <s:mergeCell ref="A18289:E18289"/>
    <s:mergeCell ref="A9585:E9585"/>
    <s:mergeCell ref="A16204:E16204"/>
    <s:mergeCell ref="B24136:E24136"/>
    <s:mergeCell ref="A403:E403"/>
    <s:mergeCell ref="A7589:E7589"/>
    <s:mergeCell ref="A16792:E16792"/>
    <s:mergeCell ref="A14707:E14707"/>
    <s:mergeCell ref="A31113:E31113"/>
    <s:mergeCell ref="A2183:E2183"/>
    <s:mergeCell ref="A98:E98"/>
    <s:mergeCell ref="A16487:E16487"/>
    <s:mergeCell ref="A23622:E23622"/>
    <s:mergeCell ref="A1884:E1884"/>
    <s:mergeCell ref="A703:E703"/>
    <s:mergeCell ref="A15007:E15007"/>
    <s:mergeCell ref="A398:E398"/>
    <s:mergeCell ref="A23922:E23922"/>
    <s:mergeCell ref="A21926:E21926"/>
    <s:mergeCell ref="A23617:E23617"/>
    <s:mergeCell ref="A16520:E16520"/>
    <s:mergeCell ref="A24222:E24222"/>
    <s:mergeCell ref="A30824:E30824"/>
    <s:mergeCell ref="A16215:E16215"/>
    <s:mergeCell ref="A23917:E23917"/>
    <s:mergeCell ref="A31035:E31035"/>
    <s:mergeCell ref="A29338:E29338"/>
    <s:mergeCell ref="A414:E414"/>
    <s:mergeCell ref="A14735:E14735"/>
    <s:mergeCell ref="A126:E126"/>
    <s:mergeCell ref="A29039:E29039"/>
    <s:mergeCell ref="A31124:E31124"/>
    <s:mergeCell ref="A29033:E29033"/>
    <s:mergeCell ref="A109:E109"/>
    <s:mergeCell ref="A16515:E16515"/>
    <s:mergeCell ref="A14430:E14430"/>
    <s:mergeCell ref="A31335:E31335"/>
    <s:mergeCell ref="A29250:E29250"/>
    <s:mergeCell ref="A15035:E15035"/>
    <s:mergeCell ref="B20882:E20882"/>
    <s:mergeCell ref="A31036:E31036"/>
    <s:mergeCell ref="A29339:E29339"/>
    <s:mergeCell ref="B656:E656"/>
    <s:mergeCell ref="A7544:E7544"/>
    <s:mergeCell ref="A14730:E14730"/>
    <s:mergeCell ref="A23933:E23933"/>
    <s:mergeCell ref="A21848:E21848"/>
    <s:mergeCell ref="A7633:E7633"/>
    <s:mergeCell ref="A5548:E5548"/>
    <s:mergeCell ref="A21543:E21543"/>
    <s:mergeCell ref="A142:E142"/>
    <s:mergeCell ref="B22395:E22395"/>
    <s:mergeCell ref="A22148:E22148"/>
    <s:mergeCell ref="A7539:E7539"/>
    <s:mergeCell ref="A12960:E12960"/>
    <s:mergeCell ref="A442:E442"/>
    <s:mergeCell ref="A27270:E27270"/>
    <s:mergeCell ref="A28961:E28961"/>
    <s:mergeCell ref="A14746:E14746"/>
    <s:mergeCell ref="A12661:E12661"/>
    <s:mergeCell ref="A22448:E22448"/>
    <s:mergeCell ref="A137:E137"/>
    <s:mergeCell ref="A14441:E14441"/>
    <s:mergeCell ref="A14957:E14957"/>
    <s:mergeCell ref="B27811:E27811"/>
    <s:mergeCell ref="B15293:E15293"/>
    <s:mergeCell ref="A29261:E29261"/>
    <s:mergeCell ref="A12961:E12961"/>
    <s:mergeCell ref="A443:E443"/>
    <s:mergeCell ref="A12955:E12955"/>
    <s:mergeCell ref="A20079:E20079"/>
    <s:mergeCell ref="A7555:E7555"/>
    <s:mergeCell ref="A5470:E5470"/>
    <s:mergeCell ref="A3773:E3773"/>
    <s:mergeCell ref="A13172:E13172"/>
    <s:mergeCell ref="A15257:E15257"/>
    <s:mergeCell ref="A6075:E6075"/>
    <s:mergeCell ref="B27812:E27812"/>
    <s:mergeCell ref="A18288:E18288"/>
    <s:mergeCell ref="A5770:E5770"/>
    <s:mergeCell ref="A4073:E4073"/>
    <s:mergeCell ref="A20074:E20074"/>
    <s:mergeCell ref="A5859:E5859"/>
    <s:mergeCell ref="A3774:E3774"/>
    <s:mergeCell ref="A6375:E6375"/>
    <s:mergeCell ref="A27292:E27292"/>
    <s:mergeCell ref="A6070:E6070"/>
    <s:mergeCell ref="A11192:E11192"/>
    <s:mergeCell ref="A915:E915"/>
    <s:mergeCell ref="A909:E909"/>
    <s:mergeCell ref="A10887:E10887"/>
    <s:mergeCell ref="A1215:E1215"/>
    <s:mergeCell ref="A20407:E20407"/>
    <s:mergeCell ref="A11187:E11187"/>
    <s:mergeCell ref="A910:E910"/>
    <s:mergeCell ref="A20102:E20102"/>
    <s:mergeCell ref="A27220:E27220"/>
    <s:mergeCell ref="A10914:E10914"/>
    <s:mergeCell ref="A25218:E25218"/>
    <s:mergeCell ref="A25734:E25734"/>
    <s:mergeCell ref="A20402:E20402"/>
    <s:mergeCell ref="A27520:E27520"/>
    <s:mergeCell ref="A25823:E25823"/>
    <s:mergeCell ref="A11220:E11220"/>
    <s:mergeCell ref="A11214:E11214"/>
    <s:mergeCell ref="A27215:E27215"/>
    <s:mergeCell ref="A25518:E25518"/>
    <s:mergeCell ref="A8628:E8628"/>
    <s:mergeCell ref="A6543:E6543"/>
    <s:mergeCell ref="A23433:E23433"/>
    <s:mergeCell ref="A25735:E25735"/>
    <s:mergeCell ref="A24038:E24038"/>
    <s:mergeCell ref="A30851:E30851"/>
    <s:mergeCell ref="A18333:E18333"/>
    <s:mergeCell ref="A18327:E18327"/>
    <s:mergeCell ref="A7751:E7751"/>
    <s:mergeCell ref="A6570:E6570"/>
    <s:mergeCell ref="A18633:E18633"/>
    <s:mergeCell ref="A865:E865"/>
    <s:mergeCell ref="A1165:E1165"/>
    <s:mergeCell ref="A30879:E30879"/>
    <s:mergeCell ref="A15769:E15769"/>
    <s:mergeCell ref="A31179:E31179"/>
    <s:mergeCell ref="A4496:E4496"/>
    <s:mergeCell ref="B9899:E9899"/>
    <s:mergeCell ref="A4796:E4796"/>
    <s:mergeCell ref="A6582:E6582"/>
    <s:mergeCell ref="A13711:E13711"/>
    <s:mergeCell ref="A5096:E5096"/>
    <s:mergeCell ref="A11715:E11715"/>
    <s:mergeCell ref="A4224:E4224"/>
    <s:mergeCell ref="A20613:E20613"/>
    <s:mergeCell ref="A13712:E13712"/>
    <s:mergeCell ref="A20913:E20913"/>
    <s:mergeCell ref="A14012:E14012"/>
    <s:mergeCell ref="A25946:E25946"/>
    <s:mergeCell ref="A19433:E19433"/>
    <s:mergeCell ref="A21124:E21124"/>
    <s:mergeCell ref="A4824:E4824"/>
    <s:mergeCell ref="A20825:E20825"/>
    <s:mergeCell ref="A19128:E19128"/>
    <s:mergeCell ref="A26246:E26246"/>
    <s:mergeCell ref="A11637:E11637"/>
    <s:mergeCell ref="A9940:E9940"/>
    <s:mergeCell ref="A28026:E28026"/>
    <s:mergeCell ref="A25941:E25941"/>
    <s:mergeCell ref="A12242:E12242"/>
    <s:mergeCell ref="A9641:E9641"/>
    <s:mergeCell ref="A10157:E10157"/>
    <s:mergeCell ref="A19428:E19428"/>
    <s:mergeCell ref="B22461:E22461"/>
    <s:mergeCell ref="A26546:E26546"/>
    <s:mergeCell ref="A24461:E24461"/>
    <s:mergeCell ref="A11943:E11943"/>
    <s:mergeCell ref="A11937:E11937"/>
    <s:mergeCell ref="A26241:E26241"/>
    <s:mergeCell ref="A13723:E13723"/>
    <s:mergeCell ref="A17059:E17059"/>
    <s:mergeCell ref="A24761:E24761"/>
    <s:mergeCell ref="A4535:E4535"/>
    <s:mergeCell ref="A2450:E2450"/>
    <s:mergeCell ref="A24456:E24456"/>
    <s:mergeCell ref="A3055:E3055"/>
    <s:mergeCell ref="A17359:E17359"/>
    <s:mergeCell ref="A2750:E2750"/>
    <s:mergeCell ref="B19902:E19902"/>
    <s:mergeCell ref="A9868:E9868"/>
    <s:mergeCell ref="A19139:E19139"/>
    <s:mergeCell ref="A17054:E17054"/>
    <s:mergeCell ref="A19356:E19356"/>
    <s:mergeCell ref="A3050:E3050"/>
    <s:mergeCell ref="A10168:E10168"/>
    <s:mergeCell ref="A26574:E26574"/>
    <s:mergeCell ref="A24489:E24489"/>
    <s:mergeCell ref="A24472:E24472"/>
    <s:mergeCell ref="B19903:E19903"/>
    <s:mergeCell ref="A9863:E9863"/>
    <s:mergeCell ref="B3597:E3597"/>
    <s:mergeCell ref="A681:E681"/>
    <s:mergeCell ref="A10468:E10468"/>
    <s:mergeCell ref="A8383:E8383"/>
    <s:mergeCell ref="A24772:E24772"/>
    <s:mergeCell ref="A22687:E22687"/>
    <s:mergeCell ref="A31385:E31385"/>
    <s:mergeCell ref="B24714:E24714"/>
    <s:mergeCell ref="A31602:E31602"/>
    <s:mergeCell ref="A981:E981"/>
    <s:mergeCell ref="A17387:E17387"/>
    <s:mergeCell ref="A2761:E2761"/>
    <s:mergeCell ref="A676:E676"/>
    <s:mergeCell ref="A9896:E9896"/>
    <s:mergeCell ref="A24200:E24200"/>
    <s:mergeCell ref="A2978:E2978"/>
    <s:mergeCell ref="A10196:E10196"/>
    <s:mergeCell ref="A8111:E8111"/>
    <s:mergeCell ref="A24500:E24500"/>
    <s:mergeCell ref="A9891:E9891"/>
    <s:mergeCell ref="A2794:E2794"/>
    <s:mergeCell ref="A8394:E8394"/>
    <s:mergeCell ref="A24800:E24800"/>
    <s:mergeCell ref="A10191:E10191"/>
    <s:mergeCell ref="A29827:E29827"/>
    <s:mergeCell ref="A17309:E17309"/>
    <s:mergeCell ref="A13527:E13527"/>
    <s:mergeCell ref="A1009:E1009"/>
    <s:mergeCell ref="A31613:E31613"/>
    <s:mergeCell ref="A8694:E8694"/>
    <s:mergeCell ref="A6609:E6609"/>
    <s:mergeCell ref="A15313:E15313"/>
    <s:mergeCell ref="A15829:E15829"/>
    <s:mergeCell ref="A30133:E30133"/>
    <s:mergeCell ref="A30127:E30127"/>
    <s:mergeCell ref="A7822:E7822"/>
    <s:mergeCell ref="A17609:E17609"/>
    <s:mergeCell ref="A1309:E1309"/>
    <s:mergeCell ref="A29828:E29828"/>
    <s:mergeCell ref="A17310:E17310"/>
    <s:mergeCell ref="B30674:E30674"/>
    <s:mergeCell ref="A22725:E22725"/>
    <s:mergeCell ref="A20640:E20640"/>
    <s:mergeCell ref="A8122:E8122"/>
    <s:mergeCell ref="A6425:E6425"/>
    <s:mergeCell ref="A15824:E15824"/>
    <s:mergeCell ref="B30375:E30375"/>
    <s:mergeCell ref="A22426:E22426"/>
    <s:mergeCell ref="A21245:E21245"/>
    <s:mergeCell ref="A30128:E30128"/>
    <s:mergeCell ref="A8727:E8727"/>
    <s:mergeCell ref="A7817:E7817"/>
    <s:mergeCell ref="A22637:E22637"/>
    <s:mergeCell ref="A8422:E8422"/>
    <s:mergeCell ref="B30675:E30675"/>
    <s:mergeCell ref="A22726:E22726"/>
    <s:mergeCell ref="A931:E931"/>
    <s:mergeCell ref="A15840:E15840"/>
    <s:mergeCell ref="A13755:E13755"/>
    <s:mergeCell ref="A13749:E13749"/>
    <s:mergeCell ref="A1231:E1231"/>
    <s:mergeCell ref="A28053:E28053"/>
    <s:mergeCell ref="A29856:E29856"/>
    <s:mergeCell ref="A14055:E14055"/>
    <s:mergeCell ref="A20668:E20668"/>
    <s:mergeCell ref="A26268:E26268"/>
    <s:mergeCell ref="A13750:E13750"/>
    <s:mergeCell ref="A28386:E28386"/>
    <s:mergeCell ref="A30172:E30172"/>
    <s:mergeCell ref="B9:E9"/>
    <s:mergeCell ref="B7195:E7195"/>
    <s:mergeCell ref="A20679:E20679"/>
    <s:mergeCell ref="A18594:E18594"/>
    <s:mergeCell ref="A1704:E1704"/>
    <s:mergeCell ref="A19199:E19199"/>
    <s:mergeCell ref="A6681:E6681"/>
    <s:mergeCell ref="A4596:E4596"/>
    <s:mergeCell ref="B27131:E27131"/>
    <s:mergeCell ref="A20985:E20985"/>
    <s:mergeCell ref="A18894:E18894"/>
    <s:mergeCell ref="A2004:E2004"/>
    <s:mergeCell ref="A28097:E28097"/>
    <s:mergeCell ref="A26012:E26012"/>
    <s:mergeCell ref="A19499:E19499"/>
    <s:mergeCell ref="A19194:E19194"/>
    <s:mergeCell ref="A26312:E26312"/>
    <s:mergeCell ref="A28092:E28092"/>
    <s:mergeCell ref="A26007:E26007"/>
    <s:mergeCell ref="A3212:E3212"/>
    <s:mergeCell ref="A26612:E26612"/>
    <s:mergeCell ref="A3817:E3817"/>
    <s:mergeCell ref="A1732:E1732"/>
    <s:mergeCell ref="A35:E35"/>
    <s:mergeCell ref="A26313:E26313"/>
    <s:mergeCell ref="A1427:E1427"/>
    <s:mergeCell ref="A8933:E8933"/>
    <s:mergeCell ref="A6848:E6848"/>
    <s:mergeCell ref="A14550:E14550"/>
    <s:mergeCell ref="A2032:E2032"/>
    <s:mergeCell ref="A8845:E8845"/>
    <s:mergeCell ref="A7148:E7148"/>
    <s:mergeCell ref="B19968:E19968"/>
    <s:mergeCell ref="A26340:E26340"/>
    <s:mergeCell ref="A6843:E6843"/>
    <s:mergeCell ref="A13961:E13961"/>
    <s:mergeCell ref="A9145:E9145"/>
    <s:mergeCell ref="A7448:E7448"/>
    <s:mergeCell ref="A5363:E5363"/>
    <s:mergeCell ref="B19969:E19969"/>
    <s:mergeCell ref="A14261:E14261"/>
    <s:mergeCell ref="A7360:E7360"/>
    <s:mergeCell ref="A14561:E14561"/>
    <s:mergeCell ref="A12476:E12476"/>
    <s:mergeCell ref="A5379:E5379"/>
    <s:mergeCell ref="A31668:E31668"/>
    <s:mergeCell ref="A7176:E7176"/>
    <s:mergeCell ref="A21996:E21996"/>
    <s:mergeCell ref="A12776:E12776"/>
    <s:mergeCell ref="A13989:E13989"/>
    <s:mergeCell ref="A28293:E28293"/>
    <s:mergeCell ref="A28898:E28898"/>
    <s:mergeCell ref="A14295:E14295"/>
    <s:mergeCell ref="A14289:E14289"/>
    <s:mergeCell ref="A21407:E21407"/>
    <s:mergeCell ref="A28593:E28593"/>
    <s:mergeCell ref="A12809:E12809"/>
    <s:mergeCell ref="A27113:E27113"/>
    <s:mergeCell ref="A28804:E28804"/>
    <s:mergeCell ref="A12504:E12504"/>
    <s:mergeCell ref="A21707:E21707"/>
    <s:mergeCell ref="A19622:E19622"/>
    <s:mergeCell ref="A26808:E26808"/>
    <s:mergeCell ref="A19711:E19711"/>
    <s:mergeCell ref="A21402:E21402"/>
    <s:mergeCell ref="A19922:E19922"/>
    <s:mergeCell ref="A27108:E27108"/>
    <s:mergeCell ref="A5313:E5313"/>
    <s:mergeCell ref="A21702:E21702"/>
    <s:mergeCell ref="A19617:E19617"/>
    <s:mergeCell ref="A7099:E7099"/>
    <s:mergeCell ref="A12520:E12520"/>
    <s:mergeCell ref="A20222:E20222"/>
    <s:mergeCell ref="A12215:E12215"/>
    <s:mergeCell ref="A11034:E11034"/>
    <s:mergeCell ref="A12820:E12820"/>
    <s:mergeCell ref="A10735:E10735"/>
    <s:mergeCell ref="A10729:E10729"/>
    <s:mergeCell ref="A27124:E27124"/>
    <s:mergeCell ref="A5329:E5329"/>
    <s:mergeCell ref="A12515:E12515"/>
    <s:mergeCell ref="A3333:E3333"/>
    <s:mergeCell ref="A5629:E5629"/>
    <s:mergeCell ref="A3544:E3544"/>
    <s:mergeCell ref="A1847:E1847"/>
    <s:mergeCell ref="A10730:E10730"/>
    <s:mergeCell ref="A17848:E17848"/>
    <s:mergeCell ref="A3633:E3633"/>
    <s:mergeCell ref="A5324:E5324"/>
    <s:mergeCell ref="A3239:E3239"/>
    <s:mergeCell ref="A8660:E8660"/>
    <s:mergeCell ref="A3844:E3844"/>
    <s:mergeCell ref="B26097:E26097"/>
    <s:mergeCell ref="A18148:E18148"/>
    <s:mergeCell ref="B5871:E5871"/>
    <s:mergeCell ref="B4391:E4391"/>
    <s:mergeCell ref="A25366:E25366"/>
    <s:mergeCell ref="A4144:E4144"/>
    <s:mergeCell ref="A10763:E10763"/>
    <s:mergeCell ref="A26758:E26758"/>
    <s:mergeCell ref="A19661:E19661"/>
    <s:mergeCell ref="A9260:E9260"/>
    <s:mergeCell ref="A11046:E11046"/>
    <s:mergeCell ref="A18175:E18175"/>
    <s:mergeCell ref="B4386:E4386"/>
    <s:mergeCell ref="A30394:E30394"/>
    <s:mergeCell ref="A19961:E19961"/>
    <s:mergeCell ref="A17876:E17876"/>
    <s:mergeCell ref="A16179:E16179"/>
    <s:mergeCell ref="B16620:E16620"/>
    <s:mergeCell ref="A25077:E25077"/>
    <s:mergeCell ref="A22992:E22992"/>
    <s:mergeCell ref="A10474:E10474"/>
    <s:mergeCell ref="A1770:E1770"/>
    <s:mergeCell ref="A18176:E18176"/>
    <s:mergeCell ref="A25294:E25294"/>
    <s:mergeCell ref="A8988:E8988"/>
    <s:mergeCell ref="A24989:E24989"/>
    <s:mergeCell ref="A23292:E23292"/>
    <s:mergeCell ref="A10774:E10774"/>
    <s:mergeCell ref="A2070:E2070"/>
    <s:mergeCell ref="B16621:E16621"/>
    <s:mergeCell ref="A25594:E25594"/>
    <s:mergeCell ref="A3283:E3283"/>
    <s:mergeCell ref="A22987:E22987"/>
    <s:mergeCell ref="A25289:E25289"/>
    <s:mergeCell ref="A23592:E23592"/>
    <s:mergeCell ref="A8989:E8989"/>
    <s:mergeCell ref="A30710:E30710"/>
    <s:mergeCell ref="A16107:E16107"/>
    <s:mergeCell ref="A16101:E16101"/>
    <s:mergeCell ref="A3583:E3583"/>
    <s:mergeCell ref="A1498:E1498"/>
    <s:mergeCell ref="A30405:E30405"/>
    <s:mergeCell ref="A14621:E14621"/>
    <s:mergeCell ref="A23504:E23504"/>
    <s:mergeCell ref="A28925:E28925"/>
    <s:mergeCell ref="A16407:E16407"/>
    <s:mergeCell ref="A16401:E16401"/>
    <s:mergeCell ref="A1798:E1798"/>
    <s:mergeCell ref="A101:E101"/>
    <s:mergeCell ref="A30705:E30705"/>
    <s:mergeCell ref="A8916:E8916"/>
    <s:mergeCell ref="A18187:E18187"/>
    <s:mergeCell ref="A16102:E16102"/>
    <s:mergeCell ref="A28620:E28620"/>
    <s:mergeCell ref="A6914:E6914"/>
    <s:mergeCell ref="A2098:E2098"/>
    <s:mergeCell ref="A9216:E9216"/>
    <s:mergeCell ref="A7519:E7519"/>
    <s:mergeCell ref="A16402:E16402"/>
    <s:mergeCell ref="A28920:E28920"/>
    <s:mergeCell ref="A23520:E23520"/>
    <s:mergeCell ref="A23514:E23514"/>
    <s:mergeCell ref="A21429:E21429"/>
    <s:mergeCell ref="A10996:E10996"/>
    <s:mergeCell ref="A8911:E8911"/>
    <s:mergeCell ref="A7214:E7214"/>
    <s:mergeCell ref="A5129:E5129"/>
    <s:mergeCell ref="B543:E543"/>
    <s:mergeCell ref="A9516:E9516"/>
    <s:mergeCell ref="A7431:E7431"/>
    <s:mergeCell ref="A16129:E16129"/>
    <s:mergeCell ref="A23820:E23820"/>
    <s:mergeCell ref="A30433:E30433"/>
    <s:mergeCell ref="A30733:E30733"/>
    <s:mergeCell ref="A4356:E4356"/>
    <s:mergeCell ref="A4350:E4350"/>
    <s:mergeCell ref="A2265:E2265"/>
    <s:mergeCell ref="A21851:E21851"/>
    <s:mergeCell ref="A28664:E28664"/>
    <s:mergeCell ref="A30444:E30444"/>
    <s:mergeCell ref="A28359:E28359"/>
    <s:mergeCell ref="A12575:E12575"/>
    <s:mergeCell ref="A28964:E28964"/>
    <s:mergeCell ref="A14361:E14361"/>
    <s:mergeCell ref="A14355:E14355"/>
    <s:mergeCell ref="A28659:E28659"/>
    <s:mergeCell ref="A29175:E29175"/>
    <s:mergeCell ref="A19477:E19477"/>
    <s:mergeCell ref="A27179:E27179"/>
    <s:mergeCell ref="A21773:E21773"/>
    <s:mergeCell ref="A9411:E9411"/>
    <s:mergeCell ref="A19777:E19777"/>
    <s:mergeCell ref="A9711:E9711"/>
    <s:mergeCell ref="A21774:E21774"/>
    <s:mergeCell ref="A7715:E7715"/>
    <s:mergeCell ref="B20535:E20535"/>
    <s:mergeCell ref="A2309:E2309"/>
    <s:mergeCell ref="A10011:E10011"/>
    <s:mergeCell ref="A9712:E9712"/>
    <s:mergeCell ref="B13133:E13133"/>
    <s:mergeCell ref="A15133:E15133"/>
    <s:mergeCell ref="A15127:E15127"/>
    <s:mergeCell ref="B27437:E27437"/>
    <s:mergeCell ref="A524:E524"/>
    <s:mergeCell ref="A31128:E31128"/>
    <s:mergeCell ref="A16913:E16913"/>
    <s:mergeCell ref="A14828:E14828"/>
    <s:mergeCell ref="A2310:E2310"/>
    <s:mergeCell ref="A1129:E1129"/>
    <s:mergeCell ref="A2304:E2304"/>
    <s:mergeCell ref="A219:E219"/>
    <s:mergeCell ref="A17130:E17130"/>
    <s:mergeCell ref="A15128:E15128"/>
    <s:mergeCell ref="A22246:E22246"/>
    <s:mergeCell ref="A9722:E9722"/>
    <s:mergeCell ref="A7637:E7637"/>
    <s:mergeCell ref="A2337:E2337"/>
    <s:mergeCell ref="A22546:E22546"/>
    <s:mergeCell ref="A7937:E7937"/>
    <s:mergeCell ref="A840:E840"/>
    <s:mergeCell ref="A552:E552"/>
    <s:mergeCell ref="A22274:E22274"/>
    <s:mergeCell ref="A1052:E1052"/>
    <s:mergeCell ref="A7665:E7665"/>
    <s:mergeCell ref="A24054:E24054"/>
    <s:mergeCell ref="A21969:E21969"/>
    <s:mergeCell ref="A8270:E8270"/>
    <s:mergeCell ref="A22574:E22574"/>
    <s:mergeCell ref="A20489:E20489"/>
    <s:mergeCell ref="A263:E263"/>
    <s:mergeCell ref="A7965:E7965"/>
    <s:mergeCell ref="A15083:E15083"/>
    <s:mergeCell ref="A22269:E22269"/>
    <s:mergeCell ref="A29387:E29387"/>
    <s:mergeCell ref="A15172:E15172"/>
    <s:mergeCell ref="A13087:E13087"/>
    <s:mergeCell ref="A13081:E13081"/>
    <s:mergeCell ref="A29082:E29082"/>
    <s:mergeCell ref="A15383:E15383"/>
    <s:mergeCell ref="A13298:E13298"/>
    <s:mergeCell ref="A29687:E29687"/>
    <s:mergeCell ref="A15078:E15078"/>
    <s:mergeCell ref="A20499:E20499"/>
    <s:mergeCell ref="A18414:E18414"/>
    <s:mergeCell ref="A7981:E7981"/>
    <s:mergeCell ref="A5896:E5896"/>
    <s:mergeCell ref="A13598:E13598"/>
    <s:mergeCell ref="A20200:E20200"/>
    <s:mergeCell ref="A29987:E29987"/>
    <s:mergeCell ref="A27902:E27902"/>
    <s:mergeCell ref="A7676:E7676"/>
    <s:mergeCell ref="A5591:E5591"/>
    <s:mergeCell ref="A18714:E18714"/>
    <s:mergeCell ref="A6196:E6196"/>
    <s:mergeCell ref="A20500:E20500"/>
    <s:mergeCell ref="A20494:E20494"/>
    <s:mergeCell ref="A18409:E18409"/>
    <s:mergeCell ref="A5891:E5891"/>
    <s:mergeCell ref="A11312:E11312"/>
    <s:mergeCell ref="A6496:E6496"/>
    <s:mergeCell ref="A4411:E4411"/>
    <s:mergeCell ref="B6438:E6438"/>
    <s:mergeCell ref="B13556:E13556"/>
    <s:mergeCell ref="A11313:E11313"/>
    <s:mergeCell ref="A13609:E13609"/>
    <s:mergeCell ref="A11524:E11524"/>
    <s:mergeCell ref="A4427:E4427"/>
    <s:mergeCell ref="A4421:E4421"/>
    <s:mergeCell ref="A2336:E2336"/>
    <s:mergeCell ref="A4122:E4122"/>
    <s:mergeCell ref="A2636:E2636"/>
    <s:mergeCell ref="A27341:E27341"/>
    <s:mergeCell ref="A4422:E4422"/>
    <s:mergeCell ref="A27946:E27946"/>
    <s:mergeCell ref="A25855:E25855"/>
    <s:mergeCell ref="B21269:E21269"/>
    <s:mergeCell ref="B27888:E27888"/>
    <s:mergeCell ref="A27641:E27641"/>
    <s:mergeCell ref="A23859:E23859"/>
    <s:mergeCell ref="A18453:E18453"/>
    <s:mergeCell ref="A3850:E3850"/>
    <s:mergeCell ref="A25856:E25856"/>
    <s:mergeCell ref="A31277:E31277"/>
    <s:mergeCell ref="A18759:E18759"/>
    <s:mergeCell ref="A18753:E18753"/>
    <s:mergeCell ref="A16668:E16668"/>
    <s:mergeCell ref="A4150:E4150"/>
    <s:mergeCell ref="A25871:E25871"/>
    <s:mergeCell ref="A30972:E30972"/>
    <s:mergeCell ref="A16363:E16363"/>
    <s:mergeCell ref="A31577:E31577"/>
    <s:mergeCell ref="A9266:E9266"/>
    <s:mergeCell ref="A16968:E16968"/>
    <s:mergeCell ref="A2365:E2365"/>
    <s:mergeCell ref="A24086:E24086"/>
    <s:mergeCell ref="A11568:E11568"/>
    <s:mergeCell ref="A25866:E25866"/>
    <s:mergeCell ref="A23781:E23781"/>
    <s:mergeCell ref="A11263:E11263"/>
    <s:mergeCell ref="A9566:E9566"/>
    <s:mergeCell ref="A10082:E10082"/>
    <s:mergeCell ref="A24386:E24386"/>
    <s:mergeCell ref="A11868:E11868"/>
    <s:mergeCell ref="A9777:E9777"/>
    <s:mergeCell ref="A24081:E24081"/>
    <s:mergeCell ref="A11563:E11563"/>
    <s:mergeCell ref="A7781:E7781"/>
    <s:mergeCell ref="A16984:E16984"/>
    <s:mergeCell ref="A14899:E14899"/>
    <s:mergeCell ref="A2375:E2375"/>
    <s:mergeCell ref="A16679:E16679"/>
    <s:mergeCell ref="A24381:E24381"/>
    <s:mergeCell ref="A2076:E2076"/>
    <s:mergeCell ref="A9778:E9778"/>
    <s:mergeCell ref="A15199:E15199"/>
    <s:mergeCell ref="A2681:E2681"/>
    <s:mergeCell ref="A16979:E16979"/>
    <s:mergeCell ref="A14894:E14894"/>
    <s:mergeCell ref="A7797:E7797"/>
    <s:mergeCell ref="A17196:E17196"/>
    <s:mergeCell ref="A23809:E23809"/>
    <s:mergeCell ref="A24414:E24414"/>
    <s:mergeCell ref="A15194:E15194"/>
    <s:mergeCell ref="A22312:E22312"/>
    <s:mergeCell ref="A12035:E12035"/>
    <s:mergeCell ref="A24109:E24109"/>
    <s:mergeCell ref="A31227:E31227"/>
    <s:mergeCell ref="A31316:E31316"/>
    <s:mergeCell ref="A22612:E22612"/>
    <s:mergeCell ref="A29231:E29231"/>
    <s:mergeCell ref="A29225:E29225"/>
    <s:mergeCell ref="A12335:E12335"/>
    <s:mergeCell ref="A31527:E31527"/>
    <s:mergeCell ref="A29442:E29442"/>
    <s:mergeCell ref="A29531:E29531"/>
    <s:mergeCell ref="A31222:E31222"/>
    <s:mergeCell ref="A10550:E10550"/>
    <s:mergeCell ref="A22040:E22040"/>
    <s:mergeCell ref="B13672:E13672"/>
    <s:mergeCell ref="B31769:E31769"/>
    <s:mergeCell ref="A22340:E22340"/>
    <s:mergeCell ref="A7731:E7731"/>
    <s:mergeCell ref="A24120:E24120"/>
    <s:mergeCell ref="A22035:E22035"/>
    <s:mergeCell ref="A29153:E29153"/>
    <s:mergeCell ref="A14938:E14938"/>
    <s:mergeCell ref="A22640:E22640"/>
    <s:mergeCell ref="B28487:E28487"/>
    <s:mergeCell ref="A29758:E29758"/>
    <s:mergeCell ref="B21390:E21390"/>
    <s:mergeCell ref="A29453:E29453"/>
    <s:mergeCell ref="A2876:E2876"/>
    <s:mergeCell ref="A3087:E3087"/>
    <s:mergeCell ref="A29753:E29753"/>
    <s:mergeCell ref="A3176:E3176"/>
    <s:mergeCell ref="B28215:E28215"/>
    <s:mergeCell ref="A9989:E9989"/>
    <s:mergeCell ref="B15691:E15691"/>
    <s:mergeCell ref="A17691:E17691"/>
    <s:mergeCell ref="A3476:E3476"/>
    <s:mergeCell ref="B6509:E6509"/>
    <s:mergeCell ref="A10594:E10594"/>
    <s:mergeCell ref="A24898:E24898"/>
    <s:mergeCell ref="B6809:E6809"/>
    <s:mergeCell ref="A10589:E10589"/>
    <s:mergeCell ref="A8504:E8504"/>
    <s:mergeCell ref="A17707:E17707"/>
    <s:mergeCell ref="A1407:E1407"/>
    <s:mergeCell ref="A3098:E3098"/>
    <s:mergeCell ref="A17402:E17402"/>
    <s:mergeCell ref="A1102:E1102"/>
    <s:mergeCell ref="A8804:E8804"/>
    <s:mergeCell ref="A18007:E18007"/>
    <s:mergeCell ref="A15922:E15922"/>
    <s:mergeCell ref="A3404:E3404"/>
    <s:mergeCell ref="A3398:E3398"/>
    <s:mergeCell ref="A1313:E1313"/>
    <s:mergeCell ref="A30226:E30226"/>
    <s:mergeCell ref="B28831:E28831"/>
    <s:mergeCell ref="A1402:E1402"/>
    <s:mergeCell ref="A17435:E17435"/>
    <s:mergeCell ref="A8820:E8820"/>
    <s:mergeCell ref="A6735:E6735"/>
    <s:mergeCell ref="A30253:E30253"/>
    <s:mergeCell ref="A15650:E15650"/>
    <s:mergeCell ref="A17430:E17430"/>
    <s:mergeCell ref="A31734:E31734"/>
    <s:mergeCell ref="A30553:E30553"/>
    <s:mergeCell ref="A15950:E15950"/>
    <s:mergeCell ref="A30254:E30254"/>
    <s:mergeCell ref="A30248:E30248"/>
    <s:mergeCell ref="A15645:E15645"/>
    <s:mergeCell ref="A24848:E24848"/>
    <s:mergeCell ref="A21066:E21066"/>
    <s:mergeCell ref="A8548:E8548"/>
    <s:mergeCell ref="A6457:E6457"/>
    <s:mergeCell ref="A14148:E14148"/>
    <s:mergeCell ref="A22846:E22846"/>
    <s:mergeCell ref="A20761:E20761"/>
    <s:mergeCell ref="A23063:E23063"/>
    <s:mergeCell ref="A21366:E21366"/>
    <s:mergeCell ref="A8848:E8848"/>
    <s:mergeCell ref="A6763:E6763"/>
    <s:mergeCell ref="A13875:E13875"/>
    <s:mergeCell ref="A21061:E21061"/>
    <s:mergeCell ref="A30264:E30264"/>
    <s:mergeCell ref="A28179:E28179"/>
    <s:mergeCell ref="A23363:E23363"/>
    <s:mergeCell ref="A16266:E16266"/>
    <s:mergeCell ref="A1657:E1657"/>
    <s:mergeCell ref="A30176:E30176"/>
    <s:mergeCell ref="A28479:E28479"/>
    <s:mergeCell ref="A15961:E15961"/>
    <s:mergeCell ref="A13876:E13876"/>
    <s:mergeCell ref="A13870:E13870"/>
    <s:mergeCell ref="A1352:E1352"/>
    <s:mergeCell ref="B14722:E14722"/>
    <s:mergeCell ref="A6773:E6773"/>
    <s:mergeCell ref="A28779:E28779"/>
    <s:mergeCell ref="A26694:E26694"/>
    <s:mergeCell ref="A8770:E8770"/>
    <s:mergeCell ref="A6685:E6685"/>
    <s:mergeCell ref="A4988:E4988"/>
    <s:mergeCell ref="B14723:E14723"/>
    <s:mergeCell ref="A6774:E6774"/>
    <s:mergeCell ref="A21594:E21594"/>
    <s:mergeCell ref="A5288:E5288"/>
    <s:mergeCell ref="A4983:E4983"/>
    <s:mergeCell ref="A20805:E20805"/>
    <s:mergeCell ref="A12101:E12101"/>
    <s:mergeCell ref="A28507:E28507"/>
    <s:mergeCell ref="A7285:E7285"/>
    <s:mergeCell ref="A5200:E5200"/>
    <s:mergeCell ref="A12401:E12401"/>
    <s:mergeCell ref="B7832:E7832"/>
    <s:mergeCell ref="A10316:E10316"/>
    <s:mergeCell ref="A19020:E19020"/>
    <s:mergeCell ref="A12102:E12102"/>
    <s:mergeCell ref="A21316:E21316"/>
    <s:mergeCell ref="A3519:E3519"/>
    <s:mergeCell ref="A1434:E1434"/>
    <s:mergeCell ref="A26133:E26133"/>
    <s:mergeCell ref="A21317:E21317"/>
    <s:mergeCell ref="A26738:E26738"/>
    <s:mergeCell ref="A14220:E14220"/>
    <s:mergeCell ref="A12135:E12135"/>
    <s:mergeCell ref="A12129:E12129"/>
    <s:mergeCell ref="A21617:E21617"/>
    <s:mergeCell ref="B10879:E10879"/>
    <s:mergeCell ref="A24953:E24953"/>
    <s:mergeCell ref="A4727:E4727"/>
    <s:mergeCell ref="A2642:E2642"/>
    <s:mergeCell ref="A12429:E12429"/>
    <s:mergeCell ref="A19547:E19547"/>
    <s:mergeCell ref="A17462:E17462"/>
    <s:mergeCell ref="A26733:E26733"/>
    <s:mergeCell ref="A24648:E24648"/>
    <s:mergeCell ref="A2942:E2942"/>
    <s:mergeCell ref="B10874:E10874"/>
    <s:mergeCell ref="A17762:E17762"/>
    <s:mergeCell ref="B19795:E19795"/>
    <s:mergeCell ref="A19548:E19548"/>
    <s:mergeCell ref="A19542:E19542"/>
    <s:mergeCell ref="A17457:E17457"/>
    <s:mergeCell ref="A3242:E3242"/>
    <s:mergeCell ref="A22878:E22878"/>
    <s:mergeCell ref="A10360:E10360"/>
    <s:mergeCell ref="A24664:E24664"/>
    <s:mergeCell ref="B20089:E20089"/>
    <s:mergeCell ref="A12140:E12140"/>
    <s:mergeCell ref="A10055:E10055"/>
    <s:mergeCell ref="A24359:E24359"/>
    <s:mergeCell ref="A23178:E23178"/>
    <s:mergeCell ref="A10660:E10660"/>
    <s:mergeCell ref="A8575:E8575"/>
    <s:mergeCell ref="A24964:E24964"/>
    <s:mergeCell ref="A10355:E10355"/>
    <s:mergeCell ref="B20090:E20090"/>
    <s:mergeCell ref="A8875:E8875"/>
    <s:mergeCell ref="A10655:E10655"/>
    <s:mergeCell ref="A8570:E8570"/>
    <s:mergeCell ref="A7496:E7496"/>
    <s:mergeCell ref="B1931:E1931"/>
    <s:mergeCell ref="A24692:E24692"/>
    <s:mergeCell ref="A5711:E5711"/>
    <s:mergeCell ref="A30292:E30292"/>
    <s:mergeCell ref="B2231:E2231"/>
    <s:mergeCell ref="A24992:E24992"/>
    <s:mergeCell ref="A22907:E22907"/>
    <s:mergeCell ref="A6011:E6011"/>
    <s:mergeCell ref="A17501:E17501"/>
    <s:mergeCell ref="A30319:E30319"/>
    <s:mergeCell ref="A17801:E17801"/>
    <s:mergeCell ref="A17496:E17496"/>
    <s:mergeCell ref="A22917:E22917"/>
    <s:mergeCell ref="A16016:E16016"/>
    <s:mergeCell ref="A22618:E22618"/>
    <s:mergeCell ref="A30320:E30320"/>
    <s:mergeCell ref="A24914:E24914"/>
    <s:mergeCell ref="A10855:E10855"/>
    <s:mergeCell ref="A12852:E12852"/>
    <s:mergeCell ref="A11155:E11155"/>
    <s:mergeCell ref="A13457:E13457"/>
    <s:mergeCell ref="A10856:E10856"/>
    <s:mergeCell ref="A25676:E25676"/>
    <s:mergeCell ref="A5450:E5450"/>
    <s:mergeCell ref="A13152:E13152"/>
    <s:mergeCell ref="A3970:E3970"/>
    <s:mergeCell ref="A11156:E11156"/>
    <s:mergeCell ref="A18274:E18274"/>
    <s:mergeCell ref="A18268:E18268"/>
    <s:mergeCell ref="A5750:E5750"/>
    <s:mergeCell ref="A20054:E20054"/>
    <s:mergeCell ref="A4270:E4270"/>
    <s:mergeCell ref="A2185:E2185"/>
    <s:mergeCell ref="A3965:E3965"/>
    <s:mergeCell ref="A9386:E9386"/>
    <s:mergeCell ref="B14789:E14789"/>
    <s:mergeCell ref="A10778:E10778"/>
    <s:mergeCell ref="A4265:E4265"/>
    <s:mergeCell ref="A30364:E30364"/>
    <s:mergeCell ref="A11383:E11383"/>
    <s:mergeCell ref="B19905:E19905"/>
    <s:mergeCell ref="A1896:E1896"/>
    <s:mergeCell ref="A11683:E11683"/>
    <s:mergeCell ref="A9598:E9598"/>
    <s:mergeCell ref="A18296:E18296"/>
    <s:mergeCell ref="A2196:E2196"/>
    <s:mergeCell ref="A2190:E2190"/>
    <s:mergeCell ref="A16500:E16500"/>
    <s:mergeCell ref="A25714:E25714"/>
    <s:mergeCell ref="A23629:E23629"/>
    <s:mergeCell ref="A25415:E25415"/>
    <s:mergeCell ref="A23718:E23718"/>
    <s:mergeCell ref="B4523:E4523"/>
    <s:mergeCell ref="A25110:E25110"/>
    <s:mergeCell ref="A30531:E30531"/>
    <s:mergeCell ref="B16742:E16742"/>
    <s:mergeCell ref="A9309:E9309"/>
    <s:mergeCell ref="A25715:E25715"/>
    <s:mergeCell ref="A16527:E16527"/>
    <s:mergeCell ref="A14442:E14442"/>
    <s:mergeCell ref="A4009:E4009"/>
    <s:mergeCell ref="A1924:E1924"/>
    <s:mergeCell ref="A30831:E30831"/>
    <s:mergeCell ref="A9609:E9609"/>
    <s:mergeCell ref="A16228:E16228"/>
    <s:mergeCell ref="A16222:E16222"/>
    <s:mergeCell ref="A2224:E2224"/>
    <s:mergeCell ref="A31131:E31131"/>
    <s:mergeCell ref="A29046:E29046"/>
    <s:mergeCell ref="A16528:E16528"/>
    <s:mergeCell ref="A16522:E16522"/>
    <s:mergeCell ref="A23640:E23640"/>
    <s:mergeCell ref="A7340:E7340"/>
    <s:mergeCell ref="A31043:E31043"/>
    <s:mergeCell ref="A29346:E29346"/>
    <s:mergeCell ref="A7551:E7551"/>
    <s:mergeCell ref="A23946:E23946"/>
    <s:mergeCell ref="A23940:E23940"/>
    <s:mergeCell ref="A21855:E21855"/>
    <s:mergeCell ref="A9337:E9337"/>
    <s:mergeCell ref="A7640:E7640"/>
    <s:mergeCell ref="A5555:E5555"/>
    <s:mergeCell ref="A23641:E23641"/>
    <s:mergeCell ref="A149:E149"/>
    <s:mergeCell ref="A14453:E14453"/>
    <s:mergeCell ref="A22155:E22155"/>
    <s:mergeCell ref="A9637:E9637"/>
    <s:mergeCell ref="A7552:E7552"/>
    <s:mergeCell ref="A23941:E23941"/>
    <s:mergeCell ref="A449:E449"/>
    <s:mergeCell ref="A31053:E31053"/>
    <s:mergeCell ref="A14753:E14753"/>
    <s:mergeCell ref="A12668:E12668"/>
    <s:mergeCell ref="A150:E150"/>
    <s:mergeCell ref="A144:E144"/>
    <s:mergeCell ref="A17055:E17055"/>
    <s:mergeCell ref="A23668:E23668"/>
    <s:mergeCell ref="A21583:E21583"/>
    <s:mergeCell ref="B15300:E15300"/>
    <s:mergeCell ref="A12968:E12968"/>
    <s:mergeCell ref="A450:E450"/>
    <s:mergeCell ref="A7562:E7562"/>
    <s:mergeCell ref="A5477:E5477"/>
    <s:mergeCell ref="A21866:E21866"/>
    <s:mergeCell ref="A26999:E26999"/>
    <s:mergeCell ref="A5777:E5777"/>
    <s:mergeCell ref="A29301:E29301"/>
    <s:mergeCell ref="A29390:E29390"/>
    <s:mergeCell ref="A28996:E28996"/>
    <s:mergeCell ref="B6324:E6324"/>
    <s:mergeCell ref="A6077:E6077"/>
    <s:mergeCell ref="A12696:E12696"/>
    <s:mergeCell ref="A30782:E30782"/>
    <s:mergeCell ref="A29296:E29296"/>
    <s:mergeCell ref="A20114:E20114"/>
    <s:mergeCell ref="B6325:E6325"/>
    <s:mergeCell ref="A5505:E5505"/>
    <s:mergeCell ref="B29843:E29843"/>
    <s:mergeCell ref="A21894:E21894"/>
    <s:mergeCell ref="A19809:E19809"/>
    <s:mergeCell ref="A20414:E20414"/>
    <s:mergeCell ref="A20109:E20109"/>
    <s:mergeCell ref="A29312:E29312"/>
    <s:mergeCell ref="A27227:E27227"/>
    <s:mergeCell ref="A25530:E25530"/>
    <s:mergeCell ref="A27316:E27316"/>
    <s:mergeCell ref="A20409:E20409"/>
    <s:mergeCell ref="A27527:E27527"/>
    <s:mergeCell ref="A11227:E11227"/>
    <s:mergeCell ref="A12918:E12918"/>
    <s:mergeCell ref="A18339:E18339"/>
    <s:mergeCell ref="A16254:E16254"/>
    <s:mergeCell ref="A5821:E5821"/>
    <s:mergeCell ref="B28074:E28074"/>
    <s:mergeCell ref="A20125:E20125"/>
    <s:mergeCell ref="A27827:E27827"/>
    <s:mergeCell ref="A25742:E25742"/>
    <s:mergeCell ref="A5516:E5516"/>
    <s:mergeCell ref="A1734:E1734"/>
    <s:mergeCell ref="A19820:E19820"/>
    <s:mergeCell ref="A4036:E4036"/>
    <s:mergeCell ref="A18340:E18340"/>
    <s:mergeCell ref="A5822:E5822"/>
    <s:mergeCell ref="A18334:E18334"/>
    <s:mergeCell ref="A4336:E4336"/>
    <s:mergeCell ref="A18640:E18640"/>
    <s:mergeCell ref="A4031:E4031"/>
    <s:mergeCell ref="B11396:E11396"/>
    <s:mergeCell ref="A872:E872"/>
    <s:mergeCell ref="A961:E961"/>
    <s:mergeCell ref="A30586:E30586"/>
    <s:mergeCell ref="A18068:E18068"/>
    <s:mergeCell ref="A1178:E1178"/>
    <s:mergeCell ref="A1172:E1172"/>
    <s:mergeCell ref="A25753:E25753"/>
    <s:mergeCell ref="A18368:E18368"/>
    <s:mergeCell ref="A13691:E13691"/>
    <s:mergeCell ref="A27266:E27266"/>
    <s:mergeCell ref="A25181:E25181"/>
    <s:mergeCell ref="A23484:E23484"/>
    <s:mergeCell ref="A6594:E6594"/>
    <s:mergeCell ref="A18668:E18668"/>
    <s:mergeCell ref="A25786:E25786"/>
    <s:mergeCell ref="A6289:E6289"/>
    <s:mergeCell ref="A25481:E25481"/>
    <s:mergeCell ref="A23784:E23784"/>
    <s:mergeCell ref="A6589:E6589"/>
    <s:mergeCell ref="A25781:E25781"/>
    <s:mergeCell ref="A23696:E23696"/>
    <s:mergeCell ref="A4231:E4231"/>
    <s:mergeCell ref="A30897:E30897"/>
    <s:mergeCell ref="A28812:E28812"/>
    <s:mergeCell ref="A6017:E6017"/>
    <s:mergeCell ref="A29417:E29417"/>
    <s:mergeCell ref="A20837:E20837"/>
    <s:mergeCell ref="A19140:E19140"/>
    <s:mergeCell ref="A6622:E6622"/>
    <s:mergeCell ref="A29112:E29112"/>
    <s:mergeCell ref="A6317:E6317"/>
    <s:mergeCell ref="A28038:E28038"/>
    <s:mergeCell ref="A25953:E25953"/>
    <s:mergeCell ref="A21137:E21137"/>
    <s:mergeCell ref="A6617:E6617"/>
    <s:mergeCell ref="A4532:E4532"/>
    <s:mergeCell ref="A26253:E26253"/>
    <s:mergeCell ref="A13735:E13735"/>
    <s:mergeCell ref="A11644:E11644"/>
    <s:mergeCell ref="A28033:E28033"/>
    <s:mergeCell ref="A25948:E25948"/>
    <s:mergeCell ref="A13430:E13430"/>
    <s:mergeCell ref="A18851:E18851"/>
    <s:mergeCell ref="A26553:E26553"/>
    <s:mergeCell ref="A14035:E14035"/>
    <s:mergeCell ref="A11950:E11950"/>
    <s:mergeCell ref="A2762:E2762"/>
    <s:mergeCell ref="A4548:E4548"/>
    <s:mergeCell ref="A4542:E4542"/>
    <s:mergeCell ref="A2457:E2457"/>
    <s:mergeCell ref="A6844:E6844"/>
    <s:mergeCell ref="A4243:E4243"/>
    <s:mergeCell ref="A3062:E3062"/>
    <s:mergeCell ref="A4759:E4759"/>
    <s:mergeCell ref="B15366:E15366"/>
    <s:mergeCell ref="A21148:E21148"/>
    <s:mergeCell ref="A2757:E2757"/>
    <s:mergeCell ref="A5059:E5059"/>
    <s:mergeCell ref="A19363:E19363"/>
    <s:mergeCell ref="A2773:E2773"/>
    <s:mergeCell ref="A688:E688"/>
    <s:mergeCell ref="A17094:E17094"/>
    <s:mergeCell ref="A31398:E31398"/>
    <s:mergeCell ref="A25992:E25992"/>
    <s:mergeCell ref="B29609:E29609"/>
    <s:mergeCell ref="A17394:E17394"/>
    <s:mergeCell ref="A31698:E31698"/>
    <s:mergeCell ref="A9903:E9903"/>
    <s:mergeCell ref="A26292:E26292"/>
    <s:mergeCell ref="A24207:E24207"/>
    <s:mergeCell ref="A11689:E11689"/>
    <s:mergeCell ref="A2985:E2985"/>
    <s:mergeCell ref="A25987:E25987"/>
    <s:mergeCell ref="A23902:E23902"/>
    <s:mergeCell ref="A10203:E10203"/>
    <s:mergeCell ref="A24507:E24507"/>
    <s:mergeCell ref="A11989:E11989"/>
    <s:mergeCell ref="A26293:E26293"/>
    <s:mergeCell ref="A15319:E15319"/>
    <s:mergeCell ref="A2801:E2801"/>
    <s:mergeCell ref="A716:E716"/>
    <s:mergeCell ref="A31320:E31320"/>
    <s:mergeCell ref="A17105:E17105"/>
    <s:mergeCell ref="A15020:E15020"/>
    <s:mergeCell ref="B10451:E10451"/>
    <s:mergeCell ref="A24807:E24807"/>
    <s:mergeCell ref="A17322:E17322"/>
    <s:mergeCell ref="A17316:E17316"/>
    <s:mergeCell ref="A1016:E1016"/>
    <s:mergeCell ref="A31620:E31620"/>
    <s:mergeCell ref="A15320:E15320"/>
    <s:mergeCell ref="A22438:E22438"/>
    <s:mergeCell ref="A30140:E30140"/>
    <s:mergeCell ref="A7829:E7829"/>
    <s:mergeCell ref="A8434:E8434"/>
    <s:mergeCell ref="A17317:E17317"/>
    <s:mergeCell ref="A22738:E22738"/>
    <s:mergeCell ref="A8129:E8129"/>
    <s:mergeCell ref="A24518:E24518"/>
    <s:mergeCell ref="A22433:E22433"/>
    <s:mergeCell ref="A6649:E6649"/>
    <s:mergeCell ref="A24735:E24735"/>
    <s:mergeCell ref="A31348:E31348"/>
    <s:mergeCell ref="A727:E727"/>
    <s:mergeCell ref="A8429:E8429"/>
    <s:mergeCell ref="A22733:E22733"/>
    <s:mergeCell ref="A29868:E29868"/>
    <s:mergeCell ref="A10215:E10215"/>
    <s:mergeCell ref="A938:E938"/>
    <s:mergeCell ref="B1274:E1274"/>
    <s:mergeCell ref="A15242:E15242"/>
    <s:mergeCell ref="A31648:E31648"/>
    <s:mergeCell ref="A1027:E1027"/>
    <s:mergeCell ref="A1244:E1244"/>
    <s:mergeCell ref="B8671:E8671"/>
    <s:mergeCell ref="A1238:E1238"/>
    <s:mergeCell ref="A7857:E7857"/>
    <s:mergeCell ref="A30151:E30151"/>
    <s:mergeCell ref="A6360:E6360"/>
    <s:mergeCell ref="A22766:E22766"/>
    <s:mergeCell ref="A8157:E8157"/>
    <s:mergeCell ref="A6055:E6055"/>
    <s:mergeCell ref="B1486:E1486"/>
    <s:mergeCell ref="A29579:E29579"/>
    <s:mergeCell ref="A6660:E6660"/>
    <s:mergeCell ref="A13273:E13273"/>
    <s:mergeCell ref="A28093:E28093"/>
    <s:mergeCell ref="A6355:E6355"/>
    <s:mergeCell ref="A29879:E29879"/>
    <s:mergeCell ref="A8657:E8657"/>
    <s:mergeCell ref="A15270:E15270"/>
    <s:mergeCell ref="A13573:E13573"/>
    <s:mergeCell ref="A31659:E31659"/>
    <s:mergeCell ref="A29574:E29574"/>
    <s:mergeCell ref="A30179:E30179"/>
    <s:mergeCell ref="A28094:E28094"/>
    <s:mergeCell ref="A15570:E15570"/>
    <s:mergeCell ref="A18906:E18906"/>
    <s:mergeCell ref="A6388:E6388"/>
    <s:mergeCell ref="A20692:E20692"/>
    <s:mergeCell ref="A20686:E20686"/>
    <s:mergeCell ref="A18601:E18601"/>
    <s:mergeCell ref="A13201:E13201"/>
    <s:mergeCell ref="A22988:E22988"/>
    <s:mergeCell ref="A20903:E20903"/>
    <s:mergeCell ref="A6688:E6688"/>
    <s:mergeCell ref="A4603:E4603"/>
    <s:mergeCell ref="A20992:E20992"/>
    <s:mergeCell ref="B11:E11"/>
    <s:mergeCell ref="A28104:E28104"/>
    <s:mergeCell ref="A26019:E26019"/>
    <s:mergeCell ref="A11804:E11804"/>
    <s:mergeCell ref="A21203:E21203"/>
    <s:mergeCell ref="A13196:E13196"/>
    <s:mergeCell ref="A28410:E28410"/>
    <s:mergeCell ref="A26319:E26319"/>
    <s:mergeCell ref="A11716:E11716"/>
    <s:mergeCell ref="A28105:E28105"/>
    <s:mergeCell ref="A18917:E18917"/>
    <s:mergeCell ref="A26619:E26619"/>
    <s:mergeCell ref="A12016:E12016"/>
    <s:mergeCell ref="A28405:E28405"/>
    <s:mergeCell ref="B19464:E19464"/>
    <s:mergeCell ref="A20914:E20914"/>
    <s:mergeCell ref="A10637:E10637"/>
    <s:mergeCell ref="B26867:E26867"/>
    <s:mergeCell ref="A18918:E18918"/>
    <s:mergeCell ref="A26047:E26047"/>
    <s:mergeCell ref="A8852:E8852"/>
    <s:mergeCell ref="B19465:E19465"/>
    <s:mergeCell ref="A28438:E28438"/>
    <s:mergeCell ref="A31463:E31463"/>
    <s:mergeCell ref="A18945:E18945"/>
    <s:mergeCell ref="A16860:E16860"/>
    <s:mergeCell ref="B26877:E26877"/>
    <s:mergeCell ref="B12274:E12274"/>
    <s:mergeCell ref="A14274:E14274"/>
    <s:mergeCell ref="B19976:E19976"/>
    <s:mergeCell ref="B23312:E23312"/>
    <s:mergeCell ref="A26058:E26058"/>
    <s:mergeCell ref="A26364:E26364"/>
    <s:mergeCell ref="A24878:E24878"/>
    <s:mergeCell ref="A14601:E14601"/>
    <s:mergeCell ref="A14302:E14302"/>
    <s:mergeCell ref="A14296:E14296"/>
    <s:mergeCell ref="A1778:E1778"/>
    <s:mergeCell ref="A21414:E21414"/>
    <s:mergeCell ref="A6894:E6894"/>
    <s:mergeCell ref="A21714:E21714"/>
    <s:mergeCell ref="A19629:E19629"/>
    <s:mergeCell ref="A9196:E9196"/>
    <s:mergeCell ref="A7111:E7111"/>
    <s:mergeCell ref="A5414:E5414"/>
    <s:mergeCell ref="A21415:E21415"/>
    <s:mergeCell ref="A21409:E21409"/>
    <s:mergeCell ref="A8891:E8891"/>
    <s:mergeCell ref="A6806:E6806"/>
    <s:mergeCell ref="A5109:E5109"/>
    <s:mergeCell ref="A12227:E12227"/>
    <s:mergeCell ref="A19929:E19929"/>
    <s:mergeCell ref="A7411:E7411"/>
    <s:mergeCell ref="A21715:E21715"/>
    <s:mergeCell ref="A5409:E5409"/>
    <s:mergeCell ref="A14224:E14224"/>
    <s:mergeCell ref="A12527:E12527"/>
    <s:mergeCell ref="B24831:E24831"/>
    <s:mergeCell ref="A31719:E31719"/>
    <s:mergeCell ref="A12222:E12222"/>
    <s:mergeCell ref="A31414:E31414"/>
    <s:mergeCell ref="A3040:E3040"/>
    <s:mergeCell ref="A12827:E12827"/>
    <s:mergeCell ref="A10742:E10742"/>
    <s:mergeCell ref="A14524:E14524"/>
    <s:mergeCell ref="A21742:E21742"/>
    <s:mergeCell ref="A10437:E10437"/>
    <s:mergeCell ref="A19640:E19640"/>
    <s:mergeCell ref="A31714:E31714"/>
    <s:mergeCell ref="A12739:E12739"/>
    <s:mergeCell ref="A21437:E21437"/>
    <s:mergeCell ref="B3798:E3798"/>
    <s:mergeCell ref="A19940:E19940"/>
    <s:mergeCell ref="A17855:E17855"/>
    <s:mergeCell ref="A26559:E26559"/>
    <s:mergeCell ref="A5337:E5337"/>
    <s:mergeCell ref="A26770:E26770"/>
    <s:mergeCell ref="A12555:E12555"/>
    <s:mergeCell ref="A10470:E10470"/>
    <s:mergeCell ref="A28556:E28556"/>
    <s:mergeCell ref="A26859:E26859"/>
    <s:mergeCell ref="A18155:E18155"/>
    <s:mergeCell ref="A5637:E5637"/>
    <s:mergeCell ref="B3793:E3793"/>
    <s:mergeCell ref="A11058:E11058"/>
    <s:mergeCell ref="A27070:E27070"/>
    <s:mergeCell ref="A27159:E27159"/>
    <s:mergeCell ref="A25074:E25074"/>
    <s:mergeCell ref="A19668:E19668"/>
    <s:mergeCell ref="A27071:E27071"/>
    <s:mergeCell ref="A10181:E10181"/>
    <s:mergeCell ref="A17883:E17883"/>
    <s:mergeCell ref="A27086:E27086"/>
    <s:mergeCell ref="A5359:E5359"/>
    <s:mergeCell ref="A19669:E19669"/>
    <s:mergeCell ref="A25090:E25090"/>
    <s:mergeCell ref="A10481:E10481"/>
    <s:mergeCell ref="A24785:E24785"/>
    <s:mergeCell ref="A24996:E24996"/>
    <s:mergeCell ref="A10781:E10781"/>
    <s:mergeCell ref="A8696:E8696"/>
    <s:mergeCell ref="A17899:E17899"/>
    <s:mergeCell ref="A25085:E25085"/>
    <s:mergeCell ref="A25601:E25601"/>
    <s:mergeCell ref="A3290:E3290"/>
    <s:mergeCell ref="A1593:E1593"/>
    <s:mergeCell ref="A10992:E10992"/>
    <s:mergeCell ref="A17594:E17594"/>
    <s:mergeCell ref="A8996:E8996"/>
    <s:mergeCell ref="A18199:E18199"/>
    <s:mergeCell ref="A16114:E16114"/>
    <s:mergeCell ref="A16108:E16108"/>
    <s:mergeCell ref="A3590:E3590"/>
    <s:mergeCell ref="A1505:E1505"/>
    <s:mergeCell ref="A17894:E17894"/>
    <s:mergeCell ref="A3291:E3291"/>
    <s:mergeCell ref="A2110:E2110"/>
    <s:mergeCell ref="A16414:E16414"/>
    <s:mergeCell ref="A8407:E8407"/>
    <s:mergeCell ref="A16109:E16109"/>
    <s:mergeCell ref="A3591:E3591"/>
    <s:mergeCell ref="A23227:E23227"/>
    <s:mergeCell ref="A9012:E9012"/>
    <s:mergeCell ref="A10703:E10703"/>
    <s:mergeCell ref="A6921:E6921"/>
    <s:mergeCell ref="B8954:E8954"/>
    <s:mergeCell ref="A8707:E8707"/>
    <s:mergeCell ref="B2047:E2047"/>
    <s:mergeCell ref="A23527:E23527"/>
    <s:mergeCell ref="B7468:E7468"/>
    <s:mergeCell ref="A30745:E30745"/>
    <s:mergeCell ref="A1821:E1821"/>
    <s:mergeCell ref="A9007:E9007"/>
    <s:mergeCell ref="A6922:E6922"/>
    <s:mergeCell ref="A16142:E16142"/>
    <s:mergeCell ref="A23827:E23827"/>
    <s:mergeCell ref="A30446:E30446"/>
    <s:mergeCell ref="A30440:E30440"/>
    <s:mergeCell ref="A1516:E1516"/>
    <s:mergeCell ref="A25040:E25040"/>
    <s:mergeCell ref="B10070:E10070"/>
    <s:mergeCell ref="B7469:E7469"/>
    <s:mergeCell ref="A16425:E16425"/>
    <s:mergeCell ref="A14340:E14340"/>
    <s:mergeCell ref="A23554:E23554"/>
    <s:mergeCell ref="B15186:E15186"/>
    <s:mergeCell ref="A25340:E25340"/>
    <s:mergeCell ref="A25035:E25035"/>
    <s:mergeCell ref="A30456:E30456"/>
    <s:mergeCell ref="A28371:E28371"/>
    <s:mergeCell ref="A23555:E23555"/>
    <s:mergeCell ref="B883:E883"/>
    <s:mergeCell ref="A14367:E14367"/>
    <s:mergeCell ref="A28671:E28671"/>
    <s:mergeCell ref="A16153:E16153"/>
    <s:mergeCell ref="A23855:E23855"/>
    <s:mergeCell ref="B22000:E22000"/>
    <s:mergeCell ref="A28366:E28366"/>
    <s:mergeCell ref="A64:E64"/>
    <s:mergeCell ref="A30668:E30668"/>
    <s:mergeCell ref="A28971:E28971"/>
    <s:mergeCell ref="A14368:E14368"/>
    <s:mergeCell ref="A21486:E21486"/>
    <s:mergeCell ref="A30757:E30757"/>
    <s:mergeCell ref="A21480:E21480"/>
    <s:mergeCell ref="A6877:E6877"/>
    <s:mergeCell ref="A30968:E30968"/>
    <s:mergeCell ref="A28883:E28883"/>
    <s:mergeCell ref="A4875:E4875"/>
    <s:mergeCell ref="A21786:E21786"/>
    <s:mergeCell ref="A21780:E21780"/>
    <s:mergeCell ref="A19695:E19695"/>
    <s:mergeCell ref="A7177:E7177"/>
    <s:mergeCell ref="A5480:E5480"/>
    <s:mergeCell ref="A23566:E23566"/>
    <s:mergeCell ref="A21481:E21481"/>
    <s:mergeCell ref="A28699:E28699"/>
    <s:mergeCell ref="A21781:E21781"/>
    <s:mergeCell ref="A27202:E27202"/>
    <s:mergeCell ref="A2322:E2322"/>
    <s:mergeCell ref="A2316:E2316"/>
    <s:mergeCell ref="A231:E231"/>
    <s:mergeCell ref="B27144:E27144"/>
    <s:mergeCell ref="A29199:E29199"/>
    <s:mergeCell ref="B13140:E13140"/>
    <s:mergeCell ref="A4313:E4313"/>
    <s:mergeCell ref="A2317:E2317"/>
    <s:mergeCell ref="A26325:E26325"/>
    <s:mergeCell ref="A12321:E12321"/>
    <s:mergeCell ref="B5650:E5650"/>
    <s:mergeCell ref="A9735:E9735"/>
    <s:mergeCell ref="A9729:E9729"/>
    <s:mergeCell ref="A7644:E7644"/>
    <s:mergeCell ref="A28921:E28921"/>
    <s:mergeCell ref="A26836:E26836"/>
    <s:mergeCell ref="A12621:E12621"/>
    <s:mergeCell ref="A847:E847"/>
    <s:mergeCell ref="A19740:E19740"/>
    <s:mergeCell ref="A21981:E21981"/>
    <s:mergeCell ref="A9463:E9463"/>
    <s:mergeCell ref="A9158:E9158"/>
    <s:mergeCell ref="A7977:E7977"/>
    <s:mergeCell ref="A22281:E22281"/>
    <s:mergeCell ref="A9763:E9763"/>
    <s:mergeCell ref="A21976:E21976"/>
    <s:mergeCell ref="A9458:E9458"/>
    <s:mergeCell ref="A14879:E14879"/>
    <s:mergeCell ref="A276:E276"/>
    <s:mergeCell ref="A270:E270"/>
    <s:mergeCell ref="A14574:E14574"/>
    <s:mergeCell ref="A15090:E15090"/>
    <s:mergeCell ref="A31479:E31479"/>
    <s:mergeCell ref="A29394:E29394"/>
    <s:mergeCell ref="A16876:E16876"/>
    <s:mergeCell ref="A15179:E15179"/>
    <s:mergeCell ref="A13094:E13094"/>
    <s:mergeCell ref="A576:E576"/>
    <s:mergeCell ref="A570:E570"/>
    <s:mergeCell ref="A7688:E7688"/>
    <s:mergeCell ref="A14874:E14874"/>
    <s:mergeCell ref="A15390:E15390"/>
    <s:mergeCell ref="A29694:E29694"/>
    <s:mergeCell ref="A17176:E17176"/>
    <s:mergeCell ref="A15091:E15091"/>
    <s:mergeCell ref="B18512:E18512"/>
    <s:mergeCell ref="A7988:E7988"/>
    <s:mergeCell ref="A5903:E5903"/>
    <s:mergeCell ref="A13089:E13089"/>
    <s:mergeCell ref="A22292:E22292"/>
    <s:mergeCell ref="A20207:E20207"/>
    <s:mergeCell ref="A29994:E29994"/>
    <s:mergeCell ref="A7683:E7683"/>
    <s:mergeCell ref="A5598:E5598"/>
    <s:mergeCell ref="A6203:E6203"/>
    <s:mergeCell ref="B18513:E18513"/>
    <s:mergeCell ref="A20507:E20507"/>
    <s:mergeCell ref="A7989:E7989"/>
    <s:mergeCell ref="B6145:E6145"/>
    <s:mergeCell ref="A15101:E15101"/>
    <s:mergeCell ref="B6445:E6445"/>
    <s:mergeCell ref="B13563:E13563"/>
    <s:mergeCell ref="A22020:E22020"/>
    <s:mergeCell ref="A798:E798"/>
    <s:mergeCell ref="A5931:E5931"/>
    <s:mergeCell ref="B13863:E13863"/>
    <s:mergeCell ref="A22320:E22320"/>
    <s:mergeCell ref="A13616:E13616"/>
    <s:mergeCell ref="A11531:E11531"/>
    <s:mergeCell ref="A20235:E20235"/>
    <s:mergeCell ref="A6214:E6214"/>
    <s:mergeCell ref="A4129:E4129"/>
    <s:mergeCell ref="A27653:E27653"/>
    <s:mergeCell ref="B13864:E13864"/>
    <s:mergeCell ref="A13044:E13044"/>
    <s:mergeCell ref="A11347:E11347"/>
    <s:mergeCell ref="A29433:E29433"/>
    <s:mergeCell ref="A27348:E27348"/>
    <s:mergeCell ref="B4676:E4676"/>
    <s:mergeCell ref="A4429:E4429"/>
    <s:mergeCell ref="A5642:E5642"/>
    <s:mergeCell ref="A13344:E13344"/>
    <s:mergeCell ref="A27648:E27648"/>
    <s:mergeCell ref="A18466:E18466"/>
    <s:mergeCell ref="A18460:E18460"/>
    <s:mergeCell ref="A5942:E5942"/>
    <s:mergeCell ref="A13644:E13644"/>
    <s:mergeCell ref="A20246:E20246"/>
    <s:mergeCell ref="A25863:E25863"/>
    <s:mergeCell ref="A18766:E18766"/>
    <s:mergeCell ref="A20457:E20457"/>
    <s:mergeCell ref="A4157:E4157"/>
    <s:mergeCell ref="A11275:E11275"/>
    <s:mergeCell ref="A20546:E20546"/>
    <s:mergeCell ref="A18461:E18461"/>
    <s:mergeCell ref="A18977:E18977"/>
    <s:mergeCell ref="A18672:E18672"/>
    <s:mergeCell ref="A11575:E11575"/>
    <s:mergeCell ref="A18761:E18761"/>
    <s:mergeCell ref="A25879:E25879"/>
    <s:mergeCell ref="A25873:E25873"/>
    <s:mergeCell ref="A23788:E23788"/>
    <s:mergeCell ref="A11270:E11270"/>
    <s:mergeCell ref="A16691:E16691"/>
    <s:mergeCell ref="A11875:E11875"/>
    <s:mergeCell ref="B26426:E26426"/>
    <s:mergeCell ref="A26179:E26179"/>
    <s:mergeCell ref="A11570:E11570"/>
    <s:mergeCell ref="A18688:E18688"/>
    <s:mergeCell ref="A16991:E16991"/>
    <s:mergeCell ref="A14906:E14906"/>
    <s:mergeCell ref="A2388:E2388"/>
    <s:mergeCell ref="A2382:E2382"/>
    <s:mergeCell ref="A16692:E16692"/>
    <s:mergeCell ref="B12117:E12117"/>
    <s:mergeCell ref="A4168:E4168"/>
    <s:mergeCell ref="A2083:E2083"/>
    <s:mergeCell ref="A27692:E27692"/>
    <s:mergeCell ref="A18988:E18988"/>
    <s:mergeCell ref="A16903:E16903"/>
    <s:mergeCell ref="A25607:E25607"/>
    <s:mergeCell ref="B17239:E17239"/>
    <s:mergeCell ref="A2383:E2383"/>
    <s:mergeCell ref="A9501:E9501"/>
    <s:mergeCell ref="A25907:E25907"/>
    <s:mergeCell ref="A17203:E17203"/>
    <s:mergeCell ref="A31023:E31023"/>
    <s:mergeCell ref="A9801:E9801"/>
    <s:mergeCell ref="A26207:E26207"/>
    <s:mergeCell ref="A31234:E31234"/>
    <s:mergeCell ref="A31323:E31323"/>
    <s:mergeCell ref="A29238:E29238"/>
    <s:mergeCell ref="A23832:E23832"/>
    <s:mergeCell ref="A31534:E31534"/>
    <s:mergeCell ref="A9229:E9229"/>
    <s:mergeCell ref="A31235:E31235"/>
    <s:mergeCell ref="A29538:E29538"/>
    <s:mergeCell ref="A22047:E22047"/>
    <s:mergeCell ref="A9529:E9529"/>
    <s:mergeCell ref="A23833:E23833"/>
    <s:mergeCell ref="A14645:E14645"/>
    <s:mergeCell ref="A22347:E22347"/>
    <s:mergeCell ref="A9829:E9829"/>
    <s:mergeCell ref="A22042:E22042"/>
    <s:mergeCell ref="A641:E641"/>
    <s:mergeCell ref="A31245:E31245"/>
    <s:mergeCell ref="A29160:E29160"/>
    <s:mergeCell ref="A16642:E16642"/>
    <s:mergeCell ref="A14945:E14945"/>
    <s:mergeCell ref="A12860:E12860"/>
    <s:mergeCell ref="A336:E336"/>
    <s:mergeCell ref="A15162:E15162"/>
    <s:mergeCell ref="A15156:E15156"/>
    <s:mergeCell ref="A29460:E29460"/>
    <s:mergeCell ref="A16942:E16942"/>
    <s:mergeCell ref="A13160:E13160"/>
    <s:mergeCell ref="A22363:E22363"/>
    <s:mergeCell ref="B15703:E15703"/>
    <s:mergeCell ref="A29760:E29760"/>
    <s:mergeCell ref="A15157:E15157"/>
    <s:mergeCell ref="A10301:E10301"/>
    <s:mergeCell ref="A22358:E22358"/>
    <s:mergeCell ref="B15704:E15704"/>
    <s:mergeCell ref="A9996:E9996"/>
    <s:mergeCell ref="A29188:E29188"/>
    <s:mergeCell ref="A10601:E10601"/>
    <s:mergeCell ref="A10296:E10296"/>
    <s:mergeCell ref="A3199:E3199"/>
    <s:mergeCell ref="B6816:E6816"/>
    <s:mergeCell ref="A29488:E29488"/>
    <s:mergeCell ref="A10596:E10596"/>
    <s:mergeCell ref="A20001:E20001"/>
    <s:mergeCell ref="A3111:E3111"/>
    <s:mergeCell ref="A1414:E1414"/>
    <s:mergeCell ref="A3105:E3105"/>
    <s:mergeCell ref="B14234:E14234"/>
    <s:mergeCell ref="B13929:E13929"/>
    <s:mergeCell ref="A3411:E3411"/>
    <s:mergeCell ref="A29504:E29504"/>
    <s:mergeCell ref="B19051:E19051"/>
    <s:mergeCell ref="A29960:E29960"/>
    <s:mergeCell ref="A17442:E17442"/>
    <s:mergeCell ref="A29499:E29499"/>
    <s:mergeCell ref="A17742:E17742"/>
    <s:mergeCell ref="A15657:E15657"/>
    <s:mergeCell ref="A3133:E3133"/>
    <s:mergeCell ref="A27714:E27714"/>
    <s:mergeCell ref="A17437:E17437"/>
    <s:mergeCell ref="A22858:E22858"/>
    <s:mergeCell ref="A20773:E20773"/>
    <s:mergeCell ref="A10340:E10340"/>
    <s:mergeCell ref="A8255:E8255"/>
    <s:mergeCell ref="A22559:E22559"/>
    <s:mergeCell ref="A10035:E10035"/>
    <s:mergeCell ref="A7950:E7950"/>
    <s:mergeCell ref="A24855:E24855"/>
    <s:mergeCell ref="A8555:E8555"/>
    <s:mergeCell ref="A22859:E22859"/>
    <s:mergeCell ref="B28561:E28561"/>
    <s:mergeCell ref="A1064:E1064"/>
    <s:mergeCell ref="A8250:E8250"/>
    <s:mergeCell ref="A23070:E23070"/>
    <s:mergeCell ref="A1153:E1153"/>
    <s:mergeCell ref="A8855:E8855"/>
    <s:mergeCell ref="A15973:E15973"/>
    <s:mergeCell ref="A1370:E1370"/>
    <s:mergeCell ref="A1364:E1364"/>
    <s:mergeCell ref="A8550:E8550"/>
    <s:mergeCell ref="A15668:E15668"/>
    <s:mergeCell ref="A23370:E23370"/>
    <s:mergeCell ref="A1059:E1059"/>
    <s:mergeCell ref="A29972:E29972"/>
    <s:mergeCell ref="A14188:E14188"/>
    <s:mergeCell ref="A1664:E1664"/>
    <s:mergeCell ref="A15968:E15968"/>
    <s:mergeCell ref="A13883:E13883"/>
    <s:mergeCell ref="A3450:E3450"/>
    <s:mergeCell ref="A1365:E1365"/>
    <s:mergeCell ref="A30272:E30272"/>
    <s:mergeCell ref="A8477:E8477"/>
    <s:mergeCell ref="A4695:E4695"/>
    <s:mergeCell ref="B24707:E24707"/>
    <s:mergeCell ref="A6481:E6481"/>
    <s:mergeCell ref="A14183:E14183"/>
    <s:mergeCell ref="A8777:E8777"/>
    <s:mergeCell ref="A6692:E6692"/>
    <s:mergeCell ref="A15396:E15396"/>
    <s:mergeCell ref="A29700:E29700"/>
    <s:mergeCell ref="A6781:E6781"/>
    <s:mergeCell ref="A30305:E30305"/>
    <s:mergeCell ref="A15696:E15696"/>
    <s:mergeCell ref="B9025:E9025"/>
    <s:mergeCell ref="A30000:E30000"/>
    <s:mergeCell ref="A14199:E14199"/>
    <s:mergeCell ref="A20812:E20812"/>
    <s:mergeCell ref="A15996:E15996"/>
    <s:mergeCell ref="A23114:E23114"/>
    <s:mergeCell ref="A13894:E13894"/>
    <s:mergeCell ref="A21029:E21029"/>
    <s:mergeCell ref="A30300:E30300"/>
    <s:mergeCell ref="A22809:E22809"/>
    <s:mergeCell ref="A21112:E21112"/>
    <s:mergeCell ref="A19027:E19027"/>
    <s:mergeCell ref="A21329:E21329"/>
    <s:mergeCell ref="A23109:E23109"/>
    <s:mergeCell ref="A21024:E21024"/>
    <s:mergeCell ref="A26445:E26445"/>
    <s:mergeCell ref="A21629:E21629"/>
    <s:mergeCell ref="A28225:E28225"/>
    <s:mergeCell ref="A26140:E26140"/>
    <s:mergeCell ref="A13622:E13622"/>
    <s:mergeCell ref="A21324:E21324"/>
    <s:mergeCell ref="A30527:E30527"/>
    <s:mergeCell ref="A28442:E28442"/>
    <s:mergeCell ref="A26745:E26745"/>
    <s:mergeCell ref="A14227:E14227"/>
    <s:mergeCell ref="A12142:E12142"/>
    <s:mergeCell ref="A28531:E28531"/>
    <s:mergeCell ref="A13922:E13922"/>
    <s:mergeCell ref="A19343:E19343"/>
    <s:mergeCell ref="A28742:E28742"/>
    <s:mergeCell ref="A4734:E4734"/>
    <s:mergeCell ref="A2649:E2649"/>
    <s:mergeCell ref="A21645:E21645"/>
    <s:mergeCell ref="A26740:E26740"/>
    <s:mergeCell ref="A14222:E14222"/>
    <s:mergeCell ref="A12137:E12137"/>
    <s:mergeCell ref="A21340:E21340"/>
    <s:mergeCell ref="A19255:E19255"/>
    <s:mergeCell ref="A29042:E29042"/>
    <s:mergeCell ref="A6731:E6731"/>
    <s:mergeCell ref="A2949:E2949"/>
    <s:mergeCell ref="A12152:E12152"/>
    <s:mergeCell ref="A10067:E10067"/>
    <s:mergeCell ref="B21887:E21887"/>
    <s:mergeCell ref="A19555:E19555"/>
    <s:mergeCell ref="A4946:E4946"/>
    <s:mergeCell ref="A12064:E12064"/>
    <s:mergeCell ref="A10367:E10367"/>
    <s:mergeCell ref="A2965:E2965"/>
    <s:mergeCell ref="A12364:E12364"/>
    <s:mergeCell ref="A10667:E10667"/>
    <s:mergeCell ref="B19797:E19797"/>
    <s:mergeCell ref="A26668:E26668"/>
    <s:mergeCell ref="A10362:E10362"/>
    <s:mergeCell ref="A1180:E1180"/>
    <s:mergeCell ref="A10579:E10579"/>
    <s:mergeCell ref="A12664:E12664"/>
    <s:mergeCell ref="B3723:E3723"/>
    <s:mergeCell ref="B18027:E18027"/>
    <s:mergeCell ref="A26484:E26484"/>
    <s:mergeCell ref="A24399:E24399"/>
    <s:mergeCell ref="A17481:E17481"/>
    <s:mergeCell ref="A10395:E10395"/>
    <s:mergeCell ref="B3724:E3724"/>
    <s:mergeCell ref="A24699:E24699"/>
    <s:mergeCell ref="A3477:E3477"/>
    <s:mergeCell ref="B18028:E18028"/>
    <s:mergeCell ref="A31512:E31512"/>
    <s:mergeCell ref="A24999:E24999"/>
    <s:mergeCell ref="A17508:E17508"/>
    <s:mergeCell ref="A24911:E24911"/>
    <s:mergeCell ref="A30332:E30332"/>
    <s:mergeCell ref="A10106:E10106"/>
    <s:mergeCell ref="A17808:E17808"/>
    <s:mergeCell ref="A30027:E30027"/>
    <s:mergeCell ref="A19594:E19594"/>
    <s:mergeCell ref="A17509:E17509"/>
    <s:mergeCell ref="A22924:E22924"/>
    <s:mergeCell ref="A8321:E8321"/>
    <s:mergeCell ref="A22625:E22625"/>
    <s:mergeCell ref="A24927:E24927"/>
    <s:mergeCell ref="A24921:E24921"/>
    <s:mergeCell ref="A22836:E22836"/>
    <s:mergeCell ref="A8621:E8621"/>
    <s:mergeCell ref="B16553:E16553"/>
    <s:mergeCell ref="B14468:E14468"/>
    <s:mergeCell ref="A24622:E24622"/>
    <s:mergeCell ref="A22925:E22925"/>
    <s:mergeCell ref="A30043:E30043"/>
    <s:mergeCell ref="A17519:E17519"/>
    <s:mergeCell ref="A23136:E23136"/>
    <s:mergeCell ref="A29738:E29738"/>
    <s:mergeCell ref="A23225:E23225"/>
    <s:mergeCell ref="A5762:E5762"/>
    <s:mergeCell ref="A3677:E3677"/>
    <s:mergeCell ref="A30343:E30343"/>
    <s:mergeCell ref="A5457:E5457"/>
    <s:mergeCell ref="A30038:E30038"/>
    <s:mergeCell ref="A3977:E3977"/>
    <s:mergeCell ref="A18281:E18281"/>
    <s:mergeCell ref="B1678:E1678"/>
    <s:mergeCell ref="A5763:E5763"/>
    <s:mergeCell ref="A5757:E5757"/>
    <s:mergeCell ref="A17976:E17976"/>
    <s:mergeCell ref="A4277:E4277"/>
    <s:mergeCell ref="B30796:E30796"/>
    <s:mergeCell ref="A30371:E30371"/>
    <s:mergeCell ref="A3688:E3688"/>
    <s:mergeCell ref="A3400:E3400"/>
    <s:mergeCell ref="A13176:E13176"/>
    <s:mergeCell ref="A3988:E3988"/>
    <s:mergeCell ref="A1903:E1903"/>
    <s:mergeCell ref="A10907:E10907"/>
    <s:mergeCell ref="A2203:E2203"/>
    <s:mergeCell ref="A11118:E11118"/>
    <s:mergeCell ref="B4447:E4447"/>
    <s:mergeCell ref="A9122:E9122"/>
    <s:mergeCell ref="A12898:E12898"/>
    <s:mergeCell ref="A16234:E16234"/>
    <s:mergeCell ref="A3716:E3716"/>
    <s:mergeCell ref="A11418:E11418"/>
    <s:mergeCell ref="A18020:E18020"/>
    <s:mergeCell ref="A17715:E17715"/>
    <s:mergeCell ref="A16534:E16534"/>
    <s:mergeCell ref="A18231:E18231"/>
    <s:mergeCell ref="A4016:E4016"/>
    <s:mergeCell ref="B28844:E28844"/>
    <s:mergeCell ref="A16235:E16235"/>
    <s:mergeCell ref="A3717:E3717"/>
    <s:mergeCell ref="A16229:E16229"/>
    <s:mergeCell ref="A3711:E3711"/>
    <s:mergeCell ref="A1626:E1626"/>
    <s:mergeCell ref="A10829:E10829"/>
    <s:mergeCell ref="A9132:E9132"/>
    <s:mergeCell ref="A7047:E7047"/>
    <s:mergeCell ref="A18531:E18531"/>
    <s:mergeCell ref="A9349:E9349"/>
    <s:mergeCell ref="A16535:E16535"/>
    <s:mergeCell ref="A23653:E23653"/>
    <s:mergeCell ref="A1926:E1926"/>
    <s:mergeCell ref="A23647:E23647"/>
    <s:mergeCell ref="A11129:E11129"/>
    <s:mergeCell ref="A7347:E7347"/>
    <s:mergeCell ref="A9133:E9133"/>
    <s:mergeCell ref="A9649:E9649"/>
    <s:mergeCell ref="A23953:E23953"/>
    <s:mergeCell ref="A9344:E9344"/>
    <s:mergeCell ref="A7647:E7647"/>
    <s:mergeCell ref="A23648:E23648"/>
    <s:mergeCell ref="A156:E156"/>
    <s:mergeCell ref="A9644:E9644"/>
    <s:mergeCell ref="A12980:E12980"/>
    <s:mergeCell ref="A2153:E2153"/>
    <s:mergeCell ref="B2489:E2489"/>
    <s:mergeCell ref="A157:E157"/>
    <s:mergeCell ref="A7275:E7275"/>
    <s:mergeCell ref="A16546:E16546"/>
    <s:mergeCell ref="A14461:E14461"/>
    <s:mergeCell ref="A23681:E23681"/>
    <s:mergeCell ref="A23675:E23675"/>
    <s:mergeCell ref="A23376:E23376"/>
    <s:mergeCell ref="A457:E457"/>
    <s:mergeCell ref="A7575:E7575"/>
    <s:mergeCell ref="A23981:E23981"/>
    <s:mergeCell ref="A7569:E7569"/>
    <s:mergeCell ref="A30577:E30577"/>
    <s:mergeCell ref="A28492:E28492"/>
    <s:mergeCell ref="A31093:E31093"/>
    <s:mergeCell ref="A7270:E7270"/>
    <s:mergeCell ref="A23676:E23676"/>
    <s:mergeCell ref="A29097:E29097"/>
    <s:mergeCell ref="A16579:E16579"/>
    <s:mergeCell ref="A14488:E14488"/>
    <s:mergeCell ref="A28792:E28792"/>
    <s:mergeCell ref="A23976:E23976"/>
    <s:mergeCell ref="A31094:E31094"/>
    <s:mergeCell ref="A21906:E21906"/>
    <s:mergeCell ref="A19821:E19821"/>
    <s:mergeCell ref="A29092:E29092"/>
    <s:mergeCell ref="A31394:E31394"/>
    <s:mergeCell ref="A9083:E9083"/>
    <s:mergeCell ref="A20121:E20121"/>
    <s:mergeCell ref="A7603:E7603"/>
    <s:mergeCell ref="A21907:E21907"/>
    <s:mergeCell ref="A21901:E21901"/>
    <s:mergeCell ref="A19816:E19816"/>
    <s:mergeCell ref="A7298:E7298"/>
    <s:mergeCell ref="A29019:E29019"/>
    <s:mergeCell ref="A14416:E14416"/>
    <s:mergeCell ref="A12719:E12719"/>
    <s:mergeCell ref="A21602:E21602"/>
    <s:mergeCell ref="A201:E201"/>
    <s:mergeCell ref="B22454:E22454"/>
    <s:mergeCell ref="A5801:E5801"/>
    <s:mergeCell ref="A12414:E12414"/>
    <s:mergeCell ref="A7598:E7598"/>
    <s:mergeCell ref="A29319:E29319"/>
    <s:mergeCell ref="A27234:E27234"/>
    <s:mergeCell ref="A13019:E13019"/>
    <s:mergeCell ref="A5528:E5528"/>
    <s:mergeCell ref="A12714:E12714"/>
    <s:mergeCell ref="A19832:E19832"/>
    <s:mergeCell ref="A27534:E27534"/>
    <s:mergeCell ref="A15016:E15016"/>
    <s:mergeCell ref="A12931:E12931"/>
    <s:mergeCell ref="A29320:E29320"/>
    <s:mergeCell ref="A5828:E5828"/>
    <s:mergeCell ref="A3743:E3743"/>
    <s:mergeCell ref="B28081:E28081"/>
    <s:mergeCell ref="A20132:E20132"/>
    <s:mergeCell ref="A18047:E18047"/>
    <s:mergeCell ref="A27834:E27834"/>
    <s:mergeCell ref="A5529:E5529"/>
    <s:mergeCell ref="A3832:E3832"/>
    <s:mergeCell ref="A5523:E5523"/>
    <s:mergeCell ref="A3438:E3438"/>
    <s:mergeCell ref="A29047:E29047"/>
    <s:mergeCell ref="A26962:E26962"/>
    <s:mergeCell ref="A18347:E18347"/>
    <s:mergeCell ref="A5829:E5829"/>
    <s:mergeCell ref="A27262:E27262"/>
    <s:mergeCell ref="A27245:E27245"/>
    <s:mergeCell ref="A18647:E18647"/>
    <s:mergeCell ref="A19860:E19860"/>
    <s:mergeCell ref="A27545:E27545"/>
    <s:mergeCell ref="A12942:E12942"/>
    <s:mergeCell ref="A27263:E27263"/>
    <s:mergeCell ref="B13794:E13794"/>
    <s:mergeCell ref="B11703:E11703"/>
    <s:mergeCell ref="A18075:E18075"/>
    <s:mergeCell ref="B13489:E13489"/>
    <s:mergeCell ref="B11398:E11398"/>
    <s:mergeCell ref="A18663:E18663"/>
    <s:mergeCell ref="A25276:E25276"/>
    <s:mergeCell ref="B20707:E20707"/>
    <s:mergeCell ref="A25493:E25493"/>
    <s:mergeCell ref="B13789:E13789"/>
    <s:mergeCell ref="B11704:E11704"/>
    <s:mergeCell ref="A27273:E27273"/>
    <s:mergeCell ref="A25188:E25188"/>
    <s:mergeCell ref="A25793:E25793"/>
    <s:mergeCell ref="B27820:E27820"/>
    <s:mergeCell ref="A17786:E17786"/>
    <s:mergeCell ref="B4513:E4513"/>
    <s:mergeCell ref="A25488:E25488"/>
    <s:mergeCell ref="A18391:E18391"/>
    <s:mergeCell ref="A27274:E27274"/>
    <s:mergeCell ref="A16300:E16300"/>
    <s:mergeCell ref="A3782:E3782"/>
    <s:mergeCell ref="A18086:E18086"/>
    <s:mergeCell ref="A25788:E25788"/>
    <s:mergeCell ref="A31209:E31209"/>
    <s:mergeCell ref="A16606:E16606"/>
    <s:mergeCell ref="B4329:E4329"/>
    <s:mergeCell ref="A18297:E18297"/>
    <s:mergeCell ref="A16301:E16301"/>
    <s:mergeCell ref="A31121:E31121"/>
    <s:mergeCell ref="A18597:E18597"/>
    <s:mergeCell ref="A8320:E8320"/>
    <s:mergeCell ref="A16601:E16601"/>
    <s:mergeCell ref="A25804:E25804"/>
    <s:mergeCell ref="A13442:E13442"/>
    <s:mergeCell ref="A13742:E13742"/>
    <s:mergeCell ref="A1224:E1224"/>
    <s:mergeCell ref="A4554:E4554"/>
    <s:mergeCell ref="A4255:E4255"/>
    <s:mergeCell ref="A14042:E14042"/>
    <s:mergeCell ref="A11957:E11957"/>
    <s:mergeCell ref="A25532:E25532"/>
    <s:mergeCell ref="A23447:E23447"/>
    <s:mergeCell ref="A6035:E6035"/>
    <s:mergeCell ref="A4555:E4555"/>
    <s:mergeCell ref="A4549:E4549"/>
    <s:mergeCell ref="A23747:E23747"/>
    <s:mergeCell ref="A4250:E4250"/>
    <s:mergeCell ref="A6552:E6552"/>
    <s:mergeCell ref="A24047:E24047"/>
    <s:mergeCell ref="A11668:E11668"/>
    <s:mergeCell ref="B5008:E5008"/>
    <s:mergeCell ref="A30860:E30860"/>
    <s:mergeCell ref="A29163:E29163"/>
    <s:mergeCell ref="A20583:E20583"/>
    <s:mergeCell ref="A18886:E18886"/>
    <s:mergeCell ref="A6368:E6368"/>
    <s:mergeCell ref="A4283:E4283"/>
    <s:mergeCell ref="A31465:E31465"/>
    <s:mergeCell ref="A11968:E11968"/>
    <s:mergeCell ref="A18581:E18581"/>
    <s:mergeCell ref="A31160:E31160"/>
    <s:mergeCell ref="A4583:E4583"/>
    <s:mergeCell ref="A19403:E19403"/>
    <s:mergeCell ref="A25999:E25999"/>
    <s:mergeCell ref="A9699:E9699"/>
    <s:mergeCell ref="A19098:E19098"/>
    <s:mergeCell ref="A12001:E12001"/>
    <s:mergeCell ref="A26305:E26305"/>
    <s:mergeCell ref="A27996:E27996"/>
    <s:mergeCell ref="A24214:E24214"/>
    <s:mergeCell ref="A11696:E11696"/>
    <s:mergeCell ref="A26000:E26000"/>
    <s:mergeCell ref="A24819:E24819"/>
    <s:mergeCell ref="A11996:E11996"/>
    <s:mergeCell ref="A19114:E19114"/>
    <s:mergeCell ref="A26300:E26300"/>
    <s:mergeCell ref="A4505:E4505"/>
    <s:mergeCell ref="A2808:E2808"/>
    <s:mergeCell ref="A31327:E31327"/>
    <s:mergeCell ref="A18809:E18809"/>
    <s:mergeCell ref="A4594:E4594"/>
    <s:mergeCell ref="A24230:E24230"/>
    <s:mergeCell ref="A19414:E19414"/>
    <s:mergeCell ref="A17329:E17329"/>
    <s:mergeCell ref="A17323:E17323"/>
    <s:mergeCell ref="A23942:E23942"/>
    <s:mergeCell ref="A2720:E2720"/>
    <s:mergeCell ref="A31627:E31627"/>
    <s:mergeCell ref="A2809:E2809"/>
    <s:mergeCell ref="A24530:E24530"/>
    <s:mergeCell ref="A9927:E9927"/>
    <s:mergeCell ref="A9921:E9921"/>
    <s:mergeCell ref="A7836:E7836"/>
    <s:mergeCell ref="A3020:E3020"/>
    <s:mergeCell ref="A9622:E9622"/>
    <s:mergeCell ref="A434:E434"/>
    <s:mergeCell ref="A8136:E8136"/>
    <s:mergeCell ref="A31660:E31660"/>
    <s:mergeCell ref="A9922:E9922"/>
    <s:mergeCell ref="A31355:E31355"/>
    <s:mergeCell ref="A2431:E2431"/>
    <s:mergeCell ref="A734:E734"/>
    <s:mergeCell ref="B8683:E8683"/>
    <s:mergeCell ref="A3036:E3036"/>
    <s:mergeCell ref="A951:E951"/>
    <s:mergeCell ref="A1034:E1034"/>
    <s:mergeCell ref="A8152:E8152"/>
    <s:mergeCell ref="A6067:E6067"/>
    <s:mergeCell ref="A9955:E9955"/>
    <s:mergeCell ref="A735:E735"/>
    <s:mergeCell ref="A1251:E1251"/>
    <s:mergeCell ref="A24259:E24259"/>
    <s:mergeCell ref="A24253:E24253"/>
    <s:mergeCell ref="A22168:E22168"/>
    <s:mergeCell ref="A31371:E31371"/>
    <s:mergeCell ref="A6367:E6367"/>
    <s:mergeCell ref="A22773:E22773"/>
    <s:mergeCell ref="A24464:E24464"/>
    <s:mergeCell ref="A15282:E15282"/>
    <s:mergeCell ref="A22468:E22468"/>
    <s:mergeCell ref="A31671:E31671"/>
    <s:mergeCell ref="A29586:E29586"/>
    <s:mergeCell ref="A17068:E17068"/>
    <s:mergeCell ref="A6667:E6667"/>
    <s:mergeCell ref="A16763:E16763"/>
    <s:mergeCell ref="A15582:E15582"/>
    <s:mergeCell ref="A29886:E29886"/>
    <s:mergeCell ref="A17368:E17368"/>
    <s:mergeCell ref="A15283:E15283"/>
    <s:mergeCell ref="A13586:E13586"/>
    <s:mergeCell ref="A15277:E15277"/>
    <s:mergeCell ref="A20698:E20698"/>
    <s:mergeCell ref="A8180:E8180"/>
    <s:mergeCell ref="A6095:E6095"/>
    <s:mergeCell ref="A22484:E22484"/>
    <s:mergeCell ref="A20399:E20399"/>
    <s:mergeCell ref="A30186:E30186"/>
    <s:mergeCell ref="A7875:E7875"/>
    <s:mergeCell ref="A22179:E22179"/>
    <s:mergeCell ref="A6395:E6395"/>
    <s:mergeCell ref="A20699:E20699"/>
    <s:mergeCell ref="A8181:E8181"/>
    <s:mergeCell ref="A6090:E6090"/>
    <s:mergeCell ref="A13208:E13208"/>
    <s:mergeCell ref="A22995:E22995"/>
    <s:mergeCell ref="A20394:E20394"/>
    <s:mergeCell ref="A20999:E20999"/>
    <s:mergeCell ref="A28117:E28117"/>
    <s:mergeCell ref="A6390:E6390"/>
    <s:mergeCell ref="A13508:E13508"/>
    <s:mergeCell ref="A29914:E29914"/>
    <s:mergeCell ref="A990:E990"/>
    <s:mergeCell ref="A6106:E6106"/>
    <s:mergeCell ref="A13808:E13808"/>
    <s:mergeCell ref="A11723:E11723"/>
    <s:mergeCell ref="A1290:E1290"/>
    <s:mergeCell ref="A28112:E28112"/>
    <s:mergeCell ref="A20621:E20621"/>
    <s:mergeCell ref="A6406:E6406"/>
    <s:mergeCell ref="B12270:E12270"/>
    <s:mergeCell ref="A6623:E6623"/>
    <s:mergeCell ref="A13236:E13236"/>
    <s:mergeCell ref="A29625:E29625"/>
    <s:mergeCell ref="A20921:E20921"/>
    <s:mergeCell ref="A27540:E27540"/>
    <s:mergeCell ref="A6318:E6318"/>
    <s:mergeCell ref="A4621:E4621"/>
    <s:mergeCell ref="A13536:E13536"/>
    <s:mergeCell ref="A27840:E27840"/>
    <s:mergeCell ref="A18652:E18652"/>
    <s:mergeCell ref="A13836:E13836"/>
    <s:mergeCell ref="A26055:E26055"/>
    <s:mergeCell ref="A1457:E1457"/>
    <s:mergeCell ref="B12586:E12586"/>
    <s:mergeCell ref="A18952:E18952"/>
    <s:mergeCell ref="B12281:E12281"/>
    <s:mergeCell ref="A18864:E18864"/>
    <s:mergeCell ref="A26071:E26071"/>
    <s:mergeCell ref="A26065:E26065"/>
    <s:mergeCell ref="A23980:E23980"/>
    <s:mergeCell ref="A13547:E13547"/>
    <s:mergeCell ref="A28367:E28367"/>
    <s:mergeCell ref="A25766:E25766"/>
    <s:mergeCell ref="A26282:E26282"/>
    <s:mergeCell ref="A12067:E12067"/>
    <s:mergeCell ref="A26371:E26371"/>
    <s:mergeCell ref="A11762:E11762"/>
    <s:mergeCell ref="A26066:E26066"/>
    <s:mergeCell ref="A26582:E26582"/>
    <s:mergeCell ref="A8603:E8603"/>
    <s:mergeCell ref="A5:E5"/>
    <s:mergeCell ref="A16884:E16884"/>
    <s:mergeCell ref="A6607:E6607"/>
    <s:mergeCell ref="A12062:E12062"/>
    <s:mergeCell ref="A8903:E8903"/>
    <s:mergeCell ref="B10812:E10812"/>
    <s:mergeCell ref="B535:E535"/>
    <s:mergeCell ref="A6907:E6907"/>
    <s:mergeCell ref="A8598:E8598"/>
    <s:mergeCell ref="A6901:E6901"/>
    <s:mergeCell ref="A7118:E7118"/>
    <s:mergeCell ref="A31699:E31699"/>
    <s:mergeCell ref="A21422:E21422"/>
    <s:mergeCell ref="A12234:E12234"/>
    <s:mergeCell ref="A7418:E7418"/>
    <s:mergeCell ref="B8449:E8449"/>
    <s:mergeCell ref="A12534:E12534"/>
    <s:mergeCell ref="A14320:E14320"/>
    <s:mergeCell ref="B27140:E27140"/>
    <s:mergeCell ref="A12834:E12834"/>
    <s:mergeCell ref="A31727:E31727"/>
    <s:mergeCell ref="A7129:E7129"/>
    <s:mergeCell ref="A13748:E13748"/>
    <s:mergeCell ref="A12262:E12262"/>
    <s:mergeCell ref="A7429:E7429"/>
    <s:mergeCell ref="A5344:E5344"/>
    <s:mergeCell ref="A44:E44"/>
    <s:mergeCell ref="A12263:E12263"/>
    <s:mergeCell ref="A6857:E6857"/>
    <s:mergeCell ref="A5160:E5160"/>
    <s:mergeCell ref="A21766:E21766"/>
    <s:mergeCell ref="A19681:E19681"/>
    <s:mergeCell ref="A19675:E19675"/>
    <s:mergeCell ref="A7157:E7157"/>
    <s:mergeCell ref="A5072:E5072"/>
    <s:mergeCell ref="A3375:E3375"/>
    <s:mergeCell ref="B13004:E13004"/>
    <s:mergeCell ref="A21461:E21461"/>
    <s:mergeCell ref="A10188:E10188"/>
    <s:mergeCell ref="A5372:E5372"/>
    <s:mergeCell ref="A12490:E12490"/>
    <s:mergeCell ref="A21761:E21761"/>
    <s:mergeCell ref="A19676:E19676"/>
    <s:mergeCell ref="A26794:E26794"/>
    <s:mergeCell ref="A2786:E2786"/>
    <s:mergeCell ref="A14270:E14270"/>
    <s:mergeCell ref="A10488:E10488"/>
    <s:mergeCell ref="A17606:E17606"/>
    <s:mergeCell ref="A12790:E12790"/>
    <s:mergeCell ref="A27094:E27094"/>
    <s:mergeCell ref="A25003:E25003"/>
    <s:mergeCell ref="A3086:E3086"/>
    <s:mergeCell ref="A10788:E10788"/>
    <s:mergeCell ref="A17906:E17906"/>
    <s:mergeCell ref="A3303:E3303"/>
    <s:mergeCell ref="A3297:E3297"/>
    <s:mergeCell ref="A17601:E17601"/>
    <s:mergeCell ref="A8419:E8419"/>
    <s:mergeCell ref="A18206:E18206"/>
    <s:mergeCell ref="A16121:E16121"/>
    <s:mergeCell ref="A17901:E17901"/>
    <s:mergeCell ref="A3298:E3298"/>
    <s:mergeCell ref="A8719:E8719"/>
    <s:mergeCell ref="A16421:E16421"/>
    <s:mergeCell ref="B18448:E18448"/>
    <s:mergeCell ref="A10716:E10716"/>
    <s:mergeCell ref="A8625:E8625"/>
    <s:mergeCell ref="B8961:E8961"/>
    <s:mergeCell ref="A1528:E1528"/>
    <s:mergeCell ref="A17934:E17934"/>
    <s:mergeCell ref="A11016:E11016"/>
    <s:mergeCell ref="A17629:E17629"/>
    <s:mergeCell ref="A1828:E1828"/>
    <s:mergeCell ref="A30453:E30453"/>
    <s:mergeCell ref="A1523:E1523"/>
    <s:mergeCell ref="A17929:E17929"/>
    <s:mergeCell ref="A25047:E25047"/>
    <s:mergeCell ref="B290:E290"/>
    <s:mergeCell ref="A43:E43"/>
    <s:mergeCell ref="A23051:E23051"/>
    <s:mergeCell ref="A15560:E15560"/>
    <s:mergeCell ref="A25347:E25347"/>
    <s:mergeCell ref="A23262:E23262"/>
    <s:mergeCell ref="A10738:E10738"/>
    <s:mergeCell ref="A25048:E25048"/>
    <s:mergeCell ref="A14074:E14074"/>
    <s:mergeCell ref="A22957:E22957"/>
    <s:mergeCell ref="B285:E285"/>
    <s:mergeCell ref="A30463:E30463"/>
    <s:mergeCell ref="A15860:E15860"/>
    <s:mergeCell ref="A23562:E23562"/>
    <s:mergeCell ref="A30164:E30164"/>
    <s:mergeCell ref="A17640:E17640"/>
    <s:mergeCell ref="A15555:E15555"/>
    <s:mergeCell ref="A1856:E1856"/>
    <s:mergeCell ref="A16160:E16160"/>
    <s:mergeCell ref="A14075:E14075"/>
    <s:mergeCell ref="A3642:E3642"/>
    <s:mergeCell ref="A30464:E30464"/>
    <s:mergeCell ref="A15855:E15855"/>
    <s:mergeCell ref="A16371:E16371"/>
    <s:mergeCell ref="A22973:E22973"/>
    <s:mergeCell ref="A6673:E6673"/>
    <s:mergeCell ref="A14375:E14375"/>
    <s:mergeCell ref="A23578:E23578"/>
    <s:mergeCell ref="A30764:E30764"/>
    <s:mergeCell ref="A8969:E8969"/>
    <s:mergeCell ref="A6884:E6884"/>
    <s:mergeCell ref="A23273:E23273"/>
    <s:mergeCell ref="A8670:E8670"/>
    <s:mergeCell ref="A21793:E21793"/>
    <s:mergeCell ref="A7184:E7184"/>
    <s:mergeCell ref="A23573:E23573"/>
    <s:mergeCell ref="A21488:E21488"/>
    <s:mergeCell ref="A8970:E8970"/>
    <s:mergeCell ref="A14391:E14391"/>
    <s:mergeCell ref="A12300:E12300"/>
    <s:mergeCell ref="A14086:E14086"/>
    <s:mergeCell ref="A23001:E23001"/>
    <s:mergeCell ref="A14297:E14297"/>
    <s:mergeCell ref="A82:E82"/>
    <s:mergeCell ref="A2323:E2323"/>
    <s:mergeCell ref="A14386:E14386"/>
    <s:mergeCell ref="A12301:E12301"/>
    <s:mergeCell ref="B14844:E14844"/>
    <s:mergeCell ref="A23301:E23301"/>
    <s:mergeCell ref="A21216:E21216"/>
    <s:mergeCell ref="A21821:E21821"/>
    <s:mergeCell ref="A28417:E28417"/>
    <s:mergeCell ref="A26332:E26332"/>
    <s:mergeCell ref="A21516:E21516"/>
    <s:mergeCell ref="A30719:E30719"/>
    <s:mergeCell ref="A28634:E28634"/>
    <s:mergeCell ref="A28723:E28723"/>
    <s:mergeCell ref="B26879:E26879"/>
    <s:mergeCell ref="A30414:E30414"/>
    <s:mergeCell ref="B5657:E5657"/>
    <s:mergeCell ref="A26632:E26632"/>
    <s:mergeCell ref="A28934:E28934"/>
    <s:mergeCell ref="A27237:E27237"/>
    <s:mergeCell ref="A19746:E19746"/>
    <s:mergeCell ref="A28629:E28629"/>
    <s:mergeCell ref="A21532:E21532"/>
    <s:mergeCell ref="A29234:E29234"/>
    <s:mergeCell ref="A6923:E6923"/>
    <s:mergeCell ref="A21227:E21227"/>
    <s:mergeCell ref="B6257:E6257"/>
    <s:mergeCell ref="A21832:E21832"/>
    <s:mergeCell ref="A19747:E19747"/>
    <s:mergeCell ref="A19741:E19741"/>
    <s:mergeCell ref="A7223:E7223"/>
    <s:mergeCell ref="A21527:E21527"/>
    <s:mergeCell ref="A19442:E19442"/>
    <s:mergeCell ref="A14586:E14586"/>
    <s:mergeCell ref="A582:E582"/>
    <s:mergeCell ref="B10801:E10801"/>
    <s:mergeCell ref="A14886:E14886"/>
    <s:mergeCell ref="A16583:E16583"/>
    <s:mergeCell ref="A2368:E2368"/>
    <s:mergeCell ref="A277:E277"/>
    <s:mergeCell ref="A27160:E27160"/>
    <s:mergeCell ref="B11107:E11107"/>
    <s:mergeCell ref="B11101:E11101"/>
    <s:mergeCell ref="A16883:E16883"/>
    <s:mergeCell ref="A583:E583"/>
    <s:mergeCell ref="A577:E577"/>
    <s:mergeCell ref="A7695:E7695"/>
    <s:mergeCell ref="A17183:E17183"/>
    <s:mergeCell ref="A15098:E15098"/>
    <s:mergeCell ref="A5910:E5910"/>
    <s:mergeCell ref="A7696:E7696"/>
    <s:mergeCell ref="A5605:E5605"/>
    <s:mergeCell ref="B18514:E18514"/>
    <s:mergeCell ref="A7996:E7996"/>
    <s:mergeCell ref="A505:E505"/>
    <s:mergeCell ref="A7723:E7723"/>
    <s:mergeCell ref="A5621:E5621"/>
    <s:mergeCell ref="A9509:E9509"/>
    <s:mergeCell ref="A805:E805"/>
    <s:mergeCell ref="A7424:E7424"/>
    <s:mergeCell ref="A14625:E14625"/>
    <s:mergeCell ref="A5921:E5921"/>
    <s:mergeCell ref="A12540:E12540"/>
    <s:mergeCell ref="A20242:E20242"/>
    <s:mergeCell ref="A7724:E7724"/>
    <s:mergeCell ref="A29445:E29445"/>
    <s:mergeCell ref="A7718:E7718"/>
    <s:mergeCell ref="A27360:E27360"/>
    <s:mergeCell ref="A14842:E14842"/>
    <s:mergeCell ref="B4383:E4383"/>
    <s:mergeCell ref="B14170:E14170"/>
    <s:mergeCell ref="A12840:E12840"/>
    <s:mergeCell ref="A13356:E13356"/>
    <s:mergeCell ref="A27660:E27660"/>
    <s:mergeCell ref="A15142:E15142"/>
    <s:mergeCell ref="A13051:E13051"/>
    <s:mergeCell ref="A29440:E29440"/>
    <s:mergeCell ref="A27355:E27355"/>
    <s:mergeCell ref="A14837:E14837"/>
    <s:mergeCell ref="A11055:E11055"/>
    <s:mergeCell ref="A20258:E20258"/>
    <s:mergeCell ref="A27960:E27960"/>
    <s:mergeCell ref="A19953:E19953"/>
    <s:mergeCell ref="A27655:E27655"/>
    <s:mergeCell ref="A15137:E15137"/>
    <s:mergeCell ref="A20558:E20558"/>
    <s:mergeCell ref="A18473:E18473"/>
    <s:mergeCell ref="A5955:E5955"/>
    <s:mergeCell ref="A5949:E5949"/>
    <s:mergeCell ref="A20253:E20253"/>
    <s:mergeCell ref="A22555:E22555"/>
    <s:mergeCell ref="A20470:E20470"/>
    <s:mergeCell ref="A18773:E18773"/>
    <s:mergeCell ref="A27083:E27083"/>
    <s:mergeCell ref="A13367:E13367"/>
    <s:mergeCell ref="A11282:E11282"/>
    <s:mergeCell ref="A20553:E20553"/>
    <s:mergeCell ref="A18468:E18468"/>
    <s:mergeCell ref="A27688:E27688"/>
    <s:mergeCell ref="A27671:E27671"/>
    <s:mergeCell ref="A25586:E25586"/>
    <s:mergeCell ref="A11371:E11371"/>
    <s:mergeCell ref="A13062:E13062"/>
    <s:mergeCell ref="A10977:E10977"/>
    <s:mergeCell ref="A27383:E27383"/>
    <s:mergeCell ref="A11582:E11582"/>
    <s:mergeCell ref="A25886:E25886"/>
    <s:mergeCell ref="A13368:E13368"/>
    <s:mergeCell ref="A11277:E11277"/>
    <s:mergeCell ref="A4180:E4180"/>
    <s:mergeCell ref="A2095:E2095"/>
    <s:mergeCell ref="A11882:E11882"/>
    <s:mergeCell ref="B26433:E26433"/>
    <s:mergeCell ref="A26186:E26186"/>
    <s:mergeCell ref="B11824:E11824"/>
    <s:mergeCell ref="B28213:E28213"/>
    <s:mergeCell ref="A27399:E27399"/>
    <s:mergeCell ref="A6177:E6177"/>
    <s:mergeCell ref="A2395:E2395"/>
    <s:mergeCell ref="A4175:E4175"/>
    <s:mergeCell ref="A2090:E2090"/>
    <s:mergeCell ref="A27699:E27699"/>
    <s:mergeCell ref="A25614:E25614"/>
    <s:mergeCell ref="A6477:E6477"/>
    <s:mergeCell ref="A13090:E13090"/>
    <s:mergeCell ref="A11005:E11005"/>
    <s:mergeCell ref="A27394:E27394"/>
    <s:mergeCell ref="A11593:E11593"/>
    <s:mergeCell ref="A9508:E9508"/>
    <s:mergeCell ref="A18212:E18212"/>
    <s:mergeCell ref="A25914:E25914"/>
    <s:mergeCell ref="A18423:E18423"/>
    <s:mergeCell ref="A25609:E25609"/>
    <s:mergeCell ref="A4208:E4208"/>
    <s:mergeCell ref="A9808:E9808"/>
    <s:mergeCell ref="A16427:E16427"/>
    <s:mergeCell ref="A26214:E26214"/>
    <s:mergeCell ref="A626:E626"/>
    <s:mergeCell ref="A18723:E18723"/>
    <s:mergeCell ref="A2406:E2406"/>
    <s:mergeCell ref="A16727:E16727"/>
    <s:mergeCell ref="A23839:E23839"/>
    <s:mergeCell ref="A11321:E11321"/>
    <s:mergeCell ref="A9236:E9236"/>
    <s:mergeCell ref="A19023:E19023"/>
    <s:mergeCell ref="A31242:E31242"/>
    <s:mergeCell ref="A25836:E25836"/>
    <s:mergeCell ref="B9783:E9783"/>
    <s:mergeCell ref="A9536:E9536"/>
    <s:mergeCell ref="A16654:E16654"/>
    <s:mergeCell ref="A25925:E25925"/>
    <s:mergeCell ref="A23840:E23840"/>
    <s:mergeCell ref="A9231:E9231"/>
    <s:mergeCell ref="A14652:E14652"/>
    <s:mergeCell ref="A24051:E24051"/>
    <s:mergeCell ref="A2134:E2134"/>
    <s:mergeCell ref="A9836:E9836"/>
    <s:mergeCell ref="A16954:E16954"/>
    <s:mergeCell ref="A31258:E31258"/>
    <s:mergeCell ref="A31252:E31252"/>
    <s:mergeCell ref="A29167:E29167"/>
    <s:mergeCell ref="A18734:E18734"/>
    <s:mergeCell ref="A16649:E16649"/>
    <s:mergeCell ref="A14952:E14952"/>
    <s:mergeCell ref="A2434:E2434"/>
    <s:mergeCell ref="A30953:E30953"/>
    <s:mergeCell ref="A16738:E16738"/>
    <s:mergeCell ref="A15169:E15169"/>
    <s:mergeCell ref="A23867:E23867"/>
    <s:mergeCell ref="A29467:E29467"/>
    <s:mergeCell ref="A16949:E16949"/>
    <s:mergeCell ref="A22370:E22370"/>
    <s:mergeCell ref="A20285:E20285"/>
    <s:mergeCell ref="A7767:E7767"/>
    <s:mergeCell ref="A22071:E22071"/>
    <s:mergeCell ref="A9547:E9547"/>
    <s:mergeCell ref="A7462:E7462"/>
    <s:mergeCell ref="A20585:E20585"/>
    <s:mergeCell ref="A8067:E8067"/>
    <s:mergeCell ref="A7762:E7762"/>
    <s:mergeCell ref="A31286:E31286"/>
    <s:mergeCell ref="A31586:E31586"/>
    <s:mergeCell ref="A29501:E29501"/>
    <s:mergeCell ref="B818:E818"/>
    <s:mergeCell ref="A31281:E31281"/>
    <s:mergeCell ref="A7789:E7789"/>
    <s:mergeCell ref="A24184:E24184"/>
    <s:mergeCell ref="A22099:E22099"/>
    <s:mergeCell ref="B30048:E30048"/>
    <s:mergeCell ref="A22093:E22093"/>
    <s:mergeCell ref="A29511:E29511"/>
    <s:mergeCell ref="A27426:E27426"/>
    <s:mergeCell ref="A14908:E14908"/>
    <s:mergeCell ref="A29212:E29212"/>
    <s:mergeCell ref="A16688:E16688"/>
    <s:mergeCell ref="A14603:E14603"/>
    <s:mergeCell ref="B30058:E30058"/>
    <s:mergeCell ref="A27726:E27726"/>
    <s:mergeCell ref="A15208:E15208"/>
    <s:mergeCell ref="A29512:E29512"/>
    <s:mergeCell ref="A27421:E27421"/>
    <s:mergeCell ref="A14903:E14903"/>
    <s:mergeCell ref="B28273:E28273"/>
    <s:mergeCell ref="A10047:E10047"/>
    <s:mergeCell ref="B30059:E30059"/>
    <s:mergeCell ref="A3146:E3146"/>
    <s:mergeCell ref="A2841:E2841"/>
    <s:mergeCell ref="A12044:E12044"/>
    <s:mergeCell ref="A8262:E8262"/>
    <s:mergeCell ref="A27454:E27454"/>
    <s:mergeCell ref="A10048:E10048"/>
    <s:mergeCell ref="A10042:E10042"/>
    <s:mergeCell ref="B6568:E6568"/>
    <s:mergeCell ref="A860:E860"/>
    <s:mergeCell ref="A10259:E10259"/>
    <s:mergeCell ref="A8562:E8562"/>
    <s:mergeCell ref="A12344:E12344"/>
    <s:mergeCell ref="B21382:E21382"/>
    <s:mergeCell ref="A1071:E1071"/>
    <s:mergeCell ref="A8257:E8257"/>
    <s:mergeCell ref="A17460:E17460"/>
    <s:mergeCell ref="A2857:E2857"/>
    <s:mergeCell ref="A1160:E1160"/>
    <s:mergeCell ref="A10559:E10559"/>
    <s:mergeCell ref="B11895:E11895"/>
    <s:mergeCell ref="A3462:E3462"/>
    <s:mergeCell ref="A1377:E1377"/>
    <s:mergeCell ref="B1618:E1618"/>
    <s:mergeCell ref="A1371:E1371"/>
    <s:mergeCell ref="B13681:E13681"/>
    <s:mergeCell ref="A15675:E15675"/>
    <s:mergeCell ref="A3157:E3157"/>
    <s:mergeCell ref="A8578:E8578"/>
    <s:mergeCell ref="B11896:E11896"/>
    <s:mergeCell ref="A8273:E8273"/>
    <s:mergeCell ref="B11890:E11890"/>
    <s:mergeCell ref="A15975:E15975"/>
    <s:mergeCell ref="A3457:E3457"/>
    <s:mergeCell ref="A1372:E1372"/>
    <s:mergeCell ref="A27465:E27465"/>
    <s:mergeCell ref="A6793:E6793"/>
    <s:mergeCell ref="A15403:E15403"/>
    <s:mergeCell ref="A28227:E28227"/>
    <s:mergeCell ref="A29918:E29918"/>
    <s:mergeCell ref="A8001:E8001"/>
    <s:mergeCell ref="A22821:E22821"/>
    <s:mergeCell ref="A22910:E22910"/>
    <s:mergeCell ref="A20819:E20819"/>
    <s:mergeCell ref="A8301:E8301"/>
    <s:mergeCell ref="A6216:E6216"/>
    <s:mergeCell ref="A23121:E23121"/>
    <s:mergeCell ref="A21036:E21036"/>
    <s:mergeCell ref="A22822:E22822"/>
    <s:mergeCell ref="A21125:E21125"/>
    <s:mergeCell ref="A22816:E22816"/>
    <s:mergeCell ref="A6516:E6516"/>
    <s:mergeCell ref="A28237:E28237"/>
    <s:mergeCell ref="A13634:E13634"/>
    <s:mergeCell ref="A27938:E27938"/>
    <s:mergeCell ref="A15414:E15414"/>
    <s:mergeCell ref="A26452:E26452"/>
    <s:mergeCell ref="A13934:E13934"/>
    <s:mergeCell ref="A28238:E28238"/>
    <s:mergeCell ref="A13629:E13629"/>
    <s:mergeCell ref="A1111:E1111"/>
    <s:mergeCell ref="A20747:E20747"/>
    <s:mergeCell ref="A27933:E27933"/>
    <s:mergeCell ref="A12149:E12149"/>
    <s:mergeCell ref="A30235:E30235"/>
    <s:mergeCell ref="A28538:E28538"/>
    <s:mergeCell ref="B14176:E14176"/>
    <s:mergeCell ref="A6227:E6227"/>
    <s:mergeCell ref="A6743:E6743"/>
    <s:mergeCell ref="A21047:E21047"/>
    <s:mergeCell ref="B14781:E14781"/>
    <s:mergeCell ref="A4747:E4747"/>
    <s:mergeCell ref="A4741:E4741"/>
    <s:mergeCell ref="B14476:E14476"/>
    <s:mergeCell ref="A6527:E6527"/>
    <s:mergeCell ref="A4442:E4442"/>
    <s:mergeCell ref="A4958:E4958"/>
    <s:mergeCell ref="A7043:E7043"/>
    <s:mergeCell ref="A30051:E30051"/>
    <s:mergeCell ref="A21347:E21347"/>
    <s:mergeCell ref="A19262:E19262"/>
    <s:mergeCell ref="A27966:E27966"/>
    <s:mergeCell ref="A6744:E6744"/>
    <s:mergeCell ref="A4653:E4653"/>
    <s:mergeCell ref="A12159:E12159"/>
    <s:mergeCell ref="A4742:E4742"/>
    <s:mergeCell ref="A11860:E11860"/>
    <s:mergeCell ref="A28266:E28266"/>
    <s:mergeCell ref="A19562:E19562"/>
    <s:mergeCell ref="A20775:E20775"/>
    <s:mergeCell ref="A10374:E10374"/>
    <s:mergeCell ref="A12160:E12160"/>
    <s:mergeCell ref="A4669:E4669"/>
    <s:mergeCell ref="A21075:E21075"/>
    <s:mergeCell ref="A20770:E20770"/>
    <s:mergeCell ref="A26191:E26191"/>
    <s:mergeCell ref="A4969:E4969"/>
    <s:mergeCell ref="A11588:E11588"/>
    <s:mergeCell ref="A19290:E19290"/>
    <s:mergeCell ref="A21375:E21375"/>
    <s:mergeCell ref="A19273:E19273"/>
    <s:mergeCell ref="A18985:E18985"/>
    <s:mergeCell ref="A28188:E28188"/>
    <s:mergeCell ref="A26491:E26491"/>
    <s:mergeCell ref="A24406:E24406"/>
    <s:mergeCell ref="A5269:E5269"/>
    <s:mergeCell ref="A3184:E3184"/>
    <s:mergeCell ref="A26192:E26192"/>
    <s:mergeCell ref="A26708:E26708"/>
    <s:mergeCell ref="A24101:E24101"/>
    <s:mergeCell ref="A17004:E17004"/>
    <s:mergeCell ref="A26403:E26403"/>
    <s:mergeCell ref="B3731:E3731"/>
    <s:mergeCell ref="A12188:E12188"/>
    <s:mergeCell ref="A3484:E3484"/>
    <s:mergeCell ref="A10103:E10103"/>
    <s:mergeCell ref="B18035:E18035"/>
    <s:mergeCell ref="A19306:E19306"/>
    <s:mergeCell ref="A31519:E31519"/>
    <s:mergeCell ref="A19001:E19001"/>
    <s:mergeCell ref="A17304:E17304"/>
    <s:mergeCell ref="A26703:E26703"/>
    <s:mergeCell ref="A19606:E19606"/>
    <s:mergeCell ref="A17521:E17521"/>
    <s:mergeCell ref="A17515:E17515"/>
    <s:mergeCell ref="A2912:E2912"/>
    <s:mergeCell ref="A19301:E19301"/>
    <s:mergeCell ref="A10113:E10113"/>
    <s:mergeCell ref="A9814:E9814"/>
    <s:mergeCell ref="A19601:E19601"/>
    <s:mergeCell ref="A17516:E17516"/>
    <s:mergeCell ref="A22937:E22937"/>
    <s:mergeCell ref="A10419:E10419"/>
    <s:mergeCell ref="A8328:E8328"/>
    <s:mergeCell ref="A17531:E17531"/>
    <s:mergeCell ref="A2928:E2928"/>
    <s:mergeCell ref="B20148:E20148"/>
    <s:mergeCell ref="A10114:E10114"/>
    <s:mergeCell ref="A24934:E24934"/>
    <s:mergeCell ref="A24928:E24928"/>
    <s:mergeCell ref="A31547:E31547"/>
    <s:mergeCell ref="A926:E926"/>
    <s:mergeCell ref="A10325:E10325"/>
    <s:mergeCell ref="A15746:E15746"/>
    <s:mergeCell ref="A3228:E3228"/>
    <s:mergeCell ref="A10414:E10414"/>
    <s:mergeCell ref="A8329:E8329"/>
    <s:mergeCell ref="A15441:E15441"/>
    <s:mergeCell ref="A2923:E2923"/>
    <s:mergeCell ref="A1226:E1226"/>
    <s:mergeCell ref="A16046:E16046"/>
    <s:mergeCell ref="B30597:E30597"/>
    <s:mergeCell ref="A17832:E17832"/>
    <s:mergeCell ref="A15741:E15741"/>
    <s:mergeCell ref="A3223:E3223"/>
    <s:mergeCell ref="B18379:E18379"/>
    <s:mergeCell ref="B1685:E1685"/>
    <s:mergeCell ref="A17260:E17260"/>
    <s:mergeCell ref="B8886:E8886"/>
    <s:mergeCell ref="A30078:E30078"/>
    <s:mergeCell ref="A15469:E15469"/>
    <s:mergeCell ref="A12883:E12883"/>
    <s:mergeCell ref="A22676:E22676"/>
    <s:mergeCell ref="A17860:E17860"/>
    <s:mergeCell ref="A22887:E22887"/>
    <s:mergeCell ref="A22976:E22976"/>
    <s:mergeCell ref="A20891:E20891"/>
    <s:mergeCell ref="A23187:E23187"/>
    <s:mergeCell ref="A3696:E3696"/>
    <s:mergeCell ref="A6887:E6887"/>
    <s:mergeCell ref="A10825:E10825"/>
    <s:mergeCell ref="A24973:E24973"/>
    <s:mergeCell ref="A22888:E22888"/>
    <s:mergeCell ref="A21191:E21191"/>
    <s:mergeCell ref="A22882:E22882"/>
    <s:mergeCell ref="A3423:E3423"/>
    <s:mergeCell ref="A30089:E30089"/>
    <s:mergeCell ref="A28004:E28004"/>
    <s:mergeCell ref="A3512:E3512"/>
    <s:mergeCell ref="A30306:E30306"/>
    <s:mergeCell ref="A28609:E28609"/>
    <s:mergeCell ref="B28551:E28551"/>
    <s:mergeCell ref="A28304:E28304"/>
    <s:mergeCell ref="A15786:E15786"/>
    <s:mergeCell ref="A3418:E3418"/>
    <s:mergeCell ref="A16547:E16547"/>
    <s:mergeCell ref="A28604:E28604"/>
    <s:mergeCell ref="B14242:E14242"/>
    <s:mergeCell ref="A16242:E16242"/>
    <s:mergeCell ref="A5809:E5809"/>
    <s:mergeCell ref="A10836:E10836"/>
    <s:mergeCell ref="B27066:E27066"/>
    <s:mergeCell ref="A16542:E16542"/>
    <s:mergeCell ref="A11142:E11142"/>
    <s:mergeCell ref="A11136:E11136"/>
    <s:mergeCell ref="A25440:E25440"/>
    <s:mergeCell ref="A10837:E10837"/>
    <s:mergeCell ref="B5660:E5660"/>
    <s:mergeCell ref="A1649:E1649"/>
    <s:mergeCell ref="A9351:E9351"/>
    <s:mergeCell ref="A2254:E2254"/>
    <s:mergeCell ref="A16558:E16558"/>
    <s:mergeCell ref="A1949:E1949"/>
    <s:mergeCell ref="A23388:E23388"/>
    <s:mergeCell ref="A8779:E8779"/>
    <s:mergeCell ref="A164:E164"/>
    <s:mergeCell ref="A23688:E23688"/>
    <s:mergeCell ref="A23383:E23383"/>
    <s:mergeCell ref="A16286:E16286"/>
    <s:mergeCell ref="A23988:E23988"/>
    <s:mergeCell ref="A30590:E30590"/>
    <s:mergeCell ref="A15981:E15981"/>
    <s:mergeCell ref="A23683:E23683"/>
    <s:mergeCell ref="A29104:E29104"/>
    <s:mergeCell ref="A16586:E16586"/>
    <s:mergeCell ref="A14501:E14501"/>
    <s:mergeCell ref="A18277:E18277"/>
    <s:mergeCell ref="A1977:E1977"/>
    <s:mergeCell ref="A30890:E30890"/>
    <s:mergeCell ref="A21613:E21613"/>
    <s:mergeCell ref="A9095:E9095"/>
    <s:mergeCell ref="A23399:E23399"/>
    <s:mergeCell ref="A31101:E31101"/>
    <s:mergeCell ref="A480:E480"/>
    <s:mergeCell ref="A7093:E7093"/>
    <s:mergeCell ref="A16492:E16492"/>
    <s:mergeCell ref="A23094:E23094"/>
    <s:mergeCell ref="A21913:E21913"/>
    <s:mergeCell ref="A9395:E9395"/>
    <s:mergeCell ref="A23699:E23699"/>
    <s:mergeCell ref="A21614:E21614"/>
    <s:mergeCell ref="A9096:E9096"/>
    <s:mergeCell ref="A21608:E21608"/>
    <s:mergeCell ref="A9090:E9090"/>
    <s:mergeCell ref="A7005:E7005"/>
    <s:mergeCell ref="A14511:E14511"/>
    <s:mergeCell ref="A7610:E7610"/>
    <s:mergeCell ref="A21914:E21914"/>
    <s:mergeCell ref="A16508:E16508"/>
    <s:mergeCell ref="A14423:E14423"/>
    <s:mergeCell ref="A12726:E12726"/>
    <s:mergeCell ref="A208:E208"/>
    <s:mergeCell ref="A14512:E14512"/>
    <s:mergeCell ref="A23427:E23427"/>
    <s:mergeCell ref="A13026:E13026"/>
    <s:mergeCell ref="A31112:E31112"/>
    <s:mergeCell ref="A29027:E29027"/>
    <s:mergeCell ref="A5535:E5535"/>
    <s:mergeCell ref="A203:E203"/>
    <s:mergeCell ref="A19839:E19839"/>
    <s:mergeCell ref="A7321:E7321"/>
    <s:mergeCell ref="A23727:E23727"/>
    <s:mergeCell ref="A15023:E15023"/>
    <s:mergeCell ref="A21642:E21642"/>
    <s:mergeCell ref="B15359:E15359"/>
    <s:mergeCell ref="A5841:E5841"/>
    <s:mergeCell ref="A5835:E5835"/>
    <s:mergeCell ref="A20139:E20139"/>
    <s:mergeCell ref="A7621:E7621"/>
    <s:mergeCell ref="A5536:E5536"/>
    <s:mergeCell ref="A21942:E21942"/>
    <s:mergeCell ref="A5530:E5530"/>
    <s:mergeCell ref="A19840:E19840"/>
    <s:mergeCell ref="A29054:E29054"/>
    <s:mergeCell ref="A130:E130"/>
    <s:mergeCell ref="A30840:E30840"/>
    <s:mergeCell ref="A28755:E28755"/>
    <s:mergeCell ref="A27058:E27058"/>
    <s:mergeCell ref="A5836:E5836"/>
    <s:mergeCell ref="A29360:E29360"/>
    <s:mergeCell ref="B22683:E22683"/>
    <s:mergeCell ref="A12649:E12649"/>
    <s:mergeCell ref="A29055:E29055"/>
    <s:mergeCell ref="A27358:E27358"/>
    <s:mergeCell ref="B13501:E13501"/>
    <s:mergeCell ref="A19867:E19867"/>
    <s:mergeCell ref="A5264:E5264"/>
    <s:mergeCell ref="A21653:E21653"/>
    <s:mergeCell ref="A29355:E29355"/>
    <s:mergeCell ref="A3767:E3767"/>
    <s:mergeCell ref="A12465:E12465"/>
    <s:mergeCell ref="A10380:E10380"/>
    <s:mergeCell ref="A20167:E20167"/>
    <s:mergeCell ref="A5564:E5564"/>
    <s:mergeCell ref="A27285:E27285"/>
    <s:mergeCell ref="A19868:E19868"/>
    <s:mergeCell ref="A19862:E19862"/>
    <s:mergeCell ref="A14462:E14462"/>
    <s:mergeCell ref="A10680:E10680"/>
    <s:mergeCell ref="A25500:E25500"/>
    <s:mergeCell ref="A27286:E27286"/>
    <s:mergeCell ref="A27280:E27280"/>
    <s:mergeCell ref="A25195:E25195"/>
    <s:mergeCell ref="A14762:E14762"/>
    <s:mergeCell ref="A12677:E12677"/>
    <s:mergeCell ref="A10980:E10980"/>
    <s:mergeCell ref="A26981:E26981"/>
    <s:mergeCell ref="A19878:E19878"/>
    <s:mergeCell ref="A17793:E17793"/>
    <s:mergeCell ref="A12977:E12977"/>
    <s:mergeCell ref="A20095:E20095"/>
    <s:mergeCell ref="A18398:E18398"/>
    <s:mergeCell ref="A16313:E16313"/>
    <s:mergeCell ref="A3795:E3795"/>
    <s:mergeCell ref="A18093:E18093"/>
    <s:mergeCell ref="A5575:E5575"/>
    <s:mergeCell ref="A3490:E3490"/>
    <s:mergeCell ref="A25211:E25211"/>
    <s:mergeCell ref="A20395:E20395"/>
    <s:mergeCell ref="A16613:E16613"/>
    <s:mergeCell ref="A11207:E11207"/>
    <s:mergeCell ref="A18393:E18393"/>
    <s:mergeCell ref="A25511:E25511"/>
    <s:mergeCell ref="A23426:E23426"/>
    <s:mergeCell ref="A10908:E10908"/>
    <s:mergeCell ref="A9211:E9211"/>
    <s:mergeCell ref="A25206:E25206"/>
    <s:mergeCell ref="A23726:E23726"/>
    <s:mergeCell ref="A11208:E11208"/>
    <s:mergeCell ref="A24026:E24026"/>
    <s:mergeCell ref="A30645:E30645"/>
    <s:mergeCell ref="A6047:E6047"/>
    <s:mergeCell ref="A25239:E25239"/>
    <s:mergeCell ref="A6347:E6347"/>
    <s:mergeCell ref="A4262:E4262"/>
    <s:mergeCell ref="A25539:E25539"/>
    <s:mergeCell ref="A23454:E23454"/>
    <s:mergeCell ref="A25240:E25240"/>
    <s:mergeCell ref="A25234:E25234"/>
    <s:mergeCell ref="A8344:E8344"/>
    <s:mergeCell ref="A30655:E30655"/>
    <s:mergeCell ref="A23754:E23754"/>
    <s:mergeCell ref="A30356:E30356"/>
    <s:mergeCell ref="A25534:E25534"/>
    <s:mergeCell ref="A30567:E30567"/>
    <s:mergeCell ref="A16352:E16352"/>
    <s:mergeCell ref="A30656:E30656"/>
    <s:mergeCell ref="A31172:E31172"/>
    <s:mergeCell ref="A30867:E30867"/>
    <s:mergeCell ref="A14567:E14567"/>
    <s:mergeCell ref="A4290:E4290"/>
    <s:mergeCell ref="A30956:E30956"/>
    <s:mergeCell ref="A31472:E31472"/>
    <s:mergeCell ref="A31167:E31167"/>
    <s:mergeCell ref="A13188:E13188"/>
    <s:mergeCell ref="A23765:E23765"/>
    <s:mergeCell ref="A26006:E26006"/>
    <s:mergeCell ref="A13488:E13488"/>
    <s:mergeCell ref="A12008:E12008"/>
    <s:mergeCell ref="A9923:E9923"/>
    <s:mergeCell ref="A4001:E4001"/>
    <s:mergeCell ref="B22527:E22527"/>
    <s:mergeCell ref="A20601:E20601"/>
    <s:mergeCell ref="A4301:E4301"/>
    <s:mergeCell ref="A12003:E12003"/>
    <s:mergeCell ref="A18816:E18816"/>
    <s:mergeCell ref="A4601:E4601"/>
    <s:mergeCell ref="A9634:E9634"/>
    <s:mergeCell ref="A4812:E4812"/>
    <s:mergeCell ref="A9934:E9934"/>
    <s:mergeCell ref="A9928:E9928"/>
    <s:mergeCell ref="A31367:E31367"/>
    <s:mergeCell ref="A11714:E11714"/>
    <s:mergeCell ref="A9629:E9629"/>
    <s:mergeCell ref="A30906:E30906"/>
    <s:mergeCell ref="A11931:E11931"/>
    <s:mergeCell ref="A20629:E20629"/>
    <s:mergeCell ref="A18544:E18544"/>
    <s:mergeCell ref="A16847:E16847"/>
    <s:mergeCell ref="A17064:E17064"/>
    <s:mergeCell ref="A2832:E2832"/>
    <s:mergeCell ref="A747:E747"/>
    <s:mergeCell ref="A18844:E18844"/>
    <s:mergeCell ref="A25962:E25962"/>
    <s:mergeCell ref="A24265:E24265"/>
    <s:mergeCell ref="A11747:E11747"/>
    <s:mergeCell ref="A23966:E23966"/>
    <s:mergeCell ref="A19144:E19144"/>
    <s:mergeCell ref="A26262:E26262"/>
    <s:mergeCell ref="A9962:E9962"/>
    <s:mergeCell ref="A24266:E24266"/>
    <s:mergeCell ref="A24260:E24260"/>
    <s:mergeCell ref="A31378:E31378"/>
    <s:mergeCell ref="A16775:E16775"/>
    <s:mergeCell ref="A26562:E26562"/>
    <s:mergeCell ref="A24477:E24477"/>
    <s:mergeCell ref="B1805:E1805"/>
    <s:mergeCell ref="A469:E469"/>
    <s:mergeCell ref="A31684:E31684"/>
    <s:mergeCell ref="A31678:E31678"/>
    <s:mergeCell ref="A29593:E29593"/>
    <s:mergeCell ref="A17075:E17075"/>
    <s:mergeCell ref="A15378:E15378"/>
    <s:mergeCell ref="A13293:E13293"/>
    <s:mergeCell ref="A775:E775"/>
    <s:mergeCell ref="A2466:E2466"/>
    <s:mergeCell ref="A31379:E31379"/>
    <s:mergeCell ref="A29288:E29288"/>
    <s:mergeCell ref="A7887:E7887"/>
    <s:mergeCell ref="A22191:E22191"/>
    <s:mergeCell ref="A29893:E29893"/>
    <s:mergeCell ref="A17375:E17375"/>
    <s:mergeCell ref="A15290:E15290"/>
    <s:mergeCell ref="A2766:E2766"/>
    <s:mergeCell ref="A31679:E31679"/>
    <s:mergeCell ref="A8187:E8187"/>
    <s:mergeCell ref="A6102:E6102"/>
    <s:mergeCell ref="A24188:E24188"/>
    <s:mergeCell ref="A22491:E22491"/>
    <s:mergeCell ref="A9973:E9973"/>
    <s:mergeCell ref="A7888:E7888"/>
    <s:mergeCell ref="A7882:E7882"/>
    <s:mergeCell ref="A5797:E5797"/>
    <s:mergeCell ref="A31406:E31406"/>
    <s:mergeCell ref="A29321:E29321"/>
    <s:mergeCell ref="A8099:E8099"/>
    <s:mergeCell ref="A24488:E24488"/>
    <s:mergeCell ref="A8188:E8188"/>
    <s:mergeCell ref="B23255:E23255"/>
    <s:mergeCell ref="A13215:E13215"/>
    <s:mergeCell ref="A697:E697"/>
    <s:mergeCell ref="A8399:E8399"/>
    <s:mergeCell ref="A15001:E15001"/>
    <s:mergeCell ref="A1302:E1302"/>
    <s:mergeCell ref="A31401:E31401"/>
    <s:mergeCell ref="A15606:E15606"/>
    <s:mergeCell ref="A22219:E22219"/>
    <s:mergeCell ref="A13515:E13515"/>
    <s:mergeCell ref="A997:E997"/>
    <s:mergeCell ref="B23250:E23250"/>
    <s:mergeCell ref="A6113:E6113"/>
    <s:mergeCell ref="B1544:E1544"/>
    <s:mergeCell ref="A1297:E1297"/>
    <s:mergeCell ref="A4633:E4633"/>
    <s:mergeCell ref="A8110:E8110"/>
    <s:mergeCell ref="A6413:E6413"/>
    <s:mergeCell ref="B8962:E8962"/>
    <s:mergeCell ref="A6114:E6114"/>
    <s:mergeCell ref="A13243:E13243"/>
    <s:mergeCell ref="A29638:E29638"/>
    <s:mergeCell ref="A29632:E29632"/>
    <s:mergeCell ref="A27547:E27547"/>
    <s:mergeCell ref="A15029:E15029"/>
    <s:mergeCell ref="A4628:E4628"/>
    <s:mergeCell ref="A15634:E15634"/>
    <s:mergeCell ref="A13526:E13526"/>
    <s:mergeCell ref="A20661:E20661"/>
    <s:mergeCell ref="A27847:E27847"/>
    <s:mergeCell ref="B5175:E5175"/>
    <s:mergeCell ref="A15329:E15329"/>
    <s:mergeCell ref="A6141:E6141"/>
    <s:mergeCell ref="A4056:E4056"/>
    <s:mergeCell ref="A20445:E20445"/>
    <s:mergeCell ref="A20961:E20961"/>
    <s:mergeCell ref="A22747:E22747"/>
    <s:mergeCell ref="A18965:E18965"/>
    <s:mergeCell ref="B22689:E22689"/>
    <s:mergeCell ref="A13559:E13559"/>
    <s:mergeCell ref="A22442:E22442"/>
    <s:mergeCell ref="A20745:E20745"/>
    <s:mergeCell ref="A18660:E18660"/>
    <s:mergeCell ref="A27863:E27863"/>
    <s:mergeCell ref="A27558:E27558"/>
    <s:mergeCell ref="B12588:E12588"/>
    <s:mergeCell ref="A11774:E11774"/>
    <s:mergeCell ref="A18960:E18960"/>
    <s:mergeCell ref="A26078:E26078"/>
    <s:mergeCell ref="A13560:E13560"/>
    <s:mergeCell ref="A26072:E26072"/>
    <s:mergeCell ref="A20672:E20672"/>
    <s:mergeCell ref="A18587:E18587"/>
    <s:mergeCell ref="A27858:E27858"/>
    <s:mergeCell ref="A25773:E25773"/>
    <s:mergeCell ref="A12074:E12074"/>
    <s:mergeCell ref="A30160:E30160"/>
    <s:mergeCell ref="B14107:E14107"/>
    <s:mergeCell ref="A26378:E26378"/>
    <s:mergeCell ref="A4067:E4067"/>
    <s:mergeCell ref="A18887:E18887"/>
    <s:mergeCell ref="B21504:E21504"/>
    <s:mergeCell ref="A18582:E18582"/>
    <s:mergeCell ref="A4367:E4367"/>
    <s:mergeCell ref="A19187:E19187"/>
    <s:mergeCell ref="A24309:E24309"/>
    <s:mergeCell ref="A1508:E1508"/>
    <s:mergeCell ref="A31706:E31706"/>
    <s:mergeCell ref="A26406:E26406"/>
    <s:mergeCell ref="B24551:E24551"/>
    <s:mergeCell ref="A31522:E31522"/>
    <s:mergeCell ref="A18610:E18610"/>
    <s:mergeCell ref="A1720:E1720"/>
    <s:mergeCell ref="A23:E23"/>
    <s:mergeCell ref="A11513:E11513"/>
    <s:mergeCell ref="A18910:E18910"/>
    <s:mergeCell ref="A26028:E26028"/>
    <s:mergeCell ref="A24331:E24331"/>
    <s:mergeCell ref="A9728:E9728"/>
    <s:mergeCell ref="A26117:E26117"/>
    <s:mergeCell ref="A24032:E24032"/>
    <s:mergeCell ref="A26328:E26328"/>
    <s:mergeCell ref="A24243:E24243"/>
    <s:mergeCell ref="A10028:E10028"/>
    <s:mergeCell ref="A13966:E13966"/>
    <s:mergeCell ref="A24332:E24332"/>
    <s:mergeCell ref="A31450:E31450"/>
    <s:mergeCell ref="A21173:E21173"/>
    <s:mergeCell ref="A4867:E4867"/>
    <s:mergeCell ref="A31145:E31145"/>
    <s:mergeCell ref="A7169:E7169"/>
    <s:mergeCell ref="A31750:E31750"/>
    <s:mergeCell ref="A6870:E6870"/>
    <s:mergeCell ref="A19382:E19382"/>
    <s:mergeCell ref="A6864:E6864"/>
    <s:mergeCell ref="A31445:E31445"/>
    <s:mergeCell ref="A21168:E21168"/>
    <s:mergeCell ref="A5384:E5384"/>
    <s:mergeCell ref="A19688:E19688"/>
    <s:mergeCell ref="A7164:E7164"/>
    <s:mergeCell ref="A5079:E5079"/>
    <s:mergeCell ref="A6865:E6865"/>
    <s:mergeCell ref="A10195:E10195"/>
    <s:mergeCell ref="A11981:E11981"/>
    <s:mergeCell ref="A28886:E28886"/>
    <s:mergeCell ref="A26801:E26801"/>
    <s:mergeCell ref="A12192:E12192"/>
    <s:mergeCell ref="B23321:E23321"/>
    <s:mergeCell ref="A29693:E29693"/>
    <s:mergeCell ref="A5095:E5095"/>
    <s:mergeCell ref="A27101:E27101"/>
    <s:mergeCell ref="A4790:E4790"/>
    <s:mergeCell ref="A5395:E5395"/>
    <s:mergeCell ref="A3310:E3310"/>
    <s:mergeCell ref="A3304:E3304"/>
    <s:mergeCell ref="A19699:E19699"/>
    <s:mergeCell ref="A26828:E26828"/>
    <s:mergeCell ref="A5090:E5090"/>
    <s:mergeCell ref="B3857:E3857"/>
    <s:mergeCell ref="A3610:E3610"/>
    <s:mergeCell ref="A26829:E26829"/>
    <s:mergeCell ref="A17641:E17641"/>
    <s:mergeCell ref="A26524:E26524"/>
    <s:mergeCell ref="A19427:E19427"/>
    <s:mergeCell ref="A27129:E27129"/>
    <s:mergeCell ref="A4818:E4818"/>
    <s:mergeCell ref="A31640:E31640"/>
    <s:mergeCell ref="A17941:E17941"/>
    <s:mergeCell ref="A19727:E19727"/>
    <s:mergeCell ref="A17642:E17642"/>
    <s:mergeCell ref="B25574:E25574"/>
    <s:mergeCell ref="A10539:E10539"/>
    <s:mergeCell ref="A3638:E3638"/>
    <s:mergeCell ref="A3621:E3621"/>
    <s:mergeCell ref="A1536:E1536"/>
    <s:mergeCell ref="A10234:E10234"/>
    <s:mergeCell ref="A8149:E8149"/>
    <s:mergeCell ref="A10750:E10750"/>
    <s:mergeCell ref="A25060:E25060"/>
    <s:mergeCell ref="A25054:E25054"/>
    <s:mergeCell ref="A8754:E8754"/>
    <s:mergeCell ref="A26840:E26840"/>
    <s:mergeCell ref="A17652:E17652"/>
    <s:mergeCell ref="A15567:E15567"/>
    <s:mergeCell ref="A25354:E25354"/>
    <s:mergeCell ref="A3049:E3049"/>
    <s:mergeCell ref="A10751:E10751"/>
    <s:mergeCell ref="A25055:E25055"/>
    <s:mergeCell ref="A1563:E1563"/>
    <s:mergeCell ref="A30476:E30476"/>
    <s:mergeCell ref="B3596:E3596"/>
    <s:mergeCell ref="A15867:E15867"/>
    <s:mergeCell ref="A3349:E3349"/>
    <s:mergeCell ref="A11051:E11051"/>
    <s:mergeCell ref="A15562:E15562"/>
    <s:mergeCell ref="A8465:E8465"/>
    <s:mergeCell ref="A17864:E17864"/>
    <s:mergeCell ref="A16167:E16167"/>
    <s:mergeCell ref="A3649:E3649"/>
    <s:mergeCell ref="A1564:E1564"/>
    <s:mergeCell ref="A17953:E17953"/>
    <s:mergeCell ref="A15868:E15868"/>
    <s:mergeCell ref="A8676:E8676"/>
    <s:mergeCell ref="A22980:E22980"/>
    <s:mergeCell ref="A8765:E8765"/>
    <s:mergeCell ref="A6680:E6680"/>
    <s:mergeCell ref="B2111:E2111"/>
    <s:mergeCell ref="A8982:E8982"/>
    <s:mergeCell ref="A17680:E17680"/>
    <s:mergeCell ref="A8976:E8976"/>
    <s:mergeCell ref="A15595:E15595"/>
    <s:mergeCell ref="A23280:E23280"/>
    <s:mergeCell ref="A29899:E29899"/>
    <s:mergeCell ref="A10762:E10762"/>
    <s:mergeCell ref="A8677:E8677"/>
    <s:mergeCell ref="A14098:E14098"/>
    <s:mergeCell ref="A1574:E1574"/>
    <s:mergeCell ref="A15895:E15895"/>
    <s:mergeCell ref="A30199:E30199"/>
    <s:mergeCell ref="A94:E94"/>
    <s:mergeCell ref="A14398:E14398"/>
    <s:mergeCell ref="A21011:E21011"/>
    <s:mergeCell ref="A1575:E1575"/>
    <s:mergeCell ref="A23008:E23008"/>
    <s:mergeCell ref="A89:E89"/>
    <s:mergeCell ref="B2122:E2122"/>
    <s:mergeCell ref="A25399:E25399"/>
    <s:mergeCell ref="B14851:E14851"/>
    <s:mergeCell ref="A23308:E23308"/>
    <s:mergeCell ref="A30426:E30426"/>
    <s:mergeCell ref="B2422:E2422"/>
    <s:mergeCell ref="B22058:E22058"/>
    <s:mergeCell ref="A30515:E30515"/>
    <s:mergeCell ref="A28430:E28430"/>
    <s:mergeCell ref="A28424:E28424"/>
    <s:mergeCell ref="A15906:E15906"/>
    <s:mergeCell ref="A13821:E13821"/>
    <s:mergeCell ref="B30973:E30973"/>
    <s:mergeCell ref="A30726:E30726"/>
    <s:mergeCell ref="A28641:E28641"/>
    <s:mergeCell ref="A14426:E14426"/>
    <s:mergeCell ref="A12341:E12341"/>
    <s:mergeCell ref="A30427:E30427"/>
    <s:mergeCell ref="A28730:E28730"/>
    <s:mergeCell ref="A6935:E6935"/>
    <s:mergeCell ref="A14121:E14121"/>
    <s:mergeCell ref="A21239:E21239"/>
    <s:mergeCell ref="A28941:E28941"/>
    <s:mergeCell ref="A4933:E4933"/>
    <s:mergeCell ref="B30974:E30974"/>
    <s:mergeCell ref="A20934:E20934"/>
    <s:mergeCell ref="A7235:E7235"/>
    <s:mergeCell ref="A5150:E5150"/>
    <s:mergeCell ref="A14421:E14421"/>
    <s:mergeCell ref="A21539:E21539"/>
    <s:mergeCell ref="A6936:E6936"/>
    <s:mergeCell ref="A6930:E6930"/>
    <s:mergeCell ref="A21234:E21234"/>
    <s:mergeCell ref="A12052:E12052"/>
    <s:mergeCell ref="A19754:E19754"/>
    <s:mergeCell ref="B7477:E7477"/>
    <s:mergeCell ref="A14348:E14348"/>
    <s:mergeCell ref="A28652:E28652"/>
    <s:mergeCell ref="A12352:E12352"/>
    <s:mergeCell ref="A14132:E14132"/>
    <s:mergeCell ref="A12047:E12047"/>
    <s:mergeCell ref="A28952:E28952"/>
    <s:mergeCell ref="A14349:E14349"/>
    <s:mergeCell ref="A12652:E12652"/>
    <s:mergeCell ref="A21567:E21567"/>
    <s:mergeCell ref="A19482:E19482"/>
    <s:mergeCell ref="A27167:E27167"/>
    <s:mergeCell ref="A28380:E28380"/>
    <s:mergeCell ref="A9488:E9488"/>
    <s:mergeCell ref="A26595:E26595"/>
    <s:mergeCell ref="A7703:E7703"/>
    <s:mergeCell ref="A31711:E31711"/>
    <s:mergeCell ref="A19193:E19193"/>
    <s:mergeCell ref="A606:E606"/>
    <s:mergeCell ref="A26895:E26895"/>
    <s:mergeCell ref="A19493:E19493"/>
    <s:mergeCell ref="A24609:E24609"/>
    <s:mergeCell ref="A17708:E17708"/>
    <s:mergeCell ref="A26911:E26911"/>
    <s:mergeCell ref="A24909:E24909"/>
    <s:mergeCell ref="A5934:E5934"/>
    <s:mergeCell ref="A14632:E14632"/>
    <s:mergeCell ref="A27211:E27211"/>
    <s:mergeCell ref="A16934:E16934"/>
    <s:mergeCell ref="A14849:E14849"/>
    <s:mergeCell ref="A26906:E26906"/>
    <s:mergeCell ref="A29147:E29147"/>
    <s:mergeCell ref="A14544:E14544"/>
    <s:mergeCell ref="A22050:E22050"/>
    <s:mergeCell ref="A19965:E19965"/>
    <s:mergeCell ref="A15149:E15149"/>
    <s:mergeCell ref="A20265:E20265"/>
    <s:mergeCell ref="A7747:E7747"/>
    <s:mergeCell ref="A7442:E7442"/>
    <s:mergeCell ref="A22262:E22262"/>
    <s:mergeCell ref="A20565:E20565"/>
    <s:mergeCell ref="A18480:E18480"/>
    <s:mergeCell ref="A5962:E5962"/>
    <s:mergeCell ref="A5956:E5956"/>
    <s:mergeCell ref="A556:E556"/>
    <s:mergeCell ref="A7742:E7742"/>
    <s:mergeCell ref="A22562:E22562"/>
    <s:mergeCell ref="A20477:E20477"/>
    <s:mergeCell ref="A251:E251"/>
    <s:mergeCell ref="A10984:E10984"/>
    <s:mergeCell ref="A3887:E3887"/>
    <s:mergeCell ref="B13317:E13317"/>
    <s:mergeCell ref="A4187:E4187"/>
    <s:mergeCell ref="A2102:E2102"/>
    <s:mergeCell ref="A3888:E3888"/>
    <s:mergeCell ref="A13102:E13102"/>
    <s:mergeCell ref="A27406:E27406"/>
    <s:mergeCell ref="A14888:E14888"/>
    <s:mergeCell ref="A12803:E12803"/>
    <s:mergeCell ref="A2402:E2402"/>
    <s:mergeCell ref="A17919:E17919"/>
    <s:mergeCell ref="A27706:E27706"/>
    <s:mergeCell ref="A25621:E25621"/>
    <s:mergeCell ref="A13103:E13103"/>
    <s:mergeCell ref="A13097:E13097"/>
    <s:mergeCell ref="A27407:E27407"/>
    <s:mergeCell ref="A25316:E25316"/>
    <s:mergeCell ref="A3915:E3915"/>
    <s:mergeCell ref="A18219:E18219"/>
    <s:mergeCell ref="A13403:E13403"/>
    <s:mergeCell ref="A18430:E18430"/>
    <s:mergeCell ref="B30740:E30740"/>
    <s:mergeCell ref="A4215:E4215"/>
    <s:mergeCell ref="B10062:E10062"/>
    <s:mergeCell ref="A20216:E20216"/>
    <s:mergeCell ref="A16434:E16434"/>
    <s:mergeCell ref="A3910:E3910"/>
    <s:mergeCell ref="A20821:E20821"/>
    <s:mergeCell ref="A27434:E27434"/>
    <s:mergeCell ref="A25332:E25332"/>
    <s:mergeCell ref="A20516:E20516"/>
    <s:mergeCell ref="A25937:E25937"/>
    <s:mergeCell ref="A23852:E23852"/>
    <s:mergeCell ref="A11334:E11334"/>
    <s:mergeCell ref="A23846:E23846"/>
    <s:mergeCell ref="A11328:E11328"/>
    <s:mergeCell ref="A9243:E9243"/>
    <s:mergeCell ref="A25632:E25632"/>
    <s:mergeCell ref="A11029:E11029"/>
    <s:mergeCell ref="A9848:E9848"/>
    <s:mergeCell ref="A27934:E27934"/>
    <s:mergeCell ref="A3926:E3926"/>
    <s:mergeCell ref="A1841:E1841"/>
    <s:mergeCell ref="B9790:E9790"/>
    <s:mergeCell ref="A9543:E9543"/>
    <s:mergeCell ref="A25932:E25932"/>
    <s:mergeCell ref="A23847:E23847"/>
    <s:mergeCell ref="A11329:E11329"/>
    <s:mergeCell ref="A16750:E16750"/>
    <s:mergeCell ref="A18441:E18441"/>
    <s:mergeCell ref="A3838:E3838"/>
    <s:mergeCell ref="A2141:E2141"/>
    <s:mergeCell ref="A1836:E1836"/>
    <s:mergeCell ref="A2352:E2352"/>
    <s:mergeCell ref="A25360:E25360"/>
    <s:mergeCell ref="A16656:E16656"/>
    <s:mergeCell ref="A4138:E4138"/>
    <s:mergeCell ref="A2441:E2441"/>
    <s:mergeCell ref="A9559:E9559"/>
    <s:mergeCell ref="A9254:E9254"/>
    <s:mergeCell ref="A23575:E23575"/>
    <s:mergeCell ref="A7774:E7774"/>
    <s:mergeCell ref="A24180:E24180"/>
    <s:mergeCell ref="A31292:E31292"/>
    <s:mergeCell ref="A9554:E9554"/>
    <s:mergeCell ref="A372:E372"/>
    <s:mergeCell ref="A8074:E8074"/>
    <s:mergeCell ref="A16384:E16384"/>
    <s:mergeCell ref="B24710:E24710"/>
    <s:mergeCell ref="B8016:E8016"/>
    <s:mergeCell ref="A67:E67"/>
    <s:mergeCell ref="A7769:E7769"/>
    <s:mergeCell ref="A23591:E23591"/>
    <s:mergeCell ref="A31293:E31293"/>
    <s:mergeCell ref="A672:E672"/>
    <s:mergeCell ref="A16684:E16684"/>
    <s:mergeCell ref="A23891:E23891"/>
    <s:mergeCell ref="A31593:E31593"/>
    <s:mergeCell ref="A2669:E2669"/>
    <s:mergeCell ref="B825:E825"/>
    <s:mergeCell ref="A9282:E9282"/>
    <s:mergeCell ref="A7802:E7802"/>
    <s:mergeCell ref="A22106:E22106"/>
    <s:mergeCell ref="A9582:E9582"/>
    <s:mergeCell ref="A7497:E7497"/>
    <s:mergeCell ref="A16700:E16700"/>
    <s:mergeCell ref="A14615:E14615"/>
    <s:mergeCell ref="A14704:E14704"/>
    <s:mergeCell ref="A14698:E14698"/>
    <s:mergeCell ref="A29524:E29524"/>
    <s:mergeCell ref="A29518:E29518"/>
    <s:mergeCell ref="A14915:E14915"/>
    <s:mergeCell ref="A13218:E13218"/>
    <s:mergeCell ref="A31304:E31304"/>
    <s:mergeCell ref="A29219:E29219"/>
    <s:mergeCell ref="A15004:E15004"/>
    <s:mergeCell ref="A14610:E14610"/>
    <s:mergeCell ref="A20031:E20031"/>
    <s:mergeCell ref="A7513:E7513"/>
    <s:mergeCell ref="A15215:E15215"/>
    <s:mergeCell ref="B29766:E29766"/>
    <s:mergeCell ref="A29519:E29519"/>
    <s:mergeCell ref="A7208:E7208"/>
    <s:mergeCell ref="A24113:E24113"/>
    <s:mergeCell ref="A22028:E22028"/>
    <s:mergeCell ref="A20331:E20331"/>
    <s:mergeCell ref="A18246:E18246"/>
    <s:mergeCell ref="A7813:E7813"/>
    <s:mergeCell ref="A7969:E7969"/>
    <s:mergeCell ref="A7508:E7508"/>
    <s:mergeCell ref="A31032:E31032"/>
    <s:mergeCell ref="A22328:E22328"/>
    <s:mergeCell ref="A28947:E28947"/>
    <s:mergeCell ref="A29247:E29247"/>
    <s:mergeCell ref="B6575:E6575"/>
    <s:mergeCell ref="A2564:E2564"/>
    <s:mergeCell ref="A10266:E10266"/>
    <s:mergeCell ref="B20879:E20879"/>
    <s:mergeCell ref="B20873:E20873"/>
    <s:mergeCell ref="A17473:E17473"/>
    <s:mergeCell ref="A29547:E29547"/>
    <s:mergeCell ref="A2864:E2864"/>
    <s:mergeCell ref="A17168:E17168"/>
    <s:mergeCell ref="A20359:E20359"/>
    <s:mergeCell ref="A3164:E3164"/>
    <s:mergeCell ref="A1379:E1379"/>
    <s:mergeCell ref="A27478:E27478"/>
    <s:mergeCell ref="A27472:E27472"/>
    <s:mergeCell ref="B4800:E4800"/>
    <s:mergeCell ref="A14954:E14954"/>
    <s:mergeCell ref="A12869:E12869"/>
    <s:mergeCell ref="A25387:E25387"/>
    <s:mergeCell ref="A2592:E2592"/>
    <s:mergeCell ref="A27173:E27173"/>
    <s:mergeCell ref="B28019:E28019"/>
    <s:mergeCell ref="A13169:E13169"/>
    <s:mergeCell ref="A2892:E2892"/>
    <s:mergeCell ref="A1395:E1395"/>
    <s:mergeCell ref="A8008:E8008"/>
    <s:mergeCell ref="A13469:E13469"/>
    <s:mergeCell ref="A3192:E3192"/>
    <s:mergeCell ref="B1942:E1942"/>
    <s:mergeCell ref="A8314:E8314"/>
    <s:mergeCell ref="A10005:E10005"/>
    <s:mergeCell ref="A8308:E8308"/>
    <s:mergeCell ref="A6223:E6223"/>
    <s:mergeCell ref="A15426:E15426"/>
    <s:mergeCell ref="A22829:E22829"/>
    <s:mergeCell ref="A22823:E22823"/>
    <s:mergeCell ref="A8220:E8220"/>
    <s:mergeCell ref="A15726:E15726"/>
    <s:mergeCell ref="A13641:E13641"/>
    <s:mergeCell ref="A1123:E1123"/>
    <s:mergeCell ref="A8825:E8825"/>
    <s:mergeCell ref="B19044:E19044"/>
    <s:mergeCell ref="A15421:E15421"/>
    <s:mergeCell ref="A13336:E13336"/>
    <s:mergeCell ref="A2903:E2903"/>
    <s:mergeCell ref="A6239:E6239"/>
    <s:mergeCell ref="A13941:E13941"/>
    <s:mergeCell ref="A1423:E1423"/>
    <s:mergeCell ref="B27942:E27942"/>
    <s:mergeCell ref="A15727:E15727"/>
    <s:mergeCell ref="A13636:E13636"/>
    <s:mergeCell ref="A1118:E1118"/>
    <s:mergeCell ref="A6539:E6539"/>
    <s:mergeCell ref="A15938:E15938"/>
    <s:mergeCell ref="A8536:E8536"/>
    <s:mergeCell ref="A4754:E4754"/>
    <s:mergeCell ref="A13652:E13652"/>
    <s:mergeCell ref="A27973:E27973"/>
    <s:mergeCell ref="A8836:E8836"/>
    <s:mergeCell ref="A6751:E6751"/>
    <s:mergeCell ref="A13364:E13364"/>
    <s:mergeCell ref="A13952:E13952"/>
    <s:mergeCell ref="A11867:E11867"/>
    <s:mergeCell ref="A20782:E20782"/>
    <s:mergeCell ref="A23173:E23173"/>
    <s:mergeCell ref="A21082:E21082"/>
    <s:mergeCell ref="B14411:E14411"/>
    <s:mergeCell ref="A22868:E22868"/>
    <s:mergeCell ref="A20777:E20777"/>
    <s:mergeCell ref="A26198:E26198"/>
    <s:mergeCell ref="A11595:E11595"/>
    <s:mergeCell ref="A27984:E27984"/>
    <s:mergeCell ref="A23168:E23168"/>
    <s:mergeCell ref="A26504:E26504"/>
    <s:mergeCell ref="A28195:E28195"/>
    <s:mergeCell ref="A26498:E26498"/>
    <s:mergeCell ref="A4193:E4193"/>
    <s:mergeCell ref="A21098:E21098"/>
    <s:mergeCell ref="A26199:E26199"/>
    <s:mergeCell ref="A26410:E26410"/>
    <s:mergeCell ref="A4493:E4493"/>
    <s:mergeCell ref="A12195:E12195"/>
    <s:mergeCell ref="A19313:E19313"/>
    <s:mergeCell ref="A26499:E26499"/>
    <s:mergeCell ref="A4704:E4704"/>
    <s:mergeCell ref="A19008:E19008"/>
    <s:mergeCell ref="A6490:E6490"/>
    <s:mergeCell ref="A2708:E2708"/>
    <s:mergeCell ref="A19613:E19613"/>
    <s:mergeCell ref="A17528:E17528"/>
    <s:mergeCell ref="A5004:E5004"/>
    <s:mergeCell ref="A19308:E19308"/>
    <s:mergeCell ref="A6790:E6790"/>
    <s:mergeCell ref="A4705:E4705"/>
    <s:mergeCell ref="A3008:E3008"/>
    <s:mergeCell ref="A10126:E10126"/>
    <s:mergeCell ref="A10120:E10120"/>
    <s:mergeCell ref="A9821:E9821"/>
    <s:mergeCell ref="B5246:E5246"/>
    <s:mergeCell ref="A10426:E10426"/>
    <s:mergeCell ref="A18736:E18736"/>
    <s:mergeCell ref="A2935:E2935"/>
    <s:mergeCell ref="A10121:E10121"/>
    <s:mergeCell ref="A3024:E3024"/>
    <s:mergeCell ref="A939:E939"/>
    <s:mergeCell ref="A4715:E4715"/>
    <s:mergeCell ref="A2630:E2630"/>
    <s:mergeCell ref="A3235:E3235"/>
    <s:mergeCell ref="A1150:E1150"/>
    <s:mergeCell ref="A10421:E10421"/>
    <s:mergeCell ref="A17539:E17539"/>
    <s:mergeCell ref="A15448:E15448"/>
    <s:mergeCell ref="A2930:E2930"/>
    <s:mergeCell ref="A1450:E1450"/>
    <s:mergeCell ref="A17839:E17839"/>
    <s:mergeCell ref="A26149:E26149"/>
    <s:mergeCell ref="A24452:E24452"/>
    <s:mergeCell ref="A1145:E1145"/>
    <s:mergeCell ref="A16967:E16967"/>
    <s:mergeCell ref="A26754:E26754"/>
    <s:mergeCell ref="A24669:E24669"/>
    <s:mergeCell ref="A26449:E26449"/>
    <s:mergeCell ref="A29785:E29785"/>
    <s:mergeCell ref="A17267:E17267"/>
    <s:mergeCell ref="A30085:E30085"/>
    <s:mergeCell ref="A17567:E17567"/>
    <s:mergeCell ref="A2958:E2958"/>
    <s:mergeCell ref="A24380:E24380"/>
    <s:mergeCell ref="A10165:E10165"/>
    <s:mergeCell ref="A8080:E8080"/>
    <s:mergeCell ref="A24985:E24985"/>
    <s:mergeCell ref="A22900:E22900"/>
    <s:mergeCell ref="A22894:E22894"/>
    <s:mergeCell ref="A24680:E24680"/>
    <s:mergeCell ref="A8380:E8380"/>
    <s:mergeCell ref="A15492:E15492"/>
    <s:mergeCell ref="A29796:E29796"/>
    <s:mergeCell ref="A24980:E24980"/>
    <s:mergeCell ref="A22895:E22895"/>
    <s:mergeCell ref="A28316:E28316"/>
    <s:mergeCell ref="A15798:E15798"/>
    <s:mergeCell ref="A3430:E3430"/>
    <s:mergeCell ref="A15493:E15493"/>
    <s:mergeCell ref="A15487:E15487"/>
    <s:mergeCell ref="A28616:E28616"/>
    <s:mergeCell ref="B28558:E28558"/>
    <s:mergeCell ref="A15793:E15793"/>
    <s:mergeCell ref="A5727:E5727"/>
    <s:mergeCell ref="A15520:E15520"/>
    <s:mergeCell ref="A29824:E29824"/>
    <s:mergeCell ref="A27739:E27739"/>
    <s:mergeCell ref="A10849:E10849"/>
    <s:mergeCell ref="A28039:E28039"/>
    <s:mergeCell ref="A11149:E11149"/>
    <s:mergeCell ref="A22334:E22334"/>
    <s:mergeCell ref="A1656:E1656"/>
    <s:mergeCell ref="A20848:E20848"/>
    <s:mergeCell ref="A22634:E22634"/>
    <s:mergeCell ref="A1956:E1956"/>
    <s:mergeCell ref="B14782:E14782"/>
    <s:mergeCell ref="A23239:E23239"/>
    <s:mergeCell ref="A10871:E10871"/>
    <s:mergeCell ref="A27750:E27750"/>
    <s:mergeCell ref="A20849:E20849"/>
    <s:mergeCell ref="A28355:E28355"/>
    <s:mergeCell ref="A3475:E3475"/>
    <s:mergeCell ref="A28050:E28050"/>
    <s:mergeCell ref="A9075:E9075"/>
    <s:mergeCell ref="A17773:E17773"/>
    <s:mergeCell ref="A15688:E15688"/>
    <s:mergeCell ref="A30352:E30352"/>
    <s:mergeCell ref="A17990:E17990"/>
    <s:mergeCell ref="A16293:E16293"/>
    <s:mergeCell ref="A3775:E3775"/>
    <s:mergeCell ref="A1690:E1690"/>
    <s:mergeCell ref="A15988:E15988"/>
    <s:mergeCell ref="A23106:E23106"/>
    <s:mergeCell ref="A18290:E18290"/>
    <s:mergeCell ref="A16593:E16593"/>
    <s:mergeCell ref="B7831:E7831"/>
    <s:mergeCell ref="A9102:E9102"/>
    <s:mergeCell ref="A16288:E16288"/>
    <s:mergeCell ref="A23406:E23406"/>
    <s:mergeCell ref="A7106:E7106"/>
    <s:mergeCell ref="A18590:E18590"/>
    <s:mergeCell ref="A23101:E23101"/>
    <s:mergeCell ref="A1700:E1700"/>
    <s:mergeCell ref="A9402:E9402"/>
    <s:mergeCell ref="A25403:E25403"/>
    <s:mergeCell ref="A23706:E23706"/>
    <s:mergeCell ref="A21621:E21621"/>
    <s:mergeCell ref="A11188:E11188"/>
    <s:mergeCell ref="A9103:E9103"/>
    <s:mergeCell ref="A9097:E9097"/>
    <s:mergeCell ref="A30519:E30519"/>
    <s:mergeCell ref="A21921:E21921"/>
    <s:mergeCell ref="A1695:E1695"/>
    <s:mergeCell ref="A16521:E16521"/>
    <s:mergeCell ref="A23134:E23134"/>
    <s:mergeCell ref="A215:E215"/>
    <s:mergeCell ref="A30819:E30819"/>
    <s:mergeCell ref="A16216:E16216"/>
    <s:mergeCell ref="B2242:E2242"/>
    <s:mergeCell ref="A7028:E7028"/>
    <s:mergeCell ref="A23434:E23434"/>
    <s:mergeCell ref="A2212:E2212"/>
    <s:mergeCell ref="A21937:E21937"/>
    <s:mergeCell ref="A7328:E7328"/>
    <s:mergeCell ref="A23734:E23734"/>
    <s:mergeCell ref="A30852:E30852"/>
    <s:mergeCell ref="A7628:E7628"/>
    <s:mergeCell ref="A5543:E5543"/>
    <s:mergeCell ref="A29067:E29067"/>
    <s:mergeCell ref="A243:E243"/>
    <s:mergeCell ref="A30847:E30847"/>
    <s:mergeCell ref="A28762:E28762"/>
    <s:mergeCell ref="A5843:E5843"/>
    <s:mergeCell ref="A30548:E30548"/>
    <s:mergeCell ref="A29367:E29367"/>
    <s:mergeCell ref="A7056:E7056"/>
    <s:mergeCell ref="A21360:E21360"/>
    <s:mergeCell ref="A29062:E29062"/>
    <s:mergeCell ref="A21965:E21965"/>
    <s:mergeCell ref="A19880:E19880"/>
    <s:mergeCell ref="A21571:E21571"/>
    <s:mergeCell ref="A7356:E7356"/>
    <s:mergeCell ref="A5271:E5271"/>
    <s:mergeCell ref="A21660:E21660"/>
    <s:mergeCell ref="A12472:E12472"/>
    <s:mergeCell ref="A10387:E10387"/>
    <s:mergeCell ref="A21871:E21871"/>
    <s:mergeCell ref="A14774:E14774"/>
    <s:mergeCell ref="A12689:E12689"/>
    <s:mergeCell ref="A21960:E21960"/>
    <s:mergeCell ref="A19875:E19875"/>
    <s:mergeCell ref="A29078:E29078"/>
    <s:mergeCell ref="B4321:E4321"/>
    <s:mergeCell ref="A12778:E12778"/>
    <s:mergeCell ref="A14469:E14469"/>
    <s:mergeCell ref="A19890:E19890"/>
    <s:mergeCell ref="A28773:E28773"/>
    <s:mergeCell ref="A12989:E12989"/>
    <s:mergeCell ref="A27293:E27293"/>
    <s:mergeCell ref="A27287:E27287"/>
    <s:mergeCell ref="A4982:E4982"/>
    <s:mergeCell ref="A12684:E12684"/>
    <s:mergeCell ref="A18105:E18105"/>
    <s:mergeCell ref="A5587:E5587"/>
    <s:mergeCell ref="A3496:E3496"/>
    <s:mergeCell ref="A19891:E19891"/>
    <s:mergeCell ref="A17800:E17800"/>
    <s:mergeCell ref="A5282:E5282"/>
    <s:mergeCell ref="A18405:E18405"/>
    <s:mergeCell ref="A20191:E20191"/>
    <s:mergeCell ref="A5582:E5582"/>
    <s:mergeCell ref="A3497:E3497"/>
    <s:mergeCell ref="B20649:E20649"/>
    <s:mergeCell ref="A12700:E12700"/>
    <s:mergeCell ref="A29106:E29106"/>
    <s:mergeCell ref="A27021:E27021"/>
    <s:mergeCell ref="A12395:E12395"/>
    <s:mergeCell ref="B13247:E13247"/>
    <s:mergeCell ref="A13000:E13000"/>
    <s:mergeCell ref="A10915:E10915"/>
    <s:mergeCell ref="A27321:E27321"/>
    <s:mergeCell ref="A10909:E10909"/>
    <s:mergeCell ref="B11462:E11462"/>
    <s:mergeCell ref="A11215:E11215"/>
    <s:mergeCell ref="A3813:E3813"/>
    <s:mergeCell ref="A25246:E25246"/>
    <s:mergeCell ref="A27032:E27032"/>
    <s:mergeCell ref="A17844:E17844"/>
    <s:mergeCell ref="A25546:E25546"/>
    <s:mergeCell ref="A27332:E27332"/>
    <s:mergeCell ref="A25247:E25247"/>
    <s:mergeCell ref="A25241:E25241"/>
    <s:mergeCell ref="A3541:E3541"/>
    <s:mergeCell ref="B27879:E27879"/>
    <s:mergeCell ref="A18355:E18355"/>
    <s:mergeCell ref="A15754:E15754"/>
    <s:mergeCell ref="A30574:E30574"/>
    <s:mergeCell ref="A20141:E20141"/>
    <s:mergeCell ref="A18056:E18056"/>
    <s:mergeCell ref="A16359:E16359"/>
    <s:mergeCell ref="A3841:E3841"/>
    <s:mergeCell ref="A1756:E1756"/>
    <s:mergeCell ref="B30910:E30910"/>
    <s:mergeCell ref="A16054:E16054"/>
    <s:mergeCell ref="A25257:E25257"/>
    <s:mergeCell ref="A23172:E23172"/>
    <s:mergeCell ref="A6872:E6872"/>
    <s:mergeCell ref="A18356:E18356"/>
    <s:mergeCell ref="A23777:E23777"/>
    <s:mergeCell ref="A21692:E21692"/>
    <s:mergeCell ref="A11259:E11259"/>
    <s:mergeCell ref="A23478:E23478"/>
    <s:mergeCell ref="A25169:E25169"/>
    <s:mergeCell ref="A23472:E23472"/>
    <s:mergeCell ref="A10954:E10954"/>
    <s:mergeCell ref="A7172:E7172"/>
    <s:mergeCell ref="A23772:E23772"/>
    <s:mergeCell ref="A21687:E21687"/>
    <s:mergeCell ref="A9169:E9169"/>
    <s:mergeCell ref="A7472:E7472"/>
    <s:mergeCell ref="A23473:E23473"/>
    <s:mergeCell ref="A4008:E4008"/>
    <s:mergeCell ref="B26105:E26105"/>
    <s:mergeCell ref="A23200:E23200"/>
    <s:mergeCell ref="A6310:E6310"/>
    <s:mergeCell ref="A4613:E4613"/>
    <s:mergeCell ref="A6005:E6005"/>
    <s:mergeCell ref="A4308:E4308"/>
    <s:mergeCell ref="A11426:E11426"/>
    <s:mergeCell ref="A23500:E23500"/>
    <s:mergeCell ref="B828:E828"/>
    <s:mergeCell ref="A6610:E6610"/>
    <s:mergeCell ref="B31432:E31432"/>
    <s:mergeCell ref="A30618:E30618"/>
    <s:mergeCell ref="A11726:E11726"/>
    <s:mergeCell ref="A30619:E30619"/>
    <s:mergeCell ref="B7947:E7947"/>
    <s:mergeCell ref="A28922:E28922"/>
    <s:mergeCell ref="A9941:E9941"/>
    <s:mergeCell ref="A29133:E29133"/>
    <s:mergeCell ref="B22462:E22462"/>
    <s:mergeCell ref="A30913:E30913"/>
    <s:mergeCell ref="A28828:E28828"/>
    <s:mergeCell ref="A11454:E11454"/>
    <s:mergeCell ref="A25969:E25969"/>
    <s:mergeCell ref="A24272:E24272"/>
    <s:mergeCell ref="A11754:E11754"/>
    <s:mergeCell ref="A9669:E9669"/>
    <s:mergeCell ref="A23973:E23973"/>
    <s:mergeCell ref="A11455:E11455"/>
    <s:mergeCell ref="A11449:E11449"/>
    <s:mergeCell ref="A9364:E9364"/>
    <s:mergeCell ref="A26269:E26269"/>
    <s:mergeCell ref="A9969:E9969"/>
    <s:mergeCell ref="A24273:E24273"/>
    <s:mergeCell ref="A31391:E31391"/>
    <s:mergeCell ref="A18867:E18867"/>
    <s:mergeCell ref="A16782:E16782"/>
    <s:mergeCell ref="A4264:E4264"/>
    <s:mergeCell ref="A2567:E2567"/>
    <s:mergeCell ref="A482:E482"/>
    <s:mergeCell ref="A2778:E2778"/>
    <s:mergeCell ref="B27606:E27606"/>
    <s:mergeCell ref="A31691:E31691"/>
    <s:mergeCell ref="A9380:E9380"/>
    <s:mergeCell ref="A17082:E17082"/>
    <s:mergeCell ref="A4564:E4564"/>
    <s:mergeCell ref="A782:E782"/>
    <s:mergeCell ref="A2473:E2473"/>
    <s:mergeCell ref="A31386:E31386"/>
    <s:mergeCell ref="A18868:E18868"/>
    <s:mergeCell ref="A7894:E7894"/>
    <s:mergeCell ref="A9680:E9680"/>
    <s:mergeCell ref="A17382:E17382"/>
    <s:mergeCell ref="A8200:E8200"/>
    <s:mergeCell ref="A9375:E9375"/>
    <s:mergeCell ref="A24195:E24195"/>
    <s:mergeCell ref="A9980:E9980"/>
    <s:mergeCell ref="A7895:E7895"/>
    <s:mergeCell ref="A31413:E31413"/>
    <s:mergeCell ref="A31114:E31114"/>
    <s:mergeCell ref="B8442:E8442"/>
    <s:mergeCell ref="A493:E493"/>
    <s:mergeCell ref="A8195:E8195"/>
    <s:mergeCell ref="A704:E704"/>
    <s:mergeCell ref="A17110:E17110"/>
    <s:mergeCell ref="A17093:E17093"/>
    <s:mergeCell ref="A15008:E15008"/>
    <s:mergeCell ref="A793:E793"/>
    <s:mergeCell ref="A26008:E26008"/>
    <s:mergeCell ref="A23923:E23923"/>
    <s:mergeCell ref="A22226:E22226"/>
    <s:mergeCell ref="A1004:E1004"/>
    <s:mergeCell ref="A6126:E6126"/>
    <s:mergeCell ref="A14824:E14824"/>
    <s:mergeCell ref="A24223:E24223"/>
    <s:mergeCell ref="B1551:E1551"/>
    <s:mergeCell ref="A1304:E1304"/>
    <s:mergeCell ref="A17126:E17126"/>
    <s:mergeCell ref="B10449:E10449"/>
    <s:mergeCell ref="A16821:E16821"/>
    <s:mergeCell ref="A13039:E13039"/>
    <s:mergeCell ref="A24523:E24523"/>
    <s:mergeCell ref="A15341:E15341"/>
    <s:mergeCell ref="A29645:E29645"/>
    <s:mergeCell ref="A29639:E29639"/>
    <s:mergeCell ref="A17121:E17121"/>
    <s:mergeCell ref="A15036:E15036"/>
    <s:mergeCell ref="A22154:E22154"/>
    <s:mergeCell ref="A31425:E31425"/>
    <s:mergeCell ref="A29340:E29340"/>
    <s:mergeCell ref="A5848:E5848"/>
    <s:mergeCell ref="A15336:E15336"/>
    <s:mergeCell ref="A20757:E20757"/>
    <s:mergeCell ref="A30156:E30156"/>
    <s:mergeCell ref="A6148:E6148"/>
    <s:mergeCell ref="A22149:E22149"/>
    <s:mergeCell ref="A748:E748"/>
    <s:mergeCell ref="A15636:E15636"/>
    <s:mergeCell ref="A27570:E27570"/>
    <s:mergeCell ref="A22754:E22754"/>
    <s:mergeCell ref="A20669:E20669"/>
    <s:mergeCell ref="B6695:E6695"/>
    <s:mergeCell ref="A8145:E8145"/>
    <s:mergeCell ref="A11481:E11481"/>
    <s:mergeCell ref="A29567:E29567"/>
    <s:mergeCell ref="A27870:E27870"/>
    <s:mergeCell ref="A25785:E25785"/>
    <s:mergeCell ref="A13267:E13267"/>
    <s:mergeCell ref="A13261:E13261"/>
    <s:mergeCell ref="A743:E743"/>
    <s:mergeCell ref="A29867:E29867"/>
    <s:mergeCell ref="A6076:E6076"/>
    <s:mergeCell ref="A4379:E4379"/>
    <s:mergeCell ref="A2294:E2294"/>
    <s:mergeCell ref="B14114:E14114"/>
    <s:mergeCell ref="A5771:E5771"/>
    <s:mergeCell ref="A4074:E4074"/>
    <s:mergeCell ref="A6376:E6376"/>
    <s:mergeCell ref="A2594:E2594"/>
    <s:mergeCell ref="A20680:E20680"/>
    <s:mergeCell ref="B26932:E26932"/>
    <s:mergeCell ref="A4374:E4374"/>
    <s:mergeCell ref="A11492:E11492"/>
    <s:mergeCell ref="A27898:E27898"/>
    <s:mergeCell ref="A25813:E25813"/>
    <s:mergeCell ref="B14109:E14109"/>
    <s:mergeCell ref="A6676:E6676"/>
    <s:mergeCell ref="A4591:E4591"/>
    <s:mergeCell ref="A13289:E13289"/>
    <s:mergeCell ref="A18895:E18895"/>
    <s:mergeCell ref="A11792:E11792"/>
    <s:mergeCell ref="A11493:E11493"/>
    <s:mergeCell ref="A18622:E18622"/>
    <s:mergeCell ref="A20408:E20408"/>
    <s:mergeCell ref="A18711:E18711"/>
    <s:mergeCell ref="A25524:E25524"/>
    <s:mergeCell ref="B10554:E10554"/>
    <s:mergeCell ref="A30:E30"/>
    <s:mergeCell ref="A11520:E11520"/>
    <s:mergeCell ref="A9435:E9435"/>
    <s:mergeCell ref="A25824:E25824"/>
    <s:mergeCell ref="A21008:E21008"/>
    <s:mergeCell ref="A18923:E18923"/>
    <s:mergeCell ref="A26035:E26035"/>
    <s:mergeCell ref="A4118:E4118"/>
    <s:mergeCell ref="A16337:E16337"/>
    <s:mergeCell ref="A26124:E26124"/>
    <s:mergeCell ref="A24039:E24039"/>
    <s:mergeCell ref="A11515:E11515"/>
    <s:mergeCell ref="A28426:E28426"/>
    <s:mergeCell ref="A26335:E26335"/>
    <s:mergeCell ref="A24339:E24339"/>
    <s:mergeCell ref="A31457:E31457"/>
    <s:mergeCell ref="A18939:E18939"/>
    <s:mergeCell ref="A31451:E31451"/>
    <s:mergeCell ref="A18933:E18933"/>
    <s:mergeCell ref="B28668:E28668"/>
    <s:mergeCell ref="A18634:E18634"/>
    <s:mergeCell ref="A17453:E17453"/>
    <s:mergeCell ref="A31757:E31757"/>
    <s:mergeCell ref="A17148:E17148"/>
    <s:mergeCell ref="A6871:E6871"/>
    <s:mergeCell ref="A31452:E31452"/>
    <s:mergeCell ref="A24355:E24355"/>
    <s:mergeCell ref="A14078:E14078"/>
    <s:mergeCell ref="A11993:E11993"/>
    <s:mergeCell ref="A7171:E7171"/>
    <s:mergeCell ref="B8508:E8508"/>
    <s:mergeCell ref="A14290:E14290"/>
    <s:mergeCell ref="B17711:E17711"/>
    <s:mergeCell ref="A5102:E5102"/>
    <s:mergeCell ref="A4797:E4797"/>
    <s:mergeCell ref="A24383:E24383"/>
    <s:mergeCell ref="A23989:E23989"/>
    <s:mergeCell ref="A5402:E5402"/>
    <s:mergeCell ref="A3317:E3317"/>
    <s:mergeCell ref="B3864:E3864"/>
    <s:mergeCell ref="A24289:E24289"/>
    <s:mergeCell ref="A4830:E4830"/>
    <s:mergeCell ref="A19134:E19134"/>
    <s:mergeCell ref="A5130:E5130"/>
    <s:mergeCell ref="A3028:E3028"/>
    <s:mergeCell ref="A19434:E19434"/>
    <s:mergeCell ref="A6916:E6916"/>
    <s:mergeCell ref="A4825:E4825"/>
    <s:mergeCell ref="A19129:E19129"/>
    <s:mergeCell ref="A5430:E5430"/>
    <s:mergeCell ref="A3328:E3328"/>
    <s:mergeCell ref="A19734:E19734"/>
    <s:mergeCell ref="A17649:E17649"/>
    <s:mergeCell ref="A26852:E26852"/>
    <s:mergeCell ref="A5125:E5125"/>
    <s:mergeCell ref="A12243:E12243"/>
    <s:mergeCell ref="A10546:E10546"/>
    <s:mergeCell ref="A26547:E26547"/>
    <s:mergeCell ref="A12332:E12332"/>
    <s:mergeCell ref="A3628:E3628"/>
    <s:mergeCell ref="A10247:E10247"/>
    <s:mergeCell ref="A10241:E10241"/>
    <s:mergeCell ref="A27152:E27152"/>
    <s:mergeCell ref="A25067:E25067"/>
    <s:mergeCell ref="A12543:E12543"/>
    <s:mergeCell ref="A10458:E10458"/>
    <s:mergeCell ref="A26847:E26847"/>
    <s:mergeCell ref="A12244:E12244"/>
    <s:mergeCell ref="A10547:E10547"/>
    <s:mergeCell ref="A17665:E17665"/>
    <s:mergeCell ref="A17659:E17659"/>
    <s:mergeCell ref="A15574:E15574"/>
    <s:mergeCell ref="A5141:E5141"/>
    <s:mergeCell ref="A3056:E3056"/>
    <s:mergeCell ref="A17360:E17360"/>
    <s:mergeCell ref="A25062:E25062"/>
    <s:mergeCell ref="A2751:E2751"/>
    <s:mergeCell ref="A17965:E17965"/>
    <s:mergeCell ref="A19656:E19656"/>
    <s:mergeCell ref="B3603:E3603"/>
    <s:mergeCell ref="A15874:E15874"/>
    <s:mergeCell ref="A17571:E17571"/>
    <s:mergeCell ref="A3356:E3356"/>
    <s:mergeCell ref="A26275:E26275"/>
    <s:mergeCell ref="A17660:E17660"/>
    <s:mergeCell ref="A8478:E8478"/>
    <s:mergeCell ref="A10169:E10169"/>
    <s:mergeCell ref="A26575:E26575"/>
    <s:mergeCell ref="A3656:E3656"/>
    <s:mergeCell ref="A1571:E1571"/>
    <s:mergeCell ref="A17960:E17960"/>
    <s:mergeCell ref="A25095:E25095"/>
    <s:mergeCell ref="A10469:E10469"/>
    <s:mergeCell ref="A24790:E24790"/>
    <s:mergeCell ref="A25378:E25378"/>
    <s:mergeCell ref="A29906:E29906"/>
    <s:mergeCell ref="A30511:E30511"/>
    <s:mergeCell ref="A1587:E1587"/>
    <s:mergeCell ref="A17993:E17993"/>
    <s:mergeCell ref="A30206:E30206"/>
    <s:mergeCell ref="A24806:E24806"/>
    <s:mergeCell ref="A10197:E10197"/>
    <s:mergeCell ref="A8500:E8500"/>
    <s:mergeCell ref="A24501:E24501"/>
    <s:mergeCell ref="A25106:E25106"/>
    <s:mergeCell ref="A23015:E23015"/>
    <s:mergeCell ref="A10497:E10497"/>
    <s:mergeCell ref="A24801:E24801"/>
    <s:mergeCell ref="A30222:E30222"/>
    <s:mergeCell ref="A9000:E9000"/>
    <s:mergeCell ref="A6915:E6915"/>
    <s:mergeCell ref="A15619:E15619"/>
    <s:mergeCell ref="A15613:E15613"/>
    <s:mergeCell ref="A30439:E30439"/>
    <s:mergeCell ref="A8712:E8712"/>
    <s:mergeCell ref="A14133:E14133"/>
    <s:mergeCell ref="A15919:E15919"/>
    <s:mergeCell ref="A13828:E13828"/>
    <s:mergeCell ref="A23031:E23031"/>
    <s:mergeCell ref="B359:E359"/>
    <s:mergeCell ref="A16130:E16130"/>
    <s:mergeCell ref="A30434:E30434"/>
    <s:mergeCell ref="A6942:E6942"/>
    <s:mergeCell ref="A21246:E21246"/>
    <s:mergeCell ref="A8728:E8728"/>
    <s:mergeCell ref="A16430:E16430"/>
    <s:mergeCell ref="B30981:E30981"/>
    <s:mergeCell ref="B30975:E30975"/>
    <s:mergeCell ref="A23026:E23026"/>
    <s:mergeCell ref="A20941:E20941"/>
    <s:mergeCell ref="A8423:E8423"/>
    <s:mergeCell ref="A7242:E7242"/>
    <s:mergeCell ref="A13844:E13844"/>
    <s:mergeCell ref="A23243:E23243"/>
    <s:mergeCell ref="A21546:E21546"/>
    <s:mergeCell ref="A25328:E25328"/>
    <s:mergeCell ref="A6943:E6943"/>
    <s:mergeCell ref="A12358:E12358"/>
    <s:mergeCell ref="A14144:E14144"/>
    <s:mergeCell ref="A12059:E12059"/>
    <s:mergeCell ref="A23059:E23059"/>
    <s:mergeCell ref="A16141:E16141"/>
    <s:mergeCell ref="A14056:E14056"/>
    <s:mergeCell ref="A12359:E12359"/>
    <s:mergeCell ref="A6953:E6953"/>
    <s:mergeCell ref="A19172:E19172"/>
    <s:mergeCell ref="A14356:E14356"/>
    <s:mergeCell ref="A28387:E28387"/>
    <s:mergeCell ref="A26690:E26690"/>
    <s:mergeCell ref="A12087:E12087"/>
    <s:mergeCell ref="A26907:E26907"/>
    <s:mergeCell ref="A7254:E7254"/>
    <s:mergeCell ref="A30778:E30778"/>
    <s:mergeCell ref="A28693:E28693"/>
    <s:mergeCell ref="A28687:E28687"/>
    <s:mergeCell ref="A12387:E12387"/>
    <s:mergeCell ref="A30473:E30473"/>
    <s:mergeCell ref="A28388:E28388"/>
    <s:mergeCell ref="A4896:E4896"/>
    <s:mergeCell ref="A31718:E31718"/>
    <s:mergeCell ref="A21285:E21285"/>
    <s:mergeCell ref="A19200:E19200"/>
    <s:mergeCell ref="B27132:E27132"/>
    <s:mergeCell ref="A19805:E19805"/>
    <s:mergeCell ref="A5196:E5196"/>
    <s:mergeCell ref="B13134:E13134"/>
    <s:mergeCell ref="A19500:E19500"/>
    <s:mergeCell ref="B27432:E27432"/>
    <s:mergeCell ref="A26618:E26618"/>
    <s:mergeCell ref="A4891:E4891"/>
    <s:mergeCell ref="A10013:E10013"/>
    <s:mergeCell ref="A26918:E26918"/>
    <s:mergeCell ref="A26613:E26613"/>
    <s:mergeCell ref="A36:E36"/>
    <s:mergeCell ref="A25133:E25133"/>
    <s:mergeCell ref="A7154:E7154"/>
    <s:mergeCell ref="A2332:E2332"/>
    <s:mergeCell ref="A24828:E24828"/>
    <s:mergeCell ref="A14551:E14551"/>
    <s:mergeCell ref="A2033:E2033"/>
    <s:mergeCell ref="B25680:E25680"/>
    <s:mergeCell ref="A7454:E7454"/>
    <s:mergeCell ref="A7149:E7149"/>
    <s:mergeCell ref="A26341:E26341"/>
    <s:mergeCell ref="B3669:E3669"/>
    <s:mergeCell ref="A7754:E7754"/>
    <s:mergeCell ref="A9451:E9451"/>
    <s:mergeCell ref="A7449:E7449"/>
    <s:mergeCell ref="A9751:E9751"/>
    <s:mergeCell ref="A5969:E5969"/>
    <s:mergeCell ref="A563:E563"/>
    <s:mergeCell ref="A258:E258"/>
    <s:mergeCell ref="A30277:E30277"/>
    <s:mergeCell ref="A17759:E17759"/>
    <s:mergeCell ref="B25691:E25691"/>
    <s:mergeCell ref="A15167:E15167"/>
    <s:mergeCell ref="A13082:E13082"/>
    <s:mergeCell ref="A564:E564"/>
    <s:mergeCell ref="A18059:E18059"/>
    <s:mergeCell ref="A5697:E5697"/>
    <s:mergeCell ref="A5680:E5680"/>
    <s:mergeCell ref="A27419:E27419"/>
    <s:mergeCell ref="A31195:E31195"/>
    <s:mergeCell ref="A29110:E29110"/>
    <s:mergeCell ref="A27413:E27413"/>
    <s:mergeCell ref="A14895:E14895"/>
    <s:mergeCell ref="A12810:E12810"/>
    <s:mergeCell ref="A20011:E20011"/>
    <s:mergeCell ref="A17926:E17926"/>
    <s:mergeCell ref="A29410:E29410"/>
    <s:mergeCell ref="A5408:E5408"/>
    <s:mergeCell ref="A13110:E13110"/>
    <s:mergeCell ref="A22313:E22313"/>
    <s:mergeCell ref="A20228:E20228"/>
    <s:mergeCell ref="A27414:E27414"/>
    <s:mergeCell ref="A3922:E3922"/>
    <s:mergeCell ref="A20317:E20317"/>
    <s:mergeCell ref="A22008:E22008"/>
    <s:mergeCell ref="A18226:E18226"/>
    <s:mergeCell ref="A5708:E5708"/>
    <s:mergeCell ref="A13410:E13410"/>
    <s:mergeCell ref="A20012:E20012"/>
    <s:mergeCell ref="A20223:E20223"/>
    <s:mergeCell ref="A6008:E6008"/>
    <s:mergeCell ref="A3923:E3923"/>
    <s:mergeCell ref="A25644:E25644"/>
    <s:mergeCell ref="A20312:E20312"/>
    <s:mergeCell ref="A11035:E11035"/>
    <s:mergeCell ref="A12821:E12821"/>
    <s:mergeCell ref="A25944:E25944"/>
    <s:mergeCell ref="A11341:E11341"/>
    <s:mergeCell ref="A11335:E11335"/>
    <s:mergeCell ref="A13121:E13121"/>
    <s:mergeCell ref="A11036:E11036"/>
    <s:mergeCell ref="B11888:E11888"/>
    <s:mergeCell ref="A1848:E1848"/>
    <s:mergeCell ref="B27883:E27883"/>
    <s:mergeCell ref="A2453:E2453"/>
    <s:mergeCell ref="A11336:E11336"/>
    <s:mergeCell ref="A18454:E18454"/>
    <s:mergeCell ref="A5930:E5930"/>
    <s:mergeCell ref="A3845:E3845"/>
    <s:mergeCell ref="A2148:E2148"/>
    <s:mergeCell ref="A3934:E3934"/>
    <s:mergeCell ref="A11063:E11063"/>
    <s:mergeCell ref="A27458:E27458"/>
    <s:mergeCell ref="A18754:E18754"/>
    <s:mergeCell ref="B4392:E4392"/>
    <s:mergeCell ref="A25367:E25367"/>
    <s:mergeCell ref="A2448:E2448"/>
    <s:mergeCell ref="A18481:E18481"/>
    <s:mergeCell ref="A9261:E9261"/>
    <s:mergeCell ref="A25667:E25667"/>
    <s:mergeCell ref="A19962:E19962"/>
    <s:mergeCell ref="A31000:E31000"/>
    <s:mergeCell ref="A18482:E18482"/>
    <s:mergeCell ref="A16785:E16785"/>
    <s:mergeCell ref="A18476:E18476"/>
    <s:mergeCell ref="A30695:E30695"/>
    <s:mergeCell ref="B8023:E8023"/>
    <s:mergeCell ref="A18177:E18177"/>
    <s:mergeCell ref="A20262:E20262"/>
    <s:mergeCell ref="A23598:E23598"/>
    <s:mergeCell ref="A2376:E2376"/>
    <s:mergeCell ref="A18782:E18782"/>
    <s:mergeCell ref="A16697:E16697"/>
    <s:mergeCell ref="A23293:E23293"/>
    <s:mergeCell ref="A9594:E9594"/>
    <s:mergeCell ref="A25595:E25595"/>
    <s:mergeCell ref="A23898:E23898"/>
    <s:mergeCell ref="A21813:E21813"/>
    <s:mergeCell ref="A11380:E11380"/>
    <s:mergeCell ref="A2676:E2676"/>
    <s:mergeCell ref="A9295:E9295"/>
    <s:mergeCell ref="A9289:E9289"/>
    <s:mergeCell ref="A23593:E23593"/>
    <s:mergeCell ref="A30711:E30711"/>
    <s:mergeCell ref="A16496:E16496"/>
    <s:mergeCell ref="A25895:E25895"/>
    <s:mergeCell ref="A22113:E22113"/>
    <s:mergeCell ref="A16713:E16713"/>
    <s:mergeCell ref="A16707:E16707"/>
    <s:mergeCell ref="A14622:E14622"/>
    <s:mergeCell ref="A21808:E21808"/>
    <s:mergeCell ref="A407:E407"/>
    <s:mergeCell ref="A31011:E31011"/>
    <s:mergeCell ref="A16408:E16408"/>
    <s:mergeCell ref="A14711:E14711"/>
    <s:mergeCell ref="A24110:E24110"/>
    <s:mergeCell ref="A7220:E7220"/>
    <s:mergeCell ref="A14922:E14922"/>
    <s:mergeCell ref="B31558:E31558"/>
    <s:mergeCell ref="A31311:E31311"/>
    <s:mergeCell ref="A29226:E29226"/>
    <s:mergeCell ref="A16708:E16708"/>
    <s:mergeCell ref="A15011:E15011"/>
    <s:mergeCell ref="B31253:E31253"/>
    <s:mergeCell ref="A7520:E7520"/>
    <s:mergeCell ref="A29526:E29526"/>
    <s:mergeCell ref="A7215:E7215"/>
    <s:mergeCell ref="B31559:E31559"/>
    <s:mergeCell ref="A9517:E9517"/>
    <s:mergeCell ref="A7820:E7820"/>
    <s:mergeCell ref="A5735:E5735"/>
    <s:mergeCell ref="A31045:E31045"/>
    <s:mergeCell ref="A14633:E14633"/>
    <s:mergeCell ref="A31039:E31039"/>
    <s:mergeCell ref="A28954:E28954"/>
    <s:mergeCell ref="A7732:E7732"/>
    <s:mergeCell ref="A29559:E29559"/>
    <s:mergeCell ref="A27457:E27457"/>
    <s:mergeCell ref="A14933:E14933"/>
    <s:mergeCell ref="A29254:E29254"/>
    <s:mergeCell ref="A2571:E2571"/>
    <s:mergeCell ref="A7548:E7548"/>
    <s:mergeCell ref="A5463:E5463"/>
    <s:mergeCell ref="A2871:E2871"/>
    <s:mergeCell ref="A29270:E29270"/>
    <s:mergeCell ref="A28965:E28965"/>
    <s:mergeCell ref="B13995:E13995"/>
    <s:mergeCell ref="A13181:E13181"/>
    <s:mergeCell ref="A29570:E29570"/>
    <s:mergeCell ref="A27485:E27485"/>
    <s:mergeCell ref="A29176:E29176"/>
    <s:mergeCell ref="B6504:E6504"/>
    <s:mergeCell ref="A14961:E14961"/>
    <s:mergeCell ref="A12876:E12876"/>
    <s:mergeCell ref="A22079:E22079"/>
    <s:mergeCell ref="A29265:E29265"/>
    <s:mergeCell ref="A27180:E27180"/>
    <s:mergeCell ref="A13481:E13481"/>
    <s:mergeCell ref="A20077:E20077"/>
    <s:mergeCell ref="A17992:E17992"/>
    <s:mergeCell ref="A20294:E20294"/>
    <s:mergeCell ref="A27480:E27480"/>
    <s:mergeCell ref="A6079:E6079"/>
    <s:mergeCell ref="A10017:E10017"/>
    <s:mergeCell ref="A20383:E20383"/>
    <s:mergeCell ref="A18298:E18298"/>
    <s:mergeCell ref="A22074:E22074"/>
    <s:mergeCell ref="A18292:E18292"/>
    <s:mergeCell ref="A20594:E20594"/>
    <s:mergeCell ref="A10317:E10317"/>
    <s:mergeCell ref="B20536:E20536"/>
    <s:mergeCell ref="A10012:E10012"/>
    <s:mergeCell ref="A15433:E15433"/>
    <s:mergeCell ref="A2915:E2915"/>
    <s:mergeCell ref="A919:E919"/>
    <s:mergeCell ref="A2610:E2610"/>
    <s:mergeCell ref="B27954:E27954"/>
    <s:mergeCell ref="A15739:E15739"/>
    <s:mergeCell ref="A13648:E13648"/>
    <s:mergeCell ref="A1130:E1130"/>
    <s:mergeCell ref="A27796:E27796"/>
    <s:mergeCell ref="A15434:E15434"/>
    <s:mergeCell ref="A15428:E15428"/>
    <s:mergeCell ref="A2910:E2910"/>
    <s:mergeCell ref="A1430:E1430"/>
    <s:mergeCell ref="A15734:E15734"/>
    <s:mergeCell ref="B28554:E28554"/>
    <s:mergeCell ref="A8243:E8243"/>
    <s:mergeCell ref="A22547:E22547"/>
    <s:mergeCell ref="A25738:E25738"/>
    <s:mergeCell ref="A25433:E25433"/>
    <s:mergeCell ref="A8543:E8543"/>
    <s:mergeCell ref="A6758:E6758"/>
    <s:mergeCell ref="A20578:E20578"/>
    <s:mergeCell ref="B7305:E7305"/>
    <s:mergeCell ref="A22880:E22880"/>
    <s:mergeCell ref="A20789:E20789"/>
    <s:mergeCell ref="A22575:E22575"/>
    <s:mergeCell ref="A7966:E7966"/>
    <s:mergeCell ref="A869:E869"/>
    <s:mergeCell ref="A22875:E22875"/>
    <s:mergeCell ref="A29993:E29993"/>
    <s:mergeCell ref="A28296:E28296"/>
    <s:mergeCell ref="A13693:E13693"/>
    <s:mergeCell ref="A15384:E15384"/>
    <s:mergeCell ref="A11602:E11602"/>
    <s:mergeCell ref="A1169:E1169"/>
    <s:mergeCell ref="A29688:E29688"/>
    <s:mergeCell ref="A30293:E30293"/>
    <s:mergeCell ref="A26511:E26511"/>
    <s:mergeCell ref="A28202:E28202"/>
    <s:mergeCell ref="A6285:E6285"/>
    <s:mergeCell ref="A4200:E4200"/>
    <s:mergeCell ref="A15684:E15684"/>
    <s:mergeCell ref="A21105:E21105"/>
    <s:mergeCell ref="A20800:E20800"/>
    <s:mergeCell ref="A18715:E18715"/>
    <s:mergeCell ref="A6197:E6197"/>
    <s:mergeCell ref="A4500:E4500"/>
    <s:mergeCell ref="A19320:E19320"/>
    <s:mergeCell ref="A6802:E6802"/>
    <s:mergeCell ref="A4717:E4717"/>
    <s:mergeCell ref="A21106:E21106"/>
    <s:mergeCell ref="A19015:E19015"/>
    <s:mergeCell ref="A6497:E6497"/>
    <s:mergeCell ref="A11918:E11918"/>
    <s:mergeCell ref="A9833:E9833"/>
    <s:mergeCell ref="A19620:E19620"/>
    <s:mergeCell ref="A11613:E11613"/>
    <s:mergeCell ref="A4712:E4712"/>
    <s:mergeCell ref="A13915:E13915"/>
    <s:mergeCell ref="A10133:E10133"/>
    <s:mergeCell ref="A11913:E11913"/>
    <s:mergeCell ref="A14215:E14215"/>
    <s:mergeCell ref="A12130:E12130"/>
    <s:mergeCell ref="A20834:E20834"/>
    <s:mergeCell ref="A20828:E20828"/>
    <s:mergeCell ref="A18743:E18743"/>
    <s:mergeCell ref="A19331:E19331"/>
    <s:mergeCell ref="A21134:E21134"/>
    <s:mergeCell ref="A4722:E4722"/>
    <s:mergeCell ref="A2637:E2637"/>
    <s:mergeCell ref="A28246:E28246"/>
    <s:mergeCell ref="A26161:E26161"/>
    <s:mergeCell ref="A26250:E26250"/>
    <s:mergeCell ref="A5028:E5028"/>
    <s:mergeCell ref="B19573:E19573"/>
    <s:mergeCell ref="A26467:E26467"/>
    <s:mergeCell ref="A26461:E26461"/>
    <s:mergeCell ref="B3789:E3789"/>
    <s:mergeCell ref="A10161:E10161"/>
    <s:mergeCell ref="A28247:E28247"/>
    <s:mergeCell ref="A24465:E24465"/>
    <s:mergeCell ref="A26156:E26156"/>
    <s:mergeCell ref="A4755:E4755"/>
    <s:mergeCell ref="B27008:E27008"/>
    <s:mergeCell ref="A16974:E16974"/>
    <s:mergeCell ref="A26761:E26761"/>
    <s:mergeCell ref="A28547:E28547"/>
    <s:mergeCell ref="A26462:E26462"/>
    <s:mergeCell ref="A2970:E2970"/>
    <s:mergeCell ref="A17274:E17274"/>
    <s:mergeCell ref="A2665:E2665"/>
    <s:mergeCell ref="A31578:E31578"/>
    <s:mergeCell ref="B27009:E27009"/>
    <s:mergeCell ref="B27003:E27003"/>
    <s:mergeCell ref="A16969:E16969"/>
    <s:mergeCell ref="A9872:E9872"/>
    <s:mergeCell ref="A17574:E17574"/>
    <s:mergeCell ref="A10083:E10083"/>
    <s:mergeCell ref="A26472:E26472"/>
    <s:mergeCell ref="A24387:E24387"/>
    <s:mergeCell ref="A10172:E10172"/>
    <s:mergeCell ref="A8087:E8087"/>
    <s:mergeCell ref="B10630:E10630"/>
    <s:mergeCell ref="A10383:E10383"/>
    <s:mergeCell ref="A24687:E24687"/>
    <s:mergeCell ref="A12169:E12169"/>
    <s:mergeCell ref="A10084:E10084"/>
    <s:mergeCell ref="A8387:E8387"/>
    <s:mergeCell ref="A17590:E17590"/>
    <s:mergeCell ref="A15505:E15505"/>
    <s:mergeCell ref="A15499:E15499"/>
    <s:mergeCell ref="A2981:E2981"/>
    <s:mergeCell ref="A17285:E17285"/>
    <s:mergeCell ref="A15200:E15200"/>
    <s:mergeCell ref="A24987:E24987"/>
    <s:mergeCell ref="A591:E591"/>
    <s:mergeCell ref="A15805:E15805"/>
    <s:mergeCell ref="A15500:E15500"/>
    <s:mergeCell ref="A2982:E2982"/>
    <s:mergeCell ref="A10094:E10094"/>
    <s:mergeCell ref="A24415:E24415"/>
    <s:mergeCell ref="A1496:E1496"/>
    <s:mergeCell ref="A8098:E8098"/>
    <s:mergeCell ref="A15800:E15800"/>
    <s:mergeCell ref="A13715:E13715"/>
    <s:mergeCell ref="A22918:E22918"/>
    <s:mergeCell ref="A8398:E8398"/>
    <s:mergeCell ref="B1738:E1738"/>
    <s:mergeCell ref="A23218:E23218"/>
    <s:mergeCell ref="A29837:E29837"/>
    <s:mergeCell ref="A31528:E31528"/>
    <s:mergeCell ref="A29831:E29831"/>
    <s:mergeCell ref="B30378:E30378"/>
    <s:mergeCell ref="A20344:E20344"/>
    <s:mergeCell ref="A3454:E3454"/>
    <s:mergeCell ref="A22646:E22646"/>
    <s:mergeCell ref="A30348:E30348"/>
    <s:mergeCell ref="A6340:E6340"/>
    <s:mergeCell ref="A24426:E24426"/>
    <s:mergeCell ref="A22341:E22341"/>
    <s:mergeCell ref="A3754:E3754"/>
    <s:mergeCell ref="A22946:E22946"/>
    <s:mergeCell ref="A22641:E22641"/>
    <s:mergeCell ref="A29759:E29759"/>
    <s:mergeCell ref="A28062:E28062"/>
    <s:mergeCell ref="A13459:E13459"/>
    <s:mergeCell ref="A23246:E23246"/>
    <s:mergeCell ref="A20856:E20856"/>
    <s:mergeCell ref="A26277:E26277"/>
    <s:mergeCell ref="A13759:E13759"/>
    <s:mergeCell ref="A13753:E13753"/>
    <s:mergeCell ref="A28063:E28063"/>
    <s:mergeCell ref="B30606:E30606"/>
    <s:mergeCell ref="A3177:E3177"/>
    <s:mergeCell ref="A30359:E30359"/>
    <s:mergeCell ref="A26577:E26577"/>
    <s:mergeCell ref="A1697:E1697"/>
    <s:mergeCell ref="A3388:E3388"/>
    <s:mergeCell ref="A8809:E8809"/>
    <s:mergeCell ref="A25198:E25198"/>
    <s:mergeCell ref="A23113:E23113"/>
    <s:mergeCell ref="A10595:E10595"/>
    <s:mergeCell ref="A11200:E11200"/>
    <s:mergeCell ref="A9115:E9115"/>
    <s:mergeCell ref="A9109:E9109"/>
    <s:mergeCell ref="A1692:E1692"/>
    <s:mergeCell ref="A23413:E23413"/>
    <s:mergeCell ref="B6810:E6810"/>
    <s:mergeCell ref="A10895:E10895"/>
    <s:mergeCell ref="A1707:E1707"/>
    <s:mergeCell ref="B21719:E21719"/>
    <s:mergeCell ref="A23713:E23713"/>
    <s:mergeCell ref="A11195:E11195"/>
    <s:mergeCell ref="A9110:E9110"/>
    <s:mergeCell ref="A3704:E3704"/>
    <s:mergeCell ref="A1708:E1708"/>
    <s:mergeCell ref="A1702:E1702"/>
    <s:mergeCell ref="B28832:E28832"/>
    <s:mergeCell ref="A1919:E1919"/>
    <s:mergeCell ref="A222:E222"/>
    <s:mergeCell ref="A7035:E7035"/>
    <s:mergeCell ref="A8838:E8838"/>
    <s:mergeCell ref="A17736:E17736"/>
    <s:mergeCell ref="A16039:E16039"/>
    <s:mergeCell ref="A7335:E7335"/>
    <s:mergeCell ref="A13954:E13954"/>
    <s:mergeCell ref="A9138:E9138"/>
    <s:mergeCell ref="A30859:E30859"/>
    <s:mergeCell ref="A28774:E28774"/>
    <s:mergeCell ref="A16250:E16250"/>
    <s:mergeCell ref="A30554:E30554"/>
    <s:mergeCell ref="A14254:E14254"/>
    <s:mergeCell ref="B27074:E27074"/>
    <s:mergeCell ref="A23152:E23152"/>
    <s:mergeCell ref="A30854:E30854"/>
    <s:mergeCell ref="A8549:E8549"/>
    <s:mergeCell ref="A16251:E16251"/>
    <s:mergeCell ref="A23369:E23369"/>
    <s:mergeCell ref="A21672:E21672"/>
    <s:mergeCell ref="A9154:E9154"/>
    <s:mergeCell ref="A7063:E7063"/>
    <s:mergeCell ref="B27075:E27075"/>
    <s:mergeCell ref="B2477:E2477"/>
    <s:mergeCell ref="A21367:E21367"/>
    <s:mergeCell ref="A8849:E8849"/>
    <s:mergeCell ref="A28485:E28485"/>
    <s:mergeCell ref="A23669:E23669"/>
    <s:mergeCell ref="A21972:E21972"/>
    <s:mergeCell ref="A19887:E19887"/>
    <s:mergeCell ref="A23663:E23663"/>
    <s:mergeCell ref="A13965:E13965"/>
    <s:mergeCell ref="A21667:E21667"/>
    <s:mergeCell ref="A9149:E9149"/>
    <s:mergeCell ref="A7064:E7064"/>
    <s:mergeCell ref="A28785:E28785"/>
    <s:mergeCell ref="A12485:E12485"/>
    <s:mergeCell ref="A23969:E23969"/>
    <s:mergeCell ref="A28480:E28480"/>
    <s:mergeCell ref="A7079:E7079"/>
    <s:mergeCell ref="A14265:E14265"/>
    <s:mergeCell ref="A21967:E21967"/>
    <s:mergeCell ref="A29085:E29085"/>
    <s:mergeCell ref="A12391:E12391"/>
    <s:mergeCell ref="A5294:E5294"/>
    <s:mergeCell ref="A19598:E19598"/>
    <s:mergeCell ref="A7074:E7074"/>
    <s:mergeCell ref="A4989:E4989"/>
    <s:mergeCell ref="A28513:E28513"/>
    <s:mergeCell ref="B16809:E16809"/>
    <s:mergeCell ref="B14724:E14724"/>
    <s:mergeCell ref="A5594:E5594"/>
    <s:mergeCell ref="A3509:E3509"/>
    <s:mergeCell ref="B20145:E20145"/>
    <s:mergeCell ref="A19898:E19898"/>
    <s:mergeCell ref="A5289:E5289"/>
    <s:mergeCell ref="A12407:E12407"/>
    <s:mergeCell ref="A28813:E28813"/>
    <s:mergeCell ref="A28508:E28508"/>
    <s:mergeCell ref="A5589:E5589"/>
    <s:mergeCell ref="A21411:E21411"/>
    <s:mergeCell ref="A12707:E12707"/>
    <s:mergeCell ref="A29113:E29113"/>
    <s:mergeCell ref="A30899:E30899"/>
    <s:mergeCell ref="A28814:E28814"/>
    <s:mergeCell ref="A28808:E28808"/>
    <s:mergeCell ref="B13254:E13254"/>
    <s:mergeCell ref="A3220:E3220"/>
    <s:mergeCell ref="A13007:E13007"/>
    <s:mergeCell ref="A10922:E10922"/>
    <s:mergeCell ref="A19626:E19626"/>
    <s:mergeCell ref="A5622:E5622"/>
    <s:mergeCell ref="B13554:E13554"/>
    <s:mergeCell ref="B11469:E11469"/>
    <s:mergeCell ref="A3520:E3520"/>
    <s:mergeCell ref="A19926:E19926"/>
    <s:mergeCell ref="A11222:E11222"/>
    <s:mergeCell ref="A17841:E17841"/>
    <s:mergeCell ref="B13255:E13255"/>
    <s:mergeCell ref="A12435:E12435"/>
    <s:mergeCell ref="A26739:E26739"/>
    <s:mergeCell ref="B11769:E11769"/>
    <s:mergeCell ref="A3820:E3820"/>
    <s:mergeCell ref="A1735:E1735"/>
    <s:mergeCell ref="A27344:E27344"/>
    <s:mergeCell ref="A12735:E12735"/>
    <s:mergeCell ref="A10650:E10650"/>
    <s:mergeCell ref="A27039:E27039"/>
    <s:mergeCell ref="A12436:E12436"/>
    <s:mergeCell ref="A12430:E12430"/>
    <s:mergeCell ref="A17851:E17851"/>
    <s:mergeCell ref="A15766:E15766"/>
    <s:mergeCell ref="A5333:E5333"/>
    <s:mergeCell ref="A3248:E3248"/>
    <s:mergeCell ref="A27250:E27250"/>
    <s:mergeCell ref="A27339:E27339"/>
    <s:mergeCell ref="A25254:E25254"/>
    <s:mergeCell ref="A19848:E19848"/>
    <s:mergeCell ref="A3548:E3548"/>
    <s:mergeCell ref="B27886:E27886"/>
    <s:mergeCell ref="A17852:E17852"/>
    <s:mergeCell ref="A17846:E17846"/>
    <s:mergeCell ref="A10361:E10361"/>
    <s:mergeCell ref="A18063:E18063"/>
    <s:mergeCell ref="A3848:E3848"/>
    <s:mergeCell ref="A1763:E1763"/>
    <s:mergeCell ref="A10966:E10966"/>
    <s:mergeCell ref="A18152:E18152"/>
    <s:mergeCell ref="A25264:E25264"/>
    <s:mergeCell ref="A23179:E23179"/>
    <s:mergeCell ref="A10661:E10661"/>
    <s:mergeCell ref="A18363:E18363"/>
    <s:mergeCell ref="A24965:E24965"/>
    <s:mergeCell ref="A11266:E11266"/>
    <s:mergeCell ref="A9181:E9181"/>
    <s:mergeCell ref="A23485:E23485"/>
    <s:mergeCell ref="A23479:E23479"/>
    <s:mergeCell ref="A10961:E10961"/>
    <s:mergeCell ref="A8876:E8876"/>
    <s:mergeCell ref="A10662:E10662"/>
    <s:mergeCell ref="A9176:E9176"/>
    <s:mergeCell ref="A25298:E25298"/>
    <s:mergeCell ref="B4317:E4317"/>
    <s:mergeCell ref="B2232:E2232"/>
    <s:mergeCell ref="A23207:E23207"/>
    <s:mergeCell ref="B31139:E31139"/>
    <s:mergeCell ref="A25598:E25598"/>
    <s:mergeCell ref="A30625:E30625"/>
    <s:mergeCell ref="A30714:E30714"/>
    <s:mergeCell ref="A17802:E17802"/>
    <s:mergeCell ref="A14020:E14020"/>
    <s:mergeCell ref="A30925:E30925"/>
    <s:mergeCell ref="A30626:E30626"/>
    <s:mergeCell ref="A28929:E28929"/>
    <s:mergeCell ref="A30620:E30620"/>
    <s:mergeCell ref="B7948:E7948"/>
    <s:mergeCell ref="A18102:E18102"/>
    <s:mergeCell ref="A16017:E16017"/>
    <s:mergeCell ref="A21438:E21438"/>
    <s:mergeCell ref="A8920:E8920"/>
    <s:mergeCell ref="A21133:E21133"/>
    <s:mergeCell ref="A16317:E16317"/>
    <s:mergeCell ref="A21738:E21738"/>
    <s:mergeCell ref="A9220:E9220"/>
    <s:mergeCell ref="A23524:E23524"/>
    <s:mergeCell ref="A21433:E21433"/>
    <s:mergeCell ref="A23735:E23735"/>
    <s:mergeCell ref="A21733:E21733"/>
    <s:mergeCell ref="A18574:E18574"/>
    <s:mergeCell ref="A24035:E24035"/>
    <s:mergeCell ref="A2274:E2274"/>
    <s:mergeCell ref="A11673:E11673"/>
    <s:mergeCell ref="A4576:E4576"/>
    <s:mergeCell ref="A4054:E4054"/>
    <s:mergeCell ref="A1969:E1969"/>
    <s:mergeCell ref="A18880:E18880"/>
    <s:mergeCell ref="A18874:E18874"/>
    <s:mergeCell ref="A16789:E16789"/>
    <s:mergeCell ref="A4271:E4271"/>
    <s:mergeCell ref="A2574:E2574"/>
    <s:mergeCell ref="A18575:E18575"/>
    <s:mergeCell ref="B19911:E19911"/>
    <s:mergeCell ref="A9387:E9387"/>
    <s:mergeCell ref="A4571:E4571"/>
    <s:mergeCell ref="B27308:E27308"/>
    <s:mergeCell ref="A28579:E28579"/>
    <s:mergeCell ref="A9992:E9992"/>
    <s:mergeCell ref="B14790:E14790"/>
    <s:mergeCell ref="A11384:E11384"/>
    <s:mergeCell ref="A9687:E9687"/>
    <s:mergeCell ref="B21991:E21991"/>
    <s:mergeCell ref="A28879:E28879"/>
    <s:mergeCell ref="A16517:E16517"/>
    <s:mergeCell ref="A9987:E9987"/>
    <s:mergeCell ref="A7902:E7902"/>
    <s:mergeCell ref="A411:E411"/>
    <s:mergeCell ref="A26020:E26020"/>
    <s:mergeCell ref="A2802:E2802"/>
    <s:mergeCell ref="A9415:E9415"/>
    <s:mergeCell ref="A711:E711"/>
    <s:mergeCell ref="A23719:E23719"/>
    <s:mergeCell ref="A24235:E24235"/>
    <s:mergeCell ref="A26021:E26021"/>
    <s:mergeCell ref="A24324:E24324"/>
    <s:mergeCell ref="A26015:E26015"/>
    <s:mergeCell ref="A23930:E23930"/>
    <s:mergeCell ref="A9715:E9715"/>
    <s:mergeCell ref="A25716:E25716"/>
    <s:mergeCell ref="A24019:E24019"/>
    <s:mergeCell ref="A24535:E24535"/>
    <s:mergeCell ref="A31137:E31137"/>
    <s:mergeCell ref="A26321:E26321"/>
    <s:mergeCell ref="A24236:E24236"/>
    <s:mergeCell ref="A30832:E30832"/>
    <s:mergeCell ref="A29651:E29651"/>
    <s:mergeCell ref="A17133:E17133"/>
    <s:mergeCell ref="A15048:E15048"/>
    <s:mergeCell ref="A22234:E22234"/>
    <s:mergeCell ref="A31437:E31437"/>
    <s:mergeCell ref="A29352:E29352"/>
    <s:mergeCell ref="A16834:E16834"/>
    <s:mergeCell ref="A16828:E16828"/>
    <s:mergeCell ref="A2225:E2225"/>
    <s:mergeCell ref="A31132:E31132"/>
    <s:mergeCell ref="A15348:E15348"/>
    <s:mergeCell ref="B25567:E25567"/>
    <s:mergeCell ref="A29652:E29652"/>
    <s:mergeCell ref="A9942:E9942"/>
    <s:mergeCell ref="A7341:E7341"/>
    <s:mergeCell ref="A15043:E15043"/>
    <s:mergeCell ref="A24246:E24246"/>
    <s:mergeCell ref="A22161:E22161"/>
    <s:mergeCell ref="A29347:E29347"/>
    <s:mergeCell ref="A22250:E22250"/>
    <s:mergeCell ref="A31649:E31649"/>
    <s:mergeCell ref="B1269:E1269"/>
    <s:mergeCell ref="A9338:E9338"/>
    <s:mergeCell ref="A7641:E7641"/>
    <s:mergeCell ref="A2825:E2825"/>
    <s:mergeCell ref="A740:E740"/>
    <s:mergeCell ref="A6161:E6161"/>
    <s:mergeCell ref="A7852:E7852"/>
    <s:mergeCell ref="A755:E755"/>
    <s:mergeCell ref="A7941:E7941"/>
    <s:mergeCell ref="A5856:E5856"/>
    <s:mergeCell ref="A15059:E15059"/>
    <s:mergeCell ref="A22761:E22761"/>
    <s:mergeCell ref="A29380:E29380"/>
    <s:mergeCell ref="A14754:E14754"/>
    <s:mergeCell ref="A13274:E13274"/>
    <s:mergeCell ref="A29680:E29680"/>
    <s:mergeCell ref="A756:E756"/>
    <s:mergeCell ref="A13268:E13268"/>
    <s:mergeCell ref="A750:E750"/>
    <s:mergeCell ref="B15301:E15301"/>
    <s:mergeCell ref="A7868:E7868"/>
    <s:mergeCell ref="A13574:E13574"/>
    <s:mergeCell ref="A8168:E8168"/>
    <s:mergeCell ref="A6083:E6083"/>
    <s:mergeCell ref="A20387:E20387"/>
    <s:mergeCell ref="A6172:E6172"/>
    <s:mergeCell ref="A22184:E22184"/>
    <s:mergeCell ref="B6630:E6630"/>
    <s:mergeCell ref="A15087:E15087"/>
    <s:mergeCell ref="A6383:E6383"/>
    <s:mergeCell ref="A29391:E29391"/>
    <s:mergeCell ref="A20687:E20687"/>
    <s:mergeCell ref="A11505:E11505"/>
    <s:mergeCell ref="A27905:E27905"/>
    <s:mergeCell ref="A6683:E6683"/>
    <s:mergeCell ref="A13302:E13302"/>
    <s:mergeCell ref="A29691:E29691"/>
    <s:mergeCell ref="A22200:E22200"/>
    <s:mergeCell ref="A18418:E18418"/>
    <s:mergeCell ref="A29902:E29902"/>
    <s:mergeCell ref="A13585:E13585"/>
    <s:mergeCell ref="A22500:E22500"/>
    <s:mergeCell ref="A20415:E20415"/>
    <s:mergeCell ref="A18718:E18718"/>
    <s:mergeCell ref="A27533:E27533"/>
    <s:mergeCell ref="A5806:E5806"/>
    <s:mergeCell ref="A21020:E21020"/>
    <s:mergeCell ref="A25531:E25531"/>
    <s:mergeCell ref="A27833:E27833"/>
    <s:mergeCell ref="A26136:E26136"/>
    <s:mergeCell ref="A13618:E13618"/>
    <s:mergeCell ref="A25837:E25837"/>
    <s:mergeCell ref="A27528:E27528"/>
    <s:mergeCell ref="A25831:E25831"/>
    <s:mergeCell ref="A11228:E11228"/>
    <s:mergeCell ref="A21015:E21015"/>
    <s:mergeCell ref="A28133:E28133"/>
    <s:mergeCell ref="A4125:E4125"/>
    <s:mergeCell ref="A2040:E2040"/>
    <s:mergeCell ref="B28075:E28075"/>
    <s:mergeCell ref="A26131:E26131"/>
    <s:mergeCell ref="A4342:E4342"/>
    <s:mergeCell ref="A18646:E18646"/>
    <s:mergeCell ref="A27917:E27917"/>
    <s:mergeCell ref="A25832:E25832"/>
    <s:mergeCell ref="A6122:E6122"/>
    <s:mergeCell ref="A4037:E4037"/>
    <s:mergeCell ref="A2340:E2340"/>
    <s:mergeCell ref="A4642:E4642"/>
    <s:mergeCell ref="A31464:E31464"/>
    <s:mergeCell ref="A18946:E18946"/>
    <s:mergeCell ref="A4337:E4337"/>
    <s:mergeCell ref="A2640:E2640"/>
    <s:mergeCell ref="B28675:E28675"/>
    <s:mergeCell ref="A18641:E18641"/>
    <s:mergeCell ref="A31764:E31764"/>
    <s:mergeCell ref="A4637:E4637"/>
    <s:mergeCell ref="A26059:E26059"/>
    <s:mergeCell ref="A31192:E31192"/>
    <s:mergeCell ref="A9454:E9454"/>
    <s:mergeCell ref="A26359:E26359"/>
    <s:mergeCell ref="A26086:E26086"/>
    <s:mergeCell ref="A24001:E24001"/>
    <s:mergeCell ref="B17718:E17718"/>
    <s:mergeCell ref="A25787:E25787"/>
    <s:mergeCell ref="A24090:E24090"/>
    <s:mergeCell ref="A6895:E6895"/>
    <s:mergeCell ref="A30903:E30903"/>
    <s:mergeCell ref="A26087:E26087"/>
    <s:mergeCell ref="A24390:E24390"/>
    <s:mergeCell ref="A22305:E22305"/>
    <s:mergeCell ref="A16899:E16899"/>
    <s:mergeCell ref="A31203:E31203"/>
    <s:mergeCell ref="A26387:E26387"/>
    <s:mergeCell ref="A24302:E24302"/>
    <s:mergeCell ref="A30898:E30898"/>
    <s:mergeCell ref="A4837:E4837"/>
    <s:mergeCell ref="A31503:E31503"/>
    <s:mergeCell ref="A29418:E29418"/>
    <s:mergeCell ref="A16900:E16900"/>
    <s:mergeCell ref="A16894:E16894"/>
    <s:mergeCell ref="A31204:E31204"/>
    <s:mergeCell ref="A31720:E31720"/>
    <s:mergeCell ref="A31415:E31415"/>
    <s:mergeCell ref="A29718:E29718"/>
    <s:mergeCell ref="A11739:E11739"/>
    <s:mergeCell ref="A28339:E28339"/>
    <s:mergeCell ref="A26254:E26254"/>
    <s:mergeCell ref="A12039:E12039"/>
    <s:mergeCell ref="A14341:E14341"/>
    <s:mergeCell ref="A12256:E12256"/>
    <s:mergeCell ref="A12250:E12250"/>
    <s:mergeCell ref="A26554:E26554"/>
    <s:mergeCell ref="A14036:E14036"/>
    <s:mergeCell ref="A12339:E12339"/>
    <s:mergeCell ref="A10254:E10254"/>
    <s:mergeCell ref="A17372:E17372"/>
    <s:mergeCell ref="A4848:E4848"/>
    <s:mergeCell ref="A12550:E12550"/>
    <s:mergeCell ref="A3368:E3368"/>
    <s:mergeCell ref="A12251:E12251"/>
    <s:mergeCell ref="A17672:E17672"/>
    <s:mergeCell ref="A3063:E3063"/>
    <s:mergeCell ref="B15367:E15367"/>
    <s:mergeCell ref="A4849:E4849"/>
    <s:mergeCell ref="B28496:E28496"/>
    <s:mergeCell ref="A3363:E3363"/>
    <s:mergeCell ref="A5149:E5149"/>
    <s:mergeCell ref="A12261:E12261"/>
    <s:mergeCell ref="A10176:E10176"/>
    <s:mergeCell ref="A29762:E29762"/>
    <s:mergeCell ref="A4876:E4876"/>
    <s:mergeCell ref="A2791:E2791"/>
    <s:mergeCell ref="A19180:E19180"/>
    <s:mergeCell ref="A3379:E3379"/>
    <s:mergeCell ref="A1294:E1294"/>
    <s:mergeCell ref="A17700:E17700"/>
    <s:mergeCell ref="A3091:E3091"/>
    <s:mergeCell ref="A3074:E3074"/>
    <s:mergeCell ref="A17395:E17395"/>
    <s:mergeCell ref="A24513:E24513"/>
    <s:mergeCell ref="A1594:E1594"/>
    <s:mergeCell ref="A8207:E8207"/>
    <s:mergeCell ref="A10509:E10509"/>
    <s:mergeCell ref="A1289:E1289"/>
    <s:mergeCell ref="A17695:E17695"/>
    <s:mergeCell ref="A24813:E24813"/>
    <s:mergeCell ref="A10204:E10204"/>
    <s:mergeCell ref="A26593:E26593"/>
    <s:mergeCell ref="A24508:E24508"/>
    <s:mergeCell ref="A11990:E11990"/>
    <s:mergeCell ref="A25113:E25113"/>
    <s:mergeCell ref="A23028:E23028"/>
    <s:mergeCell ref="A10504:E10504"/>
    <s:mergeCell ref="A17622:E17622"/>
    <s:mergeCell ref="A15925:E15925"/>
    <s:mergeCell ref="A1322:E1322"/>
    <s:mergeCell ref="A15626:E15626"/>
    <s:mergeCell ref="A15620:E15620"/>
    <s:mergeCell ref="A3102:E3102"/>
    <s:mergeCell ref="A1017:E1017"/>
    <s:mergeCell ref="A17406:E17406"/>
    <s:mergeCell ref="A15837:E15837"/>
    <s:mergeCell ref="A17922:E17922"/>
    <s:mergeCell ref="B16173:E16173"/>
    <s:mergeCell ref="A17623:E17623"/>
    <s:mergeCell ref="A15926:E15926"/>
    <s:mergeCell ref="A23044:E23044"/>
    <s:mergeCell ref="A1317:E1317"/>
    <s:mergeCell ref="A23038:E23038"/>
    <s:mergeCell ref="A10520:E10520"/>
    <s:mergeCell ref="A8435:E8435"/>
    <s:mergeCell ref="A15621:E15621"/>
    <s:mergeCell ref="A16137:E16137"/>
    <s:mergeCell ref="A22739:E22739"/>
    <s:mergeCell ref="A30441:E30441"/>
    <s:mergeCell ref="A8130:E8130"/>
    <s:mergeCell ref="A31654:E31654"/>
    <s:mergeCell ref="A21253:E21253"/>
    <s:mergeCell ref="A8735:E8735"/>
    <s:mergeCell ref="A25141:E25141"/>
    <s:mergeCell ref="A23039:E23039"/>
    <s:mergeCell ref="A15548:E15548"/>
    <s:mergeCell ref="A30257:E30257"/>
    <s:mergeCell ref="A6950:E6950"/>
    <s:mergeCell ref="A21254:E21254"/>
    <s:mergeCell ref="B21495:E21495"/>
    <s:mergeCell ref="A15848:E15848"/>
    <s:mergeCell ref="A30169:E30169"/>
    <s:mergeCell ref="A23066:E23066"/>
    <s:mergeCell ref="A24852:E24852"/>
    <s:mergeCell ref="A22767:E22767"/>
    <s:mergeCell ref="A14063:E14063"/>
    <s:mergeCell ref="B14399:E14399"/>
    <s:mergeCell ref="A6966:E6966"/>
    <s:mergeCell ref="A23372:E23372"/>
    <s:mergeCell ref="A6661:E6661"/>
    <s:mergeCell ref="A23067:E23067"/>
    <s:mergeCell ref="A30185:E30185"/>
    <s:mergeCell ref="A13879:E13879"/>
    <s:mergeCell ref="A11794:E11794"/>
    <s:mergeCell ref="A29880:E29880"/>
    <s:mergeCell ref="A28183:E28183"/>
    <s:mergeCell ref="A6961:E6961"/>
    <s:mergeCell ref="A23367:E23367"/>
    <s:mergeCell ref="A21282:E21282"/>
    <s:mergeCell ref="A30485:E30485"/>
    <s:mergeCell ref="A28394:E28394"/>
    <s:mergeCell ref="A30180:E30180"/>
    <s:mergeCell ref="A6389:E6389"/>
    <s:mergeCell ref="A14091:E14091"/>
    <s:mergeCell ref="A28395:E28395"/>
    <s:mergeCell ref="A6994:E6994"/>
    <s:mergeCell ref="A21298:E21298"/>
    <s:mergeCell ref="A22989:E22989"/>
    <s:mergeCell ref="A21292:E21292"/>
    <s:mergeCell ref="A19207:E19207"/>
    <s:mergeCell ref="A6689:E6689"/>
    <s:mergeCell ref="A20993:E20993"/>
    <s:mergeCell ref="A19812:E19812"/>
    <s:mergeCell ref="A11805:E11805"/>
    <s:mergeCell ref="A19507:E19507"/>
    <s:mergeCell ref="A4904:E4904"/>
    <s:mergeCell ref="A26625:E26625"/>
    <s:mergeCell ref="A12410:E12410"/>
    <s:mergeCell ref="A21293:E21293"/>
    <s:mergeCell ref="A26320:E26320"/>
    <s:mergeCell ref="A13802:E13802"/>
    <s:mergeCell ref="A10020:E10020"/>
    <s:mergeCell ref="B14654:E14654"/>
    <s:mergeCell ref="A26925:E26925"/>
    <s:mergeCell ref="A12322:E12322"/>
    <s:mergeCell ref="A12316:E12316"/>
    <s:mergeCell ref="A10320:E10320"/>
    <s:mergeCell ref="A19523:E19523"/>
    <s:mergeCell ref="A17438:E17438"/>
    <s:mergeCell ref="A7161:E7161"/>
    <s:mergeCell ref="A19218:E19218"/>
    <s:mergeCell ref="B14649:E14649"/>
    <s:mergeCell ref="B10867:E10867"/>
    <s:mergeCell ref="A17738:E17738"/>
    <s:mergeCell ref="A5220:E5220"/>
    <s:mergeCell ref="A7461:E7461"/>
    <s:mergeCell ref="A7156:E7156"/>
    <s:mergeCell ref="A28439:E28439"/>
    <s:mergeCell ref="A19735:E19735"/>
    <s:mergeCell ref="A26348:E26348"/>
    <s:mergeCell ref="A7761:E7761"/>
    <s:mergeCell ref="A5676:E5676"/>
    <s:mergeCell ref="A26953:E26953"/>
    <s:mergeCell ref="A28739:E28739"/>
    <s:mergeCell ref="A17466:E17466"/>
    <s:mergeCell ref="A271:E271"/>
    <s:mergeCell ref="A17766:E17766"/>
    <s:mergeCell ref="A571:E571"/>
    <s:mergeCell ref="A26664:E26664"/>
    <s:mergeCell ref="A24579:E24579"/>
    <s:mergeCell ref="B5989:E5989"/>
    <s:mergeCell ref="A24879:E24879"/>
    <s:mergeCell ref="A25179:E25179"/>
    <s:mergeCell ref="A12817:E12817"/>
    <s:mergeCell ref="A299:E299"/>
    <s:mergeCell ref="A20024:E20024"/>
    <s:mergeCell ref="A5415:E5415"/>
    <s:mergeCell ref="A599:E599"/>
    <s:mergeCell ref="A7711:E7711"/>
    <s:mergeCell ref="A5110:E5110"/>
    <s:mergeCell ref="A5626:E5626"/>
    <s:mergeCell ref="A22015:E22015"/>
    <s:mergeCell ref="A19930:E19930"/>
    <s:mergeCell ref="A7412:E7412"/>
    <s:mergeCell ref="A5715:E5715"/>
    <s:mergeCell ref="A12833:E12833"/>
    <s:mergeCell ref="A12528:E12528"/>
    <s:mergeCell ref="A6015:E6015"/>
    <s:mergeCell ref="A11048:E11048"/>
    <s:mergeCell ref="A12828:E12828"/>
    <s:mergeCell ref="A3646:E3646"/>
    <s:mergeCell ref="A11348:E11348"/>
    <s:mergeCell ref="A11043:E11043"/>
    <s:mergeCell ref="A3946:E3946"/>
    <s:mergeCell ref="A19958:E19958"/>
    <s:mergeCell ref="A3641:E3641"/>
    <s:mergeCell ref="A27165:E27165"/>
    <s:mergeCell ref="A5943:E5943"/>
    <s:mergeCell ref="A12556:E12556"/>
    <s:mergeCell ref="A26860:E26860"/>
    <s:mergeCell ref="A13161:E13161"/>
    <s:mergeCell ref="A11076:E11076"/>
    <s:mergeCell ref="A25380:E25380"/>
    <s:mergeCell ref="A12856:E12856"/>
    <s:mergeCell ref="A11359:E11359"/>
    <s:mergeCell ref="A9274:E9274"/>
    <s:mergeCell ref="A17978:E17978"/>
    <s:mergeCell ref="A17972:E17972"/>
    <s:mergeCell ref="A18488:E18488"/>
    <s:mergeCell ref="A20274:E20274"/>
    <s:mergeCell ref="A18189:E18189"/>
    <s:mergeCell ref="A3974:E3974"/>
    <s:mergeCell ref="A18278:E18278"/>
    <s:mergeCell ref="A25390:E25390"/>
    <s:mergeCell ref="A23305:E23305"/>
    <s:mergeCell ref="A10787:E10787"/>
    <s:mergeCell ref="A18489:E18489"/>
    <s:mergeCell ref="B30793:E30793"/>
    <s:mergeCell ref="A10482:E10482"/>
    <s:mergeCell ref="A9301:E9301"/>
    <s:mergeCell ref="A27387:E27387"/>
    <s:mergeCell ref="A23605:E23605"/>
    <s:mergeCell ref="A11087:E11087"/>
    <s:mergeCell ref="A18789:E18789"/>
    <s:mergeCell ref="A25391:E25391"/>
    <s:mergeCell ref="A25385:E25385"/>
    <s:mergeCell ref="A10782:E10782"/>
    <s:mergeCell ref="A27687:E27687"/>
    <s:mergeCell ref="A25602:E25602"/>
    <s:mergeCell ref="A23905:E23905"/>
    <s:mergeCell ref="A1600:E1600"/>
    <s:mergeCell ref="A11387:E11387"/>
    <s:mergeCell ref="A9302:E9302"/>
    <s:mergeCell ref="A23606:E23606"/>
    <s:mergeCell ref="A3896:E3896"/>
    <s:mergeCell ref="A114:E114"/>
    <s:mergeCell ref="A30718:E30718"/>
    <s:mergeCell ref="A1900:E1900"/>
    <s:mergeCell ref="A1894:E1894"/>
    <s:mergeCell ref="A16720:E16720"/>
    <s:mergeCell ref="A16714:E16714"/>
    <s:mergeCell ref="A4196:E4196"/>
    <s:mergeCell ref="B31265:E31265"/>
    <s:mergeCell ref="A31018:E31018"/>
    <s:mergeCell ref="A18500:E18500"/>
    <s:mergeCell ref="A16415:E16415"/>
    <s:mergeCell ref="A2200:E2200"/>
    <s:mergeCell ref="B356:E356"/>
    <s:mergeCell ref="A9312:E9312"/>
    <s:mergeCell ref="A7227:E7227"/>
    <s:mergeCell ref="A23633:E23633"/>
    <s:mergeCell ref="B19047:E19047"/>
    <s:mergeCell ref="A31318:E31318"/>
    <s:mergeCell ref="A16715:E16715"/>
    <s:mergeCell ref="A9618:E9618"/>
    <s:mergeCell ref="A11309:E11309"/>
    <s:mergeCell ref="A9224:E9224"/>
    <s:mergeCell ref="A7527:E7527"/>
    <s:mergeCell ref="A2711:E2711"/>
    <s:mergeCell ref="A9313:E9313"/>
    <s:mergeCell ref="A30746:E30746"/>
    <s:mergeCell ref="A7827:E7827"/>
    <s:mergeCell ref="A342:E342"/>
    <s:mergeCell ref="A9613:E9613"/>
    <s:mergeCell ref="A14640:E14640"/>
    <s:mergeCell ref="B10071:E10071"/>
    <s:mergeCell ref="A31046:E31046"/>
    <s:mergeCell ref="A30747:E30747"/>
    <s:mergeCell ref="A642:E642"/>
    <s:mergeCell ref="A7255:E7255"/>
    <s:mergeCell ref="B15187:E15187"/>
    <s:mergeCell ref="A23644:E23644"/>
    <s:mergeCell ref="A14940:E14940"/>
    <s:mergeCell ref="A12855:E12855"/>
    <s:mergeCell ref="B8286:E8286"/>
    <s:mergeCell ref="A337:E337"/>
    <s:mergeCell ref="A21559:E21559"/>
    <s:mergeCell ref="A31047:E31047"/>
    <s:mergeCell ref="A9646:E9646"/>
    <s:mergeCell ref="A25641:E25641"/>
    <s:mergeCell ref="A23556:E23556"/>
    <s:mergeCell ref="B884:E884"/>
    <s:mergeCell ref="A21859:E21859"/>
    <s:mergeCell ref="A28977:E28977"/>
    <s:mergeCell ref="B15188:E15188"/>
    <s:mergeCell ref="A14973:E14973"/>
    <s:mergeCell ref="A22159:E22159"/>
    <s:mergeCell ref="A29277:E29277"/>
    <s:mergeCell ref="B4520:E4520"/>
    <s:mergeCell ref="A14674:E14674"/>
    <s:mergeCell ref="A16759:E16759"/>
    <s:mergeCell ref="A14668:E14668"/>
    <s:mergeCell ref="A28972:E28972"/>
    <s:mergeCell ref="A19790:E19790"/>
    <s:mergeCell ref="A31274:E31274"/>
    <s:mergeCell ref="A27492:E27492"/>
    <s:mergeCell ref="A7266:E7266"/>
    <s:mergeCell ref="A14968:E14968"/>
    <s:mergeCell ref="A22086:E22086"/>
    <s:mergeCell ref="A29272:E29272"/>
    <s:mergeCell ref="A27187:E27187"/>
    <s:mergeCell ref="A14669:E14669"/>
    <s:mergeCell ref="A31574:E31574"/>
    <s:mergeCell ref="A29489:E29489"/>
    <s:mergeCell ref="A5481:E5481"/>
    <s:mergeCell ref="A20301:E20301"/>
    <s:mergeCell ref="A22087:E22087"/>
    <s:mergeCell ref="A20390:E20390"/>
    <s:mergeCell ref="A5781:E5781"/>
    <s:mergeCell ref="A29305:E29305"/>
    <s:mergeCell ref="A2622:E2622"/>
    <s:mergeCell ref="A27203:E27203"/>
    <s:mergeCell ref="B20937:E20937"/>
    <s:mergeCell ref="A27808:E27808"/>
    <s:mergeCell ref="A2922:E2922"/>
    <s:mergeCell ref="A837:E837"/>
    <s:mergeCell ref="A27503:E27503"/>
    <s:mergeCell ref="A12900:E12900"/>
    <s:mergeCell ref="B13141:E13141"/>
    <s:mergeCell ref="A2623:E2623"/>
    <s:mergeCell ref="A2617:E2617"/>
    <s:mergeCell ref="A1137:E1137"/>
    <s:mergeCell ref="A26931:E26931"/>
    <s:mergeCell ref="B30047:E30047"/>
    <s:mergeCell ref="A12927:E12927"/>
    <s:mergeCell ref="A10842:E10842"/>
    <s:mergeCell ref="B6256:E6256"/>
    <s:mergeCell ref="A27231:E27231"/>
    <s:mergeCell ref="A27531:E27531"/>
    <s:mergeCell ref="A25446:E25446"/>
    <s:mergeCell ref="A848:E848"/>
    <s:mergeCell ref="A20040:E20040"/>
    <s:mergeCell ref="A1148:E1148"/>
    <s:mergeCell ref="A20340:E20340"/>
    <s:mergeCell ref="A7978:E7978"/>
    <s:mergeCell ref="A20041:E20041"/>
    <s:mergeCell ref="A8583:E8583"/>
    <s:mergeCell ref="A20341:E20341"/>
    <s:mergeCell ref="B1607:E1607"/>
    <s:mergeCell ref="A6282:E6282"/>
    <s:mergeCell ref="B11400:E11400"/>
    <s:mergeCell ref="A15485:E15485"/>
    <s:mergeCell ref="A13400:E13400"/>
    <s:mergeCell ref="A13394:E13394"/>
    <s:mergeCell ref="A876:E876"/>
    <s:mergeCell ref="A15180:E15180"/>
    <s:mergeCell ref="B11700:E11700"/>
    <s:mergeCell ref="A13700:E13700"/>
    <s:mergeCell ref="A15391:E15391"/>
    <s:mergeCell ref="A13694:E13694"/>
    <s:mergeCell ref="A6209:E6209"/>
    <s:mergeCell ref="A15480:E15480"/>
    <s:mergeCell ref="A13395:E13395"/>
    <s:mergeCell ref="A6298:E6298"/>
    <s:mergeCell ref="A17782:E17782"/>
    <s:mergeCell ref="A13695:E13695"/>
    <s:mergeCell ref="A20813:E20813"/>
    <s:mergeCell ref="A20807:E20807"/>
    <s:mergeCell ref="A18722:E18722"/>
    <s:mergeCell ref="A6204:E6204"/>
    <s:mergeCell ref="A4724:E4724"/>
    <s:mergeCell ref="A21113:E21113"/>
    <s:mergeCell ref="A11626:E11626"/>
    <s:mergeCell ref="B14169:E14169"/>
    <s:mergeCell ref="A22626:E22626"/>
    <s:mergeCell ref="A4435:E4435"/>
    <s:mergeCell ref="A20841:E20841"/>
    <s:mergeCell ref="A20835:E20835"/>
    <s:mergeCell ref="A25957:E25957"/>
    <s:mergeCell ref="A13439:E13439"/>
    <s:mergeCell ref="A4735:E4735"/>
    <s:mergeCell ref="A21141:E21141"/>
    <s:mergeCell ref="A28259:E28259"/>
    <s:mergeCell ref="A6532:E6532"/>
    <s:mergeCell ref="A26168:E26168"/>
    <s:mergeCell ref="A11953:E11953"/>
    <s:mergeCell ref="A26257:E26257"/>
    <s:mergeCell ref="A24172:E24172"/>
    <s:mergeCell ref="A13739:E13739"/>
    <s:mergeCell ref="A5035:E5035"/>
    <s:mergeCell ref="A11654:E11654"/>
    <s:mergeCell ref="A13345:E13345"/>
    <s:mergeCell ref="A11648:E11648"/>
    <s:mergeCell ref="A6248:E6248"/>
    <s:mergeCell ref="A28254:E28254"/>
    <s:mergeCell ref="A19072:E19072"/>
    <s:mergeCell ref="A16981:E16981"/>
    <s:mergeCell ref="A6548:E6548"/>
    <s:mergeCell ref="A4463:E4463"/>
    <s:mergeCell ref="A18767:E18767"/>
    <s:mergeCell ref="A26469:E26469"/>
    <s:mergeCell ref="A6243:E6243"/>
    <s:mergeCell ref="A4158:E4158"/>
    <s:mergeCell ref="A11664:E11664"/>
    <s:mergeCell ref="A9579:E9579"/>
    <s:mergeCell ref="A4763:E4763"/>
    <s:mergeCell ref="A11881:E11881"/>
    <s:mergeCell ref="A11576:E11576"/>
    <s:mergeCell ref="A9879:E9879"/>
    <s:mergeCell ref="A19278:E19278"/>
    <s:mergeCell ref="A5063:E5063"/>
    <s:mergeCell ref="A12181:E12181"/>
    <s:mergeCell ref="A9574:E9574"/>
    <s:mergeCell ref="A10090:E10090"/>
    <s:mergeCell ref="A26485:E26485"/>
    <s:mergeCell ref="A24394:E24394"/>
    <s:mergeCell ref="A11876:E11876"/>
    <s:mergeCell ref="A10179:E10179"/>
    <s:mergeCell ref="A8094:E8094"/>
    <s:mergeCell ref="A17297:E17297"/>
    <s:mergeCell ref="A2694:E2694"/>
    <s:mergeCell ref="A2688:E2688"/>
    <s:mergeCell ref="A19094:E19094"/>
    <s:mergeCell ref="A16992:E16992"/>
    <s:mergeCell ref="A24694:E24694"/>
    <s:mergeCell ref="A31313:E31313"/>
    <s:mergeCell ref="A12176:E12176"/>
    <s:mergeCell ref="A10091:E10091"/>
    <s:mergeCell ref="A15512:E15512"/>
    <s:mergeCell ref="A2994:E2994"/>
    <s:mergeCell ref="A2988:E2988"/>
    <s:mergeCell ref="A17292:E17292"/>
    <s:mergeCell ref="A15207:E15207"/>
    <s:mergeCell ref="A2689:E2689"/>
    <s:mergeCell ref="A15812:E15812"/>
    <s:mergeCell ref="A24122:E24122"/>
    <s:mergeCell ref="A25908:E25908"/>
    <s:mergeCell ref="A15507:E15507"/>
    <s:mergeCell ref="A2989:E2989"/>
    <s:mergeCell ref="A10101:E10101"/>
    <s:mergeCell ref="A31024:E31024"/>
    <s:mergeCell ref="A31540:E31540"/>
    <s:mergeCell ref="A2716:E2716"/>
    <s:mergeCell ref="A31629:E31629"/>
    <s:mergeCell ref="A10407:E10407"/>
    <s:mergeCell ref="A8316:E8316"/>
    <s:mergeCell ref="A31324:E31324"/>
    <s:mergeCell ref="A24423:E24423"/>
    <s:mergeCell ref="A31535:E31535"/>
    <s:mergeCell ref="A17320:E17320"/>
    <s:mergeCell ref="A15235:E15235"/>
    <s:mergeCell ref="A24438:E24438"/>
    <s:mergeCell ref="A22353:E22353"/>
    <s:mergeCell ref="A31624:E31624"/>
    <s:mergeCell ref="A29539:E29539"/>
    <s:mergeCell ref="B16070:E16070"/>
    <s:mergeCell ref="A8349:E8349"/>
    <s:mergeCell ref="A22653:E22653"/>
    <s:mergeCell ref="A8044:E8044"/>
    <s:mergeCell ref="A22742:E22742"/>
    <s:mergeCell ref="A20657:E20657"/>
    <s:mergeCell ref="A24433:E24433"/>
    <s:mergeCell ref="A22348:E22348"/>
    <s:mergeCell ref="A9830:E9830"/>
    <s:mergeCell ref="A15251:E15251"/>
    <s:mergeCell ref="A22953:E22953"/>
    <s:mergeCell ref="B281:E281"/>
    <s:mergeCell ref="A14946:E14946"/>
    <s:mergeCell ref="A13765:E13765"/>
    <s:mergeCell ref="A15462:E15462"/>
    <s:mergeCell ref="A22648:E22648"/>
    <s:mergeCell ref="A15551:E15551"/>
    <s:mergeCell ref="A13466:E13466"/>
    <s:mergeCell ref="A948:E948"/>
    <s:mergeCell ref="A942:E942"/>
    <s:mergeCell ref="A29855:E29855"/>
    <s:mergeCell ref="A15246:E15246"/>
    <s:mergeCell ref="A15762:E15762"/>
    <s:mergeCell ref="A6064:E6064"/>
    <s:mergeCell ref="A15463:E15463"/>
    <s:mergeCell ref="A13766:E13766"/>
    <s:mergeCell ref="B1489:E1489"/>
    <s:mergeCell ref="A15546:E15546"/>
    <s:mergeCell ref="A13461:E13461"/>
    <s:mergeCell ref="A22664:E22664"/>
    <s:mergeCell ref="A20579:E20579"/>
    <s:mergeCell ref="A6364:E6364"/>
    <s:mergeCell ref="A10302:E10302"/>
    <s:mergeCell ref="A15763:E15763"/>
    <s:mergeCell ref="A21184:E21184"/>
    <s:mergeCell ref="A8361:E8361"/>
    <s:mergeCell ref="A6664:E6664"/>
    <s:mergeCell ref="A10602:E10602"/>
    <s:mergeCell ref="A21179:E21179"/>
    <s:mergeCell ref="B6817:E6817"/>
    <s:mergeCell ref="A1714:E1714"/>
    <s:mergeCell ref="A20906:E20906"/>
    <s:mergeCell ref="A3500:E3500"/>
    <s:mergeCell ref="A1415:E1415"/>
    <s:mergeCell ref="A9117:E9117"/>
    <s:mergeCell ref="B14235:E14235"/>
    <s:mergeCell ref="A20607:E20607"/>
    <s:mergeCell ref="A1715:E1715"/>
    <s:mergeCell ref="A25723:E25723"/>
    <s:mergeCell ref="B21154:E21154"/>
    <s:mergeCell ref="A20907:E20907"/>
    <s:mergeCell ref="B28839:E28839"/>
    <s:mergeCell ref="A28025:E28025"/>
    <s:mergeCell ref="B14236:E14236"/>
    <s:mergeCell ref="A29805:E29805"/>
    <s:mergeCell ref="A27720:E27720"/>
    <s:mergeCell ref="A26023:E26023"/>
    <s:mergeCell ref="A21207:E21207"/>
    <s:mergeCell ref="A28325:E28325"/>
    <s:mergeCell ref="A26323:E26323"/>
    <s:mergeCell ref="A1443:E1443"/>
    <s:mergeCell ref="A28625:E28625"/>
    <s:mergeCell ref="A16263:E16263"/>
    <s:mergeCell ref="B26870:E26870"/>
    <s:mergeCell ref="A28320:E28320"/>
    <s:mergeCell ref="A15958:E15958"/>
    <s:mergeCell ref="A1743:E1743"/>
    <s:mergeCell ref="A23464:E23464"/>
    <s:mergeCell ref="A8861:E8861"/>
  </s:mergeCells>
  <s:dataValidations count="1">
    <s:dataValidation sqref="E15 E17 E19 E181 E183 E298 E365 E431 E433 E547 E549 E665 E667 E669 E831 E896 E898 E900 E902 E904 E906 E1211 E1277 E1279 E1281 E1283 E1492 E1557 E1623 E1688 E1752 E1816 E1880 E1946 E1948 E2061 E2128 E2130 E2246 E2248 E2361 E2426 E2493 E2495 E2497 E2499 E2501 E2503 E2505 E2507 E2509 E2511 E2513 E2515 E2517 E2519 E2521 E2523 E2525 E2527 E2529 E2531 E2533 E2535 E3608 E3673 E3739 E3803 E3867 E3869 E3871 E3873 E3875 E3877 E3879 E3881 E3883 E4333 E4397 E4461 E4526 E4528 E4530 E4691 E4693 E4805 E4807 E4809 E4811 E5021 E5023 E5025 E5185 E5249 E5251 E5253 E5255 E5257 E5259 E5261 E5263 E5663 E5665 E5667 E5669 E5878 E5880 E5992 E5994 E5996 E6156 E6158 E6271 E6336 E6338 E6450 E6514 E6580 E6644 E6708 E6710 E6822 E6824 E6826 E6986 E6988 E6990 E6992 E7202 E7204 E7316 E7318 E7320 E7480 E7482 E7484 E7486 E7488 E7490 E7492 E7844 E7846 E7962 E8026 E8028 E8030 E8032 E8034 E8290 E8292 E8294 E8455 E8521 E8523 E8525 E8686 E8688 E8690 E8692 E8900 E8965 E9032 E9034 E9036 E9038 E9040 E9042 E9044 E9046 E9048 E9050 E9052 E9054 E9056 E9058 E9060 E9797 E9799 E9911 E9913 E9915 E10075 E10077 E10079 E10081 E10290 E10292 E10294 E10454 E10456 E10568 E10633 E10698 E10700 E10816 E10883 E10949 E10951 E10953 E11115 E11180 E11246 E11248 E11250 E11411 E11476 E11541 E11543 E11545 E11707 E11772 E11837 E11903 E11905 E11907 E11909 E12120 E12122 E12124 E12286 E12288 E12290 E12292 E12294 E12296 E12602 E12604 E12606 E12608 E12610 E12612 E12614 E12616 E13016 E13080 E13144 E13146 E13259 E13324 E13389 E13391 E13504 E13570 E13572 E13686 E13688 E13801 E13867 E13933 E13999 E14001 E14117 E14182 E14249 E14251 E14253 E14414 E14481 E14483 E14596 E14662 E14728 E14793 E14859 E14861 E14863 E14865 E14867 E15124 E15191 E15193 E15307 E15373 E15375 E15377 E15541 E15543 E15545 E15707 E15709 E15711 E15713 E15715 E15717 E15719 E16073 E16075 E16189 E16191 E16193 E16195 E16197 E16453 E16455 E16568 E16632 E16634 E16747 E16812 E16814 E16816 E16818 E17028 E17030 E17032 E17034 E17244 E17246 E17248 E17250 E17252 E17254 E17559 E17561 E17563 E17725 E17727 E17729 E17731 E17733 E17735 E18040 E18042 E18044 E18046 E18256 E18320 E18386 E18452 E18519 E18521 E18523 E18525 E18527 E18529 E18834 E18836 E18838 E18840 E19055 E19057 E19059 E19061 E19063 E19065 E19067 E19069 E19471 E19473 E19585 E19587 E19589 E19591 E19801 E19803 E19916 E19980 E19982 E20094 E20160 E20162 E20164 E20166 E20375 E20377 E20379 E20541 E20543 E20656 E20721 E20723 E20725 E20886 E20951 E20953 E20955 E20957 E21165 E21167 E21279 E21281 E21393 E21395 E21509 E21511 E21513 E21515 E21725 E21727 E21729 E21890 E21892 E22005 E22070 E22135 E22137 E22139 E22141 E22143 E22400 E22465 E22531 E22533 E22535 E22697 E22699 E22701 E22703 E22705 E22707 E22709 E22711 E22713 E22715 E22717 E23261 E23325 E23327 E23329 E23331 E23333 E23335 E23337 E23339 E23341 E23343 E23345 E23347 E23349 E23351 E23353 E23355 E24141 E24143 E24145 E24147 E24149 E24151 E24153 E24155 E24556 E24558 E24560 E24722 E24724 E24836 E24838 E24840 E24842 E24844 E24846 E25152 E25154 E25156 E25158 E25160 E25162 E25466 E25468 E25580 E25582 E25694 E25696 E25698 E25700 E25702 E25704 E25706 E25708 E26108 E26110 E26222 E26224 E26226 E26228 E26437 E26439 E26441 E26443 E26653 E26655 E26657 E26817 E26882 E26950 E27015 E27081 E27147 E27149 E27151 E27312 E27377 E27444 E27446 E27448 E27610 E27612 E27614 E27616 E27825 E27891 E27957 E28023 E28089 E28155 E28220 E28286 E28288 E28290 E28292 E28500 E28565 E28567 E28681 E28683 E28685 E28848 E28850 E28852 E28854 E28856 E28858 E28860 E28862 E28864 E28866 E28868 E28870 E28872 E28874 E28876 E29616 E29618 E29620 E29782 E29846 E29848 E29850 E29852 E30066 E30068 E30070 E30072 E30074 E30076 E30382 E30384 E30386 E30547 E30613 E30678 E30743 E30808 E30810 E30923 E30989 E30991 E30993 E31153 E31155 E31269 E31271 E31273 E31435 E31500 E31566 E31568 E31570 E31572" showDropDown="0" showInputMessage="0" showErrorMessage="1" allowBlank="0" type="list">
      <s:formula1>"Đạt,Không đạt,Bị chặn,Không thực hiện,Chưa thực hiện"</s:formula1>
    </s:dataValidation>
  </s:dataValidations>
  <s:printOptions horizontalCentered="0"/>
  <s:pageMargins left="0.7" right="0.7" top="0.75" bottom="0.75" header="0.3" footer="0.3"/>
  <s:pageSetup orientation="portrait" paperSize="8" fitToHeight="0" fitToWidth="1"/>
</s: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2026-10-04T11:11:31Z</dcterms:created>
  <dcterms:modified xsi:type="dcterms:W3CDTF">2026-10-06T04:45:22Z</dcterms:modified>
</cp:coreProperties>
</file>

<file path=docProps/custom.xml><?xml version="1.0" encoding="utf-8"?>
<Properties xmlns:vt="http://schemas.openxmlformats.org/officeDocument/2006/docPropsVTypes" xmlns="http://schemas.openxmlformats.org/officeDocument/2006/custom-properties">
  <property name="TemplateFamily" fmtid="{D5CDD505-2E9C-101B-9397-08002B2CF9AE}" pid="2">
    <vt:lpwstr>test-report</vt:lpwstr>
  </property>
  <property name="TemplateVersion" fmtid="{D5CDD505-2E9C-101B-9397-08002B2CF9AE}" pid="3">
    <vt:lpwstr>2.5.0</vt:lpwstr>
  </property>
  <property name="Language" fmtid="{D5CDD505-2E9C-101B-9397-08002B2CF9AE}" pid="4">
    <vt:lpwstr>vi</vt:lpwstr>
  </property>
  <property name="DesignRevision" fmtid="{D5CDD505-2E9C-101B-9397-08002B2CF9AE}" pid="5">
    <vt:lpwstr>RC-001-v2-report-2026-10-04</vt:lpwstr>
  </property>
</Properties>
</file>